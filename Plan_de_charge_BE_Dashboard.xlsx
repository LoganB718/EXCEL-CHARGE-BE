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Charge" sheetId="1" state="visible" r:id="rId1"/>
    <sheet xmlns:r="http://schemas.openxmlformats.org/officeDocument/2006/relationships" name="Data" sheetId="2" state="visible" r:id="rId2"/>
    <sheet xmlns:r="http://schemas.openxmlformats.org/officeDocument/2006/relationships" name="Dashboard" sheetId="3" state="visible" r:id="rId3"/>
    <sheet xmlns:r="http://schemas.openxmlformats.org/officeDocument/2006/relationships" name="Dessinateurs" sheetId="4" state="visible" r:id="rId4"/>
    <sheet xmlns:r="http://schemas.openxmlformats.org/officeDocument/2006/relationships" name="Calculs" sheetId="5" state="visible" r:id="rId5"/>
  </sheets>
  <definedNames>
    <definedName name="lst_ChefsProjet">OFFSET(Data!$A$3,1,0,MAX(1,COUNTA(Data!$A$4:$A$203)),1)</definedName>
    <definedName name="lst_Projets">OFFSET(Data!$B$3,1,0,MAX(1,COUNTA(Data!$B$4:$B$203)),1)</definedName>
    <definedName name="lst_Types">OFFSET(Data!$C$3,1,0,MAX(1,COUNTA(Data!$C$4:$C$203)),1)</definedName>
    <definedName name="lst_Coordinateurs">OFFSET(Data!$D$3,1,0,MAX(1,COUNTA(Data!$D$4:$D$203)),1)</definedName>
    <definedName name="lst_Dessinateurs">OFFSET(Data!$E$3,1,0,MAX(1,COUNTA(Data!$E$4:$E$203)),1)</definedName>
    <definedName name="lst_Prestataires">OFFSET(Data!$H$3,1,0,MAX(1,COUNTA(Data!$H$4:$H$203)),1)</definedName>
    <definedName name="p_Perimetre">Dashboard!$F$5</definedName>
    <definedName name="p_Repartition">Dashboard!$R$5</definedName>
    <definedName name="p_PremierMois">Dashboard!$AK$5</definedName>
    <definedName name="p_HeuresETP">Dashboard!$AU$5</definedName>
    <definedName name="p_ChargeFixe">Dashboard!$BD$5</definedName>
    <definedName name="lst_Ressources">OFFSET(Calculs!$FA$4,0,0,MAX(1,Calculs!$CD$23+Calculs!$CD$26),1)</definedName>
    <definedName name="p_Dessinateur">Dessinateurs!$G$5</definedName>
    <definedName name="_xlnm._FilterDatabase" localSheetId="0" hidden="1">'Charge'!$A$3:$O$503</definedName>
    <definedName name="_xlnm.Print_Area" localSheetId="2">'Dashboard'!$A$1:$BI$166</definedName>
    <definedName name="_xlnm.Print_Area" localSheetId="3">'Dessinateurs'!$A$1:$BI$97</definedName>
  </definedNames>
  <calcPr calcId="124519" fullCalcOnLoad="1"/>
</workbook>
</file>

<file path=xl/styles.xml><?xml version="1.0" encoding="utf-8"?>
<styleSheet xmlns="http://schemas.openxmlformats.org/spreadsheetml/2006/main">
  <numFmts count="39">
    <numFmt numFmtId="164" formatCode="General&quot; h&quot;"/>
    <numFmt numFmtId="165" formatCode="DD/MM/YYYY"/>
    <numFmt numFmtId="166" formatCode="0.0"/>
    <numFmt numFmtId="167" formatCode="MMM YYYY"/>
    <numFmt numFmtId="168" formatCode="#,##0.0"/>
    <numFmt numFmtId="169" formatCode="0.0%"/>
    <numFmt numFmtId="170" formatCode="MMM YY"/>
    <numFmt numFmtId="171" formatCode="&quot;Édité le &quot;DD/MM/YYYY"/>
    <numFmt numFmtId="172" formatCode="MMMM YYYY"/>
    <numFmt numFmtId="173" formatCode="&quot;Vide = auto (&quot;MMM YYYY&quot;)&quot;"/>
    <numFmt numFmtId="174" formatCode="#,##0&quot; h&quot;"/>
    <numFmt numFmtId="175" formatCode="&quot;soit ≈ &quot;0.0&quot; ETP-mois&quot;"/>
    <numFmt numFmtId="176" formatCode="&quot;soit &quot;0%&quot; de la charge identifiée&quot;"/>
    <numFmt numFmtId="177" formatCode="&quot;Reste à faire : &quot;#,##0&quot; h&quot;"/>
    <numFmt numFmtId="178" formatCode="&quot;sur &quot;0&quot; affaires&quot;"/>
    <numFmt numFmtId="179" formatCode="&quot;en &quot;MMMM YYYY"/>
    <numFmt numFmtId="180" formatCode="&quot;≈ &quot;0.0&quot; ETP sur le mois&quot;"/>
    <numFmt numFmtId="181" formatCode="0&quot; affaire(s) active(s) ce mois-ci&quot;"/>
    <numFmt numFmtId="182" formatCode="0%&quot; de la charge sur 12 mois&quot;"/>
    <numFmt numFmtId="183" formatCode="&quot;réparties sur &quot;0&quot; projet(s)&quot;"/>
    <numFmt numFmtId="184" formatCode="&quot;Pondéré par la charge : &quot;0%"/>
    <numFmt numFmtId="185" formatCode="&quot;12 mois à partir de &quot;MMMM YYYY"/>
    <numFmt numFmtId="186" formatCode="&quot;Hors période ou sans date de début : &quot;#,##0&quot; h&quot;;;&quot;Toute la charge est visible sur la période&quot;"/>
    <numFmt numFmtId="187" formatCode="#,##0&quot; h/mois&quot;"/>
    <numFmt numFmtId="188" formatCode="&quot;12 mois dès &quot;MMMM YYYY"/>
    <numFmt numFmtId="189" formatCode="&quot;dont &quot;#,##0&quot; h de charge fixe&quot;"/>
    <numFmt numFmtId="190" formatCode="&quot;soit &quot;#,##0&quot; h/mois pour les projets&quot;"/>
    <numFmt numFmtId="191" formatCode="&quot;sur &quot;0&quot; affaire(s)&quot;"/>
    <numFmt numFmtId="192" formatCode="&quot;dont &quot;#,##0&quot; h sur 12 mois&quot;"/>
    <numFmt numFmtId="193" formatCode="#,##0&quot; h au total (fixe + projets)&quot;"/>
    <numFmt numFmtId="194" formatCode="0%&quot; de la capacité&quot;"/>
    <numFmt numFmtId="195" formatCode="0&quot; mois&quot;"/>
    <numFmt numFmtId="196" formatCode="&quot;Dépassement cumulé : &quot;#,##0&quot; h&quot;"/>
    <numFmt numFmtId="197" formatCode="&quot;Dès &quot;MMMM YYYY"/>
    <numFmt numFmtId="198" formatCode="#,##0&quot; h encore disponibles&quot;"/>
    <numFmt numFmtId="199" formatCode="mmm yy"/>
    <numFmt numFmtId="200" formatCode="+#,##0;-#,##0;0"/>
    <numFmt numFmtId="201" formatCode="DD/MM/YY"/>
    <numFmt numFmtId="202" formatCode="#,##0;;&quot;–&quot;"/>
  </numFmts>
  <fonts count="41">
    <font>
      <name val="Calibri"/>
      <family val="2"/>
      <color theme="1"/>
      <sz val="11"/>
      <scheme val="minor"/>
    </font>
    <font>
      <name val="Arial"/>
      <b val="1"/>
      <color rgb="001F2A44"/>
      <sz val="14"/>
    </font>
    <font>
      <name val="Arial"/>
      <i val="1"/>
      <color rgb="006B7280"/>
      <sz val="9"/>
    </font>
    <font>
      <name val="Arial"/>
      <b val="1"/>
      <color rgb="00FFFFFF"/>
      <sz val="9"/>
    </font>
    <font>
      <name val="Arial"/>
      <color rgb="001F4E9A"/>
      <sz val="10"/>
    </font>
    <font>
      <name val="Arial"/>
      <b val="1"/>
      <color rgb="00FFFFFF"/>
      <sz val="10"/>
    </font>
    <font>
      <name val="Arial"/>
      <color rgb="001F2937"/>
      <sz val="10"/>
    </font>
    <font>
      <name val="Arial"/>
      <b val="1"/>
      <color rgb="001F2A44"/>
      <sz val="12"/>
    </font>
    <font>
      <name val="Arial"/>
      <color rgb="006B7280"/>
      <sz val="9"/>
    </font>
    <font>
      <name val="Arial"/>
      <b val="1"/>
      <color rgb="00FFFFFF"/>
      <sz val="17"/>
    </font>
    <font>
      <name val="Arial"/>
      <color rgb="00C9D3E3"/>
      <sz val="9"/>
    </font>
    <font>
      <name val="Arial"/>
      <color rgb="00C9D3E3"/>
      <sz val="10"/>
    </font>
    <font>
      <name val="Arial"/>
      <b val="1"/>
      <color rgb="006B7280"/>
      <sz val="9"/>
    </font>
    <font>
      <name val="Arial"/>
      <b val="1"/>
      <color rgb="001F4E9A"/>
      <sz val="10"/>
    </font>
    <font>
      <name val="Arial"/>
      <i val="1"/>
      <color rgb="009CA3AF"/>
      <sz val="7"/>
    </font>
    <font>
      <name val="Arial"/>
      <b val="1"/>
      <color rgb="001F2A44"/>
      <sz val="11"/>
    </font>
    <font>
      <name val="Arial"/>
      <b val="1"/>
      <color rgb="00B42318"/>
      <sz val="9"/>
    </font>
    <font>
      <name val="Arial"/>
      <b val="1"/>
      <color rgb="001F2A44"/>
      <sz val="24"/>
    </font>
    <font>
      <name val="Arial"/>
      <color rgb="006B7280"/>
      <sz val="8.5"/>
    </font>
    <font>
      <name val="Arial"/>
      <color rgb="001F2937"/>
      <sz val="9.5"/>
    </font>
    <font>
      <name val="Arial"/>
      <b val="1"/>
      <color rgb="001F2937"/>
      <sz val="9.5"/>
    </font>
    <font>
      <name val="Arial"/>
      <b val="1"/>
      <color rgb="009CA3AF"/>
      <sz val="8"/>
    </font>
    <font>
      <name val="Arial"/>
      <b val="1"/>
      <color rgb="00EDA100"/>
      <sz val="9"/>
    </font>
    <font>
      <name val="Arial"/>
      <b val="1"/>
      <color rgb="00FFFFFF"/>
      <sz val="24"/>
    </font>
    <font>
      <name val="Arial"/>
      <color rgb="00C9D3E3"/>
      <sz val="8.5"/>
    </font>
    <font>
      <name val="Arial"/>
      <color rgb="00AEB9CC"/>
      <sz val="8.5"/>
    </font>
    <font>
      <name val="Arial"/>
      <b val="1"/>
      <color rgb="00FFFFFF"/>
      <sz val="9.5"/>
    </font>
    <font>
      <name val="Arial"/>
      <b val="1"/>
      <color rgb="001F2A44"/>
      <sz val="22"/>
    </font>
    <font>
      <name val="Arial"/>
      <b val="1"/>
      <color rgb="001F2A44"/>
      <sz val="16"/>
    </font>
    <font>
      <name val="Arial"/>
      <b val="1"/>
      <color rgb="001F2A44"/>
      <sz val="18"/>
    </font>
    <font>
      <name val="Arial"/>
      <color rgb="001F2937"/>
      <sz val="9"/>
    </font>
    <font>
      <name val="Arial"/>
      <b val="1"/>
      <color rgb="001F2937"/>
      <sz val="9"/>
    </font>
    <font>
      <name val="Arial"/>
      <b val="1"/>
      <color rgb="00B45309"/>
      <sz val="9"/>
    </font>
    <font>
      <name val="Arial"/>
      <i val="1"/>
      <color rgb="006B7280"/>
      <sz val="8"/>
    </font>
    <font>
      <name val="Arial"/>
      <b val="1"/>
      <color rgb="001F4E9A"/>
      <sz val="11"/>
    </font>
    <font>
      <name val="Arial"/>
      <b val="1"/>
      <color rgb="001F2A44"/>
      <sz val="10"/>
    </font>
    <font>
      <name val="Arial"/>
      <color rgb="001F2937"/>
      <sz val="8.5"/>
    </font>
    <font>
      <name val="Arial"/>
      <b val="1"/>
      <color rgb="006B7280"/>
      <sz val="8"/>
    </font>
    <font>
      <name val="Arial"/>
      <i val="1"/>
      <color rgb="009CA3AF"/>
      <sz val="7.5"/>
    </font>
    <font>
      <name val="Arial"/>
      <i val="1"/>
      <color rgb="006B7280"/>
      <sz val="8.5"/>
    </font>
    <font>
      <name val="Arial"/>
      <b val="1"/>
      <color rgb="00B45309"/>
      <sz val="8"/>
    </font>
  </fonts>
  <fills count="20">
    <fill>
      <patternFill/>
    </fill>
    <fill>
      <patternFill patternType="gray125"/>
    </fill>
    <fill>
      <patternFill patternType="solid">
        <fgColor rgb="002F5C8F"/>
        <bgColor rgb="002F5C8F"/>
      </patternFill>
    </fill>
    <fill>
      <patternFill patternType="solid">
        <fgColor rgb="00F5F8FD"/>
        <bgColor rgb="00F5F8FD"/>
      </patternFill>
    </fill>
    <fill>
      <patternFill patternType="solid">
        <fgColor rgb="001F2A44"/>
        <bgColor rgb="001F2A44"/>
      </patternFill>
    </fill>
    <fill>
      <patternFill patternType="solid">
        <fgColor rgb="006B7280"/>
        <bgColor rgb="006B7280"/>
      </patternFill>
    </fill>
    <fill>
      <patternFill patternType="solid">
        <fgColor rgb="00EEF1F5"/>
        <bgColor rgb="00EEF1F5"/>
      </patternFill>
    </fill>
    <fill>
      <patternFill patternType="solid">
        <fgColor rgb="00FFFFFF"/>
        <bgColor rgb="00FFFFFF"/>
      </patternFill>
    </fill>
    <fill>
      <patternFill patternType="solid">
        <fgColor rgb="00EAF2FD"/>
        <bgColor rgb="00EAF2FD"/>
      </patternFill>
    </fill>
    <fill>
      <patternFill patternType="solid">
        <fgColor rgb="002A78D6"/>
        <bgColor rgb="002A78D6"/>
      </patternFill>
    </fill>
    <fill>
      <patternFill patternType="solid">
        <fgColor rgb="00EB6834"/>
        <bgColor rgb="00EB6834"/>
      </patternFill>
    </fill>
    <fill>
      <patternFill patternType="solid">
        <fgColor rgb="001BAF7A"/>
        <bgColor rgb="001BAF7A"/>
      </patternFill>
    </fill>
    <fill>
      <patternFill patternType="solid">
        <fgColor rgb="00EDA100"/>
        <bgColor rgb="00EDA100"/>
      </patternFill>
    </fill>
    <fill>
      <patternFill patternType="solid">
        <fgColor rgb="00E87BA4"/>
        <bgColor rgb="00E87BA4"/>
      </patternFill>
    </fill>
    <fill>
      <patternFill patternType="solid">
        <fgColor rgb="00008300"/>
        <bgColor rgb="00008300"/>
      </patternFill>
    </fill>
    <fill>
      <patternFill patternType="solid">
        <fgColor rgb="006250D6"/>
        <bgColor rgb="006250D6"/>
      </patternFill>
    </fill>
    <fill>
      <patternFill patternType="solid">
        <fgColor rgb="00E34948"/>
        <bgColor rgb="00E34948"/>
      </patternFill>
    </fill>
    <fill>
      <patternFill patternType="solid">
        <fgColor rgb="009CA3AF"/>
        <bgColor rgb="009CA3AF"/>
      </patternFill>
    </fill>
    <fill>
      <patternFill patternType="solid">
        <fgColor rgb="00B8C0CC"/>
        <bgColor rgb="00B8C0CC"/>
      </patternFill>
    </fill>
    <fill>
      <patternFill patternType="solid">
        <fgColor rgb="00D03B3B"/>
        <bgColor rgb="00D03B3B"/>
      </patternFill>
    </fill>
  </fills>
  <borders count="42">
    <border>
      <left/>
      <right/>
      <top/>
      <bottom/>
      <diagonal/>
    </border>
    <border>
      <left style="thin">
        <color rgb="00E5E7EB"/>
      </left>
      <right style="thin">
        <color rgb="00E5E7EB"/>
      </right>
      <bottom style="thin">
        <color rgb="00E5E7EB"/>
      </bottom>
    </border>
    <border>
      <left style="thin">
        <color rgb="00FFFFFF"/>
      </left>
      <right style="thin">
        <color rgb="00FFFFFF"/>
      </right>
    </border>
    <border>
      <left style="thin">
        <color rgb="00D9DEE5"/>
      </left>
      <right style="thin">
        <color rgb="00D9DEE5"/>
      </right>
      <bottom style="thin">
        <color rgb="00D9DEE5"/>
      </bottom>
    </border>
    <border>
      <left style="thin">
        <color rgb="00D6DCE4"/>
      </left>
      <top style="thin">
        <color rgb="00D6DCE4"/>
      </top>
    </border>
    <border>
      <top style="thin">
        <color rgb="00D6DCE4"/>
      </top>
    </border>
    <border>
      <right style="thin">
        <color rgb="00D6DCE4"/>
      </right>
      <top style="thin">
        <color rgb="00D6DCE4"/>
      </top>
    </border>
    <border>
      <left style="thin">
        <color rgb="00D6DCE4"/>
      </left>
      <bottom style="thin">
        <color rgb="00D6DCE4"/>
      </bottom>
    </border>
    <border>
      <bottom style="thin">
        <color rgb="00D6DCE4"/>
      </bottom>
    </border>
    <border>
      <right style="thin">
        <color rgb="00D6DCE4"/>
      </right>
      <bottom style="thin">
        <color rgb="00D6DCE4"/>
      </bottom>
    </border>
    <border>
      <left/>
      <right/>
      <top style="thin">
        <color rgb="00D6DCE4"/>
      </top>
      <bottom/>
      <diagonal/>
    </border>
    <border>
      <left style="thin">
        <color rgb="008FB3E6"/>
      </left>
      <top style="thin">
        <color rgb="008FB3E6"/>
      </top>
      <bottom style="thin">
        <color rgb="008FB3E6"/>
      </bottom>
    </border>
    <border>
      <top style="thin">
        <color rgb="008FB3E6"/>
      </top>
      <bottom style="thin">
        <color rgb="008FB3E6"/>
      </bottom>
    </border>
    <border>
      <right style="thin">
        <color rgb="008FB3E6"/>
      </right>
      <top style="thin">
        <color rgb="008FB3E6"/>
      </top>
      <bottom style="thin">
        <color rgb="008FB3E6"/>
      </bottom>
    </border>
    <border>
      <left style="thin">
        <color rgb="008FB3E6"/>
      </left>
      <right style="thin">
        <color rgb="008FB3E6"/>
      </right>
      <top style="thin">
        <color rgb="008FB3E6"/>
      </top>
      <bottom style="thin">
        <color rgb="008FB3E6"/>
      </bottom>
    </border>
    <border>
      <left/>
      <right/>
      <top style="thin">
        <color rgb="008FB3E6"/>
      </top>
      <bottom/>
      <diagonal/>
    </border>
    <border>
      <left/>
      <right style="thin">
        <color rgb="008FB3E6"/>
      </right>
      <top style="thin">
        <color rgb="008FB3E6"/>
      </top>
      <bottom/>
      <diagonal/>
    </border>
    <border>
      <left/>
      <right/>
      <top style="thin">
        <color rgb="008FB3E6"/>
      </top>
      <bottom style="thin">
        <color rgb="008FB3E6"/>
      </bottom>
      <diagonal/>
    </border>
    <border>
      <left/>
      <right style="thin">
        <color rgb="008FB3E6"/>
      </right>
      <top style="thin">
        <color rgb="008FB3E6"/>
      </top>
      <bottom style="thin">
        <color rgb="008FB3E6"/>
      </bottom>
      <diagonal/>
    </border>
    <border>
      <left/>
      <right/>
      <top/>
      <bottom style="thin">
        <color rgb="00D6DCE4"/>
      </bottom>
      <diagonal/>
    </border>
    <border>
      <left/>
      <right style="thin">
        <color rgb="00D6DCE4"/>
      </right>
      <top/>
      <bottom/>
      <diagonal/>
    </border>
    <border>
      <left/>
      <right style="thin">
        <color rgb="00D6DCE4"/>
      </right>
      <top/>
      <bottom style="thin">
        <color rgb="00D6DCE4"/>
      </bottom>
      <diagonal/>
    </border>
    <border>
      <bottom style="thin">
        <color rgb="00B8C2CF"/>
      </bottom>
    </border>
    <border>
      <left/>
      <right/>
      <top/>
      <bottom style="thin">
        <color rgb="00B8C2CF"/>
      </bottom>
      <diagonal/>
    </border>
    <border>
      <left style="thin">
        <color rgb="00D6DCE4"/>
      </left>
    </border>
    <border/>
    <border>
      <right style="thin">
        <color rgb="00D6DCE4"/>
      </right>
    </border>
    <border>
      <bottom style="thin">
        <color rgb="00E5E7EB"/>
      </bottom>
    </border>
    <border>
      <left style="thin">
        <color rgb="001F2A44"/>
      </left>
      <top style="thick">
        <color rgb="00EDA100"/>
      </top>
    </border>
    <border>
      <top style="thick">
        <color rgb="00EDA100"/>
      </top>
    </border>
    <border>
      <right style="thin">
        <color rgb="001F2A44"/>
      </right>
      <top style="thick">
        <color rgb="00EDA100"/>
      </top>
    </border>
    <border>
      <left style="thin">
        <color rgb="001F2A44"/>
      </left>
    </border>
    <border>
      <right style="thin">
        <color rgb="001F2A44"/>
      </right>
    </border>
    <border>
      <left style="thin">
        <color rgb="001F2A44"/>
      </left>
      <bottom style="thin">
        <color rgb="001F2A44"/>
      </bottom>
    </border>
    <border>
      <bottom style="thin">
        <color rgb="001F2A44"/>
      </bottom>
    </border>
    <border>
      <right style="thin">
        <color rgb="001F2A44"/>
      </right>
      <bottom style="thin">
        <color rgb="001F2A44"/>
      </bottom>
    </border>
    <border>
      <right style="medium">
        <color rgb="00FFFFFF"/>
      </right>
      <top style="thick">
        <color rgb="00FFFFFF"/>
      </top>
      <bottom style="thick">
        <color rgb="00FFFFFF"/>
      </bottom>
    </border>
    <border>
      <bottom style="thin">
        <color rgb="003B4A6B"/>
      </bottom>
    </border>
    <border>
      <left style="thin">
        <color rgb="00D6DCE4"/>
      </left>
      <top style="thick">
        <color rgb="002A78D6"/>
      </top>
    </border>
    <border>
      <top style="thick">
        <color rgb="002A78D6"/>
      </top>
    </border>
    <border>
      <right style="thin">
        <color rgb="00D6DCE4"/>
      </right>
      <top style="thick">
        <color rgb="002A78D6"/>
      </top>
    </border>
    <border>
      <bottom style="mediumDashed">
        <color rgb="001F2937"/>
      </bottom>
    </border>
  </borders>
  <cellStyleXfs count="1">
    <xf numFmtId="0" fontId="0" fillId="0" borderId="0"/>
  </cellStyleXfs>
  <cellXfs count="17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5" fillId="4" borderId="2" applyAlignment="1" pivotButton="0" quotePrefix="0" xfId="0">
      <alignment horizontal="center" vertical="center" wrapText="1"/>
    </xf>
    <xf numFmtId="0" fontId="5" fillId="2" borderId="2" applyAlignment="1" pivotButton="0" quotePrefix="0" xfId="0">
      <alignment horizontal="center" vertical="center" wrapText="1"/>
    </xf>
    <xf numFmtId="0" fontId="6" fillId="0" borderId="3" applyAlignment="1" pivotButton="0" quotePrefix="0" xfId="0">
      <alignment vertical="top"/>
    </xf>
    <xf numFmtId="165" fontId="6" fillId="0" borderId="3" applyAlignment="1" pivotButton="0" quotePrefix="0" xfId="0">
      <alignment horizontal="center" vertical="top"/>
    </xf>
    <xf numFmtId="0" fontId="6" fillId="0" borderId="3" applyAlignment="1" pivotButton="0" quotePrefix="0" xfId="0">
      <alignment vertical="top" wrapText="1"/>
    </xf>
    <xf numFmtId="0" fontId="6" fillId="0" borderId="3" applyAlignment="1" pivotButton="0" quotePrefix="0" xfId="0">
      <alignment horizontal="center" vertical="top"/>
    </xf>
    <xf numFmtId="9" fontId="6" fillId="0" borderId="3" applyAlignment="1" pivotButton="0" quotePrefix="0" xfId="0">
      <alignment horizontal="center" vertical="top"/>
    </xf>
    <xf numFmtId="0" fontId="5" fillId="4"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5" borderId="0" applyAlignment="1" pivotButton="0" quotePrefix="0" xfId="0">
      <alignment horizontal="center" vertical="center" wrapText="1"/>
    </xf>
    <xf numFmtId="0" fontId="6" fillId="0" borderId="1" pivotButton="0" quotePrefix="0" xfId="0"/>
    <xf numFmtId="164" fontId="4" fillId="3" borderId="1" applyAlignment="1" pivotButton="0" quotePrefix="0" xfId="0">
      <alignment horizontal="center"/>
    </xf>
    <xf numFmtId="165" fontId="6" fillId="0" borderId="1" applyAlignment="1" pivotButton="0" quotePrefix="0" xfId="0">
      <alignment horizontal="center"/>
    </xf>
    <xf numFmtId="0" fontId="0" fillId="6" borderId="0" pivotButton="0" quotePrefix="0" xfId="0"/>
    <xf numFmtId="0" fontId="0" fillId="4" borderId="0" pivotButton="0" quotePrefix="0" xfId="0"/>
    <xf numFmtId="0" fontId="9" fillId="4" borderId="0" applyAlignment="1" pivotButton="0" quotePrefix="0" xfId="0">
      <alignment horizontal="left" vertical="center"/>
    </xf>
    <xf numFmtId="171" fontId="11" fillId="4" borderId="0" applyAlignment="1" pivotButton="0" quotePrefix="0" xfId="0">
      <alignment horizontal="right" vertical="center"/>
    </xf>
    <xf numFmtId="0" fontId="10" fillId="4" borderId="0" applyAlignment="1" pivotButton="0" quotePrefix="0" xfId="0">
      <alignment horizontal="left" vertical="center"/>
    </xf>
    <xf numFmtId="0" fontId="12" fillId="7" borderId="4" applyAlignment="1" pivotButton="0" quotePrefix="0" xfId="0">
      <alignment horizontal="right" vertical="center" indent="1"/>
    </xf>
    <xf numFmtId="0" fontId="0" fillId="0" borderId="10" pivotButton="0" quotePrefix="0" xfId="0"/>
    <xf numFmtId="0" fontId="13" fillId="8" borderId="14" applyAlignment="1" pivotButton="0" quotePrefix="0" xfId="0">
      <alignment horizontal="center" vertical="center"/>
    </xf>
    <xf numFmtId="0" fontId="0" fillId="0" borderId="17" pivotButton="0" quotePrefix="0" xfId="0"/>
    <xf numFmtId="0" fontId="0" fillId="0" borderId="18" pivotButton="0" quotePrefix="0" xfId="0"/>
    <xf numFmtId="0" fontId="0" fillId="7" borderId="5" pivotButton="0" quotePrefix="0" xfId="0"/>
    <xf numFmtId="0" fontId="12" fillId="7" borderId="5" applyAlignment="1" pivotButton="0" quotePrefix="0" xfId="0">
      <alignment horizontal="right" vertical="center" indent="1"/>
    </xf>
    <xf numFmtId="172" fontId="13" fillId="8" borderId="14" applyAlignment="1" pivotButton="0" quotePrefix="0" xfId="0">
      <alignment horizontal="center" vertical="center"/>
    </xf>
    <xf numFmtId="174" fontId="13" fillId="8" borderId="14" applyAlignment="1" pivotButton="0" quotePrefix="0" xfId="0">
      <alignment horizontal="center" vertical="center"/>
    </xf>
    <xf numFmtId="0" fontId="0" fillId="7" borderId="7" pivotButton="0" quotePrefix="0" xfId="0"/>
    <xf numFmtId="0" fontId="0" fillId="7" borderId="8" pivotButton="0" quotePrefix="0" xfId="0"/>
    <xf numFmtId="0" fontId="14" fillId="7" borderId="8" applyAlignment="1" pivotButton="0" quotePrefix="0" xfId="0">
      <alignment horizontal="center" vertical="top" shrinkToFit="1"/>
    </xf>
    <xf numFmtId="0" fontId="0" fillId="0" borderId="19" pivotButton="0" quotePrefix="0" xfId="0"/>
    <xf numFmtId="173" fontId="14" fillId="7" borderId="8" applyAlignment="1" pivotButton="0" quotePrefix="0" xfId="0">
      <alignment horizontal="center" vertical="top" shrinkToFit="1"/>
    </xf>
    <xf numFmtId="0" fontId="14" fillId="7" borderId="9" applyAlignment="1" pivotButton="0" quotePrefix="0" xfId="0">
      <alignment horizontal="center" vertical="top" shrinkToFit="1"/>
    </xf>
    <xf numFmtId="0" fontId="0" fillId="0" borderId="21" pivotButton="0" quotePrefix="0" xfId="0"/>
    <xf numFmtId="0" fontId="15" fillId="6" borderId="22" applyAlignment="1" pivotButton="0" quotePrefix="0" xfId="0">
      <alignment vertical="bottom"/>
    </xf>
    <xf numFmtId="0" fontId="0" fillId="6" borderId="22" pivotButton="0" quotePrefix="0" xfId="0"/>
    <xf numFmtId="0" fontId="16" fillId="6" borderId="22" applyAlignment="1" pivotButton="0" quotePrefix="0" xfId="0">
      <alignment horizontal="right" vertical="bottom" shrinkToFit="1"/>
    </xf>
    <xf numFmtId="0" fontId="0" fillId="0" borderId="23" pivotButton="0" quotePrefix="0" xfId="0"/>
    <xf numFmtId="0" fontId="0" fillId="7" borderId="4" pivotButton="0" quotePrefix="0" xfId="0"/>
    <xf numFmtId="0" fontId="0" fillId="7" borderId="6" pivotButton="0" quotePrefix="0" xfId="0"/>
    <xf numFmtId="0" fontId="0" fillId="4" borderId="28" pivotButton="0" quotePrefix="0" xfId="0"/>
    <xf numFmtId="0" fontId="0" fillId="4" borderId="29" pivotButton="0" quotePrefix="0" xfId="0"/>
    <xf numFmtId="0" fontId="0" fillId="4" borderId="30" pivotButton="0" quotePrefix="0" xfId="0"/>
    <xf numFmtId="0" fontId="0" fillId="7" borderId="24" pivotButton="0" quotePrefix="0" xfId="0"/>
    <xf numFmtId="0" fontId="12" fillId="7" borderId="25" applyAlignment="1" pivotButton="0" quotePrefix="0" xfId="0">
      <alignment horizontal="left" vertical="center"/>
    </xf>
    <xf numFmtId="0" fontId="0" fillId="7" borderId="26" pivotButton="0" quotePrefix="0" xfId="0"/>
    <xf numFmtId="0" fontId="0" fillId="4" borderId="31" pivotButton="0" quotePrefix="0" xfId="0"/>
    <xf numFmtId="0" fontId="22" fillId="4" borderId="25" applyAlignment="1" pivotButton="0" quotePrefix="0" xfId="0">
      <alignment horizontal="left" vertical="center"/>
    </xf>
    <xf numFmtId="0" fontId="0" fillId="4" borderId="32" pivotButton="0" quotePrefix="0" xfId="0"/>
    <xf numFmtId="1" fontId="17" fillId="7" borderId="25" applyAlignment="1" pivotButton="0" quotePrefix="0" xfId="0">
      <alignment horizontal="left" vertical="center"/>
    </xf>
    <xf numFmtId="174" fontId="17" fillId="7" borderId="25" applyAlignment="1" pivotButton="0" quotePrefix="0" xfId="0">
      <alignment horizontal="left" vertical="center"/>
    </xf>
    <xf numFmtId="174" fontId="23" fillId="4" borderId="25" applyAlignment="1" pivotButton="0" quotePrefix="0" xfId="0">
      <alignment horizontal="left" vertical="center"/>
    </xf>
    <xf numFmtId="0" fontId="18" fillId="7" borderId="25" applyAlignment="1" pivotButton="0" quotePrefix="0" xfId="0">
      <alignment horizontal="left" vertical="center"/>
    </xf>
    <xf numFmtId="175" fontId="18" fillId="7" borderId="25" applyAlignment="1" pivotButton="0" quotePrefix="0" xfId="0">
      <alignment horizontal="left" vertical="center"/>
    </xf>
    <xf numFmtId="176" fontId="24" fillId="4" borderId="25" applyAlignment="1" pivotButton="0" quotePrefix="0" xfId="0">
      <alignment horizontal="left" vertical="center"/>
    </xf>
    <xf numFmtId="0" fontId="0" fillId="7" borderId="27" pivotButton="0" quotePrefix="0" xfId="0"/>
    <xf numFmtId="0" fontId="0" fillId="4" borderId="37" pivotButton="0" quotePrefix="0" xfId="0"/>
    <xf numFmtId="0" fontId="19" fillId="7" borderId="25" applyAlignment="1" pivotButton="0" quotePrefix="0" xfId="0">
      <alignment horizontal="left" vertical="center"/>
    </xf>
    <xf numFmtId="174" fontId="8" fillId="7" borderId="25" applyAlignment="1" pivotButton="0" quotePrefix="0" xfId="0">
      <alignment horizontal="right" vertical="center"/>
    </xf>
    <xf numFmtId="0" fontId="0" fillId="9" borderId="36" pivotButton="0" quotePrefix="0" xfId="0"/>
    <xf numFmtId="174" fontId="20" fillId="7" borderId="25" applyAlignment="1" pivotButton="0" quotePrefix="0" xfId="0">
      <alignment horizontal="right" vertical="center"/>
    </xf>
    <xf numFmtId="0" fontId="25" fillId="4" borderId="25" applyAlignment="1" pivotButton="0" quotePrefix="0" xfId="0">
      <alignment horizontal="left" vertical="center"/>
    </xf>
    <xf numFmtId="0" fontId="26" fillId="4" borderId="25" applyAlignment="1" pivotButton="0" quotePrefix="0" xfId="0">
      <alignment horizontal="left" vertical="center" shrinkToFit="1"/>
    </xf>
    <xf numFmtId="0" fontId="0" fillId="10" borderId="36" pivotButton="0" quotePrefix="0" xfId="0"/>
    <xf numFmtId="0" fontId="0" fillId="11" borderId="36" pivotButton="0" quotePrefix="0" xfId="0"/>
    <xf numFmtId="0" fontId="0" fillId="7" borderId="25" pivotButton="0" quotePrefix="0" xfId="0"/>
    <xf numFmtId="0" fontId="0" fillId="12" borderId="36" pivotButton="0" quotePrefix="0" xfId="0"/>
    <xf numFmtId="0" fontId="21" fillId="7" borderId="25" applyAlignment="1" pivotButton="0" quotePrefix="0" xfId="0">
      <alignment horizontal="left" vertical="center"/>
    </xf>
    <xf numFmtId="0" fontId="0" fillId="13" borderId="36" pivotButton="0" quotePrefix="0" xfId="0"/>
    <xf numFmtId="0" fontId="0" fillId="14" borderId="36" pivotButton="0" quotePrefix="0" xfId="0"/>
    <xf numFmtId="165" fontId="26" fillId="4" borderId="25" applyAlignment="1" pivotButton="0" quotePrefix="0" xfId="0">
      <alignment horizontal="left" vertical="center" shrinkToFit="1"/>
    </xf>
    <xf numFmtId="0" fontId="0" fillId="15" borderId="36" pivotButton="0" quotePrefix="0" xfId="0"/>
    <xf numFmtId="0" fontId="0" fillId="16" borderId="36" pivotButton="0" quotePrefix="0" xfId="0"/>
    <xf numFmtId="9" fontId="26" fillId="4" borderId="25" applyAlignment="1" pivotButton="0" quotePrefix="0" xfId="0">
      <alignment horizontal="left" vertical="center" shrinkToFit="1"/>
    </xf>
    <xf numFmtId="0" fontId="0" fillId="7" borderId="9" pivotButton="0" quotePrefix="0" xfId="0"/>
    <xf numFmtId="0" fontId="0" fillId="4" borderId="33" pivotButton="0" quotePrefix="0" xfId="0"/>
    <xf numFmtId="0" fontId="0" fillId="4" borderId="34" pivotButton="0" quotePrefix="0" xfId="0"/>
    <xf numFmtId="0" fontId="0" fillId="4" borderId="35" pivotButton="0" quotePrefix="0" xfId="0"/>
    <xf numFmtId="0" fontId="0" fillId="7" borderId="38" pivotButton="0" quotePrefix="0" xfId="0"/>
    <xf numFmtId="0" fontId="0" fillId="7" borderId="39" pivotButton="0" quotePrefix="0" xfId="0"/>
    <xf numFmtId="0" fontId="0" fillId="7" borderId="40" pivotButton="0" quotePrefix="0" xfId="0"/>
    <xf numFmtId="174" fontId="27" fillId="7" borderId="25" applyAlignment="1" pivotButton="0" quotePrefix="0" xfId="0">
      <alignment horizontal="left" vertical="center" shrinkToFit="1"/>
    </xf>
    <xf numFmtId="172" fontId="28" fillId="7" borderId="25" applyAlignment="1" pivotButton="0" quotePrefix="0" xfId="0">
      <alignment horizontal="left" vertical="center" shrinkToFit="1"/>
    </xf>
    <xf numFmtId="1" fontId="27" fillId="7" borderId="25" applyAlignment="1" pivotButton="0" quotePrefix="0" xfId="0">
      <alignment horizontal="left" vertical="center" shrinkToFit="1"/>
    </xf>
    <xf numFmtId="9" fontId="27" fillId="7" borderId="25" applyAlignment="1" pivotButton="0" quotePrefix="0" xfId="0">
      <alignment horizontal="left" vertical="center" shrinkToFit="1"/>
    </xf>
    <xf numFmtId="177" fontId="18" fillId="7" borderId="25" applyAlignment="1" pivotButton="0" quotePrefix="0" xfId="0">
      <alignment horizontal="left" vertical="center" shrinkToFit="1"/>
    </xf>
    <xf numFmtId="179" fontId="18" fillId="7" borderId="25" applyAlignment="1" pivotButton="0" quotePrefix="0" xfId="0">
      <alignment horizontal="left" vertical="center" shrinkToFit="1"/>
    </xf>
    <xf numFmtId="181" fontId="18" fillId="7" borderId="25" applyAlignment="1" pivotButton="0" quotePrefix="0" xfId="0">
      <alignment horizontal="left" vertical="center" shrinkToFit="1"/>
    </xf>
    <xf numFmtId="183" fontId="18" fillId="7" borderId="25" applyAlignment="1" pivotButton="0" quotePrefix="0" xfId="0">
      <alignment horizontal="left" vertical="center" shrinkToFit="1"/>
    </xf>
    <xf numFmtId="184" fontId="18" fillId="7" borderId="25" applyAlignment="1" pivotButton="0" quotePrefix="0" xfId="0">
      <alignment horizontal="left" vertical="center" shrinkToFit="1"/>
    </xf>
    <xf numFmtId="178" fontId="18" fillId="7" borderId="25" applyAlignment="1" pivotButton="0" quotePrefix="0" xfId="0">
      <alignment horizontal="left" vertical="center" shrinkToFit="1"/>
    </xf>
    <xf numFmtId="180" fontId="18" fillId="7" borderId="25" applyAlignment="1" pivotButton="0" quotePrefix="0" xfId="0">
      <alignment horizontal="left" vertical="center" shrinkToFit="1"/>
    </xf>
    <xf numFmtId="182" fontId="18" fillId="7" borderId="25" applyAlignment="1" pivotButton="0" quotePrefix="0" xfId="0">
      <alignment horizontal="left" vertical="center" shrinkToFit="1"/>
    </xf>
    <xf numFmtId="0" fontId="18" fillId="7" borderId="25" applyAlignment="1" pivotButton="0" quotePrefix="0" xfId="0">
      <alignment horizontal="left" vertical="center" shrinkToFit="1"/>
    </xf>
    <xf numFmtId="185" fontId="18" fillId="7" borderId="25" applyAlignment="1" pivotButton="0" quotePrefix="0" xfId="0">
      <alignment horizontal="left" vertical="center"/>
    </xf>
    <xf numFmtId="186" fontId="18" fillId="7" borderId="25" applyAlignment="1" pivotButton="0" quotePrefix="0" xfId="0">
      <alignment horizontal="right" vertical="center"/>
    </xf>
    <xf numFmtId="0" fontId="21" fillId="7" borderId="25" applyAlignment="1" pivotButton="0" quotePrefix="0" xfId="0">
      <alignment horizontal="right" vertical="center"/>
    </xf>
    <xf numFmtId="0" fontId="30" fillId="7" borderId="25" applyAlignment="1" pivotButton="0" quotePrefix="0" xfId="0">
      <alignment horizontal="left" vertical="center"/>
    </xf>
    <xf numFmtId="3" fontId="8" fillId="7" borderId="25" applyAlignment="1" pivotButton="0" quotePrefix="0" xfId="0">
      <alignment horizontal="right" vertical="center"/>
    </xf>
    <xf numFmtId="9" fontId="8" fillId="7" borderId="25" applyAlignment="1" pivotButton="0" quotePrefix="0" xfId="0">
      <alignment horizontal="right" vertical="center"/>
    </xf>
    <xf numFmtId="174" fontId="29" fillId="7" borderId="25" applyAlignment="1" pivotButton="0" quotePrefix="0" xfId="0">
      <alignment horizontal="center" vertical="bottom"/>
    </xf>
    <xf numFmtId="0" fontId="8" fillId="7" borderId="25" applyAlignment="1" pivotButton="0" quotePrefix="0" xfId="0">
      <alignment horizontal="center" vertical="top"/>
    </xf>
    <xf numFmtId="0" fontId="0" fillId="17" borderId="36" pivotButton="0" quotePrefix="0" xfId="0"/>
    <xf numFmtId="0" fontId="3" fillId="4" borderId="0" applyAlignment="1" pivotButton="0" quotePrefix="0" xfId="0">
      <alignment horizontal="center" vertical="center" wrapText="1"/>
    </xf>
    <xf numFmtId="1" fontId="8" fillId="6" borderId="0" applyAlignment="1" pivotButton="0" quotePrefix="0" xfId="0">
      <alignment horizontal="center" vertical="center"/>
    </xf>
    <xf numFmtId="0" fontId="31" fillId="6" borderId="0" applyAlignment="1" pivotButton="0" quotePrefix="0" xfId="0">
      <alignment horizontal="left" vertical="center" indent="1"/>
    </xf>
    <xf numFmtId="0" fontId="30" fillId="6" borderId="0" applyAlignment="1" pivotButton="0" quotePrefix="0" xfId="0">
      <alignment horizontal="left" vertical="center" indent="1"/>
    </xf>
    <xf numFmtId="0" fontId="30" fillId="6" borderId="0" applyAlignment="1" pivotButton="0" quotePrefix="0" xfId="0">
      <alignment horizontal="center" vertical="center" shrinkToFit="1"/>
    </xf>
    <xf numFmtId="3" fontId="30" fillId="6" borderId="0" applyAlignment="1" pivotButton="0" quotePrefix="0" xfId="0">
      <alignment horizontal="right" vertical="center" indent="1"/>
    </xf>
    <xf numFmtId="169" fontId="30" fillId="6" borderId="0" applyAlignment="1" pivotButton="0" quotePrefix="0" xfId="0">
      <alignment horizontal="right" vertical="center" indent="1"/>
    </xf>
    <xf numFmtId="9" fontId="30" fillId="6" borderId="0" applyAlignment="1" pivotButton="0" quotePrefix="0" xfId="0">
      <alignment horizontal="right" vertical="center" indent="1"/>
    </xf>
    <xf numFmtId="165" fontId="30" fillId="6" borderId="0" applyAlignment="1" pivotButton="0" quotePrefix="0" xfId="0">
      <alignment horizontal="center" vertical="center"/>
    </xf>
    <xf numFmtId="0" fontId="32" fillId="6" borderId="0" applyAlignment="1" pivotButton="0" quotePrefix="0" xfId="0">
      <alignment horizontal="left" vertical="center"/>
    </xf>
    <xf numFmtId="0" fontId="33" fillId="6" borderId="0" applyAlignment="1" pivotButton="0" quotePrefix="0" xfId="0">
      <alignment horizontal="left" vertical="center"/>
    </xf>
    <xf numFmtId="0" fontId="34" fillId="8" borderId="14" applyAlignment="1" pivotButton="0" quotePrefix="0" xfId="0">
      <alignment horizontal="center" vertical="center"/>
    </xf>
    <xf numFmtId="174" fontId="35" fillId="7" borderId="5" applyAlignment="1" pivotButton="0" quotePrefix="0" xfId="0">
      <alignment horizontal="left" vertical="center"/>
    </xf>
    <xf numFmtId="187" fontId="35" fillId="7" borderId="5" applyAlignment="1" pivotButton="0" quotePrefix="0" xfId="0">
      <alignment horizontal="left" vertical="center"/>
    </xf>
    <xf numFmtId="188" fontId="12" fillId="7" borderId="5" applyAlignment="1" pivotButton="0" quotePrefix="0" xfId="0">
      <alignment horizontal="right" vertical="center"/>
    </xf>
    <xf numFmtId="0" fontId="14" fillId="7" borderId="8" applyAlignment="1" pivotButton="0" quotePrefix="0" xfId="0">
      <alignment horizontal="right" vertical="top"/>
    </xf>
    <xf numFmtId="195" fontId="27" fillId="7" borderId="25" applyAlignment="1" pivotButton="0" quotePrefix="0" xfId="0">
      <alignment horizontal="left" vertical="center" shrinkToFit="1"/>
    </xf>
    <xf numFmtId="189" fontId="18" fillId="7" borderId="25" applyAlignment="1" pivotButton="0" quotePrefix="0" xfId="0">
      <alignment horizontal="left" vertical="center" shrinkToFit="1"/>
    </xf>
    <xf numFmtId="191" fontId="18" fillId="7" borderId="25" applyAlignment="1" pivotButton="0" quotePrefix="0" xfId="0">
      <alignment horizontal="left" vertical="center" shrinkToFit="1"/>
    </xf>
    <xf numFmtId="193" fontId="18" fillId="7" borderId="25" applyAlignment="1" pivotButton="0" quotePrefix="0" xfId="0">
      <alignment horizontal="left" vertical="center" shrinkToFit="1"/>
    </xf>
    <xf numFmtId="196" fontId="18" fillId="7" borderId="25" applyAlignment="1" pivotButton="0" quotePrefix="0" xfId="0">
      <alignment horizontal="left" vertical="center" shrinkToFit="1"/>
    </xf>
    <xf numFmtId="198" fontId="18" fillId="7" borderId="25" applyAlignment="1" pivotButton="0" quotePrefix="0" xfId="0">
      <alignment horizontal="left" vertical="center" shrinkToFit="1"/>
    </xf>
    <xf numFmtId="190" fontId="18" fillId="7" borderId="25" applyAlignment="1" pivotButton="0" quotePrefix="0" xfId="0">
      <alignment horizontal="left" vertical="center" shrinkToFit="1"/>
    </xf>
    <xf numFmtId="192" fontId="18" fillId="7" borderId="25" applyAlignment="1" pivotButton="0" quotePrefix="0" xfId="0">
      <alignment horizontal="left" vertical="center" shrinkToFit="1"/>
    </xf>
    <xf numFmtId="194" fontId="18" fillId="7" borderId="25" applyAlignment="1" pivotButton="0" quotePrefix="0" xfId="0">
      <alignment horizontal="left" vertical="center" shrinkToFit="1"/>
    </xf>
    <xf numFmtId="197" fontId="18" fillId="7" borderId="25" applyAlignment="1" pivotButton="0" quotePrefix="0" xfId="0">
      <alignment horizontal="left" vertical="center" shrinkToFit="1"/>
    </xf>
    <xf numFmtId="0" fontId="0" fillId="18" borderId="36" pivotButton="0" quotePrefix="0" xfId="0"/>
    <xf numFmtId="0" fontId="36" fillId="7" borderId="25" applyAlignment="1" pivotButton="0" quotePrefix="0" xfId="0">
      <alignment horizontal="left" vertical="center"/>
    </xf>
    <xf numFmtId="0" fontId="0" fillId="19" borderId="36" pivotButton="0" quotePrefix="0" xfId="0"/>
    <xf numFmtId="0" fontId="0" fillId="7" borderId="41" pivotButton="0" quotePrefix="0" xfId="0"/>
    <xf numFmtId="0" fontId="21" fillId="7" borderId="22" applyAlignment="1" pivotButton="0" quotePrefix="0" xfId="0">
      <alignment horizontal="left" vertical="center"/>
    </xf>
    <xf numFmtId="199" fontId="37" fillId="7" borderId="22" applyAlignment="1" pivotButton="0" quotePrefix="0" xfId="0">
      <alignment horizontal="right" vertical="center"/>
    </xf>
    <xf numFmtId="3" fontId="30" fillId="7" borderId="25" applyAlignment="1" pivotButton="0" quotePrefix="0" xfId="0">
      <alignment horizontal="right" vertical="center"/>
    </xf>
    <xf numFmtId="0" fontId="31" fillId="7" borderId="5" applyAlignment="1" pivotButton="0" quotePrefix="0" xfId="0">
      <alignment horizontal="left" vertical="center"/>
    </xf>
    <xf numFmtId="0" fontId="0" fillId="0" borderId="5" pivotButton="0" quotePrefix="0" xfId="0"/>
    <xf numFmtId="3" fontId="31" fillId="7" borderId="5" applyAlignment="1" pivotButton="0" quotePrefix="0" xfId="0">
      <alignment horizontal="right" vertical="center"/>
    </xf>
    <xf numFmtId="200" fontId="30" fillId="7" borderId="25" applyAlignment="1" pivotButton="0" quotePrefix="0" xfId="0">
      <alignment horizontal="right" vertical="center"/>
    </xf>
    <xf numFmtId="0" fontId="31" fillId="7" borderId="25" applyAlignment="1" pivotButton="0" quotePrefix="0" xfId="0">
      <alignment horizontal="left" vertical="center"/>
    </xf>
    <xf numFmtId="9" fontId="31" fillId="7" borderId="25" applyAlignment="1" pivotButton="0" quotePrefix="0" xfId="0">
      <alignment horizontal="right" vertical="center"/>
    </xf>
    <xf numFmtId="201" fontId="30" fillId="6" borderId="0" applyAlignment="1" pivotButton="0" quotePrefix="0" xfId="0">
      <alignment horizontal="center" vertical="center"/>
    </xf>
    <xf numFmtId="0" fontId="33" fillId="7" borderId="25" applyAlignment="1" pivotButton="0" quotePrefix="0" xfId="0">
      <alignment horizontal="left" vertical="center"/>
    </xf>
    <xf numFmtId="0" fontId="0" fillId="7" borderId="22" pivotButton="0" quotePrefix="0" xfId="0"/>
    <xf numFmtId="199" fontId="37" fillId="7" borderId="22" applyAlignment="1" pivotButton="0" quotePrefix="0" xfId="0">
      <alignment horizontal="center" vertical="center"/>
    </xf>
    <xf numFmtId="0" fontId="30" fillId="7" borderId="25" applyAlignment="1" pivotButton="0" quotePrefix="0" xfId="0">
      <alignment horizontal="left" vertical="center" shrinkToFit="1"/>
    </xf>
    <xf numFmtId="0" fontId="38" fillId="7" borderId="25" applyAlignment="1" pivotButton="0" quotePrefix="0" xfId="0">
      <alignment horizontal="center" vertical="center"/>
    </xf>
    <xf numFmtId="9" fontId="31" fillId="7" borderId="25" applyAlignment="1" pivotButton="0" quotePrefix="0" xfId="0">
      <alignment horizontal="center" vertical="center"/>
    </xf>
    <xf numFmtId="0" fontId="39" fillId="7" borderId="5" applyAlignment="1" pivotButton="0" quotePrefix="0" xfId="0">
      <alignment horizontal="left" vertical="center"/>
    </xf>
    <xf numFmtId="202" fontId="18" fillId="7" borderId="5" applyAlignment="1" pivotButton="0" quotePrefix="0" xfId="0">
      <alignment horizontal="center" vertical="center"/>
    </xf>
    <xf numFmtId="0" fontId="39" fillId="7" borderId="25" applyAlignment="1" pivotButton="0" quotePrefix="0" xfId="0">
      <alignment horizontal="left" vertical="center"/>
    </xf>
    <xf numFmtId="202" fontId="18" fillId="7" borderId="25" applyAlignment="1" pivotButton="0" quotePrefix="0" xfId="0">
      <alignment horizontal="center" vertical="center"/>
    </xf>
    <xf numFmtId="0" fontId="40" fillId="6" borderId="0" applyAlignment="1" pivotButton="0" quotePrefix="0" xfId="0">
      <alignment horizontal="left" vertical="center"/>
    </xf>
    <xf numFmtId="0" fontId="7" fillId="0" borderId="0" pivotButton="0" quotePrefix="0" xfId="0"/>
    <xf numFmtId="0" fontId="2" fillId="0" borderId="0" pivotButton="0" quotePrefix="0" xfId="0"/>
    <xf numFmtId="165" fontId="8" fillId="0" borderId="0" pivotButton="0" quotePrefix="0" xfId="0"/>
    <xf numFmtId="0" fontId="3" fillId="4" borderId="0" applyAlignment="1" pivotButton="0" quotePrefix="0" xfId="0">
      <alignment horizontal="center" vertical="center" wrapText="1"/>
    </xf>
    <xf numFmtId="167" fontId="0" fillId="0" borderId="0" pivotButton="0" quotePrefix="0" xfId="0"/>
    <xf numFmtId="0" fontId="3" fillId="4" borderId="0" pivotButton="0" quotePrefix="0" xfId="0"/>
    <xf numFmtId="170" fontId="3" fillId="4" borderId="0" pivotButton="0" quotePrefix="0" xfId="0"/>
    <xf numFmtId="170" fontId="3" fillId="2" borderId="0" pivotButton="0" quotePrefix="0" xfId="0"/>
    <xf numFmtId="165" fontId="0" fillId="0" borderId="0" pivotButton="0" quotePrefix="0" xfId="0"/>
    <xf numFmtId="166" fontId="0" fillId="0" borderId="0" pivotButton="0" quotePrefix="0" xfId="0"/>
    <xf numFmtId="168" fontId="0" fillId="0" borderId="0" pivotButton="0" quotePrefix="0" xfId="0"/>
    <xf numFmtId="169" fontId="0" fillId="0" borderId="0" pivotButton="0" quotePrefix="0" xfId="0"/>
    <xf numFmtId="170" fontId="0" fillId="0" borderId="0" pivotButton="0" quotePrefix="0" xfId="0"/>
    <xf numFmtId="9" fontId="0" fillId="0" borderId="0" pivotButton="0" quotePrefix="0" xfId="0"/>
    <xf numFmtId="1" fontId="0" fillId="0" borderId="0" pivotButton="0" quotePrefix="0" xfId="0"/>
    <xf numFmtId="3" fontId="0" fillId="0" borderId="0" pivotButton="0" quotePrefix="0" xfId="0"/>
  </cellXfs>
  <cellStyles count="1">
    <cellStyle name="Normal" xfId="0" builtinId="0" hidden="0"/>
  </cellStyles>
  <dxfs count="13">
    <dxf>
      <fill>
        <patternFill patternType="solid">
          <fgColor rgb="00FDE2E1"/>
          <bgColor rgb="00FDE2E1"/>
        </patternFill>
      </fill>
    </dxf>
    <dxf>
      <fill>
        <patternFill patternType="solid">
          <fgColor rgb="00FFF1CC"/>
          <bgColor rgb="00FFF1CC"/>
        </patternFill>
      </fill>
    </dxf>
    <dxf>
      <font>
        <b val="1"/>
        <color rgb="00B42318"/>
      </font>
      <fill>
        <patternFill patternType="solid">
          <fgColor rgb="00FDE2E1"/>
          <bgColor rgb="00FDE2E1"/>
        </patternFill>
      </fill>
    </dxf>
    <dxf>
      <fill>
        <patternFill patternType="solid">
          <fgColor rgb="00FFFFFF"/>
          <bgColor rgb="00FFFFFF"/>
        </patternFill>
      </fill>
    </dxf>
    <dxf>
      <fill>
        <patternFill patternType="solid">
          <fgColor rgb="00F5F7FA"/>
          <bgColor rgb="00F5F7FA"/>
        </patternFill>
      </fill>
      <border>
        <bottom style="thin">
          <color rgb="00E5E7EB"/>
        </bottom>
      </border>
    </dxf>
    <dxf>
      <fill>
        <patternFill patternType="solid">
          <fgColor rgb="00FFFFFF"/>
          <bgColor rgb="00FFFFFF"/>
        </patternFill>
      </fill>
      <border>
        <bottom style="thin">
          <color rgb="00E5E7EB"/>
        </bottom>
      </border>
    </dxf>
    <dxf>
      <font>
        <b val="1"/>
        <color rgb="00B42318"/>
      </font>
    </dxf>
    <dxf>
      <font>
        <color rgb="00B42318"/>
      </font>
    </dxf>
    <dxf>
      <font>
        <color rgb="001E7B34"/>
      </font>
    </dxf>
    <dxf>
      <font>
        <b val="1"/>
        <color rgb="00B42318"/>
      </font>
      <fill>
        <patternFill patternType="solid">
          <fgColor rgb="00F8D7D7"/>
          <bgColor rgb="00F8D7D7"/>
        </patternFill>
      </fill>
    </dxf>
    <dxf>
      <font>
        <b val="1"/>
        <color rgb="008A5A00"/>
      </font>
      <fill>
        <patternFill patternType="solid">
          <fgColor rgb="00FFF1CC"/>
          <bgColor rgb="00FFF1CC"/>
        </patternFill>
      </fill>
    </dxf>
    <dxf>
      <font>
        <b val="1"/>
        <color rgb="001E7B34"/>
      </font>
      <fill>
        <patternFill patternType="solid">
          <fgColor rgb="00E3F4E8"/>
          <bgColor rgb="00E3F4E8"/>
        </patternFill>
      </fill>
    </dxf>
    <dxf>
      <font>
        <b val="1"/>
        <color rgb="002A78D6"/>
      </font>
      <fill>
        <patternFill patternType="solid">
          <fgColor rgb="00EAF2FD"/>
          <bgColor rgb="00EAF2F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roundedCorners val="0"/>
  <chart>
    <plotArea>
      <barChart>
        <barDir val="col"/>
        <grouping val="stacked"/>
        <ser>
          <idx val="0"/>
          <order val="0"/>
          <tx>
            <strRef>
              <f>Calculs!$AT$4</f>
            </strRef>
          </tx>
          <spPr>
            <a:solidFill xmlns:a="http://schemas.openxmlformats.org/drawingml/2006/main">
              <a:srgbClr val="2A78D6"/>
            </a:solidFill>
            <a:ln xmlns:a="http://schemas.openxmlformats.org/drawingml/2006/main" w="9525">
              <a:solidFill>
                <a:srgbClr val="FFFFFF"/>
              </a:solidFill>
              <a:prstDash val="solid"/>
            </a:ln>
          </spPr>
          <cat>
            <numRef>
              <f>'Calculs'!$AW$3:$BH$3</f>
            </numRef>
          </cat>
          <val>
            <numRef>
              <f>'Calculs'!$AW$4:$BH$4</f>
            </numRef>
          </val>
        </ser>
        <ser>
          <idx val="1"/>
          <order val="1"/>
          <tx>
            <strRef>
              <f>Calculs!$AT$5</f>
            </strRef>
          </tx>
          <spPr>
            <a:solidFill xmlns:a="http://schemas.openxmlformats.org/drawingml/2006/main">
              <a:srgbClr val="EB6834"/>
            </a:solidFill>
            <a:ln xmlns:a="http://schemas.openxmlformats.org/drawingml/2006/main" w="9525">
              <a:solidFill>
                <a:srgbClr val="FFFFFF"/>
              </a:solidFill>
              <a:prstDash val="solid"/>
            </a:ln>
          </spPr>
          <cat>
            <numRef>
              <f>'Calculs'!$AW$3:$BH$3</f>
            </numRef>
          </cat>
          <val>
            <numRef>
              <f>'Calculs'!$AW$5:$BH$5</f>
            </numRef>
          </val>
        </ser>
        <ser>
          <idx val="2"/>
          <order val="2"/>
          <tx>
            <strRef>
              <f>Calculs!$AT$6</f>
            </strRef>
          </tx>
          <spPr>
            <a:solidFill xmlns:a="http://schemas.openxmlformats.org/drawingml/2006/main">
              <a:srgbClr val="1BAF7A"/>
            </a:solidFill>
            <a:ln xmlns:a="http://schemas.openxmlformats.org/drawingml/2006/main" w="9525">
              <a:solidFill>
                <a:srgbClr val="FFFFFF"/>
              </a:solidFill>
              <a:prstDash val="solid"/>
            </a:ln>
          </spPr>
          <cat>
            <numRef>
              <f>'Calculs'!$AW$3:$BH$3</f>
            </numRef>
          </cat>
          <val>
            <numRef>
              <f>'Calculs'!$AW$6:$BH$6</f>
            </numRef>
          </val>
        </ser>
        <ser>
          <idx val="3"/>
          <order val="3"/>
          <tx>
            <strRef>
              <f>Calculs!$AT$7</f>
            </strRef>
          </tx>
          <spPr>
            <a:solidFill xmlns:a="http://schemas.openxmlformats.org/drawingml/2006/main">
              <a:srgbClr val="EDA100"/>
            </a:solidFill>
            <a:ln xmlns:a="http://schemas.openxmlformats.org/drawingml/2006/main" w="9525">
              <a:solidFill>
                <a:srgbClr val="FFFFFF"/>
              </a:solidFill>
              <a:prstDash val="solid"/>
            </a:ln>
          </spPr>
          <cat>
            <numRef>
              <f>'Calculs'!$AW$3:$BH$3</f>
            </numRef>
          </cat>
          <val>
            <numRef>
              <f>'Calculs'!$AW$7:$BH$7</f>
            </numRef>
          </val>
        </ser>
        <ser>
          <idx val="4"/>
          <order val="4"/>
          <tx>
            <strRef>
              <f>Calculs!$AT$8</f>
            </strRef>
          </tx>
          <spPr>
            <a:solidFill xmlns:a="http://schemas.openxmlformats.org/drawingml/2006/main">
              <a:srgbClr val="E87BA4"/>
            </a:solidFill>
            <a:ln xmlns:a="http://schemas.openxmlformats.org/drawingml/2006/main" w="9525">
              <a:solidFill>
                <a:srgbClr val="FFFFFF"/>
              </a:solidFill>
              <a:prstDash val="solid"/>
            </a:ln>
          </spPr>
          <cat>
            <numRef>
              <f>'Calculs'!$AW$3:$BH$3</f>
            </numRef>
          </cat>
          <val>
            <numRef>
              <f>'Calculs'!$AW$8:$BH$8</f>
            </numRef>
          </val>
        </ser>
        <ser>
          <idx val="5"/>
          <order val="5"/>
          <tx>
            <strRef>
              <f>Calculs!$AT$9</f>
            </strRef>
          </tx>
          <spPr>
            <a:solidFill xmlns:a="http://schemas.openxmlformats.org/drawingml/2006/main">
              <a:srgbClr val="008300"/>
            </a:solidFill>
            <a:ln xmlns:a="http://schemas.openxmlformats.org/drawingml/2006/main" w="9525">
              <a:solidFill>
                <a:srgbClr val="FFFFFF"/>
              </a:solidFill>
              <a:prstDash val="solid"/>
            </a:ln>
          </spPr>
          <cat>
            <numRef>
              <f>'Calculs'!$AW$3:$BH$3</f>
            </numRef>
          </cat>
          <val>
            <numRef>
              <f>'Calculs'!$AW$9:$BH$9</f>
            </numRef>
          </val>
        </ser>
        <ser>
          <idx val="6"/>
          <order val="6"/>
          <tx>
            <strRef>
              <f>Calculs!$AT$10</f>
            </strRef>
          </tx>
          <spPr>
            <a:solidFill xmlns:a="http://schemas.openxmlformats.org/drawingml/2006/main">
              <a:srgbClr val="6250D6"/>
            </a:solidFill>
            <a:ln xmlns:a="http://schemas.openxmlformats.org/drawingml/2006/main" w="9525">
              <a:solidFill>
                <a:srgbClr val="FFFFFF"/>
              </a:solidFill>
              <a:prstDash val="solid"/>
            </a:ln>
          </spPr>
          <cat>
            <numRef>
              <f>'Calculs'!$AW$3:$BH$3</f>
            </numRef>
          </cat>
          <val>
            <numRef>
              <f>'Calculs'!$AW$10:$BH$10</f>
            </numRef>
          </val>
        </ser>
        <ser>
          <idx val="7"/>
          <order val="7"/>
          <tx>
            <strRef>
              <f>Calculs!$AT$11</f>
            </strRef>
          </tx>
          <spPr>
            <a:solidFill xmlns:a="http://schemas.openxmlformats.org/drawingml/2006/main">
              <a:srgbClr val="E34948"/>
            </a:solidFill>
            <a:ln xmlns:a="http://schemas.openxmlformats.org/drawingml/2006/main" w="9525">
              <a:solidFill>
                <a:srgbClr val="FFFFFF"/>
              </a:solidFill>
              <a:prstDash val="solid"/>
            </a:ln>
          </spPr>
          <cat>
            <numRef>
              <f>'Calculs'!$AW$3:$BH$3</f>
            </numRef>
          </cat>
          <val>
            <numRef>
              <f>'Calculs'!$AW$11:$BH$11</f>
            </numRef>
          </val>
        </ser>
        <ser>
          <idx val="8"/>
          <order val="8"/>
          <tx>
            <strRef>
              <f>Calculs!$AT$12</f>
            </strRef>
          </tx>
          <spPr>
            <a:solidFill xmlns:a="http://schemas.openxmlformats.org/drawingml/2006/main">
              <a:srgbClr val="9CA3AF"/>
            </a:solidFill>
            <a:ln xmlns:a="http://schemas.openxmlformats.org/drawingml/2006/main" w="9525">
              <a:solidFill>
                <a:srgbClr val="FFFFFF"/>
              </a:solidFill>
              <a:prstDash val="solid"/>
            </a:ln>
          </spPr>
          <cat>
            <numRef>
              <f>'Calculs'!$AW$3:$BH$3</f>
            </numRef>
          </cat>
          <val>
            <numRef>
              <f>'Calculs'!$AW$12:$BH$12</f>
            </numRef>
          </val>
        </ser>
        <gapWidth val="55"/>
        <overlap val="100"/>
        <axId val="10"/>
        <axId val="100"/>
      </barChart>
      <lineChart>
        <grouping val="standard"/>
        <ser>
          <idx val="9"/>
          <order val="9"/>
          <tx>
            <strRef>
              <f>Calculs!$AT$13</f>
            </strRef>
          </tx>
          <spPr>
            <a:ln xmlns:a="http://schemas.openxmlformats.org/drawingml/2006/main">
              <a:noFill/>
              <a:prstDash val="solid"/>
            </a:ln>
          </spPr>
          <marker>
            <symbol val="none"/>
            <spPr>
              <a:ln xmlns:a="http://schemas.openxmlformats.org/drawingml/2006/main">
                <a:prstDash val="solid"/>
              </a:ln>
            </spPr>
          </marker>
          <dLbls>
            <numFmt formatCode="#,##0;;;"/>
            <txPr>
              <a:bodyPr xmlns:a="http://schemas.openxmlformats.org/drawingml/2006/main"/>
              <a:p xmlns:a="http://schemas.openxmlformats.org/drawingml/2006/main">
                <a:pPr>
                  <a:defRPr sz="800" b="1">
                    <a:solidFill>
                      <a:srgbClr val="374151"/>
                    </a:solidFill>
                    <a:latin typeface="Arial"/>
                  </a:defRPr>
                </a:pPr>
                <a:r>
                  <a:t/>
                </a:r>
                <a:endParaRPr sz="800" b="1">
                  <a:solidFill>
                    <a:srgbClr val="374151"/>
                  </a:solidFill>
                  <a:latin typeface="Arial"/>
                </a:endParaRPr>
              </a:p>
            </txPr>
            <dLblPos val="t"/>
            <showLegendKey val="0"/>
            <showVal val="1"/>
            <showCatName val="0"/>
            <showSerName val="0"/>
            <showPercent val="0"/>
            <showBubbleSize val="0"/>
            <showLeaderLines val="0"/>
          </dLbls>
          <cat>
            <numRef>
              <f>'Calculs'!$AW$3:$BH$3</f>
            </numRef>
          </cat>
          <val>
            <numRef>
              <f>'Calculs'!$AW$13:$BH$13</f>
            </numRef>
          </val>
          <smooth val="0"/>
        </ser>
        <axId val="10"/>
        <axId val="100"/>
      </lineChart>
      <catAx>
        <axId val="10"/>
        <scaling>
          <orientation val="minMax"/>
        </scaling>
        <delete val="0"/>
        <axPos val="l"/>
        <numFmt formatCode="mmm yy" sourceLinked="0"/>
        <majorTickMark val="none"/>
        <minorTickMark val="none"/>
        <spPr>
          <a:ln xmlns:a="http://schemas.openxmlformats.org/drawingml/2006/main" w="9525">
            <a:solidFill>
              <a:srgbClr val="BFC6D1"/>
            </a:solidFill>
            <a:prstDash val="solid"/>
          </a:ln>
        </spPr>
        <txPr>
          <a:bodyPr xmlns:a="http://schemas.openxmlformats.org/drawingml/2006/main"/>
          <a:p xmlns:a="http://schemas.openxmlformats.org/drawingml/2006/main">
            <a:pPr>
              <a:defRPr sz="800" b="0">
                <a:solidFill>
                  <a:srgbClr val="6B7280"/>
                </a:solidFill>
                <a:latin typeface="Arial"/>
              </a:defRPr>
            </a:pPr>
            <a:r>
              <a:t/>
            </a:r>
            <a:endParaRPr sz="800" b="0">
              <a:solidFill>
                <a:srgbClr val="6B7280"/>
              </a:solidFill>
              <a:latin typeface="Arial"/>
            </a:endParaRPr>
          </a:p>
        </txPr>
        <crossAx val="100"/>
        <auto val="0"/>
        <lblOffset val="100"/>
      </catAx>
      <valAx>
        <axId val="100"/>
        <scaling>
          <orientation val="minMax"/>
          <min val="0"/>
        </scaling>
        <delete val="0"/>
        <axPos val="l"/>
        <majorGridlines>
          <spPr>
            <a:ln xmlns:a="http://schemas.openxmlformats.org/drawingml/2006/main" w="6350">
              <a:solidFill>
                <a:srgbClr val="E5E7EB"/>
              </a:solidFill>
              <a:prstDash val="solid"/>
            </a:ln>
          </spPr>
        </majorGridlines>
        <numFmt formatCode="#,##0&quot; h&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B7280"/>
                </a:solidFill>
                <a:latin typeface="Arial"/>
              </a:defRPr>
            </a:pPr>
            <a:r>
              <a:t/>
            </a:r>
            <a:endParaRPr sz="800" b="0">
              <a:solidFill>
                <a:srgbClr val="6B7280"/>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noFill xmlns:a="http://schemas.openxmlformats.org/drawingml/2006/main"/>
    <a:ln xmlns:a="http://schemas.openxmlformats.org/drawingml/2006/main">
      <a:noFill/>
      <a:prstDash val="solid"/>
    </a:ln>
  </spPr>
</chartSpace>
</file>

<file path=xl/charts/chart2.xml><?xml version="1.0" encoding="utf-8"?>
<chartSpace xmlns="http://schemas.openxmlformats.org/drawingml/2006/chart">
  <roundedCorners val="0"/>
  <chart>
    <plotArea>
      <layout>
        <manualLayout>
          <layoutTarget val="inner"/>
          <xMode val="edge"/>
          <yMode val="edge"/>
          <wMode val="factor"/>
          <hMode val="factor"/>
          <x val="0.04"/>
          <y val="0.04"/>
          <w val="0.92"/>
          <h val="0.92"/>
        </manualLayout>
      </layout>
      <doughnutChart>
        <varyColors val="1"/>
        <ser>
          <idx val="0"/>
          <order val="0"/>
          <tx>
            <v>Charge (h)</v>
          </tx>
          <spPr>
            <a:ln xmlns:a="http://schemas.openxmlformats.org/drawingml/2006/main">
              <a:prstDash val="solid"/>
            </a:ln>
          </spPr>
          <dPt>
            <idx val="0"/>
            <spPr>
              <a:solidFill xmlns:a="http://schemas.openxmlformats.org/drawingml/2006/main">
                <a:srgbClr val="2A78D6"/>
              </a:solidFill>
              <a:ln xmlns:a="http://schemas.openxmlformats.org/drawingml/2006/main" w="19050">
                <a:solidFill>
                  <a:srgbClr val="FFFFFF"/>
                </a:solidFill>
                <a:prstDash val="solid"/>
              </a:ln>
            </spPr>
          </dPt>
          <dPt>
            <idx val="1"/>
            <spPr>
              <a:solidFill xmlns:a="http://schemas.openxmlformats.org/drawingml/2006/main">
                <a:srgbClr val="EB6834"/>
              </a:solidFill>
              <a:ln xmlns:a="http://schemas.openxmlformats.org/drawingml/2006/main" w="19050">
                <a:solidFill>
                  <a:srgbClr val="FFFFFF"/>
                </a:solidFill>
                <a:prstDash val="solid"/>
              </a:ln>
            </spPr>
          </dPt>
          <dPt>
            <idx val="2"/>
            <spPr>
              <a:solidFill xmlns:a="http://schemas.openxmlformats.org/drawingml/2006/main">
                <a:srgbClr val="1BAF7A"/>
              </a:solidFill>
              <a:ln xmlns:a="http://schemas.openxmlformats.org/drawingml/2006/main" w="19050">
                <a:solidFill>
                  <a:srgbClr val="FFFFFF"/>
                </a:solidFill>
                <a:prstDash val="solid"/>
              </a:ln>
            </spPr>
          </dPt>
          <dPt>
            <idx val="3"/>
            <spPr>
              <a:solidFill xmlns:a="http://schemas.openxmlformats.org/drawingml/2006/main">
                <a:srgbClr val="EDA100"/>
              </a:solidFill>
              <a:ln xmlns:a="http://schemas.openxmlformats.org/drawingml/2006/main" w="19050">
                <a:solidFill>
                  <a:srgbClr val="FFFFFF"/>
                </a:solidFill>
                <a:prstDash val="solid"/>
              </a:ln>
            </spPr>
          </dPt>
          <dPt>
            <idx val="4"/>
            <spPr>
              <a:solidFill xmlns:a="http://schemas.openxmlformats.org/drawingml/2006/main">
                <a:srgbClr val="E87BA4"/>
              </a:solidFill>
              <a:ln xmlns:a="http://schemas.openxmlformats.org/drawingml/2006/main" w="19050">
                <a:solidFill>
                  <a:srgbClr val="FFFFFF"/>
                </a:solidFill>
                <a:prstDash val="solid"/>
              </a:ln>
            </spPr>
          </dPt>
          <dPt>
            <idx val="5"/>
            <spPr>
              <a:solidFill xmlns:a="http://schemas.openxmlformats.org/drawingml/2006/main">
                <a:srgbClr val="008300"/>
              </a:solidFill>
              <a:ln xmlns:a="http://schemas.openxmlformats.org/drawingml/2006/main" w="19050">
                <a:solidFill>
                  <a:srgbClr val="FFFFFF"/>
                </a:solidFill>
                <a:prstDash val="solid"/>
              </a:ln>
            </spPr>
          </dPt>
          <dPt>
            <idx val="6"/>
            <spPr>
              <a:solidFill xmlns:a="http://schemas.openxmlformats.org/drawingml/2006/main">
                <a:srgbClr val="6250D6"/>
              </a:solidFill>
              <a:ln xmlns:a="http://schemas.openxmlformats.org/drawingml/2006/main" w="19050">
                <a:solidFill>
                  <a:srgbClr val="FFFFFF"/>
                </a:solidFill>
                <a:prstDash val="solid"/>
              </a:ln>
            </spPr>
          </dPt>
          <dPt>
            <idx val="7"/>
            <spPr>
              <a:solidFill xmlns:a="http://schemas.openxmlformats.org/drawingml/2006/main">
                <a:srgbClr val="E34948"/>
              </a:solidFill>
              <a:ln xmlns:a="http://schemas.openxmlformats.org/drawingml/2006/main" w="19050">
                <a:solidFill>
                  <a:srgbClr val="FFFFFF"/>
                </a:solidFill>
                <a:prstDash val="solid"/>
              </a:ln>
            </spPr>
          </dPt>
          <dPt>
            <idx val="8"/>
            <spPr>
              <a:solidFill xmlns:a="http://schemas.openxmlformats.org/drawingml/2006/main">
                <a:srgbClr val="9CA3AF"/>
              </a:solidFill>
              <a:ln xmlns:a="http://schemas.openxmlformats.org/drawingml/2006/main" w="19050">
                <a:solidFill>
                  <a:srgbClr val="FFFFFF"/>
                </a:solidFill>
                <a:prstDash val="solid"/>
              </a:ln>
            </spPr>
          </dPt>
          <cat>
            <numRef>
              <f>'Calculs'!$AT$4:$AT$12</f>
            </numRef>
          </cat>
          <val>
            <numRef>
              <f>'Calculs'!$AU$4:$AU$12</f>
            </numRef>
          </val>
        </ser>
        <firstSliceAng val="0"/>
        <holeSize val="62"/>
      </doughnutChart>
      <spPr>
        <a:noFill xmlns:a="http://schemas.openxmlformats.org/drawingml/2006/main"/>
        <a:ln xmlns:a="http://schemas.openxmlformats.org/drawingml/2006/main">
          <a:noFill/>
          <a:prstDash val="solid"/>
        </a:ln>
      </spPr>
    </plotArea>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roundedCorners val="0"/>
  <chart>
    <plotArea>
      <barChart>
        <barDir val="col"/>
        <grouping val="stacked"/>
        <ser>
          <idx val="0"/>
          <order val="0"/>
          <tx>
            <v>Charge fixe hors projet</v>
          </tx>
          <spPr>
            <a:solidFill xmlns:a="http://schemas.openxmlformats.org/drawingml/2006/main">
              <a:srgbClr val="B8C0CC"/>
            </a:solidFill>
            <a:ln xmlns:a="http://schemas.openxmlformats.org/drawingml/2006/main" w="9525">
              <a:solidFill>
                <a:srgbClr val="FFFFFF"/>
              </a:solidFill>
              <a:prstDash val="solid"/>
            </a:ln>
          </spPr>
          <cat>
            <numRef>
              <f>'Calculs'!$CG$4:$CG$15</f>
            </numRef>
          </cat>
          <val>
            <numRef>
              <f>'Calculs'!$CH$4:$CH$15</f>
            </numRef>
          </val>
        </ser>
        <ser>
          <idx val="1"/>
          <order val="1"/>
          <tx>
            <v>Charge projets</v>
          </tx>
          <spPr>
            <a:solidFill xmlns:a="http://schemas.openxmlformats.org/drawingml/2006/main">
              <a:srgbClr val="2A78D6"/>
            </a:solidFill>
            <a:ln xmlns:a="http://schemas.openxmlformats.org/drawingml/2006/main" w="9525">
              <a:solidFill>
                <a:srgbClr val="FFFFFF"/>
              </a:solidFill>
              <a:prstDash val="solid"/>
            </a:ln>
          </spPr>
          <cat>
            <numRef>
              <f>'Calculs'!$CG$4:$CG$15</f>
            </numRef>
          </cat>
          <val>
            <numRef>
              <f>'Calculs'!$CL$4:$CL$15</f>
            </numRef>
          </val>
        </ser>
        <ser>
          <idx val="2"/>
          <order val="2"/>
          <tx>
            <v>Dépassement de capacité</v>
          </tx>
          <spPr>
            <a:solidFill xmlns:a="http://schemas.openxmlformats.org/drawingml/2006/main">
              <a:srgbClr val="D03B3B"/>
            </a:solidFill>
            <a:ln xmlns:a="http://schemas.openxmlformats.org/drawingml/2006/main" w="9525">
              <a:solidFill>
                <a:srgbClr val="FFFFFF"/>
              </a:solidFill>
              <a:prstDash val="solid"/>
            </a:ln>
          </spPr>
          <cat>
            <numRef>
              <f>'Calculs'!$CG$4:$CG$15</f>
            </numRef>
          </cat>
          <val>
            <numRef>
              <f>'Calculs'!$CM$4:$CM$15</f>
            </numRef>
          </val>
        </ser>
        <gapWidth val="55"/>
        <overlap val="100"/>
        <axId val="10"/>
        <axId val="100"/>
      </barChart>
      <lineChart>
        <grouping val="standard"/>
        <ser>
          <idx val="3"/>
          <order val="3"/>
          <tx>
            <v>Capacité mensuelle</v>
          </tx>
          <spPr>
            <a:ln xmlns:a="http://schemas.openxmlformats.org/drawingml/2006/main" w="19050">
              <a:solidFill>
                <a:srgbClr val="1F2937"/>
              </a:solidFill>
              <a:prstDash val="dash"/>
            </a:ln>
          </spPr>
          <marker>
            <symbol val="none"/>
            <spPr>
              <a:ln xmlns:a="http://schemas.openxmlformats.org/drawingml/2006/main">
                <a:prstDash val="solid"/>
              </a:ln>
            </spPr>
          </marker>
          <cat>
            <numRef>
              <f>'Calculs'!$CG$4:$CG$15</f>
            </numRef>
          </cat>
          <val>
            <numRef>
              <f>'Calculs'!$CK$4:$CK$15</f>
            </numRef>
          </val>
          <smooth val="0"/>
        </ser>
        <axId val="10"/>
        <axId val="100"/>
      </lineChart>
      <catAx>
        <axId val="10"/>
        <scaling>
          <orientation val="minMax"/>
        </scaling>
        <delete val="0"/>
        <axPos val="l"/>
        <numFmt formatCode="mmm yy" sourceLinked="0"/>
        <majorTickMark val="none"/>
        <minorTickMark val="none"/>
        <spPr>
          <a:ln xmlns:a="http://schemas.openxmlformats.org/drawingml/2006/main" w="9525">
            <a:solidFill>
              <a:srgbClr val="BFC6D1"/>
            </a:solidFill>
            <a:prstDash val="solid"/>
          </a:ln>
        </spPr>
        <txPr>
          <a:bodyPr xmlns:a="http://schemas.openxmlformats.org/drawingml/2006/main"/>
          <a:p xmlns:a="http://schemas.openxmlformats.org/drawingml/2006/main">
            <a:pPr>
              <a:defRPr sz="800" b="0">
                <a:solidFill>
                  <a:srgbClr val="6B7280"/>
                </a:solidFill>
                <a:latin typeface="Arial"/>
              </a:defRPr>
            </a:pPr>
            <a:r>
              <a:t/>
            </a:r>
            <a:endParaRPr sz="800" b="0">
              <a:solidFill>
                <a:srgbClr val="6B7280"/>
              </a:solidFill>
              <a:latin typeface="Arial"/>
            </a:endParaRPr>
          </a:p>
        </txPr>
        <crossAx val="100"/>
        <auto val="0"/>
        <lblOffset val="100"/>
      </catAx>
      <valAx>
        <axId val="100"/>
        <scaling>
          <orientation val="minMax"/>
          <min val="0"/>
        </scaling>
        <delete val="0"/>
        <axPos val="l"/>
        <majorGridlines>
          <spPr>
            <a:ln xmlns:a="http://schemas.openxmlformats.org/drawingml/2006/main" w="6350">
              <a:solidFill>
                <a:srgbClr val="E5E7EB"/>
              </a:solidFill>
              <a:prstDash val="solid"/>
            </a:ln>
          </spPr>
        </majorGridlines>
        <numFmt formatCode="#,##0&quot; h&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B7280"/>
                </a:solidFill>
                <a:latin typeface="Arial"/>
              </a:defRPr>
            </a:pPr>
            <a:r>
              <a:t/>
            </a:r>
            <a:endParaRPr sz="800" b="0">
              <a:solidFill>
                <a:srgbClr val="6B7280"/>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noFill xmlns:a="http://schemas.openxmlformats.org/drawingml/2006/main"/>
    <a:ln xmlns:a="http://schemas.openxmlformats.org/drawingml/2006/main">
      <a:noFill/>
      <a:prstDash val="solid"/>
    </a:ln>
  </spPr>
</chartSpace>
</file>

<file path=xl/comments/comment1.xml><?xml version="1.0" encoding="utf-8"?>
<comments xmlns="http://schemas.openxmlformats.org/spreadsheetml/2006/main">
  <authors>
    <author>Plan de charge</author>
  </authors>
  <commentList>
    <comment ref="F7" authorId="0" shapeId="0">
      <text>
        <t>Exemple : temps partiel 80 % → 96 h/mois au lieu de la capacité par défaut.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twoCellAnchor>
    <from>
      <col>2</col>
      <colOff>0</colOff>
      <row>38</row>
      <rowOff>0</rowOff>
    </from>
    <to>
      <col>31</col>
      <colOff>0</colOff>
      <row>54</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34</col>
      <colOff>0</colOff>
      <row>38</row>
      <rowOff>0</rowOff>
    </from>
    <to>
      <col>47</col>
      <colOff>0</colOff>
      <row>54</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2</col>
      <colOff>0</colOff>
      <row>21</row>
      <rowOff>0</rowOff>
    </from>
    <to>
      <col>59</col>
      <colOff>0</colOff>
      <row>37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503"/>
  <sheetViews>
    <sheetView tabSelected="0" zoomScale="90"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22" customWidth="1" min="3" max="3"/>
    <col width="22" customWidth="1" min="4" max="4"/>
    <col width="20" customWidth="1" min="5" max="5"/>
    <col width="13" customWidth="1" min="6" max="6"/>
    <col width="38" customWidth="1" min="7" max="7"/>
    <col width="34" customWidth="1" min="8" max="8"/>
    <col width="34" customWidth="1" min="9" max="9"/>
    <col width="18" customWidth="1" min="10" max="10"/>
    <col width="20" customWidth="1" min="11" max="11"/>
    <col width="20" customWidth="1" min="12" max="12"/>
    <col width="13" customWidth="1" min="13" max="13"/>
    <col width="13" customWidth="1" min="14" max="14"/>
    <col width="13" customWidth="1" min="15" max="15"/>
  </cols>
  <sheetData>
    <row r="1" ht="24" customHeight="1">
      <c r="A1" s="1" t="inlineStr">
        <is>
          <t>PLAN DE CHARGE — BUREAU D'ÉTUDES</t>
        </is>
      </c>
    </row>
    <row r="2" ht="38" customHeight="1">
      <c r="A2" s="2" t="inlineStr">
        <is>
          <t>UNE LIGNE = UNE RESSOURCE sur un sous-projet : un dessinateur (K) OU une ressource externe (L), avec SES heures en M.  Pour mettre plusieurs personnes sur un sous-projet, recopier la ligne (colonnes A à J à l'identique) et changer la ressource et les heures.  Couleurs : rouge = dessinateur ET externe sur la même ligne (à corriger, seul K est compté) ; orange = aucune ressource (charge à affecter).  Insérer, supprimer ou trier des lignes est possible.  Les lignes 4 à 27 sont des EXEMPLES FICTIFS à remplacer par vos données.</t>
        </is>
      </c>
    </row>
    <row r="3" ht="48" customHeight="1">
      <c r="A3" s="3" t="inlineStr">
        <is>
          <t>Chef de projet</t>
        </is>
      </c>
      <c r="B3" s="3" t="inlineStr">
        <is>
          <t>Nom du projet</t>
        </is>
      </c>
      <c r="C3" s="3" t="inlineStr">
        <is>
          <t>Sous-projet</t>
        </is>
      </c>
      <c r="D3" s="3" t="inlineStr">
        <is>
          <t>Produit</t>
        </is>
      </c>
      <c r="E3" s="3" t="inlineStr">
        <is>
          <t>Type</t>
        </is>
      </c>
      <c r="F3" s="3" t="inlineStr">
        <is>
          <t>Date de besoin</t>
        </is>
      </c>
      <c r="G3" s="3" t="inlineStr">
        <is>
          <t>Description du projet</t>
        </is>
      </c>
      <c r="H3" s="3" t="inlineStr">
        <is>
          <t>Contraintes, spécifications, délais, budget</t>
        </is>
      </c>
      <c r="I3" s="3" t="inlineStr">
        <is>
          <t>Autres informations pertinentes / suggestions d'optimisation des ressources</t>
        </is>
      </c>
      <c r="J3" s="4" t="inlineStr">
        <is>
          <t>Coordinateur</t>
        </is>
      </c>
      <c r="K3" s="4" t="inlineStr">
        <is>
          <t>Dessinateur projeteur (interne)</t>
        </is>
      </c>
      <c r="L3" s="4" t="inlineStr">
        <is>
          <t>OU ressource externe</t>
        </is>
      </c>
      <c r="M3" s="4" t="inlineStr">
        <is>
          <t>Heures de cette ressource (h)</t>
        </is>
      </c>
      <c r="N3" s="4" t="inlineStr">
        <is>
          <t>Date de début planifiée</t>
        </is>
      </c>
      <c r="O3" s="4" t="inlineStr">
        <is>
          <t>Taux d'avancement</t>
        </is>
      </c>
    </row>
    <row r="4">
      <c r="A4" s="5" t="inlineStr">
        <is>
          <t>Julie Martin</t>
        </is>
      </c>
      <c r="B4" s="5" t="inlineStr">
        <is>
          <t>ATLAS</t>
        </is>
      </c>
      <c r="C4" s="5" t="inlineStr">
        <is>
          <t>Lot 1 – Structure</t>
        </is>
      </c>
      <c r="D4" s="5" t="inlineStr">
        <is>
          <t>Châssis principal</t>
        </is>
      </c>
      <c r="E4" s="5" t="inlineStr">
        <is>
          <t>Étude de conception</t>
        </is>
      </c>
      <c r="F4" s="6" t="n">
        <v>46477</v>
      </c>
      <c r="G4" s="7" t="inlineStr">
        <is>
          <t>Conception du châssis mécano-soudé de la nouvelle gamme</t>
        </is>
      </c>
      <c r="H4" s="7" t="inlineStr">
        <is>
          <t>Masse &lt; 450 kg ; budget étude 60 k€</t>
        </is>
      </c>
      <c r="I4" s="7" t="inlineStr">
        <is>
          <t>Mutualiser les calculs RDM avec le lot 2</t>
        </is>
      </c>
      <c r="J4" s="5" t="inlineStr">
        <is>
          <t>Marc Dubois</t>
        </is>
      </c>
      <c r="K4" s="5" t="inlineStr">
        <is>
          <t>Lucas Garnier</t>
        </is>
      </c>
      <c r="L4" s="5" t="n"/>
      <c r="M4" s="8" t="n">
        <v>300</v>
      </c>
      <c r="N4" s="6" t="n">
        <v>46328</v>
      </c>
      <c r="O4" s="9" t="n">
        <v>0.15</v>
      </c>
    </row>
    <row r="5">
      <c r="A5" s="5" t="inlineStr">
        <is>
          <t>Julie Martin</t>
        </is>
      </c>
      <c r="B5" s="5" t="inlineStr">
        <is>
          <t>ATLAS</t>
        </is>
      </c>
      <c r="C5" s="5" t="inlineStr">
        <is>
          <t>Lot 1 – Structure</t>
        </is>
      </c>
      <c r="D5" s="5" t="inlineStr">
        <is>
          <t>Châssis principal</t>
        </is>
      </c>
      <c r="E5" s="5" t="inlineStr">
        <is>
          <t>Étude de conception</t>
        </is>
      </c>
      <c r="F5" s="6" t="n">
        <v>46477</v>
      </c>
      <c r="G5" s="7" t="inlineStr">
        <is>
          <t>Conception du châssis mécano-soudé de la nouvelle gamme</t>
        </is>
      </c>
      <c r="H5" s="7" t="inlineStr">
        <is>
          <t>Masse &lt; 450 kg ; budget étude 60 k€</t>
        </is>
      </c>
      <c r="I5" s="7" t="inlineStr">
        <is>
          <t>Mutualiser les calculs RDM avec le lot 2</t>
        </is>
      </c>
      <c r="J5" s="5" t="inlineStr">
        <is>
          <t>Marc Dubois</t>
        </is>
      </c>
      <c r="K5" s="5" t="n"/>
      <c r="L5" s="5" t="inlineStr">
        <is>
          <t>Paul Girard</t>
        </is>
      </c>
      <c r="M5" s="8" t="n">
        <v>120</v>
      </c>
      <c r="N5" s="6" t="n">
        <v>46328</v>
      </c>
      <c r="O5" s="9" t="n">
        <v>0</v>
      </c>
    </row>
    <row r="6">
      <c r="A6" s="5" t="inlineStr">
        <is>
          <t>Julie Martin</t>
        </is>
      </c>
      <c r="B6" s="5" t="inlineStr">
        <is>
          <t>ATLAS</t>
        </is>
      </c>
      <c r="C6" s="5" t="inlineStr">
        <is>
          <t>Lot 2 – Carénage</t>
        </is>
      </c>
      <c r="D6" s="5" t="inlineStr">
        <is>
          <t>Capots latéraux</t>
        </is>
      </c>
      <c r="E6" s="5" t="inlineStr">
        <is>
          <t>Étude de conception</t>
        </is>
      </c>
      <c r="F6" s="6" t="n">
        <v>46535</v>
      </c>
      <c r="G6" s="7" t="inlineStr">
        <is>
          <t>Dessin des capots et de leurs fixations</t>
        </is>
      </c>
      <c r="H6" s="7" t="inlineStr">
        <is>
          <t>Matière ABS, outillage existant</t>
        </is>
      </c>
      <c r="I6" s="7" t="n"/>
      <c r="J6" s="5" t="inlineStr">
        <is>
          <t>Marc Dubois</t>
        </is>
      </c>
      <c r="K6" s="5" t="inlineStr">
        <is>
          <t>Emma Faure</t>
        </is>
      </c>
      <c r="L6" s="5" t="n"/>
      <c r="M6" s="8" t="n">
        <v>260</v>
      </c>
      <c r="N6" s="6" t="n">
        <v>46398</v>
      </c>
      <c r="O6" s="9" t="n">
        <v>0</v>
      </c>
    </row>
    <row r="7">
      <c r="A7" s="5" t="inlineStr">
        <is>
          <t>Julie Martin</t>
        </is>
      </c>
      <c r="B7" s="5" t="inlineStr">
        <is>
          <t>ATLAS</t>
        </is>
      </c>
      <c r="C7" s="5" t="inlineStr">
        <is>
          <t>Lot 3 – Intégration</t>
        </is>
      </c>
      <c r="D7" s="5" t="inlineStr">
        <is>
          <t>Faisceau électrique</t>
        </is>
      </c>
      <c r="E7" s="5" t="inlineStr">
        <is>
          <t>Industrialisation</t>
        </is>
      </c>
      <c r="F7" s="6" t="n">
        <v>46598</v>
      </c>
      <c r="G7" s="7" t="inlineStr">
        <is>
          <t>Routage des faisceaux et supports</t>
        </is>
      </c>
      <c r="H7" s="7" t="inlineStr">
        <is>
          <t>Normes NF C 15-100</t>
        </is>
      </c>
      <c r="I7" s="7" t="n"/>
      <c r="J7" s="5" t="inlineStr">
        <is>
          <t>Marc Dubois</t>
        </is>
      </c>
      <c r="K7" s="5" t="n"/>
      <c r="L7" s="5" t="inlineStr">
        <is>
          <t>Inès Morel</t>
        </is>
      </c>
      <c r="M7" s="8" t="n">
        <v>180</v>
      </c>
      <c r="N7" s="6" t="n">
        <v>46482</v>
      </c>
      <c r="O7" s="9" t="n">
        <v>0</v>
      </c>
    </row>
    <row r="8">
      <c r="A8" s="5" t="inlineStr">
        <is>
          <t>Thomas Bernard</t>
        </is>
      </c>
      <c r="B8" s="5" t="inlineStr">
        <is>
          <t>BORÉAL</t>
        </is>
      </c>
      <c r="C8" s="5" t="inlineStr">
        <is>
          <t>Phase APD</t>
        </is>
      </c>
      <c r="D8" s="5" t="inlineStr">
        <is>
          <t>Groupe froid</t>
        </is>
      </c>
      <c r="E8" s="5" t="inlineStr">
        <is>
          <t>Étude de conception</t>
        </is>
      </c>
      <c r="F8" s="6" t="n">
        <v>46416</v>
      </c>
      <c r="G8" s="7" t="inlineStr">
        <is>
          <t>Avant-projet détaillé du groupe froid</t>
        </is>
      </c>
      <c r="H8" s="7" t="inlineStr">
        <is>
          <t>Délai client ferme</t>
        </is>
      </c>
      <c r="I8" s="7" t="n"/>
      <c r="J8" s="5" t="inlineStr">
        <is>
          <t>Isabelle Roux</t>
        </is>
      </c>
      <c r="K8" s="5" t="inlineStr">
        <is>
          <t>Léa Chevalier</t>
        </is>
      </c>
      <c r="L8" s="5" t="n"/>
      <c r="M8" s="8" t="n">
        <v>310</v>
      </c>
      <c r="N8" s="6" t="n">
        <v>46300</v>
      </c>
      <c r="O8" s="9" t="n">
        <v>0.35</v>
      </c>
    </row>
    <row r="9">
      <c r="A9" s="5" t="inlineStr">
        <is>
          <t>Thomas Bernard</t>
        </is>
      </c>
      <c r="B9" s="5" t="inlineStr">
        <is>
          <t>BORÉAL</t>
        </is>
      </c>
      <c r="C9" s="5" t="inlineStr">
        <is>
          <t>Phase EXE</t>
        </is>
      </c>
      <c r="D9" s="5" t="inlineStr">
        <is>
          <t>Groupe froid</t>
        </is>
      </c>
      <c r="E9" s="5" t="inlineStr">
        <is>
          <t>Mise à jour de plans</t>
        </is>
      </c>
      <c r="F9" s="6" t="n">
        <v>46507</v>
      </c>
      <c r="G9" s="7" t="inlineStr">
        <is>
          <t>Plans d'exécution</t>
        </is>
      </c>
      <c r="H9" s="7" t="inlineStr">
        <is>
          <t>Budget 25 k€</t>
        </is>
      </c>
      <c r="I9" s="7" t="n"/>
      <c r="J9" s="5" t="inlineStr">
        <is>
          <t>Isabelle Roux</t>
        </is>
      </c>
      <c r="K9" s="5" t="inlineStr">
        <is>
          <t>Léa Chevalier</t>
        </is>
      </c>
      <c r="L9" s="5" t="n"/>
      <c r="M9" s="8" t="n">
        <v>220</v>
      </c>
      <c r="N9" s="6" t="n">
        <v>46419</v>
      </c>
      <c r="O9" s="9" t="n">
        <v>0</v>
      </c>
    </row>
    <row r="10">
      <c r="A10" s="5" t="inlineStr">
        <is>
          <t>Thomas Bernard</t>
        </is>
      </c>
      <c r="B10" s="5" t="inlineStr">
        <is>
          <t>BORÉAL</t>
        </is>
      </c>
      <c r="C10" s="5" t="inlineStr">
        <is>
          <t>Phase EXE</t>
        </is>
      </c>
      <c r="D10" s="5" t="inlineStr">
        <is>
          <t>Armoire de commande</t>
        </is>
      </c>
      <c r="E10" s="5" t="inlineStr">
        <is>
          <t>Modification</t>
        </is>
      </c>
      <c r="F10" s="6" t="n">
        <v>46461</v>
      </c>
      <c r="G10" s="7" t="inlineStr">
        <is>
          <t>Reprise de l'armoire existante</t>
        </is>
      </c>
      <c r="H10" s="7" t="n"/>
      <c r="I10" s="7" t="n"/>
      <c r="J10" s="5" t="inlineStr">
        <is>
          <t>Isabelle Roux</t>
        </is>
      </c>
      <c r="K10" s="5" t="n"/>
      <c r="L10" s="5" t="inlineStr">
        <is>
          <t>Karim Haddad</t>
        </is>
      </c>
      <c r="M10" s="8" t="n">
        <v>90</v>
      </c>
      <c r="N10" s="6" t="n">
        <v>46405</v>
      </c>
      <c r="O10" s="9" t="n">
        <v>0</v>
      </c>
    </row>
    <row r="11">
      <c r="A11" s="5" t="inlineStr">
        <is>
          <t>Sophie Lefèvre</t>
        </is>
      </c>
      <c r="B11" s="5" t="inlineStr">
        <is>
          <t>CASSIOPÉE</t>
        </is>
      </c>
      <c r="C11" s="5" t="inlineStr">
        <is>
          <t>Rétrofit ligne 2</t>
        </is>
      </c>
      <c r="D11" s="5" t="inlineStr">
        <is>
          <t>Convoyeur</t>
        </is>
      </c>
      <c r="E11" s="5" t="inlineStr">
        <is>
          <t>Modification</t>
        </is>
      </c>
      <c r="F11" s="6" t="n">
        <v>46374</v>
      </c>
      <c r="G11" s="7" t="inlineStr">
        <is>
          <t>Adaptation du convoyeur au nouveau format</t>
        </is>
      </c>
      <c r="H11" s="7" t="inlineStr">
        <is>
          <t>Arrêt de ligne limité à 2 semaines</t>
        </is>
      </c>
      <c r="I11" s="7" t="inlineStr">
        <is>
          <t>Réutiliser les plans de la ligne 1</t>
        </is>
      </c>
      <c r="J11" s="5" t="inlineStr">
        <is>
          <t>Marc Dubois</t>
        </is>
      </c>
      <c r="K11" s="5" t="inlineStr">
        <is>
          <t>Hugo Mercier</t>
        </is>
      </c>
      <c r="L11" s="5" t="n"/>
      <c r="M11" s="8" t="n">
        <v>150</v>
      </c>
      <c r="N11" s="6" t="n">
        <v>46307</v>
      </c>
      <c r="O11" s="9" t="n">
        <v>0.5</v>
      </c>
    </row>
    <row r="12">
      <c r="A12" s="5" t="inlineStr">
        <is>
          <t>Sophie Lefèvre</t>
        </is>
      </c>
      <c r="B12" s="5" t="inlineStr">
        <is>
          <t>CASSIOPÉE</t>
        </is>
      </c>
      <c r="C12" s="5" t="inlineStr">
        <is>
          <t>Rétrofit ligne 2</t>
        </is>
      </c>
      <c r="D12" s="5" t="inlineStr">
        <is>
          <t>Poste de contrôle</t>
        </is>
      </c>
      <c r="E12" s="5" t="inlineStr">
        <is>
          <t>Étude de conception</t>
        </is>
      </c>
      <c r="F12" s="6" t="n">
        <v>46444</v>
      </c>
      <c r="G12" s="7" t="inlineStr">
        <is>
          <t>Nouveau poste de contrôle vision</t>
        </is>
      </c>
      <c r="H12" s="7" t="n"/>
      <c r="I12" s="7" t="n"/>
      <c r="J12" s="5" t="inlineStr">
        <is>
          <t>Marc Dubois</t>
        </is>
      </c>
      <c r="K12" s="5" t="inlineStr">
        <is>
          <t>Emma Faure</t>
        </is>
      </c>
      <c r="L12" s="5" t="n"/>
      <c r="M12" s="8" t="n">
        <v>160</v>
      </c>
      <c r="N12" s="6" t="n">
        <v>46357</v>
      </c>
      <c r="O12" s="9" t="n">
        <v>0.05</v>
      </c>
    </row>
    <row r="13">
      <c r="A13" s="5" t="inlineStr">
        <is>
          <t>Sophie Lefèvre</t>
        </is>
      </c>
      <c r="B13" s="5" t="inlineStr">
        <is>
          <t>CASSIOPÉE</t>
        </is>
      </c>
      <c r="C13" s="5" t="inlineStr">
        <is>
          <t>Rétrofit ligne 2</t>
        </is>
      </c>
      <c r="D13" s="5" t="inlineStr">
        <is>
          <t>Poste de contrôle</t>
        </is>
      </c>
      <c r="E13" s="5" t="inlineStr">
        <is>
          <t>Étude de conception</t>
        </is>
      </c>
      <c r="F13" s="6" t="n">
        <v>46444</v>
      </c>
      <c r="G13" s="7" t="inlineStr">
        <is>
          <t>Nouveau poste de contrôle vision</t>
        </is>
      </c>
      <c r="H13" s="7" t="n"/>
      <c r="I13" s="7" t="n"/>
      <c r="J13" s="5" t="inlineStr">
        <is>
          <t>Marc Dubois</t>
        </is>
      </c>
      <c r="K13" s="5" t="n"/>
      <c r="L13" s="5" t="inlineStr">
        <is>
          <t>Paul Girard</t>
        </is>
      </c>
      <c r="M13" s="8" t="n">
        <v>80</v>
      </c>
      <c r="N13" s="6" t="n">
        <v>46357</v>
      </c>
      <c r="O13" s="9" t="n">
        <v>0</v>
      </c>
    </row>
    <row r="14">
      <c r="A14" s="5" t="inlineStr">
        <is>
          <t>Sophie Lefèvre</t>
        </is>
      </c>
      <c r="B14" s="5" t="inlineStr">
        <is>
          <t>DELTA</t>
        </is>
      </c>
      <c r="C14" s="5" t="inlineStr">
        <is>
          <t>Lot unique</t>
        </is>
      </c>
      <c r="D14" s="5" t="inlineStr">
        <is>
          <t>Bâti machine</t>
        </is>
      </c>
      <c r="E14" s="5" t="inlineStr">
        <is>
          <t>Industrialisation</t>
        </is>
      </c>
      <c r="F14" s="6" t="n">
        <v>46568</v>
      </c>
      <c r="G14" s="7" t="inlineStr">
        <is>
          <t>Industrialisation du bâti</t>
        </is>
      </c>
      <c r="H14" s="7" t="inlineStr">
        <is>
          <t>Cible coût -10 %</t>
        </is>
      </c>
      <c r="I14" s="7" t="n"/>
      <c r="J14" s="5" t="inlineStr">
        <is>
          <t>Isabelle Roux</t>
        </is>
      </c>
      <c r="K14" s="5" t="inlineStr">
        <is>
          <t>Antoine Blanc</t>
        </is>
      </c>
      <c r="L14" s="5" t="n"/>
      <c r="M14" s="8" t="n">
        <v>240</v>
      </c>
      <c r="N14" s="6" t="n">
        <v>46433</v>
      </c>
      <c r="O14" s="9" t="n">
        <v>0</v>
      </c>
    </row>
    <row r="15">
      <c r="A15" s="5" t="inlineStr">
        <is>
          <t>Sophie Lefèvre</t>
        </is>
      </c>
      <c r="B15" s="5" t="inlineStr">
        <is>
          <t>DELTA</t>
        </is>
      </c>
      <c r="C15" s="5" t="inlineStr">
        <is>
          <t>Lot unique</t>
        </is>
      </c>
      <c r="D15" s="5" t="inlineStr">
        <is>
          <t>Bâti machine</t>
        </is>
      </c>
      <c r="E15" s="5" t="inlineStr">
        <is>
          <t>Industrialisation</t>
        </is>
      </c>
      <c r="F15" s="6" t="n">
        <v>46568</v>
      </c>
      <c r="G15" s="7" t="inlineStr">
        <is>
          <t>Industrialisation du bâti</t>
        </is>
      </c>
      <c r="H15" s="7" t="inlineStr">
        <is>
          <t>Cible coût -10 %</t>
        </is>
      </c>
      <c r="I15" s="7" t="n"/>
      <c r="J15" s="5" t="inlineStr">
        <is>
          <t>Isabelle Roux</t>
        </is>
      </c>
      <c r="K15" s="5" t="inlineStr">
        <is>
          <t>Hugo Mercier</t>
        </is>
      </c>
      <c r="L15" s="5" t="n"/>
      <c r="M15" s="8" t="n">
        <v>120</v>
      </c>
      <c r="N15" s="6" t="n">
        <v>46433</v>
      </c>
      <c r="O15" s="9" t="n">
        <v>0</v>
      </c>
    </row>
    <row r="16">
      <c r="A16" s="5" t="inlineStr">
        <is>
          <t>Nicolas Moreau</t>
        </is>
      </c>
      <c r="B16" s="5" t="inlineStr">
        <is>
          <t>ORION</t>
        </is>
      </c>
      <c r="C16" s="5" t="inlineStr">
        <is>
          <t>Tranche 1</t>
        </is>
      </c>
      <c r="D16" s="5" t="inlineStr">
        <is>
          <t>Support moteur</t>
        </is>
      </c>
      <c r="E16" s="5" t="inlineStr">
        <is>
          <t>Étude de conception</t>
        </is>
      </c>
      <c r="F16" s="6" t="n">
        <v>46353</v>
      </c>
      <c r="G16" s="7" t="inlineStr">
        <is>
          <t>Conception du support moteur</t>
        </is>
      </c>
      <c r="H16" s="7" t="n"/>
      <c r="I16" s="7" t="n"/>
      <c r="J16" s="5" t="inlineStr">
        <is>
          <t>Isabelle Roux</t>
        </is>
      </c>
      <c r="K16" s="5" t="inlineStr">
        <is>
          <t>Lucas Garnier</t>
        </is>
      </c>
      <c r="L16" s="5" t="n"/>
      <c r="M16" s="8" t="n">
        <v>120</v>
      </c>
      <c r="N16" s="6" t="n">
        <v>46279</v>
      </c>
      <c r="O16" s="9" t="n">
        <v>0.8</v>
      </c>
    </row>
    <row r="17">
      <c r="A17" s="5" t="inlineStr">
        <is>
          <t>Nicolas Moreau</t>
        </is>
      </c>
      <c r="B17" s="5" t="inlineStr">
        <is>
          <t>ORION</t>
        </is>
      </c>
      <c r="C17" s="5" t="inlineStr">
        <is>
          <t>Tranche 1</t>
        </is>
      </c>
      <c r="D17" s="5" t="inlineStr">
        <is>
          <t>Carter de protection</t>
        </is>
      </c>
      <c r="E17" s="5" t="inlineStr">
        <is>
          <t>Mise à jour de plans</t>
        </is>
      </c>
      <c r="F17" s="6" t="n">
        <v>46304</v>
      </c>
      <c r="G17" s="7" t="inlineStr">
        <is>
          <t>Mise à jour indice C</t>
        </is>
      </c>
      <c r="H17" s="7" t="n"/>
      <c r="I17" s="7" t="n"/>
      <c r="J17" s="5" t="inlineStr">
        <is>
          <t>Isabelle Roux</t>
        </is>
      </c>
      <c r="K17" s="5" t="inlineStr">
        <is>
          <t>Lucas Garnier</t>
        </is>
      </c>
      <c r="L17" s="5" t="n"/>
      <c r="M17" s="8" t="n">
        <v>40</v>
      </c>
      <c r="N17" s="6" t="n">
        <v>46286</v>
      </c>
      <c r="O17" s="9" t="n">
        <v>1</v>
      </c>
    </row>
    <row r="18">
      <c r="A18" s="5" t="inlineStr">
        <is>
          <t>Nicolas Moreau</t>
        </is>
      </c>
      <c r="B18" s="5" t="inlineStr">
        <is>
          <t>ORION</t>
        </is>
      </c>
      <c r="C18" s="5" t="inlineStr">
        <is>
          <t>Tranche 2</t>
        </is>
      </c>
      <c r="D18" s="5" t="inlineStr">
        <is>
          <t>Support moteur</t>
        </is>
      </c>
      <c r="E18" s="5" t="inlineStr">
        <is>
          <t>Modification</t>
        </is>
      </c>
      <c r="F18" s="6" t="n">
        <v>46521</v>
      </c>
      <c r="G18" s="7" t="inlineStr">
        <is>
          <t>Évolution pour moteur 30 kW</t>
        </is>
      </c>
      <c r="H18" s="7" t="n"/>
      <c r="I18" s="7" t="n"/>
      <c r="J18" s="5" t="inlineStr">
        <is>
          <t>Isabelle Roux</t>
        </is>
      </c>
      <c r="K18" s="5" t="inlineStr">
        <is>
          <t>Emma Faure</t>
        </is>
      </c>
      <c r="L18" s="5" t="n"/>
      <c r="M18" s="8" t="n">
        <v>160</v>
      </c>
      <c r="N18" s="6" t="n">
        <v>46447</v>
      </c>
      <c r="O18" s="9" t="n">
        <v>0</v>
      </c>
    </row>
    <row r="19">
      <c r="A19" s="5" t="inlineStr">
        <is>
          <t>Nicolas Moreau</t>
        </is>
      </c>
      <c r="B19" s="5" t="inlineStr">
        <is>
          <t>PÉGASE</t>
        </is>
      </c>
      <c r="C19" s="5" t="inlineStr">
        <is>
          <t>Avant-projet</t>
        </is>
      </c>
      <c r="D19" s="5" t="inlineStr">
        <is>
          <t>Ensemble complet</t>
        </is>
      </c>
      <c r="E19" s="5" t="inlineStr">
        <is>
          <t>Chiffrage / avant-projet</t>
        </is>
      </c>
      <c r="F19" s="6" t="n">
        <v>46367</v>
      </c>
      <c r="G19" s="7" t="inlineStr">
        <is>
          <t>Chiffrage et esquisses pour l'appel d'offres</t>
        </is>
      </c>
      <c r="H19" s="7" t="inlineStr">
        <is>
          <t>Remise d'offre le 15/12</t>
        </is>
      </c>
      <c r="I19" s="7" t="n"/>
      <c r="J19" s="5" t="inlineStr">
        <is>
          <t>Marc Dubois</t>
        </is>
      </c>
      <c r="K19" s="5" t="inlineStr">
        <is>
          <t>Léa Chevalier</t>
        </is>
      </c>
      <c r="L19" s="5" t="n"/>
      <c r="M19" s="8" t="n">
        <v>70</v>
      </c>
      <c r="N19" s="6" t="n">
        <v>46342</v>
      </c>
      <c r="O19" s="9" t="n">
        <v>0.1</v>
      </c>
    </row>
    <row r="20">
      <c r="A20" s="5" t="inlineStr">
        <is>
          <t>Camille Laurent</t>
        </is>
      </c>
      <c r="B20" s="5" t="inlineStr">
        <is>
          <t>PÉGASE</t>
        </is>
      </c>
      <c r="C20" s="5" t="inlineStr">
        <is>
          <t>Lot 1</t>
        </is>
      </c>
      <c r="D20" s="5" t="inlineStr">
        <is>
          <t>Ensemble complet</t>
        </is>
      </c>
      <c r="E20" s="5" t="inlineStr">
        <is>
          <t>Étude de conception</t>
        </is>
      </c>
      <c r="F20" s="6" t="n">
        <v>46660</v>
      </c>
      <c r="G20" s="7" t="inlineStr">
        <is>
          <t>Étude complète si commande</t>
        </is>
      </c>
      <c r="H20" s="7" t="inlineStr">
        <is>
          <t>Sous réserve de commande</t>
        </is>
      </c>
      <c r="I20" s="7" t="inlineStr">
        <is>
          <t>Renfort externe prévu</t>
        </is>
      </c>
      <c r="J20" s="5" t="inlineStr">
        <is>
          <t>Marc Dubois</t>
        </is>
      </c>
      <c r="K20" s="5" t="inlineStr">
        <is>
          <t>Hugo Mercier</t>
        </is>
      </c>
      <c r="L20" s="5" t="n"/>
      <c r="M20" s="8" t="n">
        <v>300</v>
      </c>
      <c r="N20" s="6" t="n">
        <v>46461</v>
      </c>
      <c r="O20" s="9" t="n">
        <v>0</v>
      </c>
    </row>
    <row r="21">
      <c r="A21" s="5" t="inlineStr">
        <is>
          <t>Camille Laurent</t>
        </is>
      </c>
      <c r="B21" s="5" t="inlineStr">
        <is>
          <t>PÉGASE</t>
        </is>
      </c>
      <c r="C21" s="5" t="inlineStr">
        <is>
          <t>Lot 1</t>
        </is>
      </c>
      <c r="D21" s="5" t="inlineStr">
        <is>
          <t>Ensemble complet</t>
        </is>
      </c>
      <c r="E21" s="5" t="inlineStr">
        <is>
          <t>Étude de conception</t>
        </is>
      </c>
      <c r="F21" s="6" t="n">
        <v>46660</v>
      </c>
      <c r="G21" s="7" t="inlineStr">
        <is>
          <t>Étude complète si commande</t>
        </is>
      </c>
      <c r="H21" s="7" t="inlineStr">
        <is>
          <t>Sous réserve de commande</t>
        </is>
      </c>
      <c r="I21" s="7" t="inlineStr">
        <is>
          <t>Renfort externe prévu</t>
        </is>
      </c>
      <c r="J21" s="5" t="inlineStr">
        <is>
          <t>Marc Dubois</t>
        </is>
      </c>
      <c r="K21" s="5" t="n"/>
      <c r="L21" s="5" t="inlineStr">
        <is>
          <t>Karim Haddad</t>
        </is>
      </c>
      <c r="M21" s="8" t="n">
        <v>180</v>
      </c>
      <c r="N21" s="6" t="n">
        <v>46461</v>
      </c>
      <c r="O21" s="9" t="n">
        <v>0</v>
      </c>
    </row>
    <row r="22">
      <c r="A22" s="5" t="inlineStr">
        <is>
          <t>Camille Laurent</t>
        </is>
      </c>
      <c r="B22" s="5" t="inlineStr">
        <is>
          <t>VEGA</t>
        </is>
      </c>
      <c r="C22" s="5" t="inlineStr">
        <is>
          <t>Mise en conformité</t>
        </is>
      </c>
      <c r="D22" s="5" t="inlineStr">
        <is>
          <t>Garde-corps</t>
        </is>
      </c>
      <c r="E22" s="5" t="inlineStr">
        <is>
          <t>Modification</t>
        </is>
      </c>
      <c r="F22" s="6" t="n">
        <v>46402</v>
      </c>
      <c r="G22" s="7" t="inlineStr">
        <is>
          <t>Mise en conformité des garde-corps</t>
        </is>
      </c>
      <c r="H22" s="7" t="inlineStr">
        <is>
          <t>Norme NF E 85-015</t>
        </is>
      </c>
      <c r="I22" s="7" t="n"/>
      <c r="J22" s="5" t="inlineStr">
        <is>
          <t>Isabelle Roux</t>
        </is>
      </c>
      <c r="K22" s="5" t="inlineStr">
        <is>
          <t>Antoine Blanc</t>
        </is>
      </c>
      <c r="L22" s="5" t="n"/>
      <c r="M22" s="8" t="n">
        <v>85</v>
      </c>
      <c r="N22" s="6" t="n">
        <v>46349</v>
      </c>
      <c r="O22" s="9" t="n">
        <v>0</v>
      </c>
    </row>
    <row r="23">
      <c r="A23" s="5" t="inlineStr">
        <is>
          <t>Camille Laurent</t>
        </is>
      </c>
      <c r="B23" s="5" t="inlineStr">
        <is>
          <t>VEGA</t>
        </is>
      </c>
      <c r="C23" s="5" t="inlineStr">
        <is>
          <t>Mise en conformité</t>
        </is>
      </c>
      <c r="D23" s="5" t="inlineStr">
        <is>
          <t>Passerelle</t>
        </is>
      </c>
      <c r="E23" s="5" t="inlineStr">
        <is>
          <t>Mise à jour de plans</t>
        </is>
      </c>
      <c r="F23" s="6" t="n">
        <v>46477</v>
      </c>
      <c r="G23" s="7" t="inlineStr">
        <is>
          <t>Plans de recollement</t>
        </is>
      </c>
      <c r="H23" s="7" t="n"/>
      <c r="I23" s="7" t="n"/>
      <c r="J23" s="5" t="inlineStr">
        <is>
          <t>Isabelle Roux</t>
        </is>
      </c>
      <c r="K23" s="5" t="inlineStr">
        <is>
          <t>Antoine Blanc</t>
        </is>
      </c>
      <c r="L23" s="5" t="n"/>
      <c r="M23" s="8" t="n">
        <v>60</v>
      </c>
      <c r="N23" s="6" t="n">
        <v>46426</v>
      </c>
      <c r="O23" s="9" t="n">
        <v>0</v>
      </c>
    </row>
    <row r="24">
      <c r="A24" s="5" t="inlineStr">
        <is>
          <t>Camille Laurent</t>
        </is>
      </c>
      <c r="B24" s="5" t="inlineStr">
        <is>
          <t>VEGA</t>
        </is>
      </c>
      <c r="C24" s="5" t="inlineStr">
        <is>
          <t>Mise en conformité</t>
        </is>
      </c>
      <c r="D24" s="5" t="inlineStr">
        <is>
          <t>Escalier d'accès</t>
        </is>
      </c>
      <c r="E24" s="5" t="inlineStr">
        <is>
          <t>Modification</t>
        </is>
      </c>
      <c r="F24" s="6" t="n">
        <v>46507</v>
      </c>
      <c r="G24" s="7" t="inlineStr">
        <is>
          <t>Mise en conformité de l'escalier d'accès</t>
        </is>
      </c>
      <c r="H24" s="7" t="n"/>
      <c r="I24" s="7" t="inlineStr">
        <is>
          <t>Ressource à définir</t>
        </is>
      </c>
      <c r="J24" s="5" t="inlineStr">
        <is>
          <t>Isabelle Roux</t>
        </is>
      </c>
      <c r="K24" s="5" t="n"/>
      <c r="L24" s="5" t="n"/>
      <c r="M24" s="8" t="n">
        <v>50</v>
      </c>
      <c r="N24" s="6" t="n">
        <v>46447</v>
      </c>
      <c r="O24" s="9" t="n">
        <v>0</v>
      </c>
    </row>
    <row r="25">
      <c r="A25" s="5" t="inlineStr">
        <is>
          <t>Julie Martin</t>
        </is>
      </c>
      <c r="B25" s="5" t="inlineStr">
        <is>
          <t>TITAN</t>
        </is>
      </c>
      <c r="C25" s="5" t="inlineStr">
        <is>
          <t>Lot 1</t>
        </is>
      </c>
      <c r="D25" s="5" t="inlineStr">
        <is>
          <t>Poutre de levage</t>
        </is>
      </c>
      <c r="E25" s="5" t="inlineStr">
        <is>
          <t>Étude de conception</t>
        </is>
      </c>
      <c r="F25" s="6" t="n">
        <v>46295</v>
      </c>
      <c r="G25" s="7" t="inlineStr">
        <is>
          <t>Note de calcul et plans</t>
        </is>
      </c>
      <c r="H25" s="7" t="n"/>
      <c r="I25" s="7" t="n"/>
      <c r="J25" s="5" t="inlineStr">
        <is>
          <t>Marc Dubois</t>
        </is>
      </c>
      <c r="K25" s="5" t="inlineStr">
        <is>
          <t>Lucas Garnier</t>
        </is>
      </c>
      <c r="L25" s="5" t="n"/>
      <c r="M25" s="8" t="n">
        <v>95</v>
      </c>
      <c r="N25" s="6" t="n">
        <v>46258</v>
      </c>
      <c r="O25" s="9" t="n">
        <v>1</v>
      </c>
    </row>
    <row r="26">
      <c r="A26" s="5" t="inlineStr">
        <is>
          <t>Thomas Bernard</t>
        </is>
      </c>
      <c r="B26" s="5" t="inlineStr">
        <is>
          <t>DELTA</t>
        </is>
      </c>
      <c r="C26" s="5" t="inlineStr">
        <is>
          <t>Lot unique</t>
        </is>
      </c>
      <c r="D26" s="5" t="inlineStr">
        <is>
          <t>Habillage</t>
        </is>
      </c>
      <c r="E26" s="5" t="inlineStr">
        <is>
          <t>Étude de conception</t>
        </is>
      </c>
      <c r="F26" s="6" t="n">
        <v>46626</v>
      </c>
      <c r="G26" s="7" t="inlineStr">
        <is>
          <t>Habillage design</t>
        </is>
      </c>
      <c r="H26" s="7" t="n"/>
      <c r="I26" s="7" t="n"/>
      <c r="J26" s="5" t="inlineStr">
        <is>
          <t>Isabelle Roux</t>
        </is>
      </c>
      <c r="K26" s="5" t="inlineStr">
        <is>
          <t>Emma Faure</t>
        </is>
      </c>
      <c r="L26" s="5" t="n"/>
      <c r="M26" s="8" t="n">
        <v>120</v>
      </c>
      <c r="N26" s="6" t="n">
        <v>46510</v>
      </c>
      <c r="O26" s="9" t="n">
        <v>0</v>
      </c>
    </row>
    <row r="27">
      <c r="A27" s="5" t="inlineStr">
        <is>
          <t>Thomas Bernard</t>
        </is>
      </c>
      <c r="B27" s="5" t="inlineStr">
        <is>
          <t>DELTA</t>
        </is>
      </c>
      <c r="C27" s="5" t="inlineStr">
        <is>
          <t>Lot unique</t>
        </is>
      </c>
      <c r="D27" s="5" t="inlineStr">
        <is>
          <t>Habillage</t>
        </is>
      </c>
      <c r="E27" s="5" t="inlineStr">
        <is>
          <t>Étude de conception</t>
        </is>
      </c>
      <c r="F27" s="6" t="n">
        <v>46626</v>
      </c>
      <c r="G27" s="7" t="inlineStr">
        <is>
          <t>Habillage design</t>
        </is>
      </c>
      <c r="H27" s="7" t="n"/>
      <c r="I27" s="7" t="n"/>
      <c r="J27" s="5" t="inlineStr">
        <is>
          <t>Isabelle Roux</t>
        </is>
      </c>
      <c r="K27" s="5" t="n"/>
      <c r="L27" s="5" t="inlineStr">
        <is>
          <t>Inès Morel</t>
        </is>
      </c>
      <c r="M27" s="8" t="n">
        <v>80</v>
      </c>
      <c r="N27" s="6" t="n">
        <v>46510</v>
      </c>
      <c r="O27" s="9" t="n">
        <v>0</v>
      </c>
    </row>
    <row r="28">
      <c r="A28" s="5" t="n"/>
      <c r="B28" s="5" t="n"/>
      <c r="C28" s="5" t="n"/>
      <c r="D28" s="5" t="n"/>
      <c r="E28" s="5" t="n"/>
      <c r="F28" s="6" t="n"/>
      <c r="G28" s="7" t="n"/>
      <c r="H28" s="7" t="n"/>
      <c r="I28" s="7" t="n"/>
      <c r="J28" s="5" t="n"/>
      <c r="K28" s="5" t="n"/>
      <c r="L28" s="5" t="n"/>
      <c r="M28" s="8" t="n"/>
      <c r="N28" s="6" t="n"/>
      <c r="O28" s="9" t="n"/>
    </row>
    <row r="29">
      <c r="A29" s="5" t="n"/>
      <c r="B29" s="5" t="n"/>
      <c r="C29" s="5" t="n"/>
      <c r="D29" s="5" t="n"/>
      <c r="E29" s="5" t="n"/>
      <c r="F29" s="6" t="n"/>
      <c r="G29" s="7" t="n"/>
      <c r="H29" s="7" t="n"/>
      <c r="I29" s="7" t="n"/>
      <c r="J29" s="5" t="n"/>
      <c r="K29" s="5" t="n"/>
      <c r="L29" s="5" t="n"/>
      <c r="M29" s="8" t="n"/>
      <c r="N29" s="6" t="n"/>
      <c r="O29" s="9" t="n"/>
    </row>
    <row r="30">
      <c r="A30" s="5" t="n"/>
      <c r="B30" s="5" t="n"/>
      <c r="C30" s="5" t="n"/>
      <c r="D30" s="5" t="n"/>
      <c r="E30" s="5" t="n"/>
      <c r="F30" s="6" t="n"/>
      <c r="G30" s="7" t="n"/>
      <c r="H30" s="7" t="n"/>
      <c r="I30" s="7" t="n"/>
      <c r="J30" s="5" t="n"/>
      <c r="K30" s="5" t="n"/>
      <c r="L30" s="5" t="n"/>
      <c r="M30" s="8" t="n"/>
      <c r="N30" s="6" t="n"/>
      <c r="O30" s="9" t="n"/>
    </row>
    <row r="31">
      <c r="A31" s="5" t="n"/>
      <c r="B31" s="5" t="n"/>
      <c r="C31" s="5" t="n"/>
      <c r="D31" s="5" t="n"/>
      <c r="E31" s="5" t="n"/>
      <c r="F31" s="6" t="n"/>
      <c r="G31" s="7" t="n"/>
      <c r="H31" s="7" t="n"/>
      <c r="I31" s="7" t="n"/>
      <c r="J31" s="5" t="n"/>
      <c r="K31" s="5" t="n"/>
      <c r="L31" s="5" t="n"/>
      <c r="M31" s="8" t="n"/>
      <c r="N31" s="6" t="n"/>
      <c r="O31" s="9" t="n"/>
    </row>
    <row r="32">
      <c r="A32" s="5" t="n"/>
      <c r="B32" s="5" t="n"/>
      <c r="C32" s="5" t="n"/>
      <c r="D32" s="5" t="n"/>
      <c r="E32" s="5" t="n"/>
      <c r="F32" s="6" t="n"/>
      <c r="G32" s="7" t="n"/>
      <c r="H32" s="7" t="n"/>
      <c r="I32" s="7" t="n"/>
      <c r="J32" s="5" t="n"/>
      <c r="K32" s="5" t="n"/>
      <c r="L32" s="5" t="n"/>
      <c r="M32" s="8" t="n"/>
      <c r="N32" s="6" t="n"/>
      <c r="O32" s="9" t="n"/>
    </row>
    <row r="33">
      <c r="A33" s="5" t="n"/>
      <c r="B33" s="5" t="n"/>
      <c r="C33" s="5" t="n"/>
      <c r="D33" s="5" t="n"/>
      <c r="E33" s="5" t="n"/>
      <c r="F33" s="6" t="n"/>
      <c r="G33" s="7" t="n"/>
      <c r="H33" s="7" t="n"/>
      <c r="I33" s="7" t="n"/>
      <c r="J33" s="5" t="n"/>
      <c r="K33" s="5" t="n"/>
      <c r="L33" s="5" t="n"/>
      <c r="M33" s="8" t="n"/>
      <c r="N33" s="6" t="n"/>
      <c r="O33" s="9" t="n"/>
    </row>
    <row r="34">
      <c r="A34" s="5" t="n"/>
      <c r="B34" s="5" t="n"/>
      <c r="C34" s="5" t="n"/>
      <c r="D34" s="5" t="n"/>
      <c r="E34" s="5" t="n"/>
      <c r="F34" s="6" t="n"/>
      <c r="G34" s="7" t="n"/>
      <c r="H34" s="7" t="n"/>
      <c r="I34" s="7" t="n"/>
      <c r="J34" s="5" t="n"/>
      <c r="K34" s="5" t="n"/>
      <c r="L34" s="5" t="n"/>
      <c r="M34" s="8" t="n"/>
      <c r="N34" s="6" t="n"/>
      <c r="O34" s="9" t="n"/>
    </row>
    <row r="35">
      <c r="A35" s="5" t="n"/>
      <c r="B35" s="5" t="n"/>
      <c r="C35" s="5" t="n"/>
      <c r="D35" s="5" t="n"/>
      <c r="E35" s="5" t="n"/>
      <c r="F35" s="6" t="n"/>
      <c r="G35" s="7" t="n"/>
      <c r="H35" s="7" t="n"/>
      <c r="I35" s="7" t="n"/>
      <c r="J35" s="5" t="n"/>
      <c r="K35" s="5" t="n"/>
      <c r="L35" s="5" t="n"/>
      <c r="M35" s="8" t="n"/>
      <c r="N35" s="6" t="n"/>
      <c r="O35" s="9" t="n"/>
    </row>
    <row r="36">
      <c r="A36" s="5" t="n"/>
      <c r="B36" s="5" t="n"/>
      <c r="C36" s="5" t="n"/>
      <c r="D36" s="5" t="n"/>
      <c r="E36" s="5" t="n"/>
      <c r="F36" s="6" t="n"/>
      <c r="G36" s="7" t="n"/>
      <c r="H36" s="7" t="n"/>
      <c r="I36" s="7" t="n"/>
      <c r="J36" s="5" t="n"/>
      <c r="K36" s="5" t="n"/>
      <c r="L36" s="5" t="n"/>
      <c r="M36" s="8" t="n"/>
      <c r="N36" s="6" t="n"/>
      <c r="O36" s="9" t="n"/>
    </row>
    <row r="37">
      <c r="A37" s="5" t="n"/>
      <c r="B37" s="5" t="n"/>
      <c r="C37" s="5" t="n"/>
      <c r="D37" s="5" t="n"/>
      <c r="E37" s="5" t="n"/>
      <c r="F37" s="6" t="n"/>
      <c r="G37" s="7" t="n"/>
      <c r="H37" s="7" t="n"/>
      <c r="I37" s="7" t="n"/>
      <c r="J37" s="5" t="n"/>
      <c r="K37" s="5" t="n"/>
      <c r="L37" s="5" t="n"/>
      <c r="M37" s="8" t="n"/>
      <c r="N37" s="6" t="n"/>
      <c r="O37" s="9" t="n"/>
    </row>
    <row r="38">
      <c r="A38" s="5" t="n"/>
      <c r="B38" s="5" t="n"/>
      <c r="C38" s="5" t="n"/>
      <c r="D38" s="5" t="n"/>
      <c r="E38" s="5" t="n"/>
      <c r="F38" s="6" t="n"/>
      <c r="G38" s="7" t="n"/>
      <c r="H38" s="7" t="n"/>
      <c r="I38" s="7" t="n"/>
      <c r="J38" s="5" t="n"/>
      <c r="K38" s="5" t="n"/>
      <c r="L38" s="5" t="n"/>
      <c r="M38" s="8" t="n"/>
      <c r="N38" s="6" t="n"/>
      <c r="O38" s="9" t="n"/>
    </row>
    <row r="39">
      <c r="A39" s="5" t="n"/>
      <c r="B39" s="5" t="n"/>
      <c r="C39" s="5" t="n"/>
      <c r="D39" s="5" t="n"/>
      <c r="E39" s="5" t="n"/>
      <c r="F39" s="6" t="n"/>
      <c r="G39" s="7" t="n"/>
      <c r="H39" s="7" t="n"/>
      <c r="I39" s="7" t="n"/>
      <c r="J39" s="5" t="n"/>
      <c r="K39" s="5" t="n"/>
      <c r="L39" s="5" t="n"/>
      <c r="M39" s="8" t="n"/>
      <c r="N39" s="6" t="n"/>
      <c r="O39" s="9" t="n"/>
    </row>
    <row r="40">
      <c r="A40" s="5" t="n"/>
      <c r="B40" s="5" t="n"/>
      <c r="C40" s="5" t="n"/>
      <c r="D40" s="5" t="n"/>
      <c r="E40" s="5" t="n"/>
      <c r="F40" s="6" t="n"/>
      <c r="G40" s="7" t="n"/>
      <c r="H40" s="7" t="n"/>
      <c r="I40" s="7" t="n"/>
      <c r="J40" s="5" t="n"/>
      <c r="K40" s="5" t="n"/>
      <c r="L40" s="5" t="n"/>
      <c r="M40" s="8" t="n"/>
      <c r="N40" s="6" t="n"/>
      <c r="O40" s="9" t="n"/>
    </row>
    <row r="41">
      <c r="A41" s="5" t="n"/>
      <c r="B41" s="5" t="n"/>
      <c r="C41" s="5" t="n"/>
      <c r="D41" s="5" t="n"/>
      <c r="E41" s="5" t="n"/>
      <c r="F41" s="6" t="n"/>
      <c r="G41" s="7" t="n"/>
      <c r="H41" s="7" t="n"/>
      <c r="I41" s="7" t="n"/>
      <c r="J41" s="5" t="n"/>
      <c r="K41" s="5" t="n"/>
      <c r="L41" s="5" t="n"/>
      <c r="M41" s="8" t="n"/>
      <c r="N41" s="6" t="n"/>
      <c r="O41" s="9" t="n"/>
    </row>
    <row r="42">
      <c r="A42" s="5" t="n"/>
      <c r="B42" s="5" t="n"/>
      <c r="C42" s="5" t="n"/>
      <c r="D42" s="5" t="n"/>
      <c r="E42" s="5" t="n"/>
      <c r="F42" s="6" t="n"/>
      <c r="G42" s="7" t="n"/>
      <c r="H42" s="7" t="n"/>
      <c r="I42" s="7" t="n"/>
      <c r="J42" s="5" t="n"/>
      <c r="K42" s="5" t="n"/>
      <c r="L42" s="5" t="n"/>
      <c r="M42" s="8" t="n"/>
      <c r="N42" s="6" t="n"/>
      <c r="O42" s="9" t="n"/>
    </row>
    <row r="43">
      <c r="A43" s="5" t="n"/>
      <c r="B43" s="5" t="n"/>
      <c r="C43" s="5" t="n"/>
      <c r="D43" s="5" t="n"/>
      <c r="E43" s="5" t="n"/>
      <c r="F43" s="6" t="n"/>
      <c r="G43" s="7" t="n"/>
      <c r="H43" s="7" t="n"/>
      <c r="I43" s="7" t="n"/>
      <c r="J43" s="5" t="n"/>
      <c r="K43" s="5" t="n"/>
      <c r="L43" s="5" t="n"/>
      <c r="M43" s="8" t="n"/>
      <c r="N43" s="6" t="n"/>
      <c r="O43" s="9" t="n"/>
    </row>
    <row r="44">
      <c r="A44" s="5" t="n"/>
      <c r="B44" s="5" t="n"/>
      <c r="C44" s="5" t="n"/>
      <c r="D44" s="5" t="n"/>
      <c r="E44" s="5" t="n"/>
      <c r="F44" s="6" t="n"/>
      <c r="G44" s="7" t="n"/>
      <c r="H44" s="7" t="n"/>
      <c r="I44" s="7" t="n"/>
      <c r="J44" s="5" t="n"/>
      <c r="K44" s="5" t="n"/>
      <c r="L44" s="5" t="n"/>
      <c r="M44" s="8" t="n"/>
      <c r="N44" s="6" t="n"/>
      <c r="O44" s="9" t="n"/>
    </row>
    <row r="45">
      <c r="A45" s="5" t="n"/>
      <c r="B45" s="5" t="n"/>
      <c r="C45" s="5" t="n"/>
      <c r="D45" s="5" t="n"/>
      <c r="E45" s="5" t="n"/>
      <c r="F45" s="6" t="n"/>
      <c r="G45" s="7" t="n"/>
      <c r="H45" s="7" t="n"/>
      <c r="I45" s="7" t="n"/>
      <c r="J45" s="5" t="n"/>
      <c r="K45" s="5" t="n"/>
      <c r="L45" s="5" t="n"/>
      <c r="M45" s="8" t="n"/>
      <c r="N45" s="6" t="n"/>
      <c r="O45" s="9" t="n"/>
    </row>
    <row r="46">
      <c r="A46" s="5" t="n"/>
      <c r="B46" s="5" t="n"/>
      <c r="C46" s="5" t="n"/>
      <c r="D46" s="5" t="n"/>
      <c r="E46" s="5" t="n"/>
      <c r="F46" s="6" t="n"/>
      <c r="G46" s="7" t="n"/>
      <c r="H46" s="7" t="n"/>
      <c r="I46" s="7" t="n"/>
      <c r="J46" s="5" t="n"/>
      <c r="K46" s="5" t="n"/>
      <c r="L46" s="5" t="n"/>
      <c r="M46" s="8" t="n"/>
      <c r="N46" s="6" t="n"/>
      <c r="O46" s="9" t="n"/>
    </row>
    <row r="47">
      <c r="A47" s="5" t="n"/>
      <c r="B47" s="5" t="n"/>
      <c r="C47" s="5" t="n"/>
      <c r="D47" s="5" t="n"/>
      <c r="E47" s="5" t="n"/>
      <c r="F47" s="6" t="n"/>
      <c r="G47" s="7" t="n"/>
      <c r="H47" s="7" t="n"/>
      <c r="I47" s="7" t="n"/>
      <c r="J47" s="5" t="n"/>
      <c r="K47" s="5" t="n"/>
      <c r="L47" s="5" t="n"/>
      <c r="M47" s="8" t="n"/>
      <c r="N47" s="6" t="n"/>
      <c r="O47" s="9" t="n"/>
    </row>
    <row r="48">
      <c r="A48" s="5" t="n"/>
      <c r="B48" s="5" t="n"/>
      <c r="C48" s="5" t="n"/>
      <c r="D48" s="5" t="n"/>
      <c r="E48" s="5" t="n"/>
      <c r="F48" s="6" t="n"/>
      <c r="G48" s="7" t="n"/>
      <c r="H48" s="7" t="n"/>
      <c r="I48" s="7" t="n"/>
      <c r="J48" s="5" t="n"/>
      <c r="K48" s="5" t="n"/>
      <c r="L48" s="5" t="n"/>
      <c r="M48" s="8" t="n"/>
      <c r="N48" s="6" t="n"/>
      <c r="O48" s="9" t="n"/>
    </row>
    <row r="49">
      <c r="A49" s="5" t="n"/>
      <c r="B49" s="5" t="n"/>
      <c r="C49" s="5" t="n"/>
      <c r="D49" s="5" t="n"/>
      <c r="E49" s="5" t="n"/>
      <c r="F49" s="6" t="n"/>
      <c r="G49" s="7" t="n"/>
      <c r="H49" s="7" t="n"/>
      <c r="I49" s="7" t="n"/>
      <c r="J49" s="5" t="n"/>
      <c r="K49" s="5" t="n"/>
      <c r="L49" s="5" t="n"/>
      <c r="M49" s="8" t="n"/>
      <c r="N49" s="6" t="n"/>
      <c r="O49" s="9" t="n"/>
    </row>
    <row r="50">
      <c r="A50" s="5" t="n"/>
      <c r="B50" s="5" t="n"/>
      <c r="C50" s="5" t="n"/>
      <c r="D50" s="5" t="n"/>
      <c r="E50" s="5" t="n"/>
      <c r="F50" s="6" t="n"/>
      <c r="G50" s="7" t="n"/>
      <c r="H50" s="7" t="n"/>
      <c r="I50" s="7" t="n"/>
      <c r="J50" s="5" t="n"/>
      <c r="K50" s="5" t="n"/>
      <c r="L50" s="5" t="n"/>
      <c r="M50" s="8" t="n"/>
      <c r="N50" s="6" t="n"/>
      <c r="O50" s="9" t="n"/>
    </row>
    <row r="51">
      <c r="A51" s="5" t="n"/>
      <c r="B51" s="5" t="n"/>
      <c r="C51" s="5" t="n"/>
      <c r="D51" s="5" t="n"/>
      <c r="E51" s="5" t="n"/>
      <c r="F51" s="6" t="n"/>
      <c r="G51" s="7" t="n"/>
      <c r="H51" s="7" t="n"/>
      <c r="I51" s="7" t="n"/>
      <c r="J51" s="5" t="n"/>
      <c r="K51" s="5" t="n"/>
      <c r="L51" s="5" t="n"/>
      <c r="M51" s="8" t="n"/>
      <c r="N51" s="6" t="n"/>
      <c r="O51" s="9" t="n"/>
    </row>
    <row r="52">
      <c r="A52" s="5" t="n"/>
      <c r="B52" s="5" t="n"/>
      <c r="C52" s="5" t="n"/>
      <c r="D52" s="5" t="n"/>
      <c r="E52" s="5" t="n"/>
      <c r="F52" s="6" t="n"/>
      <c r="G52" s="7" t="n"/>
      <c r="H52" s="7" t="n"/>
      <c r="I52" s="7" t="n"/>
      <c r="J52" s="5" t="n"/>
      <c r="K52" s="5" t="n"/>
      <c r="L52" s="5" t="n"/>
      <c r="M52" s="8" t="n"/>
      <c r="N52" s="6" t="n"/>
      <c r="O52" s="9" t="n"/>
    </row>
    <row r="53">
      <c r="A53" s="5" t="n"/>
      <c r="B53" s="5" t="n"/>
      <c r="C53" s="5" t="n"/>
      <c r="D53" s="5" t="n"/>
      <c r="E53" s="5" t="n"/>
      <c r="F53" s="6" t="n"/>
      <c r="G53" s="7" t="n"/>
      <c r="H53" s="7" t="n"/>
      <c r="I53" s="7" t="n"/>
      <c r="J53" s="5" t="n"/>
      <c r="K53" s="5" t="n"/>
      <c r="L53" s="5" t="n"/>
      <c r="M53" s="8" t="n"/>
      <c r="N53" s="6" t="n"/>
      <c r="O53" s="9" t="n"/>
    </row>
    <row r="54">
      <c r="A54" s="5" t="n"/>
      <c r="B54" s="5" t="n"/>
      <c r="C54" s="5" t="n"/>
      <c r="D54" s="5" t="n"/>
      <c r="E54" s="5" t="n"/>
      <c r="F54" s="6" t="n"/>
      <c r="G54" s="7" t="n"/>
      <c r="H54" s="7" t="n"/>
      <c r="I54" s="7" t="n"/>
      <c r="J54" s="5" t="n"/>
      <c r="K54" s="5" t="n"/>
      <c r="L54" s="5" t="n"/>
      <c r="M54" s="8" t="n"/>
      <c r="N54" s="6" t="n"/>
      <c r="O54" s="9" t="n"/>
    </row>
    <row r="55">
      <c r="A55" s="5" t="n"/>
      <c r="B55" s="5" t="n"/>
      <c r="C55" s="5" t="n"/>
      <c r="D55" s="5" t="n"/>
      <c r="E55" s="5" t="n"/>
      <c r="F55" s="6" t="n"/>
      <c r="G55" s="7" t="n"/>
      <c r="H55" s="7" t="n"/>
      <c r="I55" s="7" t="n"/>
      <c r="J55" s="5" t="n"/>
      <c r="K55" s="5" t="n"/>
      <c r="L55" s="5" t="n"/>
      <c r="M55" s="8" t="n"/>
      <c r="N55" s="6" t="n"/>
      <c r="O55" s="9" t="n"/>
    </row>
    <row r="56">
      <c r="A56" s="5" t="n"/>
      <c r="B56" s="5" t="n"/>
      <c r="C56" s="5" t="n"/>
      <c r="D56" s="5" t="n"/>
      <c r="E56" s="5" t="n"/>
      <c r="F56" s="6" t="n"/>
      <c r="G56" s="7" t="n"/>
      <c r="H56" s="7" t="n"/>
      <c r="I56" s="7" t="n"/>
      <c r="J56" s="5" t="n"/>
      <c r="K56" s="5" t="n"/>
      <c r="L56" s="5" t="n"/>
      <c r="M56" s="8" t="n"/>
      <c r="N56" s="6" t="n"/>
      <c r="O56" s="9" t="n"/>
    </row>
    <row r="57">
      <c r="A57" s="5" t="n"/>
      <c r="B57" s="5" t="n"/>
      <c r="C57" s="5" t="n"/>
      <c r="D57" s="5" t="n"/>
      <c r="E57" s="5" t="n"/>
      <c r="F57" s="6" t="n"/>
      <c r="G57" s="7" t="n"/>
      <c r="H57" s="7" t="n"/>
      <c r="I57" s="7" t="n"/>
      <c r="J57" s="5" t="n"/>
      <c r="K57" s="5" t="n"/>
      <c r="L57" s="5" t="n"/>
      <c r="M57" s="8" t="n"/>
      <c r="N57" s="6" t="n"/>
      <c r="O57" s="9" t="n"/>
    </row>
    <row r="58">
      <c r="A58" s="5" t="n"/>
      <c r="B58" s="5" t="n"/>
      <c r="C58" s="5" t="n"/>
      <c r="D58" s="5" t="n"/>
      <c r="E58" s="5" t="n"/>
      <c r="F58" s="6" t="n"/>
      <c r="G58" s="7" t="n"/>
      <c r="H58" s="7" t="n"/>
      <c r="I58" s="7" t="n"/>
      <c r="J58" s="5" t="n"/>
      <c r="K58" s="5" t="n"/>
      <c r="L58" s="5" t="n"/>
      <c r="M58" s="8" t="n"/>
      <c r="N58" s="6" t="n"/>
      <c r="O58" s="9" t="n"/>
    </row>
    <row r="59">
      <c r="A59" s="5" t="n"/>
      <c r="B59" s="5" t="n"/>
      <c r="C59" s="5" t="n"/>
      <c r="D59" s="5" t="n"/>
      <c r="E59" s="5" t="n"/>
      <c r="F59" s="6" t="n"/>
      <c r="G59" s="7" t="n"/>
      <c r="H59" s="7" t="n"/>
      <c r="I59" s="7" t="n"/>
      <c r="J59" s="5" t="n"/>
      <c r="K59" s="5" t="n"/>
      <c r="L59" s="5" t="n"/>
      <c r="M59" s="8" t="n"/>
      <c r="N59" s="6" t="n"/>
      <c r="O59" s="9" t="n"/>
    </row>
    <row r="60">
      <c r="A60" s="5" t="n"/>
      <c r="B60" s="5" t="n"/>
      <c r="C60" s="5" t="n"/>
      <c r="D60" s="5" t="n"/>
      <c r="E60" s="5" t="n"/>
      <c r="F60" s="6" t="n"/>
      <c r="G60" s="7" t="n"/>
      <c r="H60" s="7" t="n"/>
      <c r="I60" s="7" t="n"/>
      <c r="J60" s="5" t="n"/>
      <c r="K60" s="5" t="n"/>
      <c r="L60" s="5" t="n"/>
      <c r="M60" s="8" t="n"/>
      <c r="N60" s="6" t="n"/>
      <c r="O60" s="9" t="n"/>
    </row>
    <row r="61">
      <c r="A61" s="5" t="n"/>
      <c r="B61" s="5" t="n"/>
      <c r="C61" s="5" t="n"/>
      <c r="D61" s="5" t="n"/>
      <c r="E61" s="5" t="n"/>
      <c r="F61" s="6" t="n"/>
      <c r="G61" s="7" t="n"/>
      <c r="H61" s="7" t="n"/>
      <c r="I61" s="7" t="n"/>
      <c r="J61" s="5" t="n"/>
      <c r="K61" s="5" t="n"/>
      <c r="L61" s="5" t="n"/>
      <c r="M61" s="8" t="n"/>
      <c r="N61" s="6" t="n"/>
      <c r="O61" s="9" t="n"/>
    </row>
    <row r="62">
      <c r="A62" s="5" t="n"/>
      <c r="B62" s="5" t="n"/>
      <c r="C62" s="5" t="n"/>
      <c r="D62" s="5" t="n"/>
      <c r="E62" s="5" t="n"/>
      <c r="F62" s="6" t="n"/>
      <c r="G62" s="7" t="n"/>
      <c r="H62" s="7" t="n"/>
      <c r="I62" s="7" t="n"/>
      <c r="J62" s="5" t="n"/>
      <c r="K62" s="5" t="n"/>
      <c r="L62" s="5" t="n"/>
      <c r="M62" s="8" t="n"/>
      <c r="N62" s="6" t="n"/>
      <c r="O62" s="9" t="n"/>
    </row>
    <row r="63">
      <c r="A63" s="5" t="n"/>
      <c r="B63" s="5" t="n"/>
      <c r="C63" s="5" t="n"/>
      <c r="D63" s="5" t="n"/>
      <c r="E63" s="5" t="n"/>
      <c r="F63" s="6" t="n"/>
      <c r="G63" s="7" t="n"/>
      <c r="H63" s="7" t="n"/>
      <c r="I63" s="7" t="n"/>
      <c r="J63" s="5" t="n"/>
      <c r="K63" s="5" t="n"/>
      <c r="L63" s="5" t="n"/>
      <c r="M63" s="8" t="n"/>
      <c r="N63" s="6" t="n"/>
      <c r="O63" s="9" t="n"/>
    </row>
    <row r="64">
      <c r="A64" s="5" t="n"/>
      <c r="B64" s="5" t="n"/>
      <c r="C64" s="5" t="n"/>
      <c r="D64" s="5" t="n"/>
      <c r="E64" s="5" t="n"/>
      <c r="F64" s="6" t="n"/>
      <c r="G64" s="7" t="n"/>
      <c r="H64" s="7" t="n"/>
      <c r="I64" s="7" t="n"/>
      <c r="J64" s="5" t="n"/>
      <c r="K64" s="5" t="n"/>
      <c r="L64" s="5" t="n"/>
      <c r="M64" s="8" t="n"/>
      <c r="N64" s="6" t="n"/>
      <c r="O64" s="9" t="n"/>
    </row>
    <row r="65">
      <c r="A65" s="5" t="n"/>
      <c r="B65" s="5" t="n"/>
      <c r="C65" s="5" t="n"/>
      <c r="D65" s="5" t="n"/>
      <c r="E65" s="5" t="n"/>
      <c r="F65" s="6" t="n"/>
      <c r="G65" s="7" t="n"/>
      <c r="H65" s="7" t="n"/>
      <c r="I65" s="7" t="n"/>
      <c r="J65" s="5" t="n"/>
      <c r="K65" s="5" t="n"/>
      <c r="L65" s="5" t="n"/>
      <c r="M65" s="8" t="n"/>
      <c r="N65" s="6" t="n"/>
      <c r="O65" s="9" t="n"/>
    </row>
    <row r="66">
      <c r="A66" s="5" t="n"/>
      <c r="B66" s="5" t="n"/>
      <c r="C66" s="5" t="n"/>
      <c r="D66" s="5" t="n"/>
      <c r="E66" s="5" t="n"/>
      <c r="F66" s="6" t="n"/>
      <c r="G66" s="7" t="n"/>
      <c r="H66" s="7" t="n"/>
      <c r="I66" s="7" t="n"/>
      <c r="J66" s="5" t="n"/>
      <c r="K66" s="5" t="n"/>
      <c r="L66" s="5" t="n"/>
      <c r="M66" s="8" t="n"/>
      <c r="N66" s="6" t="n"/>
      <c r="O66" s="9" t="n"/>
    </row>
    <row r="67">
      <c r="A67" s="5" t="n"/>
      <c r="B67" s="5" t="n"/>
      <c r="C67" s="5" t="n"/>
      <c r="D67" s="5" t="n"/>
      <c r="E67" s="5" t="n"/>
      <c r="F67" s="6" t="n"/>
      <c r="G67" s="7" t="n"/>
      <c r="H67" s="7" t="n"/>
      <c r="I67" s="7" t="n"/>
      <c r="J67" s="5" t="n"/>
      <c r="K67" s="5" t="n"/>
      <c r="L67" s="5" t="n"/>
      <c r="M67" s="8" t="n"/>
      <c r="N67" s="6" t="n"/>
      <c r="O67" s="9" t="n"/>
    </row>
    <row r="68">
      <c r="A68" s="5" t="n"/>
      <c r="B68" s="5" t="n"/>
      <c r="C68" s="5" t="n"/>
      <c r="D68" s="5" t="n"/>
      <c r="E68" s="5" t="n"/>
      <c r="F68" s="6" t="n"/>
      <c r="G68" s="7" t="n"/>
      <c r="H68" s="7" t="n"/>
      <c r="I68" s="7" t="n"/>
      <c r="J68" s="5" t="n"/>
      <c r="K68" s="5" t="n"/>
      <c r="L68" s="5" t="n"/>
      <c r="M68" s="8" t="n"/>
      <c r="N68" s="6" t="n"/>
      <c r="O68" s="9" t="n"/>
    </row>
    <row r="69">
      <c r="A69" s="5" t="n"/>
      <c r="B69" s="5" t="n"/>
      <c r="C69" s="5" t="n"/>
      <c r="D69" s="5" t="n"/>
      <c r="E69" s="5" t="n"/>
      <c r="F69" s="6" t="n"/>
      <c r="G69" s="7" t="n"/>
      <c r="H69" s="7" t="n"/>
      <c r="I69" s="7" t="n"/>
      <c r="J69" s="5" t="n"/>
      <c r="K69" s="5" t="n"/>
      <c r="L69" s="5" t="n"/>
      <c r="M69" s="8" t="n"/>
      <c r="N69" s="6" t="n"/>
      <c r="O69" s="9" t="n"/>
    </row>
    <row r="70">
      <c r="A70" s="5" t="n"/>
      <c r="B70" s="5" t="n"/>
      <c r="C70" s="5" t="n"/>
      <c r="D70" s="5" t="n"/>
      <c r="E70" s="5" t="n"/>
      <c r="F70" s="6" t="n"/>
      <c r="G70" s="7" t="n"/>
      <c r="H70" s="7" t="n"/>
      <c r="I70" s="7" t="n"/>
      <c r="J70" s="5" t="n"/>
      <c r="K70" s="5" t="n"/>
      <c r="L70" s="5" t="n"/>
      <c r="M70" s="8" t="n"/>
      <c r="N70" s="6" t="n"/>
      <c r="O70" s="9" t="n"/>
    </row>
    <row r="71">
      <c r="A71" s="5" t="n"/>
      <c r="B71" s="5" t="n"/>
      <c r="C71" s="5" t="n"/>
      <c r="D71" s="5" t="n"/>
      <c r="E71" s="5" t="n"/>
      <c r="F71" s="6" t="n"/>
      <c r="G71" s="7" t="n"/>
      <c r="H71" s="7" t="n"/>
      <c r="I71" s="7" t="n"/>
      <c r="J71" s="5" t="n"/>
      <c r="K71" s="5" t="n"/>
      <c r="L71" s="5" t="n"/>
      <c r="M71" s="8" t="n"/>
      <c r="N71" s="6" t="n"/>
      <c r="O71" s="9" t="n"/>
    </row>
    <row r="72">
      <c r="A72" s="5" t="n"/>
      <c r="B72" s="5" t="n"/>
      <c r="C72" s="5" t="n"/>
      <c r="D72" s="5" t="n"/>
      <c r="E72" s="5" t="n"/>
      <c r="F72" s="6" t="n"/>
      <c r="G72" s="7" t="n"/>
      <c r="H72" s="7" t="n"/>
      <c r="I72" s="7" t="n"/>
      <c r="J72" s="5" t="n"/>
      <c r="K72" s="5" t="n"/>
      <c r="L72" s="5" t="n"/>
      <c r="M72" s="8" t="n"/>
      <c r="N72" s="6" t="n"/>
      <c r="O72" s="9" t="n"/>
    </row>
    <row r="73">
      <c r="A73" s="5" t="n"/>
      <c r="B73" s="5" t="n"/>
      <c r="C73" s="5" t="n"/>
      <c r="D73" s="5" t="n"/>
      <c r="E73" s="5" t="n"/>
      <c r="F73" s="6" t="n"/>
      <c r="G73" s="7" t="n"/>
      <c r="H73" s="7" t="n"/>
      <c r="I73" s="7" t="n"/>
      <c r="J73" s="5" t="n"/>
      <c r="K73" s="5" t="n"/>
      <c r="L73" s="5" t="n"/>
      <c r="M73" s="8" t="n"/>
      <c r="N73" s="6" t="n"/>
      <c r="O73" s="9" t="n"/>
    </row>
    <row r="74">
      <c r="A74" s="5" t="n"/>
      <c r="B74" s="5" t="n"/>
      <c r="C74" s="5" t="n"/>
      <c r="D74" s="5" t="n"/>
      <c r="E74" s="5" t="n"/>
      <c r="F74" s="6" t="n"/>
      <c r="G74" s="7" t="n"/>
      <c r="H74" s="7" t="n"/>
      <c r="I74" s="7" t="n"/>
      <c r="J74" s="5" t="n"/>
      <c r="K74" s="5" t="n"/>
      <c r="L74" s="5" t="n"/>
      <c r="M74" s="8" t="n"/>
      <c r="N74" s="6" t="n"/>
      <c r="O74" s="9" t="n"/>
    </row>
    <row r="75">
      <c r="A75" s="5" t="n"/>
      <c r="B75" s="5" t="n"/>
      <c r="C75" s="5" t="n"/>
      <c r="D75" s="5" t="n"/>
      <c r="E75" s="5" t="n"/>
      <c r="F75" s="6" t="n"/>
      <c r="G75" s="7" t="n"/>
      <c r="H75" s="7" t="n"/>
      <c r="I75" s="7" t="n"/>
      <c r="J75" s="5" t="n"/>
      <c r="K75" s="5" t="n"/>
      <c r="L75" s="5" t="n"/>
      <c r="M75" s="8" t="n"/>
      <c r="N75" s="6" t="n"/>
      <c r="O75" s="9" t="n"/>
    </row>
    <row r="76">
      <c r="A76" s="5" t="n"/>
      <c r="B76" s="5" t="n"/>
      <c r="C76" s="5" t="n"/>
      <c r="D76" s="5" t="n"/>
      <c r="E76" s="5" t="n"/>
      <c r="F76" s="6" t="n"/>
      <c r="G76" s="7" t="n"/>
      <c r="H76" s="7" t="n"/>
      <c r="I76" s="7" t="n"/>
      <c r="J76" s="5" t="n"/>
      <c r="K76" s="5" t="n"/>
      <c r="L76" s="5" t="n"/>
      <c r="M76" s="8" t="n"/>
      <c r="N76" s="6" t="n"/>
      <c r="O76" s="9" t="n"/>
    </row>
    <row r="77">
      <c r="A77" s="5" t="n"/>
      <c r="B77" s="5" t="n"/>
      <c r="C77" s="5" t="n"/>
      <c r="D77" s="5" t="n"/>
      <c r="E77" s="5" t="n"/>
      <c r="F77" s="6" t="n"/>
      <c r="G77" s="7" t="n"/>
      <c r="H77" s="7" t="n"/>
      <c r="I77" s="7" t="n"/>
      <c r="J77" s="5" t="n"/>
      <c r="K77" s="5" t="n"/>
      <c r="L77" s="5" t="n"/>
      <c r="M77" s="8" t="n"/>
      <c r="N77" s="6" t="n"/>
      <c r="O77" s="9" t="n"/>
    </row>
    <row r="78">
      <c r="A78" s="5" t="n"/>
      <c r="B78" s="5" t="n"/>
      <c r="C78" s="5" t="n"/>
      <c r="D78" s="5" t="n"/>
      <c r="E78" s="5" t="n"/>
      <c r="F78" s="6" t="n"/>
      <c r="G78" s="7" t="n"/>
      <c r="H78" s="7" t="n"/>
      <c r="I78" s="7" t="n"/>
      <c r="J78" s="5" t="n"/>
      <c r="K78" s="5" t="n"/>
      <c r="L78" s="5" t="n"/>
      <c r="M78" s="8" t="n"/>
      <c r="N78" s="6" t="n"/>
      <c r="O78" s="9" t="n"/>
    </row>
    <row r="79">
      <c r="A79" s="5" t="n"/>
      <c r="B79" s="5" t="n"/>
      <c r="C79" s="5" t="n"/>
      <c r="D79" s="5" t="n"/>
      <c r="E79" s="5" t="n"/>
      <c r="F79" s="6" t="n"/>
      <c r="G79" s="7" t="n"/>
      <c r="H79" s="7" t="n"/>
      <c r="I79" s="7" t="n"/>
      <c r="J79" s="5" t="n"/>
      <c r="K79" s="5" t="n"/>
      <c r="L79" s="5" t="n"/>
      <c r="M79" s="8" t="n"/>
      <c r="N79" s="6" t="n"/>
      <c r="O79" s="9" t="n"/>
    </row>
    <row r="80">
      <c r="A80" s="5" t="n"/>
      <c r="B80" s="5" t="n"/>
      <c r="C80" s="5" t="n"/>
      <c r="D80" s="5" t="n"/>
      <c r="E80" s="5" t="n"/>
      <c r="F80" s="6" t="n"/>
      <c r="G80" s="7" t="n"/>
      <c r="H80" s="7" t="n"/>
      <c r="I80" s="7" t="n"/>
      <c r="J80" s="5" t="n"/>
      <c r="K80" s="5" t="n"/>
      <c r="L80" s="5" t="n"/>
      <c r="M80" s="8" t="n"/>
      <c r="N80" s="6" t="n"/>
      <c r="O80" s="9" t="n"/>
    </row>
    <row r="81">
      <c r="A81" s="5" t="n"/>
      <c r="B81" s="5" t="n"/>
      <c r="C81" s="5" t="n"/>
      <c r="D81" s="5" t="n"/>
      <c r="E81" s="5" t="n"/>
      <c r="F81" s="6" t="n"/>
      <c r="G81" s="7" t="n"/>
      <c r="H81" s="7" t="n"/>
      <c r="I81" s="7" t="n"/>
      <c r="J81" s="5" t="n"/>
      <c r="K81" s="5" t="n"/>
      <c r="L81" s="5" t="n"/>
      <c r="M81" s="8" t="n"/>
      <c r="N81" s="6" t="n"/>
      <c r="O81" s="9" t="n"/>
    </row>
    <row r="82">
      <c r="A82" s="5" t="n"/>
      <c r="B82" s="5" t="n"/>
      <c r="C82" s="5" t="n"/>
      <c r="D82" s="5" t="n"/>
      <c r="E82" s="5" t="n"/>
      <c r="F82" s="6" t="n"/>
      <c r="G82" s="7" t="n"/>
      <c r="H82" s="7" t="n"/>
      <c r="I82" s="7" t="n"/>
      <c r="J82" s="5" t="n"/>
      <c r="K82" s="5" t="n"/>
      <c r="L82" s="5" t="n"/>
      <c r="M82" s="8" t="n"/>
      <c r="N82" s="6" t="n"/>
      <c r="O82" s="9" t="n"/>
    </row>
    <row r="83">
      <c r="A83" s="5" t="n"/>
      <c r="B83" s="5" t="n"/>
      <c r="C83" s="5" t="n"/>
      <c r="D83" s="5" t="n"/>
      <c r="E83" s="5" t="n"/>
      <c r="F83" s="6" t="n"/>
      <c r="G83" s="7" t="n"/>
      <c r="H83" s="7" t="n"/>
      <c r="I83" s="7" t="n"/>
      <c r="J83" s="5" t="n"/>
      <c r="K83" s="5" t="n"/>
      <c r="L83" s="5" t="n"/>
      <c r="M83" s="8" t="n"/>
      <c r="N83" s="6" t="n"/>
      <c r="O83" s="9" t="n"/>
    </row>
    <row r="84">
      <c r="A84" s="5" t="n"/>
      <c r="B84" s="5" t="n"/>
      <c r="C84" s="5" t="n"/>
      <c r="D84" s="5" t="n"/>
      <c r="E84" s="5" t="n"/>
      <c r="F84" s="6" t="n"/>
      <c r="G84" s="7" t="n"/>
      <c r="H84" s="7" t="n"/>
      <c r="I84" s="7" t="n"/>
      <c r="J84" s="5" t="n"/>
      <c r="K84" s="5" t="n"/>
      <c r="L84" s="5" t="n"/>
      <c r="M84" s="8" t="n"/>
      <c r="N84" s="6" t="n"/>
      <c r="O84" s="9" t="n"/>
    </row>
    <row r="85">
      <c r="A85" s="5" t="n"/>
      <c r="B85" s="5" t="n"/>
      <c r="C85" s="5" t="n"/>
      <c r="D85" s="5" t="n"/>
      <c r="E85" s="5" t="n"/>
      <c r="F85" s="6" t="n"/>
      <c r="G85" s="7" t="n"/>
      <c r="H85" s="7" t="n"/>
      <c r="I85" s="7" t="n"/>
      <c r="J85" s="5" t="n"/>
      <c r="K85" s="5" t="n"/>
      <c r="L85" s="5" t="n"/>
      <c r="M85" s="8" t="n"/>
      <c r="N85" s="6" t="n"/>
      <c r="O85" s="9" t="n"/>
    </row>
    <row r="86">
      <c r="A86" s="5" t="n"/>
      <c r="B86" s="5" t="n"/>
      <c r="C86" s="5" t="n"/>
      <c r="D86" s="5" t="n"/>
      <c r="E86" s="5" t="n"/>
      <c r="F86" s="6" t="n"/>
      <c r="G86" s="7" t="n"/>
      <c r="H86" s="7" t="n"/>
      <c r="I86" s="7" t="n"/>
      <c r="J86" s="5" t="n"/>
      <c r="K86" s="5" t="n"/>
      <c r="L86" s="5" t="n"/>
      <c r="M86" s="8" t="n"/>
      <c r="N86" s="6" t="n"/>
      <c r="O86" s="9" t="n"/>
    </row>
    <row r="87">
      <c r="A87" s="5" t="n"/>
      <c r="B87" s="5" t="n"/>
      <c r="C87" s="5" t="n"/>
      <c r="D87" s="5" t="n"/>
      <c r="E87" s="5" t="n"/>
      <c r="F87" s="6" t="n"/>
      <c r="G87" s="7" t="n"/>
      <c r="H87" s="7" t="n"/>
      <c r="I87" s="7" t="n"/>
      <c r="J87" s="5" t="n"/>
      <c r="K87" s="5" t="n"/>
      <c r="L87" s="5" t="n"/>
      <c r="M87" s="8" t="n"/>
      <c r="N87" s="6" t="n"/>
      <c r="O87" s="9" t="n"/>
    </row>
    <row r="88">
      <c r="A88" s="5" t="n"/>
      <c r="B88" s="5" t="n"/>
      <c r="C88" s="5" t="n"/>
      <c r="D88" s="5" t="n"/>
      <c r="E88" s="5" t="n"/>
      <c r="F88" s="6" t="n"/>
      <c r="G88" s="7" t="n"/>
      <c r="H88" s="7" t="n"/>
      <c r="I88" s="7" t="n"/>
      <c r="J88" s="5" t="n"/>
      <c r="K88" s="5" t="n"/>
      <c r="L88" s="5" t="n"/>
      <c r="M88" s="8" t="n"/>
      <c r="N88" s="6" t="n"/>
      <c r="O88" s="9" t="n"/>
    </row>
    <row r="89">
      <c r="A89" s="5" t="n"/>
      <c r="B89" s="5" t="n"/>
      <c r="C89" s="5" t="n"/>
      <c r="D89" s="5" t="n"/>
      <c r="E89" s="5" t="n"/>
      <c r="F89" s="6" t="n"/>
      <c r="G89" s="7" t="n"/>
      <c r="H89" s="7" t="n"/>
      <c r="I89" s="7" t="n"/>
      <c r="J89" s="5" t="n"/>
      <c r="K89" s="5" t="n"/>
      <c r="L89" s="5" t="n"/>
      <c r="M89" s="8" t="n"/>
      <c r="N89" s="6" t="n"/>
      <c r="O89" s="9" t="n"/>
    </row>
    <row r="90">
      <c r="A90" s="5" t="n"/>
      <c r="B90" s="5" t="n"/>
      <c r="C90" s="5" t="n"/>
      <c r="D90" s="5" t="n"/>
      <c r="E90" s="5" t="n"/>
      <c r="F90" s="6" t="n"/>
      <c r="G90" s="7" t="n"/>
      <c r="H90" s="7" t="n"/>
      <c r="I90" s="7" t="n"/>
      <c r="J90" s="5" t="n"/>
      <c r="K90" s="5" t="n"/>
      <c r="L90" s="5" t="n"/>
      <c r="M90" s="8" t="n"/>
      <c r="N90" s="6" t="n"/>
      <c r="O90" s="9" t="n"/>
    </row>
    <row r="91">
      <c r="A91" s="5" t="n"/>
      <c r="B91" s="5" t="n"/>
      <c r="C91" s="5" t="n"/>
      <c r="D91" s="5" t="n"/>
      <c r="E91" s="5" t="n"/>
      <c r="F91" s="6" t="n"/>
      <c r="G91" s="7" t="n"/>
      <c r="H91" s="7" t="n"/>
      <c r="I91" s="7" t="n"/>
      <c r="J91" s="5" t="n"/>
      <c r="K91" s="5" t="n"/>
      <c r="L91" s="5" t="n"/>
      <c r="M91" s="8" t="n"/>
      <c r="N91" s="6" t="n"/>
      <c r="O91" s="9" t="n"/>
    </row>
    <row r="92">
      <c r="A92" s="5" t="n"/>
      <c r="B92" s="5" t="n"/>
      <c r="C92" s="5" t="n"/>
      <c r="D92" s="5" t="n"/>
      <c r="E92" s="5" t="n"/>
      <c r="F92" s="6" t="n"/>
      <c r="G92" s="7" t="n"/>
      <c r="H92" s="7" t="n"/>
      <c r="I92" s="7" t="n"/>
      <c r="J92" s="5" t="n"/>
      <c r="K92" s="5" t="n"/>
      <c r="L92" s="5" t="n"/>
      <c r="M92" s="8" t="n"/>
      <c r="N92" s="6" t="n"/>
      <c r="O92" s="9" t="n"/>
    </row>
    <row r="93">
      <c r="A93" s="5" t="n"/>
      <c r="B93" s="5" t="n"/>
      <c r="C93" s="5" t="n"/>
      <c r="D93" s="5" t="n"/>
      <c r="E93" s="5" t="n"/>
      <c r="F93" s="6" t="n"/>
      <c r="G93" s="7" t="n"/>
      <c r="H93" s="7" t="n"/>
      <c r="I93" s="7" t="n"/>
      <c r="J93" s="5" t="n"/>
      <c r="K93" s="5" t="n"/>
      <c r="L93" s="5" t="n"/>
      <c r="M93" s="8" t="n"/>
      <c r="N93" s="6" t="n"/>
      <c r="O93" s="9" t="n"/>
    </row>
    <row r="94">
      <c r="A94" s="5" t="n"/>
      <c r="B94" s="5" t="n"/>
      <c r="C94" s="5" t="n"/>
      <c r="D94" s="5" t="n"/>
      <c r="E94" s="5" t="n"/>
      <c r="F94" s="6" t="n"/>
      <c r="G94" s="7" t="n"/>
      <c r="H94" s="7" t="n"/>
      <c r="I94" s="7" t="n"/>
      <c r="J94" s="5" t="n"/>
      <c r="K94" s="5" t="n"/>
      <c r="L94" s="5" t="n"/>
      <c r="M94" s="8" t="n"/>
      <c r="N94" s="6" t="n"/>
      <c r="O94" s="9" t="n"/>
    </row>
    <row r="95">
      <c r="A95" s="5" t="n"/>
      <c r="B95" s="5" t="n"/>
      <c r="C95" s="5" t="n"/>
      <c r="D95" s="5" t="n"/>
      <c r="E95" s="5" t="n"/>
      <c r="F95" s="6" t="n"/>
      <c r="G95" s="7" t="n"/>
      <c r="H95" s="7" t="n"/>
      <c r="I95" s="7" t="n"/>
      <c r="J95" s="5" t="n"/>
      <c r="K95" s="5" t="n"/>
      <c r="L95" s="5" t="n"/>
      <c r="M95" s="8" t="n"/>
      <c r="N95" s="6" t="n"/>
      <c r="O95" s="9" t="n"/>
    </row>
    <row r="96">
      <c r="A96" s="5" t="n"/>
      <c r="B96" s="5" t="n"/>
      <c r="C96" s="5" t="n"/>
      <c r="D96" s="5" t="n"/>
      <c r="E96" s="5" t="n"/>
      <c r="F96" s="6" t="n"/>
      <c r="G96" s="7" t="n"/>
      <c r="H96" s="7" t="n"/>
      <c r="I96" s="7" t="n"/>
      <c r="J96" s="5" t="n"/>
      <c r="K96" s="5" t="n"/>
      <c r="L96" s="5" t="n"/>
      <c r="M96" s="8" t="n"/>
      <c r="N96" s="6" t="n"/>
      <c r="O96" s="9" t="n"/>
    </row>
    <row r="97">
      <c r="A97" s="5" t="n"/>
      <c r="B97" s="5" t="n"/>
      <c r="C97" s="5" t="n"/>
      <c r="D97" s="5" t="n"/>
      <c r="E97" s="5" t="n"/>
      <c r="F97" s="6" t="n"/>
      <c r="G97" s="7" t="n"/>
      <c r="H97" s="7" t="n"/>
      <c r="I97" s="7" t="n"/>
      <c r="J97" s="5" t="n"/>
      <c r="K97" s="5" t="n"/>
      <c r="L97" s="5" t="n"/>
      <c r="M97" s="8" t="n"/>
      <c r="N97" s="6" t="n"/>
      <c r="O97" s="9" t="n"/>
    </row>
    <row r="98">
      <c r="A98" s="5" t="n"/>
      <c r="B98" s="5" t="n"/>
      <c r="C98" s="5" t="n"/>
      <c r="D98" s="5" t="n"/>
      <c r="E98" s="5" t="n"/>
      <c r="F98" s="6" t="n"/>
      <c r="G98" s="7" t="n"/>
      <c r="H98" s="7" t="n"/>
      <c r="I98" s="7" t="n"/>
      <c r="J98" s="5" t="n"/>
      <c r="K98" s="5" t="n"/>
      <c r="L98" s="5" t="n"/>
      <c r="M98" s="8" t="n"/>
      <c r="N98" s="6" t="n"/>
      <c r="O98" s="9" t="n"/>
    </row>
    <row r="99">
      <c r="A99" s="5" t="n"/>
      <c r="B99" s="5" t="n"/>
      <c r="C99" s="5" t="n"/>
      <c r="D99" s="5" t="n"/>
      <c r="E99" s="5" t="n"/>
      <c r="F99" s="6" t="n"/>
      <c r="G99" s="7" t="n"/>
      <c r="H99" s="7" t="n"/>
      <c r="I99" s="7" t="n"/>
      <c r="J99" s="5" t="n"/>
      <c r="K99" s="5" t="n"/>
      <c r="L99" s="5" t="n"/>
      <c r="M99" s="8" t="n"/>
      <c r="N99" s="6" t="n"/>
      <c r="O99" s="9" t="n"/>
    </row>
    <row r="100">
      <c r="A100" s="5" t="n"/>
      <c r="B100" s="5" t="n"/>
      <c r="C100" s="5" t="n"/>
      <c r="D100" s="5" t="n"/>
      <c r="E100" s="5" t="n"/>
      <c r="F100" s="6" t="n"/>
      <c r="G100" s="7" t="n"/>
      <c r="H100" s="7" t="n"/>
      <c r="I100" s="7" t="n"/>
      <c r="J100" s="5" t="n"/>
      <c r="K100" s="5" t="n"/>
      <c r="L100" s="5" t="n"/>
      <c r="M100" s="8" t="n"/>
      <c r="N100" s="6" t="n"/>
      <c r="O100" s="9" t="n"/>
    </row>
    <row r="101">
      <c r="A101" s="5" t="n"/>
      <c r="B101" s="5" t="n"/>
      <c r="C101" s="5" t="n"/>
      <c r="D101" s="5" t="n"/>
      <c r="E101" s="5" t="n"/>
      <c r="F101" s="6" t="n"/>
      <c r="G101" s="7" t="n"/>
      <c r="H101" s="7" t="n"/>
      <c r="I101" s="7" t="n"/>
      <c r="J101" s="5" t="n"/>
      <c r="K101" s="5" t="n"/>
      <c r="L101" s="5" t="n"/>
      <c r="M101" s="8" t="n"/>
      <c r="N101" s="6" t="n"/>
      <c r="O101" s="9" t="n"/>
    </row>
    <row r="102">
      <c r="A102" s="5" t="n"/>
      <c r="B102" s="5" t="n"/>
      <c r="C102" s="5" t="n"/>
      <c r="D102" s="5" t="n"/>
      <c r="E102" s="5" t="n"/>
      <c r="F102" s="6" t="n"/>
      <c r="G102" s="7" t="n"/>
      <c r="H102" s="7" t="n"/>
      <c r="I102" s="7" t="n"/>
      <c r="J102" s="5" t="n"/>
      <c r="K102" s="5" t="n"/>
      <c r="L102" s="5" t="n"/>
      <c r="M102" s="8" t="n"/>
      <c r="N102" s="6" t="n"/>
      <c r="O102" s="9" t="n"/>
    </row>
    <row r="103">
      <c r="A103" s="5" t="n"/>
      <c r="B103" s="5" t="n"/>
      <c r="C103" s="5" t="n"/>
      <c r="D103" s="5" t="n"/>
      <c r="E103" s="5" t="n"/>
      <c r="F103" s="6" t="n"/>
      <c r="G103" s="7" t="n"/>
      <c r="H103" s="7" t="n"/>
      <c r="I103" s="7" t="n"/>
      <c r="J103" s="5" t="n"/>
      <c r="K103" s="5" t="n"/>
      <c r="L103" s="5" t="n"/>
      <c r="M103" s="8" t="n"/>
      <c r="N103" s="6" t="n"/>
      <c r="O103" s="9" t="n"/>
    </row>
    <row r="104">
      <c r="A104" s="5" t="n"/>
      <c r="B104" s="5" t="n"/>
      <c r="C104" s="5" t="n"/>
      <c r="D104" s="5" t="n"/>
      <c r="E104" s="5" t="n"/>
      <c r="F104" s="6" t="n"/>
      <c r="G104" s="7" t="n"/>
      <c r="H104" s="7" t="n"/>
      <c r="I104" s="7" t="n"/>
      <c r="J104" s="5" t="n"/>
      <c r="K104" s="5" t="n"/>
      <c r="L104" s="5" t="n"/>
      <c r="M104" s="8" t="n"/>
      <c r="N104" s="6" t="n"/>
      <c r="O104" s="9" t="n"/>
    </row>
    <row r="105">
      <c r="A105" s="5" t="n"/>
      <c r="B105" s="5" t="n"/>
      <c r="C105" s="5" t="n"/>
      <c r="D105" s="5" t="n"/>
      <c r="E105" s="5" t="n"/>
      <c r="F105" s="6" t="n"/>
      <c r="G105" s="7" t="n"/>
      <c r="H105" s="7" t="n"/>
      <c r="I105" s="7" t="n"/>
      <c r="J105" s="5" t="n"/>
      <c r="K105" s="5" t="n"/>
      <c r="L105" s="5" t="n"/>
      <c r="M105" s="8" t="n"/>
      <c r="N105" s="6" t="n"/>
      <c r="O105" s="9" t="n"/>
    </row>
    <row r="106">
      <c r="A106" s="5" t="n"/>
      <c r="B106" s="5" t="n"/>
      <c r="C106" s="5" t="n"/>
      <c r="D106" s="5" t="n"/>
      <c r="E106" s="5" t="n"/>
      <c r="F106" s="6" t="n"/>
      <c r="G106" s="7" t="n"/>
      <c r="H106" s="7" t="n"/>
      <c r="I106" s="7" t="n"/>
      <c r="J106" s="5" t="n"/>
      <c r="K106" s="5" t="n"/>
      <c r="L106" s="5" t="n"/>
      <c r="M106" s="8" t="n"/>
      <c r="N106" s="6" t="n"/>
      <c r="O106" s="9" t="n"/>
    </row>
    <row r="107">
      <c r="A107" s="5" t="n"/>
      <c r="B107" s="5" t="n"/>
      <c r="C107" s="5" t="n"/>
      <c r="D107" s="5" t="n"/>
      <c r="E107" s="5" t="n"/>
      <c r="F107" s="6" t="n"/>
      <c r="G107" s="7" t="n"/>
      <c r="H107" s="7" t="n"/>
      <c r="I107" s="7" t="n"/>
      <c r="J107" s="5" t="n"/>
      <c r="K107" s="5" t="n"/>
      <c r="L107" s="5" t="n"/>
      <c r="M107" s="8" t="n"/>
      <c r="N107" s="6" t="n"/>
      <c r="O107" s="9" t="n"/>
    </row>
    <row r="108">
      <c r="A108" s="5" t="n"/>
      <c r="B108" s="5" t="n"/>
      <c r="C108" s="5" t="n"/>
      <c r="D108" s="5" t="n"/>
      <c r="E108" s="5" t="n"/>
      <c r="F108" s="6" t="n"/>
      <c r="G108" s="7" t="n"/>
      <c r="H108" s="7" t="n"/>
      <c r="I108" s="7" t="n"/>
      <c r="J108" s="5" t="n"/>
      <c r="K108" s="5" t="n"/>
      <c r="L108" s="5" t="n"/>
      <c r="M108" s="8" t="n"/>
      <c r="N108" s="6" t="n"/>
      <c r="O108" s="9" t="n"/>
    </row>
    <row r="109">
      <c r="A109" s="5" t="n"/>
      <c r="B109" s="5" t="n"/>
      <c r="C109" s="5" t="n"/>
      <c r="D109" s="5" t="n"/>
      <c r="E109" s="5" t="n"/>
      <c r="F109" s="6" t="n"/>
      <c r="G109" s="7" t="n"/>
      <c r="H109" s="7" t="n"/>
      <c r="I109" s="7" t="n"/>
      <c r="J109" s="5" t="n"/>
      <c r="K109" s="5" t="n"/>
      <c r="L109" s="5" t="n"/>
      <c r="M109" s="8" t="n"/>
      <c r="N109" s="6" t="n"/>
      <c r="O109" s="9" t="n"/>
    </row>
    <row r="110">
      <c r="A110" s="5" t="n"/>
      <c r="B110" s="5" t="n"/>
      <c r="C110" s="5" t="n"/>
      <c r="D110" s="5" t="n"/>
      <c r="E110" s="5" t="n"/>
      <c r="F110" s="6" t="n"/>
      <c r="G110" s="7" t="n"/>
      <c r="H110" s="7" t="n"/>
      <c r="I110" s="7" t="n"/>
      <c r="J110" s="5" t="n"/>
      <c r="K110" s="5" t="n"/>
      <c r="L110" s="5" t="n"/>
      <c r="M110" s="8" t="n"/>
      <c r="N110" s="6" t="n"/>
      <c r="O110" s="9" t="n"/>
    </row>
    <row r="111">
      <c r="A111" s="5" t="n"/>
      <c r="B111" s="5" t="n"/>
      <c r="C111" s="5" t="n"/>
      <c r="D111" s="5" t="n"/>
      <c r="E111" s="5" t="n"/>
      <c r="F111" s="6" t="n"/>
      <c r="G111" s="7" t="n"/>
      <c r="H111" s="7" t="n"/>
      <c r="I111" s="7" t="n"/>
      <c r="J111" s="5" t="n"/>
      <c r="K111" s="5" t="n"/>
      <c r="L111" s="5" t="n"/>
      <c r="M111" s="8" t="n"/>
      <c r="N111" s="6" t="n"/>
      <c r="O111" s="9" t="n"/>
    </row>
    <row r="112">
      <c r="A112" s="5" t="n"/>
      <c r="B112" s="5" t="n"/>
      <c r="C112" s="5" t="n"/>
      <c r="D112" s="5" t="n"/>
      <c r="E112" s="5" t="n"/>
      <c r="F112" s="6" t="n"/>
      <c r="G112" s="7" t="n"/>
      <c r="H112" s="7" t="n"/>
      <c r="I112" s="7" t="n"/>
      <c r="J112" s="5" t="n"/>
      <c r="K112" s="5" t="n"/>
      <c r="L112" s="5" t="n"/>
      <c r="M112" s="8" t="n"/>
      <c r="N112" s="6" t="n"/>
      <c r="O112" s="9" t="n"/>
    </row>
    <row r="113">
      <c r="A113" s="5" t="n"/>
      <c r="B113" s="5" t="n"/>
      <c r="C113" s="5" t="n"/>
      <c r="D113" s="5" t="n"/>
      <c r="E113" s="5" t="n"/>
      <c r="F113" s="6" t="n"/>
      <c r="G113" s="7" t="n"/>
      <c r="H113" s="7" t="n"/>
      <c r="I113" s="7" t="n"/>
      <c r="J113" s="5" t="n"/>
      <c r="K113" s="5" t="n"/>
      <c r="L113" s="5" t="n"/>
      <c r="M113" s="8" t="n"/>
      <c r="N113" s="6" t="n"/>
      <c r="O113" s="9" t="n"/>
    </row>
    <row r="114">
      <c r="A114" s="5" t="n"/>
      <c r="B114" s="5" t="n"/>
      <c r="C114" s="5" t="n"/>
      <c r="D114" s="5" t="n"/>
      <c r="E114" s="5" t="n"/>
      <c r="F114" s="6" t="n"/>
      <c r="G114" s="7" t="n"/>
      <c r="H114" s="7" t="n"/>
      <c r="I114" s="7" t="n"/>
      <c r="J114" s="5" t="n"/>
      <c r="K114" s="5" t="n"/>
      <c r="L114" s="5" t="n"/>
      <c r="M114" s="8" t="n"/>
      <c r="N114" s="6" t="n"/>
      <c r="O114" s="9" t="n"/>
    </row>
    <row r="115">
      <c r="A115" s="5" t="n"/>
      <c r="B115" s="5" t="n"/>
      <c r="C115" s="5" t="n"/>
      <c r="D115" s="5" t="n"/>
      <c r="E115" s="5" t="n"/>
      <c r="F115" s="6" t="n"/>
      <c r="G115" s="7" t="n"/>
      <c r="H115" s="7" t="n"/>
      <c r="I115" s="7" t="n"/>
      <c r="J115" s="5" t="n"/>
      <c r="K115" s="5" t="n"/>
      <c r="L115" s="5" t="n"/>
      <c r="M115" s="8" t="n"/>
      <c r="N115" s="6" t="n"/>
      <c r="O115" s="9" t="n"/>
    </row>
    <row r="116">
      <c r="A116" s="5" t="n"/>
      <c r="B116" s="5" t="n"/>
      <c r="C116" s="5" t="n"/>
      <c r="D116" s="5" t="n"/>
      <c r="E116" s="5" t="n"/>
      <c r="F116" s="6" t="n"/>
      <c r="G116" s="7" t="n"/>
      <c r="H116" s="7" t="n"/>
      <c r="I116" s="7" t="n"/>
      <c r="J116" s="5" t="n"/>
      <c r="K116" s="5" t="n"/>
      <c r="L116" s="5" t="n"/>
      <c r="M116" s="8" t="n"/>
      <c r="N116" s="6" t="n"/>
      <c r="O116" s="9" t="n"/>
    </row>
    <row r="117">
      <c r="A117" s="5" t="n"/>
      <c r="B117" s="5" t="n"/>
      <c r="C117" s="5" t="n"/>
      <c r="D117" s="5" t="n"/>
      <c r="E117" s="5" t="n"/>
      <c r="F117" s="6" t="n"/>
      <c r="G117" s="7" t="n"/>
      <c r="H117" s="7" t="n"/>
      <c r="I117" s="7" t="n"/>
      <c r="J117" s="5" t="n"/>
      <c r="K117" s="5" t="n"/>
      <c r="L117" s="5" t="n"/>
      <c r="M117" s="8" t="n"/>
      <c r="N117" s="6" t="n"/>
      <c r="O117" s="9" t="n"/>
    </row>
    <row r="118">
      <c r="A118" s="5" t="n"/>
      <c r="B118" s="5" t="n"/>
      <c r="C118" s="5" t="n"/>
      <c r="D118" s="5" t="n"/>
      <c r="E118" s="5" t="n"/>
      <c r="F118" s="6" t="n"/>
      <c r="G118" s="7" t="n"/>
      <c r="H118" s="7" t="n"/>
      <c r="I118" s="7" t="n"/>
      <c r="J118" s="5" t="n"/>
      <c r="K118" s="5" t="n"/>
      <c r="L118" s="5" t="n"/>
      <c r="M118" s="8" t="n"/>
      <c r="N118" s="6" t="n"/>
      <c r="O118" s="9" t="n"/>
    </row>
    <row r="119">
      <c r="A119" s="5" t="n"/>
      <c r="B119" s="5" t="n"/>
      <c r="C119" s="5" t="n"/>
      <c r="D119" s="5" t="n"/>
      <c r="E119" s="5" t="n"/>
      <c r="F119" s="6" t="n"/>
      <c r="G119" s="7" t="n"/>
      <c r="H119" s="7" t="n"/>
      <c r="I119" s="7" t="n"/>
      <c r="J119" s="5" t="n"/>
      <c r="K119" s="5" t="n"/>
      <c r="L119" s="5" t="n"/>
      <c r="M119" s="8" t="n"/>
      <c r="N119" s="6" t="n"/>
      <c r="O119" s="9" t="n"/>
    </row>
    <row r="120">
      <c r="A120" s="5" t="n"/>
      <c r="B120" s="5" t="n"/>
      <c r="C120" s="5" t="n"/>
      <c r="D120" s="5" t="n"/>
      <c r="E120" s="5" t="n"/>
      <c r="F120" s="6" t="n"/>
      <c r="G120" s="7" t="n"/>
      <c r="H120" s="7" t="n"/>
      <c r="I120" s="7" t="n"/>
      <c r="J120" s="5" t="n"/>
      <c r="K120" s="5" t="n"/>
      <c r="L120" s="5" t="n"/>
      <c r="M120" s="8" t="n"/>
      <c r="N120" s="6" t="n"/>
      <c r="O120" s="9" t="n"/>
    </row>
    <row r="121">
      <c r="A121" s="5" t="n"/>
      <c r="B121" s="5" t="n"/>
      <c r="C121" s="5" t="n"/>
      <c r="D121" s="5" t="n"/>
      <c r="E121" s="5" t="n"/>
      <c r="F121" s="6" t="n"/>
      <c r="G121" s="7" t="n"/>
      <c r="H121" s="7" t="n"/>
      <c r="I121" s="7" t="n"/>
      <c r="J121" s="5" t="n"/>
      <c r="K121" s="5" t="n"/>
      <c r="L121" s="5" t="n"/>
      <c r="M121" s="8" t="n"/>
      <c r="N121" s="6" t="n"/>
      <c r="O121" s="9" t="n"/>
    </row>
    <row r="122">
      <c r="A122" s="5" t="n"/>
      <c r="B122" s="5" t="n"/>
      <c r="C122" s="5" t="n"/>
      <c r="D122" s="5" t="n"/>
      <c r="E122" s="5" t="n"/>
      <c r="F122" s="6" t="n"/>
      <c r="G122" s="7" t="n"/>
      <c r="H122" s="7" t="n"/>
      <c r="I122" s="7" t="n"/>
      <c r="J122" s="5" t="n"/>
      <c r="K122" s="5" t="n"/>
      <c r="L122" s="5" t="n"/>
      <c r="M122" s="8" t="n"/>
      <c r="N122" s="6" t="n"/>
      <c r="O122" s="9" t="n"/>
    </row>
    <row r="123">
      <c r="A123" s="5" t="n"/>
      <c r="B123" s="5" t="n"/>
      <c r="C123" s="5" t="n"/>
      <c r="D123" s="5" t="n"/>
      <c r="E123" s="5" t="n"/>
      <c r="F123" s="6" t="n"/>
      <c r="G123" s="7" t="n"/>
      <c r="H123" s="7" t="n"/>
      <c r="I123" s="7" t="n"/>
      <c r="J123" s="5" t="n"/>
      <c r="K123" s="5" t="n"/>
      <c r="L123" s="5" t="n"/>
      <c r="M123" s="8" t="n"/>
      <c r="N123" s="6" t="n"/>
      <c r="O123" s="9" t="n"/>
    </row>
    <row r="124">
      <c r="A124" s="5" t="n"/>
      <c r="B124" s="5" t="n"/>
      <c r="C124" s="5" t="n"/>
      <c r="D124" s="5" t="n"/>
      <c r="E124" s="5" t="n"/>
      <c r="F124" s="6" t="n"/>
      <c r="G124" s="7" t="n"/>
      <c r="H124" s="7" t="n"/>
      <c r="I124" s="7" t="n"/>
      <c r="J124" s="5" t="n"/>
      <c r="K124" s="5" t="n"/>
      <c r="L124" s="5" t="n"/>
      <c r="M124" s="8" t="n"/>
      <c r="N124" s="6" t="n"/>
      <c r="O124" s="9" t="n"/>
    </row>
    <row r="125">
      <c r="A125" s="5" t="n"/>
      <c r="B125" s="5" t="n"/>
      <c r="C125" s="5" t="n"/>
      <c r="D125" s="5" t="n"/>
      <c r="E125" s="5" t="n"/>
      <c r="F125" s="6" t="n"/>
      <c r="G125" s="7" t="n"/>
      <c r="H125" s="7" t="n"/>
      <c r="I125" s="7" t="n"/>
      <c r="J125" s="5" t="n"/>
      <c r="K125" s="5" t="n"/>
      <c r="L125" s="5" t="n"/>
      <c r="M125" s="8" t="n"/>
      <c r="N125" s="6" t="n"/>
      <c r="O125" s="9" t="n"/>
    </row>
    <row r="126">
      <c r="A126" s="5" t="n"/>
      <c r="B126" s="5" t="n"/>
      <c r="C126" s="5" t="n"/>
      <c r="D126" s="5" t="n"/>
      <c r="E126" s="5" t="n"/>
      <c r="F126" s="6" t="n"/>
      <c r="G126" s="7" t="n"/>
      <c r="H126" s="7" t="n"/>
      <c r="I126" s="7" t="n"/>
      <c r="J126" s="5" t="n"/>
      <c r="K126" s="5" t="n"/>
      <c r="L126" s="5" t="n"/>
      <c r="M126" s="8" t="n"/>
      <c r="N126" s="6" t="n"/>
      <c r="O126" s="9" t="n"/>
    </row>
    <row r="127">
      <c r="A127" s="5" t="n"/>
      <c r="B127" s="5" t="n"/>
      <c r="C127" s="5" t="n"/>
      <c r="D127" s="5" t="n"/>
      <c r="E127" s="5" t="n"/>
      <c r="F127" s="6" t="n"/>
      <c r="G127" s="7" t="n"/>
      <c r="H127" s="7" t="n"/>
      <c r="I127" s="7" t="n"/>
      <c r="J127" s="5" t="n"/>
      <c r="K127" s="5" t="n"/>
      <c r="L127" s="5" t="n"/>
      <c r="M127" s="8" t="n"/>
      <c r="N127" s="6" t="n"/>
      <c r="O127" s="9" t="n"/>
    </row>
    <row r="128">
      <c r="A128" s="5" t="n"/>
      <c r="B128" s="5" t="n"/>
      <c r="C128" s="5" t="n"/>
      <c r="D128" s="5" t="n"/>
      <c r="E128" s="5" t="n"/>
      <c r="F128" s="6" t="n"/>
      <c r="G128" s="7" t="n"/>
      <c r="H128" s="7" t="n"/>
      <c r="I128" s="7" t="n"/>
      <c r="J128" s="5" t="n"/>
      <c r="K128" s="5" t="n"/>
      <c r="L128" s="5" t="n"/>
      <c r="M128" s="8" t="n"/>
      <c r="N128" s="6" t="n"/>
      <c r="O128" s="9" t="n"/>
    </row>
    <row r="129">
      <c r="A129" s="5" t="n"/>
      <c r="B129" s="5" t="n"/>
      <c r="C129" s="5" t="n"/>
      <c r="D129" s="5" t="n"/>
      <c r="E129" s="5" t="n"/>
      <c r="F129" s="6" t="n"/>
      <c r="G129" s="7" t="n"/>
      <c r="H129" s="7" t="n"/>
      <c r="I129" s="7" t="n"/>
      <c r="J129" s="5" t="n"/>
      <c r="K129" s="5" t="n"/>
      <c r="L129" s="5" t="n"/>
      <c r="M129" s="8" t="n"/>
      <c r="N129" s="6" t="n"/>
      <c r="O129" s="9" t="n"/>
    </row>
    <row r="130">
      <c r="A130" s="5" t="n"/>
      <c r="B130" s="5" t="n"/>
      <c r="C130" s="5" t="n"/>
      <c r="D130" s="5" t="n"/>
      <c r="E130" s="5" t="n"/>
      <c r="F130" s="6" t="n"/>
      <c r="G130" s="7" t="n"/>
      <c r="H130" s="7" t="n"/>
      <c r="I130" s="7" t="n"/>
      <c r="J130" s="5" t="n"/>
      <c r="K130" s="5" t="n"/>
      <c r="L130" s="5" t="n"/>
      <c r="M130" s="8" t="n"/>
      <c r="N130" s="6" t="n"/>
      <c r="O130" s="9" t="n"/>
    </row>
    <row r="131">
      <c r="A131" s="5" t="n"/>
      <c r="B131" s="5" t="n"/>
      <c r="C131" s="5" t="n"/>
      <c r="D131" s="5" t="n"/>
      <c r="E131" s="5" t="n"/>
      <c r="F131" s="6" t="n"/>
      <c r="G131" s="7" t="n"/>
      <c r="H131" s="7" t="n"/>
      <c r="I131" s="7" t="n"/>
      <c r="J131" s="5" t="n"/>
      <c r="K131" s="5" t="n"/>
      <c r="L131" s="5" t="n"/>
      <c r="M131" s="8" t="n"/>
      <c r="N131" s="6" t="n"/>
      <c r="O131" s="9" t="n"/>
    </row>
    <row r="132">
      <c r="A132" s="5" t="n"/>
      <c r="B132" s="5" t="n"/>
      <c r="C132" s="5" t="n"/>
      <c r="D132" s="5" t="n"/>
      <c r="E132" s="5" t="n"/>
      <c r="F132" s="6" t="n"/>
      <c r="G132" s="7" t="n"/>
      <c r="H132" s="7" t="n"/>
      <c r="I132" s="7" t="n"/>
      <c r="J132" s="5" t="n"/>
      <c r="K132" s="5" t="n"/>
      <c r="L132" s="5" t="n"/>
      <c r="M132" s="8" t="n"/>
      <c r="N132" s="6" t="n"/>
      <c r="O132" s="9" t="n"/>
    </row>
    <row r="133">
      <c r="A133" s="5" t="n"/>
      <c r="B133" s="5" t="n"/>
      <c r="C133" s="5" t="n"/>
      <c r="D133" s="5" t="n"/>
      <c r="E133" s="5" t="n"/>
      <c r="F133" s="6" t="n"/>
      <c r="G133" s="7" t="n"/>
      <c r="H133" s="7" t="n"/>
      <c r="I133" s="7" t="n"/>
      <c r="J133" s="5" t="n"/>
      <c r="K133" s="5" t="n"/>
      <c r="L133" s="5" t="n"/>
      <c r="M133" s="8" t="n"/>
      <c r="N133" s="6" t="n"/>
      <c r="O133" s="9" t="n"/>
    </row>
    <row r="134">
      <c r="A134" s="5" t="n"/>
      <c r="B134" s="5" t="n"/>
      <c r="C134" s="5" t="n"/>
      <c r="D134" s="5" t="n"/>
      <c r="E134" s="5" t="n"/>
      <c r="F134" s="6" t="n"/>
      <c r="G134" s="7" t="n"/>
      <c r="H134" s="7" t="n"/>
      <c r="I134" s="7" t="n"/>
      <c r="J134" s="5" t="n"/>
      <c r="K134" s="5" t="n"/>
      <c r="L134" s="5" t="n"/>
      <c r="M134" s="8" t="n"/>
      <c r="N134" s="6" t="n"/>
      <c r="O134" s="9" t="n"/>
    </row>
    <row r="135">
      <c r="A135" s="5" t="n"/>
      <c r="B135" s="5" t="n"/>
      <c r="C135" s="5" t="n"/>
      <c r="D135" s="5" t="n"/>
      <c r="E135" s="5" t="n"/>
      <c r="F135" s="6" t="n"/>
      <c r="G135" s="7" t="n"/>
      <c r="H135" s="7" t="n"/>
      <c r="I135" s="7" t="n"/>
      <c r="J135" s="5" t="n"/>
      <c r="K135" s="5" t="n"/>
      <c r="L135" s="5" t="n"/>
      <c r="M135" s="8" t="n"/>
      <c r="N135" s="6" t="n"/>
      <c r="O135" s="9" t="n"/>
    </row>
    <row r="136">
      <c r="A136" s="5" t="n"/>
      <c r="B136" s="5" t="n"/>
      <c r="C136" s="5" t="n"/>
      <c r="D136" s="5" t="n"/>
      <c r="E136" s="5" t="n"/>
      <c r="F136" s="6" t="n"/>
      <c r="G136" s="7" t="n"/>
      <c r="H136" s="7" t="n"/>
      <c r="I136" s="7" t="n"/>
      <c r="J136" s="5" t="n"/>
      <c r="K136" s="5" t="n"/>
      <c r="L136" s="5" t="n"/>
      <c r="M136" s="8" t="n"/>
      <c r="N136" s="6" t="n"/>
      <c r="O136" s="9" t="n"/>
    </row>
    <row r="137">
      <c r="A137" s="5" t="n"/>
      <c r="B137" s="5" t="n"/>
      <c r="C137" s="5" t="n"/>
      <c r="D137" s="5" t="n"/>
      <c r="E137" s="5" t="n"/>
      <c r="F137" s="6" t="n"/>
      <c r="G137" s="7" t="n"/>
      <c r="H137" s="7" t="n"/>
      <c r="I137" s="7" t="n"/>
      <c r="J137" s="5" t="n"/>
      <c r="K137" s="5" t="n"/>
      <c r="L137" s="5" t="n"/>
      <c r="M137" s="8" t="n"/>
      <c r="N137" s="6" t="n"/>
      <c r="O137" s="9" t="n"/>
    </row>
    <row r="138">
      <c r="A138" s="5" t="n"/>
      <c r="B138" s="5" t="n"/>
      <c r="C138" s="5" t="n"/>
      <c r="D138" s="5" t="n"/>
      <c r="E138" s="5" t="n"/>
      <c r="F138" s="6" t="n"/>
      <c r="G138" s="7" t="n"/>
      <c r="H138" s="7" t="n"/>
      <c r="I138" s="7" t="n"/>
      <c r="J138" s="5" t="n"/>
      <c r="K138" s="5" t="n"/>
      <c r="L138" s="5" t="n"/>
      <c r="M138" s="8" t="n"/>
      <c r="N138" s="6" t="n"/>
      <c r="O138" s="9" t="n"/>
    </row>
    <row r="139">
      <c r="A139" s="5" t="n"/>
      <c r="B139" s="5" t="n"/>
      <c r="C139" s="5" t="n"/>
      <c r="D139" s="5" t="n"/>
      <c r="E139" s="5" t="n"/>
      <c r="F139" s="6" t="n"/>
      <c r="G139" s="7" t="n"/>
      <c r="H139" s="7" t="n"/>
      <c r="I139" s="7" t="n"/>
      <c r="J139" s="5" t="n"/>
      <c r="K139" s="5" t="n"/>
      <c r="L139" s="5" t="n"/>
      <c r="M139" s="8" t="n"/>
      <c r="N139" s="6" t="n"/>
      <c r="O139" s="9" t="n"/>
    </row>
    <row r="140">
      <c r="A140" s="5" t="n"/>
      <c r="B140" s="5" t="n"/>
      <c r="C140" s="5" t="n"/>
      <c r="D140" s="5" t="n"/>
      <c r="E140" s="5" t="n"/>
      <c r="F140" s="6" t="n"/>
      <c r="G140" s="7" t="n"/>
      <c r="H140" s="7" t="n"/>
      <c r="I140" s="7" t="n"/>
      <c r="J140" s="5" t="n"/>
      <c r="K140" s="5" t="n"/>
      <c r="L140" s="5" t="n"/>
      <c r="M140" s="8" t="n"/>
      <c r="N140" s="6" t="n"/>
      <c r="O140" s="9" t="n"/>
    </row>
    <row r="141">
      <c r="A141" s="5" t="n"/>
      <c r="B141" s="5" t="n"/>
      <c r="C141" s="5" t="n"/>
      <c r="D141" s="5" t="n"/>
      <c r="E141" s="5" t="n"/>
      <c r="F141" s="6" t="n"/>
      <c r="G141" s="7" t="n"/>
      <c r="H141" s="7" t="n"/>
      <c r="I141" s="7" t="n"/>
      <c r="J141" s="5" t="n"/>
      <c r="K141" s="5" t="n"/>
      <c r="L141" s="5" t="n"/>
      <c r="M141" s="8" t="n"/>
      <c r="N141" s="6" t="n"/>
      <c r="O141" s="9" t="n"/>
    </row>
    <row r="142">
      <c r="A142" s="5" t="n"/>
      <c r="B142" s="5" t="n"/>
      <c r="C142" s="5" t="n"/>
      <c r="D142" s="5" t="n"/>
      <c r="E142" s="5" t="n"/>
      <c r="F142" s="6" t="n"/>
      <c r="G142" s="7" t="n"/>
      <c r="H142" s="7" t="n"/>
      <c r="I142" s="7" t="n"/>
      <c r="J142" s="5" t="n"/>
      <c r="K142" s="5" t="n"/>
      <c r="L142" s="5" t="n"/>
      <c r="M142" s="8" t="n"/>
      <c r="N142" s="6" t="n"/>
      <c r="O142" s="9" t="n"/>
    </row>
    <row r="143">
      <c r="A143" s="5" t="n"/>
      <c r="B143" s="5" t="n"/>
      <c r="C143" s="5" t="n"/>
      <c r="D143" s="5" t="n"/>
      <c r="E143" s="5" t="n"/>
      <c r="F143" s="6" t="n"/>
      <c r="G143" s="7" t="n"/>
      <c r="H143" s="7" t="n"/>
      <c r="I143" s="7" t="n"/>
      <c r="J143" s="5" t="n"/>
      <c r="K143" s="5" t="n"/>
      <c r="L143" s="5" t="n"/>
      <c r="M143" s="8" t="n"/>
      <c r="N143" s="6" t="n"/>
      <c r="O143" s="9" t="n"/>
    </row>
    <row r="144">
      <c r="A144" s="5" t="n"/>
      <c r="B144" s="5" t="n"/>
      <c r="C144" s="5" t="n"/>
      <c r="D144" s="5" t="n"/>
      <c r="E144" s="5" t="n"/>
      <c r="F144" s="6" t="n"/>
      <c r="G144" s="7" t="n"/>
      <c r="H144" s="7" t="n"/>
      <c r="I144" s="7" t="n"/>
      <c r="J144" s="5" t="n"/>
      <c r="K144" s="5" t="n"/>
      <c r="L144" s="5" t="n"/>
      <c r="M144" s="8" t="n"/>
      <c r="N144" s="6" t="n"/>
      <c r="O144" s="9" t="n"/>
    </row>
    <row r="145">
      <c r="A145" s="5" t="n"/>
      <c r="B145" s="5" t="n"/>
      <c r="C145" s="5" t="n"/>
      <c r="D145" s="5" t="n"/>
      <c r="E145" s="5" t="n"/>
      <c r="F145" s="6" t="n"/>
      <c r="G145" s="7" t="n"/>
      <c r="H145" s="7" t="n"/>
      <c r="I145" s="7" t="n"/>
      <c r="J145" s="5" t="n"/>
      <c r="K145" s="5" t="n"/>
      <c r="L145" s="5" t="n"/>
      <c r="M145" s="8" t="n"/>
      <c r="N145" s="6" t="n"/>
      <c r="O145" s="9" t="n"/>
    </row>
    <row r="146">
      <c r="A146" s="5" t="n"/>
      <c r="B146" s="5" t="n"/>
      <c r="C146" s="5" t="n"/>
      <c r="D146" s="5" t="n"/>
      <c r="E146" s="5" t="n"/>
      <c r="F146" s="6" t="n"/>
      <c r="G146" s="7" t="n"/>
      <c r="H146" s="7" t="n"/>
      <c r="I146" s="7" t="n"/>
      <c r="J146" s="5" t="n"/>
      <c r="K146" s="5" t="n"/>
      <c r="L146" s="5" t="n"/>
      <c r="M146" s="8" t="n"/>
      <c r="N146" s="6" t="n"/>
      <c r="O146" s="9" t="n"/>
    </row>
    <row r="147">
      <c r="A147" s="5" t="n"/>
      <c r="B147" s="5" t="n"/>
      <c r="C147" s="5" t="n"/>
      <c r="D147" s="5" t="n"/>
      <c r="E147" s="5" t="n"/>
      <c r="F147" s="6" t="n"/>
      <c r="G147" s="7" t="n"/>
      <c r="H147" s="7" t="n"/>
      <c r="I147" s="7" t="n"/>
      <c r="J147" s="5" t="n"/>
      <c r="K147" s="5" t="n"/>
      <c r="L147" s="5" t="n"/>
      <c r="M147" s="8" t="n"/>
      <c r="N147" s="6" t="n"/>
      <c r="O147" s="9" t="n"/>
    </row>
    <row r="148">
      <c r="A148" s="5" t="n"/>
      <c r="B148" s="5" t="n"/>
      <c r="C148" s="5" t="n"/>
      <c r="D148" s="5" t="n"/>
      <c r="E148" s="5" t="n"/>
      <c r="F148" s="6" t="n"/>
      <c r="G148" s="7" t="n"/>
      <c r="H148" s="7" t="n"/>
      <c r="I148" s="7" t="n"/>
      <c r="J148" s="5" t="n"/>
      <c r="K148" s="5" t="n"/>
      <c r="L148" s="5" t="n"/>
      <c r="M148" s="8" t="n"/>
      <c r="N148" s="6" t="n"/>
      <c r="O148" s="9" t="n"/>
    </row>
    <row r="149">
      <c r="A149" s="5" t="n"/>
      <c r="B149" s="5" t="n"/>
      <c r="C149" s="5" t="n"/>
      <c r="D149" s="5" t="n"/>
      <c r="E149" s="5" t="n"/>
      <c r="F149" s="6" t="n"/>
      <c r="G149" s="7" t="n"/>
      <c r="H149" s="7" t="n"/>
      <c r="I149" s="7" t="n"/>
      <c r="J149" s="5" t="n"/>
      <c r="K149" s="5" t="n"/>
      <c r="L149" s="5" t="n"/>
      <c r="M149" s="8" t="n"/>
      <c r="N149" s="6" t="n"/>
      <c r="O149" s="9" t="n"/>
    </row>
    <row r="150">
      <c r="A150" s="5" t="n"/>
      <c r="B150" s="5" t="n"/>
      <c r="C150" s="5" t="n"/>
      <c r="D150" s="5" t="n"/>
      <c r="E150" s="5" t="n"/>
      <c r="F150" s="6" t="n"/>
      <c r="G150" s="7" t="n"/>
      <c r="H150" s="7" t="n"/>
      <c r="I150" s="7" t="n"/>
      <c r="J150" s="5" t="n"/>
      <c r="K150" s="5" t="n"/>
      <c r="L150" s="5" t="n"/>
      <c r="M150" s="8" t="n"/>
      <c r="N150" s="6" t="n"/>
      <c r="O150" s="9" t="n"/>
    </row>
    <row r="151">
      <c r="A151" s="5" t="n"/>
      <c r="B151" s="5" t="n"/>
      <c r="C151" s="5" t="n"/>
      <c r="D151" s="5" t="n"/>
      <c r="E151" s="5" t="n"/>
      <c r="F151" s="6" t="n"/>
      <c r="G151" s="7" t="n"/>
      <c r="H151" s="7" t="n"/>
      <c r="I151" s="7" t="n"/>
      <c r="J151" s="5" t="n"/>
      <c r="K151" s="5" t="n"/>
      <c r="L151" s="5" t="n"/>
      <c r="M151" s="8" t="n"/>
      <c r="N151" s="6" t="n"/>
      <c r="O151" s="9" t="n"/>
    </row>
    <row r="152">
      <c r="A152" s="5" t="n"/>
      <c r="B152" s="5" t="n"/>
      <c r="C152" s="5" t="n"/>
      <c r="D152" s="5" t="n"/>
      <c r="E152" s="5" t="n"/>
      <c r="F152" s="6" t="n"/>
      <c r="G152" s="7" t="n"/>
      <c r="H152" s="7" t="n"/>
      <c r="I152" s="7" t="n"/>
      <c r="J152" s="5" t="n"/>
      <c r="K152" s="5" t="n"/>
      <c r="L152" s="5" t="n"/>
      <c r="M152" s="8" t="n"/>
      <c r="N152" s="6" t="n"/>
      <c r="O152" s="9" t="n"/>
    </row>
    <row r="153">
      <c r="A153" s="5" t="n"/>
      <c r="B153" s="5" t="n"/>
      <c r="C153" s="5" t="n"/>
      <c r="D153" s="5" t="n"/>
      <c r="E153" s="5" t="n"/>
      <c r="F153" s="6" t="n"/>
      <c r="G153" s="7" t="n"/>
      <c r="H153" s="7" t="n"/>
      <c r="I153" s="7" t="n"/>
      <c r="J153" s="5" t="n"/>
      <c r="K153" s="5" t="n"/>
      <c r="L153" s="5" t="n"/>
      <c r="M153" s="8" t="n"/>
      <c r="N153" s="6" t="n"/>
      <c r="O153" s="9" t="n"/>
    </row>
    <row r="154">
      <c r="A154" s="5" t="n"/>
      <c r="B154" s="5" t="n"/>
      <c r="C154" s="5" t="n"/>
      <c r="D154" s="5" t="n"/>
      <c r="E154" s="5" t="n"/>
      <c r="F154" s="6" t="n"/>
      <c r="G154" s="7" t="n"/>
      <c r="H154" s="7" t="n"/>
      <c r="I154" s="7" t="n"/>
      <c r="J154" s="5" t="n"/>
      <c r="K154" s="5" t="n"/>
      <c r="L154" s="5" t="n"/>
      <c r="M154" s="8" t="n"/>
      <c r="N154" s="6" t="n"/>
      <c r="O154" s="9" t="n"/>
    </row>
    <row r="155">
      <c r="A155" s="5" t="n"/>
      <c r="B155" s="5" t="n"/>
      <c r="C155" s="5" t="n"/>
      <c r="D155" s="5" t="n"/>
      <c r="E155" s="5" t="n"/>
      <c r="F155" s="6" t="n"/>
      <c r="G155" s="7" t="n"/>
      <c r="H155" s="7" t="n"/>
      <c r="I155" s="7" t="n"/>
      <c r="J155" s="5" t="n"/>
      <c r="K155" s="5" t="n"/>
      <c r="L155" s="5" t="n"/>
      <c r="M155" s="8" t="n"/>
      <c r="N155" s="6" t="n"/>
      <c r="O155" s="9" t="n"/>
    </row>
    <row r="156">
      <c r="A156" s="5" t="n"/>
      <c r="B156" s="5" t="n"/>
      <c r="C156" s="5" t="n"/>
      <c r="D156" s="5" t="n"/>
      <c r="E156" s="5" t="n"/>
      <c r="F156" s="6" t="n"/>
      <c r="G156" s="7" t="n"/>
      <c r="H156" s="7" t="n"/>
      <c r="I156" s="7" t="n"/>
      <c r="J156" s="5" t="n"/>
      <c r="K156" s="5" t="n"/>
      <c r="L156" s="5" t="n"/>
      <c r="M156" s="8" t="n"/>
      <c r="N156" s="6" t="n"/>
      <c r="O156" s="9" t="n"/>
    </row>
    <row r="157">
      <c r="A157" s="5" t="n"/>
      <c r="B157" s="5" t="n"/>
      <c r="C157" s="5" t="n"/>
      <c r="D157" s="5" t="n"/>
      <c r="E157" s="5" t="n"/>
      <c r="F157" s="6" t="n"/>
      <c r="G157" s="7" t="n"/>
      <c r="H157" s="7" t="n"/>
      <c r="I157" s="7" t="n"/>
      <c r="J157" s="5" t="n"/>
      <c r="K157" s="5" t="n"/>
      <c r="L157" s="5" t="n"/>
      <c r="M157" s="8" t="n"/>
      <c r="N157" s="6" t="n"/>
      <c r="O157" s="9" t="n"/>
    </row>
    <row r="158">
      <c r="A158" s="5" t="n"/>
      <c r="B158" s="5" t="n"/>
      <c r="C158" s="5" t="n"/>
      <c r="D158" s="5" t="n"/>
      <c r="E158" s="5" t="n"/>
      <c r="F158" s="6" t="n"/>
      <c r="G158" s="7" t="n"/>
      <c r="H158" s="7" t="n"/>
      <c r="I158" s="7" t="n"/>
      <c r="J158" s="5" t="n"/>
      <c r="K158" s="5" t="n"/>
      <c r="L158" s="5" t="n"/>
      <c r="M158" s="8" t="n"/>
      <c r="N158" s="6" t="n"/>
      <c r="O158" s="9" t="n"/>
    </row>
    <row r="159">
      <c r="A159" s="5" t="n"/>
      <c r="B159" s="5" t="n"/>
      <c r="C159" s="5" t="n"/>
      <c r="D159" s="5" t="n"/>
      <c r="E159" s="5" t="n"/>
      <c r="F159" s="6" t="n"/>
      <c r="G159" s="7" t="n"/>
      <c r="H159" s="7" t="n"/>
      <c r="I159" s="7" t="n"/>
      <c r="J159" s="5" t="n"/>
      <c r="K159" s="5" t="n"/>
      <c r="L159" s="5" t="n"/>
      <c r="M159" s="8" t="n"/>
      <c r="N159" s="6" t="n"/>
      <c r="O159" s="9" t="n"/>
    </row>
    <row r="160">
      <c r="A160" s="5" t="n"/>
      <c r="B160" s="5" t="n"/>
      <c r="C160" s="5" t="n"/>
      <c r="D160" s="5" t="n"/>
      <c r="E160" s="5" t="n"/>
      <c r="F160" s="6" t="n"/>
      <c r="G160" s="7" t="n"/>
      <c r="H160" s="7" t="n"/>
      <c r="I160" s="7" t="n"/>
      <c r="J160" s="5" t="n"/>
      <c r="K160" s="5" t="n"/>
      <c r="L160" s="5" t="n"/>
      <c r="M160" s="8" t="n"/>
      <c r="N160" s="6" t="n"/>
      <c r="O160" s="9" t="n"/>
    </row>
    <row r="161">
      <c r="A161" s="5" t="n"/>
      <c r="B161" s="5" t="n"/>
      <c r="C161" s="5" t="n"/>
      <c r="D161" s="5" t="n"/>
      <c r="E161" s="5" t="n"/>
      <c r="F161" s="6" t="n"/>
      <c r="G161" s="7" t="n"/>
      <c r="H161" s="7" t="n"/>
      <c r="I161" s="7" t="n"/>
      <c r="J161" s="5" t="n"/>
      <c r="K161" s="5" t="n"/>
      <c r="L161" s="5" t="n"/>
      <c r="M161" s="8" t="n"/>
      <c r="N161" s="6" t="n"/>
      <c r="O161" s="9" t="n"/>
    </row>
    <row r="162">
      <c r="A162" s="5" t="n"/>
      <c r="B162" s="5" t="n"/>
      <c r="C162" s="5" t="n"/>
      <c r="D162" s="5" t="n"/>
      <c r="E162" s="5" t="n"/>
      <c r="F162" s="6" t="n"/>
      <c r="G162" s="7" t="n"/>
      <c r="H162" s="7" t="n"/>
      <c r="I162" s="7" t="n"/>
      <c r="J162" s="5" t="n"/>
      <c r="K162" s="5" t="n"/>
      <c r="L162" s="5" t="n"/>
      <c r="M162" s="8" t="n"/>
      <c r="N162" s="6" t="n"/>
      <c r="O162" s="9" t="n"/>
    </row>
    <row r="163">
      <c r="A163" s="5" t="n"/>
      <c r="B163" s="5" t="n"/>
      <c r="C163" s="5" t="n"/>
      <c r="D163" s="5" t="n"/>
      <c r="E163" s="5" t="n"/>
      <c r="F163" s="6" t="n"/>
      <c r="G163" s="7" t="n"/>
      <c r="H163" s="7" t="n"/>
      <c r="I163" s="7" t="n"/>
      <c r="J163" s="5" t="n"/>
      <c r="K163" s="5" t="n"/>
      <c r="L163" s="5" t="n"/>
      <c r="M163" s="8" t="n"/>
      <c r="N163" s="6" t="n"/>
      <c r="O163" s="9" t="n"/>
    </row>
    <row r="164">
      <c r="A164" s="5" t="n"/>
      <c r="B164" s="5" t="n"/>
      <c r="C164" s="5" t="n"/>
      <c r="D164" s="5" t="n"/>
      <c r="E164" s="5" t="n"/>
      <c r="F164" s="6" t="n"/>
      <c r="G164" s="7" t="n"/>
      <c r="H164" s="7" t="n"/>
      <c r="I164" s="7" t="n"/>
      <c r="J164" s="5" t="n"/>
      <c r="K164" s="5" t="n"/>
      <c r="L164" s="5" t="n"/>
      <c r="M164" s="8" t="n"/>
      <c r="N164" s="6" t="n"/>
      <c r="O164" s="9" t="n"/>
    </row>
    <row r="165">
      <c r="A165" s="5" t="n"/>
      <c r="B165" s="5" t="n"/>
      <c r="C165" s="5" t="n"/>
      <c r="D165" s="5" t="n"/>
      <c r="E165" s="5" t="n"/>
      <c r="F165" s="6" t="n"/>
      <c r="G165" s="7" t="n"/>
      <c r="H165" s="7" t="n"/>
      <c r="I165" s="7" t="n"/>
      <c r="J165" s="5" t="n"/>
      <c r="K165" s="5" t="n"/>
      <c r="L165" s="5" t="n"/>
      <c r="M165" s="8" t="n"/>
      <c r="N165" s="6" t="n"/>
      <c r="O165" s="9" t="n"/>
    </row>
    <row r="166">
      <c r="A166" s="5" t="n"/>
      <c r="B166" s="5" t="n"/>
      <c r="C166" s="5" t="n"/>
      <c r="D166" s="5" t="n"/>
      <c r="E166" s="5" t="n"/>
      <c r="F166" s="6" t="n"/>
      <c r="G166" s="7" t="n"/>
      <c r="H166" s="7" t="n"/>
      <c r="I166" s="7" t="n"/>
      <c r="J166" s="5" t="n"/>
      <c r="K166" s="5" t="n"/>
      <c r="L166" s="5" t="n"/>
      <c r="M166" s="8" t="n"/>
      <c r="N166" s="6" t="n"/>
      <c r="O166" s="9" t="n"/>
    </row>
    <row r="167">
      <c r="A167" s="5" t="n"/>
      <c r="B167" s="5" t="n"/>
      <c r="C167" s="5" t="n"/>
      <c r="D167" s="5" t="n"/>
      <c r="E167" s="5" t="n"/>
      <c r="F167" s="6" t="n"/>
      <c r="G167" s="7" t="n"/>
      <c r="H167" s="7" t="n"/>
      <c r="I167" s="7" t="n"/>
      <c r="J167" s="5" t="n"/>
      <c r="K167" s="5" t="n"/>
      <c r="L167" s="5" t="n"/>
      <c r="M167" s="8" t="n"/>
      <c r="N167" s="6" t="n"/>
      <c r="O167" s="9" t="n"/>
    </row>
    <row r="168">
      <c r="A168" s="5" t="n"/>
      <c r="B168" s="5" t="n"/>
      <c r="C168" s="5" t="n"/>
      <c r="D168" s="5" t="n"/>
      <c r="E168" s="5" t="n"/>
      <c r="F168" s="6" t="n"/>
      <c r="G168" s="7" t="n"/>
      <c r="H168" s="7" t="n"/>
      <c r="I168" s="7" t="n"/>
      <c r="J168" s="5" t="n"/>
      <c r="K168" s="5" t="n"/>
      <c r="L168" s="5" t="n"/>
      <c r="M168" s="8" t="n"/>
      <c r="N168" s="6" t="n"/>
      <c r="O168" s="9" t="n"/>
    </row>
    <row r="169">
      <c r="A169" s="5" t="n"/>
      <c r="B169" s="5" t="n"/>
      <c r="C169" s="5" t="n"/>
      <c r="D169" s="5" t="n"/>
      <c r="E169" s="5" t="n"/>
      <c r="F169" s="6" t="n"/>
      <c r="G169" s="7" t="n"/>
      <c r="H169" s="7" t="n"/>
      <c r="I169" s="7" t="n"/>
      <c r="J169" s="5" t="n"/>
      <c r="K169" s="5" t="n"/>
      <c r="L169" s="5" t="n"/>
      <c r="M169" s="8" t="n"/>
      <c r="N169" s="6" t="n"/>
      <c r="O169" s="9" t="n"/>
    </row>
    <row r="170">
      <c r="A170" s="5" t="n"/>
      <c r="B170" s="5" t="n"/>
      <c r="C170" s="5" t="n"/>
      <c r="D170" s="5" t="n"/>
      <c r="E170" s="5" t="n"/>
      <c r="F170" s="6" t="n"/>
      <c r="G170" s="7" t="n"/>
      <c r="H170" s="7" t="n"/>
      <c r="I170" s="7" t="n"/>
      <c r="J170" s="5" t="n"/>
      <c r="K170" s="5" t="n"/>
      <c r="L170" s="5" t="n"/>
      <c r="M170" s="8" t="n"/>
      <c r="N170" s="6" t="n"/>
      <c r="O170" s="9" t="n"/>
    </row>
    <row r="171">
      <c r="A171" s="5" t="n"/>
      <c r="B171" s="5" t="n"/>
      <c r="C171" s="5" t="n"/>
      <c r="D171" s="5" t="n"/>
      <c r="E171" s="5" t="n"/>
      <c r="F171" s="6" t="n"/>
      <c r="G171" s="7" t="n"/>
      <c r="H171" s="7" t="n"/>
      <c r="I171" s="7" t="n"/>
      <c r="J171" s="5" t="n"/>
      <c r="K171" s="5" t="n"/>
      <c r="L171" s="5" t="n"/>
      <c r="M171" s="8" t="n"/>
      <c r="N171" s="6" t="n"/>
      <c r="O171" s="9" t="n"/>
    </row>
    <row r="172">
      <c r="A172" s="5" t="n"/>
      <c r="B172" s="5" t="n"/>
      <c r="C172" s="5" t="n"/>
      <c r="D172" s="5" t="n"/>
      <c r="E172" s="5" t="n"/>
      <c r="F172" s="6" t="n"/>
      <c r="G172" s="7" t="n"/>
      <c r="H172" s="7" t="n"/>
      <c r="I172" s="7" t="n"/>
      <c r="J172" s="5" t="n"/>
      <c r="K172" s="5" t="n"/>
      <c r="L172" s="5" t="n"/>
      <c r="M172" s="8" t="n"/>
      <c r="N172" s="6" t="n"/>
      <c r="O172" s="9" t="n"/>
    </row>
    <row r="173">
      <c r="A173" s="5" t="n"/>
      <c r="B173" s="5" t="n"/>
      <c r="C173" s="5" t="n"/>
      <c r="D173" s="5" t="n"/>
      <c r="E173" s="5" t="n"/>
      <c r="F173" s="6" t="n"/>
      <c r="G173" s="7" t="n"/>
      <c r="H173" s="7" t="n"/>
      <c r="I173" s="7" t="n"/>
      <c r="J173" s="5" t="n"/>
      <c r="K173" s="5" t="n"/>
      <c r="L173" s="5" t="n"/>
      <c r="M173" s="8" t="n"/>
      <c r="N173" s="6" t="n"/>
      <c r="O173" s="9" t="n"/>
    </row>
    <row r="174">
      <c r="A174" s="5" t="n"/>
      <c r="B174" s="5" t="n"/>
      <c r="C174" s="5" t="n"/>
      <c r="D174" s="5" t="n"/>
      <c r="E174" s="5" t="n"/>
      <c r="F174" s="6" t="n"/>
      <c r="G174" s="7" t="n"/>
      <c r="H174" s="7" t="n"/>
      <c r="I174" s="7" t="n"/>
      <c r="J174" s="5" t="n"/>
      <c r="K174" s="5" t="n"/>
      <c r="L174" s="5" t="n"/>
      <c r="M174" s="8" t="n"/>
      <c r="N174" s="6" t="n"/>
      <c r="O174" s="9" t="n"/>
    </row>
    <row r="175">
      <c r="A175" s="5" t="n"/>
      <c r="B175" s="5" t="n"/>
      <c r="C175" s="5" t="n"/>
      <c r="D175" s="5" t="n"/>
      <c r="E175" s="5" t="n"/>
      <c r="F175" s="6" t="n"/>
      <c r="G175" s="7" t="n"/>
      <c r="H175" s="7" t="n"/>
      <c r="I175" s="7" t="n"/>
      <c r="J175" s="5" t="n"/>
      <c r="K175" s="5" t="n"/>
      <c r="L175" s="5" t="n"/>
      <c r="M175" s="8" t="n"/>
      <c r="N175" s="6" t="n"/>
      <c r="O175" s="9" t="n"/>
    </row>
    <row r="176">
      <c r="A176" s="5" t="n"/>
      <c r="B176" s="5" t="n"/>
      <c r="C176" s="5" t="n"/>
      <c r="D176" s="5" t="n"/>
      <c r="E176" s="5" t="n"/>
      <c r="F176" s="6" t="n"/>
      <c r="G176" s="7" t="n"/>
      <c r="H176" s="7" t="n"/>
      <c r="I176" s="7" t="n"/>
      <c r="J176" s="5" t="n"/>
      <c r="K176" s="5" t="n"/>
      <c r="L176" s="5" t="n"/>
      <c r="M176" s="8" t="n"/>
      <c r="N176" s="6" t="n"/>
      <c r="O176" s="9" t="n"/>
    </row>
    <row r="177">
      <c r="A177" s="5" t="n"/>
      <c r="B177" s="5" t="n"/>
      <c r="C177" s="5" t="n"/>
      <c r="D177" s="5" t="n"/>
      <c r="E177" s="5" t="n"/>
      <c r="F177" s="6" t="n"/>
      <c r="G177" s="7" t="n"/>
      <c r="H177" s="7" t="n"/>
      <c r="I177" s="7" t="n"/>
      <c r="J177" s="5" t="n"/>
      <c r="K177" s="5" t="n"/>
      <c r="L177" s="5" t="n"/>
      <c r="M177" s="8" t="n"/>
      <c r="N177" s="6" t="n"/>
      <c r="O177" s="9" t="n"/>
    </row>
    <row r="178">
      <c r="A178" s="5" t="n"/>
      <c r="B178" s="5" t="n"/>
      <c r="C178" s="5" t="n"/>
      <c r="D178" s="5" t="n"/>
      <c r="E178" s="5" t="n"/>
      <c r="F178" s="6" t="n"/>
      <c r="G178" s="7" t="n"/>
      <c r="H178" s="7" t="n"/>
      <c r="I178" s="7" t="n"/>
      <c r="J178" s="5" t="n"/>
      <c r="K178" s="5" t="n"/>
      <c r="L178" s="5" t="n"/>
      <c r="M178" s="8" t="n"/>
      <c r="N178" s="6" t="n"/>
      <c r="O178" s="9" t="n"/>
    </row>
    <row r="179">
      <c r="A179" s="5" t="n"/>
      <c r="B179" s="5" t="n"/>
      <c r="C179" s="5" t="n"/>
      <c r="D179" s="5" t="n"/>
      <c r="E179" s="5" t="n"/>
      <c r="F179" s="6" t="n"/>
      <c r="G179" s="7" t="n"/>
      <c r="H179" s="7" t="n"/>
      <c r="I179" s="7" t="n"/>
      <c r="J179" s="5" t="n"/>
      <c r="K179" s="5" t="n"/>
      <c r="L179" s="5" t="n"/>
      <c r="M179" s="8" t="n"/>
      <c r="N179" s="6" t="n"/>
      <c r="O179" s="9" t="n"/>
    </row>
    <row r="180">
      <c r="A180" s="5" t="n"/>
      <c r="B180" s="5" t="n"/>
      <c r="C180" s="5" t="n"/>
      <c r="D180" s="5" t="n"/>
      <c r="E180" s="5" t="n"/>
      <c r="F180" s="6" t="n"/>
      <c r="G180" s="7" t="n"/>
      <c r="H180" s="7" t="n"/>
      <c r="I180" s="7" t="n"/>
      <c r="J180" s="5" t="n"/>
      <c r="K180" s="5" t="n"/>
      <c r="L180" s="5" t="n"/>
      <c r="M180" s="8" t="n"/>
      <c r="N180" s="6" t="n"/>
      <c r="O180" s="9" t="n"/>
    </row>
    <row r="181">
      <c r="A181" s="5" t="n"/>
      <c r="B181" s="5" t="n"/>
      <c r="C181" s="5" t="n"/>
      <c r="D181" s="5" t="n"/>
      <c r="E181" s="5" t="n"/>
      <c r="F181" s="6" t="n"/>
      <c r="G181" s="7" t="n"/>
      <c r="H181" s="7" t="n"/>
      <c r="I181" s="7" t="n"/>
      <c r="J181" s="5" t="n"/>
      <c r="K181" s="5" t="n"/>
      <c r="L181" s="5" t="n"/>
      <c r="M181" s="8" t="n"/>
      <c r="N181" s="6" t="n"/>
      <c r="O181" s="9" t="n"/>
    </row>
    <row r="182">
      <c r="A182" s="5" t="n"/>
      <c r="B182" s="5" t="n"/>
      <c r="C182" s="5" t="n"/>
      <c r="D182" s="5" t="n"/>
      <c r="E182" s="5" t="n"/>
      <c r="F182" s="6" t="n"/>
      <c r="G182" s="7" t="n"/>
      <c r="H182" s="7" t="n"/>
      <c r="I182" s="7" t="n"/>
      <c r="J182" s="5" t="n"/>
      <c r="K182" s="5" t="n"/>
      <c r="L182" s="5" t="n"/>
      <c r="M182" s="8" t="n"/>
      <c r="N182" s="6" t="n"/>
      <c r="O182" s="9" t="n"/>
    </row>
    <row r="183">
      <c r="A183" s="5" t="n"/>
      <c r="B183" s="5" t="n"/>
      <c r="C183" s="5" t="n"/>
      <c r="D183" s="5" t="n"/>
      <c r="E183" s="5" t="n"/>
      <c r="F183" s="6" t="n"/>
      <c r="G183" s="7" t="n"/>
      <c r="H183" s="7" t="n"/>
      <c r="I183" s="7" t="n"/>
      <c r="J183" s="5" t="n"/>
      <c r="K183" s="5" t="n"/>
      <c r="L183" s="5" t="n"/>
      <c r="M183" s="8" t="n"/>
      <c r="N183" s="6" t="n"/>
      <c r="O183" s="9" t="n"/>
    </row>
    <row r="184">
      <c r="A184" s="5" t="n"/>
      <c r="B184" s="5" t="n"/>
      <c r="C184" s="5" t="n"/>
      <c r="D184" s="5" t="n"/>
      <c r="E184" s="5" t="n"/>
      <c r="F184" s="6" t="n"/>
      <c r="G184" s="7" t="n"/>
      <c r="H184" s="7" t="n"/>
      <c r="I184" s="7" t="n"/>
      <c r="J184" s="5" t="n"/>
      <c r="K184" s="5" t="n"/>
      <c r="L184" s="5" t="n"/>
      <c r="M184" s="8" t="n"/>
      <c r="N184" s="6" t="n"/>
      <c r="O184" s="9" t="n"/>
    </row>
    <row r="185">
      <c r="A185" s="5" t="n"/>
      <c r="B185" s="5" t="n"/>
      <c r="C185" s="5" t="n"/>
      <c r="D185" s="5" t="n"/>
      <c r="E185" s="5" t="n"/>
      <c r="F185" s="6" t="n"/>
      <c r="G185" s="7" t="n"/>
      <c r="H185" s="7" t="n"/>
      <c r="I185" s="7" t="n"/>
      <c r="J185" s="5" t="n"/>
      <c r="K185" s="5" t="n"/>
      <c r="L185" s="5" t="n"/>
      <c r="M185" s="8" t="n"/>
      <c r="N185" s="6" t="n"/>
      <c r="O185" s="9" t="n"/>
    </row>
    <row r="186">
      <c r="A186" s="5" t="n"/>
      <c r="B186" s="5" t="n"/>
      <c r="C186" s="5" t="n"/>
      <c r="D186" s="5" t="n"/>
      <c r="E186" s="5" t="n"/>
      <c r="F186" s="6" t="n"/>
      <c r="G186" s="7" t="n"/>
      <c r="H186" s="7" t="n"/>
      <c r="I186" s="7" t="n"/>
      <c r="J186" s="5" t="n"/>
      <c r="K186" s="5" t="n"/>
      <c r="L186" s="5" t="n"/>
      <c r="M186" s="8" t="n"/>
      <c r="N186" s="6" t="n"/>
      <c r="O186" s="9" t="n"/>
    </row>
    <row r="187">
      <c r="A187" s="5" t="n"/>
      <c r="B187" s="5" t="n"/>
      <c r="C187" s="5" t="n"/>
      <c r="D187" s="5" t="n"/>
      <c r="E187" s="5" t="n"/>
      <c r="F187" s="6" t="n"/>
      <c r="G187" s="7" t="n"/>
      <c r="H187" s="7" t="n"/>
      <c r="I187" s="7" t="n"/>
      <c r="J187" s="5" t="n"/>
      <c r="K187" s="5" t="n"/>
      <c r="L187" s="5" t="n"/>
      <c r="M187" s="8" t="n"/>
      <c r="N187" s="6" t="n"/>
      <c r="O187" s="9" t="n"/>
    </row>
    <row r="188">
      <c r="A188" s="5" t="n"/>
      <c r="B188" s="5" t="n"/>
      <c r="C188" s="5" t="n"/>
      <c r="D188" s="5" t="n"/>
      <c r="E188" s="5" t="n"/>
      <c r="F188" s="6" t="n"/>
      <c r="G188" s="7" t="n"/>
      <c r="H188" s="7" t="n"/>
      <c r="I188" s="7" t="n"/>
      <c r="J188" s="5" t="n"/>
      <c r="K188" s="5" t="n"/>
      <c r="L188" s="5" t="n"/>
      <c r="M188" s="8" t="n"/>
      <c r="N188" s="6" t="n"/>
      <c r="O188" s="9" t="n"/>
    </row>
    <row r="189">
      <c r="A189" s="5" t="n"/>
      <c r="B189" s="5" t="n"/>
      <c r="C189" s="5" t="n"/>
      <c r="D189" s="5" t="n"/>
      <c r="E189" s="5" t="n"/>
      <c r="F189" s="6" t="n"/>
      <c r="G189" s="7" t="n"/>
      <c r="H189" s="7" t="n"/>
      <c r="I189" s="7" t="n"/>
      <c r="J189" s="5" t="n"/>
      <c r="K189" s="5" t="n"/>
      <c r="L189" s="5" t="n"/>
      <c r="M189" s="8" t="n"/>
      <c r="N189" s="6" t="n"/>
      <c r="O189" s="9" t="n"/>
    </row>
    <row r="190">
      <c r="A190" s="5" t="n"/>
      <c r="B190" s="5" t="n"/>
      <c r="C190" s="5" t="n"/>
      <c r="D190" s="5" t="n"/>
      <c r="E190" s="5" t="n"/>
      <c r="F190" s="6" t="n"/>
      <c r="G190" s="7" t="n"/>
      <c r="H190" s="7" t="n"/>
      <c r="I190" s="7" t="n"/>
      <c r="J190" s="5" t="n"/>
      <c r="K190" s="5" t="n"/>
      <c r="L190" s="5" t="n"/>
      <c r="M190" s="8" t="n"/>
      <c r="N190" s="6" t="n"/>
      <c r="O190" s="9" t="n"/>
    </row>
    <row r="191">
      <c r="A191" s="5" t="n"/>
      <c r="B191" s="5" t="n"/>
      <c r="C191" s="5" t="n"/>
      <c r="D191" s="5" t="n"/>
      <c r="E191" s="5" t="n"/>
      <c r="F191" s="6" t="n"/>
      <c r="G191" s="7" t="n"/>
      <c r="H191" s="7" t="n"/>
      <c r="I191" s="7" t="n"/>
      <c r="J191" s="5" t="n"/>
      <c r="K191" s="5" t="n"/>
      <c r="L191" s="5" t="n"/>
      <c r="M191" s="8" t="n"/>
      <c r="N191" s="6" t="n"/>
      <c r="O191" s="9" t="n"/>
    </row>
    <row r="192">
      <c r="A192" s="5" t="n"/>
      <c r="B192" s="5" t="n"/>
      <c r="C192" s="5" t="n"/>
      <c r="D192" s="5" t="n"/>
      <c r="E192" s="5" t="n"/>
      <c r="F192" s="6" t="n"/>
      <c r="G192" s="7" t="n"/>
      <c r="H192" s="7" t="n"/>
      <c r="I192" s="7" t="n"/>
      <c r="J192" s="5" t="n"/>
      <c r="K192" s="5" t="n"/>
      <c r="L192" s="5" t="n"/>
      <c r="M192" s="8" t="n"/>
      <c r="N192" s="6" t="n"/>
      <c r="O192" s="9" t="n"/>
    </row>
    <row r="193">
      <c r="A193" s="5" t="n"/>
      <c r="B193" s="5" t="n"/>
      <c r="C193" s="5" t="n"/>
      <c r="D193" s="5" t="n"/>
      <c r="E193" s="5" t="n"/>
      <c r="F193" s="6" t="n"/>
      <c r="G193" s="7" t="n"/>
      <c r="H193" s="7" t="n"/>
      <c r="I193" s="7" t="n"/>
      <c r="J193" s="5" t="n"/>
      <c r="K193" s="5" t="n"/>
      <c r="L193" s="5" t="n"/>
      <c r="M193" s="8" t="n"/>
      <c r="N193" s="6" t="n"/>
      <c r="O193" s="9" t="n"/>
    </row>
    <row r="194">
      <c r="A194" s="5" t="n"/>
      <c r="B194" s="5" t="n"/>
      <c r="C194" s="5" t="n"/>
      <c r="D194" s="5" t="n"/>
      <c r="E194" s="5" t="n"/>
      <c r="F194" s="6" t="n"/>
      <c r="G194" s="7" t="n"/>
      <c r="H194" s="7" t="n"/>
      <c r="I194" s="7" t="n"/>
      <c r="J194" s="5" t="n"/>
      <c r="K194" s="5" t="n"/>
      <c r="L194" s="5" t="n"/>
      <c r="M194" s="8" t="n"/>
      <c r="N194" s="6" t="n"/>
      <c r="O194" s="9" t="n"/>
    </row>
    <row r="195">
      <c r="A195" s="5" t="n"/>
      <c r="B195" s="5" t="n"/>
      <c r="C195" s="5" t="n"/>
      <c r="D195" s="5" t="n"/>
      <c r="E195" s="5" t="n"/>
      <c r="F195" s="6" t="n"/>
      <c r="G195" s="7" t="n"/>
      <c r="H195" s="7" t="n"/>
      <c r="I195" s="7" t="n"/>
      <c r="J195" s="5" t="n"/>
      <c r="K195" s="5" t="n"/>
      <c r="L195" s="5" t="n"/>
      <c r="M195" s="8" t="n"/>
      <c r="N195" s="6" t="n"/>
      <c r="O195" s="9" t="n"/>
    </row>
    <row r="196">
      <c r="A196" s="5" t="n"/>
      <c r="B196" s="5" t="n"/>
      <c r="C196" s="5" t="n"/>
      <c r="D196" s="5" t="n"/>
      <c r="E196" s="5" t="n"/>
      <c r="F196" s="6" t="n"/>
      <c r="G196" s="7" t="n"/>
      <c r="H196" s="7" t="n"/>
      <c r="I196" s="7" t="n"/>
      <c r="J196" s="5" t="n"/>
      <c r="K196" s="5" t="n"/>
      <c r="L196" s="5" t="n"/>
      <c r="M196" s="8" t="n"/>
      <c r="N196" s="6" t="n"/>
      <c r="O196" s="9" t="n"/>
    </row>
    <row r="197">
      <c r="A197" s="5" t="n"/>
      <c r="B197" s="5" t="n"/>
      <c r="C197" s="5" t="n"/>
      <c r="D197" s="5" t="n"/>
      <c r="E197" s="5" t="n"/>
      <c r="F197" s="6" t="n"/>
      <c r="G197" s="7" t="n"/>
      <c r="H197" s="7" t="n"/>
      <c r="I197" s="7" t="n"/>
      <c r="J197" s="5" t="n"/>
      <c r="K197" s="5" t="n"/>
      <c r="L197" s="5" t="n"/>
      <c r="M197" s="8" t="n"/>
      <c r="N197" s="6" t="n"/>
      <c r="O197" s="9" t="n"/>
    </row>
    <row r="198">
      <c r="A198" s="5" t="n"/>
      <c r="B198" s="5" t="n"/>
      <c r="C198" s="5" t="n"/>
      <c r="D198" s="5" t="n"/>
      <c r="E198" s="5" t="n"/>
      <c r="F198" s="6" t="n"/>
      <c r="G198" s="7" t="n"/>
      <c r="H198" s="7" t="n"/>
      <c r="I198" s="7" t="n"/>
      <c r="J198" s="5" t="n"/>
      <c r="K198" s="5" t="n"/>
      <c r="L198" s="5" t="n"/>
      <c r="M198" s="8" t="n"/>
      <c r="N198" s="6" t="n"/>
      <c r="O198" s="9" t="n"/>
    </row>
    <row r="199">
      <c r="A199" s="5" t="n"/>
      <c r="B199" s="5" t="n"/>
      <c r="C199" s="5" t="n"/>
      <c r="D199" s="5" t="n"/>
      <c r="E199" s="5" t="n"/>
      <c r="F199" s="6" t="n"/>
      <c r="G199" s="7" t="n"/>
      <c r="H199" s="7" t="n"/>
      <c r="I199" s="7" t="n"/>
      <c r="J199" s="5" t="n"/>
      <c r="K199" s="5" t="n"/>
      <c r="L199" s="5" t="n"/>
      <c r="M199" s="8" t="n"/>
      <c r="N199" s="6" t="n"/>
      <c r="O199" s="9" t="n"/>
    </row>
    <row r="200">
      <c r="A200" s="5" t="n"/>
      <c r="B200" s="5" t="n"/>
      <c r="C200" s="5" t="n"/>
      <c r="D200" s="5" t="n"/>
      <c r="E200" s="5" t="n"/>
      <c r="F200" s="6" t="n"/>
      <c r="G200" s="7" t="n"/>
      <c r="H200" s="7" t="n"/>
      <c r="I200" s="7" t="n"/>
      <c r="J200" s="5" t="n"/>
      <c r="K200" s="5" t="n"/>
      <c r="L200" s="5" t="n"/>
      <c r="M200" s="8" t="n"/>
      <c r="N200" s="6" t="n"/>
      <c r="O200" s="9" t="n"/>
    </row>
    <row r="201">
      <c r="A201" s="5" t="n"/>
      <c r="B201" s="5" t="n"/>
      <c r="C201" s="5" t="n"/>
      <c r="D201" s="5" t="n"/>
      <c r="E201" s="5" t="n"/>
      <c r="F201" s="6" t="n"/>
      <c r="G201" s="7" t="n"/>
      <c r="H201" s="7" t="n"/>
      <c r="I201" s="7" t="n"/>
      <c r="J201" s="5" t="n"/>
      <c r="K201" s="5" t="n"/>
      <c r="L201" s="5" t="n"/>
      <c r="M201" s="8" t="n"/>
      <c r="N201" s="6" t="n"/>
      <c r="O201" s="9" t="n"/>
    </row>
    <row r="202">
      <c r="A202" s="5" t="n"/>
      <c r="B202" s="5" t="n"/>
      <c r="C202" s="5" t="n"/>
      <c r="D202" s="5" t="n"/>
      <c r="E202" s="5" t="n"/>
      <c r="F202" s="6" t="n"/>
      <c r="G202" s="7" t="n"/>
      <c r="H202" s="7" t="n"/>
      <c r="I202" s="7" t="n"/>
      <c r="J202" s="5" t="n"/>
      <c r="K202" s="5" t="n"/>
      <c r="L202" s="5" t="n"/>
      <c r="M202" s="8" t="n"/>
      <c r="N202" s="6" t="n"/>
      <c r="O202" s="9" t="n"/>
    </row>
    <row r="203">
      <c r="A203" s="5" t="n"/>
      <c r="B203" s="5" t="n"/>
      <c r="C203" s="5" t="n"/>
      <c r="D203" s="5" t="n"/>
      <c r="E203" s="5" t="n"/>
      <c r="F203" s="6" t="n"/>
      <c r="G203" s="7" t="n"/>
      <c r="H203" s="7" t="n"/>
      <c r="I203" s="7" t="n"/>
      <c r="J203" s="5" t="n"/>
      <c r="K203" s="5" t="n"/>
      <c r="L203" s="5" t="n"/>
      <c r="M203" s="8" t="n"/>
      <c r="N203" s="6" t="n"/>
      <c r="O203" s="9" t="n"/>
    </row>
    <row r="204">
      <c r="A204" s="5" t="n"/>
      <c r="B204" s="5" t="n"/>
      <c r="C204" s="5" t="n"/>
      <c r="D204" s="5" t="n"/>
      <c r="E204" s="5" t="n"/>
      <c r="F204" s="6" t="n"/>
      <c r="G204" s="7" t="n"/>
      <c r="H204" s="7" t="n"/>
      <c r="I204" s="7" t="n"/>
      <c r="J204" s="5" t="n"/>
      <c r="K204" s="5" t="n"/>
      <c r="L204" s="5" t="n"/>
      <c r="M204" s="8" t="n"/>
      <c r="N204" s="6" t="n"/>
      <c r="O204" s="9" t="n"/>
    </row>
    <row r="205">
      <c r="A205" s="5" t="n"/>
      <c r="B205" s="5" t="n"/>
      <c r="C205" s="5" t="n"/>
      <c r="D205" s="5" t="n"/>
      <c r="E205" s="5" t="n"/>
      <c r="F205" s="6" t="n"/>
      <c r="G205" s="7" t="n"/>
      <c r="H205" s="7" t="n"/>
      <c r="I205" s="7" t="n"/>
      <c r="J205" s="5" t="n"/>
      <c r="K205" s="5" t="n"/>
      <c r="L205" s="5" t="n"/>
      <c r="M205" s="8" t="n"/>
      <c r="N205" s="6" t="n"/>
      <c r="O205" s="9" t="n"/>
    </row>
    <row r="206">
      <c r="A206" s="5" t="n"/>
      <c r="B206" s="5" t="n"/>
      <c r="C206" s="5" t="n"/>
      <c r="D206" s="5" t="n"/>
      <c r="E206" s="5" t="n"/>
      <c r="F206" s="6" t="n"/>
      <c r="G206" s="7" t="n"/>
      <c r="H206" s="7" t="n"/>
      <c r="I206" s="7" t="n"/>
      <c r="J206" s="5" t="n"/>
      <c r="K206" s="5" t="n"/>
      <c r="L206" s="5" t="n"/>
      <c r="M206" s="8" t="n"/>
      <c r="N206" s="6" t="n"/>
      <c r="O206" s="9" t="n"/>
    </row>
    <row r="207">
      <c r="A207" s="5" t="n"/>
      <c r="B207" s="5" t="n"/>
      <c r="C207" s="5" t="n"/>
      <c r="D207" s="5" t="n"/>
      <c r="E207" s="5" t="n"/>
      <c r="F207" s="6" t="n"/>
      <c r="G207" s="7" t="n"/>
      <c r="H207" s="7" t="n"/>
      <c r="I207" s="7" t="n"/>
      <c r="J207" s="5" t="n"/>
      <c r="K207" s="5" t="n"/>
      <c r="L207" s="5" t="n"/>
      <c r="M207" s="8" t="n"/>
      <c r="N207" s="6" t="n"/>
      <c r="O207" s="9" t="n"/>
    </row>
    <row r="208">
      <c r="A208" s="5" t="n"/>
      <c r="B208" s="5" t="n"/>
      <c r="C208" s="5" t="n"/>
      <c r="D208" s="5" t="n"/>
      <c r="E208" s="5" t="n"/>
      <c r="F208" s="6" t="n"/>
      <c r="G208" s="7" t="n"/>
      <c r="H208" s="7" t="n"/>
      <c r="I208" s="7" t="n"/>
      <c r="J208" s="5" t="n"/>
      <c r="K208" s="5" t="n"/>
      <c r="L208" s="5" t="n"/>
      <c r="M208" s="8" t="n"/>
      <c r="N208" s="6" t="n"/>
      <c r="O208" s="9" t="n"/>
    </row>
    <row r="209">
      <c r="A209" s="5" t="n"/>
      <c r="B209" s="5" t="n"/>
      <c r="C209" s="5" t="n"/>
      <c r="D209" s="5" t="n"/>
      <c r="E209" s="5" t="n"/>
      <c r="F209" s="6" t="n"/>
      <c r="G209" s="7" t="n"/>
      <c r="H209" s="7" t="n"/>
      <c r="I209" s="7" t="n"/>
      <c r="J209" s="5" t="n"/>
      <c r="K209" s="5" t="n"/>
      <c r="L209" s="5" t="n"/>
      <c r="M209" s="8" t="n"/>
      <c r="N209" s="6" t="n"/>
      <c r="O209" s="9" t="n"/>
    </row>
    <row r="210">
      <c r="A210" s="5" t="n"/>
      <c r="B210" s="5" t="n"/>
      <c r="C210" s="5" t="n"/>
      <c r="D210" s="5" t="n"/>
      <c r="E210" s="5" t="n"/>
      <c r="F210" s="6" t="n"/>
      <c r="G210" s="7" t="n"/>
      <c r="H210" s="7" t="n"/>
      <c r="I210" s="7" t="n"/>
      <c r="J210" s="5" t="n"/>
      <c r="K210" s="5" t="n"/>
      <c r="L210" s="5" t="n"/>
      <c r="M210" s="8" t="n"/>
      <c r="N210" s="6" t="n"/>
      <c r="O210" s="9" t="n"/>
    </row>
    <row r="211">
      <c r="A211" s="5" t="n"/>
      <c r="B211" s="5" t="n"/>
      <c r="C211" s="5" t="n"/>
      <c r="D211" s="5" t="n"/>
      <c r="E211" s="5" t="n"/>
      <c r="F211" s="6" t="n"/>
      <c r="G211" s="7" t="n"/>
      <c r="H211" s="7" t="n"/>
      <c r="I211" s="7" t="n"/>
      <c r="J211" s="5" t="n"/>
      <c r="K211" s="5" t="n"/>
      <c r="L211" s="5" t="n"/>
      <c r="M211" s="8" t="n"/>
      <c r="N211" s="6" t="n"/>
      <c r="O211" s="9" t="n"/>
    </row>
    <row r="212">
      <c r="A212" s="5" t="n"/>
      <c r="B212" s="5" t="n"/>
      <c r="C212" s="5" t="n"/>
      <c r="D212" s="5" t="n"/>
      <c r="E212" s="5" t="n"/>
      <c r="F212" s="6" t="n"/>
      <c r="G212" s="7" t="n"/>
      <c r="H212" s="7" t="n"/>
      <c r="I212" s="7" t="n"/>
      <c r="J212" s="5" t="n"/>
      <c r="K212" s="5" t="n"/>
      <c r="L212" s="5" t="n"/>
      <c r="M212" s="8" t="n"/>
      <c r="N212" s="6" t="n"/>
      <c r="O212" s="9" t="n"/>
    </row>
    <row r="213">
      <c r="A213" s="5" t="n"/>
      <c r="B213" s="5" t="n"/>
      <c r="C213" s="5" t="n"/>
      <c r="D213" s="5" t="n"/>
      <c r="E213" s="5" t="n"/>
      <c r="F213" s="6" t="n"/>
      <c r="G213" s="7" t="n"/>
      <c r="H213" s="7" t="n"/>
      <c r="I213" s="7" t="n"/>
      <c r="J213" s="5" t="n"/>
      <c r="K213" s="5" t="n"/>
      <c r="L213" s="5" t="n"/>
      <c r="M213" s="8" t="n"/>
      <c r="N213" s="6" t="n"/>
      <c r="O213" s="9" t="n"/>
    </row>
    <row r="214">
      <c r="A214" s="5" t="n"/>
      <c r="B214" s="5" t="n"/>
      <c r="C214" s="5" t="n"/>
      <c r="D214" s="5" t="n"/>
      <c r="E214" s="5" t="n"/>
      <c r="F214" s="6" t="n"/>
      <c r="G214" s="7" t="n"/>
      <c r="H214" s="7" t="n"/>
      <c r="I214" s="7" t="n"/>
      <c r="J214" s="5" t="n"/>
      <c r="K214" s="5" t="n"/>
      <c r="L214" s="5" t="n"/>
      <c r="M214" s="8" t="n"/>
      <c r="N214" s="6" t="n"/>
      <c r="O214" s="9" t="n"/>
    </row>
    <row r="215">
      <c r="A215" s="5" t="n"/>
      <c r="B215" s="5" t="n"/>
      <c r="C215" s="5" t="n"/>
      <c r="D215" s="5" t="n"/>
      <c r="E215" s="5" t="n"/>
      <c r="F215" s="6" t="n"/>
      <c r="G215" s="7" t="n"/>
      <c r="H215" s="7" t="n"/>
      <c r="I215" s="7" t="n"/>
      <c r="J215" s="5" t="n"/>
      <c r="K215" s="5" t="n"/>
      <c r="L215" s="5" t="n"/>
      <c r="M215" s="8" t="n"/>
      <c r="N215" s="6" t="n"/>
      <c r="O215" s="9" t="n"/>
    </row>
    <row r="216">
      <c r="A216" s="5" t="n"/>
      <c r="B216" s="5" t="n"/>
      <c r="C216" s="5" t="n"/>
      <c r="D216" s="5" t="n"/>
      <c r="E216" s="5" t="n"/>
      <c r="F216" s="6" t="n"/>
      <c r="G216" s="7" t="n"/>
      <c r="H216" s="7" t="n"/>
      <c r="I216" s="7" t="n"/>
      <c r="J216" s="5" t="n"/>
      <c r="K216" s="5" t="n"/>
      <c r="L216" s="5" t="n"/>
      <c r="M216" s="8" t="n"/>
      <c r="N216" s="6" t="n"/>
      <c r="O216" s="9" t="n"/>
    </row>
    <row r="217">
      <c r="A217" s="5" t="n"/>
      <c r="B217" s="5" t="n"/>
      <c r="C217" s="5" t="n"/>
      <c r="D217" s="5" t="n"/>
      <c r="E217" s="5" t="n"/>
      <c r="F217" s="6" t="n"/>
      <c r="G217" s="7" t="n"/>
      <c r="H217" s="7" t="n"/>
      <c r="I217" s="7" t="n"/>
      <c r="J217" s="5" t="n"/>
      <c r="K217" s="5" t="n"/>
      <c r="L217" s="5" t="n"/>
      <c r="M217" s="8" t="n"/>
      <c r="N217" s="6" t="n"/>
      <c r="O217" s="9" t="n"/>
    </row>
    <row r="218">
      <c r="A218" s="5" t="n"/>
      <c r="B218" s="5" t="n"/>
      <c r="C218" s="5" t="n"/>
      <c r="D218" s="5" t="n"/>
      <c r="E218" s="5" t="n"/>
      <c r="F218" s="6" t="n"/>
      <c r="G218" s="7" t="n"/>
      <c r="H218" s="7" t="n"/>
      <c r="I218" s="7" t="n"/>
      <c r="J218" s="5" t="n"/>
      <c r="K218" s="5" t="n"/>
      <c r="L218" s="5" t="n"/>
      <c r="M218" s="8" t="n"/>
      <c r="N218" s="6" t="n"/>
      <c r="O218" s="9" t="n"/>
    </row>
    <row r="219">
      <c r="A219" s="5" t="n"/>
      <c r="B219" s="5" t="n"/>
      <c r="C219" s="5" t="n"/>
      <c r="D219" s="5" t="n"/>
      <c r="E219" s="5" t="n"/>
      <c r="F219" s="6" t="n"/>
      <c r="G219" s="7" t="n"/>
      <c r="H219" s="7" t="n"/>
      <c r="I219" s="7" t="n"/>
      <c r="J219" s="5" t="n"/>
      <c r="K219" s="5" t="n"/>
      <c r="L219" s="5" t="n"/>
      <c r="M219" s="8" t="n"/>
      <c r="N219" s="6" t="n"/>
      <c r="O219" s="9" t="n"/>
    </row>
    <row r="220">
      <c r="A220" s="5" t="n"/>
      <c r="B220" s="5" t="n"/>
      <c r="C220" s="5" t="n"/>
      <c r="D220" s="5" t="n"/>
      <c r="E220" s="5" t="n"/>
      <c r="F220" s="6" t="n"/>
      <c r="G220" s="7" t="n"/>
      <c r="H220" s="7" t="n"/>
      <c r="I220" s="7" t="n"/>
      <c r="J220" s="5" t="n"/>
      <c r="K220" s="5" t="n"/>
      <c r="L220" s="5" t="n"/>
      <c r="M220" s="8" t="n"/>
      <c r="N220" s="6" t="n"/>
      <c r="O220" s="9" t="n"/>
    </row>
    <row r="221">
      <c r="A221" s="5" t="n"/>
      <c r="B221" s="5" t="n"/>
      <c r="C221" s="5" t="n"/>
      <c r="D221" s="5" t="n"/>
      <c r="E221" s="5" t="n"/>
      <c r="F221" s="6" t="n"/>
      <c r="G221" s="7" t="n"/>
      <c r="H221" s="7" t="n"/>
      <c r="I221" s="7" t="n"/>
      <c r="J221" s="5" t="n"/>
      <c r="K221" s="5" t="n"/>
      <c r="L221" s="5" t="n"/>
      <c r="M221" s="8" t="n"/>
      <c r="N221" s="6" t="n"/>
      <c r="O221" s="9" t="n"/>
    </row>
    <row r="222">
      <c r="A222" s="5" t="n"/>
      <c r="B222" s="5" t="n"/>
      <c r="C222" s="5" t="n"/>
      <c r="D222" s="5" t="n"/>
      <c r="E222" s="5" t="n"/>
      <c r="F222" s="6" t="n"/>
      <c r="G222" s="7" t="n"/>
      <c r="H222" s="7" t="n"/>
      <c r="I222" s="7" t="n"/>
      <c r="J222" s="5" t="n"/>
      <c r="K222" s="5" t="n"/>
      <c r="L222" s="5" t="n"/>
      <c r="M222" s="8" t="n"/>
      <c r="N222" s="6" t="n"/>
      <c r="O222" s="9" t="n"/>
    </row>
    <row r="223">
      <c r="A223" s="5" t="n"/>
      <c r="B223" s="5" t="n"/>
      <c r="C223" s="5" t="n"/>
      <c r="D223" s="5" t="n"/>
      <c r="E223" s="5" t="n"/>
      <c r="F223" s="6" t="n"/>
      <c r="G223" s="7" t="n"/>
      <c r="H223" s="7" t="n"/>
      <c r="I223" s="7" t="n"/>
      <c r="J223" s="5" t="n"/>
      <c r="K223" s="5" t="n"/>
      <c r="L223" s="5" t="n"/>
      <c r="M223" s="8" t="n"/>
      <c r="N223" s="6" t="n"/>
      <c r="O223" s="9" t="n"/>
    </row>
    <row r="224">
      <c r="A224" s="5" t="n"/>
      <c r="B224" s="5" t="n"/>
      <c r="C224" s="5" t="n"/>
      <c r="D224" s="5" t="n"/>
      <c r="E224" s="5" t="n"/>
      <c r="F224" s="6" t="n"/>
      <c r="G224" s="7" t="n"/>
      <c r="H224" s="7" t="n"/>
      <c r="I224" s="7" t="n"/>
      <c r="J224" s="5" t="n"/>
      <c r="K224" s="5" t="n"/>
      <c r="L224" s="5" t="n"/>
      <c r="M224" s="8" t="n"/>
      <c r="N224" s="6" t="n"/>
      <c r="O224" s="9" t="n"/>
    </row>
    <row r="225">
      <c r="A225" s="5" t="n"/>
      <c r="B225" s="5" t="n"/>
      <c r="C225" s="5" t="n"/>
      <c r="D225" s="5" t="n"/>
      <c r="E225" s="5" t="n"/>
      <c r="F225" s="6" t="n"/>
      <c r="G225" s="7" t="n"/>
      <c r="H225" s="7" t="n"/>
      <c r="I225" s="7" t="n"/>
      <c r="J225" s="5" t="n"/>
      <c r="K225" s="5" t="n"/>
      <c r="L225" s="5" t="n"/>
      <c r="M225" s="8" t="n"/>
      <c r="N225" s="6" t="n"/>
      <c r="O225" s="9" t="n"/>
    </row>
    <row r="226">
      <c r="A226" s="5" t="n"/>
      <c r="B226" s="5" t="n"/>
      <c r="C226" s="5" t="n"/>
      <c r="D226" s="5" t="n"/>
      <c r="E226" s="5" t="n"/>
      <c r="F226" s="6" t="n"/>
      <c r="G226" s="7" t="n"/>
      <c r="H226" s="7" t="n"/>
      <c r="I226" s="7" t="n"/>
      <c r="J226" s="5" t="n"/>
      <c r="K226" s="5" t="n"/>
      <c r="L226" s="5" t="n"/>
      <c r="M226" s="8" t="n"/>
      <c r="N226" s="6" t="n"/>
      <c r="O226" s="9" t="n"/>
    </row>
    <row r="227">
      <c r="A227" s="5" t="n"/>
      <c r="B227" s="5" t="n"/>
      <c r="C227" s="5" t="n"/>
      <c r="D227" s="5" t="n"/>
      <c r="E227" s="5" t="n"/>
      <c r="F227" s="6" t="n"/>
      <c r="G227" s="7" t="n"/>
      <c r="H227" s="7" t="n"/>
      <c r="I227" s="7" t="n"/>
      <c r="J227" s="5" t="n"/>
      <c r="K227" s="5" t="n"/>
      <c r="L227" s="5" t="n"/>
      <c r="M227" s="8" t="n"/>
      <c r="N227" s="6" t="n"/>
      <c r="O227" s="9" t="n"/>
    </row>
    <row r="228">
      <c r="A228" s="5" t="n"/>
      <c r="B228" s="5" t="n"/>
      <c r="C228" s="5" t="n"/>
      <c r="D228" s="5" t="n"/>
      <c r="E228" s="5" t="n"/>
      <c r="F228" s="6" t="n"/>
      <c r="G228" s="7" t="n"/>
      <c r="H228" s="7" t="n"/>
      <c r="I228" s="7" t="n"/>
      <c r="J228" s="5" t="n"/>
      <c r="K228" s="5" t="n"/>
      <c r="L228" s="5" t="n"/>
      <c r="M228" s="8" t="n"/>
      <c r="N228" s="6" t="n"/>
      <c r="O228" s="9" t="n"/>
    </row>
    <row r="229">
      <c r="A229" s="5" t="n"/>
      <c r="B229" s="5" t="n"/>
      <c r="C229" s="5" t="n"/>
      <c r="D229" s="5" t="n"/>
      <c r="E229" s="5" t="n"/>
      <c r="F229" s="6" t="n"/>
      <c r="G229" s="7" t="n"/>
      <c r="H229" s="7" t="n"/>
      <c r="I229" s="7" t="n"/>
      <c r="J229" s="5" t="n"/>
      <c r="K229" s="5" t="n"/>
      <c r="L229" s="5" t="n"/>
      <c r="M229" s="8" t="n"/>
      <c r="N229" s="6" t="n"/>
      <c r="O229" s="9" t="n"/>
    </row>
    <row r="230">
      <c r="A230" s="5" t="n"/>
      <c r="B230" s="5" t="n"/>
      <c r="C230" s="5" t="n"/>
      <c r="D230" s="5" t="n"/>
      <c r="E230" s="5" t="n"/>
      <c r="F230" s="6" t="n"/>
      <c r="G230" s="7" t="n"/>
      <c r="H230" s="7" t="n"/>
      <c r="I230" s="7" t="n"/>
      <c r="J230" s="5" t="n"/>
      <c r="K230" s="5" t="n"/>
      <c r="L230" s="5" t="n"/>
      <c r="M230" s="8" t="n"/>
      <c r="N230" s="6" t="n"/>
      <c r="O230" s="9" t="n"/>
    </row>
    <row r="231">
      <c r="A231" s="5" t="n"/>
      <c r="B231" s="5" t="n"/>
      <c r="C231" s="5" t="n"/>
      <c r="D231" s="5" t="n"/>
      <c r="E231" s="5" t="n"/>
      <c r="F231" s="6" t="n"/>
      <c r="G231" s="7" t="n"/>
      <c r="H231" s="7" t="n"/>
      <c r="I231" s="7" t="n"/>
      <c r="J231" s="5" t="n"/>
      <c r="K231" s="5" t="n"/>
      <c r="L231" s="5" t="n"/>
      <c r="M231" s="8" t="n"/>
      <c r="N231" s="6" t="n"/>
      <c r="O231" s="9" t="n"/>
    </row>
    <row r="232">
      <c r="A232" s="5" t="n"/>
      <c r="B232" s="5" t="n"/>
      <c r="C232" s="5" t="n"/>
      <c r="D232" s="5" t="n"/>
      <c r="E232" s="5" t="n"/>
      <c r="F232" s="6" t="n"/>
      <c r="G232" s="7" t="n"/>
      <c r="H232" s="7" t="n"/>
      <c r="I232" s="7" t="n"/>
      <c r="J232" s="5" t="n"/>
      <c r="K232" s="5" t="n"/>
      <c r="L232" s="5" t="n"/>
      <c r="M232" s="8" t="n"/>
      <c r="N232" s="6" t="n"/>
      <c r="O232" s="9" t="n"/>
    </row>
    <row r="233">
      <c r="A233" s="5" t="n"/>
      <c r="B233" s="5" t="n"/>
      <c r="C233" s="5" t="n"/>
      <c r="D233" s="5" t="n"/>
      <c r="E233" s="5" t="n"/>
      <c r="F233" s="6" t="n"/>
      <c r="G233" s="7" t="n"/>
      <c r="H233" s="7" t="n"/>
      <c r="I233" s="7" t="n"/>
      <c r="J233" s="5" t="n"/>
      <c r="K233" s="5" t="n"/>
      <c r="L233" s="5" t="n"/>
      <c r="M233" s="8" t="n"/>
      <c r="N233" s="6" t="n"/>
      <c r="O233" s="9" t="n"/>
    </row>
    <row r="234">
      <c r="A234" s="5" t="n"/>
      <c r="B234" s="5" t="n"/>
      <c r="C234" s="5" t="n"/>
      <c r="D234" s="5" t="n"/>
      <c r="E234" s="5" t="n"/>
      <c r="F234" s="6" t="n"/>
      <c r="G234" s="7" t="n"/>
      <c r="H234" s="7" t="n"/>
      <c r="I234" s="7" t="n"/>
      <c r="J234" s="5" t="n"/>
      <c r="K234" s="5" t="n"/>
      <c r="L234" s="5" t="n"/>
      <c r="M234" s="8" t="n"/>
      <c r="N234" s="6" t="n"/>
      <c r="O234" s="9" t="n"/>
    </row>
    <row r="235">
      <c r="A235" s="5" t="n"/>
      <c r="B235" s="5" t="n"/>
      <c r="C235" s="5" t="n"/>
      <c r="D235" s="5" t="n"/>
      <c r="E235" s="5" t="n"/>
      <c r="F235" s="6" t="n"/>
      <c r="G235" s="7" t="n"/>
      <c r="H235" s="7" t="n"/>
      <c r="I235" s="7" t="n"/>
      <c r="J235" s="5" t="n"/>
      <c r="K235" s="5" t="n"/>
      <c r="L235" s="5" t="n"/>
      <c r="M235" s="8" t="n"/>
      <c r="N235" s="6" t="n"/>
      <c r="O235" s="9" t="n"/>
    </row>
    <row r="236">
      <c r="A236" s="5" t="n"/>
      <c r="B236" s="5" t="n"/>
      <c r="C236" s="5" t="n"/>
      <c r="D236" s="5" t="n"/>
      <c r="E236" s="5" t="n"/>
      <c r="F236" s="6" t="n"/>
      <c r="G236" s="7" t="n"/>
      <c r="H236" s="7" t="n"/>
      <c r="I236" s="7" t="n"/>
      <c r="J236" s="5" t="n"/>
      <c r="K236" s="5" t="n"/>
      <c r="L236" s="5" t="n"/>
      <c r="M236" s="8" t="n"/>
      <c r="N236" s="6" t="n"/>
      <c r="O236" s="9" t="n"/>
    </row>
    <row r="237">
      <c r="A237" s="5" t="n"/>
      <c r="B237" s="5" t="n"/>
      <c r="C237" s="5" t="n"/>
      <c r="D237" s="5" t="n"/>
      <c r="E237" s="5" t="n"/>
      <c r="F237" s="6" t="n"/>
      <c r="G237" s="7" t="n"/>
      <c r="H237" s="7" t="n"/>
      <c r="I237" s="7" t="n"/>
      <c r="J237" s="5" t="n"/>
      <c r="K237" s="5" t="n"/>
      <c r="L237" s="5" t="n"/>
      <c r="M237" s="8" t="n"/>
      <c r="N237" s="6" t="n"/>
      <c r="O237" s="9" t="n"/>
    </row>
    <row r="238">
      <c r="A238" s="5" t="n"/>
      <c r="B238" s="5" t="n"/>
      <c r="C238" s="5" t="n"/>
      <c r="D238" s="5" t="n"/>
      <c r="E238" s="5" t="n"/>
      <c r="F238" s="6" t="n"/>
      <c r="G238" s="7" t="n"/>
      <c r="H238" s="7" t="n"/>
      <c r="I238" s="7" t="n"/>
      <c r="J238" s="5" t="n"/>
      <c r="K238" s="5" t="n"/>
      <c r="L238" s="5" t="n"/>
      <c r="M238" s="8" t="n"/>
      <c r="N238" s="6" t="n"/>
      <c r="O238" s="9" t="n"/>
    </row>
    <row r="239">
      <c r="A239" s="5" t="n"/>
      <c r="B239" s="5" t="n"/>
      <c r="C239" s="5" t="n"/>
      <c r="D239" s="5" t="n"/>
      <c r="E239" s="5" t="n"/>
      <c r="F239" s="6" t="n"/>
      <c r="G239" s="7" t="n"/>
      <c r="H239" s="7" t="n"/>
      <c r="I239" s="7" t="n"/>
      <c r="J239" s="5" t="n"/>
      <c r="K239" s="5" t="n"/>
      <c r="L239" s="5" t="n"/>
      <c r="M239" s="8" t="n"/>
      <c r="N239" s="6" t="n"/>
      <c r="O239" s="9" t="n"/>
    </row>
    <row r="240">
      <c r="A240" s="5" t="n"/>
      <c r="B240" s="5" t="n"/>
      <c r="C240" s="5" t="n"/>
      <c r="D240" s="5" t="n"/>
      <c r="E240" s="5" t="n"/>
      <c r="F240" s="6" t="n"/>
      <c r="G240" s="7" t="n"/>
      <c r="H240" s="7" t="n"/>
      <c r="I240" s="7" t="n"/>
      <c r="J240" s="5" t="n"/>
      <c r="K240" s="5" t="n"/>
      <c r="L240" s="5" t="n"/>
      <c r="M240" s="8" t="n"/>
      <c r="N240" s="6" t="n"/>
      <c r="O240" s="9" t="n"/>
    </row>
    <row r="241">
      <c r="A241" s="5" t="n"/>
      <c r="B241" s="5" t="n"/>
      <c r="C241" s="5" t="n"/>
      <c r="D241" s="5" t="n"/>
      <c r="E241" s="5" t="n"/>
      <c r="F241" s="6" t="n"/>
      <c r="G241" s="7" t="n"/>
      <c r="H241" s="7" t="n"/>
      <c r="I241" s="7" t="n"/>
      <c r="J241" s="5" t="n"/>
      <c r="K241" s="5" t="n"/>
      <c r="L241" s="5" t="n"/>
      <c r="M241" s="8" t="n"/>
      <c r="N241" s="6" t="n"/>
      <c r="O241" s="9" t="n"/>
    </row>
    <row r="242">
      <c r="A242" s="5" t="n"/>
      <c r="B242" s="5" t="n"/>
      <c r="C242" s="5" t="n"/>
      <c r="D242" s="5" t="n"/>
      <c r="E242" s="5" t="n"/>
      <c r="F242" s="6" t="n"/>
      <c r="G242" s="7" t="n"/>
      <c r="H242" s="7" t="n"/>
      <c r="I242" s="7" t="n"/>
      <c r="J242" s="5" t="n"/>
      <c r="K242" s="5" t="n"/>
      <c r="L242" s="5" t="n"/>
      <c r="M242" s="8" t="n"/>
      <c r="N242" s="6" t="n"/>
      <c r="O242" s="9" t="n"/>
    </row>
    <row r="243">
      <c r="A243" s="5" t="n"/>
      <c r="B243" s="5" t="n"/>
      <c r="C243" s="5" t="n"/>
      <c r="D243" s="5" t="n"/>
      <c r="E243" s="5" t="n"/>
      <c r="F243" s="6" t="n"/>
      <c r="G243" s="7" t="n"/>
      <c r="H243" s="7" t="n"/>
      <c r="I243" s="7" t="n"/>
      <c r="J243" s="5" t="n"/>
      <c r="K243" s="5" t="n"/>
      <c r="L243" s="5" t="n"/>
      <c r="M243" s="8" t="n"/>
      <c r="N243" s="6" t="n"/>
      <c r="O243" s="9" t="n"/>
    </row>
    <row r="244">
      <c r="A244" s="5" t="n"/>
      <c r="B244" s="5" t="n"/>
      <c r="C244" s="5" t="n"/>
      <c r="D244" s="5" t="n"/>
      <c r="E244" s="5" t="n"/>
      <c r="F244" s="6" t="n"/>
      <c r="G244" s="7" t="n"/>
      <c r="H244" s="7" t="n"/>
      <c r="I244" s="7" t="n"/>
      <c r="J244" s="5" t="n"/>
      <c r="K244" s="5" t="n"/>
      <c r="L244" s="5" t="n"/>
      <c r="M244" s="8" t="n"/>
      <c r="N244" s="6" t="n"/>
      <c r="O244" s="9" t="n"/>
    </row>
    <row r="245">
      <c r="A245" s="5" t="n"/>
      <c r="B245" s="5" t="n"/>
      <c r="C245" s="5" t="n"/>
      <c r="D245" s="5" t="n"/>
      <c r="E245" s="5" t="n"/>
      <c r="F245" s="6" t="n"/>
      <c r="G245" s="7" t="n"/>
      <c r="H245" s="7" t="n"/>
      <c r="I245" s="7" t="n"/>
      <c r="J245" s="5" t="n"/>
      <c r="K245" s="5" t="n"/>
      <c r="L245" s="5" t="n"/>
      <c r="M245" s="8" t="n"/>
      <c r="N245" s="6" t="n"/>
      <c r="O245" s="9" t="n"/>
    </row>
    <row r="246">
      <c r="A246" s="5" t="n"/>
      <c r="B246" s="5" t="n"/>
      <c r="C246" s="5" t="n"/>
      <c r="D246" s="5" t="n"/>
      <c r="E246" s="5" t="n"/>
      <c r="F246" s="6" t="n"/>
      <c r="G246" s="7" t="n"/>
      <c r="H246" s="7" t="n"/>
      <c r="I246" s="7" t="n"/>
      <c r="J246" s="5" t="n"/>
      <c r="K246" s="5" t="n"/>
      <c r="L246" s="5" t="n"/>
      <c r="M246" s="8" t="n"/>
      <c r="N246" s="6" t="n"/>
      <c r="O246" s="9" t="n"/>
    </row>
    <row r="247">
      <c r="A247" s="5" t="n"/>
      <c r="B247" s="5" t="n"/>
      <c r="C247" s="5" t="n"/>
      <c r="D247" s="5" t="n"/>
      <c r="E247" s="5" t="n"/>
      <c r="F247" s="6" t="n"/>
      <c r="G247" s="7" t="n"/>
      <c r="H247" s="7" t="n"/>
      <c r="I247" s="7" t="n"/>
      <c r="J247" s="5" t="n"/>
      <c r="K247" s="5" t="n"/>
      <c r="L247" s="5" t="n"/>
      <c r="M247" s="8" t="n"/>
      <c r="N247" s="6" t="n"/>
      <c r="O247" s="9" t="n"/>
    </row>
    <row r="248">
      <c r="A248" s="5" t="n"/>
      <c r="B248" s="5" t="n"/>
      <c r="C248" s="5" t="n"/>
      <c r="D248" s="5" t="n"/>
      <c r="E248" s="5" t="n"/>
      <c r="F248" s="6" t="n"/>
      <c r="G248" s="7" t="n"/>
      <c r="H248" s="7" t="n"/>
      <c r="I248" s="7" t="n"/>
      <c r="J248" s="5" t="n"/>
      <c r="K248" s="5" t="n"/>
      <c r="L248" s="5" t="n"/>
      <c r="M248" s="8" t="n"/>
      <c r="N248" s="6" t="n"/>
      <c r="O248" s="9" t="n"/>
    </row>
    <row r="249">
      <c r="A249" s="5" t="n"/>
      <c r="B249" s="5" t="n"/>
      <c r="C249" s="5" t="n"/>
      <c r="D249" s="5" t="n"/>
      <c r="E249" s="5" t="n"/>
      <c r="F249" s="6" t="n"/>
      <c r="G249" s="7" t="n"/>
      <c r="H249" s="7" t="n"/>
      <c r="I249" s="7" t="n"/>
      <c r="J249" s="5" t="n"/>
      <c r="K249" s="5" t="n"/>
      <c r="L249" s="5" t="n"/>
      <c r="M249" s="8" t="n"/>
      <c r="N249" s="6" t="n"/>
      <c r="O249" s="9" t="n"/>
    </row>
    <row r="250">
      <c r="A250" s="5" t="n"/>
      <c r="B250" s="5" t="n"/>
      <c r="C250" s="5" t="n"/>
      <c r="D250" s="5" t="n"/>
      <c r="E250" s="5" t="n"/>
      <c r="F250" s="6" t="n"/>
      <c r="G250" s="7" t="n"/>
      <c r="H250" s="7" t="n"/>
      <c r="I250" s="7" t="n"/>
      <c r="J250" s="5" t="n"/>
      <c r="K250" s="5" t="n"/>
      <c r="L250" s="5" t="n"/>
      <c r="M250" s="8" t="n"/>
      <c r="N250" s="6" t="n"/>
      <c r="O250" s="9" t="n"/>
    </row>
    <row r="251">
      <c r="A251" s="5" t="n"/>
      <c r="B251" s="5" t="n"/>
      <c r="C251" s="5" t="n"/>
      <c r="D251" s="5" t="n"/>
      <c r="E251" s="5" t="n"/>
      <c r="F251" s="6" t="n"/>
      <c r="G251" s="7" t="n"/>
      <c r="H251" s="7" t="n"/>
      <c r="I251" s="7" t="n"/>
      <c r="J251" s="5" t="n"/>
      <c r="K251" s="5" t="n"/>
      <c r="L251" s="5" t="n"/>
      <c r="M251" s="8" t="n"/>
      <c r="N251" s="6" t="n"/>
      <c r="O251" s="9" t="n"/>
    </row>
    <row r="252">
      <c r="A252" s="5" t="n"/>
      <c r="B252" s="5" t="n"/>
      <c r="C252" s="5" t="n"/>
      <c r="D252" s="5" t="n"/>
      <c r="E252" s="5" t="n"/>
      <c r="F252" s="6" t="n"/>
      <c r="G252" s="7" t="n"/>
      <c r="H252" s="7" t="n"/>
      <c r="I252" s="7" t="n"/>
      <c r="J252" s="5" t="n"/>
      <c r="K252" s="5" t="n"/>
      <c r="L252" s="5" t="n"/>
      <c r="M252" s="8" t="n"/>
      <c r="N252" s="6" t="n"/>
      <c r="O252" s="9" t="n"/>
    </row>
    <row r="253">
      <c r="A253" s="5" t="n"/>
      <c r="B253" s="5" t="n"/>
      <c r="C253" s="5" t="n"/>
      <c r="D253" s="5" t="n"/>
      <c r="E253" s="5" t="n"/>
      <c r="F253" s="6" t="n"/>
      <c r="G253" s="7" t="n"/>
      <c r="H253" s="7" t="n"/>
      <c r="I253" s="7" t="n"/>
      <c r="J253" s="5" t="n"/>
      <c r="K253" s="5" t="n"/>
      <c r="L253" s="5" t="n"/>
      <c r="M253" s="8" t="n"/>
      <c r="N253" s="6" t="n"/>
      <c r="O253" s="9" t="n"/>
    </row>
    <row r="254">
      <c r="A254" s="5" t="n"/>
      <c r="B254" s="5" t="n"/>
      <c r="C254" s="5" t="n"/>
      <c r="D254" s="5" t="n"/>
      <c r="E254" s="5" t="n"/>
      <c r="F254" s="6" t="n"/>
      <c r="G254" s="7" t="n"/>
      <c r="H254" s="7" t="n"/>
      <c r="I254" s="7" t="n"/>
      <c r="J254" s="5" t="n"/>
      <c r="K254" s="5" t="n"/>
      <c r="L254" s="5" t="n"/>
      <c r="M254" s="8" t="n"/>
      <c r="N254" s="6" t="n"/>
      <c r="O254" s="9" t="n"/>
    </row>
    <row r="255">
      <c r="A255" s="5" t="n"/>
      <c r="B255" s="5" t="n"/>
      <c r="C255" s="5" t="n"/>
      <c r="D255" s="5" t="n"/>
      <c r="E255" s="5" t="n"/>
      <c r="F255" s="6" t="n"/>
      <c r="G255" s="7" t="n"/>
      <c r="H255" s="7" t="n"/>
      <c r="I255" s="7" t="n"/>
      <c r="J255" s="5" t="n"/>
      <c r="K255" s="5" t="n"/>
      <c r="L255" s="5" t="n"/>
      <c r="M255" s="8" t="n"/>
      <c r="N255" s="6" t="n"/>
      <c r="O255" s="9" t="n"/>
    </row>
    <row r="256">
      <c r="A256" s="5" t="n"/>
      <c r="B256" s="5" t="n"/>
      <c r="C256" s="5" t="n"/>
      <c r="D256" s="5" t="n"/>
      <c r="E256" s="5" t="n"/>
      <c r="F256" s="6" t="n"/>
      <c r="G256" s="7" t="n"/>
      <c r="H256" s="7" t="n"/>
      <c r="I256" s="7" t="n"/>
      <c r="J256" s="5" t="n"/>
      <c r="K256" s="5" t="n"/>
      <c r="L256" s="5" t="n"/>
      <c r="M256" s="8" t="n"/>
      <c r="N256" s="6" t="n"/>
      <c r="O256" s="9" t="n"/>
    </row>
    <row r="257">
      <c r="A257" s="5" t="n"/>
      <c r="B257" s="5" t="n"/>
      <c r="C257" s="5" t="n"/>
      <c r="D257" s="5" t="n"/>
      <c r="E257" s="5" t="n"/>
      <c r="F257" s="6" t="n"/>
      <c r="G257" s="7" t="n"/>
      <c r="H257" s="7" t="n"/>
      <c r="I257" s="7" t="n"/>
      <c r="J257" s="5" t="n"/>
      <c r="K257" s="5" t="n"/>
      <c r="L257" s="5" t="n"/>
      <c r="M257" s="8" t="n"/>
      <c r="N257" s="6" t="n"/>
      <c r="O257" s="9" t="n"/>
    </row>
    <row r="258">
      <c r="A258" s="5" t="n"/>
      <c r="B258" s="5" t="n"/>
      <c r="C258" s="5" t="n"/>
      <c r="D258" s="5" t="n"/>
      <c r="E258" s="5" t="n"/>
      <c r="F258" s="6" t="n"/>
      <c r="G258" s="7" t="n"/>
      <c r="H258" s="7" t="n"/>
      <c r="I258" s="7" t="n"/>
      <c r="J258" s="5" t="n"/>
      <c r="K258" s="5" t="n"/>
      <c r="L258" s="5" t="n"/>
      <c r="M258" s="8" t="n"/>
      <c r="N258" s="6" t="n"/>
      <c r="O258" s="9" t="n"/>
    </row>
    <row r="259">
      <c r="A259" s="5" t="n"/>
      <c r="B259" s="5" t="n"/>
      <c r="C259" s="5" t="n"/>
      <c r="D259" s="5" t="n"/>
      <c r="E259" s="5" t="n"/>
      <c r="F259" s="6" t="n"/>
      <c r="G259" s="7" t="n"/>
      <c r="H259" s="7" t="n"/>
      <c r="I259" s="7" t="n"/>
      <c r="J259" s="5" t="n"/>
      <c r="K259" s="5" t="n"/>
      <c r="L259" s="5" t="n"/>
      <c r="M259" s="8" t="n"/>
      <c r="N259" s="6" t="n"/>
      <c r="O259" s="9" t="n"/>
    </row>
    <row r="260">
      <c r="A260" s="5" t="n"/>
      <c r="B260" s="5" t="n"/>
      <c r="C260" s="5" t="n"/>
      <c r="D260" s="5" t="n"/>
      <c r="E260" s="5" t="n"/>
      <c r="F260" s="6" t="n"/>
      <c r="G260" s="7" t="n"/>
      <c r="H260" s="7" t="n"/>
      <c r="I260" s="7" t="n"/>
      <c r="J260" s="5" t="n"/>
      <c r="K260" s="5" t="n"/>
      <c r="L260" s="5" t="n"/>
      <c r="M260" s="8" t="n"/>
      <c r="N260" s="6" t="n"/>
      <c r="O260" s="9" t="n"/>
    </row>
    <row r="261">
      <c r="A261" s="5" t="n"/>
      <c r="B261" s="5" t="n"/>
      <c r="C261" s="5" t="n"/>
      <c r="D261" s="5" t="n"/>
      <c r="E261" s="5" t="n"/>
      <c r="F261" s="6" t="n"/>
      <c r="G261" s="7" t="n"/>
      <c r="H261" s="7" t="n"/>
      <c r="I261" s="7" t="n"/>
      <c r="J261" s="5" t="n"/>
      <c r="K261" s="5" t="n"/>
      <c r="L261" s="5" t="n"/>
      <c r="M261" s="8" t="n"/>
      <c r="N261" s="6" t="n"/>
      <c r="O261" s="9" t="n"/>
    </row>
    <row r="262">
      <c r="A262" s="5" t="n"/>
      <c r="B262" s="5" t="n"/>
      <c r="C262" s="5" t="n"/>
      <c r="D262" s="5" t="n"/>
      <c r="E262" s="5" t="n"/>
      <c r="F262" s="6" t="n"/>
      <c r="G262" s="7" t="n"/>
      <c r="H262" s="7" t="n"/>
      <c r="I262" s="7" t="n"/>
      <c r="J262" s="5" t="n"/>
      <c r="K262" s="5" t="n"/>
      <c r="L262" s="5" t="n"/>
      <c r="M262" s="8" t="n"/>
      <c r="N262" s="6" t="n"/>
      <c r="O262" s="9" t="n"/>
    </row>
    <row r="263">
      <c r="A263" s="5" t="n"/>
      <c r="B263" s="5" t="n"/>
      <c r="C263" s="5" t="n"/>
      <c r="D263" s="5" t="n"/>
      <c r="E263" s="5" t="n"/>
      <c r="F263" s="6" t="n"/>
      <c r="G263" s="7" t="n"/>
      <c r="H263" s="7" t="n"/>
      <c r="I263" s="7" t="n"/>
      <c r="J263" s="5" t="n"/>
      <c r="K263" s="5" t="n"/>
      <c r="L263" s="5" t="n"/>
      <c r="M263" s="8" t="n"/>
      <c r="N263" s="6" t="n"/>
      <c r="O263" s="9" t="n"/>
    </row>
    <row r="264">
      <c r="A264" s="5" t="n"/>
      <c r="B264" s="5" t="n"/>
      <c r="C264" s="5" t="n"/>
      <c r="D264" s="5" t="n"/>
      <c r="E264" s="5" t="n"/>
      <c r="F264" s="6" t="n"/>
      <c r="G264" s="7" t="n"/>
      <c r="H264" s="7" t="n"/>
      <c r="I264" s="7" t="n"/>
      <c r="J264" s="5" t="n"/>
      <c r="K264" s="5" t="n"/>
      <c r="L264" s="5" t="n"/>
      <c r="M264" s="8" t="n"/>
      <c r="N264" s="6" t="n"/>
      <c r="O264" s="9" t="n"/>
    </row>
    <row r="265">
      <c r="A265" s="5" t="n"/>
      <c r="B265" s="5" t="n"/>
      <c r="C265" s="5" t="n"/>
      <c r="D265" s="5" t="n"/>
      <c r="E265" s="5" t="n"/>
      <c r="F265" s="6" t="n"/>
      <c r="G265" s="7" t="n"/>
      <c r="H265" s="7" t="n"/>
      <c r="I265" s="7" t="n"/>
      <c r="J265" s="5" t="n"/>
      <c r="K265" s="5" t="n"/>
      <c r="L265" s="5" t="n"/>
      <c r="M265" s="8" t="n"/>
      <c r="N265" s="6" t="n"/>
      <c r="O265" s="9" t="n"/>
    </row>
    <row r="266">
      <c r="A266" s="5" t="n"/>
      <c r="B266" s="5" t="n"/>
      <c r="C266" s="5" t="n"/>
      <c r="D266" s="5" t="n"/>
      <c r="E266" s="5" t="n"/>
      <c r="F266" s="6" t="n"/>
      <c r="G266" s="7" t="n"/>
      <c r="H266" s="7" t="n"/>
      <c r="I266" s="7" t="n"/>
      <c r="J266" s="5" t="n"/>
      <c r="K266" s="5" t="n"/>
      <c r="L266" s="5" t="n"/>
      <c r="M266" s="8" t="n"/>
      <c r="N266" s="6" t="n"/>
      <c r="O266" s="9" t="n"/>
    </row>
    <row r="267">
      <c r="A267" s="5" t="n"/>
      <c r="B267" s="5" t="n"/>
      <c r="C267" s="5" t="n"/>
      <c r="D267" s="5" t="n"/>
      <c r="E267" s="5" t="n"/>
      <c r="F267" s="6" t="n"/>
      <c r="G267" s="7" t="n"/>
      <c r="H267" s="7" t="n"/>
      <c r="I267" s="7" t="n"/>
      <c r="J267" s="5" t="n"/>
      <c r="K267" s="5" t="n"/>
      <c r="L267" s="5" t="n"/>
      <c r="M267" s="8" t="n"/>
      <c r="N267" s="6" t="n"/>
      <c r="O267" s="9" t="n"/>
    </row>
    <row r="268">
      <c r="A268" s="5" t="n"/>
      <c r="B268" s="5" t="n"/>
      <c r="C268" s="5" t="n"/>
      <c r="D268" s="5" t="n"/>
      <c r="E268" s="5" t="n"/>
      <c r="F268" s="6" t="n"/>
      <c r="G268" s="7" t="n"/>
      <c r="H268" s="7" t="n"/>
      <c r="I268" s="7" t="n"/>
      <c r="J268" s="5" t="n"/>
      <c r="K268" s="5" t="n"/>
      <c r="L268" s="5" t="n"/>
      <c r="M268" s="8" t="n"/>
      <c r="N268" s="6" t="n"/>
      <c r="O268" s="9" t="n"/>
    </row>
    <row r="269">
      <c r="A269" s="5" t="n"/>
      <c r="B269" s="5" t="n"/>
      <c r="C269" s="5" t="n"/>
      <c r="D269" s="5" t="n"/>
      <c r="E269" s="5" t="n"/>
      <c r="F269" s="6" t="n"/>
      <c r="G269" s="7" t="n"/>
      <c r="H269" s="7" t="n"/>
      <c r="I269" s="7" t="n"/>
      <c r="J269" s="5" t="n"/>
      <c r="K269" s="5" t="n"/>
      <c r="L269" s="5" t="n"/>
      <c r="M269" s="8" t="n"/>
      <c r="N269" s="6" t="n"/>
      <c r="O269" s="9" t="n"/>
    </row>
    <row r="270">
      <c r="A270" s="5" t="n"/>
      <c r="B270" s="5" t="n"/>
      <c r="C270" s="5" t="n"/>
      <c r="D270" s="5" t="n"/>
      <c r="E270" s="5" t="n"/>
      <c r="F270" s="6" t="n"/>
      <c r="G270" s="7" t="n"/>
      <c r="H270" s="7" t="n"/>
      <c r="I270" s="7" t="n"/>
      <c r="J270" s="5" t="n"/>
      <c r="K270" s="5" t="n"/>
      <c r="L270" s="5" t="n"/>
      <c r="M270" s="8" t="n"/>
      <c r="N270" s="6" t="n"/>
      <c r="O270" s="9" t="n"/>
    </row>
    <row r="271">
      <c r="A271" s="5" t="n"/>
      <c r="B271" s="5" t="n"/>
      <c r="C271" s="5" t="n"/>
      <c r="D271" s="5" t="n"/>
      <c r="E271" s="5" t="n"/>
      <c r="F271" s="6" t="n"/>
      <c r="G271" s="7" t="n"/>
      <c r="H271" s="7" t="n"/>
      <c r="I271" s="7" t="n"/>
      <c r="J271" s="5" t="n"/>
      <c r="K271" s="5" t="n"/>
      <c r="L271" s="5" t="n"/>
      <c r="M271" s="8" t="n"/>
      <c r="N271" s="6" t="n"/>
      <c r="O271" s="9" t="n"/>
    </row>
    <row r="272">
      <c r="A272" s="5" t="n"/>
      <c r="B272" s="5" t="n"/>
      <c r="C272" s="5" t="n"/>
      <c r="D272" s="5" t="n"/>
      <c r="E272" s="5" t="n"/>
      <c r="F272" s="6" t="n"/>
      <c r="G272" s="7" t="n"/>
      <c r="H272" s="7" t="n"/>
      <c r="I272" s="7" t="n"/>
      <c r="J272" s="5" t="n"/>
      <c r="K272" s="5" t="n"/>
      <c r="L272" s="5" t="n"/>
      <c r="M272" s="8" t="n"/>
      <c r="N272" s="6" t="n"/>
      <c r="O272" s="9" t="n"/>
    </row>
    <row r="273">
      <c r="A273" s="5" t="n"/>
      <c r="B273" s="5" t="n"/>
      <c r="C273" s="5" t="n"/>
      <c r="D273" s="5" t="n"/>
      <c r="E273" s="5" t="n"/>
      <c r="F273" s="6" t="n"/>
      <c r="G273" s="7" t="n"/>
      <c r="H273" s="7" t="n"/>
      <c r="I273" s="7" t="n"/>
      <c r="J273" s="5" t="n"/>
      <c r="K273" s="5" t="n"/>
      <c r="L273" s="5" t="n"/>
      <c r="M273" s="8" t="n"/>
      <c r="N273" s="6" t="n"/>
      <c r="O273" s="9" t="n"/>
    </row>
    <row r="274">
      <c r="A274" s="5" t="n"/>
      <c r="B274" s="5" t="n"/>
      <c r="C274" s="5" t="n"/>
      <c r="D274" s="5" t="n"/>
      <c r="E274" s="5" t="n"/>
      <c r="F274" s="6" t="n"/>
      <c r="G274" s="7" t="n"/>
      <c r="H274" s="7" t="n"/>
      <c r="I274" s="7" t="n"/>
      <c r="J274" s="5" t="n"/>
      <c r="K274" s="5" t="n"/>
      <c r="L274" s="5" t="n"/>
      <c r="M274" s="8" t="n"/>
      <c r="N274" s="6" t="n"/>
      <c r="O274" s="9" t="n"/>
    </row>
    <row r="275">
      <c r="A275" s="5" t="n"/>
      <c r="B275" s="5" t="n"/>
      <c r="C275" s="5" t="n"/>
      <c r="D275" s="5" t="n"/>
      <c r="E275" s="5" t="n"/>
      <c r="F275" s="6" t="n"/>
      <c r="G275" s="7" t="n"/>
      <c r="H275" s="7" t="n"/>
      <c r="I275" s="7" t="n"/>
      <c r="J275" s="5" t="n"/>
      <c r="K275" s="5" t="n"/>
      <c r="L275" s="5" t="n"/>
      <c r="M275" s="8" t="n"/>
      <c r="N275" s="6" t="n"/>
      <c r="O275" s="9" t="n"/>
    </row>
    <row r="276">
      <c r="A276" s="5" t="n"/>
      <c r="B276" s="5" t="n"/>
      <c r="C276" s="5" t="n"/>
      <c r="D276" s="5" t="n"/>
      <c r="E276" s="5" t="n"/>
      <c r="F276" s="6" t="n"/>
      <c r="G276" s="7" t="n"/>
      <c r="H276" s="7" t="n"/>
      <c r="I276" s="7" t="n"/>
      <c r="J276" s="5" t="n"/>
      <c r="K276" s="5" t="n"/>
      <c r="L276" s="5" t="n"/>
      <c r="M276" s="8" t="n"/>
      <c r="N276" s="6" t="n"/>
      <c r="O276" s="9" t="n"/>
    </row>
    <row r="277">
      <c r="A277" s="5" t="n"/>
      <c r="B277" s="5" t="n"/>
      <c r="C277" s="5" t="n"/>
      <c r="D277" s="5" t="n"/>
      <c r="E277" s="5" t="n"/>
      <c r="F277" s="6" t="n"/>
      <c r="G277" s="7" t="n"/>
      <c r="H277" s="7" t="n"/>
      <c r="I277" s="7" t="n"/>
      <c r="J277" s="5" t="n"/>
      <c r="K277" s="5" t="n"/>
      <c r="L277" s="5" t="n"/>
      <c r="M277" s="8" t="n"/>
      <c r="N277" s="6" t="n"/>
      <c r="O277" s="9" t="n"/>
    </row>
    <row r="278">
      <c r="A278" s="5" t="n"/>
      <c r="B278" s="5" t="n"/>
      <c r="C278" s="5" t="n"/>
      <c r="D278" s="5" t="n"/>
      <c r="E278" s="5" t="n"/>
      <c r="F278" s="6" t="n"/>
      <c r="G278" s="7" t="n"/>
      <c r="H278" s="7" t="n"/>
      <c r="I278" s="7" t="n"/>
      <c r="J278" s="5" t="n"/>
      <c r="K278" s="5" t="n"/>
      <c r="L278" s="5" t="n"/>
      <c r="M278" s="8" t="n"/>
      <c r="N278" s="6" t="n"/>
      <c r="O278" s="9" t="n"/>
    </row>
    <row r="279">
      <c r="A279" s="5" t="n"/>
      <c r="B279" s="5" t="n"/>
      <c r="C279" s="5" t="n"/>
      <c r="D279" s="5" t="n"/>
      <c r="E279" s="5" t="n"/>
      <c r="F279" s="6" t="n"/>
      <c r="G279" s="7" t="n"/>
      <c r="H279" s="7" t="n"/>
      <c r="I279" s="7" t="n"/>
      <c r="J279" s="5" t="n"/>
      <c r="K279" s="5" t="n"/>
      <c r="L279" s="5" t="n"/>
      <c r="M279" s="8" t="n"/>
      <c r="N279" s="6" t="n"/>
      <c r="O279" s="9" t="n"/>
    </row>
    <row r="280">
      <c r="A280" s="5" t="n"/>
      <c r="B280" s="5" t="n"/>
      <c r="C280" s="5" t="n"/>
      <c r="D280" s="5" t="n"/>
      <c r="E280" s="5" t="n"/>
      <c r="F280" s="6" t="n"/>
      <c r="G280" s="7" t="n"/>
      <c r="H280" s="7" t="n"/>
      <c r="I280" s="7" t="n"/>
      <c r="J280" s="5" t="n"/>
      <c r="K280" s="5" t="n"/>
      <c r="L280" s="5" t="n"/>
      <c r="M280" s="8" t="n"/>
      <c r="N280" s="6" t="n"/>
      <c r="O280" s="9" t="n"/>
    </row>
    <row r="281">
      <c r="A281" s="5" t="n"/>
      <c r="B281" s="5" t="n"/>
      <c r="C281" s="5" t="n"/>
      <c r="D281" s="5" t="n"/>
      <c r="E281" s="5" t="n"/>
      <c r="F281" s="6" t="n"/>
      <c r="G281" s="7" t="n"/>
      <c r="H281" s="7" t="n"/>
      <c r="I281" s="7" t="n"/>
      <c r="J281" s="5" t="n"/>
      <c r="K281" s="5" t="n"/>
      <c r="L281" s="5" t="n"/>
      <c r="M281" s="8" t="n"/>
      <c r="N281" s="6" t="n"/>
      <c r="O281" s="9" t="n"/>
    </row>
    <row r="282">
      <c r="A282" s="5" t="n"/>
      <c r="B282" s="5" t="n"/>
      <c r="C282" s="5" t="n"/>
      <c r="D282" s="5" t="n"/>
      <c r="E282" s="5" t="n"/>
      <c r="F282" s="6" t="n"/>
      <c r="G282" s="7" t="n"/>
      <c r="H282" s="7" t="n"/>
      <c r="I282" s="7" t="n"/>
      <c r="J282" s="5" t="n"/>
      <c r="K282" s="5" t="n"/>
      <c r="L282" s="5" t="n"/>
      <c r="M282" s="8" t="n"/>
      <c r="N282" s="6" t="n"/>
      <c r="O282" s="9" t="n"/>
    </row>
    <row r="283">
      <c r="A283" s="5" t="n"/>
      <c r="B283" s="5" t="n"/>
      <c r="C283" s="5" t="n"/>
      <c r="D283" s="5" t="n"/>
      <c r="E283" s="5" t="n"/>
      <c r="F283" s="6" t="n"/>
      <c r="G283" s="7" t="n"/>
      <c r="H283" s="7" t="n"/>
      <c r="I283" s="7" t="n"/>
      <c r="J283" s="5" t="n"/>
      <c r="K283" s="5" t="n"/>
      <c r="L283" s="5" t="n"/>
      <c r="M283" s="8" t="n"/>
      <c r="N283" s="6" t="n"/>
      <c r="O283" s="9" t="n"/>
    </row>
    <row r="284">
      <c r="A284" s="5" t="n"/>
      <c r="B284" s="5" t="n"/>
      <c r="C284" s="5" t="n"/>
      <c r="D284" s="5" t="n"/>
      <c r="E284" s="5" t="n"/>
      <c r="F284" s="6" t="n"/>
      <c r="G284" s="7" t="n"/>
      <c r="H284" s="7" t="n"/>
      <c r="I284" s="7" t="n"/>
      <c r="J284" s="5" t="n"/>
      <c r="K284" s="5" t="n"/>
      <c r="L284" s="5" t="n"/>
      <c r="M284" s="8" t="n"/>
      <c r="N284" s="6" t="n"/>
      <c r="O284" s="9" t="n"/>
    </row>
    <row r="285">
      <c r="A285" s="5" t="n"/>
      <c r="B285" s="5" t="n"/>
      <c r="C285" s="5" t="n"/>
      <c r="D285" s="5" t="n"/>
      <c r="E285" s="5" t="n"/>
      <c r="F285" s="6" t="n"/>
      <c r="G285" s="7" t="n"/>
      <c r="H285" s="7" t="n"/>
      <c r="I285" s="7" t="n"/>
      <c r="J285" s="5" t="n"/>
      <c r="K285" s="5" t="n"/>
      <c r="L285" s="5" t="n"/>
      <c r="M285" s="8" t="n"/>
      <c r="N285" s="6" t="n"/>
      <c r="O285" s="9" t="n"/>
    </row>
    <row r="286">
      <c r="A286" s="5" t="n"/>
      <c r="B286" s="5" t="n"/>
      <c r="C286" s="5" t="n"/>
      <c r="D286" s="5" t="n"/>
      <c r="E286" s="5" t="n"/>
      <c r="F286" s="6" t="n"/>
      <c r="G286" s="7" t="n"/>
      <c r="H286" s="7" t="n"/>
      <c r="I286" s="7" t="n"/>
      <c r="J286" s="5" t="n"/>
      <c r="K286" s="5" t="n"/>
      <c r="L286" s="5" t="n"/>
      <c r="M286" s="8" t="n"/>
      <c r="N286" s="6" t="n"/>
      <c r="O286" s="9" t="n"/>
    </row>
    <row r="287">
      <c r="A287" s="5" t="n"/>
      <c r="B287" s="5" t="n"/>
      <c r="C287" s="5" t="n"/>
      <c r="D287" s="5" t="n"/>
      <c r="E287" s="5" t="n"/>
      <c r="F287" s="6" t="n"/>
      <c r="G287" s="7" t="n"/>
      <c r="H287" s="7" t="n"/>
      <c r="I287" s="7" t="n"/>
      <c r="J287" s="5" t="n"/>
      <c r="K287" s="5" t="n"/>
      <c r="L287" s="5" t="n"/>
      <c r="M287" s="8" t="n"/>
      <c r="N287" s="6" t="n"/>
      <c r="O287" s="9" t="n"/>
    </row>
    <row r="288">
      <c r="A288" s="5" t="n"/>
      <c r="B288" s="5" t="n"/>
      <c r="C288" s="5" t="n"/>
      <c r="D288" s="5" t="n"/>
      <c r="E288" s="5" t="n"/>
      <c r="F288" s="6" t="n"/>
      <c r="G288" s="7" t="n"/>
      <c r="H288" s="7" t="n"/>
      <c r="I288" s="7" t="n"/>
      <c r="J288" s="5" t="n"/>
      <c r="K288" s="5" t="n"/>
      <c r="L288" s="5" t="n"/>
      <c r="M288" s="8" t="n"/>
      <c r="N288" s="6" t="n"/>
      <c r="O288" s="9" t="n"/>
    </row>
    <row r="289">
      <c r="A289" s="5" t="n"/>
      <c r="B289" s="5" t="n"/>
      <c r="C289" s="5" t="n"/>
      <c r="D289" s="5" t="n"/>
      <c r="E289" s="5" t="n"/>
      <c r="F289" s="6" t="n"/>
      <c r="G289" s="7" t="n"/>
      <c r="H289" s="7" t="n"/>
      <c r="I289" s="7" t="n"/>
      <c r="J289" s="5" t="n"/>
      <c r="K289" s="5" t="n"/>
      <c r="L289" s="5" t="n"/>
      <c r="M289" s="8" t="n"/>
      <c r="N289" s="6" t="n"/>
      <c r="O289" s="9" t="n"/>
    </row>
    <row r="290">
      <c r="A290" s="5" t="n"/>
      <c r="B290" s="5" t="n"/>
      <c r="C290" s="5" t="n"/>
      <c r="D290" s="5" t="n"/>
      <c r="E290" s="5" t="n"/>
      <c r="F290" s="6" t="n"/>
      <c r="G290" s="7" t="n"/>
      <c r="H290" s="7" t="n"/>
      <c r="I290" s="7" t="n"/>
      <c r="J290" s="5" t="n"/>
      <c r="K290" s="5" t="n"/>
      <c r="L290" s="5" t="n"/>
      <c r="M290" s="8" t="n"/>
      <c r="N290" s="6" t="n"/>
      <c r="O290" s="9" t="n"/>
    </row>
    <row r="291">
      <c r="A291" s="5" t="n"/>
      <c r="B291" s="5" t="n"/>
      <c r="C291" s="5" t="n"/>
      <c r="D291" s="5" t="n"/>
      <c r="E291" s="5" t="n"/>
      <c r="F291" s="6" t="n"/>
      <c r="G291" s="7" t="n"/>
      <c r="H291" s="7" t="n"/>
      <c r="I291" s="7" t="n"/>
      <c r="J291" s="5" t="n"/>
      <c r="K291" s="5" t="n"/>
      <c r="L291" s="5" t="n"/>
      <c r="M291" s="8" t="n"/>
      <c r="N291" s="6" t="n"/>
      <c r="O291" s="9" t="n"/>
    </row>
    <row r="292">
      <c r="A292" s="5" t="n"/>
      <c r="B292" s="5" t="n"/>
      <c r="C292" s="5" t="n"/>
      <c r="D292" s="5" t="n"/>
      <c r="E292" s="5" t="n"/>
      <c r="F292" s="6" t="n"/>
      <c r="G292" s="7" t="n"/>
      <c r="H292" s="7" t="n"/>
      <c r="I292" s="7" t="n"/>
      <c r="J292" s="5" t="n"/>
      <c r="K292" s="5" t="n"/>
      <c r="L292" s="5" t="n"/>
      <c r="M292" s="8" t="n"/>
      <c r="N292" s="6" t="n"/>
      <c r="O292" s="9" t="n"/>
    </row>
    <row r="293">
      <c r="A293" s="5" t="n"/>
      <c r="B293" s="5" t="n"/>
      <c r="C293" s="5" t="n"/>
      <c r="D293" s="5" t="n"/>
      <c r="E293" s="5" t="n"/>
      <c r="F293" s="6" t="n"/>
      <c r="G293" s="7" t="n"/>
      <c r="H293" s="7" t="n"/>
      <c r="I293" s="7" t="n"/>
      <c r="J293" s="5" t="n"/>
      <c r="K293" s="5" t="n"/>
      <c r="L293" s="5" t="n"/>
      <c r="M293" s="8" t="n"/>
      <c r="N293" s="6" t="n"/>
      <c r="O293" s="9" t="n"/>
    </row>
    <row r="294">
      <c r="A294" s="5" t="n"/>
      <c r="B294" s="5" t="n"/>
      <c r="C294" s="5" t="n"/>
      <c r="D294" s="5" t="n"/>
      <c r="E294" s="5" t="n"/>
      <c r="F294" s="6" t="n"/>
      <c r="G294" s="7" t="n"/>
      <c r="H294" s="7" t="n"/>
      <c r="I294" s="7" t="n"/>
      <c r="J294" s="5" t="n"/>
      <c r="K294" s="5" t="n"/>
      <c r="L294" s="5" t="n"/>
      <c r="M294" s="8" t="n"/>
      <c r="N294" s="6" t="n"/>
      <c r="O294" s="9" t="n"/>
    </row>
    <row r="295">
      <c r="A295" s="5" t="n"/>
      <c r="B295" s="5" t="n"/>
      <c r="C295" s="5" t="n"/>
      <c r="D295" s="5" t="n"/>
      <c r="E295" s="5" t="n"/>
      <c r="F295" s="6" t="n"/>
      <c r="G295" s="7" t="n"/>
      <c r="H295" s="7" t="n"/>
      <c r="I295" s="7" t="n"/>
      <c r="J295" s="5" t="n"/>
      <c r="K295" s="5" t="n"/>
      <c r="L295" s="5" t="n"/>
      <c r="M295" s="8" t="n"/>
      <c r="N295" s="6" t="n"/>
      <c r="O295" s="9" t="n"/>
    </row>
    <row r="296">
      <c r="A296" s="5" t="n"/>
      <c r="B296" s="5" t="n"/>
      <c r="C296" s="5" t="n"/>
      <c r="D296" s="5" t="n"/>
      <c r="E296" s="5" t="n"/>
      <c r="F296" s="6" t="n"/>
      <c r="G296" s="7" t="n"/>
      <c r="H296" s="7" t="n"/>
      <c r="I296" s="7" t="n"/>
      <c r="J296" s="5" t="n"/>
      <c r="K296" s="5" t="n"/>
      <c r="L296" s="5" t="n"/>
      <c r="M296" s="8" t="n"/>
      <c r="N296" s="6" t="n"/>
      <c r="O296" s="9" t="n"/>
    </row>
    <row r="297">
      <c r="A297" s="5" t="n"/>
      <c r="B297" s="5" t="n"/>
      <c r="C297" s="5" t="n"/>
      <c r="D297" s="5" t="n"/>
      <c r="E297" s="5" t="n"/>
      <c r="F297" s="6" t="n"/>
      <c r="G297" s="7" t="n"/>
      <c r="H297" s="7" t="n"/>
      <c r="I297" s="7" t="n"/>
      <c r="J297" s="5" t="n"/>
      <c r="K297" s="5" t="n"/>
      <c r="L297" s="5" t="n"/>
      <c r="M297" s="8" t="n"/>
      <c r="N297" s="6" t="n"/>
      <c r="O297" s="9" t="n"/>
    </row>
    <row r="298">
      <c r="A298" s="5" t="n"/>
      <c r="B298" s="5" t="n"/>
      <c r="C298" s="5" t="n"/>
      <c r="D298" s="5" t="n"/>
      <c r="E298" s="5" t="n"/>
      <c r="F298" s="6" t="n"/>
      <c r="G298" s="7" t="n"/>
      <c r="H298" s="7" t="n"/>
      <c r="I298" s="7" t="n"/>
      <c r="J298" s="5" t="n"/>
      <c r="K298" s="5" t="n"/>
      <c r="L298" s="5" t="n"/>
      <c r="M298" s="8" t="n"/>
      <c r="N298" s="6" t="n"/>
      <c r="O298" s="9" t="n"/>
    </row>
    <row r="299">
      <c r="A299" s="5" t="n"/>
      <c r="B299" s="5" t="n"/>
      <c r="C299" s="5" t="n"/>
      <c r="D299" s="5" t="n"/>
      <c r="E299" s="5" t="n"/>
      <c r="F299" s="6" t="n"/>
      <c r="G299" s="7" t="n"/>
      <c r="H299" s="7" t="n"/>
      <c r="I299" s="7" t="n"/>
      <c r="J299" s="5" t="n"/>
      <c r="K299" s="5" t="n"/>
      <c r="L299" s="5" t="n"/>
      <c r="M299" s="8" t="n"/>
      <c r="N299" s="6" t="n"/>
      <c r="O299" s="9" t="n"/>
    </row>
    <row r="300">
      <c r="A300" s="5" t="n"/>
      <c r="B300" s="5" t="n"/>
      <c r="C300" s="5" t="n"/>
      <c r="D300" s="5" t="n"/>
      <c r="E300" s="5" t="n"/>
      <c r="F300" s="6" t="n"/>
      <c r="G300" s="7" t="n"/>
      <c r="H300" s="7" t="n"/>
      <c r="I300" s="7" t="n"/>
      <c r="J300" s="5" t="n"/>
      <c r="K300" s="5" t="n"/>
      <c r="L300" s="5" t="n"/>
      <c r="M300" s="8" t="n"/>
      <c r="N300" s="6" t="n"/>
      <c r="O300" s="9" t="n"/>
    </row>
    <row r="301">
      <c r="A301" s="5" t="n"/>
      <c r="B301" s="5" t="n"/>
      <c r="C301" s="5" t="n"/>
      <c r="D301" s="5" t="n"/>
      <c r="E301" s="5" t="n"/>
      <c r="F301" s="6" t="n"/>
      <c r="G301" s="7" t="n"/>
      <c r="H301" s="7" t="n"/>
      <c r="I301" s="7" t="n"/>
      <c r="J301" s="5" t="n"/>
      <c r="K301" s="5" t="n"/>
      <c r="L301" s="5" t="n"/>
      <c r="M301" s="8" t="n"/>
      <c r="N301" s="6" t="n"/>
      <c r="O301" s="9" t="n"/>
    </row>
    <row r="302">
      <c r="A302" s="5" t="n"/>
      <c r="B302" s="5" t="n"/>
      <c r="C302" s="5" t="n"/>
      <c r="D302" s="5" t="n"/>
      <c r="E302" s="5" t="n"/>
      <c r="F302" s="6" t="n"/>
      <c r="G302" s="7" t="n"/>
      <c r="H302" s="7" t="n"/>
      <c r="I302" s="7" t="n"/>
      <c r="J302" s="5" t="n"/>
      <c r="K302" s="5" t="n"/>
      <c r="L302" s="5" t="n"/>
      <c r="M302" s="8" t="n"/>
      <c r="N302" s="6" t="n"/>
      <c r="O302" s="9" t="n"/>
    </row>
    <row r="303">
      <c r="A303" s="5" t="n"/>
      <c r="B303" s="5" t="n"/>
      <c r="C303" s="5" t="n"/>
      <c r="D303" s="5" t="n"/>
      <c r="E303" s="5" t="n"/>
      <c r="F303" s="6" t="n"/>
      <c r="G303" s="7" t="n"/>
      <c r="H303" s="7" t="n"/>
      <c r="I303" s="7" t="n"/>
      <c r="J303" s="5" t="n"/>
      <c r="K303" s="5" t="n"/>
      <c r="L303" s="5" t="n"/>
      <c r="M303" s="8" t="n"/>
      <c r="N303" s="6" t="n"/>
      <c r="O303" s="9" t="n"/>
    </row>
    <row r="304">
      <c r="A304" s="5" t="n"/>
      <c r="B304" s="5" t="n"/>
      <c r="C304" s="5" t="n"/>
      <c r="D304" s="5" t="n"/>
      <c r="E304" s="5" t="n"/>
      <c r="F304" s="6" t="n"/>
      <c r="G304" s="7" t="n"/>
      <c r="H304" s="7" t="n"/>
      <c r="I304" s="7" t="n"/>
      <c r="J304" s="5" t="n"/>
      <c r="K304" s="5" t="n"/>
      <c r="L304" s="5" t="n"/>
      <c r="M304" s="8" t="n"/>
      <c r="N304" s="6" t="n"/>
      <c r="O304" s="9" t="n"/>
    </row>
    <row r="305">
      <c r="A305" s="5" t="n"/>
      <c r="B305" s="5" t="n"/>
      <c r="C305" s="5" t="n"/>
      <c r="D305" s="5" t="n"/>
      <c r="E305" s="5" t="n"/>
      <c r="F305" s="6" t="n"/>
      <c r="G305" s="7" t="n"/>
      <c r="H305" s="7" t="n"/>
      <c r="I305" s="7" t="n"/>
      <c r="J305" s="5" t="n"/>
      <c r="K305" s="5" t="n"/>
      <c r="L305" s="5" t="n"/>
      <c r="M305" s="8" t="n"/>
      <c r="N305" s="6" t="n"/>
      <c r="O305" s="9" t="n"/>
    </row>
    <row r="306">
      <c r="A306" s="5" t="n"/>
      <c r="B306" s="5" t="n"/>
      <c r="C306" s="5" t="n"/>
      <c r="D306" s="5" t="n"/>
      <c r="E306" s="5" t="n"/>
      <c r="F306" s="6" t="n"/>
      <c r="G306" s="7" t="n"/>
      <c r="H306" s="7" t="n"/>
      <c r="I306" s="7" t="n"/>
      <c r="J306" s="5" t="n"/>
      <c r="K306" s="5" t="n"/>
      <c r="L306" s="5" t="n"/>
      <c r="M306" s="8" t="n"/>
      <c r="N306" s="6" t="n"/>
      <c r="O306" s="9" t="n"/>
    </row>
    <row r="307">
      <c r="A307" s="5" t="n"/>
      <c r="B307" s="5" t="n"/>
      <c r="C307" s="5" t="n"/>
      <c r="D307" s="5" t="n"/>
      <c r="E307" s="5" t="n"/>
      <c r="F307" s="6" t="n"/>
      <c r="G307" s="7" t="n"/>
      <c r="H307" s="7" t="n"/>
      <c r="I307" s="7" t="n"/>
      <c r="J307" s="5" t="n"/>
      <c r="K307" s="5" t="n"/>
      <c r="L307" s="5" t="n"/>
      <c r="M307" s="8" t="n"/>
      <c r="N307" s="6" t="n"/>
      <c r="O307" s="9" t="n"/>
    </row>
    <row r="308">
      <c r="A308" s="5" t="n"/>
      <c r="B308" s="5" t="n"/>
      <c r="C308" s="5" t="n"/>
      <c r="D308" s="5" t="n"/>
      <c r="E308" s="5" t="n"/>
      <c r="F308" s="6" t="n"/>
      <c r="G308" s="7" t="n"/>
      <c r="H308" s="7" t="n"/>
      <c r="I308" s="7" t="n"/>
      <c r="J308" s="5" t="n"/>
      <c r="K308" s="5" t="n"/>
      <c r="L308" s="5" t="n"/>
      <c r="M308" s="8" t="n"/>
      <c r="N308" s="6" t="n"/>
      <c r="O308" s="9" t="n"/>
    </row>
    <row r="309">
      <c r="A309" s="5" t="n"/>
      <c r="B309" s="5" t="n"/>
      <c r="C309" s="5" t="n"/>
      <c r="D309" s="5" t="n"/>
      <c r="E309" s="5" t="n"/>
      <c r="F309" s="6" t="n"/>
      <c r="G309" s="7" t="n"/>
      <c r="H309" s="7" t="n"/>
      <c r="I309" s="7" t="n"/>
      <c r="J309" s="5" t="n"/>
      <c r="K309" s="5" t="n"/>
      <c r="L309" s="5" t="n"/>
      <c r="M309" s="8" t="n"/>
      <c r="N309" s="6" t="n"/>
      <c r="O309" s="9" t="n"/>
    </row>
    <row r="310">
      <c r="A310" s="5" t="n"/>
      <c r="B310" s="5" t="n"/>
      <c r="C310" s="5" t="n"/>
      <c r="D310" s="5" t="n"/>
      <c r="E310" s="5" t="n"/>
      <c r="F310" s="6" t="n"/>
      <c r="G310" s="7" t="n"/>
      <c r="H310" s="7" t="n"/>
      <c r="I310" s="7" t="n"/>
      <c r="J310" s="5" t="n"/>
      <c r="K310" s="5" t="n"/>
      <c r="L310" s="5" t="n"/>
      <c r="M310" s="8" t="n"/>
      <c r="N310" s="6" t="n"/>
      <c r="O310" s="9" t="n"/>
    </row>
    <row r="311">
      <c r="A311" s="5" t="n"/>
      <c r="B311" s="5" t="n"/>
      <c r="C311" s="5" t="n"/>
      <c r="D311" s="5" t="n"/>
      <c r="E311" s="5" t="n"/>
      <c r="F311" s="6" t="n"/>
      <c r="G311" s="7" t="n"/>
      <c r="H311" s="7" t="n"/>
      <c r="I311" s="7" t="n"/>
      <c r="J311" s="5" t="n"/>
      <c r="K311" s="5" t="n"/>
      <c r="L311" s="5" t="n"/>
      <c r="M311" s="8" t="n"/>
      <c r="N311" s="6" t="n"/>
      <c r="O311" s="9" t="n"/>
    </row>
    <row r="312">
      <c r="A312" s="5" t="n"/>
      <c r="B312" s="5" t="n"/>
      <c r="C312" s="5" t="n"/>
      <c r="D312" s="5" t="n"/>
      <c r="E312" s="5" t="n"/>
      <c r="F312" s="6" t="n"/>
      <c r="G312" s="7" t="n"/>
      <c r="H312" s="7" t="n"/>
      <c r="I312" s="7" t="n"/>
      <c r="J312" s="5" t="n"/>
      <c r="K312" s="5" t="n"/>
      <c r="L312" s="5" t="n"/>
      <c r="M312" s="8" t="n"/>
      <c r="N312" s="6" t="n"/>
      <c r="O312" s="9" t="n"/>
    </row>
    <row r="313">
      <c r="A313" s="5" t="n"/>
      <c r="B313" s="5" t="n"/>
      <c r="C313" s="5" t="n"/>
      <c r="D313" s="5" t="n"/>
      <c r="E313" s="5" t="n"/>
      <c r="F313" s="6" t="n"/>
      <c r="G313" s="7" t="n"/>
      <c r="H313" s="7" t="n"/>
      <c r="I313" s="7" t="n"/>
      <c r="J313" s="5" t="n"/>
      <c r="K313" s="5" t="n"/>
      <c r="L313" s="5" t="n"/>
      <c r="M313" s="8" t="n"/>
      <c r="N313" s="6" t="n"/>
      <c r="O313" s="9" t="n"/>
    </row>
    <row r="314">
      <c r="A314" s="5" t="n"/>
      <c r="B314" s="5" t="n"/>
      <c r="C314" s="5" t="n"/>
      <c r="D314" s="5" t="n"/>
      <c r="E314" s="5" t="n"/>
      <c r="F314" s="6" t="n"/>
      <c r="G314" s="7" t="n"/>
      <c r="H314" s="7" t="n"/>
      <c r="I314" s="7" t="n"/>
      <c r="J314" s="5" t="n"/>
      <c r="K314" s="5" t="n"/>
      <c r="L314" s="5" t="n"/>
      <c r="M314" s="8" t="n"/>
      <c r="N314" s="6" t="n"/>
      <c r="O314" s="9" t="n"/>
    </row>
    <row r="315">
      <c r="A315" s="5" t="n"/>
      <c r="B315" s="5" t="n"/>
      <c r="C315" s="5" t="n"/>
      <c r="D315" s="5" t="n"/>
      <c r="E315" s="5" t="n"/>
      <c r="F315" s="6" t="n"/>
      <c r="G315" s="7" t="n"/>
      <c r="H315" s="7" t="n"/>
      <c r="I315" s="7" t="n"/>
      <c r="J315" s="5" t="n"/>
      <c r="K315" s="5" t="n"/>
      <c r="L315" s="5" t="n"/>
      <c r="M315" s="8" t="n"/>
      <c r="N315" s="6" t="n"/>
      <c r="O315" s="9" t="n"/>
    </row>
    <row r="316">
      <c r="A316" s="5" t="n"/>
      <c r="B316" s="5" t="n"/>
      <c r="C316" s="5" t="n"/>
      <c r="D316" s="5" t="n"/>
      <c r="E316" s="5" t="n"/>
      <c r="F316" s="6" t="n"/>
      <c r="G316" s="7" t="n"/>
      <c r="H316" s="7" t="n"/>
      <c r="I316" s="7" t="n"/>
      <c r="J316" s="5" t="n"/>
      <c r="K316" s="5" t="n"/>
      <c r="L316" s="5" t="n"/>
      <c r="M316" s="8" t="n"/>
      <c r="N316" s="6" t="n"/>
      <c r="O316" s="9" t="n"/>
    </row>
    <row r="317">
      <c r="A317" s="5" t="n"/>
      <c r="B317" s="5" t="n"/>
      <c r="C317" s="5" t="n"/>
      <c r="D317" s="5" t="n"/>
      <c r="E317" s="5" t="n"/>
      <c r="F317" s="6" t="n"/>
      <c r="G317" s="7" t="n"/>
      <c r="H317" s="7" t="n"/>
      <c r="I317" s="7" t="n"/>
      <c r="J317" s="5" t="n"/>
      <c r="K317" s="5" t="n"/>
      <c r="L317" s="5" t="n"/>
      <c r="M317" s="8" t="n"/>
      <c r="N317" s="6" t="n"/>
      <c r="O317" s="9" t="n"/>
    </row>
    <row r="318">
      <c r="A318" s="5" t="n"/>
      <c r="B318" s="5" t="n"/>
      <c r="C318" s="5" t="n"/>
      <c r="D318" s="5" t="n"/>
      <c r="E318" s="5" t="n"/>
      <c r="F318" s="6" t="n"/>
      <c r="G318" s="7" t="n"/>
      <c r="H318" s="7" t="n"/>
      <c r="I318" s="7" t="n"/>
      <c r="J318" s="5" t="n"/>
      <c r="K318" s="5" t="n"/>
      <c r="L318" s="5" t="n"/>
      <c r="M318" s="8" t="n"/>
      <c r="N318" s="6" t="n"/>
      <c r="O318" s="9" t="n"/>
    </row>
    <row r="319">
      <c r="A319" s="5" t="n"/>
      <c r="B319" s="5" t="n"/>
      <c r="C319" s="5" t="n"/>
      <c r="D319" s="5" t="n"/>
      <c r="E319" s="5" t="n"/>
      <c r="F319" s="6" t="n"/>
      <c r="G319" s="7" t="n"/>
      <c r="H319" s="7" t="n"/>
      <c r="I319" s="7" t="n"/>
      <c r="J319" s="5" t="n"/>
      <c r="K319" s="5" t="n"/>
      <c r="L319" s="5" t="n"/>
      <c r="M319" s="8" t="n"/>
      <c r="N319" s="6" t="n"/>
      <c r="O319" s="9" t="n"/>
    </row>
    <row r="320">
      <c r="A320" s="5" t="n"/>
      <c r="B320" s="5" t="n"/>
      <c r="C320" s="5" t="n"/>
      <c r="D320" s="5" t="n"/>
      <c r="E320" s="5" t="n"/>
      <c r="F320" s="6" t="n"/>
      <c r="G320" s="7" t="n"/>
      <c r="H320" s="7" t="n"/>
      <c r="I320" s="7" t="n"/>
      <c r="J320" s="5" t="n"/>
      <c r="K320" s="5" t="n"/>
      <c r="L320" s="5" t="n"/>
      <c r="M320" s="8" t="n"/>
      <c r="N320" s="6" t="n"/>
      <c r="O320" s="9" t="n"/>
    </row>
    <row r="321">
      <c r="A321" s="5" t="n"/>
      <c r="B321" s="5" t="n"/>
      <c r="C321" s="5" t="n"/>
      <c r="D321" s="5" t="n"/>
      <c r="E321" s="5" t="n"/>
      <c r="F321" s="6" t="n"/>
      <c r="G321" s="7" t="n"/>
      <c r="H321" s="7" t="n"/>
      <c r="I321" s="7" t="n"/>
      <c r="J321" s="5" t="n"/>
      <c r="K321" s="5" t="n"/>
      <c r="L321" s="5" t="n"/>
      <c r="M321" s="8" t="n"/>
      <c r="N321" s="6" t="n"/>
      <c r="O321" s="9" t="n"/>
    </row>
    <row r="322">
      <c r="A322" s="5" t="n"/>
      <c r="B322" s="5" t="n"/>
      <c r="C322" s="5" t="n"/>
      <c r="D322" s="5" t="n"/>
      <c r="E322" s="5" t="n"/>
      <c r="F322" s="6" t="n"/>
      <c r="G322" s="7" t="n"/>
      <c r="H322" s="7" t="n"/>
      <c r="I322" s="7" t="n"/>
      <c r="J322" s="5" t="n"/>
      <c r="K322" s="5" t="n"/>
      <c r="L322" s="5" t="n"/>
      <c r="M322" s="8" t="n"/>
      <c r="N322" s="6" t="n"/>
      <c r="O322" s="9" t="n"/>
    </row>
    <row r="323">
      <c r="A323" s="5" t="n"/>
      <c r="B323" s="5" t="n"/>
      <c r="C323" s="5" t="n"/>
      <c r="D323" s="5" t="n"/>
      <c r="E323" s="5" t="n"/>
      <c r="F323" s="6" t="n"/>
      <c r="G323" s="7" t="n"/>
      <c r="H323" s="7" t="n"/>
      <c r="I323" s="7" t="n"/>
      <c r="J323" s="5" t="n"/>
      <c r="K323" s="5" t="n"/>
      <c r="L323" s="5" t="n"/>
      <c r="M323" s="8" t="n"/>
      <c r="N323" s="6" t="n"/>
      <c r="O323" s="9" t="n"/>
    </row>
    <row r="324">
      <c r="A324" s="5" t="n"/>
      <c r="B324" s="5" t="n"/>
      <c r="C324" s="5" t="n"/>
      <c r="D324" s="5" t="n"/>
      <c r="E324" s="5" t="n"/>
      <c r="F324" s="6" t="n"/>
      <c r="G324" s="7" t="n"/>
      <c r="H324" s="7" t="n"/>
      <c r="I324" s="7" t="n"/>
      <c r="J324" s="5" t="n"/>
      <c r="K324" s="5" t="n"/>
      <c r="L324" s="5" t="n"/>
      <c r="M324" s="8" t="n"/>
      <c r="N324" s="6" t="n"/>
      <c r="O324" s="9" t="n"/>
    </row>
    <row r="325">
      <c r="A325" s="5" t="n"/>
      <c r="B325" s="5" t="n"/>
      <c r="C325" s="5" t="n"/>
      <c r="D325" s="5" t="n"/>
      <c r="E325" s="5" t="n"/>
      <c r="F325" s="6" t="n"/>
      <c r="G325" s="7" t="n"/>
      <c r="H325" s="7" t="n"/>
      <c r="I325" s="7" t="n"/>
      <c r="J325" s="5" t="n"/>
      <c r="K325" s="5" t="n"/>
      <c r="L325" s="5" t="n"/>
      <c r="M325" s="8" t="n"/>
      <c r="N325" s="6" t="n"/>
      <c r="O325" s="9" t="n"/>
    </row>
    <row r="326">
      <c r="A326" s="5" t="n"/>
      <c r="B326" s="5" t="n"/>
      <c r="C326" s="5" t="n"/>
      <c r="D326" s="5" t="n"/>
      <c r="E326" s="5" t="n"/>
      <c r="F326" s="6" t="n"/>
      <c r="G326" s="7" t="n"/>
      <c r="H326" s="7" t="n"/>
      <c r="I326" s="7" t="n"/>
      <c r="J326" s="5" t="n"/>
      <c r="K326" s="5" t="n"/>
      <c r="L326" s="5" t="n"/>
      <c r="M326" s="8" t="n"/>
      <c r="N326" s="6" t="n"/>
      <c r="O326" s="9" t="n"/>
    </row>
    <row r="327">
      <c r="A327" s="5" t="n"/>
      <c r="B327" s="5" t="n"/>
      <c r="C327" s="5" t="n"/>
      <c r="D327" s="5" t="n"/>
      <c r="E327" s="5" t="n"/>
      <c r="F327" s="6" t="n"/>
      <c r="G327" s="7" t="n"/>
      <c r="H327" s="7" t="n"/>
      <c r="I327" s="7" t="n"/>
      <c r="J327" s="5" t="n"/>
      <c r="K327" s="5" t="n"/>
      <c r="L327" s="5" t="n"/>
      <c r="M327" s="8" t="n"/>
      <c r="N327" s="6" t="n"/>
      <c r="O327" s="9" t="n"/>
    </row>
    <row r="328">
      <c r="A328" s="5" t="n"/>
      <c r="B328" s="5" t="n"/>
      <c r="C328" s="5" t="n"/>
      <c r="D328" s="5" t="n"/>
      <c r="E328" s="5" t="n"/>
      <c r="F328" s="6" t="n"/>
      <c r="G328" s="7" t="n"/>
      <c r="H328" s="7" t="n"/>
      <c r="I328" s="7" t="n"/>
      <c r="J328" s="5" t="n"/>
      <c r="K328" s="5" t="n"/>
      <c r="L328" s="5" t="n"/>
      <c r="M328" s="8" t="n"/>
      <c r="N328" s="6" t="n"/>
      <c r="O328" s="9" t="n"/>
    </row>
    <row r="329">
      <c r="A329" s="5" t="n"/>
      <c r="B329" s="5" t="n"/>
      <c r="C329" s="5" t="n"/>
      <c r="D329" s="5" t="n"/>
      <c r="E329" s="5" t="n"/>
      <c r="F329" s="6" t="n"/>
      <c r="G329" s="7" t="n"/>
      <c r="H329" s="7" t="n"/>
      <c r="I329" s="7" t="n"/>
      <c r="J329" s="5" t="n"/>
      <c r="K329" s="5" t="n"/>
      <c r="L329" s="5" t="n"/>
      <c r="M329" s="8" t="n"/>
      <c r="N329" s="6" t="n"/>
      <c r="O329" s="9" t="n"/>
    </row>
    <row r="330">
      <c r="A330" s="5" t="n"/>
      <c r="B330" s="5" t="n"/>
      <c r="C330" s="5" t="n"/>
      <c r="D330" s="5" t="n"/>
      <c r="E330" s="5" t="n"/>
      <c r="F330" s="6" t="n"/>
      <c r="G330" s="7" t="n"/>
      <c r="H330" s="7" t="n"/>
      <c r="I330" s="7" t="n"/>
      <c r="J330" s="5" t="n"/>
      <c r="K330" s="5" t="n"/>
      <c r="L330" s="5" t="n"/>
      <c r="M330" s="8" t="n"/>
      <c r="N330" s="6" t="n"/>
      <c r="O330" s="9" t="n"/>
    </row>
    <row r="331">
      <c r="A331" s="5" t="n"/>
      <c r="B331" s="5" t="n"/>
      <c r="C331" s="5" t="n"/>
      <c r="D331" s="5" t="n"/>
      <c r="E331" s="5" t="n"/>
      <c r="F331" s="6" t="n"/>
      <c r="G331" s="7" t="n"/>
      <c r="H331" s="7" t="n"/>
      <c r="I331" s="7" t="n"/>
      <c r="J331" s="5" t="n"/>
      <c r="K331" s="5" t="n"/>
      <c r="L331" s="5" t="n"/>
      <c r="M331" s="8" t="n"/>
      <c r="N331" s="6" t="n"/>
      <c r="O331" s="9" t="n"/>
    </row>
    <row r="332">
      <c r="A332" s="5" t="n"/>
      <c r="B332" s="5" t="n"/>
      <c r="C332" s="5" t="n"/>
      <c r="D332" s="5" t="n"/>
      <c r="E332" s="5" t="n"/>
      <c r="F332" s="6" t="n"/>
      <c r="G332" s="7" t="n"/>
      <c r="H332" s="7" t="n"/>
      <c r="I332" s="7" t="n"/>
      <c r="J332" s="5" t="n"/>
      <c r="K332" s="5" t="n"/>
      <c r="L332" s="5" t="n"/>
      <c r="M332" s="8" t="n"/>
      <c r="N332" s="6" t="n"/>
      <c r="O332" s="9" t="n"/>
    </row>
    <row r="333">
      <c r="A333" s="5" t="n"/>
      <c r="B333" s="5" t="n"/>
      <c r="C333" s="5" t="n"/>
      <c r="D333" s="5" t="n"/>
      <c r="E333" s="5" t="n"/>
      <c r="F333" s="6" t="n"/>
      <c r="G333" s="7" t="n"/>
      <c r="H333" s="7" t="n"/>
      <c r="I333" s="7" t="n"/>
      <c r="J333" s="5" t="n"/>
      <c r="K333" s="5" t="n"/>
      <c r="L333" s="5" t="n"/>
      <c r="M333" s="8" t="n"/>
      <c r="N333" s="6" t="n"/>
      <c r="O333" s="9" t="n"/>
    </row>
    <row r="334">
      <c r="A334" s="5" t="n"/>
      <c r="B334" s="5" t="n"/>
      <c r="C334" s="5" t="n"/>
      <c r="D334" s="5" t="n"/>
      <c r="E334" s="5" t="n"/>
      <c r="F334" s="6" t="n"/>
      <c r="G334" s="7" t="n"/>
      <c r="H334" s="7" t="n"/>
      <c r="I334" s="7" t="n"/>
      <c r="J334" s="5" t="n"/>
      <c r="K334" s="5" t="n"/>
      <c r="L334" s="5" t="n"/>
      <c r="M334" s="8" t="n"/>
      <c r="N334" s="6" t="n"/>
      <c r="O334" s="9" t="n"/>
    </row>
    <row r="335">
      <c r="A335" s="5" t="n"/>
      <c r="B335" s="5" t="n"/>
      <c r="C335" s="5" t="n"/>
      <c r="D335" s="5" t="n"/>
      <c r="E335" s="5" t="n"/>
      <c r="F335" s="6" t="n"/>
      <c r="G335" s="7" t="n"/>
      <c r="H335" s="7" t="n"/>
      <c r="I335" s="7" t="n"/>
      <c r="J335" s="5" t="n"/>
      <c r="K335" s="5" t="n"/>
      <c r="L335" s="5" t="n"/>
      <c r="M335" s="8" t="n"/>
      <c r="N335" s="6" t="n"/>
      <c r="O335" s="9" t="n"/>
    </row>
    <row r="336">
      <c r="A336" s="5" t="n"/>
      <c r="B336" s="5" t="n"/>
      <c r="C336" s="5" t="n"/>
      <c r="D336" s="5" t="n"/>
      <c r="E336" s="5" t="n"/>
      <c r="F336" s="6" t="n"/>
      <c r="G336" s="7" t="n"/>
      <c r="H336" s="7" t="n"/>
      <c r="I336" s="7" t="n"/>
      <c r="J336" s="5" t="n"/>
      <c r="K336" s="5" t="n"/>
      <c r="L336" s="5" t="n"/>
      <c r="M336" s="8" t="n"/>
      <c r="N336" s="6" t="n"/>
      <c r="O336" s="9" t="n"/>
    </row>
    <row r="337">
      <c r="A337" s="5" t="n"/>
      <c r="B337" s="5" t="n"/>
      <c r="C337" s="5" t="n"/>
      <c r="D337" s="5" t="n"/>
      <c r="E337" s="5" t="n"/>
      <c r="F337" s="6" t="n"/>
      <c r="G337" s="7" t="n"/>
      <c r="H337" s="7" t="n"/>
      <c r="I337" s="7" t="n"/>
      <c r="J337" s="5" t="n"/>
      <c r="K337" s="5" t="n"/>
      <c r="L337" s="5" t="n"/>
      <c r="M337" s="8" t="n"/>
      <c r="N337" s="6" t="n"/>
      <c r="O337" s="9" t="n"/>
    </row>
    <row r="338">
      <c r="A338" s="5" t="n"/>
      <c r="B338" s="5" t="n"/>
      <c r="C338" s="5" t="n"/>
      <c r="D338" s="5" t="n"/>
      <c r="E338" s="5" t="n"/>
      <c r="F338" s="6" t="n"/>
      <c r="G338" s="7" t="n"/>
      <c r="H338" s="7" t="n"/>
      <c r="I338" s="7" t="n"/>
      <c r="J338" s="5" t="n"/>
      <c r="K338" s="5" t="n"/>
      <c r="L338" s="5" t="n"/>
      <c r="M338" s="8" t="n"/>
      <c r="N338" s="6" t="n"/>
      <c r="O338" s="9" t="n"/>
    </row>
    <row r="339">
      <c r="A339" s="5" t="n"/>
      <c r="B339" s="5" t="n"/>
      <c r="C339" s="5" t="n"/>
      <c r="D339" s="5" t="n"/>
      <c r="E339" s="5" t="n"/>
      <c r="F339" s="6" t="n"/>
      <c r="G339" s="7" t="n"/>
      <c r="H339" s="7" t="n"/>
      <c r="I339" s="7" t="n"/>
      <c r="J339" s="5" t="n"/>
      <c r="K339" s="5" t="n"/>
      <c r="L339" s="5" t="n"/>
      <c r="M339" s="8" t="n"/>
      <c r="N339" s="6" t="n"/>
      <c r="O339" s="9" t="n"/>
    </row>
    <row r="340">
      <c r="A340" s="5" t="n"/>
      <c r="B340" s="5" t="n"/>
      <c r="C340" s="5" t="n"/>
      <c r="D340" s="5" t="n"/>
      <c r="E340" s="5" t="n"/>
      <c r="F340" s="6" t="n"/>
      <c r="G340" s="7" t="n"/>
      <c r="H340" s="7" t="n"/>
      <c r="I340" s="7" t="n"/>
      <c r="J340" s="5" t="n"/>
      <c r="K340" s="5" t="n"/>
      <c r="L340" s="5" t="n"/>
      <c r="M340" s="8" t="n"/>
      <c r="N340" s="6" t="n"/>
      <c r="O340" s="9" t="n"/>
    </row>
    <row r="341">
      <c r="A341" s="5" t="n"/>
      <c r="B341" s="5" t="n"/>
      <c r="C341" s="5" t="n"/>
      <c r="D341" s="5" t="n"/>
      <c r="E341" s="5" t="n"/>
      <c r="F341" s="6" t="n"/>
      <c r="G341" s="7" t="n"/>
      <c r="H341" s="7" t="n"/>
      <c r="I341" s="7" t="n"/>
      <c r="J341" s="5" t="n"/>
      <c r="K341" s="5" t="n"/>
      <c r="L341" s="5" t="n"/>
      <c r="M341" s="8" t="n"/>
      <c r="N341" s="6" t="n"/>
      <c r="O341" s="9" t="n"/>
    </row>
    <row r="342">
      <c r="A342" s="5" t="n"/>
      <c r="B342" s="5" t="n"/>
      <c r="C342" s="5" t="n"/>
      <c r="D342" s="5" t="n"/>
      <c r="E342" s="5" t="n"/>
      <c r="F342" s="6" t="n"/>
      <c r="G342" s="7" t="n"/>
      <c r="H342" s="7" t="n"/>
      <c r="I342" s="7" t="n"/>
      <c r="J342" s="5" t="n"/>
      <c r="K342" s="5" t="n"/>
      <c r="L342" s="5" t="n"/>
      <c r="M342" s="8" t="n"/>
      <c r="N342" s="6" t="n"/>
      <c r="O342" s="9" t="n"/>
    </row>
    <row r="343">
      <c r="A343" s="5" t="n"/>
      <c r="B343" s="5" t="n"/>
      <c r="C343" s="5" t="n"/>
      <c r="D343" s="5" t="n"/>
      <c r="E343" s="5" t="n"/>
      <c r="F343" s="6" t="n"/>
      <c r="G343" s="7" t="n"/>
      <c r="H343" s="7" t="n"/>
      <c r="I343" s="7" t="n"/>
      <c r="J343" s="5" t="n"/>
      <c r="K343" s="5" t="n"/>
      <c r="L343" s="5" t="n"/>
      <c r="M343" s="8" t="n"/>
      <c r="N343" s="6" t="n"/>
      <c r="O343" s="9" t="n"/>
    </row>
    <row r="344">
      <c r="A344" s="5" t="n"/>
      <c r="B344" s="5" t="n"/>
      <c r="C344" s="5" t="n"/>
      <c r="D344" s="5" t="n"/>
      <c r="E344" s="5" t="n"/>
      <c r="F344" s="6" t="n"/>
      <c r="G344" s="7" t="n"/>
      <c r="H344" s="7" t="n"/>
      <c r="I344" s="7" t="n"/>
      <c r="J344" s="5" t="n"/>
      <c r="K344" s="5" t="n"/>
      <c r="L344" s="5" t="n"/>
      <c r="M344" s="8" t="n"/>
      <c r="N344" s="6" t="n"/>
      <c r="O344" s="9" t="n"/>
    </row>
    <row r="345">
      <c r="A345" s="5" t="n"/>
      <c r="B345" s="5" t="n"/>
      <c r="C345" s="5" t="n"/>
      <c r="D345" s="5" t="n"/>
      <c r="E345" s="5" t="n"/>
      <c r="F345" s="6" t="n"/>
      <c r="G345" s="7" t="n"/>
      <c r="H345" s="7" t="n"/>
      <c r="I345" s="7" t="n"/>
      <c r="J345" s="5" t="n"/>
      <c r="K345" s="5" t="n"/>
      <c r="L345" s="5" t="n"/>
      <c r="M345" s="8" t="n"/>
      <c r="N345" s="6" t="n"/>
      <c r="O345" s="9" t="n"/>
    </row>
    <row r="346">
      <c r="A346" s="5" t="n"/>
      <c r="B346" s="5" t="n"/>
      <c r="C346" s="5" t="n"/>
      <c r="D346" s="5" t="n"/>
      <c r="E346" s="5" t="n"/>
      <c r="F346" s="6" t="n"/>
      <c r="G346" s="7" t="n"/>
      <c r="H346" s="7" t="n"/>
      <c r="I346" s="7" t="n"/>
      <c r="J346" s="5" t="n"/>
      <c r="K346" s="5" t="n"/>
      <c r="L346" s="5" t="n"/>
      <c r="M346" s="8" t="n"/>
      <c r="N346" s="6" t="n"/>
      <c r="O346" s="9" t="n"/>
    </row>
    <row r="347">
      <c r="A347" s="5" t="n"/>
      <c r="B347" s="5" t="n"/>
      <c r="C347" s="5" t="n"/>
      <c r="D347" s="5" t="n"/>
      <c r="E347" s="5" t="n"/>
      <c r="F347" s="6" t="n"/>
      <c r="G347" s="7" t="n"/>
      <c r="H347" s="7" t="n"/>
      <c r="I347" s="7" t="n"/>
      <c r="J347" s="5" t="n"/>
      <c r="K347" s="5" t="n"/>
      <c r="L347" s="5" t="n"/>
      <c r="M347" s="8" t="n"/>
      <c r="N347" s="6" t="n"/>
      <c r="O347" s="9" t="n"/>
    </row>
    <row r="348">
      <c r="A348" s="5" t="n"/>
      <c r="B348" s="5" t="n"/>
      <c r="C348" s="5" t="n"/>
      <c r="D348" s="5" t="n"/>
      <c r="E348" s="5" t="n"/>
      <c r="F348" s="6" t="n"/>
      <c r="G348" s="7" t="n"/>
      <c r="H348" s="7" t="n"/>
      <c r="I348" s="7" t="n"/>
      <c r="J348" s="5" t="n"/>
      <c r="K348" s="5" t="n"/>
      <c r="L348" s="5" t="n"/>
      <c r="M348" s="8" t="n"/>
      <c r="N348" s="6" t="n"/>
      <c r="O348" s="9" t="n"/>
    </row>
    <row r="349">
      <c r="A349" s="5" t="n"/>
      <c r="B349" s="5" t="n"/>
      <c r="C349" s="5" t="n"/>
      <c r="D349" s="5" t="n"/>
      <c r="E349" s="5" t="n"/>
      <c r="F349" s="6" t="n"/>
      <c r="G349" s="7" t="n"/>
      <c r="H349" s="7" t="n"/>
      <c r="I349" s="7" t="n"/>
      <c r="J349" s="5" t="n"/>
      <c r="K349" s="5" t="n"/>
      <c r="L349" s="5" t="n"/>
      <c r="M349" s="8" t="n"/>
      <c r="N349" s="6" t="n"/>
      <c r="O349" s="9" t="n"/>
    </row>
    <row r="350">
      <c r="A350" s="5" t="n"/>
      <c r="B350" s="5" t="n"/>
      <c r="C350" s="5" t="n"/>
      <c r="D350" s="5" t="n"/>
      <c r="E350" s="5" t="n"/>
      <c r="F350" s="6" t="n"/>
      <c r="G350" s="7" t="n"/>
      <c r="H350" s="7" t="n"/>
      <c r="I350" s="7" t="n"/>
      <c r="J350" s="5" t="n"/>
      <c r="K350" s="5" t="n"/>
      <c r="L350" s="5" t="n"/>
      <c r="M350" s="8" t="n"/>
      <c r="N350" s="6" t="n"/>
      <c r="O350" s="9" t="n"/>
    </row>
    <row r="351">
      <c r="A351" s="5" t="n"/>
      <c r="B351" s="5" t="n"/>
      <c r="C351" s="5" t="n"/>
      <c r="D351" s="5" t="n"/>
      <c r="E351" s="5" t="n"/>
      <c r="F351" s="6" t="n"/>
      <c r="G351" s="7" t="n"/>
      <c r="H351" s="7" t="n"/>
      <c r="I351" s="7" t="n"/>
      <c r="J351" s="5" t="n"/>
      <c r="K351" s="5" t="n"/>
      <c r="L351" s="5" t="n"/>
      <c r="M351" s="8" t="n"/>
      <c r="N351" s="6" t="n"/>
      <c r="O351" s="9" t="n"/>
    </row>
    <row r="352">
      <c r="A352" s="5" t="n"/>
      <c r="B352" s="5" t="n"/>
      <c r="C352" s="5" t="n"/>
      <c r="D352" s="5" t="n"/>
      <c r="E352" s="5" t="n"/>
      <c r="F352" s="6" t="n"/>
      <c r="G352" s="7" t="n"/>
      <c r="H352" s="7" t="n"/>
      <c r="I352" s="7" t="n"/>
      <c r="J352" s="5" t="n"/>
      <c r="K352" s="5" t="n"/>
      <c r="L352" s="5" t="n"/>
      <c r="M352" s="8" t="n"/>
      <c r="N352" s="6" t="n"/>
      <c r="O352" s="9" t="n"/>
    </row>
    <row r="353">
      <c r="A353" s="5" t="n"/>
      <c r="B353" s="5" t="n"/>
      <c r="C353" s="5" t="n"/>
      <c r="D353" s="5" t="n"/>
      <c r="E353" s="5" t="n"/>
      <c r="F353" s="6" t="n"/>
      <c r="G353" s="7" t="n"/>
      <c r="H353" s="7" t="n"/>
      <c r="I353" s="7" t="n"/>
      <c r="J353" s="5" t="n"/>
      <c r="K353" s="5" t="n"/>
      <c r="L353" s="5" t="n"/>
      <c r="M353" s="8" t="n"/>
      <c r="N353" s="6" t="n"/>
      <c r="O353" s="9" t="n"/>
    </row>
    <row r="354">
      <c r="A354" s="5" t="n"/>
      <c r="B354" s="5" t="n"/>
      <c r="C354" s="5" t="n"/>
      <c r="D354" s="5" t="n"/>
      <c r="E354" s="5" t="n"/>
      <c r="F354" s="6" t="n"/>
      <c r="G354" s="7" t="n"/>
      <c r="H354" s="7" t="n"/>
      <c r="I354" s="7" t="n"/>
      <c r="J354" s="5" t="n"/>
      <c r="K354" s="5" t="n"/>
      <c r="L354" s="5" t="n"/>
      <c r="M354" s="8" t="n"/>
      <c r="N354" s="6" t="n"/>
      <c r="O354" s="9" t="n"/>
    </row>
    <row r="355">
      <c r="A355" s="5" t="n"/>
      <c r="B355" s="5" t="n"/>
      <c r="C355" s="5" t="n"/>
      <c r="D355" s="5" t="n"/>
      <c r="E355" s="5" t="n"/>
      <c r="F355" s="6" t="n"/>
      <c r="G355" s="7" t="n"/>
      <c r="H355" s="7" t="n"/>
      <c r="I355" s="7" t="n"/>
      <c r="J355" s="5" t="n"/>
      <c r="K355" s="5" t="n"/>
      <c r="L355" s="5" t="n"/>
      <c r="M355" s="8" t="n"/>
      <c r="N355" s="6" t="n"/>
      <c r="O355" s="9" t="n"/>
    </row>
    <row r="356">
      <c r="A356" s="5" t="n"/>
      <c r="B356" s="5" t="n"/>
      <c r="C356" s="5" t="n"/>
      <c r="D356" s="5" t="n"/>
      <c r="E356" s="5" t="n"/>
      <c r="F356" s="6" t="n"/>
      <c r="G356" s="7" t="n"/>
      <c r="H356" s="7" t="n"/>
      <c r="I356" s="7" t="n"/>
      <c r="J356" s="5" t="n"/>
      <c r="K356" s="5" t="n"/>
      <c r="L356" s="5" t="n"/>
      <c r="M356" s="8" t="n"/>
      <c r="N356" s="6" t="n"/>
      <c r="O356" s="9" t="n"/>
    </row>
    <row r="357">
      <c r="A357" s="5" t="n"/>
      <c r="B357" s="5" t="n"/>
      <c r="C357" s="5" t="n"/>
      <c r="D357" s="5" t="n"/>
      <c r="E357" s="5" t="n"/>
      <c r="F357" s="6" t="n"/>
      <c r="G357" s="7" t="n"/>
      <c r="H357" s="7" t="n"/>
      <c r="I357" s="7" t="n"/>
      <c r="J357" s="5" t="n"/>
      <c r="K357" s="5" t="n"/>
      <c r="L357" s="5" t="n"/>
      <c r="M357" s="8" t="n"/>
      <c r="N357" s="6" t="n"/>
      <c r="O357" s="9" t="n"/>
    </row>
    <row r="358">
      <c r="A358" s="5" t="n"/>
      <c r="B358" s="5" t="n"/>
      <c r="C358" s="5" t="n"/>
      <c r="D358" s="5" t="n"/>
      <c r="E358" s="5" t="n"/>
      <c r="F358" s="6" t="n"/>
      <c r="G358" s="7" t="n"/>
      <c r="H358" s="7" t="n"/>
      <c r="I358" s="7" t="n"/>
      <c r="J358" s="5" t="n"/>
      <c r="K358" s="5" t="n"/>
      <c r="L358" s="5" t="n"/>
      <c r="M358" s="8" t="n"/>
      <c r="N358" s="6" t="n"/>
      <c r="O358" s="9" t="n"/>
    </row>
    <row r="359">
      <c r="A359" s="5" t="n"/>
      <c r="B359" s="5" t="n"/>
      <c r="C359" s="5" t="n"/>
      <c r="D359" s="5" t="n"/>
      <c r="E359" s="5" t="n"/>
      <c r="F359" s="6" t="n"/>
      <c r="G359" s="7" t="n"/>
      <c r="H359" s="7" t="n"/>
      <c r="I359" s="7" t="n"/>
      <c r="J359" s="5" t="n"/>
      <c r="K359" s="5" t="n"/>
      <c r="L359" s="5" t="n"/>
      <c r="M359" s="8" t="n"/>
      <c r="N359" s="6" t="n"/>
      <c r="O359" s="9" t="n"/>
    </row>
    <row r="360">
      <c r="A360" s="5" t="n"/>
      <c r="B360" s="5" t="n"/>
      <c r="C360" s="5" t="n"/>
      <c r="D360" s="5" t="n"/>
      <c r="E360" s="5" t="n"/>
      <c r="F360" s="6" t="n"/>
      <c r="G360" s="7" t="n"/>
      <c r="H360" s="7" t="n"/>
      <c r="I360" s="7" t="n"/>
      <c r="J360" s="5" t="n"/>
      <c r="K360" s="5" t="n"/>
      <c r="L360" s="5" t="n"/>
      <c r="M360" s="8" t="n"/>
      <c r="N360" s="6" t="n"/>
      <c r="O360" s="9" t="n"/>
    </row>
    <row r="361">
      <c r="A361" s="5" t="n"/>
      <c r="B361" s="5" t="n"/>
      <c r="C361" s="5" t="n"/>
      <c r="D361" s="5" t="n"/>
      <c r="E361" s="5" t="n"/>
      <c r="F361" s="6" t="n"/>
      <c r="G361" s="7" t="n"/>
      <c r="H361" s="7" t="n"/>
      <c r="I361" s="7" t="n"/>
      <c r="J361" s="5" t="n"/>
      <c r="K361" s="5" t="n"/>
      <c r="L361" s="5" t="n"/>
      <c r="M361" s="8" t="n"/>
      <c r="N361" s="6" t="n"/>
      <c r="O361" s="9" t="n"/>
    </row>
    <row r="362">
      <c r="A362" s="5" t="n"/>
      <c r="B362" s="5" t="n"/>
      <c r="C362" s="5" t="n"/>
      <c r="D362" s="5" t="n"/>
      <c r="E362" s="5" t="n"/>
      <c r="F362" s="6" t="n"/>
      <c r="G362" s="7" t="n"/>
      <c r="H362" s="7" t="n"/>
      <c r="I362" s="7" t="n"/>
      <c r="J362" s="5" t="n"/>
      <c r="K362" s="5" t="n"/>
      <c r="L362" s="5" t="n"/>
      <c r="M362" s="8" t="n"/>
      <c r="N362" s="6" t="n"/>
      <c r="O362" s="9" t="n"/>
    </row>
    <row r="363">
      <c r="A363" s="5" t="n"/>
      <c r="B363" s="5" t="n"/>
      <c r="C363" s="5" t="n"/>
      <c r="D363" s="5" t="n"/>
      <c r="E363" s="5" t="n"/>
      <c r="F363" s="6" t="n"/>
      <c r="G363" s="7" t="n"/>
      <c r="H363" s="7" t="n"/>
      <c r="I363" s="7" t="n"/>
      <c r="J363" s="5" t="n"/>
      <c r="K363" s="5" t="n"/>
      <c r="L363" s="5" t="n"/>
      <c r="M363" s="8" t="n"/>
      <c r="N363" s="6" t="n"/>
      <c r="O363" s="9" t="n"/>
    </row>
    <row r="364">
      <c r="A364" s="5" t="n"/>
      <c r="B364" s="5" t="n"/>
      <c r="C364" s="5" t="n"/>
      <c r="D364" s="5" t="n"/>
      <c r="E364" s="5" t="n"/>
      <c r="F364" s="6" t="n"/>
      <c r="G364" s="7" t="n"/>
      <c r="H364" s="7" t="n"/>
      <c r="I364" s="7" t="n"/>
      <c r="J364" s="5" t="n"/>
      <c r="K364" s="5" t="n"/>
      <c r="L364" s="5" t="n"/>
      <c r="M364" s="8" t="n"/>
      <c r="N364" s="6" t="n"/>
      <c r="O364" s="9" t="n"/>
    </row>
    <row r="365">
      <c r="A365" s="5" t="n"/>
      <c r="B365" s="5" t="n"/>
      <c r="C365" s="5" t="n"/>
      <c r="D365" s="5" t="n"/>
      <c r="E365" s="5" t="n"/>
      <c r="F365" s="6" t="n"/>
      <c r="G365" s="7" t="n"/>
      <c r="H365" s="7" t="n"/>
      <c r="I365" s="7" t="n"/>
      <c r="J365" s="5" t="n"/>
      <c r="K365" s="5" t="n"/>
      <c r="L365" s="5" t="n"/>
      <c r="M365" s="8" t="n"/>
      <c r="N365" s="6" t="n"/>
      <c r="O365" s="9" t="n"/>
    </row>
    <row r="366">
      <c r="A366" s="5" t="n"/>
      <c r="B366" s="5" t="n"/>
      <c r="C366" s="5" t="n"/>
      <c r="D366" s="5" t="n"/>
      <c r="E366" s="5" t="n"/>
      <c r="F366" s="6" t="n"/>
      <c r="G366" s="7" t="n"/>
      <c r="H366" s="7" t="n"/>
      <c r="I366" s="7" t="n"/>
      <c r="J366" s="5" t="n"/>
      <c r="K366" s="5" t="n"/>
      <c r="L366" s="5" t="n"/>
      <c r="M366" s="8" t="n"/>
      <c r="N366" s="6" t="n"/>
      <c r="O366" s="9" t="n"/>
    </row>
    <row r="367">
      <c r="A367" s="5" t="n"/>
      <c r="B367" s="5" t="n"/>
      <c r="C367" s="5" t="n"/>
      <c r="D367" s="5" t="n"/>
      <c r="E367" s="5" t="n"/>
      <c r="F367" s="6" t="n"/>
      <c r="G367" s="7" t="n"/>
      <c r="H367" s="7" t="n"/>
      <c r="I367" s="7" t="n"/>
      <c r="J367" s="5" t="n"/>
      <c r="K367" s="5" t="n"/>
      <c r="L367" s="5" t="n"/>
      <c r="M367" s="8" t="n"/>
      <c r="N367" s="6" t="n"/>
      <c r="O367" s="9" t="n"/>
    </row>
    <row r="368">
      <c r="A368" s="5" t="n"/>
      <c r="B368" s="5" t="n"/>
      <c r="C368" s="5" t="n"/>
      <c r="D368" s="5" t="n"/>
      <c r="E368" s="5" t="n"/>
      <c r="F368" s="6" t="n"/>
      <c r="G368" s="7" t="n"/>
      <c r="H368" s="7" t="n"/>
      <c r="I368" s="7" t="n"/>
      <c r="J368" s="5" t="n"/>
      <c r="K368" s="5" t="n"/>
      <c r="L368" s="5" t="n"/>
      <c r="M368" s="8" t="n"/>
      <c r="N368" s="6" t="n"/>
      <c r="O368" s="9" t="n"/>
    </row>
    <row r="369">
      <c r="A369" s="5" t="n"/>
      <c r="B369" s="5" t="n"/>
      <c r="C369" s="5" t="n"/>
      <c r="D369" s="5" t="n"/>
      <c r="E369" s="5" t="n"/>
      <c r="F369" s="6" t="n"/>
      <c r="G369" s="7" t="n"/>
      <c r="H369" s="7" t="n"/>
      <c r="I369" s="7" t="n"/>
      <c r="J369" s="5" t="n"/>
      <c r="K369" s="5" t="n"/>
      <c r="L369" s="5" t="n"/>
      <c r="M369" s="8" t="n"/>
      <c r="N369" s="6" t="n"/>
      <c r="O369" s="9" t="n"/>
    </row>
    <row r="370">
      <c r="A370" s="5" t="n"/>
      <c r="B370" s="5" t="n"/>
      <c r="C370" s="5" t="n"/>
      <c r="D370" s="5" t="n"/>
      <c r="E370" s="5" t="n"/>
      <c r="F370" s="6" t="n"/>
      <c r="G370" s="7" t="n"/>
      <c r="H370" s="7" t="n"/>
      <c r="I370" s="7" t="n"/>
      <c r="J370" s="5" t="n"/>
      <c r="K370" s="5" t="n"/>
      <c r="L370" s="5" t="n"/>
      <c r="M370" s="8" t="n"/>
      <c r="N370" s="6" t="n"/>
      <c r="O370" s="9" t="n"/>
    </row>
    <row r="371">
      <c r="A371" s="5" t="n"/>
      <c r="B371" s="5" t="n"/>
      <c r="C371" s="5" t="n"/>
      <c r="D371" s="5" t="n"/>
      <c r="E371" s="5" t="n"/>
      <c r="F371" s="6" t="n"/>
      <c r="G371" s="7" t="n"/>
      <c r="H371" s="7" t="n"/>
      <c r="I371" s="7" t="n"/>
      <c r="J371" s="5" t="n"/>
      <c r="K371" s="5" t="n"/>
      <c r="L371" s="5" t="n"/>
      <c r="M371" s="8" t="n"/>
      <c r="N371" s="6" t="n"/>
      <c r="O371" s="9" t="n"/>
    </row>
    <row r="372">
      <c r="A372" s="5" t="n"/>
      <c r="B372" s="5" t="n"/>
      <c r="C372" s="5" t="n"/>
      <c r="D372" s="5" t="n"/>
      <c r="E372" s="5" t="n"/>
      <c r="F372" s="6" t="n"/>
      <c r="G372" s="7" t="n"/>
      <c r="H372" s="7" t="n"/>
      <c r="I372" s="7" t="n"/>
      <c r="J372" s="5" t="n"/>
      <c r="K372" s="5" t="n"/>
      <c r="L372" s="5" t="n"/>
      <c r="M372" s="8" t="n"/>
      <c r="N372" s="6" t="n"/>
      <c r="O372" s="9" t="n"/>
    </row>
    <row r="373">
      <c r="A373" s="5" t="n"/>
      <c r="B373" s="5" t="n"/>
      <c r="C373" s="5" t="n"/>
      <c r="D373" s="5" t="n"/>
      <c r="E373" s="5" t="n"/>
      <c r="F373" s="6" t="n"/>
      <c r="G373" s="7" t="n"/>
      <c r="H373" s="7" t="n"/>
      <c r="I373" s="7" t="n"/>
      <c r="J373" s="5" t="n"/>
      <c r="K373" s="5" t="n"/>
      <c r="L373" s="5" t="n"/>
      <c r="M373" s="8" t="n"/>
      <c r="N373" s="6" t="n"/>
      <c r="O373" s="9" t="n"/>
    </row>
    <row r="374">
      <c r="A374" s="5" t="n"/>
      <c r="B374" s="5" t="n"/>
      <c r="C374" s="5" t="n"/>
      <c r="D374" s="5" t="n"/>
      <c r="E374" s="5" t="n"/>
      <c r="F374" s="6" t="n"/>
      <c r="G374" s="7" t="n"/>
      <c r="H374" s="7" t="n"/>
      <c r="I374" s="7" t="n"/>
      <c r="J374" s="5" t="n"/>
      <c r="K374" s="5" t="n"/>
      <c r="L374" s="5" t="n"/>
      <c r="M374" s="8" t="n"/>
      <c r="N374" s="6" t="n"/>
      <c r="O374" s="9" t="n"/>
    </row>
    <row r="375">
      <c r="A375" s="5" t="n"/>
      <c r="B375" s="5" t="n"/>
      <c r="C375" s="5" t="n"/>
      <c r="D375" s="5" t="n"/>
      <c r="E375" s="5" t="n"/>
      <c r="F375" s="6" t="n"/>
      <c r="G375" s="7" t="n"/>
      <c r="H375" s="7" t="n"/>
      <c r="I375" s="7" t="n"/>
      <c r="J375" s="5" t="n"/>
      <c r="K375" s="5" t="n"/>
      <c r="L375" s="5" t="n"/>
      <c r="M375" s="8" t="n"/>
      <c r="N375" s="6" t="n"/>
      <c r="O375" s="9" t="n"/>
    </row>
    <row r="376">
      <c r="A376" s="5" t="n"/>
      <c r="B376" s="5" t="n"/>
      <c r="C376" s="5" t="n"/>
      <c r="D376" s="5" t="n"/>
      <c r="E376" s="5" t="n"/>
      <c r="F376" s="6" t="n"/>
      <c r="G376" s="7" t="n"/>
      <c r="H376" s="7" t="n"/>
      <c r="I376" s="7" t="n"/>
      <c r="J376" s="5" t="n"/>
      <c r="K376" s="5" t="n"/>
      <c r="L376" s="5" t="n"/>
      <c r="M376" s="8" t="n"/>
      <c r="N376" s="6" t="n"/>
      <c r="O376" s="9" t="n"/>
    </row>
    <row r="377">
      <c r="A377" s="5" t="n"/>
      <c r="B377" s="5" t="n"/>
      <c r="C377" s="5" t="n"/>
      <c r="D377" s="5" t="n"/>
      <c r="E377" s="5" t="n"/>
      <c r="F377" s="6" t="n"/>
      <c r="G377" s="7" t="n"/>
      <c r="H377" s="7" t="n"/>
      <c r="I377" s="7" t="n"/>
      <c r="J377" s="5" t="n"/>
      <c r="K377" s="5" t="n"/>
      <c r="L377" s="5" t="n"/>
      <c r="M377" s="8" t="n"/>
      <c r="N377" s="6" t="n"/>
      <c r="O377" s="9" t="n"/>
    </row>
    <row r="378">
      <c r="A378" s="5" t="n"/>
      <c r="B378" s="5" t="n"/>
      <c r="C378" s="5" t="n"/>
      <c r="D378" s="5" t="n"/>
      <c r="E378" s="5" t="n"/>
      <c r="F378" s="6" t="n"/>
      <c r="G378" s="7" t="n"/>
      <c r="H378" s="7" t="n"/>
      <c r="I378" s="7" t="n"/>
      <c r="J378" s="5" t="n"/>
      <c r="K378" s="5" t="n"/>
      <c r="L378" s="5" t="n"/>
      <c r="M378" s="8" t="n"/>
      <c r="N378" s="6" t="n"/>
      <c r="O378" s="9" t="n"/>
    </row>
    <row r="379">
      <c r="A379" s="5" t="n"/>
      <c r="B379" s="5" t="n"/>
      <c r="C379" s="5" t="n"/>
      <c r="D379" s="5" t="n"/>
      <c r="E379" s="5" t="n"/>
      <c r="F379" s="6" t="n"/>
      <c r="G379" s="7" t="n"/>
      <c r="H379" s="7" t="n"/>
      <c r="I379" s="7" t="n"/>
      <c r="J379" s="5" t="n"/>
      <c r="K379" s="5" t="n"/>
      <c r="L379" s="5" t="n"/>
      <c r="M379" s="8" t="n"/>
      <c r="N379" s="6" t="n"/>
      <c r="O379" s="9" t="n"/>
    </row>
    <row r="380">
      <c r="A380" s="5" t="n"/>
      <c r="B380" s="5" t="n"/>
      <c r="C380" s="5" t="n"/>
      <c r="D380" s="5" t="n"/>
      <c r="E380" s="5" t="n"/>
      <c r="F380" s="6" t="n"/>
      <c r="G380" s="7" t="n"/>
      <c r="H380" s="7" t="n"/>
      <c r="I380" s="7" t="n"/>
      <c r="J380" s="5" t="n"/>
      <c r="K380" s="5" t="n"/>
      <c r="L380" s="5" t="n"/>
      <c r="M380" s="8" t="n"/>
      <c r="N380" s="6" t="n"/>
      <c r="O380" s="9" t="n"/>
    </row>
    <row r="381">
      <c r="A381" s="5" t="n"/>
      <c r="B381" s="5" t="n"/>
      <c r="C381" s="5" t="n"/>
      <c r="D381" s="5" t="n"/>
      <c r="E381" s="5" t="n"/>
      <c r="F381" s="6" t="n"/>
      <c r="G381" s="7" t="n"/>
      <c r="H381" s="7" t="n"/>
      <c r="I381" s="7" t="n"/>
      <c r="J381" s="5" t="n"/>
      <c r="K381" s="5" t="n"/>
      <c r="L381" s="5" t="n"/>
      <c r="M381" s="8" t="n"/>
      <c r="N381" s="6" t="n"/>
      <c r="O381" s="9" t="n"/>
    </row>
    <row r="382">
      <c r="A382" s="5" t="n"/>
      <c r="B382" s="5" t="n"/>
      <c r="C382" s="5" t="n"/>
      <c r="D382" s="5" t="n"/>
      <c r="E382" s="5" t="n"/>
      <c r="F382" s="6" t="n"/>
      <c r="G382" s="7" t="n"/>
      <c r="H382" s="7" t="n"/>
      <c r="I382" s="7" t="n"/>
      <c r="J382" s="5" t="n"/>
      <c r="K382" s="5" t="n"/>
      <c r="L382" s="5" t="n"/>
      <c r="M382" s="8" t="n"/>
      <c r="N382" s="6" t="n"/>
      <c r="O382" s="9" t="n"/>
    </row>
    <row r="383">
      <c r="A383" s="5" t="n"/>
      <c r="B383" s="5" t="n"/>
      <c r="C383" s="5" t="n"/>
      <c r="D383" s="5" t="n"/>
      <c r="E383" s="5" t="n"/>
      <c r="F383" s="6" t="n"/>
      <c r="G383" s="7" t="n"/>
      <c r="H383" s="7" t="n"/>
      <c r="I383" s="7" t="n"/>
      <c r="J383" s="5" t="n"/>
      <c r="K383" s="5" t="n"/>
      <c r="L383" s="5" t="n"/>
      <c r="M383" s="8" t="n"/>
      <c r="N383" s="6" t="n"/>
      <c r="O383" s="9" t="n"/>
    </row>
    <row r="384">
      <c r="A384" s="5" t="n"/>
      <c r="B384" s="5" t="n"/>
      <c r="C384" s="5" t="n"/>
      <c r="D384" s="5" t="n"/>
      <c r="E384" s="5" t="n"/>
      <c r="F384" s="6" t="n"/>
      <c r="G384" s="7" t="n"/>
      <c r="H384" s="7" t="n"/>
      <c r="I384" s="7" t="n"/>
      <c r="J384" s="5" t="n"/>
      <c r="K384" s="5" t="n"/>
      <c r="L384" s="5" t="n"/>
      <c r="M384" s="8" t="n"/>
      <c r="N384" s="6" t="n"/>
      <c r="O384" s="9" t="n"/>
    </row>
    <row r="385">
      <c r="A385" s="5" t="n"/>
      <c r="B385" s="5" t="n"/>
      <c r="C385" s="5" t="n"/>
      <c r="D385" s="5" t="n"/>
      <c r="E385" s="5" t="n"/>
      <c r="F385" s="6" t="n"/>
      <c r="G385" s="7" t="n"/>
      <c r="H385" s="7" t="n"/>
      <c r="I385" s="7" t="n"/>
      <c r="J385" s="5" t="n"/>
      <c r="K385" s="5" t="n"/>
      <c r="L385" s="5" t="n"/>
      <c r="M385" s="8" t="n"/>
      <c r="N385" s="6" t="n"/>
      <c r="O385" s="9" t="n"/>
    </row>
    <row r="386">
      <c r="A386" s="5" t="n"/>
      <c r="B386" s="5" t="n"/>
      <c r="C386" s="5" t="n"/>
      <c r="D386" s="5" t="n"/>
      <c r="E386" s="5" t="n"/>
      <c r="F386" s="6" t="n"/>
      <c r="G386" s="7" t="n"/>
      <c r="H386" s="7" t="n"/>
      <c r="I386" s="7" t="n"/>
      <c r="J386" s="5" t="n"/>
      <c r="K386" s="5" t="n"/>
      <c r="L386" s="5" t="n"/>
      <c r="M386" s="8" t="n"/>
      <c r="N386" s="6" t="n"/>
      <c r="O386" s="9" t="n"/>
    </row>
    <row r="387">
      <c r="A387" s="5" t="n"/>
      <c r="B387" s="5" t="n"/>
      <c r="C387" s="5" t="n"/>
      <c r="D387" s="5" t="n"/>
      <c r="E387" s="5" t="n"/>
      <c r="F387" s="6" t="n"/>
      <c r="G387" s="7" t="n"/>
      <c r="H387" s="7" t="n"/>
      <c r="I387" s="7" t="n"/>
      <c r="J387" s="5" t="n"/>
      <c r="K387" s="5" t="n"/>
      <c r="L387" s="5" t="n"/>
      <c r="M387" s="8" t="n"/>
      <c r="N387" s="6" t="n"/>
      <c r="O387" s="9" t="n"/>
    </row>
    <row r="388">
      <c r="A388" s="5" t="n"/>
      <c r="B388" s="5" t="n"/>
      <c r="C388" s="5" t="n"/>
      <c r="D388" s="5" t="n"/>
      <c r="E388" s="5" t="n"/>
      <c r="F388" s="6" t="n"/>
      <c r="G388" s="7" t="n"/>
      <c r="H388" s="7" t="n"/>
      <c r="I388" s="7" t="n"/>
      <c r="J388" s="5" t="n"/>
      <c r="K388" s="5" t="n"/>
      <c r="L388" s="5" t="n"/>
      <c r="M388" s="8" t="n"/>
      <c r="N388" s="6" t="n"/>
      <c r="O388" s="9" t="n"/>
    </row>
    <row r="389">
      <c r="A389" s="5" t="n"/>
      <c r="B389" s="5" t="n"/>
      <c r="C389" s="5" t="n"/>
      <c r="D389" s="5" t="n"/>
      <c r="E389" s="5" t="n"/>
      <c r="F389" s="6" t="n"/>
      <c r="G389" s="7" t="n"/>
      <c r="H389" s="7" t="n"/>
      <c r="I389" s="7" t="n"/>
      <c r="J389" s="5" t="n"/>
      <c r="K389" s="5" t="n"/>
      <c r="L389" s="5" t="n"/>
      <c r="M389" s="8" t="n"/>
      <c r="N389" s="6" t="n"/>
      <c r="O389" s="9" t="n"/>
    </row>
    <row r="390">
      <c r="A390" s="5" t="n"/>
      <c r="B390" s="5" t="n"/>
      <c r="C390" s="5" t="n"/>
      <c r="D390" s="5" t="n"/>
      <c r="E390" s="5" t="n"/>
      <c r="F390" s="6" t="n"/>
      <c r="G390" s="7" t="n"/>
      <c r="H390" s="7" t="n"/>
      <c r="I390" s="7" t="n"/>
      <c r="J390" s="5" t="n"/>
      <c r="K390" s="5" t="n"/>
      <c r="L390" s="5" t="n"/>
      <c r="M390" s="8" t="n"/>
      <c r="N390" s="6" t="n"/>
      <c r="O390" s="9" t="n"/>
    </row>
    <row r="391">
      <c r="A391" s="5" t="n"/>
      <c r="B391" s="5" t="n"/>
      <c r="C391" s="5" t="n"/>
      <c r="D391" s="5" t="n"/>
      <c r="E391" s="5" t="n"/>
      <c r="F391" s="6" t="n"/>
      <c r="G391" s="7" t="n"/>
      <c r="H391" s="7" t="n"/>
      <c r="I391" s="7" t="n"/>
      <c r="J391" s="5" t="n"/>
      <c r="K391" s="5" t="n"/>
      <c r="L391" s="5" t="n"/>
      <c r="M391" s="8" t="n"/>
      <c r="N391" s="6" t="n"/>
      <c r="O391" s="9" t="n"/>
    </row>
    <row r="392">
      <c r="A392" s="5" t="n"/>
      <c r="B392" s="5" t="n"/>
      <c r="C392" s="5" t="n"/>
      <c r="D392" s="5" t="n"/>
      <c r="E392" s="5" t="n"/>
      <c r="F392" s="6" t="n"/>
      <c r="G392" s="7" t="n"/>
      <c r="H392" s="7" t="n"/>
      <c r="I392" s="7" t="n"/>
      <c r="J392" s="5" t="n"/>
      <c r="K392" s="5" t="n"/>
      <c r="L392" s="5" t="n"/>
      <c r="M392" s="8" t="n"/>
      <c r="N392" s="6" t="n"/>
      <c r="O392" s="9" t="n"/>
    </row>
    <row r="393">
      <c r="A393" s="5" t="n"/>
      <c r="B393" s="5" t="n"/>
      <c r="C393" s="5" t="n"/>
      <c r="D393" s="5" t="n"/>
      <c r="E393" s="5" t="n"/>
      <c r="F393" s="6" t="n"/>
      <c r="G393" s="7" t="n"/>
      <c r="H393" s="7" t="n"/>
      <c r="I393" s="7" t="n"/>
      <c r="J393" s="5" t="n"/>
      <c r="K393" s="5" t="n"/>
      <c r="L393" s="5" t="n"/>
      <c r="M393" s="8" t="n"/>
      <c r="N393" s="6" t="n"/>
      <c r="O393" s="9" t="n"/>
    </row>
    <row r="394">
      <c r="A394" s="5" t="n"/>
      <c r="B394" s="5" t="n"/>
      <c r="C394" s="5" t="n"/>
      <c r="D394" s="5" t="n"/>
      <c r="E394" s="5" t="n"/>
      <c r="F394" s="6" t="n"/>
      <c r="G394" s="7" t="n"/>
      <c r="H394" s="7" t="n"/>
      <c r="I394" s="7" t="n"/>
      <c r="J394" s="5" t="n"/>
      <c r="K394" s="5" t="n"/>
      <c r="L394" s="5" t="n"/>
      <c r="M394" s="8" t="n"/>
      <c r="N394" s="6" t="n"/>
      <c r="O394" s="9" t="n"/>
    </row>
    <row r="395">
      <c r="A395" s="5" t="n"/>
      <c r="B395" s="5" t="n"/>
      <c r="C395" s="5" t="n"/>
      <c r="D395" s="5" t="n"/>
      <c r="E395" s="5" t="n"/>
      <c r="F395" s="6" t="n"/>
      <c r="G395" s="7" t="n"/>
      <c r="H395" s="7" t="n"/>
      <c r="I395" s="7" t="n"/>
      <c r="J395" s="5" t="n"/>
      <c r="K395" s="5" t="n"/>
      <c r="L395" s="5" t="n"/>
      <c r="M395" s="8" t="n"/>
      <c r="N395" s="6" t="n"/>
      <c r="O395" s="9" t="n"/>
    </row>
    <row r="396">
      <c r="A396" s="5" t="n"/>
      <c r="B396" s="5" t="n"/>
      <c r="C396" s="5" t="n"/>
      <c r="D396" s="5" t="n"/>
      <c r="E396" s="5" t="n"/>
      <c r="F396" s="6" t="n"/>
      <c r="G396" s="7" t="n"/>
      <c r="H396" s="7" t="n"/>
      <c r="I396" s="7" t="n"/>
      <c r="J396" s="5" t="n"/>
      <c r="K396" s="5" t="n"/>
      <c r="L396" s="5" t="n"/>
      <c r="M396" s="8" t="n"/>
      <c r="N396" s="6" t="n"/>
      <c r="O396" s="9" t="n"/>
    </row>
    <row r="397">
      <c r="A397" s="5" t="n"/>
      <c r="B397" s="5" t="n"/>
      <c r="C397" s="5" t="n"/>
      <c r="D397" s="5" t="n"/>
      <c r="E397" s="5" t="n"/>
      <c r="F397" s="6" t="n"/>
      <c r="G397" s="7" t="n"/>
      <c r="H397" s="7" t="n"/>
      <c r="I397" s="7" t="n"/>
      <c r="J397" s="5" t="n"/>
      <c r="K397" s="5" t="n"/>
      <c r="L397" s="5" t="n"/>
      <c r="M397" s="8" t="n"/>
      <c r="N397" s="6" t="n"/>
      <c r="O397" s="9" t="n"/>
    </row>
    <row r="398">
      <c r="A398" s="5" t="n"/>
      <c r="B398" s="5" t="n"/>
      <c r="C398" s="5" t="n"/>
      <c r="D398" s="5" t="n"/>
      <c r="E398" s="5" t="n"/>
      <c r="F398" s="6" t="n"/>
      <c r="G398" s="7" t="n"/>
      <c r="H398" s="7" t="n"/>
      <c r="I398" s="7" t="n"/>
      <c r="J398" s="5" t="n"/>
      <c r="K398" s="5" t="n"/>
      <c r="L398" s="5" t="n"/>
      <c r="M398" s="8" t="n"/>
      <c r="N398" s="6" t="n"/>
      <c r="O398" s="9" t="n"/>
    </row>
    <row r="399">
      <c r="A399" s="5" t="n"/>
      <c r="B399" s="5" t="n"/>
      <c r="C399" s="5" t="n"/>
      <c r="D399" s="5" t="n"/>
      <c r="E399" s="5" t="n"/>
      <c r="F399" s="6" t="n"/>
      <c r="G399" s="7" t="n"/>
      <c r="H399" s="7" t="n"/>
      <c r="I399" s="7" t="n"/>
      <c r="J399" s="5" t="n"/>
      <c r="K399" s="5" t="n"/>
      <c r="L399" s="5" t="n"/>
      <c r="M399" s="8" t="n"/>
      <c r="N399" s="6" t="n"/>
      <c r="O399" s="9" t="n"/>
    </row>
    <row r="400">
      <c r="A400" s="5" t="n"/>
      <c r="B400" s="5" t="n"/>
      <c r="C400" s="5" t="n"/>
      <c r="D400" s="5" t="n"/>
      <c r="E400" s="5" t="n"/>
      <c r="F400" s="6" t="n"/>
      <c r="G400" s="7" t="n"/>
      <c r="H400" s="7" t="n"/>
      <c r="I400" s="7" t="n"/>
      <c r="J400" s="5" t="n"/>
      <c r="K400" s="5" t="n"/>
      <c r="L400" s="5" t="n"/>
      <c r="M400" s="8" t="n"/>
      <c r="N400" s="6" t="n"/>
      <c r="O400" s="9" t="n"/>
    </row>
    <row r="401">
      <c r="A401" s="5" t="n"/>
      <c r="B401" s="5" t="n"/>
      <c r="C401" s="5" t="n"/>
      <c r="D401" s="5" t="n"/>
      <c r="E401" s="5" t="n"/>
      <c r="F401" s="6" t="n"/>
      <c r="G401" s="7" t="n"/>
      <c r="H401" s="7" t="n"/>
      <c r="I401" s="7" t="n"/>
      <c r="J401" s="5" t="n"/>
      <c r="K401" s="5" t="n"/>
      <c r="L401" s="5" t="n"/>
      <c r="M401" s="8" t="n"/>
      <c r="N401" s="6" t="n"/>
      <c r="O401" s="9" t="n"/>
    </row>
    <row r="402">
      <c r="A402" s="5" t="n"/>
      <c r="B402" s="5" t="n"/>
      <c r="C402" s="5" t="n"/>
      <c r="D402" s="5" t="n"/>
      <c r="E402" s="5" t="n"/>
      <c r="F402" s="6" t="n"/>
      <c r="G402" s="7" t="n"/>
      <c r="H402" s="7" t="n"/>
      <c r="I402" s="7" t="n"/>
      <c r="J402" s="5" t="n"/>
      <c r="K402" s="5" t="n"/>
      <c r="L402" s="5" t="n"/>
      <c r="M402" s="8" t="n"/>
      <c r="N402" s="6" t="n"/>
      <c r="O402" s="9" t="n"/>
    </row>
    <row r="403">
      <c r="A403" s="5" t="n"/>
      <c r="B403" s="5" t="n"/>
      <c r="C403" s="5" t="n"/>
      <c r="D403" s="5" t="n"/>
      <c r="E403" s="5" t="n"/>
      <c r="F403" s="6" t="n"/>
      <c r="G403" s="7" t="n"/>
      <c r="H403" s="7" t="n"/>
      <c r="I403" s="7" t="n"/>
      <c r="J403" s="5" t="n"/>
      <c r="K403" s="5" t="n"/>
      <c r="L403" s="5" t="n"/>
      <c r="M403" s="8" t="n"/>
      <c r="N403" s="6" t="n"/>
      <c r="O403" s="9" t="n"/>
    </row>
    <row r="404">
      <c r="A404" s="5" t="n"/>
      <c r="B404" s="5" t="n"/>
      <c r="C404" s="5" t="n"/>
      <c r="D404" s="5" t="n"/>
      <c r="E404" s="5" t="n"/>
      <c r="F404" s="6" t="n"/>
      <c r="G404" s="7" t="n"/>
      <c r="H404" s="7" t="n"/>
      <c r="I404" s="7" t="n"/>
      <c r="J404" s="5" t="n"/>
      <c r="K404" s="5" t="n"/>
      <c r="L404" s="5" t="n"/>
      <c r="M404" s="8" t="n"/>
      <c r="N404" s="6" t="n"/>
      <c r="O404" s="9" t="n"/>
    </row>
    <row r="405">
      <c r="A405" s="5" t="n"/>
      <c r="B405" s="5" t="n"/>
      <c r="C405" s="5" t="n"/>
      <c r="D405" s="5" t="n"/>
      <c r="E405" s="5" t="n"/>
      <c r="F405" s="6" t="n"/>
      <c r="G405" s="7" t="n"/>
      <c r="H405" s="7" t="n"/>
      <c r="I405" s="7" t="n"/>
      <c r="J405" s="5" t="n"/>
      <c r="K405" s="5" t="n"/>
      <c r="L405" s="5" t="n"/>
      <c r="M405" s="8" t="n"/>
      <c r="N405" s="6" t="n"/>
      <c r="O405" s="9" t="n"/>
    </row>
    <row r="406">
      <c r="A406" s="5" t="n"/>
      <c r="B406" s="5" t="n"/>
      <c r="C406" s="5" t="n"/>
      <c r="D406" s="5" t="n"/>
      <c r="E406" s="5" t="n"/>
      <c r="F406" s="6" t="n"/>
      <c r="G406" s="7" t="n"/>
      <c r="H406" s="7" t="n"/>
      <c r="I406" s="7" t="n"/>
      <c r="J406" s="5" t="n"/>
      <c r="K406" s="5" t="n"/>
      <c r="L406" s="5" t="n"/>
      <c r="M406" s="8" t="n"/>
      <c r="N406" s="6" t="n"/>
      <c r="O406" s="9" t="n"/>
    </row>
    <row r="407">
      <c r="A407" s="5" t="n"/>
      <c r="B407" s="5" t="n"/>
      <c r="C407" s="5" t="n"/>
      <c r="D407" s="5" t="n"/>
      <c r="E407" s="5" t="n"/>
      <c r="F407" s="6" t="n"/>
      <c r="G407" s="7" t="n"/>
      <c r="H407" s="7" t="n"/>
      <c r="I407" s="7" t="n"/>
      <c r="J407" s="5" t="n"/>
      <c r="K407" s="5" t="n"/>
      <c r="L407" s="5" t="n"/>
      <c r="M407" s="8" t="n"/>
      <c r="N407" s="6" t="n"/>
      <c r="O407" s="9" t="n"/>
    </row>
    <row r="408">
      <c r="A408" s="5" t="n"/>
      <c r="B408" s="5" t="n"/>
      <c r="C408" s="5" t="n"/>
      <c r="D408" s="5" t="n"/>
      <c r="E408" s="5" t="n"/>
      <c r="F408" s="6" t="n"/>
      <c r="G408" s="7" t="n"/>
      <c r="H408" s="7" t="n"/>
      <c r="I408" s="7" t="n"/>
      <c r="J408" s="5" t="n"/>
      <c r="K408" s="5" t="n"/>
      <c r="L408" s="5" t="n"/>
      <c r="M408" s="8" t="n"/>
      <c r="N408" s="6" t="n"/>
      <c r="O408" s="9" t="n"/>
    </row>
    <row r="409">
      <c r="A409" s="5" t="n"/>
      <c r="B409" s="5" t="n"/>
      <c r="C409" s="5" t="n"/>
      <c r="D409" s="5" t="n"/>
      <c r="E409" s="5" t="n"/>
      <c r="F409" s="6" t="n"/>
      <c r="G409" s="7" t="n"/>
      <c r="H409" s="7" t="n"/>
      <c r="I409" s="7" t="n"/>
      <c r="J409" s="5" t="n"/>
      <c r="K409" s="5" t="n"/>
      <c r="L409" s="5" t="n"/>
      <c r="M409" s="8" t="n"/>
      <c r="N409" s="6" t="n"/>
      <c r="O409" s="9" t="n"/>
    </row>
    <row r="410">
      <c r="A410" s="5" t="n"/>
      <c r="B410" s="5" t="n"/>
      <c r="C410" s="5" t="n"/>
      <c r="D410" s="5" t="n"/>
      <c r="E410" s="5" t="n"/>
      <c r="F410" s="6" t="n"/>
      <c r="G410" s="7" t="n"/>
      <c r="H410" s="7" t="n"/>
      <c r="I410" s="7" t="n"/>
      <c r="J410" s="5" t="n"/>
      <c r="K410" s="5" t="n"/>
      <c r="L410" s="5" t="n"/>
      <c r="M410" s="8" t="n"/>
      <c r="N410" s="6" t="n"/>
      <c r="O410" s="9" t="n"/>
    </row>
    <row r="411">
      <c r="A411" s="5" t="n"/>
      <c r="B411" s="5" t="n"/>
      <c r="C411" s="5" t="n"/>
      <c r="D411" s="5" t="n"/>
      <c r="E411" s="5" t="n"/>
      <c r="F411" s="6" t="n"/>
      <c r="G411" s="7" t="n"/>
      <c r="H411" s="7" t="n"/>
      <c r="I411" s="7" t="n"/>
      <c r="J411" s="5" t="n"/>
      <c r="K411" s="5" t="n"/>
      <c r="L411" s="5" t="n"/>
      <c r="M411" s="8" t="n"/>
      <c r="N411" s="6" t="n"/>
      <c r="O411" s="9" t="n"/>
    </row>
    <row r="412">
      <c r="A412" s="5" t="n"/>
      <c r="B412" s="5" t="n"/>
      <c r="C412" s="5" t="n"/>
      <c r="D412" s="5" t="n"/>
      <c r="E412" s="5" t="n"/>
      <c r="F412" s="6" t="n"/>
      <c r="G412" s="7" t="n"/>
      <c r="H412" s="7" t="n"/>
      <c r="I412" s="7" t="n"/>
      <c r="J412" s="5" t="n"/>
      <c r="K412" s="5" t="n"/>
      <c r="L412" s="5" t="n"/>
      <c r="M412" s="8" t="n"/>
      <c r="N412" s="6" t="n"/>
      <c r="O412" s="9" t="n"/>
    </row>
    <row r="413">
      <c r="A413" s="5" t="n"/>
      <c r="B413" s="5" t="n"/>
      <c r="C413" s="5" t="n"/>
      <c r="D413" s="5" t="n"/>
      <c r="E413" s="5" t="n"/>
      <c r="F413" s="6" t="n"/>
      <c r="G413" s="7" t="n"/>
      <c r="H413" s="7" t="n"/>
      <c r="I413" s="7" t="n"/>
      <c r="J413" s="5" t="n"/>
      <c r="K413" s="5" t="n"/>
      <c r="L413" s="5" t="n"/>
      <c r="M413" s="8" t="n"/>
      <c r="N413" s="6" t="n"/>
      <c r="O413" s="9" t="n"/>
    </row>
    <row r="414">
      <c r="A414" s="5" t="n"/>
      <c r="B414" s="5" t="n"/>
      <c r="C414" s="5" t="n"/>
      <c r="D414" s="5" t="n"/>
      <c r="E414" s="5" t="n"/>
      <c r="F414" s="6" t="n"/>
      <c r="G414" s="7" t="n"/>
      <c r="H414" s="7" t="n"/>
      <c r="I414" s="7" t="n"/>
      <c r="J414" s="5" t="n"/>
      <c r="K414" s="5" t="n"/>
      <c r="L414" s="5" t="n"/>
      <c r="M414" s="8" t="n"/>
      <c r="N414" s="6" t="n"/>
      <c r="O414" s="9" t="n"/>
    </row>
    <row r="415">
      <c r="A415" s="5" t="n"/>
      <c r="B415" s="5" t="n"/>
      <c r="C415" s="5" t="n"/>
      <c r="D415" s="5" t="n"/>
      <c r="E415" s="5" t="n"/>
      <c r="F415" s="6" t="n"/>
      <c r="G415" s="7" t="n"/>
      <c r="H415" s="7" t="n"/>
      <c r="I415" s="7" t="n"/>
      <c r="J415" s="5" t="n"/>
      <c r="K415" s="5" t="n"/>
      <c r="L415" s="5" t="n"/>
      <c r="M415" s="8" t="n"/>
      <c r="N415" s="6" t="n"/>
      <c r="O415" s="9" t="n"/>
    </row>
    <row r="416">
      <c r="A416" s="5" t="n"/>
      <c r="B416" s="5" t="n"/>
      <c r="C416" s="5" t="n"/>
      <c r="D416" s="5" t="n"/>
      <c r="E416" s="5" t="n"/>
      <c r="F416" s="6" t="n"/>
      <c r="G416" s="7" t="n"/>
      <c r="H416" s="7" t="n"/>
      <c r="I416" s="7" t="n"/>
      <c r="J416" s="5" t="n"/>
      <c r="K416" s="5" t="n"/>
      <c r="L416" s="5" t="n"/>
      <c r="M416" s="8" t="n"/>
      <c r="N416" s="6" t="n"/>
      <c r="O416" s="9" t="n"/>
    </row>
    <row r="417">
      <c r="A417" s="5" t="n"/>
      <c r="B417" s="5" t="n"/>
      <c r="C417" s="5" t="n"/>
      <c r="D417" s="5" t="n"/>
      <c r="E417" s="5" t="n"/>
      <c r="F417" s="6" t="n"/>
      <c r="G417" s="7" t="n"/>
      <c r="H417" s="7" t="n"/>
      <c r="I417" s="7" t="n"/>
      <c r="J417" s="5" t="n"/>
      <c r="K417" s="5" t="n"/>
      <c r="L417" s="5" t="n"/>
      <c r="M417" s="8" t="n"/>
      <c r="N417" s="6" t="n"/>
      <c r="O417" s="9" t="n"/>
    </row>
    <row r="418">
      <c r="A418" s="5" t="n"/>
      <c r="B418" s="5" t="n"/>
      <c r="C418" s="5" t="n"/>
      <c r="D418" s="5" t="n"/>
      <c r="E418" s="5" t="n"/>
      <c r="F418" s="6" t="n"/>
      <c r="G418" s="7" t="n"/>
      <c r="H418" s="7" t="n"/>
      <c r="I418" s="7" t="n"/>
      <c r="J418" s="5" t="n"/>
      <c r="K418" s="5" t="n"/>
      <c r="L418" s="5" t="n"/>
      <c r="M418" s="8" t="n"/>
      <c r="N418" s="6" t="n"/>
      <c r="O418" s="9" t="n"/>
    </row>
    <row r="419">
      <c r="A419" s="5" t="n"/>
      <c r="B419" s="5" t="n"/>
      <c r="C419" s="5" t="n"/>
      <c r="D419" s="5" t="n"/>
      <c r="E419" s="5" t="n"/>
      <c r="F419" s="6" t="n"/>
      <c r="G419" s="7" t="n"/>
      <c r="H419" s="7" t="n"/>
      <c r="I419" s="7" t="n"/>
      <c r="J419" s="5" t="n"/>
      <c r="K419" s="5" t="n"/>
      <c r="L419" s="5" t="n"/>
      <c r="M419" s="8" t="n"/>
      <c r="N419" s="6" t="n"/>
      <c r="O419" s="9" t="n"/>
    </row>
    <row r="420">
      <c r="A420" s="5" t="n"/>
      <c r="B420" s="5" t="n"/>
      <c r="C420" s="5" t="n"/>
      <c r="D420" s="5" t="n"/>
      <c r="E420" s="5" t="n"/>
      <c r="F420" s="6" t="n"/>
      <c r="G420" s="7" t="n"/>
      <c r="H420" s="7" t="n"/>
      <c r="I420" s="7" t="n"/>
      <c r="J420" s="5" t="n"/>
      <c r="K420" s="5" t="n"/>
      <c r="L420" s="5" t="n"/>
      <c r="M420" s="8" t="n"/>
      <c r="N420" s="6" t="n"/>
      <c r="O420" s="9" t="n"/>
    </row>
    <row r="421">
      <c r="A421" s="5" t="n"/>
      <c r="B421" s="5" t="n"/>
      <c r="C421" s="5" t="n"/>
      <c r="D421" s="5" t="n"/>
      <c r="E421" s="5" t="n"/>
      <c r="F421" s="6" t="n"/>
      <c r="G421" s="7" t="n"/>
      <c r="H421" s="7" t="n"/>
      <c r="I421" s="7" t="n"/>
      <c r="J421" s="5" t="n"/>
      <c r="K421" s="5" t="n"/>
      <c r="L421" s="5" t="n"/>
      <c r="M421" s="8" t="n"/>
      <c r="N421" s="6" t="n"/>
      <c r="O421" s="9" t="n"/>
    </row>
    <row r="422">
      <c r="A422" s="5" t="n"/>
      <c r="B422" s="5" t="n"/>
      <c r="C422" s="5" t="n"/>
      <c r="D422" s="5" t="n"/>
      <c r="E422" s="5" t="n"/>
      <c r="F422" s="6" t="n"/>
      <c r="G422" s="7" t="n"/>
      <c r="H422" s="7" t="n"/>
      <c r="I422" s="7" t="n"/>
      <c r="J422" s="5" t="n"/>
      <c r="K422" s="5" t="n"/>
      <c r="L422" s="5" t="n"/>
      <c r="M422" s="8" t="n"/>
      <c r="N422" s="6" t="n"/>
      <c r="O422" s="9" t="n"/>
    </row>
    <row r="423">
      <c r="A423" s="5" t="n"/>
      <c r="B423" s="5" t="n"/>
      <c r="C423" s="5" t="n"/>
      <c r="D423" s="5" t="n"/>
      <c r="E423" s="5" t="n"/>
      <c r="F423" s="6" t="n"/>
      <c r="G423" s="7" t="n"/>
      <c r="H423" s="7" t="n"/>
      <c r="I423" s="7" t="n"/>
      <c r="J423" s="5" t="n"/>
      <c r="K423" s="5" t="n"/>
      <c r="L423" s="5" t="n"/>
      <c r="M423" s="8" t="n"/>
      <c r="N423" s="6" t="n"/>
      <c r="O423" s="9" t="n"/>
    </row>
    <row r="424">
      <c r="A424" s="5" t="n"/>
      <c r="B424" s="5" t="n"/>
      <c r="C424" s="5" t="n"/>
      <c r="D424" s="5" t="n"/>
      <c r="E424" s="5" t="n"/>
      <c r="F424" s="6" t="n"/>
      <c r="G424" s="7" t="n"/>
      <c r="H424" s="7" t="n"/>
      <c r="I424" s="7" t="n"/>
      <c r="J424" s="5" t="n"/>
      <c r="K424" s="5" t="n"/>
      <c r="L424" s="5" t="n"/>
      <c r="M424" s="8" t="n"/>
      <c r="N424" s="6" t="n"/>
      <c r="O424" s="9" t="n"/>
    </row>
    <row r="425">
      <c r="A425" s="5" t="n"/>
      <c r="B425" s="5" t="n"/>
      <c r="C425" s="5" t="n"/>
      <c r="D425" s="5" t="n"/>
      <c r="E425" s="5" t="n"/>
      <c r="F425" s="6" t="n"/>
      <c r="G425" s="7" t="n"/>
      <c r="H425" s="7" t="n"/>
      <c r="I425" s="7" t="n"/>
      <c r="J425" s="5" t="n"/>
      <c r="K425" s="5" t="n"/>
      <c r="L425" s="5" t="n"/>
      <c r="M425" s="8" t="n"/>
      <c r="N425" s="6" t="n"/>
      <c r="O425" s="9" t="n"/>
    </row>
    <row r="426">
      <c r="A426" s="5" t="n"/>
      <c r="B426" s="5" t="n"/>
      <c r="C426" s="5" t="n"/>
      <c r="D426" s="5" t="n"/>
      <c r="E426" s="5" t="n"/>
      <c r="F426" s="6" t="n"/>
      <c r="G426" s="7" t="n"/>
      <c r="H426" s="7" t="n"/>
      <c r="I426" s="7" t="n"/>
      <c r="J426" s="5" t="n"/>
      <c r="K426" s="5" t="n"/>
      <c r="L426" s="5" t="n"/>
      <c r="M426" s="8" t="n"/>
      <c r="N426" s="6" t="n"/>
      <c r="O426" s="9" t="n"/>
    </row>
    <row r="427">
      <c r="A427" s="5" t="n"/>
      <c r="B427" s="5" t="n"/>
      <c r="C427" s="5" t="n"/>
      <c r="D427" s="5" t="n"/>
      <c r="E427" s="5" t="n"/>
      <c r="F427" s="6" t="n"/>
      <c r="G427" s="7" t="n"/>
      <c r="H427" s="7" t="n"/>
      <c r="I427" s="7" t="n"/>
      <c r="J427" s="5" t="n"/>
      <c r="K427" s="5" t="n"/>
      <c r="L427" s="5" t="n"/>
      <c r="M427" s="8" t="n"/>
      <c r="N427" s="6" t="n"/>
      <c r="O427" s="9" t="n"/>
    </row>
    <row r="428">
      <c r="A428" s="5" t="n"/>
      <c r="B428" s="5" t="n"/>
      <c r="C428" s="5" t="n"/>
      <c r="D428" s="5" t="n"/>
      <c r="E428" s="5" t="n"/>
      <c r="F428" s="6" t="n"/>
      <c r="G428" s="7" t="n"/>
      <c r="H428" s="7" t="n"/>
      <c r="I428" s="7" t="n"/>
      <c r="J428" s="5" t="n"/>
      <c r="K428" s="5" t="n"/>
      <c r="L428" s="5" t="n"/>
      <c r="M428" s="8" t="n"/>
      <c r="N428" s="6" t="n"/>
      <c r="O428" s="9" t="n"/>
    </row>
    <row r="429">
      <c r="A429" s="5" t="n"/>
      <c r="B429" s="5" t="n"/>
      <c r="C429" s="5" t="n"/>
      <c r="D429" s="5" t="n"/>
      <c r="E429" s="5" t="n"/>
      <c r="F429" s="6" t="n"/>
      <c r="G429" s="7" t="n"/>
      <c r="H429" s="7" t="n"/>
      <c r="I429" s="7" t="n"/>
      <c r="J429" s="5" t="n"/>
      <c r="K429" s="5" t="n"/>
      <c r="L429" s="5" t="n"/>
      <c r="M429" s="8" t="n"/>
      <c r="N429" s="6" t="n"/>
      <c r="O429" s="9" t="n"/>
    </row>
    <row r="430">
      <c r="A430" s="5" t="n"/>
      <c r="B430" s="5" t="n"/>
      <c r="C430" s="5" t="n"/>
      <c r="D430" s="5" t="n"/>
      <c r="E430" s="5" t="n"/>
      <c r="F430" s="6" t="n"/>
      <c r="G430" s="7" t="n"/>
      <c r="H430" s="7" t="n"/>
      <c r="I430" s="7" t="n"/>
      <c r="J430" s="5" t="n"/>
      <c r="K430" s="5" t="n"/>
      <c r="L430" s="5" t="n"/>
      <c r="M430" s="8" t="n"/>
      <c r="N430" s="6" t="n"/>
      <c r="O430" s="9" t="n"/>
    </row>
    <row r="431">
      <c r="A431" s="5" t="n"/>
      <c r="B431" s="5" t="n"/>
      <c r="C431" s="5" t="n"/>
      <c r="D431" s="5" t="n"/>
      <c r="E431" s="5" t="n"/>
      <c r="F431" s="6" t="n"/>
      <c r="G431" s="7" t="n"/>
      <c r="H431" s="7" t="n"/>
      <c r="I431" s="7" t="n"/>
      <c r="J431" s="5" t="n"/>
      <c r="K431" s="5" t="n"/>
      <c r="L431" s="5" t="n"/>
      <c r="M431" s="8" t="n"/>
      <c r="N431" s="6" t="n"/>
      <c r="O431" s="9" t="n"/>
    </row>
    <row r="432">
      <c r="A432" s="5" t="n"/>
      <c r="B432" s="5" t="n"/>
      <c r="C432" s="5" t="n"/>
      <c r="D432" s="5" t="n"/>
      <c r="E432" s="5" t="n"/>
      <c r="F432" s="6" t="n"/>
      <c r="G432" s="7" t="n"/>
      <c r="H432" s="7" t="n"/>
      <c r="I432" s="7" t="n"/>
      <c r="J432" s="5" t="n"/>
      <c r="K432" s="5" t="n"/>
      <c r="L432" s="5" t="n"/>
      <c r="M432" s="8" t="n"/>
      <c r="N432" s="6" t="n"/>
      <c r="O432" s="9" t="n"/>
    </row>
    <row r="433">
      <c r="A433" s="5" t="n"/>
      <c r="B433" s="5" t="n"/>
      <c r="C433" s="5" t="n"/>
      <c r="D433" s="5" t="n"/>
      <c r="E433" s="5" t="n"/>
      <c r="F433" s="6" t="n"/>
      <c r="G433" s="7" t="n"/>
      <c r="H433" s="7" t="n"/>
      <c r="I433" s="7" t="n"/>
      <c r="J433" s="5" t="n"/>
      <c r="K433" s="5" t="n"/>
      <c r="L433" s="5" t="n"/>
      <c r="M433" s="8" t="n"/>
      <c r="N433" s="6" t="n"/>
      <c r="O433" s="9" t="n"/>
    </row>
    <row r="434">
      <c r="A434" s="5" t="n"/>
      <c r="B434" s="5" t="n"/>
      <c r="C434" s="5" t="n"/>
      <c r="D434" s="5" t="n"/>
      <c r="E434" s="5" t="n"/>
      <c r="F434" s="6" t="n"/>
      <c r="G434" s="7" t="n"/>
      <c r="H434" s="7" t="n"/>
      <c r="I434" s="7" t="n"/>
      <c r="J434" s="5" t="n"/>
      <c r="K434" s="5" t="n"/>
      <c r="L434" s="5" t="n"/>
      <c r="M434" s="8" t="n"/>
      <c r="N434" s="6" t="n"/>
      <c r="O434" s="9" t="n"/>
    </row>
    <row r="435">
      <c r="A435" s="5" t="n"/>
      <c r="B435" s="5" t="n"/>
      <c r="C435" s="5" t="n"/>
      <c r="D435" s="5" t="n"/>
      <c r="E435" s="5" t="n"/>
      <c r="F435" s="6" t="n"/>
      <c r="G435" s="7" t="n"/>
      <c r="H435" s="7" t="n"/>
      <c r="I435" s="7" t="n"/>
      <c r="J435" s="5" t="n"/>
      <c r="K435" s="5" t="n"/>
      <c r="L435" s="5" t="n"/>
      <c r="M435" s="8" t="n"/>
      <c r="N435" s="6" t="n"/>
      <c r="O435" s="9" t="n"/>
    </row>
    <row r="436">
      <c r="A436" s="5" t="n"/>
      <c r="B436" s="5" t="n"/>
      <c r="C436" s="5" t="n"/>
      <c r="D436" s="5" t="n"/>
      <c r="E436" s="5" t="n"/>
      <c r="F436" s="6" t="n"/>
      <c r="G436" s="7" t="n"/>
      <c r="H436" s="7" t="n"/>
      <c r="I436" s="7" t="n"/>
      <c r="J436" s="5" t="n"/>
      <c r="K436" s="5" t="n"/>
      <c r="L436" s="5" t="n"/>
      <c r="M436" s="8" t="n"/>
      <c r="N436" s="6" t="n"/>
      <c r="O436" s="9" t="n"/>
    </row>
    <row r="437">
      <c r="A437" s="5" t="n"/>
      <c r="B437" s="5" t="n"/>
      <c r="C437" s="5" t="n"/>
      <c r="D437" s="5" t="n"/>
      <c r="E437" s="5" t="n"/>
      <c r="F437" s="6" t="n"/>
      <c r="G437" s="7" t="n"/>
      <c r="H437" s="7" t="n"/>
      <c r="I437" s="7" t="n"/>
      <c r="J437" s="5" t="n"/>
      <c r="K437" s="5" t="n"/>
      <c r="L437" s="5" t="n"/>
      <c r="M437" s="8" t="n"/>
      <c r="N437" s="6" t="n"/>
      <c r="O437" s="9" t="n"/>
    </row>
    <row r="438">
      <c r="A438" s="5" t="n"/>
      <c r="B438" s="5" t="n"/>
      <c r="C438" s="5" t="n"/>
      <c r="D438" s="5" t="n"/>
      <c r="E438" s="5" t="n"/>
      <c r="F438" s="6" t="n"/>
      <c r="G438" s="7" t="n"/>
      <c r="H438" s="7" t="n"/>
      <c r="I438" s="7" t="n"/>
      <c r="J438" s="5" t="n"/>
      <c r="K438" s="5" t="n"/>
      <c r="L438" s="5" t="n"/>
      <c r="M438" s="8" t="n"/>
      <c r="N438" s="6" t="n"/>
      <c r="O438" s="9" t="n"/>
    </row>
    <row r="439">
      <c r="A439" s="5" t="n"/>
      <c r="B439" s="5" t="n"/>
      <c r="C439" s="5" t="n"/>
      <c r="D439" s="5" t="n"/>
      <c r="E439" s="5" t="n"/>
      <c r="F439" s="6" t="n"/>
      <c r="G439" s="7" t="n"/>
      <c r="H439" s="7" t="n"/>
      <c r="I439" s="7" t="n"/>
      <c r="J439" s="5" t="n"/>
      <c r="K439" s="5" t="n"/>
      <c r="L439" s="5" t="n"/>
      <c r="M439" s="8" t="n"/>
      <c r="N439" s="6" t="n"/>
      <c r="O439" s="9" t="n"/>
    </row>
    <row r="440">
      <c r="A440" s="5" t="n"/>
      <c r="B440" s="5" t="n"/>
      <c r="C440" s="5" t="n"/>
      <c r="D440" s="5" t="n"/>
      <c r="E440" s="5" t="n"/>
      <c r="F440" s="6" t="n"/>
      <c r="G440" s="7" t="n"/>
      <c r="H440" s="7" t="n"/>
      <c r="I440" s="7" t="n"/>
      <c r="J440" s="5" t="n"/>
      <c r="K440" s="5" t="n"/>
      <c r="L440" s="5" t="n"/>
      <c r="M440" s="8" t="n"/>
      <c r="N440" s="6" t="n"/>
      <c r="O440" s="9" t="n"/>
    </row>
    <row r="441">
      <c r="A441" s="5" t="n"/>
      <c r="B441" s="5" t="n"/>
      <c r="C441" s="5" t="n"/>
      <c r="D441" s="5" t="n"/>
      <c r="E441" s="5" t="n"/>
      <c r="F441" s="6" t="n"/>
      <c r="G441" s="7" t="n"/>
      <c r="H441" s="7" t="n"/>
      <c r="I441" s="7" t="n"/>
      <c r="J441" s="5" t="n"/>
      <c r="K441" s="5" t="n"/>
      <c r="L441" s="5" t="n"/>
      <c r="M441" s="8" t="n"/>
      <c r="N441" s="6" t="n"/>
      <c r="O441" s="9" t="n"/>
    </row>
    <row r="442">
      <c r="A442" s="5" t="n"/>
      <c r="B442" s="5" t="n"/>
      <c r="C442" s="5" t="n"/>
      <c r="D442" s="5" t="n"/>
      <c r="E442" s="5" t="n"/>
      <c r="F442" s="6" t="n"/>
      <c r="G442" s="7" t="n"/>
      <c r="H442" s="7" t="n"/>
      <c r="I442" s="7" t="n"/>
      <c r="J442" s="5" t="n"/>
      <c r="K442" s="5" t="n"/>
      <c r="L442" s="5" t="n"/>
      <c r="M442" s="8" t="n"/>
      <c r="N442" s="6" t="n"/>
      <c r="O442" s="9" t="n"/>
    </row>
    <row r="443">
      <c r="A443" s="5" t="n"/>
      <c r="B443" s="5" t="n"/>
      <c r="C443" s="5" t="n"/>
      <c r="D443" s="5" t="n"/>
      <c r="E443" s="5" t="n"/>
      <c r="F443" s="6" t="n"/>
      <c r="G443" s="7" t="n"/>
      <c r="H443" s="7" t="n"/>
      <c r="I443" s="7" t="n"/>
      <c r="J443" s="5" t="n"/>
      <c r="K443" s="5" t="n"/>
      <c r="L443" s="5" t="n"/>
      <c r="M443" s="8" t="n"/>
      <c r="N443" s="6" t="n"/>
      <c r="O443" s="9" t="n"/>
    </row>
    <row r="444">
      <c r="A444" s="5" t="n"/>
      <c r="B444" s="5" t="n"/>
      <c r="C444" s="5" t="n"/>
      <c r="D444" s="5" t="n"/>
      <c r="E444" s="5" t="n"/>
      <c r="F444" s="6" t="n"/>
      <c r="G444" s="7" t="n"/>
      <c r="H444" s="7" t="n"/>
      <c r="I444" s="7" t="n"/>
      <c r="J444" s="5" t="n"/>
      <c r="K444" s="5" t="n"/>
      <c r="L444" s="5" t="n"/>
      <c r="M444" s="8" t="n"/>
      <c r="N444" s="6" t="n"/>
      <c r="O444" s="9" t="n"/>
    </row>
    <row r="445">
      <c r="A445" s="5" t="n"/>
      <c r="B445" s="5" t="n"/>
      <c r="C445" s="5" t="n"/>
      <c r="D445" s="5" t="n"/>
      <c r="E445" s="5" t="n"/>
      <c r="F445" s="6" t="n"/>
      <c r="G445" s="7" t="n"/>
      <c r="H445" s="7" t="n"/>
      <c r="I445" s="7" t="n"/>
      <c r="J445" s="5" t="n"/>
      <c r="K445" s="5" t="n"/>
      <c r="L445" s="5" t="n"/>
      <c r="M445" s="8" t="n"/>
      <c r="N445" s="6" t="n"/>
      <c r="O445" s="9" t="n"/>
    </row>
    <row r="446">
      <c r="A446" s="5" t="n"/>
      <c r="B446" s="5" t="n"/>
      <c r="C446" s="5" t="n"/>
      <c r="D446" s="5" t="n"/>
      <c r="E446" s="5" t="n"/>
      <c r="F446" s="6" t="n"/>
      <c r="G446" s="7" t="n"/>
      <c r="H446" s="7" t="n"/>
      <c r="I446" s="7" t="n"/>
      <c r="J446" s="5" t="n"/>
      <c r="K446" s="5" t="n"/>
      <c r="L446" s="5" t="n"/>
      <c r="M446" s="8" t="n"/>
      <c r="N446" s="6" t="n"/>
      <c r="O446" s="9" t="n"/>
    </row>
    <row r="447">
      <c r="A447" s="5" t="n"/>
      <c r="B447" s="5" t="n"/>
      <c r="C447" s="5" t="n"/>
      <c r="D447" s="5" t="n"/>
      <c r="E447" s="5" t="n"/>
      <c r="F447" s="6" t="n"/>
      <c r="G447" s="7" t="n"/>
      <c r="H447" s="7" t="n"/>
      <c r="I447" s="7" t="n"/>
      <c r="J447" s="5" t="n"/>
      <c r="K447" s="5" t="n"/>
      <c r="L447" s="5" t="n"/>
      <c r="M447" s="8" t="n"/>
      <c r="N447" s="6" t="n"/>
      <c r="O447" s="9" t="n"/>
    </row>
    <row r="448">
      <c r="A448" s="5" t="n"/>
      <c r="B448" s="5" t="n"/>
      <c r="C448" s="5" t="n"/>
      <c r="D448" s="5" t="n"/>
      <c r="E448" s="5" t="n"/>
      <c r="F448" s="6" t="n"/>
      <c r="G448" s="7" t="n"/>
      <c r="H448" s="7" t="n"/>
      <c r="I448" s="7" t="n"/>
      <c r="J448" s="5" t="n"/>
      <c r="K448" s="5" t="n"/>
      <c r="L448" s="5" t="n"/>
      <c r="M448" s="8" t="n"/>
      <c r="N448" s="6" t="n"/>
      <c r="O448" s="9" t="n"/>
    </row>
    <row r="449">
      <c r="A449" s="5" t="n"/>
      <c r="B449" s="5" t="n"/>
      <c r="C449" s="5" t="n"/>
      <c r="D449" s="5" t="n"/>
      <c r="E449" s="5" t="n"/>
      <c r="F449" s="6" t="n"/>
      <c r="G449" s="7" t="n"/>
      <c r="H449" s="7" t="n"/>
      <c r="I449" s="7" t="n"/>
      <c r="J449" s="5" t="n"/>
      <c r="K449" s="5" t="n"/>
      <c r="L449" s="5" t="n"/>
      <c r="M449" s="8" t="n"/>
      <c r="N449" s="6" t="n"/>
      <c r="O449" s="9" t="n"/>
    </row>
    <row r="450">
      <c r="A450" s="5" t="n"/>
      <c r="B450" s="5" t="n"/>
      <c r="C450" s="5" t="n"/>
      <c r="D450" s="5" t="n"/>
      <c r="E450" s="5" t="n"/>
      <c r="F450" s="6" t="n"/>
      <c r="G450" s="7" t="n"/>
      <c r="H450" s="7" t="n"/>
      <c r="I450" s="7" t="n"/>
      <c r="J450" s="5" t="n"/>
      <c r="K450" s="5" t="n"/>
      <c r="L450" s="5" t="n"/>
      <c r="M450" s="8" t="n"/>
      <c r="N450" s="6" t="n"/>
      <c r="O450" s="9" t="n"/>
    </row>
    <row r="451">
      <c r="A451" s="5" t="n"/>
      <c r="B451" s="5" t="n"/>
      <c r="C451" s="5" t="n"/>
      <c r="D451" s="5" t="n"/>
      <c r="E451" s="5" t="n"/>
      <c r="F451" s="6" t="n"/>
      <c r="G451" s="7" t="n"/>
      <c r="H451" s="7" t="n"/>
      <c r="I451" s="7" t="n"/>
      <c r="J451" s="5" t="n"/>
      <c r="K451" s="5" t="n"/>
      <c r="L451" s="5" t="n"/>
      <c r="M451" s="8" t="n"/>
      <c r="N451" s="6" t="n"/>
      <c r="O451" s="9" t="n"/>
    </row>
    <row r="452">
      <c r="A452" s="5" t="n"/>
      <c r="B452" s="5" t="n"/>
      <c r="C452" s="5" t="n"/>
      <c r="D452" s="5" t="n"/>
      <c r="E452" s="5" t="n"/>
      <c r="F452" s="6" t="n"/>
      <c r="G452" s="7" t="n"/>
      <c r="H452" s="7" t="n"/>
      <c r="I452" s="7" t="n"/>
      <c r="J452" s="5" t="n"/>
      <c r="K452" s="5" t="n"/>
      <c r="L452" s="5" t="n"/>
      <c r="M452" s="8" t="n"/>
      <c r="N452" s="6" t="n"/>
      <c r="O452" s="9" t="n"/>
    </row>
    <row r="453">
      <c r="A453" s="5" t="n"/>
      <c r="B453" s="5" t="n"/>
      <c r="C453" s="5" t="n"/>
      <c r="D453" s="5" t="n"/>
      <c r="E453" s="5" t="n"/>
      <c r="F453" s="6" t="n"/>
      <c r="G453" s="7" t="n"/>
      <c r="H453" s="7" t="n"/>
      <c r="I453" s="7" t="n"/>
      <c r="J453" s="5" t="n"/>
      <c r="K453" s="5" t="n"/>
      <c r="L453" s="5" t="n"/>
      <c r="M453" s="8" t="n"/>
      <c r="N453" s="6" t="n"/>
      <c r="O453" s="9" t="n"/>
    </row>
    <row r="454">
      <c r="A454" s="5" t="n"/>
      <c r="B454" s="5" t="n"/>
      <c r="C454" s="5" t="n"/>
      <c r="D454" s="5" t="n"/>
      <c r="E454" s="5" t="n"/>
      <c r="F454" s="6" t="n"/>
      <c r="G454" s="7" t="n"/>
      <c r="H454" s="7" t="n"/>
      <c r="I454" s="7" t="n"/>
      <c r="J454" s="5" t="n"/>
      <c r="K454" s="5" t="n"/>
      <c r="L454" s="5" t="n"/>
      <c r="M454" s="8" t="n"/>
      <c r="N454" s="6" t="n"/>
      <c r="O454" s="9" t="n"/>
    </row>
    <row r="455">
      <c r="A455" s="5" t="n"/>
      <c r="B455" s="5" t="n"/>
      <c r="C455" s="5" t="n"/>
      <c r="D455" s="5" t="n"/>
      <c r="E455" s="5" t="n"/>
      <c r="F455" s="6" t="n"/>
      <c r="G455" s="7" t="n"/>
      <c r="H455" s="7" t="n"/>
      <c r="I455" s="7" t="n"/>
      <c r="J455" s="5" t="n"/>
      <c r="K455" s="5" t="n"/>
      <c r="L455" s="5" t="n"/>
      <c r="M455" s="8" t="n"/>
      <c r="N455" s="6" t="n"/>
      <c r="O455" s="9" t="n"/>
    </row>
    <row r="456">
      <c r="A456" s="5" t="n"/>
      <c r="B456" s="5" t="n"/>
      <c r="C456" s="5" t="n"/>
      <c r="D456" s="5" t="n"/>
      <c r="E456" s="5" t="n"/>
      <c r="F456" s="6" t="n"/>
      <c r="G456" s="7" t="n"/>
      <c r="H456" s="7" t="n"/>
      <c r="I456" s="7" t="n"/>
      <c r="J456" s="5" t="n"/>
      <c r="K456" s="5" t="n"/>
      <c r="L456" s="5" t="n"/>
      <c r="M456" s="8" t="n"/>
      <c r="N456" s="6" t="n"/>
      <c r="O456" s="9" t="n"/>
    </row>
    <row r="457">
      <c r="A457" s="5" t="n"/>
      <c r="B457" s="5" t="n"/>
      <c r="C457" s="5" t="n"/>
      <c r="D457" s="5" t="n"/>
      <c r="E457" s="5" t="n"/>
      <c r="F457" s="6" t="n"/>
      <c r="G457" s="7" t="n"/>
      <c r="H457" s="7" t="n"/>
      <c r="I457" s="7" t="n"/>
      <c r="J457" s="5" t="n"/>
      <c r="K457" s="5" t="n"/>
      <c r="L457" s="5" t="n"/>
      <c r="M457" s="8" t="n"/>
      <c r="N457" s="6" t="n"/>
      <c r="O457" s="9" t="n"/>
    </row>
    <row r="458">
      <c r="A458" s="5" t="n"/>
      <c r="B458" s="5" t="n"/>
      <c r="C458" s="5" t="n"/>
      <c r="D458" s="5" t="n"/>
      <c r="E458" s="5" t="n"/>
      <c r="F458" s="6" t="n"/>
      <c r="G458" s="7" t="n"/>
      <c r="H458" s="7" t="n"/>
      <c r="I458" s="7" t="n"/>
      <c r="J458" s="5" t="n"/>
      <c r="K458" s="5" t="n"/>
      <c r="L458" s="5" t="n"/>
      <c r="M458" s="8" t="n"/>
      <c r="N458" s="6" t="n"/>
      <c r="O458" s="9" t="n"/>
    </row>
    <row r="459">
      <c r="A459" s="5" t="n"/>
      <c r="B459" s="5" t="n"/>
      <c r="C459" s="5" t="n"/>
      <c r="D459" s="5" t="n"/>
      <c r="E459" s="5" t="n"/>
      <c r="F459" s="6" t="n"/>
      <c r="G459" s="7" t="n"/>
      <c r="H459" s="7" t="n"/>
      <c r="I459" s="7" t="n"/>
      <c r="J459" s="5" t="n"/>
      <c r="K459" s="5" t="n"/>
      <c r="L459" s="5" t="n"/>
      <c r="M459" s="8" t="n"/>
      <c r="N459" s="6" t="n"/>
      <c r="O459" s="9" t="n"/>
    </row>
    <row r="460">
      <c r="A460" s="5" t="n"/>
      <c r="B460" s="5" t="n"/>
      <c r="C460" s="5" t="n"/>
      <c r="D460" s="5" t="n"/>
      <c r="E460" s="5" t="n"/>
      <c r="F460" s="6" t="n"/>
      <c r="G460" s="7" t="n"/>
      <c r="H460" s="7" t="n"/>
      <c r="I460" s="7" t="n"/>
      <c r="J460" s="5" t="n"/>
      <c r="K460" s="5" t="n"/>
      <c r="L460" s="5" t="n"/>
      <c r="M460" s="8" t="n"/>
      <c r="N460" s="6" t="n"/>
      <c r="O460" s="9" t="n"/>
    </row>
    <row r="461">
      <c r="A461" s="5" t="n"/>
      <c r="B461" s="5" t="n"/>
      <c r="C461" s="5" t="n"/>
      <c r="D461" s="5" t="n"/>
      <c r="E461" s="5" t="n"/>
      <c r="F461" s="6" t="n"/>
      <c r="G461" s="7" t="n"/>
      <c r="H461" s="7" t="n"/>
      <c r="I461" s="7" t="n"/>
      <c r="J461" s="5" t="n"/>
      <c r="K461" s="5" t="n"/>
      <c r="L461" s="5" t="n"/>
      <c r="M461" s="8" t="n"/>
      <c r="N461" s="6" t="n"/>
      <c r="O461" s="9" t="n"/>
    </row>
    <row r="462">
      <c r="A462" s="5" t="n"/>
      <c r="B462" s="5" t="n"/>
      <c r="C462" s="5" t="n"/>
      <c r="D462" s="5" t="n"/>
      <c r="E462" s="5" t="n"/>
      <c r="F462" s="6" t="n"/>
      <c r="G462" s="7" t="n"/>
      <c r="H462" s="7" t="n"/>
      <c r="I462" s="7" t="n"/>
      <c r="J462" s="5" t="n"/>
      <c r="K462" s="5" t="n"/>
      <c r="L462" s="5" t="n"/>
      <c r="M462" s="8" t="n"/>
      <c r="N462" s="6" t="n"/>
      <c r="O462" s="9" t="n"/>
    </row>
    <row r="463">
      <c r="A463" s="5" t="n"/>
      <c r="B463" s="5" t="n"/>
      <c r="C463" s="5" t="n"/>
      <c r="D463" s="5" t="n"/>
      <c r="E463" s="5" t="n"/>
      <c r="F463" s="6" t="n"/>
      <c r="G463" s="7" t="n"/>
      <c r="H463" s="7" t="n"/>
      <c r="I463" s="7" t="n"/>
      <c r="J463" s="5" t="n"/>
      <c r="K463" s="5" t="n"/>
      <c r="L463" s="5" t="n"/>
      <c r="M463" s="8" t="n"/>
      <c r="N463" s="6" t="n"/>
      <c r="O463" s="9" t="n"/>
    </row>
    <row r="464">
      <c r="A464" s="5" t="n"/>
      <c r="B464" s="5" t="n"/>
      <c r="C464" s="5" t="n"/>
      <c r="D464" s="5" t="n"/>
      <c r="E464" s="5" t="n"/>
      <c r="F464" s="6" t="n"/>
      <c r="G464" s="7" t="n"/>
      <c r="H464" s="7" t="n"/>
      <c r="I464" s="7" t="n"/>
      <c r="J464" s="5" t="n"/>
      <c r="K464" s="5" t="n"/>
      <c r="L464" s="5" t="n"/>
      <c r="M464" s="8" t="n"/>
      <c r="N464" s="6" t="n"/>
      <c r="O464" s="9" t="n"/>
    </row>
    <row r="465">
      <c r="A465" s="5" t="n"/>
      <c r="B465" s="5" t="n"/>
      <c r="C465" s="5" t="n"/>
      <c r="D465" s="5" t="n"/>
      <c r="E465" s="5" t="n"/>
      <c r="F465" s="6" t="n"/>
      <c r="G465" s="7" t="n"/>
      <c r="H465" s="7" t="n"/>
      <c r="I465" s="7" t="n"/>
      <c r="J465" s="5" t="n"/>
      <c r="K465" s="5" t="n"/>
      <c r="L465" s="5" t="n"/>
      <c r="M465" s="8" t="n"/>
      <c r="N465" s="6" t="n"/>
      <c r="O465" s="9" t="n"/>
    </row>
    <row r="466">
      <c r="A466" s="5" t="n"/>
      <c r="B466" s="5" t="n"/>
      <c r="C466" s="5" t="n"/>
      <c r="D466" s="5" t="n"/>
      <c r="E466" s="5" t="n"/>
      <c r="F466" s="6" t="n"/>
      <c r="G466" s="7" t="n"/>
      <c r="H466" s="7" t="n"/>
      <c r="I466" s="7" t="n"/>
      <c r="J466" s="5" t="n"/>
      <c r="K466" s="5" t="n"/>
      <c r="L466" s="5" t="n"/>
      <c r="M466" s="8" t="n"/>
      <c r="N466" s="6" t="n"/>
      <c r="O466" s="9" t="n"/>
    </row>
    <row r="467">
      <c r="A467" s="5" t="n"/>
      <c r="B467" s="5" t="n"/>
      <c r="C467" s="5" t="n"/>
      <c r="D467" s="5" t="n"/>
      <c r="E467" s="5" t="n"/>
      <c r="F467" s="6" t="n"/>
      <c r="G467" s="7" t="n"/>
      <c r="H467" s="7" t="n"/>
      <c r="I467" s="7" t="n"/>
      <c r="J467" s="5" t="n"/>
      <c r="K467" s="5" t="n"/>
      <c r="L467" s="5" t="n"/>
      <c r="M467" s="8" t="n"/>
      <c r="N467" s="6" t="n"/>
      <c r="O467" s="9" t="n"/>
    </row>
    <row r="468">
      <c r="A468" s="5" t="n"/>
      <c r="B468" s="5" t="n"/>
      <c r="C468" s="5" t="n"/>
      <c r="D468" s="5" t="n"/>
      <c r="E468" s="5" t="n"/>
      <c r="F468" s="6" t="n"/>
      <c r="G468" s="7" t="n"/>
      <c r="H468" s="7" t="n"/>
      <c r="I468" s="7" t="n"/>
      <c r="J468" s="5" t="n"/>
      <c r="K468" s="5" t="n"/>
      <c r="L468" s="5" t="n"/>
      <c r="M468" s="8" t="n"/>
      <c r="N468" s="6" t="n"/>
      <c r="O468" s="9" t="n"/>
    </row>
    <row r="469">
      <c r="A469" s="5" t="n"/>
      <c r="B469" s="5" t="n"/>
      <c r="C469" s="5" t="n"/>
      <c r="D469" s="5" t="n"/>
      <c r="E469" s="5" t="n"/>
      <c r="F469" s="6" t="n"/>
      <c r="G469" s="7" t="n"/>
      <c r="H469" s="7" t="n"/>
      <c r="I469" s="7" t="n"/>
      <c r="J469" s="5" t="n"/>
      <c r="K469" s="5" t="n"/>
      <c r="L469" s="5" t="n"/>
      <c r="M469" s="8" t="n"/>
      <c r="N469" s="6" t="n"/>
      <c r="O469" s="9" t="n"/>
    </row>
    <row r="470">
      <c r="A470" s="5" t="n"/>
      <c r="B470" s="5" t="n"/>
      <c r="C470" s="5" t="n"/>
      <c r="D470" s="5" t="n"/>
      <c r="E470" s="5" t="n"/>
      <c r="F470" s="6" t="n"/>
      <c r="G470" s="7" t="n"/>
      <c r="H470" s="7" t="n"/>
      <c r="I470" s="7" t="n"/>
      <c r="J470" s="5" t="n"/>
      <c r="K470" s="5" t="n"/>
      <c r="L470" s="5" t="n"/>
      <c r="M470" s="8" t="n"/>
      <c r="N470" s="6" t="n"/>
      <c r="O470" s="9" t="n"/>
    </row>
    <row r="471">
      <c r="A471" s="5" t="n"/>
      <c r="B471" s="5" t="n"/>
      <c r="C471" s="5" t="n"/>
      <c r="D471" s="5" t="n"/>
      <c r="E471" s="5" t="n"/>
      <c r="F471" s="6" t="n"/>
      <c r="G471" s="7" t="n"/>
      <c r="H471" s="7" t="n"/>
      <c r="I471" s="7" t="n"/>
      <c r="J471" s="5" t="n"/>
      <c r="K471" s="5" t="n"/>
      <c r="L471" s="5" t="n"/>
      <c r="M471" s="8" t="n"/>
      <c r="N471" s="6" t="n"/>
      <c r="O471" s="9" t="n"/>
    </row>
    <row r="472">
      <c r="A472" s="5" t="n"/>
      <c r="B472" s="5" t="n"/>
      <c r="C472" s="5" t="n"/>
      <c r="D472" s="5" t="n"/>
      <c r="E472" s="5" t="n"/>
      <c r="F472" s="6" t="n"/>
      <c r="G472" s="7" t="n"/>
      <c r="H472" s="7" t="n"/>
      <c r="I472" s="7" t="n"/>
      <c r="J472" s="5" t="n"/>
      <c r="K472" s="5" t="n"/>
      <c r="L472" s="5" t="n"/>
      <c r="M472" s="8" t="n"/>
      <c r="N472" s="6" t="n"/>
      <c r="O472" s="9" t="n"/>
    </row>
    <row r="473">
      <c r="A473" s="5" t="n"/>
      <c r="B473" s="5" t="n"/>
      <c r="C473" s="5" t="n"/>
      <c r="D473" s="5" t="n"/>
      <c r="E473" s="5" t="n"/>
      <c r="F473" s="6" t="n"/>
      <c r="G473" s="7" t="n"/>
      <c r="H473" s="7" t="n"/>
      <c r="I473" s="7" t="n"/>
      <c r="J473" s="5" t="n"/>
      <c r="K473" s="5" t="n"/>
      <c r="L473" s="5" t="n"/>
      <c r="M473" s="8" t="n"/>
      <c r="N473" s="6" t="n"/>
      <c r="O473" s="9" t="n"/>
    </row>
    <row r="474">
      <c r="A474" s="5" t="n"/>
      <c r="B474" s="5" t="n"/>
      <c r="C474" s="5" t="n"/>
      <c r="D474" s="5" t="n"/>
      <c r="E474" s="5" t="n"/>
      <c r="F474" s="6" t="n"/>
      <c r="G474" s="7" t="n"/>
      <c r="H474" s="7" t="n"/>
      <c r="I474" s="7" t="n"/>
      <c r="J474" s="5" t="n"/>
      <c r="K474" s="5" t="n"/>
      <c r="L474" s="5" t="n"/>
      <c r="M474" s="8" t="n"/>
      <c r="N474" s="6" t="n"/>
      <c r="O474" s="9" t="n"/>
    </row>
    <row r="475">
      <c r="A475" s="5" t="n"/>
      <c r="B475" s="5" t="n"/>
      <c r="C475" s="5" t="n"/>
      <c r="D475" s="5" t="n"/>
      <c r="E475" s="5" t="n"/>
      <c r="F475" s="6" t="n"/>
      <c r="G475" s="7" t="n"/>
      <c r="H475" s="7" t="n"/>
      <c r="I475" s="7" t="n"/>
      <c r="J475" s="5" t="n"/>
      <c r="K475" s="5" t="n"/>
      <c r="L475" s="5" t="n"/>
      <c r="M475" s="8" t="n"/>
      <c r="N475" s="6" t="n"/>
      <c r="O475" s="9" t="n"/>
    </row>
    <row r="476">
      <c r="A476" s="5" t="n"/>
      <c r="B476" s="5" t="n"/>
      <c r="C476" s="5" t="n"/>
      <c r="D476" s="5" t="n"/>
      <c r="E476" s="5" t="n"/>
      <c r="F476" s="6" t="n"/>
      <c r="G476" s="7" t="n"/>
      <c r="H476" s="7" t="n"/>
      <c r="I476" s="7" t="n"/>
      <c r="J476" s="5" t="n"/>
      <c r="K476" s="5" t="n"/>
      <c r="L476" s="5" t="n"/>
      <c r="M476" s="8" t="n"/>
      <c r="N476" s="6" t="n"/>
      <c r="O476" s="9" t="n"/>
    </row>
    <row r="477">
      <c r="A477" s="5" t="n"/>
      <c r="B477" s="5" t="n"/>
      <c r="C477" s="5" t="n"/>
      <c r="D477" s="5" t="n"/>
      <c r="E477" s="5" t="n"/>
      <c r="F477" s="6" t="n"/>
      <c r="G477" s="7" t="n"/>
      <c r="H477" s="7" t="n"/>
      <c r="I477" s="7" t="n"/>
      <c r="J477" s="5" t="n"/>
      <c r="K477" s="5" t="n"/>
      <c r="L477" s="5" t="n"/>
      <c r="M477" s="8" t="n"/>
      <c r="N477" s="6" t="n"/>
      <c r="O477" s="9" t="n"/>
    </row>
    <row r="478">
      <c r="A478" s="5" t="n"/>
      <c r="B478" s="5" t="n"/>
      <c r="C478" s="5" t="n"/>
      <c r="D478" s="5" t="n"/>
      <c r="E478" s="5" t="n"/>
      <c r="F478" s="6" t="n"/>
      <c r="G478" s="7" t="n"/>
      <c r="H478" s="7" t="n"/>
      <c r="I478" s="7" t="n"/>
      <c r="J478" s="5" t="n"/>
      <c r="K478" s="5" t="n"/>
      <c r="L478" s="5" t="n"/>
      <c r="M478" s="8" t="n"/>
      <c r="N478" s="6" t="n"/>
      <c r="O478" s="9" t="n"/>
    </row>
    <row r="479">
      <c r="A479" s="5" t="n"/>
      <c r="B479" s="5" t="n"/>
      <c r="C479" s="5" t="n"/>
      <c r="D479" s="5" t="n"/>
      <c r="E479" s="5" t="n"/>
      <c r="F479" s="6" t="n"/>
      <c r="G479" s="7" t="n"/>
      <c r="H479" s="7" t="n"/>
      <c r="I479" s="7" t="n"/>
      <c r="J479" s="5" t="n"/>
      <c r="K479" s="5" t="n"/>
      <c r="L479" s="5" t="n"/>
      <c r="M479" s="8" t="n"/>
      <c r="N479" s="6" t="n"/>
      <c r="O479" s="9" t="n"/>
    </row>
    <row r="480">
      <c r="A480" s="5" t="n"/>
      <c r="B480" s="5" t="n"/>
      <c r="C480" s="5" t="n"/>
      <c r="D480" s="5" t="n"/>
      <c r="E480" s="5" t="n"/>
      <c r="F480" s="6" t="n"/>
      <c r="G480" s="7" t="n"/>
      <c r="H480" s="7" t="n"/>
      <c r="I480" s="7" t="n"/>
      <c r="J480" s="5" t="n"/>
      <c r="K480" s="5" t="n"/>
      <c r="L480" s="5" t="n"/>
      <c r="M480" s="8" t="n"/>
      <c r="N480" s="6" t="n"/>
      <c r="O480" s="9" t="n"/>
    </row>
    <row r="481">
      <c r="A481" s="5" t="n"/>
      <c r="B481" s="5" t="n"/>
      <c r="C481" s="5" t="n"/>
      <c r="D481" s="5" t="n"/>
      <c r="E481" s="5" t="n"/>
      <c r="F481" s="6" t="n"/>
      <c r="G481" s="7" t="n"/>
      <c r="H481" s="7" t="n"/>
      <c r="I481" s="7" t="n"/>
      <c r="J481" s="5" t="n"/>
      <c r="K481" s="5" t="n"/>
      <c r="L481" s="5" t="n"/>
      <c r="M481" s="8" t="n"/>
      <c r="N481" s="6" t="n"/>
      <c r="O481" s="9" t="n"/>
    </row>
    <row r="482">
      <c r="A482" s="5" t="n"/>
      <c r="B482" s="5" t="n"/>
      <c r="C482" s="5" t="n"/>
      <c r="D482" s="5" t="n"/>
      <c r="E482" s="5" t="n"/>
      <c r="F482" s="6" t="n"/>
      <c r="G482" s="7" t="n"/>
      <c r="H482" s="7" t="n"/>
      <c r="I482" s="7" t="n"/>
      <c r="J482" s="5" t="n"/>
      <c r="K482" s="5" t="n"/>
      <c r="L482" s="5" t="n"/>
      <c r="M482" s="8" t="n"/>
      <c r="N482" s="6" t="n"/>
      <c r="O482" s="9" t="n"/>
    </row>
    <row r="483">
      <c r="A483" s="5" t="n"/>
      <c r="B483" s="5" t="n"/>
      <c r="C483" s="5" t="n"/>
      <c r="D483" s="5" t="n"/>
      <c r="E483" s="5" t="n"/>
      <c r="F483" s="6" t="n"/>
      <c r="G483" s="7" t="n"/>
      <c r="H483" s="7" t="n"/>
      <c r="I483" s="7" t="n"/>
      <c r="J483" s="5" t="n"/>
      <c r="K483" s="5" t="n"/>
      <c r="L483" s="5" t="n"/>
      <c r="M483" s="8" t="n"/>
      <c r="N483" s="6" t="n"/>
      <c r="O483" s="9" t="n"/>
    </row>
    <row r="484">
      <c r="A484" s="5" t="n"/>
      <c r="B484" s="5" t="n"/>
      <c r="C484" s="5" t="n"/>
      <c r="D484" s="5" t="n"/>
      <c r="E484" s="5" t="n"/>
      <c r="F484" s="6" t="n"/>
      <c r="G484" s="7" t="n"/>
      <c r="H484" s="7" t="n"/>
      <c r="I484" s="7" t="n"/>
      <c r="J484" s="5" t="n"/>
      <c r="K484" s="5" t="n"/>
      <c r="L484" s="5" t="n"/>
      <c r="M484" s="8" t="n"/>
      <c r="N484" s="6" t="n"/>
      <c r="O484" s="9" t="n"/>
    </row>
    <row r="485">
      <c r="A485" s="5" t="n"/>
      <c r="B485" s="5" t="n"/>
      <c r="C485" s="5" t="n"/>
      <c r="D485" s="5" t="n"/>
      <c r="E485" s="5" t="n"/>
      <c r="F485" s="6" t="n"/>
      <c r="G485" s="7" t="n"/>
      <c r="H485" s="7" t="n"/>
      <c r="I485" s="7" t="n"/>
      <c r="J485" s="5" t="n"/>
      <c r="K485" s="5" t="n"/>
      <c r="L485" s="5" t="n"/>
      <c r="M485" s="8" t="n"/>
      <c r="N485" s="6" t="n"/>
      <c r="O485" s="9" t="n"/>
    </row>
    <row r="486">
      <c r="A486" s="5" t="n"/>
      <c r="B486" s="5" t="n"/>
      <c r="C486" s="5" t="n"/>
      <c r="D486" s="5" t="n"/>
      <c r="E486" s="5" t="n"/>
      <c r="F486" s="6" t="n"/>
      <c r="G486" s="7" t="n"/>
      <c r="H486" s="7" t="n"/>
      <c r="I486" s="7" t="n"/>
      <c r="J486" s="5" t="n"/>
      <c r="K486" s="5" t="n"/>
      <c r="L486" s="5" t="n"/>
      <c r="M486" s="8" t="n"/>
      <c r="N486" s="6" t="n"/>
      <c r="O486" s="9" t="n"/>
    </row>
    <row r="487">
      <c r="A487" s="5" t="n"/>
      <c r="B487" s="5" t="n"/>
      <c r="C487" s="5" t="n"/>
      <c r="D487" s="5" t="n"/>
      <c r="E487" s="5" t="n"/>
      <c r="F487" s="6" t="n"/>
      <c r="G487" s="7" t="n"/>
      <c r="H487" s="7" t="n"/>
      <c r="I487" s="7" t="n"/>
      <c r="J487" s="5" t="n"/>
      <c r="K487" s="5" t="n"/>
      <c r="L487" s="5" t="n"/>
      <c r="M487" s="8" t="n"/>
      <c r="N487" s="6" t="n"/>
      <c r="O487" s="9" t="n"/>
    </row>
    <row r="488">
      <c r="A488" s="5" t="n"/>
      <c r="B488" s="5" t="n"/>
      <c r="C488" s="5" t="n"/>
      <c r="D488" s="5" t="n"/>
      <c r="E488" s="5" t="n"/>
      <c r="F488" s="6" t="n"/>
      <c r="G488" s="7" t="n"/>
      <c r="H488" s="7" t="n"/>
      <c r="I488" s="7" t="n"/>
      <c r="J488" s="5" t="n"/>
      <c r="K488" s="5" t="n"/>
      <c r="L488" s="5" t="n"/>
      <c r="M488" s="8" t="n"/>
      <c r="N488" s="6" t="n"/>
      <c r="O488" s="9" t="n"/>
    </row>
    <row r="489">
      <c r="A489" s="5" t="n"/>
      <c r="B489" s="5" t="n"/>
      <c r="C489" s="5" t="n"/>
      <c r="D489" s="5" t="n"/>
      <c r="E489" s="5" t="n"/>
      <c r="F489" s="6" t="n"/>
      <c r="G489" s="7" t="n"/>
      <c r="H489" s="7" t="n"/>
      <c r="I489" s="7" t="n"/>
      <c r="J489" s="5" t="n"/>
      <c r="K489" s="5" t="n"/>
      <c r="L489" s="5" t="n"/>
      <c r="M489" s="8" t="n"/>
      <c r="N489" s="6" t="n"/>
      <c r="O489" s="9" t="n"/>
    </row>
    <row r="490">
      <c r="A490" s="5" t="n"/>
      <c r="B490" s="5" t="n"/>
      <c r="C490" s="5" t="n"/>
      <c r="D490" s="5" t="n"/>
      <c r="E490" s="5" t="n"/>
      <c r="F490" s="6" t="n"/>
      <c r="G490" s="7" t="n"/>
      <c r="H490" s="7" t="n"/>
      <c r="I490" s="7" t="n"/>
      <c r="J490" s="5" t="n"/>
      <c r="K490" s="5" t="n"/>
      <c r="L490" s="5" t="n"/>
      <c r="M490" s="8" t="n"/>
      <c r="N490" s="6" t="n"/>
      <c r="O490" s="9" t="n"/>
    </row>
    <row r="491">
      <c r="A491" s="5" t="n"/>
      <c r="B491" s="5" t="n"/>
      <c r="C491" s="5" t="n"/>
      <c r="D491" s="5" t="n"/>
      <c r="E491" s="5" t="n"/>
      <c r="F491" s="6" t="n"/>
      <c r="G491" s="7" t="n"/>
      <c r="H491" s="7" t="n"/>
      <c r="I491" s="7" t="n"/>
      <c r="J491" s="5" t="n"/>
      <c r="K491" s="5" t="n"/>
      <c r="L491" s="5" t="n"/>
      <c r="M491" s="8" t="n"/>
      <c r="N491" s="6" t="n"/>
      <c r="O491" s="9" t="n"/>
    </row>
    <row r="492">
      <c r="A492" s="5" t="n"/>
      <c r="B492" s="5" t="n"/>
      <c r="C492" s="5" t="n"/>
      <c r="D492" s="5" t="n"/>
      <c r="E492" s="5" t="n"/>
      <c r="F492" s="6" t="n"/>
      <c r="G492" s="7" t="n"/>
      <c r="H492" s="7" t="n"/>
      <c r="I492" s="7" t="n"/>
      <c r="J492" s="5" t="n"/>
      <c r="K492" s="5" t="n"/>
      <c r="L492" s="5" t="n"/>
      <c r="M492" s="8" t="n"/>
      <c r="N492" s="6" t="n"/>
      <c r="O492" s="9" t="n"/>
    </row>
    <row r="493">
      <c r="A493" s="5" t="n"/>
      <c r="B493" s="5" t="n"/>
      <c r="C493" s="5" t="n"/>
      <c r="D493" s="5" t="n"/>
      <c r="E493" s="5" t="n"/>
      <c r="F493" s="6" t="n"/>
      <c r="G493" s="7" t="n"/>
      <c r="H493" s="7" t="n"/>
      <c r="I493" s="7" t="n"/>
      <c r="J493" s="5" t="n"/>
      <c r="K493" s="5" t="n"/>
      <c r="L493" s="5" t="n"/>
      <c r="M493" s="8" t="n"/>
      <c r="N493" s="6" t="n"/>
      <c r="O493" s="9" t="n"/>
    </row>
    <row r="494">
      <c r="A494" s="5" t="n"/>
      <c r="B494" s="5" t="n"/>
      <c r="C494" s="5" t="n"/>
      <c r="D494" s="5" t="n"/>
      <c r="E494" s="5" t="n"/>
      <c r="F494" s="6" t="n"/>
      <c r="G494" s="7" t="n"/>
      <c r="H494" s="7" t="n"/>
      <c r="I494" s="7" t="n"/>
      <c r="J494" s="5" t="n"/>
      <c r="K494" s="5" t="n"/>
      <c r="L494" s="5" t="n"/>
      <c r="M494" s="8" t="n"/>
      <c r="N494" s="6" t="n"/>
      <c r="O494" s="9" t="n"/>
    </row>
    <row r="495">
      <c r="A495" s="5" t="n"/>
      <c r="B495" s="5" t="n"/>
      <c r="C495" s="5" t="n"/>
      <c r="D495" s="5" t="n"/>
      <c r="E495" s="5" t="n"/>
      <c r="F495" s="6" t="n"/>
      <c r="G495" s="7" t="n"/>
      <c r="H495" s="7" t="n"/>
      <c r="I495" s="7" t="n"/>
      <c r="J495" s="5" t="n"/>
      <c r="K495" s="5" t="n"/>
      <c r="L495" s="5" t="n"/>
      <c r="M495" s="8" t="n"/>
      <c r="N495" s="6" t="n"/>
      <c r="O495" s="9" t="n"/>
    </row>
    <row r="496">
      <c r="A496" s="5" t="n"/>
      <c r="B496" s="5" t="n"/>
      <c r="C496" s="5" t="n"/>
      <c r="D496" s="5" t="n"/>
      <c r="E496" s="5" t="n"/>
      <c r="F496" s="6" t="n"/>
      <c r="G496" s="7" t="n"/>
      <c r="H496" s="7" t="n"/>
      <c r="I496" s="7" t="n"/>
      <c r="J496" s="5" t="n"/>
      <c r="K496" s="5" t="n"/>
      <c r="L496" s="5" t="n"/>
      <c r="M496" s="8" t="n"/>
      <c r="N496" s="6" t="n"/>
      <c r="O496" s="9" t="n"/>
    </row>
    <row r="497">
      <c r="A497" s="5" t="n"/>
      <c r="B497" s="5" t="n"/>
      <c r="C497" s="5" t="n"/>
      <c r="D497" s="5" t="n"/>
      <c r="E497" s="5" t="n"/>
      <c r="F497" s="6" t="n"/>
      <c r="G497" s="7" t="n"/>
      <c r="H497" s="7" t="n"/>
      <c r="I497" s="7" t="n"/>
      <c r="J497" s="5" t="n"/>
      <c r="K497" s="5" t="n"/>
      <c r="L497" s="5" t="n"/>
      <c r="M497" s="8" t="n"/>
      <c r="N497" s="6" t="n"/>
      <c r="O497" s="9" t="n"/>
    </row>
    <row r="498">
      <c r="A498" s="5" t="n"/>
      <c r="B498" s="5" t="n"/>
      <c r="C498" s="5" t="n"/>
      <c r="D498" s="5" t="n"/>
      <c r="E498" s="5" t="n"/>
      <c r="F498" s="6" t="n"/>
      <c r="G498" s="7" t="n"/>
      <c r="H498" s="7" t="n"/>
      <c r="I498" s="7" t="n"/>
      <c r="J498" s="5" t="n"/>
      <c r="K498" s="5" t="n"/>
      <c r="L498" s="5" t="n"/>
      <c r="M498" s="8" t="n"/>
      <c r="N498" s="6" t="n"/>
      <c r="O498" s="9" t="n"/>
    </row>
    <row r="499">
      <c r="A499" s="5" t="n"/>
      <c r="B499" s="5" t="n"/>
      <c r="C499" s="5" t="n"/>
      <c r="D499" s="5" t="n"/>
      <c r="E499" s="5" t="n"/>
      <c r="F499" s="6" t="n"/>
      <c r="G499" s="7" t="n"/>
      <c r="H499" s="7" t="n"/>
      <c r="I499" s="7" t="n"/>
      <c r="J499" s="5" t="n"/>
      <c r="K499" s="5" t="n"/>
      <c r="L499" s="5" t="n"/>
      <c r="M499" s="8" t="n"/>
      <c r="N499" s="6" t="n"/>
      <c r="O499" s="9" t="n"/>
    </row>
    <row r="500">
      <c r="A500" s="5" t="n"/>
      <c r="B500" s="5" t="n"/>
      <c r="C500" s="5" t="n"/>
      <c r="D500" s="5" t="n"/>
      <c r="E500" s="5" t="n"/>
      <c r="F500" s="6" t="n"/>
      <c r="G500" s="7" t="n"/>
      <c r="H500" s="7" t="n"/>
      <c r="I500" s="7" t="n"/>
      <c r="J500" s="5" t="n"/>
      <c r="K500" s="5" t="n"/>
      <c r="L500" s="5" t="n"/>
      <c r="M500" s="8" t="n"/>
      <c r="N500" s="6" t="n"/>
      <c r="O500" s="9" t="n"/>
    </row>
    <row r="501">
      <c r="A501" s="5" t="n"/>
      <c r="B501" s="5" t="n"/>
      <c r="C501" s="5" t="n"/>
      <c r="D501" s="5" t="n"/>
      <c r="E501" s="5" t="n"/>
      <c r="F501" s="6" t="n"/>
      <c r="G501" s="7" t="n"/>
      <c r="H501" s="7" t="n"/>
      <c r="I501" s="7" t="n"/>
      <c r="J501" s="5" t="n"/>
      <c r="K501" s="5" t="n"/>
      <c r="L501" s="5" t="n"/>
      <c r="M501" s="8" t="n"/>
      <c r="N501" s="6" t="n"/>
      <c r="O501" s="9" t="n"/>
    </row>
    <row r="502">
      <c r="A502" s="5" t="n"/>
      <c r="B502" s="5" t="n"/>
      <c r="C502" s="5" t="n"/>
      <c r="D502" s="5" t="n"/>
      <c r="E502" s="5" t="n"/>
      <c r="F502" s="6" t="n"/>
      <c r="G502" s="7" t="n"/>
      <c r="H502" s="7" t="n"/>
      <c r="I502" s="7" t="n"/>
      <c r="J502" s="5" t="n"/>
      <c r="K502" s="5" t="n"/>
      <c r="L502" s="5" t="n"/>
      <c r="M502" s="8" t="n"/>
      <c r="N502" s="6" t="n"/>
      <c r="O502" s="9" t="n"/>
    </row>
    <row r="503">
      <c r="A503" s="5" t="n"/>
      <c r="B503" s="5" t="n"/>
      <c r="C503" s="5" t="n"/>
      <c r="D503" s="5" t="n"/>
      <c r="E503" s="5" t="n"/>
      <c r="F503" s="6" t="n"/>
      <c r="G503" s="7" t="n"/>
      <c r="H503" s="7" t="n"/>
      <c r="I503" s="7" t="n"/>
      <c r="J503" s="5" t="n"/>
      <c r="K503" s="5" t="n"/>
      <c r="L503" s="5" t="n"/>
      <c r="M503" s="8" t="n"/>
      <c r="N503" s="6" t="n"/>
      <c r="O503" s="9" t="n"/>
    </row>
  </sheetData>
  <autoFilter ref="A3:O503"/>
  <mergeCells count="1">
    <mergeCell ref="A2:I2"/>
  </mergeCells>
  <conditionalFormatting sqref="M4:N503">
    <cfRule type="expression" priority="1" dxfId="0">
      <formula>AND($B4&lt;&gt;"",M4="")</formula>
    </cfRule>
  </conditionalFormatting>
  <conditionalFormatting sqref="N4:N503">
    <cfRule type="expression" priority="2" dxfId="1">
      <formula>AND(ISNUMBER($N4),ISNUMBER($F4),$N4&gt;$F4)</formula>
    </cfRule>
  </conditionalFormatting>
  <conditionalFormatting sqref="O4:O503">
    <cfRule type="dataBar" priority="3">
      <dataBar showValue="1">
        <cfvo type="num" val="0"/>
        <cfvo type="num" val="1"/>
        <color rgb="0086B6EF"/>
      </dataBar>
    </cfRule>
  </conditionalFormatting>
  <conditionalFormatting sqref="K4:L503">
    <cfRule type="expression" priority="4" dxfId="2" stopIfTrue="1">
      <formula>AND(TRIM($K4)&lt;&gt;"",TRIM($L4)&lt;&gt;"")</formula>
    </cfRule>
    <cfRule type="expression" priority="5" dxfId="1">
      <formula>AND(TRIM($B4)&lt;&gt;"",TRIM($K4)="",TRIM($L4)="")</formula>
    </cfRule>
  </conditionalFormatting>
  <dataValidations count="10">
    <dataValidation sqref="A4:A503" showDropDown="0" showInputMessage="0" showErrorMessage="1" allowBlank="1" errorTitle="Valeur hors liste" error="Cette valeur n'est pas dans la liste de l'onglet Data. Continuer quand même ?" type="list" errorStyle="warning">
      <formula1>lst_ChefsProjet</formula1>
    </dataValidation>
    <dataValidation sqref="B4:B503" showDropDown="0" showInputMessage="0" showErrorMessage="1" allowBlank="1" errorTitle="Valeur hors liste" error="Cette valeur n'est pas dans la liste de l'onglet Data. Continuer quand même ?" type="list" errorStyle="warning">
      <formula1>lst_Projets</formula1>
    </dataValidation>
    <dataValidation sqref="E4:E503" showDropDown="0" showInputMessage="0" showErrorMessage="1" allowBlank="1" errorTitle="Valeur hors liste" error="Cette valeur n'est pas dans la liste de l'onglet Data. Continuer quand même ?" type="list" errorStyle="warning">
      <formula1>lst_Types</formula1>
    </dataValidation>
    <dataValidation sqref="J4:J503" showDropDown="0" showInputMessage="0" showErrorMessage="1" allowBlank="1" errorTitle="Valeur hors liste" error="Cette valeur n'est pas dans la liste de l'onglet Data. Continuer quand même ?" type="list" errorStyle="warning">
      <formula1>lst_Coordinateurs</formula1>
    </dataValidation>
    <dataValidation sqref="K4:K503" showDropDown="0" showInputMessage="1" showErrorMessage="1" allowBlank="1" errorTitle="Valeur hors liste" error="Cette valeur n'est pas dans la liste de l'onglet Data. Continuer quand même ?" promptTitle="Dessinateur interne" prompt="Une seule ressource par ligne : remplir K OU L, pas les deux. Pour une 2e personne, recopier la ligne et changer la ressource et les heures." type="list" errorStyle="warning">
      <formula1>lst_Dessinateurs</formula1>
    </dataValidation>
    <dataValidation sqref="L4:L503" showDropDown="0" showInputMessage="1" showErrorMessage="1" allowBlank="1" errorTitle="Valeur hors liste" error="Cette valeur n'est pas dans la liste de l'onglet Data. Continuer quand même ?" promptTitle="Ressource externe" prompt="À remplir seulement si la ligne n'a pas de dessinateur interne (K vide)." type="list" errorStyle="warning">
      <formula1>lst_Prestataires</formula1>
    </dataValidation>
    <dataValidation sqref="F4:F503" showDropDown="0" showInputMessage="0" showErrorMessage="1" allowBlank="1" errorTitle="Date attendue" error="Saisir une date (jj/mm/aaaa)." type="date" operator="greaterThan">
      <formula1>36526</formula1>
    </dataValidation>
    <dataValidation sqref="N4:N503" showDropDown="0" showInputMessage="0" showErrorMessage="1" allowBlank="1" errorTitle="Date attendue" error="Saisir une date (jj/mm/aaaa)." type="date" operator="greaterThan">
      <formula1>36526</formula1>
    </dataValidation>
    <dataValidation sqref="M4:M503" showDropDown="0" showInputMessage="1" showErrorMessage="1" allowBlank="1" errorTitle="Nombre d'heures" error="Saisir un nombre d'heures positif." promptTitle="Heures de cette ressource" prompt="Heures de la personne de cette ligne seulement (pas le total du sous-projet)." type="decimal" operator="greaterThanOrEqual">
      <formula1>0</formula1>
    </dataValidation>
    <dataValidation sqref="O4:O503" showDropDown="0" showInputMessage="0" showErrorMessage="1" allowBlank="1" errorTitle="Taux d'avancement" error="Saisir un pourcentage entre 0 % et 100 %." type="decimal" operator="between">
      <formula1>0</formula1>
      <formula2>1</formula2>
    </dataValidation>
  </dataValidations>
  <pageMargins left="0.75" right="0.75" top="1" bottom="1" header="0.5" footer="0.5"/>
</worksheet>
</file>

<file path=xl/worksheets/sheet2.xml><?xml version="1.0" encoding="utf-8"?>
<worksheet xmlns="http://schemas.openxmlformats.org/spreadsheetml/2006/main">
  <sheetPr>
    <tabColor rgb="006B7280"/>
    <outlinePr summaryBelow="1" summaryRight="1"/>
    <pageSetUpPr/>
  </sheetPr>
  <dimension ref="A1:K203"/>
  <sheetViews>
    <sheetView tabSelected="0" workbookViewId="0">
      <pane ySplit="3" topLeftCell="A4"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17" customWidth="1" min="6" max="6"/>
    <col width="17" customWidth="1" min="7" max="7"/>
    <col width="30" customWidth="1" min="8" max="8"/>
    <col width="17" customWidth="1" min="9" max="9"/>
    <col width="17" customWidth="1" min="10" max="10"/>
    <col width="22" customWidth="1" min="11" max="11"/>
  </cols>
  <sheetData>
    <row r="1">
      <c r="A1" s="1" t="inlineStr">
        <is>
          <t>LISTES DE RÉFÉRENCE</t>
        </is>
      </c>
    </row>
    <row r="2" ht="26" customHeight="1">
      <c r="A2" s="2" t="inlineStr">
        <is>
          <t>Saisir une valeur par cellule, sans ligne vide, sous chaque en-tête : les listes déroulantes de l'onglet Charge se mettent à jour automatiquement (200 valeurs max par liste). Colonnes F-G et I-J : capacité et charge fixe propres à un dessinateur ou à une ressource externe (vide = valeurs par défaut réglées en haut du Dashboard). Colonne K (facultative) : jours non travaillés communs à tout le bureau (fériés, fermeture), retirés du lissage comme les week-ends. Les valeurs ci-dessous sont des exemples à remplacer.</t>
        </is>
      </c>
    </row>
    <row r="3" ht="42" customHeight="1">
      <c r="A3" s="10" t="inlineStr">
        <is>
          <t>Chefs de projet</t>
        </is>
      </c>
      <c r="B3" s="10" t="inlineStr">
        <is>
          <t>Noms de projet</t>
        </is>
      </c>
      <c r="C3" s="10" t="inlineStr">
        <is>
          <t>Types</t>
        </is>
      </c>
      <c r="D3" s="10" t="inlineStr">
        <is>
          <t>Coordinateurs</t>
        </is>
      </c>
      <c r="E3" s="10" t="inlineStr">
        <is>
          <t>Dessinateurs projeteurs</t>
        </is>
      </c>
      <c r="F3" s="11" t="inlineStr">
        <is>
          <t>Capacité mensuelle (h)
vide = défaut</t>
        </is>
      </c>
      <c r="G3" s="11" t="inlineStr">
        <is>
          <t>Charge fixe hors projet (h/mois)
vide = défaut</t>
        </is>
      </c>
      <c r="H3" s="10" t="inlineStr">
        <is>
          <t>Ressources externes (personnes)</t>
        </is>
      </c>
      <c r="I3" s="11" t="inlineStr">
        <is>
          <t>Capacité mensuelle (h)
vide = défaut</t>
        </is>
      </c>
      <c r="J3" s="11" t="inlineStr">
        <is>
          <t>Charge fixe hors projet (h/mois)
vide = défaut</t>
        </is>
      </c>
      <c r="K3" s="12" t="inlineStr">
        <is>
          <t>Jours non travaillés
(fériés, fermetures)
facultatif</t>
        </is>
      </c>
    </row>
    <row r="4">
      <c r="A4" s="13" t="inlineStr">
        <is>
          <t>Julie Martin</t>
        </is>
      </c>
      <c r="B4" s="13" t="inlineStr">
        <is>
          <t>ATLAS</t>
        </is>
      </c>
      <c r="C4" s="13" t="inlineStr">
        <is>
          <t>Étude de conception</t>
        </is>
      </c>
      <c r="D4" s="13" t="inlineStr">
        <is>
          <t>Marc Dubois</t>
        </is>
      </c>
      <c r="E4" s="13" t="inlineStr">
        <is>
          <t>Lucas Garnier</t>
        </is>
      </c>
      <c r="F4" s="14" t="n"/>
      <c r="G4" s="14" t="n"/>
      <c r="H4" s="13" t="inlineStr">
        <is>
          <t>Paul Girard</t>
        </is>
      </c>
      <c r="I4" s="14" t="n"/>
      <c r="J4" s="14" t="n"/>
      <c r="K4" s="15" t="n"/>
    </row>
    <row r="5">
      <c r="A5" s="13" t="inlineStr">
        <is>
          <t>Thomas Bernard</t>
        </is>
      </c>
      <c r="B5" s="13" t="inlineStr">
        <is>
          <t>BORÉAL</t>
        </is>
      </c>
      <c r="C5" s="13" t="inlineStr">
        <is>
          <t>Modification</t>
        </is>
      </c>
      <c r="D5" s="13" t="inlineStr">
        <is>
          <t>Isabelle Roux</t>
        </is>
      </c>
      <c r="E5" s="13" t="inlineStr">
        <is>
          <t>Emma Faure</t>
        </is>
      </c>
      <c r="F5" s="14" t="n"/>
      <c r="G5" s="14" t="n"/>
      <c r="H5" s="13" t="inlineStr">
        <is>
          <t>Inès Morel</t>
        </is>
      </c>
      <c r="I5" s="14" t="n"/>
      <c r="J5" s="14" t="n"/>
      <c r="K5" s="15" t="n"/>
    </row>
    <row r="6">
      <c r="A6" s="13" t="inlineStr">
        <is>
          <t>Sophie Lefèvre</t>
        </is>
      </c>
      <c r="B6" s="13" t="inlineStr">
        <is>
          <t>CASSIOPÉE</t>
        </is>
      </c>
      <c r="C6" s="13" t="inlineStr">
        <is>
          <t>Mise à jour de plans</t>
        </is>
      </c>
      <c r="D6" s="13" t="n"/>
      <c r="E6" s="13" t="inlineStr">
        <is>
          <t>Hugo Mercier</t>
        </is>
      </c>
      <c r="F6" s="14" t="n"/>
      <c r="G6" s="14" t="n"/>
      <c r="H6" s="13" t="inlineStr">
        <is>
          <t>Karim Haddad</t>
        </is>
      </c>
      <c r="I6" s="14" t="n"/>
      <c r="J6" s="14" t="n"/>
      <c r="K6" s="15" t="n"/>
    </row>
    <row r="7">
      <c r="A7" s="13" t="inlineStr">
        <is>
          <t>Nicolas Moreau</t>
        </is>
      </c>
      <c r="B7" s="13" t="inlineStr">
        <is>
          <t>DELTA</t>
        </is>
      </c>
      <c r="C7" s="13" t="inlineStr">
        <is>
          <t>Industrialisation</t>
        </is>
      </c>
      <c r="D7" s="13" t="n"/>
      <c r="E7" s="13" t="inlineStr">
        <is>
          <t>Léa Chevalier</t>
        </is>
      </c>
      <c r="F7" s="14" t="n">
        <v>96</v>
      </c>
      <c r="G7" s="14" t="n"/>
      <c r="H7" s="13" t="n"/>
      <c r="I7" s="14" t="n"/>
      <c r="J7" s="14" t="n"/>
      <c r="K7" s="15" t="n"/>
    </row>
    <row r="8">
      <c r="A8" s="13" t="inlineStr">
        <is>
          <t>Camille Laurent</t>
        </is>
      </c>
      <c r="B8" s="13" t="inlineStr">
        <is>
          <t>ORION</t>
        </is>
      </c>
      <c r="C8" s="13" t="inlineStr">
        <is>
          <t>Chiffrage / avant-projet</t>
        </is>
      </c>
      <c r="D8" s="13" t="n"/>
      <c r="E8" s="13" t="inlineStr">
        <is>
          <t>Antoine Blanc</t>
        </is>
      </c>
      <c r="F8" s="14" t="n"/>
      <c r="G8" s="14" t="n"/>
      <c r="H8" s="13" t="n"/>
      <c r="I8" s="14" t="n"/>
      <c r="J8" s="14" t="n"/>
      <c r="K8" s="15" t="n"/>
    </row>
    <row r="9">
      <c r="A9" s="13" t="n"/>
      <c r="B9" s="13" t="inlineStr">
        <is>
          <t>PÉGASE</t>
        </is>
      </c>
      <c r="C9" s="13" t="n"/>
      <c r="D9" s="13" t="n"/>
      <c r="E9" s="13" t="n"/>
      <c r="F9" s="14" t="n"/>
      <c r="G9" s="14" t="n"/>
      <c r="H9" s="13" t="n"/>
      <c r="I9" s="14" t="n"/>
      <c r="J9" s="14" t="n"/>
      <c r="K9" s="15" t="n"/>
    </row>
    <row r="10">
      <c r="A10" s="13" t="n"/>
      <c r="B10" s="13" t="inlineStr">
        <is>
          <t>VEGA</t>
        </is>
      </c>
      <c r="C10" s="13" t="n"/>
      <c r="D10" s="13" t="n"/>
      <c r="E10" s="13" t="n"/>
      <c r="F10" s="14" t="n"/>
      <c r="G10" s="14" t="n"/>
      <c r="H10" s="13" t="n"/>
      <c r="I10" s="14" t="n"/>
      <c r="J10" s="14" t="n"/>
      <c r="K10" s="15" t="n"/>
    </row>
    <row r="11">
      <c r="A11" s="13" t="n"/>
      <c r="B11" s="13" t="inlineStr">
        <is>
          <t>TITAN</t>
        </is>
      </c>
      <c r="C11" s="13" t="n"/>
      <c r="D11" s="13" t="n"/>
      <c r="E11" s="13" t="n"/>
      <c r="F11" s="14" t="n"/>
      <c r="G11" s="14" t="n"/>
      <c r="H11" s="13" t="n"/>
      <c r="I11" s="14" t="n"/>
      <c r="J11" s="14" t="n"/>
      <c r="K11" s="15" t="n"/>
    </row>
    <row r="12">
      <c r="A12" s="13" t="n"/>
      <c r="B12" s="13" t="n"/>
      <c r="C12" s="13" t="n"/>
      <c r="D12" s="13" t="n"/>
      <c r="E12" s="13" t="n"/>
      <c r="F12" s="14" t="n"/>
      <c r="G12" s="14" t="n"/>
      <c r="H12" s="13" t="n"/>
      <c r="I12" s="14" t="n"/>
      <c r="J12" s="14" t="n"/>
      <c r="K12" s="15" t="n"/>
    </row>
    <row r="13">
      <c r="A13" s="13" t="n"/>
      <c r="B13" s="13" t="n"/>
      <c r="C13" s="13" t="n"/>
      <c r="D13" s="13" t="n"/>
      <c r="E13" s="13" t="n"/>
      <c r="F13" s="14" t="n"/>
      <c r="G13" s="14" t="n"/>
      <c r="H13" s="13" t="n"/>
      <c r="I13" s="14" t="n"/>
      <c r="J13" s="14" t="n"/>
      <c r="K13" s="15" t="n"/>
    </row>
    <row r="14">
      <c r="A14" s="13" t="n"/>
      <c r="B14" s="13" t="n"/>
      <c r="C14" s="13" t="n"/>
      <c r="D14" s="13" t="n"/>
      <c r="E14" s="13" t="n"/>
      <c r="F14" s="14" t="n"/>
      <c r="G14" s="14" t="n"/>
      <c r="H14" s="13" t="n"/>
      <c r="I14" s="14" t="n"/>
      <c r="J14" s="14" t="n"/>
      <c r="K14" s="15" t="n"/>
    </row>
    <row r="15">
      <c r="A15" s="13" t="n"/>
      <c r="B15" s="13" t="n"/>
      <c r="C15" s="13" t="n"/>
      <c r="D15" s="13" t="n"/>
      <c r="E15" s="13" t="n"/>
      <c r="F15" s="14" t="n"/>
      <c r="G15" s="14" t="n"/>
      <c r="H15" s="13" t="n"/>
      <c r="I15" s="14" t="n"/>
      <c r="J15" s="14" t="n"/>
      <c r="K15" s="15" t="n"/>
    </row>
    <row r="16">
      <c r="A16" s="13" t="n"/>
      <c r="B16" s="13" t="n"/>
      <c r="C16" s="13" t="n"/>
      <c r="D16" s="13" t="n"/>
      <c r="E16" s="13" t="n"/>
      <c r="F16" s="14" t="n"/>
      <c r="G16" s="14" t="n"/>
      <c r="H16" s="13" t="n"/>
      <c r="I16" s="14" t="n"/>
      <c r="J16" s="14" t="n"/>
      <c r="K16" s="15" t="n"/>
    </row>
    <row r="17">
      <c r="A17" s="13" t="n"/>
      <c r="B17" s="13" t="n"/>
      <c r="C17" s="13" t="n"/>
      <c r="D17" s="13" t="n"/>
      <c r="E17" s="13" t="n"/>
      <c r="F17" s="14" t="n"/>
      <c r="G17" s="14" t="n"/>
      <c r="H17" s="13" t="n"/>
      <c r="I17" s="14" t="n"/>
      <c r="J17" s="14" t="n"/>
      <c r="K17" s="15" t="n"/>
    </row>
    <row r="18">
      <c r="A18" s="13" t="n"/>
      <c r="B18" s="13" t="n"/>
      <c r="C18" s="13" t="n"/>
      <c r="D18" s="13" t="n"/>
      <c r="E18" s="13" t="n"/>
      <c r="F18" s="14" t="n"/>
      <c r="G18" s="14" t="n"/>
      <c r="H18" s="13" t="n"/>
      <c r="I18" s="14" t="n"/>
      <c r="J18" s="14" t="n"/>
      <c r="K18" s="15" t="n"/>
    </row>
    <row r="19">
      <c r="A19" s="13" t="n"/>
      <c r="B19" s="13" t="n"/>
      <c r="C19" s="13" t="n"/>
      <c r="D19" s="13" t="n"/>
      <c r="E19" s="13" t="n"/>
      <c r="F19" s="14" t="n"/>
      <c r="G19" s="14" t="n"/>
      <c r="H19" s="13" t="n"/>
      <c r="I19" s="14" t="n"/>
      <c r="J19" s="14" t="n"/>
      <c r="K19" s="15" t="n"/>
    </row>
    <row r="20">
      <c r="A20" s="13" t="n"/>
      <c r="B20" s="13" t="n"/>
      <c r="C20" s="13" t="n"/>
      <c r="D20" s="13" t="n"/>
      <c r="E20" s="13" t="n"/>
      <c r="F20" s="14" t="n"/>
      <c r="G20" s="14" t="n"/>
      <c r="H20" s="13" t="n"/>
      <c r="I20" s="14" t="n"/>
      <c r="J20" s="14" t="n"/>
      <c r="K20" s="15" t="n"/>
    </row>
    <row r="21">
      <c r="A21" s="13" t="n"/>
      <c r="B21" s="13" t="n"/>
      <c r="C21" s="13" t="n"/>
      <c r="D21" s="13" t="n"/>
      <c r="E21" s="13" t="n"/>
      <c r="F21" s="14" t="n"/>
      <c r="G21" s="14" t="n"/>
      <c r="H21" s="13" t="n"/>
      <c r="I21" s="14" t="n"/>
      <c r="J21" s="14" t="n"/>
      <c r="K21" s="15" t="n"/>
    </row>
    <row r="22">
      <c r="A22" s="13" t="n"/>
      <c r="B22" s="13" t="n"/>
      <c r="C22" s="13" t="n"/>
      <c r="D22" s="13" t="n"/>
      <c r="E22" s="13" t="n"/>
      <c r="F22" s="14" t="n"/>
      <c r="G22" s="14" t="n"/>
      <c r="H22" s="13" t="n"/>
      <c r="I22" s="14" t="n"/>
      <c r="J22" s="14" t="n"/>
      <c r="K22" s="15" t="n"/>
    </row>
    <row r="23">
      <c r="A23" s="13" t="n"/>
      <c r="B23" s="13" t="n"/>
      <c r="C23" s="13" t="n"/>
      <c r="D23" s="13" t="n"/>
      <c r="E23" s="13" t="n"/>
      <c r="F23" s="14" t="n"/>
      <c r="G23" s="14" t="n"/>
      <c r="H23" s="13" t="n"/>
      <c r="I23" s="14" t="n"/>
      <c r="J23" s="14" t="n"/>
      <c r="K23" s="15" t="n"/>
    </row>
    <row r="24">
      <c r="A24" s="13" t="n"/>
      <c r="B24" s="13" t="n"/>
      <c r="C24" s="13" t="n"/>
      <c r="D24" s="13" t="n"/>
      <c r="E24" s="13" t="n"/>
      <c r="F24" s="14" t="n"/>
      <c r="G24" s="14" t="n"/>
      <c r="H24" s="13" t="n"/>
      <c r="I24" s="14" t="n"/>
      <c r="J24" s="14" t="n"/>
      <c r="K24" s="15" t="n"/>
    </row>
    <row r="25">
      <c r="A25" s="13" t="n"/>
      <c r="B25" s="13" t="n"/>
      <c r="C25" s="13" t="n"/>
      <c r="D25" s="13" t="n"/>
      <c r="E25" s="13" t="n"/>
      <c r="F25" s="14" t="n"/>
      <c r="G25" s="14" t="n"/>
      <c r="H25" s="13" t="n"/>
      <c r="I25" s="14" t="n"/>
      <c r="J25" s="14" t="n"/>
      <c r="K25" s="15" t="n"/>
    </row>
    <row r="26">
      <c r="A26" s="13" t="n"/>
      <c r="B26" s="13" t="n"/>
      <c r="C26" s="13" t="n"/>
      <c r="D26" s="13" t="n"/>
      <c r="E26" s="13" t="n"/>
      <c r="F26" s="14" t="n"/>
      <c r="G26" s="14" t="n"/>
      <c r="H26" s="13" t="n"/>
      <c r="I26" s="14" t="n"/>
      <c r="J26" s="14" t="n"/>
      <c r="K26" s="15" t="n"/>
    </row>
    <row r="27">
      <c r="A27" s="13" t="n"/>
      <c r="B27" s="13" t="n"/>
      <c r="C27" s="13" t="n"/>
      <c r="D27" s="13" t="n"/>
      <c r="E27" s="13" t="n"/>
      <c r="F27" s="14" t="n"/>
      <c r="G27" s="14" t="n"/>
      <c r="H27" s="13" t="n"/>
      <c r="I27" s="14" t="n"/>
      <c r="J27" s="14" t="n"/>
      <c r="K27" s="15" t="n"/>
    </row>
    <row r="28">
      <c r="A28" s="13" t="n"/>
      <c r="B28" s="13" t="n"/>
      <c r="C28" s="13" t="n"/>
      <c r="D28" s="13" t="n"/>
      <c r="E28" s="13" t="n"/>
      <c r="F28" s="14" t="n"/>
      <c r="G28" s="14" t="n"/>
      <c r="H28" s="13" t="n"/>
      <c r="I28" s="14" t="n"/>
      <c r="J28" s="14" t="n"/>
      <c r="K28" s="15" t="n"/>
    </row>
    <row r="29">
      <c r="A29" s="13" t="n"/>
      <c r="B29" s="13" t="n"/>
      <c r="C29" s="13" t="n"/>
      <c r="D29" s="13" t="n"/>
      <c r="E29" s="13" t="n"/>
      <c r="F29" s="14" t="n"/>
      <c r="G29" s="14" t="n"/>
      <c r="H29" s="13" t="n"/>
      <c r="I29" s="14" t="n"/>
      <c r="J29" s="14" t="n"/>
      <c r="K29" s="15" t="n"/>
    </row>
    <row r="30">
      <c r="A30" s="13" t="n"/>
      <c r="B30" s="13" t="n"/>
      <c r="C30" s="13" t="n"/>
      <c r="D30" s="13" t="n"/>
      <c r="E30" s="13" t="n"/>
      <c r="F30" s="14" t="n"/>
      <c r="G30" s="14" t="n"/>
      <c r="H30" s="13" t="n"/>
      <c r="I30" s="14" t="n"/>
      <c r="J30" s="14" t="n"/>
      <c r="K30" s="15" t="n"/>
    </row>
    <row r="31">
      <c r="A31" s="13" t="n"/>
      <c r="B31" s="13" t="n"/>
      <c r="C31" s="13" t="n"/>
      <c r="D31" s="13" t="n"/>
      <c r="E31" s="13" t="n"/>
      <c r="F31" s="14" t="n"/>
      <c r="G31" s="14" t="n"/>
      <c r="H31" s="13" t="n"/>
      <c r="I31" s="14" t="n"/>
      <c r="J31" s="14" t="n"/>
      <c r="K31" s="15" t="n"/>
    </row>
    <row r="32">
      <c r="A32" s="13" t="n"/>
      <c r="B32" s="13" t="n"/>
      <c r="C32" s="13" t="n"/>
      <c r="D32" s="13" t="n"/>
      <c r="E32" s="13" t="n"/>
      <c r="F32" s="14" t="n"/>
      <c r="G32" s="14" t="n"/>
      <c r="H32" s="13" t="n"/>
      <c r="I32" s="14" t="n"/>
      <c r="J32" s="14" t="n"/>
      <c r="K32" s="15" t="n"/>
    </row>
    <row r="33">
      <c r="A33" s="13" t="n"/>
      <c r="B33" s="13" t="n"/>
      <c r="C33" s="13" t="n"/>
      <c r="D33" s="13" t="n"/>
      <c r="E33" s="13" t="n"/>
      <c r="F33" s="14" t="n"/>
      <c r="G33" s="14" t="n"/>
      <c r="H33" s="13" t="n"/>
      <c r="I33" s="14" t="n"/>
      <c r="J33" s="14" t="n"/>
      <c r="K33" s="15" t="n"/>
    </row>
    <row r="34">
      <c r="A34" s="13" t="n"/>
      <c r="B34" s="13" t="n"/>
      <c r="C34" s="13" t="n"/>
      <c r="D34" s="13" t="n"/>
      <c r="E34" s="13" t="n"/>
      <c r="F34" s="14" t="n"/>
      <c r="G34" s="14" t="n"/>
      <c r="H34" s="13" t="n"/>
      <c r="I34" s="14" t="n"/>
      <c r="J34" s="14" t="n"/>
      <c r="K34" s="15" t="n"/>
    </row>
    <row r="35">
      <c r="A35" s="13" t="n"/>
      <c r="B35" s="13" t="n"/>
      <c r="C35" s="13" t="n"/>
      <c r="D35" s="13" t="n"/>
      <c r="E35" s="13" t="n"/>
      <c r="F35" s="14" t="n"/>
      <c r="G35" s="14" t="n"/>
      <c r="H35" s="13" t="n"/>
      <c r="I35" s="14" t="n"/>
      <c r="J35" s="14" t="n"/>
      <c r="K35" s="15" t="n"/>
    </row>
    <row r="36">
      <c r="A36" s="13" t="n"/>
      <c r="B36" s="13" t="n"/>
      <c r="C36" s="13" t="n"/>
      <c r="D36" s="13" t="n"/>
      <c r="E36" s="13" t="n"/>
      <c r="F36" s="14" t="n"/>
      <c r="G36" s="14" t="n"/>
      <c r="H36" s="13" t="n"/>
      <c r="I36" s="14" t="n"/>
      <c r="J36" s="14" t="n"/>
      <c r="K36" s="15" t="n"/>
    </row>
    <row r="37">
      <c r="A37" s="13" t="n"/>
      <c r="B37" s="13" t="n"/>
      <c r="C37" s="13" t="n"/>
      <c r="D37" s="13" t="n"/>
      <c r="E37" s="13" t="n"/>
      <c r="F37" s="14" t="n"/>
      <c r="G37" s="14" t="n"/>
      <c r="H37" s="13" t="n"/>
      <c r="I37" s="14" t="n"/>
      <c r="J37" s="14" t="n"/>
      <c r="K37" s="15" t="n"/>
    </row>
    <row r="38">
      <c r="A38" s="13" t="n"/>
      <c r="B38" s="13" t="n"/>
      <c r="C38" s="13" t="n"/>
      <c r="D38" s="13" t="n"/>
      <c r="E38" s="13" t="n"/>
      <c r="F38" s="14" t="n"/>
      <c r="G38" s="14" t="n"/>
      <c r="H38" s="13" t="n"/>
      <c r="I38" s="14" t="n"/>
      <c r="J38" s="14" t="n"/>
      <c r="K38" s="15" t="n"/>
    </row>
    <row r="39">
      <c r="A39" s="13" t="n"/>
      <c r="B39" s="13" t="n"/>
      <c r="C39" s="13" t="n"/>
      <c r="D39" s="13" t="n"/>
      <c r="E39" s="13" t="n"/>
      <c r="F39" s="14" t="n"/>
      <c r="G39" s="14" t="n"/>
      <c r="H39" s="13" t="n"/>
      <c r="I39" s="14" t="n"/>
      <c r="J39" s="14" t="n"/>
      <c r="K39" s="15" t="n"/>
    </row>
    <row r="40">
      <c r="A40" s="13" t="n"/>
      <c r="B40" s="13" t="n"/>
      <c r="C40" s="13" t="n"/>
      <c r="D40" s="13" t="n"/>
      <c r="E40" s="13" t="n"/>
      <c r="F40" s="14" t="n"/>
      <c r="G40" s="14" t="n"/>
      <c r="H40" s="13" t="n"/>
      <c r="I40" s="14" t="n"/>
      <c r="J40" s="14" t="n"/>
      <c r="K40" s="15" t="n"/>
    </row>
    <row r="41">
      <c r="A41" s="13" t="n"/>
      <c r="B41" s="13" t="n"/>
      <c r="C41" s="13" t="n"/>
      <c r="D41" s="13" t="n"/>
      <c r="E41" s="13" t="n"/>
      <c r="F41" s="14" t="n"/>
      <c r="G41" s="14" t="n"/>
      <c r="H41" s="13" t="n"/>
      <c r="I41" s="14" t="n"/>
      <c r="J41" s="14" t="n"/>
      <c r="K41" s="15" t="n"/>
    </row>
    <row r="42">
      <c r="A42" s="13" t="n"/>
      <c r="B42" s="13" t="n"/>
      <c r="C42" s="13" t="n"/>
      <c r="D42" s="13" t="n"/>
      <c r="E42" s="13" t="n"/>
      <c r="F42" s="14" t="n"/>
      <c r="G42" s="14" t="n"/>
      <c r="H42" s="13" t="n"/>
      <c r="I42" s="14" t="n"/>
      <c r="J42" s="14" t="n"/>
      <c r="K42" s="15" t="n"/>
    </row>
    <row r="43">
      <c r="A43" s="13" t="n"/>
      <c r="B43" s="13" t="n"/>
      <c r="C43" s="13" t="n"/>
      <c r="D43" s="13" t="n"/>
      <c r="E43" s="13" t="n"/>
      <c r="F43" s="14" t="n"/>
      <c r="G43" s="14" t="n"/>
      <c r="H43" s="13" t="n"/>
      <c r="I43" s="14" t="n"/>
      <c r="J43" s="14" t="n"/>
      <c r="K43" s="15" t="n"/>
    </row>
    <row r="44">
      <c r="A44" s="13" t="n"/>
      <c r="B44" s="13" t="n"/>
      <c r="C44" s="13" t="n"/>
      <c r="D44" s="13" t="n"/>
      <c r="E44" s="13" t="n"/>
      <c r="F44" s="14" t="n"/>
      <c r="G44" s="14" t="n"/>
      <c r="H44" s="13" t="n"/>
      <c r="I44" s="14" t="n"/>
      <c r="J44" s="14" t="n"/>
      <c r="K44" s="15" t="n"/>
    </row>
    <row r="45">
      <c r="A45" s="13" t="n"/>
      <c r="B45" s="13" t="n"/>
      <c r="C45" s="13" t="n"/>
      <c r="D45" s="13" t="n"/>
      <c r="E45" s="13" t="n"/>
      <c r="F45" s="14" t="n"/>
      <c r="G45" s="14" t="n"/>
      <c r="H45" s="13" t="n"/>
      <c r="I45" s="14" t="n"/>
      <c r="J45" s="14" t="n"/>
      <c r="K45" s="15" t="n"/>
    </row>
    <row r="46">
      <c r="A46" s="13" t="n"/>
      <c r="B46" s="13" t="n"/>
      <c r="C46" s="13" t="n"/>
      <c r="D46" s="13" t="n"/>
      <c r="E46" s="13" t="n"/>
      <c r="F46" s="14" t="n"/>
      <c r="G46" s="14" t="n"/>
      <c r="H46" s="13" t="n"/>
      <c r="I46" s="14" t="n"/>
      <c r="J46" s="14" t="n"/>
      <c r="K46" s="15" t="n"/>
    </row>
    <row r="47">
      <c r="A47" s="13" t="n"/>
      <c r="B47" s="13" t="n"/>
      <c r="C47" s="13" t="n"/>
      <c r="D47" s="13" t="n"/>
      <c r="E47" s="13" t="n"/>
      <c r="F47" s="14" t="n"/>
      <c r="G47" s="14" t="n"/>
      <c r="H47" s="13" t="n"/>
      <c r="I47" s="14" t="n"/>
      <c r="J47" s="14" t="n"/>
      <c r="K47" s="15" t="n"/>
    </row>
    <row r="48">
      <c r="A48" s="13" t="n"/>
      <c r="B48" s="13" t="n"/>
      <c r="C48" s="13" t="n"/>
      <c r="D48" s="13" t="n"/>
      <c r="E48" s="13" t="n"/>
      <c r="F48" s="14" t="n"/>
      <c r="G48" s="14" t="n"/>
      <c r="H48" s="13" t="n"/>
      <c r="I48" s="14" t="n"/>
      <c r="J48" s="14" t="n"/>
      <c r="K48" s="15" t="n"/>
    </row>
    <row r="49">
      <c r="A49" s="13" t="n"/>
      <c r="B49" s="13" t="n"/>
      <c r="C49" s="13" t="n"/>
      <c r="D49" s="13" t="n"/>
      <c r="E49" s="13" t="n"/>
      <c r="F49" s="14" t="n"/>
      <c r="G49" s="14" t="n"/>
      <c r="H49" s="13" t="n"/>
      <c r="I49" s="14" t="n"/>
      <c r="J49" s="14" t="n"/>
      <c r="K49" s="15" t="n"/>
    </row>
    <row r="50">
      <c r="A50" s="13" t="n"/>
      <c r="B50" s="13" t="n"/>
      <c r="C50" s="13" t="n"/>
      <c r="D50" s="13" t="n"/>
      <c r="E50" s="13" t="n"/>
      <c r="F50" s="14" t="n"/>
      <c r="G50" s="14" t="n"/>
      <c r="H50" s="13" t="n"/>
      <c r="I50" s="14" t="n"/>
      <c r="J50" s="14" t="n"/>
      <c r="K50" s="15" t="n"/>
    </row>
    <row r="51">
      <c r="A51" s="13" t="n"/>
      <c r="B51" s="13" t="n"/>
      <c r="C51" s="13" t="n"/>
      <c r="D51" s="13" t="n"/>
      <c r="E51" s="13" t="n"/>
      <c r="F51" s="14" t="n"/>
      <c r="G51" s="14" t="n"/>
      <c r="H51" s="13" t="n"/>
      <c r="I51" s="14" t="n"/>
      <c r="J51" s="14" t="n"/>
      <c r="K51" s="15" t="n"/>
    </row>
    <row r="52">
      <c r="A52" s="13" t="n"/>
      <c r="B52" s="13" t="n"/>
      <c r="C52" s="13" t="n"/>
      <c r="D52" s="13" t="n"/>
      <c r="E52" s="13" t="n"/>
      <c r="F52" s="14" t="n"/>
      <c r="G52" s="14" t="n"/>
      <c r="H52" s="13" t="n"/>
      <c r="I52" s="14" t="n"/>
      <c r="J52" s="14" t="n"/>
      <c r="K52" s="15" t="n"/>
    </row>
    <row r="53">
      <c r="A53" s="13" t="n"/>
      <c r="B53" s="13" t="n"/>
      <c r="C53" s="13" t="n"/>
      <c r="D53" s="13" t="n"/>
      <c r="E53" s="13" t="n"/>
      <c r="F53" s="14" t="n"/>
      <c r="G53" s="14" t="n"/>
      <c r="H53" s="13" t="n"/>
      <c r="I53" s="14" t="n"/>
      <c r="J53" s="14" t="n"/>
      <c r="K53" s="15" t="n"/>
    </row>
    <row r="54">
      <c r="A54" s="13" t="n"/>
      <c r="B54" s="13" t="n"/>
      <c r="C54" s="13" t="n"/>
      <c r="D54" s="13" t="n"/>
      <c r="E54" s="13" t="n"/>
      <c r="F54" s="14" t="n"/>
      <c r="G54" s="14" t="n"/>
      <c r="H54" s="13" t="n"/>
      <c r="I54" s="14" t="n"/>
      <c r="J54" s="14" t="n"/>
      <c r="K54" s="15" t="n"/>
    </row>
    <row r="55">
      <c r="A55" s="13" t="n"/>
      <c r="B55" s="13" t="n"/>
      <c r="C55" s="13" t="n"/>
      <c r="D55" s="13" t="n"/>
      <c r="E55" s="13" t="n"/>
      <c r="F55" s="14" t="n"/>
      <c r="G55" s="14" t="n"/>
      <c r="H55" s="13" t="n"/>
      <c r="I55" s="14" t="n"/>
      <c r="J55" s="14" t="n"/>
      <c r="K55" s="15" t="n"/>
    </row>
    <row r="56">
      <c r="A56" s="13" t="n"/>
      <c r="B56" s="13" t="n"/>
      <c r="C56" s="13" t="n"/>
      <c r="D56" s="13" t="n"/>
      <c r="E56" s="13" t="n"/>
      <c r="F56" s="14" t="n"/>
      <c r="G56" s="14" t="n"/>
      <c r="H56" s="13" t="n"/>
      <c r="I56" s="14" t="n"/>
      <c r="J56" s="14" t="n"/>
      <c r="K56" s="15" t="n"/>
    </row>
    <row r="57">
      <c r="A57" s="13" t="n"/>
      <c r="B57" s="13" t="n"/>
      <c r="C57" s="13" t="n"/>
      <c r="D57" s="13" t="n"/>
      <c r="E57" s="13" t="n"/>
      <c r="F57" s="14" t="n"/>
      <c r="G57" s="14" t="n"/>
      <c r="H57" s="13" t="n"/>
      <c r="I57" s="14" t="n"/>
      <c r="J57" s="14" t="n"/>
      <c r="K57" s="15" t="n"/>
    </row>
    <row r="58">
      <c r="A58" s="13" t="n"/>
      <c r="B58" s="13" t="n"/>
      <c r="C58" s="13" t="n"/>
      <c r="D58" s="13" t="n"/>
      <c r="E58" s="13" t="n"/>
      <c r="F58" s="14" t="n"/>
      <c r="G58" s="14" t="n"/>
      <c r="H58" s="13" t="n"/>
      <c r="I58" s="14" t="n"/>
      <c r="J58" s="14" t="n"/>
      <c r="K58" s="15" t="n"/>
    </row>
    <row r="59">
      <c r="A59" s="13" t="n"/>
      <c r="B59" s="13" t="n"/>
      <c r="C59" s="13" t="n"/>
      <c r="D59" s="13" t="n"/>
      <c r="E59" s="13" t="n"/>
      <c r="F59" s="14" t="n"/>
      <c r="G59" s="14" t="n"/>
      <c r="H59" s="13" t="n"/>
      <c r="I59" s="14" t="n"/>
      <c r="J59" s="14" t="n"/>
      <c r="K59" s="15" t="n"/>
    </row>
    <row r="60">
      <c r="A60" s="13" t="n"/>
      <c r="B60" s="13" t="n"/>
      <c r="C60" s="13" t="n"/>
      <c r="D60" s="13" t="n"/>
      <c r="E60" s="13" t="n"/>
      <c r="F60" s="14" t="n"/>
      <c r="G60" s="14" t="n"/>
      <c r="H60" s="13" t="n"/>
      <c r="I60" s="14" t="n"/>
      <c r="J60" s="14" t="n"/>
      <c r="K60" s="15" t="n"/>
    </row>
    <row r="61">
      <c r="A61" s="13" t="n"/>
      <c r="B61" s="13" t="n"/>
      <c r="C61" s="13" t="n"/>
      <c r="D61" s="13" t="n"/>
      <c r="E61" s="13" t="n"/>
      <c r="F61" s="14" t="n"/>
      <c r="G61" s="14" t="n"/>
      <c r="H61" s="13" t="n"/>
      <c r="I61" s="14" t="n"/>
      <c r="J61" s="14" t="n"/>
      <c r="K61" s="15" t="n"/>
    </row>
    <row r="62">
      <c r="A62" s="13" t="n"/>
      <c r="B62" s="13" t="n"/>
      <c r="C62" s="13" t="n"/>
      <c r="D62" s="13" t="n"/>
      <c r="E62" s="13" t="n"/>
      <c r="F62" s="14" t="n"/>
      <c r="G62" s="14" t="n"/>
      <c r="H62" s="13" t="n"/>
      <c r="I62" s="14" t="n"/>
      <c r="J62" s="14" t="n"/>
      <c r="K62" s="15" t="n"/>
    </row>
    <row r="63">
      <c r="A63" s="13" t="n"/>
      <c r="B63" s="13" t="n"/>
      <c r="C63" s="13" t="n"/>
      <c r="D63" s="13" t="n"/>
      <c r="E63" s="13" t="n"/>
      <c r="F63" s="14" t="n"/>
      <c r="G63" s="14" t="n"/>
      <c r="H63" s="13" t="n"/>
      <c r="I63" s="14" t="n"/>
      <c r="J63" s="14" t="n"/>
      <c r="K63" s="15" t="n"/>
    </row>
    <row r="64">
      <c r="A64" s="13" t="n"/>
      <c r="B64" s="13" t="n"/>
      <c r="C64" s="13" t="n"/>
      <c r="D64" s="13" t="n"/>
      <c r="E64" s="13" t="n"/>
      <c r="F64" s="14" t="n"/>
      <c r="G64" s="14" t="n"/>
      <c r="H64" s="13" t="n"/>
      <c r="I64" s="14" t="n"/>
      <c r="J64" s="14" t="n"/>
      <c r="K64" s="15" t="n"/>
    </row>
    <row r="65">
      <c r="A65" s="13" t="n"/>
      <c r="B65" s="13" t="n"/>
      <c r="C65" s="13" t="n"/>
      <c r="D65" s="13" t="n"/>
      <c r="E65" s="13" t="n"/>
      <c r="F65" s="14" t="n"/>
      <c r="G65" s="14" t="n"/>
      <c r="H65" s="13" t="n"/>
      <c r="I65" s="14" t="n"/>
      <c r="J65" s="14" t="n"/>
      <c r="K65" s="15" t="n"/>
    </row>
    <row r="66">
      <c r="A66" s="13" t="n"/>
      <c r="B66" s="13" t="n"/>
      <c r="C66" s="13" t="n"/>
      <c r="D66" s="13" t="n"/>
      <c r="E66" s="13" t="n"/>
      <c r="F66" s="14" t="n"/>
      <c r="G66" s="14" t="n"/>
      <c r="H66" s="13" t="n"/>
      <c r="I66" s="14" t="n"/>
      <c r="J66" s="14" t="n"/>
      <c r="K66" s="15" t="n"/>
    </row>
    <row r="67">
      <c r="A67" s="13" t="n"/>
      <c r="B67" s="13" t="n"/>
      <c r="C67" s="13" t="n"/>
      <c r="D67" s="13" t="n"/>
      <c r="E67" s="13" t="n"/>
      <c r="F67" s="14" t="n"/>
      <c r="G67" s="14" t="n"/>
      <c r="H67" s="13" t="n"/>
      <c r="I67" s="14" t="n"/>
      <c r="J67" s="14" t="n"/>
      <c r="K67" s="15" t="n"/>
    </row>
    <row r="68">
      <c r="A68" s="13" t="n"/>
      <c r="B68" s="13" t="n"/>
      <c r="C68" s="13" t="n"/>
      <c r="D68" s="13" t="n"/>
      <c r="E68" s="13" t="n"/>
      <c r="F68" s="14" t="n"/>
      <c r="G68" s="14" t="n"/>
      <c r="H68" s="13" t="n"/>
      <c r="I68" s="14" t="n"/>
      <c r="J68" s="14" t="n"/>
      <c r="K68" s="15" t="n"/>
    </row>
    <row r="69">
      <c r="A69" s="13" t="n"/>
      <c r="B69" s="13" t="n"/>
      <c r="C69" s="13" t="n"/>
      <c r="D69" s="13" t="n"/>
      <c r="E69" s="13" t="n"/>
      <c r="F69" s="14" t="n"/>
      <c r="G69" s="14" t="n"/>
      <c r="H69" s="13" t="n"/>
      <c r="I69" s="14" t="n"/>
      <c r="J69" s="14" t="n"/>
      <c r="K69" s="15" t="n"/>
    </row>
    <row r="70">
      <c r="A70" s="13" t="n"/>
      <c r="B70" s="13" t="n"/>
      <c r="C70" s="13" t="n"/>
      <c r="D70" s="13" t="n"/>
      <c r="E70" s="13" t="n"/>
      <c r="F70" s="14" t="n"/>
      <c r="G70" s="14" t="n"/>
      <c r="H70" s="13" t="n"/>
      <c r="I70" s="14" t="n"/>
      <c r="J70" s="14" t="n"/>
      <c r="K70" s="15" t="n"/>
    </row>
    <row r="71">
      <c r="A71" s="13" t="n"/>
      <c r="B71" s="13" t="n"/>
      <c r="C71" s="13" t="n"/>
      <c r="D71" s="13" t="n"/>
      <c r="E71" s="13" t="n"/>
      <c r="F71" s="14" t="n"/>
      <c r="G71" s="14" t="n"/>
      <c r="H71" s="13" t="n"/>
      <c r="I71" s="14" t="n"/>
      <c r="J71" s="14" t="n"/>
      <c r="K71" s="15" t="n"/>
    </row>
    <row r="72">
      <c r="A72" s="13" t="n"/>
      <c r="B72" s="13" t="n"/>
      <c r="C72" s="13" t="n"/>
      <c r="D72" s="13" t="n"/>
      <c r="E72" s="13" t="n"/>
      <c r="F72" s="14" t="n"/>
      <c r="G72" s="14" t="n"/>
      <c r="H72" s="13" t="n"/>
      <c r="I72" s="14" t="n"/>
      <c r="J72" s="14" t="n"/>
      <c r="K72" s="15" t="n"/>
    </row>
    <row r="73">
      <c r="A73" s="13" t="n"/>
      <c r="B73" s="13" t="n"/>
      <c r="C73" s="13" t="n"/>
      <c r="D73" s="13" t="n"/>
      <c r="E73" s="13" t="n"/>
      <c r="F73" s="14" t="n"/>
      <c r="G73" s="14" t="n"/>
      <c r="H73" s="13" t="n"/>
      <c r="I73" s="14" t="n"/>
      <c r="J73" s="14" t="n"/>
      <c r="K73" s="15" t="n"/>
    </row>
    <row r="74">
      <c r="A74" s="13" t="n"/>
      <c r="B74" s="13" t="n"/>
      <c r="C74" s="13" t="n"/>
      <c r="D74" s="13" t="n"/>
      <c r="E74" s="13" t="n"/>
      <c r="F74" s="14" t="n"/>
      <c r="G74" s="14" t="n"/>
      <c r="H74" s="13" t="n"/>
      <c r="I74" s="14" t="n"/>
      <c r="J74" s="14" t="n"/>
      <c r="K74" s="15" t="n"/>
    </row>
    <row r="75">
      <c r="A75" s="13" t="n"/>
      <c r="B75" s="13" t="n"/>
      <c r="C75" s="13" t="n"/>
      <c r="D75" s="13" t="n"/>
      <c r="E75" s="13" t="n"/>
      <c r="F75" s="14" t="n"/>
      <c r="G75" s="14" t="n"/>
      <c r="H75" s="13" t="n"/>
      <c r="I75" s="14" t="n"/>
      <c r="J75" s="14" t="n"/>
      <c r="K75" s="15" t="n"/>
    </row>
    <row r="76">
      <c r="A76" s="13" t="n"/>
      <c r="B76" s="13" t="n"/>
      <c r="C76" s="13" t="n"/>
      <c r="D76" s="13" t="n"/>
      <c r="E76" s="13" t="n"/>
      <c r="F76" s="14" t="n"/>
      <c r="G76" s="14" t="n"/>
      <c r="H76" s="13" t="n"/>
      <c r="I76" s="14" t="n"/>
      <c r="J76" s="14" t="n"/>
      <c r="K76" s="15" t="n"/>
    </row>
    <row r="77">
      <c r="A77" s="13" t="n"/>
      <c r="B77" s="13" t="n"/>
      <c r="C77" s="13" t="n"/>
      <c r="D77" s="13" t="n"/>
      <c r="E77" s="13" t="n"/>
      <c r="F77" s="14" t="n"/>
      <c r="G77" s="14" t="n"/>
      <c r="H77" s="13" t="n"/>
      <c r="I77" s="14" t="n"/>
      <c r="J77" s="14" t="n"/>
      <c r="K77" s="15" t="n"/>
    </row>
    <row r="78">
      <c r="A78" s="13" t="n"/>
      <c r="B78" s="13" t="n"/>
      <c r="C78" s="13" t="n"/>
      <c r="D78" s="13" t="n"/>
      <c r="E78" s="13" t="n"/>
      <c r="F78" s="14" t="n"/>
      <c r="G78" s="14" t="n"/>
      <c r="H78" s="13" t="n"/>
      <c r="I78" s="14" t="n"/>
      <c r="J78" s="14" t="n"/>
      <c r="K78" s="15" t="n"/>
    </row>
    <row r="79">
      <c r="A79" s="13" t="n"/>
      <c r="B79" s="13" t="n"/>
      <c r="C79" s="13" t="n"/>
      <c r="D79" s="13" t="n"/>
      <c r="E79" s="13" t="n"/>
      <c r="F79" s="14" t="n"/>
      <c r="G79" s="14" t="n"/>
      <c r="H79" s="13" t="n"/>
      <c r="I79" s="14" t="n"/>
      <c r="J79" s="14" t="n"/>
      <c r="K79" s="15" t="n"/>
    </row>
    <row r="80">
      <c r="A80" s="13" t="n"/>
      <c r="B80" s="13" t="n"/>
      <c r="C80" s="13" t="n"/>
      <c r="D80" s="13" t="n"/>
      <c r="E80" s="13" t="n"/>
      <c r="F80" s="14" t="n"/>
      <c r="G80" s="14" t="n"/>
      <c r="H80" s="13" t="n"/>
      <c r="I80" s="14" t="n"/>
      <c r="J80" s="14" t="n"/>
      <c r="K80" s="15" t="n"/>
    </row>
    <row r="81">
      <c r="A81" s="13" t="n"/>
      <c r="B81" s="13" t="n"/>
      <c r="C81" s="13" t="n"/>
      <c r="D81" s="13" t="n"/>
      <c r="E81" s="13" t="n"/>
      <c r="F81" s="14" t="n"/>
      <c r="G81" s="14" t="n"/>
      <c r="H81" s="13" t="n"/>
      <c r="I81" s="14" t="n"/>
      <c r="J81" s="14" t="n"/>
      <c r="K81" s="15" t="n"/>
    </row>
    <row r="82">
      <c r="A82" s="13" t="n"/>
      <c r="B82" s="13" t="n"/>
      <c r="C82" s="13" t="n"/>
      <c r="D82" s="13" t="n"/>
      <c r="E82" s="13" t="n"/>
      <c r="F82" s="14" t="n"/>
      <c r="G82" s="14" t="n"/>
      <c r="H82" s="13" t="n"/>
      <c r="I82" s="14" t="n"/>
      <c r="J82" s="14" t="n"/>
      <c r="K82" s="15" t="n"/>
    </row>
    <row r="83">
      <c r="A83" s="13" t="n"/>
      <c r="B83" s="13" t="n"/>
      <c r="C83" s="13" t="n"/>
      <c r="D83" s="13" t="n"/>
      <c r="E83" s="13" t="n"/>
      <c r="F83" s="14" t="n"/>
      <c r="G83" s="14" t="n"/>
      <c r="H83" s="13" t="n"/>
      <c r="I83" s="14" t="n"/>
      <c r="J83" s="14" t="n"/>
      <c r="K83" s="15" t="n"/>
    </row>
    <row r="84">
      <c r="A84" s="13" t="n"/>
      <c r="B84" s="13" t="n"/>
      <c r="C84" s="13" t="n"/>
      <c r="D84" s="13" t="n"/>
      <c r="E84" s="13" t="n"/>
      <c r="F84" s="14" t="n"/>
      <c r="G84" s="14" t="n"/>
      <c r="H84" s="13" t="n"/>
      <c r="I84" s="14" t="n"/>
      <c r="J84" s="14" t="n"/>
      <c r="K84" s="15" t="n"/>
    </row>
    <row r="85">
      <c r="A85" s="13" t="n"/>
      <c r="B85" s="13" t="n"/>
      <c r="C85" s="13" t="n"/>
      <c r="D85" s="13" t="n"/>
      <c r="E85" s="13" t="n"/>
      <c r="F85" s="14" t="n"/>
      <c r="G85" s="14" t="n"/>
      <c r="H85" s="13" t="n"/>
      <c r="I85" s="14" t="n"/>
      <c r="J85" s="14" t="n"/>
      <c r="K85" s="15" t="n"/>
    </row>
    <row r="86">
      <c r="A86" s="13" t="n"/>
      <c r="B86" s="13" t="n"/>
      <c r="C86" s="13" t="n"/>
      <c r="D86" s="13" t="n"/>
      <c r="E86" s="13" t="n"/>
      <c r="F86" s="14" t="n"/>
      <c r="G86" s="14" t="n"/>
      <c r="H86" s="13" t="n"/>
      <c r="I86" s="14" t="n"/>
      <c r="J86" s="14" t="n"/>
      <c r="K86" s="15" t="n"/>
    </row>
    <row r="87">
      <c r="A87" s="13" t="n"/>
      <c r="B87" s="13" t="n"/>
      <c r="C87" s="13" t="n"/>
      <c r="D87" s="13" t="n"/>
      <c r="E87" s="13" t="n"/>
      <c r="F87" s="14" t="n"/>
      <c r="G87" s="14" t="n"/>
      <c r="H87" s="13" t="n"/>
      <c r="I87" s="14" t="n"/>
      <c r="J87" s="14" t="n"/>
      <c r="K87" s="15" t="n"/>
    </row>
    <row r="88">
      <c r="A88" s="13" t="n"/>
      <c r="B88" s="13" t="n"/>
      <c r="C88" s="13" t="n"/>
      <c r="D88" s="13" t="n"/>
      <c r="E88" s="13" t="n"/>
      <c r="F88" s="14" t="n"/>
      <c r="G88" s="14" t="n"/>
      <c r="H88" s="13" t="n"/>
      <c r="I88" s="14" t="n"/>
      <c r="J88" s="14" t="n"/>
      <c r="K88" s="15" t="n"/>
    </row>
    <row r="89">
      <c r="A89" s="13" t="n"/>
      <c r="B89" s="13" t="n"/>
      <c r="C89" s="13" t="n"/>
      <c r="D89" s="13" t="n"/>
      <c r="E89" s="13" t="n"/>
      <c r="F89" s="14" t="n"/>
      <c r="G89" s="14" t="n"/>
      <c r="H89" s="13" t="n"/>
      <c r="I89" s="14" t="n"/>
      <c r="J89" s="14" t="n"/>
      <c r="K89" s="15" t="n"/>
    </row>
    <row r="90">
      <c r="A90" s="13" t="n"/>
      <c r="B90" s="13" t="n"/>
      <c r="C90" s="13" t="n"/>
      <c r="D90" s="13" t="n"/>
      <c r="E90" s="13" t="n"/>
      <c r="F90" s="14" t="n"/>
      <c r="G90" s="14" t="n"/>
      <c r="H90" s="13" t="n"/>
      <c r="I90" s="14" t="n"/>
      <c r="J90" s="14" t="n"/>
      <c r="K90" s="15" t="n"/>
    </row>
    <row r="91">
      <c r="A91" s="13" t="n"/>
      <c r="B91" s="13" t="n"/>
      <c r="C91" s="13" t="n"/>
      <c r="D91" s="13" t="n"/>
      <c r="E91" s="13" t="n"/>
      <c r="F91" s="14" t="n"/>
      <c r="G91" s="14" t="n"/>
      <c r="H91" s="13" t="n"/>
      <c r="I91" s="14" t="n"/>
      <c r="J91" s="14" t="n"/>
      <c r="K91" s="15" t="n"/>
    </row>
    <row r="92">
      <c r="A92" s="13" t="n"/>
      <c r="B92" s="13" t="n"/>
      <c r="C92" s="13" t="n"/>
      <c r="D92" s="13" t="n"/>
      <c r="E92" s="13" t="n"/>
      <c r="F92" s="14" t="n"/>
      <c r="G92" s="14" t="n"/>
      <c r="H92" s="13" t="n"/>
      <c r="I92" s="14" t="n"/>
      <c r="J92" s="14" t="n"/>
      <c r="K92" s="15" t="n"/>
    </row>
    <row r="93">
      <c r="A93" s="13" t="n"/>
      <c r="B93" s="13" t="n"/>
      <c r="C93" s="13" t="n"/>
      <c r="D93" s="13" t="n"/>
      <c r="E93" s="13" t="n"/>
      <c r="F93" s="14" t="n"/>
      <c r="G93" s="14" t="n"/>
      <c r="H93" s="13" t="n"/>
      <c r="I93" s="14" t="n"/>
      <c r="J93" s="14" t="n"/>
      <c r="K93" s="15" t="n"/>
    </row>
    <row r="94">
      <c r="A94" s="13" t="n"/>
      <c r="B94" s="13" t="n"/>
      <c r="C94" s="13" t="n"/>
      <c r="D94" s="13" t="n"/>
      <c r="E94" s="13" t="n"/>
      <c r="F94" s="14" t="n"/>
      <c r="G94" s="14" t="n"/>
      <c r="H94" s="13" t="n"/>
      <c r="I94" s="14" t="n"/>
      <c r="J94" s="14" t="n"/>
      <c r="K94" s="15" t="n"/>
    </row>
    <row r="95">
      <c r="A95" s="13" t="n"/>
      <c r="B95" s="13" t="n"/>
      <c r="C95" s="13" t="n"/>
      <c r="D95" s="13" t="n"/>
      <c r="E95" s="13" t="n"/>
      <c r="F95" s="14" t="n"/>
      <c r="G95" s="14" t="n"/>
      <c r="H95" s="13" t="n"/>
      <c r="I95" s="14" t="n"/>
      <c r="J95" s="14" t="n"/>
      <c r="K95" s="15" t="n"/>
    </row>
    <row r="96">
      <c r="A96" s="13" t="n"/>
      <c r="B96" s="13" t="n"/>
      <c r="C96" s="13" t="n"/>
      <c r="D96" s="13" t="n"/>
      <c r="E96" s="13" t="n"/>
      <c r="F96" s="14" t="n"/>
      <c r="G96" s="14" t="n"/>
      <c r="H96" s="13" t="n"/>
      <c r="I96" s="14" t="n"/>
      <c r="J96" s="14" t="n"/>
      <c r="K96" s="15" t="n"/>
    </row>
    <row r="97">
      <c r="A97" s="13" t="n"/>
      <c r="B97" s="13" t="n"/>
      <c r="C97" s="13" t="n"/>
      <c r="D97" s="13" t="n"/>
      <c r="E97" s="13" t="n"/>
      <c r="F97" s="14" t="n"/>
      <c r="G97" s="14" t="n"/>
      <c r="H97" s="13" t="n"/>
      <c r="I97" s="14" t="n"/>
      <c r="J97" s="14" t="n"/>
      <c r="K97" s="15" t="n"/>
    </row>
    <row r="98">
      <c r="A98" s="13" t="n"/>
      <c r="B98" s="13" t="n"/>
      <c r="C98" s="13" t="n"/>
      <c r="D98" s="13" t="n"/>
      <c r="E98" s="13" t="n"/>
      <c r="F98" s="14" t="n"/>
      <c r="G98" s="14" t="n"/>
      <c r="H98" s="13" t="n"/>
      <c r="I98" s="14" t="n"/>
      <c r="J98" s="14" t="n"/>
      <c r="K98" s="15" t="n"/>
    </row>
    <row r="99">
      <c r="A99" s="13" t="n"/>
      <c r="B99" s="13" t="n"/>
      <c r="C99" s="13" t="n"/>
      <c r="D99" s="13" t="n"/>
      <c r="E99" s="13" t="n"/>
      <c r="F99" s="14" t="n"/>
      <c r="G99" s="14" t="n"/>
      <c r="H99" s="13" t="n"/>
      <c r="I99" s="14" t="n"/>
      <c r="J99" s="14" t="n"/>
      <c r="K99" s="15" t="n"/>
    </row>
    <row r="100">
      <c r="A100" s="13" t="n"/>
      <c r="B100" s="13" t="n"/>
      <c r="C100" s="13" t="n"/>
      <c r="D100" s="13" t="n"/>
      <c r="E100" s="13" t="n"/>
      <c r="F100" s="14" t="n"/>
      <c r="G100" s="14" t="n"/>
      <c r="H100" s="13" t="n"/>
      <c r="I100" s="14" t="n"/>
      <c r="J100" s="14" t="n"/>
      <c r="K100" s="15" t="n"/>
    </row>
    <row r="101">
      <c r="A101" s="13" t="n"/>
      <c r="B101" s="13" t="n"/>
      <c r="C101" s="13" t="n"/>
      <c r="D101" s="13" t="n"/>
      <c r="E101" s="13" t="n"/>
      <c r="F101" s="14" t="n"/>
      <c r="G101" s="14" t="n"/>
      <c r="H101" s="13" t="n"/>
      <c r="I101" s="14" t="n"/>
      <c r="J101" s="14" t="n"/>
      <c r="K101" s="15" t="n"/>
    </row>
    <row r="102">
      <c r="A102" s="13" t="n"/>
      <c r="B102" s="13" t="n"/>
      <c r="C102" s="13" t="n"/>
      <c r="D102" s="13" t="n"/>
      <c r="E102" s="13" t="n"/>
      <c r="F102" s="14" t="n"/>
      <c r="G102" s="14" t="n"/>
      <c r="H102" s="13" t="n"/>
      <c r="I102" s="14" t="n"/>
      <c r="J102" s="14" t="n"/>
      <c r="K102" s="15" t="n"/>
    </row>
    <row r="103">
      <c r="A103" s="13" t="n"/>
      <c r="B103" s="13" t="n"/>
      <c r="C103" s="13" t="n"/>
      <c r="D103" s="13" t="n"/>
      <c r="E103" s="13" t="n"/>
      <c r="F103" s="14" t="n"/>
      <c r="G103" s="14" t="n"/>
      <c r="H103" s="13" t="n"/>
      <c r="I103" s="14" t="n"/>
      <c r="J103" s="14" t="n"/>
      <c r="K103" s="15" t="n"/>
    </row>
    <row r="104">
      <c r="A104" s="13" t="n"/>
      <c r="B104" s="13" t="n"/>
      <c r="C104" s="13" t="n"/>
      <c r="D104" s="13" t="n"/>
      <c r="E104" s="13" t="n"/>
      <c r="F104" s="14" t="n"/>
      <c r="G104" s="14" t="n"/>
      <c r="H104" s="13" t="n"/>
      <c r="I104" s="14" t="n"/>
      <c r="J104" s="14" t="n"/>
      <c r="K104" s="15" t="n"/>
    </row>
    <row r="105">
      <c r="A105" s="13" t="n"/>
      <c r="B105" s="13" t="n"/>
      <c r="C105" s="13" t="n"/>
      <c r="D105" s="13" t="n"/>
      <c r="E105" s="13" t="n"/>
      <c r="F105" s="14" t="n"/>
      <c r="G105" s="14" t="n"/>
      <c r="H105" s="13" t="n"/>
      <c r="I105" s="14" t="n"/>
      <c r="J105" s="14" t="n"/>
      <c r="K105" s="15" t="n"/>
    </row>
    <row r="106">
      <c r="A106" s="13" t="n"/>
      <c r="B106" s="13" t="n"/>
      <c r="C106" s="13" t="n"/>
      <c r="D106" s="13" t="n"/>
      <c r="E106" s="13" t="n"/>
      <c r="F106" s="14" t="n"/>
      <c r="G106" s="14" t="n"/>
      <c r="H106" s="13" t="n"/>
      <c r="I106" s="14" t="n"/>
      <c r="J106" s="14" t="n"/>
      <c r="K106" s="15" t="n"/>
    </row>
    <row r="107">
      <c r="A107" s="13" t="n"/>
      <c r="B107" s="13" t="n"/>
      <c r="C107" s="13" t="n"/>
      <c r="D107" s="13" t="n"/>
      <c r="E107" s="13" t="n"/>
      <c r="F107" s="14" t="n"/>
      <c r="G107" s="14" t="n"/>
      <c r="H107" s="13" t="n"/>
      <c r="I107" s="14" t="n"/>
      <c r="J107" s="14" t="n"/>
      <c r="K107" s="15" t="n"/>
    </row>
    <row r="108">
      <c r="A108" s="13" t="n"/>
      <c r="B108" s="13" t="n"/>
      <c r="C108" s="13" t="n"/>
      <c r="D108" s="13" t="n"/>
      <c r="E108" s="13" t="n"/>
      <c r="F108" s="14" t="n"/>
      <c r="G108" s="14" t="n"/>
      <c r="H108" s="13" t="n"/>
      <c r="I108" s="14" t="n"/>
      <c r="J108" s="14" t="n"/>
      <c r="K108" s="15" t="n"/>
    </row>
    <row r="109">
      <c r="A109" s="13" t="n"/>
      <c r="B109" s="13" t="n"/>
      <c r="C109" s="13" t="n"/>
      <c r="D109" s="13" t="n"/>
      <c r="E109" s="13" t="n"/>
      <c r="F109" s="14" t="n"/>
      <c r="G109" s="14" t="n"/>
      <c r="H109" s="13" t="n"/>
      <c r="I109" s="14" t="n"/>
      <c r="J109" s="14" t="n"/>
      <c r="K109" s="15" t="n"/>
    </row>
    <row r="110">
      <c r="A110" s="13" t="n"/>
      <c r="B110" s="13" t="n"/>
      <c r="C110" s="13" t="n"/>
      <c r="D110" s="13" t="n"/>
      <c r="E110" s="13" t="n"/>
      <c r="F110" s="14" t="n"/>
      <c r="G110" s="14" t="n"/>
      <c r="H110" s="13" t="n"/>
      <c r="I110" s="14" t="n"/>
      <c r="J110" s="14" t="n"/>
      <c r="K110" s="15" t="n"/>
    </row>
    <row r="111">
      <c r="A111" s="13" t="n"/>
      <c r="B111" s="13" t="n"/>
      <c r="C111" s="13" t="n"/>
      <c r="D111" s="13" t="n"/>
      <c r="E111" s="13" t="n"/>
      <c r="F111" s="14" t="n"/>
      <c r="G111" s="14" t="n"/>
      <c r="H111" s="13" t="n"/>
      <c r="I111" s="14" t="n"/>
      <c r="J111" s="14" t="n"/>
      <c r="K111" s="15" t="n"/>
    </row>
    <row r="112">
      <c r="A112" s="13" t="n"/>
      <c r="B112" s="13" t="n"/>
      <c r="C112" s="13" t="n"/>
      <c r="D112" s="13" t="n"/>
      <c r="E112" s="13" t="n"/>
      <c r="F112" s="14" t="n"/>
      <c r="G112" s="14" t="n"/>
      <c r="H112" s="13" t="n"/>
      <c r="I112" s="14" t="n"/>
      <c r="J112" s="14" t="n"/>
      <c r="K112" s="15" t="n"/>
    </row>
    <row r="113">
      <c r="A113" s="13" t="n"/>
      <c r="B113" s="13" t="n"/>
      <c r="C113" s="13" t="n"/>
      <c r="D113" s="13" t="n"/>
      <c r="E113" s="13" t="n"/>
      <c r="F113" s="14" t="n"/>
      <c r="G113" s="14" t="n"/>
      <c r="H113" s="13" t="n"/>
      <c r="I113" s="14" t="n"/>
      <c r="J113" s="14" t="n"/>
      <c r="K113" s="15" t="n"/>
    </row>
    <row r="114">
      <c r="A114" s="13" t="n"/>
      <c r="B114" s="13" t="n"/>
      <c r="C114" s="13" t="n"/>
      <c r="D114" s="13" t="n"/>
      <c r="E114" s="13" t="n"/>
      <c r="F114" s="14" t="n"/>
      <c r="G114" s="14" t="n"/>
      <c r="H114" s="13" t="n"/>
      <c r="I114" s="14" t="n"/>
      <c r="J114" s="14" t="n"/>
      <c r="K114" s="15" t="n"/>
    </row>
    <row r="115">
      <c r="A115" s="13" t="n"/>
      <c r="B115" s="13" t="n"/>
      <c r="C115" s="13" t="n"/>
      <c r="D115" s="13" t="n"/>
      <c r="E115" s="13" t="n"/>
      <c r="F115" s="14" t="n"/>
      <c r="G115" s="14" t="n"/>
      <c r="H115" s="13" t="n"/>
      <c r="I115" s="14" t="n"/>
      <c r="J115" s="14" t="n"/>
      <c r="K115" s="15" t="n"/>
    </row>
    <row r="116">
      <c r="A116" s="13" t="n"/>
      <c r="B116" s="13" t="n"/>
      <c r="C116" s="13" t="n"/>
      <c r="D116" s="13" t="n"/>
      <c r="E116" s="13" t="n"/>
      <c r="F116" s="14" t="n"/>
      <c r="G116" s="14" t="n"/>
      <c r="H116" s="13" t="n"/>
      <c r="I116" s="14" t="n"/>
      <c r="J116" s="14" t="n"/>
      <c r="K116" s="15" t="n"/>
    </row>
    <row r="117">
      <c r="A117" s="13" t="n"/>
      <c r="B117" s="13" t="n"/>
      <c r="C117" s="13" t="n"/>
      <c r="D117" s="13" t="n"/>
      <c r="E117" s="13" t="n"/>
      <c r="F117" s="14" t="n"/>
      <c r="G117" s="14" t="n"/>
      <c r="H117" s="13" t="n"/>
      <c r="I117" s="14" t="n"/>
      <c r="J117" s="14" t="n"/>
      <c r="K117" s="15" t="n"/>
    </row>
    <row r="118">
      <c r="A118" s="13" t="n"/>
      <c r="B118" s="13" t="n"/>
      <c r="C118" s="13" t="n"/>
      <c r="D118" s="13" t="n"/>
      <c r="E118" s="13" t="n"/>
      <c r="F118" s="14" t="n"/>
      <c r="G118" s="14" t="n"/>
      <c r="H118" s="13" t="n"/>
      <c r="I118" s="14" t="n"/>
      <c r="J118" s="14" t="n"/>
      <c r="K118" s="15" t="n"/>
    </row>
    <row r="119">
      <c r="A119" s="13" t="n"/>
      <c r="B119" s="13" t="n"/>
      <c r="C119" s="13" t="n"/>
      <c r="D119" s="13" t="n"/>
      <c r="E119" s="13" t="n"/>
      <c r="F119" s="14" t="n"/>
      <c r="G119" s="14" t="n"/>
      <c r="H119" s="13" t="n"/>
      <c r="I119" s="14" t="n"/>
      <c r="J119" s="14" t="n"/>
      <c r="K119" s="15" t="n"/>
    </row>
    <row r="120">
      <c r="A120" s="13" t="n"/>
      <c r="B120" s="13" t="n"/>
      <c r="C120" s="13" t="n"/>
      <c r="D120" s="13" t="n"/>
      <c r="E120" s="13" t="n"/>
      <c r="F120" s="14" t="n"/>
      <c r="G120" s="14" t="n"/>
      <c r="H120" s="13" t="n"/>
      <c r="I120" s="14" t="n"/>
      <c r="J120" s="14" t="n"/>
      <c r="K120" s="15" t="n"/>
    </row>
    <row r="121">
      <c r="A121" s="13" t="n"/>
      <c r="B121" s="13" t="n"/>
      <c r="C121" s="13" t="n"/>
      <c r="D121" s="13" t="n"/>
      <c r="E121" s="13" t="n"/>
      <c r="F121" s="14" t="n"/>
      <c r="G121" s="14" t="n"/>
      <c r="H121" s="13" t="n"/>
      <c r="I121" s="14" t="n"/>
      <c r="J121" s="14" t="n"/>
      <c r="K121" s="15" t="n"/>
    </row>
    <row r="122">
      <c r="A122" s="13" t="n"/>
      <c r="B122" s="13" t="n"/>
      <c r="C122" s="13" t="n"/>
      <c r="D122" s="13" t="n"/>
      <c r="E122" s="13" t="n"/>
      <c r="F122" s="14" t="n"/>
      <c r="G122" s="14" t="n"/>
      <c r="H122" s="13" t="n"/>
      <c r="I122" s="14" t="n"/>
      <c r="J122" s="14" t="n"/>
      <c r="K122" s="15" t="n"/>
    </row>
    <row r="123">
      <c r="A123" s="13" t="n"/>
      <c r="B123" s="13" t="n"/>
      <c r="C123" s="13" t="n"/>
      <c r="D123" s="13" t="n"/>
      <c r="E123" s="13" t="n"/>
      <c r="F123" s="14" t="n"/>
      <c r="G123" s="14" t="n"/>
      <c r="H123" s="13" t="n"/>
      <c r="I123" s="14" t="n"/>
      <c r="J123" s="14" t="n"/>
      <c r="K123" s="15" t="n"/>
    </row>
    <row r="124">
      <c r="A124" s="13" t="n"/>
      <c r="B124" s="13" t="n"/>
      <c r="C124" s="13" t="n"/>
      <c r="D124" s="13" t="n"/>
      <c r="E124" s="13" t="n"/>
      <c r="F124" s="14" t="n"/>
      <c r="G124" s="14" t="n"/>
      <c r="H124" s="13" t="n"/>
      <c r="I124" s="14" t="n"/>
      <c r="J124" s="14" t="n"/>
      <c r="K124" s="15" t="n"/>
    </row>
    <row r="125">
      <c r="A125" s="13" t="n"/>
      <c r="B125" s="13" t="n"/>
      <c r="C125" s="13" t="n"/>
      <c r="D125" s="13" t="n"/>
      <c r="E125" s="13" t="n"/>
      <c r="F125" s="14" t="n"/>
      <c r="G125" s="14" t="n"/>
      <c r="H125" s="13" t="n"/>
      <c r="I125" s="14" t="n"/>
      <c r="J125" s="14" t="n"/>
      <c r="K125" s="15" t="n"/>
    </row>
    <row r="126">
      <c r="A126" s="13" t="n"/>
      <c r="B126" s="13" t="n"/>
      <c r="C126" s="13" t="n"/>
      <c r="D126" s="13" t="n"/>
      <c r="E126" s="13" t="n"/>
      <c r="F126" s="14" t="n"/>
      <c r="G126" s="14" t="n"/>
      <c r="H126" s="13" t="n"/>
      <c r="I126" s="14" t="n"/>
      <c r="J126" s="14" t="n"/>
      <c r="K126" s="15" t="n"/>
    </row>
    <row r="127">
      <c r="A127" s="13" t="n"/>
      <c r="B127" s="13" t="n"/>
      <c r="C127" s="13" t="n"/>
      <c r="D127" s="13" t="n"/>
      <c r="E127" s="13" t="n"/>
      <c r="F127" s="14" t="n"/>
      <c r="G127" s="14" t="n"/>
      <c r="H127" s="13" t="n"/>
      <c r="I127" s="14" t="n"/>
      <c r="J127" s="14" t="n"/>
      <c r="K127" s="15" t="n"/>
    </row>
    <row r="128">
      <c r="A128" s="13" t="n"/>
      <c r="B128" s="13" t="n"/>
      <c r="C128" s="13" t="n"/>
      <c r="D128" s="13" t="n"/>
      <c r="E128" s="13" t="n"/>
      <c r="F128" s="14" t="n"/>
      <c r="G128" s="14" t="n"/>
      <c r="H128" s="13" t="n"/>
      <c r="I128" s="14" t="n"/>
      <c r="J128" s="14" t="n"/>
      <c r="K128" s="15" t="n"/>
    </row>
    <row r="129">
      <c r="A129" s="13" t="n"/>
      <c r="B129" s="13" t="n"/>
      <c r="C129" s="13" t="n"/>
      <c r="D129" s="13" t="n"/>
      <c r="E129" s="13" t="n"/>
      <c r="F129" s="14" t="n"/>
      <c r="G129" s="14" t="n"/>
      <c r="H129" s="13" t="n"/>
      <c r="I129" s="14" t="n"/>
      <c r="J129" s="14" t="n"/>
      <c r="K129" s="15" t="n"/>
    </row>
    <row r="130">
      <c r="A130" s="13" t="n"/>
      <c r="B130" s="13" t="n"/>
      <c r="C130" s="13" t="n"/>
      <c r="D130" s="13" t="n"/>
      <c r="E130" s="13" t="n"/>
      <c r="F130" s="14" t="n"/>
      <c r="G130" s="14" t="n"/>
      <c r="H130" s="13" t="n"/>
      <c r="I130" s="14" t="n"/>
      <c r="J130" s="14" t="n"/>
      <c r="K130" s="15" t="n"/>
    </row>
    <row r="131">
      <c r="A131" s="13" t="n"/>
      <c r="B131" s="13" t="n"/>
      <c r="C131" s="13" t="n"/>
      <c r="D131" s="13" t="n"/>
      <c r="E131" s="13" t="n"/>
      <c r="F131" s="14" t="n"/>
      <c r="G131" s="14" t="n"/>
      <c r="H131" s="13" t="n"/>
      <c r="I131" s="14" t="n"/>
      <c r="J131" s="14" t="n"/>
      <c r="K131" s="15" t="n"/>
    </row>
    <row r="132">
      <c r="A132" s="13" t="n"/>
      <c r="B132" s="13" t="n"/>
      <c r="C132" s="13" t="n"/>
      <c r="D132" s="13" t="n"/>
      <c r="E132" s="13" t="n"/>
      <c r="F132" s="14" t="n"/>
      <c r="G132" s="14" t="n"/>
      <c r="H132" s="13" t="n"/>
      <c r="I132" s="14" t="n"/>
      <c r="J132" s="14" t="n"/>
      <c r="K132" s="15" t="n"/>
    </row>
    <row r="133">
      <c r="A133" s="13" t="n"/>
      <c r="B133" s="13" t="n"/>
      <c r="C133" s="13" t="n"/>
      <c r="D133" s="13" t="n"/>
      <c r="E133" s="13" t="n"/>
      <c r="F133" s="14" t="n"/>
      <c r="G133" s="14" t="n"/>
      <c r="H133" s="13" t="n"/>
      <c r="I133" s="14" t="n"/>
      <c r="J133" s="14" t="n"/>
      <c r="K133" s="15" t="n"/>
    </row>
    <row r="134">
      <c r="A134" s="13" t="n"/>
      <c r="B134" s="13" t="n"/>
      <c r="C134" s="13" t="n"/>
      <c r="D134" s="13" t="n"/>
      <c r="E134" s="13" t="n"/>
      <c r="F134" s="14" t="n"/>
      <c r="G134" s="14" t="n"/>
      <c r="H134" s="13" t="n"/>
      <c r="I134" s="14" t="n"/>
      <c r="J134" s="14" t="n"/>
      <c r="K134" s="15" t="n"/>
    </row>
    <row r="135">
      <c r="A135" s="13" t="n"/>
      <c r="B135" s="13" t="n"/>
      <c r="C135" s="13" t="n"/>
      <c r="D135" s="13" t="n"/>
      <c r="E135" s="13" t="n"/>
      <c r="F135" s="14" t="n"/>
      <c r="G135" s="14" t="n"/>
      <c r="H135" s="13" t="n"/>
      <c r="I135" s="14" t="n"/>
      <c r="J135" s="14" t="n"/>
      <c r="K135" s="15" t="n"/>
    </row>
    <row r="136">
      <c r="A136" s="13" t="n"/>
      <c r="B136" s="13" t="n"/>
      <c r="C136" s="13" t="n"/>
      <c r="D136" s="13" t="n"/>
      <c r="E136" s="13" t="n"/>
      <c r="F136" s="14" t="n"/>
      <c r="G136" s="14" t="n"/>
      <c r="H136" s="13" t="n"/>
      <c r="I136" s="14" t="n"/>
      <c r="J136" s="14" t="n"/>
      <c r="K136" s="15" t="n"/>
    </row>
    <row r="137">
      <c r="A137" s="13" t="n"/>
      <c r="B137" s="13" t="n"/>
      <c r="C137" s="13" t="n"/>
      <c r="D137" s="13" t="n"/>
      <c r="E137" s="13" t="n"/>
      <c r="F137" s="14" t="n"/>
      <c r="G137" s="14" t="n"/>
      <c r="H137" s="13" t="n"/>
      <c r="I137" s="14" t="n"/>
      <c r="J137" s="14" t="n"/>
      <c r="K137" s="15" t="n"/>
    </row>
    <row r="138">
      <c r="A138" s="13" t="n"/>
      <c r="B138" s="13" t="n"/>
      <c r="C138" s="13" t="n"/>
      <c r="D138" s="13" t="n"/>
      <c r="E138" s="13" t="n"/>
      <c r="F138" s="14" t="n"/>
      <c r="G138" s="14" t="n"/>
      <c r="H138" s="13" t="n"/>
      <c r="I138" s="14" t="n"/>
      <c r="J138" s="14" t="n"/>
      <c r="K138" s="15" t="n"/>
    </row>
    <row r="139">
      <c r="A139" s="13" t="n"/>
      <c r="B139" s="13" t="n"/>
      <c r="C139" s="13" t="n"/>
      <c r="D139" s="13" t="n"/>
      <c r="E139" s="13" t="n"/>
      <c r="F139" s="14" t="n"/>
      <c r="G139" s="14" t="n"/>
      <c r="H139" s="13" t="n"/>
      <c r="I139" s="14" t="n"/>
      <c r="J139" s="14" t="n"/>
      <c r="K139" s="15" t="n"/>
    </row>
    <row r="140">
      <c r="A140" s="13" t="n"/>
      <c r="B140" s="13" t="n"/>
      <c r="C140" s="13" t="n"/>
      <c r="D140" s="13" t="n"/>
      <c r="E140" s="13" t="n"/>
      <c r="F140" s="14" t="n"/>
      <c r="G140" s="14" t="n"/>
      <c r="H140" s="13" t="n"/>
      <c r="I140" s="14" t="n"/>
      <c r="J140" s="14" t="n"/>
      <c r="K140" s="15" t="n"/>
    </row>
    <row r="141">
      <c r="A141" s="13" t="n"/>
      <c r="B141" s="13" t="n"/>
      <c r="C141" s="13" t="n"/>
      <c r="D141" s="13" t="n"/>
      <c r="E141" s="13" t="n"/>
      <c r="F141" s="14" t="n"/>
      <c r="G141" s="14" t="n"/>
      <c r="H141" s="13" t="n"/>
      <c r="I141" s="14" t="n"/>
      <c r="J141" s="14" t="n"/>
      <c r="K141" s="15" t="n"/>
    </row>
    <row r="142">
      <c r="A142" s="13" t="n"/>
      <c r="B142" s="13" t="n"/>
      <c r="C142" s="13" t="n"/>
      <c r="D142" s="13" t="n"/>
      <c r="E142" s="13" t="n"/>
      <c r="F142" s="14" t="n"/>
      <c r="G142" s="14" t="n"/>
      <c r="H142" s="13" t="n"/>
      <c r="I142" s="14" t="n"/>
      <c r="J142" s="14" t="n"/>
      <c r="K142" s="15" t="n"/>
    </row>
    <row r="143">
      <c r="A143" s="13" t="n"/>
      <c r="B143" s="13" t="n"/>
      <c r="C143" s="13" t="n"/>
      <c r="D143" s="13" t="n"/>
      <c r="E143" s="13" t="n"/>
      <c r="F143" s="14" t="n"/>
      <c r="G143" s="14" t="n"/>
      <c r="H143" s="13" t="n"/>
      <c r="I143" s="14" t="n"/>
      <c r="J143" s="14" t="n"/>
      <c r="K143" s="15" t="n"/>
    </row>
    <row r="144">
      <c r="A144" s="13" t="n"/>
      <c r="B144" s="13" t="n"/>
      <c r="C144" s="13" t="n"/>
      <c r="D144" s="13" t="n"/>
      <c r="E144" s="13" t="n"/>
      <c r="F144" s="14" t="n"/>
      <c r="G144" s="14" t="n"/>
      <c r="H144" s="13" t="n"/>
      <c r="I144" s="14" t="n"/>
      <c r="J144" s="14" t="n"/>
      <c r="K144" s="15" t="n"/>
    </row>
    <row r="145">
      <c r="A145" s="13" t="n"/>
      <c r="B145" s="13" t="n"/>
      <c r="C145" s="13" t="n"/>
      <c r="D145" s="13" t="n"/>
      <c r="E145" s="13" t="n"/>
      <c r="F145" s="14" t="n"/>
      <c r="G145" s="14" t="n"/>
      <c r="H145" s="13" t="n"/>
      <c r="I145" s="14" t="n"/>
      <c r="J145" s="14" t="n"/>
      <c r="K145" s="15" t="n"/>
    </row>
    <row r="146">
      <c r="A146" s="13" t="n"/>
      <c r="B146" s="13" t="n"/>
      <c r="C146" s="13" t="n"/>
      <c r="D146" s="13" t="n"/>
      <c r="E146" s="13" t="n"/>
      <c r="F146" s="14" t="n"/>
      <c r="G146" s="14" t="n"/>
      <c r="H146" s="13" t="n"/>
      <c r="I146" s="14" t="n"/>
      <c r="J146" s="14" t="n"/>
      <c r="K146" s="15" t="n"/>
    </row>
    <row r="147">
      <c r="A147" s="13" t="n"/>
      <c r="B147" s="13" t="n"/>
      <c r="C147" s="13" t="n"/>
      <c r="D147" s="13" t="n"/>
      <c r="E147" s="13" t="n"/>
      <c r="F147" s="14" t="n"/>
      <c r="G147" s="14" t="n"/>
      <c r="H147" s="13" t="n"/>
      <c r="I147" s="14" t="n"/>
      <c r="J147" s="14" t="n"/>
      <c r="K147" s="15" t="n"/>
    </row>
    <row r="148">
      <c r="A148" s="13" t="n"/>
      <c r="B148" s="13" t="n"/>
      <c r="C148" s="13" t="n"/>
      <c r="D148" s="13" t="n"/>
      <c r="E148" s="13" t="n"/>
      <c r="F148" s="14" t="n"/>
      <c r="G148" s="14" t="n"/>
      <c r="H148" s="13" t="n"/>
      <c r="I148" s="14" t="n"/>
      <c r="J148" s="14" t="n"/>
      <c r="K148" s="15" t="n"/>
    </row>
    <row r="149">
      <c r="A149" s="13" t="n"/>
      <c r="B149" s="13" t="n"/>
      <c r="C149" s="13" t="n"/>
      <c r="D149" s="13" t="n"/>
      <c r="E149" s="13" t="n"/>
      <c r="F149" s="14" t="n"/>
      <c r="G149" s="14" t="n"/>
      <c r="H149" s="13" t="n"/>
      <c r="I149" s="14" t="n"/>
      <c r="J149" s="14" t="n"/>
      <c r="K149" s="15" t="n"/>
    </row>
    <row r="150">
      <c r="A150" s="13" t="n"/>
      <c r="B150" s="13" t="n"/>
      <c r="C150" s="13" t="n"/>
      <c r="D150" s="13" t="n"/>
      <c r="E150" s="13" t="n"/>
      <c r="F150" s="14" t="n"/>
      <c r="G150" s="14" t="n"/>
      <c r="H150" s="13" t="n"/>
      <c r="I150" s="14" t="n"/>
      <c r="J150" s="14" t="n"/>
      <c r="K150" s="15" t="n"/>
    </row>
    <row r="151">
      <c r="A151" s="13" t="n"/>
      <c r="B151" s="13" t="n"/>
      <c r="C151" s="13" t="n"/>
      <c r="D151" s="13" t="n"/>
      <c r="E151" s="13" t="n"/>
      <c r="F151" s="14" t="n"/>
      <c r="G151" s="14" t="n"/>
      <c r="H151" s="13" t="n"/>
      <c r="I151" s="14" t="n"/>
      <c r="J151" s="14" t="n"/>
      <c r="K151" s="15" t="n"/>
    </row>
    <row r="152">
      <c r="A152" s="13" t="n"/>
      <c r="B152" s="13" t="n"/>
      <c r="C152" s="13" t="n"/>
      <c r="D152" s="13" t="n"/>
      <c r="E152" s="13" t="n"/>
      <c r="F152" s="14" t="n"/>
      <c r="G152" s="14" t="n"/>
      <c r="H152" s="13" t="n"/>
      <c r="I152" s="14" t="n"/>
      <c r="J152" s="14" t="n"/>
      <c r="K152" s="15" t="n"/>
    </row>
    <row r="153">
      <c r="A153" s="13" t="n"/>
      <c r="B153" s="13" t="n"/>
      <c r="C153" s="13" t="n"/>
      <c r="D153" s="13" t="n"/>
      <c r="E153" s="13" t="n"/>
      <c r="F153" s="14" t="n"/>
      <c r="G153" s="14" t="n"/>
      <c r="H153" s="13" t="n"/>
      <c r="I153" s="14" t="n"/>
      <c r="J153" s="14" t="n"/>
      <c r="K153" s="15" t="n"/>
    </row>
    <row r="154">
      <c r="A154" s="13" t="n"/>
      <c r="B154" s="13" t="n"/>
      <c r="C154" s="13" t="n"/>
      <c r="D154" s="13" t="n"/>
      <c r="E154" s="13" t="n"/>
      <c r="F154" s="14" t="n"/>
      <c r="G154" s="14" t="n"/>
      <c r="H154" s="13" t="n"/>
      <c r="I154" s="14" t="n"/>
      <c r="J154" s="14" t="n"/>
      <c r="K154" s="15" t="n"/>
    </row>
    <row r="155">
      <c r="A155" s="13" t="n"/>
      <c r="B155" s="13" t="n"/>
      <c r="C155" s="13" t="n"/>
      <c r="D155" s="13" t="n"/>
      <c r="E155" s="13" t="n"/>
      <c r="F155" s="14" t="n"/>
      <c r="G155" s="14" t="n"/>
      <c r="H155" s="13" t="n"/>
      <c r="I155" s="14" t="n"/>
      <c r="J155" s="14" t="n"/>
      <c r="K155" s="15" t="n"/>
    </row>
    <row r="156">
      <c r="A156" s="13" t="n"/>
      <c r="B156" s="13" t="n"/>
      <c r="C156" s="13" t="n"/>
      <c r="D156" s="13" t="n"/>
      <c r="E156" s="13" t="n"/>
      <c r="F156" s="14" t="n"/>
      <c r="G156" s="14" t="n"/>
      <c r="H156" s="13" t="n"/>
      <c r="I156" s="14" t="n"/>
      <c r="J156" s="14" t="n"/>
      <c r="K156" s="15" t="n"/>
    </row>
    <row r="157">
      <c r="A157" s="13" t="n"/>
      <c r="B157" s="13" t="n"/>
      <c r="C157" s="13" t="n"/>
      <c r="D157" s="13" t="n"/>
      <c r="E157" s="13" t="n"/>
      <c r="F157" s="14" t="n"/>
      <c r="G157" s="14" t="n"/>
      <c r="H157" s="13" t="n"/>
      <c r="I157" s="14" t="n"/>
      <c r="J157" s="14" t="n"/>
      <c r="K157" s="15" t="n"/>
    </row>
    <row r="158">
      <c r="A158" s="13" t="n"/>
      <c r="B158" s="13" t="n"/>
      <c r="C158" s="13" t="n"/>
      <c r="D158" s="13" t="n"/>
      <c r="E158" s="13" t="n"/>
      <c r="F158" s="14" t="n"/>
      <c r="G158" s="14" t="n"/>
      <c r="H158" s="13" t="n"/>
      <c r="I158" s="14" t="n"/>
      <c r="J158" s="14" t="n"/>
      <c r="K158" s="15" t="n"/>
    </row>
    <row r="159">
      <c r="A159" s="13" t="n"/>
      <c r="B159" s="13" t="n"/>
      <c r="C159" s="13" t="n"/>
      <c r="D159" s="13" t="n"/>
      <c r="E159" s="13" t="n"/>
      <c r="F159" s="14" t="n"/>
      <c r="G159" s="14" t="n"/>
      <c r="H159" s="13" t="n"/>
      <c r="I159" s="14" t="n"/>
      <c r="J159" s="14" t="n"/>
      <c r="K159" s="15" t="n"/>
    </row>
    <row r="160">
      <c r="A160" s="13" t="n"/>
      <c r="B160" s="13" t="n"/>
      <c r="C160" s="13" t="n"/>
      <c r="D160" s="13" t="n"/>
      <c r="E160" s="13" t="n"/>
      <c r="F160" s="14" t="n"/>
      <c r="G160" s="14" t="n"/>
      <c r="H160" s="13" t="n"/>
      <c r="I160" s="14" t="n"/>
      <c r="J160" s="14" t="n"/>
      <c r="K160" s="15" t="n"/>
    </row>
    <row r="161">
      <c r="A161" s="13" t="n"/>
      <c r="B161" s="13" t="n"/>
      <c r="C161" s="13" t="n"/>
      <c r="D161" s="13" t="n"/>
      <c r="E161" s="13" t="n"/>
      <c r="F161" s="14" t="n"/>
      <c r="G161" s="14" t="n"/>
      <c r="H161" s="13" t="n"/>
      <c r="I161" s="14" t="n"/>
      <c r="J161" s="14" t="n"/>
      <c r="K161" s="15" t="n"/>
    </row>
    <row r="162">
      <c r="A162" s="13" t="n"/>
      <c r="B162" s="13" t="n"/>
      <c r="C162" s="13" t="n"/>
      <c r="D162" s="13" t="n"/>
      <c r="E162" s="13" t="n"/>
      <c r="F162" s="14" t="n"/>
      <c r="G162" s="14" t="n"/>
      <c r="H162" s="13" t="n"/>
      <c r="I162" s="14" t="n"/>
      <c r="J162" s="14" t="n"/>
      <c r="K162" s="15" t="n"/>
    </row>
    <row r="163">
      <c r="A163" s="13" t="n"/>
      <c r="B163" s="13" t="n"/>
      <c r="C163" s="13" t="n"/>
      <c r="D163" s="13" t="n"/>
      <c r="E163" s="13" t="n"/>
      <c r="F163" s="14" t="n"/>
      <c r="G163" s="14" t="n"/>
      <c r="H163" s="13" t="n"/>
      <c r="I163" s="14" t="n"/>
      <c r="J163" s="14" t="n"/>
      <c r="K163" s="15" t="n"/>
    </row>
    <row r="164">
      <c r="A164" s="13" t="n"/>
      <c r="B164" s="13" t="n"/>
      <c r="C164" s="13" t="n"/>
      <c r="D164" s="13" t="n"/>
      <c r="E164" s="13" t="n"/>
      <c r="F164" s="14" t="n"/>
      <c r="G164" s="14" t="n"/>
      <c r="H164" s="13" t="n"/>
      <c r="I164" s="14" t="n"/>
      <c r="J164" s="14" t="n"/>
      <c r="K164" s="15" t="n"/>
    </row>
    <row r="165">
      <c r="A165" s="13" t="n"/>
      <c r="B165" s="13" t="n"/>
      <c r="C165" s="13" t="n"/>
      <c r="D165" s="13" t="n"/>
      <c r="E165" s="13" t="n"/>
      <c r="F165" s="14" t="n"/>
      <c r="G165" s="14" t="n"/>
      <c r="H165" s="13" t="n"/>
      <c r="I165" s="14" t="n"/>
      <c r="J165" s="14" t="n"/>
      <c r="K165" s="15" t="n"/>
    </row>
    <row r="166">
      <c r="A166" s="13" t="n"/>
      <c r="B166" s="13" t="n"/>
      <c r="C166" s="13" t="n"/>
      <c r="D166" s="13" t="n"/>
      <c r="E166" s="13" t="n"/>
      <c r="F166" s="14" t="n"/>
      <c r="G166" s="14" t="n"/>
      <c r="H166" s="13" t="n"/>
      <c r="I166" s="14" t="n"/>
      <c r="J166" s="14" t="n"/>
      <c r="K166" s="15" t="n"/>
    </row>
    <row r="167">
      <c r="A167" s="13" t="n"/>
      <c r="B167" s="13" t="n"/>
      <c r="C167" s="13" t="n"/>
      <c r="D167" s="13" t="n"/>
      <c r="E167" s="13" t="n"/>
      <c r="F167" s="14" t="n"/>
      <c r="G167" s="14" t="n"/>
      <c r="H167" s="13" t="n"/>
      <c r="I167" s="14" t="n"/>
      <c r="J167" s="14" t="n"/>
      <c r="K167" s="15" t="n"/>
    </row>
    <row r="168">
      <c r="A168" s="13" t="n"/>
      <c r="B168" s="13" t="n"/>
      <c r="C168" s="13" t="n"/>
      <c r="D168" s="13" t="n"/>
      <c r="E168" s="13" t="n"/>
      <c r="F168" s="14" t="n"/>
      <c r="G168" s="14" t="n"/>
      <c r="H168" s="13" t="n"/>
      <c r="I168" s="14" t="n"/>
      <c r="J168" s="14" t="n"/>
      <c r="K168" s="15" t="n"/>
    </row>
    <row r="169">
      <c r="A169" s="13" t="n"/>
      <c r="B169" s="13" t="n"/>
      <c r="C169" s="13" t="n"/>
      <c r="D169" s="13" t="n"/>
      <c r="E169" s="13" t="n"/>
      <c r="F169" s="14" t="n"/>
      <c r="G169" s="14" t="n"/>
      <c r="H169" s="13" t="n"/>
      <c r="I169" s="14" t="n"/>
      <c r="J169" s="14" t="n"/>
      <c r="K169" s="15" t="n"/>
    </row>
    <row r="170">
      <c r="A170" s="13" t="n"/>
      <c r="B170" s="13" t="n"/>
      <c r="C170" s="13" t="n"/>
      <c r="D170" s="13" t="n"/>
      <c r="E170" s="13" t="n"/>
      <c r="F170" s="14" t="n"/>
      <c r="G170" s="14" t="n"/>
      <c r="H170" s="13" t="n"/>
      <c r="I170" s="14" t="n"/>
      <c r="J170" s="14" t="n"/>
      <c r="K170" s="15" t="n"/>
    </row>
    <row r="171">
      <c r="A171" s="13" t="n"/>
      <c r="B171" s="13" t="n"/>
      <c r="C171" s="13" t="n"/>
      <c r="D171" s="13" t="n"/>
      <c r="E171" s="13" t="n"/>
      <c r="F171" s="14" t="n"/>
      <c r="G171" s="14" t="n"/>
      <c r="H171" s="13" t="n"/>
      <c r="I171" s="14" t="n"/>
      <c r="J171" s="14" t="n"/>
      <c r="K171" s="15" t="n"/>
    </row>
    <row r="172">
      <c r="A172" s="13" t="n"/>
      <c r="B172" s="13" t="n"/>
      <c r="C172" s="13" t="n"/>
      <c r="D172" s="13" t="n"/>
      <c r="E172" s="13" t="n"/>
      <c r="F172" s="14" t="n"/>
      <c r="G172" s="14" t="n"/>
      <c r="H172" s="13" t="n"/>
      <c r="I172" s="14" t="n"/>
      <c r="J172" s="14" t="n"/>
      <c r="K172" s="15" t="n"/>
    </row>
    <row r="173">
      <c r="A173" s="13" t="n"/>
      <c r="B173" s="13" t="n"/>
      <c r="C173" s="13" t="n"/>
      <c r="D173" s="13" t="n"/>
      <c r="E173" s="13" t="n"/>
      <c r="F173" s="14" t="n"/>
      <c r="G173" s="14" t="n"/>
      <c r="H173" s="13" t="n"/>
      <c r="I173" s="14" t="n"/>
      <c r="J173" s="14" t="n"/>
      <c r="K173" s="15" t="n"/>
    </row>
    <row r="174">
      <c r="A174" s="13" t="n"/>
      <c r="B174" s="13" t="n"/>
      <c r="C174" s="13" t="n"/>
      <c r="D174" s="13" t="n"/>
      <c r="E174" s="13" t="n"/>
      <c r="F174" s="14" t="n"/>
      <c r="G174" s="14" t="n"/>
      <c r="H174" s="13" t="n"/>
      <c r="I174" s="14" t="n"/>
      <c r="J174" s="14" t="n"/>
      <c r="K174" s="15" t="n"/>
    </row>
    <row r="175">
      <c r="A175" s="13" t="n"/>
      <c r="B175" s="13" t="n"/>
      <c r="C175" s="13" t="n"/>
      <c r="D175" s="13" t="n"/>
      <c r="E175" s="13" t="n"/>
      <c r="F175" s="14" t="n"/>
      <c r="G175" s="14" t="n"/>
      <c r="H175" s="13" t="n"/>
      <c r="I175" s="14" t="n"/>
      <c r="J175" s="14" t="n"/>
      <c r="K175" s="15" t="n"/>
    </row>
    <row r="176">
      <c r="A176" s="13" t="n"/>
      <c r="B176" s="13" t="n"/>
      <c r="C176" s="13" t="n"/>
      <c r="D176" s="13" t="n"/>
      <c r="E176" s="13" t="n"/>
      <c r="F176" s="14" t="n"/>
      <c r="G176" s="14" t="n"/>
      <c r="H176" s="13" t="n"/>
      <c r="I176" s="14" t="n"/>
      <c r="J176" s="14" t="n"/>
      <c r="K176" s="15" t="n"/>
    </row>
    <row r="177">
      <c r="A177" s="13" t="n"/>
      <c r="B177" s="13" t="n"/>
      <c r="C177" s="13" t="n"/>
      <c r="D177" s="13" t="n"/>
      <c r="E177" s="13" t="n"/>
      <c r="F177" s="14" t="n"/>
      <c r="G177" s="14" t="n"/>
      <c r="H177" s="13" t="n"/>
      <c r="I177" s="14" t="n"/>
      <c r="J177" s="14" t="n"/>
      <c r="K177" s="15" t="n"/>
    </row>
    <row r="178">
      <c r="A178" s="13" t="n"/>
      <c r="B178" s="13" t="n"/>
      <c r="C178" s="13" t="n"/>
      <c r="D178" s="13" t="n"/>
      <c r="E178" s="13" t="n"/>
      <c r="F178" s="14" t="n"/>
      <c r="G178" s="14" t="n"/>
      <c r="H178" s="13" t="n"/>
      <c r="I178" s="14" t="n"/>
      <c r="J178" s="14" t="n"/>
      <c r="K178" s="15" t="n"/>
    </row>
    <row r="179">
      <c r="A179" s="13" t="n"/>
      <c r="B179" s="13" t="n"/>
      <c r="C179" s="13" t="n"/>
      <c r="D179" s="13" t="n"/>
      <c r="E179" s="13" t="n"/>
      <c r="F179" s="14" t="n"/>
      <c r="G179" s="14" t="n"/>
      <c r="H179" s="13" t="n"/>
      <c r="I179" s="14" t="n"/>
      <c r="J179" s="14" t="n"/>
      <c r="K179" s="15" t="n"/>
    </row>
    <row r="180">
      <c r="A180" s="13" t="n"/>
      <c r="B180" s="13" t="n"/>
      <c r="C180" s="13" t="n"/>
      <c r="D180" s="13" t="n"/>
      <c r="E180" s="13" t="n"/>
      <c r="F180" s="14" t="n"/>
      <c r="G180" s="14" t="n"/>
      <c r="H180" s="13" t="n"/>
      <c r="I180" s="14" t="n"/>
      <c r="J180" s="14" t="n"/>
      <c r="K180" s="15" t="n"/>
    </row>
    <row r="181">
      <c r="A181" s="13" t="n"/>
      <c r="B181" s="13" t="n"/>
      <c r="C181" s="13" t="n"/>
      <c r="D181" s="13" t="n"/>
      <c r="E181" s="13" t="n"/>
      <c r="F181" s="14" t="n"/>
      <c r="G181" s="14" t="n"/>
      <c r="H181" s="13" t="n"/>
      <c r="I181" s="14" t="n"/>
      <c r="J181" s="14" t="n"/>
      <c r="K181" s="15" t="n"/>
    </row>
    <row r="182">
      <c r="A182" s="13" t="n"/>
      <c r="B182" s="13" t="n"/>
      <c r="C182" s="13" t="n"/>
      <c r="D182" s="13" t="n"/>
      <c r="E182" s="13" t="n"/>
      <c r="F182" s="14" t="n"/>
      <c r="G182" s="14" t="n"/>
      <c r="H182" s="13" t="n"/>
      <c r="I182" s="14" t="n"/>
      <c r="J182" s="14" t="n"/>
      <c r="K182" s="15" t="n"/>
    </row>
    <row r="183">
      <c r="A183" s="13" t="n"/>
      <c r="B183" s="13" t="n"/>
      <c r="C183" s="13" t="n"/>
      <c r="D183" s="13" t="n"/>
      <c r="E183" s="13" t="n"/>
      <c r="F183" s="14" t="n"/>
      <c r="G183" s="14" t="n"/>
      <c r="H183" s="13" t="n"/>
      <c r="I183" s="14" t="n"/>
      <c r="J183" s="14" t="n"/>
      <c r="K183" s="15" t="n"/>
    </row>
    <row r="184">
      <c r="A184" s="13" t="n"/>
      <c r="B184" s="13" t="n"/>
      <c r="C184" s="13" t="n"/>
      <c r="D184" s="13" t="n"/>
      <c r="E184" s="13" t="n"/>
      <c r="F184" s="14" t="n"/>
      <c r="G184" s="14" t="n"/>
      <c r="H184" s="13" t="n"/>
      <c r="I184" s="14" t="n"/>
      <c r="J184" s="14" t="n"/>
      <c r="K184" s="15" t="n"/>
    </row>
    <row r="185">
      <c r="A185" s="13" t="n"/>
      <c r="B185" s="13" t="n"/>
      <c r="C185" s="13" t="n"/>
      <c r="D185" s="13" t="n"/>
      <c r="E185" s="13" t="n"/>
      <c r="F185" s="14" t="n"/>
      <c r="G185" s="14" t="n"/>
      <c r="H185" s="13" t="n"/>
      <c r="I185" s="14" t="n"/>
      <c r="J185" s="14" t="n"/>
      <c r="K185" s="15" t="n"/>
    </row>
    <row r="186">
      <c r="A186" s="13" t="n"/>
      <c r="B186" s="13" t="n"/>
      <c r="C186" s="13" t="n"/>
      <c r="D186" s="13" t="n"/>
      <c r="E186" s="13" t="n"/>
      <c r="F186" s="14" t="n"/>
      <c r="G186" s="14" t="n"/>
      <c r="H186" s="13" t="n"/>
      <c r="I186" s="14" t="n"/>
      <c r="J186" s="14" t="n"/>
      <c r="K186" s="15" t="n"/>
    </row>
    <row r="187">
      <c r="A187" s="13" t="n"/>
      <c r="B187" s="13" t="n"/>
      <c r="C187" s="13" t="n"/>
      <c r="D187" s="13" t="n"/>
      <c r="E187" s="13" t="n"/>
      <c r="F187" s="14" t="n"/>
      <c r="G187" s="14" t="n"/>
      <c r="H187" s="13" t="n"/>
      <c r="I187" s="14" t="n"/>
      <c r="J187" s="14" t="n"/>
      <c r="K187" s="15" t="n"/>
    </row>
    <row r="188">
      <c r="A188" s="13" t="n"/>
      <c r="B188" s="13" t="n"/>
      <c r="C188" s="13" t="n"/>
      <c r="D188" s="13" t="n"/>
      <c r="E188" s="13" t="n"/>
      <c r="F188" s="14" t="n"/>
      <c r="G188" s="14" t="n"/>
      <c r="H188" s="13" t="n"/>
      <c r="I188" s="14" t="n"/>
      <c r="J188" s="14" t="n"/>
      <c r="K188" s="15" t="n"/>
    </row>
    <row r="189">
      <c r="A189" s="13" t="n"/>
      <c r="B189" s="13" t="n"/>
      <c r="C189" s="13" t="n"/>
      <c r="D189" s="13" t="n"/>
      <c r="E189" s="13" t="n"/>
      <c r="F189" s="14" t="n"/>
      <c r="G189" s="14" t="n"/>
      <c r="H189" s="13" t="n"/>
      <c r="I189" s="14" t="n"/>
      <c r="J189" s="14" t="n"/>
      <c r="K189" s="15" t="n"/>
    </row>
    <row r="190">
      <c r="A190" s="13" t="n"/>
      <c r="B190" s="13" t="n"/>
      <c r="C190" s="13" t="n"/>
      <c r="D190" s="13" t="n"/>
      <c r="E190" s="13" t="n"/>
      <c r="F190" s="14" t="n"/>
      <c r="G190" s="14" t="n"/>
      <c r="H190" s="13" t="n"/>
      <c r="I190" s="14" t="n"/>
      <c r="J190" s="14" t="n"/>
      <c r="K190" s="15" t="n"/>
    </row>
    <row r="191">
      <c r="A191" s="13" t="n"/>
      <c r="B191" s="13" t="n"/>
      <c r="C191" s="13" t="n"/>
      <c r="D191" s="13" t="n"/>
      <c r="E191" s="13" t="n"/>
      <c r="F191" s="14" t="n"/>
      <c r="G191" s="14" t="n"/>
      <c r="H191" s="13" t="n"/>
      <c r="I191" s="14" t="n"/>
      <c r="J191" s="14" t="n"/>
      <c r="K191" s="15" t="n"/>
    </row>
    <row r="192">
      <c r="A192" s="13" t="n"/>
      <c r="B192" s="13" t="n"/>
      <c r="C192" s="13" t="n"/>
      <c r="D192" s="13" t="n"/>
      <c r="E192" s="13" t="n"/>
      <c r="F192" s="14" t="n"/>
      <c r="G192" s="14" t="n"/>
      <c r="H192" s="13" t="n"/>
      <c r="I192" s="14" t="n"/>
      <c r="J192" s="14" t="n"/>
      <c r="K192" s="15" t="n"/>
    </row>
    <row r="193">
      <c r="A193" s="13" t="n"/>
      <c r="B193" s="13" t="n"/>
      <c r="C193" s="13" t="n"/>
      <c r="D193" s="13" t="n"/>
      <c r="E193" s="13" t="n"/>
      <c r="F193" s="14" t="n"/>
      <c r="G193" s="14" t="n"/>
      <c r="H193" s="13" t="n"/>
      <c r="I193" s="14" t="n"/>
      <c r="J193" s="14" t="n"/>
      <c r="K193" s="15" t="n"/>
    </row>
    <row r="194">
      <c r="A194" s="13" t="n"/>
      <c r="B194" s="13" t="n"/>
      <c r="C194" s="13" t="n"/>
      <c r="D194" s="13" t="n"/>
      <c r="E194" s="13" t="n"/>
      <c r="F194" s="14" t="n"/>
      <c r="G194" s="14" t="n"/>
      <c r="H194" s="13" t="n"/>
      <c r="I194" s="14" t="n"/>
      <c r="J194" s="14" t="n"/>
      <c r="K194" s="15" t="n"/>
    </row>
    <row r="195">
      <c r="A195" s="13" t="n"/>
      <c r="B195" s="13" t="n"/>
      <c r="C195" s="13" t="n"/>
      <c r="D195" s="13" t="n"/>
      <c r="E195" s="13" t="n"/>
      <c r="F195" s="14" t="n"/>
      <c r="G195" s="14" t="n"/>
      <c r="H195" s="13" t="n"/>
      <c r="I195" s="14" t="n"/>
      <c r="J195" s="14" t="n"/>
      <c r="K195" s="15" t="n"/>
    </row>
    <row r="196">
      <c r="A196" s="13" t="n"/>
      <c r="B196" s="13" t="n"/>
      <c r="C196" s="13" t="n"/>
      <c r="D196" s="13" t="n"/>
      <c r="E196" s="13" t="n"/>
      <c r="F196" s="14" t="n"/>
      <c r="G196" s="14" t="n"/>
      <c r="H196" s="13" t="n"/>
      <c r="I196" s="14" t="n"/>
      <c r="J196" s="14" t="n"/>
      <c r="K196" s="15" t="n"/>
    </row>
    <row r="197">
      <c r="A197" s="13" t="n"/>
      <c r="B197" s="13" t="n"/>
      <c r="C197" s="13" t="n"/>
      <c r="D197" s="13" t="n"/>
      <c r="E197" s="13" t="n"/>
      <c r="F197" s="14" t="n"/>
      <c r="G197" s="14" t="n"/>
      <c r="H197" s="13" t="n"/>
      <c r="I197" s="14" t="n"/>
      <c r="J197" s="14" t="n"/>
      <c r="K197" s="15" t="n"/>
    </row>
    <row r="198">
      <c r="A198" s="13" t="n"/>
      <c r="B198" s="13" t="n"/>
      <c r="C198" s="13" t="n"/>
      <c r="D198" s="13" t="n"/>
      <c r="E198" s="13" t="n"/>
      <c r="F198" s="14" t="n"/>
      <c r="G198" s="14" t="n"/>
      <c r="H198" s="13" t="n"/>
      <c r="I198" s="14" t="n"/>
      <c r="J198" s="14" t="n"/>
      <c r="K198" s="15" t="n"/>
    </row>
    <row r="199">
      <c r="A199" s="13" t="n"/>
      <c r="B199" s="13" t="n"/>
      <c r="C199" s="13" t="n"/>
      <c r="D199" s="13" t="n"/>
      <c r="E199" s="13" t="n"/>
      <c r="F199" s="14" t="n"/>
      <c r="G199" s="14" t="n"/>
      <c r="H199" s="13" t="n"/>
      <c r="I199" s="14" t="n"/>
      <c r="J199" s="14" t="n"/>
      <c r="K199" s="15" t="n"/>
    </row>
    <row r="200">
      <c r="A200" s="13" t="n"/>
      <c r="B200" s="13" t="n"/>
      <c r="C200" s="13" t="n"/>
      <c r="D200" s="13" t="n"/>
      <c r="E200" s="13" t="n"/>
      <c r="F200" s="14" t="n"/>
      <c r="G200" s="14" t="n"/>
      <c r="H200" s="13" t="n"/>
      <c r="I200" s="14" t="n"/>
      <c r="J200" s="14" t="n"/>
      <c r="K200" s="15" t="n"/>
    </row>
    <row r="201">
      <c r="A201" s="13" t="n"/>
      <c r="B201" s="13" t="n"/>
      <c r="C201" s="13" t="n"/>
      <c r="D201" s="13" t="n"/>
      <c r="E201" s="13" t="n"/>
      <c r="F201" s="14" t="n"/>
      <c r="G201" s="14" t="n"/>
      <c r="H201" s="13" t="n"/>
      <c r="I201" s="14" t="n"/>
      <c r="J201" s="14" t="n"/>
      <c r="K201" s="15" t="n"/>
    </row>
    <row r="202">
      <c r="A202" s="13" t="n"/>
      <c r="B202" s="13" t="n"/>
      <c r="C202" s="13" t="n"/>
      <c r="D202" s="13" t="n"/>
      <c r="E202" s="13" t="n"/>
      <c r="F202" s="14" t="n"/>
      <c r="G202" s="14" t="n"/>
      <c r="H202" s="13" t="n"/>
      <c r="I202" s="14" t="n"/>
      <c r="J202" s="14" t="n"/>
      <c r="K202" s="15" t="n"/>
    </row>
    <row r="203">
      <c r="A203" s="13" t="n"/>
      <c r="B203" s="13" t="n"/>
      <c r="C203" s="13" t="n"/>
      <c r="D203" s="13" t="n"/>
      <c r="E203" s="13" t="n"/>
      <c r="F203" s="14" t="n"/>
      <c r="G203" s="14" t="n"/>
      <c r="H203" s="13" t="n"/>
      <c r="I203" s="14" t="n"/>
      <c r="J203" s="14" t="n"/>
      <c r="K203" s="15" t="n"/>
    </row>
  </sheetData>
  <mergeCells count="1">
    <mergeCell ref="A2:K2"/>
  </mergeCells>
  <dataValidations count="5">
    <dataValidation sqref="F4:F203" showDropDown="0" showInputMessage="0" showErrorMessage="1" allowBlank="1" errorTitle="Heures par mois" error="Saisir un nombre d'heures par mois (ou laisser vide pour la valeur par défaut). La capacité doit être d'au moins 1 h." type="decimal" operator="between">
      <formula1>1</formula1>
      <formula2>744</formula2>
    </dataValidation>
    <dataValidation sqref="G4:G203" showDropDown="0" showInputMessage="0" showErrorMessage="1" allowBlank="1" errorTitle="Heures par mois" error="Saisir un nombre d'heures par mois (ou laisser vide pour la valeur par défaut)." type="decimal" operator="between">
      <formula1>0</formula1>
      <formula2>744</formula2>
    </dataValidation>
    <dataValidation sqref="I4:I203" showDropDown="0" showInputMessage="0" showErrorMessage="1" allowBlank="1" errorTitle="Heures par mois" error="Saisir un nombre d'heures par mois (ou laisser vide pour la valeur par défaut). La capacité doit être d'au moins 1 h." type="decimal" operator="between">
      <formula1>1</formula1>
      <formula2>744</formula2>
    </dataValidation>
    <dataValidation sqref="J4:J203" showDropDown="0" showInputMessage="0" showErrorMessage="1" allowBlank="1" errorTitle="Heures par mois" error="Saisir un nombre d'heures par mois (ou laisser vide pour la valeur par défaut)." type="decimal" operator="between">
      <formula1>0</formula1>
      <formula2>744</formula2>
    </dataValidation>
    <dataValidation sqref="K4:K203" showDropDown="0" showInputMessage="1" showErrorMessage="1" allowBlank="1" errorTitle="Date attendue" error="Saisir uniquement des dates (jj/mm/aaaa), une par cellule." promptTitle="Jours non travaillés" prompt="Facultatif : jours fériés ou de fermeture communs à tout le bureau. Ils sont retirés du lissage, comme les samedis et dimanches. Les congés individuels ne se saisissent pas ici." type="date" operator="greaterThan">
      <formula1>36526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2A78D6"/>
    <outlinePr summaryBelow="1" summaryRight="1"/>
    <pageSetUpPr/>
  </sheetPr>
  <dimension ref="A1:BI166"/>
  <sheetViews>
    <sheetView showGridLines="0" tabSelected="1" zoomScale="90" workbookViewId="0">
      <selection activeCell="A1" sqref="A1"/>
    </sheetView>
  </sheetViews>
  <sheetFormatPr baseColWidth="8" defaultRowHeight="15"/>
  <cols>
    <col width="2" customWidth="1" min="1" max="1"/>
    <col width="2.71" customWidth="1" min="2" max="2"/>
    <col width="2.71" customWidth="1" min="3" max="3"/>
    <col width="2.71" customWidth="1" min="4" max="4"/>
    <col width="2.71" customWidth="1" min="5" max="5"/>
    <col width="2.71" customWidth="1" min="6" max="6"/>
    <col width="2.71" customWidth="1" min="7" max="7"/>
    <col width="2.71" customWidth="1" min="8" max="8"/>
    <col width="2.71" customWidth="1" min="9" max="9"/>
    <col width="2.71" customWidth="1" min="10" max="10"/>
    <col width="2.71" customWidth="1" min="11" max="11"/>
    <col width="2.71" customWidth="1" min="12" max="12"/>
    <col width="2.71" customWidth="1" min="13" max="13"/>
    <col width="2.71" customWidth="1" min="14" max="14"/>
    <col width="2.71" customWidth="1" min="15" max="15"/>
    <col width="2.71" customWidth="1" min="16" max="16"/>
    <col width="2.71" customWidth="1" min="17" max="17"/>
    <col width="2.71" customWidth="1" min="18" max="18"/>
    <col width="2.71" customWidth="1" min="19" max="19"/>
    <col width="2.71" customWidth="1" min="20" max="20"/>
    <col width="2.71" customWidth="1" min="21" max="21"/>
    <col width="2.71" customWidth="1" min="22" max="22"/>
    <col width="2.71" customWidth="1" min="23" max="23"/>
    <col width="2.71" customWidth="1" min="24" max="24"/>
    <col width="2.71" customWidth="1" min="25" max="25"/>
    <col width="2.71" customWidth="1" min="26" max="26"/>
    <col width="2.71" customWidth="1" min="27" max="27"/>
    <col width="2.71" customWidth="1" min="28" max="28"/>
    <col width="2.71" customWidth="1" min="29" max="29"/>
    <col width="2.71" customWidth="1" min="30" max="30"/>
    <col width="2.71" customWidth="1" min="31" max="31"/>
    <col width="2.71" customWidth="1" min="32" max="32"/>
    <col width="2.71" customWidth="1" min="33" max="33"/>
    <col width="2.71" customWidth="1" min="34" max="34"/>
    <col width="2.71" customWidth="1" min="35" max="35"/>
    <col width="2.71" customWidth="1" min="36" max="36"/>
    <col width="2.71" customWidth="1" min="37" max="37"/>
    <col width="2.71" customWidth="1" min="38" max="38"/>
    <col width="2.71" customWidth="1" min="39" max="39"/>
    <col width="2.71" customWidth="1" min="40" max="40"/>
    <col width="2.71" customWidth="1" min="41" max="41"/>
    <col width="2.71" customWidth="1" min="42" max="42"/>
    <col width="2.71" customWidth="1" min="43" max="43"/>
    <col width="2.71" customWidth="1" min="44" max="44"/>
    <col width="2.71" customWidth="1" min="45" max="45"/>
    <col width="2.71" customWidth="1" min="46" max="46"/>
    <col width="2.71" customWidth="1" min="47" max="47"/>
    <col width="2.71" customWidth="1" min="48" max="48"/>
    <col width="2.71" customWidth="1" min="49" max="49"/>
    <col width="2.71" customWidth="1" min="50" max="50"/>
    <col width="2.71" customWidth="1" min="51" max="51"/>
    <col width="2.71" customWidth="1" min="52" max="52"/>
    <col width="2.71" customWidth="1" min="53" max="53"/>
    <col width="2.71" customWidth="1" min="54" max="54"/>
    <col width="2.71" customWidth="1" min="55" max="55"/>
    <col width="2.71" customWidth="1" min="56" max="56"/>
    <col width="2.71" customWidth="1" min="57" max="57"/>
    <col width="2.71" customWidth="1" min="58" max="58"/>
    <col width="2.71" customWidth="1" min="59" max="59"/>
    <col width="2.71" customWidth="1" min="60" max="60"/>
    <col width="2" customWidth="1" min="61" max="61"/>
  </cols>
  <sheetData>
    <row r="1" ht="6" customHeight="1">
      <c r="A1" s="16" t="n"/>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c r="AH1" s="16" t="n"/>
      <c r="AI1" s="16" t="n"/>
      <c r="AJ1" s="16" t="n"/>
      <c r="AK1" s="16" t="n"/>
      <c r="AL1" s="16" t="n"/>
      <c r="AM1" s="16" t="n"/>
      <c r="AN1" s="16" t="n"/>
      <c r="AO1" s="16" t="n"/>
      <c r="AP1" s="16" t="n"/>
      <c r="AQ1" s="16" t="n"/>
      <c r="AR1" s="16" t="n"/>
      <c r="AS1" s="16" t="n"/>
      <c r="AT1" s="16" t="n"/>
      <c r="AU1" s="16" t="n"/>
      <c r="AV1" s="16" t="n"/>
      <c r="AW1" s="16" t="n"/>
      <c r="AX1" s="16" t="n"/>
      <c r="AY1" s="16" t="n"/>
      <c r="AZ1" s="16" t="n"/>
      <c r="BA1" s="16" t="n"/>
      <c r="BB1" s="16" t="n"/>
      <c r="BC1" s="16" t="n"/>
      <c r="BD1" s="16" t="n"/>
      <c r="BE1" s="16" t="n"/>
      <c r="BF1" s="16" t="n"/>
      <c r="BG1" s="16" t="n"/>
      <c r="BH1" s="16" t="n"/>
      <c r="BI1" s="16" t="n"/>
    </row>
    <row r="2" ht="30" customHeight="1">
      <c r="A2" s="16" t="n"/>
      <c r="B2" s="17" t="n"/>
      <c r="C2" s="18" t="inlineStr">
        <is>
          <t>TABLEAU DE BORD — PLAN DE CHARGE DU BUREAU D'ÉTUDES</t>
        </is>
      </c>
      <c r="AQ2" s="17" t="n"/>
      <c r="AR2" s="17" t="n"/>
      <c r="AS2" s="17" t="n"/>
      <c r="AT2" s="19">
        <f>TODAY()</f>
        <v>46313.0</v>
      </c>
      <c r="BH2" s="17" t="n"/>
      <c r="BI2" s="16" t="n"/>
    </row>
    <row r="3" ht="18" customHeight="1">
      <c r="A3" s="16" t="n"/>
      <c r="B3" s="17" t="n"/>
      <c r="C3" s="20" t="inlineStr">
        <is>
          <t>Synthèse automatique de l'onglet Charge : mettre à jour Charge et Data, le tableau de bord se recalcule seul.</t>
        </is>
      </c>
      <c r="AU3" s="17" t="n"/>
      <c r="AV3" s="17" t="n"/>
      <c r="AW3" s="17" t="n"/>
      <c r="AX3" s="17" t="n"/>
      <c r="AY3" s="17" t="n"/>
      <c r="AZ3" s="17" t="n"/>
      <c r="BA3" s="17" t="n"/>
      <c r="BB3" s="17" t="n"/>
      <c r="BC3" s="17" t="n"/>
      <c r="BD3" s="17" t="n"/>
      <c r="BE3" s="17" t="n"/>
      <c r="BF3" s="17" t="n"/>
      <c r="BG3" s="17" t="n"/>
      <c r="BH3" s="17" t="n"/>
      <c r="BI3" s="16" t="n"/>
    </row>
    <row r="4" ht="8" customHeight="1">
      <c r="A4" s="16" t="n"/>
      <c r="B4" s="1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c r="AG4" s="16" t="n"/>
      <c r="AH4" s="16" t="n"/>
      <c r="AI4" s="16" t="n"/>
      <c r="AJ4" s="16" t="n"/>
      <c r="AK4" s="16" t="n"/>
      <c r="AL4" s="16" t="n"/>
      <c r="AM4" s="16" t="n"/>
      <c r="AN4" s="16" t="n"/>
      <c r="AO4" s="16"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row>
    <row r="5" ht="22" customHeight="1">
      <c r="A5" s="16" t="n"/>
      <c r="B5" s="21" t="inlineStr">
        <is>
          <t>Périmètre</t>
        </is>
      </c>
      <c r="C5" s="22" t="n"/>
      <c r="D5" s="22" t="n"/>
      <c r="E5" s="22" t="n"/>
      <c r="F5" s="23" t="inlineStr">
        <is>
          <t>Projets en cours</t>
        </is>
      </c>
      <c r="G5" s="24" t="n"/>
      <c r="H5" s="24" t="n"/>
      <c r="I5" s="24" t="n"/>
      <c r="J5" s="24" t="n"/>
      <c r="K5" s="24" t="n"/>
      <c r="L5" s="25" t="n"/>
      <c r="M5" s="26" t="n"/>
      <c r="N5" s="27" t="inlineStr">
        <is>
          <t>Répartition</t>
        </is>
      </c>
      <c r="O5" s="22" t="n"/>
      <c r="P5" s="22" t="n"/>
      <c r="Q5" s="22" t="n"/>
      <c r="R5" s="23" t="inlineStr">
        <is>
          <t>Lissée jusqu'à la date de besoin</t>
        </is>
      </c>
      <c r="S5" s="24" t="n"/>
      <c r="T5" s="24" t="n"/>
      <c r="U5" s="24" t="n"/>
      <c r="V5" s="24" t="n"/>
      <c r="W5" s="24" t="n"/>
      <c r="X5" s="24" t="n"/>
      <c r="Y5" s="24" t="n"/>
      <c r="Z5" s="24" t="n"/>
      <c r="AA5" s="24" t="n"/>
      <c r="AB5" s="24" t="n"/>
      <c r="AC5" s="24" t="n"/>
      <c r="AD5" s="25" t="n"/>
      <c r="AE5" s="26" t="n"/>
      <c r="AF5" s="27" t="inlineStr">
        <is>
          <t>1er mois affiché</t>
        </is>
      </c>
      <c r="AG5" s="22" t="n"/>
      <c r="AH5" s="22" t="n"/>
      <c r="AI5" s="22" t="n"/>
      <c r="AJ5" s="22" t="n"/>
      <c r="AK5" s="28" t="n"/>
      <c r="AL5" s="24" t="n"/>
      <c r="AM5" s="24" t="n"/>
      <c r="AN5" s="24" t="n"/>
      <c r="AO5" s="25" t="n"/>
      <c r="AP5" s="26" t="n"/>
      <c r="AQ5" s="27" t="inlineStr">
        <is>
          <t>Capacité</t>
        </is>
      </c>
      <c r="AR5" s="22" t="n"/>
      <c r="AS5" s="22" t="n"/>
      <c r="AT5" s="22" t="n"/>
      <c r="AU5" s="29" t="n">
        <v>120</v>
      </c>
      <c r="AV5" s="24" t="n"/>
      <c r="AW5" s="24" t="n"/>
      <c r="AX5" s="25" t="n"/>
      <c r="AY5" s="26" t="n"/>
      <c r="AZ5" s="27" t="inlineStr">
        <is>
          <t>Charge fixe</t>
        </is>
      </c>
      <c r="BA5" s="22" t="n"/>
      <c r="BB5" s="22" t="n"/>
      <c r="BC5" s="22" t="n"/>
      <c r="BD5" s="29" t="n">
        <v>20</v>
      </c>
      <c r="BE5" s="24" t="n"/>
      <c r="BF5" s="24" t="n"/>
      <c r="BG5" s="24" t="n"/>
      <c r="BH5" s="25" t="n"/>
      <c r="BI5" s="16" t="n"/>
    </row>
    <row r="6" ht="14" customHeight="1">
      <c r="A6" s="16" t="n"/>
      <c r="B6" s="30" t="n"/>
      <c r="C6" s="31" t="n"/>
      <c r="D6" s="31" t="n"/>
      <c r="E6" s="31" t="n"/>
      <c r="F6" s="32" t="inlineStr">
        <is>
          <t>En cours = avancement &lt; 100 %</t>
        </is>
      </c>
      <c r="G6" s="33" t="n"/>
      <c r="H6" s="33" t="n"/>
      <c r="I6" s="33" t="n"/>
      <c r="J6" s="33" t="n"/>
      <c r="K6" s="33" t="n"/>
      <c r="L6" s="33" t="n"/>
      <c r="M6" s="31" t="n"/>
      <c r="N6" s="31" t="n"/>
      <c r="O6" s="31" t="n"/>
      <c r="P6" s="31" t="n"/>
      <c r="Q6" s="31" t="n"/>
      <c r="R6" s="32" t="str">
        <f>IF(p_Repartition="Tout sur le mois de début","Toute la charge sur le mois de début planifié","Prorata des jours ouvrés entre début planifié et date de besoin")</f>
        <v>Prorata des jours ouvrés entre début planifié et date de besoin</v>
      </c>
      <c r="S6" s="33" t="n"/>
      <c r="T6" s="33" t="n"/>
      <c r="U6" s="33" t="n"/>
      <c r="V6" s="33" t="n"/>
      <c r="W6" s="33" t="n"/>
      <c r="X6" s="33" t="n"/>
      <c r="Y6" s="33" t="n"/>
      <c r="Z6" s="33" t="n"/>
      <c r="AA6" s="33" t="n"/>
      <c r="AB6" s="33" t="n"/>
      <c r="AC6" s="33" t="n"/>
      <c r="AD6" s="33" t="n"/>
      <c r="AE6" s="31" t="n"/>
      <c r="AF6" s="31" t="n"/>
      <c r="AG6" s="31" t="n"/>
      <c r="AH6" s="31" t="n"/>
      <c r="AI6" s="31" t="n"/>
      <c r="AJ6" s="31" t="n"/>
      <c r="AK6" s="34">
        <f>IF(ISNUMBER(p_PremierMois),"Saisi manuellement",Calculs!$AL$13)</f>
        <v>46266.0</v>
      </c>
      <c r="AL6" s="33" t="n"/>
      <c r="AM6" s="33" t="n"/>
      <c r="AN6" s="33" t="n"/>
      <c r="AO6" s="33" t="n"/>
      <c r="AP6" s="31" t="n"/>
      <c r="AQ6" s="31" t="n"/>
      <c r="AR6" s="31" t="n"/>
      <c r="AS6" s="31" t="n"/>
      <c r="AT6" s="31" t="n"/>
      <c r="AU6" s="32" t="inlineStr">
        <is>
          <t>par personne</t>
        </is>
      </c>
      <c r="AV6" s="33" t="n"/>
      <c r="AW6" s="33" t="n"/>
      <c r="AX6" s="33" t="n"/>
      <c r="AY6" s="31" t="n"/>
      <c r="AZ6" s="31" t="n"/>
      <c r="BA6" s="31" t="n"/>
      <c r="BB6" s="31" t="n"/>
      <c r="BC6" s="31" t="n"/>
      <c r="BD6" s="35" t="inlineStr">
        <is>
          <t>hors projet</t>
        </is>
      </c>
      <c r="BE6" s="33" t="n"/>
      <c r="BF6" s="33" t="n"/>
      <c r="BG6" s="33" t="n"/>
      <c r="BH6" s="36" t="n"/>
      <c r="BI6" s="16" t="n"/>
    </row>
    <row r="7" ht="10" customHeight="1">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c r="AE7" s="16" t="n"/>
      <c r="AF7" s="16" t="n"/>
      <c r="AG7" s="16" t="n"/>
      <c r="AH7" s="16" t="n"/>
      <c r="AI7" s="16" t="n"/>
      <c r="AJ7" s="16" t="n"/>
      <c r="AK7" s="16" t="n"/>
      <c r="AL7" s="16" t="n"/>
      <c r="AM7" s="16" t="n"/>
      <c r="AN7" s="16" t="n"/>
      <c r="AO7" s="16"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row>
    <row r="8" ht="20" customHeight="1">
      <c r="A8" s="16" t="n"/>
      <c r="B8" s="37" t="str">
        <f>IF(p_Perimetre="Tous les projets","TOUS LES PROJETS","PROJETS EN COURS")</f>
        <v>PROJETS EN COURS</v>
      </c>
      <c r="C8" s="38" t="n"/>
      <c r="D8" s="38" t="n"/>
      <c r="E8" s="38" t="n"/>
      <c r="F8" s="38" t="n"/>
      <c r="G8" s="38" t="n"/>
      <c r="H8" s="38" t="n"/>
      <c r="I8" s="38" t="n"/>
      <c r="J8" s="38" t="n"/>
      <c r="K8" s="38" t="n"/>
      <c r="L8" s="38" t="n"/>
      <c r="M8" s="38" t="n"/>
      <c r="N8" s="38" t="n"/>
      <c r="O8" s="38" t="n"/>
      <c r="P8" s="38" t="n"/>
      <c r="Q8" s="38" t="n"/>
      <c r="R8" s="38" t="n"/>
      <c r="S8" s="38" t="n"/>
      <c r="T8" s="38" t="n"/>
      <c r="U8" s="38" t="n"/>
      <c r="V8" s="38" t="n"/>
      <c r="W8" s="38" t="n"/>
      <c r="X8" s="38" t="n"/>
      <c r="Y8" s="38" t="n"/>
      <c r="Z8" s="39" t="str">
        <f>IF(Calculs!$CD$27&gt;0,"Attention : "&amp;Calculs!$CD$27&amp;" ligne(s) de Charge ont un dessinateur ET une ressource externe (en rouge dans Charge)","")</f>
        <v/>
      </c>
      <c r="AA8" s="40" t="n"/>
      <c r="AB8" s="40" t="n"/>
      <c r="AC8" s="40" t="n"/>
      <c r="AD8" s="40" t="n"/>
      <c r="AE8" s="40" t="n"/>
      <c r="AF8" s="40" t="n"/>
      <c r="AG8" s="40" t="n"/>
      <c r="AH8" s="40" t="n"/>
      <c r="AI8" s="40" t="n"/>
      <c r="AJ8" s="40" t="n"/>
      <c r="AK8" s="40" t="n"/>
      <c r="AL8" s="40" t="n"/>
      <c r="AM8" s="40" t="n"/>
      <c r="AN8" s="40" t="n"/>
      <c r="AO8" s="40" t="n"/>
      <c r="AP8" s="40" t="n"/>
      <c r="AQ8" s="40" t="n"/>
      <c r="AR8" s="40" t="n"/>
      <c r="AS8" s="40" t="n"/>
      <c r="AT8" s="40" t="n"/>
      <c r="AU8" s="40" t="n"/>
      <c r="AV8" s="40" t="n"/>
      <c r="AW8" s="40" t="n"/>
      <c r="AX8" s="40" t="n"/>
      <c r="AY8" s="40" t="n"/>
      <c r="AZ8" s="40" t="n"/>
      <c r="BA8" s="40" t="n"/>
      <c r="BB8" s="40" t="n"/>
      <c r="BC8" s="40" t="n"/>
      <c r="BD8" s="40" t="n"/>
      <c r="BE8" s="40" t="n"/>
      <c r="BF8" s="40" t="n"/>
      <c r="BG8" s="40" t="n"/>
      <c r="BH8" s="40" t="n"/>
      <c r="BI8" s="16" t="n"/>
    </row>
    <row r="9" ht="6" customHeight="1">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row>
    <row r="10" ht="6" customHeight="1">
      <c r="A10" s="16" t="n"/>
      <c r="B10" s="41" t="n"/>
      <c r="C10" s="26" t="n"/>
      <c r="D10" s="26" t="n"/>
      <c r="E10" s="26" t="n"/>
      <c r="F10" s="26" t="n"/>
      <c r="G10" s="26" t="n"/>
      <c r="H10" s="26" t="n"/>
      <c r="I10" s="26" t="n"/>
      <c r="J10" s="26" t="n"/>
      <c r="K10" s="26" t="n"/>
      <c r="L10" s="26" t="n"/>
      <c r="M10" s="26" t="n"/>
      <c r="N10" s="26" t="n"/>
      <c r="O10" s="42" t="n"/>
      <c r="P10" s="16" t="n"/>
      <c r="Q10" s="41" t="n"/>
      <c r="R10" s="26" t="n"/>
      <c r="S10" s="26" t="n"/>
      <c r="T10" s="26" t="n"/>
      <c r="U10" s="26" t="n"/>
      <c r="V10" s="26" t="n"/>
      <c r="W10" s="26" t="n"/>
      <c r="X10" s="26" t="n"/>
      <c r="Y10" s="26" t="n"/>
      <c r="Z10" s="26" t="n"/>
      <c r="AA10" s="26" t="n"/>
      <c r="AB10" s="26" t="n"/>
      <c r="AC10" s="26" t="n"/>
      <c r="AD10" s="42" t="n"/>
      <c r="AE10" s="16" t="n"/>
      <c r="AF10" s="41" t="n"/>
      <c r="AG10" s="26" t="n"/>
      <c r="AH10" s="26" t="n"/>
      <c r="AI10" s="26" t="n"/>
      <c r="AJ10" s="26" t="n"/>
      <c r="AK10" s="26" t="n"/>
      <c r="AL10" s="26" t="n"/>
      <c r="AM10" s="26" t="n"/>
      <c r="AN10" s="26" t="n"/>
      <c r="AO10" s="26" t="n"/>
      <c r="AP10" s="26" t="n"/>
      <c r="AQ10" s="26" t="n"/>
      <c r="AR10" s="26" t="n"/>
      <c r="AS10" s="42" t="n"/>
      <c r="AT10" s="16" t="n"/>
      <c r="AU10" s="43" t="n"/>
      <c r="AV10" s="44" t="n"/>
      <c r="AW10" s="44" t="n"/>
      <c r="AX10" s="44" t="n"/>
      <c r="AY10" s="44" t="n"/>
      <c r="AZ10" s="44" t="n"/>
      <c r="BA10" s="44" t="n"/>
      <c r="BB10" s="44" t="n"/>
      <c r="BC10" s="44" t="n"/>
      <c r="BD10" s="44" t="n"/>
      <c r="BE10" s="44" t="n"/>
      <c r="BF10" s="44" t="n"/>
      <c r="BG10" s="44" t="n"/>
      <c r="BH10" s="45" t="n"/>
      <c r="BI10" s="16" t="n"/>
    </row>
    <row r="11" ht="18" customHeight="1">
      <c r="A11" s="16" t="n"/>
      <c r="B11" s="46" t="n"/>
      <c r="C11" s="47" t="inlineStr">
        <is>
          <t>CHEFS DE PROJET</t>
        </is>
      </c>
      <c r="O11" s="48" t="n"/>
      <c r="P11" s="16" t="n"/>
      <c r="Q11" s="46" t="n"/>
      <c r="R11" s="47" t="inlineStr">
        <is>
          <t>PROGRAMMES SUIVIS</t>
        </is>
      </c>
      <c r="AD11" s="48" t="n"/>
      <c r="AE11" s="16" t="n"/>
      <c r="AF11" s="46" t="n"/>
      <c r="AG11" s="47" t="inlineStr">
        <is>
          <t>CHARGE IDENTIFIÉE</t>
        </is>
      </c>
      <c r="AS11" s="48" t="n"/>
      <c r="AT11" s="16" t="n"/>
      <c r="AU11" s="49" t="n"/>
      <c r="AV11" s="50" t="inlineStr">
        <is>
          <t>★  PLUS GROSSE AFFAIRE</t>
        </is>
      </c>
      <c r="BH11" s="51" t="n"/>
      <c r="BI11" s="16" t="n"/>
    </row>
    <row r="12" ht="34" customHeight="1">
      <c r="A12" s="16" t="n"/>
      <c r="B12" s="46" t="n"/>
      <c r="C12" s="52">
        <f>Calculs!$AL$6</f>
        <v>5</v>
      </c>
      <c r="O12" s="48" t="n"/>
      <c r="P12" s="16" t="n"/>
      <c r="Q12" s="46" t="n"/>
      <c r="R12" s="52">
        <f>Calculs!$AL$7</f>
        <v>7</v>
      </c>
      <c r="AD12" s="48" t="n"/>
      <c r="AE12" s="16" t="n"/>
      <c r="AF12" s="46" t="n"/>
      <c r="AG12" s="53">
        <f>Calculs!$AL$4</f>
        <v>3455</v>
      </c>
      <c r="AS12" s="48" t="n"/>
      <c r="AT12" s="16" t="n"/>
      <c r="AU12" s="49" t="n"/>
      <c r="AV12" s="54">
        <f>IF(Calculs!$AL$23="",0,INDEX(Calculs!$EP$4:$EP$503,Calculs!$AL$23))</f>
        <v>480</v>
      </c>
      <c r="BH12" s="51" t="n"/>
      <c r="BI12" s="16" t="n"/>
    </row>
    <row r="13" ht="15" customHeight="1">
      <c r="A13" s="16" t="n"/>
      <c r="B13" s="46" t="n"/>
      <c r="C13" s="55" t="str">
        <f>IF(p_Perimetre="Tous les projets","sur l'ensemble des projets","sur les projets en cours")</f>
        <v>sur les projets en cours</v>
      </c>
      <c r="O13" s="48" t="n"/>
      <c r="P13" s="16" t="n"/>
      <c r="Q13" s="46" t="n"/>
      <c r="R13" s="55" t="inlineStr">
        <is>
          <t>projets distincts · classés par charge</t>
        </is>
      </c>
      <c r="AD13" s="48" t="n"/>
      <c r="AE13" s="16" t="n"/>
      <c r="AF13" s="46" t="n"/>
      <c r="AG13" s="56">
        <f>Calculs!$AL$22</f>
        <v>34.55</v>
      </c>
      <c r="AS13" s="48" t="n"/>
      <c r="AT13" s="16" t="n"/>
      <c r="AU13" s="49" t="n"/>
      <c r="AV13" s="57">
        <f>IF(OR(Calculs!$AL$23="",Calculs!$AL$4=0),0,INDEX(Calculs!$EP$4:$EP$503,Calculs!$AL$23)/Calculs!$AL$4)</f>
        <v>0.138929088277858</v>
      </c>
      <c r="BH13" s="51" t="n"/>
      <c r="BI13" s="16" t="n"/>
    </row>
    <row r="14" ht="6" customHeight="1">
      <c r="A14" s="16" t="n"/>
      <c r="B14" s="46" t="n"/>
      <c r="C14" s="58" t="n"/>
      <c r="D14" s="58" t="n"/>
      <c r="E14" s="58" t="n"/>
      <c r="F14" s="58" t="n"/>
      <c r="G14" s="58" t="n"/>
      <c r="H14" s="58" t="n"/>
      <c r="I14" s="58" t="n"/>
      <c r="J14" s="58" t="n"/>
      <c r="K14" s="58" t="n"/>
      <c r="L14" s="58" t="n"/>
      <c r="M14" s="58" t="n"/>
      <c r="N14" s="58" t="n"/>
      <c r="O14" s="48" t="n"/>
      <c r="P14" s="16" t="n"/>
      <c r="Q14" s="46" t="n"/>
      <c r="R14" s="58" t="n"/>
      <c r="S14" s="58" t="n"/>
      <c r="T14" s="58" t="n"/>
      <c r="U14" s="58" t="n"/>
      <c r="V14" s="58" t="n"/>
      <c r="W14" s="58" t="n"/>
      <c r="X14" s="58" t="n"/>
      <c r="Y14" s="58" t="n"/>
      <c r="Z14" s="58" t="n"/>
      <c r="AA14" s="58" t="n"/>
      <c r="AB14" s="58" t="n"/>
      <c r="AC14" s="58" t="n"/>
      <c r="AD14" s="48" t="n"/>
      <c r="AE14" s="16" t="n"/>
      <c r="AF14" s="46" t="n"/>
      <c r="AG14" s="58" t="n"/>
      <c r="AH14" s="58" t="n"/>
      <c r="AI14" s="58" t="n"/>
      <c r="AJ14" s="58" t="n"/>
      <c r="AK14" s="58" t="n"/>
      <c r="AL14" s="58" t="n"/>
      <c r="AM14" s="58" t="n"/>
      <c r="AN14" s="58" t="n"/>
      <c r="AO14" s="58" t="n"/>
      <c r="AP14" s="58" t="n"/>
      <c r="AQ14" s="58" t="n"/>
      <c r="AR14" s="58" t="n"/>
      <c r="AS14" s="48" t="n"/>
      <c r="AT14" s="16" t="n"/>
      <c r="AU14" s="49" t="n"/>
      <c r="AV14" s="59" t="n"/>
      <c r="AW14" s="59" t="n"/>
      <c r="AX14" s="59" t="n"/>
      <c r="AY14" s="59" t="n"/>
      <c r="AZ14" s="59" t="n"/>
      <c r="BA14" s="59" t="n"/>
      <c r="BB14" s="59" t="n"/>
      <c r="BC14" s="59" t="n"/>
      <c r="BD14" s="59" t="n"/>
      <c r="BE14" s="59" t="n"/>
      <c r="BF14" s="59" t="n"/>
      <c r="BG14" s="59" t="n"/>
      <c r="BH14" s="51" t="n"/>
      <c r="BI14" s="16" t="n"/>
    </row>
    <row r="15" ht="16" customHeight="1">
      <c r="A15" s="16" t="n"/>
      <c r="B15" s="46" t="n"/>
      <c r="C15" s="60" t="str">
        <f>Calculs!BL4</f>
        <v>Julie Martin</v>
      </c>
      <c r="L15" s="61">
        <f>Calculs!BM4</f>
        <v>860</v>
      </c>
      <c r="O15" s="48" t="n"/>
      <c r="P15" s="16" t="n"/>
      <c r="Q15" s="46" t="n"/>
      <c r="R15" s="62" t="n"/>
      <c r="S15" s="60" t="str">
        <f>Calculs!BP4</f>
        <v>ATLAS</v>
      </c>
      <c r="AA15" s="61">
        <f>Calculs!BQ4</f>
        <v>860</v>
      </c>
      <c r="AD15" s="48" t="n"/>
      <c r="AE15" s="16" t="n"/>
      <c r="AF15" s="46" t="n"/>
      <c r="AG15" s="60" t="inlineStr">
        <is>
          <t>Réalisé (selon avancement)</t>
        </is>
      </c>
      <c r="AP15" s="63">
        <f>Calculs!$AL$9</f>
        <v>339.5</v>
      </c>
      <c r="AS15" s="48" t="n"/>
      <c r="AT15" s="16" t="n"/>
      <c r="AU15" s="49" t="n"/>
      <c r="AV15" s="64" t="inlineStr">
        <is>
          <t>Projet</t>
        </is>
      </c>
      <c r="BA15" s="65" t="str">
        <f>IF(Calculs!$AL$23="","—",INDEX(Charge!$B:$B,Calculs!$AL$23+3)&amp;"")</f>
        <v>PÉGASE</v>
      </c>
      <c r="BH15" s="51" t="n"/>
      <c r="BI15" s="16" t="n"/>
    </row>
    <row r="16" ht="16" customHeight="1">
      <c r="A16" s="16" t="n"/>
      <c r="B16" s="46" t="n"/>
      <c r="C16" s="60" t="str">
        <f>Calculs!BL5</f>
        <v>Thomas Bernard</v>
      </c>
      <c r="L16" s="61">
        <f>Calculs!BM5</f>
        <v>820</v>
      </c>
      <c r="O16" s="48" t="n"/>
      <c r="P16" s="16" t="n"/>
      <c r="Q16" s="46" t="n"/>
      <c r="R16" s="66" t="n"/>
      <c r="S16" s="60" t="str">
        <f>Calculs!BP5</f>
        <v>BORÉAL</v>
      </c>
      <c r="AA16" s="61">
        <f>Calculs!BQ5</f>
        <v>620</v>
      </c>
      <c r="AD16" s="48" t="n"/>
      <c r="AE16" s="16" t="n"/>
      <c r="AF16" s="46" t="n"/>
      <c r="AG16" s="60" t="inlineStr">
        <is>
          <t>Reste à faire</t>
        </is>
      </c>
      <c r="AP16" s="63">
        <f>Calculs!$AL$10</f>
        <v>3115.5</v>
      </c>
      <c r="AS16" s="48" t="n"/>
      <c r="AT16" s="16" t="n"/>
      <c r="AU16" s="49" t="n"/>
      <c r="AV16" s="64" t="inlineStr">
        <is>
          <t>Sous-projet</t>
        </is>
      </c>
      <c r="BA16" s="65" t="str">
        <f>IF(Calculs!$AL$23="","—",INDEX(Charge!$C:$C,Calculs!$AL$23+3)&amp;"")</f>
        <v>Lot 1</v>
      </c>
      <c r="BH16" s="51" t="n"/>
      <c r="BI16" s="16" t="n"/>
    </row>
    <row r="17" ht="16" customHeight="1">
      <c r="A17" s="16" t="n"/>
      <c r="B17" s="46" t="n"/>
      <c r="C17" s="60" t="str">
        <f>Calculs!BL6</f>
        <v>Sophie Lefèvre</v>
      </c>
      <c r="L17" s="61">
        <f>Calculs!BM6</f>
        <v>750</v>
      </c>
      <c r="O17" s="48" t="n"/>
      <c r="P17" s="16" t="n"/>
      <c r="Q17" s="46" t="n"/>
      <c r="R17" s="67" t="n"/>
      <c r="S17" s="60" t="str">
        <f>Calculs!BP6</f>
        <v>DELTA</v>
      </c>
      <c r="AA17" s="61">
        <f>Calculs!BQ6</f>
        <v>560</v>
      </c>
      <c r="AD17" s="48" t="n"/>
      <c r="AE17" s="16" t="n"/>
      <c r="AF17" s="46" t="n"/>
      <c r="AG17" s="68" t="n"/>
      <c r="AH17" s="68" t="n"/>
      <c r="AI17" s="68" t="n"/>
      <c r="AJ17" s="68" t="n"/>
      <c r="AK17" s="68" t="n"/>
      <c r="AL17" s="68" t="n"/>
      <c r="AM17" s="68" t="n"/>
      <c r="AN17" s="68" t="n"/>
      <c r="AO17" s="68" t="n"/>
      <c r="AP17" s="68" t="n"/>
      <c r="AQ17" s="68" t="n"/>
      <c r="AR17" s="68" t="n"/>
      <c r="AS17" s="48" t="n"/>
      <c r="AT17" s="16" t="n"/>
      <c r="AU17" s="49" t="n"/>
      <c r="AV17" s="64" t="inlineStr">
        <is>
          <t>Produit</t>
        </is>
      </c>
      <c r="BA17" s="65" t="str">
        <f>IF(Calculs!$AL$23="","—",INDEX(Charge!$D:$D,Calculs!$AL$23+3)&amp;"")</f>
        <v>Ensemble complet</v>
      </c>
      <c r="BH17" s="51" t="n"/>
      <c r="BI17" s="16" t="n"/>
    </row>
    <row r="18" ht="16" customHeight="1">
      <c r="A18" s="16" t="n"/>
      <c r="B18" s="46" t="n"/>
      <c r="C18" s="60" t="str">
        <f>Calculs!BL7</f>
        <v>Camille Laurent</v>
      </c>
      <c r="L18" s="61">
        <f>Calculs!BM7</f>
        <v>675</v>
      </c>
      <c r="O18" s="48" t="n"/>
      <c r="P18" s="16" t="n"/>
      <c r="Q18" s="46" t="n"/>
      <c r="R18" s="69" t="n"/>
      <c r="S18" s="60" t="str">
        <f>Calculs!BP7</f>
        <v>PÉGASE</v>
      </c>
      <c r="AA18" s="61">
        <f>Calculs!BQ7</f>
        <v>550</v>
      </c>
      <c r="AD18" s="48" t="n"/>
      <c r="AE18" s="16" t="n"/>
      <c r="AF18" s="46" t="n"/>
      <c r="AG18" s="70" t="inlineStr">
        <is>
          <t>PAR TYPE D'AFFAIRE</t>
        </is>
      </c>
      <c r="AS18" s="48" t="n"/>
      <c r="AT18" s="16" t="n"/>
      <c r="AU18" s="49" t="n"/>
      <c r="AV18" s="64" t="inlineStr">
        <is>
          <t>Chef de projet</t>
        </is>
      </c>
      <c r="BA18" s="65" t="str">
        <f>IF(Calculs!$AL$23="","—",INDEX(Charge!$A:$A,Calculs!$AL$23+3)&amp;"")</f>
        <v>Camille Laurent</v>
      </c>
      <c r="BH18" s="51" t="n"/>
      <c r="BI18" s="16" t="n"/>
    </row>
    <row r="19" ht="16" customHeight="1">
      <c r="A19" s="16" t="n"/>
      <c r="B19" s="46" t="n"/>
      <c r="C19" s="60" t="str">
        <f>Calculs!BL8</f>
        <v>Nicolas Moreau</v>
      </c>
      <c r="L19" s="61">
        <f>Calculs!BM8</f>
        <v>350</v>
      </c>
      <c r="O19" s="48" t="n"/>
      <c r="P19" s="16" t="n"/>
      <c r="Q19" s="46" t="n"/>
      <c r="R19" s="71" t="n"/>
      <c r="S19" s="60" t="str">
        <f>Calculs!BP8</f>
        <v>CASSIOPÉE</v>
      </c>
      <c r="AA19" s="61">
        <f>Calculs!BQ8</f>
        <v>390</v>
      </c>
      <c r="AD19" s="48" t="n"/>
      <c r="AE19" s="16" t="n"/>
      <c r="AF19" s="46" t="n"/>
      <c r="AG19" s="60" t="str">
        <f>Calculs!BT4</f>
        <v>Étude de conception</v>
      </c>
      <c r="AP19" s="61">
        <f>Calculs!BU4</f>
        <v>2030</v>
      </c>
      <c r="AS19" s="48" t="n"/>
      <c r="AT19" s="16" t="n"/>
      <c r="AU19" s="49" t="n"/>
      <c r="AV19" s="64" t="inlineStr">
        <is>
          <t>Ressources</t>
        </is>
      </c>
      <c r="BA19" s="65" t="str">
        <f>IF(Calculs!$AL$23="","—",INDEX(Calculs!$ET$4:$ET$503,Calculs!$AL$23)&amp;"")</f>
        <v>2 dont 1 ext.</v>
      </c>
      <c r="BH19" s="51" t="n"/>
      <c r="BI19" s="16" t="n"/>
    </row>
    <row r="20" ht="16" customHeight="1">
      <c r="A20" s="16" t="n"/>
      <c r="B20" s="46" t="n"/>
      <c r="C20" s="60" t="str">
        <f>Calculs!BL9</f>
        <v/>
      </c>
      <c r="L20" s="61" t="str">
        <f>Calculs!BM9</f>
        <v/>
      </c>
      <c r="O20" s="48" t="n"/>
      <c r="P20" s="16" t="n"/>
      <c r="Q20" s="46" t="n"/>
      <c r="R20" s="72" t="n"/>
      <c r="S20" s="60" t="str">
        <f>Calculs!BP9</f>
        <v>ORION</v>
      </c>
      <c r="AA20" s="61">
        <f>Calculs!BQ9</f>
        <v>280</v>
      </c>
      <c r="AD20" s="48" t="n"/>
      <c r="AE20" s="16" t="n"/>
      <c r="AF20" s="46" t="n"/>
      <c r="AG20" s="60" t="str">
        <f>Calculs!BT5</f>
        <v>Industrialisation</v>
      </c>
      <c r="AP20" s="61">
        <f>Calculs!BU5</f>
        <v>540</v>
      </c>
      <c r="AS20" s="48" t="n"/>
      <c r="AT20" s="16" t="n"/>
      <c r="AU20" s="49" t="n"/>
      <c r="AV20" s="64" t="inlineStr">
        <is>
          <t>Début planifié</t>
        </is>
      </c>
      <c r="BA20" s="73">
        <f>IF(Calculs!$AL$23="","",IF(INDEX(Calculs!$EW$4:$EW$503,Calculs!$AL$23)&gt;=2958465,"—",INDEX(Calculs!$EW$4:$EW$503,Calculs!$AL$23)))</f>
        <v>46461.0</v>
      </c>
      <c r="BH20" s="51" t="n"/>
      <c r="BI20" s="16" t="n"/>
    </row>
    <row r="21" ht="16" customHeight="1">
      <c r="A21" s="16" t="n"/>
      <c r="B21" s="46" t="n"/>
      <c r="C21" s="60" t="str">
        <f>Calculs!BL10</f>
        <v/>
      </c>
      <c r="L21" s="61" t="str">
        <f>Calculs!BM10</f>
        <v/>
      </c>
      <c r="O21" s="48" t="n"/>
      <c r="P21" s="16" t="n"/>
      <c r="Q21" s="46" t="n"/>
      <c r="R21" s="74" t="n"/>
      <c r="S21" s="60" t="str">
        <f>Calculs!BP10</f>
        <v>VEGA</v>
      </c>
      <c r="AA21" s="61">
        <f>Calculs!BQ10</f>
        <v>195</v>
      </c>
      <c r="AD21" s="48" t="n"/>
      <c r="AE21" s="16" t="n"/>
      <c r="AF21" s="46" t="n"/>
      <c r="AG21" s="60" t="str">
        <f>Calculs!BT6</f>
        <v>Modification</v>
      </c>
      <c r="AP21" s="61">
        <f>Calculs!BU6</f>
        <v>535</v>
      </c>
      <c r="AS21" s="48" t="n"/>
      <c r="AT21" s="16" t="n"/>
      <c r="AU21" s="49" t="n"/>
      <c r="AV21" s="64" t="inlineStr">
        <is>
          <t>Date de besoin</t>
        </is>
      </c>
      <c r="BA21" s="73">
        <f>IF(Calculs!$AL$23="","",IF(INDEX(Calculs!$EY$4:$EY$503,Calculs!$AL$23)=0,"—",INDEX(Calculs!$EY$4:$EY$503,Calculs!$AL$23)))</f>
        <v>46660.0</v>
      </c>
      <c r="BH21" s="51" t="n"/>
      <c r="BI21" s="16" t="n"/>
    </row>
    <row r="22" ht="16" customHeight="1">
      <c r="A22" s="16" t="n"/>
      <c r="B22" s="46" t="n"/>
      <c r="C22" s="60" t="str">
        <f>Calculs!BL11</f>
        <v/>
      </c>
      <c r="L22" s="61" t="str">
        <f>Calculs!BM11</f>
        <v/>
      </c>
      <c r="O22" s="48" t="n"/>
      <c r="P22" s="16" t="n"/>
      <c r="Q22" s="46" t="n"/>
      <c r="R22" s="75" t="n"/>
      <c r="S22" s="60" t="str">
        <f>Calculs!BP11</f>
        <v/>
      </c>
      <c r="AA22" s="61" t="str">
        <f>Calculs!BQ11</f>
        <v/>
      </c>
      <c r="AD22" s="48" t="n"/>
      <c r="AE22" s="16" t="n"/>
      <c r="AF22" s="46" t="n"/>
      <c r="AG22" s="60" t="str">
        <f>Calculs!BT7</f>
        <v>+ 2 autres types</v>
      </c>
      <c r="AP22" s="61">
        <f>Calculs!BU7</f>
        <v>350</v>
      </c>
      <c r="AS22" s="48" t="n"/>
      <c r="AT22" s="16" t="n"/>
      <c r="AU22" s="49" t="n"/>
      <c r="AV22" s="64" t="inlineStr">
        <is>
          <t>Avancement</t>
        </is>
      </c>
      <c r="BA22" s="76">
        <f>IF(Calculs!$AL$23="","",INDEX(Calculs!$EU$4:$EU$503,Calculs!$AL$23))</f>
        <v>0</v>
      </c>
      <c r="BH22" s="51" t="n"/>
      <c r="BI22" s="16" t="n"/>
    </row>
    <row r="23" ht="8" customHeight="1">
      <c r="A23" s="16" t="n"/>
      <c r="B23" s="30" t="n"/>
      <c r="C23" s="31" t="n"/>
      <c r="D23" s="31" t="n"/>
      <c r="E23" s="31" t="n"/>
      <c r="F23" s="31" t="n"/>
      <c r="G23" s="31" t="n"/>
      <c r="H23" s="31" t="n"/>
      <c r="I23" s="31" t="n"/>
      <c r="J23" s="31" t="n"/>
      <c r="K23" s="31" t="n"/>
      <c r="L23" s="31" t="n"/>
      <c r="M23" s="31" t="n"/>
      <c r="N23" s="31" t="n"/>
      <c r="O23" s="77" t="n"/>
      <c r="P23" s="16" t="n"/>
      <c r="Q23" s="30" t="n"/>
      <c r="R23" s="31" t="n"/>
      <c r="S23" s="31" t="n"/>
      <c r="T23" s="31" t="n"/>
      <c r="U23" s="31" t="n"/>
      <c r="V23" s="31" t="n"/>
      <c r="W23" s="31" t="n"/>
      <c r="X23" s="31" t="n"/>
      <c r="Y23" s="31" t="n"/>
      <c r="Z23" s="31" t="n"/>
      <c r="AA23" s="31" t="n"/>
      <c r="AB23" s="31" t="n"/>
      <c r="AC23" s="31" t="n"/>
      <c r="AD23" s="77" t="n"/>
      <c r="AE23" s="16" t="n"/>
      <c r="AF23" s="30" t="n"/>
      <c r="AG23" s="31" t="n"/>
      <c r="AH23" s="31" t="n"/>
      <c r="AI23" s="31" t="n"/>
      <c r="AJ23" s="31" t="n"/>
      <c r="AK23" s="31" t="n"/>
      <c r="AL23" s="31" t="n"/>
      <c r="AM23" s="31" t="n"/>
      <c r="AN23" s="31" t="n"/>
      <c r="AO23" s="31" t="n"/>
      <c r="AP23" s="31" t="n"/>
      <c r="AQ23" s="31" t="n"/>
      <c r="AR23" s="31" t="n"/>
      <c r="AS23" s="77" t="n"/>
      <c r="AT23" s="16" t="n"/>
      <c r="AU23" s="78" t="n"/>
      <c r="AV23" s="79" t="n"/>
      <c r="AW23" s="79" t="n"/>
      <c r="AX23" s="79" t="n"/>
      <c r="AY23" s="79" t="n"/>
      <c r="AZ23" s="79" t="n"/>
      <c r="BA23" s="79" t="n"/>
      <c r="BB23" s="79" t="n"/>
      <c r="BC23" s="79" t="n"/>
      <c r="BD23" s="79" t="n"/>
      <c r="BE23" s="79" t="n"/>
      <c r="BF23" s="79" t="n"/>
      <c r="BG23" s="79" t="n"/>
      <c r="BH23" s="80" t="n"/>
      <c r="BI23" s="16" t="n"/>
    </row>
    <row r="24" ht="14"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c r="AL24" s="16" t="n"/>
      <c r="AM24" s="16" t="n"/>
      <c r="AN24" s="16" t="n"/>
      <c r="AO24" s="16" t="n"/>
      <c r="AP24" s="16" t="n"/>
      <c r="AQ24" s="16" t="n"/>
      <c r="AR24" s="16" t="n"/>
      <c r="AS24" s="16" t="n"/>
      <c r="AT24" s="16" t="n"/>
      <c r="AU24" s="16" t="n"/>
      <c r="AV24" s="16" t="n"/>
      <c r="AW24" s="16" t="n"/>
      <c r="AX24" s="16" t="n"/>
      <c r="AY24" s="16" t="n"/>
      <c r="AZ24" s="16" t="n"/>
      <c r="BA24" s="16" t="n"/>
      <c r="BB24" s="16" t="n"/>
      <c r="BC24" s="16" t="n"/>
      <c r="BD24" s="16" t="n"/>
      <c r="BE24" s="16" t="n"/>
      <c r="BF24" s="16" t="n"/>
      <c r="BG24" s="16" t="n"/>
      <c r="BH24" s="16" t="n"/>
      <c r="BI24" s="16" t="n"/>
    </row>
    <row r="25" ht="20" customHeight="1">
      <c r="A25" s="16" t="n"/>
      <c r="B25" s="37" t="inlineStr">
        <is>
          <t>INDICATEURS CLÉS</t>
        </is>
      </c>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c r="AA25" s="38" t="n"/>
      <c r="AB25" s="38" t="n"/>
      <c r="AC25" s="38" t="n"/>
      <c r="AD25" s="38" t="n"/>
      <c r="AE25" s="38" t="n"/>
      <c r="AF25" s="38" t="n"/>
      <c r="AG25" s="38" t="n"/>
      <c r="AH25" s="38" t="n"/>
      <c r="AI25" s="38" t="n"/>
      <c r="AJ25" s="38" t="n"/>
      <c r="AK25" s="38" t="n"/>
      <c r="AL25" s="38" t="n"/>
      <c r="AM25" s="38" t="n"/>
      <c r="AN25" s="38" t="n"/>
      <c r="AO25" s="38" t="n"/>
      <c r="AP25" s="38" t="n"/>
      <c r="AQ25" s="38" t="n"/>
      <c r="AR25" s="38" t="n"/>
      <c r="AS25" s="38" t="n"/>
      <c r="AT25" s="38" t="n"/>
      <c r="AU25" s="38" t="n"/>
      <c r="AV25" s="38" t="n"/>
      <c r="AW25" s="38" t="n"/>
      <c r="AX25" s="38" t="n"/>
      <c r="AY25" s="38" t="n"/>
      <c r="AZ25" s="38" t="n"/>
      <c r="BA25" s="38" t="n"/>
      <c r="BB25" s="38" t="n"/>
      <c r="BC25" s="38" t="n"/>
      <c r="BD25" s="38" t="n"/>
      <c r="BE25" s="38" t="n"/>
      <c r="BF25" s="38" t="n"/>
      <c r="BG25" s="38" t="n"/>
      <c r="BH25" s="38" t="n"/>
      <c r="BI25" s="16" t="n"/>
    </row>
    <row r="26" ht="6" customHeight="1">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c r="AL26" s="16" t="n"/>
      <c r="AM26" s="16" t="n"/>
      <c r="AN26" s="16" t="n"/>
      <c r="AO26" s="16" t="n"/>
      <c r="AP26" s="16" t="n"/>
      <c r="AQ26" s="16" t="n"/>
      <c r="AR26" s="16" t="n"/>
      <c r="AS26" s="16" t="n"/>
      <c r="AT26" s="16" t="n"/>
      <c r="AU26" s="16" t="n"/>
      <c r="AV26" s="16" t="n"/>
      <c r="AW26" s="16" t="n"/>
      <c r="AX26" s="16" t="n"/>
      <c r="AY26" s="16" t="n"/>
      <c r="AZ26" s="16" t="n"/>
      <c r="BA26" s="16" t="n"/>
      <c r="BB26" s="16" t="n"/>
      <c r="BC26" s="16" t="n"/>
      <c r="BD26" s="16" t="n"/>
      <c r="BE26" s="16" t="n"/>
      <c r="BF26" s="16" t="n"/>
      <c r="BG26" s="16" t="n"/>
      <c r="BH26" s="16" t="n"/>
      <c r="BI26" s="16" t="n"/>
    </row>
    <row r="27" ht="6" customHeight="1">
      <c r="A27" s="16" t="n"/>
      <c r="B27" s="81" t="n"/>
      <c r="C27" s="82" t="n"/>
      <c r="D27" s="82" t="n"/>
      <c r="E27" s="82" t="n"/>
      <c r="F27" s="82" t="n"/>
      <c r="G27" s="82" t="n"/>
      <c r="H27" s="82" t="n"/>
      <c r="I27" s="82" t="n"/>
      <c r="J27" s="82" t="n"/>
      <c r="K27" s="82" t="n"/>
      <c r="L27" s="83" t="n"/>
      <c r="M27" s="16" t="n"/>
      <c r="N27" s="81" t="n"/>
      <c r="O27" s="82" t="n"/>
      <c r="P27" s="82" t="n"/>
      <c r="Q27" s="82" t="n"/>
      <c r="R27" s="82" t="n"/>
      <c r="S27" s="82" t="n"/>
      <c r="T27" s="82" t="n"/>
      <c r="U27" s="82" t="n"/>
      <c r="V27" s="82" t="n"/>
      <c r="W27" s="82" t="n"/>
      <c r="X27" s="83" t="n"/>
      <c r="Y27" s="16" t="n"/>
      <c r="Z27" s="81" t="n"/>
      <c r="AA27" s="82" t="n"/>
      <c r="AB27" s="82" t="n"/>
      <c r="AC27" s="82" t="n"/>
      <c r="AD27" s="82" t="n"/>
      <c r="AE27" s="82" t="n"/>
      <c r="AF27" s="82" t="n"/>
      <c r="AG27" s="82" t="n"/>
      <c r="AH27" s="82" t="n"/>
      <c r="AI27" s="82" t="n"/>
      <c r="AJ27" s="83" t="n"/>
      <c r="AK27" s="16" t="n"/>
      <c r="AL27" s="81" t="n"/>
      <c r="AM27" s="82" t="n"/>
      <c r="AN27" s="82" t="n"/>
      <c r="AO27" s="82" t="n"/>
      <c r="AP27" s="82" t="n"/>
      <c r="AQ27" s="82" t="n"/>
      <c r="AR27" s="82" t="n"/>
      <c r="AS27" s="82" t="n"/>
      <c r="AT27" s="82" t="n"/>
      <c r="AU27" s="82" t="n"/>
      <c r="AV27" s="83" t="n"/>
      <c r="AW27" s="16" t="n"/>
      <c r="AX27" s="81" t="n"/>
      <c r="AY27" s="82" t="n"/>
      <c r="AZ27" s="82" t="n"/>
      <c r="BA27" s="82" t="n"/>
      <c r="BB27" s="82" t="n"/>
      <c r="BC27" s="82" t="n"/>
      <c r="BD27" s="82" t="n"/>
      <c r="BE27" s="82" t="n"/>
      <c r="BF27" s="82" t="n"/>
      <c r="BG27" s="82" t="n"/>
      <c r="BH27" s="83" t="n"/>
      <c r="BI27" s="16" t="n"/>
    </row>
    <row r="28" ht="18" customHeight="1">
      <c r="A28" s="16" t="n"/>
      <c r="B28" s="46" t="n"/>
      <c r="C28" s="47" t="inlineStr">
        <is>
          <t>CHARGE TOTALE IDENTIFIÉE</t>
        </is>
      </c>
      <c r="L28" s="48" t="n"/>
      <c r="M28" s="16" t="n"/>
      <c r="N28" s="46" t="n"/>
      <c r="O28" s="47" t="inlineStr">
        <is>
          <t>PIC DE CHARGE</t>
        </is>
      </c>
      <c r="X28" s="48" t="n"/>
      <c r="Y28" s="16" t="n"/>
      <c r="Z28" s="46" t="n"/>
      <c r="AA28" s="47" t="inlineStr">
        <is>
          <t>MOIS LE PLUS CHARGÉ</t>
        </is>
      </c>
      <c r="AJ28" s="48" t="n"/>
      <c r="AK28" s="16" t="n"/>
      <c r="AL28" s="46" t="n"/>
      <c r="AM28" s="47" t="inlineStr">
        <is>
          <t>NOMBRE D'AFFAIRES</t>
        </is>
      </c>
      <c r="AV28" s="48" t="n"/>
      <c r="AW28" s="16" t="n"/>
      <c r="AX28" s="46" t="n"/>
      <c r="AY28" s="47" t="inlineStr">
        <is>
          <t>TAUX D'AVANCEMENT MOYEN</t>
        </is>
      </c>
      <c r="BH28" s="48" t="n"/>
      <c r="BI28" s="16" t="n"/>
    </row>
    <row r="29" ht="34" customHeight="1">
      <c r="A29" s="16" t="n"/>
      <c r="B29" s="46" t="n"/>
      <c r="C29" s="84">
        <f>Calculs!$AL$4</f>
        <v>3455</v>
      </c>
      <c r="L29" s="48" t="n"/>
      <c r="M29" s="16" t="n"/>
      <c r="N29" s="46" t="n"/>
      <c r="O29" s="84">
        <f>Calculs!$AL$17</f>
        <v>507.840504944044</v>
      </c>
      <c r="X29" s="48" t="n"/>
      <c r="Y29" s="16" t="n"/>
      <c r="Z29" s="46" t="n"/>
      <c r="AA29" s="85">
        <f>IF(Calculs!$AL$17=0,"—",Calculs!$AL$19)</f>
        <v>46447.0</v>
      </c>
      <c r="AJ29" s="48" t="n"/>
      <c r="AK29" s="16" t="n"/>
      <c r="AL29" s="46" t="n"/>
      <c r="AM29" s="86">
        <f>Calculs!$AL$5</f>
        <v>17</v>
      </c>
      <c r="AV29" s="48" t="n"/>
      <c r="AW29" s="16" t="n"/>
      <c r="AX29" s="46" t="n"/>
      <c r="AY29" s="87">
        <f>Calculs!$AL$11</f>
        <v>0.111204481792717</v>
      </c>
      <c r="BH29" s="48" t="n"/>
      <c r="BI29" s="16" t="n"/>
    </row>
    <row r="30" ht="15" customHeight="1">
      <c r="A30" s="16" t="n"/>
      <c r="B30" s="46" t="n"/>
      <c r="C30" s="88">
        <f>Calculs!$AL$10</f>
        <v>3115.5</v>
      </c>
      <c r="L30" s="48" t="n"/>
      <c r="M30" s="16" t="n"/>
      <c r="N30" s="46" t="n"/>
      <c r="O30" s="89">
        <f>Calculs!$AL$19</f>
        <v>46447.0</v>
      </c>
      <c r="X30" s="48" t="n"/>
      <c r="Y30" s="16" t="n"/>
      <c r="Z30" s="46" t="n"/>
      <c r="AA30" s="90">
        <f>Calculs!$AL$20</f>
        <v>9</v>
      </c>
      <c r="AJ30" s="48" t="n"/>
      <c r="AK30" s="16" t="n"/>
      <c r="AL30" s="46" t="n"/>
      <c r="AM30" s="91">
        <f>Calculs!$AL$7</f>
        <v>7</v>
      </c>
      <c r="AV30" s="48" t="n"/>
      <c r="AW30" s="16" t="n"/>
      <c r="AX30" s="46" t="n"/>
      <c r="AY30" s="92">
        <f>Calculs!$AL$12</f>
        <v>0.0982633863965268</v>
      </c>
      <c r="BH30" s="48" t="n"/>
      <c r="BI30" s="16" t="n"/>
    </row>
    <row r="31" ht="15" customHeight="1">
      <c r="A31" s="16" t="n"/>
      <c r="B31" s="46" t="n"/>
      <c r="C31" s="93">
        <f>Calculs!$AL$5</f>
        <v>17</v>
      </c>
      <c r="L31" s="48" t="n"/>
      <c r="M31" s="16" t="n"/>
      <c r="N31" s="46" t="n"/>
      <c r="O31" s="94">
        <f>Calculs!$AL$21</f>
        <v>5.07840504944044</v>
      </c>
      <c r="X31" s="48" t="n"/>
      <c r="Y31" s="16" t="n"/>
      <c r="Z31" s="46" t="n"/>
      <c r="AA31" s="95">
        <f>Calculs!$AL$26</f>
        <v>0.150174619500457</v>
      </c>
      <c r="AJ31" s="48" t="n"/>
      <c r="AK31" s="16" t="n"/>
      <c r="AL31" s="46" t="n"/>
      <c r="AM31" s="96" t="str">
        <f>IF(p_Perimetre="Tous les projets","dont "&amp;Calculs!$AL$24&amp;" ligne(s) terminée(s)",Calculs!$AL$24&amp;" ligne(s) terminée(s) non comptée(s)")</f>
        <v>2 ligne(s) terminée(s) non comptée(s)</v>
      </c>
      <c r="AV31" s="48" t="n"/>
      <c r="AW31" s="16" t="n"/>
      <c r="AX31" s="46" t="n"/>
      <c r="AY31" s="96" t="inlineStr">
        <is>
          <t>moyenne simple par affaire</t>
        </is>
      </c>
      <c r="BH31" s="48" t="n"/>
      <c r="BI31" s="16" t="n"/>
    </row>
    <row r="32" ht="8" customHeight="1">
      <c r="A32" s="16" t="n"/>
      <c r="B32" s="30" t="n"/>
      <c r="C32" s="31" t="n"/>
      <c r="D32" s="31" t="n"/>
      <c r="E32" s="31" t="n"/>
      <c r="F32" s="31" t="n"/>
      <c r="G32" s="31" t="n"/>
      <c r="H32" s="31" t="n"/>
      <c r="I32" s="31" t="n"/>
      <c r="J32" s="31" t="n"/>
      <c r="K32" s="31" t="n"/>
      <c r="L32" s="77" t="n"/>
      <c r="M32" s="16" t="n"/>
      <c r="N32" s="30" t="n"/>
      <c r="O32" s="31" t="n"/>
      <c r="P32" s="31" t="n"/>
      <c r="Q32" s="31" t="n"/>
      <c r="R32" s="31" t="n"/>
      <c r="S32" s="31" t="n"/>
      <c r="T32" s="31" t="n"/>
      <c r="U32" s="31" t="n"/>
      <c r="V32" s="31" t="n"/>
      <c r="W32" s="31" t="n"/>
      <c r="X32" s="77" t="n"/>
      <c r="Y32" s="16" t="n"/>
      <c r="Z32" s="30" t="n"/>
      <c r="AA32" s="31" t="n"/>
      <c r="AB32" s="31" t="n"/>
      <c r="AC32" s="31" t="n"/>
      <c r="AD32" s="31" t="n"/>
      <c r="AE32" s="31" t="n"/>
      <c r="AF32" s="31" t="n"/>
      <c r="AG32" s="31" t="n"/>
      <c r="AH32" s="31" t="n"/>
      <c r="AI32" s="31" t="n"/>
      <c r="AJ32" s="77" t="n"/>
      <c r="AK32" s="16" t="n"/>
      <c r="AL32" s="30" t="n"/>
      <c r="AM32" s="31" t="n"/>
      <c r="AN32" s="31" t="n"/>
      <c r="AO32" s="31" t="n"/>
      <c r="AP32" s="31" t="n"/>
      <c r="AQ32" s="31" t="n"/>
      <c r="AR32" s="31" t="n"/>
      <c r="AS32" s="31" t="n"/>
      <c r="AT32" s="31" t="n"/>
      <c r="AU32" s="31" t="n"/>
      <c r="AV32" s="77" t="n"/>
      <c r="AW32" s="16" t="n"/>
      <c r="AX32" s="30" t="n"/>
      <c r="AY32" s="31" t="n"/>
      <c r="AZ32" s="31" t="n"/>
      <c r="BA32" s="31" t="n"/>
      <c r="BB32" s="31" t="n"/>
      <c r="BC32" s="31" t="n"/>
      <c r="BD32" s="31" t="n"/>
      <c r="BE32" s="31" t="n"/>
      <c r="BF32" s="31" t="n"/>
      <c r="BG32" s="31" t="n"/>
      <c r="BH32" s="77" t="n"/>
      <c r="BI32" s="16" t="n"/>
    </row>
    <row r="33" ht="14" customHeight="1">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c r="AE33" s="16" t="n"/>
      <c r="AF33" s="16" t="n"/>
      <c r="AG33" s="16" t="n"/>
      <c r="AH33" s="16" t="n"/>
      <c r="AI33" s="16" t="n"/>
      <c r="AJ33" s="16" t="n"/>
      <c r="AK33" s="16" t="n"/>
      <c r="AL33" s="16" t="n"/>
      <c r="AM33" s="16" t="n"/>
      <c r="AN33" s="16" t="n"/>
      <c r="AO33" s="16" t="n"/>
      <c r="AP33" s="16" t="n"/>
      <c r="AQ33" s="16" t="n"/>
      <c r="AR33" s="16" t="n"/>
      <c r="AS33" s="16" t="n"/>
      <c r="AT33" s="16" t="n"/>
      <c r="AU33" s="16" t="n"/>
      <c r="AV33" s="16" t="n"/>
      <c r="AW33" s="16" t="n"/>
      <c r="AX33" s="16" t="n"/>
      <c r="AY33" s="16" t="n"/>
      <c r="AZ33" s="16" t="n"/>
      <c r="BA33" s="16" t="n"/>
      <c r="BB33" s="16" t="n"/>
      <c r="BC33" s="16" t="n"/>
      <c r="BD33" s="16" t="n"/>
      <c r="BE33" s="16" t="n"/>
      <c r="BF33" s="16" t="n"/>
      <c r="BG33" s="16" t="n"/>
      <c r="BH33" s="16" t="n"/>
      <c r="BI33" s="16" t="n"/>
    </row>
    <row r="34" ht="20" customHeight="1">
      <c r="A34" s="16" t="n"/>
      <c r="B34" s="37" t="inlineStr">
        <is>
          <t>RÉPARTITION DE LA CHARGE</t>
        </is>
      </c>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c r="AA34" s="38" t="n"/>
      <c r="AB34" s="38" t="n"/>
      <c r="AC34" s="38" t="n"/>
      <c r="AD34" s="38" t="n"/>
      <c r="AE34" s="38" t="n"/>
      <c r="AF34" s="38" t="n"/>
      <c r="AG34" s="38" t="n"/>
      <c r="AH34" s="38" t="n"/>
      <c r="AI34" s="38" t="n"/>
      <c r="AJ34" s="38" t="n"/>
      <c r="AK34" s="38" t="n"/>
      <c r="AL34" s="38" t="n"/>
      <c r="AM34" s="38" t="n"/>
      <c r="AN34" s="38" t="n"/>
      <c r="AO34" s="38" t="n"/>
      <c r="AP34" s="38" t="n"/>
      <c r="AQ34" s="38" t="n"/>
      <c r="AR34" s="38" t="n"/>
      <c r="AS34" s="38" t="n"/>
      <c r="AT34" s="38" t="n"/>
      <c r="AU34" s="38" t="n"/>
      <c r="AV34" s="38" t="n"/>
      <c r="AW34" s="38" t="n"/>
      <c r="AX34" s="38" t="n"/>
      <c r="AY34" s="38" t="n"/>
      <c r="AZ34" s="38" t="n"/>
      <c r="BA34" s="38" t="n"/>
      <c r="BB34" s="38" t="n"/>
      <c r="BC34" s="38" t="n"/>
      <c r="BD34" s="38" t="n"/>
      <c r="BE34" s="38" t="n"/>
      <c r="BF34" s="38" t="n"/>
      <c r="BG34" s="38" t="n"/>
      <c r="BH34" s="38" t="n"/>
      <c r="BI34" s="16" t="n"/>
    </row>
    <row r="35" ht="6" customHeight="1">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c r="AE35" s="16" t="n"/>
      <c r="AF35" s="16" t="n"/>
      <c r="AG35" s="16" t="n"/>
      <c r="AH35" s="16" t="n"/>
      <c r="AI35" s="16" t="n"/>
      <c r="AJ35" s="16" t="n"/>
      <c r="AK35" s="16" t="n"/>
      <c r="AL35" s="16" t="n"/>
      <c r="AM35" s="16" t="n"/>
      <c r="AN35" s="16" t="n"/>
      <c r="AO35" s="16" t="n"/>
      <c r="AP35" s="16" t="n"/>
      <c r="AQ35" s="16" t="n"/>
      <c r="AR35" s="16" t="n"/>
      <c r="AS35" s="16" t="n"/>
      <c r="AT35" s="16" t="n"/>
      <c r="AU35" s="16" t="n"/>
      <c r="AV35" s="16" t="n"/>
      <c r="AW35" s="16" t="n"/>
      <c r="AX35" s="16" t="n"/>
      <c r="AY35" s="16" t="n"/>
      <c r="AZ35" s="16" t="n"/>
      <c r="BA35" s="16" t="n"/>
      <c r="BB35" s="16" t="n"/>
      <c r="BC35" s="16" t="n"/>
      <c r="BD35" s="16" t="n"/>
      <c r="BE35" s="16" t="n"/>
      <c r="BF35" s="16" t="n"/>
      <c r="BG35" s="16" t="n"/>
      <c r="BH35" s="16" t="n"/>
      <c r="BI35" s="16" t="n"/>
    </row>
    <row r="36" ht="6" customHeight="1">
      <c r="A36" s="16" t="n"/>
      <c r="B36" s="41"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c r="AD36" s="26" t="n"/>
      <c r="AE36" s="26" t="n"/>
      <c r="AF36" s="42" t="n"/>
      <c r="AG36" s="16" t="n"/>
      <c r="AH36" s="41" t="n"/>
      <c r="AI36" s="26" t="n"/>
      <c r="AJ36" s="26" t="n"/>
      <c r="AK36" s="26" t="n"/>
      <c r="AL36" s="26" t="n"/>
      <c r="AM36" s="26" t="n"/>
      <c r="AN36" s="26" t="n"/>
      <c r="AO36" s="26" t="n"/>
      <c r="AP36" s="26" t="n"/>
      <c r="AQ36" s="26" t="n"/>
      <c r="AR36" s="26" t="n"/>
      <c r="AS36" s="26" t="n"/>
      <c r="AT36" s="26" t="n"/>
      <c r="AU36" s="26" t="n"/>
      <c r="AV36" s="26" t="n"/>
      <c r="AW36" s="26" t="n"/>
      <c r="AX36" s="26" t="n"/>
      <c r="AY36" s="26" t="n"/>
      <c r="AZ36" s="26" t="n"/>
      <c r="BA36" s="26" t="n"/>
      <c r="BB36" s="26" t="n"/>
      <c r="BC36" s="26" t="n"/>
      <c r="BD36" s="26" t="n"/>
      <c r="BE36" s="26" t="n"/>
      <c r="BF36" s="26" t="n"/>
      <c r="BG36" s="26" t="n"/>
      <c r="BH36" s="42" t="n"/>
      <c r="BI36" s="16" t="n"/>
    </row>
    <row r="37" ht="18" customHeight="1">
      <c r="A37" s="16" t="n"/>
      <c r="B37" s="46" t="n"/>
      <c r="C37" s="47" t="inlineStr">
        <is>
          <t>CHARGE EN HEURES PAR MOIS ET PAR PROJET</t>
        </is>
      </c>
      <c r="AF37" s="48" t="n"/>
      <c r="AG37" s="16" t="n"/>
      <c r="AH37" s="46" t="n"/>
      <c r="AI37" s="47" t="inlineStr">
        <is>
          <t>RÉPARTITION DE LA CHARGE PAR PROJET</t>
        </is>
      </c>
      <c r="BH37" s="48" t="n"/>
      <c r="BI37" s="16" t="n"/>
    </row>
    <row r="38" ht="15" customHeight="1">
      <c r="A38" s="16" t="n"/>
      <c r="B38" s="46" t="n"/>
      <c r="C38" s="97">
        <f>Calculs!$AL$14</f>
        <v>46266.0</v>
      </c>
      <c r="Q38" s="98">
        <f>Calculs!$AL$16</f>
        <v>73.3</v>
      </c>
      <c r="AF38" s="48" t="n"/>
      <c r="AG38" s="16" t="n"/>
      <c r="AH38" s="46" t="n"/>
      <c r="AI38" s="55" t="inlineStr">
        <is>
          <t>Total au centre · une couleur par projet, commune aux deux graphiques</t>
        </is>
      </c>
      <c r="BH38" s="48" t="n"/>
      <c r="BI38" s="16" t="n"/>
    </row>
    <row r="39" ht="15" customHeight="1">
      <c r="A39" s="16" t="n"/>
      <c r="B39" s="46" t="n"/>
      <c r="C39" s="68" t="n"/>
      <c r="D39" s="68" t="n"/>
      <c r="E39" s="68" t="n"/>
      <c r="F39" s="68" t="n"/>
      <c r="G39" s="68" t="n"/>
      <c r="H39" s="68" t="n"/>
      <c r="I39" s="68" t="n"/>
      <c r="J39" s="68" t="n"/>
      <c r="K39" s="68" t="n"/>
      <c r="L39" s="68" t="n"/>
      <c r="M39" s="68" t="n"/>
      <c r="N39" s="68" t="n"/>
      <c r="O39" s="68" t="n"/>
      <c r="P39" s="68" t="n"/>
      <c r="Q39" s="68" t="n"/>
      <c r="R39" s="68" t="n"/>
      <c r="S39" s="68" t="n"/>
      <c r="T39" s="68" t="n"/>
      <c r="U39" s="68" t="n"/>
      <c r="V39" s="68" t="n"/>
      <c r="W39" s="68" t="n"/>
      <c r="X39" s="68" t="n"/>
      <c r="Y39" s="68" t="n"/>
      <c r="Z39" s="68" t="n"/>
      <c r="AA39" s="68" t="n"/>
      <c r="AB39" s="68" t="n"/>
      <c r="AC39" s="68" t="n"/>
      <c r="AD39" s="68" t="n"/>
      <c r="AE39" s="68" t="n"/>
      <c r="AF39" s="48" t="n"/>
      <c r="AG39" s="16" t="n"/>
      <c r="AH39" s="46" t="n"/>
      <c r="AI39" s="68" t="n"/>
      <c r="AJ39" s="68" t="n"/>
      <c r="AK39" s="68" t="n"/>
      <c r="AL39" s="68" t="n"/>
      <c r="AM39" s="68" t="n"/>
      <c r="AN39" s="68" t="n"/>
      <c r="AO39" s="68" t="n"/>
      <c r="AP39" s="68" t="n"/>
      <c r="AQ39" s="68" t="n"/>
      <c r="AR39" s="68" t="n"/>
      <c r="AS39" s="68" t="n"/>
      <c r="AT39" s="68" t="n"/>
      <c r="AU39" s="68" t="n"/>
      <c r="AV39" s="68" t="n"/>
      <c r="AW39" s="68" t="n"/>
      <c r="AX39" s="68" t="n"/>
      <c r="AY39" s="68" t="n"/>
      <c r="AZ39" s="68" t="n"/>
      <c r="BA39" s="68" t="n"/>
      <c r="BB39" s="68" t="n"/>
      <c r="BC39" s="68" t="n"/>
      <c r="BD39" s="68" t="n"/>
      <c r="BE39" s="68" t="n"/>
      <c r="BF39" s="68" t="n"/>
      <c r="BG39" s="68" t="n"/>
      <c r="BH39" s="48" t="n"/>
      <c r="BI39" s="16" t="n"/>
    </row>
    <row r="40" ht="15" customHeight="1">
      <c r="A40" s="16" t="n"/>
      <c r="B40" s="46" t="n"/>
      <c r="C40" s="68" t="n"/>
      <c r="D40" s="68" t="n"/>
      <c r="E40" s="68" t="n"/>
      <c r="F40" s="68" t="n"/>
      <c r="G40" s="68" t="n"/>
      <c r="H40" s="68" t="n"/>
      <c r="I40" s="68" t="n"/>
      <c r="J40" s="68" t="n"/>
      <c r="K40" s="68" t="n"/>
      <c r="L40" s="68" t="n"/>
      <c r="M40" s="68" t="n"/>
      <c r="N40" s="68" t="n"/>
      <c r="O40" s="68" t="n"/>
      <c r="P40" s="68" t="n"/>
      <c r="Q40" s="68" t="n"/>
      <c r="R40" s="68" t="n"/>
      <c r="S40" s="68" t="n"/>
      <c r="T40" s="68" t="n"/>
      <c r="U40" s="68" t="n"/>
      <c r="V40" s="68" t="n"/>
      <c r="W40" s="68" t="n"/>
      <c r="X40" s="68" t="n"/>
      <c r="Y40" s="68" t="n"/>
      <c r="Z40" s="68" t="n"/>
      <c r="AA40" s="68" t="n"/>
      <c r="AB40" s="68" t="n"/>
      <c r="AC40" s="68" t="n"/>
      <c r="AD40" s="68" t="n"/>
      <c r="AE40" s="68" t="n"/>
      <c r="AF40" s="48" t="n"/>
      <c r="AG40" s="16" t="n"/>
      <c r="AH40" s="46" t="n"/>
      <c r="AI40" s="68" t="n"/>
      <c r="AJ40" s="68" t="n"/>
      <c r="AK40" s="68" t="n"/>
      <c r="AL40" s="68" t="n"/>
      <c r="AM40" s="68" t="n"/>
      <c r="AN40" s="68" t="n"/>
      <c r="AO40" s="68" t="n"/>
      <c r="AP40" s="68" t="n"/>
      <c r="AQ40" s="68" t="n"/>
      <c r="AR40" s="68" t="n"/>
      <c r="AS40" s="68" t="n"/>
      <c r="AT40" s="68" t="n"/>
      <c r="AU40" s="68" t="n"/>
      <c r="AV40" s="68" t="n"/>
      <c r="AW40" s="68" t="n"/>
      <c r="AX40" s="68" t="n"/>
      <c r="AY40" s="68" t="n"/>
      <c r="AZ40" s="68" t="n"/>
      <c r="BA40" s="68" t="n"/>
      <c r="BB40" s="68" t="n"/>
      <c r="BC40" s="68" t="n"/>
      <c r="BD40" s="68" t="n"/>
      <c r="BE40" s="68" t="n"/>
      <c r="BF40" s="68" t="n"/>
      <c r="BG40" s="68" t="n"/>
      <c r="BH40" s="48" t="n"/>
      <c r="BI40" s="16" t="n"/>
    </row>
    <row r="41" ht="15" customHeight="1">
      <c r="A41" s="16" t="n"/>
      <c r="B41" s="46" t="n"/>
      <c r="C41" s="68" t="n"/>
      <c r="D41" s="68" t="n"/>
      <c r="E41" s="68" t="n"/>
      <c r="F41" s="68" t="n"/>
      <c r="G41" s="68" t="n"/>
      <c r="H41" s="68" t="n"/>
      <c r="I41" s="68" t="n"/>
      <c r="J41" s="68" t="n"/>
      <c r="K41" s="68" t="n"/>
      <c r="L41" s="68" t="n"/>
      <c r="M41" s="68" t="n"/>
      <c r="N41" s="68" t="n"/>
      <c r="O41" s="68" t="n"/>
      <c r="P41" s="68" t="n"/>
      <c r="Q41" s="68" t="n"/>
      <c r="R41" s="68" t="n"/>
      <c r="S41" s="68" t="n"/>
      <c r="T41" s="68" t="n"/>
      <c r="U41" s="68" t="n"/>
      <c r="V41" s="68" t="n"/>
      <c r="W41" s="68" t="n"/>
      <c r="X41" s="68" t="n"/>
      <c r="Y41" s="68" t="n"/>
      <c r="Z41" s="68" t="n"/>
      <c r="AA41" s="68" t="n"/>
      <c r="AB41" s="68" t="n"/>
      <c r="AC41" s="68" t="n"/>
      <c r="AD41" s="68" t="n"/>
      <c r="AE41" s="68" t="n"/>
      <c r="AF41" s="48" t="n"/>
      <c r="AG41" s="16" t="n"/>
      <c r="AH41" s="46" t="n"/>
      <c r="AI41" s="68" t="n"/>
      <c r="AJ41" s="68" t="n"/>
      <c r="AK41" s="68" t="n"/>
      <c r="AL41" s="68" t="n"/>
      <c r="AM41" s="68" t="n"/>
      <c r="AN41" s="68" t="n"/>
      <c r="AO41" s="68" t="n"/>
      <c r="AP41" s="68" t="n"/>
      <c r="AQ41" s="68" t="n"/>
      <c r="AR41" s="68" t="n"/>
      <c r="AS41" s="68" t="n"/>
      <c r="AT41" s="68" t="n"/>
      <c r="AU41" s="68" t="n"/>
      <c r="AV41" s="68" t="n"/>
      <c r="AW41" s="68" t="n"/>
      <c r="AX41" s="68" t="n"/>
      <c r="AY41" s="68" t="n"/>
      <c r="AZ41" s="68" t="n"/>
      <c r="BA41" s="68" t="n"/>
      <c r="BB41" s="68" t="n"/>
      <c r="BC41" s="68" t="n"/>
      <c r="BD41" s="68" t="n"/>
      <c r="BE41" s="68" t="n"/>
      <c r="BF41" s="68" t="n"/>
      <c r="BG41" s="68" t="n"/>
      <c r="BH41" s="48" t="n"/>
      <c r="BI41" s="16" t="n"/>
    </row>
    <row r="42" ht="15" customHeight="1">
      <c r="A42" s="16" t="n"/>
      <c r="B42" s="46" t="n"/>
      <c r="C42" s="68" t="n"/>
      <c r="D42" s="68" t="n"/>
      <c r="E42" s="68" t="n"/>
      <c r="F42" s="68" t="n"/>
      <c r="G42" s="68" t="n"/>
      <c r="H42" s="68" t="n"/>
      <c r="I42" s="68" t="n"/>
      <c r="J42" s="68" t="n"/>
      <c r="K42" s="68" t="n"/>
      <c r="L42" s="68" t="n"/>
      <c r="M42" s="68" t="n"/>
      <c r="N42" s="68" t="n"/>
      <c r="O42" s="68" t="n"/>
      <c r="P42" s="68" t="n"/>
      <c r="Q42" s="68" t="n"/>
      <c r="R42" s="68" t="n"/>
      <c r="S42" s="68" t="n"/>
      <c r="T42" s="68" t="n"/>
      <c r="U42" s="68" t="n"/>
      <c r="V42" s="68" t="n"/>
      <c r="W42" s="68" t="n"/>
      <c r="X42" s="68" t="n"/>
      <c r="Y42" s="68" t="n"/>
      <c r="Z42" s="68" t="n"/>
      <c r="AA42" s="68" t="n"/>
      <c r="AB42" s="68" t="n"/>
      <c r="AC42" s="68" t="n"/>
      <c r="AD42" s="68" t="n"/>
      <c r="AE42" s="68" t="n"/>
      <c r="AF42" s="48" t="n"/>
      <c r="AG42" s="16" t="n"/>
      <c r="AH42" s="46" t="n"/>
      <c r="AI42" s="68" t="n"/>
      <c r="AJ42" s="68" t="n"/>
      <c r="AK42" s="68" t="n"/>
      <c r="AL42" s="68" t="n"/>
      <c r="AM42" s="68" t="n"/>
      <c r="AN42" s="68" t="n"/>
      <c r="AO42" s="68" t="n"/>
      <c r="AP42" s="68" t="n"/>
      <c r="AQ42" s="68" t="n"/>
      <c r="AR42" s="68" t="n"/>
      <c r="AS42" s="68" t="n"/>
      <c r="AT42" s="68" t="n"/>
      <c r="AU42" s="68" t="n"/>
      <c r="AV42" s="68" t="n"/>
      <c r="AW42" s="68" t="n"/>
      <c r="AX42" s="70" t="inlineStr">
        <is>
          <t>Projet</t>
        </is>
      </c>
      <c r="BC42" s="99" t="inlineStr">
        <is>
          <t>Heures</t>
        </is>
      </c>
      <c r="BF42" s="99" t="inlineStr">
        <is>
          <t>Part</t>
        </is>
      </c>
      <c r="BH42" s="48" t="n"/>
      <c r="BI42" s="16" t="n"/>
    </row>
    <row r="43" ht="15" customHeight="1">
      <c r="A43" s="16" t="n"/>
      <c r="B43" s="46" t="n"/>
      <c r="C43" s="68" t="n"/>
      <c r="D43" s="68" t="n"/>
      <c r="E43" s="68" t="n"/>
      <c r="F43" s="68" t="n"/>
      <c r="G43" s="68" t="n"/>
      <c r="H43" s="68" t="n"/>
      <c r="I43" s="68" t="n"/>
      <c r="J43" s="68" t="n"/>
      <c r="K43" s="68" t="n"/>
      <c r="L43" s="68" t="n"/>
      <c r="M43" s="68" t="n"/>
      <c r="N43" s="68" t="n"/>
      <c r="O43" s="68" t="n"/>
      <c r="P43" s="68" t="n"/>
      <c r="Q43" s="68" t="n"/>
      <c r="R43" s="68" t="n"/>
      <c r="S43" s="68" t="n"/>
      <c r="T43" s="68" t="n"/>
      <c r="U43" s="68" t="n"/>
      <c r="V43" s="68" t="n"/>
      <c r="W43" s="68" t="n"/>
      <c r="X43" s="68" t="n"/>
      <c r="Y43" s="68" t="n"/>
      <c r="Z43" s="68" t="n"/>
      <c r="AA43" s="68" t="n"/>
      <c r="AB43" s="68" t="n"/>
      <c r="AC43" s="68" t="n"/>
      <c r="AD43" s="68" t="n"/>
      <c r="AE43" s="68" t="n"/>
      <c r="AF43" s="48" t="n"/>
      <c r="AG43" s="16" t="n"/>
      <c r="AH43" s="46" t="n"/>
      <c r="AI43" s="68" t="n"/>
      <c r="AJ43" s="68" t="n"/>
      <c r="AK43" s="68" t="n"/>
      <c r="AL43" s="68" t="n"/>
      <c r="AM43" s="68" t="n"/>
      <c r="AN43" s="68" t="n"/>
      <c r="AO43" s="68" t="n"/>
      <c r="AP43" s="68" t="n"/>
      <c r="AQ43" s="68" t="n"/>
      <c r="AR43" s="68" t="n"/>
      <c r="AS43" s="68" t="n"/>
      <c r="AT43" s="68" t="n"/>
      <c r="AU43" s="68" t="n"/>
      <c r="AV43" s="68" t="n"/>
      <c r="AW43" s="62" t="n"/>
      <c r="AX43" s="100" t="str">
        <f>Calculs!AT4</f>
        <v>ATLAS</v>
      </c>
      <c r="BC43" s="101">
        <f>IF(Calculs!AT4="","",Calculs!AU4)</f>
        <v>860</v>
      </c>
      <c r="BF43" s="102">
        <f>IF(Calculs!AT4="","",Calculs!AV4)</f>
        <v>0.248914616497829</v>
      </c>
      <c r="BH43" s="48" t="n"/>
      <c r="BI43" s="16" t="n"/>
    </row>
    <row r="44" ht="15" customHeight="1">
      <c r="A44" s="16" t="n"/>
      <c r="B44" s="46" t="n"/>
      <c r="C44" s="68" t="n"/>
      <c r="D44" s="68" t="n"/>
      <c r="E44" s="68" t="n"/>
      <c r="F44" s="68" t="n"/>
      <c r="G44" s="68" t="n"/>
      <c r="H44" s="68" t="n"/>
      <c r="I44" s="68" t="n"/>
      <c r="J44" s="68" t="n"/>
      <c r="K44" s="68" t="n"/>
      <c r="L44" s="68" t="n"/>
      <c r="M44" s="68" t="n"/>
      <c r="N44" s="68" t="n"/>
      <c r="O44" s="68" t="n"/>
      <c r="P44" s="68" t="n"/>
      <c r="Q44" s="68" t="n"/>
      <c r="R44" s="68" t="n"/>
      <c r="S44" s="68" t="n"/>
      <c r="T44" s="68" t="n"/>
      <c r="U44" s="68" t="n"/>
      <c r="V44" s="68" t="n"/>
      <c r="W44" s="68" t="n"/>
      <c r="X44" s="68" t="n"/>
      <c r="Y44" s="68" t="n"/>
      <c r="Z44" s="68" t="n"/>
      <c r="AA44" s="68" t="n"/>
      <c r="AB44" s="68" t="n"/>
      <c r="AC44" s="68" t="n"/>
      <c r="AD44" s="68" t="n"/>
      <c r="AE44" s="68" t="n"/>
      <c r="AF44" s="48" t="n"/>
      <c r="AG44" s="16" t="n"/>
      <c r="AH44" s="46" t="n"/>
      <c r="AI44" s="68" t="n"/>
      <c r="AJ44" s="68" t="n"/>
      <c r="AK44" s="68" t="n"/>
      <c r="AL44" s="68" t="n"/>
      <c r="AM44" s="68" t="n"/>
      <c r="AN44" s="68" t="n"/>
      <c r="AO44" s="68" t="n"/>
      <c r="AP44" s="68" t="n"/>
      <c r="AQ44" s="68" t="n"/>
      <c r="AR44" s="68" t="n"/>
      <c r="AS44" s="68" t="n"/>
      <c r="AT44" s="68" t="n"/>
      <c r="AU44" s="68" t="n"/>
      <c r="AV44" s="68" t="n"/>
      <c r="AW44" s="66" t="n"/>
      <c r="AX44" s="100" t="str">
        <f>Calculs!AT5</f>
        <v>BORÉAL</v>
      </c>
      <c r="BC44" s="101">
        <f>IF(Calculs!AT5="","",Calculs!AU5)</f>
        <v>620</v>
      </c>
      <c r="BF44" s="102">
        <f>IF(Calculs!AT5="","",Calculs!AV5)</f>
        <v>0.1794500723589</v>
      </c>
      <c r="BH44" s="48" t="n"/>
      <c r="BI44" s="16" t="n"/>
    </row>
    <row r="45" ht="15" customHeight="1">
      <c r="A45" s="16" t="n"/>
      <c r="B45" s="46" t="n"/>
      <c r="C45" s="68" t="n"/>
      <c r="D45" s="68" t="n"/>
      <c r="E45" s="68" t="n"/>
      <c r="F45" s="68" t="n"/>
      <c r="G45" s="68" t="n"/>
      <c r="H45" s="68" t="n"/>
      <c r="I45" s="68" t="n"/>
      <c r="J45" s="68" t="n"/>
      <c r="K45" s="68" t="n"/>
      <c r="L45" s="68" t="n"/>
      <c r="M45" s="68" t="n"/>
      <c r="N45" s="68" t="n"/>
      <c r="O45" s="68" t="n"/>
      <c r="P45" s="68" t="n"/>
      <c r="Q45" s="68" t="n"/>
      <c r="R45" s="68" t="n"/>
      <c r="S45" s="68" t="n"/>
      <c r="T45" s="68" t="n"/>
      <c r="U45" s="68" t="n"/>
      <c r="V45" s="68" t="n"/>
      <c r="W45" s="68" t="n"/>
      <c r="X45" s="68" t="n"/>
      <c r="Y45" s="68" t="n"/>
      <c r="Z45" s="68" t="n"/>
      <c r="AA45" s="68" t="n"/>
      <c r="AB45" s="68" t="n"/>
      <c r="AC45" s="68" t="n"/>
      <c r="AD45" s="68" t="n"/>
      <c r="AE45" s="68" t="n"/>
      <c r="AF45" s="48" t="n"/>
      <c r="AG45" s="16" t="n"/>
      <c r="AH45" s="46" t="n"/>
      <c r="AI45" s="103">
        <f>Calculs!$AL$4</f>
        <v>3455</v>
      </c>
      <c r="AV45" s="68" t="n"/>
      <c r="AW45" s="67" t="n"/>
      <c r="AX45" s="100" t="str">
        <f>Calculs!AT6</f>
        <v>DELTA</v>
      </c>
      <c r="BC45" s="101">
        <f>IF(Calculs!AT6="","",Calculs!AU6)</f>
        <v>560</v>
      </c>
      <c r="BF45" s="102">
        <f>IF(Calculs!AT6="","",Calculs!AV6)</f>
        <v>0.162083936324168</v>
      </c>
      <c r="BH45" s="48" t="n"/>
      <c r="BI45" s="16" t="n"/>
    </row>
    <row r="46" ht="15" customHeight="1">
      <c r="A46" s="16" t="n"/>
      <c r="B46" s="46" t="n"/>
      <c r="C46" s="68" t="n"/>
      <c r="D46" s="68" t="n"/>
      <c r="E46" s="68" t="n"/>
      <c r="F46" s="68" t="n"/>
      <c r="G46" s="68" t="n"/>
      <c r="H46" s="68" t="n"/>
      <c r="I46" s="68" t="n"/>
      <c r="J46" s="68" t="n"/>
      <c r="K46" s="68" t="n"/>
      <c r="L46" s="68" t="n"/>
      <c r="M46" s="68" t="n"/>
      <c r="N46" s="68" t="n"/>
      <c r="O46" s="68" t="n"/>
      <c r="P46" s="68" t="n"/>
      <c r="Q46" s="68" t="n"/>
      <c r="R46" s="68" t="n"/>
      <c r="S46" s="68" t="n"/>
      <c r="T46" s="68" t="n"/>
      <c r="U46" s="68" t="n"/>
      <c r="V46" s="68" t="n"/>
      <c r="W46" s="68" t="n"/>
      <c r="X46" s="68" t="n"/>
      <c r="Y46" s="68" t="n"/>
      <c r="Z46" s="68" t="n"/>
      <c r="AA46" s="68" t="n"/>
      <c r="AB46" s="68" t="n"/>
      <c r="AC46" s="68" t="n"/>
      <c r="AD46" s="68" t="n"/>
      <c r="AE46" s="68" t="n"/>
      <c r="AF46" s="48" t="n"/>
      <c r="AG46" s="16" t="n"/>
      <c r="AH46" s="46" t="n"/>
      <c r="AV46" s="68" t="n"/>
      <c r="AW46" s="69" t="n"/>
      <c r="AX46" s="100" t="str">
        <f>Calculs!AT7</f>
        <v>PÉGASE</v>
      </c>
      <c r="BC46" s="101">
        <f>IF(Calculs!AT7="","",Calculs!AU7)</f>
        <v>550</v>
      </c>
      <c r="BF46" s="102">
        <f>IF(Calculs!AT7="","",Calculs!AV7)</f>
        <v>0.159189580318379</v>
      </c>
      <c r="BH46" s="48" t="n"/>
      <c r="BI46" s="16" t="n"/>
    </row>
    <row r="47" ht="15" customHeight="1">
      <c r="A47" s="16" t="n"/>
      <c r="B47" s="46" t="n"/>
      <c r="C47" s="68" t="n"/>
      <c r="D47" s="68" t="n"/>
      <c r="E47" s="68" t="n"/>
      <c r="F47" s="68" t="n"/>
      <c r="G47" s="68" t="n"/>
      <c r="H47" s="68" t="n"/>
      <c r="I47" s="68" t="n"/>
      <c r="J47" s="68" t="n"/>
      <c r="K47" s="68" t="n"/>
      <c r="L47" s="68" t="n"/>
      <c r="M47" s="68" t="n"/>
      <c r="N47" s="68" t="n"/>
      <c r="O47" s="68" t="n"/>
      <c r="P47" s="68" t="n"/>
      <c r="Q47" s="68" t="n"/>
      <c r="R47" s="68" t="n"/>
      <c r="S47" s="68" t="n"/>
      <c r="T47" s="68" t="n"/>
      <c r="U47" s="68" t="n"/>
      <c r="V47" s="68" t="n"/>
      <c r="W47" s="68" t="n"/>
      <c r="X47" s="68" t="n"/>
      <c r="Y47" s="68" t="n"/>
      <c r="Z47" s="68" t="n"/>
      <c r="AA47" s="68" t="n"/>
      <c r="AB47" s="68" t="n"/>
      <c r="AC47" s="68" t="n"/>
      <c r="AD47" s="68" t="n"/>
      <c r="AE47" s="68" t="n"/>
      <c r="AF47" s="48" t="n"/>
      <c r="AG47" s="16" t="n"/>
      <c r="AH47" s="46" t="n"/>
      <c r="AI47" s="104" t="inlineStr">
        <is>
          <t>au total</t>
        </is>
      </c>
      <c r="AV47" s="68" t="n"/>
      <c r="AW47" s="71" t="n"/>
      <c r="AX47" s="100" t="str">
        <f>Calculs!AT8</f>
        <v>CASSIOPÉE</v>
      </c>
      <c r="BC47" s="101">
        <f>IF(Calculs!AT8="","",Calculs!AU8)</f>
        <v>390</v>
      </c>
      <c r="BF47" s="102">
        <f>IF(Calculs!AT8="","",Calculs!AV8)</f>
        <v>0.11287988422576</v>
      </c>
      <c r="BH47" s="48" t="n"/>
      <c r="BI47" s="16" t="n"/>
    </row>
    <row r="48" ht="15" customHeight="1">
      <c r="A48" s="16" t="n"/>
      <c r="B48" s="46" t="n"/>
      <c r="C48" s="68" t="n"/>
      <c r="D48" s="68" t="n"/>
      <c r="E48" s="68" t="n"/>
      <c r="F48" s="68" t="n"/>
      <c r="G48" s="68" t="n"/>
      <c r="H48" s="68" t="n"/>
      <c r="I48" s="68" t="n"/>
      <c r="J48" s="68" t="n"/>
      <c r="K48" s="68" t="n"/>
      <c r="L48" s="68" t="n"/>
      <c r="M48" s="68" t="n"/>
      <c r="N48" s="68" t="n"/>
      <c r="O48" s="68" t="n"/>
      <c r="P48" s="68" t="n"/>
      <c r="Q48" s="68" t="n"/>
      <c r="R48" s="68" t="n"/>
      <c r="S48" s="68" t="n"/>
      <c r="T48" s="68" t="n"/>
      <c r="U48" s="68" t="n"/>
      <c r="V48" s="68" t="n"/>
      <c r="W48" s="68" t="n"/>
      <c r="X48" s="68" t="n"/>
      <c r="Y48" s="68" t="n"/>
      <c r="Z48" s="68" t="n"/>
      <c r="AA48" s="68" t="n"/>
      <c r="AB48" s="68" t="n"/>
      <c r="AC48" s="68" t="n"/>
      <c r="AD48" s="68" t="n"/>
      <c r="AE48" s="68" t="n"/>
      <c r="AF48" s="48" t="n"/>
      <c r="AG48" s="16" t="n"/>
      <c r="AH48" s="46" t="n"/>
      <c r="AV48" s="68" t="n"/>
      <c r="AW48" s="72" t="n"/>
      <c r="AX48" s="100" t="str">
        <f>Calculs!AT9</f>
        <v>ORION</v>
      </c>
      <c r="BC48" s="101">
        <f>IF(Calculs!AT9="","",Calculs!AU9)</f>
        <v>280</v>
      </c>
      <c r="BF48" s="102">
        <f>IF(Calculs!AT9="","",Calculs!AV9)</f>
        <v>0.0810419681620839</v>
      </c>
      <c r="BH48" s="48" t="n"/>
      <c r="BI48" s="16" t="n"/>
    </row>
    <row r="49" ht="15" customHeight="1">
      <c r="A49" s="16" t="n"/>
      <c r="B49" s="46" t="n"/>
      <c r="C49" s="68" t="n"/>
      <c r="D49" s="68" t="n"/>
      <c r="E49" s="68" t="n"/>
      <c r="F49" s="68" t="n"/>
      <c r="G49" s="68" t="n"/>
      <c r="H49" s="68" t="n"/>
      <c r="I49" s="68" t="n"/>
      <c r="J49" s="68" t="n"/>
      <c r="K49" s="68" t="n"/>
      <c r="L49" s="68" t="n"/>
      <c r="M49" s="68" t="n"/>
      <c r="N49" s="68" t="n"/>
      <c r="O49" s="68" t="n"/>
      <c r="P49" s="68" t="n"/>
      <c r="Q49" s="68" t="n"/>
      <c r="R49" s="68" t="n"/>
      <c r="S49" s="68" t="n"/>
      <c r="T49" s="68" t="n"/>
      <c r="U49" s="68" t="n"/>
      <c r="V49" s="68" t="n"/>
      <c r="W49" s="68" t="n"/>
      <c r="X49" s="68" t="n"/>
      <c r="Y49" s="68" t="n"/>
      <c r="Z49" s="68" t="n"/>
      <c r="AA49" s="68" t="n"/>
      <c r="AB49" s="68" t="n"/>
      <c r="AC49" s="68" t="n"/>
      <c r="AD49" s="68" t="n"/>
      <c r="AE49" s="68" t="n"/>
      <c r="AF49" s="48" t="n"/>
      <c r="AG49" s="16" t="n"/>
      <c r="AH49" s="46" t="n"/>
      <c r="AI49" s="68" t="n"/>
      <c r="AJ49" s="68" t="n"/>
      <c r="AK49" s="68" t="n"/>
      <c r="AL49" s="68" t="n"/>
      <c r="AM49" s="68" t="n"/>
      <c r="AN49" s="68" t="n"/>
      <c r="AO49" s="68" t="n"/>
      <c r="AP49" s="68" t="n"/>
      <c r="AQ49" s="68" t="n"/>
      <c r="AR49" s="68" t="n"/>
      <c r="AS49" s="68" t="n"/>
      <c r="AT49" s="68" t="n"/>
      <c r="AU49" s="68" t="n"/>
      <c r="AV49" s="68" t="n"/>
      <c r="AW49" s="74" t="n"/>
      <c r="AX49" s="100" t="str">
        <f>Calculs!AT10</f>
        <v>VEGA</v>
      </c>
      <c r="BC49" s="101">
        <f>IF(Calculs!AT10="","",Calculs!AU10)</f>
        <v>195</v>
      </c>
      <c r="BF49" s="102">
        <f>IF(Calculs!AT10="","",Calculs!AV10)</f>
        <v>0.0564399421128799</v>
      </c>
      <c r="BH49" s="48" t="n"/>
      <c r="BI49" s="16" t="n"/>
    </row>
    <row r="50" ht="15" customHeight="1">
      <c r="A50" s="16" t="n"/>
      <c r="B50" s="46" t="n"/>
      <c r="C50" s="68" t="n"/>
      <c r="D50" s="68" t="n"/>
      <c r="E50" s="68" t="n"/>
      <c r="F50" s="68" t="n"/>
      <c r="G50" s="68" t="n"/>
      <c r="H50" s="68" t="n"/>
      <c r="I50" s="68" t="n"/>
      <c r="J50" s="68" t="n"/>
      <c r="K50" s="68" t="n"/>
      <c r="L50" s="68" t="n"/>
      <c r="M50" s="68" t="n"/>
      <c r="N50" s="68" t="n"/>
      <c r="O50" s="68" t="n"/>
      <c r="P50" s="68" t="n"/>
      <c r="Q50" s="68" t="n"/>
      <c r="R50" s="68" t="n"/>
      <c r="S50" s="68" t="n"/>
      <c r="T50" s="68" t="n"/>
      <c r="U50" s="68" t="n"/>
      <c r="V50" s="68" t="n"/>
      <c r="W50" s="68" t="n"/>
      <c r="X50" s="68" t="n"/>
      <c r="Y50" s="68" t="n"/>
      <c r="Z50" s="68" t="n"/>
      <c r="AA50" s="68" t="n"/>
      <c r="AB50" s="68" t="n"/>
      <c r="AC50" s="68" t="n"/>
      <c r="AD50" s="68" t="n"/>
      <c r="AE50" s="68" t="n"/>
      <c r="AF50" s="48" t="n"/>
      <c r="AG50" s="16" t="n"/>
      <c r="AH50" s="46" t="n"/>
      <c r="AI50" s="68" t="n"/>
      <c r="AJ50" s="68" t="n"/>
      <c r="AK50" s="68" t="n"/>
      <c r="AL50" s="68" t="n"/>
      <c r="AM50" s="68" t="n"/>
      <c r="AN50" s="68" t="n"/>
      <c r="AO50" s="68" t="n"/>
      <c r="AP50" s="68" t="n"/>
      <c r="AQ50" s="68" t="n"/>
      <c r="AR50" s="68" t="n"/>
      <c r="AS50" s="68" t="n"/>
      <c r="AT50" s="68" t="n"/>
      <c r="AU50" s="68" t="n"/>
      <c r="AV50" s="68" t="n"/>
      <c r="AW50" s="75" t="n"/>
      <c r="AX50" s="100" t="str">
        <f>Calculs!AT11</f>
        <v/>
      </c>
      <c r="BC50" s="101" t="str">
        <f>IF(Calculs!AT11="","",Calculs!AU11)</f>
        <v/>
      </c>
      <c r="BF50" s="102" t="str">
        <f>IF(Calculs!AT11="","",Calculs!AV11)</f>
        <v/>
      </c>
      <c r="BH50" s="48" t="n"/>
      <c r="BI50" s="16" t="n"/>
    </row>
    <row r="51" ht="15" customHeight="1">
      <c r="A51" s="16" t="n"/>
      <c r="B51" s="46" t="n"/>
      <c r="C51" s="68" t="n"/>
      <c r="D51" s="68" t="n"/>
      <c r="E51" s="68" t="n"/>
      <c r="F51" s="68" t="n"/>
      <c r="G51" s="68" t="n"/>
      <c r="H51" s="68" t="n"/>
      <c r="I51" s="68" t="n"/>
      <c r="J51" s="68" t="n"/>
      <c r="K51" s="68" t="n"/>
      <c r="L51" s="68" t="n"/>
      <c r="M51" s="68" t="n"/>
      <c r="N51" s="68" t="n"/>
      <c r="O51" s="68" t="n"/>
      <c r="P51" s="68" t="n"/>
      <c r="Q51" s="68" t="n"/>
      <c r="R51" s="68" t="n"/>
      <c r="S51" s="68" t="n"/>
      <c r="T51" s="68" t="n"/>
      <c r="U51" s="68" t="n"/>
      <c r="V51" s="68" t="n"/>
      <c r="W51" s="68" t="n"/>
      <c r="X51" s="68" t="n"/>
      <c r="Y51" s="68" t="n"/>
      <c r="Z51" s="68" t="n"/>
      <c r="AA51" s="68" t="n"/>
      <c r="AB51" s="68" t="n"/>
      <c r="AC51" s="68" t="n"/>
      <c r="AD51" s="68" t="n"/>
      <c r="AE51" s="68" t="n"/>
      <c r="AF51" s="48" t="n"/>
      <c r="AG51" s="16" t="n"/>
      <c r="AH51" s="46" t="n"/>
      <c r="AI51" s="68" t="n"/>
      <c r="AJ51" s="68" t="n"/>
      <c r="AK51" s="68" t="n"/>
      <c r="AL51" s="68" t="n"/>
      <c r="AM51" s="68" t="n"/>
      <c r="AN51" s="68" t="n"/>
      <c r="AO51" s="68" t="n"/>
      <c r="AP51" s="68" t="n"/>
      <c r="AQ51" s="68" t="n"/>
      <c r="AR51" s="68" t="n"/>
      <c r="AS51" s="68" t="n"/>
      <c r="AT51" s="68" t="n"/>
      <c r="AU51" s="68" t="n"/>
      <c r="AV51" s="68" t="n"/>
      <c r="AW51" s="105" t="n"/>
      <c r="AX51" s="100" t="str">
        <f>Calculs!AT12</f>
        <v/>
      </c>
      <c r="BC51" s="101" t="str">
        <f>IF(Calculs!AT12="","",Calculs!AU12)</f>
        <v/>
      </c>
      <c r="BF51" s="102" t="str">
        <f>IF(Calculs!AT12="","",Calculs!AV12)</f>
        <v/>
      </c>
      <c r="BH51" s="48" t="n"/>
      <c r="BI51" s="16" t="n"/>
    </row>
    <row r="52" ht="15" customHeight="1">
      <c r="A52" s="16" t="n"/>
      <c r="B52" s="46" t="n"/>
      <c r="C52" s="68" t="n"/>
      <c r="D52" s="68" t="n"/>
      <c r="E52" s="68" t="n"/>
      <c r="F52" s="68" t="n"/>
      <c r="G52" s="68" t="n"/>
      <c r="H52" s="68" t="n"/>
      <c r="I52" s="68" t="n"/>
      <c r="J52" s="68" t="n"/>
      <c r="K52" s="68" t="n"/>
      <c r="L52" s="68" t="n"/>
      <c r="M52" s="68" t="n"/>
      <c r="N52" s="68" t="n"/>
      <c r="O52" s="68" t="n"/>
      <c r="P52" s="68" t="n"/>
      <c r="Q52" s="68" t="n"/>
      <c r="R52" s="68" t="n"/>
      <c r="S52" s="68" t="n"/>
      <c r="T52" s="68" t="n"/>
      <c r="U52" s="68" t="n"/>
      <c r="V52" s="68" t="n"/>
      <c r="W52" s="68" t="n"/>
      <c r="X52" s="68" t="n"/>
      <c r="Y52" s="68" t="n"/>
      <c r="Z52" s="68" t="n"/>
      <c r="AA52" s="68" t="n"/>
      <c r="AB52" s="68" t="n"/>
      <c r="AC52" s="68" t="n"/>
      <c r="AD52" s="68" t="n"/>
      <c r="AE52" s="68" t="n"/>
      <c r="AF52" s="48" t="n"/>
      <c r="AG52" s="16" t="n"/>
      <c r="AH52" s="46" t="n"/>
      <c r="AI52" s="68" t="n"/>
      <c r="AJ52" s="68" t="n"/>
      <c r="AK52" s="68" t="n"/>
      <c r="AL52" s="68" t="n"/>
      <c r="AM52" s="68" t="n"/>
      <c r="AN52" s="68" t="n"/>
      <c r="AO52" s="68" t="n"/>
      <c r="AP52" s="68" t="n"/>
      <c r="AQ52" s="68" t="n"/>
      <c r="AR52" s="68" t="n"/>
      <c r="AS52" s="68" t="n"/>
      <c r="AT52" s="68" t="n"/>
      <c r="AU52" s="68" t="n"/>
      <c r="AV52" s="68" t="n"/>
      <c r="AW52" s="68" t="n"/>
      <c r="AX52" s="68" t="n"/>
      <c r="AY52" s="68" t="n"/>
      <c r="AZ52" s="68" t="n"/>
      <c r="BA52" s="68" t="n"/>
      <c r="BB52" s="68" t="n"/>
      <c r="BC52" s="68" t="n"/>
      <c r="BD52" s="68" t="n"/>
      <c r="BE52" s="68" t="n"/>
      <c r="BF52" s="68" t="n"/>
      <c r="BG52" s="68" t="n"/>
      <c r="BH52" s="48" t="n"/>
      <c r="BI52" s="16" t="n"/>
    </row>
    <row r="53" ht="15" customHeight="1">
      <c r="A53" s="16" t="n"/>
      <c r="B53" s="46" t="n"/>
      <c r="C53" s="68" t="n"/>
      <c r="D53" s="68" t="n"/>
      <c r="E53" s="68" t="n"/>
      <c r="F53" s="68" t="n"/>
      <c r="G53" s="68" t="n"/>
      <c r="H53" s="68" t="n"/>
      <c r="I53" s="68" t="n"/>
      <c r="J53" s="68" t="n"/>
      <c r="K53" s="68" t="n"/>
      <c r="L53" s="68" t="n"/>
      <c r="M53" s="68" t="n"/>
      <c r="N53" s="68" t="n"/>
      <c r="O53" s="68" t="n"/>
      <c r="P53" s="68" t="n"/>
      <c r="Q53" s="68" t="n"/>
      <c r="R53" s="68" t="n"/>
      <c r="S53" s="68" t="n"/>
      <c r="T53" s="68" t="n"/>
      <c r="U53" s="68" t="n"/>
      <c r="V53" s="68" t="n"/>
      <c r="W53" s="68" t="n"/>
      <c r="X53" s="68" t="n"/>
      <c r="Y53" s="68" t="n"/>
      <c r="Z53" s="68" t="n"/>
      <c r="AA53" s="68" t="n"/>
      <c r="AB53" s="68" t="n"/>
      <c r="AC53" s="68" t="n"/>
      <c r="AD53" s="68" t="n"/>
      <c r="AE53" s="68" t="n"/>
      <c r="AF53" s="48" t="n"/>
      <c r="AG53" s="16" t="n"/>
      <c r="AH53" s="46" t="n"/>
      <c r="AI53" s="68" t="n"/>
      <c r="AJ53" s="68" t="n"/>
      <c r="AK53" s="68" t="n"/>
      <c r="AL53" s="68" t="n"/>
      <c r="AM53" s="68" t="n"/>
      <c r="AN53" s="68" t="n"/>
      <c r="AO53" s="68" t="n"/>
      <c r="AP53" s="68" t="n"/>
      <c r="AQ53" s="68" t="n"/>
      <c r="AR53" s="68" t="n"/>
      <c r="AS53" s="68" t="n"/>
      <c r="AT53" s="68" t="n"/>
      <c r="AU53" s="68" t="n"/>
      <c r="AV53" s="68" t="n"/>
      <c r="AW53" s="68" t="n"/>
      <c r="AX53" s="68" t="n"/>
      <c r="AY53" s="68" t="n"/>
      <c r="AZ53" s="68" t="n"/>
      <c r="BA53" s="68" t="n"/>
      <c r="BB53" s="68" t="n"/>
      <c r="BC53" s="68" t="n"/>
      <c r="BD53" s="68" t="n"/>
      <c r="BE53" s="68" t="n"/>
      <c r="BF53" s="68" t="n"/>
      <c r="BG53" s="68" t="n"/>
      <c r="BH53" s="48" t="n"/>
      <c r="BI53" s="16" t="n"/>
    </row>
    <row r="54" ht="15" customHeight="1">
      <c r="A54" s="16" t="n"/>
      <c r="B54" s="46" t="n"/>
      <c r="C54" s="68" t="n"/>
      <c r="D54" s="68" t="n"/>
      <c r="E54" s="68" t="n"/>
      <c r="F54" s="68" t="n"/>
      <c r="G54" s="68" t="n"/>
      <c r="H54" s="68" t="n"/>
      <c r="I54" s="68" t="n"/>
      <c r="J54" s="68" t="n"/>
      <c r="K54" s="68" t="n"/>
      <c r="L54" s="68" t="n"/>
      <c r="M54" s="68" t="n"/>
      <c r="N54" s="68" t="n"/>
      <c r="O54" s="68" t="n"/>
      <c r="P54" s="68" t="n"/>
      <c r="Q54" s="68" t="n"/>
      <c r="R54" s="68" t="n"/>
      <c r="S54" s="68" t="n"/>
      <c r="T54" s="68" t="n"/>
      <c r="U54" s="68" t="n"/>
      <c r="V54" s="68" t="n"/>
      <c r="W54" s="68" t="n"/>
      <c r="X54" s="68" t="n"/>
      <c r="Y54" s="68" t="n"/>
      <c r="Z54" s="68" t="n"/>
      <c r="AA54" s="68" t="n"/>
      <c r="AB54" s="68" t="n"/>
      <c r="AC54" s="68" t="n"/>
      <c r="AD54" s="68" t="n"/>
      <c r="AE54" s="68" t="n"/>
      <c r="AF54" s="48" t="n"/>
      <c r="AG54" s="16" t="n"/>
      <c r="AH54" s="46" t="n"/>
      <c r="AI54" s="68" t="n"/>
      <c r="AJ54" s="68" t="n"/>
      <c r="AK54" s="68" t="n"/>
      <c r="AL54" s="68" t="n"/>
      <c r="AM54" s="68" t="n"/>
      <c r="AN54" s="68" t="n"/>
      <c r="AO54" s="68" t="n"/>
      <c r="AP54" s="68" t="n"/>
      <c r="AQ54" s="68" t="n"/>
      <c r="AR54" s="68" t="n"/>
      <c r="AS54" s="68" t="n"/>
      <c r="AT54" s="68" t="n"/>
      <c r="AU54" s="68" t="n"/>
      <c r="AV54" s="68" t="n"/>
      <c r="AW54" s="68" t="n"/>
      <c r="AX54" s="68" t="n"/>
      <c r="AY54" s="68" t="n"/>
      <c r="AZ54" s="68" t="n"/>
      <c r="BA54" s="68" t="n"/>
      <c r="BB54" s="68" t="n"/>
      <c r="BC54" s="68" t="n"/>
      <c r="BD54" s="68" t="n"/>
      <c r="BE54" s="68" t="n"/>
      <c r="BF54" s="68" t="n"/>
      <c r="BG54" s="68" t="n"/>
      <c r="BH54" s="48" t="n"/>
      <c r="BI54" s="16" t="n"/>
    </row>
    <row r="55" ht="8" customHeight="1">
      <c r="A55" s="16" t="n"/>
      <c r="B55" s="30" t="n"/>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c r="AA55" s="31" t="n"/>
      <c r="AB55" s="31" t="n"/>
      <c r="AC55" s="31" t="n"/>
      <c r="AD55" s="31" t="n"/>
      <c r="AE55" s="31" t="n"/>
      <c r="AF55" s="77" t="n"/>
      <c r="AG55" s="16" t="n"/>
      <c r="AH55" s="30" t="n"/>
      <c r="AI55" s="31" t="n"/>
      <c r="AJ55" s="31" t="n"/>
      <c r="AK55" s="31" t="n"/>
      <c r="AL55" s="31" t="n"/>
      <c r="AM55" s="31" t="n"/>
      <c r="AN55" s="31" t="n"/>
      <c r="AO55" s="31" t="n"/>
      <c r="AP55" s="31" t="n"/>
      <c r="AQ55" s="31" t="n"/>
      <c r="AR55" s="31" t="n"/>
      <c r="AS55" s="31" t="n"/>
      <c r="AT55" s="31" t="n"/>
      <c r="AU55" s="31" t="n"/>
      <c r="AV55" s="31" t="n"/>
      <c r="AW55" s="31" t="n"/>
      <c r="AX55" s="31" t="n"/>
      <c r="AY55" s="31" t="n"/>
      <c r="AZ55" s="31" t="n"/>
      <c r="BA55" s="31" t="n"/>
      <c r="BB55" s="31" t="n"/>
      <c r="BC55" s="31" t="n"/>
      <c r="BD55" s="31" t="n"/>
      <c r="BE55" s="31" t="n"/>
      <c r="BF55" s="31" t="n"/>
      <c r="BG55" s="31" t="n"/>
      <c r="BH55" s="77" t="n"/>
      <c r="BI55" s="16" t="n"/>
    </row>
    <row r="56" ht="14" customHeight="1">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row>
    <row r="57" ht="20" customHeight="1">
      <c r="A57" s="16" t="n"/>
      <c r="B57" s="37" t="inlineStr">
        <is>
          <t>LISTE DES AFFAIRES (un sous-projet par ligne, toutes ressources regroupées, par charge décroissante)</t>
        </is>
      </c>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c r="AA57" s="38" t="n"/>
      <c r="AB57" s="38" t="n"/>
      <c r="AC57" s="38" t="n"/>
      <c r="AD57" s="38" t="n"/>
      <c r="AE57" s="38" t="n"/>
      <c r="AF57" s="38" t="n"/>
      <c r="AG57" s="38" t="n"/>
      <c r="AH57" s="38" t="n"/>
      <c r="AI57" s="38" t="n"/>
      <c r="AJ57" s="38" t="n"/>
      <c r="AK57" s="38" t="n"/>
      <c r="AL57" s="38" t="n"/>
      <c r="AM57" s="38" t="n"/>
      <c r="AN57" s="38" t="n"/>
      <c r="AO57" s="38" t="n"/>
      <c r="AP57" s="38" t="n"/>
      <c r="AQ57" s="38" t="n"/>
      <c r="AR57" s="38" t="n"/>
      <c r="AS57" s="38" t="n"/>
      <c r="AT57" s="38" t="n"/>
      <c r="AU57" s="38" t="n"/>
      <c r="AV57" s="38" t="n"/>
      <c r="AW57" s="38" t="n"/>
      <c r="AX57" s="38" t="n"/>
      <c r="AY57" s="38" t="n"/>
      <c r="AZ57" s="38" t="n"/>
      <c r="BA57" s="38" t="n"/>
      <c r="BB57" s="38" t="n"/>
      <c r="BC57" s="38" t="n"/>
      <c r="BD57" s="38" t="n"/>
      <c r="BE57" s="38" t="n"/>
      <c r="BF57" s="38" t="n"/>
      <c r="BG57" s="38" t="n"/>
      <c r="BH57" s="38" t="n"/>
      <c r="BI57" s="16" t="n"/>
    </row>
    <row r="58" ht="6" customHeight="1">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c r="AI58" s="16" t="n"/>
      <c r="AJ58" s="16" t="n"/>
      <c r="AK58" s="16" t="n"/>
      <c r="AL58" s="16" t="n"/>
      <c r="AM58" s="16" t="n"/>
      <c r="AN58" s="16" t="n"/>
      <c r="AO58" s="16" t="n"/>
      <c r="AP58" s="16" t="n"/>
      <c r="AQ58" s="16" t="n"/>
      <c r="AR58" s="16" t="n"/>
      <c r="AS58" s="16" t="n"/>
      <c r="AT58" s="16" t="n"/>
      <c r="AU58" s="16" t="n"/>
      <c r="AV58" s="16" t="n"/>
      <c r="AW58" s="16" t="n"/>
      <c r="AX58" s="16" t="n"/>
      <c r="AY58" s="16" t="n"/>
      <c r="AZ58" s="16" t="n"/>
      <c r="BA58" s="16" t="n"/>
      <c r="BB58" s="16" t="n"/>
      <c r="BC58" s="16" t="n"/>
      <c r="BD58" s="16" t="n"/>
      <c r="BE58" s="16" t="n"/>
      <c r="BF58" s="16" t="n"/>
      <c r="BG58" s="16" t="n"/>
      <c r="BH58" s="16" t="n"/>
      <c r="BI58" s="16" t="n"/>
    </row>
    <row r="59" ht="30" customHeight="1">
      <c r="A59" s="16" t="n"/>
      <c r="B59" s="106" t="inlineStr">
        <is>
          <t>N°</t>
        </is>
      </c>
      <c r="C59" s="17" t="n"/>
      <c r="D59" s="106" t="inlineStr">
        <is>
          <t>Projet</t>
        </is>
      </c>
      <c r="E59" s="17" t="n"/>
      <c r="F59" s="17" t="n"/>
      <c r="G59" s="17" t="n"/>
      <c r="H59" s="17" t="n"/>
      <c r="I59" s="17" t="n"/>
      <c r="J59" s="17" t="n"/>
      <c r="K59" s="17" t="n"/>
      <c r="L59" s="106" t="inlineStr">
        <is>
          <t>Sous-projet</t>
        </is>
      </c>
      <c r="M59" s="17" t="n"/>
      <c r="N59" s="17" t="n"/>
      <c r="O59" s="17" t="n"/>
      <c r="P59" s="17" t="n"/>
      <c r="Q59" s="17" t="n"/>
      <c r="R59" s="17" t="n"/>
      <c r="S59" s="17" t="n"/>
      <c r="T59" s="106" t="inlineStr">
        <is>
          <t>Produit</t>
        </is>
      </c>
      <c r="U59" s="17" t="n"/>
      <c r="V59" s="17" t="n"/>
      <c r="W59" s="17" t="n"/>
      <c r="X59" s="17" t="n"/>
      <c r="Y59" s="17" t="n"/>
      <c r="Z59" s="17" t="n"/>
      <c r="AA59" s="17" t="n"/>
      <c r="AB59" s="106" t="inlineStr">
        <is>
          <t>Chef de projet</t>
        </is>
      </c>
      <c r="AC59" s="17" t="n"/>
      <c r="AD59" s="17" t="n"/>
      <c r="AE59" s="17" t="n"/>
      <c r="AF59" s="17" t="n"/>
      <c r="AG59" s="17" t="n"/>
      <c r="AH59" s="17" t="n"/>
      <c r="AI59" s="106" t="inlineStr">
        <is>
          <t>Ressources</t>
        </is>
      </c>
      <c r="AJ59" s="17" t="n"/>
      <c r="AK59" s="17" t="n"/>
      <c r="AL59" s="17" t="n"/>
      <c r="AM59" s="106" t="inlineStr">
        <is>
          <t>Charge (h)</t>
        </is>
      </c>
      <c r="AN59" s="17" t="n"/>
      <c r="AO59" s="17" t="n"/>
      <c r="AP59" s="17" t="n"/>
      <c r="AQ59" s="17" t="n"/>
      <c r="AR59" s="106" t="inlineStr">
        <is>
          <t>% de la charge totale</t>
        </is>
      </c>
      <c r="AS59" s="17" t="n"/>
      <c r="AT59" s="17" t="n"/>
      <c r="AU59" s="17" t="n"/>
      <c r="AV59" s="17" t="n"/>
      <c r="AW59" s="17" t="n"/>
      <c r="AX59" s="106" t="inlineStr">
        <is>
          <t>Avancement</t>
        </is>
      </c>
      <c r="AY59" s="17" t="n"/>
      <c r="AZ59" s="17" t="n"/>
      <c r="BA59" s="17" t="n"/>
      <c r="BB59" s="17" t="n"/>
      <c r="BC59" s="17" t="n"/>
      <c r="BD59" s="106" t="inlineStr">
        <is>
          <t>Date de début planifiée</t>
        </is>
      </c>
      <c r="BE59" s="17" t="n"/>
      <c r="BF59" s="17" t="n"/>
      <c r="BG59" s="17" t="n"/>
      <c r="BH59" s="17" t="n"/>
      <c r="BI59" s="16" t="n"/>
    </row>
    <row r="60" ht="16.5" customHeight="1">
      <c r="A60" s="16" t="n"/>
      <c r="B60" s="107">
        <f>IF(Calculs!$BX$4="","",Calculs!$BW$4)</f>
        <v>1</v>
      </c>
      <c r="D60" s="108" t="str">
        <f>IF(Calculs!$BX$4="","",INDEX(Charge!$B:$B,Calculs!$BX$4+3)&amp;"")</f>
        <v>PÉGASE</v>
      </c>
      <c r="L60" s="109" t="str">
        <f>IF(Calculs!$BX$4="","",INDEX(Charge!$C:$C,Calculs!$BX$4+3)&amp;"")</f>
        <v>Lot 1</v>
      </c>
      <c r="T60" s="109" t="str">
        <f>IF(Calculs!$BX$4="","",INDEX(Charge!$D:$D,Calculs!$BX$4+3)&amp;"")</f>
        <v>Ensemble complet</v>
      </c>
      <c r="AB60" s="109" t="str">
        <f>IF(Calculs!$BX$4="","",INDEX(Charge!$A:$A,Calculs!$BX$4+3)&amp;"")</f>
        <v>Camille Laurent</v>
      </c>
      <c r="AI60" s="110" t="str">
        <f>IF(Calculs!$BX$4="","",INDEX(Calculs!$ET$4:$ET$503,Calculs!$BX$4))</f>
        <v>2 dont 1 ext.</v>
      </c>
      <c r="AM60" s="111">
        <f>IF(Calculs!$BX$4="","",INDEX(Calculs!$EP$4:$EP$503,Calculs!$BX$4))</f>
        <v>480</v>
      </c>
      <c r="AR60" s="112">
        <f>IF(Calculs!$BX$4="","",IF(Calculs!$AL$4=0,0,INDEX(Calculs!$EP$4:$EP$503,Calculs!$BX$4)/Calculs!$AL$4))</f>
        <v>0.138929088277858</v>
      </c>
      <c r="AX60" s="113">
        <f>IF(Calculs!$BX$4="","",INDEX(Calculs!$EU$4:$EU$503,Calculs!$BX$4))</f>
        <v>0</v>
      </c>
      <c r="BD60" s="114">
        <f>IF(Calculs!$BX$4="","",IF(INDEX(Calculs!$EW$4:$EW$503,Calculs!$BX$4)&gt;=2958465,"à planifier",INDEX(Calculs!$EW$4:$EW$503,Calculs!$BX$4)))</f>
        <v>46461.0</v>
      </c>
      <c r="BI60" s="16" t="n"/>
    </row>
    <row r="61" ht="16.5" customHeight="1">
      <c r="A61" s="16" t="n"/>
      <c r="B61" s="107">
        <f>IF(Calculs!$BX$5="","",Calculs!$BW$5)</f>
        <v>2</v>
      </c>
      <c r="D61" s="108" t="str">
        <f>IF(Calculs!$BX$5="","",INDEX(Charge!$B:$B,Calculs!$BX$5+3)&amp;"")</f>
        <v>ATLAS</v>
      </c>
      <c r="L61" s="109" t="str">
        <f>IF(Calculs!$BX$5="","",INDEX(Charge!$C:$C,Calculs!$BX$5+3)&amp;"")</f>
        <v>Lot 1 – Structure</v>
      </c>
      <c r="T61" s="109" t="str">
        <f>IF(Calculs!$BX$5="","",INDEX(Charge!$D:$D,Calculs!$BX$5+3)&amp;"")</f>
        <v>Châssis principal</v>
      </c>
      <c r="AB61" s="109" t="str">
        <f>IF(Calculs!$BX$5="","",INDEX(Charge!$A:$A,Calculs!$BX$5+3)&amp;"")</f>
        <v>Julie Martin</v>
      </c>
      <c r="AI61" s="110" t="str">
        <f>IF(Calculs!$BX$5="","",INDEX(Calculs!$ET$4:$ET$503,Calculs!$BX$5))</f>
        <v>2 dont 1 ext.</v>
      </c>
      <c r="AM61" s="111">
        <f>IF(Calculs!$BX$5="","",INDEX(Calculs!$EP$4:$EP$503,Calculs!$BX$5))</f>
        <v>420</v>
      </c>
      <c r="AR61" s="112">
        <f>IF(Calculs!$BX$5="","",IF(Calculs!$AL$4=0,0,INDEX(Calculs!$EP$4:$EP$503,Calculs!$BX$5)/Calculs!$AL$4))</f>
        <v>0.121562952243126</v>
      </c>
      <c r="AX61" s="113">
        <f>IF(Calculs!$BX$5="","",INDEX(Calculs!$EU$4:$EU$503,Calculs!$BX$5))</f>
        <v>0.107142857142857</v>
      </c>
      <c r="BD61" s="114">
        <f>IF(Calculs!$BX$5="","",IF(INDEX(Calculs!$EW$4:$EW$503,Calculs!$BX$5)&gt;=2958465,"à planifier",INDEX(Calculs!$EW$4:$EW$503,Calculs!$BX$5)))</f>
        <v>46328.0</v>
      </c>
      <c r="BI61" s="16" t="n"/>
    </row>
    <row r="62" ht="16.5" customHeight="1">
      <c r="A62" s="16" t="n"/>
      <c r="B62" s="107">
        <f>IF(Calculs!$BX$6="","",Calculs!$BW$6)</f>
        <v>3</v>
      </c>
      <c r="D62" s="108" t="str">
        <f>IF(Calculs!$BX$6="","",INDEX(Charge!$B:$B,Calculs!$BX$6+3)&amp;"")</f>
        <v>DELTA</v>
      </c>
      <c r="L62" s="109" t="str">
        <f>IF(Calculs!$BX$6="","",INDEX(Charge!$C:$C,Calculs!$BX$6+3)&amp;"")</f>
        <v>Lot unique</v>
      </c>
      <c r="T62" s="109" t="str">
        <f>IF(Calculs!$BX$6="","",INDEX(Charge!$D:$D,Calculs!$BX$6+3)&amp;"")</f>
        <v>Bâti machine</v>
      </c>
      <c r="AB62" s="109" t="str">
        <f>IF(Calculs!$BX$6="","",INDEX(Charge!$A:$A,Calculs!$BX$6+3)&amp;"")</f>
        <v>Sophie Lefèvre</v>
      </c>
      <c r="AI62" s="110" t="str">
        <f>IF(Calculs!$BX$6="","",INDEX(Calculs!$ET$4:$ET$503,Calculs!$BX$6))</f>
        <v>2</v>
      </c>
      <c r="AM62" s="111">
        <f>IF(Calculs!$BX$6="","",INDEX(Calculs!$EP$4:$EP$503,Calculs!$BX$6))</f>
        <v>360</v>
      </c>
      <c r="AR62" s="112">
        <f>IF(Calculs!$BX$6="","",IF(Calculs!$AL$4=0,0,INDEX(Calculs!$EP$4:$EP$503,Calculs!$BX$6)/Calculs!$AL$4))</f>
        <v>0.104196816208394</v>
      </c>
      <c r="AX62" s="113">
        <f>IF(Calculs!$BX$6="","",INDEX(Calculs!$EU$4:$EU$503,Calculs!$BX$6))</f>
        <v>0</v>
      </c>
      <c r="BD62" s="114">
        <f>IF(Calculs!$BX$6="","",IF(INDEX(Calculs!$EW$4:$EW$503,Calculs!$BX$6)&gt;=2958465,"à planifier",INDEX(Calculs!$EW$4:$EW$503,Calculs!$BX$6)))</f>
        <v>46433.0</v>
      </c>
      <c r="BI62" s="16" t="n"/>
    </row>
    <row r="63" ht="16.5" customHeight="1">
      <c r="A63" s="16" t="n"/>
      <c r="B63" s="107">
        <f>IF(Calculs!$BX$7="","",Calculs!$BW$7)</f>
        <v>4</v>
      </c>
      <c r="D63" s="108" t="str">
        <f>IF(Calculs!$BX$7="","",INDEX(Charge!$B:$B,Calculs!$BX$7+3)&amp;"")</f>
        <v>BORÉAL</v>
      </c>
      <c r="L63" s="109" t="str">
        <f>IF(Calculs!$BX$7="","",INDEX(Charge!$C:$C,Calculs!$BX$7+3)&amp;"")</f>
        <v>Phase APD</v>
      </c>
      <c r="T63" s="109" t="str">
        <f>IF(Calculs!$BX$7="","",INDEX(Charge!$D:$D,Calculs!$BX$7+3)&amp;"")</f>
        <v>Groupe froid</v>
      </c>
      <c r="AB63" s="109" t="str">
        <f>IF(Calculs!$BX$7="","",INDEX(Charge!$A:$A,Calculs!$BX$7+3)&amp;"")</f>
        <v>Thomas Bernard</v>
      </c>
      <c r="AI63" s="110" t="str">
        <f>IF(Calculs!$BX$7="","",INDEX(Calculs!$ET$4:$ET$503,Calculs!$BX$7))</f>
        <v>1</v>
      </c>
      <c r="AM63" s="111">
        <f>IF(Calculs!$BX$7="","",INDEX(Calculs!$EP$4:$EP$503,Calculs!$BX$7))</f>
        <v>310</v>
      </c>
      <c r="AR63" s="112">
        <f>IF(Calculs!$BX$7="","",IF(Calculs!$AL$4=0,0,INDEX(Calculs!$EP$4:$EP$503,Calculs!$BX$7)/Calculs!$AL$4))</f>
        <v>0.0897250361794501</v>
      </c>
      <c r="AX63" s="113">
        <f>IF(Calculs!$BX$7="","",INDEX(Calculs!$EU$4:$EU$503,Calculs!$BX$7))</f>
        <v>0.35</v>
      </c>
      <c r="BD63" s="114">
        <f>IF(Calculs!$BX$7="","",IF(INDEX(Calculs!$EW$4:$EW$503,Calculs!$BX$7)&gt;=2958465,"à planifier",INDEX(Calculs!$EW$4:$EW$503,Calculs!$BX$7)))</f>
        <v>46300.0</v>
      </c>
      <c r="BI63" s="16" t="n"/>
    </row>
    <row r="64" ht="16.5" customHeight="1">
      <c r="A64" s="16" t="n"/>
      <c r="B64" s="107">
        <f>IF(Calculs!$BX$8="","",Calculs!$BW$8)</f>
        <v>5</v>
      </c>
      <c r="D64" s="108" t="str">
        <f>IF(Calculs!$BX$8="","",INDEX(Charge!$B:$B,Calculs!$BX$8+3)&amp;"")</f>
        <v>ATLAS</v>
      </c>
      <c r="L64" s="109" t="str">
        <f>IF(Calculs!$BX$8="","",INDEX(Charge!$C:$C,Calculs!$BX$8+3)&amp;"")</f>
        <v>Lot 2 – Carénage</v>
      </c>
      <c r="T64" s="109" t="str">
        <f>IF(Calculs!$BX$8="","",INDEX(Charge!$D:$D,Calculs!$BX$8+3)&amp;"")</f>
        <v>Capots latéraux</v>
      </c>
      <c r="AB64" s="109" t="str">
        <f>IF(Calculs!$BX$8="","",INDEX(Charge!$A:$A,Calculs!$BX$8+3)&amp;"")</f>
        <v>Julie Martin</v>
      </c>
      <c r="AI64" s="110" t="str">
        <f>IF(Calculs!$BX$8="","",INDEX(Calculs!$ET$4:$ET$503,Calculs!$BX$8))</f>
        <v>1</v>
      </c>
      <c r="AM64" s="111">
        <f>IF(Calculs!$BX$8="","",INDEX(Calculs!$EP$4:$EP$503,Calculs!$BX$8))</f>
        <v>260</v>
      </c>
      <c r="AR64" s="112">
        <f>IF(Calculs!$BX$8="","",IF(Calculs!$AL$4=0,0,INDEX(Calculs!$EP$4:$EP$503,Calculs!$BX$8)/Calculs!$AL$4))</f>
        <v>0.0752532561505065</v>
      </c>
      <c r="AX64" s="113">
        <f>IF(Calculs!$BX$8="","",INDEX(Calculs!$EU$4:$EU$503,Calculs!$BX$8))</f>
        <v>0</v>
      </c>
      <c r="BD64" s="114">
        <f>IF(Calculs!$BX$8="","",IF(INDEX(Calculs!$EW$4:$EW$503,Calculs!$BX$8)&gt;=2958465,"à planifier",INDEX(Calculs!$EW$4:$EW$503,Calculs!$BX$8)))</f>
        <v>46398.0</v>
      </c>
      <c r="BI64" s="16" t="n"/>
    </row>
    <row r="65" ht="16.5" customHeight="1">
      <c r="A65" s="16" t="n"/>
      <c r="B65" s="107">
        <f>IF(Calculs!$BX$9="","",Calculs!$BW$9)</f>
        <v>6</v>
      </c>
      <c r="D65" s="108" t="str">
        <f>IF(Calculs!$BX$9="","",INDEX(Charge!$B:$B,Calculs!$BX$9+3)&amp;"")</f>
        <v>CASSIOPÉE</v>
      </c>
      <c r="L65" s="109" t="str">
        <f>IF(Calculs!$BX$9="","",INDEX(Charge!$C:$C,Calculs!$BX$9+3)&amp;"")</f>
        <v>Rétrofit ligne 2</v>
      </c>
      <c r="T65" s="109" t="str">
        <f>IF(Calculs!$BX$9="","",INDEX(Charge!$D:$D,Calculs!$BX$9+3)&amp;"")</f>
        <v>Poste de contrôle</v>
      </c>
      <c r="AB65" s="109" t="str">
        <f>IF(Calculs!$BX$9="","",INDEX(Charge!$A:$A,Calculs!$BX$9+3)&amp;"")</f>
        <v>Sophie Lefèvre</v>
      </c>
      <c r="AI65" s="110" t="str">
        <f>IF(Calculs!$BX$9="","",INDEX(Calculs!$ET$4:$ET$503,Calculs!$BX$9))</f>
        <v>2 dont 1 ext.</v>
      </c>
      <c r="AM65" s="111">
        <f>IF(Calculs!$BX$9="","",INDEX(Calculs!$EP$4:$EP$503,Calculs!$BX$9))</f>
        <v>240</v>
      </c>
      <c r="AR65" s="112">
        <f>IF(Calculs!$BX$9="","",IF(Calculs!$AL$4=0,0,INDEX(Calculs!$EP$4:$EP$503,Calculs!$BX$9)/Calculs!$AL$4))</f>
        <v>0.0694645441389291</v>
      </c>
      <c r="AX65" s="113">
        <f>IF(Calculs!$BX$9="","",INDEX(Calculs!$EU$4:$EU$503,Calculs!$BX$9))</f>
        <v>0.0333333333333333</v>
      </c>
      <c r="BD65" s="114">
        <f>IF(Calculs!$BX$9="","",IF(INDEX(Calculs!$EW$4:$EW$503,Calculs!$BX$9)&gt;=2958465,"à planifier",INDEX(Calculs!$EW$4:$EW$503,Calculs!$BX$9)))</f>
        <v>46357.0</v>
      </c>
      <c r="BI65" s="16" t="n"/>
    </row>
    <row r="66" ht="16.5" customHeight="1">
      <c r="A66" s="16" t="n"/>
      <c r="B66" s="107">
        <f>IF(Calculs!$BX$10="","",Calculs!$BW$10)</f>
        <v>7</v>
      </c>
      <c r="D66" s="108" t="str">
        <f>IF(Calculs!$BX$10="","",INDEX(Charge!$B:$B,Calculs!$BX$10+3)&amp;"")</f>
        <v>BORÉAL</v>
      </c>
      <c r="L66" s="109" t="str">
        <f>IF(Calculs!$BX$10="","",INDEX(Charge!$C:$C,Calculs!$BX$10+3)&amp;"")</f>
        <v>Phase EXE</v>
      </c>
      <c r="T66" s="109" t="str">
        <f>IF(Calculs!$BX$10="","",INDEX(Charge!$D:$D,Calculs!$BX$10+3)&amp;"")</f>
        <v>Groupe froid</v>
      </c>
      <c r="AB66" s="109" t="str">
        <f>IF(Calculs!$BX$10="","",INDEX(Charge!$A:$A,Calculs!$BX$10+3)&amp;"")</f>
        <v>Thomas Bernard</v>
      </c>
      <c r="AI66" s="110" t="str">
        <f>IF(Calculs!$BX$10="","",INDEX(Calculs!$ET$4:$ET$503,Calculs!$BX$10))</f>
        <v>1</v>
      </c>
      <c r="AM66" s="111">
        <f>IF(Calculs!$BX$10="","",INDEX(Calculs!$EP$4:$EP$503,Calculs!$BX$10))</f>
        <v>220</v>
      </c>
      <c r="AR66" s="112">
        <f>IF(Calculs!$BX$10="","",IF(Calculs!$AL$4=0,0,INDEX(Calculs!$EP$4:$EP$503,Calculs!$BX$10)/Calculs!$AL$4))</f>
        <v>0.0636758321273517</v>
      </c>
      <c r="AX66" s="113">
        <f>IF(Calculs!$BX$10="","",INDEX(Calculs!$EU$4:$EU$503,Calculs!$BX$10))</f>
        <v>0</v>
      </c>
      <c r="BD66" s="114">
        <f>IF(Calculs!$BX$10="","",IF(INDEX(Calculs!$EW$4:$EW$503,Calculs!$BX$10)&gt;=2958465,"à planifier",INDEX(Calculs!$EW$4:$EW$503,Calculs!$BX$10)))</f>
        <v>46419.0</v>
      </c>
      <c r="BI66" s="16" t="n"/>
    </row>
    <row r="67" ht="16.5" customHeight="1">
      <c r="A67" s="16" t="n"/>
      <c r="B67" s="107">
        <f>IF(Calculs!$BX$11="","",Calculs!$BW$11)</f>
        <v>8</v>
      </c>
      <c r="D67" s="108" t="str">
        <f>IF(Calculs!$BX$11="","",INDEX(Charge!$B:$B,Calculs!$BX$11+3)&amp;"")</f>
        <v>DELTA</v>
      </c>
      <c r="L67" s="109" t="str">
        <f>IF(Calculs!$BX$11="","",INDEX(Charge!$C:$C,Calculs!$BX$11+3)&amp;"")</f>
        <v>Lot unique</v>
      </c>
      <c r="T67" s="109" t="str">
        <f>IF(Calculs!$BX$11="","",INDEX(Charge!$D:$D,Calculs!$BX$11+3)&amp;"")</f>
        <v>Habillage</v>
      </c>
      <c r="AB67" s="109" t="str">
        <f>IF(Calculs!$BX$11="","",INDEX(Charge!$A:$A,Calculs!$BX$11+3)&amp;"")</f>
        <v>Thomas Bernard</v>
      </c>
      <c r="AI67" s="110" t="str">
        <f>IF(Calculs!$BX$11="","",INDEX(Calculs!$ET$4:$ET$503,Calculs!$BX$11))</f>
        <v>2 dont 1 ext.</v>
      </c>
      <c r="AM67" s="111">
        <f>IF(Calculs!$BX$11="","",INDEX(Calculs!$EP$4:$EP$503,Calculs!$BX$11))</f>
        <v>200</v>
      </c>
      <c r="AR67" s="112">
        <f>IF(Calculs!$BX$11="","",IF(Calculs!$AL$4=0,0,INDEX(Calculs!$EP$4:$EP$503,Calculs!$BX$11)/Calculs!$AL$4))</f>
        <v>0.0578871201157742</v>
      </c>
      <c r="AX67" s="113">
        <f>IF(Calculs!$BX$11="","",INDEX(Calculs!$EU$4:$EU$503,Calculs!$BX$11))</f>
        <v>0</v>
      </c>
      <c r="BD67" s="114">
        <f>IF(Calculs!$BX$11="","",IF(INDEX(Calculs!$EW$4:$EW$503,Calculs!$BX$11)&gt;=2958465,"à planifier",INDEX(Calculs!$EW$4:$EW$503,Calculs!$BX$11)))</f>
        <v>46510.0</v>
      </c>
      <c r="BI67" s="16" t="n"/>
    </row>
    <row r="68" ht="16.5" customHeight="1">
      <c r="A68" s="16" t="n"/>
      <c r="B68" s="107">
        <f>IF(Calculs!$BX$12="","",Calculs!$BW$12)</f>
        <v>9</v>
      </c>
      <c r="D68" s="108" t="str">
        <f>IF(Calculs!$BX$12="","",INDEX(Charge!$B:$B,Calculs!$BX$12+3)&amp;"")</f>
        <v>ATLAS</v>
      </c>
      <c r="L68" s="109" t="str">
        <f>IF(Calculs!$BX$12="","",INDEX(Charge!$C:$C,Calculs!$BX$12+3)&amp;"")</f>
        <v>Lot 3 – Intégration</v>
      </c>
      <c r="T68" s="109" t="str">
        <f>IF(Calculs!$BX$12="","",INDEX(Charge!$D:$D,Calculs!$BX$12+3)&amp;"")</f>
        <v>Faisceau électrique</v>
      </c>
      <c r="AB68" s="109" t="str">
        <f>IF(Calculs!$BX$12="","",INDEX(Charge!$A:$A,Calculs!$BX$12+3)&amp;"")</f>
        <v>Julie Martin</v>
      </c>
      <c r="AI68" s="110" t="str">
        <f>IF(Calculs!$BX$12="","",INDEX(Calculs!$ET$4:$ET$503,Calculs!$BX$12))</f>
        <v>1 ext.</v>
      </c>
      <c r="AM68" s="111">
        <f>IF(Calculs!$BX$12="","",INDEX(Calculs!$EP$4:$EP$503,Calculs!$BX$12))</f>
        <v>180</v>
      </c>
      <c r="AR68" s="112">
        <f>IF(Calculs!$BX$12="","",IF(Calculs!$AL$4=0,0,INDEX(Calculs!$EP$4:$EP$503,Calculs!$BX$12)/Calculs!$AL$4))</f>
        <v>0.0520984081041968</v>
      </c>
      <c r="AX68" s="113">
        <f>IF(Calculs!$BX$12="","",INDEX(Calculs!$EU$4:$EU$503,Calculs!$BX$12))</f>
        <v>0</v>
      </c>
      <c r="BD68" s="114">
        <f>IF(Calculs!$BX$12="","",IF(INDEX(Calculs!$EW$4:$EW$503,Calculs!$BX$12)&gt;=2958465,"à planifier",INDEX(Calculs!$EW$4:$EW$503,Calculs!$BX$12)))</f>
        <v>46482.0</v>
      </c>
      <c r="BI68" s="16" t="n"/>
    </row>
    <row r="69" ht="16.5" customHeight="1">
      <c r="A69" s="16" t="n"/>
      <c r="B69" s="107">
        <f>IF(Calculs!$BX$13="","",Calculs!$BW$13)</f>
        <v>10</v>
      </c>
      <c r="D69" s="108" t="str">
        <f>IF(Calculs!$BX$13="","",INDEX(Charge!$B:$B,Calculs!$BX$13+3)&amp;"")</f>
        <v>ORION</v>
      </c>
      <c r="L69" s="109" t="str">
        <f>IF(Calculs!$BX$13="","",INDEX(Charge!$C:$C,Calculs!$BX$13+3)&amp;"")</f>
        <v>Tranche 2</v>
      </c>
      <c r="T69" s="109" t="str">
        <f>IF(Calculs!$BX$13="","",INDEX(Charge!$D:$D,Calculs!$BX$13+3)&amp;"")</f>
        <v>Support moteur</v>
      </c>
      <c r="AB69" s="109" t="str">
        <f>IF(Calculs!$BX$13="","",INDEX(Charge!$A:$A,Calculs!$BX$13+3)&amp;"")</f>
        <v>Nicolas Moreau</v>
      </c>
      <c r="AI69" s="110" t="str">
        <f>IF(Calculs!$BX$13="","",INDEX(Calculs!$ET$4:$ET$503,Calculs!$BX$13))</f>
        <v>1</v>
      </c>
      <c r="AM69" s="111">
        <f>IF(Calculs!$BX$13="","",INDEX(Calculs!$EP$4:$EP$503,Calculs!$BX$13))</f>
        <v>160</v>
      </c>
      <c r="AR69" s="112">
        <f>IF(Calculs!$BX$13="","",IF(Calculs!$AL$4=0,0,INDEX(Calculs!$EP$4:$EP$503,Calculs!$BX$13)/Calculs!$AL$4))</f>
        <v>0.0463096960926194</v>
      </c>
      <c r="AX69" s="113">
        <f>IF(Calculs!$BX$13="","",INDEX(Calculs!$EU$4:$EU$503,Calculs!$BX$13))</f>
        <v>0</v>
      </c>
      <c r="BD69" s="114">
        <f>IF(Calculs!$BX$13="","",IF(INDEX(Calculs!$EW$4:$EW$503,Calculs!$BX$13)&gt;=2958465,"à planifier",INDEX(Calculs!$EW$4:$EW$503,Calculs!$BX$13)))</f>
        <v>46447.0</v>
      </c>
      <c r="BI69" s="16" t="n"/>
    </row>
    <row r="70" ht="16.5" customHeight="1">
      <c r="A70" s="16" t="n"/>
      <c r="B70" s="107">
        <f>IF(Calculs!$BX$14="","",Calculs!$BW$14)</f>
        <v>11</v>
      </c>
      <c r="D70" s="108" t="str">
        <f>IF(Calculs!$BX$14="","",INDEX(Charge!$B:$B,Calculs!$BX$14+3)&amp;"")</f>
        <v>CASSIOPÉE</v>
      </c>
      <c r="L70" s="109" t="str">
        <f>IF(Calculs!$BX$14="","",INDEX(Charge!$C:$C,Calculs!$BX$14+3)&amp;"")</f>
        <v>Rétrofit ligne 2</v>
      </c>
      <c r="T70" s="109" t="str">
        <f>IF(Calculs!$BX$14="","",INDEX(Charge!$D:$D,Calculs!$BX$14+3)&amp;"")</f>
        <v>Convoyeur</v>
      </c>
      <c r="AB70" s="109" t="str">
        <f>IF(Calculs!$BX$14="","",INDEX(Charge!$A:$A,Calculs!$BX$14+3)&amp;"")</f>
        <v>Sophie Lefèvre</v>
      </c>
      <c r="AI70" s="110" t="str">
        <f>IF(Calculs!$BX$14="","",INDEX(Calculs!$ET$4:$ET$503,Calculs!$BX$14))</f>
        <v>1</v>
      </c>
      <c r="AM70" s="111">
        <f>IF(Calculs!$BX$14="","",INDEX(Calculs!$EP$4:$EP$503,Calculs!$BX$14))</f>
        <v>150</v>
      </c>
      <c r="AR70" s="112">
        <f>IF(Calculs!$BX$14="","",IF(Calculs!$AL$4=0,0,INDEX(Calculs!$EP$4:$EP$503,Calculs!$BX$14)/Calculs!$AL$4))</f>
        <v>0.0434153400868307</v>
      </c>
      <c r="AX70" s="113">
        <f>IF(Calculs!$BX$14="","",INDEX(Calculs!$EU$4:$EU$503,Calculs!$BX$14))</f>
        <v>0.5</v>
      </c>
      <c r="BD70" s="114">
        <f>IF(Calculs!$BX$14="","",IF(INDEX(Calculs!$EW$4:$EW$503,Calculs!$BX$14)&gt;=2958465,"à planifier",INDEX(Calculs!$EW$4:$EW$503,Calculs!$BX$14)))</f>
        <v>46307.0</v>
      </c>
      <c r="BI70" s="16" t="n"/>
    </row>
    <row r="71" ht="16.5" customHeight="1">
      <c r="A71" s="16" t="n"/>
      <c r="B71" s="107">
        <f>IF(Calculs!$BX$15="","",Calculs!$BW$15)</f>
        <v>12</v>
      </c>
      <c r="D71" s="108" t="str">
        <f>IF(Calculs!$BX$15="","",INDEX(Charge!$B:$B,Calculs!$BX$15+3)&amp;"")</f>
        <v>ORION</v>
      </c>
      <c r="L71" s="109" t="str">
        <f>IF(Calculs!$BX$15="","",INDEX(Charge!$C:$C,Calculs!$BX$15+3)&amp;"")</f>
        <v>Tranche 1</v>
      </c>
      <c r="T71" s="109" t="str">
        <f>IF(Calculs!$BX$15="","",INDEX(Charge!$D:$D,Calculs!$BX$15+3)&amp;"")</f>
        <v>Support moteur</v>
      </c>
      <c r="AB71" s="109" t="str">
        <f>IF(Calculs!$BX$15="","",INDEX(Charge!$A:$A,Calculs!$BX$15+3)&amp;"")</f>
        <v>Nicolas Moreau</v>
      </c>
      <c r="AI71" s="110" t="str">
        <f>IF(Calculs!$BX$15="","",INDEX(Calculs!$ET$4:$ET$503,Calculs!$BX$15))</f>
        <v>1</v>
      </c>
      <c r="AM71" s="111">
        <f>IF(Calculs!$BX$15="","",INDEX(Calculs!$EP$4:$EP$503,Calculs!$BX$15))</f>
        <v>120</v>
      </c>
      <c r="AR71" s="112">
        <f>IF(Calculs!$BX$15="","",IF(Calculs!$AL$4=0,0,INDEX(Calculs!$EP$4:$EP$503,Calculs!$BX$15)/Calculs!$AL$4))</f>
        <v>0.0347322720694646</v>
      </c>
      <c r="AX71" s="113">
        <f>IF(Calculs!$BX$15="","",INDEX(Calculs!$EU$4:$EU$503,Calculs!$BX$15))</f>
        <v>0.8</v>
      </c>
      <c r="BD71" s="114">
        <f>IF(Calculs!$BX$15="","",IF(INDEX(Calculs!$EW$4:$EW$503,Calculs!$BX$15)&gt;=2958465,"à planifier",INDEX(Calculs!$EW$4:$EW$503,Calculs!$BX$15)))</f>
        <v>46279.0</v>
      </c>
      <c r="BI71" s="16" t="n"/>
    </row>
    <row r="72" ht="16.5" customHeight="1">
      <c r="A72" s="16" t="n"/>
      <c r="B72" s="107">
        <f>IF(Calculs!$BX$16="","",Calculs!$BW$16)</f>
        <v>13</v>
      </c>
      <c r="D72" s="108" t="str">
        <f>IF(Calculs!$BX$16="","",INDEX(Charge!$B:$B,Calculs!$BX$16+3)&amp;"")</f>
        <v>BORÉAL</v>
      </c>
      <c r="L72" s="109" t="str">
        <f>IF(Calculs!$BX$16="","",INDEX(Charge!$C:$C,Calculs!$BX$16+3)&amp;"")</f>
        <v>Phase EXE</v>
      </c>
      <c r="T72" s="109" t="str">
        <f>IF(Calculs!$BX$16="","",INDEX(Charge!$D:$D,Calculs!$BX$16+3)&amp;"")</f>
        <v>Armoire de commande</v>
      </c>
      <c r="AB72" s="109" t="str">
        <f>IF(Calculs!$BX$16="","",INDEX(Charge!$A:$A,Calculs!$BX$16+3)&amp;"")</f>
        <v>Thomas Bernard</v>
      </c>
      <c r="AI72" s="110" t="str">
        <f>IF(Calculs!$BX$16="","",INDEX(Calculs!$ET$4:$ET$503,Calculs!$BX$16))</f>
        <v>1 ext.</v>
      </c>
      <c r="AM72" s="111">
        <f>IF(Calculs!$BX$16="","",INDEX(Calculs!$EP$4:$EP$503,Calculs!$BX$16))</f>
        <v>90</v>
      </c>
      <c r="AR72" s="112">
        <f>IF(Calculs!$BX$16="","",IF(Calculs!$AL$4=0,0,INDEX(Calculs!$EP$4:$EP$503,Calculs!$BX$16)/Calculs!$AL$4))</f>
        <v>0.0260492040520984</v>
      </c>
      <c r="AX72" s="113">
        <f>IF(Calculs!$BX$16="","",INDEX(Calculs!$EU$4:$EU$503,Calculs!$BX$16))</f>
        <v>0</v>
      </c>
      <c r="BD72" s="114">
        <f>IF(Calculs!$BX$16="","",IF(INDEX(Calculs!$EW$4:$EW$503,Calculs!$BX$16)&gt;=2958465,"à planifier",INDEX(Calculs!$EW$4:$EW$503,Calculs!$BX$16)))</f>
        <v>46405.0</v>
      </c>
      <c r="BI72" s="16" t="n"/>
    </row>
    <row r="73" ht="16.5" customHeight="1">
      <c r="A73" s="16" t="n"/>
      <c r="B73" s="107">
        <f>IF(Calculs!$BX$17="","",Calculs!$BW$17)</f>
        <v>14</v>
      </c>
      <c r="D73" s="108" t="str">
        <f>IF(Calculs!$BX$17="","",INDEX(Charge!$B:$B,Calculs!$BX$17+3)&amp;"")</f>
        <v>VEGA</v>
      </c>
      <c r="L73" s="109" t="str">
        <f>IF(Calculs!$BX$17="","",INDEX(Charge!$C:$C,Calculs!$BX$17+3)&amp;"")</f>
        <v>Mise en conformité</v>
      </c>
      <c r="T73" s="109" t="str">
        <f>IF(Calculs!$BX$17="","",INDEX(Charge!$D:$D,Calculs!$BX$17+3)&amp;"")</f>
        <v>Garde-corps</v>
      </c>
      <c r="AB73" s="109" t="str">
        <f>IF(Calculs!$BX$17="","",INDEX(Charge!$A:$A,Calculs!$BX$17+3)&amp;"")</f>
        <v>Camille Laurent</v>
      </c>
      <c r="AI73" s="110" t="str">
        <f>IF(Calculs!$BX$17="","",INDEX(Calculs!$ET$4:$ET$503,Calculs!$BX$17))</f>
        <v>1</v>
      </c>
      <c r="AM73" s="111">
        <f>IF(Calculs!$BX$17="","",INDEX(Calculs!$EP$4:$EP$503,Calculs!$BX$17))</f>
        <v>85</v>
      </c>
      <c r="AR73" s="112">
        <f>IF(Calculs!$BX$17="","",IF(Calculs!$AL$4=0,0,INDEX(Calculs!$EP$4:$EP$503,Calculs!$BX$17)/Calculs!$AL$4))</f>
        <v>0.0246020260492041</v>
      </c>
      <c r="AX73" s="113">
        <f>IF(Calculs!$BX$17="","",INDEX(Calculs!$EU$4:$EU$503,Calculs!$BX$17))</f>
        <v>0</v>
      </c>
      <c r="BD73" s="114">
        <f>IF(Calculs!$BX$17="","",IF(INDEX(Calculs!$EW$4:$EW$503,Calculs!$BX$17)&gt;=2958465,"à planifier",INDEX(Calculs!$EW$4:$EW$503,Calculs!$BX$17)))</f>
        <v>46349.0</v>
      </c>
      <c r="BI73" s="16" t="n"/>
    </row>
    <row r="74" ht="16.5" customHeight="1">
      <c r="A74" s="16" t="n"/>
      <c r="B74" s="107">
        <f>IF(Calculs!$BX$18="","",Calculs!$BW$18)</f>
        <v>15</v>
      </c>
      <c r="D74" s="108" t="str">
        <f>IF(Calculs!$BX$18="","",INDEX(Charge!$B:$B,Calculs!$BX$18+3)&amp;"")</f>
        <v>PÉGASE</v>
      </c>
      <c r="L74" s="109" t="str">
        <f>IF(Calculs!$BX$18="","",INDEX(Charge!$C:$C,Calculs!$BX$18+3)&amp;"")</f>
        <v>Avant-projet</v>
      </c>
      <c r="T74" s="109" t="str">
        <f>IF(Calculs!$BX$18="","",INDEX(Charge!$D:$D,Calculs!$BX$18+3)&amp;"")</f>
        <v>Ensemble complet</v>
      </c>
      <c r="AB74" s="109" t="str">
        <f>IF(Calculs!$BX$18="","",INDEX(Charge!$A:$A,Calculs!$BX$18+3)&amp;"")</f>
        <v>Nicolas Moreau</v>
      </c>
      <c r="AI74" s="110" t="str">
        <f>IF(Calculs!$BX$18="","",INDEX(Calculs!$ET$4:$ET$503,Calculs!$BX$18))</f>
        <v>1</v>
      </c>
      <c r="AM74" s="111">
        <f>IF(Calculs!$BX$18="","",INDEX(Calculs!$EP$4:$EP$503,Calculs!$BX$18))</f>
        <v>70</v>
      </c>
      <c r="AR74" s="112">
        <f>IF(Calculs!$BX$18="","",IF(Calculs!$AL$4=0,0,INDEX(Calculs!$EP$4:$EP$503,Calculs!$BX$18)/Calculs!$AL$4))</f>
        <v>0.020260492040521</v>
      </c>
      <c r="AX74" s="113">
        <f>IF(Calculs!$BX$18="","",INDEX(Calculs!$EU$4:$EU$503,Calculs!$BX$18))</f>
        <v>0.1</v>
      </c>
      <c r="BD74" s="114">
        <f>IF(Calculs!$BX$18="","",IF(INDEX(Calculs!$EW$4:$EW$503,Calculs!$BX$18)&gt;=2958465,"à planifier",INDEX(Calculs!$EW$4:$EW$503,Calculs!$BX$18)))</f>
        <v>46342.0</v>
      </c>
      <c r="BI74" s="16" t="n"/>
    </row>
    <row r="75" ht="16.5" customHeight="1">
      <c r="A75" s="16" t="n"/>
      <c r="B75" s="107">
        <f>IF(Calculs!$BX$19="","",Calculs!$BW$19)</f>
        <v>16</v>
      </c>
      <c r="D75" s="108" t="str">
        <f>IF(Calculs!$BX$19="","",INDEX(Charge!$B:$B,Calculs!$BX$19+3)&amp;"")</f>
        <v>VEGA</v>
      </c>
      <c r="L75" s="109" t="str">
        <f>IF(Calculs!$BX$19="","",INDEX(Charge!$C:$C,Calculs!$BX$19+3)&amp;"")</f>
        <v>Mise en conformité</v>
      </c>
      <c r="T75" s="109" t="str">
        <f>IF(Calculs!$BX$19="","",INDEX(Charge!$D:$D,Calculs!$BX$19+3)&amp;"")</f>
        <v>Passerelle</v>
      </c>
      <c r="AB75" s="109" t="str">
        <f>IF(Calculs!$BX$19="","",INDEX(Charge!$A:$A,Calculs!$BX$19+3)&amp;"")</f>
        <v>Camille Laurent</v>
      </c>
      <c r="AI75" s="110" t="str">
        <f>IF(Calculs!$BX$19="","",INDEX(Calculs!$ET$4:$ET$503,Calculs!$BX$19))</f>
        <v>1</v>
      </c>
      <c r="AM75" s="111">
        <f>IF(Calculs!$BX$19="","",INDEX(Calculs!$EP$4:$EP$503,Calculs!$BX$19))</f>
        <v>60</v>
      </c>
      <c r="AR75" s="112">
        <f>IF(Calculs!$BX$19="","",IF(Calculs!$AL$4=0,0,INDEX(Calculs!$EP$4:$EP$503,Calculs!$BX$19)/Calculs!$AL$4))</f>
        <v>0.0173661360347323</v>
      </c>
      <c r="AX75" s="113">
        <f>IF(Calculs!$BX$19="","",INDEX(Calculs!$EU$4:$EU$503,Calculs!$BX$19))</f>
        <v>0</v>
      </c>
      <c r="BD75" s="114">
        <f>IF(Calculs!$BX$19="","",IF(INDEX(Calculs!$EW$4:$EW$503,Calculs!$BX$19)&gt;=2958465,"à planifier",INDEX(Calculs!$EW$4:$EW$503,Calculs!$BX$19)))</f>
        <v>46426.0</v>
      </c>
      <c r="BI75" s="16" t="n"/>
    </row>
    <row r="76" ht="16.5" customHeight="1">
      <c r="A76" s="16" t="n"/>
      <c r="B76" s="107">
        <f>IF(Calculs!$BX$20="","",Calculs!$BW$20)</f>
        <v>17</v>
      </c>
      <c r="D76" s="108" t="str">
        <f>IF(Calculs!$BX$20="","",INDEX(Charge!$B:$B,Calculs!$BX$20+3)&amp;"")</f>
        <v>VEGA</v>
      </c>
      <c r="L76" s="109" t="str">
        <f>IF(Calculs!$BX$20="","",INDEX(Charge!$C:$C,Calculs!$BX$20+3)&amp;"")</f>
        <v>Mise en conformité</v>
      </c>
      <c r="T76" s="109" t="str">
        <f>IF(Calculs!$BX$20="","",INDEX(Charge!$D:$D,Calculs!$BX$20+3)&amp;"")</f>
        <v>Escalier d'accès</v>
      </c>
      <c r="AB76" s="109" t="str">
        <f>IF(Calculs!$BX$20="","",INDEX(Charge!$A:$A,Calculs!$BX$20+3)&amp;"")</f>
        <v>Camille Laurent</v>
      </c>
      <c r="AI76" s="110" t="str">
        <f>IF(Calculs!$BX$20="","",INDEX(Calculs!$ET$4:$ET$503,Calculs!$BX$20))</f>
        <v>à affecter</v>
      </c>
      <c r="AM76" s="111">
        <f>IF(Calculs!$BX$20="","",INDEX(Calculs!$EP$4:$EP$503,Calculs!$BX$20))</f>
        <v>50</v>
      </c>
      <c r="AR76" s="112">
        <f>IF(Calculs!$BX$20="","",IF(Calculs!$AL$4=0,0,INDEX(Calculs!$EP$4:$EP$503,Calculs!$BX$20)/Calculs!$AL$4))</f>
        <v>0.0144717800289436</v>
      </c>
      <c r="AX76" s="113">
        <f>IF(Calculs!$BX$20="","",INDEX(Calculs!$EU$4:$EU$503,Calculs!$BX$20))</f>
        <v>0</v>
      </c>
      <c r="BD76" s="114">
        <f>IF(Calculs!$BX$20="","",IF(INDEX(Calculs!$EW$4:$EW$503,Calculs!$BX$20)&gt;=2958465,"à planifier",INDEX(Calculs!$EW$4:$EW$503,Calculs!$BX$20)))</f>
        <v>46447.0</v>
      </c>
      <c r="BI76" s="16" t="n"/>
    </row>
    <row r="77" ht="16.5" customHeight="1">
      <c r="A77" s="16" t="n"/>
      <c r="B77" s="107" t="str">
        <f>IF(Calculs!$BX$21="","",Calculs!$BW$21)</f>
        <v/>
      </c>
      <c r="D77" s="108" t="str">
        <f>IF(Calculs!$BX$21="","",INDEX(Charge!$B:$B,Calculs!$BX$21+3)&amp;"")</f>
        <v/>
      </c>
      <c r="L77" s="109" t="str">
        <f>IF(Calculs!$BX$21="","",INDEX(Charge!$C:$C,Calculs!$BX$21+3)&amp;"")</f>
        <v/>
      </c>
      <c r="T77" s="109" t="str">
        <f>IF(Calculs!$BX$21="","",INDEX(Charge!$D:$D,Calculs!$BX$21+3)&amp;"")</f>
        <v/>
      </c>
      <c r="AB77" s="109" t="str">
        <f>IF(Calculs!$BX$21="","",INDEX(Charge!$A:$A,Calculs!$BX$21+3)&amp;"")</f>
        <v/>
      </c>
      <c r="AI77" s="110" t="str">
        <f>IF(Calculs!$BX$21="","",INDEX(Calculs!$ET$4:$ET$503,Calculs!$BX$21))</f>
        <v/>
      </c>
      <c r="AM77" s="111" t="str">
        <f>IF(Calculs!$BX$21="","",INDEX(Calculs!$EP$4:$EP$503,Calculs!$BX$21))</f>
        <v/>
      </c>
      <c r="AR77" s="112" t="str">
        <f>IF(Calculs!$BX$21="","",IF(Calculs!$AL$4=0,0,INDEX(Calculs!$EP$4:$EP$503,Calculs!$BX$21)/Calculs!$AL$4))</f>
        <v/>
      </c>
      <c r="AX77" s="113" t="str">
        <f>IF(Calculs!$BX$21="","",INDEX(Calculs!$EU$4:$EU$503,Calculs!$BX$21))</f>
        <v/>
      </c>
      <c r="BD77" s="114" t="str">
        <f>IF(Calculs!$BX$21="","",IF(INDEX(Calculs!$EW$4:$EW$503,Calculs!$BX$21)&gt;=2958465,"à planifier",INDEX(Calculs!$EW$4:$EW$503,Calculs!$BX$21)))</f>
        <v/>
      </c>
      <c r="BI77" s="16" t="n"/>
    </row>
    <row r="78" ht="16.5" customHeight="1">
      <c r="A78" s="16" t="n"/>
      <c r="B78" s="107" t="str">
        <f>IF(Calculs!$BX$22="","",Calculs!$BW$22)</f>
        <v/>
      </c>
      <c r="D78" s="108" t="str">
        <f>IF(Calculs!$BX$22="","",INDEX(Charge!$B:$B,Calculs!$BX$22+3)&amp;"")</f>
        <v/>
      </c>
      <c r="L78" s="109" t="str">
        <f>IF(Calculs!$BX$22="","",INDEX(Charge!$C:$C,Calculs!$BX$22+3)&amp;"")</f>
        <v/>
      </c>
      <c r="T78" s="109" t="str">
        <f>IF(Calculs!$BX$22="","",INDEX(Charge!$D:$D,Calculs!$BX$22+3)&amp;"")</f>
        <v/>
      </c>
      <c r="AB78" s="109" t="str">
        <f>IF(Calculs!$BX$22="","",INDEX(Charge!$A:$A,Calculs!$BX$22+3)&amp;"")</f>
        <v/>
      </c>
      <c r="AI78" s="110" t="str">
        <f>IF(Calculs!$BX$22="","",INDEX(Calculs!$ET$4:$ET$503,Calculs!$BX$22))</f>
        <v/>
      </c>
      <c r="AM78" s="111" t="str">
        <f>IF(Calculs!$BX$22="","",INDEX(Calculs!$EP$4:$EP$503,Calculs!$BX$22))</f>
        <v/>
      </c>
      <c r="AR78" s="112" t="str">
        <f>IF(Calculs!$BX$22="","",IF(Calculs!$AL$4=0,0,INDEX(Calculs!$EP$4:$EP$503,Calculs!$BX$22)/Calculs!$AL$4))</f>
        <v/>
      </c>
      <c r="AX78" s="113" t="str">
        <f>IF(Calculs!$BX$22="","",INDEX(Calculs!$EU$4:$EU$503,Calculs!$BX$22))</f>
        <v/>
      </c>
      <c r="BD78" s="114" t="str">
        <f>IF(Calculs!$BX$22="","",IF(INDEX(Calculs!$EW$4:$EW$503,Calculs!$BX$22)&gt;=2958465,"à planifier",INDEX(Calculs!$EW$4:$EW$503,Calculs!$BX$22)))</f>
        <v/>
      </c>
      <c r="BI78" s="16" t="n"/>
    </row>
    <row r="79" ht="16.5" customHeight="1">
      <c r="A79" s="16" t="n"/>
      <c r="B79" s="107" t="str">
        <f>IF(Calculs!$BX$23="","",Calculs!$BW$23)</f>
        <v/>
      </c>
      <c r="D79" s="108" t="str">
        <f>IF(Calculs!$BX$23="","",INDEX(Charge!$B:$B,Calculs!$BX$23+3)&amp;"")</f>
        <v/>
      </c>
      <c r="L79" s="109" t="str">
        <f>IF(Calculs!$BX$23="","",INDEX(Charge!$C:$C,Calculs!$BX$23+3)&amp;"")</f>
        <v/>
      </c>
      <c r="T79" s="109" t="str">
        <f>IF(Calculs!$BX$23="","",INDEX(Charge!$D:$D,Calculs!$BX$23+3)&amp;"")</f>
        <v/>
      </c>
      <c r="AB79" s="109" t="str">
        <f>IF(Calculs!$BX$23="","",INDEX(Charge!$A:$A,Calculs!$BX$23+3)&amp;"")</f>
        <v/>
      </c>
      <c r="AI79" s="110" t="str">
        <f>IF(Calculs!$BX$23="","",INDEX(Calculs!$ET$4:$ET$503,Calculs!$BX$23))</f>
        <v/>
      </c>
      <c r="AM79" s="111" t="str">
        <f>IF(Calculs!$BX$23="","",INDEX(Calculs!$EP$4:$EP$503,Calculs!$BX$23))</f>
        <v/>
      </c>
      <c r="AR79" s="112" t="str">
        <f>IF(Calculs!$BX$23="","",IF(Calculs!$AL$4=0,0,INDEX(Calculs!$EP$4:$EP$503,Calculs!$BX$23)/Calculs!$AL$4))</f>
        <v/>
      </c>
      <c r="AX79" s="113" t="str">
        <f>IF(Calculs!$BX$23="","",INDEX(Calculs!$EU$4:$EU$503,Calculs!$BX$23))</f>
        <v/>
      </c>
      <c r="BD79" s="114" t="str">
        <f>IF(Calculs!$BX$23="","",IF(INDEX(Calculs!$EW$4:$EW$503,Calculs!$BX$23)&gt;=2958465,"à planifier",INDEX(Calculs!$EW$4:$EW$503,Calculs!$BX$23)))</f>
        <v/>
      </c>
      <c r="BI79" s="16" t="n"/>
    </row>
    <row r="80" ht="16.5" customHeight="1">
      <c r="A80" s="16" t="n"/>
      <c r="B80" s="107" t="str">
        <f>IF(Calculs!$BX$24="","",Calculs!$BW$24)</f>
        <v/>
      </c>
      <c r="D80" s="108" t="str">
        <f>IF(Calculs!$BX$24="","",INDEX(Charge!$B:$B,Calculs!$BX$24+3)&amp;"")</f>
        <v/>
      </c>
      <c r="L80" s="109" t="str">
        <f>IF(Calculs!$BX$24="","",INDEX(Charge!$C:$C,Calculs!$BX$24+3)&amp;"")</f>
        <v/>
      </c>
      <c r="T80" s="109" t="str">
        <f>IF(Calculs!$BX$24="","",INDEX(Charge!$D:$D,Calculs!$BX$24+3)&amp;"")</f>
        <v/>
      </c>
      <c r="AB80" s="109" t="str">
        <f>IF(Calculs!$BX$24="","",INDEX(Charge!$A:$A,Calculs!$BX$24+3)&amp;"")</f>
        <v/>
      </c>
      <c r="AI80" s="110" t="str">
        <f>IF(Calculs!$BX$24="","",INDEX(Calculs!$ET$4:$ET$503,Calculs!$BX$24))</f>
        <v/>
      </c>
      <c r="AM80" s="111" t="str">
        <f>IF(Calculs!$BX$24="","",INDEX(Calculs!$EP$4:$EP$503,Calculs!$BX$24))</f>
        <v/>
      </c>
      <c r="AR80" s="112" t="str">
        <f>IF(Calculs!$BX$24="","",IF(Calculs!$AL$4=0,0,INDEX(Calculs!$EP$4:$EP$503,Calculs!$BX$24)/Calculs!$AL$4))</f>
        <v/>
      </c>
      <c r="AX80" s="113" t="str">
        <f>IF(Calculs!$BX$24="","",INDEX(Calculs!$EU$4:$EU$503,Calculs!$BX$24))</f>
        <v/>
      </c>
      <c r="BD80" s="114" t="str">
        <f>IF(Calculs!$BX$24="","",IF(INDEX(Calculs!$EW$4:$EW$503,Calculs!$BX$24)&gt;=2958465,"à planifier",INDEX(Calculs!$EW$4:$EW$503,Calculs!$BX$24)))</f>
        <v/>
      </c>
      <c r="BI80" s="16" t="n"/>
    </row>
    <row r="81" ht="16.5" customHeight="1">
      <c r="A81" s="16" t="n"/>
      <c r="B81" s="107" t="str">
        <f>IF(Calculs!$BX$25="","",Calculs!$BW$25)</f>
        <v/>
      </c>
      <c r="D81" s="108" t="str">
        <f>IF(Calculs!$BX$25="","",INDEX(Charge!$B:$B,Calculs!$BX$25+3)&amp;"")</f>
        <v/>
      </c>
      <c r="L81" s="109" t="str">
        <f>IF(Calculs!$BX$25="","",INDEX(Charge!$C:$C,Calculs!$BX$25+3)&amp;"")</f>
        <v/>
      </c>
      <c r="T81" s="109" t="str">
        <f>IF(Calculs!$BX$25="","",INDEX(Charge!$D:$D,Calculs!$BX$25+3)&amp;"")</f>
        <v/>
      </c>
      <c r="AB81" s="109" t="str">
        <f>IF(Calculs!$BX$25="","",INDEX(Charge!$A:$A,Calculs!$BX$25+3)&amp;"")</f>
        <v/>
      </c>
      <c r="AI81" s="110" t="str">
        <f>IF(Calculs!$BX$25="","",INDEX(Calculs!$ET$4:$ET$503,Calculs!$BX$25))</f>
        <v/>
      </c>
      <c r="AM81" s="111" t="str">
        <f>IF(Calculs!$BX$25="","",INDEX(Calculs!$EP$4:$EP$503,Calculs!$BX$25))</f>
        <v/>
      </c>
      <c r="AR81" s="112" t="str">
        <f>IF(Calculs!$BX$25="","",IF(Calculs!$AL$4=0,0,INDEX(Calculs!$EP$4:$EP$503,Calculs!$BX$25)/Calculs!$AL$4))</f>
        <v/>
      </c>
      <c r="AX81" s="113" t="str">
        <f>IF(Calculs!$BX$25="","",INDEX(Calculs!$EU$4:$EU$503,Calculs!$BX$25))</f>
        <v/>
      </c>
      <c r="BD81" s="114" t="str">
        <f>IF(Calculs!$BX$25="","",IF(INDEX(Calculs!$EW$4:$EW$503,Calculs!$BX$25)&gt;=2958465,"à planifier",INDEX(Calculs!$EW$4:$EW$503,Calculs!$BX$25)))</f>
        <v/>
      </c>
      <c r="BI81" s="16" t="n"/>
    </row>
    <row r="82" ht="16.5" customHeight="1">
      <c r="A82" s="16" t="n"/>
      <c r="B82" s="107" t="str">
        <f>IF(Calculs!$BX$26="","",Calculs!$BW$26)</f>
        <v/>
      </c>
      <c r="D82" s="108" t="str">
        <f>IF(Calculs!$BX$26="","",INDEX(Charge!$B:$B,Calculs!$BX$26+3)&amp;"")</f>
        <v/>
      </c>
      <c r="L82" s="109" t="str">
        <f>IF(Calculs!$BX$26="","",INDEX(Charge!$C:$C,Calculs!$BX$26+3)&amp;"")</f>
        <v/>
      </c>
      <c r="T82" s="109" t="str">
        <f>IF(Calculs!$BX$26="","",INDEX(Charge!$D:$D,Calculs!$BX$26+3)&amp;"")</f>
        <v/>
      </c>
      <c r="AB82" s="109" t="str">
        <f>IF(Calculs!$BX$26="","",INDEX(Charge!$A:$A,Calculs!$BX$26+3)&amp;"")</f>
        <v/>
      </c>
      <c r="AI82" s="110" t="str">
        <f>IF(Calculs!$BX$26="","",INDEX(Calculs!$ET$4:$ET$503,Calculs!$BX$26))</f>
        <v/>
      </c>
      <c r="AM82" s="111" t="str">
        <f>IF(Calculs!$BX$26="","",INDEX(Calculs!$EP$4:$EP$503,Calculs!$BX$26))</f>
        <v/>
      </c>
      <c r="AR82" s="112" t="str">
        <f>IF(Calculs!$BX$26="","",IF(Calculs!$AL$4=0,0,INDEX(Calculs!$EP$4:$EP$503,Calculs!$BX$26)/Calculs!$AL$4))</f>
        <v/>
      </c>
      <c r="AX82" s="113" t="str">
        <f>IF(Calculs!$BX$26="","",INDEX(Calculs!$EU$4:$EU$503,Calculs!$BX$26))</f>
        <v/>
      </c>
      <c r="BD82" s="114" t="str">
        <f>IF(Calculs!$BX$26="","",IF(INDEX(Calculs!$EW$4:$EW$503,Calculs!$BX$26)&gt;=2958465,"à planifier",INDEX(Calculs!$EW$4:$EW$503,Calculs!$BX$26)))</f>
        <v/>
      </c>
      <c r="BI82" s="16" t="n"/>
    </row>
    <row r="83" ht="16.5" customHeight="1">
      <c r="A83" s="16" t="n"/>
      <c r="B83" s="107" t="str">
        <f>IF(Calculs!$BX$27="","",Calculs!$BW$27)</f>
        <v/>
      </c>
      <c r="D83" s="108" t="str">
        <f>IF(Calculs!$BX$27="","",INDEX(Charge!$B:$B,Calculs!$BX$27+3)&amp;"")</f>
        <v/>
      </c>
      <c r="L83" s="109" t="str">
        <f>IF(Calculs!$BX$27="","",INDEX(Charge!$C:$C,Calculs!$BX$27+3)&amp;"")</f>
        <v/>
      </c>
      <c r="T83" s="109" t="str">
        <f>IF(Calculs!$BX$27="","",INDEX(Charge!$D:$D,Calculs!$BX$27+3)&amp;"")</f>
        <v/>
      </c>
      <c r="AB83" s="109" t="str">
        <f>IF(Calculs!$BX$27="","",INDEX(Charge!$A:$A,Calculs!$BX$27+3)&amp;"")</f>
        <v/>
      </c>
      <c r="AI83" s="110" t="str">
        <f>IF(Calculs!$BX$27="","",INDEX(Calculs!$ET$4:$ET$503,Calculs!$BX$27))</f>
        <v/>
      </c>
      <c r="AM83" s="111" t="str">
        <f>IF(Calculs!$BX$27="","",INDEX(Calculs!$EP$4:$EP$503,Calculs!$BX$27))</f>
        <v/>
      </c>
      <c r="AR83" s="112" t="str">
        <f>IF(Calculs!$BX$27="","",IF(Calculs!$AL$4=0,0,INDEX(Calculs!$EP$4:$EP$503,Calculs!$BX$27)/Calculs!$AL$4))</f>
        <v/>
      </c>
      <c r="AX83" s="113" t="str">
        <f>IF(Calculs!$BX$27="","",INDEX(Calculs!$EU$4:$EU$503,Calculs!$BX$27))</f>
        <v/>
      </c>
      <c r="BD83" s="114" t="str">
        <f>IF(Calculs!$BX$27="","",IF(INDEX(Calculs!$EW$4:$EW$503,Calculs!$BX$27)&gt;=2958465,"à planifier",INDEX(Calculs!$EW$4:$EW$503,Calculs!$BX$27)))</f>
        <v/>
      </c>
      <c r="BI83" s="16" t="n"/>
    </row>
    <row r="84" ht="16.5" customHeight="1">
      <c r="A84" s="16" t="n"/>
      <c r="B84" s="107" t="str">
        <f>IF(Calculs!$BX$28="","",Calculs!$BW$28)</f>
        <v/>
      </c>
      <c r="D84" s="108" t="str">
        <f>IF(Calculs!$BX$28="","",INDEX(Charge!$B:$B,Calculs!$BX$28+3)&amp;"")</f>
        <v/>
      </c>
      <c r="L84" s="109" t="str">
        <f>IF(Calculs!$BX$28="","",INDEX(Charge!$C:$C,Calculs!$BX$28+3)&amp;"")</f>
        <v/>
      </c>
      <c r="T84" s="109" t="str">
        <f>IF(Calculs!$BX$28="","",INDEX(Charge!$D:$D,Calculs!$BX$28+3)&amp;"")</f>
        <v/>
      </c>
      <c r="AB84" s="109" t="str">
        <f>IF(Calculs!$BX$28="","",INDEX(Charge!$A:$A,Calculs!$BX$28+3)&amp;"")</f>
        <v/>
      </c>
      <c r="AI84" s="110" t="str">
        <f>IF(Calculs!$BX$28="","",INDEX(Calculs!$ET$4:$ET$503,Calculs!$BX$28))</f>
        <v/>
      </c>
      <c r="AM84" s="111" t="str">
        <f>IF(Calculs!$BX$28="","",INDEX(Calculs!$EP$4:$EP$503,Calculs!$BX$28))</f>
        <v/>
      </c>
      <c r="AR84" s="112" t="str">
        <f>IF(Calculs!$BX$28="","",IF(Calculs!$AL$4=0,0,INDEX(Calculs!$EP$4:$EP$503,Calculs!$BX$28)/Calculs!$AL$4))</f>
        <v/>
      </c>
      <c r="AX84" s="113" t="str">
        <f>IF(Calculs!$BX$28="","",INDEX(Calculs!$EU$4:$EU$503,Calculs!$BX$28))</f>
        <v/>
      </c>
      <c r="BD84" s="114" t="str">
        <f>IF(Calculs!$BX$28="","",IF(INDEX(Calculs!$EW$4:$EW$503,Calculs!$BX$28)&gt;=2958465,"à planifier",INDEX(Calculs!$EW$4:$EW$503,Calculs!$BX$28)))</f>
        <v/>
      </c>
      <c r="BI84" s="16" t="n"/>
    </row>
    <row r="85" ht="16.5" customHeight="1">
      <c r="A85" s="16" t="n"/>
      <c r="B85" s="107" t="str">
        <f>IF(Calculs!$BX$29="","",Calculs!$BW$29)</f>
        <v/>
      </c>
      <c r="D85" s="108" t="str">
        <f>IF(Calculs!$BX$29="","",INDEX(Charge!$B:$B,Calculs!$BX$29+3)&amp;"")</f>
        <v/>
      </c>
      <c r="L85" s="109" t="str">
        <f>IF(Calculs!$BX$29="","",INDEX(Charge!$C:$C,Calculs!$BX$29+3)&amp;"")</f>
        <v/>
      </c>
      <c r="T85" s="109" t="str">
        <f>IF(Calculs!$BX$29="","",INDEX(Charge!$D:$D,Calculs!$BX$29+3)&amp;"")</f>
        <v/>
      </c>
      <c r="AB85" s="109" t="str">
        <f>IF(Calculs!$BX$29="","",INDEX(Charge!$A:$A,Calculs!$BX$29+3)&amp;"")</f>
        <v/>
      </c>
      <c r="AI85" s="110" t="str">
        <f>IF(Calculs!$BX$29="","",INDEX(Calculs!$ET$4:$ET$503,Calculs!$BX$29))</f>
        <v/>
      </c>
      <c r="AM85" s="111" t="str">
        <f>IF(Calculs!$BX$29="","",INDEX(Calculs!$EP$4:$EP$503,Calculs!$BX$29))</f>
        <v/>
      </c>
      <c r="AR85" s="112" t="str">
        <f>IF(Calculs!$BX$29="","",IF(Calculs!$AL$4=0,0,INDEX(Calculs!$EP$4:$EP$503,Calculs!$BX$29)/Calculs!$AL$4))</f>
        <v/>
      </c>
      <c r="AX85" s="113" t="str">
        <f>IF(Calculs!$BX$29="","",INDEX(Calculs!$EU$4:$EU$503,Calculs!$BX$29))</f>
        <v/>
      </c>
      <c r="BD85" s="114" t="str">
        <f>IF(Calculs!$BX$29="","",IF(INDEX(Calculs!$EW$4:$EW$503,Calculs!$BX$29)&gt;=2958465,"à planifier",INDEX(Calculs!$EW$4:$EW$503,Calculs!$BX$29)))</f>
        <v/>
      </c>
      <c r="BI85" s="16" t="n"/>
    </row>
    <row r="86" ht="16.5" customHeight="1">
      <c r="A86" s="16" t="n"/>
      <c r="B86" s="107" t="str">
        <f>IF(Calculs!$BX$30="","",Calculs!$BW$30)</f>
        <v/>
      </c>
      <c r="D86" s="108" t="str">
        <f>IF(Calculs!$BX$30="","",INDEX(Charge!$B:$B,Calculs!$BX$30+3)&amp;"")</f>
        <v/>
      </c>
      <c r="L86" s="109" t="str">
        <f>IF(Calculs!$BX$30="","",INDEX(Charge!$C:$C,Calculs!$BX$30+3)&amp;"")</f>
        <v/>
      </c>
      <c r="T86" s="109" t="str">
        <f>IF(Calculs!$BX$30="","",INDEX(Charge!$D:$D,Calculs!$BX$30+3)&amp;"")</f>
        <v/>
      </c>
      <c r="AB86" s="109" t="str">
        <f>IF(Calculs!$BX$30="","",INDEX(Charge!$A:$A,Calculs!$BX$30+3)&amp;"")</f>
        <v/>
      </c>
      <c r="AI86" s="110" t="str">
        <f>IF(Calculs!$BX$30="","",INDEX(Calculs!$ET$4:$ET$503,Calculs!$BX$30))</f>
        <v/>
      </c>
      <c r="AM86" s="111" t="str">
        <f>IF(Calculs!$BX$30="","",INDEX(Calculs!$EP$4:$EP$503,Calculs!$BX$30))</f>
        <v/>
      </c>
      <c r="AR86" s="112" t="str">
        <f>IF(Calculs!$BX$30="","",IF(Calculs!$AL$4=0,0,INDEX(Calculs!$EP$4:$EP$503,Calculs!$BX$30)/Calculs!$AL$4))</f>
        <v/>
      </c>
      <c r="AX86" s="113" t="str">
        <f>IF(Calculs!$BX$30="","",INDEX(Calculs!$EU$4:$EU$503,Calculs!$BX$30))</f>
        <v/>
      </c>
      <c r="BD86" s="114" t="str">
        <f>IF(Calculs!$BX$30="","",IF(INDEX(Calculs!$EW$4:$EW$503,Calculs!$BX$30)&gt;=2958465,"à planifier",INDEX(Calculs!$EW$4:$EW$503,Calculs!$BX$30)))</f>
        <v/>
      </c>
      <c r="BI86" s="16" t="n"/>
    </row>
    <row r="87" ht="16.5" customHeight="1">
      <c r="A87" s="16" t="n"/>
      <c r="B87" s="107" t="str">
        <f>IF(Calculs!$BX$31="","",Calculs!$BW$31)</f>
        <v/>
      </c>
      <c r="D87" s="108" t="str">
        <f>IF(Calculs!$BX$31="","",INDEX(Charge!$B:$B,Calculs!$BX$31+3)&amp;"")</f>
        <v/>
      </c>
      <c r="L87" s="109" t="str">
        <f>IF(Calculs!$BX$31="","",INDEX(Charge!$C:$C,Calculs!$BX$31+3)&amp;"")</f>
        <v/>
      </c>
      <c r="T87" s="109" t="str">
        <f>IF(Calculs!$BX$31="","",INDEX(Charge!$D:$D,Calculs!$BX$31+3)&amp;"")</f>
        <v/>
      </c>
      <c r="AB87" s="109" t="str">
        <f>IF(Calculs!$BX$31="","",INDEX(Charge!$A:$A,Calculs!$BX$31+3)&amp;"")</f>
        <v/>
      </c>
      <c r="AI87" s="110" t="str">
        <f>IF(Calculs!$BX$31="","",INDEX(Calculs!$ET$4:$ET$503,Calculs!$BX$31))</f>
        <v/>
      </c>
      <c r="AM87" s="111" t="str">
        <f>IF(Calculs!$BX$31="","",INDEX(Calculs!$EP$4:$EP$503,Calculs!$BX$31))</f>
        <v/>
      </c>
      <c r="AR87" s="112" t="str">
        <f>IF(Calculs!$BX$31="","",IF(Calculs!$AL$4=0,0,INDEX(Calculs!$EP$4:$EP$503,Calculs!$BX$31)/Calculs!$AL$4))</f>
        <v/>
      </c>
      <c r="AX87" s="113" t="str">
        <f>IF(Calculs!$BX$31="","",INDEX(Calculs!$EU$4:$EU$503,Calculs!$BX$31))</f>
        <v/>
      </c>
      <c r="BD87" s="114" t="str">
        <f>IF(Calculs!$BX$31="","",IF(INDEX(Calculs!$EW$4:$EW$503,Calculs!$BX$31)&gt;=2958465,"à planifier",INDEX(Calculs!$EW$4:$EW$503,Calculs!$BX$31)))</f>
        <v/>
      </c>
      <c r="BI87" s="16" t="n"/>
    </row>
    <row r="88" ht="16.5" customHeight="1">
      <c r="A88" s="16" t="n"/>
      <c r="B88" s="107" t="str">
        <f>IF(Calculs!$BX$32="","",Calculs!$BW$32)</f>
        <v/>
      </c>
      <c r="D88" s="108" t="str">
        <f>IF(Calculs!$BX$32="","",INDEX(Charge!$B:$B,Calculs!$BX$32+3)&amp;"")</f>
        <v/>
      </c>
      <c r="L88" s="109" t="str">
        <f>IF(Calculs!$BX$32="","",INDEX(Charge!$C:$C,Calculs!$BX$32+3)&amp;"")</f>
        <v/>
      </c>
      <c r="T88" s="109" t="str">
        <f>IF(Calculs!$BX$32="","",INDEX(Charge!$D:$D,Calculs!$BX$32+3)&amp;"")</f>
        <v/>
      </c>
      <c r="AB88" s="109" t="str">
        <f>IF(Calculs!$BX$32="","",INDEX(Charge!$A:$A,Calculs!$BX$32+3)&amp;"")</f>
        <v/>
      </c>
      <c r="AI88" s="110" t="str">
        <f>IF(Calculs!$BX$32="","",INDEX(Calculs!$ET$4:$ET$503,Calculs!$BX$32))</f>
        <v/>
      </c>
      <c r="AM88" s="111" t="str">
        <f>IF(Calculs!$BX$32="","",INDEX(Calculs!$EP$4:$EP$503,Calculs!$BX$32))</f>
        <v/>
      </c>
      <c r="AR88" s="112" t="str">
        <f>IF(Calculs!$BX$32="","",IF(Calculs!$AL$4=0,0,INDEX(Calculs!$EP$4:$EP$503,Calculs!$BX$32)/Calculs!$AL$4))</f>
        <v/>
      </c>
      <c r="AX88" s="113" t="str">
        <f>IF(Calculs!$BX$32="","",INDEX(Calculs!$EU$4:$EU$503,Calculs!$BX$32))</f>
        <v/>
      </c>
      <c r="BD88" s="114" t="str">
        <f>IF(Calculs!$BX$32="","",IF(INDEX(Calculs!$EW$4:$EW$503,Calculs!$BX$32)&gt;=2958465,"à planifier",INDEX(Calculs!$EW$4:$EW$503,Calculs!$BX$32)))</f>
        <v/>
      </c>
      <c r="BI88" s="16" t="n"/>
    </row>
    <row r="89" ht="16.5" customHeight="1">
      <c r="A89" s="16" t="n"/>
      <c r="B89" s="107" t="str">
        <f>IF(Calculs!$BX$33="","",Calculs!$BW$33)</f>
        <v/>
      </c>
      <c r="D89" s="108" t="str">
        <f>IF(Calculs!$BX$33="","",INDEX(Charge!$B:$B,Calculs!$BX$33+3)&amp;"")</f>
        <v/>
      </c>
      <c r="L89" s="109" t="str">
        <f>IF(Calculs!$BX$33="","",INDEX(Charge!$C:$C,Calculs!$BX$33+3)&amp;"")</f>
        <v/>
      </c>
      <c r="T89" s="109" t="str">
        <f>IF(Calculs!$BX$33="","",INDEX(Charge!$D:$D,Calculs!$BX$33+3)&amp;"")</f>
        <v/>
      </c>
      <c r="AB89" s="109" t="str">
        <f>IF(Calculs!$BX$33="","",INDEX(Charge!$A:$A,Calculs!$BX$33+3)&amp;"")</f>
        <v/>
      </c>
      <c r="AI89" s="110" t="str">
        <f>IF(Calculs!$BX$33="","",INDEX(Calculs!$ET$4:$ET$503,Calculs!$BX$33))</f>
        <v/>
      </c>
      <c r="AM89" s="111" t="str">
        <f>IF(Calculs!$BX$33="","",INDEX(Calculs!$EP$4:$EP$503,Calculs!$BX$33))</f>
        <v/>
      </c>
      <c r="AR89" s="112" t="str">
        <f>IF(Calculs!$BX$33="","",IF(Calculs!$AL$4=0,0,INDEX(Calculs!$EP$4:$EP$503,Calculs!$BX$33)/Calculs!$AL$4))</f>
        <v/>
      </c>
      <c r="AX89" s="113" t="str">
        <f>IF(Calculs!$BX$33="","",INDEX(Calculs!$EU$4:$EU$503,Calculs!$BX$33))</f>
        <v/>
      </c>
      <c r="BD89" s="114" t="str">
        <f>IF(Calculs!$BX$33="","",IF(INDEX(Calculs!$EW$4:$EW$503,Calculs!$BX$33)&gt;=2958465,"à planifier",INDEX(Calculs!$EW$4:$EW$503,Calculs!$BX$33)))</f>
        <v/>
      </c>
      <c r="BI89" s="16" t="n"/>
    </row>
    <row r="90" ht="16.5" customHeight="1">
      <c r="A90" s="16" t="n"/>
      <c r="B90" s="107" t="str">
        <f>IF(Calculs!$BX$34="","",Calculs!$BW$34)</f>
        <v/>
      </c>
      <c r="D90" s="108" t="str">
        <f>IF(Calculs!$BX$34="","",INDEX(Charge!$B:$B,Calculs!$BX$34+3)&amp;"")</f>
        <v/>
      </c>
      <c r="L90" s="109" t="str">
        <f>IF(Calculs!$BX$34="","",INDEX(Charge!$C:$C,Calculs!$BX$34+3)&amp;"")</f>
        <v/>
      </c>
      <c r="T90" s="109" t="str">
        <f>IF(Calculs!$BX$34="","",INDEX(Charge!$D:$D,Calculs!$BX$34+3)&amp;"")</f>
        <v/>
      </c>
      <c r="AB90" s="109" t="str">
        <f>IF(Calculs!$BX$34="","",INDEX(Charge!$A:$A,Calculs!$BX$34+3)&amp;"")</f>
        <v/>
      </c>
      <c r="AI90" s="110" t="str">
        <f>IF(Calculs!$BX$34="","",INDEX(Calculs!$ET$4:$ET$503,Calculs!$BX$34))</f>
        <v/>
      </c>
      <c r="AM90" s="111" t="str">
        <f>IF(Calculs!$BX$34="","",INDEX(Calculs!$EP$4:$EP$503,Calculs!$BX$34))</f>
        <v/>
      </c>
      <c r="AR90" s="112" t="str">
        <f>IF(Calculs!$BX$34="","",IF(Calculs!$AL$4=0,0,INDEX(Calculs!$EP$4:$EP$503,Calculs!$BX$34)/Calculs!$AL$4))</f>
        <v/>
      </c>
      <c r="AX90" s="113" t="str">
        <f>IF(Calculs!$BX$34="","",INDEX(Calculs!$EU$4:$EU$503,Calculs!$BX$34))</f>
        <v/>
      </c>
      <c r="BD90" s="114" t="str">
        <f>IF(Calculs!$BX$34="","",IF(INDEX(Calculs!$EW$4:$EW$503,Calculs!$BX$34)&gt;=2958465,"à planifier",INDEX(Calculs!$EW$4:$EW$503,Calculs!$BX$34)))</f>
        <v/>
      </c>
      <c r="BI90" s="16" t="n"/>
    </row>
    <row r="91" ht="16.5" customHeight="1">
      <c r="A91" s="16" t="n"/>
      <c r="B91" s="107" t="str">
        <f>IF(Calculs!$BX$35="","",Calculs!$BW$35)</f>
        <v/>
      </c>
      <c r="D91" s="108" t="str">
        <f>IF(Calculs!$BX$35="","",INDEX(Charge!$B:$B,Calculs!$BX$35+3)&amp;"")</f>
        <v/>
      </c>
      <c r="L91" s="109" t="str">
        <f>IF(Calculs!$BX$35="","",INDEX(Charge!$C:$C,Calculs!$BX$35+3)&amp;"")</f>
        <v/>
      </c>
      <c r="T91" s="109" t="str">
        <f>IF(Calculs!$BX$35="","",INDEX(Charge!$D:$D,Calculs!$BX$35+3)&amp;"")</f>
        <v/>
      </c>
      <c r="AB91" s="109" t="str">
        <f>IF(Calculs!$BX$35="","",INDEX(Charge!$A:$A,Calculs!$BX$35+3)&amp;"")</f>
        <v/>
      </c>
      <c r="AI91" s="110" t="str">
        <f>IF(Calculs!$BX$35="","",INDEX(Calculs!$ET$4:$ET$503,Calculs!$BX$35))</f>
        <v/>
      </c>
      <c r="AM91" s="111" t="str">
        <f>IF(Calculs!$BX$35="","",INDEX(Calculs!$EP$4:$EP$503,Calculs!$BX$35))</f>
        <v/>
      </c>
      <c r="AR91" s="112" t="str">
        <f>IF(Calculs!$BX$35="","",IF(Calculs!$AL$4=0,0,INDEX(Calculs!$EP$4:$EP$503,Calculs!$BX$35)/Calculs!$AL$4))</f>
        <v/>
      </c>
      <c r="AX91" s="113" t="str">
        <f>IF(Calculs!$BX$35="","",INDEX(Calculs!$EU$4:$EU$503,Calculs!$BX$35))</f>
        <v/>
      </c>
      <c r="BD91" s="114" t="str">
        <f>IF(Calculs!$BX$35="","",IF(INDEX(Calculs!$EW$4:$EW$503,Calculs!$BX$35)&gt;=2958465,"à planifier",INDEX(Calculs!$EW$4:$EW$503,Calculs!$BX$35)))</f>
        <v/>
      </c>
      <c r="BI91" s="16" t="n"/>
    </row>
    <row r="92" ht="16.5" customHeight="1">
      <c r="A92" s="16" t="n"/>
      <c r="B92" s="107" t="str">
        <f>IF(Calculs!$BX$36="","",Calculs!$BW$36)</f>
        <v/>
      </c>
      <c r="D92" s="108" t="str">
        <f>IF(Calculs!$BX$36="","",INDEX(Charge!$B:$B,Calculs!$BX$36+3)&amp;"")</f>
        <v/>
      </c>
      <c r="L92" s="109" t="str">
        <f>IF(Calculs!$BX$36="","",INDEX(Charge!$C:$C,Calculs!$BX$36+3)&amp;"")</f>
        <v/>
      </c>
      <c r="T92" s="109" t="str">
        <f>IF(Calculs!$BX$36="","",INDEX(Charge!$D:$D,Calculs!$BX$36+3)&amp;"")</f>
        <v/>
      </c>
      <c r="AB92" s="109" t="str">
        <f>IF(Calculs!$BX$36="","",INDEX(Charge!$A:$A,Calculs!$BX$36+3)&amp;"")</f>
        <v/>
      </c>
      <c r="AI92" s="110" t="str">
        <f>IF(Calculs!$BX$36="","",INDEX(Calculs!$ET$4:$ET$503,Calculs!$BX$36))</f>
        <v/>
      </c>
      <c r="AM92" s="111" t="str">
        <f>IF(Calculs!$BX$36="","",INDEX(Calculs!$EP$4:$EP$503,Calculs!$BX$36))</f>
        <v/>
      </c>
      <c r="AR92" s="112" t="str">
        <f>IF(Calculs!$BX$36="","",IF(Calculs!$AL$4=0,0,INDEX(Calculs!$EP$4:$EP$503,Calculs!$BX$36)/Calculs!$AL$4))</f>
        <v/>
      </c>
      <c r="AX92" s="113" t="str">
        <f>IF(Calculs!$BX$36="","",INDEX(Calculs!$EU$4:$EU$503,Calculs!$BX$36))</f>
        <v/>
      </c>
      <c r="BD92" s="114" t="str">
        <f>IF(Calculs!$BX$36="","",IF(INDEX(Calculs!$EW$4:$EW$503,Calculs!$BX$36)&gt;=2958465,"à planifier",INDEX(Calculs!$EW$4:$EW$503,Calculs!$BX$36)))</f>
        <v/>
      </c>
      <c r="BI92" s="16" t="n"/>
    </row>
    <row r="93" ht="16.5" customHeight="1">
      <c r="A93" s="16" t="n"/>
      <c r="B93" s="107" t="str">
        <f>IF(Calculs!$BX$37="","",Calculs!$BW$37)</f>
        <v/>
      </c>
      <c r="D93" s="108" t="str">
        <f>IF(Calculs!$BX$37="","",INDEX(Charge!$B:$B,Calculs!$BX$37+3)&amp;"")</f>
        <v/>
      </c>
      <c r="L93" s="109" t="str">
        <f>IF(Calculs!$BX$37="","",INDEX(Charge!$C:$C,Calculs!$BX$37+3)&amp;"")</f>
        <v/>
      </c>
      <c r="T93" s="109" t="str">
        <f>IF(Calculs!$BX$37="","",INDEX(Charge!$D:$D,Calculs!$BX$37+3)&amp;"")</f>
        <v/>
      </c>
      <c r="AB93" s="109" t="str">
        <f>IF(Calculs!$BX$37="","",INDEX(Charge!$A:$A,Calculs!$BX$37+3)&amp;"")</f>
        <v/>
      </c>
      <c r="AI93" s="110" t="str">
        <f>IF(Calculs!$BX$37="","",INDEX(Calculs!$ET$4:$ET$503,Calculs!$BX$37))</f>
        <v/>
      </c>
      <c r="AM93" s="111" t="str">
        <f>IF(Calculs!$BX$37="","",INDEX(Calculs!$EP$4:$EP$503,Calculs!$BX$37))</f>
        <v/>
      </c>
      <c r="AR93" s="112" t="str">
        <f>IF(Calculs!$BX$37="","",IF(Calculs!$AL$4=0,0,INDEX(Calculs!$EP$4:$EP$503,Calculs!$BX$37)/Calculs!$AL$4))</f>
        <v/>
      </c>
      <c r="AX93" s="113" t="str">
        <f>IF(Calculs!$BX$37="","",INDEX(Calculs!$EU$4:$EU$503,Calculs!$BX$37))</f>
        <v/>
      </c>
      <c r="BD93" s="114" t="str">
        <f>IF(Calculs!$BX$37="","",IF(INDEX(Calculs!$EW$4:$EW$503,Calculs!$BX$37)&gt;=2958465,"à planifier",INDEX(Calculs!$EW$4:$EW$503,Calculs!$BX$37)))</f>
        <v/>
      </c>
      <c r="BI93" s="16" t="n"/>
    </row>
    <row r="94" ht="16.5" customHeight="1">
      <c r="A94" s="16" t="n"/>
      <c r="B94" s="107" t="str">
        <f>IF(Calculs!$BX$38="","",Calculs!$BW$38)</f>
        <v/>
      </c>
      <c r="D94" s="108" t="str">
        <f>IF(Calculs!$BX$38="","",INDEX(Charge!$B:$B,Calculs!$BX$38+3)&amp;"")</f>
        <v/>
      </c>
      <c r="L94" s="109" t="str">
        <f>IF(Calculs!$BX$38="","",INDEX(Charge!$C:$C,Calculs!$BX$38+3)&amp;"")</f>
        <v/>
      </c>
      <c r="T94" s="109" t="str">
        <f>IF(Calculs!$BX$38="","",INDEX(Charge!$D:$D,Calculs!$BX$38+3)&amp;"")</f>
        <v/>
      </c>
      <c r="AB94" s="109" t="str">
        <f>IF(Calculs!$BX$38="","",INDEX(Charge!$A:$A,Calculs!$BX$38+3)&amp;"")</f>
        <v/>
      </c>
      <c r="AI94" s="110" t="str">
        <f>IF(Calculs!$BX$38="","",INDEX(Calculs!$ET$4:$ET$503,Calculs!$BX$38))</f>
        <v/>
      </c>
      <c r="AM94" s="111" t="str">
        <f>IF(Calculs!$BX$38="","",INDEX(Calculs!$EP$4:$EP$503,Calculs!$BX$38))</f>
        <v/>
      </c>
      <c r="AR94" s="112" t="str">
        <f>IF(Calculs!$BX$38="","",IF(Calculs!$AL$4=0,0,INDEX(Calculs!$EP$4:$EP$503,Calculs!$BX$38)/Calculs!$AL$4))</f>
        <v/>
      </c>
      <c r="AX94" s="113" t="str">
        <f>IF(Calculs!$BX$38="","",INDEX(Calculs!$EU$4:$EU$503,Calculs!$BX$38))</f>
        <v/>
      </c>
      <c r="BD94" s="114" t="str">
        <f>IF(Calculs!$BX$38="","",IF(INDEX(Calculs!$EW$4:$EW$503,Calculs!$BX$38)&gt;=2958465,"à planifier",INDEX(Calculs!$EW$4:$EW$503,Calculs!$BX$38)))</f>
        <v/>
      </c>
      <c r="BI94" s="16" t="n"/>
    </row>
    <row r="95" ht="16.5" customHeight="1">
      <c r="A95" s="16" t="n"/>
      <c r="B95" s="107" t="str">
        <f>IF(Calculs!$BX$39="","",Calculs!$BW$39)</f>
        <v/>
      </c>
      <c r="D95" s="108" t="str">
        <f>IF(Calculs!$BX$39="","",INDEX(Charge!$B:$B,Calculs!$BX$39+3)&amp;"")</f>
        <v/>
      </c>
      <c r="L95" s="109" t="str">
        <f>IF(Calculs!$BX$39="","",INDEX(Charge!$C:$C,Calculs!$BX$39+3)&amp;"")</f>
        <v/>
      </c>
      <c r="T95" s="109" t="str">
        <f>IF(Calculs!$BX$39="","",INDEX(Charge!$D:$D,Calculs!$BX$39+3)&amp;"")</f>
        <v/>
      </c>
      <c r="AB95" s="109" t="str">
        <f>IF(Calculs!$BX$39="","",INDEX(Charge!$A:$A,Calculs!$BX$39+3)&amp;"")</f>
        <v/>
      </c>
      <c r="AI95" s="110" t="str">
        <f>IF(Calculs!$BX$39="","",INDEX(Calculs!$ET$4:$ET$503,Calculs!$BX$39))</f>
        <v/>
      </c>
      <c r="AM95" s="111" t="str">
        <f>IF(Calculs!$BX$39="","",INDEX(Calculs!$EP$4:$EP$503,Calculs!$BX$39))</f>
        <v/>
      </c>
      <c r="AR95" s="112" t="str">
        <f>IF(Calculs!$BX$39="","",IF(Calculs!$AL$4=0,0,INDEX(Calculs!$EP$4:$EP$503,Calculs!$BX$39)/Calculs!$AL$4))</f>
        <v/>
      </c>
      <c r="AX95" s="113" t="str">
        <f>IF(Calculs!$BX$39="","",INDEX(Calculs!$EU$4:$EU$503,Calculs!$BX$39))</f>
        <v/>
      </c>
      <c r="BD95" s="114" t="str">
        <f>IF(Calculs!$BX$39="","",IF(INDEX(Calculs!$EW$4:$EW$503,Calculs!$BX$39)&gt;=2958465,"à planifier",INDEX(Calculs!$EW$4:$EW$503,Calculs!$BX$39)))</f>
        <v/>
      </c>
      <c r="BI95" s="16" t="n"/>
    </row>
    <row r="96" ht="16.5" customHeight="1">
      <c r="A96" s="16" t="n"/>
      <c r="B96" s="107" t="str">
        <f>IF(Calculs!$BX$40="","",Calculs!$BW$40)</f>
        <v/>
      </c>
      <c r="D96" s="108" t="str">
        <f>IF(Calculs!$BX$40="","",INDEX(Charge!$B:$B,Calculs!$BX$40+3)&amp;"")</f>
        <v/>
      </c>
      <c r="L96" s="109" t="str">
        <f>IF(Calculs!$BX$40="","",INDEX(Charge!$C:$C,Calculs!$BX$40+3)&amp;"")</f>
        <v/>
      </c>
      <c r="T96" s="109" t="str">
        <f>IF(Calculs!$BX$40="","",INDEX(Charge!$D:$D,Calculs!$BX$40+3)&amp;"")</f>
        <v/>
      </c>
      <c r="AB96" s="109" t="str">
        <f>IF(Calculs!$BX$40="","",INDEX(Charge!$A:$A,Calculs!$BX$40+3)&amp;"")</f>
        <v/>
      </c>
      <c r="AI96" s="110" t="str">
        <f>IF(Calculs!$BX$40="","",INDEX(Calculs!$ET$4:$ET$503,Calculs!$BX$40))</f>
        <v/>
      </c>
      <c r="AM96" s="111" t="str">
        <f>IF(Calculs!$BX$40="","",INDEX(Calculs!$EP$4:$EP$503,Calculs!$BX$40))</f>
        <v/>
      </c>
      <c r="AR96" s="112" t="str">
        <f>IF(Calculs!$BX$40="","",IF(Calculs!$AL$4=0,0,INDEX(Calculs!$EP$4:$EP$503,Calculs!$BX$40)/Calculs!$AL$4))</f>
        <v/>
      </c>
      <c r="AX96" s="113" t="str">
        <f>IF(Calculs!$BX$40="","",INDEX(Calculs!$EU$4:$EU$503,Calculs!$BX$40))</f>
        <v/>
      </c>
      <c r="BD96" s="114" t="str">
        <f>IF(Calculs!$BX$40="","",IF(INDEX(Calculs!$EW$4:$EW$503,Calculs!$BX$40)&gt;=2958465,"à planifier",INDEX(Calculs!$EW$4:$EW$503,Calculs!$BX$40)))</f>
        <v/>
      </c>
      <c r="BI96" s="16" t="n"/>
    </row>
    <row r="97" ht="16.5" customHeight="1">
      <c r="A97" s="16" t="n"/>
      <c r="B97" s="107" t="str">
        <f>IF(Calculs!$BX$41="","",Calculs!$BW$41)</f>
        <v/>
      </c>
      <c r="D97" s="108" t="str">
        <f>IF(Calculs!$BX$41="","",INDEX(Charge!$B:$B,Calculs!$BX$41+3)&amp;"")</f>
        <v/>
      </c>
      <c r="L97" s="109" t="str">
        <f>IF(Calculs!$BX$41="","",INDEX(Charge!$C:$C,Calculs!$BX$41+3)&amp;"")</f>
        <v/>
      </c>
      <c r="T97" s="109" t="str">
        <f>IF(Calculs!$BX$41="","",INDEX(Charge!$D:$D,Calculs!$BX$41+3)&amp;"")</f>
        <v/>
      </c>
      <c r="AB97" s="109" t="str">
        <f>IF(Calculs!$BX$41="","",INDEX(Charge!$A:$A,Calculs!$BX$41+3)&amp;"")</f>
        <v/>
      </c>
      <c r="AI97" s="110" t="str">
        <f>IF(Calculs!$BX$41="","",INDEX(Calculs!$ET$4:$ET$503,Calculs!$BX$41))</f>
        <v/>
      </c>
      <c r="AM97" s="111" t="str">
        <f>IF(Calculs!$BX$41="","",INDEX(Calculs!$EP$4:$EP$503,Calculs!$BX$41))</f>
        <v/>
      </c>
      <c r="AR97" s="112" t="str">
        <f>IF(Calculs!$BX$41="","",IF(Calculs!$AL$4=0,0,INDEX(Calculs!$EP$4:$EP$503,Calculs!$BX$41)/Calculs!$AL$4))</f>
        <v/>
      </c>
      <c r="AX97" s="113" t="str">
        <f>IF(Calculs!$BX$41="","",INDEX(Calculs!$EU$4:$EU$503,Calculs!$BX$41))</f>
        <v/>
      </c>
      <c r="BD97" s="114" t="str">
        <f>IF(Calculs!$BX$41="","",IF(INDEX(Calculs!$EW$4:$EW$503,Calculs!$BX$41)&gt;=2958465,"à planifier",INDEX(Calculs!$EW$4:$EW$503,Calculs!$BX$41)))</f>
        <v/>
      </c>
      <c r="BI97" s="16" t="n"/>
    </row>
    <row r="98" ht="16.5" customHeight="1">
      <c r="A98" s="16" t="n"/>
      <c r="B98" s="107" t="str">
        <f>IF(Calculs!$BX$42="","",Calculs!$BW$42)</f>
        <v/>
      </c>
      <c r="D98" s="108" t="str">
        <f>IF(Calculs!$BX$42="","",INDEX(Charge!$B:$B,Calculs!$BX$42+3)&amp;"")</f>
        <v/>
      </c>
      <c r="L98" s="109" t="str">
        <f>IF(Calculs!$BX$42="","",INDEX(Charge!$C:$C,Calculs!$BX$42+3)&amp;"")</f>
        <v/>
      </c>
      <c r="T98" s="109" t="str">
        <f>IF(Calculs!$BX$42="","",INDEX(Charge!$D:$D,Calculs!$BX$42+3)&amp;"")</f>
        <v/>
      </c>
      <c r="AB98" s="109" t="str">
        <f>IF(Calculs!$BX$42="","",INDEX(Charge!$A:$A,Calculs!$BX$42+3)&amp;"")</f>
        <v/>
      </c>
      <c r="AI98" s="110" t="str">
        <f>IF(Calculs!$BX$42="","",INDEX(Calculs!$ET$4:$ET$503,Calculs!$BX$42))</f>
        <v/>
      </c>
      <c r="AM98" s="111" t="str">
        <f>IF(Calculs!$BX$42="","",INDEX(Calculs!$EP$4:$EP$503,Calculs!$BX$42))</f>
        <v/>
      </c>
      <c r="AR98" s="112" t="str">
        <f>IF(Calculs!$BX$42="","",IF(Calculs!$AL$4=0,0,INDEX(Calculs!$EP$4:$EP$503,Calculs!$BX$42)/Calculs!$AL$4))</f>
        <v/>
      </c>
      <c r="AX98" s="113" t="str">
        <f>IF(Calculs!$BX$42="","",INDEX(Calculs!$EU$4:$EU$503,Calculs!$BX$42))</f>
        <v/>
      </c>
      <c r="BD98" s="114" t="str">
        <f>IF(Calculs!$BX$42="","",IF(INDEX(Calculs!$EW$4:$EW$503,Calculs!$BX$42)&gt;=2958465,"à planifier",INDEX(Calculs!$EW$4:$EW$503,Calculs!$BX$42)))</f>
        <v/>
      </c>
      <c r="BI98" s="16" t="n"/>
    </row>
    <row r="99" ht="16.5" customHeight="1">
      <c r="A99" s="16" t="n"/>
      <c r="B99" s="107" t="str">
        <f>IF(Calculs!$BX$43="","",Calculs!$BW$43)</f>
        <v/>
      </c>
      <c r="D99" s="108" t="str">
        <f>IF(Calculs!$BX$43="","",INDEX(Charge!$B:$B,Calculs!$BX$43+3)&amp;"")</f>
        <v/>
      </c>
      <c r="L99" s="109" t="str">
        <f>IF(Calculs!$BX$43="","",INDEX(Charge!$C:$C,Calculs!$BX$43+3)&amp;"")</f>
        <v/>
      </c>
      <c r="T99" s="109" t="str">
        <f>IF(Calculs!$BX$43="","",INDEX(Charge!$D:$D,Calculs!$BX$43+3)&amp;"")</f>
        <v/>
      </c>
      <c r="AB99" s="109" t="str">
        <f>IF(Calculs!$BX$43="","",INDEX(Charge!$A:$A,Calculs!$BX$43+3)&amp;"")</f>
        <v/>
      </c>
      <c r="AI99" s="110" t="str">
        <f>IF(Calculs!$BX$43="","",INDEX(Calculs!$ET$4:$ET$503,Calculs!$BX$43))</f>
        <v/>
      </c>
      <c r="AM99" s="111" t="str">
        <f>IF(Calculs!$BX$43="","",INDEX(Calculs!$EP$4:$EP$503,Calculs!$BX$43))</f>
        <v/>
      </c>
      <c r="AR99" s="112" t="str">
        <f>IF(Calculs!$BX$43="","",IF(Calculs!$AL$4=0,0,INDEX(Calculs!$EP$4:$EP$503,Calculs!$BX$43)/Calculs!$AL$4))</f>
        <v/>
      </c>
      <c r="AX99" s="113" t="str">
        <f>IF(Calculs!$BX$43="","",INDEX(Calculs!$EU$4:$EU$503,Calculs!$BX$43))</f>
        <v/>
      </c>
      <c r="BD99" s="114" t="str">
        <f>IF(Calculs!$BX$43="","",IF(INDEX(Calculs!$EW$4:$EW$503,Calculs!$BX$43)&gt;=2958465,"à planifier",INDEX(Calculs!$EW$4:$EW$503,Calculs!$BX$43)))</f>
        <v/>
      </c>
      <c r="BI99" s="16" t="n"/>
    </row>
    <row r="100" ht="16.5" customHeight="1">
      <c r="A100" s="16" t="n"/>
      <c r="B100" s="107" t="str">
        <f>IF(Calculs!$BX$44="","",Calculs!$BW$44)</f>
        <v/>
      </c>
      <c r="D100" s="108" t="str">
        <f>IF(Calculs!$BX$44="","",INDEX(Charge!$B:$B,Calculs!$BX$44+3)&amp;"")</f>
        <v/>
      </c>
      <c r="L100" s="109" t="str">
        <f>IF(Calculs!$BX$44="","",INDEX(Charge!$C:$C,Calculs!$BX$44+3)&amp;"")</f>
        <v/>
      </c>
      <c r="T100" s="109" t="str">
        <f>IF(Calculs!$BX$44="","",INDEX(Charge!$D:$D,Calculs!$BX$44+3)&amp;"")</f>
        <v/>
      </c>
      <c r="AB100" s="109" t="str">
        <f>IF(Calculs!$BX$44="","",INDEX(Charge!$A:$A,Calculs!$BX$44+3)&amp;"")</f>
        <v/>
      </c>
      <c r="AI100" s="110" t="str">
        <f>IF(Calculs!$BX$44="","",INDEX(Calculs!$ET$4:$ET$503,Calculs!$BX$44))</f>
        <v/>
      </c>
      <c r="AM100" s="111" t="str">
        <f>IF(Calculs!$BX$44="","",INDEX(Calculs!$EP$4:$EP$503,Calculs!$BX$44))</f>
        <v/>
      </c>
      <c r="AR100" s="112" t="str">
        <f>IF(Calculs!$BX$44="","",IF(Calculs!$AL$4=0,0,INDEX(Calculs!$EP$4:$EP$503,Calculs!$BX$44)/Calculs!$AL$4))</f>
        <v/>
      </c>
      <c r="AX100" s="113" t="str">
        <f>IF(Calculs!$BX$44="","",INDEX(Calculs!$EU$4:$EU$503,Calculs!$BX$44))</f>
        <v/>
      </c>
      <c r="BD100" s="114" t="str">
        <f>IF(Calculs!$BX$44="","",IF(INDEX(Calculs!$EW$4:$EW$503,Calculs!$BX$44)&gt;=2958465,"à planifier",INDEX(Calculs!$EW$4:$EW$503,Calculs!$BX$44)))</f>
        <v/>
      </c>
      <c r="BI100" s="16" t="n"/>
    </row>
    <row r="101" ht="16.5" customHeight="1">
      <c r="A101" s="16" t="n"/>
      <c r="B101" s="107" t="str">
        <f>IF(Calculs!$BX$45="","",Calculs!$BW$45)</f>
        <v/>
      </c>
      <c r="D101" s="108" t="str">
        <f>IF(Calculs!$BX$45="","",INDEX(Charge!$B:$B,Calculs!$BX$45+3)&amp;"")</f>
        <v/>
      </c>
      <c r="L101" s="109" t="str">
        <f>IF(Calculs!$BX$45="","",INDEX(Charge!$C:$C,Calculs!$BX$45+3)&amp;"")</f>
        <v/>
      </c>
      <c r="T101" s="109" t="str">
        <f>IF(Calculs!$BX$45="","",INDEX(Charge!$D:$D,Calculs!$BX$45+3)&amp;"")</f>
        <v/>
      </c>
      <c r="AB101" s="109" t="str">
        <f>IF(Calculs!$BX$45="","",INDEX(Charge!$A:$A,Calculs!$BX$45+3)&amp;"")</f>
        <v/>
      </c>
      <c r="AI101" s="110" t="str">
        <f>IF(Calculs!$BX$45="","",INDEX(Calculs!$ET$4:$ET$503,Calculs!$BX$45))</f>
        <v/>
      </c>
      <c r="AM101" s="111" t="str">
        <f>IF(Calculs!$BX$45="","",INDEX(Calculs!$EP$4:$EP$503,Calculs!$BX$45))</f>
        <v/>
      </c>
      <c r="AR101" s="112" t="str">
        <f>IF(Calculs!$BX$45="","",IF(Calculs!$AL$4=0,0,INDEX(Calculs!$EP$4:$EP$503,Calculs!$BX$45)/Calculs!$AL$4))</f>
        <v/>
      </c>
      <c r="AX101" s="113" t="str">
        <f>IF(Calculs!$BX$45="","",INDEX(Calculs!$EU$4:$EU$503,Calculs!$BX$45))</f>
        <v/>
      </c>
      <c r="BD101" s="114" t="str">
        <f>IF(Calculs!$BX$45="","",IF(INDEX(Calculs!$EW$4:$EW$503,Calculs!$BX$45)&gt;=2958465,"à planifier",INDEX(Calculs!$EW$4:$EW$503,Calculs!$BX$45)))</f>
        <v/>
      </c>
      <c r="BI101" s="16" t="n"/>
    </row>
    <row r="102" ht="16.5" customHeight="1">
      <c r="A102" s="16" t="n"/>
      <c r="B102" s="107" t="str">
        <f>IF(Calculs!$BX$46="","",Calculs!$BW$46)</f>
        <v/>
      </c>
      <c r="D102" s="108" t="str">
        <f>IF(Calculs!$BX$46="","",INDEX(Charge!$B:$B,Calculs!$BX$46+3)&amp;"")</f>
        <v/>
      </c>
      <c r="L102" s="109" t="str">
        <f>IF(Calculs!$BX$46="","",INDEX(Charge!$C:$C,Calculs!$BX$46+3)&amp;"")</f>
        <v/>
      </c>
      <c r="T102" s="109" t="str">
        <f>IF(Calculs!$BX$46="","",INDEX(Charge!$D:$D,Calculs!$BX$46+3)&amp;"")</f>
        <v/>
      </c>
      <c r="AB102" s="109" t="str">
        <f>IF(Calculs!$BX$46="","",INDEX(Charge!$A:$A,Calculs!$BX$46+3)&amp;"")</f>
        <v/>
      </c>
      <c r="AI102" s="110" t="str">
        <f>IF(Calculs!$BX$46="","",INDEX(Calculs!$ET$4:$ET$503,Calculs!$BX$46))</f>
        <v/>
      </c>
      <c r="AM102" s="111" t="str">
        <f>IF(Calculs!$BX$46="","",INDEX(Calculs!$EP$4:$EP$503,Calculs!$BX$46))</f>
        <v/>
      </c>
      <c r="AR102" s="112" t="str">
        <f>IF(Calculs!$BX$46="","",IF(Calculs!$AL$4=0,0,INDEX(Calculs!$EP$4:$EP$503,Calculs!$BX$46)/Calculs!$AL$4))</f>
        <v/>
      </c>
      <c r="AX102" s="113" t="str">
        <f>IF(Calculs!$BX$46="","",INDEX(Calculs!$EU$4:$EU$503,Calculs!$BX$46))</f>
        <v/>
      </c>
      <c r="BD102" s="114" t="str">
        <f>IF(Calculs!$BX$46="","",IF(INDEX(Calculs!$EW$4:$EW$503,Calculs!$BX$46)&gt;=2958465,"à planifier",INDEX(Calculs!$EW$4:$EW$503,Calculs!$BX$46)))</f>
        <v/>
      </c>
      <c r="BI102" s="16" t="n"/>
    </row>
    <row r="103" ht="16.5" customHeight="1">
      <c r="A103" s="16" t="n"/>
      <c r="B103" s="107" t="str">
        <f>IF(Calculs!$BX$47="","",Calculs!$BW$47)</f>
        <v/>
      </c>
      <c r="D103" s="108" t="str">
        <f>IF(Calculs!$BX$47="","",INDEX(Charge!$B:$B,Calculs!$BX$47+3)&amp;"")</f>
        <v/>
      </c>
      <c r="L103" s="109" t="str">
        <f>IF(Calculs!$BX$47="","",INDEX(Charge!$C:$C,Calculs!$BX$47+3)&amp;"")</f>
        <v/>
      </c>
      <c r="T103" s="109" t="str">
        <f>IF(Calculs!$BX$47="","",INDEX(Charge!$D:$D,Calculs!$BX$47+3)&amp;"")</f>
        <v/>
      </c>
      <c r="AB103" s="109" t="str">
        <f>IF(Calculs!$BX$47="","",INDEX(Charge!$A:$A,Calculs!$BX$47+3)&amp;"")</f>
        <v/>
      </c>
      <c r="AI103" s="110" t="str">
        <f>IF(Calculs!$BX$47="","",INDEX(Calculs!$ET$4:$ET$503,Calculs!$BX$47))</f>
        <v/>
      </c>
      <c r="AM103" s="111" t="str">
        <f>IF(Calculs!$BX$47="","",INDEX(Calculs!$EP$4:$EP$503,Calculs!$BX$47))</f>
        <v/>
      </c>
      <c r="AR103" s="112" t="str">
        <f>IF(Calculs!$BX$47="","",IF(Calculs!$AL$4=0,0,INDEX(Calculs!$EP$4:$EP$503,Calculs!$BX$47)/Calculs!$AL$4))</f>
        <v/>
      </c>
      <c r="AX103" s="113" t="str">
        <f>IF(Calculs!$BX$47="","",INDEX(Calculs!$EU$4:$EU$503,Calculs!$BX$47))</f>
        <v/>
      </c>
      <c r="BD103" s="114" t="str">
        <f>IF(Calculs!$BX$47="","",IF(INDEX(Calculs!$EW$4:$EW$503,Calculs!$BX$47)&gt;=2958465,"à planifier",INDEX(Calculs!$EW$4:$EW$503,Calculs!$BX$47)))</f>
        <v/>
      </c>
      <c r="BI103" s="16" t="n"/>
    </row>
    <row r="104" ht="16.5" customHeight="1">
      <c r="A104" s="16" t="n"/>
      <c r="B104" s="107" t="str">
        <f>IF(Calculs!$BX$48="","",Calculs!$BW$48)</f>
        <v/>
      </c>
      <c r="D104" s="108" t="str">
        <f>IF(Calculs!$BX$48="","",INDEX(Charge!$B:$B,Calculs!$BX$48+3)&amp;"")</f>
        <v/>
      </c>
      <c r="L104" s="109" t="str">
        <f>IF(Calculs!$BX$48="","",INDEX(Charge!$C:$C,Calculs!$BX$48+3)&amp;"")</f>
        <v/>
      </c>
      <c r="T104" s="109" t="str">
        <f>IF(Calculs!$BX$48="","",INDEX(Charge!$D:$D,Calculs!$BX$48+3)&amp;"")</f>
        <v/>
      </c>
      <c r="AB104" s="109" t="str">
        <f>IF(Calculs!$BX$48="","",INDEX(Charge!$A:$A,Calculs!$BX$48+3)&amp;"")</f>
        <v/>
      </c>
      <c r="AI104" s="110" t="str">
        <f>IF(Calculs!$BX$48="","",INDEX(Calculs!$ET$4:$ET$503,Calculs!$BX$48))</f>
        <v/>
      </c>
      <c r="AM104" s="111" t="str">
        <f>IF(Calculs!$BX$48="","",INDEX(Calculs!$EP$4:$EP$503,Calculs!$BX$48))</f>
        <v/>
      </c>
      <c r="AR104" s="112" t="str">
        <f>IF(Calculs!$BX$48="","",IF(Calculs!$AL$4=0,0,INDEX(Calculs!$EP$4:$EP$503,Calculs!$BX$48)/Calculs!$AL$4))</f>
        <v/>
      </c>
      <c r="AX104" s="113" t="str">
        <f>IF(Calculs!$BX$48="","",INDEX(Calculs!$EU$4:$EU$503,Calculs!$BX$48))</f>
        <v/>
      </c>
      <c r="BD104" s="114" t="str">
        <f>IF(Calculs!$BX$48="","",IF(INDEX(Calculs!$EW$4:$EW$503,Calculs!$BX$48)&gt;=2958465,"à planifier",INDEX(Calculs!$EW$4:$EW$503,Calculs!$BX$48)))</f>
        <v/>
      </c>
      <c r="BI104" s="16" t="n"/>
    </row>
    <row r="105" ht="16.5" customHeight="1">
      <c r="A105" s="16" t="n"/>
      <c r="B105" s="107" t="str">
        <f>IF(Calculs!$BX$49="","",Calculs!$BW$49)</f>
        <v/>
      </c>
      <c r="D105" s="108" t="str">
        <f>IF(Calculs!$BX$49="","",INDEX(Charge!$B:$B,Calculs!$BX$49+3)&amp;"")</f>
        <v/>
      </c>
      <c r="L105" s="109" t="str">
        <f>IF(Calculs!$BX$49="","",INDEX(Charge!$C:$C,Calculs!$BX$49+3)&amp;"")</f>
        <v/>
      </c>
      <c r="T105" s="109" t="str">
        <f>IF(Calculs!$BX$49="","",INDEX(Charge!$D:$D,Calculs!$BX$49+3)&amp;"")</f>
        <v/>
      </c>
      <c r="AB105" s="109" t="str">
        <f>IF(Calculs!$BX$49="","",INDEX(Charge!$A:$A,Calculs!$BX$49+3)&amp;"")</f>
        <v/>
      </c>
      <c r="AI105" s="110" t="str">
        <f>IF(Calculs!$BX$49="","",INDEX(Calculs!$ET$4:$ET$503,Calculs!$BX$49))</f>
        <v/>
      </c>
      <c r="AM105" s="111" t="str">
        <f>IF(Calculs!$BX$49="","",INDEX(Calculs!$EP$4:$EP$503,Calculs!$BX$49))</f>
        <v/>
      </c>
      <c r="AR105" s="112" t="str">
        <f>IF(Calculs!$BX$49="","",IF(Calculs!$AL$4=0,0,INDEX(Calculs!$EP$4:$EP$503,Calculs!$BX$49)/Calculs!$AL$4))</f>
        <v/>
      </c>
      <c r="AX105" s="113" t="str">
        <f>IF(Calculs!$BX$49="","",INDEX(Calculs!$EU$4:$EU$503,Calculs!$BX$49))</f>
        <v/>
      </c>
      <c r="BD105" s="114" t="str">
        <f>IF(Calculs!$BX$49="","",IF(INDEX(Calculs!$EW$4:$EW$503,Calculs!$BX$49)&gt;=2958465,"à planifier",INDEX(Calculs!$EW$4:$EW$503,Calculs!$BX$49)))</f>
        <v/>
      </c>
      <c r="BI105" s="16" t="n"/>
    </row>
    <row r="106" ht="16.5" customHeight="1">
      <c r="A106" s="16" t="n"/>
      <c r="B106" s="107" t="str">
        <f>IF(Calculs!$BX$50="","",Calculs!$BW$50)</f>
        <v/>
      </c>
      <c r="D106" s="108" t="str">
        <f>IF(Calculs!$BX$50="","",INDEX(Charge!$B:$B,Calculs!$BX$50+3)&amp;"")</f>
        <v/>
      </c>
      <c r="L106" s="109" t="str">
        <f>IF(Calculs!$BX$50="","",INDEX(Charge!$C:$C,Calculs!$BX$50+3)&amp;"")</f>
        <v/>
      </c>
      <c r="T106" s="109" t="str">
        <f>IF(Calculs!$BX$50="","",INDEX(Charge!$D:$D,Calculs!$BX$50+3)&amp;"")</f>
        <v/>
      </c>
      <c r="AB106" s="109" t="str">
        <f>IF(Calculs!$BX$50="","",INDEX(Charge!$A:$A,Calculs!$BX$50+3)&amp;"")</f>
        <v/>
      </c>
      <c r="AI106" s="110" t="str">
        <f>IF(Calculs!$BX$50="","",INDEX(Calculs!$ET$4:$ET$503,Calculs!$BX$50))</f>
        <v/>
      </c>
      <c r="AM106" s="111" t="str">
        <f>IF(Calculs!$BX$50="","",INDEX(Calculs!$EP$4:$EP$503,Calculs!$BX$50))</f>
        <v/>
      </c>
      <c r="AR106" s="112" t="str">
        <f>IF(Calculs!$BX$50="","",IF(Calculs!$AL$4=0,0,INDEX(Calculs!$EP$4:$EP$503,Calculs!$BX$50)/Calculs!$AL$4))</f>
        <v/>
      </c>
      <c r="AX106" s="113" t="str">
        <f>IF(Calculs!$BX$50="","",INDEX(Calculs!$EU$4:$EU$503,Calculs!$BX$50))</f>
        <v/>
      </c>
      <c r="BD106" s="114" t="str">
        <f>IF(Calculs!$BX$50="","",IF(INDEX(Calculs!$EW$4:$EW$503,Calculs!$BX$50)&gt;=2958465,"à planifier",INDEX(Calculs!$EW$4:$EW$503,Calculs!$BX$50)))</f>
        <v/>
      </c>
      <c r="BI106" s="16" t="n"/>
    </row>
    <row r="107" ht="16.5" customHeight="1">
      <c r="A107" s="16" t="n"/>
      <c r="B107" s="107" t="str">
        <f>IF(Calculs!$BX$51="","",Calculs!$BW$51)</f>
        <v/>
      </c>
      <c r="D107" s="108" t="str">
        <f>IF(Calculs!$BX$51="","",INDEX(Charge!$B:$B,Calculs!$BX$51+3)&amp;"")</f>
        <v/>
      </c>
      <c r="L107" s="109" t="str">
        <f>IF(Calculs!$BX$51="","",INDEX(Charge!$C:$C,Calculs!$BX$51+3)&amp;"")</f>
        <v/>
      </c>
      <c r="T107" s="109" t="str">
        <f>IF(Calculs!$BX$51="","",INDEX(Charge!$D:$D,Calculs!$BX$51+3)&amp;"")</f>
        <v/>
      </c>
      <c r="AB107" s="109" t="str">
        <f>IF(Calculs!$BX$51="","",INDEX(Charge!$A:$A,Calculs!$BX$51+3)&amp;"")</f>
        <v/>
      </c>
      <c r="AI107" s="110" t="str">
        <f>IF(Calculs!$BX$51="","",INDEX(Calculs!$ET$4:$ET$503,Calculs!$BX$51))</f>
        <v/>
      </c>
      <c r="AM107" s="111" t="str">
        <f>IF(Calculs!$BX$51="","",INDEX(Calculs!$EP$4:$EP$503,Calculs!$BX$51))</f>
        <v/>
      </c>
      <c r="AR107" s="112" t="str">
        <f>IF(Calculs!$BX$51="","",IF(Calculs!$AL$4=0,0,INDEX(Calculs!$EP$4:$EP$503,Calculs!$BX$51)/Calculs!$AL$4))</f>
        <v/>
      </c>
      <c r="AX107" s="113" t="str">
        <f>IF(Calculs!$BX$51="","",INDEX(Calculs!$EU$4:$EU$503,Calculs!$BX$51))</f>
        <v/>
      </c>
      <c r="BD107" s="114" t="str">
        <f>IF(Calculs!$BX$51="","",IF(INDEX(Calculs!$EW$4:$EW$503,Calculs!$BX$51)&gt;=2958465,"à planifier",INDEX(Calculs!$EW$4:$EW$503,Calculs!$BX$51)))</f>
        <v/>
      </c>
      <c r="BI107" s="16" t="n"/>
    </row>
    <row r="108" ht="16.5" customHeight="1">
      <c r="A108" s="16" t="n"/>
      <c r="B108" s="107" t="str">
        <f>IF(Calculs!$BX$52="","",Calculs!$BW$52)</f>
        <v/>
      </c>
      <c r="D108" s="108" t="str">
        <f>IF(Calculs!$BX$52="","",INDEX(Charge!$B:$B,Calculs!$BX$52+3)&amp;"")</f>
        <v/>
      </c>
      <c r="L108" s="109" t="str">
        <f>IF(Calculs!$BX$52="","",INDEX(Charge!$C:$C,Calculs!$BX$52+3)&amp;"")</f>
        <v/>
      </c>
      <c r="T108" s="109" t="str">
        <f>IF(Calculs!$BX$52="","",INDEX(Charge!$D:$D,Calculs!$BX$52+3)&amp;"")</f>
        <v/>
      </c>
      <c r="AB108" s="109" t="str">
        <f>IF(Calculs!$BX$52="","",INDEX(Charge!$A:$A,Calculs!$BX$52+3)&amp;"")</f>
        <v/>
      </c>
      <c r="AI108" s="110" t="str">
        <f>IF(Calculs!$BX$52="","",INDEX(Calculs!$ET$4:$ET$503,Calculs!$BX$52))</f>
        <v/>
      </c>
      <c r="AM108" s="111" t="str">
        <f>IF(Calculs!$BX$52="","",INDEX(Calculs!$EP$4:$EP$503,Calculs!$BX$52))</f>
        <v/>
      </c>
      <c r="AR108" s="112" t="str">
        <f>IF(Calculs!$BX$52="","",IF(Calculs!$AL$4=0,0,INDEX(Calculs!$EP$4:$EP$503,Calculs!$BX$52)/Calculs!$AL$4))</f>
        <v/>
      </c>
      <c r="AX108" s="113" t="str">
        <f>IF(Calculs!$BX$52="","",INDEX(Calculs!$EU$4:$EU$503,Calculs!$BX$52))</f>
        <v/>
      </c>
      <c r="BD108" s="114" t="str">
        <f>IF(Calculs!$BX$52="","",IF(INDEX(Calculs!$EW$4:$EW$503,Calculs!$BX$52)&gt;=2958465,"à planifier",INDEX(Calculs!$EW$4:$EW$503,Calculs!$BX$52)))</f>
        <v/>
      </c>
      <c r="BI108" s="16" t="n"/>
    </row>
    <row r="109" ht="16.5" customHeight="1">
      <c r="A109" s="16" t="n"/>
      <c r="B109" s="107" t="str">
        <f>IF(Calculs!$BX$53="","",Calculs!$BW$53)</f>
        <v/>
      </c>
      <c r="D109" s="108" t="str">
        <f>IF(Calculs!$BX$53="","",INDEX(Charge!$B:$B,Calculs!$BX$53+3)&amp;"")</f>
        <v/>
      </c>
      <c r="L109" s="109" t="str">
        <f>IF(Calculs!$BX$53="","",INDEX(Charge!$C:$C,Calculs!$BX$53+3)&amp;"")</f>
        <v/>
      </c>
      <c r="T109" s="109" t="str">
        <f>IF(Calculs!$BX$53="","",INDEX(Charge!$D:$D,Calculs!$BX$53+3)&amp;"")</f>
        <v/>
      </c>
      <c r="AB109" s="109" t="str">
        <f>IF(Calculs!$BX$53="","",INDEX(Charge!$A:$A,Calculs!$BX$53+3)&amp;"")</f>
        <v/>
      </c>
      <c r="AI109" s="110" t="str">
        <f>IF(Calculs!$BX$53="","",INDEX(Calculs!$ET$4:$ET$503,Calculs!$BX$53))</f>
        <v/>
      </c>
      <c r="AM109" s="111" t="str">
        <f>IF(Calculs!$BX$53="","",INDEX(Calculs!$EP$4:$EP$503,Calculs!$BX$53))</f>
        <v/>
      </c>
      <c r="AR109" s="112" t="str">
        <f>IF(Calculs!$BX$53="","",IF(Calculs!$AL$4=0,0,INDEX(Calculs!$EP$4:$EP$503,Calculs!$BX$53)/Calculs!$AL$4))</f>
        <v/>
      </c>
      <c r="AX109" s="113" t="str">
        <f>IF(Calculs!$BX$53="","",INDEX(Calculs!$EU$4:$EU$503,Calculs!$BX$53))</f>
        <v/>
      </c>
      <c r="BD109" s="114" t="str">
        <f>IF(Calculs!$BX$53="","",IF(INDEX(Calculs!$EW$4:$EW$503,Calculs!$BX$53)&gt;=2958465,"à planifier",INDEX(Calculs!$EW$4:$EW$503,Calculs!$BX$53)))</f>
        <v/>
      </c>
      <c r="BI109" s="16" t="n"/>
    </row>
    <row r="110" ht="16.5" customHeight="1">
      <c r="A110" s="16" t="n"/>
      <c r="B110" s="107" t="str">
        <f>IF(Calculs!$BX$54="","",Calculs!$BW$54)</f>
        <v/>
      </c>
      <c r="D110" s="108" t="str">
        <f>IF(Calculs!$BX$54="","",INDEX(Charge!$B:$B,Calculs!$BX$54+3)&amp;"")</f>
        <v/>
      </c>
      <c r="L110" s="109" t="str">
        <f>IF(Calculs!$BX$54="","",INDEX(Charge!$C:$C,Calculs!$BX$54+3)&amp;"")</f>
        <v/>
      </c>
      <c r="T110" s="109" t="str">
        <f>IF(Calculs!$BX$54="","",INDEX(Charge!$D:$D,Calculs!$BX$54+3)&amp;"")</f>
        <v/>
      </c>
      <c r="AB110" s="109" t="str">
        <f>IF(Calculs!$BX$54="","",INDEX(Charge!$A:$A,Calculs!$BX$54+3)&amp;"")</f>
        <v/>
      </c>
      <c r="AI110" s="110" t="str">
        <f>IF(Calculs!$BX$54="","",INDEX(Calculs!$ET$4:$ET$503,Calculs!$BX$54))</f>
        <v/>
      </c>
      <c r="AM110" s="111" t="str">
        <f>IF(Calculs!$BX$54="","",INDEX(Calculs!$EP$4:$EP$503,Calculs!$BX$54))</f>
        <v/>
      </c>
      <c r="AR110" s="112" t="str">
        <f>IF(Calculs!$BX$54="","",IF(Calculs!$AL$4=0,0,INDEX(Calculs!$EP$4:$EP$503,Calculs!$BX$54)/Calculs!$AL$4))</f>
        <v/>
      </c>
      <c r="AX110" s="113" t="str">
        <f>IF(Calculs!$BX$54="","",INDEX(Calculs!$EU$4:$EU$503,Calculs!$BX$54))</f>
        <v/>
      </c>
      <c r="BD110" s="114" t="str">
        <f>IF(Calculs!$BX$54="","",IF(INDEX(Calculs!$EW$4:$EW$503,Calculs!$BX$54)&gt;=2958465,"à planifier",INDEX(Calculs!$EW$4:$EW$503,Calculs!$BX$54)))</f>
        <v/>
      </c>
      <c r="BI110" s="16" t="n"/>
    </row>
    <row r="111" ht="16.5" customHeight="1">
      <c r="A111" s="16" t="n"/>
      <c r="B111" s="107" t="str">
        <f>IF(Calculs!$BX$55="","",Calculs!$BW$55)</f>
        <v/>
      </c>
      <c r="D111" s="108" t="str">
        <f>IF(Calculs!$BX$55="","",INDEX(Charge!$B:$B,Calculs!$BX$55+3)&amp;"")</f>
        <v/>
      </c>
      <c r="L111" s="109" t="str">
        <f>IF(Calculs!$BX$55="","",INDEX(Charge!$C:$C,Calculs!$BX$55+3)&amp;"")</f>
        <v/>
      </c>
      <c r="T111" s="109" t="str">
        <f>IF(Calculs!$BX$55="","",INDEX(Charge!$D:$D,Calculs!$BX$55+3)&amp;"")</f>
        <v/>
      </c>
      <c r="AB111" s="109" t="str">
        <f>IF(Calculs!$BX$55="","",INDEX(Charge!$A:$A,Calculs!$BX$55+3)&amp;"")</f>
        <v/>
      </c>
      <c r="AI111" s="110" t="str">
        <f>IF(Calculs!$BX$55="","",INDEX(Calculs!$ET$4:$ET$503,Calculs!$BX$55))</f>
        <v/>
      </c>
      <c r="AM111" s="111" t="str">
        <f>IF(Calculs!$BX$55="","",INDEX(Calculs!$EP$4:$EP$503,Calculs!$BX$55))</f>
        <v/>
      </c>
      <c r="AR111" s="112" t="str">
        <f>IF(Calculs!$BX$55="","",IF(Calculs!$AL$4=0,0,INDEX(Calculs!$EP$4:$EP$503,Calculs!$BX$55)/Calculs!$AL$4))</f>
        <v/>
      </c>
      <c r="AX111" s="113" t="str">
        <f>IF(Calculs!$BX$55="","",INDEX(Calculs!$EU$4:$EU$503,Calculs!$BX$55))</f>
        <v/>
      </c>
      <c r="BD111" s="114" t="str">
        <f>IF(Calculs!$BX$55="","",IF(INDEX(Calculs!$EW$4:$EW$503,Calculs!$BX$55)&gt;=2958465,"à planifier",INDEX(Calculs!$EW$4:$EW$503,Calculs!$BX$55)))</f>
        <v/>
      </c>
      <c r="BI111" s="16" t="n"/>
    </row>
    <row r="112" ht="16.5" customHeight="1">
      <c r="A112" s="16" t="n"/>
      <c r="B112" s="107" t="str">
        <f>IF(Calculs!$BX$56="","",Calculs!$BW$56)</f>
        <v/>
      </c>
      <c r="D112" s="108" t="str">
        <f>IF(Calculs!$BX$56="","",INDEX(Charge!$B:$B,Calculs!$BX$56+3)&amp;"")</f>
        <v/>
      </c>
      <c r="L112" s="109" t="str">
        <f>IF(Calculs!$BX$56="","",INDEX(Charge!$C:$C,Calculs!$BX$56+3)&amp;"")</f>
        <v/>
      </c>
      <c r="T112" s="109" t="str">
        <f>IF(Calculs!$BX$56="","",INDEX(Charge!$D:$D,Calculs!$BX$56+3)&amp;"")</f>
        <v/>
      </c>
      <c r="AB112" s="109" t="str">
        <f>IF(Calculs!$BX$56="","",INDEX(Charge!$A:$A,Calculs!$BX$56+3)&amp;"")</f>
        <v/>
      </c>
      <c r="AI112" s="110" t="str">
        <f>IF(Calculs!$BX$56="","",INDEX(Calculs!$ET$4:$ET$503,Calculs!$BX$56))</f>
        <v/>
      </c>
      <c r="AM112" s="111" t="str">
        <f>IF(Calculs!$BX$56="","",INDEX(Calculs!$EP$4:$EP$503,Calculs!$BX$56))</f>
        <v/>
      </c>
      <c r="AR112" s="112" t="str">
        <f>IF(Calculs!$BX$56="","",IF(Calculs!$AL$4=0,0,INDEX(Calculs!$EP$4:$EP$503,Calculs!$BX$56)/Calculs!$AL$4))</f>
        <v/>
      </c>
      <c r="AX112" s="113" t="str">
        <f>IF(Calculs!$BX$56="","",INDEX(Calculs!$EU$4:$EU$503,Calculs!$BX$56))</f>
        <v/>
      </c>
      <c r="BD112" s="114" t="str">
        <f>IF(Calculs!$BX$56="","",IF(INDEX(Calculs!$EW$4:$EW$503,Calculs!$BX$56)&gt;=2958465,"à planifier",INDEX(Calculs!$EW$4:$EW$503,Calculs!$BX$56)))</f>
        <v/>
      </c>
      <c r="BI112" s="16" t="n"/>
    </row>
    <row r="113" ht="16.5" customHeight="1">
      <c r="A113" s="16" t="n"/>
      <c r="B113" s="107" t="str">
        <f>IF(Calculs!$BX$57="","",Calculs!$BW$57)</f>
        <v/>
      </c>
      <c r="D113" s="108" t="str">
        <f>IF(Calculs!$BX$57="","",INDEX(Charge!$B:$B,Calculs!$BX$57+3)&amp;"")</f>
        <v/>
      </c>
      <c r="L113" s="109" t="str">
        <f>IF(Calculs!$BX$57="","",INDEX(Charge!$C:$C,Calculs!$BX$57+3)&amp;"")</f>
        <v/>
      </c>
      <c r="T113" s="109" t="str">
        <f>IF(Calculs!$BX$57="","",INDEX(Charge!$D:$D,Calculs!$BX$57+3)&amp;"")</f>
        <v/>
      </c>
      <c r="AB113" s="109" t="str">
        <f>IF(Calculs!$BX$57="","",INDEX(Charge!$A:$A,Calculs!$BX$57+3)&amp;"")</f>
        <v/>
      </c>
      <c r="AI113" s="110" t="str">
        <f>IF(Calculs!$BX$57="","",INDEX(Calculs!$ET$4:$ET$503,Calculs!$BX$57))</f>
        <v/>
      </c>
      <c r="AM113" s="111" t="str">
        <f>IF(Calculs!$BX$57="","",INDEX(Calculs!$EP$4:$EP$503,Calculs!$BX$57))</f>
        <v/>
      </c>
      <c r="AR113" s="112" t="str">
        <f>IF(Calculs!$BX$57="","",IF(Calculs!$AL$4=0,0,INDEX(Calculs!$EP$4:$EP$503,Calculs!$BX$57)/Calculs!$AL$4))</f>
        <v/>
      </c>
      <c r="AX113" s="113" t="str">
        <f>IF(Calculs!$BX$57="","",INDEX(Calculs!$EU$4:$EU$503,Calculs!$BX$57))</f>
        <v/>
      </c>
      <c r="BD113" s="114" t="str">
        <f>IF(Calculs!$BX$57="","",IF(INDEX(Calculs!$EW$4:$EW$503,Calculs!$BX$57)&gt;=2958465,"à planifier",INDEX(Calculs!$EW$4:$EW$503,Calculs!$BX$57)))</f>
        <v/>
      </c>
      <c r="BI113" s="16" t="n"/>
    </row>
    <row r="114" ht="16.5" customHeight="1">
      <c r="A114" s="16" t="n"/>
      <c r="B114" s="107" t="str">
        <f>IF(Calculs!$BX$58="","",Calculs!$BW$58)</f>
        <v/>
      </c>
      <c r="D114" s="108" t="str">
        <f>IF(Calculs!$BX$58="","",INDEX(Charge!$B:$B,Calculs!$BX$58+3)&amp;"")</f>
        <v/>
      </c>
      <c r="L114" s="109" t="str">
        <f>IF(Calculs!$BX$58="","",INDEX(Charge!$C:$C,Calculs!$BX$58+3)&amp;"")</f>
        <v/>
      </c>
      <c r="T114" s="109" t="str">
        <f>IF(Calculs!$BX$58="","",INDEX(Charge!$D:$D,Calculs!$BX$58+3)&amp;"")</f>
        <v/>
      </c>
      <c r="AB114" s="109" t="str">
        <f>IF(Calculs!$BX$58="","",INDEX(Charge!$A:$A,Calculs!$BX$58+3)&amp;"")</f>
        <v/>
      </c>
      <c r="AI114" s="110" t="str">
        <f>IF(Calculs!$BX$58="","",INDEX(Calculs!$ET$4:$ET$503,Calculs!$BX$58))</f>
        <v/>
      </c>
      <c r="AM114" s="111" t="str">
        <f>IF(Calculs!$BX$58="","",INDEX(Calculs!$EP$4:$EP$503,Calculs!$BX$58))</f>
        <v/>
      </c>
      <c r="AR114" s="112" t="str">
        <f>IF(Calculs!$BX$58="","",IF(Calculs!$AL$4=0,0,INDEX(Calculs!$EP$4:$EP$503,Calculs!$BX$58)/Calculs!$AL$4))</f>
        <v/>
      </c>
      <c r="AX114" s="113" t="str">
        <f>IF(Calculs!$BX$58="","",INDEX(Calculs!$EU$4:$EU$503,Calculs!$BX$58))</f>
        <v/>
      </c>
      <c r="BD114" s="114" t="str">
        <f>IF(Calculs!$BX$58="","",IF(INDEX(Calculs!$EW$4:$EW$503,Calculs!$BX$58)&gt;=2958465,"à planifier",INDEX(Calculs!$EW$4:$EW$503,Calculs!$BX$58)))</f>
        <v/>
      </c>
      <c r="BI114" s="16" t="n"/>
    </row>
    <row r="115" ht="16.5" customHeight="1">
      <c r="A115" s="16" t="n"/>
      <c r="B115" s="107" t="str">
        <f>IF(Calculs!$BX$59="","",Calculs!$BW$59)</f>
        <v/>
      </c>
      <c r="D115" s="108" t="str">
        <f>IF(Calculs!$BX$59="","",INDEX(Charge!$B:$B,Calculs!$BX$59+3)&amp;"")</f>
        <v/>
      </c>
      <c r="L115" s="109" t="str">
        <f>IF(Calculs!$BX$59="","",INDEX(Charge!$C:$C,Calculs!$BX$59+3)&amp;"")</f>
        <v/>
      </c>
      <c r="T115" s="109" t="str">
        <f>IF(Calculs!$BX$59="","",INDEX(Charge!$D:$D,Calculs!$BX$59+3)&amp;"")</f>
        <v/>
      </c>
      <c r="AB115" s="109" t="str">
        <f>IF(Calculs!$BX$59="","",INDEX(Charge!$A:$A,Calculs!$BX$59+3)&amp;"")</f>
        <v/>
      </c>
      <c r="AI115" s="110" t="str">
        <f>IF(Calculs!$BX$59="","",INDEX(Calculs!$ET$4:$ET$503,Calculs!$BX$59))</f>
        <v/>
      </c>
      <c r="AM115" s="111" t="str">
        <f>IF(Calculs!$BX$59="","",INDEX(Calculs!$EP$4:$EP$503,Calculs!$BX$59))</f>
        <v/>
      </c>
      <c r="AR115" s="112" t="str">
        <f>IF(Calculs!$BX$59="","",IF(Calculs!$AL$4=0,0,INDEX(Calculs!$EP$4:$EP$503,Calculs!$BX$59)/Calculs!$AL$4))</f>
        <v/>
      </c>
      <c r="AX115" s="113" t="str">
        <f>IF(Calculs!$BX$59="","",INDEX(Calculs!$EU$4:$EU$503,Calculs!$BX$59))</f>
        <v/>
      </c>
      <c r="BD115" s="114" t="str">
        <f>IF(Calculs!$BX$59="","",IF(INDEX(Calculs!$EW$4:$EW$503,Calculs!$BX$59)&gt;=2958465,"à planifier",INDEX(Calculs!$EW$4:$EW$503,Calculs!$BX$59)))</f>
        <v/>
      </c>
      <c r="BI115" s="16" t="n"/>
    </row>
    <row r="116" ht="16.5" customHeight="1">
      <c r="A116" s="16" t="n"/>
      <c r="B116" s="107" t="str">
        <f>IF(Calculs!$BX$60="","",Calculs!$BW$60)</f>
        <v/>
      </c>
      <c r="D116" s="108" t="str">
        <f>IF(Calculs!$BX$60="","",INDEX(Charge!$B:$B,Calculs!$BX$60+3)&amp;"")</f>
        <v/>
      </c>
      <c r="L116" s="109" t="str">
        <f>IF(Calculs!$BX$60="","",INDEX(Charge!$C:$C,Calculs!$BX$60+3)&amp;"")</f>
        <v/>
      </c>
      <c r="T116" s="109" t="str">
        <f>IF(Calculs!$BX$60="","",INDEX(Charge!$D:$D,Calculs!$BX$60+3)&amp;"")</f>
        <v/>
      </c>
      <c r="AB116" s="109" t="str">
        <f>IF(Calculs!$BX$60="","",INDEX(Charge!$A:$A,Calculs!$BX$60+3)&amp;"")</f>
        <v/>
      </c>
      <c r="AI116" s="110" t="str">
        <f>IF(Calculs!$BX$60="","",INDEX(Calculs!$ET$4:$ET$503,Calculs!$BX$60))</f>
        <v/>
      </c>
      <c r="AM116" s="111" t="str">
        <f>IF(Calculs!$BX$60="","",INDEX(Calculs!$EP$4:$EP$503,Calculs!$BX$60))</f>
        <v/>
      </c>
      <c r="AR116" s="112" t="str">
        <f>IF(Calculs!$BX$60="","",IF(Calculs!$AL$4=0,0,INDEX(Calculs!$EP$4:$EP$503,Calculs!$BX$60)/Calculs!$AL$4))</f>
        <v/>
      </c>
      <c r="AX116" s="113" t="str">
        <f>IF(Calculs!$BX$60="","",INDEX(Calculs!$EU$4:$EU$503,Calculs!$BX$60))</f>
        <v/>
      </c>
      <c r="BD116" s="114" t="str">
        <f>IF(Calculs!$BX$60="","",IF(INDEX(Calculs!$EW$4:$EW$503,Calculs!$BX$60)&gt;=2958465,"à planifier",INDEX(Calculs!$EW$4:$EW$503,Calculs!$BX$60)))</f>
        <v/>
      </c>
      <c r="BI116" s="16" t="n"/>
    </row>
    <row r="117" ht="16.5" customHeight="1">
      <c r="A117" s="16" t="n"/>
      <c r="B117" s="107" t="str">
        <f>IF(Calculs!$BX$61="","",Calculs!$BW$61)</f>
        <v/>
      </c>
      <c r="D117" s="108" t="str">
        <f>IF(Calculs!$BX$61="","",INDEX(Charge!$B:$B,Calculs!$BX$61+3)&amp;"")</f>
        <v/>
      </c>
      <c r="L117" s="109" t="str">
        <f>IF(Calculs!$BX$61="","",INDEX(Charge!$C:$C,Calculs!$BX$61+3)&amp;"")</f>
        <v/>
      </c>
      <c r="T117" s="109" t="str">
        <f>IF(Calculs!$BX$61="","",INDEX(Charge!$D:$D,Calculs!$BX$61+3)&amp;"")</f>
        <v/>
      </c>
      <c r="AB117" s="109" t="str">
        <f>IF(Calculs!$BX$61="","",INDEX(Charge!$A:$A,Calculs!$BX$61+3)&amp;"")</f>
        <v/>
      </c>
      <c r="AI117" s="110" t="str">
        <f>IF(Calculs!$BX$61="","",INDEX(Calculs!$ET$4:$ET$503,Calculs!$BX$61))</f>
        <v/>
      </c>
      <c r="AM117" s="111" t="str">
        <f>IF(Calculs!$BX$61="","",INDEX(Calculs!$EP$4:$EP$503,Calculs!$BX$61))</f>
        <v/>
      </c>
      <c r="AR117" s="112" t="str">
        <f>IF(Calculs!$BX$61="","",IF(Calculs!$AL$4=0,0,INDEX(Calculs!$EP$4:$EP$503,Calculs!$BX$61)/Calculs!$AL$4))</f>
        <v/>
      </c>
      <c r="AX117" s="113" t="str">
        <f>IF(Calculs!$BX$61="","",INDEX(Calculs!$EU$4:$EU$503,Calculs!$BX$61))</f>
        <v/>
      </c>
      <c r="BD117" s="114" t="str">
        <f>IF(Calculs!$BX$61="","",IF(INDEX(Calculs!$EW$4:$EW$503,Calculs!$BX$61)&gt;=2958465,"à planifier",INDEX(Calculs!$EW$4:$EW$503,Calculs!$BX$61)))</f>
        <v/>
      </c>
      <c r="BI117" s="16" t="n"/>
    </row>
    <row r="118" ht="16.5" customHeight="1">
      <c r="A118" s="16" t="n"/>
      <c r="B118" s="107" t="str">
        <f>IF(Calculs!$BX$62="","",Calculs!$BW$62)</f>
        <v/>
      </c>
      <c r="D118" s="108" t="str">
        <f>IF(Calculs!$BX$62="","",INDEX(Charge!$B:$B,Calculs!$BX$62+3)&amp;"")</f>
        <v/>
      </c>
      <c r="L118" s="109" t="str">
        <f>IF(Calculs!$BX$62="","",INDEX(Charge!$C:$C,Calculs!$BX$62+3)&amp;"")</f>
        <v/>
      </c>
      <c r="T118" s="109" t="str">
        <f>IF(Calculs!$BX$62="","",INDEX(Charge!$D:$D,Calculs!$BX$62+3)&amp;"")</f>
        <v/>
      </c>
      <c r="AB118" s="109" t="str">
        <f>IF(Calculs!$BX$62="","",INDEX(Charge!$A:$A,Calculs!$BX$62+3)&amp;"")</f>
        <v/>
      </c>
      <c r="AI118" s="110" t="str">
        <f>IF(Calculs!$BX$62="","",INDEX(Calculs!$ET$4:$ET$503,Calculs!$BX$62))</f>
        <v/>
      </c>
      <c r="AM118" s="111" t="str">
        <f>IF(Calculs!$BX$62="","",INDEX(Calculs!$EP$4:$EP$503,Calculs!$BX$62))</f>
        <v/>
      </c>
      <c r="AR118" s="112" t="str">
        <f>IF(Calculs!$BX$62="","",IF(Calculs!$AL$4=0,0,INDEX(Calculs!$EP$4:$EP$503,Calculs!$BX$62)/Calculs!$AL$4))</f>
        <v/>
      </c>
      <c r="AX118" s="113" t="str">
        <f>IF(Calculs!$BX$62="","",INDEX(Calculs!$EU$4:$EU$503,Calculs!$BX$62))</f>
        <v/>
      </c>
      <c r="BD118" s="114" t="str">
        <f>IF(Calculs!$BX$62="","",IF(INDEX(Calculs!$EW$4:$EW$503,Calculs!$BX$62)&gt;=2958465,"à planifier",INDEX(Calculs!$EW$4:$EW$503,Calculs!$BX$62)))</f>
        <v/>
      </c>
      <c r="BI118" s="16" t="n"/>
    </row>
    <row r="119" ht="16.5" customHeight="1">
      <c r="A119" s="16" t="n"/>
      <c r="B119" s="107" t="str">
        <f>IF(Calculs!$BX$63="","",Calculs!$BW$63)</f>
        <v/>
      </c>
      <c r="D119" s="108" t="str">
        <f>IF(Calculs!$BX$63="","",INDEX(Charge!$B:$B,Calculs!$BX$63+3)&amp;"")</f>
        <v/>
      </c>
      <c r="L119" s="109" t="str">
        <f>IF(Calculs!$BX$63="","",INDEX(Charge!$C:$C,Calculs!$BX$63+3)&amp;"")</f>
        <v/>
      </c>
      <c r="T119" s="109" t="str">
        <f>IF(Calculs!$BX$63="","",INDEX(Charge!$D:$D,Calculs!$BX$63+3)&amp;"")</f>
        <v/>
      </c>
      <c r="AB119" s="109" t="str">
        <f>IF(Calculs!$BX$63="","",INDEX(Charge!$A:$A,Calculs!$BX$63+3)&amp;"")</f>
        <v/>
      </c>
      <c r="AI119" s="110" t="str">
        <f>IF(Calculs!$BX$63="","",INDEX(Calculs!$ET$4:$ET$503,Calculs!$BX$63))</f>
        <v/>
      </c>
      <c r="AM119" s="111" t="str">
        <f>IF(Calculs!$BX$63="","",INDEX(Calculs!$EP$4:$EP$503,Calculs!$BX$63))</f>
        <v/>
      </c>
      <c r="AR119" s="112" t="str">
        <f>IF(Calculs!$BX$63="","",IF(Calculs!$AL$4=0,0,INDEX(Calculs!$EP$4:$EP$503,Calculs!$BX$63)/Calculs!$AL$4))</f>
        <v/>
      </c>
      <c r="AX119" s="113" t="str">
        <f>IF(Calculs!$BX$63="","",INDEX(Calculs!$EU$4:$EU$503,Calculs!$BX$63))</f>
        <v/>
      </c>
      <c r="BD119" s="114" t="str">
        <f>IF(Calculs!$BX$63="","",IF(INDEX(Calculs!$EW$4:$EW$503,Calculs!$BX$63)&gt;=2958465,"à planifier",INDEX(Calculs!$EW$4:$EW$503,Calculs!$BX$63)))</f>
        <v/>
      </c>
      <c r="BI119" s="16" t="n"/>
    </row>
    <row r="120" ht="16.5" customHeight="1">
      <c r="A120" s="16" t="n"/>
      <c r="B120" s="107" t="str">
        <f>IF(Calculs!$BX$64="","",Calculs!$BW$64)</f>
        <v/>
      </c>
      <c r="D120" s="108" t="str">
        <f>IF(Calculs!$BX$64="","",INDEX(Charge!$B:$B,Calculs!$BX$64+3)&amp;"")</f>
        <v/>
      </c>
      <c r="L120" s="109" t="str">
        <f>IF(Calculs!$BX$64="","",INDEX(Charge!$C:$C,Calculs!$BX$64+3)&amp;"")</f>
        <v/>
      </c>
      <c r="T120" s="109" t="str">
        <f>IF(Calculs!$BX$64="","",INDEX(Charge!$D:$D,Calculs!$BX$64+3)&amp;"")</f>
        <v/>
      </c>
      <c r="AB120" s="109" t="str">
        <f>IF(Calculs!$BX$64="","",INDEX(Charge!$A:$A,Calculs!$BX$64+3)&amp;"")</f>
        <v/>
      </c>
      <c r="AI120" s="110" t="str">
        <f>IF(Calculs!$BX$64="","",INDEX(Calculs!$ET$4:$ET$503,Calculs!$BX$64))</f>
        <v/>
      </c>
      <c r="AM120" s="111" t="str">
        <f>IF(Calculs!$BX$64="","",INDEX(Calculs!$EP$4:$EP$503,Calculs!$BX$64))</f>
        <v/>
      </c>
      <c r="AR120" s="112" t="str">
        <f>IF(Calculs!$BX$64="","",IF(Calculs!$AL$4=0,0,INDEX(Calculs!$EP$4:$EP$503,Calculs!$BX$64)/Calculs!$AL$4))</f>
        <v/>
      </c>
      <c r="AX120" s="113" t="str">
        <f>IF(Calculs!$BX$64="","",INDEX(Calculs!$EU$4:$EU$503,Calculs!$BX$64))</f>
        <v/>
      </c>
      <c r="BD120" s="114" t="str">
        <f>IF(Calculs!$BX$64="","",IF(INDEX(Calculs!$EW$4:$EW$503,Calculs!$BX$64)&gt;=2958465,"à planifier",INDEX(Calculs!$EW$4:$EW$503,Calculs!$BX$64)))</f>
        <v/>
      </c>
      <c r="BI120" s="16" t="n"/>
    </row>
    <row r="121" ht="16.5" customHeight="1">
      <c r="A121" s="16" t="n"/>
      <c r="B121" s="107" t="str">
        <f>IF(Calculs!$BX$65="","",Calculs!$BW$65)</f>
        <v/>
      </c>
      <c r="D121" s="108" t="str">
        <f>IF(Calculs!$BX$65="","",INDEX(Charge!$B:$B,Calculs!$BX$65+3)&amp;"")</f>
        <v/>
      </c>
      <c r="L121" s="109" t="str">
        <f>IF(Calculs!$BX$65="","",INDEX(Charge!$C:$C,Calculs!$BX$65+3)&amp;"")</f>
        <v/>
      </c>
      <c r="T121" s="109" t="str">
        <f>IF(Calculs!$BX$65="","",INDEX(Charge!$D:$D,Calculs!$BX$65+3)&amp;"")</f>
        <v/>
      </c>
      <c r="AB121" s="109" t="str">
        <f>IF(Calculs!$BX$65="","",INDEX(Charge!$A:$A,Calculs!$BX$65+3)&amp;"")</f>
        <v/>
      </c>
      <c r="AI121" s="110" t="str">
        <f>IF(Calculs!$BX$65="","",INDEX(Calculs!$ET$4:$ET$503,Calculs!$BX$65))</f>
        <v/>
      </c>
      <c r="AM121" s="111" t="str">
        <f>IF(Calculs!$BX$65="","",INDEX(Calculs!$EP$4:$EP$503,Calculs!$BX$65))</f>
        <v/>
      </c>
      <c r="AR121" s="112" t="str">
        <f>IF(Calculs!$BX$65="","",IF(Calculs!$AL$4=0,0,INDEX(Calculs!$EP$4:$EP$503,Calculs!$BX$65)/Calculs!$AL$4))</f>
        <v/>
      </c>
      <c r="AX121" s="113" t="str">
        <f>IF(Calculs!$BX$65="","",INDEX(Calculs!$EU$4:$EU$503,Calculs!$BX$65))</f>
        <v/>
      </c>
      <c r="BD121" s="114" t="str">
        <f>IF(Calculs!$BX$65="","",IF(INDEX(Calculs!$EW$4:$EW$503,Calculs!$BX$65)&gt;=2958465,"à planifier",INDEX(Calculs!$EW$4:$EW$503,Calculs!$BX$65)))</f>
        <v/>
      </c>
      <c r="BI121" s="16" t="n"/>
    </row>
    <row r="122" ht="16.5" customHeight="1">
      <c r="A122" s="16" t="n"/>
      <c r="B122" s="107" t="str">
        <f>IF(Calculs!$BX$66="","",Calculs!$BW$66)</f>
        <v/>
      </c>
      <c r="D122" s="108" t="str">
        <f>IF(Calculs!$BX$66="","",INDEX(Charge!$B:$B,Calculs!$BX$66+3)&amp;"")</f>
        <v/>
      </c>
      <c r="L122" s="109" t="str">
        <f>IF(Calculs!$BX$66="","",INDEX(Charge!$C:$C,Calculs!$BX$66+3)&amp;"")</f>
        <v/>
      </c>
      <c r="T122" s="109" t="str">
        <f>IF(Calculs!$BX$66="","",INDEX(Charge!$D:$D,Calculs!$BX$66+3)&amp;"")</f>
        <v/>
      </c>
      <c r="AB122" s="109" t="str">
        <f>IF(Calculs!$BX$66="","",INDEX(Charge!$A:$A,Calculs!$BX$66+3)&amp;"")</f>
        <v/>
      </c>
      <c r="AI122" s="110" t="str">
        <f>IF(Calculs!$BX$66="","",INDEX(Calculs!$ET$4:$ET$503,Calculs!$BX$66))</f>
        <v/>
      </c>
      <c r="AM122" s="111" t="str">
        <f>IF(Calculs!$BX$66="","",INDEX(Calculs!$EP$4:$EP$503,Calculs!$BX$66))</f>
        <v/>
      </c>
      <c r="AR122" s="112" t="str">
        <f>IF(Calculs!$BX$66="","",IF(Calculs!$AL$4=0,0,INDEX(Calculs!$EP$4:$EP$503,Calculs!$BX$66)/Calculs!$AL$4))</f>
        <v/>
      </c>
      <c r="AX122" s="113" t="str">
        <f>IF(Calculs!$BX$66="","",INDEX(Calculs!$EU$4:$EU$503,Calculs!$BX$66))</f>
        <v/>
      </c>
      <c r="BD122" s="114" t="str">
        <f>IF(Calculs!$BX$66="","",IF(INDEX(Calculs!$EW$4:$EW$503,Calculs!$BX$66)&gt;=2958465,"à planifier",INDEX(Calculs!$EW$4:$EW$503,Calculs!$BX$66)))</f>
        <v/>
      </c>
      <c r="BI122" s="16" t="n"/>
    </row>
    <row r="123" ht="16.5" customHeight="1">
      <c r="A123" s="16" t="n"/>
      <c r="B123" s="107" t="str">
        <f>IF(Calculs!$BX$67="","",Calculs!$BW$67)</f>
        <v/>
      </c>
      <c r="D123" s="108" t="str">
        <f>IF(Calculs!$BX$67="","",INDEX(Charge!$B:$B,Calculs!$BX$67+3)&amp;"")</f>
        <v/>
      </c>
      <c r="L123" s="109" t="str">
        <f>IF(Calculs!$BX$67="","",INDEX(Charge!$C:$C,Calculs!$BX$67+3)&amp;"")</f>
        <v/>
      </c>
      <c r="T123" s="109" t="str">
        <f>IF(Calculs!$BX$67="","",INDEX(Charge!$D:$D,Calculs!$BX$67+3)&amp;"")</f>
        <v/>
      </c>
      <c r="AB123" s="109" t="str">
        <f>IF(Calculs!$BX$67="","",INDEX(Charge!$A:$A,Calculs!$BX$67+3)&amp;"")</f>
        <v/>
      </c>
      <c r="AI123" s="110" t="str">
        <f>IF(Calculs!$BX$67="","",INDEX(Calculs!$ET$4:$ET$503,Calculs!$BX$67))</f>
        <v/>
      </c>
      <c r="AM123" s="111" t="str">
        <f>IF(Calculs!$BX$67="","",INDEX(Calculs!$EP$4:$EP$503,Calculs!$BX$67))</f>
        <v/>
      </c>
      <c r="AR123" s="112" t="str">
        <f>IF(Calculs!$BX$67="","",IF(Calculs!$AL$4=0,0,INDEX(Calculs!$EP$4:$EP$503,Calculs!$BX$67)/Calculs!$AL$4))</f>
        <v/>
      </c>
      <c r="AX123" s="113" t="str">
        <f>IF(Calculs!$BX$67="","",INDEX(Calculs!$EU$4:$EU$503,Calculs!$BX$67))</f>
        <v/>
      </c>
      <c r="BD123" s="114" t="str">
        <f>IF(Calculs!$BX$67="","",IF(INDEX(Calculs!$EW$4:$EW$503,Calculs!$BX$67)&gt;=2958465,"à planifier",INDEX(Calculs!$EW$4:$EW$503,Calculs!$BX$67)))</f>
        <v/>
      </c>
      <c r="BI123" s="16" t="n"/>
    </row>
    <row r="124" ht="16.5" customHeight="1">
      <c r="A124" s="16" t="n"/>
      <c r="B124" s="107" t="str">
        <f>IF(Calculs!$BX$68="","",Calculs!$BW$68)</f>
        <v/>
      </c>
      <c r="D124" s="108" t="str">
        <f>IF(Calculs!$BX$68="","",INDEX(Charge!$B:$B,Calculs!$BX$68+3)&amp;"")</f>
        <v/>
      </c>
      <c r="L124" s="109" t="str">
        <f>IF(Calculs!$BX$68="","",INDEX(Charge!$C:$C,Calculs!$BX$68+3)&amp;"")</f>
        <v/>
      </c>
      <c r="T124" s="109" t="str">
        <f>IF(Calculs!$BX$68="","",INDEX(Charge!$D:$D,Calculs!$BX$68+3)&amp;"")</f>
        <v/>
      </c>
      <c r="AB124" s="109" t="str">
        <f>IF(Calculs!$BX$68="","",INDEX(Charge!$A:$A,Calculs!$BX$68+3)&amp;"")</f>
        <v/>
      </c>
      <c r="AI124" s="110" t="str">
        <f>IF(Calculs!$BX$68="","",INDEX(Calculs!$ET$4:$ET$503,Calculs!$BX$68))</f>
        <v/>
      </c>
      <c r="AM124" s="111" t="str">
        <f>IF(Calculs!$BX$68="","",INDEX(Calculs!$EP$4:$EP$503,Calculs!$BX$68))</f>
        <v/>
      </c>
      <c r="AR124" s="112" t="str">
        <f>IF(Calculs!$BX$68="","",IF(Calculs!$AL$4=0,0,INDEX(Calculs!$EP$4:$EP$503,Calculs!$BX$68)/Calculs!$AL$4))</f>
        <v/>
      </c>
      <c r="AX124" s="113" t="str">
        <f>IF(Calculs!$BX$68="","",INDEX(Calculs!$EU$4:$EU$503,Calculs!$BX$68))</f>
        <v/>
      </c>
      <c r="BD124" s="114" t="str">
        <f>IF(Calculs!$BX$68="","",IF(INDEX(Calculs!$EW$4:$EW$503,Calculs!$BX$68)&gt;=2958465,"à planifier",INDEX(Calculs!$EW$4:$EW$503,Calculs!$BX$68)))</f>
        <v/>
      </c>
      <c r="BI124" s="16" t="n"/>
    </row>
    <row r="125" ht="16.5" customHeight="1">
      <c r="A125" s="16" t="n"/>
      <c r="B125" s="107" t="str">
        <f>IF(Calculs!$BX$69="","",Calculs!$BW$69)</f>
        <v/>
      </c>
      <c r="D125" s="108" t="str">
        <f>IF(Calculs!$BX$69="","",INDEX(Charge!$B:$B,Calculs!$BX$69+3)&amp;"")</f>
        <v/>
      </c>
      <c r="L125" s="109" t="str">
        <f>IF(Calculs!$BX$69="","",INDEX(Charge!$C:$C,Calculs!$BX$69+3)&amp;"")</f>
        <v/>
      </c>
      <c r="T125" s="109" t="str">
        <f>IF(Calculs!$BX$69="","",INDEX(Charge!$D:$D,Calculs!$BX$69+3)&amp;"")</f>
        <v/>
      </c>
      <c r="AB125" s="109" t="str">
        <f>IF(Calculs!$BX$69="","",INDEX(Charge!$A:$A,Calculs!$BX$69+3)&amp;"")</f>
        <v/>
      </c>
      <c r="AI125" s="110" t="str">
        <f>IF(Calculs!$BX$69="","",INDEX(Calculs!$ET$4:$ET$503,Calculs!$BX$69))</f>
        <v/>
      </c>
      <c r="AM125" s="111" t="str">
        <f>IF(Calculs!$BX$69="","",INDEX(Calculs!$EP$4:$EP$503,Calculs!$BX$69))</f>
        <v/>
      </c>
      <c r="AR125" s="112" t="str">
        <f>IF(Calculs!$BX$69="","",IF(Calculs!$AL$4=0,0,INDEX(Calculs!$EP$4:$EP$503,Calculs!$BX$69)/Calculs!$AL$4))</f>
        <v/>
      </c>
      <c r="AX125" s="113" t="str">
        <f>IF(Calculs!$BX$69="","",INDEX(Calculs!$EU$4:$EU$503,Calculs!$BX$69))</f>
        <v/>
      </c>
      <c r="BD125" s="114" t="str">
        <f>IF(Calculs!$BX$69="","",IF(INDEX(Calculs!$EW$4:$EW$503,Calculs!$BX$69)&gt;=2958465,"à planifier",INDEX(Calculs!$EW$4:$EW$503,Calculs!$BX$69)))</f>
        <v/>
      </c>
      <c r="BI125" s="16" t="n"/>
    </row>
    <row r="126" ht="16.5" customHeight="1">
      <c r="A126" s="16" t="n"/>
      <c r="B126" s="107" t="str">
        <f>IF(Calculs!$BX$70="","",Calculs!$BW$70)</f>
        <v/>
      </c>
      <c r="D126" s="108" t="str">
        <f>IF(Calculs!$BX$70="","",INDEX(Charge!$B:$B,Calculs!$BX$70+3)&amp;"")</f>
        <v/>
      </c>
      <c r="L126" s="109" t="str">
        <f>IF(Calculs!$BX$70="","",INDEX(Charge!$C:$C,Calculs!$BX$70+3)&amp;"")</f>
        <v/>
      </c>
      <c r="T126" s="109" t="str">
        <f>IF(Calculs!$BX$70="","",INDEX(Charge!$D:$D,Calculs!$BX$70+3)&amp;"")</f>
        <v/>
      </c>
      <c r="AB126" s="109" t="str">
        <f>IF(Calculs!$BX$70="","",INDEX(Charge!$A:$A,Calculs!$BX$70+3)&amp;"")</f>
        <v/>
      </c>
      <c r="AI126" s="110" t="str">
        <f>IF(Calculs!$BX$70="","",INDEX(Calculs!$ET$4:$ET$503,Calculs!$BX$70))</f>
        <v/>
      </c>
      <c r="AM126" s="111" t="str">
        <f>IF(Calculs!$BX$70="","",INDEX(Calculs!$EP$4:$EP$503,Calculs!$BX$70))</f>
        <v/>
      </c>
      <c r="AR126" s="112" t="str">
        <f>IF(Calculs!$BX$70="","",IF(Calculs!$AL$4=0,0,INDEX(Calculs!$EP$4:$EP$503,Calculs!$BX$70)/Calculs!$AL$4))</f>
        <v/>
      </c>
      <c r="AX126" s="113" t="str">
        <f>IF(Calculs!$BX$70="","",INDEX(Calculs!$EU$4:$EU$503,Calculs!$BX$70))</f>
        <v/>
      </c>
      <c r="BD126" s="114" t="str">
        <f>IF(Calculs!$BX$70="","",IF(INDEX(Calculs!$EW$4:$EW$503,Calculs!$BX$70)&gt;=2958465,"à planifier",INDEX(Calculs!$EW$4:$EW$503,Calculs!$BX$70)))</f>
        <v/>
      </c>
      <c r="BI126" s="16" t="n"/>
    </row>
    <row r="127" ht="16.5" customHeight="1">
      <c r="A127" s="16" t="n"/>
      <c r="B127" s="107" t="str">
        <f>IF(Calculs!$BX$71="","",Calculs!$BW$71)</f>
        <v/>
      </c>
      <c r="D127" s="108" t="str">
        <f>IF(Calculs!$BX$71="","",INDEX(Charge!$B:$B,Calculs!$BX$71+3)&amp;"")</f>
        <v/>
      </c>
      <c r="L127" s="109" t="str">
        <f>IF(Calculs!$BX$71="","",INDEX(Charge!$C:$C,Calculs!$BX$71+3)&amp;"")</f>
        <v/>
      </c>
      <c r="T127" s="109" t="str">
        <f>IF(Calculs!$BX$71="","",INDEX(Charge!$D:$D,Calculs!$BX$71+3)&amp;"")</f>
        <v/>
      </c>
      <c r="AB127" s="109" t="str">
        <f>IF(Calculs!$BX$71="","",INDEX(Charge!$A:$A,Calculs!$BX$71+3)&amp;"")</f>
        <v/>
      </c>
      <c r="AI127" s="110" t="str">
        <f>IF(Calculs!$BX$71="","",INDEX(Calculs!$ET$4:$ET$503,Calculs!$BX$71))</f>
        <v/>
      </c>
      <c r="AM127" s="111" t="str">
        <f>IF(Calculs!$BX$71="","",INDEX(Calculs!$EP$4:$EP$503,Calculs!$BX$71))</f>
        <v/>
      </c>
      <c r="AR127" s="112" t="str">
        <f>IF(Calculs!$BX$71="","",IF(Calculs!$AL$4=0,0,INDEX(Calculs!$EP$4:$EP$503,Calculs!$BX$71)/Calculs!$AL$4))</f>
        <v/>
      </c>
      <c r="AX127" s="113" t="str">
        <f>IF(Calculs!$BX$71="","",INDEX(Calculs!$EU$4:$EU$503,Calculs!$BX$71))</f>
        <v/>
      </c>
      <c r="BD127" s="114" t="str">
        <f>IF(Calculs!$BX$71="","",IF(INDEX(Calculs!$EW$4:$EW$503,Calculs!$BX$71)&gt;=2958465,"à planifier",INDEX(Calculs!$EW$4:$EW$503,Calculs!$BX$71)))</f>
        <v/>
      </c>
      <c r="BI127" s="16" t="n"/>
    </row>
    <row r="128" ht="16.5" customHeight="1">
      <c r="A128" s="16" t="n"/>
      <c r="B128" s="107" t="str">
        <f>IF(Calculs!$BX$72="","",Calculs!$BW$72)</f>
        <v/>
      </c>
      <c r="D128" s="108" t="str">
        <f>IF(Calculs!$BX$72="","",INDEX(Charge!$B:$B,Calculs!$BX$72+3)&amp;"")</f>
        <v/>
      </c>
      <c r="L128" s="109" t="str">
        <f>IF(Calculs!$BX$72="","",INDEX(Charge!$C:$C,Calculs!$BX$72+3)&amp;"")</f>
        <v/>
      </c>
      <c r="T128" s="109" t="str">
        <f>IF(Calculs!$BX$72="","",INDEX(Charge!$D:$D,Calculs!$BX$72+3)&amp;"")</f>
        <v/>
      </c>
      <c r="AB128" s="109" t="str">
        <f>IF(Calculs!$BX$72="","",INDEX(Charge!$A:$A,Calculs!$BX$72+3)&amp;"")</f>
        <v/>
      </c>
      <c r="AI128" s="110" t="str">
        <f>IF(Calculs!$BX$72="","",INDEX(Calculs!$ET$4:$ET$503,Calculs!$BX$72))</f>
        <v/>
      </c>
      <c r="AM128" s="111" t="str">
        <f>IF(Calculs!$BX$72="","",INDEX(Calculs!$EP$4:$EP$503,Calculs!$BX$72))</f>
        <v/>
      </c>
      <c r="AR128" s="112" t="str">
        <f>IF(Calculs!$BX$72="","",IF(Calculs!$AL$4=0,0,INDEX(Calculs!$EP$4:$EP$503,Calculs!$BX$72)/Calculs!$AL$4))</f>
        <v/>
      </c>
      <c r="AX128" s="113" t="str">
        <f>IF(Calculs!$BX$72="","",INDEX(Calculs!$EU$4:$EU$503,Calculs!$BX$72))</f>
        <v/>
      </c>
      <c r="BD128" s="114" t="str">
        <f>IF(Calculs!$BX$72="","",IF(INDEX(Calculs!$EW$4:$EW$503,Calculs!$BX$72)&gt;=2958465,"à planifier",INDEX(Calculs!$EW$4:$EW$503,Calculs!$BX$72)))</f>
        <v/>
      </c>
      <c r="BI128" s="16" t="n"/>
    </row>
    <row r="129" ht="16.5" customHeight="1">
      <c r="A129" s="16" t="n"/>
      <c r="B129" s="107" t="str">
        <f>IF(Calculs!$BX$73="","",Calculs!$BW$73)</f>
        <v/>
      </c>
      <c r="D129" s="108" t="str">
        <f>IF(Calculs!$BX$73="","",INDEX(Charge!$B:$B,Calculs!$BX$73+3)&amp;"")</f>
        <v/>
      </c>
      <c r="L129" s="109" t="str">
        <f>IF(Calculs!$BX$73="","",INDEX(Charge!$C:$C,Calculs!$BX$73+3)&amp;"")</f>
        <v/>
      </c>
      <c r="T129" s="109" t="str">
        <f>IF(Calculs!$BX$73="","",INDEX(Charge!$D:$D,Calculs!$BX$73+3)&amp;"")</f>
        <v/>
      </c>
      <c r="AB129" s="109" t="str">
        <f>IF(Calculs!$BX$73="","",INDEX(Charge!$A:$A,Calculs!$BX$73+3)&amp;"")</f>
        <v/>
      </c>
      <c r="AI129" s="110" t="str">
        <f>IF(Calculs!$BX$73="","",INDEX(Calculs!$ET$4:$ET$503,Calculs!$BX$73))</f>
        <v/>
      </c>
      <c r="AM129" s="111" t="str">
        <f>IF(Calculs!$BX$73="","",INDEX(Calculs!$EP$4:$EP$503,Calculs!$BX$73))</f>
        <v/>
      </c>
      <c r="AR129" s="112" t="str">
        <f>IF(Calculs!$BX$73="","",IF(Calculs!$AL$4=0,0,INDEX(Calculs!$EP$4:$EP$503,Calculs!$BX$73)/Calculs!$AL$4))</f>
        <v/>
      </c>
      <c r="AX129" s="113" t="str">
        <f>IF(Calculs!$BX$73="","",INDEX(Calculs!$EU$4:$EU$503,Calculs!$BX$73))</f>
        <v/>
      </c>
      <c r="BD129" s="114" t="str">
        <f>IF(Calculs!$BX$73="","",IF(INDEX(Calculs!$EW$4:$EW$503,Calculs!$BX$73)&gt;=2958465,"à planifier",INDEX(Calculs!$EW$4:$EW$503,Calculs!$BX$73)))</f>
        <v/>
      </c>
      <c r="BI129" s="16" t="n"/>
    </row>
    <row r="130" ht="16.5" customHeight="1">
      <c r="A130" s="16" t="n"/>
      <c r="B130" s="107" t="str">
        <f>IF(Calculs!$BX$74="","",Calculs!$BW$74)</f>
        <v/>
      </c>
      <c r="D130" s="108" t="str">
        <f>IF(Calculs!$BX$74="","",INDEX(Charge!$B:$B,Calculs!$BX$74+3)&amp;"")</f>
        <v/>
      </c>
      <c r="L130" s="109" t="str">
        <f>IF(Calculs!$BX$74="","",INDEX(Charge!$C:$C,Calculs!$BX$74+3)&amp;"")</f>
        <v/>
      </c>
      <c r="T130" s="109" t="str">
        <f>IF(Calculs!$BX$74="","",INDEX(Charge!$D:$D,Calculs!$BX$74+3)&amp;"")</f>
        <v/>
      </c>
      <c r="AB130" s="109" t="str">
        <f>IF(Calculs!$BX$74="","",INDEX(Charge!$A:$A,Calculs!$BX$74+3)&amp;"")</f>
        <v/>
      </c>
      <c r="AI130" s="110" t="str">
        <f>IF(Calculs!$BX$74="","",INDEX(Calculs!$ET$4:$ET$503,Calculs!$BX$74))</f>
        <v/>
      </c>
      <c r="AM130" s="111" t="str">
        <f>IF(Calculs!$BX$74="","",INDEX(Calculs!$EP$4:$EP$503,Calculs!$BX$74))</f>
        <v/>
      </c>
      <c r="AR130" s="112" t="str">
        <f>IF(Calculs!$BX$74="","",IF(Calculs!$AL$4=0,0,INDEX(Calculs!$EP$4:$EP$503,Calculs!$BX$74)/Calculs!$AL$4))</f>
        <v/>
      </c>
      <c r="AX130" s="113" t="str">
        <f>IF(Calculs!$BX$74="","",INDEX(Calculs!$EU$4:$EU$503,Calculs!$BX$74))</f>
        <v/>
      </c>
      <c r="BD130" s="114" t="str">
        <f>IF(Calculs!$BX$74="","",IF(INDEX(Calculs!$EW$4:$EW$503,Calculs!$BX$74)&gt;=2958465,"à planifier",INDEX(Calculs!$EW$4:$EW$503,Calculs!$BX$74)))</f>
        <v/>
      </c>
      <c r="BI130" s="16" t="n"/>
    </row>
    <row r="131" ht="16.5" customHeight="1">
      <c r="A131" s="16" t="n"/>
      <c r="B131" s="107" t="str">
        <f>IF(Calculs!$BX$75="","",Calculs!$BW$75)</f>
        <v/>
      </c>
      <c r="D131" s="108" t="str">
        <f>IF(Calculs!$BX$75="","",INDEX(Charge!$B:$B,Calculs!$BX$75+3)&amp;"")</f>
        <v/>
      </c>
      <c r="L131" s="109" t="str">
        <f>IF(Calculs!$BX$75="","",INDEX(Charge!$C:$C,Calculs!$BX$75+3)&amp;"")</f>
        <v/>
      </c>
      <c r="T131" s="109" t="str">
        <f>IF(Calculs!$BX$75="","",INDEX(Charge!$D:$D,Calculs!$BX$75+3)&amp;"")</f>
        <v/>
      </c>
      <c r="AB131" s="109" t="str">
        <f>IF(Calculs!$BX$75="","",INDEX(Charge!$A:$A,Calculs!$BX$75+3)&amp;"")</f>
        <v/>
      </c>
      <c r="AI131" s="110" t="str">
        <f>IF(Calculs!$BX$75="","",INDEX(Calculs!$ET$4:$ET$503,Calculs!$BX$75))</f>
        <v/>
      </c>
      <c r="AM131" s="111" t="str">
        <f>IF(Calculs!$BX$75="","",INDEX(Calculs!$EP$4:$EP$503,Calculs!$BX$75))</f>
        <v/>
      </c>
      <c r="AR131" s="112" t="str">
        <f>IF(Calculs!$BX$75="","",IF(Calculs!$AL$4=0,0,INDEX(Calculs!$EP$4:$EP$503,Calculs!$BX$75)/Calculs!$AL$4))</f>
        <v/>
      </c>
      <c r="AX131" s="113" t="str">
        <f>IF(Calculs!$BX$75="","",INDEX(Calculs!$EU$4:$EU$503,Calculs!$BX$75))</f>
        <v/>
      </c>
      <c r="BD131" s="114" t="str">
        <f>IF(Calculs!$BX$75="","",IF(INDEX(Calculs!$EW$4:$EW$503,Calculs!$BX$75)&gt;=2958465,"à planifier",INDEX(Calculs!$EW$4:$EW$503,Calculs!$BX$75)))</f>
        <v/>
      </c>
      <c r="BI131" s="16" t="n"/>
    </row>
    <row r="132" ht="16.5" customHeight="1">
      <c r="A132" s="16" t="n"/>
      <c r="B132" s="107" t="str">
        <f>IF(Calculs!$BX$76="","",Calculs!$BW$76)</f>
        <v/>
      </c>
      <c r="D132" s="108" t="str">
        <f>IF(Calculs!$BX$76="","",INDEX(Charge!$B:$B,Calculs!$BX$76+3)&amp;"")</f>
        <v/>
      </c>
      <c r="L132" s="109" t="str">
        <f>IF(Calculs!$BX$76="","",INDEX(Charge!$C:$C,Calculs!$BX$76+3)&amp;"")</f>
        <v/>
      </c>
      <c r="T132" s="109" t="str">
        <f>IF(Calculs!$BX$76="","",INDEX(Charge!$D:$D,Calculs!$BX$76+3)&amp;"")</f>
        <v/>
      </c>
      <c r="AB132" s="109" t="str">
        <f>IF(Calculs!$BX$76="","",INDEX(Charge!$A:$A,Calculs!$BX$76+3)&amp;"")</f>
        <v/>
      </c>
      <c r="AI132" s="110" t="str">
        <f>IF(Calculs!$BX$76="","",INDEX(Calculs!$ET$4:$ET$503,Calculs!$BX$76))</f>
        <v/>
      </c>
      <c r="AM132" s="111" t="str">
        <f>IF(Calculs!$BX$76="","",INDEX(Calculs!$EP$4:$EP$503,Calculs!$BX$76))</f>
        <v/>
      </c>
      <c r="AR132" s="112" t="str">
        <f>IF(Calculs!$BX$76="","",IF(Calculs!$AL$4=0,0,INDEX(Calculs!$EP$4:$EP$503,Calculs!$BX$76)/Calculs!$AL$4))</f>
        <v/>
      </c>
      <c r="AX132" s="113" t="str">
        <f>IF(Calculs!$BX$76="","",INDEX(Calculs!$EU$4:$EU$503,Calculs!$BX$76))</f>
        <v/>
      </c>
      <c r="BD132" s="114" t="str">
        <f>IF(Calculs!$BX$76="","",IF(INDEX(Calculs!$EW$4:$EW$503,Calculs!$BX$76)&gt;=2958465,"à planifier",INDEX(Calculs!$EW$4:$EW$503,Calculs!$BX$76)))</f>
        <v/>
      </c>
      <c r="BI132" s="16" t="n"/>
    </row>
    <row r="133" ht="16.5" customHeight="1">
      <c r="A133" s="16" t="n"/>
      <c r="B133" s="107" t="str">
        <f>IF(Calculs!$BX$77="","",Calculs!$BW$77)</f>
        <v/>
      </c>
      <c r="D133" s="108" t="str">
        <f>IF(Calculs!$BX$77="","",INDEX(Charge!$B:$B,Calculs!$BX$77+3)&amp;"")</f>
        <v/>
      </c>
      <c r="L133" s="109" t="str">
        <f>IF(Calculs!$BX$77="","",INDEX(Charge!$C:$C,Calculs!$BX$77+3)&amp;"")</f>
        <v/>
      </c>
      <c r="T133" s="109" t="str">
        <f>IF(Calculs!$BX$77="","",INDEX(Charge!$D:$D,Calculs!$BX$77+3)&amp;"")</f>
        <v/>
      </c>
      <c r="AB133" s="109" t="str">
        <f>IF(Calculs!$BX$77="","",INDEX(Charge!$A:$A,Calculs!$BX$77+3)&amp;"")</f>
        <v/>
      </c>
      <c r="AI133" s="110" t="str">
        <f>IF(Calculs!$BX$77="","",INDEX(Calculs!$ET$4:$ET$503,Calculs!$BX$77))</f>
        <v/>
      </c>
      <c r="AM133" s="111" t="str">
        <f>IF(Calculs!$BX$77="","",INDEX(Calculs!$EP$4:$EP$503,Calculs!$BX$77))</f>
        <v/>
      </c>
      <c r="AR133" s="112" t="str">
        <f>IF(Calculs!$BX$77="","",IF(Calculs!$AL$4=0,0,INDEX(Calculs!$EP$4:$EP$503,Calculs!$BX$77)/Calculs!$AL$4))</f>
        <v/>
      </c>
      <c r="AX133" s="113" t="str">
        <f>IF(Calculs!$BX$77="","",INDEX(Calculs!$EU$4:$EU$503,Calculs!$BX$77))</f>
        <v/>
      </c>
      <c r="BD133" s="114" t="str">
        <f>IF(Calculs!$BX$77="","",IF(INDEX(Calculs!$EW$4:$EW$503,Calculs!$BX$77)&gt;=2958465,"à planifier",INDEX(Calculs!$EW$4:$EW$503,Calculs!$BX$77)))</f>
        <v/>
      </c>
      <c r="BI133" s="16" t="n"/>
    </row>
    <row r="134" ht="16.5" customHeight="1">
      <c r="A134" s="16" t="n"/>
      <c r="B134" s="107" t="str">
        <f>IF(Calculs!$BX$78="","",Calculs!$BW$78)</f>
        <v/>
      </c>
      <c r="D134" s="108" t="str">
        <f>IF(Calculs!$BX$78="","",INDEX(Charge!$B:$B,Calculs!$BX$78+3)&amp;"")</f>
        <v/>
      </c>
      <c r="L134" s="109" t="str">
        <f>IF(Calculs!$BX$78="","",INDEX(Charge!$C:$C,Calculs!$BX$78+3)&amp;"")</f>
        <v/>
      </c>
      <c r="T134" s="109" t="str">
        <f>IF(Calculs!$BX$78="","",INDEX(Charge!$D:$D,Calculs!$BX$78+3)&amp;"")</f>
        <v/>
      </c>
      <c r="AB134" s="109" t="str">
        <f>IF(Calculs!$BX$78="","",INDEX(Charge!$A:$A,Calculs!$BX$78+3)&amp;"")</f>
        <v/>
      </c>
      <c r="AI134" s="110" t="str">
        <f>IF(Calculs!$BX$78="","",INDEX(Calculs!$ET$4:$ET$503,Calculs!$BX$78))</f>
        <v/>
      </c>
      <c r="AM134" s="111" t="str">
        <f>IF(Calculs!$BX$78="","",INDEX(Calculs!$EP$4:$EP$503,Calculs!$BX$78))</f>
        <v/>
      </c>
      <c r="AR134" s="112" t="str">
        <f>IF(Calculs!$BX$78="","",IF(Calculs!$AL$4=0,0,INDEX(Calculs!$EP$4:$EP$503,Calculs!$BX$78)/Calculs!$AL$4))</f>
        <v/>
      </c>
      <c r="AX134" s="113" t="str">
        <f>IF(Calculs!$BX$78="","",INDEX(Calculs!$EU$4:$EU$503,Calculs!$BX$78))</f>
        <v/>
      </c>
      <c r="BD134" s="114" t="str">
        <f>IF(Calculs!$BX$78="","",IF(INDEX(Calculs!$EW$4:$EW$503,Calculs!$BX$78)&gt;=2958465,"à planifier",INDEX(Calculs!$EW$4:$EW$503,Calculs!$BX$78)))</f>
        <v/>
      </c>
      <c r="BI134" s="16" t="n"/>
    </row>
    <row r="135" ht="16.5" customHeight="1">
      <c r="A135" s="16" t="n"/>
      <c r="B135" s="107" t="str">
        <f>IF(Calculs!$BX$79="","",Calculs!$BW$79)</f>
        <v/>
      </c>
      <c r="D135" s="108" t="str">
        <f>IF(Calculs!$BX$79="","",INDEX(Charge!$B:$B,Calculs!$BX$79+3)&amp;"")</f>
        <v/>
      </c>
      <c r="L135" s="109" t="str">
        <f>IF(Calculs!$BX$79="","",INDEX(Charge!$C:$C,Calculs!$BX$79+3)&amp;"")</f>
        <v/>
      </c>
      <c r="T135" s="109" t="str">
        <f>IF(Calculs!$BX$79="","",INDEX(Charge!$D:$D,Calculs!$BX$79+3)&amp;"")</f>
        <v/>
      </c>
      <c r="AB135" s="109" t="str">
        <f>IF(Calculs!$BX$79="","",INDEX(Charge!$A:$A,Calculs!$BX$79+3)&amp;"")</f>
        <v/>
      </c>
      <c r="AI135" s="110" t="str">
        <f>IF(Calculs!$BX$79="","",INDEX(Calculs!$ET$4:$ET$503,Calculs!$BX$79))</f>
        <v/>
      </c>
      <c r="AM135" s="111" t="str">
        <f>IF(Calculs!$BX$79="","",INDEX(Calculs!$EP$4:$EP$503,Calculs!$BX$79))</f>
        <v/>
      </c>
      <c r="AR135" s="112" t="str">
        <f>IF(Calculs!$BX$79="","",IF(Calculs!$AL$4=0,0,INDEX(Calculs!$EP$4:$EP$503,Calculs!$BX$79)/Calculs!$AL$4))</f>
        <v/>
      </c>
      <c r="AX135" s="113" t="str">
        <f>IF(Calculs!$BX$79="","",INDEX(Calculs!$EU$4:$EU$503,Calculs!$BX$79))</f>
        <v/>
      </c>
      <c r="BD135" s="114" t="str">
        <f>IF(Calculs!$BX$79="","",IF(INDEX(Calculs!$EW$4:$EW$503,Calculs!$BX$79)&gt;=2958465,"à planifier",INDEX(Calculs!$EW$4:$EW$503,Calculs!$BX$79)))</f>
        <v/>
      </c>
      <c r="BI135" s="16" t="n"/>
    </row>
    <row r="136" ht="16.5" customHeight="1">
      <c r="A136" s="16" t="n"/>
      <c r="B136" s="107" t="str">
        <f>IF(Calculs!$BX$80="","",Calculs!$BW$80)</f>
        <v/>
      </c>
      <c r="D136" s="108" t="str">
        <f>IF(Calculs!$BX$80="","",INDEX(Charge!$B:$B,Calculs!$BX$80+3)&amp;"")</f>
        <v/>
      </c>
      <c r="L136" s="109" t="str">
        <f>IF(Calculs!$BX$80="","",INDEX(Charge!$C:$C,Calculs!$BX$80+3)&amp;"")</f>
        <v/>
      </c>
      <c r="T136" s="109" t="str">
        <f>IF(Calculs!$BX$80="","",INDEX(Charge!$D:$D,Calculs!$BX$80+3)&amp;"")</f>
        <v/>
      </c>
      <c r="AB136" s="109" t="str">
        <f>IF(Calculs!$BX$80="","",INDEX(Charge!$A:$A,Calculs!$BX$80+3)&amp;"")</f>
        <v/>
      </c>
      <c r="AI136" s="110" t="str">
        <f>IF(Calculs!$BX$80="","",INDEX(Calculs!$ET$4:$ET$503,Calculs!$BX$80))</f>
        <v/>
      </c>
      <c r="AM136" s="111" t="str">
        <f>IF(Calculs!$BX$80="","",INDEX(Calculs!$EP$4:$EP$503,Calculs!$BX$80))</f>
        <v/>
      </c>
      <c r="AR136" s="112" t="str">
        <f>IF(Calculs!$BX$80="","",IF(Calculs!$AL$4=0,0,INDEX(Calculs!$EP$4:$EP$503,Calculs!$BX$80)/Calculs!$AL$4))</f>
        <v/>
      </c>
      <c r="AX136" s="113" t="str">
        <f>IF(Calculs!$BX$80="","",INDEX(Calculs!$EU$4:$EU$503,Calculs!$BX$80))</f>
        <v/>
      </c>
      <c r="BD136" s="114" t="str">
        <f>IF(Calculs!$BX$80="","",IF(INDEX(Calculs!$EW$4:$EW$503,Calculs!$BX$80)&gt;=2958465,"à planifier",INDEX(Calculs!$EW$4:$EW$503,Calculs!$BX$80)))</f>
        <v/>
      </c>
      <c r="BI136" s="16" t="n"/>
    </row>
    <row r="137" ht="16.5" customHeight="1">
      <c r="A137" s="16" t="n"/>
      <c r="B137" s="107" t="str">
        <f>IF(Calculs!$BX$81="","",Calculs!$BW$81)</f>
        <v/>
      </c>
      <c r="D137" s="108" t="str">
        <f>IF(Calculs!$BX$81="","",INDEX(Charge!$B:$B,Calculs!$BX$81+3)&amp;"")</f>
        <v/>
      </c>
      <c r="L137" s="109" t="str">
        <f>IF(Calculs!$BX$81="","",INDEX(Charge!$C:$C,Calculs!$BX$81+3)&amp;"")</f>
        <v/>
      </c>
      <c r="T137" s="109" t="str">
        <f>IF(Calculs!$BX$81="","",INDEX(Charge!$D:$D,Calculs!$BX$81+3)&amp;"")</f>
        <v/>
      </c>
      <c r="AB137" s="109" t="str">
        <f>IF(Calculs!$BX$81="","",INDEX(Charge!$A:$A,Calculs!$BX$81+3)&amp;"")</f>
        <v/>
      </c>
      <c r="AI137" s="110" t="str">
        <f>IF(Calculs!$BX$81="","",INDEX(Calculs!$ET$4:$ET$503,Calculs!$BX$81))</f>
        <v/>
      </c>
      <c r="AM137" s="111" t="str">
        <f>IF(Calculs!$BX$81="","",INDEX(Calculs!$EP$4:$EP$503,Calculs!$BX$81))</f>
        <v/>
      </c>
      <c r="AR137" s="112" t="str">
        <f>IF(Calculs!$BX$81="","",IF(Calculs!$AL$4=0,0,INDEX(Calculs!$EP$4:$EP$503,Calculs!$BX$81)/Calculs!$AL$4))</f>
        <v/>
      </c>
      <c r="AX137" s="113" t="str">
        <f>IF(Calculs!$BX$81="","",INDEX(Calculs!$EU$4:$EU$503,Calculs!$BX$81))</f>
        <v/>
      </c>
      <c r="BD137" s="114" t="str">
        <f>IF(Calculs!$BX$81="","",IF(INDEX(Calculs!$EW$4:$EW$503,Calculs!$BX$81)&gt;=2958465,"à planifier",INDEX(Calculs!$EW$4:$EW$503,Calculs!$BX$81)))</f>
        <v/>
      </c>
      <c r="BI137" s="16" t="n"/>
    </row>
    <row r="138" ht="16.5" customHeight="1">
      <c r="A138" s="16" t="n"/>
      <c r="B138" s="107" t="str">
        <f>IF(Calculs!$BX$82="","",Calculs!$BW$82)</f>
        <v/>
      </c>
      <c r="D138" s="108" t="str">
        <f>IF(Calculs!$BX$82="","",INDEX(Charge!$B:$B,Calculs!$BX$82+3)&amp;"")</f>
        <v/>
      </c>
      <c r="L138" s="109" t="str">
        <f>IF(Calculs!$BX$82="","",INDEX(Charge!$C:$C,Calculs!$BX$82+3)&amp;"")</f>
        <v/>
      </c>
      <c r="T138" s="109" t="str">
        <f>IF(Calculs!$BX$82="","",INDEX(Charge!$D:$D,Calculs!$BX$82+3)&amp;"")</f>
        <v/>
      </c>
      <c r="AB138" s="109" t="str">
        <f>IF(Calculs!$BX$82="","",INDEX(Charge!$A:$A,Calculs!$BX$82+3)&amp;"")</f>
        <v/>
      </c>
      <c r="AI138" s="110" t="str">
        <f>IF(Calculs!$BX$82="","",INDEX(Calculs!$ET$4:$ET$503,Calculs!$BX$82))</f>
        <v/>
      </c>
      <c r="AM138" s="111" t="str">
        <f>IF(Calculs!$BX$82="","",INDEX(Calculs!$EP$4:$EP$503,Calculs!$BX$82))</f>
        <v/>
      </c>
      <c r="AR138" s="112" t="str">
        <f>IF(Calculs!$BX$82="","",IF(Calculs!$AL$4=0,0,INDEX(Calculs!$EP$4:$EP$503,Calculs!$BX$82)/Calculs!$AL$4))</f>
        <v/>
      </c>
      <c r="AX138" s="113" t="str">
        <f>IF(Calculs!$BX$82="","",INDEX(Calculs!$EU$4:$EU$503,Calculs!$BX$82))</f>
        <v/>
      </c>
      <c r="BD138" s="114" t="str">
        <f>IF(Calculs!$BX$82="","",IF(INDEX(Calculs!$EW$4:$EW$503,Calculs!$BX$82)&gt;=2958465,"à planifier",INDEX(Calculs!$EW$4:$EW$503,Calculs!$BX$82)))</f>
        <v/>
      </c>
      <c r="BI138" s="16" t="n"/>
    </row>
    <row r="139" ht="16.5" customHeight="1">
      <c r="A139" s="16" t="n"/>
      <c r="B139" s="107" t="str">
        <f>IF(Calculs!$BX$83="","",Calculs!$BW$83)</f>
        <v/>
      </c>
      <c r="D139" s="108" t="str">
        <f>IF(Calculs!$BX$83="","",INDEX(Charge!$B:$B,Calculs!$BX$83+3)&amp;"")</f>
        <v/>
      </c>
      <c r="L139" s="109" t="str">
        <f>IF(Calculs!$BX$83="","",INDEX(Charge!$C:$C,Calculs!$BX$83+3)&amp;"")</f>
        <v/>
      </c>
      <c r="T139" s="109" t="str">
        <f>IF(Calculs!$BX$83="","",INDEX(Charge!$D:$D,Calculs!$BX$83+3)&amp;"")</f>
        <v/>
      </c>
      <c r="AB139" s="109" t="str">
        <f>IF(Calculs!$BX$83="","",INDEX(Charge!$A:$A,Calculs!$BX$83+3)&amp;"")</f>
        <v/>
      </c>
      <c r="AI139" s="110" t="str">
        <f>IF(Calculs!$BX$83="","",INDEX(Calculs!$ET$4:$ET$503,Calculs!$BX$83))</f>
        <v/>
      </c>
      <c r="AM139" s="111" t="str">
        <f>IF(Calculs!$BX$83="","",INDEX(Calculs!$EP$4:$EP$503,Calculs!$BX$83))</f>
        <v/>
      </c>
      <c r="AR139" s="112" t="str">
        <f>IF(Calculs!$BX$83="","",IF(Calculs!$AL$4=0,0,INDEX(Calculs!$EP$4:$EP$503,Calculs!$BX$83)/Calculs!$AL$4))</f>
        <v/>
      </c>
      <c r="AX139" s="113" t="str">
        <f>IF(Calculs!$BX$83="","",INDEX(Calculs!$EU$4:$EU$503,Calculs!$BX$83))</f>
        <v/>
      </c>
      <c r="BD139" s="114" t="str">
        <f>IF(Calculs!$BX$83="","",IF(INDEX(Calculs!$EW$4:$EW$503,Calculs!$BX$83)&gt;=2958465,"à planifier",INDEX(Calculs!$EW$4:$EW$503,Calculs!$BX$83)))</f>
        <v/>
      </c>
      <c r="BI139" s="16" t="n"/>
    </row>
    <row r="140" ht="16.5" customHeight="1">
      <c r="A140" s="16" t="n"/>
      <c r="B140" s="107" t="str">
        <f>IF(Calculs!$BX$84="","",Calculs!$BW$84)</f>
        <v/>
      </c>
      <c r="D140" s="108" t="str">
        <f>IF(Calculs!$BX$84="","",INDEX(Charge!$B:$B,Calculs!$BX$84+3)&amp;"")</f>
        <v/>
      </c>
      <c r="L140" s="109" t="str">
        <f>IF(Calculs!$BX$84="","",INDEX(Charge!$C:$C,Calculs!$BX$84+3)&amp;"")</f>
        <v/>
      </c>
      <c r="T140" s="109" t="str">
        <f>IF(Calculs!$BX$84="","",INDEX(Charge!$D:$D,Calculs!$BX$84+3)&amp;"")</f>
        <v/>
      </c>
      <c r="AB140" s="109" t="str">
        <f>IF(Calculs!$BX$84="","",INDEX(Charge!$A:$A,Calculs!$BX$84+3)&amp;"")</f>
        <v/>
      </c>
      <c r="AI140" s="110" t="str">
        <f>IF(Calculs!$BX$84="","",INDEX(Calculs!$ET$4:$ET$503,Calculs!$BX$84))</f>
        <v/>
      </c>
      <c r="AM140" s="111" t="str">
        <f>IF(Calculs!$BX$84="","",INDEX(Calculs!$EP$4:$EP$503,Calculs!$BX$84))</f>
        <v/>
      </c>
      <c r="AR140" s="112" t="str">
        <f>IF(Calculs!$BX$84="","",IF(Calculs!$AL$4=0,0,INDEX(Calculs!$EP$4:$EP$503,Calculs!$BX$84)/Calculs!$AL$4))</f>
        <v/>
      </c>
      <c r="AX140" s="113" t="str">
        <f>IF(Calculs!$BX$84="","",INDEX(Calculs!$EU$4:$EU$503,Calculs!$BX$84))</f>
        <v/>
      </c>
      <c r="BD140" s="114" t="str">
        <f>IF(Calculs!$BX$84="","",IF(INDEX(Calculs!$EW$4:$EW$503,Calculs!$BX$84)&gt;=2958465,"à planifier",INDEX(Calculs!$EW$4:$EW$503,Calculs!$BX$84)))</f>
        <v/>
      </c>
      <c r="BI140" s="16" t="n"/>
    </row>
    <row r="141" ht="16.5" customHeight="1">
      <c r="A141" s="16" t="n"/>
      <c r="B141" s="107" t="str">
        <f>IF(Calculs!$BX$85="","",Calculs!$BW$85)</f>
        <v/>
      </c>
      <c r="D141" s="108" t="str">
        <f>IF(Calculs!$BX$85="","",INDEX(Charge!$B:$B,Calculs!$BX$85+3)&amp;"")</f>
        <v/>
      </c>
      <c r="L141" s="109" t="str">
        <f>IF(Calculs!$BX$85="","",INDEX(Charge!$C:$C,Calculs!$BX$85+3)&amp;"")</f>
        <v/>
      </c>
      <c r="T141" s="109" t="str">
        <f>IF(Calculs!$BX$85="","",INDEX(Charge!$D:$D,Calculs!$BX$85+3)&amp;"")</f>
        <v/>
      </c>
      <c r="AB141" s="109" t="str">
        <f>IF(Calculs!$BX$85="","",INDEX(Charge!$A:$A,Calculs!$BX$85+3)&amp;"")</f>
        <v/>
      </c>
      <c r="AI141" s="110" t="str">
        <f>IF(Calculs!$BX$85="","",INDEX(Calculs!$ET$4:$ET$503,Calculs!$BX$85))</f>
        <v/>
      </c>
      <c r="AM141" s="111" t="str">
        <f>IF(Calculs!$BX$85="","",INDEX(Calculs!$EP$4:$EP$503,Calculs!$BX$85))</f>
        <v/>
      </c>
      <c r="AR141" s="112" t="str">
        <f>IF(Calculs!$BX$85="","",IF(Calculs!$AL$4=0,0,INDEX(Calculs!$EP$4:$EP$503,Calculs!$BX$85)/Calculs!$AL$4))</f>
        <v/>
      </c>
      <c r="AX141" s="113" t="str">
        <f>IF(Calculs!$BX$85="","",INDEX(Calculs!$EU$4:$EU$503,Calculs!$BX$85))</f>
        <v/>
      </c>
      <c r="BD141" s="114" t="str">
        <f>IF(Calculs!$BX$85="","",IF(INDEX(Calculs!$EW$4:$EW$503,Calculs!$BX$85)&gt;=2958465,"à planifier",INDEX(Calculs!$EW$4:$EW$503,Calculs!$BX$85)))</f>
        <v/>
      </c>
      <c r="BI141" s="16" t="n"/>
    </row>
    <row r="142" ht="16.5" customHeight="1">
      <c r="A142" s="16" t="n"/>
      <c r="B142" s="107" t="str">
        <f>IF(Calculs!$BX$86="","",Calculs!$BW$86)</f>
        <v/>
      </c>
      <c r="D142" s="108" t="str">
        <f>IF(Calculs!$BX$86="","",INDEX(Charge!$B:$B,Calculs!$BX$86+3)&amp;"")</f>
        <v/>
      </c>
      <c r="L142" s="109" t="str">
        <f>IF(Calculs!$BX$86="","",INDEX(Charge!$C:$C,Calculs!$BX$86+3)&amp;"")</f>
        <v/>
      </c>
      <c r="T142" s="109" t="str">
        <f>IF(Calculs!$BX$86="","",INDEX(Charge!$D:$D,Calculs!$BX$86+3)&amp;"")</f>
        <v/>
      </c>
      <c r="AB142" s="109" t="str">
        <f>IF(Calculs!$BX$86="","",INDEX(Charge!$A:$A,Calculs!$BX$86+3)&amp;"")</f>
        <v/>
      </c>
      <c r="AI142" s="110" t="str">
        <f>IF(Calculs!$BX$86="","",INDEX(Calculs!$ET$4:$ET$503,Calculs!$BX$86))</f>
        <v/>
      </c>
      <c r="AM142" s="111" t="str">
        <f>IF(Calculs!$BX$86="","",INDEX(Calculs!$EP$4:$EP$503,Calculs!$BX$86))</f>
        <v/>
      </c>
      <c r="AR142" s="112" t="str">
        <f>IF(Calculs!$BX$86="","",IF(Calculs!$AL$4=0,0,INDEX(Calculs!$EP$4:$EP$503,Calculs!$BX$86)/Calculs!$AL$4))</f>
        <v/>
      </c>
      <c r="AX142" s="113" t="str">
        <f>IF(Calculs!$BX$86="","",INDEX(Calculs!$EU$4:$EU$503,Calculs!$BX$86))</f>
        <v/>
      </c>
      <c r="BD142" s="114" t="str">
        <f>IF(Calculs!$BX$86="","",IF(INDEX(Calculs!$EW$4:$EW$503,Calculs!$BX$86)&gt;=2958465,"à planifier",INDEX(Calculs!$EW$4:$EW$503,Calculs!$BX$86)))</f>
        <v/>
      </c>
      <c r="BI142" s="16" t="n"/>
    </row>
    <row r="143" ht="16.5" customHeight="1">
      <c r="A143" s="16" t="n"/>
      <c r="B143" s="107" t="str">
        <f>IF(Calculs!$BX$87="","",Calculs!$BW$87)</f>
        <v/>
      </c>
      <c r="D143" s="108" t="str">
        <f>IF(Calculs!$BX$87="","",INDEX(Charge!$B:$B,Calculs!$BX$87+3)&amp;"")</f>
        <v/>
      </c>
      <c r="L143" s="109" t="str">
        <f>IF(Calculs!$BX$87="","",INDEX(Charge!$C:$C,Calculs!$BX$87+3)&amp;"")</f>
        <v/>
      </c>
      <c r="T143" s="109" t="str">
        <f>IF(Calculs!$BX$87="","",INDEX(Charge!$D:$D,Calculs!$BX$87+3)&amp;"")</f>
        <v/>
      </c>
      <c r="AB143" s="109" t="str">
        <f>IF(Calculs!$BX$87="","",INDEX(Charge!$A:$A,Calculs!$BX$87+3)&amp;"")</f>
        <v/>
      </c>
      <c r="AI143" s="110" t="str">
        <f>IF(Calculs!$BX$87="","",INDEX(Calculs!$ET$4:$ET$503,Calculs!$BX$87))</f>
        <v/>
      </c>
      <c r="AM143" s="111" t="str">
        <f>IF(Calculs!$BX$87="","",INDEX(Calculs!$EP$4:$EP$503,Calculs!$BX$87))</f>
        <v/>
      </c>
      <c r="AR143" s="112" t="str">
        <f>IF(Calculs!$BX$87="","",IF(Calculs!$AL$4=0,0,INDEX(Calculs!$EP$4:$EP$503,Calculs!$BX$87)/Calculs!$AL$4))</f>
        <v/>
      </c>
      <c r="AX143" s="113" t="str">
        <f>IF(Calculs!$BX$87="","",INDEX(Calculs!$EU$4:$EU$503,Calculs!$BX$87))</f>
        <v/>
      </c>
      <c r="BD143" s="114" t="str">
        <f>IF(Calculs!$BX$87="","",IF(INDEX(Calculs!$EW$4:$EW$503,Calculs!$BX$87)&gt;=2958465,"à planifier",INDEX(Calculs!$EW$4:$EW$503,Calculs!$BX$87)))</f>
        <v/>
      </c>
      <c r="BI143" s="16" t="n"/>
    </row>
    <row r="144" ht="16.5" customHeight="1">
      <c r="A144" s="16" t="n"/>
      <c r="B144" s="107" t="str">
        <f>IF(Calculs!$BX$88="","",Calculs!$BW$88)</f>
        <v/>
      </c>
      <c r="D144" s="108" t="str">
        <f>IF(Calculs!$BX$88="","",INDEX(Charge!$B:$B,Calculs!$BX$88+3)&amp;"")</f>
        <v/>
      </c>
      <c r="L144" s="109" t="str">
        <f>IF(Calculs!$BX$88="","",INDEX(Charge!$C:$C,Calculs!$BX$88+3)&amp;"")</f>
        <v/>
      </c>
      <c r="T144" s="109" t="str">
        <f>IF(Calculs!$BX$88="","",INDEX(Charge!$D:$D,Calculs!$BX$88+3)&amp;"")</f>
        <v/>
      </c>
      <c r="AB144" s="109" t="str">
        <f>IF(Calculs!$BX$88="","",INDEX(Charge!$A:$A,Calculs!$BX$88+3)&amp;"")</f>
        <v/>
      </c>
      <c r="AI144" s="110" t="str">
        <f>IF(Calculs!$BX$88="","",INDEX(Calculs!$ET$4:$ET$503,Calculs!$BX$88))</f>
        <v/>
      </c>
      <c r="AM144" s="111" t="str">
        <f>IF(Calculs!$BX$88="","",INDEX(Calculs!$EP$4:$EP$503,Calculs!$BX$88))</f>
        <v/>
      </c>
      <c r="AR144" s="112" t="str">
        <f>IF(Calculs!$BX$88="","",IF(Calculs!$AL$4=0,0,INDEX(Calculs!$EP$4:$EP$503,Calculs!$BX$88)/Calculs!$AL$4))</f>
        <v/>
      </c>
      <c r="AX144" s="113" t="str">
        <f>IF(Calculs!$BX$88="","",INDEX(Calculs!$EU$4:$EU$503,Calculs!$BX$88))</f>
        <v/>
      </c>
      <c r="BD144" s="114" t="str">
        <f>IF(Calculs!$BX$88="","",IF(INDEX(Calculs!$EW$4:$EW$503,Calculs!$BX$88)&gt;=2958465,"à planifier",INDEX(Calculs!$EW$4:$EW$503,Calculs!$BX$88)))</f>
        <v/>
      </c>
      <c r="BI144" s="16" t="n"/>
    </row>
    <row r="145" ht="16.5" customHeight="1">
      <c r="A145" s="16" t="n"/>
      <c r="B145" s="107" t="str">
        <f>IF(Calculs!$BX$89="","",Calculs!$BW$89)</f>
        <v/>
      </c>
      <c r="D145" s="108" t="str">
        <f>IF(Calculs!$BX$89="","",INDEX(Charge!$B:$B,Calculs!$BX$89+3)&amp;"")</f>
        <v/>
      </c>
      <c r="L145" s="109" t="str">
        <f>IF(Calculs!$BX$89="","",INDEX(Charge!$C:$C,Calculs!$BX$89+3)&amp;"")</f>
        <v/>
      </c>
      <c r="T145" s="109" t="str">
        <f>IF(Calculs!$BX$89="","",INDEX(Charge!$D:$D,Calculs!$BX$89+3)&amp;"")</f>
        <v/>
      </c>
      <c r="AB145" s="109" t="str">
        <f>IF(Calculs!$BX$89="","",INDEX(Charge!$A:$A,Calculs!$BX$89+3)&amp;"")</f>
        <v/>
      </c>
      <c r="AI145" s="110" t="str">
        <f>IF(Calculs!$BX$89="","",INDEX(Calculs!$ET$4:$ET$503,Calculs!$BX$89))</f>
        <v/>
      </c>
      <c r="AM145" s="111" t="str">
        <f>IF(Calculs!$BX$89="","",INDEX(Calculs!$EP$4:$EP$503,Calculs!$BX$89))</f>
        <v/>
      </c>
      <c r="AR145" s="112" t="str">
        <f>IF(Calculs!$BX$89="","",IF(Calculs!$AL$4=0,0,INDEX(Calculs!$EP$4:$EP$503,Calculs!$BX$89)/Calculs!$AL$4))</f>
        <v/>
      </c>
      <c r="AX145" s="113" t="str">
        <f>IF(Calculs!$BX$89="","",INDEX(Calculs!$EU$4:$EU$503,Calculs!$BX$89))</f>
        <v/>
      </c>
      <c r="BD145" s="114" t="str">
        <f>IF(Calculs!$BX$89="","",IF(INDEX(Calculs!$EW$4:$EW$503,Calculs!$BX$89)&gt;=2958465,"à planifier",INDEX(Calculs!$EW$4:$EW$503,Calculs!$BX$89)))</f>
        <v/>
      </c>
      <c r="BI145" s="16" t="n"/>
    </row>
    <row r="146" ht="16.5" customHeight="1">
      <c r="A146" s="16" t="n"/>
      <c r="B146" s="107" t="str">
        <f>IF(Calculs!$BX$90="","",Calculs!$BW$90)</f>
        <v/>
      </c>
      <c r="D146" s="108" t="str">
        <f>IF(Calculs!$BX$90="","",INDEX(Charge!$B:$B,Calculs!$BX$90+3)&amp;"")</f>
        <v/>
      </c>
      <c r="L146" s="109" t="str">
        <f>IF(Calculs!$BX$90="","",INDEX(Charge!$C:$C,Calculs!$BX$90+3)&amp;"")</f>
        <v/>
      </c>
      <c r="T146" s="109" t="str">
        <f>IF(Calculs!$BX$90="","",INDEX(Charge!$D:$D,Calculs!$BX$90+3)&amp;"")</f>
        <v/>
      </c>
      <c r="AB146" s="109" t="str">
        <f>IF(Calculs!$BX$90="","",INDEX(Charge!$A:$A,Calculs!$BX$90+3)&amp;"")</f>
        <v/>
      </c>
      <c r="AI146" s="110" t="str">
        <f>IF(Calculs!$BX$90="","",INDEX(Calculs!$ET$4:$ET$503,Calculs!$BX$90))</f>
        <v/>
      </c>
      <c r="AM146" s="111" t="str">
        <f>IF(Calculs!$BX$90="","",INDEX(Calculs!$EP$4:$EP$503,Calculs!$BX$90))</f>
        <v/>
      </c>
      <c r="AR146" s="112" t="str">
        <f>IF(Calculs!$BX$90="","",IF(Calculs!$AL$4=0,0,INDEX(Calculs!$EP$4:$EP$503,Calculs!$BX$90)/Calculs!$AL$4))</f>
        <v/>
      </c>
      <c r="AX146" s="113" t="str">
        <f>IF(Calculs!$BX$90="","",INDEX(Calculs!$EU$4:$EU$503,Calculs!$BX$90))</f>
        <v/>
      </c>
      <c r="BD146" s="114" t="str">
        <f>IF(Calculs!$BX$90="","",IF(INDEX(Calculs!$EW$4:$EW$503,Calculs!$BX$90)&gt;=2958465,"à planifier",INDEX(Calculs!$EW$4:$EW$503,Calculs!$BX$90)))</f>
        <v/>
      </c>
      <c r="BI146" s="16" t="n"/>
    </row>
    <row r="147" ht="16.5" customHeight="1">
      <c r="A147" s="16" t="n"/>
      <c r="B147" s="107" t="str">
        <f>IF(Calculs!$BX$91="","",Calculs!$BW$91)</f>
        <v/>
      </c>
      <c r="D147" s="108" t="str">
        <f>IF(Calculs!$BX$91="","",INDEX(Charge!$B:$B,Calculs!$BX$91+3)&amp;"")</f>
        <v/>
      </c>
      <c r="L147" s="109" t="str">
        <f>IF(Calculs!$BX$91="","",INDEX(Charge!$C:$C,Calculs!$BX$91+3)&amp;"")</f>
        <v/>
      </c>
      <c r="T147" s="109" t="str">
        <f>IF(Calculs!$BX$91="","",INDEX(Charge!$D:$D,Calculs!$BX$91+3)&amp;"")</f>
        <v/>
      </c>
      <c r="AB147" s="109" t="str">
        <f>IF(Calculs!$BX$91="","",INDEX(Charge!$A:$A,Calculs!$BX$91+3)&amp;"")</f>
        <v/>
      </c>
      <c r="AI147" s="110" t="str">
        <f>IF(Calculs!$BX$91="","",INDEX(Calculs!$ET$4:$ET$503,Calculs!$BX$91))</f>
        <v/>
      </c>
      <c r="AM147" s="111" t="str">
        <f>IF(Calculs!$BX$91="","",INDEX(Calculs!$EP$4:$EP$503,Calculs!$BX$91))</f>
        <v/>
      </c>
      <c r="AR147" s="112" t="str">
        <f>IF(Calculs!$BX$91="","",IF(Calculs!$AL$4=0,0,INDEX(Calculs!$EP$4:$EP$503,Calculs!$BX$91)/Calculs!$AL$4))</f>
        <v/>
      </c>
      <c r="AX147" s="113" t="str">
        <f>IF(Calculs!$BX$91="","",INDEX(Calculs!$EU$4:$EU$503,Calculs!$BX$91))</f>
        <v/>
      </c>
      <c r="BD147" s="114" t="str">
        <f>IF(Calculs!$BX$91="","",IF(INDEX(Calculs!$EW$4:$EW$503,Calculs!$BX$91)&gt;=2958465,"à planifier",INDEX(Calculs!$EW$4:$EW$503,Calculs!$BX$91)))</f>
        <v/>
      </c>
      <c r="BI147" s="16" t="n"/>
    </row>
    <row r="148" ht="16.5" customHeight="1">
      <c r="A148" s="16" t="n"/>
      <c r="B148" s="107" t="str">
        <f>IF(Calculs!$BX$92="","",Calculs!$BW$92)</f>
        <v/>
      </c>
      <c r="D148" s="108" t="str">
        <f>IF(Calculs!$BX$92="","",INDEX(Charge!$B:$B,Calculs!$BX$92+3)&amp;"")</f>
        <v/>
      </c>
      <c r="L148" s="109" t="str">
        <f>IF(Calculs!$BX$92="","",INDEX(Charge!$C:$C,Calculs!$BX$92+3)&amp;"")</f>
        <v/>
      </c>
      <c r="T148" s="109" t="str">
        <f>IF(Calculs!$BX$92="","",INDEX(Charge!$D:$D,Calculs!$BX$92+3)&amp;"")</f>
        <v/>
      </c>
      <c r="AB148" s="109" t="str">
        <f>IF(Calculs!$BX$92="","",INDEX(Charge!$A:$A,Calculs!$BX$92+3)&amp;"")</f>
        <v/>
      </c>
      <c r="AI148" s="110" t="str">
        <f>IF(Calculs!$BX$92="","",INDEX(Calculs!$ET$4:$ET$503,Calculs!$BX$92))</f>
        <v/>
      </c>
      <c r="AM148" s="111" t="str">
        <f>IF(Calculs!$BX$92="","",INDEX(Calculs!$EP$4:$EP$503,Calculs!$BX$92))</f>
        <v/>
      </c>
      <c r="AR148" s="112" t="str">
        <f>IF(Calculs!$BX$92="","",IF(Calculs!$AL$4=0,0,INDEX(Calculs!$EP$4:$EP$503,Calculs!$BX$92)/Calculs!$AL$4))</f>
        <v/>
      </c>
      <c r="AX148" s="113" t="str">
        <f>IF(Calculs!$BX$92="","",INDEX(Calculs!$EU$4:$EU$503,Calculs!$BX$92))</f>
        <v/>
      </c>
      <c r="BD148" s="114" t="str">
        <f>IF(Calculs!$BX$92="","",IF(INDEX(Calculs!$EW$4:$EW$503,Calculs!$BX$92)&gt;=2958465,"à planifier",INDEX(Calculs!$EW$4:$EW$503,Calculs!$BX$92)))</f>
        <v/>
      </c>
      <c r="BI148" s="16" t="n"/>
    </row>
    <row r="149" ht="16.5" customHeight="1">
      <c r="A149" s="16" t="n"/>
      <c r="B149" s="107" t="str">
        <f>IF(Calculs!$BX$93="","",Calculs!$BW$93)</f>
        <v/>
      </c>
      <c r="D149" s="108" t="str">
        <f>IF(Calculs!$BX$93="","",INDEX(Charge!$B:$B,Calculs!$BX$93+3)&amp;"")</f>
        <v/>
      </c>
      <c r="L149" s="109" t="str">
        <f>IF(Calculs!$BX$93="","",INDEX(Charge!$C:$C,Calculs!$BX$93+3)&amp;"")</f>
        <v/>
      </c>
      <c r="T149" s="109" t="str">
        <f>IF(Calculs!$BX$93="","",INDEX(Charge!$D:$D,Calculs!$BX$93+3)&amp;"")</f>
        <v/>
      </c>
      <c r="AB149" s="109" t="str">
        <f>IF(Calculs!$BX$93="","",INDEX(Charge!$A:$A,Calculs!$BX$93+3)&amp;"")</f>
        <v/>
      </c>
      <c r="AI149" s="110" t="str">
        <f>IF(Calculs!$BX$93="","",INDEX(Calculs!$ET$4:$ET$503,Calculs!$BX$93))</f>
        <v/>
      </c>
      <c r="AM149" s="111" t="str">
        <f>IF(Calculs!$BX$93="","",INDEX(Calculs!$EP$4:$EP$503,Calculs!$BX$93))</f>
        <v/>
      </c>
      <c r="AR149" s="112" t="str">
        <f>IF(Calculs!$BX$93="","",IF(Calculs!$AL$4=0,0,INDEX(Calculs!$EP$4:$EP$503,Calculs!$BX$93)/Calculs!$AL$4))</f>
        <v/>
      </c>
      <c r="AX149" s="113" t="str">
        <f>IF(Calculs!$BX$93="","",INDEX(Calculs!$EU$4:$EU$503,Calculs!$BX$93))</f>
        <v/>
      </c>
      <c r="BD149" s="114" t="str">
        <f>IF(Calculs!$BX$93="","",IF(INDEX(Calculs!$EW$4:$EW$503,Calculs!$BX$93)&gt;=2958465,"à planifier",INDEX(Calculs!$EW$4:$EW$503,Calculs!$BX$93)))</f>
        <v/>
      </c>
      <c r="BI149" s="16" t="n"/>
    </row>
    <row r="150" ht="16.5" customHeight="1">
      <c r="A150" s="16" t="n"/>
      <c r="B150" s="107" t="str">
        <f>IF(Calculs!$BX$94="","",Calculs!$BW$94)</f>
        <v/>
      </c>
      <c r="D150" s="108" t="str">
        <f>IF(Calculs!$BX$94="","",INDEX(Charge!$B:$B,Calculs!$BX$94+3)&amp;"")</f>
        <v/>
      </c>
      <c r="L150" s="109" t="str">
        <f>IF(Calculs!$BX$94="","",INDEX(Charge!$C:$C,Calculs!$BX$94+3)&amp;"")</f>
        <v/>
      </c>
      <c r="T150" s="109" t="str">
        <f>IF(Calculs!$BX$94="","",INDEX(Charge!$D:$D,Calculs!$BX$94+3)&amp;"")</f>
        <v/>
      </c>
      <c r="AB150" s="109" t="str">
        <f>IF(Calculs!$BX$94="","",INDEX(Charge!$A:$A,Calculs!$BX$94+3)&amp;"")</f>
        <v/>
      </c>
      <c r="AI150" s="110" t="str">
        <f>IF(Calculs!$BX$94="","",INDEX(Calculs!$ET$4:$ET$503,Calculs!$BX$94))</f>
        <v/>
      </c>
      <c r="AM150" s="111" t="str">
        <f>IF(Calculs!$BX$94="","",INDEX(Calculs!$EP$4:$EP$503,Calculs!$BX$94))</f>
        <v/>
      </c>
      <c r="AR150" s="112" t="str">
        <f>IF(Calculs!$BX$94="","",IF(Calculs!$AL$4=0,0,INDEX(Calculs!$EP$4:$EP$503,Calculs!$BX$94)/Calculs!$AL$4))</f>
        <v/>
      </c>
      <c r="AX150" s="113" t="str">
        <f>IF(Calculs!$BX$94="","",INDEX(Calculs!$EU$4:$EU$503,Calculs!$BX$94))</f>
        <v/>
      </c>
      <c r="BD150" s="114" t="str">
        <f>IF(Calculs!$BX$94="","",IF(INDEX(Calculs!$EW$4:$EW$503,Calculs!$BX$94)&gt;=2958465,"à planifier",INDEX(Calculs!$EW$4:$EW$503,Calculs!$BX$94)))</f>
        <v/>
      </c>
      <c r="BI150" s="16" t="n"/>
    </row>
    <row r="151" ht="16.5" customHeight="1">
      <c r="A151" s="16" t="n"/>
      <c r="B151" s="107" t="str">
        <f>IF(Calculs!$BX$95="","",Calculs!$BW$95)</f>
        <v/>
      </c>
      <c r="D151" s="108" t="str">
        <f>IF(Calculs!$BX$95="","",INDEX(Charge!$B:$B,Calculs!$BX$95+3)&amp;"")</f>
        <v/>
      </c>
      <c r="L151" s="109" t="str">
        <f>IF(Calculs!$BX$95="","",INDEX(Charge!$C:$C,Calculs!$BX$95+3)&amp;"")</f>
        <v/>
      </c>
      <c r="T151" s="109" t="str">
        <f>IF(Calculs!$BX$95="","",INDEX(Charge!$D:$D,Calculs!$BX$95+3)&amp;"")</f>
        <v/>
      </c>
      <c r="AB151" s="109" t="str">
        <f>IF(Calculs!$BX$95="","",INDEX(Charge!$A:$A,Calculs!$BX$95+3)&amp;"")</f>
        <v/>
      </c>
      <c r="AI151" s="110" t="str">
        <f>IF(Calculs!$BX$95="","",INDEX(Calculs!$ET$4:$ET$503,Calculs!$BX$95))</f>
        <v/>
      </c>
      <c r="AM151" s="111" t="str">
        <f>IF(Calculs!$BX$95="","",INDEX(Calculs!$EP$4:$EP$503,Calculs!$BX$95))</f>
        <v/>
      </c>
      <c r="AR151" s="112" t="str">
        <f>IF(Calculs!$BX$95="","",IF(Calculs!$AL$4=0,0,INDEX(Calculs!$EP$4:$EP$503,Calculs!$BX$95)/Calculs!$AL$4))</f>
        <v/>
      </c>
      <c r="AX151" s="113" t="str">
        <f>IF(Calculs!$BX$95="","",INDEX(Calculs!$EU$4:$EU$503,Calculs!$BX$95))</f>
        <v/>
      </c>
      <c r="BD151" s="114" t="str">
        <f>IF(Calculs!$BX$95="","",IF(INDEX(Calculs!$EW$4:$EW$503,Calculs!$BX$95)&gt;=2958465,"à planifier",INDEX(Calculs!$EW$4:$EW$503,Calculs!$BX$95)))</f>
        <v/>
      </c>
      <c r="BI151" s="16" t="n"/>
    </row>
    <row r="152" ht="16.5" customHeight="1">
      <c r="A152" s="16" t="n"/>
      <c r="B152" s="107" t="str">
        <f>IF(Calculs!$BX$96="","",Calculs!$BW$96)</f>
        <v/>
      </c>
      <c r="D152" s="108" t="str">
        <f>IF(Calculs!$BX$96="","",INDEX(Charge!$B:$B,Calculs!$BX$96+3)&amp;"")</f>
        <v/>
      </c>
      <c r="L152" s="109" t="str">
        <f>IF(Calculs!$BX$96="","",INDEX(Charge!$C:$C,Calculs!$BX$96+3)&amp;"")</f>
        <v/>
      </c>
      <c r="T152" s="109" t="str">
        <f>IF(Calculs!$BX$96="","",INDEX(Charge!$D:$D,Calculs!$BX$96+3)&amp;"")</f>
        <v/>
      </c>
      <c r="AB152" s="109" t="str">
        <f>IF(Calculs!$BX$96="","",INDEX(Charge!$A:$A,Calculs!$BX$96+3)&amp;"")</f>
        <v/>
      </c>
      <c r="AI152" s="110" t="str">
        <f>IF(Calculs!$BX$96="","",INDEX(Calculs!$ET$4:$ET$503,Calculs!$BX$96))</f>
        <v/>
      </c>
      <c r="AM152" s="111" t="str">
        <f>IF(Calculs!$BX$96="","",INDEX(Calculs!$EP$4:$EP$503,Calculs!$BX$96))</f>
        <v/>
      </c>
      <c r="AR152" s="112" t="str">
        <f>IF(Calculs!$BX$96="","",IF(Calculs!$AL$4=0,0,INDEX(Calculs!$EP$4:$EP$503,Calculs!$BX$96)/Calculs!$AL$4))</f>
        <v/>
      </c>
      <c r="AX152" s="113" t="str">
        <f>IF(Calculs!$BX$96="","",INDEX(Calculs!$EU$4:$EU$503,Calculs!$BX$96))</f>
        <v/>
      </c>
      <c r="BD152" s="114" t="str">
        <f>IF(Calculs!$BX$96="","",IF(INDEX(Calculs!$EW$4:$EW$503,Calculs!$BX$96)&gt;=2958465,"à planifier",INDEX(Calculs!$EW$4:$EW$503,Calculs!$BX$96)))</f>
        <v/>
      </c>
      <c r="BI152" s="16" t="n"/>
    </row>
    <row r="153" ht="16.5" customHeight="1">
      <c r="A153" s="16" t="n"/>
      <c r="B153" s="107" t="str">
        <f>IF(Calculs!$BX$97="","",Calculs!$BW$97)</f>
        <v/>
      </c>
      <c r="D153" s="108" t="str">
        <f>IF(Calculs!$BX$97="","",INDEX(Charge!$B:$B,Calculs!$BX$97+3)&amp;"")</f>
        <v/>
      </c>
      <c r="L153" s="109" t="str">
        <f>IF(Calculs!$BX$97="","",INDEX(Charge!$C:$C,Calculs!$BX$97+3)&amp;"")</f>
        <v/>
      </c>
      <c r="T153" s="109" t="str">
        <f>IF(Calculs!$BX$97="","",INDEX(Charge!$D:$D,Calculs!$BX$97+3)&amp;"")</f>
        <v/>
      </c>
      <c r="AB153" s="109" t="str">
        <f>IF(Calculs!$BX$97="","",INDEX(Charge!$A:$A,Calculs!$BX$97+3)&amp;"")</f>
        <v/>
      </c>
      <c r="AI153" s="110" t="str">
        <f>IF(Calculs!$BX$97="","",INDEX(Calculs!$ET$4:$ET$503,Calculs!$BX$97))</f>
        <v/>
      </c>
      <c r="AM153" s="111" t="str">
        <f>IF(Calculs!$BX$97="","",INDEX(Calculs!$EP$4:$EP$503,Calculs!$BX$97))</f>
        <v/>
      </c>
      <c r="AR153" s="112" t="str">
        <f>IF(Calculs!$BX$97="","",IF(Calculs!$AL$4=0,0,INDEX(Calculs!$EP$4:$EP$503,Calculs!$BX$97)/Calculs!$AL$4))</f>
        <v/>
      </c>
      <c r="AX153" s="113" t="str">
        <f>IF(Calculs!$BX$97="","",INDEX(Calculs!$EU$4:$EU$503,Calculs!$BX$97))</f>
        <v/>
      </c>
      <c r="BD153" s="114" t="str">
        <f>IF(Calculs!$BX$97="","",IF(INDEX(Calculs!$EW$4:$EW$503,Calculs!$BX$97)&gt;=2958465,"à planifier",INDEX(Calculs!$EW$4:$EW$503,Calculs!$BX$97)))</f>
        <v/>
      </c>
      <c r="BI153" s="16" t="n"/>
    </row>
    <row r="154" ht="16.5" customHeight="1">
      <c r="A154" s="16" t="n"/>
      <c r="B154" s="107" t="str">
        <f>IF(Calculs!$BX$98="","",Calculs!$BW$98)</f>
        <v/>
      </c>
      <c r="D154" s="108" t="str">
        <f>IF(Calculs!$BX$98="","",INDEX(Charge!$B:$B,Calculs!$BX$98+3)&amp;"")</f>
        <v/>
      </c>
      <c r="L154" s="109" t="str">
        <f>IF(Calculs!$BX$98="","",INDEX(Charge!$C:$C,Calculs!$BX$98+3)&amp;"")</f>
        <v/>
      </c>
      <c r="T154" s="109" t="str">
        <f>IF(Calculs!$BX$98="","",INDEX(Charge!$D:$D,Calculs!$BX$98+3)&amp;"")</f>
        <v/>
      </c>
      <c r="AB154" s="109" t="str">
        <f>IF(Calculs!$BX$98="","",INDEX(Charge!$A:$A,Calculs!$BX$98+3)&amp;"")</f>
        <v/>
      </c>
      <c r="AI154" s="110" t="str">
        <f>IF(Calculs!$BX$98="","",INDEX(Calculs!$ET$4:$ET$503,Calculs!$BX$98))</f>
        <v/>
      </c>
      <c r="AM154" s="111" t="str">
        <f>IF(Calculs!$BX$98="","",INDEX(Calculs!$EP$4:$EP$503,Calculs!$BX$98))</f>
        <v/>
      </c>
      <c r="AR154" s="112" t="str">
        <f>IF(Calculs!$BX$98="","",IF(Calculs!$AL$4=0,0,INDEX(Calculs!$EP$4:$EP$503,Calculs!$BX$98)/Calculs!$AL$4))</f>
        <v/>
      </c>
      <c r="AX154" s="113" t="str">
        <f>IF(Calculs!$BX$98="","",INDEX(Calculs!$EU$4:$EU$503,Calculs!$BX$98))</f>
        <v/>
      </c>
      <c r="BD154" s="114" t="str">
        <f>IF(Calculs!$BX$98="","",IF(INDEX(Calculs!$EW$4:$EW$503,Calculs!$BX$98)&gt;=2958465,"à planifier",INDEX(Calculs!$EW$4:$EW$503,Calculs!$BX$98)))</f>
        <v/>
      </c>
      <c r="BI154" s="16" t="n"/>
    </row>
    <row r="155" ht="16.5" customHeight="1">
      <c r="A155" s="16" t="n"/>
      <c r="B155" s="107" t="str">
        <f>IF(Calculs!$BX$99="","",Calculs!$BW$99)</f>
        <v/>
      </c>
      <c r="D155" s="108" t="str">
        <f>IF(Calculs!$BX$99="","",INDEX(Charge!$B:$B,Calculs!$BX$99+3)&amp;"")</f>
        <v/>
      </c>
      <c r="L155" s="109" t="str">
        <f>IF(Calculs!$BX$99="","",INDEX(Charge!$C:$C,Calculs!$BX$99+3)&amp;"")</f>
        <v/>
      </c>
      <c r="T155" s="109" t="str">
        <f>IF(Calculs!$BX$99="","",INDEX(Charge!$D:$D,Calculs!$BX$99+3)&amp;"")</f>
        <v/>
      </c>
      <c r="AB155" s="109" t="str">
        <f>IF(Calculs!$BX$99="","",INDEX(Charge!$A:$A,Calculs!$BX$99+3)&amp;"")</f>
        <v/>
      </c>
      <c r="AI155" s="110" t="str">
        <f>IF(Calculs!$BX$99="","",INDEX(Calculs!$ET$4:$ET$503,Calculs!$BX$99))</f>
        <v/>
      </c>
      <c r="AM155" s="111" t="str">
        <f>IF(Calculs!$BX$99="","",INDEX(Calculs!$EP$4:$EP$503,Calculs!$BX$99))</f>
        <v/>
      </c>
      <c r="AR155" s="112" t="str">
        <f>IF(Calculs!$BX$99="","",IF(Calculs!$AL$4=0,0,INDEX(Calculs!$EP$4:$EP$503,Calculs!$BX$99)/Calculs!$AL$4))</f>
        <v/>
      </c>
      <c r="AX155" s="113" t="str">
        <f>IF(Calculs!$BX$99="","",INDEX(Calculs!$EU$4:$EU$503,Calculs!$BX$99))</f>
        <v/>
      </c>
      <c r="BD155" s="114" t="str">
        <f>IF(Calculs!$BX$99="","",IF(INDEX(Calculs!$EW$4:$EW$503,Calculs!$BX$99)&gt;=2958465,"à planifier",INDEX(Calculs!$EW$4:$EW$503,Calculs!$BX$99)))</f>
        <v/>
      </c>
      <c r="BI155" s="16" t="n"/>
    </row>
    <row r="156" ht="16.5" customHeight="1">
      <c r="A156" s="16" t="n"/>
      <c r="B156" s="107" t="str">
        <f>IF(Calculs!$BX$100="","",Calculs!$BW$100)</f>
        <v/>
      </c>
      <c r="D156" s="108" t="str">
        <f>IF(Calculs!$BX$100="","",INDEX(Charge!$B:$B,Calculs!$BX$100+3)&amp;"")</f>
        <v/>
      </c>
      <c r="L156" s="109" t="str">
        <f>IF(Calculs!$BX$100="","",INDEX(Charge!$C:$C,Calculs!$BX$100+3)&amp;"")</f>
        <v/>
      </c>
      <c r="T156" s="109" t="str">
        <f>IF(Calculs!$BX$100="","",INDEX(Charge!$D:$D,Calculs!$BX$100+3)&amp;"")</f>
        <v/>
      </c>
      <c r="AB156" s="109" t="str">
        <f>IF(Calculs!$BX$100="","",INDEX(Charge!$A:$A,Calculs!$BX$100+3)&amp;"")</f>
        <v/>
      </c>
      <c r="AI156" s="110" t="str">
        <f>IF(Calculs!$BX$100="","",INDEX(Calculs!$ET$4:$ET$503,Calculs!$BX$100))</f>
        <v/>
      </c>
      <c r="AM156" s="111" t="str">
        <f>IF(Calculs!$BX$100="","",INDEX(Calculs!$EP$4:$EP$503,Calculs!$BX$100))</f>
        <v/>
      </c>
      <c r="AR156" s="112" t="str">
        <f>IF(Calculs!$BX$100="","",IF(Calculs!$AL$4=0,0,INDEX(Calculs!$EP$4:$EP$503,Calculs!$BX$100)/Calculs!$AL$4))</f>
        <v/>
      </c>
      <c r="AX156" s="113" t="str">
        <f>IF(Calculs!$BX$100="","",INDEX(Calculs!$EU$4:$EU$503,Calculs!$BX$100))</f>
        <v/>
      </c>
      <c r="BD156" s="114" t="str">
        <f>IF(Calculs!$BX$100="","",IF(INDEX(Calculs!$EW$4:$EW$503,Calculs!$BX$100)&gt;=2958465,"à planifier",INDEX(Calculs!$EW$4:$EW$503,Calculs!$BX$100)))</f>
        <v/>
      </c>
      <c r="BI156" s="16" t="n"/>
    </row>
    <row r="157" ht="16.5" customHeight="1">
      <c r="A157" s="16" t="n"/>
      <c r="B157" s="107" t="str">
        <f>IF(Calculs!$BX$101="","",Calculs!$BW$101)</f>
        <v/>
      </c>
      <c r="D157" s="108" t="str">
        <f>IF(Calculs!$BX$101="","",INDEX(Charge!$B:$B,Calculs!$BX$101+3)&amp;"")</f>
        <v/>
      </c>
      <c r="L157" s="109" t="str">
        <f>IF(Calculs!$BX$101="","",INDEX(Charge!$C:$C,Calculs!$BX$101+3)&amp;"")</f>
        <v/>
      </c>
      <c r="T157" s="109" t="str">
        <f>IF(Calculs!$BX$101="","",INDEX(Charge!$D:$D,Calculs!$BX$101+3)&amp;"")</f>
        <v/>
      </c>
      <c r="AB157" s="109" t="str">
        <f>IF(Calculs!$BX$101="","",INDEX(Charge!$A:$A,Calculs!$BX$101+3)&amp;"")</f>
        <v/>
      </c>
      <c r="AI157" s="110" t="str">
        <f>IF(Calculs!$BX$101="","",INDEX(Calculs!$ET$4:$ET$503,Calculs!$BX$101))</f>
        <v/>
      </c>
      <c r="AM157" s="111" t="str">
        <f>IF(Calculs!$BX$101="","",INDEX(Calculs!$EP$4:$EP$503,Calculs!$BX$101))</f>
        <v/>
      </c>
      <c r="AR157" s="112" t="str">
        <f>IF(Calculs!$BX$101="","",IF(Calculs!$AL$4=0,0,INDEX(Calculs!$EP$4:$EP$503,Calculs!$BX$101)/Calculs!$AL$4))</f>
        <v/>
      </c>
      <c r="AX157" s="113" t="str">
        <f>IF(Calculs!$BX$101="","",INDEX(Calculs!$EU$4:$EU$503,Calculs!$BX$101))</f>
        <v/>
      </c>
      <c r="BD157" s="114" t="str">
        <f>IF(Calculs!$BX$101="","",IF(INDEX(Calculs!$EW$4:$EW$503,Calculs!$BX$101)&gt;=2958465,"à planifier",INDEX(Calculs!$EW$4:$EW$503,Calculs!$BX$101)))</f>
        <v/>
      </c>
      <c r="BI157" s="16" t="n"/>
    </row>
    <row r="158" ht="16.5" customHeight="1">
      <c r="A158" s="16" t="n"/>
      <c r="B158" s="107" t="str">
        <f>IF(Calculs!$BX$102="","",Calculs!$BW$102)</f>
        <v/>
      </c>
      <c r="D158" s="108" t="str">
        <f>IF(Calculs!$BX$102="","",INDEX(Charge!$B:$B,Calculs!$BX$102+3)&amp;"")</f>
        <v/>
      </c>
      <c r="L158" s="109" t="str">
        <f>IF(Calculs!$BX$102="","",INDEX(Charge!$C:$C,Calculs!$BX$102+3)&amp;"")</f>
        <v/>
      </c>
      <c r="T158" s="109" t="str">
        <f>IF(Calculs!$BX$102="","",INDEX(Charge!$D:$D,Calculs!$BX$102+3)&amp;"")</f>
        <v/>
      </c>
      <c r="AB158" s="109" t="str">
        <f>IF(Calculs!$BX$102="","",INDEX(Charge!$A:$A,Calculs!$BX$102+3)&amp;"")</f>
        <v/>
      </c>
      <c r="AI158" s="110" t="str">
        <f>IF(Calculs!$BX$102="","",INDEX(Calculs!$ET$4:$ET$503,Calculs!$BX$102))</f>
        <v/>
      </c>
      <c r="AM158" s="111" t="str">
        <f>IF(Calculs!$BX$102="","",INDEX(Calculs!$EP$4:$EP$503,Calculs!$BX$102))</f>
        <v/>
      </c>
      <c r="AR158" s="112" t="str">
        <f>IF(Calculs!$BX$102="","",IF(Calculs!$AL$4=0,0,INDEX(Calculs!$EP$4:$EP$503,Calculs!$BX$102)/Calculs!$AL$4))</f>
        <v/>
      </c>
      <c r="AX158" s="113" t="str">
        <f>IF(Calculs!$BX$102="","",INDEX(Calculs!$EU$4:$EU$503,Calculs!$BX$102))</f>
        <v/>
      </c>
      <c r="BD158" s="114" t="str">
        <f>IF(Calculs!$BX$102="","",IF(INDEX(Calculs!$EW$4:$EW$503,Calculs!$BX$102)&gt;=2958465,"à planifier",INDEX(Calculs!$EW$4:$EW$503,Calculs!$BX$102)))</f>
        <v/>
      </c>
      <c r="BI158" s="16" t="n"/>
    </row>
    <row r="159" ht="16.5" customHeight="1">
      <c r="A159" s="16" t="n"/>
      <c r="B159" s="107" t="str">
        <f>IF(Calculs!$BX$103="","",Calculs!$BW$103)</f>
        <v/>
      </c>
      <c r="D159" s="108" t="str">
        <f>IF(Calculs!$BX$103="","",INDEX(Charge!$B:$B,Calculs!$BX$103+3)&amp;"")</f>
        <v/>
      </c>
      <c r="L159" s="109" t="str">
        <f>IF(Calculs!$BX$103="","",INDEX(Charge!$C:$C,Calculs!$BX$103+3)&amp;"")</f>
        <v/>
      </c>
      <c r="T159" s="109" t="str">
        <f>IF(Calculs!$BX$103="","",INDEX(Charge!$D:$D,Calculs!$BX$103+3)&amp;"")</f>
        <v/>
      </c>
      <c r="AB159" s="109" t="str">
        <f>IF(Calculs!$BX$103="","",INDEX(Charge!$A:$A,Calculs!$BX$103+3)&amp;"")</f>
        <v/>
      </c>
      <c r="AI159" s="110" t="str">
        <f>IF(Calculs!$BX$103="","",INDEX(Calculs!$ET$4:$ET$503,Calculs!$BX$103))</f>
        <v/>
      </c>
      <c r="AM159" s="111" t="str">
        <f>IF(Calculs!$BX$103="","",INDEX(Calculs!$EP$4:$EP$503,Calculs!$BX$103))</f>
        <v/>
      </c>
      <c r="AR159" s="112" t="str">
        <f>IF(Calculs!$BX$103="","",IF(Calculs!$AL$4=0,0,INDEX(Calculs!$EP$4:$EP$503,Calculs!$BX$103)/Calculs!$AL$4))</f>
        <v/>
      </c>
      <c r="AX159" s="113" t="str">
        <f>IF(Calculs!$BX$103="","",INDEX(Calculs!$EU$4:$EU$503,Calculs!$BX$103))</f>
        <v/>
      </c>
      <c r="BD159" s="114" t="str">
        <f>IF(Calculs!$BX$103="","",IF(INDEX(Calculs!$EW$4:$EW$503,Calculs!$BX$103)&gt;=2958465,"à planifier",INDEX(Calculs!$EW$4:$EW$503,Calculs!$BX$103)))</f>
        <v/>
      </c>
      <c r="BI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c r="AE160" s="16" t="n"/>
      <c r="AF160" s="16" t="n"/>
      <c r="AG160" s="16" t="n"/>
      <c r="AH160" s="16" t="n"/>
      <c r="AI160" s="16" t="n"/>
      <c r="AJ160" s="16" t="n"/>
      <c r="AK160" s="16" t="n"/>
      <c r="AL160" s="16" t="n"/>
      <c r="AM160" s="16" t="n"/>
      <c r="AN160" s="16" t="n"/>
      <c r="AO160" s="16" t="n"/>
      <c r="AP160" s="16" t="n"/>
      <c r="AQ160" s="16" t="n"/>
      <c r="AR160" s="16" t="n"/>
      <c r="AS160" s="16" t="n"/>
      <c r="AT160" s="16" t="n"/>
      <c r="AU160" s="16" t="n"/>
      <c r="AV160" s="16" t="n"/>
      <c r="AW160" s="16" t="n"/>
      <c r="AX160" s="16" t="n"/>
      <c r="AY160" s="16" t="n"/>
      <c r="AZ160" s="16" t="n"/>
      <c r="BA160" s="16" t="n"/>
      <c r="BB160" s="16" t="n"/>
      <c r="BC160" s="16" t="n"/>
      <c r="BD160" s="16" t="n"/>
      <c r="BE160" s="16" t="n"/>
      <c r="BF160" s="16" t="n"/>
      <c r="BG160" s="16" t="n"/>
      <c r="BH160" s="16" t="n"/>
      <c r="BI160" s="16" t="n"/>
    </row>
    <row r="161">
      <c r="A161" s="16" t="n"/>
      <c r="B161" s="115" t="str">
        <f>TRIM(IF(Calculs!$AL$5&gt;100,"Attention : seules les 100 premières affaires (par charge) sont listées sur "&amp;Calculs!$AL$5&amp;".  ","")&amp;IF(Calculs!$CD$27&gt;0,"Attention : "&amp;Calculs!$CD$27&amp;" ligne(s) de l'onglet Charge ont à la fois un dessinateur (K) et une ressource externe (L) : une seule ressource par ligne.",""))</f>
        <v/>
      </c>
      <c r="BI161" s="16" t="n"/>
    </row>
    <row r="162">
      <c r="A162" s="16" t="n"/>
      <c r="B162" s="116" t="inlineStr">
        <is>
          <t>Affaire = un sous-projet (projet + sous-projet + produit) : les lignes de ses ressources sont additionnées ; chef de projet affiché = celui de sa 1re ligne ; avancement = moyenne de ses lignes pondérée par leurs heures.</t>
        </is>
      </c>
      <c r="BI162" s="16" t="n"/>
    </row>
    <row r="163">
      <c r="A163" s="16" t="n"/>
      <c r="B163" s="116" t="inlineStr">
        <is>
          <t>En cours = ligne dont l'avancement (O) est inférieur à 100 % : une ressource qui a terminé sa part sort du périmètre « Projets en cours », même si d'autres ressources continuent l'affaire.</t>
        </is>
      </c>
      <c r="BI163" s="16" t="n"/>
    </row>
    <row r="164">
      <c r="A164" s="16" t="n"/>
      <c r="B164" s="116" t="inlineStr">
        <is>
          <t>Charge par mois : les heures (M) sont réparties au prorata des jours ouvrés (lundi au vendredi, hors jours non travaillés de l'onglet Data) entre le début planifié (N) et la date de besoin (F) ; sans date de besoin valable, tout va sur le mois de début.</t>
        </is>
      </c>
      <c r="BI164" s="16" t="n"/>
    </row>
    <row r="165">
      <c r="A165" s="16" t="n"/>
      <c r="B165" s="116" t="inlineStr">
        <is>
          <t>Au-delà de 9 projets, les plus petits sont regroupés en « Autres projets » (gris) dans les graphiques.</t>
        </is>
      </c>
      <c r="BI165" s="16" t="n"/>
    </row>
    <row r="166">
      <c r="A166" s="16" t="n"/>
      <c r="B166" s="116" t="inlineStr">
        <is>
          <t>ETP = heures de projet ÷ (capacité − charge fixe hors projet) d'une personne sur un mois, soit 100 h avec les valeurs par défaut (120 h − 20 h, réglables en haut de page).  Charge par ressource : onglet Dessinateurs.</t>
        </is>
      </c>
      <c r="BI166" s="16" t="n"/>
    </row>
  </sheetData>
  <mergeCells count="1165">
    <mergeCell ref="AX61:BC61"/>
    <mergeCell ref="L95:S95"/>
    <mergeCell ref="AM126:AQ126"/>
    <mergeCell ref="D144:K144"/>
    <mergeCell ref="AM109:AQ109"/>
    <mergeCell ref="L131:S131"/>
    <mergeCell ref="B141:C141"/>
    <mergeCell ref="D119:K119"/>
    <mergeCell ref="AI143:AL143"/>
    <mergeCell ref="AR128:AW128"/>
    <mergeCell ref="L103:S103"/>
    <mergeCell ref="T134:AA134"/>
    <mergeCell ref="L97:S97"/>
    <mergeCell ref="BD131:BH131"/>
    <mergeCell ref="B163:BH163"/>
    <mergeCell ref="AI136:AL136"/>
    <mergeCell ref="AI45:AU46"/>
    <mergeCell ref="BD73:BH73"/>
    <mergeCell ref="B165:BH165"/>
    <mergeCell ref="AX137:BC137"/>
    <mergeCell ref="C17:K17"/>
    <mergeCell ref="AI78:AL78"/>
    <mergeCell ref="AX112:BC112"/>
    <mergeCell ref="AB114:AH114"/>
    <mergeCell ref="B78:C78"/>
    <mergeCell ref="L157:S157"/>
    <mergeCell ref="C19:K19"/>
    <mergeCell ref="AM73:AQ73"/>
    <mergeCell ref="T129:AA129"/>
    <mergeCell ref="AX141:BC141"/>
    <mergeCell ref="L63:S63"/>
    <mergeCell ref="BD68:BH68"/>
    <mergeCell ref="L123:S123"/>
    <mergeCell ref="D137:K137"/>
    <mergeCell ref="AR75:AW75"/>
    <mergeCell ref="AM137:AQ137"/>
    <mergeCell ref="AB99:AH99"/>
    <mergeCell ref="BD84:BH84"/>
    <mergeCell ref="T60:AA60"/>
    <mergeCell ref="AX43:BB43"/>
    <mergeCell ref="T131:AA131"/>
    <mergeCell ref="D74:K74"/>
    <mergeCell ref="D130:K130"/>
    <mergeCell ref="AX143:BC143"/>
    <mergeCell ref="D68:K68"/>
    <mergeCell ref="BD149:BH149"/>
    <mergeCell ref="AI154:AL154"/>
    <mergeCell ref="AM74:AQ74"/>
    <mergeCell ref="AR102:AW102"/>
    <mergeCell ref="D117:K117"/>
    <mergeCell ref="AM139:AQ139"/>
    <mergeCell ref="BD86:BH86"/>
    <mergeCell ref="BF51:BG51"/>
    <mergeCell ref="D67:K67"/>
    <mergeCell ref="AI91:AL91"/>
    <mergeCell ref="AM114:AQ114"/>
    <mergeCell ref="AB130:AH130"/>
    <mergeCell ref="D132:K132"/>
    <mergeCell ref="AI141:AL141"/>
    <mergeCell ref="B154:C154"/>
    <mergeCell ref="AI156:AL156"/>
    <mergeCell ref="D59:K59"/>
    <mergeCell ref="B129:C129"/>
    <mergeCell ref="O29:W29"/>
    <mergeCell ref="BD79:BH79"/>
    <mergeCell ref="AB67:AH67"/>
    <mergeCell ref="AI106:AL106"/>
    <mergeCell ref="BD150:BH150"/>
    <mergeCell ref="AR116:AW116"/>
    <mergeCell ref="L91:S91"/>
    <mergeCell ref="D69:K69"/>
    <mergeCell ref="T126:AA126"/>
    <mergeCell ref="AI93:AL93"/>
    <mergeCell ref="BD144:BH144"/>
    <mergeCell ref="AR103:AW103"/>
    <mergeCell ref="AI155:AL155"/>
    <mergeCell ref="B156:C156"/>
    <mergeCell ref="B131:C131"/>
    <mergeCell ref="O31:W31"/>
    <mergeCell ref="BD81:BH81"/>
    <mergeCell ref="AB69:AH69"/>
    <mergeCell ref="AB125:AH125"/>
    <mergeCell ref="AX46:BB46"/>
    <mergeCell ref="AR118:AW118"/>
    <mergeCell ref="AB112:AH112"/>
    <mergeCell ref="AI151:AL151"/>
    <mergeCell ref="L116:S116"/>
    <mergeCell ref="AX125:BC125"/>
    <mergeCell ref="T78:AA78"/>
    <mergeCell ref="AB62:AH62"/>
    <mergeCell ref="T65:AA65"/>
    <mergeCell ref="AX48:BB48"/>
    <mergeCell ref="AB127:AH127"/>
    <mergeCell ref="AM92:AQ92"/>
    <mergeCell ref="AX62:BC62"/>
    <mergeCell ref="AK5:AO5"/>
    <mergeCell ref="AR65:AW65"/>
    <mergeCell ref="AM67:AQ67"/>
    <mergeCell ref="L118:S118"/>
    <mergeCell ref="AM61:AQ61"/>
    <mergeCell ref="T80:AA80"/>
    <mergeCell ref="AX127:BC127"/>
    <mergeCell ref="T142:AA142"/>
    <mergeCell ref="L117:S117"/>
    <mergeCell ref="AX64:BC64"/>
    <mergeCell ref="T79:AA79"/>
    <mergeCell ref="AR129:AW129"/>
    <mergeCell ref="T73:AA73"/>
    <mergeCell ref="AM69:AQ69"/>
    <mergeCell ref="T144:AA144"/>
    <mergeCell ref="D87:K87"/>
    <mergeCell ref="L147:S147"/>
    <mergeCell ref="AX156:BC156"/>
    <mergeCell ref="AI159:AL159"/>
    <mergeCell ref="AI47:AU48"/>
    <mergeCell ref="BC46:BE46"/>
    <mergeCell ref="B84:C84"/>
    <mergeCell ref="D62:K62"/>
    <mergeCell ref="AX131:BC131"/>
    <mergeCell ref="L119:S119"/>
    <mergeCell ref="D122:K122"/>
    <mergeCell ref="BD99:BH99"/>
    <mergeCell ref="AR131:AW131"/>
    <mergeCell ref="AI104:AL104"/>
    <mergeCell ref="BD74:BH74"/>
    <mergeCell ref="B166:BH166"/>
    <mergeCell ref="AB122:AH122"/>
    <mergeCell ref="AI79:AL79"/>
    <mergeCell ref="D64:K64"/>
    <mergeCell ref="R11:AC11"/>
    <mergeCell ref="B80:C80"/>
    <mergeCell ref="B142:C142"/>
    <mergeCell ref="L148:S148"/>
    <mergeCell ref="C38:P38"/>
    <mergeCell ref="BD101:BH101"/>
    <mergeCell ref="D82:K82"/>
    <mergeCell ref="R13:AC13"/>
    <mergeCell ref="BD138:BH138"/>
    <mergeCell ref="BD76:BH76"/>
    <mergeCell ref="B79:C79"/>
    <mergeCell ref="C20:K20"/>
    <mergeCell ref="AI81:AL81"/>
    <mergeCell ref="B144:C144"/>
    <mergeCell ref="AM145:AQ145"/>
    <mergeCell ref="AV12:BG12"/>
    <mergeCell ref="AB82:AH82"/>
    <mergeCell ref="AX51:BB51"/>
    <mergeCell ref="D138:K138"/>
    <mergeCell ref="Q38:AE38"/>
    <mergeCell ref="B81:C81"/>
    <mergeCell ref="C22:K22"/>
    <mergeCell ref="L66:S66"/>
    <mergeCell ref="AX75:BC75"/>
    <mergeCell ref="AR84:AW84"/>
    <mergeCell ref="L137:S137"/>
    <mergeCell ref="AR78:AW78"/>
    <mergeCell ref="AV13:BG13"/>
    <mergeCell ref="D140:K140"/>
    <mergeCell ref="AM140:AQ140"/>
    <mergeCell ref="AV21:AZ21"/>
    <mergeCell ref="AR124:AW124"/>
    <mergeCell ref="D77:K77"/>
    <mergeCell ref="L130:S130"/>
    <mergeCell ref="BD152:BH152"/>
    <mergeCell ref="BC43:BE43"/>
    <mergeCell ref="L68:S68"/>
    <mergeCell ref="T117:AA117"/>
    <mergeCell ref="AR142:AW142"/>
    <mergeCell ref="AI157:AL157"/>
    <mergeCell ref="AR80:AW80"/>
    <mergeCell ref="AB133:AH133"/>
    <mergeCell ref="AR126:AW126"/>
    <mergeCell ref="D75:K75"/>
    <mergeCell ref="D141:K141"/>
    <mergeCell ref="L132:S132"/>
    <mergeCell ref="D135:K135"/>
    <mergeCell ref="AP16:AR16"/>
    <mergeCell ref="AR144:AW144"/>
    <mergeCell ref="AX133:BC133"/>
    <mergeCell ref="BD87:BH87"/>
    <mergeCell ref="AR119:AW119"/>
    <mergeCell ref="BD147:BH147"/>
    <mergeCell ref="AB135:AH135"/>
    <mergeCell ref="B99:C99"/>
    <mergeCell ref="AB72:AH72"/>
    <mergeCell ref="BD89:BH89"/>
    <mergeCell ref="B92:C92"/>
    <mergeCell ref="L144:S144"/>
    <mergeCell ref="AI94:AL94"/>
    <mergeCell ref="AM158:AQ158"/>
    <mergeCell ref="B162:BH162"/>
    <mergeCell ref="AK6:AO6"/>
    <mergeCell ref="AX128:BC128"/>
    <mergeCell ref="AR71:AW71"/>
    <mergeCell ref="B76:C76"/>
    <mergeCell ref="T81:AA81"/>
    <mergeCell ref="AM108:AQ108"/>
    <mergeCell ref="AB70:AH70"/>
    <mergeCell ref="D89:K89"/>
    <mergeCell ref="BF49:BG49"/>
    <mergeCell ref="B94:C94"/>
    <mergeCell ref="AM95:AQ95"/>
    <mergeCell ref="AM89:AQ89"/>
    <mergeCell ref="AX65:BC65"/>
    <mergeCell ref="AI125:AL125"/>
    <mergeCell ref="AX70:BC70"/>
    <mergeCell ref="AA15:AC15"/>
    <mergeCell ref="AR73:AW73"/>
    <mergeCell ref="D88:K88"/>
    <mergeCell ref="AI112:AL112"/>
    <mergeCell ref="AM135:AQ135"/>
    <mergeCell ref="T145:AA145"/>
    <mergeCell ref="D153:K153"/>
    <mergeCell ref="AX157:BC157"/>
    <mergeCell ref="BD113:BH113"/>
    <mergeCell ref="AV16:AZ16"/>
    <mergeCell ref="AI62:AL62"/>
    <mergeCell ref="AM97:AQ97"/>
    <mergeCell ref="B150:C150"/>
    <mergeCell ref="BD100:BH100"/>
    <mergeCell ref="AR66:AW66"/>
    <mergeCell ref="AI127:AL127"/>
    <mergeCell ref="AM72:AQ72"/>
    <mergeCell ref="AI105:AL105"/>
    <mergeCell ref="D90:K90"/>
    <mergeCell ref="AR137:AW137"/>
    <mergeCell ref="T147:AA147"/>
    <mergeCell ref="T122:AA122"/>
    <mergeCell ref="D65:K65"/>
    <mergeCell ref="R12:AC12"/>
    <mergeCell ref="AV18:AZ18"/>
    <mergeCell ref="BD115:BH115"/>
    <mergeCell ref="AI120:AL120"/>
    <mergeCell ref="B152:C152"/>
    <mergeCell ref="BD102:BH102"/>
    <mergeCell ref="AR68:AW68"/>
    <mergeCell ref="AB146:AH146"/>
    <mergeCell ref="AI107:AL107"/>
    <mergeCell ref="AR139:AW139"/>
    <mergeCell ref="BD77:BH77"/>
    <mergeCell ref="AV17:AZ17"/>
    <mergeCell ref="T63:AA63"/>
    <mergeCell ref="AB65:AH65"/>
    <mergeCell ref="BD148:BH148"/>
    <mergeCell ref="B145:C145"/>
    <mergeCell ref="AX146:BC146"/>
    <mergeCell ref="AB83:AH83"/>
    <mergeCell ref="AI147:AL147"/>
    <mergeCell ref="BA21:BG21"/>
    <mergeCell ref="AM31:AU31"/>
    <mergeCell ref="T71:AA71"/>
    <mergeCell ref="L74:S74"/>
    <mergeCell ref="L21:N21"/>
    <mergeCell ref="AX83:BC83"/>
    <mergeCell ref="AB123:AH123"/>
    <mergeCell ref="B87:C87"/>
    <mergeCell ref="AM88:AQ88"/>
    <mergeCell ref="T92:AA92"/>
    <mergeCell ref="AI59:AL59"/>
    <mergeCell ref="AM82:AQ82"/>
    <mergeCell ref="AB85:AH85"/>
    <mergeCell ref="AB110:AH110"/>
    <mergeCell ref="B147:C147"/>
    <mergeCell ref="AM148:AQ148"/>
    <mergeCell ref="AX150:BC150"/>
    <mergeCell ref="AB60:AH60"/>
    <mergeCell ref="L138:S138"/>
    <mergeCell ref="L76:S76"/>
    <mergeCell ref="BD143:BH143"/>
    <mergeCell ref="AX85:BC85"/>
    <mergeCell ref="T100:AA100"/>
    <mergeCell ref="AR150:AW150"/>
    <mergeCell ref="T94:AA94"/>
    <mergeCell ref="AM90:AQ90"/>
    <mergeCell ref="AM146:AQ146"/>
    <mergeCell ref="AX60:BC60"/>
    <mergeCell ref="T69:AA69"/>
    <mergeCell ref="AA29:AI29"/>
    <mergeCell ref="T66:AA66"/>
    <mergeCell ref="L69:S69"/>
    <mergeCell ref="L16:N16"/>
    <mergeCell ref="D143:K143"/>
    <mergeCell ref="AX152:BC152"/>
    <mergeCell ref="AM83:AQ83"/>
    <mergeCell ref="AR152:AW152"/>
    <mergeCell ref="T158:AA158"/>
    <mergeCell ref="BD95:BH95"/>
    <mergeCell ref="BD70:BH70"/>
    <mergeCell ref="AI100:AL100"/>
    <mergeCell ref="T95:AA95"/>
    <mergeCell ref="AM85:AQ85"/>
    <mergeCell ref="AI110:AL110"/>
    <mergeCell ref="B113:C113"/>
    <mergeCell ref="AI115:AL115"/>
    <mergeCell ref="AB136:AH136"/>
    <mergeCell ref="BD97:BH97"/>
    <mergeCell ref="B100:C100"/>
    <mergeCell ref="BC50:BE50"/>
    <mergeCell ref="BD159:BH159"/>
    <mergeCell ref="AI102:AL102"/>
    <mergeCell ref="AP19:AR19"/>
    <mergeCell ref="B115:C115"/>
    <mergeCell ref="BD90:BH90"/>
    <mergeCell ref="AB78:AH78"/>
    <mergeCell ref="D159:K159"/>
    <mergeCell ref="B102:C102"/>
    <mergeCell ref="D80:K80"/>
    <mergeCell ref="BA16:BG16"/>
    <mergeCell ref="AM159:AQ159"/>
    <mergeCell ref="C3:AT3"/>
    <mergeCell ref="B77:C77"/>
    <mergeCell ref="D96:K96"/>
    <mergeCell ref="L87:S87"/>
    <mergeCell ref="AR99:AW99"/>
    <mergeCell ref="BD121:BH121"/>
    <mergeCell ref="AX71:BC71"/>
    <mergeCell ref="AG19:AO19"/>
    <mergeCell ref="AI64:AL64"/>
    <mergeCell ref="AR74:AW74"/>
    <mergeCell ref="AM136:AQ136"/>
    <mergeCell ref="AM111:AQ111"/>
    <mergeCell ref="AB73:AH73"/>
    <mergeCell ref="D154:K154"/>
    <mergeCell ref="L89:S89"/>
    <mergeCell ref="BD123:BH123"/>
    <mergeCell ref="F6:L6"/>
    <mergeCell ref="AI128:AL128"/>
    <mergeCell ref="AX73:BC73"/>
    <mergeCell ref="T88:AA88"/>
    <mergeCell ref="AR138:AW138"/>
    <mergeCell ref="AR76:AW76"/>
    <mergeCell ref="L88:S88"/>
    <mergeCell ref="D91:K91"/>
    <mergeCell ref="T148:AA148"/>
    <mergeCell ref="L153:S153"/>
    <mergeCell ref="D156:K156"/>
    <mergeCell ref="BD60:BH60"/>
    <mergeCell ref="BD116:BH116"/>
    <mergeCell ref="AV19:AZ19"/>
    <mergeCell ref="AI65:AL65"/>
    <mergeCell ref="L128:S128"/>
    <mergeCell ref="D106:K106"/>
    <mergeCell ref="AB91:AH91"/>
    <mergeCell ref="AR140:AW140"/>
    <mergeCell ref="D93:K93"/>
    <mergeCell ref="L113:S113"/>
    <mergeCell ref="BD118:BH118"/>
    <mergeCell ref="AR77:AW77"/>
    <mergeCell ref="AB155:AH155"/>
    <mergeCell ref="AB149:AH149"/>
    <mergeCell ref="D157:K157"/>
    <mergeCell ref="AV20:AZ20"/>
    <mergeCell ref="AX84:BC84"/>
    <mergeCell ref="T115:AA115"/>
    <mergeCell ref="B63:C63"/>
    <mergeCell ref="AX149:BC149"/>
    <mergeCell ref="T102:AA102"/>
    <mergeCell ref="AB151:AH151"/>
    <mergeCell ref="AX99:BC99"/>
    <mergeCell ref="L77:S77"/>
    <mergeCell ref="AI75:AL75"/>
    <mergeCell ref="AX86:BC86"/>
    <mergeCell ref="AB101:AH101"/>
    <mergeCell ref="L18:N18"/>
    <mergeCell ref="B90:C90"/>
    <mergeCell ref="AG11:AR11"/>
    <mergeCell ref="AM91:AQ91"/>
    <mergeCell ref="D109:K109"/>
    <mergeCell ref="AB126:AH126"/>
    <mergeCell ref="D84:K84"/>
    <mergeCell ref="AX101:BC101"/>
    <mergeCell ref="BD134:BH134"/>
    <mergeCell ref="L75:S75"/>
    <mergeCell ref="T103:AA103"/>
    <mergeCell ref="AR87:AW87"/>
    <mergeCell ref="T97:AA97"/>
    <mergeCell ref="AY28:BG28"/>
    <mergeCell ref="AM93:AQ93"/>
    <mergeCell ref="BD109:BH109"/>
    <mergeCell ref="D111:K111"/>
    <mergeCell ref="BD96:BH96"/>
    <mergeCell ref="BD71:BH71"/>
    <mergeCell ref="AM155:AQ155"/>
    <mergeCell ref="AR158:AW158"/>
    <mergeCell ref="D86:K86"/>
    <mergeCell ref="AR95:AW95"/>
    <mergeCell ref="AR89:AW89"/>
    <mergeCell ref="D104:K104"/>
    <mergeCell ref="BD111:BH111"/>
    <mergeCell ref="AM151:AQ151"/>
    <mergeCell ref="AI116:AL116"/>
    <mergeCell ref="BD98:BH98"/>
    <mergeCell ref="AI103:AL103"/>
    <mergeCell ref="D150:K150"/>
    <mergeCell ref="AB104:AH104"/>
    <mergeCell ref="AR153:AW153"/>
    <mergeCell ref="B116:C116"/>
    <mergeCell ref="AB79:AH79"/>
    <mergeCell ref="AI118:AL118"/>
    <mergeCell ref="B103:C103"/>
    <mergeCell ref="BA17:BG17"/>
    <mergeCell ref="T113:AA113"/>
    <mergeCell ref="AR90:AW90"/>
    <mergeCell ref="AX79:BC79"/>
    <mergeCell ref="AB106:AH106"/>
    <mergeCell ref="B118:C118"/>
    <mergeCell ref="AU6:AX6"/>
    <mergeCell ref="AB81:AH81"/>
    <mergeCell ref="AM119:AQ119"/>
    <mergeCell ref="AM75:AQ75"/>
    <mergeCell ref="L159:S159"/>
    <mergeCell ref="BA19:BG19"/>
    <mergeCell ref="AG20:AO20"/>
    <mergeCell ref="O28:W28"/>
    <mergeCell ref="AX81:BC81"/>
    <mergeCell ref="T96:AA96"/>
    <mergeCell ref="L96:S96"/>
    <mergeCell ref="AR121:AW121"/>
    <mergeCell ref="AR115:AW115"/>
    <mergeCell ref="L90:S90"/>
    <mergeCell ref="AB145:AH145"/>
    <mergeCell ref="BD124:BH124"/>
    <mergeCell ref="AM104:AQ104"/>
    <mergeCell ref="L65:S65"/>
    <mergeCell ref="AI129:AL129"/>
    <mergeCell ref="AT2:BG2"/>
    <mergeCell ref="AG22:AO22"/>
    <mergeCell ref="AI63:AL63"/>
    <mergeCell ref="O30:W30"/>
    <mergeCell ref="T98:AA98"/>
    <mergeCell ref="AX110:BC110"/>
    <mergeCell ref="AR148:AW148"/>
    <mergeCell ref="L154:S154"/>
    <mergeCell ref="T116:AA116"/>
    <mergeCell ref="BD66:BH66"/>
    <mergeCell ref="BD126:BH126"/>
    <mergeCell ref="AM106:AQ106"/>
    <mergeCell ref="AI71:AL71"/>
    <mergeCell ref="AI131:AL131"/>
    <mergeCell ref="AX76:BC76"/>
    <mergeCell ref="T91:AA91"/>
    <mergeCell ref="B134:C134"/>
    <mergeCell ref="AB157:AH157"/>
    <mergeCell ref="B121:C121"/>
    <mergeCell ref="D99:K99"/>
    <mergeCell ref="S21:Z21"/>
    <mergeCell ref="T156:AA156"/>
    <mergeCell ref="BD59:BH59"/>
    <mergeCell ref="AV22:AZ22"/>
    <mergeCell ref="B71:C71"/>
    <mergeCell ref="B96:C96"/>
    <mergeCell ref="AM66:AQ66"/>
    <mergeCell ref="T93:AA93"/>
    <mergeCell ref="AR143:AW143"/>
    <mergeCell ref="D101:K101"/>
    <mergeCell ref="BD61:BH61"/>
    <mergeCell ref="C11:N11"/>
    <mergeCell ref="B98:C98"/>
    <mergeCell ref="AM130:AQ130"/>
    <mergeCell ref="AB92:AH92"/>
    <mergeCell ref="AM68:AQ68"/>
    <mergeCell ref="AB152:AH152"/>
    <mergeCell ref="B60:C60"/>
    <mergeCell ref="AX100:BC100"/>
    <mergeCell ref="AM117:AQ117"/>
    <mergeCell ref="AX136:BC136"/>
    <mergeCell ref="T118:AA118"/>
    <mergeCell ref="D61:K61"/>
    <mergeCell ref="AX92:BC92"/>
    <mergeCell ref="AG12:AR12"/>
    <mergeCell ref="AM157:AQ157"/>
    <mergeCell ref="AM132:AQ132"/>
    <mergeCell ref="AB94:AH94"/>
    <mergeCell ref="AG15:AO15"/>
    <mergeCell ref="AX102:BC102"/>
    <mergeCell ref="AI84:AL84"/>
    <mergeCell ref="D125:K125"/>
    <mergeCell ref="AI149:AL149"/>
    <mergeCell ref="AX94:BC94"/>
    <mergeCell ref="T109:AA109"/>
    <mergeCell ref="AR134:AW134"/>
    <mergeCell ref="L109:S109"/>
    <mergeCell ref="D112:K112"/>
    <mergeCell ref="AR159:AW159"/>
    <mergeCell ref="L84:S84"/>
    <mergeCell ref="T119:AA119"/>
    <mergeCell ref="L122:S122"/>
    <mergeCell ref="T75:AA75"/>
    <mergeCell ref="AI86:AL86"/>
    <mergeCell ref="AR96:AW96"/>
    <mergeCell ref="AI80:AL80"/>
    <mergeCell ref="D127:K127"/>
    <mergeCell ref="BD112:BH112"/>
    <mergeCell ref="BD137:BH137"/>
    <mergeCell ref="AI142:AL142"/>
    <mergeCell ref="D114:K114"/>
    <mergeCell ref="B124:C124"/>
    <mergeCell ref="BC51:BE51"/>
    <mergeCell ref="AI126:AL126"/>
    <mergeCell ref="AR111:AW111"/>
    <mergeCell ref="BD139:BH139"/>
    <mergeCell ref="L80:S80"/>
    <mergeCell ref="AB105:AH105"/>
    <mergeCell ref="AR98:AW98"/>
    <mergeCell ref="AI144:AL144"/>
    <mergeCell ref="BD114:BH114"/>
    <mergeCell ref="B126:C126"/>
    <mergeCell ref="AX105:BC105"/>
    <mergeCell ref="AB120:AH120"/>
    <mergeCell ref="B109:C109"/>
    <mergeCell ref="AB107:AH107"/>
    <mergeCell ref="B59:C59"/>
    <mergeCell ref="AX120:BC120"/>
    <mergeCell ref="L98:S98"/>
    <mergeCell ref="AM125:AQ125"/>
    <mergeCell ref="AX107:BC107"/>
    <mergeCell ref="AB147:AH147"/>
    <mergeCell ref="BA20:BG20"/>
    <mergeCell ref="AI37:BG37"/>
    <mergeCell ref="AM112:AQ112"/>
    <mergeCell ref="L20:N20"/>
    <mergeCell ref="AX49:BB49"/>
    <mergeCell ref="AM62:AQ62"/>
    <mergeCell ref="D105:K105"/>
    <mergeCell ref="AM122:AQ122"/>
    <mergeCell ref="T137:AA137"/>
    <mergeCell ref="AM127:AQ127"/>
    <mergeCell ref="L140:S140"/>
    <mergeCell ref="AM105:AQ105"/>
    <mergeCell ref="T124:AA124"/>
    <mergeCell ref="AX97:BC97"/>
    <mergeCell ref="AR108:AW108"/>
    <mergeCell ref="R5:AD5"/>
    <mergeCell ref="AX124:BC124"/>
    <mergeCell ref="L22:N22"/>
    <mergeCell ref="AI73:AL73"/>
    <mergeCell ref="BD92:BH92"/>
    <mergeCell ref="L106:S106"/>
    <mergeCell ref="T68:AA68"/>
    <mergeCell ref="BF45:BG45"/>
    <mergeCell ref="L93:S93"/>
    <mergeCell ref="D107:K107"/>
    <mergeCell ref="BD117:BH117"/>
    <mergeCell ref="BD67:BH67"/>
    <mergeCell ref="AM120:AQ120"/>
    <mergeCell ref="BD5:BH5"/>
    <mergeCell ref="AM107:AQ107"/>
    <mergeCell ref="AB148:AH148"/>
    <mergeCell ref="BD132:BH132"/>
    <mergeCell ref="AX151:BC151"/>
    <mergeCell ref="AX126:BC126"/>
    <mergeCell ref="B73:C73"/>
    <mergeCell ref="AI137:AL137"/>
    <mergeCell ref="L141:S141"/>
    <mergeCell ref="T132:AA132"/>
    <mergeCell ref="BF47:BG47"/>
    <mergeCell ref="AI99:AL99"/>
    <mergeCell ref="AR109:AW109"/>
    <mergeCell ref="BD69:BH69"/>
    <mergeCell ref="AB113:AH113"/>
    <mergeCell ref="B161:BH161"/>
    <mergeCell ref="AI74:AL74"/>
    <mergeCell ref="B137:C137"/>
    <mergeCell ref="AM138:AQ138"/>
    <mergeCell ref="AB100:AH100"/>
    <mergeCell ref="AB75:AH75"/>
    <mergeCell ref="AI139:AL139"/>
    <mergeCell ref="D102:K102"/>
    <mergeCell ref="BD6:BH6"/>
    <mergeCell ref="BD133:BH133"/>
    <mergeCell ref="B74:C74"/>
    <mergeCell ref="AB115:AH115"/>
    <mergeCell ref="BD127:BH127"/>
    <mergeCell ref="C15:K15"/>
    <mergeCell ref="B68:C68"/>
    <mergeCell ref="AR86:AW86"/>
    <mergeCell ref="B139:C139"/>
    <mergeCell ref="AB102:AH102"/>
    <mergeCell ref="AB158:AH158"/>
    <mergeCell ref="B114:C114"/>
    <mergeCell ref="L59:S59"/>
    <mergeCell ref="D133:K133"/>
    <mergeCell ref="AX129:BC129"/>
    <mergeCell ref="AM133:AQ133"/>
    <mergeCell ref="AB95:AH95"/>
    <mergeCell ref="L111:S111"/>
    <mergeCell ref="AX108:BC108"/>
    <mergeCell ref="BD145:BH145"/>
    <mergeCell ref="L86:S86"/>
    <mergeCell ref="L61:S61"/>
    <mergeCell ref="AX95:BC95"/>
    <mergeCell ref="AI150:AL150"/>
    <mergeCell ref="AB97:AH97"/>
    <mergeCell ref="T125:AA125"/>
    <mergeCell ref="AM110:AQ110"/>
    <mergeCell ref="L150:S150"/>
    <mergeCell ref="AI92:AL92"/>
    <mergeCell ref="L125:S125"/>
    <mergeCell ref="D128:K128"/>
    <mergeCell ref="T112:AA112"/>
    <mergeCell ref="AI152:AL152"/>
    <mergeCell ref="L112:S112"/>
    <mergeCell ref="BD122:BH122"/>
    <mergeCell ref="BD153:BH153"/>
    <mergeCell ref="AR112:AW112"/>
    <mergeCell ref="BD140:BH140"/>
    <mergeCell ref="AB128:AH128"/>
    <mergeCell ref="S17:Z17"/>
    <mergeCell ref="AX139:BC139"/>
    <mergeCell ref="T114:AA114"/>
    <mergeCell ref="B67:C67"/>
    <mergeCell ref="B61:C61"/>
    <mergeCell ref="AX155:BC155"/>
    <mergeCell ref="AB121:AH121"/>
    <mergeCell ref="AM59:AQ59"/>
    <mergeCell ref="BD82:BH82"/>
    <mergeCell ref="AR114:AW114"/>
    <mergeCell ref="AI87:AL87"/>
    <mergeCell ref="AX121:BC121"/>
    <mergeCell ref="B69:C69"/>
    <mergeCell ref="T74:AA74"/>
    <mergeCell ref="AB63:AH63"/>
    <mergeCell ref="AM64:AQ64"/>
    <mergeCell ref="AI38:BG38"/>
    <mergeCell ref="BF42:BG42"/>
    <mergeCell ref="B112:C112"/>
    <mergeCell ref="T139:AA139"/>
    <mergeCell ref="C28:K28"/>
    <mergeCell ref="AY30:BG30"/>
    <mergeCell ref="AM153:AQ153"/>
    <mergeCell ref="AF5:AJ5"/>
    <mergeCell ref="AX63:BC63"/>
    <mergeCell ref="L114:S114"/>
    <mergeCell ref="AX123:BC123"/>
    <mergeCell ref="T76:AA76"/>
    <mergeCell ref="B127:C127"/>
    <mergeCell ref="AM128:AQ128"/>
    <mergeCell ref="T138:AA138"/>
    <mergeCell ref="D146:K146"/>
    <mergeCell ref="Z8:BH8"/>
    <mergeCell ref="R6:AD6"/>
    <mergeCell ref="BF44:BG44"/>
    <mergeCell ref="C30:K30"/>
    <mergeCell ref="D121:K121"/>
    <mergeCell ref="AR59:AW59"/>
    <mergeCell ref="B64:C64"/>
    <mergeCell ref="AM65:AQ65"/>
    <mergeCell ref="L105:S105"/>
    <mergeCell ref="D83:K83"/>
    <mergeCell ref="AR130:AW130"/>
    <mergeCell ref="L99:S99"/>
    <mergeCell ref="BC49:BE49"/>
    <mergeCell ref="AR117:AW117"/>
    <mergeCell ref="AI101:AL101"/>
    <mergeCell ref="T140:AA140"/>
    <mergeCell ref="L143:S143"/>
    <mergeCell ref="BD108:BH108"/>
    <mergeCell ref="AM28:AU28"/>
    <mergeCell ref="AI138:AL138"/>
    <mergeCell ref="AI113:AL113"/>
    <mergeCell ref="AR67:AW67"/>
    <mergeCell ref="AI76:AL76"/>
    <mergeCell ref="D123:K123"/>
    <mergeCell ref="AR61:AW61"/>
    <mergeCell ref="AR132:AW132"/>
    <mergeCell ref="D110:K110"/>
    <mergeCell ref="D85:K85"/>
    <mergeCell ref="BD141:BH141"/>
    <mergeCell ref="BD135:BH135"/>
    <mergeCell ref="D60:K60"/>
    <mergeCell ref="C37:AE37"/>
    <mergeCell ref="B138:C138"/>
    <mergeCell ref="AI140:AL140"/>
    <mergeCell ref="L67:S67"/>
    <mergeCell ref="BD72:BH72"/>
    <mergeCell ref="AB116:AH116"/>
    <mergeCell ref="B164:BH164"/>
    <mergeCell ref="AI77:AL77"/>
    <mergeCell ref="B140:C140"/>
    <mergeCell ref="AM141:AQ141"/>
    <mergeCell ref="AB103:AH103"/>
    <mergeCell ref="AR127:AW127"/>
    <mergeCell ref="AX116:BC116"/>
    <mergeCell ref="BD136:BH136"/>
    <mergeCell ref="AX103:BC103"/>
    <mergeCell ref="AB118:AH118"/>
    <mergeCell ref="AX134:BC134"/>
    <mergeCell ref="T87:AA87"/>
    <mergeCell ref="AM143:AQ143"/>
    <mergeCell ref="T62:AA62"/>
    <mergeCell ref="AX45:BB45"/>
    <mergeCell ref="AX118:BC118"/>
    <mergeCell ref="T59:AA59"/>
    <mergeCell ref="L62:S62"/>
    <mergeCell ref="AB117:AH117"/>
    <mergeCell ref="D70:K70"/>
    <mergeCell ref="L133:S133"/>
    <mergeCell ref="L127:S127"/>
    <mergeCell ref="D136:K136"/>
    <mergeCell ref="AA21:AC21"/>
    <mergeCell ref="AX145:BC145"/>
    <mergeCell ref="T89:AA89"/>
    <mergeCell ref="L102:S102"/>
    <mergeCell ref="BD88:BH88"/>
    <mergeCell ref="T64:AA64"/>
    <mergeCell ref="T135:AA135"/>
    <mergeCell ref="L64:S64"/>
    <mergeCell ref="D78:K78"/>
    <mergeCell ref="AX98:BC98"/>
    <mergeCell ref="S19:Z19"/>
    <mergeCell ref="D134:K134"/>
    <mergeCell ref="AX147:BC147"/>
    <mergeCell ref="AM78:AQ78"/>
    <mergeCell ref="T153:AA153"/>
    <mergeCell ref="C18:K18"/>
    <mergeCell ref="L156:S156"/>
    <mergeCell ref="BA22:BG22"/>
    <mergeCell ref="AI108:AL108"/>
    <mergeCell ref="AB129:AH129"/>
    <mergeCell ref="AR122:AW122"/>
    <mergeCell ref="D71:K71"/>
    <mergeCell ref="T128:AA128"/>
    <mergeCell ref="AI95:AL95"/>
    <mergeCell ref="BD146:BH146"/>
    <mergeCell ref="B158:C158"/>
    <mergeCell ref="AI89:AL89"/>
    <mergeCell ref="BD83:BH83"/>
    <mergeCell ref="AB71:AH71"/>
    <mergeCell ref="BD154:BH154"/>
    <mergeCell ref="AB131:AH131"/>
    <mergeCell ref="BF50:BG50"/>
    <mergeCell ref="B95:C95"/>
    <mergeCell ref="S20:Z20"/>
    <mergeCell ref="D73:K73"/>
    <mergeCell ref="B89:C89"/>
    <mergeCell ref="AI97:AL97"/>
    <mergeCell ref="AR107:AW107"/>
    <mergeCell ref="AI153:AL153"/>
    <mergeCell ref="BD85:BH85"/>
    <mergeCell ref="T67:AA67"/>
    <mergeCell ref="AX50:BB50"/>
    <mergeCell ref="C29:K29"/>
    <mergeCell ref="B97:C97"/>
    <mergeCell ref="S22:Z22"/>
    <mergeCell ref="B153:C153"/>
    <mergeCell ref="AM154:AQ154"/>
    <mergeCell ref="B72:C72"/>
    <mergeCell ref="T77:AA77"/>
    <mergeCell ref="AM129:AQ129"/>
    <mergeCell ref="T82:AA82"/>
    <mergeCell ref="AB66:AH66"/>
    <mergeCell ref="L82:S82"/>
    <mergeCell ref="C31:K31"/>
    <mergeCell ref="AM156:AQ156"/>
    <mergeCell ref="AI121:AL121"/>
    <mergeCell ref="AX66:BC66"/>
    <mergeCell ref="T141:AA141"/>
    <mergeCell ref="AR69:AW69"/>
    <mergeCell ref="T146:AA146"/>
    <mergeCell ref="AM131:AQ131"/>
    <mergeCell ref="D155:K155"/>
    <mergeCell ref="AB68:AH68"/>
    <mergeCell ref="L146:S146"/>
    <mergeCell ref="D149:K149"/>
    <mergeCell ref="L121:S121"/>
    <mergeCell ref="D124:K124"/>
    <mergeCell ref="AI148:AL148"/>
    <mergeCell ref="AI123:AL123"/>
    <mergeCell ref="AX68:BC68"/>
    <mergeCell ref="AR133:AW133"/>
    <mergeCell ref="T143:AA143"/>
    <mergeCell ref="AA18:AC18"/>
    <mergeCell ref="L151:S151"/>
    <mergeCell ref="D151:K151"/>
    <mergeCell ref="AM60:AQ60"/>
    <mergeCell ref="AB124:AH124"/>
    <mergeCell ref="B88:C88"/>
    <mergeCell ref="B148:C148"/>
    <mergeCell ref="B82:C82"/>
    <mergeCell ref="D126:K126"/>
    <mergeCell ref="AR64:AW64"/>
    <mergeCell ref="AU5:AX5"/>
    <mergeCell ref="AB80:AH80"/>
    <mergeCell ref="AR135:AW135"/>
    <mergeCell ref="AB142:AH142"/>
    <mergeCell ref="AX142:BC142"/>
    <mergeCell ref="B146:C146"/>
    <mergeCell ref="AX117:BC117"/>
    <mergeCell ref="AB144:AH144"/>
    <mergeCell ref="B108:C108"/>
    <mergeCell ref="L17:N17"/>
    <mergeCell ref="T61:AA61"/>
    <mergeCell ref="AB119:AH119"/>
    <mergeCell ref="B83:C83"/>
    <mergeCell ref="AM84:AQ84"/>
    <mergeCell ref="B143:C143"/>
    <mergeCell ref="AX144:BC144"/>
    <mergeCell ref="T159:AA159"/>
    <mergeCell ref="AM149:AQ149"/>
    <mergeCell ref="T72:AA72"/>
    <mergeCell ref="L72:S72"/>
    <mergeCell ref="L19:N19"/>
    <mergeCell ref="AI70:AL70"/>
    <mergeCell ref="B85:C85"/>
    <mergeCell ref="AM86:AQ86"/>
    <mergeCell ref="T90:AA90"/>
    <mergeCell ref="D129:K129"/>
    <mergeCell ref="AM80:AQ80"/>
    <mergeCell ref="AM142:AQ142"/>
    <mergeCell ref="T136:AA136"/>
    <mergeCell ref="D79:K79"/>
    <mergeCell ref="AX148:BC148"/>
    <mergeCell ref="BC45:BE45"/>
    <mergeCell ref="L70:S70"/>
    <mergeCell ref="AR88:AW88"/>
    <mergeCell ref="AM79:AQ79"/>
    <mergeCell ref="AP20:AR20"/>
    <mergeCell ref="AR82:AW82"/>
    <mergeCell ref="AI134:AL134"/>
    <mergeCell ref="T154:AA154"/>
    <mergeCell ref="AM144:AQ144"/>
    <mergeCell ref="AV11:BG11"/>
    <mergeCell ref="AI109:AL109"/>
    <mergeCell ref="BD91:BH91"/>
    <mergeCell ref="AI96:AL96"/>
    <mergeCell ref="BD156:BH156"/>
    <mergeCell ref="D81:K81"/>
    <mergeCell ref="L134:S134"/>
    <mergeCell ref="B159:C159"/>
    <mergeCell ref="BC47:BE47"/>
    <mergeCell ref="B5:E5"/>
    <mergeCell ref="AP22:AR22"/>
    <mergeCell ref="AM81:AQ81"/>
    <mergeCell ref="BD106:BH106"/>
    <mergeCell ref="AR146:AW146"/>
    <mergeCell ref="AI111:AL111"/>
    <mergeCell ref="BD155:BH155"/>
    <mergeCell ref="BD93:BH93"/>
    <mergeCell ref="AB137:AH137"/>
    <mergeCell ref="AI98:AL98"/>
    <mergeCell ref="AR83:AW83"/>
    <mergeCell ref="D139:K139"/>
    <mergeCell ref="AP15:AR15"/>
    <mergeCell ref="B136:C136"/>
    <mergeCell ref="B111:C111"/>
    <mergeCell ref="AB74:AH74"/>
    <mergeCell ref="BD157:BH157"/>
    <mergeCell ref="AR123:AW123"/>
    <mergeCell ref="BD151:BH151"/>
    <mergeCell ref="BC48:BE48"/>
    <mergeCell ref="D76:K76"/>
    <mergeCell ref="T108:AA108"/>
    <mergeCell ref="AB139:AH139"/>
    <mergeCell ref="AX74:BC74"/>
    <mergeCell ref="AX130:BC130"/>
    <mergeCell ref="T83:AA83"/>
    <mergeCell ref="L83:S83"/>
    <mergeCell ref="AB138:AH138"/>
    <mergeCell ref="AB76:AH76"/>
    <mergeCell ref="AB132:AH132"/>
    <mergeCell ref="AM70:AQ70"/>
    <mergeCell ref="AX67:BC67"/>
    <mergeCell ref="AI60:AL60"/>
    <mergeCell ref="L129:S129"/>
    <mergeCell ref="AX138:BC138"/>
    <mergeCell ref="AA17:AC17"/>
    <mergeCell ref="AX132:BC132"/>
    <mergeCell ref="T85:AA85"/>
    <mergeCell ref="AR141:AW141"/>
    <mergeCell ref="AM63:AQ63"/>
    <mergeCell ref="L85:S85"/>
    <mergeCell ref="BD119:BH119"/>
    <mergeCell ref="AM99:AQ99"/>
    <mergeCell ref="L60:S60"/>
    <mergeCell ref="AI124:AL124"/>
    <mergeCell ref="AX69:BC69"/>
    <mergeCell ref="T84:AA84"/>
    <mergeCell ref="AR72:AW72"/>
    <mergeCell ref="AB150:AH150"/>
    <mergeCell ref="AA19:AC19"/>
    <mergeCell ref="D92:K92"/>
    <mergeCell ref="T149:AA149"/>
    <mergeCell ref="L149:S149"/>
    <mergeCell ref="D152:K152"/>
    <mergeCell ref="L152:S152"/>
    <mergeCell ref="BD158:BH158"/>
    <mergeCell ref="AV15:AZ15"/>
    <mergeCell ref="L124:S124"/>
    <mergeCell ref="T86:AA86"/>
    <mergeCell ref="BD104:BH104"/>
    <mergeCell ref="AR70:AW70"/>
    <mergeCell ref="AR136:AW136"/>
    <mergeCell ref="AM76:AQ76"/>
    <mergeCell ref="T151:AA151"/>
    <mergeCell ref="D94:K94"/>
    <mergeCell ref="AM94:AQ94"/>
    <mergeCell ref="B91:C91"/>
    <mergeCell ref="AX158:BC158"/>
    <mergeCell ref="B155:C155"/>
    <mergeCell ref="B93:C93"/>
    <mergeCell ref="BD105:BH105"/>
    <mergeCell ref="B149:C149"/>
    <mergeCell ref="AM150:AQ150"/>
    <mergeCell ref="AB87:AH87"/>
    <mergeCell ref="L78:S78"/>
    <mergeCell ref="B86:C86"/>
    <mergeCell ref="AX87:BC87"/>
    <mergeCell ref="B151:C151"/>
    <mergeCell ref="AM152:AQ152"/>
    <mergeCell ref="AB89:AH89"/>
    <mergeCell ref="BD130:BH130"/>
    <mergeCell ref="L71:S71"/>
    <mergeCell ref="B101:C101"/>
    <mergeCell ref="AB64:AH64"/>
    <mergeCell ref="T106:AA106"/>
    <mergeCell ref="D120:K120"/>
    <mergeCell ref="L142:S142"/>
    <mergeCell ref="AX89:BC89"/>
    <mergeCell ref="D145:K145"/>
    <mergeCell ref="AR154:AW154"/>
    <mergeCell ref="AI119:AL119"/>
    <mergeCell ref="L73:S73"/>
    <mergeCell ref="AX82:BC82"/>
    <mergeCell ref="AR91:AW91"/>
    <mergeCell ref="D147:K147"/>
    <mergeCell ref="AR85:AW85"/>
    <mergeCell ref="AM87:AQ87"/>
    <mergeCell ref="BD107:BH107"/>
    <mergeCell ref="AM147:AQ147"/>
    <mergeCell ref="AR156:AW156"/>
    <mergeCell ref="AR60:AW60"/>
    <mergeCell ref="F5:L5"/>
    <mergeCell ref="AP21:AR21"/>
    <mergeCell ref="AR149:AW149"/>
    <mergeCell ref="AX113:BC113"/>
    <mergeCell ref="N5:Q5"/>
    <mergeCell ref="AI114:AL114"/>
    <mergeCell ref="AB140:AH140"/>
    <mergeCell ref="AA28:AI28"/>
    <mergeCell ref="B104:C104"/>
    <mergeCell ref="L139:S139"/>
    <mergeCell ref="AR151:AW151"/>
    <mergeCell ref="AX42:BB42"/>
    <mergeCell ref="AX115:BC115"/>
    <mergeCell ref="T130:AA130"/>
    <mergeCell ref="AB77:AH77"/>
    <mergeCell ref="L155:S155"/>
    <mergeCell ref="BD94:BH94"/>
    <mergeCell ref="T155:AA155"/>
    <mergeCell ref="BA15:BG15"/>
    <mergeCell ref="AA30:AI30"/>
    <mergeCell ref="B106:C106"/>
    <mergeCell ref="T111:AA111"/>
    <mergeCell ref="AM101:AQ101"/>
    <mergeCell ref="L15:N15"/>
    <mergeCell ref="AG21:AO21"/>
    <mergeCell ref="AI66:AL66"/>
    <mergeCell ref="AX77:BC77"/>
    <mergeCell ref="T157:AA157"/>
    <mergeCell ref="D100:K100"/>
    <mergeCell ref="AM113:AQ113"/>
    <mergeCell ref="L135:S135"/>
    <mergeCell ref="AB141:AH141"/>
    <mergeCell ref="S16:Z16"/>
    <mergeCell ref="C2:AP2"/>
    <mergeCell ref="AM100:AQ100"/>
    <mergeCell ref="BD125:BH125"/>
    <mergeCell ref="AX119:BC119"/>
    <mergeCell ref="B66:C66"/>
    <mergeCell ref="AI130:AL130"/>
    <mergeCell ref="AI68:AL68"/>
    <mergeCell ref="AA20:AC20"/>
    <mergeCell ref="L101:S101"/>
    <mergeCell ref="T150:AA150"/>
    <mergeCell ref="AI117:AL117"/>
    <mergeCell ref="AM115:AQ115"/>
    <mergeCell ref="D158:K158"/>
    <mergeCell ref="BD62:BH62"/>
    <mergeCell ref="C12:N12"/>
    <mergeCell ref="S18:Z18"/>
    <mergeCell ref="AM102:AQ102"/>
    <mergeCell ref="AI67:AL67"/>
    <mergeCell ref="B130:C130"/>
    <mergeCell ref="AG16:AO16"/>
    <mergeCell ref="AI61:AL61"/>
    <mergeCell ref="AX72:BC72"/>
    <mergeCell ref="D108:K108"/>
    <mergeCell ref="AM77:AQ77"/>
    <mergeCell ref="B117:C117"/>
    <mergeCell ref="D95:K95"/>
    <mergeCell ref="AI132:AL132"/>
    <mergeCell ref="T152:AA152"/>
    <mergeCell ref="AR104:AW104"/>
    <mergeCell ref="BD64:BH64"/>
    <mergeCell ref="BD120:BH120"/>
    <mergeCell ref="AG13:AR13"/>
    <mergeCell ref="AI69:AL69"/>
    <mergeCell ref="B157:C157"/>
    <mergeCell ref="AR79:AW79"/>
    <mergeCell ref="B132:C132"/>
    <mergeCell ref="B119:C119"/>
    <mergeCell ref="D97:K97"/>
    <mergeCell ref="D72:K72"/>
    <mergeCell ref="T104:AA104"/>
    <mergeCell ref="AB88:AH88"/>
    <mergeCell ref="L104:S104"/>
    <mergeCell ref="AB159:AH159"/>
    <mergeCell ref="AB153:AH153"/>
    <mergeCell ref="L79:S79"/>
    <mergeCell ref="AX88:BC88"/>
    <mergeCell ref="T70:AA70"/>
    <mergeCell ref="AX159:BC159"/>
    <mergeCell ref="AX153:BC153"/>
    <mergeCell ref="AB90:AH90"/>
    <mergeCell ref="AZ5:BC5"/>
    <mergeCell ref="L81:S81"/>
    <mergeCell ref="AI145:AL145"/>
    <mergeCell ref="AX90:BC90"/>
    <mergeCell ref="T105:AA105"/>
    <mergeCell ref="AR155:AW155"/>
    <mergeCell ref="AR93:AW93"/>
    <mergeCell ref="T99:AA99"/>
    <mergeCell ref="D113:K113"/>
    <mergeCell ref="AB154:AH154"/>
    <mergeCell ref="L145:S145"/>
    <mergeCell ref="D148:K148"/>
    <mergeCell ref="AX154:BC154"/>
    <mergeCell ref="T107:AA107"/>
    <mergeCell ref="L110:S110"/>
    <mergeCell ref="AR157:AW157"/>
    <mergeCell ref="T101:AA101"/>
    <mergeCell ref="D115:K115"/>
    <mergeCell ref="AI122:AL122"/>
    <mergeCell ref="B125:C125"/>
    <mergeCell ref="BD75:BH75"/>
    <mergeCell ref="AR63:AW63"/>
    <mergeCell ref="AR101:AW101"/>
    <mergeCell ref="BD110:BH110"/>
    <mergeCell ref="B122:C122"/>
    <mergeCell ref="AX44:BB44"/>
    <mergeCell ref="B105:C105"/>
    <mergeCell ref="C21:K21"/>
    <mergeCell ref="AR92:AW92"/>
    <mergeCell ref="AB108:AH108"/>
    <mergeCell ref="B120:C120"/>
    <mergeCell ref="AM121:AQ121"/>
    <mergeCell ref="AB143:AH143"/>
    <mergeCell ref="AA31:AI31"/>
    <mergeCell ref="AM30:AU30"/>
    <mergeCell ref="B107:C107"/>
    <mergeCell ref="T133:AA133"/>
    <mergeCell ref="L136:S136"/>
    <mergeCell ref="L92:S92"/>
    <mergeCell ref="BC42:BE42"/>
    <mergeCell ref="AM123:AQ123"/>
    <mergeCell ref="T127:AA127"/>
    <mergeCell ref="AR125:AW125"/>
    <mergeCell ref="D103:K103"/>
    <mergeCell ref="AM116:AQ116"/>
    <mergeCell ref="L94:S94"/>
    <mergeCell ref="C13:N13"/>
    <mergeCell ref="BC44:BE44"/>
    <mergeCell ref="AM103:AQ103"/>
    <mergeCell ref="AI158:AL158"/>
    <mergeCell ref="AR106:AW106"/>
    <mergeCell ref="BD128:BH128"/>
    <mergeCell ref="AX122:BC122"/>
    <mergeCell ref="AI133:AL133"/>
    <mergeCell ref="AX78:BC78"/>
    <mergeCell ref="D118:K118"/>
    <mergeCell ref="AR81:AW81"/>
    <mergeCell ref="AB134:AH134"/>
    <mergeCell ref="BF43:BG43"/>
    <mergeCell ref="AX114:BC114"/>
    <mergeCell ref="AR105:AW105"/>
    <mergeCell ref="AM118:AQ118"/>
    <mergeCell ref="BD65:BH65"/>
    <mergeCell ref="L158:S158"/>
    <mergeCell ref="BA18:BG18"/>
    <mergeCell ref="B133:C133"/>
    <mergeCell ref="AB96:AH96"/>
    <mergeCell ref="AI135:AL135"/>
    <mergeCell ref="AX80:BC80"/>
    <mergeCell ref="AR145:AW145"/>
    <mergeCell ref="AR120:AW120"/>
    <mergeCell ref="D98:K98"/>
    <mergeCell ref="BD129:BH129"/>
    <mergeCell ref="BD63:BH63"/>
    <mergeCell ref="AX96:BC96"/>
    <mergeCell ref="AB111:AH111"/>
    <mergeCell ref="AI72:AL72"/>
    <mergeCell ref="B75:C75"/>
    <mergeCell ref="B135:C135"/>
    <mergeCell ref="C16:K16"/>
    <mergeCell ref="AB98:AH98"/>
    <mergeCell ref="B62:C62"/>
    <mergeCell ref="AR147:AW147"/>
    <mergeCell ref="AX111:BC111"/>
    <mergeCell ref="T120:AA120"/>
    <mergeCell ref="D63:K63"/>
    <mergeCell ref="L120:S120"/>
    <mergeCell ref="L107:S107"/>
    <mergeCell ref="AM134:AQ134"/>
    <mergeCell ref="AB156:AH156"/>
    <mergeCell ref="AX104:BC104"/>
    <mergeCell ref="BF46:BG46"/>
    <mergeCell ref="AX91:BC91"/>
    <mergeCell ref="D131:K131"/>
    <mergeCell ref="AX140:BC140"/>
    <mergeCell ref="B70:C70"/>
    <mergeCell ref="AM71:AQ71"/>
    <mergeCell ref="AA16:AC16"/>
    <mergeCell ref="AM96:AQ96"/>
    <mergeCell ref="AB93:AH93"/>
    <mergeCell ref="AX106:BC106"/>
    <mergeCell ref="BF48:BG48"/>
    <mergeCell ref="T121:AA121"/>
    <mergeCell ref="AY29:BG29"/>
    <mergeCell ref="AI88:AL88"/>
    <mergeCell ref="AI82:AL82"/>
    <mergeCell ref="AX93:BC93"/>
    <mergeCell ref="AM98:AQ98"/>
    <mergeCell ref="AG18:AR18"/>
    <mergeCell ref="D116:K116"/>
    <mergeCell ref="AR113:AW113"/>
    <mergeCell ref="T123:AA123"/>
    <mergeCell ref="D66:K66"/>
    <mergeCell ref="L126:S126"/>
    <mergeCell ref="AY31:BG31"/>
    <mergeCell ref="AI90:AL90"/>
    <mergeCell ref="AR100:AW100"/>
    <mergeCell ref="T110:AA110"/>
    <mergeCell ref="AX135:BC135"/>
    <mergeCell ref="AR94:AW94"/>
    <mergeCell ref="AI146:AL146"/>
    <mergeCell ref="B128:C128"/>
    <mergeCell ref="BD103:BH103"/>
    <mergeCell ref="BD78:BH78"/>
    <mergeCell ref="AR110:AW110"/>
    <mergeCell ref="AI83:AL83"/>
    <mergeCell ref="S15:Z15"/>
    <mergeCell ref="AA22:AC22"/>
    <mergeCell ref="AB109:AH109"/>
    <mergeCell ref="B65:C65"/>
    <mergeCell ref="AB84:AH84"/>
    <mergeCell ref="AX47:BB47"/>
    <mergeCell ref="AB59:AH59"/>
    <mergeCell ref="L100:S100"/>
    <mergeCell ref="BD80:BH80"/>
    <mergeCell ref="AX109:BC109"/>
    <mergeCell ref="BD142:BH142"/>
    <mergeCell ref="AI85:AL85"/>
    <mergeCell ref="AM29:AU29"/>
    <mergeCell ref="AX59:BC59"/>
    <mergeCell ref="AR62:AW62"/>
    <mergeCell ref="L115:S115"/>
    <mergeCell ref="B123:C123"/>
    <mergeCell ref="AM124:AQ124"/>
    <mergeCell ref="AB86:AH86"/>
    <mergeCell ref="AB61:AH61"/>
    <mergeCell ref="D142:K142"/>
    <mergeCell ref="B110:C110"/>
    <mergeCell ref="AR97:AW97"/>
    <mergeCell ref="AQ5:AT5"/>
    <mergeCell ref="L108:S108"/>
  </mergeCells>
  <conditionalFormatting sqref="R15">
    <cfRule type="expression" priority="1" dxfId="3">
      <formula>OR(S15="",LEFT(S15,1)="+")</formula>
    </cfRule>
  </conditionalFormatting>
  <conditionalFormatting sqref="R16">
    <cfRule type="expression" priority="2" dxfId="3">
      <formula>OR(S16="",LEFT(S16,1)="+")</formula>
    </cfRule>
  </conditionalFormatting>
  <conditionalFormatting sqref="R17">
    <cfRule type="expression" priority="3" dxfId="3">
      <formula>OR(S17="",LEFT(S17,1)="+")</formula>
    </cfRule>
  </conditionalFormatting>
  <conditionalFormatting sqref="R18">
    <cfRule type="expression" priority="4" dxfId="3">
      <formula>OR(S18="",LEFT(S18,1)="+")</formula>
    </cfRule>
  </conditionalFormatting>
  <conditionalFormatting sqref="R19">
    <cfRule type="expression" priority="5" dxfId="3">
      <formula>OR(S19="",LEFT(S19,1)="+")</formula>
    </cfRule>
  </conditionalFormatting>
  <conditionalFormatting sqref="R20">
    <cfRule type="expression" priority="6" dxfId="3">
      <formula>OR(S20="",LEFT(S20,1)="+")</formula>
    </cfRule>
  </conditionalFormatting>
  <conditionalFormatting sqref="R21">
    <cfRule type="expression" priority="7" dxfId="3">
      <formula>OR(S21="",LEFT(S21,1)="+")</formula>
    </cfRule>
  </conditionalFormatting>
  <conditionalFormatting sqref="R22">
    <cfRule type="expression" priority="8" dxfId="3">
      <formula>OR(S22="",LEFT(S22,1)="+")</formula>
    </cfRule>
  </conditionalFormatting>
  <conditionalFormatting sqref="AW43">
    <cfRule type="expression" priority="9" dxfId="3">
      <formula>AX43=""</formula>
    </cfRule>
  </conditionalFormatting>
  <conditionalFormatting sqref="AW44">
    <cfRule type="expression" priority="10" dxfId="3">
      <formula>AX44=""</formula>
    </cfRule>
  </conditionalFormatting>
  <conditionalFormatting sqref="AW45">
    <cfRule type="expression" priority="11" dxfId="3">
      <formula>AX45=""</formula>
    </cfRule>
  </conditionalFormatting>
  <conditionalFormatting sqref="AW46">
    <cfRule type="expression" priority="12" dxfId="3">
      <formula>AX46=""</formula>
    </cfRule>
  </conditionalFormatting>
  <conditionalFormatting sqref="AW47">
    <cfRule type="expression" priority="13" dxfId="3">
      <formula>AX47=""</formula>
    </cfRule>
  </conditionalFormatting>
  <conditionalFormatting sqref="AW48">
    <cfRule type="expression" priority="14" dxfId="3">
      <formula>AX48=""</formula>
    </cfRule>
  </conditionalFormatting>
  <conditionalFormatting sqref="AW49">
    <cfRule type="expression" priority="15" dxfId="3">
      <formula>AX49=""</formula>
    </cfRule>
  </conditionalFormatting>
  <conditionalFormatting sqref="AW50">
    <cfRule type="expression" priority="16" dxfId="3">
      <formula>AX50=""</formula>
    </cfRule>
  </conditionalFormatting>
  <conditionalFormatting sqref="AW51">
    <cfRule type="expression" priority="17" dxfId="3">
      <formula>AX51=""</formula>
    </cfRule>
  </conditionalFormatting>
  <conditionalFormatting sqref="B60:BH159">
    <cfRule type="expression" priority="18" dxfId="4">
      <formula>AND($B60&lt;&gt;"",MOD(ROW(),2)=0)</formula>
    </cfRule>
    <cfRule type="expression" priority="19" dxfId="5">
      <formula>$B60&lt;&gt;""</formula>
    </cfRule>
  </conditionalFormatting>
  <conditionalFormatting sqref="AR60:AR159">
    <cfRule type="dataBar" priority="20">
      <dataBar showValue="1">
        <cfvo type="num" val="0"/>
        <cfvo type="max"/>
        <color rgb="0086B6EF"/>
      </dataBar>
    </cfRule>
  </conditionalFormatting>
  <conditionalFormatting sqref="AX60:AX159">
    <cfRule type="dataBar" priority="21">
      <dataBar showValue="1">
        <cfvo type="num" val="0"/>
        <cfvo type="num" val="1"/>
        <color rgb="007FD1AE"/>
      </dataBar>
    </cfRule>
  </conditionalFormatting>
  <dataValidations count="5">
    <dataValidation sqref="F5" showDropDown="0" showInputMessage="0" showErrorMessage="0" allowBlank="0" type="list">
      <formula1>"Projets en cours,Tous les projets"</formula1>
    </dataValidation>
    <dataValidation sqref="R5" showDropDown="0" showInputMessage="0" showErrorMessage="0" allowBlank="0" type="list">
      <formula1>"Lissée jusqu'à la date de besoin,Tout sur le mois de début"</formula1>
    </dataValidation>
    <dataValidation sqref="AK5" showDropDown="0" showInputMessage="1" showErrorMessage="1" allowBlank="1" error="Saisir une date (le 1er du mois par exemple) ou laisser vide." promptTitle="1er mois affiché" prompt="Laisser vide pour démarrer au premier mois de début planifié." type="date" operator="greaterThan">
      <formula1>36526</formula1>
    </dataValidation>
    <dataValidation sqref="AU5" showDropDown="0" showInputMessage="1" showErrorMessage="1" allowBlank="0" error="Saisir la capacité mensuelle d'une personne en heures (ex. 120)." promptTitle="Capacité par défaut" prompt="Heures disponibles par mois pour une personne (dessinateur ou externe). Valeur propre à une personne : onglet Data, colonne F (dessinateur) ou I (externe)." type="decimal" operator="between">
      <formula1>1</formula1>
      <formula2>744</formula2>
    </dataValidation>
    <dataValidation sqref="BD5" showDropDown="0" showInputMessage="1" showErrorMessage="1" allowBlank="0" error="Saisir un nombre d'heures par mois (ex. 20)." promptTitle="Charge fixe hors projet" prompt="Heures prises chaque mois hors affaires (petites modifications de plans...). Valeur propre : onglet Data, colonne G (dessinateur) ou J (externe)." type="decimal" operator="between">
      <formula1>0</formula1>
      <formula2>744</formula2>
    </dataValidation>
  </dataValidations>
  <pageMargins left="0.3" right="0.3" top="0.4" bottom="0.4" header="0.5" footer="0.5"/>
  <pageSetup orientation="landscape" paperSize="8" scale="90"/>
  <rowBreaks count="1" manualBreakCount="1">
    <brk id="56" min="0" max="16383" man="1"/>
  </rowBreaks>
  <drawing xmlns:r="http://schemas.openxmlformats.org/officeDocument/2006/relationships" r:id="rId1"/>
</worksheet>
</file>

<file path=xl/worksheets/sheet4.xml><?xml version="1.0" encoding="utf-8"?>
<worksheet xmlns="http://schemas.openxmlformats.org/spreadsheetml/2006/main">
  <sheetPr>
    <tabColor rgb="001BAF7A"/>
    <outlinePr summaryBelow="1" summaryRight="1"/>
    <pageSetUpPr/>
  </sheetPr>
  <dimension ref="A1:BI97"/>
  <sheetViews>
    <sheetView showGridLines="0" tabSelected="0" zoomScale="90" workbookViewId="0">
      <selection activeCell="A1" sqref="A1"/>
    </sheetView>
  </sheetViews>
  <sheetFormatPr baseColWidth="8" defaultRowHeight="15"/>
  <cols>
    <col width="2" customWidth="1" min="1" max="1"/>
    <col width="2.71" customWidth="1" min="2" max="2"/>
    <col width="2.71" customWidth="1" min="3" max="3"/>
    <col width="2.71" customWidth="1" min="4" max="4"/>
    <col width="2.71" customWidth="1" min="5" max="5"/>
    <col width="2.71" customWidth="1" min="6" max="6"/>
    <col width="2.71" customWidth="1" min="7" max="7"/>
    <col width="2.71" customWidth="1" min="8" max="8"/>
    <col width="2.71" customWidth="1" min="9" max="9"/>
    <col width="2.71" customWidth="1" min="10" max="10"/>
    <col width="2.71" customWidth="1" min="11" max="11"/>
    <col width="2.71" customWidth="1" min="12" max="12"/>
    <col width="2.71" customWidth="1" min="13" max="13"/>
    <col width="2.71" customWidth="1" min="14" max="14"/>
    <col width="2.71" customWidth="1" min="15" max="15"/>
    <col width="2.71" customWidth="1" min="16" max="16"/>
    <col width="2.71" customWidth="1" min="17" max="17"/>
    <col width="2.71" customWidth="1" min="18" max="18"/>
    <col width="2.71" customWidth="1" min="19" max="19"/>
    <col width="2.71" customWidth="1" min="20" max="20"/>
    <col width="2.71" customWidth="1" min="21" max="21"/>
    <col width="2.71" customWidth="1" min="22" max="22"/>
    <col width="2.71" customWidth="1" min="23" max="23"/>
    <col width="2.71" customWidth="1" min="24" max="24"/>
    <col width="2.71" customWidth="1" min="25" max="25"/>
    <col width="2.71" customWidth="1" min="26" max="26"/>
    <col width="2.71" customWidth="1" min="27" max="27"/>
    <col width="2.71" customWidth="1" min="28" max="28"/>
    <col width="2.71" customWidth="1" min="29" max="29"/>
    <col width="2.71" customWidth="1" min="30" max="30"/>
    <col width="2.71" customWidth="1" min="31" max="31"/>
    <col width="2.71" customWidth="1" min="32" max="32"/>
    <col width="2.71" customWidth="1" min="33" max="33"/>
    <col width="2.71" customWidth="1" min="34" max="34"/>
    <col width="2.71" customWidth="1" min="35" max="35"/>
    <col width="2.71" customWidth="1" min="36" max="36"/>
    <col width="2.71" customWidth="1" min="37" max="37"/>
    <col width="2.71" customWidth="1" min="38" max="38"/>
    <col width="2.71" customWidth="1" min="39" max="39"/>
    <col width="2.71" customWidth="1" min="40" max="40"/>
    <col width="2.71" customWidth="1" min="41" max="41"/>
    <col width="2.71" customWidth="1" min="42" max="42"/>
    <col width="2.71" customWidth="1" min="43" max="43"/>
    <col width="2.71" customWidth="1" min="44" max="44"/>
    <col width="2.71" customWidth="1" min="45" max="45"/>
    <col width="2.71" customWidth="1" min="46" max="46"/>
    <col width="2.71" customWidth="1" min="47" max="47"/>
    <col width="2.71" customWidth="1" min="48" max="48"/>
    <col width="2.71" customWidth="1" min="49" max="49"/>
    <col width="2.71" customWidth="1" min="50" max="50"/>
    <col width="2.71" customWidth="1" min="51" max="51"/>
    <col width="2.71" customWidth="1" min="52" max="52"/>
    <col width="2.71" customWidth="1" min="53" max="53"/>
    <col width="2.71" customWidth="1" min="54" max="54"/>
    <col width="2.71" customWidth="1" min="55" max="55"/>
    <col width="2.71" customWidth="1" min="56" max="56"/>
    <col width="2.71" customWidth="1" min="57" max="57"/>
    <col width="2.71" customWidth="1" min="58" max="58"/>
    <col width="2.71" customWidth="1" min="59" max="59"/>
    <col width="2.71" customWidth="1" min="60" max="60"/>
    <col width="2" customWidth="1" min="61" max="61"/>
  </cols>
  <sheetData>
    <row r="1" ht="6" customHeight="1">
      <c r="A1" s="16" t="n"/>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c r="AH1" s="16" t="n"/>
      <c r="AI1" s="16" t="n"/>
      <c r="AJ1" s="16" t="n"/>
      <c r="AK1" s="16" t="n"/>
      <c r="AL1" s="16" t="n"/>
      <c r="AM1" s="16" t="n"/>
      <c r="AN1" s="16" t="n"/>
      <c r="AO1" s="16" t="n"/>
      <c r="AP1" s="16" t="n"/>
      <c r="AQ1" s="16" t="n"/>
      <c r="AR1" s="16" t="n"/>
      <c r="AS1" s="16" t="n"/>
      <c r="AT1" s="16" t="n"/>
      <c r="AU1" s="16" t="n"/>
      <c r="AV1" s="16" t="n"/>
      <c r="AW1" s="16" t="n"/>
      <c r="AX1" s="16" t="n"/>
      <c r="AY1" s="16" t="n"/>
      <c r="AZ1" s="16" t="n"/>
      <c r="BA1" s="16" t="n"/>
      <c r="BB1" s="16" t="n"/>
      <c r="BC1" s="16" t="n"/>
      <c r="BD1" s="16" t="n"/>
      <c r="BE1" s="16" t="n"/>
      <c r="BF1" s="16" t="n"/>
      <c r="BG1" s="16" t="n"/>
      <c r="BH1" s="16" t="n"/>
      <c r="BI1" s="16" t="n"/>
    </row>
    <row r="2" ht="30" customHeight="1">
      <c r="A2" s="16" t="n"/>
      <c r="B2" s="17" t="n"/>
      <c r="C2" s="18" t="inlineStr">
        <is>
          <t>CHARGE PAR RESSOURCE (DESSINATEURS ET EXTERNES)</t>
        </is>
      </c>
      <c r="AQ2" s="17" t="n"/>
      <c r="AR2" s="17" t="n"/>
      <c r="AS2" s="17" t="n"/>
      <c r="AT2" s="19">
        <f>TODAY()</f>
        <v>46313.0</v>
      </c>
      <c r="BH2" s="17" t="n"/>
      <c r="BI2" s="16" t="n"/>
    </row>
    <row r="3" ht="18" customHeight="1">
      <c r="A3" s="16" t="n"/>
      <c r="B3" s="17" t="n"/>
      <c r="C3" s="20" t="inlineStr">
        <is>
          <t>Charge fixe hors projet + heures de ses lignes dans l'onglet Charge, comparées à la capacité mensuelle de la personne.</t>
        </is>
      </c>
      <c r="AU3" s="17" t="n"/>
      <c r="AV3" s="17" t="n"/>
      <c r="AW3" s="17" t="n"/>
      <c r="AX3" s="17" t="n"/>
      <c r="AY3" s="17" t="n"/>
      <c r="AZ3" s="17" t="n"/>
      <c r="BA3" s="17" t="n"/>
      <c r="BB3" s="17" t="n"/>
      <c r="BC3" s="17" t="n"/>
      <c r="BD3" s="17" t="n"/>
      <c r="BE3" s="17" t="n"/>
      <c r="BF3" s="17" t="n"/>
      <c r="BG3" s="17" t="n"/>
      <c r="BH3" s="17" t="n"/>
      <c r="BI3" s="16" t="n"/>
    </row>
    <row r="4" ht="8" customHeight="1">
      <c r="A4" s="16" t="n"/>
      <c r="B4" s="1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c r="AG4" s="16" t="n"/>
      <c r="AH4" s="16" t="n"/>
      <c r="AI4" s="16" t="n"/>
      <c r="AJ4" s="16" t="n"/>
      <c r="AK4" s="16" t="n"/>
      <c r="AL4" s="16" t="n"/>
      <c r="AM4" s="16" t="n"/>
      <c r="AN4" s="16" t="n"/>
      <c r="AO4" s="16"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row>
    <row r="5" ht="22" customHeight="1">
      <c r="A5" s="16" t="n"/>
      <c r="B5" s="21" t="inlineStr">
        <is>
          <t>Ressource</t>
        </is>
      </c>
      <c r="C5" s="22" t="n"/>
      <c r="D5" s="22" t="n"/>
      <c r="E5" s="22" t="n"/>
      <c r="F5" s="22" t="n"/>
      <c r="G5" s="117" t="inlineStr">
        <is>
          <t>Lucas Garnier</t>
        </is>
      </c>
      <c r="H5" s="24" t="n"/>
      <c r="I5" s="24" t="n"/>
      <c r="J5" s="24" t="n"/>
      <c r="K5" s="24" t="n"/>
      <c r="L5" s="24" t="n"/>
      <c r="M5" s="24" t="n"/>
      <c r="N5" s="24" t="n"/>
      <c r="O5" s="24" t="n"/>
      <c r="P5" s="24" t="n"/>
      <c r="Q5" s="24" t="n"/>
      <c r="R5" s="25" t="n"/>
      <c r="S5" s="26" t="n"/>
      <c r="T5" s="27" t="inlineStr">
        <is>
          <t>Capacité</t>
        </is>
      </c>
      <c r="U5" s="22" t="n"/>
      <c r="V5" s="22" t="n"/>
      <c r="W5" s="22" t="n"/>
      <c r="X5" s="118">
        <f>Calculs!$CD$6</f>
        <v>120</v>
      </c>
      <c r="Y5" s="22" t="n"/>
      <c r="Z5" s="22" t="n"/>
      <c r="AA5" s="22" t="n"/>
      <c r="AB5" s="26" t="n"/>
      <c r="AC5" s="27" t="inlineStr">
        <is>
          <t>Charge fixe</t>
        </is>
      </c>
      <c r="AD5" s="22" t="n"/>
      <c r="AE5" s="22" t="n"/>
      <c r="AF5" s="22" t="n"/>
      <c r="AG5" s="22" t="n"/>
      <c r="AH5" s="118">
        <f>Calculs!$CD$7</f>
        <v>20</v>
      </c>
      <c r="AI5" s="22" t="n"/>
      <c r="AJ5" s="22" t="n"/>
      <c r="AK5" s="26" t="n"/>
      <c r="AL5" s="27" t="inlineStr">
        <is>
          <t>Dispo. projets</t>
        </is>
      </c>
      <c r="AM5" s="22" t="n"/>
      <c r="AN5" s="22" t="n"/>
      <c r="AO5" s="22" t="n"/>
      <c r="AP5" s="22" t="n"/>
      <c r="AQ5" s="22" t="n"/>
      <c r="AR5" s="22" t="n"/>
      <c r="AS5" s="119">
        <f>Calculs!$CD$8</f>
        <v>100</v>
      </c>
      <c r="AT5" s="22" t="n"/>
      <c r="AU5" s="22" t="n"/>
      <c r="AV5" s="22" t="n"/>
      <c r="AW5" s="26" t="n"/>
      <c r="AX5" s="120">
        <f>Calculs!$CD$22</f>
        <v>46266.0</v>
      </c>
      <c r="AY5" s="22" t="n"/>
      <c r="AZ5" s="22" t="n"/>
      <c r="BA5" s="22" t="n"/>
      <c r="BB5" s="22" t="n"/>
      <c r="BC5" s="22" t="n"/>
      <c r="BD5" s="22" t="n"/>
      <c r="BE5" s="22" t="n"/>
      <c r="BF5" s="22" t="n"/>
      <c r="BG5" s="22" t="n"/>
      <c r="BH5" s="42" t="n"/>
      <c r="BI5" s="16" t="n"/>
    </row>
    <row r="6" ht="14" customHeight="1">
      <c r="A6" s="16" t="n"/>
      <c r="B6" s="30" t="n"/>
      <c r="C6" s="31" t="n"/>
      <c r="D6" s="31" t="n"/>
      <c r="E6" s="31" t="n"/>
      <c r="F6" s="31" t="n"/>
      <c r="G6" s="32" t="str">
        <f>IF(Calculs!$CD$25="Hors liste","Absent des listes Data : réglages par défaut",IF(Calculs!$CD$25="Externe","Ressource externe (Data, colonne H)","Dessinateur interne (Data, colonne E)"))</f>
        <v>Dessinateur interne (Data, colonne E)</v>
      </c>
      <c r="H6" s="33" t="n"/>
      <c r="I6" s="33" t="n"/>
      <c r="J6" s="33" t="n"/>
      <c r="K6" s="33" t="n"/>
      <c r="L6" s="33" t="n"/>
      <c r="M6" s="33" t="n"/>
      <c r="N6" s="33" t="n"/>
      <c r="O6" s="33" t="n"/>
      <c r="P6" s="33" t="n"/>
      <c r="Q6" s="33" t="n"/>
      <c r="R6" s="33" t="n"/>
      <c r="S6" s="31" t="n"/>
      <c r="T6" s="32" t="inlineStr">
        <is>
          <t>par mois · valeurs propres à la personne (Data, colonnes F-G ou I-J) ou valeurs par défaut du Dashboard</t>
        </is>
      </c>
      <c r="U6" s="33" t="n"/>
      <c r="V6" s="33" t="n"/>
      <c r="W6" s="33" t="n"/>
      <c r="X6" s="33" t="n"/>
      <c r="Y6" s="33" t="n"/>
      <c r="Z6" s="33" t="n"/>
      <c r="AA6" s="33" t="n"/>
      <c r="AB6" s="33" t="n"/>
      <c r="AC6" s="33" t="n"/>
      <c r="AD6" s="33" t="n"/>
      <c r="AE6" s="33" t="n"/>
      <c r="AF6" s="33" t="n"/>
      <c r="AG6" s="33" t="n"/>
      <c r="AH6" s="33" t="n"/>
      <c r="AI6" s="33" t="n"/>
      <c r="AJ6" s="33" t="n"/>
      <c r="AK6" s="33" t="n"/>
      <c r="AL6" s="33" t="n"/>
      <c r="AM6" s="33" t="n"/>
      <c r="AN6" s="33" t="n"/>
      <c r="AO6" s="33" t="n"/>
      <c r="AP6" s="33" t="n"/>
      <c r="AQ6" s="33" t="n"/>
      <c r="AR6" s="33" t="n"/>
      <c r="AS6" s="33" t="n"/>
      <c r="AT6" s="33" t="n"/>
      <c r="AU6" s="33" t="n"/>
      <c r="AV6" s="33" t="n"/>
      <c r="AW6" s="31" t="n"/>
      <c r="AX6" s="121" t="str">
        <f>"Périmètre : "&amp;Calculs!$CD$21</f>
        <v>Périmètre : Projets en cours</v>
      </c>
      <c r="AY6" s="33" t="n"/>
      <c r="AZ6" s="33" t="n"/>
      <c r="BA6" s="33" t="n"/>
      <c r="BB6" s="33" t="n"/>
      <c r="BC6" s="33" t="n"/>
      <c r="BD6" s="33" t="n"/>
      <c r="BE6" s="33" t="n"/>
      <c r="BF6" s="33" t="n"/>
      <c r="BG6" s="33" t="n"/>
      <c r="BH6" s="77" t="n"/>
      <c r="BI6" s="16" t="n"/>
    </row>
    <row r="7" ht="10" customHeight="1">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c r="AE7" s="16" t="n"/>
      <c r="AF7" s="16" t="n"/>
      <c r="AG7" s="16" t="n"/>
      <c r="AH7" s="16" t="n"/>
      <c r="AI7" s="16" t="n"/>
      <c r="AJ7" s="16" t="n"/>
      <c r="AK7" s="16" t="n"/>
      <c r="AL7" s="16" t="n"/>
      <c r="AM7" s="16" t="n"/>
      <c r="AN7" s="16" t="n"/>
      <c r="AO7" s="16"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row>
    <row r="8" ht="20" customHeight="1">
      <c r="A8" s="16" t="n"/>
      <c r="B8" s="37" t="str">
        <f>IF(Calculs!$CD$4="","SYNTHÈSE — choisir une ressource","SYNTHÈSE — "&amp;UPPER(Calculs!$CD$4)&amp;IF(Calculs!$CD$25="Externe","  (RESSOURCE EXTERNE)",""))</f>
        <v>SYNTHÈSE — LUCAS GARNIER</v>
      </c>
      <c r="C8" s="38" t="n"/>
      <c r="D8" s="38" t="n"/>
      <c r="E8" s="38" t="n"/>
      <c r="F8" s="38" t="n"/>
      <c r="G8" s="38" t="n"/>
      <c r="H8" s="38" t="n"/>
      <c r="I8" s="38" t="n"/>
      <c r="J8" s="38" t="n"/>
      <c r="K8" s="38" t="n"/>
      <c r="L8" s="38" t="n"/>
      <c r="M8" s="38" t="n"/>
      <c r="N8" s="38" t="n"/>
      <c r="O8" s="38" t="n"/>
      <c r="P8" s="38" t="n"/>
      <c r="Q8" s="38" t="n"/>
      <c r="R8" s="38" t="n"/>
      <c r="S8" s="38" t="n"/>
      <c r="T8" s="38" t="n"/>
      <c r="U8" s="38" t="n"/>
      <c r="V8" s="38" t="n"/>
      <c r="W8" s="38" t="n"/>
      <c r="X8" s="38" t="n"/>
      <c r="Y8" s="38" t="n"/>
      <c r="Z8" s="38" t="n"/>
      <c r="AA8" s="38" t="n"/>
      <c r="AB8" s="38" t="n"/>
      <c r="AC8" s="38" t="n"/>
      <c r="AD8" s="38" t="n"/>
      <c r="AE8" s="38" t="n"/>
      <c r="AF8" s="39" t="str">
        <f>IF(Calculs!$CD$27&gt;0,"Attention : "&amp;Calculs!$CD$27&amp;" ligne(s) de Charge ont un dessinateur ET une ressource externe (en rouge dans Charge)","")</f>
        <v/>
      </c>
      <c r="AG8" s="40" t="n"/>
      <c r="AH8" s="40" t="n"/>
      <c r="AI8" s="40" t="n"/>
      <c r="AJ8" s="40" t="n"/>
      <c r="AK8" s="40" t="n"/>
      <c r="AL8" s="40" t="n"/>
      <c r="AM8" s="40" t="n"/>
      <c r="AN8" s="40" t="n"/>
      <c r="AO8" s="40" t="n"/>
      <c r="AP8" s="40" t="n"/>
      <c r="AQ8" s="40" t="n"/>
      <c r="AR8" s="40" t="n"/>
      <c r="AS8" s="40" t="n"/>
      <c r="AT8" s="40" t="n"/>
      <c r="AU8" s="40" t="n"/>
      <c r="AV8" s="40" t="n"/>
      <c r="AW8" s="40" t="n"/>
      <c r="AX8" s="40" t="n"/>
      <c r="AY8" s="40" t="n"/>
      <c r="AZ8" s="40" t="n"/>
      <c r="BA8" s="40" t="n"/>
      <c r="BB8" s="40" t="n"/>
      <c r="BC8" s="40" t="n"/>
      <c r="BD8" s="40" t="n"/>
      <c r="BE8" s="40" t="n"/>
      <c r="BF8" s="40" t="n"/>
      <c r="BG8" s="40" t="n"/>
      <c r="BH8" s="40" t="n"/>
      <c r="BI8" s="16" t="n"/>
    </row>
    <row r="9" ht="6" customHeight="1">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row>
    <row r="10" ht="6" customHeight="1">
      <c r="A10" s="16" t="n"/>
      <c r="B10" s="81" t="n"/>
      <c r="C10" s="82" t="n"/>
      <c r="D10" s="82" t="n"/>
      <c r="E10" s="82" t="n"/>
      <c r="F10" s="82" t="n"/>
      <c r="G10" s="82" t="n"/>
      <c r="H10" s="82" t="n"/>
      <c r="I10" s="82" t="n"/>
      <c r="J10" s="82" t="n"/>
      <c r="K10" s="82" t="n"/>
      <c r="L10" s="83" t="n"/>
      <c r="M10" s="16" t="n"/>
      <c r="N10" s="81" t="n"/>
      <c r="O10" s="82" t="n"/>
      <c r="P10" s="82" t="n"/>
      <c r="Q10" s="82" t="n"/>
      <c r="R10" s="82" t="n"/>
      <c r="S10" s="82" t="n"/>
      <c r="T10" s="82" t="n"/>
      <c r="U10" s="82" t="n"/>
      <c r="V10" s="82" t="n"/>
      <c r="W10" s="82" t="n"/>
      <c r="X10" s="83" t="n"/>
      <c r="Y10" s="16" t="n"/>
      <c r="Z10" s="81" t="n"/>
      <c r="AA10" s="82" t="n"/>
      <c r="AB10" s="82" t="n"/>
      <c r="AC10" s="82" t="n"/>
      <c r="AD10" s="82" t="n"/>
      <c r="AE10" s="82" t="n"/>
      <c r="AF10" s="82" t="n"/>
      <c r="AG10" s="82" t="n"/>
      <c r="AH10" s="82" t="n"/>
      <c r="AI10" s="82" t="n"/>
      <c r="AJ10" s="83" t="n"/>
      <c r="AK10" s="16" t="n"/>
      <c r="AL10" s="81" t="n"/>
      <c r="AM10" s="82" t="n"/>
      <c r="AN10" s="82" t="n"/>
      <c r="AO10" s="82" t="n"/>
      <c r="AP10" s="82" t="n"/>
      <c r="AQ10" s="82" t="n"/>
      <c r="AR10" s="82" t="n"/>
      <c r="AS10" s="82" t="n"/>
      <c r="AT10" s="82" t="n"/>
      <c r="AU10" s="82" t="n"/>
      <c r="AV10" s="83" t="n"/>
      <c r="AW10" s="16" t="n"/>
      <c r="AX10" s="81" t="n"/>
      <c r="AY10" s="82" t="n"/>
      <c r="AZ10" s="82" t="n"/>
      <c r="BA10" s="82" t="n"/>
      <c r="BB10" s="82" t="n"/>
      <c r="BC10" s="82" t="n"/>
      <c r="BD10" s="82" t="n"/>
      <c r="BE10" s="82" t="n"/>
      <c r="BF10" s="82" t="n"/>
      <c r="BG10" s="82" t="n"/>
      <c r="BH10" s="83" t="n"/>
      <c r="BI10" s="16" t="n"/>
    </row>
    <row r="11" ht="18" customHeight="1">
      <c r="A11" s="16" t="n"/>
      <c r="B11" s="46" t="n"/>
      <c r="C11" s="47" t="inlineStr">
        <is>
          <t>CAPACITÉ MENSUELLE</t>
        </is>
      </c>
      <c r="L11" s="48" t="n"/>
      <c r="M11" s="16" t="n"/>
      <c r="N11" s="46" t="n"/>
      <c r="O11" s="47" t="inlineStr">
        <is>
          <t>CHARGE PROJETS AFFECTÉE</t>
        </is>
      </c>
      <c r="X11" s="48" t="n"/>
      <c r="Y11" s="16" t="n"/>
      <c r="Z11" s="46" t="n"/>
      <c r="AA11" s="47" t="inlineStr">
        <is>
          <t>MOIS LE PLUS CHARGÉ</t>
        </is>
      </c>
      <c r="AJ11" s="48" t="n"/>
      <c r="AK11" s="16" t="n"/>
      <c r="AL11" s="46" t="n"/>
      <c r="AM11" s="47" t="inlineStr">
        <is>
          <t>MOIS EN SURCHARGE</t>
        </is>
      </c>
      <c r="AV11" s="48" t="n"/>
      <c r="AW11" s="16" t="n"/>
      <c r="AX11" s="46" t="n"/>
      <c r="AY11" s="47" t="inlineStr">
        <is>
          <t>OCCUPATION MOYENNE</t>
        </is>
      </c>
      <c r="BH11" s="48" t="n"/>
      <c r="BI11" s="16" t="n"/>
    </row>
    <row r="12" ht="34" customHeight="1">
      <c r="A12" s="16" t="n"/>
      <c r="B12" s="46" t="n"/>
      <c r="C12" s="84">
        <f>Calculs!$CD$6</f>
        <v>120</v>
      </c>
      <c r="L12" s="48" t="n"/>
      <c r="M12" s="16" t="n"/>
      <c r="N12" s="46" t="n"/>
      <c r="O12" s="84">
        <f>Calculs!$CD$9</f>
        <v>420</v>
      </c>
      <c r="X12" s="48" t="n"/>
      <c r="Y12" s="16" t="n"/>
      <c r="Z12" s="46" t="n"/>
      <c r="AA12" s="85">
        <f>IF(OR(Calculs!$CD$4="",Calculs!$CD$11=0),"—",Calculs!$CD$14)</f>
        <v>46327.0</v>
      </c>
      <c r="AJ12" s="48" t="n"/>
      <c r="AK12" s="16" t="n"/>
      <c r="AL12" s="46" t="n"/>
      <c r="AM12" s="122">
        <f>Calculs!$CD$16</f>
        <v>1</v>
      </c>
      <c r="AV12" s="48" t="n"/>
      <c r="AW12" s="16" t="n"/>
      <c r="AX12" s="46" t="n"/>
      <c r="AY12" s="87">
        <f>Calculs!$CD$19</f>
        <v>0.458333333333333</v>
      </c>
      <c r="BH12" s="48" t="n"/>
      <c r="BI12" s="16" t="n"/>
    </row>
    <row r="13" ht="15" customHeight="1">
      <c r="A13" s="16" t="n"/>
      <c r="B13" s="46" t="n"/>
      <c r="C13" s="123">
        <f>Calculs!$CD$7</f>
        <v>20</v>
      </c>
      <c r="L13" s="48" t="n"/>
      <c r="M13" s="16" t="n"/>
      <c r="N13" s="46" t="n"/>
      <c r="O13" s="124">
        <f>Calculs!$CD$10</f>
        <v>2</v>
      </c>
      <c r="X13" s="48" t="n"/>
      <c r="Y13" s="16" t="n"/>
      <c r="Z13" s="46" t="n"/>
      <c r="AA13" s="125">
        <f>Calculs!$CD$12</f>
        <v>121.969696969697</v>
      </c>
      <c r="AJ13" s="48" t="n"/>
      <c r="AK13" s="16" t="n"/>
      <c r="AL13" s="46" t="n"/>
      <c r="AM13" s="126">
        <f>Calculs!$CD$17</f>
        <v>2</v>
      </c>
      <c r="AV13" s="48" t="n"/>
      <c r="AW13" s="16" t="n"/>
      <c r="AX13" s="46" t="n"/>
      <c r="AY13" s="127">
        <f>Calculs!$CD$18</f>
        <v>782</v>
      </c>
      <c r="BH13" s="48" t="n"/>
      <c r="BI13" s="16" t="n"/>
    </row>
    <row r="14" ht="15" customHeight="1">
      <c r="A14" s="16" t="n"/>
      <c r="B14" s="46" t="n"/>
      <c r="C14" s="128">
        <f>IF(AND(Calculs!$CD$4&lt;&gt;"",Calculs!$CD$7&gt;=Calculs!$CD$6),"Attention : charge fixe ≥ capacité",Calculs!$CD$8)</f>
        <v>100</v>
      </c>
      <c r="L14" s="48" t="n"/>
      <c r="M14" s="16" t="n"/>
      <c r="N14" s="46" t="n"/>
      <c r="O14" s="129">
        <f>Calculs!$CD$11</f>
        <v>420</v>
      </c>
      <c r="X14" s="48" t="n"/>
      <c r="Y14" s="16" t="n"/>
      <c r="Z14" s="46" t="n"/>
      <c r="AA14" s="130">
        <f>Calculs!$CD$15</f>
        <v>1.01666666666667</v>
      </c>
      <c r="AJ14" s="48" t="n"/>
      <c r="AK14" s="16" t="n"/>
      <c r="AL14" s="46" t="n"/>
      <c r="AM14" s="131">
        <f>IF(Calculs!$CD$16=0,"Aucun dépassement prévu",Calculs!$CD$20)</f>
        <v>46327.0</v>
      </c>
      <c r="AV14" s="48" t="n"/>
      <c r="AW14" s="16" t="n"/>
      <c r="AX14" s="46" t="n"/>
      <c r="AY14" s="96" t="inlineStr">
        <is>
          <t>sur les 12 mois affichés</t>
        </is>
      </c>
      <c r="BH14" s="48" t="n"/>
      <c r="BI14" s="16" t="n"/>
    </row>
    <row r="15" ht="8" customHeight="1">
      <c r="A15" s="16" t="n"/>
      <c r="B15" s="30" t="n"/>
      <c r="C15" s="31" t="n"/>
      <c r="D15" s="31" t="n"/>
      <c r="E15" s="31" t="n"/>
      <c r="F15" s="31" t="n"/>
      <c r="G15" s="31" t="n"/>
      <c r="H15" s="31" t="n"/>
      <c r="I15" s="31" t="n"/>
      <c r="J15" s="31" t="n"/>
      <c r="K15" s="31" t="n"/>
      <c r="L15" s="77" t="n"/>
      <c r="M15" s="16" t="n"/>
      <c r="N15" s="30" t="n"/>
      <c r="O15" s="31" t="n"/>
      <c r="P15" s="31" t="n"/>
      <c r="Q15" s="31" t="n"/>
      <c r="R15" s="31" t="n"/>
      <c r="S15" s="31" t="n"/>
      <c r="T15" s="31" t="n"/>
      <c r="U15" s="31" t="n"/>
      <c r="V15" s="31" t="n"/>
      <c r="W15" s="31" t="n"/>
      <c r="X15" s="77" t="n"/>
      <c r="Y15" s="16" t="n"/>
      <c r="Z15" s="30" t="n"/>
      <c r="AA15" s="31" t="n"/>
      <c r="AB15" s="31" t="n"/>
      <c r="AC15" s="31" t="n"/>
      <c r="AD15" s="31" t="n"/>
      <c r="AE15" s="31" t="n"/>
      <c r="AF15" s="31" t="n"/>
      <c r="AG15" s="31" t="n"/>
      <c r="AH15" s="31" t="n"/>
      <c r="AI15" s="31" t="n"/>
      <c r="AJ15" s="77" t="n"/>
      <c r="AK15" s="16" t="n"/>
      <c r="AL15" s="30" t="n"/>
      <c r="AM15" s="31" t="n"/>
      <c r="AN15" s="31" t="n"/>
      <c r="AO15" s="31" t="n"/>
      <c r="AP15" s="31" t="n"/>
      <c r="AQ15" s="31" t="n"/>
      <c r="AR15" s="31" t="n"/>
      <c r="AS15" s="31" t="n"/>
      <c r="AT15" s="31" t="n"/>
      <c r="AU15" s="31" t="n"/>
      <c r="AV15" s="77" t="n"/>
      <c r="AW15" s="16" t="n"/>
      <c r="AX15" s="30" t="n"/>
      <c r="AY15" s="31" t="n"/>
      <c r="AZ15" s="31" t="n"/>
      <c r="BA15" s="31" t="n"/>
      <c r="BB15" s="31" t="n"/>
      <c r="BC15" s="31" t="n"/>
      <c r="BD15" s="31" t="n"/>
      <c r="BE15" s="31" t="n"/>
      <c r="BF15" s="31" t="n"/>
      <c r="BG15" s="31" t="n"/>
      <c r="BH15" s="77" t="n"/>
      <c r="BI15" s="16" t="n"/>
    </row>
    <row r="16" ht="14" customHeight="1">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c r="AE16" s="16" t="n"/>
      <c r="AF16" s="16" t="n"/>
      <c r="AG16" s="16" t="n"/>
      <c r="AH16" s="16" t="n"/>
      <c r="AI16" s="16" t="n"/>
      <c r="AJ16" s="16" t="n"/>
      <c r="AK16" s="16" t="n"/>
      <c r="AL16" s="16" t="n"/>
      <c r="AM16" s="16" t="n"/>
      <c r="AN16" s="16" t="n"/>
      <c r="AO16" s="16" t="n"/>
      <c r="AP16" s="16" t="n"/>
      <c r="AQ16" s="16" t="n"/>
      <c r="AR16" s="16" t="n"/>
      <c r="AS16" s="16" t="n"/>
      <c r="AT16" s="16" t="n"/>
      <c r="AU16" s="16" t="n"/>
      <c r="AV16" s="16" t="n"/>
      <c r="AW16" s="16" t="n"/>
      <c r="AX16" s="16" t="n"/>
      <c r="AY16" s="16" t="n"/>
      <c r="AZ16" s="16" t="n"/>
      <c r="BA16" s="16" t="n"/>
      <c r="BB16" s="16" t="n"/>
      <c r="BC16" s="16" t="n"/>
      <c r="BD16" s="16" t="n"/>
      <c r="BE16" s="16" t="n"/>
      <c r="BF16" s="16" t="n"/>
      <c r="BG16" s="16" t="n"/>
      <c r="BH16" s="16" t="n"/>
      <c r="BI16" s="16" t="n"/>
    </row>
    <row r="17" ht="20" customHeight="1">
      <c r="A17" s="16" t="n"/>
      <c r="B17" s="37" t="inlineStr">
        <is>
          <t>CHARGE MENSUELLE</t>
        </is>
      </c>
      <c r="C17" s="38" t="n"/>
      <c r="D17" s="38" t="n"/>
      <c r="E17" s="38" t="n"/>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c r="AA17" s="38" t="n"/>
      <c r="AB17" s="38" t="n"/>
      <c r="AC17" s="38" t="n"/>
      <c r="AD17" s="38" t="n"/>
      <c r="AE17" s="38" t="n"/>
      <c r="AF17" s="38" t="n"/>
      <c r="AG17" s="38" t="n"/>
      <c r="AH17" s="38" t="n"/>
      <c r="AI17" s="38" t="n"/>
      <c r="AJ17" s="38" t="n"/>
      <c r="AK17" s="38" t="n"/>
      <c r="AL17" s="38" t="n"/>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n"/>
      <c r="BH17" s="38" t="n"/>
      <c r="BI17" s="16" t="n"/>
    </row>
    <row r="18" ht="6" customHeight="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c r="AI18" s="16" t="n"/>
      <c r="AJ18" s="16" t="n"/>
      <c r="AK18" s="16" t="n"/>
      <c r="AL18" s="16" t="n"/>
      <c r="AM18" s="16" t="n"/>
      <c r="AN18" s="16" t="n"/>
      <c r="AO18" s="16" t="n"/>
      <c r="AP18" s="16" t="n"/>
      <c r="AQ18" s="16" t="n"/>
      <c r="AR18" s="16" t="n"/>
      <c r="AS18" s="16" t="n"/>
      <c r="AT18" s="16" t="n"/>
      <c r="AU18" s="16" t="n"/>
      <c r="AV18" s="16" t="n"/>
      <c r="AW18" s="16" t="n"/>
      <c r="AX18" s="16" t="n"/>
      <c r="AY18" s="16" t="n"/>
      <c r="AZ18" s="16" t="n"/>
      <c r="BA18" s="16" t="n"/>
      <c r="BB18" s="16" t="n"/>
      <c r="BC18" s="16" t="n"/>
      <c r="BD18" s="16" t="n"/>
      <c r="BE18" s="16" t="n"/>
      <c r="BF18" s="16" t="n"/>
      <c r="BG18" s="16" t="n"/>
      <c r="BH18" s="16" t="n"/>
      <c r="BI18" s="16" t="n"/>
    </row>
    <row r="19" ht="6" customHeight="1">
      <c r="A19" s="16" t="n"/>
      <c r="B19" s="41"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c r="AC19" s="26" t="n"/>
      <c r="AD19" s="26" t="n"/>
      <c r="AE19" s="26" t="n"/>
      <c r="AF19" s="26" t="n"/>
      <c r="AG19" s="26" t="n"/>
      <c r="AH19" s="26" t="n"/>
      <c r="AI19" s="26" t="n"/>
      <c r="AJ19" s="26" t="n"/>
      <c r="AK19" s="26" t="n"/>
      <c r="AL19" s="26" t="n"/>
      <c r="AM19" s="26" t="n"/>
      <c r="AN19" s="26" t="n"/>
      <c r="AO19" s="26" t="n"/>
      <c r="AP19" s="26" t="n"/>
      <c r="AQ19" s="26" t="n"/>
      <c r="AR19" s="26" t="n"/>
      <c r="AS19" s="26" t="n"/>
      <c r="AT19" s="26" t="n"/>
      <c r="AU19" s="26" t="n"/>
      <c r="AV19" s="26" t="n"/>
      <c r="AW19" s="26" t="n"/>
      <c r="AX19" s="26" t="n"/>
      <c r="AY19" s="26" t="n"/>
      <c r="AZ19" s="26" t="n"/>
      <c r="BA19" s="26" t="n"/>
      <c r="BB19" s="26" t="n"/>
      <c r="BC19" s="26" t="n"/>
      <c r="BD19" s="26" t="n"/>
      <c r="BE19" s="26" t="n"/>
      <c r="BF19" s="26" t="n"/>
      <c r="BG19" s="26" t="n"/>
      <c r="BH19" s="42" t="n"/>
      <c r="BI19" s="16" t="n"/>
    </row>
    <row r="20" ht="18" customHeight="1">
      <c r="A20" s="16" t="n"/>
      <c r="B20" s="46" t="n"/>
      <c r="C20" s="47" t="str">
        <f>IF(Calculs!$CD$4="","CHARGE MENSUELLE (HEURES)","CHARGE MENSUELLE DE "&amp;UPPER(Calculs!$CD$4)&amp;" (HEURES)")</f>
        <v>CHARGE MENSUELLE DE LUCAS GARNIER (HEURES)</v>
      </c>
      <c r="AQ20" s="68" t="n"/>
      <c r="AR20" s="68" t="n"/>
      <c r="AS20" s="68" t="n"/>
      <c r="AT20" s="68" t="n"/>
      <c r="AU20" s="68" t="n"/>
      <c r="AV20" s="68" t="n"/>
      <c r="AW20" s="68" t="n"/>
      <c r="AX20" s="68" t="n"/>
      <c r="AY20" s="68" t="n"/>
      <c r="AZ20" s="68" t="n"/>
      <c r="BA20" s="68" t="n"/>
      <c r="BB20" s="68" t="n"/>
      <c r="BC20" s="68" t="n"/>
      <c r="BD20" s="68" t="n"/>
      <c r="BE20" s="68" t="n"/>
      <c r="BF20" s="68" t="n"/>
      <c r="BG20" s="68" t="n"/>
      <c r="BH20" s="48" t="n"/>
      <c r="BI20" s="16" t="n"/>
    </row>
    <row r="21" ht="16" customHeight="1">
      <c r="A21" s="16" t="n"/>
      <c r="B21" s="46" t="n"/>
      <c r="C21" s="132" t="n"/>
      <c r="D21" s="133" t="inlineStr">
        <is>
          <t>Charge fixe hors projet</t>
        </is>
      </c>
      <c r="M21" s="68" t="n"/>
      <c r="N21" s="62" t="n"/>
      <c r="O21" s="133" t="inlineStr">
        <is>
          <t>Charge projets</t>
        </is>
      </c>
      <c r="X21" s="68" t="n"/>
      <c r="Y21" s="134" t="n"/>
      <c r="Z21" s="133" t="inlineStr">
        <is>
          <t>Dépassement de capacité</t>
        </is>
      </c>
      <c r="AI21" s="68" t="n"/>
      <c r="AJ21" s="68" t="n"/>
      <c r="AK21" s="135" t="n"/>
      <c r="AL21" s="135" t="n"/>
      <c r="AM21" s="133" t="inlineStr">
        <is>
          <t>Capacité mensuelle</t>
        </is>
      </c>
      <c r="AX21" s="68" t="n"/>
      <c r="AY21" s="68" t="n"/>
      <c r="AZ21" s="68" t="n"/>
      <c r="BA21" s="68" t="n"/>
      <c r="BB21" s="68" t="n"/>
      <c r="BC21" s="68" t="n"/>
      <c r="BD21" s="68" t="n"/>
      <c r="BE21" s="68" t="n"/>
      <c r="BF21" s="68" t="n"/>
      <c r="BG21" s="68" t="n"/>
      <c r="BH21" s="48" t="n"/>
      <c r="BI21" s="16" t="n"/>
    </row>
    <row r="22" ht="15" customHeight="1">
      <c r="A22" s="16" t="n"/>
      <c r="B22" s="46" t="n"/>
      <c r="C22" s="68" t="n"/>
      <c r="D22" s="68" t="n"/>
      <c r="E22" s="68" t="n"/>
      <c r="F22" s="68" t="n"/>
      <c r="G22" s="68"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c r="AB22" s="68" t="n"/>
      <c r="AC22" s="68" t="n"/>
      <c r="AD22" s="68" t="n"/>
      <c r="AE22" s="68" t="n"/>
      <c r="AF22" s="68" t="n"/>
      <c r="AG22" s="68" t="n"/>
      <c r="AH22" s="68" t="n"/>
      <c r="AI22" s="68" t="n"/>
      <c r="AJ22" s="68" t="n"/>
      <c r="AK22" s="68" t="n"/>
      <c r="AL22" s="68" t="n"/>
      <c r="AM22" s="68" t="n"/>
      <c r="AN22" s="68" t="n"/>
      <c r="AO22" s="68" t="n"/>
      <c r="AP22" s="68" t="n"/>
      <c r="AQ22" s="68" t="n"/>
      <c r="AR22" s="68" t="n"/>
      <c r="AS22" s="68" t="n"/>
      <c r="AT22" s="68" t="n"/>
      <c r="AU22" s="68" t="n"/>
      <c r="AV22" s="68" t="n"/>
      <c r="AW22" s="68" t="n"/>
      <c r="AX22" s="68" t="n"/>
      <c r="AY22" s="68" t="n"/>
      <c r="AZ22" s="68" t="n"/>
      <c r="BA22" s="68" t="n"/>
      <c r="BB22" s="68" t="n"/>
      <c r="BC22" s="68" t="n"/>
      <c r="BD22" s="68" t="n"/>
      <c r="BE22" s="68" t="n"/>
      <c r="BF22" s="68" t="n"/>
      <c r="BG22" s="68" t="n"/>
      <c r="BH22" s="48" t="n"/>
      <c r="BI22" s="16" t="n"/>
    </row>
    <row r="23" ht="15" customHeight="1">
      <c r="A23" s="16" t="n"/>
      <c r="B23" s="46" t="n"/>
      <c r="C23" s="68" t="n"/>
      <c r="D23" s="68" t="n"/>
      <c r="E23" s="68" t="n"/>
      <c r="F23" s="68" t="n"/>
      <c r="G23" s="68" t="n"/>
      <c r="H23" s="68" t="n"/>
      <c r="I23" s="68" t="n"/>
      <c r="J23" s="68" t="n"/>
      <c r="K23" s="68" t="n"/>
      <c r="L23" s="68" t="n"/>
      <c r="M23" s="68" t="n"/>
      <c r="N23" s="68" t="n"/>
      <c r="O23" s="68" t="n"/>
      <c r="P23" s="68" t="n"/>
      <c r="Q23" s="68" t="n"/>
      <c r="R23" s="68" t="n"/>
      <c r="S23" s="68" t="n"/>
      <c r="T23" s="68" t="n"/>
      <c r="U23" s="68" t="n"/>
      <c r="V23" s="68" t="n"/>
      <c r="W23" s="68" t="n"/>
      <c r="X23" s="68" t="n"/>
      <c r="Y23" s="68" t="n"/>
      <c r="Z23" s="68" t="n"/>
      <c r="AA23" s="68" t="n"/>
      <c r="AB23" s="68" t="n"/>
      <c r="AC23" s="68" t="n"/>
      <c r="AD23" s="68" t="n"/>
      <c r="AE23" s="68" t="n"/>
      <c r="AF23" s="68" t="n"/>
      <c r="AG23" s="68" t="n"/>
      <c r="AH23" s="68" t="n"/>
      <c r="AI23" s="68" t="n"/>
      <c r="AJ23" s="68" t="n"/>
      <c r="AK23" s="68" t="n"/>
      <c r="AL23" s="68" t="n"/>
      <c r="AM23" s="68" t="n"/>
      <c r="AN23" s="68" t="n"/>
      <c r="AO23" s="68" t="n"/>
      <c r="AP23" s="68" t="n"/>
      <c r="AQ23" s="68" t="n"/>
      <c r="AR23" s="68" t="n"/>
      <c r="AS23" s="68" t="n"/>
      <c r="AT23" s="68" t="n"/>
      <c r="AU23" s="68" t="n"/>
      <c r="AV23" s="68" t="n"/>
      <c r="AW23" s="68" t="n"/>
      <c r="AX23" s="68" t="n"/>
      <c r="AY23" s="68" t="n"/>
      <c r="AZ23" s="68" t="n"/>
      <c r="BA23" s="68" t="n"/>
      <c r="BB23" s="68" t="n"/>
      <c r="BC23" s="68" t="n"/>
      <c r="BD23" s="68" t="n"/>
      <c r="BE23" s="68" t="n"/>
      <c r="BF23" s="68" t="n"/>
      <c r="BG23" s="68" t="n"/>
      <c r="BH23" s="48" t="n"/>
      <c r="BI23" s="16" t="n"/>
    </row>
    <row r="24" ht="15" customHeight="1">
      <c r="A24" s="16" t="n"/>
      <c r="B24" s="46" t="n"/>
      <c r="C24" s="68" t="n"/>
      <c r="D24" s="68" t="n"/>
      <c r="E24" s="68" t="n"/>
      <c r="F24" s="68" t="n"/>
      <c r="G24" s="68"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c r="AB24" s="68" t="n"/>
      <c r="AC24" s="68" t="n"/>
      <c r="AD24" s="68" t="n"/>
      <c r="AE24" s="68" t="n"/>
      <c r="AF24" s="68" t="n"/>
      <c r="AG24" s="68" t="n"/>
      <c r="AH24" s="68" t="n"/>
      <c r="AI24" s="68" t="n"/>
      <c r="AJ24" s="68" t="n"/>
      <c r="AK24" s="68" t="n"/>
      <c r="AL24" s="68" t="n"/>
      <c r="AM24" s="68" t="n"/>
      <c r="AN24" s="68" t="n"/>
      <c r="AO24" s="68" t="n"/>
      <c r="AP24" s="68" t="n"/>
      <c r="AQ24" s="68" t="n"/>
      <c r="AR24" s="68" t="n"/>
      <c r="AS24" s="68" t="n"/>
      <c r="AT24" s="68" t="n"/>
      <c r="AU24" s="68" t="n"/>
      <c r="AV24" s="68" t="n"/>
      <c r="AW24" s="68" t="n"/>
      <c r="AX24" s="68" t="n"/>
      <c r="AY24" s="68" t="n"/>
      <c r="AZ24" s="68" t="n"/>
      <c r="BA24" s="68" t="n"/>
      <c r="BB24" s="68" t="n"/>
      <c r="BC24" s="68" t="n"/>
      <c r="BD24" s="68" t="n"/>
      <c r="BE24" s="68" t="n"/>
      <c r="BF24" s="68" t="n"/>
      <c r="BG24" s="68" t="n"/>
      <c r="BH24" s="48" t="n"/>
      <c r="BI24" s="16" t="n"/>
    </row>
    <row r="25" ht="15" customHeight="1">
      <c r="A25" s="16" t="n"/>
      <c r="B25" s="46" t="n"/>
      <c r="C25" s="68" t="n"/>
      <c r="D25" s="68" t="n"/>
      <c r="E25" s="68" t="n"/>
      <c r="F25" s="68" t="n"/>
      <c r="G25" s="68"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c r="AB25" s="68" t="n"/>
      <c r="AC25" s="68" t="n"/>
      <c r="AD25" s="68" t="n"/>
      <c r="AE25" s="68" t="n"/>
      <c r="AF25" s="68" t="n"/>
      <c r="AG25" s="68" t="n"/>
      <c r="AH25" s="68" t="n"/>
      <c r="AI25" s="68" t="n"/>
      <c r="AJ25" s="68" t="n"/>
      <c r="AK25" s="68" t="n"/>
      <c r="AL25" s="68" t="n"/>
      <c r="AM25" s="68" t="n"/>
      <c r="AN25" s="68" t="n"/>
      <c r="AO25" s="68" t="n"/>
      <c r="AP25" s="68" t="n"/>
      <c r="AQ25" s="68" t="n"/>
      <c r="AR25" s="68" t="n"/>
      <c r="AS25" s="68" t="n"/>
      <c r="AT25" s="68" t="n"/>
      <c r="AU25" s="68" t="n"/>
      <c r="AV25" s="68" t="n"/>
      <c r="AW25" s="68" t="n"/>
      <c r="AX25" s="68" t="n"/>
      <c r="AY25" s="68" t="n"/>
      <c r="AZ25" s="68" t="n"/>
      <c r="BA25" s="68" t="n"/>
      <c r="BB25" s="68" t="n"/>
      <c r="BC25" s="68" t="n"/>
      <c r="BD25" s="68" t="n"/>
      <c r="BE25" s="68" t="n"/>
      <c r="BF25" s="68" t="n"/>
      <c r="BG25" s="68" t="n"/>
      <c r="BH25" s="48" t="n"/>
      <c r="BI25" s="16" t="n"/>
    </row>
    <row r="26" ht="15" customHeight="1">
      <c r="A26" s="16" t="n"/>
      <c r="B26" s="46" t="n"/>
      <c r="C26" s="68" t="n"/>
      <c r="D26" s="68" t="n"/>
      <c r="E26" s="68" t="n"/>
      <c r="F26" s="68" t="n"/>
      <c r="G26" s="68"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c r="AB26" s="68" t="n"/>
      <c r="AC26" s="68" t="n"/>
      <c r="AD26" s="68" t="n"/>
      <c r="AE26" s="68" t="n"/>
      <c r="AF26" s="68" t="n"/>
      <c r="AG26" s="68" t="n"/>
      <c r="AH26" s="68" t="n"/>
      <c r="AI26" s="68" t="n"/>
      <c r="AJ26" s="68" t="n"/>
      <c r="AK26" s="68" t="n"/>
      <c r="AL26" s="68" t="n"/>
      <c r="AM26" s="68" t="n"/>
      <c r="AN26" s="68" t="n"/>
      <c r="AO26" s="68" t="n"/>
      <c r="AP26" s="68" t="n"/>
      <c r="AQ26" s="68" t="n"/>
      <c r="AR26" s="68" t="n"/>
      <c r="AS26" s="68" t="n"/>
      <c r="AT26" s="68" t="n"/>
      <c r="AU26" s="68" t="n"/>
      <c r="AV26" s="68" t="n"/>
      <c r="AW26" s="68" t="n"/>
      <c r="AX26" s="68" t="n"/>
      <c r="AY26" s="68" t="n"/>
      <c r="AZ26" s="68" t="n"/>
      <c r="BA26" s="68" t="n"/>
      <c r="BB26" s="68" t="n"/>
      <c r="BC26" s="68" t="n"/>
      <c r="BD26" s="68" t="n"/>
      <c r="BE26" s="68" t="n"/>
      <c r="BF26" s="68" t="n"/>
      <c r="BG26" s="68" t="n"/>
      <c r="BH26" s="48" t="n"/>
      <c r="BI26" s="16" t="n"/>
    </row>
    <row r="27" ht="15" customHeight="1">
      <c r="A27" s="16" t="n"/>
      <c r="B27" s="46" t="n"/>
      <c r="C27" s="68" t="n"/>
      <c r="D27" s="68" t="n"/>
      <c r="E27" s="68" t="n"/>
      <c r="F27" s="68" t="n"/>
      <c r="G27" s="68" t="n"/>
      <c r="H27" s="68" t="n"/>
      <c r="I27" s="68" t="n"/>
      <c r="J27" s="68" t="n"/>
      <c r="K27" s="68" t="n"/>
      <c r="L27" s="68" t="n"/>
      <c r="M27" s="68" t="n"/>
      <c r="N27" s="68" t="n"/>
      <c r="O27" s="68" t="n"/>
      <c r="P27" s="68" t="n"/>
      <c r="Q27" s="68" t="n"/>
      <c r="R27" s="68" t="n"/>
      <c r="S27" s="68" t="n"/>
      <c r="T27" s="68" t="n"/>
      <c r="U27" s="68" t="n"/>
      <c r="V27" s="68" t="n"/>
      <c r="W27" s="68" t="n"/>
      <c r="X27" s="68" t="n"/>
      <c r="Y27" s="68" t="n"/>
      <c r="Z27" s="68" t="n"/>
      <c r="AA27" s="68" t="n"/>
      <c r="AB27" s="68" t="n"/>
      <c r="AC27" s="68" t="n"/>
      <c r="AD27" s="68" t="n"/>
      <c r="AE27" s="68" t="n"/>
      <c r="AF27" s="68" t="n"/>
      <c r="AG27" s="68" t="n"/>
      <c r="AH27" s="68" t="n"/>
      <c r="AI27" s="68" t="n"/>
      <c r="AJ27" s="68" t="n"/>
      <c r="AK27" s="68" t="n"/>
      <c r="AL27" s="68" t="n"/>
      <c r="AM27" s="68" t="n"/>
      <c r="AN27" s="68" t="n"/>
      <c r="AO27" s="68" t="n"/>
      <c r="AP27" s="68" t="n"/>
      <c r="AQ27" s="68" t="n"/>
      <c r="AR27" s="68" t="n"/>
      <c r="AS27" s="68" t="n"/>
      <c r="AT27" s="68" t="n"/>
      <c r="AU27" s="68" t="n"/>
      <c r="AV27" s="68" t="n"/>
      <c r="AW27" s="68" t="n"/>
      <c r="AX27" s="68" t="n"/>
      <c r="AY27" s="68" t="n"/>
      <c r="AZ27" s="68" t="n"/>
      <c r="BA27" s="68" t="n"/>
      <c r="BB27" s="68" t="n"/>
      <c r="BC27" s="68" t="n"/>
      <c r="BD27" s="68" t="n"/>
      <c r="BE27" s="68" t="n"/>
      <c r="BF27" s="68" t="n"/>
      <c r="BG27" s="68" t="n"/>
      <c r="BH27" s="48" t="n"/>
      <c r="BI27" s="16" t="n"/>
    </row>
    <row r="28" ht="15" customHeight="1">
      <c r="A28" s="16" t="n"/>
      <c r="B28" s="46" t="n"/>
      <c r="C28" s="68" t="n"/>
      <c r="D28" s="68" t="n"/>
      <c r="E28" s="68" t="n"/>
      <c r="F28" s="68" t="n"/>
      <c r="G28" s="68" t="n"/>
      <c r="H28" s="68" t="n"/>
      <c r="I28" s="68" t="n"/>
      <c r="J28" s="68" t="n"/>
      <c r="K28" s="68" t="n"/>
      <c r="L28" s="68" t="n"/>
      <c r="M28" s="68" t="n"/>
      <c r="N28" s="68" t="n"/>
      <c r="O28" s="68" t="n"/>
      <c r="P28" s="68" t="n"/>
      <c r="Q28" s="68" t="n"/>
      <c r="R28" s="68" t="n"/>
      <c r="S28" s="68" t="n"/>
      <c r="T28" s="68" t="n"/>
      <c r="U28" s="68" t="n"/>
      <c r="V28" s="68" t="n"/>
      <c r="W28" s="68" t="n"/>
      <c r="X28" s="68" t="n"/>
      <c r="Y28" s="68" t="n"/>
      <c r="Z28" s="68" t="n"/>
      <c r="AA28" s="68" t="n"/>
      <c r="AB28" s="68" t="n"/>
      <c r="AC28" s="68" t="n"/>
      <c r="AD28" s="68" t="n"/>
      <c r="AE28" s="68" t="n"/>
      <c r="AF28" s="68" t="n"/>
      <c r="AG28" s="68" t="n"/>
      <c r="AH28" s="68" t="n"/>
      <c r="AI28" s="68" t="n"/>
      <c r="AJ28" s="68" t="n"/>
      <c r="AK28" s="68" t="n"/>
      <c r="AL28" s="68" t="n"/>
      <c r="AM28" s="68" t="n"/>
      <c r="AN28" s="68" t="n"/>
      <c r="AO28" s="68" t="n"/>
      <c r="AP28" s="68" t="n"/>
      <c r="AQ28" s="68" t="n"/>
      <c r="AR28" s="68" t="n"/>
      <c r="AS28" s="68" t="n"/>
      <c r="AT28" s="68" t="n"/>
      <c r="AU28" s="68" t="n"/>
      <c r="AV28" s="68" t="n"/>
      <c r="AW28" s="68" t="n"/>
      <c r="AX28" s="68" t="n"/>
      <c r="AY28" s="68" t="n"/>
      <c r="AZ28" s="68" t="n"/>
      <c r="BA28" s="68" t="n"/>
      <c r="BB28" s="68" t="n"/>
      <c r="BC28" s="68" t="n"/>
      <c r="BD28" s="68" t="n"/>
      <c r="BE28" s="68" t="n"/>
      <c r="BF28" s="68" t="n"/>
      <c r="BG28" s="68" t="n"/>
      <c r="BH28" s="48" t="n"/>
      <c r="BI28" s="16" t="n"/>
    </row>
    <row r="29" ht="15" customHeight="1">
      <c r="A29" s="16" t="n"/>
      <c r="B29" s="46" t="n"/>
      <c r="C29" s="68" t="n"/>
      <c r="D29" s="68" t="n"/>
      <c r="E29" s="68" t="n"/>
      <c r="F29" s="68" t="n"/>
      <c r="G29" s="68" t="n"/>
      <c r="H29" s="68" t="n"/>
      <c r="I29" s="68" t="n"/>
      <c r="J29" s="68" t="n"/>
      <c r="K29" s="68" t="n"/>
      <c r="L29" s="68" t="n"/>
      <c r="M29" s="68" t="n"/>
      <c r="N29" s="68" t="n"/>
      <c r="O29" s="68" t="n"/>
      <c r="P29" s="68" t="n"/>
      <c r="Q29" s="68" t="n"/>
      <c r="R29" s="68" t="n"/>
      <c r="S29" s="68" t="n"/>
      <c r="T29" s="68" t="n"/>
      <c r="U29" s="68" t="n"/>
      <c r="V29" s="68" t="n"/>
      <c r="W29" s="68" t="n"/>
      <c r="X29" s="68" t="n"/>
      <c r="Y29" s="68" t="n"/>
      <c r="Z29" s="68" t="n"/>
      <c r="AA29" s="68" t="n"/>
      <c r="AB29" s="68" t="n"/>
      <c r="AC29" s="68" t="n"/>
      <c r="AD29" s="68" t="n"/>
      <c r="AE29" s="68" t="n"/>
      <c r="AF29" s="68" t="n"/>
      <c r="AG29" s="68" t="n"/>
      <c r="AH29" s="68" t="n"/>
      <c r="AI29" s="68" t="n"/>
      <c r="AJ29" s="68" t="n"/>
      <c r="AK29" s="68" t="n"/>
      <c r="AL29" s="68" t="n"/>
      <c r="AM29" s="68" t="n"/>
      <c r="AN29" s="68" t="n"/>
      <c r="AO29" s="68" t="n"/>
      <c r="AP29" s="68" t="n"/>
      <c r="AQ29" s="68" t="n"/>
      <c r="AR29" s="68" t="n"/>
      <c r="AS29" s="68" t="n"/>
      <c r="AT29" s="68" t="n"/>
      <c r="AU29" s="68" t="n"/>
      <c r="AV29" s="68" t="n"/>
      <c r="AW29" s="68" t="n"/>
      <c r="AX29" s="68" t="n"/>
      <c r="AY29" s="68" t="n"/>
      <c r="AZ29" s="68" t="n"/>
      <c r="BA29" s="68" t="n"/>
      <c r="BB29" s="68" t="n"/>
      <c r="BC29" s="68" t="n"/>
      <c r="BD29" s="68" t="n"/>
      <c r="BE29" s="68" t="n"/>
      <c r="BF29" s="68" t="n"/>
      <c r="BG29" s="68" t="n"/>
      <c r="BH29" s="48" t="n"/>
      <c r="BI29" s="16" t="n"/>
    </row>
    <row r="30" ht="15" customHeight="1">
      <c r="A30" s="16" t="n"/>
      <c r="B30" s="46" t="n"/>
      <c r="C30" s="68" t="n"/>
      <c r="D30" s="68" t="n"/>
      <c r="E30" s="68" t="n"/>
      <c r="F30" s="68" t="n"/>
      <c r="G30" s="68" t="n"/>
      <c r="H30" s="68" t="n"/>
      <c r="I30" s="68" t="n"/>
      <c r="J30" s="68" t="n"/>
      <c r="K30" s="68" t="n"/>
      <c r="L30" s="68" t="n"/>
      <c r="M30" s="68" t="n"/>
      <c r="N30" s="68" t="n"/>
      <c r="O30" s="68" t="n"/>
      <c r="P30" s="68" t="n"/>
      <c r="Q30" s="68" t="n"/>
      <c r="R30" s="68" t="n"/>
      <c r="S30" s="68" t="n"/>
      <c r="T30" s="68" t="n"/>
      <c r="U30" s="68" t="n"/>
      <c r="V30" s="68" t="n"/>
      <c r="W30" s="68" t="n"/>
      <c r="X30" s="68" t="n"/>
      <c r="Y30" s="68" t="n"/>
      <c r="Z30" s="68" t="n"/>
      <c r="AA30" s="68" t="n"/>
      <c r="AB30" s="68" t="n"/>
      <c r="AC30" s="68" t="n"/>
      <c r="AD30" s="68" t="n"/>
      <c r="AE30" s="68" t="n"/>
      <c r="AF30" s="68" t="n"/>
      <c r="AG30" s="68" t="n"/>
      <c r="AH30" s="68" t="n"/>
      <c r="AI30" s="68" t="n"/>
      <c r="AJ30" s="68" t="n"/>
      <c r="AK30" s="68" t="n"/>
      <c r="AL30" s="68" t="n"/>
      <c r="AM30" s="68" t="n"/>
      <c r="AN30" s="68" t="n"/>
      <c r="AO30" s="68" t="n"/>
      <c r="AP30" s="68" t="n"/>
      <c r="AQ30" s="68" t="n"/>
      <c r="AR30" s="68" t="n"/>
      <c r="AS30" s="68" t="n"/>
      <c r="AT30" s="68" t="n"/>
      <c r="AU30" s="68" t="n"/>
      <c r="AV30" s="68" t="n"/>
      <c r="AW30" s="68" t="n"/>
      <c r="AX30" s="68" t="n"/>
      <c r="AY30" s="68" t="n"/>
      <c r="AZ30" s="68" t="n"/>
      <c r="BA30" s="68" t="n"/>
      <c r="BB30" s="68" t="n"/>
      <c r="BC30" s="68" t="n"/>
      <c r="BD30" s="68" t="n"/>
      <c r="BE30" s="68" t="n"/>
      <c r="BF30" s="68" t="n"/>
      <c r="BG30" s="68" t="n"/>
      <c r="BH30" s="48" t="n"/>
      <c r="BI30" s="16" t="n"/>
    </row>
    <row r="31" ht="15" customHeight="1">
      <c r="A31" s="16" t="n"/>
      <c r="B31" s="46" t="n"/>
      <c r="C31" s="68" t="n"/>
      <c r="D31" s="68" t="n"/>
      <c r="E31" s="68" t="n"/>
      <c r="F31" s="68" t="n"/>
      <c r="G31" s="68" t="n"/>
      <c r="H31" s="68" t="n"/>
      <c r="I31" s="68" t="n"/>
      <c r="J31" s="68" t="n"/>
      <c r="K31" s="68" t="n"/>
      <c r="L31" s="68" t="n"/>
      <c r="M31" s="68" t="n"/>
      <c r="N31" s="68" t="n"/>
      <c r="O31" s="68" t="n"/>
      <c r="P31" s="68" t="n"/>
      <c r="Q31" s="68" t="n"/>
      <c r="R31" s="68" t="n"/>
      <c r="S31" s="68" t="n"/>
      <c r="T31" s="68" t="n"/>
      <c r="U31" s="68" t="n"/>
      <c r="V31" s="68" t="n"/>
      <c r="W31" s="68" t="n"/>
      <c r="X31" s="68" t="n"/>
      <c r="Y31" s="68" t="n"/>
      <c r="Z31" s="68" t="n"/>
      <c r="AA31" s="68" t="n"/>
      <c r="AB31" s="68" t="n"/>
      <c r="AC31" s="68" t="n"/>
      <c r="AD31" s="68" t="n"/>
      <c r="AE31" s="68" t="n"/>
      <c r="AF31" s="68" t="n"/>
      <c r="AG31" s="68" t="n"/>
      <c r="AH31" s="68" t="n"/>
      <c r="AI31" s="68" t="n"/>
      <c r="AJ31" s="68" t="n"/>
      <c r="AK31" s="68" t="n"/>
      <c r="AL31" s="68" t="n"/>
      <c r="AM31" s="68" t="n"/>
      <c r="AN31" s="68" t="n"/>
      <c r="AO31" s="68" t="n"/>
      <c r="AP31" s="68" t="n"/>
      <c r="AQ31" s="68" t="n"/>
      <c r="AR31" s="68" t="n"/>
      <c r="AS31" s="68" t="n"/>
      <c r="AT31" s="68" t="n"/>
      <c r="AU31" s="68" t="n"/>
      <c r="AV31" s="68" t="n"/>
      <c r="AW31" s="68" t="n"/>
      <c r="AX31" s="68" t="n"/>
      <c r="AY31" s="68" t="n"/>
      <c r="AZ31" s="68" t="n"/>
      <c r="BA31" s="68" t="n"/>
      <c r="BB31" s="68" t="n"/>
      <c r="BC31" s="68" t="n"/>
      <c r="BD31" s="68" t="n"/>
      <c r="BE31" s="68" t="n"/>
      <c r="BF31" s="68" t="n"/>
      <c r="BG31" s="68" t="n"/>
      <c r="BH31" s="48" t="n"/>
      <c r="BI31" s="16" t="n"/>
    </row>
    <row r="32" ht="15" customHeight="1">
      <c r="A32" s="16" t="n"/>
      <c r="B32" s="46" t="n"/>
      <c r="C32" s="68" t="n"/>
      <c r="D32" s="68" t="n"/>
      <c r="E32" s="68" t="n"/>
      <c r="F32" s="68" t="n"/>
      <c r="G32" s="68" t="n"/>
      <c r="H32" s="68" t="n"/>
      <c r="I32" s="68" t="n"/>
      <c r="J32" s="68" t="n"/>
      <c r="K32" s="68" t="n"/>
      <c r="L32" s="68" t="n"/>
      <c r="M32" s="68" t="n"/>
      <c r="N32" s="68" t="n"/>
      <c r="O32" s="68" t="n"/>
      <c r="P32" s="68" t="n"/>
      <c r="Q32" s="68" t="n"/>
      <c r="R32" s="68" t="n"/>
      <c r="S32" s="68" t="n"/>
      <c r="T32" s="68" t="n"/>
      <c r="U32" s="68" t="n"/>
      <c r="V32" s="68" t="n"/>
      <c r="W32" s="68" t="n"/>
      <c r="X32" s="68" t="n"/>
      <c r="Y32" s="68" t="n"/>
      <c r="Z32" s="68" t="n"/>
      <c r="AA32" s="68" t="n"/>
      <c r="AB32" s="68" t="n"/>
      <c r="AC32" s="68" t="n"/>
      <c r="AD32" s="68" t="n"/>
      <c r="AE32" s="68" t="n"/>
      <c r="AF32" s="68" t="n"/>
      <c r="AG32" s="68" t="n"/>
      <c r="AH32" s="68" t="n"/>
      <c r="AI32" s="68" t="n"/>
      <c r="AJ32" s="68" t="n"/>
      <c r="AK32" s="68" t="n"/>
      <c r="AL32" s="68" t="n"/>
      <c r="AM32" s="68" t="n"/>
      <c r="AN32" s="68" t="n"/>
      <c r="AO32" s="68" t="n"/>
      <c r="AP32" s="68" t="n"/>
      <c r="AQ32" s="68" t="n"/>
      <c r="AR32" s="68" t="n"/>
      <c r="AS32" s="68" t="n"/>
      <c r="AT32" s="68" t="n"/>
      <c r="AU32" s="68" t="n"/>
      <c r="AV32" s="68" t="n"/>
      <c r="AW32" s="68" t="n"/>
      <c r="AX32" s="68" t="n"/>
      <c r="AY32" s="68" t="n"/>
      <c r="AZ32" s="68" t="n"/>
      <c r="BA32" s="68" t="n"/>
      <c r="BB32" s="68" t="n"/>
      <c r="BC32" s="68" t="n"/>
      <c r="BD32" s="68" t="n"/>
      <c r="BE32" s="68" t="n"/>
      <c r="BF32" s="68" t="n"/>
      <c r="BG32" s="68" t="n"/>
      <c r="BH32" s="48" t="n"/>
      <c r="BI32" s="16" t="n"/>
    </row>
    <row r="33" ht="15" customHeight="1">
      <c r="A33" s="16" t="n"/>
      <c r="B33" s="46" t="n"/>
      <c r="C33" s="68" t="n"/>
      <c r="D33" s="68" t="n"/>
      <c r="E33" s="68" t="n"/>
      <c r="F33" s="68" t="n"/>
      <c r="G33" s="68" t="n"/>
      <c r="H33" s="68" t="n"/>
      <c r="I33" s="68" t="n"/>
      <c r="J33" s="68" t="n"/>
      <c r="K33" s="68" t="n"/>
      <c r="L33" s="68" t="n"/>
      <c r="M33" s="68" t="n"/>
      <c r="N33" s="68" t="n"/>
      <c r="O33" s="68" t="n"/>
      <c r="P33" s="68" t="n"/>
      <c r="Q33" s="68" t="n"/>
      <c r="R33" s="68" t="n"/>
      <c r="S33" s="68" t="n"/>
      <c r="T33" s="68" t="n"/>
      <c r="U33" s="68" t="n"/>
      <c r="V33" s="68" t="n"/>
      <c r="W33" s="68" t="n"/>
      <c r="X33" s="68" t="n"/>
      <c r="Y33" s="68" t="n"/>
      <c r="Z33" s="68" t="n"/>
      <c r="AA33" s="68" t="n"/>
      <c r="AB33" s="68" t="n"/>
      <c r="AC33" s="68" t="n"/>
      <c r="AD33" s="68" t="n"/>
      <c r="AE33" s="68" t="n"/>
      <c r="AF33" s="68" t="n"/>
      <c r="AG33" s="68" t="n"/>
      <c r="AH33" s="68" t="n"/>
      <c r="AI33" s="68" t="n"/>
      <c r="AJ33" s="68" t="n"/>
      <c r="AK33" s="68" t="n"/>
      <c r="AL33" s="68" t="n"/>
      <c r="AM33" s="68" t="n"/>
      <c r="AN33" s="68" t="n"/>
      <c r="AO33" s="68" t="n"/>
      <c r="AP33" s="68" t="n"/>
      <c r="AQ33" s="68" t="n"/>
      <c r="AR33" s="68" t="n"/>
      <c r="AS33" s="68" t="n"/>
      <c r="AT33" s="68" t="n"/>
      <c r="AU33" s="68" t="n"/>
      <c r="AV33" s="68" t="n"/>
      <c r="AW33" s="68" t="n"/>
      <c r="AX33" s="68" t="n"/>
      <c r="AY33" s="68" t="n"/>
      <c r="AZ33" s="68" t="n"/>
      <c r="BA33" s="68" t="n"/>
      <c r="BB33" s="68" t="n"/>
      <c r="BC33" s="68" t="n"/>
      <c r="BD33" s="68" t="n"/>
      <c r="BE33" s="68" t="n"/>
      <c r="BF33" s="68" t="n"/>
      <c r="BG33" s="68" t="n"/>
      <c r="BH33" s="48" t="n"/>
      <c r="BI33" s="16" t="n"/>
    </row>
    <row r="34" ht="15" customHeight="1">
      <c r="A34" s="16" t="n"/>
      <c r="B34" s="46" t="n"/>
      <c r="C34" s="68" t="n"/>
      <c r="D34" s="68" t="n"/>
      <c r="E34" s="68" t="n"/>
      <c r="F34" s="68" t="n"/>
      <c r="G34" s="68" t="n"/>
      <c r="H34" s="68" t="n"/>
      <c r="I34" s="68" t="n"/>
      <c r="J34" s="68" t="n"/>
      <c r="K34" s="68" t="n"/>
      <c r="L34" s="68" t="n"/>
      <c r="M34" s="68" t="n"/>
      <c r="N34" s="68" t="n"/>
      <c r="O34" s="68" t="n"/>
      <c r="P34" s="68" t="n"/>
      <c r="Q34" s="68" t="n"/>
      <c r="R34" s="68" t="n"/>
      <c r="S34" s="68" t="n"/>
      <c r="T34" s="68" t="n"/>
      <c r="U34" s="68" t="n"/>
      <c r="V34" s="68" t="n"/>
      <c r="W34" s="68" t="n"/>
      <c r="X34" s="68" t="n"/>
      <c r="Y34" s="68" t="n"/>
      <c r="Z34" s="68" t="n"/>
      <c r="AA34" s="68" t="n"/>
      <c r="AB34" s="68" t="n"/>
      <c r="AC34" s="68" t="n"/>
      <c r="AD34" s="68" t="n"/>
      <c r="AE34" s="68" t="n"/>
      <c r="AF34" s="68" t="n"/>
      <c r="AG34" s="68" t="n"/>
      <c r="AH34" s="68" t="n"/>
      <c r="AI34" s="68" t="n"/>
      <c r="AJ34" s="68" t="n"/>
      <c r="AK34" s="68" t="n"/>
      <c r="AL34" s="68" t="n"/>
      <c r="AM34" s="68" t="n"/>
      <c r="AN34" s="68" t="n"/>
      <c r="AO34" s="68" t="n"/>
      <c r="AP34" s="68" t="n"/>
      <c r="AQ34" s="68" t="n"/>
      <c r="AR34" s="68" t="n"/>
      <c r="AS34" s="68" t="n"/>
      <c r="AT34" s="68" t="n"/>
      <c r="AU34" s="68" t="n"/>
      <c r="AV34" s="68" t="n"/>
      <c r="AW34" s="68" t="n"/>
      <c r="AX34" s="68" t="n"/>
      <c r="AY34" s="68" t="n"/>
      <c r="AZ34" s="68" t="n"/>
      <c r="BA34" s="68" t="n"/>
      <c r="BB34" s="68" t="n"/>
      <c r="BC34" s="68" t="n"/>
      <c r="BD34" s="68" t="n"/>
      <c r="BE34" s="68" t="n"/>
      <c r="BF34" s="68" t="n"/>
      <c r="BG34" s="68" t="n"/>
      <c r="BH34" s="48" t="n"/>
      <c r="BI34" s="16" t="n"/>
    </row>
    <row r="35" ht="15" customHeight="1">
      <c r="A35" s="16" t="n"/>
      <c r="B35" s="46" t="n"/>
      <c r="C35" s="68" t="n"/>
      <c r="D35" s="68" t="n"/>
      <c r="E35" s="68" t="n"/>
      <c r="F35" s="68" t="n"/>
      <c r="G35" s="68" t="n"/>
      <c r="H35" s="68" t="n"/>
      <c r="I35" s="68" t="n"/>
      <c r="J35" s="68" t="n"/>
      <c r="K35" s="68" t="n"/>
      <c r="L35" s="68" t="n"/>
      <c r="M35" s="68" t="n"/>
      <c r="N35" s="68" t="n"/>
      <c r="O35" s="68" t="n"/>
      <c r="P35" s="68" t="n"/>
      <c r="Q35" s="68" t="n"/>
      <c r="R35" s="68" t="n"/>
      <c r="S35" s="68" t="n"/>
      <c r="T35" s="68" t="n"/>
      <c r="U35" s="68" t="n"/>
      <c r="V35" s="68" t="n"/>
      <c r="W35" s="68" t="n"/>
      <c r="X35" s="68" t="n"/>
      <c r="Y35" s="68" t="n"/>
      <c r="Z35" s="68" t="n"/>
      <c r="AA35" s="68" t="n"/>
      <c r="AB35" s="68" t="n"/>
      <c r="AC35" s="68" t="n"/>
      <c r="AD35" s="68" t="n"/>
      <c r="AE35" s="68" t="n"/>
      <c r="AF35" s="68" t="n"/>
      <c r="AG35" s="68" t="n"/>
      <c r="AH35" s="68" t="n"/>
      <c r="AI35" s="68" t="n"/>
      <c r="AJ35" s="68" t="n"/>
      <c r="AK35" s="68" t="n"/>
      <c r="AL35" s="68" t="n"/>
      <c r="AM35" s="68" t="n"/>
      <c r="AN35" s="68" t="n"/>
      <c r="AO35" s="68" t="n"/>
      <c r="AP35" s="68" t="n"/>
      <c r="AQ35" s="68" t="n"/>
      <c r="AR35" s="68" t="n"/>
      <c r="AS35" s="68" t="n"/>
      <c r="AT35" s="68" t="n"/>
      <c r="AU35" s="68" t="n"/>
      <c r="AV35" s="68" t="n"/>
      <c r="AW35" s="68" t="n"/>
      <c r="AX35" s="68" t="n"/>
      <c r="AY35" s="68" t="n"/>
      <c r="AZ35" s="68" t="n"/>
      <c r="BA35" s="68" t="n"/>
      <c r="BB35" s="68" t="n"/>
      <c r="BC35" s="68" t="n"/>
      <c r="BD35" s="68" t="n"/>
      <c r="BE35" s="68" t="n"/>
      <c r="BF35" s="68" t="n"/>
      <c r="BG35" s="68" t="n"/>
      <c r="BH35" s="48" t="n"/>
      <c r="BI35" s="16" t="n"/>
    </row>
    <row r="36" ht="15" customHeight="1">
      <c r="A36" s="16" t="n"/>
      <c r="B36" s="46" t="n"/>
      <c r="C36" s="68" t="n"/>
      <c r="D36" s="68" t="n"/>
      <c r="E36" s="68" t="n"/>
      <c r="F36" s="68" t="n"/>
      <c r="G36" s="68" t="n"/>
      <c r="H36" s="68" t="n"/>
      <c r="I36" s="68" t="n"/>
      <c r="J36" s="68" t="n"/>
      <c r="K36" s="68" t="n"/>
      <c r="L36" s="68" t="n"/>
      <c r="M36" s="68" t="n"/>
      <c r="N36" s="68" t="n"/>
      <c r="O36" s="68" t="n"/>
      <c r="P36" s="68" t="n"/>
      <c r="Q36" s="68" t="n"/>
      <c r="R36" s="68" t="n"/>
      <c r="S36" s="68" t="n"/>
      <c r="T36" s="68" t="n"/>
      <c r="U36" s="68" t="n"/>
      <c r="V36" s="68" t="n"/>
      <c r="W36" s="68" t="n"/>
      <c r="X36" s="68" t="n"/>
      <c r="Y36" s="68" t="n"/>
      <c r="Z36" s="68" t="n"/>
      <c r="AA36" s="68" t="n"/>
      <c r="AB36" s="68" t="n"/>
      <c r="AC36" s="68" t="n"/>
      <c r="AD36" s="68" t="n"/>
      <c r="AE36" s="68" t="n"/>
      <c r="AF36" s="68" t="n"/>
      <c r="AG36" s="68" t="n"/>
      <c r="AH36" s="68" t="n"/>
      <c r="AI36" s="68" t="n"/>
      <c r="AJ36" s="68" t="n"/>
      <c r="AK36" s="68" t="n"/>
      <c r="AL36" s="68" t="n"/>
      <c r="AM36" s="68" t="n"/>
      <c r="AN36" s="68" t="n"/>
      <c r="AO36" s="68" t="n"/>
      <c r="AP36" s="68" t="n"/>
      <c r="AQ36" s="68" t="n"/>
      <c r="AR36" s="68" t="n"/>
      <c r="AS36" s="68" t="n"/>
      <c r="AT36" s="68" t="n"/>
      <c r="AU36" s="68" t="n"/>
      <c r="AV36" s="68" t="n"/>
      <c r="AW36" s="68" t="n"/>
      <c r="AX36" s="68" t="n"/>
      <c r="AY36" s="68" t="n"/>
      <c r="AZ36" s="68" t="n"/>
      <c r="BA36" s="68" t="n"/>
      <c r="BB36" s="68" t="n"/>
      <c r="BC36" s="68" t="n"/>
      <c r="BD36" s="68" t="n"/>
      <c r="BE36" s="68" t="n"/>
      <c r="BF36" s="68" t="n"/>
      <c r="BG36" s="68" t="n"/>
      <c r="BH36" s="48" t="n"/>
      <c r="BI36" s="16" t="n"/>
    </row>
    <row r="37" ht="15" customHeight="1">
      <c r="A37" s="16" t="n"/>
      <c r="B37" s="46" t="n"/>
      <c r="C37" s="68" t="n"/>
      <c r="D37" s="68" t="n"/>
      <c r="E37" s="68" t="n"/>
      <c r="F37" s="68" t="n"/>
      <c r="G37" s="68" t="n"/>
      <c r="H37" s="68" t="n"/>
      <c r="I37" s="68" t="n"/>
      <c r="J37" s="68" t="n"/>
      <c r="K37" s="68" t="n"/>
      <c r="L37" s="68" t="n"/>
      <c r="M37" s="68" t="n"/>
      <c r="N37" s="68" t="n"/>
      <c r="O37" s="68" t="n"/>
      <c r="P37" s="68" t="n"/>
      <c r="Q37" s="68" t="n"/>
      <c r="R37" s="68" t="n"/>
      <c r="S37" s="68" t="n"/>
      <c r="T37" s="68" t="n"/>
      <c r="U37" s="68" t="n"/>
      <c r="V37" s="68" t="n"/>
      <c r="W37" s="68" t="n"/>
      <c r="X37" s="68" t="n"/>
      <c r="Y37" s="68" t="n"/>
      <c r="Z37" s="68" t="n"/>
      <c r="AA37" s="68" t="n"/>
      <c r="AB37" s="68" t="n"/>
      <c r="AC37" s="68" t="n"/>
      <c r="AD37" s="68" t="n"/>
      <c r="AE37" s="68" t="n"/>
      <c r="AF37" s="68" t="n"/>
      <c r="AG37" s="68" t="n"/>
      <c r="AH37" s="68" t="n"/>
      <c r="AI37" s="68" t="n"/>
      <c r="AJ37" s="68" t="n"/>
      <c r="AK37" s="68" t="n"/>
      <c r="AL37" s="68" t="n"/>
      <c r="AM37" s="68" t="n"/>
      <c r="AN37" s="68" t="n"/>
      <c r="AO37" s="68" t="n"/>
      <c r="AP37" s="68" t="n"/>
      <c r="AQ37" s="68" t="n"/>
      <c r="AR37" s="68" t="n"/>
      <c r="AS37" s="68" t="n"/>
      <c r="AT37" s="68" t="n"/>
      <c r="AU37" s="68" t="n"/>
      <c r="AV37" s="68" t="n"/>
      <c r="AW37" s="68" t="n"/>
      <c r="AX37" s="68" t="n"/>
      <c r="AY37" s="68" t="n"/>
      <c r="AZ37" s="68" t="n"/>
      <c r="BA37" s="68" t="n"/>
      <c r="BB37" s="68" t="n"/>
      <c r="BC37" s="68" t="n"/>
      <c r="BD37" s="68" t="n"/>
      <c r="BE37" s="68" t="n"/>
      <c r="BF37" s="68" t="n"/>
      <c r="BG37" s="68" t="n"/>
      <c r="BH37" s="48" t="n"/>
      <c r="BI37" s="16" t="n"/>
    </row>
    <row r="38" ht="6" customHeight="1">
      <c r="A38" s="16" t="n"/>
      <c r="B38" s="46" t="n"/>
      <c r="C38" s="68" t="n"/>
      <c r="D38" s="68" t="n"/>
      <c r="E38" s="68" t="n"/>
      <c r="F38" s="68" t="n"/>
      <c r="G38" s="68" t="n"/>
      <c r="H38" s="68" t="n"/>
      <c r="I38" s="68" t="n"/>
      <c r="J38" s="68" t="n"/>
      <c r="K38" s="68" t="n"/>
      <c r="L38" s="68" t="n"/>
      <c r="M38" s="68" t="n"/>
      <c r="N38" s="68" t="n"/>
      <c r="O38" s="68" t="n"/>
      <c r="P38" s="68" t="n"/>
      <c r="Q38" s="68" t="n"/>
      <c r="R38" s="68" t="n"/>
      <c r="S38" s="68" t="n"/>
      <c r="T38" s="68" t="n"/>
      <c r="U38" s="68" t="n"/>
      <c r="V38" s="68" t="n"/>
      <c r="W38" s="68" t="n"/>
      <c r="X38" s="68" t="n"/>
      <c r="Y38" s="68" t="n"/>
      <c r="Z38" s="68" t="n"/>
      <c r="AA38" s="68" t="n"/>
      <c r="AB38" s="68" t="n"/>
      <c r="AC38" s="68" t="n"/>
      <c r="AD38" s="68" t="n"/>
      <c r="AE38" s="68" t="n"/>
      <c r="AF38" s="68" t="n"/>
      <c r="AG38" s="68" t="n"/>
      <c r="AH38" s="68" t="n"/>
      <c r="AI38" s="68" t="n"/>
      <c r="AJ38" s="68" t="n"/>
      <c r="AK38" s="68" t="n"/>
      <c r="AL38" s="68" t="n"/>
      <c r="AM38" s="68" t="n"/>
      <c r="AN38" s="68" t="n"/>
      <c r="AO38" s="68" t="n"/>
      <c r="AP38" s="68" t="n"/>
      <c r="AQ38" s="68" t="n"/>
      <c r="AR38" s="68" t="n"/>
      <c r="AS38" s="68" t="n"/>
      <c r="AT38" s="68" t="n"/>
      <c r="AU38" s="68" t="n"/>
      <c r="AV38" s="68" t="n"/>
      <c r="AW38" s="68" t="n"/>
      <c r="AX38" s="68" t="n"/>
      <c r="AY38" s="68" t="n"/>
      <c r="AZ38" s="68" t="n"/>
      <c r="BA38" s="68" t="n"/>
      <c r="BB38" s="68" t="n"/>
      <c r="BC38" s="68" t="n"/>
      <c r="BD38" s="68" t="n"/>
      <c r="BE38" s="68" t="n"/>
      <c r="BF38" s="68" t="n"/>
      <c r="BG38" s="68" t="n"/>
      <c r="BH38" s="48" t="n"/>
      <c r="BI38" s="16" t="n"/>
    </row>
    <row r="39" ht="18" customHeight="1">
      <c r="A39" s="16" t="n"/>
      <c r="B39" s="46" t="n"/>
      <c r="C39" s="136" t="inlineStr">
        <is>
          <t>Heures par mois</t>
        </is>
      </c>
      <c r="D39" s="40" t="n"/>
      <c r="E39" s="40" t="n"/>
      <c r="F39" s="40" t="n"/>
      <c r="G39" s="40" t="n"/>
      <c r="H39" s="40" t="n"/>
      <c r="I39" s="40" t="n"/>
      <c r="J39" s="40" t="n"/>
      <c r="K39" s="40" t="n"/>
      <c r="L39" s="137">
        <f>Calculs!CG4</f>
        <v>46266.0</v>
      </c>
      <c r="M39" s="40" t="n"/>
      <c r="N39" s="40" t="n"/>
      <c r="O39" s="40" t="n"/>
      <c r="P39" s="137">
        <f>Calculs!CG5</f>
        <v>46296.0</v>
      </c>
      <c r="Q39" s="40" t="n"/>
      <c r="R39" s="40" t="n"/>
      <c r="S39" s="40" t="n"/>
      <c r="T39" s="137">
        <f>Calculs!CG6</f>
        <v>46327.0</v>
      </c>
      <c r="U39" s="40" t="n"/>
      <c r="V39" s="40" t="n"/>
      <c r="W39" s="40" t="n"/>
      <c r="X39" s="137">
        <f>Calculs!CG7</f>
        <v>46357.0</v>
      </c>
      <c r="Y39" s="40" t="n"/>
      <c r="Z39" s="40" t="n"/>
      <c r="AA39" s="40" t="n"/>
      <c r="AB39" s="137">
        <f>Calculs!CG8</f>
        <v>46388.0</v>
      </c>
      <c r="AC39" s="40" t="n"/>
      <c r="AD39" s="40" t="n"/>
      <c r="AE39" s="40" t="n"/>
      <c r="AF39" s="137">
        <f>Calculs!CG9</f>
        <v>46419.0</v>
      </c>
      <c r="AG39" s="40" t="n"/>
      <c r="AH39" s="40" t="n"/>
      <c r="AI39" s="40" t="n"/>
      <c r="AJ39" s="137">
        <f>Calculs!CG10</f>
        <v>46447.0</v>
      </c>
      <c r="AK39" s="40" t="n"/>
      <c r="AL39" s="40" t="n"/>
      <c r="AM39" s="40" t="n"/>
      <c r="AN39" s="137">
        <f>Calculs!CG11</f>
        <v>46478.0</v>
      </c>
      <c r="AO39" s="40" t="n"/>
      <c r="AP39" s="40" t="n"/>
      <c r="AQ39" s="40" t="n"/>
      <c r="AR39" s="137">
        <f>Calculs!CG12</f>
        <v>46508.0</v>
      </c>
      <c r="AS39" s="40" t="n"/>
      <c r="AT39" s="40" t="n"/>
      <c r="AU39" s="40" t="n"/>
      <c r="AV39" s="137">
        <f>Calculs!CG13</f>
        <v>46539.0</v>
      </c>
      <c r="AW39" s="40" t="n"/>
      <c r="AX39" s="40" t="n"/>
      <c r="AY39" s="40" t="n"/>
      <c r="AZ39" s="137">
        <f>Calculs!CG14</f>
        <v>46569.0</v>
      </c>
      <c r="BA39" s="40" t="n"/>
      <c r="BB39" s="40" t="n"/>
      <c r="BC39" s="40" t="n"/>
      <c r="BD39" s="137">
        <f>Calculs!CG15</f>
        <v>46600.0</v>
      </c>
      <c r="BE39" s="40" t="n"/>
      <c r="BF39" s="40" t="n"/>
      <c r="BG39" s="40" t="n"/>
      <c r="BH39" s="48" t="n"/>
      <c r="BI39" s="16" t="n"/>
    </row>
    <row r="40" ht="16" customHeight="1">
      <c r="A40" s="16" t="n"/>
      <c r="B40" s="46" t="n"/>
      <c r="C40" s="100" t="inlineStr">
        <is>
          <t>Charge fixe hors projet</t>
        </is>
      </c>
      <c r="L40" s="138">
        <f>Calculs!CH4</f>
        <v>20</v>
      </c>
      <c r="P40" s="138">
        <f>Calculs!CH5</f>
        <v>20</v>
      </c>
      <c r="T40" s="138">
        <f>Calculs!CH6</f>
        <v>20</v>
      </c>
      <c r="X40" s="138">
        <f>Calculs!CH7</f>
        <v>20</v>
      </c>
      <c r="AB40" s="138">
        <f>Calculs!CH8</f>
        <v>20</v>
      </c>
      <c r="AF40" s="138">
        <f>Calculs!CH9</f>
        <v>20</v>
      </c>
      <c r="AJ40" s="138">
        <f>Calculs!CH10</f>
        <v>20</v>
      </c>
      <c r="AN40" s="138">
        <f>Calculs!CH11</f>
        <v>20</v>
      </c>
      <c r="AR40" s="138">
        <f>Calculs!CH12</f>
        <v>20</v>
      </c>
      <c r="AV40" s="138">
        <f>Calculs!CH13</f>
        <v>20</v>
      </c>
      <c r="AZ40" s="138">
        <f>Calculs!CH14</f>
        <v>20</v>
      </c>
      <c r="BD40" s="138">
        <f>Calculs!CH15</f>
        <v>20</v>
      </c>
      <c r="BH40" s="48" t="n"/>
      <c r="BI40" s="16" t="n"/>
    </row>
    <row r="41" ht="16" customHeight="1">
      <c r="A41" s="16" t="n"/>
      <c r="B41" s="46" t="n"/>
      <c r="C41" s="100" t="inlineStr">
        <is>
          <t>Charge projets</t>
        </is>
      </c>
      <c r="L41" s="138">
        <f>Calculs!CI4</f>
        <v>28.3636363636364</v>
      </c>
      <c r="P41" s="138">
        <f>Calculs!CI5</f>
        <v>48</v>
      </c>
      <c r="T41" s="138">
        <f>Calculs!CI6</f>
        <v>101.969696969697</v>
      </c>
      <c r="X41" s="138">
        <f>Calculs!CI7</f>
        <v>63.8888888888889</v>
      </c>
      <c r="AB41" s="138">
        <f>Calculs!CI8</f>
        <v>58.3333333333333</v>
      </c>
      <c r="AF41" s="138">
        <f>Calculs!CI9</f>
        <v>55.5555555555556</v>
      </c>
      <c r="AJ41" s="138">
        <f>Calculs!CI10</f>
        <v>63.8888888888889</v>
      </c>
      <c r="AN41" s="138">
        <f>Calculs!CI11</f>
        <v>0</v>
      </c>
      <c r="AR41" s="138">
        <f>Calculs!CI12</f>
        <v>0</v>
      </c>
      <c r="AV41" s="138">
        <f>Calculs!CI13</f>
        <v>0</v>
      </c>
      <c r="AZ41" s="138">
        <f>Calculs!CI14</f>
        <v>0</v>
      </c>
      <c r="BD41" s="138">
        <f>Calculs!CI15</f>
        <v>0</v>
      </c>
      <c r="BH41" s="48" t="n"/>
      <c r="BI41" s="16" t="n"/>
    </row>
    <row r="42" ht="16" customHeight="1">
      <c r="A42" s="16" t="n"/>
      <c r="B42" s="46" t="n"/>
      <c r="C42" s="139" t="inlineStr">
        <is>
          <t>Charge totale</t>
        </is>
      </c>
      <c r="D42" s="140" t="n"/>
      <c r="E42" s="140" t="n"/>
      <c r="F42" s="140" t="n"/>
      <c r="G42" s="140" t="n"/>
      <c r="H42" s="140" t="n"/>
      <c r="I42" s="140" t="n"/>
      <c r="J42" s="140" t="n"/>
      <c r="K42" s="140" t="n"/>
      <c r="L42" s="141">
        <f>Calculs!CJ4</f>
        <v>48.3636363636364</v>
      </c>
      <c r="M42" s="140" t="n"/>
      <c r="N42" s="140" t="n"/>
      <c r="O42" s="140" t="n"/>
      <c r="P42" s="141">
        <f>Calculs!CJ5</f>
        <v>68</v>
      </c>
      <c r="Q42" s="140" t="n"/>
      <c r="R42" s="140" t="n"/>
      <c r="S42" s="140" t="n"/>
      <c r="T42" s="141">
        <f>Calculs!CJ6</f>
        <v>121.969696969697</v>
      </c>
      <c r="U42" s="140" t="n"/>
      <c r="V42" s="140" t="n"/>
      <c r="W42" s="140" t="n"/>
      <c r="X42" s="141">
        <f>Calculs!CJ7</f>
        <v>83.8888888888889</v>
      </c>
      <c r="Y42" s="140" t="n"/>
      <c r="Z42" s="140" t="n"/>
      <c r="AA42" s="140" t="n"/>
      <c r="AB42" s="141">
        <f>Calculs!CJ8</f>
        <v>78.3333333333333</v>
      </c>
      <c r="AC42" s="140" t="n"/>
      <c r="AD42" s="140" t="n"/>
      <c r="AE42" s="140" t="n"/>
      <c r="AF42" s="141">
        <f>Calculs!CJ9</f>
        <v>75.5555555555556</v>
      </c>
      <c r="AG42" s="140" t="n"/>
      <c r="AH42" s="140" t="n"/>
      <c r="AI42" s="140" t="n"/>
      <c r="AJ42" s="141">
        <f>Calculs!CJ10</f>
        <v>83.8888888888889</v>
      </c>
      <c r="AK42" s="140" t="n"/>
      <c r="AL42" s="140" t="n"/>
      <c r="AM42" s="140" t="n"/>
      <c r="AN42" s="141">
        <f>Calculs!CJ11</f>
        <v>20</v>
      </c>
      <c r="AO42" s="140" t="n"/>
      <c r="AP42" s="140" t="n"/>
      <c r="AQ42" s="140" t="n"/>
      <c r="AR42" s="141">
        <f>Calculs!CJ12</f>
        <v>20</v>
      </c>
      <c r="AS42" s="140" t="n"/>
      <c r="AT42" s="140" t="n"/>
      <c r="AU42" s="140" t="n"/>
      <c r="AV42" s="141">
        <f>Calculs!CJ13</f>
        <v>20</v>
      </c>
      <c r="AW42" s="140" t="n"/>
      <c r="AX42" s="140" t="n"/>
      <c r="AY42" s="140" t="n"/>
      <c r="AZ42" s="141">
        <f>Calculs!CJ14</f>
        <v>20</v>
      </c>
      <c r="BA42" s="140" t="n"/>
      <c r="BB42" s="140" t="n"/>
      <c r="BC42" s="140" t="n"/>
      <c r="BD42" s="141">
        <f>Calculs!CJ15</f>
        <v>20</v>
      </c>
      <c r="BE42" s="140" t="n"/>
      <c r="BF42" s="140" t="n"/>
      <c r="BG42" s="140" t="n"/>
      <c r="BH42" s="48" t="n"/>
      <c r="BI42" s="16" t="n"/>
    </row>
    <row r="43" ht="16" customHeight="1">
      <c r="A43" s="16" t="n"/>
      <c r="B43" s="46" t="n"/>
      <c r="C43" s="100" t="inlineStr">
        <is>
          <t>Capacité</t>
        </is>
      </c>
      <c r="L43" s="101">
        <f>Calculs!CK4</f>
        <v>120</v>
      </c>
      <c r="P43" s="101">
        <f>Calculs!CK5</f>
        <v>120</v>
      </c>
      <c r="T43" s="101">
        <f>Calculs!CK6</f>
        <v>120</v>
      </c>
      <c r="X43" s="101">
        <f>Calculs!CK7</f>
        <v>120</v>
      </c>
      <c r="AB43" s="101">
        <f>Calculs!CK8</f>
        <v>120</v>
      </c>
      <c r="AF43" s="101">
        <f>Calculs!CK9</f>
        <v>120</v>
      </c>
      <c r="AJ43" s="101">
        <f>Calculs!CK10</f>
        <v>120</v>
      </c>
      <c r="AN43" s="101">
        <f>Calculs!CK11</f>
        <v>120</v>
      </c>
      <c r="AR43" s="101">
        <f>Calculs!CK12</f>
        <v>120</v>
      </c>
      <c r="AV43" s="101">
        <f>Calculs!CK13</f>
        <v>120</v>
      </c>
      <c r="AZ43" s="101">
        <f>Calculs!CK14</f>
        <v>120</v>
      </c>
      <c r="BD43" s="101">
        <f>Calculs!CK15</f>
        <v>120</v>
      </c>
      <c r="BH43" s="48" t="n"/>
      <c r="BI43" s="16" t="n"/>
    </row>
    <row r="44" ht="16" customHeight="1">
      <c r="A44" s="16" t="n"/>
      <c r="B44" s="46" t="n"/>
      <c r="C44" s="100" t="inlineStr">
        <is>
          <t>Marge (+) / dépassement (−)</t>
        </is>
      </c>
      <c r="L44" s="142">
        <f>Calculs!CN4</f>
        <v>72</v>
      </c>
      <c r="P44" s="142">
        <f>Calculs!CN5</f>
        <v>52</v>
      </c>
      <c r="T44" s="142">
        <f>Calculs!CN6</f>
        <v>-2</v>
      </c>
      <c r="X44" s="142">
        <f>Calculs!CN7</f>
        <v>36</v>
      </c>
      <c r="AB44" s="142">
        <f>Calculs!CN8</f>
        <v>42</v>
      </c>
      <c r="AF44" s="142">
        <f>Calculs!CN9</f>
        <v>44</v>
      </c>
      <c r="AJ44" s="142">
        <f>Calculs!CN10</f>
        <v>36</v>
      </c>
      <c r="AN44" s="142">
        <f>Calculs!CN11</f>
        <v>100</v>
      </c>
      <c r="AR44" s="142">
        <f>Calculs!CN12</f>
        <v>100</v>
      </c>
      <c r="AV44" s="142">
        <f>Calculs!CN13</f>
        <v>100</v>
      </c>
      <c r="AZ44" s="142">
        <f>Calculs!CN14</f>
        <v>100</v>
      </c>
      <c r="BD44" s="142">
        <f>Calculs!CN15</f>
        <v>100</v>
      </c>
      <c r="BH44" s="48" t="n"/>
      <c r="BI44" s="16" t="n"/>
    </row>
    <row r="45" ht="16" customHeight="1">
      <c r="A45" s="16" t="n"/>
      <c r="B45" s="46" t="n"/>
      <c r="C45" s="143" t="inlineStr">
        <is>
          <t>Occupation</t>
        </is>
      </c>
      <c r="L45" s="144">
        <f>Calculs!CO4</f>
        <v>0.4</v>
      </c>
      <c r="P45" s="144">
        <f>Calculs!CO5</f>
        <v>0.566666666666667</v>
      </c>
      <c r="T45" s="144">
        <f>Calculs!CO6</f>
        <v>1.01666666666667</v>
      </c>
      <c r="X45" s="144">
        <f>Calculs!CO7</f>
        <v>0.7</v>
      </c>
      <c r="AB45" s="144">
        <f>Calculs!CO8</f>
        <v>0.65</v>
      </c>
      <c r="AF45" s="144">
        <f>Calculs!CO9</f>
        <v>0.633333333333333</v>
      </c>
      <c r="AJ45" s="144">
        <f>Calculs!CO10</f>
        <v>0.7</v>
      </c>
      <c r="AN45" s="144">
        <f>Calculs!CO11</f>
        <v>0.166666666666667</v>
      </c>
      <c r="AR45" s="144">
        <f>Calculs!CO12</f>
        <v>0.166666666666667</v>
      </c>
      <c r="AV45" s="144">
        <f>Calculs!CO13</f>
        <v>0.166666666666667</v>
      </c>
      <c r="AZ45" s="144">
        <f>Calculs!CO14</f>
        <v>0.166666666666667</v>
      </c>
      <c r="BD45" s="144">
        <f>Calculs!CO15</f>
        <v>0.166666666666667</v>
      </c>
      <c r="BH45" s="48" t="n"/>
      <c r="BI45" s="16" t="n"/>
    </row>
    <row r="46" ht="8" customHeight="1">
      <c r="A46" s="16" t="n"/>
      <c r="B46" s="30" t="n"/>
      <c r="C46" s="31" t="n"/>
      <c r="D46" s="31" t="n"/>
      <c r="E46" s="31" t="n"/>
      <c r="F46" s="31" t="n"/>
      <c r="G46" s="31" t="n"/>
      <c r="H46" s="31" t="n"/>
      <c r="I46" s="31" t="n"/>
      <c r="J46" s="31" t="n"/>
      <c r="K46" s="31" t="n"/>
      <c r="L46" s="31" t="n"/>
      <c r="M46" s="31" t="n"/>
      <c r="N46" s="31" t="n"/>
      <c r="O46" s="31" t="n"/>
      <c r="P46" s="31" t="n"/>
      <c r="Q46" s="31" t="n"/>
      <c r="R46" s="31" t="n"/>
      <c r="S46" s="31" t="n"/>
      <c r="T46" s="31" t="n"/>
      <c r="U46" s="31" t="n"/>
      <c r="V46" s="31" t="n"/>
      <c r="W46" s="31" t="n"/>
      <c r="X46" s="31" t="n"/>
      <c r="Y46" s="31" t="n"/>
      <c r="Z46" s="31" t="n"/>
      <c r="AA46" s="31" t="n"/>
      <c r="AB46" s="31" t="n"/>
      <c r="AC46" s="31" t="n"/>
      <c r="AD46" s="31" t="n"/>
      <c r="AE46" s="31" t="n"/>
      <c r="AF46" s="31" t="n"/>
      <c r="AG46" s="31" t="n"/>
      <c r="AH46" s="31" t="n"/>
      <c r="AI46" s="31" t="n"/>
      <c r="AJ46" s="31" t="n"/>
      <c r="AK46" s="31" t="n"/>
      <c r="AL46" s="31" t="n"/>
      <c r="AM46" s="31" t="n"/>
      <c r="AN46" s="31" t="n"/>
      <c r="AO46" s="31" t="n"/>
      <c r="AP46" s="31" t="n"/>
      <c r="AQ46" s="31" t="n"/>
      <c r="AR46" s="31" t="n"/>
      <c r="AS46" s="31" t="n"/>
      <c r="AT46" s="31" t="n"/>
      <c r="AU46" s="31" t="n"/>
      <c r="AV46" s="31" t="n"/>
      <c r="AW46" s="31" t="n"/>
      <c r="AX46" s="31" t="n"/>
      <c r="AY46" s="31" t="n"/>
      <c r="AZ46" s="31" t="n"/>
      <c r="BA46" s="31" t="n"/>
      <c r="BB46" s="31" t="n"/>
      <c r="BC46" s="31" t="n"/>
      <c r="BD46" s="31" t="n"/>
      <c r="BE46" s="31" t="n"/>
      <c r="BF46" s="31" t="n"/>
      <c r="BG46" s="31" t="n"/>
      <c r="BH46" s="77" t="n"/>
      <c r="BI46" s="16" t="n"/>
    </row>
    <row r="47" ht="14" customHeight="1">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6" t="n"/>
      <c r="AO47" s="16"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row>
    <row r="48" ht="20" customHeight="1">
      <c r="A48" s="16" t="n"/>
      <c r="B48" s="37" t="str">
        <f>IF(Calculs!$CD$4="","AFFAIRES DE LA RESSOURCE","AFFAIRES DE "&amp;UPPER(Calculs!$CD$4)&amp;" (par charge décroissante)")</f>
        <v>AFFAIRES DE LUCAS GARNIER (par charge décroissante)</v>
      </c>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c r="AA48" s="38" t="n"/>
      <c r="AB48" s="38" t="n"/>
      <c r="AC48" s="38" t="n"/>
      <c r="AD48" s="38" t="n"/>
      <c r="AE48" s="38" t="n"/>
      <c r="AF48" s="38" t="n"/>
      <c r="AG48" s="38" t="n"/>
      <c r="AH48" s="38" t="n"/>
      <c r="AI48" s="38" t="n"/>
      <c r="AJ48" s="38" t="n"/>
      <c r="AK48" s="38" t="n"/>
      <c r="AL48" s="38" t="n"/>
      <c r="AM48" s="38" t="n"/>
      <c r="AN48" s="38" t="n"/>
      <c r="AO48" s="38" t="n"/>
      <c r="AP48" s="38" t="n"/>
      <c r="AQ48" s="38" t="n"/>
      <c r="AR48" s="38" t="n"/>
      <c r="AS48" s="38" t="n"/>
      <c r="AT48" s="38" t="n"/>
      <c r="AU48" s="38" t="n"/>
      <c r="AV48" s="38" t="n"/>
      <c r="AW48" s="38" t="n"/>
      <c r="AX48" s="38" t="n"/>
      <c r="AY48" s="38" t="n"/>
      <c r="AZ48" s="38" t="n"/>
      <c r="BA48" s="38" t="n"/>
      <c r="BB48" s="38" t="n"/>
      <c r="BC48" s="38" t="n"/>
      <c r="BD48" s="38" t="n"/>
      <c r="BE48" s="38" t="n"/>
      <c r="BF48" s="38" t="n"/>
      <c r="BG48" s="38" t="n"/>
      <c r="BH48" s="38" t="n"/>
      <c r="BI48" s="16" t="n"/>
    </row>
    <row r="49" ht="6" customHeight="1">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row>
    <row r="50" ht="30" customHeight="1">
      <c r="A50" s="16" t="n"/>
      <c r="B50" s="106" t="inlineStr">
        <is>
          <t>N°</t>
        </is>
      </c>
      <c r="D50" s="106" t="inlineStr">
        <is>
          <t>Projet</t>
        </is>
      </c>
      <c r="M50" s="106" t="inlineStr">
        <is>
          <t>Sous-projet</t>
        </is>
      </c>
      <c r="V50" s="106" t="inlineStr">
        <is>
          <t>Produit</t>
        </is>
      </c>
      <c r="AE50" s="106" t="inlineStr">
        <is>
          <t>Chef de projet</t>
        </is>
      </c>
      <c r="AL50" s="106" t="inlineStr">
        <is>
          <t>Charge (h)</t>
        </is>
      </c>
      <c r="AQ50" s="106" t="inlineStr">
        <is>
          <t>Heures sur la période</t>
        </is>
      </c>
      <c r="AW50" s="106" t="inlineStr">
        <is>
          <t>Début planifié</t>
        </is>
      </c>
      <c r="BA50" s="106" t="inlineStr">
        <is>
          <t>Date de besoin</t>
        </is>
      </c>
      <c r="BE50" s="106" t="inlineStr">
        <is>
          <t>Avancement</t>
        </is>
      </c>
      <c r="BI50" s="16" t="n"/>
    </row>
    <row r="51" ht="16.5" customHeight="1">
      <c r="A51" s="16" t="n"/>
      <c r="B51" s="107">
        <f>IF(Calculs!$DY$4="","",Calculs!DX4)</f>
        <v>1</v>
      </c>
      <c r="D51" s="108" t="str">
        <f>IF(Calculs!$DY$4="","",Calculs!DZ4)</f>
        <v>ATLAS</v>
      </c>
      <c r="M51" s="109" t="str">
        <f>IF(Calculs!$DY$4="","",Calculs!EA4)</f>
        <v>Lot 1 – Structure</v>
      </c>
      <c r="V51" s="109" t="str">
        <f>IF(Calculs!$DY$4="","",Calculs!EB4)</f>
        <v>Châssis principal</v>
      </c>
      <c r="AE51" s="109" t="str">
        <f>IF(Calculs!$DY$4="","",Calculs!EC4)</f>
        <v>Julie Martin</v>
      </c>
      <c r="AL51" s="111">
        <f>IF(Calculs!$DY$4="","",Calculs!ED4)</f>
        <v>300</v>
      </c>
      <c r="AQ51" s="111">
        <f>IF(Calculs!$DY$4="","",Calculs!EE4)</f>
        <v>300</v>
      </c>
      <c r="AW51" s="145">
        <f>IF(Calculs!$DY$4="","",Calculs!EF4)</f>
        <v>46328.0</v>
      </c>
      <c r="BA51" s="145">
        <f>IF(Calculs!$DY$4="","",Calculs!EG4)</f>
        <v>46477.0</v>
      </c>
      <c r="BE51" s="113">
        <f>IF(Calculs!$DY$4="","",Calculs!EH4)</f>
        <v>0.15</v>
      </c>
      <c r="BI51" s="16" t="n"/>
    </row>
    <row r="52" ht="16.5" customHeight="1">
      <c r="A52" s="16" t="n"/>
      <c r="B52" s="107">
        <f>IF(Calculs!$DY$5="","",Calculs!DX5)</f>
        <v>2</v>
      </c>
      <c r="D52" s="108" t="str">
        <f>IF(Calculs!$DY$5="","",Calculs!DZ5)</f>
        <v>ORION</v>
      </c>
      <c r="M52" s="109" t="str">
        <f>IF(Calculs!$DY$5="","",Calculs!EA5)</f>
        <v>Tranche 1</v>
      </c>
      <c r="V52" s="109" t="str">
        <f>IF(Calculs!$DY$5="","",Calculs!EB5)</f>
        <v>Support moteur</v>
      </c>
      <c r="AE52" s="109" t="str">
        <f>IF(Calculs!$DY$5="","",Calculs!EC5)</f>
        <v>Nicolas Moreau</v>
      </c>
      <c r="AL52" s="111">
        <f>IF(Calculs!$DY$5="","",Calculs!ED5)</f>
        <v>120</v>
      </c>
      <c r="AQ52" s="111">
        <f>IF(Calculs!$DY$5="","",Calculs!EE5)</f>
        <v>120</v>
      </c>
      <c r="AW52" s="145">
        <f>IF(Calculs!$DY$5="","",Calculs!EF5)</f>
        <v>46279.0</v>
      </c>
      <c r="BA52" s="145">
        <f>IF(Calculs!$DY$5="","",Calculs!EG5)</f>
        <v>46353.0</v>
      </c>
      <c r="BE52" s="113">
        <f>IF(Calculs!$DY$5="","",Calculs!EH5)</f>
        <v>0.8</v>
      </c>
      <c r="BI52" s="16" t="n"/>
    </row>
    <row r="53" ht="16.5" customHeight="1">
      <c r="A53" s="16" t="n"/>
      <c r="B53" s="107" t="str">
        <f>IF(Calculs!$DY$6="","",Calculs!DX6)</f>
        <v/>
      </c>
      <c r="D53" s="108" t="str">
        <f>IF(Calculs!$DY$6="","",Calculs!DZ6)</f>
        <v/>
      </c>
      <c r="M53" s="109" t="str">
        <f>IF(Calculs!$DY$6="","",Calculs!EA6)</f>
        <v/>
      </c>
      <c r="V53" s="109" t="str">
        <f>IF(Calculs!$DY$6="","",Calculs!EB6)</f>
        <v/>
      </c>
      <c r="AE53" s="109" t="str">
        <f>IF(Calculs!$DY$6="","",Calculs!EC6)</f>
        <v/>
      </c>
      <c r="AL53" s="111" t="str">
        <f>IF(Calculs!$DY$6="","",Calculs!ED6)</f>
        <v/>
      </c>
      <c r="AQ53" s="111" t="str">
        <f>IF(Calculs!$DY$6="","",Calculs!EE6)</f>
        <v/>
      </c>
      <c r="AW53" s="145" t="str">
        <f>IF(Calculs!$DY$6="","",Calculs!EF6)</f>
        <v/>
      </c>
      <c r="BA53" s="145" t="str">
        <f>IF(Calculs!$DY$6="","",Calculs!EG6)</f>
        <v/>
      </c>
      <c r="BE53" s="113" t="str">
        <f>IF(Calculs!$DY$6="","",Calculs!EH6)</f>
        <v/>
      </c>
      <c r="BI53" s="16" t="n"/>
    </row>
    <row r="54" ht="16.5" customHeight="1">
      <c r="A54" s="16" t="n"/>
      <c r="B54" s="107" t="str">
        <f>IF(Calculs!$DY$7="","",Calculs!DX7)</f>
        <v/>
      </c>
      <c r="D54" s="108" t="str">
        <f>IF(Calculs!$DY$7="","",Calculs!DZ7)</f>
        <v/>
      </c>
      <c r="M54" s="109" t="str">
        <f>IF(Calculs!$DY$7="","",Calculs!EA7)</f>
        <v/>
      </c>
      <c r="V54" s="109" t="str">
        <f>IF(Calculs!$DY$7="","",Calculs!EB7)</f>
        <v/>
      </c>
      <c r="AE54" s="109" t="str">
        <f>IF(Calculs!$DY$7="","",Calculs!EC7)</f>
        <v/>
      </c>
      <c r="AL54" s="111" t="str">
        <f>IF(Calculs!$DY$7="","",Calculs!ED7)</f>
        <v/>
      </c>
      <c r="AQ54" s="111" t="str">
        <f>IF(Calculs!$DY$7="","",Calculs!EE7)</f>
        <v/>
      </c>
      <c r="AW54" s="145" t="str">
        <f>IF(Calculs!$DY$7="","",Calculs!EF7)</f>
        <v/>
      </c>
      <c r="BA54" s="145" t="str">
        <f>IF(Calculs!$DY$7="","",Calculs!EG7)</f>
        <v/>
      </c>
      <c r="BE54" s="113" t="str">
        <f>IF(Calculs!$DY$7="","",Calculs!EH7)</f>
        <v/>
      </c>
      <c r="BI54" s="16" t="n"/>
    </row>
    <row r="55" ht="16.5" customHeight="1">
      <c r="A55" s="16" t="n"/>
      <c r="B55" s="107" t="str">
        <f>IF(Calculs!$DY$8="","",Calculs!DX8)</f>
        <v/>
      </c>
      <c r="D55" s="108" t="str">
        <f>IF(Calculs!$DY$8="","",Calculs!DZ8)</f>
        <v/>
      </c>
      <c r="M55" s="109" t="str">
        <f>IF(Calculs!$DY$8="","",Calculs!EA8)</f>
        <v/>
      </c>
      <c r="V55" s="109" t="str">
        <f>IF(Calculs!$DY$8="","",Calculs!EB8)</f>
        <v/>
      </c>
      <c r="AE55" s="109" t="str">
        <f>IF(Calculs!$DY$8="","",Calculs!EC8)</f>
        <v/>
      </c>
      <c r="AL55" s="111" t="str">
        <f>IF(Calculs!$DY$8="","",Calculs!ED8)</f>
        <v/>
      </c>
      <c r="AQ55" s="111" t="str">
        <f>IF(Calculs!$DY$8="","",Calculs!EE8)</f>
        <v/>
      </c>
      <c r="AW55" s="145" t="str">
        <f>IF(Calculs!$DY$8="","",Calculs!EF8)</f>
        <v/>
      </c>
      <c r="BA55" s="145" t="str">
        <f>IF(Calculs!$DY$8="","",Calculs!EG8)</f>
        <v/>
      </c>
      <c r="BE55" s="113" t="str">
        <f>IF(Calculs!$DY$8="","",Calculs!EH8)</f>
        <v/>
      </c>
      <c r="BI55" s="16" t="n"/>
    </row>
    <row r="56" ht="16.5" customHeight="1">
      <c r="A56" s="16" t="n"/>
      <c r="B56" s="107" t="str">
        <f>IF(Calculs!$DY$9="","",Calculs!DX9)</f>
        <v/>
      </c>
      <c r="D56" s="108" t="str">
        <f>IF(Calculs!$DY$9="","",Calculs!DZ9)</f>
        <v/>
      </c>
      <c r="M56" s="109" t="str">
        <f>IF(Calculs!$DY$9="","",Calculs!EA9)</f>
        <v/>
      </c>
      <c r="V56" s="109" t="str">
        <f>IF(Calculs!$DY$9="","",Calculs!EB9)</f>
        <v/>
      </c>
      <c r="AE56" s="109" t="str">
        <f>IF(Calculs!$DY$9="","",Calculs!EC9)</f>
        <v/>
      </c>
      <c r="AL56" s="111" t="str">
        <f>IF(Calculs!$DY$9="","",Calculs!ED9)</f>
        <v/>
      </c>
      <c r="AQ56" s="111" t="str">
        <f>IF(Calculs!$DY$9="","",Calculs!EE9)</f>
        <v/>
      </c>
      <c r="AW56" s="145" t="str">
        <f>IF(Calculs!$DY$9="","",Calculs!EF9)</f>
        <v/>
      </c>
      <c r="BA56" s="145" t="str">
        <f>IF(Calculs!$DY$9="","",Calculs!EG9)</f>
        <v/>
      </c>
      <c r="BE56" s="113" t="str">
        <f>IF(Calculs!$DY$9="","",Calculs!EH9)</f>
        <v/>
      </c>
      <c r="BI56" s="16" t="n"/>
    </row>
    <row r="57" ht="16.5" customHeight="1">
      <c r="A57" s="16" t="n"/>
      <c r="B57" s="107" t="str">
        <f>IF(Calculs!$DY$10="","",Calculs!DX10)</f>
        <v/>
      </c>
      <c r="D57" s="108" t="str">
        <f>IF(Calculs!$DY$10="","",Calculs!DZ10)</f>
        <v/>
      </c>
      <c r="M57" s="109" t="str">
        <f>IF(Calculs!$DY$10="","",Calculs!EA10)</f>
        <v/>
      </c>
      <c r="V57" s="109" t="str">
        <f>IF(Calculs!$DY$10="","",Calculs!EB10)</f>
        <v/>
      </c>
      <c r="AE57" s="109" t="str">
        <f>IF(Calculs!$DY$10="","",Calculs!EC10)</f>
        <v/>
      </c>
      <c r="AL57" s="111" t="str">
        <f>IF(Calculs!$DY$10="","",Calculs!ED10)</f>
        <v/>
      </c>
      <c r="AQ57" s="111" t="str">
        <f>IF(Calculs!$DY$10="","",Calculs!EE10)</f>
        <v/>
      </c>
      <c r="AW57" s="145" t="str">
        <f>IF(Calculs!$DY$10="","",Calculs!EF10)</f>
        <v/>
      </c>
      <c r="BA57" s="145" t="str">
        <f>IF(Calculs!$DY$10="","",Calculs!EG10)</f>
        <v/>
      </c>
      <c r="BE57" s="113" t="str">
        <f>IF(Calculs!$DY$10="","",Calculs!EH10)</f>
        <v/>
      </c>
      <c r="BI57" s="16" t="n"/>
    </row>
    <row r="58" ht="16.5" customHeight="1">
      <c r="A58" s="16" t="n"/>
      <c r="B58" s="107" t="str">
        <f>IF(Calculs!$DY$11="","",Calculs!DX11)</f>
        <v/>
      </c>
      <c r="D58" s="108" t="str">
        <f>IF(Calculs!$DY$11="","",Calculs!DZ11)</f>
        <v/>
      </c>
      <c r="M58" s="109" t="str">
        <f>IF(Calculs!$DY$11="","",Calculs!EA11)</f>
        <v/>
      </c>
      <c r="V58" s="109" t="str">
        <f>IF(Calculs!$DY$11="","",Calculs!EB11)</f>
        <v/>
      </c>
      <c r="AE58" s="109" t="str">
        <f>IF(Calculs!$DY$11="","",Calculs!EC11)</f>
        <v/>
      </c>
      <c r="AL58" s="111" t="str">
        <f>IF(Calculs!$DY$11="","",Calculs!ED11)</f>
        <v/>
      </c>
      <c r="AQ58" s="111" t="str">
        <f>IF(Calculs!$DY$11="","",Calculs!EE11)</f>
        <v/>
      </c>
      <c r="AW58" s="145" t="str">
        <f>IF(Calculs!$DY$11="","",Calculs!EF11)</f>
        <v/>
      </c>
      <c r="BA58" s="145" t="str">
        <f>IF(Calculs!$DY$11="","",Calculs!EG11)</f>
        <v/>
      </c>
      <c r="BE58" s="113" t="str">
        <f>IF(Calculs!$DY$11="","",Calculs!EH11)</f>
        <v/>
      </c>
      <c r="BI58" s="16" t="n"/>
    </row>
    <row r="59" ht="16.5" customHeight="1">
      <c r="A59" s="16" t="n"/>
      <c r="B59" s="107" t="str">
        <f>IF(Calculs!$DY$12="","",Calculs!DX12)</f>
        <v/>
      </c>
      <c r="D59" s="108" t="str">
        <f>IF(Calculs!$DY$12="","",Calculs!DZ12)</f>
        <v/>
      </c>
      <c r="M59" s="109" t="str">
        <f>IF(Calculs!$DY$12="","",Calculs!EA12)</f>
        <v/>
      </c>
      <c r="V59" s="109" t="str">
        <f>IF(Calculs!$DY$12="","",Calculs!EB12)</f>
        <v/>
      </c>
      <c r="AE59" s="109" t="str">
        <f>IF(Calculs!$DY$12="","",Calculs!EC12)</f>
        <v/>
      </c>
      <c r="AL59" s="111" t="str">
        <f>IF(Calculs!$DY$12="","",Calculs!ED12)</f>
        <v/>
      </c>
      <c r="AQ59" s="111" t="str">
        <f>IF(Calculs!$DY$12="","",Calculs!EE12)</f>
        <v/>
      </c>
      <c r="AW59" s="145" t="str">
        <f>IF(Calculs!$DY$12="","",Calculs!EF12)</f>
        <v/>
      </c>
      <c r="BA59" s="145" t="str">
        <f>IF(Calculs!$DY$12="","",Calculs!EG12)</f>
        <v/>
      </c>
      <c r="BE59" s="113" t="str">
        <f>IF(Calculs!$DY$12="","",Calculs!EH12)</f>
        <v/>
      </c>
      <c r="BI59" s="16" t="n"/>
    </row>
    <row r="60" ht="16.5" customHeight="1">
      <c r="A60" s="16" t="n"/>
      <c r="B60" s="107" t="str">
        <f>IF(Calculs!$DY$13="","",Calculs!DX13)</f>
        <v/>
      </c>
      <c r="D60" s="108" t="str">
        <f>IF(Calculs!$DY$13="","",Calculs!DZ13)</f>
        <v/>
      </c>
      <c r="M60" s="109" t="str">
        <f>IF(Calculs!$DY$13="","",Calculs!EA13)</f>
        <v/>
      </c>
      <c r="V60" s="109" t="str">
        <f>IF(Calculs!$DY$13="","",Calculs!EB13)</f>
        <v/>
      </c>
      <c r="AE60" s="109" t="str">
        <f>IF(Calculs!$DY$13="","",Calculs!EC13)</f>
        <v/>
      </c>
      <c r="AL60" s="111" t="str">
        <f>IF(Calculs!$DY$13="","",Calculs!ED13)</f>
        <v/>
      </c>
      <c r="AQ60" s="111" t="str">
        <f>IF(Calculs!$DY$13="","",Calculs!EE13)</f>
        <v/>
      </c>
      <c r="AW60" s="145" t="str">
        <f>IF(Calculs!$DY$13="","",Calculs!EF13)</f>
        <v/>
      </c>
      <c r="BA60" s="145" t="str">
        <f>IF(Calculs!$DY$13="","",Calculs!EG13)</f>
        <v/>
      </c>
      <c r="BE60" s="113" t="str">
        <f>IF(Calculs!$DY$13="","",Calculs!EH13)</f>
        <v/>
      </c>
      <c r="BI60" s="16" t="n"/>
    </row>
    <row r="61" ht="16.5" customHeight="1">
      <c r="A61" s="16" t="n"/>
      <c r="B61" s="107" t="str">
        <f>IF(Calculs!$DY$14="","",Calculs!DX14)</f>
        <v/>
      </c>
      <c r="D61" s="108" t="str">
        <f>IF(Calculs!$DY$14="","",Calculs!DZ14)</f>
        <v/>
      </c>
      <c r="M61" s="109" t="str">
        <f>IF(Calculs!$DY$14="","",Calculs!EA14)</f>
        <v/>
      </c>
      <c r="V61" s="109" t="str">
        <f>IF(Calculs!$DY$14="","",Calculs!EB14)</f>
        <v/>
      </c>
      <c r="AE61" s="109" t="str">
        <f>IF(Calculs!$DY$14="","",Calculs!EC14)</f>
        <v/>
      </c>
      <c r="AL61" s="111" t="str">
        <f>IF(Calculs!$DY$14="","",Calculs!ED14)</f>
        <v/>
      </c>
      <c r="AQ61" s="111" t="str">
        <f>IF(Calculs!$DY$14="","",Calculs!EE14)</f>
        <v/>
      </c>
      <c r="AW61" s="145" t="str">
        <f>IF(Calculs!$DY$14="","",Calculs!EF14)</f>
        <v/>
      </c>
      <c r="BA61" s="145" t="str">
        <f>IF(Calculs!$DY$14="","",Calculs!EG14)</f>
        <v/>
      </c>
      <c r="BE61" s="113" t="str">
        <f>IF(Calculs!$DY$14="","",Calculs!EH14)</f>
        <v/>
      </c>
      <c r="BI61" s="16" t="n"/>
    </row>
    <row r="62" ht="16.5" customHeight="1">
      <c r="A62" s="16" t="n"/>
      <c r="B62" s="107" t="str">
        <f>IF(Calculs!$DY$15="","",Calculs!DX15)</f>
        <v/>
      </c>
      <c r="D62" s="108" t="str">
        <f>IF(Calculs!$DY$15="","",Calculs!DZ15)</f>
        <v/>
      </c>
      <c r="M62" s="109" t="str">
        <f>IF(Calculs!$DY$15="","",Calculs!EA15)</f>
        <v/>
      </c>
      <c r="V62" s="109" t="str">
        <f>IF(Calculs!$DY$15="","",Calculs!EB15)</f>
        <v/>
      </c>
      <c r="AE62" s="109" t="str">
        <f>IF(Calculs!$DY$15="","",Calculs!EC15)</f>
        <v/>
      </c>
      <c r="AL62" s="111" t="str">
        <f>IF(Calculs!$DY$15="","",Calculs!ED15)</f>
        <v/>
      </c>
      <c r="AQ62" s="111" t="str">
        <f>IF(Calculs!$DY$15="","",Calculs!EE15)</f>
        <v/>
      </c>
      <c r="AW62" s="145" t="str">
        <f>IF(Calculs!$DY$15="","",Calculs!EF15)</f>
        <v/>
      </c>
      <c r="BA62" s="145" t="str">
        <f>IF(Calculs!$DY$15="","",Calculs!EG15)</f>
        <v/>
      </c>
      <c r="BE62" s="113" t="str">
        <f>IF(Calculs!$DY$15="","",Calculs!EH15)</f>
        <v/>
      </c>
      <c r="BI62" s="16" t="n"/>
    </row>
    <row r="63" ht="16.5" customHeight="1">
      <c r="A63" s="16" t="n"/>
      <c r="B63" s="107" t="str">
        <f>IF(Calculs!$DY$16="","",Calculs!DX16)</f>
        <v/>
      </c>
      <c r="D63" s="108" t="str">
        <f>IF(Calculs!$DY$16="","",Calculs!DZ16)</f>
        <v/>
      </c>
      <c r="M63" s="109" t="str">
        <f>IF(Calculs!$DY$16="","",Calculs!EA16)</f>
        <v/>
      </c>
      <c r="V63" s="109" t="str">
        <f>IF(Calculs!$DY$16="","",Calculs!EB16)</f>
        <v/>
      </c>
      <c r="AE63" s="109" t="str">
        <f>IF(Calculs!$DY$16="","",Calculs!EC16)</f>
        <v/>
      </c>
      <c r="AL63" s="111" t="str">
        <f>IF(Calculs!$DY$16="","",Calculs!ED16)</f>
        <v/>
      </c>
      <c r="AQ63" s="111" t="str">
        <f>IF(Calculs!$DY$16="","",Calculs!EE16)</f>
        <v/>
      </c>
      <c r="AW63" s="145" t="str">
        <f>IF(Calculs!$DY$16="","",Calculs!EF16)</f>
        <v/>
      </c>
      <c r="BA63" s="145" t="str">
        <f>IF(Calculs!$DY$16="","",Calculs!EG16)</f>
        <v/>
      </c>
      <c r="BE63" s="113" t="str">
        <f>IF(Calculs!$DY$16="","",Calculs!EH16)</f>
        <v/>
      </c>
      <c r="BI63" s="16" t="n"/>
    </row>
    <row r="64" ht="16.5" customHeight="1">
      <c r="A64" s="16" t="n"/>
      <c r="B64" s="107" t="str">
        <f>IF(Calculs!$DY$17="","",Calculs!DX17)</f>
        <v/>
      </c>
      <c r="D64" s="108" t="str">
        <f>IF(Calculs!$DY$17="","",Calculs!DZ17)</f>
        <v/>
      </c>
      <c r="M64" s="109" t="str">
        <f>IF(Calculs!$DY$17="","",Calculs!EA17)</f>
        <v/>
      </c>
      <c r="V64" s="109" t="str">
        <f>IF(Calculs!$DY$17="","",Calculs!EB17)</f>
        <v/>
      </c>
      <c r="AE64" s="109" t="str">
        <f>IF(Calculs!$DY$17="","",Calculs!EC17)</f>
        <v/>
      </c>
      <c r="AL64" s="111" t="str">
        <f>IF(Calculs!$DY$17="","",Calculs!ED17)</f>
        <v/>
      </c>
      <c r="AQ64" s="111" t="str">
        <f>IF(Calculs!$DY$17="","",Calculs!EE17)</f>
        <v/>
      </c>
      <c r="AW64" s="145" t="str">
        <f>IF(Calculs!$DY$17="","",Calculs!EF17)</f>
        <v/>
      </c>
      <c r="BA64" s="145" t="str">
        <f>IF(Calculs!$DY$17="","",Calculs!EG17)</f>
        <v/>
      </c>
      <c r="BE64" s="113" t="str">
        <f>IF(Calculs!$DY$17="","",Calculs!EH17)</f>
        <v/>
      </c>
      <c r="BI64" s="16" t="n"/>
    </row>
    <row r="65" ht="16.5" customHeight="1">
      <c r="A65" s="16" t="n"/>
      <c r="B65" s="107" t="str">
        <f>IF(Calculs!$DY$18="","",Calculs!DX18)</f>
        <v/>
      </c>
      <c r="D65" s="108" t="str">
        <f>IF(Calculs!$DY$18="","",Calculs!DZ18)</f>
        <v/>
      </c>
      <c r="M65" s="109" t="str">
        <f>IF(Calculs!$DY$18="","",Calculs!EA18)</f>
        <v/>
      </c>
      <c r="V65" s="109" t="str">
        <f>IF(Calculs!$DY$18="","",Calculs!EB18)</f>
        <v/>
      </c>
      <c r="AE65" s="109" t="str">
        <f>IF(Calculs!$DY$18="","",Calculs!EC18)</f>
        <v/>
      </c>
      <c r="AL65" s="111" t="str">
        <f>IF(Calculs!$DY$18="","",Calculs!ED18)</f>
        <v/>
      </c>
      <c r="AQ65" s="111" t="str">
        <f>IF(Calculs!$DY$18="","",Calculs!EE18)</f>
        <v/>
      </c>
      <c r="AW65" s="145" t="str">
        <f>IF(Calculs!$DY$18="","",Calculs!EF18)</f>
        <v/>
      </c>
      <c r="BA65" s="145" t="str">
        <f>IF(Calculs!$DY$18="","",Calculs!EG18)</f>
        <v/>
      </c>
      <c r="BE65" s="113" t="str">
        <f>IF(Calculs!$DY$18="","",Calculs!EH18)</f>
        <v/>
      </c>
      <c r="BI65" s="16" t="n"/>
    </row>
    <row r="66" ht="14" customHeight="1">
      <c r="A66" s="16" t="n"/>
      <c r="B66" s="115" t="str">
        <f>IF(Calculs!$CD$28&gt;15,"Seules les 15 plus grosses lignes sont listées sur "&amp;Calculs!$CD$28&amp;".",IF(AND(Calculs!$CD$4&lt;&gt;"",Calculs!$CD$28=0),"Aucune affaire affectée à cette ressource dans le périmètre.",""))</f>
        <v/>
      </c>
      <c r="BI66" s="16" t="n"/>
    </row>
    <row r="67" ht="14" customHeight="1">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c r="AI67" s="16" t="n"/>
      <c r="AJ67" s="16" t="n"/>
      <c r="AK67" s="16" t="n"/>
      <c r="AL67" s="16" t="n"/>
      <c r="AM67" s="16" t="n"/>
      <c r="AN67" s="16" t="n"/>
      <c r="AO67" s="16" t="n"/>
      <c r="AP67" s="16" t="n"/>
      <c r="AQ67" s="16" t="n"/>
      <c r="AR67" s="16" t="n"/>
      <c r="AS67" s="16" t="n"/>
      <c r="AT67" s="16" t="n"/>
      <c r="AU67" s="16" t="n"/>
      <c r="AV67" s="16" t="n"/>
      <c r="AW67" s="16" t="n"/>
      <c r="AX67" s="16" t="n"/>
      <c r="AY67" s="16" t="n"/>
      <c r="AZ67" s="16" t="n"/>
      <c r="BA67" s="16" t="n"/>
      <c r="BB67" s="16" t="n"/>
      <c r="BC67" s="16" t="n"/>
      <c r="BD67" s="16" t="n"/>
      <c r="BE67" s="16" t="n"/>
      <c r="BF67" s="16" t="n"/>
      <c r="BG67" s="16" t="n"/>
      <c r="BH67" s="16" t="n"/>
      <c r="BI67" s="16" t="n"/>
    </row>
    <row r="68" ht="20" customHeight="1">
      <c r="A68" s="16" t="n"/>
      <c r="B68" s="37" t="inlineStr">
        <is>
          <t>OCCUPATION DE L'ÉQUIPE (charge fixe + projets, en % de la capacité)</t>
        </is>
      </c>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c r="AA68" s="38" t="n"/>
      <c r="AB68" s="38" t="n"/>
      <c r="AC68" s="38" t="n"/>
      <c r="AD68" s="38" t="n"/>
      <c r="AE68" s="38" t="n"/>
      <c r="AF68" s="38" t="n"/>
      <c r="AG68" s="38" t="n"/>
      <c r="AH68" s="38" t="n"/>
      <c r="AI68" s="38" t="n"/>
      <c r="AJ68" s="38" t="n"/>
      <c r="AK68" s="38" t="n"/>
      <c r="AL68" s="38" t="n"/>
      <c r="AM68" s="38" t="n"/>
      <c r="AN68" s="38" t="n"/>
      <c r="AO68" s="38" t="n"/>
      <c r="AP68" s="38" t="n"/>
      <c r="AQ68" s="38" t="n"/>
      <c r="AR68" s="38" t="n"/>
      <c r="AS68" s="38" t="n"/>
      <c r="AT68" s="38" t="n"/>
      <c r="AU68" s="38" t="n"/>
      <c r="AV68" s="38" t="n"/>
      <c r="AW68" s="38" t="n"/>
      <c r="AX68" s="38" t="n"/>
      <c r="AY68" s="38" t="n"/>
      <c r="AZ68" s="38" t="n"/>
      <c r="BA68" s="38" t="n"/>
      <c r="BB68" s="38" t="n"/>
      <c r="BC68" s="38" t="n"/>
      <c r="BD68" s="38" t="n"/>
      <c r="BE68" s="38" t="n"/>
      <c r="BF68" s="38" t="n"/>
      <c r="BG68" s="38" t="n"/>
      <c r="BH68" s="38" t="n"/>
      <c r="BI68" s="16" t="n"/>
    </row>
    <row r="69" ht="6" customHeight="1">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c r="AI69" s="16" t="n"/>
      <c r="AJ69" s="16" t="n"/>
      <c r="AK69" s="16" t="n"/>
      <c r="AL69" s="16" t="n"/>
      <c r="AM69" s="16" t="n"/>
      <c r="AN69" s="16" t="n"/>
      <c r="AO69" s="16" t="n"/>
      <c r="AP69" s="16" t="n"/>
      <c r="AQ69" s="16" t="n"/>
      <c r="AR69" s="16" t="n"/>
      <c r="AS69" s="16" t="n"/>
      <c r="AT69" s="16" t="n"/>
      <c r="AU69" s="16" t="n"/>
      <c r="AV69" s="16" t="n"/>
      <c r="AW69" s="16" t="n"/>
      <c r="AX69" s="16" t="n"/>
      <c r="AY69" s="16" t="n"/>
      <c r="AZ69" s="16" t="n"/>
      <c r="BA69" s="16" t="n"/>
      <c r="BB69" s="16" t="n"/>
      <c r="BC69" s="16" t="n"/>
      <c r="BD69" s="16" t="n"/>
      <c r="BE69" s="16" t="n"/>
      <c r="BF69" s="16" t="n"/>
      <c r="BG69" s="16" t="n"/>
      <c r="BH69" s="16" t="n"/>
      <c r="BI69" s="16" t="n"/>
    </row>
    <row r="70" ht="6" customHeight="1">
      <c r="A70" s="16" t="n"/>
      <c r="B70" s="41"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c r="AD70" s="26" t="n"/>
      <c r="AE70" s="26" t="n"/>
      <c r="AF70" s="26" t="n"/>
      <c r="AG70" s="26" t="n"/>
      <c r="AH70" s="26" t="n"/>
      <c r="AI70" s="26" t="n"/>
      <c r="AJ70" s="26" t="n"/>
      <c r="AK70" s="26" t="n"/>
      <c r="AL70" s="26" t="n"/>
      <c r="AM70" s="26" t="n"/>
      <c r="AN70" s="26" t="n"/>
      <c r="AO70" s="26" t="n"/>
      <c r="AP70" s="26" t="n"/>
      <c r="AQ70" s="26" t="n"/>
      <c r="AR70" s="26" t="n"/>
      <c r="AS70" s="26" t="n"/>
      <c r="AT70" s="26" t="n"/>
      <c r="AU70" s="26" t="n"/>
      <c r="AV70" s="26" t="n"/>
      <c r="AW70" s="26" t="n"/>
      <c r="AX70" s="26" t="n"/>
      <c r="AY70" s="26" t="n"/>
      <c r="AZ70" s="26" t="n"/>
      <c r="BA70" s="26" t="n"/>
      <c r="BB70" s="26" t="n"/>
      <c r="BC70" s="26" t="n"/>
      <c r="BD70" s="26" t="n"/>
      <c r="BE70" s="26" t="n"/>
      <c r="BF70" s="26" t="n"/>
      <c r="BG70" s="26" t="n"/>
      <c r="BH70" s="42" t="n"/>
      <c r="BI70" s="16" t="n"/>
    </row>
    <row r="71" ht="15" customHeight="1">
      <c r="A71" s="16" t="n"/>
      <c r="B71" s="46" t="n"/>
      <c r="C71" s="146" t="inlineStr">
        <is>
          <t>Vert : moins de 90 %   ·   Orange : de 90 à 100 %   ·   Rouge : au-delà de 100 % (surcharge)   ·   les 16 premières ressources des listes Data (dessinateurs puis externes)</t>
        </is>
      </c>
      <c r="BH71" s="48" t="n"/>
      <c r="BI71" s="16" t="n"/>
    </row>
    <row r="72" ht="18" customHeight="1">
      <c r="A72" s="16" t="n"/>
      <c r="B72" s="46" t="n"/>
      <c r="C72" s="136" t="inlineStr">
        <is>
          <t>Ressource</t>
        </is>
      </c>
      <c r="D72" s="40" t="n"/>
      <c r="E72" s="40" t="n"/>
      <c r="F72" s="40" t="n"/>
      <c r="G72" s="40" t="n"/>
      <c r="H72" s="40" t="n"/>
      <c r="I72" s="40" t="n"/>
      <c r="J72" s="147" t="n"/>
      <c r="K72" s="147" t="n"/>
      <c r="L72" s="148">
        <f>Calculs!CW3</f>
        <v>46266.0</v>
      </c>
      <c r="M72" s="40" t="n"/>
      <c r="N72" s="40" t="n"/>
      <c r="O72" s="40" t="n"/>
      <c r="P72" s="148">
        <f>Calculs!CX3</f>
        <v>46296.0</v>
      </c>
      <c r="Q72" s="40" t="n"/>
      <c r="R72" s="40" t="n"/>
      <c r="S72" s="40" t="n"/>
      <c r="T72" s="148">
        <f>Calculs!CY3</f>
        <v>46327.0</v>
      </c>
      <c r="U72" s="40" t="n"/>
      <c r="V72" s="40" t="n"/>
      <c r="W72" s="40" t="n"/>
      <c r="X72" s="148">
        <f>Calculs!CZ3</f>
        <v>46357.0</v>
      </c>
      <c r="Y72" s="40" t="n"/>
      <c r="Z72" s="40" t="n"/>
      <c r="AA72" s="40" t="n"/>
      <c r="AB72" s="148">
        <f>Calculs!DA3</f>
        <v>46388.0</v>
      </c>
      <c r="AC72" s="40" t="n"/>
      <c r="AD72" s="40" t="n"/>
      <c r="AE72" s="40" t="n"/>
      <c r="AF72" s="148">
        <f>Calculs!DB3</f>
        <v>46419.0</v>
      </c>
      <c r="AG72" s="40" t="n"/>
      <c r="AH72" s="40" t="n"/>
      <c r="AI72" s="40" t="n"/>
      <c r="AJ72" s="148">
        <f>Calculs!DC3</f>
        <v>46447.0</v>
      </c>
      <c r="AK72" s="40" t="n"/>
      <c r="AL72" s="40" t="n"/>
      <c r="AM72" s="40" t="n"/>
      <c r="AN72" s="148">
        <f>Calculs!DD3</f>
        <v>46478.0</v>
      </c>
      <c r="AO72" s="40" t="n"/>
      <c r="AP72" s="40" t="n"/>
      <c r="AQ72" s="40" t="n"/>
      <c r="AR72" s="148">
        <f>Calculs!DE3</f>
        <v>46508.0</v>
      </c>
      <c r="AS72" s="40" t="n"/>
      <c r="AT72" s="40" t="n"/>
      <c r="AU72" s="40" t="n"/>
      <c r="AV72" s="148">
        <f>Calculs!DF3</f>
        <v>46539.0</v>
      </c>
      <c r="AW72" s="40" t="n"/>
      <c r="AX72" s="40" t="n"/>
      <c r="AY72" s="40" t="n"/>
      <c r="AZ72" s="148">
        <f>Calculs!DG3</f>
        <v>46569.0</v>
      </c>
      <c r="BA72" s="40" t="n"/>
      <c r="BB72" s="40" t="n"/>
      <c r="BC72" s="40" t="n"/>
      <c r="BD72" s="148">
        <f>Calculs!DH3</f>
        <v>46600.0</v>
      </c>
      <c r="BE72" s="40" t="n"/>
      <c r="BF72" s="40" t="n"/>
      <c r="BG72" s="40" t="n"/>
      <c r="BH72" s="48" t="n"/>
      <c r="BI72" s="16" t="n"/>
    </row>
    <row r="73" ht="16" customHeight="1">
      <c r="A73" s="16" t="n"/>
      <c r="B73" s="46" t="n"/>
      <c r="C73" s="149" t="str">
        <f>Calculs!CT4</f>
        <v>Lucas Garnier</v>
      </c>
      <c r="J73" s="150" t="str">
        <f>IF(Calculs!CT4="","",IF(Calculs!FB4="Externe","ext.",""))</f>
        <v/>
      </c>
      <c r="L73" s="151">
        <f>Calculs!DI4</f>
        <v>0.4</v>
      </c>
      <c r="P73" s="151">
        <f>Calculs!DJ4</f>
        <v>0.566666666666667</v>
      </c>
      <c r="T73" s="151">
        <f>Calculs!DK4</f>
        <v>1.01666666666667</v>
      </c>
      <c r="X73" s="151">
        <f>Calculs!DL4</f>
        <v>0.7</v>
      </c>
      <c r="AB73" s="151">
        <f>Calculs!DM4</f>
        <v>0.65</v>
      </c>
      <c r="AF73" s="151">
        <f>Calculs!DN4</f>
        <v>0.633333333333333</v>
      </c>
      <c r="AJ73" s="151">
        <f>Calculs!DO4</f>
        <v>0.7</v>
      </c>
      <c r="AN73" s="151">
        <f>Calculs!DP4</f>
        <v>0.166666666666667</v>
      </c>
      <c r="AR73" s="151">
        <f>Calculs!DQ4</f>
        <v>0.166666666666667</v>
      </c>
      <c r="AV73" s="151">
        <f>Calculs!DR4</f>
        <v>0.166666666666667</v>
      </c>
      <c r="AZ73" s="151">
        <f>Calculs!DS4</f>
        <v>0.166666666666667</v>
      </c>
      <c r="BD73" s="151">
        <f>Calculs!DT4</f>
        <v>0.166666666666667</v>
      </c>
      <c r="BH73" s="48" t="n"/>
      <c r="BI73" s="16" t="n"/>
    </row>
    <row r="74" ht="16" customHeight="1">
      <c r="A74" s="16" t="n"/>
      <c r="B74" s="46" t="n"/>
      <c r="C74" s="149" t="str">
        <f>Calculs!CT5</f>
        <v>Emma Faure</v>
      </c>
      <c r="J74" s="150" t="str">
        <f>IF(Calculs!CT5="","",IF(Calculs!FB5="Externe","ext.",""))</f>
        <v/>
      </c>
      <c r="L74" s="151">
        <f>Calculs!DI5</f>
        <v>0.166666666666667</v>
      </c>
      <c r="P74" s="151">
        <f>Calculs!DJ5</f>
        <v>0.166666666666667</v>
      </c>
      <c r="T74" s="151">
        <f>Calculs!DK5</f>
        <v>0.166666666666667</v>
      </c>
      <c r="X74" s="151">
        <f>Calculs!DL5</f>
        <v>0.65</v>
      </c>
      <c r="AB74" s="151">
        <f>Calculs!DM5</f>
        <v>0.933333333333333</v>
      </c>
      <c r="AF74" s="151">
        <f>Calculs!DN5</f>
        <v>1.01666666666667</v>
      </c>
      <c r="AJ74" s="151">
        <f>Calculs!DO5</f>
        <v>1.225</v>
      </c>
      <c r="AN74" s="151">
        <f>Calculs!DP5</f>
        <v>1.175</v>
      </c>
      <c r="AR74" s="151">
        <f>Calculs!DQ5</f>
        <v>1.09166666666667</v>
      </c>
      <c r="AV74" s="151">
        <f>Calculs!DR5</f>
        <v>0.425</v>
      </c>
      <c r="AZ74" s="151">
        <f>Calculs!DS5</f>
        <v>0.425</v>
      </c>
      <c r="BD74" s="151">
        <f>Calculs!DT5</f>
        <v>0.4</v>
      </c>
      <c r="BH74" s="48" t="n"/>
      <c r="BI74" s="16" t="n"/>
    </row>
    <row r="75" ht="16" customHeight="1">
      <c r="A75" s="16" t="n"/>
      <c r="B75" s="46" t="n"/>
      <c r="C75" s="149" t="str">
        <f>Calculs!CT6</f>
        <v>Hugo Mercier</v>
      </c>
      <c r="J75" s="150" t="str">
        <f>IF(Calculs!CT6="","",IF(Calculs!FB6="Externe","ext.",""))</f>
        <v/>
      </c>
      <c r="L75" s="151">
        <f>Calculs!DI6</f>
        <v>0.166666666666667</v>
      </c>
      <c r="P75" s="151">
        <f>Calculs!DJ6</f>
        <v>0.541666666666667</v>
      </c>
      <c r="T75" s="151">
        <f>Calculs!DK6</f>
        <v>0.691666666666667</v>
      </c>
      <c r="X75" s="151">
        <f>Calculs!DL6</f>
        <v>0.516666666666667</v>
      </c>
      <c r="AB75" s="151">
        <f>Calculs!DM6</f>
        <v>0.166666666666667</v>
      </c>
      <c r="AF75" s="151">
        <f>Calculs!DN6</f>
        <v>0.266666666666667</v>
      </c>
      <c r="AJ75" s="151">
        <f>Calculs!DO6</f>
        <v>0.625</v>
      </c>
      <c r="AN75" s="151">
        <f>Calculs!DP6</f>
        <v>0.775</v>
      </c>
      <c r="AR75" s="151">
        <f>Calculs!DQ6</f>
        <v>0.741666666666667</v>
      </c>
      <c r="AV75" s="151">
        <f>Calculs!DR6</f>
        <v>0.775</v>
      </c>
      <c r="AZ75" s="151">
        <f>Calculs!DS6</f>
        <v>0.55</v>
      </c>
      <c r="BD75" s="151">
        <f>Calculs!DT6</f>
        <v>0.55</v>
      </c>
      <c r="BH75" s="48" t="n"/>
      <c r="BI75" s="16" t="n"/>
    </row>
    <row r="76" ht="16" customHeight="1">
      <c r="A76" s="16" t="n"/>
      <c r="B76" s="46" t="n"/>
      <c r="C76" s="149" t="str">
        <f>Calculs!CT7</f>
        <v>Léa Chevalier</v>
      </c>
      <c r="J76" s="150" t="str">
        <f>IF(Calculs!CT7="","",IF(Calculs!FB7="Externe","ext.",""))</f>
        <v/>
      </c>
      <c r="L76" s="151">
        <f>Calculs!DI7</f>
        <v>0.208333333333333</v>
      </c>
      <c r="P76" s="151">
        <f>Calculs!DJ7</f>
        <v>0.96875</v>
      </c>
      <c r="T76" s="151">
        <f>Calculs!DK7</f>
        <v>1.40625</v>
      </c>
      <c r="X76" s="151">
        <f>Calculs!DL7</f>
        <v>1.40625</v>
      </c>
      <c r="AB76" s="151">
        <f>Calculs!DM7</f>
        <v>1.01041666666667</v>
      </c>
      <c r="AF76" s="151">
        <f>Calculs!DN7</f>
        <v>0.916666666666667</v>
      </c>
      <c r="AJ76" s="151">
        <f>Calculs!DO7</f>
        <v>1.02083333333333</v>
      </c>
      <c r="AN76" s="151">
        <f>Calculs!DP7</f>
        <v>0.979166666666667</v>
      </c>
      <c r="AR76" s="151">
        <f>Calculs!DQ7</f>
        <v>0.208333333333333</v>
      </c>
      <c r="AV76" s="151">
        <f>Calculs!DR7</f>
        <v>0.208333333333333</v>
      </c>
      <c r="AZ76" s="151">
        <f>Calculs!DS7</f>
        <v>0.208333333333333</v>
      </c>
      <c r="BD76" s="151">
        <f>Calculs!DT7</f>
        <v>0.208333333333333</v>
      </c>
      <c r="BH76" s="48" t="n"/>
      <c r="BI76" s="16" t="n"/>
    </row>
    <row r="77" ht="16" customHeight="1">
      <c r="A77" s="16" t="n"/>
      <c r="B77" s="46" t="n"/>
      <c r="C77" s="149" t="str">
        <f>Calculs!CT8</f>
        <v>Antoine Blanc</v>
      </c>
      <c r="J77" s="150" t="str">
        <f>IF(Calculs!CT8="","",IF(Calculs!FB8="Externe","ext.",""))</f>
        <v/>
      </c>
      <c r="L77" s="151">
        <f>Calculs!DI8</f>
        <v>0.166666666666667</v>
      </c>
      <c r="P77" s="151">
        <f>Calculs!DJ8</f>
        <v>0.166666666666667</v>
      </c>
      <c r="T77" s="151">
        <f>Calculs!DK8</f>
        <v>0.275</v>
      </c>
      <c r="X77" s="151">
        <f>Calculs!DL8</f>
        <v>0.575</v>
      </c>
      <c r="AB77" s="151">
        <f>Calculs!DM8</f>
        <v>0.358333333333333</v>
      </c>
      <c r="AF77" s="151">
        <f>Calculs!DN8</f>
        <v>0.566666666666667</v>
      </c>
      <c r="AJ77" s="151">
        <f>Calculs!DO8</f>
        <v>0.941666666666667</v>
      </c>
      <c r="AN77" s="151">
        <f>Calculs!DP8</f>
        <v>0.616666666666667</v>
      </c>
      <c r="AR77" s="151">
        <f>Calculs!DQ8</f>
        <v>0.591666666666667</v>
      </c>
      <c r="AV77" s="151">
        <f>Calculs!DR8</f>
        <v>0.616666666666667</v>
      </c>
      <c r="AZ77" s="151">
        <f>Calculs!DS8</f>
        <v>0.166666666666667</v>
      </c>
      <c r="BD77" s="151">
        <f>Calculs!DT8</f>
        <v>0.166666666666667</v>
      </c>
      <c r="BH77" s="48" t="n"/>
      <c r="BI77" s="16" t="n"/>
    </row>
    <row r="78" ht="16" customHeight="1">
      <c r="A78" s="16" t="n"/>
      <c r="B78" s="46" t="n"/>
      <c r="C78" s="149" t="str">
        <f>Calculs!CT9</f>
        <v>Paul Girard</v>
      </c>
      <c r="J78" s="150" t="str">
        <f>IF(Calculs!CT9="","",IF(Calculs!FB9="Externe","ext.",""))</f>
        <v>ext.</v>
      </c>
      <c r="L78" s="151">
        <f>Calculs!DI9</f>
        <v>0.166666666666667</v>
      </c>
      <c r="P78" s="151">
        <f>Calculs!DJ9</f>
        <v>0.166666666666667</v>
      </c>
      <c r="T78" s="151">
        <f>Calculs!DK9</f>
        <v>0.358333333333333</v>
      </c>
      <c r="X78" s="151">
        <f>Calculs!DL9</f>
        <v>0.616666666666667</v>
      </c>
      <c r="AB78" s="151">
        <f>Calculs!DM9</f>
        <v>0.583333333333333</v>
      </c>
      <c r="AF78" s="151">
        <f>Calculs!DN9</f>
        <v>0.558333333333333</v>
      </c>
      <c r="AJ78" s="151">
        <f>Calculs!DO9</f>
        <v>0.383333333333333</v>
      </c>
      <c r="AN78" s="151">
        <f>Calculs!DP9</f>
        <v>0.166666666666667</v>
      </c>
      <c r="AR78" s="151">
        <f>Calculs!DQ9</f>
        <v>0.166666666666667</v>
      </c>
      <c r="AV78" s="151">
        <f>Calculs!DR9</f>
        <v>0.166666666666667</v>
      </c>
      <c r="AZ78" s="151">
        <f>Calculs!DS9</f>
        <v>0.166666666666667</v>
      </c>
      <c r="BD78" s="151">
        <f>Calculs!DT9</f>
        <v>0.166666666666667</v>
      </c>
      <c r="BH78" s="48" t="n"/>
      <c r="BI78" s="16" t="n"/>
    </row>
    <row r="79" ht="16" customHeight="1">
      <c r="A79" s="16" t="n"/>
      <c r="B79" s="46" t="n"/>
      <c r="C79" s="149" t="str">
        <f>Calculs!CT10</f>
        <v>Inès Morel</v>
      </c>
      <c r="J79" s="150" t="str">
        <f>IF(Calculs!CT10="","",IF(Calculs!FB10="Externe","ext.",""))</f>
        <v>ext.</v>
      </c>
      <c r="L79" s="151">
        <f>Calculs!DI10</f>
        <v>0.166666666666667</v>
      </c>
      <c r="P79" s="151">
        <f>Calculs!DJ10</f>
        <v>0.166666666666667</v>
      </c>
      <c r="T79" s="151">
        <f>Calculs!DK10</f>
        <v>0.166666666666667</v>
      </c>
      <c r="X79" s="151">
        <f>Calculs!DL10</f>
        <v>0.166666666666667</v>
      </c>
      <c r="AB79" s="151">
        <f>Calculs!DM10</f>
        <v>0.166666666666667</v>
      </c>
      <c r="AF79" s="151">
        <f>Calculs!DN10</f>
        <v>0.166666666666667</v>
      </c>
      <c r="AJ79" s="151">
        <f>Calculs!DO10</f>
        <v>0.166666666666667</v>
      </c>
      <c r="AN79" s="151">
        <f>Calculs!DP10</f>
        <v>0.516666666666667</v>
      </c>
      <c r="AR79" s="151">
        <f>Calculs!DQ10</f>
        <v>0.7</v>
      </c>
      <c r="AV79" s="151">
        <f>Calculs!DR10</f>
        <v>0.725</v>
      </c>
      <c r="AZ79" s="151">
        <f>Calculs!DS10</f>
        <v>0.725</v>
      </c>
      <c r="BD79" s="151">
        <f>Calculs!DT10</f>
        <v>0.325</v>
      </c>
      <c r="BH79" s="48" t="n"/>
      <c r="BI79" s="16" t="n"/>
    </row>
    <row r="80" ht="16" customHeight="1">
      <c r="A80" s="16" t="n"/>
      <c r="B80" s="46" t="n"/>
      <c r="C80" s="149" t="str">
        <f>Calculs!CT11</f>
        <v>Karim Haddad</v>
      </c>
      <c r="J80" s="150" t="str">
        <f>IF(Calculs!CT11="","",IF(Calculs!FB11="Externe","ext.",""))</f>
        <v>ext.</v>
      </c>
      <c r="L80" s="151">
        <f>Calculs!DI11</f>
        <v>0.166666666666667</v>
      </c>
      <c r="P80" s="151">
        <f>Calculs!DJ11</f>
        <v>0.166666666666667</v>
      </c>
      <c r="T80" s="151">
        <f>Calculs!DK11</f>
        <v>0.166666666666667</v>
      </c>
      <c r="X80" s="151">
        <f>Calculs!DL11</f>
        <v>0.166666666666667</v>
      </c>
      <c r="AB80" s="151">
        <f>Calculs!DM11</f>
        <v>0.35</v>
      </c>
      <c r="AF80" s="151">
        <f>Calculs!DN11</f>
        <v>0.533333333333333</v>
      </c>
      <c r="AJ80" s="151">
        <f>Calculs!DO11</f>
        <v>0.5</v>
      </c>
      <c r="AN80" s="151">
        <f>Calculs!DP11</f>
        <v>0.4</v>
      </c>
      <c r="AR80" s="151">
        <f>Calculs!DQ11</f>
        <v>0.383333333333333</v>
      </c>
      <c r="AV80" s="151">
        <f>Calculs!DR11</f>
        <v>0.4</v>
      </c>
      <c r="AZ80" s="151">
        <f>Calculs!DS11</f>
        <v>0.4</v>
      </c>
      <c r="BD80" s="151">
        <f>Calculs!DT11</f>
        <v>0.4</v>
      </c>
      <c r="BH80" s="48" t="n"/>
      <c r="BI80" s="16" t="n"/>
    </row>
    <row r="81" ht="16" customHeight="1">
      <c r="A81" s="16" t="n"/>
      <c r="B81" s="46" t="n"/>
      <c r="C81" s="149" t="str">
        <f>Calculs!CT12</f>
        <v/>
      </c>
      <c r="J81" s="150" t="str">
        <f>IF(Calculs!CT12="","",IF(Calculs!FB12="Externe","ext.",""))</f>
        <v/>
      </c>
      <c r="L81" s="151" t="str">
        <f>Calculs!DI12</f>
        <v/>
      </c>
      <c r="P81" s="151" t="str">
        <f>Calculs!DJ12</f>
        <v/>
      </c>
      <c r="T81" s="151" t="str">
        <f>Calculs!DK12</f>
        <v/>
      </c>
      <c r="X81" s="151" t="str">
        <f>Calculs!DL12</f>
        <v/>
      </c>
      <c r="AB81" s="151" t="str">
        <f>Calculs!DM12</f>
        <v/>
      </c>
      <c r="AF81" s="151" t="str">
        <f>Calculs!DN12</f>
        <v/>
      </c>
      <c r="AJ81" s="151" t="str">
        <f>Calculs!DO12</f>
        <v/>
      </c>
      <c r="AN81" s="151" t="str">
        <f>Calculs!DP12</f>
        <v/>
      </c>
      <c r="AR81" s="151" t="str">
        <f>Calculs!DQ12</f>
        <v/>
      </c>
      <c r="AV81" s="151" t="str">
        <f>Calculs!DR12</f>
        <v/>
      </c>
      <c r="AZ81" s="151" t="str">
        <f>Calculs!DS12</f>
        <v/>
      </c>
      <c r="BD81" s="151" t="str">
        <f>Calculs!DT12</f>
        <v/>
      </c>
      <c r="BH81" s="48" t="n"/>
      <c r="BI81" s="16" t="n"/>
    </row>
    <row r="82" ht="16" customHeight="1">
      <c r="A82" s="16" t="n"/>
      <c r="B82" s="46" t="n"/>
      <c r="C82" s="149" t="str">
        <f>Calculs!CT13</f>
        <v/>
      </c>
      <c r="J82" s="150" t="str">
        <f>IF(Calculs!CT13="","",IF(Calculs!FB13="Externe","ext.",""))</f>
        <v/>
      </c>
      <c r="L82" s="151" t="str">
        <f>Calculs!DI13</f>
        <v/>
      </c>
      <c r="P82" s="151" t="str">
        <f>Calculs!DJ13</f>
        <v/>
      </c>
      <c r="T82" s="151" t="str">
        <f>Calculs!DK13</f>
        <v/>
      </c>
      <c r="X82" s="151" t="str">
        <f>Calculs!DL13</f>
        <v/>
      </c>
      <c r="AB82" s="151" t="str">
        <f>Calculs!DM13</f>
        <v/>
      </c>
      <c r="AF82" s="151" t="str">
        <f>Calculs!DN13</f>
        <v/>
      </c>
      <c r="AJ82" s="151" t="str">
        <f>Calculs!DO13</f>
        <v/>
      </c>
      <c r="AN82" s="151" t="str">
        <f>Calculs!DP13</f>
        <v/>
      </c>
      <c r="AR82" s="151" t="str">
        <f>Calculs!DQ13</f>
        <v/>
      </c>
      <c r="AV82" s="151" t="str">
        <f>Calculs!DR13</f>
        <v/>
      </c>
      <c r="AZ82" s="151" t="str">
        <f>Calculs!DS13</f>
        <v/>
      </c>
      <c r="BD82" s="151" t="str">
        <f>Calculs!DT13</f>
        <v/>
      </c>
      <c r="BH82" s="48" t="n"/>
      <c r="BI82" s="16" t="n"/>
    </row>
    <row r="83" ht="16" customHeight="1">
      <c r="A83" s="16" t="n"/>
      <c r="B83" s="46" t="n"/>
      <c r="C83" s="149" t="str">
        <f>Calculs!CT14</f>
        <v/>
      </c>
      <c r="J83" s="150" t="str">
        <f>IF(Calculs!CT14="","",IF(Calculs!FB14="Externe","ext.",""))</f>
        <v/>
      </c>
      <c r="L83" s="151" t="str">
        <f>Calculs!DI14</f>
        <v/>
      </c>
      <c r="P83" s="151" t="str">
        <f>Calculs!DJ14</f>
        <v/>
      </c>
      <c r="T83" s="151" t="str">
        <f>Calculs!DK14</f>
        <v/>
      </c>
      <c r="X83" s="151" t="str">
        <f>Calculs!DL14</f>
        <v/>
      </c>
      <c r="AB83" s="151" t="str">
        <f>Calculs!DM14</f>
        <v/>
      </c>
      <c r="AF83" s="151" t="str">
        <f>Calculs!DN14</f>
        <v/>
      </c>
      <c r="AJ83" s="151" t="str">
        <f>Calculs!DO14</f>
        <v/>
      </c>
      <c r="AN83" s="151" t="str">
        <f>Calculs!DP14</f>
        <v/>
      </c>
      <c r="AR83" s="151" t="str">
        <f>Calculs!DQ14</f>
        <v/>
      </c>
      <c r="AV83" s="151" t="str">
        <f>Calculs!DR14</f>
        <v/>
      </c>
      <c r="AZ83" s="151" t="str">
        <f>Calculs!DS14</f>
        <v/>
      </c>
      <c r="BD83" s="151" t="str">
        <f>Calculs!DT14</f>
        <v/>
      </c>
      <c r="BH83" s="48" t="n"/>
      <c r="BI83" s="16" t="n"/>
    </row>
    <row r="84" ht="16" customHeight="1">
      <c r="A84" s="16" t="n"/>
      <c r="B84" s="46" t="n"/>
      <c r="C84" s="149" t="str">
        <f>Calculs!CT15</f>
        <v/>
      </c>
      <c r="J84" s="150" t="str">
        <f>IF(Calculs!CT15="","",IF(Calculs!FB15="Externe","ext.",""))</f>
        <v/>
      </c>
      <c r="L84" s="151" t="str">
        <f>Calculs!DI15</f>
        <v/>
      </c>
      <c r="P84" s="151" t="str">
        <f>Calculs!DJ15</f>
        <v/>
      </c>
      <c r="T84" s="151" t="str">
        <f>Calculs!DK15</f>
        <v/>
      </c>
      <c r="X84" s="151" t="str">
        <f>Calculs!DL15</f>
        <v/>
      </c>
      <c r="AB84" s="151" t="str">
        <f>Calculs!DM15</f>
        <v/>
      </c>
      <c r="AF84" s="151" t="str">
        <f>Calculs!DN15</f>
        <v/>
      </c>
      <c r="AJ84" s="151" t="str">
        <f>Calculs!DO15</f>
        <v/>
      </c>
      <c r="AN84" s="151" t="str">
        <f>Calculs!DP15</f>
        <v/>
      </c>
      <c r="AR84" s="151" t="str">
        <f>Calculs!DQ15</f>
        <v/>
      </c>
      <c r="AV84" s="151" t="str">
        <f>Calculs!DR15</f>
        <v/>
      </c>
      <c r="AZ84" s="151" t="str">
        <f>Calculs!DS15</f>
        <v/>
      </c>
      <c r="BD84" s="151" t="str">
        <f>Calculs!DT15</f>
        <v/>
      </c>
      <c r="BH84" s="48" t="n"/>
      <c r="BI84" s="16" t="n"/>
    </row>
    <row r="85" ht="16" customHeight="1">
      <c r="A85" s="16" t="n"/>
      <c r="B85" s="46" t="n"/>
      <c r="C85" s="149" t="str">
        <f>Calculs!CT16</f>
        <v/>
      </c>
      <c r="J85" s="150" t="str">
        <f>IF(Calculs!CT16="","",IF(Calculs!FB16="Externe","ext.",""))</f>
        <v/>
      </c>
      <c r="L85" s="151" t="str">
        <f>Calculs!DI16</f>
        <v/>
      </c>
      <c r="P85" s="151" t="str">
        <f>Calculs!DJ16</f>
        <v/>
      </c>
      <c r="T85" s="151" t="str">
        <f>Calculs!DK16</f>
        <v/>
      </c>
      <c r="X85" s="151" t="str">
        <f>Calculs!DL16</f>
        <v/>
      </c>
      <c r="AB85" s="151" t="str">
        <f>Calculs!DM16</f>
        <v/>
      </c>
      <c r="AF85" s="151" t="str">
        <f>Calculs!DN16</f>
        <v/>
      </c>
      <c r="AJ85" s="151" t="str">
        <f>Calculs!DO16</f>
        <v/>
      </c>
      <c r="AN85" s="151" t="str">
        <f>Calculs!DP16</f>
        <v/>
      </c>
      <c r="AR85" s="151" t="str">
        <f>Calculs!DQ16</f>
        <v/>
      </c>
      <c r="AV85" s="151" t="str">
        <f>Calculs!DR16</f>
        <v/>
      </c>
      <c r="AZ85" s="151" t="str">
        <f>Calculs!DS16</f>
        <v/>
      </c>
      <c r="BD85" s="151" t="str">
        <f>Calculs!DT16</f>
        <v/>
      </c>
      <c r="BH85" s="48" t="n"/>
      <c r="BI85" s="16" t="n"/>
    </row>
    <row r="86" ht="16" customHeight="1">
      <c r="A86" s="16" t="n"/>
      <c r="B86" s="46" t="n"/>
      <c r="C86" s="149" t="str">
        <f>Calculs!CT17</f>
        <v/>
      </c>
      <c r="J86" s="150" t="str">
        <f>IF(Calculs!CT17="","",IF(Calculs!FB17="Externe","ext.",""))</f>
        <v/>
      </c>
      <c r="L86" s="151" t="str">
        <f>Calculs!DI17</f>
        <v/>
      </c>
      <c r="P86" s="151" t="str">
        <f>Calculs!DJ17</f>
        <v/>
      </c>
      <c r="T86" s="151" t="str">
        <f>Calculs!DK17</f>
        <v/>
      </c>
      <c r="X86" s="151" t="str">
        <f>Calculs!DL17</f>
        <v/>
      </c>
      <c r="AB86" s="151" t="str">
        <f>Calculs!DM17</f>
        <v/>
      </c>
      <c r="AF86" s="151" t="str">
        <f>Calculs!DN17</f>
        <v/>
      </c>
      <c r="AJ86" s="151" t="str">
        <f>Calculs!DO17</f>
        <v/>
      </c>
      <c r="AN86" s="151" t="str">
        <f>Calculs!DP17</f>
        <v/>
      </c>
      <c r="AR86" s="151" t="str">
        <f>Calculs!DQ17</f>
        <v/>
      </c>
      <c r="AV86" s="151" t="str">
        <f>Calculs!DR17</f>
        <v/>
      </c>
      <c r="AZ86" s="151" t="str">
        <f>Calculs!DS17</f>
        <v/>
      </c>
      <c r="BD86" s="151" t="str">
        <f>Calculs!DT17</f>
        <v/>
      </c>
      <c r="BH86" s="48" t="n"/>
      <c r="BI86" s="16" t="n"/>
    </row>
    <row r="87" ht="16" customHeight="1">
      <c r="A87" s="16" t="n"/>
      <c r="B87" s="46" t="n"/>
      <c r="C87" s="149" t="str">
        <f>Calculs!CT18</f>
        <v/>
      </c>
      <c r="J87" s="150" t="str">
        <f>IF(Calculs!CT18="","",IF(Calculs!FB18="Externe","ext.",""))</f>
        <v/>
      </c>
      <c r="L87" s="151" t="str">
        <f>Calculs!DI18</f>
        <v/>
      </c>
      <c r="P87" s="151" t="str">
        <f>Calculs!DJ18</f>
        <v/>
      </c>
      <c r="T87" s="151" t="str">
        <f>Calculs!DK18</f>
        <v/>
      </c>
      <c r="X87" s="151" t="str">
        <f>Calculs!DL18</f>
        <v/>
      </c>
      <c r="AB87" s="151" t="str">
        <f>Calculs!DM18</f>
        <v/>
      </c>
      <c r="AF87" s="151" t="str">
        <f>Calculs!DN18</f>
        <v/>
      </c>
      <c r="AJ87" s="151" t="str">
        <f>Calculs!DO18</f>
        <v/>
      </c>
      <c r="AN87" s="151" t="str">
        <f>Calculs!DP18</f>
        <v/>
      </c>
      <c r="AR87" s="151" t="str">
        <f>Calculs!DQ18</f>
        <v/>
      </c>
      <c r="AV87" s="151" t="str">
        <f>Calculs!DR18</f>
        <v/>
      </c>
      <c r="AZ87" s="151" t="str">
        <f>Calculs!DS18</f>
        <v/>
      </c>
      <c r="BD87" s="151" t="str">
        <f>Calculs!DT18</f>
        <v/>
      </c>
      <c r="BH87" s="48" t="n"/>
      <c r="BI87" s="16" t="n"/>
    </row>
    <row r="88" ht="16" customHeight="1">
      <c r="A88" s="16" t="n"/>
      <c r="B88" s="46" t="n"/>
      <c r="C88" s="149" t="str">
        <f>Calculs!CT19</f>
        <v/>
      </c>
      <c r="J88" s="150" t="str">
        <f>IF(Calculs!CT19="","",IF(Calculs!FB19="Externe","ext.",""))</f>
        <v/>
      </c>
      <c r="L88" s="151" t="str">
        <f>Calculs!DI19</f>
        <v/>
      </c>
      <c r="P88" s="151" t="str">
        <f>Calculs!DJ19</f>
        <v/>
      </c>
      <c r="T88" s="151" t="str">
        <f>Calculs!DK19</f>
        <v/>
      </c>
      <c r="X88" s="151" t="str">
        <f>Calculs!DL19</f>
        <v/>
      </c>
      <c r="AB88" s="151" t="str">
        <f>Calculs!DM19</f>
        <v/>
      </c>
      <c r="AF88" s="151" t="str">
        <f>Calculs!DN19</f>
        <v/>
      </c>
      <c r="AJ88" s="151" t="str">
        <f>Calculs!DO19</f>
        <v/>
      </c>
      <c r="AN88" s="151" t="str">
        <f>Calculs!DP19</f>
        <v/>
      </c>
      <c r="AR88" s="151" t="str">
        <f>Calculs!DQ19</f>
        <v/>
      </c>
      <c r="AV88" s="151" t="str">
        <f>Calculs!DR19</f>
        <v/>
      </c>
      <c r="AZ88" s="151" t="str">
        <f>Calculs!DS19</f>
        <v/>
      </c>
      <c r="BD88" s="151" t="str">
        <f>Calculs!DT19</f>
        <v/>
      </c>
      <c r="BH88" s="48" t="n"/>
      <c r="BI88" s="16" t="n"/>
    </row>
    <row r="89" ht="16" customHeight="1">
      <c r="A89" s="16" t="n"/>
      <c r="B89" s="46" t="n"/>
      <c r="C89" s="152" t="inlineStr">
        <is>
          <t>Charge non affectée (h)</t>
        </is>
      </c>
      <c r="D89" s="140" t="n"/>
      <c r="E89" s="140" t="n"/>
      <c r="F89" s="140" t="n"/>
      <c r="G89" s="140" t="n"/>
      <c r="H89" s="140" t="n"/>
      <c r="I89" s="140" t="n"/>
      <c r="J89" s="140" t="n"/>
      <c r="K89" s="140" t="n"/>
      <c r="L89" s="153">
        <f>Calculs!CW20</f>
        <v>0</v>
      </c>
      <c r="M89" s="140" t="n"/>
      <c r="N89" s="140" t="n"/>
      <c r="O89" s="140" t="n"/>
      <c r="P89" s="153">
        <f>Calculs!CX20</f>
        <v>0</v>
      </c>
      <c r="Q89" s="140" t="n"/>
      <c r="R89" s="140" t="n"/>
      <c r="S89" s="140" t="n"/>
      <c r="T89" s="153">
        <f>Calculs!CY20</f>
        <v>0</v>
      </c>
      <c r="U89" s="140" t="n"/>
      <c r="V89" s="140" t="n"/>
      <c r="W89" s="140" t="n"/>
      <c r="X89" s="153">
        <f>Calculs!CZ20</f>
        <v>0</v>
      </c>
      <c r="Y89" s="140" t="n"/>
      <c r="Z89" s="140" t="n"/>
      <c r="AA89" s="140" t="n"/>
      <c r="AB89" s="153">
        <f>Calculs!DA20</f>
        <v>0</v>
      </c>
      <c r="AC89" s="140" t="n"/>
      <c r="AD89" s="140" t="n"/>
      <c r="AE89" s="140" t="n"/>
      <c r="AF89" s="153">
        <f>Calculs!DB20</f>
        <v>0</v>
      </c>
      <c r="AG89" s="140" t="n"/>
      <c r="AH89" s="140" t="n"/>
      <c r="AI89" s="140" t="n"/>
      <c r="AJ89" s="153">
        <f>Calculs!DC20</f>
        <v>25.5555555555556</v>
      </c>
      <c r="AK89" s="140" t="n"/>
      <c r="AL89" s="140" t="n"/>
      <c r="AM89" s="140" t="n"/>
      <c r="AN89" s="153">
        <f>Calculs!DD20</f>
        <v>24.4444444444444</v>
      </c>
      <c r="AO89" s="140" t="n"/>
      <c r="AP89" s="140" t="n"/>
      <c r="AQ89" s="140" t="n"/>
      <c r="AR89" s="153">
        <f>Calculs!DE20</f>
        <v>0</v>
      </c>
      <c r="AS89" s="140" t="n"/>
      <c r="AT89" s="140" t="n"/>
      <c r="AU89" s="140" t="n"/>
      <c r="AV89" s="153">
        <f>Calculs!DF20</f>
        <v>0</v>
      </c>
      <c r="AW89" s="140" t="n"/>
      <c r="AX89" s="140" t="n"/>
      <c r="AY89" s="140" t="n"/>
      <c r="AZ89" s="153">
        <f>Calculs!DG20</f>
        <v>0</v>
      </c>
      <c r="BA89" s="140" t="n"/>
      <c r="BB89" s="140" t="n"/>
      <c r="BC89" s="140" t="n"/>
      <c r="BD89" s="153">
        <f>Calculs!DH20</f>
        <v>0</v>
      </c>
      <c r="BE89" s="140" t="n"/>
      <c r="BF89" s="140" t="n"/>
      <c r="BG89" s="140" t="n"/>
      <c r="BH89" s="48" t="n"/>
      <c r="BI89" s="16" t="n"/>
    </row>
    <row r="90" ht="16" customHeight="1">
      <c r="A90" s="16" t="n"/>
      <c r="B90" s="46" t="n"/>
      <c r="C90" s="154" t="inlineStr">
        <is>
          <t>Autres ressources (h)</t>
        </is>
      </c>
      <c r="L90" s="155">
        <f>Calculs!CW21</f>
        <v>0</v>
      </c>
      <c r="P90" s="155">
        <f>Calculs!CX21</f>
        <v>0</v>
      </c>
      <c r="T90" s="155">
        <f>Calculs!CY21</f>
        <v>0</v>
      </c>
      <c r="X90" s="155">
        <f>Calculs!CZ21</f>
        <v>0</v>
      </c>
      <c r="AB90" s="155">
        <f>Calculs!DA21</f>
        <v>0</v>
      </c>
      <c r="AF90" s="155">
        <f>Calculs!DB21</f>
        <v>0</v>
      </c>
      <c r="AJ90" s="155">
        <f>Calculs!DC21</f>
        <v>0</v>
      </c>
      <c r="AN90" s="155">
        <f>Calculs!DD21</f>
        <v>0</v>
      </c>
      <c r="AR90" s="155">
        <f>Calculs!DE21</f>
        <v>0</v>
      </c>
      <c r="AV90" s="155">
        <f>Calculs!DF21</f>
        <v>0</v>
      </c>
      <c r="AZ90" s="155">
        <f>Calculs!DG21</f>
        <v>0</v>
      </c>
      <c r="BD90" s="155">
        <f>Calculs!DH21</f>
        <v>0</v>
      </c>
      <c r="BH90" s="48" t="n"/>
      <c r="BI90" s="16" t="n"/>
    </row>
    <row r="91" ht="8" customHeight="1">
      <c r="A91" s="16" t="n"/>
      <c r="B91" s="30" t="n"/>
      <c r="C91" s="31" t="n"/>
      <c r="D91" s="31" t="n"/>
      <c r="E91" s="31" t="n"/>
      <c r="F91" s="31" t="n"/>
      <c r="G91" s="31" t="n"/>
      <c r="H91" s="31" t="n"/>
      <c r="I91" s="31" t="n"/>
      <c r="J91" s="31" t="n"/>
      <c r="K91" s="31" t="n"/>
      <c r="L91" s="31" t="n"/>
      <c r="M91" s="31" t="n"/>
      <c r="N91" s="31" t="n"/>
      <c r="O91" s="31" t="n"/>
      <c r="P91" s="31" t="n"/>
      <c r="Q91" s="31" t="n"/>
      <c r="R91" s="31" t="n"/>
      <c r="S91" s="31" t="n"/>
      <c r="T91" s="31" t="n"/>
      <c r="U91" s="31" t="n"/>
      <c r="V91" s="31" t="n"/>
      <c r="W91" s="31" t="n"/>
      <c r="X91" s="31" t="n"/>
      <c r="Y91" s="31" t="n"/>
      <c r="Z91" s="31" t="n"/>
      <c r="AA91" s="31" t="n"/>
      <c r="AB91" s="31" t="n"/>
      <c r="AC91" s="31" t="n"/>
      <c r="AD91" s="31" t="n"/>
      <c r="AE91" s="31" t="n"/>
      <c r="AF91" s="31" t="n"/>
      <c r="AG91" s="31" t="n"/>
      <c r="AH91" s="31" t="n"/>
      <c r="AI91" s="31" t="n"/>
      <c r="AJ91" s="31" t="n"/>
      <c r="AK91" s="31" t="n"/>
      <c r="AL91" s="31" t="n"/>
      <c r="AM91" s="31" t="n"/>
      <c r="AN91" s="31" t="n"/>
      <c r="AO91" s="31" t="n"/>
      <c r="AP91" s="31" t="n"/>
      <c r="AQ91" s="31" t="n"/>
      <c r="AR91" s="31" t="n"/>
      <c r="AS91" s="31" t="n"/>
      <c r="AT91" s="31" t="n"/>
      <c r="AU91" s="31" t="n"/>
      <c r="AV91" s="31" t="n"/>
      <c r="AW91" s="31" t="n"/>
      <c r="AX91" s="31" t="n"/>
      <c r="AY91" s="31" t="n"/>
      <c r="AZ91" s="31" t="n"/>
      <c r="BA91" s="31" t="n"/>
      <c r="BB91" s="31" t="n"/>
      <c r="BC91" s="31" t="n"/>
      <c r="BD91" s="31" t="n"/>
      <c r="BE91" s="31" t="n"/>
      <c r="BF91" s="31" t="n"/>
      <c r="BG91" s="31" t="n"/>
      <c r="BH91" s="77" t="n"/>
      <c r="BI91" s="16" t="n"/>
    </row>
    <row r="92" ht="14" customHeight="1">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c r="AE92" s="16" t="n"/>
      <c r="AF92" s="16" t="n"/>
      <c r="AG92" s="16" t="n"/>
      <c r="AH92" s="16" t="n"/>
      <c r="AI92" s="16" t="n"/>
      <c r="AJ92" s="16" t="n"/>
      <c r="AK92" s="16" t="n"/>
      <c r="AL92" s="16" t="n"/>
      <c r="AM92" s="16" t="n"/>
      <c r="AN92" s="16" t="n"/>
      <c r="AO92" s="16" t="n"/>
      <c r="AP92" s="16" t="n"/>
      <c r="AQ92" s="16" t="n"/>
      <c r="AR92" s="16" t="n"/>
      <c r="AS92" s="16" t="n"/>
      <c r="AT92" s="16" t="n"/>
      <c r="AU92" s="16" t="n"/>
      <c r="AV92" s="16" t="n"/>
      <c r="AW92" s="16" t="n"/>
      <c r="AX92" s="16" t="n"/>
      <c r="AY92" s="16" t="n"/>
      <c r="AZ92" s="16" t="n"/>
      <c r="BA92" s="16" t="n"/>
      <c r="BB92" s="16" t="n"/>
      <c r="BC92" s="16" t="n"/>
      <c r="BD92" s="16" t="n"/>
      <c r="BE92" s="16" t="n"/>
      <c r="BF92" s="16" t="n"/>
      <c r="BG92" s="16" t="n"/>
      <c r="BH92" s="16" t="n"/>
      <c r="BI92" s="16" t="n"/>
    </row>
    <row r="93">
      <c r="A93" s="16" t="n"/>
      <c r="B93" s="116" t="inlineStr">
        <is>
          <t>Charge d'une ressource = charge fixe hors projet + heures des lignes de l'onglet Charge où elle figure (colonne K pour un dessinateur, L pour une ressource externe), réparties par mois comme sur le Dashboard.</t>
        </is>
      </c>
      <c r="BI93" s="16" t="n"/>
    </row>
    <row r="94">
      <c r="A94" s="16" t="n"/>
      <c r="B94" s="116" t="inlineStr">
        <is>
          <t>Une ligne = une ressource : plusieurs personnes sur un même sous-projet = plusieurs lignes, chacune avec ses heures.  Capacité et charge fixe : Data (F-G ou I-J), sinon valeurs par défaut du Dashboard.</t>
        </is>
      </c>
      <c r="BI94" s="16" t="n"/>
    </row>
    <row r="95">
      <c r="A95" s="16" t="n"/>
      <c r="B95" s="156" t="str">
        <f>IF(Calculs!$CD$27&gt;0,"Attention : "&amp;Calculs!$CD$27&amp;" ligne(s) de l'onglet Charge ont à la fois un dessinateur (K) et une ressource externe (L) : seule la colonne K est comptée. Faire une ligne par ressource.","")</f>
        <v/>
      </c>
      <c r="BI95" s="16" t="n"/>
    </row>
    <row r="96">
      <c r="A96" s="16" t="n"/>
      <c r="B96" s="156" t="str">
        <f>IF(Calculs!$CD$23+Calculs!$CD$26&gt;16,"Attention : les listes Data contiennent "&amp;(Calculs!$CD$23+Calculs!$CD$26)&amp;" ressources, seules les 16 premières apparaissent dans le tableau d'occupation (le choix en haut de page fonctionne pour toutes).","")</f>
        <v/>
      </c>
      <c r="BI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c r="AE97" s="16" t="n"/>
      <c r="AF97" s="16" t="n"/>
      <c r="AG97" s="16" t="n"/>
      <c r="AH97" s="16" t="n"/>
      <c r="AI97" s="16" t="n"/>
      <c r="AJ97" s="16" t="n"/>
      <c r="AK97" s="16" t="n"/>
      <c r="AL97" s="16" t="n"/>
      <c r="AM97" s="16" t="n"/>
      <c r="AN97" s="16" t="n"/>
      <c r="AO97" s="16" t="n"/>
      <c r="AP97" s="16" t="n"/>
      <c r="AQ97" s="16" t="n"/>
      <c r="AR97" s="16" t="n"/>
      <c r="AS97" s="16" t="n"/>
      <c r="AT97" s="16" t="n"/>
      <c r="AU97" s="16" t="n"/>
      <c r="AV97" s="16" t="n"/>
      <c r="AW97" s="16" t="n"/>
      <c r="AX97" s="16" t="n"/>
      <c r="AY97" s="16" t="n"/>
      <c r="AZ97" s="16" t="n"/>
      <c r="BA97" s="16" t="n"/>
      <c r="BB97" s="16" t="n"/>
      <c r="BC97" s="16" t="n"/>
      <c r="BD97" s="16" t="n"/>
      <c r="BE97" s="16" t="n"/>
      <c r="BF97" s="16" t="n"/>
      <c r="BG97" s="16" t="n"/>
      <c r="BH97" s="16" t="n"/>
      <c r="BI97" s="16" t="n"/>
    </row>
  </sheetData>
  <mergeCells count="561">
    <mergeCell ref="D21:L21"/>
    <mergeCell ref="M54:U54"/>
    <mergeCell ref="AJ79:AM79"/>
    <mergeCell ref="D61:L61"/>
    <mergeCell ref="L90:O90"/>
    <mergeCell ref="AN73:AQ73"/>
    <mergeCell ref="AZ42:BC42"/>
    <mergeCell ref="BA59:BD59"/>
    <mergeCell ref="AB42:AE42"/>
    <mergeCell ref="P83:S83"/>
    <mergeCell ref="D62:L62"/>
    <mergeCell ref="D56:L56"/>
    <mergeCell ref="BA64:BD64"/>
    <mergeCell ref="AF77:AI77"/>
    <mergeCell ref="BA51:BD51"/>
    <mergeCell ref="P85:S85"/>
    <mergeCell ref="AE50:AK50"/>
    <mergeCell ref="D64:L64"/>
    <mergeCell ref="P84:S84"/>
    <mergeCell ref="D51:L51"/>
    <mergeCell ref="T42:W42"/>
    <mergeCell ref="AZ83:BC83"/>
    <mergeCell ref="AB75:AE75"/>
    <mergeCell ref="T78:W78"/>
    <mergeCell ref="AZ45:BC45"/>
    <mergeCell ref="AB44:AE44"/>
    <mergeCell ref="AQ55:AV55"/>
    <mergeCell ref="T44:W44"/>
    <mergeCell ref="AE62:AK62"/>
    <mergeCell ref="AJ72:AM72"/>
    <mergeCell ref="B55:C55"/>
    <mergeCell ref="P80:S80"/>
    <mergeCell ref="AZ85:BC85"/>
    <mergeCell ref="L45:O45"/>
    <mergeCell ref="T80:W80"/>
    <mergeCell ref="C14:K14"/>
    <mergeCell ref="AB39:AE39"/>
    <mergeCell ref="AA13:AI13"/>
    <mergeCell ref="AE64:AK64"/>
    <mergeCell ref="T73:W73"/>
    <mergeCell ref="BD78:BG78"/>
    <mergeCell ref="X89:AA89"/>
    <mergeCell ref="L40:O40"/>
    <mergeCell ref="AF88:AI88"/>
    <mergeCell ref="BD80:BG80"/>
    <mergeCell ref="X72:AA72"/>
    <mergeCell ref="AF90:AI90"/>
    <mergeCell ref="C90:K90"/>
    <mergeCell ref="AR41:AU41"/>
    <mergeCell ref="AJ41:AM41"/>
    <mergeCell ref="AW52:AZ52"/>
    <mergeCell ref="AR43:AU43"/>
    <mergeCell ref="AJ43:AM43"/>
    <mergeCell ref="AC5:AG5"/>
    <mergeCell ref="B53:C53"/>
    <mergeCell ref="AN74:AQ74"/>
    <mergeCell ref="BA61:BD61"/>
    <mergeCell ref="X82:AA82"/>
    <mergeCell ref="J75:K75"/>
    <mergeCell ref="AV73:AY73"/>
    <mergeCell ref="AN76:AQ76"/>
    <mergeCell ref="BE54:BH54"/>
    <mergeCell ref="AE52:AK52"/>
    <mergeCell ref="C80:I80"/>
    <mergeCell ref="X83:AA83"/>
    <mergeCell ref="P86:S86"/>
    <mergeCell ref="AF45:AI45"/>
    <mergeCell ref="C45:K45"/>
    <mergeCell ref="D65:L65"/>
    <mergeCell ref="AN77:AQ77"/>
    <mergeCell ref="X85:AA85"/>
    <mergeCell ref="AW63:AZ63"/>
    <mergeCell ref="AE53:AK53"/>
    <mergeCell ref="BD84:BG84"/>
    <mergeCell ref="V63:AD63"/>
    <mergeCell ref="AW50:AZ50"/>
    <mergeCell ref="J81:K81"/>
    <mergeCell ref="AV84:AY84"/>
    <mergeCell ref="G6:R6"/>
    <mergeCell ref="AB78:AE78"/>
    <mergeCell ref="T81:W81"/>
    <mergeCell ref="BD86:BG86"/>
    <mergeCell ref="AJ44:AM44"/>
    <mergeCell ref="BD79:BG79"/>
    <mergeCell ref="AY11:BG11"/>
    <mergeCell ref="AN87:AQ87"/>
    <mergeCell ref="AE63:AK63"/>
    <mergeCell ref="BD81:BG81"/>
    <mergeCell ref="P41:S41"/>
    <mergeCell ref="B96:BH96"/>
    <mergeCell ref="AN89:AQ89"/>
    <mergeCell ref="C88:I88"/>
    <mergeCell ref="L43:O43"/>
    <mergeCell ref="AE58:AK58"/>
    <mergeCell ref="AN88:AQ88"/>
    <mergeCell ref="AR88:AU88"/>
    <mergeCell ref="AR82:AU82"/>
    <mergeCell ref="BE50:BH50"/>
    <mergeCell ref="AW53:AZ53"/>
    <mergeCell ref="T74:W74"/>
    <mergeCell ref="AZ41:BC41"/>
    <mergeCell ref="L74:O74"/>
    <mergeCell ref="T40:W40"/>
    <mergeCell ref="X73:AA73"/>
    <mergeCell ref="AW55:AZ55"/>
    <mergeCell ref="AL63:AP63"/>
    <mergeCell ref="T76:W76"/>
    <mergeCell ref="AZ43:BC43"/>
    <mergeCell ref="AL50:AP50"/>
    <mergeCell ref="L76:O76"/>
    <mergeCell ref="AN42:AQ42"/>
    <mergeCell ref="AE60:AK60"/>
    <mergeCell ref="V59:AD59"/>
    <mergeCell ref="AV74:AY74"/>
    <mergeCell ref="C81:I81"/>
    <mergeCell ref="J84:K84"/>
    <mergeCell ref="J78:K78"/>
    <mergeCell ref="X84:AA84"/>
    <mergeCell ref="AJ75:AM75"/>
    <mergeCell ref="AE55:AK55"/>
    <mergeCell ref="V54:AD54"/>
    <mergeCell ref="D58:L58"/>
    <mergeCell ref="J80:K80"/>
    <mergeCell ref="M61:U61"/>
    <mergeCell ref="X86:AA86"/>
    <mergeCell ref="O12:W12"/>
    <mergeCell ref="AR72:AU72"/>
    <mergeCell ref="T45:W45"/>
    <mergeCell ref="AB80:AE80"/>
    <mergeCell ref="J79:K79"/>
    <mergeCell ref="AB79:AE79"/>
    <mergeCell ref="O14:W14"/>
    <mergeCell ref="AJ39:AM39"/>
    <mergeCell ref="T87:W87"/>
    <mergeCell ref="L87:O87"/>
    <mergeCell ref="O13:W13"/>
    <mergeCell ref="M56:U56"/>
    <mergeCell ref="AY12:BG12"/>
    <mergeCell ref="BA57:BD57"/>
    <mergeCell ref="T89:W89"/>
    <mergeCell ref="L89:O89"/>
    <mergeCell ref="AL55:AP55"/>
    <mergeCell ref="T88:W88"/>
    <mergeCell ref="AV87:AY87"/>
    <mergeCell ref="AQ57:AV57"/>
    <mergeCell ref="AN90:AQ90"/>
    <mergeCell ref="C76:I76"/>
    <mergeCell ref="AY13:BG13"/>
    <mergeCell ref="BE58:BH58"/>
    <mergeCell ref="AF41:AI41"/>
    <mergeCell ref="C41:K41"/>
    <mergeCell ref="X41:AA41"/>
    <mergeCell ref="BE52:BH52"/>
    <mergeCell ref="AV89:AY89"/>
    <mergeCell ref="Z21:AH21"/>
    <mergeCell ref="P42:S42"/>
    <mergeCell ref="C43:K43"/>
    <mergeCell ref="C3:AT3"/>
    <mergeCell ref="AZ82:BC82"/>
    <mergeCell ref="AR85:AU85"/>
    <mergeCell ref="BE53:BH53"/>
    <mergeCell ref="AB74:AE74"/>
    <mergeCell ref="T77:W77"/>
    <mergeCell ref="AE51:AK51"/>
    <mergeCell ref="L77:O77"/>
    <mergeCell ref="L82:O82"/>
    <mergeCell ref="AB76:AE76"/>
    <mergeCell ref="L75:O75"/>
    <mergeCell ref="J86:K86"/>
    <mergeCell ref="AL53:AP53"/>
    <mergeCell ref="M62:U62"/>
    <mergeCell ref="AN45:AQ45"/>
    <mergeCell ref="V62:AD62"/>
    <mergeCell ref="V56:AD56"/>
    <mergeCell ref="BD39:BG39"/>
    <mergeCell ref="BE63:BH63"/>
    <mergeCell ref="P39:S39"/>
    <mergeCell ref="AR84:AU84"/>
    <mergeCell ref="AZ75:BC75"/>
    <mergeCell ref="AR78:AU78"/>
    <mergeCell ref="AJ78:AM78"/>
    <mergeCell ref="X42:AA42"/>
    <mergeCell ref="AR40:AU40"/>
    <mergeCell ref="B63:C63"/>
    <mergeCell ref="AN86:AQ86"/>
    <mergeCell ref="M64:U64"/>
    <mergeCell ref="AZ72:BC72"/>
    <mergeCell ref="AV44:AY44"/>
    <mergeCell ref="M51:U51"/>
    <mergeCell ref="AR80:AU80"/>
    <mergeCell ref="AJ80:AM80"/>
    <mergeCell ref="AR79:AU79"/>
    <mergeCell ref="L72:O72"/>
    <mergeCell ref="AB87:AE87"/>
    <mergeCell ref="T90:W90"/>
    <mergeCell ref="M65:U65"/>
    <mergeCell ref="O21:W21"/>
    <mergeCell ref="AV45:AY45"/>
    <mergeCell ref="AB89:AE89"/>
    <mergeCell ref="AQ58:AV58"/>
    <mergeCell ref="AQ63:AV63"/>
    <mergeCell ref="X43:AA43"/>
    <mergeCell ref="C77:I77"/>
    <mergeCell ref="AZ88:BC88"/>
    <mergeCell ref="AV90:AY90"/>
    <mergeCell ref="AQ60:AV60"/>
    <mergeCell ref="AF82:AI82"/>
    <mergeCell ref="V50:AD50"/>
    <mergeCell ref="AL56:AP56"/>
    <mergeCell ref="BE55:BH55"/>
    <mergeCell ref="AJ73:AM73"/>
    <mergeCell ref="AV42:AY42"/>
    <mergeCell ref="BE59:BH59"/>
    <mergeCell ref="AW62:AZ62"/>
    <mergeCell ref="L83:O83"/>
    <mergeCell ref="AW64:AZ64"/>
    <mergeCell ref="AB77:AE77"/>
    <mergeCell ref="AT2:BG2"/>
    <mergeCell ref="AW51:AZ51"/>
    <mergeCell ref="V64:AD64"/>
    <mergeCell ref="L85:O85"/>
    <mergeCell ref="L84:O84"/>
    <mergeCell ref="T75:W75"/>
    <mergeCell ref="BD45:BG45"/>
    <mergeCell ref="X75:AA75"/>
    <mergeCell ref="P78:S78"/>
    <mergeCell ref="B95:BH95"/>
    <mergeCell ref="C12:K12"/>
    <mergeCell ref="AY14:BG14"/>
    <mergeCell ref="AF72:AI72"/>
    <mergeCell ref="B58:C58"/>
    <mergeCell ref="L80:O80"/>
    <mergeCell ref="B52:C52"/>
    <mergeCell ref="P79:S79"/>
    <mergeCell ref="X39:AA39"/>
    <mergeCell ref="P73:S73"/>
    <mergeCell ref="B60:C60"/>
    <mergeCell ref="AZ78:BC78"/>
    <mergeCell ref="AR81:AU81"/>
    <mergeCell ref="AJ81:AM81"/>
    <mergeCell ref="AM12:AU12"/>
    <mergeCell ref="C74:I74"/>
    <mergeCell ref="AB88:AE88"/>
    <mergeCell ref="AZ80:BC80"/>
    <mergeCell ref="BE51:BH51"/>
    <mergeCell ref="D54:L54"/>
    <mergeCell ref="AL62:AP62"/>
    <mergeCell ref="M58:U58"/>
    <mergeCell ref="AB90:AE90"/>
    <mergeCell ref="BD73:BG73"/>
    <mergeCell ref="AV76:AY76"/>
    <mergeCell ref="AL64:AP64"/>
    <mergeCell ref="AL51:AP51"/>
    <mergeCell ref="AM21:AW21"/>
    <mergeCell ref="AN43:AQ43"/>
    <mergeCell ref="AF83:AI83"/>
    <mergeCell ref="AQ53:AV53"/>
    <mergeCell ref="AV77:AY77"/>
    <mergeCell ref="AJ74:AM74"/>
    <mergeCell ref="D57:L57"/>
    <mergeCell ref="AF85:AI85"/>
    <mergeCell ref="B59:C59"/>
    <mergeCell ref="AQ61:AV61"/>
    <mergeCell ref="AJ76:AM76"/>
    <mergeCell ref="BA54:BD54"/>
    <mergeCell ref="BE62:BH62"/>
    <mergeCell ref="AR44:AU44"/>
    <mergeCell ref="BA65:BD65"/>
    <mergeCell ref="L86:O86"/>
    <mergeCell ref="C87:I87"/>
    <mergeCell ref="BA56:BD56"/>
    <mergeCell ref="BE64:BH64"/>
    <mergeCell ref="BA58:BD58"/>
    <mergeCell ref="AZ84:BC84"/>
    <mergeCell ref="AZ40:BC40"/>
    <mergeCell ref="C13:K13"/>
    <mergeCell ref="BA60:BD60"/>
    <mergeCell ref="D50:L50"/>
    <mergeCell ref="AB40:AE40"/>
    <mergeCell ref="X78:AA78"/>
    <mergeCell ref="P81:S81"/>
    <mergeCell ref="AZ86:BC86"/>
    <mergeCell ref="D60:L60"/>
    <mergeCell ref="AF44:AI44"/>
    <mergeCell ref="AF80:AI80"/>
    <mergeCell ref="C20:AP20"/>
    <mergeCell ref="AZ79:BC79"/>
    <mergeCell ref="AJ87:AM87"/>
    <mergeCell ref="J76:K76"/>
    <mergeCell ref="AF8:BH8"/>
    <mergeCell ref="AM13:AU13"/>
    <mergeCell ref="AQ51:AV51"/>
    <mergeCell ref="AZ81:BC81"/>
    <mergeCell ref="M60:U60"/>
    <mergeCell ref="L41:O41"/>
    <mergeCell ref="AJ89:AM89"/>
    <mergeCell ref="C82:I82"/>
    <mergeCell ref="AJ88:AM88"/>
    <mergeCell ref="BD74:BG74"/>
    <mergeCell ref="AN82:AQ82"/>
    <mergeCell ref="AL65:AP65"/>
    <mergeCell ref="AF84:AI84"/>
    <mergeCell ref="AV41:AY41"/>
    <mergeCell ref="BD76:BG76"/>
    <mergeCell ref="V51:AD51"/>
    <mergeCell ref="AR75:AU75"/>
    <mergeCell ref="C83:I83"/>
    <mergeCell ref="B61:C61"/>
    <mergeCell ref="AF86:AI86"/>
    <mergeCell ref="B93:BH93"/>
    <mergeCell ref="AJ42:AM42"/>
    <mergeCell ref="AB45:AE45"/>
    <mergeCell ref="AE59:AK59"/>
    <mergeCell ref="P44:S44"/>
    <mergeCell ref="AA11:AI11"/>
    <mergeCell ref="AR39:AU39"/>
    <mergeCell ref="B64:C64"/>
    <mergeCell ref="B51:C51"/>
    <mergeCell ref="AN72:AQ72"/>
    <mergeCell ref="BD87:BG87"/>
    <mergeCell ref="X80:AA80"/>
    <mergeCell ref="AF79:AI79"/>
    <mergeCell ref="J73:K73"/>
    <mergeCell ref="X79:AA79"/>
    <mergeCell ref="BD89:BG89"/>
    <mergeCell ref="D53:L53"/>
    <mergeCell ref="AF81:AI81"/>
    <mergeCell ref="X81:AA81"/>
    <mergeCell ref="AW59:AZ59"/>
    <mergeCell ref="P89:S89"/>
    <mergeCell ref="J77:K77"/>
    <mergeCell ref="AS5:AV5"/>
    <mergeCell ref="P88:S88"/>
    <mergeCell ref="BA50:BD50"/>
    <mergeCell ref="AW61:AZ61"/>
    <mergeCell ref="AJ90:AM90"/>
    <mergeCell ref="T82:W82"/>
    <mergeCell ref="B66:BH66"/>
    <mergeCell ref="AJ40:AM40"/>
    <mergeCell ref="BA52:BD52"/>
    <mergeCell ref="AN83:AQ83"/>
    <mergeCell ref="C71:BG71"/>
    <mergeCell ref="BD42:BG42"/>
    <mergeCell ref="V65:AD65"/>
    <mergeCell ref="C85:I85"/>
    <mergeCell ref="BD77:BG77"/>
    <mergeCell ref="L42:O42"/>
    <mergeCell ref="BD82:BG82"/>
    <mergeCell ref="AV82:AY82"/>
    <mergeCell ref="AN85:AQ85"/>
    <mergeCell ref="C84:I84"/>
    <mergeCell ref="AE61:AK61"/>
    <mergeCell ref="X74:AA74"/>
    <mergeCell ref="L39:O39"/>
    <mergeCell ref="P77:S77"/>
    <mergeCell ref="B5:F5"/>
    <mergeCell ref="X5:AA5"/>
    <mergeCell ref="AV86:AY86"/>
    <mergeCell ref="X76:AA76"/>
    <mergeCell ref="AW54:AZ54"/>
    <mergeCell ref="AJ45:AM45"/>
    <mergeCell ref="C44:K44"/>
    <mergeCell ref="AL59:AP59"/>
    <mergeCell ref="AW56:AZ56"/>
    <mergeCell ref="T72:W72"/>
    <mergeCell ref="AZ39:BC39"/>
    <mergeCell ref="BA63:BD63"/>
    <mergeCell ref="AL61:AP61"/>
    <mergeCell ref="AR42:AU42"/>
    <mergeCell ref="G5:R5"/>
    <mergeCell ref="AN40:AQ40"/>
    <mergeCell ref="AF43:AI43"/>
    <mergeCell ref="BD72:BG72"/>
    <mergeCell ref="J74:K74"/>
    <mergeCell ref="D55:L55"/>
    <mergeCell ref="BD90:BG90"/>
    <mergeCell ref="AN79:AQ79"/>
    <mergeCell ref="X87:AA87"/>
    <mergeCell ref="P90:S90"/>
    <mergeCell ref="AR73:AU73"/>
    <mergeCell ref="V55:AD55"/>
    <mergeCell ref="C42:K42"/>
    <mergeCell ref="T83:W83"/>
    <mergeCell ref="AV88:AY88"/>
    <mergeCell ref="AL54:AP54"/>
    <mergeCell ref="M52:U52"/>
    <mergeCell ref="BD44:BG44"/>
    <mergeCell ref="AJ77:AM77"/>
    <mergeCell ref="T6:AV6"/>
    <mergeCell ref="AB82:AE82"/>
    <mergeCell ref="T85:W85"/>
    <mergeCell ref="T84:W84"/>
    <mergeCell ref="BD83:BG83"/>
    <mergeCell ref="AV83:AY83"/>
    <mergeCell ref="AF75:AI75"/>
    <mergeCell ref="C72:I72"/>
    <mergeCell ref="T86:W86"/>
    <mergeCell ref="X44:AA44"/>
    <mergeCell ref="BD85:BG85"/>
    <mergeCell ref="J87:K87"/>
    <mergeCell ref="V60:AD60"/>
    <mergeCell ref="P45:S45"/>
    <mergeCell ref="AV85:AY85"/>
    <mergeCell ref="AM11:AU11"/>
    <mergeCell ref="X77:AA77"/>
    <mergeCell ref="AF39:AI39"/>
    <mergeCell ref="C39:K39"/>
    <mergeCell ref="M57:U57"/>
    <mergeCell ref="AW57:AZ57"/>
    <mergeCell ref="P40:S40"/>
    <mergeCell ref="V57:AD57"/>
    <mergeCell ref="L78:O78"/>
    <mergeCell ref="AB72:AE72"/>
    <mergeCell ref="AN41:AQ41"/>
    <mergeCell ref="T79:W79"/>
    <mergeCell ref="V58:AD58"/>
    <mergeCell ref="V52:AD52"/>
    <mergeCell ref="L73:O73"/>
    <mergeCell ref="AV78:AY78"/>
    <mergeCell ref="AN81:AQ81"/>
    <mergeCell ref="AE57:AK57"/>
    <mergeCell ref="J82:K82"/>
    <mergeCell ref="X88:AA88"/>
    <mergeCell ref="AR74:AU74"/>
    <mergeCell ref="BE61:BH61"/>
    <mergeCell ref="AE65:AK65"/>
    <mergeCell ref="X90:AA90"/>
    <mergeCell ref="AZ73:BC73"/>
    <mergeCell ref="AR76:AU76"/>
    <mergeCell ref="AX5:BG5"/>
    <mergeCell ref="AB83:AE83"/>
    <mergeCell ref="AL57:AP57"/>
    <mergeCell ref="AR77:AU77"/>
    <mergeCell ref="O11:W11"/>
    <mergeCell ref="AB85:AE85"/>
    <mergeCell ref="AX6:BG6"/>
    <mergeCell ref="AQ59:AV59"/>
    <mergeCell ref="AF78:AI78"/>
    <mergeCell ref="AL52:AP52"/>
    <mergeCell ref="BA62:BD62"/>
    <mergeCell ref="AN44:AQ44"/>
    <mergeCell ref="AW65:AZ65"/>
    <mergeCell ref="AH5:AJ5"/>
    <mergeCell ref="AQ54:AV54"/>
    <mergeCell ref="BE56:BH56"/>
    <mergeCell ref="AM14:AU14"/>
    <mergeCell ref="AR87:AU87"/>
    <mergeCell ref="AW58:AZ58"/>
    <mergeCell ref="L79:O79"/>
    <mergeCell ref="AQ56:AV56"/>
    <mergeCell ref="T41:W41"/>
    <mergeCell ref="AR89:AU89"/>
    <mergeCell ref="BD40:BG40"/>
    <mergeCell ref="AL5:AR5"/>
    <mergeCell ref="AV40:AY40"/>
    <mergeCell ref="C2:AP2"/>
    <mergeCell ref="AF40:AI40"/>
    <mergeCell ref="BE57:BH57"/>
    <mergeCell ref="C40:K40"/>
    <mergeCell ref="P43:S43"/>
    <mergeCell ref="AW60:AZ60"/>
    <mergeCell ref="L81:O81"/>
    <mergeCell ref="J88:K88"/>
    <mergeCell ref="T43:W43"/>
    <mergeCell ref="AV79:AY79"/>
    <mergeCell ref="AR90:AU90"/>
    <mergeCell ref="BD41:BG41"/>
    <mergeCell ref="P74:S74"/>
    <mergeCell ref="C86:I86"/>
    <mergeCell ref="X40:AA40"/>
    <mergeCell ref="AB73:AE73"/>
    <mergeCell ref="J83:K83"/>
    <mergeCell ref="BA55:BD55"/>
    <mergeCell ref="AF73:AI73"/>
    <mergeCell ref="V53:AD53"/>
    <mergeCell ref="BD43:BG43"/>
    <mergeCell ref="P76:S76"/>
    <mergeCell ref="J85:K85"/>
    <mergeCell ref="M63:U63"/>
    <mergeCell ref="AZ74:BC74"/>
    <mergeCell ref="M53:U53"/>
    <mergeCell ref="M50:U50"/>
    <mergeCell ref="AJ82:AM82"/>
    <mergeCell ref="V61:AD61"/>
    <mergeCell ref="C75:I75"/>
    <mergeCell ref="AV43:AY43"/>
    <mergeCell ref="AZ76:BC76"/>
    <mergeCell ref="D63:L63"/>
    <mergeCell ref="M55:U55"/>
    <mergeCell ref="AB84:AE84"/>
    <mergeCell ref="AN75:AQ75"/>
    <mergeCell ref="AL58:AP58"/>
    <mergeCell ref="AR83:AU83"/>
    <mergeCell ref="AB86:AE86"/>
    <mergeCell ref="AV72:AY72"/>
    <mergeCell ref="AF42:AI42"/>
    <mergeCell ref="X45:AA45"/>
    <mergeCell ref="D52:L52"/>
    <mergeCell ref="AL60:AP60"/>
    <mergeCell ref="B54:C54"/>
    <mergeCell ref="L44:O44"/>
    <mergeCell ref="AN39:AQ39"/>
    <mergeCell ref="AQ62:AV62"/>
    <mergeCell ref="BA53:BD53"/>
    <mergeCell ref="P87:S87"/>
    <mergeCell ref="B56:C56"/>
    <mergeCell ref="AQ64:AV64"/>
    <mergeCell ref="BE65:BH65"/>
    <mergeCell ref="AZ87:BC87"/>
    <mergeCell ref="B57:C57"/>
    <mergeCell ref="AB41:AE41"/>
    <mergeCell ref="AZ89:BC89"/>
    <mergeCell ref="BE60:BH60"/>
    <mergeCell ref="AB81:AE81"/>
    <mergeCell ref="L88:O88"/>
    <mergeCell ref="AF74:AI74"/>
    <mergeCell ref="P82:S82"/>
    <mergeCell ref="AQ50:AV50"/>
    <mergeCell ref="AF76:AI76"/>
    <mergeCell ref="P75:S75"/>
    <mergeCell ref="B62:C62"/>
    <mergeCell ref="AJ83:AM83"/>
    <mergeCell ref="AR45:AU45"/>
    <mergeCell ref="AQ52:AV52"/>
    <mergeCell ref="AZ77:BC77"/>
    <mergeCell ref="AJ85:AM85"/>
    <mergeCell ref="B94:BH94"/>
    <mergeCell ref="C11:K11"/>
    <mergeCell ref="C78:I78"/>
    <mergeCell ref="AJ84:AM84"/>
    <mergeCell ref="T39:W39"/>
    <mergeCell ref="BD75:BG75"/>
    <mergeCell ref="AN84:AQ84"/>
    <mergeCell ref="AV75:AY75"/>
    <mergeCell ref="AN78:AQ78"/>
    <mergeCell ref="T5:W5"/>
    <mergeCell ref="AR86:AU86"/>
    <mergeCell ref="AE54:AK54"/>
    <mergeCell ref="AJ86:AM86"/>
    <mergeCell ref="AA12:AI12"/>
    <mergeCell ref="AZ44:BC44"/>
    <mergeCell ref="AV80:AY80"/>
    <mergeCell ref="AN80:AQ80"/>
    <mergeCell ref="C79:I79"/>
    <mergeCell ref="C73:I73"/>
    <mergeCell ref="AE56:AK56"/>
    <mergeCell ref="P72:S72"/>
    <mergeCell ref="AA14:AI14"/>
    <mergeCell ref="AV39:AY39"/>
    <mergeCell ref="D59:L59"/>
    <mergeCell ref="AQ65:AV65"/>
    <mergeCell ref="AF87:AI87"/>
    <mergeCell ref="B65:C65"/>
    <mergeCell ref="M59:U59"/>
    <mergeCell ref="AV81:AY81"/>
    <mergeCell ref="AF89:AI89"/>
    <mergeCell ref="C89:K89"/>
    <mergeCell ref="AB43:AE43"/>
    <mergeCell ref="BD88:BG88"/>
    <mergeCell ref="B50:C50"/>
    <mergeCell ref="AZ90:BC90"/>
  </mergeCells>
  <conditionalFormatting sqref="G6">
    <cfRule type="expression" priority="1" dxfId="6">
      <formula>LEFT($G$6,7)="Absent "</formula>
    </cfRule>
  </conditionalFormatting>
  <conditionalFormatting sqref="AA12">
    <cfRule type="expression" priority="2" dxfId="6">
      <formula>AND(ISNUMBER($AA$14),$AA$14&gt;1)</formula>
    </cfRule>
  </conditionalFormatting>
  <conditionalFormatting sqref="AA14">
    <cfRule type="expression" priority="3" dxfId="6">
      <formula>AND(ISNUMBER($AA$14),$AA$14&gt;1)</formula>
    </cfRule>
  </conditionalFormatting>
  <conditionalFormatting sqref="AM12">
    <cfRule type="expression" priority="4" dxfId="7">
      <formula>AND(ISNUMBER($AM$12),$AM$12&gt;0)</formula>
    </cfRule>
    <cfRule type="expression" priority="5" dxfId="8">
      <formula>AND(TRIM($G$5)&lt;&gt;"",$AM$12=0)</formula>
    </cfRule>
  </conditionalFormatting>
  <conditionalFormatting sqref="C14">
    <cfRule type="expression" priority="6" dxfId="6">
      <formula>LEFT($C$14,9)="Attention"</formula>
    </cfRule>
  </conditionalFormatting>
  <conditionalFormatting sqref="L44:BG44">
    <cfRule type="expression" priority="7" dxfId="6">
      <formula>AND(ISNUMBER(L44),L44&lt;0)</formula>
    </cfRule>
    <cfRule type="expression" priority="8" dxfId="8">
      <formula>AND(ISNUMBER(L44),L44&gt;0)</formula>
    </cfRule>
  </conditionalFormatting>
  <conditionalFormatting sqref="L45:BG45">
    <cfRule type="expression" priority="9" dxfId="9" stopIfTrue="1">
      <formula>AND(ISNUMBER(L45),L45&gt;1)</formula>
    </cfRule>
    <cfRule type="expression" priority="10" dxfId="10" stopIfTrue="1">
      <formula>AND(ISNUMBER(L45),L45&gt;=0.9)</formula>
    </cfRule>
    <cfRule type="expression" priority="11" dxfId="11" stopIfTrue="1">
      <formula>AND(ISNUMBER(L45),L45&gt;=0)</formula>
    </cfRule>
  </conditionalFormatting>
  <conditionalFormatting sqref="B51:BH65">
    <cfRule type="expression" priority="12" dxfId="4">
      <formula>AND($B51&lt;&gt;"",MOD(ROW(),2)=0)</formula>
    </cfRule>
    <cfRule type="expression" priority="13" dxfId="5">
      <formula>$B51&lt;&gt;""</formula>
    </cfRule>
  </conditionalFormatting>
  <conditionalFormatting sqref="L73:BG88">
    <cfRule type="expression" priority="14" dxfId="9" stopIfTrue="1">
      <formula>AND(ISNUMBER(L73),L73&gt;1)</formula>
    </cfRule>
    <cfRule type="expression" priority="15" dxfId="10" stopIfTrue="1">
      <formula>AND(ISNUMBER(L73),L73&gt;=0.9)</formula>
    </cfRule>
    <cfRule type="expression" priority="16" dxfId="11" stopIfTrue="1">
      <formula>AND(ISNUMBER(L73),L73&gt;=0)</formula>
    </cfRule>
  </conditionalFormatting>
  <conditionalFormatting sqref="C73:I88">
    <cfRule type="expression" priority="17" dxfId="12">
      <formula>AND($C73&lt;&gt;"",$C73=TRIM($G$5))</formula>
    </cfRule>
  </conditionalFormatting>
  <dataValidations count="1">
    <dataValidation sqref="G5" showDropDown="0" showInputMessage="0" showErrorMessage="1" allowBlank="1" errorTitle="Ressource inconnue" error="Choisir un nom de la liste (onglet Data : dessinateurs colonne E, externes colonne H)." type="list">
      <formula1>lst_Ressources</formula1>
    </dataValidation>
  </dataValidations>
  <pageMargins left="0.3" right="0.3" top="0.4" bottom="0.4" header="0.5" footer="0.5"/>
  <pageSetup orientation="landscape" paperSize="8" scale="90"/>
  <rowBreaks count="1" manualBreakCount="1">
    <brk id="47" min="0" max="16383" man="1"/>
  </rowBreaks>
  <drawing xmlns:r="http://schemas.openxmlformats.org/officeDocument/2006/relationships" r:id="rId1"/>
</worksheet>
</file>

<file path=xl/worksheets/sheet5.xml><?xml version="1.0" encoding="utf-8"?>
<worksheet xmlns="http://schemas.openxmlformats.org/spreadsheetml/2006/main">
  <sheetPr>
    <tabColor rgb="009CA3AF"/>
    <outlinePr summaryBelow="1" summaryRight="1"/>
    <pageSetUpPr/>
  </sheetPr>
  <dimension ref="A1:FE50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35" max="35"/>
    <col width="44" customWidth="1" min="37" max="37"/>
    <col width="14" customWidth="1" min="38" max="38"/>
    <col width="22" customWidth="1" min="46" max="46"/>
    <col width="22" customWidth="1" min="64" max="64"/>
    <col width="22" customWidth="1" min="68" max="68"/>
    <col width="22" customWidth="1" min="72" max="72"/>
    <col width="16" customWidth="1" min="78" max="78"/>
    <col width="12" customWidth="1" min="79" max="79"/>
    <col width="40" customWidth="1" min="81" max="81"/>
    <col width="14" customWidth="1" min="82" max="82"/>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6" customWidth="1" min="97" max="97"/>
    <col width="18" customWidth="1" min="98" max="98"/>
    <col width="10" customWidth="1" min="99" max="99"/>
    <col width="10" customWidth="1" min="100" max="100"/>
    <col width="11" customWidth="1" min="125" max="125"/>
    <col width="11" customWidth="1" min="126" max="126"/>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8" customWidth="1" min="140" max="140"/>
    <col width="18" customWidth="1" min="141" max="141"/>
    <col width="13" customWidth="1" min="143" max="143"/>
    <col width="30"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22" customWidth="1" min="157" max="157"/>
    <col width="10" customWidth="1" min="158" max="158"/>
    <col width="13" customWidth="1" min="160" max="160"/>
    <col width="13" customWidth="1" min="161" max="161"/>
  </cols>
  <sheetData>
    <row r="1">
      <c r="A1" s="157" t="inlineStr">
        <is>
          <t>CALCULS INTERMÉDIAIRES — alimentent le Dashboard, ne pas modifier</t>
        </is>
      </c>
    </row>
    <row r="2">
      <c r="V2" s="158" t="inlineStr">
        <is>
          <t>Fin de mois →</t>
        </is>
      </c>
      <c r="W2" s="159">
        <f>EOMONTH(W3,0)</f>
        <v>46295.0</v>
      </c>
      <c r="X2" s="159">
        <f>EOMONTH(X3,0)</f>
        <v>46326.0</v>
      </c>
      <c r="Y2" s="159">
        <f>EOMONTH(Y3,0)</f>
        <v>46356.0</v>
      </c>
      <c r="Z2" s="159">
        <f>EOMONTH(Z3,0)</f>
        <v>46387.0</v>
      </c>
      <c r="AA2" s="159">
        <f>EOMONTH(AA3,0)</f>
        <v>46418.0</v>
      </c>
      <c r="AB2" s="159">
        <f>EOMONTH(AB3,0)</f>
        <v>46446.0</v>
      </c>
      <c r="AC2" s="159">
        <f>EOMONTH(AC3,0)</f>
        <v>46477.0</v>
      </c>
      <c r="AD2" s="159">
        <f>EOMONTH(AD3,0)</f>
        <v>46507.0</v>
      </c>
      <c r="AE2" s="159">
        <f>EOMONTH(AE3,0)</f>
        <v>46538.0</v>
      </c>
      <c r="AF2" s="159">
        <f>EOMONTH(AF3,0)</f>
        <v>46568.0</v>
      </c>
      <c r="AG2" s="159">
        <f>EOMONTH(AG3,0)</f>
        <v>46599.0</v>
      </c>
      <c r="AH2" s="159">
        <f>EOMONTH(AH3,0)</f>
        <v>46630.0</v>
      </c>
      <c r="CW2" t="inlineStr">
        <is>
          <t>Heures projets par mois →</t>
        </is>
      </c>
      <c r="DI2" t="inlineStr">
        <is>
          <t>Occupation (charge fixe + projets) / capacité →</t>
        </is>
      </c>
    </row>
    <row r="3" ht="54" customHeight="1">
      <c r="A3" s="160" t="inlineStr">
        <is>
          <t>Ligne (onglet Charge)</t>
        </is>
      </c>
      <c r="B3" s="160" t="inlineStr">
        <is>
          <t>Affaire valide (projet renseigné)</t>
        </is>
      </c>
      <c r="C3" s="160" t="inlineStr">
        <is>
          <t>Avancement (0-1)</t>
        </is>
      </c>
      <c r="D3" s="160" t="inlineStr">
        <is>
          <t>Incluse dans le périmètre</t>
        </is>
      </c>
      <c r="E3" s="160" t="inlineStr">
        <is>
          <t>Charge incluse (h)</t>
        </is>
      </c>
      <c r="F3" s="160" t="inlineStr">
        <is>
          <t>Chef de projet</t>
        </is>
      </c>
      <c r="G3" s="160" t="inlineStr">
        <is>
          <t>Projet</t>
        </is>
      </c>
      <c r="H3" s="160" t="inlineStr">
        <is>
          <t>Type</t>
        </is>
      </c>
      <c r="I3" s="160" t="inlineStr">
        <is>
          <t>Début planifié</t>
        </is>
      </c>
      <c r="J3" s="160" t="inlineStr">
        <is>
          <t>Fin de répartition</t>
        </is>
      </c>
      <c r="K3" s="160" t="inlineStr">
        <is>
          <t>Jours ouvrés de la période</t>
        </is>
      </c>
      <c r="L3" s="160" t="inlineStr">
        <is>
          <t>Rang affaire (charge décroissante)</t>
        </is>
      </c>
      <c r="M3" s="160" t="inlineStr">
        <is>
          <t>1re occurrence chef</t>
        </is>
      </c>
      <c r="N3" s="160" t="inlineStr">
        <is>
          <t>Charge du chef</t>
        </is>
      </c>
      <c r="O3" s="160" t="inlineStr">
        <is>
          <t>Rang chef</t>
        </is>
      </c>
      <c r="P3" s="160" t="inlineStr">
        <is>
          <t>1re occurrence projet</t>
        </is>
      </c>
      <c r="Q3" s="160" t="inlineStr">
        <is>
          <t>Charge du projet</t>
        </is>
      </c>
      <c r="R3" s="160" t="inlineStr">
        <is>
          <t>Rang projet</t>
        </is>
      </c>
      <c r="S3" s="160" t="inlineStr">
        <is>
          <t>1re occurrence type</t>
        </is>
      </c>
      <c r="T3" s="160" t="inlineStr">
        <is>
          <t>Charge du type</t>
        </is>
      </c>
      <c r="U3" s="160" t="inlineStr">
        <is>
          <t>Rang type</t>
        </is>
      </c>
      <c r="V3" s="160" t="inlineStr">
        <is>
          <t>Groupe couleur (projet)</t>
        </is>
      </c>
      <c r="W3" s="161">
        <f>$AL$14</f>
        <v>46266.0</v>
      </c>
      <c r="X3" s="161">
        <f>EDATE(W3,1)</f>
        <v>46296.0</v>
      </c>
      <c r="Y3" s="161">
        <f>EDATE(X3,1)</f>
        <v>46327.0</v>
      </c>
      <c r="Z3" s="161">
        <f>EDATE(Y3,1)</f>
        <v>46357.0</v>
      </c>
      <c r="AA3" s="161">
        <f>EDATE(Z3,1)</f>
        <v>46388.0</v>
      </c>
      <c r="AB3" s="161">
        <f>EDATE(AA3,1)</f>
        <v>46419.0</v>
      </c>
      <c r="AC3" s="161">
        <f>EDATE(AB3,1)</f>
        <v>46447.0</v>
      </c>
      <c r="AD3" s="161">
        <f>EDATE(AC3,1)</f>
        <v>46478.0</v>
      </c>
      <c r="AE3" s="161">
        <f>EDATE(AD3,1)</f>
        <v>46508.0</v>
      </c>
      <c r="AF3" s="161">
        <f>EDATE(AE3,1)</f>
        <v>46539.0</v>
      </c>
      <c r="AG3" s="161">
        <f>EDATE(AF3,1)</f>
        <v>46569.0</v>
      </c>
      <c r="AH3" s="161">
        <f>EDATE(AG3,1)</f>
        <v>46600.0</v>
      </c>
      <c r="AI3" s="160" t="inlineStr">
        <is>
          <t>Charge sur la période (h)</t>
        </is>
      </c>
      <c r="AK3" s="162" t="inlineStr">
        <is>
          <t>Indicateur</t>
        </is>
      </c>
      <c r="AL3" s="162" t="inlineStr">
        <is>
          <t>Valeur</t>
        </is>
      </c>
      <c r="AN3" s="162" t="inlineStr">
        <is>
          <t>N° mois</t>
        </is>
      </c>
      <c r="AO3" s="162" t="inlineStr">
        <is>
          <t>Mois</t>
        </is>
      </c>
      <c r="AP3" s="162" t="inlineStr">
        <is>
          <t>Charge (h)</t>
        </is>
      </c>
      <c r="AQ3" s="162" t="inlineStr">
        <is>
          <t>Affaires actives</t>
        </is>
      </c>
      <c r="AS3" s="162" t="inlineStr">
        <is>
          <t>Groupe</t>
        </is>
      </c>
      <c r="AT3" s="162" t="inlineStr">
        <is>
          <t>Projet</t>
        </is>
      </c>
      <c r="AU3" s="162" t="inlineStr">
        <is>
          <t>Charge (h)</t>
        </is>
      </c>
      <c r="AV3" s="162" t="inlineStr">
        <is>
          <t>Part</t>
        </is>
      </c>
      <c r="AW3" s="163">
        <f>W$3</f>
        <v>46266.0</v>
      </c>
      <c r="AX3" s="163">
        <f>X$3</f>
        <v>46296.0</v>
      </c>
      <c r="AY3" s="163">
        <f>Y$3</f>
        <v>46327.0</v>
      </c>
      <c r="AZ3" s="163">
        <f>Z$3</f>
        <v>46357.0</v>
      </c>
      <c r="BA3" s="163">
        <f>AA$3</f>
        <v>46388.0</v>
      </c>
      <c r="BB3" s="163">
        <f>AB$3</f>
        <v>46419.0</v>
      </c>
      <c r="BC3" s="163">
        <f>AC$3</f>
        <v>46447.0</v>
      </c>
      <c r="BD3" s="163">
        <f>AD$3</f>
        <v>46478.0</v>
      </c>
      <c r="BE3" s="163">
        <f>AE$3</f>
        <v>46508.0</v>
      </c>
      <c r="BF3" s="163">
        <f>AF$3</f>
        <v>46539.0</v>
      </c>
      <c r="BG3" s="163">
        <f>AG$3</f>
        <v>46569.0</v>
      </c>
      <c r="BH3" s="163">
        <f>AH$3</f>
        <v>46600.0</v>
      </c>
      <c r="BK3" s="162" t="inlineStr">
        <is>
          <t>Rang</t>
        </is>
      </c>
      <c r="BL3" s="162" t="inlineStr">
        <is>
          <t>Chef de projet</t>
        </is>
      </c>
      <c r="BM3" s="162" t="inlineStr">
        <is>
          <t>Charge (h)</t>
        </is>
      </c>
      <c r="BO3" s="162" t="inlineStr">
        <is>
          <t>Rang</t>
        </is>
      </c>
      <c r="BP3" s="162" t="inlineStr">
        <is>
          <t>Projet</t>
        </is>
      </c>
      <c r="BQ3" s="162" t="inlineStr">
        <is>
          <t>Charge (h)</t>
        </is>
      </c>
      <c r="BS3" s="162" t="inlineStr">
        <is>
          <t>Rang</t>
        </is>
      </c>
      <c r="BT3" s="162" t="inlineStr">
        <is>
          <t>Type</t>
        </is>
      </c>
      <c r="BU3" s="162" t="inlineStr">
        <is>
          <t>Charge (h)</t>
        </is>
      </c>
      <c r="BW3" s="162" t="inlineStr">
        <is>
          <t>Rang</t>
        </is>
      </c>
      <c r="BX3" s="162" t="inlineStr">
        <is>
          <t>Position dans Charge</t>
        </is>
      </c>
      <c r="BZ3" s="11" t="inlineStr">
        <is>
          <t>Ressource de la ligne (K sinon L)</t>
        </is>
      </c>
      <c r="CA3" s="11" t="inlineStr">
        <is>
          <t>Rang affaire du dessinateur sélectionné</t>
        </is>
      </c>
      <c r="CC3" s="11" t="inlineStr">
        <is>
          <t>Dessinateur sélectionné</t>
        </is>
      </c>
      <c r="CD3" s="11" t="inlineStr">
        <is>
          <t>Valeur</t>
        </is>
      </c>
      <c r="CF3" s="11" t="inlineStr">
        <is>
          <t>N° mois</t>
        </is>
      </c>
      <c r="CG3" s="11" t="inlineStr">
        <is>
          <t>Mois</t>
        </is>
      </c>
      <c r="CH3" s="11" t="inlineStr">
        <is>
          <t>Charge fixe (h)</t>
        </is>
      </c>
      <c r="CI3" s="11" t="inlineStr">
        <is>
          <t>Charge projets (h)</t>
        </is>
      </c>
      <c r="CJ3" s="11" t="inlineStr">
        <is>
          <t>Charge totale (h)</t>
        </is>
      </c>
      <c r="CK3" s="11" t="inlineStr">
        <is>
          <t>Capacité (h)</t>
        </is>
      </c>
      <c r="CL3" s="11" t="inlineStr">
        <is>
          <t>Projets dans la capacité (h)</t>
        </is>
      </c>
      <c r="CM3" s="11" t="inlineStr">
        <is>
          <t>Dépassement (h)</t>
        </is>
      </c>
      <c r="CN3" s="11" t="inlineStr">
        <is>
          <t>Marge (+) / dépassement (-) (h, total arrondi)</t>
        </is>
      </c>
      <c r="CO3" s="11" t="inlineStr">
        <is>
          <t>Occupation (total arrondi)</t>
        </is>
      </c>
      <c r="CP3" s="11" t="inlineStr">
        <is>
          <t>Charge totale arrondie (h)</t>
        </is>
      </c>
      <c r="CQ3" s="11" t="inlineStr">
        <is>
          <t>N° mois si surcharge</t>
        </is>
      </c>
      <c r="CS3" s="11" t="inlineStr">
        <is>
          <t>N°</t>
        </is>
      </c>
      <c r="CT3" s="11" t="inlineStr">
        <is>
          <t>Ressource</t>
        </is>
      </c>
      <c r="CU3" s="11" t="inlineStr">
        <is>
          <t>Capacité (h)</t>
        </is>
      </c>
      <c r="CV3" s="11" t="inlineStr">
        <is>
          <t>Charge fixe (h)</t>
        </is>
      </c>
      <c r="CW3" s="164">
        <f>W$3</f>
        <v>46266.0</v>
      </c>
      <c r="CX3" s="164">
        <f>X$3</f>
        <v>46296.0</v>
      </c>
      <c r="CY3" s="164">
        <f>Y$3</f>
        <v>46327.0</v>
      </c>
      <c r="CZ3" s="164">
        <f>Z$3</f>
        <v>46357.0</v>
      </c>
      <c r="DA3" s="164">
        <f>AA$3</f>
        <v>46388.0</v>
      </c>
      <c r="DB3" s="164">
        <f>AB$3</f>
        <v>46419.0</v>
      </c>
      <c r="DC3" s="164">
        <f>AC$3</f>
        <v>46447.0</v>
      </c>
      <c r="DD3" s="164">
        <f>AD$3</f>
        <v>46478.0</v>
      </c>
      <c r="DE3" s="164">
        <f>AE$3</f>
        <v>46508.0</v>
      </c>
      <c r="DF3" s="164">
        <f>AF$3</f>
        <v>46539.0</v>
      </c>
      <c r="DG3" s="164">
        <f>AG$3</f>
        <v>46569.0</v>
      </c>
      <c r="DH3" s="164">
        <f>AH$3</f>
        <v>46600.0</v>
      </c>
      <c r="DI3" s="164">
        <f>W$3</f>
        <v>46266.0</v>
      </c>
      <c r="DJ3" s="164">
        <f>X$3</f>
        <v>46296.0</v>
      </c>
      <c r="DK3" s="164">
        <f>Y$3</f>
        <v>46327.0</v>
      </c>
      <c r="DL3" s="164">
        <f>Z$3</f>
        <v>46357.0</v>
      </c>
      <c r="DM3" s="164">
        <f>AA$3</f>
        <v>46388.0</v>
      </c>
      <c r="DN3" s="164">
        <f>AB$3</f>
        <v>46419.0</v>
      </c>
      <c r="DO3" s="164">
        <f>AC$3</f>
        <v>46447.0</v>
      </c>
      <c r="DP3" s="164">
        <f>AD$3</f>
        <v>46478.0</v>
      </c>
      <c r="DQ3" s="164">
        <f>AE$3</f>
        <v>46508.0</v>
      </c>
      <c r="DR3" s="164">
        <f>AF$3</f>
        <v>46539.0</v>
      </c>
      <c r="DS3" s="164">
        <f>AG$3</f>
        <v>46569.0</v>
      </c>
      <c r="DT3" s="164">
        <f>AH$3</f>
        <v>46600.0</v>
      </c>
      <c r="DU3" s="11" t="inlineStr">
        <is>
          <t>Occupation maximale</t>
        </is>
      </c>
      <c r="DV3" s="11" t="inlineStr">
        <is>
          <t>Charge projets sur la période (h)</t>
        </is>
      </c>
      <c r="DX3" s="11" t="inlineStr">
        <is>
          <t>Rang</t>
        </is>
      </c>
      <c r="DY3" s="11" t="inlineStr">
        <is>
          <t>Position dans Charge</t>
        </is>
      </c>
      <c r="DZ3" s="11" t="inlineStr">
        <is>
          <t>Projet</t>
        </is>
      </c>
      <c r="EA3" s="11" t="inlineStr">
        <is>
          <t>Sous-projet</t>
        </is>
      </c>
      <c r="EB3" s="11" t="inlineStr">
        <is>
          <t>Produit</t>
        </is>
      </c>
      <c r="EC3" s="11" t="inlineStr">
        <is>
          <t>Chef de projet</t>
        </is>
      </c>
      <c r="ED3" s="11" t="inlineStr">
        <is>
          <t>Charge (h)</t>
        </is>
      </c>
      <c r="EE3" s="11" t="inlineStr">
        <is>
          <t>Heures sur la période</t>
        </is>
      </c>
      <c r="EF3" s="11" t="inlineStr">
        <is>
          <t>Début planifié</t>
        </is>
      </c>
      <c r="EG3" s="11" t="inlineStr">
        <is>
          <t>Date de besoin</t>
        </is>
      </c>
      <c r="EH3" s="11" t="inlineStr">
        <is>
          <t>Avancement</t>
        </is>
      </c>
      <c r="EJ3" s="11" t="inlineStr">
        <is>
          <t>Dessinateurs Data (nettoyés)</t>
        </is>
      </c>
      <c r="EK3" s="11" t="inlineStr">
        <is>
          <t>Ressources externes Data (nettoyées)</t>
        </is>
      </c>
      <c r="EM3" s="160" t="inlineStr">
        <is>
          <t>Type de ressource de la ligne</t>
        </is>
      </c>
      <c r="EN3" s="160" t="inlineStr">
        <is>
          <t>Clé affaire (projet | sous-projet | produit)</t>
        </is>
      </c>
      <c r="EO3" s="160" t="inlineStr">
        <is>
          <t>1re ligne de l'affaire</t>
        </is>
      </c>
      <c r="EP3" s="160" t="inlineStr">
        <is>
          <t>Charge de l'affaire (h)</t>
        </is>
      </c>
      <c r="EQ3" s="160" t="inlineStr">
        <is>
          <t>Rang de l'affaire</t>
        </is>
      </c>
      <c r="ER3" s="160" t="inlineStr">
        <is>
          <t>Personnes internes (distinctes)</t>
        </is>
      </c>
      <c r="ES3" s="160" t="inlineStr">
        <is>
          <t>Personnes externes (distinctes)</t>
        </is>
      </c>
      <c r="ET3" s="160" t="inlineStr">
        <is>
          <t>Ressources (texte)</t>
        </is>
      </c>
      <c r="EU3" s="160" t="inlineStr">
        <is>
          <t>Avancement de l'affaire (pondéré par les heures)</t>
        </is>
      </c>
      <c r="EV3" s="160" t="inlineStr">
        <is>
          <t>Début de la ligne (31/12/9999 = vide)</t>
        </is>
      </c>
      <c r="EW3" s="160" t="inlineStr">
        <is>
          <t>Début de l'affaire (le plus tôt)</t>
        </is>
      </c>
      <c r="EX3" s="160" t="inlineStr">
        <is>
          <t>Besoin de la ligne (0 = vide)</t>
        </is>
      </c>
      <c r="EY3" s="160" t="inlineStr">
        <is>
          <t>Besoin de l'affaire (le plus tard)</t>
        </is>
      </c>
      <c r="FA3" s="11" t="inlineStr">
        <is>
          <t>Ressources : dessinateurs puis externes (liste déroulante)</t>
        </is>
      </c>
      <c r="FB3" s="11" t="inlineStr">
        <is>
          <t>Type</t>
        </is>
      </c>
      <c r="FD3" s="160" t="inlineStr">
        <is>
          <t>Ligne avec dessinateur ET externe (1 = à corriger)</t>
        </is>
      </c>
      <c r="FE3" s="160" t="inlineStr">
        <is>
          <t>1re ligne de cette ressource sur l'affaire</t>
        </is>
      </c>
    </row>
    <row r="4">
      <c r="A4">
        <f>ROW()</f>
        <v>4</v>
      </c>
      <c r="B4">
        <f>IF(TRIM(INDEX(Charge!$B:$B,ROW()))&lt;&gt;"",1,0)</f>
        <v>1</v>
      </c>
      <c r="C4">
        <f>IF(B4=1,MIN(1,MAX(0,N(INDEX(Charge!$O:$O,ROW())))),0)</f>
        <v>0.15</v>
      </c>
      <c r="D4">
        <f>IF(B4=1,IF(OR(p_Perimetre="Tous les projets",C4&lt;1),1,0),0)</f>
        <v>1</v>
      </c>
      <c r="E4">
        <f>IF(D4=1,MAX(0,N(INDEX(Charge!$M:$M,ROW()))),0)</f>
        <v>300</v>
      </c>
      <c r="F4" t="str">
        <f>IF(D4=1,IF(TRIM(INDEX(Charge!$A:$A,ROW()))="","(non renseigné)",TRIM(INDEX(Charge!$A:$A,ROW()))),"")</f>
        <v>Julie Martin</v>
      </c>
      <c r="G4" t="str">
        <f>IF(D4=1,TRIM(INDEX(Charge!$B:$B,ROW())),"")</f>
        <v>ATLAS</v>
      </c>
      <c r="H4" t="str">
        <f>IF(D4=1,IF(TRIM(INDEX(Charge!$E:$E,ROW()))="","(non renseigné)",TRIM(INDEX(Charge!$E:$E,ROW()))),"")</f>
        <v>Étude de conception</v>
      </c>
      <c r="I4" s="165">
        <f>IF(AND(D4=1,ISNUMBER(INDEX(Charge!$N:$N,ROW()))),INDEX(Charge!$N:$N,ROW()),"")</f>
        <v>46328.0</v>
      </c>
      <c r="J4" s="165">
        <f>IF(I4="","",IF(AND(p_Repartition="Lissée jusqu'à la date de besoin",ISNUMBER(INDEX(Charge!$F:$F,ROW()))),IF(INDEX(Charge!$F:$F,ROW())&gt;=I4,INDEX(Charge!$F:$F,ROW()),I4),I4))</f>
        <v>46477.0</v>
      </c>
      <c r="K4">
        <f>IF(I4="","",NETWORKDAYS(I4,J4,Data!$K$4:$K$203))</f>
        <v>108</v>
      </c>
      <c r="L4">
        <f>IF(D4=1,COUNTIFS($D$4:$D$503,1,$E$4:$E$503,"&gt;"&amp;E4)+COUNTIFS($D$4:$D4,1,$E$4:$E4,E4),"")</f>
        <v>2</v>
      </c>
      <c r="M4">
        <f>IF(F4="",0,IF(COUNTIF($F$4:F4,F4)=1,1,0))</f>
        <v>1</v>
      </c>
      <c r="N4">
        <f>IF(M4=1,ROUND(SUMIF($F$4:$F$503,F4,$E$4:$E$503),2),"")</f>
        <v>860</v>
      </c>
      <c r="O4">
        <f>IF(M4=1,COUNTIFS($M$4:$M$503,1,$N$4:$N$503,"&gt;"&amp;N4)+COUNTIFS($M$4:M4,1,$N$4:N4,N4),"")</f>
        <v>1</v>
      </c>
      <c r="P4">
        <f>IF(G4="",0,IF(COUNTIF($G$4:G4,G4)=1,1,0))</f>
        <v>1</v>
      </c>
      <c r="Q4">
        <f>IF(P4=1,ROUND(SUMIF($G$4:$G$503,G4,$E$4:$E$503),2),"")</f>
        <v>860</v>
      </c>
      <c r="R4">
        <f>IF(P4=1,COUNTIFS($P$4:$P$503,1,$Q$4:$Q$503,"&gt;"&amp;Q4)+COUNTIFS($P$4:P4,1,$Q$4:Q4,Q4),"")</f>
        <v>1</v>
      </c>
      <c r="S4">
        <f>IF(H4="",0,IF(COUNTIF($H$4:H4,H4)=1,1,0))</f>
        <v>1</v>
      </c>
      <c r="T4">
        <f>IF(S4=1,ROUND(SUMIF($H$4:$H$503,H4,$E$4:$E$503),2),"")</f>
        <v>2030</v>
      </c>
      <c r="U4">
        <f>IF(S4=1,COUNTIFS($S$4:$S$503,1,$T$4:$T$503,"&gt;"&amp;T4)+COUNTIFS($S$4:S4,1,$T$4:T4,T4),"")</f>
        <v>1</v>
      </c>
      <c r="V4">
        <f>IF(D4=1,MIN(INDEX($R$4:$R$503,MATCH(G4,$G$4:$G$503,0)),IF($AL$7&gt;9,9,999)),"")</f>
        <v>1</v>
      </c>
      <c r="W4" s="166">
        <f>IF(OR($I4="",$E4=0),0,IF(OR($J4&lt;W$3,$I4&gt;W$2),0,IF($K4=0,IF(AND($I4&gt;=W$3,$I4&lt;=W$2),$E4,0),$E4*NETWORKDAYS(MAX($I4,W$3),MIN($J4,W$2),Data!$K$4:$K$203)/$K4)))</f>
        <v>0</v>
      </c>
      <c r="X4" s="166">
        <f>IF(OR($I4="",$E4=0),0,IF(OR($J4&lt;X$3,$I4&gt;X$2),0,IF($K4=0,IF(AND($I4&gt;=X$3,$I4&lt;=X$2),$E4,0),$E4*NETWORKDAYS(MAX($I4,X$3),MIN($J4,X$2),Data!$K$4:$K$203)/$K4)))</f>
        <v>0</v>
      </c>
      <c r="Y4" s="166">
        <f>IF(OR($I4="",$E4=0),0,IF(OR($J4&lt;Y$3,$I4&gt;Y$2),0,IF($K4=0,IF(AND($I4&gt;=Y$3,$I4&lt;=Y$2),$E4,0),$E4*NETWORKDAYS(MAX($I4,Y$3),MIN($J4,Y$2),Data!$K$4:$K$203)/$K4)))</f>
        <v>58.3333333333333</v>
      </c>
      <c r="Z4" s="166">
        <f>IF(OR($I4="",$E4=0),0,IF(OR($J4&lt;Z$3,$I4&gt;Z$2),0,IF($K4=0,IF(AND($I4&gt;=Z$3,$I4&lt;=Z$2),$E4,0),$E4*NETWORKDAYS(MAX($I4,Z$3),MIN($J4,Z$2),Data!$K$4:$K$203)/$K4)))</f>
        <v>63.8888888888889</v>
      </c>
      <c r="AA4" s="166">
        <f>IF(OR($I4="",$E4=0),0,IF(OR($J4&lt;AA$3,$I4&gt;AA$2),0,IF($K4=0,IF(AND($I4&gt;=AA$3,$I4&lt;=AA$2),$E4,0),$E4*NETWORKDAYS(MAX($I4,AA$3),MIN($J4,AA$2),Data!$K$4:$K$203)/$K4)))</f>
        <v>58.3333333333333</v>
      </c>
      <c r="AB4" s="166">
        <f>IF(OR($I4="",$E4=0),0,IF(OR($J4&lt;AB$3,$I4&gt;AB$2),0,IF($K4=0,IF(AND($I4&gt;=AB$3,$I4&lt;=AB$2),$E4,0),$E4*NETWORKDAYS(MAX($I4,AB$3),MIN($J4,AB$2),Data!$K$4:$K$203)/$K4)))</f>
        <v>55.5555555555556</v>
      </c>
      <c r="AC4" s="166">
        <f>IF(OR($I4="",$E4=0),0,IF(OR($J4&lt;AC$3,$I4&gt;AC$2),0,IF($K4=0,IF(AND($I4&gt;=AC$3,$I4&lt;=AC$2),$E4,0),$E4*NETWORKDAYS(MAX($I4,AC$3),MIN($J4,AC$2),Data!$K$4:$K$203)/$K4)))</f>
        <v>63.8888888888889</v>
      </c>
      <c r="AD4" s="166">
        <f>IF(OR($I4="",$E4=0),0,IF(OR($J4&lt;AD$3,$I4&gt;AD$2),0,IF($K4=0,IF(AND($I4&gt;=AD$3,$I4&lt;=AD$2),$E4,0),$E4*NETWORKDAYS(MAX($I4,AD$3),MIN($J4,AD$2),Data!$K$4:$K$203)/$K4)))</f>
        <v>0</v>
      </c>
      <c r="AE4" s="166">
        <f>IF(OR($I4="",$E4=0),0,IF(OR($J4&lt;AE$3,$I4&gt;AE$2),0,IF($K4=0,IF(AND($I4&gt;=AE$3,$I4&lt;=AE$2),$E4,0),$E4*NETWORKDAYS(MAX($I4,AE$3),MIN($J4,AE$2),Data!$K$4:$K$203)/$K4)))</f>
        <v>0</v>
      </c>
      <c r="AF4" s="166">
        <f>IF(OR($I4="",$E4=0),0,IF(OR($J4&lt;AF$3,$I4&gt;AF$2),0,IF($K4=0,IF(AND($I4&gt;=AF$3,$I4&lt;=AF$2),$E4,0),$E4*NETWORKDAYS(MAX($I4,AF$3),MIN($J4,AF$2),Data!$K$4:$K$203)/$K4)))</f>
        <v>0</v>
      </c>
      <c r="AG4" s="166">
        <f>IF(OR($I4="",$E4=0),0,IF(OR($J4&lt;AG$3,$I4&gt;AG$2),0,IF($K4=0,IF(AND($I4&gt;=AG$3,$I4&lt;=AG$2),$E4,0),$E4*NETWORKDAYS(MAX($I4,AG$3),MIN($J4,AG$2),Data!$K$4:$K$203)/$K4)))</f>
        <v>0</v>
      </c>
      <c r="AH4" s="166">
        <f>IF(OR($I4="",$E4=0),0,IF(OR($J4&lt;AH$3,$I4&gt;AH$2),0,IF($K4=0,IF(AND($I4&gt;=AH$3,$I4&lt;=AH$2),$E4,0),$E4*NETWORKDAYS(MAX($I4,AH$3),MIN($J4,AH$2),Data!$K$4:$K$203)/$K4)))</f>
        <v>0</v>
      </c>
      <c r="AI4" s="166">
        <f>SUM(W4:AH4)</f>
        <v>300</v>
      </c>
      <c r="AK4" t="inlineStr">
        <is>
          <t>Charge totale identifiée (h)</t>
        </is>
      </c>
      <c r="AL4" s="167">
        <f>SUM(E4:E503)</f>
        <v>3455</v>
      </c>
      <c r="AN4" t="n">
        <v>1</v>
      </c>
      <c r="AO4" s="161">
        <f>W$3</f>
        <v>46266.0</v>
      </c>
      <c r="AP4" s="167">
        <f>SUM(W4:W503)</f>
        <v>28.3636363636364</v>
      </c>
      <c r="AQ4">
        <f>SUMPRODUCT((W4:W503&gt;0)/(COUNTIFS($EN$4:$EN$503,$EN$4:$EN$503,W4:W503,"&gt;0")+(W4:W503&lt;=0)))</f>
        <v>1</v>
      </c>
      <c r="AS4" t="n">
        <v>1</v>
      </c>
      <c r="AT4" t="str">
        <f>IF(AS4&gt;$AL$7,"",INDEX($G$4:$G$503,MATCH(AS4,$R$4:$R$503,0)))</f>
        <v>ATLAS</v>
      </c>
      <c r="AU4">
        <f>SUMIF($V$4:$V$503,AS4,$E$4:$E$503)</f>
        <v>860</v>
      </c>
      <c r="AV4" s="168">
        <f>IF($AL$4=0,0,AU4/$AL$4)</f>
        <v>0.248914616497829</v>
      </c>
      <c r="AW4" s="166">
        <f>SUMIF($V$4:$V$503,$AS4,W$4:W$503)</f>
        <v>0</v>
      </c>
      <c r="AX4" s="166">
        <f>SUMIF($V$4:$V$503,$AS4,X$4:X$503)</f>
        <v>0</v>
      </c>
      <c r="AY4" s="166">
        <f>SUMIF($V$4:$V$503,$AS4,Y$4:Y$503)</f>
        <v>81.6666666666667</v>
      </c>
      <c r="AZ4" s="166">
        <f>SUMIF($V$4:$V$503,$AS4,Z$4:Z$503)</f>
        <v>89.4444444444444</v>
      </c>
      <c r="BA4" s="166">
        <f>SUMIF($V$4:$V$503,$AS4,AA$4:AA$503)</f>
        <v>120.666666666667</v>
      </c>
      <c r="BB4" s="166">
        <f>SUMIF($V$4:$V$503,$AS4,AB$4:AB$503)</f>
        <v>129.777777777778</v>
      </c>
      <c r="BC4" s="166">
        <f>SUMIF($V$4:$V$503,$AS4,AC$4:AC$503)</f>
        <v>149.244444444444</v>
      </c>
      <c r="BD4" s="166">
        <f>SUMIF($V$4:$V$503,$AS4,AD$4:AD$503)</f>
        <v>99.5529411764706</v>
      </c>
      <c r="BE4" s="166">
        <f>SUMIF($V$4:$V$503,$AS4,AE$4:AE$503)</f>
        <v>96.4705882352941</v>
      </c>
      <c r="BF4" s="166">
        <f>SUMIF($V$4:$V$503,$AS4,AF$4:AF$503)</f>
        <v>46.5882352941176</v>
      </c>
      <c r="BG4" s="166">
        <f>SUMIF($V$4:$V$503,$AS4,AG$4:AG$503)</f>
        <v>46.5882352941176</v>
      </c>
      <c r="BH4" s="166">
        <f>SUMIF($V$4:$V$503,$AS4,AH$4:AH$503)</f>
        <v>0</v>
      </c>
      <c r="BK4" t="n">
        <v>1</v>
      </c>
      <c r="BL4" t="str">
        <f>IF(BK4&gt;$AL$6,"",INDEX($F$4:$F$503,MATCH(BK4,$O$4:$O$503,0)))</f>
        <v>Julie Martin</v>
      </c>
      <c r="BM4">
        <f>IF(BL4="","",INDEX($N$4:$N$503,MATCH(BK4,$O$4:$O$503,0)))</f>
        <v>860</v>
      </c>
      <c r="BO4" t="n">
        <v>1</v>
      </c>
      <c r="BP4" t="str">
        <f>IF(BO4&gt;$AL$7,"",INDEX($G$4:$G$503,MATCH(BO4,$R$4:$R$503,0)))</f>
        <v>ATLAS</v>
      </c>
      <c r="BQ4">
        <f>IF(BP4="","",INDEX($Q$4:$Q$503,MATCH(BO4,$R$4:$R$503,0)))</f>
        <v>860</v>
      </c>
      <c r="BS4" t="n">
        <v>1</v>
      </c>
      <c r="BT4" t="str">
        <f>IF(BS4&gt;$AL$8,"",INDEX($H$4:$H$503,MATCH(BS4,$U$4:$U$503,0)))</f>
        <v>Étude de conception</v>
      </c>
      <c r="BU4">
        <f>IF(BT4="","",INDEX($T$4:$T$503,MATCH(BS4,$U$4:$U$503,0)))</f>
        <v>2030</v>
      </c>
      <c r="BW4" t="n">
        <v>1</v>
      </c>
      <c r="BX4">
        <f>IFERROR(MATCH(BW4,$EQ$4:$EQ$503,0),"")</f>
        <v>17</v>
      </c>
      <c r="BZ4" t="str">
        <f>IF(D4=1,IF(TRIM(INDEX(Charge!$K:$K,ROW()))&lt;&gt;"",TRIM(INDEX(Charge!$K:$K,ROW())),IF(TRIM(INDEX(Charge!$L:$L,ROW()))&lt;&gt;"",TRIM(INDEX(Charge!$L:$L,ROW())),"(non affecté)")),"")</f>
        <v>Lucas Garnier</v>
      </c>
      <c r="CA4">
        <f>IF(AND($CD$4&lt;&gt;"",BZ4=$CD$4),COUNTIFS($BZ$4:$BZ$503,$CD$4,$L$4:$L$503,"&lt;"&amp;L4)+1,"")</f>
        <v>1</v>
      </c>
      <c r="CC4" t="inlineStr">
        <is>
          <t>Ressource sélectionnée</t>
        </is>
      </c>
      <c r="CD4" t="str">
        <f>TRIM(p_Dessinateur)</f>
        <v>Lucas Garnier</v>
      </c>
      <c r="CF4" t="n">
        <v>1</v>
      </c>
      <c r="CG4" s="169">
        <f>W$3</f>
        <v>46266.0</v>
      </c>
      <c r="CH4" s="166">
        <f>IF($CD$4="",0,$CD$7)</f>
        <v>20</v>
      </c>
      <c r="CI4" s="166">
        <f>IF($CD$4="",0,SUMIF($BZ$4:$BZ$503,$CD$4,W$4:W$503))</f>
        <v>28.3636363636364</v>
      </c>
      <c r="CJ4" s="166">
        <f>CH4+CI4</f>
        <v>48.3636363636364</v>
      </c>
      <c r="CK4" s="166">
        <f>IF($CD$4="",0,$CD$6)</f>
        <v>120</v>
      </c>
      <c r="CL4" s="166">
        <f>IF(CN4&lt;0,MAX(0,MIN(CI4,CK4-CH4)),CI4)</f>
        <v>28.3636363636364</v>
      </c>
      <c r="CM4" s="166">
        <f>CI4-CL4</f>
        <v>0</v>
      </c>
      <c r="CN4" s="166">
        <f>CK4-CP4</f>
        <v>72</v>
      </c>
      <c r="CO4" s="170">
        <f>IF(CK4&lt;=0,IF(CP4&gt;0,9.99,0),CP4/CK4)</f>
        <v>0.4</v>
      </c>
      <c r="CP4">
        <f>ROUND(CJ4,0)</f>
        <v>48</v>
      </c>
      <c r="CQ4" t="str">
        <f>IF(CN4&lt;0,CF4,"")</f>
        <v/>
      </c>
      <c r="CS4" t="n">
        <v>1</v>
      </c>
      <c r="CT4" t="str">
        <f>IF(OR(FA4="",FALSE),"",FA4)</f>
        <v>Lucas Garnier</v>
      </c>
      <c r="CU4">
        <f>IF(CT4="","",IF(FB4="Interne",IF(ISNUMBER(INDEX(Data!$F:$F,4)),INDEX(Data!$F:$F,4),p_HeuresETP),IF(ISNUMBER(INDEX(Data!$I:$I,4-$CD$23)),INDEX(Data!$I:$I,4-$CD$23),p_HeuresETP)))</f>
        <v>120</v>
      </c>
      <c r="CV4">
        <f>IF(CT4="","",IF(FB4="Interne",IF(ISNUMBER(INDEX(Data!$G:$G,4)),INDEX(Data!$G:$G,4),p_ChargeFixe),IF(ISNUMBER(INDEX(Data!$J:$J,4-$CD$23)),INDEX(Data!$J:$J,4-$CD$23),p_ChargeFixe)))</f>
        <v>20</v>
      </c>
      <c r="CW4" s="166">
        <f>IF($CT4="","",SUMIF($BZ$4:$BZ$503,$CT4,W$4:W$503))</f>
        <v>28.3636363636364</v>
      </c>
      <c r="CX4" s="166">
        <f>IF($CT4="","",SUMIF($BZ$4:$BZ$503,$CT4,X$4:X$503))</f>
        <v>48</v>
      </c>
      <c r="CY4" s="166">
        <f>IF($CT4="","",SUMIF($BZ$4:$BZ$503,$CT4,Y$4:Y$503))</f>
        <v>101.969696969697</v>
      </c>
      <c r="CZ4" s="166">
        <f>IF($CT4="","",SUMIF($BZ$4:$BZ$503,$CT4,Z$4:Z$503))</f>
        <v>63.8888888888889</v>
      </c>
      <c r="DA4" s="166">
        <f>IF($CT4="","",SUMIF($BZ$4:$BZ$503,$CT4,AA$4:AA$503))</f>
        <v>58.3333333333333</v>
      </c>
      <c r="DB4" s="166">
        <f>IF($CT4="","",SUMIF($BZ$4:$BZ$503,$CT4,AB$4:AB$503))</f>
        <v>55.5555555555556</v>
      </c>
      <c r="DC4" s="166">
        <f>IF($CT4="","",SUMIF($BZ$4:$BZ$503,$CT4,AC$4:AC$503))</f>
        <v>63.8888888888889</v>
      </c>
      <c r="DD4" s="166">
        <f>IF($CT4="","",SUMIF($BZ$4:$BZ$503,$CT4,AD$4:AD$503))</f>
        <v>0</v>
      </c>
      <c r="DE4" s="166">
        <f>IF($CT4="","",SUMIF($BZ$4:$BZ$503,$CT4,AE$4:AE$503))</f>
        <v>0</v>
      </c>
      <c r="DF4" s="166">
        <f>IF($CT4="","",SUMIF($BZ$4:$BZ$503,$CT4,AF$4:AF$503))</f>
        <v>0</v>
      </c>
      <c r="DG4" s="166">
        <f>IF($CT4="","",SUMIF($BZ$4:$BZ$503,$CT4,AG$4:AG$503))</f>
        <v>0</v>
      </c>
      <c r="DH4" s="166">
        <f>IF($CT4="","",SUMIF($BZ$4:$BZ$503,$CT4,AH$4:AH$503))</f>
        <v>0</v>
      </c>
      <c r="DI4" s="170">
        <f>IF($CT4="","",IF($CU4&lt;=0,IF(ROUND($CV4+CW4,0)&gt;0,9.99,0),ROUND($CV4+CW4,0)/$CU4))</f>
        <v>0.4</v>
      </c>
      <c r="DJ4" s="170">
        <f>IF($CT4="","",IF($CU4&lt;=0,IF(ROUND($CV4+CX4,0)&gt;0,9.99,0),ROUND($CV4+CX4,0)/$CU4))</f>
        <v>0.566666666666667</v>
      </c>
      <c r="DK4" s="170">
        <f>IF($CT4="","",IF($CU4&lt;=0,IF(ROUND($CV4+CY4,0)&gt;0,9.99,0),ROUND($CV4+CY4,0)/$CU4))</f>
        <v>1.01666666666667</v>
      </c>
      <c r="DL4" s="170">
        <f>IF($CT4="","",IF($CU4&lt;=0,IF(ROUND($CV4+CZ4,0)&gt;0,9.99,0),ROUND($CV4+CZ4,0)/$CU4))</f>
        <v>0.7</v>
      </c>
      <c r="DM4" s="170">
        <f>IF($CT4="","",IF($CU4&lt;=0,IF(ROUND($CV4+DA4,0)&gt;0,9.99,0),ROUND($CV4+DA4,0)/$CU4))</f>
        <v>0.65</v>
      </c>
      <c r="DN4" s="170">
        <f>IF($CT4="","",IF($CU4&lt;=0,IF(ROUND($CV4+DB4,0)&gt;0,9.99,0),ROUND($CV4+DB4,0)/$CU4))</f>
        <v>0.633333333333333</v>
      </c>
      <c r="DO4" s="170">
        <f>IF($CT4="","",IF($CU4&lt;=0,IF(ROUND($CV4+DC4,0)&gt;0,9.99,0),ROUND($CV4+DC4,0)/$CU4))</f>
        <v>0.7</v>
      </c>
      <c r="DP4" s="170">
        <f>IF($CT4="","",IF($CU4&lt;=0,IF(ROUND($CV4+DD4,0)&gt;0,9.99,0),ROUND($CV4+DD4,0)/$CU4))</f>
        <v>0.166666666666667</v>
      </c>
      <c r="DQ4" s="170">
        <f>IF($CT4="","",IF($CU4&lt;=0,IF(ROUND($CV4+DE4,0)&gt;0,9.99,0),ROUND($CV4+DE4,0)/$CU4))</f>
        <v>0.166666666666667</v>
      </c>
      <c r="DR4" s="170">
        <f>IF($CT4="","",IF($CU4&lt;=0,IF(ROUND($CV4+DF4,0)&gt;0,9.99,0),ROUND($CV4+DF4,0)/$CU4))</f>
        <v>0.166666666666667</v>
      </c>
      <c r="DS4" s="170">
        <f>IF($CT4="","",IF($CU4&lt;=0,IF(ROUND($CV4+DG4,0)&gt;0,9.99,0),ROUND($CV4+DG4,0)/$CU4))</f>
        <v>0.166666666666667</v>
      </c>
      <c r="DT4" s="170">
        <f>IF($CT4="","",IF($CU4&lt;=0,IF(ROUND($CV4+DH4,0)&gt;0,9.99,0),ROUND($CV4+DH4,0)/$CU4))</f>
        <v>0.166666666666667</v>
      </c>
      <c r="DU4" s="170">
        <f>IF(CT4="","",MAX(DI4:DT4))</f>
        <v>1.01666666666667</v>
      </c>
      <c r="DV4" s="167">
        <f>IF(CT4="","",SUM(CW4:DH4))</f>
        <v>420</v>
      </c>
      <c r="DX4" t="n">
        <v>1</v>
      </c>
      <c r="DY4">
        <f>IFERROR(MATCH(DX4,$CA$4:$CA$503,0),"")</f>
        <v>1</v>
      </c>
      <c r="DZ4" t="str">
        <f>IF(DY4="","",INDEX(Charge!$B:$B,DY4+3)&amp;"")</f>
        <v>ATLAS</v>
      </c>
      <c r="EA4" t="str">
        <f>IF(DY4="","",INDEX(Charge!$C:$C,DY4+3)&amp;"")</f>
        <v>Lot 1 – Structure</v>
      </c>
      <c r="EB4" t="str">
        <f>IF(DY4="","",INDEX(Charge!$D:$D,DY4+3)&amp;"")</f>
        <v>Châssis principal</v>
      </c>
      <c r="EC4" t="str">
        <f>IF(DY4="","",INDEX(Charge!$A:$A,DY4+3)&amp;"")</f>
        <v>Julie Martin</v>
      </c>
      <c r="ED4">
        <f>IF(DY4="","",INDEX($E$4:$E$503,DY4))</f>
        <v>300</v>
      </c>
      <c r="EE4">
        <f>IF(DY4="","",INDEX($AI$4:$AI$503,DY4))</f>
        <v>300</v>
      </c>
      <c r="EF4" s="165">
        <f>IF(DY4="","",IF(ISNUMBER(INDEX(Charge!$N:$N,DY4+3)),INDEX(Charge!$N:$N,DY4+3),"—"))</f>
        <v>46328.0</v>
      </c>
      <c r="EG4" s="165">
        <f>IF(DY4="","",IF(ISNUMBER(INDEX(Charge!$F:$F,DY4+3)),INDEX(Charge!$F:$F,DY4+3),"—"))</f>
        <v>46477.0</v>
      </c>
      <c r="EH4" s="170">
        <f>IF(DY4="","",INDEX($C$4:$C$503,DY4))</f>
        <v>0.15</v>
      </c>
      <c r="EJ4" t="str">
        <f>TRIM(INDEX(Data!$E:$E,ROW()))</f>
        <v>Lucas Garnier</v>
      </c>
      <c r="EK4" t="str">
        <f>TRIM(INDEX(Data!$H:$H,ROW()))</f>
        <v>Paul Girard</v>
      </c>
      <c r="EM4" t="str">
        <f>IF(D4=1,IF(TRIM(INDEX(Charge!$K:$K,ROW()))&lt;&gt;"","Interne",IF(TRIM(INDEX(Charge!$L:$L,ROW()))&lt;&gt;"","Externe","Non affecté")),"")</f>
        <v>Interne</v>
      </c>
      <c r="EN4" t="str">
        <f>IF(D4=1,LEFT(SUBSTITUTE(SUBSTITUTE(SUBSTITUTE(TRIM(SUBSTITUTE(INDEX(Charge!$B:$B,ROW()),CHAR(160)," "))&amp;" | "&amp;TRIM(SUBSTITUTE(INDEX(Charge!$C:$C,ROW()),CHAR(160)," "))&amp;" | "&amp;TRIM(SUBSTITUTE(INDEX(Charge!$D:$D,ROW()),CHAR(160)," ")),"~","-"),"*","+"),"?","!"),240),"")</f>
        <v>ATLAS | Lot 1 – Structure | Châssis principal</v>
      </c>
      <c r="EO4">
        <f>IF(EN4="",0,IF(COUNTIF($EN$4:EN4,EN4)=1,1,0))</f>
        <v>1</v>
      </c>
      <c r="EP4" s="166">
        <f>IF(EO4=1,ROUND(SUMIF($EN$4:$EN$503,EN4,$E$4:$E$503),2),"")</f>
        <v>420</v>
      </c>
      <c r="EQ4">
        <f>IF(EO4=1,COUNTIFS($EO$4:$EO$503,1,$EP$4:$EP$503,"&gt;"&amp;EP4)+COUNTIFS($EO$4:EO4,1,$EP$4:EP4,EP4),"")</f>
        <v>2</v>
      </c>
      <c r="ER4">
        <f>IF(EO4=1,COUNTIFS($EN$4:$EN$503,EN4,$EM$4:$EM$503,"Interne",$FE$4:$FE$503,1),"")</f>
        <v>1</v>
      </c>
      <c r="ES4">
        <f>IF(EO4=1,COUNTIFS($EN$4:$EN$503,EN4,$EM$4:$EM$503,"Externe",$FE$4:$FE$503,1),"")</f>
        <v>1</v>
      </c>
      <c r="ET4" t="str">
        <f>IF(EO4=1,IF(ER4+ES4=0,"à affecter",IF(ER4=0,ES4&amp;" ext.",(ER4+ES4)&amp;IF(ES4&gt;0," dont "&amp;ES4&amp;" ext.",""))&amp;IF(COUNTIFS($EN$4:$EN$503,EN4,$EM$4:$EM$503,"Non affecté")&gt;0," + à affecter","")),"")</f>
        <v>2 dont 1 ext.</v>
      </c>
      <c r="EU4" s="170">
        <f>IF(EO4=1,IF(EP4&gt;0,SUMPRODUCT(($EN$4:$EN$503=EN4)*$E$4:$E$503*$C$4:$C$503)/EP4,AVERAGEIF($EN$4:$EN$503,EN4,$C$4:$C$503)),"")</f>
        <v>0.107142857142857</v>
      </c>
      <c r="EV4" s="165">
        <f>IF(ISNUMBER(I4),I4,2958465)</f>
        <v>46328.0</v>
      </c>
      <c r="EW4" s="165">
        <f>IF(EO4=1,SUMPRODUCT(MIN(($EN$4:$EN$503=EN4)*$EV$4:$EV$503+($EN$4:$EN$503&lt;&gt;EN4)*2958465)),"")</f>
        <v>46328.0</v>
      </c>
      <c r="EX4" s="165">
        <f>IF(AND(D4=1,ISNUMBER(INDEX(Charge!$F:$F,ROW()))),INDEX(Charge!$F:$F,ROW()),0)</f>
        <v>46477.0</v>
      </c>
      <c r="EY4" s="165">
        <f>IF(EO4=1,SUMPRODUCT(MAX(($EN$4:$EN$503=EN4)*$EX$4:$EX$503)),"")</f>
        <v>46477.0</v>
      </c>
      <c r="FA4" t="str">
        <f>IF(1&lt;=$CD$23,INDEX($EJ$4:$EJ$203,1),IF(1-$CD$23&lt;=$CD$26,INDEX($EK$4:$EK$203,1-$CD$23),""))</f>
        <v>Lucas Garnier</v>
      </c>
      <c r="FB4" t="str">
        <f>IF(FA4="","",IF(1&lt;=$CD$23,"Interne","Externe"))</f>
        <v>Interne</v>
      </c>
      <c r="FD4">
        <f>IF(AND(B4=1,TRIM(INDEX(Charge!$K:$K,ROW()))&lt;&gt;"",TRIM(INDEX(Charge!$L:$L,ROW()))&lt;&gt;""),1,0)</f>
        <v>0</v>
      </c>
      <c r="FE4">
        <f>IF(OR(EN4="",BZ4="(non affecté)"),0,IF(COUNTIFS($EN$4:EN4,EN4,$BZ$4:BZ4,BZ4)=1,1,0))</f>
        <v>1</v>
      </c>
    </row>
    <row r="5">
      <c r="A5">
        <f>ROW()</f>
        <v>5</v>
      </c>
      <c r="B5">
        <f>IF(TRIM(INDEX(Charge!$B:$B,ROW()))&lt;&gt;"",1,0)</f>
        <v>1</v>
      </c>
      <c r="C5">
        <f>IF(B5=1,MIN(1,MAX(0,N(INDEX(Charge!$O:$O,ROW())))),0)</f>
        <v>0</v>
      </c>
      <c r="D5">
        <f>IF(B5=1,IF(OR(p_Perimetre="Tous les projets",C5&lt;1),1,0),0)</f>
        <v>1</v>
      </c>
      <c r="E5">
        <f>IF(D5=1,MAX(0,N(INDEX(Charge!$M:$M,ROW()))),0)</f>
        <v>120</v>
      </c>
      <c r="F5" t="str">
        <f>IF(D5=1,IF(TRIM(INDEX(Charge!$A:$A,ROW()))="","(non renseigné)",TRIM(INDEX(Charge!$A:$A,ROW()))),"")</f>
        <v>Julie Martin</v>
      </c>
      <c r="G5" t="str">
        <f>IF(D5=1,TRIM(INDEX(Charge!$B:$B,ROW())),"")</f>
        <v>ATLAS</v>
      </c>
      <c r="H5" t="str">
        <f>IF(D5=1,IF(TRIM(INDEX(Charge!$E:$E,ROW()))="","(non renseigné)",TRIM(INDEX(Charge!$E:$E,ROW()))),"")</f>
        <v>Étude de conception</v>
      </c>
      <c r="I5" s="165">
        <f>IF(AND(D5=1,ISNUMBER(INDEX(Charge!$N:$N,ROW()))),INDEX(Charge!$N:$N,ROW()),"")</f>
        <v>46328.0</v>
      </c>
      <c r="J5" s="165">
        <f>IF(I5="","",IF(AND(p_Repartition="Lissée jusqu'à la date de besoin",ISNUMBER(INDEX(Charge!$F:$F,ROW()))),IF(INDEX(Charge!$F:$F,ROW())&gt;=I5,INDEX(Charge!$F:$F,ROW()),I5),I5))</f>
        <v>46477.0</v>
      </c>
      <c r="K5">
        <f>IF(I5="","",NETWORKDAYS(I5,J5,Data!$K$4:$K$203))</f>
        <v>108</v>
      </c>
      <c r="L5">
        <f>IF(D5=1,COUNTIFS($D$4:$D$503,1,$E$4:$E$503,"&gt;"&amp;E5)+COUNTIFS($D$4:$D5,1,$E$4:$E5,E5),"")</f>
        <v>12</v>
      </c>
      <c r="M5">
        <f>IF(F5="",0,IF(COUNTIF($F$4:F5,F5)=1,1,0))</f>
        <v>0</v>
      </c>
      <c r="N5" t="str">
        <f>IF(M5=1,ROUND(SUMIF($F$4:$F$503,F5,$E$4:$E$503),2),"")</f>
        <v/>
      </c>
      <c r="O5" t="str">
        <f>IF(M5=1,COUNTIFS($M$4:$M$503,1,$N$4:$N$503,"&gt;"&amp;N5)+COUNTIFS($M$4:M5,1,$N$4:N5,N5),"")</f>
        <v/>
      </c>
      <c r="P5">
        <f>IF(G5="",0,IF(COUNTIF($G$4:G5,G5)=1,1,0))</f>
        <v>0</v>
      </c>
      <c r="Q5" t="str">
        <f>IF(P5=1,ROUND(SUMIF($G$4:$G$503,G5,$E$4:$E$503),2),"")</f>
        <v/>
      </c>
      <c r="R5" t="str">
        <f>IF(P5=1,COUNTIFS($P$4:$P$503,1,$Q$4:$Q$503,"&gt;"&amp;Q5)+COUNTIFS($P$4:P5,1,$Q$4:Q5,Q5),"")</f>
        <v/>
      </c>
      <c r="S5">
        <f>IF(H5="",0,IF(COUNTIF($H$4:H5,H5)=1,1,0))</f>
        <v>0</v>
      </c>
      <c r="T5" t="str">
        <f>IF(S5=1,ROUND(SUMIF($H$4:$H$503,H5,$E$4:$E$503),2),"")</f>
        <v/>
      </c>
      <c r="U5" t="str">
        <f>IF(S5=1,COUNTIFS($S$4:$S$503,1,$T$4:$T$503,"&gt;"&amp;T5)+COUNTIFS($S$4:S5,1,$T$4:T5,T5),"")</f>
        <v/>
      </c>
      <c r="V5">
        <f>IF(D5=1,MIN(INDEX($R$4:$R$503,MATCH(G5,$G$4:$G$503,0)),IF($AL$7&gt;9,9,999)),"")</f>
        <v>1</v>
      </c>
      <c r="W5" s="166">
        <f>IF(OR($I5="",$E5=0),0,IF(OR($J5&lt;W$3,$I5&gt;W$2),0,IF($K5=0,IF(AND($I5&gt;=W$3,$I5&lt;=W$2),$E5,0),$E5*NETWORKDAYS(MAX($I5,W$3),MIN($J5,W$2),Data!$K$4:$K$203)/$K5)))</f>
        <v>0</v>
      </c>
      <c r="X5" s="166">
        <f>IF(OR($I5="",$E5=0),0,IF(OR($J5&lt;X$3,$I5&gt;X$2),0,IF($K5=0,IF(AND($I5&gt;=X$3,$I5&lt;=X$2),$E5,0),$E5*NETWORKDAYS(MAX($I5,X$3),MIN($J5,X$2),Data!$K$4:$K$203)/$K5)))</f>
        <v>0</v>
      </c>
      <c r="Y5" s="166">
        <f>IF(OR($I5="",$E5=0),0,IF(OR($J5&lt;Y$3,$I5&gt;Y$2),0,IF($K5=0,IF(AND($I5&gt;=Y$3,$I5&lt;=Y$2),$E5,0),$E5*NETWORKDAYS(MAX($I5,Y$3),MIN($J5,Y$2),Data!$K$4:$K$203)/$K5)))</f>
        <v>23.3333333333333</v>
      </c>
      <c r="Z5" s="166">
        <f>IF(OR($I5="",$E5=0),0,IF(OR($J5&lt;Z$3,$I5&gt;Z$2),0,IF($K5=0,IF(AND($I5&gt;=Z$3,$I5&lt;=Z$2),$E5,0),$E5*NETWORKDAYS(MAX($I5,Z$3),MIN($J5,Z$2),Data!$K$4:$K$203)/$K5)))</f>
        <v>25.5555555555556</v>
      </c>
      <c r="AA5" s="166">
        <f>IF(OR($I5="",$E5=0),0,IF(OR($J5&lt;AA$3,$I5&gt;AA$2),0,IF($K5=0,IF(AND($I5&gt;=AA$3,$I5&lt;=AA$2),$E5,0),$E5*NETWORKDAYS(MAX($I5,AA$3),MIN($J5,AA$2),Data!$K$4:$K$203)/$K5)))</f>
        <v>23.3333333333333</v>
      </c>
      <c r="AB5" s="166">
        <f>IF(OR($I5="",$E5=0),0,IF(OR($J5&lt;AB$3,$I5&gt;AB$2),0,IF($K5=0,IF(AND($I5&gt;=AB$3,$I5&lt;=AB$2),$E5,0),$E5*NETWORKDAYS(MAX($I5,AB$3),MIN($J5,AB$2),Data!$K$4:$K$203)/$K5)))</f>
        <v>22.2222222222222</v>
      </c>
      <c r="AC5" s="166">
        <f>IF(OR($I5="",$E5=0),0,IF(OR($J5&lt;AC$3,$I5&gt;AC$2),0,IF($K5=0,IF(AND($I5&gt;=AC$3,$I5&lt;=AC$2),$E5,0),$E5*NETWORKDAYS(MAX($I5,AC$3),MIN($J5,AC$2),Data!$K$4:$K$203)/$K5)))</f>
        <v>25.5555555555556</v>
      </c>
      <c r="AD5" s="166">
        <f>IF(OR($I5="",$E5=0),0,IF(OR($J5&lt;AD$3,$I5&gt;AD$2),0,IF($K5=0,IF(AND($I5&gt;=AD$3,$I5&lt;=AD$2),$E5,0),$E5*NETWORKDAYS(MAX($I5,AD$3),MIN($J5,AD$2),Data!$K$4:$K$203)/$K5)))</f>
        <v>0</v>
      </c>
      <c r="AE5" s="166">
        <f>IF(OR($I5="",$E5=0),0,IF(OR($J5&lt;AE$3,$I5&gt;AE$2),0,IF($K5=0,IF(AND($I5&gt;=AE$3,$I5&lt;=AE$2),$E5,0),$E5*NETWORKDAYS(MAX($I5,AE$3),MIN($J5,AE$2),Data!$K$4:$K$203)/$K5)))</f>
        <v>0</v>
      </c>
      <c r="AF5" s="166">
        <f>IF(OR($I5="",$E5=0),0,IF(OR($J5&lt;AF$3,$I5&gt;AF$2),0,IF($K5=0,IF(AND($I5&gt;=AF$3,$I5&lt;=AF$2),$E5,0),$E5*NETWORKDAYS(MAX($I5,AF$3),MIN($J5,AF$2),Data!$K$4:$K$203)/$K5)))</f>
        <v>0</v>
      </c>
      <c r="AG5" s="166">
        <f>IF(OR($I5="",$E5=0),0,IF(OR($J5&lt;AG$3,$I5&gt;AG$2),0,IF($K5=0,IF(AND($I5&gt;=AG$3,$I5&lt;=AG$2),$E5,0),$E5*NETWORKDAYS(MAX($I5,AG$3),MIN($J5,AG$2),Data!$K$4:$K$203)/$K5)))</f>
        <v>0</v>
      </c>
      <c r="AH5" s="166">
        <f>IF(OR($I5="",$E5=0),0,IF(OR($J5&lt;AH$3,$I5&gt;AH$2),0,IF($K5=0,IF(AND($I5&gt;=AH$3,$I5&lt;=AH$2),$E5,0),$E5*NETWORKDAYS(MAX($I5,AH$3),MIN($J5,AH$2),Data!$K$4:$K$203)/$K5)))</f>
        <v>0</v>
      </c>
      <c r="AI5" s="166">
        <f>SUM(W5:AH5)</f>
        <v>120</v>
      </c>
      <c r="AK5" t="inlineStr">
        <is>
          <t>Nombre d'affaires (sous-projets regroupés)</t>
        </is>
      </c>
      <c r="AL5" s="171">
        <f>SUM(EO4:EO503)</f>
        <v>17</v>
      </c>
      <c r="AN5" t="n">
        <v>2</v>
      </c>
      <c r="AO5" s="161">
        <f>X$3</f>
        <v>46296.0</v>
      </c>
      <c r="AP5" s="167">
        <f>SUM(X4:X503)</f>
        <v>165.941176470588</v>
      </c>
      <c r="AQ5">
        <f>SUMPRODUCT((X4:X503&gt;0)/(COUNTIFS($EN$4:$EN$503,$EN$4:$EN$503,X4:X503,"&gt;0")+(X4:X503&lt;=0)))</f>
        <v>3</v>
      </c>
      <c r="AS5" t="n">
        <v>2</v>
      </c>
      <c r="AT5" t="str">
        <f>IF(AS5&gt;$AL$7,"",INDEX($G$4:$G$503,MATCH(AS5,$R$4:$R$503,0)))</f>
        <v>BORÉAL</v>
      </c>
      <c r="AU5">
        <f>SUMIF($V$4:$V$503,AS5,$E$4:$E$503)</f>
        <v>620</v>
      </c>
      <c r="AV5" s="168">
        <f>IF($AL$4=0,0,AU5/$AL$4)</f>
        <v>0.1794500723589</v>
      </c>
      <c r="AW5" s="166">
        <f>SUMIF($V$4:$V$503,$AS5,W$4:W$503)</f>
        <v>0</v>
      </c>
      <c r="AX5" s="166">
        <f>SUMIF($V$4:$V$503,$AS5,X$4:X$503)</f>
        <v>72.9411764705882</v>
      </c>
      <c r="AY5" s="166">
        <f>SUMIF($V$4:$V$503,$AS5,Y$4:Y$503)</f>
        <v>76.5882352941177</v>
      </c>
      <c r="AZ5" s="166">
        <f>SUMIF($V$4:$V$503,$AS5,Z$4:Z$503)</f>
        <v>83.8823529411765</v>
      </c>
      <c r="BA5" s="166">
        <f>SUMIF($V$4:$V$503,$AS5,AA$4:AA$503)</f>
        <v>98.5394548063128</v>
      </c>
      <c r="BB5" s="166">
        <f>SUMIF($V$4:$V$503,$AS5,AB$4:AB$503)</f>
        <v>111.594746716698</v>
      </c>
      <c r="BC5" s="166">
        <f>SUMIF($V$4:$V$503,$AS5,AC$4:AC$503)</f>
        <v>101.992495309568</v>
      </c>
      <c r="BD5" s="166">
        <f>SUMIF($V$4:$V$503,$AS5,AD$4:AD$503)</f>
        <v>74.4615384615385</v>
      </c>
      <c r="BE5" s="166">
        <f>SUMIF($V$4:$V$503,$AS5,AE$4:AE$503)</f>
        <v>0</v>
      </c>
      <c r="BF5" s="166">
        <f>SUMIF($V$4:$V$503,$AS5,AF$4:AF$503)</f>
        <v>0</v>
      </c>
      <c r="BG5" s="166">
        <f>SUMIF($V$4:$V$503,$AS5,AG$4:AG$503)</f>
        <v>0</v>
      </c>
      <c r="BH5" s="166">
        <f>SUMIF($V$4:$V$503,$AS5,AH$4:AH$503)</f>
        <v>0</v>
      </c>
      <c r="BK5" t="n">
        <v>2</v>
      </c>
      <c r="BL5" t="str">
        <f>IF(BK5&gt;$AL$6,"",INDEX($F$4:$F$503,MATCH(BK5,$O$4:$O$503,0)))</f>
        <v>Thomas Bernard</v>
      </c>
      <c r="BM5">
        <f>IF(BL5="","",INDEX($N$4:$N$503,MATCH(BK5,$O$4:$O$503,0)))</f>
        <v>820</v>
      </c>
      <c r="BO5" t="n">
        <v>2</v>
      </c>
      <c r="BP5" t="str">
        <f>IF(BO5&gt;$AL$7,"",INDEX($G$4:$G$503,MATCH(BO5,$R$4:$R$503,0)))</f>
        <v>BORÉAL</v>
      </c>
      <c r="BQ5">
        <f>IF(BP5="","",INDEX($Q$4:$Q$503,MATCH(BO5,$R$4:$R$503,0)))</f>
        <v>620</v>
      </c>
      <c r="BS5" t="n">
        <v>2</v>
      </c>
      <c r="BT5" t="str">
        <f>IF(BS5&gt;$AL$8,"",INDEX($H$4:$H$503,MATCH(BS5,$U$4:$U$503,0)))</f>
        <v>Industrialisation</v>
      </c>
      <c r="BU5">
        <f>IF(BT5="","",INDEX($T$4:$T$503,MATCH(BS5,$U$4:$U$503,0)))</f>
        <v>540</v>
      </c>
      <c r="BW5" t="n">
        <v>2</v>
      </c>
      <c r="BX5">
        <f>IFERROR(MATCH(BW5,$EQ$4:$EQ$503,0),"")</f>
        <v>1</v>
      </c>
      <c r="BZ5" t="str">
        <f>IF(D5=1,IF(TRIM(INDEX(Charge!$K:$K,ROW()))&lt;&gt;"",TRIM(INDEX(Charge!$K:$K,ROW())),IF(TRIM(INDEX(Charge!$L:$L,ROW()))&lt;&gt;"",TRIM(INDEX(Charge!$L:$L,ROW())),"(non affecté)")),"")</f>
        <v>Paul Girard</v>
      </c>
      <c r="CA5" t="str">
        <f>IF(AND($CD$4&lt;&gt;"",BZ5=$CD$4),COUNTIFS($BZ$4:$BZ$503,$CD$4,$L$4:$L$503,"&lt;"&amp;L5)+1,"")</f>
        <v/>
      </c>
      <c r="CC5" t="inlineStr">
        <is>
          <t>Position dans la liste des dessinateurs (0 = absent)</t>
        </is>
      </c>
      <c r="CD5" s="171">
        <f>IF(CD4="",0,IFERROR(MATCH(CD4,$EJ$4:$EJ$203,0),0))</f>
        <v>1</v>
      </c>
      <c r="CF5" t="n">
        <v>2</v>
      </c>
      <c r="CG5" s="169">
        <f>X$3</f>
        <v>46296.0</v>
      </c>
      <c r="CH5" s="166">
        <f>IF($CD$4="",0,$CD$7)</f>
        <v>20</v>
      </c>
      <c r="CI5" s="166">
        <f>IF($CD$4="",0,SUMIF($BZ$4:$BZ$503,$CD$4,X$4:X$503))</f>
        <v>48</v>
      </c>
      <c r="CJ5" s="166">
        <f>CH5+CI5</f>
        <v>68</v>
      </c>
      <c r="CK5" s="166">
        <f>IF($CD$4="",0,$CD$6)</f>
        <v>120</v>
      </c>
      <c r="CL5" s="166">
        <f>IF(CN5&lt;0,MAX(0,MIN(CI5,CK5-CH5)),CI5)</f>
        <v>48</v>
      </c>
      <c r="CM5" s="166">
        <f>CI5-CL5</f>
        <v>0</v>
      </c>
      <c r="CN5" s="166">
        <f>CK5-CP5</f>
        <v>52</v>
      </c>
      <c r="CO5" s="170">
        <f>IF(CK5&lt;=0,IF(CP5&gt;0,9.99,0),CP5/CK5)</f>
        <v>0.566666666666667</v>
      </c>
      <c r="CP5">
        <f>ROUND(CJ5,0)</f>
        <v>68</v>
      </c>
      <c r="CQ5" t="str">
        <f>IF(CN5&lt;0,CF5,"")</f>
        <v/>
      </c>
      <c r="CS5" t="n">
        <v>2</v>
      </c>
      <c r="CT5" t="str">
        <f>IF(OR(FA5="",COUNTIF($FA$4:FA4,FA5)&gt;0),"",FA5)</f>
        <v>Emma Faure</v>
      </c>
      <c r="CU5">
        <f>IF(CT5="","",IF(FB5="Interne",IF(ISNUMBER(INDEX(Data!$F:$F,5)),INDEX(Data!$F:$F,5),p_HeuresETP),IF(ISNUMBER(INDEX(Data!$I:$I,5-$CD$23)),INDEX(Data!$I:$I,5-$CD$23),p_HeuresETP)))</f>
        <v>120</v>
      </c>
      <c r="CV5">
        <f>IF(CT5="","",IF(FB5="Interne",IF(ISNUMBER(INDEX(Data!$G:$G,5)),INDEX(Data!$G:$G,5),p_ChargeFixe),IF(ISNUMBER(INDEX(Data!$J:$J,5-$CD$23)),INDEX(Data!$J:$J,5-$CD$23),p_ChargeFixe)))</f>
        <v>20</v>
      </c>
      <c r="CW5" s="166">
        <f>IF($CT5="","",SUMIF($BZ$4:$BZ$503,$CT5,W$4:W$503))</f>
        <v>0</v>
      </c>
      <c r="CX5" s="166">
        <f>IF($CT5="","",SUMIF($BZ$4:$BZ$503,$CT5,X$4:X$503))</f>
        <v>0</v>
      </c>
      <c r="CY5" s="166">
        <f>IF($CT5="","",SUMIF($BZ$4:$BZ$503,$CT5,Y$4:Y$503))</f>
        <v>0</v>
      </c>
      <c r="CZ5" s="166">
        <f>IF($CT5="","",SUMIF($BZ$4:$BZ$503,$CT5,Z$4:Z$503))</f>
        <v>57.5</v>
      </c>
      <c r="DA5" s="166">
        <f>IF($CT5="","",SUMIF($BZ$4:$BZ$503,$CT5,AA$4:AA$503))</f>
        <v>91.5</v>
      </c>
      <c r="DB5" s="166">
        <f>IF($CT5="","",SUMIF($BZ$4:$BZ$503,$CT5,AB$4:AB$503))</f>
        <v>102</v>
      </c>
      <c r="DC5" s="166">
        <f>IF($CT5="","",SUMIF($BZ$4:$BZ$503,$CT5,AC$4:AC$503))</f>
        <v>126.709090909091</v>
      </c>
      <c r="DD5" s="166">
        <f>IF($CT5="","",SUMIF($BZ$4:$BZ$503,$CT5,AD$4:AD$503))</f>
        <v>121.2</v>
      </c>
      <c r="DE5" s="166">
        <f>IF($CT5="","",SUMIF($BZ$4:$BZ$503,$CT5,AE$4:AE$503))</f>
        <v>110.737967914439</v>
      </c>
      <c r="DF5" s="166">
        <f>IF($CT5="","",SUMIF($BZ$4:$BZ$503,$CT5,AF$4:AF$503))</f>
        <v>31.0588235294118</v>
      </c>
      <c r="DG5" s="166">
        <f>IF($CT5="","",SUMIF($BZ$4:$BZ$503,$CT5,AG$4:AG$503))</f>
        <v>31.0588235294118</v>
      </c>
      <c r="DH5" s="166">
        <f>IF($CT5="","",SUMIF($BZ$4:$BZ$503,$CT5,AH$4:AH$503))</f>
        <v>28.2352941176471</v>
      </c>
      <c r="DI5" s="170">
        <f>IF($CT5="","",IF($CU5&lt;=0,IF(ROUND($CV5+CW5,0)&gt;0,9.99,0),ROUND($CV5+CW5,0)/$CU5))</f>
        <v>0.166666666666667</v>
      </c>
      <c r="DJ5" s="170">
        <f>IF($CT5="","",IF($CU5&lt;=0,IF(ROUND($CV5+CX5,0)&gt;0,9.99,0),ROUND($CV5+CX5,0)/$CU5))</f>
        <v>0.166666666666667</v>
      </c>
      <c r="DK5" s="170">
        <f>IF($CT5="","",IF($CU5&lt;=0,IF(ROUND($CV5+CY5,0)&gt;0,9.99,0),ROUND($CV5+CY5,0)/$CU5))</f>
        <v>0.166666666666667</v>
      </c>
      <c r="DL5" s="170">
        <f>IF($CT5="","",IF($CU5&lt;=0,IF(ROUND($CV5+CZ5,0)&gt;0,9.99,0),ROUND($CV5+CZ5,0)/$CU5))</f>
        <v>0.65</v>
      </c>
      <c r="DM5" s="170">
        <f>IF($CT5="","",IF($CU5&lt;=0,IF(ROUND($CV5+DA5,0)&gt;0,9.99,0),ROUND($CV5+DA5,0)/$CU5))</f>
        <v>0.933333333333333</v>
      </c>
      <c r="DN5" s="170">
        <f>IF($CT5="","",IF($CU5&lt;=0,IF(ROUND($CV5+DB5,0)&gt;0,9.99,0),ROUND($CV5+DB5,0)/$CU5))</f>
        <v>1.01666666666667</v>
      </c>
      <c r="DO5" s="170">
        <f>IF($CT5="","",IF($CU5&lt;=0,IF(ROUND($CV5+DC5,0)&gt;0,9.99,0),ROUND($CV5+DC5,0)/$CU5))</f>
        <v>1.225</v>
      </c>
      <c r="DP5" s="170">
        <f>IF($CT5="","",IF($CU5&lt;=0,IF(ROUND($CV5+DD5,0)&gt;0,9.99,0),ROUND($CV5+DD5,0)/$CU5))</f>
        <v>1.175</v>
      </c>
      <c r="DQ5" s="170">
        <f>IF($CT5="","",IF($CU5&lt;=0,IF(ROUND($CV5+DE5,0)&gt;0,9.99,0),ROUND($CV5+DE5,0)/$CU5))</f>
        <v>1.09166666666667</v>
      </c>
      <c r="DR5" s="170">
        <f>IF($CT5="","",IF($CU5&lt;=0,IF(ROUND($CV5+DF5,0)&gt;0,9.99,0),ROUND($CV5+DF5,0)/$CU5))</f>
        <v>0.425</v>
      </c>
      <c r="DS5" s="170">
        <f>IF($CT5="","",IF($CU5&lt;=0,IF(ROUND($CV5+DG5,0)&gt;0,9.99,0),ROUND($CV5+DG5,0)/$CU5))</f>
        <v>0.425</v>
      </c>
      <c r="DT5" s="170">
        <f>IF($CT5="","",IF($CU5&lt;=0,IF(ROUND($CV5+DH5,0)&gt;0,9.99,0),ROUND($CV5+DH5,0)/$CU5))</f>
        <v>0.4</v>
      </c>
      <c r="DU5" s="170">
        <f>IF(CT5="","",MAX(DI5:DT5))</f>
        <v>1.225</v>
      </c>
      <c r="DV5" s="167">
        <f>IF(CT5="","",SUM(CW5:DH5))</f>
        <v>700</v>
      </c>
      <c r="DX5" t="n">
        <v>2</v>
      </c>
      <c r="DY5">
        <f>IFERROR(MATCH(DX5,$CA$4:$CA$503,0),"")</f>
        <v>13</v>
      </c>
      <c r="DZ5" t="str">
        <f>IF(DY5="","",INDEX(Charge!$B:$B,DY5+3)&amp;"")</f>
        <v>ORION</v>
      </c>
      <c r="EA5" t="str">
        <f>IF(DY5="","",INDEX(Charge!$C:$C,DY5+3)&amp;"")</f>
        <v>Tranche 1</v>
      </c>
      <c r="EB5" t="str">
        <f>IF(DY5="","",INDEX(Charge!$D:$D,DY5+3)&amp;"")</f>
        <v>Support moteur</v>
      </c>
      <c r="EC5" t="str">
        <f>IF(DY5="","",INDEX(Charge!$A:$A,DY5+3)&amp;"")</f>
        <v>Nicolas Moreau</v>
      </c>
      <c r="ED5">
        <f>IF(DY5="","",INDEX($E$4:$E$503,DY5))</f>
        <v>120</v>
      </c>
      <c r="EE5">
        <f>IF(DY5="","",INDEX($AI$4:$AI$503,DY5))</f>
        <v>120</v>
      </c>
      <c r="EF5" s="165">
        <f>IF(DY5="","",IF(ISNUMBER(INDEX(Charge!$N:$N,DY5+3)),INDEX(Charge!$N:$N,DY5+3),"—"))</f>
        <v>46279.0</v>
      </c>
      <c r="EG5" s="165">
        <f>IF(DY5="","",IF(ISNUMBER(INDEX(Charge!$F:$F,DY5+3)),INDEX(Charge!$F:$F,DY5+3),"—"))</f>
        <v>46353.0</v>
      </c>
      <c r="EH5" s="170">
        <f>IF(DY5="","",INDEX($C$4:$C$503,DY5))</f>
        <v>0.8</v>
      </c>
      <c r="EJ5" t="str">
        <f>TRIM(INDEX(Data!$E:$E,ROW()))</f>
        <v>Emma Faure</v>
      </c>
      <c r="EK5" t="str">
        <f>TRIM(INDEX(Data!$H:$H,ROW()))</f>
        <v>Inès Morel</v>
      </c>
      <c r="EM5" t="str">
        <f>IF(D5=1,IF(TRIM(INDEX(Charge!$K:$K,ROW()))&lt;&gt;"","Interne",IF(TRIM(INDEX(Charge!$L:$L,ROW()))&lt;&gt;"","Externe","Non affecté")),"")</f>
        <v>Externe</v>
      </c>
      <c r="EN5" t="str">
        <f>IF(D5=1,LEFT(SUBSTITUTE(SUBSTITUTE(SUBSTITUTE(TRIM(SUBSTITUTE(INDEX(Charge!$B:$B,ROW()),CHAR(160)," "))&amp;" | "&amp;TRIM(SUBSTITUTE(INDEX(Charge!$C:$C,ROW()),CHAR(160)," "))&amp;" | "&amp;TRIM(SUBSTITUTE(INDEX(Charge!$D:$D,ROW()),CHAR(160)," ")),"~","-"),"*","+"),"?","!"),240),"")</f>
        <v>ATLAS | Lot 1 – Structure | Châssis principal</v>
      </c>
      <c r="EO5">
        <f>IF(EN5="",0,IF(COUNTIF($EN$4:EN5,EN5)=1,1,0))</f>
        <v>0</v>
      </c>
      <c r="EP5" s="166" t="str">
        <f>IF(EO5=1,ROUND(SUMIF($EN$4:$EN$503,EN5,$E$4:$E$503),2),"")</f>
        <v/>
      </c>
      <c r="EQ5" t="str">
        <f>IF(EO5=1,COUNTIFS($EO$4:$EO$503,1,$EP$4:$EP$503,"&gt;"&amp;EP5)+COUNTIFS($EO$4:EO5,1,$EP$4:EP5,EP5),"")</f>
        <v/>
      </c>
      <c r="ER5" t="str">
        <f>IF(EO5=1,COUNTIFS($EN$4:$EN$503,EN5,$EM$4:$EM$503,"Interne",$FE$4:$FE$503,1),"")</f>
        <v/>
      </c>
      <c r="ES5" t="str">
        <f>IF(EO5=1,COUNTIFS($EN$4:$EN$503,EN5,$EM$4:$EM$503,"Externe",$FE$4:$FE$503,1),"")</f>
        <v/>
      </c>
      <c r="ET5" t="str">
        <f>IF(EO5=1,IF(ER5+ES5=0,"à affecter",IF(ER5=0,ES5&amp;" ext.",(ER5+ES5)&amp;IF(ES5&gt;0," dont "&amp;ES5&amp;" ext.",""))&amp;IF(COUNTIFS($EN$4:$EN$503,EN5,$EM$4:$EM$503,"Non affecté")&gt;0," + à affecter","")),"")</f>
        <v/>
      </c>
      <c r="EU5" s="170" t="str">
        <f>IF(EO5=1,IF(EP5&gt;0,SUMPRODUCT(($EN$4:$EN$503=EN5)*$E$4:$E$503*$C$4:$C$503)/EP5,AVERAGEIF($EN$4:$EN$503,EN5,$C$4:$C$503)),"")</f>
        <v/>
      </c>
      <c r="EV5" s="165">
        <f>IF(ISNUMBER(I5),I5,2958465)</f>
        <v>46328.0</v>
      </c>
      <c r="EW5" s="165" t="str">
        <f>IF(EO5=1,SUMPRODUCT(MIN(($EN$4:$EN$503=EN5)*$EV$4:$EV$503+($EN$4:$EN$503&lt;&gt;EN5)*2958465)),"")</f>
        <v/>
      </c>
      <c r="EX5" s="165">
        <f>IF(AND(D5=1,ISNUMBER(INDEX(Charge!$F:$F,ROW()))),INDEX(Charge!$F:$F,ROW()),0)</f>
        <v>46477.0</v>
      </c>
      <c r="EY5" s="165" t="str">
        <f>IF(EO5=1,SUMPRODUCT(MAX(($EN$4:$EN$503=EN5)*$EX$4:$EX$503)),"")</f>
        <v/>
      </c>
      <c r="FA5" t="str">
        <f>IF(2&lt;=$CD$23,INDEX($EJ$4:$EJ$203,2),IF(2-$CD$23&lt;=$CD$26,INDEX($EK$4:$EK$203,2-$CD$23),""))</f>
        <v>Emma Faure</v>
      </c>
      <c r="FB5" t="str">
        <f>IF(FA5="","",IF(2&lt;=$CD$23,"Interne","Externe"))</f>
        <v>Interne</v>
      </c>
      <c r="FD5">
        <f>IF(AND(B5=1,TRIM(INDEX(Charge!$K:$K,ROW()))&lt;&gt;"",TRIM(INDEX(Charge!$L:$L,ROW()))&lt;&gt;""),1,0)</f>
        <v>0</v>
      </c>
      <c r="FE5">
        <f>IF(OR(EN5="",BZ5="(non affecté)"),0,IF(COUNTIFS($EN$4:EN5,EN5,$BZ$4:BZ5,BZ5)=1,1,0))</f>
        <v>1</v>
      </c>
    </row>
    <row r="6">
      <c r="A6">
        <f>ROW()</f>
        <v>6</v>
      </c>
      <c r="B6">
        <f>IF(TRIM(INDEX(Charge!$B:$B,ROW()))&lt;&gt;"",1,0)</f>
        <v>1</v>
      </c>
      <c r="C6">
        <f>IF(B6=1,MIN(1,MAX(0,N(INDEX(Charge!$O:$O,ROW())))),0)</f>
        <v>0</v>
      </c>
      <c r="D6">
        <f>IF(B6=1,IF(OR(p_Perimetre="Tous les projets",C6&lt;1),1,0),0)</f>
        <v>1</v>
      </c>
      <c r="E6">
        <f>IF(D6=1,MAX(0,N(INDEX(Charge!$M:$M,ROW()))),0)</f>
        <v>260</v>
      </c>
      <c r="F6" t="str">
        <f>IF(D6=1,IF(TRIM(INDEX(Charge!$A:$A,ROW()))="","(non renseigné)",TRIM(INDEX(Charge!$A:$A,ROW()))),"")</f>
        <v>Julie Martin</v>
      </c>
      <c r="G6" t="str">
        <f>IF(D6=1,TRIM(INDEX(Charge!$B:$B,ROW())),"")</f>
        <v>ATLAS</v>
      </c>
      <c r="H6" t="str">
        <f>IF(D6=1,IF(TRIM(INDEX(Charge!$E:$E,ROW()))="","(non renseigné)",TRIM(INDEX(Charge!$E:$E,ROW()))),"")</f>
        <v>Étude de conception</v>
      </c>
      <c r="I6" s="165">
        <f>IF(AND(D6=1,ISNUMBER(INDEX(Charge!$N:$N,ROW()))),INDEX(Charge!$N:$N,ROW()),"")</f>
        <v>46398.0</v>
      </c>
      <c r="J6" s="165">
        <f>IF(I6="","",IF(AND(p_Repartition="Lissée jusqu'à la date de besoin",ISNUMBER(INDEX(Charge!$F:$F,ROW()))),IF(INDEX(Charge!$F:$F,ROW())&gt;=I6,INDEX(Charge!$F:$F,ROW()),I6),I6))</f>
        <v>46535.0</v>
      </c>
      <c r="K6">
        <f>IF(I6="","",NETWORKDAYS(I6,J6,Data!$K$4:$K$203))</f>
        <v>100</v>
      </c>
      <c r="L6">
        <f>IF(D6=1,COUNTIFS($D$4:$D$503,1,$E$4:$E$503,"&gt;"&amp;E6)+COUNTIFS($D$4:$D6,1,$E$4:$E6,E6),"")</f>
        <v>4</v>
      </c>
      <c r="M6">
        <f>IF(F6="",0,IF(COUNTIF($F$4:F6,F6)=1,1,0))</f>
        <v>0</v>
      </c>
      <c r="N6" t="str">
        <f>IF(M6=1,ROUND(SUMIF($F$4:$F$503,F6,$E$4:$E$503),2),"")</f>
        <v/>
      </c>
      <c r="O6" t="str">
        <f>IF(M6=1,COUNTIFS($M$4:$M$503,1,$N$4:$N$503,"&gt;"&amp;N6)+COUNTIFS($M$4:M6,1,$N$4:N6,N6),"")</f>
        <v/>
      </c>
      <c r="P6">
        <f>IF(G6="",0,IF(COUNTIF($G$4:G6,G6)=1,1,0))</f>
        <v>0</v>
      </c>
      <c r="Q6" t="str">
        <f>IF(P6=1,ROUND(SUMIF($G$4:$G$503,G6,$E$4:$E$503),2),"")</f>
        <v/>
      </c>
      <c r="R6" t="str">
        <f>IF(P6=1,COUNTIFS($P$4:$P$503,1,$Q$4:$Q$503,"&gt;"&amp;Q6)+COUNTIFS($P$4:P6,1,$Q$4:Q6,Q6),"")</f>
        <v/>
      </c>
      <c r="S6">
        <f>IF(H6="",0,IF(COUNTIF($H$4:H6,H6)=1,1,0))</f>
        <v>0</v>
      </c>
      <c r="T6" t="str">
        <f>IF(S6=1,ROUND(SUMIF($H$4:$H$503,H6,$E$4:$E$503),2),"")</f>
        <v/>
      </c>
      <c r="U6" t="str">
        <f>IF(S6=1,COUNTIFS($S$4:$S$503,1,$T$4:$T$503,"&gt;"&amp;T6)+COUNTIFS($S$4:S6,1,$T$4:T6,T6),"")</f>
        <v/>
      </c>
      <c r="V6">
        <f>IF(D6=1,MIN(INDEX($R$4:$R$503,MATCH(G6,$G$4:$G$503,0)),IF($AL$7&gt;9,9,999)),"")</f>
        <v>1</v>
      </c>
      <c r="W6" s="166">
        <f>IF(OR($I6="",$E6=0),0,IF(OR($J6&lt;W$3,$I6&gt;W$2),0,IF($K6=0,IF(AND($I6&gt;=W$3,$I6&lt;=W$2),$E6,0),$E6*NETWORKDAYS(MAX($I6,W$3),MIN($J6,W$2),Data!$K$4:$K$203)/$K6)))</f>
        <v>0</v>
      </c>
      <c r="X6" s="166">
        <f>IF(OR($I6="",$E6=0),0,IF(OR($J6&lt;X$3,$I6&gt;X$2),0,IF($K6=0,IF(AND($I6&gt;=X$3,$I6&lt;=X$2),$E6,0),$E6*NETWORKDAYS(MAX($I6,X$3),MIN($J6,X$2),Data!$K$4:$K$203)/$K6)))</f>
        <v>0</v>
      </c>
      <c r="Y6" s="166">
        <f>IF(OR($I6="",$E6=0),0,IF(OR($J6&lt;Y$3,$I6&gt;Y$2),0,IF($K6=0,IF(AND($I6&gt;=Y$3,$I6&lt;=Y$2),$E6,0),$E6*NETWORKDAYS(MAX($I6,Y$3),MIN($J6,Y$2),Data!$K$4:$K$203)/$K6)))</f>
        <v>0</v>
      </c>
      <c r="Z6" s="166">
        <f>IF(OR($I6="",$E6=0),0,IF(OR($J6&lt;Z$3,$I6&gt;Z$2),0,IF($K6=0,IF(AND($I6&gt;=Z$3,$I6&lt;=Z$2),$E6,0),$E6*NETWORKDAYS(MAX($I6,Z$3),MIN($J6,Z$2),Data!$K$4:$K$203)/$K6)))</f>
        <v>0</v>
      </c>
      <c r="AA6" s="166">
        <f>IF(OR($I6="",$E6=0),0,IF(OR($J6&lt;AA$3,$I6&gt;AA$2),0,IF($K6=0,IF(AND($I6&gt;=AA$3,$I6&lt;=AA$2),$E6,0),$E6*NETWORKDAYS(MAX($I6,AA$3),MIN($J6,AA$2),Data!$K$4:$K$203)/$K6)))</f>
        <v>39</v>
      </c>
      <c r="AB6" s="166">
        <f>IF(OR($I6="",$E6=0),0,IF(OR($J6&lt;AB$3,$I6&gt;AB$2),0,IF($K6=0,IF(AND($I6&gt;=AB$3,$I6&lt;=AB$2),$E6,0),$E6*NETWORKDAYS(MAX($I6,AB$3),MIN($J6,AB$2),Data!$K$4:$K$203)/$K6)))</f>
        <v>52</v>
      </c>
      <c r="AC6" s="166">
        <f>IF(OR($I6="",$E6=0),0,IF(OR($J6&lt;AC$3,$I6&gt;AC$2),0,IF($K6=0,IF(AND($I6&gt;=AC$3,$I6&lt;=AC$2),$E6,0),$E6*NETWORKDAYS(MAX($I6,AC$3),MIN($J6,AC$2),Data!$K$4:$K$203)/$K6)))</f>
        <v>59.8</v>
      </c>
      <c r="AD6" s="166">
        <f>IF(OR($I6="",$E6=0),0,IF(OR($J6&lt;AD$3,$I6&gt;AD$2),0,IF($K6=0,IF(AND($I6&gt;=AD$3,$I6&lt;=AD$2),$E6,0),$E6*NETWORKDAYS(MAX($I6,AD$3),MIN($J6,AD$2),Data!$K$4:$K$203)/$K6)))</f>
        <v>57.2</v>
      </c>
      <c r="AE6" s="166">
        <f>IF(OR($I6="",$E6=0),0,IF(OR($J6&lt;AE$3,$I6&gt;AE$2),0,IF($K6=0,IF(AND($I6&gt;=AE$3,$I6&lt;=AE$2),$E6,0),$E6*NETWORKDAYS(MAX($I6,AE$3),MIN($J6,AE$2),Data!$K$4:$K$203)/$K6)))</f>
        <v>52</v>
      </c>
      <c r="AF6" s="166">
        <f>IF(OR($I6="",$E6=0),0,IF(OR($J6&lt;AF$3,$I6&gt;AF$2),0,IF($K6=0,IF(AND($I6&gt;=AF$3,$I6&lt;=AF$2),$E6,0),$E6*NETWORKDAYS(MAX($I6,AF$3),MIN($J6,AF$2),Data!$K$4:$K$203)/$K6)))</f>
        <v>0</v>
      </c>
      <c r="AG6" s="166">
        <f>IF(OR($I6="",$E6=0),0,IF(OR($J6&lt;AG$3,$I6&gt;AG$2),0,IF($K6=0,IF(AND($I6&gt;=AG$3,$I6&lt;=AG$2),$E6,0),$E6*NETWORKDAYS(MAX($I6,AG$3),MIN($J6,AG$2),Data!$K$4:$K$203)/$K6)))</f>
        <v>0</v>
      </c>
      <c r="AH6" s="166">
        <f>IF(OR($I6="",$E6=0),0,IF(OR($J6&lt;AH$3,$I6&gt;AH$2),0,IF($K6=0,IF(AND($I6&gt;=AH$3,$I6&lt;=AH$2),$E6,0),$E6*NETWORKDAYS(MAX($I6,AH$3),MIN($J6,AH$2),Data!$K$4:$K$203)/$K6)))</f>
        <v>0</v>
      </c>
      <c r="AI6" s="166">
        <f>SUM(W6:AH6)</f>
        <v>260</v>
      </c>
      <c r="AK6" t="inlineStr">
        <is>
          <t>Nombre de chefs de projet</t>
        </is>
      </c>
      <c r="AL6" s="171">
        <f>SUM(M4:M503)</f>
        <v>5</v>
      </c>
      <c r="AN6" t="n">
        <v>3</v>
      </c>
      <c r="AO6" s="161">
        <f>Y$3</f>
        <v>46327.0</v>
      </c>
      <c r="AP6" s="167">
        <f>SUM(Y4:Y503)</f>
        <v>316.141265597148</v>
      </c>
      <c r="AQ6">
        <f>SUMPRODUCT((Y4:Y503&gt;0)/(COUNTIFS($EN$4:$EN$503,$EN$4:$EN$503,Y4:Y503,"&gt;0")+(Y4:Y503&lt;=0)))</f>
        <v>6</v>
      </c>
      <c r="AS6" t="n">
        <v>3</v>
      </c>
      <c r="AT6" t="str">
        <f>IF(AS6&gt;$AL$7,"",INDEX($G$4:$G$503,MATCH(AS6,$R$4:$R$503,0)))</f>
        <v>DELTA</v>
      </c>
      <c r="AU6">
        <f>SUMIF($V$4:$V$503,AS6,$E$4:$E$503)</f>
        <v>560</v>
      </c>
      <c r="AV6" s="168">
        <f>IF($AL$4=0,0,AU6/$AL$4)</f>
        <v>0.162083936324168</v>
      </c>
      <c r="AW6" s="166">
        <f>SUMIF($V$4:$V$503,$AS6,W$4:W$503)</f>
        <v>0</v>
      </c>
      <c r="AX6" s="166">
        <f>SUMIF($V$4:$V$503,$AS6,X$4:X$503)</f>
        <v>0</v>
      </c>
      <c r="AY6" s="166">
        <f>SUMIF($V$4:$V$503,$AS6,Y$4:Y$503)</f>
        <v>0</v>
      </c>
      <c r="AZ6" s="166">
        <f>SUMIF($V$4:$V$503,$AS6,Z$4:Z$503)</f>
        <v>0</v>
      </c>
      <c r="BA6" s="166">
        <f>SUMIF($V$4:$V$503,$AS6,AA$4:AA$503)</f>
        <v>0</v>
      </c>
      <c r="BB6" s="166">
        <f>SUMIF($V$4:$V$503,$AS6,AB$4:AB$503)</f>
        <v>36.734693877551</v>
      </c>
      <c r="BC6" s="166">
        <f>SUMIF($V$4:$V$503,$AS6,AC$4:AC$503)</f>
        <v>84.4897959183674</v>
      </c>
      <c r="BD6" s="166">
        <f>SUMIF($V$4:$V$503,$AS6,AD$4:AD$503)</f>
        <v>80.8163265306122</v>
      </c>
      <c r="BE6" s="166">
        <f>SUMIF($V$4:$V$503,$AS6,AE$4:AE$503)</f>
        <v>126.55462184874</v>
      </c>
      <c r="BF6" s="166">
        <f>SUMIF($V$4:$V$503,$AS6,AF$4:AF$503)</f>
        <v>132.581032412965</v>
      </c>
      <c r="BG6" s="166">
        <f>SUMIF($V$4:$V$503,$AS6,AG$4:AG$503)</f>
        <v>51.7647058823529</v>
      </c>
      <c r="BH6" s="166">
        <f>SUMIF($V$4:$V$503,$AS6,AH$4:AH$503)</f>
        <v>47.0588235294118</v>
      </c>
      <c r="BK6" t="n">
        <v>3</v>
      </c>
      <c r="BL6" t="str">
        <f>IF(BK6&gt;$AL$6,"",INDEX($F$4:$F$503,MATCH(BK6,$O$4:$O$503,0)))</f>
        <v>Sophie Lefèvre</v>
      </c>
      <c r="BM6">
        <f>IF(BL6="","",INDEX($N$4:$N$503,MATCH(BK6,$O$4:$O$503,0)))</f>
        <v>750</v>
      </c>
      <c r="BO6" t="n">
        <v>3</v>
      </c>
      <c r="BP6" t="str">
        <f>IF(BO6&gt;$AL$7,"",INDEX($G$4:$G$503,MATCH(BO6,$R$4:$R$503,0)))</f>
        <v>DELTA</v>
      </c>
      <c r="BQ6">
        <f>IF(BP6="","",INDEX($Q$4:$Q$503,MATCH(BO6,$R$4:$R$503,0)))</f>
        <v>560</v>
      </c>
      <c r="BS6" t="n">
        <v>3</v>
      </c>
      <c r="BT6" t="str">
        <f>IF(BS6&gt;$AL$8,"",INDEX($H$4:$H$503,MATCH(BS6,$U$4:$U$503,0)))</f>
        <v>Modification</v>
      </c>
      <c r="BU6">
        <f>IF(BT6="","",INDEX($T$4:$T$503,MATCH(BS6,$U$4:$U$503,0)))</f>
        <v>535</v>
      </c>
      <c r="BW6" t="n">
        <v>3</v>
      </c>
      <c r="BX6">
        <f>IFERROR(MATCH(BW6,$EQ$4:$EQ$503,0),"")</f>
        <v>11</v>
      </c>
      <c r="BZ6" t="str">
        <f>IF(D6=1,IF(TRIM(INDEX(Charge!$K:$K,ROW()))&lt;&gt;"",TRIM(INDEX(Charge!$K:$K,ROW())),IF(TRIM(INDEX(Charge!$L:$L,ROW()))&lt;&gt;"",TRIM(INDEX(Charge!$L:$L,ROW())),"(non affecté)")),"")</f>
        <v>Emma Faure</v>
      </c>
      <c r="CA6" t="str">
        <f>IF(AND($CD$4&lt;&gt;"",BZ6=$CD$4),COUNTIFS($BZ$4:$BZ$503,$CD$4,$L$4:$L$503,"&lt;"&amp;L6)+1,"")</f>
        <v/>
      </c>
      <c r="CC6" t="inlineStr">
        <is>
          <t>Capacité mensuelle (h)</t>
        </is>
      </c>
      <c r="CD6" s="167">
        <f>IF(CD4="",0,IF(CD5&gt;0,IF(ISNUMBER(INDEX(Data!$F:$F,CD5+3)),INDEX(Data!$F:$F,CD5+3),p_HeuresETP),IF(CD24&gt;0,IF(ISNUMBER(INDEX(Data!$I:$I,CD24+3)),INDEX(Data!$I:$I,CD24+3),p_HeuresETP),p_HeuresETP)))</f>
        <v>120</v>
      </c>
      <c r="CF6" t="n">
        <v>3</v>
      </c>
      <c r="CG6" s="169">
        <f>Y$3</f>
        <v>46327.0</v>
      </c>
      <c r="CH6" s="166">
        <f>IF($CD$4="",0,$CD$7)</f>
        <v>20</v>
      </c>
      <c r="CI6" s="166">
        <f>IF($CD$4="",0,SUMIF($BZ$4:$BZ$503,$CD$4,Y$4:Y$503))</f>
        <v>101.969696969697</v>
      </c>
      <c r="CJ6" s="166">
        <f>CH6+CI6</f>
        <v>121.969696969697</v>
      </c>
      <c r="CK6" s="166">
        <f>IF($CD$4="",0,$CD$6)</f>
        <v>120</v>
      </c>
      <c r="CL6" s="166">
        <f>IF(CN6&lt;0,MAX(0,MIN(CI6,CK6-CH6)),CI6)</f>
        <v>100</v>
      </c>
      <c r="CM6" s="166">
        <f>CI6-CL6</f>
        <v>1.96969696969697</v>
      </c>
      <c r="CN6" s="166">
        <f>CK6-CP6</f>
        <v>-2</v>
      </c>
      <c r="CO6" s="170">
        <f>IF(CK6&lt;=0,IF(CP6&gt;0,9.99,0),CP6/CK6)</f>
        <v>1.01666666666667</v>
      </c>
      <c r="CP6">
        <f>ROUND(CJ6,0)</f>
        <v>122</v>
      </c>
      <c r="CQ6">
        <f>IF(CN6&lt;0,CF6,"")</f>
        <v>3</v>
      </c>
      <c r="CS6" t="n">
        <v>3</v>
      </c>
      <c r="CT6" t="str">
        <f>IF(OR(FA6="",COUNTIF($FA$4:FA5,FA6)&gt;0),"",FA6)</f>
        <v>Hugo Mercier</v>
      </c>
      <c r="CU6">
        <f>IF(CT6="","",IF(FB6="Interne",IF(ISNUMBER(INDEX(Data!$F:$F,6)),INDEX(Data!$F:$F,6),p_HeuresETP),IF(ISNUMBER(INDEX(Data!$I:$I,6-$CD$23)),INDEX(Data!$I:$I,6-$CD$23),p_HeuresETP)))</f>
        <v>120</v>
      </c>
      <c r="CV6">
        <f>IF(CT6="","",IF(FB6="Interne",IF(ISNUMBER(INDEX(Data!$G:$G,6)),INDEX(Data!$G:$G,6),p_ChargeFixe),IF(ISNUMBER(INDEX(Data!$J:$J,6-$CD$23)),INDEX(Data!$J:$J,6-$CD$23),p_ChargeFixe)))</f>
        <v>20</v>
      </c>
      <c r="CW6" s="166">
        <f>IF($CT6="","",SUMIF($BZ$4:$BZ$503,$CT6,W$4:W$503))</f>
        <v>0</v>
      </c>
      <c r="CX6" s="166">
        <f>IF($CT6="","",SUMIF($BZ$4:$BZ$503,$CT6,X$4:X$503))</f>
        <v>45</v>
      </c>
      <c r="CY6" s="166">
        <f>IF($CT6="","",SUMIF($BZ$4:$BZ$503,$CT6,Y$4:Y$503))</f>
        <v>63</v>
      </c>
      <c r="CZ6" s="166">
        <f>IF($CT6="","",SUMIF($BZ$4:$BZ$503,$CT6,Z$4:Z$503))</f>
        <v>42</v>
      </c>
      <c r="DA6" s="166">
        <f>IF($CT6="","",SUMIF($BZ$4:$BZ$503,$CT6,AA$4:AA$503))</f>
        <v>0</v>
      </c>
      <c r="DB6" s="166">
        <f>IF($CT6="","",SUMIF($BZ$4:$BZ$503,$CT6,AB$4:AB$503))</f>
        <v>12.2448979591837</v>
      </c>
      <c r="DC6" s="166">
        <f>IF($CT6="","",SUMIF($BZ$4:$BZ$503,$CT6,AC$4:AC$503))</f>
        <v>55.2465986394558</v>
      </c>
      <c r="DD6" s="166">
        <f>IF($CT6="","",SUMIF($BZ$4:$BZ$503,$CT6,AD$4:AD$503))</f>
        <v>72.7721088435374</v>
      </c>
      <c r="DE6" s="166">
        <f>IF($CT6="","",SUMIF($BZ$4:$BZ$503,$CT6,AE$4:AE$503))</f>
        <v>69.4642857142857</v>
      </c>
      <c r="DF6" s="166">
        <f>IF($CT6="","",SUMIF($BZ$4:$BZ$503,$CT6,AF$4:AF$503))</f>
        <v>72.7721088435374</v>
      </c>
      <c r="DG6" s="166">
        <f>IF($CT6="","",SUMIF($BZ$4:$BZ$503,$CT6,AG$4:AG$503))</f>
        <v>45.8333333333333</v>
      </c>
      <c r="DH6" s="166">
        <f>IF($CT6="","",SUMIF($BZ$4:$BZ$503,$CT6,AH$4:AH$503))</f>
        <v>45.8333333333333</v>
      </c>
      <c r="DI6" s="170">
        <f>IF($CT6="","",IF($CU6&lt;=0,IF(ROUND($CV6+CW6,0)&gt;0,9.99,0),ROUND($CV6+CW6,0)/$CU6))</f>
        <v>0.166666666666667</v>
      </c>
      <c r="DJ6" s="170">
        <f>IF($CT6="","",IF($CU6&lt;=0,IF(ROUND($CV6+CX6,0)&gt;0,9.99,0),ROUND($CV6+CX6,0)/$CU6))</f>
        <v>0.541666666666667</v>
      </c>
      <c r="DK6" s="170">
        <f>IF($CT6="","",IF($CU6&lt;=0,IF(ROUND($CV6+CY6,0)&gt;0,9.99,0),ROUND($CV6+CY6,0)/$CU6))</f>
        <v>0.691666666666667</v>
      </c>
      <c r="DL6" s="170">
        <f>IF($CT6="","",IF($CU6&lt;=0,IF(ROUND($CV6+CZ6,0)&gt;0,9.99,0),ROUND($CV6+CZ6,0)/$CU6))</f>
        <v>0.516666666666667</v>
      </c>
      <c r="DM6" s="170">
        <f>IF($CT6="","",IF($CU6&lt;=0,IF(ROUND($CV6+DA6,0)&gt;0,9.99,0),ROUND($CV6+DA6,0)/$CU6))</f>
        <v>0.166666666666667</v>
      </c>
      <c r="DN6" s="170">
        <f>IF($CT6="","",IF($CU6&lt;=0,IF(ROUND($CV6+DB6,0)&gt;0,9.99,0),ROUND($CV6+DB6,0)/$CU6))</f>
        <v>0.266666666666667</v>
      </c>
      <c r="DO6" s="170">
        <f>IF($CT6="","",IF($CU6&lt;=0,IF(ROUND($CV6+DC6,0)&gt;0,9.99,0),ROUND($CV6+DC6,0)/$CU6))</f>
        <v>0.625</v>
      </c>
      <c r="DP6" s="170">
        <f>IF($CT6="","",IF($CU6&lt;=0,IF(ROUND($CV6+DD6,0)&gt;0,9.99,0),ROUND($CV6+DD6,0)/$CU6))</f>
        <v>0.775</v>
      </c>
      <c r="DQ6" s="170">
        <f>IF($CT6="","",IF($CU6&lt;=0,IF(ROUND($CV6+DE6,0)&gt;0,9.99,0),ROUND($CV6+DE6,0)/$CU6))</f>
        <v>0.741666666666667</v>
      </c>
      <c r="DR6" s="170">
        <f>IF($CT6="","",IF($CU6&lt;=0,IF(ROUND($CV6+DF6,0)&gt;0,9.99,0),ROUND($CV6+DF6,0)/$CU6))</f>
        <v>0.775</v>
      </c>
      <c r="DS6" s="170">
        <f>IF($CT6="","",IF($CU6&lt;=0,IF(ROUND($CV6+DG6,0)&gt;0,9.99,0),ROUND($CV6+DG6,0)/$CU6))</f>
        <v>0.55</v>
      </c>
      <c r="DT6" s="170">
        <f>IF($CT6="","",IF($CU6&lt;=0,IF(ROUND($CV6+DH6,0)&gt;0,9.99,0),ROUND($CV6+DH6,0)/$CU6))</f>
        <v>0.55</v>
      </c>
      <c r="DU6" s="170">
        <f>IF(CT6="","",MAX(DI6:DT6))</f>
        <v>0.775</v>
      </c>
      <c r="DV6" s="167">
        <f>IF(CT6="","",SUM(CW6:DH6))</f>
        <v>524.166666666667</v>
      </c>
      <c r="DX6" t="n">
        <v>3</v>
      </c>
      <c r="DY6" t="str">
        <f>IFERROR(MATCH(DX6,$CA$4:$CA$503,0),"")</f>
        <v/>
      </c>
      <c r="DZ6" t="str">
        <f>IF(DY6="","",INDEX(Charge!$B:$B,DY6+3)&amp;"")</f>
        <v/>
      </c>
      <c r="EA6" t="str">
        <f>IF(DY6="","",INDEX(Charge!$C:$C,DY6+3)&amp;"")</f>
        <v/>
      </c>
      <c r="EB6" t="str">
        <f>IF(DY6="","",INDEX(Charge!$D:$D,DY6+3)&amp;"")</f>
        <v/>
      </c>
      <c r="EC6" t="str">
        <f>IF(DY6="","",INDEX(Charge!$A:$A,DY6+3)&amp;"")</f>
        <v/>
      </c>
      <c r="ED6" t="str">
        <f>IF(DY6="","",INDEX($E$4:$E$503,DY6))</f>
        <v/>
      </c>
      <c r="EE6" t="str">
        <f>IF(DY6="","",INDEX($AI$4:$AI$503,DY6))</f>
        <v/>
      </c>
      <c r="EF6" s="165" t="str">
        <f>IF(DY6="","",IF(ISNUMBER(INDEX(Charge!$N:$N,DY6+3)),INDEX(Charge!$N:$N,DY6+3),"—"))</f>
        <v/>
      </c>
      <c r="EG6" s="165" t="str">
        <f>IF(DY6="","",IF(ISNUMBER(INDEX(Charge!$F:$F,DY6+3)),INDEX(Charge!$F:$F,DY6+3),"—"))</f>
        <v/>
      </c>
      <c r="EH6" s="170" t="str">
        <f>IF(DY6="","",INDEX($C$4:$C$503,DY6))</f>
        <v/>
      </c>
      <c r="EJ6" t="str">
        <f>TRIM(INDEX(Data!$E:$E,ROW()))</f>
        <v>Hugo Mercier</v>
      </c>
      <c r="EK6" t="str">
        <f>TRIM(INDEX(Data!$H:$H,ROW()))</f>
        <v>Karim Haddad</v>
      </c>
      <c r="EM6" t="str">
        <f>IF(D6=1,IF(TRIM(INDEX(Charge!$K:$K,ROW()))&lt;&gt;"","Interne",IF(TRIM(INDEX(Charge!$L:$L,ROW()))&lt;&gt;"","Externe","Non affecté")),"")</f>
        <v>Interne</v>
      </c>
      <c r="EN6" t="str">
        <f>IF(D6=1,LEFT(SUBSTITUTE(SUBSTITUTE(SUBSTITUTE(TRIM(SUBSTITUTE(INDEX(Charge!$B:$B,ROW()),CHAR(160)," "))&amp;" | "&amp;TRIM(SUBSTITUTE(INDEX(Charge!$C:$C,ROW()),CHAR(160)," "))&amp;" | "&amp;TRIM(SUBSTITUTE(INDEX(Charge!$D:$D,ROW()),CHAR(160)," ")),"~","-"),"*","+"),"?","!"),240),"")</f>
        <v>ATLAS | Lot 2 – Carénage | Capots latéraux</v>
      </c>
      <c r="EO6">
        <f>IF(EN6="",0,IF(COUNTIF($EN$4:EN6,EN6)=1,1,0))</f>
        <v>1</v>
      </c>
      <c r="EP6" s="166">
        <f>IF(EO6=1,ROUND(SUMIF($EN$4:$EN$503,EN6,$E$4:$E$503),2),"")</f>
        <v>260</v>
      </c>
      <c r="EQ6">
        <f>IF(EO6=1,COUNTIFS($EO$4:$EO$503,1,$EP$4:$EP$503,"&gt;"&amp;EP6)+COUNTIFS($EO$4:EO6,1,$EP$4:EP6,EP6),"")</f>
        <v>5</v>
      </c>
      <c r="ER6">
        <f>IF(EO6=1,COUNTIFS($EN$4:$EN$503,EN6,$EM$4:$EM$503,"Interne",$FE$4:$FE$503,1),"")</f>
        <v>1</v>
      </c>
      <c r="ES6">
        <f>IF(EO6=1,COUNTIFS($EN$4:$EN$503,EN6,$EM$4:$EM$503,"Externe",$FE$4:$FE$503,1),"")</f>
        <v>0</v>
      </c>
      <c r="ET6" t="str">
        <f>IF(EO6=1,IF(ER6+ES6=0,"à affecter",IF(ER6=0,ES6&amp;" ext.",(ER6+ES6)&amp;IF(ES6&gt;0," dont "&amp;ES6&amp;" ext.",""))&amp;IF(COUNTIFS($EN$4:$EN$503,EN6,$EM$4:$EM$503,"Non affecté")&gt;0," + à affecter","")),"")</f>
        <v>1</v>
      </c>
      <c r="EU6" s="170">
        <f>IF(EO6=1,IF(EP6&gt;0,SUMPRODUCT(($EN$4:$EN$503=EN6)*$E$4:$E$503*$C$4:$C$503)/EP6,AVERAGEIF($EN$4:$EN$503,EN6,$C$4:$C$503)),"")</f>
        <v>0</v>
      </c>
      <c r="EV6" s="165">
        <f>IF(ISNUMBER(I6),I6,2958465)</f>
        <v>46398.0</v>
      </c>
      <c r="EW6" s="165">
        <f>IF(EO6=1,SUMPRODUCT(MIN(($EN$4:$EN$503=EN6)*$EV$4:$EV$503+($EN$4:$EN$503&lt;&gt;EN6)*2958465)),"")</f>
        <v>46398.0</v>
      </c>
      <c r="EX6" s="165">
        <f>IF(AND(D6=1,ISNUMBER(INDEX(Charge!$F:$F,ROW()))),INDEX(Charge!$F:$F,ROW()),0)</f>
        <v>46535.0</v>
      </c>
      <c r="EY6" s="165">
        <f>IF(EO6=1,SUMPRODUCT(MAX(($EN$4:$EN$503=EN6)*$EX$4:$EX$503)),"")</f>
        <v>46535.0</v>
      </c>
      <c r="FA6" t="str">
        <f>IF(3&lt;=$CD$23,INDEX($EJ$4:$EJ$203,3),IF(3-$CD$23&lt;=$CD$26,INDEX($EK$4:$EK$203,3-$CD$23),""))</f>
        <v>Hugo Mercier</v>
      </c>
      <c r="FB6" t="str">
        <f>IF(FA6="","",IF(3&lt;=$CD$23,"Interne","Externe"))</f>
        <v>Interne</v>
      </c>
      <c r="FD6">
        <f>IF(AND(B6=1,TRIM(INDEX(Charge!$K:$K,ROW()))&lt;&gt;"",TRIM(INDEX(Charge!$L:$L,ROW()))&lt;&gt;""),1,0)</f>
        <v>0</v>
      </c>
      <c r="FE6">
        <f>IF(OR(EN6="",BZ6="(non affecté)"),0,IF(COUNTIFS($EN$4:EN6,EN6,$BZ$4:BZ6,BZ6)=1,1,0))</f>
        <v>1</v>
      </c>
    </row>
    <row r="7">
      <c r="A7">
        <f>ROW()</f>
        <v>7</v>
      </c>
      <c r="B7">
        <f>IF(TRIM(INDEX(Charge!$B:$B,ROW()))&lt;&gt;"",1,0)</f>
        <v>1</v>
      </c>
      <c r="C7">
        <f>IF(B7=1,MIN(1,MAX(0,N(INDEX(Charge!$O:$O,ROW())))),0)</f>
        <v>0</v>
      </c>
      <c r="D7">
        <f>IF(B7=1,IF(OR(p_Perimetre="Tous les projets",C7&lt;1),1,0),0)</f>
        <v>1</v>
      </c>
      <c r="E7">
        <f>IF(D7=1,MAX(0,N(INDEX(Charge!$M:$M,ROW()))),0)</f>
        <v>180</v>
      </c>
      <c r="F7" t="str">
        <f>IF(D7=1,IF(TRIM(INDEX(Charge!$A:$A,ROW()))="","(non renseigné)",TRIM(INDEX(Charge!$A:$A,ROW()))),"")</f>
        <v>Julie Martin</v>
      </c>
      <c r="G7" t="str">
        <f>IF(D7=1,TRIM(INDEX(Charge!$B:$B,ROW())),"")</f>
        <v>ATLAS</v>
      </c>
      <c r="H7" t="str">
        <f>IF(D7=1,IF(TRIM(INDEX(Charge!$E:$E,ROW()))="","(non renseigné)",TRIM(INDEX(Charge!$E:$E,ROW()))),"")</f>
        <v>Industrialisation</v>
      </c>
      <c r="I7" s="165">
        <f>IF(AND(D7=1,ISNUMBER(INDEX(Charge!$N:$N,ROW()))),INDEX(Charge!$N:$N,ROW()),"")</f>
        <v>46482.0</v>
      </c>
      <c r="J7" s="165">
        <f>IF(I7="","",IF(AND(p_Repartition="Lissée jusqu'à la date de besoin",ISNUMBER(INDEX(Charge!$F:$F,ROW()))),IF(INDEX(Charge!$F:$F,ROW())&gt;=I7,INDEX(Charge!$F:$F,ROW()),I7),I7))</f>
        <v>46598.0</v>
      </c>
      <c r="K7">
        <f>IF(I7="","",NETWORKDAYS(I7,J7,Data!$K$4:$K$203))</f>
        <v>85</v>
      </c>
      <c r="L7">
        <f>IF(D7=1,COUNTIFS($D$4:$D$503,1,$E$4:$E$503,"&gt;"&amp;E7)+COUNTIFS($D$4:$D7,1,$E$4:$E7,E7),"")</f>
        <v>7</v>
      </c>
      <c r="M7">
        <f>IF(F7="",0,IF(COUNTIF($F$4:F7,F7)=1,1,0))</f>
        <v>0</v>
      </c>
      <c r="N7" t="str">
        <f>IF(M7=1,ROUND(SUMIF($F$4:$F$503,F7,$E$4:$E$503),2),"")</f>
        <v/>
      </c>
      <c r="O7" t="str">
        <f>IF(M7=1,COUNTIFS($M$4:$M$503,1,$N$4:$N$503,"&gt;"&amp;N7)+COUNTIFS($M$4:M7,1,$N$4:N7,N7),"")</f>
        <v/>
      </c>
      <c r="P7">
        <f>IF(G7="",0,IF(COUNTIF($G$4:G7,G7)=1,1,0))</f>
        <v>0</v>
      </c>
      <c r="Q7" t="str">
        <f>IF(P7=1,ROUND(SUMIF($G$4:$G$503,G7,$E$4:$E$503),2),"")</f>
        <v/>
      </c>
      <c r="R7" t="str">
        <f>IF(P7=1,COUNTIFS($P$4:$P$503,1,$Q$4:$Q$503,"&gt;"&amp;Q7)+COUNTIFS($P$4:P7,1,$Q$4:Q7,Q7),"")</f>
        <v/>
      </c>
      <c r="S7">
        <f>IF(H7="",0,IF(COUNTIF($H$4:H7,H7)=1,1,0))</f>
        <v>1</v>
      </c>
      <c r="T7">
        <f>IF(S7=1,ROUND(SUMIF($H$4:$H$503,H7,$E$4:$E$503),2),"")</f>
        <v>540</v>
      </c>
      <c r="U7">
        <f>IF(S7=1,COUNTIFS($S$4:$S$503,1,$T$4:$T$503,"&gt;"&amp;T7)+COUNTIFS($S$4:S7,1,$T$4:T7,T7),"")</f>
        <v>2</v>
      </c>
      <c r="V7">
        <f>IF(D7=1,MIN(INDEX($R$4:$R$503,MATCH(G7,$G$4:$G$503,0)),IF($AL$7&gt;9,9,999)),"")</f>
        <v>1</v>
      </c>
      <c r="W7" s="166">
        <f>IF(OR($I7="",$E7=0),0,IF(OR($J7&lt;W$3,$I7&gt;W$2),0,IF($K7=0,IF(AND($I7&gt;=W$3,$I7&lt;=W$2),$E7,0),$E7*NETWORKDAYS(MAX($I7,W$3),MIN($J7,W$2),Data!$K$4:$K$203)/$K7)))</f>
        <v>0</v>
      </c>
      <c r="X7" s="166">
        <f>IF(OR($I7="",$E7=0),0,IF(OR($J7&lt;X$3,$I7&gt;X$2),0,IF($K7=0,IF(AND($I7&gt;=X$3,$I7&lt;=X$2),$E7,0),$E7*NETWORKDAYS(MAX($I7,X$3),MIN($J7,X$2),Data!$K$4:$K$203)/$K7)))</f>
        <v>0</v>
      </c>
      <c r="Y7" s="166">
        <f>IF(OR($I7="",$E7=0),0,IF(OR($J7&lt;Y$3,$I7&gt;Y$2),0,IF($K7=0,IF(AND($I7&gt;=Y$3,$I7&lt;=Y$2),$E7,0),$E7*NETWORKDAYS(MAX($I7,Y$3),MIN($J7,Y$2),Data!$K$4:$K$203)/$K7)))</f>
        <v>0</v>
      </c>
      <c r="Z7" s="166">
        <f>IF(OR($I7="",$E7=0),0,IF(OR($J7&lt;Z$3,$I7&gt;Z$2),0,IF($K7=0,IF(AND($I7&gt;=Z$3,$I7&lt;=Z$2),$E7,0),$E7*NETWORKDAYS(MAX($I7,Z$3),MIN($J7,Z$2),Data!$K$4:$K$203)/$K7)))</f>
        <v>0</v>
      </c>
      <c r="AA7" s="166">
        <f>IF(OR($I7="",$E7=0),0,IF(OR($J7&lt;AA$3,$I7&gt;AA$2),0,IF($K7=0,IF(AND($I7&gt;=AA$3,$I7&lt;=AA$2),$E7,0),$E7*NETWORKDAYS(MAX($I7,AA$3),MIN($J7,AA$2),Data!$K$4:$K$203)/$K7)))</f>
        <v>0</v>
      </c>
      <c r="AB7" s="166">
        <f>IF(OR($I7="",$E7=0),0,IF(OR($J7&lt;AB$3,$I7&gt;AB$2),0,IF($K7=0,IF(AND($I7&gt;=AB$3,$I7&lt;=AB$2),$E7,0),$E7*NETWORKDAYS(MAX($I7,AB$3),MIN($J7,AB$2),Data!$K$4:$K$203)/$K7)))</f>
        <v>0</v>
      </c>
      <c r="AC7" s="166">
        <f>IF(OR($I7="",$E7=0),0,IF(OR($J7&lt;AC$3,$I7&gt;AC$2),0,IF($K7=0,IF(AND($I7&gt;=AC$3,$I7&lt;=AC$2),$E7,0),$E7*NETWORKDAYS(MAX($I7,AC$3),MIN($J7,AC$2),Data!$K$4:$K$203)/$K7)))</f>
        <v>0</v>
      </c>
      <c r="AD7" s="166">
        <f>IF(OR($I7="",$E7=0),0,IF(OR($J7&lt;AD$3,$I7&gt;AD$2),0,IF($K7=0,IF(AND($I7&gt;=AD$3,$I7&lt;=AD$2),$E7,0),$E7*NETWORKDAYS(MAX($I7,AD$3),MIN($J7,AD$2),Data!$K$4:$K$203)/$K7)))</f>
        <v>42.3529411764706</v>
      </c>
      <c r="AE7" s="166">
        <f>IF(OR($I7="",$E7=0),0,IF(OR($J7&lt;AE$3,$I7&gt;AE$2),0,IF($K7=0,IF(AND($I7&gt;=AE$3,$I7&lt;=AE$2),$E7,0),$E7*NETWORKDAYS(MAX($I7,AE$3),MIN($J7,AE$2),Data!$K$4:$K$203)/$K7)))</f>
        <v>44.4705882352941</v>
      </c>
      <c r="AF7" s="166">
        <f>IF(OR($I7="",$E7=0),0,IF(OR($J7&lt;AF$3,$I7&gt;AF$2),0,IF($K7=0,IF(AND($I7&gt;=AF$3,$I7&lt;=AF$2),$E7,0),$E7*NETWORKDAYS(MAX($I7,AF$3),MIN($J7,AF$2),Data!$K$4:$K$203)/$K7)))</f>
        <v>46.5882352941176</v>
      </c>
      <c r="AG7" s="166">
        <f>IF(OR($I7="",$E7=0),0,IF(OR($J7&lt;AG$3,$I7&gt;AG$2),0,IF($K7=0,IF(AND($I7&gt;=AG$3,$I7&lt;=AG$2),$E7,0),$E7*NETWORKDAYS(MAX($I7,AG$3),MIN($J7,AG$2),Data!$K$4:$K$203)/$K7)))</f>
        <v>46.5882352941176</v>
      </c>
      <c r="AH7" s="166">
        <f>IF(OR($I7="",$E7=0),0,IF(OR($J7&lt;AH$3,$I7&gt;AH$2),0,IF($K7=0,IF(AND($I7&gt;=AH$3,$I7&lt;=AH$2),$E7,0),$E7*NETWORKDAYS(MAX($I7,AH$3),MIN($J7,AH$2),Data!$K$4:$K$203)/$K7)))</f>
        <v>0</v>
      </c>
      <c r="AI7" s="166">
        <f>SUM(W7:AH7)</f>
        <v>180</v>
      </c>
      <c r="AK7" t="inlineStr">
        <is>
          <t>Nombre de projets</t>
        </is>
      </c>
      <c r="AL7" s="171">
        <f>SUM(P4:P503)</f>
        <v>7</v>
      </c>
      <c r="AN7" t="n">
        <v>4</v>
      </c>
      <c r="AO7" s="161">
        <f>Z$3</f>
        <v>46357.0</v>
      </c>
      <c r="AP7" s="167">
        <f>SUM(Z4:Z503)</f>
        <v>381.951797385621</v>
      </c>
      <c r="AQ7">
        <f>SUMPRODUCT((Z4:Z503&gt;0)/(COUNTIFS($EN$4:$EN$503,$EN$4:$EN$503,Z4:Z503,"&gt;0")+(Z4:Z503&lt;=0)))</f>
        <v>6</v>
      </c>
      <c r="AS7" t="n">
        <v>4</v>
      </c>
      <c r="AT7" t="str">
        <f>IF(AS7&gt;$AL$7,"",INDEX($G$4:$G$503,MATCH(AS7,$R$4:$R$503,0)))</f>
        <v>PÉGASE</v>
      </c>
      <c r="AU7">
        <f>SUMIF($V$4:$V$503,AS7,$E$4:$E$503)</f>
        <v>550</v>
      </c>
      <c r="AV7" s="168">
        <f>IF($AL$4=0,0,AU7/$AL$4)</f>
        <v>0.159189580318379</v>
      </c>
      <c r="AW7" s="166">
        <f>SUMIF($V$4:$V$503,$AS7,W$4:W$503)</f>
        <v>0</v>
      </c>
      <c r="AX7" s="166">
        <f>SUMIF($V$4:$V$503,$AS7,X$4:X$503)</f>
        <v>0</v>
      </c>
      <c r="AY7" s="166">
        <f>SUMIF($V$4:$V$503,$AS7,Y$4:Y$503)</f>
        <v>38.5</v>
      </c>
      <c r="AZ7" s="166">
        <f>SUMIF($V$4:$V$503,$AS7,Z$4:Z$503)</f>
        <v>31.5</v>
      </c>
      <c r="BA7" s="166">
        <f>SUMIF($V$4:$V$503,$AS7,AA$4:AA$503)</f>
        <v>0</v>
      </c>
      <c r="BB7" s="166">
        <f>SUMIF($V$4:$V$503,$AS7,AB$4:AB$503)</f>
        <v>0</v>
      </c>
      <c r="BC7" s="166">
        <f>SUMIF($V$4:$V$503,$AS7,AC$4:AC$503)</f>
        <v>43.3333333333333</v>
      </c>
      <c r="BD7" s="166">
        <f>SUMIF($V$4:$V$503,$AS7,AD$4:AD$503)</f>
        <v>73.3333333333333</v>
      </c>
      <c r="BE7" s="166">
        <f>SUMIF($V$4:$V$503,$AS7,AE$4:AE$503)</f>
        <v>70</v>
      </c>
      <c r="BF7" s="166">
        <f>SUMIF($V$4:$V$503,$AS7,AF$4:AF$503)</f>
        <v>73.3333333333333</v>
      </c>
      <c r="BG7" s="166">
        <f>SUMIF($V$4:$V$503,$AS7,AG$4:AG$503)</f>
        <v>73.3333333333333</v>
      </c>
      <c r="BH7" s="166">
        <f>SUMIF($V$4:$V$503,$AS7,AH$4:AH$503)</f>
        <v>73.3333333333333</v>
      </c>
      <c r="BK7" t="n">
        <v>4</v>
      </c>
      <c r="BL7" t="str">
        <f>IF(BK7&gt;$AL$6,"",INDEX($F$4:$F$503,MATCH(BK7,$O$4:$O$503,0)))</f>
        <v>Camille Laurent</v>
      </c>
      <c r="BM7">
        <f>IF(BL7="","",INDEX($N$4:$N$503,MATCH(BK7,$O$4:$O$503,0)))</f>
        <v>675</v>
      </c>
      <c r="BO7" t="n">
        <v>4</v>
      </c>
      <c r="BP7" t="str">
        <f>IF(BO7&gt;$AL$7,"",INDEX($G$4:$G$503,MATCH(BO7,$R$4:$R$503,0)))</f>
        <v>PÉGASE</v>
      </c>
      <c r="BQ7">
        <f>IF(BP7="","",INDEX($Q$4:$Q$503,MATCH(BO7,$R$4:$R$503,0)))</f>
        <v>550</v>
      </c>
      <c r="BS7" t="n">
        <v>4</v>
      </c>
      <c r="BT7" t="str">
        <f>IF(BS7&gt;$AL$8,"",IF($AL$8&gt;4,"+ "&amp;($AL$8-3)&amp;" autres types",INDEX($H$4:$H$503,MATCH(BS7,$U$4:$U$503,0))))</f>
        <v>+ 2 autres types</v>
      </c>
      <c r="BU7">
        <f>IF(BT7="","",IF($AL$8&gt;4,$AL$4-SUM(BU4:BU6),INDEX($T$4:$T$503,MATCH(BS7,$U$4:$U$503,0))))</f>
        <v>350</v>
      </c>
      <c r="BW7" t="n">
        <v>4</v>
      </c>
      <c r="BX7">
        <f>IFERROR(MATCH(BW7,$EQ$4:$EQ$503,0),"")</f>
        <v>5</v>
      </c>
      <c r="BZ7" t="str">
        <f>IF(D7=1,IF(TRIM(INDEX(Charge!$K:$K,ROW()))&lt;&gt;"",TRIM(INDEX(Charge!$K:$K,ROW())),IF(TRIM(INDEX(Charge!$L:$L,ROW()))&lt;&gt;"",TRIM(INDEX(Charge!$L:$L,ROW())),"(non affecté)")),"")</f>
        <v>Inès Morel</v>
      </c>
      <c r="CA7" t="str">
        <f>IF(AND($CD$4&lt;&gt;"",BZ7=$CD$4),COUNTIFS($BZ$4:$BZ$503,$CD$4,$L$4:$L$503,"&lt;"&amp;L7)+1,"")</f>
        <v/>
      </c>
      <c r="CC7" t="inlineStr">
        <is>
          <t>Charge fixe hors projet (h/mois)</t>
        </is>
      </c>
      <c r="CD7" s="167">
        <f>IF(CD4="",0,IF(CD5&gt;0,IF(ISNUMBER(INDEX(Data!$G:$G,CD5+3)),INDEX(Data!$G:$G,CD5+3),p_ChargeFixe),IF(CD24&gt;0,IF(ISNUMBER(INDEX(Data!$J:$J,CD24+3)),INDEX(Data!$J:$J,CD24+3),p_ChargeFixe),p_ChargeFixe)))</f>
        <v>20</v>
      </c>
      <c r="CF7" t="n">
        <v>4</v>
      </c>
      <c r="CG7" s="169">
        <f>Z$3</f>
        <v>46357.0</v>
      </c>
      <c r="CH7" s="166">
        <f>IF($CD$4="",0,$CD$7)</f>
        <v>20</v>
      </c>
      <c r="CI7" s="166">
        <f>IF($CD$4="",0,SUMIF($BZ$4:$BZ$503,$CD$4,Z$4:Z$503))</f>
        <v>63.8888888888889</v>
      </c>
      <c r="CJ7" s="166">
        <f>CH7+CI7</f>
        <v>83.8888888888889</v>
      </c>
      <c r="CK7" s="166">
        <f>IF($CD$4="",0,$CD$6)</f>
        <v>120</v>
      </c>
      <c r="CL7" s="166">
        <f>IF(CN7&lt;0,MAX(0,MIN(CI7,CK7-CH7)),CI7)</f>
        <v>63.8888888888889</v>
      </c>
      <c r="CM7" s="166">
        <f>CI7-CL7</f>
        <v>0</v>
      </c>
      <c r="CN7" s="166">
        <f>CK7-CP7</f>
        <v>36</v>
      </c>
      <c r="CO7" s="170">
        <f>IF(CK7&lt;=0,IF(CP7&gt;0,9.99,0),CP7/CK7)</f>
        <v>0.7</v>
      </c>
      <c r="CP7">
        <f>ROUND(CJ7,0)</f>
        <v>84</v>
      </c>
      <c r="CQ7" t="str">
        <f>IF(CN7&lt;0,CF7,"")</f>
        <v/>
      </c>
      <c r="CS7" t="n">
        <v>4</v>
      </c>
      <c r="CT7" t="str">
        <f>IF(OR(FA7="",COUNTIF($FA$4:FA6,FA7)&gt;0),"",FA7)</f>
        <v>Léa Chevalier</v>
      </c>
      <c r="CU7">
        <f>IF(CT7="","",IF(FB7="Interne",IF(ISNUMBER(INDEX(Data!$F:$F,7)),INDEX(Data!$F:$F,7),p_HeuresETP),IF(ISNUMBER(INDEX(Data!$I:$I,7-$CD$23)),INDEX(Data!$I:$I,7-$CD$23),p_HeuresETP)))</f>
        <v>96</v>
      </c>
      <c r="CV7">
        <f>IF(CT7="","",IF(FB7="Interne",IF(ISNUMBER(INDEX(Data!$G:$G,7)),INDEX(Data!$G:$G,7),p_ChargeFixe),IF(ISNUMBER(INDEX(Data!$J:$J,7-$CD$23)),INDEX(Data!$J:$J,7-$CD$23),p_ChargeFixe)))</f>
        <v>20</v>
      </c>
      <c r="CW7" s="166">
        <f>IF($CT7="","",SUMIF($BZ$4:$BZ$503,$CT7,W$4:W$503))</f>
        <v>0</v>
      </c>
      <c r="CX7" s="166">
        <f>IF($CT7="","",SUMIF($BZ$4:$BZ$503,$CT7,X$4:X$503))</f>
        <v>72.9411764705882</v>
      </c>
      <c r="CY7" s="166">
        <f>IF($CT7="","",SUMIF($BZ$4:$BZ$503,$CT7,Y$4:Y$503))</f>
        <v>115.088235294118</v>
      </c>
      <c r="CZ7" s="166">
        <f>IF($CT7="","",SUMIF($BZ$4:$BZ$503,$CT7,Z$4:Z$503))</f>
        <v>115.382352941176</v>
      </c>
      <c r="DA7" s="166">
        <f>IF($CT7="","",SUMIF($BZ$4:$BZ$503,$CT7,AA$4:AA$503))</f>
        <v>76.5882352941177</v>
      </c>
      <c r="DB7" s="166">
        <f>IF($CT7="","",SUMIF($BZ$4:$BZ$503,$CT7,AB$4:AB$503))</f>
        <v>67.6923076923077</v>
      </c>
      <c r="DC7" s="166">
        <f>IF($CT7="","",SUMIF($BZ$4:$BZ$503,$CT7,AC$4:AC$503))</f>
        <v>77.8461538461538</v>
      </c>
      <c r="DD7" s="166">
        <f>IF($CT7="","",SUMIF($BZ$4:$BZ$503,$CT7,AD$4:AD$503))</f>
        <v>74.4615384615385</v>
      </c>
      <c r="DE7" s="166">
        <f>IF($CT7="","",SUMIF($BZ$4:$BZ$503,$CT7,AE$4:AE$503))</f>
        <v>0</v>
      </c>
      <c r="DF7" s="166">
        <f>IF($CT7="","",SUMIF($BZ$4:$BZ$503,$CT7,AF$4:AF$503))</f>
        <v>0</v>
      </c>
      <c r="DG7" s="166">
        <f>IF($CT7="","",SUMIF($BZ$4:$BZ$503,$CT7,AG$4:AG$503))</f>
        <v>0</v>
      </c>
      <c r="DH7" s="166">
        <f>IF($CT7="","",SUMIF($BZ$4:$BZ$503,$CT7,AH$4:AH$503))</f>
        <v>0</v>
      </c>
      <c r="DI7" s="170">
        <f>IF($CT7="","",IF($CU7&lt;=0,IF(ROUND($CV7+CW7,0)&gt;0,9.99,0),ROUND($CV7+CW7,0)/$CU7))</f>
        <v>0.208333333333333</v>
      </c>
      <c r="DJ7" s="170">
        <f>IF($CT7="","",IF($CU7&lt;=0,IF(ROUND($CV7+CX7,0)&gt;0,9.99,0),ROUND($CV7+CX7,0)/$CU7))</f>
        <v>0.96875</v>
      </c>
      <c r="DK7" s="170">
        <f>IF($CT7="","",IF($CU7&lt;=0,IF(ROUND($CV7+CY7,0)&gt;0,9.99,0),ROUND($CV7+CY7,0)/$CU7))</f>
        <v>1.40625</v>
      </c>
      <c r="DL7" s="170">
        <f>IF($CT7="","",IF($CU7&lt;=0,IF(ROUND($CV7+CZ7,0)&gt;0,9.99,0),ROUND($CV7+CZ7,0)/$CU7))</f>
        <v>1.40625</v>
      </c>
      <c r="DM7" s="170">
        <f>IF($CT7="","",IF($CU7&lt;=0,IF(ROUND($CV7+DA7,0)&gt;0,9.99,0),ROUND($CV7+DA7,0)/$CU7))</f>
        <v>1.01041666666667</v>
      </c>
      <c r="DN7" s="170">
        <f>IF($CT7="","",IF($CU7&lt;=0,IF(ROUND($CV7+DB7,0)&gt;0,9.99,0),ROUND($CV7+DB7,0)/$CU7))</f>
        <v>0.916666666666667</v>
      </c>
      <c r="DO7" s="170">
        <f>IF($CT7="","",IF($CU7&lt;=0,IF(ROUND($CV7+DC7,0)&gt;0,9.99,0),ROUND($CV7+DC7,0)/$CU7))</f>
        <v>1.02083333333333</v>
      </c>
      <c r="DP7" s="170">
        <f>IF($CT7="","",IF($CU7&lt;=0,IF(ROUND($CV7+DD7,0)&gt;0,9.99,0),ROUND($CV7+DD7,0)/$CU7))</f>
        <v>0.979166666666667</v>
      </c>
      <c r="DQ7" s="170">
        <f>IF($CT7="","",IF($CU7&lt;=0,IF(ROUND($CV7+DE7,0)&gt;0,9.99,0),ROUND($CV7+DE7,0)/$CU7))</f>
        <v>0.208333333333333</v>
      </c>
      <c r="DR7" s="170">
        <f>IF($CT7="","",IF($CU7&lt;=0,IF(ROUND($CV7+DF7,0)&gt;0,9.99,0),ROUND($CV7+DF7,0)/$CU7))</f>
        <v>0.208333333333333</v>
      </c>
      <c r="DS7" s="170">
        <f>IF($CT7="","",IF($CU7&lt;=0,IF(ROUND($CV7+DG7,0)&gt;0,9.99,0),ROUND($CV7+DG7,0)/$CU7))</f>
        <v>0.208333333333333</v>
      </c>
      <c r="DT7" s="170">
        <f>IF($CT7="","",IF($CU7&lt;=0,IF(ROUND($CV7+DH7,0)&gt;0,9.99,0),ROUND($CV7+DH7,0)/$CU7))</f>
        <v>0.208333333333333</v>
      </c>
      <c r="DU7" s="170">
        <f>IF(CT7="","",MAX(DI7:DT7))</f>
        <v>1.40625</v>
      </c>
      <c r="DV7" s="167">
        <f>IF(CT7="","",SUM(CW7:DH7))</f>
        <v>600</v>
      </c>
      <c r="DX7" t="n">
        <v>4</v>
      </c>
      <c r="DY7" t="str">
        <f>IFERROR(MATCH(DX7,$CA$4:$CA$503,0),"")</f>
        <v/>
      </c>
      <c r="DZ7" t="str">
        <f>IF(DY7="","",INDEX(Charge!$B:$B,DY7+3)&amp;"")</f>
        <v/>
      </c>
      <c r="EA7" t="str">
        <f>IF(DY7="","",INDEX(Charge!$C:$C,DY7+3)&amp;"")</f>
        <v/>
      </c>
      <c r="EB7" t="str">
        <f>IF(DY7="","",INDEX(Charge!$D:$D,DY7+3)&amp;"")</f>
        <v/>
      </c>
      <c r="EC7" t="str">
        <f>IF(DY7="","",INDEX(Charge!$A:$A,DY7+3)&amp;"")</f>
        <v/>
      </c>
      <c r="ED7" t="str">
        <f>IF(DY7="","",INDEX($E$4:$E$503,DY7))</f>
        <v/>
      </c>
      <c r="EE7" t="str">
        <f>IF(DY7="","",INDEX($AI$4:$AI$503,DY7))</f>
        <v/>
      </c>
      <c r="EF7" s="165" t="str">
        <f>IF(DY7="","",IF(ISNUMBER(INDEX(Charge!$N:$N,DY7+3)),INDEX(Charge!$N:$N,DY7+3),"—"))</f>
        <v/>
      </c>
      <c r="EG7" s="165" t="str">
        <f>IF(DY7="","",IF(ISNUMBER(INDEX(Charge!$F:$F,DY7+3)),INDEX(Charge!$F:$F,DY7+3),"—"))</f>
        <v/>
      </c>
      <c r="EH7" s="170" t="str">
        <f>IF(DY7="","",INDEX($C$4:$C$503,DY7))</f>
        <v/>
      </c>
      <c r="EJ7" t="str">
        <f>TRIM(INDEX(Data!$E:$E,ROW()))</f>
        <v>Léa Chevalier</v>
      </c>
      <c r="EK7" t="str">
        <f>TRIM(INDEX(Data!$H:$H,ROW()))</f>
        <v/>
      </c>
      <c r="EM7" t="str">
        <f>IF(D7=1,IF(TRIM(INDEX(Charge!$K:$K,ROW()))&lt;&gt;"","Interne",IF(TRIM(INDEX(Charge!$L:$L,ROW()))&lt;&gt;"","Externe","Non affecté")),"")</f>
        <v>Externe</v>
      </c>
      <c r="EN7" t="str">
        <f>IF(D7=1,LEFT(SUBSTITUTE(SUBSTITUTE(SUBSTITUTE(TRIM(SUBSTITUTE(INDEX(Charge!$B:$B,ROW()),CHAR(160)," "))&amp;" | "&amp;TRIM(SUBSTITUTE(INDEX(Charge!$C:$C,ROW()),CHAR(160)," "))&amp;" | "&amp;TRIM(SUBSTITUTE(INDEX(Charge!$D:$D,ROW()),CHAR(160)," ")),"~","-"),"*","+"),"?","!"),240),"")</f>
        <v>ATLAS | Lot 3 – Intégration | Faisceau électrique</v>
      </c>
      <c r="EO7">
        <f>IF(EN7="",0,IF(COUNTIF($EN$4:EN7,EN7)=1,1,0))</f>
        <v>1</v>
      </c>
      <c r="EP7" s="166">
        <f>IF(EO7=1,ROUND(SUMIF($EN$4:$EN$503,EN7,$E$4:$E$503),2),"")</f>
        <v>180</v>
      </c>
      <c r="EQ7">
        <f>IF(EO7=1,COUNTIFS($EO$4:$EO$503,1,$EP$4:$EP$503,"&gt;"&amp;EP7)+COUNTIFS($EO$4:EO7,1,$EP$4:EP7,EP7),"")</f>
        <v>9</v>
      </c>
      <c r="ER7">
        <f>IF(EO7=1,COUNTIFS($EN$4:$EN$503,EN7,$EM$4:$EM$503,"Interne",$FE$4:$FE$503,1),"")</f>
        <v>0</v>
      </c>
      <c r="ES7">
        <f>IF(EO7=1,COUNTIFS($EN$4:$EN$503,EN7,$EM$4:$EM$503,"Externe",$FE$4:$FE$503,1),"")</f>
        <v>1</v>
      </c>
      <c r="ET7" t="str">
        <f>IF(EO7=1,IF(ER7+ES7=0,"à affecter",IF(ER7=0,ES7&amp;" ext.",(ER7+ES7)&amp;IF(ES7&gt;0," dont "&amp;ES7&amp;" ext.",""))&amp;IF(COUNTIFS($EN$4:$EN$503,EN7,$EM$4:$EM$503,"Non affecté")&gt;0," + à affecter","")),"")</f>
        <v>1 ext.</v>
      </c>
      <c r="EU7" s="170">
        <f>IF(EO7=1,IF(EP7&gt;0,SUMPRODUCT(($EN$4:$EN$503=EN7)*$E$4:$E$503*$C$4:$C$503)/EP7,AVERAGEIF($EN$4:$EN$503,EN7,$C$4:$C$503)),"")</f>
        <v>0</v>
      </c>
      <c r="EV7" s="165">
        <f>IF(ISNUMBER(I7),I7,2958465)</f>
        <v>46482.0</v>
      </c>
      <c r="EW7" s="165">
        <f>IF(EO7=1,SUMPRODUCT(MIN(($EN$4:$EN$503=EN7)*$EV$4:$EV$503+($EN$4:$EN$503&lt;&gt;EN7)*2958465)),"")</f>
        <v>46482.0</v>
      </c>
      <c r="EX7" s="165">
        <f>IF(AND(D7=1,ISNUMBER(INDEX(Charge!$F:$F,ROW()))),INDEX(Charge!$F:$F,ROW()),0)</f>
        <v>46598.0</v>
      </c>
      <c r="EY7" s="165">
        <f>IF(EO7=1,SUMPRODUCT(MAX(($EN$4:$EN$503=EN7)*$EX$4:$EX$503)),"")</f>
        <v>46598.0</v>
      </c>
      <c r="FA7" t="str">
        <f>IF(4&lt;=$CD$23,INDEX($EJ$4:$EJ$203,4),IF(4-$CD$23&lt;=$CD$26,INDEX($EK$4:$EK$203,4-$CD$23),""))</f>
        <v>Léa Chevalier</v>
      </c>
      <c r="FB7" t="str">
        <f>IF(FA7="","",IF(4&lt;=$CD$23,"Interne","Externe"))</f>
        <v>Interne</v>
      </c>
      <c r="FD7">
        <f>IF(AND(B7=1,TRIM(INDEX(Charge!$K:$K,ROW()))&lt;&gt;"",TRIM(INDEX(Charge!$L:$L,ROW()))&lt;&gt;""),1,0)</f>
        <v>0</v>
      </c>
      <c r="FE7">
        <f>IF(OR(EN7="",BZ7="(non affecté)"),0,IF(COUNTIFS($EN$4:EN7,EN7,$BZ$4:BZ7,BZ7)=1,1,0))</f>
        <v>1</v>
      </c>
    </row>
    <row r="8">
      <c r="A8">
        <f>ROW()</f>
        <v>8</v>
      </c>
      <c r="B8">
        <f>IF(TRIM(INDEX(Charge!$B:$B,ROW()))&lt;&gt;"",1,0)</f>
        <v>1</v>
      </c>
      <c r="C8">
        <f>IF(B8=1,MIN(1,MAX(0,N(INDEX(Charge!$O:$O,ROW())))),0)</f>
        <v>0.35</v>
      </c>
      <c r="D8">
        <f>IF(B8=1,IF(OR(p_Perimetre="Tous les projets",C8&lt;1),1,0),0)</f>
        <v>1</v>
      </c>
      <c r="E8">
        <f>IF(D8=1,MAX(0,N(INDEX(Charge!$M:$M,ROW()))),0)</f>
        <v>310</v>
      </c>
      <c r="F8" t="str">
        <f>IF(D8=1,IF(TRIM(INDEX(Charge!$A:$A,ROW()))="","(non renseigné)",TRIM(INDEX(Charge!$A:$A,ROW()))),"")</f>
        <v>Thomas Bernard</v>
      </c>
      <c r="G8" t="str">
        <f>IF(D8=1,TRIM(INDEX(Charge!$B:$B,ROW())),"")</f>
        <v>BORÉAL</v>
      </c>
      <c r="H8" t="str">
        <f>IF(D8=1,IF(TRIM(INDEX(Charge!$E:$E,ROW()))="","(non renseigné)",TRIM(INDEX(Charge!$E:$E,ROW()))),"")</f>
        <v>Étude de conception</v>
      </c>
      <c r="I8" s="165">
        <f>IF(AND(D8=1,ISNUMBER(INDEX(Charge!$N:$N,ROW()))),INDEX(Charge!$N:$N,ROW()),"")</f>
        <v>46300.0</v>
      </c>
      <c r="J8" s="165">
        <f>IF(I8="","",IF(AND(p_Repartition="Lissée jusqu'à la date de besoin",ISNUMBER(INDEX(Charge!$F:$F,ROW()))),IF(INDEX(Charge!$F:$F,ROW())&gt;=I8,INDEX(Charge!$F:$F,ROW()),I8),I8))</f>
        <v>46416.0</v>
      </c>
      <c r="K8">
        <f>IF(I8="","",NETWORKDAYS(I8,J8,Data!$K$4:$K$203))</f>
        <v>85</v>
      </c>
      <c r="L8">
        <f>IF(D8=1,COUNTIFS($D$4:$D$503,1,$E$4:$E$503,"&gt;"&amp;E8)+COUNTIFS($D$4:$D8,1,$E$4:$E8,E8),"")</f>
        <v>1</v>
      </c>
      <c r="M8">
        <f>IF(F8="",0,IF(COUNTIF($F$4:F8,F8)=1,1,0))</f>
        <v>1</v>
      </c>
      <c r="N8">
        <f>IF(M8=1,ROUND(SUMIF($F$4:$F$503,F8,$E$4:$E$503),2),"")</f>
        <v>820</v>
      </c>
      <c r="O8">
        <f>IF(M8=1,COUNTIFS($M$4:$M$503,1,$N$4:$N$503,"&gt;"&amp;N8)+COUNTIFS($M$4:M8,1,$N$4:N8,N8),"")</f>
        <v>2</v>
      </c>
      <c r="P8">
        <f>IF(G8="",0,IF(COUNTIF($G$4:G8,G8)=1,1,0))</f>
        <v>1</v>
      </c>
      <c r="Q8">
        <f>IF(P8=1,ROUND(SUMIF($G$4:$G$503,G8,$E$4:$E$503),2),"")</f>
        <v>620</v>
      </c>
      <c r="R8">
        <f>IF(P8=1,COUNTIFS($P$4:$P$503,1,$Q$4:$Q$503,"&gt;"&amp;Q8)+COUNTIFS($P$4:P8,1,$Q$4:Q8,Q8),"")</f>
        <v>2</v>
      </c>
      <c r="S8">
        <f>IF(H8="",0,IF(COUNTIF($H$4:H8,H8)=1,1,0))</f>
        <v>0</v>
      </c>
      <c r="T8" t="str">
        <f>IF(S8=1,ROUND(SUMIF($H$4:$H$503,H8,$E$4:$E$503),2),"")</f>
        <v/>
      </c>
      <c r="U8" t="str">
        <f>IF(S8=1,COUNTIFS($S$4:$S$503,1,$T$4:$T$503,"&gt;"&amp;T8)+COUNTIFS($S$4:S8,1,$T$4:T8,T8),"")</f>
        <v/>
      </c>
      <c r="V8">
        <f>IF(D8=1,MIN(INDEX($R$4:$R$503,MATCH(G8,$G$4:$G$503,0)),IF($AL$7&gt;9,9,999)),"")</f>
        <v>2</v>
      </c>
      <c r="W8" s="166">
        <f>IF(OR($I8="",$E8=0),0,IF(OR($J8&lt;W$3,$I8&gt;W$2),0,IF($K8=0,IF(AND($I8&gt;=W$3,$I8&lt;=W$2),$E8,0),$E8*NETWORKDAYS(MAX($I8,W$3),MIN($J8,W$2),Data!$K$4:$K$203)/$K8)))</f>
        <v>0</v>
      </c>
      <c r="X8" s="166">
        <f>IF(OR($I8="",$E8=0),0,IF(OR($J8&lt;X$3,$I8&gt;X$2),0,IF($K8=0,IF(AND($I8&gt;=X$3,$I8&lt;=X$2),$E8,0),$E8*NETWORKDAYS(MAX($I8,X$3),MIN($J8,X$2),Data!$K$4:$K$203)/$K8)))</f>
        <v>72.9411764705882</v>
      </c>
      <c r="Y8" s="166">
        <f>IF(OR($I8="",$E8=0),0,IF(OR($J8&lt;Y$3,$I8&gt;Y$2),0,IF($K8=0,IF(AND($I8&gt;=Y$3,$I8&lt;=Y$2),$E8,0),$E8*NETWORKDAYS(MAX($I8,Y$3),MIN($J8,Y$2),Data!$K$4:$K$203)/$K8)))</f>
        <v>76.5882352941177</v>
      </c>
      <c r="Z8" s="166">
        <f>IF(OR($I8="",$E8=0),0,IF(OR($J8&lt;Z$3,$I8&gt;Z$2),0,IF($K8=0,IF(AND($I8&gt;=Z$3,$I8&lt;=Z$2),$E8,0),$E8*NETWORKDAYS(MAX($I8,Z$3),MIN($J8,Z$2),Data!$K$4:$K$203)/$K8)))</f>
        <v>83.8823529411765</v>
      </c>
      <c r="AA8" s="166">
        <f>IF(OR($I8="",$E8=0),0,IF(OR($J8&lt;AA$3,$I8&gt;AA$2),0,IF($K8=0,IF(AND($I8&gt;=AA$3,$I8&lt;=AA$2),$E8,0),$E8*NETWORKDAYS(MAX($I8,AA$3),MIN($J8,AA$2),Data!$K$4:$K$203)/$K8)))</f>
        <v>76.5882352941177</v>
      </c>
      <c r="AB8" s="166">
        <f>IF(OR($I8="",$E8=0),0,IF(OR($J8&lt;AB$3,$I8&gt;AB$2),0,IF($K8=0,IF(AND($I8&gt;=AB$3,$I8&lt;=AB$2),$E8,0),$E8*NETWORKDAYS(MAX($I8,AB$3),MIN($J8,AB$2),Data!$K$4:$K$203)/$K8)))</f>
        <v>0</v>
      </c>
      <c r="AC8" s="166">
        <f>IF(OR($I8="",$E8=0),0,IF(OR($J8&lt;AC$3,$I8&gt;AC$2),0,IF($K8=0,IF(AND($I8&gt;=AC$3,$I8&lt;=AC$2),$E8,0),$E8*NETWORKDAYS(MAX($I8,AC$3),MIN($J8,AC$2),Data!$K$4:$K$203)/$K8)))</f>
        <v>0</v>
      </c>
      <c r="AD8" s="166">
        <f>IF(OR($I8="",$E8=0),0,IF(OR($J8&lt;AD$3,$I8&gt;AD$2),0,IF($K8=0,IF(AND($I8&gt;=AD$3,$I8&lt;=AD$2),$E8,0),$E8*NETWORKDAYS(MAX($I8,AD$3),MIN($J8,AD$2),Data!$K$4:$K$203)/$K8)))</f>
        <v>0</v>
      </c>
      <c r="AE8" s="166">
        <f>IF(OR($I8="",$E8=0),0,IF(OR($J8&lt;AE$3,$I8&gt;AE$2),0,IF($K8=0,IF(AND($I8&gt;=AE$3,$I8&lt;=AE$2),$E8,0),$E8*NETWORKDAYS(MAX($I8,AE$3),MIN($J8,AE$2),Data!$K$4:$K$203)/$K8)))</f>
        <v>0</v>
      </c>
      <c r="AF8" s="166">
        <f>IF(OR($I8="",$E8=0),0,IF(OR($J8&lt;AF$3,$I8&gt;AF$2),0,IF($K8=0,IF(AND($I8&gt;=AF$3,$I8&lt;=AF$2),$E8,0),$E8*NETWORKDAYS(MAX($I8,AF$3),MIN($J8,AF$2),Data!$K$4:$K$203)/$K8)))</f>
        <v>0</v>
      </c>
      <c r="AG8" s="166">
        <f>IF(OR($I8="",$E8=0),0,IF(OR($J8&lt;AG$3,$I8&gt;AG$2),0,IF($K8=0,IF(AND($I8&gt;=AG$3,$I8&lt;=AG$2),$E8,0),$E8*NETWORKDAYS(MAX($I8,AG$3),MIN($J8,AG$2),Data!$K$4:$K$203)/$K8)))</f>
        <v>0</v>
      </c>
      <c r="AH8" s="166">
        <f>IF(OR($I8="",$E8=0),0,IF(OR($J8&lt;AH$3,$I8&gt;AH$2),0,IF($K8=0,IF(AND($I8&gt;=AH$3,$I8&lt;=AH$2),$E8,0),$E8*NETWORKDAYS(MAX($I8,AH$3),MIN($J8,AH$2),Data!$K$4:$K$203)/$K8)))</f>
        <v>0</v>
      </c>
      <c r="AI8" s="166">
        <f>SUM(W8:AH8)</f>
        <v>310</v>
      </c>
      <c r="AK8" t="inlineStr">
        <is>
          <t>Nombre de types</t>
        </is>
      </c>
      <c r="AL8" s="171">
        <f>SUM(S4:S503)</f>
        <v>5</v>
      </c>
      <c r="AN8" t="n">
        <v>5</v>
      </c>
      <c r="AO8" s="161">
        <f>AA$3</f>
        <v>46388.0</v>
      </c>
      <c r="AP8" s="167">
        <f>SUM(AA4:AA503)</f>
        <v>321.331121472979</v>
      </c>
      <c r="AQ8">
        <f>SUMPRODUCT((AA4:AA503&gt;0)/(COUNTIFS($EN$4:$EN$503,$EN$4:$EN$503,AA4:AA503,"&gt;0")+(AA4:AA503&lt;=0)))</f>
        <v>6</v>
      </c>
      <c r="AS8" t="n">
        <v>5</v>
      </c>
      <c r="AT8" t="str">
        <f>IF(AS8&gt;$AL$7,"",INDEX($G$4:$G$503,MATCH(AS8,$R$4:$R$503,0)))</f>
        <v>CASSIOPÉE</v>
      </c>
      <c r="AU8">
        <f>SUMIF($V$4:$V$503,AS8,$E$4:$E$503)</f>
        <v>390</v>
      </c>
      <c r="AV8" s="168">
        <f>IF($AL$4=0,0,AU8/$AL$4)</f>
        <v>0.11287988422576</v>
      </c>
      <c r="AW8" s="166">
        <f>SUMIF($V$4:$V$503,$AS8,W$4:W$503)</f>
        <v>0</v>
      </c>
      <c r="AX8" s="166">
        <f>SUMIF($V$4:$V$503,$AS8,X$4:X$503)</f>
        <v>45</v>
      </c>
      <c r="AY8" s="166">
        <f>SUMIF($V$4:$V$503,$AS8,Y$4:Y$503)</f>
        <v>63</v>
      </c>
      <c r="AZ8" s="166">
        <f>SUMIF($V$4:$V$503,$AS8,Z$4:Z$503)</f>
        <v>128.25</v>
      </c>
      <c r="BA8" s="166">
        <f>SUMIF($V$4:$V$503,$AS8,AA$4:AA$503)</f>
        <v>78.75</v>
      </c>
      <c r="BB8" s="166">
        <f>SUMIF($V$4:$V$503,$AS8,AB$4:AB$503)</f>
        <v>75</v>
      </c>
      <c r="BC8" s="166">
        <f>SUMIF($V$4:$V$503,$AS8,AC$4:AC$503)</f>
        <v>0</v>
      </c>
      <c r="BD8" s="166">
        <f>SUMIF($V$4:$V$503,$AS8,AD$4:AD$503)</f>
        <v>0</v>
      </c>
      <c r="BE8" s="166">
        <f>SUMIF($V$4:$V$503,$AS8,AE$4:AE$503)</f>
        <v>0</v>
      </c>
      <c r="BF8" s="166">
        <f>SUMIF($V$4:$V$503,$AS8,AF$4:AF$503)</f>
        <v>0</v>
      </c>
      <c r="BG8" s="166">
        <f>SUMIF($V$4:$V$503,$AS8,AG$4:AG$503)</f>
        <v>0</v>
      </c>
      <c r="BH8" s="166">
        <f>SUMIF($V$4:$V$503,$AS8,AH$4:AH$503)</f>
        <v>0</v>
      </c>
      <c r="BK8" t="n">
        <v>5</v>
      </c>
      <c r="BL8" t="str">
        <f>IF(BK8&gt;$AL$6,"",INDEX($F$4:$F$503,MATCH(BK8,$O$4:$O$503,0)))</f>
        <v>Nicolas Moreau</v>
      </c>
      <c r="BM8">
        <f>IF(BL8="","",INDEX($N$4:$N$503,MATCH(BK8,$O$4:$O$503,0)))</f>
        <v>350</v>
      </c>
      <c r="BO8" t="n">
        <v>5</v>
      </c>
      <c r="BP8" t="str">
        <f>IF(BO8&gt;$AL$7,"",INDEX($G$4:$G$503,MATCH(BO8,$R$4:$R$503,0)))</f>
        <v>CASSIOPÉE</v>
      </c>
      <c r="BQ8">
        <f>IF(BP8="","",INDEX($Q$4:$Q$503,MATCH(BO8,$R$4:$R$503,0)))</f>
        <v>390</v>
      </c>
      <c r="BW8" t="n">
        <v>5</v>
      </c>
      <c r="BX8">
        <f>IFERROR(MATCH(BW8,$EQ$4:$EQ$503,0),"")</f>
        <v>3</v>
      </c>
      <c r="BZ8" t="str">
        <f>IF(D8=1,IF(TRIM(INDEX(Charge!$K:$K,ROW()))&lt;&gt;"",TRIM(INDEX(Charge!$K:$K,ROW())),IF(TRIM(INDEX(Charge!$L:$L,ROW()))&lt;&gt;"",TRIM(INDEX(Charge!$L:$L,ROW())),"(non affecté)")),"")</f>
        <v>Léa Chevalier</v>
      </c>
      <c r="CA8" t="str">
        <f>IF(AND($CD$4&lt;&gt;"",BZ8=$CD$4),COUNTIFS($BZ$4:$BZ$503,$CD$4,$L$4:$L$503,"&lt;"&amp;L8)+1,"")</f>
        <v/>
      </c>
      <c r="CC8" t="inlineStr">
        <is>
          <t>Capacité disponible pour les projets (h/mois)</t>
        </is>
      </c>
      <c r="CD8" s="167">
        <f>MAX(0,CD6-CD7)</f>
        <v>100</v>
      </c>
      <c r="CF8" t="n">
        <v>5</v>
      </c>
      <c r="CG8" s="169">
        <f>AA$3</f>
        <v>46388.0</v>
      </c>
      <c r="CH8" s="166">
        <f>IF($CD$4="",0,$CD$7)</f>
        <v>20</v>
      </c>
      <c r="CI8" s="166">
        <f>IF($CD$4="",0,SUMIF($BZ$4:$BZ$503,$CD$4,AA$4:AA$503))</f>
        <v>58.3333333333333</v>
      </c>
      <c r="CJ8" s="166">
        <f>CH8+CI8</f>
        <v>78.3333333333333</v>
      </c>
      <c r="CK8" s="166">
        <f>IF($CD$4="",0,$CD$6)</f>
        <v>120</v>
      </c>
      <c r="CL8" s="166">
        <f>IF(CN8&lt;0,MAX(0,MIN(CI8,CK8-CH8)),CI8)</f>
        <v>58.3333333333333</v>
      </c>
      <c r="CM8" s="166">
        <f>CI8-CL8</f>
        <v>0</v>
      </c>
      <c r="CN8" s="166">
        <f>CK8-CP8</f>
        <v>42</v>
      </c>
      <c r="CO8" s="170">
        <f>IF(CK8&lt;=0,IF(CP8&gt;0,9.99,0),CP8/CK8)</f>
        <v>0.65</v>
      </c>
      <c r="CP8">
        <f>ROUND(CJ8,0)</f>
        <v>78</v>
      </c>
      <c r="CQ8" t="str">
        <f>IF(CN8&lt;0,CF8,"")</f>
        <v/>
      </c>
      <c r="CS8" t="n">
        <v>5</v>
      </c>
      <c r="CT8" t="str">
        <f>IF(OR(FA8="",COUNTIF($FA$4:FA7,FA8)&gt;0),"",FA8)</f>
        <v>Antoine Blanc</v>
      </c>
      <c r="CU8">
        <f>IF(CT8="","",IF(FB8="Interne",IF(ISNUMBER(INDEX(Data!$F:$F,8)),INDEX(Data!$F:$F,8),p_HeuresETP),IF(ISNUMBER(INDEX(Data!$I:$I,8-$CD$23)),INDEX(Data!$I:$I,8-$CD$23),p_HeuresETP)))</f>
        <v>120</v>
      </c>
      <c r="CV8">
        <f>IF(CT8="","",IF(FB8="Interne",IF(ISNUMBER(INDEX(Data!$G:$G,8)),INDEX(Data!$G:$G,8),p_ChargeFixe),IF(ISNUMBER(INDEX(Data!$J:$J,8-$CD$23)),INDEX(Data!$J:$J,8-$CD$23),p_ChargeFixe)))</f>
        <v>20</v>
      </c>
      <c r="CW8" s="166">
        <f>IF($CT8="","",SUMIF($BZ$4:$BZ$503,$CT8,W$4:W$503))</f>
        <v>0</v>
      </c>
      <c r="CX8" s="166">
        <f>IF($CT8="","",SUMIF($BZ$4:$BZ$503,$CT8,X$4:X$503))</f>
        <v>0</v>
      </c>
      <c r="CY8" s="166">
        <f>IF($CT8="","",SUMIF($BZ$4:$BZ$503,$CT8,Y$4:Y$503))</f>
        <v>12.75</v>
      </c>
      <c r="CZ8" s="166">
        <f>IF($CT8="","",SUMIF($BZ$4:$BZ$503,$CT8,Z$4:Z$503))</f>
        <v>48.875</v>
      </c>
      <c r="DA8" s="166">
        <f>IF($CT8="","",SUMIF($BZ$4:$BZ$503,$CT8,AA$4:AA$503))</f>
        <v>23.375</v>
      </c>
      <c r="DB8" s="166">
        <f>IF($CT8="","",SUMIF($BZ$4:$BZ$503,$CT8,AB$4:AB$503))</f>
        <v>48.1740064446831</v>
      </c>
      <c r="DC8" s="166">
        <f>IF($CT8="","",SUMIF($BZ$4:$BZ$503,$CT8,AC$4:AC$503))</f>
        <v>92.6423200859291</v>
      </c>
      <c r="DD8" s="166">
        <f>IF($CT8="","",SUMIF($BZ$4:$BZ$503,$CT8,AD$4:AD$503))</f>
        <v>53.8775510204082</v>
      </c>
      <c r="DE8" s="166">
        <f>IF($CT8="","",SUMIF($BZ$4:$BZ$503,$CT8,AE$4:AE$503))</f>
        <v>51.4285714285714</v>
      </c>
      <c r="DF8" s="166">
        <f>IF($CT8="","",SUMIF($BZ$4:$BZ$503,$CT8,AF$4:AF$503))</f>
        <v>53.8775510204082</v>
      </c>
      <c r="DG8" s="166">
        <f>IF($CT8="","",SUMIF($BZ$4:$BZ$503,$CT8,AG$4:AG$503))</f>
        <v>0</v>
      </c>
      <c r="DH8" s="166">
        <f>IF($CT8="","",SUMIF($BZ$4:$BZ$503,$CT8,AH$4:AH$503))</f>
        <v>0</v>
      </c>
      <c r="DI8" s="170">
        <f>IF($CT8="","",IF($CU8&lt;=0,IF(ROUND($CV8+CW8,0)&gt;0,9.99,0),ROUND($CV8+CW8,0)/$CU8))</f>
        <v>0.166666666666667</v>
      </c>
      <c r="DJ8" s="170">
        <f>IF($CT8="","",IF($CU8&lt;=0,IF(ROUND($CV8+CX8,0)&gt;0,9.99,0),ROUND($CV8+CX8,0)/$CU8))</f>
        <v>0.166666666666667</v>
      </c>
      <c r="DK8" s="170">
        <f>IF($CT8="","",IF($CU8&lt;=0,IF(ROUND($CV8+CY8,0)&gt;0,9.99,0),ROUND($CV8+CY8,0)/$CU8))</f>
        <v>0.275</v>
      </c>
      <c r="DL8" s="170">
        <f>IF($CT8="","",IF($CU8&lt;=0,IF(ROUND($CV8+CZ8,0)&gt;0,9.99,0),ROUND($CV8+CZ8,0)/$CU8))</f>
        <v>0.575</v>
      </c>
      <c r="DM8" s="170">
        <f>IF($CT8="","",IF($CU8&lt;=0,IF(ROUND($CV8+DA8,0)&gt;0,9.99,0),ROUND($CV8+DA8,0)/$CU8))</f>
        <v>0.358333333333333</v>
      </c>
      <c r="DN8" s="170">
        <f>IF($CT8="","",IF($CU8&lt;=0,IF(ROUND($CV8+DB8,0)&gt;0,9.99,0),ROUND($CV8+DB8,0)/$CU8))</f>
        <v>0.566666666666667</v>
      </c>
      <c r="DO8" s="170">
        <f>IF($CT8="","",IF($CU8&lt;=0,IF(ROUND($CV8+DC8,0)&gt;0,9.99,0),ROUND($CV8+DC8,0)/$CU8))</f>
        <v>0.941666666666667</v>
      </c>
      <c r="DP8" s="170">
        <f>IF($CT8="","",IF($CU8&lt;=0,IF(ROUND($CV8+DD8,0)&gt;0,9.99,0),ROUND($CV8+DD8,0)/$CU8))</f>
        <v>0.616666666666667</v>
      </c>
      <c r="DQ8" s="170">
        <f>IF($CT8="","",IF($CU8&lt;=0,IF(ROUND($CV8+DE8,0)&gt;0,9.99,0),ROUND($CV8+DE8,0)/$CU8))</f>
        <v>0.591666666666667</v>
      </c>
      <c r="DR8" s="170">
        <f>IF($CT8="","",IF($CU8&lt;=0,IF(ROUND($CV8+DF8,0)&gt;0,9.99,0),ROUND($CV8+DF8,0)/$CU8))</f>
        <v>0.616666666666667</v>
      </c>
      <c r="DS8" s="170">
        <f>IF($CT8="","",IF($CU8&lt;=0,IF(ROUND($CV8+DG8,0)&gt;0,9.99,0),ROUND($CV8+DG8,0)/$CU8))</f>
        <v>0.166666666666667</v>
      </c>
      <c r="DT8" s="170">
        <f>IF($CT8="","",IF($CU8&lt;=0,IF(ROUND($CV8+DH8,0)&gt;0,9.99,0),ROUND($CV8+DH8,0)/$CU8))</f>
        <v>0.166666666666667</v>
      </c>
      <c r="DU8" s="170">
        <f>IF(CT8="","",MAX(DI8:DT8))</f>
        <v>0.941666666666667</v>
      </c>
      <c r="DV8" s="167">
        <f>IF(CT8="","",SUM(CW8:DH8))</f>
        <v>385</v>
      </c>
      <c r="DX8" t="n">
        <v>5</v>
      </c>
      <c r="DY8" t="str">
        <f>IFERROR(MATCH(DX8,$CA$4:$CA$503,0),"")</f>
        <v/>
      </c>
      <c r="DZ8" t="str">
        <f>IF(DY8="","",INDEX(Charge!$B:$B,DY8+3)&amp;"")</f>
        <v/>
      </c>
      <c r="EA8" t="str">
        <f>IF(DY8="","",INDEX(Charge!$C:$C,DY8+3)&amp;"")</f>
        <v/>
      </c>
      <c r="EB8" t="str">
        <f>IF(DY8="","",INDEX(Charge!$D:$D,DY8+3)&amp;"")</f>
        <v/>
      </c>
      <c r="EC8" t="str">
        <f>IF(DY8="","",INDEX(Charge!$A:$A,DY8+3)&amp;"")</f>
        <v/>
      </c>
      <c r="ED8" t="str">
        <f>IF(DY8="","",INDEX($E$4:$E$503,DY8))</f>
        <v/>
      </c>
      <c r="EE8" t="str">
        <f>IF(DY8="","",INDEX($AI$4:$AI$503,DY8))</f>
        <v/>
      </c>
      <c r="EF8" s="165" t="str">
        <f>IF(DY8="","",IF(ISNUMBER(INDEX(Charge!$N:$N,DY8+3)),INDEX(Charge!$N:$N,DY8+3),"—"))</f>
        <v/>
      </c>
      <c r="EG8" s="165" t="str">
        <f>IF(DY8="","",IF(ISNUMBER(INDEX(Charge!$F:$F,DY8+3)),INDEX(Charge!$F:$F,DY8+3),"—"))</f>
        <v/>
      </c>
      <c r="EH8" s="170" t="str">
        <f>IF(DY8="","",INDEX($C$4:$C$503,DY8))</f>
        <v/>
      </c>
      <c r="EJ8" t="str">
        <f>TRIM(INDEX(Data!$E:$E,ROW()))</f>
        <v>Antoine Blanc</v>
      </c>
      <c r="EK8" t="str">
        <f>TRIM(INDEX(Data!$H:$H,ROW()))</f>
        <v/>
      </c>
      <c r="EM8" t="str">
        <f>IF(D8=1,IF(TRIM(INDEX(Charge!$K:$K,ROW()))&lt;&gt;"","Interne",IF(TRIM(INDEX(Charge!$L:$L,ROW()))&lt;&gt;"","Externe","Non affecté")),"")</f>
        <v>Interne</v>
      </c>
      <c r="EN8" t="str">
        <f>IF(D8=1,LEFT(SUBSTITUTE(SUBSTITUTE(SUBSTITUTE(TRIM(SUBSTITUTE(INDEX(Charge!$B:$B,ROW()),CHAR(160)," "))&amp;" | "&amp;TRIM(SUBSTITUTE(INDEX(Charge!$C:$C,ROW()),CHAR(160)," "))&amp;" | "&amp;TRIM(SUBSTITUTE(INDEX(Charge!$D:$D,ROW()),CHAR(160)," ")),"~","-"),"*","+"),"?","!"),240),"")</f>
        <v>BORÉAL | Phase APD | Groupe froid</v>
      </c>
      <c r="EO8">
        <f>IF(EN8="",0,IF(COUNTIF($EN$4:EN8,EN8)=1,1,0))</f>
        <v>1</v>
      </c>
      <c r="EP8" s="166">
        <f>IF(EO8=1,ROUND(SUMIF($EN$4:$EN$503,EN8,$E$4:$E$503),2),"")</f>
        <v>310</v>
      </c>
      <c r="EQ8">
        <f>IF(EO8=1,COUNTIFS($EO$4:$EO$503,1,$EP$4:$EP$503,"&gt;"&amp;EP8)+COUNTIFS($EO$4:EO8,1,$EP$4:EP8,EP8),"")</f>
        <v>4</v>
      </c>
      <c r="ER8">
        <f>IF(EO8=1,COUNTIFS($EN$4:$EN$503,EN8,$EM$4:$EM$503,"Interne",$FE$4:$FE$503,1),"")</f>
        <v>1</v>
      </c>
      <c r="ES8">
        <f>IF(EO8=1,COUNTIFS($EN$4:$EN$503,EN8,$EM$4:$EM$503,"Externe",$FE$4:$FE$503,1),"")</f>
        <v>0</v>
      </c>
      <c r="ET8" t="str">
        <f>IF(EO8=1,IF(ER8+ES8=0,"à affecter",IF(ER8=0,ES8&amp;" ext.",(ER8+ES8)&amp;IF(ES8&gt;0," dont "&amp;ES8&amp;" ext.",""))&amp;IF(COUNTIFS($EN$4:$EN$503,EN8,$EM$4:$EM$503,"Non affecté")&gt;0," + à affecter","")),"")</f>
        <v>1</v>
      </c>
      <c r="EU8" s="170">
        <f>IF(EO8=1,IF(EP8&gt;0,SUMPRODUCT(($EN$4:$EN$503=EN8)*$E$4:$E$503*$C$4:$C$503)/EP8,AVERAGEIF($EN$4:$EN$503,EN8,$C$4:$C$503)),"")</f>
        <v>0.35</v>
      </c>
      <c r="EV8" s="165">
        <f>IF(ISNUMBER(I8),I8,2958465)</f>
        <v>46300.0</v>
      </c>
      <c r="EW8" s="165">
        <f>IF(EO8=1,SUMPRODUCT(MIN(($EN$4:$EN$503=EN8)*$EV$4:$EV$503+($EN$4:$EN$503&lt;&gt;EN8)*2958465)),"")</f>
        <v>46300.0</v>
      </c>
      <c r="EX8" s="165">
        <f>IF(AND(D8=1,ISNUMBER(INDEX(Charge!$F:$F,ROW()))),INDEX(Charge!$F:$F,ROW()),0)</f>
        <v>46416.0</v>
      </c>
      <c r="EY8" s="165">
        <f>IF(EO8=1,SUMPRODUCT(MAX(($EN$4:$EN$503=EN8)*$EX$4:$EX$503)),"")</f>
        <v>46416.0</v>
      </c>
      <c r="FA8" t="str">
        <f>IF(5&lt;=$CD$23,INDEX($EJ$4:$EJ$203,5),IF(5-$CD$23&lt;=$CD$26,INDEX($EK$4:$EK$203,5-$CD$23),""))</f>
        <v>Antoine Blanc</v>
      </c>
      <c r="FB8" t="str">
        <f>IF(FA8="","",IF(5&lt;=$CD$23,"Interne","Externe"))</f>
        <v>Interne</v>
      </c>
      <c r="FD8">
        <f>IF(AND(B8=1,TRIM(INDEX(Charge!$K:$K,ROW()))&lt;&gt;"",TRIM(INDEX(Charge!$L:$L,ROW()))&lt;&gt;""),1,0)</f>
        <v>0</v>
      </c>
      <c r="FE8">
        <f>IF(OR(EN8="",BZ8="(non affecté)"),0,IF(COUNTIFS($EN$4:EN8,EN8,$BZ$4:BZ8,BZ8)=1,1,0))</f>
        <v>1</v>
      </c>
    </row>
    <row r="9">
      <c r="A9">
        <f>ROW()</f>
        <v>9</v>
      </c>
      <c r="B9">
        <f>IF(TRIM(INDEX(Charge!$B:$B,ROW()))&lt;&gt;"",1,0)</f>
        <v>1</v>
      </c>
      <c r="C9">
        <f>IF(B9=1,MIN(1,MAX(0,N(INDEX(Charge!$O:$O,ROW())))),0)</f>
        <v>0</v>
      </c>
      <c r="D9">
        <f>IF(B9=1,IF(OR(p_Perimetre="Tous les projets",C9&lt;1),1,0),0)</f>
        <v>1</v>
      </c>
      <c r="E9">
        <f>IF(D9=1,MAX(0,N(INDEX(Charge!$M:$M,ROW()))),0)</f>
        <v>220</v>
      </c>
      <c r="F9" t="str">
        <f>IF(D9=1,IF(TRIM(INDEX(Charge!$A:$A,ROW()))="","(non renseigné)",TRIM(INDEX(Charge!$A:$A,ROW()))),"")</f>
        <v>Thomas Bernard</v>
      </c>
      <c r="G9" t="str">
        <f>IF(D9=1,TRIM(INDEX(Charge!$B:$B,ROW())),"")</f>
        <v>BORÉAL</v>
      </c>
      <c r="H9" t="str">
        <f>IF(D9=1,IF(TRIM(INDEX(Charge!$E:$E,ROW()))="","(non renseigné)",TRIM(INDEX(Charge!$E:$E,ROW()))),"")</f>
        <v>Mise à jour de plans</v>
      </c>
      <c r="I9" s="165">
        <f>IF(AND(D9=1,ISNUMBER(INDEX(Charge!$N:$N,ROW()))),INDEX(Charge!$N:$N,ROW()),"")</f>
        <v>46419.0</v>
      </c>
      <c r="J9" s="165">
        <f>IF(I9="","",IF(AND(p_Repartition="Lissée jusqu'à la date de besoin",ISNUMBER(INDEX(Charge!$F:$F,ROW()))),IF(INDEX(Charge!$F:$F,ROW())&gt;=I9,INDEX(Charge!$F:$F,ROW()),I9),I9))</f>
        <v>46507.0</v>
      </c>
      <c r="K9">
        <f>IF(I9="","",NETWORKDAYS(I9,J9,Data!$K$4:$K$203))</f>
        <v>65</v>
      </c>
      <c r="L9">
        <f>IF(D9=1,COUNTIFS($D$4:$D$503,1,$E$4:$E$503,"&gt;"&amp;E9)+COUNTIFS($D$4:$D9,1,$E$4:$E9,E9),"")</f>
        <v>6</v>
      </c>
      <c r="M9">
        <f>IF(F9="",0,IF(COUNTIF($F$4:F9,F9)=1,1,0))</f>
        <v>0</v>
      </c>
      <c r="N9" t="str">
        <f>IF(M9=1,ROUND(SUMIF($F$4:$F$503,F9,$E$4:$E$503),2),"")</f>
        <v/>
      </c>
      <c r="O9" t="str">
        <f>IF(M9=1,COUNTIFS($M$4:$M$503,1,$N$4:$N$503,"&gt;"&amp;N9)+COUNTIFS($M$4:M9,1,$N$4:N9,N9),"")</f>
        <v/>
      </c>
      <c r="P9">
        <f>IF(G9="",0,IF(COUNTIF($G$4:G9,G9)=1,1,0))</f>
        <v>0</v>
      </c>
      <c r="Q9" t="str">
        <f>IF(P9=1,ROUND(SUMIF($G$4:$G$503,G9,$E$4:$E$503),2),"")</f>
        <v/>
      </c>
      <c r="R9" t="str">
        <f>IF(P9=1,COUNTIFS($P$4:$P$503,1,$Q$4:$Q$503,"&gt;"&amp;Q9)+COUNTIFS($P$4:P9,1,$Q$4:Q9,Q9),"")</f>
        <v/>
      </c>
      <c r="S9">
        <f>IF(H9="",0,IF(COUNTIF($H$4:H9,H9)=1,1,0))</f>
        <v>1</v>
      </c>
      <c r="T9">
        <f>IF(S9=1,ROUND(SUMIF($H$4:$H$503,H9,$E$4:$E$503),2),"")</f>
        <v>280</v>
      </c>
      <c r="U9">
        <f>IF(S9=1,COUNTIFS($S$4:$S$503,1,$T$4:$T$503,"&gt;"&amp;T9)+COUNTIFS($S$4:S9,1,$T$4:T9,T9),"")</f>
        <v>4</v>
      </c>
      <c r="V9">
        <f>IF(D9=1,MIN(INDEX($R$4:$R$503,MATCH(G9,$G$4:$G$503,0)),IF($AL$7&gt;9,9,999)),"")</f>
        <v>2</v>
      </c>
      <c r="W9" s="166">
        <f>IF(OR($I9="",$E9=0),0,IF(OR($J9&lt;W$3,$I9&gt;W$2),0,IF($K9=0,IF(AND($I9&gt;=W$3,$I9&lt;=W$2),$E9,0),$E9*NETWORKDAYS(MAX($I9,W$3),MIN($J9,W$2),Data!$K$4:$K$203)/$K9)))</f>
        <v>0</v>
      </c>
      <c r="X9" s="166">
        <f>IF(OR($I9="",$E9=0),0,IF(OR($J9&lt;X$3,$I9&gt;X$2),0,IF($K9=0,IF(AND($I9&gt;=X$3,$I9&lt;=X$2),$E9,0),$E9*NETWORKDAYS(MAX($I9,X$3),MIN($J9,X$2),Data!$K$4:$K$203)/$K9)))</f>
        <v>0</v>
      </c>
      <c r="Y9" s="166">
        <f>IF(OR($I9="",$E9=0),0,IF(OR($J9&lt;Y$3,$I9&gt;Y$2),0,IF($K9=0,IF(AND($I9&gt;=Y$3,$I9&lt;=Y$2),$E9,0),$E9*NETWORKDAYS(MAX($I9,Y$3),MIN($J9,Y$2),Data!$K$4:$K$203)/$K9)))</f>
        <v>0</v>
      </c>
      <c r="Z9" s="166">
        <f>IF(OR($I9="",$E9=0),0,IF(OR($J9&lt;Z$3,$I9&gt;Z$2),0,IF($K9=0,IF(AND($I9&gt;=Z$3,$I9&lt;=Z$2),$E9,0),$E9*NETWORKDAYS(MAX($I9,Z$3),MIN($J9,Z$2),Data!$K$4:$K$203)/$K9)))</f>
        <v>0</v>
      </c>
      <c r="AA9" s="166">
        <f>IF(OR($I9="",$E9=0),0,IF(OR($J9&lt;AA$3,$I9&gt;AA$2),0,IF($K9=0,IF(AND($I9&gt;=AA$3,$I9&lt;=AA$2),$E9,0),$E9*NETWORKDAYS(MAX($I9,AA$3),MIN($J9,AA$2),Data!$K$4:$K$203)/$K9)))</f>
        <v>0</v>
      </c>
      <c r="AB9" s="166">
        <f>IF(OR($I9="",$E9=0),0,IF(OR($J9&lt;AB$3,$I9&gt;AB$2),0,IF($K9=0,IF(AND($I9&gt;=AB$3,$I9&lt;=AB$2),$E9,0),$E9*NETWORKDAYS(MAX($I9,AB$3),MIN($J9,AB$2),Data!$K$4:$K$203)/$K9)))</f>
        <v>67.6923076923077</v>
      </c>
      <c r="AC9" s="166">
        <f>IF(OR($I9="",$E9=0),0,IF(OR($J9&lt;AC$3,$I9&gt;AC$2),0,IF($K9=0,IF(AND($I9&gt;=AC$3,$I9&lt;=AC$2),$E9,0),$E9*NETWORKDAYS(MAX($I9,AC$3),MIN($J9,AC$2),Data!$K$4:$K$203)/$K9)))</f>
        <v>77.8461538461538</v>
      </c>
      <c r="AD9" s="166">
        <f>IF(OR($I9="",$E9=0),0,IF(OR($J9&lt;AD$3,$I9&gt;AD$2),0,IF($K9=0,IF(AND($I9&gt;=AD$3,$I9&lt;=AD$2),$E9,0),$E9*NETWORKDAYS(MAX($I9,AD$3),MIN($J9,AD$2),Data!$K$4:$K$203)/$K9)))</f>
        <v>74.4615384615385</v>
      </c>
      <c r="AE9" s="166">
        <f>IF(OR($I9="",$E9=0),0,IF(OR($J9&lt;AE$3,$I9&gt;AE$2),0,IF($K9=0,IF(AND($I9&gt;=AE$3,$I9&lt;=AE$2),$E9,0),$E9*NETWORKDAYS(MAX($I9,AE$3),MIN($J9,AE$2),Data!$K$4:$K$203)/$K9)))</f>
        <v>0</v>
      </c>
      <c r="AF9" s="166">
        <f>IF(OR($I9="",$E9=0),0,IF(OR($J9&lt;AF$3,$I9&gt;AF$2),0,IF($K9=0,IF(AND($I9&gt;=AF$3,$I9&lt;=AF$2),$E9,0),$E9*NETWORKDAYS(MAX($I9,AF$3),MIN($J9,AF$2),Data!$K$4:$K$203)/$K9)))</f>
        <v>0</v>
      </c>
      <c r="AG9" s="166">
        <f>IF(OR($I9="",$E9=0),0,IF(OR($J9&lt;AG$3,$I9&gt;AG$2),0,IF($K9=0,IF(AND($I9&gt;=AG$3,$I9&lt;=AG$2),$E9,0),$E9*NETWORKDAYS(MAX($I9,AG$3),MIN($J9,AG$2),Data!$K$4:$K$203)/$K9)))</f>
        <v>0</v>
      </c>
      <c r="AH9" s="166">
        <f>IF(OR($I9="",$E9=0),0,IF(OR($J9&lt;AH$3,$I9&gt;AH$2),0,IF($K9=0,IF(AND($I9&gt;=AH$3,$I9&lt;=AH$2),$E9,0),$E9*NETWORKDAYS(MAX($I9,AH$3),MIN($J9,AH$2),Data!$K$4:$K$203)/$K9)))</f>
        <v>0</v>
      </c>
      <c r="AI9" s="166">
        <f>SUM(W9:AH9)</f>
        <v>220</v>
      </c>
      <c r="AK9" t="inlineStr">
        <is>
          <t>Charge réalisée (selon avancement)</t>
        </is>
      </c>
      <c r="AL9" s="167">
        <f>SUMPRODUCT(E4:E503,C4:C503)</f>
        <v>339.5</v>
      </c>
      <c r="AN9" t="n">
        <v>6</v>
      </c>
      <c r="AO9" s="161">
        <f>AB$3</f>
        <v>46419.0</v>
      </c>
      <c r="AP9" s="167">
        <f>SUM(AB4:AB503)</f>
        <v>376.791428898343</v>
      </c>
      <c r="AQ9">
        <f>SUMPRODUCT((AB4:AB503&gt;0)/(COUNTIFS($EN$4:$EN$503,$EN$4:$EN$503,AB4:AB503,"&gt;0")+(AB4:AB503&lt;=0)))</f>
        <v>7</v>
      </c>
      <c r="AS9" t="n">
        <v>6</v>
      </c>
      <c r="AT9" t="str">
        <f>IF(AS9&gt;$AL$7,"",INDEX($G$4:$G$503,MATCH(AS9,$R$4:$R$503,0)))</f>
        <v>ORION</v>
      </c>
      <c r="AU9">
        <f>SUMIF($V$4:$V$503,AS9,$E$4:$E$503)</f>
        <v>280</v>
      </c>
      <c r="AV9" s="168">
        <f>IF($AL$4=0,0,AU9/$AL$4)</f>
        <v>0.0810419681620839</v>
      </c>
      <c r="AW9" s="166">
        <f>SUMIF($V$4:$V$503,$AS9,W$4:W$503)</f>
        <v>28.3636363636364</v>
      </c>
      <c r="AX9" s="166">
        <f>SUMIF($V$4:$V$503,$AS9,X$4:X$503)</f>
        <v>48</v>
      </c>
      <c r="AY9" s="166">
        <f>SUMIF($V$4:$V$503,$AS9,Y$4:Y$503)</f>
        <v>43.6363636363636</v>
      </c>
      <c r="AZ9" s="166">
        <f>SUMIF($V$4:$V$503,$AS9,Z$4:Z$503)</f>
        <v>0</v>
      </c>
      <c r="BA9" s="166">
        <f>SUMIF($V$4:$V$503,$AS9,AA$4:AA$503)</f>
        <v>0</v>
      </c>
      <c r="BB9" s="166">
        <f>SUMIF($V$4:$V$503,$AS9,AB$4:AB$503)</f>
        <v>0</v>
      </c>
      <c r="BC9" s="166">
        <f>SUMIF($V$4:$V$503,$AS9,AC$4:AC$503)</f>
        <v>66.9090909090909</v>
      </c>
      <c r="BD9" s="166">
        <f>SUMIF($V$4:$V$503,$AS9,AD$4:AD$503)</f>
        <v>64</v>
      </c>
      <c r="BE9" s="166">
        <f>SUMIF($V$4:$V$503,$AS9,AE$4:AE$503)</f>
        <v>29.0909090909091</v>
      </c>
      <c r="BF9" s="166">
        <f>SUMIF($V$4:$V$503,$AS9,AF$4:AF$503)</f>
        <v>0</v>
      </c>
      <c r="BG9" s="166">
        <f>SUMIF($V$4:$V$503,$AS9,AG$4:AG$503)</f>
        <v>0</v>
      </c>
      <c r="BH9" s="166">
        <f>SUMIF($V$4:$V$503,$AS9,AH$4:AH$503)</f>
        <v>0</v>
      </c>
      <c r="BK9" t="n">
        <v>6</v>
      </c>
      <c r="BL9" t="str">
        <f>IF(BK9&gt;$AL$6,"",INDEX($F$4:$F$503,MATCH(BK9,$O$4:$O$503,0)))</f>
        <v/>
      </c>
      <c r="BM9" t="str">
        <f>IF(BL9="","",INDEX($N$4:$N$503,MATCH(BK9,$O$4:$O$503,0)))</f>
        <v/>
      </c>
      <c r="BO9" t="n">
        <v>6</v>
      </c>
      <c r="BP9" t="str">
        <f>IF(BO9&gt;$AL$7,"",INDEX($G$4:$G$503,MATCH(BO9,$R$4:$R$503,0)))</f>
        <v>ORION</v>
      </c>
      <c r="BQ9">
        <f>IF(BP9="","",INDEX($Q$4:$Q$503,MATCH(BO9,$R$4:$R$503,0)))</f>
        <v>280</v>
      </c>
      <c r="BW9" t="n">
        <v>6</v>
      </c>
      <c r="BX9">
        <f>IFERROR(MATCH(BW9,$EQ$4:$EQ$503,0),"")</f>
        <v>9</v>
      </c>
      <c r="BZ9" t="str">
        <f>IF(D9=1,IF(TRIM(INDEX(Charge!$K:$K,ROW()))&lt;&gt;"",TRIM(INDEX(Charge!$K:$K,ROW())),IF(TRIM(INDEX(Charge!$L:$L,ROW()))&lt;&gt;"",TRIM(INDEX(Charge!$L:$L,ROW())),"(non affecté)")),"")</f>
        <v>Léa Chevalier</v>
      </c>
      <c r="CA9" t="str">
        <f>IF(AND($CD$4&lt;&gt;"",BZ9=$CD$4),COUNTIFS($BZ$4:$BZ$503,$CD$4,$L$4:$L$503,"&lt;"&amp;L9)+1,"")</f>
        <v/>
      </c>
      <c r="CC9" t="inlineStr">
        <is>
          <t>Charge projets affectée, toutes périodes (h)</t>
        </is>
      </c>
      <c r="CD9" s="167">
        <f>IF(CD4="",0,SUMIF($BZ$4:$BZ$503,CD4,$E$4:$E$503))</f>
        <v>420</v>
      </c>
      <c r="CF9" t="n">
        <v>6</v>
      </c>
      <c r="CG9" s="169">
        <f>AB$3</f>
        <v>46419.0</v>
      </c>
      <c r="CH9" s="166">
        <f>IF($CD$4="",0,$CD$7)</f>
        <v>20</v>
      </c>
      <c r="CI9" s="166">
        <f>IF($CD$4="",0,SUMIF($BZ$4:$BZ$503,$CD$4,AB$4:AB$503))</f>
        <v>55.5555555555556</v>
      </c>
      <c r="CJ9" s="166">
        <f>CH9+CI9</f>
        <v>75.5555555555556</v>
      </c>
      <c r="CK9" s="166">
        <f>IF($CD$4="",0,$CD$6)</f>
        <v>120</v>
      </c>
      <c r="CL9" s="166">
        <f>IF(CN9&lt;0,MAX(0,MIN(CI9,CK9-CH9)),CI9)</f>
        <v>55.5555555555556</v>
      </c>
      <c r="CM9" s="166">
        <f>CI9-CL9</f>
        <v>0</v>
      </c>
      <c r="CN9" s="166">
        <f>CK9-CP9</f>
        <v>44</v>
      </c>
      <c r="CO9" s="170">
        <f>IF(CK9&lt;=0,IF(CP9&gt;0,9.99,0),CP9/CK9)</f>
        <v>0.633333333333333</v>
      </c>
      <c r="CP9">
        <f>ROUND(CJ9,0)</f>
        <v>76</v>
      </c>
      <c r="CQ9" t="str">
        <f>IF(CN9&lt;0,CF9,"")</f>
        <v/>
      </c>
      <c r="CS9" t="n">
        <v>6</v>
      </c>
      <c r="CT9" t="str">
        <f>IF(OR(FA9="",COUNTIF($FA$4:FA8,FA9)&gt;0),"",FA9)</f>
        <v>Paul Girard</v>
      </c>
      <c r="CU9">
        <f>IF(CT9="","",IF(FB9="Interne",IF(ISNUMBER(INDEX(Data!$F:$F,9)),INDEX(Data!$F:$F,9),p_HeuresETP),IF(ISNUMBER(INDEX(Data!$I:$I,9-$CD$23)),INDEX(Data!$I:$I,9-$CD$23),p_HeuresETP)))</f>
        <v>120</v>
      </c>
      <c r="CV9">
        <f>IF(CT9="","",IF(FB9="Interne",IF(ISNUMBER(INDEX(Data!$G:$G,9)),INDEX(Data!$G:$G,9),p_ChargeFixe),IF(ISNUMBER(INDEX(Data!$J:$J,9-$CD$23)),INDEX(Data!$J:$J,9-$CD$23),p_ChargeFixe)))</f>
        <v>20</v>
      </c>
      <c r="CW9" s="166">
        <f>IF($CT9="","",SUMIF($BZ$4:$BZ$503,$CT9,W$4:W$503))</f>
        <v>0</v>
      </c>
      <c r="CX9" s="166">
        <f>IF($CT9="","",SUMIF($BZ$4:$BZ$503,$CT9,X$4:X$503))</f>
        <v>0</v>
      </c>
      <c r="CY9" s="166">
        <f>IF($CT9="","",SUMIF($BZ$4:$BZ$503,$CT9,Y$4:Y$503))</f>
        <v>23.3333333333333</v>
      </c>
      <c r="CZ9" s="166">
        <f>IF($CT9="","",SUMIF($BZ$4:$BZ$503,$CT9,Z$4:Z$503))</f>
        <v>54.3055555555556</v>
      </c>
      <c r="DA9" s="166">
        <f>IF($CT9="","",SUMIF($BZ$4:$BZ$503,$CT9,AA$4:AA$503))</f>
        <v>49.5833333333333</v>
      </c>
      <c r="DB9" s="166">
        <f>IF($CT9="","",SUMIF($BZ$4:$BZ$503,$CT9,AB$4:AB$503))</f>
        <v>47.2222222222222</v>
      </c>
      <c r="DC9" s="166">
        <f>IF($CT9="","",SUMIF($BZ$4:$BZ$503,$CT9,AC$4:AC$503))</f>
        <v>25.5555555555556</v>
      </c>
      <c r="DD9" s="166">
        <f>IF($CT9="","",SUMIF($BZ$4:$BZ$503,$CT9,AD$4:AD$503))</f>
        <v>0</v>
      </c>
      <c r="DE9" s="166">
        <f>IF($CT9="","",SUMIF($BZ$4:$BZ$503,$CT9,AE$4:AE$503))</f>
        <v>0</v>
      </c>
      <c r="DF9" s="166">
        <f>IF($CT9="","",SUMIF($BZ$4:$BZ$503,$CT9,AF$4:AF$503))</f>
        <v>0</v>
      </c>
      <c r="DG9" s="166">
        <f>IF($CT9="","",SUMIF($BZ$4:$BZ$503,$CT9,AG$4:AG$503))</f>
        <v>0</v>
      </c>
      <c r="DH9" s="166">
        <f>IF($CT9="","",SUMIF($BZ$4:$BZ$503,$CT9,AH$4:AH$503))</f>
        <v>0</v>
      </c>
      <c r="DI9" s="170">
        <f>IF($CT9="","",IF($CU9&lt;=0,IF(ROUND($CV9+CW9,0)&gt;0,9.99,0),ROUND($CV9+CW9,0)/$CU9))</f>
        <v>0.166666666666667</v>
      </c>
      <c r="DJ9" s="170">
        <f>IF($CT9="","",IF($CU9&lt;=0,IF(ROUND($CV9+CX9,0)&gt;0,9.99,0),ROUND($CV9+CX9,0)/$CU9))</f>
        <v>0.166666666666667</v>
      </c>
      <c r="DK9" s="170">
        <f>IF($CT9="","",IF($CU9&lt;=0,IF(ROUND($CV9+CY9,0)&gt;0,9.99,0),ROUND($CV9+CY9,0)/$CU9))</f>
        <v>0.358333333333333</v>
      </c>
      <c r="DL9" s="170">
        <f>IF($CT9="","",IF($CU9&lt;=0,IF(ROUND($CV9+CZ9,0)&gt;0,9.99,0),ROUND($CV9+CZ9,0)/$CU9))</f>
        <v>0.616666666666667</v>
      </c>
      <c r="DM9" s="170">
        <f>IF($CT9="","",IF($CU9&lt;=0,IF(ROUND($CV9+DA9,0)&gt;0,9.99,0),ROUND($CV9+DA9,0)/$CU9))</f>
        <v>0.583333333333333</v>
      </c>
      <c r="DN9" s="170">
        <f>IF($CT9="","",IF($CU9&lt;=0,IF(ROUND($CV9+DB9,0)&gt;0,9.99,0),ROUND($CV9+DB9,0)/$CU9))</f>
        <v>0.558333333333333</v>
      </c>
      <c r="DO9" s="170">
        <f>IF($CT9="","",IF($CU9&lt;=0,IF(ROUND($CV9+DC9,0)&gt;0,9.99,0),ROUND($CV9+DC9,0)/$CU9))</f>
        <v>0.383333333333333</v>
      </c>
      <c r="DP9" s="170">
        <f>IF($CT9="","",IF($CU9&lt;=0,IF(ROUND($CV9+DD9,0)&gt;0,9.99,0),ROUND($CV9+DD9,0)/$CU9))</f>
        <v>0.166666666666667</v>
      </c>
      <c r="DQ9" s="170">
        <f>IF($CT9="","",IF($CU9&lt;=0,IF(ROUND($CV9+DE9,0)&gt;0,9.99,0),ROUND($CV9+DE9,0)/$CU9))</f>
        <v>0.166666666666667</v>
      </c>
      <c r="DR9" s="170">
        <f>IF($CT9="","",IF($CU9&lt;=0,IF(ROUND($CV9+DF9,0)&gt;0,9.99,0),ROUND($CV9+DF9,0)/$CU9))</f>
        <v>0.166666666666667</v>
      </c>
      <c r="DS9" s="170">
        <f>IF($CT9="","",IF($CU9&lt;=0,IF(ROUND($CV9+DG9,0)&gt;0,9.99,0),ROUND($CV9+DG9,0)/$CU9))</f>
        <v>0.166666666666667</v>
      </c>
      <c r="DT9" s="170">
        <f>IF($CT9="","",IF($CU9&lt;=0,IF(ROUND($CV9+DH9,0)&gt;0,9.99,0),ROUND($CV9+DH9,0)/$CU9))</f>
        <v>0.166666666666667</v>
      </c>
      <c r="DU9" s="170">
        <f>IF(CT9="","",MAX(DI9:DT9))</f>
        <v>0.616666666666667</v>
      </c>
      <c r="DV9" s="167">
        <f>IF(CT9="","",SUM(CW9:DH9))</f>
        <v>200</v>
      </c>
      <c r="DX9" t="n">
        <v>6</v>
      </c>
      <c r="DY9" t="str">
        <f>IFERROR(MATCH(DX9,$CA$4:$CA$503,0),"")</f>
        <v/>
      </c>
      <c r="DZ9" t="str">
        <f>IF(DY9="","",INDEX(Charge!$B:$B,DY9+3)&amp;"")</f>
        <v/>
      </c>
      <c r="EA9" t="str">
        <f>IF(DY9="","",INDEX(Charge!$C:$C,DY9+3)&amp;"")</f>
        <v/>
      </c>
      <c r="EB9" t="str">
        <f>IF(DY9="","",INDEX(Charge!$D:$D,DY9+3)&amp;"")</f>
        <v/>
      </c>
      <c r="EC9" t="str">
        <f>IF(DY9="","",INDEX(Charge!$A:$A,DY9+3)&amp;"")</f>
        <v/>
      </c>
      <c r="ED9" t="str">
        <f>IF(DY9="","",INDEX($E$4:$E$503,DY9))</f>
        <v/>
      </c>
      <c r="EE9" t="str">
        <f>IF(DY9="","",INDEX($AI$4:$AI$503,DY9))</f>
        <v/>
      </c>
      <c r="EF9" s="165" t="str">
        <f>IF(DY9="","",IF(ISNUMBER(INDEX(Charge!$N:$N,DY9+3)),INDEX(Charge!$N:$N,DY9+3),"—"))</f>
        <v/>
      </c>
      <c r="EG9" s="165" t="str">
        <f>IF(DY9="","",IF(ISNUMBER(INDEX(Charge!$F:$F,DY9+3)),INDEX(Charge!$F:$F,DY9+3),"—"))</f>
        <v/>
      </c>
      <c r="EH9" s="170" t="str">
        <f>IF(DY9="","",INDEX($C$4:$C$503,DY9))</f>
        <v/>
      </c>
      <c r="EJ9" t="str">
        <f>TRIM(INDEX(Data!$E:$E,ROW()))</f>
        <v/>
      </c>
      <c r="EK9" t="str">
        <f>TRIM(INDEX(Data!$H:$H,ROW()))</f>
        <v/>
      </c>
      <c r="EM9" t="str">
        <f>IF(D9=1,IF(TRIM(INDEX(Charge!$K:$K,ROW()))&lt;&gt;"","Interne",IF(TRIM(INDEX(Charge!$L:$L,ROW()))&lt;&gt;"","Externe","Non affecté")),"")</f>
        <v>Interne</v>
      </c>
      <c r="EN9" t="str">
        <f>IF(D9=1,LEFT(SUBSTITUTE(SUBSTITUTE(SUBSTITUTE(TRIM(SUBSTITUTE(INDEX(Charge!$B:$B,ROW()),CHAR(160)," "))&amp;" | "&amp;TRIM(SUBSTITUTE(INDEX(Charge!$C:$C,ROW()),CHAR(160)," "))&amp;" | "&amp;TRIM(SUBSTITUTE(INDEX(Charge!$D:$D,ROW()),CHAR(160)," ")),"~","-"),"*","+"),"?","!"),240),"")</f>
        <v>BORÉAL | Phase EXE | Groupe froid</v>
      </c>
      <c r="EO9">
        <f>IF(EN9="",0,IF(COUNTIF($EN$4:EN9,EN9)=1,1,0))</f>
        <v>1</v>
      </c>
      <c r="EP9" s="166">
        <f>IF(EO9=1,ROUND(SUMIF($EN$4:$EN$503,EN9,$E$4:$E$503),2),"")</f>
        <v>220</v>
      </c>
      <c r="EQ9">
        <f>IF(EO9=1,COUNTIFS($EO$4:$EO$503,1,$EP$4:$EP$503,"&gt;"&amp;EP9)+COUNTIFS($EO$4:EO9,1,$EP$4:EP9,EP9),"")</f>
        <v>7</v>
      </c>
      <c r="ER9">
        <f>IF(EO9=1,COUNTIFS($EN$4:$EN$503,EN9,$EM$4:$EM$503,"Interne",$FE$4:$FE$503,1),"")</f>
        <v>1</v>
      </c>
      <c r="ES9">
        <f>IF(EO9=1,COUNTIFS($EN$4:$EN$503,EN9,$EM$4:$EM$503,"Externe",$FE$4:$FE$503,1),"")</f>
        <v>0</v>
      </c>
      <c r="ET9" t="str">
        <f>IF(EO9=1,IF(ER9+ES9=0,"à affecter",IF(ER9=0,ES9&amp;" ext.",(ER9+ES9)&amp;IF(ES9&gt;0," dont "&amp;ES9&amp;" ext.",""))&amp;IF(COUNTIFS($EN$4:$EN$503,EN9,$EM$4:$EM$503,"Non affecté")&gt;0," + à affecter","")),"")</f>
        <v>1</v>
      </c>
      <c r="EU9" s="170">
        <f>IF(EO9=1,IF(EP9&gt;0,SUMPRODUCT(($EN$4:$EN$503=EN9)*$E$4:$E$503*$C$4:$C$503)/EP9,AVERAGEIF($EN$4:$EN$503,EN9,$C$4:$C$503)),"")</f>
        <v>0</v>
      </c>
      <c r="EV9" s="165">
        <f>IF(ISNUMBER(I9),I9,2958465)</f>
        <v>46419.0</v>
      </c>
      <c r="EW9" s="165">
        <f>IF(EO9=1,SUMPRODUCT(MIN(($EN$4:$EN$503=EN9)*$EV$4:$EV$503+($EN$4:$EN$503&lt;&gt;EN9)*2958465)),"")</f>
        <v>46419.0</v>
      </c>
      <c r="EX9" s="165">
        <f>IF(AND(D9=1,ISNUMBER(INDEX(Charge!$F:$F,ROW()))),INDEX(Charge!$F:$F,ROW()),0)</f>
        <v>46507.0</v>
      </c>
      <c r="EY9" s="165">
        <f>IF(EO9=1,SUMPRODUCT(MAX(($EN$4:$EN$503=EN9)*$EX$4:$EX$503)),"")</f>
        <v>46507.0</v>
      </c>
      <c r="FA9" t="str">
        <f>IF(6&lt;=$CD$23,INDEX($EJ$4:$EJ$203,6),IF(6-$CD$23&lt;=$CD$26,INDEX($EK$4:$EK$203,6-$CD$23),""))</f>
        <v>Paul Girard</v>
      </c>
      <c r="FB9" t="str">
        <f>IF(FA9="","",IF(6&lt;=$CD$23,"Interne","Externe"))</f>
        <v>Externe</v>
      </c>
      <c r="FD9">
        <f>IF(AND(B9=1,TRIM(INDEX(Charge!$K:$K,ROW()))&lt;&gt;"",TRIM(INDEX(Charge!$L:$L,ROW()))&lt;&gt;""),1,0)</f>
        <v>0</v>
      </c>
      <c r="FE9">
        <f>IF(OR(EN9="",BZ9="(non affecté)"),0,IF(COUNTIFS($EN$4:EN9,EN9,$BZ$4:BZ9,BZ9)=1,1,0))</f>
        <v>1</v>
      </c>
    </row>
    <row r="10">
      <c r="A10">
        <f>ROW()</f>
        <v>10</v>
      </c>
      <c r="B10">
        <f>IF(TRIM(INDEX(Charge!$B:$B,ROW()))&lt;&gt;"",1,0)</f>
        <v>1</v>
      </c>
      <c r="C10">
        <f>IF(B10=1,MIN(1,MAX(0,N(INDEX(Charge!$O:$O,ROW())))),0)</f>
        <v>0</v>
      </c>
      <c r="D10">
        <f>IF(B10=1,IF(OR(p_Perimetre="Tous les projets",C10&lt;1),1,0),0)</f>
        <v>1</v>
      </c>
      <c r="E10">
        <f>IF(D10=1,MAX(0,N(INDEX(Charge!$M:$M,ROW()))),0)</f>
        <v>90</v>
      </c>
      <c r="F10" t="str">
        <f>IF(D10=1,IF(TRIM(INDEX(Charge!$A:$A,ROW()))="","(non renseigné)",TRIM(INDEX(Charge!$A:$A,ROW()))),"")</f>
        <v>Thomas Bernard</v>
      </c>
      <c r="G10" t="str">
        <f>IF(D10=1,TRIM(INDEX(Charge!$B:$B,ROW())),"")</f>
        <v>BORÉAL</v>
      </c>
      <c r="H10" t="str">
        <f>IF(D10=1,IF(TRIM(INDEX(Charge!$E:$E,ROW()))="","(non renseigné)",TRIM(INDEX(Charge!$E:$E,ROW()))),"")</f>
        <v>Modification</v>
      </c>
      <c r="I10" s="165">
        <f>IF(AND(D10=1,ISNUMBER(INDEX(Charge!$N:$N,ROW()))),INDEX(Charge!$N:$N,ROW()),"")</f>
        <v>46405.0</v>
      </c>
      <c r="J10" s="165">
        <f>IF(I10="","",IF(AND(p_Repartition="Lissée jusqu'à la date de besoin",ISNUMBER(INDEX(Charge!$F:$F,ROW()))),IF(INDEX(Charge!$F:$F,ROW())&gt;=I10,INDEX(Charge!$F:$F,ROW()),I10),I10))</f>
        <v>46461.0</v>
      </c>
      <c r="K10">
        <f>IF(I10="","",NETWORKDAYS(I10,J10,Data!$K$4:$K$203))</f>
        <v>41</v>
      </c>
      <c r="L10">
        <f>IF(D10=1,COUNTIFS($D$4:$D$503,1,$E$4:$E$503,"&gt;"&amp;E10)+COUNTIFS($D$4:$D10,1,$E$4:$E10,E10),"")</f>
        <v>16</v>
      </c>
      <c r="M10">
        <f>IF(F10="",0,IF(COUNTIF($F$4:F10,F10)=1,1,0))</f>
        <v>0</v>
      </c>
      <c r="N10" t="str">
        <f>IF(M10=1,ROUND(SUMIF($F$4:$F$503,F10,$E$4:$E$503),2),"")</f>
        <v/>
      </c>
      <c r="O10" t="str">
        <f>IF(M10=1,COUNTIFS($M$4:$M$503,1,$N$4:$N$503,"&gt;"&amp;N10)+COUNTIFS($M$4:M10,1,$N$4:N10,N10),"")</f>
        <v/>
      </c>
      <c r="P10">
        <f>IF(G10="",0,IF(COUNTIF($G$4:G10,G10)=1,1,0))</f>
        <v>0</v>
      </c>
      <c r="Q10" t="str">
        <f>IF(P10=1,ROUND(SUMIF($G$4:$G$503,G10,$E$4:$E$503),2),"")</f>
        <v/>
      </c>
      <c r="R10" t="str">
        <f>IF(P10=1,COUNTIFS($P$4:$P$503,1,$Q$4:$Q$503,"&gt;"&amp;Q10)+COUNTIFS($P$4:P10,1,$Q$4:Q10,Q10),"")</f>
        <v/>
      </c>
      <c r="S10">
        <f>IF(H10="",0,IF(COUNTIF($H$4:H10,H10)=1,1,0))</f>
        <v>1</v>
      </c>
      <c r="T10">
        <f>IF(S10=1,ROUND(SUMIF($H$4:$H$503,H10,$E$4:$E$503),2),"")</f>
        <v>535</v>
      </c>
      <c r="U10">
        <f>IF(S10=1,COUNTIFS($S$4:$S$503,1,$T$4:$T$503,"&gt;"&amp;T10)+COUNTIFS($S$4:S10,1,$T$4:T10,T10),"")</f>
        <v>3</v>
      </c>
      <c r="V10">
        <f>IF(D10=1,MIN(INDEX($R$4:$R$503,MATCH(G10,$G$4:$G$503,0)),IF($AL$7&gt;9,9,999)),"")</f>
        <v>2</v>
      </c>
      <c r="W10" s="166">
        <f>IF(OR($I10="",$E10=0),0,IF(OR($J10&lt;W$3,$I10&gt;W$2),0,IF($K10=0,IF(AND($I10&gt;=W$3,$I10&lt;=W$2),$E10,0),$E10*NETWORKDAYS(MAX($I10,W$3),MIN($J10,W$2),Data!$K$4:$K$203)/$K10)))</f>
        <v>0</v>
      </c>
      <c r="X10" s="166">
        <f>IF(OR($I10="",$E10=0),0,IF(OR($J10&lt;X$3,$I10&gt;X$2),0,IF($K10=0,IF(AND($I10&gt;=X$3,$I10&lt;=X$2),$E10,0),$E10*NETWORKDAYS(MAX($I10,X$3),MIN($J10,X$2),Data!$K$4:$K$203)/$K10)))</f>
        <v>0</v>
      </c>
      <c r="Y10" s="166">
        <f>IF(OR($I10="",$E10=0),0,IF(OR($J10&lt;Y$3,$I10&gt;Y$2),0,IF($K10=0,IF(AND($I10&gt;=Y$3,$I10&lt;=Y$2),$E10,0),$E10*NETWORKDAYS(MAX($I10,Y$3),MIN($J10,Y$2),Data!$K$4:$K$203)/$K10)))</f>
        <v>0</v>
      </c>
      <c r="Z10" s="166">
        <f>IF(OR($I10="",$E10=0),0,IF(OR($J10&lt;Z$3,$I10&gt;Z$2),0,IF($K10=0,IF(AND($I10&gt;=Z$3,$I10&lt;=Z$2),$E10,0),$E10*NETWORKDAYS(MAX($I10,Z$3),MIN($J10,Z$2),Data!$K$4:$K$203)/$K10)))</f>
        <v>0</v>
      </c>
      <c r="AA10" s="166">
        <f>IF(OR($I10="",$E10=0),0,IF(OR($J10&lt;AA$3,$I10&gt;AA$2),0,IF($K10=0,IF(AND($I10&gt;=AA$3,$I10&lt;=AA$2),$E10,0),$E10*NETWORKDAYS(MAX($I10,AA$3),MIN($J10,AA$2),Data!$K$4:$K$203)/$K10)))</f>
        <v>21.9512195121951</v>
      </c>
      <c r="AB10" s="166">
        <f>IF(OR($I10="",$E10=0),0,IF(OR($J10&lt;AB$3,$I10&gt;AB$2),0,IF($K10=0,IF(AND($I10&gt;=AB$3,$I10&lt;=AB$2),$E10,0),$E10*NETWORKDAYS(MAX($I10,AB$3),MIN($J10,AB$2),Data!$K$4:$K$203)/$K10)))</f>
        <v>43.9024390243903</v>
      </c>
      <c r="AC10" s="166">
        <f>IF(OR($I10="",$E10=0),0,IF(OR($J10&lt;AC$3,$I10&gt;AC$2),0,IF($K10=0,IF(AND($I10&gt;=AC$3,$I10&lt;=AC$2),$E10,0),$E10*NETWORKDAYS(MAX($I10,AC$3),MIN($J10,AC$2),Data!$K$4:$K$203)/$K10)))</f>
        <v>24.1463414634146</v>
      </c>
      <c r="AD10" s="166">
        <f>IF(OR($I10="",$E10=0),0,IF(OR($J10&lt;AD$3,$I10&gt;AD$2),0,IF($K10=0,IF(AND($I10&gt;=AD$3,$I10&lt;=AD$2),$E10,0),$E10*NETWORKDAYS(MAX($I10,AD$3),MIN($J10,AD$2),Data!$K$4:$K$203)/$K10)))</f>
        <v>0</v>
      </c>
      <c r="AE10" s="166">
        <f>IF(OR($I10="",$E10=0),0,IF(OR($J10&lt;AE$3,$I10&gt;AE$2),0,IF($K10=0,IF(AND($I10&gt;=AE$3,$I10&lt;=AE$2),$E10,0),$E10*NETWORKDAYS(MAX($I10,AE$3),MIN($J10,AE$2),Data!$K$4:$K$203)/$K10)))</f>
        <v>0</v>
      </c>
      <c r="AF10" s="166">
        <f>IF(OR($I10="",$E10=0),0,IF(OR($J10&lt;AF$3,$I10&gt;AF$2),0,IF($K10=0,IF(AND($I10&gt;=AF$3,$I10&lt;=AF$2),$E10,0),$E10*NETWORKDAYS(MAX($I10,AF$3),MIN($J10,AF$2),Data!$K$4:$K$203)/$K10)))</f>
        <v>0</v>
      </c>
      <c r="AG10" s="166">
        <f>IF(OR($I10="",$E10=0),0,IF(OR($J10&lt;AG$3,$I10&gt;AG$2),0,IF($K10=0,IF(AND($I10&gt;=AG$3,$I10&lt;=AG$2),$E10,0),$E10*NETWORKDAYS(MAX($I10,AG$3),MIN($J10,AG$2),Data!$K$4:$K$203)/$K10)))</f>
        <v>0</v>
      </c>
      <c r="AH10" s="166">
        <f>IF(OR($I10="",$E10=0),0,IF(OR($J10&lt;AH$3,$I10&gt;AH$2),0,IF($K10=0,IF(AND($I10&gt;=AH$3,$I10&lt;=AH$2),$E10,0),$E10*NETWORKDAYS(MAX($I10,AH$3),MIN($J10,AH$2),Data!$K$4:$K$203)/$K10)))</f>
        <v>0</v>
      </c>
      <c r="AI10" s="166">
        <f>SUM(W10:AH10)</f>
        <v>90</v>
      </c>
      <c r="AK10" t="inlineStr">
        <is>
          <t>Reste à faire (h)</t>
        </is>
      </c>
      <c r="AL10" s="167">
        <f>AL4-AL9</f>
        <v>3115.5</v>
      </c>
      <c r="AN10" t="n">
        <v>7</v>
      </c>
      <c r="AO10" s="161">
        <f>AC$3</f>
        <v>46447.0</v>
      </c>
      <c r="AP10" s="167">
        <f>SUM(AC4:AC503)</f>
        <v>507.840504944044</v>
      </c>
      <c r="AQ10">
        <f>SUMPRODUCT((AC4:AC503&gt;0)/(COUNTIFS($EN$4:$EN$503,$EN$4:$EN$503,AC4:AC503,"&gt;0")+(AC4:AC503&lt;=0)))</f>
        <v>9</v>
      </c>
      <c r="AS10" t="n">
        <v>7</v>
      </c>
      <c r="AT10" t="str">
        <f>IF(AS10&gt;$AL$7,"",INDEX($G$4:$G$503,MATCH(AS10,$R$4:$R$503,0)))</f>
        <v>VEGA</v>
      </c>
      <c r="AU10">
        <f>SUMIF($V$4:$V$503,AS10,$E$4:$E$503)</f>
        <v>195</v>
      </c>
      <c r="AV10" s="168">
        <f>IF($AL$4=0,0,AU10/$AL$4)</f>
        <v>0.0564399421128799</v>
      </c>
      <c r="AW10" s="166">
        <f>SUMIF($V$4:$V$503,$AS10,W$4:W$503)</f>
        <v>0</v>
      </c>
      <c r="AX10" s="166">
        <f>SUMIF($V$4:$V$503,$AS10,X$4:X$503)</f>
        <v>0</v>
      </c>
      <c r="AY10" s="166">
        <f>SUMIF($V$4:$V$503,$AS10,Y$4:Y$503)</f>
        <v>12.75</v>
      </c>
      <c r="AZ10" s="166">
        <f>SUMIF($V$4:$V$503,$AS10,Z$4:Z$503)</f>
        <v>48.875</v>
      </c>
      <c r="BA10" s="166">
        <f>SUMIF($V$4:$V$503,$AS10,AA$4:AA$503)</f>
        <v>23.375</v>
      </c>
      <c r="BB10" s="166">
        <f>SUMIF($V$4:$V$503,$AS10,AB$4:AB$503)</f>
        <v>23.6842105263158</v>
      </c>
      <c r="BC10" s="166">
        <f>SUMIF($V$4:$V$503,$AS10,AC$4:AC$503)</f>
        <v>61.8713450292398</v>
      </c>
      <c r="BD10" s="166">
        <f>SUMIF($V$4:$V$503,$AS10,AD$4:AD$503)</f>
        <v>24.4444444444444</v>
      </c>
      <c r="BE10" s="166">
        <f>SUMIF($V$4:$V$503,$AS10,AE$4:AE$503)</f>
        <v>0</v>
      </c>
      <c r="BF10" s="166">
        <f>SUMIF($V$4:$V$503,$AS10,AF$4:AF$503)</f>
        <v>0</v>
      </c>
      <c r="BG10" s="166">
        <f>SUMIF($V$4:$V$503,$AS10,AG$4:AG$503)</f>
        <v>0</v>
      </c>
      <c r="BH10" s="166">
        <f>SUMIF($V$4:$V$503,$AS10,AH$4:AH$503)</f>
        <v>0</v>
      </c>
      <c r="BK10" t="n">
        <v>7</v>
      </c>
      <c r="BL10" t="str">
        <f>IF(BK10&gt;$AL$6,"",INDEX($F$4:$F$503,MATCH(BK10,$O$4:$O$503,0)))</f>
        <v/>
      </c>
      <c r="BM10" t="str">
        <f>IF(BL10="","",INDEX($N$4:$N$503,MATCH(BK10,$O$4:$O$503,0)))</f>
        <v/>
      </c>
      <c r="BO10" t="n">
        <v>7</v>
      </c>
      <c r="BP10" t="str">
        <f>IF(BO10&gt;$AL$7,"",INDEX($G$4:$G$503,MATCH(BO10,$R$4:$R$503,0)))</f>
        <v>VEGA</v>
      </c>
      <c r="BQ10">
        <f>IF(BP10="","",INDEX($Q$4:$Q$503,MATCH(BO10,$R$4:$R$503,0)))</f>
        <v>195</v>
      </c>
      <c r="BW10" t="n">
        <v>7</v>
      </c>
      <c r="BX10">
        <f>IFERROR(MATCH(BW10,$EQ$4:$EQ$503,0),"")</f>
        <v>6</v>
      </c>
      <c r="BZ10" t="str">
        <f>IF(D10=1,IF(TRIM(INDEX(Charge!$K:$K,ROW()))&lt;&gt;"",TRIM(INDEX(Charge!$K:$K,ROW())),IF(TRIM(INDEX(Charge!$L:$L,ROW()))&lt;&gt;"",TRIM(INDEX(Charge!$L:$L,ROW())),"(non affecté)")),"")</f>
        <v>Karim Haddad</v>
      </c>
      <c r="CA10" t="str">
        <f>IF(AND($CD$4&lt;&gt;"",BZ10=$CD$4),COUNTIFS($BZ$4:$BZ$503,$CD$4,$L$4:$L$503,"&lt;"&amp;L10)+1,"")</f>
        <v/>
      </c>
      <c r="CC10" t="inlineStr">
        <is>
          <t>Nombre d'affaires (sous-projets) de la ressource</t>
        </is>
      </c>
      <c r="CD10" s="171">
        <f>IF(CD4="",0,COUNTIFS($BZ$4:$BZ$503,CD4,$FE$4:$FE$503,1))</f>
        <v>2</v>
      </c>
      <c r="CF10" t="n">
        <v>7</v>
      </c>
      <c r="CG10" s="169">
        <f>AC$3</f>
        <v>46447.0</v>
      </c>
      <c r="CH10" s="166">
        <f>IF($CD$4="",0,$CD$7)</f>
        <v>20</v>
      </c>
      <c r="CI10" s="166">
        <f>IF($CD$4="",0,SUMIF($BZ$4:$BZ$503,$CD$4,AC$4:AC$503))</f>
        <v>63.8888888888889</v>
      </c>
      <c r="CJ10" s="166">
        <f>CH10+CI10</f>
        <v>83.8888888888889</v>
      </c>
      <c r="CK10" s="166">
        <f>IF($CD$4="",0,$CD$6)</f>
        <v>120</v>
      </c>
      <c r="CL10" s="166">
        <f>IF(CN10&lt;0,MAX(0,MIN(CI10,CK10-CH10)),CI10)</f>
        <v>63.8888888888889</v>
      </c>
      <c r="CM10" s="166">
        <f>CI10-CL10</f>
        <v>0</v>
      </c>
      <c r="CN10" s="166">
        <f>CK10-CP10</f>
        <v>36</v>
      </c>
      <c r="CO10" s="170">
        <f>IF(CK10&lt;=0,IF(CP10&gt;0,9.99,0),CP10/CK10)</f>
        <v>0.7</v>
      </c>
      <c r="CP10">
        <f>ROUND(CJ10,0)</f>
        <v>84</v>
      </c>
      <c r="CQ10" t="str">
        <f>IF(CN10&lt;0,CF10,"")</f>
        <v/>
      </c>
      <c r="CS10" t="n">
        <v>7</v>
      </c>
      <c r="CT10" t="str">
        <f>IF(OR(FA10="",COUNTIF($FA$4:FA9,FA10)&gt;0),"",FA10)</f>
        <v>Inès Morel</v>
      </c>
      <c r="CU10">
        <f>IF(CT10="","",IF(FB10="Interne",IF(ISNUMBER(INDEX(Data!$F:$F,10)),INDEX(Data!$F:$F,10),p_HeuresETP),IF(ISNUMBER(INDEX(Data!$I:$I,10-$CD$23)),INDEX(Data!$I:$I,10-$CD$23),p_HeuresETP)))</f>
        <v>120</v>
      </c>
      <c r="CV10">
        <f>IF(CT10="","",IF(FB10="Interne",IF(ISNUMBER(INDEX(Data!$G:$G,10)),INDEX(Data!$G:$G,10),p_ChargeFixe),IF(ISNUMBER(INDEX(Data!$J:$J,10-$CD$23)),INDEX(Data!$J:$J,10-$CD$23),p_ChargeFixe)))</f>
        <v>20</v>
      </c>
      <c r="CW10" s="166">
        <f>IF($CT10="","",SUMIF($BZ$4:$BZ$503,$CT10,W$4:W$503))</f>
        <v>0</v>
      </c>
      <c r="CX10" s="166">
        <f>IF($CT10="","",SUMIF($BZ$4:$BZ$503,$CT10,X$4:X$503))</f>
        <v>0</v>
      </c>
      <c r="CY10" s="166">
        <f>IF($CT10="","",SUMIF($BZ$4:$BZ$503,$CT10,Y$4:Y$503))</f>
        <v>0</v>
      </c>
      <c r="CZ10" s="166">
        <f>IF($CT10="","",SUMIF($BZ$4:$BZ$503,$CT10,Z$4:Z$503))</f>
        <v>0</v>
      </c>
      <c r="DA10" s="166">
        <f>IF($CT10="","",SUMIF($BZ$4:$BZ$503,$CT10,AA$4:AA$503))</f>
        <v>0</v>
      </c>
      <c r="DB10" s="166">
        <f>IF($CT10="","",SUMIF($BZ$4:$BZ$503,$CT10,AB$4:AB$503))</f>
        <v>0</v>
      </c>
      <c r="DC10" s="166">
        <f>IF($CT10="","",SUMIF($BZ$4:$BZ$503,$CT10,AC$4:AC$503))</f>
        <v>0</v>
      </c>
      <c r="DD10" s="166">
        <f>IF($CT10="","",SUMIF($BZ$4:$BZ$503,$CT10,AD$4:AD$503))</f>
        <v>42.3529411764706</v>
      </c>
      <c r="DE10" s="166">
        <f>IF($CT10="","",SUMIF($BZ$4:$BZ$503,$CT10,AE$4:AE$503))</f>
        <v>64.2352941176471</v>
      </c>
      <c r="DF10" s="166">
        <f>IF($CT10="","",SUMIF($BZ$4:$BZ$503,$CT10,AF$4:AF$503))</f>
        <v>67.2941176470588</v>
      </c>
      <c r="DG10" s="166">
        <f>IF($CT10="","",SUMIF($BZ$4:$BZ$503,$CT10,AG$4:AG$503))</f>
        <v>67.2941176470588</v>
      </c>
      <c r="DH10" s="166">
        <f>IF($CT10="","",SUMIF($BZ$4:$BZ$503,$CT10,AH$4:AH$503))</f>
        <v>18.8235294117647</v>
      </c>
      <c r="DI10" s="170">
        <f>IF($CT10="","",IF($CU10&lt;=0,IF(ROUND($CV10+CW10,0)&gt;0,9.99,0),ROUND($CV10+CW10,0)/$CU10))</f>
        <v>0.166666666666667</v>
      </c>
      <c r="DJ10" s="170">
        <f>IF($CT10="","",IF($CU10&lt;=0,IF(ROUND($CV10+CX10,0)&gt;0,9.99,0),ROUND($CV10+CX10,0)/$CU10))</f>
        <v>0.166666666666667</v>
      </c>
      <c r="DK10" s="170">
        <f>IF($CT10="","",IF($CU10&lt;=0,IF(ROUND($CV10+CY10,0)&gt;0,9.99,0),ROUND($CV10+CY10,0)/$CU10))</f>
        <v>0.166666666666667</v>
      </c>
      <c r="DL10" s="170">
        <f>IF($CT10="","",IF($CU10&lt;=0,IF(ROUND($CV10+CZ10,0)&gt;0,9.99,0),ROUND($CV10+CZ10,0)/$CU10))</f>
        <v>0.166666666666667</v>
      </c>
      <c r="DM10" s="170">
        <f>IF($CT10="","",IF($CU10&lt;=0,IF(ROUND($CV10+DA10,0)&gt;0,9.99,0),ROUND($CV10+DA10,0)/$CU10))</f>
        <v>0.166666666666667</v>
      </c>
      <c r="DN10" s="170">
        <f>IF($CT10="","",IF($CU10&lt;=0,IF(ROUND($CV10+DB10,0)&gt;0,9.99,0),ROUND($CV10+DB10,0)/$CU10))</f>
        <v>0.166666666666667</v>
      </c>
      <c r="DO10" s="170">
        <f>IF($CT10="","",IF($CU10&lt;=0,IF(ROUND($CV10+DC10,0)&gt;0,9.99,0),ROUND($CV10+DC10,0)/$CU10))</f>
        <v>0.166666666666667</v>
      </c>
      <c r="DP10" s="170">
        <f>IF($CT10="","",IF($CU10&lt;=0,IF(ROUND($CV10+DD10,0)&gt;0,9.99,0),ROUND($CV10+DD10,0)/$CU10))</f>
        <v>0.516666666666667</v>
      </c>
      <c r="DQ10" s="170">
        <f>IF($CT10="","",IF($CU10&lt;=0,IF(ROUND($CV10+DE10,0)&gt;0,9.99,0),ROUND($CV10+DE10,0)/$CU10))</f>
        <v>0.7</v>
      </c>
      <c r="DR10" s="170">
        <f>IF($CT10="","",IF($CU10&lt;=0,IF(ROUND($CV10+DF10,0)&gt;0,9.99,0),ROUND($CV10+DF10,0)/$CU10))</f>
        <v>0.725</v>
      </c>
      <c r="DS10" s="170">
        <f>IF($CT10="","",IF($CU10&lt;=0,IF(ROUND($CV10+DG10,0)&gt;0,9.99,0),ROUND($CV10+DG10,0)/$CU10))</f>
        <v>0.725</v>
      </c>
      <c r="DT10" s="170">
        <f>IF($CT10="","",IF($CU10&lt;=0,IF(ROUND($CV10+DH10,0)&gt;0,9.99,0),ROUND($CV10+DH10,0)/$CU10))</f>
        <v>0.325</v>
      </c>
      <c r="DU10" s="170">
        <f>IF(CT10="","",MAX(DI10:DT10))</f>
        <v>0.725</v>
      </c>
      <c r="DV10" s="167">
        <f>IF(CT10="","",SUM(CW10:DH10))</f>
        <v>260</v>
      </c>
      <c r="DX10" t="n">
        <v>7</v>
      </c>
      <c r="DY10" t="str">
        <f>IFERROR(MATCH(DX10,$CA$4:$CA$503,0),"")</f>
        <v/>
      </c>
      <c r="DZ10" t="str">
        <f>IF(DY10="","",INDEX(Charge!$B:$B,DY10+3)&amp;"")</f>
        <v/>
      </c>
      <c r="EA10" t="str">
        <f>IF(DY10="","",INDEX(Charge!$C:$C,DY10+3)&amp;"")</f>
        <v/>
      </c>
      <c r="EB10" t="str">
        <f>IF(DY10="","",INDEX(Charge!$D:$D,DY10+3)&amp;"")</f>
        <v/>
      </c>
      <c r="EC10" t="str">
        <f>IF(DY10="","",INDEX(Charge!$A:$A,DY10+3)&amp;"")</f>
        <v/>
      </c>
      <c r="ED10" t="str">
        <f>IF(DY10="","",INDEX($E$4:$E$503,DY10))</f>
        <v/>
      </c>
      <c r="EE10" t="str">
        <f>IF(DY10="","",INDEX($AI$4:$AI$503,DY10))</f>
        <v/>
      </c>
      <c r="EF10" s="165" t="str">
        <f>IF(DY10="","",IF(ISNUMBER(INDEX(Charge!$N:$N,DY10+3)),INDEX(Charge!$N:$N,DY10+3),"—"))</f>
        <v/>
      </c>
      <c r="EG10" s="165" t="str">
        <f>IF(DY10="","",IF(ISNUMBER(INDEX(Charge!$F:$F,DY10+3)),INDEX(Charge!$F:$F,DY10+3),"—"))</f>
        <v/>
      </c>
      <c r="EH10" s="170" t="str">
        <f>IF(DY10="","",INDEX($C$4:$C$503,DY10))</f>
        <v/>
      </c>
      <c r="EJ10" t="str">
        <f>TRIM(INDEX(Data!$E:$E,ROW()))</f>
        <v/>
      </c>
      <c r="EK10" t="str">
        <f>TRIM(INDEX(Data!$H:$H,ROW()))</f>
        <v/>
      </c>
      <c r="EM10" t="str">
        <f>IF(D10=1,IF(TRIM(INDEX(Charge!$K:$K,ROW()))&lt;&gt;"","Interne",IF(TRIM(INDEX(Charge!$L:$L,ROW()))&lt;&gt;"","Externe","Non affecté")),"")</f>
        <v>Externe</v>
      </c>
      <c r="EN10" t="str">
        <f>IF(D10=1,LEFT(SUBSTITUTE(SUBSTITUTE(SUBSTITUTE(TRIM(SUBSTITUTE(INDEX(Charge!$B:$B,ROW()),CHAR(160)," "))&amp;" | "&amp;TRIM(SUBSTITUTE(INDEX(Charge!$C:$C,ROW()),CHAR(160)," "))&amp;" | "&amp;TRIM(SUBSTITUTE(INDEX(Charge!$D:$D,ROW()),CHAR(160)," ")),"~","-"),"*","+"),"?","!"),240),"")</f>
        <v>BORÉAL | Phase EXE | Armoire de commande</v>
      </c>
      <c r="EO10">
        <f>IF(EN10="",0,IF(COUNTIF($EN$4:EN10,EN10)=1,1,0))</f>
        <v>1</v>
      </c>
      <c r="EP10" s="166">
        <f>IF(EO10=1,ROUND(SUMIF($EN$4:$EN$503,EN10,$E$4:$E$503),2),"")</f>
        <v>90</v>
      </c>
      <c r="EQ10">
        <f>IF(EO10=1,COUNTIFS($EO$4:$EO$503,1,$EP$4:$EP$503,"&gt;"&amp;EP10)+COUNTIFS($EO$4:EO10,1,$EP$4:EP10,EP10),"")</f>
        <v>13</v>
      </c>
      <c r="ER10">
        <f>IF(EO10=1,COUNTIFS($EN$4:$EN$503,EN10,$EM$4:$EM$503,"Interne",$FE$4:$FE$503,1),"")</f>
        <v>0</v>
      </c>
      <c r="ES10">
        <f>IF(EO10=1,COUNTIFS($EN$4:$EN$503,EN10,$EM$4:$EM$503,"Externe",$FE$4:$FE$503,1),"")</f>
        <v>1</v>
      </c>
      <c r="ET10" t="str">
        <f>IF(EO10=1,IF(ER10+ES10=0,"à affecter",IF(ER10=0,ES10&amp;" ext.",(ER10+ES10)&amp;IF(ES10&gt;0," dont "&amp;ES10&amp;" ext.",""))&amp;IF(COUNTIFS($EN$4:$EN$503,EN10,$EM$4:$EM$503,"Non affecté")&gt;0," + à affecter","")),"")</f>
        <v>1 ext.</v>
      </c>
      <c r="EU10" s="170">
        <f>IF(EO10=1,IF(EP10&gt;0,SUMPRODUCT(($EN$4:$EN$503=EN10)*$E$4:$E$503*$C$4:$C$503)/EP10,AVERAGEIF($EN$4:$EN$503,EN10,$C$4:$C$503)),"")</f>
        <v>0</v>
      </c>
      <c r="EV10" s="165">
        <f>IF(ISNUMBER(I10),I10,2958465)</f>
        <v>46405.0</v>
      </c>
      <c r="EW10" s="165">
        <f>IF(EO10=1,SUMPRODUCT(MIN(($EN$4:$EN$503=EN10)*$EV$4:$EV$503+($EN$4:$EN$503&lt;&gt;EN10)*2958465)),"")</f>
        <v>46405.0</v>
      </c>
      <c r="EX10" s="165">
        <f>IF(AND(D10=1,ISNUMBER(INDEX(Charge!$F:$F,ROW()))),INDEX(Charge!$F:$F,ROW()),0)</f>
        <v>46461.0</v>
      </c>
      <c r="EY10" s="165">
        <f>IF(EO10=1,SUMPRODUCT(MAX(($EN$4:$EN$503=EN10)*$EX$4:$EX$503)),"")</f>
        <v>46461.0</v>
      </c>
      <c r="FA10" t="str">
        <f>IF(7&lt;=$CD$23,INDEX($EJ$4:$EJ$203,7),IF(7-$CD$23&lt;=$CD$26,INDEX($EK$4:$EK$203,7-$CD$23),""))</f>
        <v>Inès Morel</v>
      </c>
      <c r="FB10" t="str">
        <f>IF(FA10="","",IF(7&lt;=$CD$23,"Interne","Externe"))</f>
        <v>Externe</v>
      </c>
      <c r="FD10">
        <f>IF(AND(B10=1,TRIM(INDEX(Charge!$K:$K,ROW()))&lt;&gt;"",TRIM(INDEX(Charge!$L:$L,ROW()))&lt;&gt;""),1,0)</f>
        <v>0</v>
      </c>
      <c r="FE10">
        <f>IF(OR(EN10="",BZ10="(non affecté)"),0,IF(COUNTIFS($EN$4:EN10,EN10,$BZ$4:BZ10,BZ10)=1,1,0))</f>
        <v>1</v>
      </c>
    </row>
    <row r="11">
      <c r="A11">
        <f>ROW()</f>
        <v>11</v>
      </c>
      <c r="B11">
        <f>IF(TRIM(INDEX(Charge!$B:$B,ROW()))&lt;&gt;"",1,0)</f>
        <v>1</v>
      </c>
      <c r="C11">
        <f>IF(B11=1,MIN(1,MAX(0,N(INDEX(Charge!$O:$O,ROW())))),0)</f>
        <v>0.5</v>
      </c>
      <c r="D11">
        <f>IF(B11=1,IF(OR(p_Perimetre="Tous les projets",C11&lt;1),1,0),0)</f>
        <v>1</v>
      </c>
      <c r="E11">
        <f>IF(D11=1,MAX(0,N(INDEX(Charge!$M:$M,ROW()))),0)</f>
        <v>150</v>
      </c>
      <c r="F11" t="str">
        <f>IF(D11=1,IF(TRIM(INDEX(Charge!$A:$A,ROW()))="","(non renseigné)",TRIM(INDEX(Charge!$A:$A,ROW()))),"")</f>
        <v>Sophie Lefèvre</v>
      </c>
      <c r="G11" t="str">
        <f>IF(D11=1,TRIM(INDEX(Charge!$B:$B,ROW())),"")</f>
        <v>CASSIOPÉE</v>
      </c>
      <c r="H11" t="str">
        <f>IF(D11=1,IF(TRIM(INDEX(Charge!$E:$E,ROW()))="","(non renseigné)",TRIM(INDEX(Charge!$E:$E,ROW()))),"")</f>
        <v>Modification</v>
      </c>
      <c r="I11" s="165">
        <f>IF(AND(D11=1,ISNUMBER(INDEX(Charge!$N:$N,ROW()))),INDEX(Charge!$N:$N,ROW()),"")</f>
        <v>46307.0</v>
      </c>
      <c r="J11" s="165">
        <f>IF(I11="","",IF(AND(p_Repartition="Lissée jusqu'à la date de besoin",ISNUMBER(INDEX(Charge!$F:$F,ROW()))),IF(INDEX(Charge!$F:$F,ROW())&gt;=I11,INDEX(Charge!$F:$F,ROW()),I11),I11))</f>
        <v>46374.0</v>
      </c>
      <c r="K11">
        <f>IF(I11="","",NETWORKDAYS(I11,J11,Data!$K$4:$K$203))</f>
        <v>50</v>
      </c>
      <c r="L11">
        <f>IF(D11=1,COUNTIFS($D$4:$D$503,1,$E$4:$E$503,"&gt;"&amp;E11)+COUNTIFS($D$4:$D11,1,$E$4:$E11,E11),"")</f>
        <v>11</v>
      </c>
      <c r="M11">
        <f>IF(F11="",0,IF(COUNTIF($F$4:F11,F11)=1,1,0))</f>
        <v>1</v>
      </c>
      <c r="N11">
        <f>IF(M11=1,ROUND(SUMIF($F$4:$F$503,F11,$E$4:$E$503),2),"")</f>
        <v>750</v>
      </c>
      <c r="O11">
        <f>IF(M11=1,COUNTIFS($M$4:$M$503,1,$N$4:$N$503,"&gt;"&amp;N11)+COUNTIFS($M$4:M11,1,$N$4:N11,N11),"")</f>
        <v>3</v>
      </c>
      <c r="P11">
        <f>IF(G11="",0,IF(COUNTIF($G$4:G11,G11)=1,1,0))</f>
        <v>1</v>
      </c>
      <c r="Q11">
        <f>IF(P11=1,ROUND(SUMIF($G$4:$G$503,G11,$E$4:$E$503),2),"")</f>
        <v>390</v>
      </c>
      <c r="R11">
        <f>IF(P11=1,COUNTIFS($P$4:$P$503,1,$Q$4:$Q$503,"&gt;"&amp;Q11)+COUNTIFS($P$4:P11,1,$Q$4:Q11,Q11),"")</f>
        <v>5</v>
      </c>
      <c r="S11">
        <f>IF(H11="",0,IF(COUNTIF($H$4:H11,H11)=1,1,0))</f>
        <v>0</v>
      </c>
      <c r="T11" t="str">
        <f>IF(S11=1,ROUND(SUMIF($H$4:$H$503,H11,$E$4:$E$503),2),"")</f>
        <v/>
      </c>
      <c r="U11" t="str">
        <f>IF(S11=1,COUNTIFS($S$4:$S$503,1,$T$4:$T$503,"&gt;"&amp;T11)+COUNTIFS($S$4:S11,1,$T$4:T11,T11),"")</f>
        <v/>
      </c>
      <c r="V11">
        <f>IF(D11=1,MIN(INDEX($R$4:$R$503,MATCH(G11,$G$4:$G$503,0)),IF($AL$7&gt;9,9,999)),"")</f>
        <v>5</v>
      </c>
      <c r="W11" s="166">
        <f>IF(OR($I11="",$E11=0),0,IF(OR($J11&lt;W$3,$I11&gt;W$2),0,IF($K11=0,IF(AND($I11&gt;=W$3,$I11&lt;=W$2),$E11,0),$E11*NETWORKDAYS(MAX($I11,W$3),MIN($J11,W$2),Data!$K$4:$K$203)/$K11)))</f>
        <v>0</v>
      </c>
      <c r="X11" s="166">
        <f>IF(OR($I11="",$E11=0),0,IF(OR($J11&lt;X$3,$I11&gt;X$2),0,IF($K11=0,IF(AND($I11&gt;=X$3,$I11&lt;=X$2),$E11,0),$E11*NETWORKDAYS(MAX($I11,X$3),MIN($J11,X$2),Data!$K$4:$K$203)/$K11)))</f>
        <v>45</v>
      </c>
      <c r="Y11" s="166">
        <f>IF(OR($I11="",$E11=0),0,IF(OR($J11&lt;Y$3,$I11&gt;Y$2),0,IF($K11=0,IF(AND($I11&gt;=Y$3,$I11&lt;=Y$2),$E11,0),$E11*NETWORKDAYS(MAX($I11,Y$3),MIN($J11,Y$2),Data!$K$4:$K$203)/$K11)))</f>
        <v>63</v>
      </c>
      <c r="Z11" s="166">
        <f>IF(OR($I11="",$E11=0),0,IF(OR($J11&lt;Z$3,$I11&gt;Z$2),0,IF($K11=0,IF(AND($I11&gt;=Z$3,$I11&lt;=Z$2),$E11,0),$E11*NETWORKDAYS(MAX($I11,Z$3),MIN($J11,Z$2),Data!$K$4:$K$203)/$K11)))</f>
        <v>42</v>
      </c>
      <c r="AA11" s="166">
        <f>IF(OR($I11="",$E11=0),0,IF(OR($J11&lt;AA$3,$I11&gt;AA$2),0,IF($K11=0,IF(AND($I11&gt;=AA$3,$I11&lt;=AA$2),$E11,0),$E11*NETWORKDAYS(MAX($I11,AA$3),MIN($J11,AA$2),Data!$K$4:$K$203)/$K11)))</f>
        <v>0</v>
      </c>
      <c r="AB11" s="166">
        <f>IF(OR($I11="",$E11=0),0,IF(OR($J11&lt;AB$3,$I11&gt;AB$2),0,IF($K11=0,IF(AND($I11&gt;=AB$3,$I11&lt;=AB$2),$E11,0),$E11*NETWORKDAYS(MAX($I11,AB$3),MIN($J11,AB$2),Data!$K$4:$K$203)/$K11)))</f>
        <v>0</v>
      </c>
      <c r="AC11" s="166">
        <f>IF(OR($I11="",$E11=0),0,IF(OR($J11&lt;AC$3,$I11&gt;AC$2),0,IF($K11=0,IF(AND($I11&gt;=AC$3,$I11&lt;=AC$2),$E11,0),$E11*NETWORKDAYS(MAX($I11,AC$3),MIN($J11,AC$2),Data!$K$4:$K$203)/$K11)))</f>
        <v>0</v>
      </c>
      <c r="AD11" s="166">
        <f>IF(OR($I11="",$E11=0),0,IF(OR($J11&lt;AD$3,$I11&gt;AD$2),0,IF($K11=0,IF(AND($I11&gt;=AD$3,$I11&lt;=AD$2),$E11,0),$E11*NETWORKDAYS(MAX($I11,AD$3),MIN($J11,AD$2),Data!$K$4:$K$203)/$K11)))</f>
        <v>0</v>
      </c>
      <c r="AE11" s="166">
        <f>IF(OR($I11="",$E11=0),0,IF(OR($J11&lt;AE$3,$I11&gt;AE$2),0,IF($K11=0,IF(AND($I11&gt;=AE$3,$I11&lt;=AE$2),$E11,0),$E11*NETWORKDAYS(MAX($I11,AE$3),MIN($J11,AE$2),Data!$K$4:$K$203)/$K11)))</f>
        <v>0</v>
      </c>
      <c r="AF11" s="166">
        <f>IF(OR($I11="",$E11=0),0,IF(OR($J11&lt;AF$3,$I11&gt;AF$2),0,IF($K11=0,IF(AND($I11&gt;=AF$3,$I11&lt;=AF$2),$E11,0),$E11*NETWORKDAYS(MAX($I11,AF$3),MIN($J11,AF$2),Data!$K$4:$K$203)/$K11)))</f>
        <v>0</v>
      </c>
      <c r="AG11" s="166">
        <f>IF(OR($I11="",$E11=0),0,IF(OR($J11&lt;AG$3,$I11&gt;AG$2),0,IF($K11=0,IF(AND($I11&gt;=AG$3,$I11&lt;=AG$2),$E11,0),$E11*NETWORKDAYS(MAX($I11,AG$3),MIN($J11,AG$2),Data!$K$4:$K$203)/$K11)))</f>
        <v>0</v>
      </c>
      <c r="AH11" s="166">
        <f>IF(OR($I11="",$E11=0),0,IF(OR($J11&lt;AH$3,$I11&gt;AH$2),0,IF($K11=0,IF(AND($I11&gt;=AH$3,$I11&lt;=AH$2),$E11,0),$E11*NETWORKDAYS(MAX($I11,AH$3),MIN($J11,AH$2),Data!$K$4:$K$203)/$K11)))</f>
        <v>0</v>
      </c>
      <c r="AI11" s="166">
        <f>SUM(W11:AH11)</f>
        <v>150</v>
      </c>
      <c r="AK11" t="inlineStr">
        <is>
          <t>Avancement moyen (moyenne simple des affaires)</t>
        </is>
      </c>
      <c r="AL11" s="168">
        <f>IF(AL5=0,0,SUM(EU4:EU503)/AL5)</f>
        <v>0.111204481792717</v>
      </c>
      <c r="AN11" t="n">
        <v>8</v>
      </c>
      <c r="AO11" s="161">
        <f>AD$3</f>
        <v>46478.0</v>
      </c>
      <c r="AP11" s="167">
        <f>SUM(AD4:AD503)</f>
        <v>416.608583946399</v>
      </c>
      <c r="AQ11">
        <f>SUMPRODUCT((AD4:AD503&gt;0)/(COUNTIFS($EN$4:$EN$503,$EN$4:$EN$503,AD4:AD503,"&gt;0")+(AD4:AD503&lt;=0)))</f>
        <v>7</v>
      </c>
      <c r="AS11" t="n">
        <v>8</v>
      </c>
      <c r="AT11" t="str">
        <f>IF(AS11&gt;$AL$7,"",INDEX($G$4:$G$503,MATCH(AS11,$R$4:$R$503,0)))</f>
        <v/>
      </c>
      <c r="AU11">
        <f>SUMIF($V$4:$V$503,AS11,$E$4:$E$503)</f>
        <v>0</v>
      </c>
      <c r="AV11" s="168">
        <f>IF($AL$4=0,0,AU11/$AL$4)</f>
        <v>0</v>
      </c>
      <c r="AW11" s="166">
        <f>SUMIF($V$4:$V$503,$AS11,W$4:W$503)</f>
        <v>0</v>
      </c>
      <c r="AX11" s="166">
        <f>SUMIF($V$4:$V$503,$AS11,X$4:X$503)</f>
        <v>0</v>
      </c>
      <c r="AY11" s="166">
        <f>SUMIF($V$4:$V$503,$AS11,Y$4:Y$503)</f>
        <v>0</v>
      </c>
      <c r="AZ11" s="166">
        <f>SUMIF($V$4:$V$503,$AS11,Z$4:Z$503)</f>
        <v>0</v>
      </c>
      <c r="BA11" s="166">
        <f>SUMIF($V$4:$V$503,$AS11,AA$4:AA$503)</f>
        <v>0</v>
      </c>
      <c r="BB11" s="166">
        <f>SUMIF($V$4:$V$503,$AS11,AB$4:AB$503)</f>
        <v>0</v>
      </c>
      <c r="BC11" s="166">
        <f>SUMIF($V$4:$V$503,$AS11,AC$4:AC$503)</f>
        <v>0</v>
      </c>
      <c r="BD11" s="166">
        <f>SUMIF($V$4:$V$503,$AS11,AD$4:AD$503)</f>
        <v>0</v>
      </c>
      <c r="BE11" s="166">
        <f>SUMIF($V$4:$V$503,$AS11,AE$4:AE$503)</f>
        <v>0</v>
      </c>
      <c r="BF11" s="166">
        <f>SUMIF($V$4:$V$503,$AS11,AF$4:AF$503)</f>
        <v>0</v>
      </c>
      <c r="BG11" s="166">
        <f>SUMIF($V$4:$V$503,$AS11,AG$4:AG$503)</f>
        <v>0</v>
      </c>
      <c r="BH11" s="166">
        <f>SUMIF($V$4:$V$503,$AS11,AH$4:AH$503)</f>
        <v>0</v>
      </c>
      <c r="BK11" t="n">
        <v>8</v>
      </c>
      <c r="BL11" t="str">
        <f>IF(BK11&gt;$AL$6,"",IF($AL$6&gt;8,"+ "&amp;($AL$6-7)&amp;" autres",INDEX($F$4:$F$503,MATCH(BK11,$O$4:$O$503,0))))</f>
        <v/>
      </c>
      <c r="BM11" t="str">
        <f>IF(BL11="","",IF($AL$6&gt;8,$AL$4-SUM(BM4:BM10),INDEX($N$4:$N$503,MATCH(BK11,$O$4:$O$503,0))))</f>
        <v/>
      </c>
      <c r="BO11" t="n">
        <v>8</v>
      </c>
      <c r="BP11" t="str">
        <f>IF(BO11&gt;$AL$7,"",IF($AL$7&gt;8,"+ "&amp;($AL$7-7)&amp;" autres projets",INDEX($G$4:$G$503,MATCH(BO11,$R$4:$R$503,0))))</f>
        <v/>
      </c>
      <c r="BQ11" t="str">
        <f>IF(BP11="","",IF($AL$7&gt;8,$AL$4-SUM(BQ4:BQ10),INDEX($Q$4:$Q$503,MATCH(BO11,$R$4:$R$503,0))))</f>
        <v/>
      </c>
      <c r="BW11" t="n">
        <v>8</v>
      </c>
      <c r="BX11">
        <f>IFERROR(MATCH(BW11,$EQ$4:$EQ$503,0),"")</f>
        <v>23</v>
      </c>
      <c r="BZ11" t="str">
        <f>IF(D11=1,IF(TRIM(INDEX(Charge!$K:$K,ROW()))&lt;&gt;"",TRIM(INDEX(Charge!$K:$K,ROW())),IF(TRIM(INDEX(Charge!$L:$L,ROW()))&lt;&gt;"",TRIM(INDEX(Charge!$L:$L,ROW())),"(non affecté)")),"")</f>
        <v>Hugo Mercier</v>
      </c>
      <c r="CA11" t="str">
        <f>IF(AND($CD$4&lt;&gt;"",BZ11=$CD$4),COUNTIFS($BZ$4:$BZ$503,$CD$4,$L$4:$L$503,"&lt;"&amp;L11)+1,"")</f>
        <v/>
      </c>
      <c r="CC11" t="inlineStr">
        <is>
          <t>Charge projets sur la période affichée (h)</t>
        </is>
      </c>
      <c r="CD11" s="167">
        <f>SUM(CI4:CI15)</f>
        <v>420</v>
      </c>
      <c r="CF11" t="n">
        <v>8</v>
      </c>
      <c r="CG11" s="169">
        <f>AD$3</f>
        <v>46478.0</v>
      </c>
      <c r="CH11" s="166">
        <f>IF($CD$4="",0,$CD$7)</f>
        <v>20</v>
      </c>
      <c r="CI11" s="166">
        <f>IF($CD$4="",0,SUMIF($BZ$4:$BZ$503,$CD$4,AD$4:AD$503))</f>
        <v>0</v>
      </c>
      <c r="CJ11" s="166">
        <f>CH11+CI11</f>
        <v>20</v>
      </c>
      <c r="CK11" s="166">
        <f>IF($CD$4="",0,$CD$6)</f>
        <v>120</v>
      </c>
      <c r="CL11" s="166">
        <f>IF(CN11&lt;0,MAX(0,MIN(CI11,CK11-CH11)),CI11)</f>
        <v>0</v>
      </c>
      <c r="CM11" s="166">
        <f>CI11-CL11</f>
        <v>0</v>
      </c>
      <c r="CN11" s="166">
        <f>CK11-CP11</f>
        <v>100</v>
      </c>
      <c r="CO11" s="170">
        <f>IF(CK11&lt;=0,IF(CP11&gt;0,9.99,0),CP11/CK11)</f>
        <v>0.166666666666667</v>
      </c>
      <c r="CP11">
        <f>ROUND(CJ11,0)</f>
        <v>20</v>
      </c>
      <c r="CQ11" t="str">
        <f>IF(CN11&lt;0,CF11,"")</f>
        <v/>
      </c>
      <c r="CS11" t="n">
        <v>8</v>
      </c>
      <c r="CT11" t="str">
        <f>IF(OR(FA11="",COUNTIF($FA$4:FA10,FA11)&gt;0),"",FA11)</f>
        <v>Karim Haddad</v>
      </c>
      <c r="CU11">
        <f>IF(CT11="","",IF(FB11="Interne",IF(ISNUMBER(INDEX(Data!$F:$F,11)),INDEX(Data!$F:$F,11),p_HeuresETP),IF(ISNUMBER(INDEX(Data!$I:$I,11-$CD$23)),INDEX(Data!$I:$I,11-$CD$23),p_HeuresETP)))</f>
        <v>120</v>
      </c>
      <c r="CV11">
        <f>IF(CT11="","",IF(FB11="Interne",IF(ISNUMBER(INDEX(Data!$G:$G,11)),INDEX(Data!$G:$G,11),p_ChargeFixe),IF(ISNUMBER(INDEX(Data!$J:$J,11-$CD$23)),INDEX(Data!$J:$J,11-$CD$23),p_ChargeFixe)))</f>
        <v>20</v>
      </c>
      <c r="CW11" s="166">
        <f>IF($CT11="","",SUMIF($BZ$4:$BZ$503,$CT11,W$4:W$503))</f>
        <v>0</v>
      </c>
      <c r="CX11" s="166">
        <f>IF($CT11="","",SUMIF($BZ$4:$BZ$503,$CT11,X$4:X$503))</f>
        <v>0</v>
      </c>
      <c r="CY11" s="166">
        <f>IF($CT11="","",SUMIF($BZ$4:$BZ$503,$CT11,Y$4:Y$503))</f>
        <v>0</v>
      </c>
      <c r="CZ11" s="166">
        <f>IF($CT11="","",SUMIF($BZ$4:$BZ$503,$CT11,Z$4:Z$503))</f>
        <v>0</v>
      </c>
      <c r="DA11" s="166">
        <f>IF($CT11="","",SUMIF($BZ$4:$BZ$503,$CT11,AA$4:AA$503))</f>
        <v>21.9512195121951</v>
      </c>
      <c r="DB11" s="166">
        <f>IF($CT11="","",SUMIF($BZ$4:$BZ$503,$CT11,AB$4:AB$503))</f>
        <v>43.9024390243903</v>
      </c>
      <c r="DC11" s="166">
        <f>IF($CT11="","",SUMIF($BZ$4:$BZ$503,$CT11,AC$4:AC$503))</f>
        <v>40.3963414634146</v>
      </c>
      <c r="DD11" s="166">
        <f>IF($CT11="","",SUMIF($BZ$4:$BZ$503,$CT11,AD$4:AD$503))</f>
        <v>27.5</v>
      </c>
      <c r="DE11" s="166">
        <f>IF($CT11="","",SUMIF($BZ$4:$BZ$503,$CT11,AE$4:AE$503))</f>
        <v>26.25</v>
      </c>
      <c r="DF11" s="166">
        <f>IF($CT11="","",SUMIF($BZ$4:$BZ$503,$CT11,AF$4:AF$503))</f>
        <v>27.5</v>
      </c>
      <c r="DG11" s="166">
        <f>IF($CT11="","",SUMIF($BZ$4:$BZ$503,$CT11,AG$4:AG$503))</f>
        <v>27.5</v>
      </c>
      <c r="DH11" s="166">
        <f>IF($CT11="","",SUMIF($BZ$4:$BZ$503,$CT11,AH$4:AH$503))</f>
        <v>27.5</v>
      </c>
      <c r="DI11" s="170">
        <f>IF($CT11="","",IF($CU11&lt;=0,IF(ROUND($CV11+CW11,0)&gt;0,9.99,0),ROUND($CV11+CW11,0)/$CU11))</f>
        <v>0.166666666666667</v>
      </c>
      <c r="DJ11" s="170">
        <f>IF($CT11="","",IF($CU11&lt;=0,IF(ROUND($CV11+CX11,0)&gt;0,9.99,0),ROUND($CV11+CX11,0)/$CU11))</f>
        <v>0.166666666666667</v>
      </c>
      <c r="DK11" s="170">
        <f>IF($CT11="","",IF($CU11&lt;=0,IF(ROUND($CV11+CY11,0)&gt;0,9.99,0),ROUND($CV11+CY11,0)/$CU11))</f>
        <v>0.166666666666667</v>
      </c>
      <c r="DL11" s="170">
        <f>IF($CT11="","",IF($CU11&lt;=0,IF(ROUND($CV11+CZ11,0)&gt;0,9.99,0),ROUND($CV11+CZ11,0)/$CU11))</f>
        <v>0.166666666666667</v>
      </c>
      <c r="DM11" s="170">
        <f>IF($CT11="","",IF($CU11&lt;=0,IF(ROUND($CV11+DA11,0)&gt;0,9.99,0),ROUND($CV11+DA11,0)/$CU11))</f>
        <v>0.35</v>
      </c>
      <c r="DN11" s="170">
        <f>IF($CT11="","",IF($CU11&lt;=0,IF(ROUND($CV11+DB11,0)&gt;0,9.99,0),ROUND($CV11+DB11,0)/$CU11))</f>
        <v>0.533333333333333</v>
      </c>
      <c r="DO11" s="170">
        <f>IF($CT11="","",IF($CU11&lt;=0,IF(ROUND($CV11+DC11,0)&gt;0,9.99,0),ROUND($CV11+DC11,0)/$CU11))</f>
        <v>0.5</v>
      </c>
      <c r="DP11" s="170">
        <f>IF($CT11="","",IF($CU11&lt;=0,IF(ROUND($CV11+DD11,0)&gt;0,9.99,0),ROUND($CV11+DD11,0)/$CU11))</f>
        <v>0.4</v>
      </c>
      <c r="DQ11" s="170">
        <f>IF($CT11="","",IF($CU11&lt;=0,IF(ROUND($CV11+DE11,0)&gt;0,9.99,0),ROUND($CV11+DE11,0)/$CU11))</f>
        <v>0.383333333333333</v>
      </c>
      <c r="DR11" s="170">
        <f>IF($CT11="","",IF($CU11&lt;=0,IF(ROUND($CV11+DF11,0)&gt;0,9.99,0),ROUND($CV11+DF11,0)/$CU11))</f>
        <v>0.4</v>
      </c>
      <c r="DS11" s="170">
        <f>IF($CT11="","",IF($CU11&lt;=0,IF(ROUND($CV11+DG11,0)&gt;0,9.99,0),ROUND($CV11+DG11,0)/$CU11))</f>
        <v>0.4</v>
      </c>
      <c r="DT11" s="170">
        <f>IF($CT11="","",IF($CU11&lt;=0,IF(ROUND($CV11+DH11,0)&gt;0,9.99,0),ROUND($CV11+DH11,0)/$CU11))</f>
        <v>0.4</v>
      </c>
      <c r="DU11" s="170">
        <f>IF(CT11="","",MAX(DI11:DT11))</f>
        <v>0.533333333333333</v>
      </c>
      <c r="DV11" s="167">
        <f>IF(CT11="","",SUM(CW11:DH11))</f>
        <v>242.5</v>
      </c>
      <c r="DX11" t="n">
        <v>8</v>
      </c>
      <c r="DY11" t="str">
        <f>IFERROR(MATCH(DX11,$CA$4:$CA$503,0),"")</f>
        <v/>
      </c>
      <c r="DZ11" t="str">
        <f>IF(DY11="","",INDEX(Charge!$B:$B,DY11+3)&amp;"")</f>
        <v/>
      </c>
      <c r="EA11" t="str">
        <f>IF(DY11="","",INDEX(Charge!$C:$C,DY11+3)&amp;"")</f>
        <v/>
      </c>
      <c r="EB11" t="str">
        <f>IF(DY11="","",INDEX(Charge!$D:$D,DY11+3)&amp;"")</f>
        <v/>
      </c>
      <c r="EC11" t="str">
        <f>IF(DY11="","",INDEX(Charge!$A:$A,DY11+3)&amp;"")</f>
        <v/>
      </c>
      <c r="ED11" t="str">
        <f>IF(DY11="","",INDEX($E$4:$E$503,DY11))</f>
        <v/>
      </c>
      <c r="EE11" t="str">
        <f>IF(DY11="","",INDEX($AI$4:$AI$503,DY11))</f>
        <v/>
      </c>
      <c r="EF11" s="165" t="str">
        <f>IF(DY11="","",IF(ISNUMBER(INDEX(Charge!$N:$N,DY11+3)),INDEX(Charge!$N:$N,DY11+3),"—"))</f>
        <v/>
      </c>
      <c r="EG11" s="165" t="str">
        <f>IF(DY11="","",IF(ISNUMBER(INDEX(Charge!$F:$F,DY11+3)),INDEX(Charge!$F:$F,DY11+3),"—"))</f>
        <v/>
      </c>
      <c r="EH11" s="170" t="str">
        <f>IF(DY11="","",INDEX($C$4:$C$503,DY11))</f>
        <v/>
      </c>
      <c r="EJ11" t="str">
        <f>TRIM(INDEX(Data!$E:$E,ROW()))</f>
        <v/>
      </c>
      <c r="EK11" t="str">
        <f>TRIM(INDEX(Data!$H:$H,ROW()))</f>
        <v/>
      </c>
      <c r="EM11" t="str">
        <f>IF(D11=1,IF(TRIM(INDEX(Charge!$K:$K,ROW()))&lt;&gt;"","Interne",IF(TRIM(INDEX(Charge!$L:$L,ROW()))&lt;&gt;"","Externe","Non affecté")),"")</f>
        <v>Interne</v>
      </c>
      <c r="EN11" t="str">
        <f>IF(D11=1,LEFT(SUBSTITUTE(SUBSTITUTE(SUBSTITUTE(TRIM(SUBSTITUTE(INDEX(Charge!$B:$B,ROW()),CHAR(160)," "))&amp;" | "&amp;TRIM(SUBSTITUTE(INDEX(Charge!$C:$C,ROW()),CHAR(160)," "))&amp;" | "&amp;TRIM(SUBSTITUTE(INDEX(Charge!$D:$D,ROW()),CHAR(160)," ")),"~","-"),"*","+"),"?","!"),240),"")</f>
        <v>CASSIOPÉE | Rétrofit ligne 2 | Convoyeur</v>
      </c>
      <c r="EO11">
        <f>IF(EN11="",0,IF(COUNTIF($EN$4:EN11,EN11)=1,1,0))</f>
        <v>1</v>
      </c>
      <c r="EP11" s="166">
        <f>IF(EO11=1,ROUND(SUMIF($EN$4:$EN$503,EN11,$E$4:$E$503),2),"")</f>
        <v>150</v>
      </c>
      <c r="EQ11">
        <f>IF(EO11=1,COUNTIFS($EO$4:$EO$503,1,$EP$4:$EP$503,"&gt;"&amp;EP11)+COUNTIFS($EO$4:EO11,1,$EP$4:EP11,EP11),"")</f>
        <v>11</v>
      </c>
      <c r="ER11">
        <f>IF(EO11=1,COUNTIFS($EN$4:$EN$503,EN11,$EM$4:$EM$503,"Interne",$FE$4:$FE$503,1),"")</f>
        <v>1</v>
      </c>
      <c r="ES11">
        <f>IF(EO11=1,COUNTIFS($EN$4:$EN$503,EN11,$EM$4:$EM$503,"Externe",$FE$4:$FE$503,1),"")</f>
        <v>0</v>
      </c>
      <c r="ET11" t="str">
        <f>IF(EO11=1,IF(ER11+ES11=0,"à affecter",IF(ER11=0,ES11&amp;" ext.",(ER11+ES11)&amp;IF(ES11&gt;0," dont "&amp;ES11&amp;" ext.",""))&amp;IF(COUNTIFS($EN$4:$EN$503,EN11,$EM$4:$EM$503,"Non affecté")&gt;0," + à affecter","")),"")</f>
        <v>1</v>
      </c>
      <c r="EU11" s="170">
        <f>IF(EO11=1,IF(EP11&gt;0,SUMPRODUCT(($EN$4:$EN$503=EN11)*$E$4:$E$503*$C$4:$C$503)/EP11,AVERAGEIF($EN$4:$EN$503,EN11,$C$4:$C$503)),"")</f>
        <v>0.5</v>
      </c>
      <c r="EV11" s="165">
        <f>IF(ISNUMBER(I11),I11,2958465)</f>
        <v>46307.0</v>
      </c>
      <c r="EW11" s="165">
        <f>IF(EO11=1,SUMPRODUCT(MIN(($EN$4:$EN$503=EN11)*$EV$4:$EV$503+($EN$4:$EN$503&lt;&gt;EN11)*2958465)),"")</f>
        <v>46307.0</v>
      </c>
      <c r="EX11" s="165">
        <f>IF(AND(D11=1,ISNUMBER(INDEX(Charge!$F:$F,ROW()))),INDEX(Charge!$F:$F,ROW()),0)</f>
        <v>46374.0</v>
      </c>
      <c r="EY11" s="165">
        <f>IF(EO11=1,SUMPRODUCT(MAX(($EN$4:$EN$503=EN11)*$EX$4:$EX$503)),"")</f>
        <v>46374.0</v>
      </c>
      <c r="FA11" t="str">
        <f>IF(8&lt;=$CD$23,INDEX($EJ$4:$EJ$203,8),IF(8-$CD$23&lt;=$CD$26,INDEX($EK$4:$EK$203,8-$CD$23),""))</f>
        <v>Karim Haddad</v>
      </c>
      <c r="FB11" t="str">
        <f>IF(FA11="","",IF(8&lt;=$CD$23,"Interne","Externe"))</f>
        <v>Externe</v>
      </c>
      <c r="FD11">
        <f>IF(AND(B11=1,TRIM(INDEX(Charge!$K:$K,ROW()))&lt;&gt;"",TRIM(INDEX(Charge!$L:$L,ROW()))&lt;&gt;""),1,0)</f>
        <v>0</v>
      </c>
      <c r="FE11">
        <f>IF(OR(EN11="",BZ11="(non affecté)"),0,IF(COUNTIFS($EN$4:EN11,EN11,$BZ$4:BZ11,BZ11)=1,1,0))</f>
        <v>1</v>
      </c>
    </row>
    <row r="12">
      <c r="A12">
        <f>ROW()</f>
        <v>12</v>
      </c>
      <c r="B12">
        <f>IF(TRIM(INDEX(Charge!$B:$B,ROW()))&lt;&gt;"",1,0)</f>
        <v>1</v>
      </c>
      <c r="C12">
        <f>IF(B12=1,MIN(1,MAX(0,N(INDEX(Charge!$O:$O,ROW())))),0)</f>
        <v>0.05</v>
      </c>
      <c r="D12">
        <f>IF(B12=1,IF(OR(p_Perimetre="Tous les projets",C12&lt;1),1,0),0)</f>
        <v>1</v>
      </c>
      <c r="E12">
        <f>IF(D12=1,MAX(0,N(INDEX(Charge!$M:$M,ROW()))),0)</f>
        <v>160</v>
      </c>
      <c r="F12" t="str">
        <f>IF(D12=1,IF(TRIM(INDEX(Charge!$A:$A,ROW()))="","(non renseigné)",TRIM(INDEX(Charge!$A:$A,ROW()))),"")</f>
        <v>Sophie Lefèvre</v>
      </c>
      <c r="G12" t="str">
        <f>IF(D12=1,TRIM(INDEX(Charge!$B:$B,ROW())),"")</f>
        <v>CASSIOPÉE</v>
      </c>
      <c r="H12" t="str">
        <f>IF(D12=1,IF(TRIM(INDEX(Charge!$E:$E,ROW()))="","(non renseigné)",TRIM(INDEX(Charge!$E:$E,ROW()))),"")</f>
        <v>Étude de conception</v>
      </c>
      <c r="I12" s="165">
        <f>IF(AND(D12=1,ISNUMBER(INDEX(Charge!$N:$N,ROW()))),INDEX(Charge!$N:$N,ROW()),"")</f>
        <v>46357.0</v>
      </c>
      <c r="J12" s="165">
        <f>IF(I12="","",IF(AND(p_Repartition="Lissée jusqu'à la date de besoin",ISNUMBER(INDEX(Charge!$F:$F,ROW()))),IF(INDEX(Charge!$F:$F,ROW())&gt;=I12,INDEX(Charge!$F:$F,ROW()),I12),I12))</f>
        <v>46444.0</v>
      </c>
      <c r="K12">
        <f>IF(I12="","",NETWORKDAYS(I12,J12,Data!$K$4:$K$203))</f>
        <v>64</v>
      </c>
      <c r="L12">
        <f>IF(D12=1,COUNTIFS($D$4:$D$503,1,$E$4:$E$503,"&gt;"&amp;E12)+COUNTIFS($D$4:$D12,1,$E$4:$E12,E12),"")</f>
        <v>9</v>
      </c>
      <c r="M12">
        <f>IF(F12="",0,IF(COUNTIF($F$4:F12,F12)=1,1,0))</f>
        <v>0</v>
      </c>
      <c r="N12" t="str">
        <f>IF(M12=1,ROUND(SUMIF($F$4:$F$503,F12,$E$4:$E$503),2),"")</f>
        <v/>
      </c>
      <c r="O12" t="str">
        <f>IF(M12=1,COUNTIFS($M$4:$M$503,1,$N$4:$N$503,"&gt;"&amp;N12)+COUNTIFS($M$4:M12,1,$N$4:N12,N12),"")</f>
        <v/>
      </c>
      <c r="P12">
        <f>IF(G12="",0,IF(COUNTIF($G$4:G12,G12)=1,1,0))</f>
        <v>0</v>
      </c>
      <c r="Q12" t="str">
        <f>IF(P12=1,ROUND(SUMIF($G$4:$G$503,G12,$E$4:$E$503),2),"")</f>
        <v/>
      </c>
      <c r="R12" t="str">
        <f>IF(P12=1,COUNTIFS($P$4:$P$503,1,$Q$4:$Q$503,"&gt;"&amp;Q12)+COUNTIFS($P$4:P12,1,$Q$4:Q12,Q12),"")</f>
        <v/>
      </c>
      <c r="S12">
        <f>IF(H12="",0,IF(COUNTIF($H$4:H12,H12)=1,1,0))</f>
        <v>0</v>
      </c>
      <c r="T12" t="str">
        <f>IF(S12=1,ROUND(SUMIF($H$4:$H$503,H12,$E$4:$E$503),2),"")</f>
        <v/>
      </c>
      <c r="U12" t="str">
        <f>IF(S12=1,COUNTIFS($S$4:$S$503,1,$T$4:$T$503,"&gt;"&amp;T12)+COUNTIFS($S$4:S12,1,$T$4:T12,T12),"")</f>
        <v/>
      </c>
      <c r="V12">
        <f>IF(D12=1,MIN(INDEX($R$4:$R$503,MATCH(G12,$G$4:$G$503,0)),IF($AL$7&gt;9,9,999)),"")</f>
        <v>5</v>
      </c>
      <c r="W12" s="166">
        <f>IF(OR($I12="",$E12=0),0,IF(OR($J12&lt;W$3,$I12&gt;W$2),0,IF($K12=0,IF(AND($I12&gt;=W$3,$I12&lt;=W$2),$E12,0),$E12*NETWORKDAYS(MAX($I12,W$3),MIN($J12,W$2),Data!$K$4:$K$203)/$K12)))</f>
        <v>0</v>
      </c>
      <c r="X12" s="166">
        <f>IF(OR($I12="",$E12=0),0,IF(OR($J12&lt;X$3,$I12&gt;X$2),0,IF($K12=0,IF(AND($I12&gt;=X$3,$I12&lt;=X$2),$E12,0),$E12*NETWORKDAYS(MAX($I12,X$3),MIN($J12,X$2),Data!$K$4:$K$203)/$K12)))</f>
        <v>0</v>
      </c>
      <c r="Y12" s="166">
        <f>IF(OR($I12="",$E12=0),0,IF(OR($J12&lt;Y$3,$I12&gt;Y$2),0,IF($K12=0,IF(AND($I12&gt;=Y$3,$I12&lt;=Y$2),$E12,0),$E12*NETWORKDAYS(MAX($I12,Y$3),MIN($J12,Y$2),Data!$K$4:$K$203)/$K12)))</f>
        <v>0</v>
      </c>
      <c r="Z12" s="166">
        <f>IF(OR($I12="",$E12=0),0,IF(OR($J12&lt;Z$3,$I12&gt;Z$2),0,IF($K12=0,IF(AND($I12&gt;=Z$3,$I12&lt;=Z$2),$E12,0),$E12*NETWORKDAYS(MAX($I12,Z$3),MIN($J12,Z$2),Data!$K$4:$K$203)/$K12)))</f>
        <v>57.5</v>
      </c>
      <c r="AA12" s="166">
        <f>IF(OR($I12="",$E12=0),0,IF(OR($J12&lt;AA$3,$I12&gt;AA$2),0,IF($K12=0,IF(AND($I12&gt;=AA$3,$I12&lt;=AA$2),$E12,0),$E12*NETWORKDAYS(MAX($I12,AA$3),MIN($J12,AA$2),Data!$K$4:$K$203)/$K12)))</f>
        <v>52.5</v>
      </c>
      <c r="AB12" s="166">
        <f>IF(OR($I12="",$E12=0),0,IF(OR($J12&lt;AB$3,$I12&gt;AB$2),0,IF($K12=0,IF(AND($I12&gt;=AB$3,$I12&lt;=AB$2),$E12,0),$E12*NETWORKDAYS(MAX($I12,AB$3),MIN($J12,AB$2),Data!$K$4:$K$203)/$K12)))</f>
        <v>50</v>
      </c>
      <c r="AC12" s="166">
        <f>IF(OR($I12="",$E12=0),0,IF(OR($J12&lt;AC$3,$I12&gt;AC$2),0,IF($K12=0,IF(AND($I12&gt;=AC$3,$I12&lt;=AC$2),$E12,0),$E12*NETWORKDAYS(MAX($I12,AC$3),MIN($J12,AC$2),Data!$K$4:$K$203)/$K12)))</f>
        <v>0</v>
      </c>
      <c r="AD12" s="166">
        <f>IF(OR($I12="",$E12=0),0,IF(OR($J12&lt;AD$3,$I12&gt;AD$2),0,IF($K12=0,IF(AND($I12&gt;=AD$3,$I12&lt;=AD$2),$E12,0),$E12*NETWORKDAYS(MAX($I12,AD$3),MIN($J12,AD$2),Data!$K$4:$K$203)/$K12)))</f>
        <v>0</v>
      </c>
      <c r="AE12" s="166">
        <f>IF(OR($I12="",$E12=0),0,IF(OR($J12&lt;AE$3,$I12&gt;AE$2),0,IF($K12=0,IF(AND($I12&gt;=AE$3,$I12&lt;=AE$2),$E12,0),$E12*NETWORKDAYS(MAX($I12,AE$3),MIN($J12,AE$2),Data!$K$4:$K$203)/$K12)))</f>
        <v>0</v>
      </c>
      <c r="AF12" s="166">
        <f>IF(OR($I12="",$E12=0),0,IF(OR($J12&lt;AF$3,$I12&gt;AF$2),0,IF($K12=0,IF(AND($I12&gt;=AF$3,$I12&lt;=AF$2),$E12,0),$E12*NETWORKDAYS(MAX($I12,AF$3),MIN($J12,AF$2),Data!$K$4:$K$203)/$K12)))</f>
        <v>0</v>
      </c>
      <c r="AG12" s="166">
        <f>IF(OR($I12="",$E12=0),0,IF(OR($J12&lt;AG$3,$I12&gt;AG$2),0,IF($K12=0,IF(AND($I12&gt;=AG$3,$I12&lt;=AG$2),$E12,0),$E12*NETWORKDAYS(MAX($I12,AG$3),MIN($J12,AG$2),Data!$K$4:$K$203)/$K12)))</f>
        <v>0</v>
      </c>
      <c r="AH12" s="166">
        <f>IF(OR($I12="",$E12=0),0,IF(OR($J12&lt;AH$3,$I12&gt;AH$2),0,IF($K12=0,IF(AND($I12&gt;=AH$3,$I12&lt;=AH$2),$E12,0),$E12*NETWORKDAYS(MAX($I12,AH$3),MIN($J12,AH$2),Data!$K$4:$K$203)/$K12)))</f>
        <v>0</v>
      </c>
      <c r="AI12" s="166">
        <f>SUM(W12:AH12)</f>
        <v>160</v>
      </c>
      <c r="AK12" t="inlineStr">
        <is>
          <t>Avancement moyen pondéré par la charge</t>
        </is>
      </c>
      <c r="AL12" s="168">
        <f>IF(AL4=0,0,AL9/AL4)</f>
        <v>0.0982633863965268</v>
      </c>
      <c r="AN12" t="n">
        <v>9</v>
      </c>
      <c r="AO12" s="161">
        <f>AE$3</f>
        <v>46508.0</v>
      </c>
      <c r="AP12" s="167">
        <f>SUM(AE4:AE503)</f>
        <v>322.116119174943</v>
      </c>
      <c r="AQ12">
        <f>SUMPRODUCT((AE4:AE503&gt;0)/(COUNTIFS($EN$4:$EN$503,$EN$4:$EN$503,AE4:AE503,"&gt;0")+(AE4:AE503&lt;=0)))</f>
        <v>6</v>
      </c>
      <c r="AS12" t="n">
        <v>9</v>
      </c>
      <c r="AT12" t="str">
        <f>IF(AS12&gt;$AL$7,"",IF($AL$7&gt;9,"Autres projets ("&amp;($AL$7-8)&amp;")",INDEX($G$4:$G$503,MATCH(AS12,$R$4:$R$503,0))))</f>
        <v/>
      </c>
      <c r="AU12">
        <f>SUMIF($V$4:$V$503,AS12,$E$4:$E$503)</f>
        <v>0</v>
      </c>
      <c r="AV12" s="168">
        <f>IF($AL$4=0,0,AU12/$AL$4)</f>
        <v>0</v>
      </c>
      <c r="AW12" s="166">
        <f>SUMIF($V$4:$V$503,$AS12,W$4:W$503)</f>
        <v>0</v>
      </c>
      <c r="AX12" s="166">
        <f>SUMIF($V$4:$V$503,$AS12,X$4:X$503)</f>
        <v>0</v>
      </c>
      <c r="AY12" s="166">
        <f>SUMIF($V$4:$V$503,$AS12,Y$4:Y$503)</f>
        <v>0</v>
      </c>
      <c r="AZ12" s="166">
        <f>SUMIF($V$4:$V$503,$AS12,Z$4:Z$503)</f>
        <v>0</v>
      </c>
      <c r="BA12" s="166">
        <f>SUMIF($V$4:$V$503,$AS12,AA$4:AA$503)</f>
        <v>0</v>
      </c>
      <c r="BB12" s="166">
        <f>SUMIF($V$4:$V$503,$AS12,AB$4:AB$503)</f>
        <v>0</v>
      </c>
      <c r="BC12" s="166">
        <f>SUMIF($V$4:$V$503,$AS12,AC$4:AC$503)</f>
        <v>0</v>
      </c>
      <c r="BD12" s="166">
        <f>SUMIF($V$4:$V$503,$AS12,AD$4:AD$503)</f>
        <v>0</v>
      </c>
      <c r="BE12" s="166">
        <f>SUMIF($V$4:$V$503,$AS12,AE$4:AE$503)</f>
        <v>0</v>
      </c>
      <c r="BF12" s="166">
        <f>SUMIF($V$4:$V$503,$AS12,AF$4:AF$503)</f>
        <v>0</v>
      </c>
      <c r="BG12" s="166">
        <f>SUMIF($V$4:$V$503,$AS12,AG$4:AG$503)</f>
        <v>0</v>
      </c>
      <c r="BH12" s="166">
        <f>SUMIF($V$4:$V$503,$AS12,AH$4:AH$503)</f>
        <v>0</v>
      </c>
      <c r="BW12" t="n">
        <v>9</v>
      </c>
      <c r="BX12">
        <f>IFERROR(MATCH(BW12,$EQ$4:$EQ$503,0),"")</f>
        <v>4</v>
      </c>
      <c r="BZ12" t="str">
        <f>IF(D12=1,IF(TRIM(INDEX(Charge!$K:$K,ROW()))&lt;&gt;"",TRIM(INDEX(Charge!$K:$K,ROW())),IF(TRIM(INDEX(Charge!$L:$L,ROW()))&lt;&gt;"",TRIM(INDEX(Charge!$L:$L,ROW())),"(non affecté)")),"")</f>
        <v>Emma Faure</v>
      </c>
      <c r="CA12" t="str">
        <f>IF(AND($CD$4&lt;&gt;"",BZ12=$CD$4),COUNTIFS($BZ$4:$BZ$503,$CD$4,$L$4:$L$503,"&lt;"&amp;L12)+1,"")</f>
        <v/>
      </c>
      <c r="CC12" t="inlineStr">
        <is>
          <t>Mois le plus chargé : charge totale (h)</t>
        </is>
      </c>
      <c r="CD12" s="167">
        <f>MAX(CJ4:CJ15)</f>
        <v>121.969696969697</v>
      </c>
      <c r="CF12" t="n">
        <v>9</v>
      </c>
      <c r="CG12" s="169">
        <f>AE$3</f>
        <v>46508.0</v>
      </c>
      <c r="CH12" s="166">
        <f>IF($CD$4="",0,$CD$7)</f>
        <v>20</v>
      </c>
      <c r="CI12" s="166">
        <f>IF($CD$4="",0,SUMIF($BZ$4:$BZ$503,$CD$4,AE$4:AE$503))</f>
        <v>0</v>
      </c>
      <c r="CJ12" s="166">
        <f>CH12+CI12</f>
        <v>20</v>
      </c>
      <c r="CK12" s="166">
        <f>IF($CD$4="",0,$CD$6)</f>
        <v>120</v>
      </c>
      <c r="CL12" s="166">
        <f>IF(CN12&lt;0,MAX(0,MIN(CI12,CK12-CH12)),CI12)</f>
        <v>0</v>
      </c>
      <c r="CM12" s="166">
        <f>CI12-CL12</f>
        <v>0</v>
      </c>
      <c r="CN12" s="166">
        <f>CK12-CP12</f>
        <v>100</v>
      </c>
      <c r="CO12" s="170">
        <f>IF(CK12&lt;=0,IF(CP12&gt;0,9.99,0),CP12/CK12)</f>
        <v>0.166666666666667</v>
      </c>
      <c r="CP12">
        <f>ROUND(CJ12,0)</f>
        <v>20</v>
      </c>
      <c r="CQ12" t="str">
        <f>IF(CN12&lt;0,CF12,"")</f>
        <v/>
      </c>
      <c r="CS12" t="n">
        <v>9</v>
      </c>
      <c r="CT12" t="str">
        <f>IF(OR(FA12="",COUNTIF($FA$4:FA11,FA12)&gt;0),"",FA12)</f>
        <v/>
      </c>
      <c r="CU12" t="str">
        <f>IF(CT12="","",IF(FB12="Interne",IF(ISNUMBER(INDEX(Data!$F:$F,12)),INDEX(Data!$F:$F,12),p_HeuresETP),IF(ISNUMBER(INDEX(Data!$I:$I,12-$CD$23)),INDEX(Data!$I:$I,12-$CD$23),p_HeuresETP)))</f>
        <v/>
      </c>
      <c r="CV12" t="str">
        <f>IF(CT12="","",IF(FB12="Interne",IF(ISNUMBER(INDEX(Data!$G:$G,12)),INDEX(Data!$G:$G,12),p_ChargeFixe),IF(ISNUMBER(INDEX(Data!$J:$J,12-$CD$23)),INDEX(Data!$J:$J,12-$CD$23),p_ChargeFixe)))</f>
        <v/>
      </c>
      <c r="CW12" s="166" t="str">
        <f>IF($CT12="","",SUMIF($BZ$4:$BZ$503,$CT12,W$4:W$503))</f>
        <v/>
      </c>
      <c r="CX12" s="166" t="str">
        <f>IF($CT12="","",SUMIF($BZ$4:$BZ$503,$CT12,X$4:X$503))</f>
        <v/>
      </c>
      <c r="CY12" s="166" t="str">
        <f>IF($CT12="","",SUMIF($BZ$4:$BZ$503,$CT12,Y$4:Y$503))</f>
        <v/>
      </c>
      <c r="CZ12" s="166" t="str">
        <f>IF($CT12="","",SUMIF($BZ$4:$BZ$503,$CT12,Z$4:Z$503))</f>
        <v/>
      </c>
      <c r="DA12" s="166" t="str">
        <f>IF($CT12="","",SUMIF($BZ$4:$BZ$503,$CT12,AA$4:AA$503))</f>
        <v/>
      </c>
      <c r="DB12" s="166" t="str">
        <f>IF($CT12="","",SUMIF($BZ$4:$BZ$503,$CT12,AB$4:AB$503))</f>
        <v/>
      </c>
      <c r="DC12" s="166" t="str">
        <f>IF($CT12="","",SUMIF($BZ$4:$BZ$503,$CT12,AC$4:AC$503))</f>
        <v/>
      </c>
      <c r="DD12" s="166" t="str">
        <f>IF($CT12="","",SUMIF($BZ$4:$BZ$503,$CT12,AD$4:AD$503))</f>
        <v/>
      </c>
      <c r="DE12" s="166" t="str">
        <f>IF($CT12="","",SUMIF($BZ$4:$BZ$503,$CT12,AE$4:AE$503))</f>
        <v/>
      </c>
      <c r="DF12" s="166" t="str">
        <f>IF($CT12="","",SUMIF($BZ$4:$BZ$503,$CT12,AF$4:AF$503))</f>
        <v/>
      </c>
      <c r="DG12" s="166" t="str">
        <f>IF($CT12="","",SUMIF($BZ$4:$BZ$503,$CT12,AG$4:AG$503))</f>
        <v/>
      </c>
      <c r="DH12" s="166" t="str">
        <f>IF($CT12="","",SUMIF($BZ$4:$BZ$503,$CT12,AH$4:AH$503))</f>
        <v/>
      </c>
      <c r="DI12" s="170" t="str">
        <f>IF($CT12="","",IF($CU12&lt;=0,IF(ROUND($CV12+CW12,0)&gt;0,9.99,0),ROUND($CV12+CW12,0)/$CU12))</f>
        <v/>
      </c>
      <c r="DJ12" s="170" t="str">
        <f>IF($CT12="","",IF($CU12&lt;=0,IF(ROUND($CV12+CX12,0)&gt;0,9.99,0),ROUND($CV12+CX12,0)/$CU12))</f>
        <v/>
      </c>
      <c r="DK12" s="170" t="str">
        <f>IF($CT12="","",IF($CU12&lt;=0,IF(ROUND($CV12+CY12,0)&gt;0,9.99,0),ROUND($CV12+CY12,0)/$CU12))</f>
        <v/>
      </c>
      <c r="DL12" s="170" t="str">
        <f>IF($CT12="","",IF($CU12&lt;=0,IF(ROUND($CV12+CZ12,0)&gt;0,9.99,0),ROUND($CV12+CZ12,0)/$CU12))</f>
        <v/>
      </c>
      <c r="DM12" s="170" t="str">
        <f>IF($CT12="","",IF($CU12&lt;=0,IF(ROUND($CV12+DA12,0)&gt;0,9.99,0),ROUND($CV12+DA12,0)/$CU12))</f>
        <v/>
      </c>
      <c r="DN12" s="170" t="str">
        <f>IF($CT12="","",IF($CU12&lt;=0,IF(ROUND($CV12+DB12,0)&gt;0,9.99,0),ROUND($CV12+DB12,0)/$CU12))</f>
        <v/>
      </c>
      <c r="DO12" s="170" t="str">
        <f>IF($CT12="","",IF($CU12&lt;=0,IF(ROUND($CV12+DC12,0)&gt;0,9.99,0),ROUND($CV12+DC12,0)/$CU12))</f>
        <v/>
      </c>
      <c r="DP12" s="170" t="str">
        <f>IF($CT12="","",IF($CU12&lt;=0,IF(ROUND($CV12+DD12,0)&gt;0,9.99,0),ROUND($CV12+DD12,0)/$CU12))</f>
        <v/>
      </c>
      <c r="DQ12" s="170" t="str">
        <f>IF($CT12="","",IF($CU12&lt;=0,IF(ROUND($CV12+DE12,0)&gt;0,9.99,0),ROUND($CV12+DE12,0)/$CU12))</f>
        <v/>
      </c>
      <c r="DR12" s="170" t="str">
        <f>IF($CT12="","",IF($CU12&lt;=0,IF(ROUND($CV12+DF12,0)&gt;0,9.99,0),ROUND($CV12+DF12,0)/$CU12))</f>
        <v/>
      </c>
      <c r="DS12" s="170" t="str">
        <f>IF($CT12="","",IF($CU12&lt;=0,IF(ROUND($CV12+DG12,0)&gt;0,9.99,0),ROUND($CV12+DG12,0)/$CU12))</f>
        <v/>
      </c>
      <c r="DT12" s="170" t="str">
        <f>IF($CT12="","",IF($CU12&lt;=0,IF(ROUND($CV12+DH12,0)&gt;0,9.99,0),ROUND($CV12+DH12,0)/$CU12))</f>
        <v/>
      </c>
      <c r="DU12" s="170" t="str">
        <f>IF(CT12="","",MAX(DI12:DT12))</f>
        <v/>
      </c>
      <c r="DV12" s="167" t="str">
        <f>IF(CT12="","",SUM(CW12:DH12))</f>
        <v/>
      </c>
      <c r="DX12" t="n">
        <v>9</v>
      </c>
      <c r="DY12" t="str">
        <f>IFERROR(MATCH(DX12,$CA$4:$CA$503,0),"")</f>
        <v/>
      </c>
      <c r="DZ12" t="str">
        <f>IF(DY12="","",INDEX(Charge!$B:$B,DY12+3)&amp;"")</f>
        <v/>
      </c>
      <c r="EA12" t="str">
        <f>IF(DY12="","",INDEX(Charge!$C:$C,DY12+3)&amp;"")</f>
        <v/>
      </c>
      <c r="EB12" t="str">
        <f>IF(DY12="","",INDEX(Charge!$D:$D,DY12+3)&amp;"")</f>
        <v/>
      </c>
      <c r="EC12" t="str">
        <f>IF(DY12="","",INDEX(Charge!$A:$A,DY12+3)&amp;"")</f>
        <v/>
      </c>
      <c r="ED12" t="str">
        <f>IF(DY12="","",INDEX($E$4:$E$503,DY12))</f>
        <v/>
      </c>
      <c r="EE12" t="str">
        <f>IF(DY12="","",INDEX($AI$4:$AI$503,DY12))</f>
        <v/>
      </c>
      <c r="EF12" s="165" t="str">
        <f>IF(DY12="","",IF(ISNUMBER(INDEX(Charge!$N:$N,DY12+3)),INDEX(Charge!$N:$N,DY12+3),"—"))</f>
        <v/>
      </c>
      <c r="EG12" s="165" t="str">
        <f>IF(DY12="","",IF(ISNUMBER(INDEX(Charge!$F:$F,DY12+3)),INDEX(Charge!$F:$F,DY12+3),"—"))</f>
        <v/>
      </c>
      <c r="EH12" s="170" t="str">
        <f>IF(DY12="","",INDEX($C$4:$C$503,DY12))</f>
        <v/>
      </c>
      <c r="EJ12" t="str">
        <f>TRIM(INDEX(Data!$E:$E,ROW()))</f>
        <v/>
      </c>
      <c r="EK12" t="str">
        <f>TRIM(INDEX(Data!$H:$H,ROW()))</f>
        <v/>
      </c>
      <c r="EM12" t="str">
        <f>IF(D12=1,IF(TRIM(INDEX(Charge!$K:$K,ROW()))&lt;&gt;"","Interne",IF(TRIM(INDEX(Charge!$L:$L,ROW()))&lt;&gt;"","Externe","Non affecté")),"")</f>
        <v>Interne</v>
      </c>
      <c r="EN12" t="str">
        <f>IF(D12=1,LEFT(SUBSTITUTE(SUBSTITUTE(SUBSTITUTE(TRIM(SUBSTITUTE(INDEX(Charge!$B:$B,ROW()),CHAR(160)," "))&amp;" | "&amp;TRIM(SUBSTITUTE(INDEX(Charge!$C:$C,ROW()),CHAR(160)," "))&amp;" | "&amp;TRIM(SUBSTITUTE(INDEX(Charge!$D:$D,ROW()),CHAR(160)," ")),"~","-"),"*","+"),"?","!"),240),"")</f>
        <v>CASSIOPÉE | Rétrofit ligne 2 | Poste de contrôle</v>
      </c>
      <c r="EO12">
        <f>IF(EN12="",0,IF(COUNTIF($EN$4:EN12,EN12)=1,1,0))</f>
        <v>1</v>
      </c>
      <c r="EP12" s="166">
        <f>IF(EO12=1,ROUND(SUMIF($EN$4:$EN$503,EN12,$E$4:$E$503),2),"")</f>
        <v>240</v>
      </c>
      <c r="EQ12">
        <f>IF(EO12=1,COUNTIFS($EO$4:$EO$503,1,$EP$4:$EP$503,"&gt;"&amp;EP12)+COUNTIFS($EO$4:EO12,1,$EP$4:EP12,EP12),"")</f>
        <v>6</v>
      </c>
      <c r="ER12">
        <f>IF(EO12=1,COUNTIFS($EN$4:$EN$503,EN12,$EM$4:$EM$503,"Interne",$FE$4:$FE$503,1),"")</f>
        <v>1</v>
      </c>
      <c r="ES12">
        <f>IF(EO12=1,COUNTIFS($EN$4:$EN$503,EN12,$EM$4:$EM$503,"Externe",$FE$4:$FE$503,1),"")</f>
        <v>1</v>
      </c>
      <c r="ET12" t="str">
        <f>IF(EO12=1,IF(ER12+ES12=0,"à affecter",IF(ER12=0,ES12&amp;" ext.",(ER12+ES12)&amp;IF(ES12&gt;0," dont "&amp;ES12&amp;" ext.",""))&amp;IF(COUNTIFS($EN$4:$EN$503,EN12,$EM$4:$EM$503,"Non affecté")&gt;0," + à affecter","")),"")</f>
        <v>2 dont 1 ext.</v>
      </c>
      <c r="EU12" s="170">
        <f>IF(EO12=1,IF(EP12&gt;0,SUMPRODUCT(($EN$4:$EN$503=EN12)*$E$4:$E$503*$C$4:$C$503)/EP12,AVERAGEIF($EN$4:$EN$503,EN12,$C$4:$C$503)),"")</f>
        <v>0.0333333333333333</v>
      </c>
      <c r="EV12" s="165">
        <f>IF(ISNUMBER(I12),I12,2958465)</f>
        <v>46357.0</v>
      </c>
      <c r="EW12" s="165">
        <f>IF(EO12=1,SUMPRODUCT(MIN(($EN$4:$EN$503=EN12)*$EV$4:$EV$503+($EN$4:$EN$503&lt;&gt;EN12)*2958465)),"")</f>
        <v>46357.0</v>
      </c>
      <c r="EX12" s="165">
        <f>IF(AND(D12=1,ISNUMBER(INDEX(Charge!$F:$F,ROW()))),INDEX(Charge!$F:$F,ROW()),0)</f>
        <v>46444.0</v>
      </c>
      <c r="EY12" s="165">
        <f>IF(EO12=1,SUMPRODUCT(MAX(($EN$4:$EN$503=EN12)*$EX$4:$EX$503)),"")</f>
        <v>46444.0</v>
      </c>
      <c r="FA12" t="str">
        <f>IF(9&lt;=$CD$23,INDEX($EJ$4:$EJ$203,9),IF(9-$CD$23&lt;=$CD$26,INDEX($EK$4:$EK$203,9-$CD$23),""))</f>
        <v/>
      </c>
      <c r="FB12" t="str">
        <f>IF(FA12="","",IF(9&lt;=$CD$23,"Interne","Externe"))</f>
        <v/>
      </c>
      <c r="FD12">
        <f>IF(AND(B12=1,TRIM(INDEX(Charge!$K:$K,ROW()))&lt;&gt;"",TRIM(INDEX(Charge!$L:$L,ROW()))&lt;&gt;""),1,0)</f>
        <v>0</v>
      </c>
      <c r="FE12">
        <f>IF(OR(EN12="",BZ12="(non affecté)"),0,IF(COUNTIFS($EN$4:EN12,EN12,$BZ$4:BZ12,BZ12)=1,1,0))</f>
        <v>1</v>
      </c>
    </row>
    <row r="13">
      <c r="A13">
        <f>ROW()</f>
        <v>13</v>
      </c>
      <c r="B13">
        <f>IF(TRIM(INDEX(Charge!$B:$B,ROW()))&lt;&gt;"",1,0)</f>
        <v>1</v>
      </c>
      <c r="C13">
        <f>IF(B13=1,MIN(1,MAX(0,N(INDEX(Charge!$O:$O,ROW())))),0)</f>
        <v>0</v>
      </c>
      <c r="D13">
        <f>IF(B13=1,IF(OR(p_Perimetre="Tous les projets",C13&lt;1),1,0),0)</f>
        <v>1</v>
      </c>
      <c r="E13">
        <f>IF(D13=1,MAX(0,N(INDEX(Charge!$M:$M,ROW()))),0)</f>
        <v>80</v>
      </c>
      <c r="F13" t="str">
        <f>IF(D13=1,IF(TRIM(INDEX(Charge!$A:$A,ROW()))="","(non renseigné)",TRIM(INDEX(Charge!$A:$A,ROW()))),"")</f>
        <v>Sophie Lefèvre</v>
      </c>
      <c r="G13" t="str">
        <f>IF(D13=1,TRIM(INDEX(Charge!$B:$B,ROW())),"")</f>
        <v>CASSIOPÉE</v>
      </c>
      <c r="H13" t="str">
        <f>IF(D13=1,IF(TRIM(INDEX(Charge!$E:$E,ROW()))="","(non renseigné)",TRIM(INDEX(Charge!$E:$E,ROW()))),"")</f>
        <v>Étude de conception</v>
      </c>
      <c r="I13" s="165">
        <f>IF(AND(D13=1,ISNUMBER(INDEX(Charge!$N:$N,ROW()))),INDEX(Charge!$N:$N,ROW()),"")</f>
        <v>46357.0</v>
      </c>
      <c r="J13" s="165">
        <f>IF(I13="","",IF(AND(p_Repartition="Lissée jusqu'à la date de besoin",ISNUMBER(INDEX(Charge!$F:$F,ROW()))),IF(INDEX(Charge!$F:$F,ROW())&gt;=I13,INDEX(Charge!$F:$F,ROW()),I13),I13))</f>
        <v>46444.0</v>
      </c>
      <c r="K13">
        <f>IF(I13="","",NETWORKDAYS(I13,J13,Data!$K$4:$K$203))</f>
        <v>64</v>
      </c>
      <c r="L13">
        <f>IF(D13=1,COUNTIFS($D$4:$D$503,1,$E$4:$E$503,"&gt;"&amp;E13)+COUNTIFS($D$4:$D13,1,$E$4:$E13,E13),"")</f>
        <v>18</v>
      </c>
      <c r="M13">
        <f>IF(F13="",0,IF(COUNTIF($F$4:F13,F13)=1,1,0))</f>
        <v>0</v>
      </c>
      <c r="N13" t="str">
        <f>IF(M13=1,ROUND(SUMIF($F$4:$F$503,F13,$E$4:$E$503),2),"")</f>
        <v/>
      </c>
      <c r="O13" t="str">
        <f>IF(M13=1,COUNTIFS($M$4:$M$503,1,$N$4:$N$503,"&gt;"&amp;N13)+COUNTIFS($M$4:M13,1,$N$4:N13,N13),"")</f>
        <v/>
      </c>
      <c r="P13">
        <f>IF(G13="",0,IF(COUNTIF($G$4:G13,G13)=1,1,0))</f>
        <v>0</v>
      </c>
      <c r="Q13" t="str">
        <f>IF(P13=1,ROUND(SUMIF($G$4:$G$503,G13,$E$4:$E$503),2),"")</f>
        <v/>
      </c>
      <c r="R13" t="str">
        <f>IF(P13=1,COUNTIFS($P$4:$P$503,1,$Q$4:$Q$503,"&gt;"&amp;Q13)+COUNTIFS($P$4:P13,1,$Q$4:Q13,Q13),"")</f>
        <v/>
      </c>
      <c r="S13">
        <f>IF(H13="",0,IF(COUNTIF($H$4:H13,H13)=1,1,0))</f>
        <v>0</v>
      </c>
      <c r="T13" t="str">
        <f>IF(S13=1,ROUND(SUMIF($H$4:$H$503,H13,$E$4:$E$503),2),"")</f>
        <v/>
      </c>
      <c r="U13" t="str">
        <f>IF(S13=1,COUNTIFS($S$4:$S$503,1,$T$4:$T$503,"&gt;"&amp;T13)+COUNTIFS($S$4:S13,1,$T$4:T13,T13),"")</f>
        <v/>
      </c>
      <c r="V13">
        <f>IF(D13=1,MIN(INDEX($R$4:$R$503,MATCH(G13,$G$4:$G$503,0)),IF($AL$7&gt;9,9,999)),"")</f>
        <v>5</v>
      </c>
      <c r="W13" s="166">
        <f>IF(OR($I13="",$E13=0),0,IF(OR($J13&lt;W$3,$I13&gt;W$2),0,IF($K13=0,IF(AND($I13&gt;=W$3,$I13&lt;=W$2),$E13,0),$E13*NETWORKDAYS(MAX($I13,W$3),MIN($J13,W$2),Data!$K$4:$K$203)/$K13)))</f>
        <v>0</v>
      </c>
      <c r="X13" s="166">
        <f>IF(OR($I13="",$E13=0),0,IF(OR($J13&lt;X$3,$I13&gt;X$2),0,IF($K13=0,IF(AND($I13&gt;=X$3,$I13&lt;=X$2),$E13,0),$E13*NETWORKDAYS(MAX($I13,X$3),MIN($J13,X$2),Data!$K$4:$K$203)/$K13)))</f>
        <v>0</v>
      </c>
      <c r="Y13" s="166">
        <f>IF(OR($I13="",$E13=0),0,IF(OR($J13&lt;Y$3,$I13&gt;Y$2),0,IF($K13=0,IF(AND($I13&gt;=Y$3,$I13&lt;=Y$2),$E13,0),$E13*NETWORKDAYS(MAX($I13,Y$3),MIN($J13,Y$2),Data!$K$4:$K$203)/$K13)))</f>
        <v>0</v>
      </c>
      <c r="Z13" s="166">
        <f>IF(OR($I13="",$E13=0),0,IF(OR($J13&lt;Z$3,$I13&gt;Z$2),0,IF($K13=0,IF(AND($I13&gt;=Z$3,$I13&lt;=Z$2),$E13,0),$E13*NETWORKDAYS(MAX($I13,Z$3),MIN($J13,Z$2),Data!$K$4:$K$203)/$K13)))</f>
        <v>28.75</v>
      </c>
      <c r="AA13" s="166">
        <f>IF(OR($I13="",$E13=0),0,IF(OR($J13&lt;AA$3,$I13&gt;AA$2),0,IF($K13=0,IF(AND($I13&gt;=AA$3,$I13&lt;=AA$2),$E13,0),$E13*NETWORKDAYS(MAX($I13,AA$3),MIN($J13,AA$2),Data!$K$4:$K$203)/$K13)))</f>
        <v>26.25</v>
      </c>
      <c r="AB13" s="166">
        <f>IF(OR($I13="",$E13=0),0,IF(OR($J13&lt;AB$3,$I13&gt;AB$2),0,IF($K13=0,IF(AND($I13&gt;=AB$3,$I13&lt;=AB$2),$E13,0),$E13*NETWORKDAYS(MAX($I13,AB$3),MIN($J13,AB$2),Data!$K$4:$K$203)/$K13)))</f>
        <v>25</v>
      </c>
      <c r="AC13" s="166">
        <f>IF(OR($I13="",$E13=0),0,IF(OR($J13&lt;AC$3,$I13&gt;AC$2),0,IF($K13=0,IF(AND($I13&gt;=AC$3,$I13&lt;=AC$2),$E13,0),$E13*NETWORKDAYS(MAX($I13,AC$3),MIN($J13,AC$2),Data!$K$4:$K$203)/$K13)))</f>
        <v>0</v>
      </c>
      <c r="AD13" s="166">
        <f>IF(OR($I13="",$E13=0),0,IF(OR($J13&lt;AD$3,$I13&gt;AD$2),0,IF($K13=0,IF(AND($I13&gt;=AD$3,$I13&lt;=AD$2),$E13,0),$E13*NETWORKDAYS(MAX($I13,AD$3),MIN($J13,AD$2),Data!$K$4:$K$203)/$K13)))</f>
        <v>0</v>
      </c>
      <c r="AE13" s="166">
        <f>IF(OR($I13="",$E13=0),0,IF(OR($J13&lt;AE$3,$I13&gt;AE$2),0,IF($K13=0,IF(AND($I13&gt;=AE$3,$I13&lt;=AE$2),$E13,0),$E13*NETWORKDAYS(MAX($I13,AE$3),MIN($J13,AE$2),Data!$K$4:$K$203)/$K13)))</f>
        <v>0</v>
      </c>
      <c r="AF13" s="166">
        <f>IF(OR($I13="",$E13=0),0,IF(OR($J13&lt;AF$3,$I13&gt;AF$2),0,IF($K13=0,IF(AND($I13&gt;=AF$3,$I13&lt;=AF$2),$E13,0),$E13*NETWORKDAYS(MAX($I13,AF$3),MIN($J13,AF$2),Data!$K$4:$K$203)/$K13)))</f>
        <v>0</v>
      </c>
      <c r="AG13" s="166">
        <f>IF(OR($I13="",$E13=0),0,IF(OR($J13&lt;AG$3,$I13&gt;AG$2),0,IF($K13=0,IF(AND($I13&gt;=AG$3,$I13&lt;=AG$2),$E13,0),$E13*NETWORKDAYS(MAX($I13,AG$3),MIN($J13,AG$2),Data!$K$4:$K$203)/$K13)))</f>
        <v>0</v>
      </c>
      <c r="AH13" s="166">
        <f>IF(OR($I13="",$E13=0),0,IF(OR($J13&lt;AH$3,$I13&gt;AH$2),0,IF($K13=0,IF(AND($I13&gt;=AH$3,$I13&lt;=AH$2),$E13,0),$E13*NETWORKDAYS(MAX($I13,AH$3),MIN($J13,AH$2),Data!$K$4:$K$203)/$K13)))</f>
        <v>0</v>
      </c>
      <c r="AI13" s="166">
        <f>SUM(W13:AH13)</f>
        <v>80</v>
      </c>
      <c r="AK13" t="inlineStr">
        <is>
          <t>1er mois automatique (1er début planifié)</t>
        </is>
      </c>
      <c r="AL13" s="161">
        <f>IF(COUNT(I4:I503)=0,DATE(YEAR(TODAY()),MONTH(TODAY()),1),DATE(YEAR(MIN(I4:I503)),MONTH(MIN(I4:I503)),1))</f>
        <v>46266.0</v>
      </c>
      <c r="AN13" t="n">
        <v>10</v>
      </c>
      <c r="AO13" s="161">
        <f>AF$3</f>
        <v>46539.0</v>
      </c>
      <c r="AP13" s="167">
        <f>SUM(AF4:AF503)</f>
        <v>252.502601040416</v>
      </c>
      <c r="AQ13">
        <f>SUMPRODUCT((AF4:AF503&gt;0)/(COUNTIFS($EN$4:$EN$503,$EN$4:$EN$503,AF4:AF503,"&gt;0")+(AF4:AF503&lt;=0)))</f>
        <v>4</v>
      </c>
      <c r="AT13" t="inlineStr">
        <is>
          <t>Total</t>
        </is>
      </c>
      <c r="AU13">
        <f>SUM(AU4:AU12)</f>
        <v>3455</v>
      </c>
      <c r="AW13" s="172">
        <f>ROUND(SUM(AW4:AW12),0)</f>
        <v>28</v>
      </c>
      <c r="AX13" s="172">
        <f>ROUND(SUM(AX4:AX12),0)</f>
        <v>166</v>
      </c>
      <c r="AY13" s="172">
        <f>ROUND(SUM(AY4:AY12),0)</f>
        <v>316</v>
      </c>
      <c r="AZ13" s="172">
        <f>ROUND(SUM(AZ4:AZ12),0)</f>
        <v>382</v>
      </c>
      <c r="BA13" s="172">
        <f>ROUND(SUM(BA4:BA12),0)</f>
        <v>321</v>
      </c>
      <c r="BB13" s="172">
        <f>ROUND(SUM(BB4:BB12),0)</f>
        <v>377</v>
      </c>
      <c r="BC13" s="172">
        <f>ROUND(SUM(BC4:BC12),0)</f>
        <v>508</v>
      </c>
      <c r="BD13" s="172">
        <f>ROUND(SUM(BD4:BD12),0)</f>
        <v>417</v>
      </c>
      <c r="BE13" s="172">
        <f>ROUND(SUM(BE4:BE12),0)</f>
        <v>322</v>
      </c>
      <c r="BF13" s="172">
        <f>ROUND(SUM(BF4:BF12),0)</f>
        <v>253</v>
      </c>
      <c r="BG13" s="172">
        <f>ROUND(SUM(BG4:BG12),0)</f>
        <v>172</v>
      </c>
      <c r="BH13" s="172">
        <f>ROUND(SUM(BH4:BH12),0)</f>
        <v>120</v>
      </c>
      <c r="BW13" t="n">
        <v>10</v>
      </c>
      <c r="BX13">
        <f>IFERROR(MATCH(BW13,$EQ$4:$EQ$503,0),"")</f>
        <v>15</v>
      </c>
      <c r="BZ13" t="str">
        <f>IF(D13=1,IF(TRIM(INDEX(Charge!$K:$K,ROW()))&lt;&gt;"",TRIM(INDEX(Charge!$K:$K,ROW())),IF(TRIM(INDEX(Charge!$L:$L,ROW()))&lt;&gt;"",TRIM(INDEX(Charge!$L:$L,ROW())),"(non affecté)")),"")</f>
        <v>Paul Girard</v>
      </c>
      <c r="CA13" t="str">
        <f>IF(AND($CD$4&lt;&gt;"",BZ13=$CD$4),COUNTIFS($BZ$4:$BZ$503,$CD$4,$L$4:$L$503,"&lt;"&amp;L13)+1,"")</f>
        <v/>
      </c>
      <c r="CC13" t="inlineStr">
        <is>
          <t>Rang du mois le plus chargé</t>
        </is>
      </c>
      <c r="CD13" s="171">
        <f>MATCH(CD12,CJ4:CJ15,0)</f>
        <v>3</v>
      </c>
      <c r="CF13" t="n">
        <v>10</v>
      </c>
      <c r="CG13" s="169">
        <f>AF$3</f>
        <v>46539.0</v>
      </c>
      <c r="CH13" s="166">
        <f>IF($CD$4="",0,$CD$7)</f>
        <v>20</v>
      </c>
      <c r="CI13" s="166">
        <f>IF($CD$4="",0,SUMIF($BZ$4:$BZ$503,$CD$4,AF$4:AF$503))</f>
        <v>0</v>
      </c>
      <c r="CJ13" s="166">
        <f>CH13+CI13</f>
        <v>20</v>
      </c>
      <c r="CK13" s="166">
        <f>IF($CD$4="",0,$CD$6)</f>
        <v>120</v>
      </c>
      <c r="CL13" s="166">
        <f>IF(CN13&lt;0,MAX(0,MIN(CI13,CK13-CH13)),CI13)</f>
        <v>0</v>
      </c>
      <c r="CM13" s="166">
        <f>CI13-CL13</f>
        <v>0</v>
      </c>
      <c r="CN13" s="166">
        <f>CK13-CP13</f>
        <v>100</v>
      </c>
      <c r="CO13" s="170">
        <f>IF(CK13&lt;=0,IF(CP13&gt;0,9.99,0),CP13/CK13)</f>
        <v>0.166666666666667</v>
      </c>
      <c r="CP13">
        <f>ROUND(CJ13,0)</f>
        <v>20</v>
      </c>
      <c r="CQ13" t="str">
        <f>IF(CN13&lt;0,CF13,"")</f>
        <v/>
      </c>
      <c r="CS13" t="n">
        <v>10</v>
      </c>
      <c r="CT13" t="str">
        <f>IF(OR(FA13="",COUNTIF($FA$4:FA12,FA13)&gt;0),"",FA13)</f>
        <v/>
      </c>
      <c r="CU13" t="str">
        <f>IF(CT13="","",IF(FB13="Interne",IF(ISNUMBER(INDEX(Data!$F:$F,13)),INDEX(Data!$F:$F,13),p_HeuresETP),IF(ISNUMBER(INDEX(Data!$I:$I,13-$CD$23)),INDEX(Data!$I:$I,13-$CD$23),p_HeuresETP)))</f>
        <v/>
      </c>
      <c r="CV13" t="str">
        <f>IF(CT13="","",IF(FB13="Interne",IF(ISNUMBER(INDEX(Data!$G:$G,13)),INDEX(Data!$G:$G,13),p_ChargeFixe),IF(ISNUMBER(INDEX(Data!$J:$J,13-$CD$23)),INDEX(Data!$J:$J,13-$CD$23),p_ChargeFixe)))</f>
        <v/>
      </c>
      <c r="CW13" s="166" t="str">
        <f>IF($CT13="","",SUMIF($BZ$4:$BZ$503,$CT13,W$4:W$503))</f>
        <v/>
      </c>
      <c r="CX13" s="166" t="str">
        <f>IF($CT13="","",SUMIF($BZ$4:$BZ$503,$CT13,X$4:X$503))</f>
        <v/>
      </c>
      <c r="CY13" s="166" t="str">
        <f>IF($CT13="","",SUMIF($BZ$4:$BZ$503,$CT13,Y$4:Y$503))</f>
        <v/>
      </c>
      <c r="CZ13" s="166" t="str">
        <f>IF($CT13="","",SUMIF($BZ$4:$BZ$503,$CT13,Z$4:Z$503))</f>
        <v/>
      </c>
      <c r="DA13" s="166" t="str">
        <f>IF($CT13="","",SUMIF($BZ$4:$BZ$503,$CT13,AA$4:AA$503))</f>
        <v/>
      </c>
      <c r="DB13" s="166" t="str">
        <f>IF($CT13="","",SUMIF($BZ$4:$BZ$503,$CT13,AB$4:AB$503))</f>
        <v/>
      </c>
      <c r="DC13" s="166" t="str">
        <f>IF($CT13="","",SUMIF($BZ$4:$BZ$503,$CT13,AC$4:AC$503))</f>
        <v/>
      </c>
      <c r="DD13" s="166" t="str">
        <f>IF($CT13="","",SUMIF($BZ$4:$BZ$503,$CT13,AD$4:AD$503))</f>
        <v/>
      </c>
      <c r="DE13" s="166" t="str">
        <f>IF($CT13="","",SUMIF($BZ$4:$BZ$503,$CT13,AE$4:AE$503))</f>
        <v/>
      </c>
      <c r="DF13" s="166" t="str">
        <f>IF($CT13="","",SUMIF($BZ$4:$BZ$503,$CT13,AF$4:AF$503))</f>
        <v/>
      </c>
      <c r="DG13" s="166" t="str">
        <f>IF($CT13="","",SUMIF($BZ$4:$BZ$503,$CT13,AG$4:AG$503))</f>
        <v/>
      </c>
      <c r="DH13" s="166" t="str">
        <f>IF($CT13="","",SUMIF($BZ$4:$BZ$503,$CT13,AH$4:AH$503))</f>
        <v/>
      </c>
      <c r="DI13" s="170" t="str">
        <f>IF($CT13="","",IF($CU13&lt;=0,IF(ROUND($CV13+CW13,0)&gt;0,9.99,0),ROUND($CV13+CW13,0)/$CU13))</f>
        <v/>
      </c>
      <c r="DJ13" s="170" t="str">
        <f>IF($CT13="","",IF($CU13&lt;=0,IF(ROUND($CV13+CX13,0)&gt;0,9.99,0),ROUND($CV13+CX13,0)/$CU13))</f>
        <v/>
      </c>
      <c r="DK13" s="170" t="str">
        <f>IF($CT13="","",IF($CU13&lt;=0,IF(ROUND($CV13+CY13,0)&gt;0,9.99,0),ROUND($CV13+CY13,0)/$CU13))</f>
        <v/>
      </c>
      <c r="DL13" s="170" t="str">
        <f>IF($CT13="","",IF($CU13&lt;=0,IF(ROUND($CV13+CZ13,0)&gt;0,9.99,0),ROUND($CV13+CZ13,0)/$CU13))</f>
        <v/>
      </c>
      <c r="DM13" s="170" t="str">
        <f>IF($CT13="","",IF($CU13&lt;=0,IF(ROUND($CV13+DA13,0)&gt;0,9.99,0),ROUND($CV13+DA13,0)/$CU13))</f>
        <v/>
      </c>
      <c r="DN13" s="170" t="str">
        <f>IF($CT13="","",IF($CU13&lt;=0,IF(ROUND($CV13+DB13,0)&gt;0,9.99,0),ROUND($CV13+DB13,0)/$CU13))</f>
        <v/>
      </c>
      <c r="DO13" s="170" t="str">
        <f>IF($CT13="","",IF($CU13&lt;=0,IF(ROUND($CV13+DC13,0)&gt;0,9.99,0),ROUND($CV13+DC13,0)/$CU13))</f>
        <v/>
      </c>
      <c r="DP13" s="170" t="str">
        <f>IF($CT13="","",IF($CU13&lt;=0,IF(ROUND($CV13+DD13,0)&gt;0,9.99,0),ROUND($CV13+DD13,0)/$CU13))</f>
        <v/>
      </c>
      <c r="DQ13" s="170" t="str">
        <f>IF($CT13="","",IF($CU13&lt;=0,IF(ROUND($CV13+DE13,0)&gt;0,9.99,0),ROUND($CV13+DE13,0)/$CU13))</f>
        <v/>
      </c>
      <c r="DR13" s="170" t="str">
        <f>IF($CT13="","",IF($CU13&lt;=0,IF(ROUND($CV13+DF13,0)&gt;0,9.99,0),ROUND($CV13+DF13,0)/$CU13))</f>
        <v/>
      </c>
      <c r="DS13" s="170" t="str">
        <f>IF($CT13="","",IF($CU13&lt;=0,IF(ROUND($CV13+DG13,0)&gt;0,9.99,0),ROUND($CV13+DG13,0)/$CU13))</f>
        <v/>
      </c>
      <c r="DT13" s="170" t="str">
        <f>IF($CT13="","",IF($CU13&lt;=0,IF(ROUND($CV13+DH13,0)&gt;0,9.99,0),ROUND($CV13+DH13,0)/$CU13))</f>
        <v/>
      </c>
      <c r="DU13" s="170" t="str">
        <f>IF(CT13="","",MAX(DI13:DT13))</f>
        <v/>
      </c>
      <c r="DV13" s="167" t="str">
        <f>IF(CT13="","",SUM(CW13:DH13))</f>
        <v/>
      </c>
      <c r="DX13" t="n">
        <v>10</v>
      </c>
      <c r="DY13" t="str">
        <f>IFERROR(MATCH(DX13,$CA$4:$CA$503,0),"")</f>
        <v/>
      </c>
      <c r="DZ13" t="str">
        <f>IF(DY13="","",INDEX(Charge!$B:$B,DY13+3)&amp;"")</f>
        <v/>
      </c>
      <c r="EA13" t="str">
        <f>IF(DY13="","",INDEX(Charge!$C:$C,DY13+3)&amp;"")</f>
        <v/>
      </c>
      <c r="EB13" t="str">
        <f>IF(DY13="","",INDEX(Charge!$D:$D,DY13+3)&amp;"")</f>
        <v/>
      </c>
      <c r="EC13" t="str">
        <f>IF(DY13="","",INDEX(Charge!$A:$A,DY13+3)&amp;"")</f>
        <v/>
      </c>
      <c r="ED13" t="str">
        <f>IF(DY13="","",INDEX($E$4:$E$503,DY13))</f>
        <v/>
      </c>
      <c r="EE13" t="str">
        <f>IF(DY13="","",INDEX($AI$4:$AI$503,DY13))</f>
        <v/>
      </c>
      <c r="EF13" s="165" t="str">
        <f>IF(DY13="","",IF(ISNUMBER(INDEX(Charge!$N:$N,DY13+3)),INDEX(Charge!$N:$N,DY13+3),"—"))</f>
        <v/>
      </c>
      <c r="EG13" s="165" t="str">
        <f>IF(DY13="","",IF(ISNUMBER(INDEX(Charge!$F:$F,DY13+3)),INDEX(Charge!$F:$F,DY13+3),"—"))</f>
        <v/>
      </c>
      <c r="EH13" s="170" t="str">
        <f>IF(DY13="","",INDEX($C$4:$C$503,DY13))</f>
        <v/>
      </c>
      <c r="EJ13" t="str">
        <f>TRIM(INDEX(Data!$E:$E,ROW()))</f>
        <v/>
      </c>
      <c r="EK13" t="str">
        <f>TRIM(INDEX(Data!$H:$H,ROW()))</f>
        <v/>
      </c>
      <c r="EM13" t="str">
        <f>IF(D13=1,IF(TRIM(INDEX(Charge!$K:$K,ROW()))&lt;&gt;"","Interne",IF(TRIM(INDEX(Charge!$L:$L,ROW()))&lt;&gt;"","Externe","Non affecté")),"")</f>
        <v>Externe</v>
      </c>
      <c r="EN13" t="str">
        <f>IF(D13=1,LEFT(SUBSTITUTE(SUBSTITUTE(SUBSTITUTE(TRIM(SUBSTITUTE(INDEX(Charge!$B:$B,ROW()),CHAR(160)," "))&amp;" | "&amp;TRIM(SUBSTITUTE(INDEX(Charge!$C:$C,ROW()),CHAR(160)," "))&amp;" | "&amp;TRIM(SUBSTITUTE(INDEX(Charge!$D:$D,ROW()),CHAR(160)," ")),"~","-"),"*","+"),"?","!"),240),"")</f>
        <v>CASSIOPÉE | Rétrofit ligne 2 | Poste de contrôle</v>
      </c>
      <c r="EO13">
        <f>IF(EN13="",0,IF(COUNTIF($EN$4:EN13,EN13)=1,1,0))</f>
        <v>0</v>
      </c>
      <c r="EP13" s="166" t="str">
        <f>IF(EO13=1,ROUND(SUMIF($EN$4:$EN$503,EN13,$E$4:$E$503),2),"")</f>
        <v/>
      </c>
      <c r="EQ13" t="str">
        <f>IF(EO13=1,COUNTIFS($EO$4:$EO$503,1,$EP$4:$EP$503,"&gt;"&amp;EP13)+COUNTIFS($EO$4:EO13,1,$EP$4:EP13,EP13),"")</f>
        <v/>
      </c>
      <c r="ER13" t="str">
        <f>IF(EO13=1,COUNTIFS($EN$4:$EN$503,EN13,$EM$4:$EM$503,"Interne",$FE$4:$FE$503,1),"")</f>
        <v/>
      </c>
      <c r="ES13" t="str">
        <f>IF(EO13=1,COUNTIFS($EN$4:$EN$503,EN13,$EM$4:$EM$503,"Externe",$FE$4:$FE$503,1),"")</f>
        <v/>
      </c>
      <c r="ET13" t="str">
        <f>IF(EO13=1,IF(ER13+ES13=0,"à affecter",IF(ER13=0,ES13&amp;" ext.",(ER13+ES13)&amp;IF(ES13&gt;0," dont "&amp;ES13&amp;" ext.",""))&amp;IF(COUNTIFS($EN$4:$EN$503,EN13,$EM$4:$EM$503,"Non affecté")&gt;0," + à affecter","")),"")</f>
        <v/>
      </c>
      <c r="EU13" s="170" t="str">
        <f>IF(EO13=1,IF(EP13&gt;0,SUMPRODUCT(($EN$4:$EN$503=EN13)*$E$4:$E$503*$C$4:$C$503)/EP13,AVERAGEIF($EN$4:$EN$503,EN13,$C$4:$C$503)),"")</f>
        <v/>
      </c>
      <c r="EV13" s="165">
        <f>IF(ISNUMBER(I13),I13,2958465)</f>
        <v>46357.0</v>
      </c>
      <c r="EW13" s="165" t="str">
        <f>IF(EO13=1,SUMPRODUCT(MIN(($EN$4:$EN$503=EN13)*$EV$4:$EV$503+($EN$4:$EN$503&lt;&gt;EN13)*2958465)),"")</f>
        <v/>
      </c>
      <c r="EX13" s="165">
        <f>IF(AND(D13=1,ISNUMBER(INDEX(Charge!$F:$F,ROW()))),INDEX(Charge!$F:$F,ROW()),0)</f>
        <v>46444.0</v>
      </c>
      <c r="EY13" s="165" t="str">
        <f>IF(EO13=1,SUMPRODUCT(MAX(($EN$4:$EN$503=EN13)*$EX$4:$EX$503)),"")</f>
        <v/>
      </c>
      <c r="FA13" t="str">
        <f>IF(10&lt;=$CD$23,INDEX($EJ$4:$EJ$203,10),IF(10-$CD$23&lt;=$CD$26,INDEX($EK$4:$EK$203,10-$CD$23),""))</f>
        <v/>
      </c>
      <c r="FB13" t="str">
        <f>IF(FA13="","",IF(10&lt;=$CD$23,"Interne","Externe"))</f>
        <v/>
      </c>
      <c r="FD13">
        <f>IF(AND(B13=1,TRIM(INDEX(Charge!$K:$K,ROW()))&lt;&gt;"",TRIM(INDEX(Charge!$L:$L,ROW()))&lt;&gt;""),1,0)</f>
        <v>0</v>
      </c>
      <c r="FE13">
        <f>IF(OR(EN13="",BZ13="(non affecté)"),0,IF(COUNTIFS($EN$4:EN13,EN13,$BZ$4:BZ13,BZ13)=1,1,0))</f>
        <v>1</v>
      </c>
    </row>
    <row r="14">
      <c r="A14">
        <f>ROW()</f>
        <v>14</v>
      </c>
      <c r="B14">
        <f>IF(TRIM(INDEX(Charge!$B:$B,ROW()))&lt;&gt;"",1,0)</f>
        <v>1</v>
      </c>
      <c r="C14">
        <f>IF(B14=1,MIN(1,MAX(0,N(INDEX(Charge!$O:$O,ROW())))),0)</f>
        <v>0</v>
      </c>
      <c r="D14">
        <f>IF(B14=1,IF(OR(p_Perimetre="Tous les projets",C14&lt;1),1,0),0)</f>
        <v>1</v>
      </c>
      <c r="E14">
        <f>IF(D14=1,MAX(0,N(INDEX(Charge!$M:$M,ROW()))),0)</f>
        <v>240</v>
      </c>
      <c r="F14" t="str">
        <f>IF(D14=1,IF(TRIM(INDEX(Charge!$A:$A,ROW()))="","(non renseigné)",TRIM(INDEX(Charge!$A:$A,ROW()))),"")</f>
        <v>Sophie Lefèvre</v>
      </c>
      <c r="G14" t="str">
        <f>IF(D14=1,TRIM(INDEX(Charge!$B:$B,ROW())),"")</f>
        <v>DELTA</v>
      </c>
      <c r="H14" t="str">
        <f>IF(D14=1,IF(TRIM(INDEX(Charge!$E:$E,ROW()))="","(non renseigné)",TRIM(INDEX(Charge!$E:$E,ROW()))),"")</f>
        <v>Industrialisation</v>
      </c>
      <c r="I14" s="165">
        <f>IF(AND(D14=1,ISNUMBER(INDEX(Charge!$N:$N,ROW()))),INDEX(Charge!$N:$N,ROW()),"")</f>
        <v>46433.0</v>
      </c>
      <c r="J14" s="165">
        <f>IF(I14="","",IF(AND(p_Repartition="Lissée jusqu'à la date de besoin",ISNUMBER(INDEX(Charge!$F:$F,ROW()))),IF(INDEX(Charge!$F:$F,ROW())&gt;=I14,INDEX(Charge!$F:$F,ROW()),I14),I14))</f>
        <v>46568.0</v>
      </c>
      <c r="K14">
        <f>IF(I14="","",NETWORKDAYS(I14,J14,Data!$K$4:$K$203))</f>
        <v>98</v>
      </c>
      <c r="L14">
        <f>IF(D14=1,COUNTIFS($D$4:$D$503,1,$E$4:$E$503,"&gt;"&amp;E14)+COUNTIFS($D$4:$D14,1,$E$4:$E14,E14),"")</f>
        <v>5</v>
      </c>
      <c r="M14">
        <f>IF(F14="",0,IF(COUNTIF($F$4:F14,F14)=1,1,0))</f>
        <v>0</v>
      </c>
      <c r="N14" t="str">
        <f>IF(M14=1,ROUND(SUMIF($F$4:$F$503,F14,$E$4:$E$503),2),"")</f>
        <v/>
      </c>
      <c r="O14" t="str">
        <f>IF(M14=1,COUNTIFS($M$4:$M$503,1,$N$4:$N$503,"&gt;"&amp;N14)+COUNTIFS($M$4:M14,1,$N$4:N14,N14),"")</f>
        <v/>
      </c>
      <c r="P14">
        <f>IF(G14="",0,IF(COUNTIF($G$4:G14,G14)=1,1,0))</f>
        <v>1</v>
      </c>
      <c r="Q14">
        <f>IF(P14=1,ROUND(SUMIF($G$4:$G$503,G14,$E$4:$E$503),2),"")</f>
        <v>560</v>
      </c>
      <c r="R14">
        <f>IF(P14=1,COUNTIFS($P$4:$P$503,1,$Q$4:$Q$503,"&gt;"&amp;Q14)+COUNTIFS($P$4:P14,1,$Q$4:Q14,Q14),"")</f>
        <v>3</v>
      </c>
      <c r="S14">
        <f>IF(H14="",0,IF(COUNTIF($H$4:H14,H14)=1,1,0))</f>
        <v>0</v>
      </c>
      <c r="T14" t="str">
        <f>IF(S14=1,ROUND(SUMIF($H$4:$H$503,H14,$E$4:$E$503),2),"")</f>
        <v/>
      </c>
      <c r="U14" t="str">
        <f>IF(S14=1,COUNTIFS($S$4:$S$503,1,$T$4:$T$503,"&gt;"&amp;T14)+COUNTIFS($S$4:S14,1,$T$4:T14,T14),"")</f>
        <v/>
      </c>
      <c r="V14">
        <f>IF(D14=1,MIN(INDEX($R$4:$R$503,MATCH(G14,$G$4:$G$503,0)),IF($AL$7&gt;9,9,999)),"")</f>
        <v>3</v>
      </c>
      <c r="W14" s="166">
        <f>IF(OR($I14="",$E14=0),0,IF(OR($J14&lt;W$3,$I14&gt;W$2),0,IF($K14=0,IF(AND($I14&gt;=W$3,$I14&lt;=W$2),$E14,0),$E14*NETWORKDAYS(MAX($I14,W$3),MIN($J14,W$2),Data!$K$4:$K$203)/$K14)))</f>
        <v>0</v>
      </c>
      <c r="X14" s="166">
        <f>IF(OR($I14="",$E14=0),0,IF(OR($J14&lt;X$3,$I14&gt;X$2),0,IF($K14=0,IF(AND($I14&gt;=X$3,$I14&lt;=X$2),$E14,0),$E14*NETWORKDAYS(MAX($I14,X$3),MIN($J14,X$2),Data!$K$4:$K$203)/$K14)))</f>
        <v>0</v>
      </c>
      <c r="Y14" s="166">
        <f>IF(OR($I14="",$E14=0),0,IF(OR($J14&lt;Y$3,$I14&gt;Y$2),0,IF($K14=0,IF(AND($I14&gt;=Y$3,$I14&lt;=Y$2),$E14,0),$E14*NETWORKDAYS(MAX($I14,Y$3),MIN($J14,Y$2),Data!$K$4:$K$203)/$K14)))</f>
        <v>0</v>
      </c>
      <c r="Z14" s="166">
        <f>IF(OR($I14="",$E14=0),0,IF(OR($J14&lt;Z$3,$I14&gt;Z$2),0,IF($K14=0,IF(AND($I14&gt;=Z$3,$I14&lt;=Z$2),$E14,0),$E14*NETWORKDAYS(MAX($I14,Z$3),MIN($J14,Z$2),Data!$K$4:$K$203)/$K14)))</f>
        <v>0</v>
      </c>
      <c r="AA14" s="166">
        <f>IF(OR($I14="",$E14=0),0,IF(OR($J14&lt;AA$3,$I14&gt;AA$2),0,IF($K14=0,IF(AND($I14&gt;=AA$3,$I14&lt;=AA$2),$E14,0),$E14*NETWORKDAYS(MAX($I14,AA$3),MIN($J14,AA$2),Data!$K$4:$K$203)/$K14)))</f>
        <v>0</v>
      </c>
      <c r="AB14" s="166">
        <f>IF(OR($I14="",$E14=0),0,IF(OR($J14&lt;AB$3,$I14&gt;AB$2),0,IF($K14=0,IF(AND($I14&gt;=AB$3,$I14&lt;=AB$2),$E14,0),$E14*NETWORKDAYS(MAX($I14,AB$3),MIN($J14,AB$2),Data!$K$4:$K$203)/$K14)))</f>
        <v>24.4897959183673</v>
      </c>
      <c r="AC14" s="166">
        <f>IF(OR($I14="",$E14=0),0,IF(OR($J14&lt;AC$3,$I14&gt;AC$2),0,IF($K14=0,IF(AND($I14&gt;=AC$3,$I14&lt;=AC$2),$E14,0),$E14*NETWORKDAYS(MAX($I14,AC$3),MIN($J14,AC$2),Data!$K$4:$K$203)/$K14)))</f>
        <v>56.3265306122449</v>
      </c>
      <c r="AD14" s="166">
        <f>IF(OR($I14="",$E14=0),0,IF(OR($J14&lt;AD$3,$I14&gt;AD$2),0,IF($K14=0,IF(AND($I14&gt;=AD$3,$I14&lt;=AD$2),$E14,0),$E14*NETWORKDAYS(MAX($I14,AD$3),MIN($J14,AD$2),Data!$K$4:$K$203)/$K14)))</f>
        <v>53.8775510204082</v>
      </c>
      <c r="AE14" s="166">
        <f>IF(OR($I14="",$E14=0),0,IF(OR($J14&lt;AE$3,$I14&gt;AE$2),0,IF($K14=0,IF(AND($I14&gt;=AE$3,$I14&lt;=AE$2),$E14,0),$E14*NETWORKDAYS(MAX($I14,AE$3),MIN($J14,AE$2),Data!$K$4:$K$203)/$K14)))</f>
        <v>51.4285714285714</v>
      </c>
      <c r="AF14" s="166">
        <f>IF(OR($I14="",$E14=0),0,IF(OR($J14&lt;AF$3,$I14&gt;AF$2),0,IF($K14=0,IF(AND($I14&gt;=AF$3,$I14&lt;=AF$2),$E14,0),$E14*NETWORKDAYS(MAX($I14,AF$3),MIN($J14,AF$2),Data!$K$4:$K$203)/$K14)))</f>
        <v>53.8775510204082</v>
      </c>
      <c r="AG14" s="166">
        <f>IF(OR($I14="",$E14=0),0,IF(OR($J14&lt;AG$3,$I14&gt;AG$2),0,IF($K14=0,IF(AND($I14&gt;=AG$3,$I14&lt;=AG$2),$E14,0),$E14*NETWORKDAYS(MAX($I14,AG$3),MIN($J14,AG$2),Data!$K$4:$K$203)/$K14)))</f>
        <v>0</v>
      </c>
      <c r="AH14" s="166">
        <f>IF(OR($I14="",$E14=0),0,IF(OR($J14&lt;AH$3,$I14&gt;AH$2),0,IF($K14=0,IF(AND($I14&gt;=AH$3,$I14&lt;=AH$2),$E14,0),$E14*NETWORKDAYS(MAX($I14,AH$3),MIN($J14,AH$2),Data!$K$4:$K$203)/$K14)))</f>
        <v>0</v>
      </c>
      <c r="AI14" s="166">
        <f>SUM(W14:AH14)</f>
        <v>240</v>
      </c>
      <c r="AK14" t="inlineStr">
        <is>
          <t>1er mois affiché</t>
        </is>
      </c>
      <c r="AL14" s="161">
        <f>IF(ISNUMBER(p_PremierMois),DATE(YEAR(p_PremierMois),MONTH(p_PremierMois),1),AL13)</f>
        <v>46266.0</v>
      </c>
      <c r="AN14" t="n">
        <v>11</v>
      </c>
      <c r="AO14" s="161">
        <f>AG$3</f>
        <v>46569.0</v>
      </c>
      <c r="AP14" s="167">
        <f>SUM(AG4:AG503)</f>
        <v>171.686274509804</v>
      </c>
      <c r="AQ14">
        <f>SUMPRODUCT((AG4:AG503&gt;0)/(COUNTIFS($EN$4:$EN$503,$EN$4:$EN$503,AG4:AG503,"&gt;0")+(AG4:AG503&lt;=0)))</f>
        <v>3</v>
      </c>
      <c r="BW14" t="n">
        <v>11</v>
      </c>
      <c r="BX14">
        <f>IFERROR(MATCH(BW14,$EQ$4:$EQ$503,0),"")</f>
        <v>8</v>
      </c>
      <c r="BZ14" t="str">
        <f>IF(D14=1,IF(TRIM(INDEX(Charge!$K:$K,ROW()))&lt;&gt;"",TRIM(INDEX(Charge!$K:$K,ROW())),IF(TRIM(INDEX(Charge!$L:$L,ROW()))&lt;&gt;"",TRIM(INDEX(Charge!$L:$L,ROW())),"(non affecté)")),"")</f>
        <v>Antoine Blanc</v>
      </c>
      <c r="CA14" t="str">
        <f>IF(AND($CD$4&lt;&gt;"",BZ14=$CD$4),COUNTIFS($BZ$4:$BZ$503,$CD$4,$L$4:$L$503,"&lt;"&amp;L14)+1,"")</f>
        <v/>
      </c>
      <c r="CC14" t="inlineStr">
        <is>
          <t>Mois le plus chargé</t>
        </is>
      </c>
      <c r="CD14" s="161">
        <f>INDEX(CG4:CG15,CD13)</f>
        <v>46327.0</v>
      </c>
      <c r="CF14" t="n">
        <v>11</v>
      </c>
      <c r="CG14" s="169">
        <f>AG$3</f>
        <v>46569.0</v>
      </c>
      <c r="CH14" s="166">
        <f>IF($CD$4="",0,$CD$7)</f>
        <v>20</v>
      </c>
      <c r="CI14" s="166">
        <f>IF($CD$4="",0,SUMIF($BZ$4:$BZ$503,$CD$4,AG$4:AG$503))</f>
        <v>0</v>
      </c>
      <c r="CJ14" s="166">
        <f>CH14+CI14</f>
        <v>20</v>
      </c>
      <c r="CK14" s="166">
        <f>IF($CD$4="",0,$CD$6)</f>
        <v>120</v>
      </c>
      <c r="CL14" s="166">
        <f>IF(CN14&lt;0,MAX(0,MIN(CI14,CK14-CH14)),CI14)</f>
        <v>0</v>
      </c>
      <c r="CM14" s="166">
        <f>CI14-CL14</f>
        <v>0</v>
      </c>
      <c r="CN14" s="166">
        <f>CK14-CP14</f>
        <v>100</v>
      </c>
      <c r="CO14" s="170">
        <f>IF(CK14&lt;=0,IF(CP14&gt;0,9.99,0),CP14/CK14)</f>
        <v>0.166666666666667</v>
      </c>
      <c r="CP14">
        <f>ROUND(CJ14,0)</f>
        <v>20</v>
      </c>
      <c r="CQ14" t="str">
        <f>IF(CN14&lt;0,CF14,"")</f>
        <v/>
      </c>
      <c r="CS14" t="n">
        <v>11</v>
      </c>
      <c r="CT14" t="str">
        <f>IF(OR(FA14="",COUNTIF($FA$4:FA13,FA14)&gt;0),"",FA14)</f>
        <v/>
      </c>
      <c r="CU14" t="str">
        <f>IF(CT14="","",IF(FB14="Interne",IF(ISNUMBER(INDEX(Data!$F:$F,14)),INDEX(Data!$F:$F,14),p_HeuresETP),IF(ISNUMBER(INDEX(Data!$I:$I,14-$CD$23)),INDEX(Data!$I:$I,14-$CD$23),p_HeuresETP)))</f>
        <v/>
      </c>
      <c r="CV14" t="str">
        <f>IF(CT14="","",IF(FB14="Interne",IF(ISNUMBER(INDEX(Data!$G:$G,14)),INDEX(Data!$G:$G,14),p_ChargeFixe),IF(ISNUMBER(INDEX(Data!$J:$J,14-$CD$23)),INDEX(Data!$J:$J,14-$CD$23),p_ChargeFixe)))</f>
        <v/>
      </c>
      <c r="CW14" s="166" t="str">
        <f>IF($CT14="","",SUMIF($BZ$4:$BZ$503,$CT14,W$4:W$503))</f>
        <v/>
      </c>
      <c r="CX14" s="166" t="str">
        <f>IF($CT14="","",SUMIF($BZ$4:$BZ$503,$CT14,X$4:X$503))</f>
        <v/>
      </c>
      <c r="CY14" s="166" t="str">
        <f>IF($CT14="","",SUMIF($BZ$4:$BZ$503,$CT14,Y$4:Y$503))</f>
        <v/>
      </c>
      <c r="CZ14" s="166" t="str">
        <f>IF($CT14="","",SUMIF($BZ$4:$BZ$503,$CT14,Z$4:Z$503))</f>
        <v/>
      </c>
      <c r="DA14" s="166" t="str">
        <f>IF($CT14="","",SUMIF($BZ$4:$BZ$503,$CT14,AA$4:AA$503))</f>
        <v/>
      </c>
      <c r="DB14" s="166" t="str">
        <f>IF($CT14="","",SUMIF($BZ$4:$BZ$503,$CT14,AB$4:AB$503))</f>
        <v/>
      </c>
      <c r="DC14" s="166" t="str">
        <f>IF($CT14="","",SUMIF($BZ$4:$BZ$503,$CT14,AC$4:AC$503))</f>
        <v/>
      </c>
      <c r="DD14" s="166" t="str">
        <f>IF($CT14="","",SUMIF($BZ$4:$BZ$503,$CT14,AD$4:AD$503))</f>
        <v/>
      </c>
      <c r="DE14" s="166" t="str">
        <f>IF($CT14="","",SUMIF($BZ$4:$BZ$503,$CT14,AE$4:AE$503))</f>
        <v/>
      </c>
      <c r="DF14" s="166" t="str">
        <f>IF($CT14="","",SUMIF($BZ$4:$BZ$503,$CT14,AF$4:AF$503))</f>
        <v/>
      </c>
      <c r="DG14" s="166" t="str">
        <f>IF($CT14="","",SUMIF($BZ$4:$BZ$503,$CT14,AG$4:AG$503))</f>
        <v/>
      </c>
      <c r="DH14" s="166" t="str">
        <f>IF($CT14="","",SUMIF($BZ$4:$BZ$503,$CT14,AH$4:AH$503))</f>
        <v/>
      </c>
      <c r="DI14" s="170" t="str">
        <f>IF($CT14="","",IF($CU14&lt;=0,IF(ROUND($CV14+CW14,0)&gt;0,9.99,0),ROUND($CV14+CW14,0)/$CU14))</f>
        <v/>
      </c>
      <c r="DJ14" s="170" t="str">
        <f>IF($CT14="","",IF($CU14&lt;=0,IF(ROUND($CV14+CX14,0)&gt;0,9.99,0),ROUND($CV14+CX14,0)/$CU14))</f>
        <v/>
      </c>
      <c r="DK14" s="170" t="str">
        <f>IF($CT14="","",IF($CU14&lt;=0,IF(ROUND($CV14+CY14,0)&gt;0,9.99,0),ROUND($CV14+CY14,0)/$CU14))</f>
        <v/>
      </c>
      <c r="DL14" s="170" t="str">
        <f>IF($CT14="","",IF($CU14&lt;=0,IF(ROUND($CV14+CZ14,0)&gt;0,9.99,0),ROUND($CV14+CZ14,0)/$CU14))</f>
        <v/>
      </c>
      <c r="DM14" s="170" t="str">
        <f>IF($CT14="","",IF($CU14&lt;=0,IF(ROUND($CV14+DA14,0)&gt;0,9.99,0),ROUND($CV14+DA14,0)/$CU14))</f>
        <v/>
      </c>
      <c r="DN14" s="170" t="str">
        <f>IF($CT14="","",IF($CU14&lt;=0,IF(ROUND($CV14+DB14,0)&gt;0,9.99,0),ROUND($CV14+DB14,0)/$CU14))</f>
        <v/>
      </c>
      <c r="DO14" s="170" t="str">
        <f>IF($CT14="","",IF($CU14&lt;=0,IF(ROUND($CV14+DC14,0)&gt;0,9.99,0),ROUND($CV14+DC14,0)/$CU14))</f>
        <v/>
      </c>
      <c r="DP14" s="170" t="str">
        <f>IF($CT14="","",IF($CU14&lt;=0,IF(ROUND($CV14+DD14,0)&gt;0,9.99,0),ROUND($CV14+DD14,0)/$CU14))</f>
        <v/>
      </c>
      <c r="DQ14" s="170" t="str">
        <f>IF($CT14="","",IF($CU14&lt;=0,IF(ROUND($CV14+DE14,0)&gt;0,9.99,0),ROUND($CV14+DE14,0)/$CU14))</f>
        <v/>
      </c>
      <c r="DR14" s="170" t="str">
        <f>IF($CT14="","",IF($CU14&lt;=0,IF(ROUND($CV14+DF14,0)&gt;0,9.99,0),ROUND($CV14+DF14,0)/$CU14))</f>
        <v/>
      </c>
      <c r="DS14" s="170" t="str">
        <f>IF($CT14="","",IF($CU14&lt;=0,IF(ROUND($CV14+DG14,0)&gt;0,9.99,0),ROUND($CV14+DG14,0)/$CU14))</f>
        <v/>
      </c>
      <c r="DT14" s="170" t="str">
        <f>IF($CT14="","",IF($CU14&lt;=0,IF(ROUND($CV14+DH14,0)&gt;0,9.99,0),ROUND($CV14+DH14,0)/$CU14))</f>
        <v/>
      </c>
      <c r="DU14" s="170" t="str">
        <f>IF(CT14="","",MAX(DI14:DT14))</f>
        <v/>
      </c>
      <c r="DV14" s="167" t="str">
        <f>IF(CT14="","",SUM(CW14:DH14))</f>
        <v/>
      </c>
      <c r="DX14" t="n">
        <v>11</v>
      </c>
      <c r="DY14" t="str">
        <f>IFERROR(MATCH(DX14,$CA$4:$CA$503,0),"")</f>
        <v/>
      </c>
      <c r="DZ14" t="str">
        <f>IF(DY14="","",INDEX(Charge!$B:$B,DY14+3)&amp;"")</f>
        <v/>
      </c>
      <c r="EA14" t="str">
        <f>IF(DY14="","",INDEX(Charge!$C:$C,DY14+3)&amp;"")</f>
        <v/>
      </c>
      <c r="EB14" t="str">
        <f>IF(DY14="","",INDEX(Charge!$D:$D,DY14+3)&amp;"")</f>
        <v/>
      </c>
      <c r="EC14" t="str">
        <f>IF(DY14="","",INDEX(Charge!$A:$A,DY14+3)&amp;"")</f>
        <v/>
      </c>
      <c r="ED14" t="str">
        <f>IF(DY14="","",INDEX($E$4:$E$503,DY14))</f>
        <v/>
      </c>
      <c r="EE14" t="str">
        <f>IF(DY14="","",INDEX($AI$4:$AI$503,DY14))</f>
        <v/>
      </c>
      <c r="EF14" s="165" t="str">
        <f>IF(DY14="","",IF(ISNUMBER(INDEX(Charge!$N:$N,DY14+3)),INDEX(Charge!$N:$N,DY14+3),"—"))</f>
        <v/>
      </c>
      <c r="EG14" s="165" t="str">
        <f>IF(DY14="","",IF(ISNUMBER(INDEX(Charge!$F:$F,DY14+3)),INDEX(Charge!$F:$F,DY14+3),"—"))</f>
        <v/>
      </c>
      <c r="EH14" s="170" t="str">
        <f>IF(DY14="","",INDEX($C$4:$C$503,DY14))</f>
        <v/>
      </c>
      <c r="EJ14" t="str">
        <f>TRIM(INDEX(Data!$E:$E,ROW()))</f>
        <v/>
      </c>
      <c r="EK14" t="str">
        <f>TRIM(INDEX(Data!$H:$H,ROW()))</f>
        <v/>
      </c>
      <c r="EM14" t="str">
        <f>IF(D14=1,IF(TRIM(INDEX(Charge!$K:$K,ROW()))&lt;&gt;"","Interne",IF(TRIM(INDEX(Charge!$L:$L,ROW()))&lt;&gt;"","Externe","Non affecté")),"")</f>
        <v>Interne</v>
      </c>
      <c r="EN14" t="str">
        <f>IF(D14=1,LEFT(SUBSTITUTE(SUBSTITUTE(SUBSTITUTE(TRIM(SUBSTITUTE(INDEX(Charge!$B:$B,ROW()),CHAR(160)," "))&amp;" | "&amp;TRIM(SUBSTITUTE(INDEX(Charge!$C:$C,ROW()),CHAR(160)," "))&amp;" | "&amp;TRIM(SUBSTITUTE(INDEX(Charge!$D:$D,ROW()),CHAR(160)," ")),"~","-"),"*","+"),"?","!"),240),"")</f>
        <v>DELTA | Lot unique | Bâti machine</v>
      </c>
      <c r="EO14">
        <f>IF(EN14="",0,IF(COUNTIF($EN$4:EN14,EN14)=1,1,0))</f>
        <v>1</v>
      </c>
      <c r="EP14" s="166">
        <f>IF(EO14=1,ROUND(SUMIF($EN$4:$EN$503,EN14,$E$4:$E$503),2),"")</f>
        <v>360</v>
      </c>
      <c r="EQ14">
        <f>IF(EO14=1,COUNTIFS($EO$4:$EO$503,1,$EP$4:$EP$503,"&gt;"&amp;EP14)+COUNTIFS($EO$4:EO14,1,$EP$4:EP14,EP14),"")</f>
        <v>3</v>
      </c>
      <c r="ER14">
        <f>IF(EO14=1,COUNTIFS($EN$4:$EN$503,EN14,$EM$4:$EM$503,"Interne",$FE$4:$FE$503,1),"")</f>
        <v>2</v>
      </c>
      <c r="ES14">
        <f>IF(EO14=1,COUNTIFS($EN$4:$EN$503,EN14,$EM$4:$EM$503,"Externe",$FE$4:$FE$503,1),"")</f>
        <v>0</v>
      </c>
      <c r="ET14" t="str">
        <f>IF(EO14=1,IF(ER14+ES14=0,"à affecter",IF(ER14=0,ES14&amp;" ext.",(ER14+ES14)&amp;IF(ES14&gt;0," dont "&amp;ES14&amp;" ext.",""))&amp;IF(COUNTIFS($EN$4:$EN$503,EN14,$EM$4:$EM$503,"Non affecté")&gt;0," + à affecter","")),"")</f>
        <v>2</v>
      </c>
      <c r="EU14" s="170">
        <f>IF(EO14=1,IF(EP14&gt;0,SUMPRODUCT(($EN$4:$EN$503=EN14)*$E$4:$E$503*$C$4:$C$503)/EP14,AVERAGEIF($EN$4:$EN$503,EN14,$C$4:$C$503)),"")</f>
        <v>0</v>
      </c>
      <c r="EV14" s="165">
        <f>IF(ISNUMBER(I14),I14,2958465)</f>
        <v>46433.0</v>
      </c>
      <c r="EW14" s="165">
        <f>IF(EO14=1,SUMPRODUCT(MIN(($EN$4:$EN$503=EN14)*$EV$4:$EV$503+($EN$4:$EN$503&lt;&gt;EN14)*2958465)),"")</f>
        <v>46433.0</v>
      </c>
      <c r="EX14" s="165">
        <f>IF(AND(D14=1,ISNUMBER(INDEX(Charge!$F:$F,ROW()))),INDEX(Charge!$F:$F,ROW()),0)</f>
        <v>46568.0</v>
      </c>
      <c r="EY14" s="165">
        <f>IF(EO14=1,SUMPRODUCT(MAX(($EN$4:$EN$503=EN14)*$EX$4:$EX$503)),"")</f>
        <v>46568.0</v>
      </c>
      <c r="FA14" t="str">
        <f>IF(11&lt;=$CD$23,INDEX($EJ$4:$EJ$203,11),IF(11-$CD$23&lt;=$CD$26,INDEX($EK$4:$EK$203,11-$CD$23),""))</f>
        <v/>
      </c>
      <c r="FB14" t="str">
        <f>IF(FA14="","",IF(11&lt;=$CD$23,"Interne","Externe"))</f>
        <v/>
      </c>
      <c r="FD14">
        <f>IF(AND(B14=1,TRIM(INDEX(Charge!$K:$K,ROW()))&lt;&gt;"",TRIM(INDEX(Charge!$L:$L,ROW()))&lt;&gt;""),1,0)</f>
        <v>0</v>
      </c>
      <c r="FE14">
        <f>IF(OR(EN14="",BZ14="(non affecté)"),0,IF(COUNTIFS($EN$4:EN14,EN14,$BZ$4:BZ14,BZ14)=1,1,0))</f>
        <v>1</v>
      </c>
    </row>
    <row r="15">
      <c r="A15">
        <f>ROW()</f>
        <v>15</v>
      </c>
      <c r="B15">
        <f>IF(TRIM(INDEX(Charge!$B:$B,ROW()))&lt;&gt;"",1,0)</f>
        <v>1</v>
      </c>
      <c r="C15">
        <f>IF(B15=1,MIN(1,MAX(0,N(INDEX(Charge!$O:$O,ROW())))),0)</f>
        <v>0</v>
      </c>
      <c r="D15">
        <f>IF(B15=1,IF(OR(p_Perimetre="Tous les projets",C15&lt;1),1,0),0)</f>
        <v>1</v>
      </c>
      <c r="E15">
        <f>IF(D15=1,MAX(0,N(INDEX(Charge!$M:$M,ROW()))),0)</f>
        <v>120</v>
      </c>
      <c r="F15" t="str">
        <f>IF(D15=1,IF(TRIM(INDEX(Charge!$A:$A,ROW()))="","(non renseigné)",TRIM(INDEX(Charge!$A:$A,ROW()))),"")</f>
        <v>Sophie Lefèvre</v>
      </c>
      <c r="G15" t="str">
        <f>IF(D15=1,TRIM(INDEX(Charge!$B:$B,ROW())),"")</f>
        <v>DELTA</v>
      </c>
      <c r="H15" t="str">
        <f>IF(D15=1,IF(TRIM(INDEX(Charge!$E:$E,ROW()))="","(non renseigné)",TRIM(INDEX(Charge!$E:$E,ROW()))),"")</f>
        <v>Industrialisation</v>
      </c>
      <c r="I15" s="165">
        <f>IF(AND(D15=1,ISNUMBER(INDEX(Charge!$N:$N,ROW()))),INDEX(Charge!$N:$N,ROW()),"")</f>
        <v>46433.0</v>
      </c>
      <c r="J15" s="165">
        <f>IF(I15="","",IF(AND(p_Repartition="Lissée jusqu'à la date de besoin",ISNUMBER(INDEX(Charge!$F:$F,ROW()))),IF(INDEX(Charge!$F:$F,ROW())&gt;=I15,INDEX(Charge!$F:$F,ROW()),I15),I15))</f>
        <v>46568.0</v>
      </c>
      <c r="K15">
        <f>IF(I15="","",NETWORKDAYS(I15,J15,Data!$K$4:$K$203))</f>
        <v>98</v>
      </c>
      <c r="L15">
        <f>IF(D15=1,COUNTIFS($D$4:$D$503,1,$E$4:$E$503,"&gt;"&amp;E15)+COUNTIFS($D$4:$D15,1,$E$4:$E15,E15),"")</f>
        <v>13</v>
      </c>
      <c r="M15">
        <f>IF(F15="",0,IF(COUNTIF($F$4:F15,F15)=1,1,0))</f>
        <v>0</v>
      </c>
      <c r="N15" t="str">
        <f>IF(M15=1,ROUND(SUMIF($F$4:$F$503,F15,$E$4:$E$503),2),"")</f>
        <v/>
      </c>
      <c r="O15" t="str">
        <f>IF(M15=1,COUNTIFS($M$4:$M$503,1,$N$4:$N$503,"&gt;"&amp;N15)+COUNTIFS($M$4:M15,1,$N$4:N15,N15),"")</f>
        <v/>
      </c>
      <c r="P15">
        <f>IF(G15="",0,IF(COUNTIF($G$4:G15,G15)=1,1,0))</f>
        <v>0</v>
      </c>
      <c r="Q15" t="str">
        <f>IF(P15=1,ROUND(SUMIF($G$4:$G$503,G15,$E$4:$E$503),2),"")</f>
        <v/>
      </c>
      <c r="R15" t="str">
        <f>IF(P15=1,COUNTIFS($P$4:$P$503,1,$Q$4:$Q$503,"&gt;"&amp;Q15)+COUNTIFS($P$4:P15,1,$Q$4:Q15,Q15),"")</f>
        <v/>
      </c>
      <c r="S15">
        <f>IF(H15="",0,IF(COUNTIF($H$4:H15,H15)=1,1,0))</f>
        <v>0</v>
      </c>
      <c r="T15" t="str">
        <f>IF(S15=1,ROUND(SUMIF($H$4:$H$503,H15,$E$4:$E$503),2),"")</f>
        <v/>
      </c>
      <c r="U15" t="str">
        <f>IF(S15=1,COUNTIFS($S$4:$S$503,1,$T$4:$T$503,"&gt;"&amp;T15)+COUNTIFS($S$4:S15,1,$T$4:T15,T15),"")</f>
        <v/>
      </c>
      <c r="V15">
        <f>IF(D15=1,MIN(INDEX($R$4:$R$503,MATCH(G15,$G$4:$G$503,0)),IF($AL$7&gt;9,9,999)),"")</f>
        <v>3</v>
      </c>
      <c r="W15" s="166">
        <f>IF(OR($I15="",$E15=0),0,IF(OR($J15&lt;W$3,$I15&gt;W$2),0,IF($K15=0,IF(AND($I15&gt;=W$3,$I15&lt;=W$2),$E15,0),$E15*NETWORKDAYS(MAX($I15,W$3),MIN($J15,W$2),Data!$K$4:$K$203)/$K15)))</f>
        <v>0</v>
      </c>
      <c r="X15" s="166">
        <f>IF(OR($I15="",$E15=0),0,IF(OR($J15&lt;X$3,$I15&gt;X$2),0,IF($K15=0,IF(AND($I15&gt;=X$3,$I15&lt;=X$2),$E15,0),$E15*NETWORKDAYS(MAX($I15,X$3),MIN($J15,X$2),Data!$K$4:$K$203)/$K15)))</f>
        <v>0</v>
      </c>
      <c r="Y15" s="166">
        <f>IF(OR($I15="",$E15=0),0,IF(OR($J15&lt;Y$3,$I15&gt;Y$2),0,IF($K15=0,IF(AND($I15&gt;=Y$3,$I15&lt;=Y$2),$E15,0),$E15*NETWORKDAYS(MAX($I15,Y$3),MIN($J15,Y$2),Data!$K$4:$K$203)/$K15)))</f>
        <v>0</v>
      </c>
      <c r="Z15" s="166">
        <f>IF(OR($I15="",$E15=0),0,IF(OR($J15&lt;Z$3,$I15&gt;Z$2),0,IF($K15=0,IF(AND($I15&gt;=Z$3,$I15&lt;=Z$2),$E15,0),$E15*NETWORKDAYS(MAX($I15,Z$3),MIN($J15,Z$2),Data!$K$4:$K$203)/$K15)))</f>
        <v>0</v>
      </c>
      <c r="AA15" s="166">
        <f>IF(OR($I15="",$E15=0),0,IF(OR($J15&lt;AA$3,$I15&gt;AA$2),0,IF($K15=0,IF(AND($I15&gt;=AA$3,$I15&lt;=AA$2),$E15,0),$E15*NETWORKDAYS(MAX($I15,AA$3),MIN($J15,AA$2),Data!$K$4:$K$203)/$K15)))</f>
        <v>0</v>
      </c>
      <c r="AB15" s="166">
        <f>IF(OR($I15="",$E15=0),0,IF(OR($J15&lt;AB$3,$I15&gt;AB$2),0,IF($K15=0,IF(AND($I15&gt;=AB$3,$I15&lt;=AB$2),$E15,0),$E15*NETWORKDAYS(MAX($I15,AB$3),MIN($J15,AB$2),Data!$K$4:$K$203)/$K15)))</f>
        <v>12.2448979591837</v>
      </c>
      <c r="AC15" s="166">
        <f>IF(OR($I15="",$E15=0),0,IF(OR($J15&lt;AC$3,$I15&gt;AC$2),0,IF($K15=0,IF(AND($I15&gt;=AC$3,$I15&lt;=AC$2),$E15,0),$E15*NETWORKDAYS(MAX($I15,AC$3),MIN($J15,AC$2),Data!$K$4:$K$203)/$K15)))</f>
        <v>28.1632653061224</v>
      </c>
      <c r="AD15" s="166">
        <f>IF(OR($I15="",$E15=0),0,IF(OR($J15&lt;AD$3,$I15&gt;AD$2),0,IF($K15=0,IF(AND($I15&gt;=AD$3,$I15&lt;=AD$2),$E15,0),$E15*NETWORKDAYS(MAX($I15,AD$3),MIN($J15,AD$2),Data!$K$4:$K$203)/$K15)))</f>
        <v>26.9387755102041</v>
      </c>
      <c r="AE15" s="166">
        <f>IF(OR($I15="",$E15=0),0,IF(OR($J15&lt;AE$3,$I15&gt;AE$2),0,IF($K15=0,IF(AND($I15&gt;=AE$3,$I15&lt;=AE$2),$E15,0),$E15*NETWORKDAYS(MAX($I15,AE$3),MIN($J15,AE$2),Data!$K$4:$K$203)/$K15)))</f>
        <v>25.7142857142857</v>
      </c>
      <c r="AF15" s="166">
        <f>IF(OR($I15="",$E15=0),0,IF(OR($J15&lt;AF$3,$I15&gt;AF$2),0,IF($K15=0,IF(AND($I15&gt;=AF$3,$I15&lt;=AF$2),$E15,0),$E15*NETWORKDAYS(MAX($I15,AF$3),MIN($J15,AF$2),Data!$K$4:$K$203)/$K15)))</f>
        <v>26.9387755102041</v>
      </c>
      <c r="AG15" s="166">
        <f>IF(OR($I15="",$E15=0),0,IF(OR($J15&lt;AG$3,$I15&gt;AG$2),0,IF($K15=0,IF(AND($I15&gt;=AG$3,$I15&lt;=AG$2),$E15,0),$E15*NETWORKDAYS(MAX($I15,AG$3),MIN($J15,AG$2),Data!$K$4:$K$203)/$K15)))</f>
        <v>0</v>
      </c>
      <c r="AH15" s="166">
        <f>IF(OR($I15="",$E15=0),0,IF(OR($J15&lt;AH$3,$I15&gt;AH$2),0,IF($K15=0,IF(AND($I15&gt;=AH$3,$I15&lt;=AH$2),$E15,0),$E15*NETWORKDAYS(MAX($I15,AH$3),MIN($J15,AH$2),Data!$K$4:$K$203)/$K15)))</f>
        <v>0</v>
      </c>
      <c r="AI15" s="166">
        <f>SUM(W15:AH15)</f>
        <v>120</v>
      </c>
      <c r="AK15" t="inlineStr">
        <is>
          <t>Charge répartie sur la période affichée (h)</t>
        </is>
      </c>
      <c r="AL15" s="167">
        <f>SUM(AP4:AP15)</f>
        <v>3381.66666666667</v>
      </c>
      <c r="AN15" t="n">
        <v>12</v>
      </c>
      <c r="AO15" s="161">
        <f>AH$3</f>
        <v>46600.0</v>
      </c>
      <c r="AP15" s="167">
        <f>SUM(AH4:AH503)</f>
        <v>120.392156862745</v>
      </c>
      <c r="AQ15">
        <f>SUMPRODUCT((AH4:AH503&gt;0)/(COUNTIFS($EN$4:$EN$503,$EN$4:$EN$503,AH4:AH503,"&gt;0")+(AH4:AH503&lt;=0)))</f>
        <v>2</v>
      </c>
      <c r="BW15" t="n">
        <v>12</v>
      </c>
      <c r="BX15">
        <f>IFERROR(MATCH(BW15,$EQ$4:$EQ$503,0),"")</f>
        <v>13</v>
      </c>
      <c r="BZ15" t="str">
        <f>IF(D15=1,IF(TRIM(INDEX(Charge!$K:$K,ROW()))&lt;&gt;"",TRIM(INDEX(Charge!$K:$K,ROW())),IF(TRIM(INDEX(Charge!$L:$L,ROW()))&lt;&gt;"",TRIM(INDEX(Charge!$L:$L,ROW())),"(non affecté)")),"")</f>
        <v>Hugo Mercier</v>
      </c>
      <c r="CA15" t="str">
        <f>IF(AND($CD$4&lt;&gt;"",BZ15=$CD$4),COUNTIFS($BZ$4:$BZ$503,$CD$4,$L$4:$L$503,"&lt;"&amp;L15)+1,"")</f>
        <v/>
      </c>
      <c r="CC15" t="inlineStr">
        <is>
          <t>Occupation du mois le plus chargé</t>
        </is>
      </c>
      <c r="CD15" s="170">
        <f>INDEX(CO4:CO15,CD13)</f>
        <v>1.01666666666667</v>
      </c>
      <c r="CF15" t="n">
        <v>12</v>
      </c>
      <c r="CG15" s="169">
        <f>AH$3</f>
        <v>46600.0</v>
      </c>
      <c r="CH15" s="166">
        <f>IF($CD$4="",0,$CD$7)</f>
        <v>20</v>
      </c>
      <c r="CI15" s="166">
        <f>IF($CD$4="",0,SUMIF($BZ$4:$BZ$503,$CD$4,AH$4:AH$503))</f>
        <v>0</v>
      </c>
      <c r="CJ15" s="166">
        <f>CH15+CI15</f>
        <v>20</v>
      </c>
      <c r="CK15" s="166">
        <f>IF($CD$4="",0,$CD$6)</f>
        <v>120</v>
      </c>
      <c r="CL15" s="166">
        <f>IF(CN15&lt;0,MAX(0,MIN(CI15,CK15-CH15)),CI15)</f>
        <v>0</v>
      </c>
      <c r="CM15" s="166">
        <f>CI15-CL15</f>
        <v>0</v>
      </c>
      <c r="CN15" s="166">
        <f>CK15-CP15</f>
        <v>100</v>
      </c>
      <c r="CO15" s="170">
        <f>IF(CK15&lt;=0,IF(CP15&gt;0,9.99,0),CP15/CK15)</f>
        <v>0.166666666666667</v>
      </c>
      <c r="CP15">
        <f>ROUND(CJ15,0)</f>
        <v>20</v>
      </c>
      <c r="CQ15" t="str">
        <f>IF(CN15&lt;0,CF15,"")</f>
        <v/>
      </c>
      <c r="CS15" t="n">
        <v>12</v>
      </c>
      <c r="CT15" t="str">
        <f>IF(OR(FA15="",COUNTIF($FA$4:FA14,FA15)&gt;0),"",FA15)</f>
        <v/>
      </c>
      <c r="CU15" t="str">
        <f>IF(CT15="","",IF(FB15="Interne",IF(ISNUMBER(INDEX(Data!$F:$F,15)),INDEX(Data!$F:$F,15),p_HeuresETP),IF(ISNUMBER(INDEX(Data!$I:$I,15-$CD$23)),INDEX(Data!$I:$I,15-$CD$23),p_HeuresETP)))</f>
        <v/>
      </c>
      <c r="CV15" t="str">
        <f>IF(CT15="","",IF(FB15="Interne",IF(ISNUMBER(INDEX(Data!$G:$G,15)),INDEX(Data!$G:$G,15),p_ChargeFixe),IF(ISNUMBER(INDEX(Data!$J:$J,15-$CD$23)),INDEX(Data!$J:$J,15-$CD$23),p_ChargeFixe)))</f>
        <v/>
      </c>
      <c r="CW15" s="166" t="str">
        <f>IF($CT15="","",SUMIF($BZ$4:$BZ$503,$CT15,W$4:W$503))</f>
        <v/>
      </c>
      <c r="CX15" s="166" t="str">
        <f>IF($CT15="","",SUMIF($BZ$4:$BZ$503,$CT15,X$4:X$503))</f>
        <v/>
      </c>
      <c r="CY15" s="166" t="str">
        <f>IF($CT15="","",SUMIF($BZ$4:$BZ$503,$CT15,Y$4:Y$503))</f>
        <v/>
      </c>
      <c r="CZ15" s="166" t="str">
        <f>IF($CT15="","",SUMIF($BZ$4:$BZ$503,$CT15,Z$4:Z$503))</f>
        <v/>
      </c>
      <c r="DA15" s="166" t="str">
        <f>IF($CT15="","",SUMIF($BZ$4:$BZ$503,$CT15,AA$4:AA$503))</f>
        <v/>
      </c>
      <c r="DB15" s="166" t="str">
        <f>IF($CT15="","",SUMIF($BZ$4:$BZ$503,$CT15,AB$4:AB$503))</f>
        <v/>
      </c>
      <c r="DC15" s="166" t="str">
        <f>IF($CT15="","",SUMIF($BZ$4:$BZ$503,$CT15,AC$4:AC$503))</f>
        <v/>
      </c>
      <c r="DD15" s="166" t="str">
        <f>IF($CT15="","",SUMIF($BZ$4:$BZ$503,$CT15,AD$4:AD$503))</f>
        <v/>
      </c>
      <c r="DE15" s="166" t="str">
        <f>IF($CT15="","",SUMIF($BZ$4:$BZ$503,$CT15,AE$4:AE$503))</f>
        <v/>
      </c>
      <c r="DF15" s="166" t="str">
        <f>IF($CT15="","",SUMIF($BZ$4:$BZ$503,$CT15,AF$4:AF$503))</f>
        <v/>
      </c>
      <c r="DG15" s="166" t="str">
        <f>IF($CT15="","",SUMIF($BZ$4:$BZ$503,$CT15,AG$4:AG$503))</f>
        <v/>
      </c>
      <c r="DH15" s="166" t="str">
        <f>IF($CT15="","",SUMIF($BZ$4:$BZ$503,$CT15,AH$4:AH$503))</f>
        <v/>
      </c>
      <c r="DI15" s="170" t="str">
        <f>IF($CT15="","",IF($CU15&lt;=0,IF(ROUND($CV15+CW15,0)&gt;0,9.99,0),ROUND($CV15+CW15,0)/$CU15))</f>
        <v/>
      </c>
      <c r="DJ15" s="170" t="str">
        <f>IF($CT15="","",IF($CU15&lt;=0,IF(ROUND($CV15+CX15,0)&gt;0,9.99,0),ROUND($CV15+CX15,0)/$CU15))</f>
        <v/>
      </c>
      <c r="DK15" s="170" t="str">
        <f>IF($CT15="","",IF($CU15&lt;=0,IF(ROUND($CV15+CY15,0)&gt;0,9.99,0),ROUND($CV15+CY15,0)/$CU15))</f>
        <v/>
      </c>
      <c r="DL15" s="170" t="str">
        <f>IF($CT15="","",IF($CU15&lt;=0,IF(ROUND($CV15+CZ15,0)&gt;0,9.99,0),ROUND($CV15+CZ15,0)/$CU15))</f>
        <v/>
      </c>
      <c r="DM15" s="170" t="str">
        <f>IF($CT15="","",IF($CU15&lt;=0,IF(ROUND($CV15+DA15,0)&gt;0,9.99,0),ROUND($CV15+DA15,0)/$CU15))</f>
        <v/>
      </c>
      <c r="DN15" s="170" t="str">
        <f>IF($CT15="","",IF($CU15&lt;=0,IF(ROUND($CV15+DB15,0)&gt;0,9.99,0),ROUND($CV15+DB15,0)/$CU15))</f>
        <v/>
      </c>
      <c r="DO15" s="170" t="str">
        <f>IF($CT15="","",IF($CU15&lt;=0,IF(ROUND($CV15+DC15,0)&gt;0,9.99,0),ROUND($CV15+DC15,0)/$CU15))</f>
        <v/>
      </c>
      <c r="DP15" s="170" t="str">
        <f>IF($CT15="","",IF($CU15&lt;=0,IF(ROUND($CV15+DD15,0)&gt;0,9.99,0),ROUND($CV15+DD15,0)/$CU15))</f>
        <v/>
      </c>
      <c r="DQ15" s="170" t="str">
        <f>IF($CT15="","",IF($CU15&lt;=0,IF(ROUND($CV15+DE15,0)&gt;0,9.99,0),ROUND($CV15+DE15,0)/$CU15))</f>
        <v/>
      </c>
      <c r="DR15" s="170" t="str">
        <f>IF($CT15="","",IF($CU15&lt;=0,IF(ROUND($CV15+DF15,0)&gt;0,9.99,0),ROUND($CV15+DF15,0)/$CU15))</f>
        <v/>
      </c>
      <c r="DS15" s="170" t="str">
        <f>IF($CT15="","",IF($CU15&lt;=0,IF(ROUND($CV15+DG15,0)&gt;0,9.99,0),ROUND($CV15+DG15,0)/$CU15))</f>
        <v/>
      </c>
      <c r="DT15" s="170" t="str">
        <f>IF($CT15="","",IF($CU15&lt;=0,IF(ROUND($CV15+DH15,0)&gt;0,9.99,0),ROUND($CV15+DH15,0)/$CU15))</f>
        <v/>
      </c>
      <c r="DU15" s="170" t="str">
        <f>IF(CT15="","",MAX(DI15:DT15))</f>
        <v/>
      </c>
      <c r="DV15" s="167" t="str">
        <f>IF(CT15="","",SUM(CW15:DH15))</f>
        <v/>
      </c>
      <c r="DX15" t="n">
        <v>12</v>
      </c>
      <c r="DY15" t="str">
        <f>IFERROR(MATCH(DX15,$CA$4:$CA$503,0),"")</f>
        <v/>
      </c>
      <c r="DZ15" t="str">
        <f>IF(DY15="","",INDEX(Charge!$B:$B,DY15+3)&amp;"")</f>
        <v/>
      </c>
      <c r="EA15" t="str">
        <f>IF(DY15="","",INDEX(Charge!$C:$C,DY15+3)&amp;"")</f>
        <v/>
      </c>
      <c r="EB15" t="str">
        <f>IF(DY15="","",INDEX(Charge!$D:$D,DY15+3)&amp;"")</f>
        <v/>
      </c>
      <c r="EC15" t="str">
        <f>IF(DY15="","",INDEX(Charge!$A:$A,DY15+3)&amp;"")</f>
        <v/>
      </c>
      <c r="ED15" t="str">
        <f>IF(DY15="","",INDEX($E$4:$E$503,DY15))</f>
        <v/>
      </c>
      <c r="EE15" t="str">
        <f>IF(DY15="","",INDEX($AI$4:$AI$503,DY15))</f>
        <v/>
      </c>
      <c r="EF15" s="165" t="str">
        <f>IF(DY15="","",IF(ISNUMBER(INDEX(Charge!$N:$N,DY15+3)),INDEX(Charge!$N:$N,DY15+3),"—"))</f>
        <v/>
      </c>
      <c r="EG15" s="165" t="str">
        <f>IF(DY15="","",IF(ISNUMBER(INDEX(Charge!$F:$F,DY15+3)),INDEX(Charge!$F:$F,DY15+3),"—"))</f>
        <v/>
      </c>
      <c r="EH15" s="170" t="str">
        <f>IF(DY15="","",INDEX($C$4:$C$503,DY15))</f>
        <v/>
      </c>
      <c r="EJ15" t="str">
        <f>TRIM(INDEX(Data!$E:$E,ROW()))</f>
        <v/>
      </c>
      <c r="EK15" t="str">
        <f>TRIM(INDEX(Data!$H:$H,ROW()))</f>
        <v/>
      </c>
      <c r="EM15" t="str">
        <f>IF(D15=1,IF(TRIM(INDEX(Charge!$K:$K,ROW()))&lt;&gt;"","Interne",IF(TRIM(INDEX(Charge!$L:$L,ROW()))&lt;&gt;"","Externe","Non affecté")),"")</f>
        <v>Interne</v>
      </c>
      <c r="EN15" t="str">
        <f>IF(D15=1,LEFT(SUBSTITUTE(SUBSTITUTE(SUBSTITUTE(TRIM(SUBSTITUTE(INDEX(Charge!$B:$B,ROW()),CHAR(160)," "))&amp;" | "&amp;TRIM(SUBSTITUTE(INDEX(Charge!$C:$C,ROW()),CHAR(160)," "))&amp;" | "&amp;TRIM(SUBSTITUTE(INDEX(Charge!$D:$D,ROW()),CHAR(160)," ")),"~","-"),"*","+"),"?","!"),240),"")</f>
        <v>DELTA | Lot unique | Bâti machine</v>
      </c>
      <c r="EO15">
        <f>IF(EN15="",0,IF(COUNTIF($EN$4:EN15,EN15)=1,1,0))</f>
        <v>0</v>
      </c>
      <c r="EP15" s="166" t="str">
        <f>IF(EO15=1,ROUND(SUMIF($EN$4:$EN$503,EN15,$E$4:$E$503),2),"")</f>
        <v/>
      </c>
      <c r="EQ15" t="str">
        <f>IF(EO15=1,COUNTIFS($EO$4:$EO$503,1,$EP$4:$EP$503,"&gt;"&amp;EP15)+COUNTIFS($EO$4:EO15,1,$EP$4:EP15,EP15),"")</f>
        <v/>
      </c>
      <c r="ER15" t="str">
        <f>IF(EO15=1,COUNTIFS($EN$4:$EN$503,EN15,$EM$4:$EM$503,"Interne",$FE$4:$FE$503,1),"")</f>
        <v/>
      </c>
      <c r="ES15" t="str">
        <f>IF(EO15=1,COUNTIFS($EN$4:$EN$503,EN15,$EM$4:$EM$503,"Externe",$FE$4:$FE$503,1),"")</f>
        <v/>
      </c>
      <c r="ET15" t="str">
        <f>IF(EO15=1,IF(ER15+ES15=0,"à affecter",IF(ER15=0,ES15&amp;" ext.",(ER15+ES15)&amp;IF(ES15&gt;0," dont "&amp;ES15&amp;" ext.",""))&amp;IF(COUNTIFS($EN$4:$EN$503,EN15,$EM$4:$EM$503,"Non affecté")&gt;0," + à affecter","")),"")</f>
        <v/>
      </c>
      <c r="EU15" s="170" t="str">
        <f>IF(EO15=1,IF(EP15&gt;0,SUMPRODUCT(($EN$4:$EN$503=EN15)*$E$4:$E$503*$C$4:$C$503)/EP15,AVERAGEIF($EN$4:$EN$503,EN15,$C$4:$C$503)),"")</f>
        <v/>
      </c>
      <c r="EV15" s="165">
        <f>IF(ISNUMBER(I15),I15,2958465)</f>
        <v>46433.0</v>
      </c>
      <c r="EW15" s="165" t="str">
        <f>IF(EO15=1,SUMPRODUCT(MIN(($EN$4:$EN$503=EN15)*$EV$4:$EV$503+($EN$4:$EN$503&lt;&gt;EN15)*2958465)),"")</f>
        <v/>
      </c>
      <c r="EX15" s="165">
        <f>IF(AND(D15=1,ISNUMBER(INDEX(Charge!$F:$F,ROW()))),INDEX(Charge!$F:$F,ROW()),0)</f>
        <v>46568.0</v>
      </c>
      <c r="EY15" s="165" t="str">
        <f>IF(EO15=1,SUMPRODUCT(MAX(($EN$4:$EN$503=EN15)*$EX$4:$EX$503)),"")</f>
        <v/>
      </c>
      <c r="FA15" t="str">
        <f>IF(12&lt;=$CD$23,INDEX($EJ$4:$EJ$203,12),IF(12-$CD$23&lt;=$CD$26,INDEX($EK$4:$EK$203,12-$CD$23),""))</f>
        <v/>
      </c>
      <c r="FB15" t="str">
        <f>IF(FA15="","",IF(12&lt;=$CD$23,"Interne","Externe"))</f>
        <v/>
      </c>
      <c r="FD15">
        <f>IF(AND(B15=1,TRIM(INDEX(Charge!$K:$K,ROW()))&lt;&gt;"",TRIM(INDEX(Charge!$L:$L,ROW()))&lt;&gt;""),1,0)</f>
        <v>0</v>
      </c>
      <c r="FE15">
        <f>IF(OR(EN15="",BZ15="(non affecté)"),0,IF(COUNTIFS($EN$4:EN15,EN15,$BZ$4:BZ15,BZ15)=1,1,0))</f>
        <v>1</v>
      </c>
    </row>
    <row r="16">
      <c r="A16">
        <f>ROW()</f>
        <v>16</v>
      </c>
      <c r="B16">
        <f>IF(TRIM(INDEX(Charge!$B:$B,ROW()))&lt;&gt;"",1,0)</f>
        <v>1</v>
      </c>
      <c r="C16">
        <f>IF(B16=1,MIN(1,MAX(0,N(INDEX(Charge!$O:$O,ROW())))),0)</f>
        <v>0.8</v>
      </c>
      <c r="D16">
        <f>IF(B16=1,IF(OR(p_Perimetre="Tous les projets",C16&lt;1),1,0),0)</f>
        <v>1</v>
      </c>
      <c r="E16">
        <f>IF(D16=1,MAX(0,N(INDEX(Charge!$M:$M,ROW()))),0)</f>
        <v>120</v>
      </c>
      <c r="F16" t="str">
        <f>IF(D16=1,IF(TRIM(INDEX(Charge!$A:$A,ROW()))="","(non renseigné)",TRIM(INDEX(Charge!$A:$A,ROW()))),"")</f>
        <v>Nicolas Moreau</v>
      </c>
      <c r="G16" t="str">
        <f>IF(D16=1,TRIM(INDEX(Charge!$B:$B,ROW())),"")</f>
        <v>ORION</v>
      </c>
      <c r="H16" t="str">
        <f>IF(D16=1,IF(TRIM(INDEX(Charge!$E:$E,ROW()))="","(non renseigné)",TRIM(INDEX(Charge!$E:$E,ROW()))),"")</f>
        <v>Étude de conception</v>
      </c>
      <c r="I16" s="165">
        <f>IF(AND(D16=1,ISNUMBER(INDEX(Charge!$N:$N,ROW()))),INDEX(Charge!$N:$N,ROW()),"")</f>
        <v>46279.0</v>
      </c>
      <c r="J16" s="165">
        <f>IF(I16="","",IF(AND(p_Repartition="Lissée jusqu'à la date de besoin",ISNUMBER(INDEX(Charge!$F:$F,ROW()))),IF(INDEX(Charge!$F:$F,ROW())&gt;=I16,INDEX(Charge!$F:$F,ROW()),I16),I16))</f>
        <v>46353.0</v>
      </c>
      <c r="K16">
        <f>IF(I16="","",NETWORKDAYS(I16,J16,Data!$K$4:$K$203))</f>
        <v>55</v>
      </c>
      <c r="L16">
        <f>IF(D16=1,COUNTIFS($D$4:$D$503,1,$E$4:$E$503,"&gt;"&amp;E16)+COUNTIFS($D$4:$D16,1,$E$4:$E16,E16),"")</f>
        <v>14</v>
      </c>
      <c r="M16">
        <f>IF(F16="",0,IF(COUNTIF($F$4:F16,F16)=1,1,0))</f>
        <v>1</v>
      </c>
      <c r="N16">
        <f>IF(M16=1,ROUND(SUMIF($F$4:$F$503,F16,$E$4:$E$503),2),"")</f>
        <v>350</v>
      </c>
      <c r="O16">
        <f>IF(M16=1,COUNTIFS($M$4:$M$503,1,$N$4:$N$503,"&gt;"&amp;N16)+COUNTIFS($M$4:M16,1,$N$4:N16,N16),"")</f>
        <v>5</v>
      </c>
      <c r="P16">
        <f>IF(G16="",0,IF(COUNTIF($G$4:G16,G16)=1,1,0))</f>
        <v>1</v>
      </c>
      <c r="Q16">
        <f>IF(P16=1,ROUND(SUMIF($G$4:$G$503,G16,$E$4:$E$503),2),"")</f>
        <v>280</v>
      </c>
      <c r="R16">
        <f>IF(P16=1,COUNTIFS($P$4:$P$503,1,$Q$4:$Q$503,"&gt;"&amp;Q16)+COUNTIFS($P$4:P16,1,$Q$4:Q16,Q16),"")</f>
        <v>6</v>
      </c>
      <c r="S16">
        <f>IF(H16="",0,IF(COUNTIF($H$4:H16,H16)=1,1,0))</f>
        <v>0</v>
      </c>
      <c r="T16" t="str">
        <f>IF(S16=1,ROUND(SUMIF($H$4:$H$503,H16,$E$4:$E$503),2),"")</f>
        <v/>
      </c>
      <c r="U16" t="str">
        <f>IF(S16=1,COUNTIFS($S$4:$S$503,1,$T$4:$T$503,"&gt;"&amp;T16)+COUNTIFS($S$4:S16,1,$T$4:T16,T16),"")</f>
        <v/>
      </c>
      <c r="V16">
        <f>IF(D16=1,MIN(INDEX($R$4:$R$503,MATCH(G16,$G$4:$G$503,0)),IF($AL$7&gt;9,9,999)),"")</f>
        <v>6</v>
      </c>
      <c r="W16" s="166">
        <f>IF(OR($I16="",$E16=0),0,IF(OR($J16&lt;W$3,$I16&gt;W$2),0,IF($K16=0,IF(AND($I16&gt;=W$3,$I16&lt;=W$2),$E16,0),$E16*NETWORKDAYS(MAX($I16,W$3),MIN($J16,W$2),Data!$K$4:$K$203)/$K16)))</f>
        <v>28.3636363636364</v>
      </c>
      <c r="X16" s="166">
        <f>IF(OR($I16="",$E16=0),0,IF(OR($J16&lt;X$3,$I16&gt;X$2),0,IF($K16=0,IF(AND($I16&gt;=X$3,$I16&lt;=X$2),$E16,0),$E16*NETWORKDAYS(MAX($I16,X$3),MIN($J16,X$2),Data!$K$4:$K$203)/$K16)))</f>
        <v>48</v>
      </c>
      <c r="Y16" s="166">
        <f>IF(OR($I16="",$E16=0),0,IF(OR($J16&lt;Y$3,$I16&gt;Y$2),0,IF($K16=0,IF(AND($I16&gt;=Y$3,$I16&lt;=Y$2),$E16,0),$E16*NETWORKDAYS(MAX($I16,Y$3),MIN($J16,Y$2),Data!$K$4:$K$203)/$K16)))</f>
        <v>43.6363636363636</v>
      </c>
      <c r="Z16" s="166">
        <f>IF(OR($I16="",$E16=0),0,IF(OR($J16&lt;Z$3,$I16&gt;Z$2),0,IF($K16=0,IF(AND($I16&gt;=Z$3,$I16&lt;=Z$2),$E16,0),$E16*NETWORKDAYS(MAX($I16,Z$3),MIN($J16,Z$2),Data!$K$4:$K$203)/$K16)))</f>
        <v>0</v>
      </c>
      <c r="AA16" s="166">
        <f>IF(OR($I16="",$E16=0),0,IF(OR($J16&lt;AA$3,$I16&gt;AA$2),0,IF($K16=0,IF(AND($I16&gt;=AA$3,$I16&lt;=AA$2),$E16,0),$E16*NETWORKDAYS(MAX($I16,AA$3),MIN($J16,AA$2),Data!$K$4:$K$203)/$K16)))</f>
        <v>0</v>
      </c>
      <c r="AB16" s="166">
        <f>IF(OR($I16="",$E16=0),0,IF(OR($J16&lt;AB$3,$I16&gt;AB$2),0,IF($K16=0,IF(AND($I16&gt;=AB$3,$I16&lt;=AB$2),$E16,0),$E16*NETWORKDAYS(MAX($I16,AB$3),MIN($J16,AB$2),Data!$K$4:$K$203)/$K16)))</f>
        <v>0</v>
      </c>
      <c r="AC16" s="166">
        <f>IF(OR($I16="",$E16=0),0,IF(OR($J16&lt;AC$3,$I16&gt;AC$2),0,IF($K16=0,IF(AND($I16&gt;=AC$3,$I16&lt;=AC$2),$E16,0),$E16*NETWORKDAYS(MAX($I16,AC$3),MIN($J16,AC$2),Data!$K$4:$K$203)/$K16)))</f>
        <v>0</v>
      </c>
      <c r="AD16" s="166">
        <f>IF(OR($I16="",$E16=0),0,IF(OR($J16&lt;AD$3,$I16&gt;AD$2),0,IF($K16=0,IF(AND($I16&gt;=AD$3,$I16&lt;=AD$2),$E16,0),$E16*NETWORKDAYS(MAX($I16,AD$3),MIN($J16,AD$2),Data!$K$4:$K$203)/$K16)))</f>
        <v>0</v>
      </c>
      <c r="AE16" s="166">
        <f>IF(OR($I16="",$E16=0),0,IF(OR($J16&lt;AE$3,$I16&gt;AE$2),0,IF($K16=0,IF(AND($I16&gt;=AE$3,$I16&lt;=AE$2),$E16,0),$E16*NETWORKDAYS(MAX($I16,AE$3),MIN($J16,AE$2),Data!$K$4:$K$203)/$K16)))</f>
        <v>0</v>
      </c>
      <c r="AF16" s="166">
        <f>IF(OR($I16="",$E16=0),0,IF(OR($J16&lt;AF$3,$I16&gt;AF$2),0,IF($K16=0,IF(AND($I16&gt;=AF$3,$I16&lt;=AF$2),$E16,0),$E16*NETWORKDAYS(MAX($I16,AF$3),MIN($J16,AF$2),Data!$K$4:$K$203)/$K16)))</f>
        <v>0</v>
      </c>
      <c r="AG16" s="166">
        <f>IF(OR($I16="",$E16=0),0,IF(OR($J16&lt;AG$3,$I16&gt;AG$2),0,IF($K16=0,IF(AND($I16&gt;=AG$3,$I16&lt;=AG$2),$E16,0),$E16*NETWORKDAYS(MAX($I16,AG$3),MIN($J16,AG$2),Data!$K$4:$K$203)/$K16)))</f>
        <v>0</v>
      </c>
      <c r="AH16" s="166">
        <f>IF(OR($I16="",$E16=0),0,IF(OR($J16&lt;AH$3,$I16&gt;AH$2),0,IF($K16=0,IF(AND($I16&gt;=AH$3,$I16&lt;=AH$2),$E16,0),$E16*NETWORKDAYS(MAX($I16,AH$3),MIN($J16,AH$2),Data!$K$4:$K$203)/$K16)))</f>
        <v>0</v>
      </c>
      <c r="AI16" s="166">
        <f>SUM(W16:AH16)</f>
        <v>120</v>
      </c>
      <c r="AK16" t="inlineStr">
        <is>
          <t>Charge hors période ou sans date de début (h)</t>
        </is>
      </c>
      <c r="AL16" s="167">
        <f>MAX(0,ROUND(AL4-AL15,1))</f>
        <v>73.3</v>
      </c>
      <c r="BW16" t="n">
        <v>13</v>
      </c>
      <c r="BX16">
        <f>IFERROR(MATCH(BW16,$EQ$4:$EQ$503,0),"")</f>
        <v>7</v>
      </c>
      <c r="BZ16" t="str">
        <f>IF(D16=1,IF(TRIM(INDEX(Charge!$K:$K,ROW()))&lt;&gt;"",TRIM(INDEX(Charge!$K:$K,ROW())),IF(TRIM(INDEX(Charge!$L:$L,ROW()))&lt;&gt;"",TRIM(INDEX(Charge!$L:$L,ROW())),"(non affecté)")),"")</f>
        <v>Lucas Garnier</v>
      </c>
      <c r="CA16">
        <f>IF(AND($CD$4&lt;&gt;"",BZ16=$CD$4),COUNTIFS($BZ$4:$BZ$503,$CD$4,$L$4:$L$503,"&lt;"&amp;L16)+1,"")</f>
        <v>2</v>
      </c>
      <c r="CC16" t="inlineStr">
        <is>
          <t>Nombre de mois en surcharge</t>
        </is>
      </c>
      <c r="CD16" s="171">
        <f>COUNT(CQ4:CQ15)</f>
        <v>1</v>
      </c>
      <c r="CS16" t="n">
        <v>13</v>
      </c>
      <c r="CT16" t="str">
        <f>IF(OR(FA16="",COUNTIF($FA$4:FA15,FA16)&gt;0),"",FA16)</f>
        <v/>
      </c>
      <c r="CU16" t="str">
        <f>IF(CT16="","",IF(FB16="Interne",IF(ISNUMBER(INDEX(Data!$F:$F,16)),INDEX(Data!$F:$F,16),p_HeuresETP),IF(ISNUMBER(INDEX(Data!$I:$I,16-$CD$23)),INDEX(Data!$I:$I,16-$CD$23),p_HeuresETP)))</f>
        <v/>
      </c>
      <c r="CV16" t="str">
        <f>IF(CT16="","",IF(FB16="Interne",IF(ISNUMBER(INDEX(Data!$G:$G,16)),INDEX(Data!$G:$G,16),p_ChargeFixe),IF(ISNUMBER(INDEX(Data!$J:$J,16-$CD$23)),INDEX(Data!$J:$J,16-$CD$23),p_ChargeFixe)))</f>
        <v/>
      </c>
      <c r="CW16" s="166" t="str">
        <f>IF($CT16="","",SUMIF($BZ$4:$BZ$503,$CT16,W$4:W$503))</f>
        <v/>
      </c>
      <c r="CX16" s="166" t="str">
        <f>IF($CT16="","",SUMIF($BZ$4:$BZ$503,$CT16,X$4:X$503))</f>
        <v/>
      </c>
      <c r="CY16" s="166" t="str">
        <f>IF($CT16="","",SUMIF($BZ$4:$BZ$503,$CT16,Y$4:Y$503))</f>
        <v/>
      </c>
      <c r="CZ16" s="166" t="str">
        <f>IF($CT16="","",SUMIF($BZ$4:$BZ$503,$CT16,Z$4:Z$503))</f>
        <v/>
      </c>
      <c r="DA16" s="166" t="str">
        <f>IF($CT16="","",SUMIF($BZ$4:$BZ$503,$CT16,AA$4:AA$503))</f>
        <v/>
      </c>
      <c r="DB16" s="166" t="str">
        <f>IF($CT16="","",SUMIF($BZ$4:$BZ$503,$CT16,AB$4:AB$503))</f>
        <v/>
      </c>
      <c r="DC16" s="166" t="str">
        <f>IF($CT16="","",SUMIF($BZ$4:$BZ$503,$CT16,AC$4:AC$503))</f>
        <v/>
      </c>
      <c r="DD16" s="166" t="str">
        <f>IF($CT16="","",SUMIF($BZ$4:$BZ$503,$CT16,AD$4:AD$503))</f>
        <v/>
      </c>
      <c r="DE16" s="166" t="str">
        <f>IF($CT16="","",SUMIF($BZ$4:$BZ$503,$CT16,AE$4:AE$503))</f>
        <v/>
      </c>
      <c r="DF16" s="166" t="str">
        <f>IF($CT16="","",SUMIF($BZ$4:$BZ$503,$CT16,AF$4:AF$503))</f>
        <v/>
      </c>
      <c r="DG16" s="166" t="str">
        <f>IF($CT16="","",SUMIF($BZ$4:$BZ$503,$CT16,AG$4:AG$503))</f>
        <v/>
      </c>
      <c r="DH16" s="166" t="str">
        <f>IF($CT16="","",SUMIF($BZ$4:$BZ$503,$CT16,AH$4:AH$503))</f>
        <v/>
      </c>
      <c r="DI16" s="170" t="str">
        <f>IF($CT16="","",IF($CU16&lt;=0,IF(ROUND($CV16+CW16,0)&gt;0,9.99,0),ROUND($CV16+CW16,0)/$CU16))</f>
        <v/>
      </c>
      <c r="DJ16" s="170" t="str">
        <f>IF($CT16="","",IF($CU16&lt;=0,IF(ROUND($CV16+CX16,0)&gt;0,9.99,0),ROUND($CV16+CX16,0)/$CU16))</f>
        <v/>
      </c>
      <c r="DK16" s="170" t="str">
        <f>IF($CT16="","",IF($CU16&lt;=0,IF(ROUND($CV16+CY16,0)&gt;0,9.99,0),ROUND($CV16+CY16,0)/$CU16))</f>
        <v/>
      </c>
      <c r="DL16" s="170" t="str">
        <f>IF($CT16="","",IF($CU16&lt;=0,IF(ROUND($CV16+CZ16,0)&gt;0,9.99,0),ROUND($CV16+CZ16,0)/$CU16))</f>
        <v/>
      </c>
      <c r="DM16" s="170" t="str">
        <f>IF($CT16="","",IF($CU16&lt;=0,IF(ROUND($CV16+DA16,0)&gt;0,9.99,0),ROUND($CV16+DA16,0)/$CU16))</f>
        <v/>
      </c>
      <c r="DN16" s="170" t="str">
        <f>IF($CT16="","",IF($CU16&lt;=0,IF(ROUND($CV16+DB16,0)&gt;0,9.99,0),ROUND($CV16+DB16,0)/$CU16))</f>
        <v/>
      </c>
      <c r="DO16" s="170" t="str">
        <f>IF($CT16="","",IF($CU16&lt;=0,IF(ROUND($CV16+DC16,0)&gt;0,9.99,0),ROUND($CV16+DC16,0)/$CU16))</f>
        <v/>
      </c>
      <c r="DP16" s="170" t="str">
        <f>IF($CT16="","",IF($CU16&lt;=0,IF(ROUND($CV16+DD16,0)&gt;0,9.99,0),ROUND($CV16+DD16,0)/$CU16))</f>
        <v/>
      </c>
      <c r="DQ16" s="170" t="str">
        <f>IF($CT16="","",IF($CU16&lt;=0,IF(ROUND($CV16+DE16,0)&gt;0,9.99,0),ROUND($CV16+DE16,0)/$CU16))</f>
        <v/>
      </c>
      <c r="DR16" s="170" t="str">
        <f>IF($CT16="","",IF($CU16&lt;=0,IF(ROUND($CV16+DF16,0)&gt;0,9.99,0),ROUND($CV16+DF16,0)/$CU16))</f>
        <v/>
      </c>
      <c r="DS16" s="170" t="str">
        <f>IF($CT16="","",IF($CU16&lt;=0,IF(ROUND($CV16+DG16,0)&gt;0,9.99,0),ROUND($CV16+DG16,0)/$CU16))</f>
        <v/>
      </c>
      <c r="DT16" s="170" t="str">
        <f>IF($CT16="","",IF($CU16&lt;=0,IF(ROUND($CV16+DH16,0)&gt;0,9.99,0),ROUND($CV16+DH16,0)/$CU16))</f>
        <v/>
      </c>
      <c r="DU16" s="170" t="str">
        <f>IF(CT16="","",MAX(DI16:DT16))</f>
        <v/>
      </c>
      <c r="DV16" s="167" t="str">
        <f>IF(CT16="","",SUM(CW16:DH16))</f>
        <v/>
      </c>
      <c r="DX16" t="n">
        <v>13</v>
      </c>
      <c r="DY16" t="str">
        <f>IFERROR(MATCH(DX16,$CA$4:$CA$503,0),"")</f>
        <v/>
      </c>
      <c r="DZ16" t="str">
        <f>IF(DY16="","",INDEX(Charge!$B:$B,DY16+3)&amp;"")</f>
        <v/>
      </c>
      <c r="EA16" t="str">
        <f>IF(DY16="","",INDEX(Charge!$C:$C,DY16+3)&amp;"")</f>
        <v/>
      </c>
      <c r="EB16" t="str">
        <f>IF(DY16="","",INDEX(Charge!$D:$D,DY16+3)&amp;"")</f>
        <v/>
      </c>
      <c r="EC16" t="str">
        <f>IF(DY16="","",INDEX(Charge!$A:$A,DY16+3)&amp;"")</f>
        <v/>
      </c>
      <c r="ED16" t="str">
        <f>IF(DY16="","",INDEX($E$4:$E$503,DY16))</f>
        <v/>
      </c>
      <c r="EE16" t="str">
        <f>IF(DY16="","",INDEX($AI$4:$AI$503,DY16))</f>
        <v/>
      </c>
      <c r="EF16" s="165" t="str">
        <f>IF(DY16="","",IF(ISNUMBER(INDEX(Charge!$N:$N,DY16+3)),INDEX(Charge!$N:$N,DY16+3),"—"))</f>
        <v/>
      </c>
      <c r="EG16" s="165" t="str">
        <f>IF(DY16="","",IF(ISNUMBER(INDEX(Charge!$F:$F,DY16+3)),INDEX(Charge!$F:$F,DY16+3),"—"))</f>
        <v/>
      </c>
      <c r="EH16" s="170" t="str">
        <f>IF(DY16="","",INDEX($C$4:$C$503,DY16))</f>
        <v/>
      </c>
      <c r="EJ16" t="str">
        <f>TRIM(INDEX(Data!$E:$E,ROW()))</f>
        <v/>
      </c>
      <c r="EK16" t="str">
        <f>TRIM(INDEX(Data!$H:$H,ROW()))</f>
        <v/>
      </c>
      <c r="EM16" t="str">
        <f>IF(D16=1,IF(TRIM(INDEX(Charge!$K:$K,ROW()))&lt;&gt;"","Interne",IF(TRIM(INDEX(Charge!$L:$L,ROW()))&lt;&gt;"","Externe","Non affecté")),"")</f>
        <v>Interne</v>
      </c>
      <c r="EN16" t="str">
        <f>IF(D16=1,LEFT(SUBSTITUTE(SUBSTITUTE(SUBSTITUTE(TRIM(SUBSTITUTE(INDEX(Charge!$B:$B,ROW()),CHAR(160)," "))&amp;" | "&amp;TRIM(SUBSTITUTE(INDEX(Charge!$C:$C,ROW()),CHAR(160)," "))&amp;" | "&amp;TRIM(SUBSTITUTE(INDEX(Charge!$D:$D,ROW()),CHAR(160)," ")),"~","-"),"*","+"),"?","!"),240),"")</f>
        <v>ORION | Tranche 1 | Support moteur</v>
      </c>
      <c r="EO16">
        <f>IF(EN16="",0,IF(COUNTIF($EN$4:EN16,EN16)=1,1,0))</f>
        <v>1</v>
      </c>
      <c r="EP16" s="166">
        <f>IF(EO16=1,ROUND(SUMIF($EN$4:$EN$503,EN16,$E$4:$E$503),2),"")</f>
        <v>120</v>
      </c>
      <c r="EQ16">
        <f>IF(EO16=1,COUNTIFS($EO$4:$EO$503,1,$EP$4:$EP$503,"&gt;"&amp;EP16)+COUNTIFS($EO$4:EO16,1,$EP$4:EP16,EP16),"")</f>
        <v>12</v>
      </c>
      <c r="ER16">
        <f>IF(EO16=1,COUNTIFS($EN$4:$EN$503,EN16,$EM$4:$EM$503,"Interne",$FE$4:$FE$503,1),"")</f>
        <v>1</v>
      </c>
      <c r="ES16">
        <f>IF(EO16=1,COUNTIFS($EN$4:$EN$503,EN16,$EM$4:$EM$503,"Externe",$FE$4:$FE$503,1),"")</f>
        <v>0</v>
      </c>
      <c r="ET16" t="str">
        <f>IF(EO16=1,IF(ER16+ES16=0,"à affecter",IF(ER16=0,ES16&amp;" ext.",(ER16+ES16)&amp;IF(ES16&gt;0," dont "&amp;ES16&amp;" ext.",""))&amp;IF(COUNTIFS($EN$4:$EN$503,EN16,$EM$4:$EM$503,"Non affecté")&gt;0," + à affecter","")),"")</f>
        <v>1</v>
      </c>
      <c r="EU16" s="170">
        <f>IF(EO16=1,IF(EP16&gt;0,SUMPRODUCT(($EN$4:$EN$503=EN16)*$E$4:$E$503*$C$4:$C$503)/EP16,AVERAGEIF($EN$4:$EN$503,EN16,$C$4:$C$503)),"")</f>
        <v>0.8</v>
      </c>
      <c r="EV16" s="165">
        <f>IF(ISNUMBER(I16),I16,2958465)</f>
        <v>46279.0</v>
      </c>
      <c r="EW16" s="165">
        <f>IF(EO16=1,SUMPRODUCT(MIN(($EN$4:$EN$503=EN16)*$EV$4:$EV$503+($EN$4:$EN$503&lt;&gt;EN16)*2958465)),"")</f>
        <v>46279.0</v>
      </c>
      <c r="EX16" s="165">
        <f>IF(AND(D16=1,ISNUMBER(INDEX(Charge!$F:$F,ROW()))),INDEX(Charge!$F:$F,ROW()),0)</f>
        <v>46353.0</v>
      </c>
      <c r="EY16" s="165">
        <f>IF(EO16=1,SUMPRODUCT(MAX(($EN$4:$EN$503=EN16)*$EX$4:$EX$503)),"")</f>
        <v>46353.0</v>
      </c>
      <c r="FA16" t="str">
        <f>IF(13&lt;=$CD$23,INDEX($EJ$4:$EJ$203,13),IF(13-$CD$23&lt;=$CD$26,INDEX($EK$4:$EK$203,13-$CD$23),""))</f>
        <v/>
      </c>
      <c r="FB16" t="str">
        <f>IF(FA16="","",IF(13&lt;=$CD$23,"Interne","Externe"))</f>
        <v/>
      </c>
      <c r="FD16">
        <f>IF(AND(B16=1,TRIM(INDEX(Charge!$K:$K,ROW()))&lt;&gt;"",TRIM(INDEX(Charge!$L:$L,ROW()))&lt;&gt;""),1,0)</f>
        <v>0</v>
      </c>
      <c r="FE16">
        <f>IF(OR(EN16="",BZ16="(non affecté)"),0,IF(COUNTIFS($EN$4:EN16,EN16,$BZ$4:BZ16,BZ16)=1,1,0))</f>
        <v>1</v>
      </c>
    </row>
    <row r="17">
      <c r="A17">
        <f>ROW()</f>
        <v>17</v>
      </c>
      <c r="B17">
        <f>IF(TRIM(INDEX(Charge!$B:$B,ROW()))&lt;&gt;"",1,0)</f>
        <v>1</v>
      </c>
      <c r="C17">
        <f>IF(B17=1,MIN(1,MAX(0,N(INDEX(Charge!$O:$O,ROW())))),0)</f>
        <v>1</v>
      </c>
      <c r="D17">
        <f>IF(B17=1,IF(OR(p_Perimetre="Tous les projets",C17&lt;1),1,0),0)</f>
        <v>0</v>
      </c>
      <c r="E17">
        <f>IF(D17=1,MAX(0,N(INDEX(Charge!$M:$M,ROW()))),0)</f>
        <v>0</v>
      </c>
      <c r="F17" t="str">
        <f>IF(D17=1,IF(TRIM(INDEX(Charge!$A:$A,ROW()))="","(non renseigné)",TRIM(INDEX(Charge!$A:$A,ROW()))),"")</f>
        <v/>
      </c>
      <c r="G17" t="str">
        <f>IF(D17=1,TRIM(INDEX(Charge!$B:$B,ROW())),"")</f>
        <v/>
      </c>
      <c r="H17" t="str">
        <f>IF(D17=1,IF(TRIM(INDEX(Charge!$E:$E,ROW()))="","(non renseigné)",TRIM(INDEX(Charge!$E:$E,ROW()))),"")</f>
        <v/>
      </c>
      <c r="I17" s="165" t="str">
        <f>IF(AND(D17=1,ISNUMBER(INDEX(Charge!$N:$N,ROW()))),INDEX(Charge!$N:$N,ROW()),"")</f>
        <v/>
      </c>
      <c r="J17" s="165" t="str">
        <f>IF(I17="","",IF(AND(p_Repartition="Lissée jusqu'à la date de besoin",ISNUMBER(INDEX(Charge!$F:$F,ROW()))),IF(INDEX(Charge!$F:$F,ROW())&gt;=I17,INDEX(Charge!$F:$F,ROW()),I17),I17))</f>
        <v/>
      </c>
      <c r="K17" t="str">
        <f>IF(I17="","",NETWORKDAYS(I17,J17,Data!$K$4:$K$203))</f>
        <v/>
      </c>
      <c r="L17" t="str">
        <f>IF(D17=1,COUNTIFS($D$4:$D$503,1,$E$4:$E$503,"&gt;"&amp;E17)+COUNTIFS($D$4:$D17,1,$E$4:$E17,E17),"")</f>
        <v/>
      </c>
      <c r="M17">
        <f>IF(F17="",0,IF(COUNTIF($F$4:F17,F17)=1,1,0))</f>
        <v>0</v>
      </c>
      <c r="N17" t="str">
        <f>IF(M17=1,ROUND(SUMIF($F$4:$F$503,F17,$E$4:$E$503),2),"")</f>
        <v/>
      </c>
      <c r="O17" t="str">
        <f>IF(M17=1,COUNTIFS($M$4:$M$503,1,$N$4:$N$503,"&gt;"&amp;N17)+COUNTIFS($M$4:M17,1,$N$4:N17,N17),"")</f>
        <v/>
      </c>
      <c r="P17">
        <f>IF(G17="",0,IF(COUNTIF($G$4:G17,G17)=1,1,0))</f>
        <v>0</v>
      </c>
      <c r="Q17" t="str">
        <f>IF(P17=1,ROUND(SUMIF($G$4:$G$503,G17,$E$4:$E$503),2),"")</f>
        <v/>
      </c>
      <c r="R17" t="str">
        <f>IF(P17=1,COUNTIFS($P$4:$P$503,1,$Q$4:$Q$503,"&gt;"&amp;Q17)+COUNTIFS($P$4:P17,1,$Q$4:Q17,Q17),"")</f>
        <v/>
      </c>
      <c r="S17">
        <f>IF(H17="",0,IF(COUNTIF($H$4:H17,H17)=1,1,0))</f>
        <v>0</v>
      </c>
      <c r="T17" t="str">
        <f>IF(S17=1,ROUND(SUMIF($H$4:$H$503,H17,$E$4:$E$503),2),"")</f>
        <v/>
      </c>
      <c r="U17" t="str">
        <f>IF(S17=1,COUNTIFS($S$4:$S$503,1,$T$4:$T$503,"&gt;"&amp;T17)+COUNTIFS($S$4:S17,1,$T$4:T17,T17),"")</f>
        <v/>
      </c>
      <c r="V17" t="str">
        <f>IF(D17=1,MIN(INDEX($R$4:$R$503,MATCH(G17,$G$4:$G$503,0)),IF($AL$7&gt;9,9,999)),"")</f>
        <v/>
      </c>
      <c r="W17" s="166">
        <f>IF(OR($I17="",$E17=0),0,IF(OR($J17&lt;W$3,$I17&gt;W$2),0,IF($K17=0,IF(AND($I17&gt;=W$3,$I17&lt;=W$2),$E17,0),$E17*NETWORKDAYS(MAX($I17,W$3),MIN($J17,W$2),Data!$K$4:$K$203)/$K17)))</f>
        <v>0</v>
      </c>
      <c r="X17" s="166">
        <f>IF(OR($I17="",$E17=0),0,IF(OR($J17&lt;X$3,$I17&gt;X$2),0,IF($K17=0,IF(AND($I17&gt;=X$3,$I17&lt;=X$2),$E17,0),$E17*NETWORKDAYS(MAX($I17,X$3),MIN($J17,X$2),Data!$K$4:$K$203)/$K17)))</f>
        <v>0</v>
      </c>
      <c r="Y17" s="166">
        <f>IF(OR($I17="",$E17=0),0,IF(OR($J17&lt;Y$3,$I17&gt;Y$2),0,IF($K17=0,IF(AND($I17&gt;=Y$3,$I17&lt;=Y$2),$E17,0),$E17*NETWORKDAYS(MAX($I17,Y$3),MIN($J17,Y$2),Data!$K$4:$K$203)/$K17)))</f>
        <v>0</v>
      </c>
      <c r="Z17" s="166">
        <f>IF(OR($I17="",$E17=0),0,IF(OR($J17&lt;Z$3,$I17&gt;Z$2),0,IF($K17=0,IF(AND($I17&gt;=Z$3,$I17&lt;=Z$2),$E17,0),$E17*NETWORKDAYS(MAX($I17,Z$3),MIN($J17,Z$2),Data!$K$4:$K$203)/$K17)))</f>
        <v>0</v>
      </c>
      <c r="AA17" s="166">
        <f>IF(OR($I17="",$E17=0),0,IF(OR($J17&lt;AA$3,$I17&gt;AA$2),0,IF($K17=0,IF(AND($I17&gt;=AA$3,$I17&lt;=AA$2),$E17,0),$E17*NETWORKDAYS(MAX($I17,AA$3),MIN($J17,AA$2),Data!$K$4:$K$203)/$K17)))</f>
        <v>0</v>
      </c>
      <c r="AB17" s="166">
        <f>IF(OR($I17="",$E17=0),0,IF(OR($J17&lt;AB$3,$I17&gt;AB$2),0,IF($K17=0,IF(AND($I17&gt;=AB$3,$I17&lt;=AB$2),$E17,0),$E17*NETWORKDAYS(MAX($I17,AB$3),MIN($J17,AB$2),Data!$K$4:$K$203)/$K17)))</f>
        <v>0</v>
      </c>
      <c r="AC17" s="166">
        <f>IF(OR($I17="",$E17=0),0,IF(OR($J17&lt;AC$3,$I17&gt;AC$2),0,IF($K17=0,IF(AND($I17&gt;=AC$3,$I17&lt;=AC$2),$E17,0),$E17*NETWORKDAYS(MAX($I17,AC$3),MIN($J17,AC$2),Data!$K$4:$K$203)/$K17)))</f>
        <v>0</v>
      </c>
      <c r="AD17" s="166">
        <f>IF(OR($I17="",$E17=0),0,IF(OR($J17&lt;AD$3,$I17&gt;AD$2),0,IF($K17=0,IF(AND($I17&gt;=AD$3,$I17&lt;=AD$2),$E17,0),$E17*NETWORKDAYS(MAX($I17,AD$3),MIN($J17,AD$2),Data!$K$4:$K$203)/$K17)))</f>
        <v>0</v>
      </c>
      <c r="AE17" s="166">
        <f>IF(OR($I17="",$E17=0),0,IF(OR($J17&lt;AE$3,$I17&gt;AE$2),0,IF($K17=0,IF(AND($I17&gt;=AE$3,$I17&lt;=AE$2),$E17,0),$E17*NETWORKDAYS(MAX($I17,AE$3),MIN($J17,AE$2),Data!$K$4:$K$203)/$K17)))</f>
        <v>0</v>
      </c>
      <c r="AF17" s="166">
        <f>IF(OR($I17="",$E17=0),0,IF(OR($J17&lt;AF$3,$I17&gt;AF$2),0,IF($K17=0,IF(AND($I17&gt;=AF$3,$I17&lt;=AF$2),$E17,0),$E17*NETWORKDAYS(MAX($I17,AF$3),MIN($J17,AF$2),Data!$K$4:$K$203)/$K17)))</f>
        <v>0</v>
      </c>
      <c r="AG17" s="166">
        <f>IF(OR($I17="",$E17=0),0,IF(OR($J17&lt;AG$3,$I17&gt;AG$2),0,IF($K17=0,IF(AND($I17&gt;=AG$3,$I17&lt;=AG$2),$E17,0),$E17*NETWORKDAYS(MAX($I17,AG$3),MIN($J17,AG$2),Data!$K$4:$K$203)/$K17)))</f>
        <v>0</v>
      </c>
      <c r="AH17" s="166">
        <f>IF(OR($I17="",$E17=0),0,IF(OR($J17&lt;AH$3,$I17&gt;AH$2),0,IF($K17=0,IF(AND($I17&gt;=AH$3,$I17&lt;=AH$2),$E17,0),$E17*NETWORKDAYS(MAX($I17,AH$3),MIN($J17,AH$2),Data!$K$4:$K$203)/$K17)))</f>
        <v>0</v>
      </c>
      <c r="AI17" s="166">
        <f>SUM(W17:AH17)</f>
        <v>0</v>
      </c>
      <c r="AK17" t="inlineStr">
        <is>
          <t>Pic de charge mensuel (h)</t>
        </is>
      </c>
      <c r="AL17" s="167">
        <f>MAX(AP4:AP15)</f>
        <v>507.840504944044</v>
      </c>
      <c r="BW17" t="n">
        <v>14</v>
      </c>
      <c r="BX17">
        <f>IFERROR(MATCH(BW17,$EQ$4:$EQ$503,0),"")</f>
        <v>19</v>
      </c>
      <c r="BZ17" t="str">
        <f>IF(D17=1,IF(TRIM(INDEX(Charge!$K:$K,ROW()))&lt;&gt;"",TRIM(INDEX(Charge!$K:$K,ROW())),IF(TRIM(INDEX(Charge!$L:$L,ROW()))&lt;&gt;"",TRIM(INDEX(Charge!$L:$L,ROW())),"(non affecté)")),"")</f>
        <v/>
      </c>
      <c r="CA17" t="str">
        <f>IF(AND($CD$4&lt;&gt;"",BZ17=$CD$4),COUNTIFS($BZ$4:$BZ$503,$CD$4,$L$4:$L$503,"&lt;"&amp;L17)+1,"")</f>
        <v/>
      </c>
      <c r="CC17" t="inlineStr">
        <is>
          <t>Dépassement cumulé (h)</t>
        </is>
      </c>
      <c r="CD17" s="172">
        <f>SUMPRODUCT((CN4:CN15&lt;0)*(-CN4:CN15))</f>
        <v>2</v>
      </c>
      <c r="CS17" t="n">
        <v>14</v>
      </c>
      <c r="CT17" t="str">
        <f>IF(OR(FA17="",COUNTIF($FA$4:FA16,FA17)&gt;0),"",FA17)</f>
        <v/>
      </c>
      <c r="CU17" t="str">
        <f>IF(CT17="","",IF(FB17="Interne",IF(ISNUMBER(INDEX(Data!$F:$F,17)),INDEX(Data!$F:$F,17),p_HeuresETP),IF(ISNUMBER(INDEX(Data!$I:$I,17-$CD$23)),INDEX(Data!$I:$I,17-$CD$23),p_HeuresETP)))</f>
        <v/>
      </c>
      <c r="CV17" t="str">
        <f>IF(CT17="","",IF(FB17="Interne",IF(ISNUMBER(INDEX(Data!$G:$G,17)),INDEX(Data!$G:$G,17),p_ChargeFixe),IF(ISNUMBER(INDEX(Data!$J:$J,17-$CD$23)),INDEX(Data!$J:$J,17-$CD$23),p_ChargeFixe)))</f>
        <v/>
      </c>
      <c r="CW17" s="166" t="str">
        <f>IF($CT17="","",SUMIF($BZ$4:$BZ$503,$CT17,W$4:W$503))</f>
        <v/>
      </c>
      <c r="CX17" s="166" t="str">
        <f>IF($CT17="","",SUMIF($BZ$4:$BZ$503,$CT17,X$4:X$503))</f>
        <v/>
      </c>
      <c r="CY17" s="166" t="str">
        <f>IF($CT17="","",SUMIF($BZ$4:$BZ$503,$CT17,Y$4:Y$503))</f>
        <v/>
      </c>
      <c r="CZ17" s="166" t="str">
        <f>IF($CT17="","",SUMIF($BZ$4:$BZ$503,$CT17,Z$4:Z$503))</f>
        <v/>
      </c>
      <c r="DA17" s="166" t="str">
        <f>IF($CT17="","",SUMIF($BZ$4:$BZ$503,$CT17,AA$4:AA$503))</f>
        <v/>
      </c>
      <c r="DB17" s="166" t="str">
        <f>IF($CT17="","",SUMIF($BZ$4:$BZ$503,$CT17,AB$4:AB$503))</f>
        <v/>
      </c>
      <c r="DC17" s="166" t="str">
        <f>IF($CT17="","",SUMIF($BZ$4:$BZ$503,$CT17,AC$4:AC$503))</f>
        <v/>
      </c>
      <c r="DD17" s="166" t="str">
        <f>IF($CT17="","",SUMIF($BZ$4:$BZ$503,$CT17,AD$4:AD$503))</f>
        <v/>
      </c>
      <c r="DE17" s="166" t="str">
        <f>IF($CT17="","",SUMIF($BZ$4:$BZ$503,$CT17,AE$4:AE$503))</f>
        <v/>
      </c>
      <c r="DF17" s="166" t="str">
        <f>IF($CT17="","",SUMIF($BZ$4:$BZ$503,$CT17,AF$4:AF$503))</f>
        <v/>
      </c>
      <c r="DG17" s="166" t="str">
        <f>IF($CT17="","",SUMIF($BZ$4:$BZ$503,$CT17,AG$4:AG$503))</f>
        <v/>
      </c>
      <c r="DH17" s="166" t="str">
        <f>IF($CT17="","",SUMIF($BZ$4:$BZ$503,$CT17,AH$4:AH$503))</f>
        <v/>
      </c>
      <c r="DI17" s="170" t="str">
        <f>IF($CT17="","",IF($CU17&lt;=0,IF(ROUND($CV17+CW17,0)&gt;0,9.99,0),ROUND($CV17+CW17,0)/$CU17))</f>
        <v/>
      </c>
      <c r="DJ17" s="170" t="str">
        <f>IF($CT17="","",IF($CU17&lt;=0,IF(ROUND($CV17+CX17,0)&gt;0,9.99,0),ROUND($CV17+CX17,0)/$CU17))</f>
        <v/>
      </c>
      <c r="DK17" s="170" t="str">
        <f>IF($CT17="","",IF($CU17&lt;=0,IF(ROUND($CV17+CY17,0)&gt;0,9.99,0),ROUND($CV17+CY17,0)/$CU17))</f>
        <v/>
      </c>
      <c r="DL17" s="170" t="str">
        <f>IF($CT17="","",IF($CU17&lt;=0,IF(ROUND($CV17+CZ17,0)&gt;0,9.99,0),ROUND($CV17+CZ17,0)/$CU17))</f>
        <v/>
      </c>
      <c r="DM17" s="170" t="str">
        <f>IF($CT17="","",IF($CU17&lt;=0,IF(ROUND($CV17+DA17,0)&gt;0,9.99,0),ROUND($CV17+DA17,0)/$CU17))</f>
        <v/>
      </c>
      <c r="DN17" s="170" t="str">
        <f>IF($CT17="","",IF($CU17&lt;=0,IF(ROUND($CV17+DB17,0)&gt;0,9.99,0),ROUND($CV17+DB17,0)/$CU17))</f>
        <v/>
      </c>
      <c r="DO17" s="170" t="str">
        <f>IF($CT17="","",IF($CU17&lt;=0,IF(ROUND($CV17+DC17,0)&gt;0,9.99,0),ROUND($CV17+DC17,0)/$CU17))</f>
        <v/>
      </c>
      <c r="DP17" s="170" t="str">
        <f>IF($CT17="","",IF($CU17&lt;=0,IF(ROUND($CV17+DD17,0)&gt;0,9.99,0),ROUND($CV17+DD17,0)/$CU17))</f>
        <v/>
      </c>
      <c r="DQ17" s="170" t="str">
        <f>IF($CT17="","",IF($CU17&lt;=0,IF(ROUND($CV17+DE17,0)&gt;0,9.99,0),ROUND($CV17+DE17,0)/$CU17))</f>
        <v/>
      </c>
      <c r="DR17" s="170" t="str">
        <f>IF($CT17="","",IF($CU17&lt;=0,IF(ROUND($CV17+DF17,0)&gt;0,9.99,0),ROUND($CV17+DF17,0)/$CU17))</f>
        <v/>
      </c>
      <c r="DS17" s="170" t="str">
        <f>IF($CT17="","",IF($CU17&lt;=0,IF(ROUND($CV17+DG17,0)&gt;0,9.99,0),ROUND($CV17+DG17,0)/$CU17))</f>
        <v/>
      </c>
      <c r="DT17" s="170" t="str">
        <f>IF($CT17="","",IF($CU17&lt;=0,IF(ROUND($CV17+DH17,0)&gt;0,9.99,0),ROUND($CV17+DH17,0)/$CU17))</f>
        <v/>
      </c>
      <c r="DU17" s="170" t="str">
        <f>IF(CT17="","",MAX(DI17:DT17))</f>
        <v/>
      </c>
      <c r="DV17" s="167" t="str">
        <f>IF(CT17="","",SUM(CW17:DH17))</f>
        <v/>
      </c>
      <c r="DX17" t="n">
        <v>14</v>
      </c>
      <c r="DY17" t="str">
        <f>IFERROR(MATCH(DX17,$CA$4:$CA$503,0),"")</f>
        <v/>
      </c>
      <c r="DZ17" t="str">
        <f>IF(DY17="","",INDEX(Charge!$B:$B,DY17+3)&amp;"")</f>
        <v/>
      </c>
      <c r="EA17" t="str">
        <f>IF(DY17="","",INDEX(Charge!$C:$C,DY17+3)&amp;"")</f>
        <v/>
      </c>
      <c r="EB17" t="str">
        <f>IF(DY17="","",INDEX(Charge!$D:$D,DY17+3)&amp;"")</f>
        <v/>
      </c>
      <c r="EC17" t="str">
        <f>IF(DY17="","",INDEX(Charge!$A:$A,DY17+3)&amp;"")</f>
        <v/>
      </c>
      <c r="ED17" t="str">
        <f>IF(DY17="","",INDEX($E$4:$E$503,DY17))</f>
        <v/>
      </c>
      <c r="EE17" t="str">
        <f>IF(DY17="","",INDEX($AI$4:$AI$503,DY17))</f>
        <v/>
      </c>
      <c r="EF17" s="165" t="str">
        <f>IF(DY17="","",IF(ISNUMBER(INDEX(Charge!$N:$N,DY17+3)),INDEX(Charge!$N:$N,DY17+3),"—"))</f>
        <v/>
      </c>
      <c r="EG17" s="165" t="str">
        <f>IF(DY17="","",IF(ISNUMBER(INDEX(Charge!$F:$F,DY17+3)),INDEX(Charge!$F:$F,DY17+3),"—"))</f>
        <v/>
      </c>
      <c r="EH17" s="170" t="str">
        <f>IF(DY17="","",INDEX($C$4:$C$503,DY17))</f>
        <v/>
      </c>
      <c r="EJ17" t="str">
        <f>TRIM(INDEX(Data!$E:$E,ROW()))</f>
        <v/>
      </c>
      <c r="EK17" t="str">
        <f>TRIM(INDEX(Data!$H:$H,ROW()))</f>
        <v/>
      </c>
      <c r="EM17" t="str">
        <f>IF(D17=1,IF(TRIM(INDEX(Charge!$K:$K,ROW()))&lt;&gt;"","Interne",IF(TRIM(INDEX(Charge!$L:$L,ROW()))&lt;&gt;"","Externe","Non affecté")),"")</f>
        <v/>
      </c>
      <c r="EN17" t="str">
        <f>IF(D17=1,LEFT(SUBSTITUTE(SUBSTITUTE(SUBSTITUTE(TRIM(SUBSTITUTE(INDEX(Charge!$B:$B,ROW()),CHAR(160)," "))&amp;" | "&amp;TRIM(SUBSTITUTE(INDEX(Charge!$C:$C,ROW()),CHAR(160)," "))&amp;" | "&amp;TRIM(SUBSTITUTE(INDEX(Charge!$D:$D,ROW()),CHAR(160)," ")),"~","-"),"*","+"),"?","!"),240),"")</f>
        <v/>
      </c>
      <c r="EO17">
        <f>IF(EN17="",0,IF(COUNTIF($EN$4:EN17,EN17)=1,1,0))</f>
        <v>0</v>
      </c>
      <c r="EP17" s="166" t="str">
        <f>IF(EO17=1,ROUND(SUMIF($EN$4:$EN$503,EN17,$E$4:$E$503),2),"")</f>
        <v/>
      </c>
      <c r="EQ17" t="str">
        <f>IF(EO17=1,COUNTIFS($EO$4:$EO$503,1,$EP$4:$EP$503,"&gt;"&amp;EP17)+COUNTIFS($EO$4:EO17,1,$EP$4:EP17,EP17),"")</f>
        <v/>
      </c>
      <c r="ER17" t="str">
        <f>IF(EO17=1,COUNTIFS($EN$4:$EN$503,EN17,$EM$4:$EM$503,"Interne",$FE$4:$FE$503,1),"")</f>
        <v/>
      </c>
      <c r="ES17" t="str">
        <f>IF(EO17=1,COUNTIFS($EN$4:$EN$503,EN17,$EM$4:$EM$503,"Externe",$FE$4:$FE$503,1),"")</f>
        <v/>
      </c>
      <c r="ET17" t="str">
        <f>IF(EO17=1,IF(ER17+ES17=0,"à affecter",IF(ER17=0,ES17&amp;" ext.",(ER17+ES17)&amp;IF(ES17&gt;0," dont "&amp;ES17&amp;" ext.",""))&amp;IF(COUNTIFS($EN$4:$EN$503,EN17,$EM$4:$EM$503,"Non affecté")&gt;0," + à affecter","")),"")</f>
        <v/>
      </c>
      <c r="EU17" s="170" t="str">
        <f>IF(EO17=1,IF(EP17&gt;0,SUMPRODUCT(($EN$4:$EN$503=EN17)*$E$4:$E$503*$C$4:$C$503)/EP17,AVERAGEIF($EN$4:$EN$503,EN17,$C$4:$C$503)),"")</f>
        <v/>
      </c>
      <c r="EV17" s="165">
        <f>IF(ISNUMBER(I17),I17,2958465)</f>
        <v>2958465.0</v>
      </c>
      <c r="EW17" s="165" t="str">
        <f>IF(EO17=1,SUMPRODUCT(MIN(($EN$4:$EN$503=EN17)*$EV$4:$EV$503+($EN$4:$EN$503&lt;&gt;EN17)*2958465)),"")</f>
        <v/>
      </c>
      <c r="EX17" s="165">
        <f>IF(AND(D17=1,ISNUMBER(INDEX(Charge!$F:$F,ROW()))),INDEX(Charge!$F:$F,ROW()),0)</f>
        <v>0.0</v>
      </c>
      <c r="EY17" s="165" t="str">
        <f>IF(EO17=1,SUMPRODUCT(MAX(($EN$4:$EN$503=EN17)*$EX$4:$EX$503)),"")</f>
        <v/>
      </c>
      <c r="FA17" t="str">
        <f>IF(14&lt;=$CD$23,INDEX($EJ$4:$EJ$203,14),IF(14-$CD$23&lt;=$CD$26,INDEX($EK$4:$EK$203,14-$CD$23),""))</f>
        <v/>
      </c>
      <c r="FB17" t="str">
        <f>IF(FA17="","",IF(14&lt;=$CD$23,"Interne","Externe"))</f>
        <v/>
      </c>
      <c r="FD17">
        <f>IF(AND(B17=1,TRIM(INDEX(Charge!$K:$K,ROW()))&lt;&gt;"",TRIM(INDEX(Charge!$L:$L,ROW()))&lt;&gt;""),1,0)</f>
        <v>0</v>
      </c>
      <c r="FE17">
        <f>IF(OR(EN17="",BZ17="(non affecté)"),0,IF(COUNTIFS($EN$4:EN17,EN17,$BZ$4:BZ17,BZ17)=1,1,0))</f>
        <v>0</v>
      </c>
    </row>
    <row r="18">
      <c r="A18">
        <f>ROW()</f>
        <v>18</v>
      </c>
      <c r="B18">
        <f>IF(TRIM(INDEX(Charge!$B:$B,ROW()))&lt;&gt;"",1,0)</f>
        <v>1</v>
      </c>
      <c r="C18">
        <f>IF(B18=1,MIN(1,MAX(0,N(INDEX(Charge!$O:$O,ROW())))),0)</f>
        <v>0</v>
      </c>
      <c r="D18">
        <f>IF(B18=1,IF(OR(p_Perimetre="Tous les projets",C18&lt;1),1,0),0)</f>
        <v>1</v>
      </c>
      <c r="E18">
        <f>IF(D18=1,MAX(0,N(INDEX(Charge!$M:$M,ROW()))),0)</f>
        <v>160</v>
      </c>
      <c r="F18" t="str">
        <f>IF(D18=1,IF(TRIM(INDEX(Charge!$A:$A,ROW()))="","(non renseigné)",TRIM(INDEX(Charge!$A:$A,ROW()))),"")</f>
        <v>Nicolas Moreau</v>
      </c>
      <c r="G18" t="str">
        <f>IF(D18=1,TRIM(INDEX(Charge!$B:$B,ROW())),"")</f>
        <v>ORION</v>
      </c>
      <c r="H18" t="str">
        <f>IF(D18=1,IF(TRIM(INDEX(Charge!$E:$E,ROW()))="","(non renseigné)",TRIM(INDEX(Charge!$E:$E,ROW()))),"")</f>
        <v>Modification</v>
      </c>
      <c r="I18" s="165">
        <f>IF(AND(D18=1,ISNUMBER(INDEX(Charge!$N:$N,ROW()))),INDEX(Charge!$N:$N,ROW()),"")</f>
        <v>46447.0</v>
      </c>
      <c r="J18" s="165">
        <f>IF(I18="","",IF(AND(p_Repartition="Lissée jusqu'à la date de besoin",ISNUMBER(INDEX(Charge!$F:$F,ROW()))),IF(INDEX(Charge!$F:$F,ROW())&gt;=I18,INDEX(Charge!$F:$F,ROW()),I18),I18))</f>
        <v>46521.0</v>
      </c>
      <c r="K18">
        <f>IF(I18="","",NETWORKDAYS(I18,J18,Data!$K$4:$K$203))</f>
        <v>55</v>
      </c>
      <c r="L18">
        <f>IF(D18=1,COUNTIFS($D$4:$D$503,1,$E$4:$E$503,"&gt;"&amp;E18)+COUNTIFS($D$4:$D18,1,$E$4:$E18,E18),"")</f>
        <v>10</v>
      </c>
      <c r="M18">
        <f>IF(F18="",0,IF(COUNTIF($F$4:F18,F18)=1,1,0))</f>
        <v>0</v>
      </c>
      <c r="N18" t="str">
        <f>IF(M18=1,ROUND(SUMIF($F$4:$F$503,F18,$E$4:$E$503),2),"")</f>
        <v/>
      </c>
      <c r="O18" t="str">
        <f>IF(M18=1,COUNTIFS($M$4:$M$503,1,$N$4:$N$503,"&gt;"&amp;N18)+COUNTIFS($M$4:M18,1,$N$4:N18,N18),"")</f>
        <v/>
      </c>
      <c r="P18">
        <f>IF(G18="",0,IF(COUNTIF($G$4:G18,G18)=1,1,0))</f>
        <v>0</v>
      </c>
      <c r="Q18" t="str">
        <f>IF(P18=1,ROUND(SUMIF($G$4:$G$503,G18,$E$4:$E$503),2),"")</f>
        <v/>
      </c>
      <c r="R18" t="str">
        <f>IF(P18=1,COUNTIFS($P$4:$P$503,1,$Q$4:$Q$503,"&gt;"&amp;Q18)+COUNTIFS($P$4:P18,1,$Q$4:Q18,Q18),"")</f>
        <v/>
      </c>
      <c r="S18">
        <f>IF(H18="",0,IF(COUNTIF($H$4:H18,H18)=1,1,0))</f>
        <v>0</v>
      </c>
      <c r="T18" t="str">
        <f>IF(S18=1,ROUND(SUMIF($H$4:$H$503,H18,$E$4:$E$503),2),"")</f>
        <v/>
      </c>
      <c r="U18" t="str">
        <f>IF(S18=1,COUNTIFS($S$4:$S$503,1,$T$4:$T$503,"&gt;"&amp;T18)+COUNTIFS($S$4:S18,1,$T$4:T18,T18),"")</f>
        <v/>
      </c>
      <c r="V18">
        <f>IF(D18=1,MIN(INDEX($R$4:$R$503,MATCH(G18,$G$4:$G$503,0)),IF($AL$7&gt;9,9,999)),"")</f>
        <v>6</v>
      </c>
      <c r="W18" s="166">
        <f>IF(OR($I18="",$E18=0),0,IF(OR($J18&lt;W$3,$I18&gt;W$2),0,IF($K18=0,IF(AND($I18&gt;=W$3,$I18&lt;=W$2),$E18,0),$E18*NETWORKDAYS(MAX($I18,W$3),MIN($J18,W$2),Data!$K$4:$K$203)/$K18)))</f>
        <v>0</v>
      </c>
      <c r="X18" s="166">
        <f>IF(OR($I18="",$E18=0),0,IF(OR($J18&lt;X$3,$I18&gt;X$2),0,IF($K18=0,IF(AND($I18&gt;=X$3,$I18&lt;=X$2),$E18,0),$E18*NETWORKDAYS(MAX($I18,X$3),MIN($J18,X$2),Data!$K$4:$K$203)/$K18)))</f>
        <v>0</v>
      </c>
      <c r="Y18" s="166">
        <f>IF(OR($I18="",$E18=0),0,IF(OR($J18&lt;Y$3,$I18&gt;Y$2),0,IF($K18=0,IF(AND($I18&gt;=Y$3,$I18&lt;=Y$2),$E18,0),$E18*NETWORKDAYS(MAX($I18,Y$3),MIN($J18,Y$2),Data!$K$4:$K$203)/$K18)))</f>
        <v>0</v>
      </c>
      <c r="Z18" s="166">
        <f>IF(OR($I18="",$E18=0),0,IF(OR($J18&lt;Z$3,$I18&gt;Z$2),0,IF($K18=0,IF(AND($I18&gt;=Z$3,$I18&lt;=Z$2),$E18,0),$E18*NETWORKDAYS(MAX($I18,Z$3),MIN($J18,Z$2),Data!$K$4:$K$203)/$K18)))</f>
        <v>0</v>
      </c>
      <c r="AA18" s="166">
        <f>IF(OR($I18="",$E18=0),0,IF(OR($J18&lt;AA$3,$I18&gt;AA$2),0,IF($K18=0,IF(AND($I18&gt;=AA$3,$I18&lt;=AA$2),$E18,0),$E18*NETWORKDAYS(MAX($I18,AA$3),MIN($J18,AA$2),Data!$K$4:$K$203)/$K18)))</f>
        <v>0</v>
      </c>
      <c r="AB18" s="166">
        <f>IF(OR($I18="",$E18=0),0,IF(OR($J18&lt;AB$3,$I18&gt;AB$2),0,IF($K18=0,IF(AND($I18&gt;=AB$3,$I18&lt;=AB$2),$E18,0),$E18*NETWORKDAYS(MAX($I18,AB$3),MIN($J18,AB$2),Data!$K$4:$K$203)/$K18)))</f>
        <v>0</v>
      </c>
      <c r="AC18" s="166">
        <f>IF(OR($I18="",$E18=0),0,IF(OR($J18&lt;AC$3,$I18&gt;AC$2),0,IF($K18=0,IF(AND($I18&gt;=AC$3,$I18&lt;=AC$2),$E18,0),$E18*NETWORKDAYS(MAX($I18,AC$3),MIN($J18,AC$2),Data!$K$4:$K$203)/$K18)))</f>
        <v>66.9090909090909</v>
      </c>
      <c r="AD18" s="166">
        <f>IF(OR($I18="",$E18=0),0,IF(OR($J18&lt;AD$3,$I18&gt;AD$2),0,IF($K18=0,IF(AND($I18&gt;=AD$3,$I18&lt;=AD$2),$E18,0),$E18*NETWORKDAYS(MAX($I18,AD$3),MIN($J18,AD$2),Data!$K$4:$K$203)/$K18)))</f>
        <v>64</v>
      </c>
      <c r="AE18" s="166">
        <f>IF(OR($I18="",$E18=0),0,IF(OR($J18&lt;AE$3,$I18&gt;AE$2),0,IF($K18=0,IF(AND($I18&gt;=AE$3,$I18&lt;=AE$2),$E18,0),$E18*NETWORKDAYS(MAX($I18,AE$3),MIN($J18,AE$2),Data!$K$4:$K$203)/$K18)))</f>
        <v>29.0909090909091</v>
      </c>
      <c r="AF18" s="166">
        <f>IF(OR($I18="",$E18=0),0,IF(OR($J18&lt;AF$3,$I18&gt;AF$2),0,IF($K18=0,IF(AND($I18&gt;=AF$3,$I18&lt;=AF$2),$E18,0),$E18*NETWORKDAYS(MAX($I18,AF$3),MIN($J18,AF$2),Data!$K$4:$K$203)/$K18)))</f>
        <v>0</v>
      </c>
      <c r="AG18" s="166">
        <f>IF(OR($I18="",$E18=0),0,IF(OR($J18&lt;AG$3,$I18&gt;AG$2),0,IF($K18=0,IF(AND($I18&gt;=AG$3,$I18&lt;=AG$2),$E18,0),$E18*NETWORKDAYS(MAX($I18,AG$3),MIN($J18,AG$2),Data!$K$4:$K$203)/$K18)))</f>
        <v>0</v>
      </c>
      <c r="AH18" s="166">
        <f>IF(OR($I18="",$E18=0),0,IF(OR($J18&lt;AH$3,$I18&gt;AH$2),0,IF($K18=0,IF(AND($I18&gt;=AH$3,$I18&lt;=AH$2),$E18,0),$E18*NETWORKDAYS(MAX($I18,AH$3),MIN($J18,AH$2),Data!$K$4:$K$203)/$K18)))</f>
        <v>0</v>
      </c>
      <c r="AI18" s="166">
        <f>SUM(W18:AH18)</f>
        <v>160</v>
      </c>
      <c r="AK18" t="inlineStr">
        <is>
          <t>Rang du mois de pic</t>
        </is>
      </c>
      <c r="AL18" s="171">
        <f>MATCH(AL17,AP4:AP15,0)</f>
        <v>7</v>
      </c>
      <c r="BW18" t="n">
        <v>15</v>
      </c>
      <c r="BX18">
        <f>IFERROR(MATCH(BW18,$EQ$4:$EQ$503,0),"")</f>
        <v>16</v>
      </c>
      <c r="BZ18" t="str">
        <f>IF(D18=1,IF(TRIM(INDEX(Charge!$K:$K,ROW()))&lt;&gt;"",TRIM(INDEX(Charge!$K:$K,ROW())),IF(TRIM(INDEX(Charge!$L:$L,ROW()))&lt;&gt;"",TRIM(INDEX(Charge!$L:$L,ROW())),"(non affecté)")),"")</f>
        <v>Emma Faure</v>
      </c>
      <c r="CA18" t="str">
        <f>IF(AND($CD$4&lt;&gt;"",BZ18=$CD$4),COUNTIFS($BZ$4:$BZ$503,$CD$4,$L$4:$L$503,"&lt;"&amp;L18)+1,"")</f>
        <v/>
      </c>
      <c r="CC18" t="inlineStr">
        <is>
          <t>Heures encore disponibles sur la période (h)</t>
        </is>
      </c>
      <c r="CD18" s="172">
        <f>SUMPRODUCT((CN4:CN15&gt;0)*CN4:CN15)</f>
        <v>782</v>
      </c>
      <c r="CS18" t="n">
        <v>15</v>
      </c>
      <c r="CT18" t="str">
        <f>IF(OR(FA18="",COUNTIF($FA$4:FA17,FA18)&gt;0),"",FA18)</f>
        <v/>
      </c>
      <c r="CU18" t="str">
        <f>IF(CT18="","",IF(FB18="Interne",IF(ISNUMBER(INDEX(Data!$F:$F,18)),INDEX(Data!$F:$F,18),p_HeuresETP),IF(ISNUMBER(INDEX(Data!$I:$I,18-$CD$23)),INDEX(Data!$I:$I,18-$CD$23),p_HeuresETP)))</f>
        <v/>
      </c>
      <c r="CV18" t="str">
        <f>IF(CT18="","",IF(FB18="Interne",IF(ISNUMBER(INDEX(Data!$G:$G,18)),INDEX(Data!$G:$G,18),p_ChargeFixe),IF(ISNUMBER(INDEX(Data!$J:$J,18-$CD$23)),INDEX(Data!$J:$J,18-$CD$23),p_ChargeFixe)))</f>
        <v/>
      </c>
      <c r="CW18" s="166" t="str">
        <f>IF($CT18="","",SUMIF($BZ$4:$BZ$503,$CT18,W$4:W$503))</f>
        <v/>
      </c>
      <c r="CX18" s="166" t="str">
        <f>IF($CT18="","",SUMIF($BZ$4:$BZ$503,$CT18,X$4:X$503))</f>
        <v/>
      </c>
      <c r="CY18" s="166" t="str">
        <f>IF($CT18="","",SUMIF($BZ$4:$BZ$503,$CT18,Y$4:Y$503))</f>
        <v/>
      </c>
      <c r="CZ18" s="166" t="str">
        <f>IF($CT18="","",SUMIF($BZ$4:$BZ$503,$CT18,Z$4:Z$503))</f>
        <v/>
      </c>
      <c r="DA18" s="166" t="str">
        <f>IF($CT18="","",SUMIF($BZ$4:$BZ$503,$CT18,AA$4:AA$503))</f>
        <v/>
      </c>
      <c r="DB18" s="166" t="str">
        <f>IF($CT18="","",SUMIF($BZ$4:$BZ$503,$CT18,AB$4:AB$503))</f>
        <v/>
      </c>
      <c r="DC18" s="166" t="str">
        <f>IF($CT18="","",SUMIF($BZ$4:$BZ$503,$CT18,AC$4:AC$503))</f>
        <v/>
      </c>
      <c r="DD18" s="166" t="str">
        <f>IF($CT18="","",SUMIF($BZ$4:$BZ$503,$CT18,AD$4:AD$503))</f>
        <v/>
      </c>
      <c r="DE18" s="166" t="str">
        <f>IF($CT18="","",SUMIF($BZ$4:$BZ$503,$CT18,AE$4:AE$503))</f>
        <v/>
      </c>
      <c r="DF18" s="166" t="str">
        <f>IF($CT18="","",SUMIF($BZ$4:$BZ$503,$CT18,AF$4:AF$503))</f>
        <v/>
      </c>
      <c r="DG18" s="166" t="str">
        <f>IF($CT18="","",SUMIF($BZ$4:$BZ$503,$CT18,AG$4:AG$503))</f>
        <v/>
      </c>
      <c r="DH18" s="166" t="str">
        <f>IF($CT18="","",SUMIF($BZ$4:$BZ$503,$CT18,AH$4:AH$503))</f>
        <v/>
      </c>
      <c r="DI18" s="170" t="str">
        <f>IF($CT18="","",IF($CU18&lt;=0,IF(ROUND($CV18+CW18,0)&gt;0,9.99,0),ROUND($CV18+CW18,0)/$CU18))</f>
        <v/>
      </c>
      <c r="DJ18" s="170" t="str">
        <f>IF($CT18="","",IF($CU18&lt;=0,IF(ROUND($CV18+CX18,0)&gt;0,9.99,0),ROUND($CV18+CX18,0)/$CU18))</f>
        <v/>
      </c>
      <c r="DK18" s="170" t="str">
        <f>IF($CT18="","",IF($CU18&lt;=0,IF(ROUND($CV18+CY18,0)&gt;0,9.99,0),ROUND($CV18+CY18,0)/$CU18))</f>
        <v/>
      </c>
      <c r="DL18" s="170" t="str">
        <f>IF($CT18="","",IF($CU18&lt;=0,IF(ROUND($CV18+CZ18,0)&gt;0,9.99,0),ROUND($CV18+CZ18,0)/$CU18))</f>
        <v/>
      </c>
      <c r="DM18" s="170" t="str">
        <f>IF($CT18="","",IF($CU18&lt;=0,IF(ROUND($CV18+DA18,0)&gt;0,9.99,0),ROUND($CV18+DA18,0)/$CU18))</f>
        <v/>
      </c>
      <c r="DN18" s="170" t="str">
        <f>IF($CT18="","",IF($CU18&lt;=0,IF(ROUND($CV18+DB18,0)&gt;0,9.99,0),ROUND($CV18+DB18,0)/$CU18))</f>
        <v/>
      </c>
      <c r="DO18" s="170" t="str">
        <f>IF($CT18="","",IF($CU18&lt;=0,IF(ROUND($CV18+DC18,0)&gt;0,9.99,0),ROUND($CV18+DC18,0)/$CU18))</f>
        <v/>
      </c>
      <c r="DP18" s="170" t="str">
        <f>IF($CT18="","",IF($CU18&lt;=0,IF(ROUND($CV18+DD18,0)&gt;0,9.99,0),ROUND($CV18+DD18,0)/$CU18))</f>
        <v/>
      </c>
      <c r="DQ18" s="170" t="str">
        <f>IF($CT18="","",IF($CU18&lt;=0,IF(ROUND($CV18+DE18,0)&gt;0,9.99,0),ROUND($CV18+DE18,0)/$CU18))</f>
        <v/>
      </c>
      <c r="DR18" s="170" t="str">
        <f>IF($CT18="","",IF($CU18&lt;=0,IF(ROUND($CV18+DF18,0)&gt;0,9.99,0),ROUND($CV18+DF18,0)/$CU18))</f>
        <v/>
      </c>
      <c r="DS18" s="170" t="str">
        <f>IF($CT18="","",IF($CU18&lt;=0,IF(ROUND($CV18+DG18,0)&gt;0,9.99,0),ROUND($CV18+DG18,0)/$CU18))</f>
        <v/>
      </c>
      <c r="DT18" s="170" t="str">
        <f>IF($CT18="","",IF($CU18&lt;=0,IF(ROUND($CV18+DH18,0)&gt;0,9.99,0),ROUND($CV18+DH18,0)/$CU18))</f>
        <v/>
      </c>
      <c r="DU18" s="170" t="str">
        <f>IF(CT18="","",MAX(DI18:DT18))</f>
        <v/>
      </c>
      <c r="DV18" s="167" t="str">
        <f>IF(CT18="","",SUM(CW18:DH18))</f>
        <v/>
      </c>
      <c r="DX18" t="n">
        <v>15</v>
      </c>
      <c r="DY18" t="str">
        <f>IFERROR(MATCH(DX18,$CA$4:$CA$503,0),"")</f>
        <v/>
      </c>
      <c r="DZ18" t="str">
        <f>IF(DY18="","",INDEX(Charge!$B:$B,DY18+3)&amp;"")</f>
        <v/>
      </c>
      <c r="EA18" t="str">
        <f>IF(DY18="","",INDEX(Charge!$C:$C,DY18+3)&amp;"")</f>
        <v/>
      </c>
      <c r="EB18" t="str">
        <f>IF(DY18="","",INDEX(Charge!$D:$D,DY18+3)&amp;"")</f>
        <v/>
      </c>
      <c r="EC18" t="str">
        <f>IF(DY18="","",INDEX(Charge!$A:$A,DY18+3)&amp;"")</f>
        <v/>
      </c>
      <c r="ED18" t="str">
        <f>IF(DY18="","",INDEX($E$4:$E$503,DY18))</f>
        <v/>
      </c>
      <c r="EE18" t="str">
        <f>IF(DY18="","",INDEX($AI$4:$AI$503,DY18))</f>
        <v/>
      </c>
      <c r="EF18" s="165" t="str">
        <f>IF(DY18="","",IF(ISNUMBER(INDEX(Charge!$N:$N,DY18+3)),INDEX(Charge!$N:$N,DY18+3),"—"))</f>
        <v/>
      </c>
      <c r="EG18" s="165" t="str">
        <f>IF(DY18="","",IF(ISNUMBER(INDEX(Charge!$F:$F,DY18+3)),INDEX(Charge!$F:$F,DY18+3),"—"))</f>
        <v/>
      </c>
      <c r="EH18" s="170" t="str">
        <f>IF(DY18="","",INDEX($C$4:$C$503,DY18))</f>
        <v/>
      </c>
      <c r="EJ18" t="str">
        <f>TRIM(INDEX(Data!$E:$E,ROW()))</f>
        <v/>
      </c>
      <c r="EK18" t="str">
        <f>TRIM(INDEX(Data!$H:$H,ROW()))</f>
        <v/>
      </c>
      <c r="EM18" t="str">
        <f>IF(D18=1,IF(TRIM(INDEX(Charge!$K:$K,ROW()))&lt;&gt;"","Interne",IF(TRIM(INDEX(Charge!$L:$L,ROW()))&lt;&gt;"","Externe","Non affecté")),"")</f>
        <v>Interne</v>
      </c>
      <c r="EN18" t="str">
        <f>IF(D18=1,LEFT(SUBSTITUTE(SUBSTITUTE(SUBSTITUTE(TRIM(SUBSTITUTE(INDEX(Charge!$B:$B,ROW()),CHAR(160)," "))&amp;" | "&amp;TRIM(SUBSTITUTE(INDEX(Charge!$C:$C,ROW()),CHAR(160)," "))&amp;" | "&amp;TRIM(SUBSTITUTE(INDEX(Charge!$D:$D,ROW()),CHAR(160)," ")),"~","-"),"*","+"),"?","!"),240),"")</f>
        <v>ORION | Tranche 2 | Support moteur</v>
      </c>
      <c r="EO18">
        <f>IF(EN18="",0,IF(COUNTIF($EN$4:EN18,EN18)=1,1,0))</f>
        <v>1</v>
      </c>
      <c r="EP18" s="166">
        <f>IF(EO18=1,ROUND(SUMIF($EN$4:$EN$503,EN18,$E$4:$E$503),2),"")</f>
        <v>160</v>
      </c>
      <c r="EQ18">
        <f>IF(EO18=1,COUNTIFS($EO$4:$EO$503,1,$EP$4:$EP$503,"&gt;"&amp;EP18)+COUNTIFS($EO$4:EO18,1,$EP$4:EP18,EP18),"")</f>
        <v>10</v>
      </c>
      <c r="ER18">
        <f>IF(EO18=1,COUNTIFS($EN$4:$EN$503,EN18,$EM$4:$EM$503,"Interne",$FE$4:$FE$503,1),"")</f>
        <v>1</v>
      </c>
      <c r="ES18">
        <f>IF(EO18=1,COUNTIFS($EN$4:$EN$503,EN18,$EM$4:$EM$503,"Externe",$FE$4:$FE$503,1),"")</f>
        <v>0</v>
      </c>
      <c r="ET18" t="str">
        <f>IF(EO18=1,IF(ER18+ES18=0,"à affecter",IF(ER18=0,ES18&amp;" ext.",(ER18+ES18)&amp;IF(ES18&gt;0," dont "&amp;ES18&amp;" ext.",""))&amp;IF(COUNTIFS($EN$4:$EN$503,EN18,$EM$4:$EM$503,"Non affecté")&gt;0," + à affecter","")),"")</f>
        <v>1</v>
      </c>
      <c r="EU18" s="170">
        <f>IF(EO18=1,IF(EP18&gt;0,SUMPRODUCT(($EN$4:$EN$503=EN18)*$E$4:$E$503*$C$4:$C$503)/EP18,AVERAGEIF($EN$4:$EN$503,EN18,$C$4:$C$503)),"")</f>
        <v>0</v>
      </c>
      <c r="EV18" s="165">
        <f>IF(ISNUMBER(I18),I18,2958465)</f>
        <v>46447.0</v>
      </c>
      <c r="EW18" s="165">
        <f>IF(EO18=1,SUMPRODUCT(MIN(($EN$4:$EN$503=EN18)*$EV$4:$EV$503+($EN$4:$EN$503&lt;&gt;EN18)*2958465)),"")</f>
        <v>46447.0</v>
      </c>
      <c r="EX18" s="165">
        <f>IF(AND(D18=1,ISNUMBER(INDEX(Charge!$F:$F,ROW()))),INDEX(Charge!$F:$F,ROW()),0)</f>
        <v>46521.0</v>
      </c>
      <c r="EY18" s="165">
        <f>IF(EO18=1,SUMPRODUCT(MAX(($EN$4:$EN$503=EN18)*$EX$4:$EX$503)),"")</f>
        <v>46521.0</v>
      </c>
      <c r="FA18" t="str">
        <f>IF(15&lt;=$CD$23,INDEX($EJ$4:$EJ$203,15),IF(15-$CD$23&lt;=$CD$26,INDEX($EK$4:$EK$203,15-$CD$23),""))</f>
        <v/>
      </c>
      <c r="FB18" t="str">
        <f>IF(FA18="","",IF(15&lt;=$CD$23,"Interne","Externe"))</f>
        <v/>
      </c>
      <c r="FD18">
        <f>IF(AND(B18=1,TRIM(INDEX(Charge!$K:$K,ROW()))&lt;&gt;"",TRIM(INDEX(Charge!$L:$L,ROW()))&lt;&gt;""),1,0)</f>
        <v>0</v>
      </c>
      <c r="FE18">
        <f>IF(OR(EN18="",BZ18="(non affecté)"),0,IF(COUNTIFS($EN$4:EN18,EN18,$BZ$4:BZ18,BZ18)=1,1,0))</f>
        <v>1</v>
      </c>
    </row>
    <row r="19">
      <c r="A19">
        <f>ROW()</f>
        <v>19</v>
      </c>
      <c r="B19">
        <f>IF(TRIM(INDEX(Charge!$B:$B,ROW()))&lt;&gt;"",1,0)</f>
        <v>1</v>
      </c>
      <c r="C19">
        <f>IF(B19=1,MIN(1,MAX(0,N(INDEX(Charge!$O:$O,ROW())))),0)</f>
        <v>0.1</v>
      </c>
      <c r="D19">
        <f>IF(B19=1,IF(OR(p_Perimetre="Tous les projets",C19&lt;1),1,0),0)</f>
        <v>1</v>
      </c>
      <c r="E19">
        <f>IF(D19=1,MAX(0,N(INDEX(Charge!$M:$M,ROW()))),0)</f>
        <v>70</v>
      </c>
      <c r="F19" t="str">
        <f>IF(D19=1,IF(TRIM(INDEX(Charge!$A:$A,ROW()))="","(non renseigné)",TRIM(INDEX(Charge!$A:$A,ROW()))),"")</f>
        <v>Nicolas Moreau</v>
      </c>
      <c r="G19" t="str">
        <f>IF(D19=1,TRIM(INDEX(Charge!$B:$B,ROW())),"")</f>
        <v>PÉGASE</v>
      </c>
      <c r="H19" t="str">
        <f>IF(D19=1,IF(TRIM(INDEX(Charge!$E:$E,ROW()))="","(non renseigné)",TRIM(INDEX(Charge!$E:$E,ROW()))),"")</f>
        <v>Chiffrage / avant-projet</v>
      </c>
      <c r="I19" s="165">
        <f>IF(AND(D19=1,ISNUMBER(INDEX(Charge!$N:$N,ROW()))),INDEX(Charge!$N:$N,ROW()),"")</f>
        <v>46342.0</v>
      </c>
      <c r="J19" s="165">
        <f>IF(I19="","",IF(AND(p_Repartition="Lissée jusqu'à la date de besoin",ISNUMBER(INDEX(Charge!$F:$F,ROW()))),IF(INDEX(Charge!$F:$F,ROW())&gt;=I19,INDEX(Charge!$F:$F,ROW()),I19),I19))</f>
        <v>46367.0</v>
      </c>
      <c r="K19">
        <f>IF(I19="","",NETWORKDAYS(I19,J19,Data!$K$4:$K$203))</f>
        <v>20</v>
      </c>
      <c r="L19">
        <f>IF(D19=1,COUNTIFS($D$4:$D$503,1,$E$4:$E$503,"&gt;"&amp;E19)+COUNTIFS($D$4:$D19,1,$E$4:$E19,E19),"")</f>
        <v>20</v>
      </c>
      <c r="M19">
        <f>IF(F19="",0,IF(COUNTIF($F$4:F19,F19)=1,1,0))</f>
        <v>0</v>
      </c>
      <c r="N19" t="str">
        <f>IF(M19=1,ROUND(SUMIF($F$4:$F$503,F19,$E$4:$E$503),2),"")</f>
        <v/>
      </c>
      <c r="O19" t="str">
        <f>IF(M19=1,COUNTIFS($M$4:$M$503,1,$N$4:$N$503,"&gt;"&amp;N19)+COUNTIFS($M$4:M19,1,$N$4:N19,N19),"")</f>
        <v/>
      </c>
      <c r="P19">
        <f>IF(G19="",0,IF(COUNTIF($G$4:G19,G19)=1,1,0))</f>
        <v>1</v>
      </c>
      <c r="Q19">
        <f>IF(P19=1,ROUND(SUMIF($G$4:$G$503,G19,$E$4:$E$503),2),"")</f>
        <v>550</v>
      </c>
      <c r="R19">
        <f>IF(P19=1,COUNTIFS($P$4:$P$503,1,$Q$4:$Q$503,"&gt;"&amp;Q19)+COUNTIFS($P$4:P19,1,$Q$4:Q19,Q19),"")</f>
        <v>4</v>
      </c>
      <c r="S19">
        <f>IF(H19="",0,IF(COUNTIF($H$4:H19,H19)=1,1,0))</f>
        <v>1</v>
      </c>
      <c r="T19">
        <f>IF(S19=1,ROUND(SUMIF($H$4:$H$503,H19,$E$4:$E$503),2),"")</f>
        <v>70</v>
      </c>
      <c r="U19">
        <f>IF(S19=1,COUNTIFS($S$4:$S$503,1,$T$4:$T$503,"&gt;"&amp;T19)+COUNTIFS($S$4:S19,1,$T$4:T19,T19),"")</f>
        <v>5</v>
      </c>
      <c r="V19">
        <f>IF(D19=1,MIN(INDEX($R$4:$R$503,MATCH(G19,$G$4:$G$503,0)),IF($AL$7&gt;9,9,999)),"")</f>
        <v>4</v>
      </c>
      <c r="W19" s="166">
        <f>IF(OR($I19="",$E19=0),0,IF(OR($J19&lt;W$3,$I19&gt;W$2),0,IF($K19=0,IF(AND($I19&gt;=W$3,$I19&lt;=W$2),$E19,0),$E19*NETWORKDAYS(MAX($I19,W$3),MIN($J19,W$2),Data!$K$4:$K$203)/$K19)))</f>
        <v>0</v>
      </c>
      <c r="X19" s="166">
        <f>IF(OR($I19="",$E19=0),0,IF(OR($J19&lt;X$3,$I19&gt;X$2),0,IF($K19=0,IF(AND($I19&gt;=X$3,$I19&lt;=X$2),$E19,0),$E19*NETWORKDAYS(MAX($I19,X$3),MIN($J19,X$2),Data!$K$4:$K$203)/$K19)))</f>
        <v>0</v>
      </c>
      <c r="Y19" s="166">
        <f>IF(OR($I19="",$E19=0),0,IF(OR($J19&lt;Y$3,$I19&gt;Y$2),0,IF($K19=0,IF(AND($I19&gt;=Y$3,$I19&lt;=Y$2),$E19,0),$E19*NETWORKDAYS(MAX($I19,Y$3),MIN($J19,Y$2),Data!$K$4:$K$203)/$K19)))</f>
        <v>38.5</v>
      </c>
      <c r="Z19" s="166">
        <f>IF(OR($I19="",$E19=0),0,IF(OR($J19&lt;Z$3,$I19&gt;Z$2),0,IF($K19=0,IF(AND($I19&gt;=Z$3,$I19&lt;=Z$2),$E19,0),$E19*NETWORKDAYS(MAX($I19,Z$3),MIN($J19,Z$2),Data!$K$4:$K$203)/$K19)))</f>
        <v>31.5</v>
      </c>
      <c r="AA19" s="166">
        <f>IF(OR($I19="",$E19=0),0,IF(OR($J19&lt;AA$3,$I19&gt;AA$2),0,IF($K19=0,IF(AND($I19&gt;=AA$3,$I19&lt;=AA$2),$E19,0),$E19*NETWORKDAYS(MAX($I19,AA$3),MIN($J19,AA$2),Data!$K$4:$K$203)/$K19)))</f>
        <v>0</v>
      </c>
      <c r="AB19" s="166">
        <f>IF(OR($I19="",$E19=0),0,IF(OR($J19&lt;AB$3,$I19&gt;AB$2),0,IF($K19=0,IF(AND($I19&gt;=AB$3,$I19&lt;=AB$2),$E19,0),$E19*NETWORKDAYS(MAX($I19,AB$3),MIN($J19,AB$2),Data!$K$4:$K$203)/$K19)))</f>
        <v>0</v>
      </c>
      <c r="AC19" s="166">
        <f>IF(OR($I19="",$E19=0),0,IF(OR($J19&lt;AC$3,$I19&gt;AC$2),0,IF($K19=0,IF(AND($I19&gt;=AC$3,$I19&lt;=AC$2),$E19,0),$E19*NETWORKDAYS(MAX($I19,AC$3),MIN($J19,AC$2),Data!$K$4:$K$203)/$K19)))</f>
        <v>0</v>
      </c>
      <c r="AD19" s="166">
        <f>IF(OR($I19="",$E19=0),0,IF(OR($J19&lt;AD$3,$I19&gt;AD$2),0,IF($K19=0,IF(AND($I19&gt;=AD$3,$I19&lt;=AD$2),$E19,0),$E19*NETWORKDAYS(MAX($I19,AD$3),MIN($J19,AD$2),Data!$K$4:$K$203)/$K19)))</f>
        <v>0</v>
      </c>
      <c r="AE19" s="166">
        <f>IF(OR($I19="",$E19=0),0,IF(OR($J19&lt;AE$3,$I19&gt;AE$2),0,IF($K19=0,IF(AND($I19&gt;=AE$3,$I19&lt;=AE$2),$E19,0),$E19*NETWORKDAYS(MAX($I19,AE$3),MIN($J19,AE$2),Data!$K$4:$K$203)/$K19)))</f>
        <v>0</v>
      </c>
      <c r="AF19" s="166">
        <f>IF(OR($I19="",$E19=0),0,IF(OR($J19&lt;AF$3,$I19&gt;AF$2),0,IF($K19=0,IF(AND($I19&gt;=AF$3,$I19&lt;=AF$2),$E19,0),$E19*NETWORKDAYS(MAX($I19,AF$3),MIN($J19,AF$2),Data!$K$4:$K$203)/$K19)))</f>
        <v>0</v>
      </c>
      <c r="AG19" s="166">
        <f>IF(OR($I19="",$E19=0),0,IF(OR($J19&lt;AG$3,$I19&gt;AG$2),0,IF($K19=0,IF(AND($I19&gt;=AG$3,$I19&lt;=AG$2),$E19,0),$E19*NETWORKDAYS(MAX($I19,AG$3),MIN($J19,AG$2),Data!$K$4:$K$203)/$K19)))</f>
        <v>0</v>
      </c>
      <c r="AH19" s="166">
        <f>IF(OR($I19="",$E19=0),0,IF(OR($J19&lt;AH$3,$I19&gt;AH$2),0,IF($K19=0,IF(AND($I19&gt;=AH$3,$I19&lt;=AH$2),$E19,0),$E19*NETWORKDAYS(MAX($I19,AH$3),MIN($J19,AH$2),Data!$K$4:$K$203)/$K19)))</f>
        <v>0</v>
      </c>
      <c r="AI19" s="166">
        <f>SUM(W19:AH19)</f>
        <v>70</v>
      </c>
      <c r="AK19" t="inlineStr">
        <is>
          <t>Mois le plus chargé</t>
        </is>
      </c>
      <c r="AL19" s="161">
        <f>INDEX(AO4:AO15,AL18)</f>
        <v>46447.0</v>
      </c>
      <c r="BW19" t="n">
        <v>16</v>
      </c>
      <c r="BX19">
        <f>IFERROR(MATCH(BW19,$EQ$4:$EQ$503,0),"")</f>
        <v>20</v>
      </c>
      <c r="BZ19" t="str">
        <f>IF(D19=1,IF(TRIM(INDEX(Charge!$K:$K,ROW()))&lt;&gt;"",TRIM(INDEX(Charge!$K:$K,ROW())),IF(TRIM(INDEX(Charge!$L:$L,ROW()))&lt;&gt;"",TRIM(INDEX(Charge!$L:$L,ROW())),"(non affecté)")),"")</f>
        <v>Léa Chevalier</v>
      </c>
      <c r="CA19" t="str">
        <f>IF(AND($CD$4&lt;&gt;"",BZ19=$CD$4),COUNTIFS($BZ$4:$BZ$503,$CD$4,$L$4:$L$503,"&lt;"&amp;L19)+1,"")</f>
        <v/>
      </c>
      <c r="CC19" t="inlineStr">
        <is>
          <t>Occupation moyenne sur la période</t>
        </is>
      </c>
      <c r="CD19" s="170">
        <f>AVERAGE(CO4:CO15)</f>
        <v>0.458333333333333</v>
      </c>
      <c r="CS19" t="n">
        <v>16</v>
      </c>
      <c r="CT19" t="str">
        <f>IF(OR(FA19="",COUNTIF($FA$4:FA18,FA19)&gt;0),"",FA19)</f>
        <v/>
      </c>
      <c r="CU19" t="str">
        <f>IF(CT19="","",IF(FB19="Interne",IF(ISNUMBER(INDEX(Data!$F:$F,19)),INDEX(Data!$F:$F,19),p_HeuresETP),IF(ISNUMBER(INDEX(Data!$I:$I,19-$CD$23)),INDEX(Data!$I:$I,19-$CD$23),p_HeuresETP)))</f>
        <v/>
      </c>
      <c r="CV19" t="str">
        <f>IF(CT19="","",IF(FB19="Interne",IF(ISNUMBER(INDEX(Data!$G:$G,19)),INDEX(Data!$G:$G,19),p_ChargeFixe),IF(ISNUMBER(INDEX(Data!$J:$J,19-$CD$23)),INDEX(Data!$J:$J,19-$CD$23),p_ChargeFixe)))</f>
        <v/>
      </c>
      <c r="CW19" s="166" t="str">
        <f>IF($CT19="","",SUMIF($BZ$4:$BZ$503,$CT19,W$4:W$503))</f>
        <v/>
      </c>
      <c r="CX19" s="166" t="str">
        <f>IF($CT19="","",SUMIF($BZ$4:$BZ$503,$CT19,X$4:X$503))</f>
        <v/>
      </c>
      <c r="CY19" s="166" t="str">
        <f>IF($CT19="","",SUMIF($BZ$4:$BZ$503,$CT19,Y$4:Y$503))</f>
        <v/>
      </c>
      <c r="CZ19" s="166" t="str">
        <f>IF($CT19="","",SUMIF($BZ$4:$BZ$503,$CT19,Z$4:Z$503))</f>
        <v/>
      </c>
      <c r="DA19" s="166" t="str">
        <f>IF($CT19="","",SUMIF($BZ$4:$BZ$503,$CT19,AA$4:AA$503))</f>
        <v/>
      </c>
      <c r="DB19" s="166" t="str">
        <f>IF($CT19="","",SUMIF($BZ$4:$BZ$503,$CT19,AB$4:AB$503))</f>
        <v/>
      </c>
      <c r="DC19" s="166" t="str">
        <f>IF($CT19="","",SUMIF($BZ$4:$BZ$503,$CT19,AC$4:AC$503))</f>
        <v/>
      </c>
      <c r="DD19" s="166" t="str">
        <f>IF($CT19="","",SUMIF($BZ$4:$BZ$503,$CT19,AD$4:AD$503))</f>
        <v/>
      </c>
      <c r="DE19" s="166" t="str">
        <f>IF($CT19="","",SUMIF($BZ$4:$BZ$503,$CT19,AE$4:AE$503))</f>
        <v/>
      </c>
      <c r="DF19" s="166" t="str">
        <f>IF($CT19="","",SUMIF($BZ$4:$BZ$503,$CT19,AF$4:AF$503))</f>
        <v/>
      </c>
      <c r="DG19" s="166" t="str">
        <f>IF($CT19="","",SUMIF($BZ$4:$BZ$503,$CT19,AG$4:AG$503))</f>
        <v/>
      </c>
      <c r="DH19" s="166" t="str">
        <f>IF($CT19="","",SUMIF($BZ$4:$BZ$503,$CT19,AH$4:AH$503))</f>
        <v/>
      </c>
      <c r="DI19" s="170" t="str">
        <f>IF($CT19="","",IF($CU19&lt;=0,IF(ROUND($CV19+CW19,0)&gt;0,9.99,0),ROUND($CV19+CW19,0)/$CU19))</f>
        <v/>
      </c>
      <c r="DJ19" s="170" t="str">
        <f>IF($CT19="","",IF($CU19&lt;=0,IF(ROUND($CV19+CX19,0)&gt;0,9.99,0),ROUND($CV19+CX19,0)/$CU19))</f>
        <v/>
      </c>
      <c r="DK19" s="170" t="str">
        <f>IF($CT19="","",IF($CU19&lt;=0,IF(ROUND($CV19+CY19,0)&gt;0,9.99,0),ROUND($CV19+CY19,0)/$CU19))</f>
        <v/>
      </c>
      <c r="DL19" s="170" t="str">
        <f>IF($CT19="","",IF($CU19&lt;=0,IF(ROUND($CV19+CZ19,0)&gt;0,9.99,0),ROUND($CV19+CZ19,0)/$CU19))</f>
        <v/>
      </c>
      <c r="DM19" s="170" t="str">
        <f>IF($CT19="","",IF($CU19&lt;=0,IF(ROUND($CV19+DA19,0)&gt;0,9.99,0),ROUND($CV19+DA19,0)/$CU19))</f>
        <v/>
      </c>
      <c r="DN19" s="170" t="str">
        <f>IF($CT19="","",IF($CU19&lt;=0,IF(ROUND($CV19+DB19,0)&gt;0,9.99,0),ROUND($CV19+DB19,0)/$CU19))</f>
        <v/>
      </c>
      <c r="DO19" s="170" t="str">
        <f>IF($CT19="","",IF($CU19&lt;=0,IF(ROUND($CV19+DC19,0)&gt;0,9.99,0),ROUND($CV19+DC19,0)/$CU19))</f>
        <v/>
      </c>
      <c r="DP19" s="170" t="str">
        <f>IF($CT19="","",IF($CU19&lt;=0,IF(ROUND($CV19+DD19,0)&gt;0,9.99,0),ROUND($CV19+DD19,0)/$CU19))</f>
        <v/>
      </c>
      <c r="DQ19" s="170" t="str">
        <f>IF($CT19="","",IF($CU19&lt;=0,IF(ROUND($CV19+DE19,0)&gt;0,9.99,0),ROUND($CV19+DE19,0)/$CU19))</f>
        <v/>
      </c>
      <c r="DR19" s="170" t="str">
        <f>IF($CT19="","",IF($CU19&lt;=0,IF(ROUND($CV19+DF19,0)&gt;0,9.99,0),ROUND($CV19+DF19,0)/$CU19))</f>
        <v/>
      </c>
      <c r="DS19" s="170" t="str">
        <f>IF($CT19="","",IF($CU19&lt;=0,IF(ROUND($CV19+DG19,0)&gt;0,9.99,0),ROUND($CV19+DG19,0)/$CU19))</f>
        <v/>
      </c>
      <c r="DT19" s="170" t="str">
        <f>IF($CT19="","",IF($CU19&lt;=0,IF(ROUND($CV19+DH19,0)&gt;0,9.99,0),ROUND($CV19+DH19,0)/$CU19))</f>
        <v/>
      </c>
      <c r="DU19" s="170" t="str">
        <f>IF(CT19="","",MAX(DI19:DT19))</f>
        <v/>
      </c>
      <c r="DV19" s="167" t="str">
        <f>IF(CT19="","",SUM(CW19:DH19))</f>
        <v/>
      </c>
      <c r="EJ19" t="str">
        <f>TRIM(INDEX(Data!$E:$E,ROW()))</f>
        <v/>
      </c>
      <c r="EK19" t="str">
        <f>TRIM(INDEX(Data!$H:$H,ROW()))</f>
        <v/>
      </c>
      <c r="EM19" t="str">
        <f>IF(D19=1,IF(TRIM(INDEX(Charge!$K:$K,ROW()))&lt;&gt;"","Interne",IF(TRIM(INDEX(Charge!$L:$L,ROW()))&lt;&gt;"","Externe","Non affecté")),"")</f>
        <v>Interne</v>
      </c>
      <c r="EN19" t="str">
        <f>IF(D19=1,LEFT(SUBSTITUTE(SUBSTITUTE(SUBSTITUTE(TRIM(SUBSTITUTE(INDEX(Charge!$B:$B,ROW()),CHAR(160)," "))&amp;" | "&amp;TRIM(SUBSTITUTE(INDEX(Charge!$C:$C,ROW()),CHAR(160)," "))&amp;" | "&amp;TRIM(SUBSTITUTE(INDEX(Charge!$D:$D,ROW()),CHAR(160)," ")),"~","-"),"*","+"),"?","!"),240),"")</f>
        <v>PÉGASE | Avant-projet | Ensemble complet</v>
      </c>
      <c r="EO19">
        <f>IF(EN19="",0,IF(COUNTIF($EN$4:EN19,EN19)=1,1,0))</f>
        <v>1</v>
      </c>
      <c r="EP19" s="166">
        <f>IF(EO19=1,ROUND(SUMIF($EN$4:$EN$503,EN19,$E$4:$E$503),2),"")</f>
        <v>70</v>
      </c>
      <c r="EQ19">
        <f>IF(EO19=1,COUNTIFS($EO$4:$EO$503,1,$EP$4:$EP$503,"&gt;"&amp;EP19)+COUNTIFS($EO$4:EO19,1,$EP$4:EP19,EP19),"")</f>
        <v>15</v>
      </c>
      <c r="ER19">
        <f>IF(EO19=1,COUNTIFS($EN$4:$EN$503,EN19,$EM$4:$EM$503,"Interne",$FE$4:$FE$503,1),"")</f>
        <v>1</v>
      </c>
      <c r="ES19">
        <f>IF(EO19=1,COUNTIFS($EN$4:$EN$503,EN19,$EM$4:$EM$503,"Externe",$FE$4:$FE$503,1),"")</f>
        <v>0</v>
      </c>
      <c r="ET19" t="str">
        <f>IF(EO19=1,IF(ER19+ES19=0,"à affecter",IF(ER19=0,ES19&amp;" ext.",(ER19+ES19)&amp;IF(ES19&gt;0," dont "&amp;ES19&amp;" ext.",""))&amp;IF(COUNTIFS($EN$4:$EN$503,EN19,$EM$4:$EM$503,"Non affecté")&gt;0," + à affecter","")),"")</f>
        <v>1</v>
      </c>
      <c r="EU19" s="170">
        <f>IF(EO19=1,IF(EP19&gt;0,SUMPRODUCT(($EN$4:$EN$503=EN19)*$E$4:$E$503*$C$4:$C$503)/EP19,AVERAGEIF($EN$4:$EN$503,EN19,$C$4:$C$503)),"")</f>
        <v>0.1</v>
      </c>
      <c r="EV19" s="165">
        <f>IF(ISNUMBER(I19),I19,2958465)</f>
        <v>46342.0</v>
      </c>
      <c r="EW19" s="165">
        <f>IF(EO19=1,SUMPRODUCT(MIN(($EN$4:$EN$503=EN19)*$EV$4:$EV$503+($EN$4:$EN$503&lt;&gt;EN19)*2958465)),"")</f>
        <v>46342.0</v>
      </c>
      <c r="EX19" s="165">
        <f>IF(AND(D19=1,ISNUMBER(INDEX(Charge!$F:$F,ROW()))),INDEX(Charge!$F:$F,ROW()),0)</f>
        <v>46367.0</v>
      </c>
      <c r="EY19" s="165">
        <f>IF(EO19=1,SUMPRODUCT(MAX(($EN$4:$EN$503=EN19)*$EX$4:$EX$503)),"")</f>
        <v>46367.0</v>
      </c>
      <c r="FA19" t="str">
        <f>IF(16&lt;=$CD$23,INDEX($EJ$4:$EJ$203,16),IF(16-$CD$23&lt;=$CD$26,INDEX($EK$4:$EK$203,16-$CD$23),""))</f>
        <v/>
      </c>
      <c r="FB19" t="str">
        <f>IF(FA19="","",IF(16&lt;=$CD$23,"Interne","Externe"))</f>
        <v/>
      </c>
      <c r="FD19">
        <f>IF(AND(B19=1,TRIM(INDEX(Charge!$K:$K,ROW()))&lt;&gt;"",TRIM(INDEX(Charge!$L:$L,ROW()))&lt;&gt;""),1,0)</f>
        <v>0</v>
      </c>
      <c r="FE19">
        <f>IF(OR(EN19="",BZ19="(non affecté)"),0,IF(COUNTIFS($EN$4:EN19,EN19,$BZ$4:BZ19,BZ19)=1,1,0))</f>
        <v>1</v>
      </c>
    </row>
    <row r="20">
      <c r="A20">
        <f>ROW()</f>
        <v>20</v>
      </c>
      <c r="B20">
        <f>IF(TRIM(INDEX(Charge!$B:$B,ROW()))&lt;&gt;"",1,0)</f>
        <v>1</v>
      </c>
      <c r="C20">
        <f>IF(B20=1,MIN(1,MAX(0,N(INDEX(Charge!$O:$O,ROW())))),0)</f>
        <v>0</v>
      </c>
      <c r="D20">
        <f>IF(B20=1,IF(OR(p_Perimetre="Tous les projets",C20&lt;1),1,0),0)</f>
        <v>1</v>
      </c>
      <c r="E20">
        <f>IF(D20=1,MAX(0,N(INDEX(Charge!$M:$M,ROW()))),0)</f>
        <v>300</v>
      </c>
      <c r="F20" t="str">
        <f>IF(D20=1,IF(TRIM(INDEX(Charge!$A:$A,ROW()))="","(non renseigné)",TRIM(INDEX(Charge!$A:$A,ROW()))),"")</f>
        <v>Camille Laurent</v>
      </c>
      <c r="G20" t="str">
        <f>IF(D20=1,TRIM(INDEX(Charge!$B:$B,ROW())),"")</f>
        <v>PÉGASE</v>
      </c>
      <c r="H20" t="str">
        <f>IF(D20=1,IF(TRIM(INDEX(Charge!$E:$E,ROW()))="","(non renseigné)",TRIM(INDEX(Charge!$E:$E,ROW()))),"")</f>
        <v>Étude de conception</v>
      </c>
      <c r="I20" s="165">
        <f>IF(AND(D20=1,ISNUMBER(INDEX(Charge!$N:$N,ROW()))),INDEX(Charge!$N:$N,ROW()),"")</f>
        <v>46461.0</v>
      </c>
      <c r="J20" s="165">
        <f>IF(I20="","",IF(AND(p_Repartition="Lissée jusqu'à la date de besoin",ISNUMBER(INDEX(Charge!$F:$F,ROW()))),IF(INDEX(Charge!$F:$F,ROW())&gt;=I20,INDEX(Charge!$F:$F,ROW()),I20),I20))</f>
        <v>46660.0</v>
      </c>
      <c r="K20">
        <f>IF(I20="","",NETWORKDAYS(I20,J20,Data!$K$4:$K$203))</f>
        <v>144</v>
      </c>
      <c r="L20">
        <f>IF(D20=1,COUNTIFS($D$4:$D$503,1,$E$4:$E$503,"&gt;"&amp;E20)+COUNTIFS($D$4:$D20,1,$E$4:$E20,E20),"")</f>
        <v>3</v>
      </c>
      <c r="M20">
        <f>IF(F20="",0,IF(COUNTIF($F$4:F20,F20)=1,1,0))</f>
        <v>1</v>
      </c>
      <c r="N20">
        <f>IF(M20=1,ROUND(SUMIF($F$4:$F$503,F20,$E$4:$E$503),2),"")</f>
        <v>675</v>
      </c>
      <c r="O20">
        <f>IF(M20=1,COUNTIFS($M$4:$M$503,1,$N$4:$N$503,"&gt;"&amp;N20)+COUNTIFS($M$4:M20,1,$N$4:N20,N20),"")</f>
        <v>4</v>
      </c>
      <c r="P20">
        <f>IF(G20="",0,IF(COUNTIF($G$4:G20,G20)=1,1,0))</f>
        <v>0</v>
      </c>
      <c r="Q20" t="str">
        <f>IF(P20=1,ROUND(SUMIF($G$4:$G$503,G20,$E$4:$E$503),2),"")</f>
        <v/>
      </c>
      <c r="R20" t="str">
        <f>IF(P20=1,COUNTIFS($P$4:$P$503,1,$Q$4:$Q$503,"&gt;"&amp;Q20)+COUNTIFS($P$4:P20,1,$Q$4:Q20,Q20),"")</f>
        <v/>
      </c>
      <c r="S20">
        <f>IF(H20="",0,IF(COUNTIF($H$4:H20,H20)=1,1,0))</f>
        <v>0</v>
      </c>
      <c r="T20" t="str">
        <f>IF(S20=1,ROUND(SUMIF($H$4:$H$503,H20,$E$4:$E$503),2),"")</f>
        <v/>
      </c>
      <c r="U20" t="str">
        <f>IF(S20=1,COUNTIFS($S$4:$S$503,1,$T$4:$T$503,"&gt;"&amp;T20)+COUNTIFS($S$4:S20,1,$T$4:T20,T20),"")</f>
        <v/>
      </c>
      <c r="V20">
        <f>IF(D20=1,MIN(INDEX($R$4:$R$503,MATCH(G20,$G$4:$G$503,0)),IF($AL$7&gt;9,9,999)),"")</f>
        <v>4</v>
      </c>
      <c r="W20" s="166">
        <f>IF(OR($I20="",$E20=0),0,IF(OR($J20&lt;W$3,$I20&gt;W$2),0,IF($K20=0,IF(AND($I20&gt;=W$3,$I20&lt;=W$2),$E20,0),$E20*NETWORKDAYS(MAX($I20,W$3),MIN($J20,W$2),Data!$K$4:$K$203)/$K20)))</f>
        <v>0</v>
      </c>
      <c r="X20" s="166">
        <f>IF(OR($I20="",$E20=0),0,IF(OR($J20&lt;X$3,$I20&gt;X$2),0,IF($K20=0,IF(AND($I20&gt;=X$3,$I20&lt;=X$2),$E20,0),$E20*NETWORKDAYS(MAX($I20,X$3),MIN($J20,X$2),Data!$K$4:$K$203)/$K20)))</f>
        <v>0</v>
      </c>
      <c r="Y20" s="166">
        <f>IF(OR($I20="",$E20=0),0,IF(OR($J20&lt;Y$3,$I20&gt;Y$2),0,IF($K20=0,IF(AND($I20&gt;=Y$3,$I20&lt;=Y$2),$E20,0),$E20*NETWORKDAYS(MAX($I20,Y$3),MIN($J20,Y$2),Data!$K$4:$K$203)/$K20)))</f>
        <v>0</v>
      </c>
      <c r="Z20" s="166">
        <f>IF(OR($I20="",$E20=0),0,IF(OR($J20&lt;Z$3,$I20&gt;Z$2),0,IF($K20=0,IF(AND($I20&gt;=Z$3,$I20&lt;=Z$2),$E20,0),$E20*NETWORKDAYS(MAX($I20,Z$3),MIN($J20,Z$2),Data!$K$4:$K$203)/$K20)))</f>
        <v>0</v>
      </c>
      <c r="AA20" s="166">
        <f>IF(OR($I20="",$E20=0),0,IF(OR($J20&lt;AA$3,$I20&gt;AA$2),0,IF($K20=0,IF(AND($I20&gt;=AA$3,$I20&lt;=AA$2),$E20,0),$E20*NETWORKDAYS(MAX($I20,AA$3),MIN($J20,AA$2),Data!$K$4:$K$203)/$K20)))</f>
        <v>0</v>
      </c>
      <c r="AB20" s="166">
        <f>IF(OR($I20="",$E20=0),0,IF(OR($J20&lt;AB$3,$I20&gt;AB$2),0,IF($K20=0,IF(AND($I20&gt;=AB$3,$I20&lt;=AB$2),$E20,0),$E20*NETWORKDAYS(MAX($I20,AB$3),MIN($J20,AB$2),Data!$K$4:$K$203)/$K20)))</f>
        <v>0</v>
      </c>
      <c r="AC20" s="166">
        <f>IF(OR($I20="",$E20=0),0,IF(OR($J20&lt;AC$3,$I20&gt;AC$2),0,IF($K20=0,IF(AND($I20&gt;=AC$3,$I20&lt;=AC$2),$E20,0),$E20*NETWORKDAYS(MAX($I20,AC$3),MIN($J20,AC$2),Data!$K$4:$K$203)/$K20)))</f>
        <v>27.0833333333333</v>
      </c>
      <c r="AD20" s="166">
        <f>IF(OR($I20="",$E20=0),0,IF(OR($J20&lt;AD$3,$I20&gt;AD$2),0,IF($K20=0,IF(AND($I20&gt;=AD$3,$I20&lt;=AD$2),$E20,0),$E20*NETWORKDAYS(MAX($I20,AD$3),MIN($J20,AD$2),Data!$K$4:$K$203)/$K20)))</f>
        <v>45.8333333333333</v>
      </c>
      <c r="AE20" s="166">
        <f>IF(OR($I20="",$E20=0),0,IF(OR($J20&lt;AE$3,$I20&gt;AE$2),0,IF($K20=0,IF(AND($I20&gt;=AE$3,$I20&lt;=AE$2),$E20,0),$E20*NETWORKDAYS(MAX($I20,AE$3),MIN($J20,AE$2),Data!$K$4:$K$203)/$K20)))</f>
        <v>43.75</v>
      </c>
      <c r="AF20" s="166">
        <f>IF(OR($I20="",$E20=0),0,IF(OR($J20&lt;AF$3,$I20&gt;AF$2),0,IF($K20=0,IF(AND($I20&gt;=AF$3,$I20&lt;=AF$2),$E20,0),$E20*NETWORKDAYS(MAX($I20,AF$3),MIN($J20,AF$2),Data!$K$4:$K$203)/$K20)))</f>
        <v>45.8333333333333</v>
      </c>
      <c r="AG20" s="166">
        <f>IF(OR($I20="",$E20=0),0,IF(OR($J20&lt;AG$3,$I20&gt;AG$2),0,IF($K20=0,IF(AND($I20&gt;=AG$3,$I20&lt;=AG$2),$E20,0),$E20*NETWORKDAYS(MAX($I20,AG$3),MIN($J20,AG$2),Data!$K$4:$K$203)/$K20)))</f>
        <v>45.8333333333333</v>
      </c>
      <c r="AH20" s="166">
        <f>IF(OR($I20="",$E20=0),0,IF(OR($J20&lt;AH$3,$I20&gt;AH$2),0,IF($K20=0,IF(AND($I20&gt;=AH$3,$I20&lt;=AH$2),$E20,0),$E20*NETWORKDAYS(MAX($I20,AH$3),MIN($J20,AH$2),Data!$K$4:$K$203)/$K20)))</f>
        <v>45.8333333333333</v>
      </c>
      <c r="AI20" s="166">
        <f>SUM(W20:AH20)</f>
        <v>254.166666666667</v>
      </c>
      <c r="AK20" t="inlineStr">
        <is>
          <t>Affaires actives sur le mois de pic</t>
        </is>
      </c>
      <c r="AL20" s="171">
        <f>INDEX(AQ4:AQ15,AL18)</f>
        <v>9</v>
      </c>
      <c r="BW20" t="n">
        <v>17</v>
      </c>
      <c r="BX20">
        <f>IFERROR(MATCH(BW20,$EQ$4:$EQ$503,0),"")</f>
        <v>21</v>
      </c>
      <c r="BZ20" t="str">
        <f>IF(D20=1,IF(TRIM(INDEX(Charge!$K:$K,ROW()))&lt;&gt;"",TRIM(INDEX(Charge!$K:$K,ROW())),IF(TRIM(INDEX(Charge!$L:$L,ROW()))&lt;&gt;"",TRIM(INDEX(Charge!$L:$L,ROW())),"(non affecté)")),"")</f>
        <v>Hugo Mercier</v>
      </c>
      <c r="CA20" t="str">
        <f>IF(AND($CD$4&lt;&gt;"",BZ20=$CD$4),COUNTIFS($BZ$4:$BZ$503,$CD$4,$L$4:$L$503,"&lt;"&amp;L20)+1,"")</f>
        <v/>
      </c>
      <c r="CC20" t="inlineStr">
        <is>
          <t>1er mois en surcharge</t>
        </is>
      </c>
      <c r="CD20" s="161">
        <f>IF(CD16=0,"",INDEX(CG4:CG15,MIN(CQ4:CQ15)))</f>
        <v>46327.0</v>
      </c>
      <c r="CT20" t="inlineStr">
        <is>
          <t>(non affecté)</t>
        </is>
      </c>
      <c r="CW20" s="166">
        <f>SUMIF($BZ$4:$BZ$503,"(non affecté)",W$4:W$503)</f>
        <v>0</v>
      </c>
      <c r="CX20" s="166">
        <f>SUMIF($BZ$4:$BZ$503,"(non affecté)",X$4:X$503)</f>
        <v>0</v>
      </c>
      <c r="CY20" s="166">
        <f>SUMIF($BZ$4:$BZ$503,"(non affecté)",Y$4:Y$503)</f>
        <v>0</v>
      </c>
      <c r="CZ20" s="166">
        <f>SUMIF($BZ$4:$BZ$503,"(non affecté)",Z$4:Z$503)</f>
        <v>0</v>
      </c>
      <c r="DA20" s="166">
        <f>SUMIF($BZ$4:$BZ$503,"(non affecté)",AA$4:AA$503)</f>
        <v>0</v>
      </c>
      <c r="DB20" s="166">
        <f>SUMIF($BZ$4:$BZ$503,"(non affecté)",AB$4:AB$503)</f>
        <v>0</v>
      </c>
      <c r="DC20" s="166">
        <f>SUMIF($BZ$4:$BZ$503,"(non affecté)",AC$4:AC$503)</f>
        <v>25.5555555555556</v>
      </c>
      <c r="DD20" s="166">
        <f>SUMIF($BZ$4:$BZ$503,"(non affecté)",AD$4:AD$503)</f>
        <v>24.4444444444444</v>
      </c>
      <c r="DE20" s="166">
        <f>SUMIF($BZ$4:$BZ$503,"(non affecté)",AE$4:AE$503)</f>
        <v>0</v>
      </c>
      <c r="DF20" s="166">
        <f>SUMIF($BZ$4:$BZ$503,"(non affecté)",AF$4:AF$503)</f>
        <v>0</v>
      </c>
      <c r="DG20" s="166">
        <f>SUMIF($BZ$4:$BZ$503,"(non affecté)",AG$4:AG$503)</f>
        <v>0</v>
      </c>
      <c r="DH20" s="166">
        <f>SUMIF($BZ$4:$BZ$503,"(non affecté)",AH$4:AH$503)</f>
        <v>0</v>
      </c>
      <c r="DV20" s="167">
        <f>SUM(CW20:DH20)</f>
        <v>50</v>
      </c>
      <c r="EJ20" t="str">
        <f>TRIM(INDEX(Data!$E:$E,ROW()))</f>
        <v/>
      </c>
      <c r="EK20" t="str">
        <f>TRIM(INDEX(Data!$H:$H,ROW()))</f>
        <v/>
      </c>
      <c r="EM20" t="str">
        <f>IF(D20=1,IF(TRIM(INDEX(Charge!$K:$K,ROW()))&lt;&gt;"","Interne",IF(TRIM(INDEX(Charge!$L:$L,ROW()))&lt;&gt;"","Externe","Non affecté")),"")</f>
        <v>Interne</v>
      </c>
      <c r="EN20" t="str">
        <f>IF(D20=1,LEFT(SUBSTITUTE(SUBSTITUTE(SUBSTITUTE(TRIM(SUBSTITUTE(INDEX(Charge!$B:$B,ROW()),CHAR(160)," "))&amp;" | "&amp;TRIM(SUBSTITUTE(INDEX(Charge!$C:$C,ROW()),CHAR(160)," "))&amp;" | "&amp;TRIM(SUBSTITUTE(INDEX(Charge!$D:$D,ROW()),CHAR(160)," ")),"~","-"),"*","+"),"?","!"),240),"")</f>
        <v>PÉGASE | Lot 1 | Ensemble complet</v>
      </c>
      <c r="EO20">
        <f>IF(EN20="",0,IF(COUNTIF($EN$4:EN20,EN20)=1,1,0))</f>
        <v>1</v>
      </c>
      <c r="EP20" s="166">
        <f>IF(EO20=1,ROUND(SUMIF($EN$4:$EN$503,EN20,$E$4:$E$503),2),"")</f>
        <v>480</v>
      </c>
      <c r="EQ20">
        <f>IF(EO20=1,COUNTIFS($EO$4:$EO$503,1,$EP$4:$EP$503,"&gt;"&amp;EP20)+COUNTIFS($EO$4:EO20,1,$EP$4:EP20,EP20),"")</f>
        <v>1</v>
      </c>
      <c r="ER20">
        <f>IF(EO20=1,COUNTIFS($EN$4:$EN$503,EN20,$EM$4:$EM$503,"Interne",$FE$4:$FE$503,1),"")</f>
        <v>1</v>
      </c>
      <c r="ES20">
        <f>IF(EO20=1,COUNTIFS($EN$4:$EN$503,EN20,$EM$4:$EM$503,"Externe",$FE$4:$FE$503,1),"")</f>
        <v>1</v>
      </c>
      <c r="ET20" t="str">
        <f>IF(EO20=1,IF(ER20+ES20=0,"à affecter",IF(ER20=0,ES20&amp;" ext.",(ER20+ES20)&amp;IF(ES20&gt;0," dont "&amp;ES20&amp;" ext.",""))&amp;IF(COUNTIFS($EN$4:$EN$503,EN20,$EM$4:$EM$503,"Non affecté")&gt;0," + à affecter","")),"")</f>
        <v>2 dont 1 ext.</v>
      </c>
      <c r="EU20" s="170">
        <f>IF(EO20=1,IF(EP20&gt;0,SUMPRODUCT(($EN$4:$EN$503=EN20)*$E$4:$E$503*$C$4:$C$503)/EP20,AVERAGEIF($EN$4:$EN$503,EN20,$C$4:$C$503)),"")</f>
        <v>0</v>
      </c>
      <c r="EV20" s="165">
        <f>IF(ISNUMBER(I20),I20,2958465)</f>
        <v>46461.0</v>
      </c>
      <c r="EW20" s="165">
        <f>IF(EO20=1,SUMPRODUCT(MIN(($EN$4:$EN$503=EN20)*$EV$4:$EV$503+($EN$4:$EN$503&lt;&gt;EN20)*2958465)),"")</f>
        <v>46461.0</v>
      </c>
      <c r="EX20" s="165">
        <f>IF(AND(D20=1,ISNUMBER(INDEX(Charge!$F:$F,ROW()))),INDEX(Charge!$F:$F,ROW()),0)</f>
        <v>46660.0</v>
      </c>
      <c r="EY20" s="165">
        <f>IF(EO20=1,SUMPRODUCT(MAX(($EN$4:$EN$503=EN20)*$EX$4:$EX$503)),"")</f>
        <v>46660.0</v>
      </c>
      <c r="FA20" t="str">
        <f>IF(17&lt;=$CD$23,INDEX($EJ$4:$EJ$203,17),IF(17-$CD$23&lt;=$CD$26,INDEX($EK$4:$EK$203,17-$CD$23),""))</f>
        <v/>
      </c>
      <c r="FB20" t="str">
        <f>IF(FA20="","",IF(17&lt;=$CD$23,"Interne","Externe"))</f>
        <v/>
      </c>
      <c r="FD20">
        <f>IF(AND(B20=1,TRIM(INDEX(Charge!$K:$K,ROW()))&lt;&gt;"",TRIM(INDEX(Charge!$L:$L,ROW()))&lt;&gt;""),1,0)</f>
        <v>0</v>
      </c>
      <c r="FE20">
        <f>IF(OR(EN20="",BZ20="(non affecté)"),0,IF(COUNTIFS($EN$4:EN20,EN20,$BZ$4:BZ20,BZ20)=1,1,0))</f>
        <v>1</v>
      </c>
    </row>
    <row r="21">
      <c r="A21">
        <f>ROW()</f>
        <v>21</v>
      </c>
      <c r="B21">
        <f>IF(TRIM(INDEX(Charge!$B:$B,ROW()))&lt;&gt;"",1,0)</f>
        <v>1</v>
      </c>
      <c r="C21">
        <f>IF(B21=1,MIN(1,MAX(0,N(INDEX(Charge!$O:$O,ROW())))),0)</f>
        <v>0</v>
      </c>
      <c r="D21">
        <f>IF(B21=1,IF(OR(p_Perimetre="Tous les projets",C21&lt;1),1,0),0)</f>
        <v>1</v>
      </c>
      <c r="E21">
        <f>IF(D21=1,MAX(0,N(INDEX(Charge!$M:$M,ROW()))),0)</f>
        <v>180</v>
      </c>
      <c r="F21" t="str">
        <f>IF(D21=1,IF(TRIM(INDEX(Charge!$A:$A,ROW()))="","(non renseigné)",TRIM(INDEX(Charge!$A:$A,ROW()))),"")</f>
        <v>Camille Laurent</v>
      </c>
      <c r="G21" t="str">
        <f>IF(D21=1,TRIM(INDEX(Charge!$B:$B,ROW())),"")</f>
        <v>PÉGASE</v>
      </c>
      <c r="H21" t="str">
        <f>IF(D21=1,IF(TRIM(INDEX(Charge!$E:$E,ROW()))="","(non renseigné)",TRIM(INDEX(Charge!$E:$E,ROW()))),"")</f>
        <v>Étude de conception</v>
      </c>
      <c r="I21" s="165">
        <f>IF(AND(D21=1,ISNUMBER(INDEX(Charge!$N:$N,ROW()))),INDEX(Charge!$N:$N,ROW()),"")</f>
        <v>46461.0</v>
      </c>
      <c r="J21" s="165">
        <f>IF(I21="","",IF(AND(p_Repartition="Lissée jusqu'à la date de besoin",ISNUMBER(INDEX(Charge!$F:$F,ROW()))),IF(INDEX(Charge!$F:$F,ROW())&gt;=I21,INDEX(Charge!$F:$F,ROW()),I21),I21))</f>
        <v>46660.0</v>
      </c>
      <c r="K21">
        <f>IF(I21="","",NETWORKDAYS(I21,J21,Data!$K$4:$K$203))</f>
        <v>144</v>
      </c>
      <c r="L21">
        <f>IF(D21=1,COUNTIFS($D$4:$D$503,1,$E$4:$E$503,"&gt;"&amp;E21)+COUNTIFS($D$4:$D21,1,$E$4:$E21,E21),"")</f>
        <v>8</v>
      </c>
      <c r="M21">
        <f>IF(F21="",0,IF(COUNTIF($F$4:F21,F21)=1,1,0))</f>
        <v>0</v>
      </c>
      <c r="N21" t="str">
        <f>IF(M21=1,ROUND(SUMIF($F$4:$F$503,F21,$E$4:$E$503),2),"")</f>
        <v/>
      </c>
      <c r="O21" t="str">
        <f>IF(M21=1,COUNTIFS($M$4:$M$503,1,$N$4:$N$503,"&gt;"&amp;N21)+COUNTIFS($M$4:M21,1,$N$4:N21,N21),"")</f>
        <v/>
      </c>
      <c r="P21">
        <f>IF(G21="",0,IF(COUNTIF($G$4:G21,G21)=1,1,0))</f>
        <v>0</v>
      </c>
      <c r="Q21" t="str">
        <f>IF(P21=1,ROUND(SUMIF($G$4:$G$503,G21,$E$4:$E$503),2),"")</f>
        <v/>
      </c>
      <c r="R21" t="str">
        <f>IF(P21=1,COUNTIFS($P$4:$P$503,1,$Q$4:$Q$503,"&gt;"&amp;Q21)+COUNTIFS($P$4:P21,1,$Q$4:Q21,Q21),"")</f>
        <v/>
      </c>
      <c r="S21">
        <f>IF(H21="",0,IF(COUNTIF($H$4:H21,H21)=1,1,0))</f>
        <v>0</v>
      </c>
      <c r="T21" t="str">
        <f>IF(S21=1,ROUND(SUMIF($H$4:$H$503,H21,$E$4:$E$503),2),"")</f>
        <v/>
      </c>
      <c r="U21" t="str">
        <f>IF(S21=1,COUNTIFS($S$4:$S$503,1,$T$4:$T$503,"&gt;"&amp;T21)+COUNTIFS($S$4:S21,1,$T$4:T21,T21),"")</f>
        <v/>
      </c>
      <c r="V21">
        <f>IF(D21=1,MIN(INDEX($R$4:$R$503,MATCH(G21,$G$4:$G$503,0)),IF($AL$7&gt;9,9,999)),"")</f>
        <v>4</v>
      </c>
      <c r="W21" s="166">
        <f>IF(OR($I21="",$E21=0),0,IF(OR($J21&lt;W$3,$I21&gt;W$2),0,IF($K21=0,IF(AND($I21&gt;=W$3,$I21&lt;=W$2),$E21,0),$E21*NETWORKDAYS(MAX($I21,W$3),MIN($J21,W$2),Data!$K$4:$K$203)/$K21)))</f>
        <v>0</v>
      </c>
      <c r="X21" s="166">
        <f>IF(OR($I21="",$E21=0),0,IF(OR($J21&lt;X$3,$I21&gt;X$2),0,IF($K21=0,IF(AND($I21&gt;=X$3,$I21&lt;=X$2),$E21,0),$E21*NETWORKDAYS(MAX($I21,X$3),MIN($J21,X$2),Data!$K$4:$K$203)/$K21)))</f>
        <v>0</v>
      </c>
      <c r="Y21" s="166">
        <f>IF(OR($I21="",$E21=0),0,IF(OR($J21&lt;Y$3,$I21&gt;Y$2),0,IF($K21=0,IF(AND($I21&gt;=Y$3,$I21&lt;=Y$2),$E21,0),$E21*NETWORKDAYS(MAX($I21,Y$3),MIN($J21,Y$2),Data!$K$4:$K$203)/$K21)))</f>
        <v>0</v>
      </c>
      <c r="Z21" s="166">
        <f>IF(OR($I21="",$E21=0),0,IF(OR($J21&lt;Z$3,$I21&gt;Z$2),0,IF($K21=0,IF(AND($I21&gt;=Z$3,$I21&lt;=Z$2),$E21,0),$E21*NETWORKDAYS(MAX($I21,Z$3),MIN($J21,Z$2),Data!$K$4:$K$203)/$K21)))</f>
        <v>0</v>
      </c>
      <c r="AA21" s="166">
        <f>IF(OR($I21="",$E21=0),0,IF(OR($J21&lt;AA$3,$I21&gt;AA$2),0,IF($K21=0,IF(AND($I21&gt;=AA$3,$I21&lt;=AA$2),$E21,0),$E21*NETWORKDAYS(MAX($I21,AA$3),MIN($J21,AA$2),Data!$K$4:$K$203)/$K21)))</f>
        <v>0</v>
      </c>
      <c r="AB21" s="166">
        <f>IF(OR($I21="",$E21=0),0,IF(OR($J21&lt;AB$3,$I21&gt;AB$2),0,IF($K21=0,IF(AND($I21&gt;=AB$3,$I21&lt;=AB$2),$E21,0),$E21*NETWORKDAYS(MAX($I21,AB$3),MIN($J21,AB$2),Data!$K$4:$K$203)/$K21)))</f>
        <v>0</v>
      </c>
      <c r="AC21" s="166">
        <f>IF(OR($I21="",$E21=0),0,IF(OR($J21&lt;AC$3,$I21&gt;AC$2),0,IF($K21=0,IF(AND($I21&gt;=AC$3,$I21&lt;=AC$2),$E21,0),$E21*NETWORKDAYS(MAX($I21,AC$3),MIN($J21,AC$2),Data!$K$4:$K$203)/$K21)))</f>
        <v>16.25</v>
      </c>
      <c r="AD21" s="166">
        <f>IF(OR($I21="",$E21=0),0,IF(OR($J21&lt;AD$3,$I21&gt;AD$2),0,IF($K21=0,IF(AND($I21&gt;=AD$3,$I21&lt;=AD$2),$E21,0),$E21*NETWORKDAYS(MAX($I21,AD$3),MIN($J21,AD$2),Data!$K$4:$K$203)/$K21)))</f>
        <v>27.5</v>
      </c>
      <c r="AE21" s="166">
        <f>IF(OR($I21="",$E21=0),0,IF(OR($J21&lt;AE$3,$I21&gt;AE$2),0,IF($K21=0,IF(AND($I21&gt;=AE$3,$I21&lt;=AE$2),$E21,0),$E21*NETWORKDAYS(MAX($I21,AE$3),MIN($J21,AE$2),Data!$K$4:$K$203)/$K21)))</f>
        <v>26.25</v>
      </c>
      <c r="AF21" s="166">
        <f>IF(OR($I21="",$E21=0),0,IF(OR($J21&lt;AF$3,$I21&gt;AF$2),0,IF($K21=0,IF(AND($I21&gt;=AF$3,$I21&lt;=AF$2),$E21,0),$E21*NETWORKDAYS(MAX($I21,AF$3),MIN($J21,AF$2),Data!$K$4:$K$203)/$K21)))</f>
        <v>27.5</v>
      </c>
      <c r="AG21" s="166">
        <f>IF(OR($I21="",$E21=0),0,IF(OR($J21&lt;AG$3,$I21&gt;AG$2),0,IF($K21=0,IF(AND($I21&gt;=AG$3,$I21&lt;=AG$2),$E21,0),$E21*NETWORKDAYS(MAX($I21,AG$3),MIN($J21,AG$2),Data!$K$4:$K$203)/$K21)))</f>
        <v>27.5</v>
      </c>
      <c r="AH21" s="166">
        <f>IF(OR($I21="",$E21=0),0,IF(OR($J21&lt;AH$3,$I21&gt;AH$2),0,IF($K21=0,IF(AND($I21&gt;=AH$3,$I21&lt;=AH$2),$E21,0),$E21*NETWORKDAYS(MAX($I21,AH$3),MIN($J21,AH$2),Data!$K$4:$K$203)/$K21)))</f>
        <v>27.5</v>
      </c>
      <c r="AI21" s="166">
        <f>SUM(W21:AH21)</f>
        <v>152.5</v>
      </c>
      <c r="AK21" t="inlineStr">
        <is>
          <t>ETP nécessaires au pic (capacité projet = capacité - charge fixe)</t>
        </is>
      </c>
      <c r="AL21" s="166">
        <f>IF(N(p_HeuresETP)-N(p_ChargeFixe)&lt;=0,0,AL17/(p_HeuresETP-p_ChargeFixe))</f>
        <v>5.07840504944044</v>
      </c>
      <c r="BW21" t="n">
        <v>18</v>
      </c>
      <c r="BX21" t="str">
        <f>IFERROR(MATCH(BW21,$EQ$4:$EQ$503,0),"")</f>
        <v/>
      </c>
      <c r="BZ21" t="str">
        <f>IF(D21=1,IF(TRIM(INDEX(Charge!$K:$K,ROW()))&lt;&gt;"",TRIM(INDEX(Charge!$K:$K,ROW())),IF(TRIM(INDEX(Charge!$L:$L,ROW()))&lt;&gt;"",TRIM(INDEX(Charge!$L:$L,ROW())),"(non affecté)")),"")</f>
        <v>Karim Haddad</v>
      </c>
      <c r="CA21" t="str">
        <f>IF(AND($CD$4&lt;&gt;"",BZ21=$CD$4),COUNTIFS($BZ$4:$BZ$503,$CD$4,$L$4:$L$503,"&lt;"&amp;L21)+1,"")</f>
        <v/>
      </c>
      <c r="CC21" t="inlineStr">
        <is>
          <t>Périmètre (rappel)</t>
        </is>
      </c>
      <c r="CD21" t="str">
        <f>p_Perimetre</f>
        <v>Projets en cours</v>
      </c>
      <c r="CT21" t="inlineStr">
        <is>
          <t>Autres (absents des listes Data ou au-delà du 16e)</t>
        </is>
      </c>
      <c r="CW21" s="166">
        <f>MAX(0,ROUND(AP4-SUM(CW4:CW20),1))</f>
        <v>0</v>
      </c>
      <c r="CX21" s="166">
        <f>MAX(0,ROUND(AP5-SUM(CX4:CX20),1))</f>
        <v>0</v>
      </c>
      <c r="CY21" s="166">
        <f>MAX(0,ROUND(AP6-SUM(CY4:CY20),1))</f>
        <v>0</v>
      </c>
      <c r="CZ21" s="166">
        <f>MAX(0,ROUND(AP7-SUM(CZ4:CZ20),1))</f>
        <v>0</v>
      </c>
      <c r="DA21" s="166">
        <f>MAX(0,ROUND(AP8-SUM(DA4:DA20),1))</f>
        <v>0</v>
      </c>
      <c r="DB21" s="166">
        <f>MAX(0,ROUND(AP9-SUM(DB4:DB20),1))</f>
        <v>0</v>
      </c>
      <c r="DC21" s="166">
        <f>MAX(0,ROUND(AP10-SUM(DC4:DC20),1))</f>
        <v>0</v>
      </c>
      <c r="DD21" s="166">
        <f>MAX(0,ROUND(AP11-SUM(DD4:DD20),1))</f>
        <v>0</v>
      </c>
      <c r="DE21" s="166">
        <f>MAX(0,ROUND(AP12-SUM(DE4:DE20),1))</f>
        <v>0</v>
      </c>
      <c r="DF21" s="166">
        <f>MAX(0,ROUND(AP13-SUM(DF4:DF20),1))</f>
        <v>0</v>
      </c>
      <c r="DG21" s="166">
        <f>MAX(0,ROUND(AP14-SUM(DG4:DG20),1))</f>
        <v>0</v>
      </c>
      <c r="DH21" s="166">
        <f>MAX(0,ROUND(AP15-SUM(DH4:DH20),1))</f>
        <v>0</v>
      </c>
      <c r="DV21" s="167">
        <f>SUM(CW21:DH21)</f>
        <v>0</v>
      </c>
      <c r="EJ21" t="str">
        <f>TRIM(INDEX(Data!$E:$E,ROW()))</f>
        <v/>
      </c>
      <c r="EK21" t="str">
        <f>TRIM(INDEX(Data!$H:$H,ROW()))</f>
        <v/>
      </c>
      <c r="EM21" t="str">
        <f>IF(D21=1,IF(TRIM(INDEX(Charge!$K:$K,ROW()))&lt;&gt;"","Interne",IF(TRIM(INDEX(Charge!$L:$L,ROW()))&lt;&gt;"","Externe","Non affecté")),"")</f>
        <v>Externe</v>
      </c>
      <c r="EN21" t="str">
        <f>IF(D21=1,LEFT(SUBSTITUTE(SUBSTITUTE(SUBSTITUTE(TRIM(SUBSTITUTE(INDEX(Charge!$B:$B,ROW()),CHAR(160)," "))&amp;" | "&amp;TRIM(SUBSTITUTE(INDEX(Charge!$C:$C,ROW()),CHAR(160)," "))&amp;" | "&amp;TRIM(SUBSTITUTE(INDEX(Charge!$D:$D,ROW()),CHAR(160)," ")),"~","-"),"*","+"),"?","!"),240),"")</f>
        <v>PÉGASE | Lot 1 | Ensemble complet</v>
      </c>
      <c r="EO21">
        <f>IF(EN21="",0,IF(COUNTIF($EN$4:EN21,EN21)=1,1,0))</f>
        <v>0</v>
      </c>
      <c r="EP21" s="166" t="str">
        <f>IF(EO21=1,ROUND(SUMIF($EN$4:$EN$503,EN21,$E$4:$E$503),2),"")</f>
        <v/>
      </c>
      <c r="EQ21" t="str">
        <f>IF(EO21=1,COUNTIFS($EO$4:$EO$503,1,$EP$4:$EP$503,"&gt;"&amp;EP21)+COUNTIFS($EO$4:EO21,1,$EP$4:EP21,EP21),"")</f>
        <v/>
      </c>
      <c r="ER21" t="str">
        <f>IF(EO21=1,COUNTIFS($EN$4:$EN$503,EN21,$EM$4:$EM$503,"Interne",$FE$4:$FE$503,1),"")</f>
        <v/>
      </c>
      <c r="ES21" t="str">
        <f>IF(EO21=1,COUNTIFS($EN$4:$EN$503,EN21,$EM$4:$EM$503,"Externe",$FE$4:$FE$503,1),"")</f>
        <v/>
      </c>
      <c r="ET21" t="str">
        <f>IF(EO21=1,IF(ER21+ES21=0,"à affecter",IF(ER21=0,ES21&amp;" ext.",(ER21+ES21)&amp;IF(ES21&gt;0," dont "&amp;ES21&amp;" ext.",""))&amp;IF(COUNTIFS($EN$4:$EN$503,EN21,$EM$4:$EM$503,"Non affecté")&gt;0," + à affecter","")),"")</f>
        <v/>
      </c>
      <c r="EU21" s="170" t="str">
        <f>IF(EO21=1,IF(EP21&gt;0,SUMPRODUCT(($EN$4:$EN$503=EN21)*$E$4:$E$503*$C$4:$C$503)/EP21,AVERAGEIF($EN$4:$EN$503,EN21,$C$4:$C$503)),"")</f>
        <v/>
      </c>
      <c r="EV21" s="165">
        <f>IF(ISNUMBER(I21),I21,2958465)</f>
        <v>46461.0</v>
      </c>
      <c r="EW21" s="165" t="str">
        <f>IF(EO21=1,SUMPRODUCT(MIN(($EN$4:$EN$503=EN21)*$EV$4:$EV$503+($EN$4:$EN$503&lt;&gt;EN21)*2958465)),"")</f>
        <v/>
      </c>
      <c r="EX21" s="165">
        <f>IF(AND(D21=1,ISNUMBER(INDEX(Charge!$F:$F,ROW()))),INDEX(Charge!$F:$F,ROW()),0)</f>
        <v>46660.0</v>
      </c>
      <c r="EY21" s="165" t="str">
        <f>IF(EO21=1,SUMPRODUCT(MAX(($EN$4:$EN$503=EN21)*$EX$4:$EX$503)),"")</f>
        <v/>
      </c>
      <c r="FA21" t="str">
        <f>IF(18&lt;=$CD$23,INDEX($EJ$4:$EJ$203,18),IF(18-$CD$23&lt;=$CD$26,INDEX($EK$4:$EK$203,18-$CD$23),""))</f>
        <v/>
      </c>
      <c r="FB21" t="str">
        <f>IF(FA21="","",IF(18&lt;=$CD$23,"Interne","Externe"))</f>
        <v/>
      </c>
      <c r="FD21">
        <f>IF(AND(B21=1,TRIM(INDEX(Charge!$K:$K,ROW()))&lt;&gt;"",TRIM(INDEX(Charge!$L:$L,ROW()))&lt;&gt;""),1,0)</f>
        <v>0</v>
      </c>
      <c r="FE21">
        <f>IF(OR(EN21="",BZ21="(non affecté)"),0,IF(COUNTIFS($EN$4:EN21,EN21,$BZ$4:BZ21,BZ21)=1,1,0))</f>
        <v>1</v>
      </c>
    </row>
    <row r="22">
      <c r="A22">
        <f>ROW()</f>
        <v>22</v>
      </c>
      <c r="B22">
        <f>IF(TRIM(INDEX(Charge!$B:$B,ROW()))&lt;&gt;"",1,0)</f>
        <v>1</v>
      </c>
      <c r="C22">
        <f>IF(B22=1,MIN(1,MAX(0,N(INDEX(Charge!$O:$O,ROW())))),0)</f>
        <v>0</v>
      </c>
      <c r="D22">
        <f>IF(B22=1,IF(OR(p_Perimetre="Tous les projets",C22&lt;1),1,0),0)</f>
        <v>1</v>
      </c>
      <c r="E22">
        <f>IF(D22=1,MAX(0,N(INDEX(Charge!$M:$M,ROW()))),0)</f>
        <v>85</v>
      </c>
      <c r="F22" t="str">
        <f>IF(D22=1,IF(TRIM(INDEX(Charge!$A:$A,ROW()))="","(non renseigné)",TRIM(INDEX(Charge!$A:$A,ROW()))),"")</f>
        <v>Camille Laurent</v>
      </c>
      <c r="G22" t="str">
        <f>IF(D22=1,TRIM(INDEX(Charge!$B:$B,ROW())),"")</f>
        <v>VEGA</v>
      </c>
      <c r="H22" t="str">
        <f>IF(D22=1,IF(TRIM(INDEX(Charge!$E:$E,ROW()))="","(non renseigné)",TRIM(INDEX(Charge!$E:$E,ROW()))),"")</f>
        <v>Modification</v>
      </c>
      <c r="I22" s="165">
        <f>IF(AND(D22=1,ISNUMBER(INDEX(Charge!$N:$N,ROW()))),INDEX(Charge!$N:$N,ROW()),"")</f>
        <v>46349.0</v>
      </c>
      <c r="J22" s="165">
        <f>IF(I22="","",IF(AND(p_Repartition="Lissée jusqu'à la date de besoin",ISNUMBER(INDEX(Charge!$F:$F,ROW()))),IF(INDEX(Charge!$F:$F,ROW())&gt;=I22,INDEX(Charge!$F:$F,ROW()),I22),I22))</f>
        <v>46402.0</v>
      </c>
      <c r="K22">
        <f>IF(I22="","",NETWORKDAYS(I22,J22,Data!$K$4:$K$203))</f>
        <v>40</v>
      </c>
      <c r="L22">
        <f>IF(D22=1,COUNTIFS($D$4:$D$503,1,$E$4:$E$503,"&gt;"&amp;E22)+COUNTIFS($D$4:$D22,1,$E$4:$E22,E22),"")</f>
        <v>17</v>
      </c>
      <c r="M22">
        <f>IF(F22="",0,IF(COUNTIF($F$4:F22,F22)=1,1,0))</f>
        <v>0</v>
      </c>
      <c r="N22" t="str">
        <f>IF(M22=1,ROUND(SUMIF($F$4:$F$503,F22,$E$4:$E$503),2),"")</f>
        <v/>
      </c>
      <c r="O22" t="str">
        <f>IF(M22=1,COUNTIFS($M$4:$M$503,1,$N$4:$N$503,"&gt;"&amp;N22)+COUNTIFS($M$4:M22,1,$N$4:N22,N22),"")</f>
        <v/>
      </c>
      <c r="P22">
        <f>IF(G22="",0,IF(COUNTIF($G$4:G22,G22)=1,1,0))</f>
        <v>1</v>
      </c>
      <c r="Q22">
        <f>IF(P22=1,ROUND(SUMIF($G$4:$G$503,G22,$E$4:$E$503),2),"")</f>
        <v>195</v>
      </c>
      <c r="R22">
        <f>IF(P22=1,COUNTIFS($P$4:$P$503,1,$Q$4:$Q$503,"&gt;"&amp;Q22)+COUNTIFS($P$4:P22,1,$Q$4:Q22,Q22),"")</f>
        <v>7</v>
      </c>
      <c r="S22">
        <f>IF(H22="",0,IF(COUNTIF($H$4:H22,H22)=1,1,0))</f>
        <v>0</v>
      </c>
      <c r="T22" t="str">
        <f>IF(S22=1,ROUND(SUMIF($H$4:$H$503,H22,$E$4:$E$503),2),"")</f>
        <v/>
      </c>
      <c r="U22" t="str">
        <f>IF(S22=1,COUNTIFS($S$4:$S$503,1,$T$4:$T$503,"&gt;"&amp;T22)+COUNTIFS($S$4:S22,1,$T$4:T22,T22),"")</f>
        <v/>
      </c>
      <c r="V22">
        <f>IF(D22=1,MIN(INDEX($R$4:$R$503,MATCH(G22,$G$4:$G$503,0)),IF($AL$7&gt;9,9,999)),"")</f>
        <v>7</v>
      </c>
      <c r="W22" s="166">
        <f>IF(OR($I22="",$E22=0),0,IF(OR($J22&lt;W$3,$I22&gt;W$2),0,IF($K22=0,IF(AND($I22&gt;=W$3,$I22&lt;=W$2),$E22,0),$E22*NETWORKDAYS(MAX($I22,W$3),MIN($J22,W$2),Data!$K$4:$K$203)/$K22)))</f>
        <v>0</v>
      </c>
      <c r="X22" s="166">
        <f>IF(OR($I22="",$E22=0),0,IF(OR($J22&lt;X$3,$I22&gt;X$2),0,IF($K22=0,IF(AND($I22&gt;=X$3,$I22&lt;=X$2),$E22,0),$E22*NETWORKDAYS(MAX($I22,X$3),MIN($J22,X$2),Data!$K$4:$K$203)/$K22)))</f>
        <v>0</v>
      </c>
      <c r="Y22" s="166">
        <f>IF(OR($I22="",$E22=0),0,IF(OR($J22&lt;Y$3,$I22&gt;Y$2),0,IF($K22=0,IF(AND($I22&gt;=Y$3,$I22&lt;=Y$2),$E22,0),$E22*NETWORKDAYS(MAX($I22,Y$3),MIN($J22,Y$2),Data!$K$4:$K$203)/$K22)))</f>
        <v>12.75</v>
      </c>
      <c r="Z22" s="166">
        <f>IF(OR($I22="",$E22=0),0,IF(OR($J22&lt;Z$3,$I22&gt;Z$2),0,IF($K22=0,IF(AND($I22&gt;=Z$3,$I22&lt;=Z$2),$E22,0),$E22*NETWORKDAYS(MAX($I22,Z$3),MIN($J22,Z$2),Data!$K$4:$K$203)/$K22)))</f>
        <v>48.875</v>
      </c>
      <c r="AA22" s="166">
        <f>IF(OR($I22="",$E22=0),0,IF(OR($J22&lt;AA$3,$I22&gt;AA$2),0,IF($K22=0,IF(AND($I22&gt;=AA$3,$I22&lt;=AA$2),$E22,0),$E22*NETWORKDAYS(MAX($I22,AA$3),MIN($J22,AA$2),Data!$K$4:$K$203)/$K22)))</f>
        <v>23.375</v>
      </c>
      <c r="AB22" s="166">
        <f>IF(OR($I22="",$E22=0),0,IF(OR($J22&lt;AB$3,$I22&gt;AB$2),0,IF($K22=0,IF(AND($I22&gt;=AB$3,$I22&lt;=AB$2),$E22,0),$E22*NETWORKDAYS(MAX($I22,AB$3),MIN($J22,AB$2),Data!$K$4:$K$203)/$K22)))</f>
        <v>0</v>
      </c>
      <c r="AC22" s="166">
        <f>IF(OR($I22="",$E22=0),0,IF(OR($J22&lt;AC$3,$I22&gt;AC$2),0,IF($K22=0,IF(AND($I22&gt;=AC$3,$I22&lt;=AC$2),$E22,0),$E22*NETWORKDAYS(MAX($I22,AC$3),MIN($J22,AC$2),Data!$K$4:$K$203)/$K22)))</f>
        <v>0</v>
      </c>
      <c r="AD22" s="166">
        <f>IF(OR($I22="",$E22=0),0,IF(OR($J22&lt;AD$3,$I22&gt;AD$2),0,IF($K22=0,IF(AND($I22&gt;=AD$3,$I22&lt;=AD$2),$E22,0),$E22*NETWORKDAYS(MAX($I22,AD$3),MIN($J22,AD$2),Data!$K$4:$K$203)/$K22)))</f>
        <v>0</v>
      </c>
      <c r="AE22" s="166">
        <f>IF(OR($I22="",$E22=0),0,IF(OR($J22&lt;AE$3,$I22&gt;AE$2),0,IF($K22=0,IF(AND($I22&gt;=AE$3,$I22&lt;=AE$2),$E22,0),$E22*NETWORKDAYS(MAX($I22,AE$3),MIN($J22,AE$2),Data!$K$4:$K$203)/$K22)))</f>
        <v>0</v>
      </c>
      <c r="AF22" s="166">
        <f>IF(OR($I22="",$E22=0),0,IF(OR($J22&lt;AF$3,$I22&gt;AF$2),0,IF($K22=0,IF(AND($I22&gt;=AF$3,$I22&lt;=AF$2),$E22,0),$E22*NETWORKDAYS(MAX($I22,AF$3),MIN($J22,AF$2),Data!$K$4:$K$203)/$K22)))</f>
        <v>0</v>
      </c>
      <c r="AG22" s="166">
        <f>IF(OR($I22="",$E22=0),0,IF(OR($J22&lt;AG$3,$I22&gt;AG$2),0,IF($K22=0,IF(AND($I22&gt;=AG$3,$I22&lt;=AG$2),$E22,0),$E22*NETWORKDAYS(MAX($I22,AG$3),MIN($J22,AG$2),Data!$K$4:$K$203)/$K22)))</f>
        <v>0</v>
      </c>
      <c r="AH22" s="166">
        <f>IF(OR($I22="",$E22=0),0,IF(OR($J22&lt;AH$3,$I22&gt;AH$2),0,IF($K22=0,IF(AND($I22&gt;=AH$3,$I22&lt;=AH$2),$E22,0),$E22*NETWORKDAYS(MAX($I22,AH$3),MIN($J22,AH$2),Data!$K$4:$K$203)/$K22)))</f>
        <v>0</v>
      </c>
      <c r="AI22" s="166">
        <f>SUM(W22:AH22)</f>
        <v>85</v>
      </c>
      <c r="AK22" t="inlineStr">
        <is>
          <t>Charge totale en ETP-mois</t>
        </is>
      </c>
      <c r="AL22" s="166">
        <f>IF(N(p_HeuresETP)-N(p_ChargeFixe)&lt;=0,0,AL4/(p_HeuresETP-p_ChargeFixe))</f>
        <v>34.55</v>
      </c>
      <c r="BW22" t="n">
        <v>19</v>
      </c>
      <c r="BX22" t="str">
        <f>IFERROR(MATCH(BW22,$EQ$4:$EQ$503,0),"")</f>
        <v/>
      </c>
      <c r="BZ22" t="str">
        <f>IF(D22=1,IF(TRIM(INDEX(Charge!$K:$K,ROW()))&lt;&gt;"",TRIM(INDEX(Charge!$K:$K,ROW())),IF(TRIM(INDEX(Charge!$L:$L,ROW()))&lt;&gt;"",TRIM(INDEX(Charge!$L:$L,ROW())),"(non affecté)")),"")</f>
        <v>Antoine Blanc</v>
      </c>
      <c r="CA22" t="str">
        <f>IF(AND($CD$4&lt;&gt;"",BZ22=$CD$4),COUNTIFS($BZ$4:$BZ$503,$CD$4,$L$4:$L$503,"&lt;"&amp;L22)+1,"")</f>
        <v/>
      </c>
      <c r="CC22" t="inlineStr">
        <is>
          <t>1er mois affiché (rappel)</t>
        </is>
      </c>
      <c r="CD22" s="161">
        <f>$AL$14</f>
        <v>46266.0</v>
      </c>
      <c r="EJ22" t="str">
        <f>TRIM(INDEX(Data!$E:$E,ROW()))</f>
        <v/>
      </c>
      <c r="EK22" t="str">
        <f>TRIM(INDEX(Data!$H:$H,ROW()))</f>
        <v/>
      </c>
      <c r="EM22" t="str">
        <f>IF(D22=1,IF(TRIM(INDEX(Charge!$K:$K,ROW()))&lt;&gt;"","Interne",IF(TRIM(INDEX(Charge!$L:$L,ROW()))&lt;&gt;"","Externe","Non affecté")),"")</f>
        <v>Interne</v>
      </c>
      <c r="EN22" t="str">
        <f>IF(D22=1,LEFT(SUBSTITUTE(SUBSTITUTE(SUBSTITUTE(TRIM(SUBSTITUTE(INDEX(Charge!$B:$B,ROW()),CHAR(160)," "))&amp;" | "&amp;TRIM(SUBSTITUTE(INDEX(Charge!$C:$C,ROW()),CHAR(160)," "))&amp;" | "&amp;TRIM(SUBSTITUTE(INDEX(Charge!$D:$D,ROW()),CHAR(160)," ")),"~","-"),"*","+"),"?","!"),240),"")</f>
        <v>VEGA | Mise en conformité | Garde-corps</v>
      </c>
      <c r="EO22">
        <f>IF(EN22="",0,IF(COUNTIF($EN$4:EN22,EN22)=1,1,0))</f>
        <v>1</v>
      </c>
      <c r="EP22" s="166">
        <f>IF(EO22=1,ROUND(SUMIF($EN$4:$EN$503,EN22,$E$4:$E$503),2),"")</f>
        <v>85</v>
      </c>
      <c r="EQ22">
        <f>IF(EO22=1,COUNTIFS($EO$4:$EO$503,1,$EP$4:$EP$503,"&gt;"&amp;EP22)+COUNTIFS($EO$4:EO22,1,$EP$4:EP22,EP22),"")</f>
        <v>14</v>
      </c>
      <c r="ER22">
        <f>IF(EO22=1,COUNTIFS($EN$4:$EN$503,EN22,$EM$4:$EM$503,"Interne",$FE$4:$FE$503,1),"")</f>
        <v>1</v>
      </c>
      <c r="ES22">
        <f>IF(EO22=1,COUNTIFS($EN$4:$EN$503,EN22,$EM$4:$EM$503,"Externe",$FE$4:$FE$503,1),"")</f>
        <v>0</v>
      </c>
      <c r="ET22" t="str">
        <f>IF(EO22=1,IF(ER22+ES22=0,"à affecter",IF(ER22=0,ES22&amp;" ext.",(ER22+ES22)&amp;IF(ES22&gt;0," dont "&amp;ES22&amp;" ext.",""))&amp;IF(COUNTIFS($EN$4:$EN$503,EN22,$EM$4:$EM$503,"Non affecté")&gt;0," + à affecter","")),"")</f>
        <v>1</v>
      </c>
      <c r="EU22" s="170">
        <f>IF(EO22=1,IF(EP22&gt;0,SUMPRODUCT(($EN$4:$EN$503=EN22)*$E$4:$E$503*$C$4:$C$503)/EP22,AVERAGEIF($EN$4:$EN$503,EN22,$C$4:$C$503)),"")</f>
        <v>0</v>
      </c>
      <c r="EV22" s="165">
        <f>IF(ISNUMBER(I22),I22,2958465)</f>
        <v>46349.0</v>
      </c>
      <c r="EW22" s="165">
        <f>IF(EO22=1,SUMPRODUCT(MIN(($EN$4:$EN$503=EN22)*$EV$4:$EV$503+($EN$4:$EN$503&lt;&gt;EN22)*2958465)),"")</f>
        <v>46349.0</v>
      </c>
      <c r="EX22" s="165">
        <f>IF(AND(D22=1,ISNUMBER(INDEX(Charge!$F:$F,ROW()))),INDEX(Charge!$F:$F,ROW()),0)</f>
        <v>46402.0</v>
      </c>
      <c r="EY22" s="165">
        <f>IF(EO22=1,SUMPRODUCT(MAX(($EN$4:$EN$503=EN22)*$EX$4:$EX$503)),"")</f>
        <v>46402.0</v>
      </c>
      <c r="FA22" t="str">
        <f>IF(19&lt;=$CD$23,INDEX($EJ$4:$EJ$203,19),IF(19-$CD$23&lt;=$CD$26,INDEX($EK$4:$EK$203,19-$CD$23),""))</f>
        <v/>
      </c>
      <c r="FB22" t="str">
        <f>IF(FA22="","",IF(19&lt;=$CD$23,"Interne","Externe"))</f>
        <v/>
      </c>
      <c r="FD22">
        <f>IF(AND(B22=1,TRIM(INDEX(Charge!$K:$K,ROW()))&lt;&gt;"",TRIM(INDEX(Charge!$L:$L,ROW()))&lt;&gt;""),1,0)</f>
        <v>0</v>
      </c>
      <c r="FE22">
        <f>IF(OR(EN22="",BZ22="(non affecté)"),0,IF(COUNTIFS($EN$4:EN22,EN22,$BZ$4:BZ22,BZ22)=1,1,0))</f>
        <v>1</v>
      </c>
    </row>
    <row r="23">
      <c r="A23">
        <f>ROW()</f>
        <v>23</v>
      </c>
      <c r="B23">
        <f>IF(TRIM(INDEX(Charge!$B:$B,ROW()))&lt;&gt;"",1,0)</f>
        <v>1</v>
      </c>
      <c r="C23">
        <f>IF(B23=1,MIN(1,MAX(0,N(INDEX(Charge!$O:$O,ROW())))),0)</f>
        <v>0</v>
      </c>
      <c r="D23">
        <f>IF(B23=1,IF(OR(p_Perimetre="Tous les projets",C23&lt;1),1,0),0)</f>
        <v>1</v>
      </c>
      <c r="E23">
        <f>IF(D23=1,MAX(0,N(INDEX(Charge!$M:$M,ROW()))),0)</f>
        <v>60</v>
      </c>
      <c r="F23" t="str">
        <f>IF(D23=1,IF(TRIM(INDEX(Charge!$A:$A,ROW()))="","(non renseigné)",TRIM(INDEX(Charge!$A:$A,ROW()))),"")</f>
        <v>Camille Laurent</v>
      </c>
      <c r="G23" t="str">
        <f>IF(D23=1,TRIM(INDEX(Charge!$B:$B,ROW())),"")</f>
        <v>VEGA</v>
      </c>
      <c r="H23" t="str">
        <f>IF(D23=1,IF(TRIM(INDEX(Charge!$E:$E,ROW()))="","(non renseigné)",TRIM(INDEX(Charge!$E:$E,ROW()))),"")</f>
        <v>Mise à jour de plans</v>
      </c>
      <c r="I23" s="165">
        <f>IF(AND(D23=1,ISNUMBER(INDEX(Charge!$N:$N,ROW()))),INDEX(Charge!$N:$N,ROW()),"")</f>
        <v>46426.0</v>
      </c>
      <c r="J23" s="165">
        <f>IF(I23="","",IF(AND(p_Repartition="Lissée jusqu'à la date de besoin",ISNUMBER(INDEX(Charge!$F:$F,ROW()))),IF(INDEX(Charge!$F:$F,ROW())&gt;=I23,INDEX(Charge!$F:$F,ROW()),I23),I23))</f>
        <v>46477.0</v>
      </c>
      <c r="K23">
        <f>IF(I23="","",NETWORKDAYS(I23,J23,Data!$K$4:$K$203))</f>
        <v>38</v>
      </c>
      <c r="L23">
        <f>IF(D23=1,COUNTIFS($D$4:$D$503,1,$E$4:$E$503,"&gt;"&amp;E23)+COUNTIFS($D$4:$D23,1,$E$4:$E23,E23),"")</f>
        <v>21</v>
      </c>
      <c r="M23">
        <f>IF(F23="",0,IF(COUNTIF($F$4:F23,F23)=1,1,0))</f>
        <v>0</v>
      </c>
      <c r="N23" t="str">
        <f>IF(M23=1,ROUND(SUMIF($F$4:$F$503,F23,$E$4:$E$503),2),"")</f>
        <v/>
      </c>
      <c r="O23" t="str">
        <f>IF(M23=1,COUNTIFS($M$4:$M$503,1,$N$4:$N$503,"&gt;"&amp;N23)+COUNTIFS($M$4:M23,1,$N$4:N23,N23),"")</f>
        <v/>
      </c>
      <c r="P23">
        <f>IF(G23="",0,IF(COUNTIF($G$4:G23,G23)=1,1,0))</f>
        <v>0</v>
      </c>
      <c r="Q23" t="str">
        <f>IF(P23=1,ROUND(SUMIF($G$4:$G$503,G23,$E$4:$E$503),2),"")</f>
        <v/>
      </c>
      <c r="R23" t="str">
        <f>IF(P23=1,COUNTIFS($P$4:$P$503,1,$Q$4:$Q$503,"&gt;"&amp;Q23)+COUNTIFS($P$4:P23,1,$Q$4:Q23,Q23),"")</f>
        <v/>
      </c>
      <c r="S23">
        <f>IF(H23="",0,IF(COUNTIF($H$4:H23,H23)=1,1,0))</f>
        <v>0</v>
      </c>
      <c r="T23" t="str">
        <f>IF(S23=1,ROUND(SUMIF($H$4:$H$503,H23,$E$4:$E$503),2),"")</f>
        <v/>
      </c>
      <c r="U23" t="str">
        <f>IF(S23=1,COUNTIFS($S$4:$S$503,1,$T$4:$T$503,"&gt;"&amp;T23)+COUNTIFS($S$4:S23,1,$T$4:T23,T23),"")</f>
        <v/>
      </c>
      <c r="V23">
        <f>IF(D23=1,MIN(INDEX($R$4:$R$503,MATCH(G23,$G$4:$G$503,0)),IF($AL$7&gt;9,9,999)),"")</f>
        <v>7</v>
      </c>
      <c r="W23" s="166">
        <f>IF(OR($I23="",$E23=0),0,IF(OR($J23&lt;W$3,$I23&gt;W$2),0,IF($K23=0,IF(AND($I23&gt;=W$3,$I23&lt;=W$2),$E23,0),$E23*NETWORKDAYS(MAX($I23,W$3),MIN($J23,W$2),Data!$K$4:$K$203)/$K23)))</f>
        <v>0</v>
      </c>
      <c r="X23" s="166">
        <f>IF(OR($I23="",$E23=0),0,IF(OR($J23&lt;X$3,$I23&gt;X$2),0,IF($K23=0,IF(AND($I23&gt;=X$3,$I23&lt;=X$2),$E23,0),$E23*NETWORKDAYS(MAX($I23,X$3),MIN($J23,X$2),Data!$K$4:$K$203)/$K23)))</f>
        <v>0</v>
      </c>
      <c r="Y23" s="166">
        <f>IF(OR($I23="",$E23=0),0,IF(OR($J23&lt;Y$3,$I23&gt;Y$2),0,IF($K23=0,IF(AND($I23&gt;=Y$3,$I23&lt;=Y$2),$E23,0),$E23*NETWORKDAYS(MAX($I23,Y$3),MIN($J23,Y$2),Data!$K$4:$K$203)/$K23)))</f>
        <v>0</v>
      </c>
      <c r="Z23" s="166">
        <f>IF(OR($I23="",$E23=0),0,IF(OR($J23&lt;Z$3,$I23&gt;Z$2),0,IF($K23=0,IF(AND($I23&gt;=Z$3,$I23&lt;=Z$2),$E23,0),$E23*NETWORKDAYS(MAX($I23,Z$3),MIN($J23,Z$2),Data!$K$4:$K$203)/$K23)))</f>
        <v>0</v>
      </c>
      <c r="AA23" s="166">
        <f>IF(OR($I23="",$E23=0),0,IF(OR($J23&lt;AA$3,$I23&gt;AA$2),0,IF($K23=0,IF(AND($I23&gt;=AA$3,$I23&lt;=AA$2),$E23,0),$E23*NETWORKDAYS(MAX($I23,AA$3),MIN($J23,AA$2),Data!$K$4:$K$203)/$K23)))</f>
        <v>0</v>
      </c>
      <c r="AB23" s="166">
        <f>IF(OR($I23="",$E23=0),0,IF(OR($J23&lt;AB$3,$I23&gt;AB$2),0,IF($K23=0,IF(AND($I23&gt;=AB$3,$I23&lt;=AB$2),$E23,0),$E23*NETWORKDAYS(MAX($I23,AB$3),MIN($J23,AB$2),Data!$K$4:$K$203)/$K23)))</f>
        <v>23.6842105263158</v>
      </c>
      <c r="AC23" s="166">
        <f>IF(OR($I23="",$E23=0),0,IF(OR($J23&lt;AC$3,$I23&gt;AC$2),0,IF($K23=0,IF(AND($I23&gt;=AC$3,$I23&lt;=AC$2),$E23,0),$E23*NETWORKDAYS(MAX($I23,AC$3),MIN($J23,AC$2),Data!$K$4:$K$203)/$K23)))</f>
        <v>36.3157894736842</v>
      </c>
      <c r="AD23" s="166">
        <f>IF(OR($I23="",$E23=0),0,IF(OR($J23&lt;AD$3,$I23&gt;AD$2),0,IF($K23=0,IF(AND($I23&gt;=AD$3,$I23&lt;=AD$2),$E23,0),$E23*NETWORKDAYS(MAX($I23,AD$3),MIN($J23,AD$2),Data!$K$4:$K$203)/$K23)))</f>
        <v>0</v>
      </c>
      <c r="AE23" s="166">
        <f>IF(OR($I23="",$E23=0),0,IF(OR($J23&lt;AE$3,$I23&gt;AE$2),0,IF($K23=0,IF(AND($I23&gt;=AE$3,$I23&lt;=AE$2),$E23,0),$E23*NETWORKDAYS(MAX($I23,AE$3),MIN($J23,AE$2),Data!$K$4:$K$203)/$K23)))</f>
        <v>0</v>
      </c>
      <c r="AF23" s="166">
        <f>IF(OR($I23="",$E23=0),0,IF(OR($J23&lt;AF$3,$I23&gt;AF$2),0,IF($K23=0,IF(AND($I23&gt;=AF$3,$I23&lt;=AF$2),$E23,0),$E23*NETWORKDAYS(MAX($I23,AF$3),MIN($J23,AF$2),Data!$K$4:$K$203)/$K23)))</f>
        <v>0</v>
      </c>
      <c r="AG23" s="166">
        <f>IF(OR($I23="",$E23=0),0,IF(OR($J23&lt;AG$3,$I23&gt;AG$2),0,IF($K23=0,IF(AND($I23&gt;=AG$3,$I23&lt;=AG$2),$E23,0),$E23*NETWORKDAYS(MAX($I23,AG$3),MIN($J23,AG$2),Data!$K$4:$K$203)/$K23)))</f>
        <v>0</v>
      </c>
      <c r="AH23" s="166">
        <f>IF(OR($I23="",$E23=0),0,IF(OR($J23&lt;AH$3,$I23&gt;AH$2),0,IF($K23=0,IF(AND($I23&gt;=AH$3,$I23&lt;=AH$2),$E23,0),$E23*NETWORKDAYS(MAX($I23,AH$3),MIN($J23,AH$2),Data!$K$4:$K$203)/$K23)))</f>
        <v>0</v>
      </c>
      <c r="AI23" s="166">
        <f>SUM(W23:AH23)</f>
        <v>60</v>
      </c>
      <c r="AK23" t="inlineStr">
        <is>
          <t>Position de la plus grosse affaire</t>
        </is>
      </c>
      <c r="AL23" s="171">
        <f>BX4</f>
        <v>17</v>
      </c>
      <c r="BW23" t="n">
        <v>20</v>
      </c>
      <c r="BX23" t="str">
        <f>IFERROR(MATCH(BW23,$EQ$4:$EQ$503,0),"")</f>
        <v/>
      </c>
      <c r="BZ23" t="str">
        <f>IF(D23=1,IF(TRIM(INDEX(Charge!$K:$K,ROW()))&lt;&gt;"",TRIM(INDEX(Charge!$K:$K,ROW())),IF(TRIM(INDEX(Charge!$L:$L,ROW()))&lt;&gt;"",TRIM(INDEX(Charge!$L:$L,ROW())),"(non affecté)")),"")</f>
        <v>Antoine Blanc</v>
      </c>
      <c r="CA23" t="str">
        <f>IF(AND($CD$4&lt;&gt;"",BZ23=$CD$4),COUNTIFS($BZ$4:$BZ$503,$CD$4,$L$4:$L$503,"&lt;"&amp;L23)+1,"")</f>
        <v/>
      </c>
      <c r="CC23" t="inlineStr">
        <is>
          <t>Nombre de dessinateurs dans la liste Data</t>
        </is>
      </c>
      <c r="CD23" s="171">
        <f>COUNTA(Data!$E$4:$E$203)</f>
        <v>5</v>
      </c>
      <c r="EJ23" t="str">
        <f>TRIM(INDEX(Data!$E:$E,ROW()))</f>
        <v/>
      </c>
      <c r="EK23" t="str">
        <f>TRIM(INDEX(Data!$H:$H,ROW()))</f>
        <v/>
      </c>
      <c r="EM23" t="str">
        <f>IF(D23=1,IF(TRIM(INDEX(Charge!$K:$K,ROW()))&lt;&gt;"","Interne",IF(TRIM(INDEX(Charge!$L:$L,ROW()))&lt;&gt;"","Externe","Non affecté")),"")</f>
        <v>Interne</v>
      </c>
      <c r="EN23" t="str">
        <f>IF(D23=1,LEFT(SUBSTITUTE(SUBSTITUTE(SUBSTITUTE(TRIM(SUBSTITUTE(INDEX(Charge!$B:$B,ROW()),CHAR(160)," "))&amp;" | "&amp;TRIM(SUBSTITUTE(INDEX(Charge!$C:$C,ROW()),CHAR(160)," "))&amp;" | "&amp;TRIM(SUBSTITUTE(INDEX(Charge!$D:$D,ROW()),CHAR(160)," ")),"~","-"),"*","+"),"?","!"),240),"")</f>
        <v>VEGA | Mise en conformité | Passerelle</v>
      </c>
      <c r="EO23">
        <f>IF(EN23="",0,IF(COUNTIF($EN$4:EN23,EN23)=1,1,0))</f>
        <v>1</v>
      </c>
      <c r="EP23" s="166">
        <f>IF(EO23=1,ROUND(SUMIF($EN$4:$EN$503,EN23,$E$4:$E$503),2),"")</f>
        <v>60</v>
      </c>
      <c r="EQ23">
        <f>IF(EO23=1,COUNTIFS($EO$4:$EO$503,1,$EP$4:$EP$503,"&gt;"&amp;EP23)+COUNTIFS($EO$4:EO23,1,$EP$4:EP23,EP23),"")</f>
        <v>16</v>
      </c>
      <c r="ER23">
        <f>IF(EO23=1,COUNTIFS($EN$4:$EN$503,EN23,$EM$4:$EM$503,"Interne",$FE$4:$FE$503,1),"")</f>
        <v>1</v>
      </c>
      <c r="ES23">
        <f>IF(EO23=1,COUNTIFS($EN$4:$EN$503,EN23,$EM$4:$EM$503,"Externe",$FE$4:$FE$503,1),"")</f>
        <v>0</v>
      </c>
      <c r="ET23" t="str">
        <f>IF(EO23=1,IF(ER23+ES23=0,"à affecter",IF(ER23=0,ES23&amp;" ext.",(ER23+ES23)&amp;IF(ES23&gt;0," dont "&amp;ES23&amp;" ext.",""))&amp;IF(COUNTIFS($EN$4:$EN$503,EN23,$EM$4:$EM$503,"Non affecté")&gt;0," + à affecter","")),"")</f>
        <v>1</v>
      </c>
      <c r="EU23" s="170">
        <f>IF(EO23=1,IF(EP23&gt;0,SUMPRODUCT(($EN$4:$EN$503=EN23)*$E$4:$E$503*$C$4:$C$503)/EP23,AVERAGEIF($EN$4:$EN$503,EN23,$C$4:$C$503)),"")</f>
        <v>0</v>
      </c>
      <c r="EV23" s="165">
        <f>IF(ISNUMBER(I23),I23,2958465)</f>
        <v>46426.0</v>
      </c>
      <c r="EW23" s="165">
        <f>IF(EO23=1,SUMPRODUCT(MIN(($EN$4:$EN$503=EN23)*$EV$4:$EV$503+($EN$4:$EN$503&lt;&gt;EN23)*2958465)),"")</f>
        <v>46426.0</v>
      </c>
      <c r="EX23" s="165">
        <f>IF(AND(D23=1,ISNUMBER(INDEX(Charge!$F:$F,ROW()))),INDEX(Charge!$F:$F,ROW()),0)</f>
        <v>46477.0</v>
      </c>
      <c r="EY23" s="165">
        <f>IF(EO23=1,SUMPRODUCT(MAX(($EN$4:$EN$503=EN23)*$EX$4:$EX$503)),"")</f>
        <v>46477.0</v>
      </c>
      <c r="FA23" t="str">
        <f>IF(20&lt;=$CD$23,INDEX($EJ$4:$EJ$203,20),IF(20-$CD$23&lt;=$CD$26,INDEX($EK$4:$EK$203,20-$CD$23),""))</f>
        <v/>
      </c>
      <c r="FB23" t="str">
        <f>IF(FA23="","",IF(20&lt;=$CD$23,"Interne","Externe"))</f>
        <v/>
      </c>
      <c r="FD23">
        <f>IF(AND(B23=1,TRIM(INDEX(Charge!$K:$K,ROW()))&lt;&gt;"",TRIM(INDEX(Charge!$L:$L,ROW()))&lt;&gt;""),1,0)</f>
        <v>0</v>
      </c>
      <c r="FE23">
        <f>IF(OR(EN23="",BZ23="(non affecté)"),0,IF(COUNTIFS($EN$4:EN23,EN23,$BZ$4:BZ23,BZ23)=1,1,0))</f>
        <v>1</v>
      </c>
    </row>
    <row r="24">
      <c r="A24">
        <f>ROW()</f>
        <v>24</v>
      </c>
      <c r="B24">
        <f>IF(TRIM(INDEX(Charge!$B:$B,ROW()))&lt;&gt;"",1,0)</f>
        <v>1</v>
      </c>
      <c r="C24">
        <f>IF(B24=1,MIN(1,MAX(0,N(INDEX(Charge!$O:$O,ROW())))),0)</f>
        <v>0</v>
      </c>
      <c r="D24">
        <f>IF(B24=1,IF(OR(p_Perimetre="Tous les projets",C24&lt;1),1,0),0)</f>
        <v>1</v>
      </c>
      <c r="E24">
        <f>IF(D24=1,MAX(0,N(INDEX(Charge!$M:$M,ROW()))),0)</f>
        <v>50</v>
      </c>
      <c r="F24" t="str">
        <f>IF(D24=1,IF(TRIM(INDEX(Charge!$A:$A,ROW()))="","(non renseigné)",TRIM(INDEX(Charge!$A:$A,ROW()))),"")</f>
        <v>Camille Laurent</v>
      </c>
      <c r="G24" t="str">
        <f>IF(D24=1,TRIM(INDEX(Charge!$B:$B,ROW())),"")</f>
        <v>VEGA</v>
      </c>
      <c r="H24" t="str">
        <f>IF(D24=1,IF(TRIM(INDEX(Charge!$E:$E,ROW()))="","(non renseigné)",TRIM(INDEX(Charge!$E:$E,ROW()))),"")</f>
        <v>Modification</v>
      </c>
      <c r="I24" s="165">
        <f>IF(AND(D24=1,ISNUMBER(INDEX(Charge!$N:$N,ROW()))),INDEX(Charge!$N:$N,ROW()),"")</f>
        <v>46447.0</v>
      </c>
      <c r="J24" s="165">
        <f>IF(I24="","",IF(AND(p_Repartition="Lissée jusqu'à la date de besoin",ISNUMBER(INDEX(Charge!$F:$F,ROW()))),IF(INDEX(Charge!$F:$F,ROW())&gt;=I24,INDEX(Charge!$F:$F,ROW()),I24),I24))</f>
        <v>46507.0</v>
      </c>
      <c r="K24">
        <f>IF(I24="","",NETWORKDAYS(I24,J24,Data!$K$4:$K$203))</f>
        <v>45</v>
      </c>
      <c r="L24">
        <f>IF(D24=1,COUNTIFS($D$4:$D$503,1,$E$4:$E$503,"&gt;"&amp;E24)+COUNTIFS($D$4:$D24,1,$E$4:$E24,E24),"")</f>
        <v>22</v>
      </c>
      <c r="M24">
        <f>IF(F24="",0,IF(COUNTIF($F$4:F24,F24)=1,1,0))</f>
        <v>0</v>
      </c>
      <c r="N24" t="str">
        <f>IF(M24=1,ROUND(SUMIF($F$4:$F$503,F24,$E$4:$E$503),2),"")</f>
        <v/>
      </c>
      <c r="O24" t="str">
        <f>IF(M24=1,COUNTIFS($M$4:$M$503,1,$N$4:$N$503,"&gt;"&amp;N24)+COUNTIFS($M$4:M24,1,$N$4:N24,N24),"")</f>
        <v/>
      </c>
      <c r="P24">
        <f>IF(G24="",0,IF(COUNTIF($G$4:G24,G24)=1,1,0))</f>
        <v>0</v>
      </c>
      <c r="Q24" t="str">
        <f>IF(P24=1,ROUND(SUMIF($G$4:$G$503,G24,$E$4:$E$503),2),"")</f>
        <v/>
      </c>
      <c r="R24" t="str">
        <f>IF(P24=1,COUNTIFS($P$4:$P$503,1,$Q$4:$Q$503,"&gt;"&amp;Q24)+COUNTIFS($P$4:P24,1,$Q$4:Q24,Q24),"")</f>
        <v/>
      </c>
      <c r="S24">
        <f>IF(H24="",0,IF(COUNTIF($H$4:H24,H24)=1,1,0))</f>
        <v>0</v>
      </c>
      <c r="T24" t="str">
        <f>IF(S24=1,ROUND(SUMIF($H$4:$H$503,H24,$E$4:$E$503),2),"")</f>
        <v/>
      </c>
      <c r="U24" t="str">
        <f>IF(S24=1,COUNTIFS($S$4:$S$503,1,$T$4:$T$503,"&gt;"&amp;T24)+COUNTIFS($S$4:S24,1,$T$4:T24,T24),"")</f>
        <v/>
      </c>
      <c r="V24">
        <f>IF(D24=1,MIN(INDEX($R$4:$R$503,MATCH(G24,$G$4:$G$503,0)),IF($AL$7&gt;9,9,999)),"")</f>
        <v>7</v>
      </c>
      <c r="W24" s="166">
        <f>IF(OR($I24="",$E24=0),0,IF(OR($J24&lt;W$3,$I24&gt;W$2),0,IF($K24=0,IF(AND($I24&gt;=W$3,$I24&lt;=W$2),$E24,0),$E24*NETWORKDAYS(MAX($I24,W$3),MIN($J24,W$2),Data!$K$4:$K$203)/$K24)))</f>
        <v>0</v>
      </c>
      <c r="X24" s="166">
        <f>IF(OR($I24="",$E24=0),0,IF(OR($J24&lt;X$3,$I24&gt;X$2),0,IF($K24=0,IF(AND($I24&gt;=X$3,$I24&lt;=X$2),$E24,0),$E24*NETWORKDAYS(MAX($I24,X$3),MIN($J24,X$2),Data!$K$4:$K$203)/$K24)))</f>
        <v>0</v>
      </c>
      <c r="Y24" s="166">
        <f>IF(OR($I24="",$E24=0),0,IF(OR($J24&lt;Y$3,$I24&gt;Y$2),0,IF($K24=0,IF(AND($I24&gt;=Y$3,$I24&lt;=Y$2),$E24,0),$E24*NETWORKDAYS(MAX($I24,Y$3),MIN($J24,Y$2),Data!$K$4:$K$203)/$K24)))</f>
        <v>0</v>
      </c>
      <c r="Z24" s="166">
        <f>IF(OR($I24="",$E24=0),0,IF(OR($J24&lt;Z$3,$I24&gt;Z$2),0,IF($K24=0,IF(AND($I24&gt;=Z$3,$I24&lt;=Z$2),$E24,0),$E24*NETWORKDAYS(MAX($I24,Z$3),MIN($J24,Z$2),Data!$K$4:$K$203)/$K24)))</f>
        <v>0</v>
      </c>
      <c r="AA24" s="166">
        <f>IF(OR($I24="",$E24=0),0,IF(OR($J24&lt;AA$3,$I24&gt;AA$2),0,IF($K24=0,IF(AND($I24&gt;=AA$3,$I24&lt;=AA$2),$E24,0),$E24*NETWORKDAYS(MAX($I24,AA$3),MIN($J24,AA$2),Data!$K$4:$K$203)/$K24)))</f>
        <v>0</v>
      </c>
      <c r="AB24" s="166">
        <f>IF(OR($I24="",$E24=0),0,IF(OR($J24&lt;AB$3,$I24&gt;AB$2),0,IF($K24=0,IF(AND($I24&gt;=AB$3,$I24&lt;=AB$2),$E24,0),$E24*NETWORKDAYS(MAX($I24,AB$3),MIN($J24,AB$2),Data!$K$4:$K$203)/$K24)))</f>
        <v>0</v>
      </c>
      <c r="AC24" s="166">
        <f>IF(OR($I24="",$E24=0),0,IF(OR($J24&lt;AC$3,$I24&gt;AC$2),0,IF($K24=0,IF(AND($I24&gt;=AC$3,$I24&lt;=AC$2),$E24,0),$E24*NETWORKDAYS(MAX($I24,AC$3),MIN($J24,AC$2),Data!$K$4:$K$203)/$K24)))</f>
        <v>25.5555555555556</v>
      </c>
      <c r="AD24" s="166">
        <f>IF(OR($I24="",$E24=0),0,IF(OR($J24&lt;AD$3,$I24&gt;AD$2),0,IF($K24=0,IF(AND($I24&gt;=AD$3,$I24&lt;=AD$2),$E24,0),$E24*NETWORKDAYS(MAX($I24,AD$3),MIN($J24,AD$2),Data!$K$4:$K$203)/$K24)))</f>
        <v>24.4444444444444</v>
      </c>
      <c r="AE24" s="166">
        <f>IF(OR($I24="",$E24=0),0,IF(OR($J24&lt;AE$3,$I24&gt;AE$2),0,IF($K24=0,IF(AND($I24&gt;=AE$3,$I24&lt;=AE$2),$E24,0),$E24*NETWORKDAYS(MAX($I24,AE$3),MIN($J24,AE$2),Data!$K$4:$K$203)/$K24)))</f>
        <v>0</v>
      </c>
      <c r="AF24" s="166">
        <f>IF(OR($I24="",$E24=0),0,IF(OR($J24&lt;AF$3,$I24&gt;AF$2),0,IF($K24=0,IF(AND($I24&gt;=AF$3,$I24&lt;=AF$2),$E24,0),$E24*NETWORKDAYS(MAX($I24,AF$3),MIN($J24,AF$2),Data!$K$4:$K$203)/$K24)))</f>
        <v>0</v>
      </c>
      <c r="AG24" s="166">
        <f>IF(OR($I24="",$E24=0),0,IF(OR($J24&lt;AG$3,$I24&gt;AG$2),0,IF($K24=0,IF(AND($I24&gt;=AG$3,$I24&lt;=AG$2),$E24,0),$E24*NETWORKDAYS(MAX($I24,AG$3),MIN($J24,AG$2),Data!$K$4:$K$203)/$K24)))</f>
        <v>0</v>
      </c>
      <c r="AH24" s="166">
        <f>IF(OR($I24="",$E24=0),0,IF(OR($J24&lt;AH$3,$I24&gt;AH$2),0,IF($K24=0,IF(AND($I24&gt;=AH$3,$I24&lt;=AH$2),$E24,0),$E24*NETWORKDAYS(MAX($I24,AH$3),MIN($J24,AH$2),Data!$K$4:$K$203)/$K24)))</f>
        <v>0</v>
      </c>
      <c r="AI24" s="166">
        <f>SUM(W24:AH24)</f>
        <v>50</v>
      </c>
      <c r="AK24" t="inlineStr">
        <is>
          <t>Lignes terminées (avancement 100 %)</t>
        </is>
      </c>
      <c r="AL24" s="171">
        <f>COUNTIFS(B4:B503,1,C4:C503,"&gt;=1")</f>
        <v>2</v>
      </c>
      <c r="BW24" t="n">
        <v>21</v>
      </c>
      <c r="BX24" t="str">
        <f>IFERROR(MATCH(BW24,$EQ$4:$EQ$503,0),"")</f>
        <v/>
      </c>
      <c r="BZ24" t="str">
        <f>IF(D24=1,IF(TRIM(INDEX(Charge!$K:$K,ROW()))&lt;&gt;"",TRIM(INDEX(Charge!$K:$K,ROW())),IF(TRIM(INDEX(Charge!$L:$L,ROW()))&lt;&gt;"",TRIM(INDEX(Charge!$L:$L,ROW())),"(non affecté)")),"")</f>
        <v>(non affecté)</v>
      </c>
      <c r="CA24" t="str">
        <f>IF(AND($CD$4&lt;&gt;"",BZ24=$CD$4),COUNTIFS($BZ$4:$BZ$503,$CD$4,$L$4:$L$503,"&lt;"&amp;L24)+1,"")</f>
        <v/>
      </c>
      <c r="CC24" t="inlineStr">
        <is>
          <t>Position dans la liste des ressources externes (0 = absent)</t>
        </is>
      </c>
      <c r="CD24" s="171">
        <f>IF(OR(CD4="",CD5&gt;0),0,IFERROR(MATCH(CD4,$EK$4:$EK$203,0),0))</f>
        <v>0</v>
      </c>
      <c r="EJ24" t="str">
        <f>TRIM(INDEX(Data!$E:$E,ROW()))</f>
        <v/>
      </c>
      <c r="EK24" t="str">
        <f>TRIM(INDEX(Data!$H:$H,ROW()))</f>
        <v/>
      </c>
      <c r="EM24" t="str">
        <f>IF(D24=1,IF(TRIM(INDEX(Charge!$K:$K,ROW()))&lt;&gt;"","Interne",IF(TRIM(INDEX(Charge!$L:$L,ROW()))&lt;&gt;"","Externe","Non affecté")),"")</f>
        <v>Non affecté</v>
      </c>
      <c r="EN24" t="str">
        <f>IF(D24=1,LEFT(SUBSTITUTE(SUBSTITUTE(SUBSTITUTE(TRIM(SUBSTITUTE(INDEX(Charge!$B:$B,ROW()),CHAR(160)," "))&amp;" | "&amp;TRIM(SUBSTITUTE(INDEX(Charge!$C:$C,ROW()),CHAR(160)," "))&amp;" | "&amp;TRIM(SUBSTITUTE(INDEX(Charge!$D:$D,ROW()),CHAR(160)," ")),"~","-"),"*","+"),"?","!"),240),"")</f>
        <v>VEGA | Mise en conformité | Escalier d'accès</v>
      </c>
      <c r="EO24">
        <f>IF(EN24="",0,IF(COUNTIF($EN$4:EN24,EN24)=1,1,0))</f>
        <v>1</v>
      </c>
      <c r="EP24" s="166">
        <f>IF(EO24=1,ROUND(SUMIF($EN$4:$EN$503,EN24,$E$4:$E$503),2),"")</f>
        <v>50</v>
      </c>
      <c r="EQ24">
        <f>IF(EO24=1,COUNTIFS($EO$4:$EO$503,1,$EP$4:$EP$503,"&gt;"&amp;EP24)+COUNTIFS($EO$4:EO24,1,$EP$4:EP24,EP24),"")</f>
        <v>17</v>
      </c>
      <c r="ER24">
        <f>IF(EO24=1,COUNTIFS($EN$4:$EN$503,EN24,$EM$4:$EM$503,"Interne",$FE$4:$FE$503,1),"")</f>
        <v>0</v>
      </c>
      <c r="ES24">
        <f>IF(EO24=1,COUNTIFS($EN$4:$EN$503,EN24,$EM$4:$EM$503,"Externe",$FE$4:$FE$503,1),"")</f>
        <v>0</v>
      </c>
      <c r="ET24" t="str">
        <f>IF(EO24=1,IF(ER24+ES24=0,"à affecter",IF(ER24=0,ES24&amp;" ext.",(ER24+ES24)&amp;IF(ES24&gt;0," dont "&amp;ES24&amp;" ext.",""))&amp;IF(COUNTIFS($EN$4:$EN$503,EN24,$EM$4:$EM$503,"Non affecté")&gt;0," + à affecter","")),"")</f>
        <v>à affecter</v>
      </c>
      <c r="EU24" s="170">
        <f>IF(EO24=1,IF(EP24&gt;0,SUMPRODUCT(($EN$4:$EN$503=EN24)*$E$4:$E$503*$C$4:$C$503)/EP24,AVERAGEIF($EN$4:$EN$503,EN24,$C$4:$C$503)),"")</f>
        <v>0</v>
      </c>
      <c r="EV24" s="165">
        <f>IF(ISNUMBER(I24),I24,2958465)</f>
        <v>46447.0</v>
      </c>
      <c r="EW24" s="165">
        <f>IF(EO24=1,SUMPRODUCT(MIN(($EN$4:$EN$503=EN24)*$EV$4:$EV$503+($EN$4:$EN$503&lt;&gt;EN24)*2958465)),"")</f>
        <v>46447.0</v>
      </c>
      <c r="EX24" s="165">
        <f>IF(AND(D24=1,ISNUMBER(INDEX(Charge!$F:$F,ROW()))),INDEX(Charge!$F:$F,ROW()),0)</f>
        <v>46507.0</v>
      </c>
      <c r="EY24" s="165">
        <f>IF(EO24=1,SUMPRODUCT(MAX(($EN$4:$EN$503=EN24)*$EX$4:$EX$503)),"")</f>
        <v>46507.0</v>
      </c>
      <c r="FA24" t="str">
        <f>IF(21&lt;=$CD$23,INDEX($EJ$4:$EJ$203,21),IF(21-$CD$23&lt;=$CD$26,INDEX($EK$4:$EK$203,21-$CD$23),""))</f>
        <v/>
      </c>
      <c r="FB24" t="str">
        <f>IF(FA24="","",IF(21&lt;=$CD$23,"Interne","Externe"))</f>
        <v/>
      </c>
      <c r="FD24">
        <f>IF(AND(B24=1,TRIM(INDEX(Charge!$K:$K,ROW()))&lt;&gt;"",TRIM(INDEX(Charge!$L:$L,ROW()))&lt;&gt;""),1,0)</f>
        <v>0</v>
      </c>
      <c r="FE24">
        <f>IF(OR(EN24="",BZ24="(non affecté)"),0,IF(COUNTIFS($EN$4:EN24,EN24,$BZ$4:BZ24,BZ24)=1,1,0))</f>
        <v>0</v>
      </c>
    </row>
    <row r="25">
      <c r="A25">
        <f>ROW()</f>
        <v>25</v>
      </c>
      <c r="B25">
        <f>IF(TRIM(INDEX(Charge!$B:$B,ROW()))&lt;&gt;"",1,0)</f>
        <v>1</v>
      </c>
      <c r="C25">
        <f>IF(B25=1,MIN(1,MAX(0,N(INDEX(Charge!$O:$O,ROW())))),0)</f>
        <v>1</v>
      </c>
      <c r="D25">
        <f>IF(B25=1,IF(OR(p_Perimetre="Tous les projets",C25&lt;1),1,0),0)</f>
        <v>0</v>
      </c>
      <c r="E25">
        <f>IF(D25=1,MAX(0,N(INDEX(Charge!$M:$M,ROW()))),0)</f>
        <v>0</v>
      </c>
      <c r="F25" t="str">
        <f>IF(D25=1,IF(TRIM(INDEX(Charge!$A:$A,ROW()))="","(non renseigné)",TRIM(INDEX(Charge!$A:$A,ROW()))),"")</f>
        <v/>
      </c>
      <c r="G25" t="str">
        <f>IF(D25=1,TRIM(INDEX(Charge!$B:$B,ROW())),"")</f>
        <v/>
      </c>
      <c r="H25" t="str">
        <f>IF(D25=1,IF(TRIM(INDEX(Charge!$E:$E,ROW()))="","(non renseigné)",TRIM(INDEX(Charge!$E:$E,ROW()))),"")</f>
        <v/>
      </c>
      <c r="I25" s="165" t="str">
        <f>IF(AND(D25=1,ISNUMBER(INDEX(Charge!$N:$N,ROW()))),INDEX(Charge!$N:$N,ROW()),"")</f>
        <v/>
      </c>
      <c r="J25" s="165" t="str">
        <f>IF(I25="","",IF(AND(p_Repartition="Lissée jusqu'à la date de besoin",ISNUMBER(INDEX(Charge!$F:$F,ROW()))),IF(INDEX(Charge!$F:$F,ROW())&gt;=I25,INDEX(Charge!$F:$F,ROW()),I25),I25))</f>
        <v/>
      </c>
      <c r="K25" t="str">
        <f>IF(I25="","",NETWORKDAYS(I25,J25,Data!$K$4:$K$203))</f>
        <v/>
      </c>
      <c r="L25" t="str">
        <f>IF(D25=1,COUNTIFS($D$4:$D$503,1,$E$4:$E$503,"&gt;"&amp;E25)+COUNTIFS($D$4:$D25,1,$E$4:$E25,E25),"")</f>
        <v/>
      </c>
      <c r="M25">
        <f>IF(F25="",0,IF(COUNTIF($F$4:F25,F25)=1,1,0))</f>
        <v>0</v>
      </c>
      <c r="N25" t="str">
        <f>IF(M25=1,ROUND(SUMIF($F$4:$F$503,F25,$E$4:$E$503),2),"")</f>
        <v/>
      </c>
      <c r="O25" t="str">
        <f>IF(M25=1,COUNTIFS($M$4:$M$503,1,$N$4:$N$503,"&gt;"&amp;N25)+COUNTIFS($M$4:M25,1,$N$4:N25,N25),"")</f>
        <v/>
      </c>
      <c r="P25">
        <f>IF(G25="",0,IF(COUNTIF($G$4:G25,G25)=1,1,0))</f>
        <v>0</v>
      </c>
      <c r="Q25" t="str">
        <f>IF(P25=1,ROUND(SUMIF($G$4:$G$503,G25,$E$4:$E$503),2),"")</f>
        <v/>
      </c>
      <c r="R25" t="str">
        <f>IF(P25=1,COUNTIFS($P$4:$P$503,1,$Q$4:$Q$503,"&gt;"&amp;Q25)+COUNTIFS($P$4:P25,1,$Q$4:Q25,Q25),"")</f>
        <v/>
      </c>
      <c r="S25">
        <f>IF(H25="",0,IF(COUNTIF($H$4:H25,H25)=1,1,0))</f>
        <v>0</v>
      </c>
      <c r="T25" t="str">
        <f>IF(S25=1,ROUND(SUMIF($H$4:$H$503,H25,$E$4:$E$503),2),"")</f>
        <v/>
      </c>
      <c r="U25" t="str">
        <f>IF(S25=1,COUNTIFS($S$4:$S$503,1,$T$4:$T$503,"&gt;"&amp;T25)+COUNTIFS($S$4:S25,1,$T$4:T25,T25),"")</f>
        <v/>
      </c>
      <c r="V25" t="str">
        <f>IF(D25=1,MIN(INDEX($R$4:$R$503,MATCH(G25,$G$4:$G$503,0)),IF($AL$7&gt;9,9,999)),"")</f>
        <v/>
      </c>
      <c r="W25" s="166">
        <f>IF(OR($I25="",$E25=0),0,IF(OR($J25&lt;W$3,$I25&gt;W$2),0,IF($K25=0,IF(AND($I25&gt;=W$3,$I25&lt;=W$2),$E25,0),$E25*NETWORKDAYS(MAX($I25,W$3),MIN($J25,W$2),Data!$K$4:$K$203)/$K25)))</f>
        <v>0</v>
      </c>
      <c r="X25" s="166">
        <f>IF(OR($I25="",$E25=0),0,IF(OR($J25&lt;X$3,$I25&gt;X$2),0,IF($K25=0,IF(AND($I25&gt;=X$3,$I25&lt;=X$2),$E25,0),$E25*NETWORKDAYS(MAX($I25,X$3),MIN($J25,X$2),Data!$K$4:$K$203)/$K25)))</f>
        <v>0</v>
      </c>
      <c r="Y25" s="166">
        <f>IF(OR($I25="",$E25=0),0,IF(OR($J25&lt;Y$3,$I25&gt;Y$2),0,IF($K25=0,IF(AND($I25&gt;=Y$3,$I25&lt;=Y$2),$E25,0),$E25*NETWORKDAYS(MAX($I25,Y$3),MIN($J25,Y$2),Data!$K$4:$K$203)/$K25)))</f>
        <v>0</v>
      </c>
      <c r="Z25" s="166">
        <f>IF(OR($I25="",$E25=0),0,IF(OR($J25&lt;Z$3,$I25&gt;Z$2),0,IF($K25=0,IF(AND($I25&gt;=Z$3,$I25&lt;=Z$2),$E25,0),$E25*NETWORKDAYS(MAX($I25,Z$3),MIN($J25,Z$2),Data!$K$4:$K$203)/$K25)))</f>
        <v>0</v>
      </c>
      <c r="AA25" s="166">
        <f>IF(OR($I25="",$E25=0),0,IF(OR($J25&lt;AA$3,$I25&gt;AA$2),0,IF($K25=0,IF(AND($I25&gt;=AA$3,$I25&lt;=AA$2),$E25,0),$E25*NETWORKDAYS(MAX($I25,AA$3),MIN($J25,AA$2),Data!$K$4:$K$203)/$K25)))</f>
        <v>0</v>
      </c>
      <c r="AB25" s="166">
        <f>IF(OR($I25="",$E25=0),0,IF(OR($J25&lt;AB$3,$I25&gt;AB$2),0,IF($K25=0,IF(AND($I25&gt;=AB$3,$I25&lt;=AB$2),$E25,0),$E25*NETWORKDAYS(MAX($I25,AB$3),MIN($J25,AB$2),Data!$K$4:$K$203)/$K25)))</f>
        <v>0</v>
      </c>
      <c r="AC25" s="166">
        <f>IF(OR($I25="",$E25=0),0,IF(OR($J25&lt;AC$3,$I25&gt;AC$2),0,IF($K25=0,IF(AND($I25&gt;=AC$3,$I25&lt;=AC$2),$E25,0),$E25*NETWORKDAYS(MAX($I25,AC$3),MIN($J25,AC$2),Data!$K$4:$K$203)/$K25)))</f>
        <v>0</v>
      </c>
      <c r="AD25" s="166">
        <f>IF(OR($I25="",$E25=0),0,IF(OR($J25&lt;AD$3,$I25&gt;AD$2),0,IF($K25=0,IF(AND($I25&gt;=AD$3,$I25&lt;=AD$2),$E25,0),$E25*NETWORKDAYS(MAX($I25,AD$3),MIN($J25,AD$2),Data!$K$4:$K$203)/$K25)))</f>
        <v>0</v>
      </c>
      <c r="AE25" s="166">
        <f>IF(OR($I25="",$E25=0),0,IF(OR($J25&lt;AE$3,$I25&gt;AE$2),0,IF($K25=0,IF(AND($I25&gt;=AE$3,$I25&lt;=AE$2),$E25,0),$E25*NETWORKDAYS(MAX($I25,AE$3),MIN($J25,AE$2),Data!$K$4:$K$203)/$K25)))</f>
        <v>0</v>
      </c>
      <c r="AF25" s="166">
        <f>IF(OR($I25="",$E25=0),0,IF(OR($J25&lt;AF$3,$I25&gt;AF$2),0,IF($K25=0,IF(AND($I25&gt;=AF$3,$I25&lt;=AF$2),$E25,0),$E25*NETWORKDAYS(MAX($I25,AF$3),MIN($J25,AF$2),Data!$K$4:$K$203)/$K25)))</f>
        <v>0</v>
      </c>
      <c r="AG25" s="166">
        <f>IF(OR($I25="",$E25=0),0,IF(OR($J25&lt;AG$3,$I25&gt;AG$2),0,IF($K25=0,IF(AND($I25&gt;=AG$3,$I25&lt;=AG$2),$E25,0),$E25*NETWORKDAYS(MAX($I25,AG$3),MIN($J25,AG$2),Data!$K$4:$K$203)/$K25)))</f>
        <v>0</v>
      </c>
      <c r="AH25" s="166">
        <f>IF(OR($I25="",$E25=0),0,IF(OR($J25&lt;AH$3,$I25&gt;AH$2),0,IF($K25=0,IF(AND($I25&gt;=AH$3,$I25&lt;=AH$2),$E25,0),$E25*NETWORKDAYS(MAX($I25,AH$3),MIN($J25,AH$2),Data!$K$4:$K$203)/$K25)))</f>
        <v>0</v>
      </c>
      <c r="AI25" s="166">
        <f>SUM(W25:AH25)</f>
        <v>0</v>
      </c>
      <c r="AK25" t="inlineStr">
        <is>
          <t>Dernier mois affiché</t>
        </is>
      </c>
      <c r="AL25" s="161">
        <f>EDATE(AL14,11)</f>
        <v>46600.0</v>
      </c>
      <c r="BW25" t="n">
        <v>22</v>
      </c>
      <c r="BX25" t="str">
        <f>IFERROR(MATCH(BW25,$EQ$4:$EQ$503,0),"")</f>
        <v/>
      </c>
      <c r="BZ25" t="str">
        <f>IF(D25=1,IF(TRIM(INDEX(Charge!$K:$K,ROW()))&lt;&gt;"",TRIM(INDEX(Charge!$K:$K,ROW())),IF(TRIM(INDEX(Charge!$L:$L,ROW()))&lt;&gt;"",TRIM(INDEX(Charge!$L:$L,ROW())),"(non affecté)")),"")</f>
        <v/>
      </c>
      <c r="CA25" t="str">
        <f>IF(AND($CD$4&lt;&gt;"",BZ25=$CD$4),COUNTIFS($BZ$4:$BZ$503,$CD$4,$L$4:$L$503,"&lt;"&amp;L25)+1,"")</f>
        <v/>
      </c>
      <c r="CC25" t="inlineStr">
        <is>
          <t>Type de ressource</t>
        </is>
      </c>
      <c r="CD25" t="str">
        <f>IF(CD4="","",IF(CD5&gt;0,"Interne",IF(CD24&gt;0,"Externe","Hors liste")))</f>
        <v>Interne</v>
      </c>
      <c r="EJ25" t="str">
        <f>TRIM(INDEX(Data!$E:$E,ROW()))</f>
        <v/>
      </c>
      <c r="EK25" t="str">
        <f>TRIM(INDEX(Data!$H:$H,ROW()))</f>
        <v/>
      </c>
      <c r="EM25" t="str">
        <f>IF(D25=1,IF(TRIM(INDEX(Charge!$K:$K,ROW()))&lt;&gt;"","Interne",IF(TRIM(INDEX(Charge!$L:$L,ROW()))&lt;&gt;"","Externe","Non affecté")),"")</f>
        <v/>
      </c>
      <c r="EN25" t="str">
        <f>IF(D25=1,LEFT(SUBSTITUTE(SUBSTITUTE(SUBSTITUTE(TRIM(SUBSTITUTE(INDEX(Charge!$B:$B,ROW()),CHAR(160)," "))&amp;" | "&amp;TRIM(SUBSTITUTE(INDEX(Charge!$C:$C,ROW()),CHAR(160)," "))&amp;" | "&amp;TRIM(SUBSTITUTE(INDEX(Charge!$D:$D,ROW()),CHAR(160)," ")),"~","-"),"*","+"),"?","!"),240),"")</f>
        <v/>
      </c>
      <c r="EO25">
        <f>IF(EN25="",0,IF(COUNTIF($EN$4:EN25,EN25)=1,1,0))</f>
        <v>0</v>
      </c>
      <c r="EP25" s="166" t="str">
        <f>IF(EO25=1,ROUND(SUMIF($EN$4:$EN$503,EN25,$E$4:$E$503),2),"")</f>
        <v/>
      </c>
      <c r="EQ25" t="str">
        <f>IF(EO25=1,COUNTIFS($EO$4:$EO$503,1,$EP$4:$EP$503,"&gt;"&amp;EP25)+COUNTIFS($EO$4:EO25,1,$EP$4:EP25,EP25),"")</f>
        <v/>
      </c>
      <c r="ER25" t="str">
        <f>IF(EO25=1,COUNTIFS($EN$4:$EN$503,EN25,$EM$4:$EM$503,"Interne",$FE$4:$FE$503,1),"")</f>
        <v/>
      </c>
      <c r="ES25" t="str">
        <f>IF(EO25=1,COUNTIFS($EN$4:$EN$503,EN25,$EM$4:$EM$503,"Externe",$FE$4:$FE$503,1),"")</f>
        <v/>
      </c>
      <c r="ET25" t="str">
        <f>IF(EO25=1,IF(ER25+ES25=0,"à affecter",IF(ER25=0,ES25&amp;" ext.",(ER25+ES25)&amp;IF(ES25&gt;0," dont "&amp;ES25&amp;" ext.",""))&amp;IF(COUNTIFS($EN$4:$EN$503,EN25,$EM$4:$EM$503,"Non affecté")&gt;0," + à affecter","")),"")</f>
        <v/>
      </c>
      <c r="EU25" s="170" t="str">
        <f>IF(EO25=1,IF(EP25&gt;0,SUMPRODUCT(($EN$4:$EN$503=EN25)*$E$4:$E$503*$C$4:$C$503)/EP25,AVERAGEIF($EN$4:$EN$503,EN25,$C$4:$C$503)),"")</f>
        <v/>
      </c>
      <c r="EV25" s="165">
        <f>IF(ISNUMBER(I25),I25,2958465)</f>
        <v>2958465.0</v>
      </c>
      <c r="EW25" s="165" t="str">
        <f>IF(EO25=1,SUMPRODUCT(MIN(($EN$4:$EN$503=EN25)*$EV$4:$EV$503+($EN$4:$EN$503&lt;&gt;EN25)*2958465)),"")</f>
        <v/>
      </c>
      <c r="EX25" s="165">
        <f>IF(AND(D25=1,ISNUMBER(INDEX(Charge!$F:$F,ROW()))),INDEX(Charge!$F:$F,ROW()),0)</f>
        <v>0.0</v>
      </c>
      <c r="EY25" s="165" t="str">
        <f>IF(EO25=1,SUMPRODUCT(MAX(($EN$4:$EN$503=EN25)*$EX$4:$EX$503)),"")</f>
        <v/>
      </c>
      <c r="FA25" t="str">
        <f>IF(22&lt;=$CD$23,INDEX($EJ$4:$EJ$203,22),IF(22-$CD$23&lt;=$CD$26,INDEX($EK$4:$EK$203,22-$CD$23),""))</f>
        <v/>
      </c>
      <c r="FB25" t="str">
        <f>IF(FA25="","",IF(22&lt;=$CD$23,"Interne","Externe"))</f>
        <v/>
      </c>
      <c r="FD25">
        <f>IF(AND(B25=1,TRIM(INDEX(Charge!$K:$K,ROW()))&lt;&gt;"",TRIM(INDEX(Charge!$L:$L,ROW()))&lt;&gt;""),1,0)</f>
        <v>0</v>
      </c>
      <c r="FE25">
        <f>IF(OR(EN25="",BZ25="(non affecté)"),0,IF(COUNTIFS($EN$4:EN25,EN25,$BZ$4:BZ25,BZ25)=1,1,0))</f>
        <v>0</v>
      </c>
    </row>
    <row r="26">
      <c r="A26">
        <f>ROW()</f>
        <v>26</v>
      </c>
      <c r="B26">
        <f>IF(TRIM(INDEX(Charge!$B:$B,ROW()))&lt;&gt;"",1,0)</f>
        <v>1</v>
      </c>
      <c r="C26">
        <f>IF(B26=1,MIN(1,MAX(0,N(INDEX(Charge!$O:$O,ROW())))),0)</f>
        <v>0</v>
      </c>
      <c r="D26">
        <f>IF(B26=1,IF(OR(p_Perimetre="Tous les projets",C26&lt;1),1,0),0)</f>
        <v>1</v>
      </c>
      <c r="E26">
        <f>IF(D26=1,MAX(0,N(INDEX(Charge!$M:$M,ROW()))),0)</f>
        <v>120</v>
      </c>
      <c r="F26" t="str">
        <f>IF(D26=1,IF(TRIM(INDEX(Charge!$A:$A,ROW()))="","(non renseigné)",TRIM(INDEX(Charge!$A:$A,ROW()))),"")</f>
        <v>Thomas Bernard</v>
      </c>
      <c r="G26" t="str">
        <f>IF(D26=1,TRIM(INDEX(Charge!$B:$B,ROW())),"")</f>
        <v>DELTA</v>
      </c>
      <c r="H26" t="str">
        <f>IF(D26=1,IF(TRIM(INDEX(Charge!$E:$E,ROW()))="","(non renseigné)",TRIM(INDEX(Charge!$E:$E,ROW()))),"")</f>
        <v>Étude de conception</v>
      </c>
      <c r="I26" s="165">
        <f>IF(AND(D26=1,ISNUMBER(INDEX(Charge!$N:$N,ROW()))),INDEX(Charge!$N:$N,ROW()),"")</f>
        <v>46510.0</v>
      </c>
      <c r="J26" s="165">
        <f>IF(I26="","",IF(AND(p_Repartition="Lissée jusqu'à la date de besoin",ISNUMBER(INDEX(Charge!$F:$F,ROW()))),IF(INDEX(Charge!$F:$F,ROW())&gt;=I26,INDEX(Charge!$F:$F,ROW()),I26),I26))</f>
        <v>46626.0</v>
      </c>
      <c r="K26">
        <f>IF(I26="","",NETWORKDAYS(I26,J26,Data!$K$4:$K$203))</f>
        <v>85</v>
      </c>
      <c r="L26">
        <f>IF(D26=1,COUNTIFS($D$4:$D$503,1,$E$4:$E$503,"&gt;"&amp;E26)+COUNTIFS($D$4:$D26,1,$E$4:$E26,E26),"")</f>
        <v>15</v>
      </c>
      <c r="M26">
        <f>IF(F26="",0,IF(COUNTIF($F$4:F26,F26)=1,1,0))</f>
        <v>0</v>
      </c>
      <c r="N26" t="str">
        <f>IF(M26=1,ROUND(SUMIF($F$4:$F$503,F26,$E$4:$E$503),2),"")</f>
        <v/>
      </c>
      <c r="O26" t="str">
        <f>IF(M26=1,COUNTIFS($M$4:$M$503,1,$N$4:$N$503,"&gt;"&amp;N26)+COUNTIFS($M$4:M26,1,$N$4:N26,N26),"")</f>
        <v/>
      </c>
      <c r="P26">
        <f>IF(G26="",0,IF(COUNTIF($G$4:G26,G26)=1,1,0))</f>
        <v>0</v>
      </c>
      <c r="Q26" t="str">
        <f>IF(P26=1,ROUND(SUMIF($G$4:$G$503,G26,$E$4:$E$503),2),"")</f>
        <v/>
      </c>
      <c r="R26" t="str">
        <f>IF(P26=1,COUNTIFS($P$4:$P$503,1,$Q$4:$Q$503,"&gt;"&amp;Q26)+COUNTIFS($P$4:P26,1,$Q$4:Q26,Q26),"")</f>
        <v/>
      </c>
      <c r="S26">
        <f>IF(H26="",0,IF(COUNTIF($H$4:H26,H26)=1,1,0))</f>
        <v>0</v>
      </c>
      <c r="T26" t="str">
        <f>IF(S26=1,ROUND(SUMIF($H$4:$H$503,H26,$E$4:$E$503),2),"")</f>
        <v/>
      </c>
      <c r="U26" t="str">
        <f>IF(S26=1,COUNTIFS($S$4:$S$503,1,$T$4:$T$503,"&gt;"&amp;T26)+COUNTIFS($S$4:S26,1,$T$4:T26,T26),"")</f>
        <v/>
      </c>
      <c r="V26">
        <f>IF(D26=1,MIN(INDEX($R$4:$R$503,MATCH(G26,$G$4:$G$503,0)),IF($AL$7&gt;9,9,999)),"")</f>
        <v>3</v>
      </c>
      <c r="W26" s="166">
        <f>IF(OR($I26="",$E26=0),0,IF(OR($J26&lt;W$3,$I26&gt;W$2),0,IF($K26=0,IF(AND($I26&gt;=W$3,$I26&lt;=W$2),$E26,0),$E26*NETWORKDAYS(MAX($I26,W$3),MIN($J26,W$2),Data!$K$4:$K$203)/$K26)))</f>
        <v>0</v>
      </c>
      <c r="X26" s="166">
        <f>IF(OR($I26="",$E26=0),0,IF(OR($J26&lt;X$3,$I26&gt;X$2),0,IF($K26=0,IF(AND($I26&gt;=X$3,$I26&lt;=X$2),$E26,0),$E26*NETWORKDAYS(MAX($I26,X$3),MIN($J26,X$2),Data!$K$4:$K$203)/$K26)))</f>
        <v>0</v>
      </c>
      <c r="Y26" s="166">
        <f>IF(OR($I26="",$E26=0),0,IF(OR($J26&lt;Y$3,$I26&gt;Y$2),0,IF($K26=0,IF(AND($I26&gt;=Y$3,$I26&lt;=Y$2),$E26,0),$E26*NETWORKDAYS(MAX($I26,Y$3),MIN($J26,Y$2),Data!$K$4:$K$203)/$K26)))</f>
        <v>0</v>
      </c>
      <c r="Z26" s="166">
        <f>IF(OR($I26="",$E26=0),0,IF(OR($J26&lt;Z$3,$I26&gt;Z$2),0,IF($K26=0,IF(AND($I26&gt;=Z$3,$I26&lt;=Z$2),$E26,0),$E26*NETWORKDAYS(MAX($I26,Z$3),MIN($J26,Z$2),Data!$K$4:$K$203)/$K26)))</f>
        <v>0</v>
      </c>
      <c r="AA26" s="166">
        <f>IF(OR($I26="",$E26=0),0,IF(OR($J26&lt;AA$3,$I26&gt;AA$2),0,IF($K26=0,IF(AND($I26&gt;=AA$3,$I26&lt;=AA$2),$E26,0),$E26*NETWORKDAYS(MAX($I26,AA$3),MIN($J26,AA$2),Data!$K$4:$K$203)/$K26)))</f>
        <v>0</v>
      </c>
      <c r="AB26" s="166">
        <f>IF(OR($I26="",$E26=0),0,IF(OR($J26&lt;AB$3,$I26&gt;AB$2),0,IF($K26=0,IF(AND($I26&gt;=AB$3,$I26&lt;=AB$2),$E26,0),$E26*NETWORKDAYS(MAX($I26,AB$3),MIN($J26,AB$2),Data!$K$4:$K$203)/$K26)))</f>
        <v>0</v>
      </c>
      <c r="AC26" s="166">
        <f>IF(OR($I26="",$E26=0),0,IF(OR($J26&lt;AC$3,$I26&gt;AC$2),0,IF($K26=0,IF(AND($I26&gt;=AC$3,$I26&lt;=AC$2),$E26,0),$E26*NETWORKDAYS(MAX($I26,AC$3),MIN($J26,AC$2),Data!$K$4:$K$203)/$K26)))</f>
        <v>0</v>
      </c>
      <c r="AD26" s="166">
        <f>IF(OR($I26="",$E26=0),0,IF(OR($J26&lt;AD$3,$I26&gt;AD$2),0,IF($K26=0,IF(AND($I26&gt;=AD$3,$I26&lt;=AD$2),$E26,0),$E26*NETWORKDAYS(MAX($I26,AD$3),MIN($J26,AD$2),Data!$K$4:$K$203)/$K26)))</f>
        <v>0</v>
      </c>
      <c r="AE26" s="166">
        <f>IF(OR($I26="",$E26=0),0,IF(OR($J26&lt;AE$3,$I26&gt;AE$2),0,IF($K26=0,IF(AND($I26&gt;=AE$3,$I26&lt;=AE$2),$E26,0),$E26*NETWORKDAYS(MAX($I26,AE$3),MIN($J26,AE$2),Data!$K$4:$K$203)/$K26)))</f>
        <v>29.6470588235294</v>
      </c>
      <c r="AF26" s="166">
        <f>IF(OR($I26="",$E26=0),0,IF(OR($J26&lt;AF$3,$I26&gt;AF$2),0,IF($K26=0,IF(AND($I26&gt;=AF$3,$I26&lt;=AF$2),$E26,0),$E26*NETWORKDAYS(MAX($I26,AF$3),MIN($J26,AF$2),Data!$K$4:$K$203)/$K26)))</f>
        <v>31.0588235294118</v>
      </c>
      <c r="AG26" s="166">
        <f>IF(OR($I26="",$E26=0),0,IF(OR($J26&lt;AG$3,$I26&gt;AG$2),0,IF($K26=0,IF(AND($I26&gt;=AG$3,$I26&lt;=AG$2),$E26,0),$E26*NETWORKDAYS(MAX($I26,AG$3),MIN($J26,AG$2),Data!$K$4:$K$203)/$K26)))</f>
        <v>31.0588235294118</v>
      </c>
      <c r="AH26" s="166">
        <f>IF(OR($I26="",$E26=0),0,IF(OR($J26&lt;AH$3,$I26&gt;AH$2),0,IF($K26=0,IF(AND($I26&gt;=AH$3,$I26&lt;=AH$2),$E26,0),$E26*NETWORKDAYS(MAX($I26,AH$3),MIN($J26,AH$2),Data!$K$4:$K$203)/$K26)))</f>
        <v>28.2352941176471</v>
      </c>
      <c r="AI26" s="166">
        <f>SUM(W26:AH26)</f>
        <v>120</v>
      </c>
      <c r="AK26" t="inlineStr">
        <is>
          <t>Part du mois de pic dans la charge de la période</t>
        </is>
      </c>
      <c r="AL26" s="170">
        <f>IF(AL15=0,0,AL17/AL15)</f>
        <v>0.150174619500457</v>
      </c>
      <c r="BW26" t="n">
        <v>23</v>
      </c>
      <c r="BX26" t="str">
        <f>IFERROR(MATCH(BW26,$EQ$4:$EQ$503,0),"")</f>
        <v/>
      </c>
      <c r="BZ26" t="str">
        <f>IF(D26=1,IF(TRIM(INDEX(Charge!$K:$K,ROW()))&lt;&gt;"",TRIM(INDEX(Charge!$K:$K,ROW())),IF(TRIM(INDEX(Charge!$L:$L,ROW()))&lt;&gt;"",TRIM(INDEX(Charge!$L:$L,ROW())),"(non affecté)")),"")</f>
        <v>Emma Faure</v>
      </c>
      <c r="CA26" t="str">
        <f>IF(AND($CD$4&lt;&gt;"",BZ26=$CD$4),COUNTIFS($BZ$4:$BZ$503,$CD$4,$L$4:$L$503,"&lt;"&amp;L26)+1,"")</f>
        <v/>
      </c>
      <c r="CC26" t="inlineStr">
        <is>
          <t>Nombre de ressources externes dans la liste Data</t>
        </is>
      </c>
      <c r="CD26" s="171">
        <f>COUNTA(Data!$H$4:$H$203)</f>
        <v>3</v>
      </c>
      <c r="EJ26" t="str">
        <f>TRIM(INDEX(Data!$E:$E,ROW()))</f>
        <v/>
      </c>
      <c r="EK26" t="str">
        <f>TRIM(INDEX(Data!$H:$H,ROW()))</f>
        <v/>
      </c>
      <c r="EM26" t="str">
        <f>IF(D26=1,IF(TRIM(INDEX(Charge!$K:$K,ROW()))&lt;&gt;"","Interne",IF(TRIM(INDEX(Charge!$L:$L,ROW()))&lt;&gt;"","Externe","Non affecté")),"")</f>
        <v>Interne</v>
      </c>
      <c r="EN26" t="str">
        <f>IF(D26=1,LEFT(SUBSTITUTE(SUBSTITUTE(SUBSTITUTE(TRIM(SUBSTITUTE(INDEX(Charge!$B:$B,ROW()),CHAR(160)," "))&amp;" | "&amp;TRIM(SUBSTITUTE(INDEX(Charge!$C:$C,ROW()),CHAR(160)," "))&amp;" | "&amp;TRIM(SUBSTITUTE(INDEX(Charge!$D:$D,ROW()),CHAR(160)," ")),"~","-"),"*","+"),"?","!"),240),"")</f>
        <v>DELTA | Lot unique | Habillage</v>
      </c>
      <c r="EO26">
        <f>IF(EN26="",0,IF(COUNTIF($EN$4:EN26,EN26)=1,1,0))</f>
        <v>1</v>
      </c>
      <c r="EP26" s="166">
        <f>IF(EO26=1,ROUND(SUMIF($EN$4:$EN$503,EN26,$E$4:$E$503),2),"")</f>
        <v>200</v>
      </c>
      <c r="EQ26">
        <f>IF(EO26=1,COUNTIFS($EO$4:$EO$503,1,$EP$4:$EP$503,"&gt;"&amp;EP26)+COUNTIFS($EO$4:EO26,1,$EP$4:EP26,EP26),"")</f>
        <v>8</v>
      </c>
      <c r="ER26">
        <f>IF(EO26=1,COUNTIFS($EN$4:$EN$503,EN26,$EM$4:$EM$503,"Interne",$FE$4:$FE$503,1),"")</f>
        <v>1</v>
      </c>
      <c r="ES26">
        <f>IF(EO26=1,COUNTIFS($EN$4:$EN$503,EN26,$EM$4:$EM$503,"Externe",$FE$4:$FE$503,1),"")</f>
        <v>1</v>
      </c>
      <c r="ET26" t="str">
        <f>IF(EO26=1,IF(ER26+ES26=0,"à affecter",IF(ER26=0,ES26&amp;" ext.",(ER26+ES26)&amp;IF(ES26&gt;0," dont "&amp;ES26&amp;" ext.",""))&amp;IF(COUNTIFS($EN$4:$EN$503,EN26,$EM$4:$EM$503,"Non affecté")&gt;0," + à affecter","")),"")</f>
        <v>2 dont 1 ext.</v>
      </c>
      <c r="EU26" s="170">
        <f>IF(EO26=1,IF(EP26&gt;0,SUMPRODUCT(($EN$4:$EN$503=EN26)*$E$4:$E$503*$C$4:$C$503)/EP26,AVERAGEIF($EN$4:$EN$503,EN26,$C$4:$C$503)),"")</f>
        <v>0</v>
      </c>
      <c r="EV26" s="165">
        <f>IF(ISNUMBER(I26),I26,2958465)</f>
        <v>46510.0</v>
      </c>
      <c r="EW26" s="165">
        <f>IF(EO26=1,SUMPRODUCT(MIN(($EN$4:$EN$503=EN26)*$EV$4:$EV$503+($EN$4:$EN$503&lt;&gt;EN26)*2958465)),"")</f>
        <v>46510.0</v>
      </c>
      <c r="EX26" s="165">
        <f>IF(AND(D26=1,ISNUMBER(INDEX(Charge!$F:$F,ROW()))),INDEX(Charge!$F:$F,ROW()),0)</f>
        <v>46626.0</v>
      </c>
      <c r="EY26" s="165">
        <f>IF(EO26=1,SUMPRODUCT(MAX(($EN$4:$EN$503=EN26)*$EX$4:$EX$503)),"")</f>
        <v>46626.0</v>
      </c>
      <c r="FA26" t="str">
        <f>IF(23&lt;=$CD$23,INDEX($EJ$4:$EJ$203,23),IF(23-$CD$23&lt;=$CD$26,INDEX($EK$4:$EK$203,23-$CD$23),""))</f>
        <v/>
      </c>
      <c r="FB26" t="str">
        <f>IF(FA26="","",IF(23&lt;=$CD$23,"Interne","Externe"))</f>
        <v/>
      </c>
      <c r="FD26">
        <f>IF(AND(B26=1,TRIM(INDEX(Charge!$K:$K,ROW()))&lt;&gt;"",TRIM(INDEX(Charge!$L:$L,ROW()))&lt;&gt;""),1,0)</f>
        <v>0</v>
      </c>
      <c r="FE26">
        <f>IF(OR(EN26="",BZ26="(non affecté)"),0,IF(COUNTIFS($EN$4:EN26,EN26,$BZ$4:BZ26,BZ26)=1,1,0))</f>
        <v>1</v>
      </c>
    </row>
    <row r="27">
      <c r="A27">
        <f>ROW()</f>
        <v>27</v>
      </c>
      <c r="B27">
        <f>IF(TRIM(INDEX(Charge!$B:$B,ROW()))&lt;&gt;"",1,0)</f>
        <v>1</v>
      </c>
      <c r="C27">
        <f>IF(B27=1,MIN(1,MAX(0,N(INDEX(Charge!$O:$O,ROW())))),0)</f>
        <v>0</v>
      </c>
      <c r="D27">
        <f>IF(B27=1,IF(OR(p_Perimetre="Tous les projets",C27&lt;1),1,0),0)</f>
        <v>1</v>
      </c>
      <c r="E27">
        <f>IF(D27=1,MAX(0,N(INDEX(Charge!$M:$M,ROW()))),0)</f>
        <v>80</v>
      </c>
      <c r="F27" t="str">
        <f>IF(D27=1,IF(TRIM(INDEX(Charge!$A:$A,ROW()))="","(non renseigné)",TRIM(INDEX(Charge!$A:$A,ROW()))),"")</f>
        <v>Thomas Bernard</v>
      </c>
      <c r="G27" t="str">
        <f>IF(D27=1,TRIM(INDEX(Charge!$B:$B,ROW())),"")</f>
        <v>DELTA</v>
      </c>
      <c r="H27" t="str">
        <f>IF(D27=1,IF(TRIM(INDEX(Charge!$E:$E,ROW()))="","(non renseigné)",TRIM(INDEX(Charge!$E:$E,ROW()))),"")</f>
        <v>Étude de conception</v>
      </c>
      <c r="I27" s="165">
        <f>IF(AND(D27=1,ISNUMBER(INDEX(Charge!$N:$N,ROW()))),INDEX(Charge!$N:$N,ROW()),"")</f>
        <v>46510.0</v>
      </c>
      <c r="J27" s="165">
        <f>IF(I27="","",IF(AND(p_Repartition="Lissée jusqu'à la date de besoin",ISNUMBER(INDEX(Charge!$F:$F,ROW()))),IF(INDEX(Charge!$F:$F,ROW())&gt;=I27,INDEX(Charge!$F:$F,ROW()),I27),I27))</f>
        <v>46626.0</v>
      </c>
      <c r="K27">
        <f>IF(I27="","",NETWORKDAYS(I27,J27,Data!$K$4:$K$203))</f>
        <v>85</v>
      </c>
      <c r="L27">
        <f>IF(D27=1,COUNTIFS($D$4:$D$503,1,$E$4:$E$503,"&gt;"&amp;E27)+COUNTIFS($D$4:$D27,1,$E$4:$E27,E27),"")</f>
        <v>19</v>
      </c>
      <c r="M27">
        <f>IF(F27="",0,IF(COUNTIF($F$4:F27,F27)=1,1,0))</f>
        <v>0</v>
      </c>
      <c r="N27" t="str">
        <f>IF(M27=1,ROUND(SUMIF($F$4:$F$503,F27,$E$4:$E$503),2),"")</f>
        <v/>
      </c>
      <c r="O27" t="str">
        <f>IF(M27=1,COUNTIFS($M$4:$M$503,1,$N$4:$N$503,"&gt;"&amp;N27)+COUNTIFS($M$4:M27,1,$N$4:N27,N27),"")</f>
        <v/>
      </c>
      <c r="P27">
        <f>IF(G27="",0,IF(COUNTIF($G$4:G27,G27)=1,1,0))</f>
        <v>0</v>
      </c>
      <c r="Q27" t="str">
        <f>IF(P27=1,ROUND(SUMIF($G$4:$G$503,G27,$E$4:$E$503),2),"")</f>
        <v/>
      </c>
      <c r="R27" t="str">
        <f>IF(P27=1,COUNTIFS($P$4:$P$503,1,$Q$4:$Q$503,"&gt;"&amp;Q27)+COUNTIFS($P$4:P27,1,$Q$4:Q27,Q27),"")</f>
        <v/>
      </c>
      <c r="S27">
        <f>IF(H27="",0,IF(COUNTIF($H$4:H27,H27)=1,1,0))</f>
        <v>0</v>
      </c>
      <c r="T27" t="str">
        <f>IF(S27=1,ROUND(SUMIF($H$4:$H$503,H27,$E$4:$E$503),2),"")</f>
        <v/>
      </c>
      <c r="U27" t="str">
        <f>IF(S27=1,COUNTIFS($S$4:$S$503,1,$T$4:$T$503,"&gt;"&amp;T27)+COUNTIFS($S$4:S27,1,$T$4:T27,T27),"")</f>
        <v/>
      </c>
      <c r="V27">
        <f>IF(D27=1,MIN(INDEX($R$4:$R$503,MATCH(G27,$G$4:$G$503,0)),IF($AL$7&gt;9,9,999)),"")</f>
        <v>3</v>
      </c>
      <c r="W27" s="166">
        <f>IF(OR($I27="",$E27=0),0,IF(OR($J27&lt;W$3,$I27&gt;W$2),0,IF($K27=0,IF(AND($I27&gt;=W$3,$I27&lt;=W$2),$E27,0),$E27*NETWORKDAYS(MAX($I27,W$3),MIN($J27,W$2),Data!$K$4:$K$203)/$K27)))</f>
        <v>0</v>
      </c>
      <c r="X27" s="166">
        <f>IF(OR($I27="",$E27=0),0,IF(OR($J27&lt;X$3,$I27&gt;X$2),0,IF($K27=0,IF(AND($I27&gt;=X$3,$I27&lt;=X$2),$E27,0),$E27*NETWORKDAYS(MAX($I27,X$3),MIN($J27,X$2),Data!$K$4:$K$203)/$K27)))</f>
        <v>0</v>
      </c>
      <c r="Y27" s="166">
        <f>IF(OR($I27="",$E27=0),0,IF(OR($J27&lt;Y$3,$I27&gt;Y$2),0,IF($K27=0,IF(AND($I27&gt;=Y$3,$I27&lt;=Y$2),$E27,0),$E27*NETWORKDAYS(MAX($I27,Y$3),MIN($J27,Y$2),Data!$K$4:$K$203)/$K27)))</f>
        <v>0</v>
      </c>
      <c r="Z27" s="166">
        <f>IF(OR($I27="",$E27=0),0,IF(OR($J27&lt;Z$3,$I27&gt;Z$2),0,IF($K27=0,IF(AND($I27&gt;=Z$3,$I27&lt;=Z$2),$E27,0),$E27*NETWORKDAYS(MAX($I27,Z$3),MIN($J27,Z$2),Data!$K$4:$K$203)/$K27)))</f>
        <v>0</v>
      </c>
      <c r="AA27" s="166">
        <f>IF(OR($I27="",$E27=0),0,IF(OR($J27&lt;AA$3,$I27&gt;AA$2),0,IF($K27=0,IF(AND($I27&gt;=AA$3,$I27&lt;=AA$2),$E27,0),$E27*NETWORKDAYS(MAX($I27,AA$3),MIN($J27,AA$2),Data!$K$4:$K$203)/$K27)))</f>
        <v>0</v>
      </c>
      <c r="AB27" s="166">
        <f>IF(OR($I27="",$E27=0),0,IF(OR($J27&lt;AB$3,$I27&gt;AB$2),0,IF($K27=0,IF(AND($I27&gt;=AB$3,$I27&lt;=AB$2),$E27,0),$E27*NETWORKDAYS(MAX($I27,AB$3),MIN($J27,AB$2),Data!$K$4:$K$203)/$K27)))</f>
        <v>0</v>
      </c>
      <c r="AC27" s="166">
        <f>IF(OR($I27="",$E27=0),0,IF(OR($J27&lt;AC$3,$I27&gt;AC$2),0,IF($K27=0,IF(AND($I27&gt;=AC$3,$I27&lt;=AC$2),$E27,0),$E27*NETWORKDAYS(MAX($I27,AC$3),MIN($J27,AC$2),Data!$K$4:$K$203)/$K27)))</f>
        <v>0</v>
      </c>
      <c r="AD27" s="166">
        <f>IF(OR($I27="",$E27=0),0,IF(OR($J27&lt;AD$3,$I27&gt;AD$2),0,IF($K27=0,IF(AND($I27&gt;=AD$3,$I27&lt;=AD$2),$E27,0),$E27*NETWORKDAYS(MAX($I27,AD$3),MIN($J27,AD$2),Data!$K$4:$K$203)/$K27)))</f>
        <v>0</v>
      </c>
      <c r="AE27" s="166">
        <f>IF(OR($I27="",$E27=0),0,IF(OR($J27&lt;AE$3,$I27&gt;AE$2),0,IF($K27=0,IF(AND($I27&gt;=AE$3,$I27&lt;=AE$2),$E27,0),$E27*NETWORKDAYS(MAX($I27,AE$3),MIN($J27,AE$2),Data!$K$4:$K$203)/$K27)))</f>
        <v>19.7647058823529</v>
      </c>
      <c r="AF27" s="166">
        <f>IF(OR($I27="",$E27=0),0,IF(OR($J27&lt;AF$3,$I27&gt;AF$2),0,IF($K27=0,IF(AND($I27&gt;=AF$3,$I27&lt;=AF$2),$E27,0),$E27*NETWORKDAYS(MAX($I27,AF$3),MIN($J27,AF$2),Data!$K$4:$K$203)/$K27)))</f>
        <v>20.7058823529412</v>
      </c>
      <c r="AG27" s="166">
        <f>IF(OR($I27="",$E27=0),0,IF(OR($J27&lt;AG$3,$I27&gt;AG$2),0,IF($K27=0,IF(AND($I27&gt;=AG$3,$I27&lt;=AG$2),$E27,0),$E27*NETWORKDAYS(MAX($I27,AG$3),MIN($J27,AG$2),Data!$K$4:$K$203)/$K27)))</f>
        <v>20.7058823529412</v>
      </c>
      <c r="AH27" s="166">
        <f>IF(OR($I27="",$E27=0),0,IF(OR($J27&lt;AH$3,$I27&gt;AH$2),0,IF($K27=0,IF(AND($I27&gt;=AH$3,$I27&lt;=AH$2),$E27,0),$E27*NETWORKDAYS(MAX($I27,AH$3),MIN($J27,AH$2),Data!$K$4:$K$203)/$K27)))</f>
        <v>18.8235294117647</v>
      </c>
      <c r="AI27" s="166">
        <f>SUM(W27:AH27)</f>
        <v>80</v>
      </c>
      <c r="BW27" t="n">
        <v>24</v>
      </c>
      <c r="BX27" t="str">
        <f>IFERROR(MATCH(BW27,$EQ$4:$EQ$503,0),"")</f>
        <v/>
      </c>
      <c r="BZ27" t="str">
        <f>IF(D27=1,IF(TRIM(INDEX(Charge!$K:$K,ROW()))&lt;&gt;"",TRIM(INDEX(Charge!$K:$K,ROW())),IF(TRIM(INDEX(Charge!$L:$L,ROW()))&lt;&gt;"",TRIM(INDEX(Charge!$L:$L,ROW())),"(non affecté)")),"")</f>
        <v>Inès Morel</v>
      </c>
      <c r="CA27" t="str">
        <f>IF(AND($CD$4&lt;&gt;"",BZ27=$CD$4),COUNTIFS($BZ$4:$BZ$503,$CD$4,$L$4:$L$503,"&lt;"&amp;L27)+1,"")</f>
        <v/>
      </c>
      <c r="CC27" t="inlineStr">
        <is>
          <t>Lignes avec un dessinateur ET une ressource externe (à corriger)</t>
        </is>
      </c>
      <c r="CD27" s="171">
        <f>SUM(FD4:FD503)</f>
        <v>0</v>
      </c>
      <c r="EJ27" t="str">
        <f>TRIM(INDEX(Data!$E:$E,ROW()))</f>
        <v/>
      </c>
      <c r="EK27" t="str">
        <f>TRIM(INDEX(Data!$H:$H,ROW()))</f>
        <v/>
      </c>
      <c r="EM27" t="str">
        <f>IF(D27=1,IF(TRIM(INDEX(Charge!$K:$K,ROW()))&lt;&gt;"","Interne",IF(TRIM(INDEX(Charge!$L:$L,ROW()))&lt;&gt;"","Externe","Non affecté")),"")</f>
        <v>Externe</v>
      </c>
      <c r="EN27" t="str">
        <f>IF(D27=1,LEFT(SUBSTITUTE(SUBSTITUTE(SUBSTITUTE(TRIM(SUBSTITUTE(INDEX(Charge!$B:$B,ROW()),CHAR(160)," "))&amp;" | "&amp;TRIM(SUBSTITUTE(INDEX(Charge!$C:$C,ROW()),CHAR(160)," "))&amp;" | "&amp;TRIM(SUBSTITUTE(INDEX(Charge!$D:$D,ROW()),CHAR(160)," ")),"~","-"),"*","+"),"?","!"),240),"")</f>
        <v>DELTA | Lot unique | Habillage</v>
      </c>
      <c r="EO27">
        <f>IF(EN27="",0,IF(COUNTIF($EN$4:EN27,EN27)=1,1,0))</f>
        <v>0</v>
      </c>
      <c r="EP27" s="166" t="str">
        <f>IF(EO27=1,ROUND(SUMIF($EN$4:$EN$503,EN27,$E$4:$E$503),2),"")</f>
        <v/>
      </c>
      <c r="EQ27" t="str">
        <f>IF(EO27=1,COUNTIFS($EO$4:$EO$503,1,$EP$4:$EP$503,"&gt;"&amp;EP27)+COUNTIFS($EO$4:EO27,1,$EP$4:EP27,EP27),"")</f>
        <v/>
      </c>
      <c r="ER27" t="str">
        <f>IF(EO27=1,COUNTIFS($EN$4:$EN$503,EN27,$EM$4:$EM$503,"Interne",$FE$4:$FE$503,1),"")</f>
        <v/>
      </c>
      <c r="ES27" t="str">
        <f>IF(EO27=1,COUNTIFS($EN$4:$EN$503,EN27,$EM$4:$EM$503,"Externe",$FE$4:$FE$503,1),"")</f>
        <v/>
      </c>
      <c r="ET27" t="str">
        <f>IF(EO27=1,IF(ER27+ES27=0,"à affecter",IF(ER27=0,ES27&amp;" ext.",(ER27+ES27)&amp;IF(ES27&gt;0," dont "&amp;ES27&amp;" ext.",""))&amp;IF(COUNTIFS($EN$4:$EN$503,EN27,$EM$4:$EM$503,"Non affecté")&gt;0," + à affecter","")),"")</f>
        <v/>
      </c>
      <c r="EU27" s="170" t="str">
        <f>IF(EO27=1,IF(EP27&gt;0,SUMPRODUCT(($EN$4:$EN$503=EN27)*$E$4:$E$503*$C$4:$C$503)/EP27,AVERAGEIF($EN$4:$EN$503,EN27,$C$4:$C$503)),"")</f>
        <v/>
      </c>
      <c r="EV27" s="165">
        <f>IF(ISNUMBER(I27),I27,2958465)</f>
        <v>46510.0</v>
      </c>
      <c r="EW27" s="165" t="str">
        <f>IF(EO27=1,SUMPRODUCT(MIN(($EN$4:$EN$503=EN27)*$EV$4:$EV$503+($EN$4:$EN$503&lt;&gt;EN27)*2958465)),"")</f>
        <v/>
      </c>
      <c r="EX27" s="165">
        <f>IF(AND(D27=1,ISNUMBER(INDEX(Charge!$F:$F,ROW()))),INDEX(Charge!$F:$F,ROW()),0)</f>
        <v>46626.0</v>
      </c>
      <c r="EY27" s="165" t="str">
        <f>IF(EO27=1,SUMPRODUCT(MAX(($EN$4:$EN$503=EN27)*$EX$4:$EX$503)),"")</f>
        <v/>
      </c>
      <c r="FA27" t="str">
        <f>IF(24&lt;=$CD$23,INDEX($EJ$4:$EJ$203,24),IF(24-$CD$23&lt;=$CD$26,INDEX($EK$4:$EK$203,24-$CD$23),""))</f>
        <v/>
      </c>
      <c r="FB27" t="str">
        <f>IF(FA27="","",IF(24&lt;=$CD$23,"Interne","Externe"))</f>
        <v/>
      </c>
      <c r="FD27">
        <f>IF(AND(B27=1,TRIM(INDEX(Charge!$K:$K,ROW()))&lt;&gt;"",TRIM(INDEX(Charge!$L:$L,ROW()))&lt;&gt;""),1,0)</f>
        <v>0</v>
      </c>
      <c r="FE27">
        <f>IF(OR(EN27="",BZ27="(non affecté)"),0,IF(COUNTIFS($EN$4:EN27,EN27,$BZ$4:BZ27,BZ27)=1,1,0))</f>
        <v>1</v>
      </c>
    </row>
    <row r="28">
      <c r="A28">
        <f>ROW()</f>
        <v>28</v>
      </c>
      <c r="B28">
        <f>IF(TRIM(INDEX(Charge!$B:$B,ROW()))&lt;&gt;"",1,0)</f>
        <v>0</v>
      </c>
      <c r="C28">
        <f>IF(B28=1,MIN(1,MAX(0,N(INDEX(Charge!$O:$O,ROW())))),0)</f>
        <v>0</v>
      </c>
      <c r="D28">
        <f>IF(B28=1,IF(OR(p_Perimetre="Tous les projets",C28&lt;1),1,0),0)</f>
        <v>0</v>
      </c>
      <c r="E28">
        <f>IF(D28=1,MAX(0,N(INDEX(Charge!$M:$M,ROW()))),0)</f>
        <v>0</v>
      </c>
      <c r="F28" t="str">
        <f>IF(D28=1,IF(TRIM(INDEX(Charge!$A:$A,ROW()))="","(non renseigné)",TRIM(INDEX(Charge!$A:$A,ROW()))),"")</f>
        <v/>
      </c>
      <c r="G28" t="str">
        <f>IF(D28=1,TRIM(INDEX(Charge!$B:$B,ROW())),"")</f>
        <v/>
      </c>
      <c r="H28" t="str">
        <f>IF(D28=1,IF(TRIM(INDEX(Charge!$E:$E,ROW()))="","(non renseigné)",TRIM(INDEX(Charge!$E:$E,ROW()))),"")</f>
        <v/>
      </c>
      <c r="I28" s="165" t="str">
        <f>IF(AND(D28=1,ISNUMBER(INDEX(Charge!$N:$N,ROW()))),INDEX(Charge!$N:$N,ROW()),"")</f>
        <v/>
      </c>
      <c r="J28" s="165" t="str">
        <f>IF(I28="","",IF(AND(p_Repartition="Lissée jusqu'à la date de besoin",ISNUMBER(INDEX(Charge!$F:$F,ROW()))),IF(INDEX(Charge!$F:$F,ROW())&gt;=I28,INDEX(Charge!$F:$F,ROW()),I28),I28))</f>
        <v/>
      </c>
      <c r="K28" t="str">
        <f>IF(I28="","",NETWORKDAYS(I28,J28,Data!$K$4:$K$203))</f>
        <v/>
      </c>
      <c r="L28" t="str">
        <f>IF(D28=1,COUNTIFS($D$4:$D$503,1,$E$4:$E$503,"&gt;"&amp;E28)+COUNTIFS($D$4:$D28,1,$E$4:$E28,E28),"")</f>
        <v/>
      </c>
      <c r="M28">
        <f>IF(F28="",0,IF(COUNTIF($F$4:F28,F28)=1,1,0))</f>
        <v>0</v>
      </c>
      <c r="N28" t="str">
        <f>IF(M28=1,ROUND(SUMIF($F$4:$F$503,F28,$E$4:$E$503),2),"")</f>
        <v/>
      </c>
      <c r="O28" t="str">
        <f>IF(M28=1,COUNTIFS($M$4:$M$503,1,$N$4:$N$503,"&gt;"&amp;N28)+COUNTIFS($M$4:M28,1,$N$4:N28,N28),"")</f>
        <v/>
      </c>
      <c r="P28">
        <f>IF(G28="",0,IF(COUNTIF($G$4:G28,G28)=1,1,0))</f>
        <v>0</v>
      </c>
      <c r="Q28" t="str">
        <f>IF(P28=1,ROUND(SUMIF($G$4:$G$503,G28,$E$4:$E$503),2),"")</f>
        <v/>
      </c>
      <c r="R28" t="str">
        <f>IF(P28=1,COUNTIFS($P$4:$P$503,1,$Q$4:$Q$503,"&gt;"&amp;Q28)+COUNTIFS($P$4:P28,1,$Q$4:Q28,Q28),"")</f>
        <v/>
      </c>
      <c r="S28">
        <f>IF(H28="",0,IF(COUNTIF($H$4:H28,H28)=1,1,0))</f>
        <v>0</v>
      </c>
      <c r="T28" t="str">
        <f>IF(S28=1,ROUND(SUMIF($H$4:$H$503,H28,$E$4:$E$503),2),"")</f>
        <v/>
      </c>
      <c r="U28" t="str">
        <f>IF(S28=1,COUNTIFS($S$4:$S$503,1,$T$4:$T$503,"&gt;"&amp;T28)+COUNTIFS($S$4:S28,1,$T$4:T28,T28),"")</f>
        <v/>
      </c>
      <c r="V28" t="str">
        <f>IF(D28=1,MIN(INDEX($R$4:$R$503,MATCH(G28,$G$4:$G$503,0)),IF($AL$7&gt;9,9,999)),"")</f>
        <v/>
      </c>
      <c r="W28" s="166">
        <f>IF(OR($I28="",$E28=0),0,IF(OR($J28&lt;W$3,$I28&gt;W$2),0,IF($K28=0,IF(AND($I28&gt;=W$3,$I28&lt;=W$2),$E28,0),$E28*NETWORKDAYS(MAX($I28,W$3),MIN($J28,W$2),Data!$K$4:$K$203)/$K28)))</f>
        <v>0</v>
      </c>
      <c r="X28" s="166">
        <f>IF(OR($I28="",$E28=0),0,IF(OR($J28&lt;X$3,$I28&gt;X$2),0,IF($K28=0,IF(AND($I28&gt;=X$3,$I28&lt;=X$2),$E28,0),$E28*NETWORKDAYS(MAX($I28,X$3),MIN($J28,X$2),Data!$K$4:$K$203)/$K28)))</f>
        <v>0</v>
      </c>
      <c r="Y28" s="166">
        <f>IF(OR($I28="",$E28=0),0,IF(OR($J28&lt;Y$3,$I28&gt;Y$2),0,IF($K28=0,IF(AND($I28&gt;=Y$3,$I28&lt;=Y$2),$E28,0),$E28*NETWORKDAYS(MAX($I28,Y$3),MIN($J28,Y$2),Data!$K$4:$K$203)/$K28)))</f>
        <v>0</v>
      </c>
      <c r="Z28" s="166">
        <f>IF(OR($I28="",$E28=0),0,IF(OR($J28&lt;Z$3,$I28&gt;Z$2),0,IF($K28=0,IF(AND($I28&gt;=Z$3,$I28&lt;=Z$2),$E28,0),$E28*NETWORKDAYS(MAX($I28,Z$3),MIN($J28,Z$2),Data!$K$4:$K$203)/$K28)))</f>
        <v>0</v>
      </c>
      <c r="AA28" s="166">
        <f>IF(OR($I28="",$E28=0),0,IF(OR($J28&lt;AA$3,$I28&gt;AA$2),0,IF($K28=0,IF(AND($I28&gt;=AA$3,$I28&lt;=AA$2),$E28,0),$E28*NETWORKDAYS(MAX($I28,AA$3),MIN($J28,AA$2),Data!$K$4:$K$203)/$K28)))</f>
        <v>0</v>
      </c>
      <c r="AB28" s="166">
        <f>IF(OR($I28="",$E28=0),0,IF(OR($J28&lt;AB$3,$I28&gt;AB$2),0,IF($K28=0,IF(AND($I28&gt;=AB$3,$I28&lt;=AB$2),$E28,0),$E28*NETWORKDAYS(MAX($I28,AB$3),MIN($J28,AB$2),Data!$K$4:$K$203)/$K28)))</f>
        <v>0</v>
      </c>
      <c r="AC28" s="166">
        <f>IF(OR($I28="",$E28=0),0,IF(OR($J28&lt;AC$3,$I28&gt;AC$2),0,IF($K28=0,IF(AND($I28&gt;=AC$3,$I28&lt;=AC$2),$E28,0),$E28*NETWORKDAYS(MAX($I28,AC$3),MIN($J28,AC$2),Data!$K$4:$K$203)/$K28)))</f>
        <v>0</v>
      </c>
      <c r="AD28" s="166">
        <f>IF(OR($I28="",$E28=0),0,IF(OR($J28&lt;AD$3,$I28&gt;AD$2),0,IF($K28=0,IF(AND($I28&gt;=AD$3,$I28&lt;=AD$2),$E28,0),$E28*NETWORKDAYS(MAX($I28,AD$3),MIN($J28,AD$2),Data!$K$4:$K$203)/$K28)))</f>
        <v>0</v>
      </c>
      <c r="AE28" s="166">
        <f>IF(OR($I28="",$E28=0),0,IF(OR($J28&lt;AE$3,$I28&gt;AE$2),0,IF($K28=0,IF(AND($I28&gt;=AE$3,$I28&lt;=AE$2),$E28,0),$E28*NETWORKDAYS(MAX($I28,AE$3),MIN($J28,AE$2),Data!$K$4:$K$203)/$K28)))</f>
        <v>0</v>
      </c>
      <c r="AF28" s="166">
        <f>IF(OR($I28="",$E28=0),0,IF(OR($J28&lt;AF$3,$I28&gt;AF$2),0,IF($K28=0,IF(AND($I28&gt;=AF$3,$I28&lt;=AF$2),$E28,0),$E28*NETWORKDAYS(MAX($I28,AF$3),MIN($J28,AF$2),Data!$K$4:$K$203)/$K28)))</f>
        <v>0</v>
      </c>
      <c r="AG28" s="166">
        <f>IF(OR($I28="",$E28=0),0,IF(OR($J28&lt;AG$3,$I28&gt;AG$2),0,IF($K28=0,IF(AND($I28&gt;=AG$3,$I28&lt;=AG$2),$E28,0),$E28*NETWORKDAYS(MAX($I28,AG$3),MIN($J28,AG$2),Data!$K$4:$K$203)/$K28)))</f>
        <v>0</v>
      </c>
      <c r="AH28" s="166">
        <f>IF(OR($I28="",$E28=0),0,IF(OR($J28&lt;AH$3,$I28&gt;AH$2),0,IF($K28=0,IF(AND($I28&gt;=AH$3,$I28&lt;=AH$2),$E28,0),$E28*NETWORKDAYS(MAX($I28,AH$3),MIN($J28,AH$2),Data!$K$4:$K$203)/$K28)))</f>
        <v>0</v>
      </c>
      <c r="AI28" s="166">
        <f>SUM(W28:AH28)</f>
        <v>0</v>
      </c>
      <c r="BW28" t="n">
        <v>25</v>
      </c>
      <c r="BX28" t="str">
        <f>IFERROR(MATCH(BW28,$EQ$4:$EQ$503,0),"")</f>
        <v/>
      </c>
      <c r="BZ28" t="str">
        <f>IF(D28=1,IF(TRIM(INDEX(Charge!$K:$K,ROW()))&lt;&gt;"",TRIM(INDEX(Charge!$K:$K,ROW())),IF(TRIM(INDEX(Charge!$L:$L,ROW()))&lt;&gt;"",TRIM(INDEX(Charge!$L:$L,ROW())),"(non affecté)")),"")</f>
        <v/>
      </c>
      <c r="CA28" t="str">
        <f>IF(AND($CD$4&lt;&gt;"",BZ28=$CD$4),COUNTIFS($BZ$4:$BZ$503,$CD$4,$L$4:$L$503,"&lt;"&amp;L28)+1,"")</f>
        <v/>
      </c>
      <c r="CC28" t="inlineStr">
        <is>
          <t>Nombre de lignes de la ressource</t>
        </is>
      </c>
      <c r="CD28" s="171">
        <f>IF(CD4="",0,COUNTIF($BZ$4:$BZ$503,CD4))</f>
        <v>2</v>
      </c>
      <c r="EJ28" t="str">
        <f>TRIM(INDEX(Data!$E:$E,ROW()))</f>
        <v/>
      </c>
      <c r="EK28" t="str">
        <f>TRIM(INDEX(Data!$H:$H,ROW()))</f>
        <v/>
      </c>
      <c r="EM28" t="str">
        <f>IF(D28=1,IF(TRIM(INDEX(Charge!$K:$K,ROW()))&lt;&gt;"","Interne",IF(TRIM(INDEX(Charge!$L:$L,ROW()))&lt;&gt;"","Externe","Non affecté")),"")</f>
        <v/>
      </c>
      <c r="EN28" t="str">
        <f>IF(D28=1,LEFT(SUBSTITUTE(SUBSTITUTE(SUBSTITUTE(TRIM(SUBSTITUTE(INDEX(Charge!$B:$B,ROW()),CHAR(160)," "))&amp;" | "&amp;TRIM(SUBSTITUTE(INDEX(Charge!$C:$C,ROW()),CHAR(160)," "))&amp;" | "&amp;TRIM(SUBSTITUTE(INDEX(Charge!$D:$D,ROW()),CHAR(160)," ")),"~","-"),"*","+"),"?","!"),240),"")</f>
        <v/>
      </c>
      <c r="EO28">
        <f>IF(EN28="",0,IF(COUNTIF($EN$4:EN28,EN28)=1,1,0))</f>
        <v>0</v>
      </c>
      <c r="EP28" s="166" t="str">
        <f>IF(EO28=1,ROUND(SUMIF($EN$4:$EN$503,EN28,$E$4:$E$503),2),"")</f>
        <v/>
      </c>
      <c r="EQ28" t="str">
        <f>IF(EO28=1,COUNTIFS($EO$4:$EO$503,1,$EP$4:$EP$503,"&gt;"&amp;EP28)+COUNTIFS($EO$4:EO28,1,$EP$4:EP28,EP28),"")</f>
        <v/>
      </c>
      <c r="ER28" t="str">
        <f>IF(EO28=1,COUNTIFS($EN$4:$EN$503,EN28,$EM$4:$EM$503,"Interne",$FE$4:$FE$503,1),"")</f>
        <v/>
      </c>
      <c r="ES28" t="str">
        <f>IF(EO28=1,COUNTIFS($EN$4:$EN$503,EN28,$EM$4:$EM$503,"Externe",$FE$4:$FE$503,1),"")</f>
        <v/>
      </c>
      <c r="ET28" t="str">
        <f>IF(EO28=1,IF(ER28+ES28=0,"à affecter",IF(ER28=0,ES28&amp;" ext.",(ER28+ES28)&amp;IF(ES28&gt;0," dont "&amp;ES28&amp;" ext.",""))&amp;IF(COUNTIFS($EN$4:$EN$503,EN28,$EM$4:$EM$503,"Non affecté")&gt;0," + à affecter","")),"")</f>
        <v/>
      </c>
      <c r="EU28" s="170" t="str">
        <f>IF(EO28=1,IF(EP28&gt;0,SUMPRODUCT(($EN$4:$EN$503=EN28)*$E$4:$E$503*$C$4:$C$503)/EP28,AVERAGEIF($EN$4:$EN$503,EN28,$C$4:$C$503)),"")</f>
        <v/>
      </c>
      <c r="EV28" s="165">
        <f>IF(ISNUMBER(I28),I28,2958465)</f>
        <v>2958465.0</v>
      </c>
      <c r="EW28" s="165" t="str">
        <f>IF(EO28=1,SUMPRODUCT(MIN(($EN$4:$EN$503=EN28)*$EV$4:$EV$503+($EN$4:$EN$503&lt;&gt;EN28)*2958465)),"")</f>
        <v/>
      </c>
      <c r="EX28" s="165">
        <f>IF(AND(D28=1,ISNUMBER(INDEX(Charge!$F:$F,ROW()))),INDEX(Charge!$F:$F,ROW()),0)</f>
        <v>0.0</v>
      </c>
      <c r="EY28" s="165" t="str">
        <f>IF(EO28=1,SUMPRODUCT(MAX(($EN$4:$EN$503=EN28)*$EX$4:$EX$503)),"")</f>
        <v/>
      </c>
      <c r="FA28" t="str">
        <f>IF(25&lt;=$CD$23,INDEX($EJ$4:$EJ$203,25),IF(25-$CD$23&lt;=$CD$26,INDEX($EK$4:$EK$203,25-$CD$23),""))</f>
        <v/>
      </c>
      <c r="FB28" t="str">
        <f>IF(FA28="","",IF(25&lt;=$CD$23,"Interne","Externe"))</f>
        <v/>
      </c>
      <c r="FD28">
        <f>IF(AND(B28=1,TRIM(INDEX(Charge!$K:$K,ROW()))&lt;&gt;"",TRIM(INDEX(Charge!$L:$L,ROW()))&lt;&gt;""),1,0)</f>
        <v>0</v>
      </c>
      <c r="FE28">
        <f>IF(OR(EN28="",BZ28="(non affecté)"),0,IF(COUNTIFS($EN$4:EN28,EN28,$BZ$4:BZ28,BZ28)=1,1,0))</f>
        <v>0</v>
      </c>
    </row>
    <row r="29">
      <c r="A29">
        <f>ROW()</f>
        <v>29</v>
      </c>
      <c r="B29">
        <f>IF(TRIM(INDEX(Charge!$B:$B,ROW()))&lt;&gt;"",1,0)</f>
        <v>0</v>
      </c>
      <c r="C29">
        <f>IF(B29=1,MIN(1,MAX(0,N(INDEX(Charge!$O:$O,ROW())))),0)</f>
        <v>0</v>
      </c>
      <c r="D29">
        <f>IF(B29=1,IF(OR(p_Perimetre="Tous les projets",C29&lt;1),1,0),0)</f>
        <v>0</v>
      </c>
      <c r="E29">
        <f>IF(D29=1,MAX(0,N(INDEX(Charge!$M:$M,ROW()))),0)</f>
        <v>0</v>
      </c>
      <c r="F29" t="str">
        <f>IF(D29=1,IF(TRIM(INDEX(Charge!$A:$A,ROW()))="","(non renseigné)",TRIM(INDEX(Charge!$A:$A,ROW()))),"")</f>
        <v/>
      </c>
      <c r="G29" t="str">
        <f>IF(D29=1,TRIM(INDEX(Charge!$B:$B,ROW())),"")</f>
        <v/>
      </c>
      <c r="H29" t="str">
        <f>IF(D29=1,IF(TRIM(INDEX(Charge!$E:$E,ROW()))="","(non renseigné)",TRIM(INDEX(Charge!$E:$E,ROW()))),"")</f>
        <v/>
      </c>
      <c r="I29" s="165" t="str">
        <f>IF(AND(D29=1,ISNUMBER(INDEX(Charge!$N:$N,ROW()))),INDEX(Charge!$N:$N,ROW()),"")</f>
        <v/>
      </c>
      <c r="J29" s="165" t="str">
        <f>IF(I29="","",IF(AND(p_Repartition="Lissée jusqu'à la date de besoin",ISNUMBER(INDEX(Charge!$F:$F,ROW()))),IF(INDEX(Charge!$F:$F,ROW())&gt;=I29,INDEX(Charge!$F:$F,ROW()),I29),I29))</f>
        <v/>
      </c>
      <c r="K29" t="str">
        <f>IF(I29="","",NETWORKDAYS(I29,J29,Data!$K$4:$K$203))</f>
        <v/>
      </c>
      <c r="L29" t="str">
        <f>IF(D29=1,COUNTIFS($D$4:$D$503,1,$E$4:$E$503,"&gt;"&amp;E29)+COUNTIFS($D$4:$D29,1,$E$4:$E29,E29),"")</f>
        <v/>
      </c>
      <c r="M29">
        <f>IF(F29="",0,IF(COUNTIF($F$4:F29,F29)=1,1,0))</f>
        <v>0</v>
      </c>
      <c r="N29" t="str">
        <f>IF(M29=1,ROUND(SUMIF($F$4:$F$503,F29,$E$4:$E$503),2),"")</f>
        <v/>
      </c>
      <c r="O29" t="str">
        <f>IF(M29=1,COUNTIFS($M$4:$M$503,1,$N$4:$N$503,"&gt;"&amp;N29)+COUNTIFS($M$4:M29,1,$N$4:N29,N29),"")</f>
        <v/>
      </c>
      <c r="P29">
        <f>IF(G29="",0,IF(COUNTIF($G$4:G29,G29)=1,1,0))</f>
        <v>0</v>
      </c>
      <c r="Q29" t="str">
        <f>IF(P29=1,ROUND(SUMIF($G$4:$G$503,G29,$E$4:$E$503),2),"")</f>
        <v/>
      </c>
      <c r="R29" t="str">
        <f>IF(P29=1,COUNTIFS($P$4:$P$503,1,$Q$4:$Q$503,"&gt;"&amp;Q29)+COUNTIFS($P$4:P29,1,$Q$4:Q29,Q29),"")</f>
        <v/>
      </c>
      <c r="S29">
        <f>IF(H29="",0,IF(COUNTIF($H$4:H29,H29)=1,1,0))</f>
        <v>0</v>
      </c>
      <c r="T29" t="str">
        <f>IF(S29=1,ROUND(SUMIF($H$4:$H$503,H29,$E$4:$E$503),2),"")</f>
        <v/>
      </c>
      <c r="U29" t="str">
        <f>IF(S29=1,COUNTIFS($S$4:$S$503,1,$T$4:$T$503,"&gt;"&amp;T29)+COUNTIFS($S$4:S29,1,$T$4:T29,T29),"")</f>
        <v/>
      </c>
      <c r="V29" t="str">
        <f>IF(D29=1,MIN(INDEX($R$4:$R$503,MATCH(G29,$G$4:$G$503,0)),IF($AL$7&gt;9,9,999)),"")</f>
        <v/>
      </c>
      <c r="W29" s="166">
        <f>IF(OR($I29="",$E29=0),0,IF(OR($J29&lt;W$3,$I29&gt;W$2),0,IF($K29=0,IF(AND($I29&gt;=W$3,$I29&lt;=W$2),$E29,0),$E29*NETWORKDAYS(MAX($I29,W$3),MIN($J29,W$2),Data!$K$4:$K$203)/$K29)))</f>
        <v>0</v>
      </c>
      <c r="X29" s="166">
        <f>IF(OR($I29="",$E29=0),0,IF(OR($J29&lt;X$3,$I29&gt;X$2),0,IF($K29=0,IF(AND($I29&gt;=X$3,$I29&lt;=X$2),$E29,0),$E29*NETWORKDAYS(MAX($I29,X$3),MIN($J29,X$2),Data!$K$4:$K$203)/$K29)))</f>
        <v>0</v>
      </c>
      <c r="Y29" s="166">
        <f>IF(OR($I29="",$E29=0),0,IF(OR($J29&lt;Y$3,$I29&gt;Y$2),0,IF($K29=0,IF(AND($I29&gt;=Y$3,$I29&lt;=Y$2),$E29,0),$E29*NETWORKDAYS(MAX($I29,Y$3),MIN($J29,Y$2),Data!$K$4:$K$203)/$K29)))</f>
        <v>0</v>
      </c>
      <c r="Z29" s="166">
        <f>IF(OR($I29="",$E29=0),0,IF(OR($J29&lt;Z$3,$I29&gt;Z$2),0,IF($K29=0,IF(AND($I29&gt;=Z$3,$I29&lt;=Z$2),$E29,0),$E29*NETWORKDAYS(MAX($I29,Z$3),MIN($J29,Z$2),Data!$K$4:$K$203)/$K29)))</f>
        <v>0</v>
      </c>
      <c r="AA29" s="166">
        <f>IF(OR($I29="",$E29=0),0,IF(OR($J29&lt;AA$3,$I29&gt;AA$2),0,IF($K29=0,IF(AND($I29&gt;=AA$3,$I29&lt;=AA$2),$E29,0),$E29*NETWORKDAYS(MAX($I29,AA$3),MIN($J29,AA$2),Data!$K$4:$K$203)/$K29)))</f>
        <v>0</v>
      </c>
      <c r="AB29" s="166">
        <f>IF(OR($I29="",$E29=0),0,IF(OR($J29&lt;AB$3,$I29&gt;AB$2),0,IF($K29=0,IF(AND($I29&gt;=AB$3,$I29&lt;=AB$2),$E29,0),$E29*NETWORKDAYS(MAX($I29,AB$3),MIN($J29,AB$2),Data!$K$4:$K$203)/$K29)))</f>
        <v>0</v>
      </c>
      <c r="AC29" s="166">
        <f>IF(OR($I29="",$E29=0),0,IF(OR($J29&lt;AC$3,$I29&gt;AC$2),0,IF($K29=0,IF(AND($I29&gt;=AC$3,$I29&lt;=AC$2),$E29,0),$E29*NETWORKDAYS(MAX($I29,AC$3),MIN($J29,AC$2),Data!$K$4:$K$203)/$K29)))</f>
        <v>0</v>
      </c>
      <c r="AD29" s="166">
        <f>IF(OR($I29="",$E29=0),0,IF(OR($J29&lt;AD$3,$I29&gt;AD$2),0,IF($K29=0,IF(AND($I29&gt;=AD$3,$I29&lt;=AD$2),$E29,0),$E29*NETWORKDAYS(MAX($I29,AD$3),MIN($J29,AD$2),Data!$K$4:$K$203)/$K29)))</f>
        <v>0</v>
      </c>
      <c r="AE29" s="166">
        <f>IF(OR($I29="",$E29=0),0,IF(OR($J29&lt;AE$3,$I29&gt;AE$2),0,IF($K29=0,IF(AND($I29&gt;=AE$3,$I29&lt;=AE$2),$E29,0),$E29*NETWORKDAYS(MAX($I29,AE$3),MIN($J29,AE$2),Data!$K$4:$K$203)/$K29)))</f>
        <v>0</v>
      </c>
      <c r="AF29" s="166">
        <f>IF(OR($I29="",$E29=0),0,IF(OR($J29&lt;AF$3,$I29&gt;AF$2),0,IF($K29=0,IF(AND($I29&gt;=AF$3,$I29&lt;=AF$2),$E29,0),$E29*NETWORKDAYS(MAX($I29,AF$3),MIN($J29,AF$2),Data!$K$4:$K$203)/$K29)))</f>
        <v>0</v>
      </c>
      <c r="AG29" s="166">
        <f>IF(OR($I29="",$E29=0),0,IF(OR($J29&lt;AG$3,$I29&gt;AG$2),0,IF($K29=0,IF(AND($I29&gt;=AG$3,$I29&lt;=AG$2),$E29,0),$E29*NETWORKDAYS(MAX($I29,AG$3),MIN($J29,AG$2),Data!$K$4:$K$203)/$K29)))</f>
        <v>0</v>
      </c>
      <c r="AH29" s="166">
        <f>IF(OR($I29="",$E29=0),0,IF(OR($J29&lt;AH$3,$I29&gt;AH$2),0,IF($K29=0,IF(AND($I29&gt;=AH$3,$I29&lt;=AH$2),$E29,0),$E29*NETWORKDAYS(MAX($I29,AH$3),MIN($J29,AH$2),Data!$K$4:$K$203)/$K29)))</f>
        <v>0</v>
      </c>
      <c r="AI29" s="166">
        <f>SUM(W29:AH29)</f>
        <v>0</v>
      </c>
      <c r="BW29" t="n">
        <v>26</v>
      </c>
      <c r="BX29" t="str">
        <f>IFERROR(MATCH(BW29,$EQ$4:$EQ$503,0),"")</f>
        <v/>
      </c>
      <c r="BZ29" t="str">
        <f>IF(D29=1,IF(TRIM(INDEX(Charge!$K:$K,ROW()))&lt;&gt;"",TRIM(INDEX(Charge!$K:$K,ROW())),IF(TRIM(INDEX(Charge!$L:$L,ROW()))&lt;&gt;"",TRIM(INDEX(Charge!$L:$L,ROW())),"(non affecté)")),"")</f>
        <v/>
      </c>
      <c r="CA29" t="str">
        <f>IF(AND($CD$4&lt;&gt;"",BZ29=$CD$4),COUNTIFS($BZ$4:$BZ$503,$CD$4,$L$4:$L$503,"&lt;"&amp;L29)+1,"")</f>
        <v/>
      </c>
      <c r="EJ29" t="str">
        <f>TRIM(INDEX(Data!$E:$E,ROW()))</f>
        <v/>
      </c>
      <c r="EK29" t="str">
        <f>TRIM(INDEX(Data!$H:$H,ROW()))</f>
        <v/>
      </c>
      <c r="EM29" t="str">
        <f>IF(D29=1,IF(TRIM(INDEX(Charge!$K:$K,ROW()))&lt;&gt;"","Interne",IF(TRIM(INDEX(Charge!$L:$L,ROW()))&lt;&gt;"","Externe","Non affecté")),"")</f>
        <v/>
      </c>
      <c r="EN29" t="str">
        <f>IF(D29=1,LEFT(SUBSTITUTE(SUBSTITUTE(SUBSTITUTE(TRIM(SUBSTITUTE(INDEX(Charge!$B:$B,ROW()),CHAR(160)," "))&amp;" | "&amp;TRIM(SUBSTITUTE(INDEX(Charge!$C:$C,ROW()),CHAR(160)," "))&amp;" | "&amp;TRIM(SUBSTITUTE(INDEX(Charge!$D:$D,ROW()),CHAR(160)," ")),"~","-"),"*","+"),"?","!"),240),"")</f>
        <v/>
      </c>
      <c r="EO29">
        <f>IF(EN29="",0,IF(COUNTIF($EN$4:EN29,EN29)=1,1,0))</f>
        <v>0</v>
      </c>
      <c r="EP29" s="166" t="str">
        <f>IF(EO29=1,ROUND(SUMIF($EN$4:$EN$503,EN29,$E$4:$E$503),2),"")</f>
        <v/>
      </c>
      <c r="EQ29" t="str">
        <f>IF(EO29=1,COUNTIFS($EO$4:$EO$503,1,$EP$4:$EP$503,"&gt;"&amp;EP29)+COUNTIFS($EO$4:EO29,1,$EP$4:EP29,EP29),"")</f>
        <v/>
      </c>
      <c r="ER29" t="str">
        <f>IF(EO29=1,COUNTIFS($EN$4:$EN$503,EN29,$EM$4:$EM$503,"Interne",$FE$4:$FE$503,1),"")</f>
        <v/>
      </c>
      <c r="ES29" t="str">
        <f>IF(EO29=1,COUNTIFS($EN$4:$EN$503,EN29,$EM$4:$EM$503,"Externe",$FE$4:$FE$503,1),"")</f>
        <v/>
      </c>
      <c r="ET29" t="str">
        <f>IF(EO29=1,IF(ER29+ES29=0,"à affecter",IF(ER29=0,ES29&amp;" ext.",(ER29+ES29)&amp;IF(ES29&gt;0," dont "&amp;ES29&amp;" ext.",""))&amp;IF(COUNTIFS($EN$4:$EN$503,EN29,$EM$4:$EM$503,"Non affecté")&gt;0," + à affecter","")),"")</f>
        <v/>
      </c>
      <c r="EU29" s="170" t="str">
        <f>IF(EO29=1,IF(EP29&gt;0,SUMPRODUCT(($EN$4:$EN$503=EN29)*$E$4:$E$503*$C$4:$C$503)/EP29,AVERAGEIF($EN$4:$EN$503,EN29,$C$4:$C$503)),"")</f>
        <v/>
      </c>
      <c r="EV29" s="165">
        <f>IF(ISNUMBER(I29),I29,2958465)</f>
        <v>2958465.0</v>
      </c>
      <c r="EW29" s="165" t="str">
        <f>IF(EO29=1,SUMPRODUCT(MIN(($EN$4:$EN$503=EN29)*$EV$4:$EV$503+($EN$4:$EN$503&lt;&gt;EN29)*2958465)),"")</f>
        <v/>
      </c>
      <c r="EX29" s="165">
        <f>IF(AND(D29=1,ISNUMBER(INDEX(Charge!$F:$F,ROW()))),INDEX(Charge!$F:$F,ROW()),0)</f>
        <v>0.0</v>
      </c>
      <c r="EY29" s="165" t="str">
        <f>IF(EO29=1,SUMPRODUCT(MAX(($EN$4:$EN$503=EN29)*$EX$4:$EX$503)),"")</f>
        <v/>
      </c>
      <c r="FA29" t="str">
        <f>IF(26&lt;=$CD$23,INDEX($EJ$4:$EJ$203,26),IF(26-$CD$23&lt;=$CD$26,INDEX($EK$4:$EK$203,26-$CD$23),""))</f>
        <v/>
      </c>
      <c r="FB29" t="str">
        <f>IF(FA29="","",IF(26&lt;=$CD$23,"Interne","Externe"))</f>
        <v/>
      </c>
      <c r="FD29">
        <f>IF(AND(B29=1,TRIM(INDEX(Charge!$K:$K,ROW()))&lt;&gt;"",TRIM(INDEX(Charge!$L:$L,ROW()))&lt;&gt;""),1,0)</f>
        <v>0</v>
      </c>
      <c r="FE29">
        <f>IF(OR(EN29="",BZ29="(non affecté)"),0,IF(COUNTIFS($EN$4:EN29,EN29,$BZ$4:BZ29,BZ29)=1,1,0))</f>
        <v>0</v>
      </c>
    </row>
    <row r="30">
      <c r="A30">
        <f>ROW()</f>
        <v>30</v>
      </c>
      <c r="B30">
        <f>IF(TRIM(INDEX(Charge!$B:$B,ROW()))&lt;&gt;"",1,0)</f>
        <v>0</v>
      </c>
      <c r="C30">
        <f>IF(B30=1,MIN(1,MAX(0,N(INDEX(Charge!$O:$O,ROW())))),0)</f>
        <v>0</v>
      </c>
      <c r="D30">
        <f>IF(B30=1,IF(OR(p_Perimetre="Tous les projets",C30&lt;1),1,0),0)</f>
        <v>0</v>
      </c>
      <c r="E30">
        <f>IF(D30=1,MAX(0,N(INDEX(Charge!$M:$M,ROW()))),0)</f>
        <v>0</v>
      </c>
      <c r="F30" t="str">
        <f>IF(D30=1,IF(TRIM(INDEX(Charge!$A:$A,ROW()))="","(non renseigné)",TRIM(INDEX(Charge!$A:$A,ROW()))),"")</f>
        <v/>
      </c>
      <c r="G30" t="str">
        <f>IF(D30=1,TRIM(INDEX(Charge!$B:$B,ROW())),"")</f>
        <v/>
      </c>
      <c r="H30" t="str">
        <f>IF(D30=1,IF(TRIM(INDEX(Charge!$E:$E,ROW()))="","(non renseigné)",TRIM(INDEX(Charge!$E:$E,ROW()))),"")</f>
        <v/>
      </c>
      <c r="I30" s="165" t="str">
        <f>IF(AND(D30=1,ISNUMBER(INDEX(Charge!$N:$N,ROW()))),INDEX(Charge!$N:$N,ROW()),"")</f>
        <v/>
      </c>
      <c r="J30" s="165" t="str">
        <f>IF(I30="","",IF(AND(p_Repartition="Lissée jusqu'à la date de besoin",ISNUMBER(INDEX(Charge!$F:$F,ROW()))),IF(INDEX(Charge!$F:$F,ROW())&gt;=I30,INDEX(Charge!$F:$F,ROW()),I30),I30))</f>
        <v/>
      </c>
      <c r="K30" t="str">
        <f>IF(I30="","",NETWORKDAYS(I30,J30,Data!$K$4:$K$203))</f>
        <v/>
      </c>
      <c r="L30" t="str">
        <f>IF(D30=1,COUNTIFS($D$4:$D$503,1,$E$4:$E$503,"&gt;"&amp;E30)+COUNTIFS($D$4:$D30,1,$E$4:$E30,E30),"")</f>
        <v/>
      </c>
      <c r="M30">
        <f>IF(F30="",0,IF(COUNTIF($F$4:F30,F30)=1,1,0))</f>
        <v>0</v>
      </c>
      <c r="N30" t="str">
        <f>IF(M30=1,ROUND(SUMIF($F$4:$F$503,F30,$E$4:$E$503),2),"")</f>
        <v/>
      </c>
      <c r="O30" t="str">
        <f>IF(M30=1,COUNTIFS($M$4:$M$503,1,$N$4:$N$503,"&gt;"&amp;N30)+COUNTIFS($M$4:M30,1,$N$4:N30,N30),"")</f>
        <v/>
      </c>
      <c r="P30">
        <f>IF(G30="",0,IF(COUNTIF($G$4:G30,G30)=1,1,0))</f>
        <v>0</v>
      </c>
      <c r="Q30" t="str">
        <f>IF(P30=1,ROUND(SUMIF($G$4:$G$503,G30,$E$4:$E$503),2),"")</f>
        <v/>
      </c>
      <c r="R30" t="str">
        <f>IF(P30=1,COUNTIFS($P$4:$P$503,1,$Q$4:$Q$503,"&gt;"&amp;Q30)+COUNTIFS($P$4:P30,1,$Q$4:Q30,Q30),"")</f>
        <v/>
      </c>
      <c r="S30">
        <f>IF(H30="",0,IF(COUNTIF($H$4:H30,H30)=1,1,0))</f>
        <v>0</v>
      </c>
      <c r="T30" t="str">
        <f>IF(S30=1,ROUND(SUMIF($H$4:$H$503,H30,$E$4:$E$503),2),"")</f>
        <v/>
      </c>
      <c r="U30" t="str">
        <f>IF(S30=1,COUNTIFS($S$4:$S$503,1,$T$4:$T$503,"&gt;"&amp;T30)+COUNTIFS($S$4:S30,1,$T$4:T30,T30),"")</f>
        <v/>
      </c>
      <c r="V30" t="str">
        <f>IF(D30=1,MIN(INDEX($R$4:$R$503,MATCH(G30,$G$4:$G$503,0)),IF($AL$7&gt;9,9,999)),"")</f>
        <v/>
      </c>
      <c r="W30" s="166">
        <f>IF(OR($I30="",$E30=0),0,IF(OR($J30&lt;W$3,$I30&gt;W$2),0,IF($K30=0,IF(AND($I30&gt;=W$3,$I30&lt;=W$2),$E30,0),$E30*NETWORKDAYS(MAX($I30,W$3),MIN($J30,W$2),Data!$K$4:$K$203)/$K30)))</f>
        <v>0</v>
      </c>
      <c r="X30" s="166">
        <f>IF(OR($I30="",$E30=0),0,IF(OR($J30&lt;X$3,$I30&gt;X$2),0,IF($K30=0,IF(AND($I30&gt;=X$3,$I30&lt;=X$2),$E30,0),$E30*NETWORKDAYS(MAX($I30,X$3),MIN($J30,X$2),Data!$K$4:$K$203)/$K30)))</f>
        <v>0</v>
      </c>
      <c r="Y30" s="166">
        <f>IF(OR($I30="",$E30=0),0,IF(OR($J30&lt;Y$3,$I30&gt;Y$2),0,IF($K30=0,IF(AND($I30&gt;=Y$3,$I30&lt;=Y$2),$E30,0),$E30*NETWORKDAYS(MAX($I30,Y$3),MIN($J30,Y$2),Data!$K$4:$K$203)/$K30)))</f>
        <v>0</v>
      </c>
      <c r="Z30" s="166">
        <f>IF(OR($I30="",$E30=0),0,IF(OR($J30&lt;Z$3,$I30&gt;Z$2),0,IF($K30=0,IF(AND($I30&gt;=Z$3,$I30&lt;=Z$2),$E30,0),$E30*NETWORKDAYS(MAX($I30,Z$3),MIN($J30,Z$2),Data!$K$4:$K$203)/$K30)))</f>
        <v>0</v>
      </c>
      <c r="AA30" s="166">
        <f>IF(OR($I30="",$E30=0),0,IF(OR($J30&lt;AA$3,$I30&gt;AA$2),0,IF($K30=0,IF(AND($I30&gt;=AA$3,$I30&lt;=AA$2),$E30,0),$E30*NETWORKDAYS(MAX($I30,AA$3),MIN($J30,AA$2),Data!$K$4:$K$203)/$K30)))</f>
        <v>0</v>
      </c>
      <c r="AB30" s="166">
        <f>IF(OR($I30="",$E30=0),0,IF(OR($J30&lt;AB$3,$I30&gt;AB$2),0,IF($K30=0,IF(AND($I30&gt;=AB$3,$I30&lt;=AB$2),$E30,0),$E30*NETWORKDAYS(MAX($I30,AB$3),MIN($J30,AB$2),Data!$K$4:$K$203)/$K30)))</f>
        <v>0</v>
      </c>
      <c r="AC30" s="166">
        <f>IF(OR($I30="",$E30=0),0,IF(OR($J30&lt;AC$3,$I30&gt;AC$2),0,IF($K30=0,IF(AND($I30&gt;=AC$3,$I30&lt;=AC$2),$E30,0),$E30*NETWORKDAYS(MAX($I30,AC$3),MIN($J30,AC$2),Data!$K$4:$K$203)/$K30)))</f>
        <v>0</v>
      </c>
      <c r="AD30" s="166">
        <f>IF(OR($I30="",$E30=0),0,IF(OR($J30&lt;AD$3,$I30&gt;AD$2),0,IF($K30=0,IF(AND($I30&gt;=AD$3,$I30&lt;=AD$2),$E30,0),$E30*NETWORKDAYS(MAX($I30,AD$3),MIN($J30,AD$2),Data!$K$4:$K$203)/$K30)))</f>
        <v>0</v>
      </c>
      <c r="AE30" s="166">
        <f>IF(OR($I30="",$E30=0),0,IF(OR($J30&lt;AE$3,$I30&gt;AE$2),0,IF($K30=0,IF(AND($I30&gt;=AE$3,$I30&lt;=AE$2),$E30,0),$E30*NETWORKDAYS(MAX($I30,AE$3),MIN($J30,AE$2),Data!$K$4:$K$203)/$K30)))</f>
        <v>0</v>
      </c>
      <c r="AF30" s="166">
        <f>IF(OR($I30="",$E30=0),0,IF(OR($J30&lt;AF$3,$I30&gt;AF$2),0,IF($K30=0,IF(AND($I30&gt;=AF$3,$I30&lt;=AF$2),$E30,0),$E30*NETWORKDAYS(MAX($I30,AF$3),MIN($J30,AF$2),Data!$K$4:$K$203)/$K30)))</f>
        <v>0</v>
      </c>
      <c r="AG30" s="166">
        <f>IF(OR($I30="",$E30=0),0,IF(OR($J30&lt;AG$3,$I30&gt;AG$2),0,IF($K30=0,IF(AND($I30&gt;=AG$3,$I30&lt;=AG$2),$E30,0),$E30*NETWORKDAYS(MAX($I30,AG$3),MIN($J30,AG$2),Data!$K$4:$K$203)/$K30)))</f>
        <v>0</v>
      </c>
      <c r="AH30" s="166">
        <f>IF(OR($I30="",$E30=0),0,IF(OR($J30&lt;AH$3,$I30&gt;AH$2),0,IF($K30=0,IF(AND($I30&gt;=AH$3,$I30&lt;=AH$2),$E30,0),$E30*NETWORKDAYS(MAX($I30,AH$3),MIN($J30,AH$2),Data!$K$4:$K$203)/$K30)))</f>
        <v>0</v>
      </c>
      <c r="AI30" s="166">
        <f>SUM(W30:AH30)</f>
        <v>0</v>
      </c>
      <c r="BW30" t="n">
        <v>27</v>
      </c>
      <c r="BX30" t="str">
        <f>IFERROR(MATCH(BW30,$EQ$4:$EQ$503,0),"")</f>
        <v/>
      </c>
      <c r="BZ30" t="str">
        <f>IF(D30=1,IF(TRIM(INDEX(Charge!$K:$K,ROW()))&lt;&gt;"",TRIM(INDEX(Charge!$K:$K,ROW())),IF(TRIM(INDEX(Charge!$L:$L,ROW()))&lt;&gt;"",TRIM(INDEX(Charge!$L:$L,ROW())),"(non affecté)")),"")</f>
        <v/>
      </c>
      <c r="CA30" t="str">
        <f>IF(AND($CD$4&lt;&gt;"",BZ30=$CD$4),COUNTIFS($BZ$4:$BZ$503,$CD$4,$L$4:$L$503,"&lt;"&amp;L30)+1,"")</f>
        <v/>
      </c>
      <c r="EJ30" t="str">
        <f>TRIM(INDEX(Data!$E:$E,ROW()))</f>
        <v/>
      </c>
      <c r="EK30" t="str">
        <f>TRIM(INDEX(Data!$H:$H,ROW()))</f>
        <v/>
      </c>
      <c r="EM30" t="str">
        <f>IF(D30=1,IF(TRIM(INDEX(Charge!$K:$K,ROW()))&lt;&gt;"","Interne",IF(TRIM(INDEX(Charge!$L:$L,ROW()))&lt;&gt;"","Externe","Non affecté")),"")</f>
        <v/>
      </c>
      <c r="EN30" t="str">
        <f>IF(D30=1,LEFT(SUBSTITUTE(SUBSTITUTE(SUBSTITUTE(TRIM(SUBSTITUTE(INDEX(Charge!$B:$B,ROW()),CHAR(160)," "))&amp;" | "&amp;TRIM(SUBSTITUTE(INDEX(Charge!$C:$C,ROW()),CHAR(160)," "))&amp;" | "&amp;TRIM(SUBSTITUTE(INDEX(Charge!$D:$D,ROW()),CHAR(160)," ")),"~","-"),"*","+"),"?","!"),240),"")</f>
        <v/>
      </c>
      <c r="EO30">
        <f>IF(EN30="",0,IF(COUNTIF($EN$4:EN30,EN30)=1,1,0))</f>
        <v>0</v>
      </c>
      <c r="EP30" s="166" t="str">
        <f>IF(EO30=1,ROUND(SUMIF($EN$4:$EN$503,EN30,$E$4:$E$503),2),"")</f>
        <v/>
      </c>
      <c r="EQ30" t="str">
        <f>IF(EO30=1,COUNTIFS($EO$4:$EO$503,1,$EP$4:$EP$503,"&gt;"&amp;EP30)+COUNTIFS($EO$4:EO30,1,$EP$4:EP30,EP30),"")</f>
        <v/>
      </c>
      <c r="ER30" t="str">
        <f>IF(EO30=1,COUNTIFS($EN$4:$EN$503,EN30,$EM$4:$EM$503,"Interne",$FE$4:$FE$503,1),"")</f>
        <v/>
      </c>
      <c r="ES30" t="str">
        <f>IF(EO30=1,COUNTIFS($EN$4:$EN$503,EN30,$EM$4:$EM$503,"Externe",$FE$4:$FE$503,1),"")</f>
        <v/>
      </c>
      <c r="ET30" t="str">
        <f>IF(EO30=1,IF(ER30+ES30=0,"à affecter",IF(ER30=0,ES30&amp;" ext.",(ER30+ES30)&amp;IF(ES30&gt;0," dont "&amp;ES30&amp;" ext.",""))&amp;IF(COUNTIFS($EN$4:$EN$503,EN30,$EM$4:$EM$503,"Non affecté")&gt;0," + à affecter","")),"")</f>
        <v/>
      </c>
      <c r="EU30" s="170" t="str">
        <f>IF(EO30=1,IF(EP30&gt;0,SUMPRODUCT(($EN$4:$EN$503=EN30)*$E$4:$E$503*$C$4:$C$503)/EP30,AVERAGEIF($EN$4:$EN$503,EN30,$C$4:$C$503)),"")</f>
        <v/>
      </c>
      <c r="EV30" s="165">
        <f>IF(ISNUMBER(I30),I30,2958465)</f>
        <v>2958465.0</v>
      </c>
      <c r="EW30" s="165" t="str">
        <f>IF(EO30=1,SUMPRODUCT(MIN(($EN$4:$EN$503=EN30)*$EV$4:$EV$503+($EN$4:$EN$503&lt;&gt;EN30)*2958465)),"")</f>
        <v/>
      </c>
      <c r="EX30" s="165">
        <f>IF(AND(D30=1,ISNUMBER(INDEX(Charge!$F:$F,ROW()))),INDEX(Charge!$F:$F,ROW()),0)</f>
        <v>0.0</v>
      </c>
      <c r="EY30" s="165" t="str">
        <f>IF(EO30=1,SUMPRODUCT(MAX(($EN$4:$EN$503=EN30)*$EX$4:$EX$503)),"")</f>
        <v/>
      </c>
      <c r="FA30" t="str">
        <f>IF(27&lt;=$CD$23,INDEX($EJ$4:$EJ$203,27),IF(27-$CD$23&lt;=$CD$26,INDEX($EK$4:$EK$203,27-$CD$23),""))</f>
        <v/>
      </c>
      <c r="FB30" t="str">
        <f>IF(FA30="","",IF(27&lt;=$CD$23,"Interne","Externe"))</f>
        <v/>
      </c>
      <c r="FD30">
        <f>IF(AND(B30=1,TRIM(INDEX(Charge!$K:$K,ROW()))&lt;&gt;"",TRIM(INDEX(Charge!$L:$L,ROW()))&lt;&gt;""),1,0)</f>
        <v>0</v>
      </c>
      <c r="FE30">
        <f>IF(OR(EN30="",BZ30="(non affecté)"),0,IF(COUNTIFS($EN$4:EN30,EN30,$BZ$4:BZ30,BZ30)=1,1,0))</f>
        <v>0</v>
      </c>
    </row>
    <row r="31">
      <c r="A31">
        <f>ROW()</f>
        <v>31</v>
      </c>
      <c r="B31">
        <f>IF(TRIM(INDEX(Charge!$B:$B,ROW()))&lt;&gt;"",1,0)</f>
        <v>0</v>
      </c>
      <c r="C31">
        <f>IF(B31=1,MIN(1,MAX(0,N(INDEX(Charge!$O:$O,ROW())))),0)</f>
        <v>0</v>
      </c>
      <c r="D31">
        <f>IF(B31=1,IF(OR(p_Perimetre="Tous les projets",C31&lt;1),1,0),0)</f>
        <v>0</v>
      </c>
      <c r="E31">
        <f>IF(D31=1,MAX(0,N(INDEX(Charge!$M:$M,ROW()))),0)</f>
        <v>0</v>
      </c>
      <c r="F31" t="str">
        <f>IF(D31=1,IF(TRIM(INDEX(Charge!$A:$A,ROW()))="","(non renseigné)",TRIM(INDEX(Charge!$A:$A,ROW()))),"")</f>
        <v/>
      </c>
      <c r="G31" t="str">
        <f>IF(D31=1,TRIM(INDEX(Charge!$B:$B,ROW())),"")</f>
        <v/>
      </c>
      <c r="H31" t="str">
        <f>IF(D31=1,IF(TRIM(INDEX(Charge!$E:$E,ROW()))="","(non renseigné)",TRIM(INDEX(Charge!$E:$E,ROW()))),"")</f>
        <v/>
      </c>
      <c r="I31" s="165" t="str">
        <f>IF(AND(D31=1,ISNUMBER(INDEX(Charge!$N:$N,ROW()))),INDEX(Charge!$N:$N,ROW()),"")</f>
        <v/>
      </c>
      <c r="J31" s="165" t="str">
        <f>IF(I31="","",IF(AND(p_Repartition="Lissée jusqu'à la date de besoin",ISNUMBER(INDEX(Charge!$F:$F,ROW()))),IF(INDEX(Charge!$F:$F,ROW())&gt;=I31,INDEX(Charge!$F:$F,ROW()),I31),I31))</f>
        <v/>
      </c>
      <c r="K31" t="str">
        <f>IF(I31="","",NETWORKDAYS(I31,J31,Data!$K$4:$K$203))</f>
        <v/>
      </c>
      <c r="L31" t="str">
        <f>IF(D31=1,COUNTIFS($D$4:$D$503,1,$E$4:$E$503,"&gt;"&amp;E31)+COUNTIFS($D$4:$D31,1,$E$4:$E31,E31),"")</f>
        <v/>
      </c>
      <c r="M31">
        <f>IF(F31="",0,IF(COUNTIF($F$4:F31,F31)=1,1,0))</f>
        <v>0</v>
      </c>
      <c r="N31" t="str">
        <f>IF(M31=1,ROUND(SUMIF($F$4:$F$503,F31,$E$4:$E$503),2),"")</f>
        <v/>
      </c>
      <c r="O31" t="str">
        <f>IF(M31=1,COUNTIFS($M$4:$M$503,1,$N$4:$N$503,"&gt;"&amp;N31)+COUNTIFS($M$4:M31,1,$N$4:N31,N31),"")</f>
        <v/>
      </c>
      <c r="P31">
        <f>IF(G31="",0,IF(COUNTIF($G$4:G31,G31)=1,1,0))</f>
        <v>0</v>
      </c>
      <c r="Q31" t="str">
        <f>IF(P31=1,ROUND(SUMIF($G$4:$G$503,G31,$E$4:$E$503),2),"")</f>
        <v/>
      </c>
      <c r="R31" t="str">
        <f>IF(P31=1,COUNTIFS($P$4:$P$503,1,$Q$4:$Q$503,"&gt;"&amp;Q31)+COUNTIFS($P$4:P31,1,$Q$4:Q31,Q31),"")</f>
        <v/>
      </c>
      <c r="S31">
        <f>IF(H31="",0,IF(COUNTIF($H$4:H31,H31)=1,1,0))</f>
        <v>0</v>
      </c>
      <c r="T31" t="str">
        <f>IF(S31=1,ROUND(SUMIF($H$4:$H$503,H31,$E$4:$E$503),2),"")</f>
        <v/>
      </c>
      <c r="U31" t="str">
        <f>IF(S31=1,COUNTIFS($S$4:$S$503,1,$T$4:$T$503,"&gt;"&amp;T31)+COUNTIFS($S$4:S31,1,$T$4:T31,T31),"")</f>
        <v/>
      </c>
      <c r="V31" t="str">
        <f>IF(D31=1,MIN(INDEX($R$4:$R$503,MATCH(G31,$G$4:$G$503,0)),IF($AL$7&gt;9,9,999)),"")</f>
        <v/>
      </c>
      <c r="W31" s="166">
        <f>IF(OR($I31="",$E31=0),0,IF(OR($J31&lt;W$3,$I31&gt;W$2),0,IF($K31=0,IF(AND($I31&gt;=W$3,$I31&lt;=W$2),$E31,0),$E31*NETWORKDAYS(MAX($I31,W$3),MIN($J31,W$2),Data!$K$4:$K$203)/$K31)))</f>
        <v>0</v>
      </c>
      <c r="X31" s="166">
        <f>IF(OR($I31="",$E31=0),0,IF(OR($J31&lt;X$3,$I31&gt;X$2),0,IF($K31=0,IF(AND($I31&gt;=X$3,$I31&lt;=X$2),$E31,0),$E31*NETWORKDAYS(MAX($I31,X$3),MIN($J31,X$2),Data!$K$4:$K$203)/$K31)))</f>
        <v>0</v>
      </c>
      <c r="Y31" s="166">
        <f>IF(OR($I31="",$E31=0),0,IF(OR($J31&lt;Y$3,$I31&gt;Y$2),0,IF($K31=0,IF(AND($I31&gt;=Y$3,$I31&lt;=Y$2),$E31,0),$E31*NETWORKDAYS(MAX($I31,Y$3),MIN($J31,Y$2),Data!$K$4:$K$203)/$K31)))</f>
        <v>0</v>
      </c>
      <c r="Z31" s="166">
        <f>IF(OR($I31="",$E31=0),0,IF(OR($J31&lt;Z$3,$I31&gt;Z$2),0,IF($K31=0,IF(AND($I31&gt;=Z$3,$I31&lt;=Z$2),$E31,0),$E31*NETWORKDAYS(MAX($I31,Z$3),MIN($J31,Z$2),Data!$K$4:$K$203)/$K31)))</f>
        <v>0</v>
      </c>
      <c r="AA31" s="166">
        <f>IF(OR($I31="",$E31=0),0,IF(OR($J31&lt;AA$3,$I31&gt;AA$2),0,IF($K31=0,IF(AND($I31&gt;=AA$3,$I31&lt;=AA$2),$E31,0),$E31*NETWORKDAYS(MAX($I31,AA$3),MIN($J31,AA$2),Data!$K$4:$K$203)/$K31)))</f>
        <v>0</v>
      </c>
      <c r="AB31" s="166">
        <f>IF(OR($I31="",$E31=0),0,IF(OR($J31&lt;AB$3,$I31&gt;AB$2),0,IF($K31=0,IF(AND($I31&gt;=AB$3,$I31&lt;=AB$2),$E31,0),$E31*NETWORKDAYS(MAX($I31,AB$3),MIN($J31,AB$2),Data!$K$4:$K$203)/$K31)))</f>
        <v>0</v>
      </c>
      <c r="AC31" s="166">
        <f>IF(OR($I31="",$E31=0),0,IF(OR($J31&lt;AC$3,$I31&gt;AC$2),0,IF($K31=0,IF(AND($I31&gt;=AC$3,$I31&lt;=AC$2),$E31,0),$E31*NETWORKDAYS(MAX($I31,AC$3),MIN($J31,AC$2),Data!$K$4:$K$203)/$K31)))</f>
        <v>0</v>
      </c>
      <c r="AD31" s="166">
        <f>IF(OR($I31="",$E31=0),0,IF(OR($J31&lt;AD$3,$I31&gt;AD$2),0,IF($K31=0,IF(AND($I31&gt;=AD$3,$I31&lt;=AD$2),$E31,0),$E31*NETWORKDAYS(MAX($I31,AD$3),MIN($J31,AD$2),Data!$K$4:$K$203)/$K31)))</f>
        <v>0</v>
      </c>
      <c r="AE31" s="166">
        <f>IF(OR($I31="",$E31=0),0,IF(OR($J31&lt;AE$3,$I31&gt;AE$2),0,IF($K31=0,IF(AND($I31&gt;=AE$3,$I31&lt;=AE$2),$E31,0),$E31*NETWORKDAYS(MAX($I31,AE$3),MIN($J31,AE$2),Data!$K$4:$K$203)/$K31)))</f>
        <v>0</v>
      </c>
      <c r="AF31" s="166">
        <f>IF(OR($I31="",$E31=0),0,IF(OR($J31&lt;AF$3,$I31&gt;AF$2),0,IF($K31=0,IF(AND($I31&gt;=AF$3,$I31&lt;=AF$2),$E31,0),$E31*NETWORKDAYS(MAX($I31,AF$3),MIN($J31,AF$2),Data!$K$4:$K$203)/$K31)))</f>
        <v>0</v>
      </c>
      <c r="AG31" s="166">
        <f>IF(OR($I31="",$E31=0),0,IF(OR($J31&lt;AG$3,$I31&gt;AG$2),0,IF($K31=0,IF(AND($I31&gt;=AG$3,$I31&lt;=AG$2),$E31,0),$E31*NETWORKDAYS(MAX($I31,AG$3),MIN($J31,AG$2),Data!$K$4:$K$203)/$K31)))</f>
        <v>0</v>
      </c>
      <c r="AH31" s="166">
        <f>IF(OR($I31="",$E31=0),0,IF(OR($J31&lt;AH$3,$I31&gt;AH$2),0,IF($K31=0,IF(AND($I31&gt;=AH$3,$I31&lt;=AH$2),$E31,0),$E31*NETWORKDAYS(MAX($I31,AH$3),MIN($J31,AH$2),Data!$K$4:$K$203)/$K31)))</f>
        <v>0</v>
      </c>
      <c r="AI31" s="166">
        <f>SUM(W31:AH31)</f>
        <v>0</v>
      </c>
      <c r="BW31" t="n">
        <v>28</v>
      </c>
      <c r="BX31" t="str">
        <f>IFERROR(MATCH(BW31,$EQ$4:$EQ$503,0),"")</f>
        <v/>
      </c>
      <c r="BZ31" t="str">
        <f>IF(D31=1,IF(TRIM(INDEX(Charge!$K:$K,ROW()))&lt;&gt;"",TRIM(INDEX(Charge!$K:$K,ROW())),IF(TRIM(INDEX(Charge!$L:$L,ROW()))&lt;&gt;"",TRIM(INDEX(Charge!$L:$L,ROW())),"(non affecté)")),"")</f>
        <v/>
      </c>
      <c r="CA31" t="str">
        <f>IF(AND($CD$4&lt;&gt;"",BZ31=$CD$4),COUNTIFS($BZ$4:$BZ$503,$CD$4,$L$4:$L$503,"&lt;"&amp;L31)+1,"")</f>
        <v/>
      </c>
      <c r="EJ31" t="str">
        <f>TRIM(INDEX(Data!$E:$E,ROW()))</f>
        <v/>
      </c>
      <c r="EK31" t="str">
        <f>TRIM(INDEX(Data!$H:$H,ROW()))</f>
        <v/>
      </c>
      <c r="EM31" t="str">
        <f>IF(D31=1,IF(TRIM(INDEX(Charge!$K:$K,ROW()))&lt;&gt;"","Interne",IF(TRIM(INDEX(Charge!$L:$L,ROW()))&lt;&gt;"","Externe","Non affecté")),"")</f>
        <v/>
      </c>
      <c r="EN31" t="str">
        <f>IF(D31=1,LEFT(SUBSTITUTE(SUBSTITUTE(SUBSTITUTE(TRIM(SUBSTITUTE(INDEX(Charge!$B:$B,ROW()),CHAR(160)," "))&amp;" | "&amp;TRIM(SUBSTITUTE(INDEX(Charge!$C:$C,ROW()),CHAR(160)," "))&amp;" | "&amp;TRIM(SUBSTITUTE(INDEX(Charge!$D:$D,ROW()),CHAR(160)," ")),"~","-"),"*","+"),"?","!"),240),"")</f>
        <v/>
      </c>
      <c r="EO31">
        <f>IF(EN31="",0,IF(COUNTIF($EN$4:EN31,EN31)=1,1,0))</f>
        <v>0</v>
      </c>
      <c r="EP31" s="166" t="str">
        <f>IF(EO31=1,ROUND(SUMIF($EN$4:$EN$503,EN31,$E$4:$E$503),2),"")</f>
        <v/>
      </c>
      <c r="EQ31" t="str">
        <f>IF(EO31=1,COUNTIFS($EO$4:$EO$503,1,$EP$4:$EP$503,"&gt;"&amp;EP31)+COUNTIFS($EO$4:EO31,1,$EP$4:EP31,EP31),"")</f>
        <v/>
      </c>
      <c r="ER31" t="str">
        <f>IF(EO31=1,COUNTIFS($EN$4:$EN$503,EN31,$EM$4:$EM$503,"Interne",$FE$4:$FE$503,1),"")</f>
        <v/>
      </c>
      <c r="ES31" t="str">
        <f>IF(EO31=1,COUNTIFS($EN$4:$EN$503,EN31,$EM$4:$EM$503,"Externe",$FE$4:$FE$503,1),"")</f>
        <v/>
      </c>
      <c r="ET31" t="str">
        <f>IF(EO31=1,IF(ER31+ES31=0,"à affecter",IF(ER31=0,ES31&amp;" ext.",(ER31+ES31)&amp;IF(ES31&gt;0," dont "&amp;ES31&amp;" ext.",""))&amp;IF(COUNTIFS($EN$4:$EN$503,EN31,$EM$4:$EM$503,"Non affecté")&gt;0," + à affecter","")),"")</f>
        <v/>
      </c>
      <c r="EU31" s="170" t="str">
        <f>IF(EO31=1,IF(EP31&gt;0,SUMPRODUCT(($EN$4:$EN$503=EN31)*$E$4:$E$503*$C$4:$C$503)/EP31,AVERAGEIF($EN$4:$EN$503,EN31,$C$4:$C$503)),"")</f>
        <v/>
      </c>
      <c r="EV31" s="165">
        <f>IF(ISNUMBER(I31),I31,2958465)</f>
        <v>2958465.0</v>
      </c>
      <c r="EW31" s="165" t="str">
        <f>IF(EO31=1,SUMPRODUCT(MIN(($EN$4:$EN$503=EN31)*$EV$4:$EV$503+($EN$4:$EN$503&lt;&gt;EN31)*2958465)),"")</f>
        <v/>
      </c>
      <c r="EX31" s="165">
        <f>IF(AND(D31=1,ISNUMBER(INDEX(Charge!$F:$F,ROW()))),INDEX(Charge!$F:$F,ROW()),0)</f>
        <v>0.0</v>
      </c>
      <c r="EY31" s="165" t="str">
        <f>IF(EO31=1,SUMPRODUCT(MAX(($EN$4:$EN$503=EN31)*$EX$4:$EX$503)),"")</f>
        <v/>
      </c>
      <c r="FA31" t="str">
        <f>IF(28&lt;=$CD$23,INDEX($EJ$4:$EJ$203,28),IF(28-$CD$23&lt;=$CD$26,INDEX($EK$4:$EK$203,28-$CD$23),""))</f>
        <v/>
      </c>
      <c r="FB31" t="str">
        <f>IF(FA31="","",IF(28&lt;=$CD$23,"Interne","Externe"))</f>
        <v/>
      </c>
      <c r="FD31">
        <f>IF(AND(B31=1,TRIM(INDEX(Charge!$K:$K,ROW()))&lt;&gt;"",TRIM(INDEX(Charge!$L:$L,ROW()))&lt;&gt;""),1,0)</f>
        <v>0</v>
      </c>
      <c r="FE31">
        <f>IF(OR(EN31="",BZ31="(non affecté)"),0,IF(COUNTIFS($EN$4:EN31,EN31,$BZ$4:BZ31,BZ31)=1,1,0))</f>
        <v>0</v>
      </c>
    </row>
    <row r="32">
      <c r="A32">
        <f>ROW()</f>
        <v>32</v>
      </c>
      <c r="B32">
        <f>IF(TRIM(INDEX(Charge!$B:$B,ROW()))&lt;&gt;"",1,0)</f>
        <v>0</v>
      </c>
      <c r="C32">
        <f>IF(B32=1,MIN(1,MAX(0,N(INDEX(Charge!$O:$O,ROW())))),0)</f>
        <v>0</v>
      </c>
      <c r="D32">
        <f>IF(B32=1,IF(OR(p_Perimetre="Tous les projets",C32&lt;1),1,0),0)</f>
        <v>0</v>
      </c>
      <c r="E32">
        <f>IF(D32=1,MAX(0,N(INDEX(Charge!$M:$M,ROW()))),0)</f>
        <v>0</v>
      </c>
      <c r="F32" t="str">
        <f>IF(D32=1,IF(TRIM(INDEX(Charge!$A:$A,ROW()))="","(non renseigné)",TRIM(INDEX(Charge!$A:$A,ROW()))),"")</f>
        <v/>
      </c>
      <c r="G32" t="str">
        <f>IF(D32=1,TRIM(INDEX(Charge!$B:$B,ROW())),"")</f>
        <v/>
      </c>
      <c r="H32" t="str">
        <f>IF(D32=1,IF(TRIM(INDEX(Charge!$E:$E,ROW()))="","(non renseigné)",TRIM(INDEX(Charge!$E:$E,ROW()))),"")</f>
        <v/>
      </c>
      <c r="I32" s="165" t="str">
        <f>IF(AND(D32=1,ISNUMBER(INDEX(Charge!$N:$N,ROW()))),INDEX(Charge!$N:$N,ROW()),"")</f>
        <v/>
      </c>
      <c r="J32" s="165" t="str">
        <f>IF(I32="","",IF(AND(p_Repartition="Lissée jusqu'à la date de besoin",ISNUMBER(INDEX(Charge!$F:$F,ROW()))),IF(INDEX(Charge!$F:$F,ROW())&gt;=I32,INDEX(Charge!$F:$F,ROW()),I32),I32))</f>
        <v/>
      </c>
      <c r="K32" t="str">
        <f>IF(I32="","",NETWORKDAYS(I32,J32,Data!$K$4:$K$203))</f>
        <v/>
      </c>
      <c r="L32" t="str">
        <f>IF(D32=1,COUNTIFS($D$4:$D$503,1,$E$4:$E$503,"&gt;"&amp;E32)+COUNTIFS($D$4:$D32,1,$E$4:$E32,E32),"")</f>
        <v/>
      </c>
      <c r="M32">
        <f>IF(F32="",0,IF(COUNTIF($F$4:F32,F32)=1,1,0))</f>
        <v>0</v>
      </c>
      <c r="N32" t="str">
        <f>IF(M32=1,ROUND(SUMIF($F$4:$F$503,F32,$E$4:$E$503),2),"")</f>
        <v/>
      </c>
      <c r="O32" t="str">
        <f>IF(M32=1,COUNTIFS($M$4:$M$503,1,$N$4:$N$503,"&gt;"&amp;N32)+COUNTIFS($M$4:M32,1,$N$4:N32,N32),"")</f>
        <v/>
      </c>
      <c r="P32">
        <f>IF(G32="",0,IF(COUNTIF($G$4:G32,G32)=1,1,0))</f>
        <v>0</v>
      </c>
      <c r="Q32" t="str">
        <f>IF(P32=1,ROUND(SUMIF($G$4:$G$503,G32,$E$4:$E$503),2),"")</f>
        <v/>
      </c>
      <c r="R32" t="str">
        <f>IF(P32=1,COUNTIFS($P$4:$P$503,1,$Q$4:$Q$503,"&gt;"&amp;Q32)+COUNTIFS($P$4:P32,1,$Q$4:Q32,Q32),"")</f>
        <v/>
      </c>
      <c r="S32">
        <f>IF(H32="",0,IF(COUNTIF($H$4:H32,H32)=1,1,0))</f>
        <v>0</v>
      </c>
      <c r="T32" t="str">
        <f>IF(S32=1,ROUND(SUMIF($H$4:$H$503,H32,$E$4:$E$503),2),"")</f>
        <v/>
      </c>
      <c r="U32" t="str">
        <f>IF(S32=1,COUNTIFS($S$4:$S$503,1,$T$4:$T$503,"&gt;"&amp;T32)+COUNTIFS($S$4:S32,1,$T$4:T32,T32),"")</f>
        <v/>
      </c>
      <c r="V32" t="str">
        <f>IF(D32=1,MIN(INDEX($R$4:$R$503,MATCH(G32,$G$4:$G$503,0)),IF($AL$7&gt;9,9,999)),"")</f>
        <v/>
      </c>
      <c r="W32" s="166">
        <f>IF(OR($I32="",$E32=0),0,IF(OR($J32&lt;W$3,$I32&gt;W$2),0,IF($K32=0,IF(AND($I32&gt;=W$3,$I32&lt;=W$2),$E32,0),$E32*NETWORKDAYS(MAX($I32,W$3),MIN($J32,W$2),Data!$K$4:$K$203)/$K32)))</f>
        <v>0</v>
      </c>
      <c r="X32" s="166">
        <f>IF(OR($I32="",$E32=0),0,IF(OR($J32&lt;X$3,$I32&gt;X$2),0,IF($K32=0,IF(AND($I32&gt;=X$3,$I32&lt;=X$2),$E32,0),$E32*NETWORKDAYS(MAX($I32,X$3),MIN($J32,X$2),Data!$K$4:$K$203)/$K32)))</f>
        <v>0</v>
      </c>
      <c r="Y32" s="166">
        <f>IF(OR($I32="",$E32=0),0,IF(OR($J32&lt;Y$3,$I32&gt;Y$2),0,IF($K32=0,IF(AND($I32&gt;=Y$3,$I32&lt;=Y$2),$E32,0),$E32*NETWORKDAYS(MAX($I32,Y$3),MIN($J32,Y$2),Data!$K$4:$K$203)/$K32)))</f>
        <v>0</v>
      </c>
      <c r="Z32" s="166">
        <f>IF(OR($I32="",$E32=0),0,IF(OR($J32&lt;Z$3,$I32&gt;Z$2),0,IF($K32=0,IF(AND($I32&gt;=Z$3,$I32&lt;=Z$2),$E32,0),$E32*NETWORKDAYS(MAX($I32,Z$3),MIN($J32,Z$2),Data!$K$4:$K$203)/$K32)))</f>
        <v>0</v>
      </c>
      <c r="AA32" s="166">
        <f>IF(OR($I32="",$E32=0),0,IF(OR($J32&lt;AA$3,$I32&gt;AA$2),0,IF($K32=0,IF(AND($I32&gt;=AA$3,$I32&lt;=AA$2),$E32,0),$E32*NETWORKDAYS(MAX($I32,AA$3),MIN($J32,AA$2),Data!$K$4:$K$203)/$K32)))</f>
        <v>0</v>
      </c>
      <c r="AB32" s="166">
        <f>IF(OR($I32="",$E32=0),0,IF(OR($J32&lt;AB$3,$I32&gt;AB$2),0,IF($K32=0,IF(AND($I32&gt;=AB$3,$I32&lt;=AB$2),$E32,0),$E32*NETWORKDAYS(MAX($I32,AB$3),MIN($J32,AB$2),Data!$K$4:$K$203)/$K32)))</f>
        <v>0</v>
      </c>
      <c r="AC32" s="166">
        <f>IF(OR($I32="",$E32=0),0,IF(OR($J32&lt;AC$3,$I32&gt;AC$2),0,IF($K32=0,IF(AND($I32&gt;=AC$3,$I32&lt;=AC$2),$E32,0),$E32*NETWORKDAYS(MAX($I32,AC$3),MIN($J32,AC$2),Data!$K$4:$K$203)/$K32)))</f>
        <v>0</v>
      </c>
      <c r="AD32" s="166">
        <f>IF(OR($I32="",$E32=0),0,IF(OR($J32&lt;AD$3,$I32&gt;AD$2),0,IF($K32=0,IF(AND($I32&gt;=AD$3,$I32&lt;=AD$2),$E32,0),$E32*NETWORKDAYS(MAX($I32,AD$3),MIN($J32,AD$2),Data!$K$4:$K$203)/$K32)))</f>
        <v>0</v>
      </c>
      <c r="AE32" s="166">
        <f>IF(OR($I32="",$E32=0),0,IF(OR($J32&lt;AE$3,$I32&gt;AE$2),0,IF($K32=0,IF(AND($I32&gt;=AE$3,$I32&lt;=AE$2),$E32,0),$E32*NETWORKDAYS(MAX($I32,AE$3),MIN($J32,AE$2),Data!$K$4:$K$203)/$K32)))</f>
        <v>0</v>
      </c>
      <c r="AF32" s="166">
        <f>IF(OR($I32="",$E32=0),0,IF(OR($J32&lt;AF$3,$I32&gt;AF$2),0,IF($K32=0,IF(AND($I32&gt;=AF$3,$I32&lt;=AF$2),$E32,0),$E32*NETWORKDAYS(MAX($I32,AF$3),MIN($J32,AF$2),Data!$K$4:$K$203)/$K32)))</f>
        <v>0</v>
      </c>
      <c r="AG32" s="166">
        <f>IF(OR($I32="",$E32=0),0,IF(OR($J32&lt;AG$3,$I32&gt;AG$2),0,IF($K32=0,IF(AND($I32&gt;=AG$3,$I32&lt;=AG$2),$E32,0),$E32*NETWORKDAYS(MAX($I32,AG$3),MIN($J32,AG$2),Data!$K$4:$K$203)/$K32)))</f>
        <v>0</v>
      </c>
      <c r="AH32" s="166">
        <f>IF(OR($I32="",$E32=0),0,IF(OR($J32&lt;AH$3,$I32&gt;AH$2),0,IF($K32=0,IF(AND($I32&gt;=AH$3,$I32&lt;=AH$2),$E32,0),$E32*NETWORKDAYS(MAX($I32,AH$3),MIN($J32,AH$2),Data!$K$4:$K$203)/$K32)))</f>
        <v>0</v>
      </c>
      <c r="AI32" s="166">
        <f>SUM(W32:AH32)</f>
        <v>0</v>
      </c>
      <c r="BW32" t="n">
        <v>29</v>
      </c>
      <c r="BX32" t="str">
        <f>IFERROR(MATCH(BW32,$EQ$4:$EQ$503,0),"")</f>
        <v/>
      </c>
      <c r="BZ32" t="str">
        <f>IF(D32=1,IF(TRIM(INDEX(Charge!$K:$K,ROW()))&lt;&gt;"",TRIM(INDEX(Charge!$K:$K,ROW())),IF(TRIM(INDEX(Charge!$L:$L,ROW()))&lt;&gt;"",TRIM(INDEX(Charge!$L:$L,ROW())),"(non affecté)")),"")</f>
        <v/>
      </c>
      <c r="CA32" t="str">
        <f>IF(AND($CD$4&lt;&gt;"",BZ32=$CD$4),COUNTIFS($BZ$4:$BZ$503,$CD$4,$L$4:$L$503,"&lt;"&amp;L32)+1,"")</f>
        <v/>
      </c>
      <c r="EJ32" t="str">
        <f>TRIM(INDEX(Data!$E:$E,ROW()))</f>
        <v/>
      </c>
      <c r="EK32" t="str">
        <f>TRIM(INDEX(Data!$H:$H,ROW()))</f>
        <v/>
      </c>
      <c r="EM32" t="str">
        <f>IF(D32=1,IF(TRIM(INDEX(Charge!$K:$K,ROW()))&lt;&gt;"","Interne",IF(TRIM(INDEX(Charge!$L:$L,ROW()))&lt;&gt;"","Externe","Non affecté")),"")</f>
        <v/>
      </c>
      <c r="EN32" t="str">
        <f>IF(D32=1,LEFT(SUBSTITUTE(SUBSTITUTE(SUBSTITUTE(TRIM(SUBSTITUTE(INDEX(Charge!$B:$B,ROW()),CHAR(160)," "))&amp;" | "&amp;TRIM(SUBSTITUTE(INDEX(Charge!$C:$C,ROW()),CHAR(160)," "))&amp;" | "&amp;TRIM(SUBSTITUTE(INDEX(Charge!$D:$D,ROW()),CHAR(160)," ")),"~","-"),"*","+"),"?","!"),240),"")</f>
        <v/>
      </c>
      <c r="EO32">
        <f>IF(EN32="",0,IF(COUNTIF($EN$4:EN32,EN32)=1,1,0))</f>
        <v>0</v>
      </c>
      <c r="EP32" s="166" t="str">
        <f>IF(EO32=1,ROUND(SUMIF($EN$4:$EN$503,EN32,$E$4:$E$503),2),"")</f>
        <v/>
      </c>
      <c r="EQ32" t="str">
        <f>IF(EO32=1,COUNTIFS($EO$4:$EO$503,1,$EP$4:$EP$503,"&gt;"&amp;EP32)+COUNTIFS($EO$4:EO32,1,$EP$4:EP32,EP32),"")</f>
        <v/>
      </c>
      <c r="ER32" t="str">
        <f>IF(EO32=1,COUNTIFS($EN$4:$EN$503,EN32,$EM$4:$EM$503,"Interne",$FE$4:$FE$503,1),"")</f>
        <v/>
      </c>
      <c r="ES32" t="str">
        <f>IF(EO32=1,COUNTIFS($EN$4:$EN$503,EN32,$EM$4:$EM$503,"Externe",$FE$4:$FE$503,1),"")</f>
        <v/>
      </c>
      <c r="ET32" t="str">
        <f>IF(EO32=1,IF(ER32+ES32=0,"à affecter",IF(ER32=0,ES32&amp;" ext.",(ER32+ES32)&amp;IF(ES32&gt;0," dont "&amp;ES32&amp;" ext.",""))&amp;IF(COUNTIFS($EN$4:$EN$503,EN32,$EM$4:$EM$503,"Non affecté")&gt;0," + à affecter","")),"")</f>
        <v/>
      </c>
      <c r="EU32" s="170" t="str">
        <f>IF(EO32=1,IF(EP32&gt;0,SUMPRODUCT(($EN$4:$EN$503=EN32)*$E$4:$E$503*$C$4:$C$503)/EP32,AVERAGEIF($EN$4:$EN$503,EN32,$C$4:$C$503)),"")</f>
        <v/>
      </c>
      <c r="EV32" s="165">
        <f>IF(ISNUMBER(I32),I32,2958465)</f>
        <v>2958465.0</v>
      </c>
      <c r="EW32" s="165" t="str">
        <f>IF(EO32=1,SUMPRODUCT(MIN(($EN$4:$EN$503=EN32)*$EV$4:$EV$503+($EN$4:$EN$503&lt;&gt;EN32)*2958465)),"")</f>
        <v/>
      </c>
      <c r="EX32" s="165">
        <f>IF(AND(D32=1,ISNUMBER(INDEX(Charge!$F:$F,ROW()))),INDEX(Charge!$F:$F,ROW()),0)</f>
        <v>0.0</v>
      </c>
      <c r="EY32" s="165" t="str">
        <f>IF(EO32=1,SUMPRODUCT(MAX(($EN$4:$EN$503=EN32)*$EX$4:$EX$503)),"")</f>
        <v/>
      </c>
      <c r="FA32" t="str">
        <f>IF(29&lt;=$CD$23,INDEX($EJ$4:$EJ$203,29),IF(29-$CD$23&lt;=$CD$26,INDEX($EK$4:$EK$203,29-$CD$23),""))</f>
        <v/>
      </c>
      <c r="FB32" t="str">
        <f>IF(FA32="","",IF(29&lt;=$CD$23,"Interne","Externe"))</f>
        <v/>
      </c>
      <c r="FD32">
        <f>IF(AND(B32=1,TRIM(INDEX(Charge!$K:$K,ROW()))&lt;&gt;"",TRIM(INDEX(Charge!$L:$L,ROW()))&lt;&gt;""),1,0)</f>
        <v>0</v>
      </c>
      <c r="FE32">
        <f>IF(OR(EN32="",BZ32="(non affecté)"),0,IF(COUNTIFS($EN$4:EN32,EN32,$BZ$4:BZ32,BZ32)=1,1,0))</f>
        <v>0</v>
      </c>
    </row>
    <row r="33">
      <c r="A33">
        <f>ROW()</f>
        <v>33</v>
      </c>
      <c r="B33">
        <f>IF(TRIM(INDEX(Charge!$B:$B,ROW()))&lt;&gt;"",1,0)</f>
        <v>0</v>
      </c>
      <c r="C33">
        <f>IF(B33=1,MIN(1,MAX(0,N(INDEX(Charge!$O:$O,ROW())))),0)</f>
        <v>0</v>
      </c>
      <c r="D33">
        <f>IF(B33=1,IF(OR(p_Perimetre="Tous les projets",C33&lt;1),1,0),0)</f>
        <v>0</v>
      </c>
      <c r="E33">
        <f>IF(D33=1,MAX(0,N(INDEX(Charge!$M:$M,ROW()))),0)</f>
        <v>0</v>
      </c>
      <c r="F33" t="str">
        <f>IF(D33=1,IF(TRIM(INDEX(Charge!$A:$A,ROW()))="","(non renseigné)",TRIM(INDEX(Charge!$A:$A,ROW()))),"")</f>
        <v/>
      </c>
      <c r="G33" t="str">
        <f>IF(D33=1,TRIM(INDEX(Charge!$B:$B,ROW())),"")</f>
        <v/>
      </c>
      <c r="H33" t="str">
        <f>IF(D33=1,IF(TRIM(INDEX(Charge!$E:$E,ROW()))="","(non renseigné)",TRIM(INDEX(Charge!$E:$E,ROW()))),"")</f>
        <v/>
      </c>
      <c r="I33" s="165" t="str">
        <f>IF(AND(D33=1,ISNUMBER(INDEX(Charge!$N:$N,ROW()))),INDEX(Charge!$N:$N,ROW()),"")</f>
        <v/>
      </c>
      <c r="J33" s="165" t="str">
        <f>IF(I33="","",IF(AND(p_Repartition="Lissée jusqu'à la date de besoin",ISNUMBER(INDEX(Charge!$F:$F,ROW()))),IF(INDEX(Charge!$F:$F,ROW())&gt;=I33,INDEX(Charge!$F:$F,ROW()),I33),I33))</f>
        <v/>
      </c>
      <c r="K33" t="str">
        <f>IF(I33="","",NETWORKDAYS(I33,J33,Data!$K$4:$K$203))</f>
        <v/>
      </c>
      <c r="L33" t="str">
        <f>IF(D33=1,COUNTIFS($D$4:$D$503,1,$E$4:$E$503,"&gt;"&amp;E33)+COUNTIFS($D$4:$D33,1,$E$4:$E33,E33),"")</f>
        <v/>
      </c>
      <c r="M33">
        <f>IF(F33="",0,IF(COUNTIF($F$4:F33,F33)=1,1,0))</f>
        <v>0</v>
      </c>
      <c r="N33" t="str">
        <f>IF(M33=1,ROUND(SUMIF($F$4:$F$503,F33,$E$4:$E$503),2),"")</f>
        <v/>
      </c>
      <c r="O33" t="str">
        <f>IF(M33=1,COUNTIFS($M$4:$M$503,1,$N$4:$N$503,"&gt;"&amp;N33)+COUNTIFS($M$4:M33,1,$N$4:N33,N33),"")</f>
        <v/>
      </c>
      <c r="P33">
        <f>IF(G33="",0,IF(COUNTIF($G$4:G33,G33)=1,1,0))</f>
        <v>0</v>
      </c>
      <c r="Q33" t="str">
        <f>IF(P33=1,ROUND(SUMIF($G$4:$G$503,G33,$E$4:$E$503),2),"")</f>
        <v/>
      </c>
      <c r="R33" t="str">
        <f>IF(P33=1,COUNTIFS($P$4:$P$503,1,$Q$4:$Q$503,"&gt;"&amp;Q33)+COUNTIFS($P$4:P33,1,$Q$4:Q33,Q33),"")</f>
        <v/>
      </c>
      <c r="S33">
        <f>IF(H33="",0,IF(COUNTIF($H$4:H33,H33)=1,1,0))</f>
        <v>0</v>
      </c>
      <c r="T33" t="str">
        <f>IF(S33=1,ROUND(SUMIF($H$4:$H$503,H33,$E$4:$E$503),2),"")</f>
        <v/>
      </c>
      <c r="U33" t="str">
        <f>IF(S33=1,COUNTIFS($S$4:$S$503,1,$T$4:$T$503,"&gt;"&amp;T33)+COUNTIFS($S$4:S33,1,$T$4:T33,T33),"")</f>
        <v/>
      </c>
      <c r="V33" t="str">
        <f>IF(D33=1,MIN(INDEX($R$4:$R$503,MATCH(G33,$G$4:$G$503,0)),IF($AL$7&gt;9,9,999)),"")</f>
        <v/>
      </c>
      <c r="W33" s="166">
        <f>IF(OR($I33="",$E33=0),0,IF(OR($J33&lt;W$3,$I33&gt;W$2),0,IF($K33=0,IF(AND($I33&gt;=W$3,$I33&lt;=W$2),$E33,0),$E33*NETWORKDAYS(MAX($I33,W$3),MIN($J33,W$2),Data!$K$4:$K$203)/$K33)))</f>
        <v>0</v>
      </c>
      <c r="X33" s="166">
        <f>IF(OR($I33="",$E33=0),0,IF(OR($J33&lt;X$3,$I33&gt;X$2),0,IF($K33=0,IF(AND($I33&gt;=X$3,$I33&lt;=X$2),$E33,0),$E33*NETWORKDAYS(MAX($I33,X$3),MIN($J33,X$2),Data!$K$4:$K$203)/$K33)))</f>
        <v>0</v>
      </c>
      <c r="Y33" s="166">
        <f>IF(OR($I33="",$E33=0),0,IF(OR($J33&lt;Y$3,$I33&gt;Y$2),0,IF($K33=0,IF(AND($I33&gt;=Y$3,$I33&lt;=Y$2),$E33,0),$E33*NETWORKDAYS(MAX($I33,Y$3),MIN($J33,Y$2),Data!$K$4:$K$203)/$K33)))</f>
        <v>0</v>
      </c>
      <c r="Z33" s="166">
        <f>IF(OR($I33="",$E33=0),0,IF(OR($J33&lt;Z$3,$I33&gt;Z$2),0,IF($K33=0,IF(AND($I33&gt;=Z$3,$I33&lt;=Z$2),$E33,0),$E33*NETWORKDAYS(MAX($I33,Z$3),MIN($J33,Z$2),Data!$K$4:$K$203)/$K33)))</f>
        <v>0</v>
      </c>
      <c r="AA33" s="166">
        <f>IF(OR($I33="",$E33=0),0,IF(OR($J33&lt;AA$3,$I33&gt;AA$2),0,IF($K33=0,IF(AND($I33&gt;=AA$3,$I33&lt;=AA$2),$E33,0),$E33*NETWORKDAYS(MAX($I33,AA$3),MIN($J33,AA$2),Data!$K$4:$K$203)/$K33)))</f>
        <v>0</v>
      </c>
      <c r="AB33" s="166">
        <f>IF(OR($I33="",$E33=0),0,IF(OR($J33&lt;AB$3,$I33&gt;AB$2),0,IF($K33=0,IF(AND($I33&gt;=AB$3,$I33&lt;=AB$2),$E33,0),$E33*NETWORKDAYS(MAX($I33,AB$3),MIN($J33,AB$2),Data!$K$4:$K$203)/$K33)))</f>
        <v>0</v>
      </c>
      <c r="AC33" s="166">
        <f>IF(OR($I33="",$E33=0),0,IF(OR($J33&lt;AC$3,$I33&gt;AC$2),0,IF($K33=0,IF(AND($I33&gt;=AC$3,$I33&lt;=AC$2),$E33,0),$E33*NETWORKDAYS(MAX($I33,AC$3),MIN($J33,AC$2),Data!$K$4:$K$203)/$K33)))</f>
        <v>0</v>
      </c>
      <c r="AD33" s="166">
        <f>IF(OR($I33="",$E33=0),0,IF(OR($J33&lt;AD$3,$I33&gt;AD$2),0,IF($K33=0,IF(AND($I33&gt;=AD$3,$I33&lt;=AD$2),$E33,0),$E33*NETWORKDAYS(MAX($I33,AD$3),MIN($J33,AD$2),Data!$K$4:$K$203)/$K33)))</f>
        <v>0</v>
      </c>
      <c r="AE33" s="166">
        <f>IF(OR($I33="",$E33=0),0,IF(OR($J33&lt;AE$3,$I33&gt;AE$2),0,IF($K33=0,IF(AND($I33&gt;=AE$3,$I33&lt;=AE$2),$E33,0),$E33*NETWORKDAYS(MAX($I33,AE$3),MIN($J33,AE$2),Data!$K$4:$K$203)/$K33)))</f>
        <v>0</v>
      </c>
      <c r="AF33" s="166">
        <f>IF(OR($I33="",$E33=0),0,IF(OR($J33&lt;AF$3,$I33&gt;AF$2),0,IF($K33=0,IF(AND($I33&gt;=AF$3,$I33&lt;=AF$2),$E33,0),$E33*NETWORKDAYS(MAX($I33,AF$3),MIN($J33,AF$2),Data!$K$4:$K$203)/$K33)))</f>
        <v>0</v>
      </c>
      <c r="AG33" s="166">
        <f>IF(OR($I33="",$E33=0),0,IF(OR($J33&lt;AG$3,$I33&gt;AG$2),0,IF($K33=0,IF(AND($I33&gt;=AG$3,$I33&lt;=AG$2),$E33,0),$E33*NETWORKDAYS(MAX($I33,AG$3),MIN($J33,AG$2),Data!$K$4:$K$203)/$K33)))</f>
        <v>0</v>
      </c>
      <c r="AH33" s="166">
        <f>IF(OR($I33="",$E33=0),0,IF(OR($J33&lt;AH$3,$I33&gt;AH$2),0,IF($K33=0,IF(AND($I33&gt;=AH$3,$I33&lt;=AH$2),$E33,0),$E33*NETWORKDAYS(MAX($I33,AH$3),MIN($J33,AH$2),Data!$K$4:$K$203)/$K33)))</f>
        <v>0</v>
      </c>
      <c r="AI33" s="166">
        <f>SUM(W33:AH33)</f>
        <v>0</v>
      </c>
      <c r="BW33" t="n">
        <v>30</v>
      </c>
      <c r="BX33" t="str">
        <f>IFERROR(MATCH(BW33,$EQ$4:$EQ$503,0),"")</f>
        <v/>
      </c>
      <c r="BZ33" t="str">
        <f>IF(D33=1,IF(TRIM(INDEX(Charge!$K:$K,ROW()))&lt;&gt;"",TRIM(INDEX(Charge!$K:$K,ROW())),IF(TRIM(INDEX(Charge!$L:$L,ROW()))&lt;&gt;"",TRIM(INDEX(Charge!$L:$L,ROW())),"(non affecté)")),"")</f>
        <v/>
      </c>
      <c r="CA33" t="str">
        <f>IF(AND($CD$4&lt;&gt;"",BZ33=$CD$4),COUNTIFS($BZ$4:$BZ$503,$CD$4,$L$4:$L$503,"&lt;"&amp;L33)+1,"")</f>
        <v/>
      </c>
      <c r="EJ33" t="str">
        <f>TRIM(INDEX(Data!$E:$E,ROW()))</f>
        <v/>
      </c>
      <c r="EK33" t="str">
        <f>TRIM(INDEX(Data!$H:$H,ROW()))</f>
        <v/>
      </c>
      <c r="EM33" t="str">
        <f>IF(D33=1,IF(TRIM(INDEX(Charge!$K:$K,ROW()))&lt;&gt;"","Interne",IF(TRIM(INDEX(Charge!$L:$L,ROW()))&lt;&gt;"","Externe","Non affecté")),"")</f>
        <v/>
      </c>
      <c r="EN33" t="str">
        <f>IF(D33=1,LEFT(SUBSTITUTE(SUBSTITUTE(SUBSTITUTE(TRIM(SUBSTITUTE(INDEX(Charge!$B:$B,ROW()),CHAR(160)," "))&amp;" | "&amp;TRIM(SUBSTITUTE(INDEX(Charge!$C:$C,ROW()),CHAR(160)," "))&amp;" | "&amp;TRIM(SUBSTITUTE(INDEX(Charge!$D:$D,ROW()),CHAR(160)," ")),"~","-"),"*","+"),"?","!"),240),"")</f>
        <v/>
      </c>
      <c r="EO33">
        <f>IF(EN33="",0,IF(COUNTIF($EN$4:EN33,EN33)=1,1,0))</f>
        <v>0</v>
      </c>
      <c r="EP33" s="166" t="str">
        <f>IF(EO33=1,ROUND(SUMIF($EN$4:$EN$503,EN33,$E$4:$E$503),2),"")</f>
        <v/>
      </c>
      <c r="EQ33" t="str">
        <f>IF(EO33=1,COUNTIFS($EO$4:$EO$503,1,$EP$4:$EP$503,"&gt;"&amp;EP33)+COUNTIFS($EO$4:EO33,1,$EP$4:EP33,EP33),"")</f>
        <v/>
      </c>
      <c r="ER33" t="str">
        <f>IF(EO33=1,COUNTIFS($EN$4:$EN$503,EN33,$EM$4:$EM$503,"Interne",$FE$4:$FE$503,1),"")</f>
        <v/>
      </c>
      <c r="ES33" t="str">
        <f>IF(EO33=1,COUNTIFS($EN$4:$EN$503,EN33,$EM$4:$EM$503,"Externe",$FE$4:$FE$503,1),"")</f>
        <v/>
      </c>
      <c r="ET33" t="str">
        <f>IF(EO33=1,IF(ER33+ES33=0,"à affecter",IF(ER33=0,ES33&amp;" ext.",(ER33+ES33)&amp;IF(ES33&gt;0," dont "&amp;ES33&amp;" ext.",""))&amp;IF(COUNTIFS($EN$4:$EN$503,EN33,$EM$4:$EM$503,"Non affecté")&gt;0," + à affecter","")),"")</f>
        <v/>
      </c>
      <c r="EU33" s="170" t="str">
        <f>IF(EO33=1,IF(EP33&gt;0,SUMPRODUCT(($EN$4:$EN$503=EN33)*$E$4:$E$503*$C$4:$C$503)/EP33,AVERAGEIF($EN$4:$EN$503,EN33,$C$4:$C$503)),"")</f>
        <v/>
      </c>
      <c r="EV33" s="165">
        <f>IF(ISNUMBER(I33),I33,2958465)</f>
        <v>2958465.0</v>
      </c>
      <c r="EW33" s="165" t="str">
        <f>IF(EO33=1,SUMPRODUCT(MIN(($EN$4:$EN$503=EN33)*$EV$4:$EV$503+($EN$4:$EN$503&lt;&gt;EN33)*2958465)),"")</f>
        <v/>
      </c>
      <c r="EX33" s="165">
        <f>IF(AND(D33=1,ISNUMBER(INDEX(Charge!$F:$F,ROW()))),INDEX(Charge!$F:$F,ROW()),0)</f>
        <v>0.0</v>
      </c>
      <c r="EY33" s="165" t="str">
        <f>IF(EO33=1,SUMPRODUCT(MAX(($EN$4:$EN$503=EN33)*$EX$4:$EX$503)),"")</f>
        <v/>
      </c>
      <c r="FA33" t="str">
        <f>IF(30&lt;=$CD$23,INDEX($EJ$4:$EJ$203,30),IF(30-$CD$23&lt;=$CD$26,INDEX($EK$4:$EK$203,30-$CD$23),""))</f>
        <v/>
      </c>
      <c r="FB33" t="str">
        <f>IF(FA33="","",IF(30&lt;=$CD$23,"Interne","Externe"))</f>
        <v/>
      </c>
      <c r="FD33">
        <f>IF(AND(B33=1,TRIM(INDEX(Charge!$K:$K,ROW()))&lt;&gt;"",TRIM(INDEX(Charge!$L:$L,ROW()))&lt;&gt;""),1,0)</f>
        <v>0</v>
      </c>
      <c r="FE33">
        <f>IF(OR(EN33="",BZ33="(non affecté)"),0,IF(COUNTIFS($EN$4:EN33,EN33,$BZ$4:BZ33,BZ33)=1,1,0))</f>
        <v>0</v>
      </c>
    </row>
    <row r="34">
      <c r="A34">
        <f>ROW()</f>
        <v>34</v>
      </c>
      <c r="B34">
        <f>IF(TRIM(INDEX(Charge!$B:$B,ROW()))&lt;&gt;"",1,0)</f>
        <v>0</v>
      </c>
      <c r="C34">
        <f>IF(B34=1,MIN(1,MAX(0,N(INDEX(Charge!$O:$O,ROW())))),0)</f>
        <v>0</v>
      </c>
      <c r="D34">
        <f>IF(B34=1,IF(OR(p_Perimetre="Tous les projets",C34&lt;1),1,0),0)</f>
        <v>0</v>
      </c>
      <c r="E34">
        <f>IF(D34=1,MAX(0,N(INDEX(Charge!$M:$M,ROW()))),0)</f>
        <v>0</v>
      </c>
      <c r="F34" t="str">
        <f>IF(D34=1,IF(TRIM(INDEX(Charge!$A:$A,ROW()))="","(non renseigné)",TRIM(INDEX(Charge!$A:$A,ROW()))),"")</f>
        <v/>
      </c>
      <c r="G34" t="str">
        <f>IF(D34=1,TRIM(INDEX(Charge!$B:$B,ROW())),"")</f>
        <v/>
      </c>
      <c r="H34" t="str">
        <f>IF(D34=1,IF(TRIM(INDEX(Charge!$E:$E,ROW()))="","(non renseigné)",TRIM(INDEX(Charge!$E:$E,ROW()))),"")</f>
        <v/>
      </c>
      <c r="I34" s="165" t="str">
        <f>IF(AND(D34=1,ISNUMBER(INDEX(Charge!$N:$N,ROW()))),INDEX(Charge!$N:$N,ROW()),"")</f>
        <v/>
      </c>
      <c r="J34" s="165" t="str">
        <f>IF(I34="","",IF(AND(p_Repartition="Lissée jusqu'à la date de besoin",ISNUMBER(INDEX(Charge!$F:$F,ROW()))),IF(INDEX(Charge!$F:$F,ROW())&gt;=I34,INDEX(Charge!$F:$F,ROW()),I34),I34))</f>
        <v/>
      </c>
      <c r="K34" t="str">
        <f>IF(I34="","",NETWORKDAYS(I34,J34,Data!$K$4:$K$203))</f>
        <v/>
      </c>
      <c r="L34" t="str">
        <f>IF(D34=1,COUNTIFS($D$4:$D$503,1,$E$4:$E$503,"&gt;"&amp;E34)+COUNTIFS($D$4:$D34,1,$E$4:$E34,E34),"")</f>
        <v/>
      </c>
      <c r="M34">
        <f>IF(F34="",0,IF(COUNTIF($F$4:F34,F34)=1,1,0))</f>
        <v>0</v>
      </c>
      <c r="N34" t="str">
        <f>IF(M34=1,ROUND(SUMIF($F$4:$F$503,F34,$E$4:$E$503),2),"")</f>
        <v/>
      </c>
      <c r="O34" t="str">
        <f>IF(M34=1,COUNTIFS($M$4:$M$503,1,$N$4:$N$503,"&gt;"&amp;N34)+COUNTIFS($M$4:M34,1,$N$4:N34,N34),"")</f>
        <v/>
      </c>
      <c r="P34">
        <f>IF(G34="",0,IF(COUNTIF($G$4:G34,G34)=1,1,0))</f>
        <v>0</v>
      </c>
      <c r="Q34" t="str">
        <f>IF(P34=1,ROUND(SUMIF($G$4:$G$503,G34,$E$4:$E$503),2),"")</f>
        <v/>
      </c>
      <c r="R34" t="str">
        <f>IF(P34=1,COUNTIFS($P$4:$P$503,1,$Q$4:$Q$503,"&gt;"&amp;Q34)+COUNTIFS($P$4:P34,1,$Q$4:Q34,Q34),"")</f>
        <v/>
      </c>
      <c r="S34">
        <f>IF(H34="",0,IF(COUNTIF($H$4:H34,H34)=1,1,0))</f>
        <v>0</v>
      </c>
      <c r="T34" t="str">
        <f>IF(S34=1,ROUND(SUMIF($H$4:$H$503,H34,$E$4:$E$503),2),"")</f>
        <v/>
      </c>
      <c r="U34" t="str">
        <f>IF(S34=1,COUNTIFS($S$4:$S$503,1,$T$4:$T$503,"&gt;"&amp;T34)+COUNTIFS($S$4:S34,1,$T$4:T34,T34),"")</f>
        <v/>
      </c>
      <c r="V34" t="str">
        <f>IF(D34=1,MIN(INDEX($R$4:$R$503,MATCH(G34,$G$4:$G$503,0)),IF($AL$7&gt;9,9,999)),"")</f>
        <v/>
      </c>
      <c r="W34" s="166">
        <f>IF(OR($I34="",$E34=0),0,IF(OR($J34&lt;W$3,$I34&gt;W$2),0,IF($K34=0,IF(AND($I34&gt;=W$3,$I34&lt;=W$2),$E34,0),$E34*NETWORKDAYS(MAX($I34,W$3),MIN($J34,W$2),Data!$K$4:$K$203)/$K34)))</f>
        <v>0</v>
      </c>
      <c r="X34" s="166">
        <f>IF(OR($I34="",$E34=0),0,IF(OR($J34&lt;X$3,$I34&gt;X$2),0,IF($K34=0,IF(AND($I34&gt;=X$3,$I34&lt;=X$2),$E34,0),$E34*NETWORKDAYS(MAX($I34,X$3),MIN($J34,X$2),Data!$K$4:$K$203)/$K34)))</f>
        <v>0</v>
      </c>
      <c r="Y34" s="166">
        <f>IF(OR($I34="",$E34=0),0,IF(OR($J34&lt;Y$3,$I34&gt;Y$2),0,IF($K34=0,IF(AND($I34&gt;=Y$3,$I34&lt;=Y$2),$E34,0),$E34*NETWORKDAYS(MAX($I34,Y$3),MIN($J34,Y$2),Data!$K$4:$K$203)/$K34)))</f>
        <v>0</v>
      </c>
      <c r="Z34" s="166">
        <f>IF(OR($I34="",$E34=0),0,IF(OR($J34&lt;Z$3,$I34&gt;Z$2),0,IF($K34=0,IF(AND($I34&gt;=Z$3,$I34&lt;=Z$2),$E34,0),$E34*NETWORKDAYS(MAX($I34,Z$3),MIN($J34,Z$2),Data!$K$4:$K$203)/$K34)))</f>
        <v>0</v>
      </c>
      <c r="AA34" s="166">
        <f>IF(OR($I34="",$E34=0),0,IF(OR($J34&lt;AA$3,$I34&gt;AA$2),0,IF($K34=0,IF(AND($I34&gt;=AA$3,$I34&lt;=AA$2),$E34,0),$E34*NETWORKDAYS(MAX($I34,AA$3),MIN($J34,AA$2),Data!$K$4:$K$203)/$K34)))</f>
        <v>0</v>
      </c>
      <c r="AB34" s="166">
        <f>IF(OR($I34="",$E34=0),0,IF(OR($J34&lt;AB$3,$I34&gt;AB$2),0,IF($K34=0,IF(AND($I34&gt;=AB$3,$I34&lt;=AB$2),$E34,0),$E34*NETWORKDAYS(MAX($I34,AB$3),MIN($J34,AB$2),Data!$K$4:$K$203)/$K34)))</f>
        <v>0</v>
      </c>
      <c r="AC34" s="166">
        <f>IF(OR($I34="",$E34=0),0,IF(OR($J34&lt;AC$3,$I34&gt;AC$2),0,IF($K34=0,IF(AND($I34&gt;=AC$3,$I34&lt;=AC$2),$E34,0),$E34*NETWORKDAYS(MAX($I34,AC$3),MIN($J34,AC$2),Data!$K$4:$K$203)/$K34)))</f>
        <v>0</v>
      </c>
      <c r="AD34" s="166">
        <f>IF(OR($I34="",$E34=0),0,IF(OR($J34&lt;AD$3,$I34&gt;AD$2),0,IF($K34=0,IF(AND($I34&gt;=AD$3,$I34&lt;=AD$2),$E34,0),$E34*NETWORKDAYS(MAX($I34,AD$3),MIN($J34,AD$2),Data!$K$4:$K$203)/$K34)))</f>
        <v>0</v>
      </c>
      <c r="AE34" s="166">
        <f>IF(OR($I34="",$E34=0),0,IF(OR($J34&lt;AE$3,$I34&gt;AE$2),0,IF($K34=0,IF(AND($I34&gt;=AE$3,$I34&lt;=AE$2),$E34,0),$E34*NETWORKDAYS(MAX($I34,AE$3),MIN($J34,AE$2),Data!$K$4:$K$203)/$K34)))</f>
        <v>0</v>
      </c>
      <c r="AF34" s="166">
        <f>IF(OR($I34="",$E34=0),0,IF(OR($J34&lt;AF$3,$I34&gt;AF$2),0,IF($K34=0,IF(AND($I34&gt;=AF$3,$I34&lt;=AF$2),$E34,0),$E34*NETWORKDAYS(MAX($I34,AF$3),MIN($J34,AF$2),Data!$K$4:$K$203)/$K34)))</f>
        <v>0</v>
      </c>
      <c r="AG34" s="166">
        <f>IF(OR($I34="",$E34=0),0,IF(OR($J34&lt;AG$3,$I34&gt;AG$2),0,IF($K34=0,IF(AND($I34&gt;=AG$3,$I34&lt;=AG$2),$E34,0),$E34*NETWORKDAYS(MAX($I34,AG$3),MIN($J34,AG$2),Data!$K$4:$K$203)/$K34)))</f>
        <v>0</v>
      </c>
      <c r="AH34" s="166">
        <f>IF(OR($I34="",$E34=0),0,IF(OR($J34&lt;AH$3,$I34&gt;AH$2),0,IF($K34=0,IF(AND($I34&gt;=AH$3,$I34&lt;=AH$2),$E34,0),$E34*NETWORKDAYS(MAX($I34,AH$3),MIN($J34,AH$2),Data!$K$4:$K$203)/$K34)))</f>
        <v>0</v>
      </c>
      <c r="AI34" s="166">
        <f>SUM(W34:AH34)</f>
        <v>0</v>
      </c>
      <c r="BW34" t="n">
        <v>31</v>
      </c>
      <c r="BX34" t="str">
        <f>IFERROR(MATCH(BW34,$EQ$4:$EQ$503,0),"")</f>
        <v/>
      </c>
      <c r="BZ34" t="str">
        <f>IF(D34=1,IF(TRIM(INDEX(Charge!$K:$K,ROW()))&lt;&gt;"",TRIM(INDEX(Charge!$K:$K,ROW())),IF(TRIM(INDEX(Charge!$L:$L,ROW()))&lt;&gt;"",TRIM(INDEX(Charge!$L:$L,ROW())),"(non affecté)")),"")</f>
        <v/>
      </c>
      <c r="CA34" t="str">
        <f>IF(AND($CD$4&lt;&gt;"",BZ34=$CD$4),COUNTIFS($BZ$4:$BZ$503,$CD$4,$L$4:$L$503,"&lt;"&amp;L34)+1,"")</f>
        <v/>
      </c>
      <c r="EJ34" t="str">
        <f>TRIM(INDEX(Data!$E:$E,ROW()))</f>
        <v/>
      </c>
      <c r="EK34" t="str">
        <f>TRIM(INDEX(Data!$H:$H,ROW()))</f>
        <v/>
      </c>
      <c r="EM34" t="str">
        <f>IF(D34=1,IF(TRIM(INDEX(Charge!$K:$K,ROW()))&lt;&gt;"","Interne",IF(TRIM(INDEX(Charge!$L:$L,ROW()))&lt;&gt;"","Externe","Non affecté")),"")</f>
        <v/>
      </c>
      <c r="EN34" t="str">
        <f>IF(D34=1,LEFT(SUBSTITUTE(SUBSTITUTE(SUBSTITUTE(TRIM(SUBSTITUTE(INDEX(Charge!$B:$B,ROW()),CHAR(160)," "))&amp;" | "&amp;TRIM(SUBSTITUTE(INDEX(Charge!$C:$C,ROW()),CHAR(160)," "))&amp;" | "&amp;TRIM(SUBSTITUTE(INDEX(Charge!$D:$D,ROW()),CHAR(160)," ")),"~","-"),"*","+"),"?","!"),240),"")</f>
        <v/>
      </c>
      <c r="EO34">
        <f>IF(EN34="",0,IF(COUNTIF($EN$4:EN34,EN34)=1,1,0))</f>
        <v>0</v>
      </c>
      <c r="EP34" s="166" t="str">
        <f>IF(EO34=1,ROUND(SUMIF($EN$4:$EN$503,EN34,$E$4:$E$503),2),"")</f>
        <v/>
      </c>
      <c r="EQ34" t="str">
        <f>IF(EO34=1,COUNTIFS($EO$4:$EO$503,1,$EP$4:$EP$503,"&gt;"&amp;EP34)+COUNTIFS($EO$4:EO34,1,$EP$4:EP34,EP34),"")</f>
        <v/>
      </c>
      <c r="ER34" t="str">
        <f>IF(EO34=1,COUNTIFS($EN$4:$EN$503,EN34,$EM$4:$EM$503,"Interne",$FE$4:$FE$503,1),"")</f>
        <v/>
      </c>
      <c r="ES34" t="str">
        <f>IF(EO34=1,COUNTIFS($EN$4:$EN$503,EN34,$EM$4:$EM$503,"Externe",$FE$4:$FE$503,1),"")</f>
        <v/>
      </c>
      <c r="ET34" t="str">
        <f>IF(EO34=1,IF(ER34+ES34=0,"à affecter",IF(ER34=0,ES34&amp;" ext.",(ER34+ES34)&amp;IF(ES34&gt;0," dont "&amp;ES34&amp;" ext.",""))&amp;IF(COUNTIFS($EN$4:$EN$503,EN34,$EM$4:$EM$503,"Non affecté")&gt;0," + à affecter","")),"")</f>
        <v/>
      </c>
      <c r="EU34" s="170" t="str">
        <f>IF(EO34=1,IF(EP34&gt;0,SUMPRODUCT(($EN$4:$EN$503=EN34)*$E$4:$E$503*$C$4:$C$503)/EP34,AVERAGEIF($EN$4:$EN$503,EN34,$C$4:$C$503)),"")</f>
        <v/>
      </c>
      <c r="EV34" s="165">
        <f>IF(ISNUMBER(I34),I34,2958465)</f>
        <v>2958465.0</v>
      </c>
      <c r="EW34" s="165" t="str">
        <f>IF(EO34=1,SUMPRODUCT(MIN(($EN$4:$EN$503=EN34)*$EV$4:$EV$503+($EN$4:$EN$503&lt;&gt;EN34)*2958465)),"")</f>
        <v/>
      </c>
      <c r="EX34" s="165">
        <f>IF(AND(D34=1,ISNUMBER(INDEX(Charge!$F:$F,ROW()))),INDEX(Charge!$F:$F,ROW()),0)</f>
        <v>0.0</v>
      </c>
      <c r="EY34" s="165" t="str">
        <f>IF(EO34=1,SUMPRODUCT(MAX(($EN$4:$EN$503=EN34)*$EX$4:$EX$503)),"")</f>
        <v/>
      </c>
      <c r="FA34" t="str">
        <f>IF(31&lt;=$CD$23,INDEX($EJ$4:$EJ$203,31),IF(31-$CD$23&lt;=$CD$26,INDEX($EK$4:$EK$203,31-$CD$23),""))</f>
        <v/>
      </c>
      <c r="FB34" t="str">
        <f>IF(FA34="","",IF(31&lt;=$CD$23,"Interne","Externe"))</f>
        <v/>
      </c>
      <c r="FD34">
        <f>IF(AND(B34=1,TRIM(INDEX(Charge!$K:$K,ROW()))&lt;&gt;"",TRIM(INDEX(Charge!$L:$L,ROW()))&lt;&gt;""),1,0)</f>
        <v>0</v>
      </c>
      <c r="FE34">
        <f>IF(OR(EN34="",BZ34="(non affecté)"),0,IF(COUNTIFS($EN$4:EN34,EN34,$BZ$4:BZ34,BZ34)=1,1,0))</f>
        <v>0</v>
      </c>
    </row>
    <row r="35">
      <c r="A35">
        <f>ROW()</f>
        <v>35</v>
      </c>
      <c r="B35">
        <f>IF(TRIM(INDEX(Charge!$B:$B,ROW()))&lt;&gt;"",1,0)</f>
        <v>0</v>
      </c>
      <c r="C35">
        <f>IF(B35=1,MIN(1,MAX(0,N(INDEX(Charge!$O:$O,ROW())))),0)</f>
        <v>0</v>
      </c>
      <c r="D35">
        <f>IF(B35=1,IF(OR(p_Perimetre="Tous les projets",C35&lt;1),1,0),0)</f>
        <v>0</v>
      </c>
      <c r="E35">
        <f>IF(D35=1,MAX(0,N(INDEX(Charge!$M:$M,ROW()))),0)</f>
        <v>0</v>
      </c>
      <c r="F35" t="str">
        <f>IF(D35=1,IF(TRIM(INDEX(Charge!$A:$A,ROW()))="","(non renseigné)",TRIM(INDEX(Charge!$A:$A,ROW()))),"")</f>
        <v/>
      </c>
      <c r="G35" t="str">
        <f>IF(D35=1,TRIM(INDEX(Charge!$B:$B,ROW())),"")</f>
        <v/>
      </c>
      <c r="H35" t="str">
        <f>IF(D35=1,IF(TRIM(INDEX(Charge!$E:$E,ROW()))="","(non renseigné)",TRIM(INDEX(Charge!$E:$E,ROW()))),"")</f>
        <v/>
      </c>
      <c r="I35" s="165" t="str">
        <f>IF(AND(D35=1,ISNUMBER(INDEX(Charge!$N:$N,ROW()))),INDEX(Charge!$N:$N,ROW()),"")</f>
        <v/>
      </c>
      <c r="J35" s="165" t="str">
        <f>IF(I35="","",IF(AND(p_Repartition="Lissée jusqu'à la date de besoin",ISNUMBER(INDEX(Charge!$F:$F,ROW()))),IF(INDEX(Charge!$F:$F,ROW())&gt;=I35,INDEX(Charge!$F:$F,ROW()),I35),I35))</f>
        <v/>
      </c>
      <c r="K35" t="str">
        <f>IF(I35="","",NETWORKDAYS(I35,J35,Data!$K$4:$K$203))</f>
        <v/>
      </c>
      <c r="L35" t="str">
        <f>IF(D35=1,COUNTIFS($D$4:$D$503,1,$E$4:$E$503,"&gt;"&amp;E35)+COUNTIFS($D$4:$D35,1,$E$4:$E35,E35),"")</f>
        <v/>
      </c>
      <c r="M35">
        <f>IF(F35="",0,IF(COUNTIF($F$4:F35,F35)=1,1,0))</f>
        <v>0</v>
      </c>
      <c r="N35" t="str">
        <f>IF(M35=1,ROUND(SUMIF($F$4:$F$503,F35,$E$4:$E$503),2),"")</f>
        <v/>
      </c>
      <c r="O35" t="str">
        <f>IF(M35=1,COUNTIFS($M$4:$M$503,1,$N$4:$N$503,"&gt;"&amp;N35)+COUNTIFS($M$4:M35,1,$N$4:N35,N35),"")</f>
        <v/>
      </c>
      <c r="P35">
        <f>IF(G35="",0,IF(COUNTIF($G$4:G35,G35)=1,1,0))</f>
        <v>0</v>
      </c>
      <c r="Q35" t="str">
        <f>IF(P35=1,ROUND(SUMIF($G$4:$G$503,G35,$E$4:$E$503),2),"")</f>
        <v/>
      </c>
      <c r="R35" t="str">
        <f>IF(P35=1,COUNTIFS($P$4:$P$503,1,$Q$4:$Q$503,"&gt;"&amp;Q35)+COUNTIFS($P$4:P35,1,$Q$4:Q35,Q35),"")</f>
        <v/>
      </c>
      <c r="S35">
        <f>IF(H35="",0,IF(COUNTIF($H$4:H35,H35)=1,1,0))</f>
        <v>0</v>
      </c>
      <c r="T35" t="str">
        <f>IF(S35=1,ROUND(SUMIF($H$4:$H$503,H35,$E$4:$E$503),2),"")</f>
        <v/>
      </c>
      <c r="U35" t="str">
        <f>IF(S35=1,COUNTIFS($S$4:$S$503,1,$T$4:$T$503,"&gt;"&amp;T35)+COUNTIFS($S$4:S35,1,$T$4:T35,T35),"")</f>
        <v/>
      </c>
      <c r="V35" t="str">
        <f>IF(D35=1,MIN(INDEX($R$4:$R$503,MATCH(G35,$G$4:$G$503,0)),IF($AL$7&gt;9,9,999)),"")</f>
        <v/>
      </c>
      <c r="W35" s="166">
        <f>IF(OR($I35="",$E35=0),0,IF(OR($J35&lt;W$3,$I35&gt;W$2),0,IF($K35=0,IF(AND($I35&gt;=W$3,$I35&lt;=W$2),$E35,0),$E35*NETWORKDAYS(MAX($I35,W$3),MIN($J35,W$2),Data!$K$4:$K$203)/$K35)))</f>
        <v>0</v>
      </c>
      <c r="X35" s="166">
        <f>IF(OR($I35="",$E35=0),0,IF(OR($J35&lt;X$3,$I35&gt;X$2),0,IF($K35=0,IF(AND($I35&gt;=X$3,$I35&lt;=X$2),$E35,0),$E35*NETWORKDAYS(MAX($I35,X$3),MIN($J35,X$2),Data!$K$4:$K$203)/$K35)))</f>
        <v>0</v>
      </c>
      <c r="Y35" s="166">
        <f>IF(OR($I35="",$E35=0),0,IF(OR($J35&lt;Y$3,$I35&gt;Y$2),0,IF($K35=0,IF(AND($I35&gt;=Y$3,$I35&lt;=Y$2),$E35,0),$E35*NETWORKDAYS(MAX($I35,Y$3),MIN($J35,Y$2),Data!$K$4:$K$203)/$K35)))</f>
        <v>0</v>
      </c>
      <c r="Z35" s="166">
        <f>IF(OR($I35="",$E35=0),0,IF(OR($J35&lt;Z$3,$I35&gt;Z$2),0,IF($K35=0,IF(AND($I35&gt;=Z$3,$I35&lt;=Z$2),$E35,0),$E35*NETWORKDAYS(MAX($I35,Z$3),MIN($J35,Z$2),Data!$K$4:$K$203)/$K35)))</f>
        <v>0</v>
      </c>
      <c r="AA35" s="166">
        <f>IF(OR($I35="",$E35=0),0,IF(OR($J35&lt;AA$3,$I35&gt;AA$2),0,IF($K35=0,IF(AND($I35&gt;=AA$3,$I35&lt;=AA$2),$E35,0),$E35*NETWORKDAYS(MAX($I35,AA$3),MIN($J35,AA$2),Data!$K$4:$K$203)/$K35)))</f>
        <v>0</v>
      </c>
      <c r="AB35" s="166">
        <f>IF(OR($I35="",$E35=0),0,IF(OR($J35&lt;AB$3,$I35&gt;AB$2),0,IF($K35=0,IF(AND($I35&gt;=AB$3,$I35&lt;=AB$2),$E35,0),$E35*NETWORKDAYS(MAX($I35,AB$3),MIN($J35,AB$2),Data!$K$4:$K$203)/$K35)))</f>
        <v>0</v>
      </c>
      <c r="AC35" s="166">
        <f>IF(OR($I35="",$E35=0),0,IF(OR($J35&lt;AC$3,$I35&gt;AC$2),0,IF($K35=0,IF(AND($I35&gt;=AC$3,$I35&lt;=AC$2),$E35,0),$E35*NETWORKDAYS(MAX($I35,AC$3),MIN($J35,AC$2),Data!$K$4:$K$203)/$K35)))</f>
        <v>0</v>
      </c>
      <c r="AD35" s="166">
        <f>IF(OR($I35="",$E35=0),0,IF(OR($J35&lt;AD$3,$I35&gt;AD$2),0,IF($K35=0,IF(AND($I35&gt;=AD$3,$I35&lt;=AD$2),$E35,0),$E35*NETWORKDAYS(MAX($I35,AD$3),MIN($J35,AD$2),Data!$K$4:$K$203)/$K35)))</f>
        <v>0</v>
      </c>
      <c r="AE35" s="166">
        <f>IF(OR($I35="",$E35=0),0,IF(OR($J35&lt;AE$3,$I35&gt;AE$2),0,IF($K35=0,IF(AND($I35&gt;=AE$3,$I35&lt;=AE$2),$E35,0),$E35*NETWORKDAYS(MAX($I35,AE$3),MIN($J35,AE$2),Data!$K$4:$K$203)/$K35)))</f>
        <v>0</v>
      </c>
      <c r="AF35" s="166">
        <f>IF(OR($I35="",$E35=0),0,IF(OR($J35&lt;AF$3,$I35&gt;AF$2),0,IF($K35=0,IF(AND($I35&gt;=AF$3,$I35&lt;=AF$2),$E35,0),$E35*NETWORKDAYS(MAX($I35,AF$3),MIN($J35,AF$2),Data!$K$4:$K$203)/$K35)))</f>
        <v>0</v>
      </c>
      <c r="AG35" s="166">
        <f>IF(OR($I35="",$E35=0),0,IF(OR($J35&lt;AG$3,$I35&gt;AG$2),0,IF($K35=0,IF(AND($I35&gt;=AG$3,$I35&lt;=AG$2),$E35,0),$E35*NETWORKDAYS(MAX($I35,AG$3),MIN($J35,AG$2),Data!$K$4:$K$203)/$K35)))</f>
        <v>0</v>
      </c>
      <c r="AH35" s="166">
        <f>IF(OR($I35="",$E35=0),0,IF(OR($J35&lt;AH$3,$I35&gt;AH$2),0,IF($K35=0,IF(AND($I35&gt;=AH$3,$I35&lt;=AH$2),$E35,0),$E35*NETWORKDAYS(MAX($I35,AH$3),MIN($J35,AH$2),Data!$K$4:$K$203)/$K35)))</f>
        <v>0</v>
      </c>
      <c r="AI35" s="166">
        <f>SUM(W35:AH35)</f>
        <v>0</v>
      </c>
      <c r="BW35" t="n">
        <v>32</v>
      </c>
      <c r="BX35" t="str">
        <f>IFERROR(MATCH(BW35,$EQ$4:$EQ$503,0),"")</f>
        <v/>
      </c>
      <c r="BZ35" t="str">
        <f>IF(D35=1,IF(TRIM(INDEX(Charge!$K:$K,ROW()))&lt;&gt;"",TRIM(INDEX(Charge!$K:$K,ROW())),IF(TRIM(INDEX(Charge!$L:$L,ROW()))&lt;&gt;"",TRIM(INDEX(Charge!$L:$L,ROW())),"(non affecté)")),"")</f>
        <v/>
      </c>
      <c r="CA35" t="str">
        <f>IF(AND($CD$4&lt;&gt;"",BZ35=$CD$4),COUNTIFS($BZ$4:$BZ$503,$CD$4,$L$4:$L$503,"&lt;"&amp;L35)+1,"")</f>
        <v/>
      </c>
      <c r="EJ35" t="str">
        <f>TRIM(INDEX(Data!$E:$E,ROW()))</f>
        <v/>
      </c>
      <c r="EK35" t="str">
        <f>TRIM(INDEX(Data!$H:$H,ROW()))</f>
        <v/>
      </c>
      <c r="EM35" t="str">
        <f>IF(D35=1,IF(TRIM(INDEX(Charge!$K:$K,ROW()))&lt;&gt;"","Interne",IF(TRIM(INDEX(Charge!$L:$L,ROW()))&lt;&gt;"","Externe","Non affecté")),"")</f>
        <v/>
      </c>
      <c r="EN35" t="str">
        <f>IF(D35=1,LEFT(SUBSTITUTE(SUBSTITUTE(SUBSTITUTE(TRIM(SUBSTITUTE(INDEX(Charge!$B:$B,ROW()),CHAR(160)," "))&amp;" | "&amp;TRIM(SUBSTITUTE(INDEX(Charge!$C:$C,ROW()),CHAR(160)," "))&amp;" | "&amp;TRIM(SUBSTITUTE(INDEX(Charge!$D:$D,ROW()),CHAR(160)," ")),"~","-"),"*","+"),"?","!"),240),"")</f>
        <v/>
      </c>
      <c r="EO35">
        <f>IF(EN35="",0,IF(COUNTIF($EN$4:EN35,EN35)=1,1,0))</f>
        <v>0</v>
      </c>
      <c r="EP35" s="166" t="str">
        <f>IF(EO35=1,ROUND(SUMIF($EN$4:$EN$503,EN35,$E$4:$E$503),2),"")</f>
        <v/>
      </c>
      <c r="EQ35" t="str">
        <f>IF(EO35=1,COUNTIFS($EO$4:$EO$503,1,$EP$4:$EP$503,"&gt;"&amp;EP35)+COUNTIFS($EO$4:EO35,1,$EP$4:EP35,EP35),"")</f>
        <v/>
      </c>
      <c r="ER35" t="str">
        <f>IF(EO35=1,COUNTIFS($EN$4:$EN$503,EN35,$EM$4:$EM$503,"Interne",$FE$4:$FE$503,1),"")</f>
        <v/>
      </c>
      <c r="ES35" t="str">
        <f>IF(EO35=1,COUNTIFS($EN$4:$EN$503,EN35,$EM$4:$EM$503,"Externe",$FE$4:$FE$503,1),"")</f>
        <v/>
      </c>
      <c r="ET35" t="str">
        <f>IF(EO35=1,IF(ER35+ES35=0,"à affecter",IF(ER35=0,ES35&amp;" ext.",(ER35+ES35)&amp;IF(ES35&gt;0," dont "&amp;ES35&amp;" ext.",""))&amp;IF(COUNTIFS($EN$4:$EN$503,EN35,$EM$4:$EM$503,"Non affecté")&gt;0," + à affecter","")),"")</f>
        <v/>
      </c>
      <c r="EU35" s="170" t="str">
        <f>IF(EO35=1,IF(EP35&gt;0,SUMPRODUCT(($EN$4:$EN$503=EN35)*$E$4:$E$503*$C$4:$C$503)/EP35,AVERAGEIF($EN$4:$EN$503,EN35,$C$4:$C$503)),"")</f>
        <v/>
      </c>
      <c r="EV35" s="165">
        <f>IF(ISNUMBER(I35),I35,2958465)</f>
        <v>2958465.0</v>
      </c>
      <c r="EW35" s="165" t="str">
        <f>IF(EO35=1,SUMPRODUCT(MIN(($EN$4:$EN$503=EN35)*$EV$4:$EV$503+($EN$4:$EN$503&lt;&gt;EN35)*2958465)),"")</f>
        <v/>
      </c>
      <c r="EX35" s="165">
        <f>IF(AND(D35=1,ISNUMBER(INDEX(Charge!$F:$F,ROW()))),INDEX(Charge!$F:$F,ROW()),0)</f>
        <v>0.0</v>
      </c>
      <c r="EY35" s="165" t="str">
        <f>IF(EO35=1,SUMPRODUCT(MAX(($EN$4:$EN$503=EN35)*$EX$4:$EX$503)),"")</f>
        <v/>
      </c>
      <c r="FA35" t="str">
        <f>IF(32&lt;=$CD$23,INDEX($EJ$4:$EJ$203,32),IF(32-$CD$23&lt;=$CD$26,INDEX($EK$4:$EK$203,32-$CD$23),""))</f>
        <v/>
      </c>
      <c r="FB35" t="str">
        <f>IF(FA35="","",IF(32&lt;=$CD$23,"Interne","Externe"))</f>
        <v/>
      </c>
      <c r="FD35">
        <f>IF(AND(B35=1,TRIM(INDEX(Charge!$K:$K,ROW()))&lt;&gt;"",TRIM(INDEX(Charge!$L:$L,ROW()))&lt;&gt;""),1,0)</f>
        <v>0</v>
      </c>
      <c r="FE35">
        <f>IF(OR(EN35="",BZ35="(non affecté)"),0,IF(COUNTIFS($EN$4:EN35,EN35,$BZ$4:BZ35,BZ35)=1,1,0))</f>
        <v>0</v>
      </c>
    </row>
    <row r="36">
      <c r="A36">
        <f>ROW()</f>
        <v>36</v>
      </c>
      <c r="B36">
        <f>IF(TRIM(INDEX(Charge!$B:$B,ROW()))&lt;&gt;"",1,0)</f>
        <v>0</v>
      </c>
      <c r="C36">
        <f>IF(B36=1,MIN(1,MAX(0,N(INDEX(Charge!$O:$O,ROW())))),0)</f>
        <v>0</v>
      </c>
      <c r="D36">
        <f>IF(B36=1,IF(OR(p_Perimetre="Tous les projets",C36&lt;1),1,0),0)</f>
        <v>0</v>
      </c>
      <c r="E36">
        <f>IF(D36=1,MAX(0,N(INDEX(Charge!$M:$M,ROW()))),0)</f>
        <v>0</v>
      </c>
      <c r="F36" t="str">
        <f>IF(D36=1,IF(TRIM(INDEX(Charge!$A:$A,ROW()))="","(non renseigné)",TRIM(INDEX(Charge!$A:$A,ROW()))),"")</f>
        <v/>
      </c>
      <c r="G36" t="str">
        <f>IF(D36=1,TRIM(INDEX(Charge!$B:$B,ROW())),"")</f>
        <v/>
      </c>
      <c r="H36" t="str">
        <f>IF(D36=1,IF(TRIM(INDEX(Charge!$E:$E,ROW()))="","(non renseigné)",TRIM(INDEX(Charge!$E:$E,ROW()))),"")</f>
        <v/>
      </c>
      <c r="I36" s="165" t="str">
        <f>IF(AND(D36=1,ISNUMBER(INDEX(Charge!$N:$N,ROW()))),INDEX(Charge!$N:$N,ROW()),"")</f>
        <v/>
      </c>
      <c r="J36" s="165" t="str">
        <f>IF(I36="","",IF(AND(p_Repartition="Lissée jusqu'à la date de besoin",ISNUMBER(INDEX(Charge!$F:$F,ROW()))),IF(INDEX(Charge!$F:$F,ROW())&gt;=I36,INDEX(Charge!$F:$F,ROW()),I36),I36))</f>
        <v/>
      </c>
      <c r="K36" t="str">
        <f>IF(I36="","",NETWORKDAYS(I36,J36,Data!$K$4:$K$203))</f>
        <v/>
      </c>
      <c r="L36" t="str">
        <f>IF(D36=1,COUNTIFS($D$4:$D$503,1,$E$4:$E$503,"&gt;"&amp;E36)+COUNTIFS($D$4:$D36,1,$E$4:$E36,E36),"")</f>
        <v/>
      </c>
      <c r="M36">
        <f>IF(F36="",0,IF(COUNTIF($F$4:F36,F36)=1,1,0))</f>
        <v>0</v>
      </c>
      <c r="N36" t="str">
        <f>IF(M36=1,ROUND(SUMIF($F$4:$F$503,F36,$E$4:$E$503),2),"")</f>
        <v/>
      </c>
      <c r="O36" t="str">
        <f>IF(M36=1,COUNTIFS($M$4:$M$503,1,$N$4:$N$503,"&gt;"&amp;N36)+COUNTIFS($M$4:M36,1,$N$4:N36,N36),"")</f>
        <v/>
      </c>
      <c r="P36">
        <f>IF(G36="",0,IF(COUNTIF($G$4:G36,G36)=1,1,0))</f>
        <v>0</v>
      </c>
      <c r="Q36" t="str">
        <f>IF(P36=1,ROUND(SUMIF($G$4:$G$503,G36,$E$4:$E$503),2),"")</f>
        <v/>
      </c>
      <c r="R36" t="str">
        <f>IF(P36=1,COUNTIFS($P$4:$P$503,1,$Q$4:$Q$503,"&gt;"&amp;Q36)+COUNTIFS($P$4:P36,1,$Q$4:Q36,Q36),"")</f>
        <v/>
      </c>
      <c r="S36">
        <f>IF(H36="",0,IF(COUNTIF($H$4:H36,H36)=1,1,0))</f>
        <v>0</v>
      </c>
      <c r="T36" t="str">
        <f>IF(S36=1,ROUND(SUMIF($H$4:$H$503,H36,$E$4:$E$503),2),"")</f>
        <v/>
      </c>
      <c r="U36" t="str">
        <f>IF(S36=1,COUNTIFS($S$4:$S$503,1,$T$4:$T$503,"&gt;"&amp;T36)+COUNTIFS($S$4:S36,1,$T$4:T36,T36),"")</f>
        <v/>
      </c>
      <c r="V36" t="str">
        <f>IF(D36=1,MIN(INDEX($R$4:$R$503,MATCH(G36,$G$4:$G$503,0)),IF($AL$7&gt;9,9,999)),"")</f>
        <v/>
      </c>
      <c r="W36" s="166">
        <f>IF(OR($I36="",$E36=0),0,IF(OR($J36&lt;W$3,$I36&gt;W$2),0,IF($K36=0,IF(AND($I36&gt;=W$3,$I36&lt;=W$2),$E36,0),$E36*NETWORKDAYS(MAX($I36,W$3),MIN($J36,W$2),Data!$K$4:$K$203)/$K36)))</f>
        <v>0</v>
      </c>
      <c r="X36" s="166">
        <f>IF(OR($I36="",$E36=0),0,IF(OR($J36&lt;X$3,$I36&gt;X$2),0,IF($K36=0,IF(AND($I36&gt;=X$3,$I36&lt;=X$2),$E36,0),$E36*NETWORKDAYS(MAX($I36,X$3),MIN($J36,X$2),Data!$K$4:$K$203)/$K36)))</f>
        <v>0</v>
      </c>
      <c r="Y36" s="166">
        <f>IF(OR($I36="",$E36=0),0,IF(OR($J36&lt;Y$3,$I36&gt;Y$2),0,IF($K36=0,IF(AND($I36&gt;=Y$3,$I36&lt;=Y$2),$E36,0),$E36*NETWORKDAYS(MAX($I36,Y$3),MIN($J36,Y$2),Data!$K$4:$K$203)/$K36)))</f>
        <v>0</v>
      </c>
      <c r="Z36" s="166">
        <f>IF(OR($I36="",$E36=0),0,IF(OR($J36&lt;Z$3,$I36&gt;Z$2),0,IF($K36=0,IF(AND($I36&gt;=Z$3,$I36&lt;=Z$2),$E36,0),$E36*NETWORKDAYS(MAX($I36,Z$3),MIN($J36,Z$2),Data!$K$4:$K$203)/$K36)))</f>
        <v>0</v>
      </c>
      <c r="AA36" s="166">
        <f>IF(OR($I36="",$E36=0),0,IF(OR($J36&lt;AA$3,$I36&gt;AA$2),0,IF($K36=0,IF(AND($I36&gt;=AA$3,$I36&lt;=AA$2),$E36,0),$E36*NETWORKDAYS(MAX($I36,AA$3),MIN($J36,AA$2),Data!$K$4:$K$203)/$K36)))</f>
        <v>0</v>
      </c>
      <c r="AB36" s="166">
        <f>IF(OR($I36="",$E36=0),0,IF(OR($J36&lt;AB$3,$I36&gt;AB$2),0,IF($K36=0,IF(AND($I36&gt;=AB$3,$I36&lt;=AB$2),$E36,0),$E36*NETWORKDAYS(MAX($I36,AB$3),MIN($J36,AB$2),Data!$K$4:$K$203)/$K36)))</f>
        <v>0</v>
      </c>
      <c r="AC36" s="166">
        <f>IF(OR($I36="",$E36=0),0,IF(OR($J36&lt;AC$3,$I36&gt;AC$2),0,IF($K36=0,IF(AND($I36&gt;=AC$3,$I36&lt;=AC$2),$E36,0),$E36*NETWORKDAYS(MAX($I36,AC$3),MIN($J36,AC$2),Data!$K$4:$K$203)/$K36)))</f>
        <v>0</v>
      </c>
      <c r="AD36" s="166">
        <f>IF(OR($I36="",$E36=0),0,IF(OR($J36&lt;AD$3,$I36&gt;AD$2),0,IF($K36=0,IF(AND($I36&gt;=AD$3,$I36&lt;=AD$2),$E36,0),$E36*NETWORKDAYS(MAX($I36,AD$3),MIN($J36,AD$2),Data!$K$4:$K$203)/$K36)))</f>
        <v>0</v>
      </c>
      <c r="AE36" s="166">
        <f>IF(OR($I36="",$E36=0),0,IF(OR($J36&lt;AE$3,$I36&gt;AE$2),0,IF($K36=0,IF(AND($I36&gt;=AE$3,$I36&lt;=AE$2),$E36,0),$E36*NETWORKDAYS(MAX($I36,AE$3),MIN($J36,AE$2),Data!$K$4:$K$203)/$K36)))</f>
        <v>0</v>
      </c>
      <c r="AF36" s="166">
        <f>IF(OR($I36="",$E36=0),0,IF(OR($J36&lt;AF$3,$I36&gt;AF$2),0,IF($K36=0,IF(AND($I36&gt;=AF$3,$I36&lt;=AF$2),$E36,0),$E36*NETWORKDAYS(MAX($I36,AF$3),MIN($J36,AF$2),Data!$K$4:$K$203)/$K36)))</f>
        <v>0</v>
      </c>
      <c r="AG36" s="166">
        <f>IF(OR($I36="",$E36=0),0,IF(OR($J36&lt;AG$3,$I36&gt;AG$2),0,IF($K36=0,IF(AND($I36&gt;=AG$3,$I36&lt;=AG$2),$E36,0),$E36*NETWORKDAYS(MAX($I36,AG$3),MIN($J36,AG$2),Data!$K$4:$K$203)/$K36)))</f>
        <v>0</v>
      </c>
      <c r="AH36" s="166">
        <f>IF(OR($I36="",$E36=0),0,IF(OR($J36&lt;AH$3,$I36&gt;AH$2),0,IF($K36=0,IF(AND($I36&gt;=AH$3,$I36&lt;=AH$2),$E36,0),$E36*NETWORKDAYS(MAX($I36,AH$3),MIN($J36,AH$2),Data!$K$4:$K$203)/$K36)))</f>
        <v>0</v>
      </c>
      <c r="AI36" s="166">
        <f>SUM(W36:AH36)</f>
        <v>0</v>
      </c>
      <c r="BW36" t="n">
        <v>33</v>
      </c>
      <c r="BX36" t="str">
        <f>IFERROR(MATCH(BW36,$EQ$4:$EQ$503,0),"")</f>
        <v/>
      </c>
      <c r="BZ36" t="str">
        <f>IF(D36=1,IF(TRIM(INDEX(Charge!$K:$K,ROW()))&lt;&gt;"",TRIM(INDEX(Charge!$K:$K,ROW())),IF(TRIM(INDEX(Charge!$L:$L,ROW()))&lt;&gt;"",TRIM(INDEX(Charge!$L:$L,ROW())),"(non affecté)")),"")</f>
        <v/>
      </c>
      <c r="CA36" t="str">
        <f>IF(AND($CD$4&lt;&gt;"",BZ36=$CD$4),COUNTIFS($BZ$4:$BZ$503,$CD$4,$L$4:$L$503,"&lt;"&amp;L36)+1,"")</f>
        <v/>
      </c>
      <c r="EJ36" t="str">
        <f>TRIM(INDEX(Data!$E:$E,ROW()))</f>
        <v/>
      </c>
      <c r="EK36" t="str">
        <f>TRIM(INDEX(Data!$H:$H,ROW()))</f>
        <v/>
      </c>
      <c r="EM36" t="str">
        <f>IF(D36=1,IF(TRIM(INDEX(Charge!$K:$K,ROW()))&lt;&gt;"","Interne",IF(TRIM(INDEX(Charge!$L:$L,ROW()))&lt;&gt;"","Externe","Non affecté")),"")</f>
        <v/>
      </c>
      <c r="EN36" t="str">
        <f>IF(D36=1,LEFT(SUBSTITUTE(SUBSTITUTE(SUBSTITUTE(TRIM(SUBSTITUTE(INDEX(Charge!$B:$B,ROW()),CHAR(160)," "))&amp;" | "&amp;TRIM(SUBSTITUTE(INDEX(Charge!$C:$C,ROW()),CHAR(160)," "))&amp;" | "&amp;TRIM(SUBSTITUTE(INDEX(Charge!$D:$D,ROW()),CHAR(160)," ")),"~","-"),"*","+"),"?","!"),240),"")</f>
        <v/>
      </c>
      <c r="EO36">
        <f>IF(EN36="",0,IF(COUNTIF($EN$4:EN36,EN36)=1,1,0))</f>
        <v>0</v>
      </c>
      <c r="EP36" s="166" t="str">
        <f>IF(EO36=1,ROUND(SUMIF($EN$4:$EN$503,EN36,$E$4:$E$503),2),"")</f>
        <v/>
      </c>
      <c r="EQ36" t="str">
        <f>IF(EO36=1,COUNTIFS($EO$4:$EO$503,1,$EP$4:$EP$503,"&gt;"&amp;EP36)+COUNTIFS($EO$4:EO36,1,$EP$4:EP36,EP36),"")</f>
        <v/>
      </c>
      <c r="ER36" t="str">
        <f>IF(EO36=1,COUNTIFS($EN$4:$EN$503,EN36,$EM$4:$EM$503,"Interne",$FE$4:$FE$503,1),"")</f>
        <v/>
      </c>
      <c r="ES36" t="str">
        <f>IF(EO36=1,COUNTIFS($EN$4:$EN$503,EN36,$EM$4:$EM$503,"Externe",$FE$4:$FE$503,1),"")</f>
        <v/>
      </c>
      <c r="ET36" t="str">
        <f>IF(EO36=1,IF(ER36+ES36=0,"à affecter",IF(ER36=0,ES36&amp;" ext.",(ER36+ES36)&amp;IF(ES36&gt;0," dont "&amp;ES36&amp;" ext.",""))&amp;IF(COUNTIFS($EN$4:$EN$503,EN36,$EM$4:$EM$503,"Non affecté")&gt;0," + à affecter","")),"")</f>
        <v/>
      </c>
      <c r="EU36" s="170" t="str">
        <f>IF(EO36=1,IF(EP36&gt;0,SUMPRODUCT(($EN$4:$EN$503=EN36)*$E$4:$E$503*$C$4:$C$503)/EP36,AVERAGEIF($EN$4:$EN$503,EN36,$C$4:$C$503)),"")</f>
        <v/>
      </c>
      <c r="EV36" s="165">
        <f>IF(ISNUMBER(I36),I36,2958465)</f>
        <v>2958465.0</v>
      </c>
      <c r="EW36" s="165" t="str">
        <f>IF(EO36=1,SUMPRODUCT(MIN(($EN$4:$EN$503=EN36)*$EV$4:$EV$503+($EN$4:$EN$503&lt;&gt;EN36)*2958465)),"")</f>
        <v/>
      </c>
      <c r="EX36" s="165">
        <f>IF(AND(D36=1,ISNUMBER(INDEX(Charge!$F:$F,ROW()))),INDEX(Charge!$F:$F,ROW()),0)</f>
        <v>0.0</v>
      </c>
      <c r="EY36" s="165" t="str">
        <f>IF(EO36=1,SUMPRODUCT(MAX(($EN$4:$EN$503=EN36)*$EX$4:$EX$503)),"")</f>
        <v/>
      </c>
      <c r="FA36" t="str">
        <f>IF(33&lt;=$CD$23,INDEX($EJ$4:$EJ$203,33),IF(33-$CD$23&lt;=$CD$26,INDEX($EK$4:$EK$203,33-$CD$23),""))</f>
        <v/>
      </c>
      <c r="FB36" t="str">
        <f>IF(FA36="","",IF(33&lt;=$CD$23,"Interne","Externe"))</f>
        <v/>
      </c>
      <c r="FD36">
        <f>IF(AND(B36=1,TRIM(INDEX(Charge!$K:$K,ROW()))&lt;&gt;"",TRIM(INDEX(Charge!$L:$L,ROW()))&lt;&gt;""),1,0)</f>
        <v>0</v>
      </c>
      <c r="FE36">
        <f>IF(OR(EN36="",BZ36="(non affecté)"),0,IF(COUNTIFS($EN$4:EN36,EN36,$BZ$4:BZ36,BZ36)=1,1,0))</f>
        <v>0</v>
      </c>
    </row>
    <row r="37">
      <c r="A37">
        <f>ROW()</f>
        <v>37</v>
      </c>
      <c r="B37">
        <f>IF(TRIM(INDEX(Charge!$B:$B,ROW()))&lt;&gt;"",1,0)</f>
        <v>0</v>
      </c>
      <c r="C37">
        <f>IF(B37=1,MIN(1,MAX(0,N(INDEX(Charge!$O:$O,ROW())))),0)</f>
        <v>0</v>
      </c>
      <c r="D37">
        <f>IF(B37=1,IF(OR(p_Perimetre="Tous les projets",C37&lt;1),1,0),0)</f>
        <v>0</v>
      </c>
      <c r="E37">
        <f>IF(D37=1,MAX(0,N(INDEX(Charge!$M:$M,ROW()))),0)</f>
        <v>0</v>
      </c>
      <c r="F37" t="str">
        <f>IF(D37=1,IF(TRIM(INDEX(Charge!$A:$A,ROW()))="","(non renseigné)",TRIM(INDEX(Charge!$A:$A,ROW()))),"")</f>
        <v/>
      </c>
      <c r="G37" t="str">
        <f>IF(D37=1,TRIM(INDEX(Charge!$B:$B,ROW())),"")</f>
        <v/>
      </c>
      <c r="H37" t="str">
        <f>IF(D37=1,IF(TRIM(INDEX(Charge!$E:$E,ROW()))="","(non renseigné)",TRIM(INDEX(Charge!$E:$E,ROW()))),"")</f>
        <v/>
      </c>
      <c r="I37" s="165" t="str">
        <f>IF(AND(D37=1,ISNUMBER(INDEX(Charge!$N:$N,ROW()))),INDEX(Charge!$N:$N,ROW()),"")</f>
        <v/>
      </c>
      <c r="J37" s="165" t="str">
        <f>IF(I37="","",IF(AND(p_Repartition="Lissée jusqu'à la date de besoin",ISNUMBER(INDEX(Charge!$F:$F,ROW()))),IF(INDEX(Charge!$F:$F,ROW())&gt;=I37,INDEX(Charge!$F:$F,ROW()),I37),I37))</f>
        <v/>
      </c>
      <c r="K37" t="str">
        <f>IF(I37="","",NETWORKDAYS(I37,J37,Data!$K$4:$K$203))</f>
        <v/>
      </c>
      <c r="L37" t="str">
        <f>IF(D37=1,COUNTIFS($D$4:$D$503,1,$E$4:$E$503,"&gt;"&amp;E37)+COUNTIFS($D$4:$D37,1,$E$4:$E37,E37),"")</f>
        <v/>
      </c>
      <c r="M37">
        <f>IF(F37="",0,IF(COUNTIF($F$4:F37,F37)=1,1,0))</f>
        <v>0</v>
      </c>
      <c r="N37" t="str">
        <f>IF(M37=1,ROUND(SUMIF($F$4:$F$503,F37,$E$4:$E$503),2),"")</f>
        <v/>
      </c>
      <c r="O37" t="str">
        <f>IF(M37=1,COUNTIFS($M$4:$M$503,1,$N$4:$N$503,"&gt;"&amp;N37)+COUNTIFS($M$4:M37,1,$N$4:N37,N37),"")</f>
        <v/>
      </c>
      <c r="P37">
        <f>IF(G37="",0,IF(COUNTIF($G$4:G37,G37)=1,1,0))</f>
        <v>0</v>
      </c>
      <c r="Q37" t="str">
        <f>IF(P37=1,ROUND(SUMIF($G$4:$G$503,G37,$E$4:$E$503),2),"")</f>
        <v/>
      </c>
      <c r="R37" t="str">
        <f>IF(P37=1,COUNTIFS($P$4:$P$503,1,$Q$4:$Q$503,"&gt;"&amp;Q37)+COUNTIFS($P$4:P37,1,$Q$4:Q37,Q37),"")</f>
        <v/>
      </c>
      <c r="S37">
        <f>IF(H37="",0,IF(COUNTIF($H$4:H37,H37)=1,1,0))</f>
        <v>0</v>
      </c>
      <c r="T37" t="str">
        <f>IF(S37=1,ROUND(SUMIF($H$4:$H$503,H37,$E$4:$E$503),2),"")</f>
        <v/>
      </c>
      <c r="U37" t="str">
        <f>IF(S37=1,COUNTIFS($S$4:$S$503,1,$T$4:$T$503,"&gt;"&amp;T37)+COUNTIFS($S$4:S37,1,$T$4:T37,T37),"")</f>
        <v/>
      </c>
      <c r="V37" t="str">
        <f>IF(D37=1,MIN(INDEX($R$4:$R$503,MATCH(G37,$G$4:$G$503,0)),IF($AL$7&gt;9,9,999)),"")</f>
        <v/>
      </c>
      <c r="W37" s="166">
        <f>IF(OR($I37="",$E37=0),0,IF(OR($J37&lt;W$3,$I37&gt;W$2),0,IF($K37=0,IF(AND($I37&gt;=W$3,$I37&lt;=W$2),$E37,0),$E37*NETWORKDAYS(MAX($I37,W$3),MIN($J37,W$2),Data!$K$4:$K$203)/$K37)))</f>
        <v>0</v>
      </c>
      <c r="X37" s="166">
        <f>IF(OR($I37="",$E37=0),0,IF(OR($J37&lt;X$3,$I37&gt;X$2),0,IF($K37=0,IF(AND($I37&gt;=X$3,$I37&lt;=X$2),$E37,0),$E37*NETWORKDAYS(MAX($I37,X$3),MIN($J37,X$2),Data!$K$4:$K$203)/$K37)))</f>
        <v>0</v>
      </c>
      <c r="Y37" s="166">
        <f>IF(OR($I37="",$E37=0),0,IF(OR($J37&lt;Y$3,$I37&gt;Y$2),0,IF($K37=0,IF(AND($I37&gt;=Y$3,$I37&lt;=Y$2),$E37,0),$E37*NETWORKDAYS(MAX($I37,Y$3),MIN($J37,Y$2),Data!$K$4:$K$203)/$K37)))</f>
        <v>0</v>
      </c>
      <c r="Z37" s="166">
        <f>IF(OR($I37="",$E37=0),0,IF(OR($J37&lt;Z$3,$I37&gt;Z$2),0,IF($K37=0,IF(AND($I37&gt;=Z$3,$I37&lt;=Z$2),$E37,0),$E37*NETWORKDAYS(MAX($I37,Z$3),MIN($J37,Z$2),Data!$K$4:$K$203)/$K37)))</f>
        <v>0</v>
      </c>
      <c r="AA37" s="166">
        <f>IF(OR($I37="",$E37=0),0,IF(OR($J37&lt;AA$3,$I37&gt;AA$2),0,IF($K37=0,IF(AND($I37&gt;=AA$3,$I37&lt;=AA$2),$E37,0),$E37*NETWORKDAYS(MAX($I37,AA$3),MIN($J37,AA$2),Data!$K$4:$K$203)/$K37)))</f>
        <v>0</v>
      </c>
      <c r="AB37" s="166">
        <f>IF(OR($I37="",$E37=0),0,IF(OR($J37&lt;AB$3,$I37&gt;AB$2),0,IF($K37=0,IF(AND($I37&gt;=AB$3,$I37&lt;=AB$2),$E37,0),$E37*NETWORKDAYS(MAX($I37,AB$3),MIN($J37,AB$2),Data!$K$4:$K$203)/$K37)))</f>
        <v>0</v>
      </c>
      <c r="AC37" s="166">
        <f>IF(OR($I37="",$E37=0),0,IF(OR($J37&lt;AC$3,$I37&gt;AC$2),0,IF($K37=0,IF(AND($I37&gt;=AC$3,$I37&lt;=AC$2),$E37,0),$E37*NETWORKDAYS(MAX($I37,AC$3),MIN($J37,AC$2),Data!$K$4:$K$203)/$K37)))</f>
        <v>0</v>
      </c>
      <c r="AD37" s="166">
        <f>IF(OR($I37="",$E37=0),0,IF(OR($J37&lt;AD$3,$I37&gt;AD$2),0,IF($K37=0,IF(AND($I37&gt;=AD$3,$I37&lt;=AD$2),$E37,0),$E37*NETWORKDAYS(MAX($I37,AD$3),MIN($J37,AD$2),Data!$K$4:$K$203)/$K37)))</f>
        <v>0</v>
      </c>
      <c r="AE37" s="166">
        <f>IF(OR($I37="",$E37=0),0,IF(OR($J37&lt;AE$3,$I37&gt;AE$2),0,IF($K37=0,IF(AND($I37&gt;=AE$3,$I37&lt;=AE$2),$E37,0),$E37*NETWORKDAYS(MAX($I37,AE$3),MIN($J37,AE$2),Data!$K$4:$K$203)/$K37)))</f>
        <v>0</v>
      </c>
      <c r="AF37" s="166">
        <f>IF(OR($I37="",$E37=0),0,IF(OR($J37&lt;AF$3,$I37&gt;AF$2),0,IF($K37=0,IF(AND($I37&gt;=AF$3,$I37&lt;=AF$2),$E37,0),$E37*NETWORKDAYS(MAX($I37,AF$3),MIN($J37,AF$2),Data!$K$4:$K$203)/$K37)))</f>
        <v>0</v>
      </c>
      <c r="AG37" s="166">
        <f>IF(OR($I37="",$E37=0),0,IF(OR($J37&lt;AG$3,$I37&gt;AG$2),0,IF($K37=0,IF(AND($I37&gt;=AG$3,$I37&lt;=AG$2),$E37,0),$E37*NETWORKDAYS(MAX($I37,AG$3),MIN($J37,AG$2),Data!$K$4:$K$203)/$K37)))</f>
        <v>0</v>
      </c>
      <c r="AH37" s="166">
        <f>IF(OR($I37="",$E37=0),0,IF(OR($J37&lt;AH$3,$I37&gt;AH$2),0,IF($K37=0,IF(AND($I37&gt;=AH$3,$I37&lt;=AH$2),$E37,0),$E37*NETWORKDAYS(MAX($I37,AH$3),MIN($J37,AH$2),Data!$K$4:$K$203)/$K37)))</f>
        <v>0</v>
      </c>
      <c r="AI37" s="166">
        <f>SUM(W37:AH37)</f>
        <v>0</v>
      </c>
      <c r="BW37" t="n">
        <v>34</v>
      </c>
      <c r="BX37" t="str">
        <f>IFERROR(MATCH(BW37,$EQ$4:$EQ$503,0),"")</f>
        <v/>
      </c>
      <c r="BZ37" t="str">
        <f>IF(D37=1,IF(TRIM(INDEX(Charge!$K:$K,ROW()))&lt;&gt;"",TRIM(INDEX(Charge!$K:$K,ROW())),IF(TRIM(INDEX(Charge!$L:$L,ROW()))&lt;&gt;"",TRIM(INDEX(Charge!$L:$L,ROW())),"(non affecté)")),"")</f>
        <v/>
      </c>
      <c r="CA37" t="str">
        <f>IF(AND($CD$4&lt;&gt;"",BZ37=$CD$4),COUNTIFS($BZ$4:$BZ$503,$CD$4,$L$4:$L$503,"&lt;"&amp;L37)+1,"")</f>
        <v/>
      </c>
      <c r="EJ37" t="str">
        <f>TRIM(INDEX(Data!$E:$E,ROW()))</f>
        <v/>
      </c>
      <c r="EK37" t="str">
        <f>TRIM(INDEX(Data!$H:$H,ROW()))</f>
        <v/>
      </c>
      <c r="EM37" t="str">
        <f>IF(D37=1,IF(TRIM(INDEX(Charge!$K:$K,ROW()))&lt;&gt;"","Interne",IF(TRIM(INDEX(Charge!$L:$L,ROW()))&lt;&gt;"","Externe","Non affecté")),"")</f>
        <v/>
      </c>
      <c r="EN37" t="str">
        <f>IF(D37=1,LEFT(SUBSTITUTE(SUBSTITUTE(SUBSTITUTE(TRIM(SUBSTITUTE(INDEX(Charge!$B:$B,ROW()),CHAR(160)," "))&amp;" | "&amp;TRIM(SUBSTITUTE(INDEX(Charge!$C:$C,ROW()),CHAR(160)," "))&amp;" | "&amp;TRIM(SUBSTITUTE(INDEX(Charge!$D:$D,ROW()),CHAR(160)," ")),"~","-"),"*","+"),"?","!"),240),"")</f>
        <v/>
      </c>
      <c r="EO37">
        <f>IF(EN37="",0,IF(COUNTIF($EN$4:EN37,EN37)=1,1,0))</f>
        <v>0</v>
      </c>
      <c r="EP37" s="166" t="str">
        <f>IF(EO37=1,ROUND(SUMIF($EN$4:$EN$503,EN37,$E$4:$E$503),2),"")</f>
        <v/>
      </c>
      <c r="EQ37" t="str">
        <f>IF(EO37=1,COUNTIFS($EO$4:$EO$503,1,$EP$4:$EP$503,"&gt;"&amp;EP37)+COUNTIFS($EO$4:EO37,1,$EP$4:EP37,EP37),"")</f>
        <v/>
      </c>
      <c r="ER37" t="str">
        <f>IF(EO37=1,COUNTIFS($EN$4:$EN$503,EN37,$EM$4:$EM$503,"Interne",$FE$4:$FE$503,1),"")</f>
        <v/>
      </c>
      <c r="ES37" t="str">
        <f>IF(EO37=1,COUNTIFS($EN$4:$EN$503,EN37,$EM$4:$EM$503,"Externe",$FE$4:$FE$503,1),"")</f>
        <v/>
      </c>
      <c r="ET37" t="str">
        <f>IF(EO37=1,IF(ER37+ES37=0,"à affecter",IF(ER37=0,ES37&amp;" ext.",(ER37+ES37)&amp;IF(ES37&gt;0," dont "&amp;ES37&amp;" ext.",""))&amp;IF(COUNTIFS($EN$4:$EN$503,EN37,$EM$4:$EM$503,"Non affecté")&gt;0," + à affecter","")),"")</f>
        <v/>
      </c>
      <c r="EU37" s="170" t="str">
        <f>IF(EO37=1,IF(EP37&gt;0,SUMPRODUCT(($EN$4:$EN$503=EN37)*$E$4:$E$503*$C$4:$C$503)/EP37,AVERAGEIF($EN$4:$EN$503,EN37,$C$4:$C$503)),"")</f>
        <v/>
      </c>
      <c r="EV37" s="165">
        <f>IF(ISNUMBER(I37),I37,2958465)</f>
        <v>2958465.0</v>
      </c>
      <c r="EW37" s="165" t="str">
        <f>IF(EO37=1,SUMPRODUCT(MIN(($EN$4:$EN$503=EN37)*$EV$4:$EV$503+($EN$4:$EN$503&lt;&gt;EN37)*2958465)),"")</f>
        <v/>
      </c>
      <c r="EX37" s="165">
        <f>IF(AND(D37=1,ISNUMBER(INDEX(Charge!$F:$F,ROW()))),INDEX(Charge!$F:$F,ROW()),0)</f>
        <v>0.0</v>
      </c>
      <c r="EY37" s="165" t="str">
        <f>IF(EO37=1,SUMPRODUCT(MAX(($EN$4:$EN$503=EN37)*$EX$4:$EX$503)),"")</f>
        <v/>
      </c>
      <c r="FA37" t="str">
        <f>IF(34&lt;=$CD$23,INDEX($EJ$4:$EJ$203,34),IF(34-$CD$23&lt;=$CD$26,INDEX($EK$4:$EK$203,34-$CD$23),""))</f>
        <v/>
      </c>
      <c r="FB37" t="str">
        <f>IF(FA37="","",IF(34&lt;=$CD$23,"Interne","Externe"))</f>
        <v/>
      </c>
      <c r="FD37">
        <f>IF(AND(B37=1,TRIM(INDEX(Charge!$K:$K,ROW()))&lt;&gt;"",TRIM(INDEX(Charge!$L:$L,ROW()))&lt;&gt;""),1,0)</f>
        <v>0</v>
      </c>
      <c r="FE37">
        <f>IF(OR(EN37="",BZ37="(non affecté)"),0,IF(COUNTIFS($EN$4:EN37,EN37,$BZ$4:BZ37,BZ37)=1,1,0))</f>
        <v>0</v>
      </c>
    </row>
    <row r="38">
      <c r="A38">
        <f>ROW()</f>
        <v>38</v>
      </c>
      <c r="B38">
        <f>IF(TRIM(INDEX(Charge!$B:$B,ROW()))&lt;&gt;"",1,0)</f>
        <v>0</v>
      </c>
      <c r="C38">
        <f>IF(B38=1,MIN(1,MAX(0,N(INDEX(Charge!$O:$O,ROW())))),0)</f>
        <v>0</v>
      </c>
      <c r="D38">
        <f>IF(B38=1,IF(OR(p_Perimetre="Tous les projets",C38&lt;1),1,0),0)</f>
        <v>0</v>
      </c>
      <c r="E38">
        <f>IF(D38=1,MAX(0,N(INDEX(Charge!$M:$M,ROW()))),0)</f>
        <v>0</v>
      </c>
      <c r="F38" t="str">
        <f>IF(D38=1,IF(TRIM(INDEX(Charge!$A:$A,ROW()))="","(non renseigné)",TRIM(INDEX(Charge!$A:$A,ROW()))),"")</f>
        <v/>
      </c>
      <c r="G38" t="str">
        <f>IF(D38=1,TRIM(INDEX(Charge!$B:$B,ROW())),"")</f>
        <v/>
      </c>
      <c r="H38" t="str">
        <f>IF(D38=1,IF(TRIM(INDEX(Charge!$E:$E,ROW()))="","(non renseigné)",TRIM(INDEX(Charge!$E:$E,ROW()))),"")</f>
        <v/>
      </c>
      <c r="I38" s="165" t="str">
        <f>IF(AND(D38=1,ISNUMBER(INDEX(Charge!$N:$N,ROW()))),INDEX(Charge!$N:$N,ROW()),"")</f>
        <v/>
      </c>
      <c r="J38" s="165" t="str">
        <f>IF(I38="","",IF(AND(p_Repartition="Lissée jusqu'à la date de besoin",ISNUMBER(INDEX(Charge!$F:$F,ROW()))),IF(INDEX(Charge!$F:$F,ROW())&gt;=I38,INDEX(Charge!$F:$F,ROW()),I38),I38))</f>
        <v/>
      </c>
      <c r="K38" t="str">
        <f>IF(I38="","",NETWORKDAYS(I38,J38,Data!$K$4:$K$203))</f>
        <v/>
      </c>
      <c r="L38" t="str">
        <f>IF(D38=1,COUNTIFS($D$4:$D$503,1,$E$4:$E$503,"&gt;"&amp;E38)+COUNTIFS($D$4:$D38,1,$E$4:$E38,E38),"")</f>
        <v/>
      </c>
      <c r="M38">
        <f>IF(F38="",0,IF(COUNTIF($F$4:F38,F38)=1,1,0))</f>
        <v>0</v>
      </c>
      <c r="N38" t="str">
        <f>IF(M38=1,ROUND(SUMIF($F$4:$F$503,F38,$E$4:$E$503),2),"")</f>
        <v/>
      </c>
      <c r="O38" t="str">
        <f>IF(M38=1,COUNTIFS($M$4:$M$503,1,$N$4:$N$503,"&gt;"&amp;N38)+COUNTIFS($M$4:M38,1,$N$4:N38,N38),"")</f>
        <v/>
      </c>
      <c r="P38">
        <f>IF(G38="",0,IF(COUNTIF($G$4:G38,G38)=1,1,0))</f>
        <v>0</v>
      </c>
      <c r="Q38" t="str">
        <f>IF(P38=1,ROUND(SUMIF($G$4:$G$503,G38,$E$4:$E$503),2),"")</f>
        <v/>
      </c>
      <c r="R38" t="str">
        <f>IF(P38=1,COUNTIFS($P$4:$P$503,1,$Q$4:$Q$503,"&gt;"&amp;Q38)+COUNTIFS($P$4:P38,1,$Q$4:Q38,Q38),"")</f>
        <v/>
      </c>
      <c r="S38">
        <f>IF(H38="",0,IF(COUNTIF($H$4:H38,H38)=1,1,0))</f>
        <v>0</v>
      </c>
      <c r="T38" t="str">
        <f>IF(S38=1,ROUND(SUMIF($H$4:$H$503,H38,$E$4:$E$503),2),"")</f>
        <v/>
      </c>
      <c r="U38" t="str">
        <f>IF(S38=1,COUNTIFS($S$4:$S$503,1,$T$4:$T$503,"&gt;"&amp;T38)+COUNTIFS($S$4:S38,1,$T$4:T38,T38),"")</f>
        <v/>
      </c>
      <c r="V38" t="str">
        <f>IF(D38=1,MIN(INDEX($R$4:$R$503,MATCH(G38,$G$4:$G$503,0)),IF($AL$7&gt;9,9,999)),"")</f>
        <v/>
      </c>
      <c r="W38" s="166">
        <f>IF(OR($I38="",$E38=0),0,IF(OR($J38&lt;W$3,$I38&gt;W$2),0,IF($K38=0,IF(AND($I38&gt;=W$3,$I38&lt;=W$2),$E38,0),$E38*NETWORKDAYS(MAX($I38,W$3),MIN($J38,W$2),Data!$K$4:$K$203)/$K38)))</f>
        <v>0</v>
      </c>
      <c r="X38" s="166">
        <f>IF(OR($I38="",$E38=0),0,IF(OR($J38&lt;X$3,$I38&gt;X$2),0,IF($K38=0,IF(AND($I38&gt;=X$3,$I38&lt;=X$2),$E38,0),$E38*NETWORKDAYS(MAX($I38,X$3),MIN($J38,X$2),Data!$K$4:$K$203)/$K38)))</f>
        <v>0</v>
      </c>
      <c r="Y38" s="166">
        <f>IF(OR($I38="",$E38=0),0,IF(OR($J38&lt;Y$3,$I38&gt;Y$2),0,IF($K38=0,IF(AND($I38&gt;=Y$3,$I38&lt;=Y$2),$E38,0),$E38*NETWORKDAYS(MAX($I38,Y$3),MIN($J38,Y$2),Data!$K$4:$K$203)/$K38)))</f>
        <v>0</v>
      </c>
      <c r="Z38" s="166">
        <f>IF(OR($I38="",$E38=0),0,IF(OR($J38&lt;Z$3,$I38&gt;Z$2),0,IF($K38=0,IF(AND($I38&gt;=Z$3,$I38&lt;=Z$2),$E38,0),$E38*NETWORKDAYS(MAX($I38,Z$3),MIN($J38,Z$2),Data!$K$4:$K$203)/$K38)))</f>
        <v>0</v>
      </c>
      <c r="AA38" s="166">
        <f>IF(OR($I38="",$E38=0),0,IF(OR($J38&lt;AA$3,$I38&gt;AA$2),0,IF($K38=0,IF(AND($I38&gt;=AA$3,$I38&lt;=AA$2),$E38,0),$E38*NETWORKDAYS(MAX($I38,AA$3),MIN($J38,AA$2),Data!$K$4:$K$203)/$K38)))</f>
        <v>0</v>
      </c>
      <c r="AB38" s="166">
        <f>IF(OR($I38="",$E38=0),0,IF(OR($J38&lt;AB$3,$I38&gt;AB$2),0,IF($K38=0,IF(AND($I38&gt;=AB$3,$I38&lt;=AB$2),$E38,0),$E38*NETWORKDAYS(MAX($I38,AB$3),MIN($J38,AB$2),Data!$K$4:$K$203)/$K38)))</f>
        <v>0</v>
      </c>
      <c r="AC38" s="166">
        <f>IF(OR($I38="",$E38=0),0,IF(OR($J38&lt;AC$3,$I38&gt;AC$2),0,IF($K38=0,IF(AND($I38&gt;=AC$3,$I38&lt;=AC$2),$E38,0),$E38*NETWORKDAYS(MAX($I38,AC$3),MIN($J38,AC$2),Data!$K$4:$K$203)/$K38)))</f>
        <v>0</v>
      </c>
      <c r="AD38" s="166">
        <f>IF(OR($I38="",$E38=0),0,IF(OR($J38&lt;AD$3,$I38&gt;AD$2),0,IF($K38=0,IF(AND($I38&gt;=AD$3,$I38&lt;=AD$2),$E38,0),$E38*NETWORKDAYS(MAX($I38,AD$3),MIN($J38,AD$2),Data!$K$4:$K$203)/$K38)))</f>
        <v>0</v>
      </c>
      <c r="AE38" s="166">
        <f>IF(OR($I38="",$E38=0),0,IF(OR($J38&lt;AE$3,$I38&gt;AE$2),0,IF($K38=0,IF(AND($I38&gt;=AE$3,$I38&lt;=AE$2),$E38,0),$E38*NETWORKDAYS(MAX($I38,AE$3),MIN($J38,AE$2),Data!$K$4:$K$203)/$K38)))</f>
        <v>0</v>
      </c>
      <c r="AF38" s="166">
        <f>IF(OR($I38="",$E38=0),0,IF(OR($J38&lt;AF$3,$I38&gt;AF$2),0,IF($K38=0,IF(AND($I38&gt;=AF$3,$I38&lt;=AF$2),$E38,0),$E38*NETWORKDAYS(MAX($I38,AF$3),MIN($J38,AF$2),Data!$K$4:$K$203)/$K38)))</f>
        <v>0</v>
      </c>
      <c r="AG38" s="166">
        <f>IF(OR($I38="",$E38=0),0,IF(OR($J38&lt;AG$3,$I38&gt;AG$2),0,IF($K38=0,IF(AND($I38&gt;=AG$3,$I38&lt;=AG$2),$E38,0),$E38*NETWORKDAYS(MAX($I38,AG$3),MIN($J38,AG$2),Data!$K$4:$K$203)/$K38)))</f>
        <v>0</v>
      </c>
      <c r="AH38" s="166">
        <f>IF(OR($I38="",$E38=0),0,IF(OR($J38&lt;AH$3,$I38&gt;AH$2),0,IF($K38=0,IF(AND($I38&gt;=AH$3,$I38&lt;=AH$2),$E38,0),$E38*NETWORKDAYS(MAX($I38,AH$3),MIN($J38,AH$2),Data!$K$4:$K$203)/$K38)))</f>
        <v>0</v>
      </c>
      <c r="AI38" s="166">
        <f>SUM(W38:AH38)</f>
        <v>0</v>
      </c>
      <c r="BW38" t="n">
        <v>35</v>
      </c>
      <c r="BX38" t="str">
        <f>IFERROR(MATCH(BW38,$EQ$4:$EQ$503,0),"")</f>
        <v/>
      </c>
      <c r="BZ38" t="str">
        <f>IF(D38=1,IF(TRIM(INDEX(Charge!$K:$K,ROW()))&lt;&gt;"",TRIM(INDEX(Charge!$K:$K,ROW())),IF(TRIM(INDEX(Charge!$L:$L,ROW()))&lt;&gt;"",TRIM(INDEX(Charge!$L:$L,ROW())),"(non affecté)")),"")</f>
        <v/>
      </c>
      <c r="CA38" t="str">
        <f>IF(AND($CD$4&lt;&gt;"",BZ38=$CD$4),COUNTIFS($BZ$4:$BZ$503,$CD$4,$L$4:$L$503,"&lt;"&amp;L38)+1,"")</f>
        <v/>
      </c>
      <c r="EJ38" t="str">
        <f>TRIM(INDEX(Data!$E:$E,ROW()))</f>
        <v/>
      </c>
      <c r="EK38" t="str">
        <f>TRIM(INDEX(Data!$H:$H,ROW()))</f>
        <v/>
      </c>
      <c r="EM38" t="str">
        <f>IF(D38=1,IF(TRIM(INDEX(Charge!$K:$K,ROW()))&lt;&gt;"","Interne",IF(TRIM(INDEX(Charge!$L:$L,ROW()))&lt;&gt;"","Externe","Non affecté")),"")</f>
        <v/>
      </c>
      <c r="EN38" t="str">
        <f>IF(D38=1,LEFT(SUBSTITUTE(SUBSTITUTE(SUBSTITUTE(TRIM(SUBSTITUTE(INDEX(Charge!$B:$B,ROW()),CHAR(160)," "))&amp;" | "&amp;TRIM(SUBSTITUTE(INDEX(Charge!$C:$C,ROW()),CHAR(160)," "))&amp;" | "&amp;TRIM(SUBSTITUTE(INDEX(Charge!$D:$D,ROW()),CHAR(160)," ")),"~","-"),"*","+"),"?","!"),240),"")</f>
        <v/>
      </c>
      <c r="EO38">
        <f>IF(EN38="",0,IF(COUNTIF($EN$4:EN38,EN38)=1,1,0))</f>
        <v>0</v>
      </c>
      <c r="EP38" s="166" t="str">
        <f>IF(EO38=1,ROUND(SUMIF($EN$4:$EN$503,EN38,$E$4:$E$503),2),"")</f>
        <v/>
      </c>
      <c r="EQ38" t="str">
        <f>IF(EO38=1,COUNTIFS($EO$4:$EO$503,1,$EP$4:$EP$503,"&gt;"&amp;EP38)+COUNTIFS($EO$4:EO38,1,$EP$4:EP38,EP38),"")</f>
        <v/>
      </c>
      <c r="ER38" t="str">
        <f>IF(EO38=1,COUNTIFS($EN$4:$EN$503,EN38,$EM$4:$EM$503,"Interne",$FE$4:$FE$503,1),"")</f>
        <v/>
      </c>
      <c r="ES38" t="str">
        <f>IF(EO38=1,COUNTIFS($EN$4:$EN$503,EN38,$EM$4:$EM$503,"Externe",$FE$4:$FE$503,1),"")</f>
        <v/>
      </c>
      <c r="ET38" t="str">
        <f>IF(EO38=1,IF(ER38+ES38=0,"à affecter",IF(ER38=0,ES38&amp;" ext.",(ER38+ES38)&amp;IF(ES38&gt;0," dont "&amp;ES38&amp;" ext.",""))&amp;IF(COUNTIFS($EN$4:$EN$503,EN38,$EM$4:$EM$503,"Non affecté")&gt;0," + à affecter","")),"")</f>
        <v/>
      </c>
      <c r="EU38" s="170" t="str">
        <f>IF(EO38=1,IF(EP38&gt;0,SUMPRODUCT(($EN$4:$EN$503=EN38)*$E$4:$E$503*$C$4:$C$503)/EP38,AVERAGEIF($EN$4:$EN$503,EN38,$C$4:$C$503)),"")</f>
        <v/>
      </c>
      <c r="EV38" s="165">
        <f>IF(ISNUMBER(I38),I38,2958465)</f>
        <v>2958465.0</v>
      </c>
      <c r="EW38" s="165" t="str">
        <f>IF(EO38=1,SUMPRODUCT(MIN(($EN$4:$EN$503=EN38)*$EV$4:$EV$503+($EN$4:$EN$503&lt;&gt;EN38)*2958465)),"")</f>
        <v/>
      </c>
      <c r="EX38" s="165">
        <f>IF(AND(D38=1,ISNUMBER(INDEX(Charge!$F:$F,ROW()))),INDEX(Charge!$F:$F,ROW()),0)</f>
        <v>0.0</v>
      </c>
      <c r="EY38" s="165" t="str">
        <f>IF(EO38=1,SUMPRODUCT(MAX(($EN$4:$EN$503=EN38)*$EX$4:$EX$503)),"")</f>
        <v/>
      </c>
      <c r="FA38" t="str">
        <f>IF(35&lt;=$CD$23,INDEX($EJ$4:$EJ$203,35),IF(35-$CD$23&lt;=$CD$26,INDEX($EK$4:$EK$203,35-$CD$23),""))</f>
        <v/>
      </c>
      <c r="FB38" t="str">
        <f>IF(FA38="","",IF(35&lt;=$CD$23,"Interne","Externe"))</f>
        <v/>
      </c>
      <c r="FD38">
        <f>IF(AND(B38=1,TRIM(INDEX(Charge!$K:$K,ROW()))&lt;&gt;"",TRIM(INDEX(Charge!$L:$L,ROW()))&lt;&gt;""),1,0)</f>
        <v>0</v>
      </c>
      <c r="FE38">
        <f>IF(OR(EN38="",BZ38="(non affecté)"),0,IF(COUNTIFS($EN$4:EN38,EN38,$BZ$4:BZ38,BZ38)=1,1,0))</f>
        <v>0</v>
      </c>
    </row>
    <row r="39">
      <c r="A39">
        <f>ROW()</f>
        <v>39</v>
      </c>
      <c r="B39">
        <f>IF(TRIM(INDEX(Charge!$B:$B,ROW()))&lt;&gt;"",1,0)</f>
        <v>0</v>
      </c>
      <c r="C39">
        <f>IF(B39=1,MIN(1,MAX(0,N(INDEX(Charge!$O:$O,ROW())))),0)</f>
        <v>0</v>
      </c>
      <c r="D39">
        <f>IF(B39=1,IF(OR(p_Perimetre="Tous les projets",C39&lt;1),1,0),0)</f>
        <v>0</v>
      </c>
      <c r="E39">
        <f>IF(D39=1,MAX(0,N(INDEX(Charge!$M:$M,ROW()))),0)</f>
        <v>0</v>
      </c>
      <c r="F39" t="str">
        <f>IF(D39=1,IF(TRIM(INDEX(Charge!$A:$A,ROW()))="","(non renseigné)",TRIM(INDEX(Charge!$A:$A,ROW()))),"")</f>
        <v/>
      </c>
      <c r="G39" t="str">
        <f>IF(D39=1,TRIM(INDEX(Charge!$B:$B,ROW())),"")</f>
        <v/>
      </c>
      <c r="H39" t="str">
        <f>IF(D39=1,IF(TRIM(INDEX(Charge!$E:$E,ROW()))="","(non renseigné)",TRIM(INDEX(Charge!$E:$E,ROW()))),"")</f>
        <v/>
      </c>
      <c r="I39" s="165" t="str">
        <f>IF(AND(D39=1,ISNUMBER(INDEX(Charge!$N:$N,ROW()))),INDEX(Charge!$N:$N,ROW()),"")</f>
        <v/>
      </c>
      <c r="J39" s="165" t="str">
        <f>IF(I39="","",IF(AND(p_Repartition="Lissée jusqu'à la date de besoin",ISNUMBER(INDEX(Charge!$F:$F,ROW()))),IF(INDEX(Charge!$F:$F,ROW())&gt;=I39,INDEX(Charge!$F:$F,ROW()),I39),I39))</f>
        <v/>
      </c>
      <c r="K39" t="str">
        <f>IF(I39="","",NETWORKDAYS(I39,J39,Data!$K$4:$K$203))</f>
        <v/>
      </c>
      <c r="L39" t="str">
        <f>IF(D39=1,COUNTIFS($D$4:$D$503,1,$E$4:$E$503,"&gt;"&amp;E39)+COUNTIFS($D$4:$D39,1,$E$4:$E39,E39),"")</f>
        <v/>
      </c>
      <c r="M39">
        <f>IF(F39="",0,IF(COUNTIF($F$4:F39,F39)=1,1,0))</f>
        <v>0</v>
      </c>
      <c r="N39" t="str">
        <f>IF(M39=1,ROUND(SUMIF($F$4:$F$503,F39,$E$4:$E$503),2),"")</f>
        <v/>
      </c>
      <c r="O39" t="str">
        <f>IF(M39=1,COUNTIFS($M$4:$M$503,1,$N$4:$N$503,"&gt;"&amp;N39)+COUNTIFS($M$4:M39,1,$N$4:N39,N39),"")</f>
        <v/>
      </c>
      <c r="P39">
        <f>IF(G39="",0,IF(COUNTIF($G$4:G39,G39)=1,1,0))</f>
        <v>0</v>
      </c>
      <c r="Q39" t="str">
        <f>IF(P39=1,ROUND(SUMIF($G$4:$G$503,G39,$E$4:$E$503),2),"")</f>
        <v/>
      </c>
      <c r="R39" t="str">
        <f>IF(P39=1,COUNTIFS($P$4:$P$503,1,$Q$4:$Q$503,"&gt;"&amp;Q39)+COUNTIFS($P$4:P39,1,$Q$4:Q39,Q39),"")</f>
        <v/>
      </c>
      <c r="S39">
        <f>IF(H39="",0,IF(COUNTIF($H$4:H39,H39)=1,1,0))</f>
        <v>0</v>
      </c>
      <c r="T39" t="str">
        <f>IF(S39=1,ROUND(SUMIF($H$4:$H$503,H39,$E$4:$E$503),2),"")</f>
        <v/>
      </c>
      <c r="U39" t="str">
        <f>IF(S39=1,COUNTIFS($S$4:$S$503,1,$T$4:$T$503,"&gt;"&amp;T39)+COUNTIFS($S$4:S39,1,$T$4:T39,T39),"")</f>
        <v/>
      </c>
      <c r="V39" t="str">
        <f>IF(D39=1,MIN(INDEX($R$4:$R$503,MATCH(G39,$G$4:$G$503,0)),IF($AL$7&gt;9,9,999)),"")</f>
        <v/>
      </c>
      <c r="W39" s="166">
        <f>IF(OR($I39="",$E39=0),0,IF(OR($J39&lt;W$3,$I39&gt;W$2),0,IF($K39=0,IF(AND($I39&gt;=W$3,$I39&lt;=W$2),$E39,0),$E39*NETWORKDAYS(MAX($I39,W$3),MIN($J39,W$2),Data!$K$4:$K$203)/$K39)))</f>
        <v>0</v>
      </c>
      <c r="X39" s="166">
        <f>IF(OR($I39="",$E39=0),0,IF(OR($J39&lt;X$3,$I39&gt;X$2),0,IF($K39=0,IF(AND($I39&gt;=X$3,$I39&lt;=X$2),$E39,0),$E39*NETWORKDAYS(MAX($I39,X$3),MIN($J39,X$2),Data!$K$4:$K$203)/$K39)))</f>
        <v>0</v>
      </c>
      <c r="Y39" s="166">
        <f>IF(OR($I39="",$E39=0),0,IF(OR($J39&lt;Y$3,$I39&gt;Y$2),0,IF($K39=0,IF(AND($I39&gt;=Y$3,$I39&lt;=Y$2),$E39,0),$E39*NETWORKDAYS(MAX($I39,Y$3),MIN($J39,Y$2),Data!$K$4:$K$203)/$K39)))</f>
        <v>0</v>
      </c>
      <c r="Z39" s="166">
        <f>IF(OR($I39="",$E39=0),0,IF(OR($J39&lt;Z$3,$I39&gt;Z$2),0,IF($K39=0,IF(AND($I39&gt;=Z$3,$I39&lt;=Z$2),$E39,0),$E39*NETWORKDAYS(MAX($I39,Z$3),MIN($J39,Z$2),Data!$K$4:$K$203)/$K39)))</f>
        <v>0</v>
      </c>
      <c r="AA39" s="166">
        <f>IF(OR($I39="",$E39=0),0,IF(OR($J39&lt;AA$3,$I39&gt;AA$2),0,IF($K39=0,IF(AND($I39&gt;=AA$3,$I39&lt;=AA$2),$E39,0),$E39*NETWORKDAYS(MAX($I39,AA$3),MIN($J39,AA$2),Data!$K$4:$K$203)/$K39)))</f>
        <v>0</v>
      </c>
      <c r="AB39" s="166">
        <f>IF(OR($I39="",$E39=0),0,IF(OR($J39&lt;AB$3,$I39&gt;AB$2),0,IF($K39=0,IF(AND($I39&gt;=AB$3,$I39&lt;=AB$2),$E39,0),$E39*NETWORKDAYS(MAX($I39,AB$3),MIN($J39,AB$2),Data!$K$4:$K$203)/$K39)))</f>
        <v>0</v>
      </c>
      <c r="AC39" s="166">
        <f>IF(OR($I39="",$E39=0),0,IF(OR($J39&lt;AC$3,$I39&gt;AC$2),0,IF($K39=0,IF(AND($I39&gt;=AC$3,$I39&lt;=AC$2),$E39,0),$E39*NETWORKDAYS(MAX($I39,AC$3),MIN($J39,AC$2),Data!$K$4:$K$203)/$K39)))</f>
        <v>0</v>
      </c>
      <c r="AD39" s="166">
        <f>IF(OR($I39="",$E39=0),0,IF(OR($J39&lt;AD$3,$I39&gt;AD$2),0,IF($K39=0,IF(AND($I39&gt;=AD$3,$I39&lt;=AD$2),$E39,0),$E39*NETWORKDAYS(MAX($I39,AD$3),MIN($J39,AD$2),Data!$K$4:$K$203)/$K39)))</f>
        <v>0</v>
      </c>
      <c r="AE39" s="166">
        <f>IF(OR($I39="",$E39=0),0,IF(OR($J39&lt;AE$3,$I39&gt;AE$2),0,IF($K39=0,IF(AND($I39&gt;=AE$3,$I39&lt;=AE$2),$E39,0),$E39*NETWORKDAYS(MAX($I39,AE$3),MIN($J39,AE$2),Data!$K$4:$K$203)/$K39)))</f>
        <v>0</v>
      </c>
      <c r="AF39" s="166">
        <f>IF(OR($I39="",$E39=0),0,IF(OR($J39&lt;AF$3,$I39&gt;AF$2),0,IF($K39=0,IF(AND($I39&gt;=AF$3,$I39&lt;=AF$2),$E39,0),$E39*NETWORKDAYS(MAX($I39,AF$3),MIN($J39,AF$2),Data!$K$4:$K$203)/$K39)))</f>
        <v>0</v>
      </c>
      <c r="AG39" s="166">
        <f>IF(OR($I39="",$E39=0),0,IF(OR($J39&lt;AG$3,$I39&gt;AG$2),0,IF($K39=0,IF(AND($I39&gt;=AG$3,$I39&lt;=AG$2),$E39,0),$E39*NETWORKDAYS(MAX($I39,AG$3),MIN($J39,AG$2),Data!$K$4:$K$203)/$K39)))</f>
        <v>0</v>
      </c>
      <c r="AH39" s="166">
        <f>IF(OR($I39="",$E39=0),0,IF(OR($J39&lt;AH$3,$I39&gt;AH$2),0,IF($K39=0,IF(AND($I39&gt;=AH$3,$I39&lt;=AH$2),$E39,0),$E39*NETWORKDAYS(MAX($I39,AH$3),MIN($J39,AH$2),Data!$K$4:$K$203)/$K39)))</f>
        <v>0</v>
      </c>
      <c r="AI39" s="166">
        <f>SUM(W39:AH39)</f>
        <v>0</v>
      </c>
      <c r="BW39" t="n">
        <v>36</v>
      </c>
      <c r="BX39" t="str">
        <f>IFERROR(MATCH(BW39,$EQ$4:$EQ$503,0),"")</f>
        <v/>
      </c>
      <c r="BZ39" t="str">
        <f>IF(D39=1,IF(TRIM(INDEX(Charge!$K:$K,ROW()))&lt;&gt;"",TRIM(INDEX(Charge!$K:$K,ROW())),IF(TRIM(INDEX(Charge!$L:$L,ROW()))&lt;&gt;"",TRIM(INDEX(Charge!$L:$L,ROW())),"(non affecté)")),"")</f>
        <v/>
      </c>
      <c r="CA39" t="str">
        <f>IF(AND($CD$4&lt;&gt;"",BZ39=$CD$4),COUNTIFS($BZ$4:$BZ$503,$CD$4,$L$4:$L$503,"&lt;"&amp;L39)+1,"")</f>
        <v/>
      </c>
      <c r="EJ39" t="str">
        <f>TRIM(INDEX(Data!$E:$E,ROW()))</f>
        <v/>
      </c>
      <c r="EK39" t="str">
        <f>TRIM(INDEX(Data!$H:$H,ROW()))</f>
        <v/>
      </c>
      <c r="EM39" t="str">
        <f>IF(D39=1,IF(TRIM(INDEX(Charge!$K:$K,ROW()))&lt;&gt;"","Interne",IF(TRIM(INDEX(Charge!$L:$L,ROW()))&lt;&gt;"","Externe","Non affecté")),"")</f>
        <v/>
      </c>
      <c r="EN39" t="str">
        <f>IF(D39=1,LEFT(SUBSTITUTE(SUBSTITUTE(SUBSTITUTE(TRIM(SUBSTITUTE(INDEX(Charge!$B:$B,ROW()),CHAR(160)," "))&amp;" | "&amp;TRIM(SUBSTITUTE(INDEX(Charge!$C:$C,ROW()),CHAR(160)," "))&amp;" | "&amp;TRIM(SUBSTITUTE(INDEX(Charge!$D:$D,ROW()),CHAR(160)," ")),"~","-"),"*","+"),"?","!"),240),"")</f>
        <v/>
      </c>
      <c r="EO39">
        <f>IF(EN39="",0,IF(COUNTIF($EN$4:EN39,EN39)=1,1,0))</f>
        <v>0</v>
      </c>
      <c r="EP39" s="166" t="str">
        <f>IF(EO39=1,ROUND(SUMIF($EN$4:$EN$503,EN39,$E$4:$E$503),2),"")</f>
        <v/>
      </c>
      <c r="EQ39" t="str">
        <f>IF(EO39=1,COUNTIFS($EO$4:$EO$503,1,$EP$4:$EP$503,"&gt;"&amp;EP39)+COUNTIFS($EO$4:EO39,1,$EP$4:EP39,EP39),"")</f>
        <v/>
      </c>
      <c r="ER39" t="str">
        <f>IF(EO39=1,COUNTIFS($EN$4:$EN$503,EN39,$EM$4:$EM$503,"Interne",$FE$4:$FE$503,1),"")</f>
        <v/>
      </c>
      <c r="ES39" t="str">
        <f>IF(EO39=1,COUNTIFS($EN$4:$EN$503,EN39,$EM$4:$EM$503,"Externe",$FE$4:$FE$503,1),"")</f>
        <v/>
      </c>
      <c r="ET39" t="str">
        <f>IF(EO39=1,IF(ER39+ES39=0,"à affecter",IF(ER39=0,ES39&amp;" ext.",(ER39+ES39)&amp;IF(ES39&gt;0," dont "&amp;ES39&amp;" ext.",""))&amp;IF(COUNTIFS($EN$4:$EN$503,EN39,$EM$4:$EM$503,"Non affecté")&gt;0," + à affecter","")),"")</f>
        <v/>
      </c>
      <c r="EU39" s="170" t="str">
        <f>IF(EO39=1,IF(EP39&gt;0,SUMPRODUCT(($EN$4:$EN$503=EN39)*$E$4:$E$503*$C$4:$C$503)/EP39,AVERAGEIF($EN$4:$EN$503,EN39,$C$4:$C$503)),"")</f>
        <v/>
      </c>
      <c r="EV39" s="165">
        <f>IF(ISNUMBER(I39),I39,2958465)</f>
        <v>2958465.0</v>
      </c>
      <c r="EW39" s="165" t="str">
        <f>IF(EO39=1,SUMPRODUCT(MIN(($EN$4:$EN$503=EN39)*$EV$4:$EV$503+($EN$4:$EN$503&lt;&gt;EN39)*2958465)),"")</f>
        <v/>
      </c>
      <c r="EX39" s="165">
        <f>IF(AND(D39=1,ISNUMBER(INDEX(Charge!$F:$F,ROW()))),INDEX(Charge!$F:$F,ROW()),0)</f>
        <v>0.0</v>
      </c>
      <c r="EY39" s="165" t="str">
        <f>IF(EO39=1,SUMPRODUCT(MAX(($EN$4:$EN$503=EN39)*$EX$4:$EX$503)),"")</f>
        <v/>
      </c>
      <c r="FA39" t="str">
        <f>IF(36&lt;=$CD$23,INDEX($EJ$4:$EJ$203,36),IF(36-$CD$23&lt;=$CD$26,INDEX($EK$4:$EK$203,36-$CD$23),""))</f>
        <v/>
      </c>
      <c r="FB39" t="str">
        <f>IF(FA39="","",IF(36&lt;=$CD$23,"Interne","Externe"))</f>
        <v/>
      </c>
      <c r="FD39">
        <f>IF(AND(B39=1,TRIM(INDEX(Charge!$K:$K,ROW()))&lt;&gt;"",TRIM(INDEX(Charge!$L:$L,ROW()))&lt;&gt;""),1,0)</f>
        <v>0</v>
      </c>
      <c r="FE39">
        <f>IF(OR(EN39="",BZ39="(non affecté)"),0,IF(COUNTIFS($EN$4:EN39,EN39,$BZ$4:BZ39,BZ39)=1,1,0))</f>
        <v>0</v>
      </c>
    </row>
    <row r="40">
      <c r="A40">
        <f>ROW()</f>
        <v>40</v>
      </c>
      <c r="B40">
        <f>IF(TRIM(INDEX(Charge!$B:$B,ROW()))&lt;&gt;"",1,0)</f>
        <v>0</v>
      </c>
      <c r="C40">
        <f>IF(B40=1,MIN(1,MAX(0,N(INDEX(Charge!$O:$O,ROW())))),0)</f>
        <v>0</v>
      </c>
      <c r="D40">
        <f>IF(B40=1,IF(OR(p_Perimetre="Tous les projets",C40&lt;1),1,0),0)</f>
        <v>0</v>
      </c>
      <c r="E40">
        <f>IF(D40=1,MAX(0,N(INDEX(Charge!$M:$M,ROW()))),0)</f>
        <v>0</v>
      </c>
      <c r="F40" t="str">
        <f>IF(D40=1,IF(TRIM(INDEX(Charge!$A:$A,ROW()))="","(non renseigné)",TRIM(INDEX(Charge!$A:$A,ROW()))),"")</f>
        <v/>
      </c>
      <c r="G40" t="str">
        <f>IF(D40=1,TRIM(INDEX(Charge!$B:$B,ROW())),"")</f>
        <v/>
      </c>
      <c r="H40" t="str">
        <f>IF(D40=1,IF(TRIM(INDEX(Charge!$E:$E,ROW()))="","(non renseigné)",TRIM(INDEX(Charge!$E:$E,ROW()))),"")</f>
        <v/>
      </c>
      <c r="I40" s="165" t="str">
        <f>IF(AND(D40=1,ISNUMBER(INDEX(Charge!$N:$N,ROW()))),INDEX(Charge!$N:$N,ROW()),"")</f>
        <v/>
      </c>
      <c r="J40" s="165" t="str">
        <f>IF(I40="","",IF(AND(p_Repartition="Lissée jusqu'à la date de besoin",ISNUMBER(INDEX(Charge!$F:$F,ROW()))),IF(INDEX(Charge!$F:$F,ROW())&gt;=I40,INDEX(Charge!$F:$F,ROW()),I40),I40))</f>
        <v/>
      </c>
      <c r="K40" t="str">
        <f>IF(I40="","",NETWORKDAYS(I40,J40,Data!$K$4:$K$203))</f>
        <v/>
      </c>
      <c r="L40" t="str">
        <f>IF(D40=1,COUNTIFS($D$4:$D$503,1,$E$4:$E$503,"&gt;"&amp;E40)+COUNTIFS($D$4:$D40,1,$E$4:$E40,E40),"")</f>
        <v/>
      </c>
      <c r="M40">
        <f>IF(F40="",0,IF(COUNTIF($F$4:F40,F40)=1,1,0))</f>
        <v>0</v>
      </c>
      <c r="N40" t="str">
        <f>IF(M40=1,ROUND(SUMIF($F$4:$F$503,F40,$E$4:$E$503),2),"")</f>
        <v/>
      </c>
      <c r="O40" t="str">
        <f>IF(M40=1,COUNTIFS($M$4:$M$503,1,$N$4:$N$503,"&gt;"&amp;N40)+COUNTIFS($M$4:M40,1,$N$4:N40,N40),"")</f>
        <v/>
      </c>
      <c r="P40">
        <f>IF(G40="",0,IF(COUNTIF($G$4:G40,G40)=1,1,0))</f>
        <v>0</v>
      </c>
      <c r="Q40" t="str">
        <f>IF(P40=1,ROUND(SUMIF($G$4:$G$503,G40,$E$4:$E$503),2),"")</f>
        <v/>
      </c>
      <c r="R40" t="str">
        <f>IF(P40=1,COUNTIFS($P$4:$P$503,1,$Q$4:$Q$503,"&gt;"&amp;Q40)+COUNTIFS($P$4:P40,1,$Q$4:Q40,Q40),"")</f>
        <v/>
      </c>
      <c r="S40">
        <f>IF(H40="",0,IF(COUNTIF($H$4:H40,H40)=1,1,0))</f>
        <v>0</v>
      </c>
      <c r="T40" t="str">
        <f>IF(S40=1,ROUND(SUMIF($H$4:$H$503,H40,$E$4:$E$503),2),"")</f>
        <v/>
      </c>
      <c r="U40" t="str">
        <f>IF(S40=1,COUNTIFS($S$4:$S$503,1,$T$4:$T$503,"&gt;"&amp;T40)+COUNTIFS($S$4:S40,1,$T$4:T40,T40),"")</f>
        <v/>
      </c>
      <c r="V40" t="str">
        <f>IF(D40=1,MIN(INDEX($R$4:$R$503,MATCH(G40,$G$4:$G$503,0)),IF($AL$7&gt;9,9,999)),"")</f>
        <v/>
      </c>
      <c r="W40" s="166">
        <f>IF(OR($I40="",$E40=0),0,IF(OR($J40&lt;W$3,$I40&gt;W$2),0,IF($K40=0,IF(AND($I40&gt;=W$3,$I40&lt;=W$2),$E40,0),$E40*NETWORKDAYS(MAX($I40,W$3),MIN($J40,W$2),Data!$K$4:$K$203)/$K40)))</f>
        <v>0</v>
      </c>
      <c r="X40" s="166">
        <f>IF(OR($I40="",$E40=0),0,IF(OR($J40&lt;X$3,$I40&gt;X$2),0,IF($K40=0,IF(AND($I40&gt;=X$3,$I40&lt;=X$2),$E40,0),$E40*NETWORKDAYS(MAX($I40,X$3),MIN($J40,X$2),Data!$K$4:$K$203)/$K40)))</f>
        <v>0</v>
      </c>
      <c r="Y40" s="166">
        <f>IF(OR($I40="",$E40=0),0,IF(OR($J40&lt;Y$3,$I40&gt;Y$2),0,IF($K40=0,IF(AND($I40&gt;=Y$3,$I40&lt;=Y$2),$E40,0),$E40*NETWORKDAYS(MAX($I40,Y$3),MIN($J40,Y$2),Data!$K$4:$K$203)/$K40)))</f>
        <v>0</v>
      </c>
      <c r="Z40" s="166">
        <f>IF(OR($I40="",$E40=0),0,IF(OR($J40&lt;Z$3,$I40&gt;Z$2),0,IF($K40=0,IF(AND($I40&gt;=Z$3,$I40&lt;=Z$2),$E40,0),$E40*NETWORKDAYS(MAX($I40,Z$3),MIN($J40,Z$2),Data!$K$4:$K$203)/$K40)))</f>
        <v>0</v>
      </c>
      <c r="AA40" s="166">
        <f>IF(OR($I40="",$E40=0),0,IF(OR($J40&lt;AA$3,$I40&gt;AA$2),0,IF($K40=0,IF(AND($I40&gt;=AA$3,$I40&lt;=AA$2),$E40,0),$E40*NETWORKDAYS(MAX($I40,AA$3),MIN($J40,AA$2),Data!$K$4:$K$203)/$K40)))</f>
        <v>0</v>
      </c>
      <c r="AB40" s="166">
        <f>IF(OR($I40="",$E40=0),0,IF(OR($J40&lt;AB$3,$I40&gt;AB$2),0,IF($K40=0,IF(AND($I40&gt;=AB$3,$I40&lt;=AB$2),$E40,0),$E40*NETWORKDAYS(MAX($I40,AB$3),MIN($J40,AB$2),Data!$K$4:$K$203)/$K40)))</f>
        <v>0</v>
      </c>
      <c r="AC40" s="166">
        <f>IF(OR($I40="",$E40=0),0,IF(OR($J40&lt;AC$3,$I40&gt;AC$2),0,IF($K40=0,IF(AND($I40&gt;=AC$3,$I40&lt;=AC$2),$E40,0),$E40*NETWORKDAYS(MAX($I40,AC$3),MIN($J40,AC$2),Data!$K$4:$K$203)/$K40)))</f>
        <v>0</v>
      </c>
      <c r="AD40" s="166">
        <f>IF(OR($I40="",$E40=0),0,IF(OR($J40&lt;AD$3,$I40&gt;AD$2),0,IF($K40=0,IF(AND($I40&gt;=AD$3,$I40&lt;=AD$2),$E40,0),$E40*NETWORKDAYS(MAX($I40,AD$3),MIN($J40,AD$2),Data!$K$4:$K$203)/$K40)))</f>
        <v>0</v>
      </c>
      <c r="AE40" s="166">
        <f>IF(OR($I40="",$E40=0),0,IF(OR($J40&lt;AE$3,$I40&gt;AE$2),0,IF($K40=0,IF(AND($I40&gt;=AE$3,$I40&lt;=AE$2),$E40,0),$E40*NETWORKDAYS(MAX($I40,AE$3),MIN($J40,AE$2),Data!$K$4:$K$203)/$K40)))</f>
        <v>0</v>
      </c>
      <c r="AF40" s="166">
        <f>IF(OR($I40="",$E40=0),0,IF(OR($J40&lt;AF$3,$I40&gt;AF$2),0,IF($K40=0,IF(AND($I40&gt;=AF$3,$I40&lt;=AF$2),$E40,0),$E40*NETWORKDAYS(MAX($I40,AF$3),MIN($J40,AF$2),Data!$K$4:$K$203)/$K40)))</f>
        <v>0</v>
      </c>
      <c r="AG40" s="166">
        <f>IF(OR($I40="",$E40=0),0,IF(OR($J40&lt;AG$3,$I40&gt;AG$2),0,IF($K40=0,IF(AND($I40&gt;=AG$3,$I40&lt;=AG$2),$E40,0),$E40*NETWORKDAYS(MAX($I40,AG$3),MIN($J40,AG$2),Data!$K$4:$K$203)/$K40)))</f>
        <v>0</v>
      </c>
      <c r="AH40" s="166">
        <f>IF(OR($I40="",$E40=0),0,IF(OR($J40&lt;AH$3,$I40&gt;AH$2),0,IF($K40=0,IF(AND($I40&gt;=AH$3,$I40&lt;=AH$2),$E40,0),$E40*NETWORKDAYS(MAX($I40,AH$3),MIN($J40,AH$2),Data!$K$4:$K$203)/$K40)))</f>
        <v>0</v>
      </c>
      <c r="AI40" s="166">
        <f>SUM(W40:AH40)</f>
        <v>0</v>
      </c>
      <c r="BW40" t="n">
        <v>37</v>
      </c>
      <c r="BX40" t="str">
        <f>IFERROR(MATCH(BW40,$EQ$4:$EQ$503,0),"")</f>
        <v/>
      </c>
      <c r="BZ40" t="str">
        <f>IF(D40=1,IF(TRIM(INDEX(Charge!$K:$K,ROW()))&lt;&gt;"",TRIM(INDEX(Charge!$K:$K,ROW())),IF(TRIM(INDEX(Charge!$L:$L,ROW()))&lt;&gt;"",TRIM(INDEX(Charge!$L:$L,ROW())),"(non affecté)")),"")</f>
        <v/>
      </c>
      <c r="CA40" t="str">
        <f>IF(AND($CD$4&lt;&gt;"",BZ40=$CD$4),COUNTIFS($BZ$4:$BZ$503,$CD$4,$L$4:$L$503,"&lt;"&amp;L40)+1,"")</f>
        <v/>
      </c>
      <c r="EJ40" t="str">
        <f>TRIM(INDEX(Data!$E:$E,ROW()))</f>
        <v/>
      </c>
      <c r="EK40" t="str">
        <f>TRIM(INDEX(Data!$H:$H,ROW()))</f>
        <v/>
      </c>
      <c r="EM40" t="str">
        <f>IF(D40=1,IF(TRIM(INDEX(Charge!$K:$K,ROW()))&lt;&gt;"","Interne",IF(TRIM(INDEX(Charge!$L:$L,ROW()))&lt;&gt;"","Externe","Non affecté")),"")</f>
        <v/>
      </c>
      <c r="EN40" t="str">
        <f>IF(D40=1,LEFT(SUBSTITUTE(SUBSTITUTE(SUBSTITUTE(TRIM(SUBSTITUTE(INDEX(Charge!$B:$B,ROW()),CHAR(160)," "))&amp;" | "&amp;TRIM(SUBSTITUTE(INDEX(Charge!$C:$C,ROW()),CHAR(160)," "))&amp;" | "&amp;TRIM(SUBSTITUTE(INDEX(Charge!$D:$D,ROW()),CHAR(160)," ")),"~","-"),"*","+"),"?","!"),240),"")</f>
        <v/>
      </c>
      <c r="EO40">
        <f>IF(EN40="",0,IF(COUNTIF($EN$4:EN40,EN40)=1,1,0))</f>
        <v>0</v>
      </c>
      <c r="EP40" s="166" t="str">
        <f>IF(EO40=1,ROUND(SUMIF($EN$4:$EN$503,EN40,$E$4:$E$503),2),"")</f>
        <v/>
      </c>
      <c r="EQ40" t="str">
        <f>IF(EO40=1,COUNTIFS($EO$4:$EO$503,1,$EP$4:$EP$503,"&gt;"&amp;EP40)+COUNTIFS($EO$4:EO40,1,$EP$4:EP40,EP40),"")</f>
        <v/>
      </c>
      <c r="ER40" t="str">
        <f>IF(EO40=1,COUNTIFS($EN$4:$EN$503,EN40,$EM$4:$EM$503,"Interne",$FE$4:$FE$503,1),"")</f>
        <v/>
      </c>
      <c r="ES40" t="str">
        <f>IF(EO40=1,COUNTIFS($EN$4:$EN$503,EN40,$EM$4:$EM$503,"Externe",$FE$4:$FE$503,1),"")</f>
        <v/>
      </c>
      <c r="ET40" t="str">
        <f>IF(EO40=1,IF(ER40+ES40=0,"à affecter",IF(ER40=0,ES40&amp;" ext.",(ER40+ES40)&amp;IF(ES40&gt;0," dont "&amp;ES40&amp;" ext.",""))&amp;IF(COUNTIFS($EN$4:$EN$503,EN40,$EM$4:$EM$503,"Non affecté")&gt;0," + à affecter","")),"")</f>
        <v/>
      </c>
      <c r="EU40" s="170" t="str">
        <f>IF(EO40=1,IF(EP40&gt;0,SUMPRODUCT(($EN$4:$EN$503=EN40)*$E$4:$E$503*$C$4:$C$503)/EP40,AVERAGEIF($EN$4:$EN$503,EN40,$C$4:$C$503)),"")</f>
        <v/>
      </c>
      <c r="EV40" s="165">
        <f>IF(ISNUMBER(I40),I40,2958465)</f>
        <v>2958465.0</v>
      </c>
      <c r="EW40" s="165" t="str">
        <f>IF(EO40=1,SUMPRODUCT(MIN(($EN$4:$EN$503=EN40)*$EV$4:$EV$503+($EN$4:$EN$503&lt;&gt;EN40)*2958465)),"")</f>
        <v/>
      </c>
      <c r="EX40" s="165">
        <f>IF(AND(D40=1,ISNUMBER(INDEX(Charge!$F:$F,ROW()))),INDEX(Charge!$F:$F,ROW()),0)</f>
        <v>0.0</v>
      </c>
      <c r="EY40" s="165" t="str">
        <f>IF(EO40=1,SUMPRODUCT(MAX(($EN$4:$EN$503=EN40)*$EX$4:$EX$503)),"")</f>
        <v/>
      </c>
      <c r="FA40" t="str">
        <f>IF(37&lt;=$CD$23,INDEX($EJ$4:$EJ$203,37),IF(37-$CD$23&lt;=$CD$26,INDEX($EK$4:$EK$203,37-$CD$23),""))</f>
        <v/>
      </c>
      <c r="FB40" t="str">
        <f>IF(FA40="","",IF(37&lt;=$CD$23,"Interne","Externe"))</f>
        <v/>
      </c>
      <c r="FD40">
        <f>IF(AND(B40=1,TRIM(INDEX(Charge!$K:$K,ROW()))&lt;&gt;"",TRIM(INDEX(Charge!$L:$L,ROW()))&lt;&gt;""),1,0)</f>
        <v>0</v>
      </c>
      <c r="FE40">
        <f>IF(OR(EN40="",BZ40="(non affecté)"),0,IF(COUNTIFS($EN$4:EN40,EN40,$BZ$4:BZ40,BZ40)=1,1,0))</f>
        <v>0</v>
      </c>
    </row>
    <row r="41">
      <c r="A41">
        <f>ROW()</f>
        <v>41</v>
      </c>
      <c r="B41">
        <f>IF(TRIM(INDEX(Charge!$B:$B,ROW()))&lt;&gt;"",1,0)</f>
        <v>0</v>
      </c>
      <c r="C41">
        <f>IF(B41=1,MIN(1,MAX(0,N(INDEX(Charge!$O:$O,ROW())))),0)</f>
        <v>0</v>
      </c>
      <c r="D41">
        <f>IF(B41=1,IF(OR(p_Perimetre="Tous les projets",C41&lt;1),1,0),0)</f>
        <v>0</v>
      </c>
      <c r="E41">
        <f>IF(D41=1,MAX(0,N(INDEX(Charge!$M:$M,ROW()))),0)</f>
        <v>0</v>
      </c>
      <c r="F41" t="str">
        <f>IF(D41=1,IF(TRIM(INDEX(Charge!$A:$A,ROW()))="","(non renseigné)",TRIM(INDEX(Charge!$A:$A,ROW()))),"")</f>
        <v/>
      </c>
      <c r="G41" t="str">
        <f>IF(D41=1,TRIM(INDEX(Charge!$B:$B,ROW())),"")</f>
        <v/>
      </c>
      <c r="H41" t="str">
        <f>IF(D41=1,IF(TRIM(INDEX(Charge!$E:$E,ROW()))="","(non renseigné)",TRIM(INDEX(Charge!$E:$E,ROW()))),"")</f>
        <v/>
      </c>
      <c r="I41" s="165" t="str">
        <f>IF(AND(D41=1,ISNUMBER(INDEX(Charge!$N:$N,ROW()))),INDEX(Charge!$N:$N,ROW()),"")</f>
        <v/>
      </c>
      <c r="J41" s="165" t="str">
        <f>IF(I41="","",IF(AND(p_Repartition="Lissée jusqu'à la date de besoin",ISNUMBER(INDEX(Charge!$F:$F,ROW()))),IF(INDEX(Charge!$F:$F,ROW())&gt;=I41,INDEX(Charge!$F:$F,ROW()),I41),I41))</f>
        <v/>
      </c>
      <c r="K41" t="str">
        <f>IF(I41="","",NETWORKDAYS(I41,J41,Data!$K$4:$K$203))</f>
        <v/>
      </c>
      <c r="L41" t="str">
        <f>IF(D41=1,COUNTIFS($D$4:$D$503,1,$E$4:$E$503,"&gt;"&amp;E41)+COUNTIFS($D$4:$D41,1,$E$4:$E41,E41),"")</f>
        <v/>
      </c>
      <c r="M41">
        <f>IF(F41="",0,IF(COUNTIF($F$4:F41,F41)=1,1,0))</f>
        <v>0</v>
      </c>
      <c r="N41" t="str">
        <f>IF(M41=1,ROUND(SUMIF($F$4:$F$503,F41,$E$4:$E$503),2),"")</f>
        <v/>
      </c>
      <c r="O41" t="str">
        <f>IF(M41=1,COUNTIFS($M$4:$M$503,1,$N$4:$N$503,"&gt;"&amp;N41)+COUNTIFS($M$4:M41,1,$N$4:N41,N41),"")</f>
        <v/>
      </c>
      <c r="P41">
        <f>IF(G41="",0,IF(COUNTIF($G$4:G41,G41)=1,1,0))</f>
        <v>0</v>
      </c>
      <c r="Q41" t="str">
        <f>IF(P41=1,ROUND(SUMIF($G$4:$G$503,G41,$E$4:$E$503),2),"")</f>
        <v/>
      </c>
      <c r="R41" t="str">
        <f>IF(P41=1,COUNTIFS($P$4:$P$503,1,$Q$4:$Q$503,"&gt;"&amp;Q41)+COUNTIFS($P$4:P41,1,$Q$4:Q41,Q41),"")</f>
        <v/>
      </c>
      <c r="S41">
        <f>IF(H41="",0,IF(COUNTIF($H$4:H41,H41)=1,1,0))</f>
        <v>0</v>
      </c>
      <c r="T41" t="str">
        <f>IF(S41=1,ROUND(SUMIF($H$4:$H$503,H41,$E$4:$E$503),2),"")</f>
        <v/>
      </c>
      <c r="U41" t="str">
        <f>IF(S41=1,COUNTIFS($S$4:$S$503,1,$T$4:$T$503,"&gt;"&amp;T41)+COUNTIFS($S$4:S41,1,$T$4:T41,T41),"")</f>
        <v/>
      </c>
      <c r="V41" t="str">
        <f>IF(D41=1,MIN(INDEX($R$4:$R$503,MATCH(G41,$G$4:$G$503,0)),IF($AL$7&gt;9,9,999)),"")</f>
        <v/>
      </c>
      <c r="W41" s="166">
        <f>IF(OR($I41="",$E41=0),0,IF(OR($J41&lt;W$3,$I41&gt;W$2),0,IF($K41=0,IF(AND($I41&gt;=W$3,$I41&lt;=W$2),$E41,0),$E41*NETWORKDAYS(MAX($I41,W$3),MIN($J41,W$2),Data!$K$4:$K$203)/$K41)))</f>
        <v>0</v>
      </c>
      <c r="X41" s="166">
        <f>IF(OR($I41="",$E41=0),0,IF(OR($J41&lt;X$3,$I41&gt;X$2),0,IF($K41=0,IF(AND($I41&gt;=X$3,$I41&lt;=X$2),$E41,0),$E41*NETWORKDAYS(MAX($I41,X$3),MIN($J41,X$2),Data!$K$4:$K$203)/$K41)))</f>
        <v>0</v>
      </c>
      <c r="Y41" s="166">
        <f>IF(OR($I41="",$E41=0),0,IF(OR($J41&lt;Y$3,$I41&gt;Y$2),0,IF($K41=0,IF(AND($I41&gt;=Y$3,$I41&lt;=Y$2),$E41,0),$E41*NETWORKDAYS(MAX($I41,Y$3),MIN($J41,Y$2),Data!$K$4:$K$203)/$K41)))</f>
        <v>0</v>
      </c>
      <c r="Z41" s="166">
        <f>IF(OR($I41="",$E41=0),0,IF(OR($J41&lt;Z$3,$I41&gt;Z$2),0,IF($K41=0,IF(AND($I41&gt;=Z$3,$I41&lt;=Z$2),$E41,0),$E41*NETWORKDAYS(MAX($I41,Z$3),MIN($J41,Z$2),Data!$K$4:$K$203)/$K41)))</f>
        <v>0</v>
      </c>
      <c r="AA41" s="166">
        <f>IF(OR($I41="",$E41=0),0,IF(OR($J41&lt;AA$3,$I41&gt;AA$2),0,IF($K41=0,IF(AND($I41&gt;=AA$3,$I41&lt;=AA$2),$E41,0),$E41*NETWORKDAYS(MAX($I41,AA$3),MIN($J41,AA$2),Data!$K$4:$K$203)/$K41)))</f>
        <v>0</v>
      </c>
      <c r="AB41" s="166">
        <f>IF(OR($I41="",$E41=0),0,IF(OR($J41&lt;AB$3,$I41&gt;AB$2),0,IF($K41=0,IF(AND($I41&gt;=AB$3,$I41&lt;=AB$2),$E41,0),$E41*NETWORKDAYS(MAX($I41,AB$3),MIN($J41,AB$2),Data!$K$4:$K$203)/$K41)))</f>
        <v>0</v>
      </c>
      <c r="AC41" s="166">
        <f>IF(OR($I41="",$E41=0),0,IF(OR($J41&lt;AC$3,$I41&gt;AC$2),0,IF($K41=0,IF(AND($I41&gt;=AC$3,$I41&lt;=AC$2),$E41,0),$E41*NETWORKDAYS(MAX($I41,AC$3),MIN($J41,AC$2),Data!$K$4:$K$203)/$K41)))</f>
        <v>0</v>
      </c>
      <c r="AD41" s="166">
        <f>IF(OR($I41="",$E41=0),0,IF(OR($J41&lt;AD$3,$I41&gt;AD$2),0,IF($K41=0,IF(AND($I41&gt;=AD$3,$I41&lt;=AD$2),$E41,0),$E41*NETWORKDAYS(MAX($I41,AD$3),MIN($J41,AD$2),Data!$K$4:$K$203)/$K41)))</f>
        <v>0</v>
      </c>
      <c r="AE41" s="166">
        <f>IF(OR($I41="",$E41=0),0,IF(OR($J41&lt;AE$3,$I41&gt;AE$2),0,IF($K41=0,IF(AND($I41&gt;=AE$3,$I41&lt;=AE$2),$E41,0),$E41*NETWORKDAYS(MAX($I41,AE$3),MIN($J41,AE$2),Data!$K$4:$K$203)/$K41)))</f>
        <v>0</v>
      </c>
      <c r="AF41" s="166">
        <f>IF(OR($I41="",$E41=0),0,IF(OR($J41&lt;AF$3,$I41&gt;AF$2),0,IF($K41=0,IF(AND($I41&gt;=AF$3,$I41&lt;=AF$2),$E41,0),$E41*NETWORKDAYS(MAX($I41,AF$3),MIN($J41,AF$2),Data!$K$4:$K$203)/$K41)))</f>
        <v>0</v>
      </c>
      <c r="AG41" s="166">
        <f>IF(OR($I41="",$E41=0),0,IF(OR($J41&lt;AG$3,$I41&gt;AG$2),0,IF($K41=0,IF(AND($I41&gt;=AG$3,$I41&lt;=AG$2),$E41,0),$E41*NETWORKDAYS(MAX($I41,AG$3),MIN($J41,AG$2),Data!$K$4:$K$203)/$K41)))</f>
        <v>0</v>
      </c>
      <c r="AH41" s="166">
        <f>IF(OR($I41="",$E41=0),0,IF(OR($J41&lt;AH$3,$I41&gt;AH$2),0,IF($K41=0,IF(AND($I41&gt;=AH$3,$I41&lt;=AH$2),$E41,0),$E41*NETWORKDAYS(MAX($I41,AH$3),MIN($J41,AH$2),Data!$K$4:$K$203)/$K41)))</f>
        <v>0</v>
      </c>
      <c r="AI41" s="166">
        <f>SUM(W41:AH41)</f>
        <v>0</v>
      </c>
      <c r="BW41" t="n">
        <v>38</v>
      </c>
      <c r="BX41" t="str">
        <f>IFERROR(MATCH(BW41,$EQ$4:$EQ$503,0),"")</f>
        <v/>
      </c>
      <c r="BZ41" t="str">
        <f>IF(D41=1,IF(TRIM(INDEX(Charge!$K:$K,ROW()))&lt;&gt;"",TRIM(INDEX(Charge!$K:$K,ROW())),IF(TRIM(INDEX(Charge!$L:$L,ROW()))&lt;&gt;"",TRIM(INDEX(Charge!$L:$L,ROW())),"(non affecté)")),"")</f>
        <v/>
      </c>
      <c r="CA41" t="str">
        <f>IF(AND($CD$4&lt;&gt;"",BZ41=$CD$4),COUNTIFS($BZ$4:$BZ$503,$CD$4,$L$4:$L$503,"&lt;"&amp;L41)+1,"")</f>
        <v/>
      </c>
      <c r="EJ41" t="str">
        <f>TRIM(INDEX(Data!$E:$E,ROW()))</f>
        <v/>
      </c>
      <c r="EK41" t="str">
        <f>TRIM(INDEX(Data!$H:$H,ROW()))</f>
        <v/>
      </c>
      <c r="EM41" t="str">
        <f>IF(D41=1,IF(TRIM(INDEX(Charge!$K:$K,ROW()))&lt;&gt;"","Interne",IF(TRIM(INDEX(Charge!$L:$L,ROW()))&lt;&gt;"","Externe","Non affecté")),"")</f>
        <v/>
      </c>
      <c r="EN41" t="str">
        <f>IF(D41=1,LEFT(SUBSTITUTE(SUBSTITUTE(SUBSTITUTE(TRIM(SUBSTITUTE(INDEX(Charge!$B:$B,ROW()),CHAR(160)," "))&amp;" | "&amp;TRIM(SUBSTITUTE(INDEX(Charge!$C:$C,ROW()),CHAR(160)," "))&amp;" | "&amp;TRIM(SUBSTITUTE(INDEX(Charge!$D:$D,ROW()),CHAR(160)," ")),"~","-"),"*","+"),"?","!"),240),"")</f>
        <v/>
      </c>
      <c r="EO41">
        <f>IF(EN41="",0,IF(COUNTIF($EN$4:EN41,EN41)=1,1,0))</f>
        <v>0</v>
      </c>
      <c r="EP41" s="166" t="str">
        <f>IF(EO41=1,ROUND(SUMIF($EN$4:$EN$503,EN41,$E$4:$E$503),2),"")</f>
        <v/>
      </c>
      <c r="EQ41" t="str">
        <f>IF(EO41=1,COUNTIFS($EO$4:$EO$503,1,$EP$4:$EP$503,"&gt;"&amp;EP41)+COUNTIFS($EO$4:EO41,1,$EP$4:EP41,EP41),"")</f>
        <v/>
      </c>
      <c r="ER41" t="str">
        <f>IF(EO41=1,COUNTIFS($EN$4:$EN$503,EN41,$EM$4:$EM$503,"Interne",$FE$4:$FE$503,1),"")</f>
        <v/>
      </c>
      <c r="ES41" t="str">
        <f>IF(EO41=1,COUNTIFS($EN$4:$EN$503,EN41,$EM$4:$EM$503,"Externe",$FE$4:$FE$503,1),"")</f>
        <v/>
      </c>
      <c r="ET41" t="str">
        <f>IF(EO41=1,IF(ER41+ES41=0,"à affecter",IF(ER41=0,ES41&amp;" ext.",(ER41+ES41)&amp;IF(ES41&gt;0," dont "&amp;ES41&amp;" ext.",""))&amp;IF(COUNTIFS($EN$4:$EN$503,EN41,$EM$4:$EM$503,"Non affecté")&gt;0," + à affecter","")),"")</f>
        <v/>
      </c>
      <c r="EU41" s="170" t="str">
        <f>IF(EO41=1,IF(EP41&gt;0,SUMPRODUCT(($EN$4:$EN$503=EN41)*$E$4:$E$503*$C$4:$C$503)/EP41,AVERAGEIF($EN$4:$EN$503,EN41,$C$4:$C$503)),"")</f>
        <v/>
      </c>
      <c r="EV41" s="165">
        <f>IF(ISNUMBER(I41),I41,2958465)</f>
        <v>2958465.0</v>
      </c>
      <c r="EW41" s="165" t="str">
        <f>IF(EO41=1,SUMPRODUCT(MIN(($EN$4:$EN$503=EN41)*$EV$4:$EV$503+($EN$4:$EN$503&lt;&gt;EN41)*2958465)),"")</f>
        <v/>
      </c>
      <c r="EX41" s="165">
        <f>IF(AND(D41=1,ISNUMBER(INDEX(Charge!$F:$F,ROW()))),INDEX(Charge!$F:$F,ROW()),0)</f>
        <v>0.0</v>
      </c>
      <c r="EY41" s="165" t="str">
        <f>IF(EO41=1,SUMPRODUCT(MAX(($EN$4:$EN$503=EN41)*$EX$4:$EX$503)),"")</f>
        <v/>
      </c>
      <c r="FA41" t="str">
        <f>IF(38&lt;=$CD$23,INDEX($EJ$4:$EJ$203,38),IF(38-$CD$23&lt;=$CD$26,INDEX($EK$4:$EK$203,38-$CD$23),""))</f>
        <v/>
      </c>
      <c r="FB41" t="str">
        <f>IF(FA41="","",IF(38&lt;=$CD$23,"Interne","Externe"))</f>
        <v/>
      </c>
      <c r="FD41">
        <f>IF(AND(B41=1,TRIM(INDEX(Charge!$K:$K,ROW()))&lt;&gt;"",TRIM(INDEX(Charge!$L:$L,ROW()))&lt;&gt;""),1,0)</f>
        <v>0</v>
      </c>
      <c r="FE41">
        <f>IF(OR(EN41="",BZ41="(non affecté)"),0,IF(COUNTIFS($EN$4:EN41,EN41,$BZ$4:BZ41,BZ41)=1,1,0))</f>
        <v>0</v>
      </c>
    </row>
    <row r="42">
      <c r="A42">
        <f>ROW()</f>
        <v>42</v>
      </c>
      <c r="B42">
        <f>IF(TRIM(INDEX(Charge!$B:$B,ROW()))&lt;&gt;"",1,0)</f>
        <v>0</v>
      </c>
      <c r="C42">
        <f>IF(B42=1,MIN(1,MAX(0,N(INDEX(Charge!$O:$O,ROW())))),0)</f>
        <v>0</v>
      </c>
      <c r="D42">
        <f>IF(B42=1,IF(OR(p_Perimetre="Tous les projets",C42&lt;1),1,0),0)</f>
        <v>0</v>
      </c>
      <c r="E42">
        <f>IF(D42=1,MAX(0,N(INDEX(Charge!$M:$M,ROW()))),0)</f>
        <v>0</v>
      </c>
      <c r="F42" t="str">
        <f>IF(D42=1,IF(TRIM(INDEX(Charge!$A:$A,ROW()))="","(non renseigné)",TRIM(INDEX(Charge!$A:$A,ROW()))),"")</f>
        <v/>
      </c>
      <c r="G42" t="str">
        <f>IF(D42=1,TRIM(INDEX(Charge!$B:$B,ROW())),"")</f>
        <v/>
      </c>
      <c r="H42" t="str">
        <f>IF(D42=1,IF(TRIM(INDEX(Charge!$E:$E,ROW()))="","(non renseigné)",TRIM(INDEX(Charge!$E:$E,ROW()))),"")</f>
        <v/>
      </c>
      <c r="I42" s="165" t="str">
        <f>IF(AND(D42=1,ISNUMBER(INDEX(Charge!$N:$N,ROW()))),INDEX(Charge!$N:$N,ROW()),"")</f>
        <v/>
      </c>
      <c r="J42" s="165" t="str">
        <f>IF(I42="","",IF(AND(p_Repartition="Lissée jusqu'à la date de besoin",ISNUMBER(INDEX(Charge!$F:$F,ROW()))),IF(INDEX(Charge!$F:$F,ROW())&gt;=I42,INDEX(Charge!$F:$F,ROW()),I42),I42))</f>
        <v/>
      </c>
      <c r="K42" t="str">
        <f>IF(I42="","",NETWORKDAYS(I42,J42,Data!$K$4:$K$203))</f>
        <v/>
      </c>
      <c r="L42" t="str">
        <f>IF(D42=1,COUNTIFS($D$4:$D$503,1,$E$4:$E$503,"&gt;"&amp;E42)+COUNTIFS($D$4:$D42,1,$E$4:$E42,E42),"")</f>
        <v/>
      </c>
      <c r="M42">
        <f>IF(F42="",0,IF(COUNTIF($F$4:F42,F42)=1,1,0))</f>
        <v>0</v>
      </c>
      <c r="N42" t="str">
        <f>IF(M42=1,ROUND(SUMIF($F$4:$F$503,F42,$E$4:$E$503),2),"")</f>
        <v/>
      </c>
      <c r="O42" t="str">
        <f>IF(M42=1,COUNTIFS($M$4:$M$503,1,$N$4:$N$503,"&gt;"&amp;N42)+COUNTIFS($M$4:M42,1,$N$4:N42,N42),"")</f>
        <v/>
      </c>
      <c r="P42">
        <f>IF(G42="",0,IF(COUNTIF($G$4:G42,G42)=1,1,0))</f>
        <v>0</v>
      </c>
      <c r="Q42" t="str">
        <f>IF(P42=1,ROUND(SUMIF($G$4:$G$503,G42,$E$4:$E$503),2),"")</f>
        <v/>
      </c>
      <c r="R42" t="str">
        <f>IF(P42=1,COUNTIFS($P$4:$P$503,1,$Q$4:$Q$503,"&gt;"&amp;Q42)+COUNTIFS($P$4:P42,1,$Q$4:Q42,Q42),"")</f>
        <v/>
      </c>
      <c r="S42">
        <f>IF(H42="",0,IF(COUNTIF($H$4:H42,H42)=1,1,0))</f>
        <v>0</v>
      </c>
      <c r="T42" t="str">
        <f>IF(S42=1,ROUND(SUMIF($H$4:$H$503,H42,$E$4:$E$503),2),"")</f>
        <v/>
      </c>
      <c r="U42" t="str">
        <f>IF(S42=1,COUNTIFS($S$4:$S$503,1,$T$4:$T$503,"&gt;"&amp;T42)+COUNTIFS($S$4:S42,1,$T$4:T42,T42),"")</f>
        <v/>
      </c>
      <c r="V42" t="str">
        <f>IF(D42=1,MIN(INDEX($R$4:$R$503,MATCH(G42,$G$4:$G$503,0)),IF($AL$7&gt;9,9,999)),"")</f>
        <v/>
      </c>
      <c r="W42" s="166">
        <f>IF(OR($I42="",$E42=0),0,IF(OR($J42&lt;W$3,$I42&gt;W$2),0,IF($K42=0,IF(AND($I42&gt;=W$3,$I42&lt;=W$2),$E42,0),$E42*NETWORKDAYS(MAX($I42,W$3),MIN($J42,W$2),Data!$K$4:$K$203)/$K42)))</f>
        <v>0</v>
      </c>
      <c r="X42" s="166">
        <f>IF(OR($I42="",$E42=0),0,IF(OR($J42&lt;X$3,$I42&gt;X$2),0,IF($K42=0,IF(AND($I42&gt;=X$3,$I42&lt;=X$2),$E42,0),$E42*NETWORKDAYS(MAX($I42,X$3),MIN($J42,X$2),Data!$K$4:$K$203)/$K42)))</f>
        <v>0</v>
      </c>
      <c r="Y42" s="166">
        <f>IF(OR($I42="",$E42=0),0,IF(OR($J42&lt;Y$3,$I42&gt;Y$2),0,IF($K42=0,IF(AND($I42&gt;=Y$3,$I42&lt;=Y$2),$E42,0),$E42*NETWORKDAYS(MAX($I42,Y$3),MIN($J42,Y$2),Data!$K$4:$K$203)/$K42)))</f>
        <v>0</v>
      </c>
      <c r="Z42" s="166">
        <f>IF(OR($I42="",$E42=0),0,IF(OR($J42&lt;Z$3,$I42&gt;Z$2),0,IF($K42=0,IF(AND($I42&gt;=Z$3,$I42&lt;=Z$2),$E42,0),$E42*NETWORKDAYS(MAX($I42,Z$3),MIN($J42,Z$2),Data!$K$4:$K$203)/$K42)))</f>
        <v>0</v>
      </c>
      <c r="AA42" s="166">
        <f>IF(OR($I42="",$E42=0),0,IF(OR($J42&lt;AA$3,$I42&gt;AA$2),0,IF($K42=0,IF(AND($I42&gt;=AA$3,$I42&lt;=AA$2),$E42,0),$E42*NETWORKDAYS(MAX($I42,AA$3),MIN($J42,AA$2),Data!$K$4:$K$203)/$K42)))</f>
        <v>0</v>
      </c>
      <c r="AB42" s="166">
        <f>IF(OR($I42="",$E42=0),0,IF(OR($J42&lt;AB$3,$I42&gt;AB$2),0,IF($K42=0,IF(AND($I42&gt;=AB$3,$I42&lt;=AB$2),$E42,0),$E42*NETWORKDAYS(MAX($I42,AB$3),MIN($J42,AB$2),Data!$K$4:$K$203)/$K42)))</f>
        <v>0</v>
      </c>
      <c r="AC42" s="166">
        <f>IF(OR($I42="",$E42=0),0,IF(OR($J42&lt;AC$3,$I42&gt;AC$2),0,IF($K42=0,IF(AND($I42&gt;=AC$3,$I42&lt;=AC$2),$E42,0),$E42*NETWORKDAYS(MAX($I42,AC$3),MIN($J42,AC$2),Data!$K$4:$K$203)/$K42)))</f>
        <v>0</v>
      </c>
      <c r="AD42" s="166">
        <f>IF(OR($I42="",$E42=0),0,IF(OR($J42&lt;AD$3,$I42&gt;AD$2),0,IF($K42=0,IF(AND($I42&gt;=AD$3,$I42&lt;=AD$2),$E42,0),$E42*NETWORKDAYS(MAX($I42,AD$3),MIN($J42,AD$2),Data!$K$4:$K$203)/$K42)))</f>
        <v>0</v>
      </c>
      <c r="AE42" s="166">
        <f>IF(OR($I42="",$E42=0),0,IF(OR($J42&lt;AE$3,$I42&gt;AE$2),0,IF($K42=0,IF(AND($I42&gt;=AE$3,$I42&lt;=AE$2),$E42,0),$E42*NETWORKDAYS(MAX($I42,AE$3),MIN($J42,AE$2),Data!$K$4:$K$203)/$K42)))</f>
        <v>0</v>
      </c>
      <c r="AF42" s="166">
        <f>IF(OR($I42="",$E42=0),0,IF(OR($J42&lt;AF$3,$I42&gt;AF$2),0,IF($K42=0,IF(AND($I42&gt;=AF$3,$I42&lt;=AF$2),$E42,0),$E42*NETWORKDAYS(MAX($I42,AF$3),MIN($J42,AF$2),Data!$K$4:$K$203)/$K42)))</f>
        <v>0</v>
      </c>
      <c r="AG42" s="166">
        <f>IF(OR($I42="",$E42=0),0,IF(OR($J42&lt;AG$3,$I42&gt;AG$2),0,IF($K42=0,IF(AND($I42&gt;=AG$3,$I42&lt;=AG$2),$E42,0),$E42*NETWORKDAYS(MAX($I42,AG$3),MIN($J42,AG$2),Data!$K$4:$K$203)/$K42)))</f>
        <v>0</v>
      </c>
      <c r="AH42" s="166">
        <f>IF(OR($I42="",$E42=0),0,IF(OR($J42&lt;AH$3,$I42&gt;AH$2),0,IF($K42=0,IF(AND($I42&gt;=AH$3,$I42&lt;=AH$2),$E42,0),$E42*NETWORKDAYS(MAX($I42,AH$3),MIN($J42,AH$2),Data!$K$4:$K$203)/$K42)))</f>
        <v>0</v>
      </c>
      <c r="AI42" s="166">
        <f>SUM(W42:AH42)</f>
        <v>0</v>
      </c>
      <c r="BW42" t="n">
        <v>39</v>
      </c>
      <c r="BX42" t="str">
        <f>IFERROR(MATCH(BW42,$EQ$4:$EQ$503,0),"")</f>
        <v/>
      </c>
      <c r="BZ42" t="str">
        <f>IF(D42=1,IF(TRIM(INDEX(Charge!$K:$K,ROW()))&lt;&gt;"",TRIM(INDEX(Charge!$K:$K,ROW())),IF(TRIM(INDEX(Charge!$L:$L,ROW()))&lt;&gt;"",TRIM(INDEX(Charge!$L:$L,ROW())),"(non affecté)")),"")</f>
        <v/>
      </c>
      <c r="CA42" t="str">
        <f>IF(AND($CD$4&lt;&gt;"",BZ42=$CD$4),COUNTIFS($BZ$4:$BZ$503,$CD$4,$L$4:$L$503,"&lt;"&amp;L42)+1,"")</f>
        <v/>
      </c>
      <c r="EJ42" t="str">
        <f>TRIM(INDEX(Data!$E:$E,ROW()))</f>
        <v/>
      </c>
      <c r="EK42" t="str">
        <f>TRIM(INDEX(Data!$H:$H,ROW()))</f>
        <v/>
      </c>
      <c r="EM42" t="str">
        <f>IF(D42=1,IF(TRIM(INDEX(Charge!$K:$K,ROW()))&lt;&gt;"","Interne",IF(TRIM(INDEX(Charge!$L:$L,ROW()))&lt;&gt;"","Externe","Non affecté")),"")</f>
        <v/>
      </c>
      <c r="EN42" t="str">
        <f>IF(D42=1,LEFT(SUBSTITUTE(SUBSTITUTE(SUBSTITUTE(TRIM(SUBSTITUTE(INDEX(Charge!$B:$B,ROW()),CHAR(160)," "))&amp;" | "&amp;TRIM(SUBSTITUTE(INDEX(Charge!$C:$C,ROW()),CHAR(160)," "))&amp;" | "&amp;TRIM(SUBSTITUTE(INDEX(Charge!$D:$D,ROW()),CHAR(160)," ")),"~","-"),"*","+"),"?","!"),240),"")</f>
        <v/>
      </c>
      <c r="EO42">
        <f>IF(EN42="",0,IF(COUNTIF($EN$4:EN42,EN42)=1,1,0))</f>
        <v>0</v>
      </c>
      <c r="EP42" s="166" t="str">
        <f>IF(EO42=1,ROUND(SUMIF($EN$4:$EN$503,EN42,$E$4:$E$503),2),"")</f>
        <v/>
      </c>
      <c r="EQ42" t="str">
        <f>IF(EO42=1,COUNTIFS($EO$4:$EO$503,1,$EP$4:$EP$503,"&gt;"&amp;EP42)+COUNTIFS($EO$4:EO42,1,$EP$4:EP42,EP42),"")</f>
        <v/>
      </c>
      <c r="ER42" t="str">
        <f>IF(EO42=1,COUNTIFS($EN$4:$EN$503,EN42,$EM$4:$EM$503,"Interne",$FE$4:$FE$503,1),"")</f>
        <v/>
      </c>
      <c r="ES42" t="str">
        <f>IF(EO42=1,COUNTIFS($EN$4:$EN$503,EN42,$EM$4:$EM$503,"Externe",$FE$4:$FE$503,1),"")</f>
        <v/>
      </c>
      <c r="ET42" t="str">
        <f>IF(EO42=1,IF(ER42+ES42=0,"à affecter",IF(ER42=0,ES42&amp;" ext.",(ER42+ES42)&amp;IF(ES42&gt;0," dont "&amp;ES42&amp;" ext.",""))&amp;IF(COUNTIFS($EN$4:$EN$503,EN42,$EM$4:$EM$503,"Non affecté")&gt;0," + à affecter","")),"")</f>
        <v/>
      </c>
      <c r="EU42" s="170" t="str">
        <f>IF(EO42=1,IF(EP42&gt;0,SUMPRODUCT(($EN$4:$EN$503=EN42)*$E$4:$E$503*$C$4:$C$503)/EP42,AVERAGEIF($EN$4:$EN$503,EN42,$C$4:$C$503)),"")</f>
        <v/>
      </c>
      <c r="EV42" s="165">
        <f>IF(ISNUMBER(I42),I42,2958465)</f>
        <v>2958465.0</v>
      </c>
      <c r="EW42" s="165" t="str">
        <f>IF(EO42=1,SUMPRODUCT(MIN(($EN$4:$EN$503=EN42)*$EV$4:$EV$503+($EN$4:$EN$503&lt;&gt;EN42)*2958465)),"")</f>
        <v/>
      </c>
      <c r="EX42" s="165">
        <f>IF(AND(D42=1,ISNUMBER(INDEX(Charge!$F:$F,ROW()))),INDEX(Charge!$F:$F,ROW()),0)</f>
        <v>0.0</v>
      </c>
      <c r="EY42" s="165" t="str">
        <f>IF(EO42=1,SUMPRODUCT(MAX(($EN$4:$EN$503=EN42)*$EX$4:$EX$503)),"")</f>
        <v/>
      </c>
      <c r="FA42" t="str">
        <f>IF(39&lt;=$CD$23,INDEX($EJ$4:$EJ$203,39),IF(39-$CD$23&lt;=$CD$26,INDEX($EK$4:$EK$203,39-$CD$23),""))</f>
        <v/>
      </c>
      <c r="FB42" t="str">
        <f>IF(FA42="","",IF(39&lt;=$CD$23,"Interne","Externe"))</f>
        <v/>
      </c>
      <c r="FD42">
        <f>IF(AND(B42=1,TRIM(INDEX(Charge!$K:$K,ROW()))&lt;&gt;"",TRIM(INDEX(Charge!$L:$L,ROW()))&lt;&gt;""),1,0)</f>
        <v>0</v>
      </c>
      <c r="FE42">
        <f>IF(OR(EN42="",BZ42="(non affecté)"),0,IF(COUNTIFS($EN$4:EN42,EN42,$BZ$4:BZ42,BZ42)=1,1,0))</f>
        <v>0</v>
      </c>
    </row>
    <row r="43">
      <c r="A43">
        <f>ROW()</f>
        <v>43</v>
      </c>
      <c r="B43">
        <f>IF(TRIM(INDEX(Charge!$B:$B,ROW()))&lt;&gt;"",1,0)</f>
        <v>0</v>
      </c>
      <c r="C43">
        <f>IF(B43=1,MIN(1,MAX(0,N(INDEX(Charge!$O:$O,ROW())))),0)</f>
        <v>0</v>
      </c>
      <c r="D43">
        <f>IF(B43=1,IF(OR(p_Perimetre="Tous les projets",C43&lt;1),1,0),0)</f>
        <v>0</v>
      </c>
      <c r="E43">
        <f>IF(D43=1,MAX(0,N(INDEX(Charge!$M:$M,ROW()))),0)</f>
        <v>0</v>
      </c>
      <c r="F43" t="str">
        <f>IF(D43=1,IF(TRIM(INDEX(Charge!$A:$A,ROW()))="","(non renseigné)",TRIM(INDEX(Charge!$A:$A,ROW()))),"")</f>
        <v/>
      </c>
      <c r="G43" t="str">
        <f>IF(D43=1,TRIM(INDEX(Charge!$B:$B,ROW())),"")</f>
        <v/>
      </c>
      <c r="H43" t="str">
        <f>IF(D43=1,IF(TRIM(INDEX(Charge!$E:$E,ROW()))="","(non renseigné)",TRIM(INDEX(Charge!$E:$E,ROW()))),"")</f>
        <v/>
      </c>
      <c r="I43" s="165" t="str">
        <f>IF(AND(D43=1,ISNUMBER(INDEX(Charge!$N:$N,ROW()))),INDEX(Charge!$N:$N,ROW()),"")</f>
        <v/>
      </c>
      <c r="J43" s="165" t="str">
        <f>IF(I43="","",IF(AND(p_Repartition="Lissée jusqu'à la date de besoin",ISNUMBER(INDEX(Charge!$F:$F,ROW()))),IF(INDEX(Charge!$F:$F,ROW())&gt;=I43,INDEX(Charge!$F:$F,ROW()),I43),I43))</f>
        <v/>
      </c>
      <c r="K43" t="str">
        <f>IF(I43="","",NETWORKDAYS(I43,J43,Data!$K$4:$K$203))</f>
        <v/>
      </c>
      <c r="L43" t="str">
        <f>IF(D43=1,COUNTIFS($D$4:$D$503,1,$E$4:$E$503,"&gt;"&amp;E43)+COUNTIFS($D$4:$D43,1,$E$4:$E43,E43),"")</f>
        <v/>
      </c>
      <c r="M43">
        <f>IF(F43="",0,IF(COUNTIF($F$4:F43,F43)=1,1,0))</f>
        <v>0</v>
      </c>
      <c r="N43" t="str">
        <f>IF(M43=1,ROUND(SUMIF($F$4:$F$503,F43,$E$4:$E$503),2),"")</f>
        <v/>
      </c>
      <c r="O43" t="str">
        <f>IF(M43=1,COUNTIFS($M$4:$M$503,1,$N$4:$N$503,"&gt;"&amp;N43)+COUNTIFS($M$4:M43,1,$N$4:N43,N43),"")</f>
        <v/>
      </c>
      <c r="P43">
        <f>IF(G43="",0,IF(COUNTIF($G$4:G43,G43)=1,1,0))</f>
        <v>0</v>
      </c>
      <c r="Q43" t="str">
        <f>IF(P43=1,ROUND(SUMIF($G$4:$G$503,G43,$E$4:$E$503),2),"")</f>
        <v/>
      </c>
      <c r="R43" t="str">
        <f>IF(P43=1,COUNTIFS($P$4:$P$503,1,$Q$4:$Q$503,"&gt;"&amp;Q43)+COUNTIFS($P$4:P43,1,$Q$4:Q43,Q43),"")</f>
        <v/>
      </c>
      <c r="S43">
        <f>IF(H43="",0,IF(COUNTIF($H$4:H43,H43)=1,1,0))</f>
        <v>0</v>
      </c>
      <c r="T43" t="str">
        <f>IF(S43=1,ROUND(SUMIF($H$4:$H$503,H43,$E$4:$E$503),2),"")</f>
        <v/>
      </c>
      <c r="U43" t="str">
        <f>IF(S43=1,COUNTIFS($S$4:$S$503,1,$T$4:$T$503,"&gt;"&amp;T43)+COUNTIFS($S$4:S43,1,$T$4:T43,T43),"")</f>
        <v/>
      </c>
      <c r="V43" t="str">
        <f>IF(D43=1,MIN(INDEX($R$4:$R$503,MATCH(G43,$G$4:$G$503,0)),IF($AL$7&gt;9,9,999)),"")</f>
        <v/>
      </c>
      <c r="W43" s="166">
        <f>IF(OR($I43="",$E43=0),0,IF(OR($J43&lt;W$3,$I43&gt;W$2),0,IF($K43=0,IF(AND($I43&gt;=W$3,$I43&lt;=W$2),$E43,0),$E43*NETWORKDAYS(MAX($I43,W$3),MIN($J43,W$2),Data!$K$4:$K$203)/$K43)))</f>
        <v>0</v>
      </c>
      <c r="X43" s="166">
        <f>IF(OR($I43="",$E43=0),0,IF(OR($J43&lt;X$3,$I43&gt;X$2),0,IF($K43=0,IF(AND($I43&gt;=X$3,$I43&lt;=X$2),$E43,0),$E43*NETWORKDAYS(MAX($I43,X$3),MIN($J43,X$2),Data!$K$4:$K$203)/$K43)))</f>
        <v>0</v>
      </c>
      <c r="Y43" s="166">
        <f>IF(OR($I43="",$E43=0),0,IF(OR($J43&lt;Y$3,$I43&gt;Y$2),0,IF($K43=0,IF(AND($I43&gt;=Y$3,$I43&lt;=Y$2),$E43,0),$E43*NETWORKDAYS(MAX($I43,Y$3),MIN($J43,Y$2),Data!$K$4:$K$203)/$K43)))</f>
        <v>0</v>
      </c>
      <c r="Z43" s="166">
        <f>IF(OR($I43="",$E43=0),0,IF(OR($J43&lt;Z$3,$I43&gt;Z$2),0,IF($K43=0,IF(AND($I43&gt;=Z$3,$I43&lt;=Z$2),$E43,0),$E43*NETWORKDAYS(MAX($I43,Z$3),MIN($J43,Z$2),Data!$K$4:$K$203)/$K43)))</f>
        <v>0</v>
      </c>
      <c r="AA43" s="166">
        <f>IF(OR($I43="",$E43=0),0,IF(OR($J43&lt;AA$3,$I43&gt;AA$2),0,IF($K43=0,IF(AND($I43&gt;=AA$3,$I43&lt;=AA$2),$E43,0),$E43*NETWORKDAYS(MAX($I43,AA$3),MIN($J43,AA$2),Data!$K$4:$K$203)/$K43)))</f>
        <v>0</v>
      </c>
      <c r="AB43" s="166">
        <f>IF(OR($I43="",$E43=0),0,IF(OR($J43&lt;AB$3,$I43&gt;AB$2),0,IF($K43=0,IF(AND($I43&gt;=AB$3,$I43&lt;=AB$2),$E43,0),$E43*NETWORKDAYS(MAX($I43,AB$3),MIN($J43,AB$2),Data!$K$4:$K$203)/$K43)))</f>
        <v>0</v>
      </c>
      <c r="AC43" s="166">
        <f>IF(OR($I43="",$E43=0),0,IF(OR($J43&lt;AC$3,$I43&gt;AC$2),0,IF($K43=0,IF(AND($I43&gt;=AC$3,$I43&lt;=AC$2),$E43,0),$E43*NETWORKDAYS(MAX($I43,AC$3),MIN($J43,AC$2),Data!$K$4:$K$203)/$K43)))</f>
        <v>0</v>
      </c>
      <c r="AD43" s="166">
        <f>IF(OR($I43="",$E43=0),0,IF(OR($J43&lt;AD$3,$I43&gt;AD$2),0,IF($K43=0,IF(AND($I43&gt;=AD$3,$I43&lt;=AD$2),$E43,0),$E43*NETWORKDAYS(MAX($I43,AD$3),MIN($J43,AD$2),Data!$K$4:$K$203)/$K43)))</f>
        <v>0</v>
      </c>
      <c r="AE43" s="166">
        <f>IF(OR($I43="",$E43=0),0,IF(OR($J43&lt;AE$3,$I43&gt;AE$2),0,IF($K43=0,IF(AND($I43&gt;=AE$3,$I43&lt;=AE$2),$E43,0),$E43*NETWORKDAYS(MAX($I43,AE$3),MIN($J43,AE$2),Data!$K$4:$K$203)/$K43)))</f>
        <v>0</v>
      </c>
      <c r="AF43" s="166">
        <f>IF(OR($I43="",$E43=0),0,IF(OR($J43&lt;AF$3,$I43&gt;AF$2),0,IF($K43=0,IF(AND($I43&gt;=AF$3,$I43&lt;=AF$2),$E43,0),$E43*NETWORKDAYS(MAX($I43,AF$3),MIN($J43,AF$2),Data!$K$4:$K$203)/$K43)))</f>
        <v>0</v>
      </c>
      <c r="AG43" s="166">
        <f>IF(OR($I43="",$E43=0),0,IF(OR($J43&lt;AG$3,$I43&gt;AG$2),0,IF($K43=0,IF(AND($I43&gt;=AG$3,$I43&lt;=AG$2),$E43,0),$E43*NETWORKDAYS(MAX($I43,AG$3),MIN($J43,AG$2),Data!$K$4:$K$203)/$K43)))</f>
        <v>0</v>
      </c>
      <c r="AH43" s="166">
        <f>IF(OR($I43="",$E43=0),0,IF(OR($J43&lt;AH$3,$I43&gt;AH$2),0,IF($K43=0,IF(AND($I43&gt;=AH$3,$I43&lt;=AH$2),$E43,0),$E43*NETWORKDAYS(MAX($I43,AH$3),MIN($J43,AH$2),Data!$K$4:$K$203)/$K43)))</f>
        <v>0</v>
      </c>
      <c r="AI43" s="166">
        <f>SUM(W43:AH43)</f>
        <v>0</v>
      </c>
      <c r="BW43" t="n">
        <v>40</v>
      </c>
      <c r="BX43" t="str">
        <f>IFERROR(MATCH(BW43,$EQ$4:$EQ$503,0),"")</f>
        <v/>
      </c>
      <c r="BZ43" t="str">
        <f>IF(D43=1,IF(TRIM(INDEX(Charge!$K:$K,ROW()))&lt;&gt;"",TRIM(INDEX(Charge!$K:$K,ROW())),IF(TRIM(INDEX(Charge!$L:$L,ROW()))&lt;&gt;"",TRIM(INDEX(Charge!$L:$L,ROW())),"(non affecté)")),"")</f>
        <v/>
      </c>
      <c r="CA43" t="str">
        <f>IF(AND($CD$4&lt;&gt;"",BZ43=$CD$4),COUNTIFS($BZ$4:$BZ$503,$CD$4,$L$4:$L$503,"&lt;"&amp;L43)+1,"")</f>
        <v/>
      </c>
      <c r="EJ43" t="str">
        <f>TRIM(INDEX(Data!$E:$E,ROW()))</f>
        <v/>
      </c>
      <c r="EK43" t="str">
        <f>TRIM(INDEX(Data!$H:$H,ROW()))</f>
        <v/>
      </c>
      <c r="EM43" t="str">
        <f>IF(D43=1,IF(TRIM(INDEX(Charge!$K:$K,ROW()))&lt;&gt;"","Interne",IF(TRIM(INDEX(Charge!$L:$L,ROW()))&lt;&gt;"","Externe","Non affecté")),"")</f>
        <v/>
      </c>
      <c r="EN43" t="str">
        <f>IF(D43=1,LEFT(SUBSTITUTE(SUBSTITUTE(SUBSTITUTE(TRIM(SUBSTITUTE(INDEX(Charge!$B:$B,ROW()),CHAR(160)," "))&amp;" | "&amp;TRIM(SUBSTITUTE(INDEX(Charge!$C:$C,ROW()),CHAR(160)," "))&amp;" | "&amp;TRIM(SUBSTITUTE(INDEX(Charge!$D:$D,ROW()),CHAR(160)," ")),"~","-"),"*","+"),"?","!"),240),"")</f>
        <v/>
      </c>
      <c r="EO43">
        <f>IF(EN43="",0,IF(COUNTIF($EN$4:EN43,EN43)=1,1,0))</f>
        <v>0</v>
      </c>
      <c r="EP43" s="166" t="str">
        <f>IF(EO43=1,ROUND(SUMIF($EN$4:$EN$503,EN43,$E$4:$E$503),2),"")</f>
        <v/>
      </c>
      <c r="EQ43" t="str">
        <f>IF(EO43=1,COUNTIFS($EO$4:$EO$503,1,$EP$4:$EP$503,"&gt;"&amp;EP43)+COUNTIFS($EO$4:EO43,1,$EP$4:EP43,EP43),"")</f>
        <v/>
      </c>
      <c r="ER43" t="str">
        <f>IF(EO43=1,COUNTIFS($EN$4:$EN$503,EN43,$EM$4:$EM$503,"Interne",$FE$4:$FE$503,1),"")</f>
        <v/>
      </c>
      <c r="ES43" t="str">
        <f>IF(EO43=1,COUNTIFS($EN$4:$EN$503,EN43,$EM$4:$EM$503,"Externe",$FE$4:$FE$503,1),"")</f>
        <v/>
      </c>
      <c r="ET43" t="str">
        <f>IF(EO43=1,IF(ER43+ES43=0,"à affecter",IF(ER43=0,ES43&amp;" ext.",(ER43+ES43)&amp;IF(ES43&gt;0," dont "&amp;ES43&amp;" ext.",""))&amp;IF(COUNTIFS($EN$4:$EN$503,EN43,$EM$4:$EM$503,"Non affecté")&gt;0," + à affecter","")),"")</f>
        <v/>
      </c>
      <c r="EU43" s="170" t="str">
        <f>IF(EO43=1,IF(EP43&gt;0,SUMPRODUCT(($EN$4:$EN$503=EN43)*$E$4:$E$503*$C$4:$C$503)/EP43,AVERAGEIF($EN$4:$EN$503,EN43,$C$4:$C$503)),"")</f>
        <v/>
      </c>
      <c r="EV43" s="165">
        <f>IF(ISNUMBER(I43),I43,2958465)</f>
        <v>2958465.0</v>
      </c>
      <c r="EW43" s="165" t="str">
        <f>IF(EO43=1,SUMPRODUCT(MIN(($EN$4:$EN$503=EN43)*$EV$4:$EV$503+($EN$4:$EN$503&lt;&gt;EN43)*2958465)),"")</f>
        <v/>
      </c>
      <c r="EX43" s="165">
        <f>IF(AND(D43=1,ISNUMBER(INDEX(Charge!$F:$F,ROW()))),INDEX(Charge!$F:$F,ROW()),0)</f>
        <v>0.0</v>
      </c>
      <c r="EY43" s="165" t="str">
        <f>IF(EO43=1,SUMPRODUCT(MAX(($EN$4:$EN$503=EN43)*$EX$4:$EX$503)),"")</f>
        <v/>
      </c>
      <c r="FA43" t="str">
        <f>IF(40&lt;=$CD$23,INDEX($EJ$4:$EJ$203,40),IF(40-$CD$23&lt;=$CD$26,INDEX($EK$4:$EK$203,40-$CD$23),""))</f>
        <v/>
      </c>
      <c r="FB43" t="str">
        <f>IF(FA43="","",IF(40&lt;=$CD$23,"Interne","Externe"))</f>
        <v/>
      </c>
      <c r="FD43">
        <f>IF(AND(B43=1,TRIM(INDEX(Charge!$K:$K,ROW()))&lt;&gt;"",TRIM(INDEX(Charge!$L:$L,ROW()))&lt;&gt;""),1,0)</f>
        <v>0</v>
      </c>
      <c r="FE43">
        <f>IF(OR(EN43="",BZ43="(non affecté)"),0,IF(COUNTIFS($EN$4:EN43,EN43,$BZ$4:BZ43,BZ43)=1,1,0))</f>
        <v>0</v>
      </c>
    </row>
    <row r="44">
      <c r="A44">
        <f>ROW()</f>
        <v>44</v>
      </c>
      <c r="B44">
        <f>IF(TRIM(INDEX(Charge!$B:$B,ROW()))&lt;&gt;"",1,0)</f>
        <v>0</v>
      </c>
      <c r="C44">
        <f>IF(B44=1,MIN(1,MAX(0,N(INDEX(Charge!$O:$O,ROW())))),0)</f>
        <v>0</v>
      </c>
      <c r="D44">
        <f>IF(B44=1,IF(OR(p_Perimetre="Tous les projets",C44&lt;1),1,0),0)</f>
        <v>0</v>
      </c>
      <c r="E44">
        <f>IF(D44=1,MAX(0,N(INDEX(Charge!$M:$M,ROW()))),0)</f>
        <v>0</v>
      </c>
      <c r="F44" t="str">
        <f>IF(D44=1,IF(TRIM(INDEX(Charge!$A:$A,ROW()))="","(non renseigné)",TRIM(INDEX(Charge!$A:$A,ROW()))),"")</f>
        <v/>
      </c>
      <c r="G44" t="str">
        <f>IF(D44=1,TRIM(INDEX(Charge!$B:$B,ROW())),"")</f>
        <v/>
      </c>
      <c r="H44" t="str">
        <f>IF(D44=1,IF(TRIM(INDEX(Charge!$E:$E,ROW()))="","(non renseigné)",TRIM(INDEX(Charge!$E:$E,ROW()))),"")</f>
        <v/>
      </c>
      <c r="I44" s="165" t="str">
        <f>IF(AND(D44=1,ISNUMBER(INDEX(Charge!$N:$N,ROW()))),INDEX(Charge!$N:$N,ROW()),"")</f>
        <v/>
      </c>
      <c r="J44" s="165" t="str">
        <f>IF(I44="","",IF(AND(p_Repartition="Lissée jusqu'à la date de besoin",ISNUMBER(INDEX(Charge!$F:$F,ROW()))),IF(INDEX(Charge!$F:$F,ROW())&gt;=I44,INDEX(Charge!$F:$F,ROW()),I44),I44))</f>
        <v/>
      </c>
      <c r="K44" t="str">
        <f>IF(I44="","",NETWORKDAYS(I44,J44,Data!$K$4:$K$203))</f>
        <v/>
      </c>
      <c r="L44" t="str">
        <f>IF(D44=1,COUNTIFS($D$4:$D$503,1,$E$4:$E$503,"&gt;"&amp;E44)+COUNTIFS($D$4:$D44,1,$E$4:$E44,E44),"")</f>
        <v/>
      </c>
      <c r="M44">
        <f>IF(F44="",0,IF(COUNTIF($F$4:F44,F44)=1,1,0))</f>
        <v>0</v>
      </c>
      <c r="N44" t="str">
        <f>IF(M44=1,ROUND(SUMIF($F$4:$F$503,F44,$E$4:$E$503),2),"")</f>
        <v/>
      </c>
      <c r="O44" t="str">
        <f>IF(M44=1,COUNTIFS($M$4:$M$503,1,$N$4:$N$503,"&gt;"&amp;N44)+COUNTIFS($M$4:M44,1,$N$4:N44,N44),"")</f>
        <v/>
      </c>
      <c r="P44">
        <f>IF(G44="",0,IF(COUNTIF($G$4:G44,G44)=1,1,0))</f>
        <v>0</v>
      </c>
      <c r="Q44" t="str">
        <f>IF(P44=1,ROUND(SUMIF($G$4:$G$503,G44,$E$4:$E$503),2),"")</f>
        <v/>
      </c>
      <c r="R44" t="str">
        <f>IF(P44=1,COUNTIFS($P$4:$P$503,1,$Q$4:$Q$503,"&gt;"&amp;Q44)+COUNTIFS($P$4:P44,1,$Q$4:Q44,Q44),"")</f>
        <v/>
      </c>
      <c r="S44">
        <f>IF(H44="",0,IF(COUNTIF($H$4:H44,H44)=1,1,0))</f>
        <v>0</v>
      </c>
      <c r="T44" t="str">
        <f>IF(S44=1,ROUND(SUMIF($H$4:$H$503,H44,$E$4:$E$503),2),"")</f>
        <v/>
      </c>
      <c r="U44" t="str">
        <f>IF(S44=1,COUNTIFS($S$4:$S$503,1,$T$4:$T$503,"&gt;"&amp;T44)+COUNTIFS($S$4:S44,1,$T$4:T44,T44),"")</f>
        <v/>
      </c>
      <c r="V44" t="str">
        <f>IF(D44=1,MIN(INDEX($R$4:$R$503,MATCH(G44,$G$4:$G$503,0)),IF($AL$7&gt;9,9,999)),"")</f>
        <v/>
      </c>
      <c r="W44" s="166">
        <f>IF(OR($I44="",$E44=0),0,IF(OR($J44&lt;W$3,$I44&gt;W$2),0,IF($K44=0,IF(AND($I44&gt;=W$3,$I44&lt;=W$2),$E44,0),$E44*NETWORKDAYS(MAX($I44,W$3),MIN($J44,W$2),Data!$K$4:$K$203)/$K44)))</f>
        <v>0</v>
      </c>
      <c r="X44" s="166">
        <f>IF(OR($I44="",$E44=0),0,IF(OR($J44&lt;X$3,$I44&gt;X$2),0,IF($K44=0,IF(AND($I44&gt;=X$3,$I44&lt;=X$2),$E44,0),$E44*NETWORKDAYS(MAX($I44,X$3),MIN($J44,X$2),Data!$K$4:$K$203)/$K44)))</f>
        <v>0</v>
      </c>
      <c r="Y44" s="166">
        <f>IF(OR($I44="",$E44=0),0,IF(OR($J44&lt;Y$3,$I44&gt;Y$2),0,IF($K44=0,IF(AND($I44&gt;=Y$3,$I44&lt;=Y$2),$E44,0),$E44*NETWORKDAYS(MAX($I44,Y$3),MIN($J44,Y$2),Data!$K$4:$K$203)/$K44)))</f>
        <v>0</v>
      </c>
      <c r="Z44" s="166">
        <f>IF(OR($I44="",$E44=0),0,IF(OR($J44&lt;Z$3,$I44&gt;Z$2),0,IF($K44=0,IF(AND($I44&gt;=Z$3,$I44&lt;=Z$2),$E44,0),$E44*NETWORKDAYS(MAX($I44,Z$3),MIN($J44,Z$2),Data!$K$4:$K$203)/$K44)))</f>
        <v>0</v>
      </c>
      <c r="AA44" s="166">
        <f>IF(OR($I44="",$E44=0),0,IF(OR($J44&lt;AA$3,$I44&gt;AA$2),0,IF($K44=0,IF(AND($I44&gt;=AA$3,$I44&lt;=AA$2),$E44,0),$E44*NETWORKDAYS(MAX($I44,AA$3),MIN($J44,AA$2),Data!$K$4:$K$203)/$K44)))</f>
        <v>0</v>
      </c>
      <c r="AB44" s="166">
        <f>IF(OR($I44="",$E44=0),0,IF(OR($J44&lt;AB$3,$I44&gt;AB$2),0,IF($K44=0,IF(AND($I44&gt;=AB$3,$I44&lt;=AB$2),$E44,0),$E44*NETWORKDAYS(MAX($I44,AB$3),MIN($J44,AB$2),Data!$K$4:$K$203)/$K44)))</f>
        <v>0</v>
      </c>
      <c r="AC44" s="166">
        <f>IF(OR($I44="",$E44=0),0,IF(OR($J44&lt;AC$3,$I44&gt;AC$2),0,IF($K44=0,IF(AND($I44&gt;=AC$3,$I44&lt;=AC$2),$E44,0),$E44*NETWORKDAYS(MAX($I44,AC$3),MIN($J44,AC$2),Data!$K$4:$K$203)/$K44)))</f>
        <v>0</v>
      </c>
      <c r="AD44" s="166">
        <f>IF(OR($I44="",$E44=0),0,IF(OR($J44&lt;AD$3,$I44&gt;AD$2),0,IF($K44=0,IF(AND($I44&gt;=AD$3,$I44&lt;=AD$2),$E44,0),$E44*NETWORKDAYS(MAX($I44,AD$3),MIN($J44,AD$2),Data!$K$4:$K$203)/$K44)))</f>
        <v>0</v>
      </c>
      <c r="AE44" s="166">
        <f>IF(OR($I44="",$E44=0),0,IF(OR($J44&lt;AE$3,$I44&gt;AE$2),0,IF($K44=0,IF(AND($I44&gt;=AE$3,$I44&lt;=AE$2),$E44,0),$E44*NETWORKDAYS(MAX($I44,AE$3),MIN($J44,AE$2),Data!$K$4:$K$203)/$K44)))</f>
        <v>0</v>
      </c>
      <c r="AF44" s="166">
        <f>IF(OR($I44="",$E44=0),0,IF(OR($J44&lt;AF$3,$I44&gt;AF$2),0,IF($K44=0,IF(AND($I44&gt;=AF$3,$I44&lt;=AF$2),$E44,0),$E44*NETWORKDAYS(MAX($I44,AF$3),MIN($J44,AF$2),Data!$K$4:$K$203)/$K44)))</f>
        <v>0</v>
      </c>
      <c r="AG44" s="166">
        <f>IF(OR($I44="",$E44=0),0,IF(OR($J44&lt;AG$3,$I44&gt;AG$2),0,IF($K44=0,IF(AND($I44&gt;=AG$3,$I44&lt;=AG$2),$E44,0),$E44*NETWORKDAYS(MAX($I44,AG$3),MIN($J44,AG$2),Data!$K$4:$K$203)/$K44)))</f>
        <v>0</v>
      </c>
      <c r="AH44" s="166">
        <f>IF(OR($I44="",$E44=0),0,IF(OR($J44&lt;AH$3,$I44&gt;AH$2),0,IF($K44=0,IF(AND($I44&gt;=AH$3,$I44&lt;=AH$2),$E44,0),$E44*NETWORKDAYS(MAX($I44,AH$3),MIN($J44,AH$2),Data!$K$4:$K$203)/$K44)))</f>
        <v>0</v>
      </c>
      <c r="AI44" s="166">
        <f>SUM(W44:AH44)</f>
        <v>0</v>
      </c>
      <c r="BW44" t="n">
        <v>41</v>
      </c>
      <c r="BX44" t="str">
        <f>IFERROR(MATCH(BW44,$EQ$4:$EQ$503,0),"")</f>
        <v/>
      </c>
      <c r="BZ44" t="str">
        <f>IF(D44=1,IF(TRIM(INDEX(Charge!$K:$K,ROW()))&lt;&gt;"",TRIM(INDEX(Charge!$K:$K,ROW())),IF(TRIM(INDEX(Charge!$L:$L,ROW()))&lt;&gt;"",TRIM(INDEX(Charge!$L:$L,ROW())),"(non affecté)")),"")</f>
        <v/>
      </c>
      <c r="CA44" t="str">
        <f>IF(AND($CD$4&lt;&gt;"",BZ44=$CD$4),COUNTIFS($BZ$4:$BZ$503,$CD$4,$L$4:$L$503,"&lt;"&amp;L44)+1,"")</f>
        <v/>
      </c>
      <c r="EJ44" t="str">
        <f>TRIM(INDEX(Data!$E:$E,ROW()))</f>
        <v/>
      </c>
      <c r="EK44" t="str">
        <f>TRIM(INDEX(Data!$H:$H,ROW()))</f>
        <v/>
      </c>
      <c r="EM44" t="str">
        <f>IF(D44=1,IF(TRIM(INDEX(Charge!$K:$K,ROW()))&lt;&gt;"","Interne",IF(TRIM(INDEX(Charge!$L:$L,ROW()))&lt;&gt;"","Externe","Non affecté")),"")</f>
        <v/>
      </c>
      <c r="EN44" t="str">
        <f>IF(D44=1,LEFT(SUBSTITUTE(SUBSTITUTE(SUBSTITUTE(TRIM(SUBSTITUTE(INDEX(Charge!$B:$B,ROW()),CHAR(160)," "))&amp;" | "&amp;TRIM(SUBSTITUTE(INDEX(Charge!$C:$C,ROW()),CHAR(160)," "))&amp;" | "&amp;TRIM(SUBSTITUTE(INDEX(Charge!$D:$D,ROW()),CHAR(160)," ")),"~","-"),"*","+"),"?","!"),240),"")</f>
        <v/>
      </c>
      <c r="EO44">
        <f>IF(EN44="",0,IF(COUNTIF($EN$4:EN44,EN44)=1,1,0))</f>
        <v>0</v>
      </c>
      <c r="EP44" s="166" t="str">
        <f>IF(EO44=1,ROUND(SUMIF($EN$4:$EN$503,EN44,$E$4:$E$503),2),"")</f>
        <v/>
      </c>
      <c r="EQ44" t="str">
        <f>IF(EO44=1,COUNTIFS($EO$4:$EO$503,1,$EP$4:$EP$503,"&gt;"&amp;EP44)+COUNTIFS($EO$4:EO44,1,$EP$4:EP44,EP44),"")</f>
        <v/>
      </c>
      <c r="ER44" t="str">
        <f>IF(EO44=1,COUNTIFS($EN$4:$EN$503,EN44,$EM$4:$EM$503,"Interne",$FE$4:$FE$503,1),"")</f>
        <v/>
      </c>
      <c r="ES44" t="str">
        <f>IF(EO44=1,COUNTIFS($EN$4:$EN$503,EN44,$EM$4:$EM$503,"Externe",$FE$4:$FE$503,1),"")</f>
        <v/>
      </c>
      <c r="ET44" t="str">
        <f>IF(EO44=1,IF(ER44+ES44=0,"à affecter",IF(ER44=0,ES44&amp;" ext.",(ER44+ES44)&amp;IF(ES44&gt;0," dont "&amp;ES44&amp;" ext.",""))&amp;IF(COUNTIFS($EN$4:$EN$503,EN44,$EM$4:$EM$503,"Non affecté")&gt;0," + à affecter","")),"")</f>
        <v/>
      </c>
      <c r="EU44" s="170" t="str">
        <f>IF(EO44=1,IF(EP44&gt;0,SUMPRODUCT(($EN$4:$EN$503=EN44)*$E$4:$E$503*$C$4:$C$503)/EP44,AVERAGEIF($EN$4:$EN$503,EN44,$C$4:$C$503)),"")</f>
        <v/>
      </c>
      <c r="EV44" s="165">
        <f>IF(ISNUMBER(I44),I44,2958465)</f>
        <v>2958465.0</v>
      </c>
      <c r="EW44" s="165" t="str">
        <f>IF(EO44=1,SUMPRODUCT(MIN(($EN$4:$EN$503=EN44)*$EV$4:$EV$503+($EN$4:$EN$503&lt;&gt;EN44)*2958465)),"")</f>
        <v/>
      </c>
      <c r="EX44" s="165">
        <f>IF(AND(D44=1,ISNUMBER(INDEX(Charge!$F:$F,ROW()))),INDEX(Charge!$F:$F,ROW()),0)</f>
        <v>0.0</v>
      </c>
      <c r="EY44" s="165" t="str">
        <f>IF(EO44=1,SUMPRODUCT(MAX(($EN$4:$EN$503=EN44)*$EX$4:$EX$503)),"")</f>
        <v/>
      </c>
      <c r="FA44" t="str">
        <f>IF(41&lt;=$CD$23,INDEX($EJ$4:$EJ$203,41),IF(41-$CD$23&lt;=$CD$26,INDEX($EK$4:$EK$203,41-$CD$23),""))</f>
        <v/>
      </c>
      <c r="FB44" t="str">
        <f>IF(FA44="","",IF(41&lt;=$CD$23,"Interne","Externe"))</f>
        <v/>
      </c>
      <c r="FD44">
        <f>IF(AND(B44=1,TRIM(INDEX(Charge!$K:$K,ROW()))&lt;&gt;"",TRIM(INDEX(Charge!$L:$L,ROW()))&lt;&gt;""),1,0)</f>
        <v>0</v>
      </c>
      <c r="FE44">
        <f>IF(OR(EN44="",BZ44="(non affecté)"),0,IF(COUNTIFS($EN$4:EN44,EN44,$BZ$4:BZ44,BZ44)=1,1,0))</f>
        <v>0</v>
      </c>
    </row>
    <row r="45">
      <c r="A45">
        <f>ROW()</f>
        <v>45</v>
      </c>
      <c r="B45">
        <f>IF(TRIM(INDEX(Charge!$B:$B,ROW()))&lt;&gt;"",1,0)</f>
        <v>0</v>
      </c>
      <c r="C45">
        <f>IF(B45=1,MIN(1,MAX(0,N(INDEX(Charge!$O:$O,ROW())))),0)</f>
        <v>0</v>
      </c>
      <c r="D45">
        <f>IF(B45=1,IF(OR(p_Perimetre="Tous les projets",C45&lt;1),1,0),0)</f>
        <v>0</v>
      </c>
      <c r="E45">
        <f>IF(D45=1,MAX(0,N(INDEX(Charge!$M:$M,ROW()))),0)</f>
        <v>0</v>
      </c>
      <c r="F45" t="str">
        <f>IF(D45=1,IF(TRIM(INDEX(Charge!$A:$A,ROW()))="","(non renseigné)",TRIM(INDEX(Charge!$A:$A,ROW()))),"")</f>
        <v/>
      </c>
      <c r="G45" t="str">
        <f>IF(D45=1,TRIM(INDEX(Charge!$B:$B,ROW())),"")</f>
        <v/>
      </c>
      <c r="H45" t="str">
        <f>IF(D45=1,IF(TRIM(INDEX(Charge!$E:$E,ROW()))="","(non renseigné)",TRIM(INDEX(Charge!$E:$E,ROW()))),"")</f>
        <v/>
      </c>
      <c r="I45" s="165" t="str">
        <f>IF(AND(D45=1,ISNUMBER(INDEX(Charge!$N:$N,ROW()))),INDEX(Charge!$N:$N,ROW()),"")</f>
        <v/>
      </c>
      <c r="J45" s="165" t="str">
        <f>IF(I45="","",IF(AND(p_Repartition="Lissée jusqu'à la date de besoin",ISNUMBER(INDEX(Charge!$F:$F,ROW()))),IF(INDEX(Charge!$F:$F,ROW())&gt;=I45,INDEX(Charge!$F:$F,ROW()),I45),I45))</f>
        <v/>
      </c>
      <c r="K45" t="str">
        <f>IF(I45="","",NETWORKDAYS(I45,J45,Data!$K$4:$K$203))</f>
        <v/>
      </c>
      <c r="L45" t="str">
        <f>IF(D45=1,COUNTIFS($D$4:$D$503,1,$E$4:$E$503,"&gt;"&amp;E45)+COUNTIFS($D$4:$D45,1,$E$4:$E45,E45),"")</f>
        <v/>
      </c>
      <c r="M45">
        <f>IF(F45="",0,IF(COUNTIF($F$4:F45,F45)=1,1,0))</f>
        <v>0</v>
      </c>
      <c r="N45" t="str">
        <f>IF(M45=1,ROUND(SUMIF($F$4:$F$503,F45,$E$4:$E$503),2),"")</f>
        <v/>
      </c>
      <c r="O45" t="str">
        <f>IF(M45=1,COUNTIFS($M$4:$M$503,1,$N$4:$N$503,"&gt;"&amp;N45)+COUNTIFS($M$4:M45,1,$N$4:N45,N45),"")</f>
        <v/>
      </c>
      <c r="P45">
        <f>IF(G45="",0,IF(COUNTIF($G$4:G45,G45)=1,1,0))</f>
        <v>0</v>
      </c>
      <c r="Q45" t="str">
        <f>IF(P45=1,ROUND(SUMIF($G$4:$G$503,G45,$E$4:$E$503),2),"")</f>
        <v/>
      </c>
      <c r="R45" t="str">
        <f>IF(P45=1,COUNTIFS($P$4:$P$503,1,$Q$4:$Q$503,"&gt;"&amp;Q45)+COUNTIFS($P$4:P45,1,$Q$4:Q45,Q45),"")</f>
        <v/>
      </c>
      <c r="S45">
        <f>IF(H45="",0,IF(COUNTIF($H$4:H45,H45)=1,1,0))</f>
        <v>0</v>
      </c>
      <c r="T45" t="str">
        <f>IF(S45=1,ROUND(SUMIF($H$4:$H$503,H45,$E$4:$E$503),2),"")</f>
        <v/>
      </c>
      <c r="U45" t="str">
        <f>IF(S45=1,COUNTIFS($S$4:$S$503,1,$T$4:$T$503,"&gt;"&amp;T45)+COUNTIFS($S$4:S45,1,$T$4:T45,T45),"")</f>
        <v/>
      </c>
      <c r="V45" t="str">
        <f>IF(D45=1,MIN(INDEX($R$4:$R$503,MATCH(G45,$G$4:$G$503,0)),IF($AL$7&gt;9,9,999)),"")</f>
        <v/>
      </c>
      <c r="W45" s="166">
        <f>IF(OR($I45="",$E45=0),0,IF(OR($J45&lt;W$3,$I45&gt;W$2),0,IF($K45=0,IF(AND($I45&gt;=W$3,$I45&lt;=W$2),$E45,0),$E45*NETWORKDAYS(MAX($I45,W$3),MIN($J45,W$2),Data!$K$4:$K$203)/$K45)))</f>
        <v>0</v>
      </c>
      <c r="X45" s="166">
        <f>IF(OR($I45="",$E45=0),0,IF(OR($J45&lt;X$3,$I45&gt;X$2),0,IF($K45=0,IF(AND($I45&gt;=X$3,$I45&lt;=X$2),$E45,0),$E45*NETWORKDAYS(MAX($I45,X$3),MIN($J45,X$2),Data!$K$4:$K$203)/$K45)))</f>
        <v>0</v>
      </c>
      <c r="Y45" s="166">
        <f>IF(OR($I45="",$E45=0),0,IF(OR($J45&lt;Y$3,$I45&gt;Y$2),0,IF($K45=0,IF(AND($I45&gt;=Y$3,$I45&lt;=Y$2),$E45,0),$E45*NETWORKDAYS(MAX($I45,Y$3),MIN($J45,Y$2),Data!$K$4:$K$203)/$K45)))</f>
        <v>0</v>
      </c>
      <c r="Z45" s="166">
        <f>IF(OR($I45="",$E45=0),0,IF(OR($J45&lt;Z$3,$I45&gt;Z$2),0,IF($K45=0,IF(AND($I45&gt;=Z$3,$I45&lt;=Z$2),$E45,0),$E45*NETWORKDAYS(MAX($I45,Z$3),MIN($J45,Z$2),Data!$K$4:$K$203)/$K45)))</f>
        <v>0</v>
      </c>
      <c r="AA45" s="166">
        <f>IF(OR($I45="",$E45=0),0,IF(OR($J45&lt;AA$3,$I45&gt;AA$2),0,IF($K45=0,IF(AND($I45&gt;=AA$3,$I45&lt;=AA$2),$E45,0),$E45*NETWORKDAYS(MAX($I45,AA$3),MIN($J45,AA$2),Data!$K$4:$K$203)/$K45)))</f>
        <v>0</v>
      </c>
      <c r="AB45" s="166">
        <f>IF(OR($I45="",$E45=0),0,IF(OR($J45&lt;AB$3,$I45&gt;AB$2),0,IF($K45=0,IF(AND($I45&gt;=AB$3,$I45&lt;=AB$2),$E45,0),$E45*NETWORKDAYS(MAX($I45,AB$3),MIN($J45,AB$2),Data!$K$4:$K$203)/$K45)))</f>
        <v>0</v>
      </c>
      <c r="AC45" s="166">
        <f>IF(OR($I45="",$E45=0),0,IF(OR($J45&lt;AC$3,$I45&gt;AC$2),0,IF($K45=0,IF(AND($I45&gt;=AC$3,$I45&lt;=AC$2),$E45,0),$E45*NETWORKDAYS(MAX($I45,AC$3),MIN($J45,AC$2),Data!$K$4:$K$203)/$K45)))</f>
        <v>0</v>
      </c>
      <c r="AD45" s="166">
        <f>IF(OR($I45="",$E45=0),0,IF(OR($J45&lt;AD$3,$I45&gt;AD$2),0,IF($K45=0,IF(AND($I45&gt;=AD$3,$I45&lt;=AD$2),$E45,0),$E45*NETWORKDAYS(MAX($I45,AD$3),MIN($J45,AD$2),Data!$K$4:$K$203)/$K45)))</f>
        <v>0</v>
      </c>
      <c r="AE45" s="166">
        <f>IF(OR($I45="",$E45=0),0,IF(OR($J45&lt;AE$3,$I45&gt;AE$2),0,IF($K45=0,IF(AND($I45&gt;=AE$3,$I45&lt;=AE$2),$E45,0),$E45*NETWORKDAYS(MAX($I45,AE$3),MIN($J45,AE$2),Data!$K$4:$K$203)/$K45)))</f>
        <v>0</v>
      </c>
      <c r="AF45" s="166">
        <f>IF(OR($I45="",$E45=0),0,IF(OR($J45&lt;AF$3,$I45&gt;AF$2),0,IF($K45=0,IF(AND($I45&gt;=AF$3,$I45&lt;=AF$2),$E45,0),$E45*NETWORKDAYS(MAX($I45,AF$3),MIN($J45,AF$2),Data!$K$4:$K$203)/$K45)))</f>
        <v>0</v>
      </c>
      <c r="AG45" s="166">
        <f>IF(OR($I45="",$E45=0),0,IF(OR($J45&lt;AG$3,$I45&gt;AG$2),0,IF($K45=0,IF(AND($I45&gt;=AG$3,$I45&lt;=AG$2),$E45,0),$E45*NETWORKDAYS(MAX($I45,AG$3),MIN($J45,AG$2),Data!$K$4:$K$203)/$K45)))</f>
        <v>0</v>
      </c>
      <c r="AH45" s="166">
        <f>IF(OR($I45="",$E45=0),0,IF(OR($J45&lt;AH$3,$I45&gt;AH$2),0,IF($K45=0,IF(AND($I45&gt;=AH$3,$I45&lt;=AH$2),$E45,0),$E45*NETWORKDAYS(MAX($I45,AH$3),MIN($J45,AH$2),Data!$K$4:$K$203)/$K45)))</f>
        <v>0</v>
      </c>
      <c r="AI45" s="166">
        <f>SUM(W45:AH45)</f>
        <v>0</v>
      </c>
      <c r="BW45" t="n">
        <v>42</v>
      </c>
      <c r="BX45" t="str">
        <f>IFERROR(MATCH(BW45,$EQ$4:$EQ$503,0),"")</f>
        <v/>
      </c>
      <c r="BZ45" t="str">
        <f>IF(D45=1,IF(TRIM(INDEX(Charge!$K:$K,ROW()))&lt;&gt;"",TRIM(INDEX(Charge!$K:$K,ROW())),IF(TRIM(INDEX(Charge!$L:$L,ROW()))&lt;&gt;"",TRIM(INDEX(Charge!$L:$L,ROW())),"(non affecté)")),"")</f>
        <v/>
      </c>
      <c r="CA45" t="str">
        <f>IF(AND($CD$4&lt;&gt;"",BZ45=$CD$4),COUNTIFS($BZ$4:$BZ$503,$CD$4,$L$4:$L$503,"&lt;"&amp;L45)+1,"")</f>
        <v/>
      </c>
      <c r="EJ45" t="str">
        <f>TRIM(INDEX(Data!$E:$E,ROW()))</f>
        <v/>
      </c>
      <c r="EK45" t="str">
        <f>TRIM(INDEX(Data!$H:$H,ROW()))</f>
        <v/>
      </c>
      <c r="EM45" t="str">
        <f>IF(D45=1,IF(TRIM(INDEX(Charge!$K:$K,ROW()))&lt;&gt;"","Interne",IF(TRIM(INDEX(Charge!$L:$L,ROW()))&lt;&gt;"","Externe","Non affecté")),"")</f>
        <v/>
      </c>
      <c r="EN45" t="str">
        <f>IF(D45=1,LEFT(SUBSTITUTE(SUBSTITUTE(SUBSTITUTE(TRIM(SUBSTITUTE(INDEX(Charge!$B:$B,ROW()),CHAR(160)," "))&amp;" | "&amp;TRIM(SUBSTITUTE(INDEX(Charge!$C:$C,ROW()),CHAR(160)," "))&amp;" | "&amp;TRIM(SUBSTITUTE(INDEX(Charge!$D:$D,ROW()),CHAR(160)," ")),"~","-"),"*","+"),"?","!"),240),"")</f>
        <v/>
      </c>
      <c r="EO45">
        <f>IF(EN45="",0,IF(COUNTIF($EN$4:EN45,EN45)=1,1,0))</f>
        <v>0</v>
      </c>
      <c r="EP45" s="166" t="str">
        <f>IF(EO45=1,ROUND(SUMIF($EN$4:$EN$503,EN45,$E$4:$E$503),2),"")</f>
        <v/>
      </c>
      <c r="EQ45" t="str">
        <f>IF(EO45=1,COUNTIFS($EO$4:$EO$503,1,$EP$4:$EP$503,"&gt;"&amp;EP45)+COUNTIFS($EO$4:EO45,1,$EP$4:EP45,EP45),"")</f>
        <v/>
      </c>
      <c r="ER45" t="str">
        <f>IF(EO45=1,COUNTIFS($EN$4:$EN$503,EN45,$EM$4:$EM$503,"Interne",$FE$4:$FE$503,1),"")</f>
        <v/>
      </c>
      <c r="ES45" t="str">
        <f>IF(EO45=1,COUNTIFS($EN$4:$EN$503,EN45,$EM$4:$EM$503,"Externe",$FE$4:$FE$503,1),"")</f>
        <v/>
      </c>
      <c r="ET45" t="str">
        <f>IF(EO45=1,IF(ER45+ES45=0,"à affecter",IF(ER45=0,ES45&amp;" ext.",(ER45+ES45)&amp;IF(ES45&gt;0," dont "&amp;ES45&amp;" ext.",""))&amp;IF(COUNTIFS($EN$4:$EN$503,EN45,$EM$4:$EM$503,"Non affecté")&gt;0," + à affecter","")),"")</f>
        <v/>
      </c>
      <c r="EU45" s="170" t="str">
        <f>IF(EO45=1,IF(EP45&gt;0,SUMPRODUCT(($EN$4:$EN$503=EN45)*$E$4:$E$503*$C$4:$C$503)/EP45,AVERAGEIF($EN$4:$EN$503,EN45,$C$4:$C$503)),"")</f>
        <v/>
      </c>
      <c r="EV45" s="165">
        <f>IF(ISNUMBER(I45),I45,2958465)</f>
        <v>2958465.0</v>
      </c>
      <c r="EW45" s="165" t="str">
        <f>IF(EO45=1,SUMPRODUCT(MIN(($EN$4:$EN$503=EN45)*$EV$4:$EV$503+($EN$4:$EN$503&lt;&gt;EN45)*2958465)),"")</f>
        <v/>
      </c>
      <c r="EX45" s="165">
        <f>IF(AND(D45=1,ISNUMBER(INDEX(Charge!$F:$F,ROW()))),INDEX(Charge!$F:$F,ROW()),0)</f>
        <v>0.0</v>
      </c>
      <c r="EY45" s="165" t="str">
        <f>IF(EO45=1,SUMPRODUCT(MAX(($EN$4:$EN$503=EN45)*$EX$4:$EX$503)),"")</f>
        <v/>
      </c>
      <c r="FA45" t="str">
        <f>IF(42&lt;=$CD$23,INDEX($EJ$4:$EJ$203,42),IF(42-$CD$23&lt;=$CD$26,INDEX($EK$4:$EK$203,42-$CD$23),""))</f>
        <v/>
      </c>
      <c r="FB45" t="str">
        <f>IF(FA45="","",IF(42&lt;=$CD$23,"Interne","Externe"))</f>
        <v/>
      </c>
      <c r="FD45">
        <f>IF(AND(B45=1,TRIM(INDEX(Charge!$K:$K,ROW()))&lt;&gt;"",TRIM(INDEX(Charge!$L:$L,ROW()))&lt;&gt;""),1,0)</f>
        <v>0</v>
      </c>
      <c r="FE45">
        <f>IF(OR(EN45="",BZ45="(non affecté)"),0,IF(COUNTIFS($EN$4:EN45,EN45,$BZ$4:BZ45,BZ45)=1,1,0))</f>
        <v>0</v>
      </c>
    </row>
    <row r="46">
      <c r="A46">
        <f>ROW()</f>
        <v>46</v>
      </c>
      <c r="B46">
        <f>IF(TRIM(INDEX(Charge!$B:$B,ROW()))&lt;&gt;"",1,0)</f>
        <v>0</v>
      </c>
      <c r="C46">
        <f>IF(B46=1,MIN(1,MAX(0,N(INDEX(Charge!$O:$O,ROW())))),0)</f>
        <v>0</v>
      </c>
      <c r="D46">
        <f>IF(B46=1,IF(OR(p_Perimetre="Tous les projets",C46&lt;1),1,0),0)</f>
        <v>0</v>
      </c>
      <c r="E46">
        <f>IF(D46=1,MAX(0,N(INDEX(Charge!$M:$M,ROW()))),0)</f>
        <v>0</v>
      </c>
      <c r="F46" t="str">
        <f>IF(D46=1,IF(TRIM(INDEX(Charge!$A:$A,ROW()))="","(non renseigné)",TRIM(INDEX(Charge!$A:$A,ROW()))),"")</f>
        <v/>
      </c>
      <c r="G46" t="str">
        <f>IF(D46=1,TRIM(INDEX(Charge!$B:$B,ROW())),"")</f>
        <v/>
      </c>
      <c r="H46" t="str">
        <f>IF(D46=1,IF(TRIM(INDEX(Charge!$E:$E,ROW()))="","(non renseigné)",TRIM(INDEX(Charge!$E:$E,ROW()))),"")</f>
        <v/>
      </c>
      <c r="I46" s="165" t="str">
        <f>IF(AND(D46=1,ISNUMBER(INDEX(Charge!$N:$N,ROW()))),INDEX(Charge!$N:$N,ROW()),"")</f>
        <v/>
      </c>
      <c r="J46" s="165" t="str">
        <f>IF(I46="","",IF(AND(p_Repartition="Lissée jusqu'à la date de besoin",ISNUMBER(INDEX(Charge!$F:$F,ROW()))),IF(INDEX(Charge!$F:$F,ROW())&gt;=I46,INDEX(Charge!$F:$F,ROW()),I46),I46))</f>
        <v/>
      </c>
      <c r="K46" t="str">
        <f>IF(I46="","",NETWORKDAYS(I46,J46,Data!$K$4:$K$203))</f>
        <v/>
      </c>
      <c r="L46" t="str">
        <f>IF(D46=1,COUNTIFS($D$4:$D$503,1,$E$4:$E$503,"&gt;"&amp;E46)+COUNTIFS($D$4:$D46,1,$E$4:$E46,E46),"")</f>
        <v/>
      </c>
      <c r="M46">
        <f>IF(F46="",0,IF(COUNTIF($F$4:F46,F46)=1,1,0))</f>
        <v>0</v>
      </c>
      <c r="N46" t="str">
        <f>IF(M46=1,ROUND(SUMIF($F$4:$F$503,F46,$E$4:$E$503),2),"")</f>
        <v/>
      </c>
      <c r="O46" t="str">
        <f>IF(M46=1,COUNTIFS($M$4:$M$503,1,$N$4:$N$503,"&gt;"&amp;N46)+COUNTIFS($M$4:M46,1,$N$4:N46,N46),"")</f>
        <v/>
      </c>
      <c r="P46">
        <f>IF(G46="",0,IF(COUNTIF($G$4:G46,G46)=1,1,0))</f>
        <v>0</v>
      </c>
      <c r="Q46" t="str">
        <f>IF(P46=1,ROUND(SUMIF($G$4:$G$503,G46,$E$4:$E$503),2),"")</f>
        <v/>
      </c>
      <c r="R46" t="str">
        <f>IF(P46=1,COUNTIFS($P$4:$P$503,1,$Q$4:$Q$503,"&gt;"&amp;Q46)+COUNTIFS($P$4:P46,1,$Q$4:Q46,Q46),"")</f>
        <v/>
      </c>
      <c r="S46">
        <f>IF(H46="",0,IF(COUNTIF($H$4:H46,H46)=1,1,0))</f>
        <v>0</v>
      </c>
      <c r="T46" t="str">
        <f>IF(S46=1,ROUND(SUMIF($H$4:$H$503,H46,$E$4:$E$503),2),"")</f>
        <v/>
      </c>
      <c r="U46" t="str">
        <f>IF(S46=1,COUNTIFS($S$4:$S$503,1,$T$4:$T$503,"&gt;"&amp;T46)+COUNTIFS($S$4:S46,1,$T$4:T46,T46),"")</f>
        <v/>
      </c>
      <c r="V46" t="str">
        <f>IF(D46=1,MIN(INDEX($R$4:$R$503,MATCH(G46,$G$4:$G$503,0)),IF($AL$7&gt;9,9,999)),"")</f>
        <v/>
      </c>
      <c r="W46" s="166">
        <f>IF(OR($I46="",$E46=0),0,IF(OR($J46&lt;W$3,$I46&gt;W$2),0,IF($K46=0,IF(AND($I46&gt;=W$3,$I46&lt;=W$2),$E46,0),$E46*NETWORKDAYS(MAX($I46,W$3),MIN($J46,W$2),Data!$K$4:$K$203)/$K46)))</f>
        <v>0</v>
      </c>
      <c r="X46" s="166">
        <f>IF(OR($I46="",$E46=0),0,IF(OR($J46&lt;X$3,$I46&gt;X$2),0,IF($K46=0,IF(AND($I46&gt;=X$3,$I46&lt;=X$2),$E46,0),$E46*NETWORKDAYS(MAX($I46,X$3),MIN($J46,X$2),Data!$K$4:$K$203)/$K46)))</f>
        <v>0</v>
      </c>
      <c r="Y46" s="166">
        <f>IF(OR($I46="",$E46=0),0,IF(OR($J46&lt;Y$3,$I46&gt;Y$2),0,IF($K46=0,IF(AND($I46&gt;=Y$3,$I46&lt;=Y$2),$E46,0),$E46*NETWORKDAYS(MAX($I46,Y$3),MIN($J46,Y$2),Data!$K$4:$K$203)/$K46)))</f>
        <v>0</v>
      </c>
      <c r="Z46" s="166">
        <f>IF(OR($I46="",$E46=0),0,IF(OR($J46&lt;Z$3,$I46&gt;Z$2),0,IF($K46=0,IF(AND($I46&gt;=Z$3,$I46&lt;=Z$2),$E46,0),$E46*NETWORKDAYS(MAX($I46,Z$3),MIN($J46,Z$2),Data!$K$4:$K$203)/$K46)))</f>
        <v>0</v>
      </c>
      <c r="AA46" s="166">
        <f>IF(OR($I46="",$E46=0),0,IF(OR($J46&lt;AA$3,$I46&gt;AA$2),0,IF($K46=0,IF(AND($I46&gt;=AA$3,$I46&lt;=AA$2),$E46,0),$E46*NETWORKDAYS(MAX($I46,AA$3),MIN($J46,AA$2),Data!$K$4:$K$203)/$K46)))</f>
        <v>0</v>
      </c>
      <c r="AB46" s="166">
        <f>IF(OR($I46="",$E46=0),0,IF(OR($J46&lt;AB$3,$I46&gt;AB$2),0,IF($K46=0,IF(AND($I46&gt;=AB$3,$I46&lt;=AB$2),$E46,0),$E46*NETWORKDAYS(MAX($I46,AB$3),MIN($J46,AB$2),Data!$K$4:$K$203)/$K46)))</f>
        <v>0</v>
      </c>
      <c r="AC46" s="166">
        <f>IF(OR($I46="",$E46=0),0,IF(OR($J46&lt;AC$3,$I46&gt;AC$2),0,IF($K46=0,IF(AND($I46&gt;=AC$3,$I46&lt;=AC$2),$E46,0),$E46*NETWORKDAYS(MAX($I46,AC$3),MIN($J46,AC$2),Data!$K$4:$K$203)/$K46)))</f>
        <v>0</v>
      </c>
      <c r="AD46" s="166">
        <f>IF(OR($I46="",$E46=0),0,IF(OR($J46&lt;AD$3,$I46&gt;AD$2),0,IF($K46=0,IF(AND($I46&gt;=AD$3,$I46&lt;=AD$2),$E46,0),$E46*NETWORKDAYS(MAX($I46,AD$3),MIN($J46,AD$2),Data!$K$4:$K$203)/$K46)))</f>
        <v>0</v>
      </c>
      <c r="AE46" s="166">
        <f>IF(OR($I46="",$E46=0),0,IF(OR($J46&lt;AE$3,$I46&gt;AE$2),0,IF($K46=0,IF(AND($I46&gt;=AE$3,$I46&lt;=AE$2),$E46,0),$E46*NETWORKDAYS(MAX($I46,AE$3),MIN($J46,AE$2),Data!$K$4:$K$203)/$K46)))</f>
        <v>0</v>
      </c>
      <c r="AF46" s="166">
        <f>IF(OR($I46="",$E46=0),0,IF(OR($J46&lt;AF$3,$I46&gt;AF$2),0,IF($K46=0,IF(AND($I46&gt;=AF$3,$I46&lt;=AF$2),$E46,0),$E46*NETWORKDAYS(MAX($I46,AF$3),MIN($J46,AF$2),Data!$K$4:$K$203)/$K46)))</f>
        <v>0</v>
      </c>
      <c r="AG46" s="166">
        <f>IF(OR($I46="",$E46=0),0,IF(OR($J46&lt;AG$3,$I46&gt;AG$2),0,IF($K46=0,IF(AND($I46&gt;=AG$3,$I46&lt;=AG$2),$E46,0),$E46*NETWORKDAYS(MAX($I46,AG$3),MIN($J46,AG$2),Data!$K$4:$K$203)/$K46)))</f>
        <v>0</v>
      </c>
      <c r="AH46" s="166">
        <f>IF(OR($I46="",$E46=0),0,IF(OR($J46&lt;AH$3,$I46&gt;AH$2),0,IF($K46=0,IF(AND($I46&gt;=AH$3,$I46&lt;=AH$2),$E46,0),$E46*NETWORKDAYS(MAX($I46,AH$3),MIN($J46,AH$2),Data!$K$4:$K$203)/$K46)))</f>
        <v>0</v>
      </c>
      <c r="AI46" s="166">
        <f>SUM(W46:AH46)</f>
        <v>0</v>
      </c>
      <c r="BW46" t="n">
        <v>43</v>
      </c>
      <c r="BX46" t="str">
        <f>IFERROR(MATCH(BW46,$EQ$4:$EQ$503,0),"")</f>
        <v/>
      </c>
      <c r="BZ46" t="str">
        <f>IF(D46=1,IF(TRIM(INDEX(Charge!$K:$K,ROW()))&lt;&gt;"",TRIM(INDEX(Charge!$K:$K,ROW())),IF(TRIM(INDEX(Charge!$L:$L,ROW()))&lt;&gt;"",TRIM(INDEX(Charge!$L:$L,ROW())),"(non affecté)")),"")</f>
        <v/>
      </c>
      <c r="CA46" t="str">
        <f>IF(AND($CD$4&lt;&gt;"",BZ46=$CD$4),COUNTIFS($BZ$4:$BZ$503,$CD$4,$L$4:$L$503,"&lt;"&amp;L46)+1,"")</f>
        <v/>
      </c>
      <c r="EJ46" t="str">
        <f>TRIM(INDEX(Data!$E:$E,ROW()))</f>
        <v/>
      </c>
      <c r="EK46" t="str">
        <f>TRIM(INDEX(Data!$H:$H,ROW()))</f>
        <v/>
      </c>
      <c r="EM46" t="str">
        <f>IF(D46=1,IF(TRIM(INDEX(Charge!$K:$K,ROW()))&lt;&gt;"","Interne",IF(TRIM(INDEX(Charge!$L:$L,ROW()))&lt;&gt;"","Externe","Non affecté")),"")</f>
        <v/>
      </c>
      <c r="EN46" t="str">
        <f>IF(D46=1,LEFT(SUBSTITUTE(SUBSTITUTE(SUBSTITUTE(TRIM(SUBSTITUTE(INDEX(Charge!$B:$B,ROW()),CHAR(160)," "))&amp;" | "&amp;TRIM(SUBSTITUTE(INDEX(Charge!$C:$C,ROW()),CHAR(160)," "))&amp;" | "&amp;TRIM(SUBSTITUTE(INDEX(Charge!$D:$D,ROW()),CHAR(160)," ")),"~","-"),"*","+"),"?","!"),240),"")</f>
        <v/>
      </c>
      <c r="EO46">
        <f>IF(EN46="",0,IF(COUNTIF($EN$4:EN46,EN46)=1,1,0))</f>
        <v>0</v>
      </c>
      <c r="EP46" s="166" t="str">
        <f>IF(EO46=1,ROUND(SUMIF($EN$4:$EN$503,EN46,$E$4:$E$503),2),"")</f>
        <v/>
      </c>
      <c r="EQ46" t="str">
        <f>IF(EO46=1,COUNTIFS($EO$4:$EO$503,1,$EP$4:$EP$503,"&gt;"&amp;EP46)+COUNTIFS($EO$4:EO46,1,$EP$4:EP46,EP46),"")</f>
        <v/>
      </c>
      <c r="ER46" t="str">
        <f>IF(EO46=1,COUNTIFS($EN$4:$EN$503,EN46,$EM$4:$EM$503,"Interne",$FE$4:$FE$503,1),"")</f>
        <v/>
      </c>
      <c r="ES46" t="str">
        <f>IF(EO46=1,COUNTIFS($EN$4:$EN$503,EN46,$EM$4:$EM$503,"Externe",$FE$4:$FE$503,1),"")</f>
        <v/>
      </c>
      <c r="ET46" t="str">
        <f>IF(EO46=1,IF(ER46+ES46=0,"à affecter",IF(ER46=0,ES46&amp;" ext.",(ER46+ES46)&amp;IF(ES46&gt;0," dont "&amp;ES46&amp;" ext.",""))&amp;IF(COUNTIFS($EN$4:$EN$503,EN46,$EM$4:$EM$503,"Non affecté")&gt;0," + à affecter","")),"")</f>
        <v/>
      </c>
      <c r="EU46" s="170" t="str">
        <f>IF(EO46=1,IF(EP46&gt;0,SUMPRODUCT(($EN$4:$EN$503=EN46)*$E$4:$E$503*$C$4:$C$503)/EP46,AVERAGEIF($EN$4:$EN$503,EN46,$C$4:$C$503)),"")</f>
        <v/>
      </c>
      <c r="EV46" s="165">
        <f>IF(ISNUMBER(I46),I46,2958465)</f>
        <v>2958465.0</v>
      </c>
      <c r="EW46" s="165" t="str">
        <f>IF(EO46=1,SUMPRODUCT(MIN(($EN$4:$EN$503=EN46)*$EV$4:$EV$503+($EN$4:$EN$503&lt;&gt;EN46)*2958465)),"")</f>
        <v/>
      </c>
      <c r="EX46" s="165">
        <f>IF(AND(D46=1,ISNUMBER(INDEX(Charge!$F:$F,ROW()))),INDEX(Charge!$F:$F,ROW()),0)</f>
        <v>0.0</v>
      </c>
      <c r="EY46" s="165" t="str">
        <f>IF(EO46=1,SUMPRODUCT(MAX(($EN$4:$EN$503=EN46)*$EX$4:$EX$503)),"")</f>
        <v/>
      </c>
      <c r="FA46" t="str">
        <f>IF(43&lt;=$CD$23,INDEX($EJ$4:$EJ$203,43),IF(43-$CD$23&lt;=$CD$26,INDEX($EK$4:$EK$203,43-$CD$23),""))</f>
        <v/>
      </c>
      <c r="FB46" t="str">
        <f>IF(FA46="","",IF(43&lt;=$CD$23,"Interne","Externe"))</f>
        <v/>
      </c>
      <c r="FD46">
        <f>IF(AND(B46=1,TRIM(INDEX(Charge!$K:$K,ROW()))&lt;&gt;"",TRIM(INDEX(Charge!$L:$L,ROW()))&lt;&gt;""),1,0)</f>
        <v>0</v>
      </c>
      <c r="FE46">
        <f>IF(OR(EN46="",BZ46="(non affecté)"),0,IF(COUNTIFS($EN$4:EN46,EN46,$BZ$4:BZ46,BZ46)=1,1,0))</f>
        <v>0</v>
      </c>
    </row>
    <row r="47">
      <c r="A47">
        <f>ROW()</f>
        <v>47</v>
      </c>
      <c r="B47">
        <f>IF(TRIM(INDEX(Charge!$B:$B,ROW()))&lt;&gt;"",1,0)</f>
        <v>0</v>
      </c>
      <c r="C47">
        <f>IF(B47=1,MIN(1,MAX(0,N(INDEX(Charge!$O:$O,ROW())))),0)</f>
        <v>0</v>
      </c>
      <c r="D47">
        <f>IF(B47=1,IF(OR(p_Perimetre="Tous les projets",C47&lt;1),1,0),0)</f>
        <v>0</v>
      </c>
      <c r="E47">
        <f>IF(D47=1,MAX(0,N(INDEX(Charge!$M:$M,ROW()))),0)</f>
        <v>0</v>
      </c>
      <c r="F47" t="str">
        <f>IF(D47=1,IF(TRIM(INDEX(Charge!$A:$A,ROW()))="","(non renseigné)",TRIM(INDEX(Charge!$A:$A,ROW()))),"")</f>
        <v/>
      </c>
      <c r="G47" t="str">
        <f>IF(D47=1,TRIM(INDEX(Charge!$B:$B,ROW())),"")</f>
        <v/>
      </c>
      <c r="H47" t="str">
        <f>IF(D47=1,IF(TRIM(INDEX(Charge!$E:$E,ROW()))="","(non renseigné)",TRIM(INDEX(Charge!$E:$E,ROW()))),"")</f>
        <v/>
      </c>
      <c r="I47" s="165" t="str">
        <f>IF(AND(D47=1,ISNUMBER(INDEX(Charge!$N:$N,ROW()))),INDEX(Charge!$N:$N,ROW()),"")</f>
        <v/>
      </c>
      <c r="J47" s="165" t="str">
        <f>IF(I47="","",IF(AND(p_Repartition="Lissée jusqu'à la date de besoin",ISNUMBER(INDEX(Charge!$F:$F,ROW()))),IF(INDEX(Charge!$F:$F,ROW())&gt;=I47,INDEX(Charge!$F:$F,ROW()),I47),I47))</f>
        <v/>
      </c>
      <c r="K47" t="str">
        <f>IF(I47="","",NETWORKDAYS(I47,J47,Data!$K$4:$K$203))</f>
        <v/>
      </c>
      <c r="L47" t="str">
        <f>IF(D47=1,COUNTIFS($D$4:$D$503,1,$E$4:$E$503,"&gt;"&amp;E47)+COUNTIFS($D$4:$D47,1,$E$4:$E47,E47),"")</f>
        <v/>
      </c>
      <c r="M47">
        <f>IF(F47="",0,IF(COUNTIF($F$4:F47,F47)=1,1,0))</f>
        <v>0</v>
      </c>
      <c r="N47" t="str">
        <f>IF(M47=1,ROUND(SUMIF($F$4:$F$503,F47,$E$4:$E$503),2),"")</f>
        <v/>
      </c>
      <c r="O47" t="str">
        <f>IF(M47=1,COUNTIFS($M$4:$M$503,1,$N$4:$N$503,"&gt;"&amp;N47)+COUNTIFS($M$4:M47,1,$N$4:N47,N47),"")</f>
        <v/>
      </c>
      <c r="P47">
        <f>IF(G47="",0,IF(COUNTIF($G$4:G47,G47)=1,1,0))</f>
        <v>0</v>
      </c>
      <c r="Q47" t="str">
        <f>IF(P47=1,ROUND(SUMIF($G$4:$G$503,G47,$E$4:$E$503),2),"")</f>
        <v/>
      </c>
      <c r="R47" t="str">
        <f>IF(P47=1,COUNTIFS($P$4:$P$503,1,$Q$4:$Q$503,"&gt;"&amp;Q47)+COUNTIFS($P$4:P47,1,$Q$4:Q47,Q47),"")</f>
        <v/>
      </c>
      <c r="S47">
        <f>IF(H47="",0,IF(COUNTIF($H$4:H47,H47)=1,1,0))</f>
        <v>0</v>
      </c>
      <c r="T47" t="str">
        <f>IF(S47=1,ROUND(SUMIF($H$4:$H$503,H47,$E$4:$E$503),2),"")</f>
        <v/>
      </c>
      <c r="U47" t="str">
        <f>IF(S47=1,COUNTIFS($S$4:$S$503,1,$T$4:$T$503,"&gt;"&amp;T47)+COUNTIFS($S$4:S47,1,$T$4:T47,T47),"")</f>
        <v/>
      </c>
      <c r="V47" t="str">
        <f>IF(D47=1,MIN(INDEX($R$4:$R$503,MATCH(G47,$G$4:$G$503,0)),IF($AL$7&gt;9,9,999)),"")</f>
        <v/>
      </c>
      <c r="W47" s="166">
        <f>IF(OR($I47="",$E47=0),0,IF(OR($J47&lt;W$3,$I47&gt;W$2),0,IF($K47=0,IF(AND($I47&gt;=W$3,$I47&lt;=W$2),$E47,0),$E47*NETWORKDAYS(MAX($I47,W$3),MIN($J47,W$2),Data!$K$4:$K$203)/$K47)))</f>
        <v>0</v>
      </c>
      <c r="X47" s="166">
        <f>IF(OR($I47="",$E47=0),0,IF(OR($J47&lt;X$3,$I47&gt;X$2),0,IF($K47=0,IF(AND($I47&gt;=X$3,$I47&lt;=X$2),$E47,0),$E47*NETWORKDAYS(MAX($I47,X$3),MIN($J47,X$2),Data!$K$4:$K$203)/$K47)))</f>
        <v>0</v>
      </c>
      <c r="Y47" s="166">
        <f>IF(OR($I47="",$E47=0),0,IF(OR($J47&lt;Y$3,$I47&gt;Y$2),0,IF($K47=0,IF(AND($I47&gt;=Y$3,$I47&lt;=Y$2),$E47,0),$E47*NETWORKDAYS(MAX($I47,Y$3),MIN($J47,Y$2),Data!$K$4:$K$203)/$K47)))</f>
        <v>0</v>
      </c>
      <c r="Z47" s="166">
        <f>IF(OR($I47="",$E47=0),0,IF(OR($J47&lt;Z$3,$I47&gt;Z$2),0,IF($K47=0,IF(AND($I47&gt;=Z$3,$I47&lt;=Z$2),$E47,0),$E47*NETWORKDAYS(MAX($I47,Z$3),MIN($J47,Z$2),Data!$K$4:$K$203)/$K47)))</f>
        <v>0</v>
      </c>
      <c r="AA47" s="166">
        <f>IF(OR($I47="",$E47=0),0,IF(OR($J47&lt;AA$3,$I47&gt;AA$2),0,IF($K47=0,IF(AND($I47&gt;=AA$3,$I47&lt;=AA$2),$E47,0),$E47*NETWORKDAYS(MAX($I47,AA$3),MIN($J47,AA$2),Data!$K$4:$K$203)/$K47)))</f>
        <v>0</v>
      </c>
      <c r="AB47" s="166">
        <f>IF(OR($I47="",$E47=0),0,IF(OR($J47&lt;AB$3,$I47&gt;AB$2),0,IF($K47=0,IF(AND($I47&gt;=AB$3,$I47&lt;=AB$2),$E47,0),$E47*NETWORKDAYS(MAX($I47,AB$3),MIN($J47,AB$2),Data!$K$4:$K$203)/$K47)))</f>
        <v>0</v>
      </c>
      <c r="AC47" s="166">
        <f>IF(OR($I47="",$E47=0),0,IF(OR($J47&lt;AC$3,$I47&gt;AC$2),0,IF($K47=0,IF(AND($I47&gt;=AC$3,$I47&lt;=AC$2),$E47,0),$E47*NETWORKDAYS(MAX($I47,AC$3),MIN($J47,AC$2),Data!$K$4:$K$203)/$K47)))</f>
        <v>0</v>
      </c>
      <c r="AD47" s="166">
        <f>IF(OR($I47="",$E47=0),0,IF(OR($J47&lt;AD$3,$I47&gt;AD$2),0,IF($K47=0,IF(AND($I47&gt;=AD$3,$I47&lt;=AD$2),$E47,0),$E47*NETWORKDAYS(MAX($I47,AD$3),MIN($J47,AD$2),Data!$K$4:$K$203)/$K47)))</f>
        <v>0</v>
      </c>
      <c r="AE47" s="166">
        <f>IF(OR($I47="",$E47=0),0,IF(OR($J47&lt;AE$3,$I47&gt;AE$2),0,IF($K47=0,IF(AND($I47&gt;=AE$3,$I47&lt;=AE$2),$E47,0),$E47*NETWORKDAYS(MAX($I47,AE$3),MIN($J47,AE$2),Data!$K$4:$K$203)/$K47)))</f>
        <v>0</v>
      </c>
      <c r="AF47" s="166">
        <f>IF(OR($I47="",$E47=0),0,IF(OR($J47&lt;AF$3,$I47&gt;AF$2),0,IF($K47=0,IF(AND($I47&gt;=AF$3,$I47&lt;=AF$2),$E47,0),$E47*NETWORKDAYS(MAX($I47,AF$3),MIN($J47,AF$2),Data!$K$4:$K$203)/$K47)))</f>
        <v>0</v>
      </c>
      <c r="AG47" s="166">
        <f>IF(OR($I47="",$E47=0),0,IF(OR($J47&lt;AG$3,$I47&gt;AG$2),0,IF($K47=0,IF(AND($I47&gt;=AG$3,$I47&lt;=AG$2),$E47,0),$E47*NETWORKDAYS(MAX($I47,AG$3),MIN($J47,AG$2),Data!$K$4:$K$203)/$K47)))</f>
        <v>0</v>
      </c>
      <c r="AH47" s="166">
        <f>IF(OR($I47="",$E47=0),0,IF(OR($J47&lt;AH$3,$I47&gt;AH$2),0,IF($K47=0,IF(AND($I47&gt;=AH$3,$I47&lt;=AH$2),$E47,0),$E47*NETWORKDAYS(MAX($I47,AH$3),MIN($J47,AH$2),Data!$K$4:$K$203)/$K47)))</f>
        <v>0</v>
      </c>
      <c r="AI47" s="166">
        <f>SUM(W47:AH47)</f>
        <v>0</v>
      </c>
      <c r="BW47" t="n">
        <v>44</v>
      </c>
      <c r="BX47" t="str">
        <f>IFERROR(MATCH(BW47,$EQ$4:$EQ$503,0),"")</f>
        <v/>
      </c>
      <c r="BZ47" t="str">
        <f>IF(D47=1,IF(TRIM(INDEX(Charge!$K:$K,ROW()))&lt;&gt;"",TRIM(INDEX(Charge!$K:$K,ROW())),IF(TRIM(INDEX(Charge!$L:$L,ROW()))&lt;&gt;"",TRIM(INDEX(Charge!$L:$L,ROW())),"(non affecté)")),"")</f>
        <v/>
      </c>
      <c r="CA47" t="str">
        <f>IF(AND($CD$4&lt;&gt;"",BZ47=$CD$4),COUNTIFS($BZ$4:$BZ$503,$CD$4,$L$4:$L$503,"&lt;"&amp;L47)+1,"")</f>
        <v/>
      </c>
      <c r="EJ47" t="str">
        <f>TRIM(INDEX(Data!$E:$E,ROW()))</f>
        <v/>
      </c>
      <c r="EK47" t="str">
        <f>TRIM(INDEX(Data!$H:$H,ROW()))</f>
        <v/>
      </c>
      <c r="EM47" t="str">
        <f>IF(D47=1,IF(TRIM(INDEX(Charge!$K:$K,ROW()))&lt;&gt;"","Interne",IF(TRIM(INDEX(Charge!$L:$L,ROW()))&lt;&gt;"","Externe","Non affecté")),"")</f>
        <v/>
      </c>
      <c r="EN47" t="str">
        <f>IF(D47=1,LEFT(SUBSTITUTE(SUBSTITUTE(SUBSTITUTE(TRIM(SUBSTITUTE(INDEX(Charge!$B:$B,ROW()),CHAR(160)," "))&amp;" | "&amp;TRIM(SUBSTITUTE(INDEX(Charge!$C:$C,ROW()),CHAR(160)," "))&amp;" | "&amp;TRIM(SUBSTITUTE(INDEX(Charge!$D:$D,ROW()),CHAR(160)," ")),"~","-"),"*","+"),"?","!"),240),"")</f>
        <v/>
      </c>
      <c r="EO47">
        <f>IF(EN47="",0,IF(COUNTIF($EN$4:EN47,EN47)=1,1,0))</f>
        <v>0</v>
      </c>
      <c r="EP47" s="166" t="str">
        <f>IF(EO47=1,ROUND(SUMIF($EN$4:$EN$503,EN47,$E$4:$E$503),2),"")</f>
        <v/>
      </c>
      <c r="EQ47" t="str">
        <f>IF(EO47=1,COUNTIFS($EO$4:$EO$503,1,$EP$4:$EP$503,"&gt;"&amp;EP47)+COUNTIFS($EO$4:EO47,1,$EP$4:EP47,EP47),"")</f>
        <v/>
      </c>
      <c r="ER47" t="str">
        <f>IF(EO47=1,COUNTIFS($EN$4:$EN$503,EN47,$EM$4:$EM$503,"Interne",$FE$4:$FE$503,1),"")</f>
        <v/>
      </c>
      <c r="ES47" t="str">
        <f>IF(EO47=1,COUNTIFS($EN$4:$EN$503,EN47,$EM$4:$EM$503,"Externe",$FE$4:$FE$503,1),"")</f>
        <v/>
      </c>
      <c r="ET47" t="str">
        <f>IF(EO47=1,IF(ER47+ES47=0,"à affecter",IF(ER47=0,ES47&amp;" ext.",(ER47+ES47)&amp;IF(ES47&gt;0," dont "&amp;ES47&amp;" ext.",""))&amp;IF(COUNTIFS($EN$4:$EN$503,EN47,$EM$4:$EM$503,"Non affecté")&gt;0," + à affecter","")),"")</f>
        <v/>
      </c>
      <c r="EU47" s="170" t="str">
        <f>IF(EO47=1,IF(EP47&gt;0,SUMPRODUCT(($EN$4:$EN$503=EN47)*$E$4:$E$503*$C$4:$C$503)/EP47,AVERAGEIF($EN$4:$EN$503,EN47,$C$4:$C$503)),"")</f>
        <v/>
      </c>
      <c r="EV47" s="165">
        <f>IF(ISNUMBER(I47),I47,2958465)</f>
        <v>2958465.0</v>
      </c>
      <c r="EW47" s="165" t="str">
        <f>IF(EO47=1,SUMPRODUCT(MIN(($EN$4:$EN$503=EN47)*$EV$4:$EV$503+($EN$4:$EN$503&lt;&gt;EN47)*2958465)),"")</f>
        <v/>
      </c>
      <c r="EX47" s="165">
        <f>IF(AND(D47=1,ISNUMBER(INDEX(Charge!$F:$F,ROW()))),INDEX(Charge!$F:$F,ROW()),0)</f>
        <v>0.0</v>
      </c>
      <c r="EY47" s="165" t="str">
        <f>IF(EO47=1,SUMPRODUCT(MAX(($EN$4:$EN$503=EN47)*$EX$4:$EX$503)),"")</f>
        <v/>
      </c>
      <c r="FA47" t="str">
        <f>IF(44&lt;=$CD$23,INDEX($EJ$4:$EJ$203,44),IF(44-$CD$23&lt;=$CD$26,INDEX($EK$4:$EK$203,44-$CD$23),""))</f>
        <v/>
      </c>
      <c r="FB47" t="str">
        <f>IF(FA47="","",IF(44&lt;=$CD$23,"Interne","Externe"))</f>
        <v/>
      </c>
      <c r="FD47">
        <f>IF(AND(B47=1,TRIM(INDEX(Charge!$K:$K,ROW()))&lt;&gt;"",TRIM(INDEX(Charge!$L:$L,ROW()))&lt;&gt;""),1,0)</f>
        <v>0</v>
      </c>
      <c r="FE47">
        <f>IF(OR(EN47="",BZ47="(non affecté)"),0,IF(COUNTIFS($EN$4:EN47,EN47,$BZ$4:BZ47,BZ47)=1,1,0))</f>
        <v>0</v>
      </c>
    </row>
    <row r="48">
      <c r="A48">
        <f>ROW()</f>
        <v>48</v>
      </c>
      <c r="B48">
        <f>IF(TRIM(INDEX(Charge!$B:$B,ROW()))&lt;&gt;"",1,0)</f>
        <v>0</v>
      </c>
      <c r="C48">
        <f>IF(B48=1,MIN(1,MAX(0,N(INDEX(Charge!$O:$O,ROW())))),0)</f>
        <v>0</v>
      </c>
      <c r="D48">
        <f>IF(B48=1,IF(OR(p_Perimetre="Tous les projets",C48&lt;1),1,0),0)</f>
        <v>0</v>
      </c>
      <c r="E48">
        <f>IF(D48=1,MAX(0,N(INDEX(Charge!$M:$M,ROW()))),0)</f>
        <v>0</v>
      </c>
      <c r="F48" t="str">
        <f>IF(D48=1,IF(TRIM(INDEX(Charge!$A:$A,ROW()))="","(non renseigné)",TRIM(INDEX(Charge!$A:$A,ROW()))),"")</f>
        <v/>
      </c>
      <c r="G48" t="str">
        <f>IF(D48=1,TRIM(INDEX(Charge!$B:$B,ROW())),"")</f>
        <v/>
      </c>
      <c r="H48" t="str">
        <f>IF(D48=1,IF(TRIM(INDEX(Charge!$E:$E,ROW()))="","(non renseigné)",TRIM(INDEX(Charge!$E:$E,ROW()))),"")</f>
        <v/>
      </c>
      <c r="I48" s="165" t="str">
        <f>IF(AND(D48=1,ISNUMBER(INDEX(Charge!$N:$N,ROW()))),INDEX(Charge!$N:$N,ROW()),"")</f>
        <v/>
      </c>
      <c r="J48" s="165" t="str">
        <f>IF(I48="","",IF(AND(p_Repartition="Lissée jusqu'à la date de besoin",ISNUMBER(INDEX(Charge!$F:$F,ROW()))),IF(INDEX(Charge!$F:$F,ROW())&gt;=I48,INDEX(Charge!$F:$F,ROW()),I48),I48))</f>
        <v/>
      </c>
      <c r="K48" t="str">
        <f>IF(I48="","",NETWORKDAYS(I48,J48,Data!$K$4:$K$203))</f>
        <v/>
      </c>
      <c r="L48" t="str">
        <f>IF(D48=1,COUNTIFS($D$4:$D$503,1,$E$4:$E$503,"&gt;"&amp;E48)+COUNTIFS($D$4:$D48,1,$E$4:$E48,E48),"")</f>
        <v/>
      </c>
      <c r="M48">
        <f>IF(F48="",0,IF(COUNTIF($F$4:F48,F48)=1,1,0))</f>
        <v>0</v>
      </c>
      <c r="N48" t="str">
        <f>IF(M48=1,ROUND(SUMIF($F$4:$F$503,F48,$E$4:$E$503),2),"")</f>
        <v/>
      </c>
      <c r="O48" t="str">
        <f>IF(M48=1,COUNTIFS($M$4:$M$503,1,$N$4:$N$503,"&gt;"&amp;N48)+COUNTIFS($M$4:M48,1,$N$4:N48,N48),"")</f>
        <v/>
      </c>
      <c r="P48">
        <f>IF(G48="",0,IF(COUNTIF($G$4:G48,G48)=1,1,0))</f>
        <v>0</v>
      </c>
      <c r="Q48" t="str">
        <f>IF(P48=1,ROUND(SUMIF($G$4:$G$503,G48,$E$4:$E$503),2),"")</f>
        <v/>
      </c>
      <c r="R48" t="str">
        <f>IF(P48=1,COUNTIFS($P$4:$P$503,1,$Q$4:$Q$503,"&gt;"&amp;Q48)+COUNTIFS($P$4:P48,1,$Q$4:Q48,Q48),"")</f>
        <v/>
      </c>
      <c r="S48">
        <f>IF(H48="",0,IF(COUNTIF($H$4:H48,H48)=1,1,0))</f>
        <v>0</v>
      </c>
      <c r="T48" t="str">
        <f>IF(S48=1,ROUND(SUMIF($H$4:$H$503,H48,$E$4:$E$503),2),"")</f>
        <v/>
      </c>
      <c r="U48" t="str">
        <f>IF(S48=1,COUNTIFS($S$4:$S$503,1,$T$4:$T$503,"&gt;"&amp;T48)+COUNTIFS($S$4:S48,1,$T$4:T48,T48),"")</f>
        <v/>
      </c>
      <c r="V48" t="str">
        <f>IF(D48=1,MIN(INDEX($R$4:$R$503,MATCH(G48,$G$4:$G$503,0)),IF($AL$7&gt;9,9,999)),"")</f>
        <v/>
      </c>
      <c r="W48" s="166">
        <f>IF(OR($I48="",$E48=0),0,IF(OR($J48&lt;W$3,$I48&gt;W$2),0,IF($K48=0,IF(AND($I48&gt;=W$3,$I48&lt;=W$2),$E48,0),$E48*NETWORKDAYS(MAX($I48,W$3),MIN($J48,W$2),Data!$K$4:$K$203)/$K48)))</f>
        <v>0</v>
      </c>
      <c r="X48" s="166">
        <f>IF(OR($I48="",$E48=0),0,IF(OR($J48&lt;X$3,$I48&gt;X$2),0,IF($K48=0,IF(AND($I48&gt;=X$3,$I48&lt;=X$2),$E48,0),$E48*NETWORKDAYS(MAX($I48,X$3),MIN($J48,X$2),Data!$K$4:$K$203)/$K48)))</f>
        <v>0</v>
      </c>
      <c r="Y48" s="166">
        <f>IF(OR($I48="",$E48=0),0,IF(OR($J48&lt;Y$3,$I48&gt;Y$2),0,IF($K48=0,IF(AND($I48&gt;=Y$3,$I48&lt;=Y$2),$E48,0),$E48*NETWORKDAYS(MAX($I48,Y$3),MIN($J48,Y$2),Data!$K$4:$K$203)/$K48)))</f>
        <v>0</v>
      </c>
      <c r="Z48" s="166">
        <f>IF(OR($I48="",$E48=0),0,IF(OR($J48&lt;Z$3,$I48&gt;Z$2),0,IF($K48=0,IF(AND($I48&gt;=Z$3,$I48&lt;=Z$2),$E48,0),$E48*NETWORKDAYS(MAX($I48,Z$3),MIN($J48,Z$2),Data!$K$4:$K$203)/$K48)))</f>
        <v>0</v>
      </c>
      <c r="AA48" s="166">
        <f>IF(OR($I48="",$E48=0),0,IF(OR($J48&lt;AA$3,$I48&gt;AA$2),0,IF($K48=0,IF(AND($I48&gt;=AA$3,$I48&lt;=AA$2),$E48,0),$E48*NETWORKDAYS(MAX($I48,AA$3),MIN($J48,AA$2),Data!$K$4:$K$203)/$K48)))</f>
        <v>0</v>
      </c>
      <c r="AB48" s="166">
        <f>IF(OR($I48="",$E48=0),0,IF(OR($J48&lt;AB$3,$I48&gt;AB$2),0,IF($K48=0,IF(AND($I48&gt;=AB$3,$I48&lt;=AB$2),$E48,0),$E48*NETWORKDAYS(MAX($I48,AB$3),MIN($J48,AB$2),Data!$K$4:$K$203)/$K48)))</f>
        <v>0</v>
      </c>
      <c r="AC48" s="166">
        <f>IF(OR($I48="",$E48=0),0,IF(OR($J48&lt;AC$3,$I48&gt;AC$2),0,IF($K48=0,IF(AND($I48&gt;=AC$3,$I48&lt;=AC$2),$E48,0),$E48*NETWORKDAYS(MAX($I48,AC$3),MIN($J48,AC$2),Data!$K$4:$K$203)/$K48)))</f>
        <v>0</v>
      </c>
      <c r="AD48" s="166">
        <f>IF(OR($I48="",$E48=0),0,IF(OR($J48&lt;AD$3,$I48&gt;AD$2),0,IF($K48=0,IF(AND($I48&gt;=AD$3,$I48&lt;=AD$2),$E48,0),$E48*NETWORKDAYS(MAX($I48,AD$3),MIN($J48,AD$2),Data!$K$4:$K$203)/$K48)))</f>
        <v>0</v>
      </c>
      <c r="AE48" s="166">
        <f>IF(OR($I48="",$E48=0),0,IF(OR($J48&lt;AE$3,$I48&gt;AE$2),0,IF($K48=0,IF(AND($I48&gt;=AE$3,$I48&lt;=AE$2),$E48,0),$E48*NETWORKDAYS(MAX($I48,AE$3),MIN($J48,AE$2),Data!$K$4:$K$203)/$K48)))</f>
        <v>0</v>
      </c>
      <c r="AF48" s="166">
        <f>IF(OR($I48="",$E48=0),0,IF(OR($J48&lt;AF$3,$I48&gt;AF$2),0,IF($K48=0,IF(AND($I48&gt;=AF$3,$I48&lt;=AF$2),$E48,0),$E48*NETWORKDAYS(MAX($I48,AF$3),MIN($J48,AF$2),Data!$K$4:$K$203)/$K48)))</f>
        <v>0</v>
      </c>
      <c r="AG48" s="166">
        <f>IF(OR($I48="",$E48=0),0,IF(OR($J48&lt;AG$3,$I48&gt;AG$2),0,IF($K48=0,IF(AND($I48&gt;=AG$3,$I48&lt;=AG$2),$E48,0),$E48*NETWORKDAYS(MAX($I48,AG$3),MIN($J48,AG$2),Data!$K$4:$K$203)/$K48)))</f>
        <v>0</v>
      </c>
      <c r="AH48" s="166">
        <f>IF(OR($I48="",$E48=0),0,IF(OR($J48&lt;AH$3,$I48&gt;AH$2),0,IF($K48=0,IF(AND($I48&gt;=AH$3,$I48&lt;=AH$2),$E48,0),$E48*NETWORKDAYS(MAX($I48,AH$3),MIN($J48,AH$2),Data!$K$4:$K$203)/$K48)))</f>
        <v>0</v>
      </c>
      <c r="AI48" s="166">
        <f>SUM(W48:AH48)</f>
        <v>0</v>
      </c>
      <c r="BW48" t="n">
        <v>45</v>
      </c>
      <c r="BX48" t="str">
        <f>IFERROR(MATCH(BW48,$EQ$4:$EQ$503,0),"")</f>
        <v/>
      </c>
      <c r="BZ48" t="str">
        <f>IF(D48=1,IF(TRIM(INDEX(Charge!$K:$K,ROW()))&lt;&gt;"",TRIM(INDEX(Charge!$K:$K,ROW())),IF(TRIM(INDEX(Charge!$L:$L,ROW()))&lt;&gt;"",TRIM(INDEX(Charge!$L:$L,ROW())),"(non affecté)")),"")</f>
        <v/>
      </c>
      <c r="CA48" t="str">
        <f>IF(AND($CD$4&lt;&gt;"",BZ48=$CD$4),COUNTIFS($BZ$4:$BZ$503,$CD$4,$L$4:$L$503,"&lt;"&amp;L48)+1,"")</f>
        <v/>
      </c>
      <c r="EJ48" t="str">
        <f>TRIM(INDEX(Data!$E:$E,ROW()))</f>
        <v/>
      </c>
      <c r="EK48" t="str">
        <f>TRIM(INDEX(Data!$H:$H,ROW()))</f>
        <v/>
      </c>
      <c r="EM48" t="str">
        <f>IF(D48=1,IF(TRIM(INDEX(Charge!$K:$K,ROW()))&lt;&gt;"","Interne",IF(TRIM(INDEX(Charge!$L:$L,ROW()))&lt;&gt;"","Externe","Non affecté")),"")</f>
        <v/>
      </c>
      <c r="EN48" t="str">
        <f>IF(D48=1,LEFT(SUBSTITUTE(SUBSTITUTE(SUBSTITUTE(TRIM(SUBSTITUTE(INDEX(Charge!$B:$B,ROW()),CHAR(160)," "))&amp;" | "&amp;TRIM(SUBSTITUTE(INDEX(Charge!$C:$C,ROW()),CHAR(160)," "))&amp;" | "&amp;TRIM(SUBSTITUTE(INDEX(Charge!$D:$D,ROW()),CHAR(160)," ")),"~","-"),"*","+"),"?","!"),240),"")</f>
        <v/>
      </c>
      <c r="EO48">
        <f>IF(EN48="",0,IF(COUNTIF($EN$4:EN48,EN48)=1,1,0))</f>
        <v>0</v>
      </c>
      <c r="EP48" s="166" t="str">
        <f>IF(EO48=1,ROUND(SUMIF($EN$4:$EN$503,EN48,$E$4:$E$503),2),"")</f>
        <v/>
      </c>
      <c r="EQ48" t="str">
        <f>IF(EO48=1,COUNTIFS($EO$4:$EO$503,1,$EP$4:$EP$503,"&gt;"&amp;EP48)+COUNTIFS($EO$4:EO48,1,$EP$4:EP48,EP48),"")</f>
        <v/>
      </c>
      <c r="ER48" t="str">
        <f>IF(EO48=1,COUNTIFS($EN$4:$EN$503,EN48,$EM$4:$EM$503,"Interne",$FE$4:$FE$503,1),"")</f>
        <v/>
      </c>
      <c r="ES48" t="str">
        <f>IF(EO48=1,COUNTIFS($EN$4:$EN$503,EN48,$EM$4:$EM$503,"Externe",$FE$4:$FE$503,1),"")</f>
        <v/>
      </c>
      <c r="ET48" t="str">
        <f>IF(EO48=1,IF(ER48+ES48=0,"à affecter",IF(ER48=0,ES48&amp;" ext.",(ER48+ES48)&amp;IF(ES48&gt;0," dont "&amp;ES48&amp;" ext.",""))&amp;IF(COUNTIFS($EN$4:$EN$503,EN48,$EM$4:$EM$503,"Non affecté")&gt;0," + à affecter","")),"")</f>
        <v/>
      </c>
      <c r="EU48" s="170" t="str">
        <f>IF(EO48=1,IF(EP48&gt;0,SUMPRODUCT(($EN$4:$EN$503=EN48)*$E$4:$E$503*$C$4:$C$503)/EP48,AVERAGEIF($EN$4:$EN$503,EN48,$C$4:$C$503)),"")</f>
        <v/>
      </c>
      <c r="EV48" s="165">
        <f>IF(ISNUMBER(I48),I48,2958465)</f>
        <v>2958465.0</v>
      </c>
      <c r="EW48" s="165" t="str">
        <f>IF(EO48=1,SUMPRODUCT(MIN(($EN$4:$EN$503=EN48)*$EV$4:$EV$503+($EN$4:$EN$503&lt;&gt;EN48)*2958465)),"")</f>
        <v/>
      </c>
      <c r="EX48" s="165">
        <f>IF(AND(D48=1,ISNUMBER(INDEX(Charge!$F:$F,ROW()))),INDEX(Charge!$F:$F,ROW()),0)</f>
        <v>0.0</v>
      </c>
      <c r="EY48" s="165" t="str">
        <f>IF(EO48=1,SUMPRODUCT(MAX(($EN$4:$EN$503=EN48)*$EX$4:$EX$503)),"")</f>
        <v/>
      </c>
      <c r="FA48" t="str">
        <f>IF(45&lt;=$CD$23,INDEX($EJ$4:$EJ$203,45),IF(45-$CD$23&lt;=$CD$26,INDEX($EK$4:$EK$203,45-$CD$23),""))</f>
        <v/>
      </c>
      <c r="FB48" t="str">
        <f>IF(FA48="","",IF(45&lt;=$CD$23,"Interne","Externe"))</f>
        <v/>
      </c>
      <c r="FD48">
        <f>IF(AND(B48=1,TRIM(INDEX(Charge!$K:$K,ROW()))&lt;&gt;"",TRIM(INDEX(Charge!$L:$L,ROW()))&lt;&gt;""),1,0)</f>
        <v>0</v>
      </c>
      <c r="FE48">
        <f>IF(OR(EN48="",BZ48="(non affecté)"),0,IF(COUNTIFS($EN$4:EN48,EN48,$BZ$4:BZ48,BZ48)=1,1,0))</f>
        <v>0</v>
      </c>
    </row>
    <row r="49">
      <c r="A49">
        <f>ROW()</f>
        <v>49</v>
      </c>
      <c r="B49">
        <f>IF(TRIM(INDEX(Charge!$B:$B,ROW()))&lt;&gt;"",1,0)</f>
        <v>0</v>
      </c>
      <c r="C49">
        <f>IF(B49=1,MIN(1,MAX(0,N(INDEX(Charge!$O:$O,ROW())))),0)</f>
        <v>0</v>
      </c>
      <c r="D49">
        <f>IF(B49=1,IF(OR(p_Perimetre="Tous les projets",C49&lt;1),1,0),0)</f>
        <v>0</v>
      </c>
      <c r="E49">
        <f>IF(D49=1,MAX(0,N(INDEX(Charge!$M:$M,ROW()))),0)</f>
        <v>0</v>
      </c>
      <c r="F49" t="str">
        <f>IF(D49=1,IF(TRIM(INDEX(Charge!$A:$A,ROW()))="","(non renseigné)",TRIM(INDEX(Charge!$A:$A,ROW()))),"")</f>
        <v/>
      </c>
      <c r="G49" t="str">
        <f>IF(D49=1,TRIM(INDEX(Charge!$B:$B,ROW())),"")</f>
        <v/>
      </c>
      <c r="H49" t="str">
        <f>IF(D49=1,IF(TRIM(INDEX(Charge!$E:$E,ROW()))="","(non renseigné)",TRIM(INDEX(Charge!$E:$E,ROW()))),"")</f>
        <v/>
      </c>
      <c r="I49" s="165" t="str">
        <f>IF(AND(D49=1,ISNUMBER(INDEX(Charge!$N:$N,ROW()))),INDEX(Charge!$N:$N,ROW()),"")</f>
        <v/>
      </c>
      <c r="J49" s="165" t="str">
        <f>IF(I49="","",IF(AND(p_Repartition="Lissée jusqu'à la date de besoin",ISNUMBER(INDEX(Charge!$F:$F,ROW()))),IF(INDEX(Charge!$F:$F,ROW())&gt;=I49,INDEX(Charge!$F:$F,ROW()),I49),I49))</f>
        <v/>
      </c>
      <c r="K49" t="str">
        <f>IF(I49="","",NETWORKDAYS(I49,J49,Data!$K$4:$K$203))</f>
        <v/>
      </c>
      <c r="L49" t="str">
        <f>IF(D49=1,COUNTIFS($D$4:$D$503,1,$E$4:$E$503,"&gt;"&amp;E49)+COUNTIFS($D$4:$D49,1,$E$4:$E49,E49),"")</f>
        <v/>
      </c>
      <c r="M49">
        <f>IF(F49="",0,IF(COUNTIF($F$4:F49,F49)=1,1,0))</f>
        <v>0</v>
      </c>
      <c r="N49" t="str">
        <f>IF(M49=1,ROUND(SUMIF($F$4:$F$503,F49,$E$4:$E$503),2),"")</f>
        <v/>
      </c>
      <c r="O49" t="str">
        <f>IF(M49=1,COUNTIFS($M$4:$M$503,1,$N$4:$N$503,"&gt;"&amp;N49)+COUNTIFS($M$4:M49,1,$N$4:N49,N49),"")</f>
        <v/>
      </c>
      <c r="P49">
        <f>IF(G49="",0,IF(COUNTIF($G$4:G49,G49)=1,1,0))</f>
        <v>0</v>
      </c>
      <c r="Q49" t="str">
        <f>IF(P49=1,ROUND(SUMIF($G$4:$G$503,G49,$E$4:$E$503),2),"")</f>
        <v/>
      </c>
      <c r="R49" t="str">
        <f>IF(P49=1,COUNTIFS($P$4:$P$503,1,$Q$4:$Q$503,"&gt;"&amp;Q49)+COUNTIFS($P$4:P49,1,$Q$4:Q49,Q49),"")</f>
        <v/>
      </c>
      <c r="S49">
        <f>IF(H49="",0,IF(COUNTIF($H$4:H49,H49)=1,1,0))</f>
        <v>0</v>
      </c>
      <c r="T49" t="str">
        <f>IF(S49=1,ROUND(SUMIF($H$4:$H$503,H49,$E$4:$E$503),2),"")</f>
        <v/>
      </c>
      <c r="U49" t="str">
        <f>IF(S49=1,COUNTIFS($S$4:$S$503,1,$T$4:$T$503,"&gt;"&amp;T49)+COUNTIFS($S$4:S49,1,$T$4:T49,T49),"")</f>
        <v/>
      </c>
      <c r="V49" t="str">
        <f>IF(D49=1,MIN(INDEX($R$4:$R$503,MATCH(G49,$G$4:$G$503,0)),IF($AL$7&gt;9,9,999)),"")</f>
        <v/>
      </c>
      <c r="W49" s="166">
        <f>IF(OR($I49="",$E49=0),0,IF(OR($J49&lt;W$3,$I49&gt;W$2),0,IF($K49=0,IF(AND($I49&gt;=W$3,$I49&lt;=W$2),$E49,0),$E49*NETWORKDAYS(MAX($I49,W$3),MIN($J49,W$2),Data!$K$4:$K$203)/$K49)))</f>
        <v>0</v>
      </c>
      <c r="X49" s="166">
        <f>IF(OR($I49="",$E49=0),0,IF(OR($J49&lt;X$3,$I49&gt;X$2),0,IF($K49=0,IF(AND($I49&gt;=X$3,$I49&lt;=X$2),$E49,0),$E49*NETWORKDAYS(MAX($I49,X$3),MIN($J49,X$2),Data!$K$4:$K$203)/$K49)))</f>
        <v>0</v>
      </c>
      <c r="Y49" s="166">
        <f>IF(OR($I49="",$E49=0),0,IF(OR($J49&lt;Y$3,$I49&gt;Y$2),0,IF($K49=0,IF(AND($I49&gt;=Y$3,$I49&lt;=Y$2),$E49,0),$E49*NETWORKDAYS(MAX($I49,Y$3),MIN($J49,Y$2),Data!$K$4:$K$203)/$K49)))</f>
        <v>0</v>
      </c>
      <c r="Z49" s="166">
        <f>IF(OR($I49="",$E49=0),0,IF(OR($J49&lt;Z$3,$I49&gt;Z$2),0,IF($K49=0,IF(AND($I49&gt;=Z$3,$I49&lt;=Z$2),$E49,0),$E49*NETWORKDAYS(MAX($I49,Z$3),MIN($J49,Z$2),Data!$K$4:$K$203)/$K49)))</f>
        <v>0</v>
      </c>
      <c r="AA49" s="166">
        <f>IF(OR($I49="",$E49=0),0,IF(OR($J49&lt;AA$3,$I49&gt;AA$2),0,IF($K49=0,IF(AND($I49&gt;=AA$3,$I49&lt;=AA$2),$E49,0),$E49*NETWORKDAYS(MAX($I49,AA$3),MIN($J49,AA$2),Data!$K$4:$K$203)/$K49)))</f>
        <v>0</v>
      </c>
      <c r="AB49" s="166">
        <f>IF(OR($I49="",$E49=0),0,IF(OR($J49&lt;AB$3,$I49&gt;AB$2),0,IF($K49=0,IF(AND($I49&gt;=AB$3,$I49&lt;=AB$2),$E49,0),$E49*NETWORKDAYS(MAX($I49,AB$3),MIN($J49,AB$2),Data!$K$4:$K$203)/$K49)))</f>
        <v>0</v>
      </c>
      <c r="AC49" s="166">
        <f>IF(OR($I49="",$E49=0),0,IF(OR($J49&lt;AC$3,$I49&gt;AC$2),0,IF($K49=0,IF(AND($I49&gt;=AC$3,$I49&lt;=AC$2),$E49,0),$E49*NETWORKDAYS(MAX($I49,AC$3),MIN($J49,AC$2),Data!$K$4:$K$203)/$K49)))</f>
        <v>0</v>
      </c>
      <c r="AD49" s="166">
        <f>IF(OR($I49="",$E49=0),0,IF(OR($J49&lt;AD$3,$I49&gt;AD$2),0,IF($K49=0,IF(AND($I49&gt;=AD$3,$I49&lt;=AD$2),$E49,0),$E49*NETWORKDAYS(MAX($I49,AD$3),MIN($J49,AD$2),Data!$K$4:$K$203)/$K49)))</f>
        <v>0</v>
      </c>
      <c r="AE49" s="166">
        <f>IF(OR($I49="",$E49=0),0,IF(OR($J49&lt;AE$3,$I49&gt;AE$2),0,IF($K49=0,IF(AND($I49&gt;=AE$3,$I49&lt;=AE$2),$E49,0),$E49*NETWORKDAYS(MAX($I49,AE$3),MIN($J49,AE$2),Data!$K$4:$K$203)/$K49)))</f>
        <v>0</v>
      </c>
      <c r="AF49" s="166">
        <f>IF(OR($I49="",$E49=0),0,IF(OR($J49&lt;AF$3,$I49&gt;AF$2),0,IF($K49=0,IF(AND($I49&gt;=AF$3,$I49&lt;=AF$2),$E49,0),$E49*NETWORKDAYS(MAX($I49,AF$3),MIN($J49,AF$2),Data!$K$4:$K$203)/$K49)))</f>
        <v>0</v>
      </c>
      <c r="AG49" s="166">
        <f>IF(OR($I49="",$E49=0),0,IF(OR($J49&lt;AG$3,$I49&gt;AG$2),0,IF($K49=0,IF(AND($I49&gt;=AG$3,$I49&lt;=AG$2),$E49,0),$E49*NETWORKDAYS(MAX($I49,AG$3),MIN($J49,AG$2),Data!$K$4:$K$203)/$K49)))</f>
        <v>0</v>
      </c>
      <c r="AH49" s="166">
        <f>IF(OR($I49="",$E49=0),0,IF(OR($J49&lt;AH$3,$I49&gt;AH$2),0,IF($K49=0,IF(AND($I49&gt;=AH$3,$I49&lt;=AH$2),$E49,0),$E49*NETWORKDAYS(MAX($I49,AH$3),MIN($J49,AH$2),Data!$K$4:$K$203)/$K49)))</f>
        <v>0</v>
      </c>
      <c r="AI49" s="166">
        <f>SUM(W49:AH49)</f>
        <v>0</v>
      </c>
      <c r="BW49" t="n">
        <v>46</v>
      </c>
      <c r="BX49" t="str">
        <f>IFERROR(MATCH(BW49,$EQ$4:$EQ$503,0),"")</f>
        <v/>
      </c>
      <c r="BZ49" t="str">
        <f>IF(D49=1,IF(TRIM(INDEX(Charge!$K:$K,ROW()))&lt;&gt;"",TRIM(INDEX(Charge!$K:$K,ROW())),IF(TRIM(INDEX(Charge!$L:$L,ROW()))&lt;&gt;"",TRIM(INDEX(Charge!$L:$L,ROW())),"(non affecté)")),"")</f>
        <v/>
      </c>
      <c r="CA49" t="str">
        <f>IF(AND($CD$4&lt;&gt;"",BZ49=$CD$4),COUNTIFS($BZ$4:$BZ$503,$CD$4,$L$4:$L$503,"&lt;"&amp;L49)+1,"")</f>
        <v/>
      </c>
      <c r="EJ49" t="str">
        <f>TRIM(INDEX(Data!$E:$E,ROW()))</f>
        <v/>
      </c>
      <c r="EK49" t="str">
        <f>TRIM(INDEX(Data!$H:$H,ROW()))</f>
        <v/>
      </c>
      <c r="EM49" t="str">
        <f>IF(D49=1,IF(TRIM(INDEX(Charge!$K:$K,ROW()))&lt;&gt;"","Interne",IF(TRIM(INDEX(Charge!$L:$L,ROW()))&lt;&gt;"","Externe","Non affecté")),"")</f>
        <v/>
      </c>
      <c r="EN49" t="str">
        <f>IF(D49=1,LEFT(SUBSTITUTE(SUBSTITUTE(SUBSTITUTE(TRIM(SUBSTITUTE(INDEX(Charge!$B:$B,ROW()),CHAR(160)," "))&amp;" | "&amp;TRIM(SUBSTITUTE(INDEX(Charge!$C:$C,ROW()),CHAR(160)," "))&amp;" | "&amp;TRIM(SUBSTITUTE(INDEX(Charge!$D:$D,ROW()),CHAR(160)," ")),"~","-"),"*","+"),"?","!"),240),"")</f>
        <v/>
      </c>
      <c r="EO49">
        <f>IF(EN49="",0,IF(COUNTIF($EN$4:EN49,EN49)=1,1,0))</f>
        <v>0</v>
      </c>
      <c r="EP49" s="166" t="str">
        <f>IF(EO49=1,ROUND(SUMIF($EN$4:$EN$503,EN49,$E$4:$E$503),2),"")</f>
        <v/>
      </c>
      <c r="EQ49" t="str">
        <f>IF(EO49=1,COUNTIFS($EO$4:$EO$503,1,$EP$4:$EP$503,"&gt;"&amp;EP49)+COUNTIFS($EO$4:EO49,1,$EP$4:EP49,EP49),"")</f>
        <v/>
      </c>
      <c r="ER49" t="str">
        <f>IF(EO49=1,COUNTIFS($EN$4:$EN$503,EN49,$EM$4:$EM$503,"Interne",$FE$4:$FE$503,1),"")</f>
        <v/>
      </c>
      <c r="ES49" t="str">
        <f>IF(EO49=1,COUNTIFS($EN$4:$EN$503,EN49,$EM$4:$EM$503,"Externe",$FE$4:$FE$503,1),"")</f>
        <v/>
      </c>
      <c r="ET49" t="str">
        <f>IF(EO49=1,IF(ER49+ES49=0,"à affecter",IF(ER49=0,ES49&amp;" ext.",(ER49+ES49)&amp;IF(ES49&gt;0," dont "&amp;ES49&amp;" ext.",""))&amp;IF(COUNTIFS($EN$4:$EN$503,EN49,$EM$4:$EM$503,"Non affecté")&gt;0," + à affecter","")),"")</f>
        <v/>
      </c>
      <c r="EU49" s="170" t="str">
        <f>IF(EO49=1,IF(EP49&gt;0,SUMPRODUCT(($EN$4:$EN$503=EN49)*$E$4:$E$503*$C$4:$C$503)/EP49,AVERAGEIF($EN$4:$EN$503,EN49,$C$4:$C$503)),"")</f>
        <v/>
      </c>
      <c r="EV49" s="165">
        <f>IF(ISNUMBER(I49),I49,2958465)</f>
        <v>2958465.0</v>
      </c>
      <c r="EW49" s="165" t="str">
        <f>IF(EO49=1,SUMPRODUCT(MIN(($EN$4:$EN$503=EN49)*$EV$4:$EV$503+($EN$4:$EN$503&lt;&gt;EN49)*2958465)),"")</f>
        <v/>
      </c>
      <c r="EX49" s="165">
        <f>IF(AND(D49=1,ISNUMBER(INDEX(Charge!$F:$F,ROW()))),INDEX(Charge!$F:$F,ROW()),0)</f>
        <v>0.0</v>
      </c>
      <c r="EY49" s="165" t="str">
        <f>IF(EO49=1,SUMPRODUCT(MAX(($EN$4:$EN$503=EN49)*$EX$4:$EX$503)),"")</f>
        <v/>
      </c>
      <c r="FA49" t="str">
        <f>IF(46&lt;=$CD$23,INDEX($EJ$4:$EJ$203,46),IF(46-$CD$23&lt;=$CD$26,INDEX($EK$4:$EK$203,46-$CD$23),""))</f>
        <v/>
      </c>
      <c r="FB49" t="str">
        <f>IF(FA49="","",IF(46&lt;=$CD$23,"Interne","Externe"))</f>
        <v/>
      </c>
      <c r="FD49">
        <f>IF(AND(B49=1,TRIM(INDEX(Charge!$K:$K,ROW()))&lt;&gt;"",TRIM(INDEX(Charge!$L:$L,ROW()))&lt;&gt;""),1,0)</f>
        <v>0</v>
      </c>
      <c r="FE49">
        <f>IF(OR(EN49="",BZ49="(non affecté)"),0,IF(COUNTIFS($EN$4:EN49,EN49,$BZ$4:BZ49,BZ49)=1,1,0))</f>
        <v>0</v>
      </c>
    </row>
    <row r="50">
      <c r="A50">
        <f>ROW()</f>
        <v>50</v>
      </c>
      <c r="B50">
        <f>IF(TRIM(INDEX(Charge!$B:$B,ROW()))&lt;&gt;"",1,0)</f>
        <v>0</v>
      </c>
      <c r="C50">
        <f>IF(B50=1,MIN(1,MAX(0,N(INDEX(Charge!$O:$O,ROW())))),0)</f>
        <v>0</v>
      </c>
      <c r="D50">
        <f>IF(B50=1,IF(OR(p_Perimetre="Tous les projets",C50&lt;1),1,0),0)</f>
        <v>0</v>
      </c>
      <c r="E50">
        <f>IF(D50=1,MAX(0,N(INDEX(Charge!$M:$M,ROW()))),0)</f>
        <v>0</v>
      </c>
      <c r="F50" t="str">
        <f>IF(D50=1,IF(TRIM(INDEX(Charge!$A:$A,ROW()))="","(non renseigné)",TRIM(INDEX(Charge!$A:$A,ROW()))),"")</f>
        <v/>
      </c>
      <c r="G50" t="str">
        <f>IF(D50=1,TRIM(INDEX(Charge!$B:$B,ROW())),"")</f>
        <v/>
      </c>
      <c r="H50" t="str">
        <f>IF(D50=1,IF(TRIM(INDEX(Charge!$E:$E,ROW()))="","(non renseigné)",TRIM(INDEX(Charge!$E:$E,ROW()))),"")</f>
        <v/>
      </c>
      <c r="I50" s="165" t="str">
        <f>IF(AND(D50=1,ISNUMBER(INDEX(Charge!$N:$N,ROW()))),INDEX(Charge!$N:$N,ROW()),"")</f>
        <v/>
      </c>
      <c r="J50" s="165" t="str">
        <f>IF(I50="","",IF(AND(p_Repartition="Lissée jusqu'à la date de besoin",ISNUMBER(INDEX(Charge!$F:$F,ROW()))),IF(INDEX(Charge!$F:$F,ROW())&gt;=I50,INDEX(Charge!$F:$F,ROW()),I50),I50))</f>
        <v/>
      </c>
      <c r="K50" t="str">
        <f>IF(I50="","",NETWORKDAYS(I50,J50,Data!$K$4:$K$203))</f>
        <v/>
      </c>
      <c r="L50" t="str">
        <f>IF(D50=1,COUNTIFS($D$4:$D$503,1,$E$4:$E$503,"&gt;"&amp;E50)+COUNTIFS($D$4:$D50,1,$E$4:$E50,E50),"")</f>
        <v/>
      </c>
      <c r="M50">
        <f>IF(F50="",0,IF(COUNTIF($F$4:F50,F50)=1,1,0))</f>
        <v>0</v>
      </c>
      <c r="N50" t="str">
        <f>IF(M50=1,ROUND(SUMIF($F$4:$F$503,F50,$E$4:$E$503),2),"")</f>
        <v/>
      </c>
      <c r="O50" t="str">
        <f>IF(M50=1,COUNTIFS($M$4:$M$503,1,$N$4:$N$503,"&gt;"&amp;N50)+COUNTIFS($M$4:M50,1,$N$4:N50,N50),"")</f>
        <v/>
      </c>
      <c r="P50">
        <f>IF(G50="",0,IF(COUNTIF($G$4:G50,G50)=1,1,0))</f>
        <v>0</v>
      </c>
      <c r="Q50" t="str">
        <f>IF(P50=1,ROUND(SUMIF($G$4:$G$503,G50,$E$4:$E$503),2),"")</f>
        <v/>
      </c>
      <c r="R50" t="str">
        <f>IF(P50=1,COUNTIFS($P$4:$P$503,1,$Q$4:$Q$503,"&gt;"&amp;Q50)+COUNTIFS($P$4:P50,1,$Q$4:Q50,Q50),"")</f>
        <v/>
      </c>
      <c r="S50">
        <f>IF(H50="",0,IF(COUNTIF($H$4:H50,H50)=1,1,0))</f>
        <v>0</v>
      </c>
      <c r="T50" t="str">
        <f>IF(S50=1,ROUND(SUMIF($H$4:$H$503,H50,$E$4:$E$503),2),"")</f>
        <v/>
      </c>
      <c r="U50" t="str">
        <f>IF(S50=1,COUNTIFS($S$4:$S$503,1,$T$4:$T$503,"&gt;"&amp;T50)+COUNTIFS($S$4:S50,1,$T$4:T50,T50),"")</f>
        <v/>
      </c>
      <c r="V50" t="str">
        <f>IF(D50=1,MIN(INDEX($R$4:$R$503,MATCH(G50,$G$4:$G$503,0)),IF($AL$7&gt;9,9,999)),"")</f>
        <v/>
      </c>
      <c r="W50" s="166">
        <f>IF(OR($I50="",$E50=0),0,IF(OR($J50&lt;W$3,$I50&gt;W$2),0,IF($K50=0,IF(AND($I50&gt;=W$3,$I50&lt;=W$2),$E50,0),$E50*NETWORKDAYS(MAX($I50,W$3),MIN($J50,W$2),Data!$K$4:$K$203)/$K50)))</f>
        <v>0</v>
      </c>
      <c r="X50" s="166">
        <f>IF(OR($I50="",$E50=0),0,IF(OR($J50&lt;X$3,$I50&gt;X$2),0,IF($K50=0,IF(AND($I50&gt;=X$3,$I50&lt;=X$2),$E50,0),$E50*NETWORKDAYS(MAX($I50,X$3),MIN($J50,X$2),Data!$K$4:$K$203)/$K50)))</f>
        <v>0</v>
      </c>
      <c r="Y50" s="166">
        <f>IF(OR($I50="",$E50=0),0,IF(OR($J50&lt;Y$3,$I50&gt;Y$2),0,IF($K50=0,IF(AND($I50&gt;=Y$3,$I50&lt;=Y$2),$E50,0),$E50*NETWORKDAYS(MAX($I50,Y$3),MIN($J50,Y$2),Data!$K$4:$K$203)/$K50)))</f>
        <v>0</v>
      </c>
      <c r="Z50" s="166">
        <f>IF(OR($I50="",$E50=0),0,IF(OR($J50&lt;Z$3,$I50&gt;Z$2),0,IF($K50=0,IF(AND($I50&gt;=Z$3,$I50&lt;=Z$2),$E50,0),$E50*NETWORKDAYS(MAX($I50,Z$3),MIN($J50,Z$2),Data!$K$4:$K$203)/$K50)))</f>
        <v>0</v>
      </c>
      <c r="AA50" s="166">
        <f>IF(OR($I50="",$E50=0),0,IF(OR($J50&lt;AA$3,$I50&gt;AA$2),0,IF($K50=0,IF(AND($I50&gt;=AA$3,$I50&lt;=AA$2),$E50,0),$E50*NETWORKDAYS(MAX($I50,AA$3),MIN($J50,AA$2),Data!$K$4:$K$203)/$K50)))</f>
        <v>0</v>
      </c>
      <c r="AB50" s="166">
        <f>IF(OR($I50="",$E50=0),0,IF(OR($J50&lt;AB$3,$I50&gt;AB$2),0,IF($K50=0,IF(AND($I50&gt;=AB$3,$I50&lt;=AB$2),$E50,0),$E50*NETWORKDAYS(MAX($I50,AB$3),MIN($J50,AB$2),Data!$K$4:$K$203)/$K50)))</f>
        <v>0</v>
      </c>
      <c r="AC50" s="166">
        <f>IF(OR($I50="",$E50=0),0,IF(OR($J50&lt;AC$3,$I50&gt;AC$2),0,IF($K50=0,IF(AND($I50&gt;=AC$3,$I50&lt;=AC$2),$E50,0),$E50*NETWORKDAYS(MAX($I50,AC$3),MIN($J50,AC$2),Data!$K$4:$K$203)/$K50)))</f>
        <v>0</v>
      </c>
      <c r="AD50" s="166">
        <f>IF(OR($I50="",$E50=0),0,IF(OR($J50&lt;AD$3,$I50&gt;AD$2),0,IF($K50=0,IF(AND($I50&gt;=AD$3,$I50&lt;=AD$2),$E50,0),$E50*NETWORKDAYS(MAX($I50,AD$3),MIN($J50,AD$2),Data!$K$4:$K$203)/$K50)))</f>
        <v>0</v>
      </c>
      <c r="AE50" s="166">
        <f>IF(OR($I50="",$E50=0),0,IF(OR($J50&lt;AE$3,$I50&gt;AE$2),0,IF($K50=0,IF(AND($I50&gt;=AE$3,$I50&lt;=AE$2),$E50,0),$E50*NETWORKDAYS(MAX($I50,AE$3),MIN($J50,AE$2),Data!$K$4:$K$203)/$K50)))</f>
        <v>0</v>
      </c>
      <c r="AF50" s="166">
        <f>IF(OR($I50="",$E50=0),0,IF(OR($J50&lt;AF$3,$I50&gt;AF$2),0,IF($K50=0,IF(AND($I50&gt;=AF$3,$I50&lt;=AF$2),$E50,0),$E50*NETWORKDAYS(MAX($I50,AF$3),MIN($J50,AF$2),Data!$K$4:$K$203)/$K50)))</f>
        <v>0</v>
      </c>
      <c r="AG50" s="166">
        <f>IF(OR($I50="",$E50=0),0,IF(OR($J50&lt;AG$3,$I50&gt;AG$2),0,IF($K50=0,IF(AND($I50&gt;=AG$3,$I50&lt;=AG$2),$E50,0),$E50*NETWORKDAYS(MAX($I50,AG$3),MIN($J50,AG$2),Data!$K$4:$K$203)/$K50)))</f>
        <v>0</v>
      </c>
      <c r="AH50" s="166">
        <f>IF(OR($I50="",$E50=0),0,IF(OR($J50&lt;AH$3,$I50&gt;AH$2),0,IF($K50=0,IF(AND($I50&gt;=AH$3,$I50&lt;=AH$2),$E50,0),$E50*NETWORKDAYS(MAX($I50,AH$3),MIN($J50,AH$2),Data!$K$4:$K$203)/$K50)))</f>
        <v>0</v>
      </c>
      <c r="AI50" s="166">
        <f>SUM(W50:AH50)</f>
        <v>0</v>
      </c>
      <c r="BW50" t="n">
        <v>47</v>
      </c>
      <c r="BX50" t="str">
        <f>IFERROR(MATCH(BW50,$EQ$4:$EQ$503,0),"")</f>
        <v/>
      </c>
      <c r="BZ50" t="str">
        <f>IF(D50=1,IF(TRIM(INDEX(Charge!$K:$K,ROW()))&lt;&gt;"",TRIM(INDEX(Charge!$K:$K,ROW())),IF(TRIM(INDEX(Charge!$L:$L,ROW()))&lt;&gt;"",TRIM(INDEX(Charge!$L:$L,ROW())),"(non affecté)")),"")</f>
        <v/>
      </c>
      <c r="CA50" t="str">
        <f>IF(AND($CD$4&lt;&gt;"",BZ50=$CD$4),COUNTIFS($BZ$4:$BZ$503,$CD$4,$L$4:$L$503,"&lt;"&amp;L50)+1,"")</f>
        <v/>
      </c>
      <c r="EJ50" t="str">
        <f>TRIM(INDEX(Data!$E:$E,ROW()))</f>
        <v/>
      </c>
      <c r="EK50" t="str">
        <f>TRIM(INDEX(Data!$H:$H,ROW()))</f>
        <v/>
      </c>
      <c r="EM50" t="str">
        <f>IF(D50=1,IF(TRIM(INDEX(Charge!$K:$K,ROW()))&lt;&gt;"","Interne",IF(TRIM(INDEX(Charge!$L:$L,ROW()))&lt;&gt;"","Externe","Non affecté")),"")</f>
        <v/>
      </c>
      <c r="EN50" t="str">
        <f>IF(D50=1,LEFT(SUBSTITUTE(SUBSTITUTE(SUBSTITUTE(TRIM(SUBSTITUTE(INDEX(Charge!$B:$B,ROW()),CHAR(160)," "))&amp;" | "&amp;TRIM(SUBSTITUTE(INDEX(Charge!$C:$C,ROW()),CHAR(160)," "))&amp;" | "&amp;TRIM(SUBSTITUTE(INDEX(Charge!$D:$D,ROW()),CHAR(160)," ")),"~","-"),"*","+"),"?","!"),240),"")</f>
        <v/>
      </c>
      <c r="EO50">
        <f>IF(EN50="",0,IF(COUNTIF($EN$4:EN50,EN50)=1,1,0))</f>
        <v>0</v>
      </c>
      <c r="EP50" s="166" t="str">
        <f>IF(EO50=1,ROUND(SUMIF($EN$4:$EN$503,EN50,$E$4:$E$503),2),"")</f>
        <v/>
      </c>
      <c r="EQ50" t="str">
        <f>IF(EO50=1,COUNTIFS($EO$4:$EO$503,1,$EP$4:$EP$503,"&gt;"&amp;EP50)+COUNTIFS($EO$4:EO50,1,$EP$4:EP50,EP50),"")</f>
        <v/>
      </c>
      <c r="ER50" t="str">
        <f>IF(EO50=1,COUNTIFS($EN$4:$EN$503,EN50,$EM$4:$EM$503,"Interne",$FE$4:$FE$503,1),"")</f>
        <v/>
      </c>
      <c r="ES50" t="str">
        <f>IF(EO50=1,COUNTIFS($EN$4:$EN$503,EN50,$EM$4:$EM$503,"Externe",$FE$4:$FE$503,1),"")</f>
        <v/>
      </c>
      <c r="ET50" t="str">
        <f>IF(EO50=1,IF(ER50+ES50=0,"à affecter",IF(ER50=0,ES50&amp;" ext.",(ER50+ES50)&amp;IF(ES50&gt;0," dont "&amp;ES50&amp;" ext.",""))&amp;IF(COUNTIFS($EN$4:$EN$503,EN50,$EM$4:$EM$503,"Non affecté")&gt;0," + à affecter","")),"")</f>
        <v/>
      </c>
      <c r="EU50" s="170" t="str">
        <f>IF(EO50=1,IF(EP50&gt;0,SUMPRODUCT(($EN$4:$EN$503=EN50)*$E$4:$E$503*$C$4:$C$503)/EP50,AVERAGEIF($EN$4:$EN$503,EN50,$C$4:$C$503)),"")</f>
        <v/>
      </c>
      <c r="EV50" s="165">
        <f>IF(ISNUMBER(I50),I50,2958465)</f>
        <v>2958465.0</v>
      </c>
      <c r="EW50" s="165" t="str">
        <f>IF(EO50=1,SUMPRODUCT(MIN(($EN$4:$EN$503=EN50)*$EV$4:$EV$503+($EN$4:$EN$503&lt;&gt;EN50)*2958465)),"")</f>
        <v/>
      </c>
      <c r="EX50" s="165">
        <f>IF(AND(D50=1,ISNUMBER(INDEX(Charge!$F:$F,ROW()))),INDEX(Charge!$F:$F,ROW()),0)</f>
        <v>0.0</v>
      </c>
      <c r="EY50" s="165" t="str">
        <f>IF(EO50=1,SUMPRODUCT(MAX(($EN$4:$EN$503=EN50)*$EX$4:$EX$503)),"")</f>
        <v/>
      </c>
      <c r="FA50" t="str">
        <f>IF(47&lt;=$CD$23,INDEX($EJ$4:$EJ$203,47),IF(47-$CD$23&lt;=$CD$26,INDEX($EK$4:$EK$203,47-$CD$23),""))</f>
        <v/>
      </c>
      <c r="FB50" t="str">
        <f>IF(FA50="","",IF(47&lt;=$CD$23,"Interne","Externe"))</f>
        <v/>
      </c>
      <c r="FD50">
        <f>IF(AND(B50=1,TRIM(INDEX(Charge!$K:$K,ROW()))&lt;&gt;"",TRIM(INDEX(Charge!$L:$L,ROW()))&lt;&gt;""),1,0)</f>
        <v>0</v>
      </c>
      <c r="FE50">
        <f>IF(OR(EN50="",BZ50="(non affecté)"),0,IF(COUNTIFS($EN$4:EN50,EN50,$BZ$4:BZ50,BZ50)=1,1,0))</f>
        <v>0</v>
      </c>
    </row>
    <row r="51">
      <c r="A51">
        <f>ROW()</f>
        <v>51</v>
      </c>
      <c r="B51">
        <f>IF(TRIM(INDEX(Charge!$B:$B,ROW()))&lt;&gt;"",1,0)</f>
        <v>0</v>
      </c>
      <c r="C51">
        <f>IF(B51=1,MIN(1,MAX(0,N(INDEX(Charge!$O:$O,ROW())))),0)</f>
        <v>0</v>
      </c>
      <c r="D51">
        <f>IF(B51=1,IF(OR(p_Perimetre="Tous les projets",C51&lt;1),1,0),0)</f>
        <v>0</v>
      </c>
      <c r="E51">
        <f>IF(D51=1,MAX(0,N(INDEX(Charge!$M:$M,ROW()))),0)</f>
        <v>0</v>
      </c>
      <c r="F51" t="str">
        <f>IF(D51=1,IF(TRIM(INDEX(Charge!$A:$A,ROW()))="","(non renseigné)",TRIM(INDEX(Charge!$A:$A,ROW()))),"")</f>
        <v/>
      </c>
      <c r="G51" t="str">
        <f>IF(D51=1,TRIM(INDEX(Charge!$B:$B,ROW())),"")</f>
        <v/>
      </c>
      <c r="H51" t="str">
        <f>IF(D51=1,IF(TRIM(INDEX(Charge!$E:$E,ROW()))="","(non renseigné)",TRIM(INDEX(Charge!$E:$E,ROW()))),"")</f>
        <v/>
      </c>
      <c r="I51" s="165" t="str">
        <f>IF(AND(D51=1,ISNUMBER(INDEX(Charge!$N:$N,ROW()))),INDEX(Charge!$N:$N,ROW()),"")</f>
        <v/>
      </c>
      <c r="J51" s="165" t="str">
        <f>IF(I51="","",IF(AND(p_Repartition="Lissée jusqu'à la date de besoin",ISNUMBER(INDEX(Charge!$F:$F,ROW()))),IF(INDEX(Charge!$F:$F,ROW())&gt;=I51,INDEX(Charge!$F:$F,ROW()),I51),I51))</f>
        <v/>
      </c>
      <c r="K51" t="str">
        <f>IF(I51="","",NETWORKDAYS(I51,J51,Data!$K$4:$K$203))</f>
        <v/>
      </c>
      <c r="L51" t="str">
        <f>IF(D51=1,COUNTIFS($D$4:$D$503,1,$E$4:$E$503,"&gt;"&amp;E51)+COUNTIFS($D$4:$D51,1,$E$4:$E51,E51),"")</f>
        <v/>
      </c>
      <c r="M51">
        <f>IF(F51="",0,IF(COUNTIF($F$4:F51,F51)=1,1,0))</f>
        <v>0</v>
      </c>
      <c r="N51" t="str">
        <f>IF(M51=1,ROUND(SUMIF($F$4:$F$503,F51,$E$4:$E$503),2),"")</f>
        <v/>
      </c>
      <c r="O51" t="str">
        <f>IF(M51=1,COUNTIFS($M$4:$M$503,1,$N$4:$N$503,"&gt;"&amp;N51)+COUNTIFS($M$4:M51,1,$N$4:N51,N51),"")</f>
        <v/>
      </c>
      <c r="P51">
        <f>IF(G51="",0,IF(COUNTIF($G$4:G51,G51)=1,1,0))</f>
        <v>0</v>
      </c>
      <c r="Q51" t="str">
        <f>IF(P51=1,ROUND(SUMIF($G$4:$G$503,G51,$E$4:$E$503),2),"")</f>
        <v/>
      </c>
      <c r="R51" t="str">
        <f>IF(P51=1,COUNTIFS($P$4:$P$503,1,$Q$4:$Q$503,"&gt;"&amp;Q51)+COUNTIFS($P$4:P51,1,$Q$4:Q51,Q51),"")</f>
        <v/>
      </c>
      <c r="S51">
        <f>IF(H51="",0,IF(COUNTIF($H$4:H51,H51)=1,1,0))</f>
        <v>0</v>
      </c>
      <c r="T51" t="str">
        <f>IF(S51=1,ROUND(SUMIF($H$4:$H$503,H51,$E$4:$E$503),2),"")</f>
        <v/>
      </c>
      <c r="U51" t="str">
        <f>IF(S51=1,COUNTIFS($S$4:$S$503,1,$T$4:$T$503,"&gt;"&amp;T51)+COUNTIFS($S$4:S51,1,$T$4:T51,T51),"")</f>
        <v/>
      </c>
      <c r="V51" t="str">
        <f>IF(D51=1,MIN(INDEX($R$4:$R$503,MATCH(G51,$G$4:$G$503,0)),IF($AL$7&gt;9,9,999)),"")</f>
        <v/>
      </c>
      <c r="W51" s="166">
        <f>IF(OR($I51="",$E51=0),0,IF(OR($J51&lt;W$3,$I51&gt;W$2),0,IF($K51=0,IF(AND($I51&gt;=W$3,$I51&lt;=W$2),$E51,0),$E51*NETWORKDAYS(MAX($I51,W$3),MIN($J51,W$2),Data!$K$4:$K$203)/$K51)))</f>
        <v>0</v>
      </c>
      <c r="X51" s="166">
        <f>IF(OR($I51="",$E51=0),0,IF(OR($J51&lt;X$3,$I51&gt;X$2),0,IF($K51=0,IF(AND($I51&gt;=X$3,$I51&lt;=X$2),$E51,0),$E51*NETWORKDAYS(MAX($I51,X$3),MIN($J51,X$2),Data!$K$4:$K$203)/$K51)))</f>
        <v>0</v>
      </c>
      <c r="Y51" s="166">
        <f>IF(OR($I51="",$E51=0),0,IF(OR($J51&lt;Y$3,$I51&gt;Y$2),0,IF($K51=0,IF(AND($I51&gt;=Y$3,$I51&lt;=Y$2),$E51,0),$E51*NETWORKDAYS(MAX($I51,Y$3),MIN($J51,Y$2),Data!$K$4:$K$203)/$K51)))</f>
        <v>0</v>
      </c>
      <c r="Z51" s="166">
        <f>IF(OR($I51="",$E51=0),0,IF(OR($J51&lt;Z$3,$I51&gt;Z$2),0,IF($K51=0,IF(AND($I51&gt;=Z$3,$I51&lt;=Z$2),$E51,0),$E51*NETWORKDAYS(MAX($I51,Z$3),MIN($J51,Z$2),Data!$K$4:$K$203)/$K51)))</f>
        <v>0</v>
      </c>
      <c r="AA51" s="166">
        <f>IF(OR($I51="",$E51=0),0,IF(OR($J51&lt;AA$3,$I51&gt;AA$2),0,IF($K51=0,IF(AND($I51&gt;=AA$3,$I51&lt;=AA$2),$E51,0),$E51*NETWORKDAYS(MAX($I51,AA$3),MIN($J51,AA$2),Data!$K$4:$K$203)/$K51)))</f>
        <v>0</v>
      </c>
      <c r="AB51" s="166">
        <f>IF(OR($I51="",$E51=0),0,IF(OR($J51&lt;AB$3,$I51&gt;AB$2),0,IF($K51=0,IF(AND($I51&gt;=AB$3,$I51&lt;=AB$2),$E51,0),$E51*NETWORKDAYS(MAX($I51,AB$3),MIN($J51,AB$2),Data!$K$4:$K$203)/$K51)))</f>
        <v>0</v>
      </c>
      <c r="AC51" s="166">
        <f>IF(OR($I51="",$E51=0),0,IF(OR($J51&lt;AC$3,$I51&gt;AC$2),0,IF($K51=0,IF(AND($I51&gt;=AC$3,$I51&lt;=AC$2),$E51,0),$E51*NETWORKDAYS(MAX($I51,AC$3),MIN($J51,AC$2),Data!$K$4:$K$203)/$K51)))</f>
        <v>0</v>
      </c>
      <c r="AD51" s="166">
        <f>IF(OR($I51="",$E51=0),0,IF(OR($J51&lt;AD$3,$I51&gt;AD$2),0,IF($K51=0,IF(AND($I51&gt;=AD$3,$I51&lt;=AD$2),$E51,0),$E51*NETWORKDAYS(MAX($I51,AD$3),MIN($J51,AD$2),Data!$K$4:$K$203)/$K51)))</f>
        <v>0</v>
      </c>
      <c r="AE51" s="166">
        <f>IF(OR($I51="",$E51=0),0,IF(OR($J51&lt;AE$3,$I51&gt;AE$2),0,IF($K51=0,IF(AND($I51&gt;=AE$3,$I51&lt;=AE$2),$E51,0),$E51*NETWORKDAYS(MAX($I51,AE$3),MIN($J51,AE$2),Data!$K$4:$K$203)/$K51)))</f>
        <v>0</v>
      </c>
      <c r="AF51" s="166">
        <f>IF(OR($I51="",$E51=0),0,IF(OR($J51&lt;AF$3,$I51&gt;AF$2),0,IF($K51=0,IF(AND($I51&gt;=AF$3,$I51&lt;=AF$2),$E51,0),$E51*NETWORKDAYS(MAX($I51,AF$3),MIN($J51,AF$2),Data!$K$4:$K$203)/$K51)))</f>
        <v>0</v>
      </c>
      <c r="AG51" s="166">
        <f>IF(OR($I51="",$E51=0),0,IF(OR($J51&lt;AG$3,$I51&gt;AG$2),0,IF($K51=0,IF(AND($I51&gt;=AG$3,$I51&lt;=AG$2),$E51,0),$E51*NETWORKDAYS(MAX($I51,AG$3),MIN($J51,AG$2),Data!$K$4:$K$203)/$K51)))</f>
        <v>0</v>
      </c>
      <c r="AH51" s="166">
        <f>IF(OR($I51="",$E51=0),0,IF(OR($J51&lt;AH$3,$I51&gt;AH$2),0,IF($K51=0,IF(AND($I51&gt;=AH$3,$I51&lt;=AH$2),$E51,0),$E51*NETWORKDAYS(MAX($I51,AH$3),MIN($J51,AH$2),Data!$K$4:$K$203)/$K51)))</f>
        <v>0</v>
      </c>
      <c r="AI51" s="166">
        <f>SUM(W51:AH51)</f>
        <v>0</v>
      </c>
      <c r="BW51" t="n">
        <v>48</v>
      </c>
      <c r="BX51" t="str">
        <f>IFERROR(MATCH(BW51,$EQ$4:$EQ$503,0),"")</f>
        <v/>
      </c>
      <c r="BZ51" t="str">
        <f>IF(D51=1,IF(TRIM(INDEX(Charge!$K:$K,ROW()))&lt;&gt;"",TRIM(INDEX(Charge!$K:$K,ROW())),IF(TRIM(INDEX(Charge!$L:$L,ROW()))&lt;&gt;"",TRIM(INDEX(Charge!$L:$L,ROW())),"(non affecté)")),"")</f>
        <v/>
      </c>
      <c r="CA51" t="str">
        <f>IF(AND($CD$4&lt;&gt;"",BZ51=$CD$4),COUNTIFS($BZ$4:$BZ$503,$CD$4,$L$4:$L$503,"&lt;"&amp;L51)+1,"")</f>
        <v/>
      </c>
      <c r="EJ51" t="str">
        <f>TRIM(INDEX(Data!$E:$E,ROW()))</f>
        <v/>
      </c>
      <c r="EK51" t="str">
        <f>TRIM(INDEX(Data!$H:$H,ROW()))</f>
        <v/>
      </c>
      <c r="EM51" t="str">
        <f>IF(D51=1,IF(TRIM(INDEX(Charge!$K:$K,ROW()))&lt;&gt;"","Interne",IF(TRIM(INDEX(Charge!$L:$L,ROW()))&lt;&gt;"","Externe","Non affecté")),"")</f>
        <v/>
      </c>
      <c r="EN51" t="str">
        <f>IF(D51=1,LEFT(SUBSTITUTE(SUBSTITUTE(SUBSTITUTE(TRIM(SUBSTITUTE(INDEX(Charge!$B:$B,ROW()),CHAR(160)," "))&amp;" | "&amp;TRIM(SUBSTITUTE(INDEX(Charge!$C:$C,ROW()),CHAR(160)," "))&amp;" | "&amp;TRIM(SUBSTITUTE(INDEX(Charge!$D:$D,ROW()),CHAR(160)," ")),"~","-"),"*","+"),"?","!"),240),"")</f>
        <v/>
      </c>
      <c r="EO51">
        <f>IF(EN51="",0,IF(COUNTIF($EN$4:EN51,EN51)=1,1,0))</f>
        <v>0</v>
      </c>
      <c r="EP51" s="166" t="str">
        <f>IF(EO51=1,ROUND(SUMIF($EN$4:$EN$503,EN51,$E$4:$E$503),2),"")</f>
        <v/>
      </c>
      <c r="EQ51" t="str">
        <f>IF(EO51=1,COUNTIFS($EO$4:$EO$503,1,$EP$4:$EP$503,"&gt;"&amp;EP51)+COUNTIFS($EO$4:EO51,1,$EP$4:EP51,EP51),"")</f>
        <v/>
      </c>
      <c r="ER51" t="str">
        <f>IF(EO51=1,COUNTIFS($EN$4:$EN$503,EN51,$EM$4:$EM$503,"Interne",$FE$4:$FE$503,1),"")</f>
        <v/>
      </c>
      <c r="ES51" t="str">
        <f>IF(EO51=1,COUNTIFS($EN$4:$EN$503,EN51,$EM$4:$EM$503,"Externe",$FE$4:$FE$503,1),"")</f>
        <v/>
      </c>
      <c r="ET51" t="str">
        <f>IF(EO51=1,IF(ER51+ES51=0,"à affecter",IF(ER51=0,ES51&amp;" ext.",(ER51+ES51)&amp;IF(ES51&gt;0," dont "&amp;ES51&amp;" ext.",""))&amp;IF(COUNTIFS($EN$4:$EN$503,EN51,$EM$4:$EM$503,"Non affecté")&gt;0," + à affecter","")),"")</f>
        <v/>
      </c>
      <c r="EU51" s="170" t="str">
        <f>IF(EO51=1,IF(EP51&gt;0,SUMPRODUCT(($EN$4:$EN$503=EN51)*$E$4:$E$503*$C$4:$C$503)/EP51,AVERAGEIF($EN$4:$EN$503,EN51,$C$4:$C$503)),"")</f>
        <v/>
      </c>
      <c r="EV51" s="165">
        <f>IF(ISNUMBER(I51),I51,2958465)</f>
        <v>2958465.0</v>
      </c>
      <c r="EW51" s="165" t="str">
        <f>IF(EO51=1,SUMPRODUCT(MIN(($EN$4:$EN$503=EN51)*$EV$4:$EV$503+($EN$4:$EN$503&lt;&gt;EN51)*2958465)),"")</f>
        <v/>
      </c>
      <c r="EX51" s="165">
        <f>IF(AND(D51=1,ISNUMBER(INDEX(Charge!$F:$F,ROW()))),INDEX(Charge!$F:$F,ROW()),0)</f>
        <v>0.0</v>
      </c>
      <c r="EY51" s="165" t="str">
        <f>IF(EO51=1,SUMPRODUCT(MAX(($EN$4:$EN$503=EN51)*$EX$4:$EX$503)),"")</f>
        <v/>
      </c>
      <c r="FA51" t="str">
        <f>IF(48&lt;=$CD$23,INDEX($EJ$4:$EJ$203,48),IF(48-$CD$23&lt;=$CD$26,INDEX($EK$4:$EK$203,48-$CD$23),""))</f>
        <v/>
      </c>
      <c r="FB51" t="str">
        <f>IF(FA51="","",IF(48&lt;=$CD$23,"Interne","Externe"))</f>
        <v/>
      </c>
      <c r="FD51">
        <f>IF(AND(B51=1,TRIM(INDEX(Charge!$K:$K,ROW()))&lt;&gt;"",TRIM(INDEX(Charge!$L:$L,ROW()))&lt;&gt;""),1,0)</f>
        <v>0</v>
      </c>
      <c r="FE51">
        <f>IF(OR(EN51="",BZ51="(non affecté)"),0,IF(COUNTIFS($EN$4:EN51,EN51,$BZ$4:BZ51,BZ51)=1,1,0))</f>
        <v>0</v>
      </c>
    </row>
    <row r="52">
      <c r="A52">
        <f>ROW()</f>
        <v>52</v>
      </c>
      <c r="B52">
        <f>IF(TRIM(INDEX(Charge!$B:$B,ROW()))&lt;&gt;"",1,0)</f>
        <v>0</v>
      </c>
      <c r="C52">
        <f>IF(B52=1,MIN(1,MAX(0,N(INDEX(Charge!$O:$O,ROW())))),0)</f>
        <v>0</v>
      </c>
      <c r="D52">
        <f>IF(B52=1,IF(OR(p_Perimetre="Tous les projets",C52&lt;1),1,0),0)</f>
        <v>0</v>
      </c>
      <c r="E52">
        <f>IF(D52=1,MAX(0,N(INDEX(Charge!$M:$M,ROW()))),0)</f>
        <v>0</v>
      </c>
      <c r="F52" t="str">
        <f>IF(D52=1,IF(TRIM(INDEX(Charge!$A:$A,ROW()))="","(non renseigné)",TRIM(INDEX(Charge!$A:$A,ROW()))),"")</f>
        <v/>
      </c>
      <c r="G52" t="str">
        <f>IF(D52=1,TRIM(INDEX(Charge!$B:$B,ROW())),"")</f>
        <v/>
      </c>
      <c r="H52" t="str">
        <f>IF(D52=1,IF(TRIM(INDEX(Charge!$E:$E,ROW()))="","(non renseigné)",TRIM(INDEX(Charge!$E:$E,ROW()))),"")</f>
        <v/>
      </c>
      <c r="I52" s="165" t="str">
        <f>IF(AND(D52=1,ISNUMBER(INDEX(Charge!$N:$N,ROW()))),INDEX(Charge!$N:$N,ROW()),"")</f>
        <v/>
      </c>
      <c r="J52" s="165" t="str">
        <f>IF(I52="","",IF(AND(p_Repartition="Lissée jusqu'à la date de besoin",ISNUMBER(INDEX(Charge!$F:$F,ROW()))),IF(INDEX(Charge!$F:$F,ROW())&gt;=I52,INDEX(Charge!$F:$F,ROW()),I52),I52))</f>
        <v/>
      </c>
      <c r="K52" t="str">
        <f>IF(I52="","",NETWORKDAYS(I52,J52,Data!$K$4:$K$203))</f>
        <v/>
      </c>
      <c r="L52" t="str">
        <f>IF(D52=1,COUNTIFS($D$4:$D$503,1,$E$4:$E$503,"&gt;"&amp;E52)+COUNTIFS($D$4:$D52,1,$E$4:$E52,E52),"")</f>
        <v/>
      </c>
      <c r="M52">
        <f>IF(F52="",0,IF(COUNTIF($F$4:F52,F52)=1,1,0))</f>
        <v>0</v>
      </c>
      <c r="N52" t="str">
        <f>IF(M52=1,ROUND(SUMIF($F$4:$F$503,F52,$E$4:$E$503),2),"")</f>
        <v/>
      </c>
      <c r="O52" t="str">
        <f>IF(M52=1,COUNTIFS($M$4:$M$503,1,$N$4:$N$503,"&gt;"&amp;N52)+COUNTIFS($M$4:M52,1,$N$4:N52,N52),"")</f>
        <v/>
      </c>
      <c r="P52">
        <f>IF(G52="",0,IF(COUNTIF($G$4:G52,G52)=1,1,0))</f>
        <v>0</v>
      </c>
      <c r="Q52" t="str">
        <f>IF(P52=1,ROUND(SUMIF($G$4:$G$503,G52,$E$4:$E$503),2),"")</f>
        <v/>
      </c>
      <c r="R52" t="str">
        <f>IF(P52=1,COUNTIFS($P$4:$P$503,1,$Q$4:$Q$503,"&gt;"&amp;Q52)+COUNTIFS($P$4:P52,1,$Q$4:Q52,Q52),"")</f>
        <v/>
      </c>
      <c r="S52">
        <f>IF(H52="",0,IF(COUNTIF($H$4:H52,H52)=1,1,0))</f>
        <v>0</v>
      </c>
      <c r="T52" t="str">
        <f>IF(S52=1,ROUND(SUMIF($H$4:$H$503,H52,$E$4:$E$503),2),"")</f>
        <v/>
      </c>
      <c r="U52" t="str">
        <f>IF(S52=1,COUNTIFS($S$4:$S$503,1,$T$4:$T$503,"&gt;"&amp;T52)+COUNTIFS($S$4:S52,1,$T$4:T52,T52),"")</f>
        <v/>
      </c>
      <c r="V52" t="str">
        <f>IF(D52=1,MIN(INDEX($R$4:$R$503,MATCH(G52,$G$4:$G$503,0)),IF($AL$7&gt;9,9,999)),"")</f>
        <v/>
      </c>
      <c r="W52" s="166">
        <f>IF(OR($I52="",$E52=0),0,IF(OR($J52&lt;W$3,$I52&gt;W$2),0,IF($K52=0,IF(AND($I52&gt;=W$3,$I52&lt;=W$2),$E52,0),$E52*NETWORKDAYS(MAX($I52,W$3),MIN($J52,W$2),Data!$K$4:$K$203)/$K52)))</f>
        <v>0</v>
      </c>
      <c r="X52" s="166">
        <f>IF(OR($I52="",$E52=0),0,IF(OR($J52&lt;X$3,$I52&gt;X$2),0,IF($K52=0,IF(AND($I52&gt;=X$3,$I52&lt;=X$2),$E52,0),$E52*NETWORKDAYS(MAX($I52,X$3),MIN($J52,X$2),Data!$K$4:$K$203)/$K52)))</f>
        <v>0</v>
      </c>
      <c r="Y52" s="166">
        <f>IF(OR($I52="",$E52=0),0,IF(OR($J52&lt;Y$3,$I52&gt;Y$2),0,IF($K52=0,IF(AND($I52&gt;=Y$3,$I52&lt;=Y$2),$E52,0),$E52*NETWORKDAYS(MAX($I52,Y$3),MIN($J52,Y$2),Data!$K$4:$K$203)/$K52)))</f>
        <v>0</v>
      </c>
      <c r="Z52" s="166">
        <f>IF(OR($I52="",$E52=0),0,IF(OR($J52&lt;Z$3,$I52&gt;Z$2),0,IF($K52=0,IF(AND($I52&gt;=Z$3,$I52&lt;=Z$2),$E52,0),$E52*NETWORKDAYS(MAX($I52,Z$3),MIN($J52,Z$2),Data!$K$4:$K$203)/$K52)))</f>
        <v>0</v>
      </c>
      <c r="AA52" s="166">
        <f>IF(OR($I52="",$E52=0),0,IF(OR($J52&lt;AA$3,$I52&gt;AA$2),0,IF($K52=0,IF(AND($I52&gt;=AA$3,$I52&lt;=AA$2),$E52,0),$E52*NETWORKDAYS(MAX($I52,AA$3),MIN($J52,AA$2),Data!$K$4:$K$203)/$K52)))</f>
        <v>0</v>
      </c>
      <c r="AB52" s="166">
        <f>IF(OR($I52="",$E52=0),0,IF(OR($J52&lt;AB$3,$I52&gt;AB$2),0,IF($K52=0,IF(AND($I52&gt;=AB$3,$I52&lt;=AB$2),$E52,0),$E52*NETWORKDAYS(MAX($I52,AB$3),MIN($J52,AB$2),Data!$K$4:$K$203)/$K52)))</f>
        <v>0</v>
      </c>
      <c r="AC52" s="166">
        <f>IF(OR($I52="",$E52=0),0,IF(OR($J52&lt;AC$3,$I52&gt;AC$2),0,IF($K52=0,IF(AND($I52&gt;=AC$3,$I52&lt;=AC$2),$E52,0),$E52*NETWORKDAYS(MAX($I52,AC$3),MIN($J52,AC$2),Data!$K$4:$K$203)/$K52)))</f>
        <v>0</v>
      </c>
      <c r="AD52" s="166">
        <f>IF(OR($I52="",$E52=0),0,IF(OR($J52&lt;AD$3,$I52&gt;AD$2),0,IF($K52=0,IF(AND($I52&gt;=AD$3,$I52&lt;=AD$2),$E52,0),$E52*NETWORKDAYS(MAX($I52,AD$3),MIN($J52,AD$2),Data!$K$4:$K$203)/$K52)))</f>
        <v>0</v>
      </c>
      <c r="AE52" s="166">
        <f>IF(OR($I52="",$E52=0),0,IF(OR($J52&lt;AE$3,$I52&gt;AE$2),0,IF($K52=0,IF(AND($I52&gt;=AE$3,$I52&lt;=AE$2),$E52,0),$E52*NETWORKDAYS(MAX($I52,AE$3),MIN($J52,AE$2),Data!$K$4:$K$203)/$K52)))</f>
        <v>0</v>
      </c>
      <c r="AF52" s="166">
        <f>IF(OR($I52="",$E52=0),0,IF(OR($J52&lt;AF$3,$I52&gt;AF$2),0,IF($K52=0,IF(AND($I52&gt;=AF$3,$I52&lt;=AF$2),$E52,0),$E52*NETWORKDAYS(MAX($I52,AF$3),MIN($J52,AF$2),Data!$K$4:$K$203)/$K52)))</f>
        <v>0</v>
      </c>
      <c r="AG52" s="166">
        <f>IF(OR($I52="",$E52=0),0,IF(OR($J52&lt;AG$3,$I52&gt;AG$2),0,IF($K52=0,IF(AND($I52&gt;=AG$3,$I52&lt;=AG$2),$E52,0),$E52*NETWORKDAYS(MAX($I52,AG$3),MIN($J52,AG$2),Data!$K$4:$K$203)/$K52)))</f>
        <v>0</v>
      </c>
      <c r="AH52" s="166">
        <f>IF(OR($I52="",$E52=0),0,IF(OR($J52&lt;AH$3,$I52&gt;AH$2),0,IF($K52=0,IF(AND($I52&gt;=AH$3,$I52&lt;=AH$2),$E52,0),$E52*NETWORKDAYS(MAX($I52,AH$3),MIN($J52,AH$2),Data!$K$4:$K$203)/$K52)))</f>
        <v>0</v>
      </c>
      <c r="AI52" s="166">
        <f>SUM(W52:AH52)</f>
        <v>0</v>
      </c>
      <c r="BW52" t="n">
        <v>49</v>
      </c>
      <c r="BX52" t="str">
        <f>IFERROR(MATCH(BW52,$EQ$4:$EQ$503,0),"")</f>
        <v/>
      </c>
      <c r="BZ52" t="str">
        <f>IF(D52=1,IF(TRIM(INDEX(Charge!$K:$K,ROW()))&lt;&gt;"",TRIM(INDEX(Charge!$K:$K,ROW())),IF(TRIM(INDEX(Charge!$L:$L,ROW()))&lt;&gt;"",TRIM(INDEX(Charge!$L:$L,ROW())),"(non affecté)")),"")</f>
        <v/>
      </c>
      <c r="CA52" t="str">
        <f>IF(AND($CD$4&lt;&gt;"",BZ52=$CD$4),COUNTIFS($BZ$4:$BZ$503,$CD$4,$L$4:$L$503,"&lt;"&amp;L52)+1,"")</f>
        <v/>
      </c>
      <c r="EJ52" t="str">
        <f>TRIM(INDEX(Data!$E:$E,ROW()))</f>
        <v/>
      </c>
      <c r="EK52" t="str">
        <f>TRIM(INDEX(Data!$H:$H,ROW()))</f>
        <v/>
      </c>
      <c r="EM52" t="str">
        <f>IF(D52=1,IF(TRIM(INDEX(Charge!$K:$K,ROW()))&lt;&gt;"","Interne",IF(TRIM(INDEX(Charge!$L:$L,ROW()))&lt;&gt;"","Externe","Non affecté")),"")</f>
        <v/>
      </c>
      <c r="EN52" t="str">
        <f>IF(D52=1,LEFT(SUBSTITUTE(SUBSTITUTE(SUBSTITUTE(TRIM(SUBSTITUTE(INDEX(Charge!$B:$B,ROW()),CHAR(160)," "))&amp;" | "&amp;TRIM(SUBSTITUTE(INDEX(Charge!$C:$C,ROW()),CHAR(160)," "))&amp;" | "&amp;TRIM(SUBSTITUTE(INDEX(Charge!$D:$D,ROW()),CHAR(160)," ")),"~","-"),"*","+"),"?","!"),240),"")</f>
        <v/>
      </c>
      <c r="EO52">
        <f>IF(EN52="",0,IF(COUNTIF($EN$4:EN52,EN52)=1,1,0))</f>
        <v>0</v>
      </c>
      <c r="EP52" s="166" t="str">
        <f>IF(EO52=1,ROUND(SUMIF($EN$4:$EN$503,EN52,$E$4:$E$503),2),"")</f>
        <v/>
      </c>
      <c r="EQ52" t="str">
        <f>IF(EO52=1,COUNTIFS($EO$4:$EO$503,1,$EP$4:$EP$503,"&gt;"&amp;EP52)+COUNTIFS($EO$4:EO52,1,$EP$4:EP52,EP52),"")</f>
        <v/>
      </c>
      <c r="ER52" t="str">
        <f>IF(EO52=1,COUNTIFS($EN$4:$EN$503,EN52,$EM$4:$EM$503,"Interne",$FE$4:$FE$503,1),"")</f>
        <v/>
      </c>
      <c r="ES52" t="str">
        <f>IF(EO52=1,COUNTIFS($EN$4:$EN$503,EN52,$EM$4:$EM$503,"Externe",$FE$4:$FE$503,1),"")</f>
        <v/>
      </c>
      <c r="ET52" t="str">
        <f>IF(EO52=1,IF(ER52+ES52=0,"à affecter",IF(ER52=0,ES52&amp;" ext.",(ER52+ES52)&amp;IF(ES52&gt;0," dont "&amp;ES52&amp;" ext.",""))&amp;IF(COUNTIFS($EN$4:$EN$503,EN52,$EM$4:$EM$503,"Non affecté")&gt;0," + à affecter","")),"")</f>
        <v/>
      </c>
      <c r="EU52" s="170" t="str">
        <f>IF(EO52=1,IF(EP52&gt;0,SUMPRODUCT(($EN$4:$EN$503=EN52)*$E$4:$E$503*$C$4:$C$503)/EP52,AVERAGEIF($EN$4:$EN$503,EN52,$C$4:$C$503)),"")</f>
        <v/>
      </c>
      <c r="EV52" s="165">
        <f>IF(ISNUMBER(I52),I52,2958465)</f>
        <v>2958465.0</v>
      </c>
      <c r="EW52" s="165" t="str">
        <f>IF(EO52=1,SUMPRODUCT(MIN(($EN$4:$EN$503=EN52)*$EV$4:$EV$503+($EN$4:$EN$503&lt;&gt;EN52)*2958465)),"")</f>
        <v/>
      </c>
      <c r="EX52" s="165">
        <f>IF(AND(D52=1,ISNUMBER(INDEX(Charge!$F:$F,ROW()))),INDEX(Charge!$F:$F,ROW()),0)</f>
        <v>0.0</v>
      </c>
      <c r="EY52" s="165" t="str">
        <f>IF(EO52=1,SUMPRODUCT(MAX(($EN$4:$EN$503=EN52)*$EX$4:$EX$503)),"")</f>
        <v/>
      </c>
      <c r="FA52" t="str">
        <f>IF(49&lt;=$CD$23,INDEX($EJ$4:$EJ$203,49),IF(49-$CD$23&lt;=$CD$26,INDEX($EK$4:$EK$203,49-$CD$23),""))</f>
        <v/>
      </c>
      <c r="FB52" t="str">
        <f>IF(FA52="","",IF(49&lt;=$CD$23,"Interne","Externe"))</f>
        <v/>
      </c>
      <c r="FD52">
        <f>IF(AND(B52=1,TRIM(INDEX(Charge!$K:$K,ROW()))&lt;&gt;"",TRIM(INDEX(Charge!$L:$L,ROW()))&lt;&gt;""),1,0)</f>
        <v>0</v>
      </c>
      <c r="FE52">
        <f>IF(OR(EN52="",BZ52="(non affecté)"),0,IF(COUNTIFS($EN$4:EN52,EN52,$BZ$4:BZ52,BZ52)=1,1,0))</f>
        <v>0</v>
      </c>
    </row>
    <row r="53">
      <c r="A53">
        <f>ROW()</f>
        <v>53</v>
      </c>
      <c r="B53">
        <f>IF(TRIM(INDEX(Charge!$B:$B,ROW()))&lt;&gt;"",1,0)</f>
        <v>0</v>
      </c>
      <c r="C53">
        <f>IF(B53=1,MIN(1,MAX(0,N(INDEX(Charge!$O:$O,ROW())))),0)</f>
        <v>0</v>
      </c>
      <c r="D53">
        <f>IF(B53=1,IF(OR(p_Perimetre="Tous les projets",C53&lt;1),1,0),0)</f>
        <v>0</v>
      </c>
      <c r="E53">
        <f>IF(D53=1,MAX(0,N(INDEX(Charge!$M:$M,ROW()))),0)</f>
        <v>0</v>
      </c>
      <c r="F53" t="str">
        <f>IF(D53=1,IF(TRIM(INDEX(Charge!$A:$A,ROW()))="","(non renseigné)",TRIM(INDEX(Charge!$A:$A,ROW()))),"")</f>
        <v/>
      </c>
      <c r="G53" t="str">
        <f>IF(D53=1,TRIM(INDEX(Charge!$B:$B,ROW())),"")</f>
        <v/>
      </c>
      <c r="H53" t="str">
        <f>IF(D53=1,IF(TRIM(INDEX(Charge!$E:$E,ROW()))="","(non renseigné)",TRIM(INDEX(Charge!$E:$E,ROW()))),"")</f>
        <v/>
      </c>
      <c r="I53" s="165" t="str">
        <f>IF(AND(D53=1,ISNUMBER(INDEX(Charge!$N:$N,ROW()))),INDEX(Charge!$N:$N,ROW()),"")</f>
        <v/>
      </c>
      <c r="J53" s="165" t="str">
        <f>IF(I53="","",IF(AND(p_Repartition="Lissée jusqu'à la date de besoin",ISNUMBER(INDEX(Charge!$F:$F,ROW()))),IF(INDEX(Charge!$F:$F,ROW())&gt;=I53,INDEX(Charge!$F:$F,ROW()),I53),I53))</f>
        <v/>
      </c>
      <c r="K53" t="str">
        <f>IF(I53="","",NETWORKDAYS(I53,J53,Data!$K$4:$K$203))</f>
        <v/>
      </c>
      <c r="L53" t="str">
        <f>IF(D53=1,COUNTIFS($D$4:$D$503,1,$E$4:$E$503,"&gt;"&amp;E53)+COUNTIFS($D$4:$D53,1,$E$4:$E53,E53),"")</f>
        <v/>
      </c>
      <c r="M53">
        <f>IF(F53="",0,IF(COUNTIF($F$4:F53,F53)=1,1,0))</f>
        <v>0</v>
      </c>
      <c r="N53" t="str">
        <f>IF(M53=1,ROUND(SUMIF($F$4:$F$503,F53,$E$4:$E$503),2),"")</f>
        <v/>
      </c>
      <c r="O53" t="str">
        <f>IF(M53=1,COUNTIFS($M$4:$M$503,1,$N$4:$N$503,"&gt;"&amp;N53)+COUNTIFS($M$4:M53,1,$N$4:N53,N53),"")</f>
        <v/>
      </c>
      <c r="P53">
        <f>IF(G53="",0,IF(COUNTIF($G$4:G53,G53)=1,1,0))</f>
        <v>0</v>
      </c>
      <c r="Q53" t="str">
        <f>IF(P53=1,ROUND(SUMIF($G$4:$G$503,G53,$E$4:$E$503),2),"")</f>
        <v/>
      </c>
      <c r="R53" t="str">
        <f>IF(P53=1,COUNTIFS($P$4:$P$503,1,$Q$4:$Q$503,"&gt;"&amp;Q53)+COUNTIFS($P$4:P53,1,$Q$4:Q53,Q53),"")</f>
        <v/>
      </c>
      <c r="S53">
        <f>IF(H53="",0,IF(COUNTIF($H$4:H53,H53)=1,1,0))</f>
        <v>0</v>
      </c>
      <c r="T53" t="str">
        <f>IF(S53=1,ROUND(SUMIF($H$4:$H$503,H53,$E$4:$E$503),2),"")</f>
        <v/>
      </c>
      <c r="U53" t="str">
        <f>IF(S53=1,COUNTIFS($S$4:$S$503,1,$T$4:$T$503,"&gt;"&amp;T53)+COUNTIFS($S$4:S53,1,$T$4:T53,T53),"")</f>
        <v/>
      </c>
      <c r="V53" t="str">
        <f>IF(D53=1,MIN(INDEX($R$4:$R$503,MATCH(G53,$G$4:$G$503,0)),IF($AL$7&gt;9,9,999)),"")</f>
        <v/>
      </c>
      <c r="W53" s="166">
        <f>IF(OR($I53="",$E53=0),0,IF(OR($J53&lt;W$3,$I53&gt;W$2),0,IF($K53=0,IF(AND($I53&gt;=W$3,$I53&lt;=W$2),$E53,0),$E53*NETWORKDAYS(MAX($I53,W$3),MIN($J53,W$2),Data!$K$4:$K$203)/$K53)))</f>
        <v>0</v>
      </c>
      <c r="X53" s="166">
        <f>IF(OR($I53="",$E53=0),0,IF(OR($J53&lt;X$3,$I53&gt;X$2),0,IF($K53=0,IF(AND($I53&gt;=X$3,$I53&lt;=X$2),$E53,0),$E53*NETWORKDAYS(MAX($I53,X$3),MIN($J53,X$2),Data!$K$4:$K$203)/$K53)))</f>
        <v>0</v>
      </c>
      <c r="Y53" s="166">
        <f>IF(OR($I53="",$E53=0),0,IF(OR($J53&lt;Y$3,$I53&gt;Y$2),0,IF($K53=0,IF(AND($I53&gt;=Y$3,$I53&lt;=Y$2),$E53,0),$E53*NETWORKDAYS(MAX($I53,Y$3),MIN($J53,Y$2),Data!$K$4:$K$203)/$K53)))</f>
        <v>0</v>
      </c>
      <c r="Z53" s="166">
        <f>IF(OR($I53="",$E53=0),0,IF(OR($J53&lt;Z$3,$I53&gt;Z$2),0,IF($K53=0,IF(AND($I53&gt;=Z$3,$I53&lt;=Z$2),$E53,0),$E53*NETWORKDAYS(MAX($I53,Z$3),MIN($J53,Z$2),Data!$K$4:$K$203)/$K53)))</f>
        <v>0</v>
      </c>
      <c r="AA53" s="166">
        <f>IF(OR($I53="",$E53=0),0,IF(OR($J53&lt;AA$3,$I53&gt;AA$2),0,IF($K53=0,IF(AND($I53&gt;=AA$3,$I53&lt;=AA$2),$E53,0),$E53*NETWORKDAYS(MAX($I53,AA$3),MIN($J53,AA$2),Data!$K$4:$K$203)/$K53)))</f>
        <v>0</v>
      </c>
      <c r="AB53" s="166">
        <f>IF(OR($I53="",$E53=0),0,IF(OR($J53&lt;AB$3,$I53&gt;AB$2),0,IF($K53=0,IF(AND($I53&gt;=AB$3,$I53&lt;=AB$2),$E53,0),$E53*NETWORKDAYS(MAX($I53,AB$3),MIN($J53,AB$2),Data!$K$4:$K$203)/$K53)))</f>
        <v>0</v>
      </c>
      <c r="AC53" s="166">
        <f>IF(OR($I53="",$E53=0),0,IF(OR($J53&lt;AC$3,$I53&gt;AC$2),0,IF($K53=0,IF(AND($I53&gt;=AC$3,$I53&lt;=AC$2),$E53,0),$E53*NETWORKDAYS(MAX($I53,AC$3),MIN($J53,AC$2),Data!$K$4:$K$203)/$K53)))</f>
        <v>0</v>
      </c>
      <c r="AD53" s="166">
        <f>IF(OR($I53="",$E53=0),0,IF(OR($J53&lt;AD$3,$I53&gt;AD$2),0,IF($K53=0,IF(AND($I53&gt;=AD$3,$I53&lt;=AD$2),$E53,0),$E53*NETWORKDAYS(MAX($I53,AD$3),MIN($J53,AD$2),Data!$K$4:$K$203)/$K53)))</f>
        <v>0</v>
      </c>
      <c r="AE53" s="166">
        <f>IF(OR($I53="",$E53=0),0,IF(OR($J53&lt;AE$3,$I53&gt;AE$2),0,IF($K53=0,IF(AND($I53&gt;=AE$3,$I53&lt;=AE$2),$E53,0),$E53*NETWORKDAYS(MAX($I53,AE$3),MIN($J53,AE$2),Data!$K$4:$K$203)/$K53)))</f>
        <v>0</v>
      </c>
      <c r="AF53" s="166">
        <f>IF(OR($I53="",$E53=0),0,IF(OR($J53&lt;AF$3,$I53&gt;AF$2),0,IF($K53=0,IF(AND($I53&gt;=AF$3,$I53&lt;=AF$2),$E53,0),$E53*NETWORKDAYS(MAX($I53,AF$3),MIN($J53,AF$2),Data!$K$4:$K$203)/$K53)))</f>
        <v>0</v>
      </c>
      <c r="AG53" s="166">
        <f>IF(OR($I53="",$E53=0),0,IF(OR($J53&lt;AG$3,$I53&gt;AG$2),0,IF($K53=0,IF(AND($I53&gt;=AG$3,$I53&lt;=AG$2),$E53,0),$E53*NETWORKDAYS(MAX($I53,AG$3),MIN($J53,AG$2),Data!$K$4:$K$203)/$K53)))</f>
        <v>0</v>
      </c>
      <c r="AH53" s="166">
        <f>IF(OR($I53="",$E53=0),0,IF(OR($J53&lt;AH$3,$I53&gt;AH$2),0,IF($K53=0,IF(AND($I53&gt;=AH$3,$I53&lt;=AH$2),$E53,0),$E53*NETWORKDAYS(MAX($I53,AH$3),MIN($J53,AH$2),Data!$K$4:$K$203)/$K53)))</f>
        <v>0</v>
      </c>
      <c r="AI53" s="166">
        <f>SUM(W53:AH53)</f>
        <v>0</v>
      </c>
      <c r="BW53" t="n">
        <v>50</v>
      </c>
      <c r="BX53" t="str">
        <f>IFERROR(MATCH(BW53,$EQ$4:$EQ$503,0),"")</f>
        <v/>
      </c>
      <c r="BZ53" t="str">
        <f>IF(D53=1,IF(TRIM(INDEX(Charge!$K:$K,ROW()))&lt;&gt;"",TRIM(INDEX(Charge!$K:$K,ROW())),IF(TRIM(INDEX(Charge!$L:$L,ROW()))&lt;&gt;"",TRIM(INDEX(Charge!$L:$L,ROW())),"(non affecté)")),"")</f>
        <v/>
      </c>
      <c r="CA53" t="str">
        <f>IF(AND($CD$4&lt;&gt;"",BZ53=$CD$4),COUNTIFS($BZ$4:$BZ$503,$CD$4,$L$4:$L$503,"&lt;"&amp;L53)+1,"")</f>
        <v/>
      </c>
      <c r="EJ53" t="str">
        <f>TRIM(INDEX(Data!$E:$E,ROW()))</f>
        <v/>
      </c>
      <c r="EK53" t="str">
        <f>TRIM(INDEX(Data!$H:$H,ROW()))</f>
        <v/>
      </c>
      <c r="EM53" t="str">
        <f>IF(D53=1,IF(TRIM(INDEX(Charge!$K:$K,ROW()))&lt;&gt;"","Interne",IF(TRIM(INDEX(Charge!$L:$L,ROW()))&lt;&gt;"","Externe","Non affecté")),"")</f>
        <v/>
      </c>
      <c r="EN53" t="str">
        <f>IF(D53=1,LEFT(SUBSTITUTE(SUBSTITUTE(SUBSTITUTE(TRIM(SUBSTITUTE(INDEX(Charge!$B:$B,ROW()),CHAR(160)," "))&amp;" | "&amp;TRIM(SUBSTITUTE(INDEX(Charge!$C:$C,ROW()),CHAR(160)," "))&amp;" | "&amp;TRIM(SUBSTITUTE(INDEX(Charge!$D:$D,ROW()),CHAR(160)," ")),"~","-"),"*","+"),"?","!"),240),"")</f>
        <v/>
      </c>
      <c r="EO53">
        <f>IF(EN53="",0,IF(COUNTIF($EN$4:EN53,EN53)=1,1,0))</f>
        <v>0</v>
      </c>
      <c r="EP53" s="166" t="str">
        <f>IF(EO53=1,ROUND(SUMIF($EN$4:$EN$503,EN53,$E$4:$E$503),2),"")</f>
        <v/>
      </c>
      <c r="EQ53" t="str">
        <f>IF(EO53=1,COUNTIFS($EO$4:$EO$503,1,$EP$4:$EP$503,"&gt;"&amp;EP53)+COUNTIFS($EO$4:EO53,1,$EP$4:EP53,EP53),"")</f>
        <v/>
      </c>
      <c r="ER53" t="str">
        <f>IF(EO53=1,COUNTIFS($EN$4:$EN$503,EN53,$EM$4:$EM$503,"Interne",$FE$4:$FE$503,1),"")</f>
        <v/>
      </c>
      <c r="ES53" t="str">
        <f>IF(EO53=1,COUNTIFS($EN$4:$EN$503,EN53,$EM$4:$EM$503,"Externe",$FE$4:$FE$503,1),"")</f>
        <v/>
      </c>
      <c r="ET53" t="str">
        <f>IF(EO53=1,IF(ER53+ES53=0,"à affecter",IF(ER53=0,ES53&amp;" ext.",(ER53+ES53)&amp;IF(ES53&gt;0," dont "&amp;ES53&amp;" ext.",""))&amp;IF(COUNTIFS($EN$4:$EN$503,EN53,$EM$4:$EM$503,"Non affecté")&gt;0," + à affecter","")),"")</f>
        <v/>
      </c>
      <c r="EU53" s="170" t="str">
        <f>IF(EO53=1,IF(EP53&gt;0,SUMPRODUCT(($EN$4:$EN$503=EN53)*$E$4:$E$503*$C$4:$C$503)/EP53,AVERAGEIF($EN$4:$EN$503,EN53,$C$4:$C$503)),"")</f>
        <v/>
      </c>
      <c r="EV53" s="165">
        <f>IF(ISNUMBER(I53),I53,2958465)</f>
        <v>2958465.0</v>
      </c>
      <c r="EW53" s="165" t="str">
        <f>IF(EO53=1,SUMPRODUCT(MIN(($EN$4:$EN$503=EN53)*$EV$4:$EV$503+($EN$4:$EN$503&lt;&gt;EN53)*2958465)),"")</f>
        <v/>
      </c>
      <c r="EX53" s="165">
        <f>IF(AND(D53=1,ISNUMBER(INDEX(Charge!$F:$F,ROW()))),INDEX(Charge!$F:$F,ROW()),0)</f>
        <v>0.0</v>
      </c>
      <c r="EY53" s="165" t="str">
        <f>IF(EO53=1,SUMPRODUCT(MAX(($EN$4:$EN$503=EN53)*$EX$4:$EX$503)),"")</f>
        <v/>
      </c>
      <c r="FA53" t="str">
        <f>IF(50&lt;=$CD$23,INDEX($EJ$4:$EJ$203,50),IF(50-$CD$23&lt;=$CD$26,INDEX($EK$4:$EK$203,50-$CD$23),""))</f>
        <v/>
      </c>
      <c r="FB53" t="str">
        <f>IF(FA53="","",IF(50&lt;=$CD$23,"Interne","Externe"))</f>
        <v/>
      </c>
      <c r="FD53">
        <f>IF(AND(B53=1,TRIM(INDEX(Charge!$K:$K,ROW()))&lt;&gt;"",TRIM(INDEX(Charge!$L:$L,ROW()))&lt;&gt;""),1,0)</f>
        <v>0</v>
      </c>
      <c r="FE53">
        <f>IF(OR(EN53="",BZ53="(non affecté)"),0,IF(COUNTIFS($EN$4:EN53,EN53,$BZ$4:BZ53,BZ53)=1,1,0))</f>
        <v>0</v>
      </c>
    </row>
    <row r="54">
      <c r="A54">
        <f>ROW()</f>
        <v>54</v>
      </c>
      <c r="B54">
        <f>IF(TRIM(INDEX(Charge!$B:$B,ROW()))&lt;&gt;"",1,0)</f>
        <v>0</v>
      </c>
      <c r="C54">
        <f>IF(B54=1,MIN(1,MAX(0,N(INDEX(Charge!$O:$O,ROW())))),0)</f>
        <v>0</v>
      </c>
      <c r="D54">
        <f>IF(B54=1,IF(OR(p_Perimetre="Tous les projets",C54&lt;1),1,0),0)</f>
        <v>0</v>
      </c>
      <c r="E54">
        <f>IF(D54=1,MAX(0,N(INDEX(Charge!$M:$M,ROW()))),0)</f>
        <v>0</v>
      </c>
      <c r="F54" t="str">
        <f>IF(D54=1,IF(TRIM(INDEX(Charge!$A:$A,ROW()))="","(non renseigné)",TRIM(INDEX(Charge!$A:$A,ROW()))),"")</f>
        <v/>
      </c>
      <c r="G54" t="str">
        <f>IF(D54=1,TRIM(INDEX(Charge!$B:$B,ROW())),"")</f>
        <v/>
      </c>
      <c r="H54" t="str">
        <f>IF(D54=1,IF(TRIM(INDEX(Charge!$E:$E,ROW()))="","(non renseigné)",TRIM(INDEX(Charge!$E:$E,ROW()))),"")</f>
        <v/>
      </c>
      <c r="I54" s="165" t="str">
        <f>IF(AND(D54=1,ISNUMBER(INDEX(Charge!$N:$N,ROW()))),INDEX(Charge!$N:$N,ROW()),"")</f>
        <v/>
      </c>
      <c r="J54" s="165" t="str">
        <f>IF(I54="","",IF(AND(p_Repartition="Lissée jusqu'à la date de besoin",ISNUMBER(INDEX(Charge!$F:$F,ROW()))),IF(INDEX(Charge!$F:$F,ROW())&gt;=I54,INDEX(Charge!$F:$F,ROW()),I54),I54))</f>
        <v/>
      </c>
      <c r="K54" t="str">
        <f>IF(I54="","",NETWORKDAYS(I54,J54,Data!$K$4:$K$203))</f>
        <v/>
      </c>
      <c r="L54" t="str">
        <f>IF(D54=1,COUNTIFS($D$4:$D$503,1,$E$4:$E$503,"&gt;"&amp;E54)+COUNTIFS($D$4:$D54,1,$E$4:$E54,E54),"")</f>
        <v/>
      </c>
      <c r="M54">
        <f>IF(F54="",0,IF(COUNTIF($F$4:F54,F54)=1,1,0))</f>
        <v>0</v>
      </c>
      <c r="N54" t="str">
        <f>IF(M54=1,ROUND(SUMIF($F$4:$F$503,F54,$E$4:$E$503),2),"")</f>
        <v/>
      </c>
      <c r="O54" t="str">
        <f>IF(M54=1,COUNTIFS($M$4:$M$503,1,$N$4:$N$503,"&gt;"&amp;N54)+COUNTIFS($M$4:M54,1,$N$4:N54,N54),"")</f>
        <v/>
      </c>
      <c r="P54">
        <f>IF(G54="",0,IF(COUNTIF($G$4:G54,G54)=1,1,0))</f>
        <v>0</v>
      </c>
      <c r="Q54" t="str">
        <f>IF(P54=1,ROUND(SUMIF($G$4:$G$503,G54,$E$4:$E$503),2),"")</f>
        <v/>
      </c>
      <c r="R54" t="str">
        <f>IF(P54=1,COUNTIFS($P$4:$P$503,1,$Q$4:$Q$503,"&gt;"&amp;Q54)+COUNTIFS($P$4:P54,1,$Q$4:Q54,Q54),"")</f>
        <v/>
      </c>
      <c r="S54">
        <f>IF(H54="",0,IF(COUNTIF($H$4:H54,H54)=1,1,0))</f>
        <v>0</v>
      </c>
      <c r="T54" t="str">
        <f>IF(S54=1,ROUND(SUMIF($H$4:$H$503,H54,$E$4:$E$503),2),"")</f>
        <v/>
      </c>
      <c r="U54" t="str">
        <f>IF(S54=1,COUNTIFS($S$4:$S$503,1,$T$4:$T$503,"&gt;"&amp;T54)+COUNTIFS($S$4:S54,1,$T$4:T54,T54),"")</f>
        <v/>
      </c>
      <c r="V54" t="str">
        <f>IF(D54=1,MIN(INDEX($R$4:$R$503,MATCH(G54,$G$4:$G$503,0)),IF($AL$7&gt;9,9,999)),"")</f>
        <v/>
      </c>
      <c r="W54" s="166">
        <f>IF(OR($I54="",$E54=0),0,IF(OR($J54&lt;W$3,$I54&gt;W$2),0,IF($K54=0,IF(AND($I54&gt;=W$3,$I54&lt;=W$2),$E54,0),$E54*NETWORKDAYS(MAX($I54,W$3),MIN($J54,W$2),Data!$K$4:$K$203)/$K54)))</f>
        <v>0</v>
      </c>
      <c r="X54" s="166">
        <f>IF(OR($I54="",$E54=0),0,IF(OR($J54&lt;X$3,$I54&gt;X$2),0,IF($K54=0,IF(AND($I54&gt;=X$3,$I54&lt;=X$2),$E54,0),$E54*NETWORKDAYS(MAX($I54,X$3),MIN($J54,X$2),Data!$K$4:$K$203)/$K54)))</f>
        <v>0</v>
      </c>
      <c r="Y54" s="166">
        <f>IF(OR($I54="",$E54=0),0,IF(OR($J54&lt;Y$3,$I54&gt;Y$2),0,IF($K54=0,IF(AND($I54&gt;=Y$3,$I54&lt;=Y$2),$E54,0),$E54*NETWORKDAYS(MAX($I54,Y$3),MIN($J54,Y$2),Data!$K$4:$K$203)/$K54)))</f>
        <v>0</v>
      </c>
      <c r="Z54" s="166">
        <f>IF(OR($I54="",$E54=0),0,IF(OR($J54&lt;Z$3,$I54&gt;Z$2),0,IF($K54=0,IF(AND($I54&gt;=Z$3,$I54&lt;=Z$2),$E54,0),$E54*NETWORKDAYS(MAX($I54,Z$3),MIN($J54,Z$2),Data!$K$4:$K$203)/$K54)))</f>
        <v>0</v>
      </c>
      <c r="AA54" s="166">
        <f>IF(OR($I54="",$E54=0),0,IF(OR($J54&lt;AA$3,$I54&gt;AA$2),0,IF($K54=0,IF(AND($I54&gt;=AA$3,$I54&lt;=AA$2),$E54,0),$E54*NETWORKDAYS(MAX($I54,AA$3),MIN($J54,AA$2),Data!$K$4:$K$203)/$K54)))</f>
        <v>0</v>
      </c>
      <c r="AB54" s="166">
        <f>IF(OR($I54="",$E54=0),0,IF(OR($J54&lt;AB$3,$I54&gt;AB$2),0,IF($K54=0,IF(AND($I54&gt;=AB$3,$I54&lt;=AB$2),$E54,0),$E54*NETWORKDAYS(MAX($I54,AB$3),MIN($J54,AB$2),Data!$K$4:$K$203)/$K54)))</f>
        <v>0</v>
      </c>
      <c r="AC54" s="166">
        <f>IF(OR($I54="",$E54=0),0,IF(OR($J54&lt;AC$3,$I54&gt;AC$2),0,IF($K54=0,IF(AND($I54&gt;=AC$3,$I54&lt;=AC$2),$E54,0),$E54*NETWORKDAYS(MAX($I54,AC$3),MIN($J54,AC$2),Data!$K$4:$K$203)/$K54)))</f>
        <v>0</v>
      </c>
      <c r="AD54" s="166">
        <f>IF(OR($I54="",$E54=0),0,IF(OR($J54&lt;AD$3,$I54&gt;AD$2),0,IF($K54=0,IF(AND($I54&gt;=AD$3,$I54&lt;=AD$2),$E54,0),$E54*NETWORKDAYS(MAX($I54,AD$3),MIN($J54,AD$2),Data!$K$4:$K$203)/$K54)))</f>
        <v>0</v>
      </c>
      <c r="AE54" s="166">
        <f>IF(OR($I54="",$E54=0),0,IF(OR($J54&lt;AE$3,$I54&gt;AE$2),0,IF($K54=0,IF(AND($I54&gt;=AE$3,$I54&lt;=AE$2),$E54,0),$E54*NETWORKDAYS(MAX($I54,AE$3),MIN($J54,AE$2),Data!$K$4:$K$203)/$K54)))</f>
        <v>0</v>
      </c>
      <c r="AF54" s="166">
        <f>IF(OR($I54="",$E54=0),0,IF(OR($J54&lt;AF$3,$I54&gt;AF$2),0,IF($K54=0,IF(AND($I54&gt;=AF$3,$I54&lt;=AF$2),$E54,0),$E54*NETWORKDAYS(MAX($I54,AF$3),MIN($J54,AF$2),Data!$K$4:$K$203)/$K54)))</f>
        <v>0</v>
      </c>
      <c r="AG54" s="166">
        <f>IF(OR($I54="",$E54=0),0,IF(OR($J54&lt;AG$3,$I54&gt;AG$2),0,IF($K54=0,IF(AND($I54&gt;=AG$3,$I54&lt;=AG$2),$E54,0),$E54*NETWORKDAYS(MAX($I54,AG$3),MIN($J54,AG$2),Data!$K$4:$K$203)/$K54)))</f>
        <v>0</v>
      </c>
      <c r="AH54" s="166">
        <f>IF(OR($I54="",$E54=0),0,IF(OR($J54&lt;AH$3,$I54&gt;AH$2),0,IF($K54=0,IF(AND($I54&gt;=AH$3,$I54&lt;=AH$2),$E54,0),$E54*NETWORKDAYS(MAX($I54,AH$3),MIN($J54,AH$2),Data!$K$4:$K$203)/$K54)))</f>
        <v>0</v>
      </c>
      <c r="AI54" s="166">
        <f>SUM(W54:AH54)</f>
        <v>0</v>
      </c>
      <c r="BW54" t="n">
        <v>51</v>
      </c>
      <c r="BX54" t="str">
        <f>IFERROR(MATCH(BW54,$EQ$4:$EQ$503,0),"")</f>
        <v/>
      </c>
      <c r="BZ54" t="str">
        <f>IF(D54=1,IF(TRIM(INDEX(Charge!$K:$K,ROW()))&lt;&gt;"",TRIM(INDEX(Charge!$K:$K,ROW())),IF(TRIM(INDEX(Charge!$L:$L,ROW()))&lt;&gt;"",TRIM(INDEX(Charge!$L:$L,ROW())),"(non affecté)")),"")</f>
        <v/>
      </c>
      <c r="CA54" t="str">
        <f>IF(AND($CD$4&lt;&gt;"",BZ54=$CD$4),COUNTIFS($BZ$4:$BZ$503,$CD$4,$L$4:$L$503,"&lt;"&amp;L54)+1,"")</f>
        <v/>
      </c>
      <c r="EJ54" t="str">
        <f>TRIM(INDEX(Data!$E:$E,ROW()))</f>
        <v/>
      </c>
      <c r="EK54" t="str">
        <f>TRIM(INDEX(Data!$H:$H,ROW()))</f>
        <v/>
      </c>
      <c r="EM54" t="str">
        <f>IF(D54=1,IF(TRIM(INDEX(Charge!$K:$K,ROW()))&lt;&gt;"","Interne",IF(TRIM(INDEX(Charge!$L:$L,ROW()))&lt;&gt;"","Externe","Non affecté")),"")</f>
        <v/>
      </c>
      <c r="EN54" t="str">
        <f>IF(D54=1,LEFT(SUBSTITUTE(SUBSTITUTE(SUBSTITUTE(TRIM(SUBSTITUTE(INDEX(Charge!$B:$B,ROW()),CHAR(160)," "))&amp;" | "&amp;TRIM(SUBSTITUTE(INDEX(Charge!$C:$C,ROW()),CHAR(160)," "))&amp;" | "&amp;TRIM(SUBSTITUTE(INDEX(Charge!$D:$D,ROW()),CHAR(160)," ")),"~","-"),"*","+"),"?","!"),240),"")</f>
        <v/>
      </c>
      <c r="EO54">
        <f>IF(EN54="",0,IF(COUNTIF($EN$4:EN54,EN54)=1,1,0))</f>
        <v>0</v>
      </c>
      <c r="EP54" s="166" t="str">
        <f>IF(EO54=1,ROUND(SUMIF($EN$4:$EN$503,EN54,$E$4:$E$503),2),"")</f>
        <v/>
      </c>
      <c r="EQ54" t="str">
        <f>IF(EO54=1,COUNTIFS($EO$4:$EO$503,1,$EP$4:$EP$503,"&gt;"&amp;EP54)+COUNTIFS($EO$4:EO54,1,$EP$4:EP54,EP54),"")</f>
        <v/>
      </c>
      <c r="ER54" t="str">
        <f>IF(EO54=1,COUNTIFS($EN$4:$EN$503,EN54,$EM$4:$EM$503,"Interne",$FE$4:$FE$503,1),"")</f>
        <v/>
      </c>
      <c r="ES54" t="str">
        <f>IF(EO54=1,COUNTIFS($EN$4:$EN$503,EN54,$EM$4:$EM$503,"Externe",$FE$4:$FE$503,1),"")</f>
        <v/>
      </c>
      <c r="ET54" t="str">
        <f>IF(EO54=1,IF(ER54+ES54=0,"à affecter",IF(ER54=0,ES54&amp;" ext.",(ER54+ES54)&amp;IF(ES54&gt;0," dont "&amp;ES54&amp;" ext.",""))&amp;IF(COUNTIFS($EN$4:$EN$503,EN54,$EM$4:$EM$503,"Non affecté")&gt;0," + à affecter","")),"")</f>
        <v/>
      </c>
      <c r="EU54" s="170" t="str">
        <f>IF(EO54=1,IF(EP54&gt;0,SUMPRODUCT(($EN$4:$EN$503=EN54)*$E$4:$E$503*$C$4:$C$503)/EP54,AVERAGEIF($EN$4:$EN$503,EN54,$C$4:$C$503)),"")</f>
        <v/>
      </c>
      <c r="EV54" s="165">
        <f>IF(ISNUMBER(I54),I54,2958465)</f>
        <v>2958465.0</v>
      </c>
      <c r="EW54" s="165" t="str">
        <f>IF(EO54=1,SUMPRODUCT(MIN(($EN$4:$EN$503=EN54)*$EV$4:$EV$503+($EN$4:$EN$503&lt;&gt;EN54)*2958465)),"")</f>
        <v/>
      </c>
      <c r="EX54" s="165">
        <f>IF(AND(D54=1,ISNUMBER(INDEX(Charge!$F:$F,ROW()))),INDEX(Charge!$F:$F,ROW()),0)</f>
        <v>0.0</v>
      </c>
      <c r="EY54" s="165" t="str">
        <f>IF(EO54=1,SUMPRODUCT(MAX(($EN$4:$EN$503=EN54)*$EX$4:$EX$503)),"")</f>
        <v/>
      </c>
      <c r="FA54" t="str">
        <f>IF(51&lt;=$CD$23,INDEX($EJ$4:$EJ$203,51),IF(51-$CD$23&lt;=$CD$26,INDEX($EK$4:$EK$203,51-$CD$23),""))</f>
        <v/>
      </c>
      <c r="FB54" t="str">
        <f>IF(FA54="","",IF(51&lt;=$CD$23,"Interne","Externe"))</f>
        <v/>
      </c>
      <c r="FD54">
        <f>IF(AND(B54=1,TRIM(INDEX(Charge!$K:$K,ROW()))&lt;&gt;"",TRIM(INDEX(Charge!$L:$L,ROW()))&lt;&gt;""),1,0)</f>
        <v>0</v>
      </c>
      <c r="FE54">
        <f>IF(OR(EN54="",BZ54="(non affecté)"),0,IF(COUNTIFS($EN$4:EN54,EN54,$BZ$4:BZ54,BZ54)=1,1,0))</f>
        <v>0</v>
      </c>
    </row>
    <row r="55">
      <c r="A55">
        <f>ROW()</f>
        <v>55</v>
      </c>
      <c r="B55">
        <f>IF(TRIM(INDEX(Charge!$B:$B,ROW()))&lt;&gt;"",1,0)</f>
        <v>0</v>
      </c>
      <c r="C55">
        <f>IF(B55=1,MIN(1,MAX(0,N(INDEX(Charge!$O:$O,ROW())))),0)</f>
        <v>0</v>
      </c>
      <c r="D55">
        <f>IF(B55=1,IF(OR(p_Perimetre="Tous les projets",C55&lt;1),1,0),0)</f>
        <v>0</v>
      </c>
      <c r="E55">
        <f>IF(D55=1,MAX(0,N(INDEX(Charge!$M:$M,ROW()))),0)</f>
        <v>0</v>
      </c>
      <c r="F55" t="str">
        <f>IF(D55=1,IF(TRIM(INDEX(Charge!$A:$A,ROW()))="","(non renseigné)",TRIM(INDEX(Charge!$A:$A,ROW()))),"")</f>
        <v/>
      </c>
      <c r="G55" t="str">
        <f>IF(D55=1,TRIM(INDEX(Charge!$B:$B,ROW())),"")</f>
        <v/>
      </c>
      <c r="H55" t="str">
        <f>IF(D55=1,IF(TRIM(INDEX(Charge!$E:$E,ROW()))="","(non renseigné)",TRIM(INDEX(Charge!$E:$E,ROW()))),"")</f>
        <v/>
      </c>
      <c r="I55" s="165" t="str">
        <f>IF(AND(D55=1,ISNUMBER(INDEX(Charge!$N:$N,ROW()))),INDEX(Charge!$N:$N,ROW()),"")</f>
        <v/>
      </c>
      <c r="J55" s="165" t="str">
        <f>IF(I55="","",IF(AND(p_Repartition="Lissée jusqu'à la date de besoin",ISNUMBER(INDEX(Charge!$F:$F,ROW()))),IF(INDEX(Charge!$F:$F,ROW())&gt;=I55,INDEX(Charge!$F:$F,ROW()),I55),I55))</f>
        <v/>
      </c>
      <c r="K55" t="str">
        <f>IF(I55="","",NETWORKDAYS(I55,J55,Data!$K$4:$K$203))</f>
        <v/>
      </c>
      <c r="L55" t="str">
        <f>IF(D55=1,COUNTIFS($D$4:$D$503,1,$E$4:$E$503,"&gt;"&amp;E55)+COUNTIFS($D$4:$D55,1,$E$4:$E55,E55),"")</f>
        <v/>
      </c>
      <c r="M55">
        <f>IF(F55="",0,IF(COUNTIF($F$4:F55,F55)=1,1,0))</f>
        <v>0</v>
      </c>
      <c r="N55" t="str">
        <f>IF(M55=1,ROUND(SUMIF($F$4:$F$503,F55,$E$4:$E$503),2),"")</f>
        <v/>
      </c>
      <c r="O55" t="str">
        <f>IF(M55=1,COUNTIFS($M$4:$M$503,1,$N$4:$N$503,"&gt;"&amp;N55)+COUNTIFS($M$4:M55,1,$N$4:N55,N55),"")</f>
        <v/>
      </c>
      <c r="P55">
        <f>IF(G55="",0,IF(COUNTIF($G$4:G55,G55)=1,1,0))</f>
        <v>0</v>
      </c>
      <c r="Q55" t="str">
        <f>IF(P55=1,ROUND(SUMIF($G$4:$G$503,G55,$E$4:$E$503),2),"")</f>
        <v/>
      </c>
      <c r="R55" t="str">
        <f>IF(P55=1,COUNTIFS($P$4:$P$503,1,$Q$4:$Q$503,"&gt;"&amp;Q55)+COUNTIFS($P$4:P55,1,$Q$4:Q55,Q55),"")</f>
        <v/>
      </c>
      <c r="S55">
        <f>IF(H55="",0,IF(COUNTIF($H$4:H55,H55)=1,1,0))</f>
        <v>0</v>
      </c>
      <c r="T55" t="str">
        <f>IF(S55=1,ROUND(SUMIF($H$4:$H$503,H55,$E$4:$E$503),2),"")</f>
        <v/>
      </c>
      <c r="U55" t="str">
        <f>IF(S55=1,COUNTIFS($S$4:$S$503,1,$T$4:$T$503,"&gt;"&amp;T55)+COUNTIFS($S$4:S55,1,$T$4:T55,T55),"")</f>
        <v/>
      </c>
      <c r="V55" t="str">
        <f>IF(D55=1,MIN(INDEX($R$4:$R$503,MATCH(G55,$G$4:$G$503,0)),IF($AL$7&gt;9,9,999)),"")</f>
        <v/>
      </c>
      <c r="W55" s="166">
        <f>IF(OR($I55="",$E55=0),0,IF(OR($J55&lt;W$3,$I55&gt;W$2),0,IF($K55=0,IF(AND($I55&gt;=W$3,$I55&lt;=W$2),$E55,0),$E55*NETWORKDAYS(MAX($I55,W$3),MIN($J55,W$2),Data!$K$4:$K$203)/$K55)))</f>
        <v>0</v>
      </c>
      <c r="X55" s="166">
        <f>IF(OR($I55="",$E55=0),0,IF(OR($J55&lt;X$3,$I55&gt;X$2),0,IF($K55=0,IF(AND($I55&gt;=X$3,$I55&lt;=X$2),$E55,0),$E55*NETWORKDAYS(MAX($I55,X$3),MIN($J55,X$2),Data!$K$4:$K$203)/$K55)))</f>
        <v>0</v>
      </c>
      <c r="Y55" s="166">
        <f>IF(OR($I55="",$E55=0),0,IF(OR($J55&lt;Y$3,$I55&gt;Y$2),0,IF($K55=0,IF(AND($I55&gt;=Y$3,$I55&lt;=Y$2),$E55,0),$E55*NETWORKDAYS(MAX($I55,Y$3),MIN($J55,Y$2),Data!$K$4:$K$203)/$K55)))</f>
        <v>0</v>
      </c>
      <c r="Z55" s="166">
        <f>IF(OR($I55="",$E55=0),0,IF(OR($J55&lt;Z$3,$I55&gt;Z$2),0,IF($K55=0,IF(AND($I55&gt;=Z$3,$I55&lt;=Z$2),$E55,0),$E55*NETWORKDAYS(MAX($I55,Z$3),MIN($J55,Z$2),Data!$K$4:$K$203)/$K55)))</f>
        <v>0</v>
      </c>
      <c r="AA55" s="166">
        <f>IF(OR($I55="",$E55=0),0,IF(OR($J55&lt;AA$3,$I55&gt;AA$2),0,IF($K55=0,IF(AND($I55&gt;=AA$3,$I55&lt;=AA$2),$E55,0),$E55*NETWORKDAYS(MAX($I55,AA$3),MIN($J55,AA$2),Data!$K$4:$K$203)/$K55)))</f>
        <v>0</v>
      </c>
      <c r="AB55" s="166">
        <f>IF(OR($I55="",$E55=0),0,IF(OR($J55&lt;AB$3,$I55&gt;AB$2),0,IF($K55=0,IF(AND($I55&gt;=AB$3,$I55&lt;=AB$2),$E55,0),$E55*NETWORKDAYS(MAX($I55,AB$3),MIN($J55,AB$2),Data!$K$4:$K$203)/$K55)))</f>
        <v>0</v>
      </c>
      <c r="AC55" s="166">
        <f>IF(OR($I55="",$E55=0),0,IF(OR($J55&lt;AC$3,$I55&gt;AC$2),0,IF($K55=0,IF(AND($I55&gt;=AC$3,$I55&lt;=AC$2),$E55,0),$E55*NETWORKDAYS(MAX($I55,AC$3),MIN($J55,AC$2),Data!$K$4:$K$203)/$K55)))</f>
        <v>0</v>
      </c>
      <c r="AD55" s="166">
        <f>IF(OR($I55="",$E55=0),0,IF(OR($J55&lt;AD$3,$I55&gt;AD$2),0,IF($K55=0,IF(AND($I55&gt;=AD$3,$I55&lt;=AD$2),$E55,0),$E55*NETWORKDAYS(MAX($I55,AD$3),MIN($J55,AD$2),Data!$K$4:$K$203)/$K55)))</f>
        <v>0</v>
      </c>
      <c r="AE55" s="166">
        <f>IF(OR($I55="",$E55=0),0,IF(OR($J55&lt;AE$3,$I55&gt;AE$2),0,IF($K55=0,IF(AND($I55&gt;=AE$3,$I55&lt;=AE$2),$E55,0),$E55*NETWORKDAYS(MAX($I55,AE$3),MIN($J55,AE$2),Data!$K$4:$K$203)/$K55)))</f>
        <v>0</v>
      </c>
      <c r="AF55" s="166">
        <f>IF(OR($I55="",$E55=0),0,IF(OR($J55&lt;AF$3,$I55&gt;AF$2),0,IF($K55=0,IF(AND($I55&gt;=AF$3,$I55&lt;=AF$2),$E55,0),$E55*NETWORKDAYS(MAX($I55,AF$3),MIN($J55,AF$2),Data!$K$4:$K$203)/$K55)))</f>
        <v>0</v>
      </c>
      <c r="AG55" s="166">
        <f>IF(OR($I55="",$E55=0),0,IF(OR($J55&lt;AG$3,$I55&gt;AG$2),0,IF($K55=0,IF(AND($I55&gt;=AG$3,$I55&lt;=AG$2),$E55,0),$E55*NETWORKDAYS(MAX($I55,AG$3),MIN($J55,AG$2),Data!$K$4:$K$203)/$K55)))</f>
        <v>0</v>
      </c>
      <c r="AH55" s="166">
        <f>IF(OR($I55="",$E55=0),0,IF(OR($J55&lt;AH$3,$I55&gt;AH$2),0,IF($K55=0,IF(AND($I55&gt;=AH$3,$I55&lt;=AH$2),$E55,0),$E55*NETWORKDAYS(MAX($I55,AH$3),MIN($J55,AH$2),Data!$K$4:$K$203)/$K55)))</f>
        <v>0</v>
      </c>
      <c r="AI55" s="166">
        <f>SUM(W55:AH55)</f>
        <v>0</v>
      </c>
      <c r="BW55" t="n">
        <v>52</v>
      </c>
      <c r="BX55" t="str">
        <f>IFERROR(MATCH(BW55,$EQ$4:$EQ$503,0),"")</f>
        <v/>
      </c>
      <c r="BZ55" t="str">
        <f>IF(D55=1,IF(TRIM(INDEX(Charge!$K:$K,ROW()))&lt;&gt;"",TRIM(INDEX(Charge!$K:$K,ROW())),IF(TRIM(INDEX(Charge!$L:$L,ROW()))&lt;&gt;"",TRIM(INDEX(Charge!$L:$L,ROW())),"(non affecté)")),"")</f>
        <v/>
      </c>
      <c r="CA55" t="str">
        <f>IF(AND($CD$4&lt;&gt;"",BZ55=$CD$4),COUNTIFS($BZ$4:$BZ$503,$CD$4,$L$4:$L$503,"&lt;"&amp;L55)+1,"")</f>
        <v/>
      </c>
      <c r="EJ55" t="str">
        <f>TRIM(INDEX(Data!$E:$E,ROW()))</f>
        <v/>
      </c>
      <c r="EK55" t="str">
        <f>TRIM(INDEX(Data!$H:$H,ROW()))</f>
        <v/>
      </c>
      <c r="EM55" t="str">
        <f>IF(D55=1,IF(TRIM(INDEX(Charge!$K:$K,ROW()))&lt;&gt;"","Interne",IF(TRIM(INDEX(Charge!$L:$L,ROW()))&lt;&gt;"","Externe","Non affecté")),"")</f>
        <v/>
      </c>
      <c r="EN55" t="str">
        <f>IF(D55=1,LEFT(SUBSTITUTE(SUBSTITUTE(SUBSTITUTE(TRIM(SUBSTITUTE(INDEX(Charge!$B:$B,ROW()),CHAR(160)," "))&amp;" | "&amp;TRIM(SUBSTITUTE(INDEX(Charge!$C:$C,ROW()),CHAR(160)," "))&amp;" | "&amp;TRIM(SUBSTITUTE(INDEX(Charge!$D:$D,ROW()),CHAR(160)," ")),"~","-"),"*","+"),"?","!"),240),"")</f>
        <v/>
      </c>
      <c r="EO55">
        <f>IF(EN55="",0,IF(COUNTIF($EN$4:EN55,EN55)=1,1,0))</f>
        <v>0</v>
      </c>
      <c r="EP55" s="166" t="str">
        <f>IF(EO55=1,ROUND(SUMIF($EN$4:$EN$503,EN55,$E$4:$E$503),2),"")</f>
        <v/>
      </c>
      <c r="EQ55" t="str">
        <f>IF(EO55=1,COUNTIFS($EO$4:$EO$503,1,$EP$4:$EP$503,"&gt;"&amp;EP55)+COUNTIFS($EO$4:EO55,1,$EP$4:EP55,EP55),"")</f>
        <v/>
      </c>
      <c r="ER55" t="str">
        <f>IF(EO55=1,COUNTIFS($EN$4:$EN$503,EN55,$EM$4:$EM$503,"Interne",$FE$4:$FE$503,1),"")</f>
        <v/>
      </c>
      <c r="ES55" t="str">
        <f>IF(EO55=1,COUNTIFS($EN$4:$EN$503,EN55,$EM$4:$EM$503,"Externe",$FE$4:$FE$503,1),"")</f>
        <v/>
      </c>
      <c r="ET55" t="str">
        <f>IF(EO55=1,IF(ER55+ES55=0,"à affecter",IF(ER55=0,ES55&amp;" ext.",(ER55+ES55)&amp;IF(ES55&gt;0," dont "&amp;ES55&amp;" ext.",""))&amp;IF(COUNTIFS($EN$4:$EN$503,EN55,$EM$4:$EM$503,"Non affecté")&gt;0," + à affecter","")),"")</f>
        <v/>
      </c>
      <c r="EU55" s="170" t="str">
        <f>IF(EO55=1,IF(EP55&gt;0,SUMPRODUCT(($EN$4:$EN$503=EN55)*$E$4:$E$503*$C$4:$C$503)/EP55,AVERAGEIF($EN$4:$EN$503,EN55,$C$4:$C$503)),"")</f>
        <v/>
      </c>
      <c r="EV55" s="165">
        <f>IF(ISNUMBER(I55),I55,2958465)</f>
        <v>2958465.0</v>
      </c>
      <c r="EW55" s="165" t="str">
        <f>IF(EO55=1,SUMPRODUCT(MIN(($EN$4:$EN$503=EN55)*$EV$4:$EV$503+($EN$4:$EN$503&lt;&gt;EN55)*2958465)),"")</f>
        <v/>
      </c>
      <c r="EX55" s="165">
        <f>IF(AND(D55=1,ISNUMBER(INDEX(Charge!$F:$F,ROW()))),INDEX(Charge!$F:$F,ROW()),0)</f>
        <v>0.0</v>
      </c>
      <c r="EY55" s="165" t="str">
        <f>IF(EO55=1,SUMPRODUCT(MAX(($EN$4:$EN$503=EN55)*$EX$4:$EX$503)),"")</f>
        <v/>
      </c>
      <c r="FA55" t="str">
        <f>IF(52&lt;=$CD$23,INDEX($EJ$4:$EJ$203,52),IF(52-$CD$23&lt;=$CD$26,INDEX($EK$4:$EK$203,52-$CD$23),""))</f>
        <v/>
      </c>
      <c r="FB55" t="str">
        <f>IF(FA55="","",IF(52&lt;=$CD$23,"Interne","Externe"))</f>
        <v/>
      </c>
      <c r="FD55">
        <f>IF(AND(B55=1,TRIM(INDEX(Charge!$K:$K,ROW()))&lt;&gt;"",TRIM(INDEX(Charge!$L:$L,ROW()))&lt;&gt;""),1,0)</f>
        <v>0</v>
      </c>
      <c r="FE55">
        <f>IF(OR(EN55="",BZ55="(non affecté)"),0,IF(COUNTIFS($EN$4:EN55,EN55,$BZ$4:BZ55,BZ55)=1,1,0))</f>
        <v>0</v>
      </c>
    </row>
    <row r="56">
      <c r="A56">
        <f>ROW()</f>
        <v>56</v>
      </c>
      <c r="B56">
        <f>IF(TRIM(INDEX(Charge!$B:$B,ROW()))&lt;&gt;"",1,0)</f>
        <v>0</v>
      </c>
      <c r="C56">
        <f>IF(B56=1,MIN(1,MAX(0,N(INDEX(Charge!$O:$O,ROW())))),0)</f>
        <v>0</v>
      </c>
      <c r="D56">
        <f>IF(B56=1,IF(OR(p_Perimetre="Tous les projets",C56&lt;1),1,0),0)</f>
        <v>0</v>
      </c>
      <c r="E56">
        <f>IF(D56=1,MAX(0,N(INDEX(Charge!$M:$M,ROW()))),0)</f>
        <v>0</v>
      </c>
      <c r="F56" t="str">
        <f>IF(D56=1,IF(TRIM(INDEX(Charge!$A:$A,ROW()))="","(non renseigné)",TRIM(INDEX(Charge!$A:$A,ROW()))),"")</f>
        <v/>
      </c>
      <c r="G56" t="str">
        <f>IF(D56=1,TRIM(INDEX(Charge!$B:$B,ROW())),"")</f>
        <v/>
      </c>
      <c r="H56" t="str">
        <f>IF(D56=1,IF(TRIM(INDEX(Charge!$E:$E,ROW()))="","(non renseigné)",TRIM(INDEX(Charge!$E:$E,ROW()))),"")</f>
        <v/>
      </c>
      <c r="I56" s="165" t="str">
        <f>IF(AND(D56=1,ISNUMBER(INDEX(Charge!$N:$N,ROW()))),INDEX(Charge!$N:$N,ROW()),"")</f>
        <v/>
      </c>
      <c r="J56" s="165" t="str">
        <f>IF(I56="","",IF(AND(p_Repartition="Lissée jusqu'à la date de besoin",ISNUMBER(INDEX(Charge!$F:$F,ROW()))),IF(INDEX(Charge!$F:$F,ROW())&gt;=I56,INDEX(Charge!$F:$F,ROW()),I56),I56))</f>
        <v/>
      </c>
      <c r="K56" t="str">
        <f>IF(I56="","",NETWORKDAYS(I56,J56,Data!$K$4:$K$203))</f>
        <v/>
      </c>
      <c r="L56" t="str">
        <f>IF(D56=1,COUNTIFS($D$4:$D$503,1,$E$4:$E$503,"&gt;"&amp;E56)+COUNTIFS($D$4:$D56,1,$E$4:$E56,E56),"")</f>
        <v/>
      </c>
      <c r="M56">
        <f>IF(F56="",0,IF(COUNTIF($F$4:F56,F56)=1,1,0))</f>
        <v>0</v>
      </c>
      <c r="N56" t="str">
        <f>IF(M56=1,ROUND(SUMIF($F$4:$F$503,F56,$E$4:$E$503),2),"")</f>
        <v/>
      </c>
      <c r="O56" t="str">
        <f>IF(M56=1,COUNTIFS($M$4:$M$503,1,$N$4:$N$503,"&gt;"&amp;N56)+COUNTIFS($M$4:M56,1,$N$4:N56,N56),"")</f>
        <v/>
      </c>
      <c r="P56">
        <f>IF(G56="",0,IF(COUNTIF($G$4:G56,G56)=1,1,0))</f>
        <v>0</v>
      </c>
      <c r="Q56" t="str">
        <f>IF(P56=1,ROUND(SUMIF($G$4:$G$503,G56,$E$4:$E$503),2),"")</f>
        <v/>
      </c>
      <c r="R56" t="str">
        <f>IF(P56=1,COUNTIFS($P$4:$P$503,1,$Q$4:$Q$503,"&gt;"&amp;Q56)+COUNTIFS($P$4:P56,1,$Q$4:Q56,Q56),"")</f>
        <v/>
      </c>
      <c r="S56">
        <f>IF(H56="",0,IF(COUNTIF($H$4:H56,H56)=1,1,0))</f>
        <v>0</v>
      </c>
      <c r="T56" t="str">
        <f>IF(S56=1,ROUND(SUMIF($H$4:$H$503,H56,$E$4:$E$503),2),"")</f>
        <v/>
      </c>
      <c r="U56" t="str">
        <f>IF(S56=1,COUNTIFS($S$4:$S$503,1,$T$4:$T$503,"&gt;"&amp;T56)+COUNTIFS($S$4:S56,1,$T$4:T56,T56),"")</f>
        <v/>
      </c>
      <c r="V56" t="str">
        <f>IF(D56=1,MIN(INDEX($R$4:$R$503,MATCH(G56,$G$4:$G$503,0)),IF($AL$7&gt;9,9,999)),"")</f>
        <v/>
      </c>
      <c r="W56" s="166">
        <f>IF(OR($I56="",$E56=0),0,IF(OR($J56&lt;W$3,$I56&gt;W$2),0,IF($K56=0,IF(AND($I56&gt;=W$3,$I56&lt;=W$2),$E56,0),$E56*NETWORKDAYS(MAX($I56,W$3),MIN($J56,W$2),Data!$K$4:$K$203)/$K56)))</f>
        <v>0</v>
      </c>
      <c r="X56" s="166">
        <f>IF(OR($I56="",$E56=0),0,IF(OR($J56&lt;X$3,$I56&gt;X$2),0,IF($K56=0,IF(AND($I56&gt;=X$3,$I56&lt;=X$2),$E56,0),$E56*NETWORKDAYS(MAX($I56,X$3),MIN($J56,X$2),Data!$K$4:$K$203)/$K56)))</f>
        <v>0</v>
      </c>
      <c r="Y56" s="166">
        <f>IF(OR($I56="",$E56=0),0,IF(OR($J56&lt;Y$3,$I56&gt;Y$2),0,IF($K56=0,IF(AND($I56&gt;=Y$3,$I56&lt;=Y$2),$E56,0),$E56*NETWORKDAYS(MAX($I56,Y$3),MIN($J56,Y$2),Data!$K$4:$K$203)/$K56)))</f>
        <v>0</v>
      </c>
      <c r="Z56" s="166">
        <f>IF(OR($I56="",$E56=0),0,IF(OR($J56&lt;Z$3,$I56&gt;Z$2),0,IF($K56=0,IF(AND($I56&gt;=Z$3,$I56&lt;=Z$2),$E56,0),$E56*NETWORKDAYS(MAX($I56,Z$3),MIN($J56,Z$2),Data!$K$4:$K$203)/$K56)))</f>
        <v>0</v>
      </c>
      <c r="AA56" s="166">
        <f>IF(OR($I56="",$E56=0),0,IF(OR($J56&lt;AA$3,$I56&gt;AA$2),0,IF($K56=0,IF(AND($I56&gt;=AA$3,$I56&lt;=AA$2),$E56,0),$E56*NETWORKDAYS(MAX($I56,AA$3),MIN($J56,AA$2),Data!$K$4:$K$203)/$K56)))</f>
        <v>0</v>
      </c>
      <c r="AB56" s="166">
        <f>IF(OR($I56="",$E56=0),0,IF(OR($J56&lt;AB$3,$I56&gt;AB$2),0,IF($K56=0,IF(AND($I56&gt;=AB$3,$I56&lt;=AB$2),$E56,0),$E56*NETWORKDAYS(MAX($I56,AB$3),MIN($J56,AB$2),Data!$K$4:$K$203)/$K56)))</f>
        <v>0</v>
      </c>
      <c r="AC56" s="166">
        <f>IF(OR($I56="",$E56=0),0,IF(OR($J56&lt;AC$3,$I56&gt;AC$2),0,IF($K56=0,IF(AND($I56&gt;=AC$3,$I56&lt;=AC$2),$E56,0),$E56*NETWORKDAYS(MAX($I56,AC$3),MIN($J56,AC$2),Data!$K$4:$K$203)/$K56)))</f>
        <v>0</v>
      </c>
      <c r="AD56" s="166">
        <f>IF(OR($I56="",$E56=0),0,IF(OR($J56&lt;AD$3,$I56&gt;AD$2),0,IF($K56=0,IF(AND($I56&gt;=AD$3,$I56&lt;=AD$2),$E56,0),$E56*NETWORKDAYS(MAX($I56,AD$3),MIN($J56,AD$2),Data!$K$4:$K$203)/$K56)))</f>
        <v>0</v>
      </c>
      <c r="AE56" s="166">
        <f>IF(OR($I56="",$E56=0),0,IF(OR($J56&lt;AE$3,$I56&gt;AE$2),0,IF($K56=0,IF(AND($I56&gt;=AE$3,$I56&lt;=AE$2),$E56,0),$E56*NETWORKDAYS(MAX($I56,AE$3),MIN($J56,AE$2),Data!$K$4:$K$203)/$K56)))</f>
        <v>0</v>
      </c>
      <c r="AF56" s="166">
        <f>IF(OR($I56="",$E56=0),0,IF(OR($J56&lt;AF$3,$I56&gt;AF$2),0,IF($K56=0,IF(AND($I56&gt;=AF$3,$I56&lt;=AF$2),$E56,0),$E56*NETWORKDAYS(MAX($I56,AF$3),MIN($J56,AF$2),Data!$K$4:$K$203)/$K56)))</f>
        <v>0</v>
      </c>
      <c r="AG56" s="166">
        <f>IF(OR($I56="",$E56=0),0,IF(OR($J56&lt;AG$3,$I56&gt;AG$2),0,IF($K56=0,IF(AND($I56&gt;=AG$3,$I56&lt;=AG$2),$E56,0),$E56*NETWORKDAYS(MAX($I56,AG$3),MIN($J56,AG$2),Data!$K$4:$K$203)/$K56)))</f>
        <v>0</v>
      </c>
      <c r="AH56" s="166">
        <f>IF(OR($I56="",$E56=0),0,IF(OR($J56&lt;AH$3,$I56&gt;AH$2),0,IF($K56=0,IF(AND($I56&gt;=AH$3,$I56&lt;=AH$2),$E56,0),$E56*NETWORKDAYS(MAX($I56,AH$3),MIN($J56,AH$2),Data!$K$4:$K$203)/$K56)))</f>
        <v>0</v>
      </c>
      <c r="AI56" s="166">
        <f>SUM(W56:AH56)</f>
        <v>0</v>
      </c>
      <c r="BW56" t="n">
        <v>53</v>
      </c>
      <c r="BX56" t="str">
        <f>IFERROR(MATCH(BW56,$EQ$4:$EQ$503,0),"")</f>
        <v/>
      </c>
      <c r="BZ56" t="str">
        <f>IF(D56=1,IF(TRIM(INDEX(Charge!$K:$K,ROW()))&lt;&gt;"",TRIM(INDEX(Charge!$K:$K,ROW())),IF(TRIM(INDEX(Charge!$L:$L,ROW()))&lt;&gt;"",TRIM(INDEX(Charge!$L:$L,ROW())),"(non affecté)")),"")</f>
        <v/>
      </c>
      <c r="CA56" t="str">
        <f>IF(AND($CD$4&lt;&gt;"",BZ56=$CD$4),COUNTIFS($BZ$4:$BZ$503,$CD$4,$L$4:$L$503,"&lt;"&amp;L56)+1,"")</f>
        <v/>
      </c>
      <c r="EJ56" t="str">
        <f>TRIM(INDEX(Data!$E:$E,ROW()))</f>
        <v/>
      </c>
      <c r="EK56" t="str">
        <f>TRIM(INDEX(Data!$H:$H,ROW()))</f>
        <v/>
      </c>
      <c r="EM56" t="str">
        <f>IF(D56=1,IF(TRIM(INDEX(Charge!$K:$K,ROW()))&lt;&gt;"","Interne",IF(TRIM(INDEX(Charge!$L:$L,ROW()))&lt;&gt;"","Externe","Non affecté")),"")</f>
        <v/>
      </c>
      <c r="EN56" t="str">
        <f>IF(D56=1,LEFT(SUBSTITUTE(SUBSTITUTE(SUBSTITUTE(TRIM(SUBSTITUTE(INDEX(Charge!$B:$B,ROW()),CHAR(160)," "))&amp;" | "&amp;TRIM(SUBSTITUTE(INDEX(Charge!$C:$C,ROW()),CHAR(160)," "))&amp;" | "&amp;TRIM(SUBSTITUTE(INDEX(Charge!$D:$D,ROW()),CHAR(160)," ")),"~","-"),"*","+"),"?","!"),240),"")</f>
        <v/>
      </c>
      <c r="EO56">
        <f>IF(EN56="",0,IF(COUNTIF($EN$4:EN56,EN56)=1,1,0))</f>
        <v>0</v>
      </c>
      <c r="EP56" s="166" t="str">
        <f>IF(EO56=1,ROUND(SUMIF($EN$4:$EN$503,EN56,$E$4:$E$503),2),"")</f>
        <v/>
      </c>
      <c r="EQ56" t="str">
        <f>IF(EO56=1,COUNTIFS($EO$4:$EO$503,1,$EP$4:$EP$503,"&gt;"&amp;EP56)+COUNTIFS($EO$4:EO56,1,$EP$4:EP56,EP56),"")</f>
        <v/>
      </c>
      <c r="ER56" t="str">
        <f>IF(EO56=1,COUNTIFS($EN$4:$EN$503,EN56,$EM$4:$EM$503,"Interne",$FE$4:$FE$503,1),"")</f>
        <v/>
      </c>
      <c r="ES56" t="str">
        <f>IF(EO56=1,COUNTIFS($EN$4:$EN$503,EN56,$EM$4:$EM$503,"Externe",$FE$4:$FE$503,1),"")</f>
        <v/>
      </c>
      <c r="ET56" t="str">
        <f>IF(EO56=1,IF(ER56+ES56=0,"à affecter",IF(ER56=0,ES56&amp;" ext.",(ER56+ES56)&amp;IF(ES56&gt;0," dont "&amp;ES56&amp;" ext.",""))&amp;IF(COUNTIFS($EN$4:$EN$503,EN56,$EM$4:$EM$503,"Non affecté")&gt;0," + à affecter","")),"")</f>
        <v/>
      </c>
      <c r="EU56" s="170" t="str">
        <f>IF(EO56=1,IF(EP56&gt;0,SUMPRODUCT(($EN$4:$EN$503=EN56)*$E$4:$E$503*$C$4:$C$503)/EP56,AVERAGEIF($EN$4:$EN$503,EN56,$C$4:$C$503)),"")</f>
        <v/>
      </c>
      <c r="EV56" s="165">
        <f>IF(ISNUMBER(I56),I56,2958465)</f>
        <v>2958465.0</v>
      </c>
      <c r="EW56" s="165" t="str">
        <f>IF(EO56=1,SUMPRODUCT(MIN(($EN$4:$EN$503=EN56)*$EV$4:$EV$503+($EN$4:$EN$503&lt;&gt;EN56)*2958465)),"")</f>
        <v/>
      </c>
      <c r="EX56" s="165">
        <f>IF(AND(D56=1,ISNUMBER(INDEX(Charge!$F:$F,ROW()))),INDEX(Charge!$F:$F,ROW()),0)</f>
        <v>0.0</v>
      </c>
      <c r="EY56" s="165" t="str">
        <f>IF(EO56=1,SUMPRODUCT(MAX(($EN$4:$EN$503=EN56)*$EX$4:$EX$503)),"")</f>
        <v/>
      </c>
      <c r="FA56" t="str">
        <f>IF(53&lt;=$CD$23,INDEX($EJ$4:$EJ$203,53),IF(53-$CD$23&lt;=$CD$26,INDEX($EK$4:$EK$203,53-$CD$23),""))</f>
        <v/>
      </c>
      <c r="FB56" t="str">
        <f>IF(FA56="","",IF(53&lt;=$CD$23,"Interne","Externe"))</f>
        <v/>
      </c>
      <c r="FD56">
        <f>IF(AND(B56=1,TRIM(INDEX(Charge!$K:$K,ROW()))&lt;&gt;"",TRIM(INDEX(Charge!$L:$L,ROW()))&lt;&gt;""),1,0)</f>
        <v>0</v>
      </c>
      <c r="FE56">
        <f>IF(OR(EN56="",BZ56="(non affecté)"),0,IF(COUNTIFS($EN$4:EN56,EN56,$BZ$4:BZ56,BZ56)=1,1,0))</f>
        <v>0</v>
      </c>
    </row>
    <row r="57">
      <c r="A57">
        <f>ROW()</f>
        <v>57</v>
      </c>
      <c r="B57">
        <f>IF(TRIM(INDEX(Charge!$B:$B,ROW()))&lt;&gt;"",1,0)</f>
        <v>0</v>
      </c>
      <c r="C57">
        <f>IF(B57=1,MIN(1,MAX(0,N(INDEX(Charge!$O:$O,ROW())))),0)</f>
        <v>0</v>
      </c>
      <c r="D57">
        <f>IF(B57=1,IF(OR(p_Perimetre="Tous les projets",C57&lt;1),1,0),0)</f>
        <v>0</v>
      </c>
      <c r="E57">
        <f>IF(D57=1,MAX(0,N(INDEX(Charge!$M:$M,ROW()))),0)</f>
        <v>0</v>
      </c>
      <c r="F57" t="str">
        <f>IF(D57=1,IF(TRIM(INDEX(Charge!$A:$A,ROW()))="","(non renseigné)",TRIM(INDEX(Charge!$A:$A,ROW()))),"")</f>
        <v/>
      </c>
      <c r="G57" t="str">
        <f>IF(D57=1,TRIM(INDEX(Charge!$B:$B,ROW())),"")</f>
        <v/>
      </c>
      <c r="H57" t="str">
        <f>IF(D57=1,IF(TRIM(INDEX(Charge!$E:$E,ROW()))="","(non renseigné)",TRIM(INDEX(Charge!$E:$E,ROW()))),"")</f>
        <v/>
      </c>
      <c r="I57" s="165" t="str">
        <f>IF(AND(D57=1,ISNUMBER(INDEX(Charge!$N:$N,ROW()))),INDEX(Charge!$N:$N,ROW()),"")</f>
        <v/>
      </c>
      <c r="J57" s="165" t="str">
        <f>IF(I57="","",IF(AND(p_Repartition="Lissée jusqu'à la date de besoin",ISNUMBER(INDEX(Charge!$F:$F,ROW()))),IF(INDEX(Charge!$F:$F,ROW())&gt;=I57,INDEX(Charge!$F:$F,ROW()),I57),I57))</f>
        <v/>
      </c>
      <c r="K57" t="str">
        <f>IF(I57="","",NETWORKDAYS(I57,J57,Data!$K$4:$K$203))</f>
        <v/>
      </c>
      <c r="L57" t="str">
        <f>IF(D57=1,COUNTIFS($D$4:$D$503,1,$E$4:$E$503,"&gt;"&amp;E57)+COUNTIFS($D$4:$D57,1,$E$4:$E57,E57),"")</f>
        <v/>
      </c>
      <c r="M57">
        <f>IF(F57="",0,IF(COUNTIF($F$4:F57,F57)=1,1,0))</f>
        <v>0</v>
      </c>
      <c r="N57" t="str">
        <f>IF(M57=1,ROUND(SUMIF($F$4:$F$503,F57,$E$4:$E$503),2),"")</f>
        <v/>
      </c>
      <c r="O57" t="str">
        <f>IF(M57=1,COUNTIFS($M$4:$M$503,1,$N$4:$N$503,"&gt;"&amp;N57)+COUNTIFS($M$4:M57,1,$N$4:N57,N57),"")</f>
        <v/>
      </c>
      <c r="P57">
        <f>IF(G57="",0,IF(COUNTIF($G$4:G57,G57)=1,1,0))</f>
        <v>0</v>
      </c>
      <c r="Q57" t="str">
        <f>IF(P57=1,ROUND(SUMIF($G$4:$G$503,G57,$E$4:$E$503),2),"")</f>
        <v/>
      </c>
      <c r="R57" t="str">
        <f>IF(P57=1,COUNTIFS($P$4:$P$503,1,$Q$4:$Q$503,"&gt;"&amp;Q57)+COUNTIFS($P$4:P57,1,$Q$4:Q57,Q57),"")</f>
        <v/>
      </c>
      <c r="S57">
        <f>IF(H57="",0,IF(COUNTIF($H$4:H57,H57)=1,1,0))</f>
        <v>0</v>
      </c>
      <c r="T57" t="str">
        <f>IF(S57=1,ROUND(SUMIF($H$4:$H$503,H57,$E$4:$E$503),2),"")</f>
        <v/>
      </c>
      <c r="U57" t="str">
        <f>IF(S57=1,COUNTIFS($S$4:$S$503,1,$T$4:$T$503,"&gt;"&amp;T57)+COUNTIFS($S$4:S57,1,$T$4:T57,T57),"")</f>
        <v/>
      </c>
      <c r="V57" t="str">
        <f>IF(D57=1,MIN(INDEX($R$4:$R$503,MATCH(G57,$G$4:$G$503,0)),IF($AL$7&gt;9,9,999)),"")</f>
        <v/>
      </c>
      <c r="W57" s="166">
        <f>IF(OR($I57="",$E57=0),0,IF(OR($J57&lt;W$3,$I57&gt;W$2),0,IF($K57=0,IF(AND($I57&gt;=W$3,$I57&lt;=W$2),$E57,0),$E57*NETWORKDAYS(MAX($I57,W$3),MIN($J57,W$2),Data!$K$4:$K$203)/$K57)))</f>
        <v>0</v>
      </c>
      <c r="X57" s="166">
        <f>IF(OR($I57="",$E57=0),0,IF(OR($J57&lt;X$3,$I57&gt;X$2),0,IF($K57=0,IF(AND($I57&gt;=X$3,$I57&lt;=X$2),$E57,0),$E57*NETWORKDAYS(MAX($I57,X$3),MIN($J57,X$2),Data!$K$4:$K$203)/$K57)))</f>
        <v>0</v>
      </c>
      <c r="Y57" s="166">
        <f>IF(OR($I57="",$E57=0),0,IF(OR($J57&lt;Y$3,$I57&gt;Y$2),0,IF($K57=0,IF(AND($I57&gt;=Y$3,$I57&lt;=Y$2),$E57,0),$E57*NETWORKDAYS(MAX($I57,Y$3),MIN($J57,Y$2),Data!$K$4:$K$203)/$K57)))</f>
        <v>0</v>
      </c>
      <c r="Z57" s="166">
        <f>IF(OR($I57="",$E57=0),0,IF(OR($J57&lt;Z$3,$I57&gt;Z$2),0,IF($K57=0,IF(AND($I57&gt;=Z$3,$I57&lt;=Z$2),$E57,0),$E57*NETWORKDAYS(MAX($I57,Z$3),MIN($J57,Z$2),Data!$K$4:$K$203)/$K57)))</f>
        <v>0</v>
      </c>
      <c r="AA57" s="166">
        <f>IF(OR($I57="",$E57=0),0,IF(OR($J57&lt;AA$3,$I57&gt;AA$2),0,IF($K57=0,IF(AND($I57&gt;=AA$3,$I57&lt;=AA$2),$E57,0),$E57*NETWORKDAYS(MAX($I57,AA$3),MIN($J57,AA$2),Data!$K$4:$K$203)/$K57)))</f>
        <v>0</v>
      </c>
      <c r="AB57" s="166">
        <f>IF(OR($I57="",$E57=0),0,IF(OR($J57&lt;AB$3,$I57&gt;AB$2),0,IF($K57=0,IF(AND($I57&gt;=AB$3,$I57&lt;=AB$2),$E57,0),$E57*NETWORKDAYS(MAX($I57,AB$3),MIN($J57,AB$2),Data!$K$4:$K$203)/$K57)))</f>
        <v>0</v>
      </c>
      <c r="AC57" s="166">
        <f>IF(OR($I57="",$E57=0),0,IF(OR($J57&lt;AC$3,$I57&gt;AC$2),0,IF($K57=0,IF(AND($I57&gt;=AC$3,$I57&lt;=AC$2),$E57,0),$E57*NETWORKDAYS(MAX($I57,AC$3),MIN($J57,AC$2),Data!$K$4:$K$203)/$K57)))</f>
        <v>0</v>
      </c>
      <c r="AD57" s="166">
        <f>IF(OR($I57="",$E57=0),0,IF(OR($J57&lt;AD$3,$I57&gt;AD$2),0,IF($K57=0,IF(AND($I57&gt;=AD$3,$I57&lt;=AD$2),$E57,0),$E57*NETWORKDAYS(MAX($I57,AD$3),MIN($J57,AD$2),Data!$K$4:$K$203)/$K57)))</f>
        <v>0</v>
      </c>
      <c r="AE57" s="166">
        <f>IF(OR($I57="",$E57=0),0,IF(OR($J57&lt;AE$3,$I57&gt;AE$2),0,IF($K57=0,IF(AND($I57&gt;=AE$3,$I57&lt;=AE$2),$E57,0),$E57*NETWORKDAYS(MAX($I57,AE$3),MIN($J57,AE$2),Data!$K$4:$K$203)/$K57)))</f>
        <v>0</v>
      </c>
      <c r="AF57" s="166">
        <f>IF(OR($I57="",$E57=0),0,IF(OR($J57&lt;AF$3,$I57&gt;AF$2),0,IF($K57=0,IF(AND($I57&gt;=AF$3,$I57&lt;=AF$2),$E57,0),$E57*NETWORKDAYS(MAX($I57,AF$3),MIN($J57,AF$2),Data!$K$4:$K$203)/$K57)))</f>
        <v>0</v>
      </c>
      <c r="AG57" s="166">
        <f>IF(OR($I57="",$E57=0),0,IF(OR($J57&lt;AG$3,$I57&gt;AG$2),0,IF($K57=0,IF(AND($I57&gt;=AG$3,$I57&lt;=AG$2),$E57,0),$E57*NETWORKDAYS(MAX($I57,AG$3),MIN($J57,AG$2),Data!$K$4:$K$203)/$K57)))</f>
        <v>0</v>
      </c>
      <c r="AH57" s="166">
        <f>IF(OR($I57="",$E57=0),0,IF(OR($J57&lt;AH$3,$I57&gt;AH$2),0,IF($K57=0,IF(AND($I57&gt;=AH$3,$I57&lt;=AH$2),$E57,0),$E57*NETWORKDAYS(MAX($I57,AH$3),MIN($J57,AH$2),Data!$K$4:$K$203)/$K57)))</f>
        <v>0</v>
      </c>
      <c r="AI57" s="166">
        <f>SUM(W57:AH57)</f>
        <v>0</v>
      </c>
      <c r="BW57" t="n">
        <v>54</v>
      </c>
      <c r="BX57" t="str">
        <f>IFERROR(MATCH(BW57,$EQ$4:$EQ$503,0),"")</f>
        <v/>
      </c>
      <c r="BZ57" t="str">
        <f>IF(D57=1,IF(TRIM(INDEX(Charge!$K:$K,ROW()))&lt;&gt;"",TRIM(INDEX(Charge!$K:$K,ROW())),IF(TRIM(INDEX(Charge!$L:$L,ROW()))&lt;&gt;"",TRIM(INDEX(Charge!$L:$L,ROW())),"(non affecté)")),"")</f>
        <v/>
      </c>
      <c r="CA57" t="str">
        <f>IF(AND($CD$4&lt;&gt;"",BZ57=$CD$4),COUNTIFS($BZ$4:$BZ$503,$CD$4,$L$4:$L$503,"&lt;"&amp;L57)+1,"")</f>
        <v/>
      </c>
      <c r="EJ57" t="str">
        <f>TRIM(INDEX(Data!$E:$E,ROW()))</f>
        <v/>
      </c>
      <c r="EK57" t="str">
        <f>TRIM(INDEX(Data!$H:$H,ROW()))</f>
        <v/>
      </c>
      <c r="EM57" t="str">
        <f>IF(D57=1,IF(TRIM(INDEX(Charge!$K:$K,ROW()))&lt;&gt;"","Interne",IF(TRIM(INDEX(Charge!$L:$L,ROW()))&lt;&gt;"","Externe","Non affecté")),"")</f>
        <v/>
      </c>
      <c r="EN57" t="str">
        <f>IF(D57=1,LEFT(SUBSTITUTE(SUBSTITUTE(SUBSTITUTE(TRIM(SUBSTITUTE(INDEX(Charge!$B:$B,ROW()),CHAR(160)," "))&amp;" | "&amp;TRIM(SUBSTITUTE(INDEX(Charge!$C:$C,ROW()),CHAR(160)," "))&amp;" | "&amp;TRIM(SUBSTITUTE(INDEX(Charge!$D:$D,ROW()),CHAR(160)," ")),"~","-"),"*","+"),"?","!"),240),"")</f>
        <v/>
      </c>
      <c r="EO57">
        <f>IF(EN57="",0,IF(COUNTIF($EN$4:EN57,EN57)=1,1,0))</f>
        <v>0</v>
      </c>
      <c r="EP57" s="166" t="str">
        <f>IF(EO57=1,ROUND(SUMIF($EN$4:$EN$503,EN57,$E$4:$E$503),2),"")</f>
        <v/>
      </c>
      <c r="EQ57" t="str">
        <f>IF(EO57=1,COUNTIFS($EO$4:$EO$503,1,$EP$4:$EP$503,"&gt;"&amp;EP57)+COUNTIFS($EO$4:EO57,1,$EP$4:EP57,EP57),"")</f>
        <v/>
      </c>
      <c r="ER57" t="str">
        <f>IF(EO57=1,COUNTIFS($EN$4:$EN$503,EN57,$EM$4:$EM$503,"Interne",$FE$4:$FE$503,1),"")</f>
        <v/>
      </c>
      <c r="ES57" t="str">
        <f>IF(EO57=1,COUNTIFS($EN$4:$EN$503,EN57,$EM$4:$EM$503,"Externe",$FE$4:$FE$503,1),"")</f>
        <v/>
      </c>
      <c r="ET57" t="str">
        <f>IF(EO57=1,IF(ER57+ES57=0,"à affecter",IF(ER57=0,ES57&amp;" ext.",(ER57+ES57)&amp;IF(ES57&gt;0," dont "&amp;ES57&amp;" ext.",""))&amp;IF(COUNTIFS($EN$4:$EN$503,EN57,$EM$4:$EM$503,"Non affecté")&gt;0," + à affecter","")),"")</f>
        <v/>
      </c>
      <c r="EU57" s="170" t="str">
        <f>IF(EO57=1,IF(EP57&gt;0,SUMPRODUCT(($EN$4:$EN$503=EN57)*$E$4:$E$503*$C$4:$C$503)/EP57,AVERAGEIF($EN$4:$EN$503,EN57,$C$4:$C$503)),"")</f>
        <v/>
      </c>
      <c r="EV57" s="165">
        <f>IF(ISNUMBER(I57),I57,2958465)</f>
        <v>2958465.0</v>
      </c>
      <c r="EW57" s="165" t="str">
        <f>IF(EO57=1,SUMPRODUCT(MIN(($EN$4:$EN$503=EN57)*$EV$4:$EV$503+($EN$4:$EN$503&lt;&gt;EN57)*2958465)),"")</f>
        <v/>
      </c>
      <c r="EX57" s="165">
        <f>IF(AND(D57=1,ISNUMBER(INDEX(Charge!$F:$F,ROW()))),INDEX(Charge!$F:$F,ROW()),0)</f>
        <v>0.0</v>
      </c>
      <c r="EY57" s="165" t="str">
        <f>IF(EO57=1,SUMPRODUCT(MAX(($EN$4:$EN$503=EN57)*$EX$4:$EX$503)),"")</f>
        <v/>
      </c>
      <c r="FA57" t="str">
        <f>IF(54&lt;=$CD$23,INDEX($EJ$4:$EJ$203,54),IF(54-$CD$23&lt;=$CD$26,INDEX($EK$4:$EK$203,54-$CD$23),""))</f>
        <v/>
      </c>
      <c r="FB57" t="str">
        <f>IF(FA57="","",IF(54&lt;=$CD$23,"Interne","Externe"))</f>
        <v/>
      </c>
      <c r="FD57">
        <f>IF(AND(B57=1,TRIM(INDEX(Charge!$K:$K,ROW()))&lt;&gt;"",TRIM(INDEX(Charge!$L:$L,ROW()))&lt;&gt;""),1,0)</f>
        <v>0</v>
      </c>
      <c r="FE57">
        <f>IF(OR(EN57="",BZ57="(non affecté)"),0,IF(COUNTIFS($EN$4:EN57,EN57,$BZ$4:BZ57,BZ57)=1,1,0))</f>
        <v>0</v>
      </c>
    </row>
    <row r="58">
      <c r="A58">
        <f>ROW()</f>
        <v>58</v>
      </c>
      <c r="B58">
        <f>IF(TRIM(INDEX(Charge!$B:$B,ROW()))&lt;&gt;"",1,0)</f>
        <v>0</v>
      </c>
      <c r="C58">
        <f>IF(B58=1,MIN(1,MAX(0,N(INDEX(Charge!$O:$O,ROW())))),0)</f>
        <v>0</v>
      </c>
      <c r="D58">
        <f>IF(B58=1,IF(OR(p_Perimetre="Tous les projets",C58&lt;1),1,0),0)</f>
        <v>0</v>
      </c>
      <c r="E58">
        <f>IF(D58=1,MAX(0,N(INDEX(Charge!$M:$M,ROW()))),0)</f>
        <v>0</v>
      </c>
      <c r="F58" t="str">
        <f>IF(D58=1,IF(TRIM(INDEX(Charge!$A:$A,ROW()))="","(non renseigné)",TRIM(INDEX(Charge!$A:$A,ROW()))),"")</f>
        <v/>
      </c>
      <c r="G58" t="str">
        <f>IF(D58=1,TRIM(INDEX(Charge!$B:$B,ROW())),"")</f>
        <v/>
      </c>
      <c r="H58" t="str">
        <f>IF(D58=1,IF(TRIM(INDEX(Charge!$E:$E,ROW()))="","(non renseigné)",TRIM(INDEX(Charge!$E:$E,ROW()))),"")</f>
        <v/>
      </c>
      <c r="I58" s="165" t="str">
        <f>IF(AND(D58=1,ISNUMBER(INDEX(Charge!$N:$N,ROW()))),INDEX(Charge!$N:$N,ROW()),"")</f>
        <v/>
      </c>
      <c r="J58" s="165" t="str">
        <f>IF(I58="","",IF(AND(p_Repartition="Lissée jusqu'à la date de besoin",ISNUMBER(INDEX(Charge!$F:$F,ROW()))),IF(INDEX(Charge!$F:$F,ROW())&gt;=I58,INDEX(Charge!$F:$F,ROW()),I58),I58))</f>
        <v/>
      </c>
      <c r="K58" t="str">
        <f>IF(I58="","",NETWORKDAYS(I58,J58,Data!$K$4:$K$203))</f>
        <v/>
      </c>
      <c r="L58" t="str">
        <f>IF(D58=1,COUNTIFS($D$4:$D$503,1,$E$4:$E$503,"&gt;"&amp;E58)+COUNTIFS($D$4:$D58,1,$E$4:$E58,E58),"")</f>
        <v/>
      </c>
      <c r="M58">
        <f>IF(F58="",0,IF(COUNTIF($F$4:F58,F58)=1,1,0))</f>
        <v>0</v>
      </c>
      <c r="N58" t="str">
        <f>IF(M58=1,ROUND(SUMIF($F$4:$F$503,F58,$E$4:$E$503),2),"")</f>
        <v/>
      </c>
      <c r="O58" t="str">
        <f>IF(M58=1,COUNTIFS($M$4:$M$503,1,$N$4:$N$503,"&gt;"&amp;N58)+COUNTIFS($M$4:M58,1,$N$4:N58,N58),"")</f>
        <v/>
      </c>
      <c r="P58">
        <f>IF(G58="",0,IF(COUNTIF($G$4:G58,G58)=1,1,0))</f>
        <v>0</v>
      </c>
      <c r="Q58" t="str">
        <f>IF(P58=1,ROUND(SUMIF($G$4:$G$503,G58,$E$4:$E$503),2),"")</f>
        <v/>
      </c>
      <c r="R58" t="str">
        <f>IF(P58=1,COUNTIFS($P$4:$P$503,1,$Q$4:$Q$503,"&gt;"&amp;Q58)+COUNTIFS($P$4:P58,1,$Q$4:Q58,Q58),"")</f>
        <v/>
      </c>
      <c r="S58">
        <f>IF(H58="",0,IF(COUNTIF($H$4:H58,H58)=1,1,0))</f>
        <v>0</v>
      </c>
      <c r="T58" t="str">
        <f>IF(S58=1,ROUND(SUMIF($H$4:$H$503,H58,$E$4:$E$503),2),"")</f>
        <v/>
      </c>
      <c r="U58" t="str">
        <f>IF(S58=1,COUNTIFS($S$4:$S$503,1,$T$4:$T$503,"&gt;"&amp;T58)+COUNTIFS($S$4:S58,1,$T$4:T58,T58),"")</f>
        <v/>
      </c>
      <c r="V58" t="str">
        <f>IF(D58=1,MIN(INDEX($R$4:$R$503,MATCH(G58,$G$4:$G$503,0)),IF($AL$7&gt;9,9,999)),"")</f>
        <v/>
      </c>
      <c r="W58" s="166">
        <f>IF(OR($I58="",$E58=0),0,IF(OR($J58&lt;W$3,$I58&gt;W$2),0,IF($K58=0,IF(AND($I58&gt;=W$3,$I58&lt;=W$2),$E58,0),$E58*NETWORKDAYS(MAX($I58,W$3),MIN($J58,W$2),Data!$K$4:$K$203)/$K58)))</f>
        <v>0</v>
      </c>
      <c r="X58" s="166">
        <f>IF(OR($I58="",$E58=0),0,IF(OR($J58&lt;X$3,$I58&gt;X$2),0,IF($K58=0,IF(AND($I58&gt;=X$3,$I58&lt;=X$2),$E58,0),$E58*NETWORKDAYS(MAX($I58,X$3),MIN($J58,X$2),Data!$K$4:$K$203)/$K58)))</f>
        <v>0</v>
      </c>
      <c r="Y58" s="166">
        <f>IF(OR($I58="",$E58=0),0,IF(OR($J58&lt;Y$3,$I58&gt;Y$2),0,IF($K58=0,IF(AND($I58&gt;=Y$3,$I58&lt;=Y$2),$E58,0),$E58*NETWORKDAYS(MAX($I58,Y$3),MIN($J58,Y$2),Data!$K$4:$K$203)/$K58)))</f>
        <v>0</v>
      </c>
      <c r="Z58" s="166">
        <f>IF(OR($I58="",$E58=0),0,IF(OR($J58&lt;Z$3,$I58&gt;Z$2),0,IF($K58=0,IF(AND($I58&gt;=Z$3,$I58&lt;=Z$2),$E58,0),$E58*NETWORKDAYS(MAX($I58,Z$3),MIN($J58,Z$2),Data!$K$4:$K$203)/$K58)))</f>
        <v>0</v>
      </c>
      <c r="AA58" s="166">
        <f>IF(OR($I58="",$E58=0),0,IF(OR($J58&lt;AA$3,$I58&gt;AA$2),0,IF($K58=0,IF(AND($I58&gt;=AA$3,$I58&lt;=AA$2),$E58,0),$E58*NETWORKDAYS(MAX($I58,AA$3),MIN($J58,AA$2),Data!$K$4:$K$203)/$K58)))</f>
        <v>0</v>
      </c>
      <c r="AB58" s="166">
        <f>IF(OR($I58="",$E58=0),0,IF(OR($J58&lt;AB$3,$I58&gt;AB$2),0,IF($K58=0,IF(AND($I58&gt;=AB$3,$I58&lt;=AB$2),$E58,0),$E58*NETWORKDAYS(MAX($I58,AB$3),MIN($J58,AB$2),Data!$K$4:$K$203)/$K58)))</f>
        <v>0</v>
      </c>
      <c r="AC58" s="166">
        <f>IF(OR($I58="",$E58=0),0,IF(OR($J58&lt;AC$3,$I58&gt;AC$2),0,IF($K58=0,IF(AND($I58&gt;=AC$3,$I58&lt;=AC$2),$E58,0),$E58*NETWORKDAYS(MAX($I58,AC$3),MIN($J58,AC$2),Data!$K$4:$K$203)/$K58)))</f>
        <v>0</v>
      </c>
      <c r="AD58" s="166">
        <f>IF(OR($I58="",$E58=0),0,IF(OR($J58&lt;AD$3,$I58&gt;AD$2),0,IF($K58=0,IF(AND($I58&gt;=AD$3,$I58&lt;=AD$2),$E58,0),$E58*NETWORKDAYS(MAX($I58,AD$3),MIN($J58,AD$2),Data!$K$4:$K$203)/$K58)))</f>
        <v>0</v>
      </c>
      <c r="AE58" s="166">
        <f>IF(OR($I58="",$E58=0),0,IF(OR($J58&lt;AE$3,$I58&gt;AE$2),0,IF($K58=0,IF(AND($I58&gt;=AE$3,$I58&lt;=AE$2),$E58,0),$E58*NETWORKDAYS(MAX($I58,AE$3),MIN($J58,AE$2),Data!$K$4:$K$203)/$K58)))</f>
        <v>0</v>
      </c>
      <c r="AF58" s="166">
        <f>IF(OR($I58="",$E58=0),0,IF(OR($J58&lt;AF$3,$I58&gt;AF$2),0,IF($K58=0,IF(AND($I58&gt;=AF$3,$I58&lt;=AF$2),$E58,0),$E58*NETWORKDAYS(MAX($I58,AF$3),MIN($J58,AF$2),Data!$K$4:$K$203)/$K58)))</f>
        <v>0</v>
      </c>
      <c r="AG58" s="166">
        <f>IF(OR($I58="",$E58=0),0,IF(OR($J58&lt;AG$3,$I58&gt;AG$2),0,IF($K58=0,IF(AND($I58&gt;=AG$3,$I58&lt;=AG$2),$E58,0),$E58*NETWORKDAYS(MAX($I58,AG$3),MIN($J58,AG$2),Data!$K$4:$K$203)/$K58)))</f>
        <v>0</v>
      </c>
      <c r="AH58" s="166">
        <f>IF(OR($I58="",$E58=0),0,IF(OR($J58&lt;AH$3,$I58&gt;AH$2),0,IF($K58=0,IF(AND($I58&gt;=AH$3,$I58&lt;=AH$2),$E58,0),$E58*NETWORKDAYS(MAX($I58,AH$3),MIN($J58,AH$2),Data!$K$4:$K$203)/$K58)))</f>
        <v>0</v>
      </c>
      <c r="AI58" s="166">
        <f>SUM(W58:AH58)</f>
        <v>0</v>
      </c>
      <c r="BW58" t="n">
        <v>55</v>
      </c>
      <c r="BX58" t="str">
        <f>IFERROR(MATCH(BW58,$EQ$4:$EQ$503,0),"")</f>
        <v/>
      </c>
      <c r="BZ58" t="str">
        <f>IF(D58=1,IF(TRIM(INDEX(Charge!$K:$K,ROW()))&lt;&gt;"",TRIM(INDEX(Charge!$K:$K,ROW())),IF(TRIM(INDEX(Charge!$L:$L,ROW()))&lt;&gt;"",TRIM(INDEX(Charge!$L:$L,ROW())),"(non affecté)")),"")</f>
        <v/>
      </c>
      <c r="CA58" t="str">
        <f>IF(AND($CD$4&lt;&gt;"",BZ58=$CD$4),COUNTIFS($BZ$4:$BZ$503,$CD$4,$L$4:$L$503,"&lt;"&amp;L58)+1,"")</f>
        <v/>
      </c>
      <c r="EJ58" t="str">
        <f>TRIM(INDEX(Data!$E:$E,ROW()))</f>
        <v/>
      </c>
      <c r="EK58" t="str">
        <f>TRIM(INDEX(Data!$H:$H,ROW()))</f>
        <v/>
      </c>
      <c r="EM58" t="str">
        <f>IF(D58=1,IF(TRIM(INDEX(Charge!$K:$K,ROW()))&lt;&gt;"","Interne",IF(TRIM(INDEX(Charge!$L:$L,ROW()))&lt;&gt;"","Externe","Non affecté")),"")</f>
        <v/>
      </c>
      <c r="EN58" t="str">
        <f>IF(D58=1,LEFT(SUBSTITUTE(SUBSTITUTE(SUBSTITUTE(TRIM(SUBSTITUTE(INDEX(Charge!$B:$B,ROW()),CHAR(160)," "))&amp;" | "&amp;TRIM(SUBSTITUTE(INDEX(Charge!$C:$C,ROW()),CHAR(160)," "))&amp;" | "&amp;TRIM(SUBSTITUTE(INDEX(Charge!$D:$D,ROW()),CHAR(160)," ")),"~","-"),"*","+"),"?","!"),240),"")</f>
        <v/>
      </c>
      <c r="EO58">
        <f>IF(EN58="",0,IF(COUNTIF($EN$4:EN58,EN58)=1,1,0))</f>
        <v>0</v>
      </c>
      <c r="EP58" s="166" t="str">
        <f>IF(EO58=1,ROUND(SUMIF($EN$4:$EN$503,EN58,$E$4:$E$503),2),"")</f>
        <v/>
      </c>
      <c r="EQ58" t="str">
        <f>IF(EO58=1,COUNTIFS($EO$4:$EO$503,1,$EP$4:$EP$503,"&gt;"&amp;EP58)+COUNTIFS($EO$4:EO58,1,$EP$4:EP58,EP58),"")</f>
        <v/>
      </c>
      <c r="ER58" t="str">
        <f>IF(EO58=1,COUNTIFS($EN$4:$EN$503,EN58,$EM$4:$EM$503,"Interne",$FE$4:$FE$503,1),"")</f>
        <v/>
      </c>
      <c r="ES58" t="str">
        <f>IF(EO58=1,COUNTIFS($EN$4:$EN$503,EN58,$EM$4:$EM$503,"Externe",$FE$4:$FE$503,1),"")</f>
        <v/>
      </c>
      <c r="ET58" t="str">
        <f>IF(EO58=1,IF(ER58+ES58=0,"à affecter",IF(ER58=0,ES58&amp;" ext.",(ER58+ES58)&amp;IF(ES58&gt;0," dont "&amp;ES58&amp;" ext.",""))&amp;IF(COUNTIFS($EN$4:$EN$503,EN58,$EM$4:$EM$503,"Non affecté")&gt;0," + à affecter","")),"")</f>
        <v/>
      </c>
      <c r="EU58" s="170" t="str">
        <f>IF(EO58=1,IF(EP58&gt;0,SUMPRODUCT(($EN$4:$EN$503=EN58)*$E$4:$E$503*$C$4:$C$503)/EP58,AVERAGEIF($EN$4:$EN$503,EN58,$C$4:$C$503)),"")</f>
        <v/>
      </c>
      <c r="EV58" s="165">
        <f>IF(ISNUMBER(I58),I58,2958465)</f>
        <v>2958465.0</v>
      </c>
      <c r="EW58" s="165" t="str">
        <f>IF(EO58=1,SUMPRODUCT(MIN(($EN$4:$EN$503=EN58)*$EV$4:$EV$503+($EN$4:$EN$503&lt;&gt;EN58)*2958465)),"")</f>
        <v/>
      </c>
      <c r="EX58" s="165">
        <f>IF(AND(D58=1,ISNUMBER(INDEX(Charge!$F:$F,ROW()))),INDEX(Charge!$F:$F,ROW()),0)</f>
        <v>0.0</v>
      </c>
      <c r="EY58" s="165" t="str">
        <f>IF(EO58=1,SUMPRODUCT(MAX(($EN$4:$EN$503=EN58)*$EX$4:$EX$503)),"")</f>
        <v/>
      </c>
      <c r="FA58" t="str">
        <f>IF(55&lt;=$CD$23,INDEX($EJ$4:$EJ$203,55),IF(55-$CD$23&lt;=$CD$26,INDEX($EK$4:$EK$203,55-$CD$23),""))</f>
        <v/>
      </c>
      <c r="FB58" t="str">
        <f>IF(FA58="","",IF(55&lt;=$CD$23,"Interne","Externe"))</f>
        <v/>
      </c>
      <c r="FD58">
        <f>IF(AND(B58=1,TRIM(INDEX(Charge!$K:$K,ROW()))&lt;&gt;"",TRIM(INDEX(Charge!$L:$L,ROW()))&lt;&gt;""),1,0)</f>
        <v>0</v>
      </c>
      <c r="FE58">
        <f>IF(OR(EN58="",BZ58="(non affecté)"),0,IF(COUNTIFS($EN$4:EN58,EN58,$BZ$4:BZ58,BZ58)=1,1,0))</f>
        <v>0</v>
      </c>
    </row>
    <row r="59">
      <c r="A59">
        <f>ROW()</f>
        <v>59</v>
      </c>
      <c r="B59">
        <f>IF(TRIM(INDEX(Charge!$B:$B,ROW()))&lt;&gt;"",1,0)</f>
        <v>0</v>
      </c>
      <c r="C59">
        <f>IF(B59=1,MIN(1,MAX(0,N(INDEX(Charge!$O:$O,ROW())))),0)</f>
        <v>0</v>
      </c>
      <c r="D59">
        <f>IF(B59=1,IF(OR(p_Perimetre="Tous les projets",C59&lt;1),1,0),0)</f>
        <v>0</v>
      </c>
      <c r="E59">
        <f>IF(D59=1,MAX(0,N(INDEX(Charge!$M:$M,ROW()))),0)</f>
        <v>0</v>
      </c>
      <c r="F59" t="str">
        <f>IF(D59=1,IF(TRIM(INDEX(Charge!$A:$A,ROW()))="","(non renseigné)",TRIM(INDEX(Charge!$A:$A,ROW()))),"")</f>
        <v/>
      </c>
      <c r="G59" t="str">
        <f>IF(D59=1,TRIM(INDEX(Charge!$B:$B,ROW())),"")</f>
        <v/>
      </c>
      <c r="H59" t="str">
        <f>IF(D59=1,IF(TRIM(INDEX(Charge!$E:$E,ROW()))="","(non renseigné)",TRIM(INDEX(Charge!$E:$E,ROW()))),"")</f>
        <v/>
      </c>
      <c r="I59" s="165" t="str">
        <f>IF(AND(D59=1,ISNUMBER(INDEX(Charge!$N:$N,ROW()))),INDEX(Charge!$N:$N,ROW()),"")</f>
        <v/>
      </c>
      <c r="J59" s="165" t="str">
        <f>IF(I59="","",IF(AND(p_Repartition="Lissée jusqu'à la date de besoin",ISNUMBER(INDEX(Charge!$F:$F,ROW()))),IF(INDEX(Charge!$F:$F,ROW())&gt;=I59,INDEX(Charge!$F:$F,ROW()),I59),I59))</f>
        <v/>
      </c>
      <c r="K59" t="str">
        <f>IF(I59="","",NETWORKDAYS(I59,J59,Data!$K$4:$K$203))</f>
        <v/>
      </c>
      <c r="L59" t="str">
        <f>IF(D59=1,COUNTIFS($D$4:$D$503,1,$E$4:$E$503,"&gt;"&amp;E59)+COUNTIFS($D$4:$D59,1,$E$4:$E59,E59),"")</f>
        <v/>
      </c>
      <c r="M59">
        <f>IF(F59="",0,IF(COUNTIF($F$4:F59,F59)=1,1,0))</f>
        <v>0</v>
      </c>
      <c r="N59" t="str">
        <f>IF(M59=1,ROUND(SUMIF($F$4:$F$503,F59,$E$4:$E$503),2),"")</f>
        <v/>
      </c>
      <c r="O59" t="str">
        <f>IF(M59=1,COUNTIFS($M$4:$M$503,1,$N$4:$N$503,"&gt;"&amp;N59)+COUNTIFS($M$4:M59,1,$N$4:N59,N59),"")</f>
        <v/>
      </c>
      <c r="P59">
        <f>IF(G59="",0,IF(COUNTIF($G$4:G59,G59)=1,1,0))</f>
        <v>0</v>
      </c>
      <c r="Q59" t="str">
        <f>IF(P59=1,ROUND(SUMIF($G$4:$G$503,G59,$E$4:$E$503),2),"")</f>
        <v/>
      </c>
      <c r="R59" t="str">
        <f>IF(P59=1,COUNTIFS($P$4:$P$503,1,$Q$4:$Q$503,"&gt;"&amp;Q59)+COUNTIFS($P$4:P59,1,$Q$4:Q59,Q59),"")</f>
        <v/>
      </c>
      <c r="S59">
        <f>IF(H59="",0,IF(COUNTIF($H$4:H59,H59)=1,1,0))</f>
        <v>0</v>
      </c>
      <c r="T59" t="str">
        <f>IF(S59=1,ROUND(SUMIF($H$4:$H$503,H59,$E$4:$E$503),2),"")</f>
        <v/>
      </c>
      <c r="U59" t="str">
        <f>IF(S59=1,COUNTIFS($S$4:$S$503,1,$T$4:$T$503,"&gt;"&amp;T59)+COUNTIFS($S$4:S59,1,$T$4:T59,T59),"")</f>
        <v/>
      </c>
      <c r="V59" t="str">
        <f>IF(D59=1,MIN(INDEX($R$4:$R$503,MATCH(G59,$G$4:$G$503,0)),IF($AL$7&gt;9,9,999)),"")</f>
        <v/>
      </c>
      <c r="W59" s="166">
        <f>IF(OR($I59="",$E59=0),0,IF(OR($J59&lt;W$3,$I59&gt;W$2),0,IF($K59=0,IF(AND($I59&gt;=W$3,$I59&lt;=W$2),$E59,0),$E59*NETWORKDAYS(MAX($I59,W$3),MIN($J59,W$2),Data!$K$4:$K$203)/$K59)))</f>
        <v>0</v>
      </c>
      <c r="X59" s="166">
        <f>IF(OR($I59="",$E59=0),0,IF(OR($J59&lt;X$3,$I59&gt;X$2),0,IF($K59=0,IF(AND($I59&gt;=X$3,$I59&lt;=X$2),$E59,0),$E59*NETWORKDAYS(MAX($I59,X$3),MIN($J59,X$2),Data!$K$4:$K$203)/$K59)))</f>
        <v>0</v>
      </c>
      <c r="Y59" s="166">
        <f>IF(OR($I59="",$E59=0),0,IF(OR($J59&lt;Y$3,$I59&gt;Y$2),0,IF($K59=0,IF(AND($I59&gt;=Y$3,$I59&lt;=Y$2),$E59,0),$E59*NETWORKDAYS(MAX($I59,Y$3),MIN($J59,Y$2),Data!$K$4:$K$203)/$K59)))</f>
        <v>0</v>
      </c>
      <c r="Z59" s="166">
        <f>IF(OR($I59="",$E59=0),0,IF(OR($J59&lt;Z$3,$I59&gt;Z$2),0,IF($K59=0,IF(AND($I59&gt;=Z$3,$I59&lt;=Z$2),$E59,0),$E59*NETWORKDAYS(MAX($I59,Z$3),MIN($J59,Z$2),Data!$K$4:$K$203)/$K59)))</f>
        <v>0</v>
      </c>
      <c r="AA59" s="166">
        <f>IF(OR($I59="",$E59=0),0,IF(OR($J59&lt;AA$3,$I59&gt;AA$2),0,IF($K59=0,IF(AND($I59&gt;=AA$3,$I59&lt;=AA$2),$E59,0),$E59*NETWORKDAYS(MAX($I59,AA$3),MIN($J59,AA$2),Data!$K$4:$K$203)/$K59)))</f>
        <v>0</v>
      </c>
      <c r="AB59" s="166">
        <f>IF(OR($I59="",$E59=0),0,IF(OR($J59&lt;AB$3,$I59&gt;AB$2),0,IF($K59=0,IF(AND($I59&gt;=AB$3,$I59&lt;=AB$2),$E59,0),$E59*NETWORKDAYS(MAX($I59,AB$3),MIN($J59,AB$2),Data!$K$4:$K$203)/$K59)))</f>
        <v>0</v>
      </c>
      <c r="AC59" s="166">
        <f>IF(OR($I59="",$E59=0),0,IF(OR($J59&lt;AC$3,$I59&gt;AC$2),0,IF($K59=0,IF(AND($I59&gt;=AC$3,$I59&lt;=AC$2),$E59,0),$E59*NETWORKDAYS(MAX($I59,AC$3),MIN($J59,AC$2),Data!$K$4:$K$203)/$K59)))</f>
        <v>0</v>
      </c>
      <c r="AD59" s="166">
        <f>IF(OR($I59="",$E59=0),0,IF(OR($J59&lt;AD$3,$I59&gt;AD$2),0,IF($K59=0,IF(AND($I59&gt;=AD$3,$I59&lt;=AD$2),$E59,0),$E59*NETWORKDAYS(MAX($I59,AD$3),MIN($J59,AD$2),Data!$K$4:$K$203)/$K59)))</f>
        <v>0</v>
      </c>
      <c r="AE59" s="166">
        <f>IF(OR($I59="",$E59=0),0,IF(OR($J59&lt;AE$3,$I59&gt;AE$2),0,IF($K59=0,IF(AND($I59&gt;=AE$3,$I59&lt;=AE$2),$E59,0),$E59*NETWORKDAYS(MAX($I59,AE$3),MIN($J59,AE$2),Data!$K$4:$K$203)/$K59)))</f>
        <v>0</v>
      </c>
      <c r="AF59" s="166">
        <f>IF(OR($I59="",$E59=0),0,IF(OR($J59&lt;AF$3,$I59&gt;AF$2),0,IF($K59=0,IF(AND($I59&gt;=AF$3,$I59&lt;=AF$2),$E59,0),$E59*NETWORKDAYS(MAX($I59,AF$3),MIN($J59,AF$2),Data!$K$4:$K$203)/$K59)))</f>
        <v>0</v>
      </c>
      <c r="AG59" s="166">
        <f>IF(OR($I59="",$E59=0),0,IF(OR($J59&lt;AG$3,$I59&gt;AG$2),0,IF($K59=0,IF(AND($I59&gt;=AG$3,$I59&lt;=AG$2),$E59,0),$E59*NETWORKDAYS(MAX($I59,AG$3),MIN($J59,AG$2),Data!$K$4:$K$203)/$K59)))</f>
        <v>0</v>
      </c>
      <c r="AH59" s="166">
        <f>IF(OR($I59="",$E59=0),0,IF(OR($J59&lt;AH$3,$I59&gt;AH$2),0,IF($K59=0,IF(AND($I59&gt;=AH$3,$I59&lt;=AH$2),$E59,0),$E59*NETWORKDAYS(MAX($I59,AH$3),MIN($J59,AH$2),Data!$K$4:$K$203)/$K59)))</f>
        <v>0</v>
      </c>
      <c r="AI59" s="166">
        <f>SUM(W59:AH59)</f>
        <v>0</v>
      </c>
      <c r="BW59" t="n">
        <v>56</v>
      </c>
      <c r="BX59" t="str">
        <f>IFERROR(MATCH(BW59,$EQ$4:$EQ$503,0),"")</f>
        <v/>
      </c>
      <c r="BZ59" t="str">
        <f>IF(D59=1,IF(TRIM(INDEX(Charge!$K:$K,ROW()))&lt;&gt;"",TRIM(INDEX(Charge!$K:$K,ROW())),IF(TRIM(INDEX(Charge!$L:$L,ROW()))&lt;&gt;"",TRIM(INDEX(Charge!$L:$L,ROW())),"(non affecté)")),"")</f>
        <v/>
      </c>
      <c r="CA59" t="str">
        <f>IF(AND($CD$4&lt;&gt;"",BZ59=$CD$4),COUNTIFS($BZ$4:$BZ$503,$CD$4,$L$4:$L$503,"&lt;"&amp;L59)+1,"")</f>
        <v/>
      </c>
      <c r="EJ59" t="str">
        <f>TRIM(INDEX(Data!$E:$E,ROW()))</f>
        <v/>
      </c>
      <c r="EK59" t="str">
        <f>TRIM(INDEX(Data!$H:$H,ROW()))</f>
        <v/>
      </c>
      <c r="EM59" t="str">
        <f>IF(D59=1,IF(TRIM(INDEX(Charge!$K:$K,ROW()))&lt;&gt;"","Interne",IF(TRIM(INDEX(Charge!$L:$L,ROW()))&lt;&gt;"","Externe","Non affecté")),"")</f>
        <v/>
      </c>
      <c r="EN59" t="str">
        <f>IF(D59=1,LEFT(SUBSTITUTE(SUBSTITUTE(SUBSTITUTE(TRIM(SUBSTITUTE(INDEX(Charge!$B:$B,ROW()),CHAR(160)," "))&amp;" | "&amp;TRIM(SUBSTITUTE(INDEX(Charge!$C:$C,ROW()),CHAR(160)," "))&amp;" | "&amp;TRIM(SUBSTITUTE(INDEX(Charge!$D:$D,ROW()),CHAR(160)," ")),"~","-"),"*","+"),"?","!"),240),"")</f>
        <v/>
      </c>
      <c r="EO59">
        <f>IF(EN59="",0,IF(COUNTIF($EN$4:EN59,EN59)=1,1,0))</f>
        <v>0</v>
      </c>
      <c r="EP59" s="166" t="str">
        <f>IF(EO59=1,ROUND(SUMIF($EN$4:$EN$503,EN59,$E$4:$E$503),2),"")</f>
        <v/>
      </c>
      <c r="EQ59" t="str">
        <f>IF(EO59=1,COUNTIFS($EO$4:$EO$503,1,$EP$4:$EP$503,"&gt;"&amp;EP59)+COUNTIFS($EO$4:EO59,1,$EP$4:EP59,EP59),"")</f>
        <v/>
      </c>
      <c r="ER59" t="str">
        <f>IF(EO59=1,COUNTIFS($EN$4:$EN$503,EN59,$EM$4:$EM$503,"Interne",$FE$4:$FE$503,1),"")</f>
        <v/>
      </c>
      <c r="ES59" t="str">
        <f>IF(EO59=1,COUNTIFS($EN$4:$EN$503,EN59,$EM$4:$EM$503,"Externe",$FE$4:$FE$503,1),"")</f>
        <v/>
      </c>
      <c r="ET59" t="str">
        <f>IF(EO59=1,IF(ER59+ES59=0,"à affecter",IF(ER59=0,ES59&amp;" ext.",(ER59+ES59)&amp;IF(ES59&gt;0," dont "&amp;ES59&amp;" ext.",""))&amp;IF(COUNTIFS($EN$4:$EN$503,EN59,$EM$4:$EM$503,"Non affecté")&gt;0," + à affecter","")),"")</f>
        <v/>
      </c>
      <c r="EU59" s="170" t="str">
        <f>IF(EO59=1,IF(EP59&gt;0,SUMPRODUCT(($EN$4:$EN$503=EN59)*$E$4:$E$503*$C$4:$C$503)/EP59,AVERAGEIF($EN$4:$EN$503,EN59,$C$4:$C$503)),"")</f>
        <v/>
      </c>
      <c r="EV59" s="165">
        <f>IF(ISNUMBER(I59),I59,2958465)</f>
        <v>2958465.0</v>
      </c>
      <c r="EW59" s="165" t="str">
        <f>IF(EO59=1,SUMPRODUCT(MIN(($EN$4:$EN$503=EN59)*$EV$4:$EV$503+($EN$4:$EN$503&lt;&gt;EN59)*2958465)),"")</f>
        <v/>
      </c>
      <c r="EX59" s="165">
        <f>IF(AND(D59=1,ISNUMBER(INDEX(Charge!$F:$F,ROW()))),INDEX(Charge!$F:$F,ROW()),0)</f>
        <v>0.0</v>
      </c>
      <c r="EY59" s="165" t="str">
        <f>IF(EO59=1,SUMPRODUCT(MAX(($EN$4:$EN$503=EN59)*$EX$4:$EX$503)),"")</f>
        <v/>
      </c>
      <c r="FA59" t="str">
        <f>IF(56&lt;=$CD$23,INDEX($EJ$4:$EJ$203,56),IF(56-$CD$23&lt;=$CD$26,INDEX($EK$4:$EK$203,56-$CD$23),""))</f>
        <v/>
      </c>
      <c r="FB59" t="str">
        <f>IF(FA59="","",IF(56&lt;=$CD$23,"Interne","Externe"))</f>
        <v/>
      </c>
      <c r="FD59">
        <f>IF(AND(B59=1,TRIM(INDEX(Charge!$K:$K,ROW()))&lt;&gt;"",TRIM(INDEX(Charge!$L:$L,ROW()))&lt;&gt;""),1,0)</f>
        <v>0</v>
      </c>
      <c r="FE59">
        <f>IF(OR(EN59="",BZ59="(non affecté)"),0,IF(COUNTIFS($EN$4:EN59,EN59,$BZ$4:BZ59,BZ59)=1,1,0))</f>
        <v>0</v>
      </c>
    </row>
    <row r="60">
      <c r="A60">
        <f>ROW()</f>
        <v>60</v>
      </c>
      <c r="B60">
        <f>IF(TRIM(INDEX(Charge!$B:$B,ROW()))&lt;&gt;"",1,0)</f>
        <v>0</v>
      </c>
      <c r="C60">
        <f>IF(B60=1,MIN(1,MAX(0,N(INDEX(Charge!$O:$O,ROW())))),0)</f>
        <v>0</v>
      </c>
      <c r="D60">
        <f>IF(B60=1,IF(OR(p_Perimetre="Tous les projets",C60&lt;1),1,0),0)</f>
        <v>0</v>
      </c>
      <c r="E60">
        <f>IF(D60=1,MAX(0,N(INDEX(Charge!$M:$M,ROW()))),0)</f>
        <v>0</v>
      </c>
      <c r="F60" t="str">
        <f>IF(D60=1,IF(TRIM(INDEX(Charge!$A:$A,ROW()))="","(non renseigné)",TRIM(INDEX(Charge!$A:$A,ROW()))),"")</f>
        <v/>
      </c>
      <c r="G60" t="str">
        <f>IF(D60=1,TRIM(INDEX(Charge!$B:$B,ROW())),"")</f>
        <v/>
      </c>
      <c r="H60" t="str">
        <f>IF(D60=1,IF(TRIM(INDEX(Charge!$E:$E,ROW()))="","(non renseigné)",TRIM(INDEX(Charge!$E:$E,ROW()))),"")</f>
        <v/>
      </c>
      <c r="I60" s="165" t="str">
        <f>IF(AND(D60=1,ISNUMBER(INDEX(Charge!$N:$N,ROW()))),INDEX(Charge!$N:$N,ROW()),"")</f>
        <v/>
      </c>
      <c r="J60" s="165" t="str">
        <f>IF(I60="","",IF(AND(p_Repartition="Lissée jusqu'à la date de besoin",ISNUMBER(INDEX(Charge!$F:$F,ROW()))),IF(INDEX(Charge!$F:$F,ROW())&gt;=I60,INDEX(Charge!$F:$F,ROW()),I60),I60))</f>
        <v/>
      </c>
      <c r="K60" t="str">
        <f>IF(I60="","",NETWORKDAYS(I60,J60,Data!$K$4:$K$203))</f>
        <v/>
      </c>
      <c r="L60" t="str">
        <f>IF(D60=1,COUNTIFS($D$4:$D$503,1,$E$4:$E$503,"&gt;"&amp;E60)+COUNTIFS($D$4:$D60,1,$E$4:$E60,E60),"")</f>
        <v/>
      </c>
      <c r="M60">
        <f>IF(F60="",0,IF(COUNTIF($F$4:F60,F60)=1,1,0))</f>
        <v>0</v>
      </c>
      <c r="N60" t="str">
        <f>IF(M60=1,ROUND(SUMIF($F$4:$F$503,F60,$E$4:$E$503),2),"")</f>
        <v/>
      </c>
      <c r="O60" t="str">
        <f>IF(M60=1,COUNTIFS($M$4:$M$503,1,$N$4:$N$503,"&gt;"&amp;N60)+COUNTIFS($M$4:M60,1,$N$4:N60,N60),"")</f>
        <v/>
      </c>
      <c r="P60">
        <f>IF(G60="",0,IF(COUNTIF($G$4:G60,G60)=1,1,0))</f>
        <v>0</v>
      </c>
      <c r="Q60" t="str">
        <f>IF(P60=1,ROUND(SUMIF($G$4:$G$503,G60,$E$4:$E$503),2),"")</f>
        <v/>
      </c>
      <c r="R60" t="str">
        <f>IF(P60=1,COUNTIFS($P$4:$P$503,1,$Q$4:$Q$503,"&gt;"&amp;Q60)+COUNTIFS($P$4:P60,1,$Q$4:Q60,Q60),"")</f>
        <v/>
      </c>
      <c r="S60">
        <f>IF(H60="",0,IF(COUNTIF($H$4:H60,H60)=1,1,0))</f>
        <v>0</v>
      </c>
      <c r="T60" t="str">
        <f>IF(S60=1,ROUND(SUMIF($H$4:$H$503,H60,$E$4:$E$503),2),"")</f>
        <v/>
      </c>
      <c r="U60" t="str">
        <f>IF(S60=1,COUNTIFS($S$4:$S$503,1,$T$4:$T$503,"&gt;"&amp;T60)+COUNTIFS($S$4:S60,1,$T$4:T60,T60),"")</f>
        <v/>
      </c>
      <c r="V60" t="str">
        <f>IF(D60=1,MIN(INDEX($R$4:$R$503,MATCH(G60,$G$4:$G$503,0)),IF($AL$7&gt;9,9,999)),"")</f>
        <v/>
      </c>
      <c r="W60" s="166">
        <f>IF(OR($I60="",$E60=0),0,IF(OR($J60&lt;W$3,$I60&gt;W$2),0,IF($K60=0,IF(AND($I60&gt;=W$3,$I60&lt;=W$2),$E60,0),$E60*NETWORKDAYS(MAX($I60,W$3),MIN($J60,W$2),Data!$K$4:$K$203)/$K60)))</f>
        <v>0</v>
      </c>
      <c r="X60" s="166">
        <f>IF(OR($I60="",$E60=0),0,IF(OR($J60&lt;X$3,$I60&gt;X$2),0,IF($K60=0,IF(AND($I60&gt;=X$3,$I60&lt;=X$2),$E60,0),$E60*NETWORKDAYS(MAX($I60,X$3),MIN($J60,X$2),Data!$K$4:$K$203)/$K60)))</f>
        <v>0</v>
      </c>
      <c r="Y60" s="166">
        <f>IF(OR($I60="",$E60=0),0,IF(OR($J60&lt;Y$3,$I60&gt;Y$2),0,IF($K60=0,IF(AND($I60&gt;=Y$3,$I60&lt;=Y$2),$E60,0),$E60*NETWORKDAYS(MAX($I60,Y$3),MIN($J60,Y$2),Data!$K$4:$K$203)/$K60)))</f>
        <v>0</v>
      </c>
      <c r="Z60" s="166">
        <f>IF(OR($I60="",$E60=0),0,IF(OR($J60&lt;Z$3,$I60&gt;Z$2),0,IF($K60=0,IF(AND($I60&gt;=Z$3,$I60&lt;=Z$2),$E60,0),$E60*NETWORKDAYS(MAX($I60,Z$3),MIN($J60,Z$2),Data!$K$4:$K$203)/$K60)))</f>
        <v>0</v>
      </c>
      <c r="AA60" s="166">
        <f>IF(OR($I60="",$E60=0),0,IF(OR($J60&lt;AA$3,$I60&gt;AA$2),0,IF($K60=0,IF(AND($I60&gt;=AA$3,$I60&lt;=AA$2),$E60,0),$E60*NETWORKDAYS(MAX($I60,AA$3),MIN($J60,AA$2),Data!$K$4:$K$203)/$K60)))</f>
        <v>0</v>
      </c>
      <c r="AB60" s="166">
        <f>IF(OR($I60="",$E60=0),0,IF(OR($J60&lt;AB$3,$I60&gt;AB$2),0,IF($K60=0,IF(AND($I60&gt;=AB$3,$I60&lt;=AB$2),$E60,0),$E60*NETWORKDAYS(MAX($I60,AB$3),MIN($J60,AB$2),Data!$K$4:$K$203)/$K60)))</f>
        <v>0</v>
      </c>
      <c r="AC60" s="166">
        <f>IF(OR($I60="",$E60=0),0,IF(OR($J60&lt;AC$3,$I60&gt;AC$2),0,IF($K60=0,IF(AND($I60&gt;=AC$3,$I60&lt;=AC$2),$E60,0),$E60*NETWORKDAYS(MAX($I60,AC$3),MIN($J60,AC$2),Data!$K$4:$K$203)/$K60)))</f>
        <v>0</v>
      </c>
      <c r="AD60" s="166">
        <f>IF(OR($I60="",$E60=0),0,IF(OR($J60&lt;AD$3,$I60&gt;AD$2),0,IF($K60=0,IF(AND($I60&gt;=AD$3,$I60&lt;=AD$2),$E60,0),$E60*NETWORKDAYS(MAX($I60,AD$3),MIN($J60,AD$2),Data!$K$4:$K$203)/$K60)))</f>
        <v>0</v>
      </c>
      <c r="AE60" s="166">
        <f>IF(OR($I60="",$E60=0),0,IF(OR($J60&lt;AE$3,$I60&gt;AE$2),0,IF($K60=0,IF(AND($I60&gt;=AE$3,$I60&lt;=AE$2),$E60,0),$E60*NETWORKDAYS(MAX($I60,AE$3),MIN($J60,AE$2),Data!$K$4:$K$203)/$K60)))</f>
        <v>0</v>
      </c>
      <c r="AF60" s="166">
        <f>IF(OR($I60="",$E60=0),0,IF(OR($J60&lt;AF$3,$I60&gt;AF$2),0,IF($K60=0,IF(AND($I60&gt;=AF$3,$I60&lt;=AF$2),$E60,0),$E60*NETWORKDAYS(MAX($I60,AF$3),MIN($J60,AF$2),Data!$K$4:$K$203)/$K60)))</f>
        <v>0</v>
      </c>
      <c r="AG60" s="166">
        <f>IF(OR($I60="",$E60=0),0,IF(OR($J60&lt;AG$3,$I60&gt;AG$2),0,IF($K60=0,IF(AND($I60&gt;=AG$3,$I60&lt;=AG$2),$E60,0),$E60*NETWORKDAYS(MAX($I60,AG$3),MIN($J60,AG$2),Data!$K$4:$K$203)/$K60)))</f>
        <v>0</v>
      </c>
      <c r="AH60" s="166">
        <f>IF(OR($I60="",$E60=0),0,IF(OR($J60&lt;AH$3,$I60&gt;AH$2),0,IF($K60=0,IF(AND($I60&gt;=AH$3,$I60&lt;=AH$2),$E60,0),$E60*NETWORKDAYS(MAX($I60,AH$3),MIN($J60,AH$2),Data!$K$4:$K$203)/$K60)))</f>
        <v>0</v>
      </c>
      <c r="AI60" s="166">
        <f>SUM(W60:AH60)</f>
        <v>0</v>
      </c>
      <c r="BW60" t="n">
        <v>57</v>
      </c>
      <c r="BX60" t="str">
        <f>IFERROR(MATCH(BW60,$EQ$4:$EQ$503,0),"")</f>
        <v/>
      </c>
      <c r="BZ60" t="str">
        <f>IF(D60=1,IF(TRIM(INDEX(Charge!$K:$K,ROW()))&lt;&gt;"",TRIM(INDEX(Charge!$K:$K,ROW())),IF(TRIM(INDEX(Charge!$L:$L,ROW()))&lt;&gt;"",TRIM(INDEX(Charge!$L:$L,ROW())),"(non affecté)")),"")</f>
        <v/>
      </c>
      <c r="CA60" t="str">
        <f>IF(AND($CD$4&lt;&gt;"",BZ60=$CD$4),COUNTIFS($BZ$4:$BZ$503,$CD$4,$L$4:$L$503,"&lt;"&amp;L60)+1,"")</f>
        <v/>
      </c>
      <c r="EJ60" t="str">
        <f>TRIM(INDEX(Data!$E:$E,ROW()))</f>
        <v/>
      </c>
      <c r="EK60" t="str">
        <f>TRIM(INDEX(Data!$H:$H,ROW()))</f>
        <v/>
      </c>
      <c r="EM60" t="str">
        <f>IF(D60=1,IF(TRIM(INDEX(Charge!$K:$K,ROW()))&lt;&gt;"","Interne",IF(TRIM(INDEX(Charge!$L:$L,ROW()))&lt;&gt;"","Externe","Non affecté")),"")</f>
        <v/>
      </c>
      <c r="EN60" t="str">
        <f>IF(D60=1,LEFT(SUBSTITUTE(SUBSTITUTE(SUBSTITUTE(TRIM(SUBSTITUTE(INDEX(Charge!$B:$B,ROW()),CHAR(160)," "))&amp;" | "&amp;TRIM(SUBSTITUTE(INDEX(Charge!$C:$C,ROW()),CHAR(160)," "))&amp;" | "&amp;TRIM(SUBSTITUTE(INDEX(Charge!$D:$D,ROW()),CHAR(160)," ")),"~","-"),"*","+"),"?","!"),240),"")</f>
        <v/>
      </c>
      <c r="EO60">
        <f>IF(EN60="",0,IF(COUNTIF($EN$4:EN60,EN60)=1,1,0))</f>
        <v>0</v>
      </c>
      <c r="EP60" s="166" t="str">
        <f>IF(EO60=1,ROUND(SUMIF($EN$4:$EN$503,EN60,$E$4:$E$503),2),"")</f>
        <v/>
      </c>
      <c r="EQ60" t="str">
        <f>IF(EO60=1,COUNTIFS($EO$4:$EO$503,1,$EP$4:$EP$503,"&gt;"&amp;EP60)+COUNTIFS($EO$4:EO60,1,$EP$4:EP60,EP60),"")</f>
        <v/>
      </c>
      <c r="ER60" t="str">
        <f>IF(EO60=1,COUNTIFS($EN$4:$EN$503,EN60,$EM$4:$EM$503,"Interne",$FE$4:$FE$503,1),"")</f>
        <v/>
      </c>
      <c r="ES60" t="str">
        <f>IF(EO60=1,COUNTIFS($EN$4:$EN$503,EN60,$EM$4:$EM$503,"Externe",$FE$4:$FE$503,1),"")</f>
        <v/>
      </c>
      <c r="ET60" t="str">
        <f>IF(EO60=1,IF(ER60+ES60=0,"à affecter",IF(ER60=0,ES60&amp;" ext.",(ER60+ES60)&amp;IF(ES60&gt;0," dont "&amp;ES60&amp;" ext.",""))&amp;IF(COUNTIFS($EN$4:$EN$503,EN60,$EM$4:$EM$503,"Non affecté")&gt;0," + à affecter","")),"")</f>
        <v/>
      </c>
      <c r="EU60" s="170" t="str">
        <f>IF(EO60=1,IF(EP60&gt;0,SUMPRODUCT(($EN$4:$EN$503=EN60)*$E$4:$E$503*$C$4:$C$503)/EP60,AVERAGEIF($EN$4:$EN$503,EN60,$C$4:$C$503)),"")</f>
        <v/>
      </c>
      <c r="EV60" s="165">
        <f>IF(ISNUMBER(I60),I60,2958465)</f>
        <v>2958465.0</v>
      </c>
      <c r="EW60" s="165" t="str">
        <f>IF(EO60=1,SUMPRODUCT(MIN(($EN$4:$EN$503=EN60)*$EV$4:$EV$503+($EN$4:$EN$503&lt;&gt;EN60)*2958465)),"")</f>
        <v/>
      </c>
      <c r="EX60" s="165">
        <f>IF(AND(D60=1,ISNUMBER(INDEX(Charge!$F:$F,ROW()))),INDEX(Charge!$F:$F,ROW()),0)</f>
        <v>0.0</v>
      </c>
      <c r="EY60" s="165" t="str">
        <f>IF(EO60=1,SUMPRODUCT(MAX(($EN$4:$EN$503=EN60)*$EX$4:$EX$503)),"")</f>
        <v/>
      </c>
      <c r="FA60" t="str">
        <f>IF(57&lt;=$CD$23,INDEX($EJ$4:$EJ$203,57),IF(57-$CD$23&lt;=$CD$26,INDEX($EK$4:$EK$203,57-$CD$23),""))</f>
        <v/>
      </c>
      <c r="FB60" t="str">
        <f>IF(FA60="","",IF(57&lt;=$CD$23,"Interne","Externe"))</f>
        <v/>
      </c>
      <c r="FD60">
        <f>IF(AND(B60=1,TRIM(INDEX(Charge!$K:$K,ROW()))&lt;&gt;"",TRIM(INDEX(Charge!$L:$L,ROW()))&lt;&gt;""),1,0)</f>
        <v>0</v>
      </c>
      <c r="FE60">
        <f>IF(OR(EN60="",BZ60="(non affecté)"),0,IF(COUNTIFS($EN$4:EN60,EN60,$BZ$4:BZ60,BZ60)=1,1,0))</f>
        <v>0</v>
      </c>
    </row>
    <row r="61">
      <c r="A61">
        <f>ROW()</f>
        <v>61</v>
      </c>
      <c r="B61">
        <f>IF(TRIM(INDEX(Charge!$B:$B,ROW()))&lt;&gt;"",1,0)</f>
        <v>0</v>
      </c>
      <c r="C61">
        <f>IF(B61=1,MIN(1,MAX(0,N(INDEX(Charge!$O:$O,ROW())))),0)</f>
        <v>0</v>
      </c>
      <c r="D61">
        <f>IF(B61=1,IF(OR(p_Perimetre="Tous les projets",C61&lt;1),1,0),0)</f>
        <v>0</v>
      </c>
      <c r="E61">
        <f>IF(D61=1,MAX(0,N(INDEX(Charge!$M:$M,ROW()))),0)</f>
        <v>0</v>
      </c>
      <c r="F61" t="str">
        <f>IF(D61=1,IF(TRIM(INDEX(Charge!$A:$A,ROW()))="","(non renseigné)",TRIM(INDEX(Charge!$A:$A,ROW()))),"")</f>
        <v/>
      </c>
      <c r="G61" t="str">
        <f>IF(D61=1,TRIM(INDEX(Charge!$B:$B,ROW())),"")</f>
        <v/>
      </c>
      <c r="H61" t="str">
        <f>IF(D61=1,IF(TRIM(INDEX(Charge!$E:$E,ROW()))="","(non renseigné)",TRIM(INDEX(Charge!$E:$E,ROW()))),"")</f>
        <v/>
      </c>
      <c r="I61" s="165" t="str">
        <f>IF(AND(D61=1,ISNUMBER(INDEX(Charge!$N:$N,ROW()))),INDEX(Charge!$N:$N,ROW()),"")</f>
        <v/>
      </c>
      <c r="J61" s="165" t="str">
        <f>IF(I61="","",IF(AND(p_Repartition="Lissée jusqu'à la date de besoin",ISNUMBER(INDEX(Charge!$F:$F,ROW()))),IF(INDEX(Charge!$F:$F,ROW())&gt;=I61,INDEX(Charge!$F:$F,ROW()),I61),I61))</f>
        <v/>
      </c>
      <c r="K61" t="str">
        <f>IF(I61="","",NETWORKDAYS(I61,J61,Data!$K$4:$K$203))</f>
        <v/>
      </c>
      <c r="L61" t="str">
        <f>IF(D61=1,COUNTIFS($D$4:$D$503,1,$E$4:$E$503,"&gt;"&amp;E61)+COUNTIFS($D$4:$D61,1,$E$4:$E61,E61),"")</f>
        <v/>
      </c>
      <c r="M61">
        <f>IF(F61="",0,IF(COUNTIF($F$4:F61,F61)=1,1,0))</f>
        <v>0</v>
      </c>
      <c r="N61" t="str">
        <f>IF(M61=1,ROUND(SUMIF($F$4:$F$503,F61,$E$4:$E$503),2),"")</f>
        <v/>
      </c>
      <c r="O61" t="str">
        <f>IF(M61=1,COUNTIFS($M$4:$M$503,1,$N$4:$N$503,"&gt;"&amp;N61)+COUNTIFS($M$4:M61,1,$N$4:N61,N61),"")</f>
        <v/>
      </c>
      <c r="P61">
        <f>IF(G61="",0,IF(COUNTIF($G$4:G61,G61)=1,1,0))</f>
        <v>0</v>
      </c>
      <c r="Q61" t="str">
        <f>IF(P61=1,ROUND(SUMIF($G$4:$G$503,G61,$E$4:$E$503),2),"")</f>
        <v/>
      </c>
      <c r="R61" t="str">
        <f>IF(P61=1,COUNTIFS($P$4:$P$503,1,$Q$4:$Q$503,"&gt;"&amp;Q61)+COUNTIFS($P$4:P61,1,$Q$4:Q61,Q61),"")</f>
        <v/>
      </c>
      <c r="S61">
        <f>IF(H61="",0,IF(COUNTIF($H$4:H61,H61)=1,1,0))</f>
        <v>0</v>
      </c>
      <c r="T61" t="str">
        <f>IF(S61=1,ROUND(SUMIF($H$4:$H$503,H61,$E$4:$E$503),2),"")</f>
        <v/>
      </c>
      <c r="U61" t="str">
        <f>IF(S61=1,COUNTIFS($S$4:$S$503,1,$T$4:$T$503,"&gt;"&amp;T61)+COUNTIFS($S$4:S61,1,$T$4:T61,T61),"")</f>
        <v/>
      </c>
      <c r="V61" t="str">
        <f>IF(D61=1,MIN(INDEX($R$4:$R$503,MATCH(G61,$G$4:$G$503,0)),IF($AL$7&gt;9,9,999)),"")</f>
        <v/>
      </c>
      <c r="W61" s="166">
        <f>IF(OR($I61="",$E61=0),0,IF(OR($J61&lt;W$3,$I61&gt;W$2),0,IF($K61=0,IF(AND($I61&gt;=W$3,$I61&lt;=W$2),$E61,0),$E61*NETWORKDAYS(MAX($I61,W$3),MIN($J61,W$2),Data!$K$4:$K$203)/$K61)))</f>
        <v>0</v>
      </c>
      <c r="X61" s="166">
        <f>IF(OR($I61="",$E61=0),0,IF(OR($J61&lt;X$3,$I61&gt;X$2),0,IF($K61=0,IF(AND($I61&gt;=X$3,$I61&lt;=X$2),$E61,0),$E61*NETWORKDAYS(MAX($I61,X$3),MIN($J61,X$2),Data!$K$4:$K$203)/$K61)))</f>
        <v>0</v>
      </c>
      <c r="Y61" s="166">
        <f>IF(OR($I61="",$E61=0),0,IF(OR($J61&lt;Y$3,$I61&gt;Y$2),0,IF($K61=0,IF(AND($I61&gt;=Y$3,$I61&lt;=Y$2),$E61,0),$E61*NETWORKDAYS(MAX($I61,Y$3),MIN($J61,Y$2),Data!$K$4:$K$203)/$K61)))</f>
        <v>0</v>
      </c>
      <c r="Z61" s="166">
        <f>IF(OR($I61="",$E61=0),0,IF(OR($J61&lt;Z$3,$I61&gt;Z$2),0,IF($K61=0,IF(AND($I61&gt;=Z$3,$I61&lt;=Z$2),$E61,0),$E61*NETWORKDAYS(MAX($I61,Z$3),MIN($J61,Z$2),Data!$K$4:$K$203)/$K61)))</f>
        <v>0</v>
      </c>
      <c r="AA61" s="166">
        <f>IF(OR($I61="",$E61=0),0,IF(OR($J61&lt;AA$3,$I61&gt;AA$2),0,IF($K61=0,IF(AND($I61&gt;=AA$3,$I61&lt;=AA$2),$E61,0),$E61*NETWORKDAYS(MAX($I61,AA$3),MIN($J61,AA$2),Data!$K$4:$K$203)/$K61)))</f>
        <v>0</v>
      </c>
      <c r="AB61" s="166">
        <f>IF(OR($I61="",$E61=0),0,IF(OR($J61&lt;AB$3,$I61&gt;AB$2),0,IF($K61=0,IF(AND($I61&gt;=AB$3,$I61&lt;=AB$2),$E61,0),$E61*NETWORKDAYS(MAX($I61,AB$3),MIN($J61,AB$2),Data!$K$4:$K$203)/$K61)))</f>
        <v>0</v>
      </c>
      <c r="AC61" s="166">
        <f>IF(OR($I61="",$E61=0),0,IF(OR($J61&lt;AC$3,$I61&gt;AC$2),0,IF($K61=0,IF(AND($I61&gt;=AC$3,$I61&lt;=AC$2),$E61,0),$E61*NETWORKDAYS(MAX($I61,AC$3),MIN($J61,AC$2),Data!$K$4:$K$203)/$K61)))</f>
        <v>0</v>
      </c>
      <c r="AD61" s="166">
        <f>IF(OR($I61="",$E61=0),0,IF(OR($J61&lt;AD$3,$I61&gt;AD$2),0,IF($K61=0,IF(AND($I61&gt;=AD$3,$I61&lt;=AD$2),$E61,0),$E61*NETWORKDAYS(MAX($I61,AD$3),MIN($J61,AD$2),Data!$K$4:$K$203)/$K61)))</f>
        <v>0</v>
      </c>
      <c r="AE61" s="166">
        <f>IF(OR($I61="",$E61=0),0,IF(OR($J61&lt;AE$3,$I61&gt;AE$2),0,IF($K61=0,IF(AND($I61&gt;=AE$3,$I61&lt;=AE$2),$E61,0),$E61*NETWORKDAYS(MAX($I61,AE$3),MIN($J61,AE$2),Data!$K$4:$K$203)/$K61)))</f>
        <v>0</v>
      </c>
      <c r="AF61" s="166">
        <f>IF(OR($I61="",$E61=0),0,IF(OR($J61&lt;AF$3,$I61&gt;AF$2),0,IF($K61=0,IF(AND($I61&gt;=AF$3,$I61&lt;=AF$2),$E61,0),$E61*NETWORKDAYS(MAX($I61,AF$3),MIN($J61,AF$2),Data!$K$4:$K$203)/$K61)))</f>
        <v>0</v>
      </c>
      <c r="AG61" s="166">
        <f>IF(OR($I61="",$E61=0),0,IF(OR($J61&lt;AG$3,$I61&gt;AG$2),0,IF($K61=0,IF(AND($I61&gt;=AG$3,$I61&lt;=AG$2),$E61,0),$E61*NETWORKDAYS(MAX($I61,AG$3),MIN($J61,AG$2),Data!$K$4:$K$203)/$K61)))</f>
        <v>0</v>
      </c>
      <c r="AH61" s="166">
        <f>IF(OR($I61="",$E61=0),0,IF(OR($J61&lt;AH$3,$I61&gt;AH$2),0,IF($K61=0,IF(AND($I61&gt;=AH$3,$I61&lt;=AH$2),$E61,0),$E61*NETWORKDAYS(MAX($I61,AH$3),MIN($J61,AH$2),Data!$K$4:$K$203)/$K61)))</f>
        <v>0</v>
      </c>
      <c r="AI61" s="166">
        <f>SUM(W61:AH61)</f>
        <v>0</v>
      </c>
      <c r="BW61" t="n">
        <v>58</v>
      </c>
      <c r="BX61" t="str">
        <f>IFERROR(MATCH(BW61,$EQ$4:$EQ$503,0),"")</f>
        <v/>
      </c>
      <c r="BZ61" t="str">
        <f>IF(D61=1,IF(TRIM(INDEX(Charge!$K:$K,ROW()))&lt;&gt;"",TRIM(INDEX(Charge!$K:$K,ROW())),IF(TRIM(INDEX(Charge!$L:$L,ROW()))&lt;&gt;"",TRIM(INDEX(Charge!$L:$L,ROW())),"(non affecté)")),"")</f>
        <v/>
      </c>
      <c r="CA61" t="str">
        <f>IF(AND($CD$4&lt;&gt;"",BZ61=$CD$4),COUNTIFS($BZ$4:$BZ$503,$CD$4,$L$4:$L$503,"&lt;"&amp;L61)+1,"")</f>
        <v/>
      </c>
      <c r="EJ61" t="str">
        <f>TRIM(INDEX(Data!$E:$E,ROW()))</f>
        <v/>
      </c>
      <c r="EK61" t="str">
        <f>TRIM(INDEX(Data!$H:$H,ROW()))</f>
        <v/>
      </c>
      <c r="EM61" t="str">
        <f>IF(D61=1,IF(TRIM(INDEX(Charge!$K:$K,ROW()))&lt;&gt;"","Interne",IF(TRIM(INDEX(Charge!$L:$L,ROW()))&lt;&gt;"","Externe","Non affecté")),"")</f>
        <v/>
      </c>
      <c r="EN61" t="str">
        <f>IF(D61=1,LEFT(SUBSTITUTE(SUBSTITUTE(SUBSTITUTE(TRIM(SUBSTITUTE(INDEX(Charge!$B:$B,ROW()),CHAR(160)," "))&amp;" | "&amp;TRIM(SUBSTITUTE(INDEX(Charge!$C:$C,ROW()),CHAR(160)," "))&amp;" | "&amp;TRIM(SUBSTITUTE(INDEX(Charge!$D:$D,ROW()),CHAR(160)," ")),"~","-"),"*","+"),"?","!"),240),"")</f>
        <v/>
      </c>
      <c r="EO61">
        <f>IF(EN61="",0,IF(COUNTIF($EN$4:EN61,EN61)=1,1,0))</f>
        <v>0</v>
      </c>
      <c r="EP61" s="166" t="str">
        <f>IF(EO61=1,ROUND(SUMIF($EN$4:$EN$503,EN61,$E$4:$E$503),2),"")</f>
        <v/>
      </c>
      <c r="EQ61" t="str">
        <f>IF(EO61=1,COUNTIFS($EO$4:$EO$503,1,$EP$4:$EP$503,"&gt;"&amp;EP61)+COUNTIFS($EO$4:EO61,1,$EP$4:EP61,EP61),"")</f>
        <v/>
      </c>
      <c r="ER61" t="str">
        <f>IF(EO61=1,COUNTIFS($EN$4:$EN$503,EN61,$EM$4:$EM$503,"Interne",$FE$4:$FE$503,1),"")</f>
        <v/>
      </c>
      <c r="ES61" t="str">
        <f>IF(EO61=1,COUNTIFS($EN$4:$EN$503,EN61,$EM$4:$EM$503,"Externe",$FE$4:$FE$503,1),"")</f>
        <v/>
      </c>
      <c r="ET61" t="str">
        <f>IF(EO61=1,IF(ER61+ES61=0,"à affecter",IF(ER61=0,ES61&amp;" ext.",(ER61+ES61)&amp;IF(ES61&gt;0," dont "&amp;ES61&amp;" ext.",""))&amp;IF(COUNTIFS($EN$4:$EN$503,EN61,$EM$4:$EM$503,"Non affecté")&gt;0," + à affecter","")),"")</f>
        <v/>
      </c>
      <c r="EU61" s="170" t="str">
        <f>IF(EO61=1,IF(EP61&gt;0,SUMPRODUCT(($EN$4:$EN$503=EN61)*$E$4:$E$503*$C$4:$C$503)/EP61,AVERAGEIF($EN$4:$EN$503,EN61,$C$4:$C$503)),"")</f>
        <v/>
      </c>
      <c r="EV61" s="165">
        <f>IF(ISNUMBER(I61),I61,2958465)</f>
        <v>2958465.0</v>
      </c>
      <c r="EW61" s="165" t="str">
        <f>IF(EO61=1,SUMPRODUCT(MIN(($EN$4:$EN$503=EN61)*$EV$4:$EV$503+($EN$4:$EN$503&lt;&gt;EN61)*2958465)),"")</f>
        <v/>
      </c>
      <c r="EX61" s="165">
        <f>IF(AND(D61=1,ISNUMBER(INDEX(Charge!$F:$F,ROW()))),INDEX(Charge!$F:$F,ROW()),0)</f>
        <v>0.0</v>
      </c>
      <c r="EY61" s="165" t="str">
        <f>IF(EO61=1,SUMPRODUCT(MAX(($EN$4:$EN$503=EN61)*$EX$4:$EX$503)),"")</f>
        <v/>
      </c>
      <c r="FA61" t="str">
        <f>IF(58&lt;=$CD$23,INDEX($EJ$4:$EJ$203,58),IF(58-$CD$23&lt;=$CD$26,INDEX($EK$4:$EK$203,58-$CD$23),""))</f>
        <v/>
      </c>
      <c r="FB61" t="str">
        <f>IF(FA61="","",IF(58&lt;=$CD$23,"Interne","Externe"))</f>
        <v/>
      </c>
      <c r="FD61">
        <f>IF(AND(B61=1,TRIM(INDEX(Charge!$K:$K,ROW()))&lt;&gt;"",TRIM(INDEX(Charge!$L:$L,ROW()))&lt;&gt;""),1,0)</f>
        <v>0</v>
      </c>
      <c r="FE61">
        <f>IF(OR(EN61="",BZ61="(non affecté)"),0,IF(COUNTIFS($EN$4:EN61,EN61,$BZ$4:BZ61,BZ61)=1,1,0))</f>
        <v>0</v>
      </c>
    </row>
    <row r="62">
      <c r="A62">
        <f>ROW()</f>
        <v>62</v>
      </c>
      <c r="B62">
        <f>IF(TRIM(INDEX(Charge!$B:$B,ROW()))&lt;&gt;"",1,0)</f>
        <v>0</v>
      </c>
      <c r="C62">
        <f>IF(B62=1,MIN(1,MAX(0,N(INDEX(Charge!$O:$O,ROW())))),0)</f>
        <v>0</v>
      </c>
      <c r="D62">
        <f>IF(B62=1,IF(OR(p_Perimetre="Tous les projets",C62&lt;1),1,0),0)</f>
        <v>0</v>
      </c>
      <c r="E62">
        <f>IF(D62=1,MAX(0,N(INDEX(Charge!$M:$M,ROW()))),0)</f>
        <v>0</v>
      </c>
      <c r="F62" t="str">
        <f>IF(D62=1,IF(TRIM(INDEX(Charge!$A:$A,ROW()))="","(non renseigné)",TRIM(INDEX(Charge!$A:$A,ROW()))),"")</f>
        <v/>
      </c>
      <c r="G62" t="str">
        <f>IF(D62=1,TRIM(INDEX(Charge!$B:$B,ROW())),"")</f>
        <v/>
      </c>
      <c r="H62" t="str">
        <f>IF(D62=1,IF(TRIM(INDEX(Charge!$E:$E,ROW()))="","(non renseigné)",TRIM(INDEX(Charge!$E:$E,ROW()))),"")</f>
        <v/>
      </c>
      <c r="I62" s="165" t="str">
        <f>IF(AND(D62=1,ISNUMBER(INDEX(Charge!$N:$N,ROW()))),INDEX(Charge!$N:$N,ROW()),"")</f>
        <v/>
      </c>
      <c r="J62" s="165" t="str">
        <f>IF(I62="","",IF(AND(p_Repartition="Lissée jusqu'à la date de besoin",ISNUMBER(INDEX(Charge!$F:$F,ROW()))),IF(INDEX(Charge!$F:$F,ROW())&gt;=I62,INDEX(Charge!$F:$F,ROW()),I62),I62))</f>
        <v/>
      </c>
      <c r="K62" t="str">
        <f>IF(I62="","",NETWORKDAYS(I62,J62,Data!$K$4:$K$203))</f>
        <v/>
      </c>
      <c r="L62" t="str">
        <f>IF(D62=1,COUNTIFS($D$4:$D$503,1,$E$4:$E$503,"&gt;"&amp;E62)+COUNTIFS($D$4:$D62,1,$E$4:$E62,E62),"")</f>
        <v/>
      </c>
      <c r="M62">
        <f>IF(F62="",0,IF(COUNTIF($F$4:F62,F62)=1,1,0))</f>
        <v>0</v>
      </c>
      <c r="N62" t="str">
        <f>IF(M62=1,ROUND(SUMIF($F$4:$F$503,F62,$E$4:$E$503),2),"")</f>
        <v/>
      </c>
      <c r="O62" t="str">
        <f>IF(M62=1,COUNTIFS($M$4:$M$503,1,$N$4:$N$503,"&gt;"&amp;N62)+COUNTIFS($M$4:M62,1,$N$4:N62,N62),"")</f>
        <v/>
      </c>
      <c r="P62">
        <f>IF(G62="",0,IF(COUNTIF($G$4:G62,G62)=1,1,0))</f>
        <v>0</v>
      </c>
      <c r="Q62" t="str">
        <f>IF(P62=1,ROUND(SUMIF($G$4:$G$503,G62,$E$4:$E$503),2),"")</f>
        <v/>
      </c>
      <c r="R62" t="str">
        <f>IF(P62=1,COUNTIFS($P$4:$P$503,1,$Q$4:$Q$503,"&gt;"&amp;Q62)+COUNTIFS($P$4:P62,1,$Q$4:Q62,Q62),"")</f>
        <v/>
      </c>
      <c r="S62">
        <f>IF(H62="",0,IF(COUNTIF($H$4:H62,H62)=1,1,0))</f>
        <v>0</v>
      </c>
      <c r="T62" t="str">
        <f>IF(S62=1,ROUND(SUMIF($H$4:$H$503,H62,$E$4:$E$503),2),"")</f>
        <v/>
      </c>
      <c r="U62" t="str">
        <f>IF(S62=1,COUNTIFS($S$4:$S$503,1,$T$4:$T$503,"&gt;"&amp;T62)+COUNTIFS($S$4:S62,1,$T$4:T62,T62),"")</f>
        <v/>
      </c>
      <c r="V62" t="str">
        <f>IF(D62=1,MIN(INDEX($R$4:$R$503,MATCH(G62,$G$4:$G$503,0)),IF($AL$7&gt;9,9,999)),"")</f>
        <v/>
      </c>
      <c r="W62" s="166">
        <f>IF(OR($I62="",$E62=0),0,IF(OR($J62&lt;W$3,$I62&gt;W$2),0,IF($K62=0,IF(AND($I62&gt;=W$3,$I62&lt;=W$2),$E62,0),$E62*NETWORKDAYS(MAX($I62,W$3),MIN($J62,W$2),Data!$K$4:$K$203)/$K62)))</f>
        <v>0</v>
      </c>
      <c r="X62" s="166">
        <f>IF(OR($I62="",$E62=0),0,IF(OR($J62&lt;X$3,$I62&gt;X$2),0,IF($K62=0,IF(AND($I62&gt;=X$3,$I62&lt;=X$2),$E62,0),$E62*NETWORKDAYS(MAX($I62,X$3),MIN($J62,X$2),Data!$K$4:$K$203)/$K62)))</f>
        <v>0</v>
      </c>
      <c r="Y62" s="166">
        <f>IF(OR($I62="",$E62=0),0,IF(OR($J62&lt;Y$3,$I62&gt;Y$2),0,IF($K62=0,IF(AND($I62&gt;=Y$3,$I62&lt;=Y$2),$E62,0),$E62*NETWORKDAYS(MAX($I62,Y$3),MIN($J62,Y$2),Data!$K$4:$K$203)/$K62)))</f>
        <v>0</v>
      </c>
      <c r="Z62" s="166">
        <f>IF(OR($I62="",$E62=0),0,IF(OR($J62&lt;Z$3,$I62&gt;Z$2),0,IF($K62=0,IF(AND($I62&gt;=Z$3,$I62&lt;=Z$2),$E62,0),$E62*NETWORKDAYS(MAX($I62,Z$3),MIN($J62,Z$2),Data!$K$4:$K$203)/$K62)))</f>
        <v>0</v>
      </c>
      <c r="AA62" s="166">
        <f>IF(OR($I62="",$E62=0),0,IF(OR($J62&lt;AA$3,$I62&gt;AA$2),0,IF($K62=0,IF(AND($I62&gt;=AA$3,$I62&lt;=AA$2),$E62,0),$E62*NETWORKDAYS(MAX($I62,AA$3),MIN($J62,AA$2),Data!$K$4:$K$203)/$K62)))</f>
        <v>0</v>
      </c>
      <c r="AB62" s="166">
        <f>IF(OR($I62="",$E62=0),0,IF(OR($J62&lt;AB$3,$I62&gt;AB$2),0,IF($K62=0,IF(AND($I62&gt;=AB$3,$I62&lt;=AB$2),$E62,0),$E62*NETWORKDAYS(MAX($I62,AB$3),MIN($J62,AB$2),Data!$K$4:$K$203)/$K62)))</f>
        <v>0</v>
      </c>
      <c r="AC62" s="166">
        <f>IF(OR($I62="",$E62=0),0,IF(OR($J62&lt;AC$3,$I62&gt;AC$2),0,IF($K62=0,IF(AND($I62&gt;=AC$3,$I62&lt;=AC$2),$E62,0),$E62*NETWORKDAYS(MAX($I62,AC$3),MIN($J62,AC$2),Data!$K$4:$K$203)/$K62)))</f>
        <v>0</v>
      </c>
      <c r="AD62" s="166">
        <f>IF(OR($I62="",$E62=0),0,IF(OR($J62&lt;AD$3,$I62&gt;AD$2),0,IF($K62=0,IF(AND($I62&gt;=AD$3,$I62&lt;=AD$2),$E62,0),$E62*NETWORKDAYS(MAX($I62,AD$3),MIN($J62,AD$2),Data!$K$4:$K$203)/$K62)))</f>
        <v>0</v>
      </c>
      <c r="AE62" s="166">
        <f>IF(OR($I62="",$E62=0),0,IF(OR($J62&lt;AE$3,$I62&gt;AE$2),0,IF($K62=0,IF(AND($I62&gt;=AE$3,$I62&lt;=AE$2),$E62,0),$E62*NETWORKDAYS(MAX($I62,AE$3),MIN($J62,AE$2),Data!$K$4:$K$203)/$K62)))</f>
        <v>0</v>
      </c>
      <c r="AF62" s="166">
        <f>IF(OR($I62="",$E62=0),0,IF(OR($J62&lt;AF$3,$I62&gt;AF$2),0,IF($K62=0,IF(AND($I62&gt;=AF$3,$I62&lt;=AF$2),$E62,0),$E62*NETWORKDAYS(MAX($I62,AF$3),MIN($J62,AF$2),Data!$K$4:$K$203)/$K62)))</f>
        <v>0</v>
      </c>
      <c r="AG62" s="166">
        <f>IF(OR($I62="",$E62=0),0,IF(OR($J62&lt;AG$3,$I62&gt;AG$2),0,IF($K62=0,IF(AND($I62&gt;=AG$3,$I62&lt;=AG$2),$E62,0),$E62*NETWORKDAYS(MAX($I62,AG$3),MIN($J62,AG$2),Data!$K$4:$K$203)/$K62)))</f>
        <v>0</v>
      </c>
      <c r="AH62" s="166">
        <f>IF(OR($I62="",$E62=0),0,IF(OR($J62&lt;AH$3,$I62&gt;AH$2),0,IF($K62=0,IF(AND($I62&gt;=AH$3,$I62&lt;=AH$2),$E62,0),$E62*NETWORKDAYS(MAX($I62,AH$3),MIN($J62,AH$2),Data!$K$4:$K$203)/$K62)))</f>
        <v>0</v>
      </c>
      <c r="AI62" s="166">
        <f>SUM(W62:AH62)</f>
        <v>0</v>
      </c>
      <c r="BW62" t="n">
        <v>59</v>
      </c>
      <c r="BX62" t="str">
        <f>IFERROR(MATCH(BW62,$EQ$4:$EQ$503,0),"")</f>
        <v/>
      </c>
      <c r="BZ62" t="str">
        <f>IF(D62=1,IF(TRIM(INDEX(Charge!$K:$K,ROW()))&lt;&gt;"",TRIM(INDEX(Charge!$K:$K,ROW())),IF(TRIM(INDEX(Charge!$L:$L,ROW()))&lt;&gt;"",TRIM(INDEX(Charge!$L:$L,ROW())),"(non affecté)")),"")</f>
        <v/>
      </c>
      <c r="CA62" t="str">
        <f>IF(AND($CD$4&lt;&gt;"",BZ62=$CD$4),COUNTIFS($BZ$4:$BZ$503,$CD$4,$L$4:$L$503,"&lt;"&amp;L62)+1,"")</f>
        <v/>
      </c>
      <c r="EJ62" t="str">
        <f>TRIM(INDEX(Data!$E:$E,ROW()))</f>
        <v/>
      </c>
      <c r="EK62" t="str">
        <f>TRIM(INDEX(Data!$H:$H,ROW()))</f>
        <v/>
      </c>
      <c r="EM62" t="str">
        <f>IF(D62=1,IF(TRIM(INDEX(Charge!$K:$K,ROW()))&lt;&gt;"","Interne",IF(TRIM(INDEX(Charge!$L:$L,ROW()))&lt;&gt;"","Externe","Non affecté")),"")</f>
        <v/>
      </c>
      <c r="EN62" t="str">
        <f>IF(D62=1,LEFT(SUBSTITUTE(SUBSTITUTE(SUBSTITUTE(TRIM(SUBSTITUTE(INDEX(Charge!$B:$B,ROW()),CHAR(160)," "))&amp;" | "&amp;TRIM(SUBSTITUTE(INDEX(Charge!$C:$C,ROW()),CHAR(160)," "))&amp;" | "&amp;TRIM(SUBSTITUTE(INDEX(Charge!$D:$D,ROW()),CHAR(160)," ")),"~","-"),"*","+"),"?","!"),240),"")</f>
        <v/>
      </c>
      <c r="EO62">
        <f>IF(EN62="",0,IF(COUNTIF($EN$4:EN62,EN62)=1,1,0))</f>
        <v>0</v>
      </c>
      <c r="EP62" s="166" t="str">
        <f>IF(EO62=1,ROUND(SUMIF($EN$4:$EN$503,EN62,$E$4:$E$503),2),"")</f>
        <v/>
      </c>
      <c r="EQ62" t="str">
        <f>IF(EO62=1,COUNTIFS($EO$4:$EO$503,1,$EP$4:$EP$503,"&gt;"&amp;EP62)+COUNTIFS($EO$4:EO62,1,$EP$4:EP62,EP62),"")</f>
        <v/>
      </c>
      <c r="ER62" t="str">
        <f>IF(EO62=1,COUNTIFS($EN$4:$EN$503,EN62,$EM$4:$EM$503,"Interne",$FE$4:$FE$503,1),"")</f>
        <v/>
      </c>
      <c r="ES62" t="str">
        <f>IF(EO62=1,COUNTIFS($EN$4:$EN$503,EN62,$EM$4:$EM$503,"Externe",$FE$4:$FE$503,1),"")</f>
        <v/>
      </c>
      <c r="ET62" t="str">
        <f>IF(EO62=1,IF(ER62+ES62=0,"à affecter",IF(ER62=0,ES62&amp;" ext.",(ER62+ES62)&amp;IF(ES62&gt;0," dont "&amp;ES62&amp;" ext.",""))&amp;IF(COUNTIFS($EN$4:$EN$503,EN62,$EM$4:$EM$503,"Non affecté")&gt;0," + à affecter","")),"")</f>
        <v/>
      </c>
      <c r="EU62" s="170" t="str">
        <f>IF(EO62=1,IF(EP62&gt;0,SUMPRODUCT(($EN$4:$EN$503=EN62)*$E$4:$E$503*$C$4:$C$503)/EP62,AVERAGEIF($EN$4:$EN$503,EN62,$C$4:$C$503)),"")</f>
        <v/>
      </c>
      <c r="EV62" s="165">
        <f>IF(ISNUMBER(I62),I62,2958465)</f>
        <v>2958465.0</v>
      </c>
      <c r="EW62" s="165" t="str">
        <f>IF(EO62=1,SUMPRODUCT(MIN(($EN$4:$EN$503=EN62)*$EV$4:$EV$503+($EN$4:$EN$503&lt;&gt;EN62)*2958465)),"")</f>
        <v/>
      </c>
      <c r="EX62" s="165">
        <f>IF(AND(D62=1,ISNUMBER(INDEX(Charge!$F:$F,ROW()))),INDEX(Charge!$F:$F,ROW()),0)</f>
        <v>0.0</v>
      </c>
      <c r="EY62" s="165" t="str">
        <f>IF(EO62=1,SUMPRODUCT(MAX(($EN$4:$EN$503=EN62)*$EX$4:$EX$503)),"")</f>
        <v/>
      </c>
      <c r="FA62" t="str">
        <f>IF(59&lt;=$CD$23,INDEX($EJ$4:$EJ$203,59),IF(59-$CD$23&lt;=$CD$26,INDEX($EK$4:$EK$203,59-$CD$23),""))</f>
        <v/>
      </c>
      <c r="FB62" t="str">
        <f>IF(FA62="","",IF(59&lt;=$CD$23,"Interne","Externe"))</f>
        <v/>
      </c>
      <c r="FD62">
        <f>IF(AND(B62=1,TRIM(INDEX(Charge!$K:$K,ROW()))&lt;&gt;"",TRIM(INDEX(Charge!$L:$L,ROW()))&lt;&gt;""),1,0)</f>
        <v>0</v>
      </c>
      <c r="FE62">
        <f>IF(OR(EN62="",BZ62="(non affecté)"),0,IF(COUNTIFS($EN$4:EN62,EN62,$BZ$4:BZ62,BZ62)=1,1,0))</f>
        <v>0</v>
      </c>
    </row>
    <row r="63">
      <c r="A63">
        <f>ROW()</f>
        <v>63</v>
      </c>
      <c r="B63">
        <f>IF(TRIM(INDEX(Charge!$B:$B,ROW()))&lt;&gt;"",1,0)</f>
        <v>0</v>
      </c>
      <c r="C63">
        <f>IF(B63=1,MIN(1,MAX(0,N(INDEX(Charge!$O:$O,ROW())))),0)</f>
        <v>0</v>
      </c>
      <c r="D63">
        <f>IF(B63=1,IF(OR(p_Perimetre="Tous les projets",C63&lt;1),1,0),0)</f>
        <v>0</v>
      </c>
      <c r="E63">
        <f>IF(D63=1,MAX(0,N(INDEX(Charge!$M:$M,ROW()))),0)</f>
        <v>0</v>
      </c>
      <c r="F63" t="str">
        <f>IF(D63=1,IF(TRIM(INDEX(Charge!$A:$A,ROW()))="","(non renseigné)",TRIM(INDEX(Charge!$A:$A,ROW()))),"")</f>
        <v/>
      </c>
      <c r="G63" t="str">
        <f>IF(D63=1,TRIM(INDEX(Charge!$B:$B,ROW())),"")</f>
        <v/>
      </c>
      <c r="H63" t="str">
        <f>IF(D63=1,IF(TRIM(INDEX(Charge!$E:$E,ROW()))="","(non renseigné)",TRIM(INDEX(Charge!$E:$E,ROW()))),"")</f>
        <v/>
      </c>
      <c r="I63" s="165" t="str">
        <f>IF(AND(D63=1,ISNUMBER(INDEX(Charge!$N:$N,ROW()))),INDEX(Charge!$N:$N,ROW()),"")</f>
        <v/>
      </c>
      <c r="J63" s="165" t="str">
        <f>IF(I63="","",IF(AND(p_Repartition="Lissée jusqu'à la date de besoin",ISNUMBER(INDEX(Charge!$F:$F,ROW()))),IF(INDEX(Charge!$F:$F,ROW())&gt;=I63,INDEX(Charge!$F:$F,ROW()),I63),I63))</f>
        <v/>
      </c>
      <c r="K63" t="str">
        <f>IF(I63="","",NETWORKDAYS(I63,J63,Data!$K$4:$K$203))</f>
        <v/>
      </c>
      <c r="L63" t="str">
        <f>IF(D63=1,COUNTIFS($D$4:$D$503,1,$E$4:$E$503,"&gt;"&amp;E63)+COUNTIFS($D$4:$D63,1,$E$4:$E63,E63),"")</f>
        <v/>
      </c>
      <c r="M63">
        <f>IF(F63="",0,IF(COUNTIF($F$4:F63,F63)=1,1,0))</f>
        <v>0</v>
      </c>
      <c r="N63" t="str">
        <f>IF(M63=1,ROUND(SUMIF($F$4:$F$503,F63,$E$4:$E$503),2),"")</f>
        <v/>
      </c>
      <c r="O63" t="str">
        <f>IF(M63=1,COUNTIFS($M$4:$M$503,1,$N$4:$N$503,"&gt;"&amp;N63)+COUNTIFS($M$4:M63,1,$N$4:N63,N63),"")</f>
        <v/>
      </c>
      <c r="P63">
        <f>IF(G63="",0,IF(COUNTIF($G$4:G63,G63)=1,1,0))</f>
        <v>0</v>
      </c>
      <c r="Q63" t="str">
        <f>IF(P63=1,ROUND(SUMIF($G$4:$G$503,G63,$E$4:$E$503),2),"")</f>
        <v/>
      </c>
      <c r="R63" t="str">
        <f>IF(P63=1,COUNTIFS($P$4:$P$503,1,$Q$4:$Q$503,"&gt;"&amp;Q63)+COUNTIFS($P$4:P63,1,$Q$4:Q63,Q63),"")</f>
        <v/>
      </c>
      <c r="S63">
        <f>IF(H63="",0,IF(COUNTIF($H$4:H63,H63)=1,1,0))</f>
        <v>0</v>
      </c>
      <c r="T63" t="str">
        <f>IF(S63=1,ROUND(SUMIF($H$4:$H$503,H63,$E$4:$E$503),2),"")</f>
        <v/>
      </c>
      <c r="U63" t="str">
        <f>IF(S63=1,COUNTIFS($S$4:$S$503,1,$T$4:$T$503,"&gt;"&amp;T63)+COUNTIFS($S$4:S63,1,$T$4:T63,T63),"")</f>
        <v/>
      </c>
      <c r="V63" t="str">
        <f>IF(D63=1,MIN(INDEX($R$4:$R$503,MATCH(G63,$G$4:$G$503,0)),IF($AL$7&gt;9,9,999)),"")</f>
        <v/>
      </c>
      <c r="W63" s="166">
        <f>IF(OR($I63="",$E63=0),0,IF(OR($J63&lt;W$3,$I63&gt;W$2),0,IF($K63=0,IF(AND($I63&gt;=W$3,$I63&lt;=W$2),$E63,0),$E63*NETWORKDAYS(MAX($I63,W$3),MIN($J63,W$2),Data!$K$4:$K$203)/$K63)))</f>
        <v>0</v>
      </c>
      <c r="X63" s="166">
        <f>IF(OR($I63="",$E63=0),0,IF(OR($J63&lt;X$3,$I63&gt;X$2),0,IF($K63=0,IF(AND($I63&gt;=X$3,$I63&lt;=X$2),$E63,0),$E63*NETWORKDAYS(MAX($I63,X$3),MIN($J63,X$2),Data!$K$4:$K$203)/$K63)))</f>
        <v>0</v>
      </c>
      <c r="Y63" s="166">
        <f>IF(OR($I63="",$E63=0),0,IF(OR($J63&lt;Y$3,$I63&gt;Y$2),0,IF($K63=0,IF(AND($I63&gt;=Y$3,$I63&lt;=Y$2),$E63,0),$E63*NETWORKDAYS(MAX($I63,Y$3),MIN($J63,Y$2),Data!$K$4:$K$203)/$K63)))</f>
        <v>0</v>
      </c>
      <c r="Z63" s="166">
        <f>IF(OR($I63="",$E63=0),0,IF(OR($J63&lt;Z$3,$I63&gt;Z$2),0,IF($K63=0,IF(AND($I63&gt;=Z$3,$I63&lt;=Z$2),$E63,0),$E63*NETWORKDAYS(MAX($I63,Z$3),MIN($J63,Z$2),Data!$K$4:$K$203)/$K63)))</f>
        <v>0</v>
      </c>
      <c r="AA63" s="166">
        <f>IF(OR($I63="",$E63=0),0,IF(OR($J63&lt;AA$3,$I63&gt;AA$2),0,IF($K63=0,IF(AND($I63&gt;=AA$3,$I63&lt;=AA$2),$E63,0),$E63*NETWORKDAYS(MAX($I63,AA$3),MIN($J63,AA$2),Data!$K$4:$K$203)/$K63)))</f>
        <v>0</v>
      </c>
      <c r="AB63" s="166">
        <f>IF(OR($I63="",$E63=0),0,IF(OR($J63&lt;AB$3,$I63&gt;AB$2),0,IF($K63=0,IF(AND($I63&gt;=AB$3,$I63&lt;=AB$2),$E63,0),$E63*NETWORKDAYS(MAX($I63,AB$3),MIN($J63,AB$2),Data!$K$4:$K$203)/$K63)))</f>
        <v>0</v>
      </c>
      <c r="AC63" s="166">
        <f>IF(OR($I63="",$E63=0),0,IF(OR($J63&lt;AC$3,$I63&gt;AC$2),0,IF($K63=0,IF(AND($I63&gt;=AC$3,$I63&lt;=AC$2),$E63,0),$E63*NETWORKDAYS(MAX($I63,AC$3),MIN($J63,AC$2),Data!$K$4:$K$203)/$K63)))</f>
        <v>0</v>
      </c>
      <c r="AD63" s="166">
        <f>IF(OR($I63="",$E63=0),0,IF(OR($J63&lt;AD$3,$I63&gt;AD$2),0,IF($K63=0,IF(AND($I63&gt;=AD$3,$I63&lt;=AD$2),$E63,0),$E63*NETWORKDAYS(MAX($I63,AD$3),MIN($J63,AD$2),Data!$K$4:$K$203)/$K63)))</f>
        <v>0</v>
      </c>
      <c r="AE63" s="166">
        <f>IF(OR($I63="",$E63=0),0,IF(OR($J63&lt;AE$3,$I63&gt;AE$2),0,IF($K63=0,IF(AND($I63&gt;=AE$3,$I63&lt;=AE$2),$E63,0),$E63*NETWORKDAYS(MAX($I63,AE$3),MIN($J63,AE$2),Data!$K$4:$K$203)/$K63)))</f>
        <v>0</v>
      </c>
      <c r="AF63" s="166">
        <f>IF(OR($I63="",$E63=0),0,IF(OR($J63&lt;AF$3,$I63&gt;AF$2),0,IF($K63=0,IF(AND($I63&gt;=AF$3,$I63&lt;=AF$2),$E63,0),$E63*NETWORKDAYS(MAX($I63,AF$3),MIN($J63,AF$2),Data!$K$4:$K$203)/$K63)))</f>
        <v>0</v>
      </c>
      <c r="AG63" s="166">
        <f>IF(OR($I63="",$E63=0),0,IF(OR($J63&lt;AG$3,$I63&gt;AG$2),0,IF($K63=0,IF(AND($I63&gt;=AG$3,$I63&lt;=AG$2),$E63,0),$E63*NETWORKDAYS(MAX($I63,AG$3),MIN($J63,AG$2),Data!$K$4:$K$203)/$K63)))</f>
        <v>0</v>
      </c>
      <c r="AH63" s="166">
        <f>IF(OR($I63="",$E63=0),0,IF(OR($J63&lt;AH$3,$I63&gt;AH$2),0,IF($K63=0,IF(AND($I63&gt;=AH$3,$I63&lt;=AH$2),$E63,0),$E63*NETWORKDAYS(MAX($I63,AH$3),MIN($J63,AH$2),Data!$K$4:$K$203)/$K63)))</f>
        <v>0</v>
      </c>
      <c r="AI63" s="166">
        <f>SUM(W63:AH63)</f>
        <v>0</v>
      </c>
      <c r="BW63" t="n">
        <v>60</v>
      </c>
      <c r="BX63" t="str">
        <f>IFERROR(MATCH(BW63,$EQ$4:$EQ$503,0),"")</f>
        <v/>
      </c>
      <c r="BZ63" t="str">
        <f>IF(D63=1,IF(TRIM(INDEX(Charge!$K:$K,ROW()))&lt;&gt;"",TRIM(INDEX(Charge!$K:$K,ROW())),IF(TRIM(INDEX(Charge!$L:$L,ROW()))&lt;&gt;"",TRIM(INDEX(Charge!$L:$L,ROW())),"(non affecté)")),"")</f>
        <v/>
      </c>
      <c r="CA63" t="str">
        <f>IF(AND($CD$4&lt;&gt;"",BZ63=$CD$4),COUNTIFS($BZ$4:$BZ$503,$CD$4,$L$4:$L$503,"&lt;"&amp;L63)+1,"")</f>
        <v/>
      </c>
      <c r="EJ63" t="str">
        <f>TRIM(INDEX(Data!$E:$E,ROW()))</f>
        <v/>
      </c>
      <c r="EK63" t="str">
        <f>TRIM(INDEX(Data!$H:$H,ROW()))</f>
        <v/>
      </c>
      <c r="EM63" t="str">
        <f>IF(D63=1,IF(TRIM(INDEX(Charge!$K:$K,ROW()))&lt;&gt;"","Interne",IF(TRIM(INDEX(Charge!$L:$L,ROW()))&lt;&gt;"","Externe","Non affecté")),"")</f>
        <v/>
      </c>
      <c r="EN63" t="str">
        <f>IF(D63=1,LEFT(SUBSTITUTE(SUBSTITUTE(SUBSTITUTE(TRIM(SUBSTITUTE(INDEX(Charge!$B:$B,ROW()),CHAR(160)," "))&amp;" | "&amp;TRIM(SUBSTITUTE(INDEX(Charge!$C:$C,ROW()),CHAR(160)," "))&amp;" | "&amp;TRIM(SUBSTITUTE(INDEX(Charge!$D:$D,ROW()),CHAR(160)," ")),"~","-"),"*","+"),"?","!"),240),"")</f>
        <v/>
      </c>
      <c r="EO63">
        <f>IF(EN63="",0,IF(COUNTIF($EN$4:EN63,EN63)=1,1,0))</f>
        <v>0</v>
      </c>
      <c r="EP63" s="166" t="str">
        <f>IF(EO63=1,ROUND(SUMIF($EN$4:$EN$503,EN63,$E$4:$E$503),2),"")</f>
        <v/>
      </c>
      <c r="EQ63" t="str">
        <f>IF(EO63=1,COUNTIFS($EO$4:$EO$503,1,$EP$4:$EP$503,"&gt;"&amp;EP63)+COUNTIFS($EO$4:EO63,1,$EP$4:EP63,EP63),"")</f>
        <v/>
      </c>
      <c r="ER63" t="str">
        <f>IF(EO63=1,COUNTIFS($EN$4:$EN$503,EN63,$EM$4:$EM$503,"Interne",$FE$4:$FE$503,1),"")</f>
        <v/>
      </c>
      <c r="ES63" t="str">
        <f>IF(EO63=1,COUNTIFS($EN$4:$EN$503,EN63,$EM$4:$EM$503,"Externe",$FE$4:$FE$503,1),"")</f>
        <v/>
      </c>
      <c r="ET63" t="str">
        <f>IF(EO63=1,IF(ER63+ES63=0,"à affecter",IF(ER63=0,ES63&amp;" ext.",(ER63+ES63)&amp;IF(ES63&gt;0," dont "&amp;ES63&amp;" ext.",""))&amp;IF(COUNTIFS($EN$4:$EN$503,EN63,$EM$4:$EM$503,"Non affecté")&gt;0," + à affecter","")),"")</f>
        <v/>
      </c>
      <c r="EU63" s="170" t="str">
        <f>IF(EO63=1,IF(EP63&gt;0,SUMPRODUCT(($EN$4:$EN$503=EN63)*$E$4:$E$503*$C$4:$C$503)/EP63,AVERAGEIF($EN$4:$EN$503,EN63,$C$4:$C$503)),"")</f>
        <v/>
      </c>
      <c r="EV63" s="165">
        <f>IF(ISNUMBER(I63),I63,2958465)</f>
        <v>2958465.0</v>
      </c>
      <c r="EW63" s="165" t="str">
        <f>IF(EO63=1,SUMPRODUCT(MIN(($EN$4:$EN$503=EN63)*$EV$4:$EV$503+($EN$4:$EN$503&lt;&gt;EN63)*2958465)),"")</f>
        <v/>
      </c>
      <c r="EX63" s="165">
        <f>IF(AND(D63=1,ISNUMBER(INDEX(Charge!$F:$F,ROW()))),INDEX(Charge!$F:$F,ROW()),0)</f>
        <v>0.0</v>
      </c>
      <c r="EY63" s="165" t="str">
        <f>IF(EO63=1,SUMPRODUCT(MAX(($EN$4:$EN$503=EN63)*$EX$4:$EX$503)),"")</f>
        <v/>
      </c>
      <c r="FA63" t="str">
        <f>IF(60&lt;=$CD$23,INDEX($EJ$4:$EJ$203,60),IF(60-$CD$23&lt;=$CD$26,INDEX($EK$4:$EK$203,60-$CD$23),""))</f>
        <v/>
      </c>
      <c r="FB63" t="str">
        <f>IF(FA63="","",IF(60&lt;=$CD$23,"Interne","Externe"))</f>
        <v/>
      </c>
      <c r="FD63">
        <f>IF(AND(B63=1,TRIM(INDEX(Charge!$K:$K,ROW()))&lt;&gt;"",TRIM(INDEX(Charge!$L:$L,ROW()))&lt;&gt;""),1,0)</f>
        <v>0</v>
      </c>
      <c r="FE63">
        <f>IF(OR(EN63="",BZ63="(non affecté)"),0,IF(COUNTIFS($EN$4:EN63,EN63,$BZ$4:BZ63,BZ63)=1,1,0))</f>
        <v>0</v>
      </c>
    </row>
    <row r="64">
      <c r="A64">
        <f>ROW()</f>
        <v>64</v>
      </c>
      <c r="B64">
        <f>IF(TRIM(INDEX(Charge!$B:$B,ROW()))&lt;&gt;"",1,0)</f>
        <v>0</v>
      </c>
      <c r="C64">
        <f>IF(B64=1,MIN(1,MAX(0,N(INDEX(Charge!$O:$O,ROW())))),0)</f>
        <v>0</v>
      </c>
      <c r="D64">
        <f>IF(B64=1,IF(OR(p_Perimetre="Tous les projets",C64&lt;1),1,0),0)</f>
        <v>0</v>
      </c>
      <c r="E64">
        <f>IF(D64=1,MAX(0,N(INDEX(Charge!$M:$M,ROW()))),0)</f>
        <v>0</v>
      </c>
      <c r="F64" t="str">
        <f>IF(D64=1,IF(TRIM(INDEX(Charge!$A:$A,ROW()))="","(non renseigné)",TRIM(INDEX(Charge!$A:$A,ROW()))),"")</f>
        <v/>
      </c>
      <c r="G64" t="str">
        <f>IF(D64=1,TRIM(INDEX(Charge!$B:$B,ROW())),"")</f>
        <v/>
      </c>
      <c r="H64" t="str">
        <f>IF(D64=1,IF(TRIM(INDEX(Charge!$E:$E,ROW()))="","(non renseigné)",TRIM(INDEX(Charge!$E:$E,ROW()))),"")</f>
        <v/>
      </c>
      <c r="I64" s="165" t="str">
        <f>IF(AND(D64=1,ISNUMBER(INDEX(Charge!$N:$N,ROW()))),INDEX(Charge!$N:$N,ROW()),"")</f>
        <v/>
      </c>
      <c r="J64" s="165" t="str">
        <f>IF(I64="","",IF(AND(p_Repartition="Lissée jusqu'à la date de besoin",ISNUMBER(INDEX(Charge!$F:$F,ROW()))),IF(INDEX(Charge!$F:$F,ROW())&gt;=I64,INDEX(Charge!$F:$F,ROW()),I64),I64))</f>
        <v/>
      </c>
      <c r="K64" t="str">
        <f>IF(I64="","",NETWORKDAYS(I64,J64,Data!$K$4:$K$203))</f>
        <v/>
      </c>
      <c r="L64" t="str">
        <f>IF(D64=1,COUNTIFS($D$4:$D$503,1,$E$4:$E$503,"&gt;"&amp;E64)+COUNTIFS($D$4:$D64,1,$E$4:$E64,E64),"")</f>
        <v/>
      </c>
      <c r="M64">
        <f>IF(F64="",0,IF(COUNTIF($F$4:F64,F64)=1,1,0))</f>
        <v>0</v>
      </c>
      <c r="N64" t="str">
        <f>IF(M64=1,ROUND(SUMIF($F$4:$F$503,F64,$E$4:$E$503),2),"")</f>
        <v/>
      </c>
      <c r="O64" t="str">
        <f>IF(M64=1,COUNTIFS($M$4:$M$503,1,$N$4:$N$503,"&gt;"&amp;N64)+COUNTIFS($M$4:M64,1,$N$4:N64,N64),"")</f>
        <v/>
      </c>
      <c r="P64">
        <f>IF(G64="",0,IF(COUNTIF($G$4:G64,G64)=1,1,0))</f>
        <v>0</v>
      </c>
      <c r="Q64" t="str">
        <f>IF(P64=1,ROUND(SUMIF($G$4:$G$503,G64,$E$4:$E$503),2),"")</f>
        <v/>
      </c>
      <c r="R64" t="str">
        <f>IF(P64=1,COUNTIFS($P$4:$P$503,1,$Q$4:$Q$503,"&gt;"&amp;Q64)+COUNTIFS($P$4:P64,1,$Q$4:Q64,Q64),"")</f>
        <v/>
      </c>
      <c r="S64">
        <f>IF(H64="",0,IF(COUNTIF($H$4:H64,H64)=1,1,0))</f>
        <v>0</v>
      </c>
      <c r="T64" t="str">
        <f>IF(S64=1,ROUND(SUMIF($H$4:$H$503,H64,$E$4:$E$503),2),"")</f>
        <v/>
      </c>
      <c r="U64" t="str">
        <f>IF(S64=1,COUNTIFS($S$4:$S$503,1,$T$4:$T$503,"&gt;"&amp;T64)+COUNTIFS($S$4:S64,1,$T$4:T64,T64),"")</f>
        <v/>
      </c>
      <c r="V64" t="str">
        <f>IF(D64=1,MIN(INDEX($R$4:$R$503,MATCH(G64,$G$4:$G$503,0)),IF($AL$7&gt;9,9,999)),"")</f>
        <v/>
      </c>
      <c r="W64" s="166">
        <f>IF(OR($I64="",$E64=0),0,IF(OR($J64&lt;W$3,$I64&gt;W$2),0,IF($K64=0,IF(AND($I64&gt;=W$3,$I64&lt;=W$2),$E64,0),$E64*NETWORKDAYS(MAX($I64,W$3),MIN($J64,W$2),Data!$K$4:$K$203)/$K64)))</f>
        <v>0</v>
      </c>
      <c r="X64" s="166">
        <f>IF(OR($I64="",$E64=0),0,IF(OR($J64&lt;X$3,$I64&gt;X$2),0,IF($K64=0,IF(AND($I64&gt;=X$3,$I64&lt;=X$2),$E64,0),$E64*NETWORKDAYS(MAX($I64,X$3),MIN($J64,X$2),Data!$K$4:$K$203)/$K64)))</f>
        <v>0</v>
      </c>
      <c r="Y64" s="166">
        <f>IF(OR($I64="",$E64=0),0,IF(OR($J64&lt;Y$3,$I64&gt;Y$2),0,IF($K64=0,IF(AND($I64&gt;=Y$3,$I64&lt;=Y$2),$E64,0),$E64*NETWORKDAYS(MAX($I64,Y$3),MIN($J64,Y$2),Data!$K$4:$K$203)/$K64)))</f>
        <v>0</v>
      </c>
      <c r="Z64" s="166">
        <f>IF(OR($I64="",$E64=0),0,IF(OR($J64&lt;Z$3,$I64&gt;Z$2),0,IF($K64=0,IF(AND($I64&gt;=Z$3,$I64&lt;=Z$2),$E64,0),$E64*NETWORKDAYS(MAX($I64,Z$3),MIN($J64,Z$2),Data!$K$4:$K$203)/$K64)))</f>
        <v>0</v>
      </c>
      <c r="AA64" s="166">
        <f>IF(OR($I64="",$E64=0),0,IF(OR($J64&lt;AA$3,$I64&gt;AA$2),0,IF($K64=0,IF(AND($I64&gt;=AA$3,$I64&lt;=AA$2),$E64,0),$E64*NETWORKDAYS(MAX($I64,AA$3),MIN($J64,AA$2),Data!$K$4:$K$203)/$K64)))</f>
        <v>0</v>
      </c>
      <c r="AB64" s="166">
        <f>IF(OR($I64="",$E64=0),0,IF(OR($J64&lt;AB$3,$I64&gt;AB$2),0,IF($K64=0,IF(AND($I64&gt;=AB$3,$I64&lt;=AB$2),$E64,0),$E64*NETWORKDAYS(MAX($I64,AB$3),MIN($J64,AB$2),Data!$K$4:$K$203)/$K64)))</f>
        <v>0</v>
      </c>
      <c r="AC64" s="166">
        <f>IF(OR($I64="",$E64=0),0,IF(OR($J64&lt;AC$3,$I64&gt;AC$2),0,IF($K64=0,IF(AND($I64&gt;=AC$3,$I64&lt;=AC$2),$E64,0),$E64*NETWORKDAYS(MAX($I64,AC$3),MIN($J64,AC$2),Data!$K$4:$K$203)/$K64)))</f>
        <v>0</v>
      </c>
      <c r="AD64" s="166">
        <f>IF(OR($I64="",$E64=0),0,IF(OR($J64&lt;AD$3,$I64&gt;AD$2),0,IF($K64=0,IF(AND($I64&gt;=AD$3,$I64&lt;=AD$2),$E64,0),$E64*NETWORKDAYS(MAX($I64,AD$3),MIN($J64,AD$2),Data!$K$4:$K$203)/$K64)))</f>
        <v>0</v>
      </c>
      <c r="AE64" s="166">
        <f>IF(OR($I64="",$E64=0),0,IF(OR($J64&lt;AE$3,$I64&gt;AE$2),0,IF($K64=0,IF(AND($I64&gt;=AE$3,$I64&lt;=AE$2),$E64,0),$E64*NETWORKDAYS(MAX($I64,AE$3),MIN($J64,AE$2),Data!$K$4:$K$203)/$K64)))</f>
        <v>0</v>
      </c>
      <c r="AF64" s="166">
        <f>IF(OR($I64="",$E64=0),0,IF(OR($J64&lt;AF$3,$I64&gt;AF$2),0,IF($K64=0,IF(AND($I64&gt;=AF$3,$I64&lt;=AF$2),$E64,0),$E64*NETWORKDAYS(MAX($I64,AF$3),MIN($J64,AF$2),Data!$K$4:$K$203)/$K64)))</f>
        <v>0</v>
      </c>
      <c r="AG64" s="166">
        <f>IF(OR($I64="",$E64=0),0,IF(OR($J64&lt;AG$3,$I64&gt;AG$2),0,IF($K64=0,IF(AND($I64&gt;=AG$3,$I64&lt;=AG$2),$E64,0),$E64*NETWORKDAYS(MAX($I64,AG$3),MIN($J64,AG$2),Data!$K$4:$K$203)/$K64)))</f>
        <v>0</v>
      </c>
      <c r="AH64" s="166">
        <f>IF(OR($I64="",$E64=0),0,IF(OR($J64&lt;AH$3,$I64&gt;AH$2),0,IF($K64=0,IF(AND($I64&gt;=AH$3,$I64&lt;=AH$2),$E64,0),$E64*NETWORKDAYS(MAX($I64,AH$3),MIN($J64,AH$2),Data!$K$4:$K$203)/$K64)))</f>
        <v>0</v>
      </c>
      <c r="AI64" s="166">
        <f>SUM(W64:AH64)</f>
        <v>0</v>
      </c>
      <c r="BW64" t="n">
        <v>61</v>
      </c>
      <c r="BX64" t="str">
        <f>IFERROR(MATCH(BW64,$EQ$4:$EQ$503,0),"")</f>
        <v/>
      </c>
      <c r="BZ64" t="str">
        <f>IF(D64=1,IF(TRIM(INDEX(Charge!$K:$K,ROW()))&lt;&gt;"",TRIM(INDEX(Charge!$K:$K,ROW())),IF(TRIM(INDEX(Charge!$L:$L,ROW()))&lt;&gt;"",TRIM(INDEX(Charge!$L:$L,ROW())),"(non affecté)")),"")</f>
        <v/>
      </c>
      <c r="CA64" t="str">
        <f>IF(AND($CD$4&lt;&gt;"",BZ64=$CD$4),COUNTIFS($BZ$4:$BZ$503,$CD$4,$L$4:$L$503,"&lt;"&amp;L64)+1,"")</f>
        <v/>
      </c>
      <c r="EJ64" t="str">
        <f>TRIM(INDEX(Data!$E:$E,ROW()))</f>
        <v/>
      </c>
      <c r="EK64" t="str">
        <f>TRIM(INDEX(Data!$H:$H,ROW()))</f>
        <v/>
      </c>
      <c r="EM64" t="str">
        <f>IF(D64=1,IF(TRIM(INDEX(Charge!$K:$K,ROW()))&lt;&gt;"","Interne",IF(TRIM(INDEX(Charge!$L:$L,ROW()))&lt;&gt;"","Externe","Non affecté")),"")</f>
        <v/>
      </c>
      <c r="EN64" t="str">
        <f>IF(D64=1,LEFT(SUBSTITUTE(SUBSTITUTE(SUBSTITUTE(TRIM(SUBSTITUTE(INDEX(Charge!$B:$B,ROW()),CHAR(160)," "))&amp;" | "&amp;TRIM(SUBSTITUTE(INDEX(Charge!$C:$C,ROW()),CHAR(160)," "))&amp;" | "&amp;TRIM(SUBSTITUTE(INDEX(Charge!$D:$D,ROW()),CHAR(160)," ")),"~","-"),"*","+"),"?","!"),240),"")</f>
        <v/>
      </c>
      <c r="EO64">
        <f>IF(EN64="",0,IF(COUNTIF($EN$4:EN64,EN64)=1,1,0))</f>
        <v>0</v>
      </c>
      <c r="EP64" s="166" t="str">
        <f>IF(EO64=1,ROUND(SUMIF($EN$4:$EN$503,EN64,$E$4:$E$503),2),"")</f>
        <v/>
      </c>
      <c r="EQ64" t="str">
        <f>IF(EO64=1,COUNTIFS($EO$4:$EO$503,1,$EP$4:$EP$503,"&gt;"&amp;EP64)+COUNTIFS($EO$4:EO64,1,$EP$4:EP64,EP64),"")</f>
        <v/>
      </c>
      <c r="ER64" t="str">
        <f>IF(EO64=1,COUNTIFS($EN$4:$EN$503,EN64,$EM$4:$EM$503,"Interne",$FE$4:$FE$503,1),"")</f>
        <v/>
      </c>
      <c r="ES64" t="str">
        <f>IF(EO64=1,COUNTIFS($EN$4:$EN$503,EN64,$EM$4:$EM$503,"Externe",$FE$4:$FE$503,1),"")</f>
        <v/>
      </c>
      <c r="ET64" t="str">
        <f>IF(EO64=1,IF(ER64+ES64=0,"à affecter",IF(ER64=0,ES64&amp;" ext.",(ER64+ES64)&amp;IF(ES64&gt;0," dont "&amp;ES64&amp;" ext.",""))&amp;IF(COUNTIFS($EN$4:$EN$503,EN64,$EM$4:$EM$503,"Non affecté")&gt;0," + à affecter","")),"")</f>
        <v/>
      </c>
      <c r="EU64" s="170" t="str">
        <f>IF(EO64=1,IF(EP64&gt;0,SUMPRODUCT(($EN$4:$EN$503=EN64)*$E$4:$E$503*$C$4:$C$503)/EP64,AVERAGEIF($EN$4:$EN$503,EN64,$C$4:$C$503)),"")</f>
        <v/>
      </c>
      <c r="EV64" s="165">
        <f>IF(ISNUMBER(I64),I64,2958465)</f>
        <v>2958465.0</v>
      </c>
      <c r="EW64" s="165" t="str">
        <f>IF(EO64=1,SUMPRODUCT(MIN(($EN$4:$EN$503=EN64)*$EV$4:$EV$503+($EN$4:$EN$503&lt;&gt;EN64)*2958465)),"")</f>
        <v/>
      </c>
      <c r="EX64" s="165">
        <f>IF(AND(D64=1,ISNUMBER(INDEX(Charge!$F:$F,ROW()))),INDEX(Charge!$F:$F,ROW()),0)</f>
        <v>0.0</v>
      </c>
      <c r="EY64" s="165" t="str">
        <f>IF(EO64=1,SUMPRODUCT(MAX(($EN$4:$EN$503=EN64)*$EX$4:$EX$503)),"")</f>
        <v/>
      </c>
      <c r="FA64" t="str">
        <f>IF(61&lt;=$CD$23,INDEX($EJ$4:$EJ$203,61),IF(61-$CD$23&lt;=$CD$26,INDEX($EK$4:$EK$203,61-$CD$23),""))</f>
        <v/>
      </c>
      <c r="FB64" t="str">
        <f>IF(FA64="","",IF(61&lt;=$CD$23,"Interne","Externe"))</f>
        <v/>
      </c>
      <c r="FD64">
        <f>IF(AND(B64=1,TRIM(INDEX(Charge!$K:$K,ROW()))&lt;&gt;"",TRIM(INDEX(Charge!$L:$L,ROW()))&lt;&gt;""),1,0)</f>
        <v>0</v>
      </c>
      <c r="FE64">
        <f>IF(OR(EN64="",BZ64="(non affecté)"),0,IF(COUNTIFS($EN$4:EN64,EN64,$BZ$4:BZ64,BZ64)=1,1,0))</f>
        <v>0</v>
      </c>
    </row>
    <row r="65">
      <c r="A65">
        <f>ROW()</f>
        <v>65</v>
      </c>
      <c r="B65">
        <f>IF(TRIM(INDEX(Charge!$B:$B,ROW()))&lt;&gt;"",1,0)</f>
        <v>0</v>
      </c>
      <c r="C65">
        <f>IF(B65=1,MIN(1,MAX(0,N(INDEX(Charge!$O:$O,ROW())))),0)</f>
        <v>0</v>
      </c>
      <c r="D65">
        <f>IF(B65=1,IF(OR(p_Perimetre="Tous les projets",C65&lt;1),1,0),0)</f>
        <v>0</v>
      </c>
      <c r="E65">
        <f>IF(D65=1,MAX(0,N(INDEX(Charge!$M:$M,ROW()))),0)</f>
        <v>0</v>
      </c>
      <c r="F65" t="str">
        <f>IF(D65=1,IF(TRIM(INDEX(Charge!$A:$A,ROW()))="","(non renseigné)",TRIM(INDEX(Charge!$A:$A,ROW()))),"")</f>
        <v/>
      </c>
      <c r="G65" t="str">
        <f>IF(D65=1,TRIM(INDEX(Charge!$B:$B,ROW())),"")</f>
        <v/>
      </c>
      <c r="H65" t="str">
        <f>IF(D65=1,IF(TRIM(INDEX(Charge!$E:$E,ROW()))="","(non renseigné)",TRIM(INDEX(Charge!$E:$E,ROW()))),"")</f>
        <v/>
      </c>
      <c r="I65" s="165" t="str">
        <f>IF(AND(D65=1,ISNUMBER(INDEX(Charge!$N:$N,ROW()))),INDEX(Charge!$N:$N,ROW()),"")</f>
        <v/>
      </c>
      <c r="J65" s="165" t="str">
        <f>IF(I65="","",IF(AND(p_Repartition="Lissée jusqu'à la date de besoin",ISNUMBER(INDEX(Charge!$F:$F,ROW()))),IF(INDEX(Charge!$F:$F,ROW())&gt;=I65,INDEX(Charge!$F:$F,ROW()),I65),I65))</f>
        <v/>
      </c>
      <c r="K65" t="str">
        <f>IF(I65="","",NETWORKDAYS(I65,J65,Data!$K$4:$K$203))</f>
        <v/>
      </c>
      <c r="L65" t="str">
        <f>IF(D65=1,COUNTIFS($D$4:$D$503,1,$E$4:$E$503,"&gt;"&amp;E65)+COUNTIFS($D$4:$D65,1,$E$4:$E65,E65),"")</f>
        <v/>
      </c>
      <c r="M65">
        <f>IF(F65="",0,IF(COUNTIF($F$4:F65,F65)=1,1,0))</f>
        <v>0</v>
      </c>
      <c r="N65" t="str">
        <f>IF(M65=1,ROUND(SUMIF($F$4:$F$503,F65,$E$4:$E$503),2),"")</f>
        <v/>
      </c>
      <c r="O65" t="str">
        <f>IF(M65=1,COUNTIFS($M$4:$M$503,1,$N$4:$N$503,"&gt;"&amp;N65)+COUNTIFS($M$4:M65,1,$N$4:N65,N65),"")</f>
        <v/>
      </c>
      <c r="P65">
        <f>IF(G65="",0,IF(COUNTIF($G$4:G65,G65)=1,1,0))</f>
        <v>0</v>
      </c>
      <c r="Q65" t="str">
        <f>IF(P65=1,ROUND(SUMIF($G$4:$G$503,G65,$E$4:$E$503),2),"")</f>
        <v/>
      </c>
      <c r="R65" t="str">
        <f>IF(P65=1,COUNTIFS($P$4:$P$503,1,$Q$4:$Q$503,"&gt;"&amp;Q65)+COUNTIFS($P$4:P65,1,$Q$4:Q65,Q65),"")</f>
        <v/>
      </c>
      <c r="S65">
        <f>IF(H65="",0,IF(COUNTIF($H$4:H65,H65)=1,1,0))</f>
        <v>0</v>
      </c>
      <c r="T65" t="str">
        <f>IF(S65=1,ROUND(SUMIF($H$4:$H$503,H65,$E$4:$E$503),2),"")</f>
        <v/>
      </c>
      <c r="U65" t="str">
        <f>IF(S65=1,COUNTIFS($S$4:$S$503,1,$T$4:$T$503,"&gt;"&amp;T65)+COUNTIFS($S$4:S65,1,$T$4:T65,T65),"")</f>
        <v/>
      </c>
      <c r="V65" t="str">
        <f>IF(D65=1,MIN(INDEX($R$4:$R$503,MATCH(G65,$G$4:$G$503,0)),IF($AL$7&gt;9,9,999)),"")</f>
        <v/>
      </c>
      <c r="W65" s="166">
        <f>IF(OR($I65="",$E65=0),0,IF(OR($J65&lt;W$3,$I65&gt;W$2),0,IF($K65=0,IF(AND($I65&gt;=W$3,$I65&lt;=W$2),$E65,0),$E65*NETWORKDAYS(MAX($I65,W$3),MIN($J65,W$2),Data!$K$4:$K$203)/$K65)))</f>
        <v>0</v>
      </c>
      <c r="X65" s="166">
        <f>IF(OR($I65="",$E65=0),0,IF(OR($J65&lt;X$3,$I65&gt;X$2),0,IF($K65=0,IF(AND($I65&gt;=X$3,$I65&lt;=X$2),$E65,0),$E65*NETWORKDAYS(MAX($I65,X$3),MIN($J65,X$2),Data!$K$4:$K$203)/$K65)))</f>
        <v>0</v>
      </c>
      <c r="Y65" s="166">
        <f>IF(OR($I65="",$E65=0),0,IF(OR($J65&lt;Y$3,$I65&gt;Y$2),0,IF($K65=0,IF(AND($I65&gt;=Y$3,$I65&lt;=Y$2),$E65,0),$E65*NETWORKDAYS(MAX($I65,Y$3),MIN($J65,Y$2),Data!$K$4:$K$203)/$K65)))</f>
        <v>0</v>
      </c>
      <c r="Z65" s="166">
        <f>IF(OR($I65="",$E65=0),0,IF(OR($J65&lt;Z$3,$I65&gt;Z$2),0,IF($K65=0,IF(AND($I65&gt;=Z$3,$I65&lt;=Z$2),$E65,0),$E65*NETWORKDAYS(MAX($I65,Z$3),MIN($J65,Z$2),Data!$K$4:$K$203)/$K65)))</f>
        <v>0</v>
      </c>
      <c r="AA65" s="166">
        <f>IF(OR($I65="",$E65=0),0,IF(OR($J65&lt;AA$3,$I65&gt;AA$2),0,IF($K65=0,IF(AND($I65&gt;=AA$3,$I65&lt;=AA$2),$E65,0),$E65*NETWORKDAYS(MAX($I65,AA$3),MIN($J65,AA$2),Data!$K$4:$K$203)/$K65)))</f>
        <v>0</v>
      </c>
      <c r="AB65" s="166">
        <f>IF(OR($I65="",$E65=0),0,IF(OR($J65&lt;AB$3,$I65&gt;AB$2),0,IF($K65=0,IF(AND($I65&gt;=AB$3,$I65&lt;=AB$2),$E65,0),$E65*NETWORKDAYS(MAX($I65,AB$3),MIN($J65,AB$2),Data!$K$4:$K$203)/$K65)))</f>
        <v>0</v>
      </c>
      <c r="AC65" s="166">
        <f>IF(OR($I65="",$E65=0),0,IF(OR($J65&lt;AC$3,$I65&gt;AC$2),0,IF($K65=0,IF(AND($I65&gt;=AC$3,$I65&lt;=AC$2),$E65,0),$E65*NETWORKDAYS(MAX($I65,AC$3),MIN($J65,AC$2),Data!$K$4:$K$203)/$K65)))</f>
        <v>0</v>
      </c>
      <c r="AD65" s="166">
        <f>IF(OR($I65="",$E65=0),0,IF(OR($J65&lt;AD$3,$I65&gt;AD$2),0,IF($K65=0,IF(AND($I65&gt;=AD$3,$I65&lt;=AD$2),$E65,0),$E65*NETWORKDAYS(MAX($I65,AD$3),MIN($J65,AD$2),Data!$K$4:$K$203)/$K65)))</f>
        <v>0</v>
      </c>
      <c r="AE65" s="166">
        <f>IF(OR($I65="",$E65=0),0,IF(OR($J65&lt;AE$3,$I65&gt;AE$2),0,IF($K65=0,IF(AND($I65&gt;=AE$3,$I65&lt;=AE$2),$E65,0),$E65*NETWORKDAYS(MAX($I65,AE$3),MIN($J65,AE$2),Data!$K$4:$K$203)/$K65)))</f>
        <v>0</v>
      </c>
      <c r="AF65" s="166">
        <f>IF(OR($I65="",$E65=0),0,IF(OR($J65&lt;AF$3,$I65&gt;AF$2),0,IF($K65=0,IF(AND($I65&gt;=AF$3,$I65&lt;=AF$2),$E65,0),$E65*NETWORKDAYS(MAX($I65,AF$3),MIN($J65,AF$2),Data!$K$4:$K$203)/$K65)))</f>
        <v>0</v>
      </c>
      <c r="AG65" s="166">
        <f>IF(OR($I65="",$E65=0),0,IF(OR($J65&lt;AG$3,$I65&gt;AG$2),0,IF($K65=0,IF(AND($I65&gt;=AG$3,$I65&lt;=AG$2),$E65,0),$E65*NETWORKDAYS(MAX($I65,AG$3),MIN($J65,AG$2),Data!$K$4:$K$203)/$K65)))</f>
        <v>0</v>
      </c>
      <c r="AH65" s="166">
        <f>IF(OR($I65="",$E65=0),0,IF(OR($J65&lt;AH$3,$I65&gt;AH$2),0,IF($K65=0,IF(AND($I65&gt;=AH$3,$I65&lt;=AH$2),$E65,0),$E65*NETWORKDAYS(MAX($I65,AH$3),MIN($J65,AH$2),Data!$K$4:$K$203)/$K65)))</f>
        <v>0</v>
      </c>
      <c r="AI65" s="166">
        <f>SUM(W65:AH65)</f>
        <v>0</v>
      </c>
      <c r="BW65" t="n">
        <v>62</v>
      </c>
      <c r="BX65" t="str">
        <f>IFERROR(MATCH(BW65,$EQ$4:$EQ$503,0),"")</f>
        <v/>
      </c>
      <c r="BZ65" t="str">
        <f>IF(D65=1,IF(TRIM(INDEX(Charge!$K:$K,ROW()))&lt;&gt;"",TRIM(INDEX(Charge!$K:$K,ROW())),IF(TRIM(INDEX(Charge!$L:$L,ROW()))&lt;&gt;"",TRIM(INDEX(Charge!$L:$L,ROW())),"(non affecté)")),"")</f>
        <v/>
      </c>
      <c r="CA65" t="str">
        <f>IF(AND($CD$4&lt;&gt;"",BZ65=$CD$4),COUNTIFS($BZ$4:$BZ$503,$CD$4,$L$4:$L$503,"&lt;"&amp;L65)+1,"")</f>
        <v/>
      </c>
      <c r="EJ65" t="str">
        <f>TRIM(INDEX(Data!$E:$E,ROW()))</f>
        <v/>
      </c>
      <c r="EK65" t="str">
        <f>TRIM(INDEX(Data!$H:$H,ROW()))</f>
        <v/>
      </c>
      <c r="EM65" t="str">
        <f>IF(D65=1,IF(TRIM(INDEX(Charge!$K:$K,ROW()))&lt;&gt;"","Interne",IF(TRIM(INDEX(Charge!$L:$L,ROW()))&lt;&gt;"","Externe","Non affecté")),"")</f>
        <v/>
      </c>
      <c r="EN65" t="str">
        <f>IF(D65=1,LEFT(SUBSTITUTE(SUBSTITUTE(SUBSTITUTE(TRIM(SUBSTITUTE(INDEX(Charge!$B:$B,ROW()),CHAR(160)," "))&amp;" | "&amp;TRIM(SUBSTITUTE(INDEX(Charge!$C:$C,ROW()),CHAR(160)," "))&amp;" | "&amp;TRIM(SUBSTITUTE(INDEX(Charge!$D:$D,ROW()),CHAR(160)," ")),"~","-"),"*","+"),"?","!"),240),"")</f>
        <v/>
      </c>
      <c r="EO65">
        <f>IF(EN65="",0,IF(COUNTIF($EN$4:EN65,EN65)=1,1,0))</f>
        <v>0</v>
      </c>
      <c r="EP65" s="166" t="str">
        <f>IF(EO65=1,ROUND(SUMIF($EN$4:$EN$503,EN65,$E$4:$E$503),2),"")</f>
        <v/>
      </c>
      <c r="EQ65" t="str">
        <f>IF(EO65=1,COUNTIFS($EO$4:$EO$503,1,$EP$4:$EP$503,"&gt;"&amp;EP65)+COUNTIFS($EO$4:EO65,1,$EP$4:EP65,EP65),"")</f>
        <v/>
      </c>
      <c r="ER65" t="str">
        <f>IF(EO65=1,COUNTIFS($EN$4:$EN$503,EN65,$EM$4:$EM$503,"Interne",$FE$4:$FE$503,1),"")</f>
        <v/>
      </c>
      <c r="ES65" t="str">
        <f>IF(EO65=1,COUNTIFS($EN$4:$EN$503,EN65,$EM$4:$EM$503,"Externe",$FE$4:$FE$503,1),"")</f>
        <v/>
      </c>
      <c r="ET65" t="str">
        <f>IF(EO65=1,IF(ER65+ES65=0,"à affecter",IF(ER65=0,ES65&amp;" ext.",(ER65+ES65)&amp;IF(ES65&gt;0," dont "&amp;ES65&amp;" ext.",""))&amp;IF(COUNTIFS($EN$4:$EN$503,EN65,$EM$4:$EM$503,"Non affecté")&gt;0," + à affecter","")),"")</f>
        <v/>
      </c>
      <c r="EU65" s="170" t="str">
        <f>IF(EO65=1,IF(EP65&gt;0,SUMPRODUCT(($EN$4:$EN$503=EN65)*$E$4:$E$503*$C$4:$C$503)/EP65,AVERAGEIF($EN$4:$EN$503,EN65,$C$4:$C$503)),"")</f>
        <v/>
      </c>
      <c r="EV65" s="165">
        <f>IF(ISNUMBER(I65),I65,2958465)</f>
        <v>2958465.0</v>
      </c>
      <c r="EW65" s="165" t="str">
        <f>IF(EO65=1,SUMPRODUCT(MIN(($EN$4:$EN$503=EN65)*$EV$4:$EV$503+($EN$4:$EN$503&lt;&gt;EN65)*2958465)),"")</f>
        <v/>
      </c>
      <c r="EX65" s="165">
        <f>IF(AND(D65=1,ISNUMBER(INDEX(Charge!$F:$F,ROW()))),INDEX(Charge!$F:$F,ROW()),0)</f>
        <v>0.0</v>
      </c>
      <c r="EY65" s="165" t="str">
        <f>IF(EO65=1,SUMPRODUCT(MAX(($EN$4:$EN$503=EN65)*$EX$4:$EX$503)),"")</f>
        <v/>
      </c>
      <c r="FA65" t="str">
        <f>IF(62&lt;=$CD$23,INDEX($EJ$4:$EJ$203,62),IF(62-$CD$23&lt;=$CD$26,INDEX($EK$4:$EK$203,62-$CD$23),""))</f>
        <v/>
      </c>
      <c r="FB65" t="str">
        <f>IF(FA65="","",IF(62&lt;=$CD$23,"Interne","Externe"))</f>
        <v/>
      </c>
      <c r="FD65">
        <f>IF(AND(B65=1,TRIM(INDEX(Charge!$K:$K,ROW()))&lt;&gt;"",TRIM(INDEX(Charge!$L:$L,ROW()))&lt;&gt;""),1,0)</f>
        <v>0</v>
      </c>
      <c r="FE65">
        <f>IF(OR(EN65="",BZ65="(non affecté)"),0,IF(COUNTIFS($EN$4:EN65,EN65,$BZ$4:BZ65,BZ65)=1,1,0))</f>
        <v>0</v>
      </c>
    </row>
    <row r="66">
      <c r="A66">
        <f>ROW()</f>
        <v>66</v>
      </c>
      <c r="B66">
        <f>IF(TRIM(INDEX(Charge!$B:$B,ROW()))&lt;&gt;"",1,0)</f>
        <v>0</v>
      </c>
      <c r="C66">
        <f>IF(B66=1,MIN(1,MAX(0,N(INDEX(Charge!$O:$O,ROW())))),0)</f>
        <v>0</v>
      </c>
      <c r="D66">
        <f>IF(B66=1,IF(OR(p_Perimetre="Tous les projets",C66&lt;1),1,0),0)</f>
        <v>0</v>
      </c>
      <c r="E66">
        <f>IF(D66=1,MAX(0,N(INDEX(Charge!$M:$M,ROW()))),0)</f>
        <v>0</v>
      </c>
      <c r="F66" t="str">
        <f>IF(D66=1,IF(TRIM(INDEX(Charge!$A:$A,ROW()))="","(non renseigné)",TRIM(INDEX(Charge!$A:$A,ROW()))),"")</f>
        <v/>
      </c>
      <c r="G66" t="str">
        <f>IF(D66=1,TRIM(INDEX(Charge!$B:$B,ROW())),"")</f>
        <v/>
      </c>
      <c r="H66" t="str">
        <f>IF(D66=1,IF(TRIM(INDEX(Charge!$E:$E,ROW()))="","(non renseigné)",TRIM(INDEX(Charge!$E:$E,ROW()))),"")</f>
        <v/>
      </c>
      <c r="I66" s="165" t="str">
        <f>IF(AND(D66=1,ISNUMBER(INDEX(Charge!$N:$N,ROW()))),INDEX(Charge!$N:$N,ROW()),"")</f>
        <v/>
      </c>
      <c r="J66" s="165" t="str">
        <f>IF(I66="","",IF(AND(p_Repartition="Lissée jusqu'à la date de besoin",ISNUMBER(INDEX(Charge!$F:$F,ROW()))),IF(INDEX(Charge!$F:$F,ROW())&gt;=I66,INDEX(Charge!$F:$F,ROW()),I66),I66))</f>
        <v/>
      </c>
      <c r="K66" t="str">
        <f>IF(I66="","",NETWORKDAYS(I66,J66,Data!$K$4:$K$203))</f>
        <v/>
      </c>
      <c r="L66" t="str">
        <f>IF(D66=1,COUNTIFS($D$4:$D$503,1,$E$4:$E$503,"&gt;"&amp;E66)+COUNTIFS($D$4:$D66,1,$E$4:$E66,E66),"")</f>
        <v/>
      </c>
      <c r="M66">
        <f>IF(F66="",0,IF(COUNTIF($F$4:F66,F66)=1,1,0))</f>
        <v>0</v>
      </c>
      <c r="N66" t="str">
        <f>IF(M66=1,ROUND(SUMIF($F$4:$F$503,F66,$E$4:$E$503),2),"")</f>
        <v/>
      </c>
      <c r="O66" t="str">
        <f>IF(M66=1,COUNTIFS($M$4:$M$503,1,$N$4:$N$503,"&gt;"&amp;N66)+COUNTIFS($M$4:M66,1,$N$4:N66,N66),"")</f>
        <v/>
      </c>
      <c r="P66">
        <f>IF(G66="",0,IF(COUNTIF($G$4:G66,G66)=1,1,0))</f>
        <v>0</v>
      </c>
      <c r="Q66" t="str">
        <f>IF(P66=1,ROUND(SUMIF($G$4:$G$503,G66,$E$4:$E$503),2),"")</f>
        <v/>
      </c>
      <c r="R66" t="str">
        <f>IF(P66=1,COUNTIFS($P$4:$P$503,1,$Q$4:$Q$503,"&gt;"&amp;Q66)+COUNTIFS($P$4:P66,1,$Q$4:Q66,Q66),"")</f>
        <v/>
      </c>
      <c r="S66">
        <f>IF(H66="",0,IF(COUNTIF($H$4:H66,H66)=1,1,0))</f>
        <v>0</v>
      </c>
      <c r="T66" t="str">
        <f>IF(S66=1,ROUND(SUMIF($H$4:$H$503,H66,$E$4:$E$503),2),"")</f>
        <v/>
      </c>
      <c r="U66" t="str">
        <f>IF(S66=1,COUNTIFS($S$4:$S$503,1,$T$4:$T$503,"&gt;"&amp;T66)+COUNTIFS($S$4:S66,1,$T$4:T66,T66),"")</f>
        <v/>
      </c>
      <c r="V66" t="str">
        <f>IF(D66=1,MIN(INDEX($R$4:$R$503,MATCH(G66,$G$4:$G$503,0)),IF($AL$7&gt;9,9,999)),"")</f>
        <v/>
      </c>
      <c r="W66" s="166">
        <f>IF(OR($I66="",$E66=0),0,IF(OR($J66&lt;W$3,$I66&gt;W$2),0,IF($K66=0,IF(AND($I66&gt;=W$3,$I66&lt;=W$2),$E66,0),$E66*NETWORKDAYS(MAX($I66,W$3),MIN($J66,W$2),Data!$K$4:$K$203)/$K66)))</f>
        <v>0</v>
      </c>
      <c r="X66" s="166">
        <f>IF(OR($I66="",$E66=0),0,IF(OR($J66&lt;X$3,$I66&gt;X$2),0,IF($K66=0,IF(AND($I66&gt;=X$3,$I66&lt;=X$2),$E66,0),$E66*NETWORKDAYS(MAX($I66,X$3),MIN($J66,X$2),Data!$K$4:$K$203)/$K66)))</f>
        <v>0</v>
      </c>
      <c r="Y66" s="166">
        <f>IF(OR($I66="",$E66=0),0,IF(OR($J66&lt;Y$3,$I66&gt;Y$2),0,IF($K66=0,IF(AND($I66&gt;=Y$3,$I66&lt;=Y$2),$E66,0),$E66*NETWORKDAYS(MAX($I66,Y$3),MIN($J66,Y$2),Data!$K$4:$K$203)/$K66)))</f>
        <v>0</v>
      </c>
      <c r="Z66" s="166">
        <f>IF(OR($I66="",$E66=0),0,IF(OR($J66&lt;Z$3,$I66&gt;Z$2),0,IF($K66=0,IF(AND($I66&gt;=Z$3,$I66&lt;=Z$2),$E66,0),$E66*NETWORKDAYS(MAX($I66,Z$3),MIN($J66,Z$2),Data!$K$4:$K$203)/$K66)))</f>
        <v>0</v>
      </c>
      <c r="AA66" s="166">
        <f>IF(OR($I66="",$E66=0),0,IF(OR($J66&lt;AA$3,$I66&gt;AA$2),0,IF($K66=0,IF(AND($I66&gt;=AA$3,$I66&lt;=AA$2),$E66,0),$E66*NETWORKDAYS(MAX($I66,AA$3),MIN($J66,AA$2),Data!$K$4:$K$203)/$K66)))</f>
        <v>0</v>
      </c>
      <c r="AB66" s="166">
        <f>IF(OR($I66="",$E66=0),0,IF(OR($J66&lt;AB$3,$I66&gt;AB$2),0,IF($K66=0,IF(AND($I66&gt;=AB$3,$I66&lt;=AB$2),$E66,0),$E66*NETWORKDAYS(MAX($I66,AB$3),MIN($J66,AB$2),Data!$K$4:$K$203)/$K66)))</f>
        <v>0</v>
      </c>
      <c r="AC66" s="166">
        <f>IF(OR($I66="",$E66=0),0,IF(OR($J66&lt;AC$3,$I66&gt;AC$2),0,IF($K66=0,IF(AND($I66&gt;=AC$3,$I66&lt;=AC$2),$E66,0),$E66*NETWORKDAYS(MAX($I66,AC$3),MIN($J66,AC$2),Data!$K$4:$K$203)/$K66)))</f>
        <v>0</v>
      </c>
      <c r="AD66" s="166">
        <f>IF(OR($I66="",$E66=0),0,IF(OR($J66&lt;AD$3,$I66&gt;AD$2),0,IF($K66=0,IF(AND($I66&gt;=AD$3,$I66&lt;=AD$2),$E66,0),$E66*NETWORKDAYS(MAX($I66,AD$3),MIN($J66,AD$2),Data!$K$4:$K$203)/$K66)))</f>
        <v>0</v>
      </c>
      <c r="AE66" s="166">
        <f>IF(OR($I66="",$E66=0),0,IF(OR($J66&lt;AE$3,$I66&gt;AE$2),0,IF($K66=0,IF(AND($I66&gt;=AE$3,$I66&lt;=AE$2),$E66,0),$E66*NETWORKDAYS(MAX($I66,AE$3),MIN($J66,AE$2),Data!$K$4:$K$203)/$K66)))</f>
        <v>0</v>
      </c>
      <c r="AF66" s="166">
        <f>IF(OR($I66="",$E66=0),0,IF(OR($J66&lt;AF$3,$I66&gt;AF$2),0,IF($K66=0,IF(AND($I66&gt;=AF$3,$I66&lt;=AF$2),$E66,0),$E66*NETWORKDAYS(MAX($I66,AF$3),MIN($J66,AF$2),Data!$K$4:$K$203)/$K66)))</f>
        <v>0</v>
      </c>
      <c r="AG66" s="166">
        <f>IF(OR($I66="",$E66=0),0,IF(OR($J66&lt;AG$3,$I66&gt;AG$2),0,IF($K66=0,IF(AND($I66&gt;=AG$3,$I66&lt;=AG$2),$E66,0),$E66*NETWORKDAYS(MAX($I66,AG$3),MIN($J66,AG$2),Data!$K$4:$K$203)/$K66)))</f>
        <v>0</v>
      </c>
      <c r="AH66" s="166">
        <f>IF(OR($I66="",$E66=0),0,IF(OR($J66&lt;AH$3,$I66&gt;AH$2),0,IF($K66=0,IF(AND($I66&gt;=AH$3,$I66&lt;=AH$2),$E66,0),$E66*NETWORKDAYS(MAX($I66,AH$3),MIN($J66,AH$2),Data!$K$4:$K$203)/$K66)))</f>
        <v>0</v>
      </c>
      <c r="AI66" s="166">
        <f>SUM(W66:AH66)</f>
        <v>0</v>
      </c>
      <c r="BW66" t="n">
        <v>63</v>
      </c>
      <c r="BX66" t="str">
        <f>IFERROR(MATCH(BW66,$EQ$4:$EQ$503,0),"")</f>
        <v/>
      </c>
      <c r="BZ66" t="str">
        <f>IF(D66=1,IF(TRIM(INDEX(Charge!$K:$K,ROW()))&lt;&gt;"",TRIM(INDEX(Charge!$K:$K,ROW())),IF(TRIM(INDEX(Charge!$L:$L,ROW()))&lt;&gt;"",TRIM(INDEX(Charge!$L:$L,ROW())),"(non affecté)")),"")</f>
        <v/>
      </c>
      <c r="CA66" t="str">
        <f>IF(AND($CD$4&lt;&gt;"",BZ66=$CD$4),COUNTIFS($BZ$4:$BZ$503,$CD$4,$L$4:$L$503,"&lt;"&amp;L66)+1,"")</f>
        <v/>
      </c>
      <c r="EJ66" t="str">
        <f>TRIM(INDEX(Data!$E:$E,ROW()))</f>
        <v/>
      </c>
      <c r="EK66" t="str">
        <f>TRIM(INDEX(Data!$H:$H,ROW()))</f>
        <v/>
      </c>
      <c r="EM66" t="str">
        <f>IF(D66=1,IF(TRIM(INDEX(Charge!$K:$K,ROW()))&lt;&gt;"","Interne",IF(TRIM(INDEX(Charge!$L:$L,ROW()))&lt;&gt;"","Externe","Non affecté")),"")</f>
        <v/>
      </c>
      <c r="EN66" t="str">
        <f>IF(D66=1,LEFT(SUBSTITUTE(SUBSTITUTE(SUBSTITUTE(TRIM(SUBSTITUTE(INDEX(Charge!$B:$B,ROW()),CHAR(160)," "))&amp;" | "&amp;TRIM(SUBSTITUTE(INDEX(Charge!$C:$C,ROW()),CHAR(160)," "))&amp;" | "&amp;TRIM(SUBSTITUTE(INDEX(Charge!$D:$D,ROW()),CHAR(160)," ")),"~","-"),"*","+"),"?","!"),240),"")</f>
        <v/>
      </c>
      <c r="EO66">
        <f>IF(EN66="",0,IF(COUNTIF($EN$4:EN66,EN66)=1,1,0))</f>
        <v>0</v>
      </c>
      <c r="EP66" s="166" t="str">
        <f>IF(EO66=1,ROUND(SUMIF($EN$4:$EN$503,EN66,$E$4:$E$503),2),"")</f>
        <v/>
      </c>
      <c r="EQ66" t="str">
        <f>IF(EO66=1,COUNTIFS($EO$4:$EO$503,1,$EP$4:$EP$503,"&gt;"&amp;EP66)+COUNTIFS($EO$4:EO66,1,$EP$4:EP66,EP66),"")</f>
        <v/>
      </c>
      <c r="ER66" t="str">
        <f>IF(EO66=1,COUNTIFS($EN$4:$EN$503,EN66,$EM$4:$EM$503,"Interne",$FE$4:$FE$503,1),"")</f>
        <v/>
      </c>
      <c r="ES66" t="str">
        <f>IF(EO66=1,COUNTIFS($EN$4:$EN$503,EN66,$EM$4:$EM$503,"Externe",$FE$4:$FE$503,1),"")</f>
        <v/>
      </c>
      <c r="ET66" t="str">
        <f>IF(EO66=1,IF(ER66+ES66=0,"à affecter",IF(ER66=0,ES66&amp;" ext.",(ER66+ES66)&amp;IF(ES66&gt;0," dont "&amp;ES66&amp;" ext.",""))&amp;IF(COUNTIFS($EN$4:$EN$503,EN66,$EM$4:$EM$503,"Non affecté")&gt;0," + à affecter","")),"")</f>
        <v/>
      </c>
      <c r="EU66" s="170" t="str">
        <f>IF(EO66=1,IF(EP66&gt;0,SUMPRODUCT(($EN$4:$EN$503=EN66)*$E$4:$E$503*$C$4:$C$503)/EP66,AVERAGEIF($EN$4:$EN$503,EN66,$C$4:$C$503)),"")</f>
        <v/>
      </c>
      <c r="EV66" s="165">
        <f>IF(ISNUMBER(I66),I66,2958465)</f>
        <v>2958465.0</v>
      </c>
      <c r="EW66" s="165" t="str">
        <f>IF(EO66=1,SUMPRODUCT(MIN(($EN$4:$EN$503=EN66)*$EV$4:$EV$503+($EN$4:$EN$503&lt;&gt;EN66)*2958465)),"")</f>
        <v/>
      </c>
      <c r="EX66" s="165">
        <f>IF(AND(D66=1,ISNUMBER(INDEX(Charge!$F:$F,ROW()))),INDEX(Charge!$F:$F,ROW()),0)</f>
        <v>0.0</v>
      </c>
      <c r="EY66" s="165" t="str">
        <f>IF(EO66=1,SUMPRODUCT(MAX(($EN$4:$EN$503=EN66)*$EX$4:$EX$503)),"")</f>
        <v/>
      </c>
      <c r="FA66" t="str">
        <f>IF(63&lt;=$CD$23,INDEX($EJ$4:$EJ$203,63),IF(63-$CD$23&lt;=$CD$26,INDEX($EK$4:$EK$203,63-$CD$23),""))</f>
        <v/>
      </c>
      <c r="FB66" t="str">
        <f>IF(FA66="","",IF(63&lt;=$CD$23,"Interne","Externe"))</f>
        <v/>
      </c>
      <c r="FD66">
        <f>IF(AND(B66=1,TRIM(INDEX(Charge!$K:$K,ROW()))&lt;&gt;"",TRIM(INDEX(Charge!$L:$L,ROW()))&lt;&gt;""),1,0)</f>
        <v>0</v>
      </c>
      <c r="FE66">
        <f>IF(OR(EN66="",BZ66="(non affecté)"),0,IF(COUNTIFS($EN$4:EN66,EN66,$BZ$4:BZ66,BZ66)=1,1,0))</f>
        <v>0</v>
      </c>
    </row>
    <row r="67">
      <c r="A67">
        <f>ROW()</f>
        <v>67</v>
      </c>
      <c r="B67">
        <f>IF(TRIM(INDEX(Charge!$B:$B,ROW()))&lt;&gt;"",1,0)</f>
        <v>0</v>
      </c>
      <c r="C67">
        <f>IF(B67=1,MIN(1,MAX(0,N(INDEX(Charge!$O:$O,ROW())))),0)</f>
        <v>0</v>
      </c>
      <c r="D67">
        <f>IF(B67=1,IF(OR(p_Perimetre="Tous les projets",C67&lt;1),1,0),0)</f>
        <v>0</v>
      </c>
      <c r="E67">
        <f>IF(D67=1,MAX(0,N(INDEX(Charge!$M:$M,ROW()))),0)</f>
        <v>0</v>
      </c>
      <c r="F67" t="str">
        <f>IF(D67=1,IF(TRIM(INDEX(Charge!$A:$A,ROW()))="","(non renseigné)",TRIM(INDEX(Charge!$A:$A,ROW()))),"")</f>
        <v/>
      </c>
      <c r="G67" t="str">
        <f>IF(D67=1,TRIM(INDEX(Charge!$B:$B,ROW())),"")</f>
        <v/>
      </c>
      <c r="H67" t="str">
        <f>IF(D67=1,IF(TRIM(INDEX(Charge!$E:$E,ROW()))="","(non renseigné)",TRIM(INDEX(Charge!$E:$E,ROW()))),"")</f>
        <v/>
      </c>
      <c r="I67" s="165" t="str">
        <f>IF(AND(D67=1,ISNUMBER(INDEX(Charge!$N:$N,ROW()))),INDEX(Charge!$N:$N,ROW()),"")</f>
        <v/>
      </c>
      <c r="J67" s="165" t="str">
        <f>IF(I67="","",IF(AND(p_Repartition="Lissée jusqu'à la date de besoin",ISNUMBER(INDEX(Charge!$F:$F,ROW()))),IF(INDEX(Charge!$F:$F,ROW())&gt;=I67,INDEX(Charge!$F:$F,ROW()),I67),I67))</f>
        <v/>
      </c>
      <c r="K67" t="str">
        <f>IF(I67="","",NETWORKDAYS(I67,J67,Data!$K$4:$K$203))</f>
        <v/>
      </c>
      <c r="L67" t="str">
        <f>IF(D67=1,COUNTIFS($D$4:$D$503,1,$E$4:$E$503,"&gt;"&amp;E67)+COUNTIFS($D$4:$D67,1,$E$4:$E67,E67),"")</f>
        <v/>
      </c>
      <c r="M67">
        <f>IF(F67="",0,IF(COUNTIF($F$4:F67,F67)=1,1,0))</f>
        <v>0</v>
      </c>
      <c r="N67" t="str">
        <f>IF(M67=1,ROUND(SUMIF($F$4:$F$503,F67,$E$4:$E$503),2),"")</f>
        <v/>
      </c>
      <c r="O67" t="str">
        <f>IF(M67=1,COUNTIFS($M$4:$M$503,1,$N$4:$N$503,"&gt;"&amp;N67)+COUNTIFS($M$4:M67,1,$N$4:N67,N67),"")</f>
        <v/>
      </c>
      <c r="P67">
        <f>IF(G67="",0,IF(COUNTIF($G$4:G67,G67)=1,1,0))</f>
        <v>0</v>
      </c>
      <c r="Q67" t="str">
        <f>IF(P67=1,ROUND(SUMIF($G$4:$G$503,G67,$E$4:$E$503),2),"")</f>
        <v/>
      </c>
      <c r="R67" t="str">
        <f>IF(P67=1,COUNTIFS($P$4:$P$503,1,$Q$4:$Q$503,"&gt;"&amp;Q67)+COUNTIFS($P$4:P67,1,$Q$4:Q67,Q67),"")</f>
        <v/>
      </c>
      <c r="S67">
        <f>IF(H67="",0,IF(COUNTIF($H$4:H67,H67)=1,1,0))</f>
        <v>0</v>
      </c>
      <c r="T67" t="str">
        <f>IF(S67=1,ROUND(SUMIF($H$4:$H$503,H67,$E$4:$E$503),2),"")</f>
        <v/>
      </c>
      <c r="U67" t="str">
        <f>IF(S67=1,COUNTIFS($S$4:$S$503,1,$T$4:$T$503,"&gt;"&amp;T67)+COUNTIFS($S$4:S67,1,$T$4:T67,T67),"")</f>
        <v/>
      </c>
      <c r="V67" t="str">
        <f>IF(D67=1,MIN(INDEX($R$4:$R$503,MATCH(G67,$G$4:$G$503,0)),IF($AL$7&gt;9,9,999)),"")</f>
        <v/>
      </c>
      <c r="W67" s="166">
        <f>IF(OR($I67="",$E67=0),0,IF(OR($J67&lt;W$3,$I67&gt;W$2),0,IF($K67=0,IF(AND($I67&gt;=W$3,$I67&lt;=W$2),$E67,0),$E67*NETWORKDAYS(MAX($I67,W$3),MIN($J67,W$2),Data!$K$4:$K$203)/$K67)))</f>
        <v>0</v>
      </c>
      <c r="X67" s="166">
        <f>IF(OR($I67="",$E67=0),0,IF(OR($J67&lt;X$3,$I67&gt;X$2),0,IF($K67=0,IF(AND($I67&gt;=X$3,$I67&lt;=X$2),$E67,0),$E67*NETWORKDAYS(MAX($I67,X$3),MIN($J67,X$2),Data!$K$4:$K$203)/$K67)))</f>
        <v>0</v>
      </c>
      <c r="Y67" s="166">
        <f>IF(OR($I67="",$E67=0),0,IF(OR($J67&lt;Y$3,$I67&gt;Y$2),0,IF($K67=0,IF(AND($I67&gt;=Y$3,$I67&lt;=Y$2),$E67,0),$E67*NETWORKDAYS(MAX($I67,Y$3),MIN($J67,Y$2),Data!$K$4:$K$203)/$K67)))</f>
        <v>0</v>
      </c>
      <c r="Z67" s="166">
        <f>IF(OR($I67="",$E67=0),0,IF(OR($J67&lt;Z$3,$I67&gt;Z$2),0,IF($K67=0,IF(AND($I67&gt;=Z$3,$I67&lt;=Z$2),$E67,0),$E67*NETWORKDAYS(MAX($I67,Z$3),MIN($J67,Z$2),Data!$K$4:$K$203)/$K67)))</f>
        <v>0</v>
      </c>
      <c r="AA67" s="166">
        <f>IF(OR($I67="",$E67=0),0,IF(OR($J67&lt;AA$3,$I67&gt;AA$2),0,IF($K67=0,IF(AND($I67&gt;=AA$3,$I67&lt;=AA$2),$E67,0),$E67*NETWORKDAYS(MAX($I67,AA$3),MIN($J67,AA$2),Data!$K$4:$K$203)/$K67)))</f>
        <v>0</v>
      </c>
      <c r="AB67" s="166">
        <f>IF(OR($I67="",$E67=0),0,IF(OR($J67&lt;AB$3,$I67&gt;AB$2),0,IF($K67=0,IF(AND($I67&gt;=AB$3,$I67&lt;=AB$2),$E67,0),$E67*NETWORKDAYS(MAX($I67,AB$3),MIN($J67,AB$2),Data!$K$4:$K$203)/$K67)))</f>
        <v>0</v>
      </c>
      <c r="AC67" s="166">
        <f>IF(OR($I67="",$E67=0),0,IF(OR($J67&lt;AC$3,$I67&gt;AC$2),0,IF($K67=0,IF(AND($I67&gt;=AC$3,$I67&lt;=AC$2),$E67,0),$E67*NETWORKDAYS(MAX($I67,AC$3),MIN($J67,AC$2),Data!$K$4:$K$203)/$K67)))</f>
        <v>0</v>
      </c>
      <c r="AD67" s="166">
        <f>IF(OR($I67="",$E67=0),0,IF(OR($J67&lt;AD$3,$I67&gt;AD$2),0,IF($K67=0,IF(AND($I67&gt;=AD$3,$I67&lt;=AD$2),$E67,0),$E67*NETWORKDAYS(MAX($I67,AD$3),MIN($J67,AD$2),Data!$K$4:$K$203)/$K67)))</f>
        <v>0</v>
      </c>
      <c r="AE67" s="166">
        <f>IF(OR($I67="",$E67=0),0,IF(OR($J67&lt;AE$3,$I67&gt;AE$2),0,IF($K67=0,IF(AND($I67&gt;=AE$3,$I67&lt;=AE$2),$E67,0),$E67*NETWORKDAYS(MAX($I67,AE$3),MIN($J67,AE$2),Data!$K$4:$K$203)/$K67)))</f>
        <v>0</v>
      </c>
      <c r="AF67" s="166">
        <f>IF(OR($I67="",$E67=0),0,IF(OR($J67&lt;AF$3,$I67&gt;AF$2),0,IF($K67=0,IF(AND($I67&gt;=AF$3,$I67&lt;=AF$2),$E67,0),$E67*NETWORKDAYS(MAX($I67,AF$3),MIN($J67,AF$2),Data!$K$4:$K$203)/$K67)))</f>
        <v>0</v>
      </c>
      <c r="AG67" s="166">
        <f>IF(OR($I67="",$E67=0),0,IF(OR($J67&lt;AG$3,$I67&gt;AG$2),0,IF($K67=0,IF(AND($I67&gt;=AG$3,$I67&lt;=AG$2),$E67,0),$E67*NETWORKDAYS(MAX($I67,AG$3),MIN($J67,AG$2),Data!$K$4:$K$203)/$K67)))</f>
        <v>0</v>
      </c>
      <c r="AH67" s="166">
        <f>IF(OR($I67="",$E67=0),0,IF(OR($J67&lt;AH$3,$I67&gt;AH$2),0,IF($K67=0,IF(AND($I67&gt;=AH$3,$I67&lt;=AH$2),$E67,0),$E67*NETWORKDAYS(MAX($I67,AH$3),MIN($J67,AH$2),Data!$K$4:$K$203)/$K67)))</f>
        <v>0</v>
      </c>
      <c r="AI67" s="166">
        <f>SUM(W67:AH67)</f>
        <v>0</v>
      </c>
      <c r="BW67" t="n">
        <v>64</v>
      </c>
      <c r="BX67" t="str">
        <f>IFERROR(MATCH(BW67,$EQ$4:$EQ$503,0),"")</f>
        <v/>
      </c>
      <c r="BZ67" t="str">
        <f>IF(D67=1,IF(TRIM(INDEX(Charge!$K:$K,ROW()))&lt;&gt;"",TRIM(INDEX(Charge!$K:$K,ROW())),IF(TRIM(INDEX(Charge!$L:$L,ROW()))&lt;&gt;"",TRIM(INDEX(Charge!$L:$L,ROW())),"(non affecté)")),"")</f>
        <v/>
      </c>
      <c r="CA67" t="str">
        <f>IF(AND($CD$4&lt;&gt;"",BZ67=$CD$4),COUNTIFS($BZ$4:$BZ$503,$CD$4,$L$4:$L$503,"&lt;"&amp;L67)+1,"")</f>
        <v/>
      </c>
      <c r="EJ67" t="str">
        <f>TRIM(INDEX(Data!$E:$E,ROW()))</f>
        <v/>
      </c>
      <c r="EK67" t="str">
        <f>TRIM(INDEX(Data!$H:$H,ROW()))</f>
        <v/>
      </c>
      <c r="EM67" t="str">
        <f>IF(D67=1,IF(TRIM(INDEX(Charge!$K:$K,ROW()))&lt;&gt;"","Interne",IF(TRIM(INDEX(Charge!$L:$L,ROW()))&lt;&gt;"","Externe","Non affecté")),"")</f>
        <v/>
      </c>
      <c r="EN67" t="str">
        <f>IF(D67=1,LEFT(SUBSTITUTE(SUBSTITUTE(SUBSTITUTE(TRIM(SUBSTITUTE(INDEX(Charge!$B:$B,ROW()),CHAR(160)," "))&amp;" | "&amp;TRIM(SUBSTITUTE(INDEX(Charge!$C:$C,ROW()),CHAR(160)," "))&amp;" | "&amp;TRIM(SUBSTITUTE(INDEX(Charge!$D:$D,ROW()),CHAR(160)," ")),"~","-"),"*","+"),"?","!"),240),"")</f>
        <v/>
      </c>
      <c r="EO67">
        <f>IF(EN67="",0,IF(COUNTIF($EN$4:EN67,EN67)=1,1,0))</f>
        <v>0</v>
      </c>
      <c r="EP67" s="166" t="str">
        <f>IF(EO67=1,ROUND(SUMIF($EN$4:$EN$503,EN67,$E$4:$E$503),2),"")</f>
        <v/>
      </c>
      <c r="EQ67" t="str">
        <f>IF(EO67=1,COUNTIFS($EO$4:$EO$503,1,$EP$4:$EP$503,"&gt;"&amp;EP67)+COUNTIFS($EO$4:EO67,1,$EP$4:EP67,EP67),"")</f>
        <v/>
      </c>
      <c r="ER67" t="str">
        <f>IF(EO67=1,COUNTIFS($EN$4:$EN$503,EN67,$EM$4:$EM$503,"Interne",$FE$4:$FE$503,1),"")</f>
        <v/>
      </c>
      <c r="ES67" t="str">
        <f>IF(EO67=1,COUNTIFS($EN$4:$EN$503,EN67,$EM$4:$EM$503,"Externe",$FE$4:$FE$503,1),"")</f>
        <v/>
      </c>
      <c r="ET67" t="str">
        <f>IF(EO67=1,IF(ER67+ES67=0,"à affecter",IF(ER67=0,ES67&amp;" ext.",(ER67+ES67)&amp;IF(ES67&gt;0," dont "&amp;ES67&amp;" ext.",""))&amp;IF(COUNTIFS($EN$4:$EN$503,EN67,$EM$4:$EM$503,"Non affecté")&gt;0," + à affecter","")),"")</f>
        <v/>
      </c>
      <c r="EU67" s="170" t="str">
        <f>IF(EO67=1,IF(EP67&gt;0,SUMPRODUCT(($EN$4:$EN$503=EN67)*$E$4:$E$503*$C$4:$C$503)/EP67,AVERAGEIF($EN$4:$EN$503,EN67,$C$4:$C$503)),"")</f>
        <v/>
      </c>
      <c r="EV67" s="165">
        <f>IF(ISNUMBER(I67),I67,2958465)</f>
        <v>2958465.0</v>
      </c>
      <c r="EW67" s="165" t="str">
        <f>IF(EO67=1,SUMPRODUCT(MIN(($EN$4:$EN$503=EN67)*$EV$4:$EV$503+($EN$4:$EN$503&lt;&gt;EN67)*2958465)),"")</f>
        <v/>
      </c>
      <c r="EX67" s="165">
        <f>IF(AND(D67=1,ISNUMBER(INDEX(Charge!$F:$F,ROW()))),INDEX(Charge!$F:$F,ROW()),0)</f>
        <v>0.0</v>
      </c>
      <c r="EY67" s="165" t="str">
        <f>IF(EO67=1,SUMPRODUCT(MAX(($EN$4:$EN$503=EN67)*$EX$4:$EX$503)),"")</f>
        <v/>
      </c>
      <c r="FA67" t="str">
        <f>IF(64&lt;=$CD$23,INDEX($EJ$4:$EJ$203,64),IF(64-$CD$23&lt;=$CD$26,INDEX($EK$4:$EK$203,64-$CD$23),""))</f>
        <v/>
      </c>
      <c r="FB67" t="str">
        <f>IF(FA67="","",IF(64&lt;=$CD$23,"Interne","Externe"))</f>
        <v/>
      </c>
      <c r="FD67">
        <f>IF(AND(B67=1,TRIM(INDEX(Charge!$K:$K,ROW()))&lt;&gt;"",TRIM(INDEX(Charge!$L:$L,ROW()))&lt;&gt;""),1,0)</f>
        <v>0</v>
      </c>
      <c r="FE67">
        <f>IF(OR(EN67="",BZ67="(non affecté)"),0,IF(COUNTIFS($EN$4:EN67,EN67,$BZ$4:BZ67,BZ67)=1,1,0))</f>
        <v>0</v>
      </c>
    </row>
    <row r="68">
      <c r="A68">
        <f>ROW()</f>
        <v>68</v>
      </c>
      <c r="B68">
        <f>IF(TRIM(INDEX(Charge!$B:$B,ROW()))&lt;&gt;"",1,0)</f>
        <v>0</v>
      </c>
      <c r="C68">
        <f>IF(B68=1,MIN(1,MAX(0,N(INDEX(Charge!$O:$O,ROW())))),0)</f>
        <v>0</v>
      </c>
      <c r="D68">
        <f>IF(B68=1,IF(OR(p_Perimetre="Tous les projets",C68&lt;1),1,0),0)</f>
        <v>0</v>
      </c>
      <c r="E68">
        <f>IF(D68=1,MAX(0,N(INDEX(Charge!$M:$M,ROW()))),0)</f>
        <v>0</v>
      </c>
      <c r="F68" t="str">
        <f>IF(D68=1,IF(TRIM(INDEX(Charge!$A:$A,ROW()))="","(non renseigné)",TRIM(INDEX(Charge!$A:$A,ROW()))),"")</f>
        <v/>
      </c>
      <c r="G68" t="str">
        <f>IF(D68=1,TRIM(INDEX(Charge!$B:$B,ROW())),"")</f>
        <v/>
      </c>
      <c r="H68" t="str">
        <f>IF(D68=1,IF(TRIM(INDEX(Charge!$E:$E,ROW()))="","(non renseigné)",TRIM(INDEX(Charge!$E:$E,ROW()))),"")</f>
        <v/>
      </c>
      <c r="I68" s="165" t="str">
        <f>IF(AND(D68=1,ISNUMBER(INDEX(Charge!$N:$N,ROW()))),INDEX(Charge!$N:$N,ROW()),"")</f>
        <v/>
      </c>
      <c r="J68" s="165" t="str">
        <f>IF(I68="","",IF(AND(p_Repartition="Lissée jusqu'à la date de besoin",ISNUMBER(INDEX(Charge!$F:$F,ROW()))),IF(INDEX(Charge!$F:$F,ROW())&gt;=I68,INDEX(Charge!$F:$F,ROW()),I68),I68))</f>
        <v/>
      </c>
      <c r="K68" t="str">
        <f>IF(I68="","",NETWORKDAYS(I68,J68,Data!$K$4:$K$203))</f>
        <v/>
      </c>
      <c r="L68" t="str">
        <f>IF(D68=1,COUNTIFS($D$4:$D$503,1,$E$4:$E$503,"&gt;"&amp;E68)+COUNTIFS($D$4:$D68,1,$E$4:$E68,E68),"")</f>
        <v/>
      </c>
      <c r="M68">
        <f>IF(F68="",0,IF(COUNTIF($F$4:F68,F68)=1,1,0))</f>
        <v>0</v>
      </c>
      <c r="N68" t="str">
        <f>IF(M68=1,ROUND(SUMIF($F$4:$F$503,F68,$E$4:$E$503),2),"")</f>
        <v/>
      </c>
      <c r="O68" t="str">
        <f>IF(M68=1,COUNTIFS($M$4:$M$503,1,$N$4:$N$503,"&gt;"&amp;N68)+COUNTIFS($M$4:M68,1,$N$4:N68,N68),"")</f>
        <v/>
      </c>
      <c r="P68">
        <f>IF(G68="",0,IF(COUNTIF($G$4:G68,G68)=1,1,0))</f>
        <v>0</v>
      </c>
      <c r="Q68" t="str">
        <f>IF(P68=1,ROUND(SUMIF($G$4:$G$503,G68,$E$4:$E$503),2),"")</f>
        <v/>
      </c>
      <c r="R68" t="str">
        <f>IF(P68=1,COUNTIFS($P$4:$P$503,1,$Q$4:$Q$503,"&gt;"&amp;Q68)+COUNTIFS($P$4:P68,1,$Q$4:Q68,Q68),"")</f>
        <v/>
      </c>
      <c r="S68">
        <f>IF(H68="",0,IF(COUNTIF($H$4:H68,H68)=1,1,0))</f>
        <v>0</v>
      </c>
      <c r="T68" t="str">
        <f>IF(S68=1,ROUND(SUMIF($H$4:$H$503,H68,$E$4:$E$503),2),"")</f>
        <v/>
      </c>
      <c r="U68" t="str">
        <f>IF(S68=1,COUNTIFS($S$4:$S$503,1,$T$4:$T$503,"&gt;"&amp;T68)+COUNTIFS($S$4:S68,1,$T$4:T68,T68),"")</f>
        <v/>
      </c>
      <c r="V68" t="str">
        <f>IF(D68=1,MIN(INDEX($R$4:$R$503,MATCH(G68,$G$4:$G$503,0)),IF($AL$7&gt;9,9,999)),"")</f>
        <v/>
      </c>
      <c r="W68" s="166">
        <f>IF(OR($I68="",$E68=0),0,IF(OR($J68&lt;W$3,$I68&gt;W$2),0,IF($K68=0,IF(AND($I68&gt;=W$3,$I68&lt;=W$2),$E68,0),$E68*NETWORKDAYS(MAX($I68,W$3),MIN($J68,W$2),Data!$K$4:$K$203)/$K68)))</f>
        <v>0</v>
      </c>
      <c r="X68" s="166">
        <f>IF(OR($I68="",$E68=0),0,IF(OR($J68&lt;X$3,$I68&gt;X$2),0,IF($K68=0,IF(AND($I68&gt;=X$3,$I68&lt;=X$2),$E68,0),$E68*NETWORKDAYS(MAX($I68,X$3),MIN($J68,X$2),Data!$K$4:$K$203)/$K68)))</f>
        <v>0</v>
      </c>
      <c r="Y68" s="166">
        <f>IF(OR($I68="",$E68=0),0,IF(OR($J68&lt;Y$3,$I68&gt;Y$2),0,IF($K68=0,IF(AND($I68&gt;=Y$3,$I68&lt;=Y$2),$E68,0),$E68*NETWORKDAYS(MAX($I68,Y$3),MIN($J68,Y$2),Data!$K$4:$K$203)/$K68)))</f>
        <v>0</v>
      </c>
      <c r="Z68" s="166">
        <f>IF(OR($I68="",$E68=0),0,IF(OR($J68&lt;Z$3,$I68&gt;Z$2),0,IF($K68=0,IF(AND($I68&gt;=Z$3,$I68&lt;=Z$2),$E68,0),$E68*NETWORKDAYS(MAX($I68,Z$3),MIN($J68,Z$2),Data!$K$4:$K$203)/$K68)))</f>
        <v>0</v>
      </c>
      <c r="AA68" s="166">
        <f>IF(OR($I68="",$E68=0),0,IF(OR($J68&lt;AA$3,$I68&gt;AA$2),0,IF($K68=0,IF(AND($I68&gt;=AA$3,$I68&lt;=AA$2),$E68,0),$E68*NETWORKDAYS(MAX($I68,AA$3),MIN($J68,AA$2),Data!$K$4:$K$203)/$K68)))</f>
        <v>0</v>
      </c>
      <c r="AB68" s="166">
        <f>IF(OR($I68="",$E68=0),0,IF(OR($J68&lt;AB$3,$I68&gt;AB$2),0,IF($K68=0,IF(AND($I68&gt;=AB$3,$I68&lt;=AB$2),$E68,0),$E68*NETWORKDAYS(MAX($I68,AB$3),MIN($J68,AB$2),Data!$K$4:$K$203)/$K68)))</f>
        <v>0</v>
      </c>
      <c r="AC68" s="166">
        <f>IF(OR($I68="",$E68=0),0,IF(OR($J68&lt;AC$3,$I68&gt;AC$2),0,IF($K68=0,IF(AND($I68&gt;=AC$3,$I68&lt;=AC$2),$E68,0),$E68*NETWORKDAYS(MAX($I68,AC$3),MIN($J68,AC$2),Data!$K$4:$K$203)/$K68)))</f>
        <v>0</v>
      </c>
      <c r="AD68" s="166">
        <f>IF(OR($I68="",$E68=0),0,IF(OR($J68&lt;AD$3,$I68&gt;AD$2),0,IF($K68=0,IF(AND($I68&gt;=AD$3,$I68&lt;=AD$2),$E68,0),$E68*NETWORKDAYS(MAX($I68,AD$3),MIN($J68,AD$2),Data!$K$4:$K$203)/$K68)))</f>
        <v>0</v>
      </c>
      <c r="AE68" s="166">
        <f>IF(OR($I68="",$E68=0),0,IF(OR($J68&lt;AE$3,$I68&gt;AE$2),0,IF($K68=0,IF(AND($I68&gt;=AE$3,$I68&lt;=AE$2),$E68,0),$E68*NETWORKDAYS(MAX($I68,AE$3),MIN($J68,AE$2),Data!$K$4:$K$203)/$K68)))</f>
        <v>0</v>
      </c>
      <c r="AF68" s="166">
        <f>IF(OR($I68="",$E68=0),0,IF(OR($J68&lt;AF$3,$I68&gt;AF$2),0,IF($K68=0,IF(AND($I68&gt;=AF$3,$I68&lt;=AF$2),$E68,0),$E68*NETWORKDAYS(MAX($I68,AF$3),MIN($J68,AF$2),Data!$K$4:$K$203)/$K68)))</f>
        <v>0</v>
      </c>
      <c r="AG68" s="166">
        <f>IF(OR($I68="",$E68=0),0,IF(OR($J68&lt;AG$3,$I68&gt;AG$2),0,IF($K68=0,IF(AND($I68&gt;=AG$3,$I68&lt;=AG$2),$E68,0),$E68*NETWORKDAYS(MAX($I68,AG$3),MIN($J68,AG$2),Data!$K$4:$K$203)/$K68)))</f>
        <v>0</v>
      </c>
      <c r="AH68" s="166">
        <f>IF(OR($I68="",$E68=0),0,IF(OR($J68&lt;AH$3,$I68&gt;AH$2),0,IF($K68=0,IF(AND($I68&gt;=AH$3,$I68&lt;=AH$2),$E68,0),$E68*NETWORKDAYS(MAX($I68,AH$3),MIN($J68,AH$2),Data!$K$4:$K$203)/$K68)))</f>
        <v>0</v>
      </c>
      <c r="AI68" s="166">
        <f>SUM(W68:AH68)</f>
        <v>0</v>
      </c>
      <c r="BW68" t="n">
        <v>65</v>
      </c>
      <c r="BX68" t="str">
        <f>IFERROR(MATCH(BW68,$EQ$4:$EQ$503,0),"")</f>
        <v/>
      </c>
      <c r="BZ68" t="str">
        <f>IF(D68=1,IF(TRIM(INDEX(Charge!$K:$K,ROW()))&lt;&gt;"",TRIM(INDEX(Charge!$K:$K,ROW())),IF(TRIM(INDEX(Charge!$L:$L,ROW()))&lt;&gt;"",TRIM(INDEX(Charge!$L:$L,ROW())),"(non affecté)")),"")</f>
        <v/>
      </c>
      <c r="CA68" t="str">
        <f>IF(AND($CD$4&lt;&gt;"",BZ68=$CD$4),COUNTIFS($BZ$4:$BZ$503,$CD$4,$L$4:$L$503,"&lt;"&amp;L68)+1,"")</f>
        <v/>
      </c>
      <c r="EJ68" t="str">
        <f>TRIM(INDEX(Data!$E:$E,ROW()))</f>
        <v/>
      </c>
      <c r="EK68" t="str">
        <f>TRIM(INDEX(Data!$H:$H,ROW()))</f>
        <v/>
      </c>
      <c r="EM68" t="str">
        <f>IF(D68=1,IF(TRIM(INDEX(Charge!$K:$K,ROW()))&lt;&gt;"","Interne",IF(TRIM(INDEX(Charge!$L:$L,ROW()))&lt;&gt;"","Externe","Non affecté")),"")</f>
        <v/>
      </c>
      <c r="EN68" t="str">
        <f>IF(D68=1,LEFT(SUBSTITUTE(SUBSTITUTE(SUBSTITUTE(TRIM(SUBSTITUTE(INDEX(Charge!$B:$B,ROW()),CHAR(160)," "))&amp;" | "&amp;TRIM(SUBSTITUTE(INDEX(Charge!$C:$C,ROW()),CHAR(160)," "))&amp;" | "&amp;TRIM(SUBSTITUTE(INDEX(Charge!$D:$D,ROW()),CHAR(160)," ")),"~","-"),"*","+"),"?","!"),240),"")</f>
        <v/>
      </c>
      <c r="EO68">
        <f>IF(EN68="",0,IF(COUNTIF($EN$4:EN68,EN68)=1,1,0))</f>
        <v>0</v>
      </c>
      <c r="EP68" s="166" t="str">
        <f>IF(EO68=1,ROUND(SUMIF($EN$4:$EN$503,EN68,$E$4:$E$503),2),"")</f>
        <v/>
      </c>
      <c r="EQ68" t="str">
        <f>IF(EO68=1,COUNTIFS($EO$4:$EO$503,1,$EP$4:$EP$503,"&gt;"&amp;EP68)+COUNTIFS($EO$4:EO68,1,$EP$4:EP68,EP68),"")</f>
        <v/>
      </c>
      <c r="ER68" t="str">
        <f>IF(EO68=1,COUNTIFS($EN$4:$EN$503,EN68,$EM$4:$EM$503,"Interne",$FE$4:$FE$503,1),"")</f>
        <v/>
      </c>
      <c r="ES68" t="str">
        <f>IF(EO68=1,COUNTIFS($EN$4:$EN$503,EN68,$EM$4:$EM$503,"Externe",$FE$4:$FE$503,1),"")</f>
        <v/>
      </c>
      <c r="ET68" t="str">
        <f>IF(EO68=1,IF(ER68+ES68=0,"à affecter",IF(ER68=0,ES68&amp;" ext.",(ER68+ES68)&amp;IF(ES68&gt;0," dont "&amp;ES68&amp;" ext.",""))&amp;IF(COUNTIFS($EN$4:$EN$503,EN68,$EM$4:$EM$503,"Non affecté")&gt;0," + à affecter","")),"")</f>
        <v/>
      </c>
      <c r="EU68" s="170" t="str">
        <f>IF(EO68=1,IF(EP68&gt;0,SUMPRODUCT(($EN$4:$EN$503=EN68)*$E$4:$E$503*$C$4:$C$503)/EP68,AVERAGEIF($EN$4:$EN$503,EN68,$C$4:$C$503)),"")</f>
        <v/>
      </c>
      <c r="EV68" s="165">
        <f>IF(ISNUMBER(I68),I68,2958465)</f>
        <v>2958465.0</v>
      </c>
      <c r="EW68" s="165" t="str">
        <f>IF(EO68=1,SUMPRODUCT(MIN(($EN$4:$EN$503=EN68)*$EV$4:$EV$503+($EN$4:$EN$503&lt;&gt;EN68)*2958465)),"")</f>
        <v/>
      </c>
      <c r="EX68" s="165">
        <f>IF(AND(D68=1,ISNUMBER(INDEX(Charge!$F:$F,ROW()))),INDEX(Charge!$F:$F,ROW()),0)</f>
        <v>0.0</v>
      </c>
      <c r="EY68" s="165" t="str">
        <f>IF(EO68=1,SUMPRODUCT(MAX(($EN$4:$EN$503=EN68)*$EX$4:$EX$503)),"")</f>
        <v/>
      </c>
      <c r="FA68" t="str">
        <f>IF(65&lt;=$CD$23,INDEX($EJ$4:$EJ$203,65),IF(65-$CD$23&lt;=$CD$26,INDEX($EK$4:$EK$203,65-$CD$23),""))</f>
        <v/>
      </c>
      <c r="FB68" t="str">
        <f>IF(FA68="","",IF(65&lt;=$CD$23,"Interne","Externe"))</f>
        <v/>
      </c>
      <c r="FD68">
        <f>IF(AND(B68=1,TRIM(INDEX(Charge!$K:$K,ROW()))&lt;&gt;"",TRIM(INDEX(Charge!$L:$L,ROW()))&lt;&gt;""),1,0)</f>
        <v>0</v>
      </c>
      <c r="FE68">
        <f>IF(OR(EN68="",BZ68="(non affecté)"),0,IF(COUNTIFS($EN$4:EN68,EN68,$BZ$4:BZ68,BZ68)=1,1,0))</f>
        <v>0</v>
      </c>
    </row>
    <row r="69">
      <c r="A69">
        <f>ROW()</f>
        <v>69</v>
      </c>
      <c r="B69">
        <f>IF(TRIM(INDEX(Charge!$B:$B,ROW()))&lt;&gt;"",1,0)</f>
        <v>0</v>
      </c>
      <c r="C69">
        <f>IF(B69=1,MIN(1,MAX(0,N(INDEX(Charge!$O:$O,ROW())))),0)</f>
        <v>0</v>
      </c>
      <c r="D69">
        <f>IF(B69=1,IF(OR(p_Perimetre="Tous les projets",C69&lt;1),1,0),0)</f>
        <v>0</v>
      </c>
      <c r="E69">
        <f>IF(D69=1,MAX(0,N(INDEX(Charge!$M:$M,ROW()))),0)</f>
        <v>0</v>
      </c>
      <c r="F69" t="str">
        <f>IF(D69=1,IF(TRIM(INDEX(Charge!$A:$A,ROW()))="","(non renseigné)",TRIM(INDEX(Charge!$A:$A,ROW()))),"")</f>
        <v/>
      </c>
      <c r="G69" t="str">
        <f>IF(D69=1,TRIM(INDEX(Charge!$B:$B,ROW())),"")</f>
        <v/>
      </c>
      <c r="H69" t="str">
        <f>IF(D69=1,IF(TRIM(INDEX(Charge!$E:$E,ROW()))="","(non renseigné)",TRIM(INDEX(Charge!$E:$E,ROW()))),"")</f>
        <v/>
      </c>
      <c r="I69" s="165" t="str">
        <f>IF(AND(D69=1,ISNUMBER(INDEX(Charge!$N:$N,ROW()))),INDEX(Charge!$N:$N,ROW()),"")</f>
        <v/>
      </c>
      <c r="J69" s="165" t="str">
        <f>IF(I69="","",IF(AND(p_Repartition="Lissée jusqu'à la date de besoin",ISNUMBER(INDEX(Charge!$F:$F,ROW()))),IF(INDEX(Charge!$F:$F,ROW())&gt;=I69,INDEX(Charge!$F:$F,ROW()),I69),I69))</f>
        <v/>
      </c>
      <c r="K69" t="str">
        <f>IF(I69="","",NETWORKDAYS(I69,J69,Data!$K$4:$K$203))</f>
        <v/>
      </c>
      <c r="L69" t="str">
        <f>IF(D69=1,COUNTIFS($D$4:$D$503,1,$E$4:$E$503,"&gt;"&amp;E69)+COUNTIFS($D$4:$D69,1,$E$4:$E69,E69),"")</f>
        <v/>
      </c>
      <c r="M69">
        <f>IF(F69="",0,IF(COUNTIF($F$4:F69,F69)=1,1,0))</f>
        <v>0</v>
      </c>
      <c r="N69" t="str">
        <f>IF(M69=1,ROUND(SUMIF($F$4:$F$503,F69,$E$4:$E$503),2),"")</f>
        <v/>
      </c>
      <c r="O69" t="str">
        <f>IF(M69=1,COUNTIFS($M$4:$M$503,1,$N$4:$N$503,"&gt;"&amp;N69)+COUNTIFS($M$4:M69,1,$N$4:N69,N69),"")</f>
        <v/>
      </c>
      <c r="P69">
        <f>IF(G69="",0,IF(COUNTIF($G$4:G69,G69)=1,1,0))</f>
        <v>0</v>
      </c>
      <c r="Q69" t="str">
        <f>IF(P69=1,ROUND(SUMIF($G$4:$G$503,G69,$E$4:$E$503),2),"")</f>
        <v/>
      </c>
      <c r="R69" t="str">
        <f>IF(P69=1,COUNTIFS($P$4:$P$503,1,$Q$4:$Q$503,"&gt;"&amp;Q69)+COUNTIFS($P$4:P69,1,$Q$4:Q69,Q69),"")</f>
        <v/>
      </c>
      <c r="S69">
        <f>IF(H69="",0,IF(COUNTIF($H$4:H69,H69)=1,1,0))</f>
        <v>0</v>
      </c>
      <c r="T69" t="str">
        <f>IF(S69=1,ROUND(SUMIF($H$4:$H$503,H69,$E$4:$E$503),2),"")</f>
        <v/>
      </c>
      <c r="U69" t="str">
        <f>IF(S69=1,COUNTIFS($S$4:$S$503,1,$T$4:$T$503,"&gt;"&amp;T69)+COUNTIFS($S$4:S69,1,$T$4:T69,T69),"")</f>
        <v/>
      </c>
      <c r="V69" t="str">
        <f>IF(D69=1,MIN(INDEX($R$4:$R$503,MATCH(G69,$G$4:$G$503,0)),IF($AL$7&gt;9,9,999)),"")</f>
        <v/>
      </c>
      <c r="W69" s="166">
        <f>IF(OR($I69="",$E69=0),0,IF(OR($J69&lt;W$3,$I69&gt;W$2),0,IF($K69=0,IF(AND($I69&gt;=W$3,$I69&lt;=W$2),$E69,0),$E69*NETWORKDAYS(MAX($I69,W$3),MIN($J69,W$2),Data!$K$4:$K$203)/$K69)))</f>
        <v>0</v>
      </c>
      <c r="X69" s="166">
        <f>IF(OR($I69="",$E69=0),0,IF(OR($J69&lt;X$3,$I69&gt;X$2),0,IF($K69=0,IF(AND($I69&gt;=X$3,$I69&lt;=X$2),$E69,0),$E69*NETWORKDAYS(MAX($I69,X$3),MIN($J69,X$2),Data!$K$4:$K$203)/$K69)))</f>
        <v>0</v>
      </c>
      <c r="Y69" s="166">
        <f>IF(OR($I69="",$E69=0),0,IF(OR($J69&lt;Y$3,$I69&gt;Y$2),0,IF($K69=0,IF(AND($I69&gt;=Y$3,$I69&lt;=Y$2),$E69,0),$E69*NETWORKDAYS(MAX($I69,Y$3),MIN($J69,Y$2),Data!$K$4:$K$203)/$K69)))</f>
        <v>0</v>
      </c>
      <c r="Z69" s="166">
        <f>IF(OR($I69="",$E69=0),0,IF(OR($J69&lt;Z$3,$I69&gt;Z$2),0,IF($K69=0,IF(AND($I69&gt;=Z$3,$I69&lt;=Z$2),$E69,0),$E69*NETWORKDAYS(MAX($I69,Z$3),MIN($J69,Z$2),Data!$K$4:$K$203)/$K69)))</f>
        <v>0</v>
      </c>
      <c r="AA69" s="166">
        <f>IF(OR($I69="",$E69=0),0,IF(OR($J69&lt;AA$3,$I69&gt;AA$2),0,IF($K69=0,IF(AND($I69&gt;=AA$3,$I69&lt;=AA$2),$E69,0),$E69*NETWORKDAYS(MAX($I69,AA$3),MIN($J69,AA$2),Data!$K$4:$K$203)/$K69)))</f>
        <v>0</v>
      </c>
      <c r="AB69" s="166">
        <f>IF(OR($I69="",$E69=0),0,IF(OR($J69&lt;AB$3,$I69&gt;AB$2),0,IF($K69=0,IF(AND($I69&gt;=AB$3,$I69&lt;=AB$2),$E69,0),$E69*NETWORKDAYS(MAX($I69,AB$3),MIN($J69,AB$2),Data!$K$4:$K$203)/$K69)))</f>
        <v>0</v>
      </c>
      <c r="AC69" s="166">
        <f>IF(OR($I69="",$E69=0),0,IF(OR($J69&lt;AC$3,$I69&gt;AC$2),0,IF($K69=0,IF(AND($I69&gt;=AC$3,$I69&lt;=AC$2),$E69,0),$E69*NETWORKDAYS(MAX($I69,AC$3),MIN($J69,AC$2),Data!$K$4:$K$203)/$K69)))</f>
        <v>0</v>
      </c>
      <c r="AD69" s="166">
        <f>IF(OR($I69="",$E69=0),0,IF(OR($J69&lt;AD$3,$I69&gt;AD$2),0,IF($K69=0,IF(AND($I69&gt;=AD$3,$I69&lt;=AD$2),$E69,0),$E69*NETWORKDAYS(MAX($I69,AD$3),MIN($J69,AD$2),Data!$K$4:$K$203)/$K69)))</f>
        <v>0</v>
      </c>
      <c r="AE69" s="166">
        <f>IF(OR($I69="",$E69=0),0,IF(OR($J69&lt;AE$3,$I69&gt;AE$2),0,IF($K69=0,IF(AND($I69&gt;=AE$3,$I69&lt;=AE$2),$E69,0),$E69*NETWORKDAYS(MAX($I69,AE$3),MIN($J69,AE$2),Data!$K$4:$K$203)/$K69)))</f>
        <v>0</v>
      </c>
      <c r="AF69" s="166">
        <f>IF(OR($I69="",$E69=0),0,IF(OR($J69&lt;AF$3,$I69&gt;AF$2),0,IF($K69=0,IF(AND($I69&gt;=AF$3,$I69&lt;=AF$2),$E69,0),$E69*NETWORKDAYS(MAX($I69,AF$3),MIN($J69,AF$2),Data!$K$4:$K$203)/$K69)))</f>
        <v>0</v>
      </c>
      <c r="AG69" s="166">
        <f>IF(OR($I69="",$E69=0),0,IF(OR($J69&lt;AG$3,$I69&gt;AG$2),0,IF($K69=0,IF(AND($I69&gt;=AG$3,$I69&lt;=AG$2),$E69,0),$E69*NETWORKDAYS(MAX($I69,AG$3),MIN($J69,AG$2),Data!$K$4:$K$203)/$K69)))</f>
        <v>0</v>
      </c>
      <c r="AH69" s="166">
        <f>IF(OR($I69="",$E69=0),0,IF(OR($J69&lt;AH$3,$I69&gt;AH$2),0,IF($K69=0,IF(AND($I69&gt;=AH$3,$I69&lt;=AH$2),$E69,0),$E69*NETWORKDAYS(MAX($I69,AH$3),MIN($J69,AH$2),Data!$K$4:$K$203)/$K69)))</f>
        <v>0</v>
      </c>
      <c r="AI69" s="166">
        <f>SUM(W69:AH69)</f>
        <v>0</v>
      </c>
      <c r="BW69" t="n">
        <v>66</v>
      </c>
      <c r="BX69" t="str">
        <f>IFERROR(MATCH(BW69,$EQ$4:$EQ$503,0),"")</f>
        <v/>
      </c>
      <c r="BZ69" t="str">
        <f>IF(D69=1,IF(TRIM(INDEX(Charge!$K:$K,ROW()))&lt;&gt;"",TRIM(INDEX(Charge!$K:$K,ROW())),IF(TRIM(INDEX(Charge!$L:$L,ROW()))&lt;&gt;"",TRIM(INDEX(Charge!$L:$L,ROW())),"(non affecté)")),"")</f>
        <v/>
      </c>
      <c r="CA69" t="str">
        <f>IF(AND($CD$4&lt;&gt;"",BZ69=$CD$4),COUNTIFS($BZ$4:$BZ$503,$CD$4,$L$4:$L$503,"&lt;"&amp;L69)+1,"")</f>
        <v/>
      </c>
      <c r="EJ69" t="str">
        <f>TRIM(INDEX(Data!$E:$E,ROW()))</f>
        <v/>
      </c>
      <c r="EK69" t="str">
        <f>TRIM(INDEX(Data!$H:$H,ROW()))</f>
        <v/>
      </c>
      <c r="EM69" t="str">
        <f>IF(D69=1,IF(TRIM(INDEX(Charge!$K:$K,ROW()))&lt;&gt;"","Interne",IF(TRIM(INDEX(Charge!$L:$L,ROW()))&lt;&gt;"","Externe","Non affecté")),"")</f>
        <v/>
      </c>
      <c r="EN69" t="str">
        <f>IF(D69=1,LEFT(SUBSTITUTE(SUBSTITUTE(SUBSTITUTE(TRIM(SUBSTITUTE(INDEX(Charge!$B:$B,ROW()),CHAR(160)," "))&amp;" | "&amp;TRIM(SUBSTITUTE(INDEX(Charge!$C:$C,ROW()),CHAR(160)," "))&amp;" | "&amp;TRIM(SUBSTITUTE(INDEX(Charge!$D:$D,ROW()),CHAR(160)," ")),"~","-"),"*","+"),"?","!"),240),"")</f>
        <v/>
      </c>
      <c r="EO69">
        <f>IF(EN69="",0,IF(COUNTIF($EN$4:EN69,EN69)=1,1,0))</f>
        <v>0</v>
      </c>
      <c r="EP69" s="166" t="str">
        <f>IF(EO69=1,ROUND(SUMIF($EN$4:$EN$503,EN69,$E$4:$E$503),2),"")</f>
        <v/>
      </c>
      <c r="EQ69" t="str">
        <f>IF(EO69=1,COUNTIFS($EO$4:$EO$503,1,$EP$4:$EP$503,"&gt;"&amp;EP69)+COUNTIFS($EO$4:EO69,1,$EP$4:EP69,EP69),"")</f>
        <v/>
      </c>
      <c r="ER69" t="str">
        <f>IF(EO69=1,COUNTIFS($EN$4:$EN$503,EN69,$EM$4:$EM$503,"Interne",$FE$4:$FE$503,1),"")</f>
        <v/>
      </c>
      <c r="ES69" t="str">
        <f>IF(EO69=1,COUNTIFS($EN$4:$EN$503,EN69,$EM$4:$EM$503,"Externe",$FE$4:$FE$503,1),"")</f>
        <v/>
      </c>
      <c r="ET69" t="str">
        <f>IF(EO69=1,IF(ER69+ES69=0,"à affecter",IF(ER69=0,ES69&amp;" ext.",(ER69+ES69)&amp;IF(ES69&gt;0," dont "&amp;ES69&amp;" ext.",""))&amp;IF(COUNTIFS($EN$4:$EN$503,EN69,$EM$4:$EM$503,"Non affecté")&gt;0," + à affecter","")),"")</f>
        <v/>
      </c>
      <c r="EU69" s="170" t="str">
        <f>IF(EO69=1,IF(EP69&gt;0,SUMPRODUCT(($EN$4:$EN$503=EN69)*$E$4:$E$503*$C$4:$C$503)/EP69,AVERAGEIF($EN$4:$EN$503,EN69,$C$4:$C$503)),"")</f>
        <v/>
      </c>
      <c r="EV69" s="165">
        <f>IF(ISNUMBER(I69),I69,2958465)</f>
        <v>2958465.0</v>
      </c>
      <c r="EW69" s="165" t="str">
        <f>IF(EO69=1,SUMPRODUCT(MIN(($EN$4:$EN$503=EN69)*$EV$4:$EV$503+($EN$4:$EN$503&lt;&gt;EN69)*2958465)),"")</f>
        <v/>
      </c>
      <c r="EX69" s="165">
        <f>IF(AND(D69=1,ISNUMBER(INDEX(Charge!$F:$F,ROW()))),INDEX(Charge!$F:$F,ROW()),0)</f>
        <v>0.0</v>
      </c>
      <c r="EY69" s="165" t="str">
        <f>IF(EO69=1,SUMPRODUCT(MAX(($EN$4:$EN$503=EN69)*$EX$4:$EX$503)),"")</f>
        <v/>
      </c>
      <c r="FA69" t="str">
        <f>IF(66&lt;=$CD$23,INDEX($EJ$4:$EJ$203,66),IF(66-$CD$23&lt;=$CD$26,INDEX($EK$4:$EK$203,66-$CD$23),""))</f>
        <v/>
      </c>
      <c r="FB69" t="str">
        <f>IF(FA69="","",IF(66&lt;=$CD$23,"Interne","Externe"))</f>
        <v/>
      </c>
      <c r="FD69">
        <f>IF(AND(B69=1,TRIM(INDEX(Charge!$K:$K,ROW()))&lt;&gt;"",TRIM(INDEX(Charge!$L:$L,ROW()))&lt;&gt;""),1,0)</f>
        <v>0</v>
      </c>
      <c r="FE69">
        <f>IF(OR(EN69="",BZ69="(non affecté)"),0,IF(COUNTIFS($EN$4:EN69,EN69,$BZ$4:BZ69,BZ69)=1,1,0))</f>
        <v>0</v>
      </c>
    </row>
    <row r="70">
      <c r="A70">
        <f>ROW()</f>
        <v>70</v>
      </c>
      <c r="B70">
        <f>IF(TRIM(INDEX(Charge!$B:$B,ROW()))&lt;&gt;"",1,0)</f>
        <v>0</v>
      </c>
      <c r="C70">
        <f>IF(B70=1,MIN(1,MAX(0,N(INDEX(Charge!$O:$O,ROW())))),0)</f>
        <v>0</v>
      </c>
      <c r="D70">
        <f>IF(B70=1,IF(OR(p_Perimetre="Tous les projets",C70&lt;1),1,0),0)</f>
        <v>0</v>
      </c>
      <c r="E70">
        <f>IF(D70=1,MAX(0,N(INDEX(Charge!$M:$M,ROW()))),0)</f>
        <v>0</v>
      </c>
      <c r="F70" t="str">
        <f>IF(D70=1,IF(TRIM(INDEX(Charge!$A:$A,ROW()))="","(non renseigné)",TRIM(INDEX(Charge!$A:$A,ROW()))),"")</f>
        <v/>
      </c>
      <c r="G70" t="str">
        <f>IF(D70=1,TRIM(INDEX(Charge!$B:$B,ROW())),"")</f>
        <v/>
      </c>
      <c r="H70" t="str">
        <f>IF(D70=1,IF(TRIM(INDEX(Charge!$E:$E,ROW()))="","(non renseigné)",TRIM(INDEX(Charge!$E:$E,ROW()))),"")</f>
        <v/>
      </c>
      <c r="I70" s="165" t="str">
        <f>IF(AND(D70=1,ISNUMBER(INDEX(Charge!$N:$N,ROW()))),INDEX(Charge!$N:$N,ROW()),"")</f>
        <v/>
      </c>
      <c r="J70" s="165" t="str">
        <f>IF(I70="","",IF(AND(p_Repartition="Lissée jusqu'à la date de besoin",ISNUMBER(INDEX(Charge!$F:$F,ROW()))),IF(INDEX(Charge!$F:$F,ROW())&gt;=I70,INDEX(Charge!$F:$F,ROW()),I70),I70))</f>
        <v/>
      </c>
      <c r="K70" t="str">
        <f>IF(I70="","",NETWORKDAYS(I70,J70,Data!$K$4:$K$203))</f>
        <v/>
      </c>
      <c r="L70" t="str">
        <f>IF(D70=1,COUNTIFS($D$4:$D$503,1,$E$4:$E$503,"&gt;"&amp;E70)+COUNTIFS($D$4:$D70,1,$E$4:$E70,E70),"")</f>
        <v/>
      </c>
      <c r="M70">
        <f>IF(F70="",0,IF(COUNTIF($F$4:F70,F70)=1,1,0))</f>
        <v>0</v>
      </c>
      <c r="N70" t="str">
        <f>IF(M70=1,ROUND(SUMIF($F$4:$F$503,F70,$E$4:$E$503),2),"")</f>
        <v/>
      </c>
      <c r="O70" t="str">
        <f>IF(M70=1,COUNTIFS($M$4:$M$503,1,$N$4:$N$503,"&gt;"&amp;N70)+COUNTIFS($M$4:M70,1,$N$4:N70,N70),"")</f>
        <v/>
      </c>
      <c r="P70">
        <f>IF(G70="",0,IF(COUNTIF($G$4:G70,G70)=1,1,0))</f>
        <v>0</v>
      </c>
      <c r="Q70" t="str">
        <f>IF(P70=1,ROUND(SUMIF($G$4:$G$503,G70,$E$4:$E$503),2),"")</f>
        <v/>
      </c>
      <c r="R70" t="str">
        <f>IF(P70=1,COUNTIFS($P$4:$P$503,1,$Q$4:$Q$503,"&gt;"&amp;Q70)+COUNTIFS($P$4:P70,1,$Q$4:Q70,Q70),"")</f>
        <v/>
      </c>
      <c r="S70">
        <f>IF(H70="",0,IF(COUNTIF($H$4:H70,H70)=1,1,0))</f>
        <v>0</v>
      </c>
      <c r="T70" t="str">
        <f>IF(S70=1,ROUND(SUMIF($H$4:$H$503,H70,$E$4:$E$503),2),"")</f>
        <v/>
      </c>
      <c r="U70" t="str">
        <f>IF(S70=1,COUNTIFS($S$4:$S$503,1,$T$4:$T$503,"&gt;"&amp;T70)+COUNTIFS($S$4:S70,1,$T$4:T70,T70),"")</f>
        <v/>
      </c>
      <c r="V70" t="str">
        <f>IF(D70=1,MIN(INDEX($R$4:$R$503,MATCH(G70,$G$4:$G$503,0)),IF($AL$7&gt;9,9,999)),"")</f>
        <v/>
      </c>
      <c r="W70" s="166">
        <f>IF(OR($I70="",$E70=0),0,IF(OR($J70&lt;W$3,$I70&gt;W$2),0,IF($K70=0,IF(AND($I70&gt;=W$3,$I70&lt;=W$2),$E70,0),$E70*NETWORKDAYS(MAX($I70,W$3),MIN($J70,W$2),Data!$K$4:$K$203)/$K70)))</f>
        <v>0</v>
      </c>
      <c r="X70" s="166">
        <f>IF(OR($I70="",$E70=0),0,IF(OR($J70&lt;X$3,$I70&gt;X$2),0,IF($K70=0,IF(AND($I70&gt;=X$3,$I70&lt;=X$2),$E70,0),$E70*NETWORKDAYS(MAX($I70,X$3),MIN($J70,X$2),Data!$K$4:$K$203)/$K70)))</f>
        <v>0</v>
      </c>
      <c r="Y70" s="166">
        <f>IF(OR($I70="",$E70=0),0,IF(OR($J70&lt;Y$3,$I70&gt;Y$2),0,IF($K70=0,IF(AND($I70&gt;=Y$3,$I70&lt;=Y$2),$E70,0),$E70*NETWORKDAYS(MAX($I70,Y$3),MIN($J70,Y$2),Data!$K$4:$K$203)/$K70)))</f>
        <v>0</v>
      </c>
      <c r="Z70" s="166">
        <f>IF(OR($I70="",$E70=0),0,IF(OR($J70&lt;Z$3,$I70&gt;Z$2),0,IF($K70=0,IF(AND($I70&gt;=Z$3,$I70&lt;=Z$2),$E70,0),$E70*NETWORKDAYS(MAX($I70,Z$3),MIN($J70,Z$2),Data!$K$4:$K$203)/$K70)))</f>
        <v>0</v>
      </c>
      <c r="AA70" s="166">
        <f>IF(OR($I70="",$E70=0),0,IF(OR($J70&lt;AA$3,$I70&gt;AA$2),0,IF($K70=0,IF(AND($I70&gt;=AA$3,$I70&lt;=AA$2),$E70,0),$E70*NETWORKDAYS(MAX($I70,AA$3),MIN($J70,AA$2),Data!$K$4:$K$203)/$K70)))</f>
        <v>0</v>
      </c>
      <c r="AB70" s="166">
        <f>IF(OR($I70="",$E70=0),0,IF(OR($J70&lt;AB$3,$I70&gt;AB$2),0,IF($K70=0,IF(AND($I70&gt;=AB$3,$I70&lt;=AB$2),$E70,0),$E70*NETWORKDAYS(MAX($I70,AB$3),MIN($J70,AB$2),Data!$K$4:$K$203)/$K70)))</f>
        <v>0</v>
      </c>
      <c r="AC70" s="166">
        <f>IF(OR($I70="",$E70=0),0,IF(OR($J70&lt;AC$3,$I70&gt;AC$2),0,IF($K70=0,IF(AND($I70&gt;=AC$3,$I70&lt;=AC$2),$E70,0),$E70*NETWORKDAYS(MAX($I70,AC$3),MIN($J70,AC$2),Data!$K$4:$K$203)/$K70)))</f>
        <v>0</v>
      </c>
      <c r="AD70" s="166">
        <f>IF(OR($I70="",$E70=0),0,IF(OR($J70&lt;AD$3,$I70&gt;AD$2),0,IF($K70=0,IF(AND($I70&gt;=AD$3,$I70&lt;=AD$2),$E70,0),$E70*NETWORKDAYS(MAX($I70,AD$3),MIN($J70,AD$2),Data!$K$4:$K$203)/$K70)))</f>
        <v>0</v>
      </c>
      <c r="AE70" s="166">
        <f>IF(OR($I70="",$E70=0),0,IF(OR($J70&lt;AE$3,$I70&gt;AE$2),0,IF($K70=0,IF(AND($I70&gt;=AE$3,$I70&lt;=AE$2),$E70,0),$E70*NETWORKDAYS(MAX($I70,AE$3),MIN($J70,AE$2),Data!$K$4:$K$203)/$K70)))</f>
        <v>0</v>
      </c>
      <c r="AF70" s="166">
        <f>IF(OR($I70="",$E70=0),0,IF(OR($J70&lt;AF$3,$I70&gt;AF$2),0,IF($K70=0,IF(AND($I70&gt;=AF$3,$I70&lt;=AF$2),$E70,0),$E70*NETWORKDAYS(MAX($I70,AF$3),MIN($J70,AF$2),Data!$K$4:$K$203)/$K70)))</f>
        <v>0</v>
      </c>
      <c r="AG70" s="166">
        <f>IF(OR($I70="",$E70=0),0,IF(OR($J70&lt;AG$3,$I70&gt;AG$2),0,IF($K70=0,IF(AND($I70&gt;=AG$3,$I70&lt;=AG$2),$E70,0),$E70*NETWORKDAYS(MAX($I70,AG$3),MIN($J70,AG$2),Data!$K$4:$K$203)/$K70)))</f>
        <v>0</v>
      </c>
      <c r="AH70" s="166">
        <f>IF(OR($I70="",$E70=0),0,IF(OR($J70&lt;AH$3,$I70&gt;AH$2),0,IF($K70=0,IF(AND($I70&gt;=AH$3,$I70&lt;=AH$2),$E70,0),$E70*NETWORKDAYS(MAX($I70,AH$3),MIN($J70,AH$2),Data!$K$4:$K$203)/$K70)))</f>
        <v>0</v>
      </c>
      <c r="AI70" s="166">
        <f>SUM(W70:AH70)</f>
        <v>0</v>
      </c>
      <c r="BW70" t="n">
        <v>67</v>
      </c>
      <c r="BX70" t="str">
        <f>IFERROR(MATCH(BW70,$EQ$4:$EQ$503,0),"")</f>
        <v/>
      </c>
      <c r="BZ70" t="str">
        <f>IF(D70=1,IF(TRIM(INDEX(Charge!$K:$K,ROW()))&lt;&gt;"",TRIM(INDEX(Charge!$K:$K,ROW())),IF(TRIM(INDEX(Charge!$L:$L,ROW()))&lt;&gt;"",TRIM(INDEX(Charge!$L:$L,ROW())),"(non affecté)")),"")</f>
        <v/>
      </c>
      <c r="CA70" t="str">
        <f>IF(AND($CD$4&lt;&gt;"",BZ70=$CD$4),COUNTIFS($BZ$4:$BZ$503,$CD$4,$L$4:$L$503,"&lt;"&amp;L70)+1,"")</f>
        <v/>
      </c>
      <c r="EJ70" t="str">
        <f>TRIM(INDEX(Data!$E:$E,ROW()))</f>
        <v/>
      </c>
      <c r="EK70" t="str">
        <f>TRIM(INDEX(Data!$H:$H,ROW()))</f>
        <v/>
      </c>
      <c r="EM70" t="str">
        <f>IF(D70=1,IF(TRIM(INDEX(Charge!$K:$K,ROW()))&lt;&gt;"","Interne",IF(TRIM(INDEX(Charge!$L:$L,ROW()))&lt;&gt;"","Externe","Non affecté")),"")</f>
        <v/>
      </c>
      <c r="EN70" t="str">
        <f>IF(D70=1,LEFT(SUBSTITUTE(SUBSTITUTE(SUBSTITUTE(TRIM(SUBSTITUTE(INDEX(Charge!$B:$B,ROW()),CHAR(160)," "))&amp;" | "&amp;TRIM(SUBSTITUTE(INDEX(Charge!$C:$C,ROW()),CHAR(160)," "))&amp;" | "&amp;TRIM(SUBSTITUTE(INDEX(Charge!$D:$D,ROW()),CHAR(160)," ")),"~","-"),"*","+"),"?","!"),240),"")</f>
        <v/>
      </c>
      <c r="EO70">
        <f>IF(EN70="",0,IF(COUNTIF($EN$4:EN70,EN70)=1,1,0))</f>
        <v>0</v>
      </c>
      <c r="EP70" s="166" t="str">
        <f>IF(EO70=1,ROUND(SUMIF($EN$4:$EN$503,EN70,$E$4:$E$503),2),"")</f>
        <v/>
      </c>
      <c r="EQ70" t="str">
        <f>IF(EO70=1,COUNTIFS($EO$4:$EO$503,1,$EP$4:$EP$503,"&gt;"&amp;EP70)+COUNTIFS($EO$4:EO70,1,$EP$4:EP70,EP70),"")</f>
        <v/>
      </c>
      <c r="ER70" t="str">
        <f>IF(EO70=1,COUNTIFS($EN$4:$EN$503,EN70,$EM$4:$EM$503,"Interne",$FE$4:$FE$503,1),"")</f>
        <v/>
      </c>
      <c r="ES70" t="str">
        <f>IF(EO70=1,COUNTIFS($EN$4:$EN$503,EN70,$EM$4:$EM$503,"Externe",$FE$4:$FE$503,1),"")</f>
        <v/>
      </c>
      <c r="ET70" t="str">
        <f>IF(EO70=1,IF(ER70+ES70=0,"à affecter",IF(ER70=0,ES70&amp;" ext.",(ER70+ES70)&amp;IF(ES70&gt;0," dont "&amp;ES70&amp;" ext.",""))&amp;IF(COUNTIFS($EN$4:$EN$503,EN70,$EM$4:$EM$503,"Non affecté")&gt;0," + à affecter","")),"")</f>
        <v/>
      </c>
      <c r="EU70" s="170" t="str">
        <f>IF(EO70=1,IF(EP70&gt;0,SUMPRODUCT(($EN$4:$EN$503=EN70)*$E$4:$E$503*$C$4:$C$503)/EP70,AVERAGEIF($EN$4:$EN$503,EN70,$C$4:$C$503)),"")</f>
        <v/>
      </c>
      <c r="EV70" s="165">
        <f>IF(ISNUMBER(I70),I70,2958465)</f>
        <v>2958465.0</v>
      </c>
      <c r="EW70" s="165" t="str">
        <f>IF(EO70=1,SUMPRODUCT(MIN(($EN$4:$EN$503=EN70)*$EV$4:$EV$503+($EN$4:$EN$503&lt;&gt;EN70)*2958465)),"")</f>
        <v/>
      </c>
      <c r="EX70" s="165">
        <f>IF(AND(D70=1,ISNUMBER(INDEX(Charge!$F:$F,ROW()))),INDEX(Charge!$F:$F,ROW()),0)</f>
        <v>0.0</v>
      </c>
      <c r="EY70" s="165" t="str">
        <f>IF(EO70=1,SUMPRODUCT(MAX(($EN$4:$EN$503=EN70)*$EX$4:$EX$503)),"")</f>
        <v/>
      </c>
      <c r="FA70" t="str">
        <f>IF(67&lt;=$CD$23,INDEX($EJ$4:$EJ$203,67),IF(67-$CD$23&lt;=$CD$26,INDEX($EK$4:$EK$203,67-$CD$23),""))</f>
        <v/>
      </c>
      <c r="FB70" t="str">
        <f>IF(FA70="","",IF(67&lt;=$CD$23,"Interne","Externe"))</f>
        <v/>
      </c>
      <c r="FD70">
        <f>IF(AND(B70=1,TRIM(INDEX(Charge!$K:$K,ROW()))&lt;&gt;"",TRIM(INDEX(Charge!$L:$L,ROW()))&lt;&gt;""),1,0)</f>
        <v>0</v>
      </c>
      <c r="FE70">
        <f>IF(OR(EN70="",BZ70="(non affecté)"),0,IF(COUNTIFS($EN$4:EN70,EN70,$BZ$4:BZ70,BZ70)=1,1,0))</f>
        <v>0</v>
      </c>
    </row>
    <row r="71">
      <c r="A71">
        <f>ROW()</f>
        <v>71</v>
      </c>
      <c r="B71">
        <f>IF(TRIM(INDEX(Charge!$B:$B,ROW()))&lt;&gt;"",1,0)</f>
        <v>0</v>
      </c>
      <c r="C71">
        <f>IF(B71=1,MIN(1,MAX(0,N(INDEX(Charge!$O:$O,ROW())))),0)</f>
        <v>0</v>
      </c>
      <c r="D71">
        <f>IF(B71=1,IF(OR(p_Perimetre="Tous les projets",C71&lt;1),1,0),0)</f>
        <v>0</v>
      </c>
      <c r="E71">
        <f>IF(D71=1,MAX(0,N(INDEX(Charge!$M:$M,ROW()))),0)</f>
        <v>0</v>
      </c>
      <c r="F71" t="str">
        <f>IF(D71=1,IF(TRIM(INDEX(Charge!$A:$A,ROW()))="","(non renseigné)",TRIM(INDEX(Charge!$A:$A,ROW()))),"")</f>
        <v/>
      </c>
      <c r="G71" t="str">
        <f>IF(D71=1,TRIM(INDEX(Charge!$B:$B,ROW())),"")</f>
        <v/>
      </c>
      <c r="H71" t="str">
        <f>IF(D71=1,IF(TRIM(INDEX(Charge!$E:$E,ROW()))="","(non renseigné)",TRIM(INDEX(Charge!$E:$E,ROW()))),"")</f>
        <v/>
      </c>
      <c r="I71" s="165" t="str">
        <f>IF(AND(D71=1,ISNUMBER(INDEX(Charge!$N:$N,ROW()))),INDEX(Charge!$N:$N,ROW()),"")</f>
        <v/>
      </c>
      <c r="J71" s="165" t="str">
        <f>IF(I71="","",IF(AND(p_Repartition="Lissée jusqu'à la date de besoin",ISNUMBER(INDEX(Charge!$F:$F,ROW()))),IF(INDEX(Charge!$F:$F,ROW())&gt;=I71,INDEX(Charge!$F:$F,ROW()),I71),I71))</f>
        <v/>
      </c>
      <c r="K71" t="str">
        <f>IF(I71="","",NETWORKDAYS(I71,J71,Data!$K$4:$K$203))</f>
        <v/>
      </c>
      <c r="L71" t="str">
        <f>IF(D71=1,COUNTIFS($D$4:$D$503,1,$E$4:$E$503,"&gt;"&amp;E71)+COUNTIFS($D$4:$D71,1,$E$4:$E71,E71),"")</f>
        <v/>
      </c>
      <c r="M71">
        <f>IF(F71="",0,IF(COUNTIF($F$4:F71,F71)=1,1,0))</f>
        <v>0</v>
      </c>
      <c r="N71" t="str">
        <f>IF(M71=1,ROUND(SUMIF($F$4:$F$503,F71,$E$4:$E$503),2),"")</f>
        <v/>
      </c>
      <c r="O71" t="str">
        <f>IF(M71=1,COUNTIFS($M$4:$M$503,1,$N$4:$N$503,"&gt;"&amp;N71)+COUNTIFS($M$4:M71,1,$N$4:N71,N71),"")</f>
        <v/>
      </c>
      <c r="P71">
        <f>IF(G71="",0,IF(COUNTIF($G$4:G71,G71)=1,1,0))</f>
        <v>0</v>
      </c>
      <c r="Q71" t="str">
        <f>IF(P71=1,ROUND(SUMIF($G$4:$G$503,G71,$E$4:$E$503),2),"")</f>
        <v/>
      </c>
      <c r="R71" t="str">
        <f>IF(P71=1,COUNTIFS($P$4:$P$503,1,$Q$4:$Q$503,"&gt;"&amp;Q71)+COUNTIFS($P$4:P71,1,$Q$4:Q71,Q71),"")</f>
        <v/>
      </c>
      <c r="S71">
        <f>IF(H71="",0,IF(COUNTIF($H$4:H71,H71)=1,1,0))</f>
        <v>0</v>
      </c>
      <c r="T71" t="str">
        <f>IF(S71=1,ROUND(SUMIF($H$4:$H$503,H71,$E$4:$E$503),2),"")</f>
        <v/>
      </c>
      <c r="U71" t="str">
        <f>IF(S71=1,COUNTIFS($S$4:$S$503,1,$T$4:$T$503,"&gt;"&amp;T71)+COUNTIFS($S$4:S71,1,$T$4:T71,T71),"")</f>
        <v/>
      </c>
      <c r="V71" t="str">
        <f>IF(D71=1,MIN(INDEX($R$4:$R$503,MATCH(G71,$G$4:$G$503,0)),IF($AL$7&gt;9,9,999)),"")</f>
        <v/>
      </c>
      <c r="W71" s="166">
        <f>IF(OR($I71="",$E71=0),0,IF(OR($J71&lt;W$3,$I71&gt;W$2),0,IF($K71=0,IF(AND($I71&gt;=W$3,$I71&lt;=W$2),$E71,0),$E71*NETWORKDAYS(MAX($I71,W$3),MIN($J71,W$2),Data!$K$4:$K$203)/$K71)))</f>
        <v>0</v>
      </c>
      <c r="X71" s="166">
        <f>IF(OR($I71="",$E71=0),0,IF(OR($J71&lt;X$3,$I71&gt;X$2),0,IF($K71=0,IF(AND($I71&gt;=X$3,$I71&lt;=X$2),$E71,0),$E71*NETWORKDAYS(MAX($I71,X$3),MIN($J71,X$2),Data!$K$4:$K$203)/$K71)))</f>
        <v>0</v>
      </c>
      <c r="Y71" s="166">
        <f>IF(OR($I71="",$E71=0),0,IF(OR($J71&lt;Y$3,$I71&gt;Y$2),0,IF($K71=0,IF(AND($I71&gt;=Y$3,$I71&lt;=Y$2),$E71,0),$E71*NETWORKDAYS(MAX($I71,Y$3),MIN($J71,Y$2),Data!$K$4:$K$203)/$K71)))</f>
        <v>0</v>
      </c>
      <c r="Z71" s="166">
        <f>IF(OR($I71="",$E71=0),0,IF(OR($J71&lt;Z$3,$I71&gt;Z$2),0,IF($K71=0,IF(AND($I71&gt;=Z$3,$I71&lt;=Z$2),$E71,0),$E71*NETWORKDAYS(MAX($I71,Z$3),MIN($J71,Z$2),Data!$K$4:$K$203)/$K71)))</f>
        <v>0</v>
      </c>
      <c r="AA71" s="166">
        <f>IF(OR($I71="",$E71=0),0,IF(OR($J71&lt;AA$3,$I71&gt;AA$2),0,IF($K71=0,IF(AND($I71&gt;=AA$3,$I71&lt;=AA$2),$E71,0),$E71*NETWORKDAYS(MAX($I71,AA$3),MIN($J71,AA$2),Data!$K$4:$K$203)/$K71)))</f>
        <v>0</v>
      </c>
      <c r="AB71" s="166">
        <f>IF(OR($I71="",$E71=0),0,IF(OR($J71&lt;AB$3,$I71&gt;AB$2),0,IF($K71=0,IF(AND($I71&gt;=AB$3,$I71&lt;=AB$2),$E71,0),$E71*NETWORKDAYS(MAX($I71,AB$3),MIN($J71,AB$2),Data!$K$4:$K$203)/$K71)))</f>
        <v>0</v>
      </c>
      <c r="AC71" s="166">
        <f>IF(OR($I71="",$E71=0),0,IF(OR($J71&lt;AC$3,$I71&gt;AC$2),0,IF($K71=0,IF(AND($I71&gt;=AC$3,$I71&lt;=AC$2),$E71,0),$E71*NETWORKDAYS(MAX($I71,AC$3),MIN($J71,AC$2),Data!$K$4:$K$203)/$K71)))</f>
        <v>0</v>
      </c>
      <c r="AD71" s="166">
        <f>IF(OR($I71="",$E71=0),0,IF(OR($J71&lt;AD$3,$I71&gt;AD$2),0,IF($K71=0,IF(AND($I71&gt;=AD$3,$I71&lt;=AD$2),$E71,0),$E71*NETWORKDAYS(MAX($I71,AD$3),MIN($J71,AD$2),Data!$K$4:$K$203)/$K71)))</f>
        <v>0</v>
      </c>
      <c r="AE71" s="166">
        <f>IF(OR($I71="",$E71=0),0,IF(OR($J71&lt;AE$3,$I71&gt;AE$2),0,IF($K71=0,IF(AND($I71&gt;=AE$3,$I71&lt;=AE$2),$E71,0),$E71*NETWORKDAYS(MAX($I71,AE$3),MIN($J71,AE$2),Data!$K$4:$K$203)/$K71)))</f>
        <v>0</v>
      </c>
      <c r="AF71" s="166">
        <f>IF(OR($I71="",$E71=0),0,IF(OR($J71&lt;AF$3,$I71&gt;AF$2),0,IF($K71=0,IF(AND($I71&gt;=AF$3,$I71&lt;=AF$2),$E71,0),$E71*NETWORKDAYS(MAX($I71,AF$3),MIN($J71,AF$2),Data!$K$4:$K$203)/$K71)))</f>
        <v>0</v>
      </c>
      <c r="AG71" s="166">
        <f>IF(OR($I71="",$E71=0),0,IF(OR($J71&lt;AG$3,$I71&gt;AG$2),0,IF($K71=0,IF(AND($I71&gt;=AG$3,$I71&lt;=AG$2),$E71,0),$E71*NETWORKDAYS(MAX($I71,AG$3),MIN($J71,AG$2),Data!$K$4:$K$203)/$K71)))</f>
        <v>0</v>
      </c>
      <c r="AH71" s="166">
        <f>IF(OR($I71="",$E71=0),0,IF(OR($J71&lt;AH$3,$I71&gt;AH$2),0,IF($K71=0,IF(AND($I71&gt;=AH$3,$I71&lt;=AH$2),$E71,0),$E71*NETWORKDAYS(MAX($I71,AH$3),MIN($J71,AH$2),Data!$K$4:$K$203)/$K71)))</f>
        <v>0</v>
      </c>
      <c r="AI71" s="166">
        <f>SUM(W71:AH71)</f>
        <v>0</v>
      </c>
      <c r="BW71" t="n">
        <v>68</v>
      </c>
      <c r="BX71" t="str">
        <f>IFERROR(MATCH(BW71,$EQ$4:$EQ$503,0),"")</f>
        <v/>
      </c>
      <c r="BZ71" t="str">
        <f>IF(D71=1,IF(TRIM(INDEX(Charge!$K:$K,ROW()))&lt;&gt;"",TRIM(INDEX(Charge!$K:$K,ROW())),IF(TRIM(INDEX(Charge!$L:$L,ROW()))&lt;&gt;"",TRIM(INDEX(Charge!$L:$L,ROW())),"(non affecté)")),"")</f>
        <v/>
      </c>
      <c r="CA71" t="str">
        <f>IF(AND($CD$4&lt;&gt;"",BZ71=$CD$4),COUNTIFS($BZ$4:$BZ$503,$CD$4,$L$4:$L$503,"&lt;"&amp;L71)+1,"")</f>
        <v/>
      </c>
      <c r="EJ71" t="str">
        <f>TRIM(INDEX(Data!$E:$E,ROW()))</f>
        <v/>
      </c>
      <c r="EK71" t="str">
        <f>TRIM(INDEX(Data!$H:$H,ROW()))</f>
        <v/>
      </c>
      <c r="EM71" t="str">
        <f>IF(D71=1,IF(TRIM(INDEX(Charge!$K:$K,ROW()))&lt;&gt;"","Interne",IF(TRIM(INDEX(Charge!$L:$L,ROW()))&lt;&gt;"","Externe","Non affecté")),"")</f>
        <v/>
      </c>
      <c r="EN71" t="str">
        <f>IF(D71=1,LEFT(SUBSTITUTE(SUBSTITUTE(SUBSTITUTE(TRIM(SUBSTITUTE(INDEX(Charge!$B:$B,ROW()),CHAR(160)," "))&amp;" | "&amp;TRIM(SUBSTITUTE(INDEX(Charge!$C:$C,ROW()),CHAR(160)," "))&amp;" | "&amp;TRIM(SUBSTITUTE(INDEX(Charge!$D:$D,ROW()),CHAR(160)," ")),"~","-"),"*","+"),"?","!"),240),"")</f>
        <v/>
      </c>
      <c r="EO71">
        <f>IF(EN71="",0,IF(COUNTIF($EN$4:EN71,EN71)=1,1,0))</f>
        <v>0</v>
      </c>
      <c r="EP71" s="166" t="str">
        <f>IF(EO71=1,ROUND(SUMIF($EN$4:$EN$503,EN71,$E$4:$E$503),2),"")</f>
        <v/>
      </c>
      <c r="EQ71" t="str">
        <f>IF(EO71=1,COUNTIFS($EO$4:$EO$503,1,$EP$4:$EP$503,"&gt;"&amp;EP71)+COUNTIFS($EO$4:EO71,1,$EP$4:EP71,EP71),"")</f>
        <v/>
      </c>
      <c r="ER71" t="str">
        <f>IF(EO71=1,COUNTIFS($EN$4:$EN$503,EN71,$EM$4:$EM$503,"Interne",$FE$4:$FE$503,1),"")</f>
        <v/>
      </c>
      <c r="ES71" t="str">
        <f>IF(EO71=1,COUNTIFS($EN$4:$EN$503,EN71,$EM$4:$EM$503,"Externe",$FE$4:$FE$503,1),"")</f>
        <v/>
      </c>
      <c r="ET71" t="str">
        <f>IF(EO71=1,IF(ER71+ES71=0,"à affecter",IF(ER71=0,ES71&amp;" ext.",(ER71+ES71)&amp;IF(ES71&gt;0," dont "&amp;ES71&amp;" ext.",""))&amp;IF(COUNTIFS($EN$4:$EN$503,EN71,$EM$4:$EM$503,"Non affecté")&gt;0," + à affecter","")),"")</f>
        <v/>
      </c>
      <c r="EU71" s="170" t="str">
        <f>IF(EO71=1,IF(EP71&gt;0,SUMPRODUCT(($EN$4:$EN$503=EN71)*$E$4:$E$503*$C$4:$C$503)/EP71,AVERAGEIF($EN$4:$EN$503,EN71,$C$4:$C$503)),"")</f>
        <v/>
      </c>
      <c r="EV71" s="165">
        <f>IF(ISNUMBER(I71),I71,2958465)</f>
        <v>2958465.0</v>
      </c>
      <c r="EW71" s="165" t="str">
        <f>IF(EO71=1,SUMPRODUCT(MIN(($EN$4:$EN$503=EN71)*$EV$4:$EV$503+($EN$4:$EN$503&lt;&gt;EN71)*2958465)),"")</f>
        <v/>
      </c>
      <c r="EX71" s="165">
        <f>IF(AND(D71=1,ISNUMBER(INDEX(Charge!$F:$F,ROW()))),INDEX(Charge!$F:$F,ROW()),0)</f>
        <v>0.0</v>
      </c>
      <c r="EY71" s="165" t="str">
        <f>IF(EO71=1,SUMPRODUCT(MAX(($EN$4:$EN$503=EN71)*$EX$4:$EX$503)),"")</f>
        <v/>
      </c>
      <c r="FA71" t="str">
        <f>IF(68&lt;=$CD$23,INDEX($EJ$4:$EJ$203,68),IF(68-$CD$23&lt;=$CD$26,INDEX($EK$4:$EK$203,68-$CD$23),""))</f>
        <v/>
      </c>
      <c r="FB71" t="str">
        <f>IF(FA71="","",IF(68&lt;=$CD$23,"Interne","Externe"))</f>
        <v/>
      </c>
      <c r="FD71">
        <f>IF(AND(B71=1,TRIM(INDEX(Charge!$K:$K,ROW()))&lt;&gt;"",TRIM(INDEX(Charge!$L:$L,ROW()))&lt;&gt;""),1,0)</f>
        <v>0</v>
      </c>
      <c r="FE71">
        <f>IF(OR(EN71="",BZ71="(non affecté)"),0,IF(COUNTIFS($EN$4:EN71,EN71,$BZ$4:BZ71,BZ71)=1,1,0))</f>
        <v>0</v>
      </c>
    </row>
    <row r="72">
      <c r="A72">
        <f>ROW()</f>
        <v>72</v>
      </c>
      <c r="B72">
        <f>IF(TRIM(INDEX(Charge!$B:$B,ROW()))&lt;&gt;"",1,0)</f>
        <v>0</v>
      </c>
      <c r="C72">
        <f>IF(B72=1,MIN(1,MAX(0,N(INDEX(Charge!$O:$O,ROW())))),0)</f>
        <v>0</v>
      </c>
      <c r="D72">
        <f>IF(B72=1,IF(OR(p_Perimetre="Tous les projets",C72&lt;1),1,0),0)</f>
        <v>0</v>
      </c>
      <c r="E72">
        <f>IF(D72=1,MAX(0,N(INDEX(Charge!$M:$M,ROW()))),0)</f>
        <v>0</v>
      </c>
      <c r="F72" t="str">
        <f>IF(D72=1,IF(TRIM(INDEX(Charge!$A:$A,ROW()))="","(non renseigné)",TRIM(INDEX(Charge!$A:$A,ROW()))),"")</f>
        <v/>
      </c>
      <c r="G72" t="str">
        <f>IF(D72=1,TRIM(INDEX(Charge!$B:$B,ROW())),"")</f>
        <v/>
      </c>
      <c r="H72" t="str">
        <f>IF(D72=1,IF(TRIM(INDEX(Charge!$E:$E,ROW()))="","(non renseigné)",TRIM(INDEX(Charge!$E:$E,ROW()))),"")</f>
        <v/>
      </c>
      <c r="I72" s="165" t="str">
        <f>IF(AND(D72=1,ISNUMBER(INDEX(Charge!$N:$N,ROW()))),INDEX(Charge!$N:$N,ROW()),"")</f>
        <v/>
      </c>
      <c r="J72" s="165" t="str">
        <f>IF(I72="","",IF(AND(p_Repartition="Lissée jusqu'à la date de besoin",ISNUMBER(INDEX(Charge!$F:$F,ROW()))),IF(INDEX(Charge!$F:$F,ROW())&gt;=I72,INDEX(Charge!$F:$F,ROW()),I72),I72))</f>
        <v/>
      </c>
      <c r="K72" t="str">
        <f>IF(I72="","",NETWORKDAYS(I72,J72,Data!$K$4:$K$203))</f>
        <v/>
      </c>
      <c r="L72" t="str">
        <f>IF(D72=1,COUNTIFS($D$4:$D$503,1,$E$4:$E$503,"&gt;"&amp;E72)+COUNTIFS($D$4:$D72,1,$E$4:$E72,E72),"")</f>
        <v/>
      </c>
      <c r="M72">
        <f>IF(F72="",0,IF(COUNTIF($F$4:F72,F72)=1,1,0))</f>
        <v>0</v>
      </c>
      <c r="N72" t="str">
        <f>IF(M72=1,ROUND(SUMIF($F$4:$F$503,F72,$E$4:$E$503),2),"")</f>
        <v/>
      </c>
      <c r="O72" t="str">
        <f>IF(M72=1,COUNTIFS($M$4:$M$503,1,$N$4:$N$503,"&gt;"&amp;N72)+COUNTIFS($M$4:M72,1,$N$4:N72,N72),"")</f>
        <v/>
      </c>
      <c r="P72">
        <f>IF(G72="",0,IF(COUNTIF($G$4:G72,G72)=1,1,0))</f>
        <v>0</v>
      </c>
      <c r="Q72" t="str">
        <f>IF(P72=1,ROUND(SUMIF($G$4:$G$503,G72,$E$4:$E$503),2),"")</f>
        <v/>
      </c>
      <c r="R72" t="str">
        <f>IF(P72=1,COUNTIFS($P$4:$P$503,1,$Q$4:$Q$503,"&gt;"&amp;Q72)+COUNTIFS($P$4:P72,1,$Q$4:Q72,Q72),"")</f>
        <v/>
      </c>
      <c r="S72">
        <f>IF(H72="",0,IF(COUNTIF($H$4:H72,H72)=1,1,0))</f>
        <v>0</v>
      </c>
      <c r="T72" t="str">
        <f>IF(S72=1,ROUND(SUMIF($H$4:$H$503,H72,$E$4:$E$503),2),"")</f>
        <v/>
      </c>
      <c r="U72" t="str">
        <f>IF(S72=1,COUNTIFS($S$4:$S$503,1,$T$4:$T$503,"&gt;"&amp;T72)+COUNTIFS($S$4:S72,1,$T$4:T72,T72),"")</f>
        <v/>
      </c>
      <c r="V72" t="str">
        <f>IF(D72=1,MIN(INDEX($R$4:$R$503,MATCH(G72,$G$4:$G$503,0)),IF($AL$7&gt;9,9,999)),"")</f>
        <v/>
      </c>
      <c r="W72" s="166">
        <f>IF(OR($I72="",$E72=0),0,IF(OR($J72&lt;W$3,$I72&gt;W$2),0,IF($K72=0,IF(AND($I72&gt;=W$3,$I72&lt;=W$2),$E72,0),$E72*NETWORKDAYS(MAX($I72,W$3),MIN($J72,W$2),Data!$K$4:$K$203)/$K72)))</f>
        <v>0</v>
      </c>
      <c r="X72" s="166">
        <f>IF(OR($I72="",$E72=0),0,IF(OR($J72&lt;X$3,$I72&gt;X$2),0,IF($K72=0,IF(AND($I72&gt;=X$3,$I72&lt;=X$2),$E72,0),$E72*NETWORKDAYS(MAX($I72,X$3),MIN($J72,X$2),Data!$K$4:$K$203)/$K72)))</f>
        <v>0</v>
      </c>
      <c r="Y72" s="166">
        <f>IF(OR($I72="",$E72=0),0,IF(OR($J72&lt;Y$3,$I72&gt;Y$2),0,IF($K72=0,IF(AND($I72&gt;=Y$3,$I72&lt;=Y$2),$E72,0),$E72*NETWORKDAYS(MAX($I72,Y$3),MIN($J72,Y$2),Data!$K$4:$K$203)/$K72)))</f>
        <v>0</v>
      </c>
      <c r="Z72" s="166">
        <f>IF(OR($I72="",$E72=0),0,IF(OR($J72&lt;Z$3,$I72&gt;Z$2),0,IF($K72=0,IF(AND($I72&gt;=Z$3,$I72&lt;=Z$2),$E72,0),$E72*NETWORKDAYS(MAX($I72,Z$3),MIN($J72,Z$2),Data!$K$4:$K$203)/$K72)))</f>
        <v>0</v>
      </c>
      <c r="AA72" s="166">
        <f>IF(OR($I72="",$E72=0),0,IF(OR($J72&lt;AA$3,$I72&gt;AA$2),0,IF($K72=0,IF(AND($I72&gt;=AA$3,$I72&lt;=AA$2),$E72,0),$E72*NETWORKDAYS(MAX($I72,AA$3),MIN($J72,AA$2),Data!$K$4:$K$203)/$K72)))</f>
        <v>0</v>
      </c>
      <c r="AB72" s="166">
        <f>IF(OR($I72="",$E72=0),0,IF(OR($J72&lt;AB$3,$I72&gt;AB$2),0,IF($K72=0,IF(AND($I72&gt;=AB$3,$I72&lt;=AB$2),$E72,0),$E72*NETWORKDAYS(MAX($I72,AB$3),MIN($J72,AB$2),Data!$K$4:$K$203)/$K72)))</f>
        <v>0</v>
      </c>
      <c r="AC72" s="166">
        <f>IF(OR($I72="",$E72=0),0,IF(OR($J72&lt;AC$3,$I72&gt;AC$2),0,IF($K72=0,IF(AND($I72&gt;=AC$3,$I72&lt;=AC$2),$E72,0),$E72*NETWORKDAYS(MAX($I72,AC$3),MIN($J72,AC$2),Data!$K$4:$K$203)/$K72)))</f>
        <v>0</v>
      </c>
      <c r="AD72" s="166">
        <f>IF(OR($I72="",$E72=0),0,IF(OR($J72&lt;AD$3,$I72&gt;AD$2),0,IF($K72=0,IF(AND($I72&gt;=AD$3,$I72&lt;=AD$2),$E72,0),$E72*NETWORKDAYS(MAX($I72,AD$3),MIN($J72,AD$2),Data!$K$4:$K$203)/$K72)))</f>
        <v>0</v>
      </c>
      <c r="AE72" s="166">
        <f>IF(OR($I72="",$E72=0),0,IF(OR($J72&lt;AE$3,$I72&gt;AE$2),0,IF($K72=0,IF(AND($I72&gt;=AE$3,$I72&lt;=AE$2),$E72,0),$E72*NETWORKDAYS(MAX($I72,AE$3),MIN($J72,AE$2),Data!$K$4:$K$203)/$K72)))</f>
        <v>0</v>
      </c>
      <c r="AF72" s="166">
        <f>IF(OR($I72="",$E72=0),0,IF(OR($J72&lt;AF$3,$I72&gt;AF$2),0,IF($K72=0,IF(AND($I72&gt;=AF$3,$I72&lt;=AF$2),$E72,0),$E72*NETWORKDAYS(MAX($I72,AF$3),MIN($J72,AF$2),Data!$K$4:$K$203)/$K72)))</f>
        <v>0</v>
      </c>
      <c r="AG72" s="166">
        <f>IF(OR($I72="",$E72=0),0,IF(OR($J72&lt;AG$3,$I72&gt;AG$2),0,IF($K72=0,IF(AND($I72&gt;=AG$3,$I72&lt;=AG$2),$E72,0),$E72*NETWORKDAYS(MAX($I72,AG$3),MIN($J72,AG$2),Data!$K$4:$K$203)/$K72)))</f>
        <v>0</v>
      </c>
      <c r="AH72" s="166">
        <f>IF(OR($I72="",$E72=0),0,IF(OR($J72&lt;AH$3,$I72&gt;AH$2),0,IF($K72=0,IF(AND($I72&gt;=AH$3,$I72&lt;=AH$2),$E72,0),$E72*NETWORKDAYS(MAX($I72,AH$3),MIN($J72,AH$2),Data!$K$4:$K$203)/$K72)))</f>
        <v>0</v>
      </c>
      <c r="AI72" s="166">
        <f>SUM(W72:AH72)</f>
        <v>0</v>
      </c>
      <c r="BW72" t="n">
        <v>69</v>
      </c>
      <c r="BX72" t="str">
        <f>IFERROR(MATCH(BW72,$EQ$4:$EQ$503,0),"")</f>
        <v/>
      </c>
      <c r="BZ72" t="str">
        <f>IF(D72=1,IF(TRIM(INDEX(Charge!$K:$K,ROW()))&lt;&gt;"",TRIM(INDEX(Charge!$K:$K,ROW())),IF(TRIM(INDEX(Charge!$L:$L,ROW()))&lt;&gt;"",TRIM(INDEX(Charge!$L:$L,ROW())),"(non affecté)")),"")</f>
        <v/>
      </c>
      <c r="CA72" t="str">
        <f>IF(AND($CD$4&lt;&gt;"",BZ72=$CD$4),COUNTIFS($BZ$4:$BZ$503,$CD$4,$L$4:$L$503,"&lt;"&amp;L72)+1,"")</f>
        <v/>
      </c>
      <c r="EJ72" t="str">
        <f>TRIM(INDEX(Data!$E:$E,ROW()))</f>
        <v/>
      </c>
      <c r="EK72" t="str">
        <f>TRIM(INDEX(Data!$H:$H,ROW()))</f>
        <v/>
      </c>
      <c r="EM72" t="str">
        <f>IF(D72=1,IF(TRIM(INDEX(Charge!$K:$K,ROW()))&lt;&gt;"","Interne",IF(TRIM(INDEX(Charge!$L:$L,ROW()))&lt;&gt;"","Externe","Non affecté")),"")</f>
        <v/>
      </c>
      <c r="EN72" t="str">
        <f>IF(D72=1,LEFT(SUBSTITUTE(SUBSTITUTE(SUBSTITUTE(TRIM(SUBSTITUTE(INDEX(Charge!$B:$B,ROW()),CHAR(160)," "))&amp;" | "&amp;TRIM(SUBSTITUTE(INDEX(Charge!$C:$C,ROW()),CHAR(160)," "))&amp;" | "&amp;TRIM(SUBSTITUTE(INDEX(Charge!$D:$D,ROW()),CHAR(160)," ")),"~","-"),"*","+"),"?","!"),240),"")</f>
        <v/>
      </c>
      <c r="EO72">
        <f>IF(EN72="",0,IF(COUNTIF($EN$4:EN72,EN72)=1,1,0))</f>
        <v>0</v>
      </c>
      <c r="EP72" s="166" t="str">
        <f>IF(EO72=1,ROUND(SUMIF($EN$4:$EN$503,EN72,$E$4:$E$503),2),"")</f>
        <v/>
      </c>
      <c r="EQ72" t="str">
        <f>IF(EO72=1,COUNTIFS($EO$4:$EO$503,1,$EP$4:$EP$503,"&gt;"&amp;EP72)+COUNTIFS($EO$4:EO72,1,$EP$4:EP72,EP72),"")</f>
        <v/>
      </c>
      <c r="ER72" t="str">
        <f>IF(EO72=1,COUNTIFS($EN$4:$EN$503,EN72,$EM$4:$EM$503,"Interne",$FE$4:$FE$503,1),"")</f>
        <v/>
      </c>
      <c r="ES72" t="str">
        <f>IF(EO72=1,COUNTIFS($EN$4:$EN$503,EN72,$EM$4:$EM$503,"Externe",$FE$4:$FE$503,1),"")</f>
        <v/>
      </c>
      <c r="ET72" t="str">
        <f>IF(EO72=1,IF(ER72+ES72=0,"à affecter",IF(ER72=0,ES72&amp;" ext.",(ER72+ES72)&amp;IF(ES72&gt;0," dont "&amp;ES72&amp;" ext.",""))&amp;IF(COUNTIFS($EN$4:$EN$503,EN72,$EM$4:$EM$503,"Non affecté")&gt;0," + à affecter","")),"")</f>
        <v/>
      </c>
      <c r="EU72" s="170" t="str">
        <f>IF(EO72=1,IF(EP72&gt;0,SUMPRODUCT(($EN$4:$EN$503=EN72)*$E$4:$E$503*$C$4:$C$503)/EP72,AVERAGEIF($EN$4:$EN$503,EN72,$C$4:$C$503)),"")</f>
        <v/>
      </c>
      <c r="EV72" s="165">
        <f>IF(ISNUMBER(I72),I72,2958465)</f>
        <v>2958465.0</v>
      </c>
      <c r="EW72" s="165" t="str">
        <f>IF(EO72=1,SUMPRODUCT(MIN(($EN$4:$EN$503=EN72)*$EV$4:$EV$503+($EN$4:$EN$503&lt;&gt;EN72)*2958465)),"")</f>
        <v/>
      </c>
      <c r="EX72" s="165">
        <f>IF(AND(D72=1,ISNUMBER(INDEX(Charge!$F:$F,ROW()))),INDEX(Charge!$F:$F,ROW()),0)</f>
        <v>0.0</v>
      </c>
      <c r="EY72" s="165" t="str">
        <f>IF(EO72=1,SUMPRODUCT(MAX(($EN$4:$EN$503=EN72)*$EX$4:$EX$503)),"")</f>
        <v/>
      </c>
      <c r="FA72" t="str">
        <f>IF(69&lt;=$CD$23,INDEX($EJ$4:$EJ$203,69),IF(69-$CD$23&lt;=$CD$26,INDEX($EK$4:$EK$203,69-$CD$23),""))</f>
        <v/>
      </c>
      <c r="FB72" t="str">
        <f>IF(FA72="","",IF(69&lt;=$CD$23,"Interne","Externe"))</f>
        <v/>
      </c>
      <c r="FD72">
        <f>IF(AND(B72=1,TRIM(INDEX(Charge!$K:$K,ROW()))&lt;&gt;"",TRIM(INDEX(Charge!$L:$L,ROW()))&lt;&gt;""),1,0)</f>
        <v>0</v>
      </c>
      <c r="FE72">
        <f>IF(OR(EN72="",BZ72="(non affecté)"),0,IF(COUNTIFS($EN$4:EN72,EN72,$BZ$4:BZ72,BZ72)=1,1,0))</f>
        <v>0</v>
      </c>
    </row>
    <row r="73">
      <c r="A73">
        <f>ROW()</f>
        <v>73</v>
      </c>
      <c r="B73">
        <f>IF(TRIM(INDEX(Charge!$B:$B,ROW()))&lt;&gt;"",1,0)</f>
        <v>0</v>
      </c>
      <c r="C73">
        <f>IF(B73=1,MIN(1,MAX(0,N(INDEX(Charge!$O:$O,ROW())))),0)</f>
        <v>0</v>
      </c>
      <c r="D73">
        <f>IF(B73=1,IF(OR(p_Perimetre="Tous les projets",C73&lt;1),1,0),0)</f>
        <v>0</v>
      </c>
      <c r="E73">
        <f>IF(D73=1,MAX(0,N(INDEX(Charge!$M:$M,ROW()))),0)</f>
        <v>0</v>
      </c>
      <c r="F73" t="str">
        <f>IF(D73=1,IF(TRIM(INDEX(Charge!$A:$A,ROW()))="","(non renseigné)",TRIM(INDEX(Charge!$A:$A,ROW()))),"")</f>
        <v/>
      </c>
      <c r="G73" t="str">
        <f>IF(D73=1,TRIM(INDEX(Charge!$B:$B,ROW())),"")</f>
        <v/>
      </c>
      <c r="H73" t="str">
        <f>IF(D73=1,IF(TRIM(INDEX(Charge!$E:$E,ROW()))="","(non renseigné)",TRIM(INDEX(Charge!$E:$E,ROW()))),"")</f>
        <v/>
      </c>
      <c r="I73" s="165" t="str">
        <f>IF(AND(D73=1,ISNUMBER(INDEX(Charge!$N:$N,ROW()))),INDEX(Charge!$N:$N,ROW()),"")</f>
        <v/>
      </c>
      <c r="J73" s="165" t="str">
        <f>IF(I73="","",IF(AND(p_Repartition="Lissée jusqu'à la date de besoin",ISNUMBER(INDEX(Charge!$F:$F,ROW()))),IF(INDEX(Charge!$F:$F,ROW())&gt;=I73,INDEX(Charge!$F:$F,ROW()),I73),I73))</f>
        <v/>
      </c>
      <c r="K73" t="str">
        <f>IF(I73="","",NETWORKDAYS(I73,J73,Data!$K$4:$K$203))</f>
        <v/>
      </c>
      <c r="L73" t="str">
        <f>IF(D73=1,COUNTIFS($D$4:$D$503,1,$E$4:$E$503,"&gt;"&amp;E73)+COUNTIFS($D$4:$D73,1,$E$4:$E73,E73),"")</f>
        <v/>
      </c>
      <c r="M73">
        <f>IF(F73="",0,IF(COUNTIF($F$4:F73,F73)=1,1,0))</f>
        <v>0</v>
      </c>
      <c r="N73" t="str">
        <f>IF(M73=1,ROUND(SUMIF($F$4:$F$503,F73,$E$4:$E$503),2),"")</f>
        <v/>
      </c>
      <c r="O73" t="str">
        <f>IF(M73=1,COUNTIFS($M$4:$M$503,1,$N$4:$N$503,"&gt;"&amp;N73)+COUNTIFS($M$4:M73,1,$N$4:N73,N73),"")</f>
        <v/>
      </c>
      <c r="P73">
        <f>IF(G73="",0,IF(COUNTIF($G$4:G73,G73)=1,1,0))</f>
        <v>0</v>
      </c>
      <c r="Q73" t="str">
        <f>IF(P73=1,ROUND(SUMIF($G$4:$G$503,G73,$E$4:$E$503),2),"")</f>
        <v/>
      </c>
      <c r="R73" t="str">
        <f>IF(P73=1,COUNTIFS($P$4:$P$503,1,$Q$4:$Q$503,"&gt;"&amp;Q73)+COUNTIFS($P$4:P73,1,$Q$4:Q73,Q73),"")</f>
        <v/>
      </c>
      <c r="S73">
        <f>IF(H73="",0,IF(COUNTIF($H$4:H73,H73)=1,1,0))</f>
        <v>0</v>
      </c>
      <c r="T73" t="str">
        <f>IF(S73=1,ROUND(SUMIF($H$4:$H$503,H73,$E$4:$E$503),2),"")</f>
        <v/>
      </c>
      <c r="U73" t="str">
        <f>IF(S73=1,COUNTIFS($S$4:$S$503,1,$T$4:$T$503,"&gt;"&amp;T73)+COUNTIFS($S$4:S73,1,$T$4:T73,T73),"")</f>
        <v/>
      </c>
      <c r="V73" t="str">
        <f>IF(D73=1,MIN(INDEX($R$4:$R$503,MATCH(G73,$G$4:$G$503,0)),IF($AL$7&gt;9,9,999)),"")</f>
        <v/>
      </c>
      <c r="W73" s="166">
        <f>IF(OR($I73="",$E73=0),0,IF(OR($J73&lt;W$3,$I73&gt;W$2),0,IF($K73=0,IF(AND($I73&gt;=W$3,$I73&lt;=W$2),$E73,0),$E73*NETWORKDAYS(MAX($I73,W$3),MIN($J73,W$2),Data!$K$4:$K$203)/$K73)))</f>
        <v>0</v>
      </c>
      <c r="X73" s="166">
        <f>IF(OR($I73="",$E73=0),0,IF(OR($J73&lt;X$3,$I73&gt;X$2),0,IF($K73=0,IF(AND($I73&gt;=X$3,$I73&lt;=X$2),$E73,0),$E73*NETWORKDAYS(MAX($I73,X$3),MIN($J73,X$2),Data!$K$4:$K$203)/$K73)))</f>
        <v>0</v>
      </c>
      <c r="Y73" s="166">
        <f>IF(OR($I73="",$E73=0),0,IF(OR($J73&lt;Y$3,$I73&gt;Y$2),0,IF($K73=0,IF(AND($I73&gt;=Y$3,$I73&lt;=Y$2),$E73,0),$E73*NETWORKDAYS(MAX($I73,Y$3),MIN($J73,Y$2),Data!$K$4:$K$203)/$K73)))</f>
        <v>0</v>
      </c>
      <c r="Z73" s="166">
        <f>IF(OR($I73="",$E73=0),0,IF(OR($J73&lt;Z$3,$I73&gt;Z$2),0,IF($K73=0,IF(AND($I73&gt;=Z$3,$I73&lt;=Z$2),$E73,0),$E73*NETWORKDAYS(MAX($I73,Z$3),MIN($J73,Z$2),Data!$K$4:$K$203)/$K73)))</f>
        <v>0</v>
      </c>
      <c r="AA73" s="166">
        <f>IF(OR($I73="",$E73=0),0,IF(OR($J73&lt;AA$3,$I73&gt;AA$2),0,IF($K73=0,IF(AND($I73&gt;=AA$3,$I73&lt;=AA$2),$E73,0),$E73*NETWORKDAYS(MAX($I73,AA$3),MIN($J73,AA$2),Data!$K$4:$K$203)/$K73)))</f>
        <v>0</v>
      </c>
      <c r="AB73" s="166">
        <f>IF(OR($I73="",$E73=0),0,IF(OR($J73&lt;AB$3,$I73&gt;AB$2),0,IF($K73=0,IF(AND($I73&gt;=AB$3,$I73&lt;=AB$2),$E73,0),$E73*NETWORKDAYS(MAX($I73,AB$3),MIN($J73,AB$2),Data!$K$4:$K$203)/$K73)))</f>
        <v>0</v>
      </c>
      <c r="AC73" s="166">
        <f>IF(OR($I73="",$E73=0),0,IF(OR($J73&lt;AC$3,$I73&gt;AC$2),0,IF($K73=0,IF(AND($I73&gt;=AC$3,$I73&lt;=AC$2),$E73,0),$E73*NETWORKDAYS(MAX($I73,AC$3),MIN($J73,AC$2),Data!$K$4:$K$203)/$K73)))</f>
        <v>0</v>
      </c>
      <c r="AD73" s="166">
        <f>IF(OR($I73="",$E73=0),0,IF(OR($J73&lt;AD$3,$I73&gt;AD$2),0,IF($K73=0,IF(AND($I73&gt;=AD$3,$I73&lt;=AD$2),$E73,0),$E73*NETWORKDAYS(MAX($I73,AD$3),MIN($J73,AD$2),Data!$K$4:$K$203)/$K73)))</f>
        <v>0</v>
      </c>
      <c r="AE73" s="166">
        <f>IF(OR($I73="",$E73=0),0,IF(OR($J73&lt;AE$3,$I73&gt;AE$2),0,IF($K73=0,IF(AND($I73&gt;=AE$3,$I73&lt;=AE$2),$E73,0),$E73*NETWORKDAYS(MAX($I73,AE$3),MIN($J73,AE$2),Data!$K$4:$K$203)/$K73)))</f>
        <v>0</v>
      </c>
      <c r="AF73" s="166">
        <f>IF(OR($I73="",$E73=0),0,IF(OR($J73&lt;AF$3,$I73&gt;AF$2),0,IF($K73=0,IF(AND($I73&gt;=AF$3,$I73&lt;=AF$2),$E73,0),$E73*NETWORKDAYS(MAX($I73,AF$3),MIN($J73,AF$2),Data!$K$4:$K$203)/$K73)))</f>
        <v>0</v>
      </c>
      <c r="AG73" s="166">
        <f>IF(OR($I73="",$E73=0),0,IF(OR($J73&lt;AG$3,$I73&gt;AG$2),0,IF($K73=0,IF(AND($I73&gt;=AG$3,$I73&lt;=AG$2),$E73,0),$E73*NETWORKDAYS(MAX($I73,AG$3),MIN($J73,AG$2),Data!$K$4:$K$203)/$K73)))</f>
        <v>0</v>
      </c>
      <c r="AH73" s="166">
        <f>IF(OR($I73="",$E73=0),0,IF(OR($J73&lt;AH$3,$I73&gt;AH$2),0,IF($K73=0,IF(AND($I73&gt;=AH$3,$I73&lt;=AH$2),$E73,0),$E73*NETWORKDAYS(MAX($I73,AH$3),MIN($J73,AH$2),Data!$K$4:$K$203)/$K73)))</f>
        <v>0</v>
      </c>
      <c r="AI73" s="166">
        <f>SUM(W73:AH73)</f>
        <v>0</v>
      </c>
      <c r="BW73" t="n">
        <v>70</v>
      </c>
      <c r="BX73" t="str">
        <f>IFERROR(MATCH(BW73,$EQ$4:$EQ$503,0),"")</f>
        <v/>
      </c>
      <c r="BZ73" t="str">
        <f>IF(D73=1,IF(TRIM(INDEX(Charge!$K:$K,ROW()))&lt;&gt;"",TRIM(INDEX(Charge!$K:$K,ROW())),IF(TRIM(INDEX(Charge!$L:$L,ROW()))&lt;&gt;"",TRIM(INDEX(Charge!$L:$L,ROW())),"(non affecté)")),"")</f>
        <v/>
      </c>
      <c r="CA73" t="str">
        <f>IF(AND($CD$4&lt;&gt;"",BZ73=$CD$4),COUNTIFS($BZ$4:$BZ$503,$CD$4,$L$4:$L$503,"&lt;"&amp;L73)+1,"")</f>
        <v/>
      </c>
      <c r="EJ73" t="str">
        <f>TRIM(INDEX(Data!$E:$E,ROW()))</f>
        <v/>
      </c>
      <c r="EK73" t="str">
        <f>TRIM(INDEX(Data!$H:$H,ROW()))</f>
        <v/>
      </c>
      <c r="EM73" t="str">
        <f>IF(D73=1,IF(TRIM(INDEX(Charge!$K:$K,ROW()))&lt;&gt;"","Interne",IF(TRIM(INDEX(Charge!$L:$L,ROW()))&lt;&gt;"","Externe","Non affecté")),"")</f>
        <v/>
      </c>
      <c r="EN73" t="str">
        <f>IF(D73=1,LEFT(SUBSTITUTE(SUBSTITUTE(SUBSTITUTE(TRIM(SUBSTITUTE(INDEX(Charge!$B:$B,ROW()),CHAR(160)," "))&amp;" | "&amp;TRIM(SUBSTITUTE(INDEX(Charge!$C:$C,ROW()),CHAR(160)," "))&amp;" | "&amp;TRIM(SUBSTITUTE(INDEX(Charge!$D:$D,ROW()),CHAR(160)," ")),"~","-"),"*","+"),"?","!"),240),"")</f>
        <v/>
      </c>
      <c r="EO73">
        <f>IF(EN73="",0,IF(COUNTIF($EN$4:EN73,EN73)=1,1,0))</f>
        <v>0</v>
      </c>
      <c r="EP73" s="166" t="str">
        <f>IF(EO73=1,ROUND(SUMIF($EN$4:$EN$503,EN73,$E$4:$E$503),2),"")</f>
        <v/>
      </c>
      <c r="EQ73" t="str">
        <f>IF(EO73=1,COUNTIFS($EO$4:$EO$503,1,$EP$4:$EP$503,"&gt;"&amp;EP73)+COUNTIFS($EO$4:EO73,1,$EP$4:EP73,EP73),"")</f>
        <v/>
      </c>
      <c r="ER73" t="str">
        <f>IF(EO73=1,COUNTIFS($EN$4:$EN$503,EN73,$EM$4:$EM$503,"Interne",$FE$4:$FE$503,1),"")</f>
        <v/>
      </c>
      <c r="ES73" t="str">
        <f>IF(EO73=1,COUNTIFS($EN$4:$EN$503,EN73,$EM$4:$EM$503,"Externe",$FE$4:$FE$503,1),"")</f>
        <v/>
      </c>
      <c r="ET73" t="str">
        <f>IF(EO73=1,IF(ER73+ES73=0,"à affecter",IF(ER73=0,ES73&amp;" ext.",(ER73+ES73)&amp;IF(ES73&gt;0," dont "&amp;ES73&amp;" ext.",""))&amp;IF(COUNTIFS($EN$4:$EN$503,EN73,$EM$4:$EM$503,"Non affecté")&gt;0," + à affecter","")),"")</f>
        <v/>
      </c>
      <c r="EU73" s="170" t="str">
        <f>IF(EO73=1,IF(EP73&gt;0,SUMPRODUCT(($EN$4:$EN$503=EN73)*$E$4:$E$503*$C$4:$C$503)/EP73,AVERAGEIF($EN$4:$EN$503,EN73,$C$4:$C$503)),"")</f>
        <v/>
      </c>
      <c r="EV73" s="165">
        <f>IF(ISNUMBER(I73),I73,2958465)</f>
        <v>2958465.0</v>
      </c>
      <c r="EW73" s="165" t="str">
        <f>IF(EO73=1,SUMPRODUCT(MIN(($EN$4:$EN$503=EN73)*$EV$4:$EV$503+($EN$4:$EN$503&lt;&gt;EN73)*2958465)),"")</f>
        <v/>
      </c>
      <c r="EX73" s="165">
        <f>IF(AND(D73=1,ISNUMBER(INDEX(Charge!$F:$F,ROW()))),INDEX(Charge!$F:$F,ROW()),0)</f>
        <v>0.0</v>
      </c>
      <c r="EY73" s="165" t="str">
        <f>IF(EO73=1,SUMPRODUCT(MAX(($EN$4:$EN$503=EN73)*$EX$4:$EX$503)),"")</f>
        <v/>
      </c>
      <c r="FA73" t="str">
        <f>IF(70&lt;=$CD$23,INDEX($EJ$4:$EJ$203,70),IF(70-$CD$23&lt;=$CD$26,INDEX($EK$4:$EK$203,70-$CD$23),""))</f>
        <v/>
      </c>
      <c r="FB73" t="str">
        <f>IF(FA73="","",IF(70&lt;=$CD$23,"Interne","Externe"))</f>
        <v/>
      </c>
      <c r="FD73">
        <f>IF(AND(B73=1,TRIM(INDEX(Charge!$K:$K,ROW()))&lt;&gt;"",TRIM(INDEX(Charge!$L:$L,ROW()))&lt;&gt;""),1,0)</f>
        <v>0</v>
      </c>
      <c r="FE73">
        <f>IF(OR(EN73="",BZ73="(non affecté)"),0,IF(COUNTIFS($EN$4:EN73,EN73,$BZ$4:BZ73,BZ73)=1,1,0))</f>
        <v>0</v>
      </c>
    </row>
    <row r="74">
      <c r="A74">
        <f>ROW()</f>
        <v>74</v>
      </c>
      <c r="B74">
        <f>IF(TRIM(INDEX(Charge!$B:$B,ROW()))&lt;&gt;"",1,0)</f>
        <v>0</v>
      </c>
      <c r="C74">
        <f>IF(B74=1,MIN(1,MAX(0,N(INDEX(Charge!$O:$O,ROW())))),0)</f>
        <v>0</v>
      </c>
      <c r="D74">
        <f>IF(B74=1,IF(OR(p_Perimetre="Tous les projets",C74&lt;1),1,0),0)</f>
        <v>0</v>
      </c>
      <c r="E74">
        <f>IF(D74=1,MAX(0,N(INDEX(Charge!$M:$M,ROW()))),0)</f>
        <v>0</v>
      </c>
      <c r="F74" t="str">
        <f>IF(D74=1,IF(TRIM(INDEX(Charge!$A:$A,ROW()))="","(non renseigné)",TRIM(INDEX(Charge!$A:$A,ROW()))),"")</f>
        <v/>
      </c>
      <c r="G74" t="str">
        <f>IF(D74=1,TRIM(INDEX(Charge!$B:$B,ROW())),"")</f>
        <v/>
      </c>
      <c r="H74" t="str">
        <f>IF(D74=1,IF(TRIM(INDEX(Charge!$E:$E,ROW()))="","(non renseigné)",TRIM(INDEX(Charge!$E:$E,ROW()))),"")</f>
        <v/>
      </c>
      <c r="I74" s="165" t="str">
        <f>IF(AND(D74=1,ISNUMBER(INDEX(Charge!$N:$N,ROW()))),INDEX(Charge!$N:$N,ROW()),"")</f>
        <v/>
      </c>
      <c r="J74" s="165" t="str">
        <f>IF(I74="","",IF(AND(p_Repartition="Lissée jusqu'à la date de besoin",ISNUMBER(INDEX(Charge!$F:$F,ROW()))),IF(INDEX(Charge!$F:$F,ROW())&gt;=I74,INDEX(Charge!$F:$F,ROW()),I74),I74))</f>
        <v/>
      </c>
      <c r="K74" t="str">
        <f>IF(I74="","",NETWORKDAYS(I74,J74,Data!$K$4:$K$203))</f>
        <v/>
      </c>
      <c r="L74" t="str">
        <f>IF(D74=1,COUNTIFS($D$4:$D$503,1,$E$4:$E$503,"&gt;"&amp;E74)+COUNTIFS($D$4:$D74,1,$E$4:$E74,E74),"")</f>
        <v/>
      </c>
      <c r="M74">
        <f>IF(F74="",0,IF(COUNTIF($F$4:F74,F74)=1,1,0))</f>
        <v>0</v>
      </c>
      <c r="N74" t="str">
        <f>IF(M74=1,ROUND(SUMIF($F$4:$F$503,F74,$E$4:$E$503),2),"")</f>
        <v/>
      </c>
      <c r="O74" t="str">
        <f>IF(M74=1,COUNTIFS($M$4:$M$503,1,$N$4:$N$503,"&gt;"&amp;N74)+COUNTIFS($M$4:M74,1,$N$4:N74,N74),"")</f>
        <v/>
      </c>
      <c r="P74">
        <f>IF(G74="",0,IF(COUNTIF($G$4:G74,G74)=1,1,0))</f>
        <v>0</v>
      </c>
      <c r="Q74" t="str">
        <f>IF(P74=1,ROUND(SUMIF($G$4:$G$503,G74,$E$4:$E$503),2),"")</f>
        <v/>
      </c>
      <c r="R74" t="str">
        <f>IF(P74=1,COUNTIFS($P$4:$P$503,1,$Q$4:$Q$503,"&gt;"&amp;Q74)+COUNTIFS($P$4:P74,1,$Q$4:Q74,Q74),"")</f>
        <v/>
      </c>
      <c r="S74">
        <f>IF(H74="",0,IF(COUNTIF($H$4:H74,H74)=1,1,0))</f>
        <v>0</v>
      </c>
      <c r="T74" t="str">
        <f>IF(S74=1,ROUND(SUMIF($H$4:$H$503,H74,$E$4:$E$503),2),"")</f>
        <v/>
      </c>
      <c r="U74" t="str">
        <f>IF(S74=1,COUNTIFS($S$4:$S$503,1,$T$4:$T$503,"&gt;"&amp;T74)+COUNTIFS($S$4:S74,1,$T$4:T74,T74),"")</f>
        <v/>
      </c>
      <c r="V74" t="str">
        <f>IF(D74=1,MIN(INDEX($R$4:$R$503,MATCH(G74,$G$4:$G$503,0)),IF($AL$7&gt;9,9,999)),"")</f>
        <v/>
      </c>
      <c r="W74" s="166">
        <f>IF(OR($I74="",$E74=0),0,IF(OR($J74&lt;W$3,$I74&gt;W$2),0,IF($K74=0,IF(AND($I74&gt;=W$3,$I74&lt;=W$2),$E74,0),$E74*NETWORKDAYS(MAX($I74,W$3),MIN($J74,W$2),Data!$K$4:$K$203)/$K74)))</f>
        <v>0</v>
      </c>
      <c r="X74" s="166">
        <f>IF(OR($I74="",$E74=0),0,IF(OR($J74&lt;X$3,$I74&gt;X$2),0,IF($K74=0,IF(AND($I74&gt;=X$3,$I74&lt;=X$2),$E74,0),$E74*NETWORKDAYS(MAX($I74,X$3),MIN($J74,X$2),Data!$K$4:$K$203)/$K74)))</f>
        <v>0</v>
      </c>
      <c r="Y74" s="166">
        <f>IF(OR($I74="",$E74=0),0,IF(OR($J74&lt;Y$3,$I74&gt;Y$2),0,IF($K74=0,IF(AND($I74&gt;=Y$3,$I74&lt;=Y$2),$E74,0),$E74*NETWORKDAYS(MAX($I74,Y$3),MIN($J74,Y$2),Data!$K$4:$K$203)/$K74)))</f>
        <v>0</v>
      </c>
      <c r="Z74" s="166">
        <f>IF(OR($I74="",$E74=0),0,IF(OR($J74&lt;Z$3,$I74&gt;Z$2),0,IF($K74=0,IF(AND($I74&gt;=Z$3,$I74&lt;=Z$2),$E74,0),$E74*NETWORKDAYS(MAX($I74,Z$3),MIN($J74,Z$2),Data!$K$4:$K$203)/$K74)))</f>
        <v>0</v>
      </c>
      <c r="AA74" s="166">
        <f>IF(OR($I74="",$E74=0),0,IF(OR($J74&lt;AA$3,$I74&gt;AA$2),0,IF($K74=0,IF(AND($I74&gt;=AA$3,$I74&lt;=AA$2),$E74,0),$E74*NETWORKDAYS(MAX($I74,AA$3),MIN($J74,AA$2),Data!$K$4:$K$203)/$K74)))</f>
        <v>0</v>
      </c>
      <c r="AB74" s="166">
        <f>IF(OR($I74="",$E74=0),0,IF(OR($J74&lt;AB$3,$I74&gt;AB$2),0,IF($K74=0,IF(AND($I74&gt;=AB$3,$I74&lt;=AB$2),$E74,0),$E74*NETWORKDAYS(MAX($I74,AB$3),MIN($J74,AB$2),Data!$K$4:$K$203)/$K74)))</f>
        <v>0</v>
      </c>
      <c r="AC74" s="166">
        <f>IF(OR($I74="",$E74=0),0,IF(OR($J74&lt;AC$3,$I74&gt;AC$2),0,IF($K74=0,IF(AND($I74&gt;=AC$3,$I74&lt;=AC$2),$E74,0),$E74*NETWORKDAYS(MAX($I74,AC$3),MIN($J74,AC$2),Data!$K$4:$K$203)/$K74)))</f>
        <v>0</v>
      </c>
      <c r="AD74" s="166">
        <f>IF(OR($I74="",$E74=0),0,IF(OR($J74&lt;AD$3,$I74&gt;AD$2),0,IF($K74=0,IF(AND($I74&gt;=AD$3,$I74&lt;=AD$2),$E74,0),$E74*NETWORKDAYS(MAX($I74,AD$3),MIN($J74,AD$2),Data!$K$4:$K$203)/$K74)))</f>
        <v>0</v>
      </c>
      <c r="AE74" s="166">
        <f>IF(OR($I74="",$E74=0),0,IF(OR($J74&lt;AE$3,$I74&gt;AE$2),0,IF($K74=0,IF(AND($I74&gt;=AE$3,$I74&lt;=AE$2),$E74,0),$E74*NETWORKDAYS(MAX($I74,AE$3),MIN($J74,AE$2),Data!$K$4:$K$203)/$K74)))</f>
        <v>0</v>
      </c>
      <c r="AF74" s="166">
        <f>IF(OR($I74="",$E74=0),0,IF(OR($J74&lt;AF$3,$I74&gt;AF$2),0,IF($K74=0,IF(AND($I74&gt;=AF$3,$I74&lt;=AF$2),$E74,0),$E74*NETWORKDAYS(MAX($I74,AF$3),MIN($J74,AF$2),Data!$K$4:$K$203)/$K74)))</f>
        <v>0</v>
      </c>
      <c r="AG74" s="166">
        <f>IF(OR($I74="",$E74=0),0,IF(OR($J74&lt;AG$3,$I74&gt;AG$2),0,IF($K74=0,IF(AND($I74&gt;=AG$3,$I74&lt;=AG$2),$E74,0),$E74*NETWORKDAYS(MAX($I74,AG$3),MIN($J74,AG$2),Data!$K$4:$K$203)/$K74)))</f>
        <v>0</v>
      </c>
      <c r="AH74" s="166">
        <f>IF(OR($I74="",$E74=0),0,IF(OR($J74&lt;AH$3,$I74&gt;AH$2),0,IF($K74=0,IF(AND($I74&gt;=AH$3,$I74&lt;=AH$2),$E74,0),$E74*NETWORKDAYS(MAX($I74,AH$3),MIN($J74,AH$2),Data!$K$4:$K$203)/$K74)))</f>
        <v>0</v>
      </c>
      <c r="AI74" s="166">
        <f>SUM(W74:AH74)</f>
        <v>0</v>
      </c>
      <c r="BW74" t="n">
        <v>71</v>
      </c>
      <c r="BX74" t="str">
        <f>IFERROR(MATCH(BW74,$EQ$4:$EQ$503,0),"")</f>
        <v/>
      </c>
      <c r="BZ74" t="str">
        <f>IF(D74=1,IF(TRIM(INDEX(Charge!$K:$K,ROW()))&lt;&gt;"",TRIM(INDEX(Charge!$K:$K,ROW())),IF(TRIM(INDEX(Charge!$L:$L,ROW()))&lt;&gt;"",TRIM(INDEX(Charge!$L:$L,ROW())),"(non affecté)")),"")</f>
        <v/>
      </c>
      <c r="CA74" t="str">
        <f>IF(AND($CD$4&lt;&gt;"",BZ74=$CD$4),COUNTIFS($BZ$4:$BZ$503,$CD$4,$L$4:$L$503,"&lt;"&amp;L74)+1,"")</f>
        <v/>
      </c>
      <c r="EJ74" t="str">
        <f>TRIM(INDEX(Data!$E:$E,ROW()))</f>
        <v/>
      </c>
      <c r="EK74" t="str">
        <f>TRIM(INDEX(Data!$H:$H,ROW()))</f>
        <v/>
      </c>
      <c r="EM74" t="str">
        <f>IF(D74=1,IF(TRIM(INDEX(Charge!$K:$K,ROW()))&lt;&gt;"","Interne",IF(TRIM(INDEX(Charge!$L:$L,ROW()))&lt;&gt;"","Externe","Non affecté")),"")</f>
        <v/>
      </c>
      <c r="EN74" t="str">
        <f>IF(D74=1,LEFT(SUBSTITUTE(SUBSTITUTE(SUBSTITUTE(TRIM(SUBSTITUTE(INDEX(Charge!$B:$B,ROW()),CHAR(160)," "))&amp;" | "&amp;TRIM(SUBSTITUTE(INDEX(Charge!$C:$C,ROW()),CHAR(160)," "))&amp;" | "&amp;TRIM(SUBSTITUTE(INDEX(Charge!$D:$D,ROW()),CHAR(160)," ")),"~","-"),"*","+"),"?","!"),240),"")</f>
        <v/>
      </c>
      <c r="EO74">
        <f>IF(EN74="",0,IF(COUNTIF($EN$4:EN74,EN74)=1,1,0))</f>
        <v>0</v>
      </c>
      <c r="EP74" s="166" t="str">
        <f>IF(EO74=1,ROUND(SUMIF($EN$4:$EN$503,EN74,$E$4:$E$503),2),"")</f>
        <v/>
      </c>
      <c r="EQ74" t="str">
        <f>IF(EO74=1,COUNTIFS($EO$4:$EO$503,1,$EP$4:$EP$503,"&gt;"&amp;EP74)+COUNTIFS($EO$4:EO74,1,$EP$4:EP74,EP74),"")</f>
        <v/>
      </c>
      <c r="ER74" t="str">
        <f>IF(EO74=1,COUNTIFS($EN$4:$EN$503,EN74,$EM$4:$EM$503,"Interne",$FE$4:$FE$503,1),"")</f>
        <v/>
      </c>
      <c r="ES74" t="str">
        <f>IF(EO74=1,COUNTIFS($EN$4:$EN$503,EN74,$EM$4:$EM$503,"Externe",$FE$4:$FE$503,1),"")</f>
        <v/>
      </c>
      <c r="ET74" t="str">
        <f>IF(EO74=1,IF(ER74+ES74=0,"à affecter",IF(ER74=0,ES74&amp;" ext.",(ER74+ES74)&amp;IF(ES74&gt;0," dont "&amp;ES74&amp;" ext.",""))&amp;IF(COUNTIFS($EN$4:$EN$503,EN74,$EM$4:$EM$503,"Non affecté")&gt;0," + à affecter","")),"")</f>
        <v/>
      </c>
      <c r="EU74" s="170" t="str">
        <f>IF(EO74=1,IF(EP74&gt;0,SUMPRODUCT(($EN$4:$EN$503=EN74)*$E$4:$E$503*$C$4:$C$503)/EP74,AVERAGEIF($EN$4:$EN$503,EN74,$C$4:$C$503)),"")</f>
        <v/>
      </c>
      <c r="EV74" s="165">
        <f>IF(ISNUMBER(I74),I74,2958465)</f>
        <v>2958465.0</v>
      </c>
      <c r="EW74" s="165" t="str">
        <f>IF(EO74=1,SUMPRODUCT(MIN(($EN$4:$EN$503=EN74)*$EV$4:$EV$503+($EN$4:$EN$503&lt;&gt;EN74)*2958465)),"")</f>
        <v/>
      </c>
      <c r="EX74" s="165">
        <f>IF(AND(D74=1,ISNUMBER(INDEX(Charge!$F:$F,ROW()))),INDEX(Charge!$F:$F,ROW()),0)</f>
        <v>0.0</v>
      </c>
      <c r="EY74" s="165" t="str">
        <f>IF(EO74=1,SUMPRODUCT(MAX(($EN$4:$EN$503=EN74)*$EX$4:$EX$503)),"")</f>
        <v/>
      </c>
      <c r="FA74" t="str">
        <f>IF(71&lt;=$CD$23,INDEX($EJ$4:$EJ$203,71),IF(71-$CD$23&lt;=$CD$26,INDEX($EK$4:$EK$203,71-$CD$23),""))</f>
        <v/>
      </c>
      <c r="FB74" t="str">
        <f>IF(FA74="","",IF(71&lt;=$CD$23,"Interne","Externe"))</f>
        <v/>
      </c>
      <c r="FD74">
        <f>IF(AND(B74=1,TRIM(INDEX(Charge!$K:$K,ROW()))&lt;&gt;"",TRIM(INDEX(Charge!$L:$L,ROW()))&lt;&gt;""),1,0)</f>
        <v>0</v>
      </c>
      <c r="FE74">
        <f>IF(OR(EN74="",BZ74="(non affecté)"),0,IF(COUNTIFS($EN$4:EN74,EN74,$BZ$4:BZ74,BZ74)=1,1,0))</f>
        <v>0</v>
      </c>
    </row>
    <row r="75">
      <c r="A75">
        <f>ROW()</f>
        <v>75</v>
      </c>
      <c r="B75">
        <f>IF(TRIM(INDEX(Charge!$B:$B,ROW()))&lt;&gt;"",1,0)</f>
        <v>0</v>
      </c>
      <c r="C75">
        <f>IF(B75=1,MIN(1,MAX(0,N(INDEX(Charge!$O:$O,ROW())))),0)</f>
        <v>0</v>
      </c>
      <c r="D75">
        <f>IF(B75=1,IF(OR(p_Perimetre="Tous les projets",C75&lt;1),1,0),0)</f>
        <v>0</v>
      </c>
      <c r="E75">
        <f>IF(D75=1,MAX(0,N(INDEX(Charge!$M:$M,ROW()))),0)</f>
        <v>0</v>
      </c>
      <c r="F75" t="str">
        <f>IF(D75=1,IF(TRIM(INDEX(Charge!$A:$A,ROW()))="","(non renseigné)",TRIM(INDEX(Charge!$A:$A,ROW()))),"")</f>
        <v/>
      </c>
      <c r="G75" t="str">
        <f>IF(D75=1,TRIM(INDEX(Charge!$B:$B,ROW())),"")</f>
        <v/>
      </c>
      <c r="H75" t="str">
        <f>IF(D75=1,IF(TRIM(INDEX(Charge!$E:$E,ROW()))="","(non renseigné)",TRIM(INDEX(Charge!$E:$E,ROW()))),"")</f>
        <v/>
      </c>
      <c r="I75" s="165" t="str">
        <f>IF(AND(D75=1,ISNUMBER(INDEX(Charge!$N:$N,ROW()))),INDEX(Charge!$N:$N,ROW()),"")</f>
        <v/>
      </c>
      <c r="J75" s="165" t="str">
        <f>IF(I75="","",IF(AND(p_Repartition="Lissée jusqu'à la date de besoin",ISNUMBER(INDEX(Charge!$F:$F,ROW()))),IF(INDEX(Charge!$F:$F,ROW())&gt;=I75,INDEX(Charge!$F:$F,ROW()),I75),I75))</f>
        <v/>
      </c>
      <c r="K75" t="str">
        <f>IF(I75="","",NETWORKDAYS(I75,J75,Data!$K$4:$K$203))</f>
        <v/>
      </c>
      <c r="L75" t="str">
        <f>IF(D75=1,COUNTIFS($D$4:$D$503,1,$E$4:$E$503,"&gt;"&amp;E75)+COUNTIFS($D$4:$D75,1,$E$4:$E75,E75),"")</f>
        <v/>
      </c>
      <c r="M75">
        <f>IF(F75="",0,IF(COUNTIF($F$4:F75,F75)=1,1,0))</f>
        <v>0</v>
      </c>
      <c r="N75" t="str">
        <f>IF(M75=1,ROUND(SUMIF($F$4:$F$503,F75,$E$4:$E$503),2),"")</f>
        <v/>
      </c>
      <c r="O75" t="str">
        <f>IF(M75=1,COUNTIFS($M$4:$M$503,1,$N$4:$N$503,"&gt;"&amp;N75)+COUNTIFS($M$4:M75,1,$N$4:N75,N75),"")</f>
        <v/>
      </c>
      <c r="P75">
        <f>IF(G75="",0,IF(COUNTIF($G$4:G75,G75)=1,1,0))</f>
        <v>0</v>
      </c>
      <c r="Q75" t="str">
        <f>IF(P75=1,ROUND(SUMIF($G$4:$G$503,G75,$E$4:$E$503),2),"")</f>
        <v/>
      </c>
      <c r="R75" t="str">
        <f>IF(P75=1,COUNTIFS($P$4:$P$503,1,$Q$4:$Q$503,"&gt;"&amp;Q75)+COUNTIFS($P$4:P75,1,$Q$4:Q75,Q75),"")</f>
        <v/>
      </c>
      <c r="S75">
        <f>IF(H75="",0,IF(COUNTIF($H$4:H75,H75)=1,1,0))</f>
        <v>0</v>
      </c>
      <c r="T75" t="str">
        <f>IF(S75=1,ROUND(SUMIF($H$4:$H$503,H75,$E$4:$E$503),2),"")</f>
        <v/>
      </c>
      <c r="U75" t="str">
        <f>IF(S75=1,COUNTIFS($S$4:$S$503,1,$T$4:$T$503,"&gt;"&amp;T75)+COUNTIFS($S$4:S75,1,$T$4:T75,T75),"")</f>
        <v/>
      </c>
      <c r="V75" t="str">
        <f>IF(D75=1,MIN(INDEX($R$4:$R$503,MATCH(G75,$G$4:$G$503,0)),IF($AL$7&gt;9,9,999)),"")</f>
        <v/>
      </c>
      <c r="W75" s="166">
        <f>IF(OR($I75="",$E75=0),0,IF(OR($J75&lt;W$3,$I75&gt;W$2),0,IF($K75=0,IF(AND($I75&gt;=W$3,$I75&lt;=W$2),$E75,0),$E75*NETWORKDAYS(MAX($I75,W$3),MIN($J75,W$2),Data!$K$4:$K$203)/$K75)))</f>
        <v>0</v>
      </c>
      <c r="X75" s="166">
        <f>IF(OR($I75="",$E75=0),0,IF(OR($J75&lt;X$3,$I75&gt;X$2),0,IF($K75=0,IF(AND($I75&gt;=X$3,$I75&lt;=X$2),$E75,0),$E75*NETWORKDAYS(MAX($I75,X$3),MIN($J75,X$2),Data!$K$4:$K$203)/$K75)))</f>
        <v>0</v>
      </c>
      <c r="Y75" s="166">
        <f>IF(OR($I75="",$E75=0),0,IF(OR($J75&lt;Y$3,$I75&gt;Y$2),0,IF($K75=0,IF(AND($I75&gt;=Y$3,$I75&lt;=Y$2),$E75,0),$E75*NETWORKDAYS(MAX($I75,Y$3),MIN($J75,Y$2),Data!$K$4:$K$203)/$K75)))</f>
        <v>0</v>
      </c>
      <c r="Z75" s="166">
        <f>IF(OR($I75="",$E75=0),0,IF(OR($J75&lt;Z$3,$I75&gt;Z$2),0,IF($K75=0,IF(AND($I75&gt;=Z$3,$I75&lt;=Z$2),$E75,0),$E75*NETWORKDAYS(MAX($I75,Z$3),MIN($J75,Z$2),Data!$K$4:$K$203)/$K75)))</f>
        <v>0</v>
      </c>
      <c r="AA75" s="166">
        <f>IF(OR($I75="",$E75=0),0,IF(OR($J75&lt;AA$3,$I75&gt;AA$2),0,IF($K75=0,IF(AND($I75&gt;=AA$3,$I75&lt;=AA$2),$E75,0),$E75*NETWORKDAYS(MAX($I75,AA$3),MIN($J75,AA$2),Data!$K$4:$K$203)/$K75)))</f>
        <v>0</v>
      </c>
      <c r="AB75" s="166">
        <f>IF(OR($I75="",$E75=0),0,IF(OR($J75&lt;AB$3,$I75&gt;AB$2),0,IF($K75=0,IF(AND($I75&gt;=AB$3,$I75&lt;=AB$2),$E75,0),$E75*NETWORKDAYS(MAX($I75,AB$3),MIN($J75,AB$2),Data!$K$4:$K$203)/$K75)))</f>
        <v>0</v>
      </c>
      <c r="AC75" s="166">
        <f>IF(OR($I75="",$E75=0),0,IF(OR($J75&lt;AC$3,$I75&gt;AC$2),0,IF($K75=0,IF(AND($I75&gt;=AC$3,$I75&lt;=AC$2),$E75,0),$E75*NETWORKDAYS(MAX($I75,AC$3),MIN($J75,AC$2),Data!$K$4:$K$203)/$K75)))</f>
        <v>0</v>
      </c>
      <c r="AD75" s="166">
        <f>IF(OR($I75="",$E75=0),0,IF(OR($J75&lt;AD$3,$I75&gt;AD$2),0,IF($K75=0,IF(AND($I75&gt;=AD$3,$I75&lt;=AD$2),$E75,0),$E75*NETWORKDAYS(MAX($I75,AD$3),MIN($J75,AD$2),Data!$K$4:$K$203)/$K75)))</f>
        <v>0</v>
      </c>
      <c r="AE75" s="166">
        <f>IF(OR($I75="",$E75=0),0,IF(OR($J75&lt;AE$3,$I75&gt;AE$2),0,IF($K75=0,IF(AND($I75&gt;=AE$3,$I75&lt;=AE$2),$E75,0),$E75*NETWORKDAYS(MAX($I75,AE$3),MIN($J75,AE$2),Data!$K$4:$K$203)/$K75)))</f>
        <v>0</v>
      </c>
      <c r="AF75" s="166">
        <f>IF(OR($I75="",$E75=0),0,IF(OR($J75&lt;AF$3,$I75&gt;AF$2),0,IF($K75=0,IF(AND($I75&gt;=AF$3,$I75&lt;=AF$2),$E75,0),$E75*NETWORKDAYS(MAX($I75,AF$3),MIN($J75,AF$2),Data!$K$4:$K$203)/$K75)))</f>
        <v>0</v>
      </c>
      <c r="AG75" s="166">
        <f>IF(OR($I75="",$E75=0),0,IF(OR($J75&lt;AG$3,$I75&gt;AG$2),0,IF($K75=0,IF(AND($I75&gt;=AG$3,$I75&lt;=AG$2),$E75,0),$E75*NETWORKDAYS(MAX($I75,AG$3),MIN($J75,AG$2),Data!$K$4:$K$203)/$K75)))</f>
        <v>0</v>
      </c>
      <c r="AH75" s="166">
        <f>IF(OR($I75="",$E75=0),0,IF(OR($J75&lt;AH$3,$I75&gt;AH$2),0,IF($K75=0,IF(AND($I75&gt;=AH$3,$I75&lt;=AH$2),$E75,0),$E75*NETWORKDAYS(MAX($I75,AH$3),MIN($J75,AH$2),Data!$K$4:$K$203)/$K75)))</f>
        <v>0</v>
      </c>
      <c r="AI75" s="166">
        <f>SUM(W75:AH75)</f>
        <v>0</v>
      </c>
      <c r="BW75" t="n">
        <v>72</v>
      </c>
      <c r="BX75" t="str">
        <f>IFERROR(MATCH(BW75,$EQ$4:$EQ$503,0),"")</f>
        <v/>
      </c>
      <c r="BZ75" t="str">
        <f>IF(D75=1,IF(TRIM(INDEX(Charge!$K:$K,ROW()))&lt;&gt;"",TRIM(INDEX(Charge!$K:$K,ROW())),IF(TRIM(INDEX(Charge!$L:$L,ROW()))&lt;&gt;"",TRIM(INDEX(Charge!$L:$L,ROW())),"(non affecté)")),"")</f>
        <v/>
      </c>
      <c r="CA75" t="str">
        <f>IF(AND($CD$4&lt;&gt;"",BZ75=$CD$4),COUNTIFS($BZ$4:$BZ$503,$CD$4,$L$4:$L$503,"&lt;"&amp;L75)+1,"")</f>
        <v/>
      </c>
      <c r="EJ75" t="str">
        <f>TRIM(INDEX(Data!$E:$E,ROW()))</f>
        <v/>
      </c>
      <c r="EK75" t="str">
        <f>TRIM(INDEX(Data!$H:$H,ROW()))</f>
        <v/>
      </c>
      <c r="EM75" t="str">
        <f>IF(D75=1,IF(TRIM(INDEX(Charge!$K:$K,ROW()))&lt;&gt;"","Interne",IF(TRIM(INDEX(Charge!$L:$L,ROW()))&lt;&gt;"","Externe","Non affecté")),"")</f>
        <v/>
      </c>
      <c r="EN75" t="str">
        <f>IF(D75=1,LEFT(SUBSTITUTE(SUBSTITUTE(SUBSTITUTE(TRIM(SUBSTITUTE(INDEX(Charge!$B:$B,ROW()),CHAR(160)," "))&amp;" | "&amp;TRIM(SUBSTITUTE(INDEX(Charge!$C:$C,ROW()),CHAR(160)," "))&amp;" | "&amp;TRIM(SUBSTITUTE(INDEX(Charge!$D:$D,ROW()),CHAR(160)," ")),"~","-"),"*","+"),"?","!"),240),"")</f>
        <v/>
      </c>
      <c r="EO75">
        <f>IF(EN75="",0,IF(COUNTIF($EN$4:EN75,EN75)=1,1,0))</f>
        <v>0</v>
      </c>
      <c r="EP75" s="166" t="str">
        <f>IF(EO75=1,ROUND(SUMIF($EN$4:$EN$503,EN75,$E$4:$E$503),2),"")</f>
        <v/>
      </c>
      <c r="EQ75" t="str">
        <f>IF(EO75=1,COUNTIFS($EO$4:$EO$503,1,$EP$4:$EP$503,"&gt;"&amp;EP75)+COUNTIFS($EO$4:EO75,1,$EP$4:EP75,EP75),"")</f>
        <v/>
      </c>
      <c r="ER75" t="str">
        <f>IF(EO75=1,COUNTIFS($EN$4:$EN$503,EN75,$EM$4:$EM$503,"Interne",$FE$4:$FE$503,1),"")</f>
        <v/>
      </c>
      <c r="ES75" t="str">
        <f>IF(EO75=1,COUNTIFS($EN$4:$EN$503,EN75,$EM$4:$EM$503,"Externe",$FE$4:$FE$503,1),"")</f>
        <v/>
      </c>
      <c r="ET75" t="str">
        <f>IF(EO75=1,IF(ER75+ES75=0,"à affecter",IF(ER75=0,ES75&amp;" ext.",(ER75+ES75)&amp;IF(ES75&gt;0," dont "&amp;ES75&amp;" ext.",""))&amp;IF(COUNTIFS($EN$4:$EN$503,EN75,$EM$4:$EM$503,"Non affecté")&gt;0," + à affecter","")),"")</f>
        <v/>
      </c>
      <c r="EU75" s="170" t="str">
        <f>IF(EO75=1,IF(EP75&gt;0,SUMPRODUCT(($EN$4:$EN$503=EN75)*$E$4:$E$503*$C$4:$C$503)/EP75,AVERAGEIF($EN$4:$EN$503,EN75,$C$4:$C$503)),"")</f>
        <v/>
      </c>
      <c r="EV75" s="165">
        <f>IF(ISNUMBER(I75),I75,2958465)</f>
        <v>2958465.0</v>
      </c>
      <c r="EW75" s="165" t="str">
        <f>IF(EO75=1,SUMPRODUCT(MIN(($EN$4:$EN$503=EN75)*$EV$4:$EV$503+($EN$4:$EN$503&lt;&gt;EN75)*2958465)),"")</f>
        <v/>
      </c>
      <c r="EX75" s="165">
        <f>IF(AND(D75=1,ISNUMBER(INDEX(Charge!$F:$F,ROW()))),INDEX(Charge!$F:$F,ROW()),0)</f>
        <v>0.0</v>
      </c>
      <c r="EY75" s="165" t="str">
        <f>IF(EO75=1,SUMPRODUCT(MAX(($EN$4:$EN$503=EN75)*$EX$4:$EX$503)),"")</f>
        <v/>
      </c>
      <c r="FA75" t="str">
        <f>IF(72&lt;=$CD$23,INDEX($EJ$4:$EJ$203,72),IF(72-$CD$23&lt;=$CD$26,INDEX($EK$4:$EK$203,72-$CD$23),""))</f>
        <v/>
      </c>
      <c r="FB75" t="str">
        <f>IF(FA75="","",IF(72&lt;=$CD$23,"Interne","Externe"))</f>
        <v/>
      </c>
      <c r="FD75">
        <f>IF(AND(B75=1,TRIM(INDEX(Charge!$K:$K,ROW()))&lt;&gt;"",TRIM(INDEX(Charge!$L:$L,ROW()))&lt;&gt;""),1,0)</f>
        <v>0</v>
      </c>
      <c r="FE75">
        <f>IF(OR(EN75="",BZ75="(non affecté)"),0,IF(COUNTIFS($EN$4:EN75,EN75,$BZ$4:BZ75,BZ75)=1,1,0))</f>
        <v>0</v>
      </c>
    </row>
    <row r="76">
      <c r="A76">
        <f>ROW()</f>
        <v>76</v>
      </c>
      <c r="B76">
        <f>IF(TRIM(INDEX(Charge!$B:$B,ROW()))&lt;&gt;"",1,0)</f>
        <v>0</v>
      </c>
      <c r="C76">
        <f>IF(B76=1,MIN(1,MAX(0,N(INDEX(Charge!$O:$O,ROW())))),0)</f>
        <v>0</v>
      </c>
      <c r="D76">
        <f>IF(B76=1,IF(OR(p_Perimetre="Tous les projets",C76&lt;1),1,0),0)</f>
        <v>0</v>
      </c>
      <c r="E76">
        <f>IF(D76=1,MAX(0,N(INDEX(Charge!$M:$M,ROW()))),0)</f>
        <v>0</v>
      </c>
      <c r="F76" t="str">
        <f>IF(D76=1,IF(TRIM(INDEX(Charge!$A:$A,ROW()))="","(non renseigné)",TRIM(INDEX(Charge!$A:$A,ROW()))),"")</f>
        <v/>
      </c>
      <c r="G76" t="str">
        <f>IF(D76=1,TRIM(INDEX(Charge!$B:$B,ROW())),"")</f>
        <v/>
      </c>
      <c r="H76" t="str">
        <f>IF(D76=1,IF(TRIM(INDEX(Charge!$E:$E,ROW()))="","(non renseigné)",TRIM(INDEX(Charge!$E:$E,ROW()))),"")</f>
        <v/>
      </c>
      <c r="I76" s="165" t="str">
        <f>IF(AND(D76=1,ISNUMBER(INDEX(Charge!$N:$N,ROW()))),INDEX(Charge!$N:$N,ROW()),"")</f>
        <v/>
      </c>
      <c r="J76" s="165" t="str">
        <f>IF(I76="","",IF(AND(p_Repartition="Lissée jusqu'à la date de besoin",ISNUMBER(INDEX(Charge!$F:$F,ROW()))),IF(INDEX(Charge!$F:$F,ROW())&gt;=I76,INDEX(Charge!$F:$F,ROW()),I76),I76))</f>
        <v/>
      </c>
      <c r="K76" t="str">
        <f>IF(I76="","",NETWORKDAYS(I76,J76,Data!$K$4:$K$203))</f>
        <v/>
      </c>
      <c r="L76" t="str">
        <f>IF(D76=1,COUNTIFS($D$4:$D$503,1,$E$4:$E$503,"&gt;"&amp;E76)+COUNTIFS($D$4:$D76,1,$E$4:$E76,E76),"")</f>
        <v/>
      </c>
      <c r="M76">
        <f>IF(F76="",0,IF(COUNTIF($F$4:F76,F76)=1,1,0))</f>
        <v>0</v>
      </c>
      <c r="N76" t="str">
        <f>IF(M76=1,ROUND(SUMIF($F$4:$F$503,F76,$E$4:$E$503),2),"")</f>
        <v/>
      </c>
      <c r="O76" t="str">
        <f>IF(M76=1,COUNTIFS($M$4:$M$503,1,$N$4:$N$503,"&gt;"&amp;N76)+COUNTIFS($M$4:M76,1,$N$4:N76,N76),"")</f>
        <v/>
      </c>
      <c r="P76">
        <f>IF(G76="",0,IF(COUNTIF($G$4:G76,G76)=1,1,0))</f>
        <v>0</v>
      </c>
      <c r="Q76" t="str">
        <f>IF(P76=1,ROUND(SUMIF($G$4:$G$503,G76,$E$4:$E$503),2),"")</f>
        <v/>
      </c>
      <c r="R76" t="str">
        <f>IF(P76=1,COUNTIFS($P$4:$P$503,1,$Q$4:$Q$503,"&gt;"&amp;Q76)+COUNTIFS($P$4:P76,1,$Q$4:Q76,Q76),"")</f>
        <v/>
      </c>
      <c r="S76">
        <f>IF(H76="",0,IF(COUNTIF($H$4:H76,H76)=1,1,0))</f>
        <v>0</v>
      </c>
      <c r="T76" t="str">
        <f>IF(S76=1,ROUND(SUMIF($H$4:$H$503,H76,$E$4:$E$503),2),"")</f>
        <v/>
      </c>
      <c r="U76" t="str">
        <f>IF(S76=1,COUNTIFS($S$4:$S$503,1,$T$4:$T$503,"&gt;"&amp;T76)+COUNTIFS($S$4:S76,1,$T$4:T76,T76),"")</f>
        <v/>
      </c>
      <c r="V76" t="str">
        <f>IF(D76=1,MIN(INDEX($R$4:$R$503,MATCH(G76,$G$4:$G$503,0)),IF($AL$7&gt;9,9,999)),"")</f>
        <v/>
      </c>
      <c r="W76" s="166">
        <f>IF(OR($I76="",$E76=0),0,IF(OR($J76&lt;W$3,$I76&gt;W$2),0,IF($K76=0,IF(AND($I76&gt;=W$3,$I76&lt;=W$2),$E76,0),$E76*NETWORKDAYS(MAX($I76,W$3),MIN($J76,W$2),Data!$K$4:$K$203)/$K76)))</f>
        <v>0</v>
      </c>
      <c r="X76" s="166">
        <f>IF(OR($I76="",$E76=0),0,IF(OR($J76&lt;X$3,$I76&gt;X$2),0,IF($K76=0,IF(AND($I76&gt;=X$3,$I76&lt;=X$2),$E76,0),$E76*NETWORKDAYS(MAX($I76,X$3),MIN($J76,X$2),Data!$K$4:$K$203)/$K76)))</f>
        <v>0</v>
      </c>
      <c r="Y76" s="166">
        <f>IF(OR($I76="",$E76=0),0,IF(OR($J76&lt;Y$3,$I76&gt;Y$2),0,IF($K76=0,IF(AND($I76&gt;=Y$3,$I76&lt;=Y$2),$E76,0),$E76*NETWORKDAYS(MAX($I76,Y$3),MIN($J76,Y$2),Data!$K$4:$K$203)/$K76)))</f>
        <v>0</v>
      </c>
      <c r="Z76" s="166">
        <f>IF(OR($I76="",$E76=0),0,IF(OR($J76&lt;Z$3,$I76&gt;Z$2),0,IF($K76=0,IF(AND($I76&gt;=Z$3,$I76&lt;=Z$2),$E76,0),$E76*NETWORKDAYS(MAX($I76,Z$3),MIN($J76,Z$2),Data!$K$4:$K$203)/$K76)))</f>
        <v>0</v>
      </c>
      <c r="AA76" s="166">
        <f>IF(OR($I76="",$E76=0),0,IF(OR($J76&lt;AA$3,$I76&gt;AA$2),0,IF($K76=0,IF(AND($I76&gt;=AA$3,$I76&lt;=AA$2),$E76,0),$E76*NETWORKDAYS(MAX($I76,AA$3),MIN($J76,AA$2),Data!$K$4:$K$203)/$K76)))</f>
        <v>0</v>
      </c>
      <c r="AB76" s="166">
        <f>IF(OR($I76="",$E76=0),0,IF(OR($J76&lt;AB$3,$I76&gt;AB$2),0,IF($K76=0,IF(AND($I76&gt;=AB$3,$I76&lt;=AB$2),$E76,0),$E76*NETWORKDAYS(MAX($I76,AB$3),MIN($J76,AB$2),Data!$K$4:$K$203)/$K76)))</f>
        <v>0</v>
      </c>
      <c r="AC76" s="166">
        <f>IF(OR($I76="",$E76=0),0,IF(OR($J76&lt;AC$3,$I76&gt;AC$2),0,IF($K76=0,IF(AND($I76&gt;=AC$3,$I76&lt;=AC$2),$E76,0),$E76*NETWORKDAYS(MAX($I76,AC$3),MIN($J76,AC$2),Data!$K$4:$K$203)/$K76)))</f>
        <v>0</v>
      </c>
      <c r="AD76" s="166">
        <f>IF(OR($I76="",$E76=0),0,IF(OR($J76&lt;AD$3,$I76&gt;AD$2),0,IF($K76=0,IF(AND($I76&gt;=AD$3,$I76&lt;=AD$2),$E76,0),$E76*NETWORKDAYS(MAX($I76,AD$3),MIN($J76,AD$2),Data!$K$4:$K$203)/$K76)))</f>
        <v>0</v>
      </c>
      <c r="AE76" s="166">
        <f>IF(OR($I76="",$E76=0),0,IF(OR($J76&lt;AE$3,$I76&gt;AE$2),0,IF($K76=0,IF(AND($I76&gt;=AE$3,$I76&lt;=AE$2),$E76,0),$E76*NETWORKDAYS(MAX($I76,AE$3),MIN($J76,AE$2),Data!$K$4:$K$203)/$K76)))</f>
        <v>0</v>
      </c>
      <c r="AF76" s="166">
        <f>IF(OR($I76="",$E76=0),0,IF(OR($J76&lt;AF$3,$I76&gt;AF$2),0,IF($K76=0,IF(AND($I76&gt;=AF$3,$I76&lt;=AF$2),$E76,0),$E76*NETWORKDAYS(MAX($I76,AF$3),MIN($J76,AF$2),Data!$K$4:$K$203)/$K76)))</f>
        <v>0</v>
      </c>
      <c r="AG76" s="166">
        <f>IF(OR($I76="",$E76=0),0,IF(OR($J76&lt;AG$3,$I76&gt;AG$2),0,IF($K76=0,IF(AND($I76&gt;=AG$3,$I76&lt;=AG$2),$E76,0),$E76*NETWORKDAYS(MAX($I76,AG$3),MIN($J76,AG$2),Data!$K$4:$K$203)/$K76)))</f>
        <v>0</v>
      </c>
      <c r="AH76" s="166">
        <f>IF(OR($I76="",$E76=0),0,IF(OR($J76&lt;AH$3,$I76&gt;AH$2),0,IF($K76=0,IF(AND($I76&gt;=AH$3,$I76&lt;=AH$2),$E76,0),$E76*NETWORKDAYS(MAX($I76,AH$3),MIN($J76,AH$2),Data!$K$4:$K$203)/$K76)))</f>
        <v>0</v>
      </c>
      <c r="AI76" s="166">
        <f>SUM(W76:AH76)</f>
        <v>0</v>
      </c>
      <c r="BW76" t="n">
        <v>73</v>
      </c>
      <c r="BX76" t="str">
        <f>IFERROR(MATCH(BW76,$EQ$4:$EQ$503,0),"")</f>
        <v/>
      </c>
      <c r="BZ76" t="str">
        <f>IF(D76=1,IF(TRIM(INDEX(Charge!$K:$K,ROW()))&lt;&gt;"",TRIM(INDEX(Charge!$K:$K,ROW())),IF(TRIM(INDEX(Charge!$L:$L,ROW()))&lt;&gt;"",TRIM(INDEX(Charge!$L:$L,ROW())),"(non affecté)")),"")</f>
        <v/>
      </c>
      <c r="CA76" t="str">
        <f>IF(AND($CD$4&lt;&gt;"",BZ76=$CD$4),COUNTIFS($BZ$4:$BZ$503,$CD$4,$L$4:$L$503,"&lt;"&amp;L76)+1,"")</f>
        <v/>
      </c>
      <c r="EJ76" t="str">
        <f>TRIM(INDEX(Data!$E:$E,ROW()))</f>
        <v/>
      </c>
      <c r="EK76" t="str">
        <f>TRIM(INDEX(Data!$H:$H,ROW()))</f>
        <v/>
      </c>
      <c r="EM76" t="str">
        <f>IF(D76=1,IF(TRIM(INDEX(Charge!$K:$K,ROW()))&lt;&gt;"","Interne",IF(TRIM(INDEX(Charge!$L:$L,ROW()))&lt;&gt;"","Externe","Non affecté")),"")</f>
        <v/>
      </c>
      <c r="EN76" t="str">
        <f>IF(D76=1,LEFT(SUBSTITUTE(SUBSTITUTE(SUBSTITUTE(TRIM(SUBSTITUTE(INDEX(Charge!$B:$B,ROW()),CHAR(160)," "))&amp;" | "&amp;TRIM(SUBSTITUTE(INDEX(Charge!$C:$C,ROW()),CHAR(160)," "))&amp;" | "&amp;TRIM(SUBSTITUTE(INDEX(Charge!$D:$D,ROW()),CHAR(160)," ")),"~","-"),"*","+"),"?","!"),240),"")</f>
        <v/>
      </c>
      <c r="EO76">
        <f>IF(EN76="",0,IF(COUNTIF($EN$4:EN76,EN76)=1,1,0))</f>
        <v>0</v>
      </c>
      <c r="EP76" s="166" t="str">
        <f>IF(EO76=1,ROUND(SUMIF($EN$4:$EN$503,EN76,$E$4:$E$503),2),"")</f>
        <v/>
      </c>
      <c r="EQ76" t="str">
        <f>IF(EO76=1,COUNTIFS($EO$4:$EO$503,1,$EP$4:$EP$503,"&gt;"&amp;EP76)+COUNTIFS($EO$4:EO76,1,$EP$4:EP76,EP76),"")</f>
        <v/>
      </c>
      <c r="ER76" t="str">
        <f>IF(EO76=1,COUNTIFS($EN$4:$EN$503,EN76,$EM$4:$EM$503,"Interne",$FE$4:$FE$503,1),"")</f>
        <v/>
      </c>
      <c r="ES76" t="str">
        <f>IF(EO76=1,COUNTIFS($EN$4:$EN$503,EN76,$EM$4:$EM$503,"Externe",$FE$4:$FE$503,1),"")</f>
        <v/>
      </c>
      <c r="ET76" t="str">
        <f>IF(EO76=1,IF(ER76+ES76=0,"à affecter",IF(ER76=0,ES76&amp;" ext.",(ER76+ES76)&amp;IF(ES76&gt;0," dont "&amp;ES76&amp;" ext.",""))&amp;IF(COUNTIFS($EN$4:$EN$503,EN76,$EM$4:$EM$503,"Non affecté")&gt;0," + à affecter","")),"")</f>
        <v/>
      </c>
      <c r="EU76" s="170" t="str">
        <f>IF(EO76=1,IF(EP76&gt;0,SUMPRODUCT(($EN$4:$EN$503=EN76)*$E$4:$E$503*$C$4:$C$503)/EP76,AVERAGEIF($EN$4:$EN$503,EN76,$C$4:$C$503)),"")</f>
        <v/>
      </c>
      <c r="EV76" s="165">
        <f>IF(ISNUMBER(I76),I76,2958465)</f>
        <v>2958465.0</v>
      </c>
      <c r="EW76" s="165" t="str">
        <f>IF(EO76=1,SUMPRODUCT(MIN(($EN$4:$EN$503=EN76)*$EV$4:$EV$503+($EN$4:$EN$503&lt;&gt;EN76)*2958465)),"")</f>
        <v/>
      </c>
      <c r="EX76" s="165">
        <f>IF(AND(D76=1,ISNUMBER(INDEX(Charge!$F:$F,ROW()))),INDEX(Charge!$F:$F,ROW()),0)</f>
        <v>0.0</v>
      </c>
      <c r="EY76" s="165" t="str">
        <f>IF(EO76=1,SUMPRODUCT(MAX(($EN$4:$EN$503=EN76)*$EX$4:$EX$503)),"")</f>
        <v/>
      </c>
      <c r="FA76" t="str">
        <f>IF(73&lt;=$CD$23,INDEX($EJ$4:$EJ$203,73),IF(73-$CD$23&lt;=$CD$26,INDEX($EK$4:$EK$203,73-$CD$23),""))</f>
        <v/>
      </c>
      <c r="FB76" t="str">
        <f>IF(FA76="","",IF(73&lt;=$CD$23,"Interne","Externe"))</f>
        <v/>
      </c>
      <c r="FD76">
        <f>IF(AND(B76=1,TRIM(INDEX(Charge!$K:$K,ROW()))&lt;&gt;"",TRIM(INDEX(Charge!$L:$L,ROW()))&lt;&gt;""),1,0)</f>
        <v>0</v>
      </c>
      <c r="FE76">
        <f>IF(OR(EN76="",BZ76="(non affecté)"),0,IF(COUNTIFS($EN$4:EN76,EN76,$BZ$4:BZ76,BZ76)=1,1,0))</f>
        <v>0</v>
      </c>
    </row>
    <row r="77">
      <c r="A77">
        <f>ROW()</f>
        <v>77</v>
      </c>
      <c r="B77">
        <f>IF(TRIM(INDEX(Charge!$B:$B,ROW()))&lt;&gt;"",1,0)</f>
        <v>0</v>
      </c>
      <c r="C77">
        <f>IF(B77=1,MIN(1,MAX(0,N(INDEX(Charge!$O:$O,ROW())))),0)</f>
        <v>0</v>
      </c>
      <c r="D77">
        <f>IF(B77=1,IF(OR(p_Perimetre="Tous les projets",C77&lt;1),1,0),0)</f>
        <v>0</v>
      </c>
      <c r="E77">
        <f>IF(D77=1,MAX(0,N(INDEX(Charge!$M:$M,ROW()))),0)</f>
        <v>0</v>
      </c>
      <c r="F77" t="str">
        <f>IF(D77=1,IF(TRIM(INDEX(Charge!$A:$A,ROW()))="","(non renseigné)",TRIM(INDEX(Charge!$A:$A,ROW()))),"")</f>
        <v/>
      </c>
      <c r="G77" t="str">
        <f>IF(D77=1,TRIM(INDEX(Charge!$B:$B,ROW())),"")</f>
        <v/>
      </c>
      <c r="H77" t="str">
        <f>IF(D77=1,IF(TRIM(INDEX(Charge!$E:$E,ROW()))="","(non renseigné)",TRIM(INDEX(Charge!$E:$E,ROW()))),"")</f>
        <v/>
      </c>
      <c r="I77" s="165" t="str">
        <f>IF(AND(D77=1,ISNUMBER(INDEX(Charge!$N:$N,ROW()))),INDEX(Charge!$N:$N,ROW()),"")</f>
        <v/>
      </c>
      <c r="J77" s="165" t="str">
        <f>IF(I77="","",IF(AND(p_Repartition="Lissée jusqu'à la date de besoin",ISNUMBER(INDEX(Charge!$F:$F,ROW()))),IF(INDEX(Charge!$F:$F,ROW())&gt;=I77,INDEX(Charge!$F:$F,ROW()),I77),I77))</f>
        <v/>
      </c>
      <c r="K77" t="str">
        <f>IF(I77="","",NETWORKDAYS(I77,J77,Data!$K$4:$K$203))</f>
        <v/>
      </c>
      <c r="L77" t="str">
        <f>IF(D77=1,COUNTIFS($D$4:$D$503,1,$E$4:$E$503,"&gt;"&amp;E77)+COUNTIFS($D$4:$D77,1,$E$4:$E77,E77),"")</f>
        <v/>
      </c>
      <c r="M77">
        <f>IF(F77="",0,IF(COUNTIF($F$4:F77,F77)=1,1,0))</f>
        <v>0</v>
      </c>
      <c r="N77" t="str">
        <f>IF(M77=1,ROUND(SUMIF($F$4:$F$503,F77,$E$4:$E$503),2),"")</f>
        <v/>
      </c>
      <c r="O77" t="str">
        <f>IF(M77=1,COUNTIFS($M$4:$M$503,1,$N$4:$N$503,"&gt;"&amp;N77)+COUNTIFS($M$4:M77,1,$N$4:N77,N77),"")</f>
        <v/>
      </c>
      <c r="P77">
        <f>IF(G77="",0,IF(COUNTIF($G$4:G77,G77)=1,1,0))</f>
        <v>0</v>
      </c>
      <c r="Q77" t="str">
        <f>IF(P77=1,ROUND(SUMIF($G$4:$G$503,G77,$E$4:$E$503),2),"")</f>
        <v/>
      </c>
      <c r="R77" t="str">
        <f>IF(P77=1,COUNTIFS($P$4:$P$503,1,$Q$4:$Q$503,"&gt;"&amp;Q77)+COUNTIFS($P$4:P77,1,$Q$4:Q77,Q77),"")</f>
        <v/>
      </c>
      <c r="S77">
        <f>IF(H77="",0,IF(COUNTIF($H$4:H77,H77)=1,1,0))</f>
        <v>0</v>
      </c>
      <c r="T77" t="str">
        <f>IF(S77=1,ROUND(SUMIF($H$4:$H$503,H77,$E$4:$E$503),2),"")</f>
        <v/>
      </c>
      <c r="U77" t="str">
        <f>IF(S77=1,COUNTIFS($S$4:$S$503,1,$T$4:$T$503,"&gt;"&amp;T77)+COUNTIFS($S$4:S77,1,$T$4:T77,T77),"")</f>
        <v/>
      </c>
      <c r="V77" t="str">
        <f>IF(D77=1,MIN(INDEX($R$4:$R$503,MATCH(G77,$G$4:$G$503,0)),IF($AL$7&gt;9,9,999)),"")</f>
        <v/>
      </c>
      <c r="W77" s="166">
        <f>IF(OR($I77="",$E77=0),0,IF(OR($J77&lt;W$3,$I77&gt;W$2),0,IF($K77=0,IF(AND($I77&gt;=W$3,$I77&lt;=W$2),$E77,0),$E77*NETWORKDAYS(MAX($I77,W$3),MIN($J77,W$2),Data!$K$4:$K$203)/$K77)))</f>
        <v>0</v>
      </c>
      <c r="X77" s="166">
        <f>IF(OR($I77="",$E77=0),0,IF(OR($J77&lt;X$3,$I77&gt;X$2),0,IF($K77=0,IF(AND($I77&gt;=X$3,$I77&lt;=X$2),$E77,0),$E77*NETWORKDAYS(MAX($I77,X$3),MIN($J77,X$2),Data!$K$4:$K$203)/$K77)))</f>
        <v>0</v>
      </c>
      <c r="Y77" s="166">
        <f>IF(OR($I77="",$E77=0),0,IF(OR($J77&lt;Y$3,$I77&gt;Y$2),0,IF($K77=0,IF(AND($I77&gt;=Y$3,$I77&lt;=Y$2),$E77,0),$E77*NETWORKDAYS(MAX($I77,Y$3),MIN($J77,Y$2),Data!$K$4:$K$203)/$K77)))</f>
        <v>0</v>
      </c>
      <c r="Z77" s="166">
        <f>IF(OR($I77="",$E77=0),0,IF(OR($J77&lt;Z$3,$I77&gt;Z$2),0,IF($K77=0,IF(AND($I77&gt;=Z$3,$I77&lt;=Z$2),$E77,0),$E77*NETWORKDAYS(MAX($I77,Z$3),MIN($J77,Z$2),Data!$K$4:$K$203)/$K77)))</f>
        <v>0</v>
      </c>
      <c r="AA77" s="166">
        <f>IF(OR($I77="",$E77=0),0,IF(OR($J77&lt;AA$3,$I77&gt;AA$2),0,IF($K77=0,IF(AND($I77&gt;=AA$3,$I77&lt;=AA$2),$E77,0),$E77*NETWORKDAYS(MAX($I77,AA$3),MIN($J77,AA$2),Data!$K$4:$K$203)/$K77)))</f>
        <v>0</v>
      </c>
      <c r="AB77" s="166">
        <f>IF(OR($I77="",$E77=0),0,IF(OR($J77&lt;AB$3,$I77&gt;AB$2),0,IF($K77=0,IF(AND($I77&gt;=AB$3,$I77&lt;=AB$2),$E77,0),$E77*NETWORKDAYS(MAX($I77,AB$3),MIN($J77,AB$2),Data!$K$4:$K$203)/$K77)))</f>
        <v>0</v>
      </c>
      <c r="AC77" s="166">
        <f>IF(OR($I77="",$E77=0),0,IF(OR($J77&lt;AC$3,$I77&gt;AC$2),0,IF($K77=0,IF(AND($I77&gt;=AC$3,$I77&lt;=AC$2),$E77,0),$E77*NETWORKDAYS(MAX($I77,AC$3),MIN($J77,AC$2),Data!$K$4:$K$203)/$K77)))</f>
        <v>0</v>
      </c>
      <c r="AD77" s="166">
        <f>IF(OR($I77="",$E77=0),0,IF(OR($J77&lt;AD$3,$I77&gt;AD$2),0,IF($K77=0,IF(AND($I77&gt;=AD$3,$I77&lt;=AD$2),$E77,0),$E77*NETWORKDAYS(MAX($I77,AD$3),MIN($J77,AD$2),Data!$K$4:$K$203)/$K77)))</f>
        <v>0</v>
      </c>
      <c r="AE77" s="166">
        <f>IF(OR($I77="",$E77=0),0,IF(OR($J77&lt;AE$3,$I77&gt;AE$2),0,IF($K77=0,IF(AND($I77&gt;=AE$3,$I77&lt;=AE$2),$E77,0),$E77*NETWORKDAYS(MAX($I77,AE$3),MIN($J77,AE$2),Data!$K$4:$K$203)/$K77)))</f>
        <v>0</v>
      </c>
      <c r="AF77" s="166">
        <f>IF(OR($I77="",$E77=0),0,IF(OR($J77&lt;AF$3,$I77&gt;AF$2),0,IF($K77=0,IF(AND($I77&gt;=AF$3,$I77&lt;=AF$2),$E77,0),$E77*NETWORKDAYS(MAX($I77,AF$3),MIN($J77,AF$2),Data!$K$4:$K$203)/$K77)))</f>
        <v>0</v>
      </c>
      <c r="AG77" s="166">
        <f>IF(OR($I77="",$E77=0),0,IF(OR($J77&lt;AG$3,$I77&gt;AG$2),0,IF($K77=0,IF(AND($I77&gt;=AG$3,$I77&lt;=AG$2),$E77,0),$E77*NETWORKDAYS(MAX($I77,AG$3),MIN($J77,AG$2),Data!$K$4:$K$203)/$K77)))</f>
        <v>0</v>
      </c>
      <c r="AH77" s="166">
        <f>IF(OR($I77="",$E77=0),0,IF(OR($J77&lt;AH$3,$I77&gt;AH$2),0,IF($K77=0,IF(AND($I77&gt;=AH$3,$I77&lt;=AH$2),$E77,0),$E77*NETWORKDAYS(MAX($I77,AH$3),MIN($J77,AH$2),Data!$K$4:$K$203)/$K77)))</f>
        <v>0</v>
      </c>
      <c r="AI77" s="166">
        <f>SUM(W77:AH77)</f>
        <v>0</v>
      </c>
      <c r="BW77" t="n">
        <v>74</v>
      </c>
      <c r="BX77" t="str">
        <f>IFERROR(MATCH(BW77,$EQ$4:$EQ$503,0),"")</f>
        <v/>
      </c>
      <c r="BZ77" t="str">
        <f>IF(D77=1,IF(TRIM(INDEX(Charge!$K:$K,ROW()))&lt;&gt;"",TRIM(INDEX(Charge!$K:$K,ROW())),IF(TRIM(INDEX(Charge!$L:$L,ROW()))&lt;&gt;"",TRIM(INDEX(Charge!$L:$L,ROW())),"(non affecté)")),"")</f>
        <v/>
      </c>
      <c r="CA77" t="str">
        <f>IF(AND($CD$4&lt;&gt;"",BZ77=$CD$4),COUNTIFS($BZ$4:$BZ$503,$CD$4,$L$4:$L$503,"&lt;"&amp;L77)+1,"")</f>
        <v/>
      </c>
      <c r="EJ77" t="str">
        <f>TRIM(INDEX(Data!$E:$E,ROW()))</f>
        <v/>
      </c>
      <c r="EK77" t="str">
        <f>TRIM(INDEX(Data!$H:$H,ROW()))</f>
        <v/>
      </c>
      <c r="EM77" t="str">
        <f>IF(D77=1,IF(TRIM(INDEX(Charge!$K:$K,ROW()))&lt;&gt;"","Interne",IF(TRIM(INDEX(Charge!$L:$L,ROW()))&lt;&gt;"","Externe","Non affecté")),"")</f>
        <v/>
      </c>
      <c r="EN77" t="str">
        <f>IF(D77=1,LEFT(SUBSTITUTE(SUBSTITUTE(SUBSTITUTE(TRIM(SUBSTITUTE(INDEX(Charge!$B:$B,ROW()),CHAR(160)," "))&amp;" | "&amp;TRIM(SUBSTITUTE(INDEX(Charge!$C:$C,ROW()),CHAR(160)," "))&amp;" | "&amp;TRIM(SUBSTITUTE(INDEX(Charge!$D:$D,ROW()),CHAR(160)," ")),"~","-"),"*","+"),"?","!"),240),"")</f>
        <v/>
      </c>
      <c r="EO77">
        <f>IF(EN77="",0,IF(COUNTIF($EN$4:EN77,EN77)=1,1,0))</f>
        <v>0</v>
      </c>
      <c r="EP77" s="166" t="str">
        <f>IF(EO77=1,ROUND(SUMIF($EN$4:$EN$503,EN77,$E$4:$E$503),2),"")</f>
        <v/>
      </c>
      <c r="EQ77" t="str">
        <f>IF(EO77=1,COUNTIFS($EO$4:$EO$503,1,$EP$4:$EP$503,"&gt;"&amp;EP77)+COUNTIFS($EO$4:EO77,1,$EP$4:EP77,EP77),"")</f>
        <v/>
      </c>
      <c r="ER77" t="str">
        <f>IF(EO77=1,COUNTIFS($EN$4:$EN$503,EN77,$EM$4:$EM$503,"Interne",$FE$4:$FE$503,1),"")</f>
        <v/>
      </c>
      <c r="ES77" t="str">
        <f>IF(EO77=1,COUNTIFS($EN$4:$EN$503,EN77,$EM$4:$EM$503,"Externe",$FE$4:$FE$503,1),"")</f>
        <v/>
      </c>
      <c r="ET77" t="str">
        <f>IF(EO77=1,IF(ER77+ES77=0,"à affecter",IF(ER77=0,ES77&amp;" ext.",(ER77+ES77)&amp;IF(ES77&gt;0," dont "&amp;ES77&amp;" ext.",""))&amp;IF(COUNTIFS($EN$4:$EN$503,EN77,$EM$4:$EM$503,"Non affecté")&gt;0," + à affecter","")),"")</f>
        <v/>
      </c>
      <c r="EU77" s="170" t="str">
        <f>IF(EO77=1,IF(EP77&gt;0,SUMPRODUCT(($EN$4:$EN$503=EN77)*$E$4:$E$503*$C$4:$C$503)/EP77,AVERAGEIF($EN$4:$EN$503,EN77,$C$4:$C$503)),"")</f>
        <v/>
      </c>
      <c r="EV77" s="165">
        <f>IF(ISNUMBER(I77),I77,2958465)</f>
        <v>2958465.0</v>
      </c>
      <c r="EW77" s="165" t="str">
        <f>IF(EO77=1,SUMPRODUCT(MIN(($EN$4:$EN$503=EN77)*$EV$4:$EV$503+($EN$4:$EN$503&lt;&gt;EN77)*2958465)),"")</f>
        <v/>
      </c>
      <c r="EX77" s="165">
        <f>IF(AND(D77=1,ISNUMBER(INDEX(Charge!$F:$F,ROW()))),INDEX(Charge!$F:$F,ROW()),0)</f>
        <v>0.0</v>
      </c>
      <c r="EY77" s="165" t="str">
        <f>IF(EO77=1,SUMPRODUCT(MAX(($EN$4:$EN$503=EN77)*$EX$4:$EX$503)),"")</f>
        <v/>
      </c>
      <c r="FA77" t="str">
        <f>IF(74&lt;=$CD$23,INDEX($EJ$4:$EJ$203,74),IF(74-$CD$23&lt;=$CD$26,INDEX($EK$4:$EK$203,74-$CD$23),""))</f>
        <v/>
      </c>
      <c r="FB77" t="str">
        <f>IF(FA77="","",IF(74&lt;=$CD$23,"Interne","Externe"))</f>
        <v/>
      </c>
      <c r="FD77">
        <f>IF(AND(B77=1,TRIM(INDEX(Charge!$K:$K,ROW()))&lt;&gt;"",TRIM(INDEX(Charge!$L:$L,ROW()))&lt;&gt;""),1,0)</f>
        <v>0</v>
      </c>
      <c r="FE77">
        <f>IF(OR(EN77="",BZ77="(non affecté)"),0,IF(COUNTIFS($EN$4:EN77,EN77,$BZ$4:BZ77,BZ77)=1,1,0))</f>
        <v>0</v>
      </c>
    </row>
    <row r="78">
      <c r="A78">
        <f>ROW()</f>
        <v>78</v>
      </c>
      <c r="B78">
        <f>IF(TRIM(INDEX(Charge!$B:$B,ROW()))&lt;&gt;"",1,0)</f>
        <v>0</v>
      </c>
      <c r="C78">
        <f>IF(B78=1,MIN(1,MAX(0,N(INDEX(Charge!$O:$O,ROW())))),0)</f>
        <v>0</v>
      </c>
      <c r="D78">
        <f>IF(B78=1,IF(OR(p_Perimetre="Tous les projets",C78&lt;1),1,0),0)</f>
        <v>0</v>
      </c>
      <c r="E78">
        <f>IF(D78=1,MAX(0,N(INDEX(Charge!$M:$M,ROW()))),0)</f>
        <v>0</v>
      </c>
      <c r="F78" t="str">
        <f>IF(D78=1,IF(TRIM(INDEX(Charge!$A:$A,ROW()))="","(non renseigné)",TRIM(INDEX(Charge!$A:$A,ROW()))),"")</f>
        <v/>
      </c>
      <c r="G78" t="str">
        <f>IF(D78=1,TRIM(INDEX(Charge!$B:$B,ROW())),"")</f>
        <v/>
      </c>
      <c r="H78" t="str">
        <f>IF(D78=1,IF(TRIM(INDEX(Charge!$E:$E,ROW()))="","(non renseigné)",TRIM(INDEX(Charge!$E:$E,ROW()))),"")</f>
        <v/>
      </c>
      <c r="I78" s="165" t="str">
        <f>IF(AND(D78=1,ISNUMBER(INDEX(Charge!$N:$N,ROW()))),INDEX(Charge!$N:$N,ROW()),"")</f>
        <v/>
      </c>
      <c r="J78" s="165" t="str">
        <f>IF(I78="","",IF(AND(p_Repartition="Lissée jusqu'à la date de besoin",ISNUMBER(INDEX(Charge!$F:$F,ROW()))),IF(INDEX(Charge!$F:$F,ROW())&gt;=I78,INDEX(Charge!$F:$F,ROW()),I78),I78))</f>
        <v/>
      </c>
      <c r="K78" t="str">
        <f>IF(I78="","",NETWORKDAYS(I78,J78,Data!$K$4:$K$203))</f>
        <v/>
      </c>
      <c r="L78" t="str">
        <f>IF(D78=1,COUNTIFS($D$4:$D$503,1,$E$4:$E$503,"&gt;"&amp;E78)+COUNTIFS($D$4:$D78,1,$E$4:$E78,E78),"")</f>
        <v/>
      </c>
      <c r="M78">
        <f>IF(F78="",0,IF(COUNTIF($F$4:F78,F78)=1,1,0))</f>
        <v>0</v>
      </c>
      <c r="N78" t="str">
        <f>IF(M78=1,ROUND(SUMIF($F$4:$F$503,F78,$E$4:$E$503),2),"")</f>
        <v/>
      </c>
      <c r="O78" t="str">
        <f>IF(M78=1,COUNTIFS($M$4:$M$503,1,$N$4:$N$503,"&gt;"&amp;N78)+COUNTIFS($M$4:M78,1,$N$4:N78,N78),"")</f>
        <v/>
      </c>
      <c r="P78">
        <f>IF(G78="",0,IF(COUNTIF($G$4:G78,G78)=1,1,0))</f>
        <v>0</v>
      </c>
      <c r="Q78" t="str">
        <f>IF(P78=1,ROUND(SUMIF($G$4:$G$503,G78,$E$4:$E$503),2),"")</f>
        <v/>
      </c>
      <c r="R78" t="str">
        <f>IF(P78=1,COUNTIFS($P$4:$P$503,1,$Q$4:$Q$503,"&gt;"&amp;Q78)+COUNTIFS($P$4:P78,1,$Q$4:Q78,Q78),"")</f>
        <v/>
      </c>
      <c r="S78">
        <f>IF(H78="",0,IF(COUNTIF($H$4:H78,H78)=1,1,0))</f>
        <v>0</v>
      </c>
      <c r="T78" t="str">
        <f>IF(S78=1,ROUND(SUMIF($H$4:$H$503,H78,$E$4:$E$503),2),"")</f>
        <v/>
      </c>
      <c r="U78" t="str">
        <f>IF(S78=1,COUNTIFS($S$4:$S$503,1,$T$4:$T$503,"&gt;"&amp;T78)+COUNTIFS($S$4:S78,1,$T$4:T78,T78),"")</f>
        <v/>
      </c>
      <c r="V78" t="str">
        <f>IF(D78=1,MIN(INDEX($R$4:$R$503,MATCH(G78,$G$4:$G$503,0)),IF($AL$7&gt;9,9,999)),"")</f>
        <v/>
      </c>
      <c r="W78" s="166">
        <f>IF(OR($I78="",$E78=0),0,IF(OR($J78&lt;W$3,$I78&gt;W$2),0,IF($K78=0,IF(AND($I78&gt;=W$3,$I78&lt;=W$2),$E78,0),$E78*NETWORKDAYS(MAX($I78,W$3),MIN($J78,W$2),Data!$K$4:$K$203)/$K78)))</f>
        <v>0</v>
      </c>
      <c r="X78" s="166">
        <f>IF(OR($I78="",$E78=0),0,IF(OR($J78&lt;X$3,$I78&gt;X$2),0,IF($K78=0,IF(AND($I78&gt;=X$3,$I78&lt;=X$2),$E78,0),$E78*NETWORKDAYS(MAX($I78,X$3),MIN($J78,X$2),Data!$K$4:$K$203)/$K78)))</f>
        <v>0</v>
      </c>
      <c r="Y78" s="166">
        <f>IF(OR($I78="",$E78=0),0,IF(OR($J78&lt;Y$3,$I78&gt;Y$2),0,IF($K78=0,IF(AND($I78&gt;=Y$3,$I78&lt;=Y$2),$E78,0),$E78*NETWORKDAYS(MAX($I78,Y$3),MIN($J78,Y$2),Data!$K$4:$K$203)/$K78)))</f>
        <v>0</v>
      </c>
      <c r="Z78" s="166">
        <f>IF(OR($I78="",$E78=0),0,IF(OR($J78&lt;Z$3,$I78&gt;Z$2),0,IF($K78=0,IF(AND($I78&gt;=Z$3,$I78&lt;=Z$2),$E78,0),$E78*NETWORKDAYS(MAX($I78,Z$3),MIN($J78,Z$2),Data!$K$4:$K$203)/$K78)))</f>
        <v>0</v>
      </c>
      <c r="AA78" s="166">
        <f>IF(OR($I78="",$E78=0),0,IF(OR($J78&lt;AA$3,$I78&gt;AA$2),0,IF($K78=0,IF(AND($I78&gt;=AA$3,$I78&lt;=AA$2),$E78,0),$E78*NETWORKDAYS(MAX($I78,AA$3),MIN($J78,AA$2),Data!$K$4:$K$203)/$K78)))</f>
        <v>0</v>
      </c>
      <c r="AB78" s="166">
        <f>IF(OR($I78="",$E78=0),0,IF(OR($J78&lt;AB$3,$I78&gt;AB$2),0,IF($K78=0,IF(AND($I78&gt;=AB$3,$I78&lt;=AB$2),$E78,0),$E78*NETWORKDAYS(MAX($I78,AB$3),MIN($J78,AB$2),Data!$K$4:$K$203)/$K78)))</f>
        <v>0</v>
      </c>
      <c r="AC78" s="166">
        <f>IF(OR($I78="",$E78=0),0,IF(OR($J78&lt;AC$3,$I78&gt;AC$2),0,IF($K78=0,IF(AND($I78&gt;=AC$3,$I78&lt;=AC$2),$E78,0),$E78*NETWORKDAYS(MAX($I78,AC$3),MIN($J78,AC$2),Data!$K$4:$K$203)/$K78)))</f>
        <v>0</v>
      </c>
      <c r="AD78" s="166">
        <f>IF(OR($I78="",$E78=0),0,IF(OR($J78&lt;AD$3,$I78&gt;AD$2),0,IF($K78=0,IF(AND($I78&gt;=AD$3,$I78&lt;=AD$2),$E78,0),$E78*NETWORKDAYS(MAX($I78,AD$3),MIN($J78,AD$2),Data!$K$4:$K$203)/$K78)))</f>
        <v>0</v>
      </c>
      <c r="AE78" s="166">
        <f>IF(OR($I78="",$E78=0),0,IF(OR($J78&lt;AE$3,$I78&gt;AE$2),0,IF($K78=0,IF(AND($I78&gt;=AE$3,$I78&lt;=AE$2),$E78,0),$E78*NETWORKDAYS(MAX($I78,AE$3),MIN($J78,AE$2),Data!$K$4:$K$203)/$K78)))</f>
        <v>0</v>
      </c>
      <c r="AF78" s="166">
        <f>IF(OR($I78="",$E78=0),0,IF(OR($J78&lt;AF$3,$I78&gt;AF$2),0,IF($K78=0,IF(AND($I78&gt;=AF$3,$I78&lt;=AF$2),$E78,0),$E78*NETWORKDAYS(MAX($I78,AF$3),MIN($J78,AF$2),Data!$K$4:$K$203)/$K78)))</f>
        <v>0</v>
      </c>
      <c r="AG78" s="166">
        <f>IF(OR($I78="",$E78=0),0,IF(OR($J78&lt;AG$3,$I78&gt;AG$2),0,IF($K78=0,IF(AND($I78&gt;=AG$3,$I78&lt;=AG$2),$E78,0),$E78*NETWORKDAYS(MAX($I78,AG$3),MIN($J78,AG$2),Data!$K$4:$K$203)/$K78)))</f>
        <v>0</v>
      </c>
      <c r="AH78" s="166">
        <f>IF(OR($I78="",$E78=0),0,IF(OR($J78&lt;AH$3,$I78&gt;AH$2),0,IF($K78=0,IF(AND($I78&gt;=AH$3,$I78&lt;=AH$2),$E78,0),$E78*NETWORKDAYS(MAX($I78,AH$3),MIN($J78,AH$2),Data!$K$4:$K$203)/$K78)))</f>
        <v>0</v>
      </c>
      <c r="AI78" s="166">
        <f>SUM(W78:AH78)</f>
        <v>0</v>
      </c>
      <c r="BW78" t="n">
        <v>75</v>
      </c>
      <c r="BX78" t="str">
        <f>IFERROR(MATCH(BW78,$EQ$4:$EQ$503,0),"")</f>
        <v/>
      </c>
      <c r="BZ78" t="str">
        <f>IF(D78=1,IF(TRIM(INDEX(Charge!$K:$K,ROW()))&lt;&gt;"",TRIM(INDEX(Charge!$K:$K,ROW())),IF(TRIM(INDEX(Charge!$L:$L,ROW()))&lt;&gt;"",TRIM(INDEX(Charge!$L:$L,ROW())),"(non affecté)")),"")</f>
        <v/>
      </c>
      <c r="CA78" t="str">
        <f>IF(AND($CD$4&lt;&gt;"",BZ78=$CD$4),COUNTIFS($BZ$4:$BZ$503,$CD$4,$L$4:$L$503,"&lt;"&amp;L78)+1,"")</f>
        <v/>
      </c>
      <c r="EJ78" t="str">
        <f>TRIM(INDEX(Data!$E:$E,ROW()))</f>
        <v/>
      </c>
      <c r="EK78" t="str">
        <f>TRIM(INDEX(Data!$H:$H,ROW()))</f>
        <v/>
      </c>
      <c r="EM78" t="str">
        <f>IF(D78=1,IF(TRIM(INDEX(Charge!$K:$K,ROW()))&lt;&gt;"","Interne",IF(TRIM(INDEX(Charge!$L:$L,ROW()))&lt;&gt;"","Externe","Non affecté")),"")</f>
        <v/>
      </c>
      <c r="EN78" t="str">
        <f>IF(D78=1,LEFT(SUBSTITUTE(SUBSTITUTE(SUBSTITUTE(TRIM(SUBSTITUTE(INDEX(Charge!$B:$B,ROW()),CHAR(160)," "))&amp;" | "&amp;TRIM(SUBSTITUTE(INDEX(Charge!$C:$C,ROW()),CHAR(160)," "))&amp;" | "&amp;TRIM(SUBSTITUTE(INDEX(Charge!$D:$D,ROW()),CHAR(160)," ")),"~","-"),"*","+"),"?","!"),240),"")</f>
        <v/>
      </c>
      <c r="EO78">
        <f>IF(EN78="",0,IF(COUNTIF($EN$4:EN78,EN78)=1,1,0))</f>
        <v>0</v>
      </c>
      <c r="EP78" s="166" t="str">
        <f>IF(EO78=1,ROUND(SUMIF($EN$4:$EN$503,EN78,$E$4:$E$503),2),"")</f>
        <v/>
      </c>
      <c r="EQ78" t="str">
        <f>IF(EO78=1,COUNTIFS($EO$4:$EO$503,1,$EP$4:$EP$503,"&gt;"&amp;EP78)+COUNTIFS($EO$4:EO78,1,$EP$4:EP78,EP78),"")</f>
        <v/>
      </c>
      <c r="ER78" t="str">
        <f>IF(EO78=1,COUNTIFS($EN$4:$EN$503,EN78,$EM$4:$EM$503,"Interne",$FE$4:$FE$503,1),"")</f>
        <v/>
      </c>
      <c r="ES78" t="str">
        <f>IF(EO78=1,COUNTIFS($EN$4:$EN$503,EN78,$EM$4:$EM$503,"Externe",$FE$4:$FE$503,1),"")</f>
        <v/>
      </c>
      <c r="ET78" t="str">
        <f>IF(EO78=1,IF(ER78+ES78=0,"à affecter",IF(ER78=0,ES78&amp;" ext.",(ER78+ES78)&amp;IF(ES78&gt;0," dont "&amp;ES78&amp;" ext.",""))&amp;IF(COUNTIFS($EN$4:$EN$503,EN78,$EM$4:$EM$503,"Non affecté")&gt;0," + à affecter","")),"")</f>
        <v/>
      </c>
      <c r="EU78" s="170" t="str">
        <f>IF(EO78=1,IF(EP78&gt;0,SUMPRODUCT(($EN$4:$EN$503=EN78)*$E$4:$E$503*$C$4:$C$503)/EP78,AVERAGEIF($EN$4:$EN$503,EN78,$C$4:$C$503)),"")</f>
        <v/>
      </c>
      <c r="EV78" s="165">
        <f>IF(ISNUMBER(I78),I78,2958465)</f>
        <v>2958465.0</v>
      </c>
      <c r="EW78" s="165" t="str">
        <f>IF(EO78=1,SUMPRODUCT(MIN(($EN$4:$EN$503=EN78)*$EV$4:$EV$503+($EN$4:$EN$503&lt;&gt;EN78)*2958465)),"")</f>
        <v/>
      </c>
      <c r="EX78" s="165">
        <f>IF(AND(D78=1,ISNUMBER(INDEX(Charge!$F:$F,ROW()))),INDEX(Charge!$F:$F,ROW()),0)</f>
        <v>0.0</v>
      </c>
      <c r="EY78" s="165" t="str">
        <f>IF(EO78=1,SUMPRODUCT(MAX(($EN$4:$EN$503=EN78)*$EX$4:$EX$503)),"")</f>
        <v/>
      </c>
      <c r="FA78" t="str">
        <f>IF(75&lt;=$CD$23,INDEX($EJ$4:$EJ$203,75),IF(75-$CD$23&lt;=$CD$26,INDEX($EK$4:$EK$203,75-$CD$23),""))</f>
        <v/>
      </c>
      <c r="FB78" t="str">
        <f>IF(FA78="","",IF(75&lt;=$CD$23,"Interne","Externe"))</f>
        <v/>
      </c>
      <c r="FD78">
        <f>IF(AND(B78=1,TRIM(INDEX(Charge!$K:$K,ROW()))&lt;&gt;"",TRIM(INDEX(Charge!$L:$L,ROW()))&lt;&gt;""),1,0)</f>
        <v>0</v>
      </c>
      <c r="FE78">
        <f>IF(OR(EN78="",BZ78="(non affecté)"),0,IF(COUNTIFS($EN$4:EN78,EN78,$BZ$4:BZ78,BZ78)=1,1,0))</f>
        <v>0</v>
      </c>
    </row>
    <row r="79">
      <c r="A79">
        <f>ROW()</f>
        <v>79</v>
      </c>
      <c r="B79">
        <f>IF(TRIM(INDEX(Charge!$B:$B,ROW()))&lt;&gt;"",1,0)</f>
        <v>0</v>
      </c>
      <c r="C79">
        <f>IF(B79=1,MIN(1,MAX(0,N(INDEX(Charge!$O:$O,ROW())))),0)</f>
        <v>0</v>
      </c>
      <c r="D79">
        <f>IF(B79=1,IF(OR(p_Perimetre="Tous les projets",C79&lt;1),1,0),0)</f>
        <v>0</v>
      </c>
      <c r="E79">
        <f>IF(D79=1,MAX(0,N(INDEX(Charge!$M:$M,ROW()))),0)</f>
        <v>0</v>
      </c>
      <c r="F79" t="str">
        <f>IF(D79=1,IF(TRIM(INDEX(Charge!$A:$A,ROW()))="","(non renseigné)",TRIM(INDEX(Charge!$A:$A,ROW()))),"")</f>
        <v/>
      </c>
      <c r="G79" t="str">
        <f>IF(D79=1,TRIM(INDEX(Charge!$B:$B,ROW())),"")</f>
        <v/>
      </c>
      <c r="H79" t="str">
        <f>IF(D79=1,IF(TRIM(INDEX(Charge!$E:$E,ROW()))="","(non renseigné)",TRIM(INDEX(Charge!$E:$E,ROW()))),"")</f>
        <v/>
      </c>
      <c r="I79" s="165" t="str">
        <f>IF(AND(D79=1,ISNUMBER(INDEX(Charge!$N:$N,ROW()))),INDEX(Charge!$N:$N,ROW()),"")</f>
        <v/>
      </c>
      <c r="J79" s="165" t="str">
        <f>IF(I79="","",IF(AND(p_Repartition="Lissée jusqu'à la date de besoin",ISNUMBER(INDEX(Charge!$F:$F,ROW()))),IF(INDEX(Charge!$F:$F,ROW())&gt;=I79,INDEX(Charge!$F:$F,ROW()),I79),I79))</f>
        <v/>
      </c>
      <c r="K79" t="str">
        <f>IF(I79="","",NETWORKDAYS(I79,J79,Data!$K$4:$K$203))</f>
        <v/>
      </c>
      <c r="L79" t="str">
        <f>IF(D79=1,COUNTIFS($D$4:$D$503,1,$E$4:$E$503,"&gt;"&amp;E79)+COUNTIFS($D$4:$D79,1,$E$4:$E79,E79),"")</f>
        <v/>
      </c>
      <c r="M79">
        <f>IF(F79="",0,IF(COUNTIF($F$4:F79,F79)=1,1,0))</f>
        <v>0</v>
      </c>
      <c r="N79" t="str">
        <f>IF(M79=1,ROUND(SUMIF($F$4:$F$503,F79,$E$4:$E$503),2),"")</f>
        <v/>
      </c>
      <c r="O79" t="str">
        <f>IF(M79=1,COUNTIFS($M$4:$M$503,1,$N$4:$N$503,"&gt;"&amp;N79)+COUNTIFS($M$4:M79,1,$N$4:N79,N79),"")</f>
        <v/>
      </c>
      <c r="P79">
        <f>IF(G79="",0,IF(COUNTIF($G$4:G79,G79)=1,1,0))</f>
        <v>0</v>
      </c>
      <c r="Q79" t="str">
        <f>IF(P79=1,ROUND(SUMIF($G$4:$G$503,G79,$E$4:$E$503),2),"")</f>
        <v/>
      </c>
      <c r="R79" t="str">
        <f>IF(P79=1,COUNTIFS($P$4:$P$503,1,$Q$4:$Q$503,"&gt;"&amp;Q79)+COUNTIFS($P$4:P79,1,$Q$4:Q79,Q79),"")</f>
        <v/>
      </c>
      <c r="S79">
        <f>IF(H79="",0,IF(COUNTIF($H$4:H79,H79)=1,1,0))</f>
        <v>0</v>
      </c>
      <c r="T79" t="str">
        <f>IF(S79=1,ROUND(SUMIF($H$4:$H$503,H79,$E$4:$E$503),2),"")</f>
        <v/>
      </c>
      <c r="U79" t="str">
        <f>IF(S79=1,COUNTIFS($S$4:$S$503,1,$T$4:$T$503,"&gt;"&amp;T79)+COUNTIFS($S$4:S79,1,$T$4:T79,T79),"")</f>
        <v/>
      </c>
      <c r="V79" t="str">
        <f>IF(D79=1,MIN(INDEX($R$4:$R$503,MATCH(G79,$G$4:$G$503,0)),IF($AL$7&gt;9,9,999)),"")</f>
        <v/>
      </c>
      <c r="W79" s="166">
        <f>IF(OR($I79="",$E79=0),0,IF(OR($J79&lt;W$3,$I79&gt;W$2),0,IF($K79=0,IF(AND($I79&gt;=W$3,$I79&lt;=W$2),$E79,0),$E79*NETWORKDAYS(MAX($I79,W$3),MIN($J79,W$2),Data!$K$4:$K$203)/$K79)))</f>
        <v>0</v>
      </c>
      <c r="X79" s="166">
        <f>IF(OR($I79="",$E79=0),0,IF(OR($J79&lt;X$3,$I79&gt;X$2),0,IF($K79=0,IF(AND($I79&gt;=X$3,$I79&lt;=X$2),$E79,0),$E79*NETWORKDAYS(MAX($I79,X$3),MIN($J79,X$2),Data!$K$4:$K$203)/$K79)))</f>
        <v>0</v>
      </c>
      <c r="Y79" s="166">
        <f>IF(OR($I79="",$E79=0),0,IF(OR($J79&lt;Y$3,$I79&gt;Y$2),0,IF($K79=0,IF(AND($I79&gt;=Y$3,$I79&lt;=Y$2),$E79,0),$E79*NETWORKDAYS(MAX($I79,Y$3),MIN($J79,Y$2),Data!$K$4:$K$203)/$K79)))</f>
        <v>0</v>
      </c>
      <c r="Z79" s="166">
        <f>IF(OR($I79="",$E79=0),0,IF(OR($J79&lt;Z$3,$I79&gt;Z$2),0,IF($K79=0,IF(AND($I79&gt;=Z$3,$I79&lt;=Z$2),$E79,0),$E79*NETWORKDAYS(MAX($I79,Z$3),MIN($J79,Z$2),Data!$K$4:$K$203)/$K79)))</f>
        <v>0</v>
      </c>
      <c r="AA79" s="166">
        <f>IF(OR($I79="",$E79=0),0,IF(OR($J79&lt;AA$3,$I79&gt;AA$2),0,IF($K79=0,IF(AND($I79&gt;=AA$3,$I79&lt;=AA$2),$E79,0),$E79*NETWORKDAYS(MAX($I79,AA$3),MIN($J79,AA$2),Data!$K$4:$K$203)/$K79)))</f>
        <v>0</v>
      </c>
      <c r="AB79" s="166">
        <f>IF(OR($I79="",$E79=0),0,IF(OR($J79&lt;AB$3,$I79&gt;AB$2),0,IF($K79=0,IF(AND($I79&gt;=AB$3,$I79&lt;=AB$2),$E79,0),$E79*NETWORKDAYS(MAX($I79,AB$3),MIN($J79,AB$2),Data!$K$4:$K$203)/$K79)))</f>
        <v>0</v>
      </c>
      <c r="AC79" s="166">
        <f>IF(OR($I79="",$E79=0),0,IF(OR($J79&lt;AC$3,$I79&gt;AC$2),0,IF($K79=0,IF(AND($I79&gt;=AC$3,$I79&lt;=AC$2),$E79,0),$E79*NETWORKDAYS(MAX($I79,AC$3),MIN($J79,AC$2),Data!$K$4:$K$203)/$K79)))</f>
        <v>0</v>
      </c>
      <c r="AD79" s="166">
        <f>IF(OR($I79="",$E79=0),0,IF(OR($J79&lt;AD$3,$I79&gt;AD$2),0,IF($K79=0,IF(AND($I79&gt;=AD$3,$I79&lt;=AD$2),$E79,0),$E79*NETWORKDAYS(MAX($I79,AD$3),MIN($J79,AD$2),Data!$K$4:$K$203)/$K79)))</f>
        <v>0</v>
      </c>
      <c r="AE79" s="166">
        <f>IF(OR($I79="",$E79=0),0,IF(OR($J79&lt;AE$3,$I79&gt;AE$2),0,IF($K79=0,IF(AND($I79&gt;=AE$3,$I79&lt;=AE$2),$E79,0),$E79*NETWORKDAYS(MAX($I79,AE$3),MIN($J79,AE$2),Data!$K$4:$K$203)/$K79)))</f>
        <v>0</v>
      </c>
      <c r="AF79" s="166">
        <f>IF(OR($I79="",$E79=0),0,IF(OR($J79&lt;AF$3,$I79&gt;AF$2),0,IF($K79=0,IF(AND($I79&gt;=AF$3,$I79&lt;=AF$2),$E79,0),$E79*NETWORKDAYS(MAX($I79,AF$3),MIN($J79,AF$2),Data!$K$4:$K$203)/$K79)))</f>
        <v>0</v>
      </c>
      <c r="AG79" s="166">
        <f>IF(OR($I79="",$E79=0),0,IF(OR($J79&lt;AG$3,$I79&gt;AG$2),0,IF($K79=0,IF(AND($I79&gt;=AG$3,$I79&lt;=AG$2),$E79,0),$E79*NETWORKDAYS(MAX($I79,AG$3),MIN($J79,AG$2),Data!$K$4:$K$203)/$K79)))</f>
        <v>0</v>
      </c>
      <c r="AH79" s="166">
        <f>IF(OR($I79="",$E79=0),0,IF(OR($J79&lt;AH$3,$I79&gt;AH$2),0,IF($K79=0,IF(AND($I79&gt;=AH$3,$I79&lt;=AH$2),$E79,0),$E79*NETWORKDAYS(MAX($I79,AH$3),MIN($J79,AH$2),Data!$K$4:$K$203)/$K79)))</f>
        <v>0</v>
      </c>
      <c r="AI79" s="166">
        <f>SUM(W79:AH79)</f>
        <v>0</v>
      </c>
      <c r="BW79" t="n">
        <v>76</v>
      </c>
      <c r="BX79" t="str">
        <f>IFERROR(MATCH(BW79,$EQ$4:$EQ$503,0),"")</f>
        <v/>
      </c>
      <c r="BZ79" t="str">
        <f>IF(D79=1,IF(TRIM(INDEX(Charge!$K:$K,ROW()))&lt;&gt;"",TRIM(INDEX(Charge!$K:$K,ROW())),IF(TRIM(INDEX(Charge!$L:$L,ROW()))&lt;&gt;"",TRIM(INDEX(Charge!$L:$L,ROW())),"(non affecté)")),"")</f>
        <v/>
      </c>
      <c r="CA79" t="str">
        <f>IF(AND($CD$4&lt;&gt;"",BZ79=$CD$4),COUNTIFS($BZ$4:$BZ$503,$CD$4,$L$4:$L$503,"&lt;"&amp;L79)+1,"")</f>
        <v/>
      </c>
      <c r="EJ79" t="str">
        <f>TRIM(INDEX(Data!$E:$E,ROW()))</f>
        <v/>
      </c>
      <c r="EK79" t="str">
        <f>TRIM(INDEX(Data!$H:$H,ROW()))</f>
        <v/>
      </c>
      <c r="EM79" t="str">
        <f>IF(D79=1,IF(TRIM(INDEX(Charge!$K:$K,ROW()))&lt;&gt;"","Interne",IF(TRIM(INDEX(Charge!$L:$L,ROW()))&lt;&gt;"","Externe","Non affecté")),"")</f>
        <v/>
      </c>
      <c r="EN79" t="str">
        <f>IF(D79=1,LEFT(SUBSTITUTE(SUBSTITUTE(SUBSTITUTE(TRIM(SUBSTITUTE(INDEX(Charge!$B:$B,ROW()),CHAR(160)," "))&amp;" | "&amp;TRIM(SUBSTITUTE(INDEX(Charge!$C:$C,ROW()),CHAR(160)," "))&amp;" | "&amp;TRIM(SUBSTITUTE(INDEX(Charge!$D:$D,ROW()),CHAR(160)," ")),"~","-"),"*","+"),"?","!"),240),"")</f>
        <v/>
      </c>
      <c r="EO79">
        <f>IF(EN79="",0,IF(COUNTIF($EN$4:EN79,EN79)=1,1,0))</f>
        <v>0</v>
      </c>
      <c r="EP79" s="166" t="str">
        <f>IF(EO79=1,ROUND(SUMIF($EN$4:$EN$503,EN79,$E$4:$E$503),2),"")</f>
        <v/>
      </c>
      <c r="EQ79" t="str">
        <f>IF(EO79=1,COUNTIFS($EO$4:$EO$503,1,$EP$4:$EP$503,"&gt;"&amp;EP79)+COUNTIFS($EO$4:EO79,1,$EP$4:EP79,EP79),"")</f>
        <v/>
      </c>
      <c r="ER79" t="str">
        <f>IF(EO79=1,COUNTIFS($EN$4:$EN$503,EN79,$EM$4:$EM$503,"Interne",$FE$4:$FE$503,1),"")</f>
        <v/>
      </c>
      <c r="ES79" t="str">
        <f>IF(EO79=1,COUNTIFS($EN$4:$EN$503,EN79,$EM$4:$EM$503,"Externe",$FE$4:$FE$503,1),"")</f>
        <v/>
      </c>
      <c r="ET79" t="str">
        <f>IF(EO79=1,IF(ER79+ES79=0,"à affecter",IF(ER79=0,ES79&amp;" ext.",(ER79+ES79)&amp;IF(ES79&gt;0," dont "&amp;ES79&amp;" ext.",""))&amp;IF(COUNTIFS($EN$4:$EN$503,EN79,$EM$4:$EM$503,"Non affecté")&gt;0," + à affecter","")),"")</f>
        <v/>
      </c>
      <c r="EU79" s="170" t="str">
        <f>IF(EO79=1,IF(EP79&gt;0,SUMPRODUCT(($EN$4:$EN$503=EN79)*$E$4:$E$503*$C$4:$C$503)/EP79,AVERAGEIF($EN$4:$EN$503,EN79,$C$4:$C$503)),"")</f>
        <v/>
      </c>
      <c r="EV79" s="165">
        <f>IF(ISNUMBER(I79),I79,2958465)</f>
        <v>2958465.0</v>
      </c>
      <c r="EW79" s="165" t="str">
        <f>IF(EO79=1,SUMPRODUCT(MIN(($EN$4:$EN$503=EN79)*$EV$4:$EV$503+($EN$4:$EN$503&lt;&gt;EN79)*2958465)),"")</f>
        <v/>
      </c>
      <c r="EX79" s="165">
        <f>IF(AND(D79=1,ISNUMBER(INDEX(Charge!$F:$F,ROW()))),INDEX(Charge!$F:$F,ROW()),0)</f>
        <v>0.0</v>
      </c>
      <c r="EY79" s="165" t="str">
        <f>IF(EO79=1,SUMPRODUCT(MAX(($EN$4:$EN$503=EN79)*$EX$4:$EX$503)),"")</f>
        <v/>
      </c>
      <c r="FA79" t="str">
        <f>IF(76&lt;=$CD$23,INDEX($EJ$4:$EJ$203,76),IF(76-$CD$23&lt;=$CD$26,INDEX($EK$4:$EK$203,76-$CD$23),""))</f>
        <v/>
      </c>
      <c r="FB79" t="str">
        <f>IF(FA79="","",IF(76&lt;=$CD$23,"Interne","Externe"))</f>
        <v/>
      </c>
      <c r="FD79">
        <f>IF(AND(B79=1,TRIM(INDEX(Charge!$K:$K,ROW()))&lt;&gt;"",TRIM(INDEX(Charge!$L:$L,ROW()))&lt;&gt;""),1,0)</f>
        <v>0</v>
      </c>
      <c r="FE79">
        <f>IF(OR(EN79="",BZ79="(non affecté)"),0,IF(COUNTIFS($EN$4:EN79,EN79,$BZ$4:BZ79,BZ79)=1,1,0))</f>
        <v>0</v>
      </c>
    </row>
    <row r="80">
      <c r="A80">
        <f>ROW()</f>
        <v>80</v>
      </c>
      <c r="B80">
        <f>IF(TRIM(INDEX(Charge!$B:$B,ROW()))&lt;&gt;"",1,0)</f>
        <v>0</v>
      </c>
      <c r="C80">
        <f>IF(B80=1,MIN(1,MAX(0,N(INDEX(Charge!$O:$O,ROW())))),0)</f>
        <v>0</v>
      </c>
      <c r="D80">
        <f>IF(B80=1,IF(OR(p_Perimetre="Tous les projets",C80&lt;1),1,0),0)</f>
        <v>0</v>
      </c>
      <c r="E80">
        <f>IF(D80=1,MAX(0,N(INDEX(Charge!$M:$M,ROW()))),0)</f>
        <v>0</v>
      </c>
      <c r="F80" t="str">
        <f>IF(D80=1,IF(TRIM(INDEX(Charge!$A:$A,ROW()))="","(non renseigné)",TRIM(INDEX(Charge!$A:$A,ROW()))),"")</f>
        <v/>
      </c>
      <c r="G80" t="str">
        <f>IF(D80=1,TRIM(INDEX(Charge!$B:$B,ROW())),"")</f>
        <v/>
      </c>
      <c r="H80" t="str">
        <f>IF(D80=1,IF(TRIM(INDEX(Charge!$E:$E,ROW()))="","(non renseigné)",TRIM(INDEX(Charge!$E:$E,ROW()))),"")</f>
        <v/>
      </c>
      <c r="I80" s="165" t="str">
        <f>IF(AND(D80=1,ISNUMBER(INDEX(Charge!$N:$N,ROW()))),INDEX(Charge!$N:$N,ROW()),"")</f>
        <v/>
      </c>
      <c r="J80" s="165" t="str">
        <f>IF(I80="","",IF(AND(p_Repartition="Lissée jusqu'à la date de besoin",ISNUMBER(INDEX(Charge!$F:$F,ROW()))),IF(INDEX(Charge!$F:$F,ROW())&gt;=I80,INDEX(Charge!$F:$F,ROW()),I80),I80))</f>
        <v/>
      </c>
      <c r="K80" t="str">
        <f>IF(I80="","",NETWORKDAYS(I80,J80,Data!$K$4:$K$203))</f>
        <v/>
      </c>
      <c r="L80" t="str">
        <f>IF(D80=1,COUNTIFS($D$4:$D$503,1,$E$4:$E$503,"&gt;"&amp;E80)+COUNTIFS($D$4:$D80,1,$E$4:$E80,E80),"")</f>
        <v/>
      </c>
      <c r="M80">
        <f>IF(F80="",0,IF(COUNTIF($F$4:F80,F80)=1,1,0))</f>
        <v>0</v>
      </c>
      <c r="N80" t="str">
        <f>IF(M80=1,ROUND(SUMIF($F$4:$F$503,F80,$E$4:$E$503),2),"")</f>
        <v/>
      </c>
      <c r="O80" t="str">
        <f>IF(M80=1,COUNTIFS($M$4:$M$503,1,$N$4:$N$503,"&gt;"&amp;N80)+COUNTIFS($M$4:M80,1,$N$4:N80,N80),"")</f>
        <v/>
      </c>
      <c r="P80">
        <f>IF(G80="",0,IF(COUNTIF($G$4:G80,G80)=1,1,0))</f>
        <v>0</v>
      </c>
      <c r="Q80" t="str">
        <f>IF(P80=1,ROUND(SUMIF($G$4:$G$503,G80,$E$4:$E$503),2),"")</f>
        <v/>
      </c>
      <c r="R80" t="str">
        <f>IF(P80=1,COUNTIFS($P$4:$P$503,1,$Q$4:$Q$503,"&gt;"&amp;Q80)+COUNTIFS($P$4:P80,1,$Q$4:Q80,Q80),"")</f>
        <v/>
      </c>
      <c r="S80">
        <f>IF(H80="",0,IF(COUNTIF($H$4:H80,H80)=1,1,0))</f>
        <v>0</v>
      </c>
      <c r="T80" t="str">
        <f>IF(S80=1,ROUND(SUMIF($H$4:$H$503,H80,$E$4:$E$503),2),"")</f>
        <v/>
      </c>
      <c r="U80" t="str">
        <f>IF(S80=1,COUNTIFS($S$4:$S$503,1,$T$4:$T$503,"&gt;"&amp;T80)+COUNTIFS($S$4:S80,1,$T$4:T80,T80),"")</f>
        <v/>
      </c>
      <c r="V80" t="str">
        <f>IF(D80=1,MIN(INDEX($R$4:$R$503,MATCH(G80,$G$4:$G$503,0)),IF($AL$7&gt;9,9,999)),"")</f>
        <v/>
      </c>
      <c r="W80" s="166">
        <f>IF(OR($I80="",$E80=0),0,IF(OR($J80&lt;W$3,$I80&gt;W$2),0,IF($K80=0,IF(AND($I80&gt;=W$3,$I80&lt;=W$2),$E80,0),$E80*NETWORKDAYS(MAX($I80,W$3),MIN($J80,W$2),Data!$K$4:$K$203)/$K80)))</f>
        <v>0</v>
      </c>
      <c r="X80" s="166">
        <f>IF(OR($I80="",$E80=0),0,IF(OR($J80&lt;X$3,$I80&gt;X$2),0,IF($K80=0,IF(AND($I80&gt;=X$3,$I80&lt;=X$2),$E80,0),$E80*NETWORKDAYS(MAX($I80,X$3),MIN($J80,X$2),Data!$K$4:$K$203)/$K80)))</f>
        <v>0</v>
      </c>
      <c r="Y80" s="166">
        <f>IF(OR($I80="",$E80=0),0,IF(OR($J80&lt;Y$3,$I80&gt;Y$2),0,IF($K80=0,IF(AND($I80&gt;=Y$3,$I80&lt;=Y$2),$E80,0),$E80*NETWORKDAYS(MAX($I80,Y$3),MIN($J80,Y$2),Data!$K$4:$K$203)/$K80)))</f>
        <v>0</v>
      </c>
      <c r="Z80" s="166">
        <f>IF(OR($I80="",$E80=0),0,IF(OR($J80&lt;Z$3,$I80&gt;Z$2),0,IF($K80=0,IF(AND($I80&gt;=Z$3,$I80&lt;=Z$2),$E80,0),$E80*NETWORKDAYS(MAX($I80,Z$3),MIN($J80,Z$2),Data!$K$4:$K$203)/$K80)))</f>
        <v>0</v>
      </c>
      <c r="AA80" s="166">
        <f>IF(OR($I80="",$E80=0),0,IF(OR($J80&lt;AA$3,$I80&gt;AA$2),0,IF($K80=0,IF(AND($I80&gt;=AA$3,$I80&lt;=AA$2),$E80,0),$E80*NETWORKDAYS(MAX($I80,AA$3),MIN($J80,AA$2),Data!$K$4:$K$203)/$K80)))</f>
        <v>0</v>
      </c>
      <c r="AB80" s="166">
        <f>IF(OR($I80="",$E80=0),0,IF(OR($J80&lt;AB$3,$I80&gt;AB$2),0,IF($K80=0,IF(AND($I80&gt;=AB$3,$I80&lt;=AB$2),$E80,0),$E80*NETWORKDAYS(MAX($I80,AB$3),MIN($J80,AB$2),Data!$K$4:$K$203)/$K80)))</f>
        <v>0</v>
      </c>
      <c r="AC80" s="166">
        <f>IF(OR($I80="",$E80=0),0,IF(OR($J80&lt;AC$3,$I80&gt;AC$2),0,IF($K80=0,IF(AND($I80&gt;=AC$3,$I80&lt;=AC$2),$E80,0),$E80*NETWORKDAYS(MAX($I80,AC$3),MIN($J80,AC$2),Data!$K$4:$K$203)/$K80)))</f>
        <v>0</v>
      </c>
      <c r="AD80" s="166">
        <f>IF(OR($I80="",$E80=0),0,IF(OR($J80&lt;AD$3,$I80&gt;AD$2),0,IF($K80=0,IF(AND($I80&gt;=AD$3,$I80&lt;=AD$2),$E80,0),$E80*NETWORKDAYS(MAX($I80,AD$3),MIN($J80,AD$2),Data!$K$4:$K$203)/$K80)))</f>
        <v>0</v>
      </c>
      <c r="AE80" s="166">
        <f>IF(OR($I80="",$E80=0),0,IF(OR($J80&lt;AE$3,$I80&gt;AE$2),0,IF($K80=0,IF(AND($I80&gt;=AE$3,$I80&lt;=AE$2),$E80,0),$E80*NETWORKDAYS(MAX($I80,AE$3),MIN($J80,AE$2),Data!$K$4:$K$203)/$K80)))</f>
        <v>0</v>
      </c>
      <c r="AF80" s="166">
        <f>IF(OR($I80="",$E80=0),0,IF(OR($J80&lt;AF$3,$I80&gt;AF$2),0,IF($K80=0,IF(AND($I80&gt;=AF$3,$I80&lt;=AF$2),$E80,0),$E80*NETWORKDAYS(MAX($I80,AF$3),MIN($J80,AF$2),Data!$K$4:$K$203)/$K80)))</f>
        <v>0</v>
      </c>
      <c r="AG80" s="166">
        <f>IF(OR($I80="",$E80=0),0,IF(OR($J80&lt;AG$3,$I80&gt;AG$2),0,IF($K80=0,IF(AND($I80&gt;=AG$3,$I80&lt;=AG$2),$E80,0),$E80*NETWORKDAYS(MAX($I80,AG$3),MIN($J80,AG$2),Data!$K$4:$K$203)/$K80)))</f>
        <v>0</v>
      </c>
      <c r="AH80" s="166">
        <f>IF(OR($I80="",$E80=0),0,IF(OR($J80&lt;AH$3,$I80&gt;AH$2),0,IF($K80=0,IF(AND($I80&gt;=AH$3,$I80&lt;=AH$2),$E80,0),$E80*NETWORKDAYS(MAX($I80,AH$3),MIN($J80,AH$2),Data!$K$4:$K$203)/$K80)))</f>
        <v>0</v>
      </c>
      <c r="AI80" s="166">
        <f>SUM(W80:AH80)</f>
        <v>0</v>
      </c>
      <c r="BW80" t="n">
        <v>77</v>
      </c>
      <c r="BX80" t="str">
        <f>IFERROR(MATCH(BW80,$EQ$4:$EQ$503,0),"")</f>
        <v/>
      </c>
      <c r="BZ80" t="str">
        <f>IF(D80=1,IF(TRIM(INDEX(Charge!$K:$K,ROW()))&lt;&gt;"",TRIM(INDEX(Charge!$K:$K,ROW())),IF(TRIM(INDEX(Charge!$L:$L,ROW()))&lt;&gt;"",TRIM(INDEX(Charge!$L:$L,ROW())),"(non affecté)")),"")</f>
        <v/>
      </c>
      <c r="CA80" t="str">
        <f>IF(AND($CD$4&lt;&gt;"",BZ80=$CD$4),COUNTIFS($BZ$4:$BZ$503,$CD$4,$L$4:$L$503,"&lt;"&amp;L80)+1,"")</f>
        <v/>
      </c>
      <c r="EJ80" t="str">
        <f>TRIM(INDEX(Data!$E:$E,ROW()))</f>
        <v/>
      </c>
      <c r="EK80" t="str">
        <f>TRIM(INDEX(Data!$H:$H,ROW()))</f>
        <v/>
      </c>
      <c r="EM80" t="str">
        <f>IF(D80=1,IF(TRIM(INDEX(Charge!$K:$K,ROW()))&lt;&gt;"","Interne",IF(TRIM(INDEX(Charge!$L:$L,ROW()))&lt;&gt;"","Externe","Non affecté")),"")</f>
        <v/>
      </c>
      <c r="EN80" t="str">
        <f>IF(D80=1,LEFT(SUBSTITUTE(SUBSTITUTE(SUBSTITUTE(TRIM(SUBSTITUTE(INDEX(Charge!$B:$B,ROW()),CHAR(160)," "))&amp;" | "&amp;TRIM(SUBSTITUTE(INDEX(Charge!$C:$C,ROW()),CHAR(160)," "))&amp;" | "&amp;TRIM(SUBSTITUTE(INDEX(Charge!$D:$D,ROW()),CHAR(160)," ")),"~","-"),"*","+"),"?","!"),240),"")</f>
        <v/>
      </c>
      <c r="EO80">
        <f>IF(EN80="",0,IF(COUNTIF($EN$4:EN80,EN80)=1,1,0))</f>
        <v>0</v>
      </c>
      <c r="EP80" s="166" t="str">
        <f>IF(EO80=1,ROUND(SUMIF($EN$4:$EN$503,EN80,$E$4:$E$503),2),"")</f>
        <v/>
      </c>
      <c r="EQ80" t="str">
        <f>IF(EO80=1,COUNTIFS($EO$4:$EO$503,1,$EP$4:$EP$503,"&gt;"&amp;EP80)+COUNTIFS($EO$4:EO80,1,$EP$4:EP80,EP80),"")</f>
        <v/>
      </c>
      <c r="ER80" t="str">
        <f>IF(EO80=1,COUNTIFS($EN$4:$EN$503,EN80,$EM$4:$EM$503,"Interne",$FE$4:$FE$503,1),"")</f>
        <v/>
      </c>
      <c r="ES80" t="str">
        <f>IF(EO80=1,COUNTIFS($EN$4:$EN$503,EN80,$EM$4:$EM$503,"Externe",$FE$4:$FE$503,1),"")</f>
        <v/>
      </c>
      <c r="ET80" t="str">
        <f>IF(EO80=1,IF(ER80+ES80=0,"à affecter",IF(ER80=0,ES80&amp;" ext.",(ER80+ES80)&amp;IF(ES80&gt;0," dont "&amp;ES80&amp;" ext.",""))&amp;IF(COUNTIFS($EN$4:$EN$503,EN80,$EM$4:$EM$503,"Non affecté")&gt;0," + à affecter","")),"")</f>
        <v/>
      </c>
      <c r="EU80" s="170" t="str">
        <f>IF(EO80=1,IF(EP80&gt;0,SUMPRODUCT(($EN$4:$EN$503=EN80)*$E$4:$E$503*$C$4:$C$503)/EP80,AVERAGEIF($EN$4:$EN$503,EN80,$C$4:$C$503)),"")</f>
        <v/>
      </c>
      <c r="EV80" s="165">
        <f>IF(ISNUMBER(I80),I80,2958465)</f>
        <v>2958465.0</v>
      </c>
      <c r="EW80" s="165" t="str">
        <f>IF(EO80=1,SUMPRODUCT(MIN(($EN$4:$EN$503=EN80)*$EV$4:$EV$503+($EN$4:$EN$503&lt;&gt;EN80)*2958465)),"")</f>
        <v/>
      </c>
      <c r="EX80" s="165">
        <f>IF(AND(D80=1,ISNUMBER(INDEX(Charge!$F:$F,ROW()))),INDEX(Charge!$F:$F,ROW()),0)</f>
        <v>0.0</v>
      </c>
      <c r="EY80" s="165" t="str">
        <f>IF(EO80=1,SUMPRODUCT(MAX(($EN$4:$EN$503=EN80)*$EX$4:$EX$503)),"")</f>
        <v/>
      </c>
      <c r="FA80" t="str">
        <f>IF(77&lt;=$CD$23,INDEX($EJ$4:$EJ$203,77),IF(77-$CD$23&lt;=$CD$26,INDEX($EK$4:$EK$203,77-$CD$23),""))</f>
        <v/>
      </c>
      <c r="FB80" t="str">
        <f>IF(FA80="","",IF(77&lt;=$CD$23,"Interne","Externe"))</f>
        <v/>
      </c>
      <c r="FD80">
        <f>IF(AND(B80=1,TRIM(INDEX(Charge!$K:$K,ROW()))&lt;&gt;"",TRIM(INDEX(Charge!$L:$L,ROW()))&lt;&gt;""),1,0)</f>
        <v>0</v>
      </c>
      <c r="FE80">
        <f>IF(OR(EN80="",BZ80="(non affecté)"),0,IF(COUNTIFS($EN$4:EN80,EN80,$BZ$4:BZ80,BZ80)=1,1,0))</f>
        <v>0</v>
      </c>
    </row>
    <row r="81">
      <c r="A81">
        <f>ROW()</f>
        <v>81</v>
      </c>
      <c r="B81">
        <f>IF(TRIM(INDEX(Charge!$B:$B,ROW()))&lt;&gt;"",1,0)</f>
        <v>0</v>
      </c>
      <c r="C81">
        <f>IF(B81=1,MIN(1,MAX(0,N(INDEX(Charge!$O:$O,ROW())))),0)</f>
        <v>0</v>
      </c>
      <c r="D81">
        <f>IF(B81=1,IF(OR(p_Perimetre="Tous les projets",C81&lt;1),1,0),0)</f>
        <v>0</v>
      </c>
      <c r="E81">
        <f>IF(D81=1,MAX(0,N(INDEX(Charge!$M:$M,ROW()))),0)</f>
        <v>0</v>
      </c>
      <c r="F81" t="str">
        <f>IF(D81=1,IF(TRIM(INDEX(Charge!$A:$A,ROW()))="","(non renseigné)",TRIM(INDEX(Charge!$A:$A,ROW()))),"")</f>
        <v/>
      </c>
      <c r="G81" t="str">
        <f>IF(D81=1,TRIM(INDEX(Charge!$B:$B,ROW())),"")</f>
        <v/>
      </c>
      <c r="H81" t="str">
        <f>IF(D81=1,IF(TRIM(INDEX(Charge!$E:$E,ROW()))="","(non renseigné)",TRIM(INDEX(Charge!$E:$E,ROW()))),"")</f>
        <v/>
      </c>
      <c r="I81" s="165" t="str">
        <f>IF(AND(D81=1,ISNUMBER(INDEX(Charge!$N:$N,ROW()))),INDEX(Charge!$N:$N,ROW()),"")</f>
        <v/>
      </c>
      <c r="J81" s="165" t="str">
        <f>IF(I81="","",IF(AND(p_Repartition="Lissée jusqu'à la date de besoin",ISNUMBER(INDEX(Charge!$F:$F,ROW()))),IF(INDEX(Charge!$F:$F,ROW())&gt;=I81,INDEX(Charge!$F:$F,ROW()),I81),I81))</f>
        <v/>
      </c>
      <c r="K81" t="str">
        <f>IF(I81="","",NETWORKDAYS(I81,J81,Data!$K$4:$K$203))</f>
        <v/>
      </c>
      <c r="L81" t="str">
        <f>IF(D81=1,COUNTIFS($D$4:$D$503,1,$E$4:$E$503,"&gt;"&amp;E81)+COUNTIFS($D$4:$D81,1,$E$4:$E81,E81),"")</f>
        <v/>
      </c>
      <c r="M81">
        <f>IF(F81="",0,IF(COUNTIF($F$4:F81,F81)=1,1,0))</f>
        <v>0</v>
      </c>
      <c r="N81" t="str">
        <f>IF(M81=1,ROUND(SUMIF($F$4:$F$503,F81,$E$4:$E$503),2),"")</f>
        <v/>
      </c>
      <c r="O81" t="str">
        <f>IF(M81=1,COUNTIFS($M$4:$M$503,1,$N$4:$N$503,"&gt;"&amp;N81)+COUNTIFS($M$4:M81,1,$N$4:N81,N81),"")</f>
        <v/>
      </c>
      <c r="P81">
        <f>IF(G81="",0,IF(COUNTIF($G$4:G81,G81)=1,1,0))</f>
        <v>0</v>
      </c>
      <c r="Q81" t="str">
        <f>IF(P81=1,ROUND(SUMIF($G$4:$G$503,G81,$E$4:$E$503),2),"")</f>
        <v/>
      </c>
      <c r="R81" t="str">
        <f>IF(P81=1,COUNTIFS($P$4:$P$503,1,$Q$4:$Q$503,"&gt;"&amp;Q81)+COUNTIFS($P$4:P81,1,$Q$4:Q81,Q81),"")</f>
        <v/>
      </c>
      <c r="S81">
        <f>IF(H81="",0,IF(COUNTIF($H$4:H81,H81)=1,1,0))</f>
        <v>0</v>
      </c>
      <c r="T81" t="str">
        <f>IF(S81=1,ROUND(SUMIF($H$4:$H$503,H81,$E$4:$E$503),2),"")</f>
        <v/>
      </c>
      <c r="U81" t="str">
        <f>IF(S81=1,COUNTIFS($S$4:$S$503,1,$T$4:$T$503,"&gt;"&amp;T81)+COUNTIFS($S$4:S81,1,$T$4:T81,T81),"")</f>
        <v/>
      </c>
      <c r="V81" t="str">
        <f>IF(D81=1,MIN(INDEX($R$4:$R$503,MATCH(G81,$G$4:$G$503,0)),IF($AL$7&gt;9,9,999)),"")</f>
        <v/>
      </c>
      <c r="W81" s="166">
        <f>IF(OR($I81="",$E81=0),0,IF(OR($J81&lt;W$3,$I81&gt;W$2),0,IF($K81=0,IF(AND($I81&gt;=W$3,$I81&lt;=W$2),$E81,0),$E81*NETWORKDAYS(MAX($I81,W$3),MIN($J81,W$2),Data!$K$4:$K$203)/$K81)))</f>
        <v>0</v>
      </c>
      <c r="X81" s="166">
        <f>IF(OR($I81="",$E81=0),0,IF(OR($J81&lt;X$3,$I81&gt;X$2),0,IF($K81=0,IF(AND($I81&gt;=X$3,$I81&lt;=X$2),$E81,0),$E81*NETWORKDAYS(MAX($I81,X$3),MIN($J81,X$2),Data!$K$4:$K$203)/$K81)))</f>
        <v>0</v>
      </c>
      <c r="Y81" s="166">
        <f>IF(OR($I81="",$E81=0),0,IF(OR($J81&lt;Y$3,$I81&gt;Y$2),0,IF($K81=0,IF(AND($I81&gt;=Y$3,$I81&lt;=Y$2),$E81,0),$E81*NETWORKDAYS(MAX($I81,Y$3),MIN($J81,Y$2),Data!$K$4:$K$203)/$K81)))</f>
        <v>0</v>
      </c>
      <c r="Z81" s="166">
        <f>IF(OR($I81="",$E81=0),0,IF(OR($J81&lt;Z$3,$I81&gt;Z$2),0,IF($K81=0,IF(AND($I81&gt;=Z$3,$I81&lt;=Z$2),$E81,0),$E81*NETWORKDAYS(MAX($I81,Z$3),MIN($J81,Z$2),Data!$K$4:$K$203)/$K81)))</f>
        <v>0</v>
      </c>
      <c r="AA81" s="166">
        <f>IF(OR($I81="",$E81=0),0,IF(OR($J81&lt;AA$3,$I81&gt;AA$2),0,IF($K81=0,IF(AND($I81&gt;=AA$3,$I81&lt;=AA$2),$E81,0),$E81*NETWORKDAYS(MAX($I81,AA$3),MIN($J81,AA$2),Data!$K$4:$K$203)/$K81)))</f>
        <v>0</v>
      </c>
      <c r="AB81" s="166">
        <f>IF(OR($I81="",$E81=0),0,IF(OR($J81&lt;AB$3,$I81&gt;AB$2),0,IF($K81=0,IF(AND($I81&gt;=AB$3,$I81&lt;=AB$2),$E81,0),$E81*NETWORKDAYS(MAX($I81,AB$3),MIN($J81,AB$2),Data!$K$4:$K$203)/$K81)))</f>
        <v>0</v>
      </c>
      <c r="AC81" s="166">
        <f>IF(OR($I81="",$E81=0),0,IF(OR($J81&lt;AC$3,$I81&gt;AC$2),0,IF($K81=0,IF(AND($I81&gt;=AC$3,$I81&lt;=AC$2),$E81,0),$E81*NETWORKDAYS(MAX($I81,AC$3),MIN($J81,AC$2),Data!$K$4:$K$203)/$K81)))</f>
        <v>0</v>
      </c>
      <c r="AD81" s="166">
        <f>IF(OR($I81="",$E81=0),0,IF(OR($J81&lt;AD$3,$I81&gt;AD$2),0,IF($K81=0,IF(AND($I81&gt;=AD$3,$I81&lt;=AD$2),$E81,0),$E81*NETWORKDAYS(MAX($I81,AD$3),MIN($J81,AD$2),Data!$K$4:$K$203)/$K81)))</f>
        <v>0</v>
      </c>
      <c r="AE81" s="166">
        <f>IF(OR($I81="",$E81=0),0,IF(OR($J81&lt;AE$3,$I81&gt;AE$2),0,IF($K81=0,IF(AND($I81&gt;=AE$3,$I81&lt;=AE$2),$E81,0),$E81*NETWORKDAYS(MAX($I81,AE$3),MIN($J81,AE$2),Data!$K$4:$K$203)/$K81)))</f>
        <v>0</v>
      </c>
      <c r="AF81" s="166">
        <f>IF(OR($I81="",$E81=0),0,IF(OR($J81&lt;AF$3,$I81&gt;AF$2),0,IF($K81=0,IF(AND($I81&gt;=AF$3,$I81&lt;=AF$2),$E81,0),$E81*NETWORKDAYS(MAX($I81,AF$3),MIN($J81,AF$2),Data!$K$4:$K$203)/$K81)))</f>
        <v>0</v>
      </c>
      <c r="AG81" s="166">
        <f>IF(OR($I81="",$E81=0),0,IF(OR($J81&lt;AG$3,$I81&gt;AG$2),0,IF($K81=0,IF(AND($I81&gt;=AG$3,$I81&lt;=AG$2),$E81,0),$E81*NETWORKDAYS(MAX($I81,AG$3),MIN($J81,AG$2),Data!$K$4:$K$203)/$K81)))</f>
        <v>0</v>
      </c>
      <c r="AH81" s="166">
        <f>IF(OR($I81="",$E81=0),0,IF(OR($J81&lt;AH$3,$I81&gt;AH$2),0,IF($K81=0,IF(AND($I81&gt;=AH$3,$I81&lt;=AH$2),$E81,0),$E81*NETWORKDAYS(MAX($I81,AH$3),MIN($J81,AH$2),Data!$K$4:$K$203)/$K81)))</f>
        <v>0</v>
      </c>
      <c r="AI81" s="166">
        <f>SUM(W81:AH81)</f>
        <v>0</v>
      </c>
      <c r="BW81" t="n">
        <v>78</v>
      </c>
      <c r="BX81" t="str">
        <f>IFERROR(MATCH(BW81,$EQ$4:$EQ$503,0),"")</f>
        <v/>
      </c>
      <c r="BZ81" t="str">
        <f>IF(D81=1,IF(TRIM(INDEX(Charge!$K:$K,ROW()))&lt;&gt;"",TRIM(INDEX(Charge!$K:$K,ROW())),IF(TRIM(INDEX(Charge!$L:$L,ROW()))&lt;&gt;"",TRIM(INDEX(Charge!$L:$L,ROW())),"(non affecté)")),"")</f>
        <v/>
      </c>
      <c r="CA81" t="str">
        <f>IF(AND($CD$4&lt;&gt;"",BZ81=$CD$4),COUNTIFS($BZ$4:$BZ$503,$CD$4,$L$4:$L$503,"&lt;"&amp;L81)+1,"")</f>
        <v/>
      </c>
      <c r="EJ81" t="str">
        <f>TRIM(INDEX(Data!$E:$E,ROW()))</f>
        <v/>
      </c>
      <c r="EK81" t="str">
        <f>TRIM(INDEX(Data!$H:$H,ROW()))</f>
        <v/>
      </c>
      <c r="EM81" t="str">
        <f>IF(D81=1,IF(TRIM(INDEX(Charge!$K:$K,ROW()))&lt;&gt;"","Interne",IF(TRIM(INDEX(Charge!$L:$L,ROW()))&lt;&gt;"","Externe","Non affecté")),"")</f>
        <v/>
      </c>
      <c r="EN81" t="str">
        <f>IF(D81=1,LEFT(SUBSTITUTE(SUBSTITUTE(SUBSTITUTE(TRIM(SUBSTITUTE(INDEX(Charge!$B:$B,ROW()),CHAR(160)," "))&amp;" | "&amp;TRIM(SUBSTITUTE(INDEX(Charge!$C:$C,ROW()),CHAR(160)," "))&amp;" | "&amp;TRIM(SUBSTITUTE(INDEX(Charge!$D:$D,ROW()),CHAR(160)," ")),"~","-"),"*","+"),"?","!"),240),"")</f>
        <v/>
      </c>
      <c r="EO81">
        <f>IF(EN81="",0,IF(COUNTIF($EN$4:EN81,EN81)=1,1,0))</f>
        <v>0</v>
      </c>
      <c r="EP81" s="166" t="str">
        <f>IF(EO81=1,ROUND(SUMIF($EN$4:$EN$503,EN81,$E$4:$E$503),2),"")</f>
        <v/>
      </c>
      <c r="EQ81" t="str">
        <f>IF(EO81=1,COUNTIFS($EO$4:$EO$503,1,$EP$4:$EP$503,"&gt;"&amp;EP81)+COUNTIFS($EO$4:EO81,1,$EP$4:EP81,EP81),"")</f>
        <v/>
      </c>
      <c r="ER81" t="str">
        <f>IF(EO81=1,COUNTIFS($EN$4:$EN$503,EN81,$EM$4:$EM$503,"Interne",$FE$4:$FE$503,1),"")</f>
        <v/>
      </c>
      <c r="ES81" t="str">
        <f>IF(EO81=1,COUNTIFS($EN$4:$EN$503,EN81,$EM$4:$EM$503,"Externe",$FE$4:$FE$503,1),"")</f>
        <v/>
      </c>
      <c r="ET81" t="str">
        <f>IF(EO81=1,IF(ER81+ES81=0,"à affecter",IF(ER81=0,ES81&amp;" ext.",(ER81+ES81)&amp;IF(ES81&gt;0," dont "&amp;ES81&amp;" ext.",""))&amp;IF(COUNTIFS($EN$4:$EN$503,EN81,$EM$4:$EM$503,"Non affecté")&gt;0," + à affecter","")),"")</f>
        <v/>
      </c>
      <c r="EU81" s="170" t="str">
        <f>IF(EO81=1,IF(EP81&gt;0,SUMPRODUCT(($EN$4:$EN$503=EN81)*$E$4:$E$503*$C$4:$C$503)/EP81,AVERAGEIF($EN$4:$EN$503,EN81,$C$4:$C$503)),"")</f>
        <v/>
      </c>
      <c r="EV81" s="165">
        <f>IF(ISNUMBER(I81),I81,2958465)</f>
        <v>2958465.0</v>
      </c>
      <c r="EW81" s="165" t="str">
        <f>IF(EO81=1,SUMPRODUCT(MIN(($EN$4:$EN$503=EN81)*$EV$4:$EV$503+($EN$4:$EN$503&lt;&gt;EN81)*2958465)),"")</f>
        <v/>
      </c>
      <c r="EX81" s="165">
        <f>IF(AND(D81=1,ISNUMBER(INDEX(Charge!$F:$F,ROW()))),INDEX(Charge!$F:$F,ROW()),0)</f>
        <v>0.0</v>
      </c>
      <c r="EY81" s="165" t="str">
        <f>IF(EO81=1,SUMPRODUCT(MAX(($EN$4:$EN$503=EN81)*$EX$4:$EX$503)),"")</f>
        <v/>
      </c>
      <c r="FA81" t="str">
        <f>IF(78&lt;=$CD$23,INDEX($EJ$4:$EJ$203,78),IF(78-$CD$23&lt;=$CD$26,INDEX($EK$4:$EK$203,78-$CD$23),""))</f>
        <v/>
      </c>
      <c r="FB81" t="str">
        <f>IF(FA81="","",IF(78&lt;=$CD$23,"Interne","Externe"))</f>
        <v/>
      </c>
      <c r="FD81">
        <f>IF(AND(B81=1,TRIM(INDEX(Charge!$K:$K,ROW()))&lt;&gt;"",TRIM(INDEX(Charge!$L:$L,ROW()))&lt;&gt;""),1,0)</f>
        <v>0</v>
      </c>
      <c r="FE81">
        <f>IF(OR(EN81="",BZ81="(non affecté)"),0,IF(COUNTIFS($EN$4:EN81,EN81,$BZ$4:BZ81,BZ81)=1,1,0))</f>
        <v>0</v>
      </c>
    </row>
    <row r="82">
      <c r="A82">
        <f>ROW()</f>
        <v>82</v>
      </c>
      <c r="B82">
        <f>IF(TRIM(INDEX(Charge!$B:$B,ROW()))&lt;&gt;"",1,0)</f>
        <v>0</v>
      </c>
      <c r="C82">
        <f>IF(B82=1,MIN(1,MAX(0,N(INDEX(Charge!$O:$O,ROW())))),0)</f>
        <v>0</v>
      </c>
      <c r="D82">
        <f>IF(B82=1,IF(OR(p_Perimetre="Tous les projets",C82&lt;1),1,0),0)</f>
        <v>0</v>
      </c>
      <c r="E82">
        <f>IF(D82=1,MAX(0,N(INDEX(Charge!$M:$M,ROW()))),0)</f>
        <v>0</v>
      </c>
      <c r="F82" t="str">
        <f>IF(D82=1,IF(TRIM(INDEX(Charge!$A:$A,ROW()))="","(non renseigné)",TRIM(INDEX(Charge!$A:$A,ROW()))),"")</f>
        <v/>
      </c>
      <c r="G82" t="str">
        <f>IF(D82=1,TRIM(INDEX(Charge!$B:$B,ROW())),"")</f>
        <v/>
      </c>
      <c r="H82" t="str">
        <f>IF(D82=1,IF(TRIM(INDEX(Charge!$E:$E,ROW()))="","(non renseigné)",TRIM(INDEX(Charge!$E:$E,ROW()))),"")</f>
        <v/>
      </c>
      <c r="I82" s="165" t="str">
        <f>IF(AND(D82=1,ISNUMBER(INDEX(Charge!$N:$N,ROW()))),INDEX(Charge!$N:$N,ROW()),"")</f>
        <v/>
      </c>
      <c r="J82" s="165" t="str">
        <f>IF(I82="","",IF(AND(p_Repartition="Lissée jusqu'à la date de besoin",ISNUMBER(INDEX(Charge!$F:$F,ROW()))),IF(INDEX(Charge!$F:$F,ROW())&gt;=I82,INDEX(Charge!$F:$F,ROW()),I82),I82))</f>
        <v/>
      </c>
      <c r="K82" t="str">
        <f>IF(I82="","",NETWORKDAYS(I82,J82,Data!$K$4:$K$203))</f>
        <v/>
      </c>
      <c r="L82" t="str">
        <f>IF(D82=1,COUNTIFS($D$4:$D$503,1,$E$4:$E$503,"&gt;"&amp;E82)+COUNTIFS($D$4:$D82,1,$E$4:$E82,E82),"")</f>
        <v/>
      </c>
      <c r="M82">
        <f>IF(F82="",0,IF(COUNTIF($F$4:F82,F82)=1,1,0))</f>
        <v>0</v>
      </c>
      <c r="N82" t="str">
        <f>IF(M82=1,ROUND(SUMIF($F$4:$F$503,F82,$E$4:$E$503),2),"")</f>
        <v/>
      </c>
      <c r="O82" t="str">
        <f>IF(M82=1,COUNTIFS($M$4:$M$503,1,$N$4:$N$503,"&gt;"&amp;N82)+COUNTIFS($M$4:M82,1,$N$4:N82,N82),"")</f>
        <v/>
      </c>
      <c r="P82">
        <f>IF(G82="",0,IF(COUNTIF($G$4:G82,G82)=1,1,0))</f>
        <v>0</v>
      </c>
      <c r="Q82" t="str">
        <f>IF(P82=1,ROUND(SUMIF($G$4:$G$503,G82,$E$4:$E$503),2),"")</f>
        <v/>
      </c>
      <c r="R82" t="str">
        <f>IF(P82=1,COUNTIFS($P$4:$P$503,1,$Q$4:$Q$503,"&gt;"&amp;Q82)+COUNTIFS($P$4:P82,1,$Q$4:Q82,Q82),"")</f>
        <v/>
      </c>
      <c r="S82">
        <f>IF(H82="",0,IF(COUNTIF($H$4:H82,H82)=1,1,0))</f>
        <v>0</v>
      </c>
      <c r="T82" t="str">
        <f>IF(S82=1,ROUND(SUMIF($H$4:$H$503,H82,$E$4:$E$503),2),"")</f>
        <v/>
      </c>
      <c r="U82" t="str">
        <f>IF(S82=1,COUNTIFS($S$4:$S$503,1,$T$4:$T$503,"&gt;"&amp;T82)+COUNTIFS($S$4:S82,1,$T$4:T82,T82),"")</f>
        <v/>
      </c>
      <c r="V82" t="str">
        <f>IF(D82=1,MIN(INDEX($R$4:$R$503,MATCH(G82,$G$4:$G$503,0)),IF($AL$7&gt;9,9,999)),"")</f>
        <v/>
      </c>
      <c r="W82" s="166">
        <f>IF(OR($I82="",$E82=0),0,IF(OR($J82&lt;W$3,$I82&gt;W$2),0,IF($K82=0,IF(AND($I82&gt;=W$3,$I82&lt;=W$2),$E82,0),$E82*NETWORKDAYS(MAX($I82,W$3),MIN($J82,W$2),Data!$K$4:$K$203)/$K82)))</f>
        <v>0</v>
      </c>
      <c r="X82" s="166">
        <f>IF(OR($I82="",$E82=0),0,IF(OR($J82&lt;X$3,$I82&gt;X$2),0,IF($K82=0,IF(AND($I82&gt;=X$3,$I82&lt;=X$2),$E82,0),$E82*NETWORKDAYS(MAX($I82,X$3),MIN($J82,X$2),Data!$K$4:$K$203)/$K82)))</f>
        <v>0</v>
      </c>
      <c r="Y82" s="166">
        <f>IF(OR($I82="",$E82=0),0,IF(OR($J82&lt;Y$3,$I82&gt;Y$2),0,IF($K82=0,IF(AND($I82&gt;=Y$3,$I82&lt;=Y$2),$E82,0),$E82*NETWORKDAYS(MAX($I82,Y$3),MIN($J82,Y$2),Data!$K$4:$K$203)/$K82)))</f>
        <v>0</v>
      </c>
      <c r="Z82" s="166">
        <f>IF(OR($I82="",$E82=0),0,IF(OR($J82&lt;Z$3,$I82&gt;Z$2),0,IF($K82=0,IF(AND($I82&gt;=Z$3,$I82&lt;=Z$2),$E82,0),$E82*NETWORKDAYS(MAX($I82,Z$3),MIN($J82,Z$2),Data!$K$4:$K$203)/$K82)))</f>
        <v>0</v>
      </c>
      <c r="AA82" s="166">
        <f>IF(OR($I82="",$E82=0),0,IF(OR($J82&lt;AA$3,$I82&gt;AA$2),0,IF($K82=0,IF(AND($I82&gt;=AA$3,$I82&lt;=AA$2),$E82,0),$E82*NETWORKDAYS(MAX($I82,AA$3),MIN($J82,AA$2),Data!$K$4:$K$203)/$K82)))</f>
        <v>0</v>
      </c>
      <c r="AB82" s="166">
        <f>IF(OR($I82="",$E82=0),0,IF(OR($J82&lt;AB$3,$I82&gt;AB$2),0,IF($K82=0,IF(AND($I82&gt;=AB$3,$I82&lt;=AB$2),$E82,0),$E82*NETWORKDAYS(MAX($I82,AB$3),MIN($J82,AB$2),Data!$K$4:$K$203)/$K82)))</f>
        <v>0</v>
      </c>
      <c r="AC82" s="166">
        <f>IF(OR($I82="",$E82=0),0,IF(OR($J82&lt;AC$3,$I82&gt;AC$2),0,IF($K82=0,IF(AND($I82&gt;=AC$3,$I82&lt;=AC$2),$E82,0),$E82*NETWORKDAYS(MAX($I82,AC$3),MIN($J82,AC$2),Data!$K$4:$K$203)/$K82)))</f>
        <v>0</v>
      </c>
      <c r="AD82" s="166">
        <f>IF(OR($I82="",$E82=0),0,IF(OR($J82&lt;AD$3,$I82&gt;AD$2),0,IF($K82=0,IF(AND($I82&gt;=AD$3,$I82&lt;=AD$2),$E82,0),$E82*NETWORKDAYS(MAX($I82,AD$3),MIN($J82,AD$2),Data!$K$4:$K$203)/$K82)))</f>
        <v>0</v>
      </c>
      <c r="AE82" s="166">
        <f>IF(OR($I82="",$E82=0),0,IF(OR($J82&lt;AE$3,$I82&gt;AE$2),0,IF($K82=0,IF(AND($I82&gt;=AE$3,$I82&lt;=AE$2),$E82,0),$E82*NETWORKDAYS(MAX($I82,AE$3),MIN($J82,AE$2),Data!$K$4:$K$203)/$K82)))</f>
        <v>0</v>
      </c>
      <c r="AF82" s="166">
        <f>IF(OR($I82="",$E82=0),0,IF(OR($J82&lt;AF$3,$I82&gt;AF$2),0,IF($K82=0,IF(AND($I82&gt;=AF$3,$I82&lt;=AF$2),$E82,0),$E82*NETWORKDAYS(MAX($I82,AF$3),MIN($J82,AF$2),Data!$K$4:$K$203)/$K82)))</f>
        <v>0</v>
      </c>
      <c r="AG82" s="166">
        <f>IF(OR($I82="",$E82=0),0,IF(OR($J82&lt;AG$3,$I82&gt;AG$2),0,IF($K82=0,IF(AND($I82&gt;=AG$3,$I82&lt;=AG$2),$E82,0),$E82*NETWORKDAYS(MAX($I82,AG$3),MIN($J82,AG$2),Data!$K$4:$K$203)/$K82)))</f>
        <v>0</v>
      </c>
      <c r="AH82" s="166">
        <f>IF(OR($I82="",$E82=0),0,IF(OR($J82&lt;AH$3,$I82&gt;AH$2),0,IF($K82=0,IF(AND($I82&gt;=AH$3,$I82&lt;=AH$2),$E82,0),$E82*NETWORKDAYS(MAX($I82,AH$3),MIN($J82,AH$2),Data!$K$4:$K$203)/$K82)))</f>
        <v>0</v>
      </c>
      <c r="AI82" s="166">
        <f>SUM(W82:AH82)</f>
        <v>0</v>
      </c>
      <c r="BW82" t="n">
        <v>79</v>
      </c>
      <c r="BX82" t="str">
        <f>IFERROR(MATCH(BW82,$EQ$4:$EQ$503,0),"")</f>
        <v/>
      </c>
      <c r="BZ82" t="str">
        <f>IF(D82=1,IF(TRIM(INDEX(Charge!$K:$K,ROW()))&lt;&gt;"",TRIM(INDEX(Charge!$K:$K,ROW())),IF(TRIM(INDEX(Charge!$L:$L,ROW()))&lt;&gt;"",TRIM(INDEX(Charge!$L:$L,ROW())),"(non affecté)")),"")</f>
        <v/>
      </c>
      <c r="CA82" t="str">
        <f>IF(AND($CD$4&lt;&gt;"",BZ82=$CD$4),COUNTIFS($BZ$4:$BZ$503,$CD$4,$L$4:$L$503,"&lt;"&amp;L82)+1,"")</f>
        <v/>
      </c>
      <c r="EJ82" t="str">
        <f>TRIM(INDEX(Data!$E:$E,ROW()))</f>
        <v/>
      </c>
      <c r="EK82" t="str">
        <f>TRIM(INDEX(Data!$H:$H,ROW()))</f>
        <v/>
      </c>
      <c r="EM82" t="str">
        <f>IF(D82=1,IF(TRIM(INDEX(Charge!$K:$K,ROW()))&lt;&gt;"","Interne",IF(TRIM(INDEX(Charge!$L:$L,ROW()))&lt;&gt;"","Externe","Non affecté")),"")</f>
        <v/>
      </c>
      <c r="EN82" t="str">
        <f>IF(D82=1,LEFT(SUBSTITUTE(SUBSTITUTE(SUBSTITUTE(TRIM(SUBSTITUTE(INDEX(Charge!$B:$B,ROW()),CHAR(160)," "))&amp;" | "&amp;TRIM(SUBSTITUTE(INDEX(Charge!$C:$C,ROW()),CHAR(160)," "))&amp;" | "&amp;TRIM(SUBSTITUTE(INDEX(Charge!$D:$D,ROW()),CHAR(160)," ")),"~","-"),"*","+"),"?","!"),240),"")</f>
        <v/>
      </c>
      <c r="EO82">
        <f>IF(EN82="",0,IF(COUNTIF($EN$4:EN82,EN82)=1,1,0))</f>
        <v>0</v>
      </c>
      <c r="EP82" s="166" t="str">
        <f>IF(EO82=1,ROUND(SUMIF($EN$4:$EN$503,EN82,$E$4:$E$503),2),"")</f>
        <v/>
      </c>
      <c r="EQ82" t="str">
        <f>IF(EO82=1,COUNTIFS($EO$4:$EO$503,1,$EP$4:$EP$503,"&gt;"&amp;EP82)+COUNTIFS($EO$4:EO82,1,$EP$4:EP82,EP82),"")</f>
        <v/>
      </c>
      <c r="ER82" t="str">
        <f>IF(EO82=1,COUNTIFS($EN$4:$EN$503,EN82,$EM$4:$EM$503,"Interne",$FE$4:$FE$503,1),"")</f>
        <v/>
      </c>
      <c r="ES82" t="str">
        <f>IF(EO82=1,COUNTIFS($EN$4:$EN$503,EN82,$EM$4:$EM$503,"Externe",$FE$4:$FE$503,1),"")</f>
        <v/>
      </c>
      <c r="ET82" t="str">
        <f>IF(EO82=1,IF(ER82+ES82=0,"à affecter",IF(ER82=0,ES82&amp;" ext.",(ER82+ES82)&amp;IF(ES82&gt;0," dont "&amp;ES82&amp;" ext.",""))&amp;IF(COUNTIFS($EN$4:$EN$503,EN82,$EM$4:$EM$503,"Non affecté")&gt;0," + à affecter","")),"")</f>
        <v/>
      </c>
      <c r="EU82" s="170" t="str">
        <f>IF(EO82=1,IF(EP82&gt;0,SUMPRODUCT(($EN$4:$EN$503=EN82)*$E$4:$E$503*$C$4:$C$503)/EP82,AVERAGEIF($EN$4:$EN$503,EN82,$C$4:$C$503)),"")</f>
        <v/>
      </c>
      <c r="EV82" s="165">
        <f>IF(ISNUMBER(I82),I82,2958465)</f>
        <v>2958465.0</v>
      </c>
      <c r="EW82" s="165" t="str">
        <f>IF(EO82=1,SUMPRODUCT(MIN(($EN$4:$EN$503=EN82)*$EV$4:$EV$503+($EN$4:$EN$503&lt;&gt;EN82)*2958465)),"")</f>
        <v/>
      </c>
      <c r="EX82" s="165">
        <f>IF(AND(D82=1,ISNUMBER(INDEX(Charge!$F:$F,ROW()))),INDEX(Charge!$F:$F,ROW()),0)</f>
        <v>0.0</v>
      </c>
      <c r="EY82" s="165" t="str">
        <f>IF(EO82=1,SUMPRODUCT(MAX(($EN$4:$EN$503=EN82)*$EX$4:$EX$503)),"")</f>
        <v/>
      </c>
      <c r="FA82" t="str">
        <f>IF(79&lt;=$CD$23,INDEX($EJ$4:$EJ$203,79),IF(79-$CD$23&lt;=$CD$26,INDEX($EK$4:$EK$203,79-$CD$23),""))</f>
        <v/>
      </c>
      <c r="FB82" t="str">
        <f>IF(FA82="","",IF(79&lt;=$CD$23,"Interne","Externe"))</f>
        <v/>
      </c>
      <c r="FD82">
        <f>IF(AND(B82=1,TRIM(INDEX(Charge!$K:$K,ROW()))&lt;&gt;"",TRIM(INDEX(Charge!$L:$L,ROW()))&lt;&gt;""),1,0)</f>
        <v>0</v>
      </c>
      <c r="FE82">
        <f>IF(OR(EN82="",BZ82="(non affecté)"),0,IF(COUNTIFS($EN$4:EN82,EN82,$BZ$4:BZ82,BZ82)=1,1,0))</f>
        <v>0</v>
      </c>
    </row>
    <row r="83">
      <c r="A83">
        <f>ROW()</f>
        <v>83</v>
      </c>
      <c r="B83">
        <f>IF(TRIM(INDEX(Charge!$B:$B,ROW()))&lt;&gt;"",1,0)</f>
        <v>0</v>
      </c>
      <c r="C83">
        <f>IF(B83=1,MIN(1,MAX(0,N(INDEX(Charge!$O:$O,ROW())))),0)</f>
        <v>0</v>
      </c>
      <c r="D83">
        <f>IF(B83=1,IF(OR(p_Perimetre="Tous les projets",C83&lt;1),1,0),0)</f>
        <v>0</v>
      </c>
      <c r="E83">
        <f>IF(D83=1,MAX(0,N(INDEX(Charge!$M:$M,ROW()))),0)</f>
        <v>0</v>
      </c>
      <c r="F83" t="str">
        <f>IF(D83=1,IF(TRIM(INDEX(Charge!$A:$A,ROW()))="","(non renseigné)",TRIM(INDEX(Charge!$A:$A,ROW()))),"")</f>
        <v/>
      </c>
      <c r="G83" t="str">
        <f>IF(D83=1,TRIM(INDEX(Charge!$B:$B,ROW())),"")</f>
        <v/>
      </c>
      <c r="H83" t="str">
        <f>IF(D83=1,IF(TRIM(INDEX(Charge!$E:$E,ROW()))="","(non renseigné)",TRIM(INDEX(Charge!$E:$E,ROW()))),"")</f>
        <v/>
      </c>
      <c r="I83" s="165" t="str">
        <f>IF(AND(D83=1,ISNUMBER(INDEX(Charge!$N:$N,ROW()))),INDEX(Charge!$N:$N,ROW()),"")</f>
        <v/>
      </c>
      <c r="J83" s="165" t="str">
        <f>IF(I83="","",IF(AND(p_Repartition="Lissée jusqu'à la date de besoin",ISNUMBER(INDEX(Charge!$F:$F,ROW()))),IF(INDEX(Charge!$F:$F,ROW())&gt;=I83,INDEX(Charge!$F:$F,ROW()),I83),I83))</f>
        <v/>
      </c>
      <c r="K83" t="str">
        <f>IF(I83="","",NETWORKDAYS(I83,J83,Data!$K$4:$K$203))</f>
        <v/>
      </c>
      <c r="L83" t="str">
        <f>IF(D83=1,COUNTIFS($D$4:$D$503,1,$E$4:$E$503,"&gt;"&amp;E83)+COUNTIFS($D$4:$D83,1,$E$4:$E83,E83),"")</f>
        <v/>
      </c>
      <c r="M83">
        <f>IF(F83="",0,IF(COUNTIF($F$4:F83,F83)=1,1,0))</f>
        <v>0</v>
      </c>
      <c r="N83" t="str">
        <f>IF(M83=1,ROUND(SUMIF($F$4:$F$503,F83,$E$4:$E$503),2),"")</f>
        <v/>
      </c>
      <c r="O83" t="str">
        <f>IF(M83=1,COUNTIFS($M$4:$M$503,1,$N$4:$N$503,"&gt;"&amp;N83)+COUNTIFS($M$4:M83,1,$N$4:N83,N83),"")</f>
        <v/>
      </c>
      <c r="P83">
        <f>IF(G83="",0,IF(COUNTIF($G$4:G83,G83)=1,1,0))</f>
        <v>0</v>
      </c>
      <c r="Q83" t="str">
        <f>IF(P83=1,ROUND(SUMIF($G$4:$G$503,G83,$E$4:$E$503),2),"")</f>
        <v/>
      </c>
      <c r="R83" t="str">
        <f>IF(P83=1,COUNTIFS($P$4:$P$503,1,$Q$4:$Q$503,"&gt;"&amp;Q83)+COUNTIFS($P$4:P83,1,$Q$4:Q83,Q83),"")</f>
        <v/>
      </c>
      <c r="S83">
        <f>IF(H83="",0,IF(COUNTIF($H$4:H83,H83)=1,1,0))</f>
        <v>0</v>
      </c>
      <c r="T83" t="str">
        <f>IF(S83=1,ROUND(SUMIF($H$4:$H$503,H83,$E$4:$E$503),2),"")</f>
        <v/>
      </c>
      <c r="U83" t="str">
        <f>IF(S83=1,COUNTIFS($S$4:$S$503,1,$T$4:$T$503,"&gt;"&amp;T83)+COUNTIFS($S$4:S83,1,$T$4:T83,T83),"")</f>
        <v/>
      </c>
      <c r="V83" t="str">
        <f>IF(D83=1,MIN(INDEX($R$4:$R$503,MATCH(G83,$G$4:$G$503,0)),IF($AL$7&gt;9,9,999)),"")</f>
        <v/>
      </c>
      <c r="W83" s="166">
        <f>IF(OR($I83="",$E83=0),0,IF(OR($J83&lt;W$3,$I83&gt;W$2),0,IF($K83=0,IF(AND($I83&gt;=W$3,$I83&lt;=W$2),$E83,0),$E83*NETWORKDAYS(MAX($I83,W$3),MIN($J83,W$2),Data!$K$4:$K$203)/$K83)))</f>
        <v>0</v>
      </c>
      <c r="X83" s="166">
        <f>IF(OR($I83="",$E83=0),0,IF(OR($J83&lt;X$3,$I83&gt;X$2),0,IF($K83=0,IF(AND($I83&gt;=X$3,$I83&lt;=X$2),$E83,0),$E83*NETWORKDAYS(MAX($I83,X$3),MIN($J83,X$2),Data!$K$4:$K$203)/$K83)))</f>
        <v>0</v>
      </c>
      <c r="Y83" s="166">
        <f>IF(OR($I83="",$E83=0),0,IF(OR($J83&lt;Y$3,$I83&gt;Y$2),0,IF($K83=0,IF(AND($I83&gt;=Y$3,$I83&lt;=Y$2),$E83,0),$E83*NETWORKDAYS(MAX($I83,Y$3),MIN($J83,Y$2),Data!$K$4:$K$203)/$K83)))</f>
        <v>0</v>
      </c>
      <c r="Z83" s="166">
        <f>IF(OR($I83="",$E83=0),0,IF(OR($J83&lt;Z$3,$I83&gt;Z$2),0,IF($K83=0,IF(AND($I83&gt;=Z$3,$I83&lt;=Z$2),$E83,0),$E83*NETWORKDAYS(MAX($I83,Z$3),MIN($J83,Z$2),Data!$K$4:$K$203)/$K83)))</f>
        <v>0</v>
      </c>
      <c r="AA83" s="166">
        <f>IF(OR($I83="",$E83=0),0,IF(OR($J83&lt;AA$3,$I83&gt;AA$2),0,IF($K83=0,IF(AND($I83&gt;=AA$3,$I83&lt;=AA$2),$E83,0),$E83*NETWORKDAYS(MAX($I83,AA$3),MIN($J83,AA$2),Data!$K$4:$K$203)/$K83)))</f>
        <v>0</v>
      </c>
      <c r="AB83" s="166">
        <f>IF(OR($I83="",$E83=0),0,IF(OR($J83&lt;AB$3,$I83&gt;AB$2),0,IF($K83=0,IF(AND($I83&gt;=AB$3,$I83&lt;=AB$2),$E83,0),$E83*NETWORKDAYS(MAX($I83,AB$3),MIN($J83,AB$2),Data!$K$4:$K$203)/$K83)))</f>
        <v>0</v>
      </c>
      <c r="AC83" s="166">
        <f>IF(OR($I83="",$E83=0),0,IF(OR($J83&lt;AC$3,$I83&gt;AC$2),0,IF($K83=0,IF(AND($I83&gt;=AC$3,$I83&lt;=AC$2),$E83,0),$E83*NETWORKDAYS(MAX($I83,AC$3),MIN($J83,AC$2),Data!$K$4:$K$203)/$K83)))</f>
        <v>0</v>
      </c>
      <c r="AD83" s="166">
        <f>IF(OR($I83="",$E83=0),0,IF(OR($J83&lt;AD$3,$I83&gt;AD$2),0,IF($K83=0,IF(AND($I83&gt;=AD$3,$I83&lt;=AD$2),$E83,0),$E83*NETWORKDAYS(MAX($I83,AD$3),MIN($J83,AD$2),Data!$K$4:$K$203)/$K83)))</f>
        <v>0</v>
      </c>
      <c r="AE83" s="166">
        <f>IF(OR($I83="",$E83=0),0,IF(OR($J83&lt;AE$3,$I83&gt;AE$2),0,IF($K83=0,IF(AND($I83&gt;=AE$3,$I83&lt;=AE$2),$E83,0),$E83*NETWORKDAYS(MAX($I83,AE$3),MIN($J83,AE$2),Data!$K$4:$K$203)/$K83)))</f>
        <v>0</v>
      </c>
      <c r="AF83" s="166">
        <f>IF(OR($I83="",$E83=0),0,IF(OR($J83&lt;AF$3,$I83&gt;AF$2),0,IF($K83=0,IF(AND($I83&gt;=AF$3,$I83&lt;=AF$2),$E83,0),$E83*NETWORKDAYS(MAX($I83,AF$3),MIN($J83,AF$2),Data!$K$4:$K$203)/$K83)))</f>
        <v>0</v>
      </c>
      <c r="AG83" s="166">
        <f>IF(OR($I83="",$E83=0),0,IF(OR($J83&lt;AG$3,$I83&gt;AG$2),0,IF($K83=0,IF(AND($I83&gt;=AG$3,$I83&lt;=AG$2),$E83,0),$E83*NETWORKDAYS(MAX($I83,AG$3),MIN($J83,AG$2),Data!$K$4:$K$203)/$K83)))</f>
        <v>0</v>
      </c>
      <c r="AH83" s="166">
        <f>IF(OR($I83="",$E83=0),0,IF(OR($J83&lt;AH$3,$I83&gt;AH$2),0,IF($K83=0,IF(AND($I83&gt;=AH$3,$I83&lt;=AH$2),$E83,0),$E83*NETWORKDAYS(MAX($I83,AH$3),MIN($J83,AH$2),Data!$K$4:$K$203)/$K83)))</f>
        <v>0</v>
      </c>
      <c r="AI83" s="166">
        <f>SUM(W83:AH83)</f>
        <v>0</v>
      </c>
      <c r="BW83" t="n">
        <v>80</v>
      </c>
      <c r="BX83" t="str">
        <f>IFERROR(MATCH(BW83,$EQ$4:$EQ$503,0),"")</f>
        <v/>
      </c>
      <c r="BZ83" t="str">
        <f>IF(D83=1,IF(TRIM(INDEX(Charge!$K:$K,ROW()))&lt;&gt;"",TRIM(INDEX(Charge!$K:$K,ROW())),IF(TRIM(INDEX(Charge!$L:$L,ROW()))&lt;&gt;"",TRIM(INDEX(Charge!$L:$L,ROW())),"(non affecté)")),"")</f>
        <v/>
      </c>
      <c r="CA83" t="str">
        <f>IF(AND($CD$4&lt;&gt;"",BZ83=$CD$4),COUNTIFS($BZ$4:$BZ$503,$CD$4,$L$4:$L$503,"&lt;"&amp;L83)+1,"")</f>
        <v/>
      </c>
      <c r="EJ83" t="str">
        <f>TRIM(INDEX(Data!$E:$E,ROW()))</f>
        <v/>
      </c>
      <c r="EK83" t="str">
        <f>TRIM(INDEX(Data!$H:$H,ROW()))</f>
        <v/>
      </c>
      <c r="EM83" t="str">
        <f>IF(D83=1,IF(TRIM(INDEX(Charge!$K:$K,ROW()))&lt;&gt;"","Interne",IF(TRIM(INDEX(Charge!$L:$L,ROW()))&lt;&gt;"","Externe","Non affecté")),"")</f>
        <v/>
      </c>
      <c r="EN83" t="str">
        <f>IF(D83=1,LEFT(SUBSTITUTE(SUBSTITUTE(SUBSTITUTE(TRIM(SUBSTITUTE(INDEX(Charge!$B:$B,ROW()),CHAR(160)," "))&amp;" | "&amp;TRIM(SUBSTITUTE(INDEX(Charge!$C:$C,ROW()),CHAR(160)," "))&amp;" | "&amp;TRIM(SUBSTITUTE(INDEX(Charge!$D:$D,ROW()),CHAR(160)," ")),"~","-"),"*","+"),"?","!"),240),"")</f>
        <v/>
      </c>
      <c r="EO83">
        <f>IF(EN83="",0,IF(COUNTIF($EN$4:EN83,EN83)=1,1,0))</f>
        <v>0</v>
      </c>
      <c r="EP83" s="166" t="str">
        <f>IF(EO83=1,ROUND(SUMIF($EN$4:$EN$503,EN83,$E$4:$E$503),2),"")</f>
        <v/>
      </c>
      <c r="EQ83" t="str">
        <f>IF(EO83=1,COUNTIFS($EO$4:$EO$503,1,$EP$4:$EP$503,"&gt;"&amp;EP83)+COUNTIFS($EO$4:EO83,1,$EP$4:EP83,EP83),"")</f>
        <v/>
      </c>
      <c r="ER83" t="str">
        <f>IF(EO83=1,COUNTIFS($EN$4:$EN$503,EN83,$EM$4:$EM$503,"Interne",$FE$4:$FE$503,1),"")</f>
        <v/>
      </c>
      <c r="ES83" t="str">
        <f>IF(EO83=1,COUNTIFS($EN$4:$EN$503,EN83,$EM$4:$EM$503,"Externe",$FE$4:$FE$503,1),"")</f>
        <v/>
      </c>
      <c r="ET83" t="str">
        <f>IF(EO83=1,IF(ER83+ES83=0,"à affecter",IF(ER83=0,ES83&amp;" ext.",(ER83+ES83)&amp;IF(ES83&gt;0," dont "&amp;ES83&amp;" ext.",""))&amp;IF(COUNTIFS($EN$4:$EN$503,EN83,$EM$4:$EM$503,"Non affecté")&gt;0," + à affecter","")),"")</f>
        <v/>
      </c>
      <c r="EU83" s="170" t="str">
        <f>IF(EO83=1,IF(EP83&gt;0,SUMPRODUCT(($EN$4:$EN$503=EN83)*$E$4:$E$503*$C$4:$C$503)/EP83,AVERAGEIF($EN$4:$EN$503,EN83,$C$4:$C$503)),"")</f>
        <v/>
      </c>
      <c r="EV83" s="165">
        <f>IF(ISNUMBER(I83),I83,2958465)</f>
        <v>2958465.0</v>
      </c>
      <c r="EW83" s="165" t="str">
        <f>IF(EO83=1,SUMPRODUCT(MIN(($EN$4:$EN$503=EN83)*$EV$4:$EV$503+($EN$4:$EN$503&lt;&gt;EN83)*2958465)),"")</f>
        <v/>
      </c>
      <c r="EX83" s="165">
        <f>IF(AND(D83=1,ISNUMBER(INDEX(Charge!$F:$F,ROW()))),INDEX(Charge!$F:$F,ROW()),0)</f>
        <v>0.0</v>
      </c>
      <c r="EY83" s="165" t="str">
        <f>IF(EO83=1,SUMPRODUCT(MAX(($EN$4:$EN$503=EN83)*$EX$4:$EX$503)),"")</f>
        <v/>
      </c>
      <c r="FA83" t="str">
        <f>IF(80&lt;=$CD$23,INDEX($EJ$4:$EJ$203,80),IF(80-$CD$23&lt;=$CD$26,INDEX($EK$4:$EK$203,80-$CD$23),""))</f>
        <v/>
      </c>
      <c r="FB83" t="str">
        <f>IF(FA83="","",IF(80&lt;=$CD$23,"Interne","Externe"))</f>
        <v/>
      </c>
      <c r="FD83">
        <f>IF(AND(B83=1,TRIM(INDEX(Charge!$K:$K,ROW()))&lt;&gt;"",TRIM(INDEX(Charge!$L:$L,ROW()))&lt;&gt;""),1,0)</f>
        <v>0</v>
      </c>
      <c r="FE83">
        <f>IF(OR(EN83="",BZ83="(non affecté)"),0,IF(COUNTIFS($EN$4:EN83,EN83,$BZ$4:BZ83,BZ83)=1,1,0))</f>
        <v>0</v>
      </c>
    </row>
    <row r="84">
      <c r="A84">
        <f>ROW()</f>
        <v>84</v>
      </c>
      <c r="B84">
        <f>IF(TRIM(INDEX(Charge!$B:$B,ROW()))&lt;&gt;"",1,0)</f>
        <v>0</v>
      </c>
      <c r="C84">
        <f>IF(B84=1,MIN(1,MAX(0,N(INDEX(Charge!$O:$O,ROW())))),0)</f>
        <v>0</v>
      </c>
      <c r="D84">
        <f>IF(B84=1,IF(OR(p_Perimetre="Tous les projets",C84&lt;1),1,0),0)</f>
        <v>0</v>
      </c>
      <c r="E84">
        <f>IF(D84=1,MAX(0,N(INDEX(Charge!$M:$M,ROW()))),0)</f>
        <v>0</v>
      </c>
      <c r="F84" t="str">
        <f>IF(D84=1,IF(TRIM(INDEX(Charge!$A:$A,ROW()))="","(non renseigné)",TRIM(INDEX(Charge!$A:$A,ROW()))),"")</f>
        <v/>
      </c>
      <c r="G84" t="str">
        <f>IF(D84=1,TRIM(INDEX(Charge!$B:$B,ROW())),"")</f>
        <v/>
      </c>
      <c r="H84" t="str">
        <f>IF(D84=1,IF(TRIM(INDEX(Charge!$E:$E,ROW()))="","(non renseigné)",TRIM(INDEX(Charge!$E:$E,ROW()))),"")</f>
        <v/>
      </c>
      <c r="I84" s="165" t="str">
        <f>IF(AND(D84=1,ISNUMBER(INDEX(Charge!$N:$N,ROW()))),INDEX(Charge!$N:$N,ROW()),"")</f>
        <v/>
      </c>
      <c r="J84" s="165" t="str">
        <f>IF(I84="","",IF(AND(p_Repartition="Lissée jusqu'à la date de besoin",ISNUMBER(INDEX(Charge!$F:$F,ROW()))),IF(INDEX(Charge!$F:$F,ROW())&gt;=I84,INDEX(Charge!$F:$F,ROW()),I84),I84))</f>
        <v/>
      </c>
      <c r="K84" t="str">
        <f>IF(I84="","",NETWORKDAYS(I84,J84,Data!$K$4:$K$203))</f>
        <v/>
      </c>
      <c r="L84" t="str">
        <f>IF(D84=1,COUNTIFS($D$4:$D$503,1,$E$4:$E$503,"&gt;"&amp;E84)+COUNTIFS($D$4:$D84,1,$E$4:$E84,E84),"")</f>
        <v/>
      </c>
      <c r="M84">
        <f>IF(F84="",0,IF(COUNTIF($F$4:F84,F84)=1,1,0))</f>
        <v>0</v>
      </c>
      <c r="N84" t="str">
        <f>IF(M84=1,ROUND(SUMIF($F$4:$F$503,F84,$E$4:$E$503),2),"")</f>
        <v/>
      </c>
      <c r="O84" t="str">
        <f>IF(M84=1,COUNTIFS($M$4:$M$503,1,$N$4:$N$503,"&gt;"&amp;N84)+COUNTIFS($M$4:M84,1,$N$4:N84,N84),"")</f>
        <v/>
      </c>
      <c r="P84">
        <f>IF(G84="",0,IF(COUNTIF($G$4:G84,G84)=1,1,0))</f>
        <v>0</v>
      </c>
      <c r="Q84" t="str">
        <f>IF(P84=1,ROUND(SUMIF($G$4:$G$503,G84,$E$4:$E$503),2),"")</f>
        <v/>
      </c>
      <c r="R84" t="str">
        <f>IF(P84=1,COUNTIFS($P$4:$P$503,1,$Q$4:$Q$503,"&gt;"&amp;Q84)+COUNTIFS($P$4:P84,1,$Q$4:Q84,Q84),"")</f>
        <v/>
      </c>
      <c r="S84">
        <f>IF(H84="",0,IF(COUNTIF($H$4:H84,H84)=1,1,0))</f>
        <v>0</v>
      </c>
      <c r="T84" t="str">
        <f>IF(S84=1,ROUND(SUMIF($H$4:$H$503,H84,$E$4:$E$503),2),"")</f>
        <v/>
      </c>
      <c r="U84" t="str">
        <f>IF(S84=1,COUNTIFS($S$4:$S$503,1,$T$4:$T$503,"&gt;"&amp;T84)+COUNTIFS($S$4:S84,1,$T$4:T84,T84),"")</f>
        <v/>
      </c>
      <c r="V84" t="str">
        <f>IF(D84=1,MIN(INDEX($R$4:$R$503,MATCH(G84,$G$4:$G$503,0)),IF($AL$7&gt;9,9,999)),"")</f>
        <v/>
      </c>
      <c r="W84" s="166">
        <f>IF(OR($I84="",$E84=0),0,IF(OR($J84&lt;W$3,$I84&gt;W$2),0,IF($K84=0,IF(AND($I84&gt;=W$3,$I84&lt;=W$2),$E84,0),$E84*NETWORKDAYS(MAX($I84,W$3),MIN($J84,W$2),Data!$K$4:$K$203)/$K84)))</f>
        <v>0</v>
      </c>
      <c r="X84" s="166">
        <f>IF(OR($I84="",$E84=0),0,IF(OR($J84&lt;X$3,$I84&gt;X$2),0,IF($K84=0,IF(AND($I84&gt;=X$3,$I84&lt;=X$2),$E84,0),$E84*NETWORKDAYS(MAX($I84,X$3),MIN($J84,X$2),Data!$K$4:$K$203)/$K84)))</f>
        <v>0</v>
      </c>
      <c r="Y84" s="166">
        <f>IF(OR($I84="",$E84=0),0,IF(OR($J84&lt;Y$3,$I84&gt;Y$2),0,IF($K84=0,IF(AND($I84&gt;=Y$3,$I84&lt;=Y$2),$E84,0),$E84*NETWORKDAYS(MAX($I84,Y$3),MIN($J84,Y$2),Data!$K$4:$K$203)/$K84)))</f>
        <v>0</v>
      </c>
      <c r="Z84" s="166">
        <f>IF(OR($I84="",$E84=0),0,IF(OR($J84&lt;Z$3,$I84&gt;Z$2),0,IF($K84=0,IF(AND($I84&gt;=Z$3,$I84&lt;=Z$2),$E84,0),$E84*NETWORKDAYS(MAX($I84,Z$3),MIN($J84,Z$2),Data!$K$4:$K$203)/$K84)))</f>
        <v>0</v>
      </c>
      <c r="AA84" s="166">
        <f>IF(OR($I84="",$E84=0),0,IF(OR($J84&lt;AA$3,$I84&gt;AA$2),0,IF($K84=0,IF(AND($I84&gt;=AA$3,$I84&lt;=AA$2),$E84,0),$E84*NETWORKDAYS(MAX($I84,AA$3),MIN($J84,AA$2),Data!$K$4:$K$203)/$K84)))</f>
        <v>0</v>
      </c>
      <c r="AB84" s="166">
        <f>IF(OR($I84="",$E84=0),0,IF(OR($J84&lt;AB$3,$I84&gt;AB$2),0,IF($K84=0,IF(AND($I84&gt;=AB$3,$I84&lt;=AB$2),$E84,0),$E84*NETWORKDAYS(MAX($I84,AB$3),MIN($J84,AB$2),Data!$K$4:$K$203)/$K84)))</f>
        <v>0</v>
      </c>
      <c r="AC84" s="166">
        <f>IF(OR($I84="",$E84=0),0,IF(OR($J84&lt;AC$3,$I84&gt;AC$2),0,IF($K84=0,IF(AND($I84&gt;=AC$3,$I84&lt;=AC$2),$E84,0),$E84*NETWORKDAYS(MAX($I84,AC$3),MIN($J84,AC$2),Data!$K$4:$K$203)/$K84)))</f>
        <v>0</v>
      </c>
      <c r="AD84" s="166">
        <f>IF(OR($I84="",$E84=0),0,IF(OR($J84&lt;AD$3,$I84&gt;AD$2),0,IF($K84=0,IF(AND($I84&gt;=AD$3,$I84&lt;=AD$2),$E84,0),$E84*NETWORKDAYS(MAX($I84,AD$3),MIN($J84,AD$2),Data!$K$4:$K$203)/$K84)))</f>
        <v>0</v>
      </c>
      <c r="AE84" s="166">
        <f>IF(OR($I84="",$E84=0),0,IF(OR($J84&lt;AE$3,$I84&gt;AE$2),0,IF($K84=0,IF(AND($I84&gt;=AE$3,$I84&lt;=AE$2),$E84,0),$E84*NETWORKDAYS(MAX($I84,AE$3),MIN($J84,AE$2),Data!$K$4:$K$203)/$K84)))</f>
        <v>0</v>
      </c>
      <c r="AF84" s="166">
        <f>IF(OR($I84="",$E84=0),0,IF(OR($J84&lt;AF$3,$I84&gt;AF$2),0,IF($K84=0,IF(AND($I84&gt;=AF$3,$I84&lt;=AF$2),$E84,0),$E84*NETWORKDAYS(MAX($I84,AF$3),MIN($J84,AF$2),Data!$K$4:$K$203)/$K84)))</f>
        <v>0</v>
      </c>
      <c r="AG84" s="166">
        <f>IF(OR($I84="",$E84=0),0,IF(OR($J84&lt;AG$3,$I84&gt;AG$2),0,IF($K84=0,IF(AND($I84&gt;=AG$3,$I84&lt;=AG$2),$E84,0),$E84*NETWORKDAYS(MAX($I84,AG$3),MIN($J84,AG$2),Data!$K$4:$K$203)/$K84)))</f>
        <v>0</v>
      </c>
      <c r="AH84" s="166">
        <f>IF(OR($I84="",$E84=0),0,IF(OR($J84&lt;AH$3,$I84&gt;AH$2),0,IF($K84=0,IF(AND($I84&gt;=AH$3,$I84&lt;=AH$2),$E84,0),$E84*NETWORKDAYS(MAX($I84,AH$3),MIN($J84,AH$2),Data!$K$4:$K$203)/$K84)))</f>
        <v>0</v>
      </c>
      <c r="AI84" s="166">
        <f>SUM(W84:AH84)</f>
        <v>0</v>
      </c>
      <c r="BW84" t="n">
        <v>81</v>
      </c>
      <c r="BX84" t="str">
        <f>IFERROR(MATCH(BW84,$EQ$4:$EQ$503,0),"")</f>
        <v/>
      </c>
      <c r="BZ84" t="str">
        <f>IF(D84=1,IF(TRIM(INDEX(Charge!$K:$K,ROW()))&lt;&gt;"",TRIM(INDEX(Charge!$K:$K,ROW())),IF(TRIM(INDEX(Charge!$L:$L,ROW()))&lt;&gt;"",TRIM(INDEX(Charge!$L:$L,ROW())),"(non affecté)")),"")</f>
        <v/>
      </c>
      <c r="CA84" t="str">
        <f>IF(AND($CD$4&lt;&gt;"",BZ84=$CD$4),COUNTIFS($BZ$4:$BZ$503,$CD$4,$L$4:$L$503,"&lt;"&amp;L84)+1,"")</f>
        <v/>
      </c>
      <c r="EJ84" t="str">
        <f>TRIM(INDEX(Data!$E:$E,ROW()))</f>
        <v/>
      </c>
      <c r="EK84" t="str">
        <f>TRIM(INDEX(Data!$H:$H,ROW()))</f>
        <v/>
      </c>
      <c r="EM84" t="str">
        <f>IF(D84=1,IF(TRIM(INDEX(Charge!$K:$K,ROW()))&lt;&gt;"","Interne",IF(TRIM(INDEX(Charge!$L:$L,ROW()))&lt;&gt;"","Externe","Non affecté")),"")</f>
        <v/>
      </c>
      <c r="EN84" t="str">
        <f>IF(D84=1,LEFT(SUBSTITUTE(SUBSTITUTE(SUBSTITUTE(TRIM(SUBSTITUTE(INDEX(Charge!$B:$B,ROW()),CHAR(160)," "))&amp;" | "&amp;TRIM(SUBSTITUTE(INDEX(Charge!$C:$C,ROW()),CHAR(160)," "))&amp;" | "&amp;TRIM(SUBSTITUTE(INDEX(Charge!$D:$D,ROW()),CHAR(160)," ")),"~","-"),"*","+"),"?","!"),240),"")</f>
        <v/>
      </c>
      <c r="EO84">
        <f>IF(EN84="",0,IF(COUNTIF($EN$4:EN84,EN84)=1,1,0))</f>
        <v>0</v>
      </c>
      <c r="EP84" s="166" t="str">
        <f>IF(EO84=1,ROUND(SUMIF($EN$4:$EN$503,EN84,$E$4:$E$503),2),"")</f>
        <v/>
      </c>
      <c r="EQ84" t="str">
        <f>IF(EO84=1,COUNTIFS($EO$4:$EO$503,1,$EP$4:$EP$503,"&gt;"&amp;EP84)+COUNTIFS($EO$4:EO84,1,$EP$4:EP84,EP84),"")</f>
        <v/>
      </c>
      <c r="ER84" t="str">
        <f>IF(EO84=1,COUNTIFS($EN$4:$EN$503,EN84,$EM$4:$EM$503,"Interne",$FE$4:$FE$503,1),"")</f>
        <v/>
      </c>
      <c r="ES84" t="str">
        <f>IF(EO84=1,COUNTIFS($EN$4:$EN$503,EN84,$EM$4:$EM$503,"Externe",$FE$4:$FE$503,1),"")</f>
        <v/>
      </c>
      <c r="ET84" t="str">
        <f>IF(EO84=1,IF(ER84+ES84=0,"à affecter",IF(ER84=0,ES84&amp;" ext.",(ER84+ES84)&amp;IF(ES84&gt;0," dont "&amp;ES84&amp;" ext.",""))&amp;IF(COUNTIFS($EN$4:$EN$503,EN84,$EM$4:$EM$503,"Non affecté")&gt;0," + à affecter","")),"")</f>
        <v/>
      </c>
      <c r="EU84" s="170" t="str">
        <f>IF(EO84=1,IF(EP84&gt;0,SUMPRODUCT(($EN$4:$EN$503=EN84)*$E$4:$E$503*$C$4:$C$503)/EP84,AVERAGEIF($EN$4:$EN$503,EN84,$C$4:$C$503)),"")</f>
        <v/>
      </c>
      <c r="EV84" s="165">
        <f>IF(ISNUMBER(I84),I84,2958465)</f>
        <v>2958465.0</v>
      </c>
      <c r="EW84" s="165" t="str">
        <f>IF(EO84=1,SUMPRODUCT(MIN(($EN$4:$EN$503=EN84)*$EV$4:$EV$503+($EN$4:$EN$503&lt;&gt;EN84)*2958465)),"")</f>
        <v/>
      </c>
      <c r="EX84" s="165">
        <f>IF(AND(D84=1,ISNUMBER(INDEX(Charge!$F:$F,ROW()))),INDEX(Charge!$F:$F,ROW()),0)</f>
        <v>0.0</v>
      </c>
      <c r="EY84" s="165" t="str">
        <f>IF(EO84=1,SUMPRODUCT(MAX(($EN$4:$EN$503=EN84)*$EX$4:$EX$503)),"")</f>
        <v/>
      </c>
      <c r="FA84" t="str">
        <f>IF(81&lt;=$CD$23,INDEX($EJ$4:$EJ$203,81),IF(81-$CD$23&lt;=$CD$26,INDEX($EK$4:$EK$203,81-$CD$23),""))</f>
        <v/>
      </c>
      <c r="FB84" t="str">
        <f>IF(FA84="","",IF(81&lt;=$CD$23,"Interne","Externe"))</f>
        <v/>
      </c>
      <c r="FD84">
        <f>IF(AND(B84=1,TRIM(INDEX(Charge!$K:$K,ROW()))&lt;&gt;"",TRIM(INDEX(Charge!$L:$L,ROW()))&lt;&gt;""),1,0)</f>
        <v>0</v>
      </c>
      <c r="FE84">
        <f>IF(OR(EN84="",BZ84="(non affecté)"),0,IF(COUNTIFS($EN$4:EN84,EN84,$BZ$4:BZ84,BZ84)=1,1,0))</f>
        <v>0</v>
      </c>
    </row>
    <row r="85">
      <c r="A85">
        <f>ROW()</f>
        <v>85</v>
      </c>
      <c r="B85">
        <f>IF(TRIM(INDEX(Charge!$B:$B,ROW()))&lt;&gt;"",1,0)</f>
        <v>0</v>
      </c>
      <c r="C85">
        <f>IF(B85=1,MIN(1,MAX(0,N(INDEX(Charge!$O:$O,ROW())))),0)</f>
        <v>0</v>
      </c>
      <c r="D85">
        <f>IF(B85=1,IF(OR(p_Perimetre="Tous les projets",C85&lt;1),1,0),0)</f>
        <v>0</v>
      </c>
      <c r="E85">
        <f>IF(D85=1,MAX(0,N(INDEX(Charge!$M:$M,ROW()))),0)</f>
        <v>0</v>
      </c>
      <c r="F85" t="str">
        <f>IF(D85=1,IF(TRIM(INDEX(Charge!$A:$A,ROW()))="","(non renseigné)",TRIM(INDEX(Charge!$A:$A,ROW()))),"")</f>
        <v/>
      </c>
      <c r="G85" t="str">
        <f>IF(D85=1,TRIM(INDEX(Charge!$B:$B,ROW())),"")</f>
        <v/>
      </c>
      <c r="H85" t="str">
        <f>IF(D85=1,IF(TRIM(INDEX(Charge!$E:$E,ROW()))="","(non renseigné)",TRIM(INDEX(Charge!$E:$E,ROW()))),"")</f>
        <v/>
      </c>
      <c r="I85" s="165" t="str">
        <f>IF(AND(D85=1,ISNUMBER(INDEX(Charge!$N:$N,ROW()))),INDEX(Charge!$N:$N,ROW()),"")</f>
        <v/>
      </c>
      <c r="J85" s="165" t="str">
        <f>IF(I85="","",IF(AND(p_Repartition="Lissée jusqu'à la date de besoin",ISNUMBER(INDEX(Charge!$F:$F,ROW()))),IF(INDEX(Charge!$F:$F,ROW())&gt;=I85,INDEX(Charge!$F:$F,ROW()),I85),I85))</f>
        <v/>
      </c>
      <c r="K85" t="str">
        <f>IF(I85="","",NETWORKDAYS(I85,J85,Data!$K$4:$K$203))</f>
        <v/>
      </c>
      <c r="L85" t="str">
        <f>IF(D85=1,COUNTIFS($D$4:$D$503,1,$E$4:$E$503,"&gt;"&amp;E85)+COUNTIFS($D$4:$D85,1,$E$4:$E85,E85),"")</f>
        <v/>
      </c>
      <c r="M85">
        <f>IF(F85="",0,IF(COUNTIF($F$4:F85,F85)=1,1,0))</f>
        <v>0</v>
      </c>
      <c r="N85" t="str">
        <f>IF(M85=1,ROUND(SUMIF($F$4:$F$503,F85,$E$4:$E$503),2),"")</f>
        <v/>
      </c>
      <c r="O85" t="str">
        <f>IF(M85=1,COUNTIFS($M$4:$M$503,1,$N$4:$N$503,"&gt;"&amp;N85)+COUNTIFS($M$4:M85,1,$N$4:N85,N85),"")</f>
        <v/>
      </c>
      <c r="P85">
        <f>IF(G85="",0,IF(COUNTIF($G$4:G85,G85)=1,1,0))</f>
        <v>0</v>
      </c>
      <c r="Q85" t="str">
        <f>IF(P85=1,ROUND(SUMIF($G$4:$G$503,G85,$E$4:$E$503),2),"")</f>
        <v/>
      </c>
      <c r="R85" t="str">
        <f>IF(P85=1,COUNTIFS($P$4:$P$503,1,$Q$4:$Q$503,"&gt;"&amp;Q85)+COUNTIFS($P$4:P85,1,$Q$4:Q85,Q85),"")</f>
        <v/>
      </c>
      <c r="S85">
        <f>IF(H85="",0,IF(COUNTIF($H$4:H85,H85)=1,1,0))</f>
        <v>0</v>
      </c>
      <c r="T85" t="str">
        <f>IF(S85=1,ROUND(SUMIF($H$4:$H$503,H85,$E$4:$E$503),2),"")</f>
        <v/>
      </c>
      <c r="U85" t="str">
        <f>IF(S85=1,COUNTIFS($S$4:$S$503,1,$T$4:$T$503,"&gt;"&amp;T85)+COUNTIFS($S$4:S85,1,$T$4:T85,T85),"")</f>
        <v/>
      </c>
      <c r="V85" t="str">
        <f>IF(D85=1,MIN(INDEX($R$4:$R$503,MATCH(G85,$G$4:$G$503,0)),IF($AL$7&gt;9,9,999)),"")</f>
        <v/>
      </c>
      <c r="W85" s="166">
        <f>IF(OR($I85="",$E85=0),0,IF(OR($J85&lt;W$3,$I85&gt;W$2),0,IF($K85=0,IF(AND($I85&gt;=W$3,$I85&lt;=W$2),$E85,0),$E85*NETWORKDAYS(MAX($I85,W$3),MIN($J85,W$2),Data!$K$4:$K$203)/$K85)))</f>
        <v>0</v>
      </c>
      <c r="X85" s="166">
        <f>IF(OR($I85="",$E85=0),0,IF(OR($J85&lt;X$3,$I85&gt;X$2),0,IF($K85=0,IF(AND($I85&gt;=X$3,$I85&lt;=X$2),$E85,0),$E85*NETWORKDAYS(MAX($I85,X$3),MIN($J85,X$2),Data!$K$4:$K$203)/$K85)))</f>
        <v>0</v>
      </c>
      <c r="Y85" s="166">
        <f>IF(OR($I85="",$E85=0),0,IF(OR($J85&lt;Y$3,$I85&gt;Y$2),0,IF($K85=0,IF(AND($I85&gt;=Y$3,$I85&lt;=Y$2),$E85,0),$E85*NETWORKDAYS(MAX($I85,Y$3),MIN($J85,Y$2),Data!$K$4:$K$203)/$K85)))</f>
        <v>0</v>
      </c>
      <c r="Z85" s="166">
        <f>IF(OR($I85="",$E85=0),0,IF(OR($J85&lt;Z$3,$I85&gt;Z$2),0,IF($K85=0,IF(AND($I85&gt;=Z$3,$I85&lt;=Z$2),$E85,0),$E85*NETWORKDAYS(MAX($I85,Z$3),MIN($J85,Z$2),Data!$K$4:$K$203)/$K85)))</f>
        <v>0</v>
      </c>
      <c r="AA85" s="166">
        <f>IF(OR($I85="",$E85=0),0,IF(OR($J85&lt;AA$3,$I85&gt;AA$2),0,IF($K85=0,IF(AND($I85&gt;=AA$3,$I85&lt;=AA$2),$E85,0),$E85*NETWORKDAYS(MAX($I85,AA$3),MIN($J85,AA$2),Data!$K$4:$K$203)/$K85)))</f>
        <v>0</v>
      </c>
      <c r="AB85" s="166">
        <f>IF(OR($I85="",$E85=0),0,IF(OR($J85&lt;AB$3,$I85&gt;AB$2),0,IF($K85=0,IF(AND($I85&gt;=AB$3,$I85&lt;=AB$2),$E85,0),$E85*NETWORKDAYS(MAX($I85,AB$3),MIN($J85,AB$2),Data!$K$4:$K$203)/$K85)))</f>
        <v>0</v>
      </c>
      <c r="AC85" s="166">
        <f>IF(OR($I85="",$E85=0),0,IF(OR($J85&lt;AC$3,$I85&gt;AC$2),0,IF($K85=0,IF(AND($I85&gt;=AC$3,$I85&lt;=AC$2),$E85,0),$E85*NETWORKDAYS(MAX($I85,AC$3),MIN($J85,AC$2),Data!$K$4:$K$203)/$K85)))</f>
        <v>0</v>
      </c>
      <c r="AD85" s="166">
        <f>IF(OR($I85="",$E85=0),0,IF(OR($J85&lt;AD$3,$I85&gt;AD$2),0,IF($K85=0,IF(AND($I85&gt;=AD$3,$I85&lt;=AD$2),$E85,0),$E85*NETWORKDAYS(MAX($I85,AD$3),MIN($J85,AD$2),Data!$K$4:$K$203)/$K85)))</f>
        <v>0</v>
      </c>
      <c r="AE85" s="166">
        <f>IF(OR($I85="",$E85=0),0,IF(OR($J85&lt;AE$3,$I85&gt;AE$2),0,IF($K85=0,IF(AND($I85&gt;=AE$3,$I85&lt;=AE$2),$E85,0),$E85*NETWORKDAYS(MAX($I85,AE$3),MIN($J85,AE$2),Data!$K$4:$K$203)/$K85)))</f>
        <v>0</v>
      </c>
      <c r="AF85" s="166">
        <f>IF(OR($I85="",$E85=0),0,IF(OR($J85&lt;AF$3,$I85&gt;AF$2),0,IF($K85=0,IF(AND($I85&gt;=AF$3,$I85&lt;=AF$2),$E85,0),$E85*NETWORKDAYS(MAX($I85,AF$3),MIN($J85,AF$2),Data!$K$4:$K$203)/$K85)))</f>
        <v>0</v>
      </c>
      <c r="AG85" s="166">
        <f>IF(OR($I85="",$E85=0),0,IF(OR($J85&lt;AG$3,$I85&gt;AG$2),0,IF($K85=0,IF(AND($I85&gt;=AG$3,$I85&lt;=AG$2),$E85,0),$E85*NETWORKDAYS(MAX($I85,AG$3),MIN($J85,AG$2),Data!$K$4:$K$203)/$K85)))</f>
        <v>0</v>
      </c>
      <c r="AH85" s="166">
        <f>IF(OR($I85="",$E85=0),0,IF(OR($J85&lt;AH$3,$I85&gt;AH$2),0,IF($K85=0,IF(AND($I85&gt;=AH$3,$I85&lt;=AH$2),$E85,0),$E85*NETWORKDAYS(MAX($I85,AH$3),MIN($J85,AH$2),Data!$K$4:$K$203)/$K85)))</f>
        <v>0</v>
      </c>
      <c r="AI85" s="166">
        <f>SUM(W85:AH85)</f>
        <v>0</v>
      </c>
      <c r="BW85" t="n">
        <v>82</v>
      </c>
      <c r="BX85" t="str">
        <f>IFERROR(MATCH(BW85,$EQ$4:$EQ$503,0),"")</f>
        <v/>
      </c>
      <c r="BZ85" t="str">
        <f>IF(D85=1,IF(TRIM(INDEX(Charge!$K:$K,ROW()))&lt;&gt;"",TRIM(INDEX(Charge!$K:$K,ROW())),IF(TRIM(INDEX(Charge!$L:$L,ROW()))&lt;&gt;"",TRIM(INDEX(Charge!$L:$L,ROW())),"(non affecté)")),"")</f>
        <v/>
      </c>
      <c r="CA85" t="str">
        <f>IF(AND($CD$4&lt;&gt;"",BZ85=$CD$4),COUNTIFS($BZ$4:$BZ$503,$CD$4,$L$4:$L$503,"&lt;"&amp;L85)+1,"")</f>
        <v/>
      </c>
      <c r="EJ85" t="str">
        <f>TRIM(INDEX(Data!$E:$E,ROW()))</f>
        <v/>
      </c>
      <c r="EK85" t="str">
        <f>TRIM(INDEX(Data!$H:$H,ROW()))</f>
        <v/>
      </c>
      <c r="EM85" t="str">
        <f>IF(D85=1,IF(TRIM(INDEX(Charge!$K:$K,ROW()))&lt;&gt;"","Interne",IF(TRIM(INDEX(Charge!$L:$L,ROW()))&lt;&gt;"","Externe","Non affecté")),"")</f>
        <v/>
      </c>
      <c r="EN85" t="str">
        <f>IF(D85=1,LEFT(SUBSTITUTE(SUBSTITUTE(SUBSTITUTE(TRIM(SUBSTITUTE(INDEX(Charge!$B:$B,ROW()),CHAR(160)," "))&amp;" | "&amp;TRIM(SUBSTITUTE(INDEX(Charge!$C:$C,ROW()),CHAR(160)," "))&amp;" | "&amp;TRIM(SUBSTITUTE(INDEX(Charge!$D:$D,ROW()),CHAR(160)," ")),"~","-"),"*","+"),"?","!"),240),"")</f>
        <v/>
      </c>
      <c r="EO85">
        <f>IF(EN85="",0,IF(COUNTIF($EN$4:EN85,EN85)=1,1,0))</f>
        <v>0</v>
      </c>
      <c r="EP85" s="166" t="str">
        <f>IF(EO85=1,ROUND(SUMIF($EN$4:$EN$503,EN85,$E$4:$E$503),2),"")</f>
        <v/>
      </c>
      <c r="EQ85" t="str">
        <f>IF(EO85=1,COUNTIFS($EO$4:$EO$503,1,$EP$4:$EP$503,"&gt;"&amp;EP85)+COUNTIFS($EO$4:EO85,1,$EP$4:EP85,EP85),"")</f>
        <v/>
      </c>
      <c r="ER85" t="str">
        <f>IF(EO85=1,COUNTIFS($EN$4:$EN$503,EN85,$EM$4:$EM$503,"Interne",$FE$4:$FE$503,1),"")</f>
        <v/>
      </c>
      <c r="ES85" t="str">
        <f>IF(EO85=1,COUNTIFS($EN$4:$EN$503,EN85,$EM$4:$EM$503,"Externe",$FE$4:$FE$503,1),"")</f>
        <v/>
      </c>
      <c r="ET85" t="str">
        <f>IF(EO85=1,IF(ER85+ES85=0,"à affecter",IF(ER85=0,ES85&amp;" ext.",(ER85+ES85)&amp;IF(ES85&gt;0," dont "&amp;ES85&amp;" ext.",""))&amp;IF(COUNTIFS($EN$4:$EN$503,EN85,$EM$4:$EM$503,"Non affecté")&gt;0," + à affecter","")),"")</f>
        <v/>
      </c>
      <c r="EU85" s="170" t="str">
        <f>IF(EO85=1,IF(EP85&gt;0,SUMPRODUCT(($EN$4:$EN$503=EN85)*$E$4:$E$503*$C$4:$C$503)/EP85,AVERAGEIF($EN$4:$EN$503,EN85,$C$4:$C$503)),"")</f>
        <v/>
      </c>
      <c r="EV85" s="165">
        <f>IF(ISNUMBER(I85),I85,2958465)</f>
        <v>2958465.0</v>
      </c>
      <c r="EW85" s="165" t="str">
        <f>IF(EO85=1,SUMPRODUCT(MIN(($EN$4:$EN$503=EN85)*$EV$4:$EV$503+($EN$4:$EN$503&lt;&gt;EN85)*2958465)),"")</f>
        <v/>
      </c>
      <c r="EX85" s="165">
        <f>IF(AND(D85=1,ISNUMBER(INDEX(Charge!$F:$F,ROW()))),INDEX(Charge!$F:$F,ROW()),0)</f>
        <v>0.0</v>
      </c>
      <c r="EY85" s="165" t="str">
        <f>IF(EO85=1,SUMPRODUCT(MAX(($EN$4:$EN$503=EN85)*$EX$4:$EX$503)),"")</f>
        <v/>
      </c>
      <c r="FA85" t="str">
        <f>IF(82&lt;=$CD$23,INDEX($EJ$4:$EJ$203,82),IF(82-$CD$23&lt;=$CD$26,INDEX($EK$4:$EK$203,82-$CD$23),""))</f>
        <v/>
      </c>
      <c r="FB85" t="str">
        <f>IF(FA85="","",IF(82&lt;=$CD$23,"Interne","Externe"))</f>
        <v/>
      </c>
      <c r="FD85">
        <f>IF(AND(B85=1,TRIM(INDEX(Charge!$K:$K,ROW()))&lt;&gt;"",TRIM(INDEX(Charge!$L:$L,ROW()))&lt;&gt;""),1,0)</f>
        <v>0</v>
      </c>
      <c r="FE85">
        <f>IF(OR(EN85="",BZ85="(non affecté)"),0,IF(COUNTIFS($EN$4:EN85,EN85,$BZ$4:BZ85,BZ85)=1,1,0))</f>
        <v>0</v>
      </c>
    </row>
    <row r="86">
      <c r="A86">
        <f>ROW()</f>
        <v>86</v>
      </c>
      <c r="B86">
        <f>IF(TRIM(INDEX(Charge!$B:$B,ROW()))&lt;&gt;"",1,0)</f>
        <v>0</v>
      </c>
      <c r="C86">
        <f>IF(B86=1,MIN(1,MAX(0,N(INDEX(Charge!$O:$O,ROW())))),0)</f>
        <v>0</v>
      </c>
      <c r="D86">
        <f>IF(B86=1,IF(OR(p_Perimetre="Tous les projets",C86&lt;1),1,0),0)</f>
        <v>0</v>
      </c>
      <c r="E86">
        <f>IF(D86=1,MAX(0,N(INDEX(Charge!$M:$M,ROW()))),0)</f>
        <v>0</v>
      </c>
      <c r="F86" t="str">
        <f>IF(D86=1,IF(TRIM(INDEX(Charge!$A:$A,ROW()))="","(non renseigné)",TRIM(INDEX(Charge!$A:$A,ROW()))),"")</f>
        <v/>
      </c>
      <c r="G86" t="str">
        <f>IF(D86=1,TRIM(INDEX(Charge!$B:$B,ROW())),"")</f>
        <v/>
      </c>
      <c r="H86" t="str">
        <f>IF(D86=1,IF(TRIM(INDEX(Charge!$E:$E,ROW()))="","(non renseigné)",TRIM(INDEX(Charge!$E:$E,ROW()))),"")</f>
        <v/>
      </c>
      <c r="I86" s="165" t="str">
        <f>IF(AND(D86=1,ISNUMBER(INDEX(Charge!$N:$N,ROW()))),INDEX(Charge!$N:$N,ROW()),"")</f>
        <v/>
      </c>
      <c r="J86" s="165" t="str">
        <f>IF(I86="","",IF(AND(p_Repartition="Lissée jusqu'à la date de besoin",ISNUMBER(INDEX(Charge!$F:$F,ROW()))),IF(INDEX(Charge!$F:$F,ROW())&gt;=I86,INDEX(Charge!$F:$F,ROW()),I86),I86))</f>
        <v/>
      </c>
      <c r="K86" t="str">
        <f>IF(I86="","",NETWORKDAYS(I86,J86,Data!$K$4:$K$203))</f>
        <v/>
      </c>
      <c r="L86" t="str">
        <f>IF(D86=1,COUNTIFS($D$4:$D$503,1,$E$4:$E$503,"&gt;"&amp;E86)+COUNTIFS($D$4:$D86,1,$E$4:$E86,E86),"")</f>
        <v/>
      </c>
      <c r="M86">
        <f>IF(F86="",0,IF(COUNTIF($F$4:F86,F86)=1,1,0))</f>
        <v>0</v>
      </c>
      <c r="N86" t="str">
        <f>IF(M86=1,ROUND(SUMIF($F$4:$F$503,F86,$E$4:$E$503),2),"")</f>
        <v/>
      </c>
      <c r="O86" t="str">
        <f>IF(M86=1,COUNTIFS($M$4:$M$503,1,$N$4:$N$503,"&gt;"&amp;N86)+COUNTIFS($M$4:M86,1,$N$4:N86,N86),"")</f>
        <v/>
      </c>
      <c r="P86">
        <f>IF(G86="",0,IF(COUNTIF($G$4:G86,G86)=1,1,0))</f>
        <v>0</v>
      </c>
      <c r="Q86" t="str">
        <f>IF(P86=1,ROUND(SUMIF($G$4:$G$503,G86,$E$4:$E$503),2),"")</f>
        <v/>
      </c>
      <c r="R86" t="str">
        <f>IF(P86=1,COUNTIFS($P$4:$P$503,1,$Q$4:$Q$503,"&gt;"&amp;Q86)+COUNTIFS($P$4:P86,1,$Q$4:Q86,Q86),"")</f>
        <v/>
      </c>
      <c r="S86">
        <f>IF(H86="",0,IF(COUNTIF($H$4:H86,H86)=1,1,0))</f>
        <v>0</v>
      </c>
      <c r="T86" t="str">
        <f>IF(S86=1,ROUND(SUMIF($H$4:$H$503,H86,$E$4:$E$503),2),"")</f>
        <v/>
      </c>
      <c r="U86" t="str">
        <f>IF(S86=1,COUNTIFS($S$4:$S$503,1,$T$4:$T$503,"&gt;"&amp;T86)+COUNTIFS($S$4:S86,1,$T$4:T86,T86),"")</f>
        <v/>
      </c>
      <c r="V86" t="str">
        <f>IF(D86=1,MIN(INDEX($R$4:$R$503,MATCH(G86,$G$4:$G$503,0)),IF($AL$7&gt;9,9,999)),"")</f>
        <v/>
      </c>
      <c r="W86" s="166">
        <f>IF(OR($I86="",$E86=0),0,IF(OR($J86&lt;W$3,$I86&gt;W$2),0,IF($K86=0,IF(AND($I86&gt;=W$3,$I86&lt;=W$2),$E86,0),$E86*NETWORKDAYS(MAX($I86,W$3),MIN($J86,W$2),Data!$K$4:$K$203)/$K86)))</f>
        <v>0</v>
      </c>
      <c r="X86" s="166">
        <f>IF(OR($I86="",$E86=0),0,IF(OR($J86&lt;X$3,$I86&gt;X$2),0,IF($K86=0,IF(AND($I86&gt;=X$3,$I86&lt;=X$2),$E86,0),$E86*NETWORKDAYS(MAX($I86,X$3),MIN($J86,X$2),Data!$K$4:$K$203)/$K86)))</f>
        <v>0</v>
      </c>
      <c r="Y86" s="166">
        <f>IF(OR($I86="",$E86=0),0,IF(OR($J86&lt;Y$3,$I86&gt;Y$2),0,IF($K86=0,IF(AND($I86&gt;=Y$3,$I86&lt;=Y$2),$E86,0),$E86*NETWORKDAYS(MAX($I86,Y$3),MIN($J86,Y$2),Data!$K$4:$K$203)/$K86)))</f>
        <v>0</v>
      </c>
      <c r="Z86" s="166">
        <f>IF(OR($I86="",$E86=0),0,IF(OR($J86&lt;Z$3,$I86&gt;Z$2),0,IF($K86=0,IF(AND($I86&gt;=Z$3,$I86&lt;=Z$2),$E86,0),$E86*NETWORKDAYS(MAX($I86,Z$3),MIN($J86,Z$2),Data!$K$4:$K$203)/$K86)))</f>
        <v>0</v>
      </c>
      <c r="AA86" s="166">
        <f>IF(OR($I86="",$E86=0),0,IF(OR($J86&lt;AA$3,$I86&gt;AA$2),0,IF($K86=0,IF(AND($I86&gt;=AA$3,$I86&lt;=AA$2),$E86,0),$E86*NETWORKDAYS(MAX($I86,AA$3),MIN($J86,AA$2),Data!$K$4:$K$203)/$K86)))</f>
        <v>0</v>
      </c>
      <c r="AB86" s="166">
        <f>IF(OR($I86="",$E86=0),0,IF(OR($J86&lt;AB$3,$I86&gt;AB$2),0,IF($K86=0,IF(AND($I86&gt;=AB$3,$I86&lt;=AB$2),$E86,0),$E86*NETWORKDAYS(MAX($I86,AB$3),MIN($J86,AB$2),Data!$K$4:$K$203)/$K86)))</f>
        <v>0</v>
      </c>
      <c r="AC86" s="166">
        <f>IF(OR($I86="",$E86=0),0,IF(OR($J86&lt;AC$3,$I86&gt;AC$2),0,IF($K86=0,IF(AND($I86&gt;=AC$3,$I86&lt;=AC$2),$E86,0),$E86*NETWORKDAYS(MAX($I86,AC$3),MIN($J86,AC$2),Data!$K$4:$K$203)/$K86)))</f>
        <v>0</v>
      </c>
      <c r="AD86" s="166">
        <f>IF(OR($I86="",$E86=0),0,IF(OR($J86&lt;AD$3,$I86&gt;AD$2),0,IF($K86=0,IF(AND($I86&gt;=AD$3,$I86&lt;=AD$2),$E86,0),$E86*NETWORKDAYS(MAX($I86,AD$3),MIN($J86,AD$2),Data!$K$4:$K$203)/$K86)))</f>
        <v>0</v>
      </c>
      <c r="AE86" s="166">
        <f>IF(OR($I86="",$E86=0),0,IF(OR($J86&lt;AE$3,$I86&gt;AE$2),0,IF($K86=0,IF(AND($I86&gt;=AE$3,$I86&lt;=AE$2),$E86,0),$E86*NETWORKDAYS(MAX($I86,AE$3),MIN($J86,AE$2),Data!$K$4:$K$203)/$K86)))</f>
        <v>0</v>
      </c>
      <c r="AF86" s="166">
        <f>IF(OR($I86="",$E86=0),0,IF(OR($J86&lt;AF$3,$I86&gt;AF$2),0,IF($K86=0,IF(AND($I86&gt;=AF$3,$I86&lt;=AF$2),$E86,0),$E86*NETWORKDAYS(MAX($I86,AF$3),MIN($J86,AF$2),Data!$K$4:$K$203)/$K86)))</f>
        <v>0</v>
      </c>
      <c r="AG86" s="166">
        <f>IF(OR($I86="",$E86=0),0,IF(OR($J86&lt;AG$3,$I86&gt;AG$2),0,IF($K86=0,IF(AND($I86&gt;=AG$3,$I86&lt;=AG$2),$E86,0),$E86*NETWORKDAYS(MAX($I86,AG$3),MIN($J86,AG$2),Data!$K$4:$K$203)/$K86)))</f>
        <v>0</v>
      </c>
      <c r="AH86" s="166">
        <f>IF(OR($I86="",$E86=0),0,IF(OR($J86&lt;AH$3,$I86&gt;AH$2),0,IF($K86=0,IF(AND($I86&gt;=AH$3,$I86&lt;=AH$2),$E86,0),$E86*NETWORKDAYS(MAX($I86,AH$3),MIN($J86,AH$2),Data!$K$4:$K$203)/$K86)))</f>
        <v>0</v>
      </c>
      <c r="AI86" s="166">
        <f>SUM(W86:AH86)</f>
        <v>0</v>
      </c>
      <c r="BW86" t="n">
        <v>83</v>
      </c>
      <c r="BX86" t="str">
        <f>IFERROR(MATCH(BW86,$EQ$4:$EQ$503,0),"")</f>
        <v/>
      </c>
      <c r="BZ86" t="str">
        <f>IF(D86=1,IF(TRIM(INDEX(Charge!$K:$K,ROW()))&lt;&gt;"",TRIM(INDEX(Charge!$K:$K,ROW())),IF(TRIM(INDEX(Charge!$L:$L,ROW()))&lt;&gt;"",TRIM(INDEX(Charge!$L:$L,ROW())),"(non affecté)")),"")</f>
        <v/>
      </c>
      <c r="CA86" t="str">
        <f>IF(AND($CD$4&lt;&gt;"",BZ86=$CD$4),COUNTIFS($BZ$4:$BZ$503,$CD$4,$L$4:$L$503,"&lt;"&amp;L86)+1,"")</f>
        <v/>
      </c>
      <c r="EJ86" t="str">
        <f>TRIM(INDEX(Data!$E:$E,ROW()))</f>
        <v/>
      </c>
      <c r="EK86" t="str">
        <f>TRIM(INDEX(Data!$H:$H,ROW()))</f>
        <v/>
      </c>
      <c r="EM86" t="str">
        <f>IF(D86=1,IF(TRIM(INDEX(Charge!$K:$K,ROW()))&lt;&gt;"","Interne",IF(TRIM(INDEX(Charge!$L:$L,ROW()))&lt;&gt;"","Externe","Non affecté")),"")</f>
        <v/>
      </c>
      <c r="EN86" t="str">
        <f>IF(D86=1,LEFT(SUBSTITUTE(SUBSTITUTE(SUBSTITUTE(TRIM(SUBSTITUTE(INDEX(Charge!$B:$B,ROW()),CHAR(160)," "))&amp;" | "&amp;TRIM(SUBSTITUTE(INDEX(Charge!$C:$C,ROW()),CHAR(160)," "))&amp;" | "&amp;TRIM(SUBSTITUTE(INDEX(Charge!$D:$D,ROW()),CHAR(160)," ")),"~","-"),"*","+"),"?","!"),240),"")</f>
        <v/>
      </c>
      <c r="EO86">
        <f>IF(EN86="",0,IF(COUNTIF($EN$4:EN86,EN86)=1,1,0))</f>
        <v>0</v>
      </c>
      <c r="EP86" s="166" t="str">
        <f>IF(EO86=1,ROUND(SUMIF($EN$4:$EN$503,EN86,$E$4:$E$503),2),"")</f>
        <v/>
      </c>
      <c r="EQ86" t="str">
        <f>IF(EO86=1,COUNTIFS($EO$4:$EO$503,1,$EP$4:$EP$503,"&gt;"&amp;EP86)+COUNTIFS($EO$4:EO86,1,$EP$4:EP86,EP86),"")</f>
        <v/>
      </c>
      <c r="ER86" t="str">
        <f>IF(EO86=1,COUNTIFS($EN$4:$EN$503,EN86,$EM$4:$EM$503,"Interne",$FE$4:$FE$503,1),"")</f>
        <v/>
      </c>
      <c r="ES86" t="str">
        <f>IF(EO86=1,COUNTIFS($EN$4:$EN$503,EN86,$EM$4:$EM$503,"Externe",$FE$4:$FE$503,1),"")</f>
        <v/>
      </c>
      <c r="ET86" t="str">
        <f>IF(EO86=1,IF(ER86+ES86=0,"à affecter",IF(ER86=0,ES86&amp;" ext.",(ER86+ES86)&amp;IF(ES86&gt;0," dont "&amp;ES86&amp;" ext.",""))&amp;IF(COUNTIFS($EN$4:$EN$503,EN86,$EM$4:$EM$503,"Non affecté")&gt;0," + à affecter","")),"")</f>
        <v/>
      </c>
      <c r="EU86" s="170" t="str">
        <f>IF(EO86=1,IF(EP86&gt;0,SUMPRODUCT(($EN$4:$EN$503=EN86)*$E$4:$E$503*$C$4:$C$503)/EP86,AVERAGEIF($EN$4:$EN$503,EN86,$C$4:$C$503)),"")</f>
        <v/>
      </c>
      <c r="EV86" s="165">
        <f>IF(ISNUMBER(I86),I86,2958465)</f>
        <v>2958465.0</v>
      </c>
      <c r="EW86" s="165" t="str">
        <f>IF(EO86=1,SUMPRODUCT(MIN(($EN$4:$EN$503=EN86)*$EV$4:$EV$503+($EN$4:$EN$503&lt;&gt;EN86)*2958465)),"")</f>
        <v/>
      </c>
      <c r="EX86" s="165">
        <f>IF(AND(D86=1,ISNUMBER(INDEX(Charge!$F:$F,ROW()))),INDEX(Charge!$F:$F,ROW()),0)</f>
        <v>0.0</v>
      </c>
      <c r="EY86" s="165" t="str">
        <f>IF(EO86=1,SUMPRODUCT(MAX(($EN$4:$EN$503=EN86)*$EX$4:$EX$503)),"")</f>
        <v/>
      </c>
      <c r="FA86" t="str">
        <f>IF(83&lt;=$CD$23,INDEX($EJ$4:$EJ$203,83),IF(83-$CD$23&lt;=$CD$26,INDEX($EK$4:$EK$203,83-$CD$23),""))</f>
        <v/>
      </c>
      <c r="FB86" t="str">
        <f>IF(FA86="","",IF(83&lt;=$CD$23,"Interne","Externe"))</f>
        <v/>
      </c>
      <c r="FD86">
        <f>IF(AND(B86=1,TRIM(INDEX(Charge!$K:$K,ROW()))&lt;&gt;"",TRIM(INDEX(Charge!$L:$L,ROW()))&lt;&gt;""),1,0)</f>
        <v>0</v>
      </c>
      <c r="FE86">
        <f>IF(OR(EN86="",BZ86="(non affecté)"),0,IF(COUNTIFS($EN$4:EN86,EN86,$BZ$4:BZ86,BZ86)=1,1,0))</f>
        <v>0</v>
      </c>
    </row>
    <row r="87">
      <c r="A87">
        <f>ROW()</f>
        <v>87</v>
      </c>
      <c r="B87">
        <f>IF(TRIM(INDEX(Charge!$B:$B,ROW()))&lt;&gt;"",1,0)</f>
        <v>0</v>
      </c>
      <c r="C87">
        <f>IF(B87=1,MIN(1,MAX(0,N(INDEX(Charge!$O:$O,ROW())))),0)</f>
        <v>0</v>
      </c>
      <c r="D87">
        <f>IF(B87=1,IF(OR(p_Perimetre="Tous les projets",C87&lt;1),1,0),0)</f>
        <v>0</v>
      </c>
      <c r="E87">
        <f>IF(D87=1,MAX(0,N(INDEX(Charge!$M:$M,ROW()))),0)</f>
        <v>0</v>
      </c>
      <c r="F87" t="str">
        <f>IF(D87=1,IF(TRIM(INDEX(Charge!$A:$A,ROW()))="","(non renseigné)",TRIM(INDEX(Charge!$A:$A,ROW()))),"")</f>
        <v/>
      </c>
      <c r="G87" t="str">
        <f>IF(D87=1,TRIM(INDEX(Charge!$B:$B,ROW())),"")</f>
        <v/>
      </c>
      <c r="H87" t="str">
        <f>IF(D87=1,IF(TRIM(INDEX(Charge!$E:$E,ROW()))="","(non renseigné)",TRIM(INDEX(Charge!$E:$E,ROW()))),"")</f>
        <v/>
      </c>
      <c r="I87" s="165" t="str">
        <f>IF(AND(D87=1,ISNUMBER(INDEX(Charge!$N:$N,ROW()))),INDEX(Charge!$N:$N,ROW()),"")</f>
        <v/>
      </c>
      <c r="J87" s="165" t="str">
        <f>IF(I87="","",IF(AND(p_Repartition="Lissée jusqu'à la date de besoin",ISNUMBER(INDEX(Charge!$F:$F,ROW()))),IF(INDEX(Charge!$F:$F,ROW())&gt;=I87,INDEX(Charge!$F:$F,ROW()),I87),I87))</f>
        <v/>
      </c>
      <c r="K87" t="str">
        <f>IF(I87="","",NETWORKDAYS(I87,J87,Data!$K$4:$K$203))</f>
        <v/>
      </c>
      <c r="L87" t="str">
        <f>IF(D87=1,COUNTIFS($D$4:$D$503,1,$E$4:$E$503,"&gt;"&amp;E87)+COUNTIFS($D$4:$D87,1,$E$4:$E87,E87),"")</f>
        <v/>
      </c>
      <c r="M87">
        <f>IF(F87="",0,IF(COUNTIF($F$4:F87,F87)=1,1,0))</f>
        <v>0</v>
      </c>
      <c r="N87" t="str">
        <f>IF(M87=1,ROUND(SUMIF($F$4:$F$503,F87,$E$4:$E$503),2),"")</f>
        <v/>
      </c>
      <c r="O87" t="str">
        <f>IF(M87=1,COUNTIFS($M$4:$M$503,1,$N$4:$N$503,"&gt;"&amp;N87)+COUNTIFS($M$4:M87,1,$N$4:N87,N87),"")</f>
        <v/>
      </c>
      <c r="P87">
        <f>IF(G87="",0,IF(COUNTIF($G$4:G87,G87)=1,1,0))</f>
        <v>0</v>
      </c>
      <c r="Q87" t="str">
        <f>IF(P87=1,ROUND(SUMIF($G$4:$G$503,G87,$E$4:$E$503),2),"")</f>
        <v/>
      </c>
      <c r="R87" t="str">
        <f>IF(P87=1,COUNTIFS($P$4:$P$503,1,$Q$4:$Q$503,"&gt;"&amp;Q87)+COUNTIFS($P$4:P87,1,$Q$4:Q87,Q87),"")</f>
        <v/>
      </c>
      <c r="S87">
        <f>IF(H87="",0,IF(COUNTIF($H$4:H87,H87)=1,1,0))</f>
        <v>0</v>
      </c>
      <c r="T87" t="str">
        <f>IF(S87=1,ROUND(SUMIF($H$4:$H$503,H87,$E$4:$E$503),2),"")</f>
        <v/>
      </c>
      <c r="U87" t="str">
        <f>IF(S87=1,COUNTIFS($S$4:$S$503,1,$T$4:$T$503,"&gt;"&amp;T87)+COUNTIFS($S$4:S87,1,$T$4:T87,T87),"")</f>
        <v/>
      </c>
      <c r="V87" t="str">
        <f>IF(D87=1,MIN(INDEX($R$4:$R$503,MATCH(G87,$G$4:$G$503,0)),IF($AL$7&gt;9,9,999)),"")</f>
        <v/>
      </c>
      <c r="W87" s="166">
        <f>IF(OR($I87="",$E87=0),0,IF(OR($J87&lt;W$3,$I87&gt;W$2),0,IF($K87=0,IF(AND($I87&gt;=W$3,$I87&lt;=W$2),$E87,0),$E87*NETWORKDAYS(MAX($I87,W$3),MIN($J87,W$2),Data!$K$4:$K$203)/$K87)))</f>
        <v>0</v>
      </c>
      <c r="X87" s="166">
        <f>IF(OR($I87="",$E87=0),0,IF(OR($J87&lt;X$3,$I87&gt;X$2),0,IF($K87=0,IF(AND($I87&gt;=X$3,$I87&lt;=X$2),$E87,0),$E87*NETWORKDAYS(MAX($I87,X$3),MIN($J87,X$2),Data!$K$4:$K$203)/$K87)))</f>
        <v>0</v>
      </c>
      <c r="Y87" s="166">
        <f>IF(OR($I87="",$E87=0),0,IF(OR($J87&lt;Y$3,$I87&gt;Y$2),0,IF($K87=0,IF(AND($I87&gt;=Y$3,$I87&lt;=Y$2),$E87,0),$E87*NETWORKDAYS(MAX($I87,Y$3),MIN($J87,Y$2),Data!$K$4:$K$203)/$K87)))</f>
        <v>0</v>
      </c>
      <c r="Z87" s="166">
        <f>IF(OR($I87="",$E87=0),0,IF(OR($J87&lt;Z$3,$I87&gt;Z$2),0,IF($K87=0,IF(AND($I87&gt;=Z$3,$I87&lt;=Z$2),$E87,0),$E87*NETWORKDAYS(MAX($I87,Z$3),MIN($J87,Z$2),Data!$K$4:$K$203)/$K87)))</f>
        <v>0</v>
      </c>
      <c r="AA87" s="166">
        <f>IF(OR($I87="",$E87=0),0,IF(OR($J87&lt;AA$3,$I87&gt;AA$2),0,IF($K87=0,IF(AND($I87&gt;=AA$3,$I87&lt;=AA$2),$E87,0),$E87*NETWORKDAYS(MAX($I87,AA$3),MIN($J87,AA$2),Data!$K$4:$K$203)/$K87)))</f>
        <v>0</v>
      </c>
      <c r="AB87" s="166">
        <f>IF(OR($I87="",$E87=0),0,IF(OR($J87&lt;AB$3,$I87&gt;AB$2),0,IF($K87=0,IF(AND($I87&gt;=AB$3,$I87&lt;=AB$2),$E87,0),$E87*NETWORKDAYS(MAX($I87,AB$3),MIN($J87,AB$2),Data!$K$4:$K$203)/$K87)))</f>
        <v>0</v>
      </c>
      <c r="AC87" s="166">
        <f>IF(OR($I87="",$E87=0),0,IF(OR($J87&lt;AC$3,$I87&gt;AC$2),0,IF($K87=0,IF(AND($I87&gt;=AC$3,$I87&lt;=AC$2),$E87,0),$E87*NETWORKDAYS(MAX($I87,AC$3),MIN($J87,AC$2),Data!$K$4:$K$203)/$K87)))</f>
        <v>0</v>
      </c>
      <c r="AD87" s="166">
        <f>IF(OR($I87="",$E87=0),0,IF(OR($J87&lt;AD$3,$I87&gt;AD$2),0,IF($K87=0,IF(AND($I87&gt;=AD$3,$I87&lt;=AD$2),$E87,0),$E87*NETWORKDAYS(MAX($I87,AD$3),MIN($J87,AD$2),Data!$K$4:$K$203)/$K87)))</f>
        <v>0</v>
      </c>
      <c r="AE87" s="166">
        <f>IF(OR($I87="",$E87=0),0,IF(OR($J87&lt;AE$3,$I87&gt;AE$2),0,IF($K87=0,IF(AND($I87&gt;=AE$3,$I87&lt;=AE$2),$E87,0),$E87*NETWORKDAYS(MAX($I87,AE$3),MIN($J87,AE$2),Data!$K$4:$K$203)/$K87)))</f>
        <v>0</v>
      </c>
      <c r="AF87" s="166">
        <f>IF(OR($I87="",$E87=0),0,IF(OR($J87&lt;AF$3,$I87&gt;AF$2),0,IF($K87=0,IF(AND($I87&gt;=AF$3,$I87&lt;=AF$2),$E87,0),$E87*NETWORKDAYS(MAX($I87,AF$3),MIN($J87,AF$2),Data!$K$4:$K$203)/$K87)))</f>
        <v>0</v>
      </c>
      <c r="AG87" s="166">
        <f>IF(OR($I87="",$E87=0),0,IF(OR($J87&lt;AG$3,$I87&gt;AG$2),0,IF($K87=0,IF(AND($I87&gt;=AG$3,$I87&lt;=AG$2),$E87,0),$E87*NETWORKDAYS(MAX($I87,AG$3),MIN($J87,AG$2),Data!$K$4:$K$203)/$K87)))</f>
        <v>0</v>
      </c>
      <c r="AH87" s="166">
        <f>IF(OR($I87="",$E87=0),0,IF(OR($J87&lt;AH$3,$I87&gt;AH$2),0,IF($K87=0,IF(AND($I87&gt;=AH$3,$I87&lt;=AH$2),$E87,0),$E87*NETWORKDAYS(MAX($I87,AH$3),MIN($J87,AH$2),Data!$K$4:$K$203)/$K87)))</f>
        <v>0</v>
      </c>
      <c r="AI87" s="166">
        <f>SUM(W87:AH87)</f>
        <v>0</v>
      </c>
      <c r="BW87" t="n">
        <v>84</v>
      </c>
      <c r="BX87" t="str">
        <f>IFERROR(MATCH(BW87,$EQ$4:$EQ$503,0),"")</f>
        <v/>
      </c>
      <c r="BZ87" t="str">
        <f>IF(D87=1,IF(TRIM(INDEX(Charge!$K:$K,ROW()))&lt;&gt;"",TRIM(INDEX(Charge!$K:$K,ROW())),IF(TRIM(INDEX(Charge!$L:$L,ROW()))&lt;&gt;"",TRIM(INDEX(Charge!$L:$L,ROW())),"(non affecté)")),"")</f>
        <v/>
      </c>
      <c r="CA87" t="str">
        <f>IF(AND($CD$4&lt;&gt;"",BZ87=$CD$4),COUNTIFS($BZ$4:$BZ$503,$CD$4,$L$4:$L$503,"&lt;"&amp;L87)+1,"")</f>
        <v/>
      </c>
      <c r="EJ87" t="str">
        <f>TRIM(INDEX(Data!$E:$E,ROW()))</f>
        <v/>
      </c>
      <c r="EK87" t="str">
        <f>TRIM(INDEX(Data!$H:$H,ROW()))</f>
        <v/>
      </c>
      <c r="EM87" t="str">
        <f>IF(D87=1,IF(TRIM(INDEX(Charge!$K:$K,ROW()))&lt;&gt;"","Interne",IF(TRIM(INDEX(Charge!$L:$L,ROW()))&lt;&gt;"","Externe","Non affecté")),"")</f>
        <v/>
      </c>
      <c r="EN87" t="str">
        <f>IF(D87=1,LEFT(SUBSTITUTE(SUBSTITUTE(SUBSTITUTE(TRIM(SUBSTITUTE(INDEX(Charge!$B:$B,ROW()),CHAR(160)," "))&amp;" | "&amp;TRIM(SUBSTITUTE(INDEX(Charge!$C:$C,ROW()),CHAR(160)," "))&amp;" | "&amp;TRIM(SUBSTITUTE(INDEX(Charge!$D:$D,ROW()),CHAR(160)," ")),"~","-"),"*","+"),"?","!"),240),"")</f>
        <v/>
      </c>
      <c r="EO87">
        <f>IF(EN87="",0,IF(COUNTIF($EN$4:EN87,EN87)=1,1,0))</f>
        <v>0</v>
      </c>
      <c r="EP87" s="166" t="str">
        <f>IF(EO87=1,ROUND(SUMIF($EN$4:$EN$503,EN87,$E$4:$E$503),2),"")</f>
        <v/>
      </c>
      <c r="EQ87" t="str">
        <f>IF(EO87=1,COUNTIFS($EO$4:$EO$503,1,$EP$4:$EP$503,"&gt;"&amp;EP87)+COUNTIFS($EO$4:EO87,1,$EP$4:EP87,EP87),"")</f>
        <v/>
      </c>
      <c r="ER87" t="str">
        <f>IF(EO87=1,COUNTIFS($EN$4:$EN$503,EN87,$EM$4:$EM$503,"Interne",$FE$4:$FE$503,1),"")</f>
        <v/>
      </c>
      <c r="ES87" t="str">
        <f>IF(EO87=1,COUNTIFS($EN$4:$EN$503,EN87,$EM$4:$EM$503,"Externe",$FE$4:$FE$503,1),"")</f>
        <v/>
      </c>
      <c r="ET87" t="str">
        <f>IF(EO87=1,IF(ER87+ES87=0,"à affecter",IF(ER87=0,ES87&amp;" ext.",(ER87+ES87)&amp;IF(ES87&gt;0," dont "&amp;ES87&amp;" ext.",""))&amp;IF(COUNTIFS($EN$4:$EN$503,EN87,$EM$4:$EM$503,"Non affecté")&gt;0," + à affecter","")),"")</f>
        <v/>
      </c>
      <c r="EU87" s="170" t="str">
        <f>IF(EO87=1,IF(EP87&gt;0,SUMPRODUCT(($EN$4:$EN$503=EN87)*$E$4:$E$503*$C$4:$C$503)/EP87,AVERAGEIF($EN$4:$EN$503,EN87,$C$4:$C$503)),"")</f>
        <v/>
      </c>
      <c r="EV87" s="165">
        <f>IF(ISNUMBER(I87),I87,2958465)</f>
        <v>2958465.0</v>
      </c>
      <c r="EW87" s="165" t="str">
        <f>IF(EO87=1,SUMPRODUCT(MIN(($EN$4:$EN$503=EN87)*$EV$4:$EV$503+($EN$4:$EN$503&lt;&gt;EN87)*2958465)),"")</f>
        <v/>
      </c>
      <c r="EX87" s="165">
        <f>IF(AND(D87=1,ISNUMBER(INDEX(Charge!$F:$F,ROW()))),INDEX(Charge!$F:$F,ROW()),0)</f>
        <v>0.0</v>
      </c>
      <c r="EY87" s="165" t="str">
        <f>IF(EO87=1,SUMPRODUCT(MAX(($EN$4:$EN$503=EN87)*$EX$4:$EX$503)),"")</f>
        <v/>
      </c>
      <c r="FA87" t="str">
        <f>IF(84&lt;=$CD$23,INDEX($EJ$4:$EJ$203,84),IF(84-$CD$23&lt;=$CD$26,INDEX($EK$4:$EK$203,84-$CD$23),""))</f>
        <v/>
      </c>
      <c r="FB87" t="str">
        <f>IF(FA87="","",IF(84&lt;=$CD$23,"Interne","Externe"))</f>
        <v/>
      </c>
      <c r="FD87">
        <f>IF(AND(B87=1,TRIM(INDEX(Charge!$K:$K,ROW()))&lt;&gt;"",TRIM(INDEX(Charge!$L:$L,ROW()))&lt;&gt;""),1,0)</f>
        <v>0</v>
      </c>
      <c r="FE87">
        <f>IF(OR(EN87="",BZ87="(non affecté)"),0,IF(COUNTIFS($EN$4:EN87,EN87,$BZ$4:BZ87,BZ87)=1,1,0))</f>
        <v>0</v>
      </c>
    </row>
    <row r="88">
      <c r="A88">
        <f>ROW()</f>
        <v>88</v>
      </c>
      <c r="B88">
        <f>IF(TRIM(INDEX(Charge!$B:$B,ROW()))&lt;&gt;"",1,0)</f>
        <v>0</v>
      </c>
      <c r="C88">
        <f>IF(B88=1,MIN(1,MAX(0,N(INDEX(Charge!$O:$O,ROW())))),0)</f>
        <v>0</v>
      </c>
      <c r="D88">
        <f>IF(B88=1,IF(OR(p_Perimetre="Tous les projets",C88&lt;1),1,0),0)</f>
        <v>0</v>
      </c>
      <c r="E88">
        <f>IF(D88=1,MAX(0,N(INDEX(Charge!$M:$M,ROW()))),0)</f>
        <v>0</v>
      </c>
      <c r="F88" t="str">
        <f>IF(D88=1,IF(TRIM(INDEX(Charge!$A:$A,ROW()))="","(non renseigné)",TRIM(INDEX(Charge!$A:$A,ROW()))),"")</f>
        <v/>
      </c>
      <c r="G88" t="str">
        <f>IF(D88=1,TRIM(INDEX(Charge!$B:$B,ROW())),"")</f>
        <v/>
      </c>
      <c r="H88" t="str">
        <f>IF(D88=1,IF(TRIM(INDEX(Charge!$E:$E,ROW()))="","(non renseigné)",TRIM(INDEX(Charge!$E:$E,ROW()))),"")</f>
        <v/>
      </c>
      <c r="I88" s="165" t="str">
        <f>IF(AND(D88=1,ISNUMBER(INDEX(Charge!$N:$N,ROW()))),INDEX(Charge!$N:$N,ROW()),"")</f>
        <v/>
      </c>
      <c r="J88" s="165" t="str">
        <f>IF(I88="","",IF(AND(p_Repartition="Lissée jusqu'à la date de besoin",ISNUMBER(INDEX(Charge!$F:$F,ROW()))),IF(INDEX(Charge!$F:$F,ROW())&gt;=I88,INDEX(Charge!$F:$F,ROW()),I88),I88))</f>
        <v/>
      </c>
      <c r="K88" t="str">
        <f>IF(I88="","",NETWORKDAYS(I88,J88,Data!$K$4:$K$203))</f>
        <v/>
      </c>
      <c r="L88" t="str">
        <f>IF(D88=1,COUNTIFS($D$4:$D$503,1,$E$4:$E$503,"&gt;"&amp;E88)+COUNTIFS($D$4:$D88,1,$E$4:$E88,E88),"")</f>
        <v/>
      </c>
      <c r="M88">
        <f>IF(F88="",0,IF(COUNTIF($F$4:F88,F88)=1,1,0))</f>
        <v>0</v>
      </c>
      <c r="N88" t="str">
        <f>IF(M88=1,ROUND(SUMIF($F$4:$F$503,F88,$E$4:$E$503),2),"")</f>
        <v/>
      </c>
      <c r="O88" t="str">
        <f>IF(M88=1,COUNTIFS($M$4:$M$503,1,$N$4:$N$503,"&gt;"&amp;N88)+COUNTIFS($M$4:M88,1,$N$4:N88,N88),"")</f>
        <v/>
      </c>
      <c r="P88">
        <f>IF(G88="",0,IF(COUNTIF($G$4:G88,G88)=1,1,0))</f>
        <v>0</v>
      </c>
      <c r="Q88" t="str">
        <f>IF(P88=1,ROUND(SUMIF($G$4:$G$503,G88,$E$4:$E$503),2),"")</f>
        <v/>
      </c>
      <c r="R88" t="str">
        <f>IF(P88=1,COUNTIFS($P$4:$P$503,1,$Q$4:$Q$503,"&gt;"&amp;Q88)+COUNTIFS($P$4:P88,1,$Q$4:Q88,Q88),"")</f>
        <v/>
      </c>
      <c r="S88">
        <f>IF(H88="",0,IF(COUNTIF($H$4:H88,H88)=1,1,0))</f>
        <v>0</v>
      </c>
      <c r="T88" t="str">
        <f>IF(S88=1,ROUND(SUMIF($H$4:$H$503,H88,$E$4:$E$503),2),"")</f>
        <v/>
      </c>
      <c r="U88" t="str">
        <f>IF(S88=1,COUNTIFS($S$4:$S$503,1,$T$4:$T$503,"&gt;"&amp;T88)+COUNTIFS($S$4:S88,1,$T$4:T88,T88),"")</f>
        <v/>
      </c>
      <c r="V88" t="str">
        <f>IF(D88=1,MIN(INDEX($R$4:$R$503,MATCH(G88,$G$4:$G$503,0)),IF($AL$7&gt;9,9,999)),"")</f>
        <v/>
      </c>
      <c r="W88" s="166">
        <f>IF(OR($I88="",$E88=0),0,IF(OR($J88&lt;W$3,$I88&gt;W$2),0,IF($K88=0,IF(AND($I88&gt;=W$3,$I88&lt;=W$2),$E88,0),$E88*NETWORKDAYS(MAX($I88,W$3),MIN($J88,W$2),Data!$K$4:$K$203)/$K88)))</f>
        <v>0</v>
      </c>
      <c r="X88" s="166">
        <f>IF(OR($I88="",$E88=0),0,IF(OR($J88&lt;X$3,$I88&gt;X$2),0,IF($K88=0,IF(AND($I88&gt;=X$3,$I88&lt;=X$2),$E88,0),$E88*NETWORKDAYS(MAX($I88,X$3),MIN($J88,X$2),Data!$K$4:$K$203)/$K88)))</f>
        <v>0</v>
      </c>
      <c r="Y88" s="166">
        <f>IF(OR($I88="",$E88=0),0,IF(OR($J88&lt;Y$3,$I88&gt;Y$2),0,IF($K88=0,IF(AND($I88&gt;=Y$3,$I88&lt;=Y$2),$E88,0),$E88*NETWORKDAYS(MAX($I88,Y$3),MIN($J88,Y$2),Data!$K$4:$K$203)/$K88)))</f>
        <v>0</v>
      </c>
      <c r="Z88" s="166">
        <f>IF(OR($I88="",$E88=0),0,IF(OR($J88&lt;Z$3,$I88&gt;Z$2),0,IF($K88=0,IF(AND($I88&gt;=Z$3,$I88&lt;=Z$2),$E88,0),$E88*NETWORKDAYS(MAX($I88,Z$3),MIN($J88,Z$2),Data!$K$4:$K$203)/$K88)))</f>
        <v>0</v>
      </c>
      <c r="AA88" s="166">
        <f>IF(OR($I88="",$E88=0),0,IF(OR($J88&lt;AA$3,$I88&gt;AA$2),0,IF($K88=0,IF(AND($I88&gt;=AA$3,$I88&lt;=AA$2),$E88,0),$E88*NETWORKDAYS(MAX($I88,AA$3),MIN($J88,AA$2),Data!$K$4:$K$203)/$K88)))</f>
        <v>0</v>
      </c>
      <c r="AB88" s="166">
        <f>IF(OR($I88="",$E88=0),0,IF(OR($J88&lt;AB$3,$I88&gt;AB$2),0,IF($K88=0,IF(AND($I88&gt;=AB$3,$I88&lt;=AB$2),$E88,0),$E88*NETWORKDAYS(MAX($I88,AB$3),MIN($J88,AB$2),Data!$K$4:$K$203)/$K88)))</f>
        <v>0</v>
      </c>
      <c r="AC88" s="166">
        <f>IF(OR($I88="",$E88=0),0,IF(OR($J88&lt;AC$3,$I88&gt;AC$2),0,IF($K88=0,IF(AND($I88&gt;=AC$3,$I88&lt;=AC$2),$E88,0),$E88*NETWORKDAYS(MAX($I88,AC$3),MIN($J88,AC$2),Data!$K$4:$K$203)/$K88)))</f>
        <v>0</v>
      </c>
      <c r="AD88" s="166">
        <f>IF(OR($I88="",$E88=0),0,IF(OR($J88&lt;AD$3,$I88&gt;AD$2),0,IF($K88=0,IF(AND($I88&gt;=AD$3,$I88&lt;=AD$2),$E88,0),$E88*NETWORKDAYS(MAX($I88,AD$3),MIN($J88,AD$2),Data!$K$4:$K$203)/$K88)))</f>
        <v>0</v>
      </c>
      <c r="AE88" s="166">
        <f>IF(OR($I88="",$E88=0),0,IF(OR($J88&lt;AE$3,$I88&gt;AE$2),0,IF($K88=0,IF(AND($I88&gt;=AE$3,$I88&lt;=AE$2),$E88,0),$E88*NETWORKDAYS(MAX($I88,AE$3),MIN($J88,AE$2),Data!$K$4:$K$203)/$K88)))</f>
        <v>0</v>
      </c>
      <c r="AF88" s="166">
        <f>IF(OR($I88="",$E88=0),0,IF(OR($J88&lt;AF$3,$I88&gt;AF$2),0,IF($K88=0,IF(AND($I88&gt;=AF$3,$I88&lt;=AF$2),$E88,0),$E88*NETWORKDAYS(MAX($I88,AF$3),MIN($J88,AF$2),Data!$K$4:$K$203)/$K88)))</f>
        <v>0</v>
      </c>
      <c r="AG88" s="166">
        <f>IF(OR($I88="",$E88=0),0,IF(OR($J88&lt;AG$3,$I88&gt;AG$2),0,IF($K88=0,IF(AND($I88&gt;=AG$3,$I88&lt;=AG$2),$E88,0),$E88*NETWORKDAYS(MAX($I88,AG$3),MIN($J88,AG$2),Data!$K$4:$K$203)/$K88)))</f>
        <v>0</v>
      </c>
      <c r="AH88" s="166">
        <f>IF(OR($I88="",$E88=0),0,IF(OR($J88&lt;AH$3,$I88&gt;AH$2),0,IF($K88=0,IF(AND($I88&gt;=AH$3,$I88&lt;=AH$2),$E88,0),$E88*NETWORKDAYS(MAX($I88,AH$3),MIN($J88,AH$2),Data!$K$4:$K$203)/$K88)))</f>
        <v>0</v>
      </c>
      <c r="AI88" s="166">
        <f>SUM(W88:AH88)</f>
        <v>0</v>
      </c>
      <c r="BW88" t="n">
        <v>85</v>
      </c>
      <c r="BX88" t="str">
        <f>IFERROR(MATCH(BW88,$EQ$4:$EQ$503,0),"")</f>
        <v/>
      </c>
      <c r="BZ88" t="str">
        <f>IF(D88=1,IF(TRIM(INDEX(Charge!$K:$K,ROW()))&lt;&gt;"",TRIM(INDEX(Charge!$K:$K,ROW())),IF(TRIM(INDEX(Charge!$L:$L,ROW()))&lt;&gt;"",TRIM(INDEX(Charge!$L:$L,ROW())),"(non affecté)")),"")</f>
        <v/>
      </c>
      <c r="CA88" t="str">
        <f>IF(AND($CD$4&lt;&gt;"",BZ88=$CD$4),COUNTIFS($BZ$4:$BZ$503,$CD$4,$L$4:$L$503,"&lt;"&amp;L88)+1,"")</f>
        <v/>
      </c>
      <c r="EJ88" t="str">
        <f>TRIM(INDEX(Data!$E:$E,ROW()))</f>
        <v/>
      </c>
      <c r="EK88" t="str">
        <f>TRIM(INDEX(Data!$H:$H,ROW()))</f>
        <v/>
      </c>
      <c r="EM88" t="str">
        <f>IF(D88=1,IF(TRIM(INDEX(Charge!$K:$K,ROW()))&lt;&gt;"","Interne",IF(TRIM(INDEX(Charge!$L:$L,ROW()))&lt;&gt;"","Externe","Non affecté")),"")</f>
        <v/>
      </c>
      <c r="EN88" t="str">
        <f>IF(D88=1,LEFT(SUBSTITUTE(SUBSTITUTE(SUBSTITUTE(TRIM(SUBSTITUTE(INDEX(Charge!$B:$B,ROW()),CHAR(160)," "))&amp;" | "&amp;TRIM(SUBSTITUTE(INDEX(Charge!$C:$C,ROW()),CHAR(160)," "))&amp;" | "&amp;TRIM(SUBSTITUTE(INDEX(Charge!$D:$D,ROW()),CHAR(160)," ")),"~","-"),"*","+"),"?","!"),240),"")</f>
        <v/>
      </c>
      <c r="EO88">
        <f>IF(EN88="",0,IF(COUNTIF($EN$4:EN88,EN88)=1,1,0))</f>
        <v>0</v>
      </c>
      <c r="EP88" s="166" t="str">
        <f>IF(EO88=1,ROUND(SUMIF($EN$4:$EN$503,EN88,$E$4:$E$503),2),"")</f>
        <v/>
      </c>
      <c r="EQ88" t="str">
        <f>IF(EO88=1,COUNTIFS($EO$4:$EO$503,1,$EP$4:$EP$503,"&gt;"&amp;EP88)+COUNTIFS($EO$4:EO88,1,$EP$4:EP88,EP88),"")</f>
        <v/>
      </c>
      <c r="ER88" t="str">
        <f>IF(EO88=1,COUNTIFS($EN$4:$EN$503,EN88,$EM$4:$EM$503,"Interne",$FE$4:$FE$503,1),"")</f>
        <v/>
      </c>
      <c r="ES88" t="str">
        <f>IF(EO88=1,COUNTIFS($EN$4:$EN$503,EN88,$EM$4:$EM$503,"Externe",$FE$4:$FE$503,1),"")</f>
        <v/>
      </c>
      <c r="ET88" t="str">
        <f>IF(EO88=1,IF(ER88+ES88=0,"à affecter",IF(ER88=0,ES88&amp;" ext.",(ER88+ES88)&amp;IF(ES88&gt;0," dont "&amp;ES88&amp;" ext.",""))&amp;IF(COUNTIFS($EN$4:$EN$503,EN88,$EM$4:$EM$503,"Non affecté")&gt;0," + à affecter","")),"")</f>
        <v/>
      </c>
      <c r="EU88" s="170" t="str">
        <f>IF(EO88=1,IF(EP88&gt;0,SUMPRODUCT(($EN$4:$EN$503=EN88)*$E$4:$E$503*$C$4:$C$503)/EP88,AVERAGEIF($EN$4:$EN$503,EN88,$C$4:$C$503)),"")</f>
        <v/>
      </c>
      <c r="EV88" s="165">
        <f>IF(ISNUMBER(I88),I88,2958465)</f>
        <v>2958465.0</v>
      </c>
      <c r="EW88" s="165" t="str">
        <f>IF(EO88=1,SUMPRODUCT(MIN(($EN$4:$EN$503=EN88)*$EV$4:$EV$503+($EN$4:$EN$503&lt;&gt;EN88)*2958465)),"")</f>
        <v/>
      </c>
      <c r="EX88" s="165">
        <f>IF(AND(D88=1,ISNUMBER(INDEX(Charge!$F:$F,ROW()))),INDEX(Charge!$F:$F,ROW()),0)</f>
        <v>0.0</v>
      </c>
      <c r="EY88" s="165" t="str">
        <f>IF(EO88=1,SUMPRODUCT(MAX(($EN$4:$EN$503=EN88)*$EX$4:$EX$503)),"")</f>
        <v/>
      </c>
      <c r="FA88" t="str">
        <f>IF(85&lt;=$CD$23,INDEX($EJ$4:$EJ$203,85),IF(85-$CD$23&lt;=$CD$26,INDEX($EK$4:$EK$203,85-$CD$23),""))</f>
        <v/>
      </c>
      <c r="FB88" t="str">
        <f>IF(FA88="","",IF(85&lt;=$CD$23,"Interne","Externe"))</f>
        <v/>
      </c>
      <c r="FD88">
        <f>IF(AND(B88=1,TRIM(INDEX(Charge!$K:$K,ROW()))&lt;&gt;"",TRIM(INDEX(Charge!$L:$L,ROW()))&lt;&gt;""),1,0)</f>
        <v>0</v>
      </c>
      <c r="FE88">
        <f>IF(OR(EN88="",BZ88="(non affecté)"),0,IF(COUNTIFS($EN$4:EN88,EN88,$BZ$4:BZ88,BZ88)=1,1,0))</f>
        <v>0</v>
      </c>
    </row>
    <row r="89">
      <c r="A89">
        <f>ROW()</f>
        <v>89</v>
      </c>
      <c r="B89">
        <f>IF(TRIM(INDEX(Charge!$B:$B,ROW()))&lt;&gt;"",1,0)</f>
        <v>0</v>
      </c>
      <c r="C89">
        <f>IF(B89=1,MIN(1,MAX(0,N(INDEX(Charge!$O:$O,ROW())))),0)</f>
        <v>0</v>
      </c>
      <c r="D89">
        <f>IF(B89=1,IF(OR(p_Perimetre="Tous les projets",C89&lt;1),1,0),0)</f>
        <v>0</v>
      </c>
      <c r="E89">
        <f>IF(D89=1,MAX(0,N(INDEX(Charge!$M:$M,ROW()))),0)</f>
        <v>0</v>
      </c>
      <c r="F89" t="str">
        <f>IF(D89=1,IF(TRIM(INDEX(Charge!$A:$A,ROW()))="","(non renseigné)",TRIM(INDEX(Charge!$A:$A,ROW()))),"")</f>
        <v/>
      </c>
      <c r="G89" t="str">
        <f>IF(D89=1,TRIM(INDEX(Charge!$B:$B,ROW())),"")</f>
        <v/>
      </c>
      <c r="H89" t="str">
        <f>IF(D89=1,IF(TRIM(INDEX(Charge!$E:$E,ROW()))="","(non renseigné)",TRIM(INDEX(Charge!$E:$E,ROW()))),"")</f>
        <v/>
      </c>
      <c r="I89" s="165" t="str">
        <f>IF(AND(D89=1,ISNUMBER(INDEX(Charge!$N:$N,ROW()))),INDEX(Charge!$N:$N,ROW()),"")</f>
        <v/>
      </c>
      <c r="J89" s="165" t="str">
        <f>IF(I89="","",IF(AND(p_Repartition="Lissée jusqu'à la date de besoin",ISNUMBER(INDEX(Charge!$F:$F,ROW()))),IF(INDEX(Charge!$F:$F,ROW())&gt;=I89,INDEX(Charge!$F:$F,ROW()),I89),I89))</f>
        <v/>
      </c>
      <c r="K89" t="str">
        <f>IF(I89="","",NETWORKDAYS(I89,J89,Data!$K$4:$K$203))</f>
        <v/>
      </c>
      <c r="L89" t="str">
        <f>IF(D89=1,COUNTIFS($D$4:$D$503,1,$E$4:$E$503,"&gt;"&amp;E89)+COUNTIFS($D$4:$D89,1,$E$4:$E89,E89),"")</f>
        <v/>
      </c>
      <c r="M89">
        <f>IF(F89="",0,IF(COUNTIF($F$4:F89,F89)=1,1,0))</f>
        <v>0</v>
      </c>
      <c r="N89" t="str">
        <f>IF(M89=1,ROUND(SUMIF($F$4:$F$503,F89,$E$4:$E$503),2),"")</f>
        <v/>
      </c>
      <c r="O89" t="str">
        <f>IF(M89=1,COUNTIFS($M$4:$M$503,1,$N$4:$N$503,"&gt;"&amp;N89)+COUNTIFS($M$4:M89,1,$N$4:N89,N89),"")</f>
        <v/>
      </c>
      <c r="P89">
        <f>IF(G89="",0,IF(COUNTIF($G$4:G89,G89)=1,1,0))</f>
        <v>0</v>
      </c>
      <c r="Q89" t="str">
        <f>IF(P89=1,ROUND(SUMIF($G$4:$G$503,G89,$E$4:$E$503),2),"")</f>
        <v/>
      </c>
      <c r="R89" t="str">
        <f>IF(P89=1,COUNTIFS($P$4:$P$503,1,$Q$4:$Q$503,"&gt;"&amp;Q89)+COUNTIFS($P$4:P89,1,$Q$4:Q89,Q89),"")</f>
        <v/>
      </c>
      <c r="S89">
        <f>IF(H89="",0,IF(COUNTIF($H$4:H89,H89)=1,1,0))</f>
        <v>0</v>
      </c>
      <c r="T89" t="str">
        <f>IF(S89=1,ROUND(SUMIF($H$4:$H$503,H89,$E$4:$E$503),2),"")</f>
        <v/>
      </c>
      <c r="U89" t="str">
        <f>IF(S89=1,COUNTIFS($S$4:$S$503,1,$T$4:$T$503,"&gt;"&amp;T89)+COUNTIFS($S$4:S89,1,$T$4:T89,T89),"")</f>
        <v/>
      </c>
      <c r="V89" t="str">
        <f>IF(D89=1,MIN(INDEX($R$4:$R$503,MATCH(G89,$G$4:$G$503,0)),IF($AL$7&gt;9,9,999)),"")</f>
        <v/>
      </c>
      <c r="W89" s="166">
        <f>IF(OR($I89="",$E89=0),0,IF(OR($J89&lt;W$3,$I89&gt;W$2),0,IF($K89=0,IF(AND($I89&gt;=W$3,$I89&lt;=W$2),$E89,0),$E89*NETWORKDAYS(MAX($I89,W$3),MIN($J89,W$2),Data!$K$4:$K$203)/$K89)))</f>
        <v>0</v>
      </c>
      <c r="X89" s="166">
        <f>IF(OR($I89="",$E89=0),0,IF(OR($J89&lt;X$3,$I89&gt;X$2),0,IF($K89=0,IF(AND($I89&gt;=X$3,$I89&lt;=X$2),$E89,0),$E89*NETWORKDAYS(MAX($I89,X$3),MIN($J89,X$2),Data!$K$4:$K$203)/$K89)))</f>
        <v>0</v>
      </c>
      <c r="Y89" s="166">
        <f>IF(OR($I89="",$E89=0),0,IF(OR($J89&lt;Y$3,$I89&gt;Y$2),0,IF($K89=0,IF(AND($I89&gt;=Y$3,$I89&lt;=Y$2),$E89,0),$E89*NETWORKDAYS(MAX($I89,Y$3),MIN($J89,Y$2),Data!$K$4:$K$203)/$K89)))</f>
        <v>0</v>
      </c>
      <c r="Z89" s="166">
        <f>IF(OR($I89="",$E89=0),0,IF(OR($J89&lt;Z$3,$I89&gt;Z$2),0,IF($K89=0,IF(AND($I89&gt;=Z$3,$I89&lt;=Z$2),$E89,0),$E89*NETWORKDAYS(MAX($I89,Z$3),MIN($J89,Z$2),Data!$K$4:$K$203)/$K89)))</f>
        <v>0</v>
      </c>
      <c r="AA89" s="166">
        <f>IF(OR($I89="",$E89=0),0,IF(OR($J89&lt;AA$3,$I89&gt;AA$2),0,IF($K89=0,IF(AND($I89&gt;=AA$3,$I89&lt;=AA$2),$E89,0),$E89*NETWORKDAYS(MAX($I89,AA$3),MIN($J89,AA$2),Data!$K$4:$K$203)/$K89)))</f>
        <v>0</v>
      </c>
      <c r="AB89" s="166">
        <f>IF(OR($I89="",$E89=0),0,IF(OR($J89&lt;AB$3,$I89&gt;AB$2),0,IF($K89=0,IF(AND($I89&gt;=AB$3,$I89&lt;=AB$2),$E89,0),$E89*NETWORKDAYS(MAX($I89,AB$3),MIN($J89,AB$2),Data!$K$4:$K$203)/$K89)))</f>
        <v>0</v>
      </c>
      <c r="AC89" s="166">
        <f>IF(OR($I89="",$E89=0),0,IF(OR($J89&lt;AC$3,$I89&gt;AC$2),0,IF($K89=0,IF(AND($I89&gt;=AC$3,$I89&lt;=AC$2),$E89,0),$E89*NETWORKDAYS(MAX($I89,AC$3),MIN($J89,AC$2),Data!$K$4:$K$203)/$K89)))</f>
        <v>0</v>
      </c>
      <c r="AD89" s="166">
        <f>IF(OR($I89="",$E89=0),0,IF(OR($J89&lt;AD$3,$I89&gt;AD$2),0,IF($K89=0,IF(AND($I89&gt;=AD$3,$I89&lt;=AD$2),$E89,0),$E89*NETWORKDAYS(MAX($I89,AD$3),MIN($J89,AD$2),Data!$K$4:$K$203)/$K89)))</f>
        <v>0</v>
      </c>
      <c r="AE89" s="166">
        <f>IF(OR($I89="",$E89=0),0,IF(OR($J89&lt;AE$3,$I89&gt;AE$2),0,IF($K89=0,IF(AND($I89&gt;=AE$3,$I89&lt;=AE$2),$E89,0),$E89*NETWORKDAYS(MAX($I89,AE$3),MIN($J89,AE$2),Data!$K$4:$K$203)/$K89)))</f>
        <v>0</v>
      </c>
      <c r="AF89" s="166">
        <f>IF(OR($I89="",$E89=0),0,IF(OR($J89&lt;AF$3,$I89&gt;AF$2),0,IF($K89=0,IF(AND($I89&gt;=AF$3,$I89&lt;=AF$2),$E89,0),$E89*NETWORKDAYS(MAX($I89,AF$3),MIN($J89,AF$2),Data!$K$4:$K$203)/$K89)))</f>
        <v>0</v>
      </c>
      <c r="AG89" s="166">
        <f>IF(OR($I89="",$E89=0),0,IF(OR($J89&lt;AG$3,$I89&gt;AG$2),0,IF($K89=0,IF(AND($I89&gt;=AG$3,$I89&lt;=AG$2),$E89,0),$E89*NETWORKDAYS(MAX($I89,AG$3),MIN($J89,AG$2),Data!$K$4:$K$203)/$K89)))</f>
        <v>0</v>
      </c>
      <c r="AH89" s="166">
        <f>IF(OR($I89="",$E89=0),0,IF(OR($J89&lt;AH$3,$I89&gt;AH$2),0,IF($K89=0,IF(AND($I89&gt;=AH$3,$I89&lt;=AH$2),$E89,0),$E89*NETWORKDAYS(MAX($I89,AH$3),MIN($J89,AH$2),Data!$K$4:$K$203)/$K89)))</f>
        <v>0</v>
      </c>
      <c r="AI89" s="166">
        <f>SUM(W89:AH89)</f>
        <v>0</v>
      </c>
      <c r="BW89" t="n">
        <v>86</v>
      </c>
      <c r="BX89" t="str">
        <f>IFERROR(MATCH(BW89,$EQ$4:$EQ$503,0),"")</f>
        <v/>
      </c>
      <c r="BZ89" t="str">
        <f>IF(D89=1,IF(TRIM(INDEX(Charge!$K:$K,ROW()))&lt;&gt;"",TRIM(INDEX(Charge!$K:$K,ROW())),IF(TRIM(INDEX(Charge!$L:$L,ROW()))&lt;&gt;"",TRIM(INDEX(Charge!$L:$L,ROW())),"(non affecté)")),"")</f>
        <v/>
      </c>
      <c r="CA89" t="str">
        <f>IF(AND($CD$4&lt;&gt;"",BZ89=$CD$4),COUNTIFS($BZ$4:$BZ$503,$CD$4,$L$4:$L$503,"&lt;"&amp;L89)+1,"")</f>
        <v/>
      </c>
      <c r="EJ89" t="str">
        <f>TRIM(INDEX(Data!$E:$E,ROW()))</f>
        <v/>
      </c>
      <c r="EK89" t="str">
        <f>TRIM(INDEX(Data!$H:$H,ROW()))</f>
        <v/>
      </c>
      <c r="EM89" t="str">
        <f>IF(D89=1,IF(TRIM(INDEX(Charge!$K:$K,ROW()))&lt;&gt;"","Interne",IF(TRIM(INDEX(Charge!$L:$L,ROW()))&lt;&gt;"","Externe","Non affecté")),"")</f>
        <v/>
      </c>
      <c r="EN89" t="str">
        <f>IF(D89=1,LEFT(SUBSTITUTE(SUBSTITUTE(SUBSTITUTE(TRIM(SUBSTITUTE(INDEX(Charge!$B:$B,ROW()),CHAR(160)," "))&amp;" | "&amp;TRIM(SUBSTITUTE(INDEX(Charge!$C:$C,ROW()),CHAR(160)," "))&amp;" | "&amp;TRIM(SUBSTITUTE(INDEX(Charge!$D:$D,ROW()),CHAR(160)," ")),"~","-"),"*","+"),"?","!"),240),"")</f>
        <v/>
      </c>
      <c r="EO89">
        <f>IF(EN89="",0,IF(COUNTIF($EN$4:EN89,EN89)=1,1,0))</f>
        <v>0</v>
      </c>
      <c r="EP89" s="166" t="str">
        <f>IF(EO89=1,ROUND(SUMIF($EN$4:$EN$503,EN89,$E$4:$E$503),2),"")</f>
        <v/>
      </c>
      <c r="EQ89" t="str">
        <f>IF(EO89=1,COUNTIFS($EO$4:$EO$503,1,$EP$4:$EP$503,"&gt;"&amp;EP89)+COUNTIFS($EO$4:EO89,1,$EP$4:EP89,EP89),"")</f>
        <v/>
      </c>
      <c r="ER89" t="str">
        <f>IF(EO89=1,COUNTIFS($EN$4:$EN$503,EN89,$EM$4:$EM$503,"Interne",$FE$4:$FE$503,1),"")</f>
        <v/>
      </c>
      <c r="ES89" t="str">
        <f>IF(EO89=1,COUNTIFS($EN$4:$EN$503,EN89,$EM$4:$EM$503,"Externe",$FE$4:$FE$503,1),"")</f>
        <v/>
      </c>
      <c r="ET89" t="str">
        <f>IF(EO89=1,IF(ER89+ES89=0,"à affecter",IF(ER89=0,ES89&amp;" ext.",(ER89+ES89)&amp;IF(ES89&gt;0," dont "&amp;ES89&amp;" ext.",""))&amp;IF(COUNTIFS($EN$4:$EN$503,EN89,$EM$4:$EM$503,"Non affecté")&gt;0," + à affecter","")),"")</f>
        <v/>
      </c>
      <c r="EU89" s="170" t="str">
        <f>IF(EO89=1,IF(EP89&gt;0,SUMPRODUCT(($EN$4:$EN$503=EN89)*$E$4:$E$503*$C$4:$C$503)/EP89,AVERAGEIF($EN$4:$EN$503,EN89,$C$4:$C$503)),"")</f>
        <v/>
      </c>
      <c r="EV89" s="165">
        <f>IF(ISNUMBER(I89),I89,2958465)</f>
        <v>2958465.0</v>
      </c>
      <c r="EW89" s="165" t="str">
        <f>IF(EO89=1,SUMPRODUCT(MIN(($EN$4:$EN$503=EN89)*$EV$4:$EV$503+($EN$4:$EN$503&lt;&gt;EN89)*2958465)),"")</f>
        <v/>
      </c>
      <c r="EX89" s="165">
        <f>IF(AND(D89=1,ISNUMBER(INDEX(Charge!$F:$F,ROW()))),INDEX(Charge!$F:$F,ROW()),0)</f>
        <v>0.0</v>
      </c>
      <c r="EY89" s="165" t="str">
        <f>IF(EO89=1,SUMPRODUCT(MAX(($EN$4:$EN$503=EN89)*$EX$4:$EX$503)),"")</f>
        <v/>
      </c>
      <c r="FA89" t="str">
        <f>IF(86&lt;=$CD$23,INDEX($EJ$4:$EJ$203,86),IF(86-$CD$23&lt;=$CD$26,INDEX($EK$4:$EK$203,86-$CD$23),""))</f>
        <v/>
      </c>
      <c r="FB89" t="str">
        <f>IF(FA89="","",IF(86&lt;=$CD$23,"Interne","Externe"))</f>
        <v/>
      </c>
      <c r="FD89">
        <f>IF(AND(B89=1,TRIM(INDEX(Charge!$K:$K,ROW()))&lt;&gt;"",TRIM(INDEX(Charge!$L:$L,ROW()))&lt;&gt;""),1,0)</f>
        <v>0</v>
      </c>
      <c r="FE89">
        <f>IF(OR(EN89="",BZ89="(non affecté)"),0,IF(COUNTIFS($EN$4:EN89,EN89,$BZ$4:BZ89,BZ89)=1,1,0))</f>
        <v>0</v>
      </c>
    </row>
    <row r="90">
      <c r="A90">
        <f>ROW()</f>
        <v>90</v>
      </c>
      <c r="B90">
        <f>IF(TRIM(INDEX(Charge!$B:$B,ROW()))&lt;&gt;"",1,0)</f>
        <v>0</v>
      </c>
      <c r="C90">
        <f>IF(B90=1,MIN(1,MAX(0,N(INDEX(Charge!$O:$O,ROW())))),0)</f>
        <v>0</v>
      </c>
      <c r="D90">
        <f>IF(B90=1,IF(OR(p_Perimetre="Tous les projets",C90&lt;1),1,0),0)</f>
        <v>0</v>
      </c>
      <c r="E90">
        <f>IF(D90=1,MAX(0,N(INDEX(Charge!$M:$M,ROW()))),0)</f>
        <v>0</v>
      </c>
      <c r="F90" t="str">
        <f>IF(D90=1,IF(TRIM(INDEX(Charge!$A:$A,ROW()))="","(non renseigné)",TRIM(INDEX(Charge!$A:$A,ROW()))),"")</f>
        <v/>
      </c>
      <c r="G90" t="str">
        <f>IF(D90=1,TRIM(INDEX(Charge!$B:$B,ROW())),"")</f>
        <v/>
      </c>
      <c r="H90" t="str">
        <f>IF(D90=1,IF(TRIM(INDEX(Charge!$E:$E,ROW()))="","(non renseigné)",TRIM(INDEX(Charge!$E:$E,ROW()))),"")</f>
        <v/>
      </c>
      <c r="I90" s="165" t="str">
        <f>IF(AND(D90=1,ISNUMBER(INDEX(Charge!$N:$N,ROW()))),INDEX(Charge!$N:$N,ROW()),"")</f>
        <v/>
      </c>
      <c r="J90" s="165" t="str">
        <f>IF(I90="","",IF(AND(p_Repartition="Lissée jusqu'à la date de besoin",ISNUMBER(INDEX(Charge!$F:$F,ROW()))),IF(INDEX(Charge!$F:$F,ROW())&gt;=I90,INDEX(Charge!$F:$F,ROW()),I90),I90))</f>
        <v/>
      </c>
      <c r="K90" t="str">
        <f>IF(I90="","",NETWORKDAYS(I90,J90,Data!$K$4:$K$203))</f>
        <v/>
      </c>
      <c r="L90" t="str">
        <f>IF(D90=1,COUNTIFS($D$4:$D$503,1,$E$4:$E$503,"&gt;"&amp;E90)+COUNTIFS($D$4:$D90,1,$E$4:$E90,E90),"")</f>
        <v/>
      </c>
      <c r="M90">
        <f>IF(F90="",0,IF(COUNTIF($F$4:F90,F90)=1,1,0))</f>
        <v>0</v>
      </c>
      <c r="N90" t="str">
        <f>IF(M90=1,ROUND(SUMIF($F$4:$F$503,F90,$E$4:$E$503),2),"")</f>
        <v/>
      </c>
      <c r="O90" t="str">
        <f>IF(M90=1,COUNTIFS($M$4:$M$503,1,$N$4:$N$503,"&gt;"&amp;N90)+COUNTIFS($M$4:M90,1,$N$4:N90,N90),"")</f>
        <v/>
      </c>
      <c r="P90">
        <f>IF(G90="",0,IF(COUNTIF($G$4:G90,G90)=1,1,0))</f>
        <v>0</v>
      </c>
      <c r="Q90" t="str">
        <f>IF(P90=1,ROUND(SUMIF($G$4:$G$503,G90,$E$4:$E$503),2),"")</f>
        <v/>
      </c>
      <c r="R90" t="str">
        <f>IF(P90=1,COUNTIFS($P$4:$P$503,1,$Q$4:$Q$503,"&gt;"&amp;Q90)+COUNTIFS($P$4:P90,1,$Q$4:Q90,Q90),"")</f>
        <v/>
      </c>
      <c r="S90">
        <f>IF(H90="",0,IF(COUNTIF($H$4:H90,H90)=1,1,0))</f>
        <v>0</v>
      </c>
      <c r="T90" t="str">
        <f>IF(S90=1,ROUND(SUMIF($H$4:$H$503,H90,$E$4:$E$503),2),"")</f>
        <v/>
      </c>
      <c r="U90" t="str">
        <f>IF(S90=1,COUNTIFS($S$4:$S$503,1,$T$4:$T$503,"&gt;"&amp;T90)+COUNTIFS($S$4:S90,1,$T$4:T90,T90),"")</f>
        <v/>
      </c>
      <c r="V90" t="str">
        <f>IF(D90=1,MIN(INDEX($R$4:$R$503,MATCH(G90,$G$4:$G$503,0)),IF($AL$7&gt;9,9,999)),"")</f>
        <v/>
      </c>
      <c r="W90" s="166">
        <f>IF(OR($I90="",$E90=0),0,IF(OR($J90&lt;W$3,$I90&gt;W$2),0,IF($K90=0,IF(AND($I90&gt;=W$3,$I90&lt;=W$2),$E90,0),$E90*NETWORKDAYS(MAX($I90,W$3),MIN($J90,W$2),Data!$K$4:$K$203)/$K90)))</f>
        <v>0</v>
      </c>
      <c r="X90" s="166">
        <f>IF(OR($I90="",$E90=0),0,IF(OR($J90&lt;X$3,$I90&gt;X$2),0,IF($K90=0,IF(AND($I90&gt;=X$3,$I90&lt;=X$2),$E90,0),$E90*NETWORKDAYS(MAX($I90,X$3),MIN($J90,X$2),Data!$K$4:$K$203)/$K90)))</f>
        <v>0</v>
      </c>
      <c r="Y90" s="166">
        <f>IF(OR($I90="",$E90=0),0,IF(OR($J90&lt;Y$3,$I90&gt;Y$2),0,IF($K90=0,IF(AND($I90&gt;=Y$3,$I90&lt;=Y$2),$E90,0),$E90*NETWORKDAYS(MAX($I90,Y$3),MIN($J90,Y$2),Data!$K$4:$K$203)/$K90)))</f>
        <v>0</v>
      </c>
      <c r="Z90" s="166">
        <f>IF(OR($I90="",$E90=0),0,IF(OR($J90&lt;Z$3,$I90&gt;Z$2),0,IF($K90=0,IF(AND($I90&gt;=Z$3,$I90&lt;=Z$2),$E90,0),$E90*NETWORKDAYS(MAX($I90,Z$3),MIN($J90,Z$2),Data!$K$4:$K$203)/$K90)))</f>
        <v>0</v>
      </c>
      <c r="AA90" s="166">
        <f>IF(OR($I90="",$E90=0),0,IF(OR($J90&lt;AA$3,$I90&gt;AA$2),0,IF($K90=0,IF(AND($I90&gt;=AA$3,$I90&lt;=AA$2),$E90,0),$E90*NETWORKDAYS(MAX($I90,AA$3),MIN($J90,AA$2),Data!$K$4:$K$203)/$K90)))</f>
        <v>0</v>
      </c>
      <c r="AB90" s="166">
        <f>IF(OR($I90="",$E90=0),0,IF(OR($J90&lt;AB$3,$I90&gt;AB$2),0,IF($K90=0,IF(AND($I90&gt;=AB$3,$I90&lt;=AB$2),$E90,0),$E90*NETWORKDAYS(MAX($I90,AB$3),MIN($J90,AB$2),Data!$K$4:$K$203)/$K90)))</f>
        <v>0</v>
      </c>
      <c r="AC90" s="166">
        <f>IF(OR($I90="",$E90=0),0,IF(OR($J90&lt;AC$3,$I90&gt;AC$2),0,IF($K90=0,IF(AND($I90&gt;=AC$3,$I90&lt;=AC$2),$E90,0),$E90*NETWORKDAYS(MAX($I90,AC$3),MIN($J90,AC$2),Data!$K$4:$K$203)/$K90)))</f>
        <v>0</v>
      </c>
      <c r="AD90" s="166">
        <f>IF(OR($I90="",$E90=0),0,IF(OR($J90&lt;AD$3,$I90&gt;AD$2),0,IF($K90=0,IF(AND($I90&gt;=AD$3,$I90&lt;=AD$2),$E90,0),$E90*NETWORKDAYS(MAX($I90,AD$3),MIN($J90,AD$2),Data!$K$4:$K$203)/$K90)))</f>
        <v>0</v>
      </c>
      <c r="AE90" s="166">
        <f>IF(OR($I90="",$E90=0),0,IF(OR($J90&lt;AE$3,$I90&gt;AE$2),0,IF($K90=0,IF(AND($I90&gt;=AE$3,$I90&lt;=AE$2),$E90,0),$E90*NETWORKDAYS(MAX($I90,AE$3),MIN($J90,AE$2),Data!$K$4:$K$203)/$K90)))</f>
        <v>0</v>
      </c>
      <c r="AF90" s="166">
        <f>IF(OR($I90="",$E90=0),0,IF(OR($J90&lt;AF$3,$I90&gt;AF$2),0,IF($K90=0,IF(AND($I90&gt;=AF$3,$I90&lt;=AF$2),$E90,0),$E90*NETWORKDAYS(MAX($I90,AF$3),MIN($J90,AF$2),Data!$K$4:$K$203)/$K90)))</f>
        <v>0</v>
      </c>
      <c r="AG90" s="166">
        <f>IF(OR($I90="",$E90=0),0,IF(OR($J90&lt;AG$3,$I90&gt;AG$2),0,IF($K90=0,IF(AND($I90&gt;=AG$3,$I90&lt;=AG$2),$E90,0),$E90*NETWORKDAYS(MAX($I90,AG$3),MIN($J90,AG$2),Data!$K$4:$K$203)/$K90)))</f>
        <v>0</v>
      </c>
      <c r="AH90" s="166">
        <f>IF(OR($I90="",$E90=0),0,IF(OR($J90&lt;AH$3,$I90&gt;AH$2),0,IF($K90=0,IF(AND($I90&gt;=AH$3,$I90&lt;=AH$2),$E90,0),$E90*NETWORKDAYS(MAX($I90,AH$3),MIN($J90,AH$2),Data!$K$4:$K$203)/$K90)))</f>
        <v>0</v>
      </c>
      <c r="AI90" s="166">
        <f>SUM(W90:AH90)</f>
        <v>0</v>
      </c>
      <c r="BW90" t="n">
        <v>87</v>
      </c>
      <c r="BX90" t="str">
        <f>IFERROR(MATCH(BW90,$EQ$4:$EQ$503,0),"")</f>
        <v/>
      </c>
      <c r="BZ90" t="str">
        <f>IF(D90=1,IF(TRIM(INDEX(Charge!$K:$K,ROW()))&lt;&gt;"",TRIM(INDEX(Charge!$K:$K,ROW())),IF(TRIM(INDEX(Charge!$L:$L,ROW()))&lt;&gt;"",TRIM(INDEX(Charge!$L:$L,ROW())),"(non affecté)")),"")</f>
        <v/>
      </c>
      <c r="CA90" t="str">
        <f>IF(AND($CD$4&lt;&gt;"",BZ90=$CD$4),COUNTIFS($BZ$4:$BZ$503,$CD$4,$L$4:$L$503,"&lt;"&amp;L90)+1,"")</f>
        <v/>
      </c>
      <c r="EJ90" t="str">
        <f>TRIM(INDEX(Data!$E:$E,ROW()))</f>
        <v/>
      </c>
      <c r="EK90" t="str">
        <f>TRIM(INDEX(Data!$H:$H,ROW()))</f>
        <v/>
      </c>
      <c r="EM90" t="str">
        <f>IF(D90=1,IF(TRIM(INDEX(Charge!$K:$K,ROW()))&lt;&gt;"","Interne",IF(TRIM(INDEX(Charge!$L:$L,ROW()))&lt;&gt;"","Externe","Non affecté")),"")</f>
        <v/>
      </c>
      <c r="EN90" t="str">
        <f>IF(D90=1,LEFT(SUBSTITUTE(SUBSTITUTE(SUBSTITUTE(TRIM(SUBSTITUTE(INDEX(Charge!$B:$B,ROW()),CHAR(160)," "))&amp;" | "&amp;TRIM(SUBSTITUTE(INDEX(Charge!$C:$C,ROW()),CHAR(160)," "))&amp;" | "&amp;TRIM(SUBSTITUTE(INDEX(Charge!$D:$D,ROW()),CHAR(160)," ")),"~","-"),"*","+"),"?","!"),240),"")</f>
        <v/>
      </c>
      <c r="EO90">
        <f>IF(EN90="",0,IF(COUNTIF($EN$4:EN90,EN90)=1,1,0))</f>
        <v>0</v>
      </c>
      <c r="EP90" s="166" t="str">
        <f>IF(EO90=1,ROUND(SUMIF($EN$4:$EN$503,EN90,$E$4:$E$503),2),"")</f>
        <v/>
      </c>
      <c r="EQ90" t="str">
        <f>IF(EO90=1,COUNTIFS($EO$4:$EO$503,1,$EP$4:$EP$503,"&gt;"&amp;EP90)+COUNTIFS($EO$4:EO90,1,$EP$4:EP90,EP90),"")</f>
        <v/>
      </c>
      <c r="ER90" t="str">
        <f>IF(EO90=1,COUNTIFS($EN$4:$EN$503,EN90,$EM$4:$EM$503,"Interne",$FE$4:$FE$503,1),"")</f>
        <v/>
      </c>
      <c r="ES90" t="str">
        <f>IF(EO90=1,COUNTIFS($EN$4:$EN$503,EN90,$EM$4:$EM$503,"Externe",$FE$4:$FE$503,1),"")</f>
        <v/>
      </c>
      <c r="ET90" t="str">
        <f>IF(EO90=1,IF(ER90+ES90=0,"à affecter",IF(ER90=0,ES90&amp;" ext.",(ER90+ES90)&amp;IF(ES90&gt;0," dont "&amp;ES90&amp;" ext.",""))&amp;IF(COUNTIFS($EN$4:$EN$503,EN90,$EM$4:$EM$503,"Non affecté")&gt;0," + à affecter","")),"")</f>
        <v/>
      </c>
      <c r="EU90" s="170" t="str">
        <f>IF(EO90=1,IF(EP90&gt;0,SUMPRODUCT(($EN$4:$EN$503=EN90)*$E$4:$E$503*$C$4:$C$503)/EP90,AVERAGEIF($EN$4:$EN$503,EN90,$C$4:$C$503)),"")</f>
        <v/>
      </c>
      <c r="EV90" s="165">
        <f>IF(ISNUMBER(I90),I90,2958465)</f>
        <v>2958465.0</v>
      </c>
      <c r="EW90" s="165" t="str">
        <f>IF(EO90=1,SUMPRODUCT(MIN(($EN$4:$EN$503=EN90)*$EV$4:$EV$503+($EN$4:$EN$503&lt;&gt;EN90)*2958465)),"")</f>
        <v/>
      </c>
      <c r="EX90" s="165">
        <f>IF(AND(D90=1,ISNUMBER(INDEX(Charge!$F:$F,ROW()))),INDEX(Charge!$F:$F,ROW()),0)</f>
        <v>0.0</v>
      </c>
      <c r="EY90" s="165" t="str">
        <f>IF(EO90=1,SUMPRODUCT(MAX(($EN$4:$EN$503=EN90)*$EX$4:$EX$503)),"")</f>
        <v/>
      </c>
      <c r="FA90" t="str">
        <f>IF(87&lt;=$CD$23,INDEX($EJ$4:$EJ$203,87),IF(87-$CD$23&lt;=$CD$26,INDEX($EK$4:$EK$203,87-$CD$23),""))</f>
        <v/>
      </c>
      <c r="FB90" t="str">
        <f>IF(FA90="","",IF(87&lt;=$CD$23,"Interne","Externe"))</f>
        <v/>
      </c>
      <c r="FD90">
        <f>IF(AND(B90=1,TRIM(INDEX(Charge!$K:$K,ROW()))&lt;&gt;"",TRIM(INDEX(Charge!$L:$L,ROW()))&lt;&gt;""),1,0)</f>
        <v>0</v>
      </c>
      <c r="FE90">
        <f>IF(OR(EN90="",BZ90="(non affecté)"),0,IF(COUNTIFS($EN$4:EN90,EN90,$BZ$4:BZ90,BZ90)=1,1,0))</f>
        <v>0</v>
      </c>
    </row>
    <row r="91">
      <c r="A91">
        <f>ROW()</f>
        <v>91</v>
      </c>
      <c r="B91">
        <f>IF(TRIM(INDEX(Charge!$B:$B,ROW()))&lt;&gt;"",1,0)</f>
        <v>0</v>
      </c>
      <c r="C91">
        <f>IF(B91=1,MIN(1,MAX(0,N(INDEX(Charge!$O:$O,ROW())))),0)</f>
        <v>0</v>
      </c>
      <c r="D91">
        <f>IF(B91=1,IF(OR(p_Perimetre="Tous les projets",C91&lt;1),1,0),0)</f>
        <v>0</v>
      </c>
      <c r="E91">
        <f>IF(D91=1,MAX(0,N(INDEX(Charge!$M:$M,ROW()))),0)</f>
        <v>0</v>
      </c>
      <c r="F91" t="str">
        <f>IF(D91=1,IF(TRIM(INDEX(Charge!$A:$A,ROW()))="","(non renseigné)",TRIM(INDEX(Charge!$A:$A,ROW()))),"")</f>
        <v/>
      </c>
      <c r="G91" t="str">
        <f>IF(D91=1,TRIM(INDEX(Charge!$B:$B,ROW())),"")</f>
        <v/>
      </c>
      <c r="H91" t="str">
        <f>IF(D91=1,IF(TRIM(INDEX(Charge!$E:$E,ROW()))="","(non renseigné)",TRIM(INDEX(Charge!$E:$E,ROW()))),"")</f>
        <v/>
      </c>
      <c r="I91" s="165" t="str">
        <f>IF(AND(D91=1,ISNUMBER(INDEX(Charge!$N:$N,ROW()))),INDEX(Charge!$N:$N,ROW()),"")</f>
        <v/>
      </c>
      <c r="J91" s="165" t="str">
        <f>IF(I91="","",IF(AND(p_Repartition="Lissée jusqu'à la date de besoin",ISNUMBER(INDEX(Charge!$F:$F,ROW()))),IF(INDEX(Charge!$F:$F,ROW())&gt;=I91,INDEX(Charge!$F:$F,ROW()),I91),I91))</f>
        <v/>
      </c>
      <c r="K91" t="str">
        <f>IF(I91="","",NETWORKDAYS(I91,J91,Data!$K$4:$K$203))</f>
        <v/>
      </c>
      <c r="L91" t="str">
        <f>IF(D91=1,COUNTIFS($D$4:$D$503,1,$E$4:$E$503,"&gt;"&amp;E91)+COUNTIFS($D$4:$D91,1,$E$4:$E91,E91),"")</f>
        <v/>
      </c>
      <c r="M91">
        <f>IF(F91="",0,IF(COUNTIF($F$4:F91,F91)=1,1,0))</f>
        <v>0</v>
      </c>
      <c r="N91" t="str">
        <f>IF(M91=1,ROUND(SUMIF($F$4:$F$503,F91,$E$4:$E$503),2),"")</f>
        <v/>
      </c>
      <c r="O91" t="str">
        <f>IF(M91=1,COUNTIFS($M$4:$M$503,1,$N$4:$N$503,"&gt;"&amp;N91)+COUNTIFS($M$4:M91,1,$N$4:N91,N91),"")</f>
        <v/>
      </c>
      <c r="P91">
        <f>IF(G91="",0,IF(COUNTIF($G$4:G91,G91)=1,1,0))</f>
        <v>0</v>
      </c>
      <c r="Q91" t="str">
        <f>IF(P91=1,ROUND(SUMIF($G$4:$G$503,G91,$E$4:$E$503),2),"")</f>
        <v/>
      </c>
      <c r="R91" t="str">
        <f>IF(P91=1,COUNTIFS($P$4:$P$503,1,$Q$4:$Q$503,"&gt;"&amp;Q91)+COUNTIFS($P$4:P91,1,$Q$4:Q91,Q91),"")</f>
        <v/>
      </c>
      <c r="S91">
        <f>IF(H91="",0,IF(COUNTIF($H$4:H91,H91)=1,1,0))</f>
        <v>0</v>
      </c>
      <c r="T91" t="str">
        <f>IF(S91=1,ROUND(SUMIF($H$4:$H$503,H91,$E$4:$E$503),2),"")</f>
        <v/>
      </c>
      <c r="U91" t="str">
        <f>IF(S91=1,COUNTIFS($S$4:$S$503,1,$T$4:$T$503,"&gt;"&amp;T91)+COUNTIFS($S$4:S91,1,$T$4:T91,T91),"")</f>
        <v/>
      </c>
      <c r="V91" t="str">
        <f>IF(D91=1,MIN(INDEX($R$4:$R$503,MATCH(G91,$G$4:$G$503,0)),IF($AL$7&gt;9,9,999)),"")</f>
        <v/>
      </c>
      <c r="W91" s="166">
        <f>IF(OR($I91="",$E91=0),0,IF(OR($J91&lt;W$3,$I91&gt;W$2),0,IF($K91=0,IF(AND($I91&gt;=W$3,$I91&lt;=W$2),$E91,0),$E91*NETWORKDAYS(MAX($I91,W$3),MIN($J91,W$2),Data!$K$4:$K$203)/$K91)))</f>
        <v>0</v>
      </c>
      <c r="X91" s="166">
        <f>IF(OR($I91="",$E91=0),0,IF(OR($J91&lt;X$3,$I91&gt;X$2),0,IF($K91=0,IF(AND($I91&gt;=X$3,$I91&lt;=X$2),$E91,0),$E91*NETWORKDAYS(MAX($I91,X$3),MIN($J91,X$2),Data!$K$4:$K$203)/$K91)))</f>
        <v>0</v>
      </c>
      <c r="Y91" s="166">
        <f>IF(OR($I91="",$E91=0),0,IF(OR($J91&lt;Y$3,$I91&gt;Y$2),0,IF($K91=0,IF(AND($I91&gt;=Y$3,$I91&lt;=Y$2),$E91,0),$E91*NETWORKDAYS(MAX($I91,Y$3),MIN($J91,Y$2),Data!$K$4:$K$203)/$K91)))</f>
        <v>0</v>
      </c>
      <c r="Z91" s="166">
        <f>IF(OR($I91="",$E91=0),0,IF(OR($J91&lt;Z$3,$I91&gt;Z$2),0,IF($K91=0,IF(AND($I91&gt;=Z$3,$I91&lt;=Z$2),$E91,0),$E91*NETWORKDAYS(MAX($I91,Z$3),MIN($J91,Z$2),Data!$K$4:$K$203)/$K91)))</f>
        <v>0</v>
      </c>
      <c r="AA91" s="166">
        <f>IF(OR($I91="",$E91=0),0,IF(OR($J91&lt;AA$3,$I91&gt;AA$2),0,IF($K91=0,IF(AND($I91&gt;=AA$3,$I91&lt;=AA$2),$E91,0),$E91*NETWORKDAYS(MAX($I91,AA$3),MIN($J91,AA$2),Data!$K$4:$K$203)/$K91)))</f>
        <v>0</v>
      </c>
      <c r="AB91" s="166">
        <f>IF(OR($I91="",$E91=0),0,IF(OR($J91&lt;AB$3,$I91&gt;AB$2),0,IF($K91=0,IF(AND($I91&gt;=AB$3,$I91&lt;=AB$2),$E91,0),$E91*NETWORKDAYS(MAX($I91,AB$3),MIN($J91,AB$2),Data!$K$4:$K$203)/$K91)))</f>
        <v>0</v>
      </c>
      <c r="AC91" s="166">
        <f>IF(OR($I91="",$E91=0),0,IF(OR($J91&lt;AC$3,$I91&gt;AC$2),0,IF($K91=0,IF(AND($I91&gt;=AC$3,$I91&lt;=AC$2),$E91,0),$E91*NETWORKDAYS(MAX($I91,AC$3),MIN($J91,AC$2),Data!$K$4:$K$203)/$K91)))</f>
        <v>0</v>
      </c>
      <c r="AD91" s="166">
        <f>IF(OR($I91="",$E91=0),0,IF(OR($J91&lt;AD$3,$I91&gt;AD$2),0,IF($K91=0,IF(AND($I91&gt;=AD$3,$I91&lt;=AD$2),$E91,0),$E91*NETWORKDAYS(MAX($I91,AD$3),MIN($J91,AD$2),Data!$K$4:$K$203)/$K91)))</f>
        <v>0</v>
      </c>
      <c r="AE91" s="166">
        <f>IF(OR($I91="",$E91=0),0,IF(OR($J91&lt;AE$3,$I91&gt;AE$2),0,IF($K91=0,IF(AND($I91&gt;=AE$3,$I91&lt;=AE$2),$E91,0),$E91*NETWORKDAYS(MAX($I91,AE$3),MIN($J91,AE$2),Data!$K$4:$K$203)/$K91)))</f>
        <v>0</v>
      </c>
      <c r="AF91" s="166">
        <f>IF(OR($I91="",$E91=0),0,IF(OR($J91&lt;AF$3,$I91&gt;AF$2),0,IF($K91=0,IF(AND($I91&gt;=AF$3,$I91&lt;=AF$2),$E91,0),$E91*NETWORKDAYS(MAX($I91,AF$3),MIN($J91,AF$2),Data!$K$4:$K$203)/$K91)))</f>
        <v>0</v>
      </c>
      <c r="AG91" s="166">
        <f>IF(OR($I91="",$E91=0),0,IF(OR($J91&lt;AG$3,$I91&gt;AG$2),0,IF($K91=0,IF(AND($I91&gt;=AG$3,$I91&lt;=AG$2),$E91,0),$E91*NETWORKDAYS(MAX($I91,AG$3),MIN($J91,AG$2),Data!$K$4:$K$203)/$K91)))</f>
        <v>0</v>
      </c>
      <c r="AH91" s="166">
        <f>IF(OR($I91="",$E91=0),0,IF(OR($J91&lt;AH$3,$I91&gt;AH$2),0,IF($K91=0,IF(AND($I91&gt;=AH$3,$I91&lt;=AH$2),$E91,0),$E91*NETWORKDAYS(MAX($I91,AH$3),MIN($J91,AH$2),Data!$K$4:$K$203)/$K91)))</f>
        <v>0</v>
      </c>
      <c r="AI91" s="166">
        <f>SUM(W91:AH91)</f>
        <v>0</v>
      </c>
      <c r="BW91" t="n">
        <v>88</v>
      </c>
      <c r="BX91" t="str">
        <f>IFERROR(MATCH(BW91,$EQ$4:$EQ$503,0),"")</f>
        <v/>
      </c>
      <c r="BZ91" t="str">
        <f>IF(D91=1,IF(TRIM(INDEX(Charge!$K:$K,ROW()))&lt;&gt;"",TRIM(INDEX(Charge!$K:$K,ROW())),IF(TRIM(INDEX(Charge!$L:$L,ROW()))&lt;&gt;"",TRIM(INDEX(Charge!$L:$L,ROW())),"(non affecté)")),"")</f>
        <v/>
      </c>
      <c r="CA91" t="str">
        <f>IF(AND($CD$4&lt;&gt;"",BZ91=$CD$4),COUNTIFS($BZ$4:$BZ$503,$CD$4,$L$4:$L$503,"&lt;"&amp;L91)+1,"")</f>
        <v/>
      </c>
      <c r="EJ91" t="str">
        <f>TRIM(INDEX(Data!$E:$E,ROW()))</f>
        <v/>
      </c>
      <c r="EK91" t="str">
        <f>TRIM(INDEX(Data!$H:$H,ROW()))</f>
        <v/>
      </c>
      <c r="EM91" t="str">
        <f>IF(D91=1,IF(TRIM(INDEX(Charge!$K:$K,ROW()))&lt;&gt;"","Interne",IF(TRIM(INDEX(Charge!$L:$L,ROW()))&lt;&gt;"","Externe","Non affecté")),"")</f>
        <v/>
      </c>
      <c r="EN91" t="str">
        <f>IF(D91=1,LEFT(SUBSTITUTE(SUBSTITUTE(SUBSTITUTE(TRIM(SUBSTITUTE(INDEX(Charge!$B:$B,ROW()),CHAR(160)," "))&amp;" | "&amp;TRIM(SUBSTITUTE(INDEX(Charge!$C:$C,ROW()),CHAR(160)," "))&amp;" | "&amp;TRIM(SUBSTITUTE(INDEX(Charge!$D:$D,ROW()),CHAR(160)," ")),"~","-"),"*","+"),"?","!"),240),"")</f>
        <v/>
      </c>
      <c r="EO91">
        <f>IF(EN91="",0,IF(COUNTIF($EN$4:EN91,EN91)=1,1,0))</f>
        <v>0</v>
      </c>
      <c r="EP91" s="166" t="str">
        <f>IF(EO91=1,ROUND(SUMIF($EN$4:$EN$503,EN91,$E$4:$E$503),2),"")</f>
        <v/>
      </c>
      <c r="EQ91" t="str">
        <f>IF(EO91=1,COUNTIFS($EO$4:$EO$503,1,$EP$4:$EP$503,"&gt;"&amp;EP91)+COUNTIFS($EO$4:EO91,1,$EP$4:EP91,EP91),"")</f>
        <v/>
      </c>
      <c r="ER91" t="str">
        <f>IF(EO91=1,COUNTIFS($EN$4:$EN$503,EN91,$EM$4:$EM$503,"Interne",$FE$4:$FE$503,1),"")</f>
        <v/>
      </c>
      <c r="ES91" t="str">
        <f>IF(EO91=1,COUNTIFS($EN$4:$EN$503,EN91,$EM$4:$EM$503,"Externe",$FE$4:$FE$503,1),"")</f>
        <v/>
      </c>
      <c r="ET91" t="str">
        <f>IF(EO91=1,IF(ER91+ES91=0,"à affecter",IF(ER91=0,ES91&amp;" ext.",(ER91+ES91)&amp;IF(ES91&gt;0," dont "&amp;ES91&amp;" ext.",""))&amp;IF(COUNTIFS($EN$4:$EN$503,EN91,$EM$4:$EM$503,"Non affecté")&gt;0," + à affecter","")),"")</f>
        <v/>
      </c>
      <c r="EU91" s="170" t="str">
        <f>IF(EO91=1,IF(EP91&gt;0,SUMPRODUCT(($EN$4:$EN$503=EN91)*$E$4:$E$503*$C$4:$C$503)/EP91,AVERAGEIF($EN$4:$EN$503,EN91,$C$4:$C$503)),"")</f>
        <v/>
      </c>
      <c r="EV91" s="165">
        <f>IF(ISNUMBER(I91),I91,2958465)</f>
        <v>2958465.0</v>
      </c>
      <c r="EW91" s="165" t="str">
        <f>IF(EO91=1,SUMPRODUCT(MIN(($EN$4:$EN$503=EN91)*$EV$4:$EV$503+($EN$4:$EN$503&lt;&gt;EN91)*2958465)),"")</f>
        <v/>
      </c>
      <c r="EX91" s="165">
        <f>IF(AND(D91=1,ISNUMBER(INDEX(Charge!$F:$F,ROW()))),INDEX(Charge!$F:$F,ROW()),0)</f>
        <v>0.0</v>
      </c>
      <c r="EY91" s="165" t="str">
        <f>IF(EO91=1,SUMPRODUCT(MAX(($EN$4:$EN$503=EN91)*$EX$4:$EX$503)),"")</f>
        <v/>
      </c>
      <c r="FA91" t="str">
        <f>IF(88&lt;=$CD$23,INDEX($EJ$4:$EJ$203,88),IF(88-$CD$23&lt;=$CD$26,INDEX($EK$4:$EK$203,88-$CD$23),""))</f>
        <v/>
      </c>
      <c r="FB91" t="str">
        <f>IF(FA91="","",IF(88&lt;=$CD$23,"Interne","Externe"))</f>
        <v/>
      </c>
      <c r="FD91">
        <f>IF(AND(B91=1,TRIM(INDEX(Charge!$K:$K,ROW()))&lt;&gt;"",TRIM(INDEX(Charge!$L:$L,ROW()))&lt;&gt;""),1,0)</f>
        <v>0</v>
      </c>
      <c r="FE91">
        <f>IF(OR(EN91="",BZ91="(non affecté)"),0,IF(COUNTIFS($EN$4:EN91,EN91,$BZ$4:BZ91,BZ91)=1,1,0))</f>
        <v>0</v>
      </c>
    </row>
    <row r="92">
      <c r="A92">
        <f>ROW()</f>
        <v>92</v>
      </c>
      <c r="B92">
        <f>IF(TRIM(INDEX(Charge!$B:$B,ROW()))&lt;&gt;"",1,0)</f>
        <v>0</v>
      </c>
      <c r="C92">
        <f>IF(B92=1,MIN(1,MAX(0,N(INDEX(Charge!$O:$O,ROW())))),0)</f>
        <v>0</v>
      </c>
      <c r="D92">
        <f>IF(B92=1,IF(OR(p_Perimetre="Tous les projets",C92&lt;1),1,0),0)</f>
        <v>0</v>
      </c>
      <c r="E92">
        <f>IF(D92=1,MAX(0,N(INDEX(Charge!$M:$M,ROW()))),0)</f>
        <v>0</v>
      </c>
      <c r="F92" t="str">
        <f>IF(D92=1,IF(TRIM(INDEX(Charge!$A:$A,ROW()))="","(non renseigné)",TRIM(INDEX(Charge!$A:$A,ROW()))),"")</f>
        <v/>
      </c>
      <c r="G92" t="str">
        <f>IF(D92=1,TRIM(INDEX(Charge!$B:$B,ROW())),"")</f>
        <v/>
      </c>
      <c r="H92" t="str">
        <f>IF(D92=1,IF(TRIM(INDEX(Charge!$E:$E,ROW()))="","(non renseigné)",TRIM(INDEX(Charge!$E:$E,ROW()))),"")</f>
        <v/>
      </c>
      <c r="I92" s="165" t="str">
        <f>IF(AND(D92=1,ISNUMBER(INDEX(Charge!$N:$N,ROW()))),INDEX(Charge!$N:$N,ROW()),"")</f>
        <v/>
      </c>
      <c r="J92" s="165" t="str">
        <f>IF(I92="","",IF(AND(p_Repartition="Lissée jusqu'à la date de besoin",ISNUMBER(INDEX(Charge!$F:$F,ROW()))),IF(INDEX(Charge!$F:$F,ROW())&gt;=I92,INDEX(Charge!$F:$F,ROW()),I92),I92))</f>
        <v/>
      </c>
      <c r="K92" t="str">
        <f>IF(I92="","",NETWORKDAYS(I92,J92,Data!$K$4:$K$203))</f>
        <v/>
      </c>
      <c r="L92" t="str">
        <f>IF(D92=1,COUNTIFS($D$4:$D$503,1,$E$4:$E$503,"&gt;"&amp;E92)+COUNTIFS($D$4:$D92,1,$E$4:$E92,E92),"")</f>
        <v/>
      </c>
      <c r="M92">
        <f>IF(F92="",0,IF(COUNTIF($F$4:F92,F92)=1,1,0))</f>
        <v>0</v>
      </c>
      <c r="N92" t="str">
        <f>IF(M92=1,ROUND(SUMIF($F$4:$F$503,F92,$E$4:$E$503),2),"")</f>
        <v/>
      </c>
      <c r="O92" t="str">
        <f>IF(M92=1,COUNTIFS($M$4:$M$503,1,$N$4:$N$503,"&gt;"&amp;N92)+COUNTIFS($M$4:M92,1,$N$4:N92,N92),"")</f>
        <v/>
      </c>
      <c r="P92">
        <f>IF(G92="",0,IF(COUNTIF($G$4:G92,G92)=1,1,0))</f>
        <v>0</v>
      </c>
      <c r="Q92" t="str">
        <f>IF(P92=1,ROUND(SUMIF($G$4:$G$503,G92,$E$4:$E$503),2),"")</f>
        <v/>
      </c>
      <c r="R92" t="str">
        <f>IF(P92=1,COUNTIFS($P$4:$P$503,1,$Q$4:$Q$503,"&gt;"&amp;Q92)+COUNTIFS($P$4:P92,1,$Q$4:Q92,Q92),"")</f>
        <v/>
      </c>
      <c r="S92">
        <f>IF(H92="",0,IF(COUNTIF($H$4:H92,H92)=1,1,0))</f>
        <v>0</v>
      </c>
      <c r="T92" t="str">
        <f>IF(S92=1,ROUND(SUMIF($H$4:$H$503,H92,$E$4:$E$503),2),"")</f>
        <v/>
      </c>
      <c r="U92" t="str">
        <f>IF(S92=1,COUNTIFS($S$4:$S$503,1,$T$4:$T$503,"&gt;"&amp;T92)+COUNTIFS($S$4:S92,1,$T$4:T92,T92),"")</f>
        <v/>
      </c>
      <c r="V92" t="str">
        <f>IF(D92=1,MIN(INDEX($R$4:$R$503,MATCH(G92,$G$4:$G$503,0)),IF($AL$7&gt;9,9,999)),"")</f>
        <v/>
      </c>
      <c r="W92" s="166">
        <f>IF(OR($I92="",$E92=0),0,IF(OR($J92&lt;W$3,$I92&gt;W$2),0,IF($K92=0,IF(AND($I92&gt;=W$3,$I92&lt;=W$2),$E92,0),$E92*NETWORKDAYS(MAX($I92,W$3),MIN($J92,W$2),Data!$K$4:$K$203)/$K92)))</f>
        <v>0</v>
      </c>
      <c r="X92" s="166">
        <f>IF(OR($I92="",$E92=0),0,IF(OR($J92&lt;X$3,$I92&gt;X$2),0,IF($K92=0,IF(AND($I92&gt;=X$3,$I92&lt;=X$2),$E92,0),$E92*NETWORKDAYS(MAX($I92,X$3),MIN($J92,X$2),Data!$K$4:$K$203)/$K92)))</f>
        <v>0</v>
      </c>
      <c r="Y92" s="166">
        <f>IF(OR($I92="",$E92=0),0,IF(OR($J92&lt;Y$3,$I92&gt;Y$2),0,IF($K92=0,IF(AND($I92&gt;=Y$3,$I92&lt;=Y$2),$E92,0),$E92*NETWORKDAYS(MAX($I92,Y$3),MIN($J92,Y$2),Data!$K$4:$K$203)/$K92)))</f>
        <v>0</v>
      </c>
      <c r="Z92" s="166">
        <f>IF(OR($I92="",$E92=0),0,IF(OR($J92&lt;Z$3,$I92&gt;Z$2),0,IF($K92=0,IF(AND($I92&gt;=Z$3,$I92&lt;=Z$2),$E92,0),$E92*NETWORKDAYS(MAX($I92,Z$3),MIN($J92,Z$2),Data!$K$4:$K$203)/$K92)))</f>
        <v>0</v>
      </c>
      <c r="AA92" s="166">
        <f>IF(OR($I92="",$E92=0),0,IF(OR($J92&lt;AA$3,$I92&gt;AA$2),0,IF($K92=0,IF(AND($I92&gt;=AA$3,$I92&lt;=AA$2),$E92,0),$E92*NETWORKDAYS(MAX($I92,AA$3),MIN($J92,AA$2),Data!$K$4:$K$203)/$K92)))</f>
        <v>0</v>
      </c>
      <c r="AB92" s="166">
        <f>IF(OR($I92="",$E92=0),0,IF(OR($J92&lt;AB$3,$I92&gt;AB$2),0,IF($K92=0,IF(AND($I92&gt;=AB$3,$I92&lt;=AB$2),$E92,0),$E92*NETWORKDAYS(MAX($I92,AB$3),MIN($J92,AB$2),Data!$K$4:$K$203)/$K92)))</f>
        <v>0</v>
      </c>
      <c r="AC92" s="166">
        <f>IF(OR($I92="",$E92=0),0,IF(OR($J92&lt;AC$3,$I92&gt;AC$2),0,IF($K92=0,IF(AND($I92&gt;=AC$3,$I92&lt;=AC$2),$E92,0),$E92*NETWORKDAYS(MAX($I92,AC$3),MIN($J92,AC$2),Data!$K$4:$K$203)/$K92)))</f>
        <v>0</v>
      </c>
      <c r="AD92" s="166">
        <f>IF(OR($I92="",$E92=0),0,IF(OR($J92&lt;AD$3,$I92&gt;AD$2),0,IF($K92=0,IF(AND($I92&gt;=AD$3,$I92&lt;=AD$2),$E92,0),$E92*NETWORKDAYS(MAX($I92,AD$3),MIN($J92,AD$2),Data!$K$4:$K$203)/$K92)))</f>
        <v>0</v>
      </c>
      <c r="AE92" s="166">
        <f>IF(OR($I92="",$E92=0),0,IF(OR($J92&lt;AE$3,$I92&gt;AE$2),0,IF($K92=0,IF(AND($I92&gt;=AE$3,$I92&lt;=AE$2),$E92,0),$E92*NETWORKDAYS(MAX($I92,AE$3),MIN($J92,AE$2),Data!$K$4:$K$203)/$K92)))</f>
        <v>0</v>
      </c>
      <c r="AF92" s="166">
        <f>IF(OR($I92="",$E92=0),0,IF(OR($J92&lt;AF$3,$I92&gt;AF$2),0,IF($K92=0,IF(AND($I92&gt;=AF$3,$I92&lt;=AF$2),$E92,0),$E92*NETWORKDAYS(MAX($I92,AF$3),MIN($J92,AF$2),Data!$K$4:$K$203)/$K92)))</f>
        <v>0</v>
      </c>
      <c r="AG92" s="166">
        <f>IF(OR($I92="",$E92=0),0,IF(OR($J92&lt;AG$3,$I92&gt;AG$2),0,IF($K92=0,IF(AND($I92&gt;=AG$3,$I92&lt;=AG$2),$E92,0),$E92*NETWORKDAYS(MAX($I92,AG$3),MIN($J92,AG$2),Data!$K$4:$K$203)/$K92)))</f>
        <v>0</v>
      </c>
      <c r="AH92" s="166">
        <f>IF(OR($I92="",$E92=0),0,IF(OR($J92&lt;AH$3,$I92&gt;AH$2),0,IF($K92=0,IF(AND($I92&gt;=AH$3,$I92&lt;=AH$2),$E92,0),$E92*NETWORKDAYS(MAX($I92,AH$3),MIN($J92,AH$2),Data!$K$4:$K$203)/$K92)))</f>
        <v>0</v>
      </c>
      <c r="AI92" s="166">
        <f>SUM(W92:AH92)</f>
        <v>0</v>
      </c>
      <c r="BW92" t="n">
        <v>89</v>
      </c>
      <c r="BX92" t="str">
        <f>IFERROR(MATCH(BW92,$EQ$4:$EQ$503,0),"")</f>
        <v/>
      </c>
      <c r="BZ92" t="str">
        <f>IF(D92=1,IF(TRIM(INDEX(Charge!$K:$K,ROW()))&lt;&gt;"",TRIM(INDEX(Charge!$K:$K,ROW())),IF(TRIM(INDEX(Charge!$L:$L,ROW()))&lt;&gt;"",TRIM(INDEX(Charge!$L:$L,ROW())),"(non affecté)")),"")</f>
        <v/>
      </c>
      <c r="CA92" t="str">
        <f>IF(AND($CD$4&lt;&gt;"",BZ92=$CD$4),COUNTIFS($BZ$4:$BZ$503,$CD$4,$L$4:$L$503,"&lt;"&amp;L92)+1,"")</f>
        <v/>
      </c>
      <c r="EJ92" t="str">
        <f>TRIM(INDEX(Data!$E:$E,ROW()))</f>
        <v/>
      </c>
      <c r="EK92" t="str">
        <f>TRIM(INDEX(Data!$H:$H,ROW()))</f>
        <v/>
      </c>
      <c r="EM92" t="str">
        <f>IF(D92=1,IF(TRIM(INDEX(Charge!$K:$K,ROW()))&lt;&gt;"","Interne",IF(TRIM(INDEX(Charge!$L:$L,ROW()))&lt;&gt;"","Externe","Non affecté")),"")</f>
        <v/>
      </c>
      <c r="EN92" t="str">
        <f>IF(D92=1,LEFT(SUBSTITUTE(SUBSTITUTE(SUBSTITUTE(TRIM(SUBSTITUTE(INDEX(Charge!$B:$B,ROW()),CHAR(160)," "))&amp;" | "&amp;TRIM(SUBSTITUTE(INDEX(Charge!$C:$C,ROW()),CHAR(160)," "))&amp;" | "&amp;TRIM(SUBSTITUTE(INDEX(Charge!$D:$D,ROW()),CHAR(160)," ")),"~","-"),"*","+"),"?","!"),240),"")</f>
        <v/>
      </c>
      <c r="EO92">
        <f>IF(EN92="",0,IF(COUNTIF($EN$4:EN92,EN92)=1,1,0))</f>
        <v>0</v>
      </c>
      <c r="EP92" s="166" t="str">
        <f>IF(EO92=1,ROUND(SUMIF($EN$4:$EN$503,EN92,$E$4:$E$503),2),"")</f>
        <v/>
      </c>
      <c r="EQ92" t="str">
        <f>IF(EO92=1,COUNTIFS($EO$4:$EO$503,1,$EP$4:$EP$503,"&gt;"&amp;EP92)+COUNTIFS($EO$4:EO92,1,$EP$4:EP92,EP92),"")</f>
        <v/>
      </c>
      <c r="ER92" t="str">
        <f>IF(EO92=1,COUNTIFS($EN$4:$EN$503,EN92,$EM$4:$EM$503,"Interne",$FE$4:$FE$503,1),"")</f>
        <v/>
      </c>
      <c r="ES92" t="str">
        <f>IF(EO92=1,COUNTIFS($EN$4:$EN$503,EN92,$EM$4:$EM$503,"Externe",$FE$4:$FE$503,1),"")</f>
        <v/>
      </c>
      <c r="ET92" t="str">
        <f>IF(EO92=1,IF(ER92+ES92=0,"à affecter",IF(ER92=0,ES92&amp;" ext.",(ER92+ES92)&amp;IF(ES92&gt;0," dont "&amp;ES92&amp;" ext.",""))&amp;IF(COUNTIFS($EN$4:$EN$503,EN92,$EM$4:$EM$503,"Non affecté")&gt;0," + à affecter","")),"")</f>
        <v/>
      </c>
      <c r="EU92" s="170" t="str">
        <f>IF(EO92=1,IF(EP92&gt;0,SUMPRODUCT(($EN$4:$EN$503=EN92)*$E$4:$E$503*$C$4:$C$503)/EP92,AVERAGEIF($EN$4:$EN$503,EN92,$C$4:$C$503)),"")</f>
        <v/>
      </c>
      <c r="EV92" s="165">
        <f>IF(ISNUMBER(I92),I92,2958465)</f>
        <v>2958465.0</v>
      </c>
      <c r="EW92" s="165" t="str">
        <f>IF(EO92=1,SUMPRODUCT(MIN(($EN$4:$EN$503=EN92)*$EV$4:$EV$503+($EN$4:$EN$503&lt;&gt;EN92)*2958465)),"")</f>
        <v/>
      </c>
      <c r="EX92" s="165">
        <f>IF(AND(D92=1,ISNUMBER(INDEX(Charge!$F:$F,ROW()))),INDEX(Charge!$F:$F,ROW()),0)</f>
        <v>0.0</v>
      </c>
      <c r="EY92" s="165" t="str">
        <f>IF(EO92=1,SUMPRODUCT(MAX(($EN$4:$EN$503=EN92)*$EX$4:$EX$503)),"")</f>
        <v/>
      </c>
      <c r="FA92" t="str">
        <f>IF(89&lt;=$CD$23,INDEX($EJ$4:$EJ$203,89),IF(89-$CD$23&lt;=$CD$26,INDEX($EK$4:$EK$203,89-$CD$23),""))</f>
        <v/>
      </c>
      <c r="FB92" t="str">
        <f>IF(FA92="","",IF(89&lt;=$CD$23,"Interne","Externe"))</f>
        <v/>
      </c>
      <c r="FD92">
        <f>IF(AND(B92=1,TRIM(INDEX(Charge!$K:$K,ROW()))&lt;&gt;"",TRIM(INDEX(Charge!$L:$L,ROW()))&lt;&gt;""),1,0)</f>
        <v>0</v>
      </c>
      <c r="FE92">
        <f>IF(OR(EN92="",BZ92="(non affecté)"),0,IF(COUNTIFS($EN$4:EN92,EN92,$BZ$4:BZ92,BZ92)=1,1,0))</f>
        <v>0</v>
      </c>
    </row>
    <row r="93">
      <c r="A93">
        <f>ROW()</f>
        <v>93</v>
      </c>
      <c r="B93">
        <f>IF(TRIM(INDEX(Charge!$B:$B,ROW()))&lt;&gt;"",1,0)</f>
        <v>0</v>
      </c>
      <c r="C93">
        <f>IF(B93=1,MIN(1,MAX(0,N(INDEX(Charge!$O:$O,ROW())))),0)</f>
        <v>0</v>
      </c>
      <c r="D93">
        <f>IF(B93=1,IF(OR(p_Perimetre="Tous les projets",C93&lt;1),1,0),0)</f>
        <v>0</v>
      </c>
      <c r="E93">
        <f>IF(D93=1,MAX(0,N(INDEX(Charge!$M:$M,ROW()))),0)</f>
        <v>0</v>
      </c>
      <c r="F93" t="str">
        <f>IF(D93=1,IF(TRIM(INDEX(Charge!$A:$A,ROW()))="","(non renseigné)",TRIM(INDEX(Charge!$A:$A,ROW()))),"")</f>
        <v/>
      </c>
      <c r="G93" t="str">
        <f>IF(D93=1,TRIM(INDEX(Charge!$B:$B,ROW())),"")</f>
        <v/>
      </c>
      <c r="H93" t="str">
        <f>IF(D93=1,IF(TRIM(INDEX(Charge!$E:$E,ROW()))="","(non renseigné)",TRIM(INDEX(Charge!$E:$E,ROW()))),"")</f>
        <v/>
      </c>
      <c r="I93" s="165" t="str">
        <f>IF(AND(D93=1,ISNUMBER(INDEX(Charge!$N:$N,ROW()))),INDEX(Charge!$N:$N,ROW()),"")</f>
        <v/>
      </c>
      <c r="J93" s="165" t="str">
        <f>IF(I93="","",IF(AND(p_Repartition="Lissée jusqu'à la date de besoin",ISNUMBER(INDEX(Charge!$F:$F,ROW()))),IF(INDEX(Charge!$F:$F,ROW())&gt;=I93,INDEX(Charge!$F:$F,ROW()),I93),I93))</f>
        <v/>
      </c>
      <c r="K93" t="str">
        <f>IF(I93="","",NETWORKDAYS(I93,J93,Data!$K$4:$K$203))</f>
        <v/>
      </c>
      <c r="L93" t="str">
        <f>IF(D93=1,COUNTIFS($D$4:$D$503,1,$E$4:$E$503,"&gt;"&amp;E93)+COUNTIFS($D$4:$D93,1,$E$4:$E93,E93),"")</f>
        <v/>
      </c>
      <c r="M93">
        <f>IF(F93="",0,IF(COUNTIF($F$4:F93,F93)=1,1,0))</f>
        <v>0</v>
      </c>
      <c r="N93" t="str">
        <f>IF(M93=1,ROUND(SUMIF($F$4:$F$503,F93,$E$4:$E$503),2),"")</f>
        <v/>
      </c>
      <c r="O93" t="str">
        <f>IF(M93=1,COUNTIFS($M$4:$M$503,1,$N$4:$N$503,"&gt;"&amp;N93)+COUNTIFS($M$4:M93,1,$N$4:N93,N93),"")</f>
        <v/>
      </c>
      <c r="P93">
        <f>IF(G93="",0,IF(COUNTIF($G$4:G93,G93)=1,1,0))</f>
        <v>0</v>
      </c>
      <c r="Q93" t="str">
        <f>IF(P93=1,ROUND(SUMIF($G$4:$G$503,G93,$E$4:$E$503),2),"")</f>
        <v/>
      </c>
      <c r="R93" t="str">
        <f>IF(P93=1,COUNTIFS($P$4:$P$503,1,$Q$4:$Q$503,"&gt;"&amp;Q93)+COUNTIFS($P$4:P93,1,$Q$4:Q93,Q93),"")</f>
        <v/>
      </c>
      <c r="S93">
        <f>IF(H93="",0,IF(COUNTIF($H$4:H93,H93)=1,1,0))</f>
        <v>0</v>
      </c>
      <c r="T93" t="str">
        <f>IF(S93=1,ROUND(SUMIF($H$4:$H$503,H93,$E$4:$E$503),2),"")</f>
        <v/>
      </c>
      <c r="U93" t="str">
        <f>IF(S93=1,COUNTIFS($S$4:$S$503,1,$T$4:$T$503,"&gt;"&amp;T93)+COUNTIFS($S$4:S93,1,$T$4:T93,T93),"")</f>
        <v/>
      </c>
      <c r="V93" t="str">
        <f>IF(D93=1,MIN(INDEX($R$4:$R$503,MATCH(G93,$G$4:$G$503,0)),IF($AL$7&gt;9,9,999)),"")</f>
        <v/>
      </c>
      <c r="W93" s="166">
        <f>IF(OR($I93="",$E93=0),0,IF(OR($J93&lt;W$3,$I93&gt;W$2),0,IF($K93=0,IF(AND($I93&gt;=W$3,$I93&lt;=W$2),$E93,0),$E93*NETWORKDAYS(MAX($I93,W$3),MIN($J93,W$2),Data!$K$4:$K$203)/$K93)))</f>
        <v>0</v>
      </c>
      <c r="X93" s="166">
        <f>IF(OR($I93="",$E93=0),0,IF(OR($J93&lt;X$3,$I93&gt;X$2),0,IF($K93=0,IF(AND($I93&gt;=X$3,$I93&lt;=X$2),$E93,0),$E93*NETWORKDAYS(MAX($I93,X$3),MIN($J93,X$2),Data!$K$4:$K$203)/$K93)))</f>
        <v>0</v>
      </c>
      <c r="Y93" s="166">
        <f>IF(OR($I93="",$E93=0),0,IF(OR($J93&lt;Y$3,$I93&gt;Y$2),0,IF($K93=0,IF(AND($I93&gt;=Y$3,$I93&lt;=Y$2),$E93,0),$E93*NETWORKDAYS(MAX($I93,Y$3),MIN($J93,Y$2),Data!$K$4:$K$203)/$K93)))</f>
        <v>0</v>
      </c>
      <c r="Z93" s="166">
        <f>IF(OR($I93="",$E93=0),0,IF(OR($J93&lt;Z$3,$I93&gt;Z$2),0,IF($K93=0,IF(AND($I93&gt;=Z$3,$I93&lt;=Z$2),$E93,0),$E93*NETWORKDAYS(MAX($I93,Z$3),MIN($J93,Z$2),Data!$K$4:$K$203)/$K93)))</f>
        <v>0</v>
      </c>
      <c r="AA93" s="166">
        <f>IF(OR($I93="",$E93=0),0,IF(OR($J93&lt;AA$3,$I93&gt;AA$2),0,IF($K93=0,IF(AND($I93&gt;=AA$3,$I93&lt;=AA$2),$E93,0),$E93*NETWORKDAYS(MAX($I93,AA$3),MIN($J93,AA$2),Data!$K$4:$K$203)/$K93)))</f>
        <v>0</v>
      </c>
      <c r="AB93" s="166">
        <f>IF(OR($I93="",$E93=0),0,IF(OR($J93&lt;AB$3,$I93&gt;AB$2),0,IF($K93=0,IF(AND($I93&gt;=AB$3,$I93&lt;=AB$2),$E93,0),$E93*NETWORKDAYS(MAX($I93,AB$3),MIN($J93,AB$2),Data!$K$4:$K$203)/$K93)))</f>
        <v>0</v>
      </c>
      <c r="AC93" s="166">
        <f>IF(OR($I93="",$E93=0),0,IF(OR($J93&lt;AC$3,$I93&gt;AC$2),0,IF($K93=0,IF(AND($I93&gt;=AC$3,$I93&lt;=AC$2),$E93,0),$E93*NETWORKDAYS(MAX($I93,AC$3),MIN($J93,AC$2),Data!$K$4:$K$203)/$K93)))</f>
        <v>0</v>
      </c>
      <c r="AD93" s="166">
        <f>IF(OR($I93="",$E93=0),0,IF(OR($J93&lt;AD$3,$I93&gt;AD$2),0,IF($K93=0,IF(AND($I93&gt;=AD$3,$I93&lt;=AD$2),$E93,0),$E93*NETWORKDAYS(MAX($I93,AD$3),MIN($J93,AD$2),Data!$K$4:$K$203)/$K93)))</f>
        <v>0</v>
      </c>
      <c r="AE93" s="166">
        <f>IF(OR($I93="",$E93=0),0,IF(OR($J93&lt;AE$3,$I93&gt;AE$2),0,IF($K93=0,IF(AND($I93&gt;=AE$3,$I93&lt;=AE$2),$E93,0),$E93*NETWORKDAYS(MAX($I93,AE$3),MIN($J93,AE$2),Data!$K$4:$K$203)/$K93)))</f>
        <v>0</v>
      </c>
      <c r="AF93" s="166">
        <f>IF(OR($I93="",$E93=0),0,IF(OR($J93&lt;AF$3,$I93&gt;AF$2),0,IF($K93=0,IF(AND($I93&gt;=AF$3,$I93&lt;=AF$2),$E93,0),$E93*NETWORKDAYS(MAX($I93,AF$3),MIN($J93,AF$2),Data!$K$4:$K$203)/$K93)))</f>
        <v>0</v>
      </c>
      <c r="AG93" s="166">
        <f>IF(OR($I93="",$E93=0),0,IF(OR($J93&lt;AG$3,$I93&gt;AG$2),0,IF($K93=0,IF(AND($I93&gt;=AG$3,$I93&lt;=AG$2),$E93,0),$E93*NETWORKDAYS(MAX($I93,AG$3),MIN($J93,AG$2),Data!$K$4:$K$203)/$K93)))</f>
        <v>0</v>
      </c>
      <c r="AH93" s="166">
        <f>IF(OR($I93="",$E93=0),0,IF(OR($J93&lt;AH$3,$I93&gt;AH$2),0,IF($K93=0,IF(AND($I93&gt;=AH$3,$I93&lt;=AH$2),$E93,0),$E93*NETWORKDAYS(MAX($I93,AH$3),MIN($J93,AH$2),Data!$K$4:$K$203)/$K93)))</f>
        <v>0</v>
      </c>
      <c r="AI93" s="166">
        <f>SUM(W93:AH93)</f>
        <v>0</v>
      </c>
      <c r="BW93" t="n">
        <v>90</v>
      </c>
      <c r="BX93" t="str">
        <f>IFERROR(MATCH(BW93,$EQ$4:$EQ$503,0),"")</f>
        <v/>
      </c>
      <c r="BZ93" t="str">
        <f>IF(D93=1,IF(TRIM(INDEX(Charge!$K:$K,ROW()))&lt;&gt;"",TRIM(INDEX(Charge!$K:$K,ROW())),IF(TRIM(INDEX(Charge!$L:$L,ROW()))&lt;&gt;"",TRIM(INDEX(Charge!$L:$L,ROW())),"(non affecté)")),"")</f>
        <v/>
      </c>
      <c r="CA93" t="str">
        <f>IF(AND($CD$4&lt;&gt;"",BZ93=$CD$4),COUNTIFS($BZ$4:$BZ$503,$CD$4,$L$4:$L$503,"&lt;"&amp;L93)+1,"")</f>
        <v/>
      </c>
      <c r="EJ93" t="str">
        <f>TRIM(INDEX(Data!$E:$E,ROW()))</f>
        <v/>
      </c>
      <c r="EK93" t="str">
        <f>TRIM(INDEX(Data!$H:$H,ROW()))</f>
        <v/>
      </c>
      <c r="EM93" t="str">
        <f>IF(D93=1,IF(TRIM(INDEX(Charge!$K:$K,ROW()))&lt;&gt;"","Interne",IF(TRIM(INDEX(Charge!$L:$L,ROW()))&lt;&gt;"","Externe","Non affecté")),"")</f>
        <v/>
      </c>
      <c r="EN93" t="str">
        <f>IF(D93=1,LEFT(SUBSTITUTE(SUBSTITUTE(SUBSTITUTE(TRIM(SUBSTITUTE(INDEX(Charge!$B:$B,ROW()),CHAR(160)," "))&amp;" | "&amp;TRIM(SUBSTITUTE(INDEX(Charge!$C:$C,ROW()),CHAR(160)," "))&amp;" | "&amp;TRIM(SUBSTITUTE(INDEX(Charge!$D:$D,ROW()),CHAR(160)," ")),"~","-"),"*","+"),"?","!"),240),"")</f>
        <v/>
      </c>
      <c r="EO93">
        <f>IF(EN93="",0,IF(COUNTIF($EN$4:EN93,EN93)=1,1,0))</f>
        <v>0</v>
      </c>
      <c r="EP93" s="166" t="str">
        <f>IF(EO93=1,ROUND(SUMIF($EN$4:$EN$503,EN93,$E$4:$E$503),2),"")</f>
        <v/>
      </c>
      <c r="EQ93" t="str">
        <f>IF(EO93=1,COUNTIFS($EO$4:$EO$503,1,$EP$4:$EP$503,"&gt;"&amp;EP93)+COUNTIFS($EO$4:EO93,1,$EP$4:EP93,EP93),"")</f>
        <v/>
      </c>
      <c r="ER93" t="str">
        <f>IF(EO93=1,COUNTIFS($EN$4:$EN$503,EN93,$EM$4:$EM$503,"Interne",$FE$4:$FE$503,1),"")</f>
        <v/>
      </c>
      <c r="ES93" t="str">
        <f>IF(EO93=1,COUNTIFS($EN$4:$EN$503,EN93,$EM$4:$EM$503,"Externe",$FE$4:$FE$503,1),"")</f>
        <v/>
      </c>
      <c r="ET93" t="str">
        <f>IF(EO93=1,IF(ER93+ES93=0,"à affecter",IF(ER93=0,ES93&amp;" ext.",(ER93+ES93)&amp;IF(ES93&gt;0," dont "&amp;ES93&amp;" ext.",""))&amp;IF(COUNTIFS($EN$4:$EN$503,EN93,$EM$4:$EM$503,"Non affecté")&gt;0," + à affecter","")),"")</f>
        <v/>
      </c>
      <c r="EU93" s="170" t="str">
        <f>IF(EO93=1,IF(EP93&gt;0,SUMPRODUCT(($EN$4:$EN$503=EN93)*$E$4:$E$503*$C$4:$C$503)/EP93,AVERAGEIF($EN$4:$EN$503,EN93,$C$4:$C$503)),"")</f>
        <v/>
      </c>
      <c r="EV93" s="165">
        <f>IF(ISNUMBER(I93),I93,2958465)</f>
        <v>2958465.0</v>
      </c>
      <c r="EW93" s="165" t="str">
        <f>IF(EO93=1,SUMPRODUCT(MIN(($EN$4:$EN$503=EN93)*$EV$4:$EV$503+($EN$4:$EN$503&lt;&gt;EN93)*2958465)),"")</f>
        <v/>
      </c>
      <c r="EX93" s="165">
        <f>IF(AND(D93=1,ISNUMBER(INDEX(Charge!$F:$F,ROW()))),INDEX(Charge!$F:$F,ROW()),0)</f>
        <v>0.0</v>
      </c>
      <c r="EY93" s="165" t="str">
        <f>IF(EO93=1,SUMPRODUCT(MAX(($EN$4:$EN$503=EN93)*$EX$4:$EX$503)),"")</f>
        <v/>
      </c>
      <c r="FA93" t="str">
        <f>IF(90&lt;=$CD$23,INDEX($EJ$4:$EJ$203,90),IF(90-$CD$23&lt;=$CD$26,INDEX($EK$4:$EK$203,90-$CD$23),""))</f>
        <v/>
      </c>
      <c r="FB93" t="str">
        <f>IF(FA93="","",IF(90&lt;=$CD$23,"Interne","Externe"))</f>
        <v/>
      </c>
      <c r="FD93">
        <f>IF(AND(B93=1,TRIM(INDEX(Charge!$K:$K,ROW()))&lt;&gt;"",TRIM(INDEX(Charge!$L:$L,ROW()))&lt;&gt;""),1,0)</f>
        <v>0</v>
      </c>
      <c r="FE93">
        <f>IF(OR(EN93="",BZ93="(non affecté)"),0,IF(COUNTIFS($EN$4:EN93,EN93,$BZ$4:BZ93,BZ93)=1,1,0))</f>
        <v>0</v>
      </c>
    </row>
    <row r="94">
      <c r="A94">
        <f>ROW()</f>
        <v>94</v>
      </c>
      <c r="B94">
        <f>IF(TRIM(INDEX(Charge!$B:$B,ROW()))&lt;&gt;"",1,0)</f>
        <v>0</v>
      </c>
      <c r="C94">
        <f>IF(B94=1,MIN(1,MAX(0,N(INDEX(Charge!$O:$O,ROW())))),0)</f>
        <v>0</v>
      </c>
      <c r="D94">
        <f>IF(B94=1,IF(OR(p_Perimetre="Tous les projets",C94&lt;1),1,0),0)</f>
        <v>0</v>
      </c>
      <c r="E94">
        <f>IF(D94=1,MAX(0,N(INDEX(Charge!$M:$M,ROW()))),0)</f>
        <v>0</v>
      </c>
      <c r="F94" t="str">
        <f>IF(D94=1,IF(TRIM(INDEX(Charge!$A:$A,ROW()))="","(non renseigné)",TRIM(INDEX(Charge!$A:$A,ROW()))),"")</f>
        <v/>
      </c>
      <c r="G94" t="str">
        <f>IF(D94=1,TRIM(INDEX(Charge!$B:$B,ROW())),"")</f>
        <v/>
      </c>
      <c r="H94" t="str">
        <f>IF(D94=1,IF(TRIM(INDEX(Charge!$E:$E,ROW()))="","(non renseigné)",TRIM(INDEX(Charge!$E:$E,ROW()))),"")</f>
        <v/>
      </c>
      <c r="I94" s="165" t="str">
        <f>IF(AND(D94=1,ISNUMBER(INDEX(Charge!$N:$N,ROW()))),INDEX(Charge!$N:$N,ROW()),"")</f>
        <v/>
      </c>
      <c r="J94" s="165" t="str">
        <f>IF(I94="","",IF(AND(p_Repartition="Lissée jusqu'à la date de besoin",ISNUMBER(INDEX(Charge!$F:$F,ROW()))),IF(INDEX(Charge!$F:$F,ROW())&gt;=I94,INDEX(Charge!$F:$F,ROW()),I94),I94))</f>
        <v/>
      </c>
      <c r="K94" t="str">
        <f>IF(I94="","",NETWORKDAYS(I94,J94,Data!$K$4:$K$203))</f>
        <v/>
      </c>
      <c r="L94" t="str">
        <f>IF(D94=1,COUNTIFS($D$4:$D$503,1,$E$4:$E$503,"&gt;"&amp;E94)+COUNTIFS($D$4:$D94,1,$E$4:$E94,E94),"")</f>
        <v/>
      </c>
      <c r="M94">
        <f>IF(F94="",0,IF(COUNTIF($F$4:F94,F94)=1,1,0))</f>
        <v>0</v>
      </c>
      <c r="N94" t="str">
        <f>IF(M94=1,ROUND(SUMIF($F$4:$F$503,F94,$E$4:$E$503),2),"")</f>
        <v/>
      </c>
      <c r="O94" t="str">
        <f>IF(M94=1,COUNTIFS($M$4:$M$503,1,$N$4:$N$503,"&gt;"&amp;N94)+COUNTIFS($M$4:M94,1,$N$4:N94,N94),"")</f>
        <v/>
      </c>
      <c r="P94">
        <f>IF(G94="",0,IF(COUNTIF($G$4:G94,G94)=1,1,0))</f>
        <v>0</v>
      </c>
      <c r="Q94" t="str">
        <f>IF(P94=1,ROUND(SUMIF($G$4:$G$503,G94,$E$4:$E$503),2),"")</f>
        <v/>
      </c>
      <c r="R94" t="str">
        <f>IF(P94=1,COUNTIFS($P$4:$P$503,1,$Q$4:$Q$503,"&gt;"&amp;Q94)+COUNTIFS($P$4:P94,1,$Q$4:Q94,Q94),"")</f>
        <v/>
      </c>
      <c r="S94">
        <f>IF(H94="",0,IF(COUNTIF($H$4:H94,H94)=1,1,0))</f>
        <v>0</v>
      </c>
      <c r="T94" t="str">
        <f>IF(S94=1,ROUND(SUMIF($H$4:$H$503,H94,$E$4:$E$503),2),"")</f>
        <v/>
      </c>
      <c r="U94" t="str">
        <f>IF(S94=1,COUNTIFS($S$4:$S$503,1,$T$4:$T$503,"&gt;"&amp;T94)+COUNTIFS($S$4:S94,1,$T$4:T94,T94),"")</f>
        <v/>
      </c>
      <c r="V94" t="str">
        <f>IF(D94=1,MIN(INDEX($R$4:$R$503,MATCH(G94,$G$4:$G$503,0)),IF($AL$7&gt;9,9,999)),"")</f>
        <v/>
      </c>
      <c r="W94" s="166">
        <f>IF(OR($I94="",$E94=0),0,IF(OR($J94&lt;W$3,$I94&gt;W$2),0,IF($K94=0,IF(AND($I94&gt;=W$3,$I94&lt;=W$2),$E94,0),$E94*NETWORKDAYS(MAX($I94,W$3),MIN($J94,W$2),Data!$K$4:$K$203)/$K94)))</f>
        <v>0</v>
      </c>
      <c r="X94" s="166">
        <f>IF(OR($I94="",$E94=0),0,IF(OR($J94&lt;X$3,$I94&gt;X$2),0,IF($K94=0,IF(AND($I94&gt;=X$3,$I94&lt;=X$2),$E94,0),$E94*NETWORKDAYS(MAX($I94,X$3),MIN($J94,X$2),Data!$K$4:$K$203)/$K94)))</f>
        <v>0</v>
      </c>
      <c r="Y94" s="166">
        <f>IF(OR($I94="",$E94=0),0,IF(OR($J94&lt;Y$3,$I94&gt;Y$2),0,IF($K94=0,IF(AND($I94&gt;=Y$3,$I94&lt;=Y$2),$E94,0),$E94*NETWORKDAYS(MAX($I94,Y$3),MIN($J94,Y$2),Data!$K$4:$K$203)/$K94)))</f>
        <v>0</v>
      </c>
      <c r="Z94" s="166">
        <f>IF(OR($I94="",$E94=0),0,IF(OR($J94&lt;Z$3,$I94&gt;Z$2),0,IF($K94=0,IF(AND($I94&gt;=Z$3,$I94&lt;=Z$2),$E94,0),$E94*NETWORKDAYS(MAX($I94,Z$3),MIN($J94,Z$2),Data!$K$4:$K$203)/$K94)))</f>
        <v>0</v>
      </c>
      <c r="AA94" s="166">
        <f>IF(OR($I94="",$E94=0),0,IF(OR($J94&lt;AA$3,$I94&gt;AA$2),0,IF($K94=0,IF(AND($I94&gt;=AA$3,$I94&lt;=AA$2),$E94,0),$E94*NETWORKDAYS(MAX($I94,AA$3),MIN($J94,AA$2),Data!$K$4:$K$203)/$K94)))</f>
        <v>0</v>
      </c>
      <c r="AB94" s="166">
        <f>IF(OR($I94="",$E94=0),0,IF(OR($J94&lt;AB$3,$I94&gt;AB$2),0,IF($K94=0,IF(AND($I94&gt;=AB$3,$I94&lt;=AB$2),$E94,0),$E94*NETWORKDAYS(MAX($I94,AB$3),MIN($J94,AB$2),Data!$K$4:$K$203)/$K94)))</f>
        <v>0</v>
      </c>
      <c r="AC94" s="166">
        <f>IF(OR($I94="",$E94=0),0,IF(OR($J94&lt;AC$3,$I94&gt;AC$2),0,IF($K94=0,IF(AND($I94&gt;=AC$3,$I94&lt;=AC$2),$E94,0),$E94*NETWORKDAYS(MAX($I94,AC$3),MIN($J94,AC$2),Data!$K$4:$K$203)/$K94)))</f>
        <v>0</v>
      </c>
      <c r="AD94" s="166">
        <f>IF(OR($I94="",$E94=0),0,IF(OR($J94&lt;AD$3,$I94&gt;AD$2),0,IF($K94=0,IF(AND($I94&gt;=AD$3,$I94&lt;=AD$2),$E94,0),$E94*NETWORKDAYS(MAX($I94,AD$3),MIN($J94,AD$2),Data!$K$4:$K$203)/$K94)))</f>
        <v>0</v>
      </c>
      <c r="AE94" s="166">
        <f>IF(OR($I94="",$E94=0),0,IF(OR($J94&lt;AE$3,$I94&gt;AE$2),0,IF($K94=0,IF(AND($I94&gt;=AE$3,$I94&lt;=AE$2),$E94,0),$E94*NETWORKDAYS(MAX($I94,AE$3),MIN($J94,AE$2),Data!$K$4:$K$203)/$K94)))</f>
        <v>0</v>
      </c>
      <c r="AF94" s="166">
        <f>IF(OR($I94="",$E94=0),0,IF(OR($J94&lt;AF$3,$I94&gt;AF$2),0,IF($K94=0,IF(AND($I94&gt;=AF$3,$I94&lt;=AF$2),$E94,0),$E94*NETWORKDAYS(MAX($I94,AF$3),MIN($J94,AF$2),Data!$K$4:$K$203)/$K94)))</f>
        <v>0</v>
      </c>
      <c r="AG94" s="166">
        <f>IF(OR($I94="",$E94=0),0,IF(OR($J94&lt;AG$3,$I94&gt;AG$2),0,IF($K94=0,IF(AND($I94&gt;=AG$3,$I94&lt;=AG$2),$E94,0),$E94*NETWORKDAYS(MAX($I94,AG$3),MIN($J94,AG$2),Data!$K$4:$K$203)/$K94)))</f>
        <v>0</v>
      </c>
      <c r="AH94" s="166">
        <f>IF(OR($I94="",$E94=0),0,IF(OR($J94&lt;AH$3,$I94&gt;AH$2),0,IF($K94=0,IF(AND($I94&gt;=AH$3,$I94&lt;=AH$2),$E94,0),$E94*NETWORKDAYS(MAX($I94,AH$3),MIN($J94,AH$2),Data!$K$4:$K$203)/$K94)))</f>
        <v>0</v>
      </c>
      <c r="AI94" s="166">
        <f>SUM(W94:AH94)</f>
        <v>0</v>
      </c>
      <c r="BW94" t="n">
        <v>91</v>
      </c>
      <c r="BX94" t="str">
        <f>IFERROR(MATCH(BW94,$EQ$4:$EQ$503,0),"")</f>
        <v/>
      </c>
      <c r="BZ94" t="str">
        <f>IF(D94=1,IF(TRIM(INDEX(Charge!$K:$K,ROW()))&lt;&gt;"",TRIM(INDEX(Charge!$K:$K,ROW())),IF(TRIM(INDEX(Charge!$L:$L,ROW()))&lt;&gt;"",TRIM(INDEX(Charge!$L:$L,ROW())),"(non affecté)")),"")</f>
        <v/>
      </c>
      <c r="CA94" t="str">
        <f>IF(AND($CD$4&lt;&gt;"",BZ94=$CD$4),COUNTIFS($BZ$4:$BZ$503,$CD$4,$L$4:$L$503,"&lt;"&amp;L94)+1,"")</f>
        <v/>
      </c>
      <c r="EJ94" t="str">
        <f>TRIM(INDEX(Data!$E:$E,ROW()))</f>
        <v/>
      </c>
      <c r="EK94" t="str">
        <f>TRIM(INDEX(Data!$H:$H,ROW()))</f>
        <v/>
      </c>
      <c r="EM94" t="str">
        <f>IF(D94=1,IF(TRIM(INDEX(Charge!$K:$K,ROW()))&lt;&gt;"","Interne",IF(TRIM(INDEX(Charge!$L:$L,ROW()))&lt;&gt;"","Externe","Non affecté")),"")</f>
        <v/>
      </c>
      <c r="EN94" t="str">
        <f>IF(D94=1,LEFT(SUBSTITUTE(SUBSTITUTE(SUBSTITUTE(TRIM(SUBSTITUTE(INDEX(Charge!$B:$B,ROW()),CHAR(160)," "))&amp;" | "&amp;TRIM(SUBSTITUTE(INDEX(Charge!$C:$C,ROW()),CHAR(160)," "))&amp;" | "&amp;TRIM(SUBSTITUTE(INDEX(Charge!$D:$D,ROW()),CHAR(160)," ")),"~","-"),"*","+"),"?","!"),240),"")</f>
        <v/>
      </c>
      <c r="EO94">
        <f>IF(EN94="",0,IF(COUNTIF($EN$4:EN94,EN94)=1,1,0))</f>
        <v>0</v>
      </c>
      <c r="EP94" s="166" t="str">
        <f>IF(EO94=1,ROUND(SUMIF($EN$4:$EN$503,EN94,$E$4:$E$503),2),"")</f>
        <v/>
      </c>
      <c r="EQ94" t="str">
        <f>IF(EO94=1,COUNTIFS($EO$4:$EO$503,1,$EP$4:$EP$503,"&gt;"&amp;EP94)+COUNTIFS($EO$4:EO94,1,$EP$4:EP94,EP94),"")</f>
        <v/>
      </c>
      <c r="ER94" t="str">
        <f>IF(EO94=1,COUNTIFS($EN$4:$EN$503,EN94,$EM$4:$EM$503,"Interne",$FE$4:$FE$503,1),"")</f>
        <v/>
      </c>
      <c r="ES94" t="str">
        <f>IF(EO94=1,COUNTIFS($EN$4:$EN$503,EN94,$EM$4:$EM$503,"Externe",$FE$4:$FE$503,1),"")</f>
        <v/>
      </c>
      <c r="ET94" t="str">
        <f>IF(EO94=1,IF(ER94+ES94=0,"à affecter",IF(ER94=0,ES94&amp;" ext.",(ER94+ES94)&amp;IF(ES94&gt;0," dont "&amp;ES94&amp;" ext.",""))&amp;IF(COUNTIFS($EN$4:$EN$503,EN94,$EM$4:$EM$503,"Non affecté")&gt;0," + à affecter","")),"")</f>
        <v/>
      </c>
      <c r="EU94" s="170" t="str">
        <f>IF(EO94=1,IF(EP94&gt;0,SUMPRODUCT(($EN$4:$EN$503=EN94)*$E$4:$E$503*$C$4:$C$503)/EP94,AVERAGEIF($EN$4:$EN$503,EN94,$C$4:$C$503)),"")</f>
        <v/>
      </c>
      <c r="EV94" s="165">
        <f>IF(ISNUMBER(I94),I94,2958465)</f>
        <v>2958465.0</v>
      </c>
      <c r="EW94" s="165" t="str">
        <f>IF(EO94=1,SUMPRODUCT(MIN(($EN$4:$EN$503=EN94)*$EV$4:$EV$503+($EN$4:$EN$503&lt;&gt;EN94)*2958465)),"")</f>
        <v/>
      </c>
      <c r="EX94" s="165">
        <f>IF(AND(D94=1,ISNUMBER(INDEX(Charge!$F:$F,ROW()))),INDEX(Charge!$F:$F,ROW()),0)</f>
        <v>0.0</v>
      </c>
      <c r="EY94" s="165" t="str">
        <f>IF(EO94=1,SUMPRODUCT(MAX(($EN$4:$EN$503=EN94)*$EX$4:$EX$503)),"")</f>
        <v/>
      </c>
      <c r="FA94" t="str">
        <f>IF(91&lt;=$CD$23,INDEX($EJ$4:$EJ$203,91),IF(91-$CD$23&lt;=$CD$26,INDEX($EK$4:$EK$203,91-$CD$23),""))</f>
        <v/>
      </c>
      <c r="FB94" t="str">
        <f>IF(FA94="","",IF(91&lt;=$CD$23,"Interne","Externe"))</f>
        <v/>
      </c>
      <c r="FD94">
        <f>IF(AND(B94=1,TRIM(INDEX(Charge!$K:$K,ROW()))&lt;&gt;"",TRIM(INDEX(Charge!$L:$L,ROW()))&lt;&gt;""),1,0)</f>
        <v>0</v>
      </c>
      <c r="FE94">
        <f>IF(OR(EN94="",BZ94="(non affecté)"),0,IF(COUNTIFS($EN$4:EN94,EN94,$BZ$4:BZ94,BZ94)=1,1,0))</f>
        <v>0</v>
      </c>
    </row>
    <row r="95">
      <c r="A95">
        <f>ROW()</f>
        <v>95</v>
      </c>
      <c r="B95">
        <f>IF(TRIM(INDEX(Charge!$B:$B,ROW()))&lt;&gt;"",1,0)</f>
        <v>0</v>
      </c>
      <c r="C95">
        <f>IF(B95=1,MIN(1,MAX(0,N(INDEX(Charge!$O:$O,ROW())))),0)</f>
        <v>0</v>
      </c>
      <c r="D95">
        <f>IF(B95=1,IF(OR(p_Perimetre="Tous les projets",C95&lt;1),1,0),0)</f>
        <v>0</v>
      </c>
      <c r="E95">
        <f>IF(D95=1,MAX(0,N(INDEX(Charge!$M:$M,ROW()))),0)</f>
        <v>0</v>
      </c>
      <c r="F95" t="str">
        <f>IF(D95=1,IF(TRIM(INDEX(Charge!$A:$A,ROW()))="","(non renseigné)",TRIM(INDEX(Charge!$A:$A,ROW()))),"")</f>
        <v/>
      </c>
      <c r="G95" t="str">
        <f>IF(D95=1,TRIM(INDEX(Charge!$B:$B,ROW())),"")</f>
        <v/>
      </c>
      <c r="H95" t="str">
        <f>IF(D95=1,IF(TRIM(INDEX(Charge!$E:$E,ROW()))="","(non renseigné)",TRIM(INDEX(Charge!$E:$E,ROW()))),"")</f>
        <v/>
      </c>
      <c r="I95" s="165" t="str">
        <f>IF(AND(D95=1,ISNUMBER(INDEX(Charge!$N:$N,ROW()))),INDEX(Charge!$N:$N,ROW()),"")</f>
        <v/>
      </c>
      <c r="J95" s="165" t="str">
        <f>IF(I95="","",IF(AND(p_Repartition="Lissée jusqu'à la date de besoin",ISNUMBER(INDEX(Charge!$F:$F,ROW()))),IF(INDEX(Charge!$F:$F,ROW())&gt;=I95,INDEX(Charge!$F:$F,ROW()),I95),I95))</f>
        <v/>
      </c>
      <c r="K95" t="str">
        <f>IF(I95="","",NETWORKDAYS(I95,J95,Data!$K$4:$K$203))</f>
        <v/>
      </c>
      <c r="L95" t="str">
        <f>IF(D95=1,COUNTIFS($D$4:$D$503,1,$E$4:$E$503,"&gt;"&amp;E95)+COUNTIFS($D$4:$D95,1,$E$4:$E95,E95),"")</f>
        <v/>
      </c>
      <c r="M95">
        <f>IF(F95="",0,IF(COUNTIF($F$4:F95,F95)=1,1,0))</f>
        <v>0</v>
      </c>
      <c r="N95" t="str">
        <f>IF(M95=1,ROUND(SUMIF($F$4:$F$503,F95,$E$4:$E$503),2),"")</f>
        <v/>
      </c>
      <c r="O95" t="str">
        <f>IF(M95=1,COUNTIFS($M$4:$M$503,1,$N$4:$N$503,"&gt;"&amp;N95)+COUNTIFS($M$4:M95,1,$N$4:N95,N95),"")</f>
        <v/>
      </c>
      <c r="P95">
        <f>IF(G95="",0,IF(COUNTIF($G$4:G95,G95)=1,1,0))</f>
        <v>0</v>
      </c>
      <c r="Q95" t="str">
        <f>IF(P95=1,ROUND(SUMIF($G$4:$G$503,G95,$E$4:$E$503),2),"")</f>
        <v/>
      </c>
      <c r="R95" t="str">
        <f>IF(P95=1,COUNTIFS($P$4:$P$503,1,$Q$4:$Q$503,"&gt;"&amp;Q95)+COUNTIFS($P$4:P95,1,$Q$4:Q95,Q95),"")</f>
        <v/>
      </c>
      <c r="S95">
        <f>IF(H95="",0,IF(COUNTIF($H$4:H95,H95)=1,1,0))</f>
        <v>0</v>
      </c>
      <c r="T95" t="str">
        <f>IF(S95=1,ROUND(SUMIF($H$4:$H$503,H95,$E$4:$E$503),2),"")</f>
        <v/>
      </c>
      <c r="U95" t="str">
        <f>IF(S95=1,COUNTIFS($S$4:$S$503,1,$T$4:$T$503,"&gt;"&amp;T95)+COUNTIFS($S$4:S95,1,$T$4:T95,T95),"")</f>
        <v/>
      </c>
      <c r="V95" t="str">
        <f>IF(D95=1,MIN(INDEX($R$4:$R$503,MATCH(G95,$G$4:$G$503,0)),IF($AL$7&gt;9,9,999)),"")</f>
        <v/>
      </c>
      <c r="W95" s="166">
        <f>IF(OR($I95="",$E95=0),0,IF(OR($J95&lt;W$3,$I95&gt;W$2),0,IF($K95=0,IF(AND($I95&gt;=W$3,$I95&lt;=W$2),$E95,0),$E95*NETWORKDAYS(MAX($I95,W$3),MIN($J95,W$2),Data!$K$4:$K$203)/$K95)))</f>
        <v>0</v>
      </c>
      <c r="X95" s="166">
        <f>IF(OR($I95="",$E95=0),0,IF(OR($J95&lt;X$3,$I95&gt;X$2),0,IF($K95=0,IF(AND($I95&gt;=X$3,$I95&lt;=X$2),$E95,0),$E95*NETWORKDAYS(MAX($I95,X$3),MIN($J95,X$2),Data!$K$4:$K$203)/$K95)))</f>
        <v>0</v>
      </c>
      <c r="Y95" s="166">
        <f>IF(OR($I95="",$E95=0),0,IF(OR($J95&lt;Y$3,$I95&gt;Y$2),0,IF($K95=0,IF(AND($I95&gt;=Y$3,$I95&lt;=Y$2),$E95,0),$E95*NETWORKDAYS(MAX($I95,Y$3),MIN($J95,Y$2),Data!$K$4:$K$203)/$K95)))</f>
        <v>0</v>
      </c>
      <c r="Z95" s="166">
        <f>IF(OR($I95="",$E95=0),0,IF(OR($J95&lt;Z$3,$I95&gt;Z$2),0,IF($K95=0,IF(AND($I95&gt;=Z$3,$I95&lt;=Z$2),$E95,0),$E95*NETWORKDAYS(MAX($I95,Z$3),MIN($J95,Z$2),Data!$K$4:$K$203)/$K95)))</f>
        <v>0</v>
      </c>
      <c r="AA95" s="166">
        <f>IF(OR($I95="",$E95=0),0,IF(OR($J95&lt;AA$3,$I95&gt;AA$2),0,IF($K95=0,IF(AND($I95&gt;=AA$3,$I95&lt;=AA$2),$E95,0),$E95*NETWORKDAYS(MAX($I95,AA$3),MIN($J95,AA$2),Data!$K$4:$K$203)/$K95)))</f>
        <v>0</v>
      </c>
      <c r="AB95" s="166">
        <f>IF(OR($I95="",$E95=0),0,IF(OR($J95&lt;AB$3,$I95&gt;AB$2),0,IF($K95=0,IF(AND($I95&gt;=AB$3,$I95&lt;=AB$2),$E95,0),$E95*NETWORKDAYS(MAX($I95,AB$3),MIN($J95,AB$2),Data!$K$4:$K$203)/$K95)))</f>
        <v>0</v>
      </c>
      <c r="AC95" s="166">
        <f>IF(OR($I95="",$E95=0),0,IF(OR($J95&lt;AC$3,$I95&gt;AC$2),0,IF($K95=0,IF(AND($I95&gt;=AC$3,$I95&lt;=AC$2),$E95,0),$E95*NETWORKDAYS(MAX($I95,AC$3),MIN($J95,AC$2),Data!$K$4:$K$203)/$K95)))</f>
        <v>0</v>
      </c>
      <c r="AD95" s="166">
        <f>IF(OR($I95="",$E95=0),0,IF(OR($J95&lt;AD$3,$I95&gt;AD$2),0,IF($K95=0,IF(AND($I95&gt;=AD$3,$I95&lt;=AD$2),$E95,0),$E95*NETWORKDAYS(MAX($I95,AD$3),MIN($J95,AD$2),Data!$K$4:$K$203)/$K95)))</f>
        <v>0</v>
      </c>
      <c r="AE95" s="166">
        <f>IF(OR($I95="",$E95=0),0,IF(OR($J95&lt;AE$3,$I95&gt;AE$2),0,IF($K95=0,IF(AND($I95&gt;=AE$3,$I95&lt;=AE$2),$E95,0),$E95*NETWORKDAYS(MAX($I95,AE$3),MIN($J95,AE$2),Data!$K$4:$K$203)/$K95)))</f>
        <v>0</v>
      </c>
      <c r="AF95" s="166">
        <f>IF(OR($I95="",$E95=0),0,IF(OR($J95&lt;AF$3,$I95&gt;AF$2),0,IF($K95=0,IF(AND($I95&gt;=AF$3,$I95&lt;=AF$2),$E95,0),$E95*NETWORKDAYS(MAX($I95,AF$3),MIN($J95,AF$2),Data!$K$4:$K$203)/$K95)))</f>
        <v>0</v>
      </c>
      <c r="AG95" s="166">
        <f>IF(OR($I95="",$E95=0),0,IF(OR($J95&lt;AG$3,$I95&gt;AG$2),0,IF($K95=0,IF(AND($I95&gt;=AG$3,$I95&lt;=AG$2),$E95,0),$E95*NETWORKDAYS(MAX($I95,AG$3),MIN($J95,AG$2),Data!$K$4:$K$203)/$K95)))</f>
        <v>0</v>
      </c>
      <c r="AH95" s="166">
        <f>IF(OR($I95="",$E95=0),0,IF(OR($J95&lt;AH$3,$I95&gt;AH$2),0,IF($K95=0,IF(AND($I95&gt;=AH$3,$I95&lt;=AH$2),$E95,0),$E95*NETWORKDAYS(MAX($I95,AH$3),MIN($J95,AH$2),Data!$K$4:$K$203)/$K95)))</f>
        <v>0</v>
      </c>
      <c r="AI95" s="166">
        <f>SUM(W95:AH95)</f>
        <v>0</v>
      </c>
      <c r="BW95" t="n">
        <v>92</v>
      </c>
      <c r="BX95" t="str">
        <f>IFERROR(MATCH(BW95,$EQ$4:$EQ$503,0),"")</f>
        <v/>
      </c>
      <c r="BZ95" t="str">
        <f>IF(D95=1,IF(TRIM(INDEX(Charge!$K:$K,ROW()))&lt;&gt;"",TRIM(INDEX(Charge!$K:$K,ROW())),IF(TRIM(INDEX(Charge!$L:$L,ROW()))&lt;&gt;"",TRIM(INDEX(Charge!$L:$L,ROW())),"(non affecté)")),"")</f>
        <v/>
      </c>
      <c r="CA95" t="str">
        <f>IF(AND($CD$4&lt;&gt;"",BZ95=$CD$4),COUNTIFS($BZ$4:$BZ$503,$CD$4,$L$4:$L$503,"&lt;"&amp;L95)+1,"")</f>
        <v/>
      </c>
      <c r="EJ95" t="str">
        <f>TRIM(INDEX(Data!$E:$E,ROW()))</f>
        <v/>
      </c>
      <c r="EK95" t="str">
        <f>TRIM(INDEX(Data!$H:$H,ROW()))</f>
        <v/>
      </c>
      <c r="EM95" t="str">
        <f>IF(D95=1,IF(TRIM(INDEX(Charge!$K:$K,ROW()))&lt;&gt;"","Interne",IF(TRIM(INDEX(Charge!$L:$L,ROW()))&lt;&gt;"","Externe","Non affecté")),"")</f>
        <v/>
      </c>
      <c r="EN95" t="str">
        <f>IF(D95=1,LEFT(SUBSTITUTE(SUBSTITUTE(SUBSTITUTE(TRIM(SUBSTITUTE(INDEX(Charge!$B:$B,ROW()),CHAR(160)," "))&amp;" | "&amp;TRIM(SUBSTITUTE(INDEX(Charge!$C:$C,ROW()),CHAR(160)," "))&amp;" | "&amp;TRIM(SUBSTITUTE(INDEX(Charge!$D:$D,ROW()),CHAR(160)," ")),"~","-"),"*","+"),"?","!"),240),"")</f>
        <v/>
      </c>
      <c r="EO95">
        <f>IF(EN95="",0,IF(COUNTIF($EN$4:EN95,EN95)=1,1,0))</f>
        <v>0</v>
      </c>
      <c r="EP95" s="166" t="str">
        <f>IF(EO95=1,ROUND(SUMIF($EN$4:$EN$503,EN95,$E$4:$E$503),2),"")</f>
        <v/>
      </c>
      <c r="EQ95" t="str">
        <f>IF(EO95=1,COUNTIFS($EO$4:$EO$503,1,$EP$4:$EP$503,"&gt;"&amp;EP95)+COUNTIFS($EO$4:EO95,1,$EP$4:EP95,EP95),"")</f>
        <v/>
      </c>
      <c r="ER95" t="str">
        <f>IF(EO95=1,COUNTIFS($EN$4:$EN$503,EN95,$EM$4:$EM$503,"Interne",$FE$4:$FE$503,1),"")</f>
        <v/>
      </c>
      <c r="ES95" t="str">
        <f>IF(EO95=1,COUNTIFS($EN$4:$EN$503,EN95,$EM$4:$EM$503,"Externe",$FE$4:$FE$503,1),"")</f>
        <v/>
      </c>
      <c r="ET95" t="str">
        <f>IF(EO95=1,IF(ER95+ES95=0,"à affecter",IF(ER95=0,ES95&amp;" ext.",(ER95+ES95)&amp;IF(ES95&gt;0," dont "&amp;ES95&amp;" ext.",""))&amp;IF(COUNTIFS($EN$4:$EN$503,EN95,$EM$4:$EM$503,"Non affecté")&gt;0," + à affecter","")),"")</f>
        <v/>
      </c>
      <c r="EU95" s="170" t="str">
        <f>IF(EO95=1,IF(EP95&gt;0,SUMPRODUCT(($EN$4:$EN$503=EN95)*$E$4:$E$503*$C$4:$C$503)/EP95,AVERAGEIF($EN$4:$EN$503,EN95,$C$4:$C$503)),"")</f>
        <v/>
      </c>
      <c r="EV95" s="165">
        <f>IF(ISNUMBER(I95),I95,2958465)</f>
        <v>2958465.0</v>
      </c>
      <c r="EW95" s="165" t="str">
        <f>IF(EO95=1,SUMPRODUCT(MIN(($EN$4:$EN$503=EN95)*$EV$4:$EV$503+($EN$4:$EN$503&lt;&gt;EN95)*2958465)),"")</f>
        <v/>
      </c>
      <c r="EX95" s="165">
        <f>IF(AND(D95=1,ISNUMBER(INDEX(Charge!$F:$F,ROW()))),INDEX(Charge!$F:$F,ROW()),0)</f>
        <v>0.0</v>
      </c>
      <c r="EY95" s="165" t="str">
        <f>IF(EO95=1,SUMPRODUCT(MAX(($EN$4:$EN$503=EN95)*$EX$4:$EX$503)),"")</f>
        <v/>
      </c>
      <c r="FA95" t="str">
        <f>IF(92&lt;=$CD$23,INDEX($EJ$4:$EJ$203,92),IF(92-$CD$23&lt;=$CD$26,INDEX($EK$4:$EK$203,92-$CD$23),""))</f>
        <v/>
      </c>
      <c r="FB95" t="str">
        <f>IF(FA95="","",IF(92&lt;=$CD$23,"Interne","Externe"))</f>
        <v/>
      </c>
      <c r="FD95">
        <f>IF(AND(B95=1,TRIM(INDEX(Charge!$K:$K,ROW()))&lt;&gt;"",TRIM(INDEX(Charge!$L:$L,ROW()))&lt;&gt;""),1,0)</f>
        <v>0</v>
      </c>
      <c r="FE95">
        <f>IF(OR(EN95="",BZ95="(non affecté)"),0,IF(COUNTIFS($EN$4:EN95,EN95,$BZ$4:BZ95,BZ95)=1,1,0))</f>
        <v>0</v>
      </c>
    </row>
    <row r="96">
      <c r="A96">
        <f>ROW()</f>
        <v>96</v>
      </c>
      <c r="B96">
        <f>IF(TRIM(INDEX(Charge!$B:$B,ROW()))&lt;&gt;"",1,0)</f>
        <v>0</v>
      </c>
      <c r="C96">
        <f>IF(B96=1,MIN(1,MAX(0,N(INDEX(Charge!$O:$O,ROW())))),0)</f>
        <v>0</v>
      </c>
      <c r="D96">
        <f>IF(B96=1,IF(OR(p_Perimetre="Tous les projets",C96&lt;1),1,0),0)</f>
        <v>0</v>
      </c>
      <c r="E96">
        <f>IF(D96=1,MAX(0,N(INDEX(Charge!$M:$M,ROW()))),0)</f>
        <v>0</v>
      </c>
      <c r="F96" t="str">
        <f>IF(D96=1,IF(TRIM(INDEX(Charge!$A:$A,ROW()))="","(non renseigné)",TRIM(INDEX(Charge!$A:$A,ROW()))),"")</f>
        <v/>
      </c>
      <c r="G96" t="str">
        <f>IF(D96=1,TRIM(INDEX(Charge!$B:$B,ROW())),"")</f>
        <v/>
      </c>
      <c r="H96" t="str">
        <f>IF(D96=1,IF(TRIM(INDEX(Charge!$E:$E,ROW()))="","(non renseigné)",TRIM(INDEX(Charge!$E:$E,ROW()))),"")</f>
        <v/>
      </c>
      <c r="I96" s="165" t="str">
        <f>IF(AND(D96=1,ISNUMBER(INDEX(Charge!$N:$N,ROW()))),INDEX(Charge!$N:$N,ROW()),"")</f>
        <v/>
      </c>
      <c r="J96" s="165" t="str">
        <f>IF(I96="","",IF(AND(p_Repartition="Lissée jusqu'à la date de besoin",ISNUMBER(INDEX(Charge!$F:$F,ROW()))),IF(INDEX(Charge!$F:$F,ROW())&gt;=I96,INDEX(Charge!$F:$F,ROW()),I96),I96))</f>
        <v/>
      </c>
      <c r="K96" t="str">
        <f>IF(I96="","",NETWORKDAYS(I96,J96,Data!$K$4:$K$203))</f>
        <v/>
      </c>
      <c r="L96" t="str">
        <f>IF(D96=1,COUNTIFS($D$4:$D$503,1,$E$4:$E$503,"&gt;"&amp;E96)+COUNTIFS($D$4:$D96,1,$E$4:$E96,E96),"")</f>
        <v/>
      </c>
      <c r="M96">
        <f>IF(F96="",0,IF(COUNTIF($F$4:F96,F96)=1,1,0))</f>
        <v>0</v>
      </c>
      <c r="N96" t="str">
        <f>IF(M96=1,ROUND(SUMIF($F$4:$F$503,F96,$E$4:$E$503),2),"")</f>
        <v/>
      </c>
      <c r="O96" t="str">
        <f>IF(M96=1,COUNTIFS($M$4:$M$503,1,$N$4:$N$503,"&gt;"&amp;N96)+COUNTIFS($M$4:M96,1,$N$4:N96,N96),"")</f>
        <v/>
      </c>
      <c r="P96">
        <f>IF(G96="",0,IF(COUNTIF($G$4:G96,G96)=1,1,0))</f>
        <v>0</v>
      </c>
      <c r="Q96" t="str">
        <f>IF(P96=1,ROUND(SUMIF($G$4:$G$503,G96,$E$4:$E$503),2),"")</f>
        <v/>
      </c>
      <c r="R96" t="str">
        <f>IF(P96=1,COUNTIFS($P$4:$P$503,1,$Q$4:$Q$503,"&gt;"&amp;Q96)+COUNTIFS($P$4:P96,1,$Q$4:Q96,Q96),"")</f>
        <v/>
      </c>
      <c r="S96">
        <f>IF(H96="",0,IF(COUNTIF($H$4:H96,H96)=1,1,0))</f>
        <v>0</v>
      </c>
      <c r="T96" t="str">
        <f>IF(S96=1,ROUND(SUMIF($H$4:$H$503,H96,$E$4:$E$503),2),"")</f>
        <v/>
      </c>
      <c r="U96" t="str">
        <f>IF(S96=1,COUNTIFS($S$4:$S$503,1,$T$4:$T$503,"&gt;"&amp;T96)+COUNTIFS($S$4:S96,1,$T$4:T96,T96),"")</f>
        <v/>
      </c>
      <c r="V96" t="str">
        <f>IF(D96=1,MIN(INDEX($R$4:$R$503,MATCH(G96,$G$4:$G$503,0)),IF($AL$7&gt;9,9,999)),"")</f>
        <v/>
      </c>
      <c r="W96" s="166">
        <f>IF(OR($I96="",$E96=0),0,IF(OR($J96&lt;W$3,$I96&gt;W$2),0,IF($K96=0,IF(AND($I96&gt;=W$3,$I96&lt;=W$2),$E96,0),$E96*NETWORKDAYS(MAX($I96,W$3),MIN($J96,W$2),Data!$K$4:$K$203)/$K96)))</f>
        <v>0</v>
      </c>
      <c r="X96" s="166">
        <f>IF(OR($I96="",$E96=0),0,IF(OR($J96&lt;X$3,$I96&gt;X$2),0,IF($K96=0,IF(AND($I96&gt;=X$3,$I96&lt;=X$2),$E96,0),$E96*NETWORKDAYS(MAX($I96,X$3),MIN($J96,X$2),Data!$K$4:$K$203)/$K96)))</f>
        <v>0</v>
      </c>
      <c r="Y96" s="166">
        <f>IF(OR($I96="",$E96=0),0,IF(OR($J96&lt;Y$3,$I96&gt;Y$2),0,IF($K96=0,IF(AND($I96&gt;=Y$3,$I96&lt;=Y$2),$E96,0),$E96*NETWORKDAYS(MAX($I96,Y$3),MIN($J96,Y$2),Data!$K$4:$K$203)/$K96)))</f>
        <v>0</v>
      </c>
      <c r="Z96" s="166">
        <f>IF(OR($I96="",$E96=0),0,IF(OR($J96&lt;Z$3,$I96&gt;Z$2),0,IF($K96=0,IF(AND($I96&gt;=Z$3,$I96&lt;=Z$2),$E96,0),$E96*NETWORKDAYS(MAX($I96,Z$3),MIN($J96,Z$2),Data!$K$4:$K$203)/$K96)))</f>
        <v>0</v>
      </c>
      <c r="AA96" s="166">
        <f>IF(OR($I96="",$E96=0),0,IF(OR($J96&lt;AA$3,$I96&gt;AA$2),0,IF($K96=0,IF(AND($I96&gt;=AA$3,$I96&lt;=AA$2),$E96,0),$E96*NETWORKDAYS(MAX($I96,AA$3),MIN($J96,AA$2),Data!$K$4:$K$203)/$K96)))</f>
        <v>0</v>
      </c>
      <c r="AB96" s="166">
        <f>IF(OR($I96="",$E96=0),0,IF(OR($J96&lt;AB$3,$I96&gt;AB$2),0,IF($K96=0,IF(AND($I96&gt;=AB$3,$I96&lt;=AB$2),$E96,0),$E96*NETWORKDAYS(MAX($I96,AB$3),MIN($J96,AB$2),Data!$K$4:$K$203)/$K96)))</f>
        <v>0</v>
      </c>
      <c r="AC96" s="166">
        <f>IF(OR($I96="",$E96=0),0,IF(OR($J96&lt;AC$3,$I96&gt;AC$2),0,IF($K96=0,IF(AND($I96&gt;=AC$3,$I96&lt;=AC$2),$E96,0),$E96*NETWORKDAYS(MAX($I96,AC$3),MIN($J96,AC$2),Data!$K$4:$K$203)/$K96)))</f>
        <v>0</v>
      </c>
      <c r="AD96" s="166">
        <f>IF(OR($I96="",$E96=0),0,IF(OR($J96&lt;AD$3,$I96&gt;AD$2),0,IF($K96=0,IF(AND($I96&gt;=AD$3,$I96&lt;=AD$2),$E96,0),$E96*NETWORKDAYS(MAX($I96,AD$3),MIN($J96,AD$2),Data!$K$4:$K$203)/$K96)))</f>
        <v>0</v>
      </c>
      <c r="AE96" s="166">
        <f>IF(OR($I96="",$E96=0),0,IF(OR($J96&lt;AE$3,$I96&gt;AE$2),0,IF($K96=0,IF(AND($I96&gt;=AE$3,$I96&lt;=AE$2),$E96,0),$E96*NETWORKDAYS(MAX($I96,AE$3),MIN($J96,AE$2),Data!$K$4:$K$203)/$K96)))</f>
        <v>0</v>
      </c>
      <c r="AF96" s="166">
        <f>IF(OR($I96="",$E96=0),0,IF(OR($J96&lt;AF$3,$I96&gt;AF$2),0,IF($K96=0,IF(AND($I96&gt;=AF$3,$I96&lt;=AF$2),$E96,0),$E96*NETWORKDAYS(MAX($I96,AF$3),MIN($J96,AF$2),Data!$K$4:$K$203)/$K96)))</f>
        <v>0</v>
      </c>
      <c r="AG96" s="166">
        <f>IF(OR($I96="",$E96=0),0,IF(OR($J96&lt;AG$3,$I96&gt;AG$2),0,IF($K96=0,IF(AND($I96&gt;=AG$3,$I96&lt;=AG$2),$E96,0),$E96*NETWORKDAYS(MAX($I96,AG$3),MIN($J96,AG$2),Data!$K$4:$K$203)/$K96)))</f>
        <v>0</v>
      </c>
      <c r="AH96" s="166">
        <f>IF(OR($I96="",$E96=0),0,IF(OR($J96&lt;AH$3,$I96&gt;AH$2),0,IF($K96=0,IF(AND($I96&gt;=AH$3,$I96&lt;=AH$2),$E96,0),$E96*NETWORKDAYS(MAX($I96,AH$3),MIN($J96,AH$2),Data!$K$4:$K$203)/$K96)))</f>
        <v>0</v>
      </c>
      <c r="AI96" s="166">
        <f>SUM(W96:AH96)</f>
        <v>0</v>
      </c>
      <c r="BW96" t="n">
        <v>93</v>
      </c>
      <c r="BX96" t="str">
        <f>IFERROR(MATCH(BW96,$EQ$4:$EQ$503,0),"")</f>
        <v/>
      </c>
      <c r="BZ96" t="str">
        <f>IF(D96=1,IF(TRIM(INDEX(Charge!$K:$K,ROW()))&lt;&gt;"",TRIM(INDEX(Charge!$K:$K,ROW())),IF(TRIM(INDEX(Charge!$L:$L,ROW()))&lt;&gt;"",TRIM(INDEX(Charge!$L:$L,ROW())),"(non affecté)")),"")</f>
        <v/>
      </c>
      <c r="CA96" t="str">
        <f>IF(AND($CD$4&lt;&gt;"",BZ96=$CD$4),COUNTIFS($BZ$4:$BZ$503,$CD$4,$L$4:$L$503,"&lt;"&amp;L96)+1,"")</f>
        <v/>
      </c>
      <c r="EJ96" t="str">
        <f>TRIM(INDEX(Data!$E:$E,ROW()))</f>
        <v/>
      </c>
      <c r="EK96" t="str">
        <f>TRIM(INDEX(Data!$H:$H,ROW()))</f>
        <v/>
      </c>
      <c r="EM96" t="str">
        <f>IF(D96=1,IF(TRIM(INDEX(Charge!$K:$K,ROW()))&lt;&gt;"","Interne",IF(TRIM(INDEX(Charge!$L:$L,ROW()))&lt;&gt;"","Externe","Non affecté")),"")</f>
        <v/>
      </c>
      <c r="EN96" t="str">
        <f>IF(D96=1,LEFT(SUBSTITUTE(SUBSTITUTE(SUBSTITUTE(TRIM(SUBSTITUTE(INDEX(Charge!$B:$B,ROW()),CHAR(160)," "))&amp;" | "&amp;TRIM(SUBSTITUTE(INDEX(Charge!$C:$C,ROW()),CHAR(160)," "))&amp;" | "&amp;TRIM(SUBSTITUTE(INDEX(Charge!$D:$D,ROW()),CHAR(160)," ")),"~","-"),"*","+"),"?","!"),240),"")</f>
        <v/>
      </c>
      <c r="EO96">
        <f>IF(EN96="",0,IF(COUNTIF($EN$4:EN96,EN96)=1,1,0))</f>
        <v>0</v>
      </c>
      <c r="EP96" s="166" t="str">
        <f>IF(EO96=1,ROUND(SUMIF($EN$4:$EN$503,EN96,$E$4:$E$503),2),"")</f>
        <v/>
      </c>
      <c r="EQ96" t="str">
        <f>IF(EO96=1,COUNTIFS($EO$4:$EO$503,1,$EP$4:$EP$503,"&gt;"&amp;EP96)+COUNTIFS($EO$4:EO96,1,$EP$4:EP96,EP96),"")</f>
        <v/>
      </c>
      <c r="ER96" t="str">
        <f>IF(EO96=1,COUNTIFS($EN$4:$EN$503,EN96,$EM$4:$EM$503,"Interne",$FE$4:$FE$503,1),"")</f>
        <v/>
      </c>
      <c r="ES96" t="str">
        <f>IF(EO96=1,COUNTIFS($EN$4:$EN$503,EN96,$EM$4:$EM$503,"Externe",$FE$4:$FE$503,1),"")</f>
        <v/>
      </c>
      <c r="ET96" t="str">
        <f>IF(EO96=1,IF(ER96+ES96=0,"à affecter",IF(ER96=0,ES96&amp;" ext.",(ER96+ES96)&amp;IF(ES96&gt;0," dont "&amp;ES96&amp;" ext.",""))&amp;IF(COUNTIFS($EN$4:$EN$503,EN96,$EM$4:$EM$503,"Non affecté")&gt;0," + à affecter","")),"")</f>
        <v/>
      </c>
      <c r="EU96" s="170" t="str">
        <f>IF(EO96=1,IF(EP96&gt;0,SUMPRODUCT(($EN$4:$EN$503=EN96)*$E$4:$E$503*$C$4:$C$503)/EP96,AVERAGEIF($EN$4:$EN$503,EN96,$C$4:$C$503)),"")</f>
        <v/>
      </c>
      <c r="EV96" s="165">
        <f>IF(ISNUMBER(I96),I96,2958465)</f>
        <v>2958465.0</v>
      </c>
      <c r="EW96" s="165" t="str">
        <f>IF(EO96=1,SUMPRODUCT(MIN(($EN$4:$EN$503=EN96)*$EV$4:$EV$503+($EN$4:$EN$503&lt;&gt;EN96)*2958465)),"")</f>
        <v/>
      </c>
      <c r="EX96" s="165">
        <f>IF(AND(D96=1,ISNUMBER(INDEX(Charge!$F:$F,ROW()))),INDEX(Charge!$F:$F,ROW()),0)</f>
        <v>0.0</v>
      </c>
      <c r="EY96" s="165" t="str">
        <f>IF(EO96=1,SUMPRODUCT(MAX(($EN$4:$EN$503=EN96)*$EX$4:$EX$503)),"")</f>
        <v/>
      </c>
      <c r="FA96" t="str">
        <f>IF(93&lt;=$CD$23,INDEX($EJ$4:$EJ$203,93),IF(93-$CD$23&lt;=$CD$26,INDEX($EK$4:$EK$203,93-$CD$23),""))</f>
        <v/>
      </c>
      <c r="FB96" t="str">
        <f>IF(FA96="","",IF(93&lt;=$CD$23,"Interne","Externe"))</f>
        <v/>
      </c>
      <c r="FD96">
        <f>IF(AND(B96=1,TRIM(INDEX(Charge!$K:$K,ROW()))&lt;&gt;"",TRIM(INDEX(Charge!$L:$L,ROW()))&lt;&gt;""),1,0)</f>
        <v>0</v>
      </c>
      <c r="FE96">
        <f>IF(OR(EN96="",BZ96="(non affecté)"),0,IF(COUNTIFS($EN$4:EN96,EN96,$BZ$4:BZ96,BZ96)=1,1,0))</f>
        <v>0</v>
      </c>
    </row>
    <row r="97">
      <c r="A97">
        <f>ROW()</f>
        <v>97</v>
      </c>
      <c r="B97">
        <f>IF(TRIM(INDEX(Charge!$B:$B,ROW()))&lt;&gt;"",1,0)</f>
        <v>0</v>
      </c>
      <c r="C97">
        <f>IF(B97=1,MIN(1,MAX(0,N(INDEX(Charge!$O:$O,ROW())))),0)</f>
        <v>0</v>
      </c>
      <c r="D97">
        <f>IF(B97=1,IF(OR(p_Perimetre="Tous les projets",C97&lt;1),1,0),0)</f>
        <v>0</v>
      </c>
      <c r="E97">
        <f>IF(D97=1,MAX(0,N(INDEX(Charge!$M:$M,ROW()))),0)</f>
        <v>0</v>
      </c>
      <c r="F97" t="str">
        <f>IF(D97=1,IF(TRIM(INDEX(Charge!$A:$A,ROW()))="","(non renseigné)",TRIM(INDEX(Charge!$A:$A,ROW()))),"")</f>
        <v/>
      </c>
      <c r="G97" t="str">
        <f>IF(D97=1,TRIM(INDEX(Charge!$B:$B,ROW())),"")</f>
        <v/>
      </c>
      <c r="H97" t="str">
        <f>IF(D97=1,IF(TRIM(INDEX(Charge!$E:$E,ROW()))="","(non renseigné)",TRIM(INDEX(Charge!$E:$E,ROW()))),"")</f>
        <v/>
      </c>
      <c r="I97" s="165" t="str">
        <f>IF(AND(D97=1,ISNUMBER(INDEX(Charge!$N:$N,ROW()))),INDEX(Charge!$N:$N,ROW()),"")</f>
        <v/>
      </c>
      <c r="J97" s="165" t="str">
        <f>IF(I97="","",IF(AND(p_Repartition="Lissée jusqu'à la date de besoin",ISNUMBER(INDEX(Charge!$F:$F,ROW()))),IF(INDEX(Charge!$F:$F,ROW())&gt;=I97,INDEX(Charge!$F:$F,ROW()),I97),I97))</f>
        <v/>
      </c>
      <c r="K97" t="str">
        <f>IF(I97="","",NETWORKDAYS(I97,J97,Data!$K$4:$K$203))</f>
        <v/>
      </c>
      <c r="L97" t="str">
        <f>IF(D97=1,COUNTIFS($D$4:$D$503,1,$E$4:$E$503,"&gt;"&amp;E97)+COUNTIFS($D$4:$D97,1,$E$4:$E97,E97),"")</f>
        <v/>
      </c>
      <c r="M97">
        <f>IF(F97="",0,IF(COUNTIF($F$4:F97,F97)=1,1,0))</f>
        <v>0</v>
      </c>
      <c r="N97" t="str">
        <f>IF(M97=1,ROUND(SUMIF($F$4:$F$503,F97,$E$4:$E$503),2),"")</f>
        <v/>
      </c>
      <c r="O97" t="str">
        <f>IF(M97=1,COUNTIFS($M$4:$M$503,1,$N$4:$N$503,"&gt;"&amp;N97)+COUNTIFS($M$4:M97,1,$N$4:N97,N97),"")</f>
        <v/>
      </c>
      <c r="P97">
        <f>IF(G97="",0,IF(COUNTIF($G$4:G97,G97)=1,1,0))</f>
        <v>0</v>
      </c>
      <c r="Q97" t="str">
        <f>IF(P97=1,ROUND(SUMIF($G$4:$G$503,G97,$E$4:$E$503),2),"")</f>
        <v/>
      </c>
      <c r="R97" t="str">
        <f>IF(P97=1,COUNTIFS($P$4:$P$503,1,$Q$4:$Q$503,"&gt;"&amp;Q97)+COUNTIFS($P$4:P97,1,$Q$4:Q97,Q97),"")</f>
        <v/>
      </c>
      <c r="S97">
        <f>IF(H97="",0,IF(COUNTIF($H$4:H97,H97)=1,1,0))</f>
        <v>0</v>
      </c>
      <c r="T97" t="str">
        <f>IF(S97=1,ROUND(SUMIF($H$4:$H$503,H97,$E$4:$E$503),2),"")</f>
        <v/>
      </c>
      <c r="U97" t="str">
        <f>IF(S97=1,COUNTIFS($S$4:$S$503,1,$T$4:$T$503,"&gt;"&amp;T97)+COUNTIFS($S$4:S97,1,$T$4:T97,T97),"")</f>
        <v/>
      </c>
      <c r="V97" t="str">
        <f>IF(D97=1,MIN(INDEX($R$4:$R$503,MATCH(G97,$G$4:$G$503,0)),IF($AL$7&gt;9,9,999)),"")</f>
        <v/>
      </c>
      <c r="W97" s="166">
        <f>IF(OR($I97="",$E97=0),0,IF(OR($J97&lt;W$3,$I97&gt;W$2),0,IF($K97=0,IF(AND($I97&gt;=W$3,$I97&lt;=W$2),$E97,0),$E97*NETWORKDAYS(MAX($I97,W$3),MIN($J97,W$2),Data!$K$4:$K$203)/$K97)))</f>
        <v>0</v>
      </c>
      <c r="X97" s="166">
        <f>IF(OR($I97="",$E97=0),0,IF(OR($J97&lt;X$3,$I97&gt;X$2),0,IF($K97=0,IF(AND($I97&gt;=X$3,$I97&lt;=X$2),$E97,0),$E97*NETWORKDAYS(MAX($I97,X$3),MIN($J97,X$2),Data!$K$4:$K$203)/$K97)))</f>
        <v>0</v>
      </c>
      <c r="Y97" s="166">
        <f>IF(OR($I97="",$E97=0),0,IF(OR($J97&lt;Y$3,$I97&gt;Y$2),0,IF($K97=0,IF(AND($I97&gt;=Y$3,$I97&lt;=Y$2),$E97,0),$E97*NETWORKDAYS(MAX($I97,Y$3),MIN($J97,Y$2),Data!$K$4:$K$203)/$K97)))</f>
        <v>0</v>
      </c>
      <c r="Z97" s="166">
        <f>IF(OR($I97="",$E97=0),0,IF(OR($J97&lt;Z$3,$I97&gt;Z$2),0,IF($K97=0,IF(AND($I97&gt;=Z$3,$I97&lt;=Z$2),$E97,0),$E97*NETWORKDAYS(MAX($I97,Z$3),MIN($J97,Z$2),Data!$K$4:$K$203)/$K97)))</f>
        <v>0</v>
      </c>
      <c r="AA97" s="166">
        <f>IF(OR($I97="",$E97=0),0,IF(OR($J97&lt;AA$3,$I97&gt;AA$2),0,IF($K97=0,IF(AND($I97&gt;=AA$3,$I97&lt;=AA$2),$E97,0),$E97*NETWORKDAYS(MAX($I97,AA$3),MIN($J97,AA$2),Data!$K$4:$K$203)/$K97)))</f>
        <v>0</v>
      </c>
      <c r="AB97" s="166">
        <f>IF(OR($I97="",$E97=0),0,IF(OR($J97&lt;AB$3,$I97&gt;AB$2),0,IF($K97=0,IF(AND($I97&gt;=AB$3,$I97&lt;=AB$2),$E97,0),$E97*NETWORKDAYS(MAX($I97,AB$3),MIN($J97,AB$2),Data!$K$4:$K$203)/$K97)))</f>
        <v>0</v>
      </c>
      <c r="AC97" s="166">
        <f>IF(OR($I97="",$E97=0),0,IF(OR($J97&lt;AC$3,$I97&gt;AC$2),0,IF($K97=0,IF(AND($I97&gt;=AC$3,$I97&lt;=AC$2),$E97,0),$E97*NETWORKDAYS(MAX($I97,AC$3),MIN($J97,AC$2),Data!$K$4:$K$203)/$K97)))</f>
        <v>0</v>
      </c>
      <c r="AD97" s="166">
        <f>IF(OR($I97="",$E97=0),0,IF(OR($J97&lt;AD$3,$I97&gt;AD$2),0,IF($K97=0,IF(AND($I97&gt;=AD$3,$I97&lt;=AD$2),$E97,0),$E97*NETWORKDAYS(MAX($I97,AD$3),MIN($J97,AD$2),Data!$K$4:$K$203)/$K97)))</f>
        <v>0</v>
      </c>
      <c r="AE97" s="166">
        <f>IF(OR($I97="",$E97=0),0,IF(OR($J97&lt;AE$3,$I97&gt;AE$2),0,IF($K97=0,IF(AND($I97&gt;=AE$3,$I97&lt;=AE$2),$E97,0),$E97*NETWORKDAYS(MAX($I97,AE$3),MIN($J97,AE$2),Data!$K$4:$K$203)/$K97)))</f>
        <v>0</v>
      </c>
      <c r="AF97" s="166">
        <f>IF(OR($I97="",$E97=0),0,IF(OR($J97&lt;AF$3,$I97&gt;AF$2),0,IF($K97=0,IF(AND($I97&gt;=AF$3,$I97&lt;=AF$2),$E97,0),$E97*NETWORKDAYS(MAX($I97,AF$3),MIN($J97,AF$2),Data!$K$4:$K$203)/$K97)))</f>
        <v>0</v>
      </c>
      <c r="AG97" s="166">
        <f>IF(OR($I97="",$E97=0),0,IF(OR($J97&lt;AG$3,$I97&gt;AG$2),0,IF($K97=0,IF(AND($I97&gt;=AG$3,$I97&lt;=AG$2),$E97,0),$E97*NETWORKDAYS(MAX($I97,AG$3),MIN($J97,AG$2),Data!$K$4:$K$203)/$K97)))</f>
        <v>0</v>
      </c>
      <c r="AH97" s="166">
        <f>IF(OR($I97="",$E97=0),0,IF(OR($J97&lt;AH$3,$I97&gt;AH$2),0,IF($K97=0,IF(AND($I97&gt;=AH$3,$I97&lt;=AH$2),$E97,0),$E97*NETWORKDAYS(MAX($I97,AH$3),MIN($J97,AH$2),Data!$K$4:$K$203)/$K97)))</f>
        <v>0</v>
      </c>
      <c r="AI97" s="166">
        <f>SUM(W97:AH97)</f>
        <v>0</v>
      </c>
      <c r="BW97" t="n">
        <v>94</v>
      </c>
      <c r="BX97" t="str">
        <f>IFERROR(MATCH(BW97,$EQ$4:$EQ$503,0),"")</f>
        <v/>
      </c>
      <c r="BZ97" t="str">
        <f>IF(D97=1,IF(TRIM(INDEX(Charge!$K:$K,ROW()))&lt;&gt;"",TRIM(INDEX(Charge!$K:$K,ROW())),IF(TRIM(INDEX(Charge!$L:$L,ROW()))&lt;&gt;"",TRIM(INDEX(Charge!$L:$L,ROW())),"(non affecté)")),"")</f>
        <v/>
      </c>
      <c r="CA97" t="str">
        <f>IF(AND($CD$4&lt;&gt;"",BZ97=$CD$4),COUNTIFS($BZ$4:$BZ$503,$CD$4,$L$4:$L$503,"&lt;"&amp;L97)+1,"")</f>
        <v/>
      </c>
      <c r="EJ97" t="str">
        <f>TRIM(INDEX(Data!$E:$E,ROW()))</f>
        <v/>
      </c>
      <c r="EK97" t="str">
        <f>TRIM(INDEX(Data!$H:$H,ROW()))</f>
        <v/>
      </c>
      <c r="EM97" t="str">
        <f>IF(D97=1,IF(TRIM(INDEX(Charge!$K:$K,ROW()))&lt;&gt;"","Interne",IF(TRIM(INDEX(Charge!$L:$L,ROW()))&lt;&gt;"","Externe","Non affecté")),"")</f>
        <v/>
      </c>
      <c r="EN97" t="str">
        <f>IF(D97=1,LEFT(SUBSTITUTE(SUBSTITUTE(SUBSTITUTE(TRIM(SUBSTITUTE(INDEX(Charge!$B:$B,ROW()),CHAR(160)," "))&amp;" | "&amp;TRIM(SUBSTITUTE(INDEX(Charge!$C:$C,ROW()),CHAR(160)," "))&amp;" | "&amp;TRIM(SUBSTITUTE(INDEX(Charge!$D:$D,ROW()),CHAR(160)," ")),"~","-"),"*","+"),"?","!"),240),"")</f>
        <v/>
      </c>
      <c r="EO97">
        <f>IF(EN97="",0,IF(COUNTIF($EN$4:EN97,EN97)=1,1,0))</f>
        <v>0</v>
      </c>
      <c r="EP97" s="166" t="str">
        <f>IF(EO97=1,ROUND(SUMIF($EN$4:$EN$503,EN97,$E$4:$E$503),2),"")</f>
        <v/>
      </c>
      <c r="EQ97" t="str">
        <f>IF(EO97=1,COUNTIFS($EO$4:$EO$503,1,$EP$4:$EP$503,"&gt;"&amp;EP97)+COUNTIFS($EO$4:EO97,1,$EP$4:EP97,EP97),"")</f>
        <v/>
      </c>
      <c r="ER97" t="str">
        <f>IF(EO97=1,COUNTIFS($EN$4:$EN$503,EN97,$EM$4:$EM$503,"Interne",$FE$4:$FE$503,1),"")</f>
        <v/>
      </c>
      <c r="ES97" t="str">
        <f>IF(EO97=1,COUNTIFS($EN$4:$EN$503,EN97,$EM$4:$EM$503,"Externe",$FE$4:$FE$503,1),"")</f>
        <v/>
      </c>
      <c r="ET97" t="str">
        <f>IF(EO97=1,IF(ER97+ES97=0,"à affecter",IF(ER97=0,ES97&amp;" ext.",(ER97+ES97)&amp;IF(ES97&gt;0," dont "&amp;ES97&amp;" ext.",""))&amp;IF(COUNTIFS($EN$4:$EN$503,EN97,$EM$4:$EM$503,"Non affecté")&gt;0," + à affecter","")),"")</f>
        <v/>
      </c>
      <c r="EU97" s="170" t="str">
        <f>IF(EO97=1,IF(EP97&gt;0,SUMPRODUCT(($EN$4:$EN$503=EN97)*$E$4:$E$503*$C$4:$C$503)/EP97,AVERAGEIF($EN$4:$EN$503,EN97,$C$4:$C$503)),"")</f>
        <v/>
      </c>
      <c r="EV97" s="165">
        <f>IF(ISNUMBER(I97),I97,2958465)</f>
        <v>2958465.0</v>
      </c>
      <c r="EW97" s="165" t="str">
        <f>IF(EO97=1,SUMPRODUCT(MIN(($EN$4:$EN$503=EN97)*$EV$4:$EV$503+($EN$4:$EN$503&lt;&gt;EN97)*2958465)),"")</f>
        <v/>
      </c>
      <c r="EX97" s="165">
        <f>IF(AND(D97=1,ISNUMBER(INDEX(Charge!$F:$F,ROW()))),INDEX(Charge!$F:$F,ROW()),0)</f>
        <v>0.0</v>
      </c>
      <c r="EY97" s="165" t="str">
        <f>IF(EO97=1,SUMPRODUCT(MAX(($EN$4:$EN$503=EN97)*$EX$4:$EX$503)),"")</f>
        <v/>
      </c>
      <c r="FA97" t="str">
        <f>IF(94&lt;=$CD$23,INDEX($EJ$4:$EJ$203,94),IF(94-$CD$23&lt;=$CD$26,INDEX($EK$4:$EK$203,94-$CD$23),""))</f>
        <v/>
      </c>
      <c r="FB97" t="str">
        <f>IF(FA97="","",IF(94&lt;=$CD$23,"Interne","Externe"))</f>
        <v/>
      </c>
      <c r="FD97">
        <f>IF(AND(B97=1,TRIM(INDEX(Charge!$K:$K,ROW()))&lt;&gt;"",TRIM(INDEX(Charge!$L:$L,ROW()))&lt;&gt;""),1,0)</f>
        <v>0</v>
      </c>
      <c r="FE97">
        <f>IF(OR(EN97="",BZ97="(non affecté)"),0,IF(COUNTIFS($EN$4:EN97,EN97,$BZ$4:BZ97,BZ97)=1,1,0))</f>
        <v>0</v>
      </c>
    </row>
    <row r="98">
      <c r="A98">
        <f>ROW()</f>
        <v>98</v>
      </c>
      <c r="B98">
        <f>IF(TRIM(INDEX(Charge!$B:$B,ROW()))&lt;&gt;"",1,0)</f>
        <v>0</v>
      </c>
      <c r="C98">
        <f>IF(B98=1,MIN(1,MAX(0,N(INDEX(Charge!$O:$O,ROW())))),0)</f>
        <v>0</v>
      </c>
      <c r="D98">
        <f>IF(B98=1,IF(OR(p_Perimetre="Tous les projets",C98&lt;1),1,0),0)</f>
        <v>0</v>
      </c>
      <c r="E98">
        <f>IF(D98=1,MAX(0,N(INDEX(Charge!$M:$M,ROW()))),0)</f>
        <v>0</v>
      </c>
      <c r="F98" t="str">
        <f>IF(D98=1,IF(TRIM(INDEX(Charge!$A:$A,ROW()))="","(non renseigné)",TRIM(INDEX(Charge!$A:$A,ROW()))),"")</f>
        <v/>
      </c>
      <c r="G98" t="str">
        <f>IF(D98=1,TRIM(INDEX(Charge!$B:$B,ROW())),"")</f>
        <v/>
      </c>
      <c r="H98" t="str">
        <f>IF(D98=1,IF(TRIM(INDEX(Charge!$E:$E,ROW()))="","(non renseigné)",TRIM(INDEX(Charge!$E:$E,ROW()))),"")</f>
        <v/>
      </c>
      <c r="I98" s="165" t="str">
        <f>IF(AND(D98=1,ISNUMBER(INDEX(Charge!$N:$N,ROW()))),INDEX(Charge!$N:$N,ROW()),"")</f>
        <v/>
      </c>
      <c r="J98" s="165" t="str">
        <f>IF(I98="","",IF(AND(p_Repartition="Lissée jusqu'à la date de besoin",ISNUMBER(INDEX(Charge!$F:$F,ROW()))),IF(INDEX(Charge!$F:$F,ROW())&gt;=I98,INDEX(Charge!$F:$F,ROW()),I98),I98))</f>
        <v/>
      </c>
      <c r="K98" t="str">
        <f>IF(I98="","",NETWORKDAYS(I98,J98,Data!$K$4:$K$203))</f>
        <v/>
      </c>
      <c r="L98" t="str">
        <f>IF(D98=1,COUNTIFS($D$4:$D$503,1,$E$4:$E$503,"&gt;"&amp;E98)+COUNTIFS($D$4:$D98,1,$E$4:$E98,E98),"")</f>
        <v/>
      </c>
      <c r="M98">
        <f>IF(F98="",0,IF(COUNTIF($F$4:F98,F98)=1,1,0))</f>
        <v>0</v>
      </c>
      <c r="N98" t="str">
        <f>IF(M98=1,ROUND(SUMIF($F$4:$F$503,F98,$E$4:$E$503),2),"")</f>
        <v/>
      </c>
      <c r="O98" t="str">
        <f>IF(M98=1,COUNTIFS($M$4:$M$503,1,$N$4:$N$503,"&gt;"&amp;N98)+COUNTIFS($M$4:M98,1,$N$4:N98,N98),"")</f>
        <v/>
      </c>
      <c r="P98">
        <f>IF(G98="",0,IF(COUNTIF($G$4:G98,G98)=1,1,0))</f>
        <v>0</v>
      </c>
      <c r="Q98" t="str">
        <f>IF(P98=1,ROUND(SUMIF($G$4:$G$503,G98,$E$4:$E$503),2),"")</f>
        <v/>
      </c>
      <c r="R98" t="str">
        <f>IF(P98=1,COUNTIFS($P$4:$P$503,1,$Q$4:$Q$503,"&gt;"&amp;Q98)+COUNTIFS($P$4:P98,1,$Q$4:Q98,Q98),"")</f>
        <v/>
      </c>
      <c r="S98">
        <f>IF(H98="",0,IF(COUNTIF($H$4:H98,H98)=1,1,0))</f>
        <v>0</v>
      </c>
      <c r="T98" t="str">
        <f>IF(S98=1,ROUND(SUMIF($H$4:$H$503,H98,$E$4:$E$503),2),"")</f>
        <v/>
      </c>
      <c r="U98" t="str">
        <f>IF(S98=1,COUNTIFS($S$4:$S$503,1,$T$4:$T$503,"&gt;"&amp;T98)+COUNTIFS($S$4:S98,1,$T$4:T98,T98),"")</f>
        <v/>
      </c>
      <c r="V98" t="str">
        <f>IF(D98=1,MIN(INDEX($R$4:$R$503,MATCH(G98,$G$4:$G$503,0)),IF($AL$7&gt;9,9,999)),"")</f>
        <v/>
      </c>
      <c r="W98" s="166">
        <f>IF(OR($I98="",$E98=0),0,IF(OR($J98&lt;W$3,$I98&gt;W$2),0,IF($K98=0,IF(AND($I98&gt;=W$3,$I98&lt;=W$2),$E98,0),$E98*NETWORKDAYS(MAX($I98,W$3),MIN($J98,W$2),Data!$K$4:$K$203)/$K98)))</f>
        <v>0</v>
      </c>
      <c r="X98" s="166">
        <f>IF(OR($I98="",$E98=0),0,IF(OR($J98&lt;X$3,$I98&gt;X$2),0,IF($K98=0,IF(AND($I98&gt;=X$3,$I98&lt;=X$2),$E98,0),$E98*NETWORKDAYS(MAX($I98,X$3),MIN($J98,X$2),Data!$K$4:$K$203)/$K98)))</f>
        <v>0</v>
      </c>
      <c r="Y98" s="166">
        <f>IF(OR($I98="",$E98=0),0,IF(OR($J98&lt;Y$3,$I98&gt;Y$2),0,IF($K98=0,IF(AND($I98&gt;=Y$3,$I98&lt;=Y$2),$E98,0),$E98*NETWORKDAYS(MAX($I98,Y$3),MIN($J98,Y$2),Data!$K$4:$K$203)/$K98)))</f>
        <v>0</v>
      </c>
      <c r="Z98" s="166">
        <f>IF(OR($I98="",$E98=0),0,IF(OR($J98&lt;Z$3,$I98&gt;Z$2),0,IF($K98=0,IF(AND($I98&gt;=Z$3,$I98&lt;=Z$2),$E98,0),$E98*NETWORKDAYS(MAX($I98,Z$3),MIN($J98,Z$2),Data!$K$4:$K$203)/$K98)))</f>
        <v>0</v>
      </c>
      <c r="AA98" s="166">
        <f>IF(OR($I98="",$E98=0),0,IF(OR($J98&lt;AA$3,$I98&gt;AA$2),0,IF($K98=0,IF(AND($I98&gt;=AA$3,$I98&lt;=AA$2),$E98,0),$E98*NETWORKDAYS(MAX($I98,AA$3),MIN($J98,AA$2),Data!$K$4:$K$203)/$K98)))</f>
        <v>0</v>
      </c>
      <c r="AB98" s="166">
        <f>IF(OR($I98="",$E98=0),0,IF(OR($J98&lt;AB$3,$I98&gt;AB$2),0,IF($K98=0,IF(AND($I98&gt;=AB$3,$I98&lt;=AB$2),$E98,0),$E98*NETWORKDAYS(MAX($I98,AB$3),MIN($J98,AB$2),Data!$K$4:$K$203)/$K98)))</f>
        <v>0</v>
      </c>
      <c r="AC98" s="166">
        <f>IF(OR($I98="",$E98=0),0,IF(OR($J98&lt;AC$3,$I98&gt;AC$2),0,IF($K98=0,IF(AND($I98&gt;=AC$3,$I98&lt;=AC$2),$E98,0),$E98*NETWORKDAYS(MAX($I98,AC$3),MIN($J98,AC$2),Data!$K$4:$K$203)/$K98)))</f>
        <v>0</v>
      </c>
      <c r="AD98" s="166">
        <f>IF(OR($I98="",$E98=0),0,IF(OR($J98&lt;AD$3,$I98&gt;AD$2),0,IF($K98=0,IF(AND($I98&gt;=AD$3,$I98&lt;=AD$2),$E98,0),$E98*NETWORKDAYS(MAX($I98,AD$3),MIN($J98,AD$2),Data!$K$4:$K$203)/$K98)))</f>
        <v>0</v>
      </c>
      <c r="AE98" s="166">
        <f>IF(OR($I98="",$E98=0),0,IF(OR($J98&lt;AE$3,$I98&gt;AE$2),0,IF($K98=0,IF(AND($I98&gt;=AE$3,$I98&lt;=AE$2),$E98,0),$E98*NETWORKDAYS(MAX($I98,AE$3),MIN($J98,AE$2),Data!$K$4:$K$203)/$K98)))</f>
        <v>0</v>
      </c>
      <c r="AF98" s="166">
        <f>IF(OR($I98="",$E98=0),0,IF(OR($J98&lt;AF$3,$I98&gt;AF$2),0,IF($K98=0,IF(AND($I98&gt;=AF$3,$I98&lt;=AF$2),$E98,0),$E98*NETWORKDAYS(MAX($I98,AF$3),MIN($J98,AF$2),Data!$K$4:$K$203)/$K98)))</f>
        <v>0</v>
      </c>
      <c r="AG98" s="166">
        <f>IF(OR($I98="",$E98=0),0,IF(OR($J98&lt;AG$3,$I98&gt;AG$2),0,IF($K98=0,IF(AND($I98&gt;=AG$3,$I98&lt;=AG$2),$E98,0),$E98*NETWORKDAYS(MAX($I98,AG$3),MIN($J98,AG$2),Data!$K$4:$K$203)/$K98)))</f>
        <v>0</v>
      </c>
      <c r="AH98" s="166">
        <f>IF(OR($I98="",$E98=0),0,IF(OR($J98&lt;AH$3,$I98&gt;AH$2),0,IF($K98=0,IF(AND($I98&gt;=AH$3,$I98&lt;=AH$2),$E98,0),$E98*NETWORKDAYS(MAX($I98,AH$3),MIN($J98,AH$2),Data!$K$4:$K$203)/$K98)))</f>
        <v>0</v>
      </c>
      <c r="AI98" s="166">
        <f>SUM(W98:AH98)</f>
        <v>0</v>
      </c>
      <c r="BW98" t="n">
        <v>95</v>
      </c>
      <c r="BX98" t="str">
        <f>IFERROR(MATCH(BW98,$EQ$4:$EQ$503,0),"")</f>
        <v/>
      </c>
      <c r="BZ98" t="str">
        <f>IF(D98=1,IF(TRIM(INDEX(Charge!$K:$K,ROW()))&lt;&gt;"",TRIM(INDEX(Charge!$K:$K,ROW())),IF(TRIM(INDEX(Charge!$L:$L,ROW()))&lt;&gt;"",TRIM(INDEX(Charge!$L:$L,ROW())),"(non affecté)")),"")</f>
        <v/>
      </c>
      <c r="CA98" t="str">
        <f>IF(AND($CD$4&lt;&gt;"",BZ98=$CD$4),COUNTIFS($BZ$4:$BZ$503,$CD$4,$L$4:$L$503,"&lt;"&amp;L98)+1,"")</f>
        <v/>
      </c>
      <c r="EJ98" t="str">
        <f>TRIM(INDEX(Data!$E:$E,ROW()))</f>
        <v/>
      </c>
      <c r="EK98" t="str">
        <f>TRIM(INDEX(Data!$H:$H,ROW()))</f>
        <v/>
      </c>
      <c r="EM98" t="str">
        <f>IF(D98=1,IF(TRIM(INDEX(Charge!$K:$K,ROW()))&lt;&gt;"","Interne",IF(TRIM(INDEX(Charge!$L:$L,ROW()))&lt;&gt;"","Externe","Non affecté")),"")</f>
        <v/>
      </c>
      <c r="EN98" t="str">
        <f>IF(D98=1,LEFT(SUBSTITUTE(SUBSTITUTE(SUBSTITUTE(TRIM(SUBSTITUTE(INDEX(Charge!$B:$B,ROW()),CHAR(160)," "))&amp;" | "&amp;TRIM(SUBSTITUTE(INDEX(Charge!$C:$C,ROW()),CHAR(160)," "))&amp;" | "&amp;TRIM(SUBSTITUTE(INDEX(Charge!$D:$D,ROW()),CHAR(160)," ")),"~","-"),"*","+"),"?","!"),240),"")</f>
        <v/>
      </c>
      <c r="EO98">
        <f>IF(EN98="",0,IF(COUNTIF($EN$4:EN98,EN98)=1,1,0))</f>
        <v>0</v>
      </c>
      <c r="EP98" s="166" t="str">
        <f>IF(EO98=1,ROUND(SUMIF($EN$4:$EN$503,EN98,$E$4:$E$503),2),"")</f>
        <v/>
      </c>
      <c r="EQ98" t="str">
        <f>IF(EO98=1,COUNTIFS($EO$4:$EO$503,1,$EP$4:$EP$503,"&gt;"&amp;EP98)+COUNTIFS($EO$4:EO98,1,$EP$4:EP98,EP98),"")</f>
        <v/>
      </c>
      <c r="ER98" t="str">
        <f>IF(EO98=1,COUNTIFS($EN$4:$EN$503,EN98,$EM$4:$EM$503,"Interne",$FE$4:$FE$503,1),"")</f>
        <v/>
      </c>
      <c r="ES98" t="str">
        <f>IF(EO98=1,COUNTIFS($EN$4:$EN$503,EN98,$EM$4:$EM$503,"Externe",$FE$4:$FE$503,1),"")</f>
        <v/>
      </c>
      <c r="ET98" t="str">
        <f>IF(EO98=1,IF(ER98+ES98=0,"à affecter",IF(ER98=0,ES98&amp;" ext.",(ER98+ES98)&amp;IF(ES98&gt;0," dont "&amp;ES98&amp;" ext.",""))&amp;IF(COUNTIFS($EN$4:$EN$503,EN98,$EM$4:$EM$503,"Non affecté")&gt;0," + à affecter","")),"")</f>
        <v/>
      </c>
      <c r="EU98" s="170" t="str">
        <f>IF(EO98=1,IF(EP98&gt;0,SUMPRODUCT(($EN$4:$EN$503=EN98)*$E$4:$E$503*$C$4:$C$503)/EP98,AVERAGEIF($EN$4:$EN$503,EN98,$C$4:$C$503)),"")</f>
        <v/>
      </c>
      <c r="EV98" s="165">
        <f>IF(ISNUMBER(I98),I98,2958465)</f>
        <v>2958465.0</v>
      </c>
      <c r="EW98" s="165" t="str">
        <f>IF(EO98=1,SUMPRODUCT(MIN(($EN$4:$EN$503=EN98)*$EV$4:$EV$503+($EN$4:$EN$503&lt;&gt;EN98)*2958465)),"")</f>
        <v/>
      </c>
      <c r="EX98" s="165">
        <f>IF(AND(D98=1,ISNUMBER(INDEX(Charge!$F:$F,ROW()))),INDEX(Charge!$F:$F,ROW()),0)</f>
        <v>0.0</v>
      </c>
      <c r="EY98" s="165" t="str">
        <f>IF(EO98=1,SUMPRODUCT(MAX(($EN$4:$EN$503=EN98)*$EX$4:$EX$503)),"")</f>
        <v/>
      </c>
      <c r="FA98" t="str">
        <f>IF(95&lt;=$CD$23,INDEX($EJ$4:$EJ$203,95),IF(95-$CD$23&lt;=$CD$26,INDEX($EK$4:$EK$203,95-$CD$23),""))</f>
        <v/>
      </c>
      <c r="FB98" t="str">
        <f>IF(FA98="","",IF(95&lt;=$CD$23,"Interne","Externe"))</f>
        <v/>
      </c>
      <c r="FD98">
        <f>IF(AND(B98=1,TRIM(INDEX(Charge!$K:$K,ROW()))&lt;&gt;"",TRIM(INDEX(Charge!$L:$L,ROW()))&lt;&gt;""),1,0)</f>
        <v>0</v>
      </c>
      <c r="FE98">
        <f>IF(OR(EN98="",BZ98="(non affecté)"),0,IF(COUNTIFS($EN$4:EN98,EN98,$BZ$4:BZ98,BZ98)=1,1,0))</f>
        <v>0</v>
      </c>
    </row>
    <row r="99">
      <c r="A99">
        <f>ROW()</f>
        <v>99</v>
      </c>
      <c r="B99">
        <f>IF(TRIM(INDEX(Charge!$B:$B,ROW()))&lt;&gt;"",1,0)</f>
        <v>0</v>
      </c>
      <c r="C99">
        <f>IF(B99=1,MIN(1,MAX(0,N(INDEX(Charge!$O:$O,ROW())))),0)</f>
        <v>0</v>
      </c>
      <c r="D99">
        <f>IF(B99=1,IF(OR(p_Perimetre="Tous les projets",C99&lt;1),1,0),0)</f>
        <v>0</v>
      </c>
      <c r="E99">
        <f>IF(D99=1,MAX(0,N(INDEX(Charge!$M:$M,ROW()))),0)</f>
        <v>0</v>
      </c>
      <c r="F99" t="str">
        <f>IF(D99=1,IF(TRIM(INDEX(Charge!$A:$A,ROW()))="","(non renseigné)",TRIM(INDEX(Charge!$A:$A,ROW()))),"")</f>
        <v/>
      </c>
      <c r="G99" t="str">
        <f>IF(D99=1,TRIM(INDEX(Charge!$B:$B,ROW())),"")</f>
        <v/>
      </c>
      <c r="H99" t="str">
        <f>IF(D99=1,IF(TRIM(INDEX(Charge!$E:$E,ROW()))="","(non renseigné)",TRIM(INDEX(Charge!$E:$E,ROW()))),"")</f>
        <v/>
      </c>
      <c r="I99" s="165" t="str">
        <f>IF(AND(D99=1,ISNUMBER(INDEX(Charge!$N:$N,ROW()))),INDEX(Charge!$N:$N,ROW()),"")</f>
        <v/>
      </c>
      <c r="J99" s="165" t="str">
        <f>IF(I99="","",IF(AND(p_Repartition="Lissée jusqu'à la date de besoin",ISNUMBER(INDEX(Charge!$F:$F,ROW()))),IF(INDEX(Charge!$F:$F,ROW())&gt;=I99,INDEX(Charge!$F:$F,ROW()),I99),I99))</f>
        <v/>
      </c>
      <c r="K99" t="str">
        <f>IF(I99="","",NETWORKDAYS(I99,J99,Data!$K$4:$K$203))</f>
        <v/>
      </c>
      <c r="L99" t="str">
        <f>IF(D99=1,COUNTIFS($D$4:$D$503,1,$E$4:$E$503,"&gt;"&amp;E99)+COUNTIFS($D$4:$D99,1,$E$4:$E99,E99),"")</f>
        <v/>
      </c>
      <c r="M99">
        <f>IF(F99="",0,IF(COUNTIF($F$4:F99,F99)=1,1,0))</f>
        <v>0</v>
      </c>
      <c r="N99" t="str">
        <f>IF(M99=1,ROUND(SUMIF($F$4:$F$503,F99,$E$4:$E$503),2),"")</f>
        <v/>
      </c>
      <c r="O99" t="str">
        <f>IF(M99=1,COUNTIFS($M$4:$M$503,1,$N$4:$N$503,"&gt;"&amp;N99)+COUNTIFS($M$4:M99,1,$N$4:N99,N99),"")</f>
        <v/>
      </c>
      <c r="P99">
        <f>IF(G99="",0,IF(COUNTIF($G$4:G99,G99)=1,1,0))</f>
        <v>0</v>
      </c>
      <c r="Q99" t="str">
        <f>IF(P99=1,ROUND(SUMIF($G$4:$G$503,G99,$E$4:$E$503),2),"")</f>
        <v/>
      </c>
      <c r="R99" t="str">
        <f>IF(P99=1,COUNTIFS($P$4:$P$503,1,$Q$4:$Q$503,"&gt;"&amp;Q99)+COUNTIFS($P$4:P99,1,$Q$4:Q99,Q99),"")</f>
        <v/>
      </c>
      <c r="S99">
        <f>IF(H99="",0,IF(COUNTIF($H$4:H99,H99)=1,1,0))</f>
        <v>0</v>
      </c>
      <c r="T99" t="str">
        <f>IF(S99=1,ROUND(SUMIF($H$4:$H$503,H99,$E$4:$E$503),2),"")</f>
        <v/>
      </c>
      <c r="U99" t="str">
        <f>IF(S99=1,COUNTIFS($S$4:$S$503,1,$T$4:$T$503,"&gt;"&amp;T99)+COUNTIFS($S$4:S99,1,$T$4:T99,T99),"")</f>
        <v/>
      </c>
      <c r="V99" t="str">
        <f>IF(D99=1,MIN(INDEX($R$4:$R$503,MATCH(G99,$G$4:$G$503,0)),IF($AL$7&gt;9,9,999)),"")</f>
        <v/>
      </c>
      <c r="W99" s="166">
        <f>IF(OR($I99="",$E99=0),0,IF(OR($J99&lt;W$3,$I99&gt;W$2),0,IF($K99=0,IF(AND($I99&gt;=W$3,$I99&lt;=W$2),$E99,0),$E99*NETWORKDAYS(MAX($I99,W$3),MIN($J99,W$2),Data!$K$4:$K$203)/$K99)))</f>
        <v>0</v>
      </c>
      <c r="X99" s="166">
        <f>IF(OR($I99="",$E99=0),0,IF(OR($J99&lt;X$3,$I99&gt;X$2),0,IF($K99=0,IF(AND($I99&gt;=X$3,$I99&lt;=X$2),$E99,0),$E99*NETWORKDAYS(MAX($I99,X$3),MIN($J99,X$2),Data!$K$4:$K$203)/$K99)))</f>
        <v>0</v>
      </c>
      <c r="Y99" s="166">
        <f>IF(OR($I99="",$E99=0),0,IF(OR($J99&lt;Y$3,$I99&gt;Y$2),0,IF($K99=0,IF(AND($I99&gt;=Y$3,$I99&lt;=Y$2),$E99,0),$E99*NETWORKDAYS(MAX($I99,Y$3),MIN($J99,Y$2),Data!$K$4:$K$203)/$K99)))</f>
        <v>0</v>
      </c>
      <c r="Z99" s="166">
        <f>IF(OR($I99="",$E99=0),0,IF(OR($J99&lt;Z$3,$I99&gt;Z$2),0,IF($K99=0,IF(AND($I99&gt;=Z$3,$I99&lt;=Z$2),$E99,0),$E99*NETWORKDAYS(MAX($I99,Z$3),MIN($J99,Z$2),Data!$K$4:$K$203)/$K99)))</f>
        <v>0</v>
      </c>
      <c r="AA99" s="166">
        <f>IF(OR($I99="",$E99=0),0,IF(OR($J99&lt;AA$3,$I99&gt;AA$2),0,IF($K99=0,IF(AND($I99&gt;=AA$3,$I99&lt;=AA$2),$E99,0),$E99*NETWORKDAYS(MAX($I99,AA$3),MIN($J99,AA$2),Data!$K$4:$K$203)/$K99)))</f>
        <v>0</v>
      </c>
      <c r="AB99" s="166">
        <f>IF(OR($I99="",$E99=0),0,IF(OR($J99&lt;AB$3,$I99&gt;AB$2),0,IF($K99=0,IF(AND($I99&gt;=AB$3,$I99&lt;=AB$2),$E99,0),$E99*NETWORKDAYS(MAX($I99,AB$3),MIN($J99,AB$2),Data!$K$4:$K$203)/$K99)))</f>
        <v>0</v>
      </c>
      <c r="AC99" s="166">
        <f>IF(OR($I99="",$E99=0),0,IF(OR($J99&lt;AC$3,$I99&gt;AC$2),0,IF($K99=0,IF(AND($I99&gt;=AC$3,$I99&lt;=AC$2),$E99,0),$E99*NETWORKDAYS(MAX($I99,AC$3),MIN($J99,AC$2),Data!$K$4:$K$203)/$K99)))</f>
        <v>0</v>
      </c>
      <c r="AD99" s="166">
        <f>IF(OR($I99="",$E99=0),0,IF(OR($J99&lt;AD$3,$I99&gt;AD$2),0,IF($K99=0,IF(AND($I99&gt;=AD$3,$I99&lt;=AD$2),$E99,0),$E99*NETWORKDAYS(MAX($I99,AD$3),MIN($J99,AD$2),Data!$K$4:$K$203)/$K99)))</f>
        <v>0</v>
      </c>
      <c r="AE99" s="166">
        <f>IF(OR($I99="",$E99=0),0,IF(OR($J99&lt;AE$3,$I99&gt;AE$2),0,IF($K99=0,IF(AND($I99&gt;=AE$3,$I99&lt;=AE$2),$E99,0),$E99*NETWORKDAYS(MAX($I99,AE$3),MIN($J99,AE$2),Data!$K$4:$K$203)/$K99)))</f>
        <v>0</v>
      </c>
      <c r="AF99" s="166">
        <f>IF(OR($I99="",$E99=0),0,IF(OR($J99&lt;AF$3,$I99&gt;AF$2),0,IF($K99=0,IF(AND($I99&gt;=AF$3,$I99&lt;=AF$2),$E99,0),$E99*NETWORKDAYS(MAX($I99,AF$3),MIN($J99,AF$2),Data!$K$4:$K$203)/$K99)))</f>
        <v>0</v>
      </c>
      <c r="AG99" s="166">
        <f>IF(OR($I99="",$E99=0),0,IF(OR($J99&lt;AG$3,$I99&gt;AG$2),0,IF($K99=0,IF(AND($I99&gt;=AG$3,$I99&lt;=AG$2),$E99,0),$E99*NETWORKDAYS(MAX($I99,AG$3),MIN($J99,AG$2),Data!$K$4:$K$203)/$K99)))</f>
        <v>0</v>
      </c>
      <c r="AH99" s="166">
        <f>IF(OR($I99="",$E99=0),0,IF(OR($J99&lt;AH$3,$I99&gt;AH$2),0,IF($K99=0,IF(AND($I99&gt;=AH$3,$I99&lt;=AH$2),$E99,0),$E99*NETWORKDAYS(MAX($I99,AH$3),MIN($J99,AH$2),Data!$K$4:$K$203)/$K99)))</f>
        <v>0</v>
      </c>
      <c r="AI99" s="166">
        <f>SUM(W99:AH99)</f>
        <v>0</v>
      </c>
      <c r="BW99" t="n">
        <v>96</v>
      </c>
      <c r="BX99" t="str">
        <f>IFERROR(MATCH(BW99,$EQ$4:$EQ$503,0),"")</f>
        <v/>
      </c>
      <c r="BZ99" t="str">
        <f>IF(D99=1,IF(TRIM(INDEX(Charge!$K:$K,ROW()))&lt;&gt;"",TRIM(INDEX(Charge!$K:$K,ROW())),IF(TRIM(INDEX(Charge!$L:$L,ROW()))&lt;&gt;"",TRIM(INDEX(Charge!$L:$L,ROW())),"(non affecté)")),"")</f>
        <v/>
      </c>
      <c r="CA99" t="str">
        <f>IF(AND($CD$4&lt;&gt;"",BZ99=$CD$4),COUNTIFS($BZ$4:$BZ$503,$CD$4,$L$4:$L$503,"&lt;"&amp;L99)+1,"")</f>
        <v/>
      </c>
      <c r="EJ99" t="str">
        <f>TRIM(INDEX(Data!$E:$E,ROW()))</f>
        <v/>
      </c>
      <c r="EK99" t="str">
        <f>TRIM(INDEX(Data!$H:$H,ROW()))</f>
        <v/>
      </c>
      <c r="EM99" t="str">
        <f>IF(D99=1,IF(TRIM(INDEX(Charge!$K:$K,ROW()))&lt;&gt;"","Interne",IF(TRIM(INDEX(Charge!$L:$L,ROW()))&lt;&gt;"","Externe","Non affecté")),"")</f>
        <v/>
      </c>
      <c r="EN99" t="str">
        <f>IF(D99=1,LEFT(SUBSTITUTE(SUBSTITUTE(SUBSTITUTE(TRIM(SUBSTITUTE(INDEX(Charge!$B:$B,ROW()),CHAR(160)," "))&amp;" | "&amp;TRIM(SUBSTITUTE(INDEX(Charge!$C:$C,ROW()),CHAR(160)," "))&amp;" | "&amp;TRIM(SUBSTITUTE(INDEX(Charge!$D:$D,ROW()),CHAR(160)," ")),"~","-"),"*","+"),"?","!"),240),"")</f>
        <v/>
      </c>
      <c r="EO99">
        <f>IF(EN99="",0,IF(COUNTIF($EN$4:EN99,EN99)=1,1,0))</f>
        <v>0</v>
      </c>
      <c r="EP99" s="166" t="str">
        <f>IF(EO99=1,ROUND(SUMIF($EN$4:$EN$503,EN99,$E$4:$E$503),2),"")</f>
        <v/>
      </c>
      <c r="EQ99" t="str">
        <f>IF(EO99=1,COUNTIFS($EO$4:$EO$503,1,$EP$4:$EP$503,"&gt;"&amp;EP99)+COUNTIFS($EO$4:EO99,1,$EP$4:EP99,EP99),"")</f>
        <v/>
      </c>
      <c r="ER99" t="str">
        <f>IF(EO99=1,COUNTIFS($EN$4:$EN$503,EN99,$EM$4:$EM$503,"Interne",$FE$4:$FE$503,1),"")</f>
        <v/>
      </c>
      <c r="ES99" t="str">
        <f>IF(EO99=1,COUNTIFS($EN$4:$EN$503,EN99,$EM$4:$EM$503,"Externe",$FE$4:$FE$503,1),"")</f>
        <v/>
      </c>
      <c r="ET99" t="str">
        <f>IF(EO99=1,IF(ER99+ES99=0,"à affecter",IF(ER99=0,ES99&amp;" ext.",(ER99+ES99)&amp;IF(ES99&gt;0," dont "&amp;ES99&amp;" ext.",""))&amp;IF(COUNTIFS($EN$4:$EN$503,EN99,$EM$4:$EM$503,"Non affecté")&gt;0," + à affecter","")),"")</f>
        <v/>
      </c>
      <c r="EU99" s="170" t="str">
        <f>IF(EO99=1,IF(EP99&gt;0,SUMPRODUCT(($EN$4:$EN$503=EN99)*$E$4:$E$503*$C$4:$C$503)/EP99,AVERAGEIF($EN$4:$EN$503,EN99,$C$4:$C$503)),"")</f>
        <v/>
      </c>
      <c r="EV99" s="165">
        <f>IF(ISNUMBER(I99),I99,2958465)</f>
        <v>2958465.0</v>
      </c>
      <c r="EW99" s="165" t="str">
        <f>IF(EO99=1,SUMPRODUCT(MIN(($EN$4:$EN$503=EN99)*$EV$4:$EV$503+($EN$4:$EN$503&lt;&gt;EN99)*2958465)),"")</f>
        <v/>
      </c>
      <c r="EX99" s="165">
        <f>IF(AND(D99=1,ISNUMBER(INDEX(Charge!$F:$F,ROW()))),INDEX(Charge!$F:$F,ROW()),0)</f>
        <v>0.0</v>
      </c>
      <c r="EY99" s="165" t="str">
        <f>IF(EO99=1,SUMPRODUCT(MAX(($EN$4:$EN$503=EN99)*$EX$4:$EX$503)),"")</f>
        <v/>
      </c>
      <c r="FA99" t="str">
        <f>IF(96&lt;=$CD$23,INDEX($EJ$4:$EJ$203,96),IF(96-$CD$23&lt;=$CD$26,INDEX($EK$4:$EK$203,96-$CD$23),""))</f>
        <v/>
      </c>
      <c r="FB99" t="str">
        <f>IF(FA99="","",IF(96&lt;=$CD$23,"Interne","Externe"))</f>
        <v/>
      </c>
      <c r="FD99">
        <f>IF(AND(B99=1,TRIM(INDEX(Charge!$K:$K,ROW()))&lt;&gt;"",TRIM(INDEX(Charge!$L:$L,ROW()))&lt;&gt;""),1,0)</f>
        <v>0</v>
      </c>
      <c r="FE99">
        <f>IF(OR(EN99="",BZ99="(non affecté)"),0,IF(COUNTIFS($EN$4:EN99,EN99,$BZ$4:BZ99,BZ99)=1,1,0))</f>
        <v>0</v>
      </c>
    </row>
    <row r="100">
      <c r="A100">
        <f>ROW()</f>
        <v>100</v>
      </c>
      <c r="B100">
        <f>IF(TRIM(INDEX(Charge!$B:$B,ROW()))&lt;&gt;"",1,0)</f>
        <v>0</v>
      </c>
      <c r="C100">
        <f>IF(B100=1,MIN(1,MAX(0,N(INDEX(Charge!$O:$O,ROW())))),0)</f>
        <v>0</v>
      </c>
      <c r="D100">
        <f>IF(B100=1,IF(OR(p_Perimetre="Tous les projets",C100&lt;1),1,0),0)</f>
        <v>0</v>
      </c>
      <c r="E100">
        <f>IF(D100=1,MAX(0,N(INDEX(Charge!$M:$M,ROW()))),0)</f>
        <v>0</v>
      </c>
      <c r="F100" t="str">
        <f>IF(D100=1,IF(TRIM(INDEX(Charge!$A:$A,ROW()))="","(non renseigné)",TRIM(INDEX(Charge!$A:$A,ROW()))),"")</f>
        <v/>
      </c>
      <c r="G100" t="str">
        <f>IF(D100=1,TRIM(INDEX(Charge!$B:$B,ROW())),"")</f>
        <v/>
      </c>
      <c r="H100" t="str">
        <f>IF(D100=1,IF(TRIM(INDEX(Charge!$E:$E,ROW()))="","(non renseigné)",TRIM(INDEX(Charge!$E:$E,ROW()))),"")</f>
        <v/>
      </c>
      <c r="I100" s="165" t="str">
        <f>IF(AND(D100=1,ISNUMBER(INDEX(Charge!$N:$N,ROW()))),INDEX(Charge!$N:$N,ROW()),"")</f>
        <v/>
      </c>
      <c r="J100" s="165" t="str">
        <f>IF(I100="","",IF(AND(p_Repartition="Lissée jusqu'à la date de besoin",ISNUMBER(INDEX(Charge!$F:$F,ROW()))),IF(INDEX(Charge!$F:$F,ROW())&gt;=I100,INDEX(Charge!$F:$F,ROW()),I100),I100))</f>
        <v/>
      </c>
      <c r="K100" t="str">
        <f>IF(I100="","",NETWORKDAYS(I100,J100,Data!$K$4:$K$203))</f>
        <v/>
      </c>
      <c r="L100" t="str">
        <f>IF(D100=1,COUNTIFS($D$4:$D$503,1,$E$4:$E$503,"&gt;"&amp;E100)+COUNTIFS($D$4:$D100,1,$E$4:$E100,E100),"")</f>
        <v/>
      </c>
      <c r="M100">
        <f>IF(F100="",0,IF(COUNTIF($F$4:F100,F100)=1,1,0))</f>
        <v>0</v>
      </c>
      <c r="N100" t="str">
        <f>IF(M100=1,ROUND(SUMIF($F$4:$F$503,F100,$E$4:$E$503),2),"")</f>
        <v/>
      </c>
      <c r="O100" t="str">
        <f>IF(M100=1,COUNTIFS($M$4:$M$503,1,$N$4:$N$503,"&gt;"&amp;N100)+COUNTIFS($M$4:M100,1,$N$4:N100,N100),"")</f>
        <v/>
      </c>
      <c r="P100">
        <f>IF(G100="",0,IF(COUNTIF($G$4:G100,G100)=1,1,0))</f>
        <v>0</v>
      </c>
      <c r="Q100" t="str">
        <f>IF(P100=1,ROUND(SUMIF($G$4:$G$503,G100,$E$4:$E$503),2),"")</f>
        <v/>
      </c>
      <c r="R100" t="str">
        <f>IF(P100=1,COUNTIFS($P$4:$P$503,1,$Q$4:$Q$503,"&gt;"&amp;Q100)+COUNTIFS($P$4:P100,1,$Q$4:Q100,Q100),"")</f>
        <v/>
      </c>
      <c r="S100">
        <f>IF(H100="",0,IF(COUNTIF($H$4:H100,H100)=1,1,0))</f>
        <v>0</v>
      </c>
      <c r="T100" t="str">
        <f>IF(S100=1,ROUND(SUMIF($H$4:$H$503,H100,$E$4:$E$503),2),"")</f>
        <v/>
      </c>
      <c r="U100" t="str">
        <f>IF(S100=1,COUNTIFS($S$4:$S$503,1,$T$4:$T$503,"&gt;"&amp;T100)+COUNTIFS($S$4:S100,1,$T$4:T100,T100),"")</f>
        <v/>
      </c>
      <c r="V100" t="str">
        <f>IF(D100=1,MIN(INDEX($R$4:$R$503,MATCH(G100,$G$4:$G$503,0)),IF($AL$7&gt;9,9,999)),"")</f>
        <v/>
      </c>
      <c r="W100" s="166">
        <f>IF(OR($I100="",$E100=0),0,IF(OR($J100&lt;W$3,$I100&gt;W$2),0,IF($K100=0,IF(AND($I100&gt;=W$3,$I100&lt;=W$2),$E100,0),$E100*NETWORKDAYS(MAX($I100,W$3),MIN($J100,W$2),Data!$K$4:$K$203)/$K100)))</f>
        <v>0</v>
      </c>
      <c r="X100" s="166">
        <f>IF(OR($I100="",$E100=0),0,IF(OR($J100&lt;X$3,$I100&gt;X$2),0,IF($K100=0,IF(AND($I100&gt;=X$3,$I100&lt;=X$2),$E100,0),$E100*NETWORKDAYS(MAX($I100,X$3),MIN($J100,X$2),Data!$K$4:$K$203)/$K100)))</f>
        <v>0</v>
      </c>
      <c r="Y100" s="166">
        <f>IF(OR($I100="",$E100=0),0,IF(OR($J100&lt;Y$3,$I100&gt;Y$2),0,IF($K100=0,IF(AND($I100&gt;=Y$3,$I100&lt;=Y$2),$E100,0),$E100*NETWORKDAYS(MAX($I100,Y$3),MIN($J100,Y$2),Data!$K$4:$K$203)/$K100)))</f>
        <v>0</v>
      </c>
      <c r="Z100" s="166">
        <f>IF(OR($I100="",$E100=0),0,IF(OR($J100&lt;Z$3,$I100&gt;Z$2),0,IF($K100=0,IF(AND($I100&gt;=Z$3,$I100&lt;=Z$2),$E100,0),$E100*NETWORKDAYS(MAX($I100,Z$3),MIN($J100,Z$2),Data!$K$4:$K$203)/$K100)))</f>
        <v>0</v>
      </c>
      <c r="AA100" s="166">
        <f>IF(OR($I100="",$E100=0),0,IF(OR($J100&lt;AA$3,$I100&gt;AA$2),0,IF($K100=0,IF(AND($I100&gt;=AA$3,$I100&lt;=AA$2),$E100,0),$E100*NETWORKDAYS(MAX($I100,AA$3),MIN($J100,AA$2),Data!$K$4:$K$203)/$K100)))</f>
        <v>0</v>
      </c>
      <c r="AB100" s="166">
        <f>IF(OR($I100="",$E100=0),0,IF(OR($J100&lt;AB$3,$I100&gt;AB$2),0,IF($K100=0,IF(AND($I100&gt;=AB$3,$I100&lt;=AB$2),$E100,0),$E100*NETWORKDAYS(MAX($I100,AB$3),MIN($J100,AB$2),Data!$K$4:$K$203)/$K100)))</f>
        <v>0</v>
      </c>
      <c r="AC100" s="166">
        <f>IF(OR($I100="",$E100=0),0,IF(OR($J100&lt;AC$3,$I100&gt;AC$2),0,IF($K100=0,IF(AND($I100&gt;=AC$3,$I100&lt;=AC$2),$E100,0),$E100*NETWORKDAYS(MAX($I100,AC$3),MIN($J100,AC$2),Data!$K$4:$K$203)/$K100)))</f>
        <v>0</v>
      </c>
      <c r="AD100" s="166">
        <f>IF(OR($I100="",$E100=0),0,IF(OR($J100&lt;AD$3,$I100&gt;AD$2),0,IF($K100=0,IF(AND($I100&gt;=AD$3,$I100&lt;=AD$2),$E100,0),$E100*NETWORKDAYS(MAX($I100,AD$3),MIN($J100,AD$2),Data!$K$4:$K$203)/$K100)))</f>
        <v>0</v>
      </c>
      <c r="AE100" s="166">
        <f>IF(OR($I100="",$E100=0),0,IF(OR($J100&lt;AE$3,$I100&gt;AE$2),0,IF($K100=0,IF(AND($I100&gt;=AE$3,$I100&lt;=AE$2),$E100,0),$E100*NETWORKDAYS(MAX($I100,AE$3),MIN($J100,AE$2),Data!$K$4:$K$203)/$K100)))</f>
        <v>0</v>
      </c>
      <c r="AF100" s="166">
        <f>IF(OR($I100="",$E100=0),0,IF(OR($J100&lt;AF$3,$I100&gt;AF$2),0,IF($K100=0,IF(AND($I100&gt;=AF$3,$I100&lt;=AF$2),$E100,0),$E100*NETWORKDAYS(MAX($I100,AF$3),MIN($J100,AF$2),Data!$K$4:$K$203)/$K100)))</f>
        <v>0</v>
      </c>
      <c r="AG100" s="166">
        <f>IF(OR($I100="",$E100=0),0,IF(OR($J100&lt;AG$3,$I100&gt;AG$2),0,IF($K100=0,IF(AND($I100&gt;=AG$3,$I100&lt;=AG$2),$E100,0),$E100*NETWORKDAYS(MAX($I100,AG$3),MIN($J100,AG$2),Data!$K$4:$K$203)/$K100)))</f>
        <v>0</v>
      </c>
      <c r="AH100" s="166">
        <f>IF(OR($I100="",$E100=0),0,IF(OR($J100&lt;AH$3,$I100&gt;AH$2),0,IF($K100=0,IF(AND($I100&gt;=AH$3,$I100&lt;=AH$2),$E100,0),$E100*NETWORKDAYS(MAX($I100,AH$3),MIN($J100,AH$2),Data!$K$4:$K$203)/$K100)))</f>
        <v>0</v>
      </c>
      <c r="AI100" s="166">
        <f>SUM(W100:AH100)</f>
        <v>0</v>
      </c>
      <c r="BW100" t="n">
        <v>97</v>
      </c>
      <c r="BX100" t="str">
        <f>IFERROR(MATCH(BW100,$EQ$4:$EQ$503,0),"")</f>
        <v/>
      </c>
      <c r="BZ100" t="str">
        <f>IF(D100=1,IF(TRIM(INDEX(Charge!$K:$K,ROW()))&lt;&gt;"",TRIM(INDEX(Charge!$K:$K,ROW())),IF(TRIM(INDEX(Charge!$L:$L,ROW()))&lt;&gt;"",TRIM(INDEX(Charge!$L:$L,ROW())),"(non affecté)")),"")</f>
        <v/>
      </c>
      <c r="CA100" t="str">
        <f>IF(AND($CD$4&lt;&gt;"",BZ100=$CD$4),COUNTIFS($BZ$4:$BZ$503,$CD$4,$L$4:$L$503,"&lt;"&amp;L100)+1,"")</f>
        <v/>
      </c>
      <c r="EJ100" t="str">
        <f>TRIM(INDEX(Data!$E:$E,ROW()))</f>
        <v/>
      </c>
      <c r="EK100" t="str">
        <f>TRIM(INDEX(Data!$H:$H,ROW()))</f>
        <v/>
      </c>
      <c r="EM100" t="str">
        <f>IF(D100=1,IF(TRIM(INDEX(Charge!$K:$K,ROW()))&lt;&gt;"","Interne",IF(TRIM(INDEX(Charge!$L:$L,ROW()))&lt;&gt;"","Externe","Non affecté")),"")</f>
        <v/>
      </c>
      <c r="EN100" t="str">
        <f>IF(D100=1,LEFT(SUBSTITUTE(SUBSTITUTE(SUBSTITUTE(TRIM(SUBSTITUTE(INDEX(Charge!$B:$B,ROW()),CHAR(160)," "))&amp;" | "&amp;TRIM(SUBSTITUTE(INDEX(Charge!$C:$C,ROW()),CHAR(160)," "))&amp;" | "&amp;TRIM(SUBSTITUTE(INDEX(Charge!$D:$D,ROW()),CHAR(160)," ")),"~","-"),"*","+"),"?","!"),240),"")</f>
        <v/>
      </c>
      <c r="EO100">
        <f>IF(EN100="",0,IF(COUNTIF($EN$4:EN100,EN100)=1,1,0))</f>
        <v>0</v>
      </c>
      <c r="EP100" s="166" t="str">
        <f>IF(EO100=1,ROUND(SUMIF($EN$4:$EN$503,EN100,$E$4:$E$503),2),"")</f>
        <v/>
      </c>
      <c r="EQ100" t="str">
        <f>IF(EO100=1,COUNTIFS($EO$4:$EO$503,1,$EP$4:$EP$503,"&gt;"&amp;EP100)+COUNTIFS($EO$4:EO100,1,$EP$4:EP100,EP100),"")</f>
        <v/>
      </c>
      <c r="ER100" t="str">
        <f>IF(EO100=1,COUNTIFS($EN$4:$EN$503,EN100,$EM$4:$EM$503,"Interne",$FE$4:$FE$503,1),"")</f>
        <v/>
      </c>
      <c r="ES100" t="str">
        <f>IF(EO100=1,COUNTIFS($EN$4:$EN$503,EN100,$EM$4:$EM$503,"Externe",$FE$4:$FE$503,1),"")</f>
        <v/>
      </c>
      <c r="ET100" t="str">
        <f>IF(EO100=1,IF(ER100+ES100=0,"à affecter",IF(ER100=0,ES100&amp;" ext.",(ER100+ES100)&amp;IF(ES100&gt;0," dont "&amp;ES100&amp;" ext.",""))&amp;IF(COUNTIFS($EN$4:$EN$503,EN100,$EM$4:$EM$503,"Non affecté")&gt;0," + à affecter","")),"")</f>
        <v/>
      </c>
      <c r="EU100" s="170" t="str">
        <f>IF(EO100=1,IF(EP100&gt;0,SUMPRODUCT(($EN$4:$EN$503=EN100)*$E$4:$E$503*$C$4:$C$503)/EP100,AVERAGEIF($EN$4:$EN$503,EN100,$C$4:$C$503)),"")</f>
        <v/>
      </c>
      <c r="EV100" s="165">
        <f>IF(ISNUMBER(I100),I100,2958465)</f>
        <v>2958465.0</v>
      </c>
      <c r="EW100" s="165" t="str">
        <f>IF(EO100=1,SUMPRODUCT(MIN(($EN$4:$EN$503=EN100)*$EV$4:$EV$503+($EN$4:$EN$503&lt;&gt;EN100)*2958465)),"")</f>
        <v/>
      </c>
      <c r="EX100" s="165">
        <f>IF(AND(D100=1,ISNUMBER(INDEX(Charge!$F:$F,ROW()))),INDEX(Charge!$F:$F,ROW()),0)</f>
        <v>0.0</v>
      </c>
      <c r="EY100" s="165" t="str">
        <f>IF(EO100=1,SUMPRODUCT(MAX(($EN$4:$EN$503=EN100)*$EX$4:$EX$503)),"")</f>
        <v/>
      </c>
      <c r="FA100" t="str">
        <f>IF(97&lt;=$CD$23,INDEX($EJ$4:$EJ$203,97),IF(97-$CD$23&lt;=$CD$26,INDEX($EK$4:$EK$203,97-$CD$23),""))</f>
        <v/>
      </c>
      <c r="FB100" t="str">
        <f>IF(FA100="","",IF(97&lt;=$CD$23,"Interne","Externe"))</f>
        <v/>
      </c>
      <c r="FD100">
        <f>IF(AND(B100=1,TRIM(INDEX(Charge!$K:$K,ROW()))&lt;&gt;"",TRIM(INDEX(Charge!$L:$L,ROW()))&lt;&gt;""),1,0)</f>
        <v>0</v>
      </c>
      <c r="FE100">
        <f>IF(OR(EN100="",BZ100="(non affecté)"),0,IF(COUNTIFS($EN$4:EN100,EN100,$BZ$4:BZ100,BZ100)=1,1,0))</f>
        <v>0</v>
      </c>
    </row>
    <row r="101">
      <c r="A101">
        <f>ROW()</f>
        <v>101</v>
      </c>
      <c r="B101">
        <f>IF(TRIM(INDEX(Charge!$B:$B,ROW()))&lt;&gt;"",1,0)</f>
        <v>0</v>
      </c>
      <c r="C101">
        <f>IF(B101=1,MIN(1,MAX(0,N(INDEX(Charge!$O:$O,ROW())))),0)</f>
        <v>0</v>
      </c>
      <c r="D101">
        <f>IF(B101=1,IF(OR(p_Perimetre="Tous les projets",C101&lt;1),1,0),0)</f>
        <v>0</v>
      </c>
      <c r="E101">
        <f>IF(D101=1,MAX(0,N(INDEX(Charge!$M:$M,ROW()))),0)</f>
        <v>0</v>
      </c>
      <c r="F101" t="str">
        <f>IF(D101=1,IF(TRIM(INDEX(Charge!$A:$A,ROW()))="","(non renseigné)",TRIM(INDEX(Charge!$A:$A,ROW()))),"")</f>
        <v/>
      </c>
      <c r="G101" t="str">
        <f>IF(D101=1,TRIM(INDEX(Charge!$B:$B,ROW())),"")</f>
        <v/>
      </c>
      <c r="H101" t="str">
        <f>IF(D101=1,IF(TRIM(INDEX(Charge!$E:$E,ROW()))="","(non renseigné)",TRIM(INDEX(Charge!$E:$E,ROW()))),"")</f>
        <v/>
      </c>
      <c r="I101" s="165" t="str">
        <f>IF(AND(D101=1,ISNUMBER(INDEX(Charge!$N:$N,ROW()))),INDEX(Charge!$N:$N,ROW()),"")</f>
        <v/>
      </c>
      <c r="J101" s="165" t="str">
        <f>IF(I101="","",IF(AND(p_Repartition="Lissée jusqu'à la date de besoin",ISNUMBER(INDEX(Charge!$F:$F,ROW()))),IF(INDEX(Charge!$F:$F,ROW())&gt;=I101,INDEX(Charge!$F:$F,ROW()),I101),I101))</f>
        <v/>
      </c>
      <c r="K101" t="str">
        <f>IF(I101="","",NETWORKDAYS(I101,J101,Data!$K$4:$K$203))</f>
        <v/>
      </c>
      <c r="L101" t="str">
        <f>IF(D101=1,COUNTIFS($D$4:$D$503,1,$E$4:$E$503,"&gt;"&amp;E101)+COUNTIFS($D$4:$D101,1,$E$4:$E101,E101),"")</f>
        <v/>
      </c>
      <c r="M101">
        <f>IF(F101="",0,IF(COUNTIF($F$4:F101,F101)=1,1,0))</f>
        <v>0</v>
      </c>
      <c r="N101" t="str">
        <f>IF(M101=1,ROUND(SUMIF($F$4:$F$503,F101,$E$4:$E$503),2),"")</f>
        <v/>
      </c>
      <c r="O101" t="str">
        <f>IF(M101=1,COUNTIFS($M$4:$M$503,1,$N$4:$N$503,"&gt;"&amp;N101)+COUNTIFS($M$4:M101,1,$N$4:N101,N101),"")</f>
        <v/>
      </c>
      <c r="P101">
        <f>IF(G101="",0,IF(COUNTIF($G$4:G101,G101)=1,1,0))</f>
        <v>0</v>
      </c>
      <c r="Q101" t="str">
        <f>IF(P101=1,ROUND(SUMIF($G$4:$G$503,G101,$E$4:$E$503),2),"")</f>
        <v/>
      </c>
      <c r="R101" t="str">
        <f>IF(P101=1,COUNTIFS($P$4:$P$503,1,$Q$4:$Q$503,"&gt;"&amp;Q101)+COUNTIFS($P$4:P101,1,$Q$4:Q101,Q101),"")</f>
        <v/>
      </c>
      <c r="S101">
        <f>IF(H101="",0,IF(COUNTIF($H$4:H101,H101)=1,1,0))</f>
        <v>0</v>
      </c>
      <c r="T101" t="str">
        <f>IF(S101=1,ROUND(SUMIF($H$4:$H$503,H101,$E$4:$E$503),2),"")</f>
        <v/>
      </c>
      <c r="U101" t="str">
        <f>IF(S101=1,COUNTIFS($S$4:$S$503,1,$T$4:$T$503,"&gt;"&amp;T101)+COUNTIFS($S$4:S101,1,$T$4:T101,T101),"")</f>
        <v/>
      </c>
      <c r="V101" t="str">
        <f>IF(D101=1,MIN(INDEX($R$4:$R$503,MATCH(G101,$G$4:$G$503,0)),IF($AL$7&gt;9,9,999)),"")</f>
        <v/>
      </c>
      <c r="W101" s="166">
        <f>IF(OR($I101="",$E101=0),0,IF(OR($J101&lt;W$3,$I101&gt;W$2),0,IF($K101=0,IF(AND($I101&gt;=W$3,$I101&lt;=W$2),$E101,0),$E101*NETWORKDAYS(MAX($I101,W$3),MIN($J101,W$2),Data!$K$4:$K$203)/$K101)))</f>
        <v>0</v>
      </c>
      <c r="X101" s="166">
        <f>IF(OR($I101="",$E101=0),0,IF(OR($J101&lt;X$3,$I101&gt;X$2),0,IF($K101=0,IF(AND($I101&gt;=X$3,$I101&lt;=X$2),$E101,0),$E101*NETWORKDAYS(MAX($I101,X$3),MIN($J101,X$2),Data!$K$4:$K$203)/$K101)))</f>
        <v>0</v>
      </c>
      <c r="Y101" s="166">
        <f>IF(OR($I101="",$E101=0),0,IF(OR($J101&lt;Y$3,$I101&gt;Y$2),0,IF($K101=0,IF(AND($I101&gt;=Y$3,$I101&lt;=Y$2),$E101,0),$E101*NETWORKDAYS(MAX($I101,Y$3),MIN($J101,Y$2),Data!$K$4:$K$203)/$K101)))</f>
        <v>0</v>
      </c>
      <c r="Z101" s="166">
        <f>IF(OR($I101="",$E101=0),0,IF(OR($J101&lt;Z$3,$I101&gt;Z$2),0,IF($K101=0,IF(AND($I101&gt;=Z$3,$I101&lt;=Z$2),$E101,0),$E101*NETWORKDAYS(MAX($I101,Z$3),MIN($J101,Z$2),Data!$K$4:$K$203)/$K101)))</f>
        <v>0</v>
      </c>
      <c r="AA101" s="166">
        <f>IF(OR($I101="",$E101=0),0,IF(OR($J101&lt;AA$3,$I101&gt;AA$2),0,IF($K101=0,IF(AND($I101&gt;=AA$3,$I101&lt;=AA$2),$E101,0),$E101*NETWORKDAYS(MAX($I101,AA$3),MIN($J101,AA$2),Data!$K$4:$K$203)/$K101)))</f>
        <v>0</v>
      </c>
      <c r="AB101" s="166">
        <f>IF(OR($I101="",$E101=0),0,IF(OR($J101&lt;AB$3,$I101&gt;AB$2),0,IF($K101=0,IF(AND($I101&gt;=AB$3,$I101&lt;=AB$2),$E101,0),$E101*NETWORKDAYS(MAX($I101,AB$3),MIN($J101,AB$2),Data!$K$4:$K$203)/$K101)))</f>
        <v>0</v>
      </c>
      <c r="AC101" s="166">
        <f>IF(OR($I101="",$E101=0),0,IF(OR($J101&lt;AC$3,$I101&gt;AC$2),0,IF($K101=0,IF(AND($I101&gt;=AC$3,$I101&lt;=AC$2),$E101,0),$E101*NETWORKDAYS(MAX($I101,AC$3),MIN($J101,AC$2),Data!$K$4:$K$203)/$K101)))</f>
        <v>0</v>
      </c>
      <c r="AD101" s="166">
        <f>IF(OR($I101="",$E101=0),0,IF(OR($J101&lt;AD$3,$I101&gt;AD$2),0,IF($K101=0,IF(AND($I101&gt;=AD$3,$I101&lt;=AD$2),$E101,0),$E101*NETWORKDAYS(MAX($I101,AD$3),MIN($J101,AD$2),Data!$K$4:$K$203)/$K101)))</f>
        <v>0</v>
      </c>
      <c r="AE101" s="166">
        <f>IF(OR($I101="",$E101=0),0,IF(OR($J101&lt;AE$3,$I101&gt;AE$2),0,IF($K101=0,IF(AND($I101&gt;=AE$3,$I101&lt;=AE$2),$E101,0),$E101*NETWORKDAYS(MAX($I101,AE$3),MIN($J101,AE$2),Data!$K$4:$K$203)/$K101)))</f>
        <v>0</v>
      </c>
      <c r="AF101" s="166">
        <f>IF(OR($I101="",$E101=0),0,IF(OR($J101&lt;AF$3,$I101&gt;AF$2),0,IF($K101=0,IF(AND($I101&gt;=AF$3,$I101&lt;=AF$2),$E101,0),$E101*NETWORKDAYS(MAX($I101,AF$3),MIN($J101,AF$2),Data!$K$4:$K$203)/$K101)))</f>
        <v>0</v>
      </c>
      <c r="AG101" s="166">
        <f>IF(OR($I101="",$E101=0),0,IF(OR($J101&lt;AG$3,$I101&gt;AG$2),0,IF($K101=0,IF(AND($I101&gt;=AG$3,$I101&lt;=AG$2),$E101,0),$E101*NETWORKDAYS(MAX($I101,AG$3),MIN($J101,AG$2),Data!$K$4:$K$203)/$K101)))</f>
        <v>0</v>
      </c>
      <c r="AH101" s="166">
        <f>IF(OR($I101="",$E101=0),0,IF(OR($J101&lt;AH$3,$I101&gt;AH$2),0,IF($K101=0,IF(AND($I101&gt;=AH$3,$I101&lt;=AH$2),$E101,0),$E101*NETWORKDAYS(MAX($I101,AH$3),MIN($J101,AH$2),Data!$K$4:$K$203)/$K101)))</f>
        <v>0</v>
      </c>
      <c r="AI101" s="166">
        <f>SUM(W101:AH101)</f>
        <v>0</v>
      </c>
      <c r="BW101" t="n">
        <v>98</v>
      </c>
      <c r="BX101" t="str">
        <f>IFERROR(MATCH(BW101,$EQ$4:$EQ$503,0),"")</f>
        <v/>
      </c>
      <c r="BZ101" t="str">
        <f>IF(D101=1,IF(TRIM(INDEX(Charge!$K:$K,ROW()))&lt;&gt;"",TRIM(INDEX(Charge!$K:$K,ROW())),IF(TRIM(INDEX(Charge!$L:$L,ROW()))&lt;&gt;"",TRIM(INDEX(Charge!$L:$L,ROW())),"(non affecté)")),"")</f>
        <v/>
      </c>
      <c r="CA101" t="str">
        <f>IF(AND($CD$4&lt;&gt;"",BZ101=$CD$4),COUNTIFS($BZ$4:$BZ$503,$CD$4,$L$4:$L$503,"&lt;"&amp;L101)+1,"")</f>
        <v/>
      </c>
      <c r="EJ101" t="str">
        <f>TRIM(INDEX(Data!$E:$E,ROW()))</f>
        <v/>
      </c>
      <c r="EK101" t="str">
        <f>TRIM(INDEX(Data!$H:$H,ROW()))</f>
        <v/>
      </c>
      <c r="EM101" t="str">
        <f>IF(D101=1,IF(TRIM(INDEX(Charge!$K:$K,ROW()))&lt;&gt;"","Interne",IF(TRIM(INDEX(Charge!$L:$L,ROW()))&lt;&gt;"","Externe","Non affecté")),"")</f>
        <v/>
      </c>
      <c r="EN101" t="str">
        <f>IF(D101=1,LEFT(SUBSTITUTE(SUBSTITUTE(SUBSTITUTE(TRIM(SUBSTITUTE(INDEX(Charge!$B:$B,ROW()),CHAR(160)," "))&amp;" | "&amp;TRIM(SUBSTITUTE(INDEX(Charge!$C:$C,ROW()),CHAR(160)," "))&amp;" | "&amp;TRIM(SUBSTITUTE(INDEX(Charge!$D:$D,ROW()),CHAR(160)," ")),"~","-"),"*","+"),"?","!"),240),"")</f>
        <v/>
      </c>
      <c r="EO101">
        <f>IF(EN101="",0,IF(COUNTIF($EN$4:EN101,EN101)=1,1,0))</f>
        <v>0</v>
      </c>
      <c r="EP101" s="166" t="str">
        <f>IF(EO101=1,ROUND(SUMIF($EN$4:$EN$503,EN101,$E$4:$E$503),2),"")</f>
        <v/>
      </c>
      <c r="EQ101" t="str">
        <f>IF(EO101=1,COUNTIFS($EO$4:$EO$503,1,$EP$4:$EP$503,"&gt;"&amp;EP101)+COUNTIFS($EO$4:EO101,1,$EP$4:EP101,EP101),"")</f>
        <v/>
      </c>
      <c r="ER101" t="str">
        <f>IF(EO101=1,COUNTIFS($EN$4:$EN$503,EN101,$EM$4:$EM$503,"Interne",$FE$4:$FE$503,1),"")</f>
        <v/>
      </c>
      <c r="ES101" t="str">
        <f>IF(EO101=1,COUNTIFS($EN$4:$EN$503,EN101,$EM$4:$EM$503,"Externe",$FE$4:$FE$503,1),"")</f>
        <v/>
      </c>
      <c r="ET101" t="str">
        <f>IF(EO101=1,IF(ER101+ES101=0,"à affecter",IF(ER101=0,ES101&amp;" ext.",(ER101+ES101)&amp;IF(ES101&gt;0," dont "&amp;ES101&amp;" ext.",""))&amp;IF(COUNTIFS($EN$4:$EN$503,EN101,$EM$4:$EM$503,"Non affecté")&gt;0," + à affecter","")),"")</f>
        <v/>
      </c>
      <c r="EU101" s="170" t="str">
        <f>IF(EO101=1,IF(EP101&gt;0,SUMPRODUCT(($EN$4:$EN$503=EN101)*$E$4:$E$503*$C$4:$C$503)/EP101,AVERAGEIF($EN$4:$EN$503,EN101,$C$4:$C$503)),"")</f>
        <v/>
      </c>
      <c r="EV101" s="165">
        <f>IF(ISNUMBER(I101),I101,2958465)</f>
        <v>2958465.0</v>
      </c>
      <c r="EW101" s="165" t="str">
        <f>IF(EO101=1,SUMPRODUCT(MIN(($EN$4:$EN$503=EN101)*$EV$4:$EV$503+($EN$4:$EN$503&lt;&gt;EN101)*2958465)),"")</f>
        <v/>
      </c>
      <c r="EX101" s="165">
        <f>IF(AND(D101=1,ISNUMBER(INDEX(Charge!$F:$F,ROW()))),INDEX(Charge!$F:$F,ROW()),0)</f>
        <v>0.0</v>
      </c>
      <c r="EY101" s="165" t="str">
        <f>IF(EO101=1,SUMPRODUCT(MAX(($EN$4:$EN$503=EN101)*$EX$4:$EX$503)),"")</f>
        <v/>
      </c>
      <c r="FA101" t="str">
        <f>IF(98&lt;=$CD$23,INDEX($EJ$4:$EJ$203,98),IF(98-$CD$23&lt;=$CD$26,INDEX($EK$4:$EK$203,98-$CD$23),""))</f>
        <v/>
      </c>
      <c r="FB101" t="str">
        <f>IF(FA101="","",IF(98&lt;=$CD$23,"Interne","Externe"))</f>
        <v/>
      </c>
      <c r="FD101">
        <f>IF(AND(B101=1,TRIM(INDEX(Charge!$K:$K,ROW()))&lt;&gt;"",TRIM(INDEX(Charge!$L:$L,ROW()))&lt;&gt;""),1,0)</f>
        <v>0</v>
      </c>
      <c r="FE101">
        <f>IF(OR(EN101="",BZ101="(non affecté)"),0,IF(COUNTIFS($EN$4:EN101,EN101,$BZ$4:BZ101,BZ101)=1,1,0))</f>
        <v>0</v>
      </c>
    </row>
    <row r="102">
      <c r="A102">
        <f>ROW()</f>
        <v>102</v>
      </c>
      <c r="B102">
        <f>IF(TRIM(INDEX(Charge!$B:$B,ROW()))&lt;&gt;"",1,0)</f>
        <v>0</v>
      </c>
      <c r="C102">
        <f>IF(B102=1,MIN(1,MAX(0,N(INDEX(Charge!$O:$O,ROW())))),0)</f>
        <v>0</v>
      </c>
      <c r="D102">
        <f>IF(B102=1,IF(OR(p_Perimetre="Tous les projets",C102&lt;1),1,0),0)</f>
        <v>0</v>
      </c>
      <c r="E102">
        <f>IF(D102=1,MAX(0,N(INDEX(Charge!$M:$M,ROW()))),0)</f>
        <v>0</v>
      </c>
      <c r="F102" t="str">
        <f>IF(D102=1,IF(TRIM(INDEX(Charge!$A:$A,ROW()))="","(non renseigné)",TRIM(INDEX(Charge!$A:$A,ROW()))),"")</f>
        <v/>
      </c>
      <c r="G102" t="str">
        <f>IF(D102=1,TRIM(INDEX(Charge!$B:$B,ROW())),"")</f>
        <v/>
      </c>
      <c r="H102" t="str">
        <f>IF(D102=1,IF(TRIM(INDEX(Charge!$E:$E,ROW()))="","(non renseigné)",TRIM(INDEX(Charge!$E:$E,ROW()))),"")</f>
        <v/>
      </c>
      <c r="I102" s="165" t="str">
        <f>IF(AND(D102=1,ISNUMBER(INDEX(Charge!$N:$N,ROW()))),INDEX(Charge!$N:$N,ROW()),"")</f>
        <v/>
      </c>
      <c r="J102" s="165" t="str">
        <f>IF(I102="","",IF(AND(p_Repartition="Lissée jusqu'à la date de besoin",ISNUMBER(INDEX(Charge!$F:$F,ROW()))),IF(INDEX(Charge!$F:$F,ROW())&gt;=I102,INDEX(Charge!$F:$F,ROW()),I102),I102))</f>
        <v/>
      </c>
      <c r="K102" t="str">
        <f>IF(I102="","",NETWORKDAYS(I102,J102,Data!$K$4:$K$203))</f>
        <v/>
      </c>
      <c r="L102" t="str">
        <f>IF(D102=1,COUNTIFS($D$4:$D$503,1,$E$4:$E$503,"&gt;"&amp;E102)+COUNTIFS($D$4:$D102,1,$E$4:$E102,E102),"")</f>
        <v/>
      </c>
      <c r="M102">
        <f>IF(F102="",0,IF(COUNTIF($F$4:F102,F102)=1,1,0))</f>
        <v>0</v>
      </c>
      <c r="N102" t="str">
        <f>IF(M102=1,ROUND(SUMIF($F$4:$F$503,F102,$E$4:$E$503),2),"")</f>
        <v/>
      </c>
      <c r="O102" t="str">
        <f>IF(M102=1,COUNTIFS($M$4:$M$503,1,$N$4:$N$503,"&gt;"&amp;N102)+COUNTIFS($M$4:M102,1,$N$4:N102,N102),"")</f>
        <v/>
      </c>
      <c r="P102">
        <f>IF(G102="",0,IF(COUNTIF($G$4:G102,G102)=1,1,0))</f>
        <v>0</v>
      </c>
      <c r="Q102" t="str">
        <f>IF(P102=1,ROUND(SUMIF($G$4:$G$503,G102,$E$4:$E$503),2),"")</f>
        <v/>
      </c>
      <c r="R102" t="str">
        <f>IF(P102=1,COUNTIFS($P$4:$P$503,1,$Q$4:$Q$503,"&gt;"&amp;Q102)+COUNTIFS($P$4:P102,1,$Q$4:Q102,Q102),"")</f>
        <v/>
      </c>
      <c r="S102">
        <f>IF(H102="",0,IF(COUNTIF($H$4:H102,H102)=1,1,0))</f>
        <v>0</v>
      </c>
      <c r="T102" t="str">
        <f>IF(S102=1,ROUND(SUMIF($H$4:$H$503,H102,$E$4:$E$503),2),"")</f>
        <v/>
      </c>
      <c r="U102" t="str">
        <f>IF(S102=1,COUNTIFS($S$4:$S$503,1,$T$4:$T$503,"&gt;"&amp;T102)+COUNTIFS($S$4:S102,1,$T$4:T102,T102),"")</f>
        <v/>
      </c>
      <c r="V102" t="str">
        <f>IF(D102=1,MIN(INDEX($R$4:$R$503,MATCH(G102,$G$4:$G$503,0)),IF($AL$7&gt;9,9,999)),"")</f>
        <v/>
      </c>
      <c r="W102" s="166">
        <f>IF(OR($I102="",$E102=0),0,IF(OR($J102&lt;W$3,$I102&gt;W$2),0,IF($K102=0,IF(AND($I102&gt;=W$3,$I102&lt;=W$2),$E102,0),$E102*NETWORKDAYS(MAX($I102,W$3),MIN($J102,W$2),Data!$K$4:$K$203)/$K102)))</f>
        <v>0</v>
      </c>
      <c r="X102" s="166">
        <f>IF(OR($I102="",$E102=0),0,IF(OR($J102&lt;X$3,$I102&gt;X$2),0,IF($K102=0,IF(AND($I102&gt;=X$3,$I102&lt;=X$2),$E102,0),$E102*NETWORKDAYS(MAX($I102,X$3),MIN($J102,X$2),Data!$K$4:$K$203)/$K102)))</f>
        <v>0</v>
      </c>
      <c r="Y102" s="166">
        <f>IF(OR($I102="",$E102=0),0,IF(OR($J102&lt;Y$3,$I102&gt;Y$2),0,IF($K102=0,IF(AND($I102&gt;=Y$3,$I102&lt;=Y$2),$E102,0),$E102*NETWORKDAYS(MAX($I102,Y$3),MIN($J102,Y$2),Data!$K$4:$K$203)/$K102)))</f>
        <v>0</v>
      </c>
      <c r="Z102" s="166">
        <f>IF(OR($I102="",$E102=0),0,IF(OR($J102&lt;Z$3,$I102&gt;Z$2),0,IF($K102=0,IF(AND($I102&gt;=Z$3,$I102&lt;=Z$2),$E102,0),$E102*NETWORKDAYS(MAX($I102,Z$3),MIN($J102,Z$2),Data!$K$4:$K$203)/$K102)))</f>
        <v>0</v>
      </c>
      <c r="AA102" s="166">
        <f>IF(OR($I102="",$E102=0),0,IF(OR($J102&lt;AA$3,$I102&gt;AA$2),0,IF($K102=0,IF(AND($I102&gt;=AA$3,$I102&lt;=AA$2),$E102,0),$E102*NETWORKDAYS(MAX($I102,AA$3),MIN($J102,AA$2),Data!$K$4:$K$203)/$K102)))</f>
        <v>0</v>
      </c>
      <c r="AB102" s="166">
        <f>IF(OR($I102="",$E102=0),0,IF(OR($J102&lt;AB$3,$I102&gt;AB$2),0,IF($K102=0,IF(AND($I102&gt;=AB$3,$I102&lt;=AB$2),$E102,0),$E102*NETWORKDAYS(MAX($I102,AB$3),MIN($J102,AB$2),Data!$K$4:$K$203)/$K102)))</f>
        <v>0</v>
      </c>
      <c r="AC102" s="166">
        <f>IF(OR($I102="",$E102=0),0,IF(OR($J102&lt;AC$3,$I102&gt;AC$2),0,IF($K102=0,IF(AND($I102&gt;=AC$3,$I102&lt;=AC$2),$E102,0),$E102*NETWORKDAYS(MAX($I102,AC$3),MIN($J102,AC$2),Data!$K$4:$K$203)/$K102)))</f>
        <v>0</v>
      </c>
      <c r="AD102" s="166">
        <f>IF(OR($I102="",$E102=0),0,IF(OR($J102&lt;AD$3,$I102&gt;AD$2),0,IF($K102=0,IF(AND($I102&gt;=AD$3,$I102&lt;=AD$2),$E102,0),$E102*NETWORKDAYS(MAX($I102,AD$3),MIN($J102,AD$2),Data!$K$4:$K$203)/$K102)))</f>
        <v>0</v>
      </c>
      <c r="AE102" s="166">
        <f>IF(OR($I102="",$E102=0),0,IF(OR($J102&lt;AE$3,$I102&gt;AE$2),0,IF($K102=0,IF(AND($I102&gt;=AE$3,$I102&lt;=AE$2),$E102,0),$E102*NETWORKDAYS(MAX($I102,AE$3),MIN($J102,AE$2),Data!$K$4:$K$203)/$K102)))</f>
        <v>0</v>
      </c>
      <c r="AF102" s="166">
        <f>IF(OR($I102="",$E102=0),0,IF(OR($J102&lt;AF$3,$I102&gt;AF$2),0,IF($K102=0,IF(AND($I102&gt;=AF$3,$I102&lt;=AF$2),$E102,0),$E102*NETWORKDAYS(MAX($I102,AF$3),MIN($J102,AF$2),Data!$K$4:$K$203)/$K102)))</f>
        <v>0</v>
      </c>
      <c r="AG102" s="166">
        <f>IF(OR($I102="",$E102=0),0,IF(OR($J102&lt;AG$3,$I102&gt;AG$2),0,IF($K102=0,IF(AND($I102&gt;=AG$3,$I102&lt;=AG$2),$E102,0),$E102*NETWORKDAYS(MAX($I102,AG$3),MIN($J102,AG$2),Data!$K$4:$K$203)/$K102)))</f>
        <v>0</v>
      </c>
      <c r="AH102" s="166">
        <f>IF(OR($I102="",$E102=0),0,IF(OR($J102&lt;AH$3,$I102&gt;AH$2),0,IF($K102=0,IF(AND($I102&gt;=AH$3,$I102&lt;=AH$2),$E102,0),$E102*NETWORKDAYS(MAX($I102,AH$3),MIN($J102,AH$2),Data!$K$4:$K$203)/$K102)))</f>
        <v>0</v>
      </c>
      <c r="AI102" s="166">
        <f>SUM(W102:AH102)</f>
        <v>0</v>
      </c>
      <c r="BW102" t="n">
        <v>99</v>
      </c>
      <c r="BX102" t="str">
        <f>IFERROR(MATCH(BW102,$EQ$4:$EQ$503,0),"")</f>
        <v/>
      </c>
      <c r="BZ102" t="str">
        <f>IF(D102=1,IF(TRIM(INDEX(Charge!$K:$K,ROW()))&lt;&gt;"",TRIM(INDEX(Charge!$K:$K,ROW())),IF(TRIM(INDEX(Charge!$L:$L,ROW()))&lt;&gt;"",TRIM(INDEX(Charge!$L:$L,ROW())),"(non affecté)")),"")</f>
        <v/>
      </c>
      <c r="CA102" t="str">
        <f>IF(AND($CD$4&lt;&gt;"",BZ102=$CD$4),COUNTIFS($BZ$4:$BZ$503,$CD$4,$L$4:$L$503,"&lt;"&amp;L102)+1,"")</f>
        <v/>
      </c>
      <c r="EJ102" t="str">
        <f>TRIM(INDEX(Data!$E:$E,ROW()))</f>
        <v/>
      </c>
      <c r="EK102" t="str">
        <f>TRIM(INDEX(Data!$H:$H,ROW()))</f>
        <v/>
      </c>
      <c r="EM102" t="str">
        <f>IF(D102=1,IF(TRIM(INDEX(Charge!$K:$K,ROW()))&lt;&gt;"","Interne",IF(TRIM(INDEX(Charge!$L:$L,ROW()))&lt;&gt;"","Externe","Non affecté")),"")</f>
        <v/>
      </c>
      <c r="EN102" t="str">
        <f>IF(D102=1,LEFT(SUBSTITUTE(SUBSTITUTE(SUBSTITUTE(TRIM(SUBSTITUTE(INDEX(Charge!$B:$B,ROW()),CHAR(160)," "))&amp;" | "&amp;TRIM(SUBSTITUTE(INDEX(Charge!$C:$C,ROW()),CHAR(160)," "))&amp;" | "&amp;TRIM(SUBSTITUTE(INDEX(Charge!$D:$D,ROW()),CHAR(160)," ")),"~","-"),"*","+"),"?","!"),240),"")</f>
        <v/>
      </c>
      <c r="EO102">
        <f>IF(EN102="",0,IF(COUNTIF($EN$4:EN102,EN102)=1,1,0))</f>
        <v>0</v>
      </c>
      <c r="EP102" s="166" t="str">
        <f>IF(EO102=1,ROUND(SUMIF($EN$4:$EN$503,EN102,$E$4:$E$503),2),"")</f>
        <v/>
      </c>
      <c r="EQ102" t="str">
        <f>IF(EO102=1,COUNTIFS($EO$4:$EO$503,1,$EP$4:$EP$503,"&gt;"&amp;EP102)+COUNTIFS($EO$4:EO102,1,$EP$4:EP102,EP102),"")</f>
        <v/>
      </c>
      <c r="ER102" t="str">
        <f>IF(EO102=1,COUNTIFS($EN$4:$EN$503,EN102,$EM$4:$EM$503,"Interne",$FE$4:$FE$503,1),"")</f>
        <v/>
      </c>
      <c r="ES102" t="str">
        <f>IF(EO102=1,COUNTIFS($EN$4:$EN$503,EN102,$EM$4:$EM$503,"Externe",$FE$4:$FE$503,1),"")</f>
        <v/>
      </c>
      <c r="ET102" t="str">
        <f>IF(EO102=1,IF(ER102+ES102=0,"à affecter",IF(ER102=0,ES102&amp;" ext.",(ER102+ES102)&amp;IF(ES102&gt;0," dont "&amp;ES102&amp;" ext.",""))&amp;IF(COUNTIFS($EN$4:$EN$503,EN102,$EM$4:$EM$503,"Non affecté")&gt;0," + à affecter","")),"")</f>
        <v/>
      </c>
      <c r="EU102" s="170" t="str">
        <f>IF(EO102=1,IF(EP102&gt;0,SUMPRODUCT(($EN$4:$EN$503=EN102)*$E$4:$E$503*$C$4:$C$503)/EP102,AVERAGEIF($EN$4:$EN$503,EN102,$C$4:$C$503)),"")</f>
        <v/>
      </c>
      <c r="EV102" s="165">
        <f>IF(ISNUMBER(I102),I102,2958465)</f>
        <v>2958465.0</v>
      </c>
      <c r="EW102" s="165" t="str">
        <f>IF(EO102=1,SUMPRODUCT(MIN(($EN$4:$EN$503=EN102)*$EV$4:$EV$503+($EN$4:$EN$503&lt;&gt;EN102)*2958465)),"")</f>
        <v/>
      </c>
      <c r="EX102" s="165">
        <f>IF(AND(D102=1,ISNUMBER(INDEX(Charge!$F:$F,ROW()))),INDEX(Charge!$F:$F,ROW()),0)</f>
        <v>0.0</v>
      </c>
      <c r="EY102" s="165" t="str">
        <f>IF(EO102=1,SUMPRODUCT(MAX(($EN$4:$EN$503=EN102)*$EX$4:$EX$503)),"")</f>
        <v/>
      </c>
      <c r="FA102" t="str">
        <f>IF(99&lt;=$CD$23,INDEX($EJ$4:$EJ$203,99),IF(99-$CD$23&lt;=$CD$26,INDEX($EK$4:$EK$203,99-$CD$23),""))</f>
        <v/>
      </c>
      <c r="FB102" t="str">
        <f>IF(FA102="","",IF(99&lt;=$CD$23,"Interne","Externe"))</f>
        <v/>
      </c>
      <c r="FD102">
        <f>IF(AND(B102=1,TRIM(INDEX(Charge!$K:$K,ROW()))&lt;&gt;"",TRIM(INDEX(Charge!$L:$L,ROW()))&lt;&gt;""),1,0)</f>
        <v>0</v>
      </c>
      <c r="FE102">
        <f>IF(OR(EN102="",BZ102="(non affecté)"),0,IF(COUNTIFS($EN$4:EN102,EN102,$BZ$4:BZ102,BZ102)=1,1,0))</f>
        <v>0</v>
      </c>
    </row>
    <row r="103">
      <c r="A103">
        <f>ROW()</f>
        <v>103</v>
      </c>
      <c r="B103">
        <f>IF(TRIM(INDEX(Charge!$B:$B,ROW()))&lt;&gt;"",1,0)</f>
        <v>0</v>
      </c>
      <c r="C103">
        <f>IF(B103=1,MIN(1,MAX(0,N(INDEX(Charge!$O:$O,ROW())))),0)</f>
        <v>0</v>
      </c>
      <c r="D103">
        <f>IF(B103=1,IF(OR(p_Perimetre="Tous les projets",C103&lt;1),1,0),0)</f>
        <v>0</v>
      </c>
      <c r="E103">
        <f>IF(D103=1,MAX(0,N(INDEX(Charge!$M:$M,ROW()))),0)</f>
        <v>0</v>
      </c>
      <c r="F103" t="str">
        <f>IF(D103=1,IF(TRIM(INDEX(Charge!$A:$A,ROW()))="","(non renseigné)",TRIM(INDEX(Charge!$A:$A,ROW()))),"")</f>
        <v/>
      </c>
      <c r="G103" t="str">
        <f>IF(D103=1,TRIM(INDEX(Charge!$B:$B,ROW())),"")</f>
        <v/>
      </c>
      <c r="H103" t="str">
        <f>IF(D103=1,IF(TRIM(INDEX(Charge!$E:$E,ROW()))="","(non renseigné)",TRIM(INDEX(Charge!$E:$E,ROW()))),"")</f>
        <v/>
      </c>
      <c r="I103" s="165" t="str">
        <f>IF(AND(D103=1,ISNUMBER(INDEX(Charge!$N:$N,ROW()))),INDEX(Charge!$N:$N,ROW()),"")</f>
        <v/>
      </c>
      <c r="J103" s="165" t="str">
        <f>IF(I103="","",IF(AND(p_Repartition="Lissée jusqu'à la date de besoin",ISNUMBER(INDEX(Charge!$F:$F,ROW()))),IF(INDEX(Charge!$F:$F,ROW())&gt;=I103,INDEX(Charge!$F:$F,ROW()),I103),I103))</f>
        <v/>
      </c>
      <c r="K103" t="str">
        <f>IF(I103="","",NETWORKDAYS(I103,J103,Data!$K$4:$K$203))</f>
        <v/>
      </c>
      <c r="L103" t="str">
        <f>IF(D103=1,COUNTIFS($D$4:$D$503,1,$E$4:$E$503,"&gt;"&amp;E103)+COUNTIFS($D$4:$D103,1,$E$4:$E103,E103),"")</f>
        <v/>
      </c>
      <c r="M103">
        <f>IF(F103="",0,IF(COUNTIF($F$4:F103,F103)=1,1,0))</f>
        <v>0</v>
      </c>
      <c r="N103" t="str">
        <f>IF(M103=1,ROUND(SUMIF($F$4:$F$503,F103,$E$4:$E$503),2),"")</f>
        <v/>
      </c>
      <c r="O103" t="str">
        <f>IF(M103=1,COUNTIFS($M$4:$M$503,1,$N$4:$N$503,"&gt;"&amp;N103)+COUNTIFS($M$4:M103,1,$N$4:N103,N103),"")</f>
        <v/>
      </c>
      <c r="P103">
        <f>IF(G103="",0,IF(COUNTIF($G$4:G103,G103)=1,1,0))</f>
        <v>0</v>
      </c>
      <c r="Q103" t="str">
        <f>IF(P103=1,ROUND(SUMIF($G$4:$G$503,G103,$E$4:$E$503),2),"")</f>
        <v/>
      </c>
      <c r="R103" t="str">
        <f>IF(P103=1,COUNTIFS($P$4:$P$503,1,$Q$4:$Q$503,"&gt;"&amp;Q103)+COUNTIFS($P$4:P103,1,$Q$4:Q103,Q103),"")</f>
        <v/>
      </c>
      <c r="S103">
        <f>IF(H103="",0,IF(COUNTIF($H$4:H103,H103)=1,1,0))</f>
        <v>0</v>
      </c>
      <c r="T103" t="str">
        <f>IF(S103=1,ROUND(SUMIF($H$4:$H$503,H103,$E$4:$E$503),2),"")</f>
        <v/>
      </c>
      <c r="U103" t="str">
        <f>IF(S103=1,COUNTIFS($S$4:$S$503,1,$T$4:$T$503,"&gt;"&amp;T103)+COUNTIFS($S$4:S103,1,$T$4:T103,T103),"")</f>
        <v/>
      </c>
      <c r="V103" t="str">
        <f>IF(D103=1,MIN(INDEX($R$4:$R$503,MATCH(G103,$G$4:$G$503,0)),IF($AL$7&gt;9,9,999)),"")</f>
        <v/>
      </c>
      <c r="W103" s="166">
        <f>IF(OR($I103="",$E103=0),0,IF(OR($J103&lt;W$3,$I103&gt;W$2),0,IF($K103=0,IF(AND($I103&gt;=W$3,$I103&lt;=W$2),$E103,0),$E103*NETWORKDAYS(MAX($I103,W$3),MIN($J103,W$2),Data!$K$4:$K$203)/$K103)))</f>
        <v>0</v>
      </c>
      <c r="X103" s="166">
        <f>IF(OR($I103="",$E103=0),0,IF(OR($J103&lt;X$3,$I103&gt;X$2),0,IF($K103=0,IF(AND($I103&gt;=X$3,$I103&lt;=X$2),$E103,0),$E103*NETWORKDAYS(MAX($I103,X$3),MIN($J103,X$2),Data!$K$4:$K$203)/$K103)))</f>
        <v>0</v>
      </c>
      <c r="Y103" s="166">
        <f>IF(OR($I103="",$E103=0),0,IF(OR($J103&lt;Y$3,$I103&gt;Y$2),0,IF($K103=0,IF(AND($I103&gt;=Y$3,$I103&lt;=Y$2),$E103,0),$E103*NETWORKDAYS(MAX($I103,Y$3),MIN($J103,Y$2),Data!$K$4:$K$203)/$K103)))</f>
        <v>0</v>
      </c>
      <c r="Z103" s="166">
        <f>IF(OR($I103="",$E103=0),0,IF(OR($J103&lt;Z$3,$I103&gt;Z$2),0,IF($K103=0,IF(AND($I103&gt;=Z$3,$I103&lt;=Z$2),$E103,0),$E103*NETWORKDAYS(MAX($I103,Z$3),MIN($J103,Z$2),Data!$K$4:$K$203)/$K103)))</f>
        <v>0</v>
      </c>
      <c r="AA103" s="166">
        <f>IF(OR($I103="",$E103=0),0,IF(OR($J103&lt;AA$3,$I103&gt;AA$2),0,IF($K103=0,IF(AND($I103&gt;=AA$3,$I103&lt;=AA$2),$E103,0),$E103*NETWORKDAYS(MAX($I103,AA$3),MIN($J103,AA$2),Data!$K$4:$K$203)/$K103)))</f>
        <v>0</v>
      </c>
      <c r="AB103" s="166">
        <f>IF(OR($I103="",$E103=0),0,IF(OR($J103&lt;AB$3,$I103&gt;AB$2),0,IF($K103=0,IF(AND($I103&gt;=AB$3,$I103&lt;=AB$2),$E103,0),$E103*NETWORKDAYS(MAX($I103,AB$3),MIN($J103,AB$2),Data!$K$4:$K$203)/$K103)))</f>
        <v>0</v>
      </c>
      <c r="AC103" s="166">
        <f>IF(OR($I103="",$E103=0),0,IF(OR($J103&lt;AC$3,$I103&gt;AC$2),0,IF($K103=0,IF(AND($I103&gt;=AC$3,$I103&lt;=AC$2),$E103,0),$E103*NETWORKDAYS(MAX($I103,AC$3),MIN($J103,AC$2),Data!$K$4:$K$203)/$K103)))</f>
        <v>0</v>
      </c>
      <c r="AD103" s="166">
        <f>IF(OR($I103="",$E103=0),0,IF(OR($J103&lt;AD$3,$I103&gt;AD$2),0,IF($K103=0,IF(AND($I103&gt;=AD$3,$I103&lt;=AD$2),$E103,0),$E103*NETWORKDAYS(MAX($I103,AD$3),MIN($J103,AD$2),Data!$K$4:$K$203)/$K103)))</f>
        <v>0</v>
      </c>
      <c r="AE103" s="166">
        <f>IF(OR($I103="",$E103=0),0,IF(OR($J103&lt;AE$3,$I103&gt;AE$2),0,IF($K103=0,IF(AND($I103&gt;=AE$3,$I103&lt;=AE$2),$E103,0),$E103*NETWORKDAYS(MAX($I103,AE$3),MIN($J103,AE$2),Data!$K$4:$K$203)/$K103)))</f>
        <v>0</v>
      </c>
      <c r="AF103" s="166">
        <f>IF(OR($I103="",$E103=0),0,IF(OR($J103&lt;AF$3,$I103&gt;AF$2),0,IF($K103=0,IF(AND($I103&gt;=AF$3,$I103&lt;=AF$2),$E103,0),$E103*NETWORKDAYS(MAX($I103,AF$3),MIN($J103,AF$2),Data!$K$4:$K$203)/$K103)))</f>
        <v>0</v>
      </c>
      <c r="AG103" s="166">
        <f>IF(OR($I103="",$E103=0),0,IF(OR($J103&lt;AG$3,$I103&gt;AG$2),0,IF($K103=0,IF(AND($I103&gt;=AG$3,$I103&lt;=AG$2),$E103,0),$E103*NETWORKDAYS(MAX($I103,AG$3),MIN($J103,AG$2),Data!$K$4:$K$203)/$K103)))</f>
        <v>0</v>
      </c>
      <c r="AH103" s="166">
        <f>IF(OR($I103="",$E103=0),0,IF(OR($J103&lt;AH$3,$I103&gt;AH$2),0,IF($K103=0,IF(AND($I103&gt;=AH$3,$I103&lt;=AH$2),$E103,0),$E103*NETWORKDAYS(MAX($I103,AH$3),MIN($J103,AH$2),Data!$K$4:$K$203)/$K103)))</f>
        <v>0</v>
      </c>
      <c r="AI103" s="166">
        <f>SUM(W103:AH103)</f>
        <v>0</v>
      </c>
      <c r="BW103" t="n">
        <v>100</v>
      </c>
      <c r="BX103" t="str">
        <f>IFERROR(MATCH(BW103,$EQ$4:$EQ$503,0),"")</f>
        <v/>
      </c>
      <c r="BZ103" t="str">
        <f>IF(D103=1,IF(TRIM(INDEX(Charge!$K:$K,ROW()))&lt;&gt;"",TRIM(INDEX(Charge!$K:$K,ROW())),IF(TRIM(INDEX(Charge!$L:$L,ROW()))&lt;&gt;"",TRIM(INDEX(Charge!$L:$L,ROW())),"(non affecté)")),"")</f>
        <v/>
      </c>
      <c r="CA103" t="str">
        <f>IF(AND($CD$4&lt;&gt;"",BZ103=$CD$4),COUNTIFS($BZ$4:$BZ$503,$CD$4,$L$4:$L$503,"&lt;"&amp;L103)+1,"")</f>
        <v/>
      </c>
      <c r="EJ103" t="str">
        <f>TRIM(INDEX(Data!$E:$E,ROW()))</f>
        <v/>
      </c>
      <c r="EK103" t="str">
        <f>TRIM(INDEX(Data!$H:$H,ROW()))</f>
        <v/>
      </c>
      <c r="EM103" t="str">
        <f>IF(D103=1,IF(TRIM(INDEX(Charge!$K:$K,ROW()))&lt;&gt;"","Interne",IF(TRIM(INDEX(Charge!$L:$L,ROW()))&lt;&gt;"","Externe","Non affecté")),"")</f>
        <v/>
      </c>
      <c r="EN103" t="str">
        <f>IF(D103=1,LEFT(SUBSTITUTE(SUBSTITUTE(SUBSTITUTE(TRIM(SUBSTITUTE(INDEX(Charge!$B:$B,ROW()),CHAR(160)," "))&amp;" | "&amp;TRIM(SUBSTITUTE(INDEX(Charge!$C:$C,ROW()),CHAR(160)," "))&amp;" | "&amp;TRIM(SUBSTITUTE(INDEX(Charge!$D:$D,ROW()),CHAR(160)," ")),"~","-"),"*","+"),"?","!"),240),"")</f>
        <v/>
      </c>
      <c r="EO103">
        <f>IF(EN103="",0,IF(COUNTIF($EN$4:EN103,EN103)=1,1,0))</f>
        <v>0</v>
      </c>
      <c r="EP103" s="166" t="str">
        <f>IF(EO103=1,ROUND(SUMIF($EN$4:$EN$503,EN103,$E$4:$E$503),2),"")</f>
        <v/>
      </c>
      <c r="EQ103" t="str">
        <f>IF(EO103=1,COUNTIFS($EO$4:$EO$503,1,$EP$4:$EP$503,"&gt;"&amp;EP103)+COUNTIFS($EO$4:EO103,1,$EP$4:EP103,EP103),"")</f>
        <v/>
      </c>
      <c r="ER103" t="str">
        <f>IF(EO103=1,COUNTIFS($EN$4:$EN$503,EN103,$EM$4:$EM$503,"Interne",$FE$4:$FE$503,1),"")</f>
        <v/>
      </c>
      <c r="ES103" t="str">
        <f>IF(EO103=1,COUNTIFS($EN$4:$EN$503,EN103,$EM$4:$EM$503,"Externe",$FE$4:$FE$503,1),"")</f>
        <v/>
      </c>
      <c r="ET103" t="str">
        <f>IF(EO103=1,IF(ER103+ES103=0,"à affecter",IF(ER103=0,ES103&amp;" ext.",(ER103+ES103)&amp;IF(ES103&gt;0," dont "&amp;ES103&amp;" ext.",""))&amp;IF(COUNTIFS($EN$4:$EN$503,EN103,$EM$4:$EM$503,"Non affecté")&gt;0," + à affecter","")),"")</f>
        <v/>
      </c>
      <c r="EU103" s="170" t="str">
        <f>IF(EO103=1,IF(EP103&gt;0,SUMPRODUCT(($EN$4:$EN$503=EN103)*$E$4:$E$503*$C$4:$C$503)/EP103,AVERAGEIF($EN$4:$EN$503,EN103,$C$4:$C$503)),"")</f>
        <v/>
      </c>
      <c r="EV103" s="165">
        <f>IF(ISNUMBER(I103),I103,2958465)</f>
        <v>2958465.0</v>
      </c>
      <c r="EW103" s="165" t="str">
        <f>IF(EO103=1,SUMPRODUCT(MIN(($EN$4:$EN$503=EN103)*$EV$4:$EV$503+($EN$4:$EN$503&lt;&gt;EN103)*2958465)),"")</f>
        <v/>
      </c>
      <c r="EX103" s="165">
        <f>IF(AND(D103=1,ISNUMBER(INDEX(Charge!$F:$F,ROW()))),INDEX(Charge!$F:$F,ROW()),0)</f>
        <v>0.0</v>
      </c>
      <c r="EY103" s="165" t="str">
        <f>IF(EO103=1,SUMPRODUCT(MAX(($EN$4:$EN$503=EN103)*$EX$4:$EX$503)),"")</f>
        <v/>
      </c>
      <c r="FA103" t="str">
        <f>IF(100&lt;=$CD$23,INDEX($EJ$4:$EJ$203,100),IF(100-$CD$23&lt;=$CD$26,INDEX($EK$4:$EK$203,100-$CD$23),""))</f>
        <v/>
      </c>
      <c r="FB103" t="str">
        <f>IF(FA103="","",IF(100&lt;=$CD$23,"Interne","Externe"))</f>
        <v/>
      </c>
      <c r="FD103">
        <f>IF(AND(B103=1,TRIM(INDEX(Charge!$K:$K,ROW()))&lt;&gt;"",TRIM(INDEX(Charge!$L:$L,ROW()))&lt;&gt;""),1,0)</f>
        <v>0</v>
      </c>
      <c r="FE103">
        <f>IF(OR(EN103="",BZ103="(non affecté)"),0,IF(COUNTIFS($EN$4:EN103,EN103,$BZ$4:BZ103,BZ103)=1,1,0))</f>
        <v>0</v>
      </c>
    </row>
    <row r="104">
      <c r="A104">
        <f>ROW()</f>
        <v>104</v>
      </c>
      <c r="B104">
        <f>IF(TRIM(INDEX(Charge!$B:$B,ROW()))&lt;&gt;"",1,0)</f>
        <v>0</v>
      </c>
      <c r="C104">
        <f>IF(B104=1,MIN(1,MAX(0,N(INDEX(Charge!$O:$O,ROW())))),0)</f>
        <v>0</v>
      </c>
      <c r="D104">
        <f>IF(B104=1,IF(OR(p_Perimetre="Tous les projets",C104&lt;1),1,0),0)</f>
        <v>0</v>
      </c>
      <c r="E104">
        <f>IF(D104=1,MAX(0,N(INDEX(Charge!$M:$M,ROW()))),0)</f>
        <v>0</v>
      </c>
      <c r="F104" t="str">
        <f>IF(D104=1,IF(TRIM(INDEX(Charge!$A:$A,ROW()))="","(non renseigné)",TRIM(INDEX(Charge!$A:$A,ROW()))),"")</f>
        <v/>
      </c>
      <c r="G104" t="str">
        <f>IF(D104=1,TRIM(INDEX(Charge!$B:$B,ROW())),"")</f>
        <v/>
      </c>
      <c r="H104" t="str">
        <f>IF(D104=1,IF(TRIM(INDEX(Charge!$E:$E,ROW()))="","(non renseigné)",TRIM(INDEX(Charge!$E:$E,ROW()))),"")</f>
        <v/>
      </c>
      <c r="I104" s="165" t="str">
        <f>IF(AND(D104=1,ISNUMBER(INDEX(Charge!$N:$N,ROW()))),INDEX(Charge!$N:$N,ROW()),"")</f>
        <v/>
      </c>
      <c r="J104" s="165" t="str">
        <f>IF(I104="","",IF(AND(p_Repartition="Lissée jusqu'à la date de besoin",ISNUMBER(INDEX(Charge!$F:$F,ROW()))),IF(INDEX(Charge!$F:$F,ROW())&gt;=I104,INDEX(Charge!$F:$F,ROW()),I104),I104))</f>
        <v/>
      </c>
      <c r="K104" t="str">
        <f>IF(I104="","",NETWORKDAYS(I104,J104,Data!$K$4:$K$203))</f>
        <v/>
      </c>
      <c r="L104" t="str">
        <f>IF(D104=1,COUNTIFS($D$4:$D$503,1,$E$4:$E$503,"&gt;"&amp;E104)+COUNTIFS($D$4:$D104,1,$E$4:$E104,E104),"")</f>
        <v/>
      </c>
      <c r="M104">
        <f>IF(F104="",0,IF(COUNTIF($F$4:F104,F104)=1,1,0))</f>
        <v>0</v>
      </c>
      <c r="N104" t="str">
        <f>IF(M104=1,ROUND(SUMIF($F$4:$F$503,F104,$E$4:$E$503),2),"")</f>
        <v/>
      </c>
      <c r="O104" t="str">
        <f>IF(M104=1,COUNTIFS($M$4:$M$503,1,$N$4:$N$503,"&gt;"&amp;N104)+COUNTIFS($M$4:M104,1,$N$4:N104,N104),"")</f>
        <v/>
      </c>
      <c r="P104">
        <f>IF(G104="",0,IF(COUNTIF($G$4:G104,G104)=1,1,0))</f>
        <v>0</v>
      </c>
      <c r="Q104" t="str">
        <f>IF(P104=1,ROUND(SUMIF($G$4:$G$503,G104,$E$4:$E$503),2),"")</f>
        <v/>
      </c>
      <c r="R104" t="str">
        <f>IF(P104=1,COUNTIFS($P$4:$P$503,1,$Q$4:$Q$503,"&gt;"&amp;Q104)+COUNTIFS($P$4:P104,1,$Q$4:Q104,Q104),"")</f>
        <v/>
      </c>
      <c r="S104">
        <f>IF(H104="",0,IF(COUNTIF($H$4:H104,H104)=1,1,0))</f>
        <v>0</v>
      </c>
      <c r="T104" t="str">
        <f>IF(S104=1,ROUND(SUMIF($H$4:$H$503,H104,$E$4:$E$503),2),"")</f>
        <v/>
      </c>
      <c r="U104" t="str">
        <f>IF(S104=1,COUNTIFS($S$4:$S$503,1,$T$4:$T$503,"&gt;"&amp;T104)+COUNTIFS($S$4:S104,1,$T$4:T104,T104),"")</f>
        <v/>
      </c>
      <c r="V104" t="str">
        <f>IF(D104=1,MIN(INDEX($R$4:$R$503,MATCH(G104,$G$4:$G$503,0)),IF($AL$7&gt;9,9,999)),"")</f>
        <v/>
      </c>
      <c r="W104" s="166">
        <f>IF(OR($I104="",$E104=0),0,IF(OR($J104&lt;W$3,$I104&gt;W$2),0,IF($K104=0,IF(AND($I104&gt;=W$3,$I104&lt;=W$2),$E104,0),$E104*NETWORKDAYS(MAX($I104,W$3),MIN($J104,W$2),Data!$K$4:$K$203)/$K104)))</f>
        <v>0</v>
      </c>
      <c r="X104" s="166">
        <f>IF(OR($I104="",$E104=0),0,IF(OR($J104&lt;X$3,$I104&gt;X$2),0,IF($K104=0,IF(AND($I104&gt;=X$3,$I104&lt;=X$2),$E104,0),$E104*NETWORKDAYS(MAX($I104,X$3),MIN($J104,X$2),Data!$K$4:$K$203)/$K104)))</f>
        <v>0</v>
      </c>
      <c r="Y104" s="166">
        <f>IF(OR($I104="",$E104=0),0,IF(OR($J104&lt;Y$3,$I104&gt;Y$2),0,IF($K104=0,IF(AND($I104&gt;=Y$3,$I104&lt;=Y$2),$E104,0),$E104*NETWORKDAYS(MAX($I104,Y$3),MIN($J104,Y$2),Data!$K$4:$K$203)/$K104)))</f>
        <v>0</v>
      </c>
      <c r="Z104" s="166">
        <f>IF(OR($I104="",$E104=0),0,IF(OR($J104&lt;Z$3,$I104&gt;Z$2),0,IF($K104=0,IF(AND($I104&gt;=Z$3,$I104&lt;=Z$2),$E104,0),$E104*NETWORKDAYS(MAX($I104,Z$3),MIN($J104,Z$2),Data!$K$4:$K$203)/$K104)))</f>
        <v>0</v>
      </c>
      <c r="AA104" s="166">
        <f>IF(OR($I104="",$E104=0),0,IF(OR($J104&lt;AA$3,$I104&gt;AA$2),0,IF($K104=0,IF(AND($I104&gt;=AA$3,$I104&lt;=AA$2),$E104,0),$E104*NETWORKDAYS(MAX($I104,AA$3),MIN($J104,AA$2),Data!$K$4:$K$203)/$K104)))</f>
        <v>0</v>
      </c>
      <c r="AB104" s="166">
        <f>IF(OR($I104="",$E104=0),0,IF(OR($J104&lt;AB$3,$I104&gt;AB$2),0,IF($K104=0,IF(AND($I104&gt;=AB$3,$I104&lt;=AB$2),$E104,0),$E104*NETWORKDAYS(MAX($I104,AB$3),MIN($J104,AB$2),Data!$K$4:$K$203)/$K104)))</f>
        <v>0</v>
      </c>
      <c r="AC104" s="166">
        <f>IF(OR($I104="",$E104=0),0,IF(OR($J104&lt;AC$3,$I104&gt;AC$2),0,IF($K104=0,IF(AND($I104&gt;=AC$3,$I104&lt;=AC$2),$E104,0),$E104*NETWORKDAYS(MAX($I104,AC$3),MIN($J104,AC$2),Data!$K$4:$K$203)/$K104)))</f>
        <v>0</v>
      </c>
      <c r="AD104" s="166">
        <f>IF(OR($I104="",$E104=0),0,IF(OR($J104&lt;AD$3,$I104&gt;AD$2),0,IF($K104=0,IF(AND($I104&gt;=AD$3,$I104&lt;=AD$2),$E104,0),$E104*NETWORKDAYS(MAX($I104,AD$3),MIN($J104,AD$2),Data!$K$4:$K$203)/$K104)))</f>
        <v>0</v>
      </c>
      <c r="AE104" s="166">
        <f>IF(OR($I104="",$E104=0),0,IF(OR($J104&lt;AE$3,$I104&gt;AE$2),0,IF($K104=0,IF(AND($I104&gt;=AE$3,$I104&lt;=AE$2),$E104,0),$E104*NETWORKDAYS(MAX($I104,AE$3),MIN($J104,AE$2),Data!$K$4:$K$203)/$K104)))</f>
        <v>0</v>
      </c>
      <c r="AF104" s="166">
        <f>IF(OR($I104="",$E104=0),0,IF(OR($J104&lt;AF$3,$I104&gt;AF$2),0,IF($K104=0,IF(AND($I104&gt;=AF$3,$I104&lt;=AF$2),$E104,0),$E104*NETWORKDAYS(MAX($I104,AF$3),MIN($J104,AF$2),Data!$K$4:$K$203)/$K104)))</f>
        <v>0</v>
      </c>
      <c r="AG104" s="166">
        <f>IF(OR($I104="",$E104=0),0,IF(OR($J104&lt;AG$3,$I104&gt;AG$2),0,IF($K104=0,IF(AND($I104&gt;=AG$3,$I104&lt;=AG$2),$E104,0),$E104*NETWORKDAYS(MAX($I104,AG$3),MIN($J104,AG$2),Data!$K$4:$K$203)/$K104)))</f>
        <v>0</v>
      </c>
      <c r="AH104" s="166">
        <f>IF(OR($I104="",$E104=0),0,IF(OR($J104&lt;AH$3,$I104&gt;AH$2),0,IF($K104=0,IF(AND($I104&gt;=AH$3,$I104&lt;=AH$2),$E104,0),$E104*NETWORKDAYS(MAX($I104,AH$3),MIN($J104,AH$2),Data!$K$4:$K$203)/$K104)))</f>
        <v>0</v>
      </c>
      <c r="AI104" s="166">
        <f>SUM(W104:AH104)</f>
        <v>0</v>
      </c>
      <c r="BZ104" t="str">
        <f>IF(D104=1,IF(TRIM(INDEX(Charge!$K:$K,ROW()))&lt;&gt;"",TRIM(INDEX(Charge!$K:$K,ROW())),IF(TRIM(INDEX(Charge!$L:$L,ROW()))&lt;&gt;"",TRIM(INDEX(Charge!$L:$L,ROW())),"(non affecté)")),"")</f>
        <v/>
      </c>
      <c r="CA104" t="str">
        <f>IF(AND($CD$4&lt;&gt;"",BZ104=$CD$4),COUNTIFS($BZ$4:$BZ$503,$CD$4,$L$4:$L$503,"&lt;"&amp;L104)+1,"")</f>
        <v/>
      </c>
      <c r="EJ104" t="str">
        <f>TRIM(INDEX(Data!$E:$E,ROW()))</f>
        <v/>
      </c>
      <c r="EK104" t="str">
        <f>TRIM(INDEX(Data!$H:$H,ROW()))</f>
        <v/>
      </c>
      <c r="EM104" t="str">
        <f>IF(D104=1,IF(TRIM(INDEX(Charge!$K:$K,ROW()))&lt;&gt;"","Interne",IF(TRIM(INDEX(Charge!$L:$L,ROW()))&lt;&gt;"","Externe","Non affecté")),"")</f>
        <v/>
      </c>
      <c r="EN104" t="str">
        <f>IF(D104=1,LEFT(SUBSTITUTE(SUBSTITUTE(SUBSTITUTE(TRIM(SUBSTITUTE(INDEX(Charge!$B:$B,ROW()),CHAR(160)," "))&amp;" | "&amp;TRIM(SUBSTITUTE(INDEX(Charge!$C:$C,ROW()),CHAR(160)," "))&amp;" | "&amp;TRIM(SUBSTITUTE(INDEX(Charge!$D:$D,ROW()),CHAR(160)," ")),"~","-"),"*","+"),"?","!"),240),"")</f>
        <v/>
      </c>
      <c r="EO104">
        <f>IF(EN104="",0,IF(COUNTIF($EN$4:EN104,EN104)=1,1,0))</f>
        <v>0</v>
      </c>
      <c r="EP104" s="166" t="str">
        <f>IF(EO104=1,ROUND(SUMIF($EN$4:$EN$503,EN104,$E$4:$E$503),2),"")</f>
        <v/>
      </c>
      <c r="EQ104" t="str">
        <f>IF(EO104=1,COUNTIFS($EO$4:$EO$503,1,$EP$4:$EP$503,"&gt;"&amp;EP104)+COUNTIFS($EO$4:EO104,1,$EP$4:EP104,EP104),"")</f>
        <v/>
      </c>
      <c r="ER104" t="str">
        <f>IF(EO104=1,COUNTIFS($EN$4:$EN$503,EN104,$EM$4:$EM$503,"Interne",$FE$4:$FE$503,1),"")</f>
        <v/>
      </c>
      <c r="ES104" t="str">
        <f>IF(EO104=1,COUNTIFS($EN$4:$EN$503,EN104,$EM$4:$EM$503,"Externe",$FE$4:$FE$503,1),"")</f>
        <v/>
      </c>
      <c r="ET104" t="str">
        <f>IF(EO104=1,IF(ER104+ES104=0,"à affecter",IF(ER104=0,ES104&amp;" ext.",(ER104+ES104)&amp;IF(ES104&gt;0," dont "&amp;ES104&amp;" ext.",""))&amp;IF(COUNTIFS($EN$4:$EN$503,EN104,$EM$4:$EM$503,"Non affecté")&gt;0," + à affecter","")),"")</f>
        <v/>
      </c>
      <c r="EU104" s="170" t="str">
        <f>IF(EO104=1,IF(EP104&gt;0,SUMPRODUCT(($EN$4:$EN$503=EN104)*$E$4:$E$503*$C$4:$C$503)/EP104,AVERAGEIF($EN$4:$EN$503,EN104,$C$4:$C$503)),"")</f>
        <v/>
      </c>
      <c r="EV104" s="165">
        <f>IF(ISNUMBER(I104),I104,2958465)</f>
        <v>2958465.0</v>
      </c>
      <c r="EW104" s="165" t="str">
        <f>IF(EO104=1,SUMPRODUCT(MIN(($EN$4:$EN$503=EN104)*$EV$4:$EV$503+($EN$4:$EN$503&lt;&gt;EN104)*2958465)),"")</f>
        <v/>
      </c>
      <c r="EX104" s="165">
        <f>IF(AND(D104=1,ISNUMBER(INDEX(Charge!$F:$F,ROW()))),INDEX(Charge!$F:$F,ROW()),0)</f>
        <v>0.0</v>
      </c>
      <c r="EY104" s="165" t="str">
        <f>IF(EO104=1,SUMPRODUCT(MAX(($EN$4:$EN$503=EN104)*$EX$4:$EX$503)),"")</f>
        <v/>
      </c>
      <c r="FA104" t="str">
        <f>IF(101&lt;=$CD$23,INDEX($EJ$4:$EJ$203,101),IF(101-$CD$23&lt;=$CD$26,INDEX($EK$4:$EK$203,101-$CD$23),""))</f>
        <v/>
      </c>
      <c r="FB104" t="str">
        <f>IF(FA104="","",IF(101&lt;=$CD$23,"Interne","Externe"))</f>
        <v/>
      </c>
      <c r="FD104">
        <f>IF(AND(B104=1,TRIM(INDEX(Charge!$K:$K,ROW()))&lt;&gt;"",TRIM(INDEX(Charge!$L:$L,ROW()))&lt;&gt;""),1,0)</f>
        <v>0</v>
      </c>
      <c r="FE104">
        <f>IF(OR(EN104="",BZ104="(non affecté)"),0,IF(COUNTIFS($EN$4:EN104,EN104,$BZ$4:BZ104,BZ104)=1,1,0))</f>
        <v>0</v>
      </c>
    </row>
    <row r="105">
      <c r="A105">
        <f>ROW()</f>
        <v>105</v>
      </c>
      <c r="B105">
        <f>IF(TRIM(INDEX(Charge!$B:$B,ROW()))&lt;&gt;"",1,0)</f>
        <v>0</v>
      </c>
      <c r="C105">
        <f>IF(B105=1,MIN(1,MAX(0,N(INDEX(Charge!$O:$O,ROW())))),0)</f>
        <v>0</v>
      </c>
      <c r="D105">
        <f>IF(B105=1,IF(OR(p_Perimetre="Tous les projets",C105&lt;1),1,0),0)</f>
        <v>0</v>
      </c>
      <c r="E105">
        <f>IF(D105=1,MAX(0,N(INDEX(Charge!$M:$M,ROW()))),0)</f>
        <v>0</v>
      </c>
      <c r="F105" t="str">
        <f>IF(D105=1,IF(TRIM(INDEX(Charge!$A:$A,ROW()))="","(non renseigné)",TRIM(INDEX(Charge!$A:$A,ROW()))),"")</f>
        <v/>
      </c>
      <c r="G105" t="str">
        <f>IF(D105=1,TRIM(INDEX(Charge!$B:$B,ROW())),"")</f>
        <v/>
      </c>
      <c r="H105" t="str">
        <f>IF(D105=1,IF(TRIM(INDEX(Charge!$E:$E,ROW()))="","(non renseigné)",TRIM(INDEX(Charge!$E:$E,ROW()))),"")</f>
        <v/>
      </c>
      <c r="I105" s="165" t="str">
        <f>IF(AND(D105=1,ISNUMBER(INDEX(Charge!$N:$N,ROW()))),INDEX(Charge!$N:$N,ROW()),"")</f>
        <v/>
      </c>
      <c r="J105" s="165" t="str">
        <f>IF(I105="","",IF(AND(p_Repartition="Lissée jusqu'à la date de besoin",ISNUMBER(INDEX(Charge!$F:$F,ROW()))),IF(INDEX(Charge!$F:$F,ROW())&gt;=I105,INDEX(Charge!$F:$F,ROW()),I105),I105))</f>
        <v/>
      </c>
      <c r="K105" t="str">
        <f>IF(I105="","",NETWORKDAYS(I105,J105,Data!$K$4:$K$203))</f>
        <v/>
      </c>
      <c r="L105" t="str">
        <f>IF(D105=1,COUNTIFS($D$4:$D$503,1,$E$4:$E$503,"&gt;"&amp;E105)+COUNTIFS($D$4:$D105,1,$E$4:$E105,E105),"")</f>
        <v/>
      </c>
      <c r="M105">
        <f>IF(F105="",0,IF(COUNTIF($F$4:F105,F105)=1,1,0))</f>
        <v>0</v>
      </c>
      <c r="N105" t="str">
        <f>IF(M105=1,ROUND(SUMIF($F$4:$F$503,F105,$E$4:$E$503),2),"")</f>
        <v/>
      </c>
      <c r="O105" t="str">
        <f>IF(M105=1,COUNTIFS($M$4:$M$503,1,$N$4:$N$503,"&gt;"&amp;N105)+COUNTIFS($M$4:M105,1,$N$4:N105,N105),"")</f>
        <v/>
      </c>
      <c r="P105">
        <f>IF(G105="",0,IF(COUNTIF($G$4:G105,G105)=1,1,0))</f>
        <v>0</v>
      </c>
      <c r="Q105" t="str">
        <f>IF(P105=1,ROUND(SUMIF($G$4:$G$503,G105,$E$4:$E$503),2),"")</f>
        <v/>
      </c>
      <c r="R105" t="str">
        <f>IF(P105=1,COUNTIFS($P$4:$P$503,1,$Q$4:$Q$503,"&gt;"&amp;Q105)+COUNTIFS($P$4:P105,1,$Q$4:Q105,Q105),"")</f>
        <v/>
      </c>
      <c r="S105">
        <f>IF(H105="",0,IF(COUNTIF($H$4:H105,H105)=1,1,0))</f>
        <v>0</v>
      </c>
      <c r="T105" t="str">
        <f>IF(S105=1,ROUND(SUMIF($H$4:$H$503,H105,$E$4:$E$503),2),"")</f>
        <v/>
      </c>
      <c r="U105" t="str">
        <f>IF(S105=1,COUNTIFS($S$4:$S$503,1,$T$4:$T$503,"&gt;"&amp;T105)+COUNTIFS($S$4:S105,1,$T$4:T105,T105),"")</f>
        <v/>
      </c>
      <c r="V105" t="str">
        <f>IF(D105=1,MIN(INDEX($R$4:$R$503,MATCH(G105,$G$4:$G$503,0)),IF($AL$7&gt;9,9,999)),"")</f>
        <v/>
      </c>
      <c r="W105" s="166">
        <f>IF(OR($I105="",$E105=0),0,IF(OR($J105&lt;W$3,$I105&gt;W$2),0,IF($K105=0,IF(AND($I105&gt;=W$3,$I105&lt;=W$2),$E105,0),$E105*NETWORKDAYS(MAX($I105,W$3),MIN($J105,W$2),Data!$K$4:$K$203)/$K105)))</f>
        <v>0</v>
      </c>
      <c r="X105" s="166">
        <f>IF(OR($I105="",$E105=0),0,IF(OR($J105&lt;X$3,$I105&gt;X$2),0,IF($K105=0,IF(AND($I105&gt;=X$3,$I105&lt;=X$2),$E105,0),$E105*NETWORKDAYS(MAX($I105,X$3),MIN($J105,X$2),Data!$K$4:$K$203)/$K105)))</f>
        <v>0</v>
      </c>
      <c r="Y105" s="166">
        <f>IF(OR($I105="",$E105=0),0,IF(OR($J105&lt;Y$3,$I105&gt;Y$2),0,IF($K105=0,IF(AND($I105&gt;=Y$3,$I105&lt;=Y$2),$E105,0),$E105*NETWORKDAYS(MAX($I105,Y$3),MIN($J105,Y$2),Data!$K$4:$K$203)/$K105)))</f>
        <v>0</v>
      </c>
      <c r="Z105" s="166">
        <f>IF(OR($I105="",$E105=0),0,IF(OR($J105&lt;Z$3,$I105&gt;Z$2),0,IF($K105=0,IF(AND($I105&gt;=Z$3,$I105&lt;=Z$2),$E105,0),$E105*NETWORKDAYS(MAX($I105,Z$3),MIN($J105,Z$2),Data!$K$4:$K$203)/$K105)))</f>
        <v>0</v>
      </c>
      <c r="AA105" s="166">
        <f>IF(OR($I105="",$E105=0),0,IF(OR($J105&lt;AA$3,$I105&gt;AA$2),0,IF($K105=0,IF(AND($I105&gt;=AA$3,$I105&lt;=AA$2),$E105,0),$E105*NETWORKDAYS(MAX($I105,AA$3),MIN($J105,AA$2),Data!$K$4:$K$203)/$K105)))</f>
        <v>0</v>
      </c>
      <c r="AB105" s="166">
        <f>IF(OR($I105="",$E105=0),0,IF(OR($J105&lt;AB$3,$I105&gt;AB$2),0,IF($K105=0,IF(AND($I105&gt;=AB$3,$I105&lt;=AB$2),$E105,0),$E105*NETWORKDAYS(MAX($I105,AB$3),MIN($J105,AB$2),Data!$K$4:$K$203)/$K105)))</f>
        <v>0</v>
      </c>
      <c r="AC105" s="166">
        <f>IF(OR($I105="",$E105=0),0,IF(OR($J105&lt;AC$3,$I105&gt;AC$2),0,IF($K105=0,IF(AND($I105&gt;=AC$3,$I105&lt;=AC$2),$E105,0),$E105*NETWORKDAYS(MAX($I105,AC$3),MIN($J105,AC$2),Data!$K$4:$K$203)/$K105)))</f>
        <v>0</v>
      </c>
      <c r="AD105" s="166">
        <f>IF(OR($I105="",$E105=0),0,IF(OR($J105&lt;AD$3,$I105&gt;AD$2),0,IF($K105=0,IF(AND($I105&gt;=AD$3,$I105&lt;=AD$2),$E105,0),$E105*NETWORKDAYS(MAX($I105,AD$3),MIN($J105,AD$2),Data!$K$4:$K$203)/$K105)))</f>
        <v>0</v>
      </c>
      <c r="AE105" s="166">
        <f>IF(OR($I105="",$E105=0),0,IF(OR($J105&lt;AE$3,$I105&gt;AE$2),0,IF($K105=0,IF(AND($I105&gt;=AE$3,$I105&lt;=AE$2),$E105,0),$E105*NETWORKDAYS(MAX($I105,AE$3),MIN($J105,AE$2),Data!$K$4:$K$203)/$K105)))</f>
        <v>0</v>
      </c>
      <c r="AF105" s="166">
        <f>IF(OR($I105="",$E105=0),0,IF(OR($J105&lt;AF$3,$I105&gt;AF$2),0,IF($K105=0,IF(AND($I105&gt;=AF$3,$I105&lt;=AF$2),$E105,0),$E105*NETWORKDAYS(MAX($I105,AF$3),MIN($J105,AF$2),Data!$K$4:$K$203)/$K105)))</f>
        <v>0</v>
      </c>
      <c r="AG105" s="166">
        <f>IF(OR($I105="",$E105=0),0,IF(OR($J105&lt;AG$3,$I105&gt;AG$2),0,IF($K105=0,IF(AND($I105&gt;=AG$3,$I105&lt;=AG$2),$E105,0),$E105*NETWORKDAYS(MAX($I105,AG$3),MIN($J105,AG$2),Data!$K$4:$K$203)/$K105)))</f>
        <v>0</v>
      </c>
      <c r="AH105" s="166">
        <f>IF(OR($I105="",$E105=0),0,IF(OR($J105&lt;AH$3,$I105&gt;AH$2),0,IF($K105=0,IF(AND($I105&gt;=AH$3,$I105&lt;=AH$2),$E105,0),$E105*NETWORKDAYS(MAX($I105,AH$3),MIN($J105,AH$2),Data!$K$4:$K$203)/$K105)))</f>
        <v>0</v>
      </c>
      <c r="AI105" s="166">
        <f>SUM(W105:AH105)</f>
        <v>0</v>
      </c>
      <c r="BZ105" t="str">
        <f>IF(D105=1,IF(TRIM(INDEX(Charge!$K:$K,ROW()))&lt;&gt;"",TRIM(INDEX(Charge!$K:$K,ROW())),IF(TRIM(INDEX(Charge!$L:$L,ROW()))&lt;&gt;"",TRIM(INDEX(Charge!$L:$L,ROW())),"(non affecté)")),"")</f>
        <v/>
      </c>
      <c r="CA105" t="str">
        <f>IF(AND($CD$4&lt;&gt;"",BZ105=$CD$4),COUNTIFS($BZ$4:$BZ$503,$CD$4,$L$4:$L$503,"&lt;"&amp;L105)+1,"")</f>
        <v/>
      </c>
      <c r="EJ105" t="str">
        <f>TRIM(INDEX(Data!$E:$E,ROW()))</f>
        <v/>
      </c>
      <c r="EK105" t="str">
        <f>TRIM(INDEX(Data!$H:$H,ROW()))</f>
        <v/>
      </c>
      <c r="EM105" t="str">
        <f>IF(D105=1,IF(TRIM(INDEX(Charge!$K:$K,ROW()))&lt;&gt;"","Interne",IF(TRIM(INDEX(Charge!$L:$L,ROW()))&lt;&gt;"","Externe","Non affecté")),"")</f>
        <v/>
      </c>
      <c r="EN105" t="str">
        <f>IF(D105=1,LEFT(SUBSTITUTE(SUBSTITUTE(SUBSTITUTE(TRIM(SUBSTITUTE(INDEX(Charge!$B:$B,ROW()),CHAR(160)," "))&amp;" | "&amp;TRIM(SUBSTITUTE(INDEX(Charge!$C:$C,ROW()),CHAR(160)," "))&amp;" | "&amp;TRIM(SUBSTITUTE(INDEX(Charge!$D:$D,ROW()),CHAR(160)," ")),"~","-"),"*","+"),"?","!"),240),"")</f>
        <v/>
      </c>
      <c r="EO105">
        <f>IF(EN105="",0,IF(COUNTIF($EN$4:EN105,EN105)=1,1,0))</f>
        <v>0</v>
      </c>
      <c r="EP105" s="166" t="str">
        <f>IF(EO105=1,ROUND(SUMIF($EN$4:$EN$503,EN105,$E$4:$E$503),2),"")</f>
        <v/>
      </c>
      <c r="EQ105" t="str">
        <f>IF(EO105=1,COUNTIFS($EO$4:$EO$503,1,$EP$4:$EP$503,"&gt;"&amp;EP105)+COUNTIFS($EO$4:EO105,1,$EP$4:EP105,EP105),"")</f>
        <v/>
      </c>
      <c r="ER105" t="str">
        <f>IF(EO105=1,COUNTIFS($EN$4:$EN$503,EN105,$EM$4:$EM$503,"Interne",$FE$4:$FE$503,1),"")</f>
        <v/>
      </c>
      <c r="ES105" t="str">
        <f>IF(EO105=1,COUNTIFS($EN$4:$EN$503,EN105,$EM$4:$EM$503,"Externe",$FE$4:$FE$503,1),"")</f>
        <v/>
      </c>
      <c r="ET105" t="str">
        <f>IF(EO105=1,IF(ER105+ES105=0,"à affecter",IF(ER105=0,ES105&amp;" ext.",(ER105+ES105)&amp;IF(ES105&gt;0," dont "&amp;ES105&amp;" ext.",""))&amp;IF(COUNTIFS($EN$4:$EN$503,EN105,$EM$4:$EM$503,"Non affecté")&gt;0," + à affecter","")),"")</f>
        <v/>
      </c>
      <c r="EU105" s="170" t="str">
        <f>IF(EO105=1,IF(EP105&gt;0,SUMPRODUCT(($EN$4:$EN$503=EN105)*$E$4:$E$503*$C$4:$C$503)/EP105,AVERAGEIF($EN$4:$EN$503,EN105,$C$4:$C$503)),"")</f>
        <v/>
      </c>
      <c r="EV105" s="165">
        <f>IF(ISNUMBER(I105),I105,2958465)</f>
        <v>2958465.0</v>
      </c>
      <c r="EW105" s="165" t="str">
        <f>IF(EO105=1,SUMPRODUCT(MIN(($EN$4:$EN$503=EN105)*$EV$4:$EV$503+($EN$4:$EN$503&lt;&gt;EN105)*2958465)),"")</f>
        <v/>
      </c>
      <c r="EX105" s="165">
        <f>IF(AND(D105=1,ISNUMBER(INDEX(Charge!$F:$F,ROW()))),INDEX(Charge!$F:$F,ROW()),0)</f>
        <v>0.0</v>
      </c>
      <c r="EY105" s="165" t="str">
        <f>IF(EO105=1,SUMPRODUCT(MAX(($EN$4:$EN$503=EN105)*$EX$4:$EX$503)),"")</f>
        <v/>
      </c>
      <c r="FA105" t="str">
        <f>IF(102&lt;=$CD$23,INDEX($EJ$4:$EJ$203,102),IF(102-$CD$23&lt;=$CD$26,INDEX($EK$4:$EK$203,102-$CD$23),""))</f>
        <v/>
      </c>
      <c r="FB105" t="str">
        <f>IF(FA105="","",IF(102&lt;=$CD$23,"Interne","Externe"))</f>
        <v/>
      </c>
      <c r="FD105">
        <f>IF(AND(B105=1,TRIM(INDEX(Charge!$K:$K,ROW()))&lt;&gt;"",TRIM(INDEX(Charge!$L:$L,ROW()))&lt;&gt;""),1,0)</f>
        <v>0</v>
      </c>
      <c r="FE105">
        <f>IF(OR(EN105="",BZ105="(non affecté)"),0,IF(COUNTIFS($EN$4:EN105,EN105,$BZ$4:BZ105,BZ105)=1,1,0))</f>
        <v>0</v>
      </c>
    </row>
    <row r="106">
      <c r="A106">
        <f>ROW()</f>
        <v>106</v>
      </c>
      <c r="B106">
        <f>IF(TRIM(INDEX(Charge!$B:$B,ROW()))&lt;&gt;"",1,0)</f>
        <v>0</v>
      </c>
      <c r="C106">
        <f>IF(B106=1,MIN(1,MAX(0,N(INDEX(Charge!$O:$O,ROW())))),0)</f>
        <v>0</v>
      </c>
      <c r="D106">
        <f>IF(B106=1,IF(OR(p_Perimetre="Tous les projets",C106&lt;1),1,0),0)</f>
        <v>0</v>
      </c>
      <c r="E106">
        <f>IF(D106=1,MAX(0,N(INDEX(Charge!$M:$M,ROW()))),0)</f>
        <v>0</v>
      </c>
      <c r="F106" t="str">
        <f>IF(D106=1,IF(TRIM(INDEX(Charge!$A:$A,ROW()))="","(non renseigné)",TRIM(INDEX(Charge!$A:$A,ROW()))),"")</f>
        <v/>
      </c>
      <c r="G106" t="str">
        <f>IF(D106=1,TRIM(INDEX(Charge!$B:$B,ROW())),"")</f>
        <v/>
      </c>
      <c r="H106" t="str">
        <f>IF(D106=1,IF(TRIM(INDEX(Charge!$E:$E,ROW()))="","(non renseigné)",TRIM(INDEX(Charge!$E:$E,ROW()))),"")</f>
        <v/>
      </c>
      <c r="I106" s="165" t="str">
        <f>IF(AND(D106=1,ISNUMBER(INDEX(Charge!$N:$N,ROW()))),INDEX(Charge!$N:$N,ROW()),"")</f>
        <v/>
      </c>
      <c r="J106" s="165" t="str">
        <f>IF(I106="","",IF(AND(p_Repartition="Lissée jusqu'à la date de besoin",ISNUMBER(INDEX(Charge!$F:$F,ROW()))),IF(INDEX(Charge!$F:$F,ROW())&gt;=I106,INDEX(Charge!$F:$F,ROW()),I106),I106))</f>
        <v/>
      </c>
      <c r="K106" t="str">
        <f>IF(I106="","",NETWORKDAYS(I106,J106,Data!$K$4:$K$203))</f>
        <v/>
      </c>
      <c r="L106" t="str">
        <f>IF(D106=1,COUNTIFS($D$4:$D$503,1,$E$4:$E$503,"&gt;"&amp;E106)+COUNTIFS($D$4:$D106,1,$E$4:$E106,E106),"")</f>
        <v/>
      </c>
      <c r="M106">
        <f>IF(F106="",0,IF(COUNTIF($F$4:F106,F106)=1,1,0))</f>
        <v>0</v>
      </c>
      <c r="N106" t="str">
        <f>IF(M106=1,ROUND(SUMIF($F$4:$F$503,F106,$E$4:$E$503),2),"")</f>
        <v/>
      </c>
      <c r="O106" t="str">
        <f>IF(M106=1,COUNTIFS($M$4:$M$503,1,$N$4:$N$503,"&gt;"&amp;N106)+COUNTIFS($M$4:M106,1,$N$4:N106,N106),"")</f>
        <v/>
      </c>
      <c r="P106">
        <f>IF(G106="",0,IF(COUNTIF($G$4:G106,G106)=1,1,0))</f>
        <v>0</v>
      </c>
      <c r="Q106" t="str">
        <f>IF(P106=1,ROUND(SUMIF($G$4:$G$503,G106,$E$4:$E$503),2),"")</f>
        <v/>
      </c>
      <c r="R106" t="str">
        <f>IF(P106=1,COUNTIFS($P$4:$P$503,1,$Q$4:$Q$503,"&gt;"&amp;Q106)+COUNTIFS($P$4:P106,1,$Q$4:Q106,Q106),"")</f>
        <v/>
      </c>
      <c r="S106">
        <f>IF(H106="",0,IF(COUNTIF($H$4:H106,H106)=1,1,0))</f>
        <v>0</v>
      </c>
      <c r="T106" t="str">
        <f>IF(S106=1,ROUND(SUMIF($H$4:$H$503,H106,$E$4:$E$503),2),"")</f>
        <v/>
      </c>
      <c r="U106" t="str">
        <f>IF(S106=1,COUNTIFS($S$4:$S$503,1,$T$4:$T$503,"&gt;"&amp;T106)+COUNTIFS($S$4:S106,1,$T$4:T106,T106),"")</f>
        <v/>
      </c>
      <c r="V106" t="str">
        <f>IF(D106=1,MIN(INDEX($R$4:$R$503,MATCH(G106,$G$4:$G$503,0)),IF($AL$7&gt;9,9,999)),"")</f>
        <v/>
      </c>
      <c r="W106" s="166">
        <f>IF(OR($I106="",$E106=0),0,IF(OR($J106&lt;W$3,$I106&gt;W$2),0,IF($K106=0,IF(AND($I106&gt;=W$3,$I106&lt;=W$2),$E106,0),$E106*NETWORKDAYS(MAX($I106,W$3),MIN($J106,W$2),Data!$K$4:$K$203)/$K106)))</f>
        <v>0</v>
      </c>
      <c r="X106" s="166">
        <f>IF(OR($I106="",$E106=0),0,IF(OR($J106&lt;X$3,$I106&gt;X$2),0,IF($K106=0,IF(AND($I106&gt;=X$3,$I106&lt;=X$2),$E106,0),$E106*NETWORKDAYS(MAX($I106,X$3),MIN($J106,X$2),Data!$K$4:$K$203)/$K106)))</f>
        <v>0</v>
      </c>
      <c r="Y106" s="166">
        <f>IF(OR($I106="",$E106=0),0,IF(OR($J106&lt;Y$3,$I106&gt;Y$2),0,IF($K106=0,IF(AND($I106&gt;=Y$3,$I106&lt;=Y$2),$E106,0),$E106*NETWORKDAYS(MAX($I106,Y$3),MIN($J106,Y$2),Data!$K$4:$K$203)/$K106)))</f>
        <v>0</v>
      </c>
      <c r="Z106" s="166">
        <f>IF(OR($I106="",$E106=0),0,IF(OR($J106&lt;Z$3,$I106&gt;Z$2),0,IF($K106=0,IF(AND($I106&gt;=Z$3,$I106&lt;=Z$2),$E106,0),$E106*NETWORKDAYS(MAX($I106,Z$3),MIN($J106,Z$2),Data!$K$4:$K$203)/$K106)))</f>
        <v>0</v>
      </c>
      <c r="AA106" s="166">
        <f>IF(OR($I106="",$E106=0),0,IF(OR($J106&lt;AA$3,$I106&gt;AA$2),0,IF($K106=0,IF(AND($I106&gt;=AA$3,$I106&lt;=AA$2),$E106,0),$E106*NETWORKDAYS(MAX($I106,AA$3),MIN($J106,AA$2),Data!$K$4:$K$203)/$K106)))</f>
        <v>0</v>
      </c>
      <c r="AB106" s="166">
        <f>IF(OR($I106="",$E106=0),0,IF(OR($J106&lt;AB$3,$I106&gt;AB$2),0,IF($K106=0,IF(AND($I106&gt;=AB$3,$I106&lt;=AB$2),$E106,0),$E106*NETWORKDAYS(MAX($I106,AB$3),MIN($J106,AB$2),Data!$K$4:$K$203)/$K106)))</f>
        <v>0</v>
      </c>
      <c r="AC106" s="166">
        <f>IF(OR($I106="",$E106=0),0,IF(OR($J106&lt;AC$3,$I106&gt;AC$2),0,IF($K106=0,IF(AND($I106&gt;=AC$3,$I106&lt;=AC$2),$E106,0),$E106*NETWORKDAYS(MAX($I106,AC$3),MIN($J106,AC$2),Data!$K$4:$K$203)/$K106)))</f>
        <v>0</v>
      </c>
      <c r="AD106" s="166">
        <f>IF(OR($I106="",$E106=0),0,IF(OR($J106&lt;AD$3,$I106&gt;AD$2),0,IF($K106=0,IF(AND($I106&gt;=AD$3,$I106&lt;=AD$2),$E106,0),$E106*NETWORKDAYS(MAX($I106,AD$3),MIN($J106,AD$2),Data!$K$4:$K$203)/$K106)))</f>
        <v>0</v>
      </c>
      <c r="AE106" s="166">
        <f>IF(OR($I106="",$E106=0),0,IF(OR($J106&lt;AE$3,$I106&gt;AE$2),0,IF($K106=0,IF(AND($I106&gt;=AE$3,$I106&lt;=AE$2),$E106,0),$E106*NETWORKDAYS(MAX($I106,AE$3),MIN($J106,AE$2),Data!$K$4:$K$203)/$K106)))</f>
        <v>0</v>
      </c>
      <c r="AF106" s="166">
        <f>IF(OR($I106="",$E106=0),0,IF(OR($J106&lt;AF$3,$I106&gt;AF$2),0,IF($K106=0,IF(AND($I106&gt;=AF$3,$I106&lt;=AF$2),$E106,0),$E106*NETWORKDAYS(MAX($I106,AF$3),MIN($J106,AF$2),Data!$K$4:$K$203)/$K106)))</f>
        <v>0</v>
      </c>
      <c r="AG106" s="166">
        <f>IF(OR($I106="",$E106=0),0,IF(OR($J106&lt;AG$3,$I106&gt;AG$2),0,IF($K106=0,IF(AND($I106&gt;=AG$3,$I106&lt;=AG$2),$E106,0),$E106*NETWORKDAYS(MAX($I106,AG$3),MIN($J106,AG$2),Data!$K$4:$K$203)/$K106)))</f>
        <v>0</v>
      </c>
      <c r="AH106" s="166">
        <f>IF(OR($I106="",$E106=0),0,IF(OR($J106&lt;AH$3,$I106&gt;AH$2),0,IF($K106=0,IF(AND($I106&gt;=AH$3,$I106&lt;=AH$2),$E106,0),$E106*NETWORKDAYS(MAX($I106,AH$3),MIN($J106,AH$2),Data!$K$4:$K$203)/$K106)))</f>
        <v>0</v>
      </c>
      <c r="AI106" s="166">
        <f>SUM(W106:AH106)</f>
        <v>0</v>
      </c>
      <c r="BZ106" t="str">
        <f>IF(D106=1,IF(TRIM(INDEX(Charge!$K:$K,ROW()))&lt;&gt;"",TRIM(INDEX(Charge!$K:$K,ROW())),IF(TRIM(INDEX(Charge!$L:$L,ROW()))&lt;&gt;"",TRIM(INDEX(Charge!$L:$L,ROW())),"(non affecté)")),"")</f>
        <v/>
      </c>
      <c r="CA106" t="str">
        <f>IF(AND($CD$4&lt;&gt;"",BZ106=$CD$4),COUNTIFS($BZ$4:$BZ$503,$CD$4,$L$4:$L$503,"&lt;"&amp;L106)+1,"")</f>
        <v/>
      </c>
      <c r="EJ106" t="str">
        <f>TRIM(INDEX(Data!$E:$E,ROW()))</f>
        <v/>
      </c>
      <c r="EK106" t="str">
        <f>TRIM(INDEX(Data!$H:$H,ROW()))</f>
        <v/>
      </c>
      <c r="EM106" t="str">
        <f>IF(D106=1,IF(TRIM(INDEX(Charge!$K:$K,ROW()))&lt;&gt;"","Interne",IF(TRIM(INDEX(Charge!$L:$L,ROW()))&lt;&gt;"","Externe","Non affecté")),"")</f>
        <v/>
      </c>
      <c r="EN106" t="str">
        <f>IF(D106=1,LEFT(SUBSTITUTE(SUBSTITUTE(SUBSTITUTE(TRIM(SUBSTITUTE(INDEX(Charge!$B:$B,ROW()),CHAR(160)," "))&amp;" | "&amp;TRIM(SUBSTITUTE(INDEX(Charge!$C:$C,ROW()),CHAR(160)," "))&amp;" | "&amp;TRIM(SUBSTITUTE(INDEX(Charge!$D:$D,ROW()),CHAR(160)," ")),"~","-"),"*","+"),"?","!"),240),"")</f>
        <v/>
      </c>
      <c r="EO106">
        <f>IF(EN106="",0,IF(COUNTIF($EN$4:EN106,EN106)=1,1,0))</f>
        <v>0</v>
      </c>
      <c r="EP106" s="166" t="str">
        <f>IF(EO106=1,ROUND(SUMIF($EN$4:$EN$503,EN106,$E$4:$E$503),2),"")</f>
        <v/>
      </c>
      <c r="EQ106" t="str">
        <f>IF(EO106=1,COUNTIFS($EO$4:$EO$503,1,$EP$4:$EP$503,"&gt;"&amp;EP106)+COUNTIFS($EO$4:EO106,1,$EP$4:EP106,EP106),"")</f>
        <v/>
      </c>
      <c r="ER106" t="str">
        <f>IF(EO106=1,COUNTIFS($EN$4:$EN$503,EN106,$EM$4:$EM$503,"Interne",$FE$4:$FE$503,1),"")</f>
        <v/>
      </c>
      <c r="ES106" t="str">
        <f>IF(EO106=1,COUNTIFS($EN$4:$EN$503,EN106,$EM$4:$EM$503,"Externe",$FE$4:$FE$503,1),"")</f>
        <v/>
      </c>
      <c r="ET106" t="str">
        <f>IF(EO106=1,IF(ER106+ES106=0,"à affecter",IF(ER106=0,ES106&amp;" ext.",(ER106+ES106)&amp;IF(ES106&gt;0," dont "&amp;ES106&amp;" ext.",""))&amp;IF(COUNTIFS($EN$4:$EN$503,EN106,$EM$4:$EM$503,"Non affecté")&gt;0," + à affecter","")),"")</f>
        <v/>
      </c>
      <c r="EU106" s="170" t="str">
        <f>IF(EO106=1,IF(EP106&gt;0,SUMPRODUCT(($EN$4:$EN$503=EN106)*$E$4:$E$503*$C$4:$C$503)/EP106,AVERAGEIF($EN$4:$EN$503,EN106,$C$4:$C$503)),"")</f>
        <v/>
      </c>
      <c r="EV106" s="165">
        <f>IF(ISNUMBER(I106),I106,2958465)</f>
        <v>2958465.0</v>
      </c>
      <c r="EW106" s="165" t="str">
        <f>IF(EO106=1,SUMPRODUCT(MIN(($EN$4:$EN$503=EN106)*$EV$4:$EV$503+($EN$4:$EN$503&lt;&gt;EN106)*2958465)),"")</f>
        <v/>
      </c>
      <c r="EX106" s="165">
        <f>IF(AND(D106=1,ISNUMBER(INDEX(Charge!$F:$F,ROW()))),INDEX(Charge!$F:$F,ROW()),0)</f>
        <v>0.0</v>
      </c>
      <c r="EY106" s="165" t="str">
        <f>IF(EO106=1,SUMPRODUCT(MAX(($EN$4:$EN$503=EN106)*$EX$4:$EX$503)),"")</f>
        <v/>
      </c>
      <c r="FA106" t="str">
        <f>IF(103&lt;=$CD$23,INDEX($EJ$4:$EJ$203,103),IF(103-$CD$23&lt;=$CD$26,INDEX($EK$4:$EK$203,103-$CD$23),""))</f>
        <v/>
      </c>
      <c r="FB106" t="str">
        <f>IF(FA106="","",IF(103&lt;=$CD$23,"Interne","Externe"))</f>
        <v/>
      </c>
      <c r="FD106">
        <f>IF(AND(B106=1,TRIM(INDEX(Charge!$K:$K,ROW()))&lt;&gt;"",TRIM(INDEX(Charge!$L:$L,ROW()))&lt;&gt;""),1,0)</f>
        <v>0</v>
      </c>
      <c r="FE106">
        <f>IF(OR(EN106="",BZ106="(non affecté)"),0,IF(COUNTIFS($EN$4:EN106,EN106,$BZ$4:BZ106,BZ106)=1,1,0))</f>
        <v>0</v>
      </c>
    </row>
    <row r="107">
      <c r="A107">
        <f>ROW()</f>
        <v>107</v>
      </c>
      <c r="B107">
        <f>IF(TRIM(INDEX(Charge!$B:$B,ROW()))&lt;&gt;"",1,0)</f>
        <v>0</v>
      </c>
      <c r="C107">
        <f>IF(B107=1,MIN(1,MAX(0,N(INDEX(Charge!$O:$O,ROW())))),0)</f>
        <v>0</v>
      </c>
      <c r="D107">
        <f>IF(B107=1,IF(OR(p_Perimetre="Tous les projets",C107&lt;1),1,0),0)</f>
        <v>0</v>
      </c>
      <c r="E107">
        <f>IF(D107=1,MAX(0,N(INDEX(Charge!$M:$M,ROW()))),0)</f>
        <v>0</v>
      </c>
      <c r="F107" t="str">
        <f>IF(D107=1,IF(TRIM(INDEX(Charge!$A:$A,ROW()))="","(non renseigné)",TRIM(INDEX(Charge!$A:$A,ROW()))),"")</f>
        <v/>
      </c>
      <c r="G107" t="str">
        <f>IF(D107=1,TRIM(INDEX(Charge!$B:$B,ROW())),"")</f>
        <v/>
      </c>
      <c r="H107" t="str">
        <f>IF(D107=1,IF(TRIM(INDEX(Charge!$E:$E,ROW()))="","(non renseigné)",TRIM(INDEX(Charge!$E:$E,ROW()))),"")</f>
        <v/>
      </c>
      <c r="I107" s="165" t="str">
        <f>IF(AND(D107=1,ISNUMBER(INDEX(Charge!$N:$N,ROW()))),INDEX(Charge!$N:$N,ROW()),"")</f>
        <v/>
      </c>
      <c r="J107" s="165" t="str">
        <f>IF(I107="","",IF(AND(p_Repartition="Lissée jusqu'à la date de besoin",ISNUMBER(INDEX(Charge!$F:$F,ROW()))),IF(INDEX(Charge!$F:$F,ROW())&gt;=I107,INDEX(Charge!$F:$F,ROW()),I107),I107))</f>
        <v/>
      </c>
      <c r="K107" t="str">
        <f>IF(I107="","",NETWORKDAYS(I107,J107,Data!$K$4:$K$203))</f>
        <v/>
      </c>
      <c r="L107" t="str">
        <f>IF(D107=1,COUNTIFS($D$4:$D$503,1,$E$4:$E$503,"&gt;"&amp;E107)+COUNTIFS($D$4:$D107,1,$E$4:$E107,E107),"")</f>
        <v/>
      </c>
      <c r="M107">
        <f>IF(F107="",0,IF(COUNTIF($F$4:F107,F107)=1,1,0))</f>
        <v>0</v>
      </c>
      <c r="N107" t="str">
        <f>IF(M107=1,ROUND(SUMIF($F$4:$F$503,F107,$E$4:$E$503),2),"")</f>
        <v/>
      </c>
      <c r="O107" t="str">
        <f>IF(M107=1,COUNTIFS($M$4:$M$503,1,$N$4:$N$503,"&gt;"&amp;N107)+COUNTIFS($M$4:M107,1,$N$4:N107,N107),"")</f>
        <v/>
      </c>
      <c r="P107">
        <f>IF(G107="",0,IF(COUNTIF($G$4:G107,G107)=1,1,0))</f>
        <v>0</v>
      </c>
      <c r="Q107" t="str">
        <f>IF(P107=1,ROUND(SUMIF($G$4:$G$503,G107,$E$4:$E$503),2),"")</f>
        <v/>
      </c>
      <c r="R107" t="str">
        <f>IF(P107=1,COUNTIFS($P$4:$P$503,1,$Q$4:$Q$503,"&gt;"&amp;Q107)+COUNTIFS($P$4:P107,1,$Q$4:Q107,Q107),"")</f>
        <v/>
      </c>
      <c r="S107">
        <f>IF(H107="",0,IF(COUNTIF($H$4:H107,H107)=1,1,0))</f>
        <v>0</v>
      </c>
      <c r="T107" t="str">
        <f>IF(S107=1,ROUND(SUMIF($H$4:$H$503,H107,$E$4:$E$503),2),"")</f>
        <v/>
      </c>
      <c r="U107" t="str">
        <f>IF(S107=1,COUNTIFS($S$4:$S$503,1,$T$4:$T$503,"&gt;"&amp;T107)+COUNTIFS($S$4:S107,1,$T$4:T107,T107),"")</f>
        <v/>
      </c>
      <c r="V107" t="str">
        <f>IF(D107=1,MIN(INDEX($R$4:$R$503,MATCH(G107,$G$4:$G$503,0)),IF($AL$7&gt;9,9,999)),"")</f>
        <v/>
      </c>
      <c r="W107" s="166">
        <f>IF(OR($I107="",$E107=0),0,IF(OR($J107&lt;W$3,$I107&gt;W$2),0,IF($K107=0,IF(AND($I107&gt;=W$3,$I107&lt;=W$2),$E107,0),$E107*NETWORKDAYS(MAX($I107,W$3),MIN($J107,W$2),Data!$K$4:$K$203)/$K107)))</f>
        <v>0</v>
      </c>
      <c r="X107" s="166">
        <f>IF(OR($I107="",$E107=0),0,IF(OR($J107&lt;X$3,$I107&gt;X$2),0,IF($K107=0,IF(AND($I107&gt;=X$3,$I107&lt;=X$2),$E107,0),$E107*NETWORKDAYS(MAX($I107,X$3),MIN($J107,X$2),Data!$K$4:$K$203)/$K107)))</f>
        <v>0</v>
      </c>
      <c r="Y107" s="166">
        <f>IF(OR($I107="",$E107=0),0,IF(OR($J107&lt;Y$3,$I107&gt;Y$2),0,IF($K107=0,IF(AND($I107&gt;=Y$3,$I107&lt;=Y$2),$E107,0),$E107*NETWORKDAYS(MAX($I107,Y$3),MIN($J107,Y$2),Data!$K$4:$K$203)/$K107)))</f>
        <v>0</v>
      </c>
      <c r="Z107" s="166">
        <f>IF(OR($I107="",$E107=0),0,IF(OR($J107&lt;Z$3,$I107&gt;Z$2),0,IF($K107=0,IF(AND($I107&gt;=Z$3,$I107&lt;=Z$2),$E107,0),$E107*NETWORKDAYS(MAX($I107,Z$3),MIN($J107,Z$2),Data!$K$4:$K$203)/$K107)))</f>
        <v>0</v>
      </c>
      <c r="AA107" s="166">
        <f>IF(OR($I107="",$E107=0),0,IF(OR($J107&lt;AA$3,$I107&gt;AA$2),0,IF($K107=0,IF(AND($I107&gt;=AA$3,$I107&lt;=AA$2),$E107,0),$E107*NETWORKDAYS(MAX($I107,AA$3),MIN($J107,AA$2),Data!$K$4:$K$203)/$K107)))</f>
        <v>0</v>
      </c>
      <c r="AB107" s="166">
        <f>IF(OR($I107="",$E107=0),0,IF(OR($J107&lt;AB$3,$I107&gt;AB$2),0,IF($K107=0,IF(AND($I107&gt;=AB$3,$I107&lt;=AB$2),$E107,0),$E107*NETWORKDAYS(MAX($I107,AB$3),MIN($J107,AB$2),Data!$K$4:$K$203)/$K107)))</f>
        <v>0</v>
      </c>
      <c r="AC107" s="166">
        <f>IF(OR($I107="",$E107=0),0,IF(OR($J107&lt;AC$3,$I107&gt;AC$2),0,IF($K107=0,IF(AND($I107&gt;=AC$3,$I107&lt;=AC$2),$E107,0),$E107*NETWORKDAYS(MAX($I107,AC$3),MIN($J107,AC$2),Data!$K$4:$K$203)/$K107)))</f>
        <v>0</v>
      </c>
      <c r="AD107" s="166">
        <f>IF(OR($I107="",$E107=0),0,IF(OR($J107&lt;AD$3,$I107&gt;AD$2),0,IF($K107=0,IF(AND($I107&gt;=AD$3,$I107&lt;=AD$2),$E107,0),$E107*NETWORKDAYS(MAX($I107,AD$3),MIN($J107,AD$2),Data!$K$4:$K$203)/$K107)))</f>
        <v>0</v>
      </c>
      <c r="AE107" s="166">
        <f>IF(OR($I107="",$E107=0),0,IF(OR($J107&lt;AE$3,$I107&gt;AE$2),0,IF($K107=0,IF(AND($I107&gt;=AE$3,$I107&lt;=AE$2),$E107,0),$E107*NETWORKDAYS(MAX($I107,AE$3),MIN($J107,AE$2),Data!$K$4:$K$203)/$K107)))</f>
        <v>0</v>
      </c>
      <c r="AF107" s="166">
        <f>IF(OR($I107="",$E107=0),0,IF(OR($J107&lt;AF$3,$I107&gt;AF$2),0,IF($K107=0,IF(AND($I107&gt;=AF$3,$I107&lt;=AF$2),$E107,0),$E107*NETWORKDAYS(MAX($I107,AF$3),MIN($J107,AF$2),Data!$K$4:$K$203)/$K107)))</f>
        <v>0</v>
      </c>
      <c r="AG107" s="166">
        <f>IF(OR($I107="",$E107=0),0,IF(OR($J107&lt;AG$3,$I107&gt;AG$2),0,IF($K107=0,IF(AND($I107&gt;=AG$3,$I107&lt;=AG$2),$E107,0),$E107*NETWORKDAYS(MAX($I107,AG$3),MIN($J107,AG$2),Data!$K$4:$K$203)/$K107)))</f>
        <v>0</v>
      </c>
      <c r="AH107" s="166">
        <f>IF(OR($I107="",$E107=0),0,IF(OR($J107&lt;AH$3,$I107&gt;AH$2),0,IF($K107=0,IF(AND($I107&gt;=AH$3,$I107&lt;=AH$2),$E107,0),$E107*NETWORKDAYS(MAX($I107,AH$3),MIN($J107,AH$2),Data!$K$4:$K$203)/$K107)))</f>
        <v>0</v>
      </c>
      <c r="AI107" s="166">
        <f>SUM(W107:AH107)</f>
        <v>0</v>
      </c>
      <c r="BZ107" t="str">
        <f>IF(D107=1,IF(TRIM(INDEX(Charge!$K:$K,ROW()))&lt;&gt;"",TRIM(INDEX(Charge!$K:$K,ROW())),IF(TRIM(INDEX(Charge!$L:$L,ROW()))&lt;&gt;"",TRIM(INDEX(Charge!$L:$L,ROW())),"(non affecté)")),"")</f>
        <v/>
      </c>
      <c r="CA107" t="str">
        <f>IF(AND($CD$4&lt;&gt;"",BZ107=$CD$4),COUNTIFS($BZ$4:$BZ$503,$CD$4,$L$4:$L$503,"&lt;"&amp;L107)+1,"")</f>
        <v/>
      </c>
      <c r="EJ107" t="str">
        <f>TRIM(INDEX(Data!$E:$E,ROW()))</f>
        <v/>
      </c>
      <c r="EK107" t="str">
        <f>TRIM(INDEX(Data!$H:$H,ROW()))</f>
        <v/>
      </c>
      <c r="EM107" t="str">
        <f>IF(D107=1,IF(TRIM(INDEX(Charge!$K:$K,ROW()))&lt;&gt;"","Interne",IF(TRIM(INDEX(Charge!$L:$L,ROW()))&lt;&gt;"","Externe","Non affecté")),"")</f>
        <v/>
      </c>
      <c r="EN107" t="str">
        <f>IF(D107=1,LEFT(SUBSTITUTE(SUBSTITUTE(SUBSTITUTE(TRIM(SUBSTITUTE(INDEX(Charge!$B:$B,ROW()),CHAR(160)," "))&amp;" | "&amp;TRIM(SUBSTITUTE(INDEX(Charge!$C:$C,ROW()),CHAR(160)," "))&amp;" | "&amp;TRIM(SUBSTITUTE(INDEX(Charge!$D:$D,ROW()),CHAR(160)," ")),"~","-"),"*","+"),"?","!"),240),"")</f>
        <v/>
      </c>
      <c r="EO107">
        <f>IF(EN107="",0,IF(COUNTIF($EN$4:EN107,EN107)=1,1,0))</f>
        <v>0</v>
      </c>
      <c r="EP107" s="166" t="str">
        <f>IF(EO107=1,ROUND(SUMIF($EN$4:$EN$503,EN107,$E$4:$E$503),2),"")</f>
        <v/>
      </c>
      <c r="EQ107" t="str">
        <f>IF(EO107=1,COUNTIFS($EO$4:$EO$503,1,$EP$4:$EP$503,"&gt;"&amp;EP107)+COUNTIFS($EO$4:EO107,1,$EP$4:EP107,EP107),"")</f>
        <v/>
      </c>
      <c r="ER107" t="str">
        <f>IF(EO107=1,COUNTIFS($EN$4:$EN$503,EN107,$EM$4:$EM$503,"Interne",$FE$4:$FE$503,1),"")</f>
        <v/>
      </c>
      <c r="ES107" t="str">
        <f>IF(EO107=1,COUNTIFS($EN$4:$EN$503,EN107,$EM$4:$EM$503,"Externe",$FE$4:$FE$503,1),"")</f>
        <v/>
      </c>
      <c r="ET107" t="str">
        <f>IF(EO107=1,IF(ER107+ES107=0,"à affecter",IF(ER107=0,ES107&amp;" ext.",(ER107+ES107)&amp;IF(ES107&gt;0," dont "&amp;ES107&amp;" ext.",""))&amp;IF(COUNTIFS($EN$4:$EN$503,EN107,$EM$4:$EM$503,"Non affecté")&gt;0," + à affecter","")),"")</f>
        <v/>
      </c>
      <c r="EU107" s="170" t="str">
        <f>IF(EO107=1,IF(EP107&gt;0,SUMPRODUCT(($EN$4:$EN$503=EN107)*$E$4:$E$503*$C$4:$C$503)/EP107,AVERAGEIF($EN$4:$EN$503,EN107,$C$4:$C$503)),"")</f>
        <v/>
      </c>
      <c r="EV107" s="165">
        <f>IF(ISNUMBER(I107),I107,2958465)</f>
        <v>2958465.0</v>
      </c>
      <c r="EW107" s="165" t="str">
        <f>IF(EO107=1,SUMPRODUCT(MIN(($EN$4:$EN$503=EN107)*$EV$4:$EV$503+($EN$4:$EN$503&lt;&gt;EN107)*2958465)),"")</f>
        <v/>
      </c>
      <c r="EX107" s="165">
        <f>IF(AND(D107=1,ISNUMBER(INDEX(Charge!$F:$F,ROW()))),INDEX(Charge!$F:$F,ROW()),0)</f>
        <v>0.0</v>
      </c>
      <c r="EY107" s="165" t="str">
        <f>IF(EO107=1,SUMPRODUCT(MAX(($EN$4:$EN$503=EN107)*$EX$4:$EX$503)),"")</f>
        <v/>
      </c>
      <c r="FA107" t="str">
        <f>IF(104&lt;=$CD$23,INDEX($EJ$4:$EJ$203,104),IF(104-$CD$23&lt;=$CD$26,INDEX($EK$4:$EK$203,104-$CD$23),""))</f>
        <v/>
      </c>
      <c r="FB107" t="str">
        <f>IF(FA107="","",IF(104&lt;=$CD$23,"Interne","Externe"))</f>
        <v/>
      </c>
      <c r="FD107">
        <f>IF(AND(B107=1,TRIM(INDEX(Charge!$K:$K,ROW()))&lt;&gt;"",TRIM(INDEX(Charge!$L:$L,ROW()))&lt;&gt;""),1,0)</f>
        <v>0</v>
      </c>
      <c r="FE107">
        <f>IF(OR(EN107="",BZ107="(non affecté)"),0,IF(COUNTIFS($EN$4:EN107,EN107,$BZ$4:BZ107,BZ107)=1,1,0))</f>
        <v>0</v>
      </c>
    </row>
    <row r="108">
      <c r="A108">
        <f>ROW()</f>
        <v>108</v>
      </c>
      <c r="B108">
        <f>IF(TRIM(INDEX(Charge!$B:$B,ROW()))&lt;&gt;"",1,0)</f>
        <v>0</v>
      </c>
      <c r="C108">
        <f>IF(B108=1,MIN(1,MAX(0,N(INDEX(Charge!$O:$O,ROW())))),0)</f>
        <v>0</v>
      </c>
      <c r="D108">
        <f>IF(B108=1,IF(OR(p_Perimetre="Tous les projets",C108&lt;1),1,0),0)</f>
        <v>0</v>
      </c>
      <c r="E108">
        <f>IF(D108=1,MAX(0,N(INDEX(Charge!$M:$M,ROW()))),0)</f>
        <v>0</v>
      </c>
      <c r="F108" t="str">
        <f>IF(D108=1,IF(TRIM(INDEX(Charge!$A:$A,ROW()))="","(non renseigné)",TRIM(INDEX(Charge!$A:$A,ROW()))),"")</f>
        <v/>
      </c>
      <c r="G108" t="str">
        <f>IF(D108=1,TRIM(INDEX(Charge!$B:$B,ROW())),"")</f>
        <v/>
      </c>
      <c r="H108" t="str">
        <f>IF(D108=1,IF(TRIM(INDEX(Charge!$E:$E,ROW()))="","(non renseigné)",TRIM(INDEX(Charge!$E:$E,ROW()))),"")</f>
        <v/>
      </c>
      <c r="I108" s="165" t="str">
        <f>IF(AND(D108=1,ISNUMBER(INDEX(Charge!$N:$N,ROW()))),INDEX(Charge!$N:$N,ROW()),"")</f>
        <v/>
      </c>
      <c r="J108" s="165" t="str">
        <f>IF(I108="","",IF(AND(p_Repartition="Lissée jusqu'à la date de besoin",ISNUMBER(INDEX(Charge!$F:$F,ROW()))),IF(INDEX(Charge!$F:$F,ROW())&gt;=I108,INDEX(Charge!$F:$F,ROW()),I108),I108))</f>
        <v/>
      </c>
      <c r="K108" t="str">
        <f>IF(I108="","",NETWORKDAYS(I108,J108,Data!$K$4:$K$203))</f>
        <v/>
      </c>
      <c r="L108" t="str">
        <f>IF(D108=1,COUNTIFS($D$4:$D$503,1,$E$4:$E$503,"&gt;"&amp;E108)+COUNTIFS($D$4:$D108,1,$E$4:$E108,E108),"")</f>
        <v/>
      </c>
      <c r="M108">
        <f>IF(F108="",0,IF(COUNTIF($F$4:F108,F108)=1,1,0))</f>
        <v>0</v>
      </c>
      <c r="N108" t="str">
        <f>IF(M108=1,ROUND(SUMIF($F$4:$F$503,F108,$E$4:$E$503),2),"")</f>
        <v/>
      </c>
      <c r="O108" t="str">
        <f>IF(M108=1,COUNTIFS($M$4:$M$503,1,$N$4:$N$503,"&gt;"&amp;N108)+COUNTIFS($M$4:M108,1,$N$4:N108,N108),"")</f>
        <v/>
      </c>
      <c r="P108">
        <f>IF(G108="",0,IF(COUNTIF($G$4:G108,G108)=1,1,0))</f>
        <v>0</v>
      </c>
      <c r="Q108" t="str">
        <f>IF(P108=1,ROUND(SUMIF($G$4:$G$503,G108,$E$4:$E$503),2),"")</f>
        <v/>
      </c>
      <c r="R108" t="str">
        <f>IF(P108=1,COUNTIFS($P$4:$P$503,1,$Q$4:$Q$503,"&gt;"&amp;Q108)+COUNTIFS($P$4:P108,1,$Q$4:Q108,Q108),"")</f>
        <v/>
      </c>
      <c r="S108">
        <f>IF(H108="",0,IF(COUNTIF($H$4:H108,H108)=1,1,0))</f>
        <v>0</v>
      </c>
      <c r="T108" t="str">
        <f>IF(S108=1,ROUND(SUMIF($H$4:$H$503,H108,$E$4:$E$503),2),"")</f>
        <v/>
      </c>
      <c r="U108" t="str">
        <f>IF(S108=1,COUNTIFS($S$4:$S$503,1,$T$4:$T$503,"&gt;"&amp;T108)+COUNTIFS($S$4:S108,1,$T$4:T108,T108),"")</f>
        <v/>
      </c>
      <c r="V108" t="str">
        <f>IF(D108=1,MIN(INDEX($R$4:$R$503,MATCH(G108,$G$4:$G$503,0)),IF($AL$7&gt;9,9,999)),"")</f>
        <v/>
      </c>
      <c r="W108" s="166">
        <f>IF(OR($I108="",$E108=0),0,IF(OR($J108&lt;W$3,$I108&gt;W$2),0,IF($K108=0,IF(AND($I108&gt;=W$3,$I108&lt;=W$2),$E108,0),$E108*NETWORKDAYS(MAX($I108,W$3),MIN($J108,W$2),Data!$K$4:$K$203)/$K108)))</f>
        <v>0</v>
      </c>
      <c r="X108" s="166">
        <f>IF(OR($I108="",$E108=0),0,IF(OR($J108&lt;X$3,$I108&gt;X$2),0,IF($K108=0,IF(AND($I108&gt;=X$3,$I108&lt;=X$2),$E108,0),$E108*NETWORKDAYS(MAX($I108,X$3),MIN($J108,X$2),Data!$K$4:$K$203)/$K108)))</f>
        <v>0</v>
      </c>
      <c r="Y108" s="166">
        <f>IF(OR($I108="",$E108=0),0,IF(OR($J108&lt;Y$3,$I108&gt;Y$2),0,IF($K108=0,IF(AND($I108&gt;=Y$3,$I108&lt;=Y$2),$E108,0),$E108*NETWORKDAYS(MAX($I108,Y$3),MIN($J108,Y$2),Data!$K$4:$K$203)/$K108)))</f>
        <v>0</v>
      </c>
      <c r="Z108" s="166">
        <f>IF(OR($I108="",$E108=0),0,IF(OR($J108&lt;Z$3,$I108&gt;Z$2),0,IF($K108=0,IF(AND($I108&gt;=Z$3,$I108&lt;=Z$2),$E108,0),$E108*NETWORKDAYS(MAX($I108,Z$3),MIN($J108,Z$2),Data!$K$4:$K$203)/$K108)))</f>
        <v>0</v>
      </c>
      <c r="AA108" s="166">
        <f>IF(OR($I108="",$E108=0),0,IF(OR($J108&lt;AA$3,$I108&gt;AA$2),0,IF($K108=0,IF(AND($I108&gt;=AA$3,$I108&lt;=AA$2),$E108,0),$E108*NETWORKDAYS(MAX($I108,AA$3),MIN($J108,AA$2),Data!$K$4:$K$203)/$K108)))</f>
        <v>0</v>
      </c>
      <c r="AB108" s="166">
        <f>IF(OR($I108="",$E108=0),0,IF(OR($J108&lt;AB$3,$I108&gt;AB$2),0,IF($K108=0,IF(AND($I108&gt;=AB$3,$I108&lt;=AB$2),$E108,0),$E108*NETWORKDAYS(MAX($I108,AB$3),MIN($J108,AB$2),Data!$K$4:$K$203)/$K108)))</f>
        <v>0</v>
      </c>
      <c r="AC108" s="166">
        <f>IF(OR($I108="",$E108=0),0,IF(OR($J108&lt;AC$3,$I108&gt;AC$2),0,IF($K108=0,IF(AND($I108&gt;=AC$3,$I108&lt;=AC$2),$E108,0),$E108*NETWORKDAYS(MAX($I108,AC$3),MIN($J108,AC$2),Data!$K$4:$K$203)/$K108)))</f>
        <v>0</v>
      </c>
      <c r="AD108" s="166">
        <f>IF(OR($I108="",$E108=0),0,IF(OR($J108&lt;AD$3,$I108&gt;AD$2),0,IF($K108=0,IF(AND($I108&gt;=AD$3,$I108&lt;=AD$2),$E108,0),$E108*NETWORKDAYS(MAX($I108,AD$3),MIN($J108,AD$2),Data!$K$4:$K$203)/$K108)))</f>
        <v>0</v>
      </c>
      <c r="AE108" s="166">
        <f>IF(OR($I108="",$E108=0),0,IF(OR($J108&lt;AE$3,$I108&gt;AE$2),0,IF($K108=0,IF(AND($I108&gt;=AE$3,$I108&lt;=AE$2),$E108,0),$E108*NETWORKDAYS(MAX($I108,AE$3),MIN($J108,AE$2),Data!$K$4:$K$203)/$K108)))</f>
        <v>0</v>
      </c>
      <c r="AF108" s="166">
        <f>IF(OR($I108="",$E108=0),0,IF(OR($J108&lt;AF$3,$I108&gt;AF$2),0,IF($K108=0,IF(AND($I108&gt;=AF$3,$I108&lt;=AF$2),$E108,0),$E108*NETWORKDAYS(MAX($I108,AF$3),MIN($J108,AF$2),Data!$K$4:$K$203)/$K108)))</f>
        <v>0</v>
      </c>
      <c r="AG108" s="166">
        <f>IF(OR($I108="",$E108=0),0,IF(OR($J108&lt;AG$3,$I108&gt;AG$2),0,IF($K108=0,IF(AND($I108&gt;=AG$3,$I108&lt;=AG$2),$E108,0),$E108*NETWORKDAYS(MAX($I108,AG$3),MIN($J108,AG$2),Data!$K$4:$K$203)/$K108)))</f>
        <v>0</v>
      </c>
      <c r="AH108" s="166">
        <f>IF(OR($I108="",$E108=0),0,IF(OR($J108&lt;AH$3,$I108&gt;AH$2),0,IF($K108=0,IF(AND($I108&gt;=AH$3,$I108&lt;=AH$2),$E108,0),$E108*NETWORKDAYS(MAX($I108,AH$3),MIN($J108,AH$2),Data!$K$4:$K$203)/$K108)))</f>
        <v>0</v>
      </c>
      <c r="AI108" s="166">
        <f>SUM(W108:AH108)</f>
        <v>0</v>
      </c>
      <c r="BZ108" t="str">
        <f>IF(D108=1,IF(TRIM(INDEX(Charge!$K:$K,ROW()))&lt;&gt;"",TRIM(INDEX(Charge!$K:$K,ROW())),IF(TRIM(INDEX(Charge!$L:$L,ROW()))&lt;&gt;"",TRIM(INDEX(Charge!$L:$L,ROW())),"(non affecté)")),"")</f>
        <v/>
      </c>
      <c r="CA108" t="str">
        <f>IF(AND($CD$4&lt;&gt;"",BZ108=$CD$4),COUNTIFS($BZ$4:$BZ$503,$CD$4,$L$4:$L$503,"&lt;"&amp;L108)+1,"")</f>
        <v/>
      </c>
      <c r="EJ108" t="str">
        <f>TRIM(INDEX(Data!$E:$E,ROW()))</f>
        <v/>
      </c>
      <c r="EK108" t="str">
        <f>TRIM(INDEX(Data!$H:$H,ROW()))</f>
        <v/>
      </c>
      <c r="EM108" t="str">
        <f>IF(D108=1,IF(TRIM(INDEX(Charge!$K:$K,ROW()))&lt;&gt;"","Interne",IF(TRIM(INDEX(Charge!$L:$L,ROW()))&lt;&gt;"","Externe","Non affecté")),"")</f>
        <v/>
      </c>
      <c r="EN108" t="str">
        <f>IF(D108=1,LEFT(SUBSTITUTE(SUBSTITUTE(SUBSTITUTE(TRIM(SUBSTITUTE(INDEX(Charge!$B:$B,ROW()),CHAR(160)," "))&amp;" | "&amp;TRIM(SUBSTITUTE(INDEX(Charge!$C:$C,ROW()),CHAR(160)," "))&amp;" | "&amp;TRIM(SUBSTITUTE(INDEX(Charge!$D:$D,ROW()),CHAR(160)," ")),"~","-"),"*","+"),"?","!"),240),"")</f>
        <v/>
      </c>
      <c r="EO108">
        <f>IF(EN108="",0,IF(COUNTIF($EN$4:EN108,EN108)=1,1,0))</f>
        <v>0</v>
      </c>
      <c r="EP108" s="166" t="str">
        <f>IF(EO108=1,ROUND(SUMIF($EN$4:$EN$503,EN108,$E$4:$E$503),2),"")</f>
        <v/>
      </c>
      <c r="EQ108" t="str">
        <f>IF(EO108=1,COUNTIFS($EO$4:$EO$503,1,$EP$4:$EP$503,"&gt;"&amp;EP108)+COUNTIFS($EO$4:EO108,1,$EP$4:EP108,EP108),"")</f>
        <v/>
      </c>
      <c r="ER108" t="str">
        <f>IF(EO108=1,COUNTIFS($EN$4:$EN$503,EN108,$EM$4:$EM$503,"Interne",$FE$4:$FE$503,1),"")</f>
        <v/>
      </c>
      <c r="ES108" t="str">
        <f>IF(EO108=1,COUNTIFS($EN$4:$EN$503,EN108,$EM$4:$EM$503,"Externe",$FE$4:$FE$503,1),"")</f>
        <v/>
      </c>
      <c r="ET108" t="str">
        <f>IF(EO108=1,IF(ER108+ES108=0,"à affecter",IF(ER108=0,ES108&amp;" ext.",(ER108+ES108)&amp;IF(ES108&gt;0," dont "&amp;ES108&amp;" ext.",""))&amp;IF(COUNTIFS($EN$4:$EN$503,EN108,$EM$4:$EM$503,"Non affecté")&gt;0," + à affecter","")),"")</f>
        <v/>
      </c>
      <c r="EU108" s="170" t="str">
        <f>IF(EO108=1,IF(EP108&gt;0,SUMPRODUCT(($EN$4:$EN$503=EN108)*$E$4:$E$503*$C$4:$C$503)/EP108,AVERAGEIF($EN$4:$EN$503,EN108,$C$4:$C$503)),"")</f>
        <v/>
      </c>
      <c r="EV108" s="165">
        <f>IF(ISNUMBER(I108),I108,2958465)</f>
        <v>2958465.0</v>
      </c>
      <c r="EW108" s="165" t="str">
        <f>IF(EO108=1,SUMPRODUCT(MIN(($EN$4:$EN$503=EN108)*$EV$4:$EV$503+($EN$4:$EN$503&lt;&gt;EN108)*2958465)),"")</f>
        <v/>
      </c>
      <c r="EX108" s="165">
        <f>IF(AND(D108=1,ISNUMBER(INDEX(Charge!$F:$F,ROW()))),INDEX(Charge!$F:$F,ROW()),0)</f>
        <v>0.0</v>
      </c>
      <c r="EY108" s="165" t="str">
        <f>IF(EO108=1,SUMPRODUCT(MAX(($EN$4:$EN$503=EN108)*$EX$4:$EX$503)),"")</f>
        <v/>
      </c>
      <c r="FA108" t="str">
        <f>IF(105&lt;=$CD$23,INDEX($EJ$4:$EJ$203,105),IF(105-$CD$23&lt;=$CD$26,INDEX($EK$4:$EK$203,105-$CD$23),""))</f>
        <v/>
      </c>
      <c r="FB108" t="str">
        <f>IF(FA108="","",IF(105&lt;=$CD$23,"Interne","Externe"))</f>
        <v/>
      </c>
      <c r="FD108">
        <f>IF(AND(B108=1,TRIM(INDEX(Charge!$K:$K,ROW()))&lt;&gt;"",TRIM(INDEX(Charge!$L:$L,ROW()))&lt;&gt;""),1,0)</f>
        <v>0</v>
      </c>
      <c r="FE108">
        <f>IF(OR(EN108="",BZ108="(non affecté)"),0,IF(COUNTIFS($EN$4:EN108,EN108,$BZ$4:BZ108,BZ108)=1,1,0))</f>
        <v>0</v>
      </c>
    </row>
    <row r="109">
      <c r="A109">
        <f>ROW()</f>
        <v>109</v>
      </c>
      <c r="B109">
        <f>IF(TRIM(INDEX(Charge!$B:$B,ROW()))&lt;&gt;"",1,0)</f>
        <v>0</v>
      </c>
      <c r="C109">
        <f>IF(B109=1,MIN(1,MAX(0,N(INDEX(Charge!$O:$O,ROW())))),0)</f>
        <v>0</v>
      </c>
      <c r="D109">
        <f>IF(B109=1,IF(OR(p_Perimetre="Tous les projets",C109&lt;1),1,0),0)</f>
        <v>0</v>
      </c>
      <c r="E109">
        <f>IF(D109=1,MAX(0,N(INDEX(Charge!$M:$M,ROW()))),0)</f>
        <v>0</v>
      </c>
      <c r="F109" t="str">
        <f>IF(D109=1,IF(TRIM(INDEX(Charge!$A:$A,ROW()))="","(non renseigné)",TRIM(INDEX(Charge!$A:$A,ROW()))),"")</f>
        <v/>
      </c>
      <c r="G109" t="str">
        <f>IF(D109=1,TRIM(INDEX(Charge!$B:$B,ROW())),"")</f>
        <v/>
      </c>
      <c r="H109" t="str">
        <f>IF(D109=1,IF(TRIM(INDEX(Charge!$E:$E,ROW()))="","(non renseigné)",TRIM(INDEX(Charge!$E:$E,ROW()))),"")</f>
        <v/>
      </c>
      <c r="I109" s="165" t="str">
        <f>IF(AND(D109=1,ISNUMBER(INDEX(Charge!$N:$N,ROW()))),INDEX(Charge!$N:$N,ROW()),"")</f>
        <v/>
      </c>
      <c r="J109" s="165" t="str">
        <f>IF(I109="","",IF(AND(p_Repartition="Lissée jusqu'à la date de besoin",ISNUMBER(INDEX(Charge!$F:$F,ROW()))),IF(INDEX(Charge!$F:$F,ROW())&gt;=I109,INDEX(Charge!$F:$F,ROW()),I109),I109))</f>
        <v/>
      </c>
      <c r="K109" t="str">
        <f>IF(I109="","",NETWORKDAYS(I109,J109,Data!$K$4:$K$203))</f>
        <v/>
      </c>
      <c r="L109" t="str">
        <f>IF(D109=1,COUNTIFS($D$4:$D$503,1,$E$4:$E$503,"&gt;"&amp;E109)+COUNTIFS($D$4:$D109,1,$E$4:$E109,E109),"")</f>
        <v/>
      </c>
      <c r="M109">
        <f>IF(F109="",0,IF(COUNTIF($F$4:F109,F109)=1,1,0))</f>
        <v>0</v>
      </c>
      <c r="N109" t="str">
        <f>IF(M109=1,ROUND(SUMIF($F$4:$F$503,F109,$E$4:$E$503),2),"")</f>
        <v/>
      </c>
      <c r="O109" t="str">
        <f>IF(M109=1,COUNTIFS($M$4:$M$503,1,$N$4:$N$503,"&gt;"&amp;N109)+COUNTIFS($M$4:M109,1,$N$4:N109,N109),"")</f>
        <v/>
      </c>
      <c r="P109">
        <f>IF(G109="",0,IF(COUNTIF($G$4:G109,G109)=1,1,0))</f>
        <v>0</v>
      </c>
      <c r="Q109" t="str">
        <f>IF(P109=1,ROUND(SUMIF($G$4:$G$503,G109,$E$4:$E$503),2),"")</f>
        <v/>
      </c>
      <c r="R109" t="str">
        <f>IF(P109=1,COUNTIFS($P$4:$P$503,1,$Q$4:$Q$503,"&gt;"&amp;Q109)+COUNTIFS($P$4:P109,1,$Q$4:Q109,Q109),"")</f>
        <v/>
      </c>
      <c r="S109">
        <f>IF(H109="",0,IF(COUNTIF($H$4:H109,H109)=1,1,0))</f>
        <v>0</v>
      </c>
      <c r="T109" t="str">
        <f>IF(S109=1,ROUND(SUMIF($H$4:$H$503,H109,$E$4:$E$503),2),"")</f>
        <v/>
      </c>
      <c r="U109" t="str">
        <f>IF(S109=1,COUNTIFS($S$4:$S$503,1,$T$4:$T$503,"&gt;"&amp;T109)+COUNTIFS($S$4:S109,1,$T$4:T109,T109),"")</f>
        <v/>
      </c>
      <c r="V109" t="str">
        <f>IF(D109=1,MIN(INDEX($R$4:$R$503,MATCH(G109,$G$4:$G$503,0)),IF($AL$7&gt;9,9,999)),"")</f>
        <v/>
      </c>
      <c r="W109" s="166">
        <f>IF(OR($I109="",$E109=0),0,IF(OR($J109&lt;W$3,$I109&gt;W$2),0,IF($K109=0,IF(AND($I109&gt;=W$3,$I109&lt;=W$2),$E109,0),$E109*NETWORKDAYS(MAX($I109,W$3),MIN($J109,W$2),Data!$K$4:$K$203)/$K109)))</f>
        <v>0</v>
      </c>
      <c r="X109" s="166">
        <f>IF(OR($I109="",$E109=0),0,IF(OR($J109&lt;X$3,$I109&gt;X$2),0,IF($K109=0,IF(AND($I109&gt;=X$3,$I109&lt;=X$2),$E109,0),$E109*NETWORKDAYS(MAX($I109,X$3),MIN($J109,X$2),Data!$K$4:$K$203)/$K109)))</f>
        <v>0</v>
      </c>
      <c r="Y109" s="166">
        <f>IF(OR($I109="",$E109=0),0,IF(OR($J109&lt;Y$3,$I109&gt;Y$2),0,IF($K109=0,IF(AND($I109&gt;=Y$3,$I109&lt;=Y$2),$E109,0),$E109*NETWORKDAYS(MAX($I109,Y$3),MIN($J109,Y$2),Data!$K$4:$K$203)/$K109)))</f>
        <v>0</v>
      </c>
      <c r="Z109" s="166">
        <f>IF(OR($I109="",$E109=0),0,IF(OR($J109&lt;Z$3,$I109&gt;Z$2),0,IF($K109=0,IF(AND($I109&gt;=Z$3,$I109&lt;=Z$2),$E109,0),$E109*NETWORKDAYS(MAX($I109,Z$3),MIN($J109,Z$2),Data!$K$4:$K$203)/$K109)))</f>
        <v>0</v>
      </c>
      <c r="AA109" s="166">
        <f>IF(OR($I109="",$E109=0),0,IF(OR($J109&lt;AA$3,$I109&gt;AA$2),0,IF($K109=0,IF(AND($I109&gt;=AA$3,$I109&lt;=AA$2),$E109,0),$E109*NETWORKDAYS(MAX($I109,AA$3),MIN($J109,AA$2),Data!$K$4:$K$203)/$K109)))</f>
        <v>0</v>
      </c>
      <c r="AB109" s="166">
        <f>IF(OR($I109="",$E109=0),0,IF(OR($J109&lt;AB$3,$I109&gt;AB$2),0,IF($K109=0,IF(AND($I109&gt;=AB$3,$I109&lt;=AB$2),$E109,0),$E109*NETWORKDAYS(MAX($I109,AB$3),MIN($J109,AB$2),Data!$K$4:$K$203)/$K109)))</f>
        <v>0</v>
      </c>
      <c r="AC109" s="166">
        <f>IF(OR($I109="",$E109=0),0,IF(OR($J109&lt;AC$3,$I109&gt;AC$2),0,IF($K109=0,IF(AND($I109&gt;=AC$3,$I109&lt;=AC$2),$E109,0),$E109*NETWORKDAYS(MAX($I109,AC$3),MIN($J109,AC$2),Data!$K$4:$K$203)/$K109)))</f>
        <v>0</v>
      </c>
      <c r="AD109" s="166">
        <f>IF(OR($I109="",$E109=0),0,IF(OR($J109&lt;AD$3,$I109&gt;AD$2),0,IF($K109=0,IF(AND($I109&gt;=AD$3,$I109&lt;=AD$2),$E109,0),$E109*NETWORKDAYS(MAX($I109,AD$3),MIN($J109,AD$2),Data!$K$4:$K$203)/$K109)))</f>
        <v>0</v>
      </c>
      <c r="AE109" s="166">
        <f>IF(OR($I109="",$E109=0),0,IF(OR($J109&lt;AE$3,$I109&gt;AE$2),0,IF($K109=0,IF(AND($I109&gt;=AE$3,$I109&lt;=AE$2),$E109,0),$E109*NETWORKDAYS(MAX($I109,AE$3),MIN($J109,AE$2),Data!$K$4:$K$203)/$K109)))</f>
        <v>0</v>
      </c>
      <c r="AF109" s="166">
        <f>IF(OR($I109="",$E109=0),0,IF(OR($J109&lt;AF$3,$I109&gt;AF$2),0,IF($K109=0,IF(AND($I109&gt;=AF$3,$I109&lt;=AF$2),$E109,0),$E109*NETWORKDAYS(MAX($I109,AF$3),MIN($J109,AF$2),Data!$K$4:$K$203)/$K109)))</f>
        <v>0</v>
      </c>
      <c r="AG109" s="166">
        <f>IF(OR($I109="",$E109=0),0,IF(OR($J109&lt;AG$3,$I109&gt;AG$2),0,IF($K109=0,IF(AND($I109&gt;=AG$3,$I109&lt;=AG$2),$E109,0),$E109*NETWORKDAYS(MAX($I109,AG$3),MIN($J109,AG$2),Data!$K$4:$K$203)/$K109)))</f>
        <v>0</v>
      </c>
      <c r="AH109" s="166">
        <f>IF(OR($I109="",$E109=0),0,IF(OR($J109&lt;AH$3,$I109&gt;AH$2),0,IF($K109=0,IF(AND($I109&gt;=AH$3,$I109&lt;=AH$2),$E109,0),$E109*NETWORKDAYS(MAX($I109,AH$3),MIN($J109,AH$2),Data!$K$4:$K$203)/$K109)))</f>
        <v>0</v>
      </c>
      <c r="AI109" s="166">
        <f>SUM(W109:AH109)</f>
        <v>0</v>
      </c>
      <c r="BZ109" t="str">
        <f>IF(D109=1,IF(TRIM(INDEX(Charge!$K:$K,ROW()))&lt;&gt;"",TRIM(INDEX(Charge!$K:$K,ROW())),IF(TRIM(INDEX(Charge!$L:$L,ROW()))&lt;&gt;"",TRIM(INDEX(Charge!$L:$L,ROW())),"(non affecté)")),"")</f>
        <v/>
      </c>
      <c r="CA109" t="str">
        <f>IF(AND($CD$4&lt;&gt;"",BZ109=$CD$4),COUNTIFS($BZ$4:$BZ$503,$CD$4,$L$4:$L$503,"&lt;"&amp;L109)+1,"")</f>
        <v/>
      </c>
      <c r="EJ109" t="str">
        <f>TRIM(INDEX(Data!$E:$E,ROW()))</f>
        <v/>
      </c>
      <c r="EK109" t="str">
        <f>TRIM(INDEX(Data!$H:$H,ROW()))</f>
        <v/>
      </c>
      <c r="EM109" t="str">
        <f>IF(D109=1,IF(TRIM(INDEX(Charge!$K:$K,ROW()))&lt;&gt;"","Interne",IF(TRIM(INDEX(Charge!$L:$L,ROW()))&lt;&gt;"","Externe","Non affecté")),"")</f>
        <v/>
      </c>
      <c r="EN109" t="str">
        <f>IF(D109=1,LEFT(SUBSTITUTE(SUBSTITUTE(SUBSTITUTE(TRIM(SUBSTITUTE(INDEX(Charge!$B:$B,ROW()),CHAR(160)," "))&amp;" | "&amp;TRIM(SUBSTITUTE(INDEX(Charge!$C:$C,ROW()),CHAR(160)," "))&amp;" | "&amp;TRIM(SUBSTITUTE(INDEX(Charge!$D:$D,ROW()),CHAR(160)," ")),"~","-"),"*","+"),"?","!"),240),"")</f>
        <v/>
      </c>
      <c r="EO109">
        <f>IF(EN109="",0,IF(COUNTIF($EN$4:EN109,EN109)=1,1,0))</f>
        <v>0</v>
      </c>
      <c r="EP109" s="166" t="str">
        <f>IF(EO109=1,ROUND(SUMIF($EN$4:$EN$503,EN109,$E$4:$E$503),2),"")</f>
        <v/>
      </c>
      <c r="EQ109" t="str">
        <f>IF(EO109=1,COUNTIFS($EO$4:$EO$503,1,$EP$4:$EP$503,"&gt;"&amp;EP109)+COUNTIFS($EO$4:EO109,1,$EP$4:EP109,EP109),"")</f>
        <v/>
      </c>
      <c r="ER109" t="str">
        <f>IF(EO109=1,COUNTIFS($EN$4:$EN$503,EN109,$EM$4:$EM$503,"Interne",$FE$4:$FE$503,1),"")</f>
        <v/>
      </c>
      <c r="ES109" t="str">
        <f>IF(EO109=1,COUNTIFS($EN$4:$EN$503,EN109,$EM$4:$EM$503,"Externe",$FE$4:$FE$503,1),"")</f>
        <v/>
      </c>
      <c r="ET109" t="str">
        <f>IF(EO109=1,IF(ER109+ES109=0,"à affecter",IF(ER109=0,ES109&amp;" ext.",(ER109+ES109)&amp;IF(ES109&gt;0," dont "&amp;ES109&amp;" ext.",""))&amp;IF(COUNTIFS($EN$4:$EN$503,EN109,$EM$4:$EM$503,"Non affecté")&gt;0," + à affecter","")),"")</f>
        <v/>
      </c>
      <c r="EU109" s="170" t="str">
        <f>IF(EO109=1,IF(EP109&gt;0,SUMPRODUCT(($EN$4:$EN$503=EN109)*$E$4:$E$503*$C$4:$C$503)/EP109,AVERAGEIF($EN$4:$EN$503,EN109,$C$4:$C$503)),"")</f>
        <v/>
      </c>
      <c r="EV109" s="165">
        <f>IF(ISNUMBER(I109),I109,2958465)</f>
        <v>2958465.0</v>
      </c>
      <c r="EW109" s="165" t="str">
        <f>IF(EO109=1,SUMPRODUCT(MIN(($EN$4:$EN$503=EN109)*$EV$4:$EV$503+($EN$4:$EN$503&lt;&gt;EN109)*2958465)),"")</f>
        <v/>
      </c>
      <c r="EX109" s="165">
        <f>IF(AND(D109=1,ISNUMBER(INDEX(Charge!$F:$F,ROW()))),INDEX(Charge!$F:$F,ROW()),0)</f>
        <v>0.0</v>
      </c>
      <c r="EY109" s="165" t="str">
        <f>IF(EO109=1,SUMPRODUCT(MAX(($EN$4:$EN$503=EN109)*$EX$4:$EX$503)),"")</f>
        <v/>
      </c>
      <c r="FA109" t="str">
        <f>IF(106&lt;=$CD$23,INDEX($EJ$4:$EJ$203,106),IF(106-$CD$23&lt;=$CD$26,INDEX($EK$4:$EK$203,106-$CD$23),""))</f>
        <v/>
      </c>
      <c r="FB109" t="str">
        <f>IF(FA109="","",IF(106&lt;=$CD$23,"Interne","Externe"))</f>
        <v/>
      </c>
      <c r="FD109">
        <f>IF(AND(B109=1,TRIM(INDEX(Charge!$K:$K,ROW()))&lt;&gt;"",TRIM(INDEX(Charge!$L:$L,ROW()))&lt;&gt;""),1,0)</f>
        <v>0</v>
      </c>
      <c r="FE109">
        <f>IF(OR(EN109="",BZ109="(non affecté)"),0,IF(COUNTIFS($EN$4:EN109,EN109,$BZ$4:BZ109,BZ109)=1,1,0))</f>
        <v>0</v>
      </c>
    </row>
    <row r="110">
      <c r="A110">
        <f>ROW()</f>
        <v>110</v>
      </c>
      <c r="B110">
        <f>IF(TRIM(INDEX(Charge!$B:$B,ROW()))&lt;&gt;"",1,0)</f>
        <v>0</v>
      </c>
      <c r="C110">
        <f>IF(B110=1,MIN(1,MAX(0,N(INDEX(Charge!$O:$O,ROW())))),0)</f>
        <v>0</v>
      </c>
      <c r="D110">
        <f>IF(B110=1,IF(OR(p_Perimetre="Tous les projets",C110&lt;1),1,0),0)</f>
        <v>0</v>
      </c>
      <c r="E110">
        <f>IF(D110=1,MAX(0,N(INDEX(Charge!$M:$M,ROW()))),0)</f>
        <v>0</v>
      </c>
      <c r="F110" t="str">
        <f>IF(D110=1,IF(TRIM(INDEX(Charge!$A:$A,ROW()))="","(non renseigné)",TRIM(INDEX(Charge!$A:$A,ROW()))),"")</f>
        <v/>
      </c>
      <c r="G110" t="str">
        <f>IF(D110=1,TRIM(INDEX(Charge!$B:$B,ROW())),"")</f>
        <v/>
      </c>
      <c r="H110" t="str">
        <f>IF(D110=1,IF(TRIM(INDEX(Charge!$E:$E,ROW()))="","(non renseigné)",TRIM(INDEX(Charge!$E:$E,ROW()))),"")</f>
        <v/>
      </c>
      <c r="I110" s="165" t="str">
        <f>IF(AND(D110=1,ISNUMBER(INDEX(Charge!$N:$N,ROW()))),INDEX(Charge!$N:$N,ROW()),"")</f>
        <v/>
      </c>
      <c r="J110" s="165" t="str">
        <f>IF(I110="","",IF(AND(p_Repartition="Lissée jusqu'à la date de besoin",ISNUMBER(INDEX(Charge!$F:$F,ROW()))),IF(INDEX(Charge!$F:$F,ROW())&gt;=I110,INDEX(Charge!$F:$F,ROW()),I110),I110))</f>
        <v/>
      </c>
      <c r="K110" t="str">
        <f>IF(I110="","",NETWORKDAYS(I110,J110,Data!$K$4:$K$203))</f>
        <v/>
      </c>
      <c r="L110" t="str">
        <f>IF(D110=1,COUNTIFS($D$4:$D$503,1,$E$4:$E$503,"&gt;"&amp;E110)+COUNTIFS($D$4:$D110,1,$E$4:$E110,E110),"")</f>
        <v/>
      </c>
      <c r="M110">
        <f>IF(F110="",0,IF(COUNTIF($F$4:F110,F110)=1,1,0))</f>
        <v>0</v>
      </c>
      <c r="N110" t="str">
        <f>IF(M110=1,ROUND(SUMIF($F$4:$F$503,F110,$E$4:$E$503),2),"")</f>
        <v/>
      </c>
      <c r="O110" t="str">
        <f>IF(M110=1,COUNTIFS($M$4:$M$503,1,$N$4:$N$503,"&gt;"&amp;N110)+COUNTIFS($M$4:M110,1,$N$4:N110,N110),"")</f>
        <v/>
      </c>
      <c r="P110">
        <f>IF(G110="",0,IF(COUNTIF($G$4:G110,G110)=1,1,0))</f>
        <v>0</v>
      </c>
      <c r="Q110" t="str">
        <f>IF(P110=1,ROUND(SUMIF($G$4:$G$503,G110,$E$4:$E$503),2),"")</f>
        <v/>
      </c>
      <c r="R110" t="str">
        <f>IF(P110=1,COUNTIFS($P$4:$P$503,1,$Q$4:$Q$503,"&gt;"&amp;Q110)+COUNTIFS($P$4:P110,1,$Q$4:Q110,Q110),"")</f>
        <v/>
      </c>
      <c r="S110">
        <f>IF(H110="",0,IF(COUNTIF($H$4:H110,H110)=1,1,0))</f>
        <v>0</v>
      </c>
      <c r="T110" t="str">
        <f>IF(S110=1,ROUND(SUMIF($H$4:$H$503,H110,$E$4:$E$503),2),"")</f>
        <v/>
      </c>
      <c r="U110" t="str">
        <f>IF(S110=1,COUNTIFS($S$4:$S$503,1,$T$4:$T$503,"&gt;"&amp;T110)+COUNTIFS($S$4:S110,1,$T$4:T110,T110),"")</f>
        <v/>
      </c>
      <c r="V110" t="str">
        <f>IF(D110=1,MIN(INDEX($R$4:$R$503,MATCH(G110,$G$4:$G$503,0)),IF($AL$7&gt;9,9,999)),"")</f>
        <v/>
      </c>
      <c r="W110" s="166">
        <f>IF(OR($I110="",$E110=0),0,IF(OR($J110&lt;W$3,$I110&gt;W$2),0,IF($K110=0,IF(AND($I110&gt;=W$3,$I110&lt;=W$2),$E110,0),$E110*NETWORKDAYS(MAX($I110,W$3),MIN($J110,W$2),Data!$K$4:$K$203)/$K110)))</f>
        <v>0</v>
      </c>
      <c r="X110" s="166">
        <f>IF(OR($I110="",$E110=0),0,IF(OR($J110&lt;X$3,$I110&gt;X$2),0,IF($K110=0,IF(AND($I110&gt;=X$3,$I110&lt;=X$2),$E110,0),$E110*NETWORKDAYS(MAX($I110,X$3),MIN($J110,X$2),Data!$K$4:$K$203)/$K110)))</f>
        <v>0</v>
      </c>
      <c r="Y110" s="166">
        <f>IF(OR($I110="",$E110=0),0,IF(OR($J110&lt;Y$3,$I110&gt;Y$2),0,IF($K110=0,IF(AND($I110&gt;=Y$3,$I110&lt;=Y$2),$E110,0),$E110*NETWORKDAYS(MAX($I110,Y$3),MIN($J110,Y$2),Data!$K$4:$K$203)/$K110)))</f>
        <v>0</v>
      </c>
      <c r="Z110" s="166">
        <f>IF(OR($I110="",$E110=0),0,IF(OR($J110&lt;Z$3,$I110&gt;Z$2),0,IF($K110=0,IF(AND($I110&gt;=Z$3,$I110&lt;=Z$2),$E110,0),$E110*NETWORKDAYS(MAX($I110,Z$3),MIN($J110,Z$2),Data!$K$4:$K$203)/$K110)))</f>
        <v>0</v>
      </c>
      <c r="AA110" s="166">
        <f>IF(OR($I110="",$E110=0),0,IF(OR($J110&lt;AA$3,$I110&gt;AA$2),0,IF($K110=0,IF(AND($I110&gt;=AA$3,$I110&lt;=AA$2),$E110,0),$E110*NETWORKDAYS(MAX($I110,AA$3),MIN($J110,AA$2),Data!$K$4:$K$203)/$K110)))</f>
        <v>0</v>
      </c>
      <c r="AB110" s="166">
        <f>IF(OR($I110="",$E110=0),0,IF(OR($J110&lt;AB$3,$I110&gt;AB$2),0,IF($K110=0,IF(AND($I110&gt;=AB$3,$I110&lt;=AB$2),$E110,0),$E110*NETWORKDAYS(MAX($I110,AB$3),MIN($J110,AB$2),Data!$K$4:$K$203)/$K110)))</f>
        <v>0</v>
      </c>
      <c r="AC110" s="166">
        <f>IF(OR($I110="",$E110=0),0,IF(OR($J110&lt;AC$3,$I110&gt;AC$2),0,IF($K110=0,IF(AND($I110&gt;=AC$3,$I110&lt;=AC$2),$E110,0),$E110*NETWORKDAYS(MAX($I110,AC$3),MIN($J110,AC$2),Data!$K$4:$K$203)/$K110)))</f>
        <v>0</v>
      </c>
      <c r="AD110" s="166">
        <f>IF(OR($I110="",$E110=0),0,IF(OR($J110&lt;AD$3,$I110&gt;AD$2),0,IF($K110=0,IF(AND($I110&gt;=AD$3,$I110&lt;=AD$2),$E110,0),$E110*NETWORKDAYS(MAX($I110,AD$3),MIN($J110,AD$2),Data!$K$4:$K$203)/$K110)))</f>
        <v>0</v>
      </c>
      <c r="AE110" s="166">
        <f>IF(OR($I110="",$E110=0),0,IF(OR($J110&lt;AE$3,$I110&gt;AE$2),0,IF($K110=0,IF(AND($I110&gt;=AE$3,$I110&lt;=AE$2),$E110,0),$E110*NETWORKDAYS(MAX($I110,AE$3),MIN($J110,AE$2),Data!$K$4:$K$203)/$K110)))</f>
        <v>0</v>
      </c>
      <c r="AF110" s="166">
        <f>IF(OR($I110="",$E110=0),0,IF(OR($J110&lt;AF$3,$I110&gt;AF$2),0,IF($K110=0,IF(AND($I110&gt;=AF$3,$I110&lt;=AF$2),$E110,0),$E110*NETWORKDAYS(MAX($I110,AF$3),MIN($J110,AF$2),Data!$K$4:$K$203)/$K110)))</f>
        <v>0</v>
      </c>
      <c r="AG110" s="166">
        <f>IF(OR($I110="",$E110=0),0,IF(OR($J110&lt;AG$3,$I110&gt;AG$2),0,IF($K110=0,IF(AND($I110&gt;=AG$3,$I110&lt;=AG$2),$E110,0),$E110*NETWORKDAYS(MAX($I110,AG$3),MIN($J110,AG$2),Data!$K$4:$K$203)/$K110)))</f>
        <v>0</v>
      </c>
      <c r="AH110" s="166">
        <f>IF(OR($I110="",$E110=0),0,IF(OR($J110&lt;AH$3,$I110&gt;AH$2),0,IF($K110=0,IF(AND($I110&gt;=AH$3,$I110&lt;=AH$2),$E110,0),$E110*NETWORKDAYS(MAX($I110,AH$3),MIN($J110,AH$2),Data!$K$4:$K$203)/$K110)))</f>
        <v>0</v>
      </c>
      <c r="AI110" s="166">
        <f>SUM(W110:AH110)</f>
        <v>0</v>
      </c>
      <c r="BZ110" t="str">
        <f>IF(D110=1,IF(TRIM(INDEX(Charge!$K:$K,ROW()))&lt;&gt;"",TRIM(INDEX(Charge!$K:$K,ROW())),IF(TRIM(INDEX(Charge!$L:$L,ROW()))&lt;&gt;"",TRIM(INDEX(Charge!$L:$L,ROW())),"(non affecté)")),"")</f>
        <v/>
      </c>
      <c r="CA110" t="str">
        <f>IF(AND($CD$4&lt;&gt;"",BZ110=$CD$4),COUNTIFS($BZ$4:$BZ$503,$CD$4,$L$4:$L$503,"&lt;"&amp;L110)+1,"")</f>
        <v/>
      </c>
      <c r="EJ110" t="str">
        <f>TRIM(INDEX(Data!$E:$E,ROW()))</f>
        <v/>
      </c>
      <c r="EK110" t="str">
        <f>TRIM(INDEX(Data!$H:$H,ROW()))</f>
        <v/>
      </c>
      <c r="EM110" t="str">
        <f>IF(D110=1,IF(TRIM(INDEX(Charge!$K:$K,ROW()))&lt;&gt;"","Interne",IF(TRIM(INDEX(Charge!$L:$L,ROW()))&lt;&gt;"","Externe","Non affecté")),"")</f>
        <v/>
      </c>
      <c r="EN110" t="str">
        <f>IF(D110=1,LEFT(SUBSTITUTE(SUBSTITUTE(SUBSTITUTE(TRIM(SUBSTITUTE(INDEX(Charge!$B:$B,ROW()),CHAR(160)," "))&amp;" | "&amp;TRIM(SUBSTITUTE(INDEX(Charge!$C:$C,ROW()),CHAR(160)," "))&amp;" | "&amp;TRIM(SUBSTITUTE(INDEX(Charge!$D:$D,ROW()),CHAR(160)," ")),"~","-"),"*","+"),"?","!"),240),"")</f>
        <v/>
      </c>
      <c r="EO110">
        <f>IF(EN110="",0,IF(COUNTIF($EN$4:EN110,EN110)=1,1,0))</f>
        <v>0</v>
      </c>
      <c r="EP110" s="166" t="str">
        <f>IF(EO110=1,ROUND(SUMIF($EN$4:$EN$503,EN110,$E$4:$E$503),2),"")</f>
        <v/>
      </c>
      <c r="EQ110" t="str">
        <f>IF(EO110=1,COUNTIFS($EO$4:$EO$503,1,$EP$4:$EP$503,"&gt;"&amp;EP110)+COUNTIFS($EO$4:EO110,1,$EP$4:EP110,EP110),"")</f>
        <v/>
      </c>
      <c r="ER110" t="str">
        <f>IF(EO110=1,COUNTIFS($EN$4:$EN$503,EN110,$EM$4:$EM$503,"Interne",$FE$4:$FE$503,1),"")</f>
        <v/>
      </c>
      <c r="ES110" t="str">
        <f>IF(EO110=1,COUNTIFS($EN$4:$EN$503,EN110,$EM$4:$EM$503,"Externe",$FE$4:$FE$503,1),"")</f>
        <v/>
      </c>
      <c r="ET110" t="str">
        <f>IF(EO110=1,IF(ER110+ES110=0,"à affecter",IF(ER110=0,ES110&amp;" ext.",(ER110+ES110)&amp;IF(ES110&gt;0," dont "&amp;ES110&amp;" ext.",""))&amp;IF(COUNTIFS($EN$4:$EN$503,EN110,$EM$4:$EM$503,"Non affecté")&gt;0," + à affecter","")),"")</f>
        <v/>
      </c>
      <c r="EU110" s="170" t="str">
        <f>IF(EO110=1,IF(EP110&gt;0,SUMPRODUCT(($EN$4:$EN$503=EN110)*$E$4:$E$503*$C$4:$C$503)/EP110,AVERAGEIF($EN$4:$EN$503,EN110,$C$4:$C$503)),"")</f>
        <v/>
      </c>
      <c r="EV110" s="165">
        <f>IF(ISNUMBER(I110),I110,2958465)</f>
        <v>2958465.0</v>
      </c>
      <c r="EW110" s="165" t="str">
        <f>IF(EO110=1,SUMPRODUCT(MIN(($EN$4:$EN$503=EN110)*$EV$4:$EV$503+($EN$4:$EN$503&lt;&gt;EN110)*2958465)),"")</f>
        <v/>
      </c>
      <c r="EX110" s="165">
        <f>IF(AND(D110=1,ISNUMBER(INDEX(Charge!$F:$F,ROW()))),INDEX(Charge!$F:$F,ROW()),0)</f>
        <v>0.0</v>
      </c>
      <c r="EY110" s="165" t="str">
        <f>IF(EO110=1,SUMPRODUCT(MAX(($EN$4:$EN$503=EN110)*$EX$4:$EX$503)),"")</f>
        <v/>
      </c>
      <c r="FA110" t="str">
        <f>IF(107&lt;=$CD$23,INDEX($EJ$4:$EJ$203,107),IF(107-$CD$23&lt;=$CD$26,INDEX($EK$4:$EK$203,107-$CD$23),""))</f>
        <v/>
      </c>
      <c r="FB110" t="str">
        <f>IF(FA110="","",IF(107&lt;=$CD$23,"Interne","Externe"))</f>
        <v/>
      </c>
      <c r="FD110">
        <f>IF(AND(B110=1,TRIM(INDEX(Charge!$K:$K,ROW()))&lt;&gt;"",TRIM(INDEX(Charge!$L:$L,ROW()))&lt;&gt;""),1,0)</f>
        <v>0</v>
      </c>
      <c r="FE110">
        <f>IF(OR(EN110="",BZ110="(non affecté)"),0,IF(COUNTIFS($EN$4:EN110,EN110,$BZ$4:BZ110,BZ110)=1,1,0))</f>
        <v>0</v>
      </c>
    </row>
    <row r="111">
      <c r="A111">
        <f>ROW()</f>
        <v>111</v>
      </c>
      <c r="B111">
        <f>IF(TRIM(INDEX(Charge!$B:$B,ROW()))&lt;&gt;"",1,0)</f>
        <v>0</v>
      </c>
      <c r="C111">
        <f>IF(B111=1,MIN(1,MAX(0,N(INDEX(Charge!$O:$O,ROW())))),0)</f>
        <v>0</v>
      </c>
      <c r="D111">
        <f>IF(B111=1,IF(OR(p_Perimetre="Tous les projets",C111&lt;1),1,0),0)</f>
        <v>0</v>
      </c>
      <c r="E111">
        <f>IF(D111=1,MAX(0,N(INDEX(Charge!$M:$M,ROW()))),0)</f>
        <v>0</v>
      </c>
      <c r="F111" t="str">
        <f>IF(D111=1,IF(TRIM(INDEX(Charge!$A:$A,ROW()))="","(non renseigné)",TRIM(INDEX(Charge!$A:$A,ROW()))),"")</f>
        <v/>
      </c>
      <c r="G111" t="str">
        <f>IF(D111=1,TRIM(INDEX(Charge!$B:$B,ROW())),"")</f>
        <v/>
      </c>
      <c r="H111" t="str">
        <f>IF(D111=1,IF(TRIM(INDEX(Charge!$E:$E,ROW()))="","(non renseigné)",TRIM(INDEX(Charge!$E:$E,ROW()))),"")</f>
        <v/>
      </c>
      <c r="I111" s="165" t="str">
        <f>IF(AND(D111=1,ISNUMBER(INDEX(Charge!$N:$N,ROW()))),INDEX(Charge!$N:$N,ROW()),"")</f>
        <v/>
      </c>
      <c r="J111" s="165" t="str">
        <f>IF(I111="","",IF(AND(p_Repartition="Lissée jusqu'à la date de besoin",ISNUMBER(INDEX(Charge!$F:$F,ROW()))),IF(INDEX(Charge!$F:$F,ROW())&gt;=I111,INDEX(Charge!$F:$F,ROW()),I111),I111))</f>
        <v/>
      </c>
      <c r="K111" t="str">
        <f>IF(I111="","",NETWORKDAYS(I111,J111,Data!$K$4:$K$203))</f>
        <v/>
      </c>
      <c r="L111" t="str">
        <f>IF(D111=1,COUNTIFS($D$4:$D$503,1,$E$4:$E$503,"&gt;"&amp;E111)+COUNTIFS($D$4:$D111,1,$E$4:$E111,E111),"")</f>
        <v/>
      </c>
      <c r="M111">
        <f>IF(F111="",0,IF(COUNTIF($F$4:F111,F111)=1,1,0))</f>
        <v>0</v>
      </c>
      <c r="N111" t="str">
        <f>IF(M111=1,ROUND(SUMIF($F$4:$F$503,F111,$E$4:$E$503),2),"")</f>
        <v/>
      </c>
      <c r="O111" t="str">
        <f>IF(M111=1,COUNTIFS($M$4:$M$503,1,$N$4:$N$503,"&gt;"&amp;N111)+COUNTIFS($M$4:M111,1,$N$4:N111,N111),"")</f>
        <v/>
      </c>
      <c r="P111">
        <f>IF(G111="",0,IF(COUNTIF($G$4:G111,G111)=1,1,0))</f>
        <v>0</v>
      </c>
      <c r="Q111" t="str">
        <f>IF(P111=1,ROUND(SUMIF($G$4:$G$503,G111,$E$4:$E$503),2),"")</f>
        <v/>
      </c>
      <c r="R111" t="str">
        <f>IF(P111=1,COUNTIFS($P$4:$P$503,1,$Q$4:$Q$503,"&gt;"&amp;Q111)+COUNTIFS($P$4:P111,1,$Q$4:Q111,Q111),"")</f>
        <v/>
      </c>
      <c r="S111">
        <f>IF(H111="",0,IF(COUNTIF($H$4:H111,H111)=1,1,0))</f>
        <v>0</v>
      </c>
      <c r="T111" t="str">
        <f>IF(S111=1,ROUND(SUMIF($H$4:$H$503,H111,$E$4:$E$503),2),"")</f>
        <v/>
      </c>
      <c r="U111" t="str">
        <f>IF(S111=1,COUNTIFS($S$4:$S$503,1,$T$4:$T$503,"&gt;"&amp;T111)+COUNTIFS($S$4:S111,1,$T$4:T111,T111),"")</f>
        <v/>
      </c>
      <c r="V111" t="str">
        <f>IF(D111=1,MIN(INDEX($R$4:$R$503,MATCH(G111,$G$4:$G$503,0)),IF($AL$7&gt;9,9,999)),"")</f>
        <v/>
      </c>
      <c r="W111" s="166">
        <f>IF(OR($I111="",$E111=0),0,IF(OR($J111&lt;W$3,$I111&gt;W$2),0,IF($K111=0,IF(AND($I111&gt;=W$3,$I111&lt;=W$2),$E111,0),$E111*NETWORKDAYS(MAX($I111,W$3),MIN($J111,W$2),Data!$K$4:$K$203)/$K111)))</f>
        <v>0</v>
      </c>
      <c r="X111" s="166">
        <f>IF(OR($I111="",$E111=0),0,IF(OR($J111&lt;X$3,$I111&gt;X$2),0,IF($K111=0,IF(AND($I111&gt;=X$3,$I111&lt;=X$2),$E111,0),$E111*NETWORKDAYS(MAX($I111,X$3),MIN($J111,X$2),Data!$K$4:$K$203)/$K111)))</f>
        <v>0</v>
      </c>
      <c r="Y111" s="166">
        <f>IF(OR($I111="",$E111=0),0,IF(OR($J111&lt;Y$3,$I111&gt;Y$2),0,IF($K111=0,IF(AND($I111&gt;=Y$3,$I111&lt;=Y$2),$E111,0),$E111*NETWORKDAYS(MAX($I111,Y$3),MIN($J111,Y$2),Data!$K$4:$K$203)/$K111)))</f>
        <v>0</v>
      </c>
      <c r="Z111" s="166">
        <f>IF(OR($I111="",$E111=0),0,IF(OR($J111&lt;Z$3,$I111&gt;Z$2),0,IF($K111=0,IF(AND($I111&gt;=Z$3,$I111&lt;=Z$2),$E111,0),$E111*NETWORKDAYS(MAX($I111,Z$3),MIN($J111,Z$2),Data!$K$4:$K$203)/$K111)))</f>
        <v>0</v>
      </c>
      <c r="AA111" s="166">
        <f>IF(OR($I111="",$E111=0),0,IF(OR($J111&lt;AA$3,$I111&gt;AA$2),0,IF($K111=0,IF(AND($I111&gt;=AA$3,$I111&lt;=AA$2),$E111,0),$E111*NETWORKDAYS(MAX($I111,AA$3),MIN($J111,AA$2),Data!$K$4:$K$203)/$K111)))</f>
        <v>0</v>
      </c>
      <c r="AB111" s="166">
        <f>IF(OR($I111="",$E111=0),0,IF(OR($J111&lt;AB$3,$I111&gt;AB$2),0,IF($K111=0,IF(AND($I111&gt;=AB$3,$I111&lt;=AB$2),$E111,0),$E111*NETWORKDAYS(MAX($I111,AB$3),MIN($J111,AB$2),Data!$K$4:$K$203)/$K111)))</f>
        <v>0</v>
      </c>
      <c r="AC111" s="166">
        <f>IF(OR($I111="",$E111=0),0,IF(OR($J111&lt;AC$3,$I111&gt;AC$2),0,IF($K111=0,IF(AND($I111&gt;=AC$3,$I111&lt;=AC$2),$E111,0),$E111*NETWORKDAYS(MAX($I111,AC$3),MIN($J111,AC$2),Data!$K$4:$K$203)/$K111)))</f>
        <v>0</v>
      </c>
      <c r="AD111" s="166">
        <f>IF(OR($I111="",$E111=0),0,IF(OR($J111&lt;AD$3,$I111&gt;AD$2),0,IF($K111=0,IF(AND($I111&gt;=AD$3,$I111&lt;=AD$2),$E111,0),$E111*NETWORKDAYS(MAX($I111,AD$3),MIN($J111,AD$2),Data!$K$4:$K$203)/$K111)))</f>
        <v>0</v>
      </c>
      <c r="AE111" s="166">
        <f>IF(OR($I111="",$E111=0),0,IF(OR($J111&lt;AE$3,$I111&gt;AE$2),0,IF($K111=0,IF(AND($I111&gt;=AE$3,$I111&lt;=AE$2),$E111,0),$E111*NETWORKDAYS(MAX($I111,AE$3),MIN($J111,AE$2),Data!$K$4:$K$203)/$K111)))</f>
        <v>0</v>
      </c>
      <c r="AF111" s="166">
        <f>IF(OR($I111="",$E111=0),0,IF(OR($J111&lt;AF$3,$I111&gt;AF$2),0,IF($K111=0,IF(AND($I111&gt;=AF$3,$I111&lt;=AF$2),$E111,0),$E111*NETWORKDAYS(MAX($I111,AF$3),MIN($J111,AF$2),Data!$K$4:$K$203)/$K111)))</f>
        <v>0</v>
      </c>
      <c r="AG111" s="166">
        <f>IF(OR($I111="",$E111=0),0,IF(OR($J111&lt;AG$3,$I111&gt;AG$2),0,IF($K111=0,IF(AND($I111&gt;=AG$3,$I111&lt;=AG$2),$E111,0),$E111*NETWORKDAYS(MAX($I111,AG$3),MIN($J111,AG$2),Data!$K$4:$K$203)/$K111)))</f>
        <v>0</v>
      </c>
      <c r="AH111" s="166">
        <f>IF(OR($I111="",$E111=0),0,IF(OR($J111&lt;AH$3,$I111&gt;AH$2),0,IF($K111=0,IF(AND($I111&gt;=AH$3,$I111&lt;=AH$2),$E111,0),$E111*NETWORKDAYS(MAX($I111,AH$3),MIN($J111,AH$2),Data!$K$4:$K$203)/$K111)))</f>
        <v>0</v>
      </c>
      <c r="AI111" s="166">
        <f>SUM(W111:AH111)</f>
        <v>0</v>
      </c>
      <c r="BZ111" t="str">
        <f>IF(D111=1,IF(TRIM(INDEX(Charge!$K:$K,ROW()))&lt;&gt;"",TRIM(INDEX(Charge!$K:$K,ROW())),IF(TRIM(INDEX(Charge!$L:$L,ROW()))&lt;&gt;"",TRIM(INDEX(Charge!$L:$L,ROW())),"(non affecté)")),"")</f>
        <v/>
      </c>
      <c r="CA111" t="str">
        <f>IF(AND($CD$4&lt;&gt;"",BZ111=$CD$4),COUNTIFS($BZ$4:$BZ$503,$CD$4,$L$4:$L$503,"&lt;"&amp;L111)+1,"")</f>
        <v/>
      </c>
      <c r="EJ111" t="str">
        <f>TRIM(INDEX(Data!$E:$E,ROW()))</f>
        <v/>
      </c>
      <c r="EK111" t="str">
        <f>TRIM(INDEX(Data!$H:$H,ROW()))</f>
        <v/>
      </c>
      <c r="EM111" t="str">
        <f>IF(D111=1,IF(TRIM(INDEX(Charge!$K:$K,ROW()))&lt;&gt;"","Interne",IF(TRIM(INDEX(Charge!$L:$L,ROW()))&lt;&gt;"","Externe","Non affecté")),"")</f>
        <v/>
      </c>
      <c r="EN111" t="str">
        <f>IF(D111=1,LEFT(SUBSTITUTE(SUBSTITUTE(SUBSTITUTE(TRIM(SUBSTITUTE(INDEX(Charge!$B:$B,ROW()),CHAR(160)," "))&amp;" | "&amp;TRIM(SUBSTITUTE(INDEX(Charge!$C:$C,ROW()),CHAR(160)," "))&amp;" | "&amp;TRIM(SUBSTITUTE(INDEX(Charge!$D:$D,ROW()),CHAR(160)," ")),"~","-"),"*","+"),"?","!"),240),"")</f>
        <v/>
      </c>
      <c r="EO111">
        <f>IF(EN111="",0,IF(COUNTIF($EN$4:EN111,EN111)=1,1,0))</f>
        <v>0</v>
      </c>
      <c r="EP111" s="166" t="str">
        <f>IF(EO111=1,ROUND(SUMIF($EN$4:$EN$503,EN111,$E$4:$E$503),2),"")</f>
        <v/>
      </c>
      <c r="EQ111" t="str">
        <f>IF(EO111=1,COUNTIFS($EO$4:$EO$503,1,$EP$4:$EP$503,"&gt;"&amp;EP111)+COUNTIFS($EO$4:EO111,1,$EP$4:EP111,EP111),"")</f>
        <v/>
      </c>
      <c r="ER111" t="str">
        <f>IF(EO111=1,COUNTIFS($EN$4:$EN$503,EN111,$EM$4:$EM$503,"Interne",$FE$4:$FE$503,1),"")</f>
        <v/>
      </c>
      <c r="ES111" t="str">
        <f>IF(EO111=1,COUNTIFS($EN$4:$EN$503,EN111,$EM$4:$EM$503,"Externe",$FE$4:$FE$503,1),"")</f>
        <v/>
      </c>
      <c r="ET111" t="str">
        <f>IF(EO111=1,IF(ER111+ES111=0,"à affecter",IF(ER111=0,ES111&amp;" ext.",(ER111+ES111)&amp;IF(ES111&gt;0," dont "&amp;ES111&amp;" ext.",""))&amp;IF(COUNTIFS($EN$4:$EN$503,EN111,$EM$4:$EM$503,"Non affecté")&gt;0," + à affecter","")),"")</f>
        <v/>
      </c>
      <c r="EU111" s="170" t="str">
        <f>IF(EO111=1,IF(EP111&gt;0,SUMPRODUCT(($EN$4:$EN$503=EN111)*$E$4:$E$503*$C$4:$C$503)/EP111,AVERAGEIF($EN$4:$EN$503,EN111,$C$4:$C$503)),"")</f>
        <v/>
      </c>
      <c r="EV111" s="165">
        <f>IF(ISNUMBER(I111),I111,2958465)</f>
        <v>2958465.0</v>
      </c>
      <c r="EW111" s="165" t="str">
        <f>IF(EO111=1,SUMPRODUCT(MIN(($EN$4:$EN$503=EN111)*$EV$4:$EV$503+($EN$4:$EN$503&lt;&gt;EN111)*2958465)),"")</f>
        <v/>
      </c>
      <c r="EX111" s="165">
        <f>IF(AND(D111=1,ISNUMBER(INDEX(Charge!$F:$F,ROW()))),INDEX(Charge!$F:$F,ROW()),0)</f>
        <v>0.0</v>
      </c>
      <c r="EY111" s="165" t="str">
        <f>IF(EO111=1,SUMPRODUCT(MAX(($EN$4:$EN$503=EN111)*$EX$4:$EX$503)),"")</f>
        <v/>
      </c>
      <c r="FA111" t="str">
        <f>IF(108&lt;=$CD$23,INDEX($EJ$4:$EJ$203,108),IF(108-$CD$23&lt;=$CD$26,INDEX($EK$4:$EK$203,108-$CD$23),""))</f>
        <v/>
      </c>
      <c r="FB111" t="str">
        <f>IF(FA111="","",IF(108&lt;=$CD$23,"Interne","Externe"))</f>
        <v/>
      </c>
      <c r="FD111">
        <f>IF(AND(B111=1,TRIM(INDEX(Charge!$K:$K,ROW()))&lt;&gt;"",TRIM(INDEX(Charge!$L:$L,ROW()))&lt;&gt;""),1,0)</f>
        <v>0</v>
      </c>
      <c r="FE111">
        <f>IF(OR(EN111="",BZ111="(non affecté)"),0,IF(COUNTIFS($EN$4:EN111,EN111,$BZ$4:BZ111,BZ111)=1,1,0))</f>
        <v>0</v>
      </c>
    </row>
    <row r="112">
      <c r="A112">
        <f>ROW()</f>
        <v>112</v>
      </c>
      <c r="B112">
        <f>IF(TRIM(INDEX(Charge!$B:$B,ROW()))&lt;&gt;"",1,0)</f>
        <v>0</v>
      </c>
      <c r="C112">
        <f>IF(B112=1,MIN(1,MAX(0,N(INDEX(Charge!$O:$O,ROW())))),0)</f>
        <v>0</v>
      </c>
      <c r="D112">
        <f>IF(B112=1,IF(OR(p_Perimetre="Tous les projets",C112&lt;1),1,0),0)</f>
        <v>0</v>
      </c>
      <c r="E112">
        <f>IF(D112=1,MAX(0,N(INDEX(Charge!$M:$M,ROW()))),0)</f>
        <v>0</v>
      </c>
      <c r="F112" t="str">
        <f>IF(D112=1,IF(TRIM(INDEX(Charge!$A:$A,ROW()))="","(non renseigné)",TRIM(INDEX(Charge!$A:$A,ROW()))),"")</f>
        <v/>
      </c>
      <c r="G112" t="str">
        <f>IF(D112=1,TRIM(INDEX(Charge!$B:$B,ROW())),"")</f>
        <v/>
      </c>
      <c r="H112" t="str">
        <f>IF(D112=1,IF(TRIM(INDEX(Charge!$E:$E,ROW()))="","(non renseigné)",TRIM(INDEX(Charge!$E:$E,ROW()))),"")</f>
        <v/>
      </c>
      <c r="I112" s="165" t="str">
        <f>IF(AND(D112=1,ISNUMBER(INDEX(Charge!$N:$N,ROW()))),INDEX(Charge!$N:$N,ROW()),"")</f>
        <v/>
      </c>
      <c r="J112" s="165" t="str">
        <f>IF(I112="","",IF(AND(p_Repartition="Lissée jusqu'à la date de besoin",ISNUMBER(INDEX(Charge!$F:$F,ROW()))),IF(INDEX(Charge!$F:$F,ROW())&gt;=I112,INDEX(Charge!$F:$F,ROW()),I112),I112))</f>
        <v/>
      </c>
      <c r="K112" t="str">
        <f>IF(I112="","",NETWORKDAYS(I112,J112,Data!$K$4:$K$203))</f>
        <v/>
      </c>
      <c r="L112" t="str">
        <f>IF(D112=1,COUNTIFS($D$4:$D$503,1,$E$4:$E$503,"&gt;"&amp;E112)+COUNTIFS($D$4:$D112,1,$E$4:$E112,E112),"")</f>
        <v/>
      </c>
      <c r="M112">
        <f>IF(F112="",0,IF(COUNTIF($F$4:F112,F112)=1,1,0))</f>
        <v>0</v>
      </c>
      <c r="N112" t="str">
        <f>IF(M112=1,ROUND(SUMIF($F$4:$F$503,F112,$E$4:$E$503),2),"")</f>
        <v/>
      </c>
      <c r="O112" t="str">
        <f>IF(M112=1,COUNTIFS($M$4:$M$503,1,$N$4:$N$503,"&gt;"&amp;N112)+COUNTIFS($M$4:M112,1,$N$4:N112,N112),"")</f>
        <v/>
      </c>
      <c r="P112">
        <f>IF(G112="",0,IF(COUNTIF($G$4:G112,G112)=1,1,0))</f>
        <v>0</v>
      </c>
      <c r="Q112" t="str">
        <f>IF(P112=1,ROUND(SUMIF($G$4:$G$503,G112,$E$4:$E$503),2),"")</f>
        <v/>
      </c>
      <c r="R112" t="str">
        <f>IF(P112=1,COUNTIFS($P$4:$P$503,1,$Q$4:$Q$503,"&gt;"&amp;Q112)+COUNTIFS($P$4:P112,1,$Q$4:Q112,Q112),"")</f>
        <v/>
      </c>
      <c r="S112">
        <f>IF(H112="",0,IF(COUNTIF($H$4:H112,H112)=1,1,0))</f>
        <v>0</v>
      </c>
      <c r="T112" t="str">
        <f>IF(S112=1,ROUND(SUMIF($H$4:$H$503,H112,$E$4:$E$503),2),"")</f>
        <v/>
      </c>
      <c r="U112" t="str">
        <f>IF(S112=1,COUNTIFS($S$4:$S$503,1,$T$4:$T$503,"&gt;"&amp;T112)+COUNTIFS($S$4:S112,1,$T$4:T112,T112),"")</f>
        <v/>
      </c>
      <c r="V112" t="str">
        <f>IF(D112=1,MIN(INDEX($R$4:$R$503,MATCH(G112,$G$4:$G$503,0)),IF($AL$7&gt;9,9,999)),"")</f>
        <v/>
      </c>
      <c r="W112" s="166">
        <f>IF(OR($I112="",$E112=0),0,IF(OR($J112&lt;W$3,$I112&gt;W$2),0,IF($K112=0,IF(AND($I112&gt;=W$3,$I112&lt;=W$2),$E112,0),$E112*NETWORKDAYS(MAX($I112,W$3),MIN($J112,W$2),Data!$K$4:$K$203)/$K112)))</f>
        <v>0</v>
      </c>
      <c r="X112" s="166">
        <f>IF(OR($I112="",$E112=0),0,IF(OR($J112&lt;X$3,$I112&gt;X$2),0,IF($K112=0,IF(AND($I112&gt;=X$3,$I112&lt;=X$2),$E112,0),$E112*NETWORKDAYS(MAX($I112,X$3),MIN($J112,X$2),Data!$K$4:$K$203)/$K112)))</f>
        <v>0</v>
      </c>
      <c r="Y112" s="166">
        <f>IF(OR($I112="",$E112=0),0,IF(OR($J112&lt;Y$3,$I112&gt;Y$2),0,IF($K112=0,IF(AND($I112&gt;=Y$3,$I112&lt;=Y$2),$E112,0),$E112*NETWORKDAYS(MAX($I112,Y$3),MIN($J112,Y$2),Data!$K$4:$K$203)/$K112)))</f>
        <v>0</v>
      </c>
      <c r="Z112" s="166">
        <f>IF(OR($I112="",$E112=0),0,IF(OR($J112&lt;Z$3,$I112&gt;Z$2),0,IF($K112=0,IF(AND($I112&gt;=Z$3,$I112&lt;=Z$2),$E112,0),$E112*NETWORKDAYS(MAX($I112,Z$3),MIN($J112,Z$2),Data!$K$4:$K$203)/$K112)))</f>
        <v>0</v>
      </c>
      <c r="AA112" s="166">
        <f>IF(OR($I112="",$E112=0),0,IF(OR($J112&lt;AA$3,$I112&gt;AA$2),0,IF($K112=0,IF(AND($I112&gt;=AA$3,$I112&lt;=AA$2),$E112,0),$E112*NETWORKDAYS(MAX($I112,AA$3),MIN($J112,AA$2),Data!$K$4:$K$203)/$K112)))</f>
        <v>0</v>
      </c>
      <c r="AB112" s="166">
        <f>IF(OR($I112="",$E112=0),0,IF(OR($J112&lt;AB$3,$I112&gt;AB$2),0,IF($K112=0,IF(AND($I112&gt;=AB$3,$I112&lt;=AB$2),$E112,0),$E112*NETWORKDAYS(MAX($I112,AB$3),MIN($J112,AB$2),Data!$K$4:$K$203)/$K112)))</f>
        <v>0</v>
      </c>
      <c r="AC112" s="166">
        <f>IF(OR($I112="",$E112=0),0,IF(OR($J112&lt;AC$3,$I112&gt;AC$2),0,IF($K112=0,IF(AND($I112&gt;=AC$3,$I112&lt;=AC$2),$E112,0),$E112*NETWORKDAYS(MAX($I112,AC$3),MIN($J112,AC$2),Data!$K$4:$K$203)/$K112)))</f>
        <v>0</v>
      </c>
      <c r="AD112" s="166">
        <f>IF(OR($I112="",$E112=0),0,IF(OR($J112&lt;AD$3,$I112&gt;AD$2),0,IF($K112=0,IF(AND($I112&gt;=AD$3,$I112&lt;=AD$2),$E112,0),$E112*NETWORKDAYS(MAX($I112,AD$3),MIN($J112,AD$2),Data!$K$4:$K$203)/$K112)))</f>
        <v>0</v>
      </c>
      <c r="AE112" s="166">
        <f>IF(OR($I112="",$E112=0),0,IF(OR($J112&lt;AE$3,$I112&gt;AE$2),0,IF($K112=0,IF(AND($I112&gt;=AE$3,$I112&lt;=AE$2),$E112,0),$E112*NETWORKDAYS(MAX($I112,AE$3),MIN($J112,AE$2),Data!$K$4:$K$203)/$K112)))</f>
        <v>0</v>
      </c>
      <c r="AF112" s="166">
        <f>IF(OR($I112="",$E112=0),0,IF(OR($J112&lt;AF$3,$I112&gt;AF$2),0,IF($K112=0,IF(AND($I112&gt;=AF$3,$I112&lt;=AF$2),$E112,0),$E112*NETWORKDAYS(MAX($I112,AF$3),MIN($J112,AF$2),Data!$K$4:$K$203)/$K112)))</f>
        <v>0</v>
      </c>
      <c r="AG112" s="166">
        <f>IF(OR($I112="",$E112=0),0,IF(OR($J112&lt;AG$3,$I112&gt;AG$2),0,IF($K112=0,IF(AND($I112&gt;=AG$3,$I112&lt;=AG$2),$E112,0),$E112*NETWORKDAYS(MAX($I112,AG$3),MIN($J112,AG$2),Data!$K$4:$K$203)/$K112)))</f>
        <v>0</v>
      </c>
      <c r="AH112" s="166">
        <f>IF(OR($I112="",$E112=0),0,IF(OR($J112&lt;AH$3,$I112&gt;AH$2),0,IF($K112=0,IF(AND($I112&gt;=AH$3,$I112&lt;=AH$2),$E112,0),$E112*NETWORKDAYS(MAX($I112,AH$3),MIN($J112,AH$2),Data!$K$4:$K$203)/$K112)))</f>
        <v>0</v>
      </c>
      <c r="AI112" s="166">
        <f>SUM(W112:AH112)</f>
        <v>0</v>
      </c>
      <c r="BZ112" t="str">
        <f>IF(D112=1,IF(TRIM(INDEX(Charge!$K:$K,ROW()))&lt;&gt;"",TRIM(INDEX(Charge!$K:$K,ROW())),IF(TRIM(INDEX(Charge!$L:$L,ROW()))&lt;&gt;"",TRIM(INDEX(Charge!$L:$L,ROW())),"(non affecté)")),"")</f>
        <v/>
      </c>
      <c r="CA112" t="str">
        <f>IF(AND($CD$4&lt;&gt;"",BZ112=$CD$4),COUNTIFS($BZ$4:$BZ$503,$CD$4,$L$4:$L$503,"&lt;"&amp;L112)+1,"")</f>
        <v/>
      </c>
      <c r="EJ112" t="str">
        <f>TRIM(INDEX(Data!$E:$E,ROW()))</f>
        <v/>
      </c>
      <c r="EK112" t="str">
        <f>TRIM(INDEX(Data!$H:$H,ROW()))</f>
        <v/>
      </c>
      <c r="EM112" t="str">
        <f>IF(D112=1,IF(TRIM(INDEX(Charge!$K:$K,ROW()))&lt;&gt;"","Interne",IF(TRIM(INDEX(Charge!$L:$L,ROW()))&lt;&gt;"","Externe","Non affecté")),"")</f>
        <v/>
      </c>
      <c r="EN112" t="str">
        <f>IF(D112=1,LEFT(SUBSTITUTE(SUBSTITUTE(SUBSTITUTE(TRIM(SUBSTITUTE(INDEX(Charge!$B:$B,ROW()),CHAR(160)," "))&amp;" | "&amp;TRIM(SUBSTITUTE(INDEX(Charge!$C:$C,ROW()),CHAR(160)," "))&amp;" | "&amp;TRIM(SUBSTITUTE(INDEX(Charge!$D:$D,ROW()),CHAR(160)," ")),"~","-"),"*","+"),"?","!"),240),"")</f>
        <v/>
      </c>
      <c r="EO112">
        <f>IF(EN112="",0,IF(COUNTIF($EN$4:EN112,EN112)=1,1,0))</f>
        <v>0</v>
      </c>
      <c r="EP112" s="166" t="str">
        <f>IF(EO112=1,ROUND(SUMIF($EN$4:$EN$503,EN112,$E$4:$E$503),2),"")</f>
        <v/>
      </c>
      <c r="EQ112" t="str">
        <f>IF(EO112=1,COUNTIFS($EO$4:$EO$503,1,$EP$4:$EP$503,"&gt;"&amp;EP112)+COUNTIFS($EO$4:EO112,1,$EP$4:EP112,EP112),"")</f>
        <v/>
      </c>
      <c r="ER112" t="str">
        <f>IF(EO112=1,COUNTIFS($EN$4:$EN$503,EN112,$EM$4:$EM$503,"Interne",$FE$4:$FE$503,1),"")</f>
        <v/>
      </c>
      <c r="ES112" t="str">
        <f>IF(EO112=1,COUNTIFS($EN$4:$EN$503,EN112,$EM$4:$EM$503,"Externe",$FE$4:$FE$503,1),"")</f>
        <v/>
      </c>
      <c r="ET112" t="str">
        <f>IF(EO112=1,IF(ER112+ES112=0,"à affecter",IF(ER112=0,ES112&amp;" ext.",(ER112+ES112)&amp;IF(ES112&gt;0," dont "&amp;ES112&amp;" ext.",""))&amp;IF(COUNTIFS($EN$4:$EN$503,EN112,$EM$4:$EM$503,"Non affecté")&gt;0," + à affecter","")),"")</f>
        <v/>
      </c>
      <c r="EU112" s="170" t="str">
        <f>IF(EO112=1,IF(EP112&gt;0,SUMPRODUCT(($EN$4:$EN$503=EN112)*$E$4:$E$503*$C$4:$C$503)/EP112,AVERAGEIF($EN$4:$EN$503,EN112,$C$4:$C$503)),"")</f>
        <v/>
      </c>
      <c r="EV112" s="165">
        <f>IF(ISNUMBER(I112),I112,2958465)</f>
        <v>2958465.0</v>
      </c>
      <c r="EW112" s="165" t="str">
        <f>IF(EO112=1,SUMPRODUCT(MIN(($EN$4:$EN$503=EN112)*$EV$4:$EV$503+($EN$4:$EN$503&lt;&gt;EN112)*2958465)),"")</f>
        <v/>
      </c>
      <c r="EX112" s="165">
        <f>IF(AND(D112=1,ISNUMBER(INDEX(Charge!$F:$F,ROW()))),INDEX(Charge!$F:$F,ROW()),0)</f>
        <v>0.0</v>
      </c>
      <c r="EY112" s="165" t="str">
        <f>IF(EO112=1,SUMPRODUCT(MAX(($EN$4:$EN$503=EN112)*$EX$4:$EX$503)),"")</f>
        <v/>
      </c>
      <c r="FA112" t="str">
        <f>IF(109&lt;=$CD$23,INDEX($EJ$4:$EJ$203,109),IF(109-$CD$23&lt;=$CD$26,INDEX($EK$4:$EK$203,109-$CD$23),""))</f>
        <v/>
      </c>
      <c r="FB112" t="str">
        <f>IF(FA112="","",IF(109&lt;=$CD$23,"Interne","Externe"))</f>
        <v/>
      </c>
      <c r="FD112">
        <f>IF(AND(B112=1,TRIM(INDEX(Charge!$K:$K,ROW()))&lt;&gt;"",TRIM(INDEX(Charge!$L:$L,ROW()))&lt;&gt;""),1,0)</f>
        <v>0</v>
      </c>
      <c r="FE112">
        <f>IF(OR(EN112="",BZ112="(non affecté)"),0,IF(COUNTIFS($EN$4:EN112,EN112,$BZ$4:BZ112,BZ112)=1,1,0))</f>
        <v>0</v>
      </c>
    </row>
    <row r="113">
      <c r="A113">
        <f>ROW()</f>
        <v>113</v>
      </c>
      <c r="B113">
        <f>IF(TRIM(INDEX(Charge!$B:$B,ROW()))&lt;&gt;"",1,0)</f>
        <v>0</v>
      </c>
      <c r="C113">
        <f>IF(B113=1,MIN(1,MAX(0,N(INDEX(Charge!$O:$O,ROW())))),0)</f>
        <v>0</v>
      </c>
      <c r="D113">
        <f>IF(B113=1,IF(OR(p_Perimetre="Tous les projets",C113&lt;1),1,0),0)</f>
        <v>0</v>
      </c>
      <c r="E113">
        <f>IF(D113=1,MAX(0,N(INDEX(Charge!$M:$M,ROW()))),0)</f>
        <v>0</v>
      </c>
      <c r="F113" t="str">
        <f>IF(D113=1,IF(TRIM(INDEX(Charge!$A:$A,ROW()))="","(non renseigné)",TRIM(INDEX(Charge!$A:$A,ROW()))),"")</f>
        <v/>
      </c>
      <c r="G113" t="str">
        <f>IF(D113=1,TRIM(INDEX(Charge!$B:$B,ROW())),"")</f>
        <v/>
      </c>
      <c r="H113" t="str">
        <f>IF(D113=1,IF(TRIM(INDEX(Charge!$E:$E,ROW()))="","(non renseigné)",TRIM(INDEX(Charge!$E:$E,ROW()))),"")</f>
        <v/>
      </c>
      <c r="I113" s="165" t="str">
        <f>IF(AND(D113=1,ISNUMBER(INDEX(Charge!$N:$N,ROW()))),INDEX(Charge!$N:$N,ROW()),"")</f>
        <v/>
      </c>
      <c r="J113" s="165" t="str">
        <f>IF(I113="","",IF(AND(p_Repartition="Lissée jusqu'à la date de besoin",ISNUMBER(INDEX(Charge!$F:$F,ROW()))),IF(INDEX(Charge!$F:$F,ROW())&gt;=I113,INDEX(Charge!$F:$F,ROW()),I113),I113))</f>
        <v/>
      </c>
      <c r="K113" t="str">
        <f>IF(I113="","",NETWORKDAYS(I113,J113,Data!$K$4:$K$203))</f>
        <v/>
      </c>
      <c r="L113" t="str">
        <f>IF(D113=1,COUNTIFS($D$4:$D$503,1,$E$4:$E$503,"&gt;"&amp;E113)+COUNTIFS($D$4:$D113,1,$E$4:$E113,E113),"")</f>
        <v/>
      </c>
      <c r="M113">
        <f>IF(F113="",0,IF(COUNTIF($F$4:F113,F113)=1,1,0))</f>
        <v>0</v>
      </c>
      <c r="N113" t="str">
        <f>IF(M113=1,ROUND(SUMIF($F$4:$F$503,F113,$E$4:$E$503),2),"")</f>
        <v/>
      </c>
      <c r="O113" t="str">
        <f>IF(M113=1,COUNTIFS($M$4:$M$503,1,$N$4:$N$503,"&gt;"&amp;N113)+COUNTIFS($M$4:M113,1,$N$4:N113,N113),"")</f>
        <v/>
      </c>
      <c r="P113">
        <f>IF(G113="",0,IF(COUNTIF($G$4:G113,G113)=1,1,0))</f>
        <v>0</v>
      </c>
      <c r="Q113" t="str">
        <f>IF(P113=1,ROUND(SUMIF($G$4:$G$503,G113,$E$4:$E$503),2),"")</f>
        <v/>
      </c>
      <c r="R113" t="str">
        <f>IF(P113=1,COUNTIFS($P$4:$P$503,1,$Q$4:$Q$503,"&gt;"&amp;Q113)+COUNTIFS($P$4:P113,1,$Q$4:Q113,Q113),"")</f>
        <v/>
      </c>
      <c r="S113">
        <f>IF(H113="",0,IF(COUNTIF($H$4:H113,H113)=1,1,0))</f>
        <v>0</v>
      </c>
      <c r="T113" t="str">
        <f>IF(S113=1,ROUND(SUMIF($H$4:$H$503,H113,$E$4:$E$503),2),"")</f>
        <v/>
      </c>
      <c r="U113" t="str">
        <f>IF(S113=1,COUNTIFS($S$4:$S$503,1,$T$4:$T$503,"&gt;"&amp;T113)+COUNTIFS($S$4:S113,1,$T$4:T113,T113),"")</f>
        <v/>
      </c>
      <c r="V113" t="str">
        <f>IF(D113=1,MIN(INDEX($R$4:$R$503,MATCH(G113,$G$4:$G$503,0)),IF($AL$7&gt;9,9,999)),"")</f>
        <v/>
      </c>
      <c r="W113" s="166">
        <f>IF(OR($I113="",$E113=0),0,IF(OR($J113&lt;W$3,$I113&gt;W$2),0,IF($K113=0,IF(AND($I113&gt;=W$3,$I113&lt;=W$2),$E113,0),$E113*NETWORKDAYS(MAX($I113,W$3),MIN($J113,W$2),Data!$K$4:$K$203)/$K113)))</f>
        <v>0</v>
      </c>
      <c r="X113" s="166">
        <f>IF(OR($I113="",$E113=0),0,IF(OR($J113&lt;X$3,$I113&gt;X$2),0,IF($K113=0,IF(AND($I113&gt;=X$3,$I113&lt;=X$2),$E113,0),$E113*NETWORKDAYS(MAX($I113,X$3),MIN($J113,X$2),Data!$K$4:$K$203)/$K113)))</f>
        <v>0</v>
      </c>
      <c r="Y113" s="166">
        <f>IF(OR($I113="",$E113=0),0,IF(OR($J113&lt;Y$3,$I113&gt;Y$2),0,IF($K113=0,IF(AND($I113&gt;=Y$3,$I113&lt;=Y$2),$E113,0),$E113*NETWORKDAYS(MAX($I113,Y$3),MIN($J113,Y$2),Data!$K$4:$K$203)/$K113)))</f>
        <v>0</v>
      </c>
      <c r="Z113" s="166">
        <f>IF(OR($I113="",$E113=0),0,IF(OR($J113&lt;Z$3,$I113&gt;Z$2),0,IF($K113=0,IF(AND($I113&gt;=Z$3,$I113&lt;=Z$2),$E113,0),$E113*NETWORKDAYS(MAX($I113,Z$3),MIN($J113,Z$2),Data!$K$4:$K$203)/$K113)))</f>
        <v>0</v>
      </c>
      <c r="AA113" s="166">
        <f>IF(OR($I113="",$E113=0),0,IF(OR($J113&lt;AA$3,$I113&gt;AA$2),0,IF($K113=0,IF(AND($I113&gt;=AA$3,$I113&lt;=AA$2),$E113,0),$E113*NETWORKDAYS(MAX($I113,AA$3),MIN($J113,AA$2),Data!$K$4:$K$203)/$K113)))</f>
        <v>0</v>
      </c>
      <c r="AB113" s="166">
        <f>IF(OR($I113="",$E113=0),0,IF(OR($J113&lt;AB$3,$I113&gt;AB$2),0,IF($K113=0,IF(AND($I113&gt;=AB$3,$I113&lt;=AB$2),$E113,0),$E113*NETWORKDAYS(MAX($I113,AB$3),MIN($J113,AB$2),Data!$K$4:$K$203)/$K113)))</f>
        <v>0</v>
      </c>
      <c r="AC113" s="166">
        <f>IF(OR($I113="",$E113=0),0,IF(OR($J113&lt;AC$3,$I113&gt;AC$2),0,IF($K113=0,IF(AND($I113&gt;=AC$3,$I113&lt;=AC$2),$E113,0),$E113*NETWORKDAYS(MAX($I113,AC$3),MIN($J113,AC$2),Data!$K$4:$K$203)/$K113)))</f>
        <v>0</v>
      </c>
      <c r="AD113" s="166">
        <f>IF(OR($I113="",$E113=0),0,IF(OR($J113&lt;AD$3,$I113&gt;AD$2),0,IF($K113=0,IF(AND($I113&gt;=AD$3,$I113&lt;=AD$2),$E113,0),$E113*NETWORKDAYS(MAX($I113,AD$3),MIN($J113,AD$2),Data!$K$4:$K$203)/$K113)))</f>
        <v>0</v>
      </c>
      <c r="AE113" s="166">
        <f>IF(OR($I113="",$E113=0),0,IF(OR($J113&lt;AE$3,$I113&gt;AE$2),0,IF($K113=0,IF(AND($I113&gt;=AE$3,$I113&lt;=AE$2),$E113,0),$E113*NETWORKDAYS(MAX($I113,AE$3),MIN($J113,AE$2),Data!$K$4:$K$203)/$K113)))</f>
        <v>0</v>
      </c>
      <c r="AF113" s="166">
        <f>IF(OR($I113="",$E113=0),0,IF(OR($J113&lt;AF$3,$I113&gt;AF$2),0,IF($K113=0,IF(AND($I113&gt;=AF$3,$I113&lt;=AF$2),$E113,0),$E113*NETWORKDAYS(MAX($I113,AF$3),MIN($J113,AF$2),Data!$K$4:$K$203)/$K113)))</f>
        <v>0</v>
      </c>
      <c r="AG113" s="166">
        <f>IF(OR($I113="",$E113=0),0,IF(OR($J113&lt;AG$3,$I113&gt;AG$2),0,IF($K113=0,IF(AND($I113&gt;=AG$3,$I113&lt;=AG$2),$E113,0),$E113*NETWORKDAYS(MAX($I113,AG$3),MIN($J113,AG$2),Data!$K$4:$K$203)/$K113)))</f>
        <v>0</v>
      </c>
      <c r="AH113" s="166">
        <f>IF(OR($I113="",$E113=0),0,IF(OR($J113&lt;AH$3,$I113&gt;AH$2),0,IF($K113=0,IF(AND($I113&gt;=AH$3,$I113&lt;=AH$2),$E113,0),$E113*NETWORKDAYS(MAX($I113,AH$3),MIN($J113,AH$2),Data!$K$4:$K$203)/$K113)))</f>
        <v>0</v>
      </c>
      <c r="AI113" s="166">
        <f>SUM(W113:AH113)</f>
        <v>0</v>
      </c>
      <c r="BZ113" t="str">
        <f>IF(D113=1,IF(TRIM(INDEX(Charge!$K:$K,ROW()))&lt;&gt;"",TRIM(INDEX(Charge!$K:$K,ROW())),IF(TRIM(INDEX(Charge!$L:$L,ROW()))&lt;&gt;"",TRIM(INDEX(Charge!$L:$L,ROW())),"(non affecté)")),"")</f>
        <v/>
      </c>
      <c r="CA113" t="str">
        <f>IF(AND($CD$4&lt;&gt;"",BZ113=$CD$4),COUNTIFS($BZ$4:$BZ$503,$CD$4,$L$4:$L$503,"&lt;"&amp;L113)+1,"")</f>
        <v/>
      </c>
      <c r="EJ113" t="str">
        <f>TRIM(INDEX(Data!$E:$E,ROW()))</f>
        <v/>
      </c>
      <c r="EK113" t="str">
        <f>TRIM(INDEX(Data!$H:$H,ROW()))</f>
        <v/>
      </c>
      <c r="EM113" t="str">
        <f>IF(D113=1,IF(TRIM(INDEX(Charge!$K:$K,ROW()))&lt;&gt;"","Interne",IF(TRIM(INDEX(Charge!$L:$L,ROW()))&lt;&gt;"","Externe","Non affecté")),"")</f>
        <v/>
      </c>
      <c r="EN113" t="str">
        <f>IF(D113=1,LEFT(SUBSTITUTE(SUBSTITUTE(SUBSTITUTE(TRIM(SUBSTITUTE(INDEX(Charge!$B:$B,ROW()),CHAR(160)," "))&amp;" | "&amp;TRIM(SUBSTITUTE(INDEX(Charge!$C:$C,ROW()),CHAR(160)," "))&amp;" | "&amp;TRIM(SUBSTITUTE(INDEX(Charge!$D:$D,ROW()),CHAR(160)," ")),"~","-"),"*","+"),"?","!"),240),"")</f>
        <v/>
      </c>
      <c r="EO113">
        <f>IF(EN113="",0,IF(COUNTIF($EN$4:EN113,EN113)=1,1,0))</f>
        <v>0</v>
      </c>
      <c r="EP113" s="166" t="str">
        <f>IF(EO113=1,ROUND(SUMIF($EN$4:$EN$503,EN113,$E$4:$E$503),2),"")</f>
        <v/>
      </c>
      <c r="EQ113" t="str">
        <f>IF(EO113=1,COUNTIFS($EO$4:$EO$503,1,$EP$4:$EP$503,"&gt;"&amp;EP113)+COUNTIFS($EO$4:EO113,1,$EP$4:EP113,EP113),"")</f>
        <v/>
      </c>
      <c r="ER113" t="str">
        <f>IF(EO113=1,COUNTIFS($EN$4:$EN$503,EN113,$EM$4:$EM$503,"Interne",$FE$4:$FE$503,1),"")</f>
        <v/>
      </c>
      <c r="ES113" t="str">
        <f>IF(EO113=1,COUNTIFS($EN$4:$EN$503,EN113,$EM$4:$EM$503,"Externe",$FE$4:$FE$503,1),"")</f>
        <v/>
      </c>
      <c r="ET113" t="str">
        <f>IF(EO113=1,IF(ER113+ES113=0,"à affecter",IF(ER113=0,ES113&amp;" ext.",(ER113+ES113)&amp;IF(ES113&gt;0," dont "&amp;ES113&amp;" ext.",""))&amp;IF(COUNTIFS($EN$4:$EN$503,EN113,$EM$4:$EM$503,"Non affecté")&gt;0," + à affecter","")),"")</f>
        <v/>
      </c>
      <c r="EU113" s="170" t="str">
        <f>IF(EO113=1,IF(EP113&gt;0,SUMPRODUCT(($EN$4:$EN$503=EN113)*$E$4:$E$503*$C$4:$C$503)/EP113,AVERAGEIF($EN$4:$EN$503,EN113,$C$4:$C$503)),"")</f>
        <v/>
      </c>
      <c r="EV113" s="165">
        <f>IF(ISNUMBER(I113),I113,2958465)</f>
        <v>2958465.0</v>
      </c>
      <c r="EW113" s="165" t="str">
        <f>IF(EO113=1,SUMPRODUCT(MIN(($EN$4:$EN$503=EN113)*$EV$4:$EV$503+($EN$4:$EN$503&lt;&gt;EN113)*2958465)),"")</f>
        <v/>
      </c>
      <c r="EX113" s="165">
        <f>IF(AND(D113=1,ISNUMBER(INDEX(Charge!$F:$F,ROW()))),INDEX(Charge!$F:$F,ROW()),0)</f>
        <v>0.0</v>
      </c>
      <c r="EY113" s="165" t="str">
        <f>IF(EO113=1,SUMPRODUCT(MAX(($EN$4:$EN$503=EN113)*$EX$4:$EX$503)),"")</f>
        <v/>
      </c>
      <c r="FA113" t="str">
        <f>IF(110&lt;=$CD$23,INDEX($EJ$4:$EJ$203,110),IF(110-$CD$23&lt;=$CD$26,INDEX($EK$4:$EK$203,110-$CD$23),""))</f>
        <v/>
      </c>
      <c r="FB113" t="str">
        <f>IF(FA113="","",IF(110&lt;=$CD$23,"Interne","Externe"))</f>
        <v/>
      </c>
      <c r="FD113">
        <f>IF(AND(B113=1,TRIM(INDEX(Charge!$K:$K,ROW()))&lt;&gt;"",TRIM(INDEX(Charge!$L:$L,ROW()))&lt;&gt;""),1,0)</f>
        <v>0</v>
      </c>
      <c r="FE113">
        <f>IF(OR(EN113="",BZ113="(non affecté)"),0,IF(COUNTIFS($EN$4:EN113,EN113,$BZ$4:BZ113,BZ113)=1,1,0))</f>
        <v>0</v>
      </c>
    </row>
    <row r="114">
      <c r="A114">
        <f>ROW()</f>
        <v>114</v>
      </c>
      <c r="B114">
        <f>IF(TRIM(INDEX(Charge!$B:$B,ROW()))&lt;&gt;"",1,0)</f>
        <v>0</v>
      </c>
      <c r="C114">
        <f>IF(B114=1,MIN(1,MAX(0,N(INDEX(Charge!$O:$O,ROW())))),0)</f>
        <v>0</v>
      </c>
      <c r="D114">
        <f>IF(B114=1,IF(OR(p_Perimetre="Tous les projets",C114&lt;1),1,0),0)</f>
        <v>0</v>
      </c>
      <c r="E114">
        <f>IF(D114=1,MAX(0,N(INDEX(Charge!$M:$M,ROW()))),0)</f>
        <v>0</v>
      </c>
      <c r="F114" t="str">
        <f>IF(D114=1,IF(TRIM(INDEX(Charge!$A:$A,ROW()))="","(non renseigné)",TRIM(INDEX(Charge!$A:$A,ROW()))),"")</f>
        <v/>
      </c>
      <c r="G114" t="str">
        <f>IF(D114=1,TRIM(INDEX(Charge!$B:$B,ROW())),"")</f>
        <v/>
      </c>
      <c r="H114" t="str">
        <f>IF(D114=1,IF(TRIM(INDEX(Charge!$E:$E,ROW()))="","(non renseigné)",TRIM(INDEX(Charge!$E:$E,ROW()))),"")</f>
        <v/>
      </c>
      <c r="I114" s="165" t="str">
        <f>IF(AND(D114=1,ISNUMBER(INDEX(Charge!$N:$N,ROW()))),INDEX(Charge!$N:$N,ROW()),"")</f>
        <v/>
      </c>
      <c r="J114" s="165" t="str">
        <f>IF(I114="","",IF(AND(p_Repartition="Lissée jusqu'à la date de besoin",ISNUMBER(INDEX(Charge!$F:$F,ROW()))),IF(INDEX(Charge!$F:$F,ROW())&gt;=I114,INDEX(Charge!$F:$F,ROW()),I114),I114))</f>
        <v/>
      </c>
      <c r="K114" t="str">
        <f>IF(I114="","",NETWORKDAYS(I114,J114,Data!$K$4:$K$203))</f>
        <v/>
      </c>
      <c r="L114" t="str">
        <f>IF(D114=1,COUNTIFS($D$4:$D$503,1,$E$4:$E$503,"&gt;"&amp;E114)+COUNTIFS($D$4:$D114,1,$E$4:$E114,E114),"")</f>
        <v/>
      </c>
      <c r="M114">
        <f>IF(F114="",0,IF(COUNTIF($F$4:F114,F114)=1,1,0))</f>
        <v>0</v>
      </c>
      <c r="N114" t="str">
        <f>IF(M114=1,ROUND(SUMIF($F$4:$F$503,F114,$E$4:$E$503),2),"")</f>
        <v/>
      </c>
      <c r="O114" t="str">
        <f>IF(M114=1,COUNTIFS($M$4:$M$503,1,$N$4:$N$503,"&gt;"&amp;N114)+COUNTIFS($M$4:M114,1,$N$4:N114,N114),"")</f>
        <v/>
      </c>
      <c r="P114">
        <f>IF(G114="",0,IF(COUNTIF($G$4:G114,G114)=1,1,0))</f>
        <v>0</v>
      </c>
      <c r="Q114" t="str">
        <f>IF(P114=1,ROUND(SUMIF($G$4:$G$503,G114,$E$4:$E$503),2),"")</f>
        <v/>
      </c>
      <c r="R114" t="str">
        <f>IF(P114=1,COUNTIFS($P$4:$P$503,1,$Q$4:$Q$503,"&gt;"&amp;Q114)+COUNTIFS($P$4:P114,1,$Q$4:Q114,Q114),"")</f>
        <v/>
      </c>
      <c r="S114">
        <f>IF(H114="",0,IF(COUNTIF($H$4:H114,H114)=1,1,0))</f>
        <v>0</v>
      </c>
      <c r="T114" t="str">
        <f>IF(S114=1,ROUND(SUMIF($H$4:$H$503,H114,$E$4:$E$503),2),"")</f>
        <v/>
      </c>
      <c r="U114" t="str">
        <f>IF(S114=1,COUNTIFS($S$4:$S$503,1,$T$4:$T$503,"&gt;"&amp;T114)+COUNTIFS($S$4:S114,1,$T$4:T114,T114),"")</f>
        <v/>
      </c>
      <c r="V114" t="str">
        <f>IF(D114=1,MIN(INDEX($R$4:$R$503,MATCH(G114,$G$4:$G$503,0)),IF($AL$7&gt;9,9,999)),"")</f>
        <v/>
      </c>
      <c r="W114" s="166">
        <f>IF(OR($I114="",$E114=0),0,IF(OR($J114&lt;W$3,$I114&gt;W$2),0,IF($K114=0,IF(AND($I114&gt;=W$3,$I114&lt;=W$2),$E114,0),$E114*NETWORKDAYS(MAX($I114,W$3),MIN($J114,W$2),Data!$K$4:$K$203)/$K114)))</f>
        <v>0</v>
      </c>
      <c r="X114" s="166">
        <f>IF(OR($I114="",$E114=0),0,IF(OR($J114&lt;X$3,$I114&gt;X$2),0,IF($K114=0,IF(AND($I114&gt;=X$3,$I114&lt;=X$2),$E114,0),$E114*NETWORKDAYS(MAX($I114,X$3),MIN($J114,X$2),Data!$K$4:$K$203)/$K114)))</f>
        <v>0</v>
      </c>
      <c r="Y114" s="166">
        <f>IF(OR($I114="",$E114=0),0,IF(OR($J114&lt;Y$3,$I114&gt;Y$2),0,IF($K114=0,IF(AND($I114&gt;=Y$3,$I114&lt;=Y$2),$E114,0),$E114*NETWORKDAYS(MAX($I114,Y$3),MIN($J114,Y$2),Data!$K$4:$K$203)/$K114)))</f>
        <v>0</v>
      </c>
      <c r="Z114" s="166">
        <f>IF(OR($I114="",$E114=0),0,IF(OR($J114&lt;Z$3,$I114&gt;Z$2),0,IF($K114=0,IF(AND($I114&gt;=Z$3,$I114&lt;=Z$2),$E114,0),$E114*NETWORKDAYS(MAX($I114,Z$3),MIN($J114,Z$2),Data!$K$4:$K$203)/$K114)))</f>
        <v>0</v>
      </c>
      <c r="AA114" s="166">
        <f>IF(OR($I114="",$E114=0),0,IF(OR($J114&lt;AA$3,$I114&gt;AA$2),0,IF($K114=0,IF(AND($I114&gt;=AA$3,$I114&lt;=AA$2),$E114,0),$E114*NETWORKDAYS(MAX($I114,AA$3),MIN($J114,AA$2),Data!$K$4:$K$203)/$K114)))</f>
        <v>0</v>
      </c>
      <c r="AB114" s="166">
        <f>IF(OR($I114="",$E114=0),0,IF(OR($J114&lt;AB$3,$I114&gt;AB$2),0,IF($K114=0,IF(AND($I114&gt;=AB$3,$I114&lt;=AB$2),$E114,0),$E114*NETWORKDAYS(MAX($I114,AB$3),MIN($J114,AB$2),Data!$K$4:$K$203)/$K114)))</f>
        <v>0</v>
      </c>
      <c r="AC114" s="166">
        <f>IF(OR($I114="",$E114=0),0,IF(OR($J114&lt;AC$3,$I114&gt;AC$2),0,IF($K114=0,IF(AND($I114&gt;=AC$3,$I114&lt;=AC$2),$E114,0),$E114*NETWORKDAYS(MAX($I114,AC$3),MIN($J114,AC$2),Data!$K$4:$K$203)/$K114)))</f>
        <v>0</v>
      </c>
      <c r="AD114" s="166">
        <f>IF(OR($I114="",$E114=0),0,IF(OR($J114&lt;AD$3,$I114&gt;AD$2),0,IF($K114=0,IF(AND($I114&gt;=AD$3,$I114&lt;=AD$2),$E114,0),$E114*NETWORKDAYS(MAX($I114,AD$3),MIN($J114,AD$2),Data!$K$4:$K$203)/$K114)))</f>
        <v>0</v>
      </c>
      <c r="AE114" s="166">
        <f>IF(OR($I114="",$E114=0),0,IF(OR($J114&lt;AE$3,$I114&gt;AE$2),0,IF($K114=0,IF(AND($I114&gt;=AE$3,$I114&lt;=AE$2),$E114,0),$E114*NETWORKDAYS(MAX($I114,AE$3),MIN($J114,AE$2),Data!$K$4:$K$203)/$K114)))</f>
        <v>0</v>
      </c>
      <c r="AF114" s="166">
        <f>IF(OR($I114="",$E114=0),0,IF(OR($J114&lt;AF$3,$I114&gt;AF$2),0,IF($K114=0,IF(AND($I114&gt;=AF$3,$I114&lt;=AF$2),$E114,0),$E114*NETWORKDAYS(MAX($I114,AF$3),MIN($J114,AF$2),Data!$K$4:$K$203)/$K114)))</f>
        <v>0</v>
      </c>
      <c r="AG114" s="166">
        <f>IF(OR($I114="",$E114=0),0,IF(OR($J114&lt;AG$3,$I114&gt;AG$2),0,IF($K114=0,IF(AND($I114&gt;=AG$3,$I114&lt;=AG$2),$E114,0),$E114*NETWORKDAYS(MAX($I114,AG$3),MIN($J114,AG$2),Data!$K$4:$K$203)/$K114)))</f>
        <v>0</v>
      </c>
      <c r="AH114" s="166">
        <f>IF(OR($I114="",$E114=0),0,IF(OR($J114&lt;AH$3,$I114&gt;AH$2),0,IF($K114=0,IF(AND($I114&gt;=AH$3,$I114&lt;=AH$2),$E114,0),$E114*NETWORKDAYS(MAX($I114,AH$3),MIN($J114,AH$2),Data!$K$4:$K$203)/$K114)))</f>
        <v>0</v>
      </c>
      <c r="AI114" s="166">
        <f>SUM(W114:AH114)</f>
        <v>0</v>
      </c>
      <c r="BZ114" t="str">
        <f>IF(D114=1,IF(TRIM(INDEX(Charge!$K:$K,ROW()))&lt;&gt;"",TRIM(INDEX(Charge!$K:$K,ROW())),IF(TRIM(INDEX(Charge!$L:$L,ROW()))&lt;&gt;"",TRIM(INDEX(Charge!$L:$L,ROW())),"(non affecté)")),"")</f>
        <v/>
      </c>
      <c r="CA114" t="str">
        <f>IF(AND($CD$4&lt;&gt;"",BZ114=$CD$4),COUNTIFS($BZ$4:$BZ$503,$CD$4,$L$4:$L$503,"&lt;"&amp;L114)+1,"")</f>
        <v/>
      </c>
      <c r="EJ114" t="str">
        <f>TRIM(INDEX(Data!$E:$E,ROW()))</f>
        <v/>
      </c>
      <c r="EK114" t="str">
        <f>TRIM(INDEX(Data!$H:$H,ROW()))</f>
        <v/>
      </c>
      <c r="EM114" t="str">
        <f>IF(D114=1,IF(TRIM(INDEX(Charge!$K:$K,ROW()))&lt;&gt;"","Interne",IF(TRIM(INDEX(Charge!$L:$L,ROW()))&lt;&gt;"","Externe","Non affecté")),"")</f>
        <v/>
      </c>
      <c r="EN114" t="str">
        <f>IF(D114=1,LEFT(SUBSTITUTE(SUBSTITUTE(SUBSTITUTE(TRIM(SUBSTITUTE(INDEX(Charge!$B:$B,ROW()),CHAR(160)," "))&amp;" | "&amp;TRIM(SUBSTITUTE(INDEX(Charge!$C:$C,ROW()),CHAR(160)," "))&amp;" | "&amp;TRIM(SUBSTITUTE(INDEX(Charge!$D:$D,ROW()),CHAR(160)," ")),"~","-"),"*","+"),"?","!"),240),"")</f>
        <v/>
      </c>
      <c r="EO114">
        <f>IF(EN114="",0,IF(COUNTIF($EN$4:EN114,EN114)=1,1,0))</f>
        <v>0</v>
      </c>
      <c r="EP114" s="166" t="str">
        <f>IF(EO114=1,ROUND(SUMIF($EN$4:$EN$503,EN114,$E$4:$E$503),2),"")</f>
        <v/>
      </c>
      <c r="EQ114" t="str">
        <f>IF(EO114=1,COUNTIFS($EO$4:$EO$503,1,$EP$4:$EP$503,"&gt;"&amp;EP114)+COUNTIFS($EO$4:EO114,1,$EP$4:EP114,EP114),"")</f>
        <v/>
      </c>
      <c r="ER114" t="str">
        <f>IF(EO114=1,COUNTIFS($EN$4:$EN$503,EN114,$EM$4:$EM$503,"Interne",$FE$4:$FE$503,1),"")</f>
        <v/>
      </c>
      <c r="ES114" t="str">
        <f>IF(EO114=1,COUNTIFS($EN$4:$EN$503,EN114,$EM$4:$EM$503,"Externe",$FE$4:$FE$503,1),"")</f>
        <v/>
      </c>
      <c r="ET114" t="str">
        <f>IF(EO114=1,IF(ER114+ES114=0,"à affecter",IF(ER114=0,ES114&amp;" ext.",(ER114+ES114)&amp;IF(ES114&gt;0," dont "&amp;ES114&amp;" ext.",""))&amp;IF(COUNTIFS($EN$4:$EN$503,EN114,$EM$4:$EM$503,"Non affecté")&gt;0," + à affecter","")),"")</f>
        <v/>
      </c>
      <c r="EU114" s="170" t="str">
        <f>IF(EO114=1,IF(EP114&gt;0,SUMPRODUCT(($EN$4:$EN$503=EN114)*$E$4:$E$503*$C$4:$C$503)/EP114,AVERAGEIF($EN$4:$EN$503,EN114,$C$4:$C$503)),"")</f>
        <v/>
      </c>
      <c r="EV114" s="165">
        <f>IF(ISNUMBER(I114),I114,2958465)</f>
        <v>2958465.0</v>
      </c>
      <c r="EW114" s="165" t="str">
        <f>IF(EO114=1,SUMPRODUCT(MIN(($EN$4:$EN$503=EN114)*$EV$4:$EV$503+($EN$4:$EN$503&lt;&gt;EN114)*2958465)),"")</f>
        <v/>
      </c>
      <c r="EX114" s="165">
        <f>IF(AND(D114=1,ISNUMBER(INDEX(Charge!$F:$F,ROW()))),INDEX(Charge!$F:$F,ROW()),0)</f>
        <v>0.0</v>
      </c>
      <c r="EY114" s="165" t="str">
        <f>IF(EO114=1,SUMPRODUCT(MAX(($EN$4:$EN$503=EN114)*$EX$4:$EX$503)),"")</f>
        <v/>
      </c>
      <c r="FA114" t="str">
        <f>IF(111&lt;=$CD$23,INDEX($EJ$4:$EJ$203,111),IF(111-$CD$23&lt;=$CD$26,INDEX($EK$4:$EK$203,111-$CD$23),""))</f>
        <v/>
      </c>
      <c r="FB114" t="str">
        <f>IF(FA114="","",IF(111&lt;=$CD$23,"Interne","Externe"))</f>
        <v/>
      </c>
      <c r="FD114">
        <f>IF(AND(B114=1,TRIM(INDEX(Charge!$K:$K,ROW()))&lt;&gt;"",TRIM(INDEX(Charge!$L:$L,ROW()))&lt;&gt;""),1,0)</f>
        <v>0</v>
      </c>
      <c r="FE114">
        <f>IF(OR(EN114="",BZ114="(non affecté)"),0,IF(COUNTIFS($EN$4:EN114,EN114,$BZ$4:BZ114,BZ114)=1,1,0))</f>
        <v>0</v>
      </c>
    </row>
    <row r="115">
      <c r="A115">
        <f>ROW()</f>
        <v>115</v>
      </c>
      <c r="B115">
        <f>IF(TRIM(INDEX(Charge!$B:$B,ROW()))&lt;&gt;"",1,0)</f>
        <v>0</v>
      </c>
      <c r="C115">
        <f>IF(B115=1,MIN(1,MAX(0,N(INDEX(Charge!$O:$O,ROW())))),0)</f>
        <v>0</v>
      </c>
      <c r="D115">
        <f>IF(B115=1,IF(OR(p_Perimetre="Tous les projets",C115&lt;1),1,0),0)</f>
        <v>0</v>
      </c>
      <c r="E115">
        <f>IF(D115=1,MAX(0,N(INDEX(Charge!$M:$M,ROW()))),0)</f>
        <v>0</v>
      </c>
      <c r="F115" t="str">
        <f>IF(D115=1,IF(TRIM(INDEX(Charge!$A:$A,ROW()))="","(non renseigné)",TRIM(INDEX(Charge!$A:$A,ROW()))),"")</f>
        <v/>
      </c>
      <c r="G115" t="str">
        <f>IF(D115=1,TRIM(INDEX(Charge!$B:$B,ROW())),"")</f>
        <v/>
      </c>
      <c r="H115" t="str">
        <f>IF(D115=1,IF(TRIM(INDEX(Charge!$E:$E,ROW()))="","(non renseigné)",TRIM(INDEX(Charge!$E:$E,ROW()))),"")</f>
        <v/>
      </c>
      <c r="I115" s="165" t="str">
        <f>IF(AND(D115=1,ISNUMBER(INDEX(Charge!$N:$N,ROW()))),INDEX(Charge!$N:$N,ROW()),"")</f>
        <v/>
      </c>
      <c r="J115" s="165" t="str">
        <f>IF(I115="","",IF(AND(p_Repartition="Lissée jusqu'à la date de besoin",ISNUMBER(INDEX(Charge!$F:$F,ROW()))),IF(INDEX(Charge!$F:$F,ROW())&gt;=I115,INDEX(Charge!$F:$F,ROW()),I115),I115))</f>
        <v/>
      </c>
      <c r="K115" t="str">
        <f>IF(I115="","",NETWORKDAYS(I115,J115,Data!$K$4:$K$203))</f>
        <v/>
      </c>
      <c r="L115" t="str">
        <f>IF(D115=1,COUNTIFS($D$4:$D$503,1,$E$4:$E$503,"&gt;"&amp;E115)+COUNTIFS($D$4:$D115,1,$E$4:$E115,E115),"")</f>
        <v/>
      </c>
      <c r="M115">
        <f>IF(F115="",0,IF(COUNTIF($F$4:F115,F115)=1,1,0))</f>
        <v>0</v>
      </c>
      <c r="N115" t="str">
        <f>IF(M115=1,ROUND(SUMIF($F$4:$F$503,F115,$E$4:$E$503),2),"")</f>
        <v/>
      </c>
      <c r="O115" t="str">
        <f>IF(M115=1,COUNTIFS($M$4:$M$503,1,$N$4:$N$503,"&gt;"&amp;N115)+COUNTIFS($M$4:M115,1,$N$4:N115,N115),"")</f>
        <v/>
      </c>
      <c r="P115">
        <f>IF(G115="",0,IF(COUNTIF($G$4:G115,G115)=1,1,0))</f>
        <v>0</v>
      </c>
      <c r="Q115" t="str">
        <f>IF(P115=1,ROUND(SUMIF($G$4:$G$503,G115,$E$4:$E$503),2),"")</f>
        <v/>
      </c>
      <c r="R115" t="str">
        <f>IF(P115=1,COUNTIFS($P$4:$P$503,1,$Q$4:$Q$503,"&gt;"&amp;Q115)+COUNTIFS($P$4:P115,1,$Q$4:Q115,Q115),"")</f>
        <v/>
      </c>
      <c r="S115">
        <f>IF(H115="",0,IF(COUNTIF($H$4:H115,H115)=1,1,0))</f>
        <v>0</v>
      </c>
      <c r="T115" t="str">
        <f>IF(S115=1,ROUND(SUMIF($H$4:$H$503,H115,$E$4:$E$503),2),"")</f>
        <v/>
      </c>
      <c r="U115" t="str">
        <f>IF(S115=1,COUNTIFS($S$4:$S$503,1,$T$4:$T$503,"&gt;"&amp;T115)+COUNTIFS($S$4:S115,1,$T$4:T115,T115),"")</f>
        <v/>
      </c>
      <c r="V115" t="str">
        <f>IF(D115=1,MIN(INDEX($R$4:$R$503,MATCH(G115,$G$4:$G$503,0)),IF($AL$7&gt;9,9,999)),"")</f>
        <v/>
      </c>
      <c r="W115" s="166">
        <f>IF(OR($I115="",$E115=0),0,IF(OR($J115&lt;W$3,$I115&gt;W$2),0,IF($K115=0,IF(AND($I115&gt;=W$3,$I115&lt;=W$2),$E115,0),$E115*NETWORKDAYS(MAX($I115,W$3),MIN($J115,W$2),Data!$K$4:$K$203)/$K115)))</f>
        <v>0</v>
      </c>
      <c r="X115" s="166">
        <f>IF(OR($I115="",$E115=0),0,IF(OR($J115&lt;X$3,$I115&gt;X$2),0,IF($K115=0,IF(AND($I115&gt;=X$3,$I115&lt;=X$2),$E115,0),$E115*NETWORKDAYS(MAX($I115,X$3),MIN($J115,X$2),Data!$K$4:$K$203)/$K115)))</f>
        <v>0</v>
      </c>
      <c r="Y115" s="166">
        <f>IF(OR($I115="",$E115=0),0,IF(OR($J115&lt;Y$3,$I115&gt;Y$2),0,IF($K115=0,IF(AND($I115&gt;=Y$3,$I115&lt;=Y$2),$E115,0),$E115*NETWORKDAYS(MAX($I115,Y$3),MIN($J115,Y$2),Data!$K$4:$K$203)/$K115)))</f>
        <v>0</v>
      </c>
      <c r="Z115" s="166">
        <f>IF(OR($I115="",$E115=0),0,IF(OR($J115&lt;Z$3,$I115&gt;Z$2),0,IF($K115=0,IF(AND($I115&gt;=Z$3,$I115&lt;=Z$2),$E115,0),$E115*NETWORKDAYS(MAX($I115,Z$3),MIN($J115,Z$2),Data!$K$4:$K$203)/$K115)))</f>
        <v>0</v>
      </c>
      <c r="AA115" s="166">
        <f>IF(OR($I115="",$E115=0),0,IF(OR($J115&lt;AA$3,$I115&gt;AA$2),0,IF($K115=0,IF(AND($I115&gt;=AA$3,$I115&lt;=AA$2),$E115,0),$E115*NETWORKDAYS(MAX($I115,AA$3),MIN($J115,AA$2),Data!$K$4:$K$203)/$K115)))</f>
        <v>0</v>
      </c>
      <c r="AB115" s="166">
        <f>IF(OR($I115="",$E115=0),0,IF(OR($J115&lt;AB$3,$I115&gt;AB$2),0,IF($K115=0,IF(AND($I115&gt;=AB$3,$I115&lt;=AB$2),$E115,0),$E115*NETWORKDAYS(MAX($I115,AB$3),MIN($J115,AB$2),Data!$K$4:$K$203)/$K115)))</f>
        <v>0</v>
      </c>
      <c r="AC115" s="166">
        <f>IF(OR($I115="",$E115=0),0,IF(OR($J115&lt;AC$3,$I115&gt;AC$2),0,IF($K115=0,IF(AND($I115&gt;=AC$3,$I115&lt;=AC$2),$E115,0),$E115*NETWORKDAYS(MAX($I115,AC$3),MIN($J115,AC$2),Data!$K$4:$K$203)/$K115)))</f>
        <v>0</v>
      </c>
      <c r="AD115" s="166">
        <f>IF(OR($I115="",$E115=0),0,IF(OR($J115&lt;AD$3,$I115&gt;AD$2),0,IF($K115=0,IF(AND($I115&gt;=AD$3,$I115&lt;=AD$2),$E115,0),$E115*NETWORKDAYS(MAX($I115,AD$3),MIN($J115,AD$2),Data!$K$4:$K$203)/$K115)))</f>
        <v>0</v>
      </c>
      <c r="AE115" s="166">
        <f>IF(OR($I115="",$E115=0),0,IF(OR($J115&lt;AE$3,$I115&gt;AE$2),0,IF($K115=0,IF(AND($I115&gt;=AE$3,$I115&lt;=AE$2),$E115,0),$E115*NETWORKDAYS(MAX($I115,AE$3),MIN($J115,AE$2),Data!$K$4:$K$203)/$K115)))</f>
        <v>0</v>
      </c>
      <c r="AF115" s="166">
        <f>IF(OR($I115="",$E115=0),0,IF(OR($J115&lt;AF$3,$I115&gt;AF$2),0,IF($K115=0,IF(AND($I115&gt;=AF$3,$I115&lt;=AF$2),$E115,0),$E115*NETWORKDAYS(MAX($I115,AF$3),MIN($J115,AF$2),Data!$K$4:$K$203)/$K115)))</f>
        <v>0</v>
      </c>
      <c r="AG115" s="166">
        <f>IF(OR($I115="",$E115=0),0,IF(OR($J115&lt;AG$3,$I115&gt;AG$2),0,IF($K115=0,IF(AND($I115&gt;=AG$3,$I115&lt;=AG$2),$E115,0),$E115*NETWORKDAYS(MAX($I115,AG$3),MIN($J115,AG$2),Data!$K$4:$K$203)/$K115)))</f>
        <v>0</v>
      </c>
      <c r="AH115" s="166">
        <f>IF(OR($I115="",$E115=0),0,IF(OR($J115&lt;AH$3,$I115&gt;AH$2),0,IF($K115=0,IF(AND($I115&gt;=AH$3,$I115&lt;=AH$2),$E115,0),$E115*NETWORKDAYS(MAX($I115,AH$3),MIN($J115,AH$2),Data!$K$4:$K$203)/$K115)))</f>
        <v>0</v>
      </c>
      <c r="AI115" s="166">
        <f>SUM(W115:AH115)</f>
        <v>0</v>
      </c>
      <c r="BZ115" t="str">
        <f>IF(D115=1,IF(TRIM(INDEX(Charge!$K:$K,ROW()))&lt;&gt;"",TRIM(INDEX(Charge!$K:$K,ROW())),IF(TRIM(INDEX(Charge!$L:$L,ROW()))&lt;&gt;"",TRIM(INDEX(Charge!$L:$L,ROW())),"(non affecté)")),"")</f>
        <v/>
      </c>
      <c r="CA115" t="str">
        <f>IF(AND($CD$4&lt;&gt;"",BZ115=$CD$4),COUNTIFS($BZ$4:$BZ$503,$CD$4,$L$4:$L$503,"&lt;"&amp;L115)+1,"")</f>
        <v/>
      </c>
      <c r="EJ115" t="str">
        <f>TRIM(INDEX(Data!$E:$E,ROW()))</f>
        <v/>
      </c>
      <c r="EK115" t="str">
        <f>TRIM(INDEX(Data!$H:$H,ROW()))</f>
        <v/>
      </c>
      <c r="EM115" t="str">
        <f>IF(D115=1,IF(TRIM(INDEX(Charge!$K:$K,ROW()))&lt;&gt;"","Interne",IF(TRIM(INDEX(Charge!$L:$L,ROW()))&lt;&gt;"","Externe","Non affecté")),"")</f>
        <v/>
      </c>
      <c r="EN115" t="str">
        <f>IF(D115=1,LEFT(SUBSTITUTE(SUBSTITUTE(SUBSTITUTE(TRIM(SUBSTITUTE(INDEX(Charge!$B:$B,ROW()),CHAR(160)," "))&amp;" | "&amp;TRIM(SUBSTITUTE(INDEX(Charge!$C:$C,ROW()),CHAR(160)," "))&amp;" | "&amp;TRIM(SUBSTITUTE(INDEX(Charge!$D:$D,ROW()),CHAR(160)," ")),"~","-"),"*","+"),"?","!"),240),"")</f>
        <v/>
      </c>
      <c r="EO115">
        <f>IF(EN115="",0,IF(COUNTIF($EN$4:EN115,EN115)=1,1,0))</f>
        <v>0</v>
      </c>
      <c r="EP115" s="166" t="str">
        <f>IF(EO115=1,ROUND(SUMIF($EN$4:$EN$503,EN115,$E$4:$E$503),2),"")</f>
        <v/>
      </c>
      <c r="EQ115" t="str">
        <f>IF(EO115=1,COUNTIFS($EO$4:$EO$503,1,$EP$4:$EP$503,"&gt;"&amp;EP115)+COUNTIFS($EO$4:EO115,1,$EP$4:EP115,EP115),"")</f>
        <v/>
      </c>
      <c r="ER115" t="str">
        <f>IF(EO115=1,COUNTIFS($EN$4:$EN$503,EN115,$EM$4:$EM$503,"Interne",$FE$4:$FE$503,1),"")</f>
        <v/>
      </c>
      <c r="ES115" t="str">
        <f>IF(EO115=1,COUNTIFS($EN$4:$EN$503,EN115,$EM$4:$EM$503,"Externe",$FE$4:$FE$503,1),"")</f>
        <v/>
      </c>
      <c r="ET115" t="str">
        <f>IF(EO115=1,IF(ER115+ES115=0,"à affecter",IF(ER115=0,ES115&amp;" ext.",(ER115+ES115)&amp;IF(ES115&gt;0," dont "&amp;ES115&amp;" ext.",""))&amp;IF(COUNTIFS($EN$4:$EN$503,EN115,$EM$4:$EM$503,"Non affecté")&gt;0," + à affecter","")),"")</f>
        <v/>
      </c>
      <c r="EU115" s="170" t="str">
        <f>IF(EO115=1,IF(EP115&gt;0,SUMPRODUCT(($EN$4:$EN$503=EN115)*$E$4:$E$503*$C$4:$C$503)/EP115,AVERAGEIF($EN$4:$EN$503,EN115,$C$4:$C$503)),"")</f>
        <v/>
      </c>
      <c r="EV115" s="165">
        <f>IF(ISNUMBER(I115),I115,2958465)</f>
        <v>2958465.0</v>
      </c>
      <c r="EW115" s="165" t="str">
        <f>IF(EO115=1,SUMPRODUCT(MIN(($EN$4:$EN$503=EN115)*$EV$4:$EV$503+($EN$4:$EN$503&lt;&gt;EN115)*2958465)),"")</f>
        <v/>
      </c>
      <c r="EX115" s="165">
        <f>IF(AND(D115=1,ISNUMBER(INDEX(Charge!$F:$F,ROW()))),INDEX(Charge!$F:$F,ROW()),0)</f>
        <v>0.0</v>
      </c>
      <c r="EY115" s="165" t="str">
        <f>IF(EO115=1,SUMPRODUCT(MAX(($EN$4:$EN$503=EN115)*$EX$4:$EX$503)),"")</f>
        <v/>
      </c>
      <c r="FA115" t="str">
        <f>IF(112&lt;=$CD$23,INDEX($EJ$4:$EJ$203,112),IF(112-$CD$23&lt;=$CD$26,INDEX($EK$4:$EK$203,112-$CD$23),""))</f>
        <v/>
      </c>
      <c r="FB115" t="str">
        <f>IF(FA115="","",IF(112&lt;=$CD$23,"Interne","Externe"))</f>
        <v/>
      </c>
      <c r="FD115">
        <f>IF(AND(B115=1,TRIM(INDEX(Charge!$K:$K,ROW()))&lt;&gt;"",TRIM(INDEX(Charge!$L:$L,ROW()))&lt;&gt;""),1,0)</f>
        <v>0</v>
      </c>
      <c r="FE115">
        <f>IF(OR(EN115="",BZ115="(non affecté)"),0,IF(COUNTIFS($EN$4:EN115,EN115,$BZ$4:BZ115,BZ115)=1,1,0))</f>
        <v>0</v>
      </c>
    </row>
    <row r="116">
      <c r="A116">
        <f>ROW()</f>
        <v>116</v>
      </c>
      <c r="B116">
        <f>IF(TRIM(INDEX(Charge!$B:$B,ROW()))&lt;&gt;"",1,0)</f>
        <v>0</v>
      </c>
      <c r="C116">
        <f>IF(B116=1,MIN(1,MAX(0,N(INDEX(Charge!$O:$O,ROW())))),0)</f>
        <v>0</v>
      </c>
      <c r="D116">
        <f>IF(B116=1,IF(OR(p_Perimetre="Tous les projets",C116&lt;1),1,0),0)</f>
        <v>0</v>
      </c>
      <c r="E116">
        <f>IF(D116=1,MAX(0,N(INDEX(Charge!$M:$M,ROW()))),0)</f>
        <v>0</v>
      </c>
      <c r="F116" t="str">
        <f>IF(D116=1,IF(TRIM(INDEX(Charge!$A:$A,ROW()))="","(non renseigné)",TRIM(INDEX(Charge!$A:$A,ROW()))),"")</f>
        <v/>
      </c>
      <c r="G116" t="str">
        <f>IF(D116=1,TRIM(INDEX(Charge!$B:$B,ROW())),"")</f>
        <v/>
      </c>
      <c r="H116" t="str">
        <f>IF(D116=1,IF(TRIM(INDEX(Charge!$E:$E,ROW()))="","(non renseigné)",TRIM(INDEX(Charge!$E:$E,ROW()))),"")</f>
        <v/>
      </c>
      <c r="I116" s="165" t="str">
        <f>IF(AND(D116=1,ISNUMBER(INDEX(Charge!$N:$N,ROW()))),INDEX(Charge!$N:$N,ROW()),"")</f>
        <v/>
      </c>
      <c r="J116" s="165" t="str">
        <f>IF(I116="","",IF(AND(p_Repartition="Lissée jusqu'à la date de besoin",ISNUMBER(INDEX(Charge!$F:$F,ROW()))),IF(INDEX(Charge!$F:$F,ROW())&gt;=I116,INDEX(Charge!$F:$F,ROW()),I116),I116))</f>
        <v/>
      </c>
      <c r="K116" t="str">
        <f>IF(I116="","",NETWORKDAYS(I116,J116,Data!$K$4:$K$203))</f>
        <v/>
      </c>
      <c r="L116" t="str">
        <f>IF(D116=1,COUNTIFS($D$4:$D$503,1,$E$4:$E$503,"&gt;"&amp;E116)+COUNTIFS($D$4:$D116,1,$E$4:$E116,E116),"")</f>
        <v/>
      </c>
      <c r="M116">
        <f>IF(F116="",0,IF(COUNTIF($F$4:F116,F116)=1,1,0))</f>
        <v>0</v>
      </c>
      <c r="N116" t="str">
        <f>IF(M116=1,ROUND(SUMIF($F$4:$F$503,F116,$E$4:$E$503),2),"")</f>
        <v/>
      </c>
      <c r="O116" t="str">
        <f>IF(M116=1,COUNTIFS($M$4:$M$503,1,$N$4:$N$503,"&gt;"&amp;N116)+COUNTIFS($M$4:M116,1,$N$4:N116,N116),"")</f>
        <v/>
      </c>
      <c r="P116">
        <f>IF(G116="",0,IF(COUNTIF($G$4:G116,G116)=1,1,0))</f>
        <v>0</v>
      </c>
      <c r="Q116" t="str">
        <f>IF(P116=1,ROUND(SUMIF($G$4:$G$503,G116,$E$4:$E$503),2),"")</f>
        <v/>
      </c>
      <c r="R116" t="str">
        <f>IF(P116=1,COUNTIFS($P$4:$P$503,1,$Q$4:$Q$503,"&gt;"&amp;Q116)+COUNTIFS($P$4:P116,1,$Q$4:Q116,Q116),"")</f>
        <v/>
      </c>
      <c r="S116">
        <f>IF(H116="",0,IF(COUNTIF($H$4:H116,H116)=1,1,0))</f>
        <v>0</v>
      </c>
      <c r="T116" t="str">
        <f>IF(S116=1,ROUND(SUMIF($H$4:$H$503,H116,$E$4:$E$503),2),"")</f>
        <v/>
      </c>
      <c r="U116" t="str">
        <f>IF(S116=1,COUNTIFS($S$4:$S$503,1,$T$4:$T$503,"&gt;"&amp;T116)+COUNTIFS($S$4:S116,1,$T$4:T116,T116),"")</f>
        <v/>
      </c>
      <c r="V116" t="str">
        <f>IF(D116=1,MIN(INDEX($R$4:$R$503,MATCH(G116,$G$4:$G$503,0)),IF($AL$7&gt;9,9,999)),"")</f>
        <v/>
      </c>
      <c r="W116" s="166">
        <f>IF(OR($I116="",$E116=0),0,IF(OR($J116&lt;W$3,$I116&gt;W$2),0,IF($K116=0,IF(AND($I116&gt;=W$3,$I116&lt;=W$2),$E116,0),$E116*NETWORKDAYS(MAX($I116,W$3),MIN($J116,W$2),Data!$K$4:$K$203)/$K116)))</f>
        <v>0</v>
      </c>
      <c r="X116" s="166">
        <f>IF(OR($I116="",$E116=0),0,IF(OR($J116&lt;X$3,$I116&gt;X$2),0,IF($K116=0,IF(AND($I116&gt;=X$3,$I116&lt;=X$2),$E116,0),$E116*NETWORKDAYS(MAX($I116,X$3),MIN($J116,X$2),Data!$K$4:$K$203)/$K116)))</f>
        <v>0</v>
      </c>
      <c r="Y116" s="166">
        <f>IF(OR($I116="",$E116=0),0,IF(OR($J116&lt;Y$3,$I116&gt;Y$2),0,IF($K116=0,IF(AND($I116&gt;=Y$3,$I116&lt;=Y$2),$E116,0),$E116*NETWORKDAYS(MAX($I116,Y$3),MIN($J116,Y$2),Data!$K$4:$K$203)/$K116)))</f>
        <v>0</v>
      </c>
      <c r="Z116" s="166">
        <f>IF(OR($I116="",$E116=0),0,IF(OR($J116&lt;Z$3,$I116&gt;Z$2),0,IF($K116=0,IF(AND($I116&gt;=Z$3,$I116&lt;=Z$2),$E116,0),$E116*NETWORKDAYS(MAX($I116,Z$3),MIN($J116,Z$2),Data!$K$4:$K$203)/$K116)))</f>
        <v>0</v>
      </c>
      <c r="AA116" s="166">
        <f>IF(OR($I116="",$E116=0),0,IF(OR($J116&lt;AA$3,$I116&gt;AA$2),0,IF($K116=0,IF(AND($I116&gt;=AA$3,$I116&lt;=AA$2),$E116,0),$E116*NETWORKDAYS(MAX($I116,AA$3),MIN($J116,AA$2),Data!$K$4:$K$203)/$K116)))</f>
        <v>0</v>
      </c>
      <c r="AB116" s="166">
        <f>IF(OR($I116="",$E116=0),0,IF(OR($J116&lt;AB$3,$I116&gt;AB$2),0,IF($K116=0,IF(AND($I116&gt;=AB$3,$I116&lt;=AB$2),$E116,0),$E116*NETWORKDAYS(MAX($I116,AB$3),MIN($J116,AB$2),Data!$K$4:$K$203)/$K116)))</f>
        <v>0</v>
      </c>
      <c r="AC116" s="166">
        <f>IF(OR($I116="",$E116=0),0,IF(OR($J116&lt;AC$3,$I116&gt;AC$2),0,IF($K116=0,IF(AND($I116&gt;=AC$3,$I116&lt;=AC$2),$E116,0),$E116*NETWORKDAYS(MAX($I116,AC$3),MIN($J116,AC$2),Data!$K$4:$K$203)/$K116)))</f>
        <v>0</v>
      </c>
      <c r="AD116" s="166">
        <f>IF(OR($I116="",$E116=0),0,IF(OR($J116&lt;AD$3,$I116&gt;AD$2),0,IF($K116=0,IF(AND($I116&gt;=AD$3,$I116&lt;=AD$2),$E116,0),$E116*NETWORKDAYS(MAX($I116,AD$3),MIN($J116,AD$2),Data!$K$4:$K$203)/$K116)))</f>
        <v>0</v>
      </c>
      <c r="AE116" s="166">
        <f>IF(OR($I116="",$E116=0),0,IF(OR($J116&lt;AE$3,$I116&gt;AE$2),0,IF($K116=0,IF(AND($I116&gt;=AE$3,$I116&lt;=AE$2),$E116,0),$E116*NETWORKDAYS(MAX($I116,AE$3),MIN($J116,AE$2),Data!$K$4:$K$203)/$K116)))</f>
        <v>0</v>
      </c>
      <c r="AF116" s="166">
        <f>IF(OR($I116="",$E116=0),0,IF(OR($J116&lt;AF$3,$I116&gt;AF$2),0,IF($K116=0,IF(AND($I116&gt;=AF$3,$I116&lt;=AF$2),$E116,0),$E116*NETWORKDAYS(MAX($I116,AF$3),MIN($J116,AF$2),Data!$K$4:$K$203)/$K116)))</f>
        <v>0</v>
      </c>
      <c r="AG116" s="166">
        <f>IF(OR($I116="",$E116=0),0,IF(OR($J116&lt;AG$3,$I116&gt;AG$2),0,IF($K116=0,IF(AND($I116&gt;=AG$3,$I116&lt;=AG$2),$E116,0),$E116*NETWORKDAYS(MAX($I116,AG$3),MIN($J116,AG$2),Data!$K$4:$K$203)/$K116)))</f>
        <v>0</v>
      </c>
      <c r="AH116" s="166">
        <f>IF(OR($I116="",$E116=0),0,IF(OR($J116&lt;AH$3,$I116&gt;AH$2),0,IF($K116=0,IF(AND($I116&gt;=AH$3,$I116&lt;=AH$2),$E116,0),$E116*NETWORKDAYS(MAX($I116,AH$3),MIN($J116,AH$2),Data!$K$4:$K$203)/$K116)))</f>
        <v>0</v>
      </c>
      <c r="AI116" s="166">
        <f>SUM(W116:AH116)</f>
        <v>0</v>
      </c>
      <c r="BZ116" t="str">
        <f>IF(D116=1,IF(TRIM(INDEX(Charge!$K:$K,ROW()))&lt;&gt;"",TRIM(INDEX(Charge!$K:$K,ROW())),IF(TRIM(INDEX(Charge!$L:$L,ROW()))&lt;&gt;"",TRIM(INDEX(Charge!$L:$L,ROW())),"(non affecté)")),"")</f>
        <v/>
      </c>
      <c r="CA116" t="str">
        <f>IF(AND($CD$4&lt;&gt;"",BZ116=$CD$4),COUNTIFS($BZ$4:$BZ$503,$CD$4,$L$4:$L$503,"&lt;"&amp;L116)+1,"")</f>
        <v/>
      </c>
      <c r="EJ116" t="str">
        <f>TRIM(INDEX(Data!$E:$E,ROW()))</f>
        <v/>
      </c>
      <c r="EK116" t="str">
        <f>TRIM(INDEX(Data!$H:$H,ROW()))</f>
        <v/>
      </c>
      <c r="EM116" t="str">
        <f>IF(D116=1,IF(TRIM(INDEX(Charge!$K:$K,ROW()))&lt;&gt;"","Interne",IF(TRIM(INDEX(Charge!$L:$L,ROW()))&lt;&gt;"","Externe","Non affecté")),"")</f>
        <v/>
      </c>
      <c r="EN116" t="str">
        <f>IF(D116=1,LEFT(SUBSTITUTE(SUBSTITUTE(SUBSTITUTE(TRIM(SUBSTITUTE(INDEX(Charge!$B:$B,ROW()),CHAR(160)," "))&amp;" | "&amp;TRIM(SUBSTITUTE(INDEX(Charge!$C:$C,ROW()),CHAR(160)," "))&amp;" | "&amp;TRIM(SUBSTITUTE(INDEX(Charge!$D:$D,ROW()),CHAR(160)," ")),"~","-"),"*","+"),"?","!"),240),"")</f>
        <v/>
      </c>
      <c r="EO116">
        <f>IF(EN116="",0,IF(COUNTIF($EN$4:EN116,EN116)=1,1,0))</f>
        <v>0</v>
      </c>
      <c r="EP116" s="166" t="str">
        <f>IF(EO116=1,ROUND(SUMIF($EN$4:$EN$503,EN116,$E$4:$E$503),2),"")</f>
        <v/>
      </c>
      <c r="EQ116" t="str">
        <f>IF(EO116=1,COUNTIFS($EO$4:$EO$503,1,$EP$4:$EP$503,"&gt;"&amp;EP116)+COUNTIFS($EO$4:EO116,1,$EP$4:EP116,EP116),"")</f>
        <v/>
      </c>
      <c r="ER116" t="str">
        <f>IF(EO116=1,COUNTIFS($EN$4:$EN$503,EN116,$EM$4:$EM$503,"Interne",$FE$4:$FE$503,1),"")</f>
        <v/>
      </c>
      <c r="ES116" t="str">
        <f>IF(EO116=1,COUNTIFS($EN$4:$EN$503,EN116,$EM$4:$EM$503,"Externe",$FE$4:$FE$503,1),"")</f>
        <v/>
      </c>
      <c r="ET116" t="str">
        <f>IF(EO116=1,IF(ER116+ES116=0,"à affecter",IF(ER116=0,ES116&amp;" ext.",(ER116+ES116)&amp;IF(ES116&gt;0," dont "&amp;ES116&amp;" ext.",""))&amp;IF(COUNTIFS($EN$4:$EN$503,EN116,$EM$4:$EM$503,"Non affecté")&gt;0," + à affecter","")),"")</f>
        <v/>
      </c>
      <c r="EU116" s="170" t="str">
        <f>IF(EO116=1,IF(EP116&gt;0,SUMPRODUCT(($EN$4:$EN$503=EN116)*$E$4:$E$503*$C$4:$C$503)/EP116,AVERAGEIF($EN$4:$EN$503,EN116,$C$4:$C$503)),"")</f>
        <v/>
      </c>
      <c r="EV116" s="165">
        <f>IF(ISNUMBER(I116),I116,2958465)</f>
        <v>2958465.0</v>
      </c>
      <c r="EW116" s="165" t="str">
        <f>IF(EO116=1,SUMPRODUCT(MIN(($EN$4:$EN$503=EN116)*$EV$4:$EV$503+($EN$4:$EN$503&lt;&gt;EN116)*2958465)),"")</f>
        <v/>
      </c>
      <c r="EX116" s="165">
        <f>IF(AND(D116=1,ISNUMBER(INDEX(Charge!$F:$F,ROW()))),INDEX(Charge!$F:$F,ROW()),0)</f>
        <v>0.0</v>
      </c>
      <c r="EY116" s="165" t="str">
        <f>IF(EO116=1,SUMPRODUCT(MAX(($EN$4:$EN$503=EN116)*$EX$4:$EX$503)),"")</f>
        <v/>
      </c>
      <c r="FA116" t="str">
        <f>IF(113&lt;=$CD$23,INDEX($EJ$4:$EJ$203,113),IF(113-$CD$23&lt;=$CD$26,INDEX($EK$4:$EK$203,113-$CD$23),""))</f>
        <v/>
      </c>
      <c r="FB116" t="str">
        <f>IF(FA116="","",IF(113&lt;=$CD$23,"Interne","Externe"))</f>
        <v/>
      </c>
      <c r="FD116">
        <f>IF(AND(B116=1,TRIM(INDEX(Charge!$K:$K,ROW()))&lt;&gt;"",TRIM(INDEX(Charge!$L:$L,ROW()))&lt;&gt;""),1,0)</f>
        <v>0</v>
      </c>
      <c r="FE116">
        <f>IF(OR(EN116="",BZ116="(non affecté)"),0,IF(COUNTIFS($EN$4:EN116,EN116,$BZ$4:BZ116,BZ116)=1,1,0))</f>
        <v>0</v>
      </c>
    </row>
    <row r="117">
      <c r="A117">
        <f>ROW()</f>
        <v>117</v>
      </c>
      <c r="B117">
        <f>IF(TRIM(INDEX(Charge!$B:$B,ROW()))&lt;&gt;"",1,0)</f>
        <v>0</v>
      </c>
      <c r="C117">
        <f>IF(B117=1,MIN(1,MAX(0,N(INDEX(Charge!$O:$O,ROW())))),0)</f>
        <v>0</v>
      </c>
      <c r="D117">
        <f>IF(B117=1,IF(OR(p_Perimetre="Tous les projets",C117&lt;1),1,0),0)</f>
        <v>0</v>
      </c>
      <c r="E117">
        <f>IF(D117=1,MAX(0,N(INDEX(Charge!$M:$M,ROW()))),0)</f>
        <v>0</v>
      </c>
      <c r="F117" t="str">
        <f>IF(D117=1,IF(TRIM(INDEX(Charge!$A:$A,ROW()))="","(non renseigné)",TRIM(INDEX(Charge!$A:$A,ROW()))),"")</f>
        <v/>
      </c>
      <c r="G117" t="str">
        <f>IF(D117=1,TRIM(INDEX(Charge!$B:$B,ROW())),"")</f>
        <v/>
      </c>
      <c r="H117" t="str">
        <f>IF(D117=1,IF(TRIM(INDEX(Charge!$E:$E,ROW()))="","(non renseigné)",TRIM(INDEX(Charge!$E:$E,ROW()))),"")</f>
        <v/>
      </c>
      <c r="I117" s="165" t="str">
        <f>IF(AND(D117=1,ISNUMBER(INDEX(Charge!$N:$N,ROW()))),INDEX(Charge!$N:$N,ROW()),"")</f>
        <v/>
      </c>
      <c r="J117" s="165" t="str">
        <f>IF(I117="","",IF(AND(p_Repartition="Lissée jusqu'à la date de besoin",ISNUMBER(INDEX(Charge!$F:$F,ROW()))),IF(INDEX(Charge!$F:$F,ROW())&gt;=I117,INDEX(Charge!$F:$F,ROW()),I117),I117))</f>
        <v/>
      </c>
      <c r="K117" t="str">
        <f>IF(I117="","",NETWORKDAYS(I117,J117,Data!$K$4:$K$203))</f>
        <v/>
      </c>
      <c r="L117" t="str">
        <f>IF(D117=1,COUNTIFS($D$4:$D$503,1,$E$4:$E$503,"&gt;"&amp;E117)+COUNTIFS($D$4:$D117,1,$E$4:$E117,E117),"")</f>
        <v/>
      </c>
      <c r="M117">
        <f>IF(F117="",0,IF(COUNTIF($F$4:F117,F117)=1,1,0))</f>
        <v>0</v>
      </c>
      <c r="N117" t="str">
        <f>IF(M117=1,ROUND(SUMIF($F$4:$F$503,F117,$E$4:$E$503),2),"")</f>
        <v/>
      </c>
      <c r="O117" t="str">
        <f>IF(M117=1,COUNTIFS($M$4:$M$503,1,$N$4:$N$503,"&gt;"&amp;N117)+COUNTIFS($M$4:M117,1,$N$4:N117,N117),"")</f>
        <v/>
      </c>
      <c r="P117">
        <f>IF(G117="",0,IF(COUNTIF($G$4:G117,G117)=1,1,0))</f>
        <v>0</v>
      </c>
      <c r="Q117" t="str">
        <f>IF(P117=1,ROUND(SUMIF($G$4:$G$503,G117,$E$4:$E$503),2),"")</f>
        <v/>
      </c>
      <c r="R117" t="str">
        <f>IF(P117=1,COUNTIFS($P$4:$P$503,1,$Q$4:$Q$503,"&gt;"&amp;Q117)+COUNTIFS($P$4:P117,1,$Q$4:Q117,Q117),"")</f>
        <v/>
      </c>
      <c r="S117">
        <f>IF(H117="",0,IF(COUNTIF($H$4:H117,H117)=1,1,0))</f>
        <v>0</v>
      </c>
      <c r="T117" t="str">
        <f>IF(S117=1,ROUND(SUMIF($H$4:$H$503,H117,$E$4:$E$503),2),"")</f>
        <v/>
      </c>
      <c r="U117" t="str">
        <f>IF(S117=1,COUNTIFS($S$4:$S$503,1,$T$4:$T$503,"&gt;"&amp;T117)+COUNTIFS($S$4:S117,1,$T$4:T117,T117),"")</f>
        <v/>
      </c>
      <c r="V117" t="str">
        <f>IF(D117=1,MIN(INDEX($R$4:$R$503,MATCH(G117,$G$4:$G$503,0)),IF($AL$7&gt;9,9,999)),"")</f>
        <v/>
      </c>
      <c r="W117" s="166">
        <f>IF(OR($I117="",$E117=0),0,IF(OR($J117&lt;W$3,$I117&gt;W$2),0,IF($K117=0,IF(AND($I117&gt;=W$3,$I117&lt;=W$2),$E117,0),$E117*NETWORKDAYS(MAX($I117,W$3),MIN($J117,W$2),Data!$K$4:$K$203)/$K117)))</f>
        <v>0</v>
      </c>
      <c r="X117" s="166">
        <f>IF(OR($I117="",$E117=0),0,IF(OR($J117&lt;X$3,$I117&gt;X$2),0,IF($K117=0,IF(AND($I117&gt;=X$3,$I117&lt;=X$2),$E117,0),$E117*NETWORKDAYS(MAX($I117,X$3),MIN($J117,X$2),Data!$K$4:$K$203)/$K117)))</f>
        <v>0</v>
      </c>
      <c r="Y117" s="166">
        <f>IF(OR($I117="",$E117=0),0,IF(OR($J117&lt;Y$3,$I117&gt;Y$2),0,IF($K117=0,IF(AND($I117&gt;=Y$3,$I117&lt;=Y$2),$E117,0),$E117*NETWORKDAYS(MAX($I117,Y$3),MIN($J117,Y$2),Data!$K$4:$K$203)/$K117)))</f>
        <v>0</v>
      </c>
      <c r="Z117" s="166">
        <f>IF(OR($I117="",$E117=0),0,IF(OR($J117&lt;Z$3,$I117&gt;Z$2),0,IF($K117=0,IF(AND($I117&gt;=Z$3,$I117&lt;=Z$2),$E117,0),$E117*NETWORKDAYS(MAX($I117,Z$3),MIN($J117,Z$2),Data!$K$4:$K$203)/$K117)))</f>
        <v>0</v>
      </c>
      <c r="AA117" s="166">
        <f>IF(OR($I117="",$E117=0),0,IF(OR($J117&lt;AA$3,$I117&gt;AA$2),0,IF($K117=0,IF(AND($I117&gt;=AA$3,$I117&lt;=AA$2),$E117,0),$E117*NETWORKDAYS(MAX($I117,AA$3),MIN($J117,AA$2),Data!$K$4:$K$203)/$K117)))</f>
        <v>0</v>
      </c>
      <c r="AB117" s="166">
        <f>IF(OR($I117="",$E117=0),0,IF(OR($J117&lt;AB$3,$I117&gt;AB$2),0,IF($K117=0,IF(AND($I117&gt;=AB$3,$I117&lt;=AB$2),$E117,0),$E117*NETWORKDAYS(MAX($I117,AB$3),MIN($J117,AB$2),Data!$K$4:$K$203)/$K117)))</f>
        <v>0</v>
      </c>
      <c r="AC117" s="166">
        <f>IF(OR($I117="",$E117=0),0,IF(OR($J117&lt;AC$3,$I117&gt;AC$2),0,IF($K117=0,IF(AND($I117&gt;=AC$3,$I117&lt;=AC$2),$E117,0),$E117*NETWORKDAYS(MAX($I117,AC$3),MIN($J117,AC$2),Data!$K$4:$K$203)/$K117)))</f>
        <v>0</v>
      </c>
      <c r="AD117" s="166">
        <f>IF(OR($I117="",$E117=0),0,IF(OR($J117&lt;AD$3,$I117&gt;AD$2),0,IF($K117=0,IF(AND($I117&gt;=AD$3,$I117&lt;=AD$2),$E117,0),$E117*NETWORKDAYS(MAX($I117,AD$3),MIN($J117,AD$2),Data!$K$4:$K$203)/$K117)))</f>
        <v>0</v>
      </c>
      <c r="AE117" s="166">
        <f>IF(OR($I117="",$E117=0),0,IF(OR($J117&lt;AE$3,$I117&gt;AE$2),0,IF($K117=0,IF(AND($I117&gt;=AE$3,$I117&lt;=AE$2),$E117,0),$E117*NETWORKDAYS(MAX($I117,AE$3),MIN($J117,AE$2),Data!$K$4:$K$203)/$K117)))</f>
        <v>0</v>
      </c>
      <c r="AF117" s="166">
        <f>IF(OR($I117="",$E117=0),0,IF(OR($J117&lt;AF$3,$I117&gt;AF$2),0,IF($K117=0,IF(AND($I117&gt;=AF$3,$I117&lt;=AF$2),$E117,0),$E117*NETWORKDAYS(MAX($I117,AF$3),MIN($J117,AF$2),Data!$K$4:$K$203)/$K117)))</f>
        <v>0</v>
      </c>
      <c r="AG117" s="166">
        <f>IF(OR($I117="",$E117=0),0,IF(OR($J117&lt;AG$3,$I117&gt;AG$2),0,IF($K117=0,IF(AND($I117&gt;=AG$3,$I117&lt;=AG$2),$E117,0),$E117*NETWORKDAYS(MAX($I117,AG$3),MIN($J117,AG$2),Data!$K$4:$K$203)/$K117)))</f>
        <v>0</v>
      </c>
      <c r="AH117" s="166">
        <f>IF(OR($I117="",$E117=0),0,IF(OR($J117&lt;AH$3,$I117&gt;AH$2),0,IF($K117=0,IF(AND($I117&gt;=AH$3,$I117&lt;=AH$2),$E117,0),$E117*NETWORKDAYS(MAX($I117,AH$3),MIN($J117,AH$2),Data!$K$4:$K$203)/$K117)))</f>
        <v>0</v>
      </c>
      <c r="AI117" s="166">
        <f>SUM(W117:AH117)</f>
        <v>0</v>
      </c>
      <c r="BZ117" t="str">
        <f>IF(D117=1,IF(TRIM(INDEX(Charge!$K:$K,ROW()))&lt;&gt;"",TRIM(INDEX(Charge!$K:$K,ROW())),IF(TRIM(INDEX(Charge!$L:$L,ROW()))&lt;&gt;"",TRIM(INDEX(Charge!$L:$L,ROW())),"(non affecté)")),"")</f>
        <v/>
      </c>
      <c r="CA117" t="str">
        <f>IF(AND($CD$4&lt;&gt;"",BZ117=$CD$4),COUNTIFS($BZ$4:$BZ$503,$CD$4,$L$4:$L$503,"&lt;"&amp;L117)+1,"")</f>
        <v/>
      </c>
      <c r="EJ117" t="str">
        <f>TRIM(INDEX(Data!$E:$E,ROW()))</f>
        <v/>
      </c>
      <c r="EK117" t="str">
        <f>TRIM(INDEX(Data!$H:$H,ROW()))</f>
        <v/>
      </c>
      <c r="EM117" t="str">
        <f>IF(D117=1,IF(TRIM(INDEX(Charge!$K:$K,ROW()))&lt;&gt;"","Interne",IF(TRIM(INDEX(Charge!$L:$L,ROW()))&lt;&gt;"","Externe","Non affecté")),"")</f>
        <v/>
      </c>
      <c r="EN117" t="str">
        <f>IF(D117=1,LEFT(SUBSTITUTE(SUBSTITUTE(SUBSTITUTE(TRIM(SUBSTITUTE(INDEX(Charge!$B:$B,ROW()),CHAR(160)," "))&amp;" | "&amp;TRIM(SUBSTITUTE(INDEX(Charge!$C:$C,ROW()),CHAR(160)," "))&amp;" | "&amp;TRIM(SUBSTITUTE(INDEX(Charge!$D:$D,ROW()),CHAR(160)," ")),"~","-"),"*","+"),"?","!"),240),"")</f>
        <v/>
      </c>
      <c r="EO117">
        <f>IF(EN117="",0,IF(COUNTIF($EN$4:EN117,EN117)=1,1,0))</f>
        <v>0</v>
      </c>
      <c r="EP117" s="166" t="str">
        <f>IF(EO117=1,ROUND(SUMIF($EN$4:$EN$503,EN117,$E$4:$E$503),2),"")</f>
        <v/>
      </c>
      <c r="EQ117" t="str">
        <f>IF(EO117=1,COUNTIFS($EO$4:$EO$503,1,$EP$4:$EP$503,"&gt;"&amp;EP117)+COUNTIFS($EO$4:EO117,1,$EP$4:EP117,EP117),"")</f>
        <v/>
      </c>
      <c r="ER117" t="str">
        <f>IF(EO117=1,COUNTIFS($EN$4:$EN$503,EN117,$EM$4:$EM$503,"Interne",$FE$4:$FE$503,1),"")</f>
        <v/>
      </c>
      <c r="ES117" t="str">
        <f>IF(EO117=1,COUNTIFS($EN$4:$EN$503,EN117,$EM$4:$EM$503,"Externe",$FE$4:$FE$503,1),"")</f>
        <v/>
      </c>
      <c r="ET117" t="str">
        <f>IF(EO117=1,IF(ER117+ES117=0,"à affecter",IF(ER117=0,ES117&amp;" ext.",(ER117+ES117)&amp;IF(ES117&gt;0," dont "&amp;ES117&amp;" ext.",""))&amp;IF(COUNTIFS($EN$4:$EN$503,EN117,$EM$4:$EM$503,"Non affecté")&gt;0," + à affecter","")),"")</f>
        <v/>
      </c>
      <c r="EU117" s="170" t="str">
        <f>IF(EO117=1,IF(EP117&gt;0,SUMPRODUCT(($EN$4:$EN$503=EN117)*$E$4:$E$503*$C$4:$C$503)/EP117,AVERAGEIF($EN$4:$EN$503,EN117,$C$4:$C$503)),"")</f>
        <v/>
      </c>
      <c r="EV117" s="165">
        <f>IF(ISNUMBER(I117),I117,2958465)</f>
        <v>2958465.0</v>
      </c>
      <c r="EW117" s="165" t="str">
        <f>IF(EO117=1,SUMPRODUCT(MIN(($EN$4:$EN$503=EN117)*$EV$4:$EV$503+($EN$4:$EN$503&lt;&gt;EN117)*2958465)),"")</f>
        <v/>
      </c>
      <c r="EX117" s="165">
        <f>IF(AND(D117=1,ISNUMBER(INDEX(Charge!$F:$F,ROW()))),INDEX(Charge!$F:$F,ROW()),0)</f>
        <v>0.0</v>
      </c>
      <c r="EY117" s="165" t="str">
        <f>IF(EO117=1,SUMPRODUCT(MAX(($EN$4:$EN$503=EN117)*$EX$4:$EX$503)),"")</f>
        <v/>
      </c>
      <c r="FA117" t="str">
        <f>IF(114&lt;=$CD$23,INDEX($EJ$4:$EJ$203,114),IF(114-$CD$23&lt;=$CD$26,INDEX($EK$4:$EK$203,114-$CD$23),""))</f>
        <v/>
      </c>
      <c r="FB117" t="str">
        <f>IF(FA117="","",IF(114&lt;=$CD$23,"Interne","Externe"))</f>
        <v/>
      </c>
      <c r="FD117">
        <f>IF(AND(B117=1,TRIM(INDEX(Charge!$K:$K,ROW()))&lt;&gt;"",TRIM(INDEX(Charge!$L:$L,ROW()))&lt;&gt;""),1,0)</f>
        <v>0</v>
      </c>
      <c r="FE117">
        <f>IF(OR(EN117="",BZ117="(non affecté)"),0,IF(COUNTIFS($EN$4:EN117,EN117,$BZ$4:BZ117,BZ117)=1,1,0))</f>
        <v>0</v>
      </c>
    </row>
    <row r="118">
      <c r="A118">
        <f>ROW()</f>
        <v>118</v>
      </c>
      <c r="B118">
        <f>IF(TRIM(INDEX(Charge!$B:$B,ROW()))&lt;&gt;"",1,0)</f>
        <v>0</v>
      </c>
      <c r="C118">
        <f>IF(B118=1,MIN(1,MAX(0,N(INDEX(Charge!$O:$O,ROW())))),0)</f>
        <v>0</v>
      </c>
      <c r="D118">
        <f>IF(B118=1,IF(OR(p_Perimetre="Tous les projets",C118&lt;1),1,0),0)</f>
        <v>0</v>
      </c>
      <c r="E118">
        <f>IF(D118=1,MAX(0,N(INDEX(Charge!$M:$M,ROW()))),0)</f>
        <v>0</v>
      </c>
      <c r="F118" t="str">
        <f>IF(D118=1,IF(TRIM(INDEX(Charge!$A:$A,ROW()))="","(non renseigné)",TRIM(INDEX(Charge!$A:$A,ROW()))),"")</f>
        <v/>
      </c>
      <c r="G118" t="str">
        <f>IF(D118=1,TRIM(INDEX(Charge!$B:$B,ROW())),"")</f>
        <v/>
      </c>
      <c r="H118" t="str">
        <f>IF(D118=1,IF(TRIM(INDEX(Charge!$E:$E,ROW()))="","(non renseigné)",TRIM(INDEX(Charge!$E:$E,ROW()))),"")</f>
        <v/>
      </c>
      <c r="I118" s="165" t="str">
        <f>IF(AND(D118=1,ISNUMBER(INDEX(Charge!$N:$N,ROW()))),INDEX(Charge!$N:$N,ROW()),"")</f>
        <v/>
      </c>
      <c r="J118" s="165" t="str">
        <f>IF(I118="","",IF(AND(p_Repartition="Lissée jusqu'à la date de besoin",ISNUMBER(INDEX(Charge!$F:$F,ROW()))),IF(INDEX(Charge!$F:$F,ROW())&gt;=I118,INDEX(Charge!$F:$F,ROW()),I118),I118))</f>
        <v/>
      </c>
      <c r="K118" t="str">
        <f>IF(I118="","",NETWORKDAYS(I118,J118,Data!$K$4:$K$203))</f>
        <v/>
      </c>
      <c r="L118" t="str">
        <f>IF(D118=1,COUNTIFS($D$4:$D$503,1,$E$4:$E$503,"&gt;"&amp;E118)+COUNTIFS($D$4:$D118,1,$E$4:$E118,E118),"")</f>
        <v/>
      </c>
      <c r="M118">
        <f>IF(F118="",0,IF(COUNTIF($F$4:F118,F118)=1,1,0))</f>
        <v>0</v>
      </c>
      <c r="N118" t="str">
        <f>IF(M118=1,ROUND(SUMIF($F$4:$F$503,F118,$E$4:$E$503),2),"")</f>
        <v/>
      </c>
      <c r="O118" t="str">
        <f>IF(M118=1,COUNTIFS($M$4:$M$503,1,$N$4:$N$503,"&gt;"&amp;N118)+COUNTIFS($M$4:M118,1,$N$4:N118,N118),"")</f>
        <v/>
      </c>
      <c r="P118">
        <f>IF(G118="",0,IF(COUNTIF($G$4:G118,G118)=1,1,0))</f>
        <v>0</v>
      </c>
      <c r="Q118" t="str">
        <f>IF(P118=1,ROUND(SUMIF($G$4:$G$503,G118,$E$4:$E$503),2),"")</f>
        <v/>
      </c>
      <c r="R118" t="str">
        <f>IF(P118=1,COUNTIFS($P$4:$P$503,1,$Q$4:$Q$503,"&gt;"&amp;Q118)+COUNTIFS($P$4:P118,1,$Q$4:Q118,Q118),"")</f>
        <v/>
      </c>
      <c r="S118">
        <f>IF(H118="",0,IF(COUNTIF($H$4:H118,H118)=1,1,0))</f>
        <v>0</v>
      </c>
      <c r="T118" t="str">
        <f>IF(S118=1,ROUND(SUMIF($H$4:$H$503,H118,$E$4:$E$503),2),"")</f>
        <v/>
      </c>
      <c r="U118" t="str">
        <f>IF(S118=1,COUNTIFS($S$4:$S$503,1,$T$4:$T$503,"&gt;"&amp;T118)+COUNTIFS($S$4:S118,1,$T$4:T118,T118),"")</f>
        <v/>
      </c>
      <c r="V118" t="str">
        <f>IF(D118=1,MIN(INDEX($R$4:$R$503,MATCH(G118,$G$4:$G$503,0)),IF($AL$7&gt;9,9,999)),"")</f>
        <v/>
      </c>
      <c r="W118" s="166">
        <f>IF(OR($I118="",$E118=0),0,IF(OR($J118&lt;W$3,$I118&gt;W$2),0,IF($K118=0,IF(AND($I118&gt;=W$3,$I118&lt;=W$2),$E118,0),$E118*NETWORKDAYS(MAX($I118,W$3),MIN($J118,W$2),Data!$K$4:$K$203)/$K118)))</f>
        <v>0</v>
      </c>
      <c r="X118" s="166">
        <f>IF(OR($I118="",$E118=0),0,IF(OR($J118&lt;X$3,$I118&gt;X$2),0,IF($K118=0,IF(AND($I118&gt;=X$3,$I118&lt;=X$2),$E118,0),$E118*NETWORKDAYS(MAX($I118,X$3),MIN($J118,X$2),Data!$K$4:$K$203)/$K118)))</f>
        <v>0</v>
      </c>
      <c r="Y118" s="166">
        <f>IF(OR($I118="",$E118=0),0,IF(OR($J118&lt;Y$3,$I118&gt;Y$2),0,IF($K118=0,IF(AND($I118&gt;=Y$3,$I118&lt;=Y$2),$E118,0),$E118*NETWORKDAYS(MAX($I118,Y$3),MIN($J118,Y$2),Data!$K$4:$K$203)/$K118)))</f>
        <v>0</v>
      </c>
      <c r="Z118" s="166">
        <f>IF(OR($I118="",$E118=0),0,IF(OR($J118&lt;Z$3,$I118&gt;Z$2),0,IF($K118=0,IF(AND($I118&gt;=Z$3,$I118&lt;=Z$2),$E118,0),$E118*NETWORKDAYS(MAX($I118,Z$3),MIN($J118,Z$2),Data!$K$4:$K$203)/$K118)))</f>
        <v>0</v>
      </c>
      <c r="AA118" s="166">
        <f>IF(OR($I118="",$E118=0),0,IF(OR($J118&lt;AA$3,$I118&gt;AA$2),0,IF($K118=0,IF(AND($I118&gt;=AA$3,$I118&lt;=AA$2),$E118,0),$E118*NETWORKDAYS(MAX($I118,AA$3),MIN($J118,AA$2),Data!$K$4:$K$203)/$K118)))</f>
        <v>0</v>
      </c>
      <c r="AB118" s="166">
        <f>IF(OR($I118="",$E118=0),0,IF(OR($J118&lt;AB$3,$I118&gt;AB$2),0,IF($K118=0,IF(AND($I118&gt;=AB$3,$I118&lt;=AB$2),$E118,0),$E118*NETWORKDAYS(MAX($I118,AB$3),MIN($J118,AB$2),Data!$K$4:$K$203)/$K118)))</f>
        <v>0</v>
      </c>
      <c r="AC118" s="166">
        <f>IF(OR($I118="",$E118=0),0,IF(OR($J118&lt;AC$3,$I118&gt;AC$2),0,IF($K118=0,IF(AND($I118&gt;=AC$3,$I118&lt;=AC$2),$E118,0),$E118*NETWORKDAYS(MAX($I118,AC$3),MIN($J118,AC$2),Data!$K$4:$K$203)/$K118)))</f>
        <v>0</v>
      </c>
      <c r="AD118" s="166">
        <f>IF(OR($I118="",$E118=0),0,IF(OR($J118&lt;AD$3,$I118&gt;AD$2),0,IF($K118=0,IF(AND($I118&gt;=AD$3,$I118&lt;=AD$2),$E118,0),$E118*NETWORKDAYS(MAX($I118,AD$3),MIN($J118,AD$2),Data!$K$4:$K$203)/$K118)))</f>
        <v>0</v>
      </c>
      <c r="AE118" s="166">
        <f>IF(OR($I118="",$E118=0),0,IF(OR($J118&lt;AE$3,$I118&gt;AE$2),0,IF($K118=0,IF(AND($I118&gt;=AE$3,$I118&lt;=AE$2),$E118,0),$E118*NETWORKDAYS(MAX($I118,AE$3),MIN($J118,AE$2),Data!$K$4:$K$203)/$K118)))</f>
        <v>0</v>
      </c>
      <c r="AF118" s="166">
        <f>IF(OR($I118="",$E118=0),0,IF(OR($J118&lt;AF$3,$I118&gt;AF$2),0,IF($K118=0,IF(AND($I118&gt;=AF$3,$I118&lt;=AF$2),$E118,0),$E118*NETWORKDAYS(MAX($I118,AF$3),MIN($J118,AF$2),Data!$K$4:$K$203)/$K118)))</f>
        <v>0</v>
      </c>
      <c r="AG118" s="166">
        <f>IF(OR($I118="",$E118=0),0,IF(OR($J118&lt;AG$3,$I118&gt;AG$2),0,IF($K118=0,IF(AND($I118&gt;=AG$3,$I118&lt;=AG$2),$E118,0),$E118*NETWORKDAYS(MAX($I118,AG$3),MIN($J118,AG$2),Data!$K$4:$K$203)/$K118)))</f>
        <v>0</v>
      </c>
      <c r="AH118" s="166">
        <f>IF(OR($I118="",$E118=0),0,IF(OR($J118&lt;AH$3,$I118&gt;AH$2),0,IF($K118=0,IF(AND($I118&gt;=AH$3,$I118&lt;=AH$2),$E118,0),$E118*NETWORKDAYS(MAX($I118,AH$3),MIN($J118,AH$2),Data!$K$4:$K$203)/$K118)))</f>
        <v>0</v>
      </c>
      <c r="AI118" s="166">
        <f>SUM(W118:AH118)</f>
        <v>0</v>
      </c>
      <c r="BZ118" t="str">
        <f>IF(D118=1,IF(TRIM(INDEX(Charge!$K:$K,ROW()))&lt;&gt;"",TRIM(INDEX(Charge!$K:$K,ROW())),IF(TRIM(INDEX(Charge!$L:$L,ROW()))&lt;&gt;"",TRIM(INDEX(Charge!$L:$L,ROW())),"(non affecté)")),"")</f>
        <v/>
      </c>
      <c r="CA118" t="str">
        <f>IF(AND($CD$4&lt;&gt;"",BZ118=$CD$4),COUNTIFS($BZ$4:$BZ$503,$CD$4,$L$4:$L$503,"&lt;"&amp;L118)+1,"")</f>
        <v/>
      </c>
      <c r="EJ118" t="str">
        <f>TRIM(INDEX(Data!$E:$E,ROW()))</f>
        <v/>
      </c>
      <c r="EK118" t="str">
        <f>TRIM(INDEX(Data!$H:$H,ROW()))</f>
        <v/>
      </c>
      <c r="EM118" t="str">
        <f>IF(D118=1,IF(TRIM(INDEX(Charge!$K:$K,ROW()))&lt;&gt;"","Interne",IF(TRIM(INDEX(Charge!$L:$L,ROW()))&lt;&gt;"","Externe","Non affecté")),"")</f>
        <v/>
      </c>
      <c r="EN118" t="str">
        <f>IF(D118=1,LEFT(SUBSTITUTE(SUBSTITUTE(SUBSTITUTE(TRIM(SUBSTITUTE(INDEX(Charge!$B:$B,ROW()),CHAR(160)," "))&amp;" | "&amp;TRIM(SUBSTITUTE(INDEX(Charge!$C:$C,ROW()),CHAR(160)," "))&amp;" | "&amp;TRIM(SUBSTITUTE(INDEX(Charge!$D:$D,ROW()),CHAR(160)," ")),"~","-"),"*","+"),"?","!"),240),"")</f>
        <v/>
      </c>
      <c r="EO118">
        <f>IF(EN118="",0,IF(COUNTIF($EN$4:EN118,EN118)=1,1,0))</f>
        <v>0</v>
      </c>
      <c r="EP118" s="166" t="str">
        <f>IF(EO118=1,ROUND(SUMIF($EN$4:$EN$503,EN118,$E$4:$E$503),2),"")</f>
        <v/>
      </c>
      <c r="EQ118" t="str">
        <f>IF(EO118=1,COUNTIFS($EO$4:$EO$503,1,$EP$4:$EP$503,"&gt;"&amp;EP118)+COUNTIFS($EO$4:EO118,1,$EP$4:EP118,EP118),"")</f>
        <v/>
      </c>
      <c r="ER118" t="str">
        <f>IF(EO118=1,COUNTIFS($EN$4:$EN$503,EN118,$EM$4:$EM$503,"Interne",$FE$4:$FE$503,1),"")</f>
        <v/>
      </c>
      <c r="ES118" t="str">
        <f>IF(EO118=1,COUNTIFS($EN$4:$EN$503,EN118,$EM$4:$EM$503,"Externe",$FE$4:$FE$503,1),"")</f>
        <v/>
      </c>
      <c r="ET118" t="str">
        <f>IF(EO118=1,IF(ER118+ES118=0,"à affecter",IF(ER118=0,ES118&amp;" ext.",(ER118+ES118)&amp;IF(ES118&gt;0," dont "&amp;ES118&amp;" ext.",""))&amp;IF(COUNTIFS($EN$4:$EN$503,EN118,$EM$4:$EM$503,"Non affecté")&gt;0," + à affecter","")),"")</f>
        <v/>
      </c>
      <c r="EU118" s="170" t="str">
        <f>IF(EO118=1,IF(EP118&gt;0,SUMPRODUCT(($EN$4:$EN$503=EN118)*$E$4:$E$503*$C$4:$C$503)/EP118,AVERAGEIF($EN$4:$EN$503,EN118,$C$4:$C$503)),"")</f>
        <v/>
      </c>
      <c r="EV118" s="165">
        <f>IF(ISNUMBER(I118),I118,2958465)</f>
        <v>2958465.0</v>
      </c>
      <c r="EW118" s="165" t="str">
        <f>IF(EO118=1,SUMPRODUCT(MIN(($EN$4:$EN$503=EN118)*$EV$4:$EV$503+($EN$4:$EN$503&lt;&gt;EN118)*2958465)),"")</f>
        <v/>
      </c>
      <c r="EX118" s="165">
        <f>IF(AND(D118=1,ISNUMBER(INDEX(Charge!$F:$F,ROW()))),INDEX(Charge!$F:$F,ROW()),0)</f>
        <v>0.0</v>
      </c>
      <c r="EY118" s="165" t="str">
        <f>IF(EO118=1,SUMPRODUCT(MAX(($EN$4:$EN$503=EN118)*$EX$4:$EX$503)),"")</f>
        <v/>
      </c>
      <c r="FA118" t="str">
        <f>IF(115&lt;=$CD$23,INDEX($EJ$4:$EJ$203,115),IF(115-$CD$23&lt;=$CD$26,INDEX($EK$4:$EK$203,115-$CD$23),""))</f>
        <v/>
      </c>
      <c r="FB118" t="str">
        <f>IF(FA118="","",IF(115&lt;=$CD$23,"Interne","Externe"))</f>
        <v/>
      </c>
      <c r="FD118">
        <f>IF(AND(B118=1,TRIM(INDEX(Charge!$K:$K,ROW()))&lt;&gt;"",TRIM(INDEX(Charge!$L:$L,ROW()))&lt;&gt;""),1,0)</f>
        <v>0</v>
      </c>
      <c r="FE118">
        <f>IF(OR(EN118="",BZ118="(non affecté)"),0,IF(COUNTIFS($EN$4:EN118,EN118,$BZ$4:BZ118,BZ118)=1,1,0))</f>
        <v>0</v>
      </c>
    </row>
    <row r="119">
      <c r="A119">
        <f>ROW()</f>
        <v>119</v>
      </c>
      <c r="B119">
        <f>IF(TRIM(INDEX(Charge!$B:$B,ROW()))&lt;&gt;"",1,0)</f>
        <v>0</v>
      </c>
      <c r="C119">
        <f>IF(B119=1,MIN(1,MAX(0,N(INDEX(Charge!$O:$O,ROW())))),0)</f>
        <v>0</v>
      </c>
      <c r="D119">
        <f>IF(B119=1,IF(OR(p_Perimetre="Tous les projets",C119&lt;1),1,0),0)</f>
        <v>0</v>
      </c>
      <c r="E119">
        <f>IF(D119=1,MAX(0,N(INDEX(Charge!$M:$M,ROW()))),0)</f>
        <v>0</v>
      </c>
      <c r="F119" t="str">
        <f>IF(D119=1,IF(TRIM(INDEX(Charge!$A:$A,ROW()))="","(non renseigné)",TRIM(INDEX(Charge!$A:$A,ROW()))),"")</f>
        <v/>
      </c>
      <c r="G119" t="str">
        <f>IF(D119=1,TRIM(INDEX(Charge!$B:$B,ROW())),"")</f>
        <v/>
      </c>
      <c r="H119" t="str">
        <f>IF(D119=1,IF(TRIM(INDEX(Charge!$E:$E,ROW()))="","(non renseigné)",TRIM(INDEX(Charge!$E:$E,ROW()))),"")</f>
        <v/>
      </c>
      <c r="I119" s="165" t="str">
        <f>IF(AND(D119=1,ISNUMBER(INDEX(Charge!$N:$N,ROW()))),INDEX(Charge!$N:$N,ROW()),"")</f>
        <v/>
      </c>
      <c r="J119" s="165" t="str">
        <f>IF(I119="","",IF(AND(p_Repartition="Lissée jusqu'à la date de besoin",ISNUMBER(INDEX(Charge!$F:$F,ROW()))),IF(INDEX(Charge!$F:$F,ROW())&gt;=I119,INDEX(Charge!$F:$F,ROW()),I119),I119))</f>
        <v/>
      </c>
      <c r="K119" t="str">
        <f>IF(I119="","",NETWORKDAYS(I119,J119,Data!$K$4:$K$203))</f>
        <v/>
      </c>
      <c r="L119" t="str">
        <f>IF(D119=1,COUNTIFS($D$4:$D$503,1,$E$4:$E$503,"&gt;"&amp;E119)+COUNTIFS($D$4:$D119,1,$E$4:$E119,E119),"")</f>
        <v/>
      </c>
      <c r="M119">
        <f>IF(F119="",0,IF(COUNTIF($F$4:F119,F119)=1,1,0))</f>
        <v>0</v>
      </c>
      <c r="N119" t="str">
        <f>IF(M119=1,ROUND(SUMIF($F$4:$F$503,F119,$E$4:$E$503),2),"")</f>
        <v/>
      </c>
      <c r="O119" t="str">
        <f>IF(M119=1,COUNTIFS($M$4:$M$503,1,$N$4:$N$503,"&gt;"&amp;N119)+COUNTIFS($M$4:M119,1,$N$4:N119,N119),"")</f>
        <v/>
      </c>
      <c r="P119">
        <f>IF(G119="",0,IF(COUNTIF($G$4:G119,G119)=1,1,0))</f>
        <v>0</v>
      </c>
      <c r="Q119" t="str">
        <f>IF(P119=1,ROUND(SUMIF($G$4:$G$503,G119,$E$4:$E$503),2),"")</f>
        <v/>
      </c>
      <c r="R119" t="str">
        <f>IF(P119=1,COUNTIFS($P$4:$P$503,1,$Q$4:$Q$503,"&gt;"&amp;Q119)+COUNTIFS($P$4:P119,1,$Q$4:Q119,Q119),"")</f>
        <v/>
      </c>
      <c r="S119">
        <f>IF(H119="",0,IF(COUNTIF($H$4:H119,H119)=1,1,0))</f>
        <v>0</v>
      </c>
      <c r="T119" t="str">
        <f>IF(S119=1,ROUND(SUMIF($H$4:$H$503,H119,$E$4:$E$503),2),"")</f>
        <v/>
      </c>
      <c r="U119" t="str">
        <f>IF(S119=1,COUNTIFS($S$4:$S$503,1,$T$4:$T$503,"&gt;"&amp;T119)+COUNTIFS($S$4:S119,1,$T$4:T119,T119),"")</f>
        <v/>
      </c>
      <c r="V119" t="str">
        <f>IF(D119=1,MIN(INDEX($R$4:$R$503,MATCH(G119,$G$4:$G$503,0)),IF($AL$7&gt;9,9,999)),"")</f>
        <v/>
      </c>
      <c r="W119" s="166">
        <f>IF(OR($I119="",$E119=0),0,IF(OR($J119&lt;W$3,$I119&gt;W$2),0,IF($K119=0,IF(AND($I119&gt;=W$3,$I119&lt;=W$2),$E119,0),$E119*NETWORKDAYS(MAX($I119,W$3),MIN($J119,W$2),Data!$K$4:$K$203)/$K119)))</f>
        <v>0</v>
      </c>
      <c r="X119" s="166">
        <f>IF(OR($I119="",$E119=0),0,IF(OR($J119&lt;X$3,$I119&gt;X$2),0,IF($K119=0,IF(AND($I119&gt;=X$3,$I119&lt;=X$2),$E119,0),$E119*NETWORKDAYS(MAX($I119,X$3),MIN($J119,X$2),Data!$K$4:$K$203)/$K119)))</f>
        <v>0</v>
      </c>
      <c r="Y119" s="166">
        <f>IF(OR($I119="",$E119=0),0,IF(OR($J119&lt;Y$3,$I119&gt;Y$2),0,IF($K119=0,IF(AND($I119&gt;=Y$3,$I119&lt;=Y$2),$E119,0),$E119*NETWORKDAYS(MAX($I119,Y$3),MIN($J119,Y$2),Data!$K$4:$K$203)/$K119)))</f>
        <v>0</v>
      </c>
      <c r="Z119" s="166">
        <f>IF(OR($I119="",$E119=0),0,IF(OR($J119&lt;Z$3,$I119&gt;Z$2),0,IF($K119=0,IF(AND($I119&gt;=Z$3,$I119&lt;=Z$2),$E119,0),$E119*NETWORKDAYS(MAX($I119,Z$3),MIN($J119,Z$2),Data!$K$4:$K$203)/$K119)))</f>
        <v>0</v>
      </c>
      <c r="AA119" s="166">
        <f>IF(OR($I119="",$E119=0),0,IF(OR($J119&lt;AA$3,$I119&gt;AA$2),0,IF($K119=0,IF(AND($I119&gt;=AA$3,$I119&lt;=AA$2),$E119,0),$E119*NETWORKDAYS(MAX($I119,AA$3),MIN($J119,AA$2),Data!$K$4:$K$203)/$K119)))</f>
        <v>0</v>
      </c>
      <c r="AB119" s="166">
        <f>IF(OR($I119="",$E119=0),0,IF(OR($J119&lt;AB$3,$I119&gt;AB$2),0,IF($K119=0,IF(AND($I119&gt;=AB$3,$I119&lt;=AB$2),$E119,0),$E119*NETWORKDAYS(MAX($I119,AB$3),MIN($J119,AB$2),Data!$K$4:$K$203)/$K119)))</f>
        <v>0</v>
      </c>
      <c r="AC119" s="166">
        <f>IF(OR($I119="",$E119=0),0,IF(OR($J119&lt;AC$3,$I119&gt;AC$2),0,IF($K119=0,IF(AND($I119&gt;=AC$3,$I119&lt;=AC$2),$E119,0),$E119*NETWORKDAYS(MAX($I119,AC$3),MIN($J119,AC$2),Data!$K$4:$K$203)/$K119)))</f>
        <v>0</v>
      </c>
      <c r="AD119" s="166">
        <f>IF(OR($I119="",$E119=0),0,IF(OR($J119&lt;AD$3,$I119&gt;AD$2),0,IF($K119=0,IF(AND($I119&gt;=AD$3,$I119&lt;=AD$2),$E119,0),$E119*NETWORKDAYS(MAX($I119,AD$3),MIN($J119,AD$2),Data!$K$4:$K$203)/$K119)))</f>
        <v>0</v>
      </c>
      <c r="AE119" s="166">
        <f>IF(OR($I119="",$E119=0),0,IF(OR($J119&lt;AE$3,$I119&gt;AE$2),0,IF($K119=0,IF(AND($I119&gt;=AE$3,$I119&lt;=AE$2),$E119,0),$E119*NETWORKDAYS(MAX($I119,AE$3),MIN($J119,AE$2),Data!$K$4:$K$203)/$K119)))</f>
        <v>0</v>
      </c>
      <c r="AF119" s="166">
        <f>IF(OR($I119="",$E119=0),0,IF(OR($J119&lt;AF$3,$I119&gt;AF$2),0,IF($K119=0,IF(AND($I119&gt;=AF$3,$I119&lt;=AF$2),$E119,0),$E119*NETWORKDAYS(MAX($I119,AF$3),MIN($J119,AF$2),Data!$K$4:$K$203)/$K119)))</f>
        <v>0</v>
      </c>
      <c r="AG119" s="166">
        <f>IF(OR($I119="",$E119=0),0,IF(OR($J119&lt;AG$3,$I119&gt;AG$2),0,IF($K119=0,IF(AND($I119&gt;=AG$3,$I119&lt;=AG$2),$E119,0),$E119*NETWORKDAYS(MAX($I119,AG$3),MIN($J119,AG$2),Data!$K$4:$K$203)/$K119)))</f>
        <v>0</v>
      </c>
      <c r="AH119" s="166">
        <f>IF(OR($I119="",$E119=0),0,IF(OR($J119&lt;AH$3,$I119&gt;AH$2),0,IF($K119=0,IF(AND($I119&gt;=AH$3,$I119&lt;=AH$2),$E119,0),$E119*NETWORKDAYS(MAX($I119,AH$3),MIN($J119,AH$2),Data!$K$4:$K$203)/$K119)))</f>
        <v>0</v>
      </c>
      <c r="AI119" s="166">
        <f>SUM(W119:AH119)</f>
        <v>0</v>
      </c>
      <c r="BZ119" t="str">
        <f>IF(D119=1,IF(TRIM(INDEX(Charge!$K:$K,ROW()))&lt;&gt;"",TRIM(INDEX(Charge!$K:$K,ROW())),IF(TRIM(INDEX(Charge!$L:$L,ROW()))&lt;&gt;"",TRIM(INDEX(Charge!$L:$L,ROW())),"(non affecté)")),"")</f>
        <v/>
      </c>
      <c r="CA119" t="str">
        <f>IF(AND($CD$4&lt;&gt;"",BZ119=$CD$4),COUNTIFS($BZ$4:$BZ$503,$CD$4,$L$4:$L$503,"&lt;"&amp;L119)+1,"")</f>
        <v/>
      </c>
      <c r="EJ119" t="str">
        <f>TRIM(INDEX(Data!$E:$E,ROW()))</f>
        <v/>
      </c>
      <c r="EK119" t="str">
        <f>TRIM(INDEX(Data!$H:$H,ROW()))</f>
        <v/>
      </c>
      <c r="EM119" t="str">
        <f>IF(D119=1,IF(TRIM(INDEX(Charge!$K:$K,ROW()))&lt;&gt;"","Interne",IF(TRIM(INDEX(Charge!$L:$L,ROW()))&lt;&gt;"","Externe","Non affecté")),"")</f>
        <v/>
      </c>
      <c r="EN119" t="str">
        <f>IF(D119=1,LEFT(SUBSTITUTE(SUBSTITUTE(SUBSTITUTE(TRIM(SUBSTITUTE(INDEX(Charge!$B:$B,ROW()),CHAR(160)," "))&amp;" | "&amp;TRIM(SUBSTITUTE(INDEX(Charge!$C:$C,ROW()),CHAR(160)," "))&amp;" | "&amp;TRIM(SUBSTITUTE(INDEX(Charge!$D:$D,ROW()),CHAR(160)," ")),"~","-"),"*","+"),"?","!"),240),"")</f>
        <v/>
      </c>
      <c r="EO119">
        <f>IF(EN119="",0,IF(COUNTIF($EN$4:EN119,EN119)=1,1,0))</f>
        <v>0</v>
      </c>
      <c r="EP119" s="166" t="str">
        <f>IF(EO119=1,ROUND(SUMIF($EN$4:$EN$503,EN119,$E$4:$E$503),2),"")</f>
        <v/>
      </c>
      <c r="EQ119" t="str">
        <f>IF(EO119=1,COUNTIFS($EO$4:$EO$503,1,$EP$4:$EP$503,"&gt;"&amp;EP119)+COUNTIFS($EO$4:EO119,1,$EP$4:EP119,EP119),"")</f>
        <v/>
      </c>
      <c r="ER119" t="str">
        <f>IF(EO119=1,COUNTIFS($EN$4:$EN$503,EN119,$EM$4:$EM$503,"Interne",$FE$4:$FE$503,1),"")</f>
        <v/>
      </c>
      <c r="ES119" t="str">
        <f>IF(EO119=1,COUNTIFS($EN$4:$EN$503,EN119,$EM$4:$EM$503,"Externe",$FE$4:$FE$503,1),"")</f>
        <v/>
      </c>
      <c r="ET119" t="str">
        <f>IF(EO119=1,IF(ER119+ES119=0,"à affecter",IF(ER119=0,ES119&amp;" ext.",(ER119+ES119)&amp;IF(ES119&gt;0," dont "&amp;ES119&amp;" ext.",""))&amp;IF(COUNTIFS($EN$4:$EN$503,EN119,$EM$4:$EM$503,"Non affecté")&gt;0," + à affecter","")),"")</f>
        <v/>
      </c>
      <c r="EU119" s="170" t="str">
        <f>IF(EO119=1,IF(EP119&gt;0,SUMPRODUCT(($EN$4:$EN$503=EN119)*$E$4:$E$503*$C$4:$C$503)/EP119,AVERAGEIF($EN$4:$EN$503,EN119,$C$4:$C$503)),"")</f>
        <v/>
      </c>
      <c r="EV119" s="165">
        <f>IF(ISNUMBER(I119),I119,2958465)</f>
        <v>2958465.0</v>
      </c>
      <c r="EW119" s="165" t="str">
        <f>IF(EO119=1,SUMPRODUCT(MIN(($EN$4:$EN$503=EN119)*$EV$4:$EV$503+($EN$4:$EN$503&lt;&gt;EN119)*2958465)),"")</f>
        <v/>
      </c>
      <c r="EX119" s="165">
        <f>IF(AND(D119=1,ISNUMBER(INDEX(Charge!$F:$F,ROW()))),INDEX(Charge!$F:$F,ROW()),0)</f>
        <v>0.0</v>
      </c>
      <c r="EY119" s="165" t="str">
        <f>IF(EO119=1,SUMPRODUCT(MAX(($EN$4:$EN$503=EN119)*$EX$4:$EX$503)),"")</f>
        <v/>
      </c>
      <c r="FA119" t="str">
        <f>IF(116&lt;=$CD$23,INDEX($EJ$4:$EJ$203,116),IF(116-$CD$23&lt;=$CD$26,INDEX($EK$4:$EK$203,116-$CD$23),""))</f>
        <v/>
      </c>
      <c r="FB119" t="str">
        <f>IF(FA119="","",IF(116&lt;=$CD$23,"Interne","Externe"))</f>
        <v/>
      </c>
      <c r="FD119">
        <f>IF(AND(B119=1,TRIM(INDEX(Charge!$K:$K,ROW()))&lt;&gt;"",TRIM(INDEX(Charge!$L:$L,ROW()))&lt;&gt;""),1,0)</f>
        <v>0</v>
      </c>
      <c r="FE119">
        <f>IF(OR(EN119="",BZ119="(non affecté)"),0,IF(COUNTIFS($EN$4:EN119,EN119,$BZ$4:BZ119,BZ119)=1,1,0))</f>
        <v>0</v>
      </c>
    </row>
    <row r="120">
      <c r="A120">
        <f>ROW()</f>
        <v>120</v>
      </c>
      <c r="B120">
        <f>IF(TRIM(INDEX(Charge!$B:$B,ROW()))&lt;&gt;"",1,0)</f>
        <v>0</v>
      </c>
      <c r="C120">
        <f>IF(B120=1,MIN(1,MAX(0,N(INDEX(Charge!$O:$O,ROW())))),0)</f>
        <v>0</v>
      </c>
      <c r="D120">
        <f>IF(B120=1,IF(OR(p_Perimetre="Tous les projets",C120&lt;1),1,0),0)</f>
        <v>0</v>
      </c>
      <c r="E120">
        <f>IF(D120=1,MAX(0,N(INDEX(Charge!$M:$M,ROW()))),0)</f>
        <v>0</v>
      </c>
      <c r="F120" t="str">
        <f>IF(D120=1,IF(TRIM(INDEX(Charge!$A:$A,ROW()))="","(non renseigné)",TRIM(INDEX(Charge!$A:$A,ROW()))),"")</f>
        <v/>
      </c>
      <c r="G120" t="str">
        <f>IF(D120=1,TRIM(INDEX(Charge!$B:$B,ROW())),"")</f>
        <v/>
      </c>
      <c r="H120" t="str">
        <f>IF(D120=1,IF(TRIM(INDEX(Charge!$E:$E,ROW()))="","(non renseigné)",TRIM(INDEX(Charge!$E:$E,ROW()))),"")</f>
        <v/>
      </c>
      <c r="I120" s="165" t="str">
        <f>IF(AND(D120=1,ISNUMBER(INDEX(Charge!$N:$N,ROW()))),INDEX(Charge!$N:$N,ROW()),"")</f>
        <v/>
      </c>
      <c r="J120" s="165" t="str">
        <f>IF(I120="","",IF(AND(p_Repartition="Lissée jusqu'à la date de besoin",ISNUMBER(INDEX(Charge!$F:$F,ROW()))),IF(INDEX(Charge!$F:$F,ROW())&gt;=I120,INDEX(Charge!$F:$F,ROW()),I120),I120))</f>
        <v/>
      </c>
      <c r="K120" t="str">
        <f>IF(I120="","",NETWORKDAYS(I120,J120,Data!$K$4:$K$203))</f>
        <v/>
      </c>
      <c r="L120" t="str">
        <f>IF(D120=1,COUNTIFS($D$4:$D$503,1,$E$4:$E$503,"&gt;"&amp;E120)+COUNTIFS($D$4:$D120,1,$E$4:$E120,E120),"")</f>
        <v/>
      </c>
      <c r="M120">
        <f>IF(F120="",0,IF(COUNTIF($F$4:F120,F120)=1,1,0))</f>
        <v>0</v>
      </c>
      <c r="N120" t="str">
        <f>IF(M120=1,ROUND(SUMIF($F$4:$F$503,F120,$E$4:$E$503),2),"")</f>
        <v/>
      </c>
      <c r="O120" t="str">
        <f>IF(M120=1,COUNTIFS($M$4:$M$503,1,$N$4:$N$503,"&gt;"&amp;N120)+COUNTIFS($M$4:M120,1,$N$4:N120,N120),"")</f>
        <v/>
      </c>
      <c r="P120">
        <f>IF(G120="",0,IF(COUNTIF($G$4:G120,G120)=1,1,0))</f>
        <v>0</v>
      </c>
      <c r="Q120" t="str">
        <f>IF(P120=1,ROUND(SUMIF($G$4:$G$503,G120,$E$4:$E$503),2),"")</f>
        <v/>
      </c>
      <c r="R120" t="str">
        <f>IF(P120=1,COUNTIFS($P$4:$P$503,1,$Q$4:$Q$503,"&gt;"&amp;Q120)+COUNTIFS($P$4:P120,1,$Q$4:Q120,Q120),"")</f>
        <v/>
      </c>
      <c r="S120">
        <f>IF(H120="",0,IF(COUNTIF($H$4:H120,H120)=1,1,0))</f>
        <v>0</v>
      </c>
      <c r="T120" t="str">
        <f>IF(S120=1,ROUND(SUMIF($H$4:$H$503,H120,$E$4:$E$503),2),"")</f>
        <v/>
      </c>
      <c r="U120" t="str">
        <f>IF(S120=1,COUNTIFS($S$4:$S$503,1,$T$4:$T$503,"&gt;"&amp;T120)+COUNTIFS($S$4:S120,1,$T$4:T120,T120),"")</f>
        <v/>
      </c>
      <c r="V120" t="str">
        <f>IF(D120=1,MIN(INDEX($R$4:$R$503,MATCH(G120,$G$4:$G$503,0)),IF($AL$7&gt;9,9,999)),"")</f>
        <v/>
      </c>
      <c r="W120" s="166">
        <f>IF(OR($I120="",$E120=0),0,IF(OR($J120&lt;W$3,$I120&gt;W$2),0,IF($K120=0,IF(AND($I120&gt;=W$3,$I120&lt;=W$2),$E120,0),$E120*NETWORKDAYS(MAX($I120,W$3),MIN($J120,W$2),Data!$K$4:$K$203)/$K120)))</f>
        <v>0</v>
      </c>
      <c r="X120" s="166">
        <f>IF(OR($I120="",$E120=0),0,IF(OR($J120&lt;X$3,$I120&gt;X$2),0,IF($K120=0,IF(AND($I120&gt;=X$3,$I120&lt;=X$2),$E120,0),$E120*NETWORKDAYS(MAX($I120,X$3),MIN($J120,X$2),Data!$K$4:$K$203)/$K120)))</f>
        <v>0</v>
      </c>
      <c r="Y120" s="166">
        <f>IF(OR($I120="",$E120=0),0,IF(OR($J120&lt;Y$3,$I120&gt;Y$2),0,IF($K120=0,IF(AND($I120&gt;=Y$3,$I120&lt;=Y$2),$E120,0),$E120*NETWORKDAYS(MAX($I120,Y$3),MIN($J120,Y$2),Data!$K$4:$K$203)/$K120)))</f>
        <v>0</v>
      </c>
      <c r="Z120" s="166">
        <f>IF(OR($I120="",$E120=0),0,IF(OR($J120&lt;Z$3,$I120&gt;Z$2),0,IF($K120=0,IF(AND($I120&gt;=Z$3,$I120&lt;=Z$2),$E120,0),$E120*NETWORKDAYS(MAX($I120,Z$3),MIN($J120,Z$2),Data!$K$4:$K$203)/$K120)))</f>
        <v>0</v>
      </c>
      <c r="AA120" s="166">
        <f>IF(OR($I120="",$E120=0),0,IF(OR($J120&lt;AA$3,$I120&gt;AA$2),0,IF($K120=0,IF(AND($I120&gt;=AA$3,$I120&lt;=AA$2),$E120,0),$E120*NETWORKDAYS(MAX($I120,AA$3),MIN($J120,AA$2),Data!$K$4:$K$203)/$K120)))</f>
        <v>0</v>
      </c>
      <c r="AB120" s="166">
        <f>IF(OR($I120="",$E120=0),0,IF(OR($J120&lt;AB$3,$I120&gt;AB$2),0,IF($K120=0,IF(AND($I120&gt;=AB$3,$I120&lt;=AB$2),$E120,0),$E120*NETWORKDAYS(MAX($I120,AB$3),MIN($J120,AB$2),Data!$K$4:$K$203)/$K120)))</f>
        <v>0</v>
      </c>
      <c r="AC120" s="166">
        <f>IF(OR($I120="",$E120=0),0,IF(OR($J120&lt;AC$3,$I120&gt;AC$2),0,IF($K120=0,IF(AND($I120&gt;=AC$3,$I120&lt;=AC$2),$E120,0),$E120*NETWORKDAYS(MAX($I120,AC$3),MIN($J120,AC$2),Data!$K$4:$K$203)/$K120)))</f>
        <v>0</v>
      </c>
      <c r="AD120" s="166">
        <f>IF(OR($I120="",$E120=0),0,IF(OR($J120&lt;AD$3,$I120&gt;AD$2),0,IF($K120=0,IF(AND($I120&gt;=AD$3,$I120&lt;=AD$2),$E120,0),$E120*NETWORKDAYS(MAX($I120,AD$3),MIN($J120,AD$2),Data!$K$4:$K$203)/$K120)))</f>
        <v>0</v>
      </c>
      <c r="AE120" s="166">
        <f>IF(OR($I120="",$E120=0),0,IF(OR($J120&lt;AE$3,$I120&gt;AE$2),0,IF($K120=0,IF(AND($I120&gt;=AE$3,$I120&lt;=AE$2),$E120,0),$E120*NETWORKDAYS(MAX($I120,AE$3),MIN($J120,AE$2),Data!$K$4:$K$203)/$K120)))</f>
        <v>0</v>
      </c>
      <c r="AF120" s="166">
        <f>IF(OR($I120="",$E120=0),0,IF(OR($J120&lt;AF$3,$I120&gt;AF$2),0,IF($K120=0,IF(AND($I120&gt;=AF$3,$I120&lt;=AF$2),$E120,0),$E120*NETWORKDAYS(MAX($I120,AF$3),MIN($J120,AF$2),Data!$K$4:$K$203)/$K120)))</f>
        <v>0</v>
      </c>
      <c r="AG120" s="166">
        <f>IF(OR($I120="",$E120=0),0,IF(OR($J120&lt;AG$3,$I120&gt;AG$2),0,IF($K120=0,IF(AND($I120&gt;=AG$3,$I120&lt;=AG$2),$E120,0),$E120*NETWORKDAYS(MAX($I120,AG$3),MIN($J120,AG$2),Data!$K$4:$K$203)/$K120)))</f>
        <v>0</v>
      </c>
      <c r="AH120" s="166">
        <f>IF(OR($I120="",$E120=0),0,IF(OR($J120&lt;AH$3,$I120&gt;AH$2),0,IF($K120=0,IF(AND($I120&gt;=AH$3,$I120&lt;=AH$2),$E120,0),$E120*NETWORKDAYS(MAX($I120,AH$3),MIN($J120,AH$2),Data!$K$4:$K$203)/$K120)))</f>
        <v>0</v>
      </c>
      <c r="AI120" s="166">
        <f>SUM(W120:AH120)</f>
        <v>0</v>
      </c>
      <c r="BZ120" t="str">
        <f>IF(D120=1,IF(TRIM(INDEX(Charge!$K:$K,ROW()))&lt;&gt;"",TRIM(INDEX(Charge!$K:$K,ROW())),IF(TRIM(INDEX(Charge!$L:$L,ROW()))&lt;&gt;"",TRIM(INDEX(Charge!$L:$L,ROW())),"(non affecté)")),"")</f>
        <v/>
      </c>
      <c r="CA120" t="str">
        <f>IF(AND($CD$4&lt;&gt;"",BZ120=$CD$4),COUNTIFS($BZ$4:$BZ$503,$CD$4,$L$4:$L$503,"&lt;"&amp;L120)+1,"")</f>
        <v/>
      </c>
      <c r="EJ120" t="str">
        <f>TRIM(INDEX(Data!$E:$E,ROW()))</f>
        <v/>
      </c>
      <c r="EK120" t="str">
        <f>TRIM(INDEX(Data!$H:$H,ROW()))</f>
        <v/>
      </c>
      <c r="EM120" t="str">
        <f>IF(D120=1,IF(TRIM(INDEX(Charge!$K:$K,ROW()))&lt;&gt;"","Interne",IF(TRIM(INDEX(Charge!$L:$L,ROW()))&lt;&gt;"","Externe","Non affecté")),"")</f>
        <v/>
      </c>
      <c r="EN120" t="str">
        <f>IF(D120=1,LEFT(SUBSTITUTE(SUBSTITUTE(SUBSTITUTE(TRIM(SUBSTITUTE(INDEX(Charge!$B:$B,ROW()),CHAR(160)," "))&amp;" | "&amp;TRIM(SUBSTITUTE(INDEX(Charge!$C:$C,ROW()),CHAR(160)," "))&amp;" | "&amp;TRIM(SUBSTITUTE(INDEX(Charge!$D:$D,ROW()),CHAR(160)," ")),"~","-"),"*","+"),"?","!"),240),"")</f>
        <v/>
      </c>
      <c r="EO120">
        <f>IF(EN120="",0,IF(COUNTIF($EN$4:EN120,EN120)=1,1,0))</f>
        <v>0</v>
      </c>
      <c r="EP120" s="166" t="str">
        <f>IF(EO120=1,ROUND(SUMIF($EN$4:$EN$503,EN120,$E$4:$E$503),2),"")</f>
        <v/>
      </c>
      <c r="EQ120" t="str">
        <f>IF(EO120=1,COUNTIFS($EO$4:$EO$503,1,$EP$4:$EP$503,"&gt;"&amp;EP120)+COUNTIFS($EO$4:EO120,1,$EP$4:EP120,EP120),"")</f>
        <v/>
      </c>
      <c r="ER120" t="str">
        <f>IF(EO120=1,COUNTIFS($EN$4:$EN$503,EN120,$EM$4:$EM$503,"Interne",$FE$4:$FE$503,1),"")</f>
        <v/>
      </c>
      <c r="ES120" t="str">
        <f>IF(EO120=1,COUNTIFS($EN$4:$EN$503,EN120,$EM$4:$EM$503,"Externe",$FE$4:$FE$503,1),"")</f>
        <v/>
      </c>
      <c r="ET120" t="str">
        <f>IF(EO120=1,IF(ER120+ES120=0,"à affecter",IF(ER120=0,ES120&amp;" ext.",(ER120+ES120)&amp;IF(ES120&gt;0," dont "&amp;ES120&amp;" ext.",""))&amp;IF(COUNTIFS($EN$4:$EN$503,EN120,$EM$4:$EM$503,"Non affecté")&gt;0," + à affecter","")),"")</f>
        <v/>
      </c>
      <c r="EU120" s="170" t="str">
        <f>IF(EO120=1,IF(EP120&gt;0,SUMPRODUCT(($EN$4:$EN$503=EN120)*$E$4:$E$503*$C$4:$C$503)/EP120,AVERAGEIF($EN$4:$EN$503,EN120,$C$4:$C$503)),"")</f>
        <v/>
      </c>
      <c r="EV120" s="165">
        <f>IF(ISNUMBER(I120),I120,2958465)</f>
        <v>2958465.0</v>
      </c>
      <c r="EW120" s="165" t="str">
        <f>IF(EO120=1,SUMPRODUCT(MIN(($EN$4:$EN$503=EN120)*$EV$4:$EV$503+($EN$4:$EN$503&lt;&gt;EN120)*2958465)),"")</f>
        <v/>
      </c>
      <c r="EX120" s="165">
        <f>IF(AND(D120=1,ISNUMBER(INDEX(Charge!$F:$F,ROW()))),INDEX(Charge!$F:$F,ROW()),0)</f>
        <v>0.0</v>
      </c>
      <c r="EY120" s="165" t="str">
        <f>IF(EO120=1,SUMPRODUCT(MAX(($EN$4:$EN$503=EN120)*$EX$4:$EX$503)),"")</f>
        <v/>
      </c>
      <c r="FA120" t="str">
        <f>IF(117&lt;=$CD$23,INDEX($EJ$4:$EJ$203,117),IF(117-$CD$23&lt;=$CD$26,INDEX($EK$4:$EK$203,117-$CD$23),""))</f>
        <v/>
      </c>
      <c r="FB120" t="str">
        <f>IF(FA120="","",IF(117&lt;=$CD$23,"Interne","Externe"))</f>
        <v/>
      </c>
      <c r="FD120">
        <f>IF(AND(B120=1,TRIM(INDEX(Charge!$K:$K,ROW()))&lt;&gt;"",TRIM(INDEX(Charge!$L:$L,ROW()))&lt;&gt;""),1,0)</f>
        <v>0</v>
      </c>
      <c r="FE120">
        <f>IF(OR(EN120="",BZ120="(non affecté)"),0,IF(COUNTIFS($EN$4:EN120,EN120,$BZ$4:BZ120,BZ120)=1,1,0))</f>
        <v>0</v>
      </c>
    </row>
    <row r="121">
      <c r="A121">
        <f>ROW()</f>
        <v>121</v>
      </c>
      <c r="B121">
        <f>IF(TRIM(INDEX(Charge!$B:$B,ROW()))&lt;&gt;"",1,0)</f>
        <v>0</v>
      </c>
      <c r="C121">
        <f>IF(B121=1,MIN(1,MAX(0,N(INDEX(Charge!$O:$O,ROW())))),0)</f>
        <v>0</v>
      </c>
      <c r="D121">
        <f>IF(B121=1,IF(OR(p_Perimetre="Tous les projets",C121&lt;1),1,0),0)</f>
        <v>0</v>
      </c>
      <c r="E121">
        <f>IF(D121=1,MAX(0,N(INDEX(Charge!$M:$M,ROW()))),0)</f>
        <v>0</v>
      </c>
      <c r="F121" t="str">
        <f>IF(D121=1,IF(TRIM(INDEX(Charge!$A:$A,ROW()))="","(non renseigné)",TRIM(INDEX(Charge!$A:$A,ROW()))),"")</f>
        <v/>
      </c>
      <c r="G121" t="str">
        <f>IF(D121=1,TRIM(INDEX(Charge!$B:$B,ROW())),"")</f>
        <v/>
      </c>
      <c r="H121" t="str">
        <f>IF(D121=1,IF(TRIM(INDEX(Charge!$E:$E,ROW()))="","(non renseigné)",TRIM(INDEX(Charge!$E:$E,ROW()))),"")</f>
        <v/>
      </c>
      <c r="I121" s="165" t="str">
        <f>IF(AND(D121=1,ISNUMBER(INDEX(Charge!$N:$N,ROW()))),INDEX(Charge!$N:$N,ROW()),"")</f>
        <v/>
      </c>
      <c r="J121" s="165" t="str">
        <f>IF(I121="","",IF(AND(p_Repartition="Lissée jusqu'à la date de besoin",ISNUMBER(INDEX(Charge!$F:$F,ROW()))),IF(INDEX(Charge!$F:$F,ROW())&gt;=I121,INDEX(Charge!$F:$F,ROW()),I121),I121))</f>
        <v/>
      </c>
      <c r="K121" t="str">
        <f>IF(I121="","",NETWORKDAYS(I121,J121,Data!$K$4:$K$203))</f>
        <v/>
      </c>
      <c r="L121" t="str">
        <f>IF(D121=1,COUNTIFS($D$4:$D$503,1,$E$4:$E$503,"&gt;"&amp;E121)+COUNTIFS($D$4:$D121,1,$E$4:$E121,E121),"")</f>
        <v/>
      </c>
      <c r="M121">
        <f>IF(F121="",0,IF(COUNTIF($F$4:F121,F121)=1,1,0))</f>
        <v>0</v>
      </c>
      <c r="N121" t="str">
        <f>IF(M121=1,ROUND(SUMIF($F$4:$F$503,F121,$E$4:$E$503),2),"")</f>
        <v/>
      </c>
      <c r="O121" t="str">
        <f>IF(M121=1,COUNTIFS($M$4:$M$503,1,$N$4:$N$503,"&gt;"&amp;N121)+COUNTIFS($M$4:M121,1,$N$4:N121,N121),"")</f>
        <v/>
      </c>
      <c r="P121">
        <f>IF(G121="",0,IF(COUNTIF($G$4:G121,G121)=1,1,0))</f>
        <v>0</v>
      </c>
      <c r="Q121" t="str">
        <f>IF(P121=1,ROUND(SUMIF($G$4:$G$503,G121,$E$4:$E$503),2),"")</f>
        <v/>
      </c>
      <c r="R121" t="str">
        <f>IF(P121=1,COUNTIFS($P$4:$P$503,1,$Q$4:$Q$503,"&gt;"&amp;Q121)+COUNTIFS($P$4:P121,1,$Q$4:Q121,Q121),"")</f>
        <v/>
      </c>
      <c r="S121">
        <f>IF(H121="",0,IF(COUNTIF($H$4:H121,H121)=1,1,0))</f>
        <v>0</v>
      </c>
      <c r="T121" t="str">
        <f>IF(S121=1,ROUND(SUMIF($H$4:$H$503,H121,$E$4:$E$503),2),"")</f>
        <v/>
      </c>
      <c r="U121" t="str">
        <f>IF(S121=1,COUNTIFS($S$4:$S$503,1,$T$4:$T$503,"&gt;"&amp;T121)+COUNTIFS($S$4:S121,1,$T$4:T121,T121),"")</f>
        <v/>
      </c>
      <c r="V121" t="str">
        <f>IF(D121=1,MIN(INDEX($R$4:$R$503,MATCH(G121,$G$4:$G$503,0)),IF($AL$7&gt;9,9,999)),"")</f>
        <v/>
      </c>
      <c r="W121" s="166">
        <f>IF(OR($I121="",$E121=0),0,IF(OR($J121&lt;W$3,$I121&gt;W$2),0,IF($K121=0,IF(AND($I121&gt;=W$3,$I121&lt;=W$2),$E121,0),$E121*NETWORKDAYS(MAX($I121,W$3),MIN($J121,W$2),Data!$K$4:$K$203)/$K121)))</f>
        <v>0</v>
      </c>
      <c r="X121" s="166">
        <f>IF(OR($I121="",$E121=0),0,IF(OR($J121&lt;X$3,$I121&gt;X$2),0,IF($K121=0,IF(AND($I121&gt;=X$3,$I121&lt;=X$2),$E121,0),$E121*NETWORKDAYS(MAX($I121,X$3),MIN($J121,X$2),Data!$K$4:$K$203)/$K121)))</f>
        <v>0</v>
      </c>
      <c r="Y121" s="166">
        <f>IF(OR($I121="",$E121=0),0,IF(OR($J121&lt;Y$3,$I121&gt;Y$2),0,IF($K121=0,IF(AND($I121&gt;=Y$3,$I121&lt;=Y$2),$E121,0),$E121*NETWORKDAYS(MAX($I121,Y$3),MIN($J121,Y$2),Data!$K$4:$K$203)/$K121)))</f>
        <v>0</v>
      </c>
      <c r="Z121" s="166">
        <f>IF(OR($I121="",$E121=0),0,IF(OR($J121&lt;Z$3,$I121&gt;Z$2),0,IF($K121=0,IF(AND($I121&gt;=Z$3,$I121&lt;=Z$2),$E121,0),$E121*NETWORKDAYS(MAX($I121,Z$3),MIN($J121,Z$2),Data!$K$4:$K$203)/$K121)))</f>
        <v>0</v>
      </c>
      <c r="AA121" s="166">
        <f>IF(OR($I121="",$E121=0),0,IF(OR($J121&lt;AA$3,$I121&gt;AA$2),0,IF($K121=0,IF(AND($I121&gt;=AA$3,$I121&lt;=AA$2),$E121,0),$E121*NETWORKDAYS(MAX($I121,AA$3),MIN($J121,AA$2),Data!$K$4:$K$203)/$K121)))</f>
        <v>0</v>
      </c>
      <c r="AB121" s="166">
        <f>IF(OR($I121="",$E121=0),0,IF(OR($J121&lt;AB$3,$I121&gt;AB$2),0,IF($K121=0,IF(AND($I121&gt;=AB$3,$I121&lt;=AB$2),$E121,0),$E121*NETWORKDAYS(MAX($I121,AB$3),MIN($J121,AB$2),Data!$K$4:$K$203)/$K121)))</f>
        <v>0</v>
      </c>
      <c r="AC121" s="166">
        <f>IF(OR($I121="",$E121=0),0,IF(OR($J121&lt;AC$3,$I121&gt;AC$2),0,IF($K121=0,IF(AND($I121&gt;=AC$3,$I121&lt;=AC$2),$E121,0),$E121*NETWORKDAYS(MAX($I121,AC$3),MIN($J121,AC$2),Data!$K$4:$K$203)/$K121)))</f>
        <v>0</v>
      </c>
      <c r="AD121" s="166">
        <f>IF(OR($I121="",$E121=0),0,IF(OR($J121&lt;AD$3,$I121&gt;AD$2),0,IF($K121=0,IF(AND($I121&gt;=AD$3,$I121&lt;=AD$2),$E121,0),$E121*NETWORKDAYS(MAX($I121,AD$3),MIN($J121,AD$2),Data!$K$4:$K$203)/$K121)))</f>
        <v>0</v>
      </c>
      <c r="AE121" s="166">
        <f>IF(OR($I121="",$E121=0),0,IF(OR($J121&lt;AE$3,$I121&gt;AE$2),0,IF($K121=0,IF(AND($I121&gt;=AE$3,$I121&lt;=AE$2),$E121,0),$E121*NETWORKDAYS(MAX($I121,AE$3),MIN($J121,AE$2),Data!$K$4:$K$203)/$K121)))</f>
        <v>0</v>
      </c>
      <c r="AF121" s="166">
        <f>IF(OR($I121="",$E121=0),0,IF(OR($J121&lt;AF$3,$I121&gt;AF$2),0,IF($K121=0,IF(AND($I121&gt;=AF$3,$I121&lt;=AF$2),$E121,0),$E121*NETWORKDAYS(MAX($I121,AF$3),MIN($J121,AF$2),Data!$K$4:$K$203)/$K121)))</f>
        <v>0</v>
      </c>
      <c r="AG121" s="166">
        <f>IF(OR($I121="",$E121=0),0,IF(OR($J121&lt;AG$3,$I121&gt;AG$2),0,IF($K121=0,IF(AND($I121&gt;=AG$3,$I121&lt;=AG$2),$E121,0),$E121*NETWORKDAYS(MAX($I121,AG$3),MIN($J121,AG$2),Data!$K$4:$K$203)/$K121)))</f>
        <v>0</v>
      </c>
      <c r="AH121" s="166">
        <f>IF(OR($I121="",$E121=0),0,IF(OR($J121&lt;AH$3,$I121&gt;AH$2),0,IF($K121=0,IF(AND($I121&gt;=AH$3,$I121&lt;=AH$2),$E121,0),$E121*NETWORKDAYS(MAX($I121,AH$3),MIN($J121,AH$2),Data!$K$4:$K$203)/$K121)))</f>
        <v>0</v>
      </c>
      <c r="AI121" s="166">
        <f>SUM(W121:AH121)</f>
        <v>0</v>
      </c>
      <c r="BZ121" t="str">
        <f>IF(D121=1,IF(TRIM(INDEX(Charge!$K:$K,ROW()))&lt;&gt;"",TRIM(INDEX(Charge!$K:$K,ROW())),IF(TRIM(INDEX(Charge!$L:$L,ROW()))&lt;&gt;"",TRIM(INDEX(Charge!$L:$L,ROW())),"(non affecté)")),"")</f>
        <v/>
      </c>
      <c r="CA121" t="str">
        <f>IF(AND($CD$4&lt;&gt;"",BZ121=$CD$4),COUNTIFS($BZ$4:$BZ$503,$CD$4,$L$4:$L$503,"&lt;"&amp;L121)+1,"")</f>
        <v/>
      </c>
      <c r="EJ121" t="str">
        <f>TRIM(INDEX(Data!$E:$E,ROW()))</f>
        <v/>
      </c>
      <c r="EK121" t="str">
        <f>TRIM(INDEX(Data!$H:$H,ROW()))</f>
        <v/>
      </c>
      <c r="EM121" t="str">
        <f>IF(D121=1,IF(TRIM(INDEX(Charge!$K:$K,ROW()))&lt;&gt;"","Interne",IF(TRIM(INDEX(Charge!$L:$L,ROW()))&lt;&gt;"","Externe","Non affecté")),"")</f>
        <v/>
      </c>
      <c r="EN121" t="str">
        <f>IF(D121=1,LEFT(SUBSTITUTE(SUBSTITUTE(SUBSTITUTE(TRIM(SUBSTITUTE(INDEX(Charge!$B:$B,ROW()),CHAR(160)," "))&amp;" | "&amp;TRIM(SUBSTITUTE(INDEX(Charge!$C:$C,ROW()),CHAR(160)," "))&amp;" | "&amp;TRIM(SUBSTITUTE(INDEX(Charge!$D:$D,ROW()),CHAR(160)," ")),"~","-"),"*","+"),"?","!"),240),"")</f>
        <v/>
      </c>
      <c r="EO121">
        <f>IF(EN121="",0,IF(COUNTIF($EN$4:EN121,EN121)=1,1,0))</f>
        <v>0</v>
      </c>
      <c r="EP121" s="166" t="str">
        <f>IF(EO121=1,ROUND(SUMIF($EN$4:$EN$503,EN121,$E$4:$E$503),2),"")</f>
        <v/>
      </c>
      <c r="EQ121" t="str">
        <f>IF(EO121=1,COUNTIFS($EO$4:$EO$503,1,$EP$4:$EP$503,"&gt;"&amp;EP121)+COUNTIFS($EO$4:EO121,1,$EP$4:EP121,EP121),"")</f>
        <v/>
      </c>
      <c r="ER121" t="str">
        <f>IF(EO121=1,COUNTIFS($EN$4:$EN$503,EN121,$EM$4:$EM$503,"Interne",$FE$4:$FE$503,1),"")</f>
        <v/>
      </c>
      <c r="ES121" t="str">
        <f>IF(EO121=1,COUNTIFS($EN$4:$EN$503,EN121,$EM$4:$EM$503,"Externe",$FE$4:$FE$503,1),"")</f>
        <v/>
      </c>
      <c r="ET121" t="str">
        <f>IF(EO121=1,IF(ER121+ES121=0,"à affecter",IF(ER121=0,ES121&amp;" ext.",(ER121+ES121)&amp;IF(ES121&gt;0," dont "&amp;ES121&amp;" ext.",""))&amp;IF(COUNTIFS($EN$4:$EN$503,EN121,$EM$4:$EM$503,"Non affecté")&gt;0," + à affecter","")),"")</f>
        <v/>
      </c>
      <c r="EU121" s="170" t="str">
        <f>IF(EO121=1,IF(EP121&gt;0,SUMPRODUCT(($EN$4:$EN$503=EN121)*$E$4:$E$503*$C$4:$C$503)/EP121,AVERAGEIF($EN$4:$EN$503,EN121,$C$4:$C$503)),"")</f>
        <v/>
      </c>
      <c r="EV121" s="165">
        <f>IF(ISNUMBER(I121),I121,2958465)</f>
        <v>2958465.0</v>
      </c>
      <c r="EW121" s="165" t="str">
        <f>IF(EO121=1,SUMPRODUCT(MIN(($EN$4:$EN$503=EN121)*$EV$4:$EV$503+($EN$4:$EN$503&lt;&gt;EN121)*2958465)),"")</f>
        <v/>
      </c>
      <c r="EX121" s="165">
        <f>IF(AND(D121=1,ISNUMBER(INDEX(Charge!$F:$F,ROW()))),INDEX(Charge!$F:$F,ROW()),0)</f>
        <v>0.0</v>
      </c>
      <c r="EY121" s="165" t="str">
        <f>IF(EO121=1,SUMPRODUCT(MAX(($EN$4:$EN$503=EN121)*$EX$4:$EX$503)),"")</f>
        <v/>
      </c>
      <c r="FA121" t="str">
        <f>IF(118&lt;=$CD$23,INDEX($EJ$4:$EJ$203,118),IF(118-$CD$23&lt;=$CD$26,INDEX($EK$4:$EK$203,118-$CD$23),""))</f>
        <v/>
      </c>
      <c r="FB121" t="str">
        <f>IF(FA121="","",IF(118&lt;=$CD$23,"Interne","Externe"))</f>
        <v/>
      </c>
      <c r="FD121">
        <f>IF(AND(B121=1,TRIM(INDEX(Charge!$K:$K,ROW()))&lt;&gt;"",TRIM(INDEX(Charge!$L:$L,ROW()))&lt;&gt;""),1,0)</f>
        <v>0</v>
      </c>
      <c r="FE121">
        <f>IF(OR(EN121="",BZ121="(non affecté)"),0,IF(COUNTIFS($EN$4:EN121,EN121,$BZ$4:BZ121,BZ121)=1,1,0))</f>
        <v>0</v>
      </c>
    </row>
    <row r="122">
      <c r="A122">
        <f>ROW()</f>
        <v>122</v>
      </c>
      <c r="B122">
        <f>IF(TRIM(INDEX(Charge!$B:$B,ROW()))&lt;&gt;"",1,0)</f>
        <v>0</v>
      </c>
      <c r="C122">
        <f>IF(B122=1,MIN(1,MAX(0,N(INDEX(Charge!$O:$O,ROW())))),0)</f>
        <v>0</v>
      </c>
      <c r="D122">
        <f>IF(B122=1,IF(OR(p_Perimetre="Tous les projets",C122&lt;1),1,0),0)</f>
        <v>0</v>
      </c>
      <c r="E122">
        <f>IF(D122=1,MAX(0,N(INDEX(Charge!$M:$M,ROW()))),0)</f>
        <v>0</v>
      </c>
      <c r="F122" t="str">
        <f>IF(D122=1,IF(TRIM(INDEX(Charge!$A:$A,ROW()))="","(non renseigné)",TRIM(INDEX(Charge!$A:$A,ROW()))),"")</f>
        <v/>
      </c>
      <c r="G122" t="str">
        <f>IF(D122=1,TRIM(INDEX(Charge!$B:$B,ROW())),"")</f>
        <v/>
      </c>
      <c r="H122" t="str">
        <f>IF(D122=1,IF(TRIM(INDEX(Charge!$E:$E,ROW()))="","(non renseigné)",TRIM(INDEX(Charge!$E:$E,ROW()))),"")</f>
        <v/>
      </c>
      <c r="I122" s="165" t="str">
        <f>IF(AND(D122=1,ISNUMBER(INDEX(Charge!$N:$N,ROW()))),INDEX(Charge!$N:$N,ROW()),"")</f>
        <v/>
      </c>
      <c r="J122" s="165" t="str">
        <f>IF(I122="","",IF(AND(p_Repartition="Lissée jusqu'à la date de besoin",ISNUMBER(INDEX(Charge!$F:$F,ROW()))),IF(INDEX(Charge!$F:$F,ROW())&gt;=I122,INDEX(Charge!$F:$F,ROW()),I122),I122))</f>
        <v/>
      </c>
      <c r="K122" t="str">
        <f>IF(I122="","",NETWORKDAYS(I122,J122,Data!$K$4:$K$203))</f>
        <v/>
      </c>
      <c r="L122" t="str">
        <f>IF(D122=1,COUNTIFS($D$4:$D$503,1,$E$4:$E$503,"&gt;"&amp;E122)+COUNTIFS($D$4:$D122,1,$E$4:$E122,E122),"")</f>
        <v/>
      </c>
      <c r="M122">
        <f>IF(F122="",0,IF(COUNTIF($F$4:F122,F122)=1,1,0))</f>
        <v>0</v>
      </c>
      <c r="N122" t="str">
        <f>IF(M122=1,ROUND(SUMIF($F$4:$F$503,F122,$E$4:$E$503),2),"")</f>
        <v/>
      </c>
      <c r="O122" t="str">
        <f>IF(M122=1,COUNTIFS($M$4:$M$503,1,$N$4:$N$503,"&gt;"&amp;N122)+COUNTIFS($M$4:M122,1,$N$4:N122,N122),"")</f>
        <v/>
      </c>
      <c r="P122">
        <f>IF(G122="",0,IF(COUNTIF($G$4:G122,G122)=1,1,0))</f>
        <v>0</v>
      </c>
      <c r="Q122" t="str">
        <f>IF(P122=1,ROUND(SUMIF($G$4:$G$503,G122,$E$4:$E$503),2),"")</f>
        <v/>
      </c>
      <c r="R122" t="str">
        <f>IF(P122=1,COUNTIFS($P$4:$P$503,1,$Q$4:$Q$503,"&gt;"&amp;Q122)+COUNTIFS($P$4:P122,1,$Q$4:Q122,Q122),"")</f>
        <v/>
      </c>
      <c r="S122">
        <f>IF(H122="",0,IF(COUNTIF($H$4:H122,H122)=1,1,0))</f>
        <v>0</v>
      </c>
      <c r="T122" t="str">
        <f>IF(S122=1,ROUND(SUMIF($H$4:$H$503,H122,$E$4:$E$503),2),"")</f>
        <v/>
      </c>
      <c r="U122" t="str">
        <f>IF(S122=1,COUNTIFS($S$4:$S$503,1,$T$4:$T$503,"&gt;"&amp;T122)+COUNTIFS($S$4:S122,1,$T$4:T122,T122),"")</f>
        <v/>
      </c>
      <c r="V122" t="str">
        <f>IF(D122=1,MIN(INDEX($R$4:$R$503,MATCH(G122,$G$4:$G$503,0)),IF($AL$7&gt;9,9,999)),"")</f>
        <v/>
      </c>
      <c r="W122" s="166">
        <f>IF(OR($I122="",$E122=0),0,IF(OR($J122&lt;W$3,$I122&gt;W$2),0,IF($K122=0,IF(AND($I122&gt;=W$3,$I122&lt;=W$2),$E122,0),$E122*NETWORKDAYS(MAX($I122,W$3),MIN($J122,W$2),Data!$K$4:$K$203)/$K122)))</f>
        <v>0</v>
      </c>
      <c r="X122" s="166">
        <f>IF(OR($I122="",$E122=0),0,IF(OR($J122&lt;X$3,$I122&gt;X$2),0,IF($K122=0,IF(AND($I122&gt;=X$3,$I122&lt;=X$2),$E122,0),$E122*NETWORKDAYS(MAX($I122,X$3),MIN($J122,X$2),Data!$K$4:$K$203)/$K122)))</f>
        <v>0</v>
      </c>
      <c r="Y122" s="166">
        <f>IF(OR($I122="",$E122=0),0,IF(OR($J122&lt;Y$3,$I122&gt;Y$2),0,IF($K122=0,IF(AND($I122&gt;=Y$3,$I122&lt;=Y$2),$E122,0),$E122*NETWORKDAYS(MAX($I122,Y$3),MIN($J122,Y$2),Data!$K$4:$K$203)/$K122)))</f>
        <v>0</v>
      </c>
      <c r="Z122" s="166">
        <f>IF(OR($I122="",$E122=0),0,IF(OR($J122&lt;Z$3,$I122&gt;Z$2),0,IF($K122=0,IF(AND($I122&gt;=Z$3,$I122&lt;=Z$2),$E122,0),$E122*NETWORKDAYS(MAX($I122,Z$3),MIN($J122,Z$2),Data!$K$4:$K$203)/$K122)))</f>
        <v>0</v>
      </c>
      <c r="AA122" s="166">
        <f>IF(OR($I122="",$E122=0),0,IF(OR($J122&lt;AA$3,$I122&gt;AA$2),0,IF($K122=0,IF(AND($I122&gt;=AA$3,$I122&lt;=AA$2),$E122,0),$E122*NETWORKDAYS(MAX($I122,AA$3),MIN($J122,AA$2),Data!$K$4:$K$203)/$K122)))</f>
        <v>0</v>
      </c>
      <c r="AB122" s="166">
        <f>IF(OR($I122="",$E122=0),0,IF(OR($J122&lt;AB$3,$I122&gt;AB$2),0,IF($K122=0,IF(AND($I122&gt;=AB$3,$I122&lt;=AB$2),$E122,0),$E122*NETWORKDAYS(MAX($I122,AB$3),MIN($J122,AB$2),Data!$K$4:$K$203)/$K122)))</f>
        <v>0</v>
      </c>
      <c r="AC122" s="166">
        <f>IF(OR($I122="",$E122=0),0,IF(OR($J122&lt;AC$3,$I122&gt;AC$2),0,IF($K122=0,IF(AND($I122&gt;=AC$3,$I122&lt;=AC$2),$E122,0),$E122*NETWORKDAYS(MAX($I122,AC$3),MIN($J122,AC$2),Data!$K$4:$K$203)/$K122)))</f>
        <v>0</v>
      </c>
      <c r="AD122" s="166">
        <f>IF(OR($I122="",$E122=0),0,IF(OR($J122&lt;AD$3,$I122&gt;AD$2),0,IF($K122=0,IF(AND($I122&gt;=AD$3,$I122&lt;=AD$2),$E122,0),$E122*NETWORKDAYS(MAX($I122,AD$3),MIN($J122,AD$2),Data!$K$4:$K$203)/$K122)))</f>
        <v>0</v>
      </c>
      <c r="AE122" s="166">
        <f>IF(OR($I122="",$E122=0),0,IF(OR($J122&lt;AE$3,$I122&gt;AE$2),0,IF($K122=0,IF(AND($I122&gt;=AE$3,$I122&lt;=AE$2),$E122,0),$E122*NETWORKDAYS(MAX($I122,AE$3),MIN($J122,AE$2),Data!$K$4:$K$203)/$K122)))</f>
        <v>0</v>
      </c>
      <c r="AF122" s="166">
        <f>IF(OR($I122="",$E122=0),0,IF(OR($J122&lt;AF$3,$I122&gt;AF$2),0,IF($K122=0,IF(AND($I122&gt;=AF$3,$I122&lt;=AF$2),$E122,0),$E122*NETWORKDAYS(MAX($I122,AF$3),MIN($J122,AF$2),Data!$K$4:$K$203)/$K122)))</f>
        <v>0</v>
      </c>
      <c r="AG122" s="166">
        <f>IF(OR($I122="",$E122=0),0,IF(OR($J122&lt;AG$3,$I122&gt;AG$2),0,IF($K122=0,IF(AND($I122&gt;=AG$3,$I122&lt;=AG$2),$E122,0),$E122*NETWORKDAYS(MAX($I122,AG$3),MIN($J122,AG$2),Data!$K$4:$K$203)/$K122)))</f>
        <v>0</v>
      </c>
      <c r="AH122" s="166">
        <f>IF(OR($I122="",$E122=0),0,IF(OR($J122&lt;AH$3,$I122&gt;AH$2),0,IF($K122=0,IF(AND($I122&gt;=AH$3,$I122&lt;=AH$2),$E122,0),$E122*NETWORKDAYS(MAX($I122,AH$3),MIN($J122,AH$2),Data!$K$4:$K$203)/$K122)))</f>
        <v>0</v>
      </c>
      <c r="AI122" s="166">
        <f>SUM(W122:AH122)</f>
        <v>0</v>
      </c>
      <c r="BZ122" t="str">
        <f>IF(D122=1,IF(TRIM(INDEX(Charge!$K:$K,ROW()))&lt;&gt;"",TRIM(INDEX(Charge!$K:$K,ROW())),IF(TRIM(INDEX(Charge!$L:$L,ROW()))&lt;&gt;"",TRIM(INDEX(Charge!$L:$L,ROW())),"(non affecté)")),"")</f>
        <v/>
      </c>
      <c r="CA122" t="str">
        <f>IF(AND($CD$4&lt;&gt;"",BZ122=$CD$4),COUNTIFS($BZ$4:$BZ$503,$CD$4,$L$4:$L$503,"&lt;"&amp;L122)+1,"")</f>
        <v/>
      </c>
      <c r="EJ122" t="str">
        <f>TRIM(INDEX(Data!$E:$E,ROW()))</f>
        <v/>
      </c>
      <c r="EK122" t="str">
        <f>TRIM(INDEX(Data!$H:$H,ROW()))</f>
        <v/>
      </c>
      <c r="EM122" t="str">
        <f>IF(D122=1,IF(TRIM(INDEX(Charge!$K:$K,ROW()))&lt;&gt;"","Interne",IF(TRIM(INDEX(Charge!$L:$L,ROW()))&lt;&gt;"","Externe","Non affecté")),"")</f>
        <v/>
      </c>
      <c r="EN122" t="str">
        <f>IF(D122=1,LEFT(SUBSTITUTE(SUBSTITUTE(SUBSTITUTE(TRIM(SUBSTITUTE(INDEX(Charge!$B:$B,ROW()),CHAR(160)," "))&amp;" | "&amp;TRIM(SUBSTITUTE(INDEX(Charge!$C:$C,ROW()),CHAR(160)," "))&amp;" | "&amp;TRIM(SUBSTITUTE(INDEX(Charge!$D:$D,ROW()),CHAR(160)," ")),"~","-"),"*","+"),"?","!"),240),"")</f>
        <v/>
      </c>
      <c r="EO122">
        <f>IF(EN122="",0,IF(COUNTIF($EN$4:EN122,EN122)=1,1,0))</f>
        <v>0</v>
      </c>
      <c r="EP122" s="166" t="str">
        <f>IF(EO122=1,ROUND(SUMIF($EN$4:$EN$503,EN122,$E$4:$E$503),2),"")</f>
        <v/>
      </c>
      <c r="EQ122" t="str">
        <f>IF(EO122=1,COUNTIFS($EO$4:$EO$503,1,$EP$4:$EP$503,"&gt;"&amp;EP122)+COUNTIFS($EO$4:EO122,1,$EP$4:EP122,EP122),"")</f>
        <v/>
      </c>
      <c r="ER122" t="str">
        <f>IF(EO122=1,COUNTIFS($EN$4:$EN$503,EN122,$EM$4:$EM$503,"Interne",$FE$4:$FE$503,1),"")</f>
        <v/>
      </c>
      <c r="ES122" t="str">
        <f>IF(EO122=1,COUNTIFS($EN$4:$EN$503,EN122,$EM$4:$EM$503,"Externe",$FE$4:$FE$503,1),"")</f>
        <v/>
      </c>
      <c r="ET122" t="str">
        <f>IF(EO122=1,IF(ER122+ES122=0,"à affecter",IF(ER122=0,ES122&amp;" ext.",(ER122+ES122)&amp;IF(ES122&gt;0," dont "&amp;ES122&amp;" ext.",""))&amp;IF(COUNTIFS($EN$4:$EN$503,EN122,$EM$4:$EM$503,"Non affecté")&gt;0," + à affecter","")),"")</f>
        <v/>
      </c>
      <c r="EU122" s="170" t="str">
        <f>IF(EO122=1,IF(EP122&gt;0,SUMPRODUCT(($EN$4:$EN$503=EN122)*$E$4:$E$503*$C$4:$C$503)/EP122,AVERAGEIF($EN$4:$EN$503,EN122,$C$4:$C$503)),"")</f>
        <v/>
      </c>
      <c r="EV122" s="165">
        <f>IF(ISNUMBER(I122),I122,2958465)</f>
        <v>2958465.0</v>
      </c>
      <c r="EW122" s="165" t="str">
        <f>IF(EO122=1,SUMPRODUCT(MIN(($EN$4:$EN$503=EN122)*$EV$4:$EV$503+($EN$4:$EN$503&lt;&gt;EN122)*2958465)),"")</f>
        <v/>
      </c>
      <c r="EX122" s="165">
        <f>IF(AND(D122=1,ISNUMBER(INDEX(Charge!$F:$F,ROW()))),INDEX(Charge!$F:$F,ROW()),0)</f>
        <v>0.0</v>
      </c>
      <c r="EY122" s="165" t="str">
        <f>IF(EO122=1,SUMPRODUCT(MAX(($EN$4:$EN$503=EN122)*$EX$4:$EX$503)),"")</f>
        <v/>
      </c>
      <c r="FA122" t="str">
        <f>IF(119&lt;=$CD$23,INDEX($EJ$4:$EJ$203,119),IF(119-$CD$23&lt;=$CD$26,INDEX($EK$4:$EK$203,119-$CD$23),""))</f>
        <v/>
      </c>
      <c r="FB122" t="str">
        <f>IF(FA122="","",IF(119&lt;=$CD$23,"Interne","Externe"))</f>
        <v/>
      </c>
      <c r="FD122">
        <f>IF(AND(B122=1,TRIM(INDEX(Charge!$K:$K,ROW()))&lt;&gt;"",TRIM(INDEX(Charge!$L:$L,ROW()))&lt;&gt;""),1,0)</f>
        <v>0</v>
      </c>
      <c r="FE122">
        <f>IF(OR(EN122="",BZ122="(non affecté)"),0,IF(COUNTIFS($EN$4:EN122,EN122,$BZ$4:BZ122,BZ122)=1,1,0))</f>
        <v>0</v>
      </c>
    </row>
    <row r="123">
      <c r="A123">
        <f>ROW()</f>
        <v>123</v>
      </c>
      <c r="B123">
        <f>IF(TRIM(INDEX(Charge!$B:$B,ROW()))&lt;&gt;"",1,0)</f>
        <v>0</v>
      </c>
      <c r="C123">
        <f>IF(B123=1,MIN(1,MAX(0,N(INDEX(Charge!$O:$O,ROW())))),0)</f>
        <v>0</v>
      </c>
      <c r="D123">
        <f>IF(B123=1,IF(OR(p_Perimetre="Tous les projets",C123&lt;1),1,0),0)</f>
        <v>0</v>
      </c>
      <c r="E123">
        <f>IF(D123=1,MAX(0,N(INDEX(Charge!$M:$M,ROW()))),0)</f>
        <v>0</v>
      </c>
      <c r="F123" t="str">
        <f>IF(D123=1,IF(TRIM(INDEX(Charge!$A:$A,ROW()))="","(non renseigné)",TRIM(INDEX(Charge!$A:$A,ROW()))),"")</f>
        <v/>
      </c>
      <c r="G123" t="str">
        <f>IF(D123=1,TRIM(INDEX(Charge!$B:$B,ROW())),"")</f>
        <v/>
      </c>
      <c r="H123" t="str">
        <f>IF(D123=1,IF(TRIM(INDEX(Charge!$E:$E,ROW()))="","(non renseigné)",TRIM(INDEX(Charge!$E:$E,ROW()))),"")</f>
        <v/>
      </c>
      <c r="I123" s="165" t="str">
        <f>IF(AND(D123=1,ISNUMBER(INDEX(Charge!$N:$N,ROW()))),INDEX(Charge!$N:$N,ROW()),"")</f>
        <v/>
      </c>
      <c r="J123" s="165" t="str">
        <f>IF(I123="","",IF(AND(p_Repartition="Lissée jusqu'à la date de besoin",ISNUMBER(INDEX(Charge!$F:$F,ROW()))),IF(INDEX(Charge!$F:$F,ROW())&gt;=I123,INDEX(Charge!$F:$F,ROW()),I123),I123))</f>
        <v/>
      </c>
      <c r="K123" t="str">
        <f>IF(I123="","",NETWORKDAYS(I123,J123,Data!$K$4:$K$203))</f>
        <v/>
      </c>
      <c r="L123" t="str">
        <f>IF(D123=1,COUNTIFS($D$4:$D$503,1,$E$4:$E$503,"&gt;"&amp;E123)+COUNTIFS($D$4:$D123,1,$E$4:$E123,E123),"")</f>
        <v/>
      </c>
      <c r="M123">
        <f>IF(F123="",0,IF(COUNTIF($F$4:F123,F123)=1,1,0))</f>
        <v>0</v>
      </c>
      <c r="N123" t="str">
        <f>IF(M123=1,ROUND(SUMIF($F$4:$F$503,F123,$E$4:$E$503),2),"")</f>
        <v/>
      </c>
      <c r="O123" t="str">
        <f>IF(M123=1,COUNTIFS($M$4:$M$503,1,$N$4:$N$503,"&gt;"&amp;N123)+COUNTIFS($M$4:M123,1,$N$4:N123,N123),"")</f>
        <v/>
      </c>
      <c r="P123">
        <f>IF(G123="",0,IF(COUNTIF($G$4:G123,G123)=1,1,0))</f>
        <v>0</v>
      </c>
      <c r="Q123" t="str">
        <f>IF(P123=1,ROUND(SUMIF($G$4:$G$503,G123,$E$4:$E$503),2),"")</f>
        <v/>
      </c>
      <c r="R123" t="str">
        <f>IF(P123=1,COUNTIFS($P$4:$P$503,1,$Q$4:$Q$503,"&gt;"&amp;Q123)+COUNTIFS($P$4:P123,1,$Q$4:Q123,Q123),"")</f>
        <v/>
      </c>
      <c r="S123">
        <f>IF(H123="",0,IF(COUNTIF($H$4:H123,H123)=1,1,0))</f>
        <v>0</v>
      </c>
      <c r="T123" t="str">
        <f>IF(S123=1,ROUND(SUMIF($H$4:$H$503,H123,$E$4:$E$503),2),"")</f>
        <v/>
      </c>
      <c r="U123" t="str">
        <f>IF(S123=1,COUNTIFS($S$4:$S$503,1,$T$4:$T$503,"&gt;"&amp;T123)+COUNTIFS($S$4:S123,1,$T$4:T123,T123),"")</f>
        <v/>
      </c>
      <c r="V123" t="str">
        <f>IF(D123=1,MIN(INDEX($R$4:$R$503,MATCH(G123,$G$4:$G$503,0)),IF($AL$7&gt;9,9,999)),"")</f>
        <v/>
      </c>
      <c r="W123" s="166">
        <f>IF(OR($I123="",$E123=0),0,IF(OR($J123&lt;W$3,$I123&gt;W$2),0,IF($K123=0,IF(AND($I123&gt;=W$3,$I123&lt;=W$2),$E123,0),$E123*NETWORKDAYS(MAX($I123,W$3),MIN($J123,W$2),Data!$K$4:$K$203)/$K123)))</f>
        <v>0</v>
      </c>
      <c r="X123" s="166">
        <f>IF(OR($I123="",$E123=0),0,IF(OR($J123&lt;X$3,$I123&gt;X$2),0,IF($K123=0,IF(AND($I123&gt;=X$3,$I123&lt;=X$2),$E123,0),$E123*NETWORKDAYS(MAX($I123,X$3),MIN($J123,X$2),Data!$K$4:$K$203)/$K123)))</f>
        <v>0</v>
      </c>
      <c r="Y123" s="166">
        <f>IF(OR($I123="",$E123=0),0,IF(OR($J123&lt;Y$3,$I123&gt;Y$2),0,IF($K123=0,IF(AND($I123&gt;=Y$3,$I123&lt;=Y$2),$E123,0),$E123*NETWORKDAYS(MAX($I123,Y$3),MIN($J123,Y$2),Data!$K$4:$K$203)/$K123)))</f>
        <v>0</v>
      </c>
      <c r="Z123" s="166">
        <f>IF(OR($I123="",$E123=0),0,IF(OR($J123&lt;Z$3,$I123&gt;Z$2),0,IF($K123=0,IF(AND($I123&gt;=Z$3,$I123&lt;=Z$2),$E123,0),$E123*NETWORKDAYS(MAX($I123,Z$3),MIN($J123,Z$2),Data!$K$4:$K$203)/$K123)))</f>
        <v>0</v>
      </c>
      <c r="AA123" s="166">
        <f>IF(OR($I123="",$E123=0),0,IF(OR($J123&lt;AA$3,$I123&gt;AA$2),0,IF($K123=0,IF(AND($I123&gt;=AA$3,$I123&lt;=AA$2),$E123,0),$E123*NETWORKDAYS(MAX($I123,AA$3),MIN($J123,AA$2),Data!$K$4:$K$203)/$K123)))</f>
        <v>0</v>
      </c>
      <c r="AB123" s="166">
        <f>IF(OR($I123="",$E123=0),0,IF(OR($J123&lt;AB$3,$I123&gt;AB$2),0,IF($K123=0,IF(AND($I123&gt;=AB$3,$I123&lt;=AB$2),$E123,0),$E123*NETWORKDAYS(MAX($I123,AB$3),MIN($J123,AB$2),Data!$K$4:$K$203)/$K123)))</f>
        <v>0</v>
      </c>
      <c r="AC123" s="166">
        <f>IF(OR($I123="",$E123=0),0,IF(OR($J123&lt;AC$3,$I123&gt;AC$2),0,IF($K123=0,IF(AND($I123&gt;=AC$3,$I123&lt;=AC$2),$E123,0),$E123*NETWORKDAYS(MAX($I123,AC$3),MIN($J123,AC$2),Data!$K$4:$K$203)/$K123)))</f>
        <v>0</v>
      </c>
      <c r="AD123" s="166">
        <f>IF(OR($I123="",$E123=0),0,IF(OR($J123&lt;AD$3,$I123&gt;AD$2),0,IF($K123=0,IF(AND($I123&gt;=AD$3,$I123&lt;=AD$2),$E123,0),$E123*NETWORKDAYS(MAX($I123,AD$3),MIN($J123,AD$2),Data!$K$4:$K$203)/$K123)))</f>
        <v>0</v>
      </c>
      <c r="AE123" s="166">
        <f>IF(OR($I123="",$E123=0),0,IF(OR($J123&lt;AE$3,$I123&gt;AE$2),0,IF($K123=0,IF(AND($I123&gt;=AE$3,$I123&lt;=AE$2),$E123,0),$E123*NETWORKDAYS(MAX($I123,AE$3),MIN($J123,AE$2),Data!$K$4:$K$203)/$K123)))</f>
        <v>0</v>
      </c>
      <c r="AF123" s="166">
        <f>IF(OR($I123="",$E123=0),0,IF(OR($J123&lt;AF$3,$I123&gt;AF$2),0,IF($K123=0,IF(AND($I123&gt;=AF$3,$I123&lt;=AF$2),$E123,0),$E123*NETWORKDAYS(MAX($I123,AF$3),MIN($J123,AF$2),Data!$K$4:$K$203)/$K123)))</f>
        <v>0</v>
      </c>
      <c r="AG123" s="166">
        <f>IF(OR($I123="",$E123=0),0,IF(OR($J123&lt;AG$3,$I123&gt;AG$2),0,IF($K123=0,IF(AND($I123&gt;=AG$3,$I123&lt;=AG$2),$E123,0),$E123*NETWORKDAYS(MAX($I123,AG$3),MIN($J123,AG$2),Data!$K$4:$K$203)/$K123)))</f>
        <v>0</v>
      </c>
      <c r="AH123" s="166">
        <f>IF(OR($I123="",$E123=0),0,IF(OR($J123&lt;AH$3,$I123&gt;AH$2),0,IF($K123=0,IF(AND($I123&gt;=AH$3,$I123&lt;=AH$2),$E123,0),$E123*NETWORKDAYS(MAX($I123,AH$3),MIN($J123,AH$2),Data!$K$4:$K$203)/$K123)))</f>
        <v>0</v>
      </c>
      <c r="AI123" s="166">
        <f>SUM(W123:AH123)</f>
        <v>0</v>
      </c>
      <c r="BZ123" t="str">
        <f>IF(D123=1,IF(TRIM(INDEX(Charge!$K:$K,ROW()))&lt;&gt;"",TRIM(INDEX(Charge!$K:$K,ROW())),IF(TRIM(INDEX(Charge!$L:$L,ROW()))&lt;&gt;"",TRIM(INDEX(Charge!$L:$L,ROW())),"(non affecté)")),"")</f>
        <v/>
      </c>
      <c r="CA123" t="str">
        <f>IF(AND($CD$4&lt;&gt;"",BZ123=$CD$4),COUNTIFS($BZ$4:$BZ$503,$CD$4,$L$4:$L$503,"&lt;"&amp;L123)+1,"")</f>
        <v/>
      </c>
      <c r="EJ123" t="str">
        <f>TRIM(INDEX(Data!$E:$E,ROW()))</f>
        <v/>
      </c>
      <c r="EK123" t="str">
        <f>TRIM(INDEX(Data!$H:$H,ROW()))</f>
        <v/>
      </c>
      <c r="EM123" t="str">
        <f>IF(D123=1,IF(TRIM(INDEX(Charge!$K:$K,ROW()))&lt;&gt;"","Interne",IF(TRIM(INDEX(Charge!$L:$L,ROW()))&lt;&gt;"","Externe","Non affecté")),"")</f>
        <v/>
      </c>
      <c r="EN123" t="str">
        <f>IF(D123=1,LEFT(SUBSTITUTE(SUBSTITUTE(SUBSTITUTE(TRIM(SUBSTITUTE(INDEX(Charge!$B:$B,ROW()),CHAR(160)," "))&amp;" | "&amp;TRIM(SUBSTITUTE(INDEX(Charge!$C:$C,ROW()),CHAR(160)," "))&amp;" | "&amp;TRIM(SUBSTITUTE(INDEX(Charge!$D:$D,ROW()),CHAR(160)," ")),"~","-"),"*","+"),"?","!"),240),"")</f>
        <v/>
      </c>
      <c r="EO123">
        <f>IF(EN123="",0,IF(COUNTIF($EN$4:EN123,EN123)=1,1,0))</f>
        <v>0</v>
      </c>
      <c r="EP123" s="166" t="str">
        <f>IF(EO123=1,ROUND(SUMIF($EN$4:$EN$503,EN123,$E$4:$E$503),2),"")</f>
        <v/>
      </c>
      <c r="EQ123" t="str">
        <f>IF(EO123=1,COUNTIFS($EO$4:$EO$503,1,$EP$4:$EP$503,"&gt;"&amp;EP123)+COUNTIFS($EO$4:EO123,1,$EP$4:EP123,EP123),"")</f>
        <v/>
      </c>
      <c r="ER123" t="str">
        <f>IF(EO123=1,COUNTIFS($EN$4:$EN$503,EN123,$EM$4:$EM$503,"Interne",$FE$4:$FE$503,1),"")</f>
        <v/>
      </c>
      <c r="ES123" t="str">
        <f>IF(EO123=1,COUNTIFS($EN$4:$EN$503,EN123,$EM$4:$EM$503,"Externe",$FE$4:$FE$503,1),"")</f>
        <v/>
      </c>
      <c r="ET123" t="str">
        <f>IF(EO123=1,IF(ER123+ES123=0,"à affecter",IF(ER123=0,ES123&amp;" ext.",(ER123+ES123)&amp;IF(ES123&gt;0," dont "&amp;ES123&amp;" ext.",""))&amp;IF(COUNTIFS($EN$4:$EN$503,EN123,$EM$4:$EM$503,"Non affecté")&gt;0," + à affecter","")),"")</f>
        <v/>
      </c>
      <c r="EU123" s="170" t="str">
        <f>IF(EO123=1,IF(EP123&gt;0,SUMPRODUCT(($EN$4:$EN$503=EN123)*$E$4:$E$503*$C$4:$C$503)/EP123,AVERAGEIF($EN$4:$EN$503,EN123,$C$4:$C$503)),"")</f>
        <v/>
      </c>
      <c r="EV123" s="165">
        <f>IF(ISNUMBER(I123),I123,2958465)</f>
        <v>2958465.0</v>
      </c>
      <c r="EW123" s="165" t="str">
        <f>IF(EO123=1,SUMPRODUCT(MIN(($EN$4:$EN$503=EN123)*$EV$4:$EV$503+($EN$4:$EN$503&lt;&gt;EN123)*2958465)),"")</f>
        <v/>
      </c>
      <c r="EX123" s="165">
        <f>IF(AND(D123=1,ISNUMBER(INDEX(Charge!$F:$F,ROW()))),INDEX(Charge!$F:$F,ROW()),0)</f>
        <v>0.0</v>
      </c>
      <c r="EY123" s="165" t="str">
        <f>IF(EO123=1,SUMPRODUCT(MAX(($EN$4:$EN$503=EN123)*$EX$4:$EX$503)),"")</f>
        <v/>
      </c>
      <c r="FA123" t="str">
        <f>IF(120&lt;=$CD$23,INDEX($EJ$4:$EJ$203,120),IF(120-$CD$23&lt;=$CD$26,INDEX($EK$4:$EK$203,120-$CD$23),""))</f>
        <v/>
      </c>
      <c r="FB123" t="str">
        <f>IF(FA123="","",IF(120&lt;=$CD$23,"Interne","Externe"))</f>
        <v/>
      </c>
      <c r="FD123">
        <f>IF(AND(B123=1,TRIM(INDEX(Charge!$K:$K,ROW()))&lt;&gt;"",TRIM(INDEX(Charge!$L:$L,ROW()))&lt;&gt;""),1,0)</f>
        <v>0</v>
      </c>
      <c r="FE123">
        <f>IF(OR(EN123="",BZ123="(non affecté)"),0,IF(COUNTIFS($EN$4:EN123,EN123,$BZ$4:BZ123,BZ123)=1,1,0))</f>
        <v>0</v>
      </c>
    </row>
    <row r="124">
      <c r="A124">
        <f>ROW()</f>
        <v>124</v>
      </c>
      <c r="B124">
        <f>IF(TRIM(INDEX(Charge!$B:$B,ROW()))&lt;&gt;"",1,0)</f>
        <v>0</v>
      </c>
      <c r="C124">
        <f>IF(B124=1,MIN(1,MAX(0,N(INDEX(Charge!$O:$O,ROW())))),0)</f>
        <v>0</v>
      </c>
      <c r="D124">
        <f>IF(B124=1,IF(OR(p_Perimetre="Tous les projets",C124&lt;1),1,0),0)</f>
        <v>0</v>
      </c>
      <c r="E124">
        <f>IF(D124=1,MAX(0,N(INDEX(Charge!$M:$M,ROW()))),0)</f>
        <v>0</v>
      </c>
      <c r="F124" t="str">
        <f>IF(D124=1,IF(TRIM(INDEX(Charge!$A:$A,ROW()))="","(non renseigné)",TRIM(INDEX(Charge!$A:$A,ROW()))),"")</f>
        <v/>
      </c>
      <c r="G124" t="str">
        <f>IF(D124=1,TRIM(INDEX(Charge!$B:$B,ROW())),"")</f>
        <v/>
      </c>
      <c r="H124" t="str">
        <f>IF(D124=1,IF(TRIM(INDEX(Charge!$E:$E,ROW()))="","(non renseigné)",TRIM(INDEX(Charge!$E:$E,ROW()))),"")</f>
        <v/>
      </c>
      <c r="I124" s="165" t="str">
        <f>IF(AND(D124=1,ISNUMBER(INDEX(Charge!$N:$N,ROW()))),INDEX(Charge!$N:$N,ROW()),"")</f>
        <v/>
      </c>
      <c r="J124" s="165" t="str">
        <f>IF(I124="","",IF(AND(p_Repartition="Lissée jusqu'à la date de besoin",ISNUMBER(INDEX(Charge!$F:$F,ROW()))),IF(INDEX(Charge!$F:$F,ROW())&gt;=I124,INDEX(Charge!$F:$F,ROW()),I124),I124))</f>
        <v/>
      </c>
      <c r="K124" t="str">
        <f>IF(I124="","",NETWORKDAYS(I124,J124,Data!$K$4:$K$203))</f>
        <v/>
      </c>
      <c r="L124" t="str">
        <f>IF(D124=1,COUNTIFS($D$4:$D$503,1,$E$4:$E$503,"&gt;"&amp;E124)+COUNTIFS($D$4:$D124,1,$E$4:$E124,E124),"")</f>
        <v/>
      </c>
      <c r="M124">
        <f>IF(F124="",0,IF(COUNTIF($F$4:F124,F124)=1,1,0))</f>
        <v>0</v>
      </c>
      <c r="N124" t="str">
        <f>IF(M124=1,ROUND(SUMIF($F$4:$F$503,F124,$E$4:$E$503),2),"")</f>
        <v/>
      </c>
      <c r="O124" t="str">
        <f>IF(M124=1,COUNTIFS($M$4:$M$503,1,$N$4:$N$503,"&gt;"&amp;N124)+COUNTIFS($M$4:M124,1,$N$4:N124,N124),"")</f>
        <v/>
      </c>
      <c r="P124">
        <f>IF(G124="",0,IF(COUNTIF($G$4:G124,G124)=1,1,0))</f>
        <v>0</v>
      </c>
      <c r="Q124" t="str">
        <f>IF(P124=1,ROUND(SUMIF($G$4:$G$503,G124,$E$4:$E$503),2),"")</f>
        <v/>
      </c>
      <c r="R124" t="str">
        <f>IF(P124=1,COUNTIFS($P$4:$P$503,1,$Q$4:$Q$503,"&gt;"&amp;Q124)+COUNTIFS($P$4:P124,1,$Q$4:Q124,Q124),"")</f>
        <v/>
      </c>
      <c r="S124">
        <f>IF(H124="",0,IF(COUNTIF($H$4:H124,H124)=1,1,0))</f>
        <v>0</v>
      </c>
      <c r="T124" t="str">
        <f>IF(S124=1,ROUND(SUMIF($H$4:$H$503,H124,$E$4:$E$503),2),"")</f>
        <v/>
      </c>
      <c r="U124" t="str">
        <f>IF(S124=1,COUNTIFS($S$4:$S$503,1,$T$4:$T$503,"&gt;"&amp;T124)+COUNTIFS($S$4:S124,1,$T$4:T124,T124),"")</f>
        <v/>
      </c>
      <c r="V124" t="str">
        <f>IF(D124=1,MIN(INDEX($R$4:$R$503,MATCH(G124,$G$4:$G$503,0)),IF($AL$7&gt;9,9,999)),"")</f>
        <v/>
      </c>
      <c r="W124" s="166">
        <f>IF(OR($I124="",$E124=0),0,IF(OR($J124&lt;W$3,$I124&gt;W$2),0,IF($K124=0,IF(AND($I124&gt;=W$3,$I124&lt;=W$2),$E124,0),$E124*NETWORKDAYS(MAX($I124,W$3),MIN($J124,W$2),Data!$K$4:$K$203)/$K124)))</f>
        <v>0</v>
      </c>
      <c r="X124" s="166">
        <f>IF(OR($I124="",$E124=0),0,IF(OR($J124&lt;X$3,$I124&gt;X$2),0,IF($K124=0,IF(AND($I124&gt;=X$3,$I124&lt;=X$2),$E124,0),$E124*NETWORKDAYS(MAX($I124,X$3),MIN($J124,X$2),Data!$K$4:$K$203)/$K124)))</f>
        <v>0</v>
      </c>
      <c r="Y124" s="166">
        <f>IF(OR($I124="",$E124=0),0,IF(OR($J124&lt;Y$3,$I124&gt;Y$2),0,IF($K124=0,IF(AND($I124&gt;=Y$3,$I124&lt;=Y$2),$E124,0),$E124*NETWORKDAYS(MAX($I124,Y$3),MIN($J124,Y$2),Data!$K$4:$K$203)/$K124)))</f>
        <v>0</v>
      </c>
      <c r="Z124" s="166">
        <f>IF(OR($I124="",$E124=0),0,IF(OR($J124&lt;Z$3,$I124&gt;Z$2),0,IF($K124=0,IF(AND($I124&gt;=Z$3,$I124&lt;=Z$2),$E124,0),$E124*NETWORKDAYS(MAX($I124,Z$3),MIN($J124,Z$2),Data!$K$4:$K$203)/$K124)))</f>
        <v>0</v>
      </c>
      <c r="AA124" s="166">
        <f>IF(OR($I124="",$E124=0),0,IF(OR($J124&lt;AA$3,$I124&gt;AA$2),0,IF($K124=0,IF(AND($I124&gt;=AA$3,$I124&lt;=AA$2),$E124,0),$E124*NETWORKDAYS(MAX($I124,AA$3),MIN($J124,AA$2),Data!$K$4:$K$203)/$K124)))</f>
        <v>0</v>
      </c>
      <c r="AB124" s="166">
        <f>IF(OR($I124="",$E124=0),0,IF(OR($J124&lt;AB$3,$I124&gt;AB$2),0,IF($K124=0,IF(AND($I124&gt;=AB$3,$I124&lt;=AB$2),$E124,0),$E124*NETWORKDAYS(MAX($I124,AB$3),MIN($J124,AB$2),Data!$K$4:$K$203)/$K124)))</f>
        <v>0</v>
      </c>
      <c r="AC124" s="166">
        <f>IF(OR($I124="",$E124=0),0,IF(OR($J124&lt;AC$3,$I124&gt;AC$2),0,IF($K124=0,IF(AND($I124&gt;=AC$3,$I124&lt;=AC$2),$E124,0),$E124*NETWORKDAYS(MAX($I124,AC$3),MIN($J124,AC$2),Data!$K$4:$K$203)/$K124)))</f>
        <v>0</v>
      </c>
      <c r="AD124" s="166">
        <f>IF(OR($I124="",$E124=0),0,IF(OR($J124&lt;AD$3,$I124&gt;AD$2),0,IF($K124=0,IF(AND($I124&gt;=AD$3,$I124&lt;=AD$2),$E124,0),$E124*NETWORKDAYS(MAX($I124,AD$3),MIN($J124,AD$2),Data!$K$4:$K$203)/$K124)))</f>
        <v>0</v>
      </c>
      <c r="AE124" s="166">
        <f>IF(OR($I124="",$E124=0),0,IF(OR($J124&lt;AE$3,$I124&gt;AE$2),0,IF($K124=0,IF(AND($I124&gt;=AE$3,$I124&lt;=AE$2),$E124,0),$E124*NETWORKDAYS(MAX($I124,AE$3),MIN($J124,AE$2),Data!$K$4:$K$203)/$K124)))</f>
        <v>0</v>
      </c>
      <c r="AF124" s="166">
        <f>IF(OR($I124="",$E124=0),0,IF(OR($J124&lt;AF$3,$I124&gt;AF$2),0,IF($K124=0,IF(AND($I124&gt;=AF$3,$I124&lt;=AF$2),$E124,0),$E124*NETWORKDAYS(MAX($I124,AF$3),MIN($J124,AF$2),Data!$K$4:$K$203)/$K124)))</f>
        <v>0</v>
      </c>
      <c r="AG124" s="166">
        <f>IF(OR($I124="",$E124=0),0,IF(OR($J124&lt;AG$3,$I124&gt;AG$2),0,IF($K124=0,IF(AND($I124&gt;=AG$3,$I124&lt;=AG$2),$E124,0),$E124*NETWORKDAYS(MAX($I124,AG$3),MIN($J124,AG$2),Data!$K$4:$K$203)/$K124)))</f>
        <v>0</v>
      </c>
      <c r="AH124" s="166">
        <f>IF(OR($I124="",$E124=0),0,IF(OR($J124&lt;AH$3,$I124&gt;AH$2),0,IF($K124=0,IF(AND($I124&gt;=AH$3,$I124&lt;=AH$2),$E124,0),$E124*NETWORKDAYS(MAX($I124,AH$3),MIN($J124,AH$2),Data!$K$4:$K$203)/$K124)))</f>
        <v>0</v>
      </c>
      <c r="AI124" s="166">
        <f>SUM(W124:AH124)</f>
        <v>0</v>
      </c>
      <c r="BZ124" t="str">
        <f>IF(D124=1,IF(TRIM(INDEX(Charge!$K:$K,ROW()))&lt;&gt;"",TRIM(INDEX(Charge!$K:$K,ROW())),IF(TRIM(INDEX(Charge!$L:$L,ROW()))&lt;&gt;"",TRIM(INDEX(Charge!$L:$L,ROW())),"(non affecté)")),"")</f>
        <v/>
      </c>
      <c r="CA124" t="str">
        <f>IF(AND($CD$4&lt;&gt;"",BZ124=$CD$4),COUNTIFS($BZ$4:$BZ$503,$CD$4,$L$4:$L$503,"&lt;"&amp;L124)+1,"")</f>
        <v/>
      </c>
      <c r="EJ124" t="str">
        <f>TRIM(INDEX(Data!$E:$E,ROW()))</f>
        <v/>
      </c>
      <c r="EK124" t="str">
        <f>TRIM(INDEX(Data!$H:$H,ROW()))</f>
        <v/>
      </c>
      <c r="EM124" t="str">
        <f>IF(D124=1,IF(TRIM(INDEX(Charge!$K:$K,ROW()))&lt;&gt;"","Interne",IF(TRIM(INDEX(Charge!$L:$L,ROW()))&lt;&gt;"","Externe","Non affecté")),"")</f>
        <v/>
      </c>
      <c r="EN124" t="str">
        <f>IF(D124=1,LEFT(SUBSTITUTE(SUBSTITUTE(SUBSTITUTE(TRIM(SUBSTITUTE(INDEX(Charge!$B:$B,ROW()),CHAR(160)," "))&amp;" | "&amp;TRIM(SUBSTITUTE(INDEX(Charge!$C:$C,ROW()),CHAR(160)," "))&amp;" | "&amp;TRIM(SUBSTITUTE(INDEX(Charge!$D:$D,ROW()),CHAR(160)," ")),"~","-"),"*","+"),"?","!"),240),"")</f>
        <v/>
      </c>
      <c r="EO124">
        <f>IF(EN124="",0,IF(COUNTIF($EN$4:EN124,EN124)=1,1,0))</f>
        <v>0</v>
      </c>
      <c r="EP124" s="166" t="str">
        <f>IF(EO124=1,ROUND(SUMIF($EN$4:$EN$503,EN124,$E$4:$E$503),2),"")</f>
        <v/>
      </c>
      <c r="EQ124" t="str">
        <f>IF(EO124=1,COUNTIFS($EO$4:$EO$503,1,$EP$4:$EP$503,"&gt;"&amp;EP124)+COUNTIFS($EO$4:EO124,1,$EP$4:EP124,EP124),"")</f>
        <v/>
      </c>
      <c r="ER124" t="str">
        <f>IF(EO124=1,COUNTIFS($EN$4:$EN$503,EN124,$EM$4:$EM$503,"Interne",$FE$4:$FE$503,1),"")</f>
        <v/>
      </c>
      <c r="ES124" t="str">
        <f>IF(EO124=1,COUNTIFS($EN$4:$EN$503,EN124,$EM$4:$EM$503,"Externe",$FE$4:$FE$503,1),"")</f>
        <v/>
      </c>
      <c r="ET124" t="str">
        <f>IF(EO124=1,IF(ER124+ES124=0,"à affecter",IF(ER124=0,ES124&amp;" ext.",(ER124+ES124)&amp;IF(ES124&gt;0," dont "&amp;ES124&amp;" ext.",""))&amp;IF(COUNTIFS($EN$4:$EN$503,EN124,$EM$4:$EM$503,"Non affecté")&gt;0," + à affecter","")),"")</f>
        <v/>
      </c>
      <c r="EU124" s="170" t="str">
        <f>IF(EO124=1,IF(EP124&gt;0,SUMPRODUCT(($EN$4:$EN$503=EN124)*$E$4:$E$503*$C$4:$C$503)/EP124,AVERAGEIF($EN$4:$EN$503,EN124,$C$4:$C$503)),"")</f>
        <v/>
      </c>
      <c r="EV124" s="165">
        <f>IF(ISNUMBER(I124),I124,2958465)</f>
        <v>2958465.0</v>
      </c>
      <c r="EW124" s="165" t="str">
        <f>IF(EO124=1,SUMPRODUCT(MIN(($EN$4:$EN$503=EN124)*$EV$4:$EV$503+($EN$4:$EN$503&lt;&gt;EN124)*2958465)),"")</f>
        <v/>
      </c>
      <c r="EX124" s="165">
        <f>IF(AND(D124=1,ISNUMBER(INDEX(Charge!$F:$F,ROW()))),INDEX(Charge!$F:$F,ROW()),0)</f>
        <v>0.0</v>
      </c>
      <c r="EY124" s="165" t="str">
        <f>IF(EO124=1,SUMPRODUCT(MAX(($EN$4:$EN$503=EN124)*$EX$4:$EX$503)),"")</f>
        <v/>
      </c>
      <c r="FA124" t="str">
        <f>IF(121&lt;=$CD$23,INDEX($EJ$4:$EJ$203,121),IF(121-$CD$23&lt;=$CD$26,INDEX($EK$4:$EK$203,121-$CD$23),""))</f>
        <v/>
      </c>
      <c r="FB124" t="str">
        <f>IF(FA124="","",IF(121&lt;=$CD$23,"Interne","Externe"))</f>
        <v/>
      </c>
      <c r="FD124">
        <f>IF(AND(B124=1,TRIM(INDEX(Charge!$K:$K,ROW()))&lt;&gt;"",TRIM(INDEX(Charge!$L:$L,ROW()))&lt;&gt;""),1,0)</f>
        <v>0</v>
      </c>
      <c r="FE124">
        <f>IF(OR(EN124="",BZ124="(non affecté)"),0,IF(COUNTIFS($EN$4:EN124,EN124,$BZ$4:BZ124,BZ124)=1,1,0))</f>
        <v>0</v>
      </c>
    </row>
    <row r="125">
      <c r="A125">
        <f>ROW()</f>
        <v>125</v>
      </c>
      <c r="B125">
        <f>IF(TRIM(INDEX(Charge!$B:$B,ROW()))&lt;&gt;"",1,0)</f>
        <v>0</v>
      </c>
      <c r="C125">
        <f>IF(B125=1,MIN(1,MAX(0,N(INDEX(Charge!$O:$O,ROW())))),0)</f>
        <v>0</v>
      </c>
      <c r="D125">
        <f>IF(B125=1,IF(OR(p_Perimetre="Tous les projets",C125&lt;1),1,0),0)</f>
        <v>0</v>
      </c>
      <c r="E125">
        <f>IF(D125=1,MAX(0,N(INDEX(Charge!$M:$M,ROW()))),0)</f>
        <v>0</v>
      </c>
      <c r="F125" t="str">
        <f>IF(D125=1,IF(TRIM(INDEX(Charge!$A:$A,ROW()))="","(non renseigné)",TRIM(INDEX(Charge!$A:$A,ROW()))),"")</f>
        <v/>
      </c>
      <c r="G125" t="str">
        <f>IF(D125=1,TRIM(INDEX(Charge!$B:$B,ROW())),"")</f>
        <v/>
      </c>
      <c r="H125" t="str">
        <f>IF(D125=1,IF(TRIM(INDEX(Charge!$E:$E,ROW()))="","(non renseigné)",TRIM(INDEX(Charge!$E:$E,ROW()))),"")</f>
        <v/>
      </c>
      <c r="I125" s="165" t="str">
        <f>IF(AND(D125=1,ISNUMBER(INDEX(Charge!$N:$N,ROW()))),INDEX(Charge!$N:$N,ROW()),"")</f>
        <v/>
      </c>
      <c r="J125" s="165" t="str">
        <f>IF(I125="","",IF(AND(p_Repartition="Lissée jusqu'à la date de besoin",ISNUMBER(INDEX(Charge!$F:$F,ROW()))),IF(INDEX(Charge!$F:$F,ROW())&gt;=I125,INDEX(Charge!$F:$F,ROW()),I125),I125))</f>
        <v/>
      </c>
      <c r="K125" t="str">
        <f>IF(I125="","",NETWORKDAYS(I125,J125,Data!$K$4:$K$203))</f>
        <v/>
      </c>
      <c r="L125" t="str">
        <f>IF(D125=1,COUNTIFS($D$4:$D$503,1,$E$4:$E$503,"&gt;"&amp;E125)+COUNTIFS($D$4:$D125,1,$E$4:$E125,E125),"")</f>
        <v/>
      </c>
      <c r="M125">
        <f>IF(F125="",0,IF(COUNTIF($F$4:F125,F125)=1,1,0))</f>
        <v>0</v>
      </c>
      <c r="N125" t="str">
        <f>IF(M125=1,ROUND(SUMIF($F$4:$F$503,F125,$E$4:$E$503),2),"")</f>
        <v/>
      </c>
      <c r="O125" t="str">
        <f>IF(M125=1,COUNTIFS($M$4:$M$503,1,$N$4:$N$503,"&gt;"&amp;N125)+COUNTIFS($M$4:M125,1,$N$4:N125,N125),"")</f>
        <v/>
      </c>
      <c r="P125">
        <f>IF(G125="",0,IF(COUNTIF($G$4:G125,G125)=1,1,0))</f>
        <v>0</v>
      </c>
      <c r="Q125" t="str">
        <f>IF(P125=1,ROUND(SUMIF($G$4:$G$503,G125,$E$4:$E$503),2),"")</f>
        <v/>
      </c>
      <c r="R125" t="str">
        <f>IF(P125=1,COUNTIFS($P$4:$P$503,1,$Q$4:$Q$503,"&gt;"&amp;Q125)+COUNTIFS($P$4:P125,1,$Q$4:Q125,Q125),"")</f>
        <v/>
      </c>
      <c r="S125">
        <f>IF(H125="",0,IF(COUNTIF($H$4:H125,H125)=1,1,0))</f>
        <v>0</v>
      </c>
      <c r="T125" t="str">
        <f>IF(S125=1,ROUND(SUMIF($H$4:$H$503,H125,$E$4:$E$503),2),"")</f>
        <v/>
      </c>
      <c r="U125" t="str">
        <f>IF(S125=1,COUNTIFS($S$4:$S$503,1,$T$4:$T$503,"&gt;"&amp;T125)+COUNTIFS($S$4:S125,1,$T$4:T125,T125),"")</f>
        <v/>
      </c>
      <c r="V125" t="str">
        <f>IF(D125=1,MIN(INDEX($R$4:$R$503,MATCH(G125,$G$4:$G$503,0)),IF($AL$7&gt;9,9,999)),"")</f>
        <v/>
      </c>
      <c r="W125" s="166">
        <f>IF(OR($I125="",$E125=0),0,IF(OR($J125&lt;W$3,$I125&gt;W$2),0,IF($K125=0,IF(AND($I125&gt;=W$3,$I125&lt;=W$2),$E125,0),$E125*NETWORKDAYS(MAX($I125,W$3),MIN($J125,W$2),Data!$K$4:$K$203)/$K125)))</f>
        <v>0</v>
      </c>
      <c r="X125" s="166">
        <f>IF(OR($I125="",$E125=0),0,IF(OR($J125&lt;X$3,$I125&gt;X$2),0,IF($K125=0,IF(AND($I125&gt;=X$3,$I125&lt;=X$2),$E125,0),$E125*NETWORKDAYS(MAX($I125,X$3),MIN($J125,X$2),Data!$K$4:$K$203)/$K125)))</f>
        <v>0</v>
      </c>
      <c r="Y125" s="166">
        <f>IF(OR($I125="",$E125=0),0,IF(OR($J125&lt;Y$3,$I125&gt;Y$2),0,IF($K125=0,IF(AND($I125&gt;=Y$3,$I125&lt;=Y$2),$E125,0),$E125*NETWORKDAYS(MAX($I125,Y$3),MIN($J125,Y$2),Data!$K$4:$K$203)/$K125)))</f>
        <v>0</v>
      </c>
      <c r="Z125" s="166">
        <f>IF(OR($I125="",$E125=0),0,IF(OR($J125&lt;Z$3,$I125&gt;Z$2),0,IF($K125=0,IF(AND($I125&gt;=Z$3,$I125&lt;=Z$2),$E125,0),$E125*NETWORKDAYS(MAX($I125,Z$3),MIN($J125,Z$2),Data!$K$4:$K$203)/$K125)))</f>
        <v>0</v>
      </c>
      <c r="AA125" s="166">
        <f>IF(OR($I125="",$E125=0),0,IF(OR($J125&lt;AA$3,$I125&gt;AA$2),0,IF($K125=0,IF(AND($I125&gt;=AA$3,$I125&lt;=AA$2),$E125,0),$E125*NETWORKDAYS(MAX($I125,AA$3),MIN($J125,AA$2),Data!$K$4:$K$203)/$K125)))</f>
        <v>0</v>
      </c>
      <c r="AB125" s="166">
        <f>IF(OR($I125="",$E125=0),0,IF(OR($J125&lt;AB$3,$I125&gt;AB$2),0,IF($K125=0,IF(AND($I125&gt;=AB$3,$I125&lt;=AB$2),$E125,0),$E125*NETWORKDAYS(MAX($I125,AB$3),MIN($J125,AB$2),Data!$K$4:$K$203)/$K125)))</f>
        <v>0</v>
      </c>
      <c r="AC125" s="166">
        <f>IF(OR($I125="",$E125=0),0,IF(OR($J125&lt;AC$3,$I125&gt;AC$2),0,IF($K125=0,IF(AND($I125&gt;=AC$3,$I125&lt;=AC$2),$E125,0),$E125*NETWORKDAYS(MAX($I125,AC$3),MIN($J125,AC$2),Data!$K$4:$K$203)/$K125)))</f>
        <v>0</v>
      </c>
      <c r="AD125" s="166">
        <f>IF(OR($I125="",$E125=0),0,IF(OR($J125&lt;AD$3,$I125&gt;AD$2),0,IF($K125=0,IF(AND($I125&gt;=AD$3,$I125&lt;=AD$2),$E125,0),$E125*NETWORKDAYS(MAX($I125,AD$3),MIN($J125,AD$2),Data!$K$4:$K$203)/$K125)))</f>
        <v>0</v>
      </c>
      <c r="AE125" s="166">
        <f>IF(OR($I125="",$E125=0),0,IF(OR($J125&lt;AE$3,$I125&gt;AE$2),0,IF($K125=0,IF(AND($I125&gt;=AE$3,$I125&lt;=AE$2),$E125,0),$E125*NETWORKDAYS(MAX($I125,AE$3),MIN($J125,AE$2),Data!$K$4:$K$203)/$K125)))</f>
        <v>0</v>
      </c>
      <c r="AF125" s="166">
        <f>IF(OR($I125="",$E125=0),0,IF(OR($J125&lt;AF$3,$I125&gt;AF$2),0,IF($K125=0,IF(AND($I125&gt;=AF$3,$I125&lt;=AF$2),$E125,0),$E125*NETWORKDAYS(MAX($I125,AF$3),MIN($J125,AF$2),Data!$K$4:$K$203)/$K125)))</f>
        <v>0</v>
      </c>
      <c r="AG125" s="166">
        <f>IF(OR($I125="",$E125=0),0,IF(OR($J125&lt;AG$3,$I125&gt;AG$2),0,IF($K125=0,IF(AND($I125&gt;=AG$3,$I125&lt;=AG$2),$E125,0),$E125*NETWORKDAYS(MAX($I125,AG$3),MIN($J125,AG$2),Data!$K$4:$K$203)/$K125)))</f>
        <v>0</v>
      </c>
      <c r="AH125" s="166">
        <f>IF(OR($I125="",$E125=0),0,IF(OR($J125&lt;AH$3,$I125&gt;AH$2),0,IF($K125=0,IF(AND($I125&gt;=AH$3,$I125&lt;=AH$2),$E125,0),$E125*NETWORKDAYS(MAX($I125,AH$3),MIN($J125,AH$2),Data!$K$4:$K$203)/$K125)))</f>
        <v>0</v>
      </c>
      <c r="AI125" s="166">
        <f>SUM(W125:AH125)</f>
        <v>0</v>
      </c>
      <c r="BZ125" t="str">
        <f>IF(D125=1,IF(TRIM(INDEX(Charge!$K:$K,ROW()))&lt;&gt;"",TRIM(INDEX(Charge!$K:$K,ROW())),IF(TRIM(INDEX(Charge!$L:$L,ROW()))&lt;&gt;"",TRIM(INDEX(Charge!$L:$L,ROW())),"(non affecté)")),"")</f>
        <v/>
      </c>
      <c r="CA125" t="str">
        <f>IF(AND($CD$4&lt;&gt;"",BZ125=$CD$4),COUNTIFS($BZ$4:$BZ$503,$CD$4,$L$4:$L$503,"&lt;"&amp;L125)+1,"")</f>
        <v/>
      </c>
      <c r="EJ125" t="str">
        <f>TRIM(INDEX(Data!$E:$E,ROW()))</f>
        <v/>
      </c>
      <c r="EK125" t="str">
        <f>TRIM(INDEX(Data!$H:$H,ROW()))</f>
        <v/>
      </c>
      <c r="EM125" t="str">
        <f>IF(D125=1,IF(TRIM(INDEX(Charge!$K:$K,ROW()))&lt;&gt;"","Interne",IF(TRIM(INDEX(Charge!$L:$L,ROW()))&lt;&gt;"","Externe","Non affecté")),"")</f>
        <v/>
      </c>
      <c r="EN125" t="str">
        <f>IF(D125=1,LEFT(SUBSTITUTE(SUBSTITUTE(SUBSTITUTE(TRIM(SUBSTITUTE(INDEX(Charge!$B:$B,ROW()),CHAR(160)," "))&amp;" | "&amp;TRIM(SUBSTITUTE(INDEX(Charge!$C:$C,ROW()),CHAR(160)," "))&amp;" | "&amp;TRIM(SUBSTITUTE(INDEX(Charge!$D:$D,ROW()),CHAR(160)," ")),"~","-"),"*","+"),"?","!"),240),"")</f>
        <v/>
      </c>
      <c r="EO125">
        <f>IF(EN125="",0,IF(COUNTIF($EN$4:EN125,EN125)=1,1,0))</f>
        <v>0</v>
      </c>
      <c r="EP125" s="166" t="str">
        <f>IF(EO125=1,ROUND(SUMIF($EN$4:$EN$503,EN125,$E$4:$E$503),2),"")</f>
        <v/>
      </c>
      <c r="EQ125" t="str">
        <f>IF(EO125=1,COUNTIFS($EO$4:$EO$503,1,$EP$4:$EP$503,"&gt;"&amp;EP125)+COUNTIFS($EO$4:EO125,1,$EP$4:EP125,EP125),"")</f>
        <v/>
      </c>
      <c r="ER125" t="str">
        <f>IF(EO125=1,COUNTIFS($EN$4:$EN$503,EN125,$EM$4:$EM$503,"Interne",$FE$4:$FE$503,1),"")</f>
        <v/>
      </c>
      <c r="ES125" t="str">
        <f>IF(EO125=1,COUNTIFS($EN$4:$EN$503,EN125,$EM$4:$EM$503,"Externe",$FE$4:$FE$503,1),"")</f>
        <v/>
      </c>
      <c r="ET125" t="str">
        <f>IF(EO125=1,IF(ER125+ES125=0,"à affecter",IF(ER125=0,ES125&amp;" ext.",(ER125+ES125)&amp;IF(ES125&gt;0," dont "&amp;ES125&amp;" ext.",""))&amp;IF(COUNTIFS($EN$4:$EN$503,EN125,$EM$4:$EM$503,"Non affecté")&gt;0," + à affecter","")),"")</f>
        <v/>
      </c>
      <c r="EU125" s="170" t="str">
        <f>IF(EO125=1,IF(EP125&gt;0,SUMPRODUCT(($EN$4:$EN$503=EN125)*$E$4:$E$503*$C$4:$C$503)/EP125,AVERAGEIF($EN$4:$EN$503,EN125,$C$4:$C$503)),"")</f>
        <v/>
      </c>
      <c r="EV125" s="165">
        <f>IF(ISNUMBER(I125),I125,2958465)</f>
        <v>2958465.0</v>
      </c>
      <c r="EW125" s="165" t="str">
        <f>IF(EO125=1,SUMPRODUCT(MIN(($EN$4:$EN$503=EN125)*$EV$4:$EV$503+($EN$4:$EN$503&lt;&gt;EN125)*2958465)),"")</f>
        <v/>
      </c>
      <c r="EX125" s="165">
        <f>IF(AND(D125=1,ISNUMBER(INDEX(Charge!$F:$F,ROW()))),INDEX(Charge!$F:$F,ROW()),0)</f>
        <v>0.0</v>
      </c>
      <c r="EY125" s="165" t="str">
        <f>IF(EO125=1,SUMPRODUCT(MAX(($EN$4:$EN$503=EN125)*$EX$4:$EX$503)),"")</f>
        <v/>
      </c>
      <c r="FA125" t="str">
        <f>IF(122&lt;=$CD$23,INDEX($EJ$4:$EJ$203,122),IF(122-$CD$23&lt;=$CD$26,INDEX($EK$4:$EK$203,122-$CD$23),""))</f>
        <v/>
      </c>
      <c r="FB125" t="str">
        <f>IF(FA125="","",IF(122&lt;=$CD$23,"Interne","Externe"))</f>
        <v/>
      </c>
      <c r="FD125">
        <f>IF(AND(B125=1,TRIM(INDEX(Charge!$K:$K,ROW()))&lt;&gt;"",TRIM(INDEX(Charge!$L:$L,ROW()))&lt;&gt;""),1,0)</f>
        <v>0</v>
      </c>
      <c r="FE125">
        <f>IF(OR(EN125="",BZ125="(non affecté)"),0,IF(COUNTIFS($EN$4:EN125,EN125,$BZ$4:BZ125,BZ125)=1,1,0))</f>
        <v>0</v>
      </c>
    </row>
    <row r="126">
      <c r="A126">
        <f>ROW()</f>
        <v>126</v>
      </c>
      <c r="B126">
        <f>IF(TRIM(INDEX(Charge!$B:$B,ROW()))&lt;&gt;"",1,0)</f>
        <v>0</v>
      </c>
      <c r="C126">
        <f>IF(B126=1,MIN(1,MAX(0,N(INDEX(Charge!$O:$O,ROW())))),0)</f>
        <v>0</v>
      </c>
      <c r="D126">
        <f>IF(B126=1,IF(OR(p_Perimetre="Tous les projets",C126&lt;1),1,0),0)</f>
        <v>0</v>
      </c>
      <c r="E126">
        <f>IF(D126=1,MAX(0,N(INDEX(Charge!$M:$M,ROW()))),0)</f>
        <v>0</v>
      </c>
      <c r="F126" t="str">
        <f>IF(D126=1,IF(TRIM(INDEX(Charge!$A:$A,ROW()))="","(non renseigné)",TRIM(INDEX(Charge!$A:$A,ROW()))),"")</f>
        <v/>
      </c>
      <c r="G126" t="str">
        <f>IF(D126=1,TRIM(INDEX(Charge!$B:$B,ROW())),"")</f>
        <v/>
      </c>
      <c r="H126" t="str">
        <f>IF(D126=1,IF(TRIM(INDEX(Charge!$E:$E,ROW()))="","(non renseigné)",TRIM(INDEX(Charge!$E:$E,ROW()))),"")</f>
        <v/>
      </c>
      <c r="I126" s="165" t="str">
        <f>IF(AND(D126=1,ISNUMBER(INDEX(Charge!$N:$N,ROW()))),INDEX(Charge!$N:$N,ROW()),"")</f>
        <v/>
      </c>
      <c r="J126" s="165" t="str">
        <f>IF(I126="","",IF(AND(p_Repartition="Lissée jusqu'à la date de besoin",ISNUMBER(INDEX(Charge!$F:$F,ROW()))),IF(INDEX(Charge!$F:$F,ROW())&gt;=I126,INDEX(Charge!$F:$F,ROW()),I126),I126))</f>
        <v/>
      </c>
      <c r="K126" t="str">
        <f>IF(I126="","",NETWORKDAYS(I126,J126,Data!$K$4:$K$203))</f>
        <v/>
      </c>
      <c r="L126" t="str">
        <f>IF(D126=1,COUNTIFS($D$4:$D$503,1,$E$4:$E$503,"&gt;"&amp;E126)+COUNTIFS($D$4:$D126,1,$E$4:$E126,E126),"")</f>
        <v/>
      </c>
      <c r="M126">
        <f>IF(F126="",0,IF(COUNTIF($F$4:F126,F126)=1,1,0))</f>
        <v>0</v>
      </c>
      <c r="N126" t="str">
        <f>IF(M126=1,ROUND(SUMIF($F$4:$F$503,F126,$E$4:$E$503),2),"")</f>
        <v/>
      </c>
      <c r="O126" t="str">
        <f>IF(M126=1,COUNTIFS($M$4:$M$503,1,$N$4:$N$503,"&gt;"&amp;N126)+COUNTIFS($M$4:M126,1,$N$4:N126,N126),"")</f>
        <v/>
      </c>
      <c r="P126">
        <f>IF(G126="",0,IF(COUNTIF($G$4:G126,G126)=1,1,0))</f>
        <v>0</v>
      </c>
      <c r="Q126" t="str">
        <f>IF(P126=1,ROUND(SUMIF($G$4:$G$503,G126,$E$4:$E$503),2),"")</f>
        <v/>
      </c>
      <c r="R126" t="str">
        <f>IF(P126=1,COUNTIFS($P$4:$P$503,1,$Q$4:$Q$503,"&gt;"&amp;Q126)+COUNTIFS($P$4:P126,1,$Q$4:Q126,Q126),"")</f>
        <v/>
      </c>
      <c r="S126">
        <f>IF(H126="",0,IF(COUNTIF($H$4:H126,H126)=1,1,0))</f>
        <v>0</v>
      </c>
      <c r="T126" t="str">
        <f>IF(S126=1,ROUND(SUMIF($H$4:$H$503,H126,$E$4:$E$503),2),"")</f>
        <v/>
      </c>
      <c r="U126" t="str">
        <f>IF(S126=1,COUNTIFS($S$4:$S$503,1,$T$4:$T$503,"&gt;"&amp;T126)+COUNTIFS($S$4:S126,1,$T$4:T126,T126),"")</f>
        <v/>
      </c>
      <c r="V126" t="str">
        <f>IF(D126=1,MIN(INDEX($R$4:$R$503,MATCH(G126,$G$4:$G$503,0)),IF($AL$7&gt;9,9,999)),"")</f>
        <v/>
      </c>
      <c r="W126" s="166">
        <f>IF(OR($I126="",$E126=0),0,IF(OR($J126&lt;W$3,$I126&gt;W$2),0,IF($K126=0,IF(AND($I126&gt;=W$3,$I126&lt;=W$2),$E126,0),$E126*NETWORKDAYS(MAX($I126,W$3),MIN($J126,W$2),Data!$K$4:$K$203)/$K126)))</f>
        <v>0</v>
      </c>
      <c r="X126" s="166">
        <f>IF(OR($I126="",$E126=0),0,IF(OR($J126&lt;X$3,$I126&gt;X$2),0,IF($K126=0,IF(AND($I126&gt;=X$3,$I126&lt;=X$2),$E126,0),$E126*NETWORKDAYS(MAX($I126,X$3),MIN($J126,X$2),Data!$K$4:$K$203)/$K126)))</f>
        <v>0</v>
      </c>
      <c r="Y126" s="166">
        <f>IF(OR($I126="",$E126=0),0,IF(OR($J126&lt;Y$3,$I126&gt;Y$2),0,IF($K126=0,IF(AND($I126&gt;=Y$3,$I126&lt;=Y$2),$E126,0),$E126*NETWORKDAYS(MAX($I126,Y$3),MIN($J126,Y$2),Data!$K$4:$K$203)/$K126)))</f>
        <v>0</v>
      </c>
      <c r="Z126" s="166">
        <f>IF(OR($I126="",$E126=0),0,IF(OR($J126&lt;Z$3,$I126&gt;Z$2),0,IF($K126=0,IF(AND($I126&gt;=Z$3,$I126&lt;=Z$2),$E126,0),$E126*NETWORKDAYS(MAX($I126,Z$3),MIN($J126,Z$2),Data!$K$4:$K$203)/$K126)))</f>
        <v>0</v>
      </c>
      <c r="AA126" s="166">
        <f>IF(OR($I126="",$E126=0),0,IF(OR($J126&lt;AA$3,$I126&gt;AA$2),0,IF($K126=0,IF(AND($I126&gt;=AA$3,$I126&lt;=AA$2),$E126,0),$E126*NETWORKDAYS(MAX($I126,AA$3),MIN($J126,AA$2),Data!$K$4:$K$203)/$K126)))</f>
        <v>0</v>
      </c>
      <c r="AB126" s="166">
        <f>IF(OR($I126="",$E126=0),0,IF(OR($J126&lt;AB$3,$I126&gt;AB$2),0,IF($K126=0,IF(AND($I126&gt;=AB$3,$I126&lt;=AB$2),$E126,0),$E126*NETWORKDAYS(MAX($I126,AB$3),MIN($J126,AB$2),Data!$K$4:$K$203)/$K126)))</f>
        <v>0</v>
      </c>
      <c r="AC126" s="166">
        <f>IF(OR($I126="",$E126=0),0,IF(OR($J126&lt;AC$3,$I126&gt;AC$2),0,IF($K126=0,IF(AND($I126&gt;=AC$3,$I126&lt;=AC$2),$E126,0),$E126*NETWORKDAYS(MAX($I126,AC$3),MIN($J126,AC$2),Data!$K$4:$K$203)/$K126)))</f>
        <v>0</v>
      </c>
      <c r="AD126" s="166">
        <f>IF(OR($I126="",$E126=0),0,IF(OR($J126&lt;AD$3,$I126&gt;AD$2),0,IF($K126=0,IF(AND($I126&gt;=AD$3,$I126&lt;=AD$2),$E126,0),$E126*NETWORKDAYS(MAX($I126,AD$3),MIN($J126,AD$2),Data!$K$4:$K$203)/$K126)))</f>
        <v>0</v>
      </c>
      <c r="AE126" s="166">
        <f>IF(OR($I126="",$E126=0),0,IF(OR($J126&lt;AE$3,$I126&gt;AE$2),0,IF($K126=0,IF(AND($I126&gt;=AE$3,$I126&lt;=AE$2),$E126,0),$E126*NETWORKDAYS(MAX($I126,AE$3),MIN($J126,AE$2),Data!$K$4:$K$203)/$K126)))</f>
        <v>0</v>
      </c>
      <c r="AF126" s="166">
        <f>IF(OR($I126="",$E126=0),0,IF(OR($J126&lt;AF$3,$I126&gt;AF$2),0,IF($K126=0,IF(AND($I126&gt;=AF$3,$I126&lt;=AF$2),$E126,0),$E126*NETWORKDAYS(MAX($I126,AF$3),MIN($J126,AF$2),Data!$K$4:$K$203)/$K126)))</f>
        <v>0</v>
      </c>
      <c r="AG126" s="166">
        <f>IF(OR($I126="",$E126=0),0,IF(OR($J126&lt;AG$3,$I126&gt;AG$2),0,IF($K126=0,IF(AND($I126&gt;=AG$3,$I126&lt;=AG$2),$E126,0),$E126*NETWORKDAYS(MAX($I126,AG$3),MIN($J126,AG$2),Data!$K$4:$K$203)/$K126)))</f>
        <v>0</v>
      </c>
      <c r="AH126" s="166">
        <f>IF(OR($I126="",$E126=0),0,IF(OR($J126&lt;AH$3,$I126&gt;AH$2),0,IF($K126=0,IF(AND($I126&gt;=AH$3,$I126&lt;=AH$2),$E126,0),$E126*NETWORKDAYS(MAX($I126,AH$3),MIN($J126,AH$2),Data!$K$4:$K$203)/$K126)))</f>
        <v>0</v>
      </c>
      <c r="AI126" s="166">
        <f>SUM(W126:AH126)</f>
        <v>0</v>
      </c>
      <c r="BZ126" t="str">
        <f>IF(D126=1,IF(TRIM(INDEX(Charge!$K:$K,ROW()))&lt;&gt;"",TRIM(INDEX(Charge!$K:$K,ROW())),IF(TRIM(INDEX(Charge!$L:$L,ROW()))&lt;&gt;"",TRIM(INDEX(Charge!$L:$L,ROW())),"(non affecté)")),"")</f>
        <v/>
      </c>
      <c r="CA126" t="str">
        <f>IF(AND($CD$4&lt;&gt;"",BZ126=$CD$4),COUNTIFS($BZ$4:$BZ$503,$CD$4,$L$4:$L$503,"&lt;"&amp;L126)+1,"")</f>
        <v/>
      </c>
      <c r="EJ126" t="str">
        <f>TRIM(INDEX(Data!$E:$E,ROW()))</f>
        <v/>
      </c>
      <c r="EK126" t="str">
        <f>TRIM(INDEX(Data!$H:$H,ROW()))</f>
        <v/>
      </c>
      <c r="EM126" t="str">
        <f>IF(D126=1,IF(TRIM(INDEX(Charge!$K:$K,ROW()))&lt;&gt;"","Interne",IF(TRIM(INDEX(Charge!$L:$L,ROW()))&lt;&gt;"","Externe","Non affecté")),"")</f>
        <v/>
      </c>
      <c r="EN126" t="str">
        <f>IF(D126=1,LEFT(SUBSTITUTE(SUBSTITUTE(SUBSTITUTE(TRIM(SUBSTITUTE(INDEX(Charge!$B:$B,ROW()),CHAR(160)," "))&amp;" | "&amp;TRIM(SUBSTITUTE(INDEX(Charge!$C:$C,ROW()),CHAR(160)," "))&amp;" | "&amp;TRIM(SUBSTITUTE(INDEX(Charge!$D:$D,ROW()),CHAR(160)," ")),"~","-"),"*","+"),"?","!"),240),"")</f>
        <v/>
      </c>
      <c r="EO126">
        <f>IF(EN126="",0,IF(COUNTIF($EN$4:EN126,EN126)=1,1,0))</f>
        <v>0</v>
      </c>
      <c r="EP126" s="166" t="str">
        <f>IF(EO126=1,ROUND(SUMIF($EN$4:$EN$503,EN126,$E$4:$E$503),2),"")</f>
        <v/>
      </c>
      <c r="EQ126" t="str">
        <f>IF(EO126=1,COUNTIFS($EO$4:$EO$503,1,$EP$4:$EP$503,"&gt;"&amp;EP126)+COUNTIFS($EO$4:EO126,1,$EP$4:EP126,EP126),"")</f>
        <v/>
      </c>
      <c r="ER126" t="str">
        <f>IF(EO126=1,COUNTIFS($EN$4:$EN$503,EN126,$EM$4:$EM$503,"Interne",$FE$4:$FE$503,1),"")</f>
        <v/>
      </c>
      <c r="ES126" t="str">
        <f>IF(EO126=1,COUNTIFS($EN$4:$EN$503,EN126,$EM$4:$EM$503,"Externe",$FE$4:$FE$503,1),"")</f>
        <v/>
      </c>
      <c r="ET126" t="str">
        <f>IF(EO126=1,IF(ER126+ES126=0,"à affecter",IF(ER126=0,ES126&amp;" ext.",(ER126+ES126)&amp;IF(ES126&gt;0," dont "&amp;ES126&amp;" ext.",""))&amp;IF(COUNTIFS($EN$4:$EN$503,EN126,$EM$4:$EM$503,"Non affecté")&gt;0," + à affecter","")),"")</f>
        <v/>
      </c>
      <c r="EU126" s="170" t="str">
        <f>IF(EO126=1,IF(EP126&gt;0,SUMPRODUCT(($EN$4:$EN$503=EN126)*$E$4:$E$503*$C$4:$C$503)/EP126,AVERAGEIF($EN$4:$EN$503,EN126,$C$4:$C$503)),"")</f>
        <v/>
      </c>
      <c r="EV126" s="165">
        <f>IF(ISNUMBER(I126),I126,2958465)</f>
        <v>2958465.0</v>
      </c>
      <c r="EW126" s="165" t="str">
        <f>IF(EO126=1,SUMPRODUCT(MIN(($EN$4:$EN$503=EN126)*$EV$4:$EV$503+($EN$4:$EN$503&lt;&gt;EN126)*2958465)),"")</f>
        <v/>
      </c>
      <c r="EX126" s="165">
        <f>IF(AND(D126=1,ISNUMBER(INDEX(Charge!$F:$F,ROW()))),INDEX(Charge!$F:$F,ROW()),0)</f>
        <v>0.0</v>
      </c>
      <c r="EY126" s="165" t="str">
        <f>IF(EO126=1,SUMPRODUCT(MAX(($EN$4:$EN$503=EN126)*$EX$4:$EX$503)),"")</f>
        <v/>
      </c>
      <c r="FA126" t="str">
        <f>IF(123&lt;=$CD$23,INDEX($EJ$4:$EJ$203,123),IF(123-$CD$23&lt;=$CD$26,INDEX($EK$4:$EK$203,123-$CD$23),""))</f>
        <v/>
      </c>
      <c r="FB126" t="str">
        <f>IF(FA126="","",IF(123&lt;=$CD$23,"Interne","Externe"))</f>
        <v/>
      </c>
      <c r="FD126">
        <f>IF(AND(B126=1,TRIM(INDEX(Charge!$K:$K,ROW()))&lt;&gt;"",TRIM(INDEX(Charge!$L:$L,ROW()))&lt;&gt;""),1,0)</f>
        <v>0</v>
      </c>
      <c r="FE126">
        <f>IF(OR(EN126="",BZ126="(non affecté)"),0,IF(COUNTIFS($EN$4:EN126,EN126,$BZ$4:BZ126,BZ126)=1,1,0))</f>
        <v>0</v>
      </c>
    </row>
    <row r="127">
      <c r="A127">
        <f>ROW()</f>
        <v>127</v>
      </c>
      <c r="B127">
        <f>IF(TRIM(INDEX(Charge!$B:$B,ROW()))&lt;&gt;"",1,0)</f>
        <v>0</v>
      </c>
      <c r="C127">
        <f>IF(B127=1,MIN(1,MAX(0,N(INDEX(Charge!$O:$O,ROW())))),0)</f>
        <v>0</v>
      </c>
      <c r="D127">
        <f>IF(B127=1,IF(OR(p_Perimetre="Tous les projets",C127&lt;1),1,0),0)</f>
        <v>0</v>
      </c>
      <c r="E127">
        <f>IF(D127=1,MAX(0,N(INDEX(Charge!$M:$M,ROW()))),0)</f>
        <v>0</v>
      </c>
      <c r="F127" t="str">
        <f>IF(D127=1,IF(TRIM(INDEX(Charge!$A:$A,ROW()))="","(non renseigné)",TRIM(INDEX(Charge!$A:$A,ROW()))),"")</f>
        <v/>
      </c>
      <c r="G127" t="str">
        <f>IF(D127=1,TRIM(INDEX(Charge!$B:$B,ROW())),"")</f>
        <v/>
      </c>
      <c r="H127" t="str">
        <f>IF(D127=1,IF(TRIM(INDEX(Charge!$E:$E,ROW()))="","(non renseigné)",TRIM(INDEX(Charge!$E:$E,ROW()))),"")</f>
        <v/>
      </c>
      <c r="I127" s="165" t="str">
        <f>IF(AND(D127=1,ISNUMBER(INDEX(Charge!$N:$N,ROW()))),INDEX(Charge!$N:$N,ROW()),"")</f>
        <v/>
      </c>
      <c r="J127" s="165" t="str">
        <f>IF(I127="","",IF(AND(p_Repartition="Lissée jusqu'à la date de besoin",ISNUMBER(INDEX(Charge!$F:$F,ROW()))),IF(INDEX(Charge!$F:$F,ROW())&gt;=I127,INDEX(Charge!$F:$F,ROW()),I127),I127))</f>
        <v/>
      </c>
      <c r="K127" t="str">
        <f>IF(I127="","",NETWORKDAYS(I127,J127,Data!$K$4:$K$203))</f>
        <v/>
      </c>
      <c r="L127" t="str">
        <f>IF(D127=1,COUNTIFS($D$4:$D$503,1,$E$4:$E$503,"&gt;"&amp;E127)+COUNTIFS($D$4:$D127,1,$E$4:$E127,E127),"")</f>
        <v/>
      </c>
      <c r="M127">
        <f>IF(F127="",0,IF(COUNTIF($F$4:F127,F127)=1,1,0))</f>
        <v>0</v>
      </c>
      <c r="N127" t="str">
        <f>IF(M127=1,ROUND(SUMIF($F$4:$F$503,F127,$E$4:$E$503),2),"")</f>
        <v/>
      </c>
      <c r="O127" t="str">
        <f>IF(M127=1,COUNTIFS($M$4:$M$503,1,$N$4:$N$503,"&gt;"&amp;N127)+COUNTIFS($M$4:M127,1,$N$4:N127,N127),"")</f>
        <v/>
      </c>
      <c r="P127">
        <f>IF(G127="",0,IF(COUNTIF($G$4:G127,G127)=1,1,0))</f>
        <v>0</v>
      </c>
      <c r="Q127" t="str">
        <f>IF(P127=1,ROUND(SUMIF($G$4:$G$503,G127,$E$4:$E$503),2),"")</f>
        <v/>
      </c>
      <c r="R127" t="str">
        <f>IF(P127=1,COUNTIFS($P$4:$P$503,1,$Q$4:$Q$503,"&gt;"&amp;Q127)+COUNTIFS($P$4:P127,1,$Q$4:Q127,Q127),"")</f>
        <v/>
      </c>
      <c r="S127">
        <f>IF(H127="",0,IF(COUNTIF($H$4:H127,H127)=1,1,0))</f>
        <v>0</v>
      </c>
      <c r="T127" t="str">
        <f>IF(S127=1,ROUND(SUMIF($H$4:$H$503,H127,$E$4:$E$503),2),"")</f>
        <v/>
      </c>
      <c r="U127" t="str">
        <f>IF(S127=1,COUNTIFS($S$4:$S$503,1,$T$4:$T$503,"&gt;"&amp;T127)+COUNTIFS($S$4:S127,1,$T$4:T127,T127),"")</f>
        <v/>
      </c>
      <c r="V127" t="str">
        <f>IF(D127=1,MIN(INDEX($R$4:$R$503,MATCH(G127,$G$4:$G$503,0)),IF($AL$7&gt;9,9,999)),"")</f>
        <v/>
      </c>
      <c r="W127" s="166">
        <f>IF(OR($I127="",$E127=0),0,IF(OR($J127&lt;W$3,$I127&gt;W$2),0,IF($K127=0,IF(AND($I127&gt;=W$3,$I127&lt;=W$2),$E127,0),$E127*NETWORKDAYS(MAX($I127,W$3),MIN($J127,W$2),Data!$K$4:$K$203)/$K127)))</f>
        <v>0</v>
      </c>
      <c r="X127" s="166">
        <f>IF(OR($I127="",$E127=0),0,IF(OR($J127&lt;X$3,$I127&gt;X$2),0,IF($K127=0,IF(AND($I127&gt;=X$3,$I127&lt;=X$2),$E127,0),$E127*NETWORKDAYS(MAX($I127,X$3),MIN($J127,X$2),Data!$K$4:$K$203)/$K127)))</f>
        <v>0</v>
      </c>
      <c r="Y127" s="166">
        <f>IF(OR($I127="",$E127=0),0,IF(OR($J127&lt;Y$3,$I127&gt;Y$2),0,IF($K127=0,IF(AND($I127&gt;=Y$3,$I127&lt;=Y$2),$E127,0),$E127*NETWORKDAYS(MAX($I127,Y$3),MIN($J127,Y$2),Data!$K$4:$K$203)/$K127)))</f>
        <v>0</v>
      </c>
      <c r="Z127" s="166">
        <f>IF(OR($I127="",$E127=0),0,IF(OR($J127&lt;Z$3,$I127&gt;Z$2),0,IF($K127=0,IF(AND($I127&gt;=Z$3,$I127&lt;=Z$2),$E127,0),$E127*NETWORKDAYS(MAX($I127,Z$3),MIN($J127,Z$2),Data!$K$4:$K$203)/$K127)))</f>
        <v>0</v>
      </c>
      <c r="AA127" s="166">
        <f>IF(OR($I127="",$E127=0),0,IF(OR($J127&lt;AA$3,$I127&gt;AA$2),0,IF($K127=0,IF(AND($I127&gt;=AA$3,$I127&lt;=AA$2),$E127,0),$E127*NETWORKDAYS(MAX($I127,AA$3),MIN($J127,AA$2),Data!$K$4:$K$203)/$K127)))</f>
        <v>0</v>
      </c>
      <c r="AB127" s="166">
        <f>IF(OR($I127="",$E127=0),0,IF(OR($J127&lt;AB$3,$I127&gt;AB$2),0,IF($K127=0,IF(AND($I127&gt;=AB$3,$I127&lt;=AB$2),$E127,0),$E127*NETWORKDAYS(MAX($I127,AB$3),MIN($J127,AB$2),Data!$K$4:$K$203)/$K127)))</f>
        <v>0</v>
      </c>
      <c r="AC127" s="166">
        <f>IF(OR($I127="",$E127=0),0,IF(OR($J127&lt;AC$3,$I127&gt;AC$2),0,IF($K127=0,IF(AND($I127&gt;=AC$3,$I127&lt;=AC$2),$E127,0),$E127*NETWORKDAYS(MAX($I127,AC$3),MIN($J127,AC$2),Data!$K$4:$K$203)/$K127)))</f>
        <v>0</v>
      </c>
      <c r="AD127" s="166">
        <f>IF(OR($I127="",$E127=0),0,IF(OR($J127&lt;AD$3,$I127&gt;AD$2),0,IF($K127=0,IF(AND($I127&gt;=AD$3,$I127&lt;=AD$2),$E127,0),$E127*NETWORKDAYS(MAX($I127,AD$3),MIN($J127,AD$2),Data!$K$4:$K$203)/$K127)))</f>
        <v>0</v>
      </c>
      <c r="AE127" s="166">
        <f>IF(OR($I127="",$E127=0),0,IF(OR($J127&lt;AE$3,$I127&gt;AE$2),0,IF($K127=0,IF(AND($I127&gt;=AE$3,$I127&lt;=AE$2),$E127,0),$E127*NETWORKDAYS(MAX($I127,AE$3),MIN($J127,AE$2),Data!$K$4:$K$203)/$K127)))</f>
        <v>0</v>
      </c>
      <c r="AF127" s="166">
        <f>IF(OR($I127="",$E127=0),0,IF(OR($J127&lt;AF$3,$I127&gt;AF$2),0,IF($K127=0,IF(AND($I127&gt;=AF$3,$I127&lt;=AF$2),$E127,0),$E127*NETWORKDAYS(MAX($I127,AF$3),MIN($J127,AF$2),Data!$K$4:$K$203)/$K127)))</f>
        <v>0</v>
      </c>
      <c r="AG127" s="166">
        <f>IF(OR($I127="",$E127=0),0,IF(OR($J127&lt;AG$3,$I127&gt;AG$2),0,IF($K127=0,IF(AND($I127&gt;=AG$3,$I127&lt;=AG$2),$E127,0),$E127*NETWORKDAYS(MAX($I127,AG$3),MIN($J127,AG$2),Data!$K$4:$K$203)/$K127)))</f>
        <v>0</v>
      </c>
      <c r="AH127" s="166">
        <f>IF(OR($I127="",$E127=0),0,IF(OR($J127&lt;AH$3,$I127&gt;AH$2),0,IF($K127=0,IF(AND($I127&gt;=AH$3,$I127&lt;=AH$2),$E127,0),$E127*NETWORKDAYS(MAX($I127,AH$3),MIN($J127,AH$2),Data!$K$4:$K$203)/$K127)))</f>
        <v>0</v>
      </c>
      <c r="AI127" s="166">
        <f>SUM(W127:AH127)</f>
        <v>0</v>
      </c>
      <c r="BZ127" t="str">
        <f>IF(D127=1,IF(TRIM(INDEX(Charge!$K:$K,ROW()))&lt;&gt;"",TRIM(INDEX(Charge!$K:$K,ROW())),IF(TRIM(INDEX(Charge!$L:$L,ROW()))&lt;&gt;"",TRIM(INDEX(Charge!$L:$L,ROW())),"(non affecté)")),"")</f>
        <v/>
      </c>
      <c r="CA127" t="str">
        <f>IF(AND($CD$4&lt;&gt;"",BZ127=$CD$4),COUNTIFS($BZ$4:$BZ$503,$CD$4,$L$4:$L$503,"&lt;"&amp;L127)+1,"")</f>
        <v/>
      </c>
      <c r="EJ127" t="str">
        <f>TRIM(INDEX(Data!$E:$E,ROW()))</f>
        <v/>
      </c>
      <c r="EK127" t="str">
        <f>TRIM(INDEX(Data!$H:$H,ROW()))</f>
        <v/>
      </c>
      <c r="EM127" t="str">
        <f>IF(D127=1,IF(TRIM(INDEX(Charge!$K:$K,ROW()))&lt;&gt;"","Interne",IF(TRIM(INDEX(Charge!$L:$L,ROW()))&lt;&gt;"","Externe","Non affecté")),"")</f>
        <v/>
      </c>
      <c r="EN127" t="str">
        <f>IF(D127=1,LEFT(SUBSTITUTE(SUBSTITUTE(SUBSTITUTE(TRIM(SUBSTITUTE(INDEX(Charge!$B:$B,ROW()),CHAR(160)," "))&amp;" | "&amp;TRIM(SUBSTITUTE(INDEX(Charge!$C:$C,ROW()),CHAR(160)," "))&amp;" | "&amp;TRIM(SUBSTITUTE(INDEX(Charge!$D:$D,ROW()),CHAR(160)," ")),"~","-"),"*","+"),"?","!"),240),"")</f>
        <v/>
      </c>
      <c r="EO127">
        <f>IF(EN127="",0,IF(COUNTIF($EN$4:EN127,EN127)=1,1,0))</f>
        <v>0</v>
      </c>
      <c r="EP127" s="166" t="str">
        <f>IF(EO127=1,ROUND(SUMIF($EN$4:$EN$503,EN127,$E$4:$E$503),2),"")</f>
        <v/>
      </c>
      <c r="EQ127" t="str">
        <f>IF(EO127=1,COUNTIFS($EO$4:$EO$503,1,$EP$4:$EP$503,"&gt;"&amp;EP127)+COUNTIFS($EO$4:EO127,1,$EP$4:EP127,EP127),"")</f>
        <v/>
      </c>
      <c r="ER127" t="str">
        <f>IF(EO127=1,COUNTIFS($EN$4:$EN$503,EN127,$EM$4:$EM$503,"Interne",$FE$4:$FE$503,1),"")</f>
        <v/>
      </c>
      <c r="ES127" t="str">
        <f>IF(EO127=1,COUNTIFS($EN$4:$EN$503,EN127,$EM$4:$EM$503,"Externe",$FE$4:$FE$503,1),"")</f>
        <v/>
      </c>
      <c r="ET127" t="str">
        <f>IF(EO127=1,IF(ER127+ES127=0,"à affecter",IF(ER127=0,ES127&amp;" ext.",(ER127+ES127)&amp;IF(ES127&gt;0," dont "&amp;ES127&amp;" ext.",""))&amp;IF(COUNTIFS($EN$4:$EN$503,EN127,$EM$4:$EM$503,"Non affecté")&gt;0," + à affecter","")),"")</f>
        <v/>
      </c>
      <c r="EU127" s="170" t="str">
        <f>IF(EO127=1,IF(EP127&gt;0,SUMPRODUCT(($EN$4:$EN$503=EN127)*$E$4:$E$503*$C$4:$C$503)/EP127,AVERAGEIF($EN$4:$EN$503,EN127,$C$4:$C$503)),"")</f>
        <v/>
      </c>
      <c r="EV127" s="165">
        <f>IF(ISNUMBER(I127),I127,2958465)</f>
        <v>2958465.0</v>
      </c>
      <c r="EW127" s="165" t="str">
        <f>IF(EO127=1,SUMPRODUCT(MIN(($EN$4:$EN$503=EN127)*$EV$4:$EV$503+($EN$4:$EN$503&lt;&gt;EN127)*2958465)),"")</f>
        <v/>
      </c>
      <c r="EX127" s="165">
        <f>IF(AND(D127=1,ISNUMBER(INDEX(Charge!$F:$F,ROW()))),INDEX(Charge!$F:$F,ROW()),0)</f>
        <v>0.0</v>
      </c>
      <c r="EY127" s="165" t="str">
        <f>IF(EO127=1,SUMPRODUCT(MAX(($EN$4:$EN$503=EN127)*$EX$4:$EX$503)),"")</f>
        <v/>
      </c>
      <c r="FA127" t="str">
        <f>IF(124&lt;=$CD$23,INDEX($EJ$4:$EJ$203,124),IF(124-$CD$23&lt;=$CD$26,INDEX($EK$4:$EK$203,124-$CD$23),""))</f>
        <v/>
      </c>
      <c r="FB127" t="str">
        <f>IF(FA127="","",IF(124&lt;=$CD$23,"Interne","Externe"))</f>
        <v/>
      </c>
      <c r="FD127">
        <f>IF(AND(B127=1,TRIM(INDEX(Charge!$K:$K,ROW()))&lt;&gt;"",TRIM(INDEX(Charge!$L:$L,ROW()))&lt;&gt;""),1,0)</f>
        <v>0</v>
      </c>
      <c r="FE127">
        <f>IF(OR(EN127="",BZ127="(non affecté)"),0,IF(COUNTIFS($EN$4:EN127,EN127,$BZ$4:BZ127,BZ127)=1,1,0))</f>
        <v>0</v>
      </c>
    </row>
    <row r="128">
      <c r="A128">
        <f>ROW()</f>
        <v>128</v>
      </c>
      <c r="B128">
        <f>IF(TRIM(INDEX(Charge!$B:$B,ROW()))&lt;&gt;"",1,0)</f>
        <v>0</v>
      </c>
      <c r="C128">
        <f>IF(B128=1,MIN(1,MAX(0,N(INDEX(Charge!$O:$O,ROW())))),0)</f>
        <v>0</v>
      </c>
      <c r="D128">
        <f>IF(B128=1,IF(OR(p_Perimetre="Tous les projets",C128&lt;1),1,0),0)</f>
        <v>0</v>
      </c>
      <c r="E128">
        <f>IF(D128=1,MAX(0,N(INDEX(Charge!$M:$M,ROW()))),0)</f>
        <v>0</v>
      </c>
      <c r="F128" t="str">
        <f>IF(D128=1,IF(TRIM(INDEX(Charge!$A:$A,ROW()))="","(non renseigné)",TRIM(INDEX(Charge!$A:$A,ROW()))),"")</f>
        <v/>
      </c>
      <c r="G128" t="str">
        <f>IF(D128=1,TRIM(INDEX(Charge!$B:$B,ROW())),"")</f>
        <v/>
      </c>
      <c r="H128" t="str">
        <f>IF(D128=1,IF(TRIM(INDEX(Charge!$E:$E,ROW()))="","(non renseigné)",TRIM(INDEX(Charge!$E:$E,ROW()))),"")</f>
        <v/>
      </c>
      <c r="I128" s="165" t="str">
        <f>IF(AND(D128=1,ISNUMBER(INDEX(Charge!$N:$N,ROW()))),INDEX(Charge!$N:$N,ROW()),"")</f>
        <v/>
      </c>
      <c r="J128" s="165" t="str">
        <f>IF(I128="","",IF(AND(p_Repartition="Lissée jusqu'à la date de besoin",ISNUMBER(INDEX(Charge!$F:$F,ROW()))),IF(INDEX(Charge!$F:$F,ROW())&gt;=I128,INDEX(Charge!$F:$F,ROW()),I128),I128))</f>
        <v/>
      </c>
      <c r="K128" t="str">
        <f>IF(I128="","",NETWORKDAYS(I128,J128,Data!$K$4:$K$203))</f>
        <v/>
      </c>
      <c r="L128" t="str">
        <f>IF(D128=1,COUNTIFS($D$4:$D$503,1,$E$4:$E$503,"&gt;"&amp;E128)+COUNTIFS($D$4:$D128,1,$E$4:$E128,E128),"")</f>
        <v/>
      </c>
      <c r="M128">
        <f>IF(F128="",0,IF(COUNTIF($F$4:F128,F128)=1,1,0))</f>
        <v>0</v>
      </c>
      <c r="N128" t="str">
        <f>IF(M128=1,ROUND(SUMIF($F$4:$F$503,F128,$E$4:$E$503),2),"")</f>
        <v/>
      </c>
      <c r="O128" t="str">
        <f>IF(M128=1,COUNTIFS($M$4:$M$503,1,$N$4:$N$503,"&gt;"&amp;N128)+COUNTIFS($M$4:M128,1,$N$4:N128,N128),"")</f>
        <v/>
      </c>
      <c r="P128">
        <f>IF(G128="",0,IF(COUNTIF($G$4:G128,G128)=1,1,0))</f>
        <v>0</v>
      </c>
      <c r="Q128" t="str">
        <f>IF(P128=1,ROUND(SUMIF($G$4:$G$503,G128,$E$4:$E$503),2),"")</f>
        <v/>
      </c>
      <c r="R128" t="str">
        <f>IF(P128=1,COUNTIFS($P$4:$P$503,1,$Q$4:$Q$503,"&gt;"&amp;Q128)+COUNTIFS($P$4:P128,1,$Q$4:Q128,Q128),"")</f>
        <v/>
      </c>
      <c r="S128">
        <f>IF(H128="",0,IF(COUNTIF($H$4:H128,H128)=1,1,0))</f>
        <v>0</v>
      </c>
      <c r="T128" t="str">
        <f>IF(S128=1,ROUND(SUMIF($H$4:$H$503,H128,$E$4:$E$503),2),"")</f>
        <v/>
      </c>
      <c r="U128" t="str">
        <f>IF(S128=1,COUNTIFS($S$4:$S$503,1,$T$4:$T$503,"&gt;"&amp;T128)+COUNTIFS($S$4:S128,1,$T$4:T128,T128),"")</f>
        <v/>
      </c>
      <c r="V128" t="str">
        <f>IF(D128=1,MIN(INDEX($R$4:$R$503,MATCH(G128,$G$4:$G$503,0)),IF($AL$7&gt;9,9,999)),"")</f>
        <v/>
      </c>
      <c r="W128" s="166">
        <f>IF(OR($I128="",$E128=0),0,IF(OR($J128&lt;W$3,$I128&gt;W$2),0,IF($K128=0,IF(AND($I128&gt;=W$3,$I128&lt;=W$2),$E128,0),$E128*NETWORKDAYS(MAX($I128,W$3),MIN($J128,W$2),Data!$K$4:$K$203)/$K128)))</f>
        <v>0</v>
      </c>
      <c r="X128" s="166">
        <f>IF(OR($I128="",$E128=0),0,IF(OR($J128&lt;X$3,$I128&gt;X$2),0,IF($K128=0,IF(AND($I128&gt;=X$3,$I128&lt;=X$2),$E128,0),$E128*NETWORKDAYS(MAX($I128,X$3),MIN($J128,X$2),Data!$K$4:$K$203)/$K128)))</f>
        <v>0</v>
      </c>
      <c r="Y128" s="166">
        <f>IF(OR($I128="",$E128=0),0,IF(OR($J128&lt;Y$3,$I128&gt;Y$2),0,IF($K128=0,IF(AND($I128&gt;=Y$3,$I128&lt;=Y$2),$E128,0),$E128*NETWORKDAYS(MAX($I128,Y$3),MIN($J128,Y$2),Data!$K$4:$K$203)/$K128)))</f>
        <v>0</v>
      </c>
      <c r="Z128" s="166">
        <f>IF(OR($I128="",$E128=0),0,IF(OR($J128&lt;Z$3,$I128&gt;Z$2),0,IF($K128=0,IF(AND($I128&gt;=Z$3,$I128&lt;=Z$2),$E128,0),$E128*NETWORKDAYS(MAX($I128,Z$3),MIN($J128,Z$2),Data!$K$4:$K$203)/$K128)))</f>
        <v>0</v>
      </c>
      <c r="AA128" s="166">
        <f>IF(OR($I128="",$E128=0),0,IF(OR($J128&lt;AA$3,$I128&gt;AA$2),0,IF($K128=0,IF(AND($I128&gt;=AA$3,$I128&lt;=AA$2),$E128,0),$E128*NETWORKDAYS(MAX($I128,AA$3),MIN($J128,AA$2),Data!$K$4:$K$203)/$K128)))</f>
        <v>0</v>
      </c>
      <c r="AB128" s="166">
        <f>IF(OR($I128="",$E128=0),0,IF(OR($J128&lt;AB$3,$I128&gt;AB$2),0,IF($K128=0,IF(AND($I128&gt;=AB$3,$I128&lt;=AB$2),$E128,0),$E128*NETWORKDAYS(MAX($I128,AB$3),MIN($J128,AB$2),Data!$K$4:$K$203)/$K128)))</f>
        <v>0</v>
      </c>
      <c r="AC128" s="166">
        <f>IF(OR($I128="",$E128=0),0,IF(OR($J128&lt;AC$3,$I128&gt;AC$2),0,IF($K128=0,IF(AND($I128&gt;=AC$3,$I128&lt;=AC$2),$E128,0),$E128*NETWORKDAYS(MAX($I128,AC$3),MIN($J128,AC$2),Data!$K$4:$K$203)/$K128)))</f>
        <v>0</v>
      </c>
      <c r="AD128" s="166">
        <f>IF(OR($I128="",$E128=0),0,IF(OR($J128&lt;AD$3,$I128&gt;AD$2),0,IF($K128=0,IF(AND($I128&gt;=AD$3,$I128&lt;=AD$2),$E128,0),$E128*NETWORKDAYS(MAX($I128,AD$3),MIN($J128,AD$2),Data!$K$4:$K$203)/$K128)))</f>
        <v>0</v>
      </c>
      <c r="AE128" s="166">
        <f>IF(OR($I128="",$E128=0),0,IF(OR($J128&lt;AE$3,$I128&gt;AE$2),0,IF($K128=0,IF(AND($I128&gt;=AE$3,$I128&lt;=AE$2),$E128,0),$E128*NETWORKDAYS(MAX($I128,AE$3),MIN($J128,AE$2),Data!$K$4:$K$203)/$K128)))</f>
        <v>0</v>
      </c>
      <c r="AF128" s="166">
        <f>IF(OR($I128="",$E128=0),0,IF(OR($J128&lt;AF$3,$I128&gt;AF$2),0,IF($K128=0,IF(AND($I128&gt;=AF$3,$I128&lt;=AF$2),$E128,0),$E128*NETWORKDAYS(MAX($I128,AF$3),MIN($J128,AF$2),Data!$K$4:$K$203)/$K128)))</f>
        <v>0</v>
      </c>
      <c r="AG128" s="166">
        <f>IF(OR($I128="",$E128=0),0,IF(OR($J128&lt;AG$3,$I128&gt;AG$2),0,IF($K128=0,IF(AND($I128&gt;=AG$3,$I128&lt;=AG$2),$E128,0),$E128*NETWORKDAYS(MAX($I128,AG$3),MIN($J128,AG$2),Data!$K$4:$K$203)/$K128)))</f>
        <v>0</v>
      </c>
      <c r="AH128" s="166">
        <f>IF(OR($I128="",$E128=0),0,IF(OR($J128&lt;AH$3,$I128&gt;AH$2),0,IF($K128=0,IF(AND($I128&gt;=AH$3,$I128&lt;=AH$2),$E128,0),$E128*NETWORKDAYS(MAX($I128,AH$3),MIN($J128,AH$2),Data!$K$4:$K$203)/$K128)))</f>
        <v>0</v>
      </c>
      <c r="AI128" s="166">
        <f>SUM(W128:AH128)</f>
        <v>0</v>
      </c>
      <c r="BZ128" t="str">
        <f>IF(D128=1,IF(TRIM(INDEX(Charge!$K:$K,ROW()))&lt;&gt;"",TRIM(INDEX(Charge!$K:$K,ROW())),IF(TRIM(INDEX(Charge!$L:$L,ROW()))&lt;&gt;"",TRIM(INDEX(Charge!$L:$L,ROW())),"(non affecté)")),"")</f>
        <v/>
      </c>
      <c r="CA128" t="str">
        <f>IF(AND($CD$4&lt;&gt;"",BZ128=$CD$4),COUNTIFS($BZ$4:$BZ$503,$CD$4,$L$4:$L$503,"&lt;"&amp;L128)+1,"")</f>
        <v/>
      </c>
      <c r="EJ128" t="str">
        <f>TRIM(INDEX(Data!$E:$E,ROW()))</f>
        <v/>
      </c>
      <c r="EK128" t="str">
        <f>TRIM(INDEX(Data!$H:$H,ROW()))</f>
        <v/>
      </c>
      <c r="EM128" t="str">
        <f>IF(D128=1,IF(TRIM(INDEX(Charge!$K:$K,ROW()))&lt;&gt;"","Interne",IF(TRIM(INDEX(Charge!$L:$L,ROW()))&lt;&gt;"","Externe","Non affecté")),"")</f>
        <v/>
      </c>
      <c r="EN128" t="str">
        <f>IF(D128=1,LEFT(SUBSTITUTE(SUBSTITUTE(SUBSTITUTE(TRIM(SUBSTITUTE(INDEX(Charge!$B:$B,ROW()),CHAR(160)," "))&amp;" | "&amp;TRIM(SUBSTITUTE(INDEX(Charge!$C:$C,ROW()),CHAR(160)," "))&amp;" | "&amp;TRIM(SUBSTITUTE(INDEX(Charge!$D:$D,ROW()),CHAR(160)," ")),"~","-"),"*","+"),"?","!"),240),"")</f>
        <v/>
      </c>
      <c r="EO128">
        <f>IF(EN128="",0,IF(COUNTIF($EN$4:EN128,EN128)=1,1,0))</f>
        <v>0</v>
      </c>
      <c r="EP128" s="166" t="str">
        <f>IF(EO128=1,ROUND(SUMIF($EN$4:$EN$503,EN128,$E$4:$E$503),2),"")</f>
        <v/>
      </c>
      <c r="EQ128" t="str">
        <f>IF(EO128=1,COUNTIFS($EO$4:$EO$503,1,$EP$4:$EP$503,"&gt;"&amp;EP128)+COUNTIFS($EO$4:EO128,1,$EP$4:EP128,EP128),"")</f>
        <v/>
      </c>
      <c r="ER128" t="str">
        <f>IF(EO128=1,COUNTIFS($EN$4:$EN$503,EN128,$EM$4:$EM$503,"Interne",$FE$4:$FE$503,1),"")</f>
        <v/>
      </c>
      <c r="ES128" t="str">
        <f>IF(EO128=1,COUNTIFS($EN$4:$EN$503,EN128,$EM$4:$EM$503,"Externe",$FE$4:$FE$503,1),"")</f>
        <v/>
      </c>
      <c r="ET128" t="str">
        <f>IF(EO128=1,IF(ER128+ES128=0,"à affecter",IF(ER128=0,ES128&amp;" ext.",(ER128+ES128)&amp;IF(ES128&gt;0," dont "&amp;ES128&amp;" ext.",""))&amp;IF(COUNTIFS($EN$4:$EN$503,EN128,$EM$4:$EM$503,"Non affecté")&gt;0," + à affecter","")),"")</f>
        <v/>
      </c>
      <c r="EU128" s="170" t="str">
        <f>IF(EO128=1,IF(EP128&gt;0,SUMPRODUCT(($EN$4:$EN$503=EN128)*$E$4:$E$503*$C$4:$C$503)/EP128,AVERAGEIF($EN$4:$EN$503,EN128,$C$4:$C$503)),"")</f>
        <v/>
      </c>
      <c r="EV128" s="165">
        <f>IF(ISNUMBER(I128),I128,2958465)</f>
        <v>2958465.0</v>
      </c>
      <c r="EW128" s="165" t="str">
        <f>IF(EO128=1,SUMPRODUCT(MIN(($EN$4:$EN$503=EN128)*$EV$4:$EV$503+($EN$4:$EN$503&lt;&gt;EN128)*2958465)),"")</f>
        <v/>
      </c>
      <c r="EX128" s="165">
        <f>IF(AND(D128=1,ISNUMBER(INDEX(Charge!$F:$F,ROW()))),INDEX(Charge!$F:$F,ROW()),0)</f>
        <v>0.0</v>
      </c>
      <c r="EY128" s="165" t="str">
        <f>IF(EO128=1,SUMPRODUCT(MAX(($EN$4:$EN$503=EN128)*$EX$4:$EX$503)),"")</f>
        <v/>
      </c>
      <c r="FA128" t="str">
        <f>IF(125&lt;=$CD$23,INDEX($EJ$4:$EJ$203,125),IF(125-$CD$23&lt;=$CD$26,INDEX($EK$4:$EK$203,125-$CD$23),""))</f>
        <v/>
      </c>
      <c r="FB128" t="str">
        <f>IF(FA128="","",IF(125&lt;=$CD$23,"Interne","Externe"))</f>
        <v/>
      </c>
      <c r="FD128">
        <f>IF(AND(B128=1,TRIM(INDEX(Charge!$K:$K,ROW()))&lt;&gt;"",TRIM(INDEX(Charge!$L:$L,ROW()))&lt;&gt;""),1,0)</f>
        <v>0</v>
      </c>
      <c r="FE128">
        <f>IF(OR(EN128="",BZ128="(non affecté)"),0,IF(COUNTIFS($EN$4:EN128,EN128,$BZ$4:BZ128,BZ128)=1,1,0))</f>
        <v>0</v>
      </c>
    </row>
    <row r="129">
      <c r="A129">
        <f>ROW()</f>
        <v>129</v>
      </c>
      <c r="B129">
        <f>IF(TRIM(INDEX(Charge!$B:$B,ROW()))&lt;&gt;"",1,0)</f>
        <v>0</v>
      </c>
      <c r="C129">
        <f>IF(B129=1,MIN(1,MAX(0,N(INDEX(Charge!$O:$O,ROW())))),0)</f>
        <v>0</v>
      </c>
      <c r="D129">
        <f>IF(B129=1,IF(OR(p_Perimetre="Tous les projets",C129&lt;1),1,0),0)</f>
        <v>0</v>
      </c>
      <c r="E129">
        <f>IF(D129=1,MAX(0,N(INDEX(Charge!$M:$M,ROW()))),0)</f>
        <v>0</v>
      </c>
      <c r="F129" t="str">
        <f>IF(D129=1,IF(TRIM(INDEX(Charge!$A:$A,ROW()))="","(non renseigné)",TRIM(INDEX(Charge!$A:$A,ROW()))),"")</f>
        <v/>
      </c>
      <c r="G129" t="str">
        <f>IF(D129=1,TRIM(INDEX(Charge!$B:$B,ROW())),"")</f>
        <v/>
      </c>
      <c r="H129" t="str">
        <f>IF(D129=1,IF(TRIM(INDEX(Charge!$E:$E,ROW()))="","(non renseigné)",TRIM(INDEX(Charge!$E:$E,ROW()))),"")</f>
        <v/>
      </c>
      <c r="I129" s="165" t="str">
        <f>IF(AND(D129=1,ISNUMBER(INDEX(Charge!$N:$N,ROW()))),INDEX(Charge!$N:$N,ROW()),"")</f>
        <v/>
      </c>
      <c r="J129" s="165" t="str">
        <f>IF(I129="","",IF(AND(p_Repartition="Lissée jusqu'à la date de besoin",ISNUMBER(INDEX(Charge!$F:$F,ROW()))),IF(INDEX(Charge!$F:$F,ROW())&gt;=I129,INDEX(Charge!$F:$F,ROW()),I129),I129))</f>
        <v/>
      </c>
      <c r="K129" t="str">
        <f>IF(I129="","",NETWORKDAYS(I129,J129,Data!$K$4:$K$203))</f>
        <v/>
      </c>
      <c r="L129" t="str">
        <f>IF(D129=1,COUNTIFS($D$4:$D$503,1,$E$4:$E$503,"&gt;"&amp;E129)+COUNTIFS($D$4:$D129,1,$E$4:$E129,E129),"")</f>
        <v/>
      </c>
      <c r="M129">
        <f>IF(F129="",0,IF(COUNTIF($F$4:F129,F129)=1,1,0))</f>
        <v>0</v>
      </c>
      <c r="N129" t="str">
        <f>IF(M129=1,ROUND(SUMIF($F$4:$F$503,F129,$E$4:$E$503),2),"")</f>
        <v/>
      </c>
      <c r="O129" t="str">
        <f>IF(M129=1,COUNTIFS($M$4:$M$503,1,$N$4:$N$503,"&gt;"&amp;N129)+COUNTIFS($M$4:M129,1,$N$4:N129,N129),"")</f>
        <v/>
      </c>
      <c r="P129">
        <f>IF(G129="",0,IF(COUNTIF($G$4:G129,G129)=1,1,0))</f>
        <v>0</v>
      </c>
      <c r="Q129" t="str">
        <f>IF(P129=1,ROUND(SUMIF($G$4:$G$503,G129,$E$4:$E$503),2),"")</f>
        <v/>
      </c>
      <c r="R129" t="str">
        <f>IF(P129=1,COUNTIFS($P$4:$P$503,1,$Q$4:$Q$503,"&gt;"&amp;Q129)+COUNTIFS($P$4:P129,1,$Q$4:Q129,Q129),"")</f>
        <v/>
      </c>
      <c r="S129">
        <f>IF(H129="",0,IF(COUNTIF($H$4:H129,H129)=1,1,0))</f>
        <v>0</v>
      </c>
      <c r="T129" t="str">
        <f>IF(S129=1,ROUND(SUMIF($H$4:$H$503,H129,$E$4:$E$503),2),"")</f>
        <v/>
      </c>
      <c r="U129" t="str">
        <f>IF(S129=1,COUNTIFS($S$4:$S$503,1,$T$4:$T$503,"&gt;"&amp;T129)+COUNTIFS($S$4:S129,1,$T$4:T129,T129),"")</f>
        <v/>
      </c>
      <c r="V129" t="str">
        <f>IF(D129=1,MIN(INDEX($R$4:$R$503,MATCH(G129,$G$4:$G$503,0)),IF($AL$7&gt;9,9,999)),"")</f>
        <v/>
      </c>
      <c r="W129" s="166">
        <f>IF(OR($I129="",$E129=0),0,IF(OR($J129&lt;W$3,$I129&gt;W$2),0,IF($K129=0,IF(AND($I129&gt;=W$3,$I129&lt;=W$2),$E129,0),$E129*NETWORKDAYS(MAX($I129,W$3),MIN($J129,W$2),Data!$K$4:$K$203)/$K129)))</f>
        <v>0</v>
      </c>
      <c r="X129" s="166">
        <f>IF(OR($I129="",$E129=0),0,IF(OR($J129&lt;X$3,$I129&gt;X$2),0,IF($K129=0,IF(AND($I129&gt;=X$3,$I129&lt;=X$2),$E129,0),$E129*NETWORKDAYS(MAX($I129,X$3),MIN($J129,X$2),Data!$K$4:$K$203)/$K129)))</f>
        <v>0</v>
      </c>
      <c r="Y129" s="166">
        <f>IF(OR($I129="",$E129=0),0,IF(OR($J129&lt;Y$3,$I129&gt;Y$2),0,IF($K129=0,IF(AND($I129&gt;=Y$3,$I129&lt;=Y$2),$E129,0),$E129*NETWORKDAYS(MAX($I129,Y$3),MIN($J129,Y$2),Data!$K$4:$K$203)/$K129)))</f>
        <v>0</v>
      </c>
      <c r="Z129" s="166">
        <f>IF(OR($I129="",$E129=0),0,IF(OR($J129&lt;Z$3,$I129&gt;Z$2),0,IF($K129=0,IF(AND($I129&gt;=Z$3,$I129&lt;=Z$2),$E129,0),$E129*NETWORKDAYS(MAX($I129,Z$3),MIN($J129,Z$2),Data!$K$4:$K$203)/$K129)))</f>
        <v>0</v>
      </c>
      <c r="AA129" s="166">
        <f>IF(OR($I129="",$E129=0),0,IF(OR($J129&lt;AA$3,$I129&gt;AA$2),0,IF($K129=0,IF(AND($I129&gt;=AA$3,$I129&lt;=AA$2),$E129,0),$E129*NETWORKDAYS(MAX($I129,AA$3),MIN($J129,AA$2),Data!$K$4:$K$203)/$K129)))</f>
        <v>0</v>
      </c>
      <c r="AB129" s="166">
        <f>IF(OR($I129="",$E129=0),0,IF(OR($J129&lt;AB$3,$I129&gt;AB$2),0,IF($K129=0,IF(AND($I129&gt;=AB$3,$I129&lt;=AB$2),$E129,0),$E129*NETWORKDAYS(MAX($I129,AB$3),MIN($J129,AB$2),Data!$K$4:$K$203)/$K129)))</f>
        <v>0</v>
      </c>
      <c r="AC129" s="166">
        <f>IF(OR($I129="",$E129=0),0,IF(OR($J129&lt;AC$3,$I129&gt;AC$2),0,IF($K129=0,IF(AND($I129&gt;=AC$3,$I129&lt;=AC$2),$E129,0),$E129*NETWORKDAYS(MAX($I129,AC$3),MIN($J129,AC$2),Data!$K$4:$K$203)/$K129)))</f>
        <v>0</v>
      </c>
      <c r="AD129" s="166">
        <f>IF(OR($I129="",$E129=0),0,IF(OR($J129&lt;AD$3,$I129&gt;AD$2),0,IF($K129=0,IF(AND($I129&gt;=AD$3,$I129&lt;=AD$2),$E129,0),$E129*NETWORKDAYS(MAX($I129,AD$3),MIN($J129,AD$2),Data!$K$4:$K$203)/$K129)))</f>
        <v>0</v>
      </c>
      <c r="AE129" s="166">
        <f>IF(OR($I129="",$E129=0),0,IF(OR($J129&lt;AE$3,$I129&gt;AE$2),0,IF($K129=0,IF(AND($I129&gt;=AE$3,$I129&lt;=AE$2),$E129,0),$E129*NETWORKDAYS(MAX($I129,AE$3),MIN($J129,AE$2),Data!$K$4:$K$203)/$K129)))</f>
        <v>0</v>
      </c>
      <c r="AF129" s="166">
        <f>IF(OR($I129="",$E129=0),0,IF(OR($J129&lt;AF$3,$I129&gt;AF$2),0,IF($K129=0,IF(AND($I129&gt;=AF$3,$I129&lt;=AF$2),$E129,0),$E129*NETWORKDAYS(MAX($I129,AF$3),MIN($J129,AF$2),Data!$K$4:$K$203)/$K129)))</f>
        <v>0</v>
      </c>
      <c r="AG129" s="166">
        <f>IF(OR($I129="",$E129=0),0,IF(OR($J129&lt;AG$3,$I129&gt;AG$2),0,IF($K129=0,IF(AND($I129&gt;=AG$3,$I129&lt;=AG$2),$E129,0),$E129*NETWORKDAYS(MAX($I129,AG$3),MIN($J129,AG$2),Data!$K$4:$K$203)/$K129)))</f>
        <v>0</v>
      </c>
      <c r="AH129" s="166">
        <f>IF(OR($I129="",$E129=0),0,IF(OR($J129&lt;AH$3,$I129&gt;AH$2),0,IF($K129=0,IF(AND($I129&gt;=AH$3,$I129&lt;=AH$2),$E129,0),$E129*NETWORKDAYS(MAX($I129,AH$3),MIN($J129,AH$2),Data!$K$4:$K$203)/$K129)))</f>
        <v>0</v>
      </c>
      <c r="AI129" s="166">
        <f>SUM(W129:AH129)</f>
        <v>0</v>
      </c>
      <c r="BZ129" t="str">
        <f>IF(D129=1,IF(TRIM(INDEX(Charge!$K:$K,ROW()))&lt;&gt;"",TRIM(INDEX(Charge!$K:$K,ROW())),IF(TRIM(INDEX(Charge!$L:$L,ROW()))&lt;&gt;"",TRIM(INDEX(Charge!$L:$L,ROW())),"(non affecté)")),"")</f>
        <v/>
      </c>
      <c r="CA129" t="str">
        <f>IF(AND($CD$4&lt;&gt;"",BZ129=$CD$4),COUNTIFS($BZ$4:$BZ$503,$CD$4,$L$4:$L$503,"&lt;"&amp;L129)+1,"")</f>
        <v/>
      </c>
      <c r="EJ129" t="str">
        <f>TRIM(INDEX(Data!$E:$E,ROW()))</f>
        <v/>
      </c>
      <c r="EK129" t="str">
        <f>TRIM(INDEX(Data!$H:$H,ROW()))</f>
        <v/>
      </c>
      <c r="EM129" t="str">
        <f>IF(D129=1,IF(TRIM(INDEX(Charge!$K:$K,ROW()))&lt;&gt;"","Interne",IF(TRIM(INDEX(Charge!$L:$L,ROW()))&lt;&gt;"","Externe","Non affecté")),"")</f>
        <v/>
      </c>
      <c r="EN129" t="str">
        <f>IF(D129=1,LEFT(SUBSTITUTE(SUBSTITUTE(SUBSTITUTE(TRIM(SUBSTITUTE(INDEX(Charge!$B:$B,ROW()),CHAR(160)," "))&amp;" | "&amp;TRIM(SUBSTITUTE(INDEX(Charge!$C:$C,ROW()),CHAR(160)," "))&amp;" | "&amp;TRIM(SUBSTITUTE(INDEX(Charge!$D:$D,ROW()),CHAR(160)," ")),"~","-"),"*","+"),"?","!"),240),"")</f>
        <v/>
      </c>
      <c r="EO129">
        <f>IF(EN129="",0,IF(COUNTIF($EN$4:EN129,EN129)=1,1,0))</f>
        <v>0</v>
      </c>
      <c r="EP129" s="166" t="str">
        <f>IF(EO129=1,ROUND(SUMIF($EN$4:$EN$503,EN129,$E$4:$E$503),2),"")</f>
        <v/>
      </c>
      <c r="EQ129" t="str">
        <f>IF(EO129=1,COUNTIFS($EO$4:$EO$503,1,$EP$4:$EP$503,"&gt;"&amp;EP129)+COUNTIFS($EO$4:EO129,1,$EP$4:EP129,EP129),"")</f>
        <v/>
      </c>
      <c r="ER129" t="str">
        <f>IF(EO129=1,COUNTIFS($EN$4:$EN$503,EN129,$EM$4:$EM$503,"Interne",$FE$4:$FE$503,1),"")</f>
        <v/>
      </c>
      <c r="ES129" t="str">
        <f>IF(EO129=1,COUNTIFS($EN$4:$EN$503,EN129,$EM$4:$EM$503,"Externe",$FE$4:$FE$503,1),"")</f>
        <v/>
      </c>
      <c r="ET129" t="str">
        <f>IF(EO129=1,IF(ER129+ES129=0,"à affecter",IF(ER129=0,ES129&amp;" ext.",(ER129+ES129)&amp;IF(ES129&gt;0," dont "&amp;ES129&amp;" ext.",""))&amp;IF(COUNTIFS($EN$4:$EN$503,EN129,$EM$4:$EM$503,"Non affecté")&gt;0," + à affecter","")),"")</f>
        <v/>
      </c>
      <c r="EU129" s="170" t="str">
        <f>IF(EO129=1,IF(EP129&gt;0,SUMPRODUCT(($EN$4:$EN$503=EN129)*$E$4:$E$503*$C$4:$C$503)/EP129,AVERAGEIF($EN$4:$EN$503,EN129,$C$4:$C$503)),"")</f>
        <v/>
      </c>
      <c r="EV129" s="165">
        <f>IF(ISNUMBER(I129),I129,2958465)</f>
        <v>2958465.0</v>
      </c>
      <c r="EW129" s="165" t="str">
        <f>IF(EO129=1,SUMPRODUCT(MIN(($EN$4:$EN$503=EN129)*$EV$4:$EV$503+($EN$4:$EN$503&lt;&gt;EN129)*2958465)),"")</f>
        <v/>
      </c>
      <c r="EX129" s="165">
        <f>IF(AND(D129=1,ISNUMBER(INDEX(Charge!$F:$F,ROW()))),INDEX(Charge!$F:$F,ROW()),0)</f>
        <v>0.0</v>
      </c>
      <c r="EY129" s="165" t="str">
        <f>IF(EO129=1,SUMPRODUCT(MAX(($EN$4:$EN$503=EN129)*$EX$4:$EX$503)),"")</f>
        <v/>
      </c>
      <c r="FA129" t="str">
        <f>IF(126&lt;=$CD$23,INDEX($EJ$4:$EJ$203,126),IF(126-$CD$23&lt;=$CD$26,INDEX($EK$4:$EK$203,126-$CD$23),""))</f>
        <v/>
      </c>
      <c r="FB129" t="str">
        <f>IF(FA129="","",IF(126&lt;=$CD$23,"Interne","Externe"))</f>
        <v/>
      </c>
      <c r="FD129">
        <f>IF(AND(B129=1,TRIM(INDEX(Charge!$K:$K,ROW()))&lt;&gt;"",TRIM(INDEX(Charge!$L:$L,ROW()))&lt;&gt;""),1,0)</f>
        <v>0</v>
      </c>
      <c r="FE129">
        <f>IF(OR(EN129="",BZ129="(non affecté)"),0,IF(COUNTIFS($EN$4:EN129,EN129,$BZ$4:BZ129,BZ129)=1,1,0))</f>
        <v>0</v>
      </c>
    </row>
    <row r="130">
      <c r="A130">
        <f>ROW()</f>
        <v>130</v>
      </c>
      <c r="B130">
        <f>IF(TRIM(INDEX(Charge!$B:$B,ROW()))&lt;&gt;"",1,0)</f>
        <v>0</v>
      </c>
      <c r="C130">
        <f>IF(B130=1,MIN(1,MAX(0,N(INDEX(Charge!$O:$O,ROW())))),0)</f>
        <v>0</v>
      </c>
      <c r="D130">
        <f>IF(B130=1,IF(OR(p_Perimetre="Tous les projets",C130&lt;1),1,0),0)</f>
        <v>0</v>
      </c>
      <c r="E130">
        <f>IF(D130=1,MAX(0,N(INDEX(Charge!$M:$M,ROW()))),0)</f>
        <v>0</v>
      </c>
      <c r="F130" t="str">
        <f>IF(D130=1,IF(TRIM(INDEX(Charge!$A:$A,ROW()))="","(non renseigné)",TRIM(INDEX(Charge!$A:$A,ROW()))),"")</f>
        <v/>
      </c>
      <c r="G130" t="str">
        <f>IF(D130=1,TRIM(INDEX(Charge!$B:$B,ROW())),"")</f>
        <v/>
      </c>
      <c r="H130" t="str">
        <f>IF(D130=1,IF(TRIM(INDEX(Charge!$E:$E,ROW()))="","(non renseigné)",TRIM(INDEX(Charge!$E:$E,ROW()))),"")</f>
        <v/>
      </c>
      <c r="I130" s="165" t="str">
        <f>IF(AND(D130=1,ISNUMBER(INDEX(Charge!$N:$N,ROW()))),INDEX(Charge!$N:$N,ROW()),"")</f>
        <v/>
      </c>
      <c r="J130" s="165" t="str">
        <f>IF(I130="","",IF(AND(p_Repartition="Lissée jusqu'à la date de besoin",ISNUMBER(INDEX(Charge!$F:$F,ROW()))),IF(INDEX(Charge!$F:$F,ROW())&gt;=I130,INDEX(Charge!$F:$F,ROW()),I130),I130))</f>
        <v/>
      </c>
      <c r="K130" t="str">
        <f>IF(I130="","",NETWORKDAYS(I130,J130,Data!$K$4:$K$203))</f>
        <v/>
      </c>
      <c r="L130" t="str">
        <f>IF(D130=1,COUNTIFS($D$4:$D$503,1,$E$4:$E$503,"&gt;"&amp;E130)+COUNTIFS($D$4:$D130,1,$E$4:$E130,E130),"")</f>
        <v/>
      </c>
      <c r="M130">
        <f>IF(F130="",0,IF(COUNTIF($F$4:F130,F130)=1,1,0))</f>
        <v>0</v>
      </c>
      <c r="N130" t="str">
        <f>IF(M130=1,ROUND(SUMIF($F$4:$F$503,F130,$E$4:$E$503),2),"")</f>
        <v/>
      </c>
      <c r="O130" t="str">
        <f>IF(M130=1,COUNTIFS($M$4:$M$503,1,$N$4:$N$503,"&gt;"&amp;N130)+COUNTIFS($M$4:M130,1,$N$4:N130,N130),"")</f>
        <v/>
      </c>
      <c r="P130">
        <f>IF(G130="",0,IF(COUNTIF($G$4:G130,G130)=1,1,0))</f>
        <v>0</v>
      </c>
      <c r="Q130" t="str">
        <f>IF(P130=1,ROUND(SUMIF($G$4:$G$503,G130,$E$4:$E$503),2),"")</f>
        <v/>
      </c>
      <c r="R130" t="str">
        <f>IF(P130=1,COUNTIFS($P$4:$P$503,1,$Q$4:$Q$503,"&gt;"&amp;Q130)+COUNTIFS($P$4:P130,1,$Q$4:Q130,Q130),"")</f>
        <v/>
      </c>
      <c r="S130">
        <f>IF(H130="",0,IF(COUNTIF($H$4:H130,H130)=1,1,0))</f>
        <v>0</v>
      </c>
      <c r="T130" t="str">
        <f>IF(S130=1,ROUND(SUMIF($H$4:$H$503,H130,$E$4:$E$503),2),"")</f>
        <v/>
      </c>
      <c r="U130" t="str">
        <f>IF(S130=1,COUNTIFS($S$4:$S$503,1,$T$4:$T$503,"&gt;"&amp;T130)+COUNTIFS($S$4:S130,1,$T$4:T130,T130),"")</f>
        <v/>
      </c>
      <c r="V130" t="str">
        <f>IF(D130=1,MIN(INDEX($R$4:$R$503,MATCH(G130,$G$4:$G$503,0)),IF($AL$7&gt;9,9,999)),"")</f>
        <v/>
      </c>
      <c r="W130" s="166">
        <f>IF(OR($I130="",$E130=0),0,IF(OR($J130&lt;W$3,$I130&gt;W$2),0,IF($K130=0,IF(AND($I130&gt;=W$3,$I130&lt;=W$2),$E130,0),$E130*NETWORKDAYS(MAX($I130,W$3),MIN($J130,W$2),Data!$K$4:$K$203)/$K130)))</f>
        <v>0</v>
      </c>
      <c r="X130" s="166">
        <f>IF(OR($I130="",$E130=0),0,IF(OR($J130&lt;X$3,$I130&gt;X$2),0,IF($K130=0,IF(AND($I130&gt;=X$3,$I130&lt;=X$2),$E130,0),$E130*NETWORKDAYS(MAX($I130,X$3),MIN($J130,X$2),Data!$K$4:$K$203)/$K130)))</f>
        <v>0</v>
      </c>
      <c r="Y130" s="166">
        <f>IF(OR($I130="",$E130=0),0,IF(OR($J130&lt;Y$3,$I130&gt;Y$2),0,IF($K130=0,IF(AND($I130&gt;=Y$3,$I130&lt;=Y$2),$E130,0),$E130*NETWORKDAYS(MAX($I130,Y$3),MIN($J130,Y$2),Data!$K$4:$K$203)/$K130)))</f>
        <v>0</v>
      </c>
      <c r="Z130" s="166">
        <f>IF(OR($I130="",$E130=0),0,IF(OR($J130&lt;Z$3,$I130&gt;Z$2),0,IF($K130=0,IF(AND($I130&gt;=Z$3,$I130&lt;=Z$2),$E130,0),$E130*NETWORKDAYS(MAX($I130,Z$3),MIN($J130,Z$2),Data!$K$4:$K$203)/$K130)))</f>
        <v>0</v>
      </c>
      <c r="AA130" s="166">
        <f>IF(OR($I130="",$E130=0),0,IF(OR($J130&lt;AA$3,$I130&gt;AA$2),0,IF($K130=0,IF(AND($I130&gt;=AA$3,$I130&lt;=AA$2),$E130,0),$E130*NETWORKDAYS(MAX($I130,AA$3),MIN($J130,AA$2),Data!$K$4:$K$203)/$K130)))</f>
        <v>0</v>
      </c>
      <c r="AB130" s="166">
        <f>IF(OR($I130="",$E130=0),0,IF(OR($J130&lt;AB$3,$I130&gt;AB$2),0,IF($K130=0,IF(AND($I130&gt;=AB$3,$I130&lt;=AB$2),$E130,0),$E130*NETWORKDAYS(MAX($I130,AB$3),MIN($J130,AB$2),Data!$K$4:$K$203)/$K130)))</f>
        <v>0</v>
      </c>
      <c r="AC130" s="166">
        <f>IF(OR($I130="",$E130=0),0,IF(OR($J130&lt;AC$3,$I130&gt;AC$2),0,IF($K130=0,IF(AND($I130&gt;=AC$3,$I130&lt;=AC$2),$E130,0),$E130*NETWORKDAYS(MAX($I130,AC$3),MIN($J130,AC$2),Data!$K$4:$K$203)/$K130)))</f>
        <v>0</v>
      </c>
      <c r="AD130" s="166">
        <f>IF(OR($I130="",$E130=0),0,IF(OR($J130&lt;AD$3,$I130&gt;AD$2),0,IF($K130=0,IF(AND($I130&gt;=AD$3,$I130&lt;=AD$2),$E130,0),$E130*NETWORKDAYS(MAX($I130,AD$3),MIN($J130,AD$2),Data!$K$4:$K$203)/$K130)))</f>
        <v>0</v>
      </c>
      <c r="AE130" s="166">
        <f>IF(OR($I130="",$E130=0),0,IF(OR($J130&lt;AE$3,$I130&gt;AE$2),0,IF($K130=0,IF(AND($I130&gt;=AE$3,$I130&lt;=AE$2),$E130,0),$E130*NETWORKDAYS(MAX($I130,AE$3),MIN($J130,AE$2),Data!$K$4:$K$203)/$K130)))</f>
        <v>0</v>
      </c>
      <c r="AF130" s="166">
        <f>IF(OR($I130="",$E130=0),0,IF(OR($J130&lt;AF$3,$I130&gt;AF$2),0,IF($K130=0,IF(AND($I130&gt;=AF$3,$I130&lt;=AF$2),$E130,0),$E130*NETWORKDAYS(MAX($I130,AF$3),MIN($J130,AF$2),Data!$K$4:$K$203)/$K130)))</f>
        <v>0</v>
      </c>
      <c r="AG130" s="166">
        <f>IF(OR($I130="",$E130=0),0,IF(OR($J130&lt;AG$3,$I130&gt;AG$2),0,IF($K130=0,IF(AND($I130&gt;=AG$3,$I130&lt;=AG$2),$E130,0),$E130*NETWORKDAYS(MAX($I130,AG$3),MIN($J130,AG$2),Data!$K$4:$K$203)/$K130)))</f>
        <v>0</v>
      </c>
      <c r="AH130" s="166">
        <f>IF(OR($I130="",$E130=0),0,IF(OR($J130&lt;AH$3,$I130&gt;AH$2),0,IF($K130=0,IF(AND($I130&gt;=AH$3,$I130&lt;=AH$2),$E130,0),$E130*NETWORKDAYS(MAX($I130,AH$3),MIN($J130,AH$2),Data!$K$4:$K$203)/$K130)))</f>
        <v>0</v>
      </c>
      <c r="AI130" s="166">
        <f>SUM(W130:AH130)</f>
        <v>0</v>
      </c>
      <c r="BZ130" t="str">
        <f>IF(D130=1,IF(TRIM(INDEX(Charge!$K:$K,ROW()))&lt;&gt;"",TRIM(INDEX(Charge!$K:$K,ROW())),IF(TRIM(INDEX(Charge!$L:$L,ROW()))&lt;&gt;"",TRIM(INDEX(Charge!$L:$L,ROW())),"(non affecté)")),"")</f>
        <v/>
      </c>
      <c r="CA130" t="str">
        <f>IF(AND($CD$4&lt;&gt;"",BZ130=$CD$4),COUNTIFS($BZ$4:$BZ$503,$CD$4,$L$4:$L$503,"&lt;"&amp;L130)+1,"")</f>
        <v/>
      </c>
      <c r="EJ130" t="str">
        <f>TRIM(INDEX(Data!$E:$E,ROW()))</f>
        <v/>
      </c>
      <c r="EK130" t="str">
        <f>TRIM(INDEX(Data!$H:$H,ROW()))</f>
        <v/>
      </c>
      <c r="EM130" t="str">
        <f>IF(D130=1,IF(TRIM(INDEX(Charge!$K:$K,ROW()))&lt;&gt;"","Interne",IF(TRIM(INDEX(Charge!$L:$L,ROW()))&lt;&gt;"","Externe","Non affecté")),"")</f>
        <v/>
      </c>
      <c r="EN130" t="str">
        <f>IF(D130=1,LEFT(SUBSTITUTE(SUBSTITUTE(SUBSTITUTE(TRIM(SUBSTITUTE(INDEX(Charge!$B:$B,ROW()),CHAR(160)," "))&amp;" | "&amp;TRIM(SUBSTITUTE(INDEX(Charge!$C:$C,ROW()),CHAR(160)," "))&amp;" | "&amp;TRIM(SUBSTITUTE(INDEX(Charge!$D:$D,ROW()),CHAR(160)," ")),"~","-"),"*","+"),"?","!"),240),"")</f>
        <v/>
      </c>
      <c r="EO130">
        <f>IF(EN130="",0,IF(COUNTIF($EN$4:EN130,EN130)=1,1,0))</f>
        <v>0</v>
      </c>
      <c r="EP130" s="166" t="str">
        <f>IF(EO130=1,ROUND(SUMIF($EN$4:$EN$503,EN130,$E$4:$E$503),2),"")</f>
        <v/>
      </c>
      <c r="EQ130" t="str">
        <f>IF(EO130=1,COUNTIFS($EO$4:$EO$503,1,$EP$4:$EP$503,"&gt;"&amp;EP130)+COUNTIFS($EO$4:EO130,1,$EP$4:EP130,EP130),"")</f>
        <v/>
      </c>
      <c r="ER130" t="str">
        <f>IF(EO130=1,COUNTIFS($EN$4:$EN$503,EN130,$EM$4:$EM$503,"Interne",$FE$4:$FE$503,1),"")</f>
        <v/>
      </c>
      <c r="ES130" t="str">
        <f>IF(EO130=1,COUNTIFS($EN$4:$EN$503,EN130,$EM$4:$EM$503,"Externe",$FE$4:$FE$503,1),"")</f>
        <v/>
      </c>
      <c r="ET130" t="str">
        <f>IF(EO130=1,IF(ER130+ES130=0,"à affecter",IF(ER130=0,ES130&amp;" ext.",(ER130+ES130)&amp;IF(ES130&gt;0," dont "&amp;ES130&amp;" ext.",""))&amp;IF(COUNTIFS($EN$4:$EN$503,EN130,$EM$4:$EM$503,"Non affecté")&gt;0," + à affecter","")),"")</f>
        <v/>
      </c>
      <c r="EU130" s="170" t="str">
        <f>IF(EO130=1,IF(EP130&gt;0,SUMPRODUCT(($EN$4:$EN$503=EN130)*$E$4:$E$503*$C$4:$C$503)/EP130,AVERAGEIF($EN$4:$EN$503,EN130,$C$4:$C$503)),"")</f>
        <v/>
      </c>
      <c r="EV130" s="165">
        <f>IF(ISNUMBER(I130),I130,2958465)</f>
        <v>2958465.0</v>
      </c>
      <c r="EW130" s="165" t="str">
        <f>IF(EO130=1,SUMPRODUCT(MIN(($EN$4:$EN$503=EN130)*$EV$4:$EV$503+($EN$4:$EN$503&lt;&gt;EN130)*2958465)),"")</f>
        <v/>
      </c>
      <c r="EX130" s="165">
        <f>IF(AND(D130=1,ISNUMBER(INDEX(Charge!$F:$F,ROW()))),INDEX(Charge!$F:$F,ROW()),0)</f>
        <v>0.0</v>
      </c>
      <c r="EY130" s="165" t="str">
        <f>IF(EO130=1,SUMPRODUCT(MAX(($EN$4:$EN$503=EN130)*$EX$4:$EX$503)),"")</f>
        <v/>
      </c>
      <c r="FA130" t="str">
        <f>IF(127&lt;=$CD$23,INDEX($EJ$4:$EJ$203,127),IF(127-$CD$23&lt;=$CD$26,INDEX($EK$4:$EK$203,127-$CD$23),""))</f>
        <v/>
      </c>
      <c r="FB130" t="str">
        <f>IF(FA130="","",IF(127&lt;=$CD$23,"Interne","Externe"))</f>
        <v/>
      </c>
      <c r="FD130">
        <f>IF(AND(B130=1,TRIM(INDEX(Charge!$K:$K,ROW()))&lt;&gt;"",TRIM(INDEX(Charge!$L:$L,ROW()))&lt;&gt;""),1,0)</f>
        <v>0</v>
      </c>
      <c r="FE130">
        <f>IF(OR(EN130="",BZ130="(non affecté)"),0,IF(COUNTIFS($EN$4:EN130,EN130,$BZ$4:BZ130,BZ130)=1,1,0))</f>
        <v>0</v>
      </c>
    </row>
    <row r="131">
      <c r="A131">
        <f>ROW()</f>
        <v>131</v>
      </c>
      <c r="B131">
        <f>IF(TRIM(INDEX(Charge!$B:$B,ROW()))&lt;&gt;"",1,0)</f>
        <v>0</v>
      </c>
      <c r="C131">
        <f>IF(B131=1,MIN(1,MAX(0,N(INDEX(Charge!$O:$O,ROW())))),0)</f>
        <v>0</v>
      </c>
      <c r="D131">
        <f>IF(B131=1,IF(OR(p_Perimetre="Tous les projets",C131&lt;1),1,0),0)</f>
        <v>0</v>
      </c>
      <c r="E131">
        <f>IF(D131=1,MAX(0,N(INDEX(Charge!$M:$M,ROW()))),0)</f>
        <v>0</v>
      </c>
      <c r="F131" t="str">
        <f>IF(D131=1,IF(TRIM(INDEX(Charge!$A:$A,ROW()))="","(non renseigné)",TRIM(INDEX(Charge!$A:$A,ROW()))),"")</f>
        <v/>
      </c>
      <c r="G131" t="str">
        <f>IF(D131=1,TRIM(INDEX(Charge!$B:$B,ROW())),"")</f>
        <v/>
      </c>
      <c r="H131" t="str">
        <f>IF(D131=1,IF(TRIM(INDEX(Charge!$E:$E,ROW()))="","(non renseigné)",TRIM(INDEX(Charge!$E:$E,ROW()))),"")</f>
        <v/>
      </c>
      <c r="I131" s="165" t="str">
        <f>IF(AND(D131=1,ISNUMBER(INDEX(Charge!$N:$N,ROW()))),INDEX(Charge!$N:$N,ROW()),"")</f>
        <v/>
      </c>
      <c r="J131" s="165" t="str">
        <f>IF(I131="","",IF(AND(p_Repartition="Lissée jusqu'à la date de besoin",ISNUMBER(INDEX(Charge!$F:$F,ROW()))),IF(INDEX(Charge!$F:$F,ROW())&gt;=I131,INDEX(Charge!$F:$F,ROW()),I131),I131))</f>
        <v/>
      </c>
      <c r="K131" t="str">
        <f>IF(I131="","",NETWORKDAYS(I131,J131,Data!$K$4:$K$203))</f>
        <v/>
      </c>
      <c r="L131" t="str">
        <f>IF(D131=1,COUNTIFS($D$4:$D$503,1,$E$4:$E$503,"&gt;"&amp;E131)+COUNTIFS($D$4:$D131,1,$E$4:$E131,E131),"")</f>
        <v/>
      </c>
      <c r="M131">
        <f>IF(F131="",0,IF(COUNTIF($F$4:F131,F131)=1,1,0))</f>
        <v>0</v>
      </c>
      <c r="N131" t="str">
        <f>IF(M131=1,ROUND(SUMIF($F$4:$F$503,F131,$E$4:$E$503),2),"")</f>
        <v/>
      </c>
      <c r="O131" t="str">
        <f>IF(M131=1,COUNTIFS($M$4:$M$503,1,$N$4:$N$503,"&gt;"&amp;N131)+COUNTIFS($M$4:M131,1,$N$4:N131,N131),"")</f>
        <v/>
      </c>
      <c r="P131">
        <f>IF(G131="",0,IF(COUNTIF($G$4:G131,G131)=1,1,0))</f>
        <v>0</v>
      </c>
      <c r="Q131" t="str">
        <f>IF(P131=1,ROUND(SUMIF($G$4:$G$503,G131,$E$4:$E$503),2),"")</f>
        <v/>
      </c>
      <c r="R131" t="str">
        <f>IF(P131=1,COUNTIFS($P$4:$P$503,1,$Q$4:$Q$503,"&gt;"&amp;Q131)+COUNTIFS($P$4:P131,1,$Q$4:Q131,Q131),"")</f>
        <v/>
      </c>
      <c r="S131">
        <f>IF(H131="",0,IF(COUNTIF($H$4:H131,H131)=1,1,0))</f>
        <v>0</v>
      </c>
      <c r="T131" t="str">
        <f>IF(S131=1,ROUND(SUMIF($H$4:$H$503,H131,$E$4:$E$503),2),"")</f>
        <v/>
      </c>
      <c r="U131" t="str">
        <f>IF(S131=1,COUNTIFS($S$4:$S$503,1,$T$4:$T$503,"&gt;"&amp;T131)+COUNTIFS($S$4:S131,1,$T$4:T131,T131),"")</f>
        <v/>
      </c>
      <c r="V131" t="str">
        <f>IF(D131=1,MIN(INDEX($R$4:$R$503,MATCH(G131,$G$4:$G$503,0)),IF($AL$7&gt;9,9,999)),"")</f>
        <v/>
      </c>
      <c r="W131" s="166">
        <f>IF(OR($I131="",$E131=0),0,IF(OR($J131&lt;W$3,$I131&gt;W$2),0,IF($K131=0,IF(AND($I131&gt;=W$3,$I131&lt;=W$2),$E131,0),$E131*NETWORKDAYS(MAX($I131,W$3),MIN($J131,W$2),Data!$K$4:$K$203)/$K131)))</f>
        <v>0</v>
      </c>
      <c r="X131" s="166">
        <f>IF(OR($I131="",$E131=0),0,IF(OR($J131&lt;X$3,$I131&gt;X$2),0,IF($K131=0,IF(AND($I131&gt;=X$3,$I131&lt;=X$2),$E131,0),$E131*NETWORKDAYS(MAX($I131,X$3),MIN($J131,X$2),Data!$K$4:$K$203)/$K131)))</f>
        <v>0</v>
      </c>
      <c r="Y131" s="166">
        <f>IF(OR($I131="",$E131=0),0,IF(OR($J131&lt;Y$3,$I131&gt;Y$2),0,IF($K131=0,IF(AND($I131&gt;=Y$3,$I131&lt;=Y$2),$E131,0),$E131*NETWORKDAYS(MAX($I131,Y$3),MIN($J131,Y$2),Data!$K$4:$K$203)/$K131)))</f>
        <v>0</v>
      </c>
      <c r="Z131" s="166">
        <f>IF(OR($I131="",$E131=0),0,IF(OR($J131&lt;Z$3,$I131&gt;Z$2),0,IF($K131=0,IF(AND($I131&gt;=Z$3,$I131&lt;=Z$2),$E131,0),$E131*NETWORKDAYS(MAX($I131,Z$3),MIN($J131,Z$2),Data!$K$4:$K$203)/$K131)))</f>
        <v>0</v>
      </c>
      <c r="AA131" s="166">
        <f>IF(OR($I131="",$E131=0),0,IF(OR($J131&lt;AA$3,$I131&gt;AA$2),0,IF($K131=0,IF(AND($I131&gt;=AA$3,$I131&lt;=AA$2),$E131,0),$E131*NETWORKDAYS(MAX($I131,AA$3),MIN($J131,AA$2),Data!$K$4:$K$203)/$K131)))</f>
        <v>0</v>
      </c>
      <c r="AB131" s="166">
        <f>IF(OR($I131="",$E131=0),0,IF(OR($J131&lt;AB$3,$I131&gt;AB$2),0,IF($K131=0,IF(AND($I131&gt;=AB$3,$I131&lt;=AB$2),$E131,0),$E131*NETWORKDAYS(MAX($I131,AB$3),MIN($J131,AB$2),Data!$K$4:$K$203)/$K131)))</f>
        <v>0</v>
      </c>
      <c r="AC131" s="166">
        <f>IF(OR($I131="",$E131=0),0,IF(OR($J131&lt;AC$3,$I131&gt;AC$2),0,IF($K131=0,IF(AND($I131&gt;=AC$3,$I131&lt;=AC$2),$E131,0),$E131*NETWORKDAYS(MAX($I131,AC$3),MIN($J131,AC$2),Data!$K$4:$K$203)/$K131)))</f>
        <v>0</v>
      </c>
      <c r="AD131" s="166">
        <f>IF(OR($I131="",$E131=0),0,IF(OR($J131&lt;AD$3,$I131&gt;AD$2),0,IF($K131=0,IF(AND($I131&gt;=AD$3,$I131&lt;=AD$2),$E131,0),$E131*NETWORKDAYS(MAX($I131,AD$3),MIN($J131,AD$2),Data!$K$4:$K$203)/$K131)))</f>
        <v>0</v>
      </c>
      <c r="AE131" s="166">
        <f>IF(OR($I131="",$E131=0),0,IF(OR($J131&lt;AE$3,$I131&gt;AE$2),0,IF($K131=0,IF(AND($I131&gt;=AE$3,$I131&lt;=AE$2),$E131,0),$E131*NETWORKDAYS(MAX($I131,AE$3),MIN($J131,AE$2),Data!$K$4:$K$203)/$K131)))</f>
        <v>0</v>
      </c>
      <c r="AF131" s="166">
        <f>IF(OR($I131="",$E131=0),0,IF(OR($J131&lt;AF$3,$I131&gt;AF$2),0,IF($K131=0,IF(AND($I131&gt;=AF$3,$I131&lt;=AF$2),$E131,0),$E131*NETWORKDAYS(MAX($I131,AF$3),MIN($J131,AF$2),Data!$K$4:$K$203)/$K131)))</f>
        <v>0</v>
      </c>
      <c r="AG131" s="166">
        <f>IF(OR($I131="",$E131=0),0,IF(OR($J131&lt;AG$3,$I131&gt;AG$2),0,IF($K131=0,IF(AND($I131&gt;=AG$3,$I131&lt;=AG$2),$E131,0),$E131*NETWORKDAYS(MAX($I131,AG$3),MIN($J131,AG$2),Data!$K$4:$K$203)/$K131)))</f>
        <v>0</v>
      </c>
      <c r="AH131" s="166">
        <f>IF(OR($I131="",$E131=0),0,IF(OR($J131&lt;AH$3,$I131&gt;AH$2),0,IF($K131=0,IF(AND($I131&gt;=AH$3,$I131&lt;=AH$2),$E131,0),$E131*NETWORKDAYS(MAX($I131,AH$3),MIN($J131,AH$2),Data!$K$4:$K$203)/$K131)))</f>
        <v>0</v>
      </c>
      <c r="AI131" s="166">
        <f>SUM(W131:AH131)</f>
        <v>0</v>
      </c>
      <c r="BZ131" t="str">
        <f>IF(D131=1,IF(TRIM(INDEX(Charge!$K:$K,ROW()))&lt;&gt;"",TRIM(INDEX(Charge!$K:$K,ROW())),IF(TRIM(INDEX(Charge!$L:$L,ROW()))&lt;&gt;"",TRIM(INDEX(Charge!$L:$L,ROW())),"(non affecté)")),"")</f>
        <v/>
      </c>
      <c r="CA131" t="str">
        <f>IF(AND($CD$4&lt;&gt;"",BZ131=$CD$4),COUNTIFS($BZ$4:$BZ$503,$CD$4,$L$4:$L$503,"&lt;"&amp;L131)+1,"")</f>
        <v/>
      </c>
      <c r="EJ131" t="str">
        <f>TRIM(INDEX(Data!$E:$E,ROW()))</f>
        <v/>
      </c>
      <c r="EK131" t="str">
        <f>TRIM(INDEX(Data!$H:$H,ROW()))</f>
        <v/>
      </c>
      <c r="EM131" t="str">
        <f>IF(D131=1,IF(TRIM(INDEX(Charge!$K:$K,ROW()))&lt;&gt;"","Interne",IF(TRIM(INDEX(Charge!$L:$L,ROW()))&lt;&gt;"","Externe","Non affecté")),"")</f>
        <v/>
      </c>
      <c r="EN131" t="str">
        <f>IF(D131=1,LEFT(SUBSTITUTE(SUBSTITUTE(SUBSTITUTE(TRIM(SUBSTITUTE(INDEX(Charge!$B:$B,ROW()),CHAR(160)," "))&amp;" | "&amp;TRIM(SUBSTITUTE(INDEX(Charge!$C:$C,ROW()),CHAR(160)," "))&amp;" | "&amp;TRIM(SUBSTITUTE(INDEX(Charge!$D:$D,ROW()),CHAR(160)," ")),"~","-"),"*","+"),"?","!"),240),"")</f>
        <v/>
      </c>
      <c r="EO131">
        <f>IF(EN131="",0,IF(COUNTIF($EN$4:EN131,EN131)=1,1,0))</f>
        <v>0</v>
      </c>
      <c r="EP131" s="166" t="str">
        <f>IF(EO131=1,ROUND(SUMIF($EN$4:$EN$503,EN131,$E$4:$E$503),2),"")</f>
        <v/>
      </c>
      <c r="EQ131" t="str">
        <f>IF(EO131=1,COUNTIFS($EO$4:$EO$503,1,$EP$4:$EP$503,"&gt;"&amp;EP131)+COUNTIFS($EO$4:EO131,1,$EP$4:EP131,EP131),"")</f>
        <v/>
      </c>
      <c r="ER131" t="str">
        <f>IF(EO131=1,COUNTIFS($EN$4:$EN$503,EN131,$EM$4:$EM$503,"Interne",$FE$4:$FE$503,1),"")</f>
        <v/>
      </c>
      <c r="ES131" t="str">
        <f>IF(EO131=1,COUNTIFS($EN$4:$EN$503,EN131,$EM$4:$EM$503,"Externe",$FE$4:$FE$503,1),"")</f>
        <v/>
      </c>
      <c r="ET131" t="str">
        <f>IF(EO131=1,IF(ER131+ES131=0,"à affecter",IF(ER131=0,ES131&amp;" ext.",(ER131+ES131)&amp;IF(ES131&gt;0," dont "&amp;ES131&amp;" ext.",""))&amp;IF(COUNTIFS($EN$4:$EN$503,EN131,$EM$4:$EM$503,"Non affecté")&gt;0," + à affecter","")),"")</f>
        <v/>
      </c>
      <c r="EU131" s="170" t="str">
        <f>IF(EO131=1,IF(EP131&gt;0,SUMPRODUCT(($EN$4:$EN$503=EN131)*$E$4:$E$503*$C$4:$C$503)/EP131,AVERAGEIF($EN$4:$EN$503,EN131,$C$4:$C$503)),"")</f>
        <v/>
      </c>
      <c r="EV131" s="165">
        <f>IF(ISNUMBER(I131),I131,2958465)</f>
        <v>2958465.0</v>
      </c>
      <c r="EW131" s="165" t="str">
        <f>IF(EO131=1,SUMPRODUCT(MIN(($EN$4:$EN$503=EN131)*$EV$4:$EV$503+($EN$4:$EN$503&lt;&gt;EN131)*2958465)),"")</f>
        <v/>
      </c>
      <c r="EX131" s="165">
        <f>IF(AND(D131=1,ISNUMBER(INDEX(Charge!$F:$F,ROW()))),INDEX(Charge!$F:$F,ROW()),0)</f>
        <v>0.0</v>
      </c>
      <c r="EY131" s="165" t="str">
        <f>IF(EO131=1,SUMPRODUCT(MAX(($EN$4:$EN$503=EN131)*$EX$4:$EX$503)),"")</f>
        <v/>
      </c>
      <c r="FA131" t="str">
        <f>IF(128&lt;=$CD$23,INDEX($EJ$4:$EJ$203,128),IF(128-$CD$23&lt;=$CD$26,INDEX($EK$4:$EK$203,128-$CD$23),""))</f>
        <v/>
      </c>
      <c r="FB131" t="str">
        <f>IF(FA131="","",IF(128&lt;=$CD$23,"Interne","Externe"))</f>
        <v/>
      </c>
      <c r="FD131">
        <f>IF(AND(B131=1,TRIM(INDEX(Charge!$K:$K,ROW()))&lt;&gt;"",TRIM(INDEX(Charge!$L:$L,ROW()))&lt;&gt;""),1,0)</f>
        <v>0</v>
      </c>
      <c r="FE131">
        <f>IF(OR(EN131="",BZ131="(non affecté)"),0,IF(COUNTIFS($EN$4:EN131,EN131,$BZ$4:BZ131,BZ131)=1,1,0))</f>
        <v>0</v>
      </c>
    </row>
    <row r="132">
      <c r="A132">
        <f>ROW()</f>
        <v>132</v>
      </c>
      <c r="B132">
        <f>IF(TRIM(INDEX(Charge!$B:$B,ROW()))&lt;&gt;"",1,0)</f>
        <v>0</v>
      </c>
      <c r="C132">
        <f>IF(B132=1,MIN(1,MAX(0,N(INDEX(Charge!$O:$O,ROW())))),0)</f>
        <v>0</v>
      </c>
      <c r="D132">
        <f>IF(B132=1,IF(OR(p_Perimetre="Tous les projets",C132&lt;1),1,0),0)</f>
        <v>0</v>
      </c>
      <c r="E132">
        <f>IF(D132=1,MAX(0,N(INDEX(Charge!$M:$M,ROW()))),0)</f>
        <v>0</v>
      </c>
      <c r="F132" t="str">
        <f>IF(D132=1,IF(TRIM(INDEX(Charge!$A:$A,ROW()))="","(non renseigné)",TRIM(INDEX(Charge!$A:$A,ROW()))),"")</f>
        <v/>
      </c>
      <c r="G132" t="str">
        <f>IF(D132=1,TRIM(INDEX(Charge!$B:$B,ROW())),"")</f>
        <v/>
      </c>
      <c r="H132" t="str">
        <f>IF(D132=1,IF(TRIM(INDEX(Charge!$E:$E,ROW()))="","(non renseigné)",TRIM(INDEX(Charge!$E:$E,ROW()))),"")</f>
        <v/>
      </c>
      <c r="I132" s="165" t="str">
        <f>IF(AND(D132=1,ISNUMBER(INDEX(Charge!$N:$N,ROW()))),INDEX(Charge!$N:$N,ROW()),"")</f>
        <v/>
      </c>
      <c r="J132" s="165" t="str">
        <f>IF(I132="","",IF(AND(p_Repartition="Lissée jusqu'à la date de besoin",ISNUMBER(INDEX(Charge!$F:$F,ROW()))),IF(INDEX(Charge!$F:$F,ROW())&gt;=I132,INDEX(Charge!$F:$F,ROW()),I132),I132))</f>
        <v/>
      </c>
      <c r="K132" t="str">
        <f>IF(I132="","",NETWORKDAYS(I132,J132,Data!$K$4:$K$203))</f>
        <v/>
      </c>
      <c r="L132" t="str">
        <f>IF(D132=1,COUNTIFS($D$4:$D$503,1,$E$4:$E$503,"&gt;"&amp;E132)+COUNTIFS($D$4:$D132,1,$E$4:$E132,E132),"")</f>
        <v/>
      </c>
      <c r="M132">
        <f>IF(F132="",0,IF(COUNTIF($F$4:F132,F132)=1,1,0))</f>
        <v>0</v>
      </c>
      <c r="N132" t="str">
        <f>IF(M132=1,ROUND(SUMIF($F$4:$F$503,F132,$E$4:$E$503),2),"")</f>
        <v/>
      </c>
      <c r="O132" t="str">
        <f>IF(M132=1,COUNTIFS($M$4:$M$503,1,$N$4:$N$503,"&gt;"&amp;N132)+COUNTIFS($M$4:M132,1,$N$4:N132,N132),"")</f>
        <v/>
      </c>
      <c r="P132">
        <f>IF(G132="",0,IF(COUNTIF($G$4:G132,G132)=1,1,0))</f>
        <v>0</v>
      </c>
      <c r="Q132" t="str">
        <f>IF(P132=1,ROUND(SUMIF($G$4:$G$503,G132,$E$4:$E$503),2),"")</f>
        <v/>
      </c>
      <c r="R132" t="str">
        <f>IF(P132=1,COUNTIFS($P$4:$P$503,1,$Q$4:$Q$503,"&gt;"&amp;Q132)+COUNTIFS($P$4:P132,1,$Q$4:Q132,Q132),"")</f>
        <v/>
      </c>
      <c r="S132">
        <f>IF(H132="",0,IF(COUNTIF($H$4:H132,H132)=1,1,0))</f>
        <v>0</v>
      </c>
      <c r="T132" t="str">
        <f>IF(S132=1,ROUND(SUMIF($H$4:$H$503,H132,$E$4:$E$503),2),"")</f>
        <v/>
      </c>
      <c r="U132" t="str">
        <f>IF(S132=1,COUNTIFS($S$4:$S$503,1,$T$4:$T$503,"&gt;"&amp;T132)+COUNTIFS($S$4:S132,1,$T$4:T132,T132),"")</f>
        <v/>
      </c>
      <c r="V132" t="str">
        <f>IF(D132=1,MIN(INDEX($R$4:$R$503,MATCH(G132,$G$4:$G$503,0)),IF($AL$7&gt;9,9,999)),"")</f>
        <v/>
      </c>
      <c r="W132" s="166">
        <f>IF(OR($I132="",$E132=0),0,IF(OR($J132&lt;W$3,$I132&gt;W$2),0,IF($K132=0,IF(AND($I132&gt;=W$3,$I132&lt;=W$2),$E132,0),$E132*NETWORKDAYS(MAX($I132,W$3),MIN($J132,W$2),Data!$K$4:$K$203)/$K132)))</f>
        <v>0</v>
      </c>
      <c r="X132" s="166">
        <f>IF(OR($I132="",$E132=0),0,IF(OR($J132&lt;X$3,$I132&gt;X$2),0,IF($K132=0,IF(AND($I132&gt;=X$3,$I132&lt;=X$2),$E132,0),$E132*NETWORKDAYS(MAX($I132,X$3),MIN($J132,X$2),Data!$K$4:$K$203)/$K132)))</f>
        <v>0</v>
      </c>
      <c r="Y132" s="166">
        <f>IF(OR($I132="",$E132=0),0,IF(OR($J132&lt;Y$3,$I132&gt;Y$2),0,IF($K132=0,IF(AND($I132&gt;=Y$3,$I132&lt;=Y$2),$E132,0),$E132*NETWORKDAYS(MAX($I132,Y$3),MIN($J132,Y$2),Data!$K$4:$K$203)/$K132)))</f>
        <v>0</v>
      </c>
      <c r="Z132" s="166">
        <f>IF(OR($I132="",$E132=0),0,IF(OR($J132&lt;Z$3,$I132&gt;Z$2),0,IF($K132=0,IF(AND($I132&gt;=Z$3,$I132&lt;=Z$2),$E132,0),$E132*NETWORKDAYS(MAX($I132,Z$3),MIN($J132,Z$2),Data!$K$4:$K$203)/$K132)))</f>
        <v>0</v>
      </c>
      <c r="AA132" s="166">
        <f>IF(OR($I132="",$E132=0),0,IF(OR($J132&lt;AA$3,$I132&gt;AA$2),0,IF($K132=0,IF(AND($I132&gt;=AA$3,$I132&lt;=AA$2),$E132,0),$E132*NETWORKDAYS(MAX($I132,AA$3),MIN($J132,AA$2),Data!$K$4:$K$203)/$K132)))</f>
        <v>0</v>
      </c>
      <c r="AB132" s="166">
        <f>IF(OR($I132="",$E132=0),0,IF(OR($J132&lt;AB$3,$I132&gt;AB$2),0,IF($K132=0,IF(AND($I132&gt;=AB$3,$I132&lt;=AB$2),$E132,0),$E132*NETWORKDAYS(MAX($I132,AB$3),MIN($J132,AB$2),Data!$K$4:$K$203)/$K132)))</f>
        <v>0</v>
      </c>
      <c r="AC132" s="166">
        <f>IF(OR($I132="",$E132=0),0,IF(OR($J132&lt;AC$3,$I132&gt;AC$2),0,IF($K132=0,IF(AND($I132&gt;=AC$3,$I132&lt;=AC$2),$E132,0),$E132*NETWORKDAYS(MAX($I132,AC$3),MIN($J132,AC$2),Data!$K$4:$K$203)/$K132)))</f>
        <v>0</v>
      </c>
      <c r="AD132" s="166">
        <f>IF(OR($I132="",$E132=0),0,IF(OR($J132&lt;AD$3,$I132&gt;AD$2),0,IF($K132=0,IF(AND($I132&gt;=AD$3,$I132&lt;=AD$2),$E132,0),$E132*NETWORKDAYS(MAX($I132,AD$3),MIN($J132,AD$2),Data!$K$4:$K$203)/$K132)))</f>
        <v>0</v>
      </c>
      <c r="AE132" s="166">
        <f>IF(OR($I132="",$E132=0),0,IF(OR($J132&lt;AE$3,$I132&gt;AE$2),0,IF($K132=0,IF(AND($I132&gt;=AE$3,$I132&lt;=AE$2),$E132,0),$E132*NETWORKDAYS(MAX($I132,AE$3),MIN($J132,AE$2),Data!$K$4:$K$203)/$K132)))</f>
        <v>0</v>
      </c>
      <c r="AF132" s="166">
        <f>IF(OR($I132="",$E132=0),0,IF(OR($J132&lt;AF$3,$I132&gt;AF$2),0,IF($K132=0,IF(AND($I132&gt;=AF$3,$I132&lt;=AF$2),$E132,0),$E132*NETWORKDAYS(MAX($I132,AF$3),MIN($J132,AF$2),Data!$K$4:$K$203)/$K132)))</f>
        <v>0</v>
      </c>
      <c r="AG132" s="166">
        <f>IF(OR($I132="",$E132=0),0,IF(OR($J132&lt;AG$3,$I132&gt;AG$2),0,IF($K132=0,IF(AND($I132&gt;=AG$3,$I132&lt;=AG$2),$E132,0),$E132*NETWORKDAYS(MAX($I132,AG$3),MIN($J132,AG$2),Data!$K$4:$K$203)/$K132)))</f>
        <v>0</v>
      </c>
      <c r="AH132" s="166">
        <f>IF(OR($I132="",$E132=0),0,IF(OR($J132&lt;AH$3,$I132&gt;AH$2),0,IF($K132=0,IF(AND($I132&gt;=AH$3,$I132&lt;=AH$2),$E132,0),$E132*NETWORKDAYS(MAX($I132,AH$3),MIN($J132,AH$2),Data!$K$4:$K$203)/$K132)))</f>
        <v>0</v>
      </c>
      <c r="AI132" s="166">
        <f>SUM(W132:AH132)</f>
        <v>0</v>
      </c>
      <c r="BZ132" t="str">
        <f>IF(D132=1,IF(TRIM(INDEX(Charge!$K:$K,ROW()))&lt;&gt;"",TRIM(INDEX(Charge!$K:$K,ROW())),IF(TRIM(INDEX(Charge!$L:$L,ROW()))&lt;&gt;"",TRIM(INDEX(Charge!$L:$L,ROW())),"(non affecté)")),"")</f>
        <v/>
      </c>
      <c r="CA132" t="str">
        <f>IF(AND($CD$4&lt;&gt;"",BZ132=$CD$4),COUNTIFS($BZ$4:$BZ$503,$CD$4,$L$4:$L$503,"&lt;"&amp;L132)+1,"")</f>
        <v/>
      </c>
      <c r="EJ132" t="str">
        <f>TRIM(INDEX(Data!$E:$E,ROW()))</f>
        <v/>
      </c>
      <c r="EK132" t="str">
        <f>TRIM(INDEX(Data!$H:$H,ROW()))</f>
        <v/>
      </c>
      <c r="EM132" t="str">
        <f>IF(D132=1,IF(TRIM(INDEX(Charge!$K:$K,ROW()))&lt;&gt;"","Interne",IF(TRIM(INDEX(Charge!$L:$L,ROW()))&lt;&gt;"","Externe","Non affecté")),"")</f>
        <v/>
      </c>
      <c r="EN132" t="str">
        <f>IF(D132=1,LEFT(SUBSTITUTE(SUBSTITUTE(SUBSTITUTE(TRIM(SUBSTITUTE(INDEX(Charge!$B:$B,ROW()),CHAR(160)," "))&amp;" | "&amp;TRIM(SUBSTITUTE(INDEX(Charge!$C:$C,ROW()),CHAR(160)," "))&amp;" | "&amp;TRIM(SUBSTITUTE(INDEX(Charge!$D:$D,ROW()),CHAR(160)," ")),"~","-"),"*","+"),"?","!"),240),"")</f>
        <v/>
      </c>
      <c r="EO132">
        <f>IF(EN132="",0,IF(COUNTIF($EN$4:EN132,EN132)=1,1,0))</f>
        <v>0</v>
      </c>
      <c r="EP132" s="166" t="str">
        <f>IF(EO132=1,ROUND(SUMIF($EN$4:$EN$503,EN132,$E$4:$E$503),2),"")</f>
        <v/>
      </c>
      <c r="EQ132" t="str">
        <f>IF(EO132=1,COUNTIFS($EO$4:$EO$503,1,$EP$4:$EP$503,"&gt;"&amp;EP132)+COUNTIFS($EO$4:EO132,1,$EP$4:EP132,EP132),"")</f>
        <v/>
      </c>
      <c r="ER132" t="str">
        <f>IF(EO132=1,COUNTIFS($EN$4:$EN$503,EN132,$EM$4:$EM$503,"Interne",$FE$4:$FE$503,1),"")</f>
        <v/>
      </c>
      <c r="ES132" t="str">
        <f>IF(EO132=1,COUNTIFS($EN$4:$EN$503,EN132,$EM$4:$EM$503,"Externe",$FE$4:$FE$503,1),"")</f>
        <v/>
      </c>
      <c r="ET132" t="str">
        <f>IF(EO132=1,IF(ER132+ES132=0,"à affecter",IF(ER132=0,ES132&amp;" ext.",(ER132+ES132)&amp;IF(ES132&gt;0," dont "&amp;ES132&amp;" ext.",""))&amp;IF(COUNTIFS($EN$4:$EN$503,EN132,$EM$4:$EM$503,"Non affecté")&gt;0," + à affecter","")),"")</f>
        <v/>
      </c>
      <c r="EU132" s="170" t="str">
        <f>IF(EO132=1,IF(EP132&gt;0,SUMPRODUCT(($EN$4:$EN$503=EN132)*$E$4:$E$503*$C$4:$C$503)/EP132,AVERAGEIF($EN$4:$EN$503,EN132,$C$4:$C$503)),"")</f>
        <v/>
      </c>
      <c r="EV132" s="165">
        <f>IF(ISNUMBER(I132),I132,2958465)</f>
        <v>2958465.0</v>
      </c>
      <c r="EW132" s="165" t="str">
        <f>IF(EO132=1,SUMPRODUCT(MIN(($EN$4:$EN$503=EN132)*$EV$4:$EV$503+($EN$4:$EN$503&lt;&gt;EN132)*2958465)),"")</f>
        <v/>
      </c>
      <c r="EX132" s="165">
        <f>IF(AND(D132=1,ISNUMBER(INDEX(Charge!$F:$F,ROW()))),INDEX(Charge!$F:$F,ROW()),0)</f>
        <v>0.0</v>
      </c>
      <c r="EY132" s="165" t="str">
        <f>IF(EO132=1,SUMPRODUCT(MAX(($EN$4:$EN$503=EN132)*$EX$4:$EX$503)),"")</f>
        <v/>
      </c>
      <c r="FA132" t="str">
        <f>IF(129&lt;=$CD$23,INDEX($EJ$4:$EJ$203,129),IF(129-$CD$23&lt;=$CD$26,INDEX($EK$4:$EK$203,129-$CD$23),""))</f>
        <v/>
      </c>
      <c r="FB132" t="str">
        <f>IF(FA132="","",IF(129&lt;=$CD$23,"Interne","Externe"))</f>
        <v/>
      </c>
      <c r="FD132">
        <f>IF(AND(B132=1,TRIM(INDEX(Charge!$K:$K,ROW()))&lt;&gt;"",TRIM(INDEX(Charge!$L:$L,ROW()))&lt;&gt;""),1,0)</f>
        <v>0</v>
      </c>
      <c r="FE132">
        <f>IF(OR(EN132="",BZ132="(non affecté)"),0,IF(COUNTIFS($EN$4:EN132,EN132,$BZ$4:BZ132,BZ132)=1,1,0))</f>
        <v>0</v>
      </c>
    </row>
    <row r="133">
      <c r="A133">
        <f>ROW()</f>
        <v>133</v>
      </c>
      <c r="B133">
        <f>IF(TRIM(INDEX(Charge!$B:$B,ROW()))&lt;&gt;"",1,0)</f>
        <v>0</v>
      </c>
      <c r="C133">
        <f>IF(B133=1,MIN(1,MAX(0,N(INDEX(Charge!$O:$O,ROW())))),0)</f>
        <v>0</v>
      </c>
      <c r="D133">
        <f>IF(B133=1,IF(OR(p_Perimetre="Tous les projets",C133&lt;1),1,0),0)</f>
        <v>0</v>
      </c>
      <c r="E133">
        <f>IF(D133=1,MAX(0,N(INDEX(Charge!$M:$M,ROW()))),0)</f>
        <v>0</v>
      </c>
      <c r="F133" t="str">
        <f>IF(D133=1,IF(TRIM(INDEX(Charge!$A:$A,ROW()))="","(non renseigné)",TRIM(INDEX(Charge!$A:$A,ROW()))),"")</f>
        <v/>
      </c>
      <c r="G133" t="str">
        <f>IF(D133=1,TRIM(INDEX(Charge!$B:$B,ROW())),"")</f>
        <v/>
      </c>
      <c r="H133" t="str">
        <f>IF(D133=1,IF(TRIM(INDEX(Charge!$E:$E,ROW()))="","(non renseigné)",TRIM(INDEX(Charge!$E:$E,ROW()))),"")</f>
        <v/>
      </c>
      <c r="I133" s="165" t="str">
        <f>IF(AND(D133=1,ISNUMBER(INDEX(Charge!$N:$N,ROW()))),INDEX(Charge!$N:$N,ROW()),"")</f>
        <v/>
      </c>
      <c r="J133" s="165" t="str">
        <f>IF(I133="","",IF(AND(p_Repartition="Lissée jusqu'à la date de besoin",ISNUMBER(INDEX(Charge!$F:$F,ROW()))),IF(INDEX(Charge!$F:$F,ROW())&gt;=I133,INDEX(Charge!$F:$F,ROW()),I133),I133))</f>
        <v/>
      </c>
      <c r="K133" t="str">
        <f>IF(I133="","",NETWORKDAYS(I133,J133,Data!$K$4:$K$203))</f>
        <v/>
      </c>
      <c r="L133" t="str">
        <f>IF(D133=1,COUNTIFS($D$4:$D$503,1,$E$4:$E$503,"&gt;"&amp;E133)+COUNTIFS($D$4:$D133,1,$E$4:$E133,E133),"")</f>
        <v/>
      </c>
      <c r="M133">
        <f>IF(F133="",0,IF(COUNTIF($F$4:F133,F133)=1,1,0))</f>
        <v>0</v>
      </c>
      <c r="N133" t="str">
        <f>IF(M133=1,ROUND(SUMIF($F$4:$F$503,F133,$E$4:$E$503),2),"")</f>
        <v/>
      </c>
      <c r="O133" t="str">
        <f>IF(M133=1,COUNTIFS($M$4:$M$503,1,$N$4:$N$503,"&gt;"&amp;N133)+COUNTIFS($M$4:M133,1,$N$4:N133,N133),"")</f>
        <v/>
      </c>
      <c r="P133">
        <f>IF(G133="",0,IF(COUNTIF($G$4:G133,G133)=1,1,0))</f>
        <v>0</v>
      </c>
      <c r="Q133" t="str">
        <f>IF(P133=1,ROUND(SUMIF($G$4:$G$503,G133,$E$4:$E$503),2),"")</f>
        <v/>
      </c>
      <c r="R133" t="str">
        <f>IF(P133=1,COUNTIFS($P$4:$P$503,1,$Q$4:$Q$503,"&gt;"&amp;Q133)+COUNTIFS($P$4:P133,1,$Q$4:Q133,Q133),"")</f>
        <v/>
      </c>
      <c r="S133">
        <f>IF(H133="",0,IF(COUNTIF($H$4:H133,H133)=1,1,0))</f>
        <v>0</v>
      </c>
      <c r="T133" t="str">
        <f>IF(S133=1,ROUND(SUMIF($H$4:$H$503,H133,$E$4:$E$503),2),"")</f>
        <v/>
      </c>
      <c r="U133" t="str">
        <f>IF(S133=1,COUNTIFS($S$4:$S$503,1,$T$4:$T$503,"&gt;"&amp;T133)+COUNTIFS($S$4:S133,1,$T$4:T133,T133),"")</f>
        <v/>
      </c>
      <c r="V133" t="str">
        <f>IF(D133=1,MIN(INDEX($R$4:$R$503,MATCH(G133,$G$4:$G$503,0)),IF($AL$7&gt;9,9,999)),"")</f>
        <v/>
      </c>
      <c r="W133" s="166">
        <f>IF(OR($I133="",$E133=0),0,IF(OR($J133&lt;W$3,$I133&gt;W$2),0,IF($K133=0,IF(AND($I133&gt;=W$3,$I133&lt;=W$2),$E133,0),$E133*NETWORKDAYS(MAX($I133,W$3),MIN($J133,W$2),Data!$K$4:$K$203)/$K133)))</f>
        <v>0</v>
      </c>
      <c r="X133" s="166">
        <f>IF(OR($I133="",$E133=0),0,IF(OR($J133&lt;X$3,$I133&gt;X$2),0,IF($K133=0,IF(AND($I133&gt;=X$3,$I133&lt;=X$2),$E133,0),$E133*NETWORKDAYS(MAX($I133,X$3),MIN($J133,X$2),Data!$K$4:$K$203)/$K133)))</f>
        <v>0</v>
      </c>
      <c r="Y133" s="166">
        <f>IF(OR($I133="",$E133=0),0,IF(OR($J133&lt;Y$3,$I133&gt;Y$2),0,IF($K133=0,IF(AND($I133&gt;=Y$3,$I133&lt;=Y$2),$E133,0),$E133*NETWORKDAYS(MAX($I133,Y$3),MIN($J133,Y$2),Data!$K$4:$K$203)/$K133)))</f>
        <v>0</v>
      </c>
      <c r="Z133" s="166">
        <f>IF(OR($I133="",$E133=0),0,IF(OR($J133&lt;Z$3,$I133&gt;Z$2),0,IF($K133=0,IF(AND($I133&gt;=Z$3,$I133&lt;=Z$2),$E133,0),$E133*NETWORKDAYS(MAX($I133,Z$3),MIN($J133,Z$2),Data!$K$4:$K$203)/$K133)))</f>
        <v>0</v>
      </c>
      <c r="AA133" s="166">
        <f>IF(OR($I133="",$E133=0),0,IF(OR($J133&lt;AA$3,$I133&gt;AA$2),0,IF($K133=0,IF(AND($I133&gt;=AA$3,$I133&lt;=AA$2),$E133,0),$E133*NETWORKDAYS(MAX($I133,AA$3),MIN($J133,AA$2),Data!$K$4:$K$203)/$K133)))</f>
        <v>0</v>
      </c>
      <c r="AB133" s="166">
        <f>IF(OR($I133="",$E133=0),0,IF(OR($J133&lt;AB$3,$I133&gt;AB$2),0,IF($K133=0,IF(AND($I133&gt;=AB$3,$I133&lt;=AB$2),$E133,0),$E133*NETWORKDAYS(MAX($I133,AB$3),MIN($J133,AB$2),Data!$K$4:$K$203)/$K133)))</f>
        <v>0</v>
      </c>
      <c r="AC133" s="166">
        <f>IF(OR($I133="",$E133=0),0,IF(OR($J133&lt;AC$3,$I133&gt;AC$2),0,IF($K133=0,IF(AND($I133&gt;=AC$3,$I133&lt;=AC$2),$E133,0),$E133*NETWORKDAYS(MAX($I133,AC$3),MIN($J133,AC$2),Data!$K$4:$K$203)/$K133)))</f>
        <v>0</v>
      </c>
      <c r="AD133" s="166">
        <f>IF(OR($I133="",$E133=0),0,IF(OR($J133&lt;AD$3,$I133&gt;AD$2),0,IF($K133=0,IF(AND($I133&gt;=AD$3,$I133&lt;=AD$2),$E133,0),$E133*NETWORKDAYS(MAX($I133,AD$3),MIN($J133,AD$2),Data!$K$4:$K$203)/$K133)))</f>
        <v>0</v>
      </c>
      <c r="AE133" s="166">
        <f>IF(OR($I133="",$E133=0),0,IF(OR($J133&lt;AE$3,$I133&gt;AE$2),0,IF($K133=0,IF(AND($I133&gt;=AE$3,$I133&lt;=AE$2),$E133,0),$E133*NETWORKDAYS(MAX($I133,AE$3),MIN($J133,AE$2),Data!$K$4:$K$203)/$K133)))</f>
        <v>0</v>
      </c>
      <c r="AF133" s="166">
        <f>IF(OR($I133="",$E133=0),0,IF(OR($J133&lt;AF$3,$I133&gt;AF$2),0,IF($K133=0,IF(AND($I133&gt;=AF$3,$I133&lt;=AF$2),$E133,0),$E133*NETWORKDAYS(MAX($I133,AF$3),MIN($J133,AF$2),Data!$K$4:$K$203)/$K133)))</f>
        <v>0</v>
      </c>
      <c r="AG133" s="166">
        <f>IF(OR($I133="",$E133=0),0,IF(OR($J133&lt;AG$3,$I133&gt;AG$2),0,IF($K133=0,IF(AND($I133&gt;=AG$3,$I133&lt;=AG$2),$E133,0),$E133*NETWORKDAYS(MAX($I133,AG$3),MIN($J133,AG$2),Data!$K$4:$K$203)/$K133)))</f>
        <v>0</v>
      </c>
      <c r="AH133" s="166">
        <f>IF(OR($I133="",$E133=0),0,IF(OR($J133&lt;AH$3,$I133&gt;AH$2),0,IF($K133=0,IF(AND($I133&gt;=AH$3,$I133&lt;=AH$2),$E133,0),$E133*NETWORKDAYS(MAX($I133,AH$3),MIN($J133,AH$2),Data!$K$4:$K$203)/$K133)))</f>
        <v>0</v>
      </c>
      <c r="AI133" s="166">
        <f>SUM(W133:AH133)</f>
        <v>0</v>
      </c>
      <c r="BZ133" t="str">
        <f>IF(D133=1,IF(TRIM(INDEX(Charge!$K:$K,ROW()))&lt;&gt;"",TRIM(INDEX(Charge!$K:$K,ROW())),IF(TRIM(INDEX(Charge!$L:$L,ROW()))&lt;&gt;"",TRIM(INDEX(Charge!$L:$L,ROW())),"(non affecté)")),"")</f>
        <v/>
      </c>
      <c r="CA133" t="str">
        <f>IF(AND($CD$4&lt;&gt;"",BZ133=$CD$4),COUNTIFS($BZ$4:$BZ$503,$CD$4,$L$4:$L$503,"&lt;"&amp;L133)+1,"")</f>
        <v/>
      </c>
      <c r="EJ133" t="str">
        <f>TRIM(INDEX(Data!$E:$E,ROW()))</f>
        <v/>
      </c>
      <c r="EK133" t="str">
        <f>TRIM(INDEX(Data!$H:$H,ROW()))</f>
        <v/>
      </c>
      <c r="EM133" t="str">
        <f>IF(D133=1,IF(TRIM(INDEX(Charge!$K:$K,ROW()))&lt;&gt;"","Interne",IF(TRIM(INDEX(Charge!$L:$L,ROW()))&lt;&gt;"","Externe","Non affecté")),"")</f>
        <v/>
      </c>
      <c r="EN133" t="str">
        <f>IF(D133=1,LEFT(SUBSTITUTE(SUBSTITUTE(SUBSTITUTE(TRIM(SUBSTITUTE(INDEX(Charge!$B:$B,ROW()),CHAR(160)," "))&amp;" | "&amp;TRIM(SUBSTITUTE(INDEX(Charge!$C:$C,ROW()),CHAR(160)," "))&amp;" | "&amp;TRIM(SUBSTITUTE(INDEX(Charge!$D:$D,ROW()),CHAR(160)," ")),"~","-"),"*","+"),"?","!"),240),"")</f>
        <v/>
      </c>
      <c r="EO133">
        <f>IF(EN133="",0,IF(COUNTIF($EN$4:EN133,EN133)=1,1,0))</f>
        <v>0</v>
      </c>
      <c r="EP133" s="166" t="str">
        <f>IF(EO133=1,ROUND(SUMIF($EN$4:$EN$503,EN133,$E$4:$E$503),2),"")</f>
        <v/>
      </c>
      <c r="EQ133" t="str">
        <f>IF(EO133=1,COUNTIFS($EO$4:$EO$503,1,$EP$4:$EP$503,"&gt;"&amp;EP133)+COUNTIFS($EO$4:EO133,1,$EP$4:EP133,EP133),"")</f>
        <v/>
      </c>
      <c r="ER133" t="str">
        <f>IF(EO133=1,COUNTIFS($EN$4:$EN$503,EN133,$EM$4:$EM$503,"Interne",$FE$4:$FE$503,1),"")</f>
        <v/>
      </c>
      <c r="ES133" t="str">
        <f>IF(EO133=1,COUNTIFS($EN$4:$EN$503,EN133,$EM$4:$EM$503,"Externe",$FE$4:$FE$503,1),"")</f>
        <v/>
      </c>
      <c r="ET133" t="str">
        <f>IF(EO133=1,IF(ER133+ES133=0,"à affecter",IF(ER133=0,ES133&amp;" ext.",(ER133+ES133)&amp;IF(ES133&gt;0," dont "&amp;ES133&amp;" ext.",""))&amp;IF(COUNTIFS($EN$4:$EN$503,EN133,$EM$4:$EM$503,"Non affecté")&gt;0," + à affecter","")),"")</f>
        <v/>
      </c>
      <c r="EU133" s="170" t="str">
        <f>IF(EO133=1,IF(EP133&gt;0,SUMPRODUCT(($EN$4:$EN$503=EN133)*$E$4:$E$503*$C$4:$C$503)/EP133,AVERAGEIF($EN$4:$EN$503,EN133,$C$4:$C$503)),"")</f>
        <v/>
      </c>
      <c r="EV133" s="165">
        <f>IF(ISNUMBER(I133),I133,2958465)</f>
        <v>2958465.0</v>
      </c>
      <c r="EW133" s="165" t="str">
        <f>IF(EO133=1,SUMPRODUCT(MIN(($EN$4:$EN$503=EN133)*$EV$4:$EV$503+($EN$4:$EN$503&lt;&gt;EN133)*2958465)),"")</f>
        <v/>
      </c>
      <c r="EX133" s="165">
        <f>IF(AND(D133=1,ISNUMBER(INDEX(Charge!$F:$F,ROW()))),INDEX(Charge!$F:$F,ROW()),0)</f>
        <v>0.0</v>
      </c>
      <c r="EY133" s="165" t="str">
        <f>IF(EO133=1,SUMPRODUCT(MAX(($EN$4:$EN$503=EN133)*$EX$4:$EX$503)),"")</f>
        <v/>
      </c>
      <c r="FA133" t="str">
        <f>IF(130&lt;=$CD$23,INDEX($EJ$4:$EJ$203,130),IF(130-$CD$23&lt;=$CD$26,INDEX($EK$4:$EK$203,130-$CD$23),""))</f>
        <v/>
      </c>
      <c r="FB133" t="str">
        <f>IF(FA133="","",IF(130&lt;=$CD$23,"Interne","Externe"))</f>
        <v/>
      </c>
      <c r="FD133">
        <f>IF(AND(B133=1,TRIM(INDEX(Charge!$K:$K,ROW()))&lt;&gt;"",TRIM(INDEX(Charge!$L:$L,ROW()))&lt;&gt;""),1,0)</f>
        <v>0</v>
      </c>
      <c r="FE133">
        <f>IF(OR(EN133="",BZ133="(non affecté)"),0,IF(COUNTIFS($EN$4:EN133,EN133,$BZ$4:BZ133,BZ133)=1,1,0))</f>
        <v>0</v>
      </c>
    </row>
    <row r="134">
      <c r="A134">
        <f>ROW()</f>
        <v>134</v>
      </c>
      <c r="B134">
        <f>IF(TRIM(INDEX(Charge!$B:$B,ROW()))&lt;&gt;"",1,0)</f>
        <v>0</v>
      </c>
      <c r="C134">
        <f>IF(B134=1,MIN(1,MAX(0,N(INDEX(Charge!$O:$O,ROW())))),0)</f>
        <v>0</v>
      </c>
      <c r="D134">
        <f>IF(B134=1,IF(OR(p_Perimetre="Tous les projets",C134&lt;1),1,0),0)</f>
        <v>0</v>
      </c>
      <c r="E134">
        <f>IF(D134=1,MAX(0,N(INDEX(Charge!$M:$M,ROW()))),0)</f>
        <v>0</v>
      </c>
      <c r="F134" t="str">
        <f>IF(D134=1,IF(TRIM(INDEX(Charge!$A:$A,ROW()))="","(non renseigné)",TRIM(INDEX(Charge!$A:$A,ROW()))),"")</f>
        <v/>
      </c>
      <c r="G134" t="str">
        <f>IF(D134=1,TRIM(INDEX(Charge!$B:$B,ROW())),"")</f>
        <v/>
      </c>
      <c r="H134" t="str">
        <f>IF(D134=1,IF(TRIM(INDEX(Charge!$E:$E,ROW()))="","(non renseigné)",TRIM(INDEX(Charge!$E:$E,ROW()))),"")</f>
        <v/>
      </c>
      <c r="I134" s="165" t="str">
        <f>IF(AND(D134=1,ISNUMBER(INDEX(Charge!$N:$N,ROW()))),INDEX(Charge!$N:$N,ROW()),"")</f>
        <v/>
      </c>
      <c r="J134" s="165" t="str">
        <f>IF(I134="","",IF(AND(p_Repartition="Lissée jusqu'à la date de besoin",ISNUMBER(INDEX(Charge!$F:$F,ROW()))),IF(INDEX(Charge!$F:$F,ROW())&gt;=I134,INDEX(Charge!$F:$F,ROW()),I134),I134))</f>
        <v/>
      </c>
      <c r="K134" t="str">
        <f>IF(I134="","",NETWORKDAYS(I134,J134,Data!$K$4:$K$203))</f>
        <v/>
      </c>
      <c r="L134" t="str">
        <f>IF(D134=1,COUNTIFS($D$4:$D$503,1,$E$4:$E$503,"&gt;"&amp;E134)+COUNTIFS($D$4:$D134,1,$E$4:$E134,E134),"")</f>
        <v/>
      </c>
      <c r="M134">
        <f>IF(F134="",0,IF(COUNTIF($F$4:F134,F134)=1,1,0))</f>
        <v>0</v>
      </c>
      <c r="N134" t="str">
        <f>IF(M134=1,ROUND(SUMIF($F$4:$F$503,F134,$E$4:$E$503),2),"")</f>
        <v/>
      </c>
      <c r="O134" t="str">
        <f>IF(M134=1,COUNTIFS($M$4:$M$503,1,$N$4:$N$503,"&gt;"&amp;N134)+COUNTIFS($M$4:M134,1,$N$4:N134,N134),"")</f>
        <v/>
      </c>
      <c r="P134">
        <f>IF(G134="",0,IF(COUNTIF($G$4:G134,G134)=1,1,0))</f>
        <v>0</v>
      </c>
      <c r="Q134" t="str">
        <f>IF(P134=1,ROUND(SUMIF($G$4:$G$503,G134,$E$4:$E$503),2),"")</f>
        <v/>
      </c>
      <c r="R134" t="str">
        <f>IF(P134=1,COUNTIFS($P$4:$P$503,1,$Q$4:$Q$503,"&gt;"&amp;Q134)+COUNTIFS($P$4:P134,1,$Q$4:Q134,Q134),"")</f>
        <v/>
      </c>
      <c r="S134">
        <f>IF(H134="",0,IF(COUNTIF($H$4:H134,H134)=1,1,0))</f>
        <v>0</v>
      </c>
      <c r="T134" t="str">
        <f>IF(S134=1,ROUND(SUMIF($H$4:$H$503,H134,$E$4:$E$503),2),"")</f>
        <v/>
      </c>
      <c r="U134" t="str">
        <f>IF(S134=1,COUNTIFS($S$4:$S$503,1,$T$4:$T$503,"&gt;"&amp;T134)+COUNTIFS($S$4:S134,1,$T$4:T134,T134),"")</f>
        <v/>
      </c>
      <c r="V134" t="str">
        <f>IF(D134=1,MIN(INDEX($R$4:$R$503,MATCH(G134,$G$4:$G$503,0)),IF($AL$7&gt;9,9,999)),"")</f>
        <v/>
      </c>
      <c r="W134" s="166">
        <f>IF(OR($I134="",$E134=0),0,IF(OR($J134&lt;W$3,$I134&gt;W$2),0,IF($K134=0,IF(AND($I134&gt;=W$3,$I134&lt;=W$2),$E134,0),$E134*NETWORKDAYS(MAX($I134,W$3),MIN($J134,W$2),Data!$K$4:$K$203)/$K134)))</f>
        <v>0</v>
      </c>
      <c r="X134" s="166">
        <f>IF(OR($I134="",$E134=0),0,IF(OR($J134&lt;X$3,$I134&gt;X$2),0,IF($K134=0,IF(AND($I134&gt;=X$3,$I134&lt;=X$2),$E134,0),$E134*NETWORKDAYS(MAX($I134,X$3),MIN($J134,X$2),Data!$K$4:$K$203)/$K134)))</f>
        <v>0</v>
      </c>
      <c r="Y134" s="166">
        <f>IF(OR($I134="",$E134=0),0,IF(OR($J134&lt;Y$3,$I134&gt;Y$2),0,IF($K134=0,IF(AND($I134&gt;=Y$3,$I134&lt;=Y$2),$E134,0),$E134*NETWORKDAYS(MAX($I134,Y$3),MIN($J134,Y$2),Data!$K$4:$K$203)/$K134)))</f>
        <v>0</v>
      </c>
      <c r="Z134" s="166">
        <f>IF(OR($I134="",$E134=0),0,IF(OR($J134&lt;Z$3,$I134&gt;Z$2),0,IF($K134=0,IF(AND($I134&gt;=Z$3,$I134&lt;=Z$2),$E134,0),$E134*NETWORKDAYS(MAX($I134,Z$3),MIN($J134,Z$2),Data!$K$4:$K$203)/$K134)))</f>
        <v>0</v>
      </c>
      <c r="AA134" s="166">
        <f>IF(OR($I134="",$E134=0),0,IF(OR($J134&lt;AA$3,$I134&gt;AA$2),0,IF($K134=0,IF(AND($I134&gt;=AA$3,$I134&lt;=AA$2),$E134,0),$E134*NETWORKDAYS(MAX($I134,AA$3),MIN($J134,AA$2),Data!$K$4:$K$203)/$K134)))</f>
        <v>0</v>
      </c>
      <c r="AB134" s="166">
        <f>IF(OR($I134="",$E134=0),0,IF(OR($J134&lt;AB$3,$I134&gt;AB$2),0,IF($K134=0,IF(AND($I134&gt;=AB$3,$I134&lt;=AB$2),$E134,0),$E134*NETWORKDAYS(MAX($I134,AB$3),MIN($J134,AB$2),Data!$K$4:$K$203)/$K134)))</f>
        <v>0</v>
      </c>
      <c r="AC134" s="166">
        <f>IF(OR($I134="",$E134=0),0,IF(OR($J134&lt;AC$3,$I134&gt;AC$2),0,IF($K134=0,IF(AND($I134&gt;=AC$3,$I134&lt;=AC$2),$E134,0),$E134*NETWORKDAYS(MAX($I134,AC$3),MIN($J134,AC$2),Data!$K$4:$K$203)/$K134)))</f>
        <v>0</v>
      </c>
      <c r="AD134" s="166">
        <f>IF(OR($I134="",$E134=0),0,IF(OR($J134&lt;AD$3,$I134&gt;AD$2),0,IF($K134=0,IF(AND($I134&gt;=AD$3,$I134&lt;=AD$2),$E134,0),$E134*NETWORKDAYS(MAX($I134,AD$3),MIN($J134,AD$2),Data!$K$4:$K$203)/$K134)))</f>
        <v>0</v>
      </c>
      <c r="AE134" s="166">
        <f>IF(OR($I134="",$E134=0),0,IF(OR($J134&lt;AE$3,$I134&gt;AE$2),0,IF($K134=0,IF(AND($I134&gt;=AE$3,$I134&lt;=AE$2),$E134,0),$E134*NETWORKDAYS(MAX($I134,AE$3),MIN($J134,AE$2),Data!$K$4:$K$203)/$K134)))</f>
        <v>0</v>
      </c>
      <c r="AF134" s="166">
        <f>IF(OR($I134="",$E134=0),0,IF(OR($J134&lt;AF$3,$I134&gt;AF$2),0,IF($K134=0,IF(AND($I134&gt;=AF$3,$I134&lt;=AF$2),$E134,0),$E134*NETWORKDAYS(MAX($I134,AF$3),MIN($J134,AF$2),Data!$K$4:$K$203)/$K134)))</f>
        <v>0</v>
      </c>
      <c r="AG134" s="166">
        <f>IF(OR($I134="",$E134=0),0,IF(OR($J134&lt;AG$3,$I134&gt;AG$2),0,IF($K134=0,IF(AND($I134&gt;=AG$3,$I134&lt;=AG$2),$E134,0),$E134*NETWORKDAYS(MAX($I134,AG$3),MIN($J134,AG$2),Data!$K$4:$K$203)/$K134)))</f>
        <v>0</v>
      </c>
      <c r="AH134" s="166">
        <f>IF(OR($I134="",$E134=0),0,IF(OR($J134&lt;AH$3,$I134&gt;AH$2),0,IF($K134=0,IF(AND($I134&gt;=AH$3,$I134&lt;=AH$2),$E134,0),$E134*NETWORKDAYS(MAX($I134,AH$3),MIN($J134,AH$2),Data!$K$4:$K$203)/$K134)))</f>
        <v>0</v>
      </c>
      <c r="AI134" s="166">
        <f>SUM(W134:AH134)</f>
        <v>0</v>
      </c>
      <c r="BZ134" t="str">
        <f>IF(D134=1,IF(TRIM(INDEX(Charge!$K:$K,ROW()))&lt;&gt;"",TRIM(INDEX(Charge!$K:$K,ROW())),IF(TRIM(INDEX(Charge!$L:$L,ROW()))&lt;&gt;"",TRIM(INDEX(Charge!$L:$L,ROW())),"(non affecté)")),"")</f>
        <v/>
      </c>
      <c r="CA134" t="str">
        <f>IF(AND($CD$4&lt;&gt;"",BZ134=$CD$4),COUNTIFS($BZ$4:$BZ$503,$CD$4,$L$4:$L$503,"&lt;"&amp;L134)+1,"")</f>
        <v/>
      </c>
      <c r="EJ134" t="str">
        <f>TRIM(INDEX(Data!$E:$E,ROW()))</f>
        <v/>
      </c>
      <c r="EK134" t="str">
        <f>TRIM(INDEX(Data!$H:$H,ROW()))</f>
        <v/>
      </c>
      <c r="EM134" t="str">
        <f>IF(D134=1,IF(TRIM(INDEX(Charge!$K:$K,ROW()))&lt;&gt;"","Interne",IF(TRIM(INDEX(Charge!$L:$L,ROW()))&lt;&gt;"","Externe","Non affecté")),"")</f>
        <v/>
      </c>
      <c r="EN134" t="str">
        <f>IF(D134=1,LEFT(SUBSTITUTE(SUBSTITUTE(SUBSTITUTE(TRIM(SUBSTITUTE(INDEX(Charge!$B:$B,ROW()),CHAR(160)," "))&amp;" | "&amp;TRIM(SUBSTITUTE(INDEX(Charge!$C:$C,ROW()),CHAR(160)," "))&amp;" | "&amp;TRIM(SUBSTITUTE(INDEX(Charge!$D:$D,ROW()),CHAR(160)," ")),"~","-"),"*","+"),"?","!"),240),"")</f>
        <v/>
      </c>
      <c r="EO134">
        <f>IF(EN134="",0,IF(COUNTIF($EN$4:EN134,EN134)=1,1,0))</f>
        <v>0</v>
      </c>
      <c r="EP134" s="166" t="str">
        <f>IF(EO134=1,ROUND(SUMIF($EN$4:$EN$503,EN134,$E$4:$E$503),2),"")</f>
        <v/>
      </c>
      <c r="EQ134" t="str">
        <f>IF(EO134=1,COUNTIFS($EO$4:$EO$503,1,$EP$4:$EP$503,"&gt;"&amp;EP134)+COUNTIFS($EO$4:EO134,1,$EP$4:EP134,EP134),"")</f>
        <v/>
      </c>
      <c r="ER134" t="str">
        <f>IF(EO134=1,COUNTIFS($EN$4:$EN$503,EN134,$EM$4:$EM$503,"Interne",$FE$4:$FE$503,1),"")</f>
        <v/>
      </c>
      <c r="ES134" t="str">
        <f>IF(EO134=1,COUNTIFS($EN$4:$EN$503,EN134,$EM$4:$EM$503,"Externe",$FE$4:$FE$503,1),"")</f>
        <v/>
      </c>
      <c r="ET134" t="str">
        <f>IF(EO134=1,IF(ER134+ES134=0,"à affecter",IF(ER134=0,ES134&amp;" ext.",(ER134+ES134)&amp;IF(ES134&gt;0," dont "&amp;ES134&amp;" ext.",""))&amp;IF(COUNTIFS($EN$4:$EN$503,EN134,$EM$4:$EM$503,"Non affecté")&gt;0," + à affecter","")),"")</f>
        <v/>
      </c>
      <c r="EU134" s="170" t="str">
        <f>IF(EO134=1,IF(EP134&gt;0,SUMPRODUCT(($EN$4:$EN$503=EN134)*$E$4:$E$503*$C$4:$C$503)/EP134,AVERAGEIF($EN$4:$EN$503,EN134,$C$4:$C$503)),"")</f>
        <v/>
      </c>
      <c r="EV134" s="165">
        <f>IF(ISNUMBER(I134),I134,2958465)</f>
        <v>2958465.0</v>
      </c>
      <c r="EW134" s="165" t="str">
        <f>IF(EO134=1,SUMPRODUCT(MIN(($EN$4:$EN$503=EN134)*$EV$4:$EV$503+($EN$4:$EN$503&lt;&gt;EN134)*2958465)),"")</f>
        <v/>
      </c>
      <c r="EX134" s="165">
        <f>IF(AND(D134=1,ISNUMBER(INDEX(Charge!$F:$F,ROW()))),INDEX(Charge!$F:$F,ROW()),0)</f>
        <v>0.0</v>
      </c>
      <c r="EY134" s="165" t="str">
        <f>IF(EO134=1,SUMPRODUCT(MAX(($EN$4:$EN$503=EN134)*$EX$4:$EX$503)),"")</f>
        <v/>
      </c>
      <c r="FA134" t="str">
        <f>IF(131&lt;=$CD$23,INDEX($EJ$4:$EJ$203,131),IF(131-$CD$23&lt;=$CD$26,INDEX($EK$4:$EK$203,131-$CD$23),""))</f>
        <v/>
      </c>
      <c r="FB134" t="str">
        <f>IF(FA134="","",IF(131&lt;=$CD$23,"Interne","Externe"))</f>
        <v/>
      </c>
      <c r="FD134">
        <f>IF(AND(B134=1,TRIM(INDEX(Charge!$K:$K,ROW()))&lt;&gt;"",TRIM(INDEX(Charge!$L:$L,ROW()))&lt;&gt;""),1,0)</f>
        <v>0</v>
      </c>
      <c r="FE134">
        <f>IF(OR(EN134="",BZ134="(non affecté)"),0,IF(COUNTIFS($EN$4:EN134,EN134,$BZ$4:BZ134,BZ134)=1,1,0))</f>
        <v>0</v>
      </c>
    </row>
    <row r="135">
      <c r="A135">
        <f>ROW()</f>
        <v>135</v>
      </c>
      <c r="B135">
        <f>IF(TRIM(INDEX(Charge!$B:$B,ROW()))&lt;&gt;"",1,0)</f>
        <v>0</v>
      </c>
      <c r="C135">
        <f>IF(B135=1,MIN(1,MAX(0,N(INDEX(Charge!$O:$O,ROW())))),0)</f>
        <v>0</v>
      </c>
      <c r="D135">
        <f>IF(B135=1,IF(OR(p_Perimetre="Tous les projets",C135&lt;1),1,0),0)</f>
        <v>0</v>
      </c>
      <c r="E135">
        <f>IF(D135=1,MAX(0,N(INDEX(Charge!$M:$M,ROW()))),0)</f>
        <v>0</v>
      </c>
      <c r="F135" t="str">
        <f>IF(D135=1,IF(TRIM(INDEX(Charge!$A:$A,ROW()))="","(non renseigné)",TRIM(INDEX(Charge!$A:$A,ROW()))),"")</f>
        <v/>
      </c>
      <c r="G135" t="str">
        <f>IF(D135=1,TRIM(INDEX(Charge!$B:$B,ROW())),"")</f>
        <v/>
      </c>
      <c r="H135" t="str">
        <f>IF(D135=1,IF(TRIM(INDEX(Charge!$E:$E,ROW()))="","(non renseigné)",TRIM(INDEX(Charge!$E:$E,ROW()))),"")</f>
        <v/>
      </c>
      <c r="I135" s="165" t="str">
        <f>IF(AND(D135=1,ISNUMBER(INDEX(Charge!$N:$N,ROW()))),INDEX(Charge!$N:$N,ROW()),"")</f>
        <v/>
      </c>
      <c r="J135" s="165" t="str">
        <f>IF(I135="","",IF(AND(p_Repartition="Lissée jusqu'à la date de besoin",ISNUMBER(INDEX(Charge!$F:$F,ROW()))),IF(INDEX(Charge!$F:$F,ROW())&gt;=I135,INDEX(Charge!$F:$F,ROW()),I135),I135))</f>
        <v/>
      </c>
      <c r="K135" t="str">
        <f>IF(I135="","",NETWORKDAYS(I135,J135,Data!$K$4:$K$203))</f>
        <v/>
      </c>
      <c r="L135" t="str">
        <f>IF(D135=1,COUNTIFS($D$4:$D$503,1,$E$4:$E$503,"&gt;"&amp;E135)+COUNTIFS($D$4:$D135,1,$E$4:$E135,E135),"")</f>
        <v/>
      </c>
      <c r="M135">
        <f>IF(F135="",0,IF(COUNTIF($F$4:F135,F135)=1,1,0))</f>
        <v>0</v>
      </c>
      <c r="N135" t="str">
        <f>IF(M135=1,ROUND(SUMIF($F$4:$F$503,F135,$E$4:$E$503),2),"")</f>
        <v/>
      </c>
      <c r="O135" t="str">
        <f>IF(M135=1,COUNTIFS($M$4:$M$503,1,$N$4:$N$503,"&gt;"&amp;N135)+COUNTIFS($M$4:M135,1,$N$4:N135,N135),"")</f>
        <v/>
      </c>
      <c r="P135">
        <f>IF(G135="",0,IF(COUNTIF($G$4:G135,G135)=1,1,0))</f>
        <v>0</v>
      </c>
      <c r="Q135" t="str">
        <f>IF(P135=1,ROUND(SUMIF($G$4:$G$503,G135,$E$4:$E$503),2),"")</f>
        <v/>
      </c>
      <c r="R135" t="str">
        <f>IF(P135=1,COUNTIFS($P$4:$P$503,1,$Q$4:$Q$503,"&gt;"&amp;Q135)+COUNTIFS($P$4:P135,1,$Q$4:Q135,Q135),"")</f>
        <v/>
      </c>
      <c r="S135">
        <f>IF(H135="",0,IF(COUNTIF($H$4:H135,H135)=1,1,0))</f>
        <v>0</v>
      </c>
      <c r="T135" t="str">
        <f>IF(S135=1,ROUND(SUMIF($H$4:$H$503,H135,$E$4:$E$503),2),"")</f>
        <v/>
      </c>
      <c r="U135" t="str">
        <f>IF(S135=1,COUNTIFS($S$4:$S$503,1,$T$4:$T$503,"&gt;"&amp;T135)+COUNTIFS($S$4:S135,1,$T$4:T135,T135),"")</f>
        <v/>
      </c>
      <c r="V135" t="str">
        <f>IF(D135=1,MIN(INDEX($R$4:$R$503,MATCH(G135,$G$4:$G$503,0)),IF($AL$7&gt;9,9,999)),"")</f>
        <v/>
      </c>
      <c r="W135" s="166">
        <f>IF(OR($I135="",$E135=0),0,IF(OR($J135&lt;W$3,$I135&gt;W$2),0,IF($K135=0,IF(AND($I135&gt;=W$3,$I135&lt;=W$2),$E135,0),$E135*NETWORKDAYS(MAX($I135,W$3),MIN($J135,W$2),Data!$K$4:$K$203)/$K135)))</f>
        <v>0</v>
      </c>
      <c r="X135" s="166">
        <f>IF(OR($I135="",$E135=0),0,IF(OR($J135&lt;X$3,$I135&gt;X$2),0,IF($K135=0,IF(AND($I135&gt;=X$3,$I135&lt;=X$2),$E135,0),$E135*NETWORKDAYS(MAX($I135,X$3),MIN($J135,X$2),Data!$K$4:$K$203)/$K135)))</f>
        <v>0</v>
      </c>
      <c r="Y135" s="166">
        <f>IF(OR($I135="",$E135=0),0,IF(OR($J135&lt;Y$3,$I135&gt;Y$2),0,IF($K135=0,IF(AND($I135&gt;=Y$3,$I135&lt;=Y$2),$E135,0),$E135*NETWORKDAYS(MAX($I135,Y$3),MIN($J135,Y$2),Data!$K$4:$K$203)/$K135)))</f>
        <v>0</v>
      </c>
      <c r="Z135" s="166">
        <f>IF(OR($I135="",$E135=0),0,IF(OR($J135&lt;Z$3,$I135&gt;Z$2),0,IF($K135=0,IF(AND($I135&gt;=Z$3,$I135&lt;=Z$2),$E135,0),$E135*NETWORKDAYS(MAX($I135,Z$3),MIN($J135,Z$2),Data!$K$4:$K$203)/$K135)))</f>
        <v>0</v>
      </c>
      <c r="AA135" s="166">
        <f>IF(OR($I135="",$E135=0),0,IF(OR($J135&lt;AA$3,$I135&gt;AA$2),0,IF($K135=0,IF(AND($I135&gt;=AA$3,$I135&lt;=AA$2),$E135,0),$E135*NETWORKDAYS(MAX($I135,AA$3),MIN($J135,AA$2),Data!$K$4:$K$203)/$K135)))</f>
        <v>0</v>
      </c>
      <c r="AB135" s="166">
        <f>IF(OR($I135="",$E135=0),0,IF(OR($J135&lt;AB$3,$I135&gt;AB$2),0,IF($K135=0,IF(AND($I135&gt;=AB$3,$I135&lt;=AB$2),$E135,0),$E135*NETWORKDAYS(MAX($I135,AB$3),MIN($J135,AB$2),Data!$K$4:$K$203)/$K135)))</f>
        <v>0</v>
      </c>
      <c r="AC135" s="166">
        <f>IF(OR($I135="",$E135=0),0,IF(OR($J135&lt;AC$3,$I135&gt;AC$2),0,IF($K135=0,IF(AND($I135&gt;=AC$3,$I135&lt;=AC$2),$E135,0),$E135*NETWORKDAYS(MAX($I135,AC$3),MIN($J135,AC$2),Data!$K$4:$K$203)/$K135)))</f>
        <v>0</v>
      </c>
      <c r="AD135" s="166">
        <f>IF(OR($I135="",$E135=0),0,IF(OR($J135&lt;AD$3,$I135&gt;AD$2),0,IF($K135=0,IF(AND($I135&gt;=AD$3,$I135&lt;=AD$2),$E135,0),$E135*NETWORKDAYS(MAX($I135,AD$3),MIN($J135,AD$2),Data!$K$4:$K$203)/$K135)))</f>
        <v>0</v>
      </c>
      <c r="AE135" s="166">
        <f>IF(OR($I135="",$E135=0),0,IF(OR($J135&lt;AE$3,$I135&gt;AE$2),0,IF($K135=0,IF(AND($I135&gt;=AE$3,$I135&lt;=AE$2),$E135,0),$E135*NETWORKDAYS(MAX($I135,AE$3),MIN($J135,AE$2),Data!$K$4:$K$203)/$K135)))</f>
        <v>0</v>
      </c>
      <c r="AF135" s="166">
        <f>IF(OR($I135="",$E135=0),0,IF(OR($J135&lt;AF$3,$I135&gt;AF$2),0,IF($K135=0,IF(AND($I135&gt;=AF$3,$I135&lt;=AF$2),$E135,0),$E135*NETWORKDAYS(MAX($I135,AF$3),MIN($J135,AF$2),Data!$K$4:$K$203)/$K135)))</f>
        <v>0</v>
      </c>
      <c r="AG135" s="166">
        <f>IF(OR($I135="",$E135=0),0,IF(OR($J135&lt;AG$3,$I135&gt;AG$2),0,IF($K135=0,IF(AND($I135&gt;=AG$3,$I135&lt;=AG$2),$E135,0),$E135*NETWORKDAYS(MAX($I135,AG$3),MIN($J135,AG$2),Data!$K$4:$K$203)/$K135)))</f>
        <v>0</v>
      </c>
      <c r="AH135" s="166">
        <f>IF(OR($I135="",$E135=0),0,IF(OR($J135&lt;AH$3,$I135&gt;AH$2),0,IF($K135=0,IF(AND($I135&gt;=AH$3,$I135&lt;=AH$2),$E135,0),$E135*NETWORKDAYS(MAX($I135,AH$3),MIN($J135,AH$2),Data!$K$4:$K$203)/$K135)))</f>
        <v>0</v>
      </c>
      <c r="AI135" s="166">
        <f>SUM(W135:AH135)</f>
        <v>0</v>
      </c>
      <c r="BZ135" t="str">
        <f>IF(D135=1,IF(TRIM(INDEX(Charge!$K:$K,ROW()))&lt;&gt;"",TRIM(INDEX(Charge!$K:$K,ROW())),IF(TRIM(INDEX(Charge!$L:$L,ROW()))&lt;&gt;"",TRIM(INDEX(Charge!$L:$L,ROW())),"(non affecté)")),"")</f>
        <v/>
      </c>
      <c r="CA135" t="str">
        <f>IF(AND($CD$4&lt;&gt;"",BZ135=$CD$4),COUNTIFS($BZ$4:$BZ$503,$CD$4,$L$4:$L$503,"&lt;"&amp;L135)+1,"")</f>
        <v/>
      </c>
      <c r="EJ135" t="str">
        <f>TRIM(INDEX(Data!$E:$E,ROW()))</f>
        <v/>
      </c>
      <c r="EK135" t="str">
        <f>TRIM(INDEX(Data!$H:$H,ROW()))</f>
        <v/>
      </c>
      <c r="EM135" t="str">
        <f>IF(D135=1,IF(TRIM(INDEX(Charge!$K:$K,ROW()))&lt;&gt;"","Interne",IF(TRIM(INDEX(Charge!$L:$L,ROW()))&lt;&gt;"","Externe","Non affecté")),"")</f>
        <v/>
      </c>
      <c r="EN135" t="str">
        <f>IF(D135=1,LEFT(SUBSTITUTE(SUBSTITUTE(SUBSTITUTE(TRIM(SUBSTITUTE(INDEX(Charge!$B:$B,ROW()),CHAR(160)," "))&amp;" | "&amp;TRIM(SUBSTITUTE(INDEX(Charge!$C:$C,ROW()),CHAR(160)," "))&amp;" | "&amp;TRIM(SUBSTITUTE(INDEX(Charge!$D:$D,ROW()),CHAR(160)," ")),"~","-"),"*","+"),"?","!"),240),"")</f>
        <v/>
      </c>
      <c r="EO135">
        <f>IF(EN135="",0,IF(COUNTIF($EN$4:EN135,EN135)=1,1,0))</f>
        <v>0</v>
      </c>
      <c r="EP135" s="166" t="str">
        <f>IF(EO135=1,ROUND(SUMIF($EN$4:$EN$503,EN135,$E$4:$E$503),2),"")</f>
        <v/>
      </c>
      <c r="EQ135" t="str">
        <f>IF(EO135=1,COUNTIFS($EO$4:$EO$503,1,$EP$4:$EP$503,"&gt;"&amp;EP135)+COUNTIFS($EO$4:EO135,1,$EP$4:EP135,EP135),"")</f>
        <v/>
      </c>
      <c r="ER135" t="str">
        <f>IF(EO135=1,COUNTIFS($EN$4:$EN$503,EN135,$EM$4:$EM$503,"Interne",$FE$4:$FE$503,1),"")</f>
        <v/>
      </c>
      <c r="ES135" t="str">
        <f>IF(EO135=1,COUNTIFS($EN$4:$EN$503,EN135,$EM$4:$EM$503,"Externe",$FE$4:$FE$503,1),"")</f>
        <v/>
      </c>
      <c r="ET135" t="str">
        <f>IF(EO135=1,IF(ER135+ES135=0,"à affecter",IF(ER135=0,ES135&amp;" ext.",(ER135+ES135)&amp;IF(ES135&gt;0," dont "&amp;ES135&amp;" ext.",""))&amp;IF(COUNTIFS($EN$4:$EN$503,EN135,$EM$4:$EM$503,"Non affecté")&gt;0," + à affecter","")),"")</f>
        <v/>
      </c>
      <c r="EU135" s="170" t="str">
        <f>IF(EO135=1,IF(EP135&gt;0,SUMPRODUCT(($EN$4:$EN$503=EN135)*$E$4:$E$503*$C$4:$C$503)/EP135,AVERAGEIF($EN$4:$EN$503,EN135,$C$4:$C$503)),"")</f>
        <v/>
      </c>
      <c r="EV135" s="165">
        <f>IF(ISNUMBER(I135),I135,2958465)</f>
        <v>2958465.0</v>
      </c>
      <c r="EW135" s="165" t="str">
        <f>IF(EO135=1,SUMPRODUCT(MIN(($EN$4:$EN$503=EN135)*$EV$4:$EV$503+($EN$4:$EN$503&lt;&gt;EN135)*2958465)),"")</f>
        <v/>
      </c>
      <c r="EX135" s="165">
        <f>IF(AND(D135=1,ISNUMBER(INDEX(Charge!$F:$F,ROW()))),INDEX(Charge!$F:$F,ROW()),0)</f>
        <v>0.0</v>
      </c>
      <c r="EY135" s="165" t="str">
        <f>IF(EO135=1,SUMPRODUCT(MAX(($EN$4:$EN$503=EN135)*$EX$4:$EX$503)),"")</f>
        <v/>
      </c>
      <c r="FA135" t="str">
        <f>IF(132&lt;=$CD$23,INDEX($EJ$4:$EJ$203,132),IF(132-$CD$23&lt;=$CD$26,INDEX($EK$4:$EK$203,132-$CD$23),""))</f>
        <v/>
      </c>
      <c r="FB135" t="str">
        <f>IF(FA135="","",IF(132&lt;=$CD$23,"Interne","Externe"))</f>
        <v/>
      </c>
      <c r="FD135">
        <f>IF(AND(B135=1,TRIM(INDEX(Charge!$K:$K,ROW()))&lt;&gt;"",TRIM(INDEX(Charge!$L:$L,ROW()))&lt;&gt;""),1,0)</f>
        <v>0</v>
      </c>
      <c r="FE135">
        <f>IF(OR(EN135="",BZ135="(non affecté)"),0,IF(COUNTIFS($EN$4:EN135,EN135,$BZ$4:BZ135,BZ135)=1,1,0))</f>
        <v>0</v>
      </c>
    </row>
    <row r="136">
      <c r="A136">
        <f>ROW()</f>
        <v>136</v>
      </c>
      <c r="B136">
        <f>IF(TRIM(INDEX(Charge!$B:$B,ROW()))&lt;&gt;"",1,0)</f>
        <v>0</v>
      </c>
      <c r="C136">
        <f>IF(B136=1,MIN(1,MAX(0,N(INDEX(Charge!$O:$O,ROW())))),0)</f>
        <v>0</v>
      </c>
      <c r="D136">
        <f>IF(B136=1,IF(OR(p_Perimetre="Tous les projets",C136&lt;1),1,0),0)</f>
        <v>0</v>
      </c>
      <c r="E136">
        <f>IF(D136=1,MAX(0,N(INDEX(Charge!$M:$M,ROW()))),0)</f>
        <v>0</v>
      </c>
      <c r="F136" t="str">
        <f>IF(D136=1,IF(TRIM(INDEX(Charge!$A:$A,ROW()))="","(non renseigné)",TRIM(INDEX(Charge!$A:$A,ROW()))),"")</f>
        <v/>
      </c>
      <c r="G136" t="str">
        <f>IF(D136=1,TRIM(INDEX(Charge!$B:$B,ROW())),"")</f>
        <v/>
      </c>
      <c r="H136" t="str">
        <f>IF(D136=1,IF(TRIM(INDEX(Charge!$E:$E,ROW()))="","(non renseigné)",TRIM(INDEX(Charge!$E:$E,ROW()))),"")</f>
        <v/>
      </c>
      <c r="I136" s="165" t="str">
        <f>IF(AND(D136=1,ISNUMBER(INDEX(Charge!$N:$N,ROW()))),INDEX(Charge!$N:$N,ROW()),"")</f>
        <v/>
      </c>
      <c r="J136" s="165" t="str">
        <f>IF(I136="","",IF(AND(p_Repartition="Lissée jusqu'à la date de besoin",ISNUMBER(INDEX(Charge!$F:$F,ROW()))),IF(INDEX(Charge!$F:$F,ROW())&gt;=I136,INDEX(Charge!$F:$F,ROW()),I136),I136))</f>
        <v/>
      </c>
      <c r="K136" t="str">
        <f>IF(I136="","",NETWORKDAYS(I136,J136,Data!$K$4:$K$203))</f>
        <v/>
      </c>
      <c r="L136" t="str">
        <f>IF(D136=1,COUNTIFS($D$4:$D$503,1,$E$4:$E$503,"&gt;"&amp;E136)+COUNTIFS($D$4:$D136,1,$E$4:$E136,E136),"")</f>
        <v/>
      </c>
      <c r="M136">
        <f>IF(F136="",0,IF(COUNTIF($F$4:F136,F136)=1,1,0))</f>
        <v>0</v>
      </c>
      <c r="N136" t="str">
        <f>IF(M136=1,ROUND(SUMIF($F$4:$F$503,F136,$E$4:$E$503),2),"")</f>
        <v/>
      </c>
      <c r="O136" t="str">
        <f>IF(M136=1,COUNTIFS($M$4:$M$503,1,$N$4:$N$503,"&gt;"&amp;N136)+COUNTIFS($M$4:M136,1,$N$4:N136,N136),"")</f>
        <v/>
      </c>
      <c r="P136">
        <f>IF(G136="",0,IF(COUNTIF($G$4:G136,G136)=1,1,0))</f>
        <v>0</v>
      </c>
      <c r="Q136" t="str">
        <f>IF(P136=1,ROUND(SUMIF($G$4:$G$503,G136,$E$4:$E$503),2),"")</f>
        <v/>
      </c>
      <c r="R136" t="str">
        <f>IF(P136=1,COUNTIFS($P$4:$P$503,1,$Q$4:$Q$503,"&gt;"&amp;Q136)+COUNTIFS($P$4:P136,1,$Q$4:Q136,Q136),"")</f>
        <v/>
      </c>
      <c r="S136">
        <f>IF(H136="",0,IF(COUNTIF($H$4:H136,H136)=1,1,0))</f>
        <v>0</v>
      </c>
      <c r="T136" t="str">
        <f>IF(S136=1,ROUND(SUMIF($H$4:$H$503,H136,$E$4:$E$503),2),"")</f>
        <v/>
      </c>
      <c r="U136" t="str">
        <f>IF(S136=1,COUNTIFS($S$4:$S$503,1,$T$4:$T$503,"&gt;"&amp;T136)+COUNTIFS($S$4:S136,1,$T$4:T136,T136),"")</f>
        <v/>
      </c>
      <c r="V136" t="str">
        <f>IF(D136=1,MIN(INDEX($R$4:$R$503,MATCH(G136,$G$4:$G$503,0)),IF($AL$7&gt;9,9,999)),"")</f>
        <v/>
      </c>
      <c r="W136" s="166">
        <f>IF(OR($I136="",$E136=0),0,IF(OR($J136&lt;W$3,$I136&gt;W$2),0,IF($K136=0,IF(AND($I136&gt;=W$3,$I136&lt;=W$2),$E136,0),$E136*NETWORKDAYS(MAX($I136,W$3),MIN($J136,W$2),Data!$K$4:$K$203)/$K136)))</f>
        <v>0</v>
      </c>
      <c r="X136" s="166">
        <f>IF(OR($I136="",$E136=0),0,IF(OR($J136&lt;X$3,$I136&gt;X$2),0,IF($K136=0,IF(AND($I136&gt;=X$3,$I136&lt;=X$2),$E136,0),$E136*NETWORKDAYS(MAX($I136,X$3),MIN($J136,X$2),Data!$K$4:$K$203)/$K136)))</f>
        <v>0</v>
      </c>
      <c r="Y136" s="166">
        <f>IF(OR($I136="",$E136=0),0,IF(OR($J136&lt;Y$3,$I136&gt;Y$2),0,IF($K136=0,IF(AND($I136&gt;=Y$3,$I136&lt;=Y$2),$E136,0),$E136*NETWORKDAYS(MAX($I136,Y$3),MIN($J136,Y$2),Data!$K$4:$K$203)/$K136)))</f>
        <v>0</v>
      </c>
      <c r="Z136" s="166">
        <f>IF(OR($I136="",$E136=0),0,IF(OR($J136&lt;Z$3,$I136&gt;Z$2),0,IF($K136=0,IF(AND($I136&gt;=Z$3,$I136&lt;=Z$2),$E136,0),$E136*NETWORKDAYS(MAX($I136,Z$3),MIN($J136,Z$2),Data!$K$4:$K$203)/$K136)))</f>
        <v>0</v>
      </c>
      <c r="AA136" s="166">
        <f>IF(OR($I136="",$E136=0),0,IF(OR($J136&lt;AA$3,$I136&gt;AA$2),0,IF($K136=0,IF(AND($I136&gt;=AA$3,$I136&lt;=AA$2),$E136,0),$E136*NETWORKDAYS(MAX($I136,AA$3),MIN($J136,AA$2),Data!$K$4:$K$203)/$K136)))</f>
        <v>0</v>
      </c>
      <c r="AB136" s="166">
        <f>IF(OR($I136="",$E136=0),0,IF(OR($J136&lt;AB$3,$I136&gt;AB$2),0,IF($K136=0,IF(AND($I136&gt;=AB$3,$I136&lt;=AB$2),$E136,0),$E136*NETWORKDAYS(MAX($I136,AB$3),MIN($J136,AB$2),Data!$K$4:$K$203)/$K136)))</f>
        <v>0</v>
      </c>
      <c r="AC136" s="166">
        <f>IF(OR($I136="",$E136=0),0,IF(OR($J136&lt;AC$3,$I136&gt;AC$2),0,IF($K136=0,IF(AND($I136&gt;=AC$3,$I136&lt;=AC$2),$E136,0),$E136*NETWORKDAYS(MAX($I136,AC$3),MIN($J136,AC$2),Data!$K$4:$K$203)/$K136)))</f>
        <v>0</v>
      </c>
      <c r="AD136" s="166">
        <f>IF(OR($I136="",$E136=0),0,IF(OR($J136&lt;AD$3,$I136&gt;AD$2),0,IF($K136=0,IF(AND($I136&gt;=AD$3,$I136&lt;=AD$2),$E136,0),$E136*NETWORKDAYS(MAX($I136,AD$3),MIN($J136,AD$2),Data!$K$4:$K$203)/$K136)))</f>
        <v>0</v>
      </c>
      <c r="AE136" s="166">
        <f>IF(OR($I136="",$E136=0),0,IF(OR($J136&lt;AE$3,$I136&gt;AE$2),0,IF($K136=0,IF(AND($I136&gt;=AE$3,$I136&lt;=AE$2),$E136,0),$E136*NETWORKDAYS(MAX($I136,AE$3),MIN($J136,AE$2),Data!$K$4:$K$203)/$K136)))</f>
        <v>0</v>
      </c>
      <c r="AF136" s="166">
        <f>IF(OR($I136="",$E136=0),0,IF(OR($J136&lt;AF$3,$I136&gt;AF$2),0,IF($K136=0,IF(AND($I136&gt;=AF$3,$I136&lt;=AF$2),$E136,0),$E136*NETWORKDAYS(MAX($I136,AF$3),MIN($J136,AF$2),Data!$K$4:$K$203)/$K136)))</f>
        <v>0</v>
      </c>
      <c r="AG136" s="166">
        <f>IF(OR($I136="",$E136=0),0,IF(OR($J136&lt;AG$3,$I136&gt;AG$2),0,IF($K136=0,IF(AND($I136&gt;=AG$3,$I136&lt;=AG$2),$E136,0),$E136*NETWORKDAYS(MAX($I136,AG$3),MIN($J136,AG$2),Data!$K$4:$K$203)/$K136)))</f>
        <v>0</v>
      </c>
      <c r="AH136" s="166">
        <f>IF(OR($I136="",$E136=0),0,IF(OR($J136&lt;AH$3,$I136&gt;AH$2),0,IF($K136=0,IF(AND($I136&gt;=AH$3,$I136&lt;=AH$2),$E136,0),$E136*NETWORKDAYS(MAX($I136,AH$3),MIN($J136,AH$2),Data!$K$4:$K$203)/$K136)))</f>
        <v>0</v>
      </c>
      <c r="AI136" s="166">
        <f>SUM(W136:AH136)</f>
        <v>0</v>
      </c>
      <c r="BZ136" t="str">
        <f>IF(D136=1,IF(TRIM(INDEX(Charge!$K:$K,ROW()))&lt;&gt;"",TRIM(INDEX(Charge!$K:$K,ROW())),IF(TRIM(INDEX(Charge!$L:$L,ROW()))&lt;&gt;"",TRIM(INDEX(Charge!$L:$L,ROW())),"(non affecté)")),"")</f>
        <v/>
      </c>
      <c r="CA136" t="str">
        <f>IF(AND($CD$4&lt;&gt;"",BZ136=$CD$4),COUNTIFS($BZ$4:$BZ$503,$CD$4,$L$4:$L$503,"&lt;"&amp;L136)+1,"")</f>
        <v/>
      </c>
      <c r="EJ136" t="str">
        <f>TRIM(INDEX(Data!$E:$E,ROW()))</f>
        <v/>
      </c>
      <c r="EK136" t="str">
        <f>TRIM(INDEX(Data!$H:$H,ROW()))</f>
        <v/>
      </c>
      <c r="EM136" t="str">
        <f>IF(D136=1,IF(TRIM(INDEX(Charge!$K:$K,ROW()))&lt;&gt;"","Interne",IF(TRIM(INDEX(Charge!$L:$L,ROW()))&lt;&gt;"","Externe","Non affecté")),"")</f>
        <v/>
      </c>
      <c r="EN136" t="str">
        <f>IF(D136=1,LEFT(SUBSTITUTE(SUBSTITUTE(SUBSTITUTE(TRIM(SUBSTITUTE(INDEX(Charge!$B:$B,ROW()),CHAR(160)," "))&amp;" | "&amp;TRIM(SUBSTITUTE(INDEX(Charge!$C:$C,ROW()),CHAR(160)," "))&amp;" | "&amp;TRIM(SUBSTITUTE(INDEX(Charge!$D:$D,ROW()),CHAR(160)," ")),"~","-"),"*","+"),"?","!"),240),"")</f>
        <v/>
      </c>
      <c r="EO136">
        <f>IF(EN136="",0,IF(COUNTIF($EN$4:EN136,EN136)=1,1,0))</f>
        <v>0</v>
      </c>
      <c r="EP136" s="166" t="str">
        <f>IF(EO136=1,ROUND(SUMIF($EN$4:$EN$503,EN136,$E$4:$E$503),2),"")</f>
        <v/>
      </c>
      <c r="EQ136" t="str">
        <f>IF(EO136=1,COUNTIFS($EO$4:$EO$503,1,$EP$4:$EP$503,"&gt;"&amp;EP136)+COUNTIFS($EO$4:EO136,1,$EP$4:EP136,EP136),"")</f>
        <v/>
      </c>
      <c r="ER136" t="str">
        <f>IF(EO136=1,COUNTIFS($EN$4:$EN$503,EN136,$EM$4:$EM$503,"Interne",$FE$4:$FE$503,1),"")</f>
        <v/>
      </c>
      <c r="ES136" t="str">
        <f>IF(EO136=1,COUNTIFS($EN$4:$EN$503,EN136,$EM$4:$EM$503,"Externe",$FE$4:$FE$503,1),"")</f>
        <v/>
      </c>
      <c r="ET136" t="str">
        <f>IF(EO136=1,IF(ER136+ES136=0,"à affecter",IF(ER136=0,ES136&amp;" ext.",(ER136+ES136)&amp;IF(ES136&gt;0," dont "&amp;ES136&amp;" ext.",""))&amp;IF(COUNTIFS($EN$4:$EN$503,EN136,$EM$4:$EM$503,"Non affecté")&gt;0," + à affecter","")),"")</f>
        <v/>
      </c>
      <c r="EU136" s="170" t="str">
        <f>IF(EO136=1,IF(EP136&gt;0,SUMPRODUCT(($EN$4:$EN$503=EN136)*$E$4:$E$503*$C$4:$C$503)/EP136,AVERAGEIF($EN$4:$EN$503,EN136,$C$4:$C$503)),"")</f>
        <v/>
      </c>
      <c r="EV136" s="165">
        <f>IF(ISNUMBER(I136),I136,2958465)</f>
        <v>2958465.0</v>
      </c>
      <c r="EW136" s="165" t="str">
        <f>IF(EO136=1,SUMPRODUCT(MIN(($EN$4:$EN$503=EN136)*$EV$4:$EV$503+($EN$4:$EN$503&lt;&gt;EN136)*2958465)),"")</f>
        <v/>
      </c>
      <c r="EX136" s="165">
        <f>IF(AND(D136=1,ISNUMBER(INDEX(Charge!$F:$F,ROW()))),INDEX(Charge!$F:$F,ROW()),0)</f>
        <v>0.0</v>
      </c>
      <c r="EY136" s="165" t="str">
        <f>IF(EO136=1,SUMPRODUCT(MAX(($EN$4:$EN$503=EN136)*$EX$4:$EX$503)),"")</f>
        <v/>
      </c>
      <c r="FA136" t="str">
        <f>IF(133&lt;=$CD$23,INDEX($EJ$4:$EJ$203,133),IF(133-$CD$23&lt;=$CD$26,INDEX($EK$4:$EK$203,133-$CD$23),""))</f>
        <v/>
      </c>
      <c r="FB136" t="str">
        <f>IF(FA136="","",IF(133&lt;=$CD$23,"Interne","Externe"))</f>
        <v/>
      </c>
      <c r="FD136">
        <f>IF(AND(B136=1,TRIM(INDEX(Charge!$K:$K,ROW()))&lt;&gt;"",TRIM(INDEX(Charge!$L:$L,ROW()))&lt;&gt;""),1,0)</f>
        <v>0</v>
      </c>
      <c r="FE136">
        <f>IF(OR(EN136="",BZ136="(non affecté)"),0,IF(COUNTIFS($EN$4:EN136,EN136,$BZ$4:BZ136,BZ136)=1,1,0))</f>
        <v>0</v>
      </c>
    </row>
    <row r="137">
      <c r="A137">
        <f>ROW()</f>
        <v>137</v>
      </c>
      <c r="B137">
        <f>IF(TRIM(INDEX(Charge!$B:$B,ROW()))&lt;&gt;"",1,0)</f>
        <v>0</v>
      </c>
      <c r="C137">
        <f>IF(B137=1,MIN(1,MAX(0,N(INDEX(Charge!$O:$O,ROW())))),0)</f>
        <v>0</v>
      </c>
      <c r="D137">
        <f>IF(B137=1,IF(OR(p_Perimetre="Tous les projets",C137&lt;1),1,0),0)</f>
        <v>0</v>
      </c>
      <c r="E137">
        <f>IF(D137=1,MAX(0,N(INDEX(Charge!$M:$M,ROW()))),0)</f>
        <v>0</v>
      </c>
      <c r="F137" t="str">
        <f>IF(D137=1,IF(TRIM(INDEX(Charge!$A:$A,ROW()))="","(non renseigné)",TRIM(INDEX(Charge!$A:$A,ROW()))),"")</f>
        <v/>
      </c>
      <c r="G137" t="str">
        <f>IF(D137=1,TRIM(INDEX(Charge!$B:$B,ROW())),"")</f>
        <v/>
      </c>
      <c r="H137" t="str">
        <f>IF(D137=1,IF(TRIM(INDEX(Charge!$E:$E,ROW()))="","(non renseigné)",TRIM(INDEX(Charge!$E:$E,ROW()))),"")</f>
        <v/>
      </c>
      <c r="I137" s="165" t="str">
        <f>IF(AND(D137=1,ISNUMBER(INDEX(Charge!$N:$N,ROW()))),INDEX(Charge!$N:$N,ROW()),"")</f>
        <v/>
      </c>
      <c r="J137" s="165" t="str">
        <f>IF(I137="","",IF(AND(p_Repartition="Lissée jusqu'à la date de besoin",ISNUMBER(INDEX(Charge!$F:$F,ROW()))),IF(INDEX(Charge!$F:$F,ROW())&gt;=I137,INDEX(Charge!$F:$F,ROW()),I137),I137))</f>
        <v/>
      </c>
      <c r="K137" t="str">
        <f>IF(I137="","",NETWORKDAYS(I137,J137,Data!$K$4:$K$203))</f>
        <v/>
      </c>
      <c r="L137" t="str">
        <f>IF(D137=1,COUNTIFS($D$4:$D$503,1,$E$4:$E$503,"&gt;"&amp;E137)+COUNTIFS($D$4:$D137,1,$E$4:$E137,E137),"")</f>
        <v/>
      </c>
      <c r="M137">
        <f>IF(F137="",0,IF(COUNTIF($F$4:F137,F137)=1,1,0))</f>
        <v>0</v>
      </c>
      <c r="N137" t="str">
        <f>IF(M137=1,ROUND(SUMIF($F$4:$F$503,F137,$E$4:$E$503),2),"")</f>
        <v/>
      </c>
      <c r="O137" t="str">
        <f>IF(M137=1,COUNTIFS($M$4:$M$503,1,$N$4:$N$503,"&gt;"&amp;N137)+COUNTIFS($M$4:M137,1,$N$4:N137,N137),"")</f>
        <v/>
      </c>
      <c r="P137">
        <f>IF(G137="",0,IF(COUNTIF($G$4:G137,G137)=1,1,0))</f>
        <v>0</v>
      </c>
      <c r="Q137" t="str">
        <f>IF(P137=1,ROUND(SUMIF($G$4:$G$503,G137,$E$4:$E$503),2),"")</f>
        <v/>
      </c>
      <c r="R137" t="str">
        <f>IF(P137=1,COUNTIFS($P$4:$P$503,1,$Q$4:$Q$503,"&gt;"&amp;Q137)+COUNTIFS($P$4:P137,1,$Q$4:Q137,Q137),"")</f>
        <v/>
      </c>
      <c r="S137">
        <f>IF(H137="",0,IF(COUNTIF($H$4:H137,H137)=1,1,0))</f>
        <v>0</v>
      </c>
      <c r="T137" t="str">
        <f>IF(S137=1,ROUND(SUMIF($H$4:$H$503,H137,$E$4:$E$503),2),"")</f>
        <v/>
      </c>
      <c r="U137" t="str">
        <f>IF(S137=1,COUNTIFS($S$4:$S$503,1,$T$4:$T$503,"&gt;"&amp;T137)+COUNTIFS($S$4:S137,1,$T$4:T137,T137),"")</f>
        <v/>
      </c>
      <c r="V137" t="str">
        <f>IF(D137=1,MIN(INDEX($R$4:$R$503,MATCH(G137,$G$4:$G$503,0)),IF($AL$7&gt;9,9,999)),"")</f>
        <v/>
      </c>
      <c r="W137" s="166">
        <f>IF(OR($I137="",$E137=0),0,IF(OR($J137&lt;W$3,$I137&gt;W$2),0,IF($K137=0,IF(AND($I137&gt;=W$3,$I137&lt;=W$2),$E137,0),$E137*NETWORKDAYS(MAX($I137,W$3),MIN($J137,W$2),Data!$K$4:$K$203)/$K137)))</f>
        <v>0</v>
      </c>
      <c r="X137" s="166">
        <f>IF(OR($I137="",$E137=0),0,IF(OR($J137&lt;X$3,$I137&gt;X$2),0,IF($K137=0,IF(AND($I137&gt;=X$3,$I137&lt;=X$2),$E137,0),$E137*NETWORKDAYS(MAX($I137,X$3),MIN($J137,X$2),Data!$K$4:$K$203)/$K137)))</f>
        <v>0</v>
      </c>
      <c r="Y137" s="166">
        <f>IF(OR($I137="",$E137=0),0,IF(OR($J137&lt;Y$3,$I137&gt;Y$2),0,IF($K137=0,IF(AND($I137&gt;=Y$3,$I137&lt;=Y$2),$E137,0),$E137*NETWORKDAYS(MAX($I137,Y$3),MIN($J137,Y$2),Data!$K$4:$K$203)/$K137)))</f>
        <v>0</v>
      </c>
      <c r="Z137" s="166">
        <f>IF(OR($I137="",$E137=0),0,IF(OR($J137&lt;Z$3,$I137&gt;Z$2),0,IF($K137=0,IF(AND($I137&gt;=Z$3,$I137&lt;=Z$2),$E137,0),$E137*NETWORKDAYS(MAX($I137,Z$3),MIN($J137,Z$2),Data!$K$4:$K$203)/$K137)))</f>
        <v>0</v>
      </c>
      <c r="AA137" s="166">
        <f>IF(OR($I137="",$E137=0),0,IF(OR($J137&lt;AA$3,$I137&gt;AA$2),0,IF($K137=0,IF(AND($I137&gt;=AA$3,$I137&lt;=AA$2),$E137,0),$E137*NETWORKDAYS(MAX($I137,AA$3),MIN($J137,AA$2),Data!$K$4:$K$203)/$K137)))</f>
        <v>0</v>
      </c>
      <c r="AB137" s="166">
        <f>IF(OR($I137="",$E137=0),0,IF(OR($J137&lt;AB$3,$I137&gt;AB$2),0,IF($K137=0,IF(AND($I137&gt;=AB$3,$I137&lt;=AB$2),$E137,0),$E137*NETWORKDAYS(MAX($I137,AB$3),MIN($J137,AB$2),Data!$K$4:$K$203)/$K137)))</f>
        <v>0</v>
      </c>
      <c r="AC137" s="166">
        <f>IF(OR($I137="",$E137=0),0,IF(OR($J137&lt;AC$3,$I137&gt;AC$2),0,IF($K137=0,IF(AND($I137&gt;=AC$3,$I137&lt;=AC$2),$E137,0),$E137*NETWORKDAYS(MAX($I137,AC$3),MIN($J137,AC$2),Data!$K$4:$K$203)/$K137)))</f>
        <v>0</v>
      </c>
      <c r="AD137" s="166">
        <f>IF(OR($I137="",$E137=0),0,IF(OR($J137&lt;AD$3,$I137&gt;AD$2),0,IF($K137=0,IF(AND($I137&gt;=AD$3,$I137&lt;=AD$2),$E137,0),$E137*NETWORKDAYS(MAX($I137,AD$3),MIN($J137,AD$2),Data!$K$4:$K$203)/$K137)))</f>
        <v>0</v>
      </c>
      <c r="AE137" s="166">
        <f>IF(OR($I137="",$E137=0),0,IF(OR($J137&lt;AE$3,$I137&gt;AE$2),0,IF($K137=0,IF(AND($I137&gt;=AE$3,$I137&lt;=AE$2),$E137,0),$E137*NETWORKDAYS(MAX($I137,AE$3),MIN($J137,AE$2),Data!$K$4:$K$203)/$K137)))</f>
        <v>0</v>
      </c>
      <c r="AF137" s="166">
        <f>IF(OR($I137="",$E137=0),0,IF(OR($J137&lt;AF$3,$I137&gt;AF$2),0,IF($K137=0,IF(AND($I137&gt;=AF$3,$I137&lt;=AF$2),$E137,0),$E137*NETWORKDAYS(MAX($I137,AF$3),MIN($J137,AF$2),Data!$K$4:$K$203)/$K137)))</f>
        <v>0</v>
      </c>
      <c r="AG137" s="166">
        <f>IF(OR($I137="",$E137=0),0,IF(OR($J137&lt;AG$3,$I137&gt;AG$2),0,IF($K137=0,IF(AND($I137&gt;=AG$3,$I137&lt;=AG$2),$E137,0),$E137*NETWORKDAYS(MAX($I137,AG$3),MIN($J137,AG$2),Data!$K$4:$K$203)/$K137)))</f>
        <v>0</v>
      </c>
      <c r="AH137" s="166">
        <f>IF(OR($I137="",$E137=0),0,IF(OR($J137&lt;AH$3,$I137&gt;AH$2),0,IF($K137=0,IF(AND($I137&gt;=AH$3,$I137&lt;=AH$2),$E137,0),$E137*NETWORKDAYS(MAX($I137,AH$3),MIN($J137,AH$2),Data!$K$4:$K$203)/$K137)))</f>
        <v>0</v>
      </c>
      <c r="AI137" s="166">
        <f>SUM(W137:AH137)</f>
        <v>0</v>
      </c>
      <c r="BZ137" t="str">
        <f>IF(D137=1,IF(TRIM(INDEX(Charge!$K:$K,ROW()))&lt;&gt;"",TRIM(INDEX(Charge!$K:$K,ROW())),IF(TRIM(INDEX(Charge!$L:$L,ROW()))&lt;&gt;"",TRIM(INDEX(Charge!$L:$L,ROW())),"(non affecté)")),"")</f>
        <v/>
      </c>
      <c r="CA137" t="str">
        <f>IF(AND($CD$4&lt;&gt;"",BZ137=$CD$4),COUNTIFS($BZ$4:$BZ$503,$CD$4,$L$4:$L$503,"&lt;"&amp;L137)+1,"")</f>
        <v/>
      </c>
      <c r="EJ137" t="str">
        <f>TRIM(INDEX(Data!$E:$E,ROW()))</f>
        <v/>
      </c>
      <c r="EK137" t="str">
        <f>TRIM(INDEX(Data!$H:$H,ROW()))</f>
        <v/>
      </c>
      <c r="EM137" t="str">
        <f>IF(D137=1,IF(TRIM(INDEX(Charge!$K:$K,ROW()))&lt;&gt;"","Interne",IF(TRIM(INDEX(Charge!$L:$L,ROW()))&lt;&gt;"","Externe","Non affecté")),"")</f>
        <v/>
      </c>
      <c r="EN137" t="str">
        <f>IF(D137=1,LEFT(SUBSTITUTE(SUBSTITUTE(SUBSTITUTE(TRIM(SUBSTITUTE(INDEX(Charge!$B:$B,ROW()),CHAR(160)," "))&amp;" | "&amp;TRIM(SUBSTITUTE(INDEX(Charge!$C:$C,ROW()),CHAR(160)," "))&amp;" | "&amp;TRIM(SUBSTITUTE(INDEX(Charge!$D:$D,ROW()),CHAR(160)," ")),"~","-"),"*","+"),"?","!"),240),"")</f>
        <v/>
      </c>
      <c r="EO137">
        <f>IF(EN137="",0,IF(COUNTIF($EN$4:EN137,EN137)=1,1,0))</f>
        <v>0</v>
      </c>
      <c r="EP137" s="166" t="str">
        <f>IF(EO137=1,ROUND(SUMIF($EN$4:$EN$503,EN137,$E$4:$E$503),2),"")</f>
        <v/>
      </c>
      <c r="EQ137" t="str">
        <f>IF(EO137=1,COUNTIFS($EO$4:$EO$503,1,$EP$4:$EP$503,"&gt;"&amp;EP137)+COUNTIFS($EO$4:EO137,1,$EP$4:EP137,EP137),"")</f>
        <v/>
      </c>
      <c r="ER137" t="str">
        <f>IF(EO137=1,COUNTIFS($EN$4:$EN$503,EN137,$EM$4:$EM$503,"Interne",$FE$4:$FE$503,1),"")</f>
        <v/>
      </c>
      <c r="ES137" t="str">
        <f>IF(EO137=1,COUNTIFS($EN$4:$EN$503,EN137,$EM$4:$EM$503,"Externe",$FE$4:$FE$503,1),"")</f>
        <v/>
      </c>
      <c r="ET137" t="str">
        <f>IF(EO137=1,IF(ER137+ES137=0,"à affecter",IF(ER137=0,ES137&amp;" ext.",(ER137+ES137)&amp;IF(ES137&gt;0," dont "&amp;ES137&amp;" ext.",""))&amp;IF(COUNTIFS($EN$4:$EN$503,EN137,$EM$4:$EM$503,"Non affecté")&gt;0," + à affecter","")),"")</f>
        <v/>
      </c>
      <c r="EU137" s="170" t="str">
        <f>IF(EO137=1,IF(EP137&gt;0,SUMPRODUCT(($EN$4:$EN$503=EN137)*$E$4:$E$503*$C$4:$C$503)/EP137,AVERAGEIF($EN$4:$EN$503,EN137,$C$4:$C$503)),"")</f>
        <v/>
      </c>
      <c r="EV137" s="165">
        <f>IF(ISNUMBER(I137),I137,2958465)</f>
        <v>2958465.0</v>
      </c>
      <c r="EW137" s="165" t="str">
        <f>IF(EO137=1,SUMPRODUCT(MIN(($EN$4:$EN$503=EN137)*$EV$4:$EV$503+($EN$4:$EN$503&lt;&gt;EN137)*2958465)),"")</f>
        <v/>
      </c>
      <c r="EX137" s="165">
        <f>IF(AND(D137=1,ISNUMBER(INDEX(Charge!$F:$F,ROW()))),INDEX(Charge!$F:$F,ROW()),0)</f>
        <v>0.0</v>
      </c>
      <c r="EY137" s="165" t="str">
        <f>IF(EO137=1,SUMPRODUCT(MAX(($EN$4:$EN$503=EN137)*$EX$4:$EX$503)),"")</f>
        <v/>
      </c>
      <c r="FA137" t="str">
        <f>IF(134&lt;=$CD$23,INDEX($EJ$4:$EJ$203,134),IF(134-$CD$23&lt;=$CD$26,INDEX($EK$4:$EK$203,134-$CD$23),""))</f>
        <v/>
      </c>
      <c r="FB137" t="str">
        <f>IF(FA137="","",IF(134&lt;=$CD$23,"Interne","Externe"))</f>
        <v/>
      </c>
      <c r="FD137">
        <f>IF(AND(B137=1,TRIM(INDEX(Charge!$K:$K,ROW()))&lt;&gt;"",TRIM(INDEX(Charge!$L:$L,ROW()))&lt;&gt;""),1,0)</f>
        <v>0</v>
      </c>
      <c r="FE137">
        <f>IF(OR(EN137="",BZ137="(non affecté)"),0,IF(COUNTIFS($EN$4:EN137,EN137,$BZ$4:BZ137,BZ137)=1,1,0))</f>
        <v>0</v>
      </c>
    </row>
    <row r="138">
      <c r="A138">
        <f>ROW()</f>
        <v>138</v>
      </c>
      <c r="B138">
        <f>IF(TRIM(INDEX(Charge!$B:$B,ROW()))&lt;&gt;"",1,0)</f>
        <v>0</v>
      </c>
      <c r="C138">
        <f>IF(B138=1,MIN(1,MAX(0,N(INDEX(Charge!$O:$O,ROW())))),0)</f>
        <v>0</v>
      </c>
      <c r="D138">
        <f>IF(B138=1,IF(OR(p_Perimetre="Tous les projets",C138&lt;1),1,0),0)</f>
        <v>0</v>
      </c>
      <c r="E138">
        <f>IF(D138=1,MAX(0,N(INDEX(Charge!$M:$M,ROW()))),0)</f>
        <v>0</v>
      </c>
      <c r="F138" t="str">
        <f>IF(D138=1,IF(TRIM(INDEX(Charge!$A:$A,ROW()))="","(non renseigné)",TRIM(INDEX(Charge!$A:$A,ROW()))),"")</f>
        <v/>
      </c>
      <c r="G138" t="str">
        <f>IF(D138=1,TRIM(INDEX(Charge!$B:$B,ROW())),"")</f>
        <v/>
      </c>
      <c r="H138" t="str">
        <f>IF(D138=1,IF(TRIM(INDEX(Charge!$E:$E,ROW()))="","(non renseigné)",TRIM(INDEX(Charge!$E:$E,ROW()))),"")</f>
        <v/>
      </c>
      <c r="I138" s="165" t="str">
        <f>IF(AND(D138=1,ISNUMBER(INDEX(Charge!$N:$N,ROW()))),INDEX(Charge!$N:$N,ROW()),"")</f>
        <v/>
      </c>
      <c r="J138" s="165" t="str">
        <f>IF(I138="","",IF(AND(p_Repartition="Lissée jusqu'à la date de besoin",ISNUMBER(INDEX(Charge!$F:$F,ROW()))),IF(INDEX(Charge!$F:$F,ROW())&gt;=I138,INDEX(Charge!$F:$F,ROW()),I138),I138))</f>
        <v/>
      </c>
      <c r="K138" t="str">
        <f>IF(I138="","",NETWORKDAYS(I138,J138,Data!$K$4:$K$203))</f>
        <v/>
      </c>
      <c r="L138" t="str">
        <f>IF(D138=1,COUNTIFS($D$4:$D$503,1,$E$4:$E$503,"&gt;"&amp;E138)+COUNTIFS($D$4:$D138,1,$E$4:$E138,E138),"")</f>
        <v/>
      </c>
      <c r="M138">
        <f>IF(F138="",0,IF(COUNTIF($F$4:F138,F138)=1,1,0))</f>
        <v>0</v>
      </c>
      <c r="N138" t="str">
        <f>IF(M138=1,ROUND(SUMIF($F$4:$F$503,F138,$E$4:$E$503),2),"")</f>
        <v/>
      </c>
      <c r="O138" t="str">
        <f>IF(M138=1,COUNTIFS($M$4:$M$503,1,$N$4:$N$503,"&gt;"&amp;N138)+COUNTIFS($M$4:M138,1,$N$4:N138,N138),"")</f>
        <v/>
      </c>
      <c r="P138">
        <f>IF(G138="",0,IF(COUNTIF($G$4:G138,G138)=1,1,0))</f>
        <v>0</v>
      </c>
      <c r="Q138" t="str">
        <f>IF(P138=1,ROUND(SUMIF($G$4:$G$503,G138,$E$4:$E$503),2),"")</f>
        <v/>
      </c>
      <c r="R138" t="str">
        <f>IF(P138=1,COUNTIFS($P$4:$P$503,1,$Q$4:$Q$503,"&gt;"&amp;Q138)+COUNTIFS($P$4:P138,1,$Q$4:Q138,Q138),"")</f>
        <v/>
      </c>
      <c r="S138">
        <f>IF(H138="",0,IF(COUNTIF($H$4:H138,H138)=1,1,0))</f>
        <v>0</v>
      </c>
      <c r="T138" t="str">
        <f>IF(S138=1,ROUND(SUMIF($H$4:$H$503,H138,$E$4:$E$503),2),"")</f>
        <v/>
      </c>
      <c r="U138" t="str">
        <f>IF(S138=1,COUNTIFS($S$4:$S$503,1,$T$4:$T$503,"&gt;"&amp;T138)+COUNTIFS($S$4:S138,1,$T$4:T138,T138),"")</f>
        <v/>
      </c>
      <c r="V138" t="str">
        <f>IF(D138=1,MIN(INDEX($R$4:$R$503,MATCH(G138,$G$4:$G$503,0)),IF($AL$7&gt;9,9,999)),"")</f>
        <v/>
      </c>
      <c r="W138" s="166">
        <f>IF(OR($I138="",$E138=0),0,IF(OR($J138&lt;W$3,$I138&gt;W$2),0,IF($K138=0,IF(AND($I138&gt;=W$3,$I138&lt;=W$2),$E138,0),$E138*NETWORKDAYS(MAX($I138,W$3),MIN($J138,W$2),Data!$K$4:$K$203)/$K138)))</f>
        <v>0</v>
      </c>
      <c r="X138" s="166">
        <f>IF(OR($I138="",$E138=0),0,IF(OR($J138&lt;X$3,$I138&gt;X$2),0,IF($K138=0,IF(AND($I138&gt;=X$3,$I138&lt;=X$2),$E138,0),$E138*NETWORKDAYS(MAX($I138,X$3),MIN($J138,X$2),Data!$K$4:$K$203)/$K138)))</f>
        <v>0</v>
      </c>
      <c r="Y138" s="166">
        <f>IF(OR($I138="",$E138=0),0,IF(OR($J138&lt;Y$3,$I138&gt;Y$2),0,IF($K138=0,IF(AND($I138&gt;=Y$3,$I138&lt;=Y$2),$E138,0),$E138*NETWORKDAYS(MAX($I138,Y$3),MIN($J138,Y$2),Data!$K$4:$K$203)/$K138)))</f>
        <v>0</v>
      </c>
      <c r="Z138" s="166">
        <f>IF(OR($I138="",$E138=0),0,IF(OR($J138&lt;Z$3,$I138&gt;Z$2),0,IF($K138=0,IF(AND($I138&gt;=Z$3,$I138&lt;=Z$2),$E138,0),$E138*NETWORKDAYS(MAX($I138,Z$3),MIN($J138,Z$2),Data!$K$4:$K$203)/$K138)))</f>
        <v>0</v>
      </c>
      <c r="AA138" s="166">
        <f>IF(OR($I138="",$E138=0),0,IF(OR($J138&lt;AA$3,$I138&gt;AA$2),0,IF($K138=0,IF(AND($I138&gt;=AA$3,$I138&lt;=AA$2),$E138,0),$E138*NETWORKDAYS(MAX($I138,AA$3),MIN($J138,AA$2),Data!$K$4:$K$203)/$K138)))</f>
        <v>0</v>
      </c>
      <c r="AB138" s="166">
        <f>IF(OR($I138="",$E138=0),0,IF(OR($J138&lt;AB$3,$I138&gt;AB$2),0,IF($K138=0,IF(AND($I138&gt;=AB$3,$I138&lt;=AB$2),$E138,0),$E138*NETWORKDAYS(MAX($I138,AB$3),MIN($J138,AB$2),Data!$K$4:$K$203)/$K138)))</f>
        <v>0</v>
      </c>
      <c r="AC138" s="166">
        <f>IF(OR($I138="",$E138=0),0,IF(OR($J138&lt;AC$3,$I138&gt;AC$2),0,IF($K138=0,IF(AND($I138&gt;=AC$3,$I138&lt;=AC$2),$E138,0),$E138*NETWORKDAYS(MAX($I138,AC$3),MIN($J138,AC$2),Data!$K$4:$K$203)/$K138)))</f>
        <v>0</v>
      </c>
      <c r="AD138" s="166">
        <f>IF(OR($I138="",$E138=0),0,IF(OR($J138&lt;AD$3,$I138&gt;AD$2),0,IF($K138=0,IF(AND($I138&gt;=AD$3,$I138&lt;=AD$2),$E138,0),$E138*NETWORKDAYS(MAX($I138,AD$3),MIN($J138,AD$2),Data!$K$4:$K$203)/$K138)))</f>
        <v>0</v>
      </c>
      <c r="AE138" s="166">
        <f>IF(OR($I138="",$E138=0),0,IF(OR($J138&lt;AE$3,$I138&gt;AE$2),0,IF($K138=0,IF(AND($I138&gt;=AE$3,$I138&lt;=AE$2),$E138,0),$E138*NETWORKDAYS(MAX($I138,AE$3),MIN($J138,AE$2),Data!$K$4:$K$203)/$K138)))</f>
        <v>0</v>
      </c>
      <c r="AF138" s="166">
        <f>IF(OR($I138="",$E138=0),0,IF(OR($J138&lt;AF$3,$I138&gt;AF$2),0,IF($K138=0,IF(AND($I138&gt;=AF$3,$I138&lt;=AF$2),$E138,0),$E138*NETWORKDAYS(MAX($I138,AF$3),MIN($J138,AF$2),Data!$K$4:$K$203)/$K138)))</f>
        <v>0</v>
      </c>
      <c r="AG138" s="166">
        <f>IF(OR($I138="",$E138=0),0,IF(OR($J138&lt;AG$3,$I138&gt;AG$2),0,IF($K138=0,IF(AND($I138&gt;=AG$3,$I138&lt;=AG$2),$E138,0),$E138*NETWORKDAYS(MAX($I138,AG$3),MIN($J138,AG$2),Data!$K$4:$K$203)/$K138)))</f>
        <v>0</v>
      </c>
      <c r="AH138" s="166">
        <f>IF(OR($I138="",$E138=0),0,IF(OR($J138&lt;AH$3,$I138&gt;AH$2),0,IF($K138=0,IF(AND($I138&gt;=AH$3,$I138&lt;=AH$2),$E138,0),$E138*NETWORKDAYS(MAX($I138,AH$3),MIN($J138,AH$2),Data!$K$4:$K$203)/$K138)))</f>
        <v>0</v>
      </c>
      <c r="AI138" s="166">
        <f>SUM(W138:AH138)</f>
        <v>0</v>
      </c>
      <c r="BZ138" t="str">
        <f>IF(D138=1,IF(TRIM(INDEX(Charge!$K:$K,ROW()))&lt;&gt;"",TRIM(INDEX(Charge!$K:$K,ROW())),IF(TRIM(INDEX(Charge!$L:$L,ROW()))&lt;&gt;"",TRIM(INDEX(Charge!$L:$L,ROW())),"(non affecté)")),"")</f>
        <v/>
      </c>
      <c r="CA138" t="str">
        <f>IF(AND($CD$4&lt;&gt;"",BZ138=$CD$4),COUNTIFS($BZ$4:$BZ$503,$CD$4,$L$4:$L$503,"&lt;"&amp;L138)+1,"")</f>
        <v/>
      </c>
      <c r="EJ138" t="str">
        <f>TRIM(INDEX(Data!$E:$E,ROW()))</f>
        <v/>
      </c>
      <c r="EK138" t="str">
        <f>TRIM(INDEX(Data!$H:$H,ROW()))</f>
        <v/>
      </c>
      <c r="EM138" t="str">
        <f>IF(D138=1,IF(TRIM(INDEX(Charge!$K:$K,ROW()))&lt;&gt;"","Interne",IF(TRIM(INDEX(Charge!$L:$L,ROW()))&lt;&gt;"","Externe","Non affecté")),"")</f>
        <v/>
      </c>
      <c r="EN138" t="str">
        <f>IF(D138=1,LEFT(SUBSTITUTE(SUBSTITUTE(SUBSTITUTE(TRIM(SUBSTITUTE(INDEX(Charge!$B:$B,ROW()),CHAR(160)," "))&amp;" | "&amp;TRIM(SUBSTITUTE(INDEX(Charge!$C:$C,ROW()),CHAR(160)," "))&amp;" | "&amp;TRIM(SUBSTITUTE(INDEX(Charge!$D:$D,ROW()),CHAR(160)," ")),"~","-"),"*","+"),"?","!"),240),"")</f>
        <v/>
      </c>
      <c r="EO138">
        <f>IF(EN138="",0,IF(COUNTIF($EN$4:EN138,EN138)=1,1,0))</f>
        <v>0</v>
      </c>
      <c r="EP138" s="166" t="str">
        <f>IF(EO138=1,ROUND(SUMIF($EN$4:$EN$503,EN138,$E$4:$E$503),2),"")</f>
        <v/>
      </c>
      <c r="EQ138" t="str">
        <f>IF(EO138=1,COUNTIFS($EO$4:$EO$503,1,$EP$4:$EP$503,"&gt;"&amp;EP138)+COUNTIFS($EO$4:EO138,1,$EP$4:EP138,EP138),"")</f>
        <v/>
      </c>
      <c r="ER138" t="str">
        <f>IF(EO138=1,COUNTIFS($EN$4:$EN$503,EN138,$EM$4:$EM$503,"Interne",$FE$4:$FE$503,1),"")</f>
        <v/>
      </c>
      <c r="ES138" t="str">
        <f>IF(EO138=1,COUNTIFS($EN$4:$EN$503,EN138,$EM$4:$EM$503,"Externe",$FE$4:$FE$503,1),"")</f>
        <v/>
      </c>
      <c r="ET138" t="str">
        <f>IF(EO138=1,IF(ER138+ES138=0,"à affecter",IF(ER138=0,ES138&amp;" ext.",(ER138+ES138)&amp;IF(ES138&gt;0," dont "&amp;ES138&amp;" ext.",""))&amp;IF(COUNTIFS($EN$4:$EN$503,EN138,$EM$4:$EM$503,"Non affecté")&gt;0," + à affecter","")),"")</f>
        <v/>
      </c>
      <c r="EU138" s="170" t="str">
        <f>IF(EO138=1,IF(EP138&gt;0,SUMPRODUCT(($EN$4:$EN$503=EN138)*$E$4:$E$503*$C$4:$C$503)/EP138,AVERAGEIF($EN$4:$EN$503,EN138,$C$4:$C$503)),"")</f>
        <v/>
      </c>
      <c r="EV138" s="165">
        <f>IF(ISNUMBER(I138),I138,2958465)</f>
        <v>2958465.0</v>
      </c>
      <c r="EW138" s="165" t="str">
        <f>IF(EO138=1,SUMPRODUCT(MIN(($EN$4:$EN$503=EN138)*$EV$4:$EV$503+($EN$4:$EN$503&lt;&gt;EN138)*2958465)),"")</f>
        <v/>
      </c>
      <c r="EX138" s="165">
        <f>IF(AND(D138=1,ISNUMBER(INDEX(Charge!$F:$F,ROW()))),INDEX(Charge!$F:$F,ROW()),0)</f>
        <v>0.0</v>
      </c>
      <c r="EY138" s="165" t="str">
        <f>IF(EO138=1,SUMPRODUCT(MAX(($EN$4:$EN$503=EN138)*$EX$4:$EX$503)),"")</f>
        <v/>
      </c>
      <c r="FA138" t="str">
        <f>IF(135&lt;=$CD$23,INDEX($EJ$4:$EJ$203,135),IF(135-$CD$23&lt;=$CD$26,INDEX($EK$4:$EK$203,135-$CD$23),""))</f>
        <v/>
      </c>
      <c r="FB138" t="str">
        <f>IF(FA138="","",IF(135&lt;=$CD$23,"Interne","Externe"))</f>
        <v/>
      </c>
      <c r="FD138">
        <f>IF(AND(B138=1,TRIM(INDEX(Charge!$K:$K,ROW()))&lt;&gt;"",TRIM(INDEX(Charge!$L:$L,ROW()))&lt;&gt;""),1,0)</f>
        <v>0</v>
      </c>
      <c r="FE138">
        <f>IF(OR(EN138="",BZ138="(non affecté)"),0,IF(COUNTIFS($EN$4:EN138,EN138,$BZ$4:BZ138,BZ138)=1,1,0))</f>
        <v>0</v>
      </c>
    </row>
    <row r="139">
      <c r="A139">
        <f>ROW()</f>
        <v>139</v>
      </c>
      <c r="B139">
        <f>IF(TRIM(INDEX(Charge!$B:$B,ROW()))&lt;&gt;"",1,0)</f>
        <v>0</v>
      </c>
      <c r="C139">
        <f>IF(B139=1,MIN(1,MAX(0,N(INDEX(Charge!$O:$O,ROW())))),0)</f>
        <v>0</v>
      </c>
      <c r="D139">
        <f>IF(B139=1,IF(OR(p_Perimetre="Tous les projets",C139&lt;1),1,0),0)</f>
        <v>0</v>
      </c>
      <c r="E139">
        <f>IF(D139=1,MAX(0,N(INDEX(Charge!$M:$M,ROW()))),0)</f>
        <v>0</v>
      </c>
      <c r="F139" t="str">
        <f>IF(D139=1,IF(TRIM(INDEX(Charge!$A:$A,ROW()))="","(non renseigné)",TRIM(INDEX(Charge!$A:$A,ROW()))),"")</f>
        <v/>
      </c>
      <c r="G139" t="str">
        <f>IF(D139=1,TRIM(INDEX(Charge!$B:$B,ROW())),"")</f>
        <v/>
      </c>
      <c r="H139" t="str">
        <f>IF(D139=1,IF(TRIM(INDEX(Charge!$E:$E,ROW()))="","(non renseigné)",TRIM(INDEX(Charge!$E:$E,ROW()))),"")</f>
        <v/>
      </c>
      <c r="I139" s="165" t="str">
        <f>IF(AND(D139=1,ISNUMBER(INDEX(Charge!$N:$N,ROW()))),INDEX(Charge!$N:$N,ROW()),"")</f>
        <v/>
      </c>
      <c r="J139" s="165" t="str">
        <f>IF(I139="","",IF(AND(p_Repartition="Lissée jusqu'à la date de besoin",ISNUMBER(INDEX(Charge!$F:$F,ROW()))),IF(INDEX(Charge!$F:$F,ROW())&gt;=I139,INDEX(Charge!$F:$F,ROW()),I139),I139))</f>
        <v/>
      </c>
      <c r="K139" t="str">
        <f>IF(I139="","",NETWORKDAYS(I139,J139,Data!$K$4:$K$203))</f>
        <v/>
      </c>
      <c r="L139" t="str">
        <f>IF(D139=1,COUNTIFS($D$4:$D$503,1,$E$4:$E$503,"&gt;"&amp;E139)+COUNTIFS($D$4:$D139,1,$E$4:$E139,E139),"")</f>
        <v/>
      </c>
      <c r="M139">
        <f>IF(F139="",0,IF(COUNTIF($F$4:F139,F139)=1,1,0))</f>
        <v>0</v>
      </c>
      <c r="N139" t="str">
        <f>IF(M139=1,ROUND(SUMIF($F$4:$F$503,F139,$E$4:$E$503),2),"")</f>
        <v/>
      </c>
      <c r="O139" t="str">
        <f>IF(M139=1,COUNTIFS($M$4:$M$503,1,$N$4:$N$503,"&gt;"&amp;N139)+COUNTIFS($M$4:M139,1,$N$4:N139,N139),"")</f>
        <v/>
      </c>
      <c r="P139">
        <f>IF(G139="",0,IF(COUNTIF($G$4:G139,G139)=1,1,0))</f>
        <v>0</v>
      </c>
      <c r="Q139" t="str">
        <f>IF(P139=1,ROUND(SUMIF($G$4:$G$503,G139,$E$4:$E$503),2),"")</f>
        <v/>
      </c>
      <c r="R139" t="str">
        <f>IF(P139=1,COUNTIFS($P$4:$P$503,1,$Q$4:$Q$503,"&gt;"&amp;Q139)+COUNTIFS($P$4:P139,1,$Q$4:Q139,Q139),"")</f>
        <v/>
      </c>
      <c r="S139">
        <f>IF(H139="",0,IF(COUNTIF($H$4:H139,H139)=1,1,0))</f>
        <v>0</v>
      </c>
      <c r="T139" t="str">
        <f>IF(S139=1,ROUND(SUMIF($H$4:$H$503,H139,$E$4:$E$503),2),"")</f>
        <v/>
      </c>
      <c r="U139" t="str">
        <f>IF(S139=1,COUNTIFS($S$4:$S$503,1,$T$4:$T$503,"&gt;"&amp;T139)+COUNTIFS($S$4:S139,1,$T$4:T139,T139),"")</f>
        <v/>
      </c>
      <c r="V139" t="str">
        <f>IF(D139=1,MIN(INDEX($R$4:$R$503,MATCH(G139,$G$4:$G$503,0)),IF($AL$7&gt;9,9,999)),"")</f>
        <v/>
      </c>
      <c r="W139" s="166">
        <f>IF(OR($I139="",$E139=0),0,IF(OR($J139&lt;W$3,$I139&gt;W$2),0,IF($K139=0,IF(AND($I139&gt;=W$3,$I139&lt;=W$2),$E139,0),$E139*NETWORKDAYS(MAX($I139,W$3),MIN($J139,W$2),Data!$K$4:$K$203)/$K139)))</f>
        <v>0</v>
      </c>
      <c r="X139" s="166">
        <f>IF(OR($I139="",$E139=0),0,IF(OR($J139&lt;X$3,$I139&gt;X$2),0,IF($K139=0,IF(AND($I139&gt;=X$3,$I139&lt;=X$2),$E139,0),$E139*NETWORKDAYS(MAX($I139,X$3),MIN($J139,X$2),Data!$K$4:$K$203)/$K139)))</f>
        <v>0</v>
      </c>
      <c r="Y139" s="166">
        <f>IF(OR($I139="",$E139=0),0,IF(OR($J139&lt;Y$3,$I139&gt;Y$2),0,IF($K139=0,IF(AND($I139&gt;=Y$3,$I139&lt;=Y$2),$E139,0),$E139*NETWORKDAYS(MAX($I139,Y$3),MIN($J139,Y$2),Data!$K$4:$K$203)/$K139)))</f>
        <v>0</v>
      </c>
      <c r="Z139" s="166">
        <f>IF(OR($I139="",$E139=0),0,IF(OR($J139&lt;Z$3,$I139&gt;Z$2),0,IF($K139=0,IF(AND($I139&gt;=Z$3,$I139&lt;=Z$2),$E139,0),$E139*NETWORKDAYS(MAX($I139,Z$3),MIN($J139,Z$2),Data!$K$4:$K$203)/$K139)))</f>
        <v>0</v>
      </c>
      <c r="AA139" s="166">
        <f>IF(OR($I139="",$E139=0),0,IF(OR($J139&lt;AA$3,$I139&gt;AA$2),0,IF($K139=0,IF(AND($I139&gt;=AA$3,$I139&lt;=AA$2),$E139,0),$E139*NETWORKDAYS(MAX($I139,AA$3),MIN($J139,AA$2),Data!$K$4:$K$203)/$K139)))</f>
        <v>0</v>
      </c>
      <c r="AB139" s="166">
        <f>IF(OR($I139="",$E139=0),0,IF(OR($J139&lt;AB$3,$I139&gt;AB$2),0,IF($K139=0,IF(AND($I139&gt;=AB$3,$I139&lt;=AB$2),$E139,0),$E139*NETWORKDAYS(MAX($I139,AB$3),MIN($J139,AB$2),Data!$K$4:$K$203)/$K139)))</f>
        <v>0</v>
      </c>
      <c r="AC139" s="166">
        <f>IF(OR($I139="",$E139=0),0,IF(OR($J139&lt;AC$3,$I139&gt;AC$2),0,IF($K139=0,IF(AND($I139&gt;=AC$3,$I139&lt;=AC$2),$E139,0),$E139*NETWORKDAYS(MAX($I139,AC$3),MIN($J139,AC$2),Data!$K$4:$K$203)/$K139)))</f>
        <v>0</v>
      </c>
      <c r="AD139" s="166">
        <f>IF(OR($I139="",$E139=0),0,IF(OR($J139&lt;AD$3,$I139&gt;AD$2),0,IF($K139=0,IF(AND($I139&gt;=AD$3,$I139&lt;=AD$2),$E139,0),$E139*NETWORKDAYS(MAX($I139,AD$3),MIN($J139,AD$2),Data!$K$4:$K$203)/$K139)))</f>
        <v>0</v>
      </c>
      <c r="AE139" s="166">
        <f>IF(OR($I139="",$E139=0),0,IF(OR($J139&lt;AE$3,$I139&gt;AE$2),0,IF($K139=0,IF(AND($I139&gt;=AE$3,$I139&lt;=AE$2),$E139,0),$E139*NETWORKDAYS(MAX($I139,AE$3),MIN($J139,AE$2),Data!$K$4:$K$203)/$K139)))</f>
        <v>0</v>
      </c>
      <c r="AF139" s="166">
        <f>IF(OR($I139="",$E139=0),0,IF(OR($J139&lt;AF$3,$I139&gt;AF$2),0,IF($K139=0,IF(AND($I139&gt;=AF$3,$I139&lt;=AF$2),$E139,0),$E139*NETWORKDAYS(MAX($I139,AF$3),MIN($J139,AF$2),Data!$K$4:$K$203)/$K139)))</f>
        <v>0</v>
      </c>
      <c r="AG139" s="166">
        <f>IF(OR($I139="",$E139=0),0,IF(OR($J139&lt;AG$3,$I139&gt;AG$2),0,IF($K139=0,IF(AND($I139&gt;=AG$3,$I139&lt;=AG$2),$E139,0),$E139*NETWORKDAYS(MAX($I139,AG$3),MIN($J139,AG$2),Data!$K$4:$K$203)/$K139)))</f>
        <v>0</v>
      </c>
      <c r="AH139" s="166">
        <f>IF(OR($I139="",$E139=0),0,IF(OR($J139&lt;AH$3,$I139&gt;AH$2),0,IF($K139=0,IF(AND($I139&gt;=AH$3,$I139&lt;=AH$2),$E139,0),$E139*NETWORKDAYS(MAX($I139,AH$3),MIN($J139,AH$2),Data!$K$4:$K$203)/$K139)))</f>
        <v>0</v>
      </c>
      <c r="AI139" s="166">
        <f>SUM(W139:AH139)</f>
        <v>0</v>
      </c>
      <c r="BZ139" t="str">
        <f>IF(D139=1,IF(TRIM(INDEX(Charge!$K:$K,ROW()))&lt;&gt;"",TRIM(INDEX(Charge!$K:$K,ROW())),IF(TRIM(INDEX(Charge!$L:$L,ROW()))&lt;&gt;"",TRIM(INDEX(Charge!$L:$L,ROW())),"(non affecté)")),"")</f>
        <v/>
      </c>
      <c r="CA139" t="str">
        <f>IF(AND($CD$4&lt;&gt;"",BZ139=$CD$4),COUNTIFS($BZ$4:$BZ$503,$CD$4,$L$4:$L$503,"&lt;"&amp;L139)+1,"")</f>
        <v/>
      </c>
      <c r="EJ139" t="str">
        <f>TRIM(INDEX(Data!$E:$E,ROW()))</f>
        <v/>
      </c>
      <c r="EK139" t="str">
        <f>TRIM(INDEX(Data!$H:$H,ROW()))</f>
        <v/>
      </c>
      <c r="EM139" t="str">
        <f>IF(D139=1,IF(TRIM(INDEX(Charge!$K:$K,ROW()))&lt;&gt;"","Interne",IF(TRIM(INDEX(Charge!$L:$L,ROW()))&lt;&gt;"","Externe","Non affecté")),"")</f>
        <v/>
      </c>
      <c r="EN139" t="str">
        <f>IF(D139=1,LEFT(SUBSTITUTE(SUBSTITUTE(SUBSTITUTE(TRIM(SUBSTITUTE(INDEX(Charge!$B:$B,ROW()),CHAR(160)," "))&amp;" | "&amp;TRIM(SUBSTITUTE(INDEX(Charge!$C:$C,ROW()),CHAR(160)," "))&amp;" | "&amp;TRIM(SUBSTITUTE(INDEX(Charge!$D:$D,ROW()),CHAR(160)," ")),"~","-"),"*","+"),"?","!"),240),"")</f>
        <v/>
      </c>
      <c r="EO139">
        <f>IF(EN139="",0,IF(COUNTIF($EN$4:EN139,EN139)=1,1,0))</f>
        <v>0</v>
      </c>
      <c r="EP139" s="166" t="str">
        <f>IF(EO139=1,ROUND(SUMIF($EN$4:$EN$503,EN139,$E$4:$E$503),2),"")</f>
        <v/>
      </c>
      <c r="EQ139" t="str">
        <f>IF(EO139=1,COUNTIFS($EO$4:$EO$503,1,$EP$4:$EP$503,"&gt;"&amp;EP139)+COUNTIFS($EO$4:EO139,1,$EP$4:EP139,EP139),"")</f>
        <v/>
      </c>
      <c r="ER139" t="str">
        <f>IF(EO139=1,COUNTIFS($EN$4:$EN$503,EN139,$EM$4:$EM$503,"Interne",$FE$4:$FE$503,1),"")</f>
        <v/>
      </c>
      <c r="ES139" t="str">
        <f>IF(EO139=1,COUNTIFS($EN$4:$EN$503,EN139,$EM$4:$EM$503,"Externe",$FE$4:$FE$503,1),"")</f>
        <v/>
      </c>
      <c r="ET139" t="str">
        <f>IF(EO139=1,IF(ER139+ES139=0,"à affecter",IF(ER139=0,ES139&amp;" ext.",(ER139+ES139)&amp;IF(ES139&gt;0," dont "&amp;ES139&amp;" ext.",""))&amp;IF(COUNTIFS($EN$4:$EN$503,EN139,$EM$4:$EM$503,"Non affecté")&gt;0," + à affecter","")),"")</f>
        <v/>
      </c>
      <c r="EU139" s="170" t="str">
        <f>IF(EO139=1,IF(EP139&gt;0,SUMPRODUCT(($EN$4:$EN$503=EN139)*$E$4:$E$503*$C$4:$C$503)/EP139,AVERAGEIF($EN$4:$EN$503,EN139,$C$4:$C$503)),"")</f>
        <v/>
      </c>
      <c r="EV139" s="165">
        <f>IF(ISNUMBER(I139),I139,2958465)</f>
        <v>2958465.0</v>
      </c>
      <c r="EW139" s="165" t="str">
        <f>IF(EO139=1,SUMPRODUCT(MIN(($EN$4:$EN$503=EN139)*$EV$4:$EV$503+($EN$4:$EN$503&lt;&gt;EN139)*2958465)),"")</f>
        <v/>
      </c>
      <c r="EX139" s="165">
        <f>IF(AND(D139=1,ISNUMBER(INDEX(Charge!$F:$F,ROW()))),INDEX(Charge!$F:$F,ROW()),0)</f>
        <v>0.0</v>
      </c>
      <c r="EY139" s="165" t="str">
        <f>IF(EO139=1,SUMPRODUCT(MAX(($EN$4:$EN$503=EN139)*$EX$4:$EX$503)),"")</f>
        <v/>
      </c>
      <c r="FA139" t="str">
        <f>IF(136&lt;=$CD$23,INDEX($EJ$4:$EJ$203,136),IF(136-$CD$23&lt;=$CD$26,INDEX($EK$4:$EK$203,136-$CD$23),""))</f>
        <v/>
      </c>
      <c r="FB139" t="str">
        <f>IF(FA139="","",IF(136&lt;=$CD$23,"Interne","Externe"))</f>
        <v/>
      </c>
      <c r="FD139">
        <f>IF(AND(B139=1,TRIM(INDEX(Charge!$K:$K,ROW()))&lt;&gt;"",TRIM(INDEX(Charge!$L:$L,ROW()))&lt;&gt;""),1,0)</f>
        <v>0</v>
      </c>
      <c r="FE139">
        <f>IF(OR(EN139="",BZ139="(non affecté)"),0,IF(COUNTIFS($EN$4:EN139,EN139,$BZ$4:BZ139,BZ139)=1,1,0))</f>
        <v>0</v>
      </c>
    </row>
    <row r="140">
      <c r="A140">
        <f>ROW()</f>
        <v>140</v>
      </c>
      <c r="B140">
        <f>IF(TRIM(INDEX(Charge!$B:$B,ROW()))&lt;&gt;"",1,0)</f>
        <v>0</v>
      </c>
      <c r="C140">
        <f>IF(B140=1,MIN(1,MAX(0,N(INDEX(Charge!$O:$O,ROW())))),0)</f>
        <v>0</v>
      </c>
      <c r="D140">
        <f>IF(B140=1,IF(OR(p_Perimetre="Tous les projets",C140&lt;1),1,0),0)</f>
        <v>0</v>
      </c>
      <c r="E140">
        <f>IF(D140=1,MAX(0,N(INDEX(Charge!$M:$M,ROW()))),0)</f>
        <v>0</v>
      </c>
      <c r="F140" t="str">
        <f>IF(D140=1,IF(TRIM(INDEX(Charge!$A:$A,ROW()))="","(non renseigné)",TRIM(INDEX(Charge!$A:$A,ROW()))),"")</f>
        <v/>
      </c>
      <c r="G140" t="str">
        <f>IF(D140=1,TRIM(INDEX(Charge!$B:$B,ROW())),"")</f>
        <v/>
      </c>
      <c r="H140" t="str">
        <f>IF(D140=1,IF(TRIM(INDEX(Charge!$E:$E,ROW()))="","(non renseigné)",TRIM(INDEX(Charge!$E:$E,ROW()))),"")</f>
        <v/>
      </c>
      <c r="I140" s="165" t="str">
        <f>IF(AND(D140=1,ISNUMBER(INDEX(Charge!$N:$N,ROW()))),INDEX(Charge!$N:$N,ROW()),"")</f>
        <v/>
      </c>
      <c r="J140" s="165" t="str">
        <f>IF(I140="","",IF(AND(p_Repartition="Lissée jusqu'à la date de besoin",ISNUMBER(INDEX(Charge!$F:$F,ROW()))),IF(INDEX(Charge!$F:$F,ROW())&gt;=I140,INDEX(Charge!$F:$F,ROW()),I140),I140))</f>
        <v/>
      </c>
      <c r="K140" t="str">
        <f>IF(I140="","",NETWORKDAYS(I140,J140,Data!$K$4:$K$203))</f>
        <v/>
      </c>
      <c r="L140" t="str">
        <f>IF(D140=1,COUNTIFS($D$4:$D$503,1,$E$4:$E$503,"&gt;"&amp;E140)+COUNTIFS($D$4:$D140,1,$E$4:$E140,E140),"")</f>
        <v/>
      </c>
      <c r="M140">
        <f>IF(F140="",0,IF(COUNTIF($F$4:F140,F140)=1,1,0))</f>
        <v>0</v>
      </c>
      <c r="N140" t="str">
        <f>IF(M140=1,ROUND(SUMIF($F$4:$F$503,F140,$E$4:$E$503),2),"")</f>
        <v/>
      </c>
      <c r="O140" t="str">
        <f>IF(M140=1,COUNTIFS($M$4:$M$503,1,$N$4:$N$503,"&gt;"&amp;N140)+COUNTIFS($M$4:M140,1,$N$4:N140,N140),"")</f>
        <v/>
      </c>
      <c r="P140">
        <f>IF(G140="",0,IF(COUNTIF($G$4:G140,G140)=1,1,0))</f>
        <v>0</v>
      </c>
      <c r="Q140" t="str">
        <f>IF(P140=1,ROUND(SUMIF($G$4:$G$503,G140,$E$4:$E$503),2),"")</f>
        <v/>
      </c>
      <c r="R140" t="str">
        <f>IF(P140=1,COUNTIFS($P$4:$P$503,1,$Q$4:$Q$503,"&gt;"&amp;Q140)+COUNTIFS($P$4:P140,1,$Q$4:Q140,Q140),"")</f>
        <v/>
      </c>
      <c r="S140">
        <f>IF(H140="",0,IF(COUNTIF($H$4:H140,H140)=1,1,0))</f>
        <v>0</v>
      </c>
      <c r="T140" t="str">
        <f>IF(S140=1,ROUND(SUMIF($H$4:$H$503,H140,$E$4:$E$503),2),"")</f>
        <v/>
      </c>
      <c r="U140" t="str">
        <f>IF(S140=1,COUNTIFS($S$4:$S$503,1,$T$4:$T$503,"&gt;"&amp;T140)+COUNTIFS($S$4:S140,1,$T$4:T140,T140),"")</f>
        <v/>
      </c>
      <c r="V140" t="str">
        <f>IF(D140=1,MIN(INDEX($R$4:$R$503,MATCH(G140,$G$4:$G$503,0)),IF($AL$7&gt;9,9,999)),"")</f>
        <v/>
      </c>
      <c r="W140" s="166">
        <f>IF(OR($I140="",$E140=0),0,IF(OR($J140&lt;W$3,$I140&gt;W$2),0,IF($K140=0,IF(AND($I140&gt;=W$3,$I140&lt;=W$2),$E140,0),$E140*NETWORKDAYS(MAX($I140,W$3),MIN($J140,W$2),Data!$K$4:$K$203)/$K140)))</f>
        <v>0</v>
      </c>
      <c r="X140" s="166">
        <f>IF(OR($I140="",$E140=0),0,IF(OR($J140&lt;X$3,$I140&gt;X$2),0,IF($K140=0,IF(AND($I140&gt;=X$3,$I140&lt;=X$2),$E140,0),$E140*NETWORKDAYS(MAX($I140,X$3),MIN($J140,X$2),Data!$K$4:$K$203)/$K140)))</f>
        <v>0</v>
      </c>
      <c r="Y140" s="166">
        <f>IF(OR($I140="",$E140=0),0,IF(OR($J140&lt;Y$3,$I140&gt;Y$2),0,IF($K140=0,IF(AND($I140&gt;=Y$3,$I140&lt;=Y$2),$E140,0),$E140*NETWORKDAYS(MAX($I140,Y$3),MIN($J140,Y$2),Data!$K$4:$K$203)/$K140)))</f>
        <v>0</v>
      </c>
      <c r="Z140" s="166">
        <f>IF(OR($I140="",$E140=0),0,IF(OR($J140&lt;Z$3,$I140&gt;Z$2),0,IF($K140=0,IF(AND($I140&gt;=Z$3,$I140&lt;=Z$2),$E140,0),$E140*NETWORKDAYS(MAX($I140,Z$3),MIN($J140,Z$2),Data!$K$4:$K$203)/$K140)))</f>
        <v>0</v>
      </c>
      <c r="AA140" s="166">
        <f>IF(OR($I140="",$E140=0),0,IF(OR($J140&lt;AA$3,$I140&gt;AA$2),0,IF($K140=0,IF(AND($I140&gt;=AA$3,$I140&lt;=AA$2),$E140,0),$E140*NETWORKDAYS(MAX($I140,AA$3),MIN($J140,AA$2),Data!$K$4:$K$203)/$K140)))</f>
        <v>0</v>
      </c>
      <c r="AB140" s="166">
        <f>IF(OR($I140="",$E140=0),0,IF(OR($J140&lt;AB$3,$I140&gt;AB$2),0,IF($K140=0,IF(AND($I140&gt;=AB$3,$I140&lt;=AB$2),$E140,0),$E140*NETWORKDAYS(MAX($I140,AB$3),MIN($J140,AB$2),Data!$K$4:$K$203)/$K140)))</f>
        <v>0</v>
      </c>
      <c r="AC140" s="166">
        <f>IF(OR($I140="",$E140=0),0,IF(OR($J140&lt;AC$3,$I140&gt;AC$2),0,IF($K140=0,IF(AND($I140&gt;=AC$3,$I140&lt;=AC$2),$E140,0),$E140*NETWORKDAYS(MAX($I140,AC$3),MIN($J140,AC$2),Data!$K$4:$K$203)/$K140)))</f>
        <v>0</v>
      </c>
      <c r="AD140" s="166">
        <f>IF(OR($I140="",$E140=0),0,IF(OR($J140&lt;AD$3,$I140&gt;AD$2),0,IF($K140=0,IF(AND($I140&gt;=AD$3,$I140&lt;=AD$2),$E140,0),$E140*NETWORKDAYS(MAX($I140,AD$3),MIN($J140,AD$2),Data!$K$4:$K$203)/$K140)))</f>
        <v>0</v>
      </c>
      <c r="AE140" s="166">
        <f>IF(OR($I140="",$E140=0),0,IF(OR($J140&lt;AE$3,$I140&gt;AE$2),0,IF($K140=0,IF(AND($I140&gt;=AE$3,$I140&lt;=AE$2),$E140,0),$E140*NETWORKDAYS(MAX($I140,AE$3),MIN($J140,AE$2),Data!$K$4:$K$203)/$K140)))</f>
        <v>0</v>
      </c>
      <c r="AF140" s="166">
        <f>IF(OR($I140="",$E140=0),0,IF(OR($J140&lt;AF$3,$I140&gt;AF$2),0,IF($K140=0,IF(AND($I140&gt;=AF$3,$I140&lt;=AF$2),$E140,0),$E140*NETWORKDAYS(MAX($I140,AF$3),MIN($J140,AF$2),Data!$K$4:$K$203)/$K140)))</f>
        <v>0</v>
      </c>
      <c r="AG140" s="166">
        <f>IF(OR($I140="",$E140=0),0,IF(OR($J140&lt;AG$3,$I140&gt;AG$2),0,IF($K140=0,IF(AND($I140&gt;=AG$3,$I140&lt;=AG$2),$E140,0),$E140*NETWORKDAYS(MAX($I140,AG$3),MIN($J140,AG$2),Data!$K$4:$K$203)/$K140)))</f>
        <v>0</v>
      </c>
      <c r="AH140" s="166">
        <f>IF(OR($I140="",$E140=0),0,IF(OR($J140&lt;AH$3,$I140&gt;AH$2),0,IF($K140=0,IF(AND($I140&gt;=AH$3,$I140&lt;=AH$2),$E140,0),$E140*NETWORKDAYS(MAX($I140,AH$3),MIN($J140,AH$2),Data!$K$4:$K$203)/$K140)))</f>
        <v>0</v>
      </c>
      <c r="AI140" s="166">
        <f>SUM(W140:AH140)</f>
        <v>0</v>
      </c>
      <c r="BZ140" t="str">
        <f>IF(D140=1,IF(TRIM(INDEX(Charge!$K:$K,ROW()))&lt;&gt;"",TRIM(INDEX(Charge!$K:$K,ROW())),IF(TRIM(INDEX(Charge!$L:$L,ROW()))&lt;&gt;"",TRIM(INDEX(Charge!$L:$L,ROW())),"(non affecté)")),"")</f>
        <v/>
      </c>
      <c r="CA140" t="str">
        <f>IF(AND($CD$4&lt;&gt;"",BZ140=$CD$4),COUNTIFS($BZ$4:$BZ$503,$CD$4,$L$4:$L$503,"&lt;"&amp;L140)+1,"")</f>
        <v/>
      </c>
      <c r="EJ140" t="str">
        <f>TRIM(INDEX(Data!$E:$E,ROW()))</f>
        <v/>
      </c>
      <c r="EK140" t="str">
        <f>TRIM(INDEX(Data!$H:$H,ROW()))</f>
        <v/>
      </c>
      <c r="EM140" t="str">
        <f>IF(D140=1,IF(TRIM(INDEX(Charge!$K:$K,ROW()))&lt;&gt;"","Interne",IF(TRIM(INDEX(Charge!$L:$L,ROW()))&lt;&gt;"","Externe","Non affecté")),"")</f>
        <v/>
      </c>
      <c r="EN140" t="str">
        <f>IF(D140=1,LEFT(SUBSTITUTE(SUBSTITUTE(SUBSTITUTE(TRIM(SUBSTITUTE(INDEX(Charge!$B:$B,ROW()),CHAR(160)," "))&amp;" | "&amp;TRIM(SUBSTITUTE(INDEX(Charge!$C:$C,ROW()),CHAR(160)," "))&amp;" | "&amp;TRIM(SUBSTITUTE(INDEX(Charge!$D:$D,ROW()),CHAR(160)," ")),"~","-"),"*","+"),"?","!"),240),"")</f>
        <v/>
      </c>
      <c r="EO140">
        <f>IF(EN140="",0,IF(COUNTIF($EN$4:EN140,EN140)=1,1,0))</f>
        <v>0</v>
      </c>
      <c r="EP140" s="166" t="str">
        <f>IF(EO140=1,ROUND(SUMIF($EN$4:$EN$503,EN140,$E$4:$E$503),2),"")</f>
        <v/>
      </c>
      <c r="EQ140" t="str">
        <f>IF(EO140=1,COUNTIFS($EO$4:$EO$503,1,$EP$4:$EP$503,"&gt;"&amp;EP140)+COUNTIFS($EO$4:EO140,1,$EP$4:EP140,EP140),"")</f>
        <v/>
      </c>
      <c r="ER140" t="str">
        <f>IF(EO140=1,COUNTIFS($EN$4:$EN$503,EN140,$EM$4:$EM$503,"Interne",$FE$4:$FE$503,1),"")</f>
        <v/>
      </c>
      <c r="ES140" t="str">
        <f>IF(EO140=1,COUNTIFS($EN$4:$EN$503,EN140,$EM$4:$EM$503,"Externe",$FE$4:$FE$503,1),"")</f>
        <v/>
      </c>
      <c r="ET140" t="str">
        <f>IF(EO140=1,IF(ER140+ES140=0,"à affecter",IF(ER140=0,ES140&amp;" ext.",(ER140+ES140)&amp;IF(ES140&gt;0," dont "&amp;ES140&amp;" ext.",""))&amp;IF(COUNTIFS($EN$4:$EN$503,EN140,$EM$4:$EM$503,"Non affecté")&gt;0," + à affecter","")),"")</f>
        <v/>
      </c>
      <c r="EU140" s="170" t="str">
        <f>IF(EO140=1,IF(EP140&gt;0,SUMPRODUCT(($EN$4:$EN$503=EN140)*$E$4:$E$503*$C$4:$C$503)/EP140,AVERAGEIF($EN$4:$EN$503,EN140,$C$4:$C$503)),"")</f>
        <v/>
      </c>
      <c r="EV140" s="165">
        <f>IF(ISNUMBER(I140),I140,2958465)</f>
        <v>2958465.0</v>
      </c>
      <c r="EW140" s="165" t="str">
        <f>IF(EO140=1,SUMPRODUCT(MIN(($EN$4:$EN$503=EN140)*$EV$4:$EV$503+($EN$4:$EN$503&lt;&gt;EN140)*2958465)),"")</f>
        <v/>
      </c>
      <c r="EX140" s="165">
        <f>IF(AND(D140=1,ISNUMBER(INDEX(Charge!$F:$F,ROW()))),INDEX(Charge!$F:$F,ROW()),0)</f>
        <v>0.0</v>
      </c>
      <c r="EY140" s="165" t="str">
        <f>IF(EO140=1,SUMPRODUCT(MAX(($EN$4:$EN$503=EN140)*$EX$4:$EX$503)),"")</f>
        <v/>
      </c>
      <c r="FA140" t="str">
        <f>IF(137&lt;=$CD$23,INDEX($EJ$4:$EJ$203,137),IF(137-$CD$23&lt;=$CD$26,INDEX($EK$4:$EK$203,137-$CD$23),""))</f>
        <v/>
      </c>
      <c r="FB140" t="str">
        <f>IF(FA140="","",IF(137&lt;=$CD$23,"Interne","Externe"))</f>
        <v/>
      </c>
      <c r="FD140">
        <f>IF(AND(B140=1,TRIM(INDEX(Charge!$K:$K,ROW()))&lt;&gt;"",TRIM(INDEX(Charge!$L:$L,ROW()))&lt;&gt;""),1,0)</f>
        <v>0</v>
      </c>
      <c r="FE140">
        <f>IF(OR(EN140="",BZ140="(non affecté)"),0,IF(COUNTIFS($EN$4:EN140,EN140,$BZ$4:BZ140,BZ140)=1,1,0))</f>
        <v>0</v>
      </c>
    </row>
    <row r="141">
      <c r="A141">
        <f>ROW()</f>
        <v>141</v>
      </c>
      <c r="B141">
        <f>IF(TRIM(INDEX(Charge!$B:$B,ROW()))&lt;&gt;"",1,0)</f>
        <v>0</v>
      </c>
      <c r="C141">
        <f>IF(B141=1,MIN(1,MAX(0,N(INDEX(Charge!$O:$O,ROW())))),0)</f>
        <v>0</v>
      </c>
      <c r="D141">
        <f>IF(B141=1,IF(OR(p_Perimetre="Tous les projets",C141&lt;1),1,0),0)</f>
        <v>0</v>
      </c>
      <c r="E141">
        <f>IF(D141=1,MAX(0,N(INDEX(Charge!$M:$M,ROW()))),0)</f>
        <v>0</v>
      </c>
      <c r="F141" t="str">
        <f>IF(D141=1,IF(TRIM(INDEX(Charge!$A:$A,ROW()))="","(non renseigné)",TRIM(INDEX(Charge!$A:$A,ROW()))),"")</f>
        <v/>
      </c>
      <c r="G141" t="str">
        <f>IF(D141=1,TRIM(INDEX(Charge!$B:$B,ROW())),"")</f>
        <v/>
      </c>
      <c r="H141" t="str">
        <f>IF(D141=1,IF(TRIM(INDEX(Charge!$E:$E,ROW()))="","(non renseigné)",TRIM(INDEX(Charge!$E:$E,ROW()))),"")</f>
        <v/>
      </c>
      <c r="I141" s="165" t="str">
        <f>IF(AND(D141=1,ISNUMBER(INDEX(Charge!$N:$N,ROW()))),INDEX(Charge!$N:$N,ROW()),"")</f>
        <v/>
      </c>
      <c r="J141" s="165" t="str">
        <f>IF(I141="","",IF(AND(p_Repartition="Lissée jusqu'à la date de besoin",ISNUMBER(INDEX(Charge!$F:$F,ROW()))),IF(INDEX(Charge!$F:$F,ROW())&gt;=I141,INDEX(Charge!$F:$F,ROW()),I141),I141))</f>
        <v/>
      </c>
      <c r="K141" t="str">
        <f>IF(I141="","",NETWORKDAYS(I141,J141,Data!$K$4:$K$203))</f>
        <v/>
      </c>
      <c r="L141" t="str">
        <f>IF(D141=1,COUNTIFS($D$4:$D$503,1,$E$4:$E$503,"&gt;"&amp;E141)+COUNTIFS($D$4:$D141,1,$E$4:$E141,E141),"")</f>
        <v/>
      </c>
      <c r="M141">
        <f>IF(F141="",0,IF(COUNTIF($F$4:F141,F141)=1,1,0))</f>
        <v>0</v>
      </c>
      <c r="N141" t="str">
        <f>IF(M141=1,ROUND(SUMIF($F$4:$F$503,F141,$E$4:$E$503),2),"")</f>
        <v/>
      </c>
      <c r="O141" t="str">
        <f>IF(M141=1,COUNTIFS($M$4:$M$503,1,$N$4:$N$503,"&gt;"&amp;N141)+COUNTIFS($M$4:M141,1,$N$4:N141,N141),"")</f>
        <v/>
      </c>
      <c r="P141">
        <f>IF(G141="",0,IF(COUNTIF($G$4:G141,G141)=1,1,0))</f>
        <v>0</v>
      </c>
      <c r="Q141" t="str">
        <f>IF(P141=1,ROUND(SUMIF($G$4:$G$503,G141,$E$4:$E$503),2),"")</f>
        <v/>
      </c>
      <c r="R141" t="str">
        <f>IF(P141=1,COUNTIFS($P$4:$P$503,1,$Q$4:$Q$503,"&gt;"&amp;Q141)+COUNTIFS($P$4:P141,1,$Q$4:Q141,Q141),"")</f>
        <v/>
      </c>
      <c r="S141">
        <f>IF(H141="",0,IF(COUNTIF($H$4:H141,H141)=1,1,0))</f>
        <v>0</v>
      </c>
      <c r="T141" t="str">
        <f>IF(S141=1,ROUND(SUMIF($H$4:$H$503,H141,$E$4:$E$503),2),"")</f>
        <v/>
      </c>
      <c r="U141" t="str">
        <f>IF(S141=1,COUNTIFS($S$4:$S$503,1,$T$4:$T$503,"&gt;"&amp;T141)+COUNTIFS($S$4:S141,1,$T$4:T141,T141),"")</f>
        <v/>
      </c>
      <c r="V141" t="str">
        <f>IF(D141=1,MIN(INDEX($R$4:$R$503,MATCH(G141,$G$4:$G$503,0)),IF($AL$7&gt;9,9,999)),"")</f>
        <v/>
      </c>
      <c r="W141" s="166">
        <f>IF(OR($I141="",$E141=0),0,IF(OR($J141&lt;W$3,$I141&gt;W$2),0,IF($K141=0,IF(AND($I141&gt;=W$3,$I141&lt;=W$2),$E141,0),$E141*NETWORKDAYS(MAX($I141,W$3),MIN($J141,W$2),Data!$K$4:$K$203)/$K141)))</f>
        <v>0</v>
      </c>
      <c r="X141" s="166">
        <f>IF(OR($I141="",$E141=0),0,IF(OR($J141&lt;X$3,$I141&gt;X$2),0,IF($K141=0,IF(AND($I141&gt;=X$3,$I141&lt;=X$2),$E141,0),$E141*NETWORKDAYS(MAX($I141,X$3),MIN($J141,X$2),Data!$K$4:$K$203)/$K141)))</f>
        <v>0</v>
      </c>
      <c r="Y141" s="166">
        <f>IF(OR($I141="",$E141=0),0,IF(OR($J141&lt;Y$3,$I141&gt;Y$2),0,IF($K141=0,IF(AND($I141&gt;=Y$3,$I141&lt;=Y$2),$E141,0),$E141*NETWORKDAYS(MAX($I141,Y$3),MIN($J141,Y$2),Data!$K$4:$K$203)/$K141)))</f>
        <v>0</v>
      </c>
      <c r="Z141" s="166">
        <f>IF(OR($I141="",$E141=0),0,IF(OR($J141&lt;Z$3,$I141&gt;Z$2),0,IF($K141=0,IF(AND($I141&gt;=Z$3,$I141&lt;=Z$2),$E141,0),$E141*NETWORKDAYS(MAX($I141,Z$3),MIN($J141,Z$2),Data!$K$4:$K$203)/$K141)))</f>
        <v>0</v>
      </c>
      <c r="AA141" s="166">
        <f>IF(OR($I141="",$E141=0),0,IF(OR($J141&lt;AA$3,$I141&gt;AA$2),0,IF($K141=0,IF(AND($I141&gt;=AA$3,$I141&lt;=AA$2),$E141,0),$E141*NETWORKDAYS(MAX($I141,AA$3),MIN($J141,AA$2),Data!$K$4:$K$203)/$K141)))</f>
        <v>0</v>
      </c>
      <c r="AB141" s="166">
        <f>IF(OR($I141="",$E141=0),0,IF(OR($J141&lt;AB$3,$I141&gt;AB$2),0,IF($K141=0,IF(AND($I141&gt;=AB$3,$I141&lt;=AB$2),$E141,0),$E141*NETWORKDAYS(MAX($I141,AB$3),MIN($J141,AB$2),Data!$K$4:$K$203)/$K141)))</f>
        <v>0</v>
      </c>
      <c r="AC141" s="166">
        <f>IF(OR($I141="",$E141=0),0,IF(OR($J141&lt;AC$3,$I141&gt;AC$2),0,IF($K141=0,IF(AND($I141&gt;=AC$3,$I141&lt;=AC$2),$E141,0),$E141*NETWORKDAYS(MAX($I141,AC$3),MIN($J141,AC$2),Data!$K$4:$K$203)/$K141)))</f>
        <v>0</v>
      </c>
      <c r="AD141" s="166">
        <f>IF(OR($I141="",$E141=0),0,IF(OR($J141&lt;AD$3,$I141&gt;AD$2),0,IF($K141=0,IF(AND($I141&gt;=AD$3,$I141&lt;=AD$2),$E141,0),$E141*NETWORKDAYS(MAX($I141,AD$3),MIN($J141,AD$2),Data!$K$4:$K$203)/$K141)))</f>
        <v>0</v>
      </c>
      <c r="AE141" s="166">
        <f>IF(OR($I141="",$E141=0),0,IF(OR($J141&lt;AE$3,$I141&gt;AE$2),0,IF($K141=0,IF(AND($I141&gt;=AE$3,$I141&lt;=AE$2),$E141,0),$E141*NETWORKDAYS(MAX($I141,AE$3),MIN($J141,AE$2),Data!$K$4:$K$203)/$K141)))</f>
        <v>0</v>
      </c>
      <c r="AF141" s="166">
        <f>IF(OR($I141="",$E141=0),0,IF(OR($J141&lt;AF$3,$I141&gt;AF$2),0,IF($K141=0,IF(AND($I141&gt;=AF$3,$I141&lt;=AF$2),$E141,0),$E141*NETWORKDAYS(MAX($I141,AF$3),MIN($J141,AF$2),Data!$K$4:$K$203)/$K141)))</f>
        <v>0</v>
      </c>
      <c r="AG141" s="166">
        <f>IF(OR($I141="",$E141=0),0,IF(OR($J141&lt;AG$3,$I141&gt;AG$2),0,IF($K141=0,IF(AND($I141&gt;=AG$3,$I141&lt;=AG$2),$E141,0),$E141*NETWORKDAYS(MAX($I141,AG$3),MIN($J141,AG$2),Data!$K$4:$K$203)/$K141)))</f>
        <v>0</v>
      </c>
      <c r="AH141" s="166">
        <f>IF(OR($I141="",$E141=0),0,IF(OR($J141&lt;AH$3,$I141&gt;AH$2),0,IF($K141=0,IF(AND($I141&gt;=AH$3,$I141&lt;=AH$2),$E141,0),$E141*NETWORKDAYS(MAX($I141,AH$3),MIN($J141,AH$2),Data!$K$4:$K$203)/$K141)))</f>
        <v>0</v>
      </c>
      <c r="AI141" s="166">
        <f>SUM(W141:AH141)</f>
        <v>0</v>
      </c>
      <c r="BZ141" t="str">
        <f>IF(D141=1,IF(TRIM(INDEX(Charge!$K:$K,ROW()))&lt;&gt;"",TRIM(INDEX(Charge!$K:$K,ROW())),IF(TRIM(INDEX(Charge!$L:$L,ROW()))&lt;&gt;"",TRIM(INDEX(Charge!$L:$L,ROW())),"(non affecté)")),"")</f>
        <v/>
      </c>
      <c r="CA141" t="str">
        <f>IF(AND($CD$4&lt;&gt;"",BZ141=$CD$4),COUNTIFS($BZ$4:$BZ$503,$CD$4,$L$4:$L$503,"&lt;"&amp;L141)+1,"")</f>
        <v/>
      </c>
      <c r="EJ141" t="str">
        <f>TRIM(INDEX(Data!$E:$E,ROW()))</f>
        <v/>
      </c>
      <c r="EK141" t="str">
        <f>TRIM(INDEX(Data!$H:$H,ROW()))</f>
        <v/>
      </c>
      <c r="EM141" t="str">
        <f>IF(D141=1,IF(TRIM(INDEX(Charge!$K:$K,ROW()))&lt;&gt;"","Interne",IF(TRIM(INDEX(Charge!$L:$L,ROW()))&lt;&gt;"","Externe","Non affecté")),"")</f>
        <v/>
      </c>
      <c r="EN141" t="str">
        <f>IF(D141=1,LEFT(SUBSTITUTE(SUBSTITUTE(SUBSTITUTE(TRIM(SUBSTITUTE(INDEX(Charge!$B:$B,ROW()),CHAR(160)," "))&amp;" | "&amp;TRIM(SUBSTITUTE(INDEX(Charge!$C:$C,ROW()),CHAR(160)," "))&amp;" | "&amp;TRIM(SUBSTITUTE(INDEX(Charge!$D:$D,ROW()),CHAR(160)," ")),"~","-"),"*","+"),"?","!"),240),"")</f>
        <v/>
      </c>
      <c r="EO141">
        <f>IF(EN141="",0,IF(COUNTIF($EN$4:EN141,EN141)=1,1,0))</f>
        <v>0</v>
      </c>
      <c r="EP141" s="166" t="str">
        <f>IF(EO141=1,ROUND(SUMIF($EN$4:$EN$503,EN141,$E$4:$E$503),2),"")</f>
        <v/>
      </c>
      <c r="EQ141" t="str">
        <f>IF(EO141=1,COUNTIFS($EO$4:$EO$503,1,$EP$4:$EP$503,"&gt;"&amp;EP141)+COUNTIFS($EO$4:EO141,1,$EP$4:EP141,EP141),"")</f>
        <v/>
      </c>
      <c r="ER141" t="str">
        <f>IF(EO141=1,COUNTIFS($EN$4:$EN$503,EN141,$EM$4:$EM$503,"Interne",$FE$4:$FE$503,1),"")</f>
        <v/>
      </c>
      <c r="ES141" t="str">
        <f>IF(EO141=1,COUNTIFS($EN$4:$EN$503,EN141,$EM$4:$EM$503,"Externe",$FE$4:$FE$503,1),"")</f>
        <v/>
      </c>
      <c r="ET141" t="str">
        <f>IF(EO141=1,IF(ER141+ES141=0,"à affecter",IF(ER141=0,ES141&amp;" ext.",(ER141+ES141)&amp;IF(ES141&gt;0," dont "&amp;ES141&amp;" ext.",""))&amp;IF(COUNTIFS($EN$4:$EN$503,EN141,$EM$4:$EM$503,"Non affecté")&gt;0," + à affecter","")),"")</f>
        <v/>
      </c>
      <c r="EU141" s="170" t="str">
        <f>IF(EO141=1,IF(EP141&gt;0,SUMPRODUCT(($EN$4:$EN$503=EN141)*$E$4:$E$503*$C$4:$C$503)/EP141,AVERAGEIF($EN$4:$EN$503,EN141,$C$4:$C$503)),"")</f>
        <v/>
      </c>
      <c r="EV141" s="165">
        <f>IF(ISNUMBER(I141),I141,2958465)</f>
        <v>2958465.0</v>
      </c>
      <c r="EW141" s="165" t="str">
        <f>IF(EO141=1,SUMPRODUCT(MIN(($EN$4:$EN$503=EN141)*$EV$4:$EV$503+($EN$4:$EN$503&lt;&gt;EN141)*2958465)),"")</f>
        <v/>
      </c>
      <c r="EX141" s="165">
        <f>IF(AND(D141=1,ISNUMBER(INDEX(Charge!$F:$F,ROW()))),INDEX(Charge!$F:$F,ROW()),0)</f>
        <v>0.0</v>
      </c>
      <c r="EY141" s="165" t="str">
        <f>IF(EO141=1,SUMPRODUCT(MAX(($EN$4:$EN$503=EN141)*$EX$4:$EX$503)),"")</f>
        <v/>
      </c>
      <c r="FA141" t="str">
        <f>IF(138&lt;=$CD$23,INDEX($EJ$4:$EJ$203,138),IF(138-$CD$23&lt;=$CD$26,INDEX($EK$4:$EK$203,138-$CD$23),""))</f>
        <v/>
      </c>
      <c r="FB141" t="str">
        <f>IF(FA141="","",IF(138&lt;=$CD$23,"Interne","Externe"))</f>
        <v/>
      </c>
      <c r="FD141">
        <f>IF(AND(B141=1,TRIM(INDEX(Charge!$K:$K,ROW()))&lt;&gt;"",TRIM(INDEX(Charge!$L:$L,ROW()))&lt;&gt;""),1,0)</f>
        <v>0</v>
      </c>
      <c r="FE141">
        <f>IF(OR(EN141="",BZ141="(non affecté)"),0,IF(COUNTIFS($EN$4:EN141,EN141,$BZ$4:BZ141,BZ141)=1,1,0))</f>
        <v>0</v>
      </c>
    </row>
    <row r="142">
      <c r="A142">
        <f>ROW()</f>
        <v>142</v>
      </c>
      <c r="B142">
        <f>IF(TRIM(INDEX(Charge!$B:$B,ROW()))&lt;&gt;"",1,0)</f>
        <v>0</v>
      </c>
      <c r="C142">
        <f>IF(B142=1,MIN(1,MAX(0,N(INDEX(Charge!$O:$O,ROW())))),0)</f>
        <v>0</v>
      </c>
      <c r="D142">
        <f>IF(B142=1,IF(OR(p_Perimetre="Tous les projets",C142&lt;1),1,0),0)</f>
        <v>0</v>
      </c>
      <c r="E142">
        <f>IF(D142=1,MAX(0,N(INDEX(Charge!$M:$M,ROW()))),0)</f>
        <v>0</v>
      </c>
      <c r="F142" t="str">
        <f>IF(D142=1,IF(TRIM(INDEX(Charge!$A:$A,ROW()))="","(non renseigné)",TRIM(INDEX(Charge!$A:$A,ROW()))),"")</f>
        <v/>
      </c>
      <c r="G142" t="str">
        <f>IF(D142=1,TRIM(INDEX(Charge!$B:$B,ROW())),"")</f>
        <v/>
      </c>
      <c r="H142" t="str">
        <f>IF(D142=1,IF(TRIM(INDEX(Charge!$E:$E,ROW()))="","(non renseigné)",TRIM(INDEX(Charge!$E:$E,ROW()))),"")</f>
        <v/>
      </c>
      <c r="I142" s="165" t="str">
        <f>IF(AND(D142=1,ISNUMBER(INDEX(Charge!$N:$N,ROW()))),INDEX(Charge!$N:$N,ROW()),"")</f>
        <v/>
      </c>
      <c r="J142" s="165" t="str">
        <f>IF(I142="","",IF(AND(p_Repartition="Lissée jusqu'à la date de besoin",ISNUMBER(INDEX(Charge!$F:$F,ROW()))),IF(INDEX(Charge!$F:$F,ROW())&gt;=I142,INDEX(Charge!$F:$F,ROW()),I142),I142))</f>
        <v/>
      </c>
      <c r="K142" t="str">
        <f>IF(I142="","",NETWORKDAYS(I142,J142,Data!$K$4:$K$203))</f>
        <v/>
      </c>
      <c r="L142" t="str">
        <f>IF(D142=1,COUNTIFS($D$4:$D$503,1,$E$4:$E$503,"&gt;"&amp;E142)+COUNTIFS($D$4:$D142,1,$E$4:$E142,E142),"")</f>
        <v/>
      </c>
      <c r="M142">
        <f>IF(F142="",0,IF(COUNTIF($F$4:F142,F142)=1,1,0))</f>
        <v>0</v>
      </c>
      <c r="N142" t="str">
        <f>IF(M142=1,ROUND(SUMIF($F$4:$F$503,F142,$E$4:$E$503),2),"")</f>
        <v/>
      </c>
      <c r="O142" t="str">
        <f>IF(M142=1,COUNTIFS($M$4:$M$503,1,$N$4:$N$503,"&gt;"&amp;N142)+COUNTIFS($M$4:M142,1,$N$4:N142,N142),"")</f>
        <v/>
      </c>
      <c r="P142">
        <f>IF(G142="",0,IF(COUNTIF($G$4:G142,G142)=1,1,0))</f>
        <v>0</v>
      </c>
      <c r="Q142" t="str">
        <f>IF(P142=1,ROUND(SUMIF($G$4:$G$503,G142,$E$4:$E$503),2),"")</f>
        <v/>
      </c>
      <c r="R142" t="str">
        <f>IF(P142=1,COUNTIFS($P$4:$P$503,1,$Q$4:$Q$503,"&gt;"&amp;Q142)+COUNTIFS($P$4:P142,1,$Q$4:Q142,Q142),"")</f>
        <v/>
      </c>
      <c r="S142">
        <f>IF(H142="",0,IF(COUNTIF($H$4:H142,H142)=1,1,0))</f>
        <v>0</v>
      </c>
      <c r="T142" t="str">
        <f>IF(S142=1,ROUND(SUMIF($H$4:$H$503,H142,$E$4:$E$503),2),"")</f>
        <v/>
      </c>
      <c r="U142" t="str">
        <f>IF(S142=1,COUNTIFS($S$4:$S$503,1,$T$4:$T$503,"&gt;"&amp;T142)+COUNTIFS($S$4:S142,1,$T$4:T142,T142),"")</f>
        <v/>
      </c>
      <c r="V142" t="str">
        <f>IF(D142=1,MIN(INDEX($R$4:$R$503,MATCH(G142,$G$4:$G$503,0)),IF($AL$7&gt;9,9,999)),"")</f>
        <v/>
      </c>
      <c r="W142" s="166">
        <f>IF(OR($I142="",$E142=0),0,IF(OR($J142&lt;W$3,$I142&gt;W$2),0,IF($K142=0,IF(AND($I142&gt;=W$3,$I142&lt;=W$2),$E142,0),$E142*NETWORKDAYS(MAX($I142,W$3),MIN($J142,W$2),Data!$K$4:$K$203)/$K142)))</f>
        <v>0</v>
      </c>
      <c r="X142" s="166">
        <f>IF(OR($I142="",$E142=0),0,IF(OR($J142&lt;X$3,$I142&gt;X$2),0,IF($K142=0,IF(AND($I142&gt;=X$3,$I142&lt;=X$2),$E142,0),$E142*NETWORKDAYS(MAX($I142,X$3),MIN($J142,X$2),Data!$K$4:$K$203)/$K142)))</f>
        <v>0</v>
      </c>
      <c r="Y142" s="166">
        <f>IF(OR($I142="",$E142=0),0,IF(OR($J142&lt;Y$3,$I142&gt;Y$2),0,IF($K142=0,IF(AND($I142&gt;=Y$3,$I142&lt;=Y$2),$E142,0),$E142*NETWORKDAYS(MAX($I142,Y$3),MIN($J142,Y$2),Data!$K$4:$K$203)/$K142)))</f>
        <v>0</v>
      </c>
      <c r="Z142" s="166">
        <f>IF(OR($I142="",$E142=0),0,IF(OR($J142&lt;Z$3,$I142&gt;Z$2),0,IF($K142=0,IF(AND($I142&gt;=Z$3,$I142&lt;=Z$2),$E142,0),$E142*NETWORKDAYS(MAX($I142,Z$3),MIN($J142,Z$2),Data!$K$4:$K$203)/$K142)))</f>
        <v>0</v>
      </c>
      <c r="AA142" s="166">
        <f>IF(OR($I142="",$E142=0),0,IF(OR($J142&lt;AA$3,$I142&gt;AA$2),0,IF($K142=0,IF(AND($I142&gt;=AA$3,$I142&lt;=AA$2),$E142,0),$E142*NETWORKDAYS(MAX($I142,AA$3),MIN($J142,AA$2),Data!$K$4:$K$203)/$K142)))</f>
        <v>0</v>
      </c>
      <c r="AB142" s="166">
        <f>IF(OR($I142="",$E142=0),0,IF(OR($J142&lt;AB$3,$I142&gt;AB$2),0,IF($K142=0,IF(AND($I142&gt;=AB$3,$I142&lt;=AB$2),$E142,0),$E142*NETWORKDAYS(MAX($I142,AB$3),MIN($J142,AB$2),Data!$K$4:$K$203)/$K142)))</f>
        <v>0</v>
      </c>
      <c r="AC142" s="166">
        <f>IF(OR($I142="",$E142=0),0,IF(OR($J142&lt;AC$3,$I142&gt;AC$2),0,IF($K142=0,IF(AND($I142&gt;=AC$3,$I142&lt;=AC$2),$E142,0),$E142*NETWORKDAYS(MAX($I142,AC$3),MIN($J142,AC$2),Data!$K$4:$K$203)/$K142)))</f>
        <v>0</v>
      </c>
      <c r="AD142" s="166">
        <f>IF(OR($I142="",$E142=0),0,IF(OR($J142&lt;AD$3,$I142&gt;AD$2),0,IF($K142=0,IF(AND($I142&gt;=AD$3,$I142&lt;=AD$2),$E142,0),$E142*NETWORKDAYS(MAX($I142,AD$3),MIN($J142,AD$2),Data!$K$4:$K$203)/$K142)))</f>
        <v>0</v>
      </c>
      <c r="AE142" s="166">
        <f>IF(OR($I142="",$E142=0),0,IF(OR($J142&lt;AE$3,$I142&gt;AE$2),0,IF($K142=0,IF(AND($I142&gt;=AE$3,$I142&lt;=AE$2),$E142,0),$E142*NETWORKDAYS(MAX($I142,AE$3),MIN($J142,AE$2),Data!$K$4:$K$203)/$K142)))</f>
        <v>0</v>
      </c>
      <c r="AF142" s="166">
        <f>IF(OR($I142="",$E142=0),0,IF(OR($J142&lt;AF$3,$I142&gt;AF$2),0,IF($K142=0,IF(AND($I142&gt;=AF$3,$I142&lt;=AF$2),$E142,0),$E142*NETWORKDAYS(MAX($I142,AF$3),MIN($J142,AF$2),Data!$K$4:$K$203)/$K142)))</f>
        <v>0</v>
      </c>
      <c r="AG142" s="166">
        <f>IF(OR($I142="",$E142=0),0,IF(OR($J142&lt;AG$3,$I142&gt;AG$2),0,IF($K142=0,IF(AND($I142&gt;=AG$3,$I142&lt;=AG$2),$E142,0),$E142*NETWORKDAYS(MAX($I142,AG$3),MIN($J142,AG$2),Data!$K$4:$K$203)/$K142)))</f>
        <v>0</v>
      </c>
      <c r="AH142" s="166">
        <f>IF(OR($I142="",$E142=0),0,IF(OR($J142&lt;AH$3,$I142&gt;AH$2),0,IF($K142=0,IF(AND($I142&gt;=AH$3,$I142&lt;=AH$2),$E142,0),$E142*NETWORKDAYS(MAX($I142,AH$3),MIN($J142,AH$2),Data!$K$4:$K$203)/$K142)))</f>
        <v>0</v>
      </c>
      <c r="AI142" s="166">
        <f>SUM(W142:AH142)</f>
        <v>0</v>
      </c>
      <c r="BZ142" t="str">
        <f>IF(D142=1,IF(TRIM(INDEX(Charge!$K:$K,ROW()))&lt;&gt;"",TRIM(INDEX(Charge!$K:$K,ROW())),IF(TRIM(INDEX(Charge!$L:$L,ROW()))&lt;&gt;"",TRIM(INDEX(Charge!$L:$L,ROW())),"(non affecté)")),"")</f>
        <v/>
      </c>
      <c r="CA142" t="str">
        <f>IF(AND($CD$4&lt;&gt;"",BZ142=$CD$4),COUNTIFS($BZ$4:$BZ$503,$CD$4,$L$4:$L$503,"&lt;"&amp;L142)+1,"")</f>
        <v/>
      </c>
      <c r="EJ142" t="str">
        <f>TRIM(INDEX(Data!$E:$E,ROW()))</f>
        <v/>
      </c>
      <c r="EK142" t="str">
        <f>TRIM(INDEX(Data!$H:$H,ROW()))</f>
        <v/>
      </c>
      <c r="EM142" t="str">
        <f>IF(D142=1,IF(TRIM(INDEX(Charge!$K:$K,ROW()))&lt;&gt;"","Interne",IF(TRIM(INDEX(Charge!$L:$L,ROW()))&lt;&gt;"","Externe","Non affecté")),"")</f>
        <v/>
      </c>
      <c r="EN142" t="str">
        <f>IF(D142=1,LEFT(SUBSTITUTE(SUBSTITUTE(SUBSTITUTE(TRIM(SUBSTITUTE(INDEX(Charge!$B:$B,ROW()),CHAR(160)," "))&amp;" | "&amp;TRIM(SUBSTITUTE(INDEX(Charge!$C:$C,ROW()),CHAR(160)," "))&amp;" | "&amp;TRIM(SUBSTITUTE(INDEX(Charge!$D:$D,ROW()),CHAR(160)," ")),"~","-"),"*","+"),"?","!"),240),"")</f>
        <v/>
      </c>
      <c r="EO142">
        <f>IF(EN142="",0,IF(COUNTIF($EN$4:EN142,EN142)=1,1,0))</f>
        <v>0</v>
      </c>
      <c r="EP142" s="166" t="str">
        <f>IF(EO142=1,ROUND(SUMIF($EN$4:$EN$503,EN142,$E$4:$E$503),2),"")</f>
        <v/>
      </c>
      <c r="EQ142" t="str">
        <f>IF(EO142=1,COUNTIFS($EO$4:$EO$503,1,$EP$4:$EP$503,"&gt;"&amp;EP142)+COUNTIFS($EO$4:EO142,1,$EP$4:EP142,EP142),"")</f>
        <v/>
      </c>
      <c r="ER142" t="str">
        <f>IF(EO142=1,COUNTIFS($EN$4:$EN$503,EN142,$EM$4:$EM$503,"Interne",$FE$4:$FE$503,1),"")</f>
        <v/>
      </c>
      <c r="ES142" t="str">
        <f>IF(EO142=1,COUNTIFS($EN$4:$EN$503,EN142,$EM$4:$EM$503,"Externe",$FE$4:$FE$503,1),"")</f>
        <v/>
      </c>
      <c r="ET142" t="str">
        <f>IF(EO142=1,IF(ER142+ES142=0,"à affecter",IF(ER142=0,ES142&amp;" ext.",(ER142+ES142)&amp;IF(ES142&gt;0," dont "&amp;ES142&amp;" ext.",""))&amp;IF(COUNTIFS($EN$4:$EN$503,EN142,$EM$4:$EM$503,"Non affecté")&gt;0," + à affecter","")),"")</f>
        <v/>
      </c>
      <c r="EU142" s="170" t="str">
        <f>IF(EO142=1,IF(EP142&gt;0,SUMPRODUCT(($EN$4:$EN$503=EN142)*$E$4:$E$503*$C$4:$C$503)/EP142,AVERAGEIF($EN$4:$EN$503,EN142,$C$4:$C$503)),"")</f>
        <v/>
      </c>
      <c r="EV142" s="165">
        <f>IF(ISNUMBER(I142),I142,2958465)</f>
        <v>2958465.0</v>
      </c>
      <c r="EW142" s="165" t="str">
        <f>IF(EO142=1,SUMPRODUCT(MIN(($EN$4:$EN$503=EN142)*$EV$4:$EV$503+($EN$4:$EN$503&lt;&gt;EN142)*2958465)),"")</f>
        <v/>
      </c>
      <c r="EX142" s="165">
        <f>IF(AND(D142=1,ISNUMBER(INDEX(Charge!$F:$F,ROW()))),INDEX(Charge!$F:$F,ROW()),0)</f>
        <v>0.0</v>
      </c>
      <c r="EY142" s="165" t="str">
        <f>IF(EO142=1,SUMPRODUCT(MAX(($EN$4:$EN$503=EN142)*$EX$4:$EX$503)),"")</f>
        <v/>
      </c>
      <c r="FA142" t="str">
        <f>IF(139&lt;=$CD$23,INDEX($EJ$4:$EJ$203,139),IF(139-$CD$23&lt;=$CD$26,INDEX($EK$4:$EK$203,139-$CD$23),""))</f>
        <v/>
      </c>
      <c r="FB142" t="str">
        <f>IF(FA142="","",IF(139&lt;=$CD$23,"Interne","Externe"))</f>
        <v/>
      </c>
      <c r="FD142">
        <f>IF(AND(B142=1,TRIM(INDEX(Charge!$K:$K,ROW()))&lt;&gt;"",TRIM(INDEX(Charge!$L:$L,ROW()))&lt;&gt;""),1,0)</f>
        <v>0</v>
      </c>
      <c r="FE142">
        <f>IF(OR(EN142="",BZ142="(non affecté)"),0,IF(COUNTIFS($EN$4:EN142,EN142,$BZ$4:BZ142,BZ142)=1,1,0))</f>
        <v>0</v>
      </c>
    </row>
    <row r="143">
      <c r="A143">
        <f>ROW()</f>
        <v>143</v>
      </c>
      <c r="B143">
        <f>IF(TRIM(INDEX(Charge!$B:$B,ROW()))&lt;&gt;"",1,0)</f>
        <v>0</v>
      </c>
      <c r="C143">
        <f>IF(B143=1,MIN(1,MAX(0,N(INDEX(Charge!$O:$O,ROW())))),0)</f>
        <v>0</v>
      </c>
      <c r="D143">
        <f>IF(B143=1,IF(OR(p_Perimetre="Tous les projets",C143&lt;1),1,0),0)</f>
        <v>0</v>
      </c>
      <c r="E143">
        <f>IF(D143=1,MAX(0,N(INDEX(Charge!$M:$M,ROW()))),0)</f>
        <v>0</v>
      </c>
      <c r="F143" t="str">
        <f>IF(D143=1,IF(TRIM(INDEX(Charge!$A:$A,ROW()))="","(non renseigné)",TRIM(INDEX(Charge!$A:$A,ROW()))),"")</f>
        <v/>
      </c>
      <c r="G143" t="str">
        <f>IF(D143=1,TRIM(INDEX(Charge!$B:$B,ROW())),"")</f>
        <v/>
      </c>
      <c r="H143" t="str">
        <f>IF(D143=1,IF(TRIM(INDEX(Charge!$E:$E,ROW()))="","(non renseigné)",TRIM(INDEX(Charge!$E:$E,ROW()))),"")</f>
        <v/>
      </c>
      <c r="I143" s="165" t="str">
        <f>IF(AND(D143=1,ISNUMBER(INDEX(Charge!$N:$N,ROW()))),INDEX(Charge!$N:$N,ROW()),"")</f>
        <v/>
      </c>
      <c r="J143" s="165" t="str">
        <f>IF(I143="","",IF(AND(p_Repartition="Lissée jusqu'à la date de besoin",ISNUMBER(INDEX(Charge!$F:$F,ROW()))),IF(INDEX(Charge!$F:$F,ROW())&gt;=I143,INDEX(Charge!$F:$F,ROW()),I143),I143))</f>
        <v/>
      </c>
      <c r="K143" t="str">
        <f>IF(I143="","",NETWORKDAYS(I143,J143,Data!$K$4:$K$203))</f>
        <v/>
      </c>
      <c r="L143" t="str">
        <f>IF(D143=1,COUNTIFS($D$4:$D$503,1,$E$4:$E$503,"&gt;"&amp;E143)+COUNTIFS($D$4:$D143,1,$E$4:$E143,E143),"")</f>
        <v/>
      </c>
      <c r="M143">
        <f>IF(F143="",0,IF(COUNTIF($F$4:F143,F143)=1,1,0))</f>
        <v>0</v>
      </c>
      <c r="N143" t="str">
        <f>IF(M143=1,ROUND(SUMIF($F$4:$F$503,F143,$E$4:$E$503),2),"")</f>
        <v/>
      </c>
      <c r="O143" t="str">
        <f>IF(M143=1,COUNTIFS($M$4:$M$503,1,$N$4:$N$503,"&gt;"&amp;N143)+COUNTIFS($M$4:M143,1,$N$4:N143,N143),"")</f>
        <v/>
      </c>
      <c r="P143">
        <f>IF(G143="",0,IF(COUNTIF($G$4:G143,G143)=1,1,0))</f>
        <v>0</v>
      </c>
      <c r="Q143" t="str">
        <f>IF(P143=1,ROUND(SUMIF($G$4:$G$503,G143,$E$4:$E$503),2),"")</f>
        <v/>
      </c>
      <c r="R143" t="str">
        <f>IF(P143=1,COUNTIFS($P$4:$P$503,1,$Q$4:$Q$503,"&gt;"&amp;Q143)+COUNTIFS($P$4:P143,1,$Q$4:Q143,Q143),"")</f>
        <v/>
      </c>
      <c r="S143">
        <f>IF(H143="",0,IF(COUNTIF($H$4:H143,H143)=1,1,0))</f>
        <v>0</v>
      </c>
      <c r="T143" t="str">
        <f>IF(S143=1,ROUND(SUMIF($H$4:$H$503,H143,$E$4:$E$503),2),"")</f>
        <v/>
      </c>
      <c r="U143" t="str">
        <f>IF(S143=1,COUNTIFS($S$4:$S$503,1,$T$4:$T$503,"&gt;"&amp;T143)+COUNTIFS($S$4:S143,1,$T$4:T143,T143),"")</f>
        <v/>
      </c>
      <c r="V143" t="str">
        <f>IF(D143=1,MIN(INDEX($R$4:$R$503,MATCH(G143,$G$4:$G$503,0)),IF($AL$7&gt;9,9,999)),"")</f>
        <v/>
      </c>
      <c r="W143" s="166">
        <f>IF(OR($I143="",$E143=0),0,IF(OR($J143&lt;W$3,$I143&gt;W$2),0,IF($K143=0,IF(AND($I143&gt;=W$3,$I143&lt;=W$2),$E143,0),$E143*NETWORKDAYS(MAX($I143,W$3),MIN($J143,W$2),Data!$K$4:$K$203)/$K143)))</f>
        <v>0</v>
      </c>
      <c r="X143" s="166">
        <f>IF(OR($I143="",$E143=0),0,IF(OR($J143&lt;X$3,$I143&gt;X$2),0,IF($K143=0,IF(AND($I143&gt;=X$3,$I143&lt;=X$2),$E143,0),$E143*NETWORKDAYS(MAX($I143,X$3),MIN($J143,X$2),Data!$K$4:$K$203)/$K143)))</f>
        <v>0</v>
      </c>
      <c r="Y143" s="166">
        <f>IF(OR($I143="",$E143=0),0,IF(OR($J143&lt;Y$3,$I143&gt;Y$2),0,IF($K143=0,IF(AND($I143&gt;=Y$3,$I143&lt;=Y$2),$E143,0),$E143*NETWORKDAYS(MAX($I143,Y$3),MIN($J143,Y$2),Data!$K$4:$K$203)/$K143)))</f>
        <v>0</v>
      </c>
      <c r="Z143" s="166">
        <f>IF(OR($I143="",$E143=0),0,IF(OR($J143&lt;Z$3,$I143&gt;Z$2),0,IF($K143=0,IF(AND($I143&gt;=Z$3,$I143&lt;=Z$2),$E143,0),$E143*NETWORKDAYS(MAX($I143,Z$3),MIN($J143,Z$2),Data!$K$4:$K$203)/$K143)))</f>
        <v>0</v>
      </c>
      <c r="AA143" s="166">
        <f>IF(OR($I143="",$E143=0),0,IF(OR($J143&lt;AA$3,$I143&gt;AA$2),0,IF($K143=0,IF(AND($I143&gt;=AA$3,$I143&lt;=AA$2),$E143,0),$E143*NETWORKDAYS(MAX($I143,AA$3),MIN($J143,AA$2),Data!$K$4:$K$203)/$K143)))</f>
        <v>0</v>
      </c>
      <c r="AB143" s="166">
        <f>IF(OR($I143="",$E143=0),0,IF(OR($J143&lt;AB$3,$I143&gt;AB$2),0,IF($K143=0,IF(AND($I143&gt;=AB$3,$I143&lt;=AB$2),$E143,0),$E143*NETWORKDAYS(MAX($I143,AB$3),MIN($J143,AB$2),Data!$K$4:$K$203)/$K143)))</f>
        <v>0</v>
      </c>
      <c r="AC143" s="166">
        <f>IF(OR($I143="",$E143=0),0,IF(OR($J143&lt;AC$3,$I143&gt;AC$2),0,IF($K143=0,IF(AND($I143&gt;=AC$3,$I143&lt;=AC$2),$E143,0),$E143*NETWORKDAYS(MAX($I143,AC$3),MIN($J143,AC$2),Data!$K$4:$K$203)/$K143)))</f>
        <v>0</v>
      </c>
      <c r="AD143" s="166">
        <f>IF(OR($I143="",$E143=0),0,IF(OR($J143&lt;AD$3,$I143&gt;AD$2),0,IF($K143=0,IF(AND($I143&gt;=AD$3,$I143&lt;=AD$2),$E143,0),$E143*NETWORKDAYS(MAX($I143,AD$3),MIN($J143,AD$2),Data!$K$4:$K$203)/$K143)))</f>
        <v>0</v>
      </c>
      <c r="AE143" s="166">
        <f>IF(OR($I143="",$E143=0),0,IF(OR($J143&lt;AE$3,$I143&gt;AE$2),0,IF($K143=0,IF(AND($I143&gt;=AE$3,$I143&lt;=AE$2),$E143,0),$E143*NETWORKDAYS(MAX($I143,AE$3),MIN($J143,AE$2),Data!$K$4:$K$203)/$K143)))</f>
        <v>0</v>
      </c>
      <c r="AF143" s="166">
        <f>IF(OR($I143="",$E143=0),0,IF(OR($J143&lt;AF$3,$I143&gt;AF$2),0,IF($K143=0,IF(AND($I143&gt;=AF$3,$I143&lt;=AF$2),$E143,0),$E143*NETWORKDAYS(MAX($I143,AF$3),MIN($J143,AF$2),Data!$K$4:$K$203)/$K143)))</f>
        <v>0</v>
      </c>
      <c r="AG143" s="166">
        <f>IF(OR($I143="",$E143=0),0,IF(OR($J143&lt;AG$3,$I143&gt;AG$2),0,IF($K143=0,IF(AND($I143&gt;=AG$3,$I143&lt;=AG$2),$E143,0),$E143*NETWORKDAYS(MAX($I143,AG$3),MIN($J143,AG$2),Data!$K$4:$K$203)/$K143)))</f>
        <v>0</v>
      </c>
      <c r="AH143" s="166">
        <f>IF(OR($I143="",$E143=0),0,IF(OR($J143&lt;AH$3,$I143&gt;AH$2),0,IF($K143=0,IF(AND($I143&gt;=AH$3,$I143&lt;=AH$2),$E143,0),$E143*NETWORKDAYS(MAX($I143,AH$3),MIN($J143,AH$2),Data!$K$4:$K$203)/$K143)))</f>
        <v>0</v>
      </c>
      <c r="AI143" s="166">
        <f>SUM(W143:AH143)</f>
        <v>0</v>
      </c>
      <c r="BZ143" t="str">
        <f>IF(D143=1,IF(TRIM(INDEX(Charge!$K:$K,ROW()))&lt;&gt;"",TRIM(INDEX(Charge!$K:$K,ROW())),IF(TRIM(INDEX(Charge!$L:$L,ROW()))&lt;&gt;"",TRIM(INDEX(Charge!$L:$L,ROW())),"(non affecté)")),"")</f>
        <v/>
      </c>
      <c r="CA143" t="str">
        <f>IF(AND($CD$4&lt;&gt;"",BZ143=$CD$4),COUNTIFS($BZ$4:$BZ$503,$CD$4,$L$4:$L$503,"&lt;"&amp;L143)+1,"")</f>
        <v/>
      </c>
      <c r="EJ143" t="str">
        <f>TRIM(INDEX(Data!$E:$E,ROW()))</f>
        <v/>
      </c>
      <c r="EK143" t="str">
        <f>TRIM(INDEX(Data!$H:$H,ROW()))</f>
        <v/>
      </c>
      <c r="EM143" t="str">
        <f>IF(D143=1,IF(TRIM(INDEX(Charge!$K:$K,ROW()))&lt;&gt;"","Interne",IF(TRIM(INDEX(Charge!$L:$L,ROW()))&lt;&gt;"","Externe","Non affecté")),"")</f>
        <v/>
      </c>
      <c r="EN143" t="str">
        <f>IF(D143=1,LEFT(SUBSTITUTE(SUBSTITUTE(SUBSTITUTE(TRIM(SUBSTITUTE(INDEX(Charge!$B:$B,ROW()),CHAR(160)," "))&amp;" | "&amp;TRIM(SUBSTITUTE(INDEX(Charge!$C:$C,ROW()),CHAR(160)," "))&amp;" | "&amp;TRIM(SUBSTITUTE(INDEX(Charge!$D:$D,ROW()),CHAR(160)," ")),"~","-"),"*","+"),"?","!"),240),"")</f>
        <v/>
      </c>
      <c r="EO143">
        <f>IF(EN143="",0,IF(COUNTIF($EN$4:EN143,EN143)=1,1,0))</f>
        <v>0</v>
      </c>
      <c r="EP143" s="166" t="str">
        <f>IF(EO143=1,ROUND(SUMIF($EN$4:$EN$503,EN143,$E$4:$E$503),2),"")</f>
        <v/>
      </c>
      <c r="EQ143" t="str">
        <f>IF(EO143=1,COUNTIFS($EO$4:$EO$503,1,$EP$4:$EP$503,"&gt;"&amp;EP143)+COUNTIFS($EO$4:EO143,1,$EP$4:EP143,EP143),"")</f>
        <v/>
      </c>
      <c r="ER143" t="str">
        <f>IF(EO143=1,COUNTIFS($EN$4:$EN$503,EN143,$EM$4:$EM$503,"Interne",$FE$4:$FE$503,1),"")</f>
        <v/>
      </c>
      <c r="ES143" t="str">
        <f>IF(EO143=1,COUNTIFS($EN$4:$EN$503,EN143,$EM$4:$EM$503,"Externe",$FE$4:$FE$503,1),"")</f>
        <v/>
      </c>
      <c r="ET143" t="str">
        <f>IF(EO143=1,IF(ER143+ES143=0,"à affecter",IF(ER143=0,ES143&amp;" ext.",(ER143+ES143)&amp;IF(ES143&gt;0," dont "&amp;ES143&amp;" ext.",""))&amp;IF(COUNTIFS($EN$4:$EN$503,EN143,$EM$4:$EM$503,"Non affecté")&gt;0," + à affecter","")),"")</f>
        <v/>
      </c>
      <c r="EU143" s="170" t="str">
        <f>IF(EO143=1,IF(EP143&gt;0,SUMPRODUCT(($EN$4:$EN$503=EN143)*$E$4:$E$503*$C$4:$C$503)/EP143,AVERAGEIF($EN$4:$EN$503,EN143,$C$4:$C$503)),"")</f>
        <v/>
      </c>
      <c r="EV143" s="165">
        <f>IF(ISNUMBER(I143),I143,2958465)</f>
        <v>2958465.0</v>
      </c>
      <c r="EW143" s="165" t="str">
        <f>IF(EO143=1,SUMPRODUCT(MIN(($EN$4:$EN$503=EN143)*$EV$4:$EV$503+($EN$4:$EN$503&lt;&gt;EN143)*2958465)),"")</f>
        <v/>
      </c>
      <c r="EX143" s="165">
        <f>IF(AND(D143=1,ISNUMBER(INDEX(Charge!$F:$F,ROW()))),INDEX(Charge!$F:$F,ROW()),0)</f>
        <v>0.0</v>
      </c>
      <c r="EY143" s="165" t="str">
        <f>IF(EO143=1,SUMPRODUCT(MAX(($EN$4:$EN$503=EN143)*$EX$4:$EX$503)),"")</f>
        <v/>
      </c>
      <c r="FA143" t="str">
        <f>IF(140&lt;=$CD$23,INDEX($EJ$4:$EJ$203,140),IF(140-$CD$23&lt;=$CD$26,INDEX($EK$4:$EK$203,140-$CD$23),""))</f>
        <v/>
      </c>
      <c r="FB143" t="str">
        <f>IF(FA143="","",IF(140&lt;=$CD$23,"Interne","Externe"))</f>
        <v/>
      </c>
      <c r="FD143">
        <f>IF(AND(B143=1,TRIM(INDEX(Charge!$K:$K,ROW()))&lt;&gt;"",TRIM(INDEX(Charge!$L:$L,ROW()))&lt;&gt;""),1,0)</f>
        <v>0</v>
      </c>
      <c r="FE143">
        <f>IF(OR(EN143="",BZ143="(non affecté)"),0,IF(COUNTIFS($EN$4:EN143,EN143,$BZ$4:BZ143,BZ143)=1,1,0))</f>
        <v>0</v>
      </c>
    </row>
    <row r="144">
      <c r="A144">
        <f>ROW()</f>
        <v>144</v>
      </c>
      <c r="B144">
        <f>IF(TRIM(INDEX(Charge!$B:$B,ROW()))&lt;&gt;"",1,0)</f>
        <v>0</v>
      </c>
      <c r="C144">
        <f>IF(B144=1,MIN(1,MAX(0,N(INDEX(Charge!$O:$O,ROW())))),0)</f>
        <v>0</v>
      </c>
      <c r="D144">
        <f>IF(B144=1,IF(OR(p_Perimetre="Tous les projets",C144&lt;1),1,0),0)</f>
        <v>0</v>
      </c>
      <c r="E144">
        <f>IF(D144=1,MAX(0,N(INDEX(Charge!$M:$M,ROW()))),0)</f>
        <v>0</v>
      </c>
      <c r="F144" t="str">
        <f>IF(D144=1,IF(TRIM(INDEX(Charge!$A:$A,ROW()))="","(non renseigné)",TRIM(INDEX(Charge!$A:$A,ROW()))),"")</f>
        <v/>
      </c>
      <c r="G144" t="str">
        <f>IF(D144=1,TRIM(INDEX(Charge!$B:$B,ROW())),"")</f>
        <v/>
      </c>
      <c r="H144" t="str">
        <f>IF(D144=1,IF(TRIM(INDEX(Charge!$E:$E,ROW()))="","(non renseigné)",TRIM(INDEX(Charge!$E:$E,ROW()))),"")</f>
        <v/>
      </c>
      <c r="I144" s="165" t="str">
        <f>IF(AND(D144=1,ISNUMBER(INDEX(Charge!$N:$N,ROW()))),INDEX(Charge!$N:$N,ROW()),"")</f>
        <v/>
      </c>
      <c r="J144" s="165" t="str">
        <f>IF(I144="","",IF(AND(p_Repartition="Lissée jusqu'à la date de besoin",ISNUMBER(INDEX(Charge!$F:$F,ROW()))),IF(INDEX(Charge!$F:$F,ROW())&gt;=I144,INDEX(Charge!$F:$F,ROW()),I144),I144))</f>
        <v/>
      </c>
      <c r="K144" t="str">
        <f>IF(I144="","",NETWORKDAYS(I144,J144,Data!$K$4:$K$203))</f>
        <v/>
      </c>
      <c r="L144" t="str">
        <f>IF(D144=1,COUNTIFS($D$4:$D$503,1,$E$4:$E$503,"&gt;"&amp;E144)+COUNTIFS($D$4:$D144,1,$E$4:$E144,E144),"")</f>
        <v/>
      </c>
      <c r="M144">
        <f>IF(F144="",0,IF(COUNTIF($F$4:F144,F144)=1,1,0))</f>
        <v>0</v>
      </c>
      <c r="N144" t="str">
        <f>IF(M144=1,ROUND(SUMIF($F$4:$F$503,F144,$E$4:$E$503),2),"")</f>
        <v/>
      </c>
      <c r="O144" t="str">
        <f>IF(M144=1,COUNTIFS($M$4:$M$503,1,$N$4:$N$503,"&gt;"&amp;N144)+COUNTIFS($M$4:M144,1,$N$4:N144,N144),"")</f>
        <v/>
      </c>
      <c r="P144">
        <f>IF(G144="",0,IF(COUNTIF($G$4:G144,G144)=1,1,0))</f>
        <v>0</v>
      </c>
      <c r="Q144" t="str">
        <f>IF(P144=1,ROUND(SUMIF($G$4:$G$503,G144,$E$4:$E$503),2),"")</f>
        <v/>
      </c>
      <c r="R144" t="str">
        <f>IF(P144=1,COUNTIFS($P$4:$P$503,1,$Q$4:$Q$503,"&gt;"&amp;Q144)+COUNTIFS($P$4:P144,1,$Q$4:Q144,Q144),"")</f>
        <v/>
      </c>
      <c r="S144">
        <f>IF(H144="",0,IF(COUNTIF($H$4:H144,H144)=1,1,0))</f>
        <v>0</v>
      </c>
      <c r="T144" t="str">
        <f>IF(S144=1,ROUND(SUMIF($H$4:$H$503,H144,$E$4:$E$503),2),"")</f>
        <v/>
      </c>
      <c r="U144" t="str">
        <f>IF(S144=1,COUNTIFS($S$4:$S$503,1,$T$4:$T$503,"&gt;"&amp;T144)+COUNTIFS($S$4:S144,1,$T$4:T144,T144),"")</f>
        <v/>
      </c>
      <c r="V144" t="str">
        <f>IF(D144=1,MIN(INDEX($R$4:$R$503,MATCH(G144,$G$4:$G$503,0)),IF($AL$7&gt;9,9,999)),"")</f>
        <v/>
      </c>
      <c r="W144" s="166">
        <f>IF(OR($I144="",$E144=0),0,IF(OR($J144&lt;W$3,$I144&gt;W$2),0,IF($K144=0,IF(AND($I144&gt;=W$3,$I144&lt;=W$2),$E144,0),$E144*NETWORKDAYS(MAX($I144,W$3),MIN($J144,W$2),Data!$K$4:$K$203)/$K144)))</f>
        <v>0</v>
      </c>
      <c r="X144" s="166">
        <f>IF(OR($I144="",$E144=0),0,IF(OR($J144&lt;X$3,$I144&gt;X$2),0,IF($K144=0,IF(AND($I144&gt;=X$3,$I144&lt;=X$2),$E144,0),$E144*NETWORKDAYS(MAX($I144,X$3),MIN($J144,X$2),Data!$K$4:$K$203)/$K144)))</f>
        <v>0</v>
      </c>
      <c r="Y144" s="166">
        <f>IF(OR($I144="",$E144=0),0,IF(OR($J144&lt;Y$3,$I144&gt;Y$2),0,IF($K144=0,IF(AND($I144&gt;=Y$3,$I144&lt;=Y$2),$E144,0),$E144*NETWORKDAYS(MAX($I144,Y$3),MIN($J144,Y$2),Data!$K$4:$K$203)/$K144)))</f>
        <v>0</v>
      </c>
      <c r="Z144" s="166">
        <f>IF(OR($I144="",$E144=0),0,IF(OR($J144&lt;Z$3,$I144&gt;Z$2),0,IF($K144=0,IF(AND($I144&gt;=Z$3,$I144&lt;=Z$2),$E144,0),$E144*NETWORKDAYS(MAX($I144,Z$3),MIN($J144,Z$2),Data!$K$4:$K$203)/$K144)))</f>
        <v>0</v>
      </c>
      <c r="AA144" s="166">
        <f>IF(OR($I144="",$E144=0),0,IF(OR($J144&lt;AA$3,$I144&gt;AA$2),0,IF($K144=0,IF(AND($I144&gt;=AA$3,$I144&lt;=AA$2),$E144,0),$E144*NETWORKDAYS(MAX($I144,AA$3),MIN($J144,AA$2),Data!$K$4:$K$203)/$K144)))</f>
        <v>0</v>
      </c>
      <c r="AB144" s="166">
        <f>IF(OR($I144="",$E144=0),0,IF(OR($J144&lt;AB$3,$I144&gt;AB$2),0,IF($K144=0,IF(AND($I144&gt;=AB$3,$I144&lt;=AB$2),$E144,0),$E144*NETWORKDAYS(MAX($I144,AB$3),MIN($J144,AB$2),Data!$K$4:$K$203)/$K144)))</f>
        <v>0</v>
      </c>
      <c r="AC144" s="166">
        <f>IF(OR($I144="",$E144=0),0,IF(OR($J144&lt;AC$3,$I144&gt;AC$2),0,IF($K144=0,IF(AND($I144&gt;=AC$3,$I144&lt;=AC$2),$E144,0),$E144*NETWORKDAYS(MAX($I144,AC$3),MIN($J144,AC$2),Data!$K$4:$K$203)/$K144)))</f>
        <v>0</v>
      </c>
      <c r="AD144" s="166">
        <f>IF(OR($I144="",$E144=0),0,IF(OR($J144&lt;AD$3,$I144&gt;AD$2),0,IF($K144=0,IF(AND($I144&gt;=AD$3,$I144&lt;=AD$2),$E144,0),$E144*NETWORKDAYS(MAX($I144,AD$3),MIN($J144,AD$2),Data!$K$4:$K$203)/$K144)))</f>
        <v>0</v>
      </c>
      <c r="AE144" s="166">
        <f>IF(OR($I144="",$E144=0),0,IF(OR($J144&lt;AE$3,$I144&gt;AE$2),0,IF($K144=0,IF(AND($I144&gt;=AE$3,$I144&lt;=AE$2),$E144,0),$E144*NETWORKDAYS(MAX($I144,AE$3),MIN($J144,AE$2),Data!$K$4:$K$203)/$K144)))</f>
        <v>0</v>
      </c>
      <c r="AF144" s="166">
        <f>IF(OR($I144="",$E144=0),0,IF(OR($J144&lt;AF$3,$I144&gt;AF$2),0,IF($K144=0,IF(AND($I144&gt;=AF$3,$I144&lt;=AF$2),$E144,0),$E144*NETWORKDAYS(MAX($I144,AF$3),MIN($J144,AF$2),Data!$K$4:$K$203)/$K144)))</f>
        <v>0</v>
      </c>
      <c r="AG144" s="166">
        <f>IF(OR($I144="",$E144=0),0,IF(OR($J144&lt;AG$3,$I144&gt;AG$2),0,IF($K144=0,IF(AND($I144&gt;=AG$3,$I144&lt;=AG$2),$E144,0),$E144*NETWORKDAYS(MAX($I144,AG$3),MIN($J144,AG$2),Data!$K$4:$K$203)/$K144)))</f>
        <v>0</v>
      </c>
      <c r="AH144" s="166">
        <f>IF(OR($I144="",$E144=0),0,IF(OR($J144&lt;AH$3,$I144&gt;AH$2),0,IF($K144=0,IF(AND($I144&gt;=AH$3,$I144&lt;=AH$2),$E144,0),$E144*NETWORKDAYS(MAX($I144,AH$3),MIN($J144,AH$2),Data!$K$4:$K$203)/$K144)))</f>
        <v>0</v>
      </c>
      <c r="AI144" s="166">
        <f>SUM(W144:AH144)</f>
        <v>0</v>
      </c>
      <c r="BZ144" t="str">
        <f>IF(D144=1,IF(TRIM(INDEX(Charge!$K:$K,ROW()))&lt;&gt;"",TRIM(INDEX(Charge!$K:$K,ROW())),IF(TRIM(INDEX(Charge!$L:$L,ROW()))&lt;&gt;"",TRIM(INDEX(Charge!$L:$L,ROW())),"(non affecté)")),"")</f>
        <v/>
      </c>
      <c r="CA144" t="str">
        <f>IF(AND($CD$4&lt;&gt;"",BZ144=$CD$4),COUNTIFS($BZ$4:$BZ$503,$CD$4,$L$4:$L$503,"&lt;"&amp;L144)+1,"")</f>
        <v/>
      </c>
      <c r="EJ144" t="str">
        <f>TRIM(INDEX(Data!$E:$E,ROW()))</f>
        <v/>
      </c>
      <c r="EK144" t="str">
        <f>TRIM(INDEX(Data!$H:$H,ROW()))</f>
        <v/>
      </c>
      <c r="EM144" t="str">
        <f>IF(D144=1,IF(TRIM(INDEX(Charge!$K:$K,ROW()))&lt;&gt;"","Interne",IF(TRIM(INDEX(Charge!$L:$L,ROW()))&lt;&gt;"","Externe","Non affecté")),"")</f>
        <v/>
      </c>
      <c r="EN144" t="str">
        <f>IF(D144=1,LEFT(SUBSTITUTE(SUBSTITUTE(SUBSTITUTE(TRIM(SUBSTITUTE(INDEX(Charge!$B:$B,ROW()),CHAR(160)," "))&amp;" | "&amp;TRIM(SUBSTITUTE(INDEX(Charge!$C:$C,ROW()),CHAR(160)," "))&amp;" | "&amp;TRIM(SUBSTITUTE(INDEX(Charge!$D:$D,ROW()),CHAR(160)," ")),"~","-"),"*","+"),"?","!"),240),"")</f>
        <v/>
      </c>
      <c r="EO144">
        <f>IF(EN144="",0,IF(COUNTIF($EN$4:EN144,EN144)=1,1,0))</f>
        <v>0</v>
      </c>
      <c r="EP144" s="166" t="str">
        <f>IF(EO144=1,ROUND(SUMIF($EN$4:$EN$503,EN144,$E$4:$E$503),2),"")</f>
        <v/>
      </c>
      <c r="EQ144" t="str">
        <f>IF(EO144=1,COUNTIFS($EO$4:$EO$503,1,$EP$4:$EP$503,"&gt;"&amp;EP144)+COUNTIFS($EO$4:EO144,1,$EP$4:EP144,EP144),"")</f>
        <v/>
      </c>
      <c r="ER144" t="str">
        <f>IF(EO144=1,COUNTIFS($EN$4:$EN$503,EN144,$EM$4:$EM$503,"Interne",$FE$4:$FE$503,1),"")</f>
        <v/>
      </c>
      <c r="ES144" t="str">
        <f>IF(EO144=1,COUNTIFS($EN$4:$EN$503,EN144,$EM$4:$EM$503,"Externe",$FE$4:$FE$503,1),"")</f>
        <v/>
      </c>
      <c r="ET144" t="str">
        <f>IF(EO144=1,IF(ER144+ES144=0,"à affecter",IF(ER144=0,ES144&amp;" ext.",(ER144+ES144)&amp;IF(ES144&gt;0," dont "&amp;ES144&amp;" ext.",""))&amp;IF(COUNTIFS($EN$4:$EN$503,EN144,$EM$4:$EM$503,"Non affecté")&gt;0," + à affecter","")),"")</f>
        <v/>
      </c>
      <c r="EU144" s="170" t="str">
        <f>IF(EO144=1,IF(EP144&gt;0,SUMPRODUCT(($EN$4:$EN$503=EN144)*$E$4:$E$503*$C$4:$C$503)/EP144,AVERAGEIF($EN$4:$EN$503,EN144,$C$4:$C$503)),"")</f>
        <v/>
      </c>
      <c r="EV144" s="165">
        <f>IF(ISNUMBER(I144),I144,2958465)</f>
        <v>2958465.0</v>
      </c>
      <c r="EW144" s="165" t="str">
        <f>IF(EO144=1,SUMPRODUCT(MIN(($EN$4:$EN$503=EN144)*$EV$4:$EV$503+($EN$4:$EN$503&lt;&gt;EN144)*2958465)),"")</f>
        <v/>
      </c>
      <c r="EX144" s="165">
        <f>IF(AND(D144=1,ISNUMBER(INDEX(Charge!$F:$F,ROW()))),INDEX(Charge!$F:$F,ROW()),0)</f>
        <v>0.0</v>
      </c>
      <c r="EY144" s="165" t="str">
        <f>IF(EO144=1,SUMPRODUCT(MAX(($EN$4:$EN$503=EN144)*$EX$4:$EX$503)),"")</f>
        <v/>
      </c>
      <c r="FA144" t="str">
        <f>IF(141&lt;=$CD$23,INDEX($EJ$4:$EJ$203,141),IF(141-$CD$23&lt;=$CD$26,INDEX($EK$4:$EK$203,141-$CD$23),""))</f>
        <v/>
      </c>
      <c r="FB144" t="str">
        <f>IF(FA144="","",IF(141&lt;=$CD$23,"Interne","Externe"))</f>
        <v/>
      </c>
      <c r="FD144">
        <f>IF(AND(B144=1,TRIM(INDEX(Charge!$K:$K,ROW()))&lt;&gt;"",TRIM(INDEX(Charge!$L:$L,ROW()))&lt;&gt;""),1,0)</f>
        <v>0</v>
      </c>
      <c r="FE144">
        <f>IF(OR(EN144="",BZ144="(non affecté)"),0,IF(COUNTIFS($EN$4:EN144,EN144,$BZ$4:BZ144,BZ144)=1,1,0))</f>
        <v>0</v>
      </c>
    </row>
    <row r="145">
      <c r="A145">
        <f>ROW()</f>
        <v>145</v>
      </c>
      <c r="B145">
        <f>IF(TRIM(INDEX(Charge!$B:$B,ROW()))&lt;&gt;"",1,0)</f>
        <v>0</v>
      </c>
      <c r="C145">
        <f>IF(B145=1,MIN(1,MAX(0,N(INDEX(Charge!$O:$O,ROW())))),0)</f>
        <v>0</v>
      </c>
      <c r="D145">
        <f>IF(B145=1,IF(OR(p_Perimetre="Tous les projets",C145&lt;1),1,0),0)</f>
        <v>0</v>
      </c>
      <c r="E145">
        <f>IF(D145=1,MAX(0,N(INDEX(Charge!$M:$M,ROW()))),0)</f>
        <v>0</v>
      </c>
      <c r="F145" t="str">
        <f>IF(D145=1,IF(TRIM(INDEX(Charge!$A:$A,ROW()))="","(non renseigné)",TRIM(INDEX(Charge!$A:$A,ROW()))),"")</f>
        <v/>
      </c>
      <c r="G145" t="str">
        <f>IF(D145=1,TRIM(INDEX(Charge!$B:$B,ROW())),"")</f>
        <v/>
      </c>
      <c r="H145" t="str">
        <f>IF(D145=1,IF(TRIM(INDEX(Charge!$E:$E,ROW()))="","(non renseigné)",TRIM(INDEX(Charge!$E:$E,ROW()))),"")</f>
        <v/>
      </c>
      <c r="I145" s="165" t="str">
        <f>IF(AND(D145=1,ISNUMBER(INDEX(Charge!$N:$N,ROW()))),INDEX(Charge!$N:$N,ROW()),"")</f>
        <v/>
      </c>
      <c r="J145" s="165" t="str">
        <f>IF(I145="","",IF(AND(p_Repartition="Lissée jusqu'à la date de besoin",ISNUMBER(INDEX(Charge!$F:$F,ROW()))),IF(INDEX(Charge!$F:$F,ROW())&gt;=I145,INDEX(Charge!$F:$F,ROW()),I145),I145))</f>
        <v/>
      </c>
      <c r="K145" t="str">
        <f>IF(I145="","",NETWORKDAYS(I145,J145,Data!$K$4:$K$203))</f>
        <v/>
      </c>
      <c r="L145" t="str">
        <f>IF(D145=1,COUNTIFS($D$4:$D$503,1,$E$4:$E$503,"&gt;"&amp;E145)+COUNTIFS($D$4:$D145,1,$E$4:$E145,E145),"")</f>
        <v/>
      </c>
      <c r="M145">
        <f>IF(F145="",0,IF(COUNTIF($F$4:F145,F145)=1,1,0))</f>
        <v>0</v>
      </c>
      <c r="N145" t="str">
        <f>IF(M145=1,ROUND(SUMIF($F$4:$F$503,F145,$E$4:$E$503),2),"")</f>
        <v/>
      </c>
      <c r="O145" t="str">
        <f>IF(M145=1,COUNTIFS($M$4:$M$503,1,$N$4:$N$503,"&gt;"&amp;N145)+COUNTIFS($M$4:M145,1,$N$4:N145,N145),"")</f>
        <v/>
      </c>
      <c r="P145">
        <f>IF(G145="",0,IF(COUNTIF($G$4:G145,G145)=1,1,0))</f>
        <v>0</v>
      </c>
      <c r="Q145" t="str">
        <f>IF(P145=1,ROUND(SUMIF($G$4:$G$503,G145,$E$4:$E$503),2),"")</f>
        <v/>
      </c>
      <c r="R145" t="str">
        <f>IF(P145=1,COUNTIFS($P$4:$P$503,1,$Q$4:$Q$503,"&gt;"&amp;Q145)+COUNTIFS($P$4:P145,1,$Q$4:Q145,Q145),"")</f>
        <v/>
      </c>
      <c r="S145">
        <f>IF(H145="",0,IF(COUNTIF($H$4:H145,H145)=1,1,0))</f>
        <v>0</v>
      </c>
      <c r="T145" t="str">
        <f>IF(S145=1,ROUND(SUMIF($H$4:$H$503,H145,$E$4:$E$503),2),"")</f>
        <v/>
      </c>
      <c r="U145" t="str">
        <f>IF(S145=1,COUNTIFS($S$4:$S$503,1,$T$4:$T$503,"&gt;"&amp;T145)+COUNTIFS($S$4:S145,1,$T$4:T145,T145),"")</f>
        <v/>
      </c>
      <c r="V145" t="str">
        <f>IF(D145=1,MIN(INDEX($R$4:$R$503,MATCH(G145,$G$4:$G$503,0)),IF($AL$7&gt;9,9,999)),"")</f>
        <v/>
      </c>
      <c r="W145" s="166">
        <f>IF(OR($I145="",$E145=0),0,IF(OR($J145&lt;W$3,$I145&gt;W$2),0,IF($K145=0,IF(AND($I145&gt;=W$3,$I145&lt;=W$2),$E145,0),$E145*NETWORKDAYS(MAX($I145,W$3),MIN($J145,W$2),Data!$K$4:$K$203)/$K145)))</f>
        <v>0</v>
      </c>
      <c r="X145" s="166">
        <f>IF(OR($I145="",$E145=0),0,IF(OR($J145&lt;X$3,$I145&gt;X$2),0,IF($K145=0,IF(AND($I145&gt;=X$3,$I145&lt;=X$2),$E145,0),$E145*NETWORKDAYS(MAX($I145,X$3),MIN($J145,X$2),Data!$K$4:$K$203)/$K145)))</f>
        <v>0</v>
      </c>
      <c r="Y145" s="166">
        <f>IF(OR($I145="",$E145=0),0,IF(OR($J145&lt;Y$3,$I145&gt;Y$2),0,IF($K145=0,IF(AND($I145&gt;=Y$3,$I145&lt;=Y$2),$E145,0),$E145*NETWORKDAYS(MAX($I145,Y$3),MIN($J145,Y$2),Data!$K$4:$K$203)/$K145)))</f>
        <v>0</v>
      </c>
      <c r="Z145" s="166">
        <f>IF(OR($I145="",$E145=0),0,IF(OR($J145&lt;Z$3,$I145&gt;Z$2),0,IF($K145=0,IF(AND($I145&gt;=Z$3,$I145&lt;=Z$2),$E145,0),$E145*NETWORKDAYS(MAX($I145,Z$3),MIN($J145,Z$2),Data!$K$4:$K$203)/$K145)))</f>
        <v>0</v>
      </c>
      <c r="AA145" s="166">
        <f>IF(OR($I145="",$E145=0),0,IF(OR($J145&lt;AA$3,$I145&gt;AA$2),0,IF($K145=0,IF(AND($I145&gt;=AA$3,$I145&lt;=AA$2),$E145,0),$E145*NETWORKDAYS(MAX($I145,AA$3),MIN($J145,AA$2),Data!$K$4:$K$203)/$K145)))</f>
        <v>0</v>
      </c>
      <c r="AB145" s="166">
        <f>IF(OR($I145="",$E145=0),0,IF(OR($J145&lt;AB$3,$I145&gt;AB$2),0,IF($K145=0,IF(AND($I145&gt;=AB$3,$I145&lt;=AB$2),$E145,0),$E145*NETWORKDAYS(MAX($I145,AB$3),MIN($J145,AB$2),Data!$K$4:$K$203)/$K145)))</f>
        <v>0</v>
      </c>
      <c r="AC145" s="166">
        <f>IF(OR($I145="",$E145=0),0,IF(OR($J145&lt;AC$3,$I145&gt;AC$2),0,IF($K145=0,IF(AND($I145&gt;=AC$3,$I145&lt;=AC$2),$E145,0),$E145*NETWORKDAYS(MAX($I145,AC$3),MIN($J145,AC$2),Data!$K$4:$K$203)/$K145)))</f>
        <v>0</v>
      </c>
      <c r="AD145" s="166">
        <f>IF(OR($I145="",$E145=0),0,IF(OR($J145&lt;AD$3,$I145&gt;AD$2),0,IF($K145=0,IF(AND($I145&gt;=AD$3,$I145&lt;=AD$2),$E145,0),$E145*NETWORKDAYS(MAX($I145,AD$3),MIN($J145,AD$2),Data!$K$4:$K$203)/$K145)))</f>
        <v>0</v>
      </c>
      <c r="AE145" s="166">
        <f>IF(OR($I145="",$E145=0),0,IF(OR($J145&lt;AE$3,$I145&gt;AE$2),0,IF($K145=0,IF(AND($I145&gt;=AE$3,$I145&lt;=AE$2),$E145,0),$E145*NETWORKDAYS(MAX($I145,AE$3),MIN($J145,AE$2),Data!$K$4:$K$203)/$K145)))</f>
        <v>0</v>
      </c>
      <c r="AF145" s="166">
        <f>IF(OR($I145="",$E145=0),0,IF(OR($J145&lt;AF$3,$I145&gt;AF$2),0,IF($K145=0,IF(AND($I145&gt;=AF$3,$I145&lt;=AF$2),$E145,0),$E145*NETWORKDAYS(MAX($I145,AF$3),MIN($J145,AF$2),Data!$K$4:$K$203)/$K145)))</f>
        <v>0</v>
      </c>
      <c r="AG145" s="166">
        <f>IF(OR($I145="",$E145=0),0,IF(OR($J145&lt;AG$3,$I145&gt;AG$2),0,IF($K145=0,IF(AND($I145&gt;=AG$3,$I145&lt;=AG$2),$E145,0),$E145*NETWORKDAYS(MAX($I145,AG$3),MIN($J145,AG$2),Data!$K$4:$K$203)/$K145)))</f>
        <v>0</v>
      </c>
      <c r="AH145" s="166">
        <f>IF(OR($I145="",$E145=0),0,IF(OR($J145&lt;AH$3,$I145&gt;AH$2),0,IF($K145=0,IF(AND($I145&gt;=AH$3,$I145&lt;=AH$2),$E145,0),$E145*NETWORKDAYS(MAX($I145,AH$3),MIN($J145,AH$2),Data!$K$4:$K$203)/$K145)))</f>
        <v>0</v>
      </c>
      <c r="AI145" s="166">
        <f>SUM(W145:AH145)</f>
        <v>0</v>
      </c>
      <c r="BZ145" t="str">
        <f>IF(D145=1,IF(TRIM(INDEX(Charge!$K:$K,ROW()))&lt;&gt;"",TRIM(INDEX(Charge!$K:$K,ROW())),IF(TRIM(INDEX(Charge!$L:$L,ROW()))&lt;&gt;"",TRIM(INDEX(Charge!$L:$L,ROW())),"(non affecté)")),"")</f>
        <v/>
      </c>
      <c r="CA145" t="str">
        <f>IF(AND($CD$4&lt;&gt;"",BZ145=$CD$4),COUNTIFS($BZ$4:$BZ$503,$CD$4,$L$4:$L$503,"&lt;"&amp;L145)+1,"")</f>
        <v/>
      </c>
      <c r="EJ145" t="str">
        <f>TRIM(INDEX(Data!$E:$E,ROW()))</f>
        <v/>
      </c>
      <c r="EK145" t="str">
        <f>TRIM(INDEX(Data!$H:$H,ROW()))</f>
        <v/>
      </c>
      <c r="EM145" t="str">
        <f>IF(D145=1,IF(TRIM(INDEX(Charge!$K:$K,ROW()))&lt;&gt;"","Interne",IF(TRIM(INDEX(Charge!$L:$L,ROW()))&lt;&gt;"","Externe","Non affecté")),"")</f>
        <v/>
      </c>
      <c r="EN145" t="str">
        <f>IF(D145=1,LEFT(SUBSTITUTE(SUBSTITUTE(SUBSTITUTE(TRIM(SUBSTITUTE(INDEX(Charge!$B:$B,ROW()),CHAR(160)," "))&amp;" | "&amp;TRIM(SUBSTITUTE(INDEX(Charge!$C:$C,ROW()),CHAR(160)," "))&amp;" | "&amp;TRIM(SUBSTITUTE(INDEX(Charge!$D:$D,ROW()),CHAR(160)," ")),"~","-"),"*","+"),"?","!"),240),"")</f>
        <v/>
      </c>
      <c r="EO145">
        <f>IF(EN145="",0,IF(COUNTIF($EN$4:EN145,EN145)=1,1,0))</f>
        <v>0</v>
      </c>
      <c r="EP145" s="166" t="str">
        <f>IF(EO145=1,ROUND(SUMIF($EN$4:$EN$503,EN145,$E$4:$E$503),2),"")</f>
        <v/>
      </c>
      <c r="EQ145" t="str">
        <f>IF(EO145=1,COUNTIFS($EO$4:$EO$503,1,$EP$4:$EP$503,"&gt;"&amp;EP145)+COUNTIFS($EO$4:EO145,1,$EP$4:EP145,EP145),"")</f>
        <v/>
      </c>
      <c r="ER145" t="str">
        <f>IF(EO145=1,COUNTIFS($EN$4:$EN$503,EN145,$EM$4:$EM$503,"Interne",$FE$4:$FE$503,1),"")</f>
        <v/>
      </c>
      <c r="ES145" t="str">
        <f>IF(EO145=1,COUNTIFS($EN$4:$EN$503,EN145,$EM$4:$EM$503,"Externe",$FE$4:$FE$503,1),"")</f>
        <v/>
      </c>
      <c r="ET145" t="str">
        <f>IF(EO145=1,IF(ER145+ES145=0,"à affecter",IF(ER145=0,ES145&amp;" ext.",(ER145+ES145)&amp;IF(ES145&gt;0," dont "&amp;ES145&amp;" ext.",""))&amp;IF(COUNTIFS($EN$4:$EN$503,EN145,$EM$4:$EM$503,"Non affecté")&gt;0," + à affecter","")),"")</f>
        <v/>
      </c>
      <c r="EU145" s="170" t="str">
        <f>IF(EO145=1,IF(EP145&gt;0,SUMPRODUCT(($EN$4:$EN$503=EN145)*$E$4:$E$503*$C$4:$C$503)/EP145,AVERAGEIF($EN$4:$EN$503,EN145,$C$4:$C$503)),"")</f>
        <v/>
      </c>
      <c r="EV145" s="165">
        <f>IF(ISNUMBER(I145),I145,2958465)</f>
        <v>2958465.0</v>
      </c>
      <c r="EW145" s="165" t="str">
        <f>IF(EO145=1,SUMPRODUCT(MIN(($EN$4:$EN$503=EN145)*$EV$4:$EV$503+($EN$4:$EN$503&lt;&gt;EN145)*2958465)),"")</f>
        <v/>
      </c>
      <c r="EX145" s="165">
        <f>IF(AND(D145=1,ISNUMBER(INDEX(Charge!$F:$F,ROW()))),INDEX(Charge!$F:$F,ROW()),0)</f>
        <v>0.0</v>
      </c>
      <c r="EY145" s="165" t="str">
        <f>IF(EO145=1,SUMPRODUCT(MAX(($EN$4:$EN$503=EN145)*$EX$4:$EX$503)),"")</f>
        <v/>
      </c>
      <c r="FA145" t="str">
        <f>IF(142&lt;=$CD$23,INDEX($EJ$4:$EJ$203,142),IF(142-$CD$23&lt;=$CD$26,INDEX($EK$4:$EK$203,142-$CD$23),""))</f>
        <v/>
      </c>
      <c r="FB145" t="str">
        <f>IF(FA145="","",IF(142&lt;=$CD$23,"Interne","Externe"))</f>
        <v/>
      </c>
      <c r="FD145">
        <f>IF(AND(B145=1,TRIM(INDEX(Charge!$K:$K,ROW()))&lt;&gt;"",TRIM(INDEX(Charge!$L:$L,ROW()))&lt;&gt;""),1,0)</f>
        <v>0</v>
      </c>
      <c r="FE145">
        <f>IF(OR(EN145="",BZ145="(non affecté)"),0,IF(COUNTIFS($EN$4:EN145,EN145,$BZ$4:BZ145,BZ145)=1,1,0))</f>
        <v>0</v>
      </c>
    </row>
    <row r="146">
      <c r="A146">
        <f>ROW()</f>
        <v>146</v>
      </c>
      <c r="B146">
        <f>IF(TRIM(INDEX(Charge!$B:$B,ROW()))&lt;&gt;"",1,0)</f>
        <v>0</v>
      </c>
      <c r="C146">
        <f>IF(B146=1,MIN(1,MAX(0,N(INDEX(Charge!$O:$O,ROW())))),0)</f>
        <v>0</v>
      </c>
      <c r="D146">
        <f>IF(B146=1,IF(OR(p_Perimetre="Tous les projets",C146&lt;1),1,0),0)</f>
        <v>0</v>
      </c>
      <c r="E146">
        <f>IF(D146=1,MAX(0,N(INDEX(Charge!$M:$M,ROW()))),0)</f>
        <v>0</v>
      </c>
      <c r="F146" t="str">
        <f>IF(D146=1,IF(TRIM(INDEX(Charge!$A:$A,ROW()))="","(non renseigné)",TRIM(INDEX(Charge!$A:$A,ROW()))),"")</f>
        <v/>
      </c>
      <c r="G146" t="str">
        <f>IF(D146=1,TRIM(INDEX(Charge!$B:$B,ROW())),"")</f>
        <v/>
      </c>
      <c r="H146" t="str">
        <f>IF(D146=1,IF(TRIM(INDEX(Charge!$E:$E,ROW()))="","(non renseigné)",TRIM(INDEX(Charge!$E:$E,ROW()))),"")</f>
        <v/>
      </c>
      <c r="I146" s="165" t="str">
        <f>IF(AND(D146=1,ISNUMBER(INDEX(Charge!$N:$N,ROW()))),INDEX(Charge!$N:$N,ROW()),"")</f>
        <v/>
      </c>
      <c r="J146" s="165" t="str">
        <f>IF(I146="","",IF(AND(p_Repartition="Lissée jusqu'à la date de besoin",ISNUMBER(INDEX(Charge!$F:$F,ROW()))),IF(INDEX(Charge!$F:$F,ROW())&gt;=I146,INDEX(Charge!$F:$F,ROW()),I146),I146))</f>
        <v/>
      </c>
      <c r="K146" t="str">
        <f>IF(I146="","",NETWORKDAYS(I146,J146,Data!$K$4:$K$203))</f>
        <v/>
      </c>
      <c r="L146" t="str">
        <f>IF(D146=1,COUNTIFS($D$4:$D$503,1,$E$4:$E$503,"&gt;"&amp;E146)+COUNTIFS($D$4:$D146,1,$E$4:$E146,E146),"")</f>
        <v/>
      </c>
      <c r="M146">
        <f>IF(F146="",0,IF(COUNTIF($F$4:F146,F146)=1,1,0))</f>
        <v>0</v>
      </c>
      <c r="N146" t="str">
        <f>IF(M146=1,ROUND(SUMIF($F$4:$F$503,F146,$E$4:$E$503),2),"")</f>
        <v/>
      </c>
      <c r="O146" t="str">
        <f>IF(M146=1,COUNTIFS($M$4:$M$503,1,$N$4:$N$503,"&gt;"&amp;N146)+COUNTIFS($M$4:M146,1,$N$4:N146,N146),"")</f>
        <v/>
      </c>
      <c r="P146">
        <f>IF(G146="",0,IF(COUNTIF($G$4:G146,G146)=1,1,0))</f>
        <v>0</v>
      </c>
      <c r="Q146" t="str">
        <f>IF(P146=1,ROUND(SUMIF($G$4:$G$503,G146,$E$4:$E$503),2),"")</f>
        <v/>
      </c>
      <c r="R146" t="str">
        <f>IF(P146=1,COUNTIFS($P$4:$P$503,1,$Q$4:$Q$503,"&gt;"&amp;Q146)+COUNTIFS($P$4:P146,1,$Q$4:Q146,Q146),"")</f>
        <v/>
      </c>
      <c r="S146">
        <f>IF(H146="",0,IF(COUNTIF($H$4:H146,H146)=1,1,0))</f>
        <v>0</v>
      </c>
      <c r="T146" t="str">
        <f>IF(S146=1,ROUND(SUMIF($H$4:$H$503,H146,$E$4:$E$503),2),"")</f>
        <v/>
      </c>
      <c r="U146" t="str">
        <f>IF(S146=1,COUNTIFS($S$4:$S$503,1,$T$4:$T$503,"&gt;"&amp;T146)+COUNTIFS($S$4:S146,1,$T$4:T146,T146),"")</f>
        <v/>
      </c>
      <c r="V146" t="str">
        <f>IF(D146=1,MIN(INDEX($R$4:$R$503,MATCH(G146,$G$4:$G$503,0)),IF($AL$7&gt;9,9,999)),"")</f>
        <v/>
      </c>
      <c r="W146" s="166">
        <f>IF(OR($I146="",$E146=0),0,IF(OR($J146&lt;W$3,$I146&gt;W$2),0,IF($K146=0,IF(AND($I146&gt;=W$3,$I146&lt;=W$2),$E146,0),$E146*NETWORKDAYS(MAX($I146,W$3),MIN($J146,W$2),Data!$K$4:$K$203)/$K146)))</f>
        <v>0</v>
      </c>
      <c r="X146" s="166">
        <f>IF(OR($I146="",$E146=0),0,IF(OR($J146&lt;X$3,$I146&gt;X$2),0,IF($K146=0,IF(AND($I146&gt;=X$3,$I146&lt;=X$2),$E146,0),$E146*NETWORKDAYS(MAX($I146,X$3),MIN($J146,X$2),Data!$K$4:$K$203)/$K146)))</f>
        <v>0</v>
      </c>
      <c r="Y146" s="166">
        <f>IF(OR($I146="",$E146=0),0,IF(OR($J146&lt;Y$3,$I146&gt;Y$2),0,IF($K146=0,IF(AND($I146&gt;=Y$3,$I146&lt;=Y$2),$E146,0),$E146*NETWORKDAYS(MAX($I146,Y$3),MIN($J146,Y$2),Data!$K$4:$K$203)/$K146)))</f>
        <v>0</v>
      </c>
      <c r="Z146" s="166">
        <f>IF(OR($I146="",$E146=0),0,IF(OR($J146&lt;Z$3,$I146&gt;Z$2),0,IF($K146=0,IF(AND($I146&gt;=Z$3,$I146&lt;=Z$2),$E146,0),$E146*NETWORKDAYS(MAX($I146,Z$3),MIN($J146,Z$2),Data!$K$4:$K$203)/$K146)))</f>
        <v>0</v>
      </c>
      <c r="AA146" s="166">
        <f>IF(OR($I146="",$E146=0),0,IF(OR($J146&lt;AA$3,$I146&gt;AA$2),0,IF($K146=0,IF(AND($I146&gt;=AA$3,$I146&lt;=AA$2),$E146,0),$E146*NETWORKDAYS(MAX($I146,AA$3),MIN($J146,AA$2),Data!$K$4:$K$203)/$K146)))</f>
        <v>0</v>
      </c>
      <c r="AB146" s="166">
        <f>IF(OR($I146="",$E146=0),0,IF(OR($J146&lt;AB$3,$I146&gt;AB$2),0,IF($K146=0,IF(AND($I146&gt;=AB$3,$I146&lt;=AB$2),$E146,0),$E146*NETWORKDAYS(MAX($I146,AB$3),MIN($J146,AB$2),Data!$K$4:$K$203)/$K146)))</f>
        <v>0</v>
      </c>
      <c r="AC146" s="166">
        <f>IF(OR($I146="",$E146=0),0,IF(OR($J146&lt;AC$3,$I146&gt;AC$2),0,IF($K146=0,IF(AND($I146&gt;=AC$3,$I146&lt;=AC$2),$E146,0),$E146*NETWORKDAYS(MAX($I146,AC$3),MIN($J146,AC$2),Data!$K$4:$K$203)/$K146)))</f>
        <v>0</v>
      </c>
      <c r="AD146" s="166">
        <f>IF(OR($I146="",$E146=0),0,IF(OR($J146&lt;AD$3,$I146&gt;AD$2),0,IF($K146=0,IF(AND($I146&gt;=AD$3,$I146&lt;=AD$2),$E146,0),$E146*NETWORKDAYS(MAX($I146,AD$3),MIN($J146,AD$2),Data!$K$4:$K$203)/$K146)))</f>
        <v>0</v>
      </c>
      <c r="AE146" s="166">
        <f>IF(OR($I146="",$E146=0),0,IF(OR($J146&lt;AE$3,$I146&gt;AE$2),0,IF($K146=0,IF(AND($I146&gt;=AE$3,$I146&lt;=AE$2),$E146,0),$E146*NETWORKDAYS(MAX($I146,AE$3),MIN($J146,AE$2),Data!$K$4:$K$203)/$K146)))</f>
        <v>0</v>
      </c>
      <c r="AF146" s="166">
        <f>IF(OR($I146="",$E146=0),0,IF(OR($J146&lt;AF$3,$I146&gt;AF$2),0,IF($K146=0,IF(AND($I146&gt;=AF$3,$I146&lt;=AF$2),$E146,0),$E146*NETWORKDAYS(MAX($I146,AF$3),MIN($J146,AF$2),Data!$K$4:$K$203)/$K146)))</f>
        <v>0</v>
      </c>
      <c r="AG146" s="166">
        <f>IF(OR($I146="",$E146=0),0,IF(OR($J146&lt;AG$3,$I146&gt;AG$2),0,IF($K146=0,IF(AND($I146&gt;=AG$3,$I146&lt;=AG$2),$E146,0),$E146*NETWORKDAYS(MAX($I146,AG$3),MIN($J146,AG$2),Data!$K$4:$K$203)/$K146)))</f>
        <v>0</v>
      </c>
      <c r="AH146" s="166">
        <f>IF(OR($I146="",$E146=0),0,IF(OR($J146&lt;AH$3,$I146&gt;AH$2),0,IF($K146=0,IF(AND($I146&gt;=AH$3,$I146&lt;=AH$2),$E146,0),$E146*NETWORKDAYS(MAX($I146,AH$3),MIN($J146,AH$2),Data!$K$4:$K$203)/$K146)))</f>
        <v>0</v>
      </c>
      <c r="AI146" s="166">
        <f>SUM(W146:AH146)</f>
        <v>0</v>
      </c>
      <c r="BZ146" t="str">
        <f>IF(D146=1,IF(TRIM(INDEX(Charge!$K:$K,ROW()))&lt;&gt;"",TRIM(INDEX(Charge!$K:$K,ROW())),IF(TRIM(INDEX(Charge!$L:$L,ROW()))&lt;&gt;"",TRIM(INDEX(Charge!$L:$L,ROW())),"(non affecté)")),"")</f>
        <v/>
      </c>
      <c r="CA146" t="str">
        <f>IF(AND($CD$4&lt;&gt;"",BZ146=$CD$4),COUNTIFS($BZ$4:$BZ$503,$CD$4,$L$4:$L$503,"&lt;"&amp;L146)+1,"")</f>
        <v/>
      </c>
      <c r="EJ146" t="str">
        <f>TRIM(INDEX(Data!$E:$E,ROW()))</f>
        <v/>
      </c>
      <c r="EK146" t="str">
        <f>TRIM(INDEX(Data!$H:$H,ROW()))</f>
        <v/>
      </c>
      <c r="EM146" t="str">
        <f>IF(D146=1,IF(TRIM(INDEX(Charge!$K:$K,ROW()))&lt;&gt;"","Interne",IF(TRIM(INDEX(Charge!$L:$L,ROW()))&lt;&gt;"","Externe","Non affecté")),"")</f>
        <v/>
      </c>
      <c r="EN146" t="str">
        <f>IF(D146=1,LEFT(SUBSTITUTE(SUBSTITUTE(SUBSTITUTE(TRIM(SUBSTITUTE(INDEX(Charge!$B:$B,ROW()),CHAR(160)," "))&amp;" | "&amp;TRIM(SUBSTITUTE(INDEX(Charge!$C:$C,ROW()),CHAR(160)," "))&amp;" | "&amp;TRIM(SUBSTITUTE(INDEX(Charge!$D:$D,ROW()),CHAR(160)," ")),"~","-"),"*","+"),"?","!"),240),"")</f>
        <v/>
      </c>
      <c r="EO146">
        <f>IF(EN146="",0,IF(COUNTIF($EN$4:EN146,EN146)=1,1,0))</f>
        <v>0</v>
      </c>
      <c r="EP146" s="166" t="str">
        <f>IF(EO146=1,ROUND(SUMIF($EN$4:$EN$503,EN146,$E$4:$E$503),2),"")</f>
        <v/>
      </c>
      <c r="EQ146" t="str">
        <f>IF(EO146=1,COUNTIFS($EO$4:$EO$503,1,$EP$4:$EP$503,"&gt;"&amp;EP146)+COUNTIFS($EO$4:EO146,1,$EP$4:EP146,EP146),"")</f>
        <v/>
      </c>
      <c r="ER146" t="str">
        <f>IF(EO146=1,COUNTIFS($EN$4:$EN$503,EN146,$EM$4:$EM$503,"Interne",$FE$4:$FE$503,1),"")</f>
        <v/>
      </c>
      <c r="ES146" t="str">
        <f>IF(EO146=1,COUNTIFS($EN$4:$EN$503,EN146,$EM$4:$EM$503,"Externe",$FE$4:$FE$503,1),"")</f>
        <v/>
      </c>
      <c r="ET146" t="str">
        <f>IF(EO146=1,IF(ER146+ES146=0,"à affecter",IF(ER146=0,ES146&amp;" ext.",(ER146+ES146)&amp;IF(ES146&gt;0," dont "&amp;ES146&amp;" ext.",""))&amp;IF(COUNTIFS($EN$4:$EN$503,EN146,$EM$4:$EM$503,"Non affecté")&gt;0," + à affecter","")),"")</f>
        <v/>
      </c>
      <c r="EU146" s="170" t="str">
        <f>IF(EO146=1,IF(EP146&gt;0,SUMPRODUCT(($EN$4:$EN$503=EN146)*$E$4:$E$503*$C$4:$C$503)/EP146,AVERAGEIF($EN$4:$EN$503,EN146,$C$4:$C$503)),"")</f>
        <v/>
      </c>
      <c r="EV146" s="165">
        <f>IF(ISNUMBER(I146),I146,2958465)</f>
        <v>2958465.0</v>
      </c>
      <c r="EW146" s="165" t="str">
        <f>IF(EO146=1,SUMPRODUCT(MIN(($EN$4:$EN$503=EN146)*$EV$4:$EV$503+($EN$4:$EN$503&lt;&gt;EN146)*2958465)),"")</f>
        <v/>
      </c>
      <c r="EX146" s="165">
        <f>IF(AND(D146=1,ISNUMBER(INDEX(Charge!$F:$F,ROW()))),INDEX(Charge!$F:$F,ROW()),0)</f>
        <v>0.0</v>
      </c>
      <c r="EY146" s="165" t="str">
        <f>IF(EO146=1,SUMPRODUCT(MAX(($EN$4:$EN$503=EN146)*$EX$4:$EX$503)),"")</f>
        <v/>
      </c>
      <c r="FA146" t="str">
        <f>IF(143&lt;=$CD$23,INDEX($EJ$4:$EJ$203,143),IF(143-$CD$23&lt;=$CD$26,INDEX($EK$4:$EK$203,143-$CD$23),""))</f>
        <v/>
      </c>
      <c r="FB146" t="str">
        <f>IF(FA146="","",IF(143&lt;=$CD$23,"Interne","Externe"))</f>
        <v/>
      </c>
      <c r="FD146">
        <f>IF(AND(B146=1,TRIM(INDEX(Charge!$K:$K,ROW()))&lt;&gt;"",TRIM(INDEX(Charge!$L:$L,ROW()))&lt;&gt;""),1,0)</f>
        <v>0</v>
      </c>
      <c r="FE146">
        <f>IF(OR(EN146="",BZ146="(non affecté)"),0,IF(COUNTIFS($EN$4:EN146,EN146,$BZ$4:BZ146,BZ146)=1,1,0))</f>
        <v>0</v>
      </c>
    </row>
    <row r="147">
      <c r="A147">
        <f>ROW()</f>
        <v>147</v>
      </c>
      <c r="B147">
        <f>IF(TRIM(INDEX(Charge!$B:$B,ROW()))&lt;&gt;"",1,0)</f>
        <v>0</v>
      </c>
      <c r="C147">
        <f>IF(B147=1,MIN(1,MAX(0,N(INDEX(Charge!$O:$O,ROW())))),0)</f>
        <v>0</v>
      </c>
      <c r="D147">
        <f>IF(B147=1,IF(OR(p_Perimetre="Tous les projets",C147&lt;1),1,0),0)</f>
        <v>0</v>
      </c>
      <c r="E147">
        <f>IF(D147=1,MAX(0,N(INDEX(Charge!$M:$M,ROW()))),0)</f>
        <v>0</v>
      </c>
      <c r="F147" t="str">
        <f>IF(D147=1,IF(TRIM(INDEX(Charge!$A:$A,ROW()))="","(non renseigné)",TRIM(INDEX(Charge!$A:$A,ROW()))),"")</f>
        <v/>
      </c>
      <c r="G147" t="str">
        <f>IF(D147=1,TRIM(INDEX(Charge!$B:$B,ROW())),"")</f>
        <v/>
      </c>
      <c r="H147" t="str">
        <f>IF(D147=1,IF(TRIM(INDEX(Charge!$E:$E,ROW()))="","(non renseigné)",TRIM(INDEX(Charge!$E:$E,ROW()))),"")</f>
        <v/>
      </c>
      <c r="I147" s="165" t="str">
        <f>IF(AND(D147=1,ISNUMBER(INDEX(Charge!$N:$N,ROW()))),INDEX(Charge!$N:$N,ROW()),"")</f>
        <v/>
      </c>
      <c r="J147" s="165" t="str">
        <f>IF(I147="","",IF(AND(p_Repartition="Lissée jusqu'à la date de besoin",ISNUMBER(INDEX(Charge!$F:$F,ROW()))),IF(INDEX(Charge!$F:$F,ROW())&gt;=I147,INDEX(Charge!$F:$F,ROW()),I147),I147))</f>
        <v/>
      </c>
      <c r="K147" t="str">
        <f>IF(I147="","",NETWORKDAYS(I147,J147,Data!$K$4:$K$203))</f>
        <v/>
      </c>
      <c r="L147" t="str">
        <f>IF(D147=1,COUNTIFS($D$4:$D$503,1,$E$4:$E$503,"&gt;"&amp;E147)+COUNTIFS($D$4:$D147,1,$E$4:$E147,E147),"")</f>
        <v/>
      </c>
      <c r="M147">
        <f>IF(F147="",0,IF(COUNTIF($F$4:F147,F147)=1,1,0))</f>
        <v>0</v>
      </c>
      <c r="N147" t="str">
        <f>IF(M147=1,ROUND(SUMIF($F$4:$F$503,F147,$E$4:$E$503),2),"")</f>
        <v/>
      </c>
      <c r="O147" t="str">
        <f>IF(M147=1,COUNTIFS($M$4:$M$503,1,$N$4:$N$503,"&gt;"&amp;N147)+COUNTIFS($M$4:M147,1,$N$4:N147,N147),"")</f>
        <v/>
      </c>
      <c r="P147">
        <f>IF(G147="",0,IF(COUNTIF($G$4:G147,G147)=1,1,0))</f>
        <v>0</v>
      </c>
      <c r="Q147" t="str">
        <f>IF(P147=1,ROUND(SUMIF($G$4:$G$503,G147,$E$4:$E$503),2),"")</f>
        <v/>
      </c>
      <c r="R147" t="str">
        <f>IF(P147=1,COUNTIFS($P$4:$P$503,1,$Q$4:$Q$503,"&gt;"&amp;Q147)+COUNTIFS($P$4:P147,1,$Q$4:Q147,Q147),"")</f>
        <v/>
      </c>
      <c r="S147">
        <f>IF(H147="",0,IF(COUNTIF($H$4:H147,H147)=1,1,0))</f>
        <v>0</v>
      </c>
      <c r="T147" t="str">
        <f>IF(S147=1,ROUND(SUMIF($H$4:$H$503,H147,$E$4:$E$503),2),"")</f>
        <v/>
      </c>
      <c r="U147" t="str">
        <f>IF(S147=1,COUNTIFS($S$4:$S$503,1,$T$4:$T$503,"&gt;"&amp;T147)+COUNTIFS($S$4:S147,1,$T$4:T147,T147),"")</f>
        <v/>
      </c>
      <c r="V147" t="str">
        <f>IF(D147=1,MIN(INDEX($R$4:$R$503,MATCH(G147,$G$4:$G$503,0)),IF($AL$7&gt;9,9,999)),"")</f>
        <v/>
      </c>
      <c r="W147" s="166">
        <f>IF(OR($I147="",$E147=0),0,IF(OR($J147&lt;W$3,$I147&gt;W$2),0,IF($K147=0,IF(AND($I147&gt;=W$3,$I147&lt;=W$2),$E147,0),$E147*NETWORKDAYS(MAX($I147,W$3),MIN($J147,W$2),Data!$K$4:$K$203)/$K147)))</f>
        <v>0</v>
      </c>
      <c r="X147" s="166">
        <f>IF(OR($I147="",$E147=0),0,IF(OR($J147&lt;X$3,$I147&gt;X$2),0,IF($K147=0,IF(AND($I147&gt;=X$3,$I147&lt;=X$2),$E147,0),$E147*NETWORKDAYS(MAX($I147,X$3),MIN($J147,X$2),Data!$K$4:$K$203)/$K147)))</f>
        <v>0</v>
      </c>
      <c r="Y147" s="166">
        <f>IF(OR($I147="",$E147=0),0,IF(OR($J147&lt;Y$3,$I147&gt;Y$2),0,IF($K147=0,IF(AND($I147&gt;=Y$3,$I147&lt;=Y$2),$E147,0),$E147*NETWORKDAYS(MAX($I147,Y$3),MIN($J147,Y$2),Data!$K$4:$K$203)/$K147)))</f>
        <v>0</v>
      </c>
      <c r="Z147" s="166">
        <f>IF(OR($I147="",$E147=0),0,IF(OR($J147&lt;Z$3,$I147&gt;Z$2),0,IF($K147=0,IF(AND($I147&gt;=Z$3,$I147&lt;=Z$2),$E147,0),$E147*NETWORKDAYS(MAX($I147,Z$3),MIN($J147,Z$2),Data!$K$4:$K$203)/$K147)))</f>
        <v>0</v>
      </c>
      <c r="AA147" s="166">
        <f>IF(OR($I147="",$E147=0),0,IF(OR($J147&lt;AA$3,$I147&gt;AA$2),0,IF($K147=0,IF(AND($I147&gt;=AA$3,$I147&lt;=AA$2),$E147,0),$E147*NETWORKDAYS(MAX($I147,AA$3),MIN($J147,AA$2),Data!$K$4:$K$203)/$K147)))</f>
        <v>0</v>
      </c>
      <c r="AB147" s="166">
        <f>IF(OR($I147="",$E147=0),0,IF(OR($J147&lt;AB$3,$I147&gt;AB$2),0,IF($K147=0,IF(AND($I147&gt;=AB$3,$I147&lt;=AB$2),$E147,0),$E147*NETWORKDAYS(MAX($I147,AB$3),MIN($J147,AB$2),Data!$K$4:$K$203)/$K147)))</f>
        <v>0</v>
      </c>
      <c r="AC147" s="166">
        <f>IF(OR($I147="",$E147=0),0,IF(OR($J147&lt;AC$3,$I147&gt;AC$2),0,IF($K147=0,IF(AND($I147&gt;=AC$3,$I147&lt;=AC$2),$E147,0),$E147*NETWORKDAYS(MAX($I147,AC$3),MIN($J147,AC$2),Data!$K$4:$K$203)/$K147)))</f>
        <v>0</v>
      </c>
      <c r="AD147" s="166">
        <f>IF(OR($I147="",$E147=0),0,IF(OR($J147&lt;AD$3,$I147&gt;AD$2),0,IF($K147=0,IF(AND($I147&gt;=AD$3,$I147&lt;=AD$2),$E147,0),$E147*NETWORKDAYS(MAX($I147,AD$3),MIN($J147,AD$2),Data!$K$4:$K$203)/$K147)))</f>
        <v>0</v>
      </c>
      <c r="AE147" s="166">
        <f>IF(OR($I147="",$E147=0),0,IF(OR($J147&lt;AE$3,$I147&gt;AE$2),0,IF($K147=0,IF(AND($I147&gt;=AE$3,$I147&lt;=AE$2),$E147,0),$E147*NETWORKDAYS(MAX($I147,AE$3),MIN($J147,AE$2),Data!$K$4:$K$203)/$K147)))</f>
        <v>0</v>
      </c>
      <c r="AF147" s="166">
        <f>IF(OR($I147="",$E147=0),0,IF(OR($J147&lt;AF$3,$I147&gt;AF$2),0,IF($K147=0,IF(AND($I147&gt;=AF$3,$I147&lt;=AF$2),$E147,0),$E147*NETWORKDAYS(MAX($I147,AF$3),MIN($J147,AF$2),Data!$K$4:$K$203)/$K147)))</f>
        <v>0</v>
      </c>
      <c r="AG147" s="166">
        <f>IF(OR($I147="",$E147=0),0,IF(OR($J147&lt;AG$3,$I147&gt;AG$2),0,IF($K147=0,IF(AND($I147&gt;=AG$3,$I147&lt;=AG$2),$E147,0),$E147*NETWORKDAYS(MAX($I147,AG$3),MIN($J147,AG$2),Data!$K$4:$K$203)/$K147)))</f>
        <v>0</v>
      </c>
      <c r="AH147" s="166">
        <f>IF(OR($I147="",$E147=0),0,IF(OR($J147&lt;AH$3,$I147&gt;AH$2),0,IF($K147=0,IF(AND($I147&gt;=AH$3,$I147&lt;=AH$2),$E147,0),$E147*NETWORKDAYS(MAX($I147,AH$3),MIN($J147,AH$2),Data!$K$4:$K$203)/$K147)))</f>
        <v>0</v>
      </c>
      <c r="AI147" s="166">
        <f>SUM(W147:AH147)</f>
        <v>0</v>
      </c>
      <c r="BZ147" t="str">
        <f>IF(D147=1,IF(TRIM(INDEX(Charge!$K:$K,ROW()))&lt;&gt;"",TRIM(INDEX(Charge!$K:$K,ROW())),IF(TRIM(INDEX(Charge!$L:$L,ROW()))&lt;&gt;"",TRIM(INDEX(Charge!$L:$L,ROW())),"(non affecté)")),"")</f>
        <v/>
      </c>
      <c r="CA147" t="str">
        <f>IF(AND($CD$4&lt;&gt;"",BZ147=$CD$4),COUNTIFS($BZ$4:$BZ$503,$CD$4,$L$4:$L$503,"&lt;"&amp;L147)+1,"")</f>
        <v/>
      </c>
      <c r="EJ147" t="str">
        <f>TRIM(INDEX(Data!$E:$E,ROW()))</f>
        <v/>
      </c>
      <c r="EK147" t="str">
        <f>TRIM(INDEX(Data!$H:$H,ROW()))</f>
        <v/>
      </c>
      <c r="EM147" t="str">
        <f>IF(D147=1,IF(TRIM(INDEX(Charge!$K:$K,ROW()))&lt;&gt;"","Interne",IF(TRIM(INDEX(Charge!$L:$L,ROW()))&lt;&gt;"","Externe","Non affecté")),"")</f>
        <v/>
      </c>
      <c r="EN147" t="str">
        <f>IF(D147=1,LEFT(SUBSTITUTE(SUBSTITUTE(SUBSTITUTE(TRIM(SUBSTITUTE(INDEX(Charge!$B:$B,ROW()),CHAR(160)," "))&amp;" | "&amp;TRIM(SUBSTITUTE(INDEX(Charge!$C:$C,ROW()),CHAR(160)," "))&amp;" | "&amp;TRIM(SUBSTITUTE(INDEX(Charge!$D:$D,ROW()),CHAR(160)," ")),"~","-"),"*","+"),"?","!"),240),"")</f>
        <v/>
      </c>
      <c r="EO147">
        <f>IF(EN147="",0,IF(COUNTIF($EN$4:EN147,EN147)=1,1,0))</f>
        <v>0</v>
      </c>
      <c r="EP147" s="166" t="str">
        <f>IF(EO147=1,ROUND(SUMIF($EN$4:$EN$503,EN147,$E$4:$E$503),2),"")</f>
        <v/>
      </c>
      <c r="EQ147" t="str">
        <f>IF(EO147=1,COUNTIFS($EO$4:$EO$503,1,$EP$4:$EP$503,"&gt;"&amp;EP147)+COUNTIFS($EO$4:EO147,1,$EP$4:EP147,EP147),"")</f>
        <v/>
      </c>
      <c r="ER147" t="str">
        <f>IF(EO147=1,COUNTIFS($EN$4:$EN$503,EN147,$EM$4:$EM$503,"Interne",$FE$4:$FE$503,1),"")</f>
        <v/>
      </c>
      <c r="ES147" t="str">
        <f>IF(EO147=1,COUNTIFS($EN$4:$EN$503,EN147,$EM$4:$EM$503,"Externe",$FE$4:$FE$503,1),"")</f>
        <v/>
      </c>
      <c r="ET147" t="str">
        <f>IF(EO147=1,IF(ER147+ES147=0,"à affecter",IF(ER147=0,ES147&amp;" ext.",(ER147+ES147)&amp;IF(ES147&gt;0," dont "&amp;ES147&amp;" ext.",""))&amp;IF(COUNTIFS($EN$4:$EN$503,EN147,$EM$4:$EM$503,"Non affecté")&gt;0," + à affecter","")),"")</f>
        <v/>
      </c>
      <c r="EU147" s="170" t="str">
        <f>IF(EO147=1,IF(EP147&gt;0,SUMPRODUCT(($EN$4:$EN$503=EN147)*$E$4:$E$503*$C$4:$C$503)/EP147,AVERAGEIF($EN$4:$EN$503,EN147,$C$4:$C$503)),"")</f>
        <v/>
      </c>
      <c r="EV147" s="165">
        <f>IF(ISNUMBER(I147),I147,2958465)</f>
        <v>2958465.0</v>
      </c>
      <c r="EW147" s="165" t="str">
        <f>IF(EO147=1,SUMPRODUCT(MIN(($EN$4:$EN$503=EN147)*$EV$4:$EV$503+($EN$4:$EN$503&lt;&gt;EN147)*2958465)),"")</f>
        <v/>
      </c>
      <c r="EX147" s="165">
        <f>IF(AND(D147=1,ISNUMBER(INDEX(Charge!$F:$F,ROW()))),INDEX(Charge!$F:$F,ROW()),0)</f>
        <v>0.0</v>
      </c>
      <c r="EY147" s="165" t="str">
        <f>IF(EO147=1,SUMPRODUCT(MAX(($EN$4:$EN$503=EN147)*$EX$4:$EX$503)),"")</f>
        <v/>
      </c>
      <c r="FA147" t="str">
        <f>IF(144&lt;=$CD$23,INDEX($EJ$4:$EJ$203,144),IF(144-$CD$23&lt;=$CD$26,INDEX($EK$4:$EK$203,144-$CD$23),""))</f>
        <v/>
      </c>
      <c r="FB147" t="str">
        <f>IF(FA147="","",IF(144&lt;=$CD$23,"Interne","Externe"))</f>
        <v/>
      </c>
      <c r="FD147">
        <f>IF(AND(B147=1,TRIM(INDEX(Charge!$K:$K,ROW()))&lt;&gt;"",TRIM(INDEX(Charge!$L:$L,ROW()))&lt;&gt;""),1,0)</f>
        <v>0</v>
      </c>
      <c r="FE147">
        <f>IF(OR(EN147="",BZ147="(non affecté)"),0,IF(COUNTIFS($EN$4:EN147,EN147,$BZ$4:BZ147,BZ147)=1,1,0))</f>
        <v>0</v>
      </c>
    </row>
    <row r="148">
      <c r="A148">
        <f>ROW()</f>
        <v>148</v>
      </c>
      <c r="B148">
        <f>IF(TRIM(INDEX(Charge!$B:$B,ROW()))&lt;&gt;"",1,0)</f>
        <v>0</v>
      </c>
      <c r="C148">
        <f>IF(B148=1,MIN(1,MAX(0,N(INDEX(Charge!$O:$O,ROW())))),0)</f>
        <v>0</v>
      </c>
      <c r="D148">
        <f>IF(B148=1,IF(OR(p_Perimetre="Tous les projets",C148&lt;1),1,0),0)</f>
        <v>0</v>
      </c>
      <c r="E148">
        <f>IF(D148=1,MAX(0,N(INDEX(Charge!$M:$M,ROW()))),0)</f>
        <v>0</v>
      </c>
      <c r="F148" t="str">
        <f>IF(D148=1,IF(TRIM(INDEX(Charge!$A:$A,ROW()))="","(non renseigné)",TRIM(INDEX(Charge!$A:$A,ROW()))),"")</f>
        <v/>
      </c>
      <c r="G148" t="str">
        <f>IF(D148=1,TRIM(INDEX(Charge!$B:$B,ROW())),"")</f>
        <v/>
      </c>
      <c r="H148" t="str">
        <f>IF(D148=1,IF(TRIM(INDEX(Charge!$E:$E,ROW()))="","(non renseigné)",TRIM(INDEX(Charge!$E:$E,ROW()))),"")</f>
        <v/>
      </c>
      <c r="I148" s="165" t="str">
        <f>IF(AND(D148=1,ISNUMBER(INDEX(Charge!$N:$N,ROW()))),INDEX(Charge!$N:$N,ROW()),"")</f>
        <v/>
      </c>
      <c r="J148" s="165" t="str">
        <f>IF(I148="","",IF(AND(p_Repartition="Lissée jusqu'à la date de besoin",ISNUMBER(INDEX(Charge!$F:$F,ROW()))),IF(INDEX(Charge!$F:$F,ROW())&gt;=I148,INDEX(Charge!$F:$F,ROW()),I148),I148))</f>
        <v/>
      </c>
      <c r="K148" t="str">
        <f>IF(I148="","",NETWORKDAYS(I148,J148,Data!$K$4:$K$203))</f>
        <v/>
      </c>
      <c r="L148" t="str">
        <f>IF(D148=1,COUNTIFS($D$4:$D$503,1,$E$4:$E$503,"&gt;"&amp;E148)+COUNTIFS($D$4:$D148,1,$E$4:$E148,E148),"")</f>
        <v/>
      </c>
      <c r="M148">
        <f>IF(F148="",0,IF(COUNTIF($F$4:F148,F148)=1,1,0))</f>
        <v>0</v>
      </c>
      <c r="N148" t="str">
        <f>IF(M148=1,ROUND(SUMIF($F$4:$F$503,F148,$E$4:$E$503),2),"")</f>
        <v/>
      </c>
      <c r="O148" t="str">
        <f>IF(M148=1,COUNTIFS($M$4:$M$503,1,$N$4:$N$503,"&gt;"&amp;N148)+COUNTIFS($M$4:M148,1,$N$4:N148,N148),"")</f>
        <v/>
      </c>
      <c r="P148">
        <f>IF(G148="",0,IF(COUNTIF($G$4:G148,G148)=1,1,0))</f>
        <v>0</v>
      </c>
      <c r="Q148" t="str">
        <f>IF(P148=1,ROUND(SUMIF($G$4:$G$503,G148,$E$4:$E$503),2),"")</f>
        <v/>
      </c>
      <c r="R148" t="str">
        <f>IF(P148=1,COUNTIFS($P$4:$P$503,1,$Q$4:$Q$503,"&gt;"&amp;Q148)+COUNTIFS($P$4:P148,1,$Q$4:Q148,Q148),"")</f>
        <v/>
      </c>
      <c r="S148">
        <f>IF(H148="",0,IF(COUNTIF($H$4:H148,H148)=1,1,0))</f>
        <v>0</v>
      </c>
      <c r="T148" t="str">
        <f>IF(S148=1,ROUND(SUMIF($H$4:$H$503,H148,$E$4:$E$503),2),"")</f>
        <v/>
      </c>
      <c r="U148" t="str">
        <f>IF(S148=1,COUNTIFS($S$4:$S$503,1,$T$4:$T$503,"&gt;"&amp;T148)+COUNTIFS($S$4:S148,1,$T$4:T148,T148),"")</f>
        <v/>
      </c>
      <c r="V148" t="str">
        <f>IF(D148=1,MIN(INDEX($R$4:$R$503,MATCH(G148,$G$4:$G$503,0)),IF($AL$7&gt;9,9,999)),"")</f>
        <v/>
      </c>
      <c r="W148" s="166">
        <f>IF(OR($I148="",$E148=0),0,IF(OR($J148&lt;W$3,$I148&gt;W$2),0,IF($K148=0,IF(AND($I148&gt;=W$3,$I148&lt;=W$2),$E148,0),$E148*NETWORKDAYS(MAX($I148,W$3),MIN($J148,W$2),Data!$K$4:$K$203)/$K148)))</f>
        <v>0</v>
      </c>
      <c r="X148" s="166">
        <f>IF(OR($I148="",$E148=0),0,IF(OR($J148&lt;X$3,$I148&gt;X$2),0,IF($K148=0,IF(AND($I148&gt;=X$3,$I148&lt;=X$2),$E148,0),$E148*NETWORKDAYS(MAX($I148,X$3),MIN($J148,X$2),Data!$K$4:$K$203)/$K148)))</f>
        <v>0</v>
      </c>
      <c r="Y148" s="166">
        <f>IF(OR($I148="",$E148=0),0,IF(OR($J148&lt;Y$3,$I148&gt;Y$2),0,IF($K148=0,IF(AND($I148&gt;=Y$3,$I148&lt;=Y$2),$E148,0),$E148*NETWORKDAYS(MAX($I148,Y$3),MIN($J148,Y$2),Data!$K$4:$K$203)/$K148)))</f>
        <v>0</v>
      </c>
      <c r="Z148" s="166">
        <f>IF(OR($I148="",$E148=0),0,IF(OR($J148&lt;Z$3,$I148&gt;Z$2),0,IF($K148=0,IF(AND($I148&gt;=Z$3,$I148&lt;=Z$2),$E148,0),$E148*NETWORKDAYS(MAX($I148,Z$3),MIN($J148,Z$2),Data!$K$4:$K$203)/$K148)))</f>
        <v>0</v>
      </c>
      <c r="AA148" s="166">
        <f>IF(OR($I148="",$E148=0),0,IF(OR($J148&lt;AA$3,$I148&gt;AA$2),0,IF($K148=0,IF(AND($I148&gt;=AA$3,$I148&lt;=AA$2),$E148,0),$E148*NETWORKDAYS(MAX($I148,AA$3),MIN($J148,AA$2),Data!$K$4:$K$203)/$K148)))</f>
        <v>0</v>
      </c>
      <c r="AB148" s="166">
        <f>IF(OR($I148="",$E148=0),0,IF(OR($J148&lt;AB$3,$I148&gt;AB$2),0,IF($K148=0,IF(AND($I148&gt;=AB$3,$I148&lt;=AB$2),$E148,0),$E148*NETWORKDAYS(MAX($I148,AB$3),MIN($J148,AB$2),Data!$K$4:$K$203)/$K148)))</f>
        <v>0</v>
      </c>
      <c r="AC148" s="166">
        <f>IF(OR($I148="",$E148=0),0,IF(OR($J148&lt;AC$3,$I148&gt;AC$2),0,IF($K148=0,IF(AND($I148&gt;=AC$3,$I148&lt;=AC$2),$E148,0),$E148*NETWORKDAYS(MAX($I148,AC$3),MIN($J148,AC$2),Data!$K$4:$K$203)/$K148)))</f>
        <v>0</v>
      </c>
      <c r="AD148" s="166">
        <f>IF(OR($I148="",$E148=0),0,IF(OR($J148&lt;AD$3,$I148&gt;AD$2),0,IF($K148=0,IF(AND($I148&gt;=AD$3,$I148&lt;=AD$2),$E148,0),$E148*NETWORKDAYS(MAX($I148,AD$3),MIN($J148,AD$2),Data!$K$4:$K$203)/$K148)))</f>
        <v>0</v>
      </c>
      <c r="AE148" s="166">
        <f>IF(OR($I148="",$E148=0),0,IF(OR($J148&lt;AE$3,$I148&gt;AE$2),0,IF($K148=0,IF(AND($I148&gt;=AE$3,$I148&lt;=AE$2),$E148,0),$E148*NETWORKDAYS(MAX($I148,AE$3),MIN($J148,AE$2),Data!$K$4:$K$203)/$K148)))</f>
        <v>0</v>
      </c>
      <c r="AF148" s="166">
        <f>IF(OR($I148="",$E148=0),0,IF(OR($J148&lt;AF$3,$I148&gt;AF$2),0,IF($K148=0,IF(AND($I148&gt;=AF$3,$I148&lt;=AF$2),$E148,0),$E148*NETWORKDAYS(MAX($I148,AF$3),MIN($J148,AF$2),Data!$K$4:$K$203)/$K148)))</f>
        <v>0</v>
      </c>
      <c r="AG148" s="166">
        <f>IF(OR($I148="",$E148=0),0,IF(OR($J148&lt;AG$3,$I148&gt;AG$2),0,IF($K148=0,IF(AND($I148&gt;=AG$3,$I148&lt;=AG$2),$E148,0),$E148*NETWORKDAYS(MAX($I148,AG$3),MIN($J148,AG$2),Data!$K$4:$K$203)/$K148)))</f>
        <v>0</v>
      </c>
      <c r="AH148" s="166">
        <f>IF(OR($I148="",$E148=0),0,IF(OR($J148&lt;AH$3,$I148&gt;AH$2),0,IF($K148=0,IF(AND($I148&gt;=AH$3,$I148&lt;=AH$2),$E148,0),$E148*NETWORKDAYS(MAX($I148,AH$3),MIN($J148,AH$2),Data!$K$4:$K$203)/$K148)))</f>
        <v>0</v>
      </c>
      <c r="AI148" s="166">
        <f>SUM(W148:AH148)</f>
        <v>0</v>
      </c>
      <c r="BZ148" t="str">
        <f>IF(D148=1,IF(TRIM(INDEX(Charge!$K:$K,ROW()))&lt;&gt;"",TRIM(INDEX(Charge!$K:$K,ROW())),IF(TRIM(INDEX(Charge!$L:$L,ROW()))&lt;&gt;"",TRIM(INDEX(Charge!$L:$L,ROW())),"(non affecté)")),"")</f>
        <v/>
      </c>
      <c r="CA148" t="str">
        <f>IF(AND($CD$4&lt;&gt;"",BZ148=$CD$4),COUNTIFS($BZ$4:$BZ$503,$CD$4,$L$4:$L$503,"&lt;"&amp;L148)+1,"")</f>
        <v/>
      </c>
      <c r="EJ148" t="str">
        <f>TRIM(INDEX(Data!$E:$E,ROW()))</f>
        <v/>
      </c>
      <c r="EK148" t="str">
        <f>TRIM(INDEX(Data!$H:$H,ROW()))</f>
        <v/>
      </c>
      <c r="EM148" t="str">
        <f>IF(D148=1,IF(TRIM(INDEX(Charge!$K:$K,ROW()))&lt;&gt;"","Interne",IF(TRIM(INDEX(Charge!$L:$L,ROW()))&lt;&gt;"","Externe","Non affecté")),"")</f>
        <v/>
      </c>
      <c r="EN148" t="str">
        <f>IF(D148=1,LEFT(SUBSTITUTE(SUBSTITUTE(SUBSTITUTE(TRIM(SUBSTITUTE(INDEX(Charge!$B:$B,ROW()),CHAR(160)," "))&amp;" | "&amp;TRIM(SUBSTITUTE(INDEX(Charge!$C:$C,ROW()),CHAR(160)," "))&amp;" | "&amp;TRIM(SUBSTITUTE(INDEX(Charge!$D:$D,ROW()),CHAR(160)," ")),"~","-"),"*","+"),"?","!"),240),"")</f>
        <v/>
      </c>
      <c r="EO148">
        <f>IF(EN148="",0,IF(COUNTIF($EN$4:EN148,EN148)=1,1,0))</f>
        <v>0</v>
      </c>
      <c r="EP148" s="166" t="str">
        <f>IF(EO148=1,ROUND(SUMIF($EN$4:$EN$503,EN148,$E$4:$E$503),2),"")</f>
        <v/>
      </c>
      <c r="EQ148" t="str">
        <f>IF(EO148=1,COUNTIFS($EO$4:$EO$503,1,$EP$4:$EP$503,"&gt;"&amp;EP148)+COUNTIFS($EO$4:EO148,1,$EP$4:EP148,EP148),"")</f>
        <v/>
      </c>
      <c r="ER148" t="str">
        <f>IF(EO148=1,COUNTIFS($EN$4:$EN$503,EN148,$EM$4:$EM$503,"Interne",$FE$4:$FE$503,1),"")</f>
        <v/>
      </c>
      <c r="ES148" t="str">
        <f>IF(EO148=1,COUNTIFS($EN$4:$EN$503,EN148,$EM$4:$EM$503,"Externe",$FE$4:$FE$503,1),"")</f>
        <v/>
      </c>
      <c r="ET148" t="str">
        <f>IF(EO148=1,IF(ER148+ES148=0,"à affecter",IF(ER148=0,ES148&amp;" ext.",(ER148+ES148)&amp;IF(ES148&gt;0," dont "&amp;ES148&amp;" ext.",""))&amp;IF(COUNTIFS($EN$4:$EN$503,EN148,$EM$4:$EM$503,"Non affecté")&gt;0," + à affecter","")),"")</f>
        <v/>
      </c>
      <c r="EU148" s="170" t="str">
        <f>IF(EO148=1,IF(EP148&gt;0,SUMPRODUCT(($EN$4:$EN$503=EN148)*$E$4:$E$503*$C$4:$C$503)/EP148,AVERAGEIF($EN$4:$EN$503,EN148,$C$4:$C$503)),"")</f>
        <v/>
      </c>
      <c r="EV148" s="165">
        <f>IF(ISNUMBER(I148),I148,2958465)</f>
        <v>2958465.0</v>
      </c>
      <c r="EW148" s="165" t="str">
        <f>IF(EO148=1,SUMPRODUCT(MIN(($EN$4:$EN$503=EN148)*$EV$4:$EV$503+($EN$4:$EN$503&lt;&gt;EN148)*2958465)),"")</f>
        <v/>
      </c>
      <c r="EX148" s="165">
        <f>IF(AND(D148=1,ISNUMBER(INDEX(Charge!$F:$F,ROW()))),INDEX(Charge!$F:$F,ROW()),0)</f>
        <v>0.0</v>
      </c>
      <c r="EY148" s="165" t="str">
        <f>IF(EO148=1,SUMPRODUCT(MAX(($EN$4:$EN$503=EN148)*$EX$4:$EX$503)),"")</f>
        <v/>
      </c>
      <c r="FA148" t="str">
        <f>IF(145&lt;=$CD$23,INDEX($EJ$4:$EJ$203,145),IF(145-$CD$23&lt;=$CD$26,INDEX($EK$4:$EK$203,145-$CD$23),""))</f>
        <v/>
      </c>
      <c r="FB148" t="str">
        <f>IF(FA148="","",IF(145&lt;=$CD$23,"Interne","Externe"))</f>
        <v/>
      </c>
      <c r="FD148">
        <f>IF(AND(B148=1,TRIM(INDEX(Charge!$K:$K,ROW()))&lt;&gt;"",TRIM(INDEX(Charge!$L:$L,ROW()))&lt;&gt;""),1,0)</f>
        <v>0</v>
      </c>
      <c r="FE148">
        <f>IF(OR(EN148="",BZ148="(non affecté)"),0,IF(COUNTIFS($EN$4:EN148,EN148,$BZ$4:BZ148,BZ148)=1,1,0))</f>
        <v>0</v>
      </c>
    </row>
    <row r="149">
      <c r="A149">
        <f>ROW()</f>
        <v>149</v>
      </c>
      <c r="B149">
        <f>IF(TRIM(INDEX(Charge!$B:$B,ROW()))&lt;&gt;"",1,0)</f>
        <v>0</v>
      </c>
      <c r="C149">
        <f>IF(B149=1,MIN(1,MAX(0,N(INDEX(Charge!$O:$O,ROW())))),0)</f>
        <v>0</v>
      </c>
      <c r="D149">
        <f>IF(B149=1,IF(OR(p_Perimetre="Tous les projets",C149&lt;1),1,0),0)</f>
        <v>0</v>
      </c>
      <c r="E149">
        <f>IF(D149=1,MAX(0,N(INDEX(Charge!$M:$M,ROW()))),0)</f>
        <v>0</v>
      </c>
      <c r="F149" t="str">
        <f>IF(D149=1,IF(TRIM(INDEX(Charge!$A:$A,ROW()))="","(non renseigné)",TRIM(INDEX(Charge!$A:$A,ROW()))),"")</f>
        <v/>
      </c>
      <c r="G149" t="str">
        <f>IF(D149=1,TRIM(INDEX(Charge!$B:$B,ROW())),"")</f>
        <v/>
      </c>
      <c r="H149" t="str">
        <f>IF(D149=1,IF(TRIM(INDEX(Charge!$E:$E,ROW()))="","(non renseigné)",TRIM(INDEX(Charge!$E:$E,ROW()))),"")</f>
        <v/>
      </c>
      <c r="I149" s="165" t="str">
        <f>IF(AND(D149=1,ISNUMBER(INDEX(Charge!$N:$N,ROW()))),INDEX(Charge!$N:$N,ROW()),"")</f>
        <v/>
      </c>
      <c r="J149" s="165" t="str">
        <f>IF(I149="","",IF(AND(p_Repartition="Lissée jusqu'à la date de besoin",ISNUMBER(INDEX(Charge!$F:$F,ROW()))),IF(INDEX(Charge!$F:$F,ROW())&gt;=I149,INDEX(Charge!$F:$F,ROW()),I149),I149))</f>
        <v/>
      </c>
      <c r="K149" t="str">
        <f>IF(I149="","",NETWORKDAYS(I149,J149,Data!$K$4:$K$203))</f>
        <v/>
      </c>
      <c r="L149" t="str">
        <f>IF(D149=1,COUNTIFS($D$4:$D$503,1,$E$4:$E$503,"&gt;"&amp;E149)+COUNTIFS($D$4:$D149,1,$E$4:$E149,E149),"")</f>
        <v/>
      </c>
      <c r="M149">
        <f>IF(F149="",0,IF(COUNTIF($F$4:F149,F149)=1,1,0))</f>
        <v>0</v>
      </c>
      <c r="N149" t="str">
        <f>IF(M149=1,ROUND(SUMIF($F$4:$F$503,F149,$E$4:$E$503),2),"")</f>
        <v/>
      </c>
      <c r="O149" t="str">
        <f>IF(M149=1,COUNTIFS($M$4:$M$503,1,$N$4:$N$503,"&gt;"&amp;N149)+COUNTIFS($M$4:M149,1,$N$4:N149,N149),"")</f>
        <v/>
      </c>
      <c r="P149">
        <f>IF(G149="",0,IF(COUNTIF($G$4:G149,G149)=1,1,0))</f>
        <v>0</v>
      </c>
      <c r="Q149" t="str">
        <f>IF(P149=1,ROUND(SUMIF($G$4:$G$503,G149,$E$4:$E$503),2),"")</f>
        <v/>
      </c>
      <c r="R149" t="str">
        <f>IF(P149=1,COUNTIFS($P$4:$P$503,1,$Q$4:$Q$503,"&gt;"&amp;Q149)+COUNTIFS($P$4:P149,1,$Q$4:Q149,Q149),"")</f>
        <v/>
      </c>
      <c r="S149">
        <f>IF(H149="",0,IF(COUNTIF($H$4:H149,H149)=1,1,0))</f>
        <v>0</v>
      </c>
      <c r="T149" t="str">
        <f>IF(S149=1,ROUND(SUMIF($H$4:$H$503,H149,$E$4:$E$503),2),"")</f>
        <v/>
      </c>
      <c r="U149" t="str">
        <f>IF(S149=1,COUNTIFS($S$4:$S$503,1,$T$4:$T$503,"&gt;"&amp;T149)+COUNTIFS($S$4:S149,1,$T$4:T149,T149),"")</f>
        <v/>
      </c>
      <c r="V149" t="str">
        <f>IF(D149=1,MIN(INDEX($R$4:$R$503,MATCH(G149,$G$4:$G$503,0)),IF($AL$7&gt;9,9,999)),"")</f>
        <v/>
      </c>
      <c r="W149" s="166">
        <f>IF(OR($I149="",$E149=0),0,IF(OR($J149&lt;W$3,$I149&gt;W$2),0,IF($K149=0,IF(AND($I149&gt;=W$3,$I149&lt;=W$2),$E149,0),$E149*NETWORKDAYS(MAX($I149,W$3),MIN($J149,W$2),Data!$K$4:$K$203)/$K149)))</f>
        <v>0</v>
      </c>
      <c r="X149" s="166">
        <f>IF(OR($I149="",$E149=0),0,IF(OR($J149&lt;X$3,$I149&gt;X$2),0,IF($K149=0,IF(AND($I149&gt;=X$3,$I149&lt;=X$2),$E149,0),$E149*NETWORKDAYS(MAX($I149,X$3),MIN($J149,X$2),Data!$K$4:$K$203)/$K149)))</f>
        <v>0</v>
      </c>
      <c r="Y149" s="166">
        <f>IF(OR($I149="",$E149=0),0,IF(OR($J149&lt;Y$3,$I149&gt;Y$2),0,IF($K149=0,IF(AND($I149&gt;=Y$3,$I149&lt;=Y$2),$E149,0),$E149*NETWORKDAYS(MAX($I149,Y$3),MIN($J149,Y$2),Data!$K$4:$K$203)/$K149)))</f>
        <v>0</v>
      </c>
      <c r="Z149" s="166">
        <f>IF(OR($I149="",$E149=0),0,IF(OR($J149&lt;Z$3,$I149&gt;Z$2),0,IF($K149=0,IF(AND($I149&gt;=Z$3,$I149&lt;=Z$2),$E149,0),$E149*NETWORKDAYS(MAX($I149,Z$3),MIN($J149,Z$2),Data!$K$4:$K$203)/$K149)))</f>
        <v>0</v>
      </c>
      <c r="AA149" s="166">
        <f>IF(OR($I149="",$E149=0),0,IF(OR($J149&lt;AA$3,$I149&gt;AA$2),0,IF($K149=0,IF(AND($I149&gt;=AA$3,$I149&lt;=AA$2),$E149,0),$E149*NETWORKDAYS(MAX($I149,AA$3),MIN($J149,AA$2),Data!$K$4:$K$203)/$K149)))</f>
        <v>0</v>
      </c>
      <c r="AB149" s="166">
        <f>IF(OR($I149="",$E149=0),0,IF(OR($J149&lt;AB$3,$I149&gt;AB$2),0,IF($K149=0,IF(AND($I149&gt;=AB$3,$I149&lt;=AB$2),$E149,0),$E149*NETWORKDAYS(MAX($I149,AB$3),MIN($J149,AB$2),Data!$K$4:$K$203)/$K149)))</f>
        <v>0</v>
      </c>
      <c r="AC149" s="166">
        <f>IF(OR($I149="",$E149=0),0,IF(OR($J149&lt;AC$3,$I149&gt;AC$2),0,IF($K149=0,IF(AND($I149&gt;=AC$3,$I149&lt;=AC$2),$E149,0),$E149*NETWORKDAYS(MAX($I149,AC$3),MIN($J149,AC$2),Data!$K$4:$K$203)/$K149)))</f>
        <v>0</v>
      </c>
      <c r="AD149" s="166">
        <f>IF(OR($I149="",$E149=0),0,IF(OR($J149&lt;AD$3,$I149&gt;AD$2),0,IF($K149=0,IF(AND($I149&gt;=AD$3,$I149&lt;=AD$2),$E149,0),$E149*NETWORKDAYS(MAX($I149,AD$3),MIN($J149,AD$2),Data!$K$4:$K$203)/$K149)))</f>
        <v>0</v>
      </c>
      <c r="AE149" s="166">
        <f>IF(OR($I149="",$E149=0),0,IF(OR($J149&lt;AE$3,$I149&gt;AE$2),0,IF($K149=0,IF(AND($I149&gt;=AE$3,$I149&lt;=AE$2),$E149,0),$E149*NETWORKDAYS(MAX($I149,AE$3),MIN($J149,AE$2),Data!$K$4:$K$203)/$K149)))</f>
        <v>0</v>
      </c>
      <c r="AF149" s="166">
        <f>IF(OR($I149="",$E149=0),0,IF(OR($J149&lt;AF$3,$I149&gt;AF$2),0,IF($K149=0,IF(AND($I149&gt;=AF$3,$I149&lt;=AF$2),$E149,0),$E149*NETWORKDAYS(MAX($I149,AF$3),MIN($J149,AF$2),Data!$K$4:$K$203)/$K149)))</f>
        <v>0</v>
      </c>
      <c r="AG149" s="166">
        <f>IF(OR($I149="",$E149=0),0,IF(OR($J149&lt;AG$3,$I149&gt;AG$2),0,IF($K149=0,IF(AND($I149&gt;=AG$3,$I149&lt;=AG$2),$E149,0),$E149*NETWORKDAYS(MAX($I149,AG$3),MIN($J149,AG$2),Data!$K$4:$K$203)/$K149)))</f>
        <v>0</v>
      </c>
      <c r="AH149" s="166">
        <f>IF(OR($I149="",$E149=0),0,IF(OR($J149&lt;AH$3,$I149&gt;AH$2),0,IF($K149=0,IF(AND($I149&gt;=AH$3,$I149&lt;=AH$2),$E149,0),$E149*NETWORKDAYS(MAX($I149,AH$3),MIN($J149,AH$2),Data!$K$4:$K$203)/$K149)))</f>
        <v>0</v>
      </c>
      <c r="AI149" s="166">
        <f>SUM(W149:AH149)</f>
        <v>0</v>
      </c>
      <c r="BZ149" t="str">
        <f>IF(D149=1,IF(TRIM(INDEX(Charge!$K:$K,ROW()))&lt;&gt;"",TRIM(INDEX(Charge!$K:$K,ROW())),IF(TRIM(INDEX(Charge!$L:$L,ROW()))&lt;&gt;"",TRIM(INDEX(Charge!$L:$L,ROW())),"(non affecté)")),"")</f>
        <v/>
      </c>
      <c r="CA149" t="str">
        <f>IF(AND($CD$4&lt;&gt;"",BZ149=$CD$4),COUNTIFS($BZ$4:$BZ$503,$CD$4,$L$4:$L$503,"&lt;"&amp;L149)+1,"")</f>
        <v/>
      </c>
      <c r="EJ149" t="str">
        <f>TRIM(INDEX(Data!$E:$E,ROW()))</f>
        <v/>
      </c>
      <c r="EK149" t="str">
        <f>TRIM(INDEX(Data!$H:$H,ROW()))</f>
        <v/>
      </c>
      <c r="EM149" t="str">
        <f>IF(D149=1,IF(TRIM(INDEX(Charge!$K:$K,ROW()))&lt;&gt;"","Interne",IF(TRIM(INDEX(Charge!$L:$L,ROW()))&lt;&gt;"","Externe","Non affecté")),"")</f>
        <v/>
      </c>
      <c r="EN149" t="str">
        <f>IF(D149=1,LEFT(SUBSTITUTE(SUBSTITUTE(SUBSTITUTE(TRIM(SUBSTITUTE(INDEX(Charge!$B:$B,ROW()),CHAR(160)," "))&amp;" | "&amp;TRIM(SUBSTITUTE(INDEX(Charge!$C:$C,ROW()),CHAR(160)," "))&amp;" | "&amp;TRIM(SUBSTITUTE(INDEX(Charge!$D:$D,ROW()),CHAR(160)," ")),"~","-"),"*","+"),"?","!"),240),"")</f>
        <v/>
      </c>
      <c r="EO149">
        <f>IF(EN149="",0,IF(COUNTIF($EN$4:EN149,EN149)=1,1,0))</f>
        <v>0</v>
      </c>
      <c r="EP149" s="166" t="str">
        <f>IF(EO149=1,ROUND(SUMIF($EN$4:$EN$503,EN149,$E$4:$E$503),2),"")</f>
        <v/>
      </c>
      <c r="EQ149" t="str">
        <f>IF(EO149=1,COUNTIFS($EO$4:$EO$503,1,$EP$4:$EP$503,"&gt;"&amp;EP149)+COUNTIFS($EO$4:EO149,1,$EP$4:EP149,EP149),"")</f>
        <v/>
      </c>
      <c r="ER149" t="str">
        <f>IF(EO149=1,COUNTIFS($EN$4:$EN$503,EN149,$EM$4:$EM$503,"Interne",$FE$4:$FE$503,1),"")</f>
        <v/>
      </c>
      <c r="ES149" t="str">
        <f>IF(EO149=1,COUNTIFS($EN$4:$EN$503,EN149,$EM$4:$EM$503,"Externe",$FE$4:$FE$503,1),"")</f>
        <v/>
      </c>
      <c r="ET149" t="str">
        <f>IF(EO149=1,IF(ER149+ES149=0,"à affecter",IF(ER149=0,ES149&amp;" ext.",(ER149+ES149)&amp;IF(ES149&gt;0," dont "&amp;ES149&amp;" ext.",""))&amp;IF(COUNTIFS($EN$4:$EN$503,EN149,$EM$4:$EM$503,"Non affecté")&gt;0," + à affecter","")),"")</f>
        <v/>
      </c>
      <c r="EU149" s="170" t="str">
        <f>IF(EO149=1,IF(EP149&gt;0,SUMPRODUCT(($EN$4:$EN$503=EN149)*$E$4:$E$503*$C$4:$C$503)/EP149,AVERAGEIF($EN$4:$EN$503,EN149,$C$4:$C$503)),"")</f>
        <v/>
      </c>
      <c r="EV149" s="165">
        <f>IF(ISNUMBER(I149),I149,2958465)</f>
        <v>2958465.0</v>
      </c>
      <c r="EW149" s="165" t="str">
        <f>IF(EO149=1,SUMPRODUCT(MIN(($EN$4:$EN$503=EN149)*$EV$4:$EV$503+($EN$4:$EN$503&lt;&gt;EN149)*2958465)),"")</f>
        <v/>
      </c>
      <c r="EX149" s="165">
        <f>IF(AND(D149=1,ISNUMBER(INDEX(Charge!$F:$F,ROW()))),INDEX(Charge!$F:$F,ROW()),0)</f>
        <v>0.0</v>
      </c>
      <c r="EY149" s="165" t="str">
        <f>IF(EO149=1,SUMPRODUCT(MAX(($EN$4:$EN$503=EN149)*$EX$4:$EX$503)),"")</f>
        <v/>
      </c>
      <c r="FA149" t="str">
        <f>IF(146&lt;=$CD$23,INDEX($EJ$4:$EJ$203,146),IF(146-$CD$23&lt;=$CD$26,INDEX($EK$4:$EK$203,146-$CD$23),""))</f>
        <v/>
      </c>
      <c r="FB149" t="str">
        <f>IF(FA149="","",IF(146&lt;=$CD$23,"Interne","Externe"))</f>
        <v/>
      </c>
      <c r="FD149">
        <f>IF(AND(B149=1,TRIM(INDEX(Charge!$K:$K,ROW()))&lt;&gt;"",TRIM(INDEX(Charge!$L:$L,ROW()))&lt;&gt;""),1,0)</f>
        <v>0</v>
      </c>
      <c r="FE149">
        <f>IF(OR(EN149="",BZ149="(non affecté)"),0,IF(COUNTIFS($EN$4:EN149,EN149,$BZ$4:BZ149,BZ149)=1,1,0))</f>
        <v>0</v>
      </c>
    </row>
    <row r="150">
      <c r="A150">
        <f>ROW()</f>
        <v>150</v>
      </c>
      <c r="B150">
        <f>IF(TRIM(INDEX(Charge!$B:$B,ROW()))&lt;&gt;"",1,0)</f>
        <v>0</v>
      </c>
      <c r="C150">
        <f>IF(B150=1,MIN(1,MAX(0,N(INDEX(Charge!$O:$O,ROW())))),0)</f>
        <v>0</v>
      </c>
      <c r="D150">
        <f>IF(B150=1,IF(OR(p_Perimetre="Tous les projets",C150&lt;1),1,0),0)</f>
        <v>0</v>
      </c>
      <c r="E150">
        <f>IF(D150=1,MAX(0,N(INDEX(Charge!$M:$M,ROW()))),0)</f>
        <v>0</v>
      </c>
      <c r="F150" t="str">
        <f>IF(D150=1,IF(TRIM(INDEX(Charge!$A:$A,ROW()))="","(non renseigné)",TRIM(INDEX(Charge!$A:$A,ROW()))),"")</f>
        <v/>
      </c>
      <c r="G150" t="str">
        <f>IF(D150=1,TRIM(INDEX(Charge!$B:$B,ROW())),"")</f>
        <v/>
      </c>
      <c r="H150" t="str">
        <f>IF(D150=1,IF(TRIM(INDEX(Charge!$E:$E,ROW()))="","(non renseigné)",TRIM(INDEX(Charge!$E:$E,ROW()))),"")</f>
        <v/>
      </c>
      <c r="I150" s="165" t="str">
        <f>IF(AND(D150=1,ISNUMBER(INDEX(Charge!$N:$N,ROW()))),INDEX(Charge!$N:$N,ROW()),"")</f>
        <v/>
      </c>
      <c r="J150" s="165" t="str">
        <f>IF(I150="","",IF(AND(p_Repartition="Lissée jusqu'à la date de besoin",ISNUMBER(INDEX(Charge!$F:$F,ROW()))),IF(INDEX(Charge!$F:$F,ROW())&gt;=I150,INDEX(Charge!$F:$F,ROW()),I150),I150))</f>
        <v/>
      </c>
      <c r="K150" t="str">
        <f>IF(I150="","",NETWORKDAYS(I150,J150,Data!$K$4:$K$203))</f>
        <v/>
      </c>
      <c r="L150" t="str">
        <f>IF(D150=1,COUNTIFS($D$4:$D$503,1,$E$4:$E$503,"&gt;"&amp;E150)+COUNTIFS($D$4:$D150,1,$E$4:$E150,E150),"")</f>
        <v/>
      </c>
      <c r="M150">
        <f>IF(F150="",0,IF(COUNTIF($F$4:F150,F150)=1,1,0))</f>
        <v>0</v>
      </c>
      <c r="N150" t="str">
        <f>IF(M150=1,ROUND(SUMIF($F$4:$F$503,F150,$E$4:$E$503),2),"")</f>
        <v/>
      </c>
      <c r="O150" t="str">
        <f>IF(M150=1,COUNTIFS($M$4:$M$503,1,$N$4:$N$503,"&gt;"&amp;N150)+COUNTIFS($M$4:M150,1,$N$4:N150,N150),"")</f>
        <v/>
      </c>
      <c r="P150">
        <f>IF(G150="",0,IF(COUNTIF($G$4:G150,G150)=1,1,0))</f>
        <v>0</v>
      </c>
      <c r="Q150" t="str">
        <f>IF(P150=1,ROUND(SUMIF($G$4:$G$503,G150,$E$4:$E$503),2),"")</f>
        <v/>
      </c>
      <c r="R150" t="str">
        <f>IF(P150=1,COUNTIFS($P$4:$P$503,1,$Q$4:$Q$503,"&gt;"&amp;Q150)+COUNTIFS($P$4:P150,1,$Q$4:Q150,Q150),"")</f>
        <v/>
      </c>
      <c r="S150">
        <f>IF(H150="",0,IF(COUNTIF($H$4:H150,H150)=1,1,0))</f>
        <v>0</v>
      </c>
      <c r="T150" t="str">
        <f>IF(S150=1,ROUND(SUMIF($H$4:$H$503,H150,$E$4:$E$503),2),"")</f>
        <v/>
      </c>
      <c r="U150" t="str">
        <f>IF(S150=1,COUNTIFS($S$4:$S$503,1,$T$4:$T$503,"&gt;"&amp;T150)+COUNTIFS($S$4:S150,1,$T$4:T150,T150),"")</f>
        <v/>
      </c>
      <c r="V150" t="str">
        <f>IF(D150=1,MIN(INDEX($R$4:$R$503,MATCH(G150,$G$4:$G$503,0)),IF($AL$7&gt;9,9,999)),"")</f>
        <v/>
      </c>
      <c r="W150" s="166">
        <f>IF(OR($I150="",$E150=0),0,IF(OR($J150&lt;W$3,$I150&gt;W$2),0,IF($K150=0,IF(AND($I150&gt;=W$3,$I150&lt;=W$2),$E150,0),$E150*NETWORKDAYS(MAX($I150,W$3),MIN($J150,W$2),Data!$K$4:$K$203)/$K150)))</f>
        <v>0</v>
      </c>
      <c r="X150" s="166">
        <f>IF(OR($I150="",$E150=0),0,IF(OR($J150&lt;X$3,$I150&gt;X$2),0,IF($K150=0,IF(AND($I150&gt;=X$3,$I150&lt;=X$2),$E150,0),$E150*NETWORKDAYS(MAX($I150,X$3),MIN($J150,X$2),Data!$K$4:$K$203)/$K150)))</f>
        <v>0</v>
      </c>
      <c r="Y150" s="166">
        <f>IF(OR($I150="",$E150=0),0,IF(OR($J150&lt;Y$3,$I150&gt;Y$2),0,IF($K150=0,IF(AND($I150&gt;=Y$3,$I150&lt;=Y$2),$E150,0),$E150*NETWORKDAYS(MAX($I150,Y$3),MIN($J150,Y$2),Data!$K$4:$K$203)/$K150)))</f>
        <v>0</v>
      </c>
      <c r="Z150" s="166">
        <f>IF(OR($I150="",$E150=0),0,IF(OR($J150&lt;Z$3,$I150&gt;Z$2),0,IF($K150=0,IF(AND($I150&gt;=Z$3,$I150&lt;=Z$2),$E150,0),$E150*NETWORKDAYS(MAX($I150,Z$3),MIN($J150,Z$2),Data!$K$4:$K$203)/$K150)))</f>
        <v>0</v>
      </c>
      <c r="AA150" s="166">
        <f>IF(OR($I150="",$E150=0),0,IF(OR($J150&lt;AA$3,$I150&gt;AA$2),0,IF($K150=0,IF(AND($I150&gt;=AA$3,$I150&lt;=AA$2),$E150,0),$E150*NETWORKDAYS(MAX($I150,AA$3),MIN($J150,AA$2),Data!$K$4:$K$203)/$K150)))</f>
        <v>0</v>
      </c>
      <c r="AB150" s="166">
        <f>IF(OR($I150="",$E150=0),0,IF(OR($J150&lt;AB$3,$I150&gt;AB$2),0,IF($K150=0,IF(AND($I150&gt;=AB$3,$I150&lt;=AB$2),$E150,0),$E150*NETWORKDAYS(MAX($I150,AB$3),MIN($J150,AB$2),Data!$K$4:$K$203)/$K150)))</f>
        <v>0</v>
      </c>
      <c r="AC150" s="166">
        <f>IF(OR($I150="",$E150=0),0,IF(OR($J150&lt;AC$3,$I150&gt;AC$2),0,IF($K150=0,IF(AND($I150&gt;=AC$3,$I150&lt;=AC$2),$E150,0),$E150*NETWORKDAYS(MAX($I150,AC$3),MIN($J150,AC$2),Data!$K$4:$K$203)/$K150)))</f>
        <v>0</v>
      </c>
      <c r="AD150" s="166">
        <f>IF(OR($I150="",$E150=0),0,IF(OR($J150&lt;AD$3,$I150&gt;AD$2),0,IF($K150=0,IF(AND($I150&gt;=AD$3,$I150&lt;=AD$2),$E150,0),$E150*NETWORKDAYS(MAX($I150,AD$3),MIN($J150,AD$2),Data!$K$4:$K$203)/$K150)))</f>
        <v>0</v>
      </c>
      <c r="AE150" s="166">
        <f>IF(OR($I150="",$E150=0),0,IF(OR($J150&lt;AE$3,$I150&gt;AE$2),0,IF($K150=0,IF(AND($I150&gt;=AE$3,$I150&lt;=AE$2),$E150,0),$E150*NETWORKDAYS(MAX($I150,AE$3),MIN($J150,AE$2),Data!$K$4:$K$203)/$K150)))</f>
        <v>0</v>
      </c>
      <c r="AF150" s="166">
        <f>IF(OR($I150="",$E150=0),0,IF(OR($J150&lt;AF$3,$I150&gt;AF$2),0,IF($K150=0,IF(AND($I150&gt;=AF$3,$I150&lt;=AF$2),$E150,0),$E150*NETWORKDAYS(MAX($I150,AF$3),MIN($J150,AF$2),Data!$K$4:$K$203)/$K150)))</f>
        <v>0</v>
      </c>
      <c r="AG150" s="166">
        <f>IF(OR($I150="",$E150=0),0,IF(OR($J150&lt;AG$3,$I150&gt;AG$2),0,IF($K150=0,IF(AND($I150&gt;=AG$3,$I150&lt;=AG$2),$E150,0),$E150*NETWORKDAYS(MAX($I150,AG$3),MIN($J150,AG$2),Data!$K$4:$K$203)/$K150)))</f>
        <v>0</v>
      </c>
      <c r="AH150" s="166">
        <f>IF(OR($I150="",$E150=0),0,IF(OR($J150&lt;AH$3,$I150&gt;AH$2),0,IF($K150=0,IF(AND($I150&gt;=AH$3,$I150&lt;=AH$2),$E150,0),$E150*NETWORKDAYS(MAX($I150,AH$3),MIN($J150,AH$2),Data!$K$4:$K$203)/$K150)))</f>
        <v>0</v>
      </c>
      <c r="AI150" s="166">
        <f>SUM(W150:AH150)</f>
        <v>0</v>
      </c>
      <c r="BZ150" t="str">
        <f>IF(D150=1,IF(TRIM(INDEX(Charge!$K:$K,ROW()))&lt;&gt;"",TRIM(INDEX(Charge!$K:$K,ROW())),IF(TRIM(INDEX(Charge!$L:$L,ROW()))&lt;&gt;"",TRIM(INDEX(Charge!$L:$L,ROW())),"(non affecté)")),"")</f>
        <v/>
      </c>
      <c r="CA150" t="str">
        <f>IF(AND($CD$4&lt;&gt;"",BZ150=$CD$4),COUNTIFS($BZ$4:$BZ$503,$CD$4,$L$4:$L$503,"&lt;"&amp;L150)+1,"")</f>
        <v/>
      </c>
      <c r="EJ150" t="str">
        <f>TRIM(INDEX(Data!$E:$E,ROW()))</f>
        <v/>
      </c>
      <c r="EK150" t="str">
        <f>TRIM(INDEX(Data!$H:$H,ROW()))</f>
        <v/>
      </c>
      <c r="EM150" t="str">
        <f>IF(D150=1,IF(TRIM(INDEX(Charge!$K:$K,ROW()))&lt;&gt;"","Interne",IF(TRIM(INDEX(Charge!$L:$L,ROW()))&lt;&gt;"","Externe","Non affecté")),"")</f>
        <v/>
      </c>
      <c r="EN150" t="str">
        <f>IF(D150=1,LEFT(SUBSTITUTE(SUBSTITUTE(SUBSTITUTE(TRIM(SUBSTITUTE(INDEX(Charge!$B:$B,ROW()),CHAR(160)," "))&amp;" | "&amp;TRIM(SUBSTITUTE(INDEX(Charge!$C:$C,ROW()),CHAR(160)," "))&amp;" | "&amp;TRIM(SUBSTITUTE(INDEX(Charge!$D:$D,ROW()),CHAR(160)," ")),"~","-"),"*","+"),"?","!"),240),"")</f>
        <v/>
      </c>
      <c r="EO150">
        <f>IF(EN150="",0,IF(COUNTIF($EN$4:EN150,EN150)=1,1,0))</f>
        <v>0</v>
      </c>
      <c r="EP150" s="166" t="str">
        <f>IF(EO150=1,ROUND(SUMIF($EN$4:$EN$503,EN150,$E$4:$E$503),2),"")</f>
        <v/>
      </c>
      <c r="EQ150" t="str">
        <f>IF(EO150=1,COUNTIFS($EO$4:$EO$503,1,$EP$4:$EP$503,"&gt;"&amp;EP150)+COUNTIFS($EO$4:EO150,1,$EP$4:EP150,EP150),"")</f>
        <v/>
      </c>
      <c r="ER150" t="str">
        <f>IF(EO150=1,COUNTIFS($EN$4:$EN$503,EN150,$EM$4:$EM$503,"Interne",$FE$4:$FE$503,1),"")</f>
        <v/>
      </c>
      <c r="ES150" t="str">
        <f>IF(EO150=1,COUNTIFS($EN$4:$EN$503,EN150,$EM$4:$EM$503,"Externe",$FE$4:$FE$503,1),"")</f>
        <v/>
      </c>
      <c r="ET150" t="str">
        <f>IF(EO150=1,IF(ER150+ES150=0,"à affecter",IF(ER150=0,ES150&amp;" ext.",(ER150+ES150)&amp;IF(ES150&gt;0," dont "&amp;ES150&amp;" ext.",""))&amp;IF(COUNTIFS($EN$4:$EN$503,EN150,$EM$4:$EM$503,"Non affecté")&gt;0," + à affecter","")),"")</f>
        <v/>
      </c>
      <c r="EU150" s="170" t="str">
        <f>IF(EO150=1,IF(EP150&gt;0,SUMPRODUCT(($EN$4:$EN$503=EN150)*$E$4:$E$503*$C$4:$C$503)/EP150,AVERAGEIF($EN$4:$EN$503,EN150,$C$4:$C$503)),"")</f>
        <v/>
      </c>
      <c r="EV150" s="165">
        <f>IF(ISNUMBER(I150),I150,2958465)</f>
        <v>2958465.0</v>
      </c>
      <c r="EW150" s="165" t="str">
        <f>IF(EO150=1,SUMPRODUCT(MIN(($EN$4:$EN$503=EN150)*$EV$4:$EV$503+($EN$4:$EN$503&lt;&gt;EN150)*2958465)),"")</f>
        <v/>
      </c>
      <c r="EX150" s="165">
        <f>IF(AND(D150=1,ISNUMBER(INDEX(Charge!$F:$F,ROW()))),INDEX(Charge!$F:$F,ROW()),0)</f>
        <v>0.0</v>
      </c>
      <c r="EY150" s="165" t="str">
        <f>IF(EO150=1,SUMPRODUCT(MAX(($EN$4:$EN$503=EN150)*$EX$4:$EX$503)),"")</f>
        <v/>
      </c>
      <c r="FA150" t="str">
        <f>IF(147&lt;=$CD$23,INDEX($EJ$4:$EJ$203,147),IF(147-$CD$23&lt;=$CD$26,INDEX($EK$4:$EK$203,147-$CD$23),""))</f>
        <v/>
      </c>
      <c r="FB150" t="str">
        <f>IF(FA150="","",IF(147&lt;=$CD$23,"Interne","Externe"))</f>
        <v/>
      </c>
      <c r="FD150">
        <f>IF(AND(B150=1,TRIM(INDEX(Charge!$K:$K,ROW()))&lt;&gt;"",TRIM(INDEX(Charge!$L:$L,ROW()))&lt;&gt;""),1,0)</f>
        <v>0</v>
      </c>
      <c r="FE150">
        <f>IF(OR(EN150="",BZ150="(non affecté)"),0,IF(COUNTIFS($EN$4:EN150,EN150,$BZ$4:BZ150,BZ150)=1,1,0))</f>
        <v>0</v>
      </c>
    </row>
    <row r="151">
      <c r="A151">
        <f>ROW()</f>
        <v>151</v>
      </c>
      <c r="B151">
        <f>IF(TRIM(INDEX(Charge!$B:$B,ROW()))&lt;&gt;"",1,0)</f>
        <v>0</v>
      </c>
      <c r="C151">
        <f>IF(B151=1,MIN(1,MAX(0,N(INDEX(Charge!$O:$O,ROW())))),0)</f>
        <v>0</v>
      </c>
      <c r="D151">
        <f>IF(B151=1,IF(OR(p_Perimetre="Tous les projets",C151&lt;1),1,0),0)</f>
        <v>0</v>
      </c>
      <c r="E151">
        <f>IF(D151=1,MAX(0,N(INDEX(Charge!$M:$M,ROW()))),0)</f>
        <v>0</v>
      </c>
      <c r="F151" t="str">
        <f>IF(D151=1,IF(TRIM(INDEX(Charge!$A:$A,ROW()))="","(non renseigné)",TRIM(INDEX(Charge!$A:$A,ROW()))),"")</f>
        <v/>
      </c>
      <c r="G151" t="str">
        <f>IF(D151=1,TRIM(INDEX(Charge!$B:$B,ROW())),"")</f>
        <v/>
      </c>
      <c r="H151" t="str">
        <f>IF(D151=1,IF(TRIM(INDEX(Charge!$E:$E,ROW()))="","(non renseigné)",TRIM(INDEX(Charge!$E:$E,ROW()))),"")</f>
        <v/>
      </c>
      <c r="I151" s="165" t="str">
        <f>IF(AND(D151=1,ISNUMBER(INDEX(Charge!$N:$N,ROW()))),INDEX(Charge!$N:$N,ROW()),"")</f>
        <v/>
      </c>
      <c r="J151" s="165" t="str">
        <f>IF(I151="","",IF(AND(p_Repartition="Lissée jusqu'à la date de besoin",ISNUMBER(INDEX(Charge!$F:$F,ROW()))),IF(INDEX(Charge!$F:$F,ROW())&gt;=I151,INDEX(Charge!$F:$F,ROW()),I151),I151))</f>
        <v/>
      </c>
      <c r="K151" t="str">
        <f>IF(I151="","",NETWORKDAYS(I151,J151,Data!$K$4:$K$203))</f>
        <v/>
      </c>
      <c r="L151" t="str">
        <f>IF(D151=1,COUNTIFS($D$4:$D$503,1,$E$4:$E$503,"&gt;"&amp;E151)+COUNTIFS($D$4:$D151,1,$E$4:$E151,E151),"")</f>
        <v/>
      </c>
      <c r="M151">
        <f>IF(F151="",0,IF(COUNTIF($F$4:F151,F151)=1,1,0))</f>
        <v>0</v>
      </c>
      <c r="N151" t="str">
        <f>IF(M151=1,ROUND(SUMIF($F$4:$F$503,F151,$E$4:$E$503),2),"")</f>
        <v/>
      </c>
      <c r="O151" t="str">
        <f>IF(M151=1,COUNTIFS($M$4:$M$503,1,$N$4:$N$503,"&gt;"&amp;N151)+COUNTIFS($M$4:M151,1,$N$4:N151,N151),"")</f>
        <v/>
      </c>
      <c r="P151">
        <f>IF(G151="",0,IF(COUNTIF($G$4:G151,G151)=1,1,0))</f>
        <v>0</v>
      </c>
      <c r="Q151" t="str">
        <f>IF(P151=1,ROUND(SUMIF($G$4:$G$503,G151,$E$4:$E$503),2),"")</f>
        <v/>
      </c>
      <c r="R151" t="str">
        <f>IF(P151=1,COUNTIFS($P$4:$P$503,1,$Q$4:$Q$503,"&gt;"&amp;Q151)+COUNTIFS($P$4:P151,1,$Q$4:Q151,Q151),"")</f>
        <v/>
      </c>
      <c r="S151">
        <f>IF(H151="",0,IF(COUNTIF($H$4:H151,H151)=1,1,0))</f>
        <v>0</v>
      </c>
      <c r="T151" t="str">
        <f>IF(S151=1,ROUND(SUMIF($H$4:$H$503,H151,$E$4:$E$503),2),"")</f>
        <v/>
      </c>
      <c r="U151" t="str">
        <f>IF(S151=1,COUNTIFS($S$4:$S$503,1,$T$4:$T$503,"&gt;"&amp;T151)+COUNTIFS($S$4:S151,1,$T$4:T151,T151),"")</f>
        <v/>
      </c>
      <c r="V151" t="str">
        <f>IF(D151=1,MIN(INDEX($R$4:$R$503,MATCH(G151,$G$4:$G$503,0)),IF($AL$7&gt;9,9,999)),"")</f>
        <v/>
      </c>
      <c r="W151" s="166">
        <f>IF(OR($I151="",$E151=0),0,IF(OR($J151&lt;W$3,$I151&gt;W$2),0,IF($K151=0,IF(AND($I151&gt;=W$3,$I151&lt;=W$2),$E151,0),$E151*NETWORKDAYS(MAX($I151,W$3),MIN($J151,W$2),Data!$K$4:$K$203)/$K151)))</f>
        <v>0</v>
      </c>
      <c r="X151" s="166">
        <f>IF(OR($I151="",$E151=0),0,IF(OR($J151&lt;X$3,$I151&gt;X$2),0,IF($K151=0,IF(AND($I151&gt;=X$3,$I151&lt;=X$2),$E151,0),$E151*NETWORKDAYS(MAX($I151,X$3),MIN($J151,X$2),Data!$K$4:$K$203)/$K151)))</f>
        <v>0</v>
      </c>
      <c r="Y151" s="166">
        <f>IF(OR($I151="",$E151=0),0,IF(OR($J151&lt;Y$3,$I151&gt;Y$2),0,IF($K151=0,IF(AND($I151&gt;=Y$3,$I151&lt;=Y$2),$E151,0),$E151*NETWORKDAYS(MAX($I151,Y$3),MIN($J151,Y$2),Data!$K$4:$K$203)/$K151)))</f>
        <v>0</v>
      </c>
      <c r="Z151" s="166">
        <f>IF(OR($I151="",$E151=0),0,IF(OR($J151&lt;Z$3,$I151&gt;Z$2),0,IF($K151=0,IF(AND($I151&gt;=Z$3,$I151&lt;=Z$2),$E151,0),$E151*NETWORKDAYS(MAX($I151,Z$3),MIN($J151,Z$2),Data!$K$4:$K$203)/$K151)))</f>
        <v>0</v>
      </c>
      <c r="AA151" s="166">
        <f>IF(OR($I151="",$E151=0),0,IF(OR($J151&lt;AA$3,$I151&gt;AA$2),0,IF($K151=0,IF(AND($I151&gt;=AA$3,$I151&lt;=AA$2),$E151,0),$E151*NETWORKDAYS(MAX($I151,AA$3),MIN($J151,AA$2),Data!$K$4:$K$203)/$K151)))</f>
        <v>0</v>
      </c>
      <c r="AB151" s="166">
        <f>IF(OR($I151="",$E151=0),0,IF(OR($J151&lt;AB$3,$I151&gt;AB$2),0,IF($K151=0,IF(AND($I151&gt;=AB$3,$I151&lt;=AB$2),$E151,0),$E151*NETWORKDAYS(MAX($I151,AB$3),MIN($J151,AB$2),Data!$K$4:$K$203)/$K151)))</f>
        <v>0</v>
      </c>
      <c r="AC151" s="166">
        <f>IF(OR($I151="",$E151=0),0,IF(OR($J151&lt;AC$3,$I151&gt;AC$2),0,IF($K151=0,IF(AND($I151&gt;=AC$3,$I151&lt;=AC$2),$E151,0),$E151*NETWORKDAYS(MAX($I151,AC$3),MIN($J151,AC$2),Data!$K$4:$K$203)/$K151)))</f>
        <v>0</v>
      </c>
      <c r="AD151" s="166">
        <f>IF(OR($I151="",$E151=0),0,IF(OR($J151&lt;AD$3,$I151&gt;AD$2),0,IF($K151=0,IF(AND($I151&gt;=AD$3,$I151&lt;=AD$2),$E151,0),$E151*NETWORKDAYS(MAX($I151,AD$3),MIN($J151,AD$2),Data!$K$4:$K$203)/$K151)))</f>
        <v>0</v>
      </c>
      <c r="AE151" s="166">
        <f>IF(OR($I151="",$E151=0),0,IF(OR($J151&lt;AE$3,$I151&gt;AE$2),0,IF($K151=0,IF(AND($I151&gt;=AE$3,$I151&lt;=AE$2),$E151,0),$E151*NETWORKDAYS(MAX($I151,AE$3),MIN($J151,AE$2),Data!$K$4:$K$203)/$K151)))</f>
        <v>0</v>
      </c>
      <c r="AF151" s="166">
        <f>IF(OR($I151="",$E151=0),0,IF(OR($J151&lt;AF$3,$I151&gt;AF$2),0,IF($K151=0,IF(AND($I151&gt;=AF$3,$I151&lt;=AF$2),$E151,0),$E151*NETWORKDAYS(MAX($I151,AF$3),MIN($J151,AF$2),Data!$K$4:$K$203)/$K151)))</f>
        <v>0</v>
      </c>
      <c r="AG151" s="166">
        <f>IF(OR($I151="",$E151=0),0,IF(OR($J151&lt;AG$3,$I151&gt;AG$2),0,IF($K151=0,IF(AND($I151&gt;=AG$3,$I151&lt;=AG$2),$E151,0),$E151*NETWORKDAYS(MAX($I151,AG$3),MIN($J151,AG$2),Data!$K$4:$K$203)/$K151)))</f>
        <v>0</v>
      </c>
      <c r="AH151" s="166">
        <f>IF(OR($I151="",$E151=0),0,IF(OR($J151&lt;AH$3,$I151&gt;AH$2),0,IF($K151=0,IF(AND($I151&gt;=AH$3,$I151&lt;=AH$2),$E151,0),$E151*NETWORKDAYS(MAX($I151,AH$3),MIN($J151,AH$2),Data!$K$4:$K$203)/$K151)))</f>
        <v>0</v>
      </c>
      <c r="AI151" s="166">
        <f>SUM(W151:AH151)</f>
        <v>0</v>
      </c>
      <c r="BZ151" t="str">
        <f>IF(D151=1,IF(TRIM(INDEX(Charge!$K:$K,ROW()))&lt;&gt;"",TRIM(INDEX(Charge!$K:$K,ROW())),IF(TRIM(INDEX(Charge!$L:$L,ROW()))&lt;&gt;"",TRIM(INDEX(Charge!$L:$L,ROW())),"(non affecté)")),"")</f>
        <v/>
      </c>
      <c r="CA151" t="str">
        <f>IF(AND($CD$4&lt;&gt;"",BZ151=$CD$4),COUNTIFS($BZ$4:$BZ$503,$CD$4,$L$4:$L$503,"&lt;"&amp;L151)+1,"")</f>
        <v/>
      </c>
      <c r="EJ151" t="str">
        <f>TRIM(INDEX(Data!$E:$E,ROW()))</f>
        <v/>
      </c>
      <c r="EK151" t="str">
        <f>TRIM(INDEX(Data!$H:$H,ROW()))</f>
        <v/>
      </c>
      <c r="EM151" t="str">
        <f>IF(D151=1,IF(TRIM(INDEX(Charge!$K:$K,ROW()))&lt;&gt;"","Interne",IF(TRIM(INDEX(Charge!$L:$L,ROW()))&lt;&gt;"","Externe","Non affecté")),"")</f>
        <v/>
      </c>
      <c r="EN151" t="str">
        <f>IF(D151=1,LEFT(SUBSTITUTE(SUBSTITUTE(SUBSTITUTE(TRIM(SUBSTITUTE(INDEX(Charge!$B:$B,ROW()),CHAR(160)," "))&amp;" | "&amp;TRIM(SUBSTITUTE(INDEX(Charge!$C:$C,ROW()),CHAR(160)," "))&amp;" | "&amp;TRIM(SUBSTITUTE(INDEX(Charge!$D:$D,ROW()),CHAR(160)," ")),"~","-"),"*","+"),"?","!"),240),"")</f>
        <v/>
      </c>
      <c r="EO151">
        <f>IF(EN151="",0,IF(COUNTIF($EN$4:EN151,EN151)=1,1,0))</f>
        <v>0</v>
      </c>
      <c r="EP151" s="166" t="str">
        <f>IF(EO151=1,ROUND(SUMIF($EN$4:$EN$503,EN151,$E$4:$E$503),2),"")</f>
        <v/>
      </c>
      <c r="EQ151" t="str">
        <f>IF(EO151=1,COUNTIFS($EO$4:$EO$503,1,$EP$4:$EP$503,"&gt;"&amp;EP151)+COUNTIFS($EO$4:EO151,1,$EP$4:EP151,EP151),"")</f>
        <v/>
      </c>
      <c r="ER151" t="str">
        <f>IF(EO151=1,COUNTIFS($EN$4:$EN$503,EN151,$EM$4:$EM$503,"Interne",$FE$4:$FE$503,1),"")</f>
        <v/>
      </c>
      <c r="ES151" t="str">
        <f>IF(EO151=1,COUNTIFS($EN$4:$EN$503,EN151,$EM$4:$EM$503,"Externe",$FE$4:$FE$503,1),"")</f>
        <v/>
      </c>
      <c r="ET151" t="str">
        <f>IF(EO151=1,IF(ER151+ES151=0,"à affecter",IF(ER151=0,ES151&amp;" ext.",(ER151+ES151)&amp;IF(ES151&gt;0," dont "&amp;ES151&amp;" ext.",""))&amp;IF(COUNTIFS($EN$4:$EN$503,EN151,$EM$4:$EM$503,"Non affecté")&gt;0," + à affecter","")),"")</f>
        <v/>
      </c>
      <c r="EU151" s="170" t="str">
        <f>IF(EO151=1,IF(EP151&gt;0,SUMPRODUCT(($EN$4:$EN$503=EN151)*$E$4:$E$503*$C$4:$C$503)/EP151,AVERAGEIF($EN$4:$EN$503,EN151,$C$4:$C$503)),"")</f>
        <v/>
      </c>
      <c r="EV151" s="165">
        <f>IF(ISNUMBER(I151),I151,2958465)</f>
        <v>2958465.0</v>
      </c>
      <c r="EW151" s="165" t="str">
        <f>IF(EO151=1,SUMPRODUCT(MIN(($EN$4:$EN$503=EN151)*$EV$4:$EV$503+($EN$4:$EN$503&lt;&gt;EN151)*2958465)),"")</f>
        <v/>
      </c>
      <c r="EX151" s="165">
        <f>IF(AND(D151=1,ISNUMBER(INDEX(Charge!$F:$F,ROW()))),INDEX(Charge!$F:$F,ROW()),0)</f>
        <v>0.0</v>
      </c>
      <c r="EY151" s="165" t="str">
        <f>IF(EO151=1,SUMPRODUCT(MAX(($EN$4:$EN$503=EN151)*$EX$4:$EX$503)),"")</f>
        <v/>
      </c>
      <c r="FA151" t="str">
        <f>IF(148&lt;=$CD$23,INDEX($EJ$4:$EJ$203,148),IF(148-$CD$23&lt;=$CD$26,INDEX($EK$4:$EK$203,148-$CD$23),""))</f>
        <v/>
      </c>
      <c r="FB151" t="str">
        <f>IF(FA151="","",IF(148&lt;=$CD$23,"Interne","Externe"))</f>
        <v/>
      </c>
      <c r="FD151">
        <f>IF(AND(B151=1,TRIM(INDEX(Charge!$K:$K,ROW()))&lt;&gt;"",TRIM(INDEX(Charge!$L:$L,ROW()))&lt;&gt;""),1,0)</f>
        <v>0</v>
      </c>
      <c r="FE151">
        <f>IF(OR(EN151="",BZ151="(non affecté)"),0,IF(COUNTIFS($EN$4:EN151,EN151,$BZ$4:BZ151,BZ151)=1,1,0))</f>
        <v>0</v>
      </c>
    </row>
    <row r="152">
      <c r="A152">
        <f>ROW()</f>
        <v>152</v>
      </c>
      <c r="B152">
        <f>IF(TRIM(INDEX(Charge!$B:$B,ROW()))&lt;&gt;"",1,0)</f>
        <v>0</v>
      </c>
      <c r="C152">
        <f>IF(B152=1,MIN(1,MAX(0,N(INDEX(Charge!$O:$O,ROW())))),0)</f>
        <v>0</v>
      </c>
      <c r="D152">
        <f>IF(B152=1,IF(OR(p_Perimetre="Tous les projets",C152&lt;1),1,0),0)</f>
        <v>0</v>
      </c>
      <c r="E152">
        <f>IF(D152=1,MAX(0,N(INDEX(Charge!$M:$M,ROW()))),0)</f>
        <v>0</v>
      </c>
      <c r="F152" t="str">
        <f>IF(D152=1,IF(TRIM(INDEX(Charge!$A:$A,ROW()))="","(non renseigné)",TRIM(INDEX(Charge!$A:$A,ROW()))),"")</f>
        <v/>
      </c>
      <c r="G152" t="str">
        <f>IF(D152=1,TRIM(INDEX(Charge!$B:$B,ROW())),"")</f>
        <v/>
      </c>
      <c r="H152" t="str">
        <f>IF(D152=1,IF(TRIM(INDEX(Charge!$E:$E,ROW()))="","(non renseigné)",TRIM(INDEX(Charge!$E:$E,ROW()))),"")</f>
        <v/>
      </c>
      <c r="I152" s="165" t="str">
        <f>IF(AND(D152=1,ISNUMBER(INDEX(Charge!$N:$N,ROW()))),INDEX(Charge!$N:$N,ROW()),"")</f>
        <v/>
      </c>
      <c r="J152" s="165" t="str">
        <f>IF(I152="","",IF(AND(p_Repartition="Lissée jusqu'à la date de besoin",ISNUMBER(INDEX(Charge!$F:$F,ROW()))),IF(INDEX(Charge!$F:$F,ROW())&gt;=I152,INDEX(Charge!$F:$F,ROW()),I152),I152))</f>
        <v/>
      </c>
      <c r="K152" t="str">
        <f>IF(I152="","",NETWORKDAYS(I152,J152,Data!$K$4:$K$203))</f>
        <v/>
      </c>
      <c r="L152" t="str">
        <f>IF(D152=1,COUNTIFS($D$4:$D$503,1,$E$4:$E$503,"&gt;"&amp;E152)+COUNTIFS($D$4:$D152,1,$E$4:$E152,E152),"")</f>
        <v/>
      </c>
      <c r="M152">
        <f>IF(F152="",0,IF(COUNTIF($F$4:F152,F152)=1,1,0))</f>
        <v>0</v>
      </c>
      <c r="N152" t="str">
        <f>IF(M152=1,ROUND(SUMIF($F$4:$F$503,F152,$E$4:$E$503),2),"")</f>
        <v/>
      </c>
      <c r="O152" t="str">
        <f>IF(M152=1,COUNTIFS($M$4:$M$503,1,$N$4:$N$503,"&gt;"&amp;N152)+COUNTIFS($M$4:M152,1,$N$4:N152,N152),"")</f>
        <v/>
      </c>
      <c r="P152">
        <f>IF(G152="",0,IF(COUNTIF($G$4:G152,G152)=1,1,0))</f>
        <v>0</v>
      </c>
      <c r="Q152" t="str">
        <f>IF(P152=1,ROUND(SUMIF($G$4:$G$503,G152,$E$4:$E$503),2),"")</f>
        <v/>
      </c>
      <c r="R152" t="str">
        <f>IF(P152=1,COUNTIFS($P$4:$P$503,1,$Q$4:$Q$503,"&gt;"&amp;Q152)+COUNTIFS($P$4:P152,1,$Q$4:Q152,Q152),"")</f>
        <v/>
      </c>
      <c r="S152">
        <f>IF(H152="",0,IF(COUNTIF($H$4:H152,H152)=1,1,0))</f>
        <v>0</v>
      </c>
      <c r="T152" t="str">
        <f>IF(S152=1,ROUND(SUMIF($H$4:$H$503,H152,$E$4:$E$503),2),"")</f>
        <v/>
      </c>
      <c r="U152" t="str">
        <f>IF(S152=1,COUNTIFS($S$4:$S$503,1,$T$4:$T$503,"&gt;"&amp;T152)+COUNTIFS($S$4:S152,1,$T$4:T152,T152),"")</f>
        <v/>
      </c>
      <c r="V152" t="str">
        <f>IF(D152=1,MIN(INDEX($R$4:$R$503,MATCH(G152,$G$4:$G$503,0)),IF($AL$7&gt;9,9,999)),"")</f>
        <v/>
      </c>
      <c r="W152" s="166">
        <f>IF(OR($I152="",$E152=0),0,IF(OR($J152&lt;W$3,$I152&gt;W$2),0,IF($K152=0,IF(AND($I152&gt;=W$3,$I152&lt;=W$2),$E152,0),$E152*NETWORKDAYS(MAX($I152,W$3),MIN($J152,W$2),Data!$K$4:$K$203)/$K152)))</f>
        <v>0</v>
      </c>
      <c r="X152" s="166">
        <f>IF(OR($I152="",$E152=0),0,IF(OR($J152&lt;X$3,$I152&gt;X$2),0,IF($K152=0,IF(AND($I152&gt;=X$3,$I152&lt;=X$2),$E152,0),$E152*NETWORKDAYS(MAX($I152,X$3),MIN($J152,X$2),Data!$K$4:$K$203)/$K152)))</f>
        <v>0</v>
      </c>
      <c r="Y152" s="166">
        <f>IF(OR($I152="",$E152=0),0,IF(OR($J152&lt;Y$3,$I152&gt;Y$2),0,IF($K152=0,IF(AND($I152&gt;=Y$3,$I152&lt;=Y$2),$E152,0),$E152*NETWORKDAYS(MAX($I152,Y$3),MIN($J152,Y$2),Data!$K$4:$K$203)/$K152)))</f>
        <v>0</v>
      </c>
      <c r="Z152" s="166">
        <f>IF(OR($I152="",$E152=0),0,IF(OR($J152&lt;Z$3,$I152&gt;Z$2),0,IF($K152=0,IF(AND($I152&gt;=Z$3,$I152&lt;=Z$2),$E152,0),$E152*NETWORKDAYS(MAX($I152,Z$3),MIN($J152,Z$2),Data!$K$4:$K$203)/$K152)))</f>
        <v>0</v>
      </c>
      <c r="AA152" s="166">
        <f>IF(OR($I152="",$E152=0),0,IF(OR($J152&lt;AA$3,$I152&gt;AA$2),0,IF($K152=0,IF(AND($I152&gt;=AA$3,$I152&lt;=AA$2),$E152,0),$E152*NETWORKDAYS(MAX($I152,AA$3),MIN($J152,AA$2),Data!$K$4:$K$203)/$K152)))</f>
        <v>0</v>
      </c>
      <c r="AB152" s="166">
        <f>IF(OR($I152="",$E152=0),0,IF(OR($J152&lt;AB$3,$I152&gt;AB$2),0,IF($K152=0,IF(AND($I152&gt;=AB$3,$I152&lt;=AB$2),$E152,0),$E152*NETWORKDAYS(MAX($I152,AB$3),MIN($J152,AB$2),Data!$K$4:$K$203)/$K152)))</f>
        <v>0</v>
      </c>
      <c r="AC152" s="166">
        <f>IF(OR($I152="",$E152=0),0,IF(OR($J152&lt;AC$3,$I152&gt;AC$2),0,IF($K152=0,IF(AND($I152&gt;=AC$3,$I152&lt;=AC$2),$E152,0),$E152*NETWORKDAYS(MAX($I152,AC$3),MIN($J152,AC$2),Data!$K$4:$K$203)/$K152)))</f>
        <v>0</v>
      </c>
      <c r="AD152" s="166">
        <f>IF(OR($I152="",$E152=0),0,IF(OR($J152&lt;AD$3,$I152&gt;AD$2),0,IF($K152=0,IF(AND($I152&gt;=AD$3,$I152&lt;=AD$2),$E152,0),$E152*NETWORKDAYS(MAX($I152,AD$3),MIN($J152,AD$2),Data!$K$4:$K$203)/$K152)))</f>
        <v>0</v>
      </c>
      <c r="AE152" s="166">
        <f>IF(OR($I152="",$E152=0),0,IF(OR($J152&lt;AE$3,$I152&gt;AE$2),0,IF($K152=0,IF(AND($I152&gt;=AE$3,$I152&lt;=AE$2),$E152,0),$E152*NETWORKDAYS(MAX($I152,AE$3),MIN($J152,AE$2),Data!$K$4:$K$203)/$K152)))</f>
        <v>0</v>
      </c>
      <c r="AF152" s="166">
        <f>IF(OR($I152="",$E152=0),0,IF(OR($J152&lt;AF$3,$I152&gt;AF$2),0,IF($K152=0,IF(AND($I152&gt;=AF$3,$I152&lt;=AF$2),$E152,0),$E152*NETWORKDAYS(MAX($I152,AF$3),MIN($J152,AF$2),Data!$K$4:$K$203)/$K152)))</f>
        <v>0</v>
      </c>
      <c r="AG152" s="166">
        <f>IF(OR($I152="",$E152=0),0,IF(OR($J152&lt;AG$3,$I152&gt;AG$2),0,IF($K152=0,IF(AND($I152&gt;=AG$3,$I152&lt;=AG$2),$E152,0),$E152*NETWORKDAYS(MAX($I152,AG$3),MIN($J152,AG$2),Data!$K$4:$K$203)/$K152)))</f>
        <v>0</v>
      </c>
      <c r="AH152" s="166">
        <f>IF(OR($I152="",$E152=0),0,IF(OR($J152&lt;AH$3,$I152&gt;AH$2),0,IF($K152=0,IF(AND($I152&gt;=AH$3,$I152&lt;=AH$2),$E152,0),$E152*NETWORKDAYS(MAX($I152,AH$3),MIN($J152,AH$2),Data!$K$4:$K$203)/$K152)))</f>
        <v>0</v>
      </c>
      <c r="AI152" s="166">
        <f>SUM(W152:AH152)</f>
        <v>0</v>
      </c>
      <c r="BZ152" t="str">
        <f>IF(D152=1,IF(TRIM(INDEX(Charge!$K:$K,ROW()))&lt;&gt;"",TRIM(INDEX(Charge!$K:$K,ROW())),IF(TRIM(INDEX(Charge!$L:$L,ROW()))&lt;&gt;"",TRIM(INDEX(Charge!$L:$L,ROW())),"(non affecté)")),"")</f>
        <v/>
      </c>
      <c r="CA152" t="str">
        <f>IF(AND($CD$4&lt;&gt;"",BZ152=$CD$4),COUNTIFS($BZ$4:$BZ$503,$CD$4,$L$4:$L$503,"&lt;"&amp;L152)+1,"")</f>
        <v/>
      </c>
      <c r="EJ152" t="str">
        <f>TRIM(INDEX(Data!$E:$E,ROW()))</f>
        <v/>
      </c>
      <c r="EK152" t="str">
        <f>TRIM(INDEX(Data!$H:$H,ROW()))</f>
        <v/>
      </c>
      <c r="EM152" t="str">
        <f>IF(D152=1,IF(TRIM(INDEX(Charge!$K:$K,ROW()))&lt;&gt;"","Interne",IF(TRIM(INDEX(Charge!$L:$L,ROW()))&lt;&gt;"","Externe","Non affecté")),"")</f>
        <v/>
      </c>
      <c r="EN152" t="str">
        <f>IF(D152=1,LEFT(SUBSTITUTE(SUBSTITUTE(SUBSTITUTE(TRIM(SUBSTITUTE(INDEX(Charge!$B:$B,ROW()),CHAR(160)," "))&amp;" | "&amp;TRIM(SUBSTITUTE(INDEX(Charge!$C:$C,ROW()),CHAR(160)," "))&amp;" | "&amp;TRIM(SUBSTITUTE(INDEX(Charge!$D:$D,ROW()),CHAR(160)," ")),"~","-"),"*","+"),"?","!"),240),"")</f>
        <v/>
      </c>
      <c r="EO152">
        <f>IF(EN152="",0,IF(COUNTIF($EN$4:EN152,EN152)=1,1,0))</f>
        <v>0</v>
      </c>
      <c r="EP152" s="166" t="str">
        <f>IF(EO152=1,ROUND(SUMIF($EN$4:$EN$503,EN152,$E$4:$E$503),2),"")</f>
        <v/>
      </c>
      <c r="EQ152" t="str">
        <f>IF(EO152=1,COUNTIFS($EO$4:$EO$503,1,$EP$4:$EP$503,"&gt;"&amp;EP152)+COUNTIFS($EO$4:EO152,1,$EP$4:EP152,EP152),"")</f>
        <v/>
      </c>
      <c r="ER152" t="str">
        <f>IF(EO152=1,COUNTIFS($EN$4:$EN$503,EN152,$EM$4:$EM$503,"Interne",$FE$4:$FE$503,1),"")</f>
        <v/>
      </c>
      <c r="ES152" t="str">
        <f>IF(EO152=1,COUNTIFS($EN$4:$EN$503,EN152,$EM$4:$EM$503,"Externe",$FE$4:$FE$503,1),"")</f>
        <v/>
      </c>
      <c r="ET152" t="str">
        <f>IF(EO152=1,IF(ER152+ES152=0,"à affecter",IF(ER152=0,ES152&amp;" ext.",(ER152+ES152)&amp;IF(ES152&gt;0," dont "&amp;ES152&amp;" ext.",""))&amp;IF(COUNTIFS($EN$4:$EN$503,EN152,$EM$4:$EM$503,"Non affecté")&gt;0," + à affecter","")),"")</f>
        <v/>
      </c>
      <c r="EU152" s="170" t="str">
        <f>IF(EO152=1,IF(EP152&gt;0,SUMPRODUCT(($EN$4:$EN$503=EN152)*$E$4:$E$503*$C$4:$C$503)/EP152,AVERAGEIF($EN$4:$EN$503,EN152,$C$4:$C$503)),"")</f>
        <v/>
      </c>
      <c r="EV152" s="165">
        <f>IF(ISNUMBER(I152),I152,2958465)</f>
        <v>2958465.0</v>
      </c>
      <c r="EW152" s="165" t="str">
        <f>IF(EO152=1,SUMPRODUCT(MIN(($EN$4:$EN$503=EN152)*$EV$4:$EV$503+($EN$4:$EN$503&lt;&gt;EN152)*2958465)),"")</f>
        <v/>
      </c>
      <c r="EX152" s="165">
        <f>IF(AND(D152=1,ISNUMBER(INDEX(Charge!$F:$F,ROW()))),INDEX(Charge!$F:$F,ROW()),0)</f>
        <v>0.0</v>
      </c>
      <c r="EY152" s="165" t="str">
        <f>IF(EO152=1,SUMPRODUCT(MAX(($EN$4:$EN$503=EN152)*$EX$4:$EX$503)),"")</f>
        <v/>
      </c>
      <c r="FA152" t="str">
        <f>IF(149&lt;=$CD$23,INDEX($EJ$4:$EJ$203,149),IF(149-$CD$23&lt;=$CD$26,INDEX($EK$4:$EK$203,149-$CD$23),""))</f>
        <v/>
      </c>
      <c r="FB152" t="str">
        <f>IF(FA152="","",IF(149&lt;=$CD$23,"Interne","Externe"))</f>
        <v/>
      </c>
      <c r="FD152">
        <f>IF(AND(B152=1,TRIM(INDEX(Charge!$K:$K,ROW()))&lt;&gt;"",TRIM(INDEX(Charge!$L:$L,ROW()))&lt;&gt;""),1,0)</f>
        <v>0</v>
      </c>
      <c r="FE152">
        <f>IF(OR(EN152="",BZ152="(non affecté)"),0,IF(COUNTIFS($EN$4:EN152,EN152,$BZ$4:BZ152,BZ152)=1,1,0))</f>
        <v>0</v>
      </c>
    </row>
    <row r="153">
      <c r="A153">
        <f>ROW()</f>
        <v>153</v>
      </c>
      <c r="B153">
        <f>IF(TRIM(INDEX(Charge!$B:$B,ROW()))&lt;&gt;"",1,0)</f>
        <v>0</v>
      </c>
      <c r="C153">
        <f>IF(B153=1,MIN(1,MAX(0,N(INDEX(Charge!$O:$O,ROW())))),0)</f>
        <v>0</v>
      </c>
      <c r="D153">
        <f>IF(B153=1,IF(OR(p_Perimetre="Tous les projets",C153&lt;1),1,0),0)</f>
        <v>0</v>
      </c>
      <c r="E153">
        <f>IF(D153=1,MAX(0,N(INDEX(Charge!$M:$M,ROW()))),0)</f>
        <v>0</v>
      </c>
      <c r="F153" t="str">
        <f>IF(D153=1,IF(TRIM(INDEX(Charge!$A:$A,ROW()))="","(non renseigné)",TRIM(INDEX(Charge!$A:$A,ROW()))),"")</f>
        <v/>
      </c>
      <c r="G153" t="str">
        <f>IF(D153=1,TRIM(INDEX(Charge!$B:$B,ROW())),"")</f>
        <v/>
      </c>
      <c r="H153" t="str">
        <f>IF(D153=1,IF(TRIM(INDEX(Charge!$E:$E,ROW()))="","(non renseigné)",TRIM(INDEX(Charge!$E:$E,ROW()))),"")</f>
        <v/>
      </c>
      <c r="I153" s="165" t="str">
        <f>IF(AND(D153=1,ISNUMBER(INDEX(Charge!$N:$N,ROW()))),INDEX(Charge!$N:$N,ROW()),"")</f>
        <v/>
      </c>
      <c r="J153" s="165" t="str">
        <f>IF(I153="","",IF(AND(p_Repartition="Lissée jusqu'à la date de besoin",ISNUMBER(INDEX(Charge!$F:$F,ROW()))),IF(INDEX(Charge!$F:$F,ROW())&gt;=I153,INDEX(Charge!$F:$F,ROW()),I153),I153))</f>
        <v/>
      </c>
      <c r="K153" t="str">
        <f>IF(I153="","",NETWORKDAYS(I153,J153,Data!$K$4:$K$203))</f>
        <v/>
      </c>
      <c r="L153" t="str">
        <f>IF(D153=1,COUNTIFS($D$4:$D$503,1,$E$4:$E$503,"&gt;"&amp;E153)+COUNTIFS($D$4:$D153,1,$E$4:$E153,E153),"")</f>
        <v/>
      </c>
      <c r="M153">
        <f>IF(F153="",0,IF(COUNTIF($F$4:F153,F153)=1,1,0))</f>
        <v>0</v>
      </c>
      <c r="N153" t="str">
        <f>IF(M153=1,ROUND(SUMIF($F$4:$F$503,F153,$E$4:$E$503),2),"")</f>
        <v/>
      </c>
      <c r="O153" t="str">
        <f>IF(M153=1,COUNTIFS($M$4:$M$503,1,$N$4:$N$503,"&gt;"&amp;N153)+COUNTIFS($M$4:M153,1,$N$4:N153,N153),"")</f>
        <v/>
      </c>
      <c r="P153">
        <f>IF(G153="",0,IF(COUNTIF($G$4:G153,G153)=1,1,0))</f>
        <v>0</v>
      </c>
      <c r="Q153" t="str">
        <f>IF(P153=1,ROUND(SUMIF($G$4:$G$503,G153,$E$4:$E$503),2),"")</f>
        <v/>
      </c>
      <c r="R153" t="str">
        <f>IF(P153=1,COUNTIFS($P$4:$P$503,1,$Q$4:$Q$503,"&gt;"&amp;Q153)+COUNTIFS($P$4:P153,1,$Q$4:Q153,Q153),"")</f>
        <v/>
      </c>
      <c r="S153">
        <f>IF(H153="",0,IF(COUNTIF($H$4:H153,H153)=1,1,0))</f>
        <v>0</v>
      </c>
      <c r="T153" t="str">
        <f>IF(S153=1,ROUND(SUMIF($H$4:$H$503,H153,$E$4:$E$503),2),"")</f>
        <v/>
      </c>
      <c r="U153" t="str">
        <f>IF(S153=1,COUNTIFS($S$4:$S$503,1,$T$4:$T$503,"&gt;"&amp;T153)+COUNTIFS($S$4:S153,1,$T$4:T153,T153),"")</f>
        <v/>
      </c>
      <c r="V153" t="str">
        <f>IF(D153=1,MIN(INDEX($R$4:$R$503,MATCH(G153,$G$4:$G$503,0)),IF($AL$7&gt;9,9,999)),"")</f>
        <v/>
      </c>
      <c r="W153" s="166">
        <f>IF(OR($I153="",$E153=0),0,IF(OR($J153&lt;W$3,$I153&gt;W$2),0,IF($K153=0,IF(AND($I153&gt;=W$3,$I153&lt;=W$2),$E153,0),$E153*NETWORKDAYS(MAX($I153,W$3),MIN($J153,W$2),Data!$K$4:$K$203)/$K153)))</f>
        <v>0</v>
      </c>
      <c r="X153" s="166">
        <f>IF(OR($I153="",$E153=0),0,IF(OR($J153&lt;X$3,$I153&gt;X$2),0,IF($K153=0,IF(AND($I153&gt;=X$3,$I153&lt;=X$2),$E153,0),$E153*NETWORKDAYS(MAX($I153,X$3),MIN($J153,X$2),Data!$K$4:$K$203)/$K153)))</f>
        <v>0</v>
      </c>
      <c r="Y153" s="166">
        <f>IF(OR($I153="",$E153=0),0,IF(OR($J153&lt;Y$3,$I153&gt;Y$2),0,IF($K153=0,IF(AND($I153&gt;=Y$3,$I153&lt;=Y$2),$E153,0),$E153*NETWORKDAYS(MAX($I153,Y$3),MIN($J153,Y$2),Data!$K$4:$K$203)/$K153)))</f>
        <v>0</v>
      </c>
      <c r="Z153" s="166">
        <f>IF(OR($I153="",$E153=0),0,IF(OR($J153&lt;Z$3,$I153&gt;Z$2),0,IF($K153=0,IF(AND($I153&gt;=Z$3,$I153&lt;=Z$2),$E153,0),$E153*NETWORKDAYS(MAX($I153,Z$3),MIN($J153,Z$2),Data!$K$4:$K$203)/$K153)))</f>
        <v>0</v>
      </c>
      <c r="AA153" s="166">
        <f>IF(OR($I153="",$E153=0),0,IF(OR($J153&lt;AA$3,$I153&gt;AA$2),0,IF($K153=0,IF(AND($I153&gt;=AA$3,$I153&lt;=AA$2),$E153,0),$E153*NETWORKDAYS(MAX($I153,AA$3),MIN($J153,AA$2),Data!$K$4:$K$203)/$K153)))</f>
        <v>0</v>
      </c>
      <c r="AB153" s="166">
        <f>IF(OR($I153="",$E153=0),0,IF(OR($J153&lt;AB$3,$I153&gt;AB$2),0,IF($K153=0,IF(AND($I153&gt;=AB$3,$I153&lt;=AB$2),$E153,0),$E153*NETWORKDAYS(MAX($I153,AB$3),MIN($J153,AB$2),Data!$K$4:$K$203)/$K153)))</f>
        <v>0</v>
      </c>
      <c r="AC153" s="166">
        <f>IF(OR($I153="",$E153=0),0,IF(OR($J153&lt;AC$3,$I153&gt;AC$2),0,IF($K153=0,IF(AND($I153&gt;=AC$3,$I153&lt;=AC$2),$E153,0),$E153*NETWORKDAYS(MAX($I153,AC$3),MIN($J153,AC$2),Data!$K$4:$K$203)/$K153)))</f>
        <v>0</v>
      </c>
      <c r="AD153" s="166">
        <f>IF(OR($I153="",$E153=0),0,IF(OR($J153&lt;AD$3,$I153&gt;AD$2),0,IF($K153=0,IF(AND($I153&gt;=AD$3,$I153&lt;=AD$2),$E153,0),$E153*NETWORKDAYS(MAX($I153,AD$3),MIN($J153,AD$2),Data!$K$4:$K$203)/$K153)))</f>
        <v>0</v>
      </c>
      <c r="AE153" s="166">
        <f>IF(OR($I153="",$E153=0),0,IF(OR($J153&lt;AE$3,$I153&gt;AE$2),0,IF($K153=0,IF(AND($I153&gt;=AE$3,$I153&lt;=AE$2),$E153,0),$E153*NETWORKDAYS(MAX($I153,AE$3),MIN($J153,AE$2),Data!$K$4:$K$203)/$K153)))</f>
        <v>0</v>
      </c>
      <c r="AF153" s="166">
        <f>IF(OR($I153="",$E153=0),0,IF(OR($J153&lt;AF$3,$I153&gt;AF$2),0,IF($K153=0,IF(AND($I153&gt;=AF$3,$I153&lt;=AF$2),$E153,0),$E153*NETWORKDAYS(MAX($I153,AF$3),MIN($J153,AF$2),Data!$K$4:$K$203)/$K153)))</f>
        <v>0</v>
      </c>
      <c r="AG153" s="166">
        <f>IF(OR($I153="",$E153=0),0,IF(OR($J153&lt;AG$3,$I153&gt;AG$2),0,IF($K153=0,IF(AND($I153&gt;=AG$3,$I153&lt;=AG$2),$E153,0),$E153*NETWORKDAYS(MAX($I153,AG$3),MIN($J153,AG$2),Data!$K$4:$K$203)/$K153)))</f>
        <v>0</v>
      </c>
      <c r="AH153" s="166">
        <f>IF(OR($I153="",$E153=0),0,IF(OR($J153&lt;AH$3,$I153&gt;AH$2),0,IF($K153=0,IF(AND($I153&gt;=AH$3,$I153&lt;=AH$2),$E153,0),$E153*NETWORKDAYS(MAX($I153,AH$3),MIN($J153,AH$2),Data!$K$4:$K$203)/$K153)))</f>
        <v>0</v>
      </c>
      <c r="AI153" s="166">
        <f>SUM(W153:AH153)</f>
        <v>0</v>
      </c>
      <c r="BZ153" t="str">
        <f>IF(D153=1,IF(TRIM(INDEX(Charge!$K:$K,ROW()))&lt;&gt;"",TRIM(INDEX(Charge!$K:$K,ROW())),IF(TRIM(INDEX(Charge!$L:$L,ROW()))&lt;&gt;"",TRIM(INDEX(Charge!$L:$L,ROW())),"(non affecté)")),"")</f>
        <v/>
      </c>
      <c r="CA153" t="str">
        <f>IF(AND($CD$4&lt;&gt;"",BZ153=$CD$4),COUNTIFS($BZ$4:$BZ$503,$CD$4,$L$4:$L$503,"&lt;"&amp;L153)+1,"")</f>
        <v/>
      </c>
      <c r="EJ153" t="str">
        <f>TRIM(INDEX(Data!$E:$E,ROW()))</f>
        <v/>
      </c>
      <c r="EK153" t="str">
        <f>TRIM(INDEX(Data!$H:$H,ROW()))</f>
        <v/>
      </c>
      <c r="EM153" t="str">
        <f>IF(D153=1,IF(TRIM(INDEX(Charge!$K:$K,ROW()))&lt;&gt;"","Interne",IF(TRIM(INDEX(Charge!$L:$L,ROW()))&lt;&gt;"","Externe","Non affecté")),"")</f>
        <v/>
      </c>
      <c r="EN153" t="str">
        <f>IF(D153=1,LEFT(SUBSTITUTE(SUBSTITUTE(SUBSTITUTE(TRIM(SUBSTITUTE(INDEX(Charge!$B:$B,ROW()),CHAR(160)," "))&amp;" | "&amp;TRIM(SUBSTITUTE(INDEX(Charge!$C:$C,ROW()),CHAR(160)," "))&amp;" | "&amp;TRIM(SUBSTITUTE(INDEX(Charge!$D:$D,ROW()),CHAR(160)," ")),"~","-"),"*","+"),"?","!"),240),"")</f>
        <v/>
      </c>
      <c r="EO153">
        <f>IF(EN153="",0,IF(COUNTIF($EN$4:EN153,EN153)=1,1,0))</f>
        <v>0</v>
      </c>
      <c r="EP153" s="166" t="str">
        <f>IF(EO153=1,ROUND(SUMIF($EN$4:$EN$503,EN153,$E$4:$E$503),2),"")</f>
        <v/>
      </c>
      <c r="EQ153" t="str">
        <f>IF(EO153=1,COUNTIFS($EO$4:$EO$503,1,$EP$4:$EP$503,"&gt;"&amp;EP153)+COUNTIFS($EO$4:EO153,1,$EP$4:EP153,EP153),"")</f>
        <v/>
      </c>
      <c r="ER153" t="str">
        <f>IF(EO153=1,COUNTIFS($EN$4:$EN$503,EN153,$EM$4:$EM$503,"Interne",$FE$4:$FE$503,1),"")</f>
        <v/>
      </c>
      <c r="ES153" t="str">
        <f>IF(EO153=1,COUNTIFS($EN$4:$EN$503,EN153,$EM$4:$EM$503,"Externe",$FE$4:$FE$503,1),"")</f>
        <v/>
      </c>
      <c r="ET153" t="str">
        <f>IF(EO153=1,IF(ER153+ES153=0,"à affecter",IF(ER153=0,ES153&amp;" ext.",(ER153+ES153)&amp;IF(ES153&gt;0," dont "&amp;ES153&amp;" ext.",""))&amp;IF(COUNTIFS($EN$4:$EN$503,EN153,$EM$4:$EM$503,"Non affecté")&gt;0," + à affecter","")),"")</f>
        <v/>
      </c>
      <c r="EU153" s="170" t="str">
        <f>IF(EO153=1,IF(EP153&gt;0,SUMPRODUCT(($EN$4:$EN$503=EN153)*$E$4:$E$503*$C$4:$C$503)/EP153,AVERAGEIF($EN$4:$EN$503,EN153,$C$4:$C$503)),"")</f>
        <v/>
      </c>
      <c r="EV153" s="165">
        <f>IF(ISNUMBER(I153),I153,2958465)</f>
        <v>2958465.0</v>
      </c>
      <c r="EW153" s="165" t="str">
        <f>IF(EO153=1,SUMPRODUCT(MIN(($EN$4:$EN$503=EN153)*$EV$4:$EV$503+($EN$4:$EN$503&lt;&gt;EN153)*2958465)),"")</f>
        <v/>
      </c>
      <c r="EX153" s="165">
        <f>IF(AND(D153=1,ISNUMBER(INDEX(Charge!$F:$F,ROW()))),INDEX(Charge!$F:$F,ROW()),0)</f>
        <v>0.0</v>
      </c>
      <c r="EY153" s="165" t="str">
        <f>IF(EO153=1,SUMPRODUCT(MAX(($EN$4:$EN$503=EN153)*$EX$4:$EX$503)),"")</f>
        <v/>
      </c>
      <c r="FA153" t="str">
        <f>IF(150&lt;=$CD$23,INDEX($EJ$4:$EJ$203,150),IF(150-$CD$23&lt;=$CD$26,INDEX($EK$4:$EK$203,150-$CD$23),""))</f>
        <v/>
      </c>
      <c r="FB153" t="str">
        <f>IF(FA153="","",IF(150&lt;=$CD$23,"Interne","Externe"))</f>
        <v/>
      </c>
      <c r="FD153">
        <f>IF(AND(B153=1,TRIM(INDEX(Charge!$K:$K,ROW()))&lt;&gt;"",TRIM(INDEX(Charge!$L:$L,ROW()))&lt;&gt;""),1,0)</f>
        <v>0</v>
      </c>
      <c r="FE153">
        <f>IF(OR(EN153="",BZ153="(non affecté)"),0,IF(COUNTIFS($EN$4:EN153,EN153,$BZ$4:BZ153,BZ153)=1,1,0))</f>
        <v>0</v>
      </c>
    </row>
    <row r="154">
      <c r="A154">
        <f>ROW()</f>
        <v>154</v>
      </c>
      <c r="B154">
        <f>IF(TRIM(INDEX(Charge!$B:$B,ROW()))&lt;&gt;"",1,0)</f>
        <v>0</v>
      </c>
      <c r="C154">
        <f>IF(B154=1,MIN(1,MAX(0,N(INDEX(Charge!$O:$O,ROW())))),0)</f>
        <v>0</v>
      </c>
      <c r="D154">
        <f>IF(B154=1,IF(OR(p_Perimetre="Tous les projets",C154&lt;1),1,0),0)</f>
        <v>0</v>
      </c>
      <c r="E154">
        <f>IF(D154=1,MAX(0,N(INDEX(Charge!$M:$M,ROW()))),0)</f>
        <v>0</v>
      </c>
      <c r="F154" t="str">
        <f>IF(D154=1,IF(TRIM(INDEX(Charge!$A:$A,ROW()))="","(non renseigné)",TRIM(INDEX(Charge!$A:$A,ROW()))),"")</f>
        <v/>
      </c>
      <c r="G154" t="str">
        <f>IF(D154=1,TRIM(INDEX(Charge!$B:$B,ROW())),"")</f>
        <v/>
      </c>
      <c r="H154" t="str">
        <f>IF(D154=1,IF(TRIM(INDEX(Charge!$E:$E,ROW()))="","(non renseigné)",TRIM(INDEX(Charge!$E:$E,ROW()))),"")</f>
        <v/>
      </c>
      <c r="I154" s="165" t="str">
        <f>IF(AND(D154=1,ISNUMBER(INDEX(Charge!$N:$N,ROW()))),INDEX(Charge!$N:$N,ROW()),"")</f>
        <v/>
      </c>
      <c r="J154" s="165" t="str">
        <f>IF(I154="","",IF(AND(p_Repartition="Lissée jusqu'à la date de besoin",ISNUMBER(INDEX(Charge!$F:$F,ROW()))),IF(INDEX(Charge!$F:$F,ROW())&gt;=I154,INDEX(Charge!$F:$F,ROW()),I154),I154))</f>
        <v/>
      </c>
      <c r="K154" t="str">
        <f>IF(I154="","",NETWORKDAYS(I154,J154,Data!$K$4:$K$203))</f>
        <v/>
      </c>
      <c r="L154" t="str">
        <f>IF(D154=1,COUNTIFS($D$4:$D$503,1,$E$4:$E$503,"&gt;"&amp;E154)+COUNTIFS($D$4:$D154,1,$E$4:$E154,E154),"")</f>
        <v/>
      </c>
      <c r="M154">
        <f>IF(F154="",0,IF(COUNTIF($F$4:F154,F154)=1,1,0))</f>
        <v>0</v>
      </c>
      <c r="N154" t="str">
        <f>IF(M154=1,ROUND(SUMIF($F$4:$F$503,F154,$E$4:$E$503),2),"")</f>
        <v/>
      </c>
      <c r="O154" t="str">
        <f>IF(M154=1,COUNTIFS($M$4:$M$503,1,$N$4:$N$503,"&gt;"&amp;N154)+COUNTIFS($M$4:M154,1,$N$4:N154,N154),"")</f>
        <v/>
      </c>
      <c r="P154">
        <f>IF(G154="",0,IF(COUNTIF($G$4:G154,G154)=1,1,0))</f>
        <v>0</v>
      </c>
      <c r="Q154" t="str">
        <f>IF(P154=1,ROUND(SUMIF($G$4:$G$503,G154,$E$4:$E$503),2),"")</f>
        <v/>
      </c>
      <c r="R154" t="str">
        <f>IF(P154=1,COUNTIFS($P$4:$P$503,1,$Q$4:$Q$503,"&gt;"&amp;Q154)+COUNTIFS($P$4:P154,1,$Q$4:Q154,Q154),"")</f>
        <v/>
      </c>
      <c r="S154">
        <f>IF(H154="",0,IF(COUNTIF($H$4:H154,H154)=1,1,0))</f>
        <v>0</v>
      </c>
      <c r="T154" t="str">
        <f>IF(S154=1,ROUND(SUMIF($H$4:$H$503,H154,$E$4:$E$503),2),"")</f>
        <v/>
      </c>
      <c r="U154" t="str">
        <f>IF(S154=1,COUNTIFS($S$4:$S$503,1,$T$4:$T$503,"&gt;"&amp;T154)+COUNTIFS($S$4:S154,1,$T$4:T154,T154),"")</f>
        <v/>
      </c>
      <c r="V154" t="str">
        <f>IF(D154=1,MIN(INDEX($R$4:$R$503,MATCH(G154,$G$4:$G$503,0)),IF($AL$7&gt;9,9,999)),"")</f>
        <v/>
      </c>
      <c r="W154" s="166">
        <f>IF(OR($I154="",$E154=0),0,IF(OR($J154&lt;W$3,$I154&gt;W$2),0,IF($K154=0,IF(AND($I154&gt;=W$3,$I154&lt;=W$2),$E154,0),$E154*NETWORKDAYS(MAX($I154,W$3),MIN($J154,W$2),Data!$K$4:$K$203)/$K154)))</f>
        <v>0</v>
      </c>
      <c r="X154" s="166">
        <f>IF(OR($I154="",$E154=0),0,IF(OR($J154&lt;X$3,$I154&gt;X$2),0,IF($K154=0,IF(AND($I154&gt;=X$3,$I154&lt;=X$2),$E154,0),$E154*NETWORKDAYS(MAX($I154,X$3),MIN($J154,X$2),Data!$K$4:$K$203)/$K154)))</f>
        <v>0</v>
      </c>
      <c r="Y154" s="166">
        <f>IF(OR($I154="",$E154=0),0,IF(OR($J154&lt;Y$3,$I154&gt;Y$2),0,IF($K154=0,IF(AND($I154&gt;=Y$3,$I154&lt;=Y$2),$E154,0),$E154*NETWORKDAYS(MAX($I154,Y$3),MIN($J154,Y$2),Data!$K$4:$K$203)/$K154)))</f>
        <v>0</v>
      </c>
      <c r="Z154" s="166">
        <f>IF(OR($I154="",$E154=0),0,IF(OR($J154&lt;Z$3,$I154&gt;Z$2),0,IF($K154=0,IF(AND($I154&gt;=Z$3,$I154&lt;=Z$2),$E154,0),$E154*NETWORKDAYS(MAX($I154,Z$3),MIN($J154,Z$2),Data!$K$4:$K$203)/$K154)))</f>
        <v>0</v>
      </c>
      <c r="AA154" s="166">
        <f>IF(OR($I154="",$E154=0),0,IF(OR($J154&lt;AA$3,$I154&gt;AA$2),0,IF($K154=0,IF(AND($I154&gt;=AA$3,$I154&lt;=AA$2),$E154,0),$E154*NETWORKDAYS(MAX($I154,AA$3),MIN($J154,AA$2),Data!$K$4:$K$203)/$K154)))</f>
        <v>0</v>
      </c>
      <c r="AB154" s="166">
        <f>IF(OR($I154="",$E154=0),0,IF(OR($J154&lt;AB$3,$I154&gt;AB$2),0,IF($K154=0,IF(AND($I154&gt;=AB$3,$I154&lt;=AB$2),$E154,0),$E154*NETWORKDAYS(MAX($I154,AB$3),MIN($J154,AB$2),Data!$K$4:$K$203)/$K154)))</f>
        <v>0</v>
      </c>
      <c r="AC154" s="166">
        <f>IF(OR($I154="",$E154=0),0,IF(OR($J154&lt;AC$3,$I154&gt;AC$2),0,IF($K154=0,IF(AND($I154&gt;=AC$3,$I154&lt;=AC$2),$E154,0),$E154*NETWORKDAYS(MAX($I154,AC$3),MIN($J154,AC$2),Data!$K$4:$K$203)/$K154)))</f>
        <v>0</v>
      </c>
      <c r="AD154" s="166">
        <f>IF(OR($I154="",$E154=0),0,IF(OR($J154&lt;AD$3,$I154&gt;AD$2),0,IF($K154=0,IF(AND($I154&gt;=AD$3,$I154&lt;=AD$2),$E154,0),$E154*NETWORKDAYS(MAX($I154,AD$3),MIN($J154,AD$2),Data!$K$4:$K$203)/$K154)))</f>
        <v>0</v>
      </c>
      <c r="AE154" s="166">
        <f>IF(OR($I154="",$E154=0),0,IF(OR($J154&lt;AE$3,$I154&gt;AE$2),0,IF($K154=0,IF(AND($I154&gt;=AE$3,$I154&lt;=AE$2),$E154,0),$E154*NETWORKDAYS(MAX($I154,AE$3),MIN($J154,AE$2),Data!$K$4:$K$203)/$K154)))</f>
        <v>0</v>
      </c>
      <c r="AF154" s="166">
        <f>IF(OR($I154="",$E154=0),0,IF(OR($J154&lt;AF$3,$I154&gt;AF$2),0,IF($K154=0,IF(AND($I154&gt;=AF$3,$I154&lt;=AF$2),$E154,0),$E154*NETWORKDAYS(MAX($I154,AF$3),MIN($J154,AF$2),Data!$K$4:$K$203)/$K154)))</f>
        <v>0</v>
      </c>
      <c r="AG154" s="166">
        <f>IF(OR($I154="",$E154=0),0,IF(OR($J154&lt;AG$3,$I154&gt;AG$2),0,IF($K154=0,IF(AND($I154&gt;=AG$3,$I154&lt;=AG$2),$E154,0),$E154*NETWORKDAYS(MAX($I154,AG$3),MIN($J154,AG$2),Data!$K$4:$K$203)/$K154)))</f>
        <v>0</v>
      </c>
      <c r="AH154" s="166">
        <f>IF(OR($I154="",$E154=0),0,IF(OR($J154&lt;AH$3,$I154&gt;AH$2),0,IF($K154=0,IF(AND($I154&gt;=AH$3,$I154&lt;=AH$2),$E154,0),$E154*NETWORKDAYS(MAX($I154,AH$3),MIN($J154,AH$2),Data!$K$4:$K$203)/$K154)))</f>
        <v>0</v>
      </c>
      <c r="AI154" s="166">
        <f>SUM(W154:AH154)</f>
        <v>0</v>
      </c>
      <c r="BZ154" t="str">
        <f>IF(D154=1,IF(TRIM(INDEX(Charge!$K:$K,ROW()))&lt;&gt;"",TRIM(INDEX(Charge!$K:$K,ROW())),IF(TRIM(INDEX(Charge!$L:$L,ROW()))&lt;&gt;"",TRIM(INDEX(Charge!$L:$L,ROW())),"(non affecté)")),"")</f>
        <v/>
      </c>
      <c r="CA154" t="str">
        <f>IF(AND($CD$4&lt;&gt;"",BZ154=$CD$4),COUNTIFS($BZ$4:$BZ$503,$CD$4,$L$4:$L$503,"&lt;"&amp;L154)+1,"")</f>
        <v/>
      </c>
      <c r="EJ154" t="str">
        <f>TRIM(INDEX(Data!$E:$E,ROW()))</f>
        <v/>
      </c>
      <c r="EK154" t="str">
        <f>TRIM(INDEX(Data!$H:$H,ROW()))</f>
        <v/>
      </c>
      <c r="EM154" t="str">
        <f>IF(D154=1,IF(TRIM(INDEX(Charge!$K:$K,ROW()))&lt;&gt;"","Interne",IF(TRIM(INDEX(Charge!$L:$L,ROW()))&lt;&gt;"","Externe","Non affecté")),"")</f>
        <v/>
      </c>
      <c r="EN154" t="str">
        <f>IF(D154=1,LEFT(SUBSTITUTE(SUBSTITUTE(SUBSTITUTE(TRIM(SUBSTITUTE(INDEX(Charge!$B:$B,ROW()),CHAR(160)," "))&amp;" | "&amp;TRIM(SUBSTITUTE(INDEX(Charge!$C:$C,ROW()),CHAR(160)," "))&amp;" | "&amp;TRIM(SUBSTITUTE(INDEX(Charge!$D:$D,ROW()),CHAR(160)," ")),"~","-"),"*","+"),"?","!"),240),"")</f>
        <v/>
      </c>
      <c r="EO154">
        <f>IF(EN154="",0,IF(COUNTIF($EN$4:EN154,EN154)=1,1,0))</f>
        <v>0</v>
      </c>
      <c r="EP154" s="166" t="str">
        <f>IF(EO154=1,ROUND(SUMIF($EN$4:$EN$503,EN154,$E$4:$E$503),2),"")</f>
        <v/>
      </c>
      <c r="EQ154" t="str">
        <f>IF(EO154=1,COUNTIFS($EO$4:$EO$503,1,$EP$4:$EP$503,"&gt;"&amp;EP154)+COUNTIFS($EO$4:EO154,1,$EP$4:EP154,EP154),"")</f>
        <v/>
      </c>
      <c r="ER154" t="str">
        <f>IF(EO154=1,COUNTIFS($EN$4:$EN$503,EN154,$EM$4:$EM$503,"Interne",$FE$4:$FE$503,1),"")</f>
        <v/>
      </c>
      <c r="ES154" t="str">
        <f>IF(EO154=1,COUNTIFS($EN$4:$EN$503,EN154,$EM$4:$EM$503,"Externe",$FE$4:$FE$503,1),"")</f>
        <v/>
      </c>
      <c r="ET154" t="str">
        <f>IF(EO154=1,IF(ER154+ES154=0,"à affecter",IF(ER154=0,ES154&amp;" ext.",(ER154+ES154)&amp;IF(ES154&gt;0," dont "&amp;ES154&amp;" ext.",""))&amp;IF(COUNTIFS($EN$4:$EN$503,EN154,$EM$4:$EM$503,"Non affecté")&gt;0," + à affecter","")),"")</f>
        <v/>
      </c>
      <c r="EU154" s="170" t="str">
        <f>IF(EO154=1,IF(EP154&gt;0,SUMPRODUCT(($EN$4:$EN$503=EN154)*$E$4:$E$503*$C$4:$C$503)/EP154,AVERAGEIF($EN$4:$EN$503,EN154,$C$4:$C$503)),"")</f>
        <v/>
      </c>
      <c r="EV154" s="165">
        <f>IF(ISNUMBER(I154),I154,2958465)</f>
        <v>2958465.0</v>
      </c>
      <c r="EW154" s="165" t="str">
        <f>IF(EO154=1,SUMPRODUCT(MIN(($EN$4:$EN$503=EN154)*$EV$4:$EV$503+($EN$4:$EN$503&lt;&gt;EN154)*2958465)),"")</f>
        <v/>
      </c>
      <c r="EX154" s="165">
        <f>IF(AND(D154=1,ISNUMBER(INDEX(Charge!$F:$F,ROW()))),INDEX(Charge!$F:$F,ROW()),0)</f>
        <v>0.0</v>
      </c>
      <c r="EY154" s="165" t="str">
        <f>IF(EO154=1,SUMPRODUCT(MAX(($EN$4:$EN$503=EN154)*$EX$4:$EX$503)),"")</f>
        <v/>
      </c>
      <c r="FA154" t="str">
        <f>IF(151&lt;=$CD$23,INDEX($EJ$4:$EJ$203,151),IF(151-$CD$23&lt;=$CD$26,INDEX($EK$4:$EK$203,151-$CD$23),""))</f>
        <v/>
      </c>
      <c r="FB154" t="str">
        <f>IF(FA154="","",IF(151&lt;=$CD$23,"Interne","Externe"))</f>
        <v/>
      </c>
      <c r="FD154">
        <f>IF(AND(B154=1,TRIM(INDEX(Charge!$K:$K,ROW()))&lt;&gt;"",TRIM(INDEX(Charge!$L:$L,ROW()))&lt;&gt;""),1,0)</f>
        <v>0</v>
      </c>
      <c r="FE154">
        <f>IF(OR(EN154="",BZ154="(non affecté)"),0,IF(COUNTIFS($EN$4:EN154,EN154,$BZ$4:BZ154,BZ154)=1,1,0))</f>
        <v>0</v>
      </c>
    </row>
    <row r="155">
      <c r="A155">
        <f>ROW()</f>
        <v>155</v>
      </c>
      <c r="B155">
        <f>IF(TRIM(INDEX(Charge!$B:$B,ROW()))&lt;&gt;"",1,0)</f>
        <v>0</v>
      </c>
      <c r="C155">
        <f>IF(B155=1,MIN(1,MAX(0,N(INDEX(Charge!$O:$O,ROW())))),0)</f>
        <v>0</v>
      </c>
      <c r="D155">
        <f>IF(B155=1,IF(OR(p_Perimetre="Tous les projets",C155&lt;1),1,0),0)</f>
        <v>0</v>
      </c>
      <c r="E155">
        <f>IF(D155=1,MAX(0,N(INDEX(Charge!$M:$M,ROW()))),0)</f>
        <v>0</v>
      </c>
      <c r="F155" t="str">
        <f>IF(D155=1,IF(TRIM(INDEX(Charge!$A:$A,ROW()))="","(non renseigné)",TRIM(INDEX(Charge!$A:$A,ROW()))),"")</f>
        <v/>
      </c>
      <c r="G155" t="str">
        <f>IF(D155=1,TRIM(INDEX(Charge!$B:$B,ROW())),"")</f>
        <v/>
      </c>
      <c r="H155" t="str">
        <f>IF(D155=1,IF(TRIM(INDEX(Charge!$E:$E,ROW()))="","(non renseigné)",TRIM(INDEX(Charge!$E:$E,ROW()))),"")</f>
        <v/>
      </c>
      <c r="I155" s="165" t="str">
        <f>IF(AND(D155=1,ISNUMBER(INDEX(Charge!$N:$N,ROW()))),INDEX(Charge!$N:$N,ROW()),"")</f>
        <v/>
      </c>
      <c r="J155" s="165" t="str">
        <f>IF(I155="","",IF(AND(p_Repartition="Lissée jusqu'à la date de besoin",ISNUMBER(INDEX(Charge!$F:$F,ROW()))),IF(INDEX(Charge!$F:$F,ROW())&gt;=I155,INDEX(Charge!$F:$F,ROW()),I155),I155))</f>
        <v/>
      </c>
      <c r="K155" t="str">
        <f>IF(I155="","",NETWORKDAYS(I155,J155,Data!$K$4:$K$203))</f>
        <v/>
      </c>
      <c r="L155" t="str">
        <f>IF(D155=1,COUNTIFS($D$4:$D$503,1,$E$4:$E$503,"&gt;"&amp;E155)+COUNTIFS($D$4:$D155,1,$E$4:$E155,E155),"")</f>
        <v/>
      </c>
      <c r="M155">
        <f>IF(F155="",0,IF(COUNTIF($F$4:F155,F155)=1,1,0))</f>
        <v>0</v>
      </c>
      <c r="N155" t="str">
        <f>IF(M155=1,ROUND(SUMIF($F$4:$F$503,F155,$E$4:$E$503),2),"")</f>
        <v/>
      </c>
      <c r="O155" t="str">
        <f>IF(M155=1,COUNTIFS($M$4:$M$503,1,$N$4:$N$503,"&gt;"&amp;N155)+COUNTIFS($M$4:M155,1,$N$4:N155,N155),"")</f>
        <v/>
      </c>
      <c r="P155">
        <f>IF(G155="",0,IF(COUNTIF($G$4:G155,G155)=1,1,0))</f>
        <v>0</v>
      </c>
      <c r="Q155" t="str">
        <f>IF(P155=1,ROUND(SUMIF($G$4:$G$503,G155,$E$4:$E$503),2),"")</f>
        <v/>
      </c>
      <c r="R155" t="str">
        <f>IF(P155=1,COUNTIFS($P$4:$P$503,1,$Q$4:$Q$503,"&gt;"&amp;Q155)+COUNTIFS($P$4:P155,1,$Q$4:Q155,Q155),"")</f>
        <v/>
      </c>
      <c r="S155">
        <f>IF(H155="",0,IF(COUNTIF($H$4:H155,H155)=1,1,0))</f>
        <v>0</v>
      </c>
      <c r="T155" t="str">
        <f>IF(S155=1,ROUND(SUMIF($H$4:$H$503,H155,$E$4:$E$503),2),"")</f>
        <v/>
      </c>
      <c r="U155" t="str">
        <f>IF(S155=1,COUNTIFS($S$4:$S$503,1,$T$4:$T$503,"&gt;"&amp;T155)+COUNTIFS($S$4:S155,1,$T$4:T155,T155),"")</f>
        <v/>
      </c>
      <c r="V155" t="str">
        <f>IF(D155=1,MIN(INDEX($R$4:$R$503,MATCH(G155,$G$4:$G$503,0)),IF($AL$7&gt;9,9,999)),"")</f>
        <v/>
      </c>
      <c r="W155" s="166">
        <f>IF(OR($I155="",$E155=0),0,IF(OR($J155&lt;W$3,$I155&gt;W$2),0,IF($K155=0,IF(AND($I155&gt;=W$3,$I155&lt;=W$2),$E155,0),$E155*NETWORKDAYS(MAX($I155,W$3),MIN($J155,W$2),Data!$K$4:$K$203)/$K155)))</f>
        <v>0</v>
      </c>
      <c r="X155" s="166">
        <f>IF(OR($I155="",$E155=0),0,IF(OR($J155&lt;X$3,$I155&gt;X$2),0,IF($K155=0,IF(AND($I155&gt;=X$3,$I155&lt;=X$2),$E155,0),$E155*NETWORKDAYS(MAX($I155,X$3),MIN($J155,X$2),Data!$K$4:$K$203)/$K155)))</f>
        <v>0</v>
      </c>
      <c r="Y155" s="166">
        <f>IF(OR($I155="",$E155=0),0,IF(OR($J155&lt;Y$3,$I155&gt;Y$2),0,IF($K155=0,IF(AND($I155&gt;=Y$3,$I155&lt;=Y$2),$E155,0),$E155*NETWORKDAYS(MAX($I155,Y$3),MIN($J155,Y$2),Data!$K$4:$K$203)/$K155)))</f>
        <v>0</v>
      </c>
      <c r="Z155" s="166">
        <f>IF(OR($I155="",$E155=0),0,IF(OR($J155&lt;Z$3,$I155&gt;Z$2),0,IF($K155=0,IF(AND($I155&gt;=Z$3,$I155&lt;=Z$2),$E155,0),$E155*NETWORKDAYS(MAX($I155,Z$3),MIN($J155,Z$2),Data!$K$4:$K$203)/$K155)))</f>
        <v>0</v>
      </c>
      <c r="AA155" s="166">
        <f>IF(OR($I155="",$E155=0),0,IF(OR($J155&lt;AA$3,$I155&gt;AA$2),0,IF($K155=0,IF(AND($I155&gt;=AA$3,$I155&lt;=AA$2),$E155,0),$E155*NETWORKDAYS(MAX($I155,AA$3),MIN($J155,AA$2),Data!$K$4:$K$203)/$K155)))</f>
        <v>0</v>
      </c>
      <c r="AB155" s="166">
        <f>IF(OR($I155="",$E155=0),0,IF(OR($J155&lt;AB$3,$I155&gt;AB$2),0,IF($K155=0,IF(AND($I155&gt;=AB$3,$I155&lt;=AB$2),$E155,0),$E155*NETWORKDAYS(MAX($I155,AB$3),MIN($J155,AB$2),Data!$K$4:$K$203)/$K155)))</f>
        <v>0</v>
      </c>
      <c r="AC155" s="166">
        <f>IF(OR($I155="",$E155=0),0,IF(OR($J155&lt;AC$3,$I155&gt;AC$2),0,IF($K155=0,IF(AND($I155&gt;=AC$3,$I155&lt;=AC$2),$E155,0),$E155*NETWORKDAYS(MAX($I155,AC$3),MIN($J155,AC$2),Data!$K$4:$K$203)/$K155)))</f>
        <v>0</v>
      </c>
      <c r="AD155" s="166">
        <f>IF(OR($I155="",$E155=0),0,IF(OR($J155&lt;AD$3,$I155&gt;AD$2),0,IF($K155=0,IF(AND($I155&gt;=AD$3,$I155&lt;=AD$2),$E155,0),$E155*NETWORKDAYS(MAX($I155,AD$3),MIN($J155,AD$2),Data!$K$4:$K$203)/$K155)))</f>
        <v>0</v>
      </c>
      <c r="AE155" s="166">
        <f>IF(OR($I155="",$E155=0),0,IF(OR($J155&lt;AE$3,$I155&gt;AE$2),0,IF($K155=0,IF(AND($I155&gt;=AE$3,$I155&lt;=AE$2),$E155,0),$E155*NETWORKDAYS(MAX($I155,AE$3),MIN($J155,AE$2),Data!$K$4:$K$203)/$K155)))</f>
        <v>0</v>
      </c>
      <c r="AF155" s="166">
        <f>IF(OR($I155="",$E155=0),0,IF(OR($J155&lt;AF$3,$I155&gt;AF$2),0,IF($K155=0,IF(AND($I155&gt;=AF$3,$I155&lt;=AF$2),$E155,0),$E155*NETWORKDAYS(MAX($I155,AF$3),MIN($J155,AF$2),Data!$K$4:$K$203)/$K155)))</f>
        <v>0</v>
      </c>
      <c r="AG155" s="166">
        <f>IF(OR($I155="",$E155=0),0,IF(OR($J155&lt;AG$3,$I155&gt;AG$2),0,IF($K155=0,IF(AND($I155&gt;=AG$3,$I155&lt;=AG$2),$E155,0),$E155*NETWORKDAYS(MAX($I155,AG$3),MIN($J155,AG$2),Data!$K$4:$K$203)/$K155)))</f>
        <v>0</v>
      </c>
      <c r="AH155" s="166">
        <f>IF(OR($I155="",$E155=0),0,IF(OR($J155&lt;AH$3,$I155&gt;AH$2),0,IF($K155=0,IF(AND($I155&gt;=AH$3,$I155&lt;=AH$2),$E155,0),$E155*NETWORKDAYS(MAX($I155,AH$3),MIN($J155,AH$2),Data!$K$4:$K$203)/$K155)))</f>
        <v>0</v>
      </c>
      <c r="AI155" s="166">
        <f>SUM(W155:AH155)</f>
        <v>0</v>
      </c>
      <c r="BZ155" t="str">
        <f>IF(D155=1,IF(TRIM(INDEX(Charge!$K:$K,ROW()))&lt;&gt;"",TRIM(INDEX(Charge!$K:$K,ROW())),IF(TRIM(INDEX(Charge!$L:$L,ROW()))&lt;&gt;"",TRIM(INDEX(Charge!$L:$L,ROW())),"(non affecté)")),"")</f>
        <v/>
      </c>
      <c r="CA155" t="str">
        <f>IF(AND($CD$4&lt;&gt;"",BZ155=$CD$4),COUNTIFS($BZ$4:$BZ$503,$CD$4,$L$4:$L$503,"&lt;"&amp;L155)+1,"")</f>
        <v/>
      </c>
      <c r="EJ155" t="str">
        <f>TRIM(INDEX(Data!$E:$E,ROW()))</f>
        <v/>
      </c>
      <c r="EK155" t="str">
        <f>TRIM(INDEX(Data!$H:$H,ROW()))</f>
        <v/>
      </c>
      <c r="EM155" t="str">
        <f>IF(D155=1,IF(TRIM(INDEX(Charge!$K:$K,ROW()))&lt;&gt;"","Interne",IF(TRIM(INDEX(Charge!$L:$L,ROW()))&lt;&gt;"","Externe","Non affecté")),"")</f>
        <v/>
      </c>
      <c r="EN155" t="str">
        <f>IF(D155=1,LEFT(SUBSTITUTE(SUBSTITUTE(SUBSTITUTE(TRIM(SUBSTITUTE(INDEX(Charge!$B:$B,ROW()),CHAR(160)," "))&amp;" | "&amp;TRIM(SUBSTITUTE(INDEX(Charge!$C:$C,ROW()),CHAR(160)," "))&amp;" | "&amp;TRIM(SUBSTITUTE(INDEX(Charge!$D:$D,ROW()),CHAR(160)," ")),"~","-"),"*","+"),"?","!"),240),"")</f>
        <v/>
      </c>
      <c r="EO155">
        <f>IF(EN155="",0,IF(COUNTIF($EN$4:EN155,EN155)=1,1,0))</f>
        <v>0</v>
      </c>
      <c r="EP155" s="166" t="str">
        <f>IF(EO155=1,ROUND(SUMIF($EN$4:$EN$503,EN155,$E$4:$E$503),2),"")</f>
        <v/>
      </c>
      <c r="EQ155" t="str">
        <f>IF(EO155=1,COUNTIFS($EO$4:$EO$503,1,$EP$4:$EP$503,"&gt;"&amp;EP155)+COUNTIFS($EO$4:EO155,1,$EP$4:EP155,EP155),"")</f>
        <v/>
      </c>
      <c r="ER155" t="str">
        <f>IF(EO155=1,COUNTIFS($EN$4:$EN$503,EN155,$EM$4:$EM$503,"Interne",$FE$4:$FE$503,1),"")</f>
        <v/>
      </c>
      <c r="ES155" t="str">
        <f>IF(EO155=1,COUNTIFS($EN$4:$EN$503,EN155,$EM$4:$EM$503,"Externe",$FE$4:$FE$503,1),"")</f>
        <v/>
      </c>
      <c r="ET155" t="str">
        <f>IF(EO155=1,IF(ER155+ES155=0,"à affecter",IF(ER155=0,ES155&amp;" ext.",(ER155+ES155)&amp;IF(ES155&gt;0," dont "&amp;ES155&amp;" ext.",""))&amp;IF(COUNTIFS($EN$4:$EN$503,EN155,$EM$4:$EM$503,"Non affecté")&gt;0," + à affecter","")),"")</f>
        <v/>
      </c>
      <c r="EU155" s="170" t="str">
        <f>IF(EO155=1,IF(EP155&gt;0,SUMPRODUCT(($EN$4:$EN$503=EN155)*$E$4:$E$503*$C$4:$C$503)/EP155,AVERAGEIF($EN$4:$EN$503,EN155,$C$4:$C$503)),"")</f>
        <v/>
      </c>
      <c r="EV155" s="165">
        <f>IF(ISNUMBER(I155),I155,2958465)</f>
        <v>2958465.0</v>
      </c>
      <c r="EW155" s="165" t="str">
        <f>IF(EO155=1,SUMPRODUCT(MIN(($EN$4:$EN$503=EN155)*$EV$4:$EV$503+($EN$4:$EN$503&lt;&gt;EN155)*2958465)),"")</f>
        <v/>
      </c>
      <c r="EX155" s="165">
        <f>IF(AND(D155=1,ISNUMBER(INDEX(Charge!$F:$F,ROW()))),INDEX(Charge!$F:$F,ROW()),0)</f>
        <v>0.0</v>
      </c>
      <c r="EY155" s="165" t="str">
        <f>IF(EO155=1,SUMPRODUCT(MAX(($EN$4:$EN$503=EN155)*$EX$4:$EX$503)),"")</f>
        <v/>
      </c>
      <c r="FA155" t="str">
        <f>IF(152&lt;=$CD$23,INDEX($EJ$4:$EJ$203,152),IF(152-$CD$23&lt;=$CD$26,INDEX($EK$4:$EK$203,152-$CD$23),""))</f>
        <v/>
      </c>
      <c r="FB155" t="str">
        <f>IF(FA155="","",IF(152&lt;=$CD$23,"Interne","Externe"))</f>
        <v/>
      </c>
      <c r="FD155">
        <f>IF(AND(B155=1,TRIM(INDEX(Charge!$K:$K,ROW()))&lt;&gt;"",TRIM(INDEX(Charge!$L:$L,ROW()))&lt;&gt;""),1,0)</f>
        <v>0</v>
      </c>
      <c r="FE155">
        <f>IF(OR(EN155="",BZ155="(non affecté)"),0,IF(COUNTIFS($EN$4:EN155,EN155,$BZ$4:BZ155,BZ155)=1,1,0))</f>
        <v>0</v>
      </c>
    </row>
    <row r="156">
      <c r="A156">
        <f>ROW()</f>
        <v>156</v>
      </c>
      <c r="B156">
        <f>IF(TRIM(INDEX(Charge!$B:$B,ROW()))&lt;&gt;"",1,0)</f>
        <v>0</v>
      </c>
      <c r="C156">
        <f>IF(B156=1,MIN(1,MAX(0,N(INDEX(Charge!$O:$O,ROW())))),0)</f>
        <v>0</v>
      </c>
      <c r="D156">
        <f>IF(B156=1,IF(OR(p_Perimetre="Tous les projets",C156&lt;1),1,0),0)</f>
        <v>0</v>
      </c>
      <c r="E156">
        <f>IF(D156=1,MAX(0,N(INDEX(Charge!$M:$M,ROW()))),0)</f>
        <v>0</v>
      </c>
      <c r="F156" t="str">
        <f>IF(D156=1,IF(TRIM(INDEX(Charge!$A:$A,ROW()))="","(non renseigné)",TRIM(INDEX(Charge!$A:$A,ROW()))),"")</f>
        <v/>
      </c>
      <c r="G156" t="str">
        <f>IF(D156=1,TRIM(INDEX(Charge!$B:$B,ROW())),"")</f>
        <v/>
      </c>
      <c r="H156" t="str">
        <f>IF(D156=1,IF(TRIM(INDEX(Charge!$E:$E,ROW()))="","(non renseigné)",TRIM(INDEX(Charge!$E:$E,ROW()))),"")</f>
        <v/>
      </c>
      <c r="I156" s="165" t="str">
        <f>IF(AND(D156=1,ISNUMBER(INDEX(Charge!$N:$N,ROW()))),INDEX(Charge!$N:$N,ROW()),"")</f>
        <v/>
      </c>
      <c r="J156" s="165" t="str">
        <f>IF(I156="","",IF(AND(p_Repartition="Lissée jusqu'à la date de besoin",ISNUMBER(INDEX(Charge!$F:$F,ROW()))),IF(INDEX(Charge!$F:$F,ROW())&gt;=I156,INDEX(Charge!$F:$F,ROW()),I156),I156))</f>
        <v/>
      </c>
      <c r="K156" t="str">
        <f>IF(I156="","",NETWORKDAYS(I156,J156,Data!$K$4:$K$203))</f>
        <v/>
      </c>
      <c r="L156" t="str">
        <f>IF(D156=1,COUNTIFS($D$4:$D$503,1,$E$4:$E$503,"&gt;"&amp;E156)+COUNTIFS($D$4:$D156,1,$E$4:$E156,E156),"")</f>
        <v/>
      </c>
      <c r="M156">
        <f>IF(F156="",0,IF(COUNTIF($F$4:F156,F156)=1,1,0))</f>
        <v>0</v>
      </c>
      <c r="N156" t="str">
        <f>IF(M156=1,ROUND(SUMIF($F$4:$F$503,F156,$E$4:$E$503),2),"")</f>
        <v/>
      </c>
      <c r="O156" t="str">
        <f>IF(M156=1,COUNTIFS($M$4:$M$503,1,$N$4:$N$503,"&gt;"&amp;N156)+COUNTIFS($M$4:M156,1,$N$4:N156,N156),"")</f>
        <v/>
      </c>
      <c r="P156">
        <f>IF(G156="",0,IF(COUNTIF($G$4:G156,G156)=1,1,0))</f>
        <v>0</v>
      </c>
      <c r="Q156" t="str">
        <f>IF(P156=1,ROUND(SUMIF($G$4:$G$503,G156,$E$4:$E$503),2),"")</f>
        <v/>
      </c>
      <c r="R156" t="str">
        <f>IF(P156=1,COUNTIFS($P$4:$P$503,1,$Q$4:$Q$503,"&gt;"&amp;Q156)+COUNTIFS($P$4:P156,1,$Q$4:Q156,Q156),"")</f>
        <v/>
      </c>
      <c r="S156">
        <f>IF(H156="",0,IF(COUNTIF($H$4:H156,H156)=1,1,0))</f>
        <v>0</v>
      </c>
      <c r="T156" t="str">
        <f>IF(S156=1,ROUND(SUMIF($H$4:$H$503,H156,$E$4:$E$503),2),"")</f>
        <v/>
      </c>
      <c r="U156" t="str">
        <f>IF(S156=1,COUNTIFS($S$4:$S$503,1,$T$4:$T$503,"&gt;"&amp;T156)+COUNTIFS($S$4:S156,1,$T$4:T156,T156),"")</f>
        <v/>
      </c>
      <c r="V156" t="str">
        <f>IF(D156=1,MIN(INDEX($R$4:$R$503,MATCH(G156,$G$4:$G$503,0)),IF($AL$7&gt;9,9,999)),"")</f>
        <v/>
      </c>
      <c r="W156" s="166">
        <f>IF(OR($I156="",$E156=0),0,IF(OR($J156&lt;W$3,$I156&gt;W$2),0,IF($K156=0,IF(AND($I156&gt;=W$3,$I156&lt;=W$2),$E156,0),$E156*NETWORKDAYS(MAX($I156,W$3),MIN($J156,W$2),Data!$K$4:$K$203)/$K156)))</f>
        <v>0</v>
      </c>
      <c r="X156" s="166">
        <f>IF(OR($I156="",$E156=0),0,IF(OR($J156&lt;X$3,$I156&gt;X$2),0,IF($K156=0,IF(AND($I156&gt;=X$3,$I156&lt;=X$2),$E156,0),$E156*NETWORKDAYS(MAX($I156,X$3),MIN($J156,X$2),Data!$K$4:$K$203)/$K156)))</f>
        <v>0</v>
      </c>
      <c r="Y156" s="166">
        <f>IF(OR($I156="",$E156=0),0,IF(OR($J156&lt;Y$3,$I156&gt;Y$2),0,IF($K156=0,IF(AND($I156&gt;=Y$3,$I156&lt;=Y$2),$E156,0),$E156*NETWORKDAYS(MAX($I156,Y$3),MIN($J156,Y$2),Data!$K$4:$K$203)/$K156)))</f>
        <v>0</v>
      </c>
      <c r="Z156" s="166">
        <f>IF(OR($I156="",$E156=0),0,IF(OR($J156&lt;Z$3,$I156&gt;Z$2),0,IF($K156=0,IF(AND($I156&gt;=Z$3,$I156&lt;=Z$2),$E156,0),$E156*NETWORKDAYS(MAX($I156,Z$3),MIN($J156,Z$2),Data!$K$4:$K$203)/$K156)))</f>
        <v>0</v>
      </c>
      <c r="AA156" s="166">
        <f>IF(OR($I156="",$E156=0),0,IF(OR($J156&lt;AA$3,$I156&gt;AA$2),0,IF($K156=0,IF(AND($I156&gt;=AA$3,$I156&lt;=AA$2),$E156,0),$E156*NETWORKDAYS(MAX($I156,AA$3),MIN($J156,AA$2),Data!$K$4:$K$203)/$K156)))</f>
        <v>0</v>
      </c>
      <c r="AB156" s="166">
        <f>IF(OR($I156="",$E156=0),0,IF(OR($J156&lt;AB$3,$I156&gt;AB$2),0,IF($K156=0,IF(AND($I156&gt;=AB$3,$I156&lt;=AB$2),$E156,0),$E156*NETWORKDAYS(MAX($I156,AB$3),MIN($J156,AB$2),Data!$K$4:$K$203)/$K156)))</f>
        <v>0</v>
      </c>
      <c r="AC156" s="166">
        <f>IF(OR($I156="",$E156=0),0,IF(OR($J156&lt;AC$3,$I156&gt;AC$2),0,IF($K156=0,IF(AND($I156&gt;=AC$3,$I156&lt;=AC$2),$E156,0),$E156*NETWORKDAYS(MAX($I156,AC$3),MIN($J156,AC$2),Data!$K$4:$K$203)/$K156)))</f>
        <v>0</v>
      </c>
      <c r="AD156" s="166">
        <f>IF(OR($I156="",$E156=0),0,IF(OR($J156&lt;AD$3,$I156&gt;AD$2),0,IF($K156=0,IF(AND($I156&gt;=AD$3,$I156&lt;=AD$2),$E156,0),$E156*NETWORKDAYS(MAX($I156,AD$3),MIN($J156,AD$2),Data!$K$4:$K$203)/$K156)))</f>
        <v>0</v>
      </c>
      <c r="AE156" s="166">
        <f>IF(OR($I156="",$E156=0),0,IF(OR($J156&lt;AE$3,$I156&gt;AE$2),0,IF($K156=0,IF(AND($I156&gt;=AE$3,$I156&lt;=AE$2),$E156,0),$E156*NETWORKDAYS(MAX($I156,AE$3),MIN($J156,AE$2),Data!$K$4:$K$203)/$K156)))</f>
        <v>0</v>
      </c>
      <c r="AF156" s="166">
        <f>IF(OR($I156="",$E156=0),0,IF(OR($J156&lt;AF$3,$I156&gt;AF$2),0,IF($K156=0,IF(AND($I156&gt;=AF$3,$I156&lt;=AF$2),$E156,0),$E156*NETWORKDAYS(MAX($I156,AF$3),MIN($J156,AF$2),Data!$K$4:$K$203)/$K156)))</f>
        <v>0</v>
      </c>
      <c r="AG156" s="166">
        <f>IF(OR($I156="",$E156=0),0,IF(OR($J156&lt;AG$3,$I156&gt;AG$2),0,IF($K156=0,IF(AND($I156&gt;=AG$3,$I156&lt;=AG$2),$E156,0),$E156*NETWORKDAYS(MAX($I156,AG$3),MIN($J156,AG$2),Data!$K$4:$K$203)/$K156)))</f>
        <v>0</v>
      </c>
      <c r="AH156" s="166">
        <f>IF(OR($I156="",$E156=0),0,IF(OR($J156&lt;AH$3,$I156&gt;AH$2),0,IF($K156=0,IF(AND($I156&gt;=AH$3,$I156&lt;=AH$2),$E156,0),$E156*NETWORKDAYS(MAX($I156,AH$3),MIN($J156,AH$2),Data!$K$4:$K$203)/$K156)))</f>
        <v>0</v>
      </c>
      <c r="AI156" s="166">
        <f>SUM(W156:AH156)</f>
        <v>0</v>
      </c>
      <c r="BZ156" t="str">
        <f>IF(D156=1,IF(TRIM(INDEX(Charge!$K:$K,ROW()))&lt;&gt;"",TRIM(INDEX(Charge!$K:$K,ROW())),IF(TRIM(INDEX(Charge!$L:$L,ROW()))&lt;&gt;"",TRIM(INDEX(Charge!$L:$L,ROW())),"(non affecté)")),"")</f>
        <v/>
      </c>
      <c r="CA156" t="str">
        <f>IF(AND($CD$4&lt;&gt;"",BZ156=$CD$4),COUNTIFS($BZ$4:$BZ$503,$CD$4,$L$4:$L$503,"&lt;"&amp;L156)+1,"")</f>
        <v/>
      </c>
      <c r="EJ156" t="str">
        <f>TRIM(INDEX(Data!$E:$E,ROW()))</f>
        <v/>
      </c>
      <c r="EK156" t="str">
        <f>TRIM(INDEX(Data!$H:$H,ROW()))</f>
        <v/>
      </c>
      <c r="EM156" t="str">
        <f>IF(D156=1,IF(TRIM(INDEX(Charge!$K:$K,ROW()))&lt;&gt;"","Interne",IF(TRIM(INDEX(Charge!$L:$L,ROW()))&lt;&gt;"","Externe","Non affecté")),"")</f>
        <v/>
      </c>
      <c r="EN156" t="str">
        <f>IF(D156=1,LEFT(SUBSTITUTE(SUBSTITUTE(SUBSTITUTE(TRIM(SUBSTITUTE(INDEX(Charge!$B:$B,ROW()),CHAR(160)," "))&amp;" | "&amp;TRIM(SUBSTITUTE(INDEX(Charge!$C:$C,ROW()),CHAR(160)," "))&amp;" | "&amp;TRIM(SUBSTITUTE(INDEX(Charge!$D:$D,ROW()),CHAR(160)," ")),"~","-"),"*","+"),"?","!"),240),"")</f>
        <v/>
      </c>
      <c r="EO156">
        <f>IF(EN156="",0,IF(COUNTIF($EN$4:EN156,EN156)=1,1,0))</f>
        <v>0</v>
      </c>
      <c r="EP156" s="166" t="str">
        <f>IF(EO156=1,ROUND(SUMIF($EN$4:$EN$503,EN156,$E$4:$E$503),2),"")</f>
        <v/>
      </c>
      <c r="EQ156" t="str">
        <f>IF(EO156=1,COUNTIFS($EO$4:$EO$503,1,$EP$4:$EP$503,"&gt;"&amp;EP156)+COUNTIFS($EO$4:EO156,1,$EP$4:EP156,EP156),"")</f>
        <v/>
      </c>
      <c r="ER156" t="str">
        <f>IF(EO156=1,COUNTIFS($EN$4:$EN$503,EN156,$EM$4:$EM$503,"Interne",$FE$4:$FE$503,1),"")</f>
        <v/>
      </c>
      <c r="ES156" t="str">
        <f>IF(EO156=1,COUNTIFS($EN$4:$EN$503,EN156,$EM$4:$EM$503,"Externe",$FE$4:$FE$503,1),"")</f>
        <v/>
      </c>
      <c r="ET156" t="str">
        <f>IF(EO156=1,IF(ER156+ES156=0,"à affecter",IF(ER156=0,ES156&amp;" ext.",(ER156+ES156)&amp;IF(ES156&gt;0," dont "&amp;ES156&amp;" ext.",""))&amp;IF(COUNTIFS($EN$4:$EN$503,EN156,$EM$4:$EM$503,"Non affecté")&gt;0," + à affecter","")),"")</f>
        <v/>
      </c>
      <c r="EU156" s="170" t="str">
        <f>IF(EO156=1,IF(EP156&gt;0,SUMPRODUCT(($EN$4:$EN$503=EN156)*$E$4:$E$503*$C$4:$C$503)/EP156,AVERAGEIF($EN$4:$EN$503,EN156,$C$4:$C$503)),"")</f>
        <v/>
      </c>
      <c r="EV156" s="165">
        <f>IF(ISNUMBER(I156),I156,2958465)</f>
        <v>2958465.0</v>
      </c>
      <c r="EW156" s="165" t="str">
        <f>IF(EO156=1,SUMPRODUCT(MIN(($EN$4:$EN$503=EN156)*$EV$4:$EV$503+($EN$4:$EN$503&lt;&gt;EN156)*2958465)),"")</f>
        <v/>
      </c>
      <c r="EX156" s="165">
        <f>IF(AND(D156=1,ISNUMBER(INDEX(Charge!$F:$F,ROW()))),INDEX(Charge!$F:$F,ROW()),0)</f>
        <v>0.0</v>
      </c>
      <c r="EY156" s="165" t="str">
        <f>IF(EO156=1,SUMPRODUCT(MAX(($EN$4:$EN$503=EN156)*$EX$4:$EX$503)),"")</f>
        <v/>
      </c>
      <c r="FA156" t="str">
        <f>IF(153&lt;=$CD$23,INDEX($EJ$4:$EJ$203,153),IF(153-$CD$23&lt;=$CD$26,INDEX($EK$4:$EK$203,153-$CD$23),""))</f>
        <v/>
      </c>
      <c r="FB156" t="str">
        <f>IF(FA156="","",IF(153&lt;=$CD$23,"Interne","Externe"))</f>
        <v/>
      </c>
      <c r="FD156">
        <f>IF(AND(B156=1,TRIM(INDEX(Charge!$K:$K,ROW()))&lt;&gt;"",TRIM(INDEX(Charge!$L:$L,ROW()))&lt;&gt;""),1,0)</f>
        <v>0</v>
      </c>
      <c r="FE156">
        <f>IF(OR(EN156="",BZ156="(non affecté)"),0,IF(COUNTIFS($EN$4:EN156,EN156,$BZ$4:BZ156,BZ156)=1,1,0))</f>
        <v>0</v>
      </c>
    </row>
    <row r="157">
      <c r="A157">
        <f>ROW()</f>
        <v>157</v>
      </c>
      <c r="B157">
        <f>IF(TRIM(INDEX(Charge!$B:$B,ROW()))&lt;&gt;"",1,0)</f>
        <v>0</v>
      </c>
      <c r="C157">
        <f>IF(B157=1,MIN(1,MAX(0,N(INDEX(Charge!$O:$O,ROW())))),0)</f>
        <v>0</v>
      </c>
      <c r="D157">
        <f>IF(B157=1,IF(OR(p_Perimetre="Tous les projets",C157&lt;1),1,0),0)</f>
        <v>0</v>
      </c>
      <c r="E157">
        <f>IF(D157=1,MAX(0,N(INDEX(Charge!$M:$M,ROW()))),0)</f>
        <v>0</v>
      </c>
      <c r="F157" t="str">
        <f>IF(D157=1,IF(TRIM(INDEX(Charge!$A:$A,ROW()))="","(non renseigné)",TRIM(INDEX(Charge!$A:$A,ROW()))),"")</f>
        <v/>
      </c>
      <c r="G157" t="str">
        <f>IF(D157=1,TRIM(INDEX(Charge!$B:$B,ROW())),"")</f>
        <v/>
      </c>
      <c r="H157" t="str">
        <f>IF(D157=1,IF(TRIM(INDEX(Charge!$E:$E,ROW()))="","(non renseigné)",TRIM(INDEX(Charge!$E:$E,ROW()))),"")</f>
        <v/>
      </c>
      <c r="I157" s="165" t="str">
        <f>IF(AND(D157=1,ISNUMBER(INDEX(Charge!$N:$N,ROW()))),INDEX(Charge!$N:$N,ROW()),"")</f>
        <v/>
      </c>
      <c r="J157" s="165" t="str">
        <f>IF(I157="","",IF(AND(p_Repartition="Lissée jusqu'à la date de besoin",ISNUMBER(INDEX(Charge!$F:$F,ROW()))),IF(INDEX(Charge!$F:$F,ROW())&gt;=I157,INDEX(Charge!$F:$F,ROW()),I157),I157))</f>
        <v/>
      </c>
      <c r="K157" t="str">
        <f>IF(I157="","",NETWORKDAYS(I157,J157,Data!$K$4:$K$203))</f>
        <v/>
      </c>
      <c r="L157" t="str">
        <f>IF(D157=1,COUNTIFS($D$4:$D$503,1,$E$4:$E$503,"&gt;"&amp;E157)+COUNTIFS($D$4:$D157,1,$E$4:$E157,E157),"")</f>
        <v/>
      </c>
      <c r="M157">
        <f>IF(F157="",0,IF(COUNTIF($F$4:F157,F157)=1,1,0))</f>
        <v>0</v>
      </c>
      <c r="N157" t="str">
        <f>IF(M157=1,ROUND(SUMIF($F$4:$F$503,F157,$E$4:$E$503),2),"")</f>
        <v/>
      </c>
      <c r="O157" t="str">
        <f>IF(M157=1,COUNTIFS($M$4:$M$503,1,$N$4:$N$503,"&gt;"&amp;N157)+COUNTIFS($M$4:M157,1,$N$4:N157,N157),"")</f>
        <v/>
      </c>
      <c r="P157">
        <f>IF(G157="",0,IF(COUNTIF($G$4:G157,G157)=1,1,0))</f>
        <v>0</v>
      </c>
      <c r="Q157" t="str">
        <f>IF(P157=1,ROUND(SUMIF($G$4:$G$503,G157,$E$4:$E$503),2),"")</f>
        <v/>
      </c>
      <c r="R157" t="str">
        <f>IF(P157=1,COUNTIFS($P$4:$P$503,1,$Q$4:$Q$503,"&gt;"&amp;Q157)+COUNTIFS($P$4:P157,1,$Q$4:Q157,Q157),"")</f>
        <v/>
      </c>
      <c r="S157">
        <f>IF(H157="",0,IF(COUNTIF($H$4:H157,H157)=1,1,0))</f>
        <v>0</v>
      </c>
      <c r="T157" t="str">
        <f>IF(S157=1,ROUND(SUMIF($H$4:$H$503,H157,$E$4:$E$503),2),"")</f>
        <v/>
      </c>
      <c r="U157" t="str">
        <f>IF(S157=1,COUNTIFS($S$4:$S$503,1,$T$4:$T$503,"&gt;"&amp;T157)+COUNTIFS($S$4:S157,1,$T$4:T157,T157),"")</f>
        <v/>
      </c>
      <c r="V157" t="str">
        <f>IF(D157=1,MIN(INDEX($R$4:$R$503,MATCH(G157,$G$4:$G$503,0)),IF($AL$7&gt;9,9,999)),"")</f>
        <v/>
      </c>
      <c r="W157" s="166">
        <f>IF(OR($I157="",$E157=0),0,IF(OR($J157&lt;W$3,$I157&gt;W$2),0,IF($K157=0,IF(AND($I157&gt;=W$3,$I157&lt;=W$2),$E157,0),$E157*NETWORKDAYS(MAX($I157,W$3),MIN($J157,W$2),Data!$K$4:$K$203)/$K157)))</f>
        <v>0</v>
      </c>
      <c r="X157" s="166">
        <f>IF(OR($I157="",$E157=0),0,IF(OR($J157&lt;X$3,$I157&gt;X$2),0,IF($K157=0,IF(AND($I157&gt;=X$3,$I157&lt;=X$2),$E157,0),$E157*NETWORKDAYS(MAX($I157,X$3),MIN($J157,X$2),Data!$K$4:$K$203)/$K157)))</f>
        <v>0</v>
      </c>
      <c r="Y157" s="166">
        <f>IF(OR($I157="",$E157=0),0,IF(OR($J157&lt;Y$3,$I157&gt;Y$2),0,IF($K157=0,IF(AND($I157&gt;=Y$3,$I157&lt;=Y$2),$E157,0),$E157*NETWORKDAYS(MAX($I157,Y$3),MIN($J157,Y$2),Data!$K$4:$K$203)/$K157)))</f>
        <v>0</v>
      </c>
      <c r="Z157" s="166">
        <f>IF(OR($I157="",$E157=0),0,IF(OR($J157&lt;Z$3,$I157&gt;Z$2),0,IF($K157=0,IF(AND($I157&gt;=Z$3,$I157&lt;=Z$2),$E157,0),$E157*NETWORKDAYS(MAX($I157,Z$3),MIN($J157,Z$2),Data!$K$4:$K$203)/$K157)))</f>
        <v>0</v>
      </c>
      <c r="AA157" s="166">
        <f>IF(OR($I157="",$E157=0),0,IF(OR($J157&lt;AA$3,$I157&gt;AA$2),0,IF($K157=0,IF(AND($I157&gt;=AA$3,$I157&lt;=AA$2),$E157,0),$E157*NETWORKDAYS(MAX($I157,AA$3),MIN($J157,AA$2),Data!$K$4:$K$203)/$K157)))</f>
        <v>0</v>
      </c>
      <c r="AB157" s="166">
        <f>IF(OR($I157="",$E157=0),0,IF(OR($J157&lt;AB$3,$I157&gt;AB$2),0,IF($K157=0,IF(AND($I157&gt;=AB$3,$I157&lt;=AB$2),$E157,0),$E157*NETWORKDAYS(MAX($I157,AB$3),MIN($J157,AB$2),Data!$K$4:$K$203)/$K157)))</f>
        <v>0</v>
      </c>
      <c r="AC157" s="166">
        <f>IF(OR($I157="",$E157=0),0,IF(OR($J157&lt;AC$3,$I157&gt;AC$2),0,IF($K157=0,IF(AND($I157&gt;=AC$3,$I157&lt;=AC$2),$E157,0),$E157*NETWORKDAYS(MAX($I157,AC$3),MIN($J157,AC$2),Data!$K$4:$K$203)/$K157)))</f>
        <v>0</v>
      </c>
      <c r="AD157" s="166">
        <f>IF(OR($I157="",$E157=0),0,IF(OR($J157&lt;AD$3,$I157&gt;AD$2),0,IF($K157=0,IF(AND($I157&gt;=AD$3,$I157&lt;=AD$2),$E157,0),$E157*NETWORKDAYS(MAX($I157,AD$3),MIN($J157,AD$2),Data!$K$4:$K$203)/$K157)))</f>
        <v>0</v>
      </c>
      <c r="AE157" s="166">
        <f>IF(OR($I157="",$E157=0),0,IF(OR($J157&lt;AE$3,$I157&gt;AE$2),0,IF($K157=0,IF(AND($I157&gt;=AE$3,$I157&lt;=AE$2),$E157,0),$E157*NETWORKDAYS(MAX($I157,AE$3),MIN($J157,AE$2),Data!$K$4:$K$203)/$K157)))</f>
        <v>0</v>
      </c>
      <c r="AF157" s="166">
        <f>IF(OR($I157="",$E157=0),0,IF(OR($J157&lt;AF$3,$I157&gt;AF$2),0,IF($K157=0,IF(AND($I157&gt;=AF$3,$I157&lt;=AF$2),$E157,0),$E157*NETWORKDAYS(MAX($I157,AF$3),MIN($J157,AF$2),Data!$K$4:$K$203)/$K157)))</f>
        <v>0</v>
      </c>
      <c r="AG157" s="166">
        <f>IF(OR($I157="",$E157=0),0,IF(OR($J157&lt;AG$3,$I157&gt;AG$2),0,IF($K157=0,IF(AND($I157&gt;=AG$3,$I157&lt;=AG$2),$E157,0),$E157*NETWORKDAYS(MAX($I157,AG$3),MIN($J157,AG$2),Data!$K$4:$K$203)/$K157)))</f>
        <v>0</v>
      </c>
      <c r="AH157" s="166">
        <f>IF(OR($I157="",$E157=0),0,IF(OR($J157&lt;AH$3,$I157&gt;AH$2),0,IF($K157=0,IF(AND($I157&gt;=AH$3,$I157&lt;=AH$2),$E157,0),$E157*NETWORKDAYS(MAX($I157,AH$3),MIN($J157,AH$2),Data!$K$4:$K$203)/$K157)))</f>
        <v>0</v>
      </c>
      <c r="AI157" s="166">
        <f>SUM(W157:AH157)</f>
        <v>0</v>
      </c>
      <c r="BZ157" t="str">
        <f>IF(D157=1,IF(TRIM(INDEX(Charge!$K:$K,ROW()))&lt;&gt;"",TRIM(INDEX(Charge!$K:$K,ROW())),IF(TRIM(INDEX(Charge!$L:$L,ROW()))&lt;&gt;"",TRIM(INDEX(Charge!$L:$L,ROW())),"(non affecté)")),"")</f>
        <v/>
      </c>
      <c r="CA157" t="str">
        <f>IF(AND($CD$4&lt;&gt;"",BZ157=$CD$4),COUNTIFS($BZ$4:$BZ$503,$CD$4,$L$4:$L$503,"&lt;"&amp;L157)+1,"")</f>
        <v/>
      </c>
      <c r="EJ157" t="str">
        <f>TRIM(INDEX(Data!$E:$E,ROW()))</f>
        <v/>
      </c>
      <c r="EK157" t="str">
        <f>TRIM(INDEX(Data!$H:$H,ROW()))</f>
        <v/>
      </c>
      <c r="EM157" t="str">
        <f>IF(D157=1,IF(TRIM(INDEX(Charge!$K:$K,ROW()))&lt;&gt;"","Interne",IF(TRIM(INDEX(Charge!$L:$L,ROW()))&lt;&gt;"","Externe","Non affecté")),"")</f>
        <v/>
      </c>
      <c r="EN157" t="str">
        <f>IF(D157=1,LEFT(SUBSTITUTE(SUBSTITUTE(SUBSTITUTE(TRIM(SUBSTITUTE(INDEX(Charge!$B:$B,ROW()),CHAR(160)," "))&amp;" | "&amp;TRIM(SUBSTITUTE(INDEX(Charge!$C:$C,ROW()),CHAR(160)," "))&amp;" | "&amp;TRIM(SUBSTITUTE(INDEX(Charge!$D:$D,ROW()),CHAR(160)," ")),"~","-"),"*","+"),"?","!"),240),"")</f>
        <v/>
      </c>
      <c r="EO157">
        <f>IF(EN157="",0,IF(COUNTIF($EN$4:EN157,EN157)=1,1,0))</f>
        <v>0</v>
      </c>
      <c r="EP157" s="166" t="str">
        <f>IF(EO157=1,ROUND(SUMIF($EN$4:$EN$503,EN157,$E$4:$E$503),2),"")</f>
        <v/>
      </c>
      <c r="EQ157" t="str">
        <f>IF(EO157=1,COUNTIFS($EO$4:$EO$503,1,$EP$4:$EP$503,"&gt;"&amp;EP157)+COUNTIFS($EO$4:EO157,1,$EP$4:EP157,EP157),"")</f>
        <v/>
      </c>
      <c r="ER157" t="str">
        <f>IF(EO157=1,COUNTIFS($EN$4:$EN$503,EN157,$EM$4:$EM$503,"Interne",$FE$4:$FE$503,1),"")</f>
        <v/>
      </c>
      <c r="ES157" t="str">
        <f>IF(EO157=1,COUNTIFS($EN$4:$EN$503,EN157,$EM$4:$EM$503,"Externe",$FE$4:$FE$503,1),"")</f>
        <v/>
      </c>
      <c r="ET157" t="str">
        <f>IF(EO157=1,IF(ER157+ES157=0,"à affecter",IF(ER157=0,ES157&amp;" ext.",(ER157+ES157)&amp;IF(ES157&gt;0," dont "&amp;ES157&amp;" ext.",""))&amp;IF(COUNTIFS($EN$4:$EN$503,EN157,$EM$4:$EM$503,"Non affecté")&gt;0," + à affecter","")),"")</f>
        <v/>
      </c>
      <c r="EU157" s="170" t="str">
        <f>IF(EO157=1,IF(EP157&gt;0,SUMPRODUCT(($EN$4:$EN$503=EN157)*$E$4:$E$503*$C$4:$C$503)/EP157,AVERAGEIF($EN$4:$EN$503,EN157,$C$4:$C$503)),"")</f>
        <v/>
      </c>
      <c r="EV157" s="165">
        <f>IF(ISNUMBER(I157),I157,2958465)</f>
        <v>2958465.0</v>
      </c>
      <c r="EW157" s="165" t="str">
        <f>IF(EO157=1,SUMPRODUCT(MIN(($EN$4:$EN$503=EN157)*$EV$4:$EV$503+($EN$4:$EN$503&lt;&gt;EN157)*2958465)),"")</f>
        <v/>
      </c>
      <c r="EX157" s="165">
        <f>IF(AND(D157=1,ISNUMBER(INDEX(Charge!$F:$F,ROW()))),INDEX(Charge!$F:$F,ROW()),0)</f>
        <v>0.0</v>
      </c>
      <c r="EY157" s="165" t="str">
        <f>IF(EO157=1,SUMPRODUCT(MAX(($EN$4:$EN$503=EN157)*$EX$4:$EX$503)),"")</f>
        <v/>
      </c>
      <c r="FA157" t="str">
        <f>IF(154&lt;=$CD$23,INDEX($EJ$4:$EJ$203,154),IF(154-$CD$23&lt;=$CD$26,INDEX($EK$4:$EK$203,154-$CD$23),""))</f>
        <v/>
      </c>
      <c r="FB157" t="str">
        <f>IF(FA157="","",IF(154&lt;=$CD$23,"Interne","Externe"))</f>
        <v/>
      </c>
      <c r="FD157">
        <f>IF(AND(B157=1,TRIM(INDEX(Charge!$K:$K,ROW()))&lt;&gt;"",TRIM(INDEX(Charge!$L:$L,ROW()))&lt;&gt;""),1,0)</f>
        <v>0</v>
      </c>
      <c r="FE157">
        <f>IF(OR(EN157="",BZ157="(non affecté)"),0,IF(COUNTIFS($EN$4:EN157,EN157,$BZ$4:BZ157,BZ157)=1,1,0))</f>
        <v>0</v>
      </c>
    </row>
    <row r="158">
      <c r="A158">
        <f>ROW()</f>
        <v>158</v>
      </c>
      <c r="B158">
        <f>IF(TRIM(INDEX(Charge!$B:$B,ROW()))&lt;&gt;"",1,0)</f>
        <v>0</v>
      </c>
      <c r="C158">
        <f>IF(B158=1,MIN(1,MAX(0,N(INDEX(Charge!$O:$O,ROW())))),0)</f>
        <v>0</v>
      </c>
      <c r="D158">
        <f>IF(B158=1,IF(OR(p_Perimetre="Tous les projets",C158&lt;1),1,0),0)</f>
        <v>0</v>
      </c>
      <c r="E158">
        <f>IF(D158=1,MAX(0,N(INDEX(Charge!$M:$M,ROW()))),0)</f>
        <v>0</v>
      </c>
      <c r="F158" t="str">
        <f>IF(D158=1,IF(TRIM(INDEX(Charge!$A:$A,ROW()))="","(non renseigné)",TRIM(INDEX(Charge!$A:$A,ROW()))),"")</f>
        <v/>
      </c>
      <c r="G158" t="str">
        <f>IF(D158=1,TRIM(INDEX(Charge!$B:$B,ROW())),"")</f>
        <v/>
      </c>
      <c r="H158" t="str">
        <f>IF(D158=1,IF(TRIM(INDEX(Charge!$E:$E,ROW()))="","(non renseigné)",TRIM(INDEX(Charge!$E:$E,ROW()))),"")</f>
        <v/>
      </c>
      <c r="I158" s="165" t="str">
        <f>IF(AND(D158=1,ISNUMBER(INDEX(Charge!$N:$N,ROW()))),INDEX(Charge!$N:$N,ROW()),"")</f>
        <v/>
      </c>
      <c r="J158" s="165" t="str">
        <f>IF(I158="","",IF(AND(p_Repartition="Lissée jusqu'à la date de besoin",ISNUMBER(INDEX(Charge!$F:$F,ROW()))),IF(INDEX(Charge!$F:$F,ROW())&gt;=I158,INDEX(Charge!$F:$F,ROW()),I158),I158))</f>
        <v/>
      </c>
      <c r="K158" t="str">
        <f>IF(I158="","",NETWORKDAYS(I158,J158,Data!$K$4:$K$203))</f>
        <v/>
      </c>
      <c r="L158" t="str">
        <f>IF(D158=1,COUNTIFS($D$4:$D$503,1,$E$4:$E$503,"&gt;"&amp;E158)+COUNTIFS($D$4:$D158,1,$E$4:$E158,E158),"")</f>
        <v/>
      </c>
      <c r="M158">
        <f>IF(F158="",0,IF(COUNTIF($F$4:F158,F158)=1,1,0))</f>
        <v>0</v>
      </c>
      <c r="N158" t="str">
        <f>IF(M158=1,ROUND(SUMIF($F$4:$F$503,F158,$E$4:$E$503),2),"")</f>
        <v/>
      </c>
      <c r="O158" t="str">
        <f>IF(M158=1,COUNTIFS($M$4:$M$503,1,$N$4:$N$503,"&gt;"&amp;N158)+COUNTIFS($M$4:M158,1,$N$4:N158,N158),"")</f>
        <v/>
      </c>
      <c r="P158">
        <f>IF(G158="",0,IF(COUNTIF($G$4:G158,G158)=1,1,0))</f>
        <v>0</v>
      </c>
      <c r="Q158" t="str">
        <f>IF(P158=1,ROUND(SUMIF($G$4:$G$503,G158,$E$4:$E$503),2),"")</f>
        <v/>
      </c>
      <c r="R158" t="str">
        <f>IF(P158=1,COUNTIFS($P$4:$P$503,1,$Q$4:$Q$503,"&gt;"&amp;Q158)+COUNTIFS($P$4:P158,1,$Q$4:Q158,Q158),"")</f>
        <v/>
      </c>
      <c r="S158">
        <f>IF(H158="",0,IF(COUNTIF($H$4:H158,H158)=1,1,0))</f>
        <v>0</v>
      </c>
      <c r="T158" t="str">
        <f>IF(S158=1,ROUND(SUMIF($H$4:$H$503,H158,$E$4:$E$503),2),"")</f>
        <v/>
      </c>
      <c r="U158" t="str">
        <f>IF(S158=1,COUNTIFS($S$4:$S$503,1,$T$4:$T$503,"&gt;"&amp;T158)+COUNTIFS($S$4:S158,1,$T$4:T158,T158),"")</f>
        <v/>
      </c>
      <c r="V158" t="str">
        <f>IF(D158=1,MIN(INDEX($R$4:$R$503,MATCH(G158,$G$4:$G$503,0)),IF($AL$7&gt;9,9,999)),"")</f>
        <v/>
      </c>
      <c r="W158" s="166">
        <f>IF(OR($I158="",$E158=0),0,IF(OR($J158&lt;W$3,$I158&gt;W$2),0,IF($K158=0,IF(AND($I158&gt;=W$3,$I158&lt;=W$2),$E158,0),$E158*NETWORKDAYS(MAX($I158,W$3),MIN($J158,W$2),Data!$K$4:$K$203)/$K158)))</f>
        <v>0</v>
      </c>
      <c r="X158" s="166">
        <f>IF(OR($I158="",$E158=0),0,IF(OR($J158&lt;X$3,$I158&gt;X$2),0,IF($K158=0,IF(AND($I158&gt;=X$3,$I158&lt;=X$2),$E158,0),$E158*NETWORKDAYS(MAX($I158,X$3),MIN($J158,X$2),Data!$K$4:$K$203)/$K158)))</f>
        <v>0</v>
      </c>
      <c r="Y158" s="166">
        <f>IF(OR($I158="",$E158=0),0,IF(OR($J158&lt;Y$3,$I158&gt;Y$2),0,IF($K158=0,IF(AND($I158&gt;=Y$3,$I158&lt;=Y$2),$E158,0),$E158*NETWORKDAYS(MAX($I158,Y$3),MIN($J158,Y$2),Data!$K$4:$K$203)/$K158)))</f>
        <v>0</v>
      </c>
      <c r="Z158" s="166">
        <f>IF(OR($I158="",$E158=0),0,IF(OR($J158&lt;Z$3,$I158&gt;Z$2),0,IF($K158=0,IF(AND($I158&gt;=Z$3,$I158&lt;=Z$2),$E158,0),$E158*NETWORKDAYS(MAX($I158,Z$3),MIN($J158,Z$2),Data!$K$4:$K$203)/$K158)))</f>
        <v>0</v>
      </c>
      <c r="AA158" s="166">
        <f>IF(OR($I158="",$E158=0),0,IF(OR($J158&lt;AA$3,$I158&gt;AA$2),0,IF($K158=0,IF(AND($I158&gt;=AA$3,$I158&lt;=AA$2),$E158,0),$E158*NETWORKDAYS(MAX($I158,AA$3),MIN($J158,AA$2),Data!$K$4:$K$203)/$K158)))</f>
        <v>0</v>
      </c>
      <c r="AB158" s="166">
        <f>IF(OR($I158="",$E158=0),0,IF(OR($J158&lt;AB$3,$I158&gt;AB$2),0,IF($K158=0,IF(AND($I158&gt;=AB$3,$I158&lt;=AB$2),$E158,0),$E158*NETWORKDAYS(MAX($I158,AB$3),MIN($J158,AB$2),Data!$K$4:$K$203)/$K158)))</f>
        <v>0</v>
      </c>
      <c r="AC158" s="166">
        <f>IF(OR($I158="",$E158=0),0,IF(OR($J158&lt;AC$3,$I158&gt;AC$2),0,IF($K158=0,IF(AND($I158&gt;=AC$3,$I158&lt;=AC$2),$E158,0),$E158*NETWORKDAYS(MAX($I158,AC$3),MIN($J158,AC$2),Data!$K$4:$K$203)/$K158)))</f>
        <v>0</v>
      </c>
      <c r="AD158" s="166">
        <f>IF(OR($I158="",$E158=0),0,IF(OR($J158&lt;AD$3,$I158&gt;AD$2),0,IF($K158=0,IF(AND($I158&gt;=AD$3,$I158&lt;=AD$2),$E158,0),$E158*NETWORKDAYS(MAX($I158,AD$3),MIN($J158,AD$2),Data!$K$4:$K$203)/$K158)))</f>
        <v>0</v>
      </c>
      <c r="AE158" s="166">
        <f>IF(OR($I158="",$E158=0),0,IF(OR($J158&lt;AE$3,$I158&gt;AE$2),0,IF($K158=0,IF(AND($I158&gt;=AE$3,$I158&lt;=AE$2),$E158,0),$E158*NETWORKDAYS(MAX($I158,AE$3),MIN($J158,AE$2),Data!$K$4:$K$203)/$K158)))</f>
        <v>0</v>
      </c>
      <c r="AF158" s="166">
        <f>IF(OR($I158="",$E158=0),0,IF(OR($J158&lt;AF$3,$I158&gt;AF$2),0,IF($K158=0,IF(AND($I158&gt;=AF$3,$I158&lt;=AF$2),$E158,0),$E158*NETWORKDAYS(MAX($I158,AF$3),MIN($J158,AF$2),Data!$K$4:$K$203)/$K158)))</f>
        <v>0</v>
      </c>
      <c r="AG158" s="166">
        <f>IF(OR($I158="",$E158=0),0,IF(OR($J158&lt;AG$3,$I158&gt;AG$2),0,IF($K158=0,IF(AND($I158&gt;=AG$3,$I158&lt;=AG$2),$E158,0),$E158*NETWORKDAYS(MAX($I158,AG$3),MIN($J158,AG$2),Data!$K$4:$K$203)/$K158)))</f>
        <v>0</v>
      </c>
      <c r="AH158" s="166">
        <f>IF(OR($I158="",$E158=0),0,IF(OR($J158&lt;AH$3,$I158&gt;AH$2),0,IF($K158=0,IF(AND($I158&gt;=AH$3,$I158&lt;=AH$2),$E158,0),$E158*NETWORKDAYS(MAX($I158,AH$3),MIN($J158,AH$2),Data!$K$4:$K$203)/$K158)))</f>
        <v>0</v>
      </c>
      <c r="AI158" s="166">
        <f>SUM(W158:AH158)</f>
        <v>0</v>
      </c>
      <c r="BZ158" t="str">
        <f>IF(D158=1,IF(TRIM(INDEX(Charge!$K:$K,ROW()))&lt;&gt;"",TRIM(INDEX(Charge!$K:$K,ROW())),IF(TRIM(INDEX(Charge!$L:$L,ROW()))&lt;&gt;"",TRIM(INDEX(Charge!$L:$L,ROW())),"(non affecté)")),"")</f>
        <v/>
      </c>
      <c r="CA158" t="str">
        <f>IF(AND($CD$4&lt;&gt;"",BZ158=$CD$4),COUNTIFS($BZ$4:$BZ$503,$CD$4,$L$4:$L$503,"&lt;"&amp;L158)+1,"")</f>
        <v/>
      </c>
      <c r="EJ158" t="str">
        <f>TRIM(INDEX(Data!$E:$E,ROW()))</f>
        <v/>
      </c>
      <c r="EK158" t="str">
        <f>TRIM(INDEX(Data!$H:$H,ROW()))</f>
        <v/>
      </c>
      <c r="EM158" t="str">
        <f>IF(D158=1,IF(TRIM(INDEX(Charge!$K:$K,ROW()))&lt;&gt;"","Interne",IF(TRIM(INDEX(Charge!$L:$L,ROW()))&lt;&gt;"","Externe","Non affecté")),"")</f>
        <v/>
      </c>
      <c r="EN158" t="str">
        <f>IF(D158=1,LEFT(SUBSTITUTE(SUBSTITUTE(SUBSTITUTE(TRIM(SUBSTITUTE(INDEX(Charge!$B:$B,ROW()),CHAR(160)," "))&amp;" | "&amp;TRIM(SUBSTITUTE(INDEX(Charge!$C:$C,ROW()),CHAR(160)," "))&amp;" | "&amp;TRIM(SUBSTITUTE(INDEX(Charge!$D:$D,ROW()),CHAR(160)," ")),"~","-"),"*","+"),"?","!"),240),"")</f>
        <v/>
      </c>
      <c r="EO158">
        <f>IF(EN158="",0,IF(COUNTIF($EN$4:EN158,EN158)=1,1,0))</f>
        <v>0</v>
      </c>
      <c r="EP158" s="166" t="str">
        <f>IF(EO158=1,ROUND(SUMIF($EN$4:$EN$503,EN158,$E$4:$E$503),2),"")</f>
        <v/>
      </c>
      <c r="EQ158" t="str">
        <f>IF(EO158=1,COUNTIFS($EO$4:$EO$503,1,$EP$4:$EP$503,"&gt;"&amp;EP158)+COUNTIFS($EO$4:EO158,1,$EP$4:EP158,EP158),"")</f>
        <v/>
      </c>
      <c r="ER158" t="str">
        <f>IF(EO158=1,COUNTIFS($EN$4:$EN$503,EN158,$EM$4:$EM$503,"Interne",$FE$4:$FE$503,1),"")</f>
        <v/>
      </c>
      <c r="ES158" t="str">
        <f>IF(EO158=1,COUNTIFS($EN$4:$EN$503,EN158,$EM$4:$EM$503,"Externe",$FE$4:$FE$503,1),"")</f>
        <v/>
      </c>
      <c r="ET158" t="str">
        <f>IF(EO158=1,IF(ER158+ES158=0,"à affecter",IF(ER158=0,ES158&amp;" ext.",(ER158+ES158)&amp;IF(ES158&gt;0," dont "&amp;ES158&amp;" ext.",""))&amp;IF(COUNTIFS($EN$4:$EN$503,EN158,$EM$4:$EM$503,"Non affecté")&gt;0," + à affecter","")),"")</f>
        <v/>
      </c>
      <c r="EU158" s="170" t="str">
        <f>IF(EO158=1,IF(EP158&gt;0,SUMPRODUCT(($EN$4:$EN$503=EN158)*$E$4:$E$503*$C$4:$C$503)/EP158,AVERAGEIF($EN$4:$EN$503,EN158,$C$4:$C$503)),"")</f>
        <v/>
      </c>
      <c r="EV158" s="165">
        <f>IF(ISNUMBER(I158),I158,2958465)</f>
        <v>2958465.0</v>
      </c>
      <c r="EW158" s="165" t="str">
        <f>IF(EO158=1,SUMPRODUCT(MIN(($EN$4:$EN$503=EN158)*$EV$4:$EV$503+($EN$4:$EN$503&lt;&gt;EN158)*2958465)),"")</f>
        <v/>
      </c>
      <c r="EX158" s="165">
        <f>IF(AND(D158=1,ISNUMBER(INDEX(Charge!$F:$F,ROW()))),INDEX(Charge!$F:$F,ROW()),0)</f>
        <v>0.0</v>
      </c>
      <c r="EY158" s="165" t="str">
        <f>IF(EO158=1,SUMPRODUCT(MAX(($EN$4:$EN$503=EN158)*$EX$4:$EX$503)),"")</f>
        <v/>
      </c>
      <c r="FA158" t="str">
        <f>IF(155&lt;=$CD$23,INDEX($EJ$4:$EJ$203,155),IF(155-$CD$23&lt;=$CD$26,INDEX($EK$4:$EK$203,155-$CD$23),""))</f>
        <v/>
      </c>
      <c r="FB158" t="str">
        <f>IF(FA158="","",IF(155&lt;=$CD$23,"Interne","Externe"))</f>
        <v/>
      </c>
      <c r="FD158">
        <f>IF(AND(B158=1,TRIM(INDEX(Charge!$K:$K,ROW()))&lt;&gt;"",TRIM(INDEX(Charge!$L:$L,ROW()))&lt;&gt;""),1,0)</f>
        <v>0</v>
      </c>
      <c r="FE158">
        <f>IF(OR(EN158="",BZ158="(non affecté)"),0,IF(COUNTIFS($EN$4:EN158,EN158,$BZ$4:BZ158,BZ158)=1,1,0))</f>
        <v>0</v>
      </c>
    </row>
    <row r="159">
      <c r="A159">
        <f>ROW()</f>
        <v>159</v>
      </c>
      <c r="B159">
        <f>IF(TRIM(INDEX(Charge!$B:$B,ROW()))&lt;&gt;"",1,0)</f>
        <v>0</v>
      </c>
      <c r="C159">
        <f>IF(B159=1,MIN(1,MAX(0,N(INDEX(Charge!$O:$O,ROW())))),0)</f>
        <v>0</v>
      </c>
      <c r="D159">
        <f>IF(B159=1,IF(OR(p_Perimetre="Tous les projets",C159&lt;1),1,0),0)</f>
        <v>0</v>
      </c>
      <c r="E159">
        <f>IF(D159=1,MAX(0,N(INDEX(Charge!$M:$M,ROW()))),0)</f>
        <v>0</v>
      </c>
      <c r="F159" t="str">
        <f>IF(D159=1,IF(TRIM(INDEX(Charge!$A:$A,ROW()))="","(non renseigné)",TRIM(INDEX(Charge!$A:$A,ROW()))),"")</f>
        <v/>
      </c>
      <c r="G159" t="str">
        <f>IF(D159=1,TRIM(INDEX(Charge!$B:$B,ROW())),"")</f>
        <v/>
      </c>
      <c r="H159" t="str">
        <f>IF(D159=1,IF(TRIM(INDEX(Charge!$E:$E,ROW()))="","(non renseigné)",TRIM(INDEX(Charge!$E:$E,ROW()))),"")</f>
        <v/>
      </c>
      <c r="I159" s="165" t="str">
        <f>IF(AND(D159=1,ISNUMBER(INDEX(Charge!$N:$N,ROW()))),INDEX(Charge!$N:$N,ROW()),"")</f>
        <v/>
      </c>
      <c r="J159" s="165" t="str">
        <f>IF(I159="","",IF(AND(p_Repartition="Lissée jusqu'à la date de besoin",ISNUMBER(INDEX(Charge!$F:$F,ROW()))),IF(INDEX(Charge!$F:$F,ROW())&gt;=I159,INDEX(Charge!$F:$F,ROW()),I159),I159))</f>
        <v/>
      </c>
      <c r="K159" t="str">
        <f>IF(I159="","",NETWORKDAYS(I159,J159,Data!$K$4:$K$203))</f>
        <v/>
      </c>
      <c r="L159" t="str">
        <f>IF(D159=1,COUNTIFS($D$4:$D$503,1,$E$4:$E$503,"&gt;"&amp;E159)+COUNTIFS($D$4:$D159,1,$E$4:$E159,E159),"")</f>
        <v/>
      </c>
      <c r="M159">
        <f>IF(F159="",0,IF(COUNTIF($F$4:F159,F159)=1,1,0))</f>
        <v>0</v>
      </c>
      <c r="N159" t="str">
        <f>IF(M159=1,ROUND(SUMIF($F$4:$F$503,F159,$E$4:$E$503),2),"")</f>
        <v/>
      </c>
      <c r="O159" t="str">
        <f>IF(M159=1,COUNTIFS($M$4:$M$503,1,$N$4:$N$503,"&gt;"&amp;N159)+COUNTIFS($M$4:M159,1,$N$4:N159,N159),"")</f>
        <v/>
      </c>
      <c r="P159">
        <f>IF(G159="",0,IF(COUNTIF($G$4:G159,G159)=1,1,0))</f>
        <v>0</v>
      </c>
      <c r="Q159" t="str">
        <f>IF(P159=1,ROUND(SUMIF($G$4:$G$503,G159,$E$4:$E$503),2),"")</f>
        <v/>
      </c>
      <c r="R159" t="str">
        <f>IF(P159=1,COUNTIFS($P$4:$P$503,1,$Q$4:$Q$503,"&gt;"&amp;Q159)+COUNTIFS($P$4:P159,1,$Q$4:Q159,Q159),"")</f>
        <v/>
      </c>
      <c r="S159">
        <f>IF(H159="",0,IF(COUNTIF($H$4:H159,H159)=1,1,0))</f>
        <v>0</v>
      </c>
      <c r="T159" t="str">
        <f>IF(S159=1,ROUND(SUMIF($H$4:$H$503,H159,$E$4:$E$503),2),"")</f>
        <v/>
      </c>
      <c r="U159" t="str">
        <f>IF(S159=1,COUNTIFS($S$4:$S$503,1,$T$4:$T$503,"&gt;"&amp;T159)+COUNTIFS($S$4:S159,1,$T$4:T159,T159),"")</f>
        <v/>
      </c>
      <c r="V159" t="str">
        <f>IF(D159=1,MIN(INDEX($R$4:$R$503,MATCH(G159,$G$4:$G$503,0)),IF($AL$7&gt;9,9,999)),"")</f>
        <v/>
      </c>
      <c r="W159" s="166">
        <f>IF(OR($I159="",$E159=0),0,IF(OR($J159&lt;W$3,$I159&gt;W$2),0,IF($K159=0,IF(AND($I159&gt;=W$3,$I159&lt;=W$2),$E159,0),$E159*NETWORKDAYS(MAX($I159,W$3),MIN($J159,W$2),Data!$K$4:$K$203)/$K159)))</f>
        <v>0</v>
      </c>
      <c r="X159" s="166">
        <f>IF(OR($I159="",$E159=0),0,IF(OR($J159&lt;X$3,$I159&gt;X$2),0,IF($K159=0,IF(AND($I159&gt;=X$3,$I159&lt;=X$2),$E159,0),$E159*NETWORKDAYS(MAX($I159,X$3),MIN($J159,X$2),Data!$K$4:$K$203)/$K159)))</f>
        <v>0</v>
      </c>
      <c r="Y159" s="166">
        <f>IF(OR($I159="",$E159=0),0,IF(OR($J159&lt;Y$3,$I159&gt;Y$2),0,IF($K159=0,IF(AND($I159&gt;=Y$3,$I159&lt;=Y$2),$E159,0),$E159*NETWORKDAYS(MAX($I159,Y$3),MIN($J159,Y$2),Data!$K$4:$K$203)/$K159)))</f>
        <v>0</v>
      </c>
      <c r="Z159" s="166">
        <f>IF(OR($I159="",$E159=0),0,IF(OR($J159&lt;Z$3,$I159&gt;Z$2),0,IF($K159=0,IF(AND($I159&gt;=Z$3,$I159&lt;=Z$2),$E159,0),$E159*NETWORKDAYS(MAX($I159,Z$3),MIN($J159,Z$2),Data!$K$4:$K$203)/$K159)))</f>
        <v>0</v>
      </c>
      <c r="AA159" s="166">
        <f>IF(OR($I159="",$E159=0),0,IF(OR($J159&lt;AA$3,$I159&gt;AA$2),0,IF($K159=0,IF(AND($I159&gt;=AA$3,$I159&lt;=AA$2),$E159,0),$E159*NETWORKDAYS(MAX($I159,AA$3),MIN($J159,AA$2),Data!$K$4:$K$203)/$K159)))</f>
        <v>0</v>
      </c>
      <c r="AB159" s="166">
        <f>IF(OR($I159="",$E159=0),0,IF(OR($J159&lt;AB$3,$I159&gt;AB$2),0,IF($K159=0,IF(AND($I159&gt;=AB$3,$I159&lt;=AB$2),$E159,0),$E159*NETWORKDAYS(MAX($I159,AB$3),MIN($J159,AB$2),Data!$K$4:$K$203)/$K159)))</f>
        <v>0</v>
      </c>
      <c r="AC159" s="166">
        <f>IF(OR($I159="",$E159=0),0,IF(OR($J159&lt;AC$3,$I159&gt;AC$2),0,IF($K159=0,IF(AND($I159&gt;=AC$3,$I159&lt;=AC$2),$E159,0),$E159*NETWORKDAYS(MAX($I159,AC$3),MIN($J159,AC$2),Data!$K$4:$K$203)/$K159)))</f>
        <v>0</v>
      </c>
      <c r="AD159" s="166">
        <f>IF(OR($I159="",$E159=0),0,IF(OR($J159&lt;AD$3,$I159&gt;AD$2),0,IF($K159=0,IF(AND($I159&gt;=AD$3,$I159&lt;=AD$2),$E159,0),$E159*NETWORKDAYS(MAX($I159,AD$3),MIN($J159,AD$2),Data!$K$4:$K$203)/$K159)))</f>
        <v>0</v>
      </c>
      <c r="AE159" s="166">
        <f>IF(OR($I159="",$E159=0),0,IF(OR($J159&lt;AE$3,$I159&gt;AE$2),0,IF($K159=0,IF(AND($I159&gt;=AE$3,$I159&lt;=AE$2),$E159,0),$E159*NETWORKDAYS(MAX($I159,AE$3),MIN($J159,AE$2),Data!$K$4:$K$203)/$K159)))</f>
        <v>0</v>
      </c>
      <c r="AF159" s="166">
        <f>IF(OR($I159="",$E159=0),0,IF(OR($J159&lt;AF$3,$I159&gt;AF$2),0,IF($K159=0,IF(AND($I159&gt;=AF$3,$I159&lt;=AF$2),$E159,0),$E159*NETWORKDAYS(MAX($I159,AF$3),MIN($J159,AF$2),Data!$K$4:$K$203)/$K159)))</f>
        <v>0</v>
      </c>
      <c r="AG159" s="166">
        <f>IF(OR($I159="",$E159=0),0,IF(OR($J159&lt;AG$3,$I159&gt;AG$2),0,IF($K159=0,IF(AND($I159&gt;=AG$3,$I159&lt;=AG$2),$E159,0),$E159*NETWORKDAYS(MAX($I159,AG$3),MIN($J159,AG$2),Data!$K$4:$K$203)/$K159)))</f>
        <v>0</v>
      </c>
      <c r="AH159" s="166">
        <f>IF(OR($I159="",$E159=0),0,IF(OR($J159&lt;AH$3,$I159&gt;AH$2),0,IF($K159=0,IF(AND($I159&gt;=AH$3,$I159&lt;=AH$2),$E159,0),$E159*NETWORKDAYS(MAX($I159,AH$3),MIN($J159,AH$2),Data!$K$4:$K$203)/$K159)))</f>
        <v>0</v>
      </c>
      <c r="AI159" s="166">
        <f>SUM(W159:AH159)</f>
        <v>0</v>
      </c>
      <c r="BZ159" t="str">
        <f>IF(D159=1,IF(TRIM(INDEX(Charge!$K:$K,ROW()))&lt;&gt;"",TRIM(INDEX(Charge!$K:$K,ROW())),IF(TRIM(INDEX(Charge!$L:$L,ROW()))&lt;&gt;"",TRIM(INDEX(Charge!$L:$L,ROW())),"(non affecté)")),"")</f>
        <v/>
      </c>
      <c r="CA159" t="str">
        <f>IF(AND($CD$4&lt;&gt;"",BZ159=$CD$4),COUNTIFS($BZ$4:$BZ$503,$CD$4,$L$4:$L$503,"&lt;"&amp;L159)+1,"")</f>
        <v/>
      </c>
      <c r="EJ159" t="str">
        <f>TRIM(INDEX(Data!$E:$E,ROW()))</f>
        <v/>
      </c>
      <c r="EK159" t="str">
        <f>TRIM(INDEX(Data!$H:$H,ROW()))</f>
        <v/>
      </c>
      <c r="EM159" t="str">
        <f>IF(D159=1,IF(TRIM(INDEX(Charge!$K:$K,ROW()))&lt;&gt;"","Interne",IF(TRIM(INDEX(Charge!$L:$L,ROW()))&lt;&gt;"","Externe","Non affecté")),"")</f>
        <v/>
      </c>
      <c r="EN159" t="str">
        <f>IF(D159=1,LEFT(SUBSTITUTE(SUBSTITUTE(SUBSTITUTE(TRIM(SUBSTITUTE(INDEX(Charge!$B:$B,ROW()),CHAR(160)," "))&amp;" | "&amp;TRIM(SUBSTITUTE(INDEX(Charge!$C:$C,ROW()),CHAR(160)," "))&amp;" | "&amp;TRIM(SUBSTITUTE(INDEX(Charge!$D:$D,ROW()),CHAR(160)," ")),"~","-"),"*","+"),"?","!"),240),"")</f>
        <v/>
      </c>
      <c r="EO159">
        <f>IF(EN159="",0,IF(COUNTIF($EN$4:EN159,EN159)=1,1,0))</f>
        <v>0</v>
      </c>
      <c r="EP159" s="166" t="str">
        <f>IF(EO159=1,ROUND(SUMIF($EN$4:$EN$503,EN159,$E$4:$E$503),2),"")</f>
        <v/>
      </c>
      <c r="EQ159" t="str">
        <f>IF(EO159=1,COUNTIFS($EO$4:$EO$503,1,$EP$4:$EP$503,"&gt;"&amp;EP159)+COUNTIFS($EO$4:EO159,1,$EP$4:EP159,EP159),"")</f>
        <v/>
      </c>
      <c r="ER159" t="str">
        <f>IF(EO159=1,COUNTIFS($EN$4:$EN$503,EN159,$EM$4:$EM$503,"Interne",$FE$4:$FE$503,1),"")</f>
        <v/>
      </c>
      <c r="ES159" t="str">
        <f>IF(EO159=1,COUNTIFS($EN$4:$EN$503,EN159,$EM$4:$EM$503,"Externe",$FE$4:$FE$503,1),"")</f>
        <v/>
      </c>
      <c r="ET159" t="str">
        <f>IF(EO159=1,IF(ER159+ES159=0,"à affecter",IF(ER159=0,ES159&amp;" ext.",(ER159+ES159)&amp;IF(ES159&gt;0," dont "&amp;ES159&amp;" ext.",""))&amp;IF(COUNTIFS($EN$4:$EN$503,EN159,$EM$4:$EM$503,"Non affecté")&gt;0," + à affecter","")),"")</f>
        <v/>
      </c>
      <c r="EU159" s="170" t="str">
        <f>IF(EO159=1,IF(EP159&gt;0,SUMPRODUCT(($EN$4:$EN$503=EN159)*$E$4:$E$503*$C$4:$C$503)/EP159,AVERAGEIF($EN$4:$EN$503,EN159,$C$4:$C$503)),"")</f>
        <v/>
      </c>
      <c r="EV159" s="165">
        <f>IF(ISNUMBER(I159),I159,2958465)</f>
        <v>2958465.0</v>
      </c>
      <c r="EW159" s="165" t="str">
        <f>IF(EO159=1,SUMPRODUCT(MIN(($EN$4:$EN$503=EN159)*$EV$4:$EV$503+($EN$4:$EN$503&lt;&gt;EN159)*2958465)),"")</f>
        <v/>
      </c>
      <c r="EX159" s="165">
        <f>IF(AND(D159=1,ISNUMBER(INDEX(Charge!$F:$F,ROW()))),INDEX(Charge!$F:$F,ROW()),0)</f>
        <v>0.0</v>
      </c>
      <c r="EY159" s="165" t="str">
        <f>IF(EO159=1,SUMPRODUCT(MAX(($EN$4:$EN$503=EN159)*$EX$4:$EX$503)),"")</f>
        <v/>
      </c>
      <c r="FA159" t="str">
        <f>IF(156&lt;=$CD$23,INDEX($EJ$4:$EJ$203,156),IF(156-$CD$23&lt;=$CD$26,INDEX($EK$4:$EK$203,156-$CD$23),""))</f>
        <v/>
      </c>
      <c r="FB159" t="str">
        <f>IF(FA159="","",IF(156&lt;=$CD$23,"Interne","Externe"))</f>
        <v/>
      </c>
      <c r="FD159">
        <f>IF(AND(B159=1,TRIM(INDEX(Charge!$K:$K,ROW()))&lt;&gt;"",TRIM(INDEX(Charge!$L:$L,ROW()))&lt;&gt;""),1,0)</f>
        <v>0</v>
      </c>
      <c r="FE159">
        <f>IF(OR(EN159="",BZ159="(non affecté)"),0,IF(COUNTIFS($EN$4:EN159,EN159,$BZ$4:BZ159,BZ159)=1,1,0))</f>
        <v>0</v>
      </c>
    </row>
    <row r="160">
      <c r="A160">
        <f>ROW()</f>
        <v>160</v>
      </c>
      <c r="B160">
        <f>IF(TRIM(INDEX(Charge!$B:$B,ROW()))&lt;&gt;"",1,0)</f>
        <v>0</v>
      </c>
      <c r="C160">
        <f>IF(B160=1,MIN(1,MAX(0,N(INDEX(Charge!$O:$O,ROW())))),0)</f>
        <v>0</v>
      </c>
      <c r="D160">
        <f>IF(B160=1,IF(OR(p_Perimetre="Tous les projets",C160&lt;1),1,0),0)</f>
        <v>0</v>
      </c>
      <c r="E160">
        <f>IF(D160=1,MAX(0,N(INDEX(Charge!$M:$M,ROW()))),0)</f>
        <v>0</v>
      </c>
      <c r="F160" t="str">
        <f>IF(D160=1,IF(TRIM(INDEX(Charge!$A:$A,ROW()))="","(non renseigné)",TRIM(INDEX(Charge!$A:$A,ROW()))),"")</f>
        <v/>
      </c>
      <c r="G160" t="str">
        <f>IF(D160=1,TRIM(INDEX(Charge!$B:$B,ROW())),"")</f>
        <v/>
      </c>
      <c r="H160" t="str">
        <f>IF(D160=1,IF(TRIM(INDEX(Charge!$E:$E,ROW()))="","(non renseigné)",TRIM(INDEX(Charge!$E:$E,ROW()))),"")</f>
        <v/>
      </c>
      <c r="I160" s="165" t="str">
        <f>IF(AND(D160=1,ISNUMBER(INDEX(Charge!$N:$N,ROW()))),INDEX(Charge!$N:$N,ROW()),"")</f>
        <v/>
      </c>
      <c r="J160" s="165" t="str">
        <f>IF(I160="","",IF(AND(p_Repartition="Lissée jusqu'à la date de besoin",ISNUMBER(INDEX(Charge!$F:$F,ROW()))),IF(INDEX(Charge!$F:$F,ROW())&gt;=I160,INDEX(Charge!$F:$F,ROW()),I160),I160))</f>
        <v/>
      </c>
      <c r="K160" t="str">
        <f>IF(I160="","",NETWORKDAYS(I160,J160,Data!$K$4:$K$203))</f>
        <v/>
      </c>
      <c r="L160" t="str">
        <f>IF(D160=1,COUNTIFS($D$4:$D$503,1,$E$4:$E$503,"&gt;"&amp;E160)+COUNTIFS($D$4:$D160,1,$E$4:$E160,E160),"")</f>
        <v/>
      </c>
      <c r="M160">
        <f>IF(F160="",0,IF(COUNTIF($F$4:F160,F160)=1,1,0))</f>
        <v>0</v>
      </c>
      <c r="N160" t="str">
        <f>IF(M160=1,ROUND(SUMIF($F$4:$F$503,F160,$E$4:$E$503),2),"")</f>
        <v/>
      </c>
      <c r="O160" t="str">
        <f>IF(M160=1,COUNTIFS($M$4:$M$503,1,$N$4:$N$503,"&gt;"&amp;N160)+COUNTIFS($M$4:M160,1,$N$4:N160,N160),"")</f>
        <v/>
      </c>
      <c r="P160">
        <f>IF(G160="",0,IF(COUNTIF($G$4:G160,G160)=1,1,0))</f>
        <v>0</v>
      </c>
      <c r="Q160" t="str">
        <f>IF(P160=1,ROUND(SUMIF($G$4:$G$503,G160,$E$4:$E$503),2),"")</f>
        <v/>
      </c>
      <c r="R160" t="str">
        <f>IF(P160=1,COUNTIFS($P$4:$P$503,1,$Q$4:$Q$503,"&gt;"&amp;Q160)+COUNTIFS($P$4:P160,1,$Q$4:Q160,Q160),"")</f>
        <v/>
      </c>
      <c r="S160">
        <f>IF(H160="",0,IF(COUNTIF($H$4:H160,H160)=1,1,0))</f>
        <v>0</v>
      </c>
      <c r="T160" t="str">
        <f>IF(S160=1,ROUND(SUMIF($H$4:$H$503,H160,$E$4:$E$503),2),"")</f>
        <v/>
      </c>
      <c r="U160" t="str">
        <f>IF(S160=1,COUNTIFS($S$4:$S$503,1,$T$4:$T$503,"&gt;"&amp;T160)+COUNTIFS($S$4:S160,1,$T$4:T160,T160),"")</f>
        <v/>
      </c>
      <c r="V160" t="str">
        <f>IF(D160=1,MIN(INDEX($R$4:$R$503,MATCH(G160,$G$4:$G$503,0)),IF($AL$7&gt;9,9,999)),"")</f>
        <v/>
      </c>
      <c r="W160" s="166">
        <f>IF(OR($I160="",$E160=0),0,IF(OR($J160&lt;W$3,$I160&gt;W$2),0,IF($K160=0,IF(AND($I160&gt;=W$3,$I160&lt;=W$2),$E160,0),$E160*NETWORKDAYS(MAX($I160,W$3),MIN($J160,W$2),Data!$K$4:$K$203)/$K160)))</f>
        <v>0</v>
      </c>
      <c r="X160" s="166">
        <f>IF(OR($I160="",$E160=0),0,IF(OR($J160&lt;X$3,$I160&gt;X$2),0,IF($K160=0,IF(AND($I160&gt;=X$3,$I160&lt;=X$2),$E160,0),$E160*NETWORKDAYS(MAX($I160,X$3),MIN($J160,X$2),Data!$K$4:$K$203)/$K160)))</f>
        <v>0</v>
      </c>
      <c r="Y160" s="166">
        <f>IF(OR($I160="",$E160=0),0,IF(OR($J160&lt;Y$3,$I160&gt;Y$2),0,IF($K160=0,IF(AND($I160&gt;=Y$3,$I160&lt;=Y$2),$E160,0),$E160*NETWORKDAYS(MAX($I160,Y$3),MIN($J160,Y$2),Data!$K$4:$K$203)/$K160)))</f>
        <v>0</v>
      </c>
      <c r="Z160" s="166">
        <f>IF(OR($I160="",$E160=0),0,IF(OR($J160&lt;Z$3,$I160&gt;Z$2),0,IF($K160=0,IF(AND($I160&gt;=Z$3,$I160&lt;=Z$2),$E160,0),$E160*NETWORKDAYS(MAX($I160,Z$3),MIN($J160,Z$2),Data!$K$4:$K$203)/$K160)))</f>
        <v>0</v>
      </c>
      <c r="AA160" s="166">
        <f>IF(OR($I160="",$E160=0),0,IF(OR($J160&lt;AA$3,$I160&gt;AA$2),0,IF($K160=0,IF(AND($I160&gt;=AA$3,$I160&lt;=AA$2),$E160,0),$E160*NETWORKDAYS(MAX($I160,AA$3),MIN($J160,AA$2),Data!$K$4:$K$203)/$K160)))</f>
        <v>0</v>
      </c>
      <c r="AB160" s="166">
        <f>IF(OR($I160="",$E160=0),0,IF(OR($J160&lt;AB$3,$I160&gt;AB$2),0,IF($K160=0,IF(AND($I160&gt;=AB$3,$I160&lt;=AB$2),$E160,0),$E160*NETWORKDAYS(MAX($I160,AB$3),MIN($J160,AB$2),Data!$K$4:$K$203)/$K160)))</f>
        <v>0</v>
      </c>
      <c r="AC160" s="166">
        <f>IF(OR($I160="",$E160=0),0,IF(OR($J160&lt;AC$3,$I160&gt;AC$2),0,IF($K160=0,IF(AND($I160&gt;=AC$3,$I160&lt;=AC$2),$E160,0),$E160*NETWORKDAYS(MAX($I160,AC$3),MIN($J160,AC$2),Data!$K$4:$K$203)/$K160)))</f>
        <v>0</v>
      </c>
      <c r="AD160" s="166">
        <f>IF(OR($I160="",$E160=0),0,IF(OR($J160&lt;AD$3,$I160&gt;AD$2),0,IF($K160=0,IF(AND($I160&gt;=AD$3,$I160&lt;=AD$2),$E160,0),$E160*NETWORKDAYS(MAX($I160,AD$3),MIN($J160,AD$2),Data!$K$4:$K$203)/$K160)))</f>
        <v>0</v>
      </c>
      <c r="AE160" s="166">
        <f>IF(OR($I160="",$E160=0),0,IF(OR($J160&lt;AE$3,$I160&gt;AE$2),0,IF($K160=0,IF(AND($I160&gt;=AE$3,$I160&lt;=AE$2),$E160,0),$E160*NETWORKDAYS(MAX($I160,AE$3),MIN($J160,AE$2),Data!$K$4:$K$203)/$K160)))</f>
        <v>0</v>
      </c>
      <c r="AF160" s="166">
        <f>IF(OR($I160="",$E160=0),0,IF(OR($J160&lt;AF$3,$I160&gt;AF$2),0,IF($K160=0,IF(AND($I160&gt;=AF$3,$I160&lt;=AF$2),$E160,0),$E160*NETWORKDAYS(MAX($I160,AF$3),MIN($J160,AF$2),Data!$K$4:$K$203)/$K160)))</f>
        <v>0</v>
      </c>
      <c r="AG160" s="166">
        <f>IF(OR($I160="",$E160=0),0,IF(OR($J160&lt;AG$3,$I160&gt;AG$2),0,IF($K160=0,IF(AND($I160&gt;=AG$3,$I160&lt;=AG$2),$E160,0),$E160*NETWORKDAYS(MAX($I160,AG$3),MIN($J160,AG$2),Data!$K$4:$K$203)/$K160)))</f>
        <v>0</v>
      </c>
      <c r="AH160" s="166">
        <f>IF(OR($I160="",$E160=0),0,IF(OR($J160&lt;AH$3,$I160&gt;AH$2),0,IF($K160=0,IF(AND($I160&gt;=AH$3,$I160&lt;=AH$2),$E160,0),$E160*NETWORKDAYS(MAX($I160,AH$3),MIN($J160,AH$2),Data!$K$4:$K$203)/$K160)))</f>
        <v>0</v>
      </c>
      <c r="AI160" s="166">
        <f>SUM(W160:AH160)</f>
        <v>0</v>
      </c>
      <c r="BZ160" t="str">
        <f>IF(D160=1,IF(TRIM(INDEX(Charge!$K:$K,ROW()))&lt;&gt;"",TRIM(INDEX(Charge!$K:$K,ROW())),IF(TRIM(INDEX(Charge!$L:$L,ROW()))&lt;&gt;"",TRIM(INDEX(Charge!$L:$L,ROW())),"(non affecté)")),"")</f>
        <v/>
      </c>
      <c r="CA160" t="str">
        <f>IF(AND($CD$4&lt;&gt;"",BZ160=$CD$4),COUNTIFS($BZ$4:$BZ$503,$CD$4,$L$4:$L$503,"&lt;"&amp;L160)+1,"")</f>
        <v/>
      </c>
      <c r="EJ160" t="str">
        <f>TRIM(INDEX(Data!$E:$E,ROW()))</f>
        <v/>
      </c>
      <c r="EK160" t="str">
        <f>TRIM(INDEX(Data!$H:$H,ROW()))</f>
        <v/>
      </c>
      <c r="EM160" t="str">
        <f>IF(D160=1,IF(TRIM(INDEX(Charge!$K:$K,ROW()))&lt;&gt;"","Interne",IF(TRIM(INDEX(Charge!$L:$L,ROW()))&lt;&gt;"","Externe","Non affecté")),"")</f>
        <v/>
      </c>
      <c r="EN160" t="str">
        <f>IF(D160=1,LEFT(SUBSTITUTE(SUBSTITUTE(SUBSTITUTE(TRIM(SUBSTITUTE(INDEX(Charge!$B:$B,ROW()),CHAR(160)," "))&amp;" | "&amp;TRIM(SUBSTITUTE(INDEX(Charge!$C:$C,ROW()),CHAR(160)," "))&amp;" | "&amp;TRIM(SUBSTITUTE(INDEX(Charge!$D:$D,ROW()),CHAR(160)," ")),"~","-"),"*","+"),"?","!"),240),"")</f>
        <v/>
      </c>
      <c r="EO160">
        <f>IF(EN160="",0,IF(COUNTIF($EN$4:EN160,EN160)=1,1,0))</f>
        <v>0</v>
      </c>
      <c r="EP160" s="166" t="str">
        <f>IF(EO160=1,ROUND(SUMIF($EN$4:$EN$503,EN160,$E$4:$E$503),2),"")</f>
        <v/>
      </c>
      <c r="EQ160" t="str">
        <f>IF(EO160=1,COUNTIFS($EO$4:$EO$503,1,$EP$4:$EP$503,"&gt;"&amp;EP160)+COUNTIFS($EO$4:EO160,1,$EP$4:EP160,EP160),"")</f>
        <v/>
      </c>
      <c r="ER160" t="str">
        <f>IF(EO160=1,COUNTIFS($EN$4:$EN$503,EN160,$EM$4:$EM$503,"Interne",$FE$4:$FE$503,1),"")</f>
        <v/>
      </c>
      <c r="ES160" t="str">
        <f>IF(EO160=1,COUNTIFS($EN$4:$EN$503,EN160,$EM$4:$EM$503,"Externe",$FE$4:$FE$503,1),"")</f>
        <v/>
      </c>
      <c r="ET160" t="str">
        <f>IF(EO160=1,IF(ER160+ES160=0,"à affecter",IF(ER160=0,ES160&amp;" ext.",(ER160+ES160)&amp;IF(ES160&gt;0," dont "&amp;ES160&amp;" ext.",""))&amp;IF(COUNTIFS($EN$4:$EN$503,EN160,$EM$4:$EM$503,"Non affecté")&gt;0," + à affecter","")),"")</f>
        <v/>
      </c>
      <c r="EU160" s="170" t="str">
        <f>IF(EO160=1,IF(EP160&gt;0,SUMPRODUCT(($EN$4:$EN$503=EN160)*$E$4:$E$503*$C$4:$C$503)/EP160,AVERAGEIF($EN$4:$EN$503,EN160,$C$4:$C$503)),"")</f>
        <v/>
      </c>
      <c r="EV160" s="165">
        <f>IF(ISNUMBER(I160),I160,2958465)</f>
        <v>2958465.0</v>
      </c>
      <c r="EW160" s="165" t="str">
        <f>IF(EO160=1,SUMPRODUCT(MIN(($EN$4:$EN$503=EN160)*$EV$4:$EV$503+($EN$4:$EN$503&lt;&gt;EN160)*2958465)),"")</f>
        <v/>
      </c>
      <c r="EX160" s="165">
        <f>IF(AND(D160=1,ISNUMBER(INDEX(Charge!$F:$F,ROW()))),INDEX(Charge!$F:$F,ROW()),0)</f>
        <v>0.0</v>
      </c>
      <c r="EY160" s="165" t="str">
        <f>IF(EO160=1,SUMPRODUCT(MAX(($EN$4:$EN$503=EN160)*$EX$4:$EX$503)),"")</f>
        <v/>
      </c>
      <c r="FA160" t="str">
        <f>IF(157&lt;=$CD$23,INDEX($EJ$4:$EJ$203,157),IF(157-$CD$23&lt;=$CD$26,INDEX($EK$4:$EK$203,157-$CD$23),""))</f>
        <v/>
      </c>
      <c r="FB160" t="str">
        <f>IF(FA160="","",IF(157&lt;=$CD$23,"Interne","Externe"))</f>
        <v/>
      </c>
      <c r="FD160">
        <f>IF(AND(B160=1,TRIM(INDEX(Charge!$K:$K,ROW()))&lt;&gt;"",TRIM(INDEX(Charge!$L:$L,ROW()))&lt;&gt;""),1,0)</f>
        <v>0</v>
      </c>
      <c r="FE160">
        <f>IF(OR(EN160="",BZ160="(non affecté)"),0,IF(COUNTIFS($EN$4:EN160,EN160,$BZ$4:BZ160,BZ160)=1,1,0))</f>
        <v>0</v>
      </c>
    </row>
    <row r="161">
      <c r="A161">
        <f>ROW()</f>
        <v>161</v>
      </c>
      <c r="B161">
        <f>IF(TRIM(INDEX(Charge!$B:$B,ROW()))&lt;&gt;"",1,0)</f>
        <v>0</v>
      </c>
      <c r="C161">
        <f>IF(B161=1,MIN(1,MAX(0,N(INDEX(Charge!$O:$O,ROW())))),0)</f>
        <v>0</v>
      </c>
      <c r="D161">
        <f>IF(B161=1,IF(OR(p_Perimetre="Tous les projets",C161&lt;1),1,0),0)</f>
        <v>0</v>
      </c>
      <c r="E161">
        <f>IF(D161=1,MAX(0,N(INDEX(Charge!$M:$M,ROW()))),0)</f>
        <v>0</v>
      </c>
      <c r="F161" t="str">
        <f>IF(D161=1,IF(TRIM(INDEX(Charge!$A:$A,ROW()))="","(non renseigné)",TRIM(INDEX(Charge!$A:$A,ROW()))),"")</f>
        <v/>
      </c>
      <c r="G161" t="str">
        <f>IF(D161=1,TRIM(INDEX(Charge!$B:$B,ROW())),"")</f>
        <v/>
      </c>
      <c r="H161" t="str">
        <f>IF(D161=1,IF(TRIM(INDEX(Charge!$E:$E,ROW()))="","(non renseigné)",TRIM(INDEX(Charge!$E:$E,ROW()))),"")</f>
        <v/>
      </c>
      <c r="I161" s="165" t="str">
        <f>IF(AND(D161=1,ISNUMBER(INDEX(Charge!$N:$N,ROW()))),INDEX(Charge!$N:$N,ROW()),"")</f>
        <v/>
      </c>
      <c r="J161" s="165" t="str">
        <f>IF(I161="","",IF(AND(p_Repartition="Lissée jusqu'à la date de besoin",ISNUMBER(INDEX(Charge!$F:$F,ROW()))),IF(INDEX(Charge!$F:$F,ROW())&gt;=I161,INDEX(Charge!$F:$F,ROW()),I161),I161))</f>
        <v/>
      </c>
      <c r="K161" t="str">
        <f>IF(I161="","",NETWORKDAYS(I161,J161,Data!$K$4:$K$203))</f>
        <v/>
      </c>
      <c r="L161" t="str">
        <f>IF(D161=1,COUNTIFS($D$4:$D$503,1,$E$4:$E$503,"&gt;"&amp;E161)+COUNTIFS($D$4:$D161,1,$E$4:$E161,E161),"")</f>
        <v/>
      </c>
      <c r="M161">
        <f>IF(F161="",0,IF(COUNTIF($F$4:F161,F161)=1,1,0))</f>
        <v>0</v>
      </c>
      <c r="N161" t="str">
        <f>IF(M161=1,ROUND(SUMIF($F$4:$F$503,F161,$E$4:$E$503),2),"")</f>
        <v/>
      </c>
      <c r="O161" t="str">
        <f>IF(M161=1,COUNTIFS($M$4:$M$503,1,$N$4:$N$503,"&gt;"&amp;N161)+COUNTIFS($M$4:M161,1,$N$4:N161,N161),"")</f>
        <v/>
      </c>
      <c r="P161">
        <f>IF(G161="",0,IF(COUNTIF($G$4:G161,G161)=1,1,0))</f>
        <v>0</v>
      </c>
      <c r="Q161" t="str">
        <f>IF(P161=1,ROUND(SUMIF($G$4:$G$503,G161,$E$4:$E$503),2),"")</f>
        <v/>
      </c>
      <c r="R161" t="str">
        <f>IF(P161=1,COUNTIFS($P$4:$P$503,1,$Q$4:$Q$503,"&gt;"&amp;Q161)+COUNTIFS($P$4:P161,1,$Q$4:Q161,Q161),"")</f>
        <v/>
      </c>
      <c r="S161">
        <f>IF(H161="",0,IF(COUNTIF($H$4:H161,H161)=1,1,0))</f>
        <v>0</v>
      </c>
      <c r="T161" t="str">
        <f>IF(S161=1,ROUND(SUMIF($H$4:$H$503,H161,$E$4:$E$503),2),"")</f>
        <v/>
      </c>
      <c r="U161" t="str">
        <f>IF(S161=1,COUNTIFS($S$4:$S$503,1,$T$4:$T$503,"&gt;"&amp;T161)+COUNTIFS($S$4:S161,1,$T$4:T161,T161),"")</f>
        <v/>
      </c>
      <c r="V161" t="str">
        <f>IF(D161=1,MIN(INDEX($R$4:$R$503,MATCH(G161,$G$4:$G$503,0)),IF($AL$7&gt;9,9,999)),"")</f>
        <v/>
      </c>
      <c r="W161" s="166">
        <f>IF(OR($I161="",$E161=0),0,IF(OR($J161&lt;W$3,$I161&gt;W$2),0,IF($K161=0,IF(AND($I161&gt;=W$3,$I161&lt;=W$2),$E161,0),$E161*NETWORKDAYS(MAX($I161,W$3),MIN($J161,W$2),Data!$K$4:$K$203)/$K161)))</f>
        <v>0</v>
      </c>
      <c r="X161" s="166">
        <f>IF(OR($I161="",$E161=0),0,IF(OR($J161&lt;X$3,$I161&gt;X$2),0,IF($K161=0,IF(AND($I161&gt;=X$3,$I161&lt;=X$2),$E161,0),$E161*NETWORKDAYS(MAX($I161,X$3),MIN($J161,X$2),Data!$K$4:$K$203)/$K161)))</f>
        <v>0</v>
      </c>
      <c r="Y161" s="166">
        <f>IF(OR($I161="",$E161=0),0,IF(OR($J161&lt;Y$3,$I161&gt;Y$2),0,IF($K161=0,IF(AND($I161&gt;=Y$3,$I161&lt;=Y$2),$E161,0),$E161*NETWORKDAYS(MAX($I161,Y$3),MIN($J161,Y$2),Data!$K$4:$K$203)/$K161)))</f>
        <v>0</v>
      </c>
      <c r="Z161" s="166">
        <f>IF(OR($I161="",$E161=0),0,IF(OR($J161&lt;Z$3,$I161&gt;Z$2),0,IF($K161=0,IF(AND($I161&gt;=Z$3,$I161&lt;=Z$2),$E161,0),$E161*NETWORKDAYS(MAX($I161,Z$3),MIN($J161,Z$2),Data!$K$4:$K$203)/$K161)))</f>
        <v>0</v>
      </c>
      <c r="AA161" s="166">
        <f>IF(OR($I161="",$E161=0),0,IF(OR($J161&lt;AA$3,$I161&gt;AA$2),0,IF($K161=0,IF(AND($I161&gt;=AA$3,$I161&lt;=AA$2),$E161,0),$E161*NETWORKDAYS(MAX($I161,AA$3),MIN($J161,AA$2),Data!$K$4:$K$203)/$K161)))</f>
        <v>0</v>
      </c>
      <c r="AB161" s="166">
        <f>IF(OR($I161="",$E161=0),0,IF(OR($J161&lt;AB$3,$I161&gt;AB$2),0,IF($K161=0,IF(AND($I161&gt;=AB$3,$I161&lt;=AB$2),$E161,0),$E161*NETWORKDAYS(MAX($I161,AB$3),MIN($J161,AB$2),Data!$K$4:$K$203)/$K161)))</f>
        <v>0</v>
      </c>
      <c r="AC161" s="166">
        <f>IF(OR($I161="",$E161=0),0,IF(OR($J161&lt;AC$3,$I161&gt;AC$2),0,IF($K161=0,IF(AND($I161&gt;=AC$3,$I161&lt;=AC$2),$E161,0),$E161*NETWORKDAYS(MAX($I161,AC$3),MIN($J161,AC$2),Data!$K$4:$K$203)/$K161)))</f>
        <v>0</v>
      </c>
      <c r="AD161" s="166">
        <f>IF(OR($I161="",$E161=0),0,IF(OR($J161&lt;AD$3,$I161&gt;AD$2),0,IF($K161=0,IF(AND($I161&gt;=AD$3,$I161&lt;=AD$2),$E161,0),$E161*NETWORKDAYS(MAX($I161,AD$3),MIN($J161,AD$2),Data!$K$4:$K$203)/$K161)))</f>
        <v>0</v>
      </c>
      <c r="AE161" s="166">
        <f>IF(OR($I161="",$E161=0),0,IF(OR($J161&lt;AE$3,$I161&gt;AE$2),0,IF($K161=0,IF(AND($I161&gt;=AE$3,$I161&lt;=AE$2),$E161,0),$E161*NETWORKDAYS(MAX($I161,AE$3),MIN($J161,AE$2),Data!$K$4:$K$203)/$K161)))</f>
        <v>0</v>
      </c>
      <c r="AF161" s="166">
        <f>IF(OR($I161="",$E161=0),0,IF(OR($J161&lt;AF$3,$I161&gt;AF$2),0,IF($K161=0,IF(AND($I161&gt;=AF$3,$I161&lt;=AF$2),$E161,0),$E161*NETWORKDAYS(MAX($I161,AF$3),MIN($J161,AF$2),Data!$K$4:$K$203)/$K161)))</f>
        <v>0</v>
      </c>
      <c r="AG161" s="166">
        <f>IF(OR($I161="",$E161=0),0,IF(OR($J161&lt;AG$3,$I161&gt;AG$2),0,IF($K161=0,IF(AND($I161&gt;=AG$3,$I161&lt;=AG$2),$E161,0),$E161*NETWORKDAYS(MAX($I161,AG$3),MIN($J161,AG$2),Data!$K$4:$K$203)/$K161)))</f>
        <v>0</v>
      </c>
      <c r="AH161" s="166">
        <f>IF(OR($I161="",$E161=0),0,IF(OR($J161&lt;AH$3,$I161&gt;AH$2),0,IF($K161=0,IF(AND($I161&gt;=AH$3,$I161&lt;=AH$2),$E161,0),$E161*NETWORKDAYS(MAX($I161,AH$3),MIN($J161,AH$2),Data!$K$4:$K$203)/$K161)))</f>
        <v>0</v>
      </c>
      <c r="AI161" s="166">
        <f>SUM(W161:AH161)</f>
        <v>0</v>
      </c>
      <c r="BZ161" t="str">
        <f>IF(D161=1,IF(TRIM(INDEX(Charge!$K:$K,ROW()))&lt;&gt;"",TRIM(INDEX(Charge!$K:$K,ROW())),IF(TRIM(INDEX(Charge!$L:$L,ROW()))&lt;&gt;"",TRIM(INDEX(Charge!$L:$L,ROW())),"(non affecté)")),"")</f>
        <v/>
      </c>
      <c r="CA161" t="str">
        <f>IF(AND($CD$4&lt;&gt;"",BZ161=$CD$4),COUNTIFS($BZ$4:$BZ$503,$CD$4,$L$4:$L$503,"&lt;"&amp;L161)+1,"")</f>
        <v/>
      </c>
      <c r="EJ161" t="str">
        <f>TRIM(INDEX(Data!$E:$E,ROW()))</f>
        <v/>
      </c>
      <c r="EK161" t="str">
        <f>TRIM(INDEX(Data!$H:$H,ROW()))</f>
        <v/>
      </c>
      <c r="EM161" t="str">
        <f>IF(D161=1,IF(TRIM(INDEX(Charge!$K:$K,ROW()))&lt;&gt;"","Interne",IF(TRIM(INDEX(Charge!$L:$L,ROW()))&lt;&gt;"","Externe","Non affecté")),"")</f>
        <v/>
      </c>
      <c r="EN161" t="str">
        <f>IF(D161=1,LEFT(SUBSTITUTE(SUBSTITUTE(SUBSTITUTE(TRIM(SUBSTITUTE(INDEX(Charge!$B:$B,ROW()),CHAR(160)," "))&amp;" | "&amp;TRIM(SUBSTITUTE(INDEX(Charge!$C:$C,ROW()),CHAR(160)," "))&amp;" | "&amp;TRIM(SUBSTITUTE(INDEX(Charge!$D:$D,ROW()),CHAR(160)," ")),"~","-"),"*","+"),"?","!"),240),"")</f>
        <v/>
      </c>
      <c r="EO161">
        <f>IF(EN161="",0,IF(COUNTIF($EN$4:EN161,EN161)=1,1,0))</f>
        <v>0</v>
      </c>
      <c r="EP161" s="166" t="str">
        <f>IF(EO161=1,ROUND(SUMIF($EN$4:$EN$503,EN161,$E$4:$E$503),2),"")</f>
        <v/>
      </c>
      <c r="EQ161" t="str">
        <f>IF(EO161=1,COUNTIFS($EO$4:$EO$503,1,$EP$4:$EP$503,"&gt;"&amp;EP161)+COUNTIFS($EO$4:EO161,1,$EP$4:EP161,EP161),"")</f>
        <v/>
      </c>
      <c r="ER161" t="str">
        <f>IF(EO161=1,COUNTIFS($EN$4:$EN$503,EN161,$EM$4:$EM$503,"Interne",$FE$4:$FE$503,1),"")</f>
        <v/>
      </c>
      <c r="ES161" t="str">
        <f>IF(EO161=1,COUNTIFS($EN$4:$EN$503,EN161,$EM$4:$EM$503,"Externe",$FE$4:$FE$503,1),"")</f>
        <v/>
      </c>
      <c r="ET161" t="str">
        <f>IF(EO161=1,IF(ER161+ES161=0,"à affecter",IF(ER161=0,ES161&amp;" ext.",(ER161+ES161)&amp;IF(ES161&gt;0," dont "&amp;ES161&amp;" ext.",""))&amp;IF(COUNTIFS($EN$4:$EN$503,EN161,$EM$4:$EM$503,"Non affecté")&gt;0," + à affecter","")),"")</f>
        <v/>
      </c>
      <c r="EU161" s="170" t="str">
        <f>IF(EO161=1,IF(EP161&gt;0,SUMPRODUCT(($EN$4:$EN$503=EN161)*$E$4:$E$503*$C$4:$C$503)/EP161,AVERAGEIF($EN$4:$EN$503,EN161,$C$4:$C$503)),"")</f>
        <v/>
      </c>
      <c r="EV161" s="165">
        <f>IF(ISNUMBER(I161),I161,2958465)</f>
        <v>2958465.0</v>
      </c>
      <c r="EW161" s="165" t="str">
        <f>IF(EO161=1,SUMPRODUCT(MIN(($EN$4:$EN$503=EN161)*$EV$4:$EV$503+($EN$4:$EN$503&lt;&gt;EN161)*2958465)),"")</f>
        <v/>
      </c>
      <c r="EX161" s="165">
        <f>IF(AND(D161=1,ISNUMBER(INDEX(Charge!$F:$F,ROW()))),INDEX(Charge!$F:$F,ROW()),0)</f>
        <v>0.0</v>
      </c>
      <c r="EY161" s="165" t="str">
        <f>IF(EO161=1,SUMPRODUCT(MAX(($EN$4:$EN$503=EN161)*$EX$4:$EX$503)),"")</f>
        <v/>
      </c>
      <c r="FA161" t="str">
        <f>IF(158&lt;=$CD$23,INDEX($EJ$4:$EJ$203,158),IF(158-$CD$23&lt;=$CD$26,INDEX($EK$4:$EK$203,158-$CD$23),""))</f>
        <v/>
      </c>
      <c r="FB161" t="str">
        <f>IF(FA161="","",IF(158&lt;=$CD$23,"Interne","Externe"))</f>
        <v/>
      </c>
      <c r="FD161">
        <f>IF(AND(B161=1,TRIM(INDEX(Charge!$K:$K,ROW()))&lt;&gt;"",TRIM(INDEX(Charge!$L:$L,ROW()))&lt;&gt;""),1,0)</f>
        <v>0</v>
      </c>
      <c r="FE161">
        <f>IF(OR(EN161="",BZ161="(non affecté)"),0,IF(COUNTIFS($EN$4:EN161,EN161,$BZ$4:BZ161,BZ161)=1,1,0))</f>
        <v>0</v>
      </c>
    </row>
    <row r="162">
      <c r="A162">
        <f>ROW()</f>
        <v>162</v>
      </c>
      <c r="B162">
        <f>IF(TRIM(INDEX(Charge!$B:$B,ROW()))&lt;&gt;"",1,0)</f>
        <v>0</v>
      </c>
      <c r="C162">
        <f>IF(B162=1,MIN(1,MAX(0,N(INDEX(Charge!$O:$O,ROW())))),0)</f>
        <v>0</v>
      </c>
      <c r="D162">
        <f>IF(B162=1,IF(OR(p_Perimetre="Tous les projets",C162&lt;1),1,0),0)</f>
        <v>0</v>
      </c>
      <c r="E162">
        <f>IF(D162=1,MAX(0,N(INDEX(Charge!$M:$M,ROW()))),0)</f>
        <v>0</v>
      </c>
      <c r="F162" t="str">
        <f>IF(D162=1,IF(TRIM(INDEX(Charge!$A:$A,ROW()))="","(non renseigné)",TRIM(INDEX(Charge!$A:$A,ROW()))),"")</f>
        <v/>
      </c>
      <c r="G162" t="str">
        <f>IF(D162=1,TRIM(INDEX(Charge!$B:$B,ROW())),"")</f>
        <v/>
      </c>
      <c r="H162" t="str">
        <f>IF(D162=1,IF(TRIM(INDEX(Charge!$E:$E,ROW()))="","(non renseigné)",TRIM(INDEX(Charge!$E:$E,ROW()))),"")</f>
        <v/>
      </c>
      <c r="I162" s="165" t="str">
        <f>IF(AND(D162=1,ISNUMBER(INDEX(Charge!$N:$N,ROW()))),INDEX(Charge!$N:$N,ROW()),"")</f>
        <v/>
      </c>
      <c r="J162" s="165" t="str">
        <f>IF(I162="","",IF(AND(p_Repartition="Lissée jusqu'à la date de besoin",ISNUMBER(INDEX(Charge!$F:$F,ROW()))),IF(INDEX(Charge!$F:$F,ROW())&gt;=I162,INDEX(Charge!$F:$F,ROW()),I162),I162))</f>
        <v/>
      </c>
      <c r="K162" t="str">
        <f>IF(I162="","",NETWORKDAYS(I162,J162,Data!$K$4:$K$203))</f>
        <v/>
      </c>
      <c r="L162" t="str">
        <f>IF(D162=1,COUNTIFS($D$4:$D$503,1,$E$4:$E$503,"&gt;"&amp;E162)+COUNTIFS($D$4:$D162,1,$E$4:$E162,E162),"")</f>
        <v/>
      </c>
      <c r="M162">
        <f>IF(F162="",0,IF(COUNTIF($F$4:F162,F162)=1,1,0))</f>
        <v>0</v>
      </c>
      <c r="N162" t="str">
        <f>IF(M162=1,ROUND(SUMIF($F$4:$F$503,F162,$E$4:$E$503),2),"")</f>
        <v/>
      </c>
      <c r="O162" t="str">
        <f>IF(M162=1,COUNTIFS($M$4:$M$503,1,$N$4:$N$503,"&gt;"&amp;N162)+COUNTIFS($M$4:M162,1,$N$4:N162,N162),"")</f>
        <v/>
      </c>
      <c r="P162">
        <f>IF(G162="",0,IF(COUNTIF($G$4:G162,G162)=1,1,0))</f>
        <v>0</v>
      </c>
      <c r="Q162" t="str">
        <f>IF(P162=1,ROUND(SUMIF($G$4:$G$503,G162,$E$4:$E$503),2),"")</f>
        <v/>
      </c>
      <c r="R162" t="str">
        <f>IF(P162=1,COUNTIFS($P$4:$P$503,1,$Q$4:$Q$503,"&gt;"&amp;Q162)+COUNTIFS($P$4:P162,1,$Q$4:Q162,Q162),"")</f>
        <v/>
      </c>
      <c r="S162">
        <f>IF(H162="",0,IF(COUNTIF($H$4:H162,H162)=1,1,0))</f>
        <v>0</v>
      </c>
      <c r="T162" t="str">
        <f>IF(S162=1,ROUND(SUMIF($H$4:$H$503,H162,$E$4:$E$503),2),"")</f>
        <v/>
      </c>
      <c r="U162" t="str">
        <f>IF(S162=1,COUNTIFS($S$4:$S$503,1,$T$4:$T$503,"&gt;"&amp;T162)+COUNTIFS($S$4:S162,1,$T$4:T162,T162),"")</f>
        <v/>
      </c>
      <c r="V162" t="str">
        <f>IF(D162=1,MIN(INDEX($R$4:$R$503,MATCH(G162,$G$4:$G$503,0)),IF($AL$7&gt;9,9,999)),"")</f>
        <v/>
      </c>
      <c r="W162" s="166">
        <f>IF(OR($I162="",$E162=0),0,IF(OR($J162&lt;W$3,$I162&gt;W$2),0,IF($K162=0,IF(AND($I162&gt;=W$3,$I162&lt;=W$2),$E162,0),$E162*NETWORKDAYS(MAX($I162,W$3),MIN($J162,W$2),Data!$K$4:$K$203)/$K162)))</f>
        <v>0</v>
      </c>
      <c r="X162" s="166">
        <f>IF(OR($I162="",$E162=0),0,IF(OR($J162&lt;X$3,$I162&gt;X$2),0,IF($K162=0,IF(AND($I162&gt;=X$3,$I162&lt;=X$2),$E162,0),$E162*NETWORKDAYS(MAX($I162,X$3),MIN($J162,X$2),Data!$K$4:$K$203)/$K162)))</f>
        <v>0</v>
      </c>
      <c r="Y162" s="166">
        <f>IF(OR($I162="",$E162=0),0,IF(OR($J162&lt;Y$3,$I162&gt;Y$2),0,IF($K162=0,IF(AND($I162&gt;=Y$3,$I162&lt;=Y$2),$E162,0),$E162*NETWORKDAYS(MAX($I162,Y$3),MIN($J162,Y$2),Data!$K$4:$K$203)/$K162)))</f>
        <v>0</v>
      </c>
      <c r="Z162" s="166">
        <f>IF(OR($I162="",$E162=0),0,IF(OR($J162&lt;Z$3,$I162&gt;Z$2),0,IF($K162=0,IF(AND($I162&gt;=Z$3,$I162&lt;=Z$2),$E162,0),$E162*NETWORKDAYS(MAX($I162,Z$3),MIN($J162,Z$2),Data!$K$4:$K$203)/$K162)))</f>
        <v>0</v>
      </c>
      <c r="AA162" s="166">
        <f>IF(OR($I162="",$E162=0),0,IF(OR($J162&lt;AA$3,$I162&gt;AA$2),0,IF($K162=0,IF(AND($I162&gt;=AA$3,$I162&lt;=AA$2),$E162,0),$E162*NETWORKDAYS(MAX($I162,AA$3),MIN($J162,AA$2),Data!$K$4:$K$203)/$K162)))</f>
        <v>0</v>
      </c>
      <c r="AB162" s="166">
        <f>IF(OR($I162="",$E162=0),0,IF(OR($J162&lt;AB$3,$I162&gt;AB$2),0,IF($K162=0,IF(AND($I162&gt;=AB$3,$I162&lt;=AB$2),$E162,0),$E162*NETWORKDAYS(MAX($I162,AB$3),MIN($J162,AB$2),Data!$K$4:$K$203)/$K162)))</f>
        <v>0</v>
      </c>
      <c r="AC162" s="166">
        <f>IF(OR($I162="",$E162=0),0,IF(OR($J162&lt;AC$3,$I162&gt;AC$2),0,IF($K162=0,IF(AND($I162&gt;=AC$3,$I162&lt;=AC$2),$E162,0),$E162*NETWORKDAYS(MAX($I162,AC$3),MIN($J162,AC$2),Data!$K$4:$K$203)/$K162)))</f>
        <v>0</v>
      </c>
      <c r="AD162" s="166">
        <f>IF(OR($I162="",$E162=0),0,IF(OR($J162&lt;AD$3,$I162&gt;AD$2),0,IF($K162=0,IF(AND($I162&gt;=AD$3,$I162&lt;=AD$2),$E162,0),$E162*NETWORKDAYS(MAX($I162,AD$3),MIN($J162,AD$2),Data!$K$4:$K$203)/$K162)))</f>
        <v>0</v>
      </c>
      <c r="AE162" s="166">
        <f>IF(OR($I162="",$E162=0),0,IF(OR($J162&lt;AE$3,$I162&gt;AE$2),0,IF($K162=0,IF(AND($I162&gt;=AE$3,$I162&lt;=AE$2),$E162,0),$E162*NETWORKDAYS(MAX($I162,AE$3),MIN($J162,AE$2),Data!$K$4:$K$203)/$K162)))</f>
        <v>0</v>
      </c>
      <c r="AF162" s="166">
        <f>IF(OR($I162="",$E162=0),0,IF(OR($J162&lt;AF$3,$I162&gt;AF$2),0,IF($K162=0,IF(AND($I162&gt;=AF$3,$I162&lt;=AF$2),$E162,0),$E162*NETWORKDAYS(MAX($I162,AF$3),MIN($J162,AF$2),Data!$K$4:$K$203)/$K162)))</f>
        <v>0</v>
      </c>
      <c r="AG162" s="166">
        <f>IF(OR($I162="",$E162=0),0,IF(OR($J162&lt;AG$3,$I162&gt;AG$2),0,IF($K162=0,IF(AND($I162&gt;=AG$3,$I162&lt;=AG$2),$E162,0),$E162*NETWORKDAYS(MAX($I162,AG$3),MIN($J162,AG$2),Data!$K$4:$K$203)/$K162)))</f>
        <v>0</v>
      </c>
      <c r="AH162" s="166">
        <f>IF(OR($I162="",$E162=0),0,IF(OR($J162&lt;AH$3,$I162&gt;AH$2),0,IF($K162=0,IF(AND($I162&gt;=AH$3,$I162&lt;=AH$2),$E162,0),$E162*NETWORKDAYS(MAX($I162,AH$3),MIN($J162,AH$2),Data!$K$4:$K$203)/$K162)))</f>
        <v>0</v>
      </c>
      <c r="AI162" s="166">
        <f>SUM(W162:AH162)</f>
        <v>0</v>
      </c>
      <c r="BZ162" t="str">
        <f>IF(D162=1,IF(TRIM(INDEX(Charge!$K:$K,ROW()))&lt;&gt;"",TRIM(INDEX(Charge!$K:$K,ROW())),IF(TRIM(INDEX(Charge!$L:$L,ROW()))&lt;&gt;"",TRIM(INDEX(Charge!$L:$L,ROW())),"(non affecté)")),"")</f>
        <v/>
      </c>
      <c r="CA162" t="str">
        <f>IF(AND($CD$4&lt;&gt;"",BZ162=$CD$4),COUNTIFS($BZ$4:$BZ$503,$CD$4,$L$4:$L$503,"&lt;"&amp;L162)+1,"")</f>
        <v/>
      </c>
      <c r="EJ162" t="str">
        <f>TRIM(INDEX(Data!$E:$E,ROW()))</f>
        <v/>
      </c>
      <c r="EK162" t="str">
        <f>TRIM(INDEX(Data!$H:$H,ROW()))</f>
        <v/>
      </c>
      <c r="EM162" t="str">
        <f>IF(D162=1,IF(TRIM(INDEX(Charge!$K:$K,ROW()))&lt;&gt;"","Interne",IF(TRIM(INDEX(Charge!$L:$L,ROW()))&lt;&gt;"","Externe","Non affecté")),"")</f>
        <v/>
      </c>
      <c r="EN162" t="str">
        <f>IF(D162=1,LEFT(SUBSTITUTE(SUBSTITUTE(SUBSTITUTE(TRIM(SUBSTITUTE(INDEX(Charge!$B:$B,ROW()),CHAR(160)," "))&amp;" | "&amp;TRIM(SUBSTITUTE(INDEX(Charge!$C:$C,ROW()),CHAR(160)," "))&amp;" | "&amp;TRIM(SUBSTITUTE(INDEX(Charge!$D:$D,ROW()),CHAR(160)," ")),"~","-"),"*","+"),"?","!"),240),"")</f>
        <v/>
      </c>
      <c r="EO162">
        <f>IF(EN162="",0,IF(COUNTIF($EN$4:EN162,EN162)=1,1,0))</f>
        <v>0</v>
      </c>
      <c r="EP162" s="166" t="str">
        <f>IF(EO162=1,ROUND(SUMIF($EN$4:$EN$503,EN162,$E$4:$E$503),2),"")</f>
        <v/>
      </c>
      <c r="EQ162" t="str">
        <f>IF(EO162=1,COUNTIFS($EO$4:$EO$503,1,$EP$4:$EP$503,"&gt;"&amp;EP162)+COUNTIFS($EO$4:EO162,1,$EP$4:EP162,EP162),"")</f>
        <v/>
      </c>
      <c r="ER162" t="str">
        <f>IF(EO162=1,COUNTIFS($EN$4:$EN$503,EN162,$EM$4:$EM$503,"Interne",$FE$4:$FE$503,1),"")</f>
        <v/>
      </c>
      <c r="ES162" t="str">
        <f>IF(EO162=1,COUNTIFS($EN$4:$EN$503,EN162,$EM$4:$EM$503,"Externe",$FE$4:$FE$503,1),"")</f>
        <v/>
      </c>
      <c r="ET162" t="str">
        <f>IF(EO162=1,IF(ER162+ES162=0,"à affecter",IF(ER162=0,ES162&amp;" ext.",(ER162+ES162)&amp;IF(ES162&gt;0," dont "&amp;ES162&amp;" ext.",""))&amp;IF(COUNTIFS($EN$4:$EN$503,EN162,$EM$4:$EM$503,"Non affecté")&gt;0," + à affecter","")),"")</f>
        <v/>
      </c>
      <c r="EU162" s="170" t="str">
        <f>IF(EO162=1,IF(EP162&gt;0,SUMPRODUCT(($EN$4:$EN$503=EN162)*$E$4:$E$503*$C$4:$C$503)/EP162,AVERAGEIF($EN$4:$EN$503,EN162,$C$4:$C$503)),"")</f>
        <v/>
      </c>
      <c r="EV162" s="165">
        <f>IF(ISNUMBER(I162),I162,2958465)</f>
        <v>2958465.0</v>
      </c>
      <c r="EW162" s="165" t="str">
        <f>IF(EO162=1,SUMPRODUCT(MIN(($EN$4:$EN$503=EN162)*$EV$4:$EV$503+($EN$4:$EN$503&lt;&gt;EN162)*2958465)),"")</f>
        <v/>
      </c>
      <c r="EX162" s="165">
        <f>IF(AND(D162=1,ISNUMBER(INDEX(Charge!$F:$F,ROW()))),INDEX(Charge!$F:$F,ROW()),0)</f>
        <v>0.0</v>
      </c>
      <c r="EY162" s="165" t="str">
        <f>IF(EO162=1,SUMPRODUCT(MAX(($EN$4:$EN$503=EN162)*$EX$4:$EX$503)),"")</f>
        <v/>
      </c>
      <c r="FA162" t="str">
        <f>IF(159&lt;=$CD$23,INDEX($EJ$4:$EJ$203,159),IF(159-$CD$23&lt;=$CD$26,INDEX($EK$4:$EK$203,159-$CD$23),""))</f>
        <v/>
      </c>
      <c r="FB162" t="str">
        <f>IF(FA162="","",IF(159&lt;=$CD$23,"Interne","Externe"))</f>
        <v/>
      </c>
      <c r="FD162">
        <f>IF(AND(B162=1,TRIM(INDEX(Charge!$K:$K,ROW()))&lt;&gt;"",TRIM(INDEX(Charge!$L:$L,ROW()))&lt;&gt;""),1,0)</f>
        <v>0</v>
      </c>
      <c r="FE162">
        <f>IF(OR(EN162="",BZ162="(non affecté)"),0,IF(COUNTIFS($EN$4:EN162,EN162,$BZ$4:BZ162,BZ162)=1,1,0))</f>
        <v>0</v>
      </c>
    </row>
    <row r="163">
      <c r="A163">
        <f>ROW()</f>
        <v>163</v>
      </c>
      <c r="B163">
        <f>IF(TRIM(INDEX(Charge!$B:$B,ROW()))&lt;&gt;"",1,0)</f>
        <v>0</v>
      </c>
      <c r="C163">
        <f>IF(B163=1,MIN(1,MAX(0,N(INDEX(Charge!$O:$O,ROW())))),0)</f>
        <v>0</v>
      </c>
      <c r="D163">
        <f>IF(B163=1,IF(OR(p_Perimetre="Tous les projets",C163&lt;1),1,0),0)</f>
        <v>0</v>
      </c>
      <c r="E163">
        <f>IF(D163=1,MAX(0,N(INDEX(Charge!$M:$M,ROW()))),0)</f>
        <v>0</v>
      </c>
      <c r="F163" t="str">
        <f>IF(D163=1,IF(TRIM(INDEX(Charge!$A:$A,ROW()))="","(non renseigné)",TRIM(INDEX(Charge!$A:$A,ROW()))),"")</f>
        <v/>
      </c>
      <c r="G163" t="str">
        <f>IF(D163=1,TRIM(INDEX(Charge!$B:$B,ROW())),"")</f>
        <v/>
      </c>
      <c r="H163" t="str">
        <f>IF(D163=1,IF(TRIM(INDEX(Charge!$E:$E,ROW()))="","(non renseigné)",TRIM(INDEX(Charge!$E:$E,ROW()))),"")</f>
        <v/>
      </c>
      <c r="I163" s="165" t="str">
        <f>IF(AND(D163=1,ISNUMBER(INDEX(Charge!$N:$N,ROW()))),INDEX(Charge!$N:$N,ROW()),"")</f>
        <v/>
      </c>
      <c r="J163" s="165" t="str">
        <f>IF(I163="","",IF(AND(p_Repartition="Lissée jusqu'à la date de besoin",ISNUMBER(INDEX(Charge!$F:$F,ROW()))),IF(INDEX(Charge!$F:$F,ROW())&gt;=I163,INDEX(Charge!$F:$F,ROW()),I163),I163))</f>
        <v/>
      </c>
      <c r="K163" t="str">
        <f>IF(I163="","",NETWORKDAYS(I163,J163,Data!$K$4:$K$203))</f>
        <v/>
      </c>
      <c r="L163" t="str">
        <f>IF(D163=1,COUNTIFS($D$4:$D$503,1,$E$4:$E$503,"&gt;"&amp;E163)+COUNTIFS($D$4:$D163,1,$E$4:$E163,E163),"")</f>
        <v/>
      </c>
      <c r="M163">
        <f>IF(F163="",0,IF(COUNTIF($F$4:F163,F163)=1,1,0))</f>
        <v>0</v>
      </c>
      <c r="N163" t="str">
        <f>IF(M163=1,ROUND(SUMIF($F$4:$F$503,F163,$E$4:$E$503),2),"")</f>
        <v/>
      </c>
      <c r="O163" t="str">
        <f>IF(M163=1,COUNTIFS($M$4:$M$503,1,$N$4:$N$503,"&gt;"&amp;N163)+COUNTIFS($M$4:M163,1,$N$4:N163,N163),"")</f>
        <v/>
      </c>
      <c r="P163">
        <f>IF(G163="",0,IF(COUNTIF($G$4:G163,G163)=1,1,0))</f>
        <v>0</v>
      </c>
      <c r="Q163" t="str">
        <f>IF(P163=1,ROUND(SUMIF($G$4:$G$503,G163,$E$4:$E$503),2),"")</f>
        <v/>
      </c>
      <c r="R163" t="str">
        <f>IF(P163=1,COUNTIFS($P$4:$P$503,1,$Q$4:$Q$503,"&gt;"&amp;Q163)+COUNTIFS($P$4:P163,1,$Q$4:Q163,Q163),"")</f>
        <v/>
      </c>
      <c r="S163">
        <f>IF(H163="",0,IF(COUNTIF($H$4:H163,H163)=1,1,0))</f>
        <v>0</v>
      </c>
      <c r="T163" t="str">
        <f>IF(S163=1,ROUND(SUMIF($H$4:$H$503,H163,$E$4:$E$503),2),"")</f>
        <v/>
      </c>
      <c r="U163" t="str">
        <f>IF(S163=1,COUNTIFS($S$4:$S$503,1,$T$4:$T$503,"&gt;"&amp;T163)+COUNTIFS($S$4:S163,1,$T$4:T163,T163),"")</f>
        <v/>
      </c>
      <c r="V163" t="str">
        <f>IF(D163=1,MIN(INDEX($R$4:$R$503,MATCH(G163,$G$4:$G$503,0)),IF($AL$7&gt;9,9,999)),"")</f>
        <v/>
      </c>
      <c r="W163" s="166">
        <f>IF(OR($I163="",$E163=0),0,IF(OR($J163&lt;W$3,$I163&gt;W$2),0,IF($K163=0,IF(AND($I163&gt;=W$3,$I163&lt;=W$2),$E163,0),$E163*NETWORKDAYS(MAX($I163,W$3),MIN($J163,W$2),Data!$K$4:$K$203)/$K163)))</f>
        <v>0</v>
      </c>
      <c r="X163" s="166">
        <f>IF(OR($I163="",$E163=0),0,IF(OR($J163&lt;X$3,$I163&gt;X$2),0,IF($K163=0,IF(AND($I163&gt;=X$3,$I163&lt;=X$2),$E163,0),$E163*NETWORKDAYS(MAX($I163,X$3),MIN($J163,X$2),Data!$K$4:$K$203)/$K163)))</f>
        <v>0</v>
      </c>
      <c r="Y163" s="166">
        <f>IF(OR($I163="",$E163=0),0,IF(OR($J163&lt;Y$3,$I163&gt;Y$2),0,IF($K163=0,IF(AND($I163&gt;=Y$3,$I163&lt;=Y$2),$E163,0),$E163*NETWORKDAYS(MAX($I163,Y$3),MIN($J163,Y$2),Data!$K$4:$K$203)/$K163)))</f>
        <v>0</v>
      </c>
      <c r="Z163" s="166">
        <f>IF(OR($I163="",$E163=0),0,IF(OR($J163&lt;Z$3,$I163&gt;Z$2),0,IF($K163=0,IF(AND($I163&gt;=Z$3,$I163&lt;=Z$2),$E163,0),$E163*NETWORKDAYS(MAX($I163,Z$3),MIN($J163,Z$2),Data!$K$4:$K$203)/$K163)))</f>
        <v>0</v>
      </c>
      <c r="AA163" s="166">
        <f>IF(OR($I163="",$E163=0),0,IF(OR($J163&lt;AA$3,$I163&gt;AA$2),0,IF($K163=0,IF(AND($I163&gt;=AA$3,$I163&lt;=AA$2),$E163,0),$E163*NETWORKDAYS(MAX($I163,AA$3),MIN($J163,AA$2),Data!$K$4:$K$203)/$K163)))</f>
        <v>0</v>
      </c>
      <c r="AB163" s="166">
        <f>IF(OR($I163="",$E163=0),0,IF(OR($J163&lt;AB$3,$I163&gt;AB$2),0,IF($K163=0,IF(AND($I163&gt;=AB$3,$I163&lt;=AB$2),$E163,0),$E163*NETWORKDAYS(MAX($I163,AB$3),MIN($J163,AB$2),Data!$K$4:$K$203)/$K163)))</f>
        <v>0</v>
      </c>
      <c r="AC163" s="166">
        <f>IF(OR($I163="",$E163=0),0,IF(OR($J163&lt;AC$3,$I163&gt;AC$2),0,IF($K163=0,IF(AND($I163&gt;=AC$3,$I163&lt;=AC$2),$E163,0),$E163*NETWORKDAYS(MAX($I163,AC$3),MIN($J163,AC$2),Data!$K$4:$K$203)/$K163)))</f>
        <v>0</v>
      </c>
      <c r="AD163" s="166">
        <f>IF(OR($I163="",$E163=0),0,IF(OR($J163&lt;AD$3,$I163&gt;AD$2),0,IF($K163=0,IF(AND($I163&gt;=AD$3,$I163&lt;=AD$2),$E163,0),$E163*NETWORKDAYS(MAX($I163,AD$3),MIN($J163,AD$2),Data!$K$4:$K$203)/$K163)))</f>
        <v>0</v>
      </c>
      <c r="AE163" s="166">
        <f>IF(OR($I163="",$E163=0),0,IF(OR($J163&lt;AE$3,$I163&gt;AE$2),0,IF($K163=0,IF(AND($I163&gt;=AE$3,$I163&lt;=AE$2),$E163,0),$E163*NETWORKDAYS(MAX($I163,AE$3),MIN($J163,AE$2),Data!$K$4:$K$203)/$K163)))</f>
        <v>0</v>
      </c>
      <c r="AF163" s="166">
        <f>IF(OR($I163="",$E163=0),0,IF(OR($J163&lt;AF$3,$I163&gt;AF$2),0,IF($K163=0,IF(AND($I163&gt;=AF$3,$I163&lt;=AF$2),$E163,0),$E163*NETWORKDAYS(MAX($I163,AF$3),MIN($J163,AF$2),Data!$K$4:$K$203)/$K163)))</f>
        <v>0</v>
      </c>
      <c r="AG163" s="166">
        <f>IF(OR($I163="",$E163=0),0,IF(OR($J163&lt;AG$3,$I163&gt;AG$2),0,IF($K163=0,IF(AND($I163&gt;=AG$3,$I163&lt;=AG$2),$E163,0),$E163*NETWORKDAYS(MAX($I163,AG$3),MIN($J163,AG$2),Data!$K$4:$K$203)/$K163)))</f>
        <v>0</v>
      </c>
      <c r="AH163" s="166">
        <f>IF(OR($I163="",$E163=0),0,IF(OR($J163&lt;AH$3,$I163&gt;AH$2),0,IF($K163=0,IF(AND($I163&gt;=AH$3,$I163&lt;=AH$2),$E163,0),$E163*NETWORKDAYS(MAX($I163,AH$3),MIN($J163,AH$2),Data!$K$4:$K$203)/$K163)))</f>
        <v>0</v>
      </c>
      <c r="AI163" s="166">
        <f>SUM(W163:AH163)</f>
        <v>0</v>
      </c>
      <c r="BZ163" t="str">
        <f>IF(D163=1,IF(TRIM(INDEX(Charge!$K:$K,ROW()))&lt;&gt;"",TRIM(INDEX(Charge!$K:$K,ROW())),IF(TRIM(INDEX(Charge!$L:$L,ROW()))&lt;&gt;"",TRIM(INDEX(Charge!$L:$L,ROW())),"(non affecté)")),"")</f>
        <v/>
      </c>
      <c r="CA163" t="str">
        <f>IF(AND($CD$4&lt;&gt;"",BZ163=$CD$4),COUNTIFS($BZ$4:$BZ$503,$CD$4,$L$4:$L$503,"&lt;"&amp;L163)+1,"")</f>
        <v/>
      </c>
      <c r="EJ163" t="str">
        <f>TRIM(INDEX(Data!$E:$E,ROW()))</f>
        <v/>
      </c>
      <c r="EK163" t="str">
        <f>TRIM(INDEX(Data!$H:$H,ROW()))</f>
        <v/>
      </c>
      <c r="EM163" t="str">
        <f>IF(D163=1,IF(TRIM(INDEX(Charge!$K:$K,ROW()))&lt;&gt;"","Interne",IF(TRIM(INDEX(Charge!$L:$L,ROW()))&lt;&gt;"","Externe","Non affecté")),"")</f>
        <v/>
      </c>
      <c r="EN163" t="str">
        <f>IF(D163=1,LEFT(SUBSTITUTE(SUBSTITUTE(SUBSTITUTE(TRIM(SUBSTITUTE(INDEX(Charge!$B:$B,ROW()),CHAR(160)," "))&amp;" | "&amp;TRIM(SUBSTITUTE(INDEX(Charge!$C:$C,ROW()),CHAR(160)," "))&amp;" | "&amp;TRIM(SUBSTITUTE(INDEX(Charge!$D:$D,ROW()),CHAR(160)," ")),"~","-"),"*","+"),"?","!"),240),"")</f>
        <v/>
      </c>
      <c r="EO163">
        <f>IF(EN163="",0,IF(COUNTIF($EN$4:EN163,EN163)=1,1,0))</f>
        <v>0</v>
      </c>
      <c r="EP163" s="166" t="str">
        <f>IF(EO163=1,ROUND(SUMIF($EN$4:$EN$503,EN163,$E$4:$E$503),2),"")</f>
        <v/>
      </c>
      <c r="EQ163" t="str">
        <f>IF(EO163=1,COUNTIFS($EO$4:$EO$503,1,$EP$4:$EP$503,"&gt;"&amp;EP163)+COUNTIFS($EO$4:EO163,1,$EP$4:EP163,EP163),"")</f>
        <v/>
      </c>
      <c r="ER163" t="str">
        <f>IF(EO163=1,COUNTIFS($EN$4:$EN$503,EN163,$EM$4:$EM$503,"Interne",$FE$4:$FE$503,1),"")</f>
        <v/>
      </c>
      <c r="ES163" t="str">
        <f>IF(EO163=1,COUNTIFS($EN$4:$EN$503,EN163,$EM$4:$EM$503,"Externe",$FE$4:$FE$503,1),"")</f>
        <v/>
      </c>
      <c r="ET163" t="str">
        <f>IF(EO163=1,IF(ER163+ES163=0,"à affecter",IF(ER163=0,ES163&amp;" ext.",(ER163+ES163)&amp;IF(ES163&gt;0," dont "&amp;ES163&amp;" ext.",""))&amp;IF(COUNTIFS($EN$4:$EN$503,EN163,$EM$4:$EM$503,"Non affecté")&gt;0," + à affecter","")),"")</f>
        <v/>
      </c>
      <c r="EU163" s="170" t="str">
        <f>IF(EO163=1,IF(EP163&gt;0,SUMPRODUCT(($EN$4:$EN$503=EN163)*$E$4:$E$503*$C$4:$C$503)/EP163,AVERAGEIF($EN$4:$EN$503,EN163,$C$4:$C$503)),"")</f>
        <v/>
      </c>
      <c r="EV163" s="165">
        <f>IF(ISNUMBER(I163),I163,2958465)</f>
        <v>2958465.0</v>
      </c>
      <c r="EW163" s="165" t="str">
        <f>IF(EO163=1,SUMPRODUCT(MIN(($EN$4:$EN$503=EN163)*$EV$4:$EV$503+($EN$4:$EN$503&lt;&gt;EN163)*2958465)),"")</f>
        <v/>
      </c>
      <c r="EX163" s="165">
        <f>IF(AND(D163=1,ISNUMBER(INDEX(Charge!$F:$F,ROW()))),INDEX(Charge!$F:$F,ROW()),0)</f>
        <v>0.0</v>
      </c>
      <c r="EY163" s="165" t="str">
        <f>IF(EO163=1,SUMPRODUCT(MAX(($EN$4:$EN$503=EN163)*$EX$4:$EX$503)),"")</f>
        <v/>
      </c>
      <c r="FA163" t="str">
        <f>IF(160&lt;=$CD$23,INDEX($EJ$4:$EJ$203,160),IF(160-$CD$23&lt;=$CD$26,INDEX($EK$4:$EK$203,160-$CD$23),""))</f>
        <v/>
      </c>
      <c r="FB163" t="str">
        <f>IF(FA163="","",IF(160&lt;=$CD$23,"Interne","Externe"))</f>
        <v/>
      </c>
      <c r="FD163">
        <f>IF(AND(B163=1,TRIM(INDEX(Charge!$K:$K,ROW()))&lt;&gt;"",TRIM(INDEX(Charge!$L:$L,ROW()))&lt;&gt;""),1,0)</f>
        <v>0</v>
      </c>
      <c r="FE163">
        <f>IF(OR(EN163="",BZ163="(non affecté)"),0,IF(COUNTIFS($EN$4:EN163,EN163,$BZ$4:BZ163,BZ163)=1,1,0))</f>
        <v>0</v>
      </c>
    </row>
    <row r="164">
      <c r="A164">
        <f>ROW()</f>
        <v>164</v>
      </c>
      <c r="B164">
        <f>IF(TRIM(INDEX(Charge!$B:$B,ROW()))&lt;&gt;"",1,0)</f>
        <v>0</v>
      </c>
      <c r="C164">
        <f>IF(B164=1,MIN(1,MAX(0,N(INDEX(Charge!$O:$O,ROW())))),0)</f>
        <v>0</v>
      </c>
      <c r="D164">
        <f>IF(B164=1,IF(OR(p_Perimetre="Tous les projets",C164&lt;1),1,0),0)</f>
        <v>0</v>
      </c>
      <c r="E164">
        <f>IF(D164=1,MAX(0,N(INDEX(Charge!$M:$M,ROW()))),0)</f>
        <v>0</v>
      </c>
      <c r="F164" t="str">
        <f>IF(D164=1,IF(TRIM(INDEX(Charge!$A:$A,ROW()))="","(non renseigné)",TRIM(INDEX(Charge!$A:$A,ROW()))),"")</f>
        <v/>
      </c>
      <c r="G164" t="str">
        <f>IF(D164=1,TRIM(INDEX(Charge!$B:$B,ROW())),"")</f>
        <v/>
      </c>
      <c r="H164" t="str">
        <f>IF(D164=1,IF(TRIM(INDEX(Charge!$E:$E,ROW()))="","(non renseigné)",TRIM(INDEX(Charge!$E:$E,ROW()))),"")</f>
        <v/>
      </c>
      <c r="I164" s="165" t="str">
        <f>IF(AND(D164=1,ISNUMBER(INDEX(Charge!$N:$N,ROW()))),INDEX(Charge!$N:$N,ROW()),"")</f>
        <v/>
      </c>
      <c r="J164" s="165" t="str">
        <f>IF(I164="","",IF(AND(p_Repartition="Lissée jusqu'à la date de besoin",ISNUMBER(INDEX(Charge!$F:$F,ROW()))),IF(INDEX(Charge!$F:$F,ROW())&gt;=I164,INDEX(Charge!$F:$F,ROW()),I164),I164))</f>
        <v/>
      </c>
      <c r="K164" t="str">
        <f>IF(I164="","",NETWORKDAYS(I164,J164,Data!$K$4:$K$203))</f>
        <v/>
      </c>
      <c r="L164" t="str">
        <f>IF(D164=1,COUNTIFS($D$4:$D$503,1,$E$4:$E$503,"&gt;"&amp;E164)+COUNTIFS($D$4:$D164,1,$E$4:$E164,E164),"")</f>
        <v/>
      </c>
      <c r="M164">
        <f>IF(F164="",0,IF(COUNTIF($F$4:F164,F164)=1,1,0))</f>
        <v>0</v>
      </c>
      <c r="N164" t="str">
        <f>IF(M164=1,ROUND(SUMIF($F$4:$F$503,F164,$E$4:$E$503),2),"")</f>
        <v/>
      </c>
      <c r="O164" t="str">
        <f>IF(M164=1,COUNTIFS($M$4:$M$503,1,$N$4:$N$503,"&gt;"&amp;N164)+COUNTIFS($M$4:M164,1,$N$4:N164,N164),"")</f>
        <v/>
      </c>
      <c r="P164">
        <f>IF(G164="",0,IF(COUNTIF($G$4:G164,G164)=1,1,0))</f>
        <v>0</v>
      </c>
      <c r="Q164" t="str">
        <f>IF(P164=1,ROUND(SUMIF($G$4:$G$503,G164,$E$4:$E$503),2),"")</f>
        <v/>
      </c>
      <c r="R164" t="str">
        <f>IF(P164=1,COUNTIFS($P$4:$P$503,1,$Q$4:$Q$503,"&gt;"&amp;Q164)+COUNTIFS($P$4:P164,1,$Q$4:Q164,Q164),"")</f>
        <v/>
      </c>
      <c r="S164">
        <f>IF(H164="",0,IF(COUNTIF($H$4:H164,H164)=1,1,0))</f>
        <v>0</v>
      </c>
      <c r="T164" t="str">
        <f>IF(S164=1,ROUND(SUMIF($H$4:$H$503,H164,$E$4:$E$503),2),"")</f>
        <v/>
      </c>
      <c r="U164" t="str">
        <f>IF(S164=1,COUNTIFS($S$4:$S$503,1,$T$4:$T$503,"&gt;"&amp;T164)+COUNTIFS($S$4:S164,1,$T$4:T164,T164),"")</f>
        <v/>
      </c>
      <c r="V164" t="str">
        <f>IF(D164=1,MIN(INDEX($R$4:$R$503,MATCH(G164,$G$4:$G$503,0)),IF($AL$7&gt;9,9,999)),"")</f>
        <v/>
      </c>
      <c r="W164" s="166">
        <f>IF(OR($I164="",$E164=0),0,IF(OR($J164&lt;W$3,$I164&gt;W$2),0,IF($K164=0,IF(AND($I164&gt;=W$3,$I164&lt;=W$2),$E164,0),$E164*NETWORKDAYS(MAX($I164,W$3),MIN($J164,W$2),Data!$K$4:$K$203)/$K164)))</f>
        <v>0</v>
      </c>
      <c r="X164" s="166">
        <f>IF(OR($I164="",$E164=0),0,IF(OR($J164&lt;X$3,$I164&gt;X$2),0,IF($K164=0,IF(AND($I164&gt;=X$3,$I164&lt;=X$2),$E164,0),$E164*NETWORKDAYS(MAX($I164,X$3),MIN($J164,X$2),Data!$K$4:$K$203)/$K164)))</f>
        <v>0</v>
      </c>
      <c r="Y164" s="166">
        <f>IF(OR($I164="",$E164=0),0,IF(OR($J164&lt;Y$3,$I164&gt;Y$2),0,IF($K164=0,IF(AND($I164&gt;=Y$3,$I164&lt;=Y$2),$E164,0),$E164*NETWORKDAYS(MAX($I164,Y$3),MIN($J164,Y$2),Data!$K$4:$K$203)/$K164)))</f>
        <v>0</v>
      </c>
      <c r="Z164" s="166">
        <f>IF(OR($I164="",$E164=0),0,IF(OR($J164&lt;Z$3,$I164&gt;Z$2),0,IF($K164=0,IF(AND($I164&gt;=Z$3,$I164&lt;=Z$2),$E164,0),$E164*NETWORKDAYS(MAX($I164,Z$3),MIN($J164,Z$2),Data!$K$4:$K$203)/$K164)))</f>
        <v>0</v>
      </c>
      <c r="AA164" s="166">
        <f>IF(OR($I164="",$E164=0),0,IF(OR($J164&lt;AA$3,$I164&gt;AA$2),0,IF($K164=0,IF(AND($I164&gt;=AA$3,$I164&lt;=AA$2),$E164,0),$E164*NETWORKDAYS(MAX($I164,AA$3),MIN($J164,AA$2),Data!$K$4:$K$203)/$K164)))</f>
        <v>0</v>
      </c>
      <c r="AB164" s="166">
        <f>IF(OR($I164="",$E164=0),0,IF(OR($J164&lt;AB$3,$I164&gt;AB$2),0,IF($K164=0,IF(AND($I164&gt;=AB$3,$I164&lt;=AB$2),$E164,0),$E164*NETWORKDAYS(MAX($I164,AB$3),MIN($J164,AB$2),Data!$K$4:$K$203)/$K164)))</f>
        <v>0</v>
      </c>
      <c r="AC164" s="166">
        <f>IF(OR($I164="",$E164=0),0,IF(OR($J164&lt;AC$3,$I164&gt;AC$2),0,IF($K164=0,IF(AND($I164&gt;=AC$3,$I164&lt;=AC$2),$E164,0),$E164*NETWORKDAYS(MAX($I164,AC$3),MIN($J164,AC$2),Data!$K$4:$K$203)/$K164)))</f>
        <v>0</v>
      </c>
      <c r="AD164" s="166">
        <f>IF(OR($I164="",$E164=0),0,IF(OR($J164&lt;AD$3,$I164&gt;AD$2),0,IF($K164=0,IF(AND($I164&gt;=AD$3,$I164&lt;=AD$2),$E164,0),$E164*NETWORKDAYS(MAX($I164,AD$3),MIN($J164,AD$2),Data!$K$4:$K$203)/$K164)))</f>
        <v>0</v>
      </c>
      <c r="AE164" s="166">
        <f>IF(OR($I164="",$E164=0),0,IF(OR($J164&lt;AE$3,$I164&gt;AE$2),0,IF($K164=0,IF(AND($I164&gt;=AE$3,$I164&lt;=AE$2),$E164,0),$E164*NETWORKDAYS(MAX($I164,AE$3),MIN($J164,AE$2),Data!$K$4:$K$203)/$K164)))</f>
        <v>0</v>
      </c>
      <c r="AF164" s="166">
        <f>IF(OR($I164="",$E164=0),0,IF(OR($J164&lt;AF$3,$I164&gt;AF$2),0,IF($K164=0,IF(AND($I164&gt;=AF$3,$I164&lt;=AF$2),$E164,0),$E164*NETWORKDAYS(MAX($I164,AF$3),MIN($J164,AF$2),Data!$K$4:$K$203)/$K164)))</f>
        <v>0</v>
      </c>
      <c r="AG164" s="166">
        <f>IF(OR($I164="",$E164=0),0,IF(OR($J164&lt;AG$3,$I164&gt;AG$2),0,IF($K164=0,IF(AND($I164&gt;=AG$3,$I164&lt;=AG$2),$E164,0),$E164*NETWORKDAYS(MAX($I164,AG$3),MIN($J164,AG$2),Data!$K$4:$K$203)/$K164)))</f>
        <v>0</v>
      </c>
      <c r="AH164" s="166">
        <f>IF(OR($I164="",$E164=0),0,IF(OR($J164&lt;AH$3,$I164&gt;AH$2),0,IF($K164=0,IF(AND($I164&gt;=AH$3,$I164&lt;=AH$2),$E164,0),$E164*NETWORKDAYS(MAX($I164,AH$3),MIN($J164,AH$2),Data!$K$4:$K$203)/$K164)))</f>
        <v>0</v>
      </c>
      <c r="AI164" s="166">
        <f>SUM(W164:AH164)</f>
        <v>0</v>
      </c>
      <c r="BZ164" t="str">
        <f>IF(D164=1,IF(TRIM(INDEX(Charge!$K:$K,ROW()))&lt;&gt;"",TRIM(INDEX(Charge!$K:$K,ROW())),IF(TRIM(INDEX(Charge!$L:$L,ROW()))&lt;&gt;"",TRIM(INDEX(Charge!$L:$L,ROW())),"(non affecté)")),"")</f>
        <v/>
      </c>
      <c r="CA164" t="str">
        <f>IF(AND($CD$4&lt;&gt;"",BZ164=$CD$4),COUNTIFS($BZ$4:$BZ$503,$CD$4,$L$4:$L$503,"&lt;"&amp;L164)+1,"")</f>
        <v/>
      </c>
      <c r="EJ164" t="str">
        <f>TRIM(INDEX(Data!$E:$E,ROW()))</f>
        <v/>
      </c>
      <c r="EK164" t="str">
        <f>TRIM(INDEX(Data!$H:$H,ROW()))</f>
        <v/>
      </c>
      <c r="EM164" t="str">
        <f>IF(D164=1,IF(TRIM(INDEX(Charge!$K:$K,ROW()))&lt;&gt;"","Interne",IF(TRIM(INDEX(Charge!$L:$L,ROW()))&lt;&gt;"","Externe","Non affecté")),"")</f>
        <v/>
      </c>
      <c r="EN164" t="str">
        <f>IF(D164=1,LEFT(SUBSTITUTE(SUBSTITUTE(SUBSTITUTE(TRIM(SUBSTITUTE(INDEX(Charge!$B:$B,ROW()),CHAR(160)," "))&amp;" | "&amp;TRIM(SUBSTITUTE(INDEX(Charge!$C:$C,ROW()),CHAR(160)," "))&amp;" | "&amp;TRIM(SUBSTITUTE(INDEX(Charge!$D:$D,ROW()),CHAR(160)," ")),"~","-"),"*","+"),"?","!"),240),"")</f>
        <v/>
      </c>
      <c r="EO164">
        <f>IF(EN164="",0,IF(COUNTIF($EN$4:EN164,EN164)=1,1,0))</f>
        <v>0</v>
      </c>
      <c r="EP164" s="166" t="str">
        <f>IF(EO164=1,ROUND(SUMIF($EN$4:$EN$503,EN164,$E$4:$E$503),2),"")</f>
        <v/>
      </c>
      <c r="EQ164" t="str">
        <f>IF(EO164=1,COUNTIFS($EO$4:$EO$503,1,$EP$4:$EP$503,"&gt;"&amp;EP164)+COUNTIFS($EO$4:EO164,1,$EP$4:EP164,EP164),"")</f>
        <v/>
      </c>
      <c r="ER164" t="str">
        <f>IF(EO164=1,COUNTIFS($EN$4:$EN$503,EN164,$EM$4:$EM$503,"Interne",$FE$4:$FE$503,1),"")</f>
        <v/>
      </c>
      <c r="ES164" t="str">
        <f>IF(EO164=1,COUNTIFS($EN$4:$EN$503,EN164,$EM$4:$EM$503,"Externe",$FE$4:$FE$503,1),"")</f>
        <v/>
      </c>
      <c r="ET164" t="str">
        <f>IF(EO164=1,IF(ER164+ES164=0,"à affecter",IF(ER164=0,ES164&amp;" ext.",(ER164+ES164)&amp;IF(ES164&gt;0," dont "&amp;ES164&amp;" ext.",""))&amp;IF(COUNTIFS($EN$4:$EN$503,EN164,$EM$4:$EM$503,"Non affecté")&gt;0," + à affecter","")),"")</f>
        <v/>
      </c>
      <c r="EU164" s="170" t="str">
        <f>IF(EO164=1,IF(EP164&gt;0,SUMPRODUCT(($EN$4:$EN$503=EN164)*$E$4:$E$503*$C$4:$C$503)/EP164,AVERAGEIF($EN$4:$EN$503,EN164,$C$4:$C$503)),"")</f>
        <v/>
      </c>
      <c r="EV164" s="165">
        <f>IF(ISNUMBER(I164),I164,2958465)</f>
        <v>2958465.0</v>
      </c>
      <c r="EW164" s="165" t="str">
        <f>IF(EO164=1,SUMPRODUCT(MIN(($EN$4:$EN$503=EN164)*$EV$4:$EV$503+($EN$4:$EN$503&lt;&gt;EN164)*2958465)),"")</f>
        <v/>
      </c>
      <c r="EX164" s="165">
        <f>IF(AND(D164=1,ISNUMBER(INDEX(Charge!$F:$F,ROW()))),INDEX(Charge!$F:$F,ROW()),0)</f>
        <v>0.0</v>
      </c>
      <c r="EY164" s="165" t="str">
        <f>IF(EO164=1,SUMPRODUCT(MAX(($EN$4:$EN$503=EN164)*$EX$4:$EX$503)),"")</f>
        <v/>
      </c>
      <c r="FA164" t="str">
        <f>IF(161&lt;=$CD$23,INDEX($EJ$4:$EJ$203,161),IF(161-$CD$23&lt;=$CD$26,INDEX($EK$4:$EK$203,161-$CD$23),""))</f>
        <v/>
      </c>
      <c r="FB164" t="str">
        <f>IF(FA164="","",IF(161&lt;=$CD$23,"Interne","Externe"))</f>
        <v/>
      </c>
      <c r="FD164">
        <f>IF(AND(B164=1,TRIM(INDEX(Charge!$K:$K,ROW()))&lt;&gt;"",TRIM(INDEX(Charge!$L:$L,ROW()))&lt;&gt;""),1,0)</f>
        <v>0</v>
      </c>
      <c r="FE164">
        <f>IF(OR(EN164="",BZ164="(non affecté)"),0,IF(COUNTIFS($EN$4:EN164,EN164,$BZ$4:BZ164,BZ164)=1,1,0))</f>
        <v>0</v>
      </c>
    </row>
    <row r="165">
      <c r="A165">
        <f>ROW()</f>
        <v>165</v>
      </c>
      <c r="B165">
        <f>IF(TRIM(INDEX(Charge!$B:$B,ROW()))&lt;&gt;"",1,0)</f>
        <v>0</v>
      </c>
      <c r="C165">
        <f>IF(B165=1,MIN(1,MAX(0,N(INDEX(Charge!$O:$O,ROW())))),0)</f>
        <v>0</v>
      </c>
      <c r="D165">
        <f>IF(B165=1,IF(OR(p_Perimetre="Tous les projets",C165&lt;1),1,0),0)</f>
        <v>0</v>
      </c>
      <c r="E165">
        <f>IF(D165=1,MAX(0,N(INDEX(Charge!$M:$M,ROW()))),0)</f>
        <v>0</v>
      </c>
      <c r="F165" t="str">
        <f>IF(D165=1,IF(TRIM(INDEX(Charge!$A:$A,ROW()))="","(non renseigné)",TRIM(INDEX(Charge!$A:$A,ROW()))),"")</f>
        <v/>
      </c>
      <c r="G165" t="str">
        <f>IF(D165=1,TRIM(INDEX(Charge!$B:$B,ROW())),"")</f>
        <v/>
      </c>
      <c r="H165" t="str">
        <f>IF(D165=1,IF(TRIM(INDEX(Charge!$E:$E,ROW()))="","(non renseigné)",TRIM(INDEX(Charge!$E:$E,ROW()))),"")</f>
        <v/>
      </c>
      <c r="I165" s="165" t="str">
        <f>IF(AND(D165=1,ISNUMBER(INDEX(Charge!$N:$N,ROW()))),INDEX(Charge!$N:$N,ROW()),"")</f>
        <v/>
      </c>
      <c r="J165" s="165" t="str">
        <f>IF(I165="","",IF(AND(p_Repartition="Lissée jusqu'à la date de besoin",ISNUMBER(INDEX(Charge!$F:$F,ROW()))),IF(INDEX(Charge!$F:$F,ROW())&gt;=I165,INDEX(Charge!$F:$F,ROW()),I165),I165))</f>
        <v/>
      </c>
      <c r="K165" t="str">
        <f>IF(I165="","",NETWORKDAYS(I165,J165,Data!$K$4:$K$203))</f>
        <v/>
      </c>
      <c r="L165" t="str">
        <f>IF(D165=1,COUNTIFS($D$4:$D$503,1,$E$4:$E$503,"&gt;"&amp;E165)+COUNTIFS($D$4:$D165,1,$E$4:$E165,E165),"")</f>
        <v/>
      </c>
      <c r="M165">
        <f>IF(F165="",0,IF(COUNTIF($F$4:F165,F165)=1,1,0))</f>
        <v>0</v>
      </c>
      <c r="N165" t="str">
        <f>IF(M165=1,ROUND(SUMIF($F$4:$F$503,F165,$E$4:$E$503),2),"")</f>
        <v/>
      </c>
      <c r="O165" t="str">
        <f>IF(M165=1,COUNTIFS($M$4:$M$503,1,$N$4:$N$503,"&gt;"&amp;N165)+COUNTIFS($M$4:M165,1,$N$4:N165,N165),"")</f>
        <v/>
      </c>
      <c r="P165">
        <f>IF(G165="",0,IF(COUNTIF($G$4:G165,G165)=1,1,0))</f>
        <v>0</v>
      </c>
      <c r="Q165" t="str">
        <f>IF(P165=1,ROUND(SUMIF($G$4:$G$503,G165,$E$4:$E$503),2),"")</f>
        <v/>
      </c>
      <c r="R165" t="str">
        <f>IF(P165=1,COUNTIFS($P$4:$P$503,1,$Q$4:$Q$503,"&gt;"&amp;Q165)+COUNTIFS($P$4:P165,1,$Q$4:Q165,Q165),"")</f>
        <v/>
      </c>
      <c r="S165">
        <f>IF(H165="",0,IF(COUNTIF($H$4:H165,H165)=1,1,0))</f>
        <v>0</v>
      </c>
      <c r="T165" t="str">
        <f>IF(S165=1,ROUND(SUMIF($H$4:$H$503,H165,$E$4:$E$503),2),"")</f>
        <v/>
      </c>
      <c r="U165" t="str">
        <f>IF(S165=1,COUNTIFS($S$4:$S$503,1,$T$4:$T$503,"&gt;"&amp;T165)+COUNTIFS($S$4:S165,1,$T$4:T165,T165),"")</f>
        <v/>
      </c>
      <c r="V165" t="str">
        <f>IF(D165=1,MIN(INDEX($R$4:$R$503,MATCH(G165,$G$4:$G$503,0)),IF($AL$7&gt;9,9,999)),"")</f>
        <v/>
      </c>
      <c r="W165" s="166">
        <f>IF(OR($I165="",$E165=0),0,IF(OR($J165&lt;W$3,$I165&gt;W$2),0,IF($K165=0,IF(AND($I165&gt;=W$3,$I165&lt;=W$2),$E165,0),$E165*NETWORKDAYS(MAX($I165,W$3),MIN($J165,W$2),Data!$K$4:$K$203)/$K165)))</f>
        <v>0</v>
      </c>
      <c r="X165" s="166">
        <f>IF(OR($I165="",$E165=0),0,IF(OR($J165&lt;X$3,$I165&gt;X$2),0,IF($K165=0,IF(AND($I165&gt;=X$3,$I165&lt;=X$2),$E165,0),$E165*NETWORKDAYS(MAX($I165,X$3),MIN($J165,X$2),Data!$K$4:$K$203)/$K165)))</f>
        <v>0</v>
      </c>
      <c r="Y165" s="166">
        <f>IF(OR($I165="",$E165=0),0,IF(OR($J165&lt;Y$3,$I165&gt;Y$2),0,IF($K165=0,IF(AND($I165&gt;=Y$3,$I165&lt;=Y$2),$E165,0),$E165*NETWORKDAYS(MAX($I165,Y$3),MIN($J165,Y$2),Data!$K$4:$K$203)/$K165)))</f>
        <v>0</v>
      </c>
      <c r="Z165" s="166">
        <f>IF(OR($I165="",$E165=0),0,IF(OR($J165&lt;Z$3,$I165&gt;Z$2),0,IF($K165=0,IF(AND($I165&gt;=Z$3,$I165&lt;=Z$2),$E165,0),$E165*NETWORKDAYS(MAX($I165,Z$3),MIN($J165,Z$2),Data!$K$4:$K$203)/$K165)))</f>
        <v>0</v>
      </c>
      <c r="AA165" s="166">
        <f>IF(OR($I165="",$E165=0),0,IF(OR($J165&lt;AA$3,$I165&gt;AA$2),0,IF($K165=0,IF(AND($I165&gt;=AA$3,$I165&lt;=AA$2),$E165,0),$E165*NETWORKDAYS(MAX($I165,AA$3),MIN($J165,AA$2),Data!$K$4:$K$203)/$K165)))</f>
        <v>0</v>
      </c>
      <c r="AB165" s="166">
        <f>IF(OR($I165="",$E165=0),0,IF(OR($J165&lt;AB$3,$I165&gt;AB$2),0,IF($K165=0,IF(AND($I165&gt;=AB$3,$I165&lt;=AB$2),$E165,0),$E165*NETWORKDAYS(MAX($I165,AB$3),MIN($J165,AB$2),Data!$K$4:$K$203)/$K165)))</f>
        <v>0</v>
      </c>
      <c r="AC165" s="166">
        <f>IF(OR($I165="",$E165=0),0,IF(OR($J165&lt;AC$3,$I165&gt;AC$2),0,IF($K165=0,IF(AND($I165&gt;=AC$3,$I165&lt;=AC$2),$E165,0),$E165*NETWORKDAYS(MAX($I165,AC$3),MIN($J165,AC$2),Data!$K$4:$K$203)/$K165)))</f>
        <v>0</v>
      </c>
      <c r="AD165" s="166">
        <f>IF(OR($I165="",$E165=0),0,IF(OR($J165&lt;AD$3,$I165&gt;AD$2),0,IF($K165=0,IF(AND($I165&gt;=AD$3,$I165&lt;=AD$2),$E165,0),$E165*NETWORKDAYS(MAX($I165,AD$3),MIN($J165,AD$2),Data!$K$4:$K$203)/$K165)))</f>
        <v>0</v>
      </c>
      <c r="AE165" s="166">
        <f>IF(OR($I165="",$E165=0),0,IF(OR($J165&lt;AE$3,$I165&gt;AE$2),0,IF($K165=0,IF(AND($I165&gt;=AE$3,$I165&lt;=AE$2),$E165,0),$E165*NETWORKDAYS(MAX($I165,AE$3),MIN($J165,AE$2),Data!$K$4:$K$203)/$K165)))</f>
        <v>0</v>
      </c>
      <c r="AF165" s="166">
        <f>IF(OR($I165="",$E165=0),0,IF(OR($J165&lt;AF$3,$I165&gt;AF$2),0,IF($K165=0,IF(AND($I165&gt;=AF$3,$I165&lt;=AF$2),$E165,0),$E165*NETWORKDAYS(MAX($I165,AF$3),MIN($J165,AF$2),Data!$K$4:$K$203)/$K165)))</f>
        <v>0</v>
      </c>
      <c r="AG165" s="166">
        <f>IF(OR($I165="",$E165=0),0,IF(OR($J165&lt;AG$3,$I165&gt;AG$2),0,IF($K165=0,IF(AND($I165&gt;=AG$3,$I165&lt;=AG$2),$E165,0),$E165*NETWORKDAYS(MAX($I165,AG$3),MIN($J165,AG$2),Data!$K$4:$K$203)/$K165)))</f>
        <v>0</v>
      </c>
      <c r="AH165" s="166">
        <f>IF(OR($I165="",$E165=0),0,IF(OR($J165&lt;AH$3,$I165&gt;AH$2),0,IF($K165=0,IF(AND($I165&gt;=AH$3,$I165&lt;=AH$2),$E165,0),$E165*NETWORKDAYS(MAX($I165,AH$3),MIN($J165,AH$2),Data!$K$4:$K$203)/$K165)))</f>
        <v>0</v>
      </c>
      <c r="AI165" s="166">
        <f>SUM(W165:AH165)</f>
        <v>0</v>
      </c>
      <c r="BZ165" t="str">
        <f>IF(D165=1,IF(TRIM(INDEX(Charge!$K:$K,ROW()))&lt;&gt;"",TRIM(INDEX(Charge!$K:$K,ROW())),IF(TRIM(INDEX(Charge!$L:$L,ROW()))&lt;&gt;"",TRIM(INDEX(Charge!$L:$L,ROW())),"(non affecté)")),"")</f>
        <v/>
      </c>
      <c r="CA165" t="str">
        <f>IF(AND($CD$4&lt;&gt;"",BZ165=$CD$4),COUNTIFS($BZ$4:$BZ$503,$CD$4,$L$4:$L$503,"&lt;"&amp;L165)+1,"")</f>
        <v/>
      </c>
      <c r="EJ165" t="str">
        <f>TRIM(INDEX(Data!$E:$E,ROW()))</f>
        <v/>
      </c>
      <c r="EK165" t="str">
        <f>TRIM(INDEX(Data!$H:$H,ROW()))</f>
        <v/>
      </c>
      <c r="EM165" t="str">
        <f>IF(D165=1,IF(TRIM(INDEX(Charge!$K:$K,ROW()))&lt;&gt;"","Interne",IF(TRIM(INDEX(Charge!$L:$L,ROW()))&lt;&gt;"","Externe","Non affecté")),"")</f>
        <v/>
      </c>
      <c r="EN165" t="str">
        <f>IF(D165=1,LEFT(SUBSTITUTE(SUBSTITUTE(SUBSTITUTE(TRIM(SUBSTITUTE(INDEX(Charge!$B:$B,ROW()),CHAR(160)," "))&amp;" | "&amp;TRIM(SUBSTITUTE(INDEX(Charge!$C:$C,ROW()),CHAR(160)," "))&amp;" | "&amp;TRIM(SUBSTITUTE(INDEX(Charge!$D:$D,ROW()),CHAR(160)," ")),"~","-"),"*","+"),"?","!"),240),"")</f>
        <v/>
      </c>
      <c r="EO165">
        <f>IF(EN165="",0,IF(COUNTIF($EN$4:EN165,EN165)=1,1,0))</f>
        <v>0</v>
      </c>
      <c r="EP165" s="166" t="str">
        <f>IF(EO165=1,ROUND(SUMIF($EN$4:$EN$503,EN165,$E$4:$E$503),2),"")</f>
        <v/>
      </c>
      <c r="EQ165" t="str">
        <f>IF(EO165=1,COUNTIFS($EO$4:$EO$503,1,$EP$4:$EP$503,"&gt;"&amp;EP165)+COUNTIFS($EO$4:EO165,1,$EP$4:EP165,EP165),"")</f>
        <v/>
      </c>
      <c r="ER165" t="str">
        <f>IF(EO165=1,COUNTIFS($EN$4:$EN$503,EN165,$EM$4:$EM$503,"Interne",$FE$4:$FE$503,1),"")</f>
        <v/>
      </c>
      <c r="ES165" t="str">
        <f>IF(EO165=1,COUNTIFS($EN$4:$EN$503,EN165,$EM$4:$EM$503,"Externe",$FE$4:$FE$503,1),"")</f>
        <v/>
      </c>
      <c r="ET165" t="str">
        <f>IF(EO165=1,IF(ER165+ES165=0,"à affecter",IF(ER165=0,ES165&amp;" ext.",(ER165+ES165)&amp;IF(ES165&gt;0," dont "&amp;ES165&amp;" ext.",""))&amp;IF(COUNTIFS($EN$4:$EN$503,EN165,$EM$4:$EM$503,"Non affecté")&gt;0," + à affecter","")),"")</f>
        <v/>
      </c>
      <c r="EU165" s="170" t="str">
        <f>IF(EO165=1,IF(EP165&gt;0,SUMPRODUCT(($EN$4:$EN$503=EN165)*$E$4:$E$503*$C$4:$C$503)/EP165,AVERAGEIF($EN$4:$EN$503,EN165,$C$4:$C$503)),"")</f>
        <v/>
      </c>
      <c r="EV165" s="165">
        <f>IF(ISNUMBER(I165),I165,2958465)</f>
        <v>2958465.0</v>
      </c>
      <c r="EW165" s="165" t="str">
        <f>IF(EO165=1,SUMPRODUCT(MIN(($EN$4:$EN$503=EN165)*$EV$4:$EV$503+($EN$4:$EN$503&lt;&gt;EN165)*2958465)),"")</f>
        <v/>
      </c>
      <c r="EX165" s="165">
        <f>IF(AND(D165=1,ISNUMBER(INDEX(Charge!$F:$F,ROW()))),INDEX(Charge!$F:$F,ROW()),0)</f>
        <v>0.0</v>
      </c>
      <c r="EY165" s="165" t="str">
        <f>IF(EO165=1,SUMPRODUCT(MAX(($EN$4:$EN$503=EN165)*$EX$4:$EX$503)),"")</f>
        <v/>
      </c>
      <c r="FA165" t="str">
        <f>IF(162&lt;=$CD$23,INDEX($EJ$4:$EJ$203,162),IF(162-$CD$23&lt;=$CD$26,INDEX($EK$4:$EK$203,162-$CD$23),""))</f>
        <v/>
      </c>
      <c r="FB165" t="str">
        <f>IF(FA165="","",IF(162&lt;=$CD$23,"Interne","Externe"))</f>
        <v/>
      </c>
      <c r="FD165">
        <f>IF(AND(B165=1,TRIM(INDEX(Charge!$K:$K,ROW()))&lt;&gt;"",TRIM(INDEX(Charge!$L:$L,ROW()))&lt;&gt;""),1,0)</f>
        <v>0</v>
      </c>
      <c r="FE165">
        <f>IF(OR(EN165="",BZ165="(non affecté)"),0,IF(COUNTIFS($EN$4:EN165,EN165,$BZ$4:BZ165,BZ165)=1,1,0))</f>
        <v>0</v>
      </c>
    </row>
    <row r="166">
      <c r="A166">
        <f>ROW()</f>
        <v>166</v>
      </c>
      <c r="B166">
        <f>IF(TRIM(INDEX(Charge!$B:$B,ROW()))&lt;&gt;"",1,0)</f>
        <v>0</v>
      </c>
      <c r="C166">
        <f>IF(B166=1,MIN(1,MAX(0,N(INDEX(Charge!$O:$O,ROW())))),0)</f>
        <v>0</v>
      </c>
      <c r="D166">
        <f>IF(B166=1,IF(OR(p_Perimetre="Tous les projets",C166&lt;1),1,0),0)</f>
        <v>0</v>
      </c>
      <c r="E166">
        <f>IF(D166=1,MAX(0,N(INDEX(Charge!$M:$M,ROW()))),0)</f>
        <v>0</v>
      </c>
      <c r="F166" t="str">
        <f>IF(D166=1,IF(TRIM(INDEX(Charge!$A:$A,ROW()))="","(non renseigné)",TRIM(INDEX(Charge!$A:$A,ROW()))),"")</f>
        <v/>
      </c>
      <c r="G166" t="str">
        <f>IF(D166=1,TRIM(INDEX(Charge!$B:$B,ROW())),"")</f>
        <v/>
      </c>
      <c r="H166" t="str">
        <f>IF(D166=1,IF(TRIM(INDEX(Charge!$E:$E,ROW()))="","(non renseigné)",TRIM(INDEX(Charge!$E:$E,ROW()))),"")</f>
        <v/>
      </c>
      <c r="I166" s="165" t="str">
        <f>IF(AND(D166=1,ISNUMBER(INDEX(Charge!$N:$N,ROW()))),INDEX(Charge!$N:$N,ROW()),"")</f>
        <v/>
      </c>
      <c r="J166" s="165" t="str">
        <f>IF(I166="","",IF(AND(p_Repartition="Lissée jusqu'à la date de besoin",ISNUMBER(INDEX(Charge!$F:$F,ROW()))),IF(INDEX(Charge!$F:$F,ROW())&gt;=I166,INDEX(Charge!$F:$F,ROW()),I166),I166))</f>
        <v/>
      </c>
      <c r="K166" t="str">
        <f>IF(I166="","",NETWORKDAYS(I166,J166,Data!$K$4:$K$203))</f>
        <v/>
      </c>
      <c r="L166" t="str">
        <f>IF(D166=1,COUNTIFS($D$4:$D$503,1,$E$4:$E$503,"&gt;"&amp;E166)+COUNTIFS($D$4:$D166,1,$E$4:$E166,E166),"")</f>
        <v/>
      </c>
      <c r="M166">
        <f>IF(F166="",0,IF(COUNTIF($F$4:F166,F166)=1,1,0))</f>
        <v>0</v>
      </c>
      <c r="N166" t="str">
        <f>IF(M166=1,ROUND(SUMIF($F$4:$F$503,F166,$E$4:$E$503),2),"")</f>
        <v/>
      </c>
      <c r="O166" t="str">
        <f>IF(M166=1,COUNTIFS($M$4:$M$503,1,$N$4:$N$503,"&gt;"&amp;N166)+COUNTIFS($M$4:M166,1,$N$4:N166,N166),"")</f>
        <v/>
      </c>
      <c r="P166">
        <f>IF(G166="",0,IF(COUNTIF($G$4:G166,G166)=1,1,0))</f>
        <v>0</v>
      </c>
      <c r="Q166" t="str">
        <f>IF(P166=1,ROUND(SUMIF($G$4:$G$503,G166,$E$4:$E$503),2),"")</f>
        <v/>
      </c>
      <c r="R166" t="str">
        <f>IF(P166=1,COUNTIFS($P$4:$P$503,1,$Q$4:$Q$503,"&gt;"&amp;Q166)+COUNTIFS($P$4:P166,1,$Q$4:Q166,Q166),"")</f>
        <v/>
      </c>
      <c r="S166">
        <f>IF(H166="",0,IF(COUNTIF($H$4:H166,H166)=1,1,0))</f>
        <v>0</v>
      </c>
      <c r="T166" t="str">
        <f>IF(S166=1,ROUND(SUMIF($H$4:$H$503,H166,$E$4:$E$503),2),"")</f>
        <v/>
      </c>
      <c r="U166" t="str">
        <f>IF(S166=1,COUNTIFS($S$4:$S$503,1,$T$4:$T$503,"&gt;"&amp;T166)+COUNTIFS($S$4:S166,1,$T$4:T166,T166),"")</f>
        <v/>
      </c>
      <c r="V166" t="str">
        <f>IF(D166=1,MIN(INDEX($R$4:$R$503,MATCH(G166,$G$4:$G$503,0)),IF($AL$7&gt;9,9,999)),"")</f>
        <v/>
      </c>
      <c r="W166" s="166">
        <f>IF(OR($I166="",$E166=0),0,IF(OR($J166&lt;W$3,$I166&gt;W$2),0,IF($K166=0,IF(AND($I166&gt;=W$3,$I166&lt;=W$2),$E166,0),$E166*NETWORKDAYS(MAX($I166,W$3),MIN($J166,W$2),Data!$K$4:$K$203)/$K166)))</f>
        <v>0</v>
      </c>
      <c r="X166" s="166">
        <f>IF(OR($I166="",$E166=0),0,IF(OR($J166&lt;X$3,$I166&gt;X$2),0,IF($K166=0,IF(AND($I166&gt;=X$3,$I166&lt;=X$2),$E166,0),$E166*NETWORKDAYS(MAX($I166,X$3),MIN($J166,X$2),Data!$K$4:$K$203)/$K166)))</f>
        <v>0</v>
      </c>
      <c r="Y166" s="166">
        <f>IF(OR($I166="",$E166=0),0,IF(OR($J166&lt;Y$3,$I166&gt;Y$2),0,IF($K166=0,IF(AND($I166&gt;=Y$3,$I166&lt;=Y$2),$E166,0),$E166*NETWORKDAYS(MAX($I166,Y$3),MIN($J166,Y$2),Data!$K$4:$K$203)/$K166)))</f>
        <v>0</v>
      </c>
      <c r="Z166" s="166">
        <f>IF(OR($I166="",$E166=0),0,IF(OR($J166&lt;Z$3,$I166&gt;Z$2),0,IF($K166=0,IF(AND($I166&gt;=Z$3,$I166&lt;=Z$2),$E166,0),$E166*NETWORKDAYS(MAX($I166,Z$3),MIN($J166,Z$2),Data!$K$4:$K$203)/$K166)))</f>
        <v>0</v>
      </c>
      <c r="AA166" s="166">
        <f>IF(OR($I166="",$E166=0),0,IF(OR($J166&lt;AA$3,$I166&gt;AA$2),0,IF($K166=0,IF(AND($I166&gt;=AA$3,$I166&lt;=AA$2),$E166,0),$E166*NETWORKDAYS(MAX($I166,AA$3),MIN($J166,AA$2),Data!$K$4:$K$203)/$K166)))</f>
        <v>0</v>
      </c>
      <c r="AB166" s="166">
        <f>IF(OR($I166="",$E166=0),0,IF(OR($J166&lt;AB$3,$I166&gt;AB$2),0,IF($K166=0,IF(AND($I166&gt;=AB$3,$I166&lt;=AB$2),$E166,0),$E166*NETWORKDAYS(MAX($I166,AB$3),MIN($J166,AB$2),Data!$K$4:$K$203)/$K166)))</f>
        <v>0</v>
      </c>
      <c r="AC166" s="166">
        <f>IF(OR($I166="",$E166=0),0,IF(OR($J166&lt;AC$3,$I166&gt;AC$2),0,IF($K166=0,IF(AND($I166&gt;=AC$3,$I166&lt;=AC$2),$E166,0),$E166*NETWORKDAYS(MAX($I166,AC$3),MIN($J166,AC$2),Data!$K$4:$K$203)/$K166)))</f>
        <v>0</v>
      </c>
      <c r="AD166" s="166">
        <f>IF(OR($I166="",$E166=0),0,IF(OR($J166&lt;AD$3,$I166&gt;AD$2),0,IF($K166=0,IF(AND($I166&gt;=AD$3,$I166&lt;=AD$2),$E166,0),$E166*NETWORKDAYS(MAX($I166,AD$3),MIN($J166,AD$2),Data!$K$4:$K$203)/$K166)))</f>
        <v>0</v>
      </c>
      <c r="AE166" s="166">
        <f>IF(OR($I166="",$E166=0),0,IF(OR($J166&lt;AE$3,$I166&gt;AE$2),0,IF($K166=0,IF(AND($I166&gt;=AE$3,$I166&lt;=AE$2),$E166,0),$E166*NETWORKDAYS(MAX($I166,AE$3),MIN($J166,AE$2),Data!$K$4:$K$203)/$K166)))</f>
        <v>0</v>
      </c>
      <c r="AF166" s="166">
        <f>IF(OR($I166="",$E166=0),0,IF(OR($J166&lt;AF$3,$I166&gt;AF$2),0,IF($K166=0,IF(AND($I166&gt;=AF$3,$I166&lt;=AF$2),$E166,0),$E166*NETWORKDAYS(MAX($I166,AF$3),MIN($J166,AF$2),Data!$K$4:$K$203)/$K166)))</f>
        <v>0</v>
      </c>
      <c r="AG166" s="166">
        <f>IF(OR($I166="",$E166=0),0,IF(OR($J166&lt;AG$3,$I166&gt;AG$2),0,IF($K166=0,IF(AND($I166&gt;=AG$3,$I166&lt;=AG$2),$E166,0),$E166*NETWORKDAYS(MAX($I166,AG$3),MIN($J166,AG$2),Data!$K$4:$K$203)/$K166)))</f>
        <v>0</v>
      </c>
      <c r="AH166" s="166">
        <f>IF(OR($I166="",$E166=0),0,IF(OR($J166&lt;AH$3,$I166&gt;AH$2),0,IF($K166=0,IF(AND($I166&gt;=AH$3,$I166&lt;=AH$2),$E166,0),$E166*NETWORKDAYS(MAX($I166,AH$3),MIN($J166,AH$2),Data!$K$4:$K$203)/$K166)))</f>
        <v>0</v>
      </c>
      <c r="AI166" s="166">
        <f>SUM(W166:AH166)</f>
        <v>0</v>
      </c>
      <c r="BZ166" t="str">
        <f>IF(D166=1,IF(TRIM(INDEX(Charge!$K:$K,ROW()))&lt;&gt;"",TRIM(INDEX(Charge!$K:$K,ROW())),IF(TRIM(INDEX(Charge!$L:$L,ROW()))&lt;&gt;"",TRIM(INDEX(Charge!$L:$L,ROW())),"(non affecté)")),"")</f>
        <v/>
      </c>
      <c r="CA166" t="str">
        <f>IF(AND($CD$4&lt;&gt;"",BZ166=$CD$4),COUNTIFS($BZ$4:$BZ$503,$CD$4,$L$4:$L$503,"&lt;"&amp;L166)+1,"")</f>
        <v/>
      </c>
      <c r="EJ166" t="str">
        <f>TRIM(INDEX(Data!$E:$E,ROW()))</f>
        <v/>
      </c>
      <c r="EK166" t="str">
        <f>TRIM(INDEX(Data!$H:$H,ROW()))</f>
        <v/>
      </c>
      <c r="EM166" t="str">
        <f>IF(D166=1,IF(TRIM(INDEX(Charge!$K:$K,ROW()))&lt;&gt;"","Interne",IF(TRIM(INDEX(Charge!$L:$L,ROW()))&lt;&gt;"","Externe","Non affecté")),"")</f>
        <v/>
      </c>
      <c r="EN166" t="str">
        <f>IF(D166=1,LEFT(SUBSTITUTE(SUBSTITUTE(SUBSTITUTE(TRIM(SUBSTITUTE(INDEX(Charge!$B:$B,ROW()),CHAR(160)," "))&amp;" | "&amp;TRIM(SUBSTITUTE(INDEX(Charge!$C:$C,ROW()),CHAR(160)," "))&amp;" | "&amp;TRIM(SUBSTITUTE(INDEX(Charge!$D:$D,ROW()),CHAR(160)," ")),"~","-"),"*","+"),"?","!"),240),"")</f>
        <v/>
      </c>
      <c r="EO166">
        <f>IF(EN166="",0,IF(COUNTIF($EN$4:EN166,EN166)=1,1,0))</f>
        <v>0</v>
      </c>
      <c r="EP166" s="166" t="str">
        <f>IF(EO166=1,ROUND(SUMIF($EN$4:$EN$503,EN166,$E$4:$E$503),2),"")</f>
        <v/>
      </c>
      <c r="EQ166" t="str">
        <f>IF(EO166=1,COUNTIFS($EO$4:$EO$503,1,$EP$4:$EP$503,"&gt;"&amp;EP166)+COUNTIFS($EO$4:EO166,1,$EP$4:EP166,EP166),"")</f>
        <v/>
      </c>
      <c r="ER166" t="str">
        <f>IF(EO166=1,COUNTIFS($EN$4:$EN$503,EN166,$EM$4:$EM$503,"Interne",$FE$4:$FE$503,1),"")</f>
        <v/>
      </c>
      <c r="ES166" t="str">
        <f>IF(EO166=1,COUNTIFS($EN$4:$EN$503,EN166,$EM$4:$EM$503,"Externe",$FE$4:$FE$503,1),"")</f>
        <v/>
      </c>
      <c r="ET166" t="str">
        <f>IF(EO166=1,IF(ER166+ES166=0,"à affecter",IF(ER166=0,ES166&amp;" ext.",(ER166+ES166)&amp;IF(ES166&gt;0," dont "&amp;ES166&amp;" ext.",""))&amp;IF(COUNTIFS($EN$4:$EN$503,EN166,$EM$4:$EM$503,"Non affecté")&gt;0," + à affecter","")),"")</f>
        <v/>
      </c>
      <c r="EU166" s="170" t="str">
        <f>IF(EO166=1,IF(EP166&gt;0,SUMPRODUCT(($EN$4:$EN$503=EN166)*$E$4:$E$503*$C$4:$C$503)/EP166,AVERAGEIF($EN$4:$EN$503,EN166,$C$4:$C$503)),"")</f>
        <v/>
      </c>
      <c r="EV166" s="165">
        <f>IF(ISNUMBER(I166),I166,2958465)</f>
        <v>2958465.0</v>
      </c>
      <c r="EW166" s="165" t="str">
        <f>IF(EO166=1,SUMPRODUCT(MIN(($EN$4:$EN$503=EN166)*$EV$4:$EV$503+($EN$4:$EN$503&lt;&gt;EN166)*2958465)),"")</f>
        <v/>
      </c>
      <c r="EX166" s="165">
        <f>IF(AND(D166=1,ISNUMBER(INDEX(Charge!$F:$F,ROW()))),INDEX(Charge!$F:$F,ROW()),0)</f>
        <v>0.0</v>
      </c>
      <c r="EY166" s="165" t="str">
        <f>IF(EO166=1,SUMPRODUCT(MAX(($EN$4:$EN$503=EN166)*$EX$4:$EX$503)),"")</f>
        <v/>
      </c>
      <c r="FA166" t="str">
        <f>IF(163&lt;=$CD$23,INDEX($EJ$4:$EJ$203,163),IF(163-$CD$23&lt;=$CD$26,INDEX($EK$4:$EK$203,163-$CD$23),""))</f>
        <v/>
      </c>
      <c r="FB166" t="str">
        <f>IF(FA166="","",IF(163&lt;=$CD$23,"Interne","Externe"))</f>
        <v/>
      </c>
      <c r="FD166">
        <f>IF(AND(B166=1,TRIM(INDEX(Charge!$K:$K,ROW()))&lt;&gt;"",TRIM(INDEX(Charge!$L:$L,ROW()))&lt;&gt;""),1,0)</f>
        <v>0</v>
      </c>
      <c r="FE166">
        <f>IF(OR(EN166="",BZ166="(non affecté)"),0,IF(COUNTIFS($EN$4:EN166,EN166,$BZ$4:BZ166,BZ166)=1,1,0))</f>
        <v>0</v>
      </c>
    </row>
    <row r="167">
      <c r="A167">
        <f>ROW()</f>
        <v>167</v>
      </c>
      <c r="B167">
        <f>IF(TRIM(INDEX(Charge!$B:$B,ROW()))&lt;&gt;"",1,0)</f>
        <v>0</v>
      </c>
      <c r="C167">
        <f>IF(B167=1,MIN(1,MAX(0,N(INDEX(Charge!$O:$O,ROW())))),0)</f>
        <v>0</v>
      </c>
      <c r="D167">
        <f>IF(B167=1,IF(OR(p_Perimetre="Tous les projets",C167&lt;1),1,0),0)</f>
        <v>0</v>
      </c>
      <c r="E167">
        <f>IF(D167=1,MAX(0,N(INDEX(Charge!$M:$M,ROW()))),0)</f>
        <v>0</v>
      </c>
      <c r="F167" t="str">
        <f>IF(D167=1,IF(TRIM(INDEX(Charge!$A:$A,ROW()))="","(non renseigné)",TRIM(INDEX(Charge!$A:$A,ROW()))),"")</f>
        <v/>
      </c>
      <c r="G167" t="str">
        <f>IF(D167=1,TRIM(INDEX(Charge!$B:$B,ROW())),"")</f>
        <v/>
      </c>
      <c r="H167" t="str">
        <f>IF(D167=1,IF(TRIM(INDEX(Charge!$E:$E,ROW()))="","(non renseigné)",TRIM(INDEX(Charge!$E:$E,ROW()))),"")</f>
        <v/>
      </c>
      <c r="I167" s="165" t="str">
        <f>IF(AND(D167=1,ISNUMBER(INDEX(Charge!$N:$N,ROW()))),INDEX(Charge!$N:$N,ROW()),"")</f>
        <v/>
      </c>
      <c r="J167" s="165" t="str">
        <f>IF(I167="","",IF(AND(p_Repartition="Lissée jusqu'à la date de besoin",ISNUMBER(INDEX(Charge!$F:$F,ROW()))),IF(INDEX(Charge!$F:$F,ROW())&gt;=I167,INDEX(Charge!$F:$F,ROW()),I167),I167))</f>
        <v/>
      </c>
      <c r="K167" t="str">
        <f>IF(I167="","",NETWORKDAYS(I167,J167,Data!$K$4:$K$203))</f>
        <v/>
      </c>
      <c r="L167" t="str">
        <f>IF(D167=1,COUNTIFS($D$4:$D$503,1,$E$4:$E$503,"&gt;"&amp;E167)+COUNTIFS($D$4:$D167,1,$E$4:$E167,E167),"")</f>
        <v/>
      </c>
      <c r="M167">
        <f>IF(F167="",0,IF(COUNTIF($F$4:F167,F167)=1,1,0))</f>
        <v>0</v>
      </c>
      <c r="N167" t="str">
        <f>IF(M167=1,ROUND(SUMIF($F$4:$F$503,F167,$E$4:$E$503),2),"")</f>
        <v/>
      </c>
      <c r="O167" t="str">
        <f>IF(M167=1,COUNTIFS($M$4:$M$503,1,$N$4:$N$503,"&gt;"&amp;N167)+COUNTIFS($M$4:M167,1,$N$4:N167,N167),"")</f>
        <v/>
      </c>
      <c r="P167">
        <f>IF(G167="",0,IF(COUNTIF($G$4:G167,G167)=1,1,0))</f>
        <v>0</v>
      </c>
      <c r="Q167" t="str">
        <f>IF(P167=1,ROUND(SUMIF($G$4:$G$503,G167,$E$4:$E$503),2),"")</f>
        <v/>
      </c>
      <c r="R167" t="str">
        <f>IF(P167=1,COUNTIFS($P$4:$P$503,1,$Q$4:$Q$503,"&gt;"&amp;Q167)+COUNTIFS($P$4:P167,1,$Q$4:Q167,Q167),"")</f>
        <v/>
      </c>
      <c r="S167">
        <f>IF(H167="",0,IF(COUNTIF($H$4:H167,H167)=1,1,0))</f>
        <v>0</v>
      </c>
      <c r="T167" t="str">
        <f>IF(S167=1,ROUND(SUMIF($H$4:$H$503,H167,$E$4:$E$503),2),"")</f>
        <v/>
      </c>
      <c r="U167" t="str">
        <f>IF(S167=1,COUNTIFS($S$4:$S$503,1,$T$4:$T$503,"&gt;"&amp;T167)+COUNTIFS($S$4:S167,1,$T$4:T167,T167),"")</f>
        <v/>
      </c>
      <c r="V167" t="str">
        <f>IF(D167=1,MIN(INDEX($R$4:$R$503,MATCH(G167,$G$4:$G$503,0)),IF($AL$7&gt;9,9,999)),"")</f>
        <v/>
      </c>
      <c r="W167" s="166">
        <f>IF(OR($I167="",$E167=0),0,IF(OR($J167&lt;W$3,$I167&gt;W$2),0,IF($K167=0,IF(AND($I167&gt;=W$3,$I167&lt;=W$2),$E167,0),$E167*NETWORKDAYS(MAX($I167,W$3),MIN($J167,W$2),Data!$K$4:$K$203)/$K167)))</f>
        <v>0</v>
      </c>
      <c r="X167" s="166">
        <f>IF(OR($I167="",$E167=0),0,IF(OR($J167&lt;X$3,$I167&gt;X$2),0,IF($K167=0,IF(AND($I167&gt;=X$3,$I167&lt;=X$2),$E167,0),$E167*NETWORKDAYS(MAX($I167,X$3),MIN($J167,X$2),Data!$K$4:$K$203)/$K167)))</f>
        <v>0</v>
      </c>
      <c r="Y167" s="166">
        <f>IF(OR($I167="",$E167=0),0,IF(OR($J167&lt;Y$3,$I167&gt;Y$2),0,IF($K167=0,IF(AND($I167&gt;=Y$3,$I167&lt;=Y$2),$E167,0),$E167*NETWORKDAYS(MAX($I167,Y$3),MIN($J167,Y$2),Data!$K$4:$K$203)/$K167)))</f>
        <v>0</v>
      </c>
      <c r="Z167" s="166">
        <f>IF(OR($I167="",$E167=0),0,IF(OR($J167&lt;Z$3,$I167&gt;Z$2),0,IF($K167=0,IF(AND($I167&gt;=Z$3,$I167&lt;=Z$2),$E167,0),$E167*NETWORKDAYS(MAX($I167,Z$3),MIN($J167,Z$2),Data!$K$4:$K$203)/$K167)))</f>
        <v>0</v>
      </c>
      <c r="AA167" s="166">
        <f>IF(OR($I167="",$E167=0),0,IF(OR($J167&lt;AA$3,$I167&gt;AA$2),0,IF($K167=0,IF(AND($I167&gt;=AA$3,$I167&lt;=AA$2),$E167,0),$E167*NETWORKDAYS(MAX($I167,AA$3),MIN($J167,AA$2),Data!$K$4:$K$203)/$K167)))</f>
        <v>0</v>
      </c>
      <c r="AB167" s="166">
        <f>IF(OR($I167="",$E167=0),0,IF(OR($J167&lt;AB$3,$I167&gt;AB$2),0,IF($K167=0,IF(AND($I167&gt;=AB$3,$I167&lt;=AB$2),$E167,0),$E167*NETWORKDAYS(MAX($I167,AB$3),MIN($J167,AB$2),Data!$K$4:$K$203)/$K167)))</f>
        <v>0</v>
      </c>
      <c r="AC167" s="166">
        <f>IF(OR($I167="",$E167=0),0,IF(OR($J167&lt;AC$3,$I167&gt;AC$2),0,IF($K167=0,IF(AND($I167&gt;=AC$3,$I167&lt;=AC$2),$E167,0),$E167*NETWORKDAYS(MAX($I167,AC$3),MIN($J167,AC$2),Data!$K$4:$K$203)/$K167)))</f>
        <v>0</v>
      </c>
      <c r="AD167" s="166">
        <f>IF(OR($I167="",$E167=0),0,IF(OR($J167&lt;AD$3,$I167&gt;AD$2),0,IF($K167=0,IF(AND($I167&gt;=AD$3,$I167&lt;=AD$2),$E167,0),$E167*NETWORKDAYS(MAX($I167,AD$3),MIN($J167,AD$2),Data!$K$4:$K$203)/$K167)))</f>
        <v>0</v>
      </c>
      <c r="AE167" s="166">
        <f>IF(OR($I167="",$E167=0),0,IF(OR($J167&lt;AE$3,$I167&gt;AE$2),0,IF($K167=0,IF(AND($I167&gt;=AE$3,$I167&lt;=AE$2),$E167,0),$E167*NETWORKDAYS(MAX($I167,AE$3),MIN($J167,AE$2),Data!$K$4:$K$203)/$K167)))</f>
        <v>0</v>
      </c>
      <c r="AF167" s="166">
        <f>IF(OR($I167="",$E167=0),0,IF(OR($J167&lt;AF$3,$I167&gt;AF$2),0,IF($K167=0,IF(AND($I167&gt;=AF$3,$I167&lt;=AF$2),$E167,0),$E167*NETWORKDAYS(MAX($I167,AF$3),MIN($J167,AF$2),Data!$K$4:$K$203)/$K167)))</f>
        <v>0</v>
      </c>
      <c r="AG167" s="166">
        <f>IF(OR($I167="",$E167=0),0,IF(OR($J167&lt;AG$3,$I167&gt;AG$2),0,IF($K167=0,IF(AND($I167&gt;=AG$3,$I167&lt;=AG$2),$E167,0),$E167*NETWORKDAYS(MAX($I167,AG$3),MIN($J167,AG$2),Data!$K$4:$K$203)/$K167)))</f>
        <v>0</v>
      </c>
      <c r="AH167" s="166">
        <f>IF(OR($I167="",$E167=0),0,IF(OR($J167&lt;AH$3,$I167&gt;AH$2),0,IF($K167=0,IF(AND($I167&gt;=AH$3,$I167&lt;=AH$2),$E167,0),$E167*NETWORKDAYS(MAX($I167,AH$3),MIN($J167,AH$2),Data!$K$4:$K$203)/$K167)))</f>
        <v>0</v>
      </c>
      <c r="AI167" s="166">
        <f>SUM(W167:AH167)</f>
        <v>0</v>
      </c>
      <c r="BZ167" t="str">
        <f>IF(D167=1,IF(TRIM(INDEX(Charge!$K:$K,ROW()))&lt;&gt;"",TRIM(INDEX(Charge!$K:$K,ROW())),IF(TRIM(INDEX(Charge!$L:$L,ROW()))&lt;&gt;"",TRIM(INDEX(Charge!$L:$L,ROW())),"(non affecté)")),"")</f>
        <v/>
      </c>
      <c r="CA167" t="str">
        <f>IF(AND($CD$4&lt;&gt;"",BZ167=$CD$4),COUNTIFS($BZ$4:$BZ$503,$CD$4,$L$4:$L$503,"&lt;"&amp;L167)+1,"")</f>
        <v/>
      </c>
      <c r="EJ167" t="str">
        <f>TRIM(INDEX(Data!$E:$E,ROW()))</f>
        <v/>
      </c>
      <c r="EK167" t="str">
        <f>TRIM(INDEX(Data!$H:$H,ROW()))</f>
        <v/>
      </c>
      <c r="EM167" t="str">
        <f>IF(D167=1,IF(TRIM(INDEX(Charge!$K:$K,ROW()))&lt;&gt;"","Interne",IF(TRIM(INDEX(Charge!$L:$L,ROW()))&lt;&gt;"","Externe","Non affecté")),"")</f>
        <v/>
      </c>
      <c r="EN167" t="str">
        <f>IF(D167=1,LEFT(SUBSTITUTE(SUBSTITUTE(SUBSTITUTE(TRIM(SUBSTITUTE(INDEX(Charge!$B:$B,ROW()),CHAR(160)," "))&amp;" | "&amp;TRIM(SUBSTITUTE(INDEX(Charge!$C:$C,ROW()),CHAR(160)," "))&amp;" | "&amp;TRIM(SUBSTITUTE(INDEX(Charge!$D:$D,ROW()),CHAR(160)," ")),"~","-"),"*","+"),"?","!"),240),"")</f>
        <v/>
      </c>
      <c r="EO167">
        <f>IF(EN167="",0,IF(COUNTIF($EN$4:EN167,EN167)=1,1,0))</f>
        <v>0</v>
      </c>
      <c r="EP167" s="166" t="str">
        <f>IF(EO167=1,ROUND(SUMIF($EN$4:$EN$503,EN167,$E$4:$E$503),2),"")</f>
        <v/>
      </c>
      <c r="EQ167" t="str">
        <f>IF(EO167=1,COUNTIFS($EO$4:$EO$503,1,$EP$4:$EP$503,"&gt;"&amp;EP167)+COUNTIFS($EO$4:EO167,1,$EP$4:EP167,EP167),"")</f>
        <v/>
      </c>
      <c r="ER167" t="str">
        <f>IF(EO167=1,COUNTIFS($EN$4:$EN$503,EN167,$EM$4:$EM$503,"Interne",$FE$4:$FE$503,1),"")</f>
        <v/>
      </c>
      <c r="ES167" t="str">
        <f>IF(EO167=1,COUNTIFS($EN$4:$EN$503,EN167,$EM$4:$EM$503,"Externe",$FE$4:$FE$503,1),"")</f>
        <v/>
      </c>
      <c r="ET167" t="str">
        <f>IF(EO167=1,IF(ER167+ES167=0,"à affecter",IF(ER167=0,ES167&amp;" ext.",(ER167+ES167)&amp;IF(ES167&gt;0," dont "&amp;ES167&amp;" ext.",""))&amp;IF(COUNTIFS($EN$4:$EN$503,EN167,$EM$4:$EM$503,"Non affecté")&gt;0," + à affecter","")),"")</f>
        <v/>
      </c>
      <c r="EU167" s="170" t="str">
        <f>IF(EO167=1,IF(EP167&gt;0,SUMPRODUCT(($EN$4:$EN$503=EN167)*$E$4:$E$503*$C$4:$C$503)/EP167,AVERAGEIF($EN$4:$EN$503,EN167,$C$4:$C$503)),"")</f>
        <v/>
      </c>
      <c r="EV167" s="165">
        <f>IF(ISNUMBER(I167),I167,2958465)</f>
        <v>2958465.0</v>
      </c>
      <c r="EW167" s="165" t="str">
        <f>IF(EO167=1,SUMPRODUCT(MIN(($EN$4:$EN$503=EN167)*$EV$4:$EV$503+($EN$4:$EN$503&lt;&gt;EN167)*2958465)),"")</f>
        <v/>
      </c>
      <c r="EX167" s="165">
        <f>IF(AND(D167=1,ISNUMBER(INDEX(Charge!$F:$F,ROW()))),INDEX(Charge!$F:$F,ROW()),0)</f>
        <v>0.0</v>
      </c>
      <c r="EY167" s="165" t="str">
        <f>IF(EO167=1,SUMPRODUCT(MAX(($EN$4:$EN$503=EN167)*$EX$4:$EX$503)),"")</f>
        <v/>
      </c>
      <c r="FA167" t="str">
        <f>IF(164&lt;=$CD$23,INDEX($EJ$4:$EJ$203,164),IF(164-$CD$23&lt;=$CD$26,INDEX($EK$4:$EK$203,164-$CD$23),""))</f>
        <v/>
      </c>
      <c r="FB167" t="str">
        <f>IF(FA167="","",IF(164&lt;=$CD$23,"Interne","Externe"))</f>
        <v/>
      </c>
      <c r="FD167">
        <f>IF(AND(B167=1,TRIM(INDEX(Charge!$K:$K,ROW()))&lt;&gt;"",TRIM(INDEX(Charge!$L:$L,ROW()))&lt;&gt;""),1,0)</f>
        <v>0</v>
      </c>
      <c r="FE167">
        <f>IF(OR(EN167="",BZ167="(non affecté)"),0,IF(COUNTIFS($EN$4:EN167,EN167,$BZ$4:BZ167,BZ167)=1,1,0))</f>
        <v>0</v>
      </c>
    </row>
    <row r="168">
      <c r="A168">
        <f>ROW()</f>
        <v>168</v>
      </c>
      <c r="B168">
        <f>IF(TRIM(INDEX(Charge!$B:$B,ROW()))&lt;&gt;"",1,0)</f>
        <v>0</v>
      </c>
      <c r="C168">
        <f>IF(B168=1,MIN(1,MAX(0,N(INDEX(Charge!$O:$O,ROW())))),0)</f>
        <v>0</v>
      </c>
      <c r="D168">
        <f>IF(B168=1,IF(OR(p_Perimetre="Tous les projets",C168&lt;1),1,0),0)</f>
        <v>0</v>
      </c>
      <c r="E168">
        <f>IF(D168=1,MAX(0,N(INDEX(Charge!$M:$M,ROW()))),0)</f>
        <v>0</v>
      </c>
      <c r="F168" t="str">
        <f>IF(D168=1,IF(TRIM(INDEX(Charge!$A:$A,ROW()))="","(non renseigné)",TRIM(INDEX(Charge!$A:$A,ROW()))),"")</f>
        <v/>
      </c>
      <c r="G168" t="str">
        <f>IF(D168=1,TRIM(INDEX(Charge!$B:$B,ROW())),"")</f>
        <v/>
      </c>
      <c r="H168" t="str">
        <f>IF(D168=1,IF(TRIM(INDEX(Charge!$E:$E,ROW()))="","(non renseigné)",TRIM(INDEX(Charge!$E:$E,ROW()))),"")</f>
        <v/>
      </c>
      <c r="I168" s="165" t="str">
        <f>IF(AND(D168=1,ISNUMBER(INDEX(Charge!$N:$N,ROW()))),INDEX(Charge!$N:$N,ROW()),"")</f>
        <v/>
      </c>
      <c r="J168" s="165" t="str">
        <f>IF(I168="","",IF(AND(p_Repartition="Lissée jusqu'à la date de besoin",ISNUMBER(INDEX(Charge!$F:$F,ROW()))),IF(INDEX(Charge!$F:$F,ROW())&gt;=I168,INDEX(Charge!$F:$F,ROW()),I168),I168))</f>
        <v/>
      </c>
      <c r="K168" t="str">
        <f>IF(I168="","",NETWORKDAYS(I168,J168,Data!$K$4:$K$203))</f>
        <v/>
      </c>
      <c r="L168" t="str">
        <f>IF(D168=1,COUNTIFS($D$4:$D$503,1,$E$4:$E$503,"&gt;"&amp;E168)+COUNTIFS($D$4:$D168,1,$E$4:$E168,E168),"")</f>
        <v/>
      </c>
      <c r="M168">
        <f>IF(F168="",0,IF(COUNTIF($F$4:F168,F168)=1,1,0))</f>
        <v>0</v>
      </c>
      <c r="N168" t="str">
        <f>IF(M168=1,ROUND(SUMIF($F$4:$F$503,F168,$E$4:$E$503),2),"")</f>
        <v/>
      </c>
      <c r="O168" t="str">
        <f>IF(M168=1,COUNTIFS($M$4:$M$503,1,$N$4:$N$503,"&gt;"&amp;N168)+COUNTIFS($M$4:M168,1,$N$4:N168,N168),"")</f>
        <v/>
      </c>
      <c r="P168">
        <f>IF(G168="",0,IF(COUNTIF($G$4:G168,G168)=1,1,0))</f>
        <v>0</v>
      </c>
      <c r="Q168" t="str">
        <f>IF(P168=1,ROUND(SUMIF($G$4:$G$503,G168,$E$4:$E$503),2),"")</f>
        <v/>
      </c>
      <c r="R168" t="str">
        <f>IF(P168=1,COUNTIFS($P$4:$P$503,1,$Q$4:$Q$503,"&gt;"&amp;Q168)+COUNTIFS($P$4:P168,1,$Q$4:Q168,Q168),"")</f>
        <v/>
      </c>
      <c r="S168">
        <f>IF(H168="",0,IF(COUNTIF($H$4:H168,H168)=1,1,0))</f>
        <v>0</v>
      </c>
      <c r="T168" t="str">
        <f>IF(S168=1,ROUND(SUMIF($H$4:$H$503,H168,$E$4:$E$503),2),"")</f>
        <v/>
      </c>
      <c r="U168" t="str">
        <f>IF(S168=1,COUNTIFS($S$4:$S$503,1,$T$4:$T$503,"&gt;"&amp;T168)+COUNTIFS($S$4:S168,1,$T$4:T168,T168),"")</f>
        <v/>
      </c>
      <c r="V168" t="str">
        <f>IF(D168=1,MIN(INDEX($R$4:$R$503,MATCH(G168,$G$4:$G$503,0)),IF($AL$7&gt;9,9,999)),"")</f>
        <v/>
      </c>
      <c r="W168" s="166">
        <f>IF(OR($I168="",$E168=0),0,IF(OR($J168&lt;W$3,$I168&gt;W$2),0,IF($K168=0,IF(AND($I168&gt;=W$3,$I168&lt;=W$2),$E168,0),$E168*NETWORKDAYS(MAX($I168,W$3),MIN($J168,W$2),Data!$K$4:$K$203)/$K168)))</f>
        <v>0</v>
      </c>
      <c r="X168" s="166">
        <f>IF(OR($I168="",$E168=0),0,IF(OR($J168&lt;X$3,$I168&gt;X$2),0,IF($K168=0,IF(AND($I168&gt;=X$3,$I168&lt;=X$2),$E168,0),$E168*NETWORKDAYS(MAX($I168,X$3),MIN($J168,X$2),Data!$K$4:$K$203)/$K168)))</f>
        <v>0</v>
      </c>
      <c r="Y168" s="166">
        <f>IF(OR($I168="",$E168=0),0,IF(OR($J168&lt;Y$3,$I168&gt;Y$2),0,IF($K168=0,IF(AND($I168&gt;=Y$3,$I168&lt;=Y$2),$E168,0),$E168*NETWORKDAYS(MAX($I168,Y$3),MIN($J168,Y$2),Data!$K$4:$K$203)/$K168)))</f>
        <v>0</v>
      </c>
      <c r="Z168" s="166">
        <f>IF(OR($I168="",$E168=0),0,IF(OR($J168&lt;Z$3,$I168&gt;Z$2),0,IF($K168=0,IF(AND($I168&gt;=Z$3,$I168&lt;=Z$2),$E168,0),$E168*NETWORKDAYS(MAX($I168,Z$3),MIN($J168,Z$2),Data!$K$4:$K$203)/$K168)))</f>
        <v>0</v>
      </c>
      <c r="AA168" s="166">
        <f>IF(OR($I168="",$E168=0),0,IF(OR($J168&lt;AA$3,$I168&gt;AA$2),0,IF($K168=0,IF(AND($I168&gt;=AA$3,$I168&lt;=AA$2),$E168,0),$E168*NETWORKDAYS(MAX($I168,AA$3),MIN($J168,AA$2),Data!$K$4:$K$203)/$K168)))</f>
        <v>0</v>
      </c>
      <c r="AB168" s="166">
        <f>IF(OR($I168="",$E168=0),0,IF(OR($J168&lt;AB$3,$I168&gt;AB$2),0,IF($K168=0,IF(AND($I168&gt;=AB$3,$I168&lt;=AB$2),$E168,0),$E168*NETWORKDAYS(MAX($I168,AB$3),MIN($J168,AB$2),Data!$K$4:$K$203)/$K168)))</f>
        <v>0</v>
      </c>
      <c r="AC168" s="166">
        <f>IF(OR($I168="",$E168=0),0,IF(OR($J168&lt;AC$3,$I168&gt;AC$2),0,IF($K168=0,IF(AND($I168&gt;=AC$3,$I168&lt;=AC$2),$E168,0),$E168*NETWORKDAYS(MAX($I168,AC$3),MIN($J168,AC$2),Data!$K$4:$K$203)/$K168)))</f>
        <v>0</v>
      </c>
      <c r="AD168" s="166">
        <f>IF(OR($I168="",$E168=0),0,IF(OR($J168&lt;AD$3,$I168&gt;AD$2),0,IF($K168=0,IF(AND($I168&gt;=AD$3,$I168&lt;=AD$2),$E168,0),$E168*NETWORKDAYS(MAX($I168,AD$3),MIN($J168,AD$2),Data!$K$4:$K$203)/$K168)))</f>
        <v>0</v>
      </c>
      <c r="AE168" s="166">
        <f>IF(OR($I168="",$E168=0),0,IF(OR($J168&lt;AE$3,$I168&gt;AE$2),0,IF($K168=0,IF(AND($I168&gt;=AE$3,$I168&lt;=AE$2),$E168,0),$E168*NETWORKDAYS(MAX($I168,AE$3),MIN($J168,AE$2),Data!$K$4:$K$203)/$K168)))</f>
        <v>0</v>
      </c>
      <c r="AF168" s="166">
        <f>IF(OR($I168="",$E168=0),0,IF(OR($J168&lt;AF$3,$I168&gt;AF$2),0,IF($K168=0,IF(AND($I168&gt;=AF$3,$I168&lt;=AF$2),$E168,0),$E168*NETWORKDAYS(MAX($I168,AF$3),MIN($J168,AF$2),Data!$K$4:$K$203)/$K168)))</f>
        <v>0</v>
      </c>
      <c r="AG168" s="166">
        <f>IF(OR($I168="",$E168=0),0,IF(OR($J168&lt;AG$3,$I168&gt;AG$2),0,IF($K168=0,IF(AND($I168&gt;=AG$3,$I168&lt;=AG$2),$E168,0),$E168*NETWORKDAYS(MAX($I168,AG$3),MIN($J168,AG$2),Data!$K$4:$K$203)/$K168)))</f>
        <v>0</v>
      </c>
      <c r="AH168" s="166">
        <f>IF(OR($I168="",$E168=0),0,IF(OR($J168&lt;AH$3,$I168&gt;AH$2),0,IF($K168=0,IF(AND($I168&gt;=AH$3,$I168&lt;=AH$2),$E168,0),$E168*NETWORKDAYS(MAX($I168,AH$3),MIN($J168,AH$2),Data!$K$4:$K$203)/$K168)))</f>
        <v>0</v>
      </c>
      <c r="AI168" s="166">
        <f>SUM(W168:AH168)</f>
        <v>0</v>
      </c>
      <c r="BZ168" t="str">
        <f>IF(D168=1,IF(TRIM(INDEX(Charge!$K:$K,ROW()))&lt;&gt;"",TRIM(INDEX(Charge!$K:$K,ROW())),IF(TRIM(INDEX(Charge!$L:$L,ROW()))&lt;&gt;"",TRIM(INDEX(Charge!$L:$L,ROW())),"(non affecté)")),"")</f>
        <v/>
      </c>
      <c r="CA168" t="str">
        <f>IF(AND($CD$4&lt;&gt;"",BZ168=$CD$4),COUNTIFS($BZ$4:$BZ$503,$CD$4,$L$4:$L$503,"&lt;"&amp;L168)+1,"")</f>
        <v/>
      </c>
      <c r="EJ168" t="str">
        <f>TRIM(INDEX(Data!$E:$E,ROW()))</f>
        <v/>
      </c>
      <c r="EK168" t="str">
        <f>TRIM(INDEX(Data!$H:$H,ROW()))</f>
        <v/>
      </c>
      <c r="EM168" t="str">
        <f>IF(D168=1,IF(TRIM(INDEX(Charge!$K:$K,ROW()))&lt;&gt;"","Interne",IF(TRIM(INDEX(Charge!$L:$L,ROW()))&lt;&gt;"","Externe","Non affecté")),"")</f>
        <v/>
      </c>
      <c r="EN168" t="str">
        <f>IF(D168=1,LEFT(SUBSTITUTE(SUBSTITUTE(SUBSTITUTE(TRIM(SUBSTITUTE(INDEX(Charge!$B:$B,ROW()),CHAR(160)," "))&amp;" | "&amp;TRIM(SUBSTITUTE(INDEX(Charge!$C:$C,ROW()),CHAR(160)," "))&amp;" | "&amp;TRIM(SUBSTITUTE(INDEX(Charge!$D:$D,ROW()),CHAR(160)," ")),"~","-"),"*","+"),"?","!"),240),"")</f>
        <v/>
      </c>
      <c r="EO168">
        <f>IF(EN168="",0,IF(COUNTIF($EN$4:EN168,EN168)=1,1,0))</f>
        <v>0</v>
      </c>
      <c r="EP168" s="166" t="str">
        <f>IF(EO168=1,ROUND(SUMIF($EN$4:$EN$503,EN168,$E$4:$E$503),2),"")</f>
        <v/>
      </c>
      <c r="EQ168" t="str">
        <f>IF(EO168=1,COUNTIFS($EO$4:$EO$503,1,$EP$4:$EP$503,"&gt;"&amp;EP168)+COUNTIFS($EO$4:EO168,1,$EP$4:EP168,EP168),"")</f>
        <v/>
      </c>
      <c r="ER168" t="str">
        <f>IF(EO168=1,COUNTIFS($EN$4:$EN$503,EN168,$EM$4:$EM$503,"Interne",$FE$4:$FE$503,1),"")</f>
        <v/>
      </c>
      <c r="ES168" t="str">
        <f>IF(EO168=1,COUNTIFS($EN$4:$EN$503,EN168,$EM$4:$EM$503,"Externe",$FE$4:$FE$503,1),"")</f>
        <v/>
      </c>
      <c r="ET168" t="str">
        <f>IF(EO168=1,IF(ER168+ES168=0,"à affecter",IF(ER168=0,ES168&amp;" ext.",(ER168+ES168)&amp;IF(ES168&gt;0," dont "&amp;ES168&amp;" ext.",""))&amp;IF(COUNTIFS($EN$4:$EN$503,EN168,$EM$4:$EM$503,"Non affecté")&gt;0," + à affecter","")),"")</f>
        <v/>
      </c>
      <c r="EU168" s="170" t="str">
        <f>IF(EO168=1,IF(EP168&gt;0,SUMPRODUCT(($EN$4:$EN$503=EN168)*$E$4:$E$503*$C$4:$C$503)/EP168,AVERAGEIF($EN$4:$EN$503,EN168,$C$4:$C$503)),"")</f>
        <v/>
      </c>
      <c r="EV168" s="165">
        <f>IF(ISNUMBER(I168),I168,2958465)</f>
        <v>2958465.0</v>
      </c>
      <c r="EW168" s="165" t="str">
        <f>IF(EO168=1,SUMPRODUCT(MIN(($EN$4:$EN$503=EN168)*$EV$4:$EV$503+($EN$4:$EN$503&lt;&gt;EN168)*2958465)),"")</f>
        <v/>
      </c>
      <c r="EX168" s="165">
        <f>IF(AND(D168=1,ISNUMBER(INDEX(Charge!$F:$F,ROW()))),INDEX(Charge!$F:$F,ROW()),0)</f>
        <v>0.0</v>
      </c>
      <c r="EY168" s="165" t="str">
        <f>IF(EO168=1,SUMPRODUCT(MAX(($EN$4:$EN$503=EN168)*$EX$4:$EX$503)),"")</f>
        <v/>
      </c>
      <c r="FA168" t="str">
        <f>IF(165&lt;=$CD$23,INDEX($EJ$4:$EJ$203,165),IF(165-$CD$23&lt;=$CD$26,INDEX($EK$4:$EK$203,165-$CD$23),""))</f>
        <v/>
      </c>
      <c r="FB168" t="str">
        <f>IF(FA168="","",IF(165&lt;=$CD$23,"Interne","Externe"))</f>
        <v/>
      </c>
      <c r="FD168">
        <f>IF(AND(B168=1,TRIM(INDEX(Charge!$K:$K,ROW()))&lt;&gt;"",TRIM(INDEX(Charge!$L:$L,ROW()))&lt;&gt;""),1,0)</f>
        <v>0</v>
      </c>
      <c r="FE168">
        <f>IF(OR(EN168="",BZ168="(non affecté)"),0,IF(COUNTIFS($EN$4:EN168,EN168,$BZ$4:BZ168,BZ168)=1,1,0))</f>
        <v>0</v>
      </c>
    </row>
    <row r="169">
      <c r="A169">
        <f>ROW()</f>
        <v>169</v>
      </c>
      <c r="B169">
        <f>IF(TRIM(INDEX(Charge!$B:$B,ROW()))&lt;&gt;"",1,0)</f>
        <v>0</v>
      </c>
      <c r="C169">
        <f>IF(B169=1,MIN(1,MAX(0,N(INDEX(Charge!$O:$O,ROW())))),0)</f>
        <v>0</v>
      </c>
      <c r="D169">
        <f>IF(B169=1,IF(OR(p_Perimetre="Tous les projets",C169&lt;1),1,0),0)</f>
        <v>0</v>
      </c>
      <c r="E169">
        <f>IF(D169=1,MAX(0,N(INDEX(Charge!$M:$M,ROW()))),0)</f>
        <v>0</v>
      </c>
      <c r="F169" t="str">
        <f>IF(D169=1,IF(TRIM(INDEX(Charge!$A:$A,ROW()))="","(non renseigné)",TRIM(INDEX(Charge!$A:$A,ROW()))),"")</f>
        <v/>
      </c>
      <c r="G169" t="str">
        <f>IF(D169=1,TRIM(INDEX(Charge!$B:$B,ROW())),"")</f>
        <v/>
      </c>
      <c r="H169" t="str">
        <f>IF(D169=1,IF(TRIM(INDEX(Charge!$E:$E,ROW()))="","(non renseigné)",TRIM(INDEX(Charge!$E:$E,ROW()))),"")</f>
        <v/>
      </c>
      <c r="I169" s="165" t="str">
        <f>IF(AND(D169=1,ISNUMBER(INDEX(Charge!$N:$N,ROW()))),INDEX(Charge!$N:$N,ROW()),"")</f>
        <v/>
      </c>
      <c r="J169" s="165" t="str">
        <f>IF(I169="","",IF(AND(p_Repartition="Lissée jusqu'à la date de besoin",ISNUMBER(INDEX(Charge!$F:$F,ROW()))),IF(INDEX(Charge!$F:$F,ROW())&gt;=I169,INDEX(Charge!$F:$F,ROW()),I169),I169))</f>
        <v/>
      </c>
      <c r="K169" t="str">
        <f>IF(I169="","",NETWORKDAYS(I169,J169,Data!$K$4:$K$203))</f>
        <v/>
      </c>
      <c r="L169" t="str">
        <f>IF(D169=1,COUNTIFS($D$4:$D$503,1,$E$4:$E$503,"&gt;"&amp;E169)+COUNTIFS($D$4:$D169,1,$E$4:$E169,E169),"")</f>
        <v/>
      </c>
      <c r="M169">
        <f>IF(F169="",0,IF(COUNTIF($F$4:F169,F169)=1,1,0))</f>
        <v>0</v>
      </c>
      <c r="N169" t="str">
        <f>IF(M169=1,ROUND(SUMIF($F$4:$F$503,F169,$E$4:$E$503),2),"")</f>
        <v/>
      </c>
      <c r="O169" t="str">
        <f>IF(M169=1,COUNTIFS($M$4:$M$503,1,$N$4:$N$503,"&gt;"&amp;N169)+COUNTIFS($M$4:M169,1,$N$4:N169,N169),"")</f>
        <v/>
      </c>
      <c r="P169">
        <f>IF(G169="",0,IF(COUNTIF($G$4:G169,G169)=1,1,0))</f>
        <v>0</v>
      </c>
      <c r="Q169" t="str">
        <f>IF(P169=1,ROUND(SUMIF($G$4:$G$503,G169,$E$4:$E$503),2),"")</f>
        <v/>
      </c>
      <c r="R169" t="str">
        <f>IF(P169=1,COUNTIFS($P$4:$P$503,1,$Q$4:$Q$503,"&gt;"&amp;Q169)+COUNTIFS($P$4:P169,1,$Q$4:Q169,Q169),"")</f>
        <v/>
      </c>
      <c r="S169">
        <f>IF(H169="",0,IF(COUNTIF($H$4:H169,H169)=1,1,0))</f>
        <v>0</v>
      </c>
      <c r="T169" t="str">
        <f>IF(S169=1,ROUND(SUMIF($H$4:$H$503,H169,$E$4:$E$503),2),"")</f>
        <v/>
      </c>
      <c r="U169" t="str">
        <f>IF(S169=1,COUNTIFS($S$4:$S$503,1,$T$4:$T$503,"&gt;"&amp;T169)+COUNTIFS($S$4:S169,1,$T$4:T169,T169),"")</f>
        <v/>
      </c>
      <c r="V169" t="str">
        <f>IF(D169=1,MIN(INDEX($R$4:$R$503,MATCH(G169,$G$4:$G$503,0)),IF($AL$7&gt;9,9,999)),"")</f>
        <v/>
      </c>
      <c r="W169" s="166">
        <f>IF(OR($I169="",$E169=0),0,IF(OR($J169&lt;W$3,$I169&gt;W$2),0,IF($K169=0,IF(AND($I169&gt;=W$3,$I169&lt;=W$2),$E169,0),$E169*NETWORKDAYS(MAX($I169,W$3),MIN($J169,W$2),Data!$K$4:$K$203)/$K169)))</f>
        <v>0</v>
      </c>
      <c r="X169" s="166">
        <f>IF(OR($I169="",$E169=0),0,IF(OR($J169&lt;X$3,$I169&gt;X$2),0,IF($K169=0,IF(AND($I169&gt;=X$3,$I169&lt;=X$2),$E169,0),$E169*NETWORKDAYS(MAX($I169,X$3),MIN($J169,X$2),Data!$K$4:$K$203)/$K169)))</f>
        <v>0</v>
      </c>
      <c r="Y169" s="166">
        <f>IF(OR($I169="",$E169=0),0,IF(OR($J169&lt;Y$3,$I169&gt;Y$2),0,IF($K169=0,IF(AND($I169&gt;=Y$3,$I169&lt;=Y$2),$E169,0),$E169*NETWORKDAYS(MAX($I169,Y$3),MIN($J169,Y$2),Data!$K$4:$K$203)/$K169)))</f>
        <v>0</v>
      </c>
      <c r="Z169" s="166">
        <f>IF(OR($I169="",$E169=0),0,IF(OR($J169&lt;Z$3,$I169&gt;Z$2),0,IF($K169=0,IF(AND($I169&gt;=Z$3,$I169&lt;=Z$2),$E169,0),$E169*NETWORKDAYS(MAX($I169,Z$3),MIN($J169,Z$2),Data!$K$4:$K$203)/$K169)))</f>
        <v>0</v>
      </c>
      <c r="AA169" s="166">
        <f>IF(OR($I169="",$E169=0),0,IF(OR($J169&lt;AA$3,$I169&gt;AA$2),0,IF($K169=0,IF(AND($I169&gt;=AA$3,$I169&lt;=AA$2),$E169,0),$E169*NETWORKDAYS(MAX($I169,AA$3),MIN($J169,AA$2),Data!$K$4:$K$203)/$K169)))</f>
        <v>0</v>
      </c>
      <c r="AB169" s="166">
        <f>IF(OR($I169="",$E169=0),0,IF(OR($J169&lt;AB$3,$I169&gt;AB$2),0,IF($K169=0,IF(AND($I169&gt;=AB$3,$I169&lt;=AB$2),$E169,0),$E169*NETWORKDAYS(MAX($I169,AB$3),MIN($J169,AB$2),Data!$K$4:$K$203)/$K169)))</f>
        <v>0</v>
      </c>
      <c r="AC169" s="166">
        <f>IF(OR($I169="",$E169=0),0,IF(OR($J169&lt;AC$3,$I169&gt;AC$2),0,IF($K169=0,IF(AND($I169&gt;=AC$3,$I169&lt;=AC$2),$E169,0),$E169*NETWORKDAYS(MAX($I169,AC$3),MIN($J169,AC$2),Data!$K$4:$K$203)/$K169)))</f>
        <v>0</v>
      </c>
      <c r="AD169" s="166">
        <f>IF(OR($I169="",$E169=0),0,IF(OR($J169&lt;AD$3,$I169&gt;AD$2),0,IF($K169=0,IF(AND($I169&gt;=AD$3,$I169&lt;=AD$2),$E169,0),$E169*NETWORKDAYS(MAX($I169,AD$3),MIN($J169,AD$2),Data!$K$4:$K$203)/$K169)))</f>
        <v>0</v>
      </c>
      <c r="AE169" s="166">
        <f>IF(OR($I169="",$E169=0),0,IF(OR($J169&lt;AE$3,$I169&gt;AE$2),0,IF($K169=0,IF(AND($I169&gt;=AE$3,$I169&lt;=AE$2),$E169,0),$E169*NETWORKDAYS(MAX($I169,AE$3),MIN($J169,AE$2),Data!$K$4:$K$203)/$K169)))</f>
        <v>0</v>
      </c>
      <c r="AF169" s="166">
        <f>IF(OR($I169="",$E169=0),0,IF(OR($J169&lt;AF$3,$I169&gt;AF$2),0,IF($K169=0,IF(AND($I169&gt;=AF$3,$I169&lt;=AF$2),$E169,0),$E169*NETWORKDAYS(MAX($I169,AF$3),MIN($J169,AF$2),Data!$K$4:$K$203)/$K169)))</f>
        <v>0</v>
      </c>
      <c r="AG169" s="166">
        <f>IF(OR($I169="",$E169=0),0,IF(OR($J169&lt;AG$3,$I169&gt;AG$2),0,IF($K169=0,IF(AND($I169&gt;=AG$3,$I169&lt;=AG$2),$E169,0),$E169*NETWORKDAYS(MAX($I169,AG$3),MIN($J169,AG$2),Data!$K$4:$K$203)/$K169)))</f>
        <v>0</v>
      </c>
      <c r="AH169" s="166">
        <f>IF(OR($I169="",$E169=0),0,IF(OR($J169&lt;AH$3,$I169&gt;AH$2),0,IF($K169=0,IF(AND($I169&gt;=AH$3,$I169&lt;=AH$2),$E169,0),$E169*NETWORKDAYS(MAX($I169,AH$3),MIN($J169,AH$2),Data!$K$4:$K$203)/$K169)))</f>
        <v>0</v>
      </c>
      <c r="AI169" s="166">
        <f>SUM(W169:AH169)</f>
        <v>0</v>
      </c>
      <c r="BZ169" t="str">
        <f>IF(D169=1,IF(TRIM(INDEX(Charge!$K:$K,ROW()))&lt;&gt;"",TRIM(INDEX(Charge!$K:$K,ROW())),IF(TRIM(INDEX(Charge!$L:$L,ROW()))&lt;&gt;"",TRIM(INDEX(Charge!$L:$L,ROW())),"(non affecté)")),"")</f>
        <v/>
      </c>
      <c r="CA169" t="str">
        <f>IF(AND($CD$4&lt;&gt;"",BZ169=$CD$4),COUNTIFS($BZ$4:$BZ$503,$CD$4,$L$4:$L$503,"&lt;"&amp;L169)+1,"")</f>
        <v/>
      </c>
      <c r="EJ169" t="str">
        <f>TRIM(INDEX(Data!$E:$E,ROW()))</f>
        <v/>
      </c>
      <c r="EK169" t="str">
        <f>TRIM(INDEX(Data!$H:$H,ROW()))</f>
        <v/>
      </c>
      <c r="EM169" t="str">
        <f>IF(D169=1,IF(TRIM(INDEX(Charge!$K:$K,ROW()))&lt;&gt;"","Interne",IF(TRIM(INDEX(Charge!$L:$L,ROW()))&lt;&gt;"","Externe","Non affecté")),"")</f>
        <v/>
      </c>
      <c r="EN169" t="str">
        <f>IF(D169=1,LEFT(SUBSTITUTE(SUBSTITUTE(SUBSTITUTE(TRIM(SUBSTITUTE(INDEX(Charge!$B:$B,ROW()),CHAR(160)," "))&amp;" | "&amp;TRIM(SUBSTITUTE(INDEX(Charge!$C:$C,ROW()),CHAR(160)," "))&amp;" | "&amp;TRIM(SUBSTITUTE(INDEX(Charge!$D:$D,ROW()),CHAR(160)," ")),"~","-"),"*","+"),"?","!"),240),"")</f>
        <v/>
      </c>
      <c r="EO169">
        <f>IF(EN169="",0,IF(COUNTIF($EN$4:EN169,EN169)=1,1,0))</f>
        <v>0</v>
      </c>
      <c r="EP169" s="166" t="str">
        <f>IF(EO169=1,ROUND(SUMIF($EN$4:$EN$503,EN169,$E$4:$E$503),2),"")</f>
        <v/>
      </c>
      <c r="EQ169" t="str">
        <f>IF(EO169=1,COUNTIFS($EO$4:$EO$503,1,$EP$4:$EP$503,"&gt;"&amp;EP169)+COUNTIFS($EO$4:EO169,1,$EP$4:EP169,EP169),"")</f>
        <v/>
      </c>
      <c r="ER169" t="str">
        <f>IF(EO169=1,COUNTIFS($EN$4:$EN$503,EN169,$EM$4:$EM$503,"Interne",$FE$4:$FE$503,1),"")</f>
        <v/>
      </c>
      <c r="ES169" t="str">
        <f>IF(EO169=1,COUNTIFS($EN$4:$EN$503,EN169,$EM$4:$EM$503,"Externe",$FE$4:$FE$503,1),"")</f>
        <v/>
      </c>
      <c r="ET169" t="str">
        <f>IF(EO169=1,IF(ER169+ES169=0,"à affecter",IF(ER169=0,ES169&amp;" ext.",(ER169+ES169)&amp;IF(ES169&gt;0," dont "&amp;ES169&amp;" ext.",""))&amp;IF(COUNTIFS($EN$4:$EN$503,EN169,$EM$4:$EM$503,"Non affecté")&gt;0," + à affecter","")),"")</f>
        <v/>
      </c>
      <c r="EU169" s="170" t="str">
        <f>IF(EO169=1,IF(EP169&gt;0,SUMPRODUCT(($EN$4:$EN$503=EN169)*$E$4:$E$503*$C$4:$C$503)/EP169,AVERAGEIF($EN$4:$EN$503,EN169,$C$4:$C$503)),"")</f>
        <v/>
      </c>
      <c r="EV169" s="165">
        <f>IF(ISNUMBER(I169),I169,2958465)</f>
        <v>2958465.0</v>
      </c>
      <c r="EW169" s="165" t="str">
        <f>IF(EO169=1,SUMPRODUCT(MIN(($EN$4:$EN$503=EN169)*$EV$4:$EV$503+($EN$4:$EN$503&lt;&gt;EN169)*2958465)),"")</f>
        <v/>
      </c>
      <c r="EX169" s="165">
        <f>IF(AND(D169=1,ISNUMBER(INDEX(Charge!$F:$F,ROW()))),INDEX(Charge!$F:$F,ROW()),0)</f>
        <v>0.0</v>
      </c>
      <c r="EY169" s="165" t="str">
        <f>IF(EO169=1,SUMPRODUCT(MAX(($EN$4:$EN$503=EN169)*$EX$4:$EX$503)),"")</f>
        <v/>
      </c>
      <c r="FA169" t="str">
        <f>IF(166&lt;=$CD$23,INDEX($EJ$4:$EJ$203,166),IF(166-$CD$23&lt;=$CD$26,INDEX($EK$4:$EK$203,166-$CD$23),""))</f>
        <v/>
      </c>
      <c r="FB169" t="str">
        <f>IF(FA169="","",IF(166&lt;=$CD$23,"Interne","Externe"))</f>
        <v/>
      </c>
      <c r="FD169">
        <f>IF(AND(B169=1,TRIM(INDEX(Charge!$K:$K,ROW()))&lt;&gt;"",TRIM(INDEX(Charge!$L:$L,ROW()))&lt;&gt;""),1,0)</f>
        <v>0</v>
      </c>
      <c r="FE169">
        <f>IF(OR(EN169="",BZ169="(non affecté)"),0,IF(COUNTIFS($EN$4:EN169,EN169,$BZ$4:BZ169,BZ169)=1,1,0))</f>
        <v>0</v>
      </c>
    </row>
    <row r="170">
      <c r="A170">
        <f>ROW()</f>
        <v>170</v>
      </c>
      <c r="B170">
        <f>IF(TRIM(INDEX(Charge!$B:$B,ROW()))&lt;&gt;"",1,0)</f>
        <v>0</v>
      </c>
      <c r="C170">
        <f>IF(B170=1,MIN(1,MAX(0,N(INDEX(Charge!$O:$O,ROW())))),0)</f>
        <v>0</v>
      </c>
      <c r="D170">
        <f>IF(B170=1,IF(OR(p_Perimetre="Tous les projets",C170&lt;1),1,0),0)</f>
        <v>0</v>
      </c>
      <c r="E170">
        <f>IF(D170=1,MAX(0,N(INDEX(Charge!$M:$M,ROW()))),0)</f>
        <v>0</v>
      </c>
      <c r="F170" t="str">
        <f>IF(D170=1,IF(TRIM(INDEX(Charge!$A:$A,ROW()))="","(non renseigné)",TRIM(INDEX(Charge!$A:$A,ROW()))),"")</f>
        <v/>
      </c>
      <c r="G170" t="str">
        <f>IF(D170=1,TRIM(INDEX(Charge!$B:$B,ROW())),"")</f>
        <v/>
      </c>
      <c r="H170" t="str">
        <f>IF(D170=1,IF(TRIM(INDEX(Charge!$E:$E,ROW()))="","(non renseigné)",TRIM(INDEX(Charge!$E:$E,ROW()))),"")</f>
        <v/>
      </c>
      <c r="I170" s="165" t="str">
        <f>IF(AND(D170=1,ISNUMBER(INDEX(Charge!$N:$N,ROW()))),INDEX(Charge!$N:$N,ROW()),"")</f>
        <v/>
      </c>
      <c r="J170" s="165" t="str">
        <f>IF(I170="","",IF(AND(p_Repartition="Lissée jusqu'à la date de besoin",ISNUMBER(INDEX(Charge!$F:$F,ROW()))),IF(INDEX(Charge!$F:$F,ROW())&gt;=I170,INDEX(Charge!$F:$F,ROW()),I170),I170))</f>
        <v/>
      </c>
      <c r="K170" t="str">
        <f>IF(I170="","",NETWORKDAYS(I170,J170,Data!$K$4:$K$203))</f>
        <v/>
      </c>
      <c r="L170" t="str">
        <f>IF(D170=1,COUNTIFS($D$4:$D$503,1,$E$4:$E$503,"&gt;"&amp;E170)+COUNTIFS($D$4:$D170,1,$E$4:$E170,E170),"")</f>
        <v/>
      </c>
      <c r="M170">
        <f>IF(F170="",0,IF(COUNTIF($F$4:F170,F170)=1,1,0))</f>
        <v>0</v>
      </c>
      <c r="N170" t="str">
        <f>IF(M170=1,ROUND(SUMIF($F$4:$F$503,F170,$E$4:$E$503),2),"")</f>
        <v/>
      </c>
      <c r="O170" t="str">
        <f>IF(M170=1,COUNTIFS($M$4:$M$503,1,$N$4:$N$503,"&gt;"&amp;N170)+COUNTIFS($M$4:M170,1,$N$4:N170,N170),"")</f>
        <v/>
      </c>
      <c r="P170">
        <f>IF(G170="",0,IF(COUNTIF($G$4:G170,G170)=1,1,0))</f>
        <v>0</v>
      </c>
      <c r="Q170" t="str">
        <f>IF(P170=1,ROUND(SUMIF($G$4:$G$503,G170,$E$4:$E$503),2),"")</f>
        <v/>
      </c>
      <c r="R170" t="str">
        <f>IF(P170=1,COUNTIFS($P$4:$P$503,1,$Q$4:$Q$503,"&gt;"&amp;Q170)+COUNTIFS($P$4:P170,1,$Q$4:Q170,Q170),"")</f>
        <v/>
      </c>
      <c r="S170">
        <f>IF(H170="",0,IF(COUNTIF($H$4:H170,H170)=1,1,0))</f>
        <v>0</v>
      </c>
      <c r="T170" t="str">
        <f>IF(S170=1,ROUND(SUMIF($H$4:$H$503,H170,$E$4:$E$503),2),"")</f>
        <v/>
      </c>
      <c r="U170" t="str">
        <f>IF(S170=1,COUNTIFS($S$4:$S$503,1,$T$4:$T$503,"&gt;"&amp;T170)+COUNTIFS($S$4:S170,1,$T$4:T170,T170),"")</f>
        <v/>
      </c>
      <c r="V170" t="str">
        <f>IF(D170=1,MIN(INDEX($R$4:$R$503,MATCH(G170,$G$4:$G$503,0)),IF($AL$7&gt;9,9,999)),"")</f>
        <v/>
      </c>
      <c r="W170" s="166">
        <f>IF(OR($I170="",$E170=0),0,IF(OR($J170&lt;W$3,$I170&gt;W$2),0,IF($K170=0,IF(AND($I170&gt;=W$3,$I170&lt;=W$2),$E170,0),$E170*NETWORKDAYS(MAX($I170,W$3),MIN($J170,W$2),Data!$K$4:$K$203)/$K170)))</f>
        <v>0</v>
      </c>
      <c r="X170" s="166">
        <f>IF(OR($I170="",$E170=0),0,IF(OR($J170&lt;X$3,$I170&gt;X$2),0,IF($K170=0,IF(AND($I170&gt;=X$3,$I170&lt;=X$2),$E170,0),$E170*NETWORKDAYS(MAX($I170,X$3),MIN($J170,X$2),Data!$K$4:$K$203)/$K170)))</f>
        <v>0</v>
      </c>
      <c r="Y170" s="166">
        <f>IF(OR($I170="",$E170=0),0,IF(OR($J170&lt;Y$3,$I170&gt;Y$2),0,IF($K170=0,IF(AND($I170&gt;=Y$3,$I170&lt;=Y$2),$E170,0),$E170*NETWORKDAYS(MAX($I170,Y$3),MIN($J170,Y$2),Data!$K$4:$K$203)/$K170)))</f>
        <v>0</v>
      </c>
      <c r="Z170" s="166">
        <f>IF(OR($I170="",$E170=0),0,IF(OR($J170&lt;Z$3,$I170&gt;Z$2),0,IF($K170=0,IF(AND($I170&gt;=Z$3,$I170&lt;=Z$2),$E170,0),$E170*NETWORKDAYS(MAX($I170,Z$3),MIN($J170,Z$2),Data!$K$4:$K$203)/$K170)))</f>
        <v>0</v>
      </c>
      <c r="AA170" s="166">
        <f>IF(OR($I170="",$E170=0),0,IF(OR($J170&lt;AA$3,$I170&gt;AA$2),0,IF($K170=0,IF(AND($I170&gt;=AA$3,$I170&lt;=AA$2),$E170,0),$E170*NETWORKDAYS(MAX($I170,AA$3),MIN($J170,AA$2),Data!$K$4:$K$203)/$K170)))</f>
        <v>0</v>
      </c>
      <c r="AB170" s="166">
        <f>IF(OR($I170="",$E170=0),0,IF(OR($J170&lt;AB$3,$I170&gt;AB$2),0,IF($K170=0,IF(AND($I170&gt;=AB$3,$I170&lt;=AB$2),$E170,0),$E170*NETWORKDAYS(MAX($I170,AB$3),MIN($J170,AB$2),Data!$K$4:$K$203)/$K170)))</f>
        <v>0</v>
      </c>
      <c r="AC170" s="166">
        <f>IF(OR($I170="",$E170=0),0,IF(OR($J170&lt;AC$3,$I170&gt;AC$2),0,IF($K170=0,IF(AND($I170&gt;=AC$3,$I170&lt;=AC$2),$E170,0),$E170*NETWORKDAYS(MAX($I170,AC$3),MIN($J170,AC$2),Data!$K$4:$K$203)/$K170)))</f>
        <v>0</v>
      </c>
      <c r="AD170" s="166">
        <f>IF(OR($I170="",$E170=0),0,IF(OR($J170&lt;AD$3,$I170&gt;AD$2),0,IF($K170=0,IF(AND($I170&gt;=AD$3,$I170&lt;=AD$2),$E170,0),$E170*NETWORKDAYS(MAX($I170,AD$3),MIN($J170,AD$2),Data!$K$4:$K$203)/$K170)))</f>
        <v>0</v>
      </c>
      <c r="AE170" s="166">
        <f>IF(OR($I170="",$E170=0),0,IF(OR($J170&lt;AE$3,$I170&gt;AE$2),0,IF($K170=0,IF(AND($I170&gt;=AE$3,$I170&lt;=AE$2),$E170,0),$E170*NETWORKDAYS(MAX($I170,AE$3),MIN($J170,AE$2),Data!$K$4:$K$203)/$K170)))</f>
        <v>0</v>
      </c>
      <c r="AF170" s="166">
        <f>IF(OR($I170="",$E170=0),0,IF(OR($J170&lt;AF$3,$I170&gt;AF$2),0,IF($K170=0,IF(AND($I170&gt;=AF$3,$I170&lt;=AF$2),$E170,0),$E170*NETWORKDAYS(MAX($I170,AF$3),MIN($J170,AF$2),Data!$K$4:$K$203)/$K170)))</f>
        <v>0</v>
      </c>
      <c r="AG170" s="166">
        <f>IF(OR($I170="",$E170=0),0,IF(OR($J170&lt;AG$3,$I170&gt;AG$2),0,IF($K170=0,IF(AND($I170&gt;=AG$3,$I170&lt;=AG$2),$E170,0),$E170*NETWORKDAYS(MAX($I170,AG$3),MIN($J170,AG$2),Data!$K$4:$K$203)/$K170)))</f>
        <v>0</v>
      </c>
      <c r="AH170" s="166">
        <f>IF(OR($I170="",$E170=0),0,IF(OR($J170&lt;AH$3,$I170&gt;AH$2),0,IF($K170=0,IF(AND($I170&gt;=AH$3,$I170&lt;=AH$2),$E170,0),$E170*NETWORKDAYS(MAX($I170,AH$3),MIN($J170,AH$2),Data!$K$4:$K$203)/$K170)))</f>
        <v>0</v>
      </c>
      <c r="AI170" s="166">
        <f>SUM(W170:AH170)</f>
        <v>0</v>
      </c>
      <c r="BZ170" t="str">
        <f>IF(D170=1,IF(TRIM(INDEX(Charge!$K:$K,ROW()))&lt;&gt;"",TRIM(INDEX(Charge!$K:$K,ROW())),IF(TRIM(INDEX(Charge!$L:$L,ROW()))&lt;&gt;"",TRIM(INDEX(Charge!$L:$L,ROW())),"(non affecté)")),"")</f>
        <v/>
      </c>
      <c r="CA170" t="str">
        <f>IF(AND($CD$4&lt;&gt;"",BZ170=$CD$4),COUNTIFS($BZ$4:$BZ$503,$CD$4,$L$4:$L$503,"&lt;"&amp;L170)+1,"")</f>
        <v/>
      </c>
      <c r="EJ170" t="str">
        <f>TRIM(INDEX(Data!$E:$E,ROW()))</f>
        <v/>
      </c>
      <c r="EK170" t="str">
        <f>TRIM(INDEX(Data!$H:$H,ROW()))</f>
        <v/>
      </c>
      <c r="EM170" t="str">
        <f>IF(D170=1,IF(TRIM(INDEX(Charge!$K:$K,ROW()))&lt;&gt;"","Interne",IF(TRIM(INDEX(Charge!$L:$L,ROW()))&lt;&gt;"","Externe","Non affecté")),"")</f>
        <v/>
      </c>
      <c r="EN170" t="str">
        <f>IF(D170=1,LEFT(SUBSTITUTE(SUBSTITUTE(SUBSTITUTE(TRIM(SUBSTITUTE(INDEX(Charge!$B:$B,ROW()),CHAR(160)," "))&amp;" | "&amp;TRIM(SUBSTITUTE(INDEX(Charge!$C:$C,ROW()),CHAR(160)," "))&amp;" | "&amp;TRIM(SUBSTITUTE(INDEX(Charge!$D:$D,ROW()),CHAR(160)," ")),"~","-"),"*","+"),"?","!"),240),"")</f>
        <v/>
      </c>
      <c r="EO170">
        <f>IF(EN170="",0,IF(COUNTIF($EN$4:EN170,EN170)=1,1,0))</f>
        <v>0</v>
      </c>
      <c r="EP170" s="166" t="str">
        <f>IF(EO170=1,ROUND(SUMIF($EN$4:$EN$503,EN170,$E$4:$E$503),2),"")</f>
        <v/>
      </c>
      <c r="EQ170" t="str">
        <f>IF(EO170=1,COUNTIFS($EO$4:$EO$503,1,$EP$4:$EP$503,"&gt;"&amp;EP170)+COUNTIFS($EO$4:EO170,1,$EP$4:EP170,EP170),"")</f>
        <v/>
      </c>
      <c r="ER170" t="str">
        <f>IF(EO170=1,COUNTIFS($EN$4:$EN$503,EN170,$EM$4:$EM$503,"Interne",$FE$4:$FE$503,1),"")</f>
        <v/>
      </c>
      <c r="ES170" t="str">
        <f>IF(EO170=1,COUNTIFS($EN$4:$EN$503,EN170,$EM$4:$EM$503,"Externe",$FE$4:$FE$503,1),"")</f>
        <v/>
      </c>
      <c r="ET170" t="str">
        <f>IF(EO170=1,IF(ER170+ES170=0,"à affecter",IF(ER170=0,ES170&amp;" ext.",(ER170+ES170)&amp;IF(ES170&gt;0," dont "&amp;ES170&amp;" ext.",""))&amp;IF(COUNTIFS($EN$4:$EN$503,EN170,$EM$4:$EM$503,"Non affecté")&gt;0," + à affecter","")),"")</f>
        <v/>
      </c>
      <c r="EU170" s="170" t="str">
        <f>IF(EO170=1,IF(EP170&gt;0,SUMPRODUCT(($EN$4:$EN$503=EN170)*$E$4:$E$503*$C$4:$C$503)/EP170,AVERAGEIF($EN$4:$EN$503,EN170,$C$4:$C$503)),"")</f>
        <v/>
      </c>
      <c r="EV170" s="165">
        <f>IF(ISNUMBER(I170),I170,2958465)</f>
        <v>2958465.0</v>
      </c>
      <c r="EW170" s="165" t="str">
        <f>IF(EO170=1,SUMPRODUCT(MIN(($EN$4:$EN$503=EN170)*$EV$4:$EV$503+($EN$4:$EN$503&lt;&gt;EN170)*2958465)),"")</f>
        <v/>
      </c>
      <c r="EX170" s="165">
        <f>IF(AND(D170=1,ISNUMBER(INDEX(Charge!$F:$F,ROW()))),INDEX(Charge!$F:$F,ROW()),0)</f>
        <v>0.0</v>
      </c>
      <c r="EY170" s="165" t="str">
        <f>IF(EO170=1,SUMPRODUCT(MAX(($EN$4:$EN$503=EN170)*$EX$4:$EX$503)),"")</f>
        <v/>
      </c>
      <c r="FA170" t="str">
        <f>IF(167&lt;=$CD$23,INDEX($EJ$4:$EJ$203,167),IF(167-$CD$23&lt;=$CD$26,INDEX($EK$4:$EK$203,167-$CD$23),""))</f>
        <v/>
      </c>
      <c r="FB170" t="str">
        <f>IF(FA170="","",IF(167&lt;=$CD$23,"Interne","Externe"))</f>
        <v/>
      </c>
      <c r="FD170">
        <f>IF(AND(B170=1,TRIM(INDEX(Charge!$K:$K,ROW()))&lt;&gt;"",TRIM(INDEX(Charge!$L:$L,ROW()))&lt;&gt;""),1,0)</f>
        <v>0</v>
      </c>
      <c r="FE170">
        <f>IF(OR(EN170="",BZ170="(non affecté)"),0,IF(COUNTIFS($EN$4:EN170,EN170,$BZ$4:BZ170,BZ170)=1,1,0))</f>
        <v>0</v>
      </c>
    </row>
    <row r="171">
      <c r="A171">
        <f>ROW()</f>
        <v>171</v>
      </c>
      <c r="B171">
        <f>IF(TRIM(INDEX(Charge!$B:$B,ROW()))&lt;&gt;"",1,0)</f>
        <v>0</v>
      </c>
      <c r="C171">
        <f>IF(B171=1,MIN(1,MAX(0,N(INDEX(Charge!$O:$O,ROW())))),0)</f>
        <v>0</v>
      </c>
      <c r="D171">
        <f>IF(B171=1,IF(OR(p_Perimetre="Tous les projets",C171&lt;1),1,0),0)</f>
        <v>0</v>
      </c>
      <c r="E171">
        <f>IF(D171=1,MAX(0,N(INDEX(Charge!$M:$M,ROW()))),0)</f>
        <v>0</v>
      </c>
      <c r="F171" t="str">
        <f>IF(D171=1,IF(TRIM(INDEX(Charge!$A:$A,ROW()))="","(non renseigné)",TRIM(INDEX(Charge!$A:$A,ROW()))),"")</f>
        <v/>
      </c>
      <c r="G171" t="str">
        <f>IF(D171=1,TRIM(INDEX(Charge!$B:$B,ROW())),"")</f>
        <v/>
      </c>
      <c r="H171" t="str">
        <f>IF(D171=1,IF(TRIM(INDEX(Charge!$E:$E,ROW()))="","(non renseigné)",TRIM(INDEX(Charge!$E:$E,ROW()))),"")</f>
        <v/>
      </c>
      <c r="I171" s="165" t="str">
        <f>IF(AND(D171=1,ISNUMBER(INDEX(Charge!$N:$N,ROW()))),INDEX(Charge!$N:$N,ROW()),"")</f>
        <v/>
      </c>
      <c r="J171" s="165" t="str">
        <f>IF(I171="","",IF(AND(p_Repartition="Lissée jusqu'à la date de besoin",ISNUMBER(INDEX(Charge!$F:$F,ROW()))),IF(INDEX(Charge!$F:$F,ROW())&gt;=I171,INDEX(Charge!$F:$F,ROW()),I171),I171))</f>
        <v/>
      </c>
      <c r="K171" t="str">
        <f>IF(I171="","",NETWORKDAYS(I171,J171,Data!$K$4:$K$203))</f>
        <v/>
      </c>
      <c r="L171" t="str">
        <f>IF(D171=1,COUNTIFS($D$4:$D$503,1,$E$4:$E$503,"&gt;"&amp;E171)+COUNTIFS($D$4:$D171,1,$E$4:$E171,E171),"")</f>
        <v/>
      </c>
      <c r="M171">
        <f>IF(F171="",0,IF(COUNTIF($F$4:F171,F171)=1,1,0))</f>
        <v>0</v>
      </c>
      <c r="N171" t="str">
        <f>IF(M171=1,ROUND(SUMIF($F$4:$F$503,F171,$E$4:$E$503),2),"")</f>
        <v/>
      </c>
      <c r="O171" t="str">
        <f>IF(M171=1,COUNTIFS($M$4:$M$503,1,$N$4:$N$503,"&gt;"&amp;N171)+COUNTIFS($M$4:M171,1,$N$4:N171,N171),"")</f>
        <v/>
      </c>
      <c r="P171">
        <f>IF(G171="",0,IF(COUNTIF($G$4:G171,G171)=1,1,0))</f>
        <v>0</v>
      </c>
      <c r="Q171" t="str">
        <f>IF(P171=1,ROUND(SUMIF($G$4:$G$503,G171,$E$4:$E$503),2),"")</f>
        <v/>
      </c>
      <c r="R171" t="str">
        <f>IF(P171=1,COUNTIFS($P$4:$P$503,1,$Q$4:$Q$503,"&gt;"&amp;Q171)+COUNTIFS($P$4:P171,1,$Q$4:Q171,Q171),"")</f>
        <v/>
      </c>
      <c r="S171">
        <f>IF(H171="",0,IF(COUNTIF($H$4:H171,H171)=1,1,0))</f>
        <v>0</v>
      </c>
      <c r="T171" t="str">
        <f>IF(S171=1,ROUND(SUMIF($H$4:$H$503,H171,$E$4:$E$503),2),"")</f>
        <v/>
      </c>
      <c r="U171" t="str">
        <f>IF(S171=1,COUNTIFS($S$4:$S$503,1,$T$4:$T$503,"&gt;"&amp;T171)+COUNTIFS($S$4:S171,1,$T$4:T171,T171),"")</f>
        <v/>
      </c>
      <c r="V171" t="str">
        <f>IF(D171=1,MIN(INDEX($R$4:$R$503,MATCH(G171,$G$4:$G$503,0)),IF($AL$7&gt;9,9,999)),"")</f>
        <v/>
      </c>
      <c r="W171" s="166">
        <f>IF(OR($I171="",$E171=0),0,IF(OR($J171&lt;W$3,$I171&gt;W$2),0,IF($K171=0,IF(AND($I171&gt;=W$3,$I171&lt;=W$2),$E171,0),$E171*NETWORKDAYS(MAX($I171,W$3),MIN($J171,W$2),Data!$K$4:$K$203)/$K171)))</f>
        <v>0</v>
      </c>
      <c r="X171" s="166">
        <f>IF(OR($I171="",$E171=0),0,IF(OR($J171&lt;X$3,$I171&gt;X$2),0,IF($K171=0,IF(AND($I171&gt;=X$3,$I171&lt;=X$2),$E171,0),$E171*NETWORKDAYS(MAX($I171,X$3),MIN($J171,X$2),Data!$K$4:$K$203)/$K171)))</f>
        <v>0</v>
      </c>
      <c r="Y171" s="166">
        <f>IF(OR($I171="",$E171=0),0,IF(OR($J171&lt;Y$3,$I171&gt;Y$2),0,IF($K171=0,IF(AND($I171&gt;=Y$3,$I171&lt;=Y$2),$E171,0),$E171*NETWORKDAYS(MAX($I171,Y$3),MIN($J171,Y$2),Data!$K$4:$K$203)/$K171)))</f>
        <v>0</v>
      </c>
      <c r="Z171" s="166">
        <f>IF(OR($I171="",$E171=0),0,IF(OR($J171&lt;Z$3,$I171&gt;Z$2),0,IF($K171=0,IF(AND($I171&gt;=Z$3,$I171&lt;=Z$2),$E171,0),$E171*NETWORKDAYS(MAX($I171,Z$3),MIN($J171,Z$2),Data!$K$4:$K$203)/$K171)))</f>
        <v>0</v>
      </c>
      <c r="AA171" s="166">
        <f>IF(OR($I171="",$E171=0),0,IF(OR($J171&lt;AA$3,$I171&gt;AA$2),0,IF($K171=0,IF(AND($I171&gt;=AA$3,$I171&lt;=AA$2),$E171,0),$E171*NETWORKDAYS(MAX($I171,AA$3),MIN($J171,AA$2),Data!$K$4:$K$203)/$K171)))</f>
        <v>0</v>
      </c>
      <c r="AB171" s="166">
        <f>IF(OR($I171="",$E171=0),0,IF(OR($J171&lt;AB$3,$I171&gt;AB$2),0,IF($K171=0,IF(AND($I171&gt;=AB$3,$I171&lt;=AB$2),$E171,0),$E171*NETWORKDAYS(MAX($I171,AB$3),MIN($J171,AB$2),Data!$K$4:$K$203)/$K171)))</f>
        <v>0</v>
      </c>
      <c r="AC171" s="166">
        <f>IF(OR($I171="",$E171=0),0,IF(OR($J171&lt;AC$3,$I171&gt;AC$2),0,IF($K171=0,IF(AND($I171&gt;=AC$3,$I171&lt;=AC$2),$E171,0),$E171*NETWORKDAYS(MAX($I171,AC$3),MIN($J171,AC$2),Data!$K$4:$K$203)/$K171)))</f>
        <v>0</v>
      </c>
      <c r="AD171" s="166">
        <f>IF(OR($I171="",$E171=0),0,IF(OR($J171&lt;AD$3,$I171&gt;AD$2),0,IF($K171=0,IF(AND($I171&gt;=AD$3,$I171&lt;=AD$2),$E171,0),$E171*NETWORKDAYS(MAX($I171,AD$3),MIN($J171,AD$2),Data!$K$4:$K$203)/$K171)))</f>
        <v>0</v>
      </c>
      <c r="AE171" s="166">
        <f>IF(OR($I171="",$E171=0),0,IF(OR($J171&lt;AE$3,$I171&gt;AE$2),0,IF($K171=0,IF(AND($I171&gt;=AE$3,$I171&lt;=AE$2),$E171,0),$E171*NETWORKDAYS(MAX($I171,AE$3),MIN($J171,AE$2),Data!$K$4:$K$203)/$K171)))</f>
        <v>0</v>
      </c>
      <c r="AF171" s="166">
        <f>IF(OR($I171="",$E171=0),0,IF(OR($J171&lt;AF$3,$I171&gt;AF$2),0,IF($K171=0,IF(AND($I171&gt;=AF$3,$I171&lt;=AF$2),$E171,0),$E171*NETWORKDAYS(MAX($I171,AF$3),MIN($J171,AF$2),Data!$K$4:$K$203)/$K171)))</f>
        <v>0</v>
      </c>
      <c r="AG171" s="166">
        <f>IF(OR($I171="",$E171=0),0,IF(OR($J171&lt;AG$3,$I171&gt;AG$2),0,IF($K171=0,IF(AND($I171&gt;=AG$3,$I171&lt;=AG$2),$E171,0),$E171*NETWORKDAYS(MAX($I171,AG$3),MIN($J171,AG$2),Data!$K$4:$K$203)/$K171)))</f>
        <v>0</v>
      </c>
      <c r="AH171" s="166">
        <f>IF(OR($I171="",$E171=0),0,IF(OR($J171&lt;AH$3,$I171&gt;AH$2),0,IF($K171=0,IF(AND($I171&gt;=AH$3,$I171&lt;=AH$2),$E171,0),$E171*NETWORKDAYS(MAX($I171,AH$3),MIN($J171,AH$2),Data!$K$4:$K$203)/$K171)))</f>
        <v>0</v>
      </c>
      <c r="AI171" s="166">
        <f>SUM(W171:AH171)</f>
        <v>0</v>
      </c>
      <c r="BZ171" t="str">
        <f>IF(D171=1,IF(TRIM(INDEX(Charge!$K:$K,ROW()))&lt;&gt;"",TRIM(INDEX(Charge!$K:$K,ROW())),IF(TRIM(INDEX(Charge!$L:$L,ROW()))&lt;&gt;"",TRIM(INDEX(Charge!$L:$L,ROW())),"(non affecté)")),"")</f>
        <v/>
      </c>
      <c r="CA171" t="str">
        <f>IF(AND($CD$4&lt;&gt;"",BZ171=$CD$4),COUNTIFS($BZ$4:$BZ$503,$CD$4,$L$4:$L$503,"&lt;"&amp;L171)+1,"")</f>
        <v/>
      </c>
      <c r="EJ171" t="str">
        <f>TRIM(INDEX(Data!$E:$E,ROW()))</f>
        <v/>
      </c>
      <c r="EK171" t="str">
        <f>TRIM(INDEX(Data!$H:$H,ROW()))</f>
        <v/>
      </c>
      <c r="EM171" t="str">
        <f>IF(D171=1,IF(TRIM(INDEX(Charge!$K:$K,ROW()))&lt;&gt;"","Interne",IF(TRIM(INDEX(Charge!$L:$L,ROW()))&lt;&gt;"","Externe","Non affecté")),"")</f>
        <v/>
      </c>
      <c r="EN171" t="str">
        <f>IF(D171=1,LEFT(SUBSTITUTE(SUBSTITUTE(SUBSTITUTE(TRIM(SUBSTITUTE(INDEX(Charge!$B:$B,ROW()),CHAR(160)," "))&amp;" | "&amp;TRIM(SUBSTITUTE(INDEX(Charge!$C:$C,ROW()),CHAR(160)," "))&amp;" | "&amp;TRIM(SUBSTITUTE(INDEX(Charge!$D:$D,ROW()),CHAR(160)," ")),"~","-"),"*","+"),"?","!"),240),"")</f>
        <v/>
      </c>
      <c r="EO171">
        <f>IF(EN171="",0,IF(COUNTIF($EN$4:EN171,EN171)=1,1,0))</f>
        <v>0</v>
      </c>
      <c r="EP171" s="166" t="str">
        <f>IF(EO171=1,ROUND(SUMIF($EN$4:$EN$503,EN171,$E$4:$E$503),2),"")</f>
        <v/>
      </c>
      <c r="EQ171" t="str">
        <f>IF(EO171=1,COUNTIFS($EO$4:$EO$503,1,$EP$4:$EP$503,"&gt;"&amp;EP171)+COUNTIFS($EO$4:EO171,1,$EP$4:EP171,EP171),"")</f>
        <v/>
      </c>
      <c r="ER171" t="str">
        <f>IF(EO171=1,COUNTIFS($EN$4:$EN$503,EN171,$EM$4:$EM$503,"Interne",$FE$4:$FE$503,1),"")</f>
        <v/>
      </c>
      <c r="ES171" t="str">
        <f>IF(EO171=1,COUNTIFS($EN$4:$EN$503,EN171,$EM$4:$EM$503,"Externe",$FE$4:$FE$503,1),"")</f>
        <v/>
      </c>
      <c r="ET171" t="str">
        <f>IF(EO171=1,IF(ER171+ES171=0,"à affecter",IF(ER171=0,ES171&amp;" ext.",(ER171+ES171)&amp;IF(ES171&gt;0," dont "&amp;ES171&amp;" ext.",""))&amp;IF(COUNTIFS($EN$4:$EN$503,EN171,$EM$4:$EM$503,"Non affecté")&gt;0," + à affecter","")),"")</f>
        <v/>
      </c>
      <c r="EU171" s="170" t="str">
        <f>IF(EO171=1,IF(EP171&gt;0,SUMPRODUCT(($EN$4:$EN$503=EN171)*$E$4:$E$503*$C$4:$C$503)/EP171,AVERAGEIF($EN$4:$EN$503,EN171,$C$4:$C$503)),"")</f>
        <v/>
      </c>
      <c r="EV171" s="165">
        <f>IF(ISNUMBER(I171),I171,2958465)</f>
        <v>2958465.0</v>
      </c>
      <c r="EW171" s="165" t="str">
        <f>IF(EO171=1,SUMPRODUCT(MIN(($EN$4:$EN$503=EN171)*$EV$4:$EV$503+($EN$4:$EN$503&lt;&gt;EN171)*2958465)),"")</f>
        <v/>
      </c>
      <c r="EX171" s="165">
        <f>IF(AND(D171=1,ISNUMBER(INDEX(Charge!$F:$F,ROW()))),INDEX(Charge!$F:$F,ROW()),0)</f>
        <v>0.0</v>
      </c>
      <c r="EY171" s="165" t="str">
        <f>IF(EO171=1,SUMPRODUCT(MAX(($EN$4:$EN$503=EN171)*$EX$4:$EX$503)),"")</f>
        <v/>
      </c>
      <c r="FA171" t="str">
        <f>IF(168&lt;=$CD$23,INDEX($EJ$4:$EJ$203,168),IF(168-$CD$23&lt;=$CD$26,INDEX($EK$4:$EK$203,168-$CD$23),""))</f>
        <v/>
      </c>
      <c r="FB171" t="str">
        <f>IF(FA171="","",IF(168&lt;=$CD$23,"Interne","Externe"))</f>
        <v/>
      </c>
      <c r="FD171">
        <f>IF(AND(B171=1,TRIM(INDEX(Charge!$K:$K,ROW()))&lt;&gt;"",TRIM(INDEX(Charge!$L:$L,ROW()))&lt;&gt;""),1,0)</f>
        <v>0</v>
      </c>
      <c r="FE171">
        <f>IF(OR(EN171="",BZ171="(non affecté)"),0,IF(COUNTIFS($EN$4:EN171,EN171,$BZ$4:BZ171,BZ171)=1,1,0))</f>
        <v>0</v>
      </c>
    </row>
    <row r="172">
      <c r="A172">
        <f>ROW()</f>
        <v>172</v>
      </c>
      <c r="B172">
        <f>IF(TRIM(INDEX(Charge!$B:$B,ROW()))&lt;&gt;"",1,0)</f>
        <v>0</v>
      </c>
      <c r="C172">
        <f>IF(B172=1,MIN(1,MAX(0,N(INDEX(Charge!$O:$O,ROW())))),0)</f>
        <v>0</v>
      </c>
      <c r="D172">
        <f>IF(B172=1,IF(OR(p_Perimetre="Tous les projets",C172&lt;1),1,0),0)</f>
        <v>0</v>
      </c>
      <c r="E172">
        <f>IF(D172=1,MAX(0,N(INDEX(Charge!$M:$M,ROW()))),0)</f>
        <v>0</v>
      </c>
      <c r="F172" t="str">
        <f>IF(D172=1,IF(TRIM(INDEX(Charge!$A:$A,ROW()))="","(non renseigné)",TRIM(INDEX(Charge!$A:$A,ROW()))),"")</f>
        <v/>
      </c>
      <c r="G172" t="str">
        <f>IF(D172=1,TRIM(INDEX(Charge!$B:$B,ROW())),"")</f>
        <v/>
      </c>
      <c r="H172" t="str">
        <f>IF(D172=1,IF(TRIM(INDEX(Charge!$E:$E,ROW()))="","(non renseigné)",TRIM(INDEX(Charge!$E:$E,ROW()))),"")</f>
        <v/>
      </c>
      <c r="I172" s="165" t="str">
        <f>IF(AND(D172=1,ISNUMBER(INDEX(Charge!$N:$N,ROW()))),INDEX(Charge!$N:$N,ROW()),"")</f>
        <v/>
      </c>
      <c r="J172" s="165" t="str">
        <f>IF(I172="","",IF(AND(p_Repartition="Lissée jusqu'à la date de besoin",ISNUMBER(INDEX(Charge!$F:$F,ROW()))),IF(INDEX(Charge!$F:$F,ROW())&gt;=I172,INDEX(Charge!$F:$F,ROW()),I172),I172))</f>
        <v/>
      </c>
      <c r="K172" t="str">
        <f>IF(I172="","",NETWORKDAYS(I172,J172,Data!$K$4:$K$203))</f>
        <v/>
      </c>
      <c r="L172" t="str">
        <f>IF(D172=1,COUNTIFS($D$4:$D$503,1,$E$4:$E$503,"&gt;"&amp;E172)+COUNTIFS($D$4:$D172,1,$E$4:$E172,E172),"")</f>
        <v/>
      </c>
      <c r="M172">
        <f>IF(F172="",0,IF(COUNTIF($F$4:F172,F172)=1,1,0))</f>
        <v>0</v>
      </c>
      <c r="N172" t="str">
        <f>IF(M172=1,ROUND(SUMIF($F$4:$F$503,F172,$E$4:$E$503),2),"")</f>
        <v/>
      </c>
      <c r="O172" t="str">
        <f>IF(M172=1,COUNTIFS($M$4:$M$503,1,$N$4:$N$503,"&gt;"&amp;N172)+COUNTIFS($M$4:M172,1,$N$4:N172,N172),"")</f>
        <v/>
      </c>
      <c r="P172">
        <f>IF(G172="",0,IF(COUNTIF($G$4:G172,G172)=1,1,0))</f>
        <v>0</v>
      </c>
      <c r="Q172" t="str">
        <f>IF(P172=1,ROUND(SUMIF($G$4:$G$503,G172,$E$4:$E$503),2),"")</f>
        <v/>
      </c>
      <c r="R172" t="str">
        <f>IF(P172=1,COUNTIFS($P$4:$P$503,1,$Q$4:$Q$503,"&gt;"&amp;Q172)+COUNTIFS($P$4:P172,1,$Q$4:Q172,Q172),"")</f>
        <v/>
      </c>
      <c r="S172">
        <f>IF(H172="",0,IF(COUNTIF($H$4:H172,H172)=1,1,0))</f>
        <v>0</v>
      </c>
      <c r="T172" t="str">
        <f>IF(S172=1,ROUND(SUMIF($H$4:$H$503,H172,$E$4:$E$503),2),"")</f>
        <v/>
      </c>
      <c r="U172" t="str">
        <f>IF(S172=1,COUNTIFS($S$4:$S$503,1,$T$4:$T$503,"&gt;"&amp;T172)+COUNTIFS($S$4:S172,1,$T$4:T172,T172),"")</f>
        <v/>
      </c>
      <c r="V172" t="str">
        <f>IF(D172=1,MIN(INDEX($R$4:$R$503,MATCH(G172,$G$4:$G$503,0)),IF($AL$7&gt;9,9,999)),"")</f>
        <v/>
      </c>
      <c r="W172" s="166">
        <f>IF(OR($I172="",$E172=0),0,IF(OR($J172&lt;W$3,$I172&gt;W$2),0,IF($K172=0,IF(AND($I172&gt;=W$3,$I172&lt;=W$2),$E172,0),$E172*NETWORKDAYS(MAX($I172,W$3),MIN($J172,W$2),Data!$K$4:$K$203)/$K172)))</f>
        <v>0</v>
      </c>
      <c r="X172" s="166">
        <f>IF(OR($I172="",$E172=0),0,IF(OR($J172&lt;X$3,$I172&gt;X$2),0,IF($K172=0,IF(AND($I172&gt;=X$3,$I172&lt;=X$2),$E172,0),$E172*NETWORKDAYS(MAX($I172,X$3),MIN($J172,X$2),Data!$K$4:$K$203)/$K172)))</f>
        <v>0</v>
      </c>
      <c r="Y172" s="166">
        <f>IF(OR($I172="",$E172=0),0,IF(OR($J172&lt;Y$3,$I172&gt;Y$2),0,IF($K172=0,IF(AND($I172&gt;=Y$3,$I172&lt;=Y$2),$E172,0),$E172*NETWORKDAYS(MAX($I172,Y$3),MIN($J172,Y$2),Data!$K$4:$K$203)/$K172)))</f>
        <v>0</v>
      </c>
      <c r="Z172" s="166">
        <f>IF(OR($I172="",$E172=0),0,IF(OR($J172&lt;Z$3,$I172&gt;Z$2),0,IF($K172=0,IF(AND($I172&gt;=Z$3,$I172&lt;=Z$2),$E172,0),$E172*NETWORKDAYS(MAX($I172,Z$3),MIN($J172,Z$2),Data!$K$4:$K$203)/$K172)))</f>
        <v>0</v>
      </c>
      <c r="AA172" s="166">
        <f>IF(OR($I172="",$E172=0),0,IF(OR($J172&lt;AA$3,$I172&gt;AA$2),0,IF($K172=0,IF(AND($I172&gt;=AA$3,$I172&lt;=AA$2),$E172,0),$E172*NETWORKDAYS(MAX($I172,AA$3),MIN($J172,AA$2),Data!$K$4:$K$203)/$K172)))</f>
        <v>0</v>
      </c>
      <c r="AB172" s="166">
        <f>IF(OR($I172="",$E172=0),0,IF(OR($J172&lt;AB$3,$I172&gt;AB$2),0,IF($K172=0,IF(AND($I172&gt;=AB$3,$I172&lt;=AB$2),$E172,0),$E172*NETWORKDAYS(MAX($I172,AB$3),MIN($J172,AB$2),Data!$K$4:$K$203)/$K172)))</f>
        <v>0</v>
      </c>
      <c r="AC172" s="166">
        <f>IF(OR($I172="",$E172=0),0,IF(OR($J172&lt;AC$3,$I172&gt;AC$2),0,IF($K172=0,IF(AND($I172&gt;=AC$3,$I172&lt;=AC$2),$E172,0),$E172*NETWORKDAYS(MAX($I172,AC$3),MIN($J172,AC$2),Data!$K$4:$K$203)/$K172)))</f>
        <v>0</v>
      </c>
      <c r="AD172" s="166">
        <f>IF(OR($I172="",$E172=0),0,IF(OR($J172&lt;AD$3,$I172&gt;AD$2),0,IF($K172=0,IF(AND($I172&gt;=AD$3,$I172&lt;=AD$2),$E172,0),$E172*NETWORKDAYS(MAX($I172,AD$3),MIN($J172,AD$2),Data!$K$4:$K$203)/$K172)))</f>
        <v>0</v>
      </c>
      <c r="AE172" s="166">
        <f>IF(OR($I172="",$E172=0),0,IF(OR($J172&lt;AE$3,$I172&gt;AE$2),0,IF($K172=0,IF(AND($I172&gt;=AE$3,$I172&lt;=AE$2),$E172,0),$E172*NETWORKDAYS(MAX($I172,AE$3),MIN($J172,AE$2),Data!$K$4:$K$203)/$K172)))</f>
        <v>0</v>
      </c>
      <c r="AF172" s="166">
        <f>IF(OR($I172="",$E172=0),0,IF(OR($J172&lt;AF$3,$I172&gt;AF$2),0,IF($K172=0,IF(AND($I172&gt;=AF$3,$I172&lt;=AF$2),$E172,0),$E172*NETWORKDAYS(MAX($I172,AF$3),MIN($J172,AF$2),Data!$K$4:$K$203)/$K172)))</f>
        <v>0</v>
      </c>
      <c r="AG172" s="166">
        <f>IF(OR($I172="",$E172=0),0,IF(OR($J172&lt;AG$3,$I172&gt;AG$2),0,IF($K172=0,IF(AND($I172&gt;=AG$3,$I172&lt;=AG$2),$E172,0),$E172*NETWORKDAYS(MAX($I172,AG$3),MIN($J172,AG$2),Data!$K$4:$K$203)/$K172)))</f>
        <v>0</v>
      </c>
      <c r="AH172" s="166">
        <f>IF(OR($I172="",$E172=0),0,IF(OR($J172&lt;AH$3,$I172&gt;AH$2),0,IF($K172=0,IF(AND($I172&gt;=AH$3,$I172&lt;=AH$2),$E172,0),$E172*NETWORKDAYS(MAX($I172,AH$3),MIN($J172,AH$2),Data!$K$4:$K$203)/$K172)))</f>
        <v>0</v>
      </c>
      <c r="AI172" s="166">
        <f>SUM(W172:AH172)</f>
        <v>0</v>
      </c>
      <c r="BZ172" t="str">
        <f>IF(D172=1,IF(TRIM(INDEX(Charge!$K:$K,ROW()))&lt;&gt;"",TRIM(INDEX(Charge!$K:$K,ROW())),IF(TRIM(INDEX(Charge!$L:$L,ROW()))&lt;&gt;"",TRIM(INDEX(Charge!$L:$L,ROW())),"(non affecté)")),"")</f>
        <v/>
      </c>
      <c r="CA172" t="str">
        <f>IF(AND($CD$4&lt;&gt;"",BZ172=$CD$4),COUNTIFS($BZ$4:$BZ$503,$CD$4,$L$4:$L$503,"&lt;"&amp;L172)+1,"")</f>
        <v/>
      </c>
      <c r="EJ172" t="str">
        <f>TRIM(INDEX(Data!$E:$E,ROW()))</f>
        <v/>
      </c>
      <c r="EK172" t="str">
        <f>TRIM(INDEX(Data!$H:$H,ROW()))</f>
        <v/>
      </c>
      <c r="EM172" t="str">
        <f>IF(D172=1,IF(TRIM(INDEX(Charge!$K:$K,ROW()))&lt;&gt;"","Interne",IF(TRIM(INDEX(Charge!$L:$L,ROW()))&lt;&gt;"","Externe","Non affecté")),"")</f>
        <v/>
      </c>
      <c r="EN172" t="str">
        <f>IF(D172=1,LEFT(SUBSTITUTE(SUBSTITUTE(SUBSTITUTE(TRIM(SUBSTITUTE(INDEX(Charge!$B:$B,ROW()),CHAR(160)," "))&amp;" | "&amp;TRIM(SUBSTITUTE(INDEX(Charge!$C:$C,ROW()),CHAR(160)," "))&amp;" | "&amp;TRIM(SUBSTITUTE(INDEX(Charge!$D:$D,ROW()),CHAR(160)," ")),"~","-"),"*","+"),"?","!"),240),"")</f>
        <v/>
      </c>
      <c r="EO172">
        <f>IF(EN172="",0,IF(COUNTIF($EN$4:EN172,EN172)=1,1,0))</f>
        <v>0</v>
      </c>
      <c r="EP172" s="166" t="str">
        <f>IF(EO172=1,ROUND(SUMIF($EN$4:$EN$503,EN172,$E$4:$E$503),2),"")</f>
        <v/>
      </c>
      <c r="EQ172" t="str">
        <f>IF(EO172=1,COUNTIFS($EO$4:$EO$503,1,$EP$4:$EP$503,"&gt;"&amp;EP172)+COUNTIFS($EO$4:EO172,1,$EP$4:EP172,EP172),"")</f>
        <v/>
      </c>
      <c r="ER172" t="str">
        <f>IF(EO172=1,COUNTIFS($EN$4:$EN$503,EN172,$EM$4:$EM$503,"Interne",$FE$4:$FE$503,1),"")</f>
        <v/>
      </c>
      <c r="ES172" t="str">
        <f>IF(EO172=1,COUNTIFS($EN$4:$EN$503,EN172,$EM$4:$EM$503,"Externe",$FE$4:$FE$503,1),"")</f>
        <v/>
      </c>
      <c r="ET172" t="str">
        <f>IF(EO172=1,IF(ER172+ES172=0,"à affecter",IF(ER172=0,ES172&amp;" ext.",(ER172+ES172)&amp;IF(ES172&gt;0," dont "&amp;ES172&amp;" ext.",""))&amp;IF(COUNTIFS($EN$4:$EN$503,EN172,$EM$4:$EM$503,"Non affecté")&gt;0," + à affecter","")),"")</f>
        <v/>
      </c>
      <c r="EU172" s="170" t="str">
        <f>IF(EO172=1,IF(EP172&gt;0,SUMPRODUCT(($EN$4:$EN$503=EN172)*$E$4:$E$503*$C$4:$C$503)/EP172,AVERAGEIF($EN$4:$EN$503,EN172,$C$4:$C$503)),"")</f>
        <v/>
      </c>
      <c r="EV172" s="165">
        <f>IF(ISNUMBER(I172),I172,2958465)</f>
        <v>2958465.0</v>
      </c>
      <c r="EW172" s="165" t="str">
        <f>IF(EO172=1,SUMPRODUCT(MIN(($EN$4:$EN$503=EN172)*$EV$4:$EV$503+($EN$4:$EN$503&lt;&gt;EN172)*2958465)),"")</f>
        <v/>
      </c>
      <c r="EX172" s="165">
        <f>IF(AND(D172=1,ISNUMBER(INDEX(Charge!$F:$F,ROW()))),INDEX(Charge!$F:$F,ROW()),0)</f>
        <v>0.0</v>
      </c>
      <c r="EY172" s="165" t="str">
        <f>IF(EO172=1,SUMPRODUCT(MAX(($EN$4:$EN$503=EN172)*$EX$4:$EX$503)),"")</f>
        <v/>
      </c>
      <c r="FA172" t="str">
        <f>IF(169&lt;=$CD$23,INDEX($EJ$4:$EJ$203,169),IF(169-$CD$23&lt;=$CD$26,INDEX($EK$4:$EK$203,169-$CD$23),""))</f>
        <v/>
      </c>
      <c r="FB172" t="str">
        <f>IF(FA172="","",IF(169&lt;=$CD$23,"Interne","Externe"))</f>
        <v/>
      </c>
      <c r="FD172">
        <f>IF(AND(B172=1,TRIM(INDEX(Charge!$K:$K,ROW()))&lt;&gt;"",TRIM(INDEX(Charge!$L:$L,ROW()))&lt;&gt;""),1,0)</f>
        <v>0</v>
      </c>
      <c r="FE172">
        <f>IF(OR(EN172="",BZ172="(non affecté)"),0,IF(COUNTIFS($EN$4:EN172,EN172,$BZ$4:BZ172,BZ172)=1,1,0))</f>
        <v>0</v>
      </c>
    </row>
    <row r="173">
      <c r="A173">
        <f>ROW()</f>
        <v>173</v>
      </c>
      <c r="B173">
        <f>IF(TRIM(INDEX(Charge!$B:$B,ROW()))&lt;&gt;"",1,0)</f>
        <v>0</v>
      </c>
      <c r="C173">
        <f>IF(B173=1,MIN(1,MAX(0,N(INDEX(Charge!$O:$O,ROW())))),0)</f>
        <v>0</v>
      </c>
      <c r="D173">
        <f>IF(B173=1,IF(OR(p_Perimetre="Tous les projets",C173&lt;1),1,0),0)</f>
        <v>0</v>
      </c>
      <c r="E173">
        <f>IF(D173=1,MAX(0,N(INDEX(Charge!$M:$M,ROW()))),0)</f>
        <v>0</v>
      </c>
      <c r="F173" t="str">
        <f>IF(D173=1,IF(TRIM(INDEX(Charge!$A:$A,ROW()))="","(non renseigné)",TRIM(INDEX(Charge!$A:$A,ROW()))),"")</f>
        <v/>
      </c>
      <c r="G173" t="str">
        <f>IF(D173=1,TRIM(INDEX(Charge!$B:$B,ROW())),"")</f>
        <v/>
      </c>
      <c r="H173" t="str">
        <f>IF(D173=1,IF(TRIM(INDEX(Charge!$E:$E,ROW()))="","(non renseigné)",TRIM(INDEX(Charge!$E:$E,ROW()))),"")</f>
        <v/>
      </c>
      <c r="I173" s="165" t="str">
        <f>IF(AND(D173=1,ISNUMBER(INDEX(Charge!$N:$N,ROW()))),INDEX(Charge!$N:$N,ROW()),"")</f>
        <v/>
      </c>
      <c r="J173" s="165" t="str">
        <f>IF(I173="","",IF(AND(p_Repartition="Lissée jusqu'à la date de besoin",ISNUMBER(INDEX(Charge!$F:$F,ROW()))),IF(INDEX(Charge!$F:$F,ROW())&gt;=I173,INDEX(Charge!$F:$F,ROW()),I173),I173))</f>
        <v/>
      </c>
      <c r="K173" t="str">
        <f>IF(I173="","",NETWORKDAYS(I173,J173,Data!$K$4:$K$203))</f>
        <v/>
      </c>
      <c r="L173" t="str">
        <f>IF(D173=1,COUNTIFS($D$4:$D$503,1,$E$4:$E$503,"&gt;"&amp;E173)+COUNTIFS($D$4:$D173,1,$E$4:$E173,E173),"")</f>
        <v/>
      </c>
      <c r="M173">
        <f>IF(F173="",0,IF(COUNTIF($F$4:F173,F173)=1,1,0))</f>
        <v>0</v>
      </c>
      <c r="N173" t="str">
        <f>IF(M173=1,ROUND(SUMIF($F$4:$F$503,F173,$E$4:$E$503),2),"")</f>
        <v/>
      </c>
      <c r="O173" t="str">
        <f>IF(M173=1,COUNTIFS($M$4:$M$503,1,$N$4:$N$503,"&gt;"&amp;N173)+COUNTIFS($M$4:M173,1,$N$4:N173,N173),"")</f>
        <v/>
      </c>
      <c r="P173">
        <f>IF(G173="",0,IF(COUNTIF($G$4:G173,G173)=1,1,0))</f>
        <v>0</v>
      </c>
      <c r="Q173" t="str">
        <f>IF(P173=1,ROUND(SUMIF($G$4:$G$503,G173,$E$4:$E$503),2),"")</f>
        <v/>
      </c>
      <c r="R173" t="str">
        <f>IF(P173=1,COUNTIFS($P$4:$P$503,1,$Q$4:$Q$503,"&gt;"&amp;Q173)+COUNTIFS($P$4:P173,1,$Q$4:Q173,Q173),"")</f>
        <v/>
      </c>
      <c r="S173">
        <f>IF(H173="",0,IF(COUNTIF($H$4:H173,H173)=1,1,0))</f>
        <v>0</v>
      </c>
      <c r="T173" t="str">
        <f>IF(S173=1,ROUND(SUMIF($H$4:$H$503,H173,$E$4:$E$503),2),"")</f>
        <v/>
      </c>
      <c r="U173" t="str">
        <f>IF(S173=1,COUNTIFS($S$4:$S$503,1,$T$4:$T$503,"&gt;"&amp;T173)+COUNTIFS($S$4:S173,1,$T$4:T173,T173),"")</f>
        <v/>
      </c>
      <c r="V173" t="str">
        <f>IF(D173=1,MIN(INDEX($R$4:$R$503,MATCH(G173,$G$4:$G$503,0)),IF($AL$7&gt;9,9,999)),"")</f>
        <v/>
      </c>
      <c r="W173" s="166">
        <f>IF(OR($I173="",$E173=0),0,IF(OR($J173&lt;W$3,$I173&gt;W$2),0,IF($K173=0,IF(AND($I173&gt;=W$3,$I173&lt;=W$2),$E173,0),$E173*NETWORKDAYS(MAX($I173,W$3),MIN($J173,W$2),Data!$K$4:$K$203)/$K173)))</f>
        <v>0</v>
      </c>
      <c r="X173" s="166">
        <f>IF(OR($I173="",$E173=0),0,IF(OR($J173&lt;X$3,$I173&gt;X$2),0,IF($K173=0,IF(AND($I173&gt;=X$3,$I173&lt;=X$2),$E173,0),$E173*NETWORKDAYS(MAX($I173,X$3),MIN($J173,X$2),Data!$K$4:$K$203)/$K173)))</f>
        <v>0</v>
      </c>
      <c r="Y173" s="166">
        <f>IF(OR($I173="",$E173=0),0,IF(OR($J173&lt;Y$3,$I173&gt;Y$2),0,IF($K173=0,IF(AND($I173&gt;=Y$3,$I173&lt;=Y$2),$E173,0),$E173*NETWORKDAYS(MAX($I173,Y$3),MIN($J173,Y$2),Data!$K$4:$K$203)/$K173)))</f>
        <v>0</v>
      </c>
      <c r="Z173" s="166">
        <f>IF(OR($I173="",$E173=0),0,IF(OR($J173&lt;Z$3,$I173&gt;Z$2),0,IF($K173=0,IF(AND($I173&gt;=Z$3,$I173&lt;=Z$2),$E173,0),$E173*NETWORKDAYS(MAX($I173,Z$3),MIN($J173,Z$2),Data!$K$4:$K$203)/$K173)))</f>
        <v>0</v>
      </c>
      <c r="AA173" s="166">
        <f>IF(OR($I173="",$E173=0),0,IF(OR($J173&lt;AA$3,$I173&gt;AA$2),0,IF($K173=0,IF(AND($I173&gt;=AA$3,$I173&lt;=AA$2),$E173,0),$E173*NETWORKDAYS(MAX($I173,AA$3),MIN($J173,AA$2),Data!$K$4:$K$203)/$K173)))</f>
        <v>0</v>
      </c>
      <c r="AB173" s="166">
        <f>IF(OR($I173="",$E173=0),0,IF(OR($J173&lt;AB$3,$I173&gt;AB$2),0,IF($K173=0,IF(AND($I173&gt;=AB$3,$I173&lt;=AB$2),$E173,0),$E173*NETWORKDAYS(MAX($I173,AB$3),MIN($J173,AB$2),Data!$K$4:$K$203)/$K173)))</f>
        <v>0</v>
      </c>
      <c r="AC173" s="166">
        <f>IF(OR($I173="",$E173=0),0,IF(OR($J173&lt;AC$3,$I173&gt;AC$2),0,IF($K173=0,IF(AND($I173&gt;=AC$3,$I173&lt;=AC$2),$E173,0),$E173*NETWORKDAYS(MAX($I173,AC$3),MIN($J173,AC$2),Data!$K$4:$K$203)/$K173)))</f>
        <v>0</v>
      </c>
      <c r="AD173" s="166">
        <f>IF(OR($I173="",$E173=0),0,IF(OR($J173&lt;AD$3,$I173&gt;AD$2),0,IF($K173=0,IF(AND($I173&gt;=AD$3,$I173&lt;=AD$2),$E173,0),$E173*NETWORKDAYS(MAX($I173,AD$3),MIN($J173,AD$2),Data!$K$4:$K$203)/$K173)))</f>
        <v>0</v>
      </c>
      <c r="AE173" s="166">
        <f>IF(OR($I173="",$E173=0),0,IF(OR($J173&lt;AE$3,$I173&gt;AE$2),0,IF($K173=0,IF(AND($I173&gt;=AE$3,$I173&lt;=AE$2),$E173,0),$E173*NETWORKDAYS(MAX($I173,AE$3),MIN($J173,AE$2),Data!$K$4:$K$203)/$K173)))</f>
        <v>0</v>
      </c>
      <c r="AF173" s="166">
        <f>IF(OR($I173="",$E173=0),0,IF(OR($J173&lt;AF$3,$I173&gt;AF$2),0,IF($K173=0,IF(AND($I173&gt;=AF$3,$I173&lt;=AF$2),$E173,0),$E173*NETWORKDAYS(MAX($I173,AF$3),MIN($J173,AF$2),Data!$K$4:$K$203)/$K173)))</f>
        <v>0</v>
      </c>
      <c r="AG173" s="166">
        <f>IF(OR($I173="",$E173=0),0,IF(OR($J173&lt;AG$3,$I173&gt;AG$2),0,IF($K173=0,IF(AND($I173&gt;=AG$3,$I173&lt;=AG$2),$E173,0),$E173*NETWORKDAYS(MAX($I173,AG$3),MIN($J173,AG$2),Data!$K$4:$K$203)/$K173)))</f>
        <v>0</v>
      </c>
      <c r="AH173" s="166">
        <f>IF(OR($I173="",$E173=0),0,IF(OR($J173&lt;AH$3,$I173&gt;AH$2),0,IF($K173=0,IF(AND($I173&gt;=AH$3,$I173&lt;=AH$2),$E173,0),$E173*NETWORKDAYS(MAX($I173,AH$3),MIN($J173,AH$2),Data!$K$4:$K$203)/$K173)))</f>
        <v>0</v>
      </c>
      <c r="AI173" s="166">
        <f>SUM(W173:AH173)</f>
        <v>0</v>
      </c>
      <c r="BZ173" t="str">
        <f>IF(D173=1,IF(TRIM(INDEX(Charge!$K:$K,ROW()))&lt;&gt;"",TRIM(INDEX(Charge!$K:$K,ROW())),IF(TRIM(INDEX(Charge!$L:$L,ROW()))&lt;&gt;"",TRIM(INDEX(Charge!$L:$L,ROW())),"(non affecté)")),"")</f>
        <v/>
      </c>
      <c r="CA173" t="str">
        <f>IF(AND($CD$4&lt;&gt;"",BZ173=$CD$4),COUNTIFS($BZ$4:$BZ$503,$CD$4,$L$4:$L$503,"&lt;"&amp;L173)+1,"")</f>
        <v/>
      </c>
      <c r="EJ173" t="str">
        <f>TRIM(INDEX(Data!$E:$E,ROW()))</f>
        <v/>
      </c>
      <c r="EK173" t="str">
        <f>TRIM(INDEX(Data!$H:$H,ROW()))</f>
        <v/>
      </c>
      <c r="EM173" t="str">
        <f>IF(D173=1,IF(TRIM(INDEX(Charge!$K:$K,ROW()))&lt;&gt;"","Interne",IF(TRIM(INDEX(Charge!$L:$L,ROW()))&lt;&gt;"","Externe","Non affecté")),"")</f>
        <v/>
      </c>
      <c r="EN173" t="str">
        <f>IF(D173=1,LEFT(SUBSTITUTE(SUBSTITUTE(SUBSTITUTE(TRIM(SUBSTITUTE(INDEX(Charge!$B:$B,ROW()),CHAR(160)," "))&amp;" | "&amp;TRIM(SUBSTITUTE(INDEX(Charge!$C:$C,ROW()),CHAR(160)," "))&amp;" | "&amp;TRIM(SUBSTITUTE(INDEX(Charge!$D:$D,ROW()),CHAR(160)," ")),"~","-"),"*","+"),"?","!"),240),"")</f>
        <v/>
      </c>
      <c r="EO173">
        <f>IF(EN173="",0,IF(COUNTIF($EN$4:EN173,EN173)=1,1,0))</f>
        <v>0</v>
      </c>
      <c r="EP173" s="166" t="str">
        <f>IF(EO173=1,ROUND(SUMIF($EN$4:$EN$503,EN173,$E$4:$E$503),2),"")</f>
        <v/>
      </c>
      <c r="EQ173" t="str">
        <f>IF(EO173=1,COUNTIFS($EO$4:$EO$503,1,$EP$4:$EP$503,"&gt;"&amp;EP173)+COUNTIFS($EO$4:EO173,1,$EP$4:EP173,EP173),"")</f>
        <v/>
      </c>
      <c r="ER173" t="str">
        <f>IF(EO173=1,COUNTIFS($EN$4:$EN$503,EN173,$EM$4:$EM$503,"Interne",$FE$4:$FE$503,1),"")</f>
        <v/>
      </c>
      <c r="ES173" t="str">
        <f>IF(EO173=1,COUNTIFS($EN$4:$EN$503,EN173,$EM$4:$EM$503,"Externe",$FE$4:$FE$503,1),"")</f>
        <v/>
      </c>
      <c r="ET173" t="str">
        <f>IF(EO173=1,IF(ER173+ES173=0,"à affecter",IF(ER173=0,ES173&amp;" ext.",(ER173+ES173)&amp;IF(ES173&gt;0," dont "&amp;ES173&amp;" ext.",""))&amp;IF(COUNTIFS($EN$4:$EN$503,EN173,$EM$4:$EM$503,"Non affecté")&gt;0," + à affecter","")),"")</f>
        <v/>
      </c>
      <c r="EU173" s="170" t="str">
        <f>IF(EO173=1,IF(EP173&gt;0,SUMPRODUCT(($EN$4:$EN$503=EN173)*$E$4:$E$503*$C$4:$C$503)/EP173,AVERAGEIF($EN$4:$EN$503,EN173,$C$4:$C$503)),"")</f>
        <v/>
      </c>
      <c r="EV173" s="165">
        <f>IF(ISNUMBER(I173),I173,2958465)</f>
        <v>2958465.0</v>
      </c>
      <c r="EW173" s="165" t="str">
        <f>IF(EO173=1,SUMPRODUCT(MIN(($EN$4:$EN$503=EN173)*$EV$4:$EV$503+($EN$4:$EN$503&lt;&gt;EN173)*2958465)),"")</f>
        <v/>
      </c>
      <c r="EX173" s="165">
        <f>IF(AND(D173=1,ISNUMBER(INDEX(Charge!$F:$F,ROW()))),INDEX(Charge!$F:$F,ROW()),0)</f>
        <v>0.0</v>
      </c>
      <c r="EY173" s="165" t="str">
        <f>IF(EO173=1,SUMPRODUCT(MAX(($EN$4:$EN$503=EN173)*$EX$4:$EX$503)),"")</f>
        <v/>
      </c>
      <c r="FA173" t="str">
        <f>IF(170&lt;=$CD$23,INDEX($EJ$4:$EJ$203,170),IF(170-$CD$23&lt;=$CD$26,INDEX($EK$4:$EK$203,170-$CD$23),""))</f>
        <v/>
      </c>
      <c r="FB173" t="str">
        <f>IF(FA173="","",IF(170&lt;=$CD$23,"Interne","Externe"))</f>
        <v/>
      </c>
      <c r="FD173">
        <f>IF(AND(B173=1,TRIM(INDEX(Charge!$K:$K,ROW()))&lt;&gt;"",TRIM(INDEX(Charge!$L:$L,ROW()))&lt;&gt;""),1,0)</f>
        <v>0</v>
      </c>
      <c r="FE173">
        <f>IF(OR(EN173="",BZ173="(non affecté)"),0,IF(COUNTIFS($EN$4:EN173,EN173,$BZ$4:BZ173,BZ173)=1,1,0))</f>
        <v>0</v>
      </c>
    </row>
    <row r="174">
      <c r="A174">
        <f>ROW()</f>
        <v>174</v>
      </c>
      <c r="B174">
        <f>IF(TRIM(INDEX(Charge!$B:$B,ROW()))&lt;&gt;"",1,0)</f>
        <v>0</v>
      </c>
      <c r="C174">
        <f>IF(B174=1,MIN(1,MAX(0,N(INDEX(Charge!$O:$O,ROW())))),0)</f>
        <v>0</v>
      </c>
      <c r="D174">
        <f>IF(B174=1,IF(OR(p_Perimetre="Tous les projets",C174&lt;1),1,0),0)</f>
        <v>0</v>
      </c>
      <c r="E174">
        <f>IF(D174=1,MAX(0,N(INDEX(Charge!$M:$M,ROW()))),0)</f>
        <v>0</v>
      </c>
      <c r="F174" t="str">
        <f>IF(D174=1,IF(TRIM(INDEX(Charge!$A:$A,ROW()))="","(non renseigné)",TRIM(INDEX(Charge!$A:$A,ROW()))),"")</f>
        <v/>
      </c>
      <c r="G174" t="str">
        <f>IF(D174=1,TRIM(INDEX(Charge!$B:$B,ROW())),"")</f>
        <v/>
      </c>
      <c r="H174" t="str">
        <f>IF(D174=1,IF(TRIM(INDEX(Charge!$E:$E,ROW()))="","(non renseigné)",TRIM(INDEX(Charge!$E:$E,ROW()))),"")</f>
        <v/>
      </c>
      <c r="I174" s="165" t="str">
        <f>IF(AND(D174=1,ISNUMBER(INDEX(Charge!$N:$N,ROW()))),INDEX(Charge!$N:$N,ROW()),"")</f>
        <v/>
      </c>
      <c r="J174" s="165" t="str">
        <f>IF(I174="","",IF(AND(p_Repartition="Lissée jusqu'à la date de besoin",ISNUMBER(INDEX(Charge!$F:$F,ROW()))),IF(INDEX(Charge!$F:$F,ROW())&gt;=I174,INDEX(Charge!$F:$F,ROW()),I174),I174))</f>
        <v/>
      </c>
      <c r="K174" t="str">
        <f>IF(I174="","",NETWORKDAYS(I174,J174,Data!$K$4:$K$203))</f>
        <v/>
      </c>
      <c r="L174" t="str">
        <f>IF(D174=1,COUNTIFS($D$4:$D$503,1,$E$4:$E$503,"&gt;"&amp;E174)+COUNTIFS($D$4:$D174,1,$E$4:$E174,E174),"")</f>
        <v/>
      </c>
      <c r="M174">
        <f>IF(F174="",0,IF(COUNTIF($F$4:F174,F174)=1,1,0))</f>
        <v>0</v>
      </c>
      <c r="N174" t="str">
        <f>IF(M174=1,ROUND(SUMIF($F$4:$F$503,F174,$E$4:$E$503),2),"")</f>
        <v/>
      </c>
      <c r="O174" t="str">
        <f>IF(M174=1,COUNTIFS($M$4:$M$503,1,$N$4:$N$503,"&gt;"&amp;N174)+COUNTIFS($M$4:M174,1,$N$4:N174,N174),"")</f>
        <v/>
      </c>
      <c r="P174">
        <f>IF(G174="",0,IF(COUNTIF($G$4:G174,G174)=1,1,0))</f>
        <v>0</v>
      </c>
      <c r="Q174" t="str">
        <f>IF(P174=1,ROUND(SUMIF($G$4:$G$503,G174,$E$4:$E$503),2),"")</f>
        <v/>
      </c>
      <c r="R174" t="str">
        <f>IF(P174=1,COUNTIFS($P$4:$P$503,1,$Q$4:$Q$503,"&gt;"&amp;Q174)+COUNTIFS($P$4:P174,1,$Q$4:Q174,Q174),"")</f>
        <v/>
      </c>
      <c r="S174">
        <f>IF(H174="",0,IF(COUNTIF($H$4:H174,H174)=1,1,0))</f>
        <v>0</v>
      </c>
      <c r="T174" t="str">
        <f>IF(S174=1,ROUND(SUMIF($H$4:$H$503,H174,$E$4:$E$503),2),"")</f>
        <v/>
      </c>
      <c r="U174" t="str">
        <f>IF(S174=1,COUNTIFS($S$4:$S$503,1,$T$4:$T$503,"&gt;"&amp;T174)+COUNTIFS($S$4:S174,1,$T$4:T174,T174),"")</f>
        <v/>
      </c>
      <c r="V174" t="str">
        <f>IF(D174=1,MIN(INDEX($R$4:$R$503,MATCH(G174,$G$4:$G$503,0)),IF($AL$7&gt;9,9,999)),"")</f>
        <v/>
      </c>
      <c r="W174" s="166">
        <f>IF(OR($I174="",$E174=0),0,IF(OR($J174&lt;W$3,$I174&gt;W$2),0,IF($K174=0,IF(AND($I174&gt;=W$3,$I174&lt;=W$2),$E174,0),$E174*NETWORKDAYS(MAX($I174,W$3),MIN($J174,W$2),Data!$K$4:$K$203)/$K174)))</f>
        <v>0</v>
      </c>
      <c r="X174" s="166">
        <f>IF(OR($I174="",$E174=0),0,IF(OR($J174&lt;X$3,$I174&gt;X$2),0,IF($K174=0,IF(AND($I174&gt;=X$3,$I174&lt;=X$2),$E174,0),$E174*NETWORKDAYS(MAX($I174,X$3),MIN($J174,X$2),Data!$K$4:$K$203)/$K174)))</f>
        <v>0</v>
      </c>
      <c r="Y174" s="166">
        <f>IF(OR($I174="",$E174=0),0,IF(OR($J174&lt;Y$3,$I174&gt;Y$2),0,IF($K174=0,IF(AND($I174&gt;=Y$3,$I174&lt;=Y$2),$E174,0),$E174*NETWORKDAYS(MAX($I174,Y$3),MIN($J174,Y$2),Data!$K$4:$K$203)/$K174)))</f>
        <v>0</v>
      </c>
      <c r="Z174" s="166">
        <f>IF(OR($I174="",$E174=0),0,IF(OR($J174&lt;Z$3,$I174&gt;Z$2),0,IF($K174=0,IF(AND($I174&gt;=Z$3,$I174&lt;=Z$2),$E174,0),$E174*NETWORKDAYS(MAX($I174,Z$3),MIN($J174,Z$2),Data!$K$4:$K$203)/$K174)))</f>
        <v>0</v>
      </c>
      <c r="AA174" s="166">
        <f>IF(OR($I174="",$E174=0),0,IF(OR($J174&lt;AA$3,$I174&gt;AA$2),0,IF($K174=0,IF(AND($I174&gt;=AA$3,$I174&lt;=AA$2),$E174,0),$E174*NETWORKDAYS(MAX($I174,AA$3),MIN($J174,AA$2),Data!$K$4:$K$203)/$K174)))</f>
        <v>0</v>
      </c>
      <c r="AB174" s="166">
        <f>IF(OR($I174="",$E174=0),0,IF(OR($J174&lt;AB$3,$I174&gt;AB$2),0,IF($K174=0,IF(AND($I174&gt;=AB$3,$I174&lt;=AB$2),$E174,0),$E174*NETWORKDAYS(MAX($I174,AB$3),MIN($J174,AB$2),Data!$K$4:$K$203)/$K174)))</f>
        <v>0</v>
      </c>
      <c r="AC174" s="166">
        <f>IF(OR($I174="",$E174=0),0,IF(OR($J174&lt;AC$3,$I174&gt;AC$2),0,IF($K174=0,IF(AND($I174&gt;=AC$3,$I174&lt;=AC$2),$E174,0),$E174*NETWORKDAYS(MAX($I174,AC$3),MIN($J174,AC$2),Data!$K$4:$K$203)/$K174)))</f>
        <v>0</v>
      </c>
      <c r="AD174" s="166">
        <f>IF(OR($I174="",$E174=0),0,IF(OR($J174&lt;AD$3,$I174&gt;AD$2),0,IF($K174=0,IF(AND($I174&gt;=AD$3,$I174&lt;=AD$2),$E174,0),$E174*NETWORKDAYS(MAX($I174,AD$3),MIN($J174,AD$2),Data!$K$4:$K$203)/$K174)))</f>
        <v>0</v>
      </c>
      <c r="AE174" s="166">
        <f>IF(OR($I174="",$E174=0),0,IF(OR($J174&lt;AE$3,$I174&gt;AE$2),0,IF($K174=0,IF(AND($I174&gt;=AE$3,$I174&lt;=AE$2),$E174,0),$E174*NETWORKDAYS(MAX($I174,AE$3),MIN($J174,AE$2),Data!$K$4:$K$203)/$K174)))</f>
        <v>0</v>
      </c>
      <c r="AF174" s="166">
        <f>IF(OR($I174="",$E174=0),0,IF(OR($J174&lt;AF$3,$I174&gt;AF$2),0,IF($K174=0,IF(AND($I174&gt;=AF$3,$I174&lt;=AF$2),$E174,0),$E174*NETWORKDAYS(MAX($I174,AF$3),MIN($J174,AF$2),Data!$K$4:$K$203)/$K174)))</f>
        <v>0</v>
      </c>
      <c r="AG174" s="166">
        <f>IF(OR($I174="",$E174=0),0,IF(OR($J174&lt;AG$3,$I174&gt;AG$2),0,IF($K174=0,IF(AND($I174&gt;=AG$3,$I174&lt;=AG$2),$E174,0),$E174*NETWORKDAYS(MAX($I174,AG$3),MIN($J174,AG$2),Data!$K$4:$K$203)/$K174)))</f>
        <v>0</v>
      </c>
      <c r="AH174" s="166">
        <f>IF(OR($I174="",$E174=0),0,IF(OR($J174&lt;AH$3,$I174&gt;AH$2),0,IF($K174=0,IF(AND($I174&gt;=AH$3,$I174&lt;=AH$2),$E174,0),$E174*NETWORKDAYS(MAX($I174,AH$3),MIN($J174,AH$2),Data!$K$4:$K$203)/$K174)))</f>
        <v>0</v>
      </c>
      <c r="AI174" s="166">
        <f>SUM(W174:AH174)</f>
        <v>0</v>
      </c>
      <c r="BZ174" t="str">
        <f>IF(D174=1,IF(TRIM(INDEX(Charge!$K:$K,ROW()))&lt;&gt;"",TRIM(INDEX(Charge!$K:$K,ROW())),IF(TRIM(INDEX(Charge!$L:$L,ROW()))&lt;&gt;"",TRIM(INDEX(Charge!$L:$L,ROW())),"(non affecté)")),"")</f>
        <v/>
      </c>
      <c r="CA174" t="str">
        <f>IF(AND($CD$4&lt;&gt;"",BZ174=$CD$4),COUNTIFS($BZ$4:$BZ$503,$CD$4,$L$4:$L$503,"&lt;"&amp;L174)+1,"")</f>
        <v/>
      </c>
      <c r="EJ174" t="str">
        <f>TRIM(INDEX(Data!$E:$E,ROW()))</f>
        <v/>
      </c>
      <c r="EK174" t="str">
        <f>TRIM(INDEX(Data!$H:$H,ROW()))</f>
        <v/>
      </c>
      <c r="EM174" t="str">
        <f>IF(D174=1,IF(TRIM(INDEX(Charge!$K:$K,ROW()))&lt;&gt;"","Interne",IF(TRIM(INDEX(Charge!$L:$L,ROW()))&lt;&gt;"","Externe","Non affecté")),"")</f>
        <v/>
      </c>
      <c r="EN174" t="str">
        <f>IF(D174=1,LEFT(SUBSTITUTE(SUBSTITUTE(SUBSTITUTE(TRIM(SUBSTITUTE(INDEX(Charge!$B:$B,ROW()),CHAR(160)," "))&amp;" | "&amp;TRIM(SUBSTITUTE(INDEX(Charge!$C:$C,ROW()),CHAR(160)," "))&amp;" | "&amp;TRIM(SUBSTITUTE(INDEX(Charge!$D:$D,ROW()),CHAR(160)," ")),"~","-"),"*","+"),"?","!"),240),"")</f>
        <v/>
      </c>
      <c r="EO174">
        <f>IF(EN174="",0,IF(COUNTIF($EN$4:EN174,EN174)=1,1,0))</f>
        <v>0</v>
      </c>
      <c r="EP174" s="166" t="str">
        <f>IF(EO174=1,ROUND(SUMIF($EN$4:$EN$503,EN174,$E$4:$E$503),2),"")</f>
        <v/>
      </c>
      <c r="EQ174" t="str">
        <f>IF(EO174=1,COUNTIFS($EO$4:$EO$503,1,$EP$4:$EP$503,"&gt;"&amp;EP174)+COUNTIFS($EO$4:EO174,1,$EP$4:EP174,EP174),"")</f>
        <v/>
      </c>
      <c r="ER174" t="str">
        <f>IF(EO174=1,COUNTIFS($EN$4:$EN$503,EN174,$EM$4:$EM$503,"Interne",$FE$4:$FE$503,1),"")</f>
        <v/>
      </c>
      <c r="ES174" t="str">
        <f>IF(EO174=1,COUNTIFS($EN$4:$EN$503,EN174,$EM$4:$EM$503,"Externe",$FE$4:$FE$503,1),"")</f>
        <v/>
      </c>
      <c r="ET174" t="str">
        <f>IF(EO174=1,IF(ER174+ES174=0,"à affecter",IF(ER174=0,ES174&amp;" ext.",(ER174+ES174)&amp;IF(ES174&gt;0," dont "&amp;ES174&amp;" ext.",""))&amp;IF(COUNTIFS($EN$4:$EN$503,EN174,$EM$4:$EM$503,"Non affecté")&gt;0," + à affecter","")),"")</f>
        <v/>
      </c>
      <c r="EU174" s="170" t="str">
        <f>IF(EO174=1,IF(EP174&gt;0,SUMPRODUCT(($EN$4:$EN$503=EN174)*$E$4:$E$503*$C$4:$C$503)/EP174,AVERAGEIF($EN$4:$EN$503,EN174,$C$4:$C$503)),"")</f>
        <v/>
      </c>
      <c r="EV174" s="165">
        <f>IF(ISNUMBER(I174),I174,2958465)</f>
        <v>2958465.0</v>
      </c>
      <c r="EW174" s="165" t="str">
        <f>IF(EO174=1,SUMPRODUCT(MIN(($EN$4:$EN$503=EN174)*$EV$4:$EV$503+($EN$4:$EN$503&lt;&gt;EN174)*2958465)),"")</f>
        <v/>
      </c>
      <c r="EX174" s="165">
        <f>IF(AND(D174=1,ISNUMBER(INDEX(Charge!$F:$F,ROW()))),INDEX(Charge!$F:$F,ROW()),0)</f>
        <v>0.0</v>
      </c>
      <c r="EY174" s="165" t="str">
        <f>IF(EO174=1,SUMPRODUCT(MAX(($EN$4:$EN$503=EN174)*$EX$4:$EX$503)),"")</f>
        <v/>
      </c>
      <c r="FA174" t="str">
        <f>IF(171&lt;=$CD$23,INDEX($EJ$4:$EJ$203,171),IF(171-$CD$23&lt;=$CD$26,INDEX($EK$4:$EK$203,171-$CD$23),""))</f>
        <v/>
      </c>
      <c r="FB174" t="str">
        <f>IF(FA174="","",IF(171&lt;=$CD$23,"Interne","Externe"))</f>
        <v/>
      </c>
      <c r="FD174">
        <f>IF(AND(B174=1,TRIM(INDEX(Charge!$K:$K,ROW()))&lt;&gt;"",TRIM(INDEX(Charge!$L:$L,ROW()))&lt;&gt;""),1,0)</f>
        <v>0</v>
      </c>
      <c r="FE174">
        <f>IF(OR(EN174="",BZ174="(non affecté)"),0,IF(COUNTIFS($EN$4:EN174,EN174,$BZ$4:BZ174,BZ174)=1,1,0))</f>
        <v>0</v>
      </c>
    </row>
    <row r="175">
      <c r="A175">
        <f>ROW()</f>
        <v>175</v>
      </c>
      <c r="B175">
        <f>IF(TRIM(INDEX(Charge!$B:$B,ROW()))&lt;&gt;"",1,0)</f>
        <v>0</v>
      </c>
      <c r="C175">
        <f>IF(B175=1,MIN(1,MAX(0,N(INDEX(Charge!$O:$O,ROW())))),0)</f>
        <v>0</v>
      </c>
      <c r="D175">
        <f>IF(B175=1,IF(OR(p_Perimetre="Tous les projets",C175&lt;1),1,0),0)</f>
        <v>0</v>
      </c>
      <c r="E175">
        <f>IF(D175=1,MAX(0,N(INDEX(Charge!$M:$M,ROW()))),0)</f>
        <v>0</v>
      </c>
      <c r="F175" t="str">
        <f>IF(D175=1,IF(TRIM(INDEX(Charge!$A:$A,ROW()))="","(non renseigné)",TRIM(INDEX(Charge!$A:$A,ROW()))),"")</f>
        <v/>
      </c>
      <c r="G175" t="str">
        <f>IF(D175=1,TRIM(INDEX(Charge!$B:$B,ROW())),"")</f>
        <v/>
      </c>
      <c r="H175" t="str">
        <f>IF(D175=1,IF(TRIM(INDEX(Charge!$E:$E,ROW()))="","(non renseigné)",TRIM(INDEX(Charge!$E:$E,ROW()))),"")</f>
        <v/>
      </c>
      <c r="I175" s="165" t="str">
        <f>IF(AND(D175=1,ISNUMBER(INDEX(Charge!$N:$N,ROW()))),INDEX(Charge!$N:$N,ROW()),"")</f>
        <v/>
      </c>
      <c r="J175" s="165" t="str">
        <f>IF(I175="","",IF(AND(p_Repartition="Lissée jusqu'à la date de besoin",ISNUMBER(INDEX(Charge!$F:$F,ROW()))),IF(INDEX(Charge!$F:$F,ROW())&gt;=I175,INDEX(Charge!$F:$F,ROW()),I175),I175))</f>
        <v/>
      </c>
      <c r="K175" t="str">
        <f>IF(I175="","",NETWORKDAYS(I175,J175,Data!$K$4:$K$203))</f>
        <v/>
      </c>
      <c r="L175" t="str">
        <f>IF(D175=1,COUNTIFS($D$4:$D$503,1,$E$4:$E$503,"&gt;"&amp;E175)+COUNTIFS($D$4:$D175,1,$E$4:$E175,E175),"")</f>
        <v/>
      </c>
      <c r="M175">
        <f>IF(F175="",0,IF(COUNTIF($F$4:F175,F175)=1,1,0))</f>
        <v>0</v>
      </c>
      <c r="N175" t="str">
        <f>IF(M175=1,ROUND(SUMIF($F$4:$F$503,F175,$E$4:$E$503),2),"")</f>
        <v/>
      </c>
      <c r="O175" t="str">
        <f>IF(M175=1,COUNTIFS($M$4:$M$503,1,$N$4:$N$503,"&gt;"&amp;N175)+COUNTIFS($M$4:M175,1,$N$4:N175,N175),"")</f>
        <v/>
      </c>
      <c r="P175">
        <f>IF(G175="",0,IF(COUNTIF($G$4:G175,G175)=1,1,0))</f>
        <v>0</v>
      </c>
      <c r="Q175" t="str">
        <f>IF(P175=1,ROUND(SUMIF($G$4:$G$503,G175,$E$4:$E$503),2),"")</f>
        <v/>
      </c>
      <c r="R175" t="str">
        <f>IF(P175=1,COUNTIFS($P$4:$P$503,1,$Q$4:$Q$503,"&gt;"&amp;Q175)+COUNTIFS($P$4:P175,1,$Q$4:Q175,Q175),"")</f>
        <v/>
      </c>
      <c r="S175">
        <f>IF(H175="",0,IF(COUNTIF($H$4:H175,H175)=1,1,0))</f>
        <v>0</v>
      </c>
      <c r="T175" t="str">
        <f>IF(S175=1,ROUND(SUMIF($H$4:$H$503,H175,$E$4:$E$503),2),"")</f>
        <v/>
      </c>
      <c r="U175" t="str">
        <f>IF(S175=1,COUNTIFS($S$4:$S$503,1,$T$4:$T$503,"&gt;"&amp;T175)+COUNTIFS($S$4:S175,1,$T$4:T175,T175),"")</f>
        <v/>
      </c>
      <c r="V175" t="str">
        <f>IF(D175=1,MIN(INDEX($R$4:$R$503,MATCH(G175,$G$4:$G$503,0)),IF($AL$7&gt;9,9,999)),"")</f>
        <v/>
      </c>
      <c r="W175" s="166">
        <f>IF(OR($I175="",$E175=0),0,IF(OR($J175&lt;W$3,$I175&gt;W$2),0,IF($K175=0,IF(AND($I175&gt;=W$3,$I175&lt;=W$2),$E175,0),$E175*NETWORKDAYS(MAX($I175,W$3),MIN($J175,W$2),Data!$K$4:$K$203)/$K175)))</f>
        <v>0</v>
      </c>
      <c r="X175" s="166">
        <f>IF(OR($I175="",$E175=0),0,IF(OR($J175&lt;X$3,$I175&gt;X$2),0,IF($K175=0,IF(AND($I175&gt;=X$3,$I175&lt;=X$2),$E175,0),$E175*NETWORKDAYS(MAX($I175,X$3),MIN($J175,X$2),Data!$K$4:$K$203)/$K175)))</f>
        <v>0</v>
      </c>
      <c r="Y175" s="166">
        <f>IF(OR($I175="",$E175=0),0,IF(OR($J175&lt;Y$3,$I175&gt;Y$2),0,IF($K175=0,IF(AND($I175&gt;=Y$3,$I175&lt;=Y$2),$E175,0),$E175*NETWORKDAYS(MAX($I175,Y$3),MIN($J175,Y$2),Data!$K$4:$K$203)/$K175)))</f>
        <v>0</v>
      </c>
      <c r="Z175" s="166">
        <f>IF(OR($I175="",$E175=0),0,IF(OR($J175&lt;Z$3,$I175&gt;Z$2),0,IF($K175=0,IF(AND($I175&gt;=Z$3,$I175&lt;=Z$2),$E175,0),$E175*NETWORKDAYS(MAX($I175,Z$3),MIN($J175,Z$2),Data!$K$4:$K$203)/$K175)))</f>
        <v>0</v>
      </c>
      <c r="AA175" s="166">
        <f>IF(OR($I175="",$E175=0),0,IF(OR($J175&lt;AA$3,$I175&gt;AA$2),0,IF($K175=0,IF(AND($I175&gt;=AA$3,$I175&lt;=AA$2),$E175,0),$E175*NETWORKDAYS(MAX($I175,AA$3),MIN($J175,AA$2),Data!$K$4:$K$203)/$K175)))</f>
        <v>0</v>
      </c>
      <c r="AB175" s="166">
        <f>IF(OR($I175="",$E175=0),0,IF(OR($J175&lt;AB$3,$I175&gt;AB$2),0,IF($K175=0,IF(AND($I175&gt;=AB$3,$I175&lt;=AB$2),$E175,0),$E175*NETWORKDAYS(MAX($I175,AB$3),MIN($J175,AB$2),Data!$K$4:$K$203)/$K175)))</f>
        <v>0</v>
      </c>
      <c r="AC175" s="166">
        <f>IF(OR($I175="",$E175=0),0,IF(OR($J175&lt;AC$3,$I175&gt;AC$2),0,IF($K175=0,IF(AND($I175&gt;=AC$3,$I175&lt;=AC$2),$E175,0),$E175*NETWORKDAYS(MAX($I175,AC$3),MIN($J175,AC$2),Data!$K$4:$K$203)/$K175)))</f>
        <v>0</v>
      </c>
      <c r="AD175" s="166">
        <f>IF(OR($I175="",$E175=0),0,IF(OR($J175&lt;AD$3,$I175&gt;AD$2),0,IF($K175=0,IF(AND($I175&gt;=AD$3,$I175&lt;=AD$2),$E175,0),$E175*NETWORKDAYS(MAX($I175,AD$3),MIN($J175,AD$2),Data!$K$4:$K$203)/$K175)))</f>
        <v>0</v>
      </c>
      <c r="AE175" s="166">
        <f>IF(OR($I175="",$E175=0),0,IF(OR($J175&lt;AE$3,$I175&gt;AE$2),0,IF($K175=0,IF(AND($I175&gt;=AE$3,$I175&lt;=AE$2),$E175,0),$E175*NETWORKDAYS(MAX($I175,AE$3),MIN($J175,AE$2),Data!$K$4:$K$203)/$K175)))</f>
        <v>0</v>
      </c>
      <c r="AF175" s="166">
        <f>IF(OR($I175="",$E175=0),0,IF(OR($J175&lt;AF$3,$I175&gt;AF$2),0,IF($K175=0,IF(AND($I175&gt;=AF$3,$I175&lt;=AF$2),$E175,0),$E175*NETWORKDAYS(MAX($I175,AF$3),MIN($J175,AF$2),Data!$K$4:$K$203)/$K175)))</f>
        <v>0</v>
      </c>
      <c r="AG175" s="166">
        <f>IF(OR($I175="",$E175=0),0,IF(OR($J175&lt;AG$3,$I175&gt;AG$2),0,IF($K175=0,IF(AND($I175&gt;=AG$3,$I175&lt;=AG$2),$E175,0),$E175*NETWORKDAYS(MAX($I175,AG$3),MIN($J175,AG$2),Data!$K$4:$K$203)/$K175)))</f>
        <v>0</v>
      </c>
      <c r="AH175" s="166">
        <f>IF(OR($I175="",$E175=0),0,IF(OR($J175&lt;AH$3,$I175&gt;AH$2),0,IF($K175=0,IF(AND($I175&gt;=AH$3,$I175&lt;=AH$2),$E175,0),$E175*NETWORKDAYS(MAX($I175,AH$3),MIN($J175,AH$2),Data!$K$4:$K$203)/$K175)))</f>
        <v>0</v>
      </c>
      <c r="AI175" s="166">
        <f>SUM(W175:AH175)</f>
        <v>0</v>
      </c>
      <c r="BZ175" t="str">
        <f>IF(D175=1,IF(TRIM(INDEX(Charge!$K:$K,ROW()))&lt;&gt;"",TRIM(INDEX(Charge!$K:$K,ROW())),IF(TRIM(INDEX(Charge!$L:$L,ROW()))&lt;&gt;"",TRIM(INDEX(Charge!$L:$L,ROW())),"(non affecté)")),"")</f>
        <v/>
      </c>
      <c r="CA175" t="str">
        <f>IF(AND($CD$4&lt;&gt;"",BZ175=$CD$4),COUNTIFS($BZ$4:$BZ$503,$CD$4,$L$4:$L$503,"&lt;"&amp;L175)+1,"")</f>
        <v/>
      </c>
      <c r="EJ175" t="str">
        <f>TRIM(INDEX(Data!$E:$E,ROW()))</f>
        <v/>
      </c>
      <c r="EK175" t="str">
        <f>TRIM(INDEX(Data!$H:$H,ROW()))</f>
        <v/>
      </c>
      <c r="EM175" t="str">
        <f>IF(D175=1,IF(TRIM(INDEX(Charge!$K:$K,ROW()))&lt;&gt;"","Interne",IF(TRIM(INDEX(Charge!$L:$L,ROW()))&lt;&gt;"","Externe","Non affecté")),"")</f>
        <v/>
      </c>
      <c r="EN175" t="str">
        <f>IF(D175=1,LEFT(SUBSTITUTE(SUBSTITUTE(SUBSTITUTE(TRIM(SUBSTITUTE(INDEX(Charge!$B:$B,ROW()),CHAR(160)," "))&amp;" | "&amp;TRIM(SUBSTITUTE(INDEX(Charge!$C:$C,ROW()),CHAR(160)," "))&amp;" | "&amp;TRIM(SUBSTITUTE(INDEX(Charge!$D:$D,ROW()),CHAR(160)," ")),"~","-"),"*","+"),"?","!"),240),"")</f>
        <v/>
      </c>
      <c r="EO175">
        <f>IF(EN175="",0,IF(COUNTIF($EN$4:EN175,EN175)=1,1,0))</f>
        <v>0</v>
      </c>
      <c r="EP175" s="166" t="str">
        <f>IF(EO175=1,ROUND(SUMIF($EN$4:$EN$503,EN175,$E$4:$E$503),2),"")</f>
        <v/>
      </c>
      <c r="EQ175" t="str">
        <f>IF(EO175=1,COUNTIFS($EO$4:$EO$503,1,$EP$4:$EP$503,"&gt;"&amp;EP175)+COUNTIFS($EO$4:EO175,1,$EP$4:EP175,EP175),"")</f>
        <v/>
      </c>
      <c r="ER175" t="str">
        <f>IF(EO175=1,COUNTIFS($EN$4:$EN$503,EN175,$EM$4:$EM$503,"Interne",$FE$4:$FE$503,1),"")</f>
        <v/>
      </c>
      <c r="ES175" t="str">
        <f>IF(EO175=1,COUNTIFS($EN$4:$EN$503,EN175,$EM$4:$EM$503,"Externe",$FE$4:$FE$503,1),"")</f>
        <v/>
      </c>
      <c r="ET175" t="str">
        <f>IF(EO175=1,IF(ER175+ES175=0,"à affecter",IF(ER175=0,ES175&amp;" ext.",(ER175+ES175)&amp;IF(ES175&gt;0," dont "&amp;ES175&amp;" ext.",""))&amp;IF(COUNTIFS($EN$4:$EN$503,EN175,$EM$4:$EM$503,"Non affecté")&gt;0," + à affecter","")),"")</f>
        <v/>
      </c>
      <c r="EU175" s="170" t="str">
        <f>IF(EO175=1,IF(EP175&gt;0,SUMPRODUCT(($EN$4:$EN$503=EN175)*$E$4:$E$503*$C$4:$C$503)/EP175,AVERAGEIF($EN$4:$EN$503,EN175,$C$4:$C$503)),"")</f>
        <v/>
      </c>
      <c r="EV175" s="165">
        <f>IF(ISNUMBER(I175),I175,2958465)</f>
        <v>2958465.0</v>
      </c>
      <c r="EW175" s="165" t="str">
        <f>IF(EO175=1,SUMPRODUCT(MIN(($EN$4:$EN$503=EN175)*$EV$4:$EV$503+($EN$4:$EN$503&lt;&gt;EN175)*2958465)),"")</f>
        <v/>
      </c>
      <c r="EX175" s="165">
        <f>IF(AND(D175=1,ISNUMBER(INDEX(Charge!$F:$F,ROW()))),INDEX(Charge!$F:$F,ROW()),0)</f>
        <v>0.0</v>
      </c>
      <c r="EY175" s="165" t="str">
        <f>IF(EO175=1,SUMPRODUCT(MAX(($EN$4:$EN$503=EN175)*$EX$4:$EX$503)),"")</f>
        <v/>
      </c>
      <c r="FA175" t="str">
        <f>IF(172&lt;=$CD$23,INDEX($EJ$4:$EJ$203,172),IF(172-$CD$23&lt;=$CD$26,INDEX($EK$4:$EK$203,172-$CD$23),""))</f>
        <v/>
      </c>
      <c r="FB175" t="str">
        <f>IF(FA175="","",IF(172&lt;=$CD$23,"Interne","Externe"))</f>
        <v/>
      </c>
      <c r="FD175">
        <f>IF(AND(B175=1,TRIM(INDEX(Charge!$K:$K,ROW()))&lt;&gt;"",TRIM(INDEX(Charge!$L:$L,ROW()))&lt;&gt;""),1,0)</f>
        <v>0</v>
      </c>
      <c r="FE175">
        <f>IF(OR(EN175="",BZ175="(non affecté)"),0,IF(COUNTIFS($EN$4:EN175,EN175,$BZ$4:BZ175,BZ175)=1,1,0))</f>
        <v>0</v>
      </c>
    </row>
    <row r="176">
      <c r="A176">
        <f>ROW()</f>
        <v>176</v>
      </c>
      <c r="B176">
        <f>IF(TRIM(INDEX(Charge!$B:$B,ROW()))&lt;&gt;"",1,0)</f>
        <v>0</v>
      </c>
      <c r="C176">
        <f>IF(B176=1,MIN(1,MAX(0,N(INDEX(Charge!$O:$O,ROW())))),0)</f>
        <v>0</v>
      </c>
      <c r="D176">
        <f>IF(B176=1,IF(OR(p_Perimetre="Tous les projets",C176&lt;1),1,0),0)</f>
        <v>0</v>
      </c>
      <c r="E176">
        <f>IF(D176=1,MAX(0,N(INDEX(Charge!$M:$M,ROW()))),0)</f>
        <v>0</v>
      </c>
      <c r="F176" t="str">
        <f>IF(D176=1,IF(TRIM(INDEX(Charge!$A:$A,ROW()))="","(non renseigné)",TRIM(INDEX(Charge!$A:$A,ROW()))),"")</f>
        <v/>
      </c>
      <c r="G176" t="str">
        <f>IF(D176=1,TRIM(INDEX(Charge!$B:$B,ROW())),"")</f>
        <v/>
      </c>
      <c r="H176" t="str">
        <f>IF(D176=1,IF(TRIM(INDEX(Charge!$E:$E,ROW()))="","(non renseigné)",TRIM(INDEX(Charge!$E:$E,ROW()))),"")</f>
        <v/>
      </c>
      <c r="I176" s="165" t="str">
        <f>IF(AND(D176=1,ISNUMBER(INDEX(Charge!$N:$N,ROW()))),INDEX(Charge!$N:$N,ROW()),"")</f>
        <v/>
      </c>
      <c r="J176" s="165" t="str">
        <f>IF(I176="","",IF(AND(p_Repartition="Lissée jusqu'à la date de besoin",ISNUMBER(INDEX(Charge!$F:$F,ROW()))),IF(INDEX(Charge!$F:$F,ROW())&gt;=I176,INDEX(Charge!$F:$F,ROW()),I176),I176))</f>
        <v/>
      </c>
      <c r="K176" t="str">
        <f>IF(I176="","",NETWORKDAYS(I176,J176,Data!$K$4:$K$203))</f>
        <v/>
      </c>
      <c r="L176" t="str">
        <f>IF(D176=1,COUNTIFS($D$4:$D$503,1,$E$4:$E$503,"&gt;"&amp;E176)+COUNTIFS($D$4:$D176,1,$E$4:$E176,E176),"")</f>
        <v/>
      </c>
      <c r="M176">
        <f>IF(F176="",0,IF(COUNTIF($F$4:F176,F176)=1,1,0))</f>
        <v>0</v>
      </c>
      <c r="N176" t="str">
        <f>IF(M176=1,ROUND(SUMIF($F$4:$F$503,F176,$E$4:$E$503),2),"")</f>
        <v/>
      </c>
      <c r="O176" t="str">
        <f>IF(M176=1,COUNTIFS($M$4:$M$503,1,$N$4:$N$503,"&gt;"&amp;N176)+COUNTIFS($M$4:M176,1,$N$4:N176,N176),"")</f>
        <v/>
      </c>
      <c r="P176">
        <f>IF(G176="",0,IF(COUNTIF($G$4:G176,G176)=1,1,0))</f>
        <v>0</v>
      </c>
      <c r="Q176" t="str">
        <f>IF(P176=1,ROUND(SUMIF($G$4:$G$503,G176,$E$4:$E$503),2),"")</f>
        <v/>
      </c>
      <c r="R176" t="str">
        <f>IF(P176=1,COUNTIFS($P$4:$P$503,1,$Q$4:$Q$503,"&gt;"&amp;Q176)+COUNTIFS($P$4:P176,1,$Q$4:Q176,Q176),"")</f>
        <v/>
      </c>
      <c r="S176">
        <f>IF(H176="",0,IF(COUNTIF($H$4:H176,H176)=1,1,0))</f>
        <v>0</v>
      </c>
      <c r="T176" t="str">
        <f>IF(S176=1,ROUND(SUMIF($H$4:$H$503,H176,$E$4:$E$503),2),"")</f>
        <v/>
      </c>
      <c r="U176" t="str">
        <f>IF(S176=1,COUNTIFS($S$4:$S$503,1,$T$4:$T$503,"&gt;"&amp;T176)+COUNTIFS($S$4:S176,1,$T$4:T176,T176),"")</f>
        <v/>
      </c>
      <c r="V176" t="str">
        <f>IF(D176=1,MIN(INDEX($R$4:$R$503,MATCH(G176,$G$4:$G$503,0)),IF($AL$7&gt;9,9,999)),"")</f>
        <v/>
      </c>
      <c r="W176" s="166">
        <f>IF(OR($I176="",$E176=0),0,IF(OR($J176&lt;W$3,$I176&gt;W$2),0,IF($K176=0,IF(AND($I176&gt;=W$3,$I176&lt;=W$2),$E176,0),$E176*NETWORKDAYS(MAX($I176,W$3),MIN($J176,W$2),Data!$K$4:$K$203)/$K176)))</f>
        <v>0</v>
      </c>
      <c r="X176" s="166">
        <f>IF(OR($I176="",$E176=0),0,IF(OR($J176&lt;X$3,$I176&gt;X$2),0,IF($K176=0,IF(AND($I176&gt;=X$3,$I176&lt;=X$2),$E176,0),$E176*NETWORKDAYS(MAX($I176,X$3),MIN($J176,X$2),Data!$K$4:$K$203)/$K176)))</f>
        <v>0</v>
      </c>
      <c r="Y176" s="166">
        <f>IF(OR($I176="",$E176=0),0,IF(OR($J176&lt;Y$3,$I176&gt;Y$2),0,IF($K176=0,IF(AND($I176&gt;=Y$3,$I176&lt;=Y$2),$E176,0),$E176*NETWORKDAYS(MAX($I176,Y$3),MIN($J176,Y$2),Data!$K$4:$K$203)/$K176)))</f>
        <v>0</v>
      </c>
      <c r="Z176" s="166">
        <f>IF(OR($I176="",$E176=0),0,IF(OR($J176&lt;Z$3,$I176&gt;Z$2),0,IF($K176=0,IF(AND($I176&gt;=Z$3,$I176&lt;=Z$2),$E176,0),$E176*NETWORKDAYS(MAX($I176,Z$3),MIN($J176,Z$2),Data!$K$4:$K$203)/$K176)))</f>
        <v>0</v>
      </c>
      <c r="AA176" s="166">
        <f>IF(OR($I176="",$E176=0),0,IF(OR($J176&lt;AA$3,$I176&gt;AA$2),0,IF($K176=0,IF(AND($I176&gt;=AA$3,$I176&lt;=AA$2),$E176,0),$E176*NETWORKDAYS(MAX($I176,AA$3),MIN($J176,AA$2),Data!$K$4:$K$203)/$K176)))</f>
        <v>0</v>
      </c>
      <c r="AB176" s="166">
        <f>IF(OR($I176="",$E176=0),0,IF(OR($J176&lt;AB$3,$I176&gt;AB$2),0,IF($K176=0,IF(AND($I176&gt;=AB$3,$I176&lt;=AB$2),$E176,0),$E176*NETWORKDAYS(MAX($I176,AB$3),MIN($J176,AB$2),Data!$K$4:$K$203)/$K176)))</f>
        <v>0</v>
      </c>
      <c r="AC176" s="166">
        <f>IF(OR($I176="",$E176=0),0,IF(OR($J176&lt;AC$3,$I176&gt;AC$2),0,IF($K176=0,IF(AND($I176&gt;=AC$3,$I176&lt;=AC$2),$E176,0),$E176*NETWORKDAYS(MAX($I176,AC$3),MIN($J176,AC$2),Data!$K$4:$K$203)/$K176)))</f>
        <v>0</v>
      </c>
      <c r="AD176" s="166">
        <f>IF(OR($I176="",$E176=0),0,IF(OR($J176&lt;AD$3,$I176&gt;AD$2),0,IF($K176=0,IF(AND($I176&gt;=AD$3,$I176&lt;=AD$2),$E176,0),$E176*NETWORKDAYS(MAX($I176,AD$3),MIN($J176,AD$2),Data!$K$4:$K$203)/$K176)))</f>
        <v>0</v>
      </c>
      <c r="AE176" s="166">
        <f>IF(OR($I176="",$E176=0),0,IF(OR($J176&lt;AE$3,$I176&gt;AE$2),0,IF($K176=0,IF(AND($I176&gt;=AE$3,$I176&lt;=AE$2),$E176,0),$E176*NETWORKDAYS(MAX($I176,AE$3),MIN($J176,AE$2),Data!$K$4:$K$203)/$K176)))</f>
        <v>0</v>
      </c>
      <c r="AF176" s="166">
        <f>IF(OR($I176="",$E176=0),0,IF(OR($J176&lt;AF$3,$I176&gt;AF$2),0,IF($K176=0,IF(AND($I176&gt;=AF$3,$I176&lt;=AF$2),$E176,0),$E176*NETWORKDAYS(MAX($I176,AF$3),MIN($J176,AF$2),Data!$K$4:$K$203)/$K176)))</f>
        <v>0</v>
      </c>
      <c r="AG176" s="166">
        <f>IF(OR($I176="",$E176=0),0,IF(OR($J176&lt;AG$3,$I176&gt;AG$2),0,IF($K176=0,IF(AND($I176&gt;=AG$3,$I176&lt;=AG$2),$E176,0),$E176*NETWORKDAYS(MAX($I176,AG$3),MIN($J176,AG$2),Data!$K$4:$K$203)/$K176)))</f>
        <v>0</v>
      </c>
      <c r="AH176" s="166">
        <f>IF(OR($I176="",$E176=0),0,IF(OR($J176&lt;AH$3,$I176&gt;AH$2),0,IF($K176=0,IF(AND($I176&gt;=AH$3,$I176&lt;=AH$2),$E176,0),$E176*NETWORKDAYS(MAX($I176,AH$3),MIN($J176,AH$2),Data!$K$4:$K$203)/$K176)))</f>
        <v>0</v>
      </c>
      <c r="AI176" s="166">
        <f>SUM(W176:AH176)</f>
        <v>0</v>
      </c>
      <c r="BZ176" t="str">
        <f>IF(D176=1,IF(TRIM(INDEX(Charge!$K:$K,ROW()))&lt;&gt;"",TRIM(INDEX(Charge!$K:$K,ROW())),IF(TRIM(INDEX(Charge!$L:$L,ROW()))&lt;&gt;"",TRIM(INDEX(Charge!$L:$L,ROW())),"(non affecté)")),"")</f>
        <v/>
      </c>
      <c r="CA176" t="str">
        <f>IF(AND($CD$4&lt;&gt;"",BZ176=$CD$4),COUNTIFS($BZ$4:$BZ$503,$CD$4,$L$4:$L$503,"&lt;"&amp;L176)+1,"")</f>
        <v/>
      </c>
      <c r="EJ176" t="str">
        <f>TRIM(INDEX(Data!$E:$E,ROW()))</f>
        <v/>
      </c>
      <c r="EK176" t="str">
        <f>TRIM(INDEX(Data!$H:$H,ROW()))</f>
        <v/>
      </c>
      <c r="EM176" t="str">
        <f>IF(D176=1,IF(TRIM(INDEX(Charge!$K:$K,ROW()))&lt;&gt;"","Interne",IF(TRIM(INDEX(Charge!$L:$L,ROW()))&lt;&gt;"","Externe","Non affecté")),"")</f>
        <v/>
      </c>
      <c r="EN176" t="str">
        <f>IF(D176=1,LEFT(SUBSTITUTE(SUBSTITUTE(SUBSTITUTE(TRIM(SUBSTITUTE(INDEX(Charge!$B:$B,ROW()),CHAR(160)," "))&amp;" | "&amp;TRIM(SUBSTITUTE(INDEX(Charge!$C:$C,ROW()),CHAR(160)," "))&amp;" | "&amp;TRIM(SUBSTITUTE(INDEX(Charge!$D:$D,ROW()),CHAR(160)," ")),"~","-"),"*","+"),"?","!"),240),"")</f>
        <v/>
      </c>
      <c r="EO176">
        <f>IF(EN176="",0,IF(COUNTIF($EN$4:EN176,EN176)=1,1,0))</f>
        <v>0</v>
      </c>
      <c r="EP176" s="166" t="str">
        <f>IF(EO176=1,ROUND(SUMIF($EN$4:$EN$503,EN176,$E$4:$E$503),2),"")</f>
        <v/>
      </c>
      <c r="EQ176" t="str">
        <f>IF(EO176=1,COUNTIFS($EO$4:$EO$503,1,$EP$4:$EP$503,"&gt;"&amp;EP176)+COUNTIFS($EO$4:EO176,1,$EP$4:EP176,EP176),"")</f>
        <v/>
      </c>
      <c r="ER176" t="str">
        <f>IF(EO176=1,COUNTIFS($EN$4:$EN$503,EN176,$EM$4:$EM$503,"Interne",$FE$4:$FE$503,1),"")</f>
        <v/>
      </c>
      <c r="ES176" t="str">
        <f>IF(EO176=1,COUNTIFS($EN$4:$EN$503,EN176,$EM$4:$EM$503,"Externe",$FE$4:$FE$503,1),"")</f>
        <v/>
      </c>
      <c r="ET176" t="str">
        <f>IF(EO176=1,IF(ER176+ES176=0,"à affecter",IF(ER176=0,ES176&amp;" ext.",(ER176+ES176)&amp;IF(ES176&gt;0," dont "&amp;ES176&amp;" ext.",""))&amp;IF(COUNTIFS($EN$4:$EN$503,EN176,$EM$4:$EM$503,"Non affecté")&gt;0," + à affecter","")),"")</f>
        <v/>
      </c>
      <c r="EU176" s="170" t="str">
        <f>IF(EO176=1,IF(EP176&gt;0,SUMPRODUCT(($EN$4:$EN$503=EN176)*$E$4:$E$503*$C$4:$C$503)/EP176,AVERAGEIF($EN$4:$EN$503,EN176,$C$4:$C$503)),"")</f>
        <v/>
      </c>
      <c r="EV176" s="165">
        <f>IF(ISNUMBER(I176),I176,2958465)</f>
        <v>2958465.0</v>
      </c>
      <c r="EW176" s="165" t="str">
        <f>IF(EO176=1,SUMPRODUCT(MIN(($EN$4:$EN$503=EN176)*$EV$4:$EV$503+($EN$4:$EN$503&lt;&gt;EN176)*2958465)),"")</f>
        <v/>
      </c>
      <c r="EX176" s="165">
        <f>IF(AND(D176=1,ISNUMBER(INDEX(Charge!$F:$F,ROW()))),INDEX(Charge!$F:$F,ROW()),0)</f>
        <v>0.0</v>
      </c>
      <c r="EY176" s="165" t="str">
        <f>IF(EO176=1,SUMPRODUCT(MAX(($EN$4:$EN$503=EN176)*$EX$4:$EX$503)),"")</f>
        <v/>
      </c>
      <c r="FA176" t="str">
        <f>IF(173&lt;=$CD$23,INDEX($EJ$4:$EJ$203,173),IF(173-$CD$23&lt;=$CD$26,INDEX($EK$4:$EK$203,173-$CD$23),""))</f>
        <v/>
      </c>
      <c r="FB176" t="str">
        <f>IF(FA176="","",IF(173&lt;=$CD$23,"Interne","Externe"))</f>
        <v/>
      </c>
      <c r="FD176">
        <f>IF(AND(B176=1,TRIM(INDEX(Charge!$K:$K,ROW()))&lt;&gt;"",TRIM(INDEX(Charge!$L:$L,ROW()))&lt;&gt;""),1,0)</f>
        <v>0</v>
      </c>
      <c r="FE176">
        <f>IF(OR(EN176="",BZ176="(non affecté)"),0,IF(COUNTIFS($EN$4:EN176,EN176,$BZ$4:BZ176,BZ176)=1,1,0))</f>
        <v>0</v>
      </c>
    </row>
    <row r="177">
      <c r="A177">
        <f>ROW()</f>
        <v>177</v>
      </c>
      <c r="B177">
        <f>IF(TRIM(INDEX(Charge!$B:$B,ROW()))&lt;&gt;"",1,0)</f>
        <v>0</v>
      </c>
      <c r="C177">
        <f>IF(B177=1,MIN(1,MAX(0,N(INDEX(Charge!$O:$O,ROW())))),0)</f>
        <v>0</v>
      </c>
      <c r="D177">
        <f>IF(B177=1,IF(OR(p_Perimetre="Tous les projets",C177&lt;1),1,0),0)</f>
        <v>0</v>
      </c>
      <c r="E177">
        <f>IF(D177=1,MAX(0,N(INDEX(Charge!$M:$M,ROW()))),0)</f>
        <v>0</v>
      </c>
      <c r="F177" t="str">
        <f>IF(D177=1,IF(TRIM(INDEX(Charge!$A:$A,ROW()))="","(non renseigné)",TRIM(INDEX(Charge!$A:$A,ROW()))),"")</f>
        <v/>
      </c>
      <c r="G177" t="str">
        <f>IF(D177=1,TRIM(INDEX(Charge!$B:$B,ROW())),"")</f>
        <v/>
      </c>
      <c r="H177" t="str">
        <f>IF(D177=1,IF(TRIM(INDEX(Charge!$E:$E,ROW()))="","(non renseigné)",TRIM(INDEX(Charge!$E:$E,ROW()))),"")</f>
        <v/>
      </c>
      <c r="I177" s="165" t="str">
        <f>IF(AND(D177=1,ISNUMBER(INDEX(Charge!$N:$N,ROW()))),INDEX(Charge!$N:$N,ROW()),"")</f>
        <v/>
      </c>
      <c r="J177" s="165" t="str">
        <f>IF(I177="","",IF(AND(p_Repartition="Lissée jusqu'à la date de besoin",ISNUMBER(INDEX(Charge!$F:$F,ROW()))),IF(INDEX(Charge!$F:$F,ROW())&gt;=I177,INDEX(Charge!$F:$F,ROW()),I177),I177))</f>
        <v/>
      </c>
      <c r="K177" t="str">
        <f>IF(I177="","",NETWORKDAYS(I177,J177,Data!$K$4:$K$203))</f>
        <v/>
      </c>
      <c r="L177" t="str">
        <f>IF(D177=1,COUNTIFS($D$4:$D$503,1,$E$4:$E$503,"&gt;"&amp;E177)+COUNTIFS($D$4:$D177,1,$E$4:$E177,E177),"")</f>
        <v/>
      </c>
      <c r="M177">
        <f>IF(F177="",0,IF(COUNTIF($F$4:F177,F177)=1,1,0))</f>
        <v>0</v>
      </c>
      <c r="N177" t="str">
        <f>IF(M177=1,ROUND(SUMIF($F$4:$F$503,F177,$E$4:$E$503),2),"")</f>
        <v/>
      </c>
      <c r="O177" t="str">
        <f>IF(M177=1,COUNTIFS($M$4:$M$503,1,$N$4:$N$503,"&gt;"&amp;N177)+COUNTIFS($M$4:M177,1,$N$4:N177,N177),"")</f>
        <v/>
      </c>
      <c r="P177">
        <f>IF(G177="",0,IF(COUNTIF($G$4:G177,G177)=1,1,0))</f>
        <v>0</v>
      </c>
      <c r="Q177" t="str">
        <f>IF(P177=1,ROUND(SUMIF($G$4:$G$503,G177,$E$4:$E$503),2),"")</f>
        <v/>
      </c>
      <c r="R177" t="str">
        <f>IF(P177=1,COUNTIFS($P$4:$P$503,1,$Q$4:$Q$503,"&gt;"&amp;Q177)+COUNTIFS($P$4:P177,1,$Q$4:Q177,Q177),"")</f>
        <v/>
      </c>
      <c r="S177">
        <f>IF(H177="",0,IF(COUNTIF($H$4:H177,H177)=1,1,0))</f>
        <v>0</v>
      </c>
      <c r="T177" t="str">
        <f>IF(S177=1,ROUND(SUMIF($H$4:$H$503,H177,$E$4:$E$503),2),"")</f>
        <v/>
      </c>
      <c r="U177" t="str">
        <f>IF(S177=1,COUNTIFS($S$4:$S$503,1,$T$4:$T$503,"&gt;"&amp;T177)+COUNTIFS($S$4:S177,1,$T$4:T177,T177),"")</f>
        <v/>
      </c>
      <c r="V177" t="str">
        <f>IF(D177=1,MIN(INDEX($R$4:$R$503,MATCH(G177,$G$4:$G$503,0)),IF($AL$7&gt;9,9,999)),"")</f>
        <v/>
      </c>
      <c r="W177" s="166">
        <f>IF(OR($I177="",$E177=0),0,IF(OR($J177&lt;W$3,$I177&gt;W$2),0,IF($K177=0,IF(AND($I177&gt;=W$3,$I177&lt;=W$2),$E177,0),$E177*NETWORKDAYS(MAX($I177,W$3),MIN($J177,W$2),Data!$K$4:$K$203)/$K177)))</f>
        <v>0</v>
      </c>
      <c r="X177" s="166">
        <f>IF(OR($I177="",$E177=0),0,IF(OR($J177&lt;X$3,$I177&gt;X$2),0,IF($K177=0,IF(AND($I177&gt;=X$3,$I177&lt;=X$2),$E177,0),$E177*NETWORKDAYS(MAX($I177,X$3),MIN($J177,X$2),Data!$K$4:$K$203)/$K177)))</f>
        <v>0</v>
      </c>
      <c r="Y177" s="166">
        <f>IF(OR($I177="",$E177=0),0,IF(OR($J177&lt;Y$3,$I177&gt;Y$2),0,IF($K177=0,IF(AND($I177&gt;=Y$3,$I177&lt;=Y$2),$E177,0),$E177*NETWORKDAYS(MAX($I177,Y$3),MIN($J177,Y$2),Data!$K$4:$K$203)/$K177)))</f>
        <v>0</v>
      </c>
      <c r="Z177" s="166">
        <f>IF(OR($I177="",$E177=0),0,IF(OR($J177&lt;Z$3,$I177&gt;Z$2),0,IF($K177=0,IF(AND($I177&gt;=Z$3,$I177&lt;=Z$2),$E177,0),$E177*NETWORKDAYS(MAX($I177,Z$3),MIN($J177,Z$2),Data!$K$4:$K$203)/$K177)))</f>
        <v>0</v>
      </c>
      <c r="AA177" s="166">
        <f>IF(OR($I177="",$E177=0),0,IF(OR($J177&lt;AA$3,$I177&gt;AA$2),0,IF($K177=0,IF(AND($I177&gt;=AA$3,$I177&lt;=AA$2),$E177,0),$E177*NETWORKDAYS(MAX($I177,AA$3),MIN($J177,AA$2),Data!$K$4:$K$203)/$K177)))</f>
        <v>0</v>
      </c>
      <c r="AB177" s="166">
        <f>IF(OR($I177="",$E177=0),0,IF(OR($J177&lt;AB$3,$I177&gt;AB$2),0,IF($K177=0,IF(AND($I177&gt;=AB$3,$I177&lt;=AB$2),$E177,0),$E177*NETWORKDAYS(MAX($I177,AB$3),MIN($J177,AB$2),Data!$K$4:$K$203)/$K177)))</f>
        <v>0</v>
      </c>
      <c r="AC177" s="166">
        <f>IF(OR($I177="",$E177=0),0,IF(OR($J177&lt;AC$3,$I177&gt;AC$2),0,IF($K177=0,IF(AND($I177&gt;=AC$3,$I177&lt;=AC$2),$E177,0),$E177*NETWORKDAYS(MAX($I177,AC$3),MIN($J177,AC$2),Data!$K$4:$K$203)/$K177)))</f>
        <v>0</v>
      </c>
      <c r="AD177" s="166">
        <f>IF(OR($I177="",$E177=0),0,IF(OR($J177&lt;AD$3,$I177&gt;AD$2),0,IF($K177=0,IF(AND($I177&gt;=AD$3,$I177&lt;=AD$2),$E177,0),$E177*NETWORKDAYS(MAX($I177,AD$3),MIN($J177,AD$2),Data!$K$4:$K$203)/$K177)))</f>
        <v>0</v>
      </c>
      <c r="AE177" s="166">
        <f>IF(OR($I177="",$E177=0),0,IF(OR($J177&lt;AE$3,$I177&gt;AE$2),0,IF($K177=0,IF(AND($I177&gt;=AE$3,$I177&lt;=AE$2),$E177,0),$E177*NETWORKDAYS(MAX($I177,AE$3),MIN($J177,AE$2),Data!$K$4:$K$203)/$K177)))</f>
        <v>0</v>
      </c>
      <c r="AF177" s="166">
        <f>IF(OR($I177="",$E177=0),0,IF(OR($J177&lt;AF$3,$I177&gt;AF$2),0,IF($K177=0,IF(AND($I177&gt;=AF$3,$I177&lt;=AF$2),$E177,0),$E177*NETWORKDAYS(MAX($I177,AF$3),MIN($J177,AF$2),Data!$K$4:$K$203)/$K177)))</f>
        <v>0</v>
      </c>
      <c r="AG177" s="166">
        <f>IF(OR($I177="",$E177=0),0,IF(OR($J177&lt;AG$3,$I177&gt;AG$2),0,IF($K177=0,IF(AND($I177&gt;=AG$3,$I177&lt;=AG$2),$E177,0),$E177*NETWORKDAYS(MAX($I177,AG$3),MIN($J177,AG$2),Data!$K$4:$K$203)/$K177)))</f>
        <v>0</v>
      </c>
      <c r="AH177" s="166">
        <f>IF(OR($I177="",$E177=0),0,IF(OR($J177&lt;AH$3,$I177&gt;AH$2),0,IF($K177=0,IF(AND($I177&gt;=AH$3,$I177&lt;=AH$2),$E177,0),$E177*NETWORKDAYS(MAX($I177,AH$3),MIN($J177,AH$2),Data!$K$4:$K$203)/$K177)))</f>
        <v>0</v>
      </c>
      <c r="AI177" s="166">
        <f>SUM(W177:AH177)</f>
        <v>0</v>
      </c>
      <c r="BZ177" t="str">
        <f>IF(D177=1,IF(TRIM(INDEX(Charge!$K:$K,ROW()))&lt;&gt;"",TRIM(INDEX(Charge!$K:$K,ROW())),IF(TRIM(INDEX(Charge!$L:$L,ROW()))&lt;&gt;"",TRIM(INDEX(Charge!$L:$L,ROW())),"(non affecté)")),"")</f>
        <v/>
      </c>
      <c r="CA177" t="str">
        <f>IF(AND($CD$4&lt;&gt;"",BZ177=$CD$4),COUNTIFS($BZ$4:$BZ$503,$CD$4,$L$4:$L$503,"&lt;"&amp;L177)+1,"")</f>
        <v/>
      </c>
      <c r="EJ177" t="str">
        <f>TRIM(INDEX(Data!$E:$E,ROW()))</f>
        <v/>
      </c>
      <c r="EK177" t="str">
        <f>TRIM(INDEX(Data!$H:$H,ROW()))</f>
        <v/>
      </c>
      <c r="EM177" t="str">
        <f>IF(D177=1,IF(TRIM(INDEX(Charge!$K:$K,ROW()))&lt;&gt;"","Interne",IF(TRIM(INDEX(Charge!$L:$L,ROW()))&lt;&gt;"","Externe","Non affecté")),"")</f>
        <v/>
      </c>
      <c r="EN177" t="str">
        <f>IF(D177=1,LEFT(SUBSTITUTE(SUBSTITUTE(SUBSTITUTE(TRIM(SUBSTITUTE(INDEX(Charge!$B:$B,ROW()),CHAR(160)," "))&amp;" | "&amp;TRIM(SUBSTITUTE(INDEX(Charge!$C:$C,ROW()),CHAR(160)," "))&amp;" | "&amp;TRIM(SUBSTITUTE(INDEX(Charge!$D:$D,ROW()),CHAR(160)," ")),"~","-"),"*","+"),"?","!"),240),"")</f>
        <v/>
      </c>
      <c r="EO177">
        <f>IF(EN177="",0,IF(COUNTIF($EN$4:EN177,EN177)=1,1,0))</f>
        <v>0</v>
      </c>
      <c r="EP177" s="166" t="str">
        <f>IF(EO177=1,ROUND(SUMIF($EN$4:$EN$503,EN177,$E$4:$E$503),2),"")</f>
        <v/>
      </c>
      <c r="EQ177" t="str">
        <f>IF(EO177=1,COUNTIFS($EO$4:$EO$503,1,$EP$4:$EP$503,"&gt;"&amp;EP177)+COUNTIFS($EO$4:EO177,1,$EP$4:EP177,EP177),"")</f>
        <v/>
      </c>
      <c r="ER177" t="str">
        <f>IF(EO177=1,COUNTIFS($EN$4:$EN$503,EN177,$EM$4:$EM$503,"Interne",$FE$4:$FE$503,1),"")</f>
        <v/>
      </c>
      <c r="ES177" t="str">
        <f>IF(EO177=1,COUNTIFS($EN$4:$EN$503,EN177,$EM$4:$EM$503,"Externe",$FE$4:$FE$503,1),"")</f>
        <v/>
      </c>
      <c r="ET177" t="str">
        <f>IF(EO177=1,IF(ER177+ES177=0,"à affecter",IF(ER177=0,ES177&amp;" ext.",(ER177+ES177)&amp;IF(ES177&gt;0," dont "&amp;ES177&amp;" ext.",""))&amp;IF(COUNTIFS($EN$4:$EN$503,EN177,$EM$4:$EM$503,"Non affecté")&gt;0," + à affecter","")),"")</f>
        <v/>
      </c>
      <c r="EU177" s="170" t="str">
        <f>IF(EO177=1,IF(EP177&gt;0,SUMPRODUCT(($EN$4:$EN$503=EN177)*$E$4:$E$503*$C$4:$C$503)/EP177,AVERAGEIF($EN$4:$EN$503,EN177,$C$4:$C$503)),"")</f>
        <v/>
      </c>
      <c r="EV177" s="165">
        <f>IF(ISNUMBER(I177),I177,2958465)</f>
        <v>2958465.0</v>
      </c>
      <c r="EW177" s="165" t="str">
        <f>IF(EO177=1,SUMPRODUCT(MIN(($EN$4:$EN$503=EN177)*$EV$4:$EV$503+($EN$4:$EN$503&lt;&gt;EN177)*2958465)),"")</f>
        <v/>
      </c>
      <c r="EX177" s="165">
        <f>IF(AND(D177=1,ISNUMBER(INDEX(Charge!$F:$F,ROW()))),INDEX(Charge!$F:$F,ROW()),0)</f>
        <v>0.0</v>
      </c>
      <c r="EY177" s="165" t="str">
        <f>IF(EO177=1,SUMPRODUCT(MAX(($EN$4:$EN$503=EN177)*$EX$4:$EX$503)),"")</f>
        <v/>
      </c>
      <c r="FA177" t="str">
        <f>IF(174&lt;=$CD$23,INDEX($EJ$4:$EJ$203,174),IF(174-$CD$23&lt;=$CD$26,INDEX($EK$4:$EK$203,174-$CD$23),""))</f>
        <v/>
      </c>
      <c r="FB177" t="str">
        <f>IF(FA177="","",IF(174&lt;=$CD$23,"Interne","Externe"))</f>
        <v/>
      </c>
      <c r="FD177">
        <f>IF(AND(B177=1,TRIM(INDEX(Charge!$K:$K,ROW()))&lt;&gt;"",TRIM(INDEX(Charge!$L:$L,ROW()))&lt;&gt;""),1,0)</f>
        <v>0</v>
      </c>
      <c r="FE177">
        <f>IF(OR(EN177="",BZ177="(non affecté)"),0,IF(COUNTIFS($EN$4:EN177,EN177,$BZ$4:BZ177,BZ177)=1,1,0))</f>
        <v>0</v>
      </c>
    </row>
    <row r="178">
      <c r="A178">
        <f>ROW()</f>
        <v>178</v>
      </c>
      <c r="B178">
        <f>IF(TRIM(INDEX(Charge!$B:$B,ROW()))&lt;&gt;"",1,0)</f>
        <v>0</v>
      </c>
      <c r="C178">
        <f>IF(B178=1,MIN(1,MAX(0,N(INDEX(Charge!$O:$O,ROW())))),0)</f>
        <v>0</v>
      </c>
      <c r="D178">
        <f>IF(B178=1,IF(OR(p_Perimetre="Tous les projets",C178&lt;1),1,0),0)</f>
        <v>0</v>
      </c>
      <c r="E178">
        <f>IF(D178=1,MAX(0,N(INDEX(Charge!$M:$M,ROW()))),0)</f>
        <v>0</v>
      </c>
      <c r="F178" t="str">
        <f>IF(D178=1,IF(TRIM(INDEX(Charge!$A:$A,ROW()))="","(non renseigné)",TRIM(INDEX(Charge!$A:$A,ROW()))),"")</f>
        <v/>
      </c>
      <c r="G178" t="str">
        <f>IF(D178=1,TRIM(INDEX(Charge!$B:$B,ROW())),"")</f>
        <v/>
      </c>
      <c r="H178" t="str">
        <f>IF(D178=1,IF(TRIM(INDEX(Charge!$E:$E,ROW()))="","(non renseigné)",TRIM(INDEX(Charge!$E:$E,ROW()))),"")</f>
        <v/>
      </c>
      <c r="I178" s="165" t="str">
        <f>IF(AND(D178=1,ISNUMBER(INDEX(Charge!$N:$N,ROW()))),INDEX(Charge!$N:$N,ROW()),"")</f>
        <v/>
      </c>
      <c r="J178" s="165" t="str">
        <f>IF(I178="","",IF(AND(p_Repartition="Lissée jusqu'à la date de besoin",ISNUMBER(INDEX(Charge!$F:$F,ROW()))),IF(INDEX(Charge!$F:$F,ROW())&gt;=I178,INDEX(Charge!$F:$F,ROW()),I178),I178))</f>
        <v/>
      </c>
      <c r="K178" t="str">
        <f>IF(I178="","",NETWORKDAYS(I178,J178,Data!$K$4:$K$203))</f>
        <v/>
      </c>
      <c r="L178" t="str">
        <f>IF(D178=1,COUNTIFS($D$4:$D$503,1,$E$4:$E$503,"&gt;"&amp;E178)+COUNTIFS($D$4:$D178,1,$E$4:$E178,E178),"")</f>
        <v/>
      </c>
      <c r="M178">
        <f>IF(F178="",0,IF(COUNTIF($F$4:F178,F178)=1,1,0))</f>
        <v>0</v>
      </c>
      <c r="N178" t="str">
        <f>IF(M178=1,ROUND(SUMIF($F$4:$F$503,F178,$E$4:$E$503),2),"")</f>
        <v/>
      </c>
      <c r="O178" t="str">
        <f>IF(M178=1,COUNTIFS($M$4:$M$503,1,$N$4:$N$503,"&gt;"&amp;N178)+COUNTIFS($M$4:M178,1,$N$4:N178,N178),"")</f>
        <v/>
      </c>
      <c r="P178">
        <f>IF(G178="",0,IF(COUNTIF($G$4:G178,G178)=1,1,0))</f>
        <v>0</v>
      </c>
      <c r="Q178" t="str">
        <f>IF(P178=1,ROUND(SUMIF($G$4:$G$503,G178,$E$4:$E$503),2),"")</f>
        <v/>
      </c>
      <c r="R178" t="str">
        <f>IF(P178=1,COUNTIFS($P$4:$P$503,1,$Q$4:$Q$503,"&gt;"&amp;Q178)+COUNTIFS($P$4:P178,1,$Q$4:Q178,Q178),"")</f>
        <v/>
      </c>
      <c r="S178">
        <f>IF(H178="",0,IF(COUNTIF($H$4:H178,H178)=1,1,0))</f>
        <v>0</v>
      </c>
      <c r="T178" t="str">
        <f>IF(S178=1,ROUND(SUMIF($H$4:$H$503,H178,$E$4:$E$503),2),"")</f>
        <v/>
      </c>
      <c r="U178" t="str">
        <f>IF(S178=1,COUNTIFS($S$4:$S$503,1,$T$4:$T$503,"&gt;"&amp;T178)+COUNTIFS($S$4:S178,1,$T$4:T178,T178),"")</f>
        <v/>
      </c>
      <c r="V178" t="str">
        <f>IF(D178=1,MIN(INDEX($R$4:$R$503,MATCH(G178,$G$4:$G$503,0)),IF($AL$7&gt;9,9,999)),"")</f>
        <v/>
      </c>
      <c r="W178" s="166">
        <f>IF(OR($I178="",$E178=0),0,IF(OR($J178&lt;W$3,$I178&gt;W$2),0,IF($K178=0,IF(AND($I178&gt;=W$3,$I178&lt;=W$2),$E178,0),$E178*NETWORKDAYS(MAX($I178,W$3),MIN($J178,W$2),Data!$K$4:$K$203)/$K178)))</f>
        <v>0</v>
      </c>
      <c r="X178" s="166">
        <f>IF(OR($I178="",$E178=0),0,IF(OR($J178&lt;X$3,$I178&gt;X$2),0,IF($K178=0,IF(AND($I178&gt;=X$3,$I178&lt;=X$2),$E178,0),$E178*NETWORKDAYS(MAX($I178,X$3),MIN($J178,X$2),Data!$K$4:$K$203)/$K178)))</f>
        <v>0</v>
      </c>
      <c r="Y178" s="166">
        <f>IF(OR($I178="",$E178=0),0,IF(OR($J178&lt;Y$3,$I178&gt;Y$2),0,IF($K178=0,IF(AND($I178&gt;=Y$3,$I178&lt;=Y$2),$E178,0),$E178*NETWORKDAYS(MAX($I178,Y$3),MIN($J178,Y$2),Data!$K$4:$K$203)/$K178)))</f>
        <v>0</v>
      </c>
      <c r="Z178" s="166">
        <f>IF(OR($I178="",$E178=0),0,IF(OR($J178&lt;Z$3,$I178&gt;Z$2),0,IF($K178=0,IF(AND($I178&gt;=Z$3,$I178&lt;=Z$2),$E178,0),$E178*NETWORKDAYS(MAX($I178,Z$3),MIN($J178,Z$2),Data!$K$4:$K$203)/$K178)))</f>
        <v>0</v>
      </c>
      <c r="AA178" s="166">
        <f>IF(OR($I178="",$E178=0),0,IF(OR($J178&lt;AA$3,$I178&gt;AA$2),0,IF($K178=0,IF(AND($I178&gt;=AA$3,$I178&lt;=AA$2),$E178,0),$E178*NETWORKDAYS(MAX($I178,AA$3),MIN($J178,AA$2),Data!$K$4:$K$203)/$K178)))</f>
        <v>0</v>
      </c>
      <c r="AB178" s="166">
        <f>IF(OR($I178="",$E178=0),0,IF(OR($J178&lt;AB$3,$I178&gt;AB$2),0,IF($K178=0,IF(AND($I178&gt;=AB$3,$I178&lt;=AB$2),$E178,0),$E178*NETWORKDAYS(MAX($I178,AB$3),MIN($J178,AB$2),Data!$K$4:$K$203)/$K178)))</f>
        <v>0</v>
      </c>
      <c r="AC178" s="166">
        <f>IF(OR($I178="",$E178=0),0,IF(OR($J178&lt;AC$3,$I178&gt;AC$2),0,IF($K178=0,IF(AND($I178&gt;=AC$3,$I178&lt;=AC$2),$E178,0),$E178*NETWORKDAYS(MAX($I178,AC$3),MIN($J178,AC$2),Data!$K$4:$K$203)/$K178)))</f>
        <v>0</v>
      </c>
      <c r="AD178" s="166">
        <f>IF(OR($I178="",$E178=0),0,IF(OR($J178&lt;AD$3,$I178&gt;AD$2),0,IF($K178=0,IF(AND($I178&gt;=AD$3,$I178&lt;=AD$2),$E178,0),$E178*NETWORKDAYS(MAX($I178,AD$3),MIN($J178,AD$2),Data!$K$4:$K$203)/$K178)))</f>
        <v>0</v>
      </c>
      <c r="AE178" s="166">
        <f>IF(OR($I178="",$E178=0),0,IF(OR($J178&lt;AE$3,$I178&gt;AE$2),0,IF($K178=0,IF(AND($I178&gt;=AE$3,$I178&lt;=AE$2),$E178,0),$E178*NETWORKDAYS(MAX($I178,AE$3),MIN($J178,AE$2),Data!$K$4:$K$203)/$K178)))</f>
        <v>0</v>
      </c>
      <c r="AF178" s="166">
        <f>IF(OR($I178="",$E178=0),0,IF(OR($J178&lt;AF$3,$I178&gt;AF$2),0,IF($K178=0,IF(AND($I178&gt;=AF$3,$I178&lt;=AF$2),$E178,0),$E178*NETWORKDAYS(MAX($I178,AF$3),MIN($J178,AF$2),Data!$K$4:$K$203)/$K178)))</f>
        <v>0</v>
      </c>
      <c r="AG178" s="166">
        <f>IF(OR($I178="",$E178=0),0,IF(OR($J178&lt;AG$3,$I178&gt;AG$2),0,IF($K178=0,IF(AND($I178&gt;=AG$3,$I178&lt;=AG$2),$E178,0),$E178*NETWORKDAYS(MAX($I178,AG$3),MIN($J178,AG$2),Data!$K$4:$K$203)/$K178)))</f>
        <v>0</v>
      </c>
      <c r="AH178" s="166">
        <f>IF(OR($I178="",$E178=0),0,IF(OR($J178&lt;AH$3,$I178&gt;AH$2),0,IF($K178=0,IF(AND($I178&gt;=AH$3,$I178&lt;=AH$2),$E178,0),$E178*NETWORKDAYS(MAX($I178,AH$3),MIN($J178,AH$2),Data!$K$4:$K$203)/$K178)))</f>
        <v>0</v>
      </c>
      <c r="AI178" s="166">
        <f>SUM(W178:AH178)</f>
        <v>0</v>
      </c>
      <c r="BZ178" t="str">
        <f>IF(D178=1,IF(TRIM(INDEX(Charge!$K:$K,ROW()))&lt;&gt;"",TRIM(INDEX(Charge!$K:$K,ROW())),IF(TRIM(INDEX(Charge!$L:$L,ROW()))&lt;&gt;"",TRIM(INDEX(Charge!$L:$L,ROW())),"(non affecté)")),"")</f>
        <v/>
      </c>
      <c r="CA178" t="str">
        <f>IF(AND($CD$4&lt;&gt;"",BZ178=$CD$4),COUNTIFS($BZ$4:$BZ$503,$CD$4,$L$4:$L$503,"&lt;"&amp;L178)+1,"")</f>
        <v/>
      </c>
      <c r="EJ178" t="str">
        <f>TRIM(INDEX(Data!$E:$E,ROW()))</f>
        <v/>
      </c>
      <c r="EK178" t="str">
        <f>TRIM(INDEX(Data!$H:$H,ROW()))</f>
        <v/>
      </c>
      <c r="EM178" t="str">
        <f>IF(D178=1,IF(TRIM(INDEX(Charge!$K:$K,ROW()))&lt;&gt;"","Interne",IF(TRIM(INDEX(Charge!$L:$L,ROW()))&lt;&gt;"","Externe","Non affecté")),"")</f>
        <v/>
      </c>
      <c r="EN178" t="str">
        <f>IF(D178=1,LEFT(SUBSTITUTE(SUBSTITUTE(SUBSTITUTE(TRIM(SUBSTITUTE(INDEX(Charge!$B:$B,ROW()),CHAR(160)," "))&amp;" | "&amp;TRIM(SUBSTITUTE(INDEX(Charge!$C:$C,ROW()),CHAR(160)," "))&amp;" | "&amp;TRIM(SUBSTITUTE(INDEX(Charge!$D:$D,ROW()),CHAR(160)," ")),"~","-"),"*","+"),"?","!"),240),"")</f>
        <v/>
      </c>
      <c r="EO178">
        <f>IF(EN178="",0,IF(COUNTIF($EN$4:EN178,EN178)=1,1,0))</f>
        <v>0</v>
      </c>
      <c r="EP178" s="166" t="str">
        <f>IF(EO178=1,ROUND(SUMIF($EN$4:$EN$503,EN178,$E$4:$E$503),2),"")</f>
        <v/>
      </c>
      <c r="EQ178" t="str">
        <f>IF(EO178=1,COUNTIFS($EO$4:$EO$503,1,$EP$4:$EP$503,"&gt;"&amp;EP178)+COUNTIFS($EO$4:EO178,1,$EP$4:EP178,EP178),"")</f>
        <v/>
      </c>
      <c r="ER178" t="str">
        <f>IF(EO178=1,COUNTIFS($EN$4:$EN$503,EN178,$EM$4:$EM$503,"Interne",$FE$4:$FE$503,1),"")</f>
        <v/>
      </c>
      <c r="ES178" t="str">
        <f>IF(EO178=1,COUNTIFS($EN$4:$EN$503,EN178,$EM$4:$EM$503,"Externe",$FE$4:$FE$503,1),"")</f>
        <v/>
      </c>
      <c r="ET178" t="str">
        <f>IF(EO178=1,IF(ER178+ES178=0,"à affecter",IF(ER178=0,ES178&amp;" ext.",(ER178+ES178)&amp;IF(ES178&gt;0," dont "&amp;ES178&amp;" ext.",""))&amp;IF(COUNTIFS($EN$4:$EN$503,EN178,$EM$4:$EM$503,"Non affecté")&gt;0," + à affecter","")),"")</f>
        <v/>
      </c>
      <c r="EU178" s="170" t="str">
        <f>IF(EO178=1,IF(EP178&gt;0,SUMPRODUCT(($EN$4:$EN$503=EN178)*$E$4:$E$503*$C$4:$C$503)/EP178,AVERAGEIF($EN$4:$EN$503,EN178,$C$4:$C$503)),"")</f>
        <v/>
      </c>
      <c r="EV178" s="165">
        <f>IF(ISNUMBER(I178),I178,2958465)</f>
        <v>2958465.0</v>
      </c>
      <c r="EW178" s="165" t="str">
        <f>IF(EO178=1,SUMPRODUCT(MIN(($EN$4:$EN$503=EN178)*$EV$4:$EV$503+($EN$4:$EN$503&lt;&gt;EN178)*2958465)),"")</f>
        <v/>
      </c>
      <c r="EX178" s="165">
        <f>IF(AND(D178=1,ISNUMBER(INDEX(Charge!$F:$F,ROW()))),INDEX(Charge!$F:$F,ROW()),0)</f>
        <v>0.0</v>
      </c>
      <c r="EY178" s="165" t="str">
        <f>IF(EO178=1,SUMPRODUCT(MAX(($EN$4:$EN$503=EN178)*$EX$4:$EX$503)),"")</f>
        <v/>
      </c>
      <c r="FA178" t="str">
        <f>IF(175&lt;=$CD$23,INDEX($EJ$4:$EJ$203,175),IF(175-$CD$23&lt;=$CD$26,INDEX($EK$4:$EK$203,175-$CD$23),""))</f>
        <v/>
      </c>
      <c r="FB178" t="str">
        <f>IF(FA178="","",IF(175&lt;=$CD$23,"Interne","Externe"))</f>
        <v/>
      </c>
      <c r="FD178">
        <f>IF(AND(B178=1,TRIM(INDEX(Charge!$K:$K,ROW()))&lt;&gt;"",TRIM(INDEX(Charge!$L:$L,ROW()))&lt;&gt;""),1,0)</f>
        <v>0</v>
      </c>
      <c r="FE178">
        <f>IF(OR(EN178="",BZ178="(non affecté)"),0,IF(COUNTIFS($EN$4:EN178,EN178,$BZ$4:BZ178,BZ178)=1,1,0))</f>
        <v>0</v>
      </c>
    </row>
    <row r="179">
      <c r="A179">
        <f>ROW()</f>
        <v>179</v>
      </c>
      <c r="B179">
        <f>IF(TRIM(INDEX(Charge!$B:$B,ROW()))&lt;&gt;"",1,0)</f>
        <v>0</v>
      </c>
      <c r="C179">
        <f>IF(B179=1,MIN(1,MAX(0,N(INDEX(Charge!$O:$O,ROW())))),0)</f>
        <v>0</v>
      </c>
      <c r="D179">
        <f>IF(B179=1,IF(OR(p_Perimetre="Tous les projets",C179&lt;1),1,0),0)</f>
        <v>0</v>
      </c>
      <c r="E179">
        <f>IF(D179=1,MAX(0,N(INDEX(Charge!$M:$M,ROW()))),0)</f>
        <v>0</v>
      </c>
      <c r="F179" t="str">
        <f>IF(D179=1,IF(TRIM(INDEX(Charge!$A:$A,ROW()))="","(non renseigné)",TRIM(INDEX(Charge!$A:$A,ROW()))),"")</f>
        <v/>
      </c>
      <c r="G179" t="str">
        <f>IF(D179=1,TRIM(INDEX(Charge!$B:$B,ROW())),"")</f>
        <v/>
      </c>
      <c r="H179" t="str">
        <f>IF(D179=1,IF(TRIM(INDEX(Charge!$E:$E,ROW()))="","(non renseigné)",TRIM(INDEX(Charge!$E:$E,ROW()))),"")</f>
        <v/>
      </c>
      <c r="I179" s="165" t="str">
        <f>IF(AND(D179=1,ISNUMBER(INDEX(Charge!$N:$N,ROW()))),INDEX(Charge!$N:$N,ROW()),"")</f>
        <v/>
      </c>
      <c r="J179" s="165" t="str">
        <f>IF(I179="","",IF(AND(p_Repartition="Lissée jusqu'à la date de besoin",ISNUMBER(INDEX(Charge!$F:$F,ROW()))),IF(INDEX(Charge!$F:$F,ROW())&gt;=I179,INDEX(Charge!$F:$F,ROW()),I179),I179))</f>
        <v/>
      </c>
      <c r="K179" t="str">
        <f>IF(I179="","",NETWORKDAYS(I179,J179,Data!$K$4:$K$203))</f>
        <v/>
      </c>
      <c r="L179" t="str">
        <f>IF(D179=1,COUNTIFS($D$4:$D$503,1,$E$4:$E$503,"&gt;"&amp;E179)+COUNTIFS($D$4:$D179,1,$E$4:$E179,E179),"")</f>
        <v/>
      </c>
      <c r="M179">
        <f>IF(F179="",0,IF(COUNTIF($F$4:F179,F179)=1,1,0))</f>
        <v>0</v>
      </c>
      <c r="N179" t="str">
        <f>IF(M179=1,ROUND(SUMIF($F$4:$F$503,F179,$E$4:$E$503),2),"")</f>
        <v/>
      </c>
      <c r="O179" t="str">
        <f>IF(M179=1,COUNTIFS($M$4:$M$503,1,$N$4:$N$503,"&gt;"&amp;N179)+COUNTIFS($M$4:M179,1,$N$4:N179,N179),"")</f>
        <v/>
      </c>
      <c r="P179">
        <f>IF(G179="",0,IF(COUNTIF($G$4:G179,G179)=1,1,0))</f>
        <v>0</v>
      </c>
      <c r="Q179" t="str">
        <f>IF(P179=1,ROUND(SUMIF($G$4:$G$503,G179,$E$4:$E$503),2),"")</f>
        <v/>
      </c>
      <c r="R179" t="str">
        <f>IF(P179=1,COUNTIFS($P$4:$P$503,1,$Q$4:$Q$503,"&gt;"&amp;Q179)+COUNTIFS($P$4:P179,1,$Q$4:Q179,Q179),"")</f>
        <v/>
      </c>
      <c r="S179">
        <f>IF(H179="",0,IF(COUNTIF($H$4:H179,H179)=1,1,0))</f>
        <v>0</v>
      </c>
      <c r="T179" t="str">
        <f>IF(S179=1,ROUND(SUMIF($H$4:$H$503,H179,$E$4:$E$503),2),"")</f>
        <v/>
      </c>
      <c r="U179" t="str">
        <f>IF(S179=1,COUNTIFS($S$4:$S$503,1,$T$4:$T$503,"&gt;"&amp;T179)+COUNTIFS($S$4:S179,1,$T$4:T179,T179),"")</f>
        <v/>
      </c>
      <c r="V179" t="str">
        <f>IF(D179=1,MIN(INDEX($R$4:$R$503,MATCH(G179,$G$4:$G$503,0)),IF($AL$7&gt;9,9,999)),"")</f>
        <v/>
      </c>
      <c r="W179" s="166">
        <f>IF(OR($I179="",$E179=0),0,IF(OR($J179&lt;W$3,$I179&gt;W$2),0,IF($K179=0,IF(AND($I179&gt;=W$3,$I179&lt;=W$2),$E179,0),$E179*NETWORKDAYS(MAX($I179,W$3),MIN($J179,W$2),Data!$K$4:$K$203)/$K179)))</f>
        <v>0</v>
      </c>
      <c r="X179" s="166">
        <f>IF(OR($I179="",$E179=0),0,IF(OR($J179&lt;X$3,$I179&gt;X$2),0,IF($K179=0,IF(AND($I179&gt;=X$3,$I179&lt;=X$2),$E179,0),$E179*NETWORKDAYS(MAX($I179,X$3),MIN($J179,X$2),Data!$K$4:$K$203)/$K179)))</f>
        <v>0</v>
      </c>
      <c r="Y179" s="166">
        <f>IF(OR($I179="",$E179=0),0,IF(OR($J179&lt;Y$3,$I179&gt;Y$2),0,IF($K179=0,IF(AND($I179&gt;=Y$3,$I179&lt;=Y$2),$E179,0),$E179*NETWORKDAYS(MAX($I179,Y$3),MIN($J179,Y$2),Data!$K$4:$K$203)/$K179)))</f>
        <v>0</v>
      </c>
      <c r="Z179" s="166">
        <f>IF(OR($I179="",$E179=0),0,IF(OR($J179&lt;Z$3,$I179&gt;Z$2),0,IF($K179=0,IF(AND($I179&gt;=Z$3,$I179&lt;=Z$2),$E179,0),$E179*NETWORKDAYS(MAX($I179,Z$3),MIN($J179,Z$2),Data!$K$4:$K$203)/$K179)))</f>
        <v>0</v>
      </c>
      <c r="AA179" s="166">
        <f>IF(OR($I179="",$E179=0),0,IF(OR($J179&lt;AA$3,$I179&gt;AA$2),0,IF($K179=0,IF(AND($I179&gt;=AA$3,$I179&lt;=AA$2),$E179,0),$E179*NETWORKDAYS(MAX($I179,AA$3),MIN($J179,AA$2),Data!$K$4:$K$203)/$K179)))</f>
        <v>0</v>
      </c>
      <c r="AB179" s="166">
        <f>IF(OR($I179="",$E179=0),0,IF(OR($J179&lt;AB$3,$I179&gt;AB$2),0,IF($K179=0,IF(AND($I179&gt;=AB$3,$I179&lt;=AB$2),$E179,0),$E179*NETWORKDAYS(MAX($I179,AB$3),MIN($J179,AB$2),Data!$K$4:$K$203)/$K179)))</f>
        <v>0</v>
      </c>
      <c r="AC179" s="166">
        <f>IF(OR($I179="",$E179=0),0,IF(OR($J179&lt;AC$3,$I179&gt;AC$2),0,IF($K179=0,IF(AND($I179&gt;=AC$3,$I179&lt;=AC$2),$E179,0),$E179*NETWORKDAYS(MAX($I179,AC$3),MIN($J179,AC$2),Data!$K$4:$K$203)/$K179)))</f>
        <v>0</v>
      </c>
      <c r="AD179" s="166">
        <f>IF(OR($I179="",$E179=0),0,IF(OR($J179&lt;AD$3,$I179&gt;AD$2),0,IF($K179=0,IF(AND($I179&gt;=AD$3,$I179&lt;=AD$2),$E179,0),$E179*NETWORKDAYS(MAX($I179,AD$3),MIN($J179,AD$2),Data!$K$4:$K$203)/$K179)))</f>
        <v>0</v>
      </c>
      <c r="AE179" s="166">
        <f>IF(OR($I179="",$E179=0),0,IF(OR($J179&lt;AE$3,$I179&gt;AE$2),0,IF($K179=0,IF(AND($I179&gt;=AE$3,$I179&lt;=AE$2),$E179,0),$E179*NETWORKDAYS(MAX($I179,AE$3),MIN($J179,AE$2),Data!$K$4:$K$203)/$K179)))</f>
        <v>0</v>
      </c>
      <c r="AF179" s="166">
        <f>IF(OR($I179="",$E179=0),0,IF(OR($J179&lt;AF$3,$I179&gt;AF$2),0,IF($K179=0,IF(AND($I179&gt;=AF$3,$I179&lt;=AF$2),$E179,0),$E179*NETWORKDAYS(MAX($I179,AF$3),MIN($J179,AF$2),Data!$K$4:$K$203)/$K179)))</f>
        <v>0</v>
      </c>
      <c r="AG179" s="166">
        <f>IF(OR($I179="",$E179=0),0,IF(OR($J179&lt;AG$3,$I179&gt;AG$2),0,IF($K179=0,IF(AND($I179&gt;=AG$3,$I179&lt;=AG$2),$E179,0),$E179*NETWORKDAYS(MAX($I179,AG$3),MIN($J179,AG$2),Data!$K$4:$K$203)/$K179)))</f>
        <v>0</v>
      </c>
      <c r="AH179" s="166">
        <f>IF(OR($I179="",$E179=0),0,IF(OR($J179&lt;AH$3,$I179&gt;AH$2),0,IF($K179=0,IF(AND($I179&gt;=AH$3,$I179&lt;=AH$2),$E179,0),$E179*NETWORKDAYS(MAX($I179,AH$3),MIN($J179,AH$2),Data!$K$4:$K$203)/$K179)))</f>
        <v>0</v>
      </c>
      <c r="AI179" s="166">
        <f>SUM(W179:AH179)</f>
        <v>0</v>
      </c>
      <c r="BZ179" t="str">
        <f>IF(D179=1,IF(TRIM(INDEX(Charge!$K:$K,ROW()))&lt;&gt;"",TRIM(INDEX(Charge!$K:$K,ROW())),IF(TRIM(INDEX(Charge!$L:$L,ROW()))&lt;&gt;"",TRIM(INDEX(Charge!$L:$L,ROW())),"(non affecté)")),"")</f>
        <v/>
      </c>
      <c r="CA179" t="str">
        <f>IF(AND($CD$4&lt;&gt;"",BZ179=$CD$4),COUNTIFS($BZ$4:$BZ$503,$CD$4,$L$4:$L$503,"&lt;"&amp;L179)+1,"")</f>
        <v/>
      </c>
      <c r="EJ179" t="str">
        <f>TRIM(INDEX(Data!$E:$E,ROW()))</f>
        <v/>
      </c>
      <c r="EK179" t="str">
        <f>TRIM(INDEX(Data!$H:$H,ROW()))</f>
        <v/>
      </c>
      <c r="EM179" t="str">
        <f>IF(D179=1,IF(TRIM(INDEX(Charge!$K:$K,ROW()))&lt;&gt;"","Interne",IF(TRIM(INDEX(Charge!$L:$L,ROW()))&lt;&gt;"","Externe","Non affecté")),"")</f>
        <v/>
      </c>
      <c r="EN179" t="str">
        <f>IF(D179=1,LEFT(SUBSTITUTE(SUBSTITUTE(SUBSTITUTE(TRIM(SUBSTITUTE(INDEX(Charge!$B:$B,ROW()),CHAR(160)," "))&amp;" | "&amp;TRIM(SUBSTITUTE(INDEX(Charge!$C:$C,ROW()),CHAR(160)," "))&amp;" | "&amp;TRIM(SUBSTITUTE(INDEX(Charge!$D:$D,ROW()),CHAR(160)," ")),"~","-"),"*","+"),"?","!"),240),"")</f>
        <v/>
      </c>
      <c r="EO179">
        <f>IF(EN179="",0,IF(COUNTIF($EN$4:EN179,EN179)=1,1,0))</f>
        <v>0</v>
      </c>
      <c r="EP179" s="166" t="str">
        <f>IF(EO179=1,ROUND(SUMIF($EN$4:$EN$503,EN179,$E$4:$E$503),2),"")</f>
        <v/>
      </c>
      <c r="EQ179" t="str">
        <f>IF(EO179=1,COUNTIFS($EO$4:$EO$503,1,$EP$4:$EP$503,"&gt;"&amp;EP179)+COUNTIFS($EO$4:EO179,1,$EP$4:EP179,EP179),"")</f>
        <v/>
      </c>
      <c r="ER179" t="str">
        <f>IF(EO179=1,COUNTIFS($EN$4:$EN$503,EN179,$EM$4:$EM$503,"Interne",$FE$4:$FE$503,1),"")</f>
        <v/>
      </c>
      <c r="ES179" t="str">
        <f>IF(EO179=1,COUNTIFS($EN$4:$EN$503,EN179,$EM$4:$EM$503,"Externe",$FE$4:$FE$503,1),"")</f>
        <v/>
      </c>
      <c r="ET179" t="str">
        <f>IF(EO179=1,IF(ER179+ES179=0,"à affecter",IF(ER179=0,ES179&amp;" ext.",(ER179+ES179)&amp;IF(ES179&gt;0," dont "&amp;ES179&amp;" ext.",""))&amp;IF(COUNTIFS($EN$4:$EN$503,EN179,$EM$4:$EM$503,"Non affecté")&gt;0," + à affecter","")),"")</f>
        <v/>
      </c>
      <c r="EU179" s="170" t="str">
        <f>IF(EO179=1,IF(EP179&gt;0,SUMPRODUCT(($EN$4:$EN$503=EN179)*$E$4:$E$503*$C$4:$C$503)/EP179,AVERAGEIF($EN$4:$EN$503,EN179,$C$4:$C$503)),"")</f>
        <v/>
      </c>
      <c r="EV179" s="165">
        <f>IF(ISNUMBER(I179),I179,2958465)</f>
        <v>2958465.0</v>
      </c>
      <c r="EW179" s="165" t="str">
        <f>IF(EO179=1,SUMPRODUCT(MIN(($EN$4:$EN$503=EN179)*$EV$4:$EV$503+($EN$4:$EN$503&lt;&gt;EN179)*2958465)),"")</f>
        <v/>
      </c>
      <c r="EX179" s="165">
        <f>IF(AND(D179=1,ISNUMBER(INDEX(Charge!$F:$F,ROW()))),INDEX(Charge!$F:$F,ROW()),0)</f>
        <v>0.0</v>
      </c>
      <c r="EY179" s="165" t="str">
        <f>IF(EO179=1,SUMPRODUCT(MAX(($EN$4:$EN$503=EN179)*$EX$4:$EX$503)),"")</f>
        <v/>
      </c>
      <c r="FA179" t="str">
        <f>IF(176&lt;=$CD$23,INDEX($EJ$4:$EJ$203,176),IF(176-$CD$23&lt;=$CD$26,INDEX($EK$4:$EK$203,176-$CD$23),""))</f>
        <v/>
      </c>
      <c r="FB179" t="str">
        <f>IF(FA179="","",IF(176&lt;=$CD$23,"Interne","Externe"))</f>
        <v/>
      </c>
      <c r="FD179">
        <f>IF(AND(B179=1,TRIM(INDEX(Charge!$K:$K,ROW()))&lt;&gt;"",TRIM(INDEX(Charge!$L:$L,ROW()))&lt;&gt;""),1,0)</f>
        <v>0</v>
      </c>
      <c r="FE179">
        <f>IF(OR(EN179="",BZ179="(non affecté)"),0,IF(COUNTIFS($EN$4:EN179,EN179,$BZ$4:BZ179,BZ179)=1,1,0))</f>
        <v>0</v>
      </c>
    </row>
    <row r="180">
      <c r="A180">
        <f>ROW()</f>
        <v>180</v>
      </c>
      <c r="B180">
        <f>IF(TRIM(INDEX(Charge!$B:$B,ROW()))&lt;&gt;"",1,0)</f>
        <v>0</v>
      </c>
      <c r="C180">
        <f>IF(B180=1,MIN(1,MAX(0,N(INDEX(Charge!$O:$O,ROW())))),0)</f>
        <v>0</v>
      </c>
      <c r="D180">
        <f>IF(B180=1,IF(OR(p_Perimetre="Tous les projets",C180&lt;1),1,0),0)</f>
        <v>0</v>
      </c>
      <c r="E180">
        <f>IF(D180=1,MAX(0,N(INDEX(Charge!$M:$M,ROW()))),0)</f>
        <v>0</v>
      </c>
      <c r="F180" t="str">
        <f>IF(D180=1,IF(TRIM(INDEX(Charge!$A:$A,ROW()))="","(non renseigné)",TRIM(INDEX(Charge!$A:$A,ROW()))),"")</f>
        <v/>
      </c>
      <c r="G180" t="str">
        <f>IF(D180=1,TRIM(INDEX(Charge!$B:$B,ROW())),"")</f>
        <v/>
      </c>
      <c r="H180" t="str">
        <f>IF(D180=1,IF(TRIM(INDEX(Charge!$E:$E,ROW()))="","(non renseigné)",TRIM(INDEX(Charge!$E:$E,ROW()))),"")</f>
        <v/>
      </c>
      <c r="I180" s="165" t="str">
        <f>IF(AND(D180=1,ISNUMBER(INDEX(Charge!$N:$N,ROW()))),INDEX(Charge!$N:$N,ROW()),"")</f>
        <v/>
      </c>
      <c r="J180" s="165" t="str">
        <f>IF(I180="","",IF(AND(p_Repartition="Lissée jusqu'à la date de besoin",ISNUMBER(INDEX(Charge!$F:$F,ROW()))),IF(INDEX(Charge!$F:$F,ROW())&gt;=I180,INDEX(Charge!$F:$F,ROW()),I180),I180))</f>
        <v/>
      </c>
      <c r="K180" t="str">
        <f>IF(I180="","",NETWORKDAYS(I180,J180,Data!$K$4:$K$203))</f>
        <v/>
      </c>
      <c r="L180" t="str">
        <f>IF(D180=1,COUNTIFS($D$4:$D$503,1,$E$4:$E$503,"&gt;"&amp;E180)+COUNTIFS($D$4:$D180,1,$E$4:$E180,E180),"")</f>
        <v/>
      </c>
      <c r="M180">
        <f>IF(F180="",0,IF(COUNTIF($F$4:F180,F180)=1,1,0))</f>
        <v>0</v>
      </c>
      <c r="N180" t="str">
        <f>IF(M180=1,ROUND(SUMIF($F$4:$F$503,F180,$E$4:$E$503),2),"")</f>
        <v/>
      </c>
      <c r="O180" t="str">
        <f>IF(M180=1,COUNTIFS($M$4:$M$503,1,$N$4:$N$503,"&gt;"&amp;N180)+COUNTIFS($M$4:M180,1,$N$4:N180,N180),"")</f>
        <v/>
      </c>
      <c r="P180">
        <f>IF(G180="",0,IF(COUNTIF($G$4:G180,G180)=1,1,0))</f>
        <v>0</v>
      </c>
      <c r="Q180" t="str">
        <f>IF(P180=1,ROUND(SUMIF($G$4:$G$503,G180,$E$4:$E$503),2),"")</f>
        <v/>
      </c>
      <c r="R180" t="str">
        <f>IF(P180=1,COUNTIFS($P$4:$P$503,1,$Q$4:$Q$503,"&gt;"&amp;Q180)+COUNTIFS($P$4:P180,1,$Q$4:Q180,Q180),"")</f>
        <v/>
      </c>
      <c r="S180">
        <f>IF(H180="",0,IF(COUNTIF($H$4:H180,H180)=1,1,0))</f>
        <v>0</v>
      </c>
      <c r="T180" t="str">
        <f>IF(S180=1,ROUND(SUMIF($H$4:$H$503,H180,$E$4:$E$503),2),"")</f>
        <v/>
      </c>
      <c r="U180" t="str">
        <f>IF(S180=1,COUNTIFS($S$4:$S$503,1,$T$4:$T$503,"&gt;"&amp;T180)+COUNTIFS($S$4:S180,1,$T$4:T180,T180),"")</f>
        <v/>
      </c>
      <c r="V180" t="str">
        <f>IF(D180=1,MIN(INDEX($R$4:$R$503,MATCH(G180,$G$4:$G$503,0)),IF($AL$7&gt;9,9,999)),"")</f>
        <v/>
      </c>
      <c r="W180" s="166">
        <f>IF(OR($I180="",$E180=0),0,IF(OR($J180&lt;W$3,$I180&gt;W$2),0,IF($K180=0,IF(AND($I180&gt;=W$3,$I180&lt;=W$2),$E180,0),$E180*NETWORKDAYS(MAX($I180,W$3),MIN($J180,W$2),Data!$K$4:$K$203)/$K180)))</f>
        <v>0</v>
      </c>
      <c r="X180" s="166">
        <f>IF(OR($I180="",$E180=0),0,IF(OR($J180&lt;X$3,$I180&gt;X$2),0,IF($K180=0,IF(AND($I180&gt;=X$3,$I180&lt;=X$2),$E180,0),$E180*NETWORKDAYS(MAX($I180,X$3),MIN($J180,X$2),Data!$K$4:$K$203)/$K180)))</f>
        <v>0</v>
      </c>
      <c r="Y180" s="166">
        <f>IF(OR($I180="",$E180=0),0,IF(OR($J180&lt;Y$3,$I180&gt;Y$2),0,IF($K180=0,IF(AND($I180&gt;=Y$3,$I180&lt;=Y$2),$E180,0),$E180*NETWORKDAYS(MAX($I180,Y$3),MIN($J180,Y$2),Data!$K$4:$K$203)/$K180)))</f>
        <v>0</v>
      </c>
      <c r="Z180" s="166">
        <f>IF(OR($I180="",$E180=0),0,IF(OR($J180&lt;Z$3,$I180&gt;Z$2),0,IF($K180=0,IF(AND($I180&gt;=Z$3,$I180&lt;=Z$2),$E180,0),$E180*NETWORKDAYS(MAX($I180,Z$3),MIN($J180,Z$2),Data!$K$4:$K$203)/$K180)))</f>
        <v>0</v>
      </c>
      <c r="AA180" s="166">
        <f>IF(OR($I180="",$E180=0),0,IF(OR($J180&lt;AA$3,$I180&gt;AA$2),0,IF($K180=0,IF(AND($I180&gt;=AA$3,$I180&lt;=AA$2),$E180,0),$E180*NETWORKDAYS(MAX($I180,AA$3),MIN($J180,AA$2),Data!$K$4:$K$203)/$K180)))</f>
        <v>0</v>
      </c>
      <c r="AB180" s="166">
        <f>IF(OR($I180="",$E180=0),0,IF(OR($J180&lt;AB$3,$I180&gt;AB$2),0,IF($K180=0,IF(AND($I180&gt;=AB$3,$I180&lt;=AB$2),$E180,0),$E180*NETWORKDAYS(MAX($I180,AB$3),MIN($J180,AB$2),Data!$K$4:$K$203)/$K180)))</f>
        <v>0</v>
      </c>
      <c r="AC180" s="166">
        <f>IF(OR($I180="",$E180=0),0,IF(OR($J180&lt;AC$3,$I180&gt;AC$2),0,IF($K180=0,IF(AND($I180&gt;=AC$3,$I180&lt;=AC$2),$E180,0),$E180*NETWORKDAYS(MAX($I180,AC$3),MIN($J180,AC$2),Data!$K$4:$K$203)/$K180)))</f>
        <v>0</v>
      </c>
      <c r="AD180" s="166">
        <f>IF(OR($I180="",$E180=0),0,IF(OR($J180&lt;AD$3,$I180&gt;AD$2),0,IF($K180=0,IF(AND($I180&gt;=AD$3,$I180&lt;=AD$2),$E180,0),$E180*NETWORKDAYS(MAX($I180,AD$3),MIN($J180,AD$2),Data!$K$4:$K$203)/$K180)))</f>
        <v>0</v>
      </c>
      <c r="AE180" s="166">
        <f>IF(OR($I180="",$E180=0),0,IF(OR($J180&lt;AE$3,$I180&gt;AE$2),0,IF($K180=0,IF(AND($I180&gt;=AE$3,$I180&lt;=AE$2),$E180,0),$E180*NETWORKDAYS(MAX($I180,AE$3),MIN($J180,AE$2),Data!$K$4:$K$203)/$K180)))</f>
        <v>0</v>
      </c>
      <c r="AF180" s="166">
        <f>IF(OR($I180="",$E180=0),0,IF(OR($J180&lt;AF$3,$I180&gt;AF$2),0,IF($K180=0,IF(AND($I180&gt;=AF$3,$I180&lt;=AF$2),$E180,0),$E180*NETWORKDAYS(MAX($I180,AF$3),MIN($J180,AF$2),Data!$K$4:$K$203)/$K180)))</f>
        <v>0</v>
      </c>
      <c r="AG180" s="166">
        <f>IF(OR($I180="",$E180=0),0,IF(OR($J180&lt;AG$3,$I180&gt;AG$2),0,IF($K180=0,IF(AND($I180&gt;=AG$3,$I180&lt;=AG$2),$E180,0),$E180*NETWORKDAYS(MAX($I180,AG$3),MIN($J180,AG$2),Data!$K$4:$K$203)/$K180)))</f>
        <v>0</v>
      </c>
      <c r="AH180" s="166">
        <f>IF(OR($I180="",$E180=0),0,IF(OR($J180&lt;AH$3,$I180&gt;AH$2),0,IF($K180=0,IF(AND($I180&gt;=AH$3,$I180&lt;=AH$2),$E180,0),$E180*NETWORKDAYS(MAX($I180,AH$3),MIN($J180,AH$2),Data!$K$4:$K$203)/$K180)))</f>
        <v>0</v>
      </c>
      <c r="AI180" s="166">
        <f>SUM(W180:AH180)</f>
        <v>0</v>
      </c>
      <c r="BZ180" t="str">
        <f>IF(D180=1,IF(TRIM(INDEX(Charge!$K:$K,ROW()))&lt;&gt;"",TRIM(INDEX(Charge!$K:$K,ROW())),IF(TRIM(INDEX(Charge!$L:$L,ROW()))&lt;&gt;"",TRIM(INDEX(Charge!$L:$L,ROW())),"(non affecté)")),"")</f>
        <v/>
      </c>
      <c r="CA180" t="str">
        <f>IF(AND($CD$4&lt;&gt;"",BZ180=$CD$4),COUNTIFS($BZ$4:$BZ$503,$CD$4,$L$4:$L$503,"&lt;"&amp;L180)+1,"")</f>
        <v/>
      </c>
      <c r="EJ180" t="str">
        <f>TRIM(INDEX(Data!$E:$E,ROW()))</f>
        <v/>
      </c>
      <c r="EK180" t="str">
        <f>TRIM(INDEX(Data!$H:$H,ROW()))</f>
        <v/>
      </c>
      <c r="EM180" t="str">
        <f>IF(D180=1,IF(TRIM(INDEX(Charge!$K:$K,ROW()))&lt;&gt;"","Interne",IF(TRIM(INDEX(Charge!$L:$L,ROW()))&lt;&gt;"","Externe","Non affecté")),"")</f>
        <v/>
      </c>
      <c r="EN180" t="str">
        <f>IF(D180=1,LEFT(SUBSTITUTE(SUBSTITUTE(SUBSTITUTE(TRIM(SUBSTITUTE(INDEX(Charge!$B:$B,ROW()),CHAR(160)," "))&amp;" | "&amp;TRIM(SUBSTITUTE(INDEX(Charge!$C:$C,ROW()),CHAR(160)," "))&amp;" | "&amp;TRIM(SUBSTITUTE(INDEX(Charge!$D:$D,ROW()),CHAR(160)," ")),"~","-"),"*","+"),"?","!"),240),"")</f>
        <v/>
      </c>
      <c r="EO180">
        <f>IF(EN180="",0,IF(COUNTIF($EN$4:EN180,EN180)=1,1,0))</f>
        <v>0</v>
      </c>
      <c r="EP180" s="166" t="str">
        <f>IF(EO180=1,ROUND(SUMIF($EN$4:$EN$503,EN180,$E$4:$E$503),2),"")</f>
        <v/>
      </c>
      <c r="EQ180" t="str">
        <f>IF(EO180=1,COUNTIFS($EO$4:$EO$503,1,$EP$4:$EP$503,"&gt;"&amp;EP180)+COUNTIFS($EO$4:EO180,1,$EP$4:EP180,EP180),"")</f>
        <v/>
      </c>
      <c r="ER180" t="str">
        <f>IF(EO180=1,COUNTIFS($EN$4:$EN$503,EN180,$EM$4:$EM$503,"Interne",$FE$4:$FE$503,1),"")</f>
        <v/>
      </c>
      <c r="ES180" t="str">
        <f>IF(EO180=1,COUNTIFS($EN$4:$EN$503,EN180,$EM$4:$EM$503,"Externe",$FE$4:$FE$503,1),"")</f>
        <v/>
      </c>
      <c r="ET180" t="str">
        <f>IF(EO180=1,IF(ER180+ES180=0,"à affecter",IF(ER180=0,ES180&amp;" ext.",(ER180+ES180)&amp;IF(ES180&gt;0," dont "&amp;ES180&amp;" ext.",""))&amp;IF(COUNTIFS($EN$4:$EN$503,EN180,$EM$4:$EM$503,"Non affecté")&gt;0," + à affecter","")),"")</f>
        <v/>
      </c>
      <c r="EU180" s="170" t="str">
        <f>IF(EO180=1,IF(EP180&gt;0,SUMPRODUCT(($EN$4:$EN$503=EN180)*$E$4:$E$503*$C$4:$C$503)/EP180,AVERAGEIF($EN$4:$EN$503,EN180,$C$4:$C$503)),"")</f>
        <v/>
      </c>
      <c r="EV180" s="165">
        <f>IF(ISNUMBER(I180),I180,2958465)</f>
        <v>2958465.0</v>
      </c>
      <c r="EW180" s="165" t="str">
        <f>IF(EO180=1,SUMPRODUCT(MIN(($EN$4:$EN$503=EN180)*$EV$4:$EV$503+($EN$4:$EN$503&lt;&gt;EN180)*2958465)),"")</f>
        <v/>
      </c>
      <c r="EX180" s="165">
        <f>IF(AND(D180=1,ISNUMBER(INDEX(Charge!$F:$F,ROW()))),INDEX(Charge!$F:$F,ROW()),0)</f>
        <v>0.0</v>
      </c>
      <c r="EY180" s="165" t="str">
        <f>IF(EO180=1,SUMPRODUCT(MAX(($EN$4:$EN$503=EN180)*$EX$4:$EX$503)),"")</f>
        <v/>
      </c>
      <c r="FA180" t="str">
        <f>IF(177&lt;=$CD$23,INDEX($EJ$4:$EJ$203,177),IF(177-$CD$23&lt;=$CD$26,INDEX($EK$4:$EK$203,177-$CD$23),""))</f>
        <v/>
      </c>
      <c r="FB180" t="str">
        <f>IF(FA180="","",IF(177&lt;=$CD$23,"Interne","Externe"))</f>
        <v/>
      </c>
      <c r="FD180">
        <f>IF(AND(B180=1,TRIM(INDEX(Charge!$K:$K,ROW()))&lt;&gt;"",TRIM(INDEX(Charge!$L:$L,ROW()))&lt;&gt;""),1,0)</f>
        <v>0</v>
      </c>
      <c r="FE180">
        <f>IF(OR(EN180="",BZ180="(non affecté)"),0,IF(COUNTIFS($EN$4:EN180,EN180,$BZ$4:BZ180,BZ180)=1,1,0))</f>
        <v>0</v>
      </c>
    </row>
    <row r="181">
      <c r="A181">
        <f>ROW()</f>
        <v>181</v>
      </c>
      <c r="B181">
        <f>IF(TRIM(INDEX(Charge!$B:$B,ROW()))&lt;&gt;"",1,0)</f>
        <v>0</v>
      </c>
      <c r="C181">
        <f>IF(B181=1,MIN(1,MAX(0,N(INDEX(Charge!$O:$O,ROW())))),0)</f>
        <v>0</v>
      </c>
      <c r="D181">
        <f>IF(B181=1,IF(OR(p_Perimetre="Tous les projets",C181&lt;1),1,0),0)</f>
        <v>0</v>
      </c>
      <c r="E181">
        <f>IF(D181=1,MAX(0,N(INDEX(Charge!$M:$M,ROW()))),0)</f>
        <v>0</v>
      </c>
      <c r="F181" t="str">
        <f>IF(D181=1,IF(TRIM(INDEX(Charge!$A:$A,ROW()))="","(non renseigné)",TRIM(INDEX(Charge!$A:$A,ROW()))),"")</f>
        <v/>
      </c>
      <c r="G181" t="str">
        <f>IF(D181=1,TRIM(INDEX(Charge!$B:$B,ROW())),"")</f>
        <v/>
      </c>
      <c r="H181" t="str">
        <f>IF(D181=1,IF(TRIM(INDEX(Charge!$E:$E,ROW()))="","(non renseigné)",TRIM(INDEX(Charge!$E:$E,ROW()))),"")</f>
        <v/>
      </c>
      <c r="I181" s="165" t="str">
        <f>IF(AND(D181=1,ISNUMBER(INDEX(Charge!$N:$N,ROW()))),INDEX(Charge!$N:$N,ROW()),"")</f>
        <v/>
      </c>
      <c r="J181" s="165" t="str">
        <f>IF(I181="","",IF(AND(p_Repartition="Lissée jusqu'à la date de besoin",ISNUMBER(INDEX(Charge!$F:$F,ROW()))),IF(INDEX(Charge!$F:$F,ROW())&gt;=I181,INDEX(Charge!$F:$F,ROW()),I181),I181))</f>
        <v/>
      </c>
      <c r="K181" t="str">
        <f>IF(I181="","",NETWORKDAYS(I181,J181,Data!$K$4:$K$203))</f>
        <v/>
      </c>
      <c r="L181" t="str">
        <f>IF(D181=1,COUNTIFS($D$4:$D$503,1,$E$4:$E$503,"&gt;"&amp;E181)+COUNTIFS($D$4:$D181,1,$E$4:$E181,E181),"")</f>
        <v/>
      </c>
      <c r="M181">
        <f>IF(F181="",0,IF(COUNTIF($F$4:F181,F181)=1,1,0))</f>
        <v>0</v>
      </c>
      <c r="N181" t="str">
        <f>IF(M181=1,ROUND(SUMIF($F$4:$F$503,F181,$E$4:$E$503),2),"")</f>
        <v/>
      </c>
      <c r="O181" t="str">
        <f>IF(M181=1,COUNTIFS($M$4:$M$503,1,$N$4:$N$503,"&gt;"&amp;N181)+COUNTIFS($M$4:M181,1,$N$4:N181,N181),"")</f>
        <v/>
      </c>
      <c r="P181">
        <f>IF(G181="",0,IF(COUNTIF($G$4:G181,G181)=1,1,0))</f>
        <v>0</v>
      </c>
      <c r="Q181" t="str">
        <f>IF(P181=1,ROUND(SUMIF($G$4:$G$503,G181,$E$4:$E$503),2),"")</f>
        <v/>
      </c>
      <c r="R181" t="str">
        <f>IF(P181=1,COUNTIFS($P$4:$P$503,1,$Q$4:$Q$503,"&gt;"&amp;Q181)+COUNTIFS($P$4:P181,1,$Q$4:Q181,Q181),"")</f>
        <v/>
      </c>
      <c r="S181">
        <f>IF(H181="",0,IF(COUNTIF($H$4:H181,H181)=1,1,0))</f>
        <v>0</v>
      </c>
      <c r="T181" t="str">
        <f>IF(S181=1,ROUND(SUMIF($H$4:$H$503,H181,$E$4:$E$503),2),"")</f>
        <v/>
      </c>
      <c r="U181" t="str">
        <f>IF(S181=1,COUNTIFS($S$4:$S$503,1,$T$4:$T$503,"&gt;"&amp;T181)+COUNTIFS($S$4:S181,1,$T$4:T181,T181),"")</f>
        <v/>
      </c>
      <c r="V181" t="str">
        <f>IF(D181=1,MIN(INDEX($R$4:$R$503,MATCH(G181,$G$4:$G$503,0)),IF($AL$7&gt;9,9,999)),"")</f>
        <v/>
      </c>
      <c r="W181" s="166">
        <f>IF(OR($I181="",$E181=0),0,IF(OR($J181&lt;W$3,$I181&gt;W$2),0,IF($K181=0,IF(AND($I181&gt;=W$3,$I181&lt;=W$2),$E181,0),$E181*NETWORKDAYS(MAX($I181,W$3),MIN($J181,W$2),Data!$K$4:$K$203)/$K181)))</f>
        <v>0</v>
      </c>
      <c r="X181" s="166">
        <f>IF(OR($I181="",$E181=0),0,IF(OR($J181&lt;X$3,$I181&gt;X$2),0,IF($K181=0,IF(AND($I181&gt;=X$3,$I181&lt;=X$2),$E181,0),$E181*NETWORKDAYS(MAX($I181,X$3),MIN($J181,X$2),Data!$K$4:$K$203)/$K181)))</f>
        <v>0</v>
      </c>
      <c r="Y181" s="166">
        <f>IF(OR($I181="",$E181=0),0,IF(OR($J181&lt;Y$3,$I181&gt;Y$2),0,IF($K181=0,IF(AND($I181&gt;=Y$3,$I181&lt;=Y$2),$E181,0),$E181*NETWORKDAYS(MAX($I181,Y$3),MIN($J181,Y$2),Data!$K$4:$K$203)/$K181)))</f>
        <v>0</v>
      </c>
      <c r="Z181" s="166">
        <f>IF(OR($I181="",$E181=0),0,IF(OR($J181&lt;Z$3,$I181&gt;Z$2),0,IF($K181=0,IF(AND($I181&gt;=Z$3,$I181&lt;=Z$2),$E181,0),$E181*NETWORKDAYS(MAX($I181,Z$3),MIN($J181,Z$2),Data!$K$4:$K$203)/$K181)))</f>
        <v>0</v>
      </c>
      <c r="AA181" s="166">
        <f>IF(OR($I181="",$E181=0),0,IF(OR($J181&lt;AA$3,$I181&gt;AA$2),0,IF($K181=0,IF(AND($I181&gt;=AA$3,$I181&lt;=AA$2),$E181,0),$E181*NETWORKDAYS(MAX($I181,AA$3),MIN($J181,AA$2),Data!$K$4:$K$203)/$K181)))</f>
        <v>0</v>
      </c>
      <c r="AB181" s="166">
        <f>IF(OR($I181="",$E181=0),0,IF(OR($J181&lt;AB$3,$I181&gt;AB$2),0,IF($K181=0,IF(AND($I181&gt;=AB$3,$I181&lt;=AB$2),$E181,0),$E181*NETWORKDAYS(MAX($I181,AB$3),MIN($J181,AB$2),Data!$K$4:$K$203)/$K181)))</f>
        <v>0</v>
      </c>
      <c r="AC181" s="166">
        <f>IF(OR($I181="",$E181=0),0,IF(OR($J181&lt;AC$3,$I181&gt;AC$2),0,IF($K181=0,IF(AND($I181&gt;=AC$3,$I181&lt;=AC$2),$E181,0),$E181*NETWORKDAYS(MAX($I181,AC$3),MIN($J181,AC$2),Data!$K$4:$K$203)/$K181)))</f>
        <v>0</v>
      </c>
      <c r="AD181" s="166">
        <f>IF(OR($I181="",$E181=0),0,IF(OR($J181&lt;AD$3,$I181&gt;AD$2),0,IF($K181=0,IF(AND($I181&gt;=AD$3,$I181&lt;=AD$2),$E181,0),$E181*NETWORKDAYS(MAX($I181,AD$3),MIN($J181,AD$2),Data!$K$4:$K$203)/$K181)))</f>
        <v>0</v>
      </c>
      <c r="AE181" s="166">
        <f>IF(OR($I181="",$E181=0),0,IF(OR($J181&lt;AE$3,$I181&gt;AE$2),0,IF($K181=0,IF(AND($I181&gt;=AE$3,$I181&lt;=AE$2),$E181,0),$E181*NETWORKDAYS(MAX($I181,AE$3),MIN($J181,AE$2),Data!$K$4:$K$203)/$K181)))</f>
        <v>0</v>
      </c>
      <c r="AF181" s="166">
        <f>IF(OR($I181="",$E181=0),0,IF(OR($J181&lt;AF$3,$I181&gt;AF$2),0,IF($K181=0,IF(AND($I181&gt;=AF$3,$I181&lt;=AF$2),$E181,0),$E181*NETWORKDAYS(MAX($I181,AF$3),MIN($J181,AF$2),Data!$K$4:$K$203)/$K181)))</f>
        <v>0</v>
      </c>
      <c r="AG181" s="166">
        <f>IF(OR($I181="",$E181=0),0,IF(OR($J181&lt;AG$3,$I181&gt;AG$2),0,IF($K181=0,IF(AND($I181&gt;=AG$3,$I181&lt;=AG$2),$E181,0),$E181*NETWORKDAYS(MAX($I181,AG$3),MIN($J181,AG$2),Data!$K$4:$K$203)/$K181)))</f>
        <v>0</v>
      </c>
      <c r="AH181" s="166">
        <f>IF(OR($I181="",$E181=0),0,IF(OR($J181&lt;AH$3,$I181&gt;AH$2),0,IF($K181=0,IF(AND($I181&gt;=AH$3,$I181&lt;=AH$2),$E181,0),$E181*NETWORKDAYS(MAX($I181,AH$3),MIN($J181,AH$2),Data!$K$4:$K$203)/$K181)))</f>
        <v>0</v>
      </c>
      <c r="AI181" s="166">
        <f>SUM(W181:AH181)</f>
        <v>0</v>
      </c>
      <c r="BZ181" t="str">
        <f>IF(D181=1,IF(TRIM(INDEX(Charge!$K:$K,ROW()))&lt;&gt;"",TRIM(INDEX(Charge!$K:$K,ROW())),IF(TRIM(INDEX(Charge!$L:$L,ROW()))&lt;&gt;"",TRIM(INDEX(Charge!$L:$L,ROW())),"(non affecté)")),"")</f>
        <v/>
      </c>
      <c r="CA181" t="str">
        <f>IF(AND($CD$4&lt;&gt;"",BZ181=$CD$4),COUNTIFS($BZ$4:$BZ$503,$CD$4,$L$4:$L$503,"&lt;"&amp;L181)+1,"")</f>
        <v/>
      </c>
      <c r="EJ181" t="str">
        <f>TRIM(INDEX(Data!$E:$E,ROW()))</f>
        <v/>
      </c>
      <c r="EK181" t="str">
        <f>TRIM(INDEX(Data!$H:$H,ROW()))</f>
        <v/>
      </c>
      <c r="EM181" t="str">
        <f>IF(D181=1,IF(TRIM(INDEX(Charge!$K:$K,ROW()))&lt;&gt;"","Interne",IF(TRIM(INDEX(Charge!$L:$L,ROW()))&lt;&gt;"","Externe","Non affecté")),"")</f>
        <v/>
      </c>
      <c r="EN181" t="str">
        <f>IF(D181=1,LEFT(SUBSTITUTE(SUBSTITUTE(SUBSTITUTE(TRIM(SUBSTITUTE(INDEX(Charge!$B:$B,ROW()),CHAR(160)," "))&amp;" | "&amp;TRIM(SUBSTITUTE(INDEX(Charge!$C:$C,ROW()),CHAR(160)," "))&amp;" | "&amp;TRIM(SUBSTITUTE(INDEX(Charge!$D:$D,ROW()),CHAR(160)," ")),"~","-"),"*","+"),"?","!"),240),"")</f>
        <v/>
      </c>
      <c r="EO181">
        <f>IF(EN181="",0,IF(COUNTIF($EN$4:EN181,EN181)=1,1,0))</f>
        <v>0</v>
      </c>
      <c r="EP181" s="166" t="str">
        <f>IF(EO181=1,ROUND(SUMIF($EN$4:$EN$503,EN181,$E$4:$E$503),2),"")</f>
        <v/>
      </c>
      <c r="EQ181" t="str">
        <f>IF(EO181=1,COUNTIFS($EO$4:$EO$503,1,$EP$4:$EP$503,"&gt;"&amp;EP181)+COUNTIFS($EO$4:EO181,1,$EP$4:EP181,EP181),"")</f>
        <v/>
      </c>
      <c r="ER181" t="str">
        <f>IF(EO181=1,COUNTIFS($EN$4:$EN$503,EN181,$EM$4:$EM$503,"Interne",$FE$4:$FE$503,1),"")</f>
        <v/>
      </c>
      <c r="ES181" t="str">
        <f>IF(EO181=1,COUNTIFS($EN$4:$EN$503,EN181,$EM$4:$EM$503,"Externe",$FE$4:$FE$503,1),"")</f>
        <v/>
      </c>
      <c r="ET181" t="str">
        <f>IF(EO181=1,IF(ER181+ES181=0,"à affecter",IF(ER181=0,ES181&amp;" ext.",(ER181+ES181)&amp;IF(ES181&gt;0," dont "&amp;ES181&amp;" ext.",""))&amp;IF(COUNTIFS($EN$4:$EN$503,EN181,$EM$4:$EM$503,"Non affecté")&gt;0," + à affecter","")),"")</f>
        <v/>
      </c>
      <c r="EU181" s="170" t="str">
        <f>IF(EO181=1,IF(EP181&gt;0,SUMPRODUCT(($EN$4:$EN$503=EN181)*$E$4:$E$503*$C$4:$C$503)/EP181,AVERAGEIF($EN$4:$EN$503,EN181,$C$4:$C$503)),"")</f>
        <v/>
      </c>
      <c r="EV181" s="165">
        <f>IF(ISNUMBER(I181),I181,2958465)</f>
        <v>2958465.0</v>
      </c>
      <c r="EW181" s="165" t="str">
        <f>IF(EO181=1,SUMPRODUCT(MIN(($EN$4:$EN$503=EN181)*$EV$4:$EV$503+($EN$4:$EN$503&lt;&gt;EN181)*2958465)),"")</f>
        <v/>
      </c>
      <c r="EX181" s="165">
        <f>IF(AND(D181=1,ISNUMBER(INDEX(Charge!$F:$F,ROW()))),INDEX(Charge!$F:$F,ROW()),0)</f>
        <v>0.0</v>
      </c>
      <c r="EY181" s="165" t="str">
        <f>IF(EO181=1,SUMPRODUCT(MAX(($EN$4:$EN$503=EN181)*$EX$4:$EX$503)),"")</f>
        <v/>
      </c>
      <c r="FA181" t="str">
        <f>IF(178&lt;=$CD$23,INDEX($EJ$4:$EJ$203,178),IF(178-$CD$23&lt;=$CD$26,INDEX($EK$4:$EK$203,178-$CD$23),""))</f>
        <v/>
      </c>
      <c r="FB181" t="str">
        <f>IF(FA181="","",IF(178&lt;=$CD$23,"Interne","Externe"))</f>
        <v/>
      </c>
      <c r="FD181">
        <f>IF(AND(B181=1,TRIM(INDEX(Charge!$K:$K,ROW()))&lt;&gt;"",TRIM(INDEX(Charge!$L:$L,ROW()))&lt;&gt;""),1,0)</f>
        <v>0</v>
      </c>
      <c r="FE181">
        <f>IF(OR(EN181="",BZ181="(non affecté)"),0,IF(COUNTIFS($EN$4:EN181,EN181,$BZ$4:BZ181,BZ181)=1,1,0))</f>
        <v>0</v>
      </c>
    </row>
    <row r="182">
      <c r="A182">
        <f>ROW()</f>
        <v>182</v>
      </c>
      <c r="B182">
        <f>IF(TRIM(INDEX(Charge!$B:$B,ROW()))&lt;&gt;"",1,0)</f>
        <v>0</v>
      </c>
      <c r="C182">
        <f>IF(B182=1,MIN(1,MAX(0,N(INDEX(Charge!$O:$O,ROW())))),0)</f>
        <v>0</v>
      </c>
      <c r="D182">
        <f>IF(B182=1,IF(OR(p_Perimetre="Tous les projets",C182&lt;1),1,0),0)</f>
        <v>0</v>
      </c>
      <c r="E182">
        <f>IF(D182=1,MAX(0,N(INDEX(Charge!$M:$M,ROW()))),0)</f>
        <v>0</v>
      </c>
      <c r="F182" t="str">
        <f>IF(D182=1,IF(TRIM(INDEX(Charge!$A:$A,ROW()))="","(non renseigné)",TRIM(INDEX(Charge!$A:$A,ROW()))),"")</f>
        <v/>
      </c>
      <c r="G182" t="str">
        <f>IF(D182=1,TRIM(INDEX(Charge!$B:$B,ROW())),"")</f>
        <v/>
      </c>
      <c r="H182" t="str">
        <f>IF(D182=1,IF(TRIM(INDEX(Charge!$E:$E,ROW()))="","(non renseigné)",TRIM(INDEX(Charge!$E:$E,ROW()))),"")</f>
        <v/>
      </c>
      <c r="I182" s="165" t="str">
        <f>IF(AND(D182=1,ISNUMBER(INDEX(Charge!$N:$N,ROW()))),INDEX(Charge!$N:$N,ROW()),"")</f>
        <v/>
      </c>
      <c r="J182" s="165" t="str">
        <f>IF(I182="","",IF(AND(p_Repartition="Lissée jusqu'à la date de besoin",ISNUMBER(INDEX(Charge!$F:$F,ROW()))),IF(INDEX(Charge!$F:$F,ROW())&gt;=I182,INDEX(Charge!$F:$F,ROW()),I182),I182))</f>
        <v/>
      </c>
      <c r="K182" t="str">
        <f>IF(I182="","",NETWORKDAYS(I182,J182,Data!$K$4:$K$203))</f>
        <v/>
      </c>
      <c r="L182" t="str">
        <f>IF(D182=1,COUNTIFS($D$4:$D$503,1,$E$4:$E$503,"&gt;"&amp;E182)+COUNTIFS($D$4:$D182,1,$E$4:$E182,E182),"")</f>
        <v/>
      </c>
      <c r="M182">
        <f>IF(F182="",0,IF(COUNTIF($F$4:F182,F182)=1,1,0))</f>
        <v>0</v>
      </c>
      <c r="N182" t="str">
        <f>IF(M182=1,ROUND(SUMIF($F$4:$F$503,F182,$E$4:$E$503),2),"")</f>
        <v/>
      </c>
      <c r="O182" t="str">
        <f>IF(M182=1,COUNTIFS($M$4:$M$503,1,$N$4:$N$503,"&gt;"&amp;N182)+COUNTIFS($M$4:M182,1,$N$4:N182,N182),"")</f>
        <v/>
      </c>
      <c r="P182">
        <f>IF(G182="",0,IF(COUNTIF($G$4:G182,G182)=1,1,0))</f>
        <v>0</v>
      </c>
      <c r="Q182" t="str">
        <f>IF(P182=1,ROUND(SUMIF($G$4:$G$503,G182,$E$4:$E$503),2),"")</f>
        <v/>
      </c>
      <c r="R182" t="str">
        <f>IF(P182=1,COUNTIFS($P$4:$P$503,1,$Q$4:$Q$503,"&gt;"&amp;Q182)+COUNTIFS($P$4:P182,1,$Q$4:Q182,Q182),"")</f>
        <v/>
      </c>
      <c r="S182">
        <f>IF(H182="",0,IF(COUNTIF($H$4:H182,H182)=1,1,0))</f>
        <v>0</v>
      </c>
      <c r="T182" t="str">
        <f>IF(S182=1,ROUND(SUMIF($H$4:$H$503,H182,$E$4:$E$503),2),"")</f>
        <v/>
      </c>
      <c r="U182" t="str">
        <f>IF(S182=1,COUNTIFS($S$4:$S$503,1,$T$4:$T$503,"&gt;"&amp;T182)+COUNTIFS($S$4:S182,1,$T$4:T182,T182),"")</f>
        <v/>
      </c>
      <c r="V182" t="str">
        <f>IF(D182=1,MIN(INDEX($R$4:$R$503,MATCH(G182,$G$4:$G$503,0)),IF($AL$7&gt;9,9,999)),"")</f>
        <v/>
      </c>
      <c r="W182" s="166">
        <f>IF(OR($I182="",$E182=0),0,IF(OR($J182&lt;W$3,$I182&gt;W$2),0,IF($K182=0,IF(AND($I182&gt;=W$3,$I182&lt;=W$2),$E182,0),$E182*NETWORKDAYS(MAX($I182,W$3),MIN($J182,W$2),Data!$K$4:$K$203)/$K182)))</f>
        <v>0</v>
      </c>
      <c r="X182" s="166">
        <f>IF(OR($I182="",$E182=0),0,IF(OR($J182&lt;X$3,$I182&gt;X$2),0,IF($K182=0,IF(AND($I182&gt;=X$3,$I182&lt;=X$2),$E182,0),$E182*NETWORKDAYS(MAX($I182,X$3),MIN($J182,X$2),Data!$K$4:$K$203)/$K182)))</f>
        <v>0</v>
      </c>
      <c r="Y182" s="166">
        <f>IF(OR($I182="",$E182=0),0,IF(OR($J182&lt;Y$3,$I182&gt;Y$2),0,IF($K182=0,IF(AND($I182&gt;=Y$3,$I182&lt;=Y$2),$E182,0),$E182*NETWORKDAYS(MAX($I182,Y$3),MIN($J182,Y$2),Data!$K$4:$K$203)/$K182)))</f>
        <v>0</v>
      </c>
      <c r="Z182" s="166">
        <f>IF(OR($I182="",$E182=0),0,IF(OR($J182&lt;Z$3,$I182&gt;Z$2),0,IF($K182=0,IF(AND($I182&gt;=Z$3,$I182&lt;=Z$2),$E182,0),$E182*NETWORKDAYS(MAX($I182,Z$3),MIN($J182,Z$2),Data!$K$4:$K$203)/$K182)))</f>
        <v>0</v>
      </c>
      <c r="AA182" s="166">
        <f>IF(OR($I182="",$E182=0),0,IF(OR($J182&lt;AA$3,$I182&gt;AA$2),0,IF($K182=0,IF(AND($I182&gt;=AA$3,$I182&lt;=AA$2),$E182,0),$E182*NETWORKDAYS(MAX($I182,AA$3),MIN($J182,AA$2),Data!$K$4:$K$203)/$K182)))</f>
        <v>0</v>
      </c>
      <c r="AB182" s="166">
        <f>IF(OR($I182="",$E182=0),0,IF(OR($J182&lt;AB$3,$I182&gt;AB$2),0,IF($K182=0,IF(AND($I182&gt;=AB$3,$I182&lt;=AB$2),$E182,0),$E182*NETWORKDAYS(MAX($I182,AB$3),MIN($J182,AB$2),Data!$K$4:$K$203)/$K182)))</f>
        <v>0</v>
      </c>
      <c r="AC182" s="166">
        <f>IF(OR($I182="",$E182=0),0,IF(OR($J182&lt;AC$3,$I182&gt;AC$2),0,IF($K182=0,IF(AND($I182&gt;=AC$3,$I182&lt;=AC$2),$E182,0),$E182*NETWORKDAYS(MAX($I182,AC$3),MIN($J182,AC$2),Data!$K$4:$K$203)/$K182)))</f>
        <v>0</v>
      </c>
      <c r="AD182" s="166">
        <f>IF(OR($I182="",$E182=0),0,IF(OR($J182&lt;AD$3,$I182&gt;AD$2),0,IF($K182=0,IF(AND($I182&gt;=AD$3,$I182&lt;=AD$2),$E182,0),$E182*NETWORKDAYS(MAX($I182,AD$3),MIN($J182,AD$2),Data!$K$4:$K$203)/$K182)))</f>
        <v>0</v>
      </c>
      <c r="AE182" s="166">
        <f>IF(OR($I182="",$E182=0),0,IF(OR($J182&lt;AE$3,$I182&gt;AE$2),0,IF($K182=0,IF(AND($I182&gt;=AE$3,$I182&lt;=AE$2),$E182,0),$E182*NETWORKDAYS(MAX($I182,AE$3),MIN($J182,AE$2),Data!$K$4:$K$203)/$K182)))</f>
        <v>0</v>
      </c>
      <c r="AF182" s="166">
        <f>IF(OR($I182="",$E182=0),0,IF(OR($J182&lt;AF$3,$I182&gt;AF$2),0,IF($K182=0,IF(AND($I182&gt;=AF$3,$I182&lt;=AF$2),$E182,0),$E182*NETWORKDAYS(MAX($I182,AF$3),MIN($J182,AF$2),Data!$K$4:$K$203)/$K182)))</f>
        <v>0</v>
      </c>
      <c r="AG182" s="166">
        <f>IF(OR($I182="",$E182=0),0,IF(OR($J182&lt;AG$3,$I182&gt;AG$2),0,IF($K182=0,IF(AND($I182&gt;=AG$3,$I182&lt;=AG$2),$E182,0),$E182*NETWORKDAYS(MAX($I182,AG$3),MIN($J182,AG$2),Data!$K$4:$K$203)/$K182)))</f>
        <v>0</v>
      </c>
      <c r="AH182" s="166">
        <f>IF(OR($I182="",$E182=0),0,IF(OR($J182&lt;AH$3,$I182&gt;AH$2),0,IF($K182=0,IF(AND($I182&gt;=AH$3,$I182&lt;=AH$2),$E182,0),$E182*NETWORKDAYS(MAX($I182,AH$3),MIN($J182,AH$2),Data!$K$4:$K$203)/$K182)))</f>
        <v>0</v>
      </c>
      <c r="AI182" s="166">
        <f>SUM(W182:AH182)</f>
        <v>0</v>
      </c>
      <c r="BZ182" t="str">
        <f>IF(D182=1,IF(TRIM(INDEX(Charge!$K:$K,ROW()))&lt;&gt;"",TRIM(INDEX(Charge!$K:$K,ROW())),IF(TRIM(INDEX(Charge!$L:$L,ROW()))&lt;&gt;"",TRIM(INDEX(Charge!$L:$L,ROW())),"(non affecté)")),"")</f>
        <v/>
      </c>
      <c r="CA182" t="str">
        <f>IF(AND($CD$4&lt;&gt;"",BZ182=$CD$4),COUNTIFS($BZ$4:$BZ$503,$CD$4,$L$4:$L$503,"&lt;"&amp;L182)+1,"")</f>
        <v/>
      </c>
      <c r="EJ182" t="str">
        <f>TRIM(INDEX(Data!$E:$E,ROW()))</f>
        <v/>
      </c>
      <c r="EK182" t="str">
        <f>TRIM(INDEX(Data!$H:$H,ROW()))</f>
        <v/>
      </c>
      <c r="EM182" t="str">
        <f>IF(D182=1,IF(TRIM(INDEX(Charge!$K:$K,ROW()))&lt;&gt;"","Interne",IF(TRIM(INDEX(Charge!$L:$L,ROW()))&lt;&gt;"","Externe","Non affecté")),"")</f>
        <v/>
      </c>
      <c r="EN182" t="str">
        <f>IF(D182=1,LEFT(SUBSTITUTE(SUBSTITUTE(SUBSTITUTE(TRIM(SUBSTITUTE(INDEX(Charge!$B:$B,ROW()),CHAR(160)," "))&amp;" | "&amp;TRIM(SUBSTITUTE(INDEX(Charge!$C:$C,ROW()),CHAR(160)," "))&amp;" | "&amp;TRIM(SUBSTITUTE(INDEX(Charge!$D:$D,ROW()),CHAR(160)," ")),"~","-"),"*","+"),"?","!"),240),"")</f>
        <v/>
      </c>
      <c r="EO182">
        <f>IF(EN182="",0,IF(COUNTIF($EN$4:EN182,EN182)=1,1,0))</f>
        <v>0</v>
      </c>
      <c r="EP182" s="166" t="str">
        <f>IF(EO182=1,ROUND(SUMIF($EN$4:$EN$503,EN182,$E$4:$E$503),2),"")</f>
        <v/>
      </c>
      <c r="EQ182" t="str">
        <f>IF(EO182=1,COUNTIFS($EO$4:$EO$503,1,$EP$4:$EP$503,"&gt;"&amp;EP182)+COUNTIFS($EO$4:EO182,1,$EP$4:EP182,EP182),"")</f>
        <v/>
      </c>
      <c r="ER182" t="str">
        <f>IF(EO182=1,COUNTIFS($EN$4:$EN$503,EN182,$EM$4:$EM$503,"Interne",$FE$4:$FE$503,1),"")</f>
        <v/>
      </c>
      <c r="ES182" t="str">
        <f>IF(EO182=1,COUNTIFS($EN$4:$EN$503,EN182,$EM$4:$EM$503,"Externe",$FE$4:$FE$503,1),"")</f>
        <v/>
      </c>
      <c r="ET182" t="str">
        <f>IF(EO182=1,IF(ER182+ES182=0,"à affecter",IF(ER182=0,ES182&amp;" ext.",(ER182+ES182)&amp;IF(ES182&gt;0," dont "&amp;ES182&amp;" ext.",""))&amp;IF(COUNTIFS($EN$4:$EN$503,EN182,$EM$4:$EM$503,"Non affecté")&gt;0," + à affecter","")),"")</f>
        <v/>
      </c>
      <c r="EU182" s="170" t="str">
        <f>IF(EO182=1,IF(EP182&gt;0,SUMPRODUCT(($EN$4:$EN$503=EN182)*$E$4:$E$503*$C$4:$C$503)/EP182,AVERAGEIF($EN$4:$EN$503,EN182,$C$4:$C$503)),"")</f>
        <v/>
      </c>
      <c r="EV182" s="165">
        <f>IF(ISNUMBER(I182),I182,2958465)</f>
        <v>2958465.0</v>
      </c>
      <c r="EW182" s="165" t="str">
        <f>IF(EO182=1,SUMPRODUCT(MIN(($EN$4:$EN$503=EN182)*$EV$4:$EV$503+($EN$4:$EN$503&lt;&gt;EN182)*2958465)),"")</f>
        <v/>
      </c>
      <c r="EX182" s="165">
        <f>IF(AND(D182=1,ISNUMBER(INDEX(Charge!$F:$F,ROW()))),INDEX(Charge!$F:$F,ROW()),0)</f>
        <v>0.0</v>
      </c>
      <c r="EY182" s="165" t="str">
        <f>IF(EO182=1,SUMPRODUCT(MAX(($EN$4:$EN$503=EN182)*$EX$4:$EX$503)),"")</f>
        <v/>
      </c>
      <c r="FA182" t="str">
        <f>IF(179&lt;=$CD$23,INDEX($EJ$4:$EJ$203,179),IF(179-$CD$23&lt;=$CD$26,INDEX($EK$4:$EK$203,179-$CD$23),""))</f>
        <v/>
      </c>
      <c r="FB182" t="str">
        <f>IF(FA182="","",IF(179&lt;=$CD$23,"Interne","Externe"))</f>
        <v/>
      </c>
      <c r="FD182">
        <f>IF(AND(B182=1,TRIM(INDEX(Charge!$K:$K,ROW()))&lt;&gt;"",TRIM(INDEX(Charge!$L:$L,ROW()))&lt;&gt;""),1,0)</f>
        <v>0</v>
      </c>
      <c r="FE182">
        <f>IF(OR(EN182="",BZ182="(non affecté)"),0,IF(COUNTIFS($EN$4:EN182,EN182,$BZ$4:BZ182,BZ182)=1,1,0))</f>
        <v>0</v>
      </c>
    </row>
    <row r="183">
      <c r="A183">
        <f>ROW()</f>
        <v>183</v>
      </c>
      <c r="B183">
        <f>IF(TRIM(INDEX(Charge!$B:$B,ROW()))&lt;&gt;"",1,0)</f>
        <v>0</v>
      </c>
      <c r="C183">
        <f>IF(B183=1,MIN(1,MAX(0,N(INDEX(Charge!$O:$O,ROW())))),0)</f>
        <v>0</v>
      </c>
      <c r="D183">
        <f>IF(B183=1,IF(OR(p_Perimetre="Tous les projets",C183&lt;1),1,0),0)</f>
        <v>0</v>
      </c>
      <c r="E183">
        <f>IF(D183=1,MAX(0,N(INDEX(Charge!$M:$M,ROW()))),0)</f>
        <v>0</v>
      </c>
      <c r="F183" t="str">
        <f>IF(D183=1,IF(TRIM(INDEX(Charge!$A:$A,ROW()))="","(non renseigné)",TRIM(INDEX(Charge!$A:$A,ROW()))),"")</f>
        <v/>
      </c>
      <c r="G183" t="str">
        <f>IF(D183=1,TRIM(INDEX(Charge!$B:$B,ROW())),"")</f>
        <v/>
      </c>
      <c r="H183" t="str">
        <f>IF(D183=1,IF(TRIM(INDEX(Charge!$E:$E,ROW()))="","(non renseigné)",TRIM(INDEX(Charge!$E:$E,ROW()))),"")</f>
        <v/>
      </c>
      <c r="I183" s="165" t="str">
        <f>IF(AND(D183=1,ISNUMBER(INDEX(Charge!$N:$N,ROW()))),INDEX(Charge!$N:$N,ROW()),"")</f>
        <v/>
      </c>
      <c r="J183" s="165" t="str">
        <f>IF(I183="","",IF(AND(p_Repartition="Lissée jusqu'à la date de besoin",ISNUMBER(INDEX(Charge!$F:$F,ROW()))),IF(INDEX(Charge!$F:$F,ROW())&gt;=I183,INDEX(Charge!$F:$F,ROW()),I183),I183))</f>
        <v/>
      </c>
      <c r="K183" t="str">
        <f>IF(I183="","",NETWORKDAYS(I183,J183,Data!$K$4:$K$203))</f>
        <v/>
      </c>
      <c r="L183" t="str">
        <f>IF(D183=1,COUNTIFS($D$4:$D$503,1,$E$4:$E$503,"&gt;"&amp;E183)+COUNTIFS($D$4:$D183,1,$E$4:$E183,E183),"")</f>
        <v/>
      </c>
      <c r="M183">
        <f>IF(F183="",0,IF(COUNTIF($F$4:F183,F183)=1,1,0))</f>
        <v>0</v>
      </c>
      <c r="N183" t="str">
        <f>IF(M183=1,ROUND(SUMIF($F$4:$F$503,F183,$E$4:$E$503),2),"")</f>
        <v/>
      </c>
      <c r="O183" t="str">
        <f>IF(M183=1,COUNTIFS($M$4:$M$503,1,$N$4:$N$503,"&gt;"&amp;N183)+COUNTIFS($M$4:M183,1,$N$4:N183,N183),"")</f>
        <v/>
      </c>
      <c r="P183">
        <f>IF(G183="",0,IF(COUNTIF($G$4:G183,G183)=1,1,0))</f>
        <v>0</v>
      </c>
      <c r="Q183" t="str">
        <f>IF(P183=1,ROUND(SUMIF($G$4:$G$503,G183,$E$4:$E$503),2),"")</f>
        <v/>
      </c>
      <c r="R183" t="str">
        <f>IF(P183=1,COUNTIFS($P$4:$P$503,1,$Q$4:$Q$503,"&gt;"&amp;Q183)+COUNTIFS($P$4:P183,1,$Q$4:Q183,Q183),"")</f>
        <v/>
      </c>
      <c r="S183">
        <f>IF(H183="",0,IF(COUNTIF($H$4:H183,H183)=1,1,0))</f>
        <v>0</v>
      </c>
      <c r="T183" t="str">
        <f>IF(S183=1,ROUND(SUMIF($H$4:$H$503,H183,$E$4:$E$503),2),"")</f>
        <v/>
      </c>
      <c r="U183" t="str">
        <f>IF(S183=1,COUNTIFS($S$4:$S$503,1,$T$4:$T$503,"&gt;"&amp;T183)+COUNTIFS($S$4:S183,1,$T$4:T183,T183),"")</f>
        <v/>
      </c>
      <c r="V183" t="str">
        <f>IF(D183=1,MIN(INDEX($R$4:$R$503,MATCH(G183,$G$4:$G$503,0)),IF($AL$7&gt;9,9,999)),"")</f>
        <v/>
      </c>
      <c r="W183" s="166">
        <f>IF(OR($I183="",$E183=0),0,IF(OR($J183&lt;W$3,$I183&gt;W$2),0,IF($K183=0,IF(AND($I183&gt;=W$3,$I183&lt;=W$2),$E183,0),$E183*NETWORKDAYS(MAX($I183,W$3),MIN($J183,W$2),Data!$K$4:$K$203)/$K183)))</f>
        <v>0</v>
      </c>
      <c r="X183" s="166">
        <f>IF(OR($I183="",$E183=0),0,IF(OR($J183&lt;X$3,$I183&gt;X$2),0,IF($K183=0,IF(AND($I183&gt;=X$3,$I183&lt;=X$2),$E183,0),$E183*NETWORKDAYS(MAX($I183,X$3),MIN($J183,X$2),Data!$K$4:$K$203)/$K183)))</f>
        <v>0</v>
      </c>
      <c r="Y183" s="166">
        <f>IF(OR($I183="",$E183=0),0,IF(OR($J183&lt;Y$3,$I183&gt;Y$2),0,IF($K183=0,IF(AND($I183&gt;=Y$3,$I183&lt;=Y$2),$E183,0),$E183*NETWORKDAYS(MAX($I183,Y$3),MIN($J183,Y$2),Data!$K$4:$K$203)/$K183)))</f>
        <v>0</v>
      </c>
      <c r="Z183" s="166">
        <f>IF(OR($I183="",$E183=0),0,IF(OR($J183&lt;Z$3,$I183&gt;Z$2),0,IF($K183=0,IF(AND($I183&gt;=Z$3,$I183&lt;=Z$2),$E183,0),$E183*NETWORKDAYS(MAX($I183,Z$3),MIN($J183,Z$2),Data!$K$4:$K$203)/$K183)))</f>
        <v>0</v>
      </c>
      <c r="AA183" s="166">
        <f>IF(OR($I183="",$E183=0),0,IF(OR($J183&lt;AA$3,$I183&gt;AA$2),0,IF($K183=0,IF(AND($I183&gt;=AA$3,$I183&lt;=AA$2),$E183,0),$E183*NETWORKDAYS(MAX($I183,AA$3),MIN($J183,AA$2),Data!$K$4:$K$203)/$K183)))</f>
        <v>0</v>
      </c>
      <c r="AB183" s="166">
        <f>IF(OR($I183="",$E183=0),0,IF(OR($J183&lt;AB$3,$I183&gt;AB$2),0,IF($K183=0,IF(AND($I183&gt;=AB$3,$I183&lt;=AB$2),$E183,0),$E183*NETWORKDAYS(MAX($I183,AB$3),MIN($J183,AB$2),Data!$K$4:$K$203)/$K183)))</f>
        <v>0</v>
      </c>
      <c r="AC183" s="166">
        <f>IF(OR($I183="",$E183=0),0,IF(OR($J183&lt;AC$3,$I183&gt;AC$2),0,IF($K183=0,IF(AND($I183&gt;=AC$3,$I183&lt;=AC$2),$E183,0),$E183*NETWORKDAYS(MAX($I183,AC$3),MIN($J183,AC$2),Data!$K$4:$K$203)/$K183)))</f>
        <v>0</v>
      </c>
      <c r="AD183" s="166">
        <f>IF(OR($I183="",$E183=0),0,IF(OR($J183&lt;AD$3,$I183&gt;AD$2),0,IF($K183=0,IF(AND($I183&gt;=AD$3,$I183&lt;=AD$2),$E183,0),$E183*NETWORKDAYS(MAX($I183,AD$3),MIN($J183,AD$2),Data!$K$4:$K$203)/$K183)))</f>
        <v>0</v>
      </c>
      <c r="AE183" s="166">
        <f>IF(OR($I183="",$E183=0),0,IF(OR($J183&lt;AE$3,$I183&gt;AE$2),0,IF($K183=0,IF(AND($I183&gt;=AE$3,$I183&lt;=AE$2),$E183,0),$E183*NETWORKDAYS(MAX($I183,AE$3),MIN($J183,AE$2),Data!$K$4:$K$203)/$K183)))</f>
        <v>0</v>
      </c>
      <c r="AF183" s="166">
        <f>IF(OR($I183="",$E183=0),0,IF(OR($J183&lt;AF$3,$I183&gt;AF$2),0,IF($K183=0,IF(AND($I183&gt;=AF$3,$I183&lt;=AF$2),$E183,0),$E183*NETWORKDAYS(MAX($I183,AF$3),MIN($J183,AF$2),Data!$K$4:$K$203)/$K183)))</f>
        <v>0</v>
      </c>
      <c r="AG183" s="166">
        <f>IF(OR($I183="",$E183=0),0,IF(OR($J183&lt;AG$3,$I183&gt;AG$2),0,IF($K183=0,IF(AND($I183&gt;=AG$3,$I183&lt;=AG$2),$E183,0),$E183*NETWORKDAYS(MAX($I183,AG$3),MIN($J183,AG$2),Data!$K$4:$K$203)/$K183)))</f>
        <v>0</v>
      </c>
      <c r="AH183" s="166">
        <f>IF(OR($I183="",$E183=0),0,IF(OR($J183&lt;AH$3,$I183&gt;AH$2),0,IF($K183=0,IF(AND($I183&gt;=AH$3,$I183&lt;=AH$2),$E183,0),$E183*NETWORKDAYS(MAX($I183,AH$3),MIN($J183,AH$2),Data!$K$4:$K$203)/$K183)))</f>
        <v>0</v>
      </c>
      <c r="AI183" s="166">
        <f>SUM(W183:AH183)</f>
        <v>0</v>
      </c>
      <c r="BZ183" t="str">
        <f>IF(D183=1,IF(TRIM(INDEX(Charge!$K:$K,ROW()))&lt;&gt;"",TRIM(INDEX(Charge!$K:$K,ROW())),IF(TRIM(INDEX(Charge!$L:$L,ROW()))&lt;&gt;"",TRIM(INDEX(Charge!$L:$L,ROW())),"(non affecté)")),"")</f>
        <v/>
      </c>
      <c r="CA183" t="str">
        <f>IF(AND($CD$4&lt;&gt;"",BZ183=$CD$4),COUNTIFS($BZ$4:$BZ$503,$CD$4,$L$4:$L$503,"&lt;"&amp;L183)+1,"")</f>
        <v/>
      </c>
      <c r="EJ183" t="str">
        <f>TRIM(INDEX(Data!$E:$E,ROW()))</f>
        <v/>
      </c>
      <c r="EK183" t="str">
        <f>TRIM(INDEX(Data!$H:$H,ROW()))</f>
        <v/>
      </c>
      <c r="EM183" t="str">
        <f>IF(D183=1,IF(TRIM(INDEX(Charge!$K:$K,ROW()))&lt;&gt;"","Interne",IF(TRIM(INDEX(Charge!$L:$L,ROW()))&lt;&gt;"","Externe","Non affecté")),"")</f>
        <v/>
      </c>
      <c r="EN183" t="str">
        <f>IF(D183=1,LEFT(SUBSTITUTE(SUBSTITUTE(SUBSTITUTE(TRIM(SUBSTITUTE(INDEX(Charge!$B:$B,ROW()),CHAR(160)," "))&amp;" | "&amp;TRIM(SUBSTITUTE(INDEX(Charge!$C:$C,ROW()),CHAR(160)," "))&amp;" | "&amp;TRIM(SUBSTITUTE(INDEX(Charge!$D:$D,ROW()),CHAR(160)," ")),"~","-"),"*","+"),"?","!"),240),"")</f>
        <v/>
      </c>
      <c r="EO183">
        <f>IF(EN183="",0,IF(COUNTIF($EN$4:EN183,EN183)=1,1,0))</f>
        <v>0</v>
      </c>
      <c r="EP183" s="166" t="str">
        <f>IF(EO183=1,ROUND(SUMIF($EN$4:$EN$503,EN183,$E$4:$E$503),2),"")</f>
        <v/>
      </c>
      <c r="EQ183" t="str">
        <f>IF(EO183=1,COUNTIFS($EO$4:$EO$503,1,$EP$4:$EP$503,"&gt;"&amp;EP183)+COUNTIFS($EO$4:EO183,1,$EP$4:EP183,EP183),"")</f>
        <v/>
      </c>
      <c r="ER183" t="str">
        <f>IF(EO183=1,COUNTIFS($EN$4:$EN$503,EN183,$EM$4:$EM$503,"Interne",$FE$4:$FE$503,1),"")</f>
        <v/>
      </c>
      <c r="ES183" t="str">
        <f>IF(EO183=1,COUNTIFS($EN$4:$EN$503,EN183,$EM$4:$EM$503,"Externe",$FE$4:$FE$503,1),"")</f>
        <v/>
      </c>
      <c r="ET183" t="str">
        <f>IF(EO183=1,IF(ER183+ES183=0,"à affecter",IF(ER183=0,ES183&amp;" ext.",(ER183+ES183)&amp;IF(ES183&gt;0," dont "&amp;ES183&amp;" ext.",""))&amp;IF(COUNTIFS($EN$4:$EN$503,EN183,$EM$4:$EM$503,"Non affecté")&gt;0," + à affecter","")),"")</f>
        <v/>
      </c>
      <c r="EU183" s="170" t="str">
        <f>IF(EO183=1,IF(EP183&gt;0,SUMPRODUCT(($EN$4:$EN$503=EN183)*$E$4:$E$503*$C$4:$C$503)/EP183,AVERAGEIF($EN$4:$EN$503,EN183,$C$4:$C$503)),"")</f>
        <v/>
      </c>
      <c r="EV183" s="165">
        <f>IF(ISNUMBER(I183),I183,2958465)</f>
        <v>2958465.0</v>
      </c>
      <c r="EW183" s="165" t="str">
        <f>IF(EO183=1,SUMPRODUCT(MIN(($EN$4:$EN$503=EN183)*$EV$4:$EV$503+($EN$4:$EN$503&lt;&gt;EN183)*2958465)),"")</f>
        <v/>
      </c>
      <c r="EX183" s="165">
        <f>IF(AND(D183=1,ISNUMBER(INDEX(Charge!$F:$F,ROW()))),INDEX(Charge!$F:$F,ROW()),0)</f>
        <v>0.0</v>
      </c>
      <c r="EY183" s="165" t="str">
        <f>IF(EO183=1,SUMPRODUCT(MAX(($EN$4:$EN$503=EN183)*$EX$4:$EX$503)),"")</f>
        <v/>
      </c>
      <c r="FA183" t="str">
        <f>IF(180&lt;=$CD$23,INDEX($EJ$4:$EJ$203,180),IF(180-$CD$23&lt;=$CD$26,INDEX($EK$4:$EK$203,180-$CD$23),""))</f>
        <v/>
      </c>
      <c r="FB183" t="str">
        <f>IF(FA183="","",IF(180&lt;=$CD$23,"Interne","Externe"))</f>
        <v/>
      </c>
      <c r="FD183">
        <f>IF(AND(B183=1,TRIM(INDEX(Charge!$K:$K,ROW()))&lt;&gt;"",TRIM(INDEX(Charge!$L:$L,ROW()))&lt;&gt;""),1,0)</f>
        <v>0</v>
      </c>
      <c r="FE183">
        <f>IF(OR(EN183="",BZ183="(non affecté)"),0,IF(COUNTIFS($EN$4:EN183,EN183,$BZ$4:BZ183,BZ183)=1,1,0))</f>
        <v>0</v>
      </c>
    </row>
    <row r="184">
      <c r="A184">
        <f>ROW()</f>
        <v>184</v>
      </c>
      <c r="B184">
        <f>IF(TRIM(INDEX(Charge!$B:$B,ROW()))&lt;&gt;"",1,0)</f>
        <v>0</v>
      </c>
      <c r="C184">
        <f>IF(B184=1,MIN(1,MAX(0,N(INDEX(Charge!$O:$O,ROW())))),0)</f>
        <v>0</v>
      </c>
      <c r="D184">
        <f>IF(B184=1,IF(OR(p_Perimetre="Tous les projets",C184&lt;1),1,0),0)</f>
        <v>0</v>
      </c>
      <c r="E184">
        <f>IF(D184=1,MAX(0,N(INDEX(Charge!$M:$M,ROW()))),0)</f>
        <v>0</v>
      </c>
      <c r="F184" t="str">
        <f>IF(D184=1,IF(TRIM(INDEX(Charge!$A:$A,ROW()))="","(non renseigné)",TRIM(INDEX(Charge!$A:$A,ROW()))),"")</f>
        <v/>
      </c>
      <c r="G184" t="str">
        <f>IF(D184=1,TRIM(INDEX(Charge!$B:$B,ROW())),"")</f>
        <v/>
      </c>
      <c r="H184" t="str">
        <f>IF(D184=1,IF(TRIM(INDEX(Charge!$E:$E,ROW()))="","(non renseigné)",TRIM(INDEX(Charge!$E:$E,ROW()))),"")</f>
        <v/>
      </c>
      <c r="I184" s="165" t="str">
        <f>IF(AND(D184=1,ISNUMBER(INDEX(Charge!$N:$N,ROW()))),INDEX(Charge!$N:$N,ROW()),"")</f>
        <v/>
      </c>
      <c r="J184" s="165" t="str">
        <f>IF(I184="","",IF(AND(p_Repartition="Lissée jusqu'à la date de besoin",ISNUMBER(INDEX(Charge!$F:$F,ROW()))),IF(INDEX(Charge!$F:$F,ROW())&gt;=I184,INDEX(Charge!$F:$F,ROW()),I184),I184))</f>
        <v/>
      </c>
      <c r="K184" t="str">
        <f>IF(I184="","",NETWORKDAYS(I184,J184,Data!$K$4:$K$203))</f>
        <v/>
      </c>
      <c r="L184" t="str">
        <f>IF(D184=1,COUNTIFS($D$4:$D$503,1,$E$4:$E$503,"&gt;"&amp;E184)+COUNTIFS($D$4:$D184,1,$E$4:$E184,E184),"")</f>
        <v/>
      </c>
      <c r="M184">
        <f>IF(F184="",0,IF(COUNTIF($F$4:F184,F184)=1,1,0))</f>
        <v>0</v>
      </c>
      <c r="N184" t="str">
        <f>IF(M184=1,ROUND(SUMIF($F$4:$F$503,F184,$E$4:$E$503),2),"")</f>
        <v/>
      </c>
      <c r="O184" t="str">
        <f>IF(M184=1,COUNTIFS($M$4:$M$503,1,$N$4:$N$503,"&gt;"&amp;N184)+COUNTIFS($M$4:M184,1,$N$4:N184,N184),"")</f>
        <v/>
      </c>
      <c r="P184">
        <f>IF(G184="",0,IF(COUNTIF($G$4:G184,G184)=1,1,0))</f>
        <v>0</v>
      </c>
      <c r="Q184" t="str">
        <f>IF(P184=1,ROUND(SUMIF($G$4:$G$503,G184,$E$4:$E$503),2),"")</f>
        <v/>
      </c>
      <c r="R184" t="str">
        <f>IF(P184=1,COUNTIFS($P$4:$P$503,1,$Q$4:$Q$503,"&gt;"&amp;Q184)+COUNTIFS($P$4:P184,1,$Q$4:Q184,Q184),"")</f>
        <v/>
      </c>
      <c r="S184">
        <f>IF(H184="",0,IF(COUNTIF($H$4:H184,H184)=1,1,0))</f>
        <v>0</v>
      </c>
      <c r="T184" t="str">
        <f>IF(S184=1,ROUND(SUMIF($H$4:$H$503,H184,$E$4:$E$503),2),"")</f>
        <v/>
      </c>
      <c r="U184" t="str">
        <f>IF(S184=1,COUNTIFS($S$4:$S$503,1,$T$4:$T$503,"&gt;"&amp;T184)+COUNTIFS($S$4:S184,1,$T$4:T184,T184),"")</f>
        <v/>
      </c>
      <c r="V184" t="str">
        <f>IF(D184=1,MIN(INDEX($R$4:$R$503,MATCH(G184,$G$4:$G$503,0)),IF($AL$7&gt;9,9,999)),"")</f>
        <v/>
      </c>
      <c r="W184" s="166">
        <f>IF(OR($I184="",$E184=0),0,IF(OR($J184&lt;W$3,$I184&gt;W$2),0,IF($K184=0,IF(AND($I184&gt;=W$3,$I184&lt;=W$2),$E184,0),$E184*NETWORKDAYS(MAX($I184,W$3),MIN($J184,W$2),Data!$K$4:$K$203)/$K184)))</f>
        <v>0</v>
      </c>
      <c r="X184" s="166">
        <f>IF(OR($I184="",$E184=0),0,IF(OR($J184&lt;X$3,$I184&gt;X$2),0,IF($K184=0,IF(AND($I184&gt;=X$3,$I184&lt;=X$2),$E184,0),$E184*NETWORKDAYS(MAX($I184,X$3),MIN($J184,X$2),Data!$K$4:$K$203)/$K184)))</f>
        <v>0</v>
      </c>
      <c r="Y184" s="166">
        <f>IF(OR($I184="",$E184=0),0,IF(OR($J184&lt;Y$3,$I184&gt;Y$2),0,IF($K184=0,IF(AND($I184&gt;=Y$3,$I184&lt;=Y$2),$E184,0),$E184*NETWORKDAYS(MAX($I184,Y$3),MIN($J184,Y$2),Data!$K$4:$K$203)/$K184)))</f>
        <v>0</v>
      </c>
      <c r="Z184" s="166">
        <f>IF(OR($I184="",$E184=0),0,IF(OR($J184&lt;Z$3,$I184&gt;Z$2),0,IF($K184=0,IF(AND($I184&gt;=Z$3,$I184&lt;=Z$2),$E184,0),$E184*NETWORKDAYS(MAX($I184,Z$3),MIN($J184,Z$2),Data!$K$4:$K$203)/$K184)))</f>
        <v>0</v>
      </c>
      <c r="AA184" s="166">
        <f>IF(OR($I184="",$E184=0),0,IF(OR($J184&lt;AA$3,$I184&gt;AA$2),0,IF($K184=0,IF(AND($I184&gt;=AA$3,$I184&lt;=AA$2),$E184,0),$E184*NETWORKDAYS(MAX($I184,AA$3),MIN($J184,AA$2),Data!$K$4:$K$203)/$K184)))</f>
        <v>0</v>
      </c>
      <c r="AB184" s="166">
        <f>IF(OR($I184="",$E184=0),0,IF(OR($J184&lt;AB$3,$I184&gt;AB$2),0,IF($K184=0,IF(AND($I184&gt;=AB$3,$I184&lt;=AB$2),$E184,0),$E184*NETWORKDAYS(MAX($I184,AB$3),MIN($J184,AB$2),Data!$K$4:$K$203)/$K184)))</f>
        <v>0</v>
      </c>
      <c r="AC184" s="166">
        <f>IF(OR($I184="",$E184=0),0,IF(OR($J184&lt;AC$3,$I184&gt;AC$2),0,IF($K184=0,IF(AND($I184&gt;=AC$3,$I184&lt;=AC$2),$E184,0),$E184*NETWORKDAYS(MAX($I184,AC$3),MIN($J184,AC$2),Data!$K$4:$K$203)/$K184)))</f>
        <v>0</v>
      </c>
      <c r="AD184" s="166">
        <f>IF(OR($I184="",$E184=0),0,IF(OR($J184&lt;AD$3,$I184&gt;AD$2),0,IF($K184=0,IF(AND($I184&gt;=AD$3,$I184&lt;=AD$2),$E184,0),$E184*NETWORKDAYS(MAX($I184,AD$3),MIN($J184,AD$2),Data!$K$4:$K$203)/$K184)))</f>
        <v>0</v>
      </c>
      <c r="AE184" s="166">
        <f>IF(OR($I184="",$E184=0),0,IF(OR($J184&lt;AE$3,$I184&gt;AE$2),0,IF($K184=0,IF(AND($I184&gt;=AE$3,$I184&lt;=AE$2),$E184,0),$E184*NETWORKDAYS(MAX($I184,AE$3),MIN($J184,AE$2),Data!$K$4:$K$203)/$K184)))</f>
        <v>0</v>
      </c>
      <c r="AF184" s="166">
        <f>IF(OR($I184="",$E184=0),0,IF(OR($J184&lt;AF$3,$I184&gt;AF$2),0,IF($K184=0,IF(AND($I184&gt;=AF$3,$I184&lt;=AF$2),$E184,0),$E184*NETWORKDAYS(MAX($I184,AF$3),MIN($J184,AF$2),Data!$K$4:$K$203)/$K184)))</f>
        <v>0</v>
      </c>
      <c r="AG184" s="166">
        <f>IF(OR($I184="",$E184=0),0,IF(OR($J184&lt;AG$3,$I184&gt;AG$2),0,IF($K184=0,IF(AND($I184&gt;=AG$3,$I184&lt;=AG$2),$E184,0),$E184*NETWORKDAYS(MAX($I184,AG$3),MIN($J184,AG$2),Data!$K$4:$K$203)/$K184)))</f>
        <v>0</v>
      </c>
      <c r="AH184" s="166">
        <f>IF(OR($I184="",$E184=0),0,IF(OR($J184&lt;AH$3,$I184&gt;AH$2),0,IF($K184=0,IF(AND($I184&gt;=AH$3,$I184&lt;=AH$2),$E184,0),$E184*NETWORKDAYS(MAX($I184,AH$3),MIN($J184,AH$2),Data!$K$4:$K$203)/$K184)))</f>
        <v>0</v>
      </c>
      <c r="AI184" s="166">
        <f>SUM(W184:AH184)</f>
        <v>0</v>
      </c>
      <c r="BZ184" t="str">
        <f>IF(D184=1,IF(TRIM(INDEX(Charge!$K:$K,ROW()))&lt;&gt;"",TRIM(INDEX(Charge!$K:$K,ROW())),IF(TRIM(INDEX(Charge!$L:$L,ROW()))&lt;&gt;"",TRIM(INDEX(Charge!$L:$L,ROW())),"(non affecté)")),"")</f>
        <v/>
      </c>
      <c r="CA184" t="str">
        <f>IF(AND($CD$4&lt;&gt;"",BZ184=$CD$4),COUNTIFS($BZ$4:$BZ$503,$CD$4,$L$4:$L$503,"&lt;"&amp;L184)+1,"")</f>
        <v/>
      </c>
      <c r="EJ184" t="str">
        <f>TRIM(INDEX(Data!$E:$E,ROW()))</f>
        <v/>
      </c>
      <c r="EK184" t="str">
        <f>TRIM(INDEX(Data!$H:$H,ROW()))</f>
        <v/>
      </c>
      <c r="EM184" t="str">
        <f>IF(D184=1,IF(TRIM(INDEX(Charge!$K:$K,ROW()))&lt;&gt;"","Interne",IF(TRIM(INDEX(Charge!$L:$L,ROW()))&lt;&gt;"","Externe","Non affecté")),"")</f>
        <v/>
      </c>
      <c r="EN184" t="str">
        <f>IF(D184=1,LEFT(SUBSTITUTE(SUBSTITUTE(SUBSTITUTE(TRIM(SUBSTITUTE(INDEX(Charge!$B:$B,ROW()),CHAR(160)," "))&amp;" | "&amp;TRIM(SUBSTITUTE(INDEX(Charge!$C:$C,ROW()),CHAR(160)," "))&amp;" | "&amp;TRIM(SUBSTITUTE(INDEX(Charge!$D:$D,ROW()),CHAR(160)," ")),"~","-"),"*","+"),"?","!"),240),"")</f>
        <v/>
      </c>
      <c r="EO184">
        <f>IF(EN184="",0,IF(COUNTIF($EN$4:EN184,EN184)=1,1,0))</f>
        <v>0</v>
      </c>
      <c r="EP184" s="166" t="str">
        <f>IF(EO184=1,ROUND(SUMIF($EN$4:$EN$503,EN184,$E$4:$E$503),2),"")</f>
        <v/>
      </c>
      <c r="EQ184" t="str">
        <f>IF(EO184=1,COUNTIFS($EO$4:$EO$503,1,$EP$4:$EP$503,"&gt;"&amp;EP184)+COUNTIFS($EO$4:EO184,1,$EP$4:EP184,EP184),"")</f>
        <v/>
      </c>
      <c r="ER184" t="str">
        <f>IF(EO184=1,COUNTIFS($EN$4:$EN$503,EN184,$EM$4:$EM$503,"Interne",$FE$4:$FE$503,1),"")</f>
        <v/>
      </c>
      <c r="ES184" t="str">
        <f>IF(EO184=1,COUNTIFS($EN$4:$EN$503,EN184,$EM$4:$EM$503,"Externe",$FE$4:$FE$503,1),"")</f>
        <v/>
      </c>
      <c r="ET184" t="str">
        <f>IF(EO184=1,IF(ER184+ES184=0,"à affecter",IF(ER184=0,ES184&amp;" ext.",(ER184+ES184)&amp;IF(ES184&gt;0," dont "&amp;ES184&amp;" ext.",""))&amp;IF(COUNTIFS($EN$4:$EN$503,EN184,$EM$4:$EM$503,"Non affecté")&gt;0," + à affecter","")),"")</f>
        <v/>
      </c>
      <c r="EU184" s="170" t="str">
        <f>IF(EO184=1,IF(EP184&gt;0,SUMPRODUCT(($EN$4:$EN$503=EN184)*$E$4:$E$503*$C$4:$C$503)/EP184,AVERAGEIF($EN$4:$EN$503,EN184,$C$4:$C$503)),"")</f>
        <v/>
      </c>
      <c r="EV184" s="165">
        <f>IF(ISNUMBER(I184),I184,2958465)</f>
        <v>2958465.0</v>
      </c>
      <c r="EW184" s="165" t="str">
        <f>IF(EO184=1,SUMPRODUCT(MIN(($EN$4:$EN$503=EN184)*$EV$4:$EV$503+($EN$4:$EN$503&lt;&gt;EN184)*2958465)),"")</f>
        <v/>
      </c>
      <c r="EX184" s="165">
        <f>IF(AND(D184=1,ISNUMBER(INDEX(Charge!$F:$F,ROW()))),INDEX(Charge!$F:$F,ROW()),0)</f>
        <v>0.0</v>
      </c>
      <c r="EY184" s="165" t="str">
        <f>IF(EO184=1,SUMPRODUCT(MAX(($EN$4:$EN$503=EN184)*$EX$4:$EX$503)),"")</f>
        <v/>
      </c>
      <c r="FA184" t="str">
        <f>IF(181&lt;=$CD$23,INDEX($EJ$4:$EJ$203,181),IF(181-$CD$23&lt;=$CD$26,INDEX($EK$4:$EK$203,181-$CD$23),""))</f>
        <v/>
      </c>
      <c r="FB184" t="str">
        <f>IF(FA184="","",IF(181&lt;=$CD$23,"Interne","Externe"))</f>
        <v/>
      </c>
      <c r="FD184">
        <f>IF(AND(B184=1,TRIM(INDEX(Charge!$K:$K,ROW()))&lt;&gt;"",TRIM(INDEX(Charge!$L:$L,ROW()))&lt;&gt;""),1,0)</f>
        <v>0</v>
      </c>
      <c r="FE184">
        <f>IF(OR(EN184="",BZ184="(non affecté)"),0,IF(COUNTIFS($EN$4:EN184,EN184,$BZ$4:BZ184,BZ184)=1,1,0))</f>
        <v>0</v>
      </c>
    </row>
    <row r="185">
      <c r="A185">
        <f>ROW()</f>
        <v>185</v>
      </c>
      <c r="B185">
        <f>IF(TRIM(INDEX(Charge!$B:$B,ROW()))&lt;&gt;"",1,0)</f>
        <v>0</v>
      </c>
      <c r="C185">
        <f>IF(B185=1,MIN(1,MAX(0,N(INDEX(Charge!$O:$O,ROW())))),0)</f>
        <v>0</v>
      </c>
      <c r="D185">
        <f>IF(B185=1,IF(OR(p_Perimetre="Tous les projets",C185&lt;1),1,0),0)</f>
        <v>0</v>
      </c>
      <c r="E185">
        <f>IF(D185=1,MAX(0,N(INDEX(Charge!$M:$M,ROW()))),0)</f>
        <v>0</v>
      </c>
      <c r="F185" t="str">
        <f>IF(D185=1,IF(TRIM(INDEX(Charge!$A:$A,ROW()))="","(non renseigné)",TRIM(INDEX(Charge!$A:$A,ROW()))),"")</f>
        <v/>
      </c>
      <c r="G185" t="str">
        <f>IF(D185=1,TRIM(INDEX(Charge!$B:$B,ROW())),"")</f>
        <v/>
      </c>
      <c r="H185" t="str">
        <f>IF(D185=1,IF(TRIM(INDEX(Charge!$E:$E,ROW()))="","(non renseigné)",TRIM(INDEX(Charge!$E:$E,ROW()))),"")</f>
        <v/>
      </c>
      <c r="I185" s="165" t="str">
        <f>IF(AND(D185=1,ISNUMBER(INDEX(Charge!$N:$N,ROW()))),INDEX(Charge!$N:$N,ROW()),"")</f>
        <v/>
      </c>
      <c r="J185" s="165" t="str">
        <f>IF(I185="","",IF(AND(p_Repartition="Lissée jusqu'à la date de besoin",ISNUMBER(INDEX(Charge!$F:$F,ROW()))),IF(INDEX(Charge!$F:$F,ROW())&gt;=I185,INDEX(Charge!$F:$F,ROW()),I185),I185))</f>
        <v/>
      </c>
      <c r="K185" t="str">
        <f>IF(I185="","",NETWORKDAYS(I185,J185,Data!$K$4:$K$203))</f>
        <v/>
      </c>
      <c r="L185" t="str">
        <f>IF(D185=1,COUNTIFS($D$4:$D$503,1,$E$4:$E$503,"&gt;"&amp;E185)+COUNTIFS($D$4:$D185,1,$E$4:$E185,E185),"")</f>
        <v/>
      </c>
      <c r="M185">
        <f>IF(F185="",0,IF(COUNTIF($F$4:F185,F185)=1,1,0))</f>
        <v>0</v>
      </c>
      <c r="N185" t="str">
        <f>IF(M185=1,ROUND(SUMIF($F$4:$F$503,F185,$E$4:$E$503),2),"")</f>
        <v/>
      </c>
      <c r="O185" t="str">
        <f>IF(M185=1,COUNTIFS($M$4:$M$503,1,$N$4:$N$503,"&gt;"&amp;N185)+COUNTIFS($M$4:M185,1,$N$4:N185,N185),"")</f>
        <v/>
      </c>
      <c r="P185">
        <f>IF(G185="",0,IF(COUNTIF($G$4:G185,G185)=1,1,0))</f>
        <v>0</v>
      </c>
      <c r="Q185" t="str">
        <f>IF(P185=1,ROUND(SUMIF($G$4:$G$503,G185,$E$4:$E$503),2),"")</f>
        <v/>
      </c>
      <c r="R185" t="str">
        <f>IF(P185=1,COUNTIFS($P$4:$P$503,1,$Q$4:$Q$503,"&gt;"&amp;Q185)+COUNTIFS($P$4:P185,1,$Q$4:Q185,Q185),"")</f>
        <v/>
      </c>
      <c r="S185">
        <f>IF(H185="",0,IF(COUNTIF($H$4:H185,H185)=1,1,0))</f>
        <v>0</v>
      </c>
      <c r="T185" t="str">
        <f>IF(S185=1,ROUND(SUMIF($H$4:$H$503,H185,$E$4:$E$503),2),"")</f>
        <v/>
      </c>
      <c r="U185" t="str">
        <f>IF(S185=1,COUNTIFS($S$4:$S$503,1,$T$4:$T$503,"&gt;"&amp;T185)+COUNTIFS($S$4:S185,1,$T$4:T185,T185),"")</f>
        <v/>
      </c>
      <c r="V185" t="str">
        <f>IF(D185=1,MIN(INDEX($R$4:$R$503,MATCH(G185,$G$4:$G$503,0)),IF($AL$7&gt;9,9,999)),"")</f>
        <v/>
      </c>
      <c r="W185" s="166">
        <f>IF(OR($I185="",$E185=0),0,IF(OR($J185&lt;W$3,$I185&gt;W$2),0,IF($K185=0,IF(AND($I185&gt;=W$3,$I185&lt;=W$2),$E185,0),$E185*NETWORKDAYS(MAX($I185,W$3),MIN($J185,W$2),Data!$K$4:$K$203)/$K185)))</f>
        <v>0</v>
      </c>
      <c r="X185" s="166">
        <f>IF(OR($I185="",$E185=0),0,IF(OR($J185&lt;X$3,$I185&gt;X$2),0,IF($K185=0,IF(AND($I185&gt;=X$3,$I185&lt;=X$2),$E185,0),$E185*NETWORKDAYS(MAX($I185,X$3),MIN($J185,X$2),Data!$K$4:$K$203)/$K185)))</f>
        <v>0</v>
      </c>
      <c r="Y185" s="166">
        <f>IF(OR($I185="",$E185=0),0,IF(OR($J185&lt;Y$3,$I185&gt;Y$2),0,IF($K185=0,IF(AND($I185&gt;=Y$3,$I185&lt;=Y$2),$E185,0),$E185*NETWORKDAYS(MAX($I185,Y$3),MIN($J185,Y$2),Data!$K$4:$K$203)/$K185)))</f>
        <v>0</v>
      </c>
      <c r="Z185" s="166">
        <f>IF(OR($I185="",$E185=0),0,IF(OR($J185&lt;Z$3,$I185&gt;Z$2),0,IF($K185=0,IF(AND($I185&gt;=Z$3,$I185&lt;=Z$2),$E185,0),$E185*NETWORKDAYS(MAX($I185,Z$3),MIN($J185,Z$2),Data!$K$4:$K$203)/$K185)))</f>
        <v>0</v>
      </c>
      <c r="AA185" s="166">
        <f>IF(OR($I185="",$E185=0),0,IF(OR($J185&lt;AA$3,$I185&gt;AA$2),0,IF($K185=0,IF(AND($I185&gt;=AA$3,$I185&lt;=AA$2),$E185,0),$E185*NETWORKDAYS(MAX($I185,AA$3),MIN($J185,AA$2),Data!$K$4:$K$203)/$K185)))</f>
        <v>0</v>
      </c>
      <c r="AB185" s="166">
        <f>IF(OR($I185="",$E185=0),0,IF(OR($J185&lt;AB$3,$I185&gt;AB$2),0,IF($K185=0,IF(AND($I185&gt;=AB$3,$I185&lt;=AB$2),$E185,0),$E185*NETWORKDAYS(MAX($I185,AB$3),MIN($J185,AB$2),Data!$K$4:$K$203)/$K185)))</f>
        <v>0</v>
      </c>
      <c r="AC185" s="166">
        <f>IF(OR($I185="",$E185=0),0,IF(OR($J185&lt;AC$3,$I185&gt;AC$2),0,IF($K185=0,IF(AND($I185&gt;=AC$3,$I185&lt;=AC$2),$E185,0),$E185*NETWORKDAYS(MAX($I185,AC$3),MIN($J185,AC$2),Data!$K$4:$K$203)/$K185)))</f>
        <v>0</v>
      </c>
      <c r="AD185" s="166">
        <f>IF(OR($I185="",$E185=0),0,IF(OR($J185&lt;AD$3,$I185&gt;AD$2),0,IF($K185=0,IF(AND($I185&gt;=AD$3,$I185&lt;=AD$2),$E185,0),$E185*NETWORKDAYS(MAX($I185,AD$3),MIN($J185,AD$2),Data!$K$4:$K$203)/$K185)))</f>
        <v>0</v>
      </c>
      <c r="AE185" s="166">
        <f>IF(OR($I185="",$E185=0),0,IF(OR($J185&lt;AE$3,$I185&gt;AE$2),0,IF($K185=0,IF(AND($I185&gt;=AE$3,$I185&lt;=AE$2),$E185,0),$E185*NETWORKDAYS(MAX($I185,AE$3),MIN($J185,AE$2),Data!$K$4:$K$203)/$K185)))</f>
        <v>0</v>
      </c>
      <c r="AF185" s="166">
        <f>IF(OR($I185="",$E185=0),0,IF(OR($J185&lt;AF$3,$I185&gt;AF$2),0,IF($K185=0,IF(AND($I185&gt;=AF$3,$I185&lt;=AF$2),$E185,0),$E185*NETWORKDAYS(MAX($I185,AF$3),MIN($J185,AF$2),Data!$K$4:$K$203)/$K185)))</f>
        <v>0</v>
      </c>
      <c r="AG185" s="166">
        <f>IF(OR($I185="",$E185=0),0,IF(OR($J185&lt;AG$3,$I185&gt;AG$2),0,IF($K185=0,IF(AND($I185&gt;=AG$3,$I185&lt;=AG$2),$E185,0),$E185*NETWORKDAYS(MAX($I185,AG$3),MIN($J185,AG$2),Data!$K$4:$K$203)/$K185)))</f>
        <v>0</v>
      </c>
      <c r="AH185" s="166">
        <f>IF(OR($I185="",$E185=0),0,IF(OR($J185&lt;AH$3,$I185&gt;AH$2),0,IF($K185=0,IF(AND($I185&gt;=AH$3,$I185&lt;=AH$2),$E185,0),$E185*NETWORKDAYS(MAX($I185,AH$3),MIN($J185,AH$2),Data!$K$4:$K$203)/$K185)))</f>
        <v>0</v>
      </c>
      <c r="AI185" s="166">
        <f>SUM(W185:AH185)</f>
        <v>0</v>
      </c>
      <c r="BZ185" t="str">
        <f>IF(D185=1,IF(TRIM(INDEX(Charge!$K:$K,ROW()))&lt;&gt;"",TRIM(INDEX(Charge!$K:$K,ROW())),IF(TRIM(INDEX(Charge!$L:$L,ROW()))&lt;&gt;"",TRIM(INDEX(Charge!$L:$L,ROW())),"(non affecté)")),"")</f>
        <v/>
      </c>
      <c r="CA185" t="str">
        <f>IF(AND($CD$4&lt;&gt;"",BZ185=$CD$4),COUNTIFS($BZ$4:$BZ$503,$CD$4,$L$4:$L$503,"&lt;"&amp;L185)+1,"")</f>
        <v/>
      </c>
      <c r="EJ185" t="str">
        <f>TRIM(INDEX(Data!$E:$E,ROW()))</f>
        <v/>
      </c>
      <c r="EK185" t="str">
        <f>TRIM(INDEX(Data!$H:$H,ROW()))</f>
        <v/>
      </c>
      <c r="EM185" t="str">
        <f>IF(D185=1,IF(TRIM(INDEX(Charge!$K:$K,ROW()))&lt;&gt;"","Interne",IF(TRIM(INDEX(Charge!$L:$L,ROW()))&lt;&gt;"","Externe","Non affecté")),"")</f>
        <v/>
      </c>
      <c r="EN185" t="str">
        <f>IF(D185=1,LEFT(SUBSTITUTE(SUBSTITUTE(SUBSTITUTE(TRIM(SUBSTITUTE(INDEX(Charge!$B:$B,ROW()),CHAR(160)," "))&amp;" | "&amp;TRIM(SUBSTITUTE(INDEX(Charge!$C:$C,ROW()),CHAR(160)," "))&amp;" | "&amp;TRIM(SUBSTITUTE(INDEX(Charge!$D:$D,ROW()),CHAR(160)," ")),"~","-"),"*","+"),"?","!"),240),"")</f>
        <v/>
      </c>
      <c r="EO185">
        <f>IF(EN185="",0,IF(COUNTIF($EN$4:EN185,EN185)=1,1,0))</f>
        <v>0</v>
      </c>
      <c r="EP185" s="166" t="str">
        <f>IF(EO185=1,ROUND(SUMIF($EN$4:$EN$503,EN185,$E$4:$E$503),2),"")</f>
        <v/>
      </c>
      <c r="EQ185" t="str">
        <f>IF(EO185=1,COUNTIFS($EO$4:$EO$503,1,$EP$4:$EP$503,"&gt;"&amp;EP185)+COUNTIFS($EO$4:EO185,1,$EP$4:EP185,EP185),"")</f>
        <v/>
      </c>
      <c r="ER185" t="str">
        <f>IF(EO185=1,COUNTIFS($EN$4:$EN$503,EN185,$EM$4:$EM$503,"Interne",$FE$4:$FE$503,1),"")</f>
        <v/>
      </c>
      <c r="ES185" t="str">
        <f>IF(EO185=1,COUNTIFS($EN$4:$EN$503,EN185,$EM$4:$EM$503,"Externe",$FE$4:$FE$503,1),"")</f>
        <v/>
      </c>
      <c r="ET185" t="str">
        <f>IF(EO185=1,IF(ER185+ES185=0,"à affecter",IF(ER185=0,ES185&amp;" ext.",(ER185+ES185)&amp;IF(ES185&gt;0," dont "&amp;ES185&amp;" ext.",""))&amp;IF(COUNTIFS($EN$4:$EN$503,EN185,$EM$4:$EM$503,"Non affecté")&gt;0," + à affecter","")),"")</f>
        <v/>
      </c>
      <c r="EU185" s="170" t="str">
        <f>IF(EO185=1,IF(EP185&gt;0,SUMPRODUCT(($EN$4:$EN$503=EN185)*$E$4:$E$503*$C$4:$C$503)/EP185,AVERAGEIF($EN$4:$EN$503,EN185,$C$4:$C$503)),"")</f>
        <v/>
      </c>
      <c r="EV185" s="165">
        <f>IF(ISNUMBER(I185),I185,2958465)</f>
        <v>2958465.0</v>
      </c>
      <c r="EW185" s="165" t="str">
        <f>IF(EO185=1,SUMPRODUCT(MIN(($EN$4:$EN$503=EN185)*$EV$4:$EV$503+($EN$4:$EN$503&lt;&gt;EN185)*2958465)),"")</f>
        <v/>
      </c>
      <c r="EX185" s="165">
        <f>IF(AND(D185=1,ISNUMBER(INDEX(Charge!$F:$F,ROW()))),INDEX(Charge!$F:$F,ROW()),0)</f>
        <v>0.0</v>
      </c>
      <c r="EY185" s="165" t="str">
        <f>IF(EO185=1,SUMPRODUCT(MAX(($EN$4:$EN$503=EN185)*$EX$4:$EX$503)),"")</f>
        <v/>
      </c>
      <c r="FA185" t="str">
        <f>IF(182&lt;=$CD$23,INDEX($EJ$4:$EJ$203,182),IF(182-$CD$23&lt;=$CD$26,INDEX($EK$4:$EK$203,182-$CD$23),""))</f>
        <v/>
      </c>
      <c r="FB185" t="str">
        <f>IF(FA185="","",IF(182&lt;=$CD$23,"Interne","Externe"))</f>
        <v/>
      </c>
      <c r="FD185">
        <f>IF(AND(B185=1,TRIM(INDEX(Charge!$K:$K,ROW()))&lt;&gt;"",TRIM(INDEX(Charge!$L:$L,ROW()))&lt;&gt;""),1,0)</f>
        <v>0</v>
      </c>
      <c r="FE185">
        <f>IF(OR(EN185="",BZ185="(non affecté)"),0,IF(COUNTIFS($EN$4:EN185,EN185,$BZ$4:BZ185,BZ185)=1,1,0))</f>
        <v>0</v>
      </c>
    </row>
    <row r="186">
      <c r="A186">
        <f>ROW()</f>
        <v>186</v>
      </c>
      <c r="B186">
        <f>IF(TRIM(INDEX(Charge!$B:$B,ROW()))&lt;&gt;"",1,0)</f>
        <v>0</v>
      </c>
      <c r="C186">
        <f>IF(B186=1,MIN(1,MAX(0,N(INDEX(Charge!$O:$O,ROW())))),0)</f>
        <v>0</v>
      </c>
      <c r="D186">
        <f>IF(B186=1,IF(OR(p_Perimetre="Tous les projets",C186&lt;1),1,0),0)</f>
        <v>0</v>
      </c>
      <c r="E186">
        <f>IF(D186=1,MAX(0,N(INDEX(Charge!$M:$M,ROW()))),0)</f>
        <v>0</v>
      </c>
      <c r="F186" t="str">
        <f>IF(D186=1,IF(TRIM(INDEX(Charge!$A:$A,ROW()))="","(non renseigné)",TRIM(INDEX(Charge!$A:$A,ROW()))),"")</f>
        <v/>
      </c>
      <c r="G186" t="str">
        <f>IF(D186=1,TRIM(INDEX(Charge!$B:$B,ROW())),"")</f>
        <v/>
      </c>
      <c r="H186" t="str">
        <f>IF(D186=1,IF(TRIM(INDEX(Charge!$E:$E,ROW()))="","(non renseigné)",TRIM(INDEX(Charge!$E:$E,ROW()))),"")</f>
        <v/>
      </c>
      <c r="I186" s="165" t="str">
        <f>IF(AND(D186=1,ISNUMBER(INDEX(Charge!$N:$N,ROW()))),INDEX(Charge!$N:$N,ROW()),"")</f>
        <v/>
      </c>
      <c r="J186" s="165" t="str">
        <f>IF(I186="","",IF(AND(p_Repartition="Lissée jusqu'à la date de besoin",ISNUMBER(INDEX(Charge!$F:$F,ROW()))),IF(INDEX(Charge!$F:$F,ROW())&gt;=I186,INDEX(Charge!$F:$F,ROW()),I186),I186))</f>
        <v/>
      </c>
      <c r="K186" t="str">
        <f>IF(I186="","",NETWORKDAYS(I186,J186,Data!$K$4:$K$203))</f>
        <v/>
      </c>
      <c r="L186" t="str">
        <f>IF(D186=1,COUNTIFS($D$4:$D$503,1,$E$4:$E$503,"&gt;"&amp;E186)+COUNTIFS($D$4:$D186,1,$E$4:$E186,E186),"")</f>
        <v/>
      </c>
      <c r="M186">
        <f>IF(F186="",0,IF(COUNTIF($F$4:F186,F186)=1,1,0))</f>
        <v>0</v>
      </c>
      <c r="N186" t="str">
        <f>IF(M186=1,ROUND(SUMIF($F$4:$F$503,F186,$E$4:$E$503),2),"")</f>
        <v/>
      </c>
      <c r="O186" t="str">
        <f>IF(M186=1,COUNTIFS($M$4:$M$503,1,$N$4:$N$503,"&gt;"&amp;N186)+COUNTIFS($M$4:M186,1,$N$4:N186,N186),"")</f>
        <v/>
      </c>
      <c r="P186">
        <f>IF(G186="",0,IF(COUNTIF($G$4:G186,G186)=1,1,0))</f>
        <v>0</v>
      </c>
      <c r="Q186" t="str">
        <f>IF(P186=1,ROUND(SUMIF($G$4:$G$503,G186,$E$4:$E$503),2),"")</f>
        <v/>
      </c>
      <c r="R186" t="str">
        <f>IF(P186=1,COUNTIFS($P$4:$P$503,1,$Q$4:$Q$503,"&gt;"&amp;Q186)+COUNTIFS($P$4:P186,1,$Q$4:Q186,Q186),"")</f>
        <v/>
      </c>
      <c r="S186">
        <f>IF(H186="",0,IF(COUNTIF($H$4:H186,H186)=1,1,0))</f>
        <v>0</v>
      </c>
      <c r="T186" t="str">
        <f>IF(S186=1,ROUND(SUMIF($H$4:$H$503,H186,$E$4:$E$503),2),"")</f>
        <v/>
      </c>
      <c r="U186" t="str">
        <f>IF(S186=1,COUNTIFS($S$4:$S$503,1,$T$4:$T$503,"&gt;"&amp;T186)+COUNTIFS($S$4:S186,1,$T$4:T186,T186),"")</f>
        <v/>
      </c>
      <c r="V186" t="str">
        <f>IF(D186=1,MIN(INDEX($R$4:$R$503,MATCH(G186,$G$4:$G$503,0)),IF($AL$7&gt;9,9,999)),"")</f>
        <v/>
      </c>
      <c r="W186" s="166">
        <f>IF(OR($I186="",$E186=0),0,IF(OR($J186&lt;W$3,$I186&gt;W$2),0,IF($K186=0,IF(AND($I186&gt;=W$3,$I186&lt;=W$2),$E186,0),$E186*NETWORKDAYS(MAX($I186,W$3),MIN($J186,W$2),Data!$K$4:$K$203)/$K186)))</f>
        <v>0</v>
      </c>
      <c r="X186" s="166">
        <f>IF(OR($I186="",$E186=0),0,IF(OR($J186&lt;X$3,$I186&gt;X$2),0,IF($K186=0,IF(AND($I186&gt;=X$3,$I186&lt;=X$2),$E186,0),$E186*NETWORKDAYS(MAX($I186,X$3),MIN($J186,X$2),Data!$K$4:$K$203)/$K186)))</f>
        <v>0</v>
      </c>
      <c r="Y186" s="166">
        <f>IF(OR($I186="",$E186=0),0,IF(OR($J186&lt;Y$3,$I186&gt;Y$2),0,IF($K186=0,IF(AND($I186&gt;=Y$3,$I186&lt;=Y$2),$E186,0),$E186*NETWORKDAYS(MAX($I186,Y$3),MIN($J186,Y$2),Data!$K$4:$K$203)/$K186)))</f>
        <v>0</v>
      </c>
      <c r="Z186" s="166">
        <f>IF(OR($I186="",$E186=0),0,IF(OR($J186&lt;Z$3,$I186&gt;Z$2),0,IF($K186=0,IF(AND($I186&gt;=Z$3,$I186&lt;=Z$2),$E186,0),$E186*NETWORKDAYS(MAX($I186,Z$3),MIN($J186,Z$2),Data!$K$4:$K$203)/$K186)))</f>
        <v>0</v>
      </c>
      <c r="AA186" s="166">
        <f>IF(OR($I186="",$E186=0),0,IF(OR($J186&lt;AA$3,$I186&gt;AA$2),0,IF($K186=0,IF(AND($I186&gt;=AA$3,$I186&lt;=AA$2),$E186,0),$E186*NETWORKDAYS(MAX($I186,AA$3),MIN($J186,AA$2),Data!$K$4:$K$203)/$K186)))</f>
        <v>0</v>
      </c>
      <c r="AB186" s="166">
        <f>IF(OR($I186="",$E186=0),0,IF(OR($J186&lt;AB$3,$I186&gt;AB$2),0,IF($K186=0,IF(AND($I186&gt;=AB$3,$I186&lt;=AB$2),$E186,0),$E186*NETWORKDAYS(MAX($I186,AB$3),MIN($J186,AB$2),Data!$K$4:$K$203)/$K186)))</f>
        <v>0</v>
      </c>
      <c r="AC186" s="166">
        <f>IF(OR($I186="",$E186=0),0,IF(OR($J186&lt;AC$3,$I186&gt;AC$2),0,IF($K186=0,IF(AND($I186&gt;=AC$3,$I186&lt;=AC$2),$E186,0),$E186*NETWORKDAYS(MAX($I186,AC$3),MIN($J186,AC$2),Data!$K$4:$K$203)/$K186)))</f>
        <v>0</v>
      </c>
      <c r="AD186" s="166">
        <f>IF(OR($I186="",$E186=0),0,IF(OR($J186&lt;AD$3,$I186&gt;AD$2),0,IF($K186=0,IF(AND($I186&gt;=AD$3,$I186&lt;=AD$2),$E186,0),$E186*NETWORKDAYS(MAX($I186,AD$3),MIN($J186,AD$2),Data!$K$4:$K$203)/$K186)))</f>
        <v>0</v>
      </c>
      <c r="AE186" s="166">
        <f>IF(OR($I186="",$E186=0),0,IF(OR($J186&lt;AE$3,$I186&gt;AE$2),0,IF($K186=0,IF(AND($I186&gt;=AE$3,$I186&lt;=AE$2),$E186,0),$E186*NETWORKDAYS(MAX($I186,AE$3),MIN($J186,AE$2),Data!$K$4:$K$203)/$K186)))</f>
        <v>0</v>
      </c>
      <c r="AF186" s="166">
        <f>IF(OR($I186="",$E186=0),0,IF(OR($J186&lt;AF$3,$I186&gt;AF$2),0,IF($K186=0,IF(AND($I186&gt;=AF$3,$I186&lt;=AF$2),$E186,0),$E186*NETWORKDAYS(MAX($I186,AF$3),MIN($J186,AF$2),Data!$K$4:$K$203)/$K186)))</f>
        <v>0</v>
      </c>
      <c r="AG186" s="166">
        <f>IF(OR($I186="",$E186=0),0,IF(OR($J186&lt;AG$3,$I186&gt;AG$2),0,IF($K186=0,IF(AND($I186&gt;=AG$3,$I186&lt;=AG$2),$E186,0),$E186*NETWORKDAYS(MAX($I186,AG$3),MIN($J186,AG$2),Data!$K$4:$K$203)/$K186)))</f>
        <v>0</v>
      </c>
      <c r="AH186" s="166">
        <f>IF(OR($I186="",$E186=0),0,IF(OR($J186&lt;AH$3,$I186&gt;AH$2),0,IF($K186=0,IF(AND($I186&gt;=AH$3,$I186&lt;=AH$2),$E186,0),$E186*NETWORKDAYS(MAX($I186,AH$3),MIN($J186,AH$2),Data!$K$4:$K$203)/$K186)))</f>
        <v>0</v>
      </c>
      <c r="AI186" s="166">
        <f>SUM(W186:AH186)</f>
        <v>0</v>
      </c>
      <c r="BZ186" t="str">
        <f>IF(D186=1,IF(TRIM(INDEX(Charge!$K:$K,ROW()))&lt;&gt;"",TRIM(INDEX(Charge!$K:$K,ROW())),IF(TRIM(INDEX(Charge!$L:$L,ROW()))&lt;&gt;"",TRIM(INDEX(Charge!$L:$L,ROW())),"(non affecté)")),"")</f>
        <v/>
      </c>
      <c r="CA186" t="str">
        <f>IF(AND($CD$4&lt;&gt;"",BZ186=$CD$4),COUNTIFS($BZ$4:$BZ$503,$CD$4,$L$4:$L$503,"&lt;"&amp;L186)+1,"")</f>
        <v/>
      </c>
      <c r="EJ186" t="str">
        <f>TRIM(INDEX(Data!$E:$E,ROW()))</f>
        <v/>
      </c>
      <c r="EK186" t="str">
        <f>TRIM(INDEX(Data!$H:$H,ROW()))</f>
        <v/>
      </c>
      <c r="EM186" t="str">
        <f>IF(D186=1,IF(TRIM(INDEX(Charge!$K:$K,ROW()))&lt;&gt;"","Interne",IF(TRIM(INDEX(Charge!$L:$L,ROW()))&lt;&gt;"","Externe","Non affecté")),"")</f>
        <v/>
      </c>
      <c r="EN186" t="str">
        <f>IF(D186=1,LEFT(SUBSTITUTE(SUBSTITUTE(SUBSTITUTE(TRIM(SUBSTITUTE(INDEX(Charge!$B:$B,ROW()),CHAR(160)," "))&amp;" | "&amp;TRIM(SUBSTITUTE(INDEX(Charge!$C:$C,ROW()),CHAR(160)," "))&amp;" | "&amp;TRIM(SUBSTITUTE(INDEX(Charge!$D:$D,ROW()),CHAR(160)," ")),"~","-"),"*","+"),"?","!"),240),"")</f>
        <v/>
      </c>
      <c r="EO186">
        <f>IF(EN186="",0,IF(COUNTIF($EN$4:EN186,EN186)=1,1,0))</f>
        <v>0</v>
      </c>
      <c r="EP186" s="166" t="str">
        <f>IF(EO186=1,ROUND(SUMIF($EN$4:$EN$503,EN186,$E$4:$E$503),2),"")</f>
        <v/>
      </c>
      <c r="EQ186" t="str">
        <f>IF(EO186=1,COUNTIFS($EO$4:$EO$503,1,$EP$4:$EP$503,"&gt;"&amp;EP186)+COUNTIFS($EO$4:EO186,1,$EP$4:EP186,EP186),"")</f>
        <v/>
      </c>
      <c r="ER186" t="str">
        <f>IF(EO186=1,COUNTIFS($EN$4:$EN$503,EN186,$EM$4:$EM$503,"Interne",$FE$4:$FE$503,1),"")</f>
        <v/>
      </c>
      <c r="ES186" t="str">
        <f>IF(EO186=1,COUNTIFS($EN$4:$EN$503,EN186,$EM$4:$EM$503,"Externe",$FE$4:$FE$503,1),"")</f>
        <v/>
      </c>
      <c r="ET186" t="str">
        <f>IF(EO186=1,IF(ER186+ES186=0,"à affecter",IF(ER186=0,ES186&amp;" ext.",(ER186+ES186)&amp;IF(ES186&gt;0," dont "&amp;ES186&amp;" ext.",""))&amp;IF(COUNTIFS($EN$4:$EN$503,EN186,$EM$4:$EM$503,"Non affecté")&gt;0," + à affecter","")),"")</f>
        <v/>
      </c>
      <c r="EU186" s="170" t="str">
        <f>IF(EO186=1,IF(EP186&gt;0,SUMPRODUCT(($EN$4:$EN$503=EN186)*$E$4:$E$503*$C$4:$C$503)/EP186,AVERAGEIF($EN$4:$EN$503,EN186,$C$4:$C$503)),"")</f>
        <v/>
      </c>
      <c r="EV186" s="165">
        <f>IF(ISNUMBER(I186),I186,2958465)</f>
        <v>2958465.0</v>
      </c>
      <c r="EW186" s="165" t="str">
        <f>IF(EO186=1,SUMPRODUCT(MIN(($EN$4:$EN$503=EN186)*$EV$4:$EV$503+($EN$4:$EN$503&lt;&gt;EN186)*2958465)),"")</f>
        <v/>
      </c>
      <c r="EX186" s="165">
        <f>IF(AND(D186=1,ISNUMBER(INDEX(Charge!$F:$F,ROW()))),INDEX(Charge!$F:$F,ROW()),0)</f>
        <v>0.0</v>
      </c>
      <c r="EY186" s="165" t="str">
        <f>IF(EO186=1,SUMPRODUCT(MAX(($EN$4:$EN$503=EN186)*$EX$4:$EX$503)),"")</f>
        <v/>
      </c>
      <c r="FA186" t="str">
        <f>IF(183&lt;=$CD$23,INDEX($EJ$4:$EJ$203,183),IF(183-$CD$23&lt;=$CD$26,INDEX($EK$4:$EK$203,183-$CD$23),""))</f>
        <v/>
      </c>
      <c r="FB186" t="str">
        <f>IF(FA186="","",IF(183&lt;=$CD$23,"Interne","Externe"))</f>
        <v/>
      </c>
      <c r="FD186">
        <f>IF(AND(B186=1,TRIM(INDEX(Charge!$K:$K,ROW()))&lt;&gt;"",TRIM(INDEX(Charge!$L:$L,ROW()))&lt;&gt;""),1,0)</f>
        <v>0</v>
      </c>
      <c r="FE186">
        <f>IF(OR(EN186="",BZ186="(non affecté)"),0,IF(COUNTIFS($EN$4:EN186,EN186,$BZ$4:BZ186,BZ186)=1,1,0))</f>
        <v>0</v>
      </c>
    </row>
    <row r="187">
      <c r="A187">
        <f>ROW()</f>
        <v>187</v>
      </c>
      <c r="B187">
        <f>IF(TRIM(INDEX(Charge!$B:$B,ROW()))&lt;&gt;"",1,0)</f>
        <v>0</v>
      </c>
      <c r="C187">
        <f>IF(B187=1,MIN(1,MAX(0,N(INDEX(Charge!$O:$O,ROW())))),0)</f>
        <v>0</v>
      </c>
      <c r="D187">
        <f>IF(B187=1,IF(OR(p_Perimetre="Tous les projets",C187&lt;1),1,0),0)</f>
        <v>0</v>
      </c>
      <c r="E187">
        <f>IF(D187=1,MAX(0,N(INDEX(Charge!$M:$M,ROW()))),0)</f>
        <v>0</v>
      </c>
      <c r="F187" t="str">
        <f>IF(D187=1,IF(TRIM(INDEX(Charge!$A:$A,ROW()))="","(non renseigné)",TRIM(INDEX(Charge!$A:$A,ROW()))),"")</f>
        <v/>
      </c>
      <c r="G187" t="str">
        <f>IF(D187=1,TRIM(INDEX(Charge!$B:$B,ROW())),"")</f>
        <v/>
      </c>
      <c r="H187" t="str">
        <f>IF(D187=1,IF(TRIM(INDEX(Charge!$E:$E,ROW()))="","(non renseigné)",TRIM(INDEX(Charge!$E:$E,ROW()))),"")</f>
        <v/>
      </c>
      <c r="I187" s="165" t="str">
        <f>IF(AND(D187=1,ISNUMBER(INDEX(Charge!$N:$N,ROW()))),INDEX(Charge!$N:$N,ROW()),"")</f>
        <v/>
      </c>
      <c r="J187" s="165" t="str">
        <f>IF(I187="","",IF(AND(p_Repartition="Lissée jusqu'à la date de besoin",ISNUMBER(INDEX(Charge!$F:$F,ROW()))),IF(INDEX(Charge!$F:$F,ROW())&gt;=I187,INDEX(Charge!$F:$F,ROW()),I187),I187))</f>
        <v/>
      </c>
      <c r="K187" t="str">
        <f>IF(I187="","",NETWORKDAYS(I187,J187,Data!$K$4:$K$203))</f>
        <v/>
      </c>
      <c r="L187" t="str">
        <f>IF(D187=1,COUNTIFS($D$4:$D$503,1,$E$4:$E$503,"&gt;"&amp;E187)+COUNTIFS($D$4:$D187,1,$E$4:$E187,E187),"")</f>
        <v/>
      </c>
      <c r="M187">
        <f>IF(F187="",0,IF(COUNTIF($F$4:F187,F187)=1,1,0))</f>
        <v>0</v>
      </c>
      <c r="N187" t="str">
        <f>IF(M187=1,ROUND(SUMIF($F$4:$F$503,F187,$E$4:$E$503),2),"")</f>
        <v/>
      </c>
      <c r="O187" t="str">
        <f>IF(M187=1,COUNTIFS($M$4:$M$503,1,$N$4:$N$503,"&gt;"&amp;N187)+COUNTIFS($M$4:M187,1,$N$4:N187,N187),"")</f>
        <v/>
      </c>
      <c r="P187">
        <f>IF(G187="",0,IF(COUNTIF($G$4:G187,G187)=1,1,0))</f>
        <v>0</v>
      </c>
      <c r="Q187" t="str">
        <f>IF(P187=1,ROUND(SUMIF($G$4:$G$503,G187,$E$4:$E$503),2),"")</f>
        <v/>
      </c>
      <c r="R187" t="str">
        <f>IF(P187=1,COUNTIFS($P$4:$P$503,1,$Q$4:$Q$503,"&gt;"&amp;Q187)+COUNTIFS($P$4:P187,1,$Q$4:Q187,Q187),"")</f>
        <v/>
      </c>
      <c r="S187">
        <f>IF(H187="",0,IF(COUNTIF($H$4:H187,H187)=1,1,0))</f>
        <v>0</v>
      </c>
      <c r="T187" t="str">
        <f>IF(S187=1,ROUND(SUMIF($H$4:$H$503,H187,$E$4:$E$503),2),"")</f>
        <v/>
      </c>
      <c r="U187" t="str">
        <f>IF(S187=1,COUNTIFS($S$4:$S$503,1,$T$4:$T$503,"&gt;"&amp;T187)+COUNTIFS($S$4:S187,1,$T$4:T187,T187),"")</f>
        <v/>
      </c>
      <c r="V187" t="str">
        <f>IF(D187=1,MIN(INDEX($R$4:$R$503,MATCH(G187,$G$4:$G$503,0)),IF($AL$7&gt;9,9,999)),"")</f>
        <v/>
      </c>
      <c r="W187" s="166">
        <f>IF(OR($I187="",$E187=0),0,IF(OR($J187&lt;W$3,$I187&gt;W$2),0,IF($K187=0,IF(AND($I187&gt;=W$3,$I187&lt;=W$2),$E187,0),$E187*NETWORKDAYS(MAX($I187,W$3),MIN($J187,W$2),Data!$K$4:$K$203)/$K187)))</f>
        <v>0</v>
      </c>
      <c r="X187" s="166">
        <f>IF(OR($I187="",$E187=0),0,IF(OR($J187&lt;X$3,$I187&gt;X$2),0,IF($K187=0,IF(AND($I187&gt;=X$3,$I187&lt;=X$2),$E187,0),$E187*NETWORKDAYS(MAX($I187,X$3),MIN($J187,X$2),Data!$K$4:$K$203)/$K187)))</f>
        <v>0</v>
      </c>
      <c r="Y187" s="166">
        <f>IF(OR($I187="",$E187=0),0,IF(OR($J187&lt;Y$3,$I187&gt;Y$2),0,IF($K187=0,IF(AND($I187&gt;=Y$3,$I187&lt;=Y$2),$E187,0),$E187*NETWORKDAYS(MAX($I187,Y$3),MIN($J187,Y$2),Data!$K$4:$K$203)/$K187)))</f>
        <v>0</v>
      </c>
      <c r="Z187" s="166">
        <f>IF(OR($I187="",$E187=0),0,IF(OR($J187&lt;Z$3,$I187&gt;Z$2),0,IF($K187=0,IF(AND($I187&gt;=Z$3,$I187&lt;=Z$2),$E187,0),$E187*NETWORKDAYS(MAX($I187,Z$3),MIN($J187,Z$2),Data!$K$4:$K$203)/$K187)))</f>
        <v>0</v>
      </c>
      <c r="AA187" s="166">
        <f>IF(OR($I187="",$E187=0),0,IF(OR($J187&lt;AA$3,$I187&gt;AA$2),0,IF($K187=0,IF(AND($I187&gt;=AA$3,$I187&lt;=AA$2),$E187,0),$E187*NETWORKDAYS(MAX($I187,AA$3),MIN($J187,AA$2),Data!$K$4:$K$203)/$K187)))</f>
        <v>0</v>
      </c>
      <c r="AB187" s="166">
        <f>IF(OR($I187="",$E187=0),0,IF(OR($J187&lt;AB$3,$I187&gt;AB$2),0,IF($K187=0,IF(AND($I187&gt;=AB$3,$I187&lt;=AB$2),$E187,0),$E187*NETWORKDAYS(MAX($I187,AB$3),MIN($J187,AB$2),Data!$K$4:$K$203)/$K187)))</f>
        <v>0</v>
      </c>
      <c r="AC187" s="166">
        <f>IF(OR($I187="",$E187=0),0,IF(OR($J187&lt;AC$3,$I187&gt;AC$2),0,IF($K187=0,IF(AND($I187&gt;=AC$3,$I187&lt;=AC$2),$E187,0),$E187*NETWORKDAYS(MAX($I187,AC$3),MIN($J187,AC$2),Data!$K$4:$K$203)/$K187)))</f>
        <v>0</v>
      </c>
      <c r="AD187" s="166">
        <f>IF(OR($I187="",$E187=0),0,IF(OR($J187&lt;AD$3,$I187&gt;AD$2),0,IF($K187=0,IF(AND($I187&gt;=AD$3,$I187&lt;=AD$2),$E187,0),$E187*NETWORKDAYS(MAX($I187,AD$3),MIN($J187,AD$2),Data!$K$4:$K$203)/$K187)))</f>
        <v>0</v>
      </c>
      <c r="AE187" s="166">
        <f>IF(OR($I187="",$E187=0),0,IF(OR($J187&lt;AE$3,$I187&gt;AE$2),0,IF($K187=0,IF(AND($I187&gt;=AE$3,$I187&lt;=AE$2),$E187,0),$E187*NETWORKDAYS(MAX($I187,AE$3),MIN($J187,AE$2),Data!$K$4:$K$203)/$K187)))</f>
        <v>0</v>
      </c>
      <c r="AF187" s="166">
        <f>IF(OR($I187="",$E187=0),0,IF(OR($J187&lt;AF$3,$I187&gt;AF$2),0,IF($K187=0,IF(AND($I187&gt;=AF$3,$I187&lt;=AF$2),$E187,0),$E187*NETWORKDAYS(MAX($I187,AF$3),MIN($J187,AF$2),Data!$K$4:$K$203)/$K187)))</f>
        <v>0</v>
      </c>
      <c r="AG187" s="166">
        <f>IF(OR($I187="",$E187=0),0,IF(OR($J187&lt;AG$3,$I187&gt;AG$2),0,IF($K187=0,IF(AND($I187&gt;=AG$3,$I187&lt;=AG$2),$E187,0),$E187*NETWORKDAYS(MAX($I187,AG$3),MIN($J187,AG$2),Data!$K$4:$K$203)/$K187)))</f>
        <v>0</v>
      </c>
      <c r="AH187" s="166">
        <f>IF(OR($I187="",$E187=0),0,IF(OR($J187&lt;AH$3,$I187&gt;AH$2),0,IF($K187=0,IF(AND($I187&gt;=AH$3,$I187&lt;=AH$2),$E187,0),$E187*NETWORKDAYS(MAX($I187,AH$3),MIN($J187,AH$2),Data!$K$4:$K$203)/$K187)))</f>
        <v>0</v>
      </c>
      <c r="AI187" s="166">
        <f>SUM(W187:AH187)</f>
        <v>0</v>
      </c>
      <c r="BZ187" t="str">
        <f>IF(D187=1,IF(TRIM(INDEX(Charge!$K:$K,ROW()))&lt;&gt;"",TRIM(INDEX(Charge!$K:$K,ROW())),IF(TRIM(INDEX(Charge!$L:$L,ROW()))&lt;&gt;"",TRIM(INDEX(Charge!$L:$L,ROW())),"(non affecté)")),"")</f>
        <v/>
      </c>
      <c r="CA187" t="str">
        <f>IF(AND($CD$4&lt;&gt;"",BZ187=$CD$4),COUNTIFS($BZ$4:$BZ$503,$CD$4,$L$4:$L$503,"&lt;"&amp;L187)+1,"")</f>
        <v/>
      </c>
      <c r="EJ187" t="str">
        <f>TRIM(INDEX(Data!$E:$E,ROW()))</f>
        <v/>
      </c>
      <c r="EK187" t="str">
        <f>TRIM(INDEX(Data!$H:$H,ROW()))</f>
        <v/>
      </c>
      <c r="EM187" t="str">
        <f>IF(D187=1,IF(TRIM(INDEX(Charge!$K:$K,ROW()))&lt;&gt;"","Interne",IF(TRIM(INDEX(Charge!$L:$L,ROW()))&lt;&gt;"","Externe","Non affecté")),"")</f>
        <v/>
      </c>
      <c r="EN187" t="str">
        <f>IF(D187=1,LEFT(SUBSTITUTE(SUBSTITUTE(SUBSTITUTE(TRIM(SUBSTITUTE(INDEX(Charge!$B:$B,ROW()),CHAR(160)," "))&amp;" | "&amp;TRIM(SUBSTITUTE(INDEX(Charge!$C:$C,ROW()),CHAR(160)," "))&amp;" | "&amp;TRIM(SUBSTITUTE(INDEX(Charge!$D:$D,ROW()),CHAR(160)," ")),"~","-"),"*","+"),"?","!"),240),"")</f>
        <v/>
      </c>
      <c r="EO187">
        <f>IF(EN187="",0,IF(COUNTIF($EN$4:EN187,EN187)=1,1,0))</f>
        <v>0</v>
      </c>
      <c r="EP187" s="166" t="str">
        <f>IF(EO187=1,ROUND(SUMIF($EN$4:$EN$503,EN187,$E$4:$E$503),2),"")</f>
        <v/>
      </c>
      <c r="EQ187" t="str">
        <f>IF(EO187=1,COUNTIFS($EO$4:$EO$503,1,$EP$4:$EP$503,"&gt;"&amp;EP187)+COUNTIFS($EO$4:EO187,1,$EP$4:EP187,EP187),"")</f>
        <v/>
      </c>
      <c r="ER187" t="str">
        <f>IF(EO187=1,COUNTIFS($EN$4:$EN$503,EN187,$EM$4:$EM$503,"Interne",$FE$4:$FE$503,1),"")</f>
        <v/>
      </c>
      <c r="ES187" t="str">
        <f>IF(EO187=1,COUNTIFS($EN$4:$EN$503,EN187,$EM$4:$EM$503,"Externe",$FE$4:$FE$503,1),"")</f>
        <v/>
      </c>
      <c r="ET187" t="str">
        <f>IF(EO187=1,IF(ER187+ES187=0,"à affecter",IF(ER187=0,ES187&amp;" ext.",(ER187+ES187)&amp;IF(ES187&gt;0," dont "&amp;ES187&amp;" ext.",""))&amp;IF(COUNTIFS($EN$4:$EN$503,EN187,$EM$4:$EM$503,"Non affecté")&gt;0," + à affecter","")),"")</f>
        <v/>
      </c>
      <c r="EU187" s="170" t="str">
        <f>IF(EO187=1,IF(EP187&gt;0,SUMPRODUCT(($EN$4:$EN$503=EN187)*$E$4:$E$503*$C$4:$C$503)/EP187,AVERAGEIF($EN$4:$EN$503,EN187,$C$4:$C$503)),"")</f>
        <v/>
      </c>
      <c r="EV187" s="165">
        <f>IF(ISNUMBER(I187),I187,2958465)</f>
        <v>2958465.0</v>
      </c>
      <c r="EW187" s="165" t="str">
        <f>IF(EO187=1,SUMPRODUCT(MIN(($EN$4:$EN$503=EN187)*$EV$4:$EV$503+($EN$4:$EN$503&lt;&gt;EN187)*2958465)),"")</f>
        <v/>
      </c>
      <c r="EX187" s="165">
        <f>IF(AND(D187=1,ISNUMBER(INDEX(Charge!$F:$F,ROW()))),INDEX(Charge!$F:$F,ROW()),0)</f>
        <v>0.0</v>
      </c>
      <c r="EY187" s="165" t="str">
        <f>IF(EO187=1,SUMPRODUCT(MAX(($EN$4:$EN$503=EN187)*$EX$4:$EX$503)),"")</f>
        <v/>
      </c>
      <c r="FA187" t="str">
        <f>IF(184&lt;=$CD$23,INDEX($EJ$4:$EJ$203,184),IF(184-$CD$23&lt;=$CD$26,INDEX($EK$4:$EK$203,184-$CD$23),""))</f>
        <v/>
      </c>
      <c r="FB187" t="str">
        <f>IF(FA187="","",IF(184&lt;=$CD$23,"Interne","Externe"))</f>
        <v/>
      </c>
      <c r="FD187">
        <f>IF(AND(B187=1,TRIM(INDEX(Charge!$K:$K,ROW()))&lt;&gt;"",TRIM(INDEX(Charge!$L:$L,ROW()))&lt;&gt;""),1,0)</f>
        <v>0</v>
      </c>
      <c r="FE187">
        <f>IF(OR(EN187="",BZ187="(non affecté)"),0,IF(COUNTIFS($EN$4:EN187,EN187,$BZ$4:BZ187,BZ187)=1,1,0))</f>
        <v>0</v>
      </c>
    </row>
    <row r="188">
      <c r="A188">
        <f>ROW()</f>
        <v>188</v>
      </c>
      <c r="B188">
        <f>IF(TRIM(INDEX(Charge!$B:$B,ROW()))&lt;&gt;"",1,0)</f>
        <v>0</v>
      </c>
      <c r="C188">
        <f>IF(B188=1,MIN(1,MAX(0,N(INDEX(Charge!$O:$O,ROW())))),0)</f>
        <v>0</v>
      </c>
      <c r="D188">
        <f>IF(B188=1,IF(OR(p_Perimetre="Tous les projets",C188&lt;1),1,0),0)</f>
        <v>0</v>
      </c>
      <c r="E188">
        <f>IF(D188=1,MAX(0,N(INDEX(Charge!$M:$M,ROW()))),0)</f>
        <v>0</v>
      </c>
      <c r="F188" t="str">
        <f>IF(D188=1,IF(TRIM(INDEX(Charge!$A:$A,ROW()))="","(non renseigné)",TRIM(INDEX(Charge!$A:$A,ROW()))),"")</f>
        <v/>
      </c>
      <c r="G188" t="str">
        <f>IF(D188=1,TRIM(INDEX(Charge!$B:$B,ROW())),"")</f>
        <v/>
      </c>
      <c r="H188" t="str">
        <f>IF(D188=1,IF(TRIM(INDEX(Charge!$E:$E,ROW()))="","(non renseigné)",TRIM(INDEX(Charge!$E:$E,ROW()))),"")</f>
        <v/>
      </c>
      <c r="I188" s="165" t="str">
        <f>IF(AND(D188=1,ISNUMBER(INDEX(Charge!$N:$N,ROW()))),INDEX(Charge!$N:$N,ROW()),"")</f>
        <v/>
      </c>
      <c r="J188" s="165" t="str">
        <f>IF(I188="","",IF(AND(p_Repartition="Lissée jusqu'à la date de besoin",ISNUMBER(INDEX(Charge!$F:$F,ROW()))),IF(INDEX(Charge!$F:$F,ROW())&gt;=I188,INDEX(Charge!$F:$F,ROW()),I188),I188))</f>
        <v/>
      </c>
      <c r="K188" t="str">
        <f>IF(I188="","",NETWORKDAYS(I188,J188,Data!$K$4:$K$203))</f>
        <v/>
      </c>
      <c r="L188" t="str">
        <f>IF(D188=1,COUNTIFS($D$4:$D$503,1,$E$4:$E$503,"&gt;"&amp;E188)+COUNTIFS($D$4:$D188,1,$E$4:$E188,E188),"")</f>
        <v/>
      </c>
      <c r="M188">
        <f>IF(F188="",0,IF(COUNTIF($F$4:F188,F188)=1,1,0))</f>
        <v>0</v>
      </c>
      <c r="N188" t="str">
        <f>IF(M188=1,ROUND(SUMIF($F$4:$F$503,F188,$E$4:$E$503),2),"")</f>
        <v/>
      </c>
      <c r="O188" t="str">
        <f>IF(M188=1,COUNTIFS($M$4:$M$503,1,$N$4:$N$503,"&gt;"&amp;N188)+COUNTIFS($M$4:M188,1,$N$4:N188,N188),"")</f>
        <v/>
      </c>
      <c r="P188">
        <f>IF(G188="",0,IF(COUNTIF($G$4:G188,G188)=1,1,0))</f>
        <v>0</v>
      </c>
      <c r="Q188" t="str">
        <f>IF(P188=1,ROUND(SUMIF($G$4:$G$503,G188,$E$4:$E$503),2),"")</f>
        <v/>
      </c>
      <c r="R188" t="str">
        <f>IF(P188=1,COUNTIFS($P$4:$P$503,1,$Q$4:$Q$503,"&gt;"&amp;Q188)+COUNTIFS($P$4:P188,1,$Q$4:Q188,Q188),"")</f>
        <v/>
      </c>
      <c r="S188">
        <f>IF(H188="",0,IF(COUNTIF($H$4:H188,H188)=1,1,0))</f>
        <v>0</v>
      </c>
      <c r="T188" t="str">
        <f>IF(S188=1,ROUND(SUMIF($H$4:$H$503,H188,$E$4:$E$503),2),"")</f>
        <v/>
      </c>
      <c r="U188" t="str">
        <f>IF(S188=1,COUNTIFS($S$4:$S$503,1,$T$4:$T$503,"&gt;"&amp;T188)+COUNTIFS($S$4:S188,1,$T$4:T188,T188),"")</f>
        <v/>
      </c>
      <c r="V188" t="str">
        <f>IF(D188=1,MIN(INDEX($R$4:$R$503,MATCH(G188,$G$4:$G$503,0)),IF($AL$7&gt;9,9,999)),"")</f>
        <v/>
      </c>
      <c r="W188" s="166">
        <f>IF(OR($I188="",$E188=0),0,IF(OR($J188&lt;W$3,$I188&gt;W$2),0,IF($K188=0,IF(AND($I188&gt;=W$3,$I188&lt;=W$2),$E188,0),$E188*NETWORKDAYS(MAX($I188,W$3),MIN($J188,W$2),Data!$K$4:$K$203)/$K188)))</f>
        <v>0</v>
      </c>
      <c r="X188" s="166">
        <f>IF(OR($I188="",$E188=0),0,IF(OR($J188&lt;X$3,$I188&gt;X$2),0,IF($K188=0,IF(AND($I188&gt;=X$3,$I188&lt;=X$2),$E188,0),$E188*NETWORKDAYS(MAX($I188,X$3),MIN($J188,X$2),Data!$K$4:$K$203)/$K188)))</f>
        <v>0</v>
      </c>
      <c r="Y188" s="166">
        <f>IF(OR($I188="",$E188=0),0,IF(OR($J188&lt;Y$3,$I188&gt;Y$2),0,IF($K188=0,IF(AND($I188&gt;=Y$3,$I188&lt;=Y$2),$E188,0),$E188*NETWORKDAYS(MAX($I188,Y$3),MIN($J188,Y$2),Data!$K$4:$K$203)/$K188)))</f>
        <v>0</v>
      </c>
      <c r="Z188" s="166">
        <f>IF(OR($I188="",$E188=0),0,IF(OR($J188&lt;Z$3,$I188&gt;Z$2),0,IF($K188=0,IF(AND($I188&gt;=Z$3,$I188&lt;=Z$2),$E188,0),$E188*NETWORKDAYS(MAX($I188,Z$3),MIN($J188,Z$2),Data!$K$4:$K$203)/$K188)))</f>
        <v>0</v>
      </c>
      <c r="AA188" s="166">
        <f>IF(OR($I188="",$E188=0),0,IF(OR($J188&lt;AA$3,$I188&gt;AA$2),0,IF($K188=0,IF(AND($I188&gt;=AA$3,$I188&lt;=AA$2),$E188,0),$E188*NETWORKDAYS(MAX($I188,AA$3),MIN($J188,AA$2),Data!$K$4:$K$203)/$K188)))</f>
        <v>0</v>
      </c>
      <c r="AB188" s="166">
        <f>IF(OR($I188="",$E188=0),0,IF(OR($J188&lt;AB$3,$I188&gt;AB$2),0,IF($K188=0,IF(AND($I188&gt;=AB$3,$I188&lt;=AB$2),$E188,0),$E188*NETWORKDAYS(MAX($I188,AB$3),MIN($J188,AB$2),Data!$K$4:$K$203)/$K188)))</f>
        <v>0</v>
      </c>
      <c r="AC188" s="166">
        <f>IF(OR($I188="",$E188=0),0,IF(OR($J188&lt;AC$3,$I188&gt;AC$2),0,IF($K188=0,IF(AND($I188&gt;=AC$3,$I188&lt;=AC$2),$E188,0),$E188*NETWORKDAYS(MAX($I188,AC$3),MIN($J188,AC$2),Data!$K$4:$K$203)/$K188)))</f>
        <v>0</v>
      </c>
      <c r="AD188" s="166">
        <f>IF(OR($I188="",$E188=0),0,IF(OR($J188&lt;AD$3,$I188&gt;AD$2),0,IF($K188=0,IF(AND($I188&gt;=AD$3,$I188&lt;=AD$2),$E188,0),$E188*NETWORKDAYS(MAX($I188,AD$3),MIN($J188,AD$2),Data!$K$4:$K$203)/$K188)))</f>
        <v>0</v>
      </c>
      <c r="AE188" s="166">
        <f>IF(OR($I188="",$E188=0),0,IF(OR($J188&lt;AE$3,$I188&gt;AE$2),0,IF($K188=0,IF(AND($I188&gt;=AE$3,$I188&lt;=AE$2),$E188,0),$E188*NETWORKDAYS(MAX($I188,AE$3),MIN($J188,AE$2),Data!$K$4:$K$203)/$K188)))</f>
        <v>0</v>
      </c>
      <c r="AF188" s="166">
        <f>IF(OR($I188="",$E188=0),0,IF(OR($J188&lt;AF$3,$I188&gt;AF$2),0,IF($K188=0,IF(AND($I188&gt;=AF$3,$I188&lt;=AF$2),$E188,0),$E188*NETWORKDAYS(MAX($I188,AF$3),MIN($J188,AF$2),Data!$K$4:$K$203)/$K188)))</f>
        <v>0</v>
      </c>
      <c r="AG188" s="166">
        <f>IF(OR($I188="",$E188=0),0,IF(OR($J188&lt;AG$3,$I188&gt;AG$2),0,IF($K188=0,IF(AND($I188&gt;=AG$3,$I188&lt;=AG$2),$E188,0),$E188*NETWORKDAYS(MAX($I188,AG$3),MIN($J188,AG$2),Data!$K$4:$K$203)/$K188)))</f>
        <v>0</v>
      </c>
      <c r="AH188" s="166">
        <f>IF(OR($I188="",$E188=0),0,IF(OR($J188&lt;AH$3,$I188&gt;AH$2),0,IF($K188=0,IF(AND($I188&gt;=AH$3,$I188&lt;=AH$2),$E188,0),$E188*NETWORKDAYS(MAX($I188,AH$3),MIN($J188,AH$2),Data!$K$4:$K$203)/$K188)))</f>
        <v>0</v>
      </c>
      <c r="AI188" s="166">
        <f>SUM(W188:AH188)</f>
        <v>0</v>
      </c>
      <c r="BZ188" t="str">
        <f>IF(D188=1,IF(TRIM(INDEX(Charge!$K:$K,ROW()))&lt;&gt;"",TRIM(INDEX(Charge!$K:$K,ROW())),IF(TRIM(INDEX(Charge!$L:$L,ROW()))&lt;&gt;"",TRIM(INDEX(Charge!$L:$L,ROW())),"(non affecté)")),"")</f>
        <v/>
      </c>
      <c r="CA188" t="str">
        <f>IF(AND($CD$4&lt;&gt;"",BZ188=$CD$4),COUNTIFS($BZ$4:$BZ$503,$CD$4,$L$4:$L$503,"&lt;"&amp;L188)+1,"")</f>
        <v/>
      </c>
      <c r="EJ188" t="str">
        <f>TRIM(INDEX(Data!$E:$E,ROW()))</f>
        <v/>
      </c>
      <c r="EK188" t="str">
        <f>TRIM(INDEX(Data!$H:$H,ROW()))</f>
        <v/>
      </c>
      <c r="EM188" t="str">
        <f>IF(D188=1,IF(TRIM(INDEX(Charge!$K:$K,ROW()))&lt;&gt;"","Interne",IF(TRIM(INDEX(Charge!$L:$L,ROW()))&lt;&gt;"","Externe","Non affecté")),"")</f>
        <v/>
      </c>
      <c r="EN188" t="str">
        <f>IF(D188=1,LEFT(SUBSTITUTE(SUBSTITUTE(SUBSTITUTE(TRIM(SUBSTITUTE(INDEX(Charge!$B:$B,ROW()),CHAR(160)," "))&amp;" | "&amp;TRIM(SUBSTITUTE(INDEX(Charge!$C:$C,ROW()),CHAR(160)," "))&amp;" | "&amp;TRIM(SUBSTITUTE(INDEX(Charge!$D:$D,ROW()),CHAR(160)," ")),"~","-"),"*","+"),"?","!"),240),"")</f>
        <v/>
      </c>
      <c r="EO188">
        <f>IF(EN188="",0,IF(COUNTIF($EN$4:EN188,EN188)=1,1,0))</f>
        <v>0</v>
      </c>
      <c r="EP188" s="166" t="str">
        <f>IF(EO188=1,ROUND(SUMIF($EN$4:$EN$503,EN188,$E$4:$E$503),2),"")</f>
        <v/>
      </c>
      <c r="EQ188" t="str">
        <f>IF(EO188=1,COUNTIFS($EO$4:$EO$503,1,$EP$4:$EP$503,"&gt;"&amp;EP188)+COUNTIFS($EO$4:EO188,1,$EP$4:EP188,EP188),"")</f>
        <v/>
      </c>
      <c r="ER188" t="str">
        <f>IF(EO188=1,COUNTIFS($EN$4:$EN$503,EN188,$EM$4:$EM$503,"Interne",$FE$4:$FE$503,1),"")</f>
        <v/>
      </c>
      <c r="ES188" t="str">
        <f>IF(EO188=1,COUNTIFS($EN$4:$EN$503,EN188,$EM$4:$EM$503,"Externe",$FE$4:$FE$503,1),"")</f>
        <v/>
      </c>
      <c r="ET188" t="str">
        <f>IF(EO188=1,IF(ER188+ES188=0,"à affecter",IF(ER188=0,ES188&amp;" ext.",(ER188+ES188)&amp;IF(ES188&gt;0," dont "&amp;ES188&amp;" ext.",""))&amp;IF(COUNTIFS($EN$4:$EN$503,EN188,$EM$4:$EM$503,"Non affecté")&gt;0," + à affecter","")),"")</f>
        <v/>
      </c>
      <c r="EU188" s="170" t="str">
        <f>IF(EO188=1,IF(EP188&gt;0,SUMPRODUCT(($EN$4:$EN$503=EN188)*$E$4:$E$503*$C$4:$C$503)/EP188,AVERAGEIF($EN$4:$EN$503,EN188,$C$4:$C$503)),"")</f>
        <v/>
      </c>
      <c r="EV188" s="165">
        <f>IF(ISNUMBER(I188),I188,2958465)</f>
        <v>2958465.0</v>
      </c>
      <c r="EW188" s="165" t="str">
        <f>IF(EO188=1,SUMPRODUCT(MIN(($EN$4:$EN$503=EN188)*$EV$4:$EV$503+($EN$4:$EN$503&lt;&gt;EN188)*2958465)),"")</f>
        <v/>
      </c>
      <c r="EX188" s="165">
        <f>IF(AND(D188=1,ISNUMBER(INDEX(Charge!$F:$F,ROW()))),INDEX(Charge!$F:$F,ROW()),0)</f>
        <v>0.0</v>
      </c>
      <c r="EY188" s="165" t="str">
        <f>IF(EO188=1,SUMPRODUCT(MAX(($EN$4:$EN$503=EN188)*$EX$4:$EX$503)),"")</f>
        <v/>
      </c>
      <c r="FA188" t="str">
        <f>IF(185&lt;=$CD$23,INDEX($EJ$4:$EJ$203,185),IF(185-$CD$23&lt;=$CD$26,INDEX($EK$4:$EK$203,185-$CD$23),""))</f>
        <v/>
      </c>
      <c r="FB188" t="str">
        <f>IF(FA188="","",IF(185&lt;=$CD$23,"Interne","Externe"))</f>
        <v/>
      </c>
      <c r="FD188">
        <f>IF(AND(B188=1,TRIM(INDEX(Charge!$K:$K,ROW()))&lt;&gt;"",TRIM(INDEX(Charge!$L:$L,ROW()))&lt;&gt;""),1,0)</f>
        <v>0</v>
      </c>
      <c r="FE188">
        <f>IF(OR(EN188="",BZ188="(non affecté)"),0,IF(COUNTIFS($EN$4:EN188,EN188,$BZ$4:BZ188,BZ188)=1,1,0))</f>
        <v>0</v>
      </c>
    </row>
    <row r="189">
      <c r="A189">
        <f>ROW()</f>
        <v>189</v>
      </c>
      <c r="B189">
        <f>IF(TRIM(INDEX(Charge!$B:$B,ROW()))&lt;&gt;"",1,0)</f>
        <v>0</v>
      </c>
      <c r="C189">
        <f>IF(B189=1,MIN(1,MAX(0,N(INDEX(Charge!$O:$O,ROW())))),0)</f>
        <v>0</v>
      </c>
      <c r="D189">
        <f>IF(B189=1,IF(OR(p_Perimetre="Tous les projets",C189&lt;1),1,0),0)</f>
        <v>0</v>
      </c>
      <c r="E189">
        <f>IF(D189=1,MAX(0,N(INDEX(Charge!$M:$M,ROW()))),0)</f>
        <v>0</v>
      </c>
      <c r="F189" t="str">
        <f>IF(D189=1,IF(TRIM(INDEX(Charge!$A:$A,ROW()))="","(non renseigné)",TRIM(INDEX(Charge!$A:$A,ROW()))),"")</f>
        <v/>
      </c>
      <c r="G189" t="str">
        <f>IF(D189=1,TRIM(INDEX(Charge!$B:$B,ROW())),"")</f>
        <v/>
      </c>
      <c r="H189" t="str">
        <f>IF(D189=1,IF(TRIM(INDEX(Charge!$E:$E,ROW()))="","(non renseigné)",TRIM(INDEX(Charge!$E:$E,ROW()))),"")</f>
        <v/>
      </c>
      <c r="I189" s="165" t="str">
        <f>IF(AND(D189=1,ISNUMBER(INDEX(Charge!$N:$N,ROW()))),INDEX(Charge!$N:$N,ROW()),"")</f>
        <v/>
      </c>
      <c r="J189" s="165" t="str">
        <f>IF(I189="","",IF(AND(p_Repartition="Lissée jusqu'à la date de besoin",ISNUMBER(INDEX(Charge!$F:$F,ROW()))),IF(INDEX(Charge!$F:$F,ROW())&gt;=I189,INDEX(Charge!$F:$F,ROW()),I189),I189))</f>
        <v/>
      </c>
      <c r="K189" t="str">
        <f>IF(I189="","",NETWORKDAYS(I189,J189,Data!$K$4:$K$203))</f>
        <v/>
      </c>
      <c r="L189" t="str">
        <f>IF(D189=1,COUNTIFS($D$4:$D$503,1,$E$4:$E$503,"&gt;"&amp;E189)+COUNTIFS($D$4:$D189,1,$E$4:$E189,E189),"")</f>
        <v/>
      </c>
      <c r="M189">
        <f>IF(F189="",0,IF(COUNTIF($F$4:F189,F189)=1,1,0))</f>
        <v>0</v>
      </c>
      <c r="N189" t="str">
        <f>IF(M189=1,ROUND(SUMIF($F$4:$F$503,F189,$E$4:$E$503),2),"")</f>
        <v/>
      </c>
      <c r="O189" t="str">
        <f>IF(M189=1,COUNTIFS($M$4:$M$503,1,$N$4:$N$503,"&gt;"&amp;N189)+COUNTIFS($M$4:M189,1,$N$4:N189,N189),"")</f>
        <v/>
      </c>
      <c r="P189">
        <f>IF(G189="",0,IF(COUNTIF($G$4:G189,G189)=1,1,0))</f>
        <v>0</v>
      </c>
      <c r="Q189" t="str">
        <f>IF(P189=1,ROUND(SUMIF($G$4:$G$503,G189,$E$4:$E$503),2),"")</f>
        <v/>
      </c>
      <c r="R189" t="str">
        <f>IF(P189=1,COUNTIFS($P$4:$P$503,1,$Q$4:$Q$503,"&gt;"&amp;Q189)+COUNTIFS($P$4:P189,1,$Q$4:Q189,Q189),"")</f>
        <v/>
      </c>
      <c r="S189">
        <f>IF(H189="",0,IF(COUNTIF($H$4:H189,H189)=1,1,0))</f>
        <v>0</v>
      </c>
      <c r="T189" t="str">
        <f>IF(S189=1,ROUND(SUMIF($H$4:$H$503,H189,$E$4:$E$503),2),"")</f>
        <v/>
      </c>
      <c r="U189" t="str">
        <f>IF(S189=1,COUNTIFS($S$4:$S$503,1,$T$4:$T$503,"&gt;"&amp;T189)+COUNTIFS($S$4:S189,1,$T$4:T189,T189),"")</f>
        <v/>
      </c>
      <c r="V189" t="str">
        <f>IF(D189=1,MIN(INDEX($R$4:$R$503,MATCH(G189,$G$4:$G$503,0)),IF($AL$7&gt;9,9,999)),"")</f>
        <v/>
      </c>
      <c r="W189" s="166">
        <f>IF(OR($I189="",$E189=0),0,IF(OR($J189&lt;W$3,$I189&gt;W$2),0,IF($K189=0,IF(AND($I189&gt;=W$3,$I189&lt;=W$2),$E189,0),$E189*NETWORKDAYS(MAX($I189,W$3),MIN($J189,W$2),Data!$K$4:$K$203)/$K189)))</f>
        <v>0</v>
      </c>
      <c r="X189" s="166">
        <f>IF(OR($I189="",$E189=0),0,IF(OR($J189&lt;X$3,$I189&gt;X$2),0,IF($K189=0,IF(AND($I189&gt;=X$3,$I189&lt;=X$2),$E189,0),$E189*NETWORKDAYS(MAX($I189,X$3),MIN($J189,X$2),Data!$K$4:$K$203)/$K189)))</f>
        <v>0</v>
      </c>
      <c r="Y189" s="166">
        <f>IF(OR($I189="",$E189=0),0,IF(OR($J189&lt;Y$3,$I189&gt;Y$2),0,IF($K189=0,IF(AND($I189&gt;=Y$3,$I189&lt;=Y$2),$E189,0),$E189*NETWORKDAYS(MAX($I189,Y$3),MIN($J189,Y$2),Data!$K$4:$K$203)/$K189)))</f>
        <v>0</v>
      </c>
      <c r="Z189" s="166">
        <f>IF(OR($I189="",$E189=0),0,IF(OR($J189&lt;Z$3,$I189&gt;Z$2),0,IF($K189=0,IF(AND($I189&gt;=Z$3,$I189&lt;=Z$2),$E189,0),$E189*NETWORKDAYS(MAX($I189,Z$3),MIN($J189,Z$2),Data!$K$4:$K$203)/$K189)))</f>
        <v>0</v>
      </c>
      <c r="AA189" s="166">
        <f>IF(OR($I189="",$E189=0),0,IF(OR($J189&lt;AA$3,$I189&gt;AA$2),0,IF($K189=0,IF(AND($I189&gt;=AA$3,$I189&lt;=AA$2),$E189,0),$E189*NETWORKDAYS(MAX($I189,AA$3),MIN($J189,AA$2),Data!$K$4:$K$203)/$K189)))</f>
        <v>0</v>
      </c>
      <c r="AB189" s="166">
        <f>IF(OR($I189="",$E189=0),0,IF(OR($J189&lt;AB$3,$I189&gt;AB$2),0,IF($K189=0,IF(AND($I189&gt;=AB$3,$I189&lt;=AB$2),$E189,0),$E189*NETWORKDAYS(MAX($I189,AB$3),MIN($J189,AB$2),Data!$K$4:$K$203)/$K189)))</f>
        <v>0</v>
      </c>
      <c r="AC189" s="166">
        <f>IF(OR($I189="",$E189=0),0,IF(OR($J189&lt;AC$3,$I189&gt;AC$2),0,IF($K189=0,IF(AND($I189&gt;=AC$3,$I189&lt;=AC$2),$E189,0),$E189*NETWORKDAYS(MAX($I189,AC$3),MIN($J189,AC$2),Data!$K$4:$K$203)/$K189)))</f>
        <v>0</v>
      </c>
      <c r="AD189" s="166">
        <f>IF(OR($I189="",$E189=0),0,IF(OR($J189&lt;AD$3,$I189&gt;AD$2),0,IF($K189=0,IF(AND($I189&gt;=AD$3,$I189&lt;=AD$2),$E189,0),$E189*NETWORKDAYS(MAX($I189,AD$3),MIN($J189,AD$2),Data!$K$4:$K$203)/$K189)))</f>
        <v>0</v>
      </c>
      <c r="AE189" s="166">
        <f>IF(OR($I189="",$E189=0),0,IF(OR($J189&lt;AE$3,$I189&gt;AE$2),0,IF($K189=0,IF(AND($I189&gt;=AE$3,$I189&lt;=AE$2),$E189,0),$E189*NETWORKDAYS(MAX($I189,AE$3),MIN($J189,AE$2),Data!$K$4:$K$203)/$K189)))</f>
        <v>0</v>
      </c>
      <c r="AF189" s="166">
        <f>IF(OR($I189="",$E189=0),0,IF(OR($J189&lt;AF$3,$I189&gt;AF$2),0,IF($K189=0,IF(AND($I189&gt;=AF$3,$I189&lt;=AF$2),$E189,0),$E189*NETWORKDAYS(MAX($I189,AF$3),MIN($J189,AF$2),Data!$K$4:$K$203)/$K189)))</f>
        <v>0</v>
      </c>
      <c r="AG189" s="166">
        <f>IF(OR($I189="",$E189=0),0,IF(OR($J189&lt;AG$3,$I189&gt;AG$2),0,IF($K189=0,IF(AND($I189&gt;=AG$3,$I189&lt;=AG$2),$E189,0),$E189*NETWORKDAYS(MAX($I189,AG$3),MIN($J189,AG$2),Data!$K$4:$K$203)/$K189)))</f>
        <v>0</v>
      </c>
      <c r="AH189" s="166">
        <f>IF(OR($I189="",$E189=0),0,IF(OR($J189&lt;AH$3,$I189&gt;AH$2),0,IF($K189=0,IF(AND($I189&gt;=AH$3,$I189&lt;=AH$2),$E189,0),$E189*NETWORKDAYS(MAX($I189,AH$3),MIN($J189,AH$2),Data!$K$4:$K$203)/$K189)))</f>
        <v>0</v>
      </c>
      <c r="AI189" s="166">
        <f>SUM(W189:AH189)</f>
        <v>0</v>
      </c>
      <c r="BZ189" t="str">
        <f>IF(D189=1,IF(TRIM(INDEX(Charge!$K:$K,ROW()))&lt;&gt;"",TRIM(INDEX(Charge!$K:$K,ROW())),IF(TRIM(INDEX(Charge!$L:$L,ROW()))&lt;&gt;"",TRIM(INDEX(Charge!$L:$L,ROW())),"(non affecté)")),"")</f>
        <v/>
      </c>
      <c r="CA189" t="str">
        <f>IF(AND($CD$4&lt;&gt;"",BZ189=$CD$4),COUNTIFS($BZ$4:$BZ$503,$CD$4,$L$4:$L$503,"&lt;"&amp;L189)+1,"")</f>
        <v/>
      </c>
      <c r="EJ189" t="str">
        <f>TRIM(INDEX(Data!$E:$E,ROW()))</f>
        <v/>
      </c>
      <c r="EK189" t="str">
        <f>TRIM(INDEX(Data!$H:$H,ROW()))</f>
        <v/>
      </c>
      <c r="EM189" t="str">
        <f>IF(D189=1,IF(TRIM(INDEX(Charge!$K:$K,ROW()))&lt;&gt;"","Interne",IF(TRIM(INDEX(Charge!$L:$L,ROW()))&lt;&gt;"","Externe","Non affecté")),"")</f>
        <v/>
      </c>
      <c r="EN189" t="str">
        <f>IF(D189=1,LEFT(SUBSTITUTE(SUBSTITUTE(SUBSTITUTE(TRIM(SUBSTITUTE(INDEX(Charge!$B:$B,ROW()),CHAR(160)," "))&amp;" | "&amp;TRIM(SUBSTITUTE(INDEX(Charge!$C:$C,ROW()),CHAR(160)," "))&amp;" | "&amp;TRIM(SUBSTITUTE(INDEX(Charge!$D:$D,ROW()),CHAR(160)," ")),"~","-"),"*","+"),"?","!"),240),"")</f>
        <v/>
      </c>
      <c r="EO189">
        <f>IF(EN189="",0,IF(COUNTIF($EN$4:EN189,EN189)=1,1,0))</f>
        <v>0</v>
      </c>
      <c r="EP189" s="166" t="str">
        <f>IF(EO189=1,ROUND(SUMIF($EN$4:$EN$503,EN189,$E$4:$E$503),2),"")</f>
        <v/>
      </c>
      <c r="EQ189" t="str">
        <f>IF(EO189=1,COUNTIFS($EO$4:$EO$503,1,$EP$4:$EP$503,"&gt;"&amp;EP189)+COUNTIFS($EO$4:EO189,1,$EP$4:EP189,EP189),"")</f>
        <v/>
      </c>
      <c r="ER189" t="str">
        <f>IF(EO189=1,COUNTIFS($EN$4:$EN$503,EN189,$EM$4:$EM$503,"Interne",$FE$4:$FE$503,1),"")</f>
        <v/>
      </c>
      <c r="ES189" t="str">
        <f>IF(EO189=1,COUNTIFS($EN$4:$EN$503,EN189,$EM$4:$EM$503,"Externe",$FE$4:$FE$503,1),"")</f>
        <v/>
      </c>
      <c r="ET189" t="str">
        <f>IF(EO189=1,IF(ER189+ES189=0,"à affecter",IF(ER189=0,ES189&amp;" ext.",(ER189+ES189)&amp;IF(ES189&gt;0," dont "&amp;ES189&amp;" ext.",""))&amp;IF(COUNTIFS($EN$4:$EN$503,EN189,$EM$4:$EM$503,"Non affecté")&gt;0," + à affecter","")),"")</f>
        <v/>
      </c>
      <c r="EU189" s="170" t="str">
        <f>IF(EO189=1,IF(EP189&gt;0,SUMPRODUCT(($EN$4:$EN$503=EN189)*$E$4:$E$503*$C$4:$C$503)/EP189,AVERAGEIF($EN$4:$EN$503,EN189,$C$4:$C$503)),"")</f>
        <v/>
      </c>
      <c r="EV189" s="165">
        <f>IF(ISNUMBER(I189),I189,2958465)</f>
        <v>2958465.0</v>
      </c>
      <c r="EW189" s="165" t="str">
        <f>IF(EO189=1,SUMPRODUCT(MIN(($EN$4:$EN$503=EN189)*$EV$4:$EV$503+($EN$4:$EN$503&lt;&gt;EN189)*2958465)),"")</f>
        <v/>
      </c>
      <c r="EX189" s="165">
        <f>IF(AND(D189=1,ISNUMBER(INDEX(Charge!$F:$F,ROW()))),INDEX(Charge!$F:$F,ROW()),0)</f>
        <v>0.0</v>
      </c>
      <c r="EY189" s="165" t="str">
        <f>IF(EO189=1,SUMPRODUCT(MAX(($EN$4:$EN$503=EN189)*$EX$4:$EX$503)),"")</f>
        <v/>
      </c>
      <c r="FA189" t="str">
        <f>IF(186&lt;=$CD$23,INDEX($EJ$4:$EJ$203,186),IF(186-$CD$23&lt;=$CD$26,INDEX($EK$4:$EK$203,186-$CD$23),""))</f>
        <v/>
      </c>
      <c r="FB189" t="str">
        <f>IF(FA189="","",IF(186&lt;=$CD$23,"Interne","Externe"))</f>
        <v/>
      </c>
      <c r="FD189">
        <f>IF(AND(B189=1,TRIM(INDEX(Charge!$K:$K,ROW()))&lt;&gt;"",TRIM(INDEX(Charge!$L:$L,ROW()))&lt;&gt;""),1,0)</f>
        <v>0</v>
      </c>
      <c r="FE189">
        <f>IF(OR(EN189="",BZ189="(non affecté)"),0,IF(COUNTIFS($EN$4:EN189,EN189,$BZ$4:BZ189,BZ189)=1,1,0))</f>
        <v>0</v>
      </c>
    </row>
    <row r="190">
      <c r="A190">
        <f>ROW()</f>
        <v>190</v>
      </c>
      <c r="B190">
        <f>IF(TRIM(INDEX(Charge!$B:$B,ROW()))&lt;&gt;"",1,0)</f>
        <v>0</v>
      </c>
      <c r="C190">
        <f>IF(B190=1,MIN(1,MAX(0,N(INDEX(Charge!$O:$O,ROW())))),0)</f>
        <v>0</v>
      </c>
      <c r="D190">
        <f>IF(B190=1,IF(OR(p_Perimetre="Tous les projets",C190&lt;1),1,0),0)</f>
        <v>0</v>
      </c>
      <c r="E190">
        <f>IF(D190=1,MAX(0,N(INDEX(Charge!$M:$M,ROW()))),0)</f>
        <v>0</v>
      </c>
      <c r="F190" t="str">
        <f>IF(D190=1,IF(TRIM(INDEX(Charge!$A:$A,ROW()))="","(non renseigné)",TRIM(INDEX(Charge!$A:$A,ROW()))),"")</f>
        <v/>
      </c>
      <c r="G190" t="str">
        <f>IF(D190=1,TRIM(INDEX(Charge!$B:$B,ROW())),"")</f>
        <v/>
      </c>
      <c r="H190" t="str">
        <f>IF(D190=1,IF(TRIM(INDEX(Charge!$E:$E,ROW()))="","(non renseigné)",TRIM(INDEX(Charge!$E:$E,ROW()))),"")</f>
        <v/>
      </c>
      <c r="I190" s="165" t="str">
        <f>IF(AND(D190=1,ISNUMBER(INDEX(Charge!$N:$N,ROW()))),INDEX(Charge!$N:$N,ROW()),"")</f>
        <v/>
      </c>
      <c r="J190" s="165" t="str">
        <f>IF(I190="","",IF(AND(p_Repartition="Lissée jusqu'à la date de besoin",ISNUMBER(INDEX(Charge!$F:$F,ROW()))),IF(INDEX(Charge!$F:$F,ROW())&gt;=I190,INDEX(Charge!$F:$F,ROW()),I190),I190))</f>
        <v/>
      </c>
      <c r="K190" t="str">
        <f>IF(I190="","",NETWORKDAYS(I190,J190,Data!$K$4:$K$203))</f>
        <v/>
      </c>
      <c r="L190" t="str">
        <f>IF(D190=1,COUNTIFS($D$4:$D$503,1,$E$4:$E$503,"&gt;"&amp;E190)+COUNTIFS($D$4:$D190,1,$E$4:$E190,E190),"")</f>
        <v/>
      </c>
      <c r="M190">
        <f>IF(F190="",0,IF(COUNTIF($F$4:F190,F190)=1,1,0))</f>
        <v>0</v>
      </c>
      <c r="N190" t="str">
        <f>IF(M190=1,ROUND(SUMIF($F$4:$F$503,F190,$E$4:$E$503),2),"")</f>
        <v/>
      </c>
      <c r="O190" t="str">
        <f>IF(M190=1,COUNTIFS($M$4:$M$503,1,$N$4:$N$503,"&gt;"&amp;N190)+COUNTIFS($M$4:M190,1,$N$4:N190,N190),"")</f>
        <v/>
      </c>
      <c r="P190">
        <f>IF(G190="",0,IF(COUNTIF($G$4:G190,G190)=1,1,0))</f>
        <v>0</v>
      </c>
      <c r="Q190" t="str">
        <f>IF(P190=1,ROUND(SUMIF($G$4:$G$503,G190,$E$4:$E$503),2),"")</f>
        <v/>
      </c>
      <c r="R190" t="str">
        <f>IF(P190=1,COUNTIFS($P$4:$P$503,1,$Q$4:$Q$503,"&gt;"&amp;Q190)+COUNTIFS($P$4:P190,1,$Q$4:Q190,Q190),"")</f>
        <v/>
      </c>
      <c r="S190">
        <f>IF(H190="",0,IF(COUNTIF($H$4:H190,H190)=1,1,0))</f>
        <v>0</v>
      </c>
      <c r="T190" t="str">
        <f>IF(S190=1,ROUND(SUMIF($H$4:$H$503,H190,$E$4:$E$503),2),"")</f>
        <v/>
      </c>
      <c r="U190" t="str">
        <f>IF(S190=1,COUNTIFS($S$4:$S$503,1,$T$4:$T$503,"&gt;"&amp;T190)+COUNTIFS($S$4:S190,1,$T$4:T190,T190),"")</f>
        <v/>
      </c>
      <c r="V190" t="str">
        <f>IF(D190=1,MIN(INDEX($R$4:$R$503,MATCH(G190,$G$4:$G$503,0)),IF($AL$7&gt;9,9,999)),"")</f>
        <v/>
      </c>
      <c r="W190" s="166">
        <f>IF(OR($I190="",$E190=0),0,IF(OR($J190&lt;W$3,$I190&gt;W$2),0,IF($K190=0,IF(AND($I190&gt;=W$3,$I190&lt;=W$2),$E190,0),$E190*NETWORKDAYS(MAX($I190,W$3),MIN($J190,W$2),Data!$K$4:$K$203)/$K190)))</f>
        <v>0</v>
      </c>
      <c r="X190" s="166">
        <f>IF(OR($I190="",$E190=0),0,IF(OR($J190&lt;X$3,$I190&gt;X$2),0,IF($K190=0,IF(AND($I190&gt;=X$3,$I190&lt;=X$2),$E190,0),$E190*NETWORKDAYS(MAX($I190,X$3),MIN($J190,X$2),Data!$K$4:$K$203)/$K190)))</f>
        <v>0</v>
      </c>
      <c r="Y190" s="166">
        <f>IF(OR($I190="",$E190=0),0,IF(OR($J190&lt;Y$3,$I190&gt;Y$2),0,IF($K190=0,IF(AND($I190&gt;=Y$3,$I190&lt;=Y$2),$E190,0),$E190*NETWORKDAYS(MAX($I190,Y$3),MIN($J190,Y$2),Data!$K$4:$K$203)/$K190)))</f>
        <v>0</v>
      </c>
      <c r="Z190" s="166">
        <f>IF(OR($I190="",$E190=0),0,IF(OR($J190&lt;Z$3,$I190&gt;Z$2),0,IF($K190=0,IF(AND($I190&gt;=Z$3,$I190&lt;=Z$2),$E190,0),$E190*NETWORKDAYS(MAX($I190,Z$3),MIN($J190,Z$2),Data!$K$4:$K$203)/$K190)))</f>
        <v>0</v>
      </c>
      <c r="AA190" s="166">
        <f>IF(OR($I190="",$E190=0),0,IF(OR($J190&lt;AA$3,$I190&gt;AA$2),0,IF($K190=0,IF(AND($I190&gt;=AA$3,$I190&lt;=AA$2),$E190,0),$E190*NETWORKDAYS(MAX($I190,AA$3),MIN($J190,AA$2),Data!$K$4:$K$203)/$K190)))</f>
        <v>0</v>
      </c>
      <c r="AB190" s="166">
        <f>IF(OR($I190="",$E190=0),0,IF(OR($J190&lt;AB$3,$I190&gt;AB$2),0,IF($K190=0,IF(AND($I190&gt;=AB$3,$I190&lt;=AB$2),$E190,0),$E190*NETWORKDAYS(MAX($I190,AB$3),MIN($J190,AB$2),Data!$K$4:$K$203)/$K190)))</f>
        <v>0</v>
      </c>
      <c r="AC190" s="166">
        <f>IF(OR($I190="",$E190=0),0,IF(OR($J190&lt;AC$3,$I190&gt;AC$2),0,IF($K190=0,IF(AND($I190&gt;=AC$3,$I190&lt;=AC$2),$E190,0),$E190*NETWORKDAYS(MAX($I190,AC$3),MIN($J190,AC$2),Data!$K$4:$K$203)/$K190)))</f>
        <v>0</v>
      </c>
      <c r="AD190" s="166">
        <f>IF(OR($I190="",$E190=0),0,IF(OR($J190&lt;AD$3,$I190&gt;AD$2),0,IF($K190=0,IF(AND($I190&gt;=AD$3,$I190&lt;=AD$2),$E190,0),$E190*NETWORKDAYS(MAX($I190,AD$3),MIN($J190,AD$2),Data!$K$4:$K$203)/$K190)))</f>
        <v>0</v>
      </c>
      <c r="AE190" s="166">
        <f>IF(OR($I190="",$E190=0),0,IF(OR($J190&lt;AE$3,$I190&gt;AE$2),0,IF($K190=0,IF(AND($I190&gt;=AE$3,$I190&lt;=AE$2),$E190,0),$E190*NETWORKDAYS(MAX($I190,AE$3),MIN($J190,AE$2),Data!$K$4:$K$203)/$K190)))</f>
        <v>0</v>
      </c>
      <c r="AF190" s="166">
        <f>IF(OR($I190="",$E190=0),0,IF(OR($J190&lt;AF$3,$I190&gt;AF$2),0,IF($K190=0,IF(AND($I190&gt;=AF$3,$I190&lt;=AF$2),$E190,0),$E190*NETWORKDAYS(MAX($I190,AF$3),MIN($J190,AF$2),Data!$K$4:$K$203)/$K190)))</f>
        <v>0</v>
      </c>
      <c r="AG190" s="166">
        <f>IF(OR($I190="",$E190=0),0,IF(OR($J190&lt;AG$3,$I190&gt;AG$2),0,IF($K190=0,IF(AND($I190&gt;=AG$3,$I190&lt;=AG$2),$E190,0),$E190*NETWORKDAYS(MAX($I190,AG$3),MIN($J190,AG$2),Data!$K$4:$K$203)/$K190)))</f>
        <v>0</v>
      </c>
      <c r="AH190" s="166">
        <f>IF(OR($I190="",$E190=0),0,IF(OR($J190&lt;AH$3,$I190&gt;AH$2),0,IF($K190=0,IF(AND($I190&gt;=AH$3,$I190&lt;=AH$2),$E190,0),$E190*NETWORKDAYS(MAX($I190,AH$3),MIN($J190,AH$2),Data!$K$4:$K$203)/$K190)))</f>
        <v>0</v>
      </c>
      <c r="AI190" s="166">
        <f>SUM(W190:AH190)</f>
        <v>0</v>
      </c>
      <c r="BZ190" t="str">
        <f>IF(D190=1,IF(TRIM(INDEX(Charge!$K:$K,ROW()))&lt;&gt;"",TRIM(INDEX(Charge!$K:$K,ROW())),IF(TRIM(INDEX(Charge!$L:$L,ROW()))&lt;&gt;"",TRIM(INDEX(Charge!$L:$L,ROW())),"(non affecté)")),"")</f>
        <v/>
      </c>
      <c r="CA190" t="str">
        <f>IF(AND($CD$4&lt;&gt;"",BZ190=$CD$4),COUNTIFS($BZ$4:$BZ$503,$CD$4,$L$4:$L$503,"&lt;"&amp;L190)+1,"")</f>
        <v/>
      </c>
      <c r="EJ190" t="str">
        <f>TRIM(INDEX(Data!$E:$E,ROW()))</f>
        <v/>
      </c>
      <c r="EK190" t="str">
        <f>TRIM(INDEX(Data!$H:$H,ROW()))</f>
        <v/>
      </c>
      <c r="EM190" t="str">
        <f>IF(D190=1,IF(TRIM(INDEX(Charge!$K:$K,ROW()))&lt;&gt;"","Interne",IF(TRIM(INDEX(Charge!$L:$L,ROW()))&lt;&gt;"","Externe","Non affecté")),"")</f>
        <v/>
      </c>
      <c r="EN190" t="str">
        <f>IF(D190=1,LEFT(SUBSTITUTE(SUBSTITUTE(SUBSTITUTE(TRIM(SUBSTITUTE(INDEX(Charge!$B:$B,ROW()),CHAR(160)," "))&amp;" | "&amp;TRIM(SUBSTITUTE(INDEX(Charge!$C:$C,ROW()),CHAR(160)," "))&amp;" | "&amp;TRIM(SUBSTITUTE(INDEX(Charge!$D:$D,ROW()),CHAR(160)," ")),"~","-"),"*","+"),"?","!"),240),"")</f>
        <v/>
      </c>
      <c r="EO190">
        <f>IF(EN190="",0,IF(COUNTIF($EN$4:EN190,EN190)=1,1,0))</f>
        <v>0</v>
      </c>
      <c r="EP190" s="166" t="str">
        <f>IF(EO190=1,ROUND(SUMIF($EN$4:$EN$503,EN190,$E$4:$E$503),2),"")</f>
        <v/>
      </c>
      <c r="EQ190" t="str">
        <f>IF(EO190=1,COUNTIFS($EO$4:$EO$503,1,$EP$4:$EP$503,"&gt;"&amp;EP190)+COUNTIFS($EO$4:EO190,1,$EP$4:EP190,EP190),"")</f>
        <v/>
      </c>
      <c r="ER190" t="str">
        <f>IF(EO190=1,COUNTIFS($EN$4:$EN$503,EN190,$EM$4:$EM$503,"Interne",$FE$4:$FE$503,1),"")</f>
        <v/>
      </c>
      <c r="ES190" t="str">
        <f>IF(EO190=1,COUNTIFS($EN$4:$EN$503,EN190,$EM$4:$EM$503,"Externe",$FE$4:$FE$503,1),"")</f>
        <v/>
      </c>
      <c r="ET190" t="str">
        <f>IF(EO190=1,IF(ER190+ES190=0,"à affecter",IF(ER190=0,ES190&amp;" ext.",(ER190+ES190)&amp;IF(ES190&gt;0," dont "&amp;ES190&amp;" ext.",""))&amp;IF(COUNTIFS($EN$4:$EN$503,EN190,$EM$4:$EM$503,"Non affecté")&gt;0," + à affecter","")),"")</f>
        <v/>
      </c>
      <c r="EU190" s="170" t="str">
        <f>IF(EO190=1,IF(EP190&gt;0,SUMPRODUCT(($EN$4:$EN$503=EN190)*$E$4:$E$503*$C$4:$C$503)/EP190,AVERAGEIF($EN$4:$EN$503,EN190,$C$4:$C$503)),"")</f>
        <v/>
      </c>
      <c r="EV190" s="165">
        <f>IF(ISNUMBER(I190),I190,2958465)</f>
        <v>2958465.0</v>
      </c>
      <c r="EW190" s="165" t="str">
        <f>IF(EO190=1,SUMPRODUCT(MIN(($EN$4:$EN$503=EN190)*$EV$4:$EV$503+($EN$4:$EN$503&lt;&gt;EN190)*2958465)),"")</f>
        <v/>
      </c>
      <c r="EX190" s="165">
        <f>IF(AND(D190=1,ISNUMBER(INDEX(Charge!$F:$F,ROW()))),INDEX(Charge!$F:$F,ROW()),0)</f>
        <v>0.0</v>
      </c>
      <c r="EY190" s="165" t="str">
        <f>IF(EO190=1,SUMPRODUCT(MAX(($EN$4:$EN$503=EN190)*$EX$4:$EX$503)),"")</f>
        <v/>
      </c>
      <c r="FA190" t="str">
        <f>IF(187&lt;=$CD$23,INDEX($EJ$4:$EJ$203,187),IF(187-$CD$23&lt;=$CD$26,INDEX($EK$4:$EK$203,187-$CD$23),""))</f>
        <v/>
      </c>
      <c r="FB190" t="str">
        <f>IF(FA190="","",IF(187&lt;=$CD$23,"Interne","Externe"))</f>
        <v/>
      </c>
      <c r="FD190">
        <f>IF(AND(B190=1,TRIM(INDEX(Charge!$K:$K,ROW()))&lt;&gt;"",TRIM(INDEX(Charge!$L:$L,ROW()))&lt;&gt;""),1,0)</f>
        <v>0</v>
      </c>
      <c r="FE190">
        <f>IF(OR(EN190="",BZ190="(non affecté)"),0,IF(COUNTIFS($EN$4:EN190,EN190,$BZ$4:BZ190,BZ190)=1,1,0))</f>
        <v>0</v>
      </c>
    </row>
    <row r="191">
      <c r="A191">
        <f>ROW()</f>
        <v>191</v>
      </c>
      <c r="B191">
        <f>IF(TRIM(INDEX(Charge!$B:$B,ROW()))&lt;&gt;"",1,0)</f>
        <v>0</v>
      </c>
      <c r="C191">
        <f>IF(B191=1,MIN(1,MAX(0,N(INDEX(Charge!$O:$O,ROW())))),0)</f>
        <v>0</v>
      </c>
      <c r="D191">
        <f>IF(B191=1,IF(OR(p_Perimetre="Tous les projets",C191&lt;1),1,0),0)</f>
        <v>0</v>
      </c>
      <c r="E191">
        <f>IF(D191=1,MAX(0,N(INDEX(Charge!$M:$M,ROW()))),0)</f>
        <v>0</v>
      </c>
      <c r="F191" t="str">
        <f>IF(D191=1,IF(TRIM(INDEX(Charge!$A:$A,ROW()))="","(non renseigné)",TRIM(INDEX(Charge!$A:$A,ROW()))),"")</f>
        <v/>
      </c>
      <c r="G191" t="str">
        <f>IF(D191=1,TRIM(INDEX(Charge!$B:$B,ROW())),"")</f>
        <v/>
      </c>
      <c r="H191" t="str">
        <f>IF(D191=1,IF(TRIM(INDEX(Charge!$E:$E,ROW()))="","(non renseigné)",TRIM(INDEX(Charge!$E:$E,ROW()))),"")</f>
        <v/>
      </c>
      <c r="I191" s="165" t="str">
        <f>IF(AND(D191=1,ISNUMBER(INDEX(Charge!$N:$N,ROW()))),INDEX(Charge!$N:$N,ROW()),"")</f>
        <v/>
      </c>
      <c r="J191" s="165" t="str">
        <f>IF(I191="","",IF(AND(p_Repartition="Lissée jusqu'à la date de besoin",ISNUMBER(INDEX(Charge!$F:$F,ROW()))),IF(INDEX(Charge!$F:$F,ROW())&gt;=I191,INDEX(Charge!$F:$F,ROW()),I191),I191))</f>
        <v/>
      </c>
      <c r="K191" t="str">
        <f>IF(I191="","",NETWORKDAYS(I191,J191,Data!$K$4:$K$203))</f>
        <v/>
      </c>
      <c r="L191" t="str">
        <f>IF(D191=1,COUNTIFS($D$4:$D$503,1,$E$4:$E$503,"&gt;"&amp;E191)+COUNTIFS($D$4:$D191,1,$E$4:$E191,E191),"")</f>
        <v/>
      </c>
      <c r="M191">
        <f>IF(F191="",0,IF(COUNTIF($F$4:F191,F191)=1,1,0))</f>
        <v>0</v>
      </c>
      <c r="N191" t="str">
        <f>IF(M191=1,ROUND(SUMIF($F$4:$F$503,F191,$E$4:$E$503),2),"")</f>
        <v/>
      </c>
      <c r="O191" t="str">
        <f>IF(M191=1,COUNTIFS($M$4:$M$503,1,$N$4:$N$503,"&gt;"&amp;N191)+COUNTIFS($M$4:M191,1,$N$4:N191,N191),"")</f>
        <v/>
      </c>
      <c r="P191">
        <f>IF(G191="",0,IF(COUNTIF($G$4:G191,G191)=1,1,0))</f>
        <v>0</v>
      </c>
      <c r="Q191" t="str">
        <f>IF(P191=1,ROUND(SUMIF($G$4:$G$503,G191,$E$4:$E$503),2),"")</f>
        <v/>
      </c>
      <c r="R191" t="str">
        <f>IF(P191=1,COUNTIFS($P$4:$P$503,1,$Q$4:$Q$503,"&gt;"&amp;Q191)+COUNTIFS($P$4:P191,1,$Q$4:Q191,Q191),"")</f>
        <v/>
      </c>
      <c r="S191">
        <f>IF(H191="",0,IF(COUNTIF($H$4:H191,H191)=1,1,0))</f>
        <v>0</v>
      </c>
      <c r="T191" t="str">
        <f>IF(S191=1,ROUND(SUMIF($H$4:$H$503,H191,$E$4:$E$503),2),"")</f>
        <v/>
      </c>
      <c r="U191" t="str">
        <f>IF(S191=1,COUNTIFS($S$4:$S$503,1,$T$4:$T$503,"&gt;"&amp;T191)+COUNTIFS($S$4:S191,1,$T$4:T191,T191),"")</f>
        <v/>
      </c>
      <c r="V191" t="str">
        <f>IF(D191=1,MIN(INDEX($R$4:$R$503,MATCH(G191,$G$4:$G$503,0)),IF($AL$7&gt;9,9,999)),"")</f>
        <v/>
      </c>
      <c r="W191" s="166">
        <f>IF(OR($I191="",$E191=0),0,IF(OR($J191&lt;W$3,$I191&gt;W$2),0,IF($K191=0,IF(AND($I191&gt;=W$3,$I191&lt;=W$2),$E191,0),$E191*NETWORKDAYS(MAX($I191,W$3),MIN($J191,W$2),Data!$K$4:$K$203)/$K191)))</f>
        <v>0</v>
      </c>
      <c r="X191" s="166">
        <f>IF(OR($I191="",$E191=0),0,IF(OR($J191&lt;X$3,$I191&gt;X$2),0,IF($K191=0,IF(AND($I191&gt;=X$3,$I191&lt;=X$2),$E191,0),$E191*NETWORKDAYS(MAX($I191,X$3),MIN($J191,X$2),Data!$K$4:$K$203)/$K191)))</f>
        <v>0</v>
      </c>
      <c r="Y191" s="166">
        <f>IF(OR($I191="",$E191=0),0,IF(OR($J191&lt;Y$3,$I191&gt;Y$2),0,IF($K191=0,IF(AND($I191&gt;=Y$3,$I191&lt;=Y$2),$E191,0),$E191*NETWORKDAYS(MAX($I191,Y$3),MIN($J191,Y$2),Data!$K$4:$K$203)/$K191)))</f>
        <v>0</v>
      </c>
      <c r="Z191" s="166">
        <f>IF(OR($I191="",$E191=0),0,IF(OR($J191&lt;Z$3,$I191&gt;Z$2),0,IF($K191=0,IF(AND($I191&gt;=Z$3,$I191&lt;=Z$2),$E191,0),$E191*NETWORKDAYS(MAX($I191,Z$3),MIN($J191,Z$2),Data!$K$4:$K$203)/$K191)))</f>
        <v>0</v>
      </c>
      <c r="AA191" s="166">
        <f>IF(OR($I191="",$E191=0),0,IF(OR($J191&lt;AA$3,$I191&gt;AA$2),0,IF($K191=0,IF(AND($I191&gt;=AA$3,$I191&lt;=AA$2),$E191,0),$E191*NETWORKDAYS(MAX($I191,AA$3),MIN($J191,AA$2),Data!$K$4:$K$203)/$K191)))</f>
        <v>0</v>
      </c>
      <c r="AB191" s="166">
        <f>IF(OR($I191="",$E191=0),0,IF(OR($J191&lt;AB$3,$I191&gt;AB$2),0,IF($K191=0,IF(AND($I191&gt;=AB$3,$I191&lt;=AB$2),$E191,0),$E191*NETWORKDAYS(MAX($I191,AB$3),MIN($J191,AB$2),Data!$K$4:$K$203)/$K191)))</f>
        <v>0</v>
      </c>
      <c r="AC191" s="166">
        <f>IF(OR($I191="",$E191=0),0,IF(OR($J191&lt;AC$3,$I191&gt;AC$2),0,IF($K191=0,IF(AND($I191&gt;=AC$3,$I191&lt;=AC$2),$E191,0),$E191*NETWORKDAYS(MAX($I191,AC$3),MIN($J191,AC$2),Data!$K$4:$K$203)/$K191)))</f>
        <v>0</v>
      </c>
      <c r="AD191" s="166">
        <f>IF(OR($I191="",$E191=0),0,IF(OR($J191&lt;AD$3,$I191&gt;AD$2),0,IF($K191=0,IF(AND($I191&gt;=AD$3,$I191&lt;=AD$2),$E191,0),$E191*NETWORKDAYS(MAX($I191,AD$3),MIN($J191,AD$2),Data!$K$4:$K$203)/$K191)))</f>
        <v>0</v>
      </c>
      <c r="AE191" s="166">
        <f>IF(OR($I191="",$E191=0),0,IF(OR($J191&lt;AE$3,$I191&gt;AE$2),0,IF($K191=0,IF(AND($I191&gt;=AE$3,$I191&lt;=AE$2),$E191,0),$E191*NETWORKDAYS(MAX($I191,AE$3),MIN($J191,AE$2),Data!$K$4:$K$203)/$K191)))</f>
        <v>0</v>
      </c>
      <c r="AF191" s="166">
        <f>IF(OR($I191="",$E191=0),0,IF(OR($J191&lt;AF$3,$I191&gt;AF$2),0,IF($K191=0,IF(AND($I191&gt;=AF$3,$I191&lt;=AF$2),$E191,0),$E191*NETWORKDAYS(MAX($I191,AF$3),MIN($J191,AF$2),Data!$K$4:$K$203)/$K191)))</f>
        <v>0</v>
      </c>
      <c r="AG191" s="166">
        <f>IF(OR($I191="",$E191=0),0,IF(OR($J191&lt;AG$3,$I191&gt;AG$2),0,IF($K191=0,IF(AND($I191&gt;=AG$3,$I191&lt;=AG$2),$E191,0),$E191*NETWORKDAYS(MAX($I191,AG$3),MIN($J191,AG$2),Data!$K$4:$K$203)/$K191)))</f>
        <v>0</v>
      </c>
      <c r="AH191" s="166">
        <f>IF(OR($I191="",$E191=0),0,IF(OR($J191&lt;AH$3,$I191&gt;AH$2),0,IF($K191=0,IF(AND($I191&gt;=AH$3,$I191&lt;=AH$2),$E191,0),$E191*NETWORKDAYS(MAX($I191,AH$3),MIN($J191,AH$2),Data!$K$4:$K$203)/$K191)))</f>
        <v>0</v>
      </c>
      <c r="AI191" s="166">
        <f>SUM(W191:AH191)</f>
        <v>0</v>
      </c>
      <c r="BZ191" t="str">
        <f>IF(D191=1,IF(TRIM(INDEX(Charge!$K:$K,ROW()))&lt;&gt;"",TRIM(INDEX(Charge!$K:$K,ROW())),IF(TRIM(INDEX(Charge!$L:$L,ROW()))&lt;&gt;"",TRIM(INDEX(Charge!$L:$L,ROW())),"(non affecté)")),"")</f>
        <v/>
      </c>
      <c r="CA191" t="str">
        <f>IF(AND($CD$4&lt;&gt;"",BZ191=$CD$4),COUNTIFS($BZ$4:$BZ$503,$CD$4,$L$4:$L$503,"&lt;"&amp;L191)+1,"")</f>
        <v/>
      </c>
      <c r="EJ191" t="str">
        <f>TRIM(INDEX(Data!$E:$E,ROW()))</f>
        <v/>
      </c>
      <c r="EK191" t="str">
        <f>TRIM(INDEX(Data!$H:$H,ROW()))</f>
        <v/>
      </c>
      <c r="EM191" t="str">
        <f>IF(D191=1,IF(TRIM(INDEX(Charge!$K:$K,ROW()))&lt;&gt;"","Interne",IF(TRIM(INDEX(Charge!$L:$L,ROW()))&lt;&gt;"","Externe","Non affecté")),"")</f>
        <v/>
      </c>
      <c r="EN191" t="str">
        <f>IF(D191=1,LEFT(SUBSTITUTE(SUBSTITUTE(SUBSTITUTE(TRIM(SUBSTITUTE(INDEX(Charge!$B:$B,ROW()),CHAR(160)," "))&amp;" | "&amp;TRIM(SUBSTITUTE(INDEX(Charge!$C:$C,ROW()),CHAR(160)," "))&amp;" | "&amp;TRIM(SUBSTITUTE(INDEX(Charge!$D:$D,ROW()),CHAR(160)," ")),"~","-"),"*","+"),"?","!"),240),"")</f>
        <v/>
      </c>
      <c r="EO191">
        <f>IF(EN191="",0,IF(COUNTIF($EN$4:EN191,EN191)=1,1,0))</f>
        <v>0</v>
      </c>
      <c r="EP191" s="166" t="str">
        <f>IF(EO191=1,ROUND(SUMIF($EN$4:$EN$503,EN191,$E$4:$E$503),2),"")</f>
        <v/>
      </c>
      <c r="EQ191" t="str">
        <f>IF(EO191=1,COUNTIFS($EO$4:$EO$503,1,$EP$4:$EP$503,"&gt;"&amp;EP191)+COUNTIFS($EO$4:EO191,1,$EP$4:EP191,EP191),"")</f>
        <v/>
      </c>
      <c r="ER191" t="str">
        <f>IF(EO191=1,COUNTIFS($EN$4:$EN$503,EN191,$EM$4:$EM$503,"Interne",$FE$4:$FE$503,1),"")</f>
        <v/>
      </c>
      <c r="ES191" t="str">
        <f>IF(EO191=1,COUNTIFS($EN$4:$EN$503,EN191,$EM$4:$EM$503,"Externe",$FE$4:$FE$503,1),"")</f>
        <v/>
      </c>
      <c r="ET191" t="str">
        <f>IF(EO191=1,IF(ER191+ES191=0,"à affecter",IF(ER191=0,ES191&amp;" ext.",(ER191+ES191)&amp;IF(ES191&gt;0," dont "&amp;ES191&amp;" ext.",""))&amp;IF(COUNTIFS($EN$4:$EN$503,EN191,$EM$4:$EM$503,"Non affecté")&gt;0," + à affecter","")),"")</f>
        <v/>
      </c>
      <c r="EU191" s="170" t="str">
        <f>IF(EO191=1,IF(EP191&gt;0,SUMPRODUCT(($EN$4:$EN$503=EN191)*$E$4:$E$503*$C$4:$C$503)/EP191,AVERAGEIF($EN$4:$EN$503,EN191,$C$4:$C$503)),"")</f>
        <v/>
      </c>
      <c r="EV191" s="165">
        <f>IF(ISNUMBER(I191),I191,2958465)</f>
        <v>2958465.0</v>
      </c>
      <c r="EW191" s="165" t="str">
        <f>IF(EO191=1,SUMPRODUCT(MIN(($EN$4:$EN$503=EN191)*$EV$4:$EV$503+($EN$4:$EN$503&lt;&gt;EN191)*2958465)),"")</f>
        <v/>
      </c>
      <c r="EX191" s="165">
        <f>IF(AND(D191=1,ISNUMBER(INDEX(Charge!$F:$F,ROW()))),INDEX(Charge!$F:$F,ROW()),0)</f>
        <v>0.0</v>
      </c>
      <c r="EY191" s="165" t="str">
        <f>IF(EO191=1,SUMPRODUCT(MAX(($EN$4:$EN$503=EN191)*$EX$4:$EX$503)),"")</f>
        <v/>
      </c>
      <c r="FA191" t="str">
        <f>IF(188&lt;=$CD$23,INDEX($EJ$4:$EJ$203,188),IF(188-$CD$23&lt;=$CD$26,INDEX($EK$4:$EK$203,188-$CD$23),""))</f>
        <v/>
      </c>
      <c r="FB191" t="str">
        <f>IF(FA191="","",IF(188&lt;=$CD$23,"Interne","Externe"))</f>
        <v/>
      </c>
      <c r="FD191">
        <f>IF(AND(B191=1,TRIM(INDEX(Charge!$K:$K,ROW()))&lt;&gt;"",TRIM(INDEX(Charge!$L:$L,ROW()))&lt;&gt;""),1,0)</f>
        <v>0</v>
      </c>
      <c r="FE191">
        <f>IF(OR(EN191="",BZ191="(non affecté)"),0,IF(COUNTIFS($EN$4:EN191,EN191,$BZ$4:BZ191,BZ191)=1,1,0))</f>
        <v>0</v>
      </c>
    </row>
    <row r="192">
      <c r="A192">
        <f>ROW()</f>
        <v>192</v>
      </c>
      <c r="B192">
        <f>IF(TRIM(INDEX(Charge!$B:$B,ROW()))&lt;&gt;"",1,0)</f>
        <v>0</v>
      </c>
      <c r="C192">
        <f>IF(B192=1,MIN(1,MAX(0,N(INDEX(Charge!$O:$O,ROW())))),0)</f>
        <v>0</v>
      </c>
      <c r="D192">
        <f>IF(B192=1,IF(OR(p_Perimetre="Tous les projets",C192&lt;1),1,0),0)</f>
        <v>0</v>
      </c>
      <c r="E192">
        <f>IF(D192=1,MAX(0,N(INDEX(Charge!$M:$M,ROW()))),0)</f>
        <v>0</v>
      </c>
      <c r="F192" t="str">
        <f>IF(D192=1,IF(TRIM(INDEX(Charge!$A:$A,ROW()))="","(non renseigné)",TRIM(INDEX(Charge!$A:$A,ROW()))),"")</f>
        <v/>
      </c>
      <c r="G192" t="str">
        <f>IF(D192=1,TRIM(INDEX(Charge!$B:$B,ROW())),"")</f>
        <v/>
      </c>
      <c r="H192" t="str">
        <f>IF(D192=1,IF(TRIM(INDEX(Charge!$E:$E,ROW()))="","(non renseigné)",TRIM(INDEX(Charge!$E:$E,ROW()))),"")</f>
        <v/>
      </c>
      <c r="I192" s="165" t="str">
        <f>IF(AND(D192=1,ISNUMBER(INDEX(Charge!$N:$N,ROW()))),INDEX(Charge!$N:$N,ROW()),"")</f>
        <v/>
      </c>
      <c r="J192" s="165" t="str">
        <f>IF(I192="","",IF(AND(p_Repartition="Lissée jusqu'à la date de besoin",ISNUMBER(INDEX(Charge!$F:$F,ROW()))),IF(INDEX(Charge!$F:$F,ROW())&gt;=I192,INDEX(Charge!$F:$F,ROW()),I192),I192))</f>
        <v/>
      </c>
      <c r="K192" t="str">
        <f>IF(I192="","",NETWORKDAYS(I192,J192,Data!$K$4:$K$203))</f>
        <v/>
      </c>
      <c r="L192" t="str">
        <f>IF(D192=1,COUNTIFS($D$4:$D$503,1,$E$4:$E$503,"&gt;"&amp;E192)+COUNTIFS($D$4:$D192,1,$E$4:$E192,E192),"")</f>
        <v/>
      </c>
      <c r="M192">
        <f>IF(F192="",0,IF(COUNTIF($F$4:F192,F192)=1,1,0))</f>
        <v>0</v>
      </c>
      <c r="N192" t="str">
        <f>IF(M192=1,ROUND(SUMIF($F$4:$F$503,F192,$E$4:$E$503),2),"")</f>
        <v/>
      </c>
      <c r="O192" t="str">
        <f>IF(M192=1,COUNTIFS($M$4:$M$503,1,$N$4:$N$503,"&gt;"&amp;N192)+COUNTIFS($M$4:M192,1,$N$4:N192,N192),"")</f>
        <v/>
      </c>
      <c r="P192">
        <f>IF(G192="",0,IF(COUNTIF($G$4:G192,G192)=1,1,0))</f>
        <v>0</v>
      </c>
      <c r="Q192" t="str">
        <f>IF(P192=1,ROUND(SUMIF($G$4:$G$503,G192,$E$4:$E$503),2),"")</f>
        <v/>
      </c>
      <c r="R192" t="str">
        <f>IF(P192=1,COUNTIFS($P$4:$P$503,1,$Q$4:$Q$503,"&gt;"&amp;Q192)+COUNTIFS($P$4:P192,1,$Q$4:Q192,Q192),"")</f>
        <v/>
      </c>
      <c r="S192">
        <f>IF(H192="",0,IF(COUNTIF($H$4:H192,H192)=1,1,0))</f>
        <v>0</v>
      </c>
      <c r="T192" t="str">
        <f>IF(S192=1,ROUND(SUMIF($H$4:$H$503,H192,$E$4:$E$503),2),"")</f>
        <v/>
      </c>
      <c r="U192" t="str">
        <f>IF(S192=1,COUNTIFS($S$4:$S$503,1,$T$4:$T$503,"&gt;"&amp;T192)+COUNTIFS($S$4:S192,1,$T$4:T192,T192),"")</f>
        <v/>
      </c>
      <c r="V192" t="str">
        <f>IF(D192=1,MIN(INDEX($R$4:$R$503,MATCH(G192,$G$4:$G$503,0)),IF($AL$7&gt;9,9,999)),"")</f>
        <v/>
      </c>
      <c r="W192" s="166">
        <f>IF(OR($I192="",$E192=0),0,IF(OR($J192&lt;W$3,$I192&gt;W$2),0,IF($K192=0,IF(AND($I192&gt;=W$3,$I192&lt;=W$2),$E192,0),$E192*NETWORKDAYS(MAX($I192,W$3),MIN($J192,W$2),Data!$K$4:$K$203)/$K192)))</f>
        <v>0</v>
      </c>
      <c r="X192" s="166">
        <f>IF(OR($I192="",$E192=0),0,IF(OR($J192&lt;X$3,$I192&gt;X$2),0,IF($K192=0,IF(AND($I192&gt;=X$3,$I192&lt;=X$2),$E192,0),$E192*NETWORKDAYS(MAX($I192,X$3),MIN($J192,X$2),Data!$K$4:$K$203)/$K192)))</f>
        <v>0</v>
      </c>
      <c r="Y192" s="166">
        <f>IF(OR($I192="",$E192=0),0,IF(OR($J192&lt;Y$3,$I192&gt;Y$2),0,IF($K192=0,IF(AND($I192&gt;=Y$3,$I192&lt;=Y$2),$E192,0),$E192*NETWORKDAYS(MAX($I192,Y$3),MIN($J192,Y$2),Data!$K$4:$K$203)/$K192)))</f>
        <v>0</v>
      </c>
      <c r="Z192" s="166">
        <f>IF(OR($I192="",$E192=0),0,IF(OR($J192&lt;Z$3,$I192&gt;Z$2),0,IF($K192=0,IF(AND($I192&gt;=Z$3,$I192&lt;=Z$2),$E192,0),$E192*NETWORKDAYS(MAX($I192,Z$3),MIN($J192,Z$2),Data!$K$4:$K$203)/$K192)))</f>
        <v>0</v>
      </c>
      <c r="AA192" s="166">
        <f>IF(OR($I192="",$E192=0),0,IF(OR($J192&lt;AA$3,$I192&gt;AA$2),0,IF($K192=0,IF(AND($I192&gt;=AA$3,$I192&lt;=AA$2),$E192,0),$E192*NETWORKDAYS(MAX($I192,AA$3),MIN($J192,AA$2),Data!$K$4:$K$203)/$K192)))</f>
        <v>0</v>
      </c>
      <c r="AB192" s="166">
        <f>IF(OR($I192="",$E192=0),0,IF(OR($J192&lt;AB$3,$I192&gt;AB$2),0,IF($K192=0,IF(AND($I192&gt;=AB$3,$I192&lt;=AB$2),$E192,0),$E192*NETWORKDAYS(MAX($I192,AB$3),MIN($J192,AB$2),Data!$K$4:$K$203)/$K192)))</f>
        <v>0</v>
      </c>
      <c r="AC192" s="166">
        <f>IF(OR($I192="",$E192=0),0,IF(OR($J192&lt;AC$3,$I192&gt;AC$2),0,IF($K192=0,IF(AND($I192&gt;=AC$3,$I192&lt;=AC$2),$E192,0),$E192*NETWORKDAYS(MAX($I192,AC$3),MIN($J192,AC$2),Data!$K$4:$K$203)/$K192)))</f>
        <v>0</v>
      </c>
      <c r="AD192" s="166">
        <f>IF(OR($I192="",$E192=0),0,IF(OR($J192&lt;AD$3,$I192&gt;AD$2),0,IF($K192=0,IF(AND($I192&gt;=AD$3,$I192&lt;=AD$2),$E192,0),$E192*NETWORKDAYS(MAX($I192,AD$3),MIN($J192,AD$2),Data!$K$4:$K$203)/$K192)))</f>
        <v>0</v>
      </c>
      <c r="AE192" s="166">
        <f>IF(OR($I192="",$E192=0),0,IF(OR($J192&lt;AE$3,$I192&gt;AE$2),0,IF($K192=0,IF(AND($I192&gt;=AE$3,$I192&lt;=AE$2),$E192,0),$E192*NETWORKDAYS(MAX($I192,AE$3),MIN($J192,AE$2),Data!$K$4:$K$203)/$K192)))</f>
        <v>0</v>
      </c>
      <c r="AF192" s="166">
        <f>IF(OR($I192="",$E192=0),0,IF(OR($J192&lt;AF$3,$I192&gt;AF$2),0,IF($K192=0,IF(AND($I192&gt;=AF$3,$I192&lt;=AF$2),$E192,0),$E192*NETWORKDAYS(MAX($I192,AF$3),MIN($J192,AF$2),Data!$K$4:$K$203)/$K192)))</f>
        <v>0</v>
      </c>
      <c r="AG192" s="166">
        <f>IF(OR($I192="",$E192=0),0,IF(OR($J192&lt;AG$3,$I192&gt;AG$2),0,IF($K192=0,IF(AND($I192&gt;=AG$3,$I192&lt;=AG$2),$E192,0),$E192*NETWORKDAYS(MAX($I192,AG$3),MIN($J192,AG$2),Data!$K$4:$K$203)/$K192)))</f>
        <v>0</v>
      </c>
      <c r="AH192" s="166">
        <f>IF(OR($I192="",$E192=0),0,IF(OR($J192&lt;AH$3,$I192&gt;AH$2),0,IF($K192=0,IF(AND($I192&gt;=AH$3,$I192&lt;=AH$2),$E192,0),$E192*NETWORKDAYS(MAX($I192,AH$3),MIN($J192,AH$2),Data!$K$4:$K$203)/$K192)))</f>
        <v>0</v>
      </c>
      <c r="AI192" s="166">
        <f>SUM(W192:AH192)</f>
        <v>0</v>
      </c>
      <c r="BZ192" t="str">
        <f>IF(D192=1,IF(TRIM(INDEX(Charge!$K:$K,ROW()))&lt;&gt;"",TRIM(INDEX(Charge!$K:$K,ROW())),IF(TRIM(INDEX(Charge!$L:$L,ROW()))&lt;&gt;"",TRIM(INDEX(Charge!$L:$L,ROW())),"(non affecté)")),"")</f>
        <v/>
      </c>
      <c r="CA192" t="str">
        <f>IF(AND($CD$4&lt;&gt;"",BZ192=$CD$4),COUNTIFS($BZ$4:$BZ$503,$CD$4,$L$4:$L$503,"&lt;"&amp;L192)+1,"")</f>
        <v/>
      </c>
      <c r="EJ192" t="str">
        <f>TRIM(INDEX(Data!$E:$E,ROW()))</f>
        <v/>
      </c>
      <c r="EK192" t="str">
        <f>TRIM(INDEX(Data!$H:$H,ROW()))</f>
        <v/>
      </c>
      <c r="EM192" t="str">
        <f>IF(D192=1,IF(TRIM(INDEX(Charge!$K:$K,ROW()))&lt;&gt;"","Interne",IF(TRIM(INDEX(Charge!$L:$L,ROW()))&lt;&gt;"","Externe","Non affecté")),"")</f>
        <v/>
      </c>
      <c r="EN192" t="str">
        <f>IF(D192=1,LEFT(SUBSTITUTE(SUBSTITUTE(SUBSTITUTE(TRIM(SUBSTITUTE(INDEX(Charge!$B:$B,ROW()),CHAR(160)," "))&amp;" | "&amp;TRIM(SUBSTITUTE(INDEX(Charge!$C:$C,ROW()),CHAR(160)," "))&amp;" | "&amp;TRIM(SUBSTITUTE(INDEX(Charge!$D:$D,ROW()),CHAR(160)," ")),"~","-"),"*","+"),"?","!"),240),"")</f>
        <v/>
      </c>
      <c r="EO192">
        <f>IF(EN192="",0,IF(COUNTIF($EN$4:EN192,EN192)=1,1,0))</f>
        <v>0</v>
      </c>
      <c r="EP192" s="166" t="str">
        <f>IF(EO192=1,ROUND(SUMIF($EN$4:$EN$503,EN192,$E$4:$E$503),2),"")</f>
        <v/>
      </c>
      <c r="EQ192" t="str">
        <f>IF(EO192=1,COUNTIFS($EO$4:$EO$503,1,$EP$4:$EP$503,"&gt;"&amp;EP192)+COUNTIFS($EO$4:EO192,1,$EP$4:EP192,EP192),"")</f>
        <v/>
      </c>
      <c r="ER192" t="str">
        <f>IF(EO192=1,COUNTIFS($EN$4:$EN$503,EN192,$EM$4:$EM$503,"Interne",$FE$4:$FE$503,1),"")</f>
        <v/>
      </c>
      <c r="ES192" t="str">
        <f>IF(EO192=1,COUNTIFS($EN$4:$EN$503,EN192,$EM$4:$EM$503,"Externe",$FE$4:$FE$503,1),"")</f>
        <v/>
      </c>
      <c r="ET192" t="str">
        <f>IF(EO192=1,IF(ER192+ES192=0,"à affecter",IF(ER192=0,ES192&amp;" ext.",(ER192+ES192)&amp;IF(ES192&gt;0," dont "&amp;ES192&amp;" ext.",""))&amp;IF(COUNTIFS($EN$4:$EN$503,EN192,$EM$4:$EM$503,"Non affecté")&gt;0," + à affecter","")),"")</f>
        <v/>
      </c>
      <c r="EU192" s="170" t="str">
        <f>IF(EO192=1,IF(EP192&gt;0,SUMPRODUCT(($EN$4:$EN$503=EN192)*$E$4:$E$503*$C$4:$C$503)/EP192,AVERAGEIF($EN$4:$EN$503,EN192,$C$4:$C$503)),"")</f>
        <v/>
      </c>
      <c r="EV192" s="165">
        <f>IF(ISNUMBER(I192),I192,2958465)</f>
        <v>2958465.0</v>
      </c>
      <c r="EW192" s="165" t="str">
        <f>IF(EO192=1,SUMPRODUCT(MIN(($EN$4:$EN$503=EN192)*$EV$4:$EV$503+($EN$4:$EN$503&lt;&gt;EN192)*2958465)),"")</f>
        <v/>
      </c>
      <c r="EX192" s="165">
        <f>IF(AND(D192=1,ISNUMBER(INDEX(Charge!$F:$F,ROW()))),INDEX(Charge!$F:$F,ROW()),0)</f>
        <v>0.0</v>
      </c>
      <c r="EY192" s="165" t="str">
        <f>IF(EO192=1,SUMPRODUCT(MAX(($EN$4:$EN$503=EN192)*$EX$4:$EX$503)),"")</f>
        <v/>
      </c>
      <c r="FA192" t="str">
        <f>IF(189&lt;=$CD$23,INDEX($EJ$4:$EJ$203,189),IF(189-$CD$23&lt;=$CD$26,INDEX($EK$4:$EK$203,189-$CD$23),""))</f>
        <v/>
      </c>
      <c r="FB192" t="str">
        <f>IF(FA192="","",IF(189&lt;=$CD$23,"Interne","Externe"))</f>
        <v/>
      </c>
      <c r="FD192">
        <f>IF(AND(B192=1,TRIM(INDEX(Charge!$K:$K,ROW()))&lt;&gt;"",TRIM(INDEX(Charge!$L:$L,ROW()))&lt;&gt;""),1,0)</f>
        <v>0</v>
      </c>
      <c r="FE192">
        <f>IF(OR(EN192="",BZ192="(non affecté)"),0,IF(COUNTIFS($EN$4:EN192,EN192,$BZ$4:BZ192,BZ192)=1,1,0))</f>
        <v>0</v>
      </c>
    </row>
    <row r="193">
      <c r="A193">
        <f>ROW()</f>
        <v>193</v>
      </c>
      <c r="B193">
        <f>IF(TRIM(INDEX(Charge!$B:$B,ROW()))&lt;&gt;"",1,0)</f>
        <v>0</v>
      </c>
      <c r="C193">
        <f>IF(B193=1,MIN(1,MAX(0,N(INDEX(Charge!$O:$O,ROW())))),0)</f>
        <v>0</v>
      </c>
      <c r="D193">
        <f>IF(B193=1,IF(OR(p_Perimetre="Tous les projets",C193&lt;1),1,0),0)</f>
        <v>0</v>
      </c>
      <c r="E193">
        <f>IF(D193=1,MAX(0,N(INDEX(Charge!$M:$M,ROW()))),0)</f>
        <v>0</v>
      </c>
      <c r="F193" t="str">
        <f>IF(D193=1,IF(TRIM(INDEX(Charge!$A:$A,ROW()))="","(non renseigné)",TRIM(INDEX(Charge!$A:$A,ROW()))),"")</f>
        <v/>
      </c>
      <c r="G193" t="str">
        <f>IF(D193=1,TRIM(INDEX(Charge!$B:$B,ROW())),"")</f>
        <v/>
      </c>
      <c r="H193" t="str">
        <f>IF(D193=1,IF(TRIM(INDEX(Charge!$E:$E,ROW()))="","(non renseigné)",TRIM(INDEX(Charge!$E:$E,ROW()))),"")</f>
        <v/>
      </c>
      <c r="I193" s="165" t="str">
        <f>IF(AND(D193=1,ISNUMBER(INDEX(Charge!$N:$N,ROW()))),INDEX(Charge!$N:$N,ROW()),"")</f>
        <v/>
      </c>
      <c r="J193" s="165" t="str">
        <f>IF(I193="","",IF(AND(p_Repartition="Lissée jusqu'à la date de besoin",ISNUMBER(INDEX(Charge!$F:$F,ROW()))),IF(INDEX(Charge!$F:$F,ROW())&gt;=I193,INDEX(Charge!$F:$F,ROW()),I193),I193))</f>
        <v/>
      </c>
      <c r="K193" t="str">
        <f>IF(I193="","",NETWORKDAYS(I193,J193,Data!$K$4:$K$203))</f>
        <v/>
      </c>
      <c r="L193" t="str">
        <f>IF(D193=1,COUNTIFS($D$4:$D$503,1,$E$4:$E$503,"&gt;"&amp;E193)+COUNTIFS($D$4:$D193,1,$E$4:$E193,E193),"")</f>
        <v/>
      </c>
      <c r="M193">
        <f>IF(F193="",0,IF(COUNTIF($F$4:F193,F193)=1,1,0))</f>
        <v>0</v>
      </c>
      <c r="N193" t="str">
        <f>IF(M193=1,ROUND(SUMIF($F$4:$F$503,F193,$E$4:$E$503),2),"")</f>
        <v/>
      </c>
      <c r="O193" t="str">
        <f>IF(M193=1,COUNTIFS($M$4:$M$503,1,$N$4:$N$503,"&gt;"&amp;N193)+COUNTIFS($M$4:M193,1,$N$4:N193,N193),"")</f>
        <v/>
      </c>
      <c r="P193">
        <f>IF(G193="",0,IF(COUNTIF($G$4:G193,G193)=1,1,0))</f>
        <v>0</v>
      </c>
      <c r="Q193" t="str">
        <f>IF(P193=1,ROUND(SUMIF($G$4:$G$503,G193,$E$4:$E$503),2),"")</f>
        <v/>
      </c>
      <c r="R193" t="str">
        <f>IF(P193=1,COUNTIFS($P$4:$P$503,1,$Q$4:$Q$503,"&gt;"&amp;Q193)+COUNTIFS($P$4:P193,1,$Q$4:Q193,Q193),"")</f>
        <v/>
      </c>
      <c r="S193">
        <f>IF(H193="",0,IF(COUNTIF($H$4:H193,H193)=1,1,0))</f>
        <v>0</v>
      </c>
      <c r="T193" t="str">
        <f>IF(S193=1,ROUND(SUMIF($H$4:$H$503,H193,$E$4:$E$503),2),"")</f>
        <v/>
      </c>
      <c r="U193" t="str">
        <f>IF(S193=1,COUNTIFS($S$4:$S$503,1,$T$4:$T$503,"&gt;"&amp;T193)+COUNTIFS($S$4:S193,1,$T$4:T193,T193),"")</f>
        <v/>
      </c>
      <c r="V193" t="str">
        <f>IF(D193=1,MIN(INDEX($R$4:$R$503,MATCH(G193,$G$4:$G$503,0)),IF($AL$7&gt;9,9,999)),"")</f>
        <v/>
      </c>
      <c r="W193" s="166">
        <f>IF(OR($I193="",$E193=0),0,IF(OR($J193&lt;W$3,$I193&gt;W$2),0,IF($K193=0,IF(AND($I193&gt;=W$3,$I193&lt;=W$2),$E193,0),$E193*NETWORKDAYS(MAX($I193,W$3),MIN($J193,W$2),Data!$K$4:$K$203)/$K193)))</f>
        <v>0</v>
      </c>
      <c r="X193" s="166">
        <f>IF(OR($I193="",$E193=0),0,IF(OR($J193&lt;X$3,$I193&gt;X$2),0,IF($K193=0,IF(AND($I193&gt;=X$3,$I193&lt;=X$2),$E193,0),$E193*NETWORKDAYS(MAX($I193,X$3),MIN($J193,X$2),Data!$K$4:$K$203)/$K193)))</f>
        <v>0</v>
      </c>
      <c r="Y193" s="166">
        <f>IF(OR($I193="",$E193=0),0,IF(OR($J193&lt;Y$3,$I193&gt;Y$2),0,IF($K193=0,IF(AND($I193&gt;=Y$3,$I193&lt;=Y$2),$E193,0),$E193*NETWORKDAYS(MAX($I193,Y$3),MIN($J193,Y$2),Data!$K$4:$K$203)/$K193)))</f>
        <v>0</v>
      </c>
      <c r="Z193" s="166">
        <f>IF(OR($I193="",$E193=0),0,IF(OR($J193&lt;Z$3,$I193&gt;Z$2),0,IF($K193=0,IF(AND($I193&gt;=Z$3,$I193&lt;=Z$2),$E193,0),$E193*NETWORKDAYS(MAX($I193,Z$3),MIN($J193,Z$2),Data!$K$4:$K$203)/$K193)))</f>
        <v>0</v>
      </c>
      <c r="AA193" s="166">
        <f>IF(OR($I193="",$E193=0),0,IF(OR($J193&lt;AA$3,$I193&gt;AA$2),0,IF($K193=0,IF(AND($I193&gt;=AA$3,$I193&lt;=AA$2),$E193,0),$E193*NETWORKDAYS(MAX($I193,AA$3),MIN($J193,AA$2),Data!$K$4:$K$203)/$K193)))</f>
        <v>0</v>
      </c>
      <c r="AB193" s="166">
        <f>IF(OR($I193="",$E193=0),0,IF(OR($J193&lt;AB$3,$I193&gt;AB$2),0,IF($K193=0,IF(AND($I193&gt;=AB$3,$I193&lt;=AB$2),$E193,0),$E193*NETWORKDAYS(MAX($I193,AB$3),MIN($J193,AB$2),Data!$K$4:$K$203)/$K193)))</f>
        <v>0</v>
      </c>
      <c r="AC193" s="166">
        <f>IF(OR($I193="",$E193=0),0,IF(OR($J193&lt;AC$3,$I193&gt;AC$2),0,IF($K193=0,IF(AND($I193&gt;=AC$3,$I193&lt;=AC$2),$E193,0),$E193*NETWORKDAYS(MAX($I193,AC$3),MIN($J193,AC$2),Data!$K$4:$K$203)/$K193)))</f>
        <v>0</v>
      </c>
      <c r="AD193" s="166">
        <f>IF(OR($I193="",$E193=0),0,IF(OR($J193&lt;AD$3,$I193&gt;AD$2),0,IF($K193=0,IF(AND($I193&gt;=AD$3,$I193&lt;=AD$2),$E193,0),$E193*NETWORKDAYS(MAX($I193,AD$3),MIN($J193,AD$2),Data!$K$4:$K$203)/$K193)))</f>
        <v>0</v>
      </c>
      <c r="AE193" s="166">
        <f>IF(OR($I193="",$E193=0),0,IF(OR($J193&lt;AE$3,$I193&gt;AE$2),0,IF($K193=0,IF(AND($I193&gt;=AE$3,$I193&lt;=AE$2),$E193,0),$E193*NETWORKDAYS(MAX($I193,AE$3),MIN($J193,AE$2),Data!$K$4:$K$203)/$K193)))</f>
        <v>0</v>
      </c>
      <c r="AF193" s="166">
        <f>IF(OR($I193="",$E193=0),0,IF(OR($J193&lt;AF$3,$I193&gt;AF$2),0,IF($K193=0,IF(AND($I193&gt;=AF$3,$I193&lt;=AF$2),$E193,0),$E193*NETWORKDAYS(MAX($I193,AF$3),MIN($J193,AF$2),Data!$K$4:$K$203)/$K193)))</f>
        <v>0</v>
      </c>
      <c r="AG193" s="166">
        <f>IF(OR($I193="",$E193=0),0,IF(OR($J193&lt;AG$3,$I193&gt;AG$2),0,IF($K193=0,IF(AND($I193&gt;=AG$3,$I193&lt;=AG$2),$E193,0),$E193*NETWORKDAYS(MAX($I193,AG$3),MIN($J193,AG$2),Data!$K$4:$K$203)/$K193)))</f>
        <v>0</v>
      </c>
      <c r="AH193" s="166">
        <f>IF(OR($I193="",$E193=0),0,IF(OR($J193&lt;AH$3,$I193&gt;AH$2),0,IF($K193=0,IF(AND($I193&gt;=AH$3,$I193&lt;=AH$2),$E193,0),$E193*NETWORKDAYS(MAX($I193,AH$3),MIN($J193,AH$2),Data!$K$4:$K$203)/$K193)))</f>
        <v>0</v>
      </c>
      <c r="AI193" s="166">
        <f>SUM(W193:AH193)</f>
        <v>0</v>
      </c>
      <c r="BZ193" t="str">
        <f>IF(D193=1,IF(TRIM(INDEX(Charge!$K:$K,ROW()))&lt;&gt;"",TRIM(INDEX(Charge!$K:$K,ROW())),IF(TRIM(INDEX(Charge!$L:$L,ROW()))&lt;&gt;"",TRIM(INDEX(Charge!$L:$L,ROW())),"(non affecté)")),"")</f>
        <v/>
      </c>
      <c r="CA193" t="str">
        <f>IF(AND($CD$4&lt;&gt;"",BZ193=$CD$4),COUNTIFS($BZ$4:$BZ$503,$CD$4,$L$4:$L$503,"&lt;"&amp;L193)+1,"")</f>
        <v/>
      </c>
      <c r="EJ193" t="str">
        <f>TRIM(INDEX(Data!$E:$E,ROW()))</f>
        <v/>
      </c>
      <c r="EK193" t="str">
        <f>TRIM(INDEX(Data!$H:$H,ROW()))</f>
        <v/>
      </c>
      <c r="EM193" t="str">
        <f>IF(D193=1,IF(TRIM(INDEX(Charge!$K:$K,ROW()))&lt;&gt;"","Interne",IF(TRIM(INDEX(Charge!$L:$L,ROW()))&lt;&gt;"","Externe","Non affecté")),"")</f>
        <v/>
      </c>
      <c r="EN193" t="str">
        <f>IF(D193=1,LEFT(SUBSTITUTE(SUBSTITUTE(SUBSTITUTE(TRIM(SUBSTITUTE(INDEX(Charge!$B:$B,ROW()),CHAR(160)," "))&amp;" | "&amp;TRIM(SUBSTITUTE(INDEX(Charge!$C:$C,ROW()),CHAR(160)," "))&amp;" | "&amp;TRIM(SUBSTITUTE(INDEX(Charge!$D:$D,ROW()),CHAR(160)," ")),"~","-"),"*","+"),"?","!"),240),"")</f>
        <v/>
      </c>
      <c r="EO193">
        <f>IF(EN193="",0,IF(COUNTIF($EN$4:EN193,EN193)=1,1,0))</f>
        <v>0</v>
      </c>
      <c r="EP193" s="166" t="str">
        <f>IF(EO193=1,ROUND(SUMIF($EN$4:$EN$503,EN193,$E$4:$E$503),2),"")</f>
        <v/>
      </c>
      <c r="EQ193" t="str">
        <f>IF(EO193=1,COUNTIFS($EO$4:$EO$503,1,$EP$4:$EP$503,"&gt;"&amp;EP193)+COUNTIFS($EO$4:EO193,1,$EP$4:EP193,EP193),"")</f>
        <v/>
      </c>
      <c r="ER193" t="str">
        <f>IF(EO193=1,COUNTIFS($EN$4:$EN$503,EN193,$EM$4:$EM$503,"Interne",$FE$4:$FE$503,1),"")</f>
        <v/>
      </c>
      <c r="ES193" t="str">
        <f>IF(EO193=1,COUNTIFS($EN$4:$EN$503,EN193,$EM$4:$EM$503,"Externe",$FE$4:$FE$503,1),"")</f>
        <v/>
      </c>
      <c r="ET193" t="str">
        <f>IF(EO193=1,IF(ER193+ES193=0,"à affecter",IF(ER193=0,ES193&amp;" ext.",(ER193+ES193)&amp;IF(ES193&gt;0," dont "&amp;ES193&amp;" ext.",""))&amp;IF(COUNTIFS($EN$4:$EN$503,EN193,$EM$4:$EM$503,"Non affecté")&gt;0," + à affecter","")),"")</f>
        <v/>
      </c>
      <c r="EU193" s="170" t="str">
        <f>IF(EO193=1,IF(EP193&gt;0,SUMPRODUCT(($EN$4:$EN$503=EN193)*$E$4:$E$503*$C$4:$C$503)/EP193,AVERAGEIF($EN$4:$EN$503,EN193,$C$4:$C$503)),"")</f>
        <v/>
      </c>
      <c r="EV193" s="165">
        <f>IF(ISNUMBER(I193),I193,2958465)</f>
        <v>2958465.0</v>
      </c>
      <c r="EW193" s="165" t="str">
        <f>IF(EO193=1,SUMPRODUCT(MIN(($EN$4:$EN$503=EN193)*$EV$4:$EV$503+($EN$4:$EN$503&lt;&gt;EN193)*2958465)),"")</f>
        <v/>
      </c>
      <c r="EX193" s="165">
        <f>IF(AND(D193=1,ISNUMBER(INDEX(Charge!$F:$F,ROW()))),INDEX(Charge!$F:$F,ROW()),0)</f>
        <v>0.0</v>
      </c>
      <c r="EY193" s="165" t="str">
        <f>IF(EO193=1,SUMPRODUCT(MAX(($EN$4:$EN$503=EN193)*$EX$4:$EX$503)),"")</f>
        <v/>
      </c>
      <c r="FA193" t="str">
        <f>IF(190&lt;=$CD$23,INDEX($EJ$4:$EJ$203,190),IF(190-$CD$23&lt;=$CD$26,INDEX($EK$4:$EK$203,190-$CD$23),""))</f>
        <v/>
      </c>
      <c r="FB193" t="str">
        <f>IF(FA193="","",IF(190&lt;=$CD$23,"Interne","Externe"))</f>
        <v/>
      </c>
      <c r="FD193">
        <f>IF(AND(B193=1,TRIM(INDEX(Charge!$K:$K,ROW()))&lt;&gt;"",TRIM(INDEX(Charge!$L:$L,ROW()))&lt;&gt;""),1,0)</f>
        <v>0</v>
      </c>
      <c r="FE193">
        <f>IF(OR(EN193="",BZ193="(non affecté)"),0,IF(COUNTIFS($EN$4:EN193,EN193,$BZ$4:BZ193,BZ193)=1,1,0))</f>
        <v>0</v>
      </c>
    </row>
    <row r="194">
      <c r="A194">
        <f>ROW()</f>
        <v>194</v>
      </c>
      <c r="B194">
        <f>IF(TRIM(INDEX(Charge!$B:$B,ROW()))&lt;&gt;"",1,0)</f>
        <v>0</v>
      </c>
      <c r="C194">
        <f>IF(B194=1,MIN(1,MAX(0,N(INDEX(Charge!$O:$O,ROW())))),0)</f>
        <v>0</v>
      </c>
      <c r="D194">
        <f>IF(B194=1,IF(OR(p_Perimetre="Tous les projets",C194&lt;1),1,0),0)</f>
        <v>0</v>
      </c>
      <c r="E194">
        <f>IF(D194=1,MAX(0,N(INDEX(Charge!$M:$M,ROW()))),0)</f>
        <v>0</v>
      </c>
      <c r="F194" t="str">
        <f>IF(D194=1,IF(TRIM(INDEX(Charge!$A:$A,ROW()))="","(non renseigné)",TRIM(INDEX(Charge!$A:$A,ROW()))),"")</f>
        <v/>
      </c>
      <c r="G194" t="str">
        <f>IF(D194=1,TRIM(INDEX(Charge!$B:$B,ROW())),"")</f>
        <v/>
      </c>
      <c r="H194" t="str">
        <f>IF(D194=1,IF(TRIM(INDEX(Charge!$E:$E,ROW()))="","(non renseigné)",TRIM(INDEX(Charge!$E:$E,ROW()))),"")</f>
        <v/>
      </c>
      <c r="I194" s="165" t="str">
        <f>IF(AND(D194=1,ISNUMBER(INDEX(Charge!$N:$N,ROW()))),INDEX(Charge!$N:$N,ROW()),"")</f>
        <v/>
      </c>
      <c r="J194" s="165" t="str">
        <f>IF(I194="","",IF(AND(p_Repartition="Lissée jusqu'à la date de besoin",ISNUMBER(INDEX(Charge!$F:$F,ROW()))),IF(INDEX(Charge!$F:$F,ROW())&gt;=I194,INDEX(Charge!$F:$F,ROW()),I194),I194))</f>
        <v/>
      </c>
      <c r="K194" t="str">
        <f>IF(I194="","",NETWORKDAYS(I194,J194,Data!$K$4:$K$203))</f>
        <v/>
      </c>
      <c r="L194" t="str">
        <f>IF(D194=1,COUNTIFS($D$4:$D$503,1,$E$4:$E$503,"&gt;"&amp;E194)+COUNTIFS($D$4:$D194,1,$E$4:$E194,E194),"")</f>
        <v/>
      </c>
      <c r="M194">
        <f>IF(F194="",0,IF(COUNTIF($F$4:F194,F194)=1,1,0))</f>
        <v>0</v>
      </c>
      <c r="N194" t="str">
        <f>IF(M194=1,ROUND(SUMIF($F$4:$F$503,F194,$E$4:$E$503),2),"")</f>
        <v/>
      </c>
      <c r="O194" t="str">
        <f>IF(M194=1,COUNTIFS($M$4:$M$503,1,$N$4:$N$503,"&gt;"&amp;N194)+COUNTIFS($M$4:M194,1,$N$4:N194,N194),"")</f>
        <v/>
      </c>
      <c r="P194">
        <f>IF(G194="",0,IF(COUNTIF($G$4:G194,G194)=1,1,0))</f>
        <v>0</v>
      </c>
      <c r="Q194" t="str">
        <f>IF(P194=1,ROUND(SUMIF($G$4:$G$503,G194,$E$4:$E$503),2),"")</f>
        <v/>
      </c>
      <c r="R194" t="str">
        <f>IF(P194=1,COUNTIFS($P$4:$P$503,1,$Q$4:$Q$503,"&gt;"&amp;Q194)+COUNTIFS($P$4:P194,1,$Q$4:Q194,Q194),"")</f>
        <v/>
      </c>
      <c r="S194">
        <f>IF(H194="",0,IF(COUNTIF($H$4:H194,H194)=1,1,0))</f>
        <v>0</v>
      </c>
      <c r="T194" t="str">
        <f>IF(S194=1,ROUND(SUMIF($H$4:$H$503,H194,$E$4:$E$503),2),"")</f>
        <v/>
      </c>
      <c r="U194" t="str">
        <f>IF(S194=1,COUNTIFS($S$4:$S$503,1,$T$4:$T$503,"&gt;"&amp;T194)+COUNTIFS($S$4:S194,1,$T$4:T194,T194),"")</f>
        <v/>
      </c>
      <c r="V194" t="str">
        <f>IF(D194=1,MIN(INDEX($R$4:$R$503,MATCH(G194,$G$4:$G$503,0)),IF($AL$7&gt;9,9,999)),"")</f>
        <v/>
      </c>
      <c r="W194" s="166">
        <f>IF(OR($I194="",$E194=0),0,IF(OR($J194&lt;W$3,$I194&gt;W$2),0,IF($K194=0,IF(AND($I194&gt;=W$3,$I194&lt;=W$2),$E194,0),$E194*NETWORKDAYS(MAX($I194,W$3),MIN($J194,W$2),Data!$K$4:$K$203)/$K194)))</f>
        <v>0</v>
      </c>
      <c r="X194" s="166">
        <f>IF(OR($I194="",$E194=0),0,IF(OR($J194&lt;X$3,$I194&gt;X$2),0,IF($K194=0,IF(AND($I194&gt;=X$3,$I194&lt;=X$2),$E194,0),$E194*NETWORKDAYS(MAX($I194,X$3),MIN($J194,X$2),Data!$K$4:$K$203)/$K194)))</f>
        <v>0</v>
      </c>
      <c r="Y194" s="166">
        <f>IF(OR($I194="",$E194=0),0,IF(OR($J194&lt;Y$3,$I194&gt;Y$2),0,IF($K194=0,IF(AND($I194&gt;=Y$3,$I194&lt;=Y$2),$E194,0),$E194*NETWORKDAYS(MAX($I194,Y$3),MIN($J194,Y$2),Data!$K$4:$K$203)/$K194)))</f>
        <v>0</v>
      </c>
      <c r="Z194" s="166">
        <f>IF(OR($I194="",$E194=0),0,IF(OR($J194&lt;Z$3,$I194&gt;Z$2),0,IF($K194=0,IF(AND($I194&gt;=Z$3,$I194&lt;=Z$2),$E194,0),$E194*NETWORKDAYS(MAX($I194,Z$3),MIN($J194,Z$2),Data!$K$4:$K$203)/$K194)))</f>
        <v>0</v>
      </c>
      <c r="AA194" s="166">
        <f>IF(OR($I194="",$E194=0),0,IF(OR($J194&lt;AA$3,$I194&gt;AA$2),0,IF($K194=0,IF(AND($I194&gt;=AA$3,$I194&lt;=AA$2),$E194,0),$E194*NETWORKDAYS(MAX($I194,AA$3),MIN($J194,AA$2),Data!$K$4:$K$203)/$K194)))</f>
        <v>0</v>
      </c>
      <c r="AB194" s="166">
        <f>IF(OR($I194="",$E194=0),0,IF(OR($J194&lt;AB$3,$I194&gt;AB$2),0,IF($K194=0,IF(AND($I194&gt;=AB$3,$I194&lt;=AB$2),$E194,0),$E194*NETWORKDAYS(MAX($I194,AB$3),MIN($J194,AB$2),Data!$K$4:$K$203)/$K194)))</f>
        <v>0</v>
      </c>
      <c r="AC194" s="166">
        <f>IF(OR($I194="",$E194=0),0,IF(OR($J194&lt;AC$3,$I194&gt;AC$2),0,IF($K194=0,IF(AND($I194&gt;=AC$3,$I194&lt;=AC$2),$E194,0),$E194*NETWORKDAYS(MAX($I194,AC$3),MIN($J194,AC$2),Data!$K$4:$K$203)/$K194)))</f>
        <v>0</v>
      </c>
      <c r="AD194" s="166">
        <f>IF(OR($I194="",$E194=0),0,IF(OR($J194&lt;AD$3,$I194&gt;AD$2),0,IF($K194=0,IF(AND($I194&gt;=AD$3,$I194&lt;=AD$2),$E194,0),$E194*NETWORKDAYS(MAX($I194,AD$3),MIN($J194,AD$2),Data!$K$4:$K$203)/$K194)))</f>
        <v>0</v>
      </c>
      <c r="AE194" s="166">
        <f>IF(OR($I194="",$E194=0),0,IF(OR($J194&lt;AE$3,$I194&gt;AE$2),0,IF($K194=0,IF(AND($I194&gt;=AE$3,$I194&lt;=AE$2),$E194,0),$E194*NETWORKDAYS(MAX($I194,AE$3),MIN($J194,AE$2),Data!$K$4:$K$203)/$K194)))</f>
        <v>0</v>
      </c>
      <c r="AF194" s="166">
        <f>IF(OR($I194="",$E194=0),0,IF(OR($J194&lt;AF$3,$I194&gt;AF$2),0,IF($K194=0,IF(AND($I194&gt;=AF$3,$I194&lt;=AF$2),$E194,0),$E194*NETWORKDAYS(MAX($I194,AF$3),MIN($J194,AF$2),Data!$K$4:$K$203)/$K194)))</f>
        <v>0</v>
      </c>
      <c r="AG194" s="166">
        <f>IF(OR($I194="",$E194=0),0,IF(OR($J194&lt;AG$3,$I194&gt;AG$2),0,IF($K194=0,IF(AND($I194&gt;=AG$3,$I194&lt;=AG$2),$E194,0),$E194*NETWORKDAYS(MAX($I194,AG$3),MIN($J194,AG$2),Data!$K$4:$K$203)/$K194)))</f>
        <v>0</v>
      </c>
      <c r="AH194" s="166">
        <f>IF(OR($I194="",$E194=0),0,IF(OR($J194&lt;AH$3,$I194&gt;AH$2),0,IF($K194=0,IF(AND($I194&gt;=AH$3,$I194&lt;=AH$2),$E194,0),$E194*NETWORKDAYS(MAX($I194,AH$3),MIN($J194,AH$2),Data!$K$4:$K$203)/$K194)))</f>
        <v>0</v>
      </c>
      <c r="AI194" s="166">
        <f>SUM(W194:AH194)</f>
        <v>0</v>
      </c>
      <c r="BZ194" t="str">
        <f>IF(D194=1,IF(TRIM(INDEX(Charge!$K:$K,ROW()))&lt;&gt;"",TRIM(INDEX(Charge!$K:$K,ROW())),IF(TRIM(INDEX(Charge!$L:$L,ROW()))&lt;&gt;"",TRIM(INDEX(Charge!$L:$L,ROW())),"(non affecté)")),"")</f>
        <v/>
      </c>
      <c r="CA194" t="str">
        <f>IF(AND($CD$4&lt;&gt;"",BZ194=$CD$4),COUNTIFS($BZ$4:$BZ$503,$CD$4,$L$4:$L$503,"&lt;"&amp;L194)+1,"")</f>
        <v/>
      </c>
      <c r="EJ194" t="str">
        <f>TRIM(INDEX(Data!$E:$E,ROW()))</f>
        <v/>
      </c>
      <c r="EK194" t="str">
        <f>TRIM(INDEX(Data!$H:$H,ROW()))</f>
        <v/>
      </c>
      <c r="EM194" t="str">
        <f>IF(D194=1,IF(TRIM(INDEX(Charge!$K:$K,ROW()))&lt;&gt;"","Interne",IF(TRIM(INDEX(Charge!$L:$L,ROW()))&lt;&gt;"","Externe","Non affecté")),"")</f>
        <v/>
      </c>
      <c r="EN194" t="str">
        <f>IF(D194=1,LEFT(SUBSTITUTE(SUBSTITUTE(SUBSTITUTE(TRIM(SUBSTITUTE(INDEX(Charge!$B:$B,ROW()),CHAR(160)," "))&amp;" | "&amp;TRIM(SUBSTITUTE(INDEX(Charge!$C:$C,ROW()),CHAR(160)," "))&amp;" | "&amp;TRIM(SUBSTITUTE(INDEX(Charge!$D:$D,ROW()),CHAR(160)," ")),"~","-"),"*","+"),"?","!"),240),"")</f>
        <v/>
      </c>
      <c r="EO194">
        <f>IF(EN194="",0,IF(COUNTIF($EN$4:EN194,EN194)=1,1,0))</f>
        <v>0</v>
      </c>
      <c r="EP194" s="166" t="str">
        <f>IF(EO194=1,ROUND(SUMIF($EN$4:$EN$503,EN194,$E$4:$E$503),2),"")</f>
        <v/>
      </c>
      <c r="EQ194" t="str">
        <f>IF(EO194=1,COUNTIFS($EO$4:$EO$503,1,$EP$4:$EP$503,"&gt;"&amp;EP194)+COUNTIFS($EO$4:EO194,1,$EP$4:EP194,EP194),"")</f>
        <v/>
      </c>
      <c r="ER194" t="str">
        <f>IF(EO194=1,COUNTIFS($EN$4:$EN$503,EN194,$EM$4:$EM$503,"Interne",$FE$4:$FE$503,1),"")</f>
        <v/>
      </c>
      <c r="ES194" t="str">
        <f>IF(EO194=1,COUNTIFS($EN$4:$EN$503,EN194,$EM$4:$EM$503,"Externe",$FE$4:$FE$503,1),"")</f>
        <v/>
      </c>
      <c r="ET194" t="str">
        <f>IF(EO194=1,IF(ER194+ES194=0,"à affecter",IF(ER194=0,ES194&amp;" ext.",(ER194+ES194)&amp;IF(ES194&gt;0," dont "&amp;ES194&amp;" ext.",""))&amp;IF(COUNTIFS($EN$4:$EN$503,EN194,$EM$4:$EM$503,"Non affecté")&gt;0," + à affecter","")),"")</f>
        <v/>
      </c>
      <c r="EU194" s="170" t="str">
        <f>IF(EO194=1,IF(EP194&gt;0,SUMPRODUCT(($EN$4:$EN$503=EN194)*$E$4:$E$503*$C$4:$C$503)/EP194,AVERAGEIF($EN$4:$EN$503,EN194,$C$4:$C$503)),"")</f>
        <v/>
      </c>
      <c r="EV194" s="165">
        <f>IF(ISNUMBER(I194),I194,2958465)</f>
        <v>2958465.0</v>
      </c>
      <c r="EW194" s="165" t="str">
        <f>IF(EO194=1,SUMPRODUCT(MIN(($EN$4:$EN$503=EN194)*$EV$4:$EV$503+($EN$4:$EN$503&lt;&gt;EN194)*2958465)),"")</f>
        <v/>
      </c>
      <c r="EX194" s="165">
        <f>IF(AND(D194=1,ISNUMBER(INDEX(Charge!$F:$F,ROW()))),INDEX(Charge!$F:$F,ROW()),0)</f>
        <v>0.0</v>
      </c>
      <c r="EY194" s="165" t="str">
        <f>IF(EO194=1,SUMPRODUCT(MAX(($EN$4:$EN$503=EN194)*$EX$4:$EX$503)),"")</f>
        <v/>
      </c>
      <c r="FA194" t="str">
        <f>IF(191&lt;=$CD$23,INDEX($EJ$4:$EJ$203,191),IF(191-$CD$23&lt;=$CD$26,INDEX($EK$4:$EK$203,191-$CD$23),""))</f>
        <v/>
      </c>
      <c r="FB194" t="str">
        <f>IF(FA194="","",IF(191&lt;=$CD$23,"Interne","Externe"))</f>
        <v/>
      </c>
      <c r="FD194">
        <f>IF(AND(B194=1,TRIM(INDEX(Charge!$K:$K,ROW()))&lt;&gt;"",TRIM(INDEX(Charge!$L:$L,ROW()))&lt;&gt;""),1,0)</f>
        <v>0</v>
      </c>
      <c r="FE194">
        <f>IF(OR(EN194="",BZ194="(non affecté)"),0,IF(COUNTIFS($EN$4:EN194,EN194,$BZ$4:BZ194,BZ194)=1,1,0))</f>
        <v>0</v>
      </c>
    </row>
    <row r="195">
      <c r="A195">
        <f>ROW()</f>
        <v>195</v>
      </c>
      <c r="B195">
        <f>IF(TRIM(INDEX(Charge!$B:$B,ROW()))&lt;&gt;"",1,0)</f>
        <v>0</v>
      </c>
      <c r="C195">
        <f>IF(B195=1,MIN(1,MAX(0,N(INDEX(Charge!$O:$O,ROW())))),0)</f>
        <v>0</v>
      </c>
      <c r="D195">
        <f>IF(B195=1,IF(OR(p_Perimetre="Tous les projets",C195&lt;1),1,0),0)</f>
        <v>0</v>
      </c>
      <c r="E195">
        <f>IF(D195=1,MAX(0,N(INDEX(Charge!$M:$M,ROW()))),0)</f>
        <v>0</v>
      </c>
      <c r="F195" t="str">
        <f>IF(D195=1,IF(TRIM(INDEX(Charge!$A:$A,ROW()))="","(non renseigné)",TRIM(INDEX(Charge!$A:$A,ROW()))),"")</f>
        <v/>
      </c>
      <c r="G195" t="str">
        <f>IF(D195=1,TRIM(INDEX(Charge!$B:$B,ROW())),"")</f>
        <v/>
      </c>
      <c r="H195" t="str">
        <f>IF(D195=1,IF(TRIM(INDEX(Charge!$E:$E,ROW()))="","(non renseigné)",TRIM(INDEX(Charge!$E:$E,ROW()))),"")</f>
        <v/>
      </c>
      <c r="I195" s="165" t="str">
        <f>IF(AND(D195=1,ISNUMBER(INDEX(Charge!$N:$N,ROW()))),INDEX(Charge!$N:$N,ROW()),"")</f>
        <v/>
      </c>
      <c r="J195" s="165" t="str">
        <f>IF(I195="","",IF(AND(p_Repartition="Lissée jusqu'à la date de besoin",ISNUMBER(INDEX(Charge!$F:$F,ROW()))),IF(INDEX(Charge!$F:$F,ROW())&gt;=I195,INDEX(Charge!$F:$F,ROW()),I195),I195))</f>
        <v/>
      </c>
      <c r="K195" t="str">
        <f>IF(I195="","",NETWORKDAYS(I195,J195,Data!$K$4:$K$203))</f>
        <v/>
      </c>
      <c r="L195" t="str">
        <f>IF(D195=1,COUNTIFS($D$4:$D$503,1,$E$4:$E$503,"&gt;"&amp;E195)+COUNTIFS($D$4:$D195,1,$E$4:$E195,E195),"")</f>
        <v/>
      </c>
      <c r="M195">
        <f>IF(F195="",0,IF(COUNTIF($F$4:F195,F195)=1,1,0))</f>
        <v>0</v>
      </c>
      <c r="N195" t="str">
        <f>IF(M195=1,ROUND(SUMIF($F$4:$F$503,F195,$E$4:$E$503),2),"")</f>
        <v/>
      </c>
      <c r="O195" t="str">
        <f>IF(M195=1,COUNTIFS($M$4:$M$503,1,$N$4:$N$503,"&gt;"&amp;N195)+COUNTIFS($M$4:M195,1,$N$4:N195,N195),"")</f>
        <v/>
      </c>
      <c r="P195">
        <f>IF(G195="",0,IF(COUNTIF($G$4:G195,G195)=1,1,0))</f>
        <v>0</v>
      </c>
      <c r="Q195" t="str">
        <f>IF(P195=1,ROUND(SUMIF($G$4:$G$503,G195,$E$4:$E$503),2),"")</f>
        <v/>
      </c>
      <c r="R195" t="str">
        <f>IF(P195=1,COUNTIFS($P$4:$P$503,1,$Q$4:$Q$503,"&gt;"&amp;Q195)+COUNTIFS($P$4:P195,1,$Q$4:Q195,Q195),"")</f>
        <v/>
      </c>
      <c r="S195">
        <f>IF(H195="",0,IF(COUNTIF($H$4:H195,H195)=1,1,0))</f>
        <v>0</v>
      </c>
      <c r="T195" t="str">
        <f>IF(S195=1,ROUND(SUMIF($H$4:$H$503,H195,$E$4:$E$503),2),"")</f>
        <v/>
      </c>
      <c r="U195" t="str">
        <f>IF(S195=1,COUNTIFS($S$4:$S$503,1,$T$4:$T$503,"&gt;"&amp;T195)+COUNTIFS($S$4:S195,1,$T$4:T195,T195),"")</f>
        <v/>
      </c>
      <c r="V195" t="str">
        <f>IF(D195=1,MIN(INDEX($R$4:$R$503,MATCH(G195,$G$4:$G$503,0)),IF($AL$7&gt;9,9,999)),"")</f>
        <v/>
      </c>
      <c r="W195" s="166">
        <f>IF(OR($I195="",$E195=0),0,IF(OR($J195&lt;W$3,$I195&gt;W$2),0,IF($K195=0,IF(AND($I195&gt;=W$3,$I195&lt;=W$2),$E195,0),$E195*NETWORKDAYS(MAX($I195,W$3),MIN($J195,W$2),Data!$K$4:$K$203)/$K195)))</f>
        <v>0</v>
      </c>
      <c r="X195" s="166">
        <f>IF(OR($I195="",$E195=0),0,IF(OR($J195&lt;X$3,$I195&gt;X$2),0,IF($K195=0,IF(AND($I195&gt;=X$3,$I195&lt;=X$2),$E195,0),$E195*NETWORKDAYS(MAX($I195,X$3),MIN($J195,X$2),Data!$K$4:$K$203)/$K195)))</f>
        <v>0</v>
      </c>
      <c r="Y195" s="166">
        <f>IF(OR($I195="",$E195=0),0,IF(OR($J195&lt;Y$3,$I195&gt;Y$2),0,IF($K195=0,IF(AND($I195&gt;=Y$3,$I195&lt;=Y$2),$E195,0),$E195*NETWORKDAYS(MAX($I195,Y$3),MIN($J195,Y$2),Data!$K$4:$K$203)/$K195)))</f>
        <v>0</v>
      </c>
      <c r="Z195" s="166">
        <f>IF(OR($I195="",$E195=0),0,IF(OR($J195&lt;Z$3,$I195&gt;Z$2),0,IF($K195=0,IF(AND($I195&gt;=Z$3,$I195&lt;=Z$2),$E195,0),$E195*NETWORKDAYS(MAX($I195,Z$3),MIN($J195,Z$2),Data!$K$4:$K$203)/$K195)))</f>
        <v>0</v>
      </c>
      <c r="AA195" s="166">
        <f>IF(OR($I195="",$E195=0),0,IF(OR($J195&lt;AA$3,$I195&gt;AA$2),0,IF($K195=0,IF(AND($I195&gt;=AA$3,$I195&lt;=AA$2),$E195,0),$E195*NETWORKDAYS(MAX($I195,AA$3),MIN($J195,AA$2),Data!$K$4:$K$203)/$K195)))</f>
        <v>0</v>
      </c>
      <c r="AB195" s="166">
        <f>IF(OR($I195="",$E195=0),0,IF(OR($J195&lt;AB$3,$I195&gt;AB$2),0,IF($K195=0,IF(AND($I195&gt;=AB$3,$I195&lt;=AB$2),$E195,0),$E195*NETWORKDAYS(MAX($I195,AB$3),MIN($J195,AB$2),Data!$K$4:$K$203)/$K195)))</f>
        <v>0</v>
      </c>
      <c r="AC195" s="166">
        <f>IF(OR($I195="",$E195=0),0,IF(OR($J195&lt;AC$3,$I195&gt;AC$2),0,IF($K195=0,IF(AND($I195&gt;=AC$3,$I195&lt;=AC$2),$E195,0),$E195*NETWORKDAYS(MAX($I195,AC$3),MIN($J195,AC$2),Data!$K$4:$K$203)/$K195)))</f>
        <v>0</v>
      </c>
      <c r="AD195" s="166">
        <f>IF(OR($I195="",$E195=0),0,IF(OR($J195&lt;AD$3,$I195&gt;AD$2),0,IF($K195=0,IF(AND($I195&gt;=AD$3,$I195&lt;=AD$2),$E195,0),$E195*NETWORKDAYS(MAX($I195,AD$3),MIN($J195,AD$2),Data!$K$4:$K$203)/$K195)))</f>
        <v>0</v>
      </c>
      <c r="AE195" s="166">
        <f>IF(OR($I195="",$E195=0),0,IF(OR($J195&lt;AE$3,$I195&gt;AE$2),0,IF($K195=0,IF(AND($I195&gt;=AE$3,$I195&lt;=AE$2),$E195,0),$E195*NETWORKDAYS(MAX($I195,AE$3),MIN($J195,AE$2),Data!$K$4:$K$203)/$K195)))</f>
        <v>0</v>
      </c>
      <c r="AF195" s="166">
        <f>IF(OR($I195="",$E195=0),0,IF(OR($J195&lt;AF$3,$I195&gt;AF$2),0,IF($K195=0,IF(AND($I195&gt;=AF$3,$I195&lt;=AF$2),$E195,0),$E195*NETWORKDAYS(MAX($I195,AF$3),MIN($J195,AF$2),Data!$K$4:$K$203)/$K195)))</f>
        <v>0</v>
      </c>
      <c r="AG195" s="166">
        <f>IF(OR($I195="",$E195=0),0,IF(OR($J195&lt;AG$3,$I195&gt;AG$2),0,IF($K195=0,IF(AND($I195&gt;=AG$3,$I195&lt;=AG$2),$E195,0),$E195*NETWORKDAYS(MAX($I195,AG$3),MIN($J195,AG$2),Data!$K$4:$K$203)/$K195)))</f>
        <v>0</v>
      </c>
      <c r="AH195" s="166">
        <f>IF(OR($I195="",$E195=0),0,IF(OR($J195&lt;AH$3,$I195&gt;AH$2),0,IF($K195=0,IF(AND($I195&gt;=AH$3,$I195&lt;=AH$2),$E195,0),$E195*NETWORKDAYS(MAX($I195,AH$3),MIN($J195,AH$2),Data!$K$4:$K$203)/$K195)))</f>
        <v>0</v>
      </c>
      <c r="AI195" s="166">
        <f>SUM(W195:AH195)</f>
        <v>0</v>
      </c>
      <c r="BZ195" t="str">
        <f>IF(D195=1,IF(TRIM(INDEX(Charge!$K:$K,ROW()))&lt;&gt;"",TRIM(INDEX(Charge!$K:$K,ROW())),IF(TRIM(INDEX(Charge!$L:$L,ROW()))&lt;&gt;"",TRIM(INDEX(Charge!$L:$L,ROW())),"(non affecté)")),"")</f>
        <v/>
      </c>
      <c r="CA195" t="str">
        <f>IF(AND($CD$4&lt;&gt;"",BZ195=$CD$4),COUNTIFS($BZ$4:$BZ$503,$CD$4,$L$4:$L$503,"&lt;"&amp;L195)+1,"")</f>
        <v/>
      </c>
      <c r="EJ195" t="str">
        <f>TRIM(INDEX(Data!$E:$E,ROW()))</f>
        <v/>
      </c>
      <c r="EK195" t="str">
        <f>TRIM(INDEX(Data!$H:$H,ROW()))</f>
        <v/>
      </c>
      <c r="EM195" t="str">
        <f>IF(D195=1,IF(TRIM(INDEX(Charge!$K:$K,ROW()))&lt;&gt;"","Interne",IF(TRIM(INDEX(Charge!$L:$L,ROW()))&lt;&gt;"","Externe","Non affecté")),"")</f>
        <v/>
      </c>
      <c r="EN195" t="str">
        <f>IF(D195=1,LEFT(SUBSTITUTE(SUBSTITUTE(SUBSTITUTE(TRIM(SUBSTITUTE(INDEX(Charge!$B:$B,ROW()),CHAR(160)," "))&amp;" | "&amp;TRIM(SUBSTITUTE(INDEX(Charge!$C:$C,ROW()),CHAR(160)," "))&amp;" | "&amp;TRIM(SUBSTITUTE(INDEX(Charge!$D:$D,ROW()),CHAR(160)," ")),"~","-"),"*","+"),"?","!"),240),"")</f>
        <v/>
      </c>
      <c r="EO195">
        <f>IF(EN195="",0,IF(COUNTIF($EN$4:EN195,EN195)=1,1,0))</f>
        <v>0</v>
      </c>
      <c r="EP195" s="166" t="str">
        <f>IF(EO195=1,ROUND(SUMIF($EN$4:$EN$503,EN195,$E$4:$E$503),2),"")</f>
        <v/>
      </c>
      <c r="EQ195" t="str">
        <f>IF(EO195=1,COUNTIFS($EO$4:$EO$503,1,$EP$4:$EP$503,"&gt;"&amp;EP195)+COUNTIFS($EO$4:EO195,1,$EP$4:EP195,EP195),"")</f>
        <v/>
      </c>
      <c r="ER195" t="str">
        <f>IF(EO195=1,COUNTIFS($EN$4:$EN$503,EN195,$EM$4:$EM$503,"Interne",$FE$4:$FE$503,1),"")</f>
        <v/>
      </c>
      <c r="ES195" t="str">
        <f>IF(EO195=1,COUNTIFS($EN$4:$EN$503,EN195,$EM$4:$EM$503,"Externe",$FE$4:$FE$503,1),"")</f>
        <v/>
      </c>
      <c r="ET195" t="str">
        <f>IF(EO195=1,IF(ER195+ES195=0,"à affecter",IF(ER195=0,ES195&amp;" ext.",(ER195+ES195)&amp;IF(ES195&gt;0," dont "&amp;ES195&amp;" ext.",""))&amp;IF(COUNTIFS($EN$4:$EN$503,EN195,$EM$4:$EM$503,"Non affecté")&gt;0," + à affecter","")),"")</f>
        <v/>
      </c>
      <c r="EU195" s="170" t="str">
        <f>IF(EO195=1,IF(EP195&gt;0,SUMPRODUCT(($EN$4:$EN$503=EN195)*$E$4:$E$503*$C$4:$C$503)/EP195,AVERAGEIF($EN$4:$EN$503,EN195,$C$4:$C$503)),"")</f>
        <v/>
      </c>
      <c r="EV195" s="165">
        <f>IF(ISNUMBER(I195),I195,2958465)</f>
        <v>2958465.0</v>
      </c>
      <c r="EW195" s="165" t="str">
        <f>IF(EO195=1,SUMPRODUCT(MIN(($EN$4:$EN$503=EN195)*$EV$4:$EV$503+($EN$4:$EN$503&lt;&gt;EN195)*2958465)),"")</f>
        <v/>
      </c>
      <c r="EX195" s="165">
        <f>IF(AND(D195=1,ISNUMBER(INDEX(Charge!$F:$F,ROW()))),INDEX(Charge!$F:$F,ROW()),0)</f>
        <v>0.0</v>
      </c>
      <c r="EY195" s="165" t="str">
        <f>IF(EO195=1,SUMPRODUCT(MAX(($EN$4:$EN$503=EN195)*$EX$4:$EX$503)),"")</f>
        <v/>
      </c>
      <c r="FA195" t="str">
        <f>IF(192&lt;=$CD$23,INDEX($EJ$4:$EJ$203,192),IF(192-$CD$23&lt;=$CD$26,INDEX($EK$4:$EK$203,192-$CD$23),""))</f>
        <v/>
      </c>
      <c r="FB195" t="str">
        <f>IF(FA195="","",IF(192&lt;=$CD$23,"Interne","Externe"))</f>
        <v/>
      </c>
      <c r="FD195">
        <f>IF(AND(B195=1,TRIM(INDEX(Charge!$K:$K,ROW()))&lt;&gt;"",TRIM(INDEX(Charge!$L:$L,ROW()))&lt;&gt;""),1,0)</f>
        <v>0</v>
      </c>
      <c r="FE195">
        <f>IF(OR(EN195="",BZ195="(non affecté)"),0,IF(COUNTIFS($EN$4:EN195,EN195,$BZ$4:BZ195,BZ195)=1,1,0))</f>
        <v>0</v>
      </c>
    </row>
    <row r="196">
      <c r="A196">
        <f>ROW()</f>
        <v>196</v>
      </c>
      <c r="B196">
        <f>IF(TRIM(INDEX(Charge!$B:$B,ROW()))&lt;&gt;"",1,0)</f>
        <v>0</v>
      </c>
      <c r="C196">
        <f>IF(B196=1,MIN(1,MAX(0,N(INDEX(Charge!$O:$O,ROW())))),0)</f>
        <v>0</v>
      </c>
      <c r="D196">
        <f>IF(B196=1,IF(OR(p_Perimetre="Tous les projets",C196&lt;1),1,0),0)</f>
        <v>0</v>
      </c>
      <c r="E196">
        <f>IF(D196=1,MAX(0,N(INDEX(Charge!$M:$M,ROW()))),0)</f>
        <v>0</v>
      </c>
      <c r="F196" t="str">
        <f>IF(D196=1,IF(TRIM(INDEX(Charge!$A:$A,ROW()))="","(non renseigné)",TRIM(INDEX(Charge!$A:$A,ROW()))),"")</f>
        <v/>
      </c>
      <c r="G196" t="str">
        <f>IF(D196=1,TRIM(INDEX(Charge!$B:$B,ROW())),"")</f>
        <v/>
      </c>
      <c r="H196" t="str">
        <f>IF(D196=1,IF(TRIM(INDEX(Charge!$E:$E,ROW()))="","(non renseigné)",TRIM(INDEX(Charge!$E:$E,ROW()))),"")</f>
        <v/>
      </c>
      <c r="I196" s="165" t="str">
        <f>IF(AND(D196=1,ISNUMBER(INDEX(Charge!$N:$N,ROW()))),INDEX(Charge!$N:$N,ROW()),"")</f>
        <v/>
      </c>
      <c r="J196" s="165" t="str">
        <f>IF(I196="","",IF(AND(p_Repartition="Lissée jusqu'à la date de besoin",ISNUMBER(INDEX(Charge!$F:$F,ROW()))),IF(INDEX(Charge!$F:$F,ROW())&gt;=I196,INDEX(Charge!$F:$F,ROW()),I196),I196))</f>
        <v/>
      </c>
      <c r="K196" t="str">
        <f>IF(I196="","",NETWORKDAYS(I196,J196,Data!$K$4:$K$203))</f>
        <v/>
      </c>
      <c r="L196" t="str">
        <f>IF(D196=1,COUNTIFS($D$4:$D$503,1,$E$4:$E$503,"&gt;"&amp;E196)+COUNTIFS($D$4:$D196,1,$E$4:$E196,E196),"")</f>
        <v/>
      </c>
      <c r="M196">
        <f>IF(F196="",0,IF(COUNTIF($F$4:F196,F196)=1,1,0))</f>
        <v>0</v>
      </c>
      <c r="N196" t="str">
        <f>IF(M196=1,ROUND(SUMIF($F$4:$F$503,F196,$E$4:$E$503),2),"")</f>
        <v/>
      </c>
      <c r="O196" t="str">
        <f>IF(M196=1,COUNTIFS($M$4:$M$503,1,$N$4:$N$503,"&gt;"&amp;N196)+COUNTIFS($M$4:M196,1,$N$4:N196,N196),"")</f>
        <v/>
      </c>
      <c r="P196">
        <f>IF(G196="",0,IF(COUNTIF($G$4:G196,G196)=1,1,0))</f>
        <v>0</v>
      </c>
      <c r="Q196" t="str">
        <f>IF(P196=1,ROUND(SUMIF($G$4:$G$503,G196,$E$4:$E$503),2),"")</f>
        <v/>
      </c>
      <c r="R196" t="str">
        <f>IF(P196=1,COUNTIFS($P$4:$P$503,1,$Q$4:$Q$503,"&gt;"&amp;Q196)+COUNTIFS($P$4:P196,1,$Q$4:Q196,Q196),"")</f>
        <v/>
      </c>
      <c r="S196">
        <f>IF(H196="",0,IF(COUNTIF($H$4:H196,H196)=1,1,0))</f>
        <v>0</v>
      </c>
      <c r="T196" t="str">
        <f>IF(S196=1,ROUND(SUMIF($H$4:$H$503,H196,$E$4:$E$503),2),"")</f>
        <v/>
      </c>
      <c r="U196" t="str">
        <f>IF(S196=1,COUNTIFS($S$4:$S$503,1,$T$4:$T$503,"&gt;"&amp;T196)+COUNTIFS($S$4:S196,1,$T$4:T196,T196),"")</f>
        <v/>
      </c>
      <c r="V196" t="str">
        <f>IF(D196=1,MIN(INDEX($R$4:$R$503,MATCH(G196,$G$4:$G$503,0)),IF($AL$7&gt;9,9,999)),"")</f>
        <v/>
      </c>
      <c r="W196" s="166">
        <f>IF(OR($I196="",$E196=0),0,IF(OR($J196&lt;W$3,$I196&gt;W$2),0,IF($K196=0,IF(AND($I196&gt;=W$3,$I196&lt;=W$2),$E196,0),$E196*NETWORKDAYS(MAX($I196,W$3),MIN($J196,W$2),Data!$K$4:$K$203)/$K196)))</f>
        <v>0</v>
      </c>
      <c r="X196" s="166">
        <f>IF(OR($I196="",$E196=0),0,IF(OR($J196&lt;X$3,$I196&gt;X$2),0,IF($K196=0,IF(AND($I196&gt;=X$3,$I196&lt;=X$2),$E196,0),$E196*NETWORKDAYS(MAX($I196,X$3),MIN($J196,X$2),Data!$K$4:$K$203)/$K196)))</f>
        <v>0</v>
      </c>
      <c r="Y196" s="166">
        <f>IF(OR($I196="",$E196=0),0,IF(OR($J196&lt;Y$3,$I196&gt;Y$2),0,IF($K196=0,IF(AND($I196&gt;=Y$3,$I196&lt;=Y$2),$E196,0),$E196*NETWORKDAYS(MAX($I196,Y$3),MIN($J196,Y$2),Data!$K$4:$K$203)/$K196)))</f>
        <v>0</v>
      </c>
      <c r="Z196" s="166">
        <f>IF(OR($I196="",$E196=0),0,IF(OR($J196&lt;Z$3,$I196&gt;Z$2),0,IF($K196=0,IF(AND($I196&gt;=Z$3,$I196&lt;=Z$2),$E196,0),$E196*NETWORKDAYS(MAX($I196,Z$3),MIN($J196,Z$2),Data!$K$4:$K$203)/$K196)))</f>
        <v>0</v>
      </c>
      <c r="AA196" s="166">
        <f>IF(OR($I196="",$E196=0),0,IF(OR($J196&lt;AA$3,$I196&gt;AA$2),0,IF($K196=0,IF(AND($I196&gt;=AA$3,$I196&lt;=AA$2),$E196,0),$E196*NETWORKDAYS(MAX($I196,AA$3),MIN($J196,AA$2),Data!$K$4:$K$203)/$K196)))</f>
        <v>0</v>
      </c>
      <c r="AB196" s="166">
        <f>IF(OR($I196="",$E196=0),0,IF(OR($J196&lt;AB$3,$I196&gt;AB$2),0,IF($K196=0,IF(AND($I196&gt;=AB$3,$I196&lt;=AB$2),$E196,0),$E196*NETWORKDAYS(MAX($I196,AB$3),MIN($J196,AB$2),Data!$K$4:$K$203)/$K196)))</f>
        <v>0</v>
      </c>
      <c r="AC196" s="166">
        <f>IF(OR($I196="",$E196=0),0,IF(OR($J196&lt;AC$3,$I196&gt;AC$2),0,IF($K196=0,IF(AND($I196&gt;=AC$3,$I196&lt;=AC$2),$E196,0),$E196*NETWORKDAYS(MAX($I196,AC$3),MIN($J196,AC$2),Data!$K$4:$K$203)/$K196)))</f>
        <v>0</v>
      </c>
      <c r="AD196" s="166">
        <f>IF(OR($I196="",$E196=0),0,IF(OR($J196&lt;AD$3,$I196&gt;AD$2),0,IF($K196=0,IF(AND($I196&gt;=AD$3,$I196&lt;=AD$2),$E196,0),$E196*NETWORKDAYS(MAX($I196,AD$3),MIN($J196,AD$2),Data!$K$4:$K$203)/$K196)))</f>
        <v>0</v>
      </c>
      <c r="AE196" s="166">
        <f>IF(OR($I196="",$E196=0),0,IF(OR($J196&lt;AE$3,$I196&gt;AE$2),0,IF($K196=0,IF(AND($I196&gt;=AE$3,$I196&lt;=AE$2),$E196,0),$E196*NETWORKDAYS(MAX($I196,AE$3),MIN($J196,AE$2),Data!$K$4:$K$203)/$K196)))</f>
        <v>0</v>
      </c>
      <c r="AF196" s="166">
        <f>IF(OR($I196="",$E196=0),0,IF(OR($J196&lt;AF$3,$I196&gt;AF$2),0,IF($K196=0,IF(AND($I196&gt;=AF$3,$I196&lt;=AF$2),$E196,0),$E196*NETWORKDAYS(MAX($I196,AF$3),MIN($J196,AF$2),Data!$K$4:$K$203)/$K196)))</f>
        <v>0</v>
      </c>
      <c r="AG196" s="166">
        <f>IF(OR($I196="",$E196=0),0,IF(OR($J196&lt;AG$3,$I196&gt;AG$2),0,IF($K196=0,IF(AND($I196&gt;=AG$3,$I196&lt;=AG$2),$E196,0),$E196*NETWORKDAYS(MAX($I196,AG$3),MIN($J196,AG$2),Data!$K$4:$K$203)/$K196)))</f>
        <v>0</v>
      </c>
      <c r="AH196" s="166">
        <f>IF(OR($I196="",$E196=0),0,IF(OR($J196&lt;AH$3,$I196&gt;AH$2),0,IF($K196=0,IF(AND($I196&gt;=AH$3,$I196&lt;=AH$2),$E196,0),$E196*NETWORKDAYS(MAX($I196,AH$3),MIN($J196,AH$2),Data!$K$4:$K$203)/$K196)))</f>
        <v>0</v>
      </c>
      <c r="AI196" s="166">
        <f>SUM(W196:AH196)</f>
        <v>0</v>
      </c>
      <c r="BZ196" t="str">
        <f>IF(D196=1,IF(TRIM(INDEX(Charge!$K:$K,ROW()))&lt;&gt;"",TRIM(INDEX(Charge!$K:$K,ROW())),IF(TRIM(INDEX(Charge!$L:$L,ROW()))&lt;&gt;"",TRIM(INDEX(Charge!$L:$L,ROW())),"(non affecté)")),"")</f>
        <v/>
      </c>
      <c r="CA196" t="str">
        <f>IF(AND($CD$4&lt;&gt;"",BZ196=$CD$4),COUNTIFS($BZ$4:$BZ$503,$CD$4,$L$4:$L$503,"&lt;"&amp;L196)+1,"")</f>
        <v/>
      </c>
      <c r="EJ196" t="str">
        <f>TRIM(INDEX(Data!$E:$E,ROW()))</f>
        <v/>
      </c>
      <c r="EK196" t="str">
        <f>TRIM(INDEX(Data!$H:$H,ROW()))</f>
        <v/>
      </c>
      <c r="EM196" t="str">
        <f>IF(D196=1,IF(TRIM(INDEX(Charge!$K:$K,ROW()))&lt;&gt;"","Interne",IF(TRIM(INDEX(Charge!$L:$L,ROW()))&lt;&gt;"","Externe","Non affecté")),"")</f>
        <v/>
      </c>
      <c r="EN196" t="str">
        <f>IF(D196=1,LEFT(SUBSTITUTE(SUBSTITUTE(SUBSTITUTE(TRIM(SUBSTITUTE(INDEX(Charge!$B:$B,ROW()),CHAR(160)," "))&amp;" | "&amp;TRIM(SUBSTITUTE(INDEX(Charge!$C:$C,ROW()),CHAR(160)," "))&amp;" | "&amp;TRIM(SUBSTITUTE(INDEX(Charge!$D:$D,ROW()),CHAR(160)," ")),"~","-"),"*","+"),"?","!"),240),"")</f>
        <v/>
      </c>
      <c r="EO196">
        <f>IF(EN196="",0,IF(COUNTIF($EN$4:EN196,EN196)=1,1,0))</f>
        <v>0</v>
      </c>
      <c r="EP196" s="166" t="str">
        <f>IF(EO196=1,ROUND(SUMIF($EN$4:$EN$503,EN196,$E$4:$E$503),2),"")</f>
        <v/>
      </c>
      <c r="EQ196" t="str">
        <f>IF(EO196=1,COUNTIFS($EO$4:$EO$503,1,$EP$4:$EP$503,"&gt;"&amp;EP196)+COUNTIFS($EO$4:EO196,1,$EP$4:EP196,EP196),"")</f>
        <v/>
      </c>
      <c r="ER196" t="str">
        <f>IF(EO196=1,COUNTIFS($EN$4:$EN$503,EN196,$EM$4:$EM$503,"Interne",$FE$4:$FE$503,1),"")</f>
        <v/>
      </c>
      <c r="ES196" t="str">
        <f>IF(EO196=1,COUNTIFS($EN$4:$EN$503,EN196,$EM$4:$EM$503,"Externe",$FE$4:$FE$503,1),"")</f>
        <v/>
      </c>
      <c r="ET196" t="str">
        <f>IF(EO196=1,IF(ER196+ES196=0,"à affecter",IF(ER196=0,ES196&amp;" ext.",(ER196+ES196)&amp;IF(ES196&gt;0," dont "&amp;ES196&amp;" ext.",""))&amp;IF(COUNTIFS($EN$4:$EN$503,EN196,$EM$4:$EM$503,"Non affecté")&gt;0," + à affecter","")),"")</f>
        <v/>
      </c>
      <c r="EU196" s="170" t="str">
        <f>IF(EO196=1,IF(EP196&gt;0,SUMPRODUCT(($EN$4:$EN$503=EN196)*$E$4:$E$503*$C$4:$C$503)/EP196,AVERAGEIF($EN$4:$EN$503,EN196,$C$4:$C$503)),"")</f>
        <v/>
      </c>
      <c r="EV196" s="165">
        <f>IF(ISNUMBER(I196),I196,2958465)</f>
        <v>2958465.0</v>
      </c>
      <c r="EW196" s="165" t="str">
        <f>IF(EO196=1,SUMPRODUCT(MIN(($EN$4:$EN$503=EN196)*$EV$4:$EV$503+($EN$4:$EN$503&lt;&gt;EN196)*2958465)),"")</f>
        <v/>
      </c>
      <c r="EX196" s="165">
        <f>IF(AND(D196=1,ISNUMBER(INDEX(Charge!$F:$F,ROW()))),INDEX(Charge!$F:$F,ROW()),0)</f>
        <v>0.0</v>
      </c>
      <c r="EY196" s="165" t="str">
        <f>IF(EO196=1,SUMPRODUCT(MAX(($EN$4:$EN$503=EN196)*$EX$4:$EX$503)),"")</f>
        <v/>
      </c>
      <c r="FA196" t="str">
        <f>IF(193&lt;=$CD$23,INDEX($EJ$4:$EJ$203,193),IF(193-$CD$23&lt;=$CD$26,INDEX($EK$4:$EK$203,193-$CD$23),""))</f>
        <v/>
      </c>
      <c r="FB196" t="str">
        <f>IF(FA196="","",IF(193&lt;=$CD$23,"Interne","Externe"))</f>
        <v/>
      </c>
      <c r="FD196">
        <f>IF(AND(B196=1,TRIM(INDEX(Charge!$K:$K,ROW()))&lt;&gt;"",TRIM(INDEX(Charge!$L:$L,ROW()))&lt;&gt;""),1,0)</f>
        <v>0</v>
      </c>
      <c r="FE196">
        <f>IF(OR(EN196="",BZ196="(non affecté)"),0,IF(COUNTIFS($EN$4:EN196,EN196,$BZ$4:BZ196,BZ196)=1,1,0))</f>
        <v>0</v>
      </c>
    </row>
    <row r="197">
      <c r="A197">
        <f>ROW()</f>
        <v>197</v>
      </c>
      <c r="B197">
        <f>IF(TRIM(INDEX(Charge!$B:$B,ROW()))&lt;&gt;"",1,0)</f>
        <v>0</v>
      </c>
      <c r="C197">
        <f>IF(B197=1,MIN(1,MAX(0,N(INDEX(Charge!$O:$O,ROW())))),0)</f>
        <v>0</v>
      </c>
      <c r="D197">
        <f>IF(B197=1,IF(OR(p_Perimetre="Tous les projets",C197&lt;1),1,0),0)</f>
        <v>0</v>
      </c>
      <c r="E197">
        <f>IF(D197=1,MAX(0,N(INDEX(Charge!$M:$M,ROW()))),0)</f>
        <v>0</v>
      </c>
      <c r="F197" t="str">
        <f>IF(D197=1,IF(TRIM(INDEX(Charge!$A:$A,ROW()))="","(non renseigné)",TRIM(INDEX(Charge!$A:$A,ROW()))),"")</f>
        <v/>
      </c>
      <c r="G197" t="str">
        <f>IF(D197=1,TRIM(INDEX(Charge!$B:$B,ROW())),"")</f>
        <v/>
      </c>
      <c r="H197" t="str">
        <f>IF(D197=1,IF(TRIM(INDEX(Charge!$E:$E,ROW()))="","(non renseigné)",TRIM(INDEX(Charge!$E:$E,ROW()))),"")</f>
        <v/>
      </c>
      <c r="I197" s="165" t="str">
        <f>IF(AND(D197=1,ISNUMBER(INDEX(Charge!$N:$N,ROW()))),INDEX(Charge!$N:$N,ROW()),"")</f>
        <v/>
      </c>
      <c r="J197" s="165" t="str">
        <f>IF(I197="","",IF(AND(p_Repartition="Lissée jusqu'à la date de besoin",ISNUMBER(INDEX(Charge!$F:$F,ROW()))),IF(INDEX(Charge!$F:$F,ROW())&gt;=I197,INDEX(Charge!$F:$F,ROW()),I197),I197))</f>
        <v/>
      </c>
      <c r="K197" t="str">
        <f>IF(I197="","",NETWORKDAYS(I197,J197,Data!$K$4:$K$203))</f>
        <v/>
      </c>
      <c r="L197" t="str">
        <f>IF(D197=1,COUNTIFS($D$4:$D$503,1,$E$4:$E$503,"&gt;"&amp;E197)+COUNTIFS($D$4:$D197,1,$E$4:$E197,E197),"")</f>
        <v/>
      </c>
      <c r="M197">
        <f>IF(F197="",0,IF(COUNTIF($F$4:F197,F197)=1,1,0))</f>
        <v>0</v>
      </c>
      <c r="N197" t="str">
        <f>IF(M197=1,ROUND(SUMIF($F$4:$F$503,F197,$E$4:$E$503),2),"")</f>
        <v/>
      </c>
      <c r="O197" t="str">
        <f>IF(M197=1,COUNTIFS($M$4:$M$503,1,$N$4:$N$503,"&gt;"&amp;N197)+COUNTIFS($M$4:M197,1,$N$4:N197,N197),"")</f>
        <v/>
      </c>
      <c r="P197">
        <f>IF(G197="",0,IF(COUNTIF($G$4:G197,G197)=1,1,0))</f>
        <v>0</v>
      </c>
      <c r="Q197" t="str">
        <f>IF(P197=1,ROUND(SUMIF($G$4:$G$503,G197,$E$4:$E$503),2),"")</f>
        <v/>
      </c>
      <c r="R197" t="str">
        <f>IF(P197=1,COUNTIFS($P$4:$P$503,1,$Q$4:$Q$503,"&gt;"&amp;Q197)+COUNTIFS($P$4:P197,1,$Q$4:Q197,Q197),"")</f>
        <v/>
      </c>
      <c r="S197">
        <f>IF(H197="",0,IF(COUNTIF($H$4:H197,H197)=1,1,0))</f>
        <v>0</v>
      </c>
      <c r="T197" t="str">
        <f>IF(S197=1,ROUND(SUMIF($H$4:$H$503,H197,$E$4:$E$503),2),"")</f>
        <v/>
      </c>
      <c r="U197" t="str">
        <f>IF(S197=1,COUNTIFS($S$4:$S$503,1,$T$4:$T$503,"&gt;"&amp;T197)+COUNTIFS($S$4:S197,1,$T$4:T197,T197),"")</f>
        <v/>
      </c>
      <c r="V197" t="str">
        <f>IF(D197=1,MIN(INDEX($R$4:$R$503,MATCH(G197,$G$4:$G$503,0)),IF($AL$7&gt;9,9,999)),"")</f>
        <v/>
      </c>
      <c r="W197" s="166">
        <f>IF(OR($I197="",$E197=0),0,IF(OR($J197&lt;W$3,$I197&gt;W$2),0,IF($K197=0,IF(AND($I197&gt;=W$3,$I197&lt;=W$2),$E197,0),$E197*NETWORKDAYS(MAX($I197,W$3),MIN($J197,W$2),Data!$K$4:$K$203)/$K197)))</f>
        <v>0</v>
      </c>
      <c r="X197" s="166">
        <f>IF(OR($I197="",$E197=0),0,IF(OR($J197&lt;X$3,$I197&gt;X$2),0,IF($K197=0,IF(AND($I197&gt;=X$3,$I197&lt;=X$2),$E197,0),$E197*NETWORKDAYS(MAX($I197,X$3),MIN($J197,X$2),Data!$K$4:$K$203)/$K197)))</f>
        <v>0</v>
      </c>
      <c r="Y197" s="166">
        <f>IF(OR($I197="",$E197=0),0,IF(OR($J197&lt;Y$3,$I197&gt;Y$2),0,IF($K197=0,IF(AND($I197&gt;=Y$3,$I197&lt;=Y$2),$E197,0),$E197*NETWORKDAYS(MAX($I197,Y$3),MIN($J197,Y$2),Data!$K$4:$K$203)/$K197)))</f>
        <v>0</v>
      </c>
      <c r="Z197" s="166">
        <f>IF(OR($I197="",$E197=0),0,IF(OR($J197&lt;Z$3,$I197&gt;Z$2),0,IF($K197=0,IF(AND($I197&gt;=Z$3,$I197&lt;=Z$2),$E197,0),$E197*NETWORKDAYS(MAX($I197,Z$3),MIN($J197,Z$2),Data!$K$4:$K$203)/$K197)))</f>
        <v>0</v>
      </c>
      <c r="AA197" s="166">
        <f>IF(OR($I197="",$E197=0),0,IF(OR($J197&lt;AA$3,$I197&gt;AA$2),0,IF($K197=0,IF(AND($I197&gt;=AA$3,$I197&lt;=AA$2),$E197,0),$E197*NETWORKDAYS(MAX($I197,AA$3),MIN($J197,AA$2),Data!$K$4:$K$203)/$K197)))</f>
        <v>0</v>
      </c>
      <c r="AB197" s="166">
        <f>IF(OR($I197="",$E197=0),0,IF(OR($J197&lt;AB$3,$I197&gt;AB$2),0,IF($K197=0,IF(AND($I197&gt;=AB$3,$I197&lt;=AB$2),$E197,0),$E197*NETWORKDAYS(MAX($I197,AB$3),MIN($J197,AB$2),Data!$K$4:$K$203)/$K197)))</f>
        <v>0</v>
      </c>
      <c r="AC197" s="166">
        <f>IF(OR($I197="",$E197=0),0,IF(OR($J197&lt;AC$3,$I197&gt;AC$2),0,IF($K197=0,IF(AND($I197&gt;=AC$3,$I197&lt;=AC$2),$E197,0),$E197*NETWORKDAYS(MAX($I197,AC$3),MIN($J197,AC$2),Data!$K$4:$K$203)/$K197)))</f>
        <v>0</v>
      </c>
      <c r="AD197" s="166">
        <f>IF(OR($I197="",$E197=0),0,IF(OR($J197&lt;AD$3,$I197&gt;AD$2),0,IF($K197=0,IF(AND($I197&gt;=AD$3,$I197&lt;=AD$2),$E197,0),$E197*NETWORKDAYS(MAX($I197,AD$3),MIN($J197,AD$2),Data!$K$4:$K$203)/$K197)))</f>
        <v>0</v>
      </c>
      <c r="AE197" s="166">
        <f>IF(OR($I197="",$E197=0),0,IF(OR($J197&lt;AE$3,$I197&gt;AE$2),0,IF($K197=0,IF(AND($I197&gt;=AE$3,$I197&lt;=AE$2),$E197,0),$E197*NETWORKDAYS(MAX($I197,AE$3),MIN($J197,AE$2),Data!$K$4:$K$203)/$K197)))</f>
        <v>0</v>
      </c>
      <c r="AF197" s="166">
        <f>IF(OR($I197="",$E197=0),0,IF(OR($J197&lt;AF$3,$I197&gt;AF$2),0,IF($K197=0,IF(AND($I197&gt;=AF$3,$I197&lt;=AF$2),$E197,0),$E197*NETWORKDAYS(MAX($I197,AF$3),MIN($J197,AF$2),Data!$K$4:$K$203)/$K197)))</f>
        <v>0</v>
      </c>
      <c r="AG197" s="166">
        <f>IF(OR($I197="",$E197=0),0,IF(OR($J197&lt;AG$3,$I197&gt;AG$2),0,IF($K197=0,IF(AND($I197&gt;=AG$3,$I197&lt;=AG$2),$E197,0),$E197*NETWORKDAYS(MAX($I197,AG$3),MIN($J197,AG$2),Data!$K$4:$K$203)/$K197)))</f>
        <v>0</v>
      </c>
      <c r="AH197" s="166">
        <f>IF(OR($I197="",$E197=0),0,IF(OR($J197&lt;AH$3,$I197&gt;AH$2),0,IF($K197=0,IF(AND($I197&gt;=AH$3,$I197&lt;=AH$2),$E197,0),$E197*NETWORKDAYS(MAX($I197,AH$3),MIN($J197,AH$2),Data!$K$4:$K$203)/$K197)))</f>
        <v>0</v>
      </c>
      <c r="AI197" s="166">
        <f>SUM(W197:AH197)</f>
        <v>0</v>
      </c>
      <c r="BZ197" t="str">
        <f>IF(D197=1,IF(TRIM(INDEX(Charge!$K:$K,ROW()))&lt;&gt;"",TRIM(INDEX(Charge!$K:$K,ROW())),IF(TRIM(INDEX(Charge!$L:$L,ROW()))&lt;&gt;"",TRIM(INDEX(Charge!$L:$L,ROW())),"(non affecté)")),"")</f>
        <v/>
      </c>
      <c r="CA197" t="str">
        <f>IF(AND($CD$4&lt;&gt;"",BZ197=$CD$4),COUNTIFS($BZ$4:$BZ$503,$CD$4,$L$4:$L$503,"&lt;"&amp;L197)+1,"")</f>
        <v/>
      </c>
      <c r="EJ197" t="str">
        <f>TRIM(INDEX(Data!$E:$E,ROW()))</f>
        <v/>
      </c>
      <c r="EK197" t="str">
        <f>TRIM(INDEX(Data!$H:$H,ROW()))</f>
        <v/>
      </c>
      <c r="EM197" t="str">
        <f>IF(D197=1,IF(TRIM(INDEX(Charge!$K:$K,ROW()))&lt;&gt;"","Interne",IF(TRIM(INDEX(Charge!$L:$L,ROW()))&lt;&gt;"","Externe","Non affecté")),"")</f>
        <v/>
      </c>
      <c r="EN197" t="str">
        <f>IF(D197=1,LEFT(SUBSTITUTE(SUBSTITUTE(SUBSTITUTE(TRIM(SUBSTITUTE(INDEX(Charge!$B:$B,ROW()),CHAR(160)," "))&amp;" | "&amp;TRIM(SUBSTITUTE(INDEX(Charge!$C:$C,ROW()),CHAR(160)," "))&amp;" | "&amp;TRIM(SUBSTITUTE(INDEX(Charge!$D:$D,ROW()),CHAR(160)," ")),"~","-"),"*","+"),"?","!"),240),"")</f>
        <v/>
      </c>
      <c r="EO197">
        <f>IF(EN197="",0,IF(COUNTIF($EN$4:EN197,EN197)=1,1,0))</f>
        <v>0</v>
      </c>
      <c r="EP197" s="166" t="str">
        <f>IF(EO197=1,ROUND(SUMIF($EN$4:$EN$503,EN197,$E$4:$E$503),2),"")</f>
        <v/>
      </c>
      <c r="EQ197" t="str">
        <f>IF(EO197=1,COUNTIFS($EO$4:$EO$503,1,$EP$4:$EP$503,"&gt;"&amp;EP197)+COUNTIFS($EO$4:EO197,1,$EP$4:EP197,EP197),"")</f>
        <v/>
      </c>
      <c r="ER197" t="str">
        <f>IF(EO197=1,COUNTIFS($EN$4:$EN$503,EN197,$EM$4:$EM$503,"Interne",$FE$4:$FE$503,1),"")</f>
        <v/>
      </c>
      <c r="ES197" t="str">
        <f>IF(EO197=1,COUNTIFS($EN$4:$EN$503,EN197,$EM$4:$EM$503,"Externe",$FE$4:$FE$503,1),"")</f>
        <v/>
      </c>
      <c r="ET197" t="str">
        <f>IF(EO197=1,IF(ER197+ES197=0,"à affecter",IF(ER197=0,ES197&amp;" ext.",(ER197+ES197)&amp;IF(ES197&gt;0," dont "&amp;ES197&amp;" ext.",""))&amp;IF(COUNTIFS($EN$4:$EN$503,EN197,$EM$4:$EM$503,"Non affecté")&gt;0," + à affecter","")),"")</f>
        <v/>
      </c>
      <c r="EU197" s="170" t="str">
        <f>IF(EO197=1,IF(EP197&gt;0,SUMPRODUCT(($EN$4:$EN$503=EN197)*$E$4:$E$503*$C$4:$C$503)/EP197,AVERAGEIF($EN$4:$EN$503,EN197,$C$4:$C$503)),"")</f>
        <v/>
      </c>
      <c r="EV197" s="165">
        <f>IF(ISNUMBER(I197),I197,2958465)</f>
        <v>2958465.0</v>
      </c>
      <c r="EW197" s="165" t="str">
        <f>IF(EO197=1,SUMPRODUCT(MIN(($EN$4:$EN$503=EN197)*$EV$4:$EV$503+($EN$4:$EN$503&lt;&gt;EN197)*2958465)),"")</f>
        <v/>
      </c>
      <c r="EX197" s="165">
        <f>IF(AND(D197=1,ISNUMBER(INDEX(Charge!$F:$F,ROW()))),INDEX(Charge!$F:$F,ROW()),0)</f>
        <v>0.0</v>
      </c>
      <c r="EY197" s="165" t="str">
        <f>IF(EO197=1,SUMPRODUCT(MAX(($EN$4:$EN$503=EN197)*$EX$4:$EX$503)),"")</f>
        <v/>
      </c>
      <c r="FA197" t="str">
        <f>IF(194&lt;=$CD$23,INDEX($EJ$4:$EJ$203,194),IF(194-$CD$23&lt;=$CD$26,INDEX($EK$4:$EK$203,194-$CD$23),""))</f>
        <v/>
      </c>
      <c r="FB197" t="str">
        <f>IF(FA197="","",IF(194&lt;=$CD$23,"Interne","Externe"))</f>
        <v/>
      </c>
      <c r="FD197">
        <f>IF(AND(B197=1,TRIM(INDEX(Charge!$K:$K,ROW()))&lt;&gt;"",TRIM(INDEX(Charge!$L:$L,ROW()))&lt;&gt;""),1,0)</f>
        <v>0</v>
      </c>
      <c r="FE197">
        <f>IF(OR(EN197="",BZ197="(non affecté)"),0,IF(COUNTIFS($EN$4:EN197,EN197,$BZ$4:BZ197,BZ197)=1,1,0))</f>
        <v>0</v>
      </c>
    </row>
    <row r="198">
      <c r="A198">
        <f>ROW()</f>
        <v>198</v>
      </c>
      <c r="B198">
        <f>IF(TRIM(INDEX(Charge!$B:$B,ROW()))&lt;&gt;"",1,0)</f>
        <v>0</v>
      </c>
      <c r="C198">
        <f>IF(B198=1,MIN(1,MAX(0,N(INDEX(Charge!$O:$O,ROW())))),0)</f>
        <v>0</v>
      </c>
      <c r="D198">
        <f>IF(B198=1,IF(OR(p_Perimetre="Tous les projets",C198&lt;1),1,0),0)</f>
        <v>0</v>
      </c>
      <c r="E198">
        <f>IF(D198=1,MAX(0,N(INDEX(Charge!$M:$M,ROW()))),0)</f>
        <v>0</v>
      </c>
      <c r="F198" t="str">
        <f>IF(D198=1,IF(TRIM(INDEX(Charge!$A:$A,ROW()))="","(non renseigné)",TRIM(INDEX(Charge!$A:$A,ROW()))),"")</f>
        <v/>
      </c>
      <c r="G198" t="str">
        <f>IF(D198=1,TRIM(INDEX(Charge!$B:$B,ROW())),"")</f>
        <v/>
      </c>
      <c r="H198" t="str">
        <f>IF(D198=1,IF(TRIM(INDEX(Charge!$E:$E,ROW()))="","(non renseigné)",TRIM(INDEX(Charge!$E:$E,ROW()))),"")</f>
        <v/>
      </c>
      <c r="I198" s="165" t="str">
        <f>IF(AND(D198=1,ISNUMBER(INDEX(Charge!$N:$N,ROW()))),INDEX(Charge!$N:$N,ROW()),"")</f>
        <v/>
      </c>
      <c r="J198" s="165" t="str">
        <f>IF(I198="","",IF(AND(p_Repartition="Lissée jusqu'à la date de besoin",ISNUMBER(INDEX(Charge!$F:$F,ROW()))),IF(INDEX(Charge!$F:$F,ROW())&gt;=I198,INDEX(Charge!$F:$F,ROW()),I198),I198))</f>
        <v/>
      </c>
      <c r="K198" t="str">
        <f>IF(I198="","",NETWORKDAYS(I198,J198,Data!$K$4:$K$203))</f>
        <v/>
      </c>
      <c r="L198" t="str">
        <f>IF(D198=1,COUNTIFS($D$4:$D$503,1,$E$4:$E$503,"&gt;"&amp;E198)+COUNTIFS($D$4:$D198,1,$E$4:$E198,E198),"")</f>
        <v/>
      </c>
      <c r="M198">
        <f>IF(F198="",0,IF(COUNTIF($F$4:F198,F198)=1,1,0))</f>
        <v>0</v>
      </c>
      <c r="N198" t="str">
        <f>IF(M198=1,ROUND(SUMIF($F$4:$F$503,F198,$E$4:$E$503),2),"")</f>
        <v/>
      </c>
      <c r="O198" t="str">
        <f>IF(M198=1,COUNTIFS($M$4:$M$503,1,$N$4:$N$503,"&gt;"&amp;N198)+COUNTIFS($M$4:M198,1,$N$4:N198,N198),"")</f>
        <v/>
      </c>
      <c r="P198">
        <f>IF(G198="",0,IF(COUNTIF($G$4:G198,G198)=1,1,0))</f>
        <v>0</v>
      </c>
      <c r="Q198" t="str">
        <f>IF(P198=1,ROUND(SUMIF($G$4:$G$503,G198,$E$4:$E$503),2),"")</f>
        <v/>
      </c>
      <c r="R198" t="str">
        <f>IF(P198=1,COUNTIFS($P$4:$P$503,1,$Q$4:$Q$503,"&gt;"&amp;Q198)+COUNTIFS($P$4:P198,1,$Q$4:Q198,Q198),"")</f>
        <v/>
      </c>
      <c r="S198">
        <f>IF(H198="",0,IF(COUNTIF($H$4:H198,H198)=1,1,0))</f>
        <v>0</v>
      </c>
      <c r="T198" t="str">
        <f>IF(S198=1,ROUND(SUMIF($H$4:$H$503,H198,$E$4:$E$503),2),"")</f>
        <v/>
      </c>
      <c r="U198" t="str">
        <f>IF(S198=1,COUNTIFS($S$4:$S$503,1,$T$4:$T$503,"&gt;"&amp;T198)+COUNTIFS($S$4:S198,1,$T$4:T198,T198),"")</f>
        <v/>
      </c>
      <c r="V198" t="str">
        <f>IF(D198=1,MIN(INDEX($R$4:$R$503,MATCH(G198,$G$4:$G$503,0)),IF($AL$7&gt;9,9,999)),"")</f>
        <v/>
      </c>
      <c r="W198" s="166">
        <f>IF(OR($I198="",$E198=0),0,IF(OR($J198&lt;W$3,$I198&gt;W$2),0,IF($K198=0,IF(AND($I198&gt;=W$3,$I198&lt;=W$2),$E198,0),$E198*NETWORKDAYS(MAX($I198,W$3),MIN($J198,W$2),Data!$K$4:$K$203)/$K198)))</f>
        <v>0</v>
      </c>
      <c r="X198" s="166">
        <f>IF(OR($I198="",$E198=0),0,IF(OR($J198&lt;X$3,$I198&gt;X$2),0,IF($K198=0,IF(AND($I198&gt;=X$3,$I198&lt;=X$2),$E198,0),$E198*NETWORKDAYS(MAX($I198,X$3),MIN($J198,X$2),Data!$K$4:$K$203)/$K198)))</f>
        <v>0</v>
      </c>
      <c r="Y198" s="166">
        <f>IF(OR($I198="",$E198=0),0,IF(OR($J198&lt;Y$3,$I198&gt;Y$2),0,IF($K198=0,IF(AND($I198&gt;=Y$3,$I198&lt;=Y$2),$E198,0),$E198*NETWORKDAYS(MAX($I198,Y$3),MIN($J198,Y$2),Data!$K$4:$K$203)/$K198)))</f>
        <v>0</v>
      </c>
      <c r="Z198" s="166">
        <f>IF(OR($I198="",$E198=0),0,IF(OR($J198&lt;Z$3,$I198&gt;Z$2),0,IF($K198=0,IF(AND($I198&gt;=Z$3,$I198&lt;=Z$2),$E198,0),$E198*NETWORKDAYS(MAX($I198,Z$3),MIN($J198,Z$2),Data!$K$4:$K$203)/$K198)))</f>
        <v>0</v>
      </c>
      <c r="AA198" s="166">
        <f>IF(OR($I198="",$E198=0),0,IF(OR($J198&lt;AA$3,$I198&gt;AA$2),0,IF($K198=0,IF(AND($I198&gt;=AA$3,$I198&lt;=AA$2),$E198,0),$E198*NETWORKDAYS(MAX($I198,AA$3),MIN($J198,AA$2),Data!$K$4:$K$203)/$K198)))</f>
        <v>0</v>
      </c>
      <c r="AB198" s="166">
        <f>IF(OR($I198="",$E198=0),0,IF(OR($J198&lt;AB$3,$I198&gt;AB$2),0,IF($K198=0,IF(AND($I198&gt;=AB$3,$I198&lt;=AB$2),$E198,0),$E198*NETWORKDAYS(MAX($I198,AB$3),MIN($J198,AB$2),Data!$K$4:$K$203)/$K198)))</f>
        <v>0</v>
      </c>
      <c r="AC198" s="166">
        <f>IF(OR($I198="",$E198=0),0,IF(OR($J198&lt;AC$3,$I198&gt;AC$2),0,IF($K198=0,IF(AND($I198&gt;=AC$3,$I198&lt;=AC$2),$E198,0),$E198*NETWORKDAYS(MAX($I198,AC$3),MIN($J198,AC$2),Data!$K$4:$K$203)/$K198)))</f>
        <v>0</v>
      </c>
      <c r="AD198" s="166">
        <f>IF(OR($I198="",$E198=0),0,IF(OR($J198&lt;AD$3,$I198&gt;AD$2),0,IF($K198=0,IF(AND($I198&gt;=AD$3,$I198&lt;=AD$2),$E198,0),$E198*NETWORKDAYS(MAX($I198,AD$3),MIN($J198,AD$2),Data!$K$4:$K$203)/$K198)))</f>
        <v>0</v>
      </c>
      <c r="AE198" s="166">
        <f>IF(OR($I198="",$E198=0),0,IF(OR($J198&lt;AE$3,$I198&gt;AE$2),0,IF($K198=0,IF(AND($I198&gt;=AE$3,$I198&lt;=AE$2),$E198,0),$E198*NETWORKDAYS(MAX($I198,AE$3),MIN($J198,AE$2),Data!$K$4:$K$203)/$K198)))</f>
        <v>0</v>
      </c>
      <c r="AF198" s="166">
        <f>IF(OR($I198="",$E198=0),0,IF(OR($J198&lt;AF$3,$I198&gt;AF$2),0,IF($K198=0,IF(AND($I198&gt;=AF$3,$I198&lt;=AF$2),$E198,0),$E198*NETWORKDAYS(MAX($I198,AF$3),MIN($J198,AF$2),Data!$K$4:$K$203)/$K198)))</f>
        <v>0</v>
      </c>
      <c r="AG198" s="166">
        <f>IF(OR($I198="",$E198=0),0,IF(OR($J198&lt;AG$3,$I198&gt;AG$2),0,IF($K198=0,IF(AND($I198&gt;=AG$3,$I198&lt;=AG$2),$E198,0),$E198*NETWORKDAYS(MAX($I198,AG$3),MIN($J198,AG$2),Data!$K$4:$K$203)/$K198)))</f>
        <v>0</v>
      </c>
      <c r="AH198" s="166">
        <f>IF(OR($I198="",$E198=0),0,IF(OR($J198&lt;AH$3,$I198&gt;AH$2),0,IF($K198=0,IF(AND($I198&gt;=AH$3,$I198&lt;=AH$2),$E198,0),$E198*NETWORKDAYS(MAX($I198,AH$3),MIN($J198,AH$2),Data!$K$4:$K$203)/$K198)))</f>
        <v>0</v>
      </c>
      <c r="AI198" s="166">
        <f>SUM(W198:AH198)</f>
        <v>0</v>
      </c>
      <c r="BZ198" t="str">
        <f>IF(D198=1,IF(TRIM(INDEX(Charge!$K:$K,ROW()))&lt;&gt;"",TRIM(INDEX(Charge!$K:$K,ROW())),IF(TRIM(INDEX(Charge!$L:$L,ROW()))&lt;&gt;"",TRIM(INDEX(Charge!$L:$L,ROW())),"(non affecté)")),"")</f>
        <v/>
      </c>
      <c r="CA198" t="str">
        <f>IF(AND($CD$4&lt;&gt;"",BZ198=$CD$4),COUNTIFS($BZ$4:$BZ$503,$CD$4,$L$4:$L$503,"&lt;"&amp;L198)+1,"")</f>
        <v/>
      </c>
      <c r="EJ198" t="str">
        <f>TRIM(INDEX(Data!$E:$E,ROW()))</f>
        <v/>
      </c>
      <c r="EK198" t="str">
        <f>TRIM(INDEX(Data!$H:$H,ROW()))</f>
        <v/>
      </c>
      <c r="EM198" t="str">
        <f>IF(D198=1,IF(TRIM(INDEX(Charge!$K:$K,ROW()))&lt;&gt;"","Interne",IF(TRIM(INDEX(Charge!$L:$L,ROW()))&lt;&gt;"","Externe","Non affecté")),"")</f>
        <v/>
      </c>
      <c r="EN198" t="str">
        <f>IF(D198=1,LEFT(SUBSTITUTE(SUBSTITUTE(SUBSTITUTE(TRIM(SUBSTITUTE(INDEX(Charge!$B:$B,ROW()),CHAR(160)," "))&amp;" | "&amp;TRIM(SUBSTITUTE(INDEX(Charge!$C:$C,ROW()),CHAR(160)," "))&amp;" | "&amp;TRIM(SUBSTITUTE(INDEX(Charge!$D:$D,ROW()),CHAR(160)," ")),"~","-"),"*","+"),"?","!"),240),"")</f>
        <v/>
      </c>
      <c r="EO198">
        <f>IF(EN198="",0,IF(COUNTIF($EN$4:EN198,EN198)=1,1,0))</f>
        <v>0</v>
      </c>
      <c r="EP198" s="166" t="str">
        <f>IF(EO198=1,ROUND(SUMIF($EN$4:$EN$503,EN198,$E$4:$E$503),2),"")</f>
        <v/>
      </c>
      <c r="EQ198" t="str">
        <f>IF(EO198=1,COUNTIFS($EO$4:$EO$503,1,$EP$4:$EP$503,"&gt;"&amp;EP198)+COUNTIFS($EO$4:EO198,1,$EP$4:EP198,EP198),"")</f>
        <v/>
      </c>
      <c r="ER198" t="str">
        <f>IF(EO198=1,COUNTIFS($EN$4:$EN$503,EN198,$EM$4:$EM$503,"Interne",$FE$4:$FE$503,1),"")</f>
        <v/>
      </c>
      <c r="ES198" t="str">
        <f>IF(EO198=1,COUNTIFS($EN$4:$EN$503,EN198,$EM$4:$EM$503,"Externe",$FE$4:$FE$503,1),"")</f>
        <v/>
      </c>
      <c r="ET198" t="str">
        <f>IF(EO198=1,IF(ER198+ES198=0,"à affecter",IF(ER198=0,ES198&amp;" ext.",(ER198+ES198)&amp;IF(ES198&gt;0," dont "&amp;ES198&amp;" ext.",""))&amp;IF(COUNTIFS($EN$4:$EN$503,EN198,$EM$4:$EM$503,"Non affecté")&gt;0," + à affecter","")),"")</f>
        <v/>
      </c>
      <c r="EU198" s="170" t="str">
        <f>IF(EO198=1,IF(EP198&gt;0,SUMPRODUCT(($EN$4:$EN$503=EN198)*$E$4:$E$503*$C$4:$C$503)/EP198,AVERAGEIF($EN$4:$EN$503,EN198,$C$4:$C$503)),"")</f>
        <v/>
      </c>
      <c r="EV198" s="165">
        <f>IF(ISNUMBER(I198),I198,2958465)</f>
        <v>2958465.0</v>
      </c>
      <c r="EW198" s="165" t="str">
        <f>IF(EO198=1,SUMPRODUCT(MIN(($EN$4:$EN$503=EN198)*$EV$4:$EV$503+($EN$4:$EN$503&lt;&gt;EN198)*2958465)),"")</f>
        <v/>
      </c>
      <c r="EX198" s="165">
        <f>IF(AND(D198=1,ISNUMBER(INDEX(Charge!$F:$F,ROW()))),INDEX(Charge!$F:$F,ROW()),0)</f>
        <v>0.0</v>
      </c>
      <c r="EY198" s="165" t="str">
        <f>IF(EO198=1,SUMPRODUCT(MAX(($EN$4:$EN$503=EN198)*$EX$4:$EX$503)),"")</f>
        <v/>
      </c>
      <c r="FA198" t="str">
        <f>IF(195&lt;=$CD$23,INDEX($EJ$4:$EJ$203,195),IF(195-$CD$23&lt;=$CD$26,INDEX($EK$4:$EK$203,195-$CD$23),""))</f>
        <v/>
      </c>
      <c r="FB198" t="str">
        <f>IF(FA198="","",IF(195&lt;=$CD$23,"Interne","Externe"))</f>
        <v/>
      </c>
      <c r="FD198">
        <f>IF(AND(B198=1,TRIM(INDEX(Charge!$K:$K,ROW()))&lt;&gt;"",TRIM(INDEX(Charge!$L:$L,ROW()))&lt;&gt;""),1,0)</f>
        <v>0</v>
      </c>
      <c r="FE198">
        <f>IF(OR(EN198="",BZ198="(non affecté)"),0,IF(COUNTIFS($EN$4:EN198,EN198,$BZ$4:BZ198,BZ198)=1,1,0))</f>
        <v>0</v>
      </c>
    </row>
    <row r="199">
      <c r="A199">
        <f>ROW()</f>
        <v>199</v>
      </c>
      <c r="B199">
        <f>IF(TRIM(INDEX(Charge!$B:$B,ROW()))&lt;&gt;"",1,0)</f>
        <v>0</v>
      </c>
      <c r="C199">
        <f>IF(B199=1,MIN(1,MAX(0,N(INDEX(Charge!$O:$O,ROW())))),0)</f>
        <v>0</v>
      </c>
      <c r="D199">
        <f>IF(B199=1,IF(OR(p_Perimetre="Tous les projets",C199&lt;1),1,0),0)</f>
        <v>0</v>
      </c>
      <c r="E199">
        <f>IF(D199=1,MAX(0,N(INDEX(Charge!$M:$M,ROW()))),0)</f>
        <v>0</v>
      </c>
      <c r="F199" t="str">
        <f>IF(D199=1,IF(TRIM(INDEX(Charge!$A:$A,ROW()))="","(non renseigné)",TRIM(INDEX(Charge!$A:$A,ROW()))),"")</f>
        <v/>
      </c>
      <c r="G199" t="str">
        <f>IF(D199=1,TRIM(INDEX(Charge!$B:$B,ROW())),"")</f>
        <v/>
      </c>
      <c r="H199" t="str">
        <f>IF(D199=1,IF(TRIM(INDEX(Charge!$E:$E,ROW()))="","(non renseigné)",TRIM(INDEX(Charge!$E:$E,ROW()))),"")</f>
        <v/>
      </c>
      <c r="I199" s="165" t="str">
        <f>IF(AND(D199=1,ISNUMBER(INDEX(Charge!$N:$N,ROW()))),INDEX(Charge!$N:$N,ROW()),"")</f>
        <v/>
      </c>
      <c r="J199" s="165" t="str">
        <f>IF(I199="","",IF(AND(p_Repartition="Lissée jusqu'à la date de besoin",ISNUMBER(INDEX(Charge!$F:$F,ROW()))),IF(INDEX(Charge!$F:$F,ROW())&gt;=I199,INDEX(Charge!$F:$F,ROW()),I199),I199))</f>
        <v/>
      </c>
      <c r="K199" t="str">
        <f>IF(I199="","",NETWORKDAYS(I199,J199,Data!$K$4:$K$203))</f>
        <v/>
      </c>
      <c r="L199" t="str">
        <f>IF(D199=1,COUNTIFS($D$4:$D$503,1,$E$4:$E$503,"&gt;"&amp;E199)+COUNTIFS($D$4:$D199,1,$E$4:$E199,E199),"")</f>
        <v/>
      </c>
      <c r="M199">
        <f>IF(F199="",0,IF(COUNTIF($F$4:F199,F199)=1,1,0))</f>
        <v>0</v>
      </c>
      <c r="N199" t="str">
        <f>IF(M199=1,ROUND(SUMIF($F$4:$F$503,F199,$E$4:$E$503),2),"")</f>
        <v/>
      </c>
      <c r="O199" t="str">
        <f>IF(M199=1,COUNTIFS($M$4:$M$503,1,$N$4:$N$503,"&gt;"&amp;N199)+COUNTIFS($M$4:M199,1,$N$4:N199,N199),"")</f>
        <v/>
      </c>
      <c r="P199">
        <f>IF(G199="",0,IF(COUNTIF($G$4:G199,G199)=1,1,0))</f>
        <v>0</v>
      </c>
      <c r="Q199" t="str">
        <f>IF(P199=1,ROUND(SUMIF($G$4:$G$503,G199,$E$4:$E$503),2),"")</f>
        <v/>
      </c>
      <c r="R199" t="str">
        <f>IF(P199=1,COUNTIFS($P$4:$P$503,1,$Q$4:$Q$503,"&gt;"&amp;Q199)+COUNTIFS($P$4:P199,1,$Q$4:Q199,Q199),"")</f>
        <v/>
      </c>
      <c r="S199">
        <f>IF(H199="",0,IF(COUNTIF($H$4:H199,H199)=1,1,0))</f>
        <v>0</v>
      </c>
      <c r="T199" t="str">
        <f>IF(S199=1,ROUND(SUMIF($H$4:$H$503,H199,$E$4:$E$503),2),"")</f>
        <v/>
      </c>
      <c r="U199" t="str">
        <f>IF(S199=1,COUNTIFS($S$4:$S$503,1,$T$4:$T$503,"&gt;"&amp;T199)+COUNTIFS($S$4:S199,1,$T$4:T199,T199),"")</f>
        <v/>
      </c>
      <c r="V199" t="str">
        <f>IF(D199=1,MIN(INDEX($R$4:$R$503,MATCH(G199,$G$4:$G$503,0)),IF($AL$7&gt;9,9,999)),"")</f>
        <v/>
      </c>
      <c r="W199" s="166">
        <f>IF(OR($I199="",$E199=0),0,IF(OR($J199&lt;W$3,$I199&gt;W$2),0,IF($K199=0,IF(AND($I199&gt;=W$3,$I199&lt;=W$2),$E199,0),$E199*NETWORKDAYS(MAX($I199,W$3),MIN($J199,W$2),Data!$K$4:$K$203)/$K199)))</f>
        <v>0</v>
      </c>
      <c r="X199" s="166">
        <f>IF(OR($I199="",$E199=0),0,IF(OR($J199&lt;X$3,$I199&gt;X$2),0,IF($K199=0,IF(AND($I199&gt;=X$3,$I199&lt;=X$2),$E199,0),$E199*NETWORKDAYS(MAX($I199,X$3),MIN($J199,X$2),Data!$K$4:$K$203)/$K199)))</f>
        <v>0</v>
      </c>
      <c r="Y199" s="166">
        <f>IF(OR($I199="",$E199=0),0,IF(OR($J199&lt;Y$3,$I199&gt;Y$2),0,IF($K199=0,IF(AND($I199&gt;=Y$3,$I199&lt;=Y$2),$E199,0),$E199*NETWORKDAYS(MAX($I199,Y$3),MIN($J199,Y$2),Data!$K$4:$K$203)/$K199)))</f>
        <v>0</v>
      </c>
      <c r="Z199" s="166">
        <f>IF(OR($I199="",$E199=0),0,IF(OR($J199&lt;Z$3,$I199&gt;Z$2),0,IF($K199=0,IF(AND($I199&gt;=Z$3,$I199&lt;=Z$2),$E199,0),$E199*NETWORKDAYS(MAX($I199,Z$3),MIN($J199,Z$2),Data!$K$4:$K$203)/$K199)))</f>
        <v>0</v>
      </c>
      <c r="AA199" s="166">
        <f>IF(OR($I199="",$E199=0),0,IF(OR($J199&lt;AA$3,$I199&gt;AA$2),0,IF($K199=0,IF(AND($I199&gt;=AA$3,$I199&lt;=AA$2),$E199,0),$E199*NETWORKDAYS(MAX($I199,AA$3),MIN($J199,AA$2),Data!$K$4:$K$203)/$K199)))</f>
        <v>0</v>
      </c>
      <c r="AB199" s="166">
        <f>IF(OR($I199="",$E199=0),0,IF(OR($J199&lt;AB$3,$I199&gt;AB$2),0,IF($K199=0,IF(AND($I199&gt;=AB$3,$I199&lt;=AB$2),$E199,0),$E199*NETWORKDAYS(MAX($I199,AB$3),MIN($J199,AB$2),Data!$K$4:$K$203)/$K199)))</f>
        <v>0</v>
      </c>
      <c r="AC199" s="166">
        <f>IF(OR($I199="",$E199=0),0,IF(OR($J199&lt;AC$3,$I199&gt;AC$2),0,IF($K199=0,IF(AND($I199&gt;=AC$3,$I199&lt;=AC$2),$E199,0),$E199*NETWORKDAYS(MAX($I199,AC$3),MIN($J199,AC$2),Data!$K$4:$K$203)/$K199)))</f>
        <v>0</v>
      </c>
      <c r="AD199" s="166">
        <f>IF(OR($I199="",$E199=0),0,IF(OR($J199&lt;AD$3,$I199&gt;AD$2),0,IF($K199=0,IF(AND($I199&gt;=AD$3,$I199&lt;=AD$2),$E199,0),$E199*NETWORKDAYS(MAX($I199,AD$3),MIN($J199,AD$2),Data!$K$4:$K$203)/$K199)))</f>
        <v>0</v>
      </c>
      <c r="AE199" s="166">
        <f>IF(OR($I199="",$E199=0),0,IF(OR($J199&lt;AE$3,$I199&gt;AE$2),0,IF($K199=0,IF(AND($I199&gt;=AE$3,$I199&lt;=AE$2),$E199,0),$E199*NETWORKDAYS(MAX($I199,AE$3),MIN($J199,AE$2),Data!$K$4:$K$203)/$K199)))</f>
        <v>0</v>
      </c>
      <c r="AF199" s="166">
        <f>IF(OR($I199="",$E199=0),0,IF(OR($J199&lt;AF$3,$I199&gt;AF$2),0,IF($K199=0,IF(AND($I199&gt;=AF$3,$I199&lt;=AF$2),$E199,0),$E199*NETWORKDAYS(MAX($I199,AF$3),MIN($J199,AF$2),Data!$K$4:$K$203)/$K199)))</f>
        <v>0</v>
      </c>
      <c r="AG199" s="166">
        <f>IF(OR($I199="",$E199=0),0,IF(OR($J199&lt;AG$3,$I199&gt;AG$2),0,IF($K199=0,IF(AND($I199&gt;=AG$3,$I199&lt;=AG$2),$E199,0),$E199*NETWORKDAYS(MAX($I199,AG$3),MIN($J199,AG$2),Data!$K$4:$K$203)/$K199)))</f>
        <v>0</v>
      </c>
      <c r="AH199" s="166">
        <f>IF(OR($I199="",$E199=0),0,IF(OR($J199&lt;AH$3,$I199&gt;AH$2),0,IF($K199=0,IF(AND($I199&gt;=AH$3,$I199&lt;=AH$2),$E199,0),$E199*NETWORKDAYS(MAX($I199,AH$3),MIN($J199,AH$2),Data!$K$4:$K$203)/$K199)))</f>
        <v>0</v>
      </c>
      <c r="AI199" s="166">
        <f>SUM(W199:AH199)</f>
        <v>0</v>
      </c>
      <c r="BZ199" t="str">
        <f>IF(D199=1,IF(TRIM(INDEX(Charge!$K:$K,ROW()))&lt;&gt;"",TRIM(INDEX(Charge!$K:$K,ROW())),IF(TRIM(INDEX(Charge!$L:$L,ROW()))&lt;&gt;"",TRIM(INDEX(Charge!$L:$L,ROW())),"(non affecté)")),"")</f>
        <v/>
      </c>
      <c r="CA199" t="str">
        <f>IF(AND($CD$4&lt;&gt;"",BZ199=$CD$4),COUNTIFS($BZ$4:$BZ$503,$CD$4,$L$4:$L$503,"&lt;"&amp;L199)+1,"")</f>
        <v/>
      </c>
      <c r="EJ199" t="str">
        <f>TRIM(INDEX(Data!$E:$E,ROW()))</f>
        <v/>
      </c>
      <c r="EK199" t="str">
        <f>TRIM(INDEX(Data!$H:$H,ROW()))</f>
        <v/>
      </c>
      <c r="EM199" t="str">
        <f>IF(D199=1,IF(TRIM(INDEX(Charge!$K:$K,ROW()))&lt;&gt;"","Interne",IF(TRIM(INDEX(Charge!$L:$L,ROW()))&lt;&gt;"","Externe","Non affecté")),"")</f>
        <v/>
      </c>
      <c r="EN199" t="str">
        <f>IF(D199=1,LEFT(SUBSTITUTE(SUBSTITUTE(SUBSTITUTE(TRIM(SUBSTITUTE(INDEX(Charge!$B:$B,ROW()),CHAR(160)," "))&amp;" | "&amp;TRIM(SUBSTITUTE(INDEX(Charge!$C:$C,ROW()),CHAR(160)," "))&amp;" | "&amp;TRIM(SUBSTITUTE(INDEX(Charge!$D:$D,ROW()),CHAR(160)," ")),"~","-"),"*","+"),"?","!"),240),"")</f>
        <v/>
      </c>
      <c r="EO199">
        <f>IF(EN199="",0,IF(COUNTIF($EN$4:EN199,EN199)=1,1,0))</f>
        <v>0</v>
      </c>
      <c r="EP199" s="166" t="str">
        <f>IF(EO199=1,ROUND(SUMIF($EN$4:$EN$503,EN199,$E$4:$E$503),2),"")</f>
        <v/>
      </c>
      <c r="EQ199" t="str">
        <f>IF(EO199=1,COUNTIFS($EO$4:$EO$503,1,$EP$4:$EP$503,"&gt;"&amp;EP199)+COUNTIFS($EO$4:EO199,1,$EP$4:EP199,EP199),"")</f>
        <v/>
      </c>
      <c r="ER199" t="str">
        <f>IF(EO199=1,COUNTIFS($EN$4:$EN$503,EN199,$EM$4:$EM$503,"Interne",$FE$4:$FE$503,1),"")</f>
        <v/>
      </c>
      <c r="ES199" t="str">
        <f>IF(EO199=1,COUNTIFS($EN$4:$EN$503,EN199,$EM$4:$EM$503,"Externe",$FE$4:$FE$503,1),"")</f>
        <v/>
      </c>
      <c r="ET199" t="str">
        <f>IF(EO199=1,IF(ER199+ES199=0,"à affecter",IF(ER199=0,ES199&amp;" ext.",(ER199+ES199)&amp;IF(ES199&gt;0," dont "&amp;ES199&amp;" ext.",""))&amp;IF(COUNTIFS($EN$4:$EN$503,EN199,$EM$4:$EM$503,"Non affecté")&gt;0," + à affecter","")),"")</f>
        <v/>
      </c>
      <c r="EU199" s="170" t="str">
        <f>IF(EO199=1,IF(EP199&gt;0,SUMPRODUCT(($EN$4:$EN$503=EN199)*$E$4:$E$503*$C$4:$C$503)/EP199,AVERAGEIF($EN$4:$EN$503,EN199,$C$4:$C$503)),"")</f>
        <v/>
      </c>
      <c r="EV199" s="165">
        <f>IF(ISNUMBER(I199),I199,2958465)</f>
        <v>2958465.0</v>
      </c>
      <c r="EW199" s="165" t="str">
        <f>IF(EO199=1,SUMPRODUCT(MIN(($EN$4:$EN$503=EN199)*$EV$4:$EV$503+($EN$4:$EN$503&lt;&gt;EN199)*2958465)),"")</f>
        <v/>
      </c>
      <c r="EX199" s="165">
        <f>IF(AND(D199=1,ISNUMBER(INDEX(Charge!$F:$F,ROW()))),INDEX(Charge!$F:$F,ROW()),0)</f>
        <v>0.0</v>
      </c>
      <c r="EY199" s="165" t="str">
        <f>IF(EO199=1,SUMPRODUCT(MAX(($EN$4:$EN$503=EN199)*$EX$4:$EX$503)),"")</f>
        <v/>
      </c>
      <c r="FA199" t="str">
        <f>IF(196&lt;=$CD$23,INDEX($EJ$4:$EJ$203,196),IF(196-$CD$23&lt;=$CD$26,INDEX($EK$4:$EK$203,196-$CD$23),""))</f>
        <v/>
      </c>
      <c r="FB199" t="str">
        <f>IF(FA199="","",IF(196&lt;=$CD$23,"Interne","Externe"))</f>
        <v/>
      </c>
      <c r="FD199">
        <f>IF(AND(B199=1,TRIM(INDEX(Charge!$K:$K,ROW()))&lt;&gt;"",TRIM(INDEX(Charge!$L:$L,ROW()))&lt;&gt;""),1,0)</f>
        <v>0</v>
      </c>
      <c r="FE199">
        <f>IF(OR(EN199="",BZ199="(non affecté)"),0,IF(COUNTIFS($EN$4:EN199,EN199,$BZ$4:BZ199,BZ199)=1,1,0))</f>
        <v>0</v>
      </c>
    </row>
    <row r="200">
      <c r="A200">
        <f>ROW()</f>
        <v>200</v>
      </c>
      <c r="B200">
        <f>IF(TRIM(INDEX(Charge!$B:$B,ROW()))&lt;&gt;"",1,0)</f>
        <v>0</v>
      </c>
      <c r="C200">
        <f>IF(B200=1,MIN(1,MAX(0,N(INDEX(Charge!$O:$O,ROW())))),0)</f>
        <v>0</v>
      </c>
      <c r="D200">
        <f>IF(B200=1,IF(OR(p_Perimetre="Tous les projets",C200&lt;1),1,0),0)</f>
        <v>0</v>
      </c>
      <c r="E200">
        <f>IF(D200=1,MAX(0,N(INDEX(Charge!$M:$M,ROW()))),0)</f>
        <v>0</v>
      </c>
      <c r="F200" t="str">
        <f>IF(D200=1,IF(TRIM(INDEX(Charge!$A:$A,ROW()))="","(non renseigné)",TRIM(INDEX(Charge!$A:$A,ROW()))),"")</f>
        <v/>
      </c>
      <c r="G200" t="str">
        <f>IF(D200=1,TRIM(INDEX(Charge!$B:$B,ROW())),"")</f>
        <v/>
      </c>
      <c r="H200" t="str">
        <f>IF(D200=1,IF(TRIM(INDEX(Charge!$E:$E,ROW()))="","(non renseigné)",TRIM(INDEX(Charge!$E:$E,ROW()))),"")</f>
        <v/>
      </c>
      <c r="I200" s="165" t="str">
        <f>IF(AND(D200=1,ISNUMBER(INDEX(Charge!$N:$N,ROW()))),INDEX(Charge!$N:$N,ROW()),"")</f>
        <v/>
      </c>
      <c r="J200" s="165" t="str">
        <f>IF(I200="","",IF(AND(p_Repartition="Lissée jusqu'à la date de besoin",ISNUMBER(INDEX(Charge!$F:$F,ROW()))),IF(INDEX(Charge!$F:$F,ROW())&gt;=I200,INDEX(Charge!$F:$F,ROW()),I200),I200))</f>
        <v/>
      </c>
      <c r="K200" t="str">
        <f>IF(I200="","",NETWORKDAYS(I200,J200,Data!$K$4:$K$203))</f>
        <v/>
      </c>
      <c r="L200" t="str">
        <f>IF(D200=1,COUNTIFS($D$4:$D$503,1,$E$4:$E$503,"&gt;"&amp;E200)+COUNTIFS($D$4:$D200,1,$E$4:$E200,E200),"")</f>
        <v/>
      </c>
      <c r="M200">
        <f>IF(F200="",0,IF(COUNTIF($F$4:F200,F200)=1,1,0))</f>
        <v>0</v>
      </c>
      <c r="N200" t="str">
        <f>IF(M200=1,ROUND(SUMIF($F$4:$F$503,F200,$E$4:$E$503),2),"")</f>
        <v/>
      </c>
      <c r="O200" t="str">
        <f>IF(M200=1,COUNTIFS($M$4:$M$503,1,$N$4:$N$503,"&gt;"&amp;N200)+COUNTIFS($M$4:M200,1,$N$4:N200,N200),"")</f>
        <v/>
      </c>
      <c r="P200">
        <f>IF(G200="",0,IF(COUNTIF($G$4:G200,G200)=1,1,0))</f>
        <v>0</v>
      </c>
      <c r="Q200" t="str">
        <f>IF(P200=1,ROUND(SUMIF($G$4:$G$503,G200,$E$4:$E$503),2),"")</f>
        <v/>
      </c>
      <c r="R200" t="str">
        <f>IF(P200=1,COUNTIFS($P$4:$P$503,1,$Q$4:$Q$503,"&gt;"&amp;Q200)+COUNTIFS($P$4:P200,1,$Q$4:Q200,Q200),"")</f>
        <v/>
      </c>
      <c r="S200">
        <f>IF(H200="",0,IF(COUNTIF($H$4:H200,H200)=1,1,0))</f>
        <v>0</v>
      </c>
      <c r="T200" t="str">
        <f>IF(S200=1,ROUND(SUMIF($H$4:$H$503,H200,$E$4:$E$503),2),"")</f>
        <v/>
      </c>
      <c r="U200" t="str">
        <f>IF(S200=1,COUNTIFS($S$4:$S$503,1,$T$4:$T$503,"&gt;"&amp;T200)+COUNTIFS($S$4:S200,1,$T$4:T200,T200),"")</f>
        <v/>
      </c>
      <c r="V200" t="str">
        <f>IF(D200=1,MIN(INDEX($R$4:$R$503,MATCH(G200,$G$4:$G$503,0)),IF($AL$7&gt;9,9,999)),"")</f>
        <v/>
      </c>
      <c r="W200" s="166">
        <f>IF(OR($I200="",$E200=0),0,IF(OR($J200&lt;W$3,$I200&gt;W$2),0,IF($K200=0,IF(AND($I200&gt;=W$3,$I200&lt;=W$2),$E200,0),$E200*NETWORKDAYS(MAX($I200,W$3),MIN($J200,W$2),Data!$K$4:$K$203)/$K200)))</f>
        <v>0</v>
      </c>
      <c r="X200" s="166">
        <f>IF(OR($I200="",$E200=0),0,IF(OR($J200&lt;X$3,$I200&gt;X$2),0,IF($K200=0,IF(AND($I200&gt;=X$3,$I200&lt;=X$2),$E200,0),$E200*NETWORKDAYS(MAX($I200,X$3),MIN($J200,X$2),Data!$K$4:$K$203)/$K200)))</f>
        <v>0</v>
      </c>
      <c r="Y200" s="166">
        <f>IF(OR($I200="",$E200=0),0,IF(OR($J200&lt;Y$3,$I200&gt;Y$2),0,IF($K200=0,IF(AND($I200&gt;=Y$3,$I200&lt;=Y$2),$E200,0),$E200*NETWORKDAYS(MAX($I200,Y$3),MIN($J200,Y$2),Data!$K$4:$K$203)/$K200)))</f>
        <v>0</v>
      </c>
      <c r="Z200" s="166">
        <f>IF(OR($I200="",$E200=0),0,IF(OR($J200&lt;Z$3,$I200&gt;Z$2),0,IF($K200=0,IF(AND($I200&gt;=Z$3,$I200&lt;=Z$2),$E200,0),$E200*NETWORKDAYS(MAX($I200,Z$3),MIN($J200,Z$2),Data!$K$4:$K$203)/$K200)))</f>
        <v>0</v>
      </c>
      <c r="AA200" s="166">
        <f>IF(OR($I200="",$E200=0),0,IF(OR($J200&lt;AA$3,$I200&gt;AA$2),0,IF($K200=0,IF(AND($I200&gt;=AA$3,$I200&lt;=AA$2),$E200,0),$E200*NETWORKDAYS(MAX($I200,AA$3),MIN($J200,AA$2),Data!$K$4:$K$203)/$K200)))</f>
        <v>0</v>
      </c>
      <c r="AB200" s="166">
        <f>IF(OR($I200="",$E200=0),0,IF(OR($J200&lt;AB$3,$I200&gt;AB$2),0,IF($K200=0,IF(AND($I200&gt;=AB$3,$I200&lt;=AB$2),$E200,0),$E200*NETWORKDAYS(MAX($I200,AB$3),MIN($J200,AB$2),Data!$K$4:$K$203)/$K200)))</f>
        <v>0</v>
      </c>
      <c r="AC200" s="166">
        <f>IF(OR($I200="",$E200=0),0,IF(OR($J200&lt;AC$3,$I200&gt;AC$2),0,IF($K200=0,IF(AND($I200&gt;=AC$3,$I200&lt;=AC$2),$E200,0),$E200*NETWORKDAYS(MAX($I200,AC$3),MIN($J200,AC$2),Data!$K$4:$K$203)/$K200)))</f>
        <v>0</v>
      </c>
      <c r="AD200" s="166">
        <f>IF(OR($I200="",$E200=0),0,IF(OR($J200&lt;AD$3,$I200&gt;AD$2),0,IF($K200=0,IF(AND($I200&gt;=AD$3,$I200&lt;=AD$2),$E200,0),$E200*NETWORKDAYS(MAX($I200,AD$3),MIN($J200,AD$2),Data!$K$4:$K$203)/$K200)))</f>
        <v>0</v>
      </c>
      <c r="AE200" s="166">
        <f>IF(OR($I200="",$E200=0),0,IF(OR($J200&lt;AE$3,$I200&gt;AE$2),0,IF($K200=0,IF(AND($I200&gt;=AE$3,$I200&lt;=AE$2),$E200,0),$E200*NETWORKDAYS(MAX($I200,AE$3),MIN($J200,AE$2),Data!$K$4:$K$203)/$K200)))</f>
        <v>0</v>
      </c>
      <c r="AF200" s="166">
        <f>IF(OR($I200="",$E200=0),0,IF(OR($J200&lt;AF$3,$I200&gt;AF$2),0,IF($K200=0,IF(AND($I200&gt;=AF$3,$I200&lt;=AF$2),$E200,0),$E200*NETWORKDAYS(MAX($I200,AF$3),MIN($J200,AF$2),Data!$K$4:$K$203)/$K200)))</f>
        <v>0</v>
      </c>
      <c r="AG200" s="166">
        <f>IF(OR($I200="",$E200=0),0,IF(OR($J200&lt;AG$3,$I200&gt;AG$2),0,IF($K200=0,IF(AND($I200&gt;=AG$3,$I200&lt;=AG$2),$E200,0),$E200*NETWORKDAYS(MAX($I200,AG$3),MIN($J200,AG$2),Data!$K$4:$K$203)/$K200)))</f>
        <v>0</v>
      </c>
      <c r="AH200" s="166">
        <f>IF(OR($I200="",$E200=0),0,IF(OR($J200&lt;AH$3,$I200&gt;AH$2),0,IF($K200=0,IF(AND($I200&gt;=AH$3,$I200&lt;=AH$2),$E200,0),$E200*NETWORKDAYS(MAX($I200,AH$3),MIN($J200,AH$2),Data!$K$4:$K$203)/$K200)))</f>
        <v>0</v>
      </c>
      <c r="AI200" s="166">
        <f>SUM(W200:AH200)</f>
        <v>0</v>
      </c>
      <c r="BZ200" t="str">
        <f>IF(D200=1,IF(TRIM(INDEX(Charge!$K:$K,ROW()))&lt;&gt;"",TRIM(INDEX(Charge!$K:$K,ROW())),IF(TRIM(INDEX(Charge!$L:$L,ROW()))&lt;&gt;"",TRIM(INDEX(Charge!$L:$L,ROW())),"(non affecté)")),"")</f>
        <v/>
      </c>
      <c r="CA200" t="str">
        <f>IF(AND($CD$4&lt;&gt;"",BZ200=$CD$4),COUNTIFS($BZ$4:$BZ$503,$CD$4,$L$4:$L$503,"&lt;"&amp;L200)+1,"")</f>
        <v/>
      </c>
      <c r="EJ200" t="str">
        <f>TRIM(INDEX(Data!$E:$E,ROW()))</f>
        <v/>
      </c>
      <c r="EK200" t="str">
        <f>TRIM(INDEX(Data!$H:$H,ROW()))</f>
        <v/>
      </c>
      <c r="EM200" t="str">
        <f>IF(D200=1,IF(TRIM(INDEX(Charge!$K:$K,ROW()))&lt;&gt;"","Interne",IF(TRIM(INDEX(Charge!$L:$L,ROW()))&lt;&gt;"","Externe","Non affecté")),"")</f>
        <v/>
      </c>
      <c r="EN200" t="str">
        <f>IF(D200=1,LEFT(SUBSTITUTE(SUBSTITUTE(SUBSTITUTE(TRIM(SUBSTITUTE(INDEX(Charge!$B:$B,ROW()),CHAR(160)," "))&amp;" | "&amp;TRIM(SUBSTITUTE(INDEX(Charge!$C:$C,ROW()),CHAR(160)," "))&amp;" | "&amp;TRIM(SUBSTITUTE(INDEX(Charge!$D:$D,ROW()),CHAR(160)," ")),"~","-"),"*","+"),"?","!"),240),"")</f>
        <v/>
      </c>
      <c r="EO200">
        <f>IF(EN200="",0,IF(COUNTIF($EN$4:EN200,EN200)=1,1,0))</f>
        <v>0</v>
      </c>
      <c r="EP200" s="166" t="str">
        <f>IF(EO200=1,ROUND(SUMIF($EN$4:$EN$503,EN200,$E$4:$E$503),2),"")</f>
        <v/>
      </c>
      <c r="EQ200" t="str">
        <f>IF(EO200=1,COUNTIFS($EO$4:$EO$503,1,$EP$4:$EP$503,"&gt;"&amp;EP200)+COUNTIFS($EO$4:EO200,1,$EP$4:EP200,EP200),"")</f>
        <v/>
      </c>
      <c r="ER200" t="str">
        <f>IF(EO200=1,COUNTIFS($EN$4:$EN$503,EN200,$EM$4:$EM$503,"Interne",$FE$4:$FE$503,1),"")</f>
        <v/>
      </c>
      <c r="ES200" t="str">
        <f>IF(EO200=1,COUNTIFS($EN$4:$EN$503,EN200,$EM$4:$EM$503,"Externe",$FE$4:$FE$503,1),"")</f>
        <v/>
      </c>
      <c r="ET200" t="str">
        <f>IF(EO200=1,IF(ER200+ES200=0,"à affecter",IF(ER200=0,ES200&amp;" ext.",(ER200+ES200)&amp;IF(ES200&gt;0," dont "&amp;ES200&amp;" ext.",""))&amp;IF(COUNTIFS($EN$4:$EN$503,EN200,$EM$4:$EM$503,"Non affecté")&gt;0," + à affecter","")),"")</f>
        <v/>
      </c>
      <c r="EU200" s="170" t="str">
        <f>IF(EO200=1,IF(EP200&gt;0,SUMPRODUCT(($EN$4:$EN$503=EN200)*$E$4:$E$503*$C$4:$C$503)/EP200,AVERAGEIF($EN$4:$EN$503,EN200,$C$4:$C$503)),"")</f>
        <v/>
      </c>
      <c r="EV200" s="165">
        <f>IF(ISNUMBER(I200),I200,2958465)</f>
        <v>2958465.0</v>
      </c>
      <c r="EW200" s="165" t="str">
        <f>IF(EO200=1,SUMPRODUCT(MIN(($EN$4:$EN$503=EN200)*$EV$4:$EV$503+($EN$4:$EN$503&lt;&gt;EN200)*2958465)),"")</f>
        <v/>
      </c>
      <c r="EX200" s="165">
        <f>IF(AND(D200=1,ISNUMBER(INDEX(Charge!$F:$F,ROW()))),INDEX(Charge!$F:$F,ROW()),0)</f>
        <v>0.0</v>
      </c>
      <c r="EY200" s="165" t="str">
        <f>IF(EO200=1,SUMPRODUCT(MAX(($EN$4:$EN$503=EN200)*$EX$4:$EX$503)),"")</f>
        <v/>
      </c>
      <c r="FA200" t="str">
        <f>IF(197&lt;=$CD$23,INDEX($EJ$4:$EJ$203,197),IF(197-$CD$23&lt;=$CD$26,INDEX($EK$4:$EK$203,197-$CD$23),""))</f>
        <v/>
      </c>
      <c r="FB200" t="str">
        <f>IF(FA200="","",IF(197&lt;=$CD$23,"Interne","Externe"))</f>
        <v/>
      </c>
      <c r="FD200">
        <f>IF(AND(B200=1,TRIM(INDEX(Charge!$K:$K,ROW()))&lt;&gt;"",TRIM(INDEX(Charge!$L:$L,ROW()))&lt;&gt;""),1,0)</f>
        <v>0</v>
      </c>
      <c r="FE200">
        <f>IF(OR(EN200="",BZ200="(non affecté)"),0,IF(COUNTIFS($EN$4:EN200,EN200,$BZ$4:BZ200,BZ200)=1,1,0))</f>
        <v>0</v>
      </c>
    </row>
    <row r="201">
      <c r="A201">
        <f>ROW()</f>
        <v>201</v>
      </c>
      <c r="B201">
        <f>IF(TRIM(INDEX(Charge!$B:$B,ROW()))&lt;&gt;"",1,0)</f>
        <v>0</v>
      </c>
      <c r="C201">
        <f>IF(B201=1,MIN(1,MAX(0,N(INDEX(Charge!$O:$O,ROW())))),0)</f>
        <v>0</v>
      </c>
      <c r="D201">
        <f>IF(B201=1,IF(OR(p_Perimetre="Tous les projets",C201&lt;1),1,0),0)</f>
        <v>0</v>
      </c>
      <c r="E201">
        <f>IF(D201=1,MAX(0,N(INDEX(Charge!$M:$M,ROW()))),0)</f>
        <v>0</v>
      </c>
      <c r="F201" t="str">
        <f>IF(D201=1,IF(TRIM(INDEX(Charge!$A:$A,ROW()))="","(non renseigné)",TRIM(INDEX(Charge!$A:$A,ROW()))),"")</f>
        <v/>
      </c>
      <c r="G201" t="str">
        <f>IF(D201=1,TRIM(INDEX(Charge!$B:$B,ROW())),"")</f>
        <v/>
      </c>
      <c r="H201" t="str">
        <f>IF(D201=1,IF(TRIM(INDEX(Charge!$E:$E,ROW()))="","(non renseigné)",TRIM(INDEX(Charge!$E:$E,ROW()))),"")</f>
        <v/>
      </c>
      <c r="I201" s="165" t="str">
        <f>IF(AND(D201=1,ISNUMBER(INDEX(Charge!$N:$N,ROW()))),INDEX(Charge!$N:$N,ROW()),"")</f>
        <v/>
      </c>
      <c r="J201" s="165" t="str">
        <f>IF(I201="","",IF(AND(p_Repartition="Lissée jusqu'à la date de besoin",ISNUMBER(INDEX(Charge!$F:$F,ROW()))),IF(INDEX(Charge!$F:$F,ROW())&gt;=I201,INDEX(Charge!$F:$F,ROW()),I201),I201))</f>
        <v/>
      </c>
      <c r="K201" t="str">
        <f>IF(I201="","",NETWORKDAYS(I201,J201,Data!$K$4:$K$203))</f>
        <v/>
      </c>
      <c r="L201" t="str">
        <f>IF(D201=1,COUNTIFS($D$4:$D$503,1,$E$4:$E$503,"&gt;"&amp;E201)+COUNTIFS($D$4:$D201,1,$E$4:$E201,E201),"")</f>
        <v/>
      </c>
      <c r="M201">
        <f>IF(F201="",0,IF(COUNTIF($F$4:F201,F201)=1,1,0))</f>
        <v>0</v>
      </c>
      <c r="N201" t="str">
        <f>IF(M201=1,ROUND(SUMIF($F$4:$F$503,F201,$E$4:$E$503),2),"")</f>
        <v/>
      </c>
      <c r="O201" t="str">
        <f>IF(M201=1,COUNTIFS($M$4:$M$503,1,$N$4:$N$503,"&gt;"&amp;N201)+COUNTIFS($M$4:M201,1,$N$4:N201,N201),"")</f>
        <v/>
      </c>
      <c r="P201">
        <f>IF(G201="",0,IF(COUNTIF($G$4:G201,G201)=1,1,0))</f>
        <v>0</v>
      </c>
      <c r="Q201" t="str">
        <f>IF(P201=1,ROUND(SUMIF($G$4:$G$503,G201,$E$4:$E$503),2),"")</f>
        <v/>
      </c>
      <c r="R201" t="str">
        <f>IF(P201=1,COUNTIFS($P$4:$P$503,1,$Q$4:$Q$503,"&gt;"&amp;Q201)+COUNTIFS($P$4:P201,1,$Q$4:Q201,Q201),"")</f>
        <v/>
      </c>
      <c r="S201">
        <f>IF(H201="",0,IF(COUNTIF($H$4:H201,H201)=1,1,0))</f>
        <v>0</v>
      </c>
      <c r="T201" t="str">
        <f>IF(S201=1,ROUND(SUMIF($H$4:$H$503,H201,$E$4:$E$503),2),"")</f>
        <v/>
      </c>
      <c r="U201" t="str">
        <f>IF(S201=1,COUNTIFS($S$4:$S$503,1,$T$4:$T$503,"&gt;"&amp;T201)+COUNTIFS($S$4:S201,1,$T$4:T201,T201),"")</f>
        <v/>
      </c>
      <c r="V201" t="str">
        <f>IF(D201=1,MIN(INDEX($R$4:$R$503,MATCH(G201,$G$4:$G$503,0)),IF($AL$7&gt;9,9,999)),"")</f>
        <v/>
      </c>
      <c r="W201" s="166">
        <f>IF(OR($I201="",$E201=0),0,IF(OR($J201&lt;W$3,$I201&gt;W$2),0,IF($K201=0,IF(AND($I201&gt;=W$3,$I201&lt;=W$2),$E201,0),$E201*NETWORKDAYS(MAX($I201,W$3),MIN($J201,W$2),Data!$K$4:$K$203)/$K201)))</f>
        <v>0</v>
      </c>
      <c r="X201" s="166">
        <f>IF(OR($I201="",$E201=0),0,IF(OR($J201&lt;X$3,$I201&gt;X$2),0,IF($K201=0,IF(AND($I201&gt;=X$3,$I201&lt;=X$2),$E201,0),$E201*NETWORKDAYS(MAX($I201,X$3),MIN($J201,X$2),Data!$K$4:$K$203)/$K201)))</f>
        <v>0</v>
      </c>
      <c r="Y201" s="166">
        <f>IF(OR($I201="",$E201=0),0,IF(OR($J201&lt;Y$3,$I201&gt;Y$2),0,IF($K201=0,IF(AND($I201&gt;=Y$3,$I201&lt;=Y$2),$E201,0),$E201*NETWORKDAYS(MAX($I201,Y$3),MIN($J201,Y$2),Data!$K$4:$K$203)/$K201)))</f>
        <v>0</v>
      </c>
      <c r="Z201" s="166">
        <f>IF(OR($I201="",$E201=0),0,IF(OR($J201&lt;Z$3,$I201&gt;Z$2),0,IF($K201=0,IF(AND($I201&gt;=Z$3,$I201&lt;=Z$2),$E201,0),$E201*NETWORKDAYS(MAX($I201,Z$3),MIN($J201,Z$2),Data!$K$4:$K$203)/$K201)))</f>
        <v>0</v>
      </c>
      <c r="AA201" s="166">
        <f>IF(OR($I201="",$E201=0),0,IF(OR($J201&lt;AA$3,$I201&gt;AA$2),0,IF($K201=0,IF(AND($I201&gt;=AA$3,$I201&lt;=AA$2),$E201,0),$E201*NETWORKDAYS(MAX($I201,AA$3),MIN($J201,AA$2),Data!$K$4:$K$203)/$K201)))</f>
        <v>0</v>
      </c>
      <c r="AB201" s="166">
        <f>IF(OR($I201="",$E201=0),0,IF(OR($J201&lt;AB$3,$I201&gt;AB$2),0,IF($K201=0,IF(AND($I201&gt;=AB$3,$I201&lt;=AB$2),$E201,0),$E201*NETWORKDAYS(MAX($I201,AB$3),MIN($J201,AB$2),Data!$K$4:$K$203)/$K201)))</f>
        <v>0</v>
      </c>
      <c r="AC201" s="166">
        <f>IF(OR($I201="",$E201=0),0,IF(OR($J201&lt;AC$3,$I201&gt;AC$2),0,IF($K201=0,IF(AND($I201&gt;=AC$3,$I201&lt;=AC$2),$E201,0),$E201*NETWORKDAYS(MAX($I201,AC$3),MIN($J201,AC$2),Data!$K$4:$K$203)/$K201)))</f>
        <v>0</v>
      </c>
      <c r="AD201" s="166">
        <f>IF(OR($I201="",$E201=0),0,IF(OR($J201&lt;AD$3,$I201&gt;AD$2),0,IF($K201=0,IF(AND($I201&gt;=AD$3,$I201&lt;=AD$2),$E201,0),$E201*NETWORKDAYS(MAX($I201,AD$3),MIN($J201,AD$2),Data!$K$4:$K$203)/$K201)))</f>
        <v>0</v>
      </c>
      <c r="AE201" s="166">
        <f>IF(OR($I201="",$E201=0),0,IF(OR($J201&lt;AE$3,$I201&gt;AE$2),0,IF($K201=0,IF(AND($I201&gt;=AE$3,$I201&lt;=AE$2),$E201,0),$E201*NETWORKDAYS(MAX($I201,AE$3),MIN($J201,AE$2),Data!$K$4:$K$203)/$K201)))</f>
        <v>0</v>
      </c>
      <c r="AF201" s="166">
        <f>IF(OR($I201="",$E201=0),0,IF(OR($J201&lt;AF$3,$I201&gt;AF$2),0,IF($K201=0,IF(AND($I201&gt;=AF$3,$I201&lt;=AF$2),$E201,0),$E201*NETWORKDAYS(MAX($I201,AF$3),MIN($J201,AF$2),Data!$K$4:$K$203)/$K201)))</f>
        <v>0</v>
      </c>
      <c r="AG201" s="166">
        <f>IF(OR($I201="",$E201=0),0,IF(OR($J201&lt;AG$3,$I201&gt;AG$2),0,IF($K201=0,IF(AND($I201&gt;=AG$3,$I201&lt;=AG$2),$E201,0),$E201*NETWORKDAYS(MAX($I201,AG$3),MIN($J201,AG$2),Data!$K$4:$K$203)/$K201)))</f>
        <v>0</v>
      </c>
      <c r="AH201" s="166">
        <f>IF(OR($I201="",$E201=0),0,IF(OR($J201&lt;AH$3,$I201&gt;AH$2),0,IF($K201=0,IF(AND($I201&gt;=AH$3,$I201&lt;=AH$2),$E201,0),$E201*NETWORKDAYS(MAX($I201,AH$3),MIN($J201,AH$2),Data!$K$4:$K$203)/$K201)))</f>
        <v>0</v>
      </c>
      <c r="AI201" s="166">
        <f>SUM(W201:AH201)</f>
        <v>0</v>
      </c>
      <c r="BZ201" t="str">
        <f>IF(D201=1,IF(TRIM(INDEX(Charge!$K:$K,ROW()))&lt;&gt;"",TRIM(INDEX(Charge!$K:$K,ROW())),IF(TRIM(INDEX(Charge!$L:$L,ROW()))&lt;&gt;"",TRIM(INDEX(Charge!$L:$L,ROW())),"(non affecté)")),"")</f>
        <v/>
      </c>
      <c r="CA201" t="str">
        <f>IF(AND($CD$4&lt;&gt;"",BZ201=$CD$4),COUNTIFS($BZ$4:$BZ$503,$CD$4,$L$4:$L$503,"&lt;"&amp;L201)+1,"")</f>
        <v/>
      </c>
      <c r="EJ201" t="str">
        <f>TRIM(INDEX(Data!$E:$E,ROW()))</f>
        <v/>
      </c>
      <c r="EK201" t="str">
        <f>TRIM(INDEX(Data!$H:$H,ROW()))</f>
        <v/>
      </c>
      <c r="EM201" t="str">
        <f>IF(D201=1,IF(TRIM(INDEX(Charge!$K:$K,ROW()))&lt;&gt;"","Interne",IF(TRIM(INDEX(Charge!$L:$L,ROW()))&lt;&gt;"","Externe","Non affecté")),"")</f>
        <v/>
      </c>
      <c r="EN201" t="str">
        <f>IF(D201=1,LEFT(SUBSTITUTE(SUBSTITUTE(SUBSTITUTE(TRIM(SUBSTITUTE(INDEX(Charge!$B:$B,ROW()),CHAR(160)," "))&amp;" | "&amp;TRIM(SUBSTITUTE(INDEX(Charge!$C:$C,ROW()),CHAR(160)," "))&amp;" | "&amp;TRIM(SUBSTITUTE(INDEX(Charge!$D:$D,ROW()),CHAR(160)," ")),"~","-"),"*","+"),"?","!"),240),"")</f>
        <v/>
      </c>
      <c r="EO201">
        <f>IF(EN201="",0,IF(COUNTIF($EN$4:EN201,EN201)=1,1,0))</f>
        <v>0</v>
      </c>
      <c r="EP201" s="166" t="str">
        <f>IF(EO201=1,ROUND(SUMIF($EN$4:$EN$503,EN201,$E$4:$E$503),2),"")</f>
        <v/>
      </c>
      <c r="EQ201" t="str">
        <f>IF(EO201=1,COUNTIFS($EO$4:$EO$503,1,$EP$4:$EP$503,"&gt;"&amp;EP201)+COUNTIFS($EO$4:EO201,1,$EP$4:EP201,EP201),"")</f>
        <v/>
      </c>
      <c r="ER201" t="str">
        <f>IF(EO201=1,COUNTIFS($EN$4:$EN$503,EN201,$EM$4:$EM$503,"Interne",$FE$4:$FE$503,1),"")</f>
        <v/>
      </c>
      <c r="ES201" t="str">
        <f>IF(EO201=1,COUNTIFS($EN$4:$EN$503,EN201,$EM$4:$EM$503,"Externe",$FE$4:$FE$503,1),"")</f>
        <v/>
      </c>
      <c r="ET201" t="str">
        <f>IF(EO201=1,IF(ER201+ES201=0,"à affecter",IF(ER201=0,ES201&amp;" ext.",(ER201+ES201)&amp;IF(ES201&gt;0," dont "&amp;ES201&amp;" ext.",""))&amp;IF(COUNTIFS($EN$4:$EN$503,EN201,$EM$4:$EM$503,"Non affecté")&gt;0," + à affecter","")),"")</f>
        <v/>
      </c>
      <c r="EU201" s="170" t="str">
        <f>IF(EO201=1,IF(EP201&gt;0,SUMPRODUCT(($EN$4:$EN$503=EN201)*$E$4:$E$503*$C$4:$C$503)/EP201,AVERAGEIF($EN$4:$EN$503,EN201,$C$4:$C$503)),"")</f>
        <v/>
      </c>
      <c r="EV201" s="165">
        <f>IF(ISNUMBER(I201),I201,2958465)</f>
        <v>2958465.0</v>
      </c>
      <c r="EW201" s="165" t="str">
        <f>IF(EO201=1,SUMPRODUCT(MIN(($EN$4:$EN$503=EN201)*$EV$4:$EV$503+($EN$4:$EN$503&lt;&gt;EN201)*2958465)),"")</f>
        <v/>
      </c>
      <c r="EX201" s="165">
        <f>IF(AND(D201=1,ISNUMBER(INDEX(Charge!$F:$F,ROW()))),INDEX(Charge!$F:$F,ROW()),0)</f>
        <v>0.0</v>
      </c>
      <c r="EY201" s="165" t="str">
        <f>IF(EO201=1,SUMPRODUCT(MAX(($EN$4:$EN$503=EN201)*$EX$4:$EX$503)),"")</f>
        <v/>
      </c>
      <c r="FA201" t="str">
        <f>IF(198&lt;=$CD$23,INDEX($EJ$4:$EJ$203,198),IF(198-$CD$23&lt;=$CD$26,INDEX($EK$4:$EK$203,198-$CD$23),""))</f>
        <v/>
      </c>
      <c r="FB201" t="str">
        <f>IF(FA201="","",IF(198&lt;=$CD$23,"Interne","Externe"))</f>
        <v/>
      </c>
      <c r="FD201">
        <f>IF(AND(B201=1,TRIM(INDEX(Charge!$K:$K,ROW()))&lt;&gt;"",TRIM(INDEX(Charge!$L:$L,ROW()))&lt;&gt;""),1,0)</f>
        <v>0</v>
      </c>
      <c r="FE201">
        <f>IF(OR(EN201="",BZ201="(non affecté)"),0,IF(COUNTIFS($EN$4:EN201,EN201,$BZ$4:BZ201,BZ201)=1,1,0))</f>
        <v>0</v>
      </c>
    </row>
    <row r="202">
      <c r="A202">
        <f>ROW()</f>
        <v>202</v>
      </c>
      <c r="B202">
        <f>IF(TRIM(INDEX(Charge!$B:$B,ROW()))&lt;&gt;"",1,0)</f>
        <v>0</v>
      </c>
      <c r="C202">
        <f>IF(B202=1,MIN(1,MAX(0,N(INDEX(Charge!$O:$O,ROW())))),0)</f>
        <v>0</v>
      </c>
      <c r="D202">
        <f>IF(B202=1,IF(OR(p_Perimetre="Tous les projets",C202&lt;1),1,0),0)</f>
        <v>0</v>
      </c>
      <c r="E202">
        <f>IF(D202=1,MAX(0,N(INDEX(Charge!$M:$M,ROW()))),0)</f>
        <v>0</v>
      </c>
      <c r="F202" t="str">
        <f>IF(D202=1,IF(TRIM(INDEX(Charge!$A:$A,ROW()))="","(non renseigné)",TRIM(INDEX(Charge!$A:$A,ROW()))),"")</f>
        <v/>
      </c>
      <c r="G202" t="str">
        <f>IF(D202=1,TRIM(INDEX(Charge!$B:$B,ROW())),"")</f>
        <v/>
      </c>
      <c r="H202" t="str">
        <f>IF(D202=1,IF(TRIM(INDEX(Charge!$E:$E,ROW()))="","(non renseigné)",TRIM(INDEX(Charge!$E:$E,ROW()))),"")</f>
        <v/>
      </c>
      <c r="I202" s="165" t="str">
        <f>IF(AND(D202=1,ISNUMBER(INDEX(Charge!$N:$N,ROW()))),INDEX(Charge!$N:$N,ROW()),"")</f>
        <v/>
      </c>
      <c r="J202" s="165" t="str">
        <f>IF(I202="","",IF(AND(p_Repartition="Lissée jusqu'à la date de besoin",ISNUMBER(INDEX(Charge!$F:$F,ROW()))),IF(INDEX(Charge!$F:$F,ROW())&gt;=I202,INDEX(Charge!$F:$F,ROW()),I202),I202))</f>
        <v/>
      </c>
      <c r="K202" t="str">
        <f>IF(I202="","",NETWORKDAYS(I202,J202,Data!$K$4:$K$203))</f>
        <v/>
      </c>
      <c r="L202" t="str">
        <f>IF(D202=1,COUNTIFS($D$4:$D$503,1,$E$4:$E$503,"&gt;"&amp;E202)+COUNTIFS($D$4:$D202,1,$E$4:$E202,E202),"")</f>
        <v/>
      </c>
      <c r="M202">
        <f>IF(F202="",0,IF(COUNTIF($F$4:F202,F202)=1,1,0))</f>
        <v>0</v>
      </c>
      <c r="N202" t="str">
        <f>IF(M202=1,ROUND(SUMIF($F$4:$F$503,F202,$E$4:$E$503),2),"")</f>
        <v/>
      </c>
      <c r="O202" t="str">
        <f>IF(M202=1,COUNTIFS($M$4:$M$503,1,$N$4:$N$503,"&gt;"&amp;N202)+COUNTIFS($M$4:M202,1,$N$4:N202,N202),"")</f>
        <v/>
      </c>
      <c r="P202">
        <f>IF(G202="",0,IF(COUNTIF($G$4:G202,G202)=1,1,0))</f>
        <v>0</v>
      </c>
      <c r="Q202" t="str">
        <f>IF(P202=1,ROUND(SUMIF($G$4:$G$503,G202,$E$4:$E$503),2),"")</f>
        <v/>
      </c>
      <c r="R202" t="str">
        <f>IF(P202=1,COUNTIFS($P$4:$P$503,1,$Q$4:$Q$503,"&gt;"&amp;Q202)+COUNTIFS($P$4:P202,1,$Q$4:Q202,Q202),"")</f>
        <v/>
      </c>
      <c r="S202">
        <f>IF(H202="",0,IF(COUNTIF($H$4:H202,H202)=1,1,0))</f>
        <v>0</v>
      </c>
      <c r="T202" t="str">
        <f>IF(S202=1,ROUND(SUMIF($H$4:$H$503,H202,$E$4:$E$503),2),"")</f>
        <v/>
      </c>
      <c r="U202" t="str">
        <f>IF(S202=1,COUNTIFS($S$4:$S$503,1,$T$4:$T$503,"&gt;"&amp;T202)+COUNTIFS($S$4:S202,1,$T$4:T202,T202),"")</f>
        <v/>
      </c>
      <c r="V202" t="str">
        <f>IF(D202=1,MIN(INDEX($R$4:$R$503,MATCH(G202,$G$4:$G$503,0)),IF($AL$7&gt;9,9,999)),"")</f>
        <v/>
      </c>
      <c r="W202" s="166">
        <f>IF(OR($I202="",$E202=0),0,IF(OR($J202&lt;W$3,$I202&gt;W$2),0,IF($K202=0,IF(AND($I202&gt;=W$3,$I202&lt;=W$2),$E202,0),$E202*NETWORKDAYS(MAX($I202,W$3),MIN($J202,W$2),Data!$K$4:$K$203)/$K202)))</f>
        <v>0</v>
      </c>
      <c r="X202" s="166">
        <f>IF(OR($I202="",$E202=0),0,IF(OR($J202&lt;X$3,$I202&gt;X$2),0,IF($K202=0,IF(AND($I202&gt;=X$3,$I202&lt;=X$2),$E202,0),$E202*NETWORKDAYS(MAX($I202,X$3),MIN($J202,X$2),Data!$K$4:$K$203)/$K202)))</f>
        <v>0</v>
      </c>
      <c r="Y202" s="166">
        <f>IF(OR($I202="",$E202=0),0,IF(OR($J202&lt;Y$3,$I202&gt;Y$2),0,IF($K202=0,IF(AND($I202&gt;=Y$3,$I202&lt;=Y$2),$E202,0),$E202*NETWORKDAYS(MAX($I202,Y$3),MIN($J202,Y$2),Data!$K$4:$K$203)/$K202)))</f>
        <v>0</v>
      </c>
      <c r="Z202" s="166">
        <f>IF(OR($I202="",$E202=0),0,IF(OR($J202&lt;Z$3,$I202&gt;Z$2),0,IF($K202=0,IF(AND($I202&gt;=Z$3,$I202&lt;=Z$2),$E202,0),$E202*NETWORKDAYS(MAX($I202,Z$3),MIN($J202,Z$2),Data!$K$4:$K$203)/$K202)))</f>
        <v>0</v>
      </c>
      <c r="AA202" s="166">
        <f>IF(OR($I202="",$E202=0),0,IF(OR($J202&lt;AA$3,$I202&gt;AA$2),0,IF($K202=0,IF(AND($I202&gt;=AA$3,$I202&lt;=AA$2),$E202,0),$E202*NETWORKDAYS(MAX($I202,AA$3),MIN($J202,AA$2),Data!$K$4:$K$203)/$K202)))</f>
        <v>0</v>
      </c>
      <c r="AB202" s="166">
        <f>IF(OR($I202="",$E202=0),0,IF(OR($J202&lt;AB$3,$I202&gt;AB$2),0,IF($K202=0,IF(AND($I202&gt;=AB$3,$I202&lt;=AB$2),$E202,0),$E202*NETWORKDAYS(MAX($I202,AB$3),MIN($J202,AB$2),Data!$K$4:$K$203)/$K202)))</f>
        <v>0</v>
      </c>
      <c r="AC202" s="166">
        <f>IF(OR($I202="",$E202=0),0,IF(OR($J202&lt;AC$3,$I202&gt;AC$2),0,IF($K202=0,IF(AND($I202&gt;=AC$3,$I202&lt;=AC$2),$E202,0),$E202*NETWORKDAYS(MAX($I202,AC$3),MIN($J202,AC$2),Data!$K$4:$K$203)/$K202)))</f>
        <v>0</v>
      </c>
      <c r="AD202" s="166">
        <f>IF(OR($I202="",$E202=0),0,IF(OR($J202&lt;AD$3,$I202&gt;AD$2),0,IF($K202=0,IF(AND($I202&gt;=AD$3,$I202&lt;=AD$2),$E202,0),$E202*NETWORKDAYS(MAX($I202,AD$3),MIN($J202,AD$2),Data!$K$4:$K$203)/$K202)))</f>
        <v>0</v>
      </c>
      <c r="AE202" s="166">
        <f>IF(OR($I202="",$E202=0),0,IF(OR($J202&lt;AE$3,$I202&gt;AE$2),0,IF($K202=0,IF(AND($I202&gt;=AE$3,$I202&lt;=AE$2),$E202,0),$E202*NETWORKDAYS(MAX($I202,AE$3),MIN($J202,AE$2),Data!$K$4:$K$203)/$K202)))</f>
        <v>0</v>
      </c>
      <c r="AF202" s="166">
        <f>IF(OR($I202="",$E202=0),0,IF(OR($J202&lt;AF$3,$I202&gt;AF$2),0,IF($K202=0,IF(AND($I202&gt;=AF$3,$I202&lt;=AF$2),$E202,0),$E202*NETWORKDAYS(MAX($I202,AF$3),MIN($J202,AF$2),Data!$K$4:$K$203)/$K202)))</f>
        <v>0</v>
      </c>
      <c r="AG202" s="166">
        <f>IF(OR($I202="",$E202=0),0,IF(OR($J202&lt;AG$3,$I202&gt;AG$2),0,IF($K202=0,IF(AND($I202&gt;=AG$3,$I202&lt;=AG$2),$E202,0),$E202*NETWORKDAYS(MAX($I202,AG$3),MIN($J202,AG$2),Data!$K$4:$K$203)/$K202)))</f>
        <v>0</v>
      </c>
      <c r="AH202" s="166">
        <f>IF(OR($I202="",$E202=0),0,IF(OR($J202&lt;AH$3,$I202&gt;AH$2),0,IF($K202=0,IF(AND($I202&gt;=AH$3,$I202&lt;=AH$2),$E202,0),$E202*NETWORKDAYS(MAX($I202,AH$3),MIN($J202,AH$2),Data!$K$4:$K$203)/$K202)))</f>
        <v>0</v>
      </c>
      <c r="AI202" s="166">
        <f>SUM(W202:AH202)</f>
        <v>0</v>
      </c>
      <c r="BZ202" t="str">
        <f>IF(D202=1,IF(TRIM(INDEX(Charge!$K:$K,ROW()))&lt;&gt;"",TRIM(INDEX(Charge!$K:$K,ROW())),IF(TRIM(INDEX(Charge!$L:$L,ROW()))&lt;&gt;"",TRIM(INDEX(Charge!$L:$L,ROW())),"(non affecté)")),"")</f>
        <v/>
      </c>
      <c r="CA202" t="str">
        <f>IF(AND($CD$4&lt;&gt;"",BZ202=$CD$4),COUNTIFS($BZ$4:$BZ$503,$CD$4,$L$4:$L$503,"&lt;"&amp;L202)+1,"")</f>
        <v/>
      </c>
      <c r="EJ202" t="str">
        <f>TRIM(INDEX(Data!$E:$E,ROW()))</f>
        <v/>
      </c>
      <c r="EK202" t="str">
        <f>TRIM(INDEX(Data!$H:$H,ROW()))</f>
        <v/>
      </c>
      <c r="EM202" t="str">
        <f>IF(D202=1,IF(TRIM(INDEX(Charge!$K:$K,ROW()))&lt;&gt;"","Interne",IF(TRIM(INDEX(Charge!$L:$L,ROW()))&lt;&gt;"","Externe","Non affecté")),"")</f>
        <v/>
      </c>
      <c r="EN202" t="str">
        <f>IF(D202=1,LEFT(SUBSTITUTE(SUBSTITUTE(SUBSTITUTE(TRIM(SUBSTITUTE(INDEX(Charge!$B:$B,ROW()),CHAR(160)," "))&amp;" | "&amp;TRIM(SUBSTITUTE(INDEX(Charge!$C:$C,ROW()),CHAR(160)," "))&amp;" | "&amp;TRIM(SUBSTITUTE(INDEX(Charge!$D:$D,ROW()),CHAR(160)," ")),"~","-"),"*","+"),"?","!"),240),"")</f>
        <v/>
      </c>
      <c r="EO202">
        <f>IF(EN202="",0,IF(COUNTIF($EN$4:EN202,EN202)=1,1,0))</f>
        <v>0</v>
      </c>
      <c r="EP202" s="166" t="str">
        <f>IF(EO202=1,ROUND(SUMIF($EN$4:$EN$503,EN202,$E$4:$E$503),2),"")</f>
        <v/>
      </c>
      <c r="EQ202" t="str">
        <f>IF(EO202=1,COUNTIFS($EO$4:$EO$503,1,$EP$4:$EP$503,"&gt;"&amp;EP202)+COUNTIFS($EO$4:EO202,1,$EP$4:EP202,EP202),"")</f>
        <v/>
      </c>
      <c r="ER202" t="str">
        <f>IF(EO202=1,COUNTIFS($EN$4:$EN$503,EN202,$EM$4:$EM$503,"Interne",$FE$4:$FE$503,1),"")</f>
        <v/>
      </c>
      <c r="ES202" t="str">
        <f>IF(EO202=1,COUNTIFS($EN$4:$EN$503,EN202,$EM$4:$EM$503,"Externe",$FE$4:$FE$503,1),"")</f>
        <v/>
      </c>
      <c r="ET202" t="str">
        <f>IF(EO202=1,IF(ER202+ES202=0,"à affecter",IF(ER202=0,ES202&amp;" ext.",(ER202+ES202)&amp;IF(ES202&gt;0," dont "&amp;ES202&amp;" ext.",""))&amp;IF(COUNTIFS($EN$4:$EN$503,EN202,$EM$4:$EM$503,"Non affecté")&gt;0," + à affecter","")),"")</f>
        <v/>
      </c>
      <c r="EU202" s="170" t="str">
        <f>IF(EO202=1,IF(EP202&gt;0,SUMPRODUCT(($EN$4:$EN$503=EN202)*$E$4:$E$503*$C$4:$C$503)/EP202,AVERAGEIF($EN$4:$EN$503,EN202,$C$4:$C$503)),"")</f>
        <v/>
      </c>
      <c r="EV202" s="165">
        <f>IF(ISNUMBER(I202),I202,2958465)</f>
        <v>2958465.0</v>
      </c>
      <c r="EW202" s="165" t="str">
        <f>IF(EO202=1,SUMPRODUCT(MIN(($EN$4:$EN$503=EN202)*$EV$4:$EV$503+($EN$4:$EN$503&lt;&gt;EN202)*2958465)),"")</f>
        <v/>
      </c>
      <c r="EX202" s="165">
        <f>IF(AND(D202=1,ISNUMBER(INDEX(Charge!$F:$F,ROW()))),INDEX(Charge!$F:$F,ROW()),0)</f>
        <v>0.0</v>
      </c>
      <c r="EY202" s="165" t="str">
        <f>IF(EO202=1,SUMPRODUCT(MAX(($EN$4:$EN$503=EN202)*$EX$4:$EX$503)),"")</f>
        <v/>
      </c>
      <c r="FA202" t="str">
        <f>IF(199&lt;=$CD$23,INDEX($EJ$4:$EJ$203,199),IF(199-$CD$23&lt;=$CD$26,INDEX($EK$4:$EK$203,199-$CD$23),""))</f>
        <v/>
      </c>
      <c r="FB202" t="str">
        <f>IF(FA202="","",IF(199&lt;=$CD$23,"Interne","Externe"))</f>
        <v/>
      </c>
      <c r="FD202">
        <f>IF(AND(B202=1,TRIM(INDEX(Charge!$K:$K,ROW()))&lt;&gt;"",TRIM(INDEX(Charge!$L:$L,ROW()))&lt;&gt;""),1,0)</f>
        <v>0</v>
      </c>
      <c r="FE202">
        <f>IF(OR(EN202="",BZ202="(non affecté)"),0,IF(COUNTIFS($EN$4:EN202,EN202,$BZ$4:BZ202,BZ202)=1,1,0))</f>
        <v>0</v>
      </c>
    </row>
    <row r="203">
      <c r="A203">
        <f>ROW()</f>
        <v>203</v>
      </c>
      <c r="B203">
        <f>IF(TRIM(INDEX(Charge!$B:$B,ROW()))&lt;&gt;"",1,0)</f>
        <v>0</v>
      </c>
      <c r="C203">
        <f>IF(B203=1,MIN(1,MAX(0,N(INDEX(Charge!$O:$O,ROW())))),0)</f>
        <v>0</v>
      </c>
      <c r="D203">
        <f>IF(B203=1,IF(OR(p_Perimetre="Tous les projets",C203&lt;1),1,0),0)</f>
        <v>0</v>
      </c>
      <c r="E203">
        <f>IF(D203=1,MAX(0,N(INDEX(Charge!$M:$M,ROW()))),0)</f>
        <v>0</v>
      </c>
      <c r="F203" t="str">
        <f>IF(D203=1,IF(TRIM(INDEX(Charge!$A:$A,ROW()))="","(non renseigné)",TRIM(INDEX(Charge!$A:$A,ROW()))),"")</f>
        <v/>
      </c>
      <c r="G203" t="str">
        <f>IF(D203=1,TRIM(INDEX(Charge!$B:$B,ROW())),"")</f>
        <v/>
      </c>
      <c r="H203" t="str">
        <f>IF(D203=1,IF(TRIM(INDEX(Charge!$E:$E,ROW()))="","(non renseigné)",TRIM(INDEX(Charge!$E:$E,ROW()))),"")</f>
        <v/>
      </c>
      <c r="I203" s="165" t="str">
        <f>IF(AND(D203=1,ISNUMBER(INDEX(Charge!$N:$N,ROW()))),INDEX(Charge!$N:$N,ROW()),"")</f>
        <v/>
      </c>
      <c r="J203" s="165" t="str">
        <f>IF(I203="","",IF(AND(p_Repartition="Lissée jusqu'à la date de besoin",ISNUMBER(INDEX(Charge!$F:$F,ROW()))),IF(INDEX(Charge!$F:$F,ROW())&gt;=I203,INDEX(Charge!$F:$F,ROW()),I203),I203))</f>
        <v/>
      </c>
      <c r="K203" t="str">
        <f>IF(I203="","",NETWORKDAYS(I203,J203,Data!$K$4:$K$203))</f>
        <v/>
      </c>
      <c r="L203" t="str">
        <f>IF(D203=1,COUNTIFS($D$4:$D$503,1,$E$4:$E$503,"&gt;"&amp;E203)+COUNTIFS($D$4:$D203,1,$E$4:$E203,E203),"")</f>
        <v/>
      </c>
      <c r="M203">
        <f>IF(F203="",0,IF(COUNTIF($F$4:F203,F203)=1,1,0))</f>
        <v>0</v>
      </c>
      <c r="N203" t="str">
        <f>IF(M203=1,ROUND(SUMIF($F$4:$F$503,F203,$E$4:$E$503),2),"")</f>
        <v/>
      </c>
      <c r="O203" t="str">
        <f>IF(M203=1,COUNTIFS($M$4:$M$503,1,$N$4:$N$503,"&gt;"&amp;N203)+COUNTIFS($M$4:M203,1,$N$4:N203,N203),"")</f>
        <v/>
      </c>
      <c r="P203">
        <f>IF(G203="",0,IF(COUNTIF($G$4:G203,G203)=1,1,0))</f>
        <v>0</v>
      </c>
      <c r="Q203" t="str">
        <f>IF(P203=1,ROUND(SUMIF($G$4:$G$503,G203,$E$4:$E$503),2),"")</f>
        <v/>
      </c>
      <c r="R203" t="str">
        <f>IF(P203=1,COUNTIFS($P$4:$P$503,1,$Q$4:$Q$503,"&gt;"&amp;Q203)+COUNTIFS($P$4:P203,1,$Q$4:Q203,Q203),"")</f>
        <v/>
      </c>
      <c r="S203">
        <f>IF(H203="",0,IF(COUNTIF($H$4:H203,H203)=1,1,0))</f>
        <v>0</v>
      </c>
      <c r="T203" t="str">
        <f>IF(S203=1,ROUND(SUMIF($H$4:$H$503,H203,$E$4:$E$503),2),"")</f>
        <v/>
      </c>
      <c r="U203" t="str">
        <f>IF(S203=1,COUNTIFS($S$4:$S$503,1,$T$4:$T$503,"&gt;"&amp;T203)+COUNTIFS($S$4:S203,1,$T$4:T203,T203),"")</f>
        <v/>
      </c>
      <c r="V203" t="str">
        <f>IF(D203=1,MIN(INDEX($R$4:$R$503,MATCH(G203,$G$4:$G$503,0)),IF($AL$7&gt;9,9,999)),"")</f>
        <v/>
      </c>
      <c r="W203" s="166">
        <f>IF(OR($I203="",$E203=0),0,IF(OR($J203&lt;W$3,$I203&gt;W$2),0,IF($K203=0,IF(AND($I203&gt;=W$3,$I203&lt;=W$2),$E203,0),$E203*NETWORKDAYS(MAX($I203,W$3),MIN($J203,W$2),Data!$K$4:$K$203)/$K203)))</f>
        <v>0</v>
      </c>
      <c r="X203" s="166">
        <f>IF(OR($I203="",$E203=0),0,IF(OR($J203&lt;X$3,$I203&gt;X$2),0,IF($K203=0,IF(AND($I203&gt;=X$3,$I203&lt;=X$2),$E203,0),$E203*NETWORKDAYS(MAX($I203,X$3),MIN($J203,X$2),Data!$K$4:$K$203)/$K203)))</f>
        <v>0</v>
      </c>
      <c r="Y203" s="166">
        <f>IF(OR($I203="",$E203=0),0,IF(OR($J203&lt;Y$3,$I203&gt;Y$2),0,IF($K203=0,IF(AND($I203&gt;=Y$3,$I203&lt;=Y$2),$E203,0),$E203*NETWORKDAYS(MAX($I203,Y$3),MIN($J203,Y$2),Data!$K$4:$K$203)/$K203)))</f>
        <v>0</v>
      </c>
      <c r="Z203" s="166">
        <f>IF(OR($I203="",$E203=0),0,IF(OR($J203&lt;Z$3,$I203&gt;Z$2),0,IF($K203=0,IF(AND($I203&gt;=Z$3,$I203&lt;=Z$2),$E203,0),$E203*NETWORKDAYS(MAX($I203,Z$3),MIN($J203,Z$2),Data!$K$4:$K$203)/$K203)))</f>
        <v>0</v>
      </c>
      <c r="AA203" s="166">
        <f>IF(OR($I203="",$E203=0),0,IF(OR($J203&lt;AA$3,$I203&gt;AA$2),0,IF($K203=0,IF(AND($I203&gt;=AA$3,$I203&lt;=AA$2),$E203,0),$E203*NETWORKDAYS(MAX($I203,AA$3),MIN($J203,AA$2),Data!$K$4:$K$203)/$K203)))</f>
        <v>0</v>
      </c>
      <c r="AB203" s="166">
        <f>IF(OR($I203="",$E203=0),0,IF(OR($J203&lt;AB$3,$I203&gt;AB$2),0,IF($K203=0,IF(AND($I203&gt;=AB$3,$I203&lt;=AB$2),$E203,0),$E203*NETWORKDAYS(MAX($I203,AB$3),MIN($J203,AB$2),Data!$K$4:$K$203)/$K203)))</f>
        <v>0</v>
      </c>
      <c r="AC203" s="166">
        <f>IF(OR($I203="",$E203=0),0,IF(OR($J203&lt;AC$3,$I203&gt;AC$2),0,IF($K203=0,IF(AND($I203&gt;=AC$3,$I203&lt;=AC$2),$E203,0),$E203*NETWORKDAYS(MAX($I203,AC$3),MIN($J203,AC$2),Data!$K$4:$K$203)/$K203)))</f>
        <v>0</v>
      </c>
      <c r="AD203" s="166">
        <f>IF(OR($I203="",$E203=0),0,IF(OR($J203&lt;AD$3,$I203&gt;AD$2),0,IF($K203=0,IF(AND($I203&gt;=AD$3,$I203&lt;=AD$2),$E203,0),$E203*NETWORKDAYS(MAX($I203,AD$3),MIN($J203,AD$2),Data!$K$4:$K$203)/$K203)))</f>
        <v>0</v>
      </c>
      <c r="AE203" s="166">
        <f>IF(OR($I203="",$E203=0),0,IF(OR($J203&lt;AE$3,$I203&gt;AE$2),0,IF($K203=0,IF(AND($I203&gt;=AE$3,$I203&lt;=AE$2),$E203,0),$E203*NETWORKDAYS(MAX($I203,AE$3),MIN($J203,AE$2),Data!$K$4:$K$203)/$K203)))</f>
        <v>0</v>
      </c>
      <c r="AF203" s="166">
        <f>IF(OR($I203="",$E203=0),0,IF(OR($J203&lt;AF$3,$I203&gt;AF$2),0,IF($K203=0,IF(AND($I203&gt;=AF$3,$I203&lt;=AF$2),$E203,0),$E203*NETWORKDAYS(MAX($I203,AF$3),MIN($J203,AF$2),Data!$K$4:$K$203)/$K203)))</f>
        <v>0</v>
      </c>
      <c r="AG203" s="166">
        <f>IF(OR($I203="",$E203=0),0,IF(OR($J203&lt;AG$3,$I203&gt;AG$2),0,IF($K203=0,IF(AND($I203&gt;=AG$3,$I203&lt;=AG$2),$E203,0),$E203*NETWORKDAYS(MAX($I203,AG$3),MIN($J203,AG$2),Data!$K$4:$K$203)/$K203)))</f>
        <v>0</v>
      </c>
      <c r="AH203" s="166">
        <f>IF(OR($I203="",$E203=0),0,IF(OR($J203&lt;AH$3,$I203&gt;AH$2),0,IF($K203=0,IF(AND($I203&gt;=AH$3,$I203&lt;=AH$2),$E203,0),$E203*NETWORKDAYS(MAX($I203,AH$3),MIN($J203,AH$2),Data!$K$4:$K$203)/$K203)))</f>
        <v>0</v>
      </c>
      <c r="AI203" s="166">
        <f>SUM(W203:AH203)</f>
        <v>0</v>
      </c>
      <c r="BZ203" t="str">
        <f>IF(D203=1,IF(TRIM(INDEX(Charge!$K:$K,ROW()))&lt;&gt;"",TRIM(INDEX(Charge!$K:$K,ROW())),IF(TRIM(INDEX(Charge!$L:$L,ROW()))&lt;&gt;"",TRIM(INDEX(Charge!$L:$L,ROW())),"(non affecté)")),"")</f>
        <v/>
      </c>
      <c r="CA203" t="str">
        <f>IF(AND($CD$4&lt;&gt;"",BZ203=$CD$4),COUNTIFS($BZ$4:$BZ$503,$CD$4,$L$4:$L$503,"&lt;"&amp;L203)+1,"")</f>
        <v/>
      </c>
      <c r="EJ203" t="str">
        <f>TRIM(INDEX(Data!$E:$E,ROW()))</f>
        <v/>
      </c>
      <c r="EK203" t="str">
        <f>TRIM(INDEX(Data!$H:$H,ROW()))</f>
        <v/>
      </c>
      <c r="EM203" t="str">
        <f>IF(D203=1,IF(TRIM(INDEX(Charge!$K:$K,ROW()))&lt;&gt;"","Interne",IF(TRIM(INDEX(Charge!$L:$L,ROW()))&lt;&gt;"","Externe","Non affecté")),"")</f>
        <v/>
      </c>
      <c r="EN203" t="str">
        <f>IF(D203=1,LEFT(SUBSTITUTE(SUBSTITUTE(SUBSTITUTE(TRIM(SUBSTITUTE(INDEX(Charge!$B:$B,ROW()),CHAR(160)," "))&amp;" | "&amp;TRIM(SUBSTITUTE(INDEX(Charge!$C:$C,ROW()),CHAR(160)," "))&amp;" | "&amp;TRIM(SUBSTITUTE(INDEX(Charge!$D:$D,ROW()),CHAR(160)," ")),"~","-"),"*","+"),"?","!"),240),"")</f>
        <v/>
      </c>
      <c r="EO203">
        <f>IF(EN203="",0,IF(COUNTIF($EN$4:EN203,EN203)=1,1,0))</f>
        <v>0</v>
      </c>
      <c r="EP203" s="166" t="str">
        <f>IF(EO203=1,ROUND(SUMIF($EN$4:$EN$503,EN203,$E$4:$E$503),2),"")</f>
        <v/>
      </c>
      <c r="EQ203" t="str">
        <f>IF(EO203=1,COUNTIFS($EO$4:$EO$503,1,$EP$4:$EP$503,"&gt;"&amp;EP203)+COUNTIFS($EO$4:EO203,1,$EP$4:EP203,EP203),"")</f>
        <v/>
      </c>
      <c r="ER203" t="str">
        <f>IF(EO203=1,COUNTIFS($EN$4:$EN$503,EN203,$EM$4:$EM$503,"Interne",$FE$4:$FE$503,1),"")</f>
        <v/>
      </c>
      <c r="ES203" t="str">
        <f>IF(EO203=1,COUNTIFS($EN$4:$EN$503,EN203,$EM$4:$EM$503,"Externe",$FE$4:$FE$503,1),"")</f>
        <v/>
      </c>
      <c r="ET203" t="str">
        <f>IF(EO203=1,IF(ER203+ES203=0,"à affecter",IF(ER203=0,ES203&amp;" ext.",(ER203+ES203)&amp;IF(ES203&gt;0," dont "&amp;ES203&amp;" ext.",""))&amp;IF(COUNTIFS($EN$4:$EN$503,EN203,$EM$4:$EM$503,"Non affecté")&gt;0," + à affecter","")),"")</f>
        <v/>
      </c>
      <c r="EU203" s="170" t="str">
        <f>IF(EO203=1,IF(EP203&gt;0,SUMPRODUCT(($EN$4:$EN$503=EN203)*$E$4:$E$503*$C$4:$C$503)/EP203,AVERAGEIF($EN$4:$EN$503,EN203,$C$4:$C$503)),"")</f>
        <v/>
      </c>
      <c r="EV203" s="165">
        <f>IF(ISNUMBER(I203),I203,2958465)</f>
        <v>2958465.0</v>
      </c>
      <c r="EW203" s="165" t="str">
        <f>IF(EO203=1,SUMPRODUCT(MIN(($EN$4:$EN$503=EN203)*$EV$4:$EV$503+($EN$4:$EN$503&lt;&gt;EN203)*2958465)),"")</f>
        <v/>
      </c>
      <c r="EX203" s="165">
        <f>IF(AND(D203=1,ISNUMBER(INDEX(Charge!$F:$F,ROW()))),INDEX(Charge!$F:$F,ROW()),0)</f>
        <v>0.0</v>
      </c>
      <c r="EY203" s="165" t="str">
        <f>IF(EO203=1,SUMPRODUCT(MAX(($EN$4:$EN$503=EN203)*$EX$4:$EX$503)),"")</f>
        <v/>
      </c>
      <c r="FA203" t="str">
        <f>IF(200&lt;=$CD$23,INDEX($EJ$4:$EJ$203,200),IF(200-$CD$23&lt;=$CD$26,INDEX($EK$4:$EK$203,200-$CD$23),""))</f>
        <v/>
      </c>
      <c r="FB203" t="str">
        <f>IF(FA203="","",IF(200&lt;=$CD$23,"Interne","Externe"))</f>
        <v/>
      </c>
      <c r="FD203">
        <f>IF(AND(B203=1,TRIM(INDEX(Charge!$K:$K,ROW()))&lt;&gt;"",TRIM(INDEX(Charge!$L:$L,ROW()))&lt;&gt;""),1,0)</f>
        <v>0</v>
      </c>
      <c r="FE203">
        <f>IF(OR(EN203="",BZ203="(non affecté)"),0,IF(COUNTIFS($EN$4:EN203,EN203,$BZ$4:BZ203,BZ203)=1,1,0))</f>
        <v>0</v>
      </c>
    </row>
    <row r="204">
      <c r="A204">
        <f>ROW()</f>
        <v>204</v>
      </c>
      <c r="B204">
        <f>IF(TRIM(INDEX(Charge!$B:$B,ROW()))&lt;&gt;"",1,0)</f>
        <v>0</v>
      </c>
      <c r="C204">
        <f>IF(B204=1,MIN(1,MAX(0,N(INDEX(Charge!$O:$O,ROW())))),0)</f>
        <v>0</v>
      </c>
      <c r="D204">
        <f>IF(B204=1,IF(OR(p_Perimetre="Tous les projets",C204&lt;1),1,0),0)</f>
        <v>0</v>
      </c>
      <c r="E204">
        <f>IF(D204=1,MAX(0,N(INDEX(Charge!$M:$M,ROW()))),0)</f>
        <v>0</v>
      </c>
      <c r="F204" t="str">
        <f>IF(D204=1,IF(TRIM(INDEX(Charge!$A:$A,ROW()))="","(non renseigné)",TRIM(INDEX(Charge!$A:$A,ROW()))),"")</f>
        <v/>
      </c>
      <c r="G204" t="str">
        <f>IF(D204=1,TRIM(INDEX(Charge!$B:$B,ROW())),"")</f>
        <v/>
      </c>
      <c r="H204" t="str">
        <f>IF(D204=1,IF(TRIM(INDEX(Charge!$E:$E,ROW()))="","(non renseigné)",TRIM(INDEX(Charge!$E:$E,ROW()))),"")</f>
        <v/>
      </c>
      <c r="I204" s="165" t="str">
        <f>IF(AND(D204=1,ISNUMBER(INDEX(Charge!$N:$N,ROW()))),INDEX(Charge!$N:$N,ROW()),"")</f>
        <v/>
      </c>
      <c r="J204" s="165" t="str">
        <f>IF(I204="","",IF(AND(p_Repartition="Lissée jusqu'à la date de besoin",ISNUMBER(INDEX(Charge!$F:$F,ROW()))),IF(INDEX(Charge!$F:$F,ROW())&gt;=I204,INDEX(Charge!$F:$F,ROW()),I204),I204))</f>
        <v/>
      </c>
      <c r="K204" t="str">
        <f>IF(I204="","",NETWORKDAYS(I204,J204,Data!$K$4:$K$203))</f>
        <v/>
      </c>
      <c r="L204" t="str">
        <f>IF(D204=1,COUNTIFS($D$4:$D$503,1,$E$4:$E$503,"&gt;"&amp;E204)+COUNTIFS($D$4:$D204,1,$E$4:$E204,E204),"")</f>
        <v/>
      </c>
      <c r="M204">
        <f>IF(F204="",0,IF(COUNTIF($F$4:F204,F204)=1,1,0))</f>
        <v>0</v>
      </c>
      <c r="N204" t="str">
        <f>IF(M204=1,ROUND(SUMIF($F$4:$F$503,F204,$E$4:$E$503),2),"")</f>
        <v/>
      </c>
      <c r="O204" t="str">
        <f>IF(M204=1,COUNTIFS($M$4:$M$503,1,$N$4:$N$503,"&gt;"&amp;N204)+COUNTIFS($M$4:M204,1,$N$4:N204,N204),"")</f>
        <v/>
      </c>
      <c r="P204">
        <f>IF(G204="",0,IF(COUNTIF($G$4:G204,G204)=1,1,0))</f>
        <v>0</v>
      </c>
      <c r="Q204" t="str">
        <f>IF(P204=1,ROUND(SUMIF($G$4:$G$503,G204,$E$4:$E$503),2),"")</f>
        <v/>
      </c>
      <c r="R204" t="str">
        <f>IF(P204=1,COUNTIFS($P$4:$P$503,1,$Q$4:$Q$503,"&gt;"&amp;Q204)+COUNTIFS($P$4:P204,1,$Q$4:Q204,Q204),"")</f>
        <v/>
      </c>
      <c r="S204">
        <f>IF(H204="",0,IF(COUNTIF($H$4:H204,H204)=1,1,0))</f>
        <v>0</v>
      </c>
      <c r="T204" t="str">
        <f>IF(S204=1,ROUND(SUMIF($H$4:$H$503,H204,$E$4:$E$503),2),"")</f>
        <v/>
      </c>
      <c r="U204" t="str">
        <f>IF(S204=1,COUNTIFS($S$4:$S$503,1,$T$4:$T$503,"&gt;"&amp;T204)+COUNTIFS($S$4:S204,1,$T$4:T204,T204),"")</f>
        <v/>
      </c>
      <c r="V204" t="str">
        <f>IF(D204=1,MIN(INDEX($R$4:$R$503,MATCH(G204,$G$4:$G$503,0)),IF($AL$7&gt;9,9,999)),"")</f>
        <v/>
      </c>
      <c r="W204" s="166">
        <f>IF(OR($I204="",$E204=0),0,IF(OR($J204&lt;W$3,$I204&gt;W$2),0,IF($K204=0,IF(AND($I204&gt;=W$3,$I204&lt;=W$2),$E204,0),$E204*NETWORKDAYS(MAX($I204,W$3),MIN($J204,W$2),Data!$K$4:$K$203)/$K204)))</f>
        <v>0</v>
      </c>
      <c r="X204" s="166">
        <f>IF(OR($I204="",$E204=0),0,IF(OR($J204&lt;X$3,$I204&gt;X$2),0,IF($K204=0,IF(AND($I204&gt;=X$3,$I204&lt;=X$2),$E204,0),$E204*NETWORKDAYS(MAX($I204,X$3),MIN($J204,X$2),Data!$K$4:$K$203)/$K204)))</f>
        <v>0</v>
      </c>
      <c r="Y204" s="166">
        <f>IF(OR($I204="",$E204=0),0,IF(OR($J204&lt;Y$3,$I204&gt;Y$2),0,IF($K204=0,IF(AND($I204&gt;=Y$3,$I204&lt;=Y$2),$E204,0),$E204*NETWORKDAYS(MAX($I204,Y$3),MIN($J204,Y$2),Data!$K$4:$K$203)/$K204)))</f>
        <v>0</v>
      </c>
      <c r="Z204" s="166">
        <f>IF(OR($I204="",$E204=0),0,IF(OR($J204&lt;Z$3,$I204&gt;Z$2),0,IF($K204=0,IF(AND($I204&gt;=Z$3,$I204&lt;=Z$2),$E204,0),$E204*NETWORKDAYS(MAX($I204,Z$3),MIN($J204,Z$2),Data!$K$4:$K$203)/$K204)))</f>
        <v>0</v>
      </c>
      <c r="AA204" s="166">
        <f>IF(OR($I204="",$E204=0),0,IF(OR($J204&lt;AA$3,$I204&gt;AA$2),0,IF($K204=0,IF(AND($I204&gt;=AA$3,$I204&lt;=AA$2),$E204,0),$E204*NETWORKDAYS(MAX($I204,AA$3),MIN($J204,AA$2),Data!$K$4:$K$203)/$K204)))</f>
        <v>0</v>
      </c>
      <c r="AB204" s="166">
        <f>IF(OR($I204="",$E204=0),0,IF(OR($J204&lt;AB$3,$I204&gt;AB$2),0,IF($K204=0,IF(AND($I204&gt;=AB$3,$I204&lt;=AB$2),$E204,0),$E204*NETWORKDAYS(MAX($I204,AB$3),MIN($J204,AB$2),Data!$K$4:$K$203)/$K204)))</f>
        <v>0</v>
      </c>
      <c r="AC204" s="166">
        <f>IF(OR($I204="",$E204=0),0,IF(OR($J204&lt;AC$3,$I204&gt;AC$2),0,IF($K204=0,IF(AND($I204&gt;=AC$3,$I204&lt;=AC$2),$E204,0),$E204*NETWORKDAYS(MAX($I204,AC$3),MIN($J204,AC$2),Data!$K$4:$K$203)/$K204)))</f>
        <v>0</v>
      </c>
      <c r="AD204" s="166">
        <f>IF(OR($I204="",$E204=0),0,IF(OR($J204&lt;AD$3,$I204&gt;AD$2),0,IF($K204=0,IF(AND($I204&gt;=AD$3,$I204&lt;=AD$2),$E204,0),$E204*NETWORKDAYS(MAX($I204,AD$3),MIN($J204,AD$2),Data!$K$4:$K$203)/$K204)))</f>
        <v>0</v>
      </c>
      <c r="AE204" s="166">
        <f>IF(OR($I204="",$E204=0),0,IF(OR($J204&lt;AE$3,$I204&gt;AE$2),0,IF($K204=0,IF(AND($I204&gt;=AE$3,$I204&lt;=AE$2),$E204,0),$E204*NETWORKDAYS(MAX($I204,AE$3),MIN($J204,AE$2),Data!$K$4:$K$203)/$K204)))</f>
        <v>0</v>
      </c>
      <c r="AF204" s="166">
        <f>IF(OR($I204="",$E204=0),0,IF(OR($J204&lt;AF$3,$I204&gt;AF$2),0,IF($K204=0,IF(AND($I204&gt;=AF$3,$I204&lt;=AF$2),$E204,0),$E204*NETWORKDAYS(MAX($I204,AF$3),MIN($J204,AF$2),Data!$K$4:$K$203)/$K204)))</f>
        <v>0</v>
      </c>
      <c r="AG204" s="166">
        <f>IF(OR($I204="",$E204=0),0,IF(OR($J204&lt;AG$3,$I204&gt;AG$2),0,IF($K204=0,IF(AND($I204&gt;=AG$3,$I204&lt;=AG$2),$E204,0),$E204*NETWORKDAYS(MAX($I204,AG$3),MIN($J204,AG$2),Data!$K$4:$K$203)/$K204)))</f>
        <v>0</v>
      </c>
      <c r="AH204" s="166">
        <f>IF(OR($I204="",$E204=0),0,IF(OR($J204&lt;AH$3,$I204&gt;AH$2),0,IF($K204=0,IF(AND($I204&gt;=AH$3,$I204&lt;=AH$2),$E204,0),$E204*NETWORKDAYS(MAX($I204,AH$3),MIN($J204,AH$2),Data!$K$4:$K$203)/$K204)))</f>
        <v>0</v>
      </c>
      <c r="AI204" s="166">
        <f>SUM(W204:AH204)</f>
        <v>0</v>
      </c>
      <c r="BZ204" t="str">
        <f>IF(D204=1,IF(TRIM(INDEX(Charge!$K:$K,ROW()))&lt;&gt;"",TRIM(INDEX(Charge!$K:$K,ROW())),IF(TRIM(INDEX(Charge!$L:$L,ROW()))&lt;&gt;"",TRIM(INDEX(Charge!$L:$L,ROW())),"(non affecté)")),"")</f>
        <v/>
      </c>
      <c r="CA204" t="str">
        <f>IF(AND($CD$4&lt;&gt;"",BZ204=$CD$4),COUNTIFS($BZ$4:$BZ$503,$CD$4,$L$4:$L$503,"&lt;"&amp;L204)+1,"")</f>
        <v/>
      </c>
      <c r="EM204" t="str">
        <f>IF(D204=1,IF(TRIM(INDEX(Charge!$K:$K,ROW()))&lt;&gt;"","Interne",IF(TRIM(INDEX(Charge!$L:$L,ROW()))&lt;&gt;"","Externe","Non affecté")),"")</f>
        <v/>
      </c>
      <c r="EN204" t="str">
        <f>IF(D204=1,LEFT(SUBSTITUTE(SUBSTITUTE(SUBSTITUTE(TRIM(SUBSTITUTE(INDEX(Charge!$B:$B,ROW()),CHAR(160)," "))&amp;" | "&amp;TRIM(SUBSTITUTE(INDEX(Charge!$C:$C,ROW()),CHAR(160)," "))&amp;" | "&amp;TRIM(SUBSTITUTE(INDEX(Charge!$D:$D,ROW()),CHAR(160)," ")),"~","-"),"*","+"),"?","!"),240),"")</f>
        <v/>
      </c>
      <c r="EO204">
        <f>IF(EN204="",0,IF(COUNTIF($EN$4:EN204,EN204)=1,1,0))</f>
        <v>0</v>
      </c>
      <c r="EP204" s="166" t="str">
        <f>IF(EO204=1,ROUND(SUMIF($EN$4:$EN$503,EN204,$E$4:$E$503),2),"")</f>
        <v/>
      </c>
      <c r="EQ204" t="str">
        <f>IF(EO204=1,COUNTIFS($EO$4:$EO$503,1,$EP$4:$EP$503,"&gt;"&amp;EP204)+COUNTIFS($EO$4:EO204,1,$EP$4:EP204,EP204),"")</f>
        <v/>
      </c>
      <c r="ER204" t="str">
        <f>IF(EO204=1,COUNTIFS($EN$4:$EN$503,EN204,$EM$4:$EM$503,"Interne",$FE$4:$FE$503,1),"")</f>
        <v/>
      </c>
      <c r="ES204" t="str">
        <f>IF(EO204=1,COUNTIFS($EN$4:$EN$503,EN204,$EM$4:$EM$503,"Externe",$FE$4:$FE$503,1),"")</f>
        <v/>
      </c>
      <c r="ET204" t="str">
        <f>IF(EO204=1,IF(ER204+ES204=0,"à affecter",IF(ER204=0,ES204&amp;" ext.",(ER204+ES204)&amp;IF(ES204&gt;0," dont "&amp;ES204&amp;" ext.",""))&amp;IF(COUNTIFS($EN$4:$EN$503,EN204,$EM$4:$EM$503,"Non affecté")&gt;0," + à affecter","")),"")</f>
        <v/>
      </c>
      <c r="EU204" s="170" t="str">
        <f>IF(EO204=1,IF(EP204&gt;0,SUMPRODUCT(($EN$4:$EN$503=EN204)*$E$4:$E$503*$C$4:$C$503)/EP204,AVERAGEIF($EN$4:$EN$503,EN204,$C$4:$C$503)),"")</f>
        <v/>
      </c>
      <c r="EV204" s="165">
        <f>IF(ISNUMBER(I204),I204,2958465)</f>
        <v>2958465.0</v>
      </c>
      <c r="EW204" s="165" t="str">
        <f>IF(EO204=1,SUMPRODUCT(MIN(($EN$4:$EN$503=EN204)*$EV$4:$EV$503+($EN$4:$EN$503&lt;&gt;EN204)*2958465)),"")</f>
        <v/>
      </c>
      <c r="EX204" s="165">
        <f>IF(AND(D204=1,ISNUMBER(INDEX(Charge!$F:$F,ROW()))),INDEX(Charge!$F:$F,ROW()),0)</f>
        <v>0.0</v>
      </c>
      <c r="EY204" s="165" t="str">
        <f>IF(EO204=1,SUMPRODUCT(MAX(($EN$4:$EN$503=EN204)*$EX$4:$EX$503)),"")</f>
        <v/>
      </c>
      <c r="FA204" t="str">
        <f>IF(201&lt;=$CD$23,INDEX($EJ$4:$EJ$203,201),IF(201-$CD$23&lt;=$CD$26,INDEX($EK$4:$EK$203,201-$CD$23),""))</f>
        <v/>
      </c>
      <c r="FB204" t="str">
        <f>IF(FA204="","",IF(201&lt;=$CD$23,"Interne","Externe"))</f>
        <v/>
      </c>
      <c r="FD204">
        <f>IF(AND(B204=1,TRIM(INDEX(Charge!$K:$K,ROW()))&lt;&gt;"",TRIM(INDEX(Charge!$L:$L,ROW()))&lt;&gt;""),1,0)</f>
        <v>0</v>
      </c>
      <c r="FE204">
        <f>IF(OR(EN204="",BZ204="(non affecté)"),0,IF(COUNTIFS($EN$4:EN204,EN204,$BZ$4:BZ204,BZ204)=1,1,0))</f>
        <v>0</v>
      </c>
    </row>
    <row r="205">
      <c r="A205">
        <f>ROW()</f>
        <v>205</v>
      </c>
      <c r="B205">
        <f>IF(TRIM(INDEX(Charge!$B:$B,ROW()))&lt;&gt;"",1,0)</f>
        <v>0</v>
      </c>
      <c r="C205">
        <f>IF(B205=1,MIN(1,MAX(0,N(INDEX(Charge!$O:$O,ROW())))),0)</f>
        <v>0</v>
      </c>
      <c r="D205">
        <f>IF(B205=1,IF(OR(p_Perimetre="Tous les projets",C205&lt;1),1,0),0)</f>
        <v>0</v>
      </c>
      <c r="E205">
        <f>IF(D205=1,MAX(0,N(INDEX(Charge!$M:$M,ROW()))),0)</f>
        <v>0</v>
      </c>
      <c r="F205" t="str">
        <f>IF(D205=1,IF(TRIM(INDEX(Charge!$A:$A,ROW()))="","(non renseigné)",TRIM(INDEX(Charge!$A:$A,ROW()))),"")</f>
        <v/>
      </c>
      <c r="G205" t="str">
        <f>IF(D205=1,TRIM(INDEX(Charge!$B:$B,ROW())),"")</f>
        <v/>
      </c>
      <c r="H205" t="str">
        <f>IF(D205=1,IF(TRIM(INDEX(Charge!$E:$E,ROW()))="","(non renseigné)",TRIM(INDEX(Charge!$E:$E,ROW()))),"")</f>
        <v/>
      </c>
      <c r="I205" s="165" t="str">
        <f>IF(AND(D205=1,ISNUMBER(INDEX(Charge!$N:$N,ROW()))),INDEX(Charge!$N:$N,ROW()),"")</f>
        <v/>
      </c>
      <c r="J205" s="165" t="str">
        <f>IF(I205="","",IF(AND(p_Repartition="Lissée jusqu'à la date de besoin",ISNUMBER(INDEX(Charge!$F:$F,ROW()))),IF(INDEX(Charge!$F:$F,ROW())&gt;=I205,INDEX(Charge!$F:$F,ROW()),I205),I205))</f>
        <v/>
      </c>
      <c r="K205" t="str">
        <f>IF(I205="","",NETWORKDAYS(I205,J205,Data!$K$4:$K$203))</f>
        <v/>
      </c>
      <c r="L205" t="str">
        <f>IF(D205=1,COUNTIFS($D$4:$D$503,1,$E$4:$E$503,"&gt;"&amp;E205)+COUNTIFS($D$4:$D205,1,$E$4:$E205,E205),"")</f>
        <v/>
      </c>
      <c r="M205">
        <f>IF(F205="",0,IF(COUNTIF($F$4:F205,F205)=1,1,0))</f>
        <v>0</v>
      </c>
      <c r="N205" t="str">
        <f>IF(M205=1,ROUND(SUMIF($F$4:$F$503,F205,$E$4:$E$503),2),"")</f>
        <v/>
      </c>
      <c r="O205" t="str">
        <f>IF(M205=1,COUNTIFS($M$4:$M$503,1,$N$4:$N$503,"&gt;"&amp;N205)+COUNTIFS($M$4:M205,1,$N$4:N205,N205),"")</f>
        <v/>
      </c>
      <c r="P205">
        <f>IF(G205="",0,IF(COUNTIF($G$4:G205,G205)=1,1,0))</f>
        <v>0</v>
      </c>
      <c r="Q205" t="str">
        <f>IF(P205=1,ROUND(SUMIF($G$4:$G$503,G205,$E$4:$E$503),2),"")</f>
        <v/>
      </c>
      <c r="R205" t="str">
        <f>IF(P205=1,COUNTIFS($P$4:$P$503,1,$Q$4:$Q$503,"&gt;"&amp;Q205)+COUNTIFS($P$4:P205,1,$Q$4:Q205,Q205),"")</f>
        <v/>
      </c>
      <c r="S205">
        <f>IF(H205="",0,IF(COUNTIF($H$4:H205,H205)=1,1,0))</f>
        <v>0</v>
      </c>
      <c r="T205" t="str">
        <f>IF(S205=1,ROUND(SUMIF($H$4:$H$503,H205,$E$4:$E$503),2),"")</f>
        <v/>
      </c>
      <c r="U205" t="str">
        <f>IF(S205=1,COUNTIFS($S$4:$S$503,1,$T$4:$T$503,"&gt;"&amp;T205)+COUNTIFS($S$4:S205,1,$T$4:T205,T205),"")</f>
        <v/>
      </c>
      <c r="V205" t="str">
        <f>IF(D205=1,MIN(INDEX($R$4:$R$503,MATCH(G205,$G$4:$G$503,0)),IF($AL$7&gt;9,9,999)),"")</f>
        <v/>
      </c>
      <c r="W205" s="166">
        <f>IF(OR($I205="",$E205=0),0,IF(OR($J205&lt;W$3,$I205&gt;W$2),0,IF($K205=0,IF(AND($I205&gt;=W$3,$I205&lt;=W$2),$E205,0),$E205*NETWORKDAYS(MAX($I205,W$3),MIN($J205,W$2),Data!$K$4:$K$203)/$K205)))</f>
        <v>0</v>
      </c>
      <c r="X205" s="166">
        <f>IF(OR($I205="",$E205=0),0,IF(OR($J205&lt;X$3,$I205&gt;X$2),0,IF($K205=0,IF(AND($I205&gt;=X$3,$I205&lt;=X$2),$E205,0),$E205*NETWORKDAYS(MAX($I205,X$3),MIN($J205,X$2),Data!$K$4:$K$203)/$K205)))</f>
        <v>0</v>
      </c>
      <c r="Y205" s="166">
        <f>IF(OR($I205="",$E205=0),0,IF(OR($J205&lt;Y$3,$I205&gt;Y$2),0,IF($K205=0,IF(AND($I205&gt;=Y$3,$I205&lt;=Y$2),$E205,0),$E205*NETWORKDAYS(MAX($I205,Y$3),MIN($J205,Y$2),Data!$K$4:$K$203)/$K205)))</f>
        <v>0</v>
      </c>
      <c r="Z205" s="166">
        <f>IF(OR($I205="",$E205=0),0,IF(OR($J205&lt;Z$3,$I205&gt;Z$2),0,IF($K205=0,IF(AND($I205&gt;=Z$3,$I205&lt;=Z$2),$E205,0),$E205*NETWORKDAYS(MAX($I205,Z$3),MIN($J205,Z$2),Data!$K$4:$K$203)/$K205)))</f>
        <v>0</v>
      </c>
      <c r="AA205" s="166">
        <f>IF(OR($I205="",$E205=0),0,IF(OR($J205&lt;AA$3,$I205&gt;AA$2),0,IF($K205=0,IF(AND($I205&gt;=AA$3,$I205&lt;=AA$2),$E205,0),$E205*NETWORKDAYS(MAX($I205,AA$3),MIN($J205,AA$2),Data!$K$4:$K$203)/$K205)))</f>
        <v>0</v>
      </c>
      <c r="AB205" s="166">
        <f>IF(OR($I205="",$E205=0),0,IF(OR($J205&lt;AB$3,$I205&gt;AB$2),0,IF($K205=0,IF(AND($I205&gt;=AB$3,$I205&lt;=AB$2),$E205,0),$E205*NETWORKDAYS(MAX($I205,AB$3),MIN($J205,AB$2),Data!$K$4:$K$203)/$K205)))</f>
        <v>0</v>
      </c>
      <c r="AC205" s="166">
        <f>IF(OR($I205="",$E205=0),0,IF(OR($J205&lt;AC$3,$I205&gt;AC$2),0,IF($K205=0,IF(AND($I205&gt;=AC$3,$I205&lt;=AC$2),$E205,0),$E205*NETWORKDAYS(MAX($I205,AC$3),MIN($J205,AC$2),Data!$K$4:$K$203)/$K205)))</f>
        <v>0</v>
      </c>
      <c r="AD205" s="166">
        <f>IF(OR($I205="",$E205=0),0,IF(OR($J205&lt;AD$3,$I205&gt;AD$2),0,IF($K205=0,IF(AND($I205&gt;=AD$3,$I205&lt;=AD$2),$E205,0),$E205*NETWORKDAYS(MAX($I205,AD$3),MIN($J205,AD$2),Data!$K$4:$K$203)/$K205)))</f>
        <v>0</v>
      </c>
      <c r="AE205" s="166">
        <f>IF(OR($I205="",$E205=0),0,IF(OR($J205&lt;AE$3,$I205&gt;AE$2),0,IF($K205=0,IF(AND($I205&gt;=AE$3,$I205&lt;=AE$2),$E205,0),$E205*NETWORKDAYS(MAX($I205,AE$3),MIN($J205,AE$2),Data!$K$4:$K$203)/$K205)))</f>
        <v>0</v>
      </c>
      <c r="AF205" s="166">
        <f>IF(OR($I205="",$E205=0),0,IF(OR($J205&lt;AF$3,$I205&gt;AF$2),0,IF($K205=0,IF(AND($I205&gt;=AF$3,$I205&lt;=AF$2),$E205,0),$E205*NETWORKDAYS(MAX($I205,AF$3),MIN($J205,AF$2),Data!$K$4:$K$203)/$K205)))</f>
        <v>0</v>
      </c>
      <c r="AG205" s="166">
        <f>IF(OR($I205="",$E205=0),0,IF(OR($J205&lt;AG$3,$I205&gt;AG$2),0,IF($K205=0,IF(AND($I205&gt;=AG$3,$I205&lt;=AG$2),$E205,0),$E205*NETWORKDAYS(MAX($I205,AG$3),MIN($J205,AG$2),Data!$K$4:$K$203)/$K205)))</f>
        <v>0</v>
      </c>
      <c r="AH205" s="166">
        <f>IF(OR($I205="",$E205=0),0,IF(OR($J205&lt;AH$3,$I205&gt;AH$2),0,IF($K205=0,IF(AND($I205&gt;=AH$3,$I205&lt;=AH$2),$E205,0),$E205*NETWORKDAYS(MAX($I205,AH$3),MIN($J205,AH$2),Data!$K$4:$K$203)/$K205)))</f>
        <v>0</v>
      </c>
      <c r="AI205" s="166">
        <f>SUM(W205:AH205)</f>
        <v>0</v>
      </c>
      <c r="BZ205" t="str">
        <f>IF(D205=1,IF(TRIM(INDEX(Charge!$K:$K,ROW()))&lt;&gt;"",TRIM(INDEX(Charge!$K:$K,ROW())),IF(TRIM(INDEX(Charge!$L:$L,ROW()))&lt;&gt;"",TRIM(INDEX(Charge!$L:$L,ROW())),"(non affecté)")),"")</f>
        <v/>
      </c>
      <c r="CA205" t="str">
        <f>IF(AND($CD$4&lt;&gt;"",BZ205=$CD$4),COUNTIFS($BZ$4:$BZ$503,$CD$4,$L$4:$L$503,"&lt;"&amp;L205)+1,"")</f>
        <v/>
      </c>
      <c r="EM205" t="str">
        <f>IF(D205=1,IF(TRIM(INDEX(Charge!$K:$K,ROW()))&lt;&gt;"","Interne",IF(TRIM(INDEX(Charge!$L:$L,ROW()))&lt;&gt;"","Externe","Non affecté")),"")</f>
        <v/>
      </c>
      <c r="EN205" t="str">
        <f>IF(D205=1,LEFT(SUBSTITUTE(SUBSTITUTE(SUBSTITUTE(TRIM(SUBSTITUTE(INDEX(Charge!$B:$B,ROW()),CHAR(160)," "))&amp;" | "&amp;TRIM(SUBSTITUTE(INDEX(Charge!$C:$C,ROW()),CHAR(160)," "))&amp;" | "&amp;TRIM(SUBSTITUTE(INDEX(Charge!$D:$D,ROW()),CHAR(160)," ")),"~","-"),"*","+"),"?","!"),240),"")</f>
        <v/>
      </c>
      <c r="EO205">
        <f>IF(EN205="",0,IF(COUNTIF($EN$4:EN205,EN205)=1,1,0))</f>
        <v>0</v>
      </c>
      <c r="EP205" s="166" t="str">
        <f>IF(EO205=1,ROUND(SUMIF($EN$4:$EN$503,EN205,$E$4:$E$503),2),"")</f>
        <v/>
      </c>
      <c r="EQ205" t="str">
        <f>IF(EO205=1,COUNTIFS($EO$4:$EO$503,1,$EP$4:$EP$503,"&gt;"&amp;EP205)+COUNTIFS($EO$4:EO205,1,$EP$4:EP205,EP205),"")</f>
        <v/>
      </c>
      <c r="ER205" t="str">
        <f>IF(EO205=1,COUNTIFS($EN$4:$EN$503,EN205,$EM$4:$EM$503,"Interne",$FE$4:$FE$503,1),"")</f>
        <v/>
      </c>
      <c r="ES205" t="str">
        <f>IF(EO205=1,COUNTIFS($EN$4:$EN$503,EN205,$EM$4:$EM$503,"Externe",$FE$4:$FE$503,1),"")</f>
        <v/>
      </c>
      <c r="ET205" t="str">
        <f>IF(EO205=1,IF(ER205+ES205=0,"à affecter",IF(ER205=0,ES205&amp;" ext.",(ER205+ES205)&amp;IF(ES205&gt;0," dont "&amp;ES205&amp;" ext.",""))&amp;IF(COUNTIFS($EN$4:$EN$503,EN205,$EM$4:$EM$503,"Non affecté")&gt;0," + à affecter","")),"")</f>
        <v/>
      </c>
      <c r="EU205" s="170" t="str">
        <f>IF(EO205=1,IF(EP205&gt;0,SUMPRODUCT(($EN$4:$EN$503=EN205)*$E$4:$E$503*$C$4:$C$503)/EP205,AVERAGEIF($EN$4:$EN$503,EN205,$C$4:$C$503)),"")</f>
        <v/>
      </c>
      <c r="EV205" s="165">
        <f>IF(ISNUMBER(I205),I205,2958465)</f>
        <v>2958465.0</v>
      </c>
      <c r="EW205" s="165" t="str">
        <f>IF(EO205=1,SUMPRODUCT(MIN(($EN$4:$EN$503=EN205)*$EV$4:$EV$503+($EN$4:$EN$503&lt;&gt;EN205)*2958465)),"")</f>
        <v/>
      </c>
      <c r="EX205" s="165">
        <f>IF(AND(D205=1,ISNUMBER(INDEX(Charge!$F:$F,ROW()))),INDEX(Charge!$F:$F,ROW()),0)</f>
        <v>0.0</v>
      </c>
      <c r="EY205" s="165" t="str">
        <f>IF(EO205=1,SUMPRODUCT(MAX(($EN$4:$EN$503=EN205)*$EX$4:$EX$503)),"")</f>
        <v/>
      </c>
      <c r="FA205" t="str">
        <f>IF(202&lt;=$CD$23,INDEX($EJ$4:$EJ$203,202),IF(202-$CD$23&lt;=$CD$26,INDEX($EK$4:$EK$203,202-$CD$23),""))</f>
        <v/>
      </c>
      <c r="FB205" t="str">
        <f>IF(FA205="","",IF(202&lt;=$CD$23,"Interne","Externe"))</f>
        <v/>
      </c>
      <c r="FD205">
        <f>IF(AND(B205=1,TRIM(INDEX(Charge!$K:$K,ROW()))&lt;&gt;"",TRIM(INDEX(Charge!$L:$L,ROW()))&lt;&gt;""),1,0)</f>
        <v>0</v>
      </c>
      <c r="FE205">
        <f>IF(OR(EN205="",BZ205="(non affecté)"),0,IF(COUNTIFS($EN$4:EN205,EN205,$BZ$4:BZ205,BZ205)=1,1,0))</f>
        <v>0</v>
      </c>
    </row>
    <row r="206">
      <c r="A206">
        <f>ROW()</f>
        <v>206</v>
      </c>
      <c r="B206">
        <f>IF(TRIM(INDEX(Charge!$B:$B,ROW()))&lt;&gt;"",1,0)</f>
        <v>0</v>
      </c>
      <c r="C206">
        <f>IF(B206=1,MIN(1,MAX(0,N(INDEX(Charge!$O:$O,ROW())))),0)</f>
        <v>0</v>
      </c>
      <c r="D206">
        <f>IF(B206=1,IF(OR(p_Perimetre="Tous les projets",C206&lt;1),1,0),0)</f>
        <v>0</v>
      </c>
      <c r="E206">
        <f>IF(D206=1,MAX(0,N(INDEX(Charge!$M:$M,ROW()))),0)</f>
        <v>0</v>
      </c>
      <c r="F206" t="str">
        <f>IF(D206=1,IF(TRIM(INDEX(Charge!$A:$A,ROW()))="","(non renseigné)",TRIM(INDEX(Charge!$A:$A,ROW()))),"")</f>
        <v/>
      </c>
      <c r="G206" t="str">
        <f>IF(D206=1,TRIM(INDEX(Charge!$B:$B,ROW())),"")</f>
        <v/>
      </c>
      <c r="H206" t="str">
        <f>IF(D206=1,IF(TRIM(INDEX(Charge!$E:$E,ROW()))="","(non renseigné)",TRIM(INDEX(Charge!$E:$E,ROW()))),"")</f>
        <v/>
      </c>
      <c r="I206" s="165" t="str">
        <f>IF(AND(D206=1,ISNUMBER(INDEX(Charge!$N:$N,ROW()))),INDEX(Charge!$N:$N,ROW()),"")</f>
        <v/>
      </c>
      <c r="J206" s="165" t="str">
        <f>IF(I206="","",IF(AND(p_Repartition="Lissée jusqu'à la date de besoin",ISNUMBER(INDEX(Charge!$F:$F,ROW()))),IF(INDEX(Charge!$F:$F,ROW())&gt;=I206,INDEX(Charge!$F:$F,ROW()),I206),I206))</f>
        <v/>
      </c>
      <c r="K206" t="str">
        <f>IF(I206="","",NETWORKDAYS(I206,J206,Data!$K$4:$K$203))</f>
        <v/>
      </c>
      <c r="L206" t="str">
        <f>IF(D206=1,COUNTIFS($D$4:$D$503,1,$E$4:$E$503,"&gt;"&amp;E206)+COUNTIFS($D$4:$D206,1,$E$4:$E206,E206),"")</f>
        <v/>
      </c>
      <c r="M206">
        <f>IF(F206="",0,IF(COUNTIF($F$4:F206,F206)=1,1,0))</f>
        <v>0</v>
      </c>
      <c r="N206" t="str">
        <f>IF(M206=1,ROUND(SUMIF($F$4:$F$503,F206,$E$4:$E$503),2),"")</f>
        <v/>
      </c>
      <c r="O206" t="str">
        <f>IF(M206=1,COUNTIFS($M$4:$M$503,1,$N$4:$N$503,"&gt;"&amp;N206)+COUNTIFS($M$4:M206,1,$N$4:N206,N206),"")</f>
        <v/>
      </c>
      <c r="P206">
        <f>IF(G206="",0,IF(COUNTIF($G$4:G206,G206)=1,1,0))</f>
        <v>0</v>
      </c>
      <c r="Q206" t="str">
        <f>IF(P206=1,ROUND(SUMIF($G$4:$G$503,G206,$E$4:$E$503),2),"")</f>
        <v/>
      </c>
      <c r="R206" t="str">
        <f>IF(P206=1,COUNTIFS($P$4:$P$503,1,$Q$4:$Q$503,"&gt;"&amp;Q206)+COUNTIFS($P$4:P206,1,$Q$4:Q206,Q206),"")</f>
        <v/>
      </c>
      <c r="S206">
        <f>IF(H206="",0,IF(COUNTIF($H$4:H206,H206)=1,1,0))</f>
        <v>0</v>
      </c>
      <c r="T206" t="str">
        <f>IF(S206=1,ROUND(SUMIF($H$4:$H$503,H206,$E$4:$E$503),2),"")</f>
        <v/>
      </c>
      <c r="U206" t="str">
        <f>IF(S206=1,COUNTIFS($S$4:$S$503,1,$T$4:$T$503,"&gt;"&amp;T206)+COUNTIFS($S$4:S206,1,$T$4:T206,T206),"")</f>
        <v/>
      </c>
      <c r="V206" t="str">
        <f>IF(D206=1,MIN(INDEX($R$4:$R$503,MATCH(G206,$G$4:$G$503,0)),IF($AL$7&gt;9,9,999)),"")</f>
        <v/>
      </c>
      <c r="W206" s="166">
        <f>IF(OR($I206="",$E206=0),0,IF(OR($J206&lt;W$3,$I206&gt;W$2),0,IF($K206=0,IF(AND($I206&gt;=W$3,$I206&lt;=W$2),$E206,0),$E206*NETWORKDAYS(MAX($I206,W$3),MIN($J206,W$2),Data!$K$4:$K$203)/$K206)))</f>
        <v>0</v>
      </c>
      <c r="X206" s="166">
        <f>IF(OR($I206="",$E206=0),0,IF(OR($J206&lt;X$3,$I206&gt;X$2),0,IF($K206=0,IF(AND($I206&gt;=X$3,$I206&lt;=X$2),$E206,0),$E206*NETWORKDAYS(MAX($I206,X$3),MIN($J206,X$2),Data!$K$4:$K$203)/$K206)))</f>
        <v>0</v>
      </c>
      <c r="Y206" s="166">
        <f>IF(OR($I206="",$E206=0),0,IF(OR($J206&lt;Y$3,$I206&gt;Y$2),0,IF($K206=0,IF(AND($I206&gt;=Y$3,$I206&lt;=Y$2),$E206,0),$E206*NETWORKDAYS(MAX($I206,Y$3),MIN($J206,Y$2),Data!$K$4:$K$203)/$K206)))</f>
        <v>0</v>
      </c>
      <c r="Z206" s="166">
        <f>IF(OR($I206="",$E206=0),0,IF(OR($J206&lt;Z$3,$I206&gt;Z$2),0,IF($K206=0,IF(AND($I206&gt;=Z$3,$I206&lt;=Z$2),$E206,0),$E206*NETWORKDAYS(MAX($I206,Z$3),MIN($J206,Z$2),Data!$K$4:$K$203)/$K206)))</f>
        <v>0</v>
      </c>
      <c r="AA206" s="166">
        <f>IF(OR($I206="",$E206=0),0,IF(OR($J206&lt;AA$3,$I206&gt;AA$2),0,IF($K206=0,IF(AND($I206&gt;=AA$3,$I206&lt;=AA$2),$E206,0),$E206*NETWORKDAYS(MAX($I206,AA$3),MIN($J206,AA$2),Data!$K$4:$K$203)/$K206)))</f>
        <v>0</v>
      </c>
      <c r="AB206" s="166">
        <f>IF(OR($I206="",$E206=0),0,IF(OR($J206&lt;AB$3,$I206&gt;AB$2),0,IF($K206=0,IF(AND($I206&gt;=AB$3,$I206&lt;=AB$2),$E206,0),$E206*NETWORKDAYS(MAX($I206,AB$3),MIN($J206,AB$2),Data!$K$4:$K$203)/$K206)))</f>
        <v>0</v>
      </c>
      <c r="AC206" s="166">
        <f>IF(OR($I206="",$E206=0),0,IF(OR($J206&lt;AC$3,$I206&gt;AC$2),0,IF($K206=0,IF(AND($I206&gt;=AC$3,$I206&lt;=AC$2),$E206,0),$E206*NETWORKDAYS(MAX($I206,AC$3),MIN($J206,AC$2),Data!$K$4:$K$203)/$K206)))</f>
        <v>0</v>
      </c>
      <c r="AD206" s="166">
        <f>IF(OR($I206="",$E206=0),0,IF(OR($J206&lt;AD$3,$I206&gt;AD$2),0,IF($K206=0,IF(AND($I206&gt;=AD$3,$I206&lt;=AD$2),$E206,0),$E206*NETWORKDAYS(MAX($I206,AD$3),MIN($J206,AD$2),Data!$K$4:$K$203)/$K206)))</f>
        <v>0</v>
      </c>
      <c r="AE206" s="166">
        <f>IF(OR($I206="",$E206=0),0,IF(OR($J206&lt;AE$3,$I206&gt;AE$2),0,IF($K206=0,IF(AND($I206&gt;=AE$3,$I206&lt;=AE$2),$E206,0),$E206*NETWORKDAYS(MAX($I206,AE$3),MIN($J206,AE$2),Data!$K$4:$K$203)/$K206)))</f>
        <v>0</v>
      </c>
      <c r="AF206" s="166">
        <f>IF(OR($I206="",$E206=0),0,IF(OR($J206&lt;AF$3,$I206&gt;AF$2),0,IF($K206=0,IF(AND($I206&gt;=AF$3,$I206&lt;=AF$2),$E206,0),$E206*NETWORKDAYS(MAX($I206,AF$3),MIN($J206,AF$2),Data!$K$4:$K$203)/$K206)))</f>
        <v>0</v>
      </c>
      <c r="AG206" s="166">
        <f>IF(OR($I206="",$E206=0),0,IF(OR($J206&lt;AG$3,$I206&gt;AG$2),0,IF($K206=0,IF(AND($I206&gt;=AG$3,$I206&lt;=AG$2),$E206,0),$E206*NETWORKDAYS(MAX($I206,AG$3),MIN($J206,AG$2),Data!$K$4:$K$203)/$K206)))</f>
        <v>0</v>
      </c>
      <c r="AH206" s="166">
        <f>IF(OR($I206="",$E206=0),0,IF(OR($J206&lt;AH$3,$I206&gt;AH$2),0,IF($K206=0,IF(AND($I206&gt;=AH$3,$I206&lt;=AH$2),$E206,0),$E206*NETWORKDAYS(MAX($I206,AH$3),MIN($J206,AH$2),Data!$K$4:$K$203)/$K206)))</f>
        <v>0</v>
      </c>
      <c r="AI206" s="166">
        <f>SUM(W206:AH206)</f>
        <v>0</v>
      </c>
      <c r="BZ206" t="str">
        <f>IF(D206=1,IF(TRIM(INDEX(Charge!$K:$K,ROW()))&lt;&gt;"",TRIM(INDEX(Charge!$K:$K,ROW())),IF(TRIM(INDEX(Charge!$L:$L,ROW()))&lt;&gt;"",TRIM(INDEX(Charge!$L:$L,ROW())),"(non affecté)")),"")</f>
        <v/>
      </c>
      <c r="CA206" t="str">
        <f>IF(AND($CD$4&lt;&gt;"",BZ206=$CD$4),COUNTIFS($BZ$4:$BZ$503,$CD$4,$L$4:$L$503,"&lt;"&amp;L206)+1,"")</f>
        <v/>
      </c>
      <c r="EM206" t="str">
        <f>IF(D206=1,IF(TRIM(INDEX(Charge!$K:$K,ROW()))&lt;&gt;"","Interne",IF(TRIM(INDEX(Charge!$L:$L,ROW()))&lt;&gt;"","Externe","Non affecté")),"")</f>
        <v/>
      </c>
      <c r="EN206" t="str">
        <f>IF(D206=1,LEFT(SUBSTITUTE(SUBSTITUTE(SUBSTITUTE(TRIM(SUBSTITUTE(INDEX(Charge!$B:$B,ROW()),CHAR(160)," "))&amp;" | "&amp;TRIM(SUBSTITUTE(INDEX(Charge!$C:$C,ROW()),CHAR(160)," "))&amp;" | "&amp;TRIM(SUBSTITUTE(INDEX(Charge!$D:$D,ROW()),CHAR(160)," ")),"~","-"),"*","+"),"?","!"),240),"")</f>
        <v/>
      </c>
      <c r="EO206">
        <f>IF(EN206="",0,IF(COUNTIF($EN$4:EN206,EN206)=1,1,0))</f>
        <v>0</v>
      </c>
      <c r="EP206" s="166" t="str">
        <f>IF(EO206=1,ROUND(SUMIF($EN$4:$EN$503,EN206,$E$4:$E$503),2),"")</f>
        <v/>
      </c>
      <c r="EQ206" t="str">
        <f>IF(EO206=1,COUNTIFS($EO$4:$EO$503,1,$EP$4:$EP$503,"&gt;"&amp;EP206)+COUNTIFS($EO$4:EO206,1,$EP$4:EP206,EP206),"")</f>
        <v/>
      </c>
      <c r="ER206" t="str">
        <f>IF(EO206=1,COUNTIFS($EN$4:$EN$503,EN206,$EM$4:$EM$503,"Interne",$FE$4:$FE$503,1),"")</f>
        <v/>
      </c>
      <c r="ES206" t="str">
        <f>IF(EO206=1,COUNTIFS($EN$4:$EN$503,EN206,$EM$4:$EM$503,"Externe",$FE$4:$FE$503,1),"")</f>
        <v/>
      </c>
      <c r="ET206" t="str">
        <f>IF(EO206=1,IF(ER206+ES206=0,"à affecter",IF(ER206=0,ES206&amp;" ext.",(ER206+ES206)&amp;IF(ES206&gt;0," dont "&amp;ES206&amp;" ext.",""))&amp;IF(COUNTIFS($EN$4:$EN$503,EN206,$EM$4:$EM$503,"Non affecté")&gt;0," + à affecter","")),"")</f>
        <v/>
      </c>
      <c r="EU206" s="170" t="str">
        <f>IF(EO206=1,IF(EP206&gt;0,SUMPRODUCT(($EN$4:$EN$503=EN206)*$E$4:$E$503*$C$4:$C$503)/EP206,AVERAGEIF($EN$4:$EN$503,EN206,$C$4:$C$503)),"")</f>
        <v/>
      </c>
      <c r="EV206" s="165">
        <f>IF(ISNUMBER(I206),I206,2958465)</f>
        <v>2958465.0</v>
      </c>
      <c r="EW206" s="165" t="str">
        <f>IF(EO206=1,SUMPRODUCT(MIN(($EN$4:$EN$503=EN206)*$EV$4:$EV$503+($EN$4:$EN$503&lt;&gt;EN206)*2958465)),"")</f>
        <v/>
      </c>
      <c r="EX206" s="165">
        <f>IF(AND(D206=1,ISNUMBER(INDEX(Charge!$F:$F,ROW()))),INDEX(Charge!$F:$F,ROW()),0)</f>
        <v>0.0</v>
      </c>
      <c r="EY206" s="165" t="str">
        <f>IF(EO206=1,SUMPRODUCT(MAX(($EN$4:$EN$503=EN206)*$EX$4:$EX$503)),"")</f>
        <v/>
      </c>
      <c r="FA206" t="str">
        <f>IF(203&lt;=$CD$23,INDEX($EJ$4:$EJ$203,203),IF(203-$CD$23&lt;=$CD$26,INDEX($EK$4:$EK$203,203-$CD$23),""))</f>
        <v/>
      </c>
      <c r="FB206" t="str">
        <f>IF(FA206="","",IF(203&lt;=$CD$23,"Interne","Externe"))</f>
        <v/>
      </c>
      <c r="FD206">
        <f>IF(AND(B206=1,TRIM(INDEX(Charge!$K:$K,ROW()))&lt;&gt;"",TRIM(INDEX(Charge!$L:$L,ROW()))&lt;&gt;""),1,0)</f>
        <v>0</v>
      </c>
      <c r="FE206">
        <f>IF(OR(EN206="",BZ206="(non affecté)"),0,IF(COUNTIFS($EN$4:EN206,EN206,$BZ$4:BZ206,BZ206)=1,1,0))</f>
        <v>0</v>
      </c>
    </row>
    <row r="207">
      <c r="A207">
        <f>ROW()</f>
        <v>207</v>
      </c>
      <c r="B207">
        <f>IF(TRIM(INDEX(Charge!$B:$B,ROW()))&lt;&gt;"",1,0)</f>
        <v>0</v>
      </c>
      <c r="C207">
        <f>IF(B207=1,MIN(1,MAX(0,N(INDEX(Charge!$O:$O,ROW())))),0)</f>
        <v>0</v>
      </c>
      <c r="D207">
        <f>IF(B207=1,IF(OR(p_Perimetre="Tous les projets",C207&lt;1),1,0),0)</f>
        <v>0</v>
      </c>
      <c r="E207">
        <f>IF(D207=1,MAX(0,N(INDEX(Charge!$M:$M,ROW()))),0)</f>
        <v>0</v>
      </c>
      <c r="F207" t="str">
        <f>IF(D207=1,IF(TRIM(INDEX(Charge!$A:$A,ROW()))="","(non renseigné)",TRIM(INDEX(Charge!$A:$A,ROW()))),"")</f>
        <v/>
      </c>
      <c r="G207" t="str">
        <f>IF(D207=1,TRIM(INDEX(Charge!$B:$B,ROW())),"")</f>
        <v/>
      </c>
      <c r="H207" t="str">
        <f>IF(D207=1,IF(TRIM(INDEX(Charge!$E:$E,ROW()))="","(non renseigné)",TRIM(INDEX(Charge!$E:$E,ROW()))),"")</f>
        <v/>
      </c>
      <c r="I207" s="165" t="str">
        <f>IF(AND(D207=1,ISNUMBER(INDEX(Charge!$N:$N,ROW()))),INDEX(Charge!$N:$N,ROW()),"")</f>
        <v/>
      </c>
      <c r="J207" s="165" t="str">
        <f>IF(I207="","",IF(AND(p_Repartition="Lissée jusqu'à la date de besoin",ISNUMBER(INDEX(Charge!$F:$F,ROW()))),IF(INDEX(Charge!$F:$F,ROW())&gt;=I207,INDEX(Charge!$F:$F,ROW()),I207),I207))</f>
        <v/>
      </c>
      <c r="K207" t="str">
        <f>IF(I207="","",NETWORKDAYS(I207,J207,Data!$K$4:$K$203))</f>
        <v/>
      </c>
      <c r="L207" t="str">
        <f>IF(D207=1,COUNTIFS($D$4:$D$503,1,$E$4:$E$503,"&gt;"&amp;E207)+COUNTIFS($D$4:$D207,1,$E$4:$E207,E207),"")</f>
        <v/>
      </c>
      <c r="M207">
        <f>IF(F207="",0,IF(COUNTIF($F$4:F207,F207)=1,1,0))</f>
        <v>0</v>
      </c>
      <c r="N207" t="str">
        <f>IF(M207=1,ROUND(SUMIF($F$4:$F$503,F207,$E$4:$E$503),2),"")</f>
        <v/>
      </c>
      <c r="O207" t="str">
        <f>IF(M207=1,COUNTIFS($M$4:$M$503,1,$N$4:$N$503,"&gt;"&amp;N207)+COUNTIFS($M$4:M207,1,$N$4:N207,N207),"")</f>
        <v/>
      </c>
      <c r="P207">
        <f>IF(G207="",0,IF(COUNTIF($G$4:G207,G207)=1,1,0))</f>
        <v>0</v>
      </c>
      <c r="Q207" t="str">
        <f>IF(P207=1,ROUND(SUMIF($G$4:$G$503,G207,$E$4:$E$503),2),"")</f>
        <v/>
      </c>
      <c r="R207" t="str">
        <f>IF(P207=1,COUNTIFS($P$4:$P$503,1,$Q$4:$Q$503,"&gt;"&amp;Q207)+COUNTIFS($P$4:P207,1,$Q$4:Q207,Q207),"")</f>
        <v/>
      </c>
      <c r="S207">
        <f>IF(H207="",0,IF(COUNTIF($H$4:H207,H207)=1,1,0))</f>
        <v>0</v>
      </c>
      <c r="T207" t="str">
        <f>IF(S207=1,ROUND(SUMIF($H$4:$H$503,H207,$E$4:$E$503),2),"")</f>
        <v/>
      </c>
      <c r="U207" t="str">
        <f>IF(S207=1,COUNTIFS($S$4:$S$503,1,$T$4:$T$503,"&gt;"&amp;T207)+COUNTIFS($S$4:S207,1,$T$4:T207,T207),"")</f>
        <v/>
      </c>
      <c r="V207" t="str">
        <f>IF(D207=1,MIN(INDEX($R$4:$R$503,MATCH(G207,$G$4:$G$503,0)),IF($AL$7&gt;9,9,999)),"")</f>
        <v/>
      </c>
      <c r="W207" s="166">
        <f>IF(OR($I207="",$E207=0),0,IF(OR($J207&lt;W$3,$I207&gt;W$2),0,IF($K207=0,IF(AND($I207&gt;=W$3,$I207&lt;=W$2),$E207,0),$E207*NETWORKDAYS(MAX($I207,W$3),MIN($J207,W$2),Data!$K$4:$K$203)/$K207)))</f>
        <v>0</v>
      </c>
      <c r="X207" s="166">
        <f>IF(OR($I207="",$E207=0),0,IF(OR($J207&lt;X$3,$I207&gt;X$2),0,IF($K207=0,IF(AND($I207&gt;=X$3,$I207&lt;=X$2),$E207,0),$E207*NETWORKDAYS(MAX($I207,X$3),MIN($J207,X$2),Data!$K$4:$K$203)/$K207)))</f>
        <v>0</v>
      </c>
      <c r="Y207" s="166">
        <f>IF(OR($I207="",$E207=0),0,IF(OR($J207&lt;Y$3,$I207&gt;Y$2),0,IF($K207=0,IF(AND($I207&gt;=Y$3,$I207&lt;=Y$2),$E207,0),$E207*NETWORKDAYS(MAX($I207,Y$3),MIN($J207,Y$2),Data!$K$4:$K$203)/$K207)))</f>
        <v>0</v>
      </c>
      <c r="Z207" s="166">
        <f>IF(OR($I207="",$E207=0),0,IF(OR($J207&lt;Z$3,$I207&gt;Z$2),0,IF($K207=0,IF(AND($I207&gt;=Z$3,$I207&lt;=Z$2),$E207,0),$E207*NETWORKDAYS(MAX($I207,Z$3),MIN($J207,Z$2),Data!$K$4:$K$203)/$K207)))</f>
        <v>0</v>
      </c>
      <c r="AA207" s="166">
        <f>IF(OR($I207="",$E207=0),0,IF(OR($J207&lt;AA$3,$I207&gt;AA$2),0,IF($K207=0,IF(AND($I207&gt;=AA$3,$I207&lt;=AA$2),$E207,0),$E207*NETWORKDAYS(MAX($I207,AA$3),MIN($J207,AA$2),Data!$K$4:$K$203)/$K207)))</f>
        <v>0</v>
      </c>
      <c r="AB207" s="166">
        <f>IF(OR($I207="",$E207=0),0,IF(OR($J207&lt;AB$3,$I207&gt;AB$2),0,IF($K207=0,IF(AND($I207&gt;=AB$3,$I207&lt;=AB$2),$E207,0),$E207*NETWORKDAYS(MAX($I207,AB$3),MIN($J207,AB$2),Data!$K$4:$K$203)/$K207)))</f>
        <v>0</v>
      </c>
      <c r="AC207" s="166">
        <f>IF(OR($I207="",$E207=0),0,IF(OR($J207&lt;AC$3,$I207&gt;AC$2),0,IF($K207=0,IF(AND($I207&gt;=AC$3,$I207&lt;=AC$2),$E207,0),$E207*NETWORKDAYS(MAX($I207,AC$3),MIN($J207,AC$2),Data!$K$4:$K$203)/$K207)))</f>
        <v>0</v>
      </c>
      <c r="AD207" s="166">
        <f>IF(OR($I207="",$E207=0),0,IF(OR($J207&lt;AD$3,$I207&gt;AD$2),0,IF($K207=0,IF(AND($I207&gt;=AD$3,$I207&lt;=AD$2),$E207,0),$E207*NETWORKDAYS(MAX($I207,AD$3),MIN($J207,AD$2),Data!$K$4:$K$203)/$K207)))</f>
        <v>0</v>
      </c>
      <c r="AE207" s="166">
        <f>IF(OR($I207="",$E207=0),0,IF(OR($J207&lt;AE$3,$I207&gt;AE$2),0,IF($K207=0,IF(AND($I207&gt;=AE$3,$I207&lt;=AE$2),$E207,0),$E207*NETWORKDAYS(MAX($I207,AE$3),MIN($J207,AE$2),Data!$K$4:$K$203)/$K207)))</f>
        <v>0</v>
      </c>
      <c r="AF207" s="166">
        <f>IF(OR($I207="",$E207=0),0,IF(OR($J207&lt;AF$3,$I207&gt;AF$2),0,IF($K207=0,IF(AND($I207&gt;=AF$3,$I207&lt;=AF$2),$E207,0),$E207*NETWORKDAYS(MAX($I207,AF$3),MIN($J207,AF$2),Data!$K$4:$K$203)/$K207)))</f>
        <v>0</v>
      </c>
      <c r="AG207" s="166">
        <f>IF(OR($I207="",$E207=0),0,IF(OR($J207&lt;AG$3,$I207&gt;AG$2),0,IF($K207=0,IF(AND($I207&gt;=AG$3,$I207&lt;=AG$2),$E207,0),$E207*NETWORKDAYS(MAX($I207,AG$3),MIN($J207,AG$2),Data!$K$4:$K$203)/$K207)))</f>
        <v>0</v>
      </c>
      <c r="AH207" s="166">
        <f>IF(OR($I207="",$E207=0),0,IF(OR($J207&lt;AH$3,$I207&gt;AH$2),0,IF($K207=0,IF(AND($I207&gt;=AH$3,$I207&lt;=AH$2),$E207,0),$E207*NETWORKDAYS(MAX($I207,AH$3),MIN($J207,AH$2),Data!$K$4:$K$203)/$K207)))</f>
        <v>0</v>
      </c>
      <c r="AI207" s="166">
        <f>SUM(W207:AH207)</f>
        <v>0</v>
      </c>
      <c r="BZ207" t="str">
        <f>IF(D207=1,IF(TRIM(INDEX(Charge!$K:$K,ROW()))&lt;&gt;"",TRIM(INDEX(Charge!$K:$K,ROW())),IF(TRIM(INDEX(Charge!$L:$L,ROW()))&lt;&gt;"",TRIM(INDEX(Charge!$L:$L,ROW())),"(non affecté)")),"")</f>
        <v/>
      </c>
      <c r="CA207" t="str">
        <f>IF(AND($CD$4&lt;&gt;"",BZ207=$CD$4),COUNTIFS($BZ$4:$BZ$503,$CD$4,$L$4:$L$503,"&lt;"&amp;L207)+1,"")</f>
        <v/>
      </c>
      <c r="EM207" t="str">
        <f>IF(D207=1,IF(TRIM(INDEX(Charge!$K:$K,ROW()))&lt;&gt;"","Interne",IF(TRIM(INDEX(Charge!$L:$L,ROW()))&lt;&gt;"","Externe","Non affecté")),"")</f>
        <v/>
      </c>
      <c r="EN207" t="str">
        <f>IF(D207=1,LEFT(SUBSTITUTE(SUBSTITUTE(SUBSTITUTE(TRIM(SUBSTITUTE(INDEX(Charge!$B:$B,ROW()),CHAR(160)," "))&amp;" | "&amp;TRIM(SUBSTITUTE(INDEX(Charge!$C:$C,ROW()),CHAR(160)," "))&amp;" | "&amp;TRIM(SUBSTITUTE(INDEX(Charge!$D:$D,ROW()),CHAR(160)," ")),"~","-"),"*","+"),"?","!"),240),"")</f>
        <v/>
      </c>
      <c r="EO207">
        <f>IF(EN207="",0,IF(COUNTIF($EN$4:EN207,EN207)=1,1,0))</f>
        <v>0</v>
      </c>
      <c r="EP207" s="166" t="str">
        <f>IF(EO207=1,ROUND(SUMIF($EN$4:$EN$503,EN207,$E$4:$E$503),2),"")</f>
        <v/>
      </c>
      <c r="EQ207" t="str">
        <f>IF(EO207=1,COUNTIFS($EO$4:$EO$503,1,$EP$4:$EP$503,"&gt;"&amp;EP207)+COUNTIFS($EO$4:EO207,1,$EP$4:EP207,EP207),"")</f>
        <v/>
      </c>
      <c r="ER207" t="str">
        <f>IF(EO207=1,COUNTIFS($EN$4:$EN$503,EN207,$EM$4:$EM$503,"Interne",$FE$4:$FE$503,1),"")</f>
        <v/>
      </c>
      <c r="ES207" t="str">
        <f>IF(EO207=1,COUNTIFS($EN$4:$EN$503,EN207,$EM$4:$EM$503,"Externe",$FE$4:$FE$503,1),"")</f>
        <v/>
      </c>
      <c r="ET207" t="str">
        <f>IF(EO207=1,IF(ER207+ES207=0,"à affecter",IF(ER207=0,ES207&amp;" ext.",(ER207+ES207)&amp;IF(ES207&gt;0," dont "&amp;ES207&amp;" ext.",""))&amp;IF(COUNTIFS($EN$4:$EN$503,EN207,$EM$4:$EM$503,"Non affecté")&gt;0," + à affecter","")),"")</f>
        <v/>
      </c>
      <c r="EU207" s="170" t="str">
        <f>IF(EO207=1,IF(EP207&gt;0,SUMPRODUCT(($EN$4:$EN$503=EN207)*$E$4:$E$503*$C$4:$C$503)/EP207,AVERAGEIF($EN$4:$EN$503,EN207,$C$4:$C$503)),"")</f>
        <v/>
      </c>
      <c r="EV207" s="165">
        <f>IF(ISNUMBER(I207),I207,2958465)</f>
        <v>2958465.0</v>
      </c>
      <c r="EW207" s="165" t="str">
        <f>IF(EO207=1,SUMPRODUCT(MIN(($EN$4:$EN$503=EN207)*$EV$4:$EV$503+($EN$4:$EN$503&lt;&gt;EN207)*2958465)),"")</f>
        <v/>
      </c>
      <c r="EX207" s="165">
        <f>IF(AND(D207=1,ISNUMBER(INDEX(Charge!$F:$F,ROW()))),INDEX(Charge!$F:$F,ROW()),0)</f>
        <v>0.0</v>
      </c>
      <c r="EY207" s="165" t="str">
        <f>IF(EO207=1,SUMPRODUCT(MAX(($EN$4:$EN$503=EN207)*$EX$4:$EX$503)),"")</f>
        <v/>
      </c>
      <c r="FA207" t="str">
        <f>IF(204&lt;=$CD$23,INDEX($EJ$4:$EJ$203,204),IF(204-$CD$23&lt;=$CD$26,INDEX($EK$4:$EK$203,204-$CD$23),""))</f>
        <v/>
      </c>
      <c r="FB207" t="str">
        <f>IF(FA207="","",IF(204&lt;=$CD$23,"Interne","Externe"))</f>
        <v/>
      </c>
      <c r="FD207">
        <f>IF(AND(B207=1,TRIM(INDEX(Charge!$K:$K,ROW()))&lt;&gt;"",TRIM(INDEX(Charge!$L:$L,ROW()))&lt;&gt;""),1,0)</f>
        <v>0</v>
      </c>
      <c r="FE207">
        <f>IF(OR(EN207="",BZ207="(non affecté)"),0,IF(COUNTIFS($EN$4:EN207,EN207,$BZ$4:BZ207,BZ207)=1,1,0))</f>
        <v>0</v>
      </c>
    </row>
    <row r="208">
      <c r="A208">
        <f>ROW()</f>
        <v>208</v>
      </c>
      <c r="B208">
        <f>IF(TRIM(INDEX(Charge!$B:$B,ROW()))&lt;&gt;"",1,0)</f>
        <v>0</v>
      </c>
      <c r="C208">
        <f>IF(B208=1,MIN(1,MAX(0,N(INDEX(Charge!$O:$O,ROW())))),0)</f>
        <v>0</v>
      </c>
      <c r="D208">
        <f>IF(B208=1,IF(OR(p_Perimetre="Tous les projets",C208&lt;1),1,0),0)</f>
        <v>0</v>
      </c>
      <c r="E208">
        <f>IF(D208=1,MAX(0,N(INDEX(Charge!$M:$M,ROW()))),0)</f>
        <v>0</v>
      </c>
      <c r="F208" t="str">
        <f>IF(D208=1,IF(TRIM(INDEX(Charge!$A:$A,ROW()))="","(non renseigné)",TRIM(INDEX(Charge!$A:$A,ROW()))),"")</f>
        <v/>
      </c>
      <c r="G208" t="str">
        <f>IF(D208=1,TRIM(INDEX(Charge!$B:$B,ROW())),"")</f>
        <v/>
      </c>
      <c r="H208" t="str">
        <f>IF(D208=1,IF(TRIM(INDEX(Charge!$E:$E,ROW()))="","(non renseigné)",TRIM(INDEX(Charge!$E:$E,ROW()))),"")</f>
        <v/>
      </c>
      <c r="I208" s="165" t="str">
        <f>IF(AND(D208=1,ISNUMBER(INDEX(Charge!$N:$N,ROW()))),INDEX(Charge!$N:$N,ROW()),"")</f>
        <v/>
      </c>
      <c r="J208" s="165" t="str">
        <f>IF(I208="","",IF(AND(p_Repartition="Lissée jusqu'à la date de besoin",ISNUMBER(INDEX(Charge!$F:$F,ROW()))),IF(INDEX(Charge!$F:$F,ROW())&gt;=I208,INDEX(Charge!$F:$F,ROW()),I208),I208))</f>
        <v/>
      </c>
      <c r="K208" t="str">
        <f>IF(I208="","",NETWORKDAYS(I208,J208,Data!$K$4:$K$203))</f>
        <v/>
      </c>
      <c r="L208" t="str">
        <f>IF(D208=1,COUNTIFS($D$4:$D$503,1,$E$4:$E$503,"&gt;"&amp;E208)+COUNTIFS($D$4:$D208,1,$E$4:$E208,E208),"")</f>
        <v/>
      </c>
      <c r="M208">
        <f>IF(F208="",0,IF(COUNTIF($F$4:F208,F208)=1,1,0))</f>
        <v>0</v>
      </c>
      <c r="N208" t="str">
        <f>IF(M208=1,ROUND(SUMIF($F$4:$F$503,F208,$E$4:$E$503),2),"")</f>
        <v/>
      </c>
      <c r="O208" t="str">
        <f>IF(M208=1,COUNTIFS($M$4:$M$503,1,$N$4:$N$503,"&gt;"&amp;N208)+COUNTIFS($M$4:M208,1,$N$4:N208,N208),"")</f>
        <v/>
      </c>
      <c r="P208">
        <f>IF(G208="",0,IF(COUNTIF($G$4:G208,G208)=1,1,0))</f>
        <v>0</v>
      </c>
      <c r="Q208" t="str">
        <f>IF(P208=1,ROUND(SUMIF($G$4:$G$503,G208,$E$4:$E$503),2),"")</f>
        <v/>
      </c>
      <c r="R208" t="str">
        <f>IF(P208=1,COUNTIFS($P$4:$P$503,1,$Q$4:$Q$503,"&gt;"&amp;Q208)+COUNTIFS($P$4:P208,1,$Q$4:Q208,Q208),"")</f>
        <v/>
      </c>
      <c r="S208">
        <f>IF(H208="",0,IF(COUNTIF($H$4:H208,H208)=1,1,0))</f>
        <v>0</v>
      </c>
      <c r="T208" t="str">
        <f>IF(S208=1,ROUND(SUMIF($H$4:$H$503,H208,$E$4:$E$503),2),"")</f>
        <v/>
      </c>
      <c r="U208" t="str">
        <f>IF(S208=1,COUNTIFS($S$4:$S$503,1,$T$4:$T$503,"&gt;"&amp;T208)+COUNTIFS($S$4:S208,1,$T$4:T208,T208),"")</f>
        <v/>
      </c>
      <c r="V208" t="str">
        <f>IF(D208=1,MIN(INDEX($R$4:$R$503,MATCH(G208,$G$4:$G$503,0)),IF($AL$7&gt;9,9,999)),"")</f>
        <v/>
      </c>
      <c r="W208" s="166">
        <f>IF(OR($I208="",$E208=0),0,IF(OR($J208&lt;W$3,$I208&gt;W$2),0,IF($K208=0,IF(AND($I208&gt;=W$3,$I208&lt;=W$2),$E208,0),$E208*NETWORKDAYS(MAX($I208,W$3),MIN($J208,W$2),Data!$K$4:$K$203)/$K208)))</f>
        <v>0</v>
      </c>
      <c r="X208" s="166">
        <f>IF(OR($I208="",$E208=0),0,IF(OR($J208&lt;X$3,$I208&gt;X$2),0,IF($K208=0,IF(AND($I208&gt;=X$3,$I208&lt;=X$2),$E208,0),$E208*NETWORKDAYS(MAX($I208,X$3),MIN($J208,X$2),Data!$K$4:$K$203)/$K208)))</f>
        <v>0</v>
      </c>
      <c r="Y208" s="166">
        <f>IF(OR($I208="",$E208=0),0,IF(OR($J208&lt;Y$3,$I208&gt;Y$2),0,IF($K208=0,IF(AND($I208&gt;=Y$3,$I208&lt;=Y$2),$E208,0),$E208*NETWORKDAYS(MAX($I208,Y$3),MIN($J208,Y$2),Data!$K$4:$K$203)/$K208)))</f>
        <v>0</v>
      </c>
      <c r="Z208" s="166">
        <f>IF(OR($I208="",$E208=0),0,IF(OR($J208&lt;Z$3,$I208&gt;Z$2),0,IF($K208=0,IF(AND($I208&gt;=Z$3,$I208&lt;=Z$2),$E208,0),$E208*NETWORKDAYS(MAX($I208,Z$3),MIN($J208,Z$2),Data!$K$4:$K$203)/$K208)))</f>
        <v>0</v>
      </c>
      <c r="AA208" s="166">
        <f>IF(OR($I208="",$E208=0),0,IF(OR($J208&lt;AA$3,$I208&gt;AA$2),0,IF($K208=0,IF(AND($I208&gt;=AA$3,$I208&lt;=AA$2),$E208,0),$E208*NETWORKDAYS(MAX($I208,AA$3),MIN($J208,AA$2),Data!$K$4:$K$203)/$K208)))</f>
        <v>0</v>
      </c>
      <c r="AB208" s="166">
        <f>IF(OR($I208="",$E208=0),0,IF(OR($J208&lt;AB$3,$I208&gt;AB$2),0,IF($K208=0,IF(AND($I208&gt;=AB$3,$I208&lt;=AB$2),$E208,0),$E208*NETWORKDAYS(MAX($I208,AB$3),MIN($J208,AB$2),Data!$K$4:$K$203)/$K208)))</f>
        <v>0</v>
      </c>
      <c r="AC208" s="166">
        <f>IF(OR($I208="",$E208=0),0,IF(OR($J208&lt;AC$3,$I208&gt;AC$2),0,IF($K208=0,IF(AND($I208&gt;=AC$3,$I208&lt;=AC$2),$E208,0),$E208*NETWORKDAYS(MAX($I208,AC$3),MIN($J208,AC$2),Data!$K$4:$K$203)/$K208)))</f>
        <v>0</v>
      </c>
      <c r="AD208" s="166">
        <f>IF(OR($I208="",$E208=0),0,IF(OR($J208&lt;AD$3,$I208&gt;AD$2),0,IF($K208=0,IF(AND($I208&gt;=AD$3,$I208&lt;=AD$2),$E208,0),$E208*NETWORKDAYS(MAX($I208,AD$3),MIN($J208,AD$2),Data!$K$4:$K$203)/$K208)))</f>
        <v>0</v>
      </c>
      <c r="AE208" s="166">
        <f>IF(OR($I208="",$E208=0),0,IF(OR($J208&lt;AE$3,$I208&gt;AE$2),0,IF($K208=0,IF(AND($I208&gt;=AE$3,$I208&lt;=AE$2),$E208,0),$E208*NETWORKDAYS(MAX($I208,AE$3),MIN($J208,AE$2),Data!$K$4:$K$203)/$K208)))</f>
        <v>0</v>
      </c>
      <c r="AF208" s="166">
        <f>IF(OR($I208="",$E208=0),0,IF(OR($J208&lt;AF$3,$I208&gt;AF$2),0,IF($K208=0,IF(AND($I208&gt;=AF$3,$I208&lt;=AF$2),$E208,0),$E208*NETWORKDAYS(MAX($I208,AF$3),MIN($J208,AF$2),Data!$K$4:$K$203)/$K208)))</f>
        <v>0</v>
      </c>
      <c r="AG208" s="166">
        <f>IF(OR($I208="",$E208=0),0,IF(OR($J208&lt;AG$3,$I208&gt;AG$2),0,IF($K208=0,IF(AND($I208&gt;=AG$3,$I208&lt;=AG$2),$E208,0),$E208*NETWORKDAYS(MAX($I208,AG$3),MIN($J208,AG$2),Data!$K$4:$K$203)/$K208)))</f>
        <v>0</v>
      </c>
      <c r="AH208" s="166">
        <f>IF(OR($I208="",$E208=0),0,IF(OR($J208&lt;AH$3,$I208&gt;AH$2),0,IF($K208=0,IF(AND($I208&gt;=AH$3,$I208&lt;=AH$2),$E208,0),$E208*NETWORKDAYS(MAX($I208,AH$3),MIN($J208,AH$2),Data!$K$4:$K$203)/$K208)))</f>
        <v>0</v>
      </c>
      <c r="AI208" s="166">
        <f>SUM(W208:AH208)</f>
        <v>0</v>
      </c>
      <c r="BZ208" t="str">
        <f>IF(D208=1,IF(TRIM(INDEX(Charge!$K:$K,ROW()))&lt;&gt;"",TRIM(INDEX(Charge!$K:$K,ROW())),IF(TRIM(INDEX(Charge!$L:$L,ROW()))&lt;&gt;"",TRIM(INDEX(Charge!$L:$L,ROW())),"(non affecté)")),"")</f>
        <v/>
      </c>
      <c r="CA208" t="str">
        <f>IF(AND($CD$4&lt;&gt;"",BZ208=$CD$4),COUNTIFS($BZ$4:$BZ$503,$CD$4,$L$4:$L$503,"&lt;"&amp;L208)+1,"")</f>
        <v/>
      </c>
      <c r="EM208" t="str">
        <f>IF(D208=1,IF(TRIM(INDEX(Charge!$K:$K,ROW()))&lt;&gt;"","Interne",IF(TRIM(INDEX(Charge!$L:$L,ROW()))&lt;&gt;"","Externe","Non affecté")),"")</f>
        <v/>
      </c>
      <c r="EN208" t="str">
        <f>IF(D208=1,LEFT(SUBSTITUTE(SUBSTITUTE(SUBSTITUTE(TRIM(SUBSTITUTE(INDEX(Charge!$B:$B,ROW()),CHAR(160)," "))&amp;" | "&amp;TRIM(SUBSTITUTE(INDEX(Charge!$C:$C,ROW()),CHAR(160)," "))&amp;" | "&amp;TRIM(SUBSTITUTE(INDEX(Charge!$D:$D,ROW()),CHAR(160)," ")),"~","-"),"*","+"),"?","!"),240),"")</f>
        <v/>
      </c>
      <c r="EO208">
        <f>IF(EN208="",0,IF(COUNTIF($EN$4:EN208,EN208)=1,1,0))</f>
        <v>0</v>
      </c>
      <c r="EP208" s="166" t="str">
        <f>IF(EO208=1,ROUND(SUMIF($EN$4:$EN$503,EN208,$E$4:$E$503),2),"")</f>
        <v/>
      </c>
      <c r="EQ208" t="str">
        <f>IF(EO208=1,COUNTIFS($EO$4:$EO$503,1,$EP$4:$EP$503,"&gt;"&amp;EP208)+COUNTIFS($EO$4:EO208,1,$EP$4:EP208,EP208),"")</f>
        <v/>
      </c>
      <c r="ER208" t="str">
        <f>IF(EO208=1,COUNTIFS($EN$4:$EN$503,EN208,$EM$4:$EM$503,"Interne",$FE$4:$FE$503,1),"")</f>
        <v/>
      </c>
      <c r="ES208" t="str">
        <f>IF(EO208=1,COUNTIFS($EN$4:$EN$503,EN208,$EM$4:$EM$503,"Externe",$FE$4:$FE$503,1),"")</f>
        <v/>
      </c>
      <c r="ET208" t="str">
        <f>IF(EO208=1,IF(ER208+ES208=0,"à affecter",IF(ER208=0,ES208&amp;" ext.",(ER208+ES208)&amp;IF(ES208&gt;0," dont "&amp;ES208&amp;" ext.",""))&amp;IF(COUNTIFS($EN$4:$EN$503,EN208,$EM$4:$EM$503,"Non affecté")&gt;0," + à affecter","")),"")</f>
        <v/>
      </c>
      <c r="EU208" s="170" t="str">
        <f>IF(EO208=1,IF(EP208&gt;0,SUMPRODUCT(($EN$4:$EN$503=EN208)*$E$4:$E$503*$C$4:$C$503)/EP208,AVERAGEIF($EN$4:$EN$503,EN208,$C$4:$C$503)),"")</f>
        <v/>
      </c>
      <c r="EV208" s="165">
        <f>IF(ISNUMBER(I208),I208,2958465)</f>
        <v>2958465.0</v>
      </c>
      <c r="EW208" s="165" t="str">
        <f>IF(EO208=1,SUMPRODUCT(MIN(($EN$4:$EN$503=EN208)*$EV$4:$EV$503+($EN$4:$EN$503&lt;&gt;EN208)*2958465)),"")</f>
        <v/>
      </c>
      <c r="EX208" s="165">
        <f>IF(AND(D208=1,ISNUMBER(INDEX(Charge!$F:$F,ROW()))),INDEX(Charge!$F:$F,ROW()),0)</f>
        <v>0.0</v>
      </c>
      <c r="EY208" s="165" t="str">
        <f>IF(EO208=1,SUMPRODUCT(MAX(($EN$4:$EN$503=EN208)*$EX$4:$EX$503)),"")</f>
        <v/>
      </c>
      <c r="FA208" t="str">
        <f>IF(205&lt;=$CD$23,INDEX($EJ$4:$EJ$203,205),IF(205-$CD$23&lt;=$CD$26,INDEX($EK$4:$EK$203,205-$CD$23),""))</f>
        <v/>
      </c>
      <c r="FB208" t="str">
        <f>IF(FA208="","",IF(205&lt;=$CD$23,"Interne","Externe"))</f>
        <v/>
      </c>
      <c r="FD208">
        <f>IF(AND(B208=1,TRIM(INDEX(Charge!$K:$K,ROW()))&lt;&gt;"",TRIM(INDEX(Charge!$L:$L,ROW()))&lt;&gt;""),1,0)</f>
        <v>0</v>
      </c>
      <c r="FE208">
        <f>IF(OR(EN208="",BZ208="(non affecté)"),0,IF(COUNTIFS($EN$4:EN208,EN208,$BZ$4:BZ208,BZ208)=1,1,0))</f>
        <v>0</v>
      </c>
    </row>
    <row r="209">
      <c r="A209">
        <f>ROW()</f>
        <v>209</v>
      </c>
      <c r="B209">
        <f>IF(TRIM(INDEX(Charge!$B:$B,ROW()))&lt;&gt;"",1,0)</f>
        <v>0</v>
      </c>
      <c r="C209">
        <f>IF(B209=1,MIN(1,MAX(0,N(INDEX(Charge!$O:$O,ROW())))),0)</f>
        <v>0</v>
      </c>
      <c r="D209">
        <f>IF(B209=1,IF(OR(p_Perimetre="Tous les projets",C209&lt;1),1,0),0)</f>
        <v>0</v>
      </c>
      <c r="E209">
        <f>IF(D209=1,MAX(0,N(INDEX(Charge!$M:$M,ROW()))),0)</f>
        <v>0</v>
      </c>
      <c r="F209" t="str">
        <f>IF(D209=1,IF(TRIM(INDEX(Charge!$A:$A,ROW()))="","(non renseigné)",TRIM(INDEX(Charge!$A:$A,ROW()))),"")</f>
        <v/>
      </c>
      <c r="G209" t="str">
        <f>IF(D209=1,TRIM(INDEX(Charge!$B:$B,ROW())),"")</f>
        <v/>
      </c>
      <c r="H209" t="str">
        <f>IF(D209=1,IF(TRIM(INDEX(Charge!$E:$E,ROW()))="","(non renseigné)",TRIM(INDEX(Charge!$E:$E,ROW()))),"")</f>
        <v/>
      </c>
      <c r="I209" s="165" t="str">
        <f>IF(AND(D209=1,ISNUMBER(INDEX(Charge!$N:$N,ROW()))),INDEX(Charge!$N:$N,ROW()),"")</f>
        <v/>
      </c>
      <c r="J209" s="165" t="str">
        <f>IF(I209="","",IF(AND(p_Repartition="Lissée jusqu'à la date de besoin",ISNUMBER(INDEX(Charge!$F:$F,ROW()))),IF(INDEX(Charge!$F:$F,ROW())&gt;=I209,INDEX(Charge!$F:$F,ROW()),I209),I209))</f>
        <v/>
      </c>
      <c r="K209" t="str">
        <f>IF(I209="","",NETWORKDAYS(I209,J209,Data!$K$4:$K$203))</f>
        <v/>
      </c>
      <c r="L209" t="str">
        <f>IF(D209=1,COUNTIFS($D$4:$D$503,1,$E$4:$E$503,"&gt;"&amp;E209)+COUNTIFS($D$4:$D209,1,$E$4:$E209,E209),"")</f>
        <v/>
      </c>
      <c r="M209">
        <f>IF(F209="",0,IF(COUNTIF($F$4:F209,F209)=1,1,0))</f>
        <v>0</v>
      </c>
      <c r="N209" t="str">
        <f>IF(M209=1,ROUND(SUMIF($F$4:$F$503,F209,$E$4:$E$503),2),"")</f>
        <v/>
      </c>
      <c r="O209" t="str">
        <f>IF(M209=1,COUNTIFS($M$4:$M$503,1,$N$4:$N$503,"&gt;"&amp;N209)+COUNTIFS($M$4:M209,1,$N$4:N209,N209),"")</f>
        <v/>
      </c>
      <c r="P209">
        <f>IF(G209="",0,IF(COUNTIF($G$4:G209,G209)=1,1,0))</f>
        <v>0</v>
      </c>
      <c r="Q209" t="str">
        <f>IF(P209=1,ROUND(SUMIF($G$4:$G$503,G209,$E$4:$E$503),2),"")</f>
        <v/>
      </c>
      <c r="R209" t="str">
        <f>IF(P209=1,COUNTIFS($P$4:$P$503,1,$Q$4:$Q$503,"&gt;"&amp;Q209)+COUNTIFS($P$4:P209,1,$Q$4:Q209,Q209),"")</f>
        <v/>
      </c>
      <c r="S209">
        <f>IF(H209="",0,IF(COUNTIF($H$4:H209,H209)=1,1,0))</f>
        <v>0</v>
      </c>
      <c r="T209" t="str">
        <f>IF(S209=1,ROUND(SUMIF($H$4:$H$503,H209,$E$4:$E$503),2),"")</f>
        <v/>
      </c>
      <c r="U209" t="str">
        <f>IF(S209=1,COUNTIFS($S$4:$S$503,1,$T$4:$T$503,"&gt;"&amp;T209)+COUNTIFS($S$4:S209,1,$T$4:T209,T209),"")</f>
        <v/>
      </c>
      <c r="V209" t="str">
        <f>IF(D209=1,MIN(INDEX($R$4:$R$503,MATCH(G209,$G$4:$G$503,0)),IF($AL$7&gt;9,9,999)),"")</f>
        <v/>
      </c>
      <c r="W209" s="166">
        <f>IF(OR($I209="",$E209=0),0,IF(OR($J209&lt;W$3,$I209&gt;W$2),0,IF($K209=0,IF(AND($I209&gt;=W$3,$I209&lt;=W$2),$E209,0),$E209*NETWORKDAYS(MAX($I209,W$3),MIN($J209,W$2),Data!$K$4:$K$203)/$K209)))</f>
        <v>0</v>
      </c>
      <c r="X209" s="166">
        <f>IF(OR($I209="",$E209=0),0,IF(OR($J209&lt;X$3,$I209&gt;X$2),0,IF($K209=0,IF(AND($I209&gt;=X$3,$I209&lt;=X$2),$E209,0),$E209*NETWORKDAYS(MAX($I209,X$3),MIN($J209,X$2),Data!$K$4:$K$203)/$K209)))</f>
        <v>0</v>
      </c>
      <c r="Y209" s="166">
        <f>IF(OR($I209="",$E209=0),0,IF(OR($J209&lt;Y$3,$I209&gt;Y$2),0,IF($K209=0,IF(AND($I209&gt;=Y$3,$I209&lt;=Y$2),$E209,0),$E209*NETWORKDAYS(MAX($I209,Y$3),MIN($J209,Y$2),Data!$K$4:$K$203)/$K209)))</f>
        <v>0</v>
      </c>
      <c r="Z209" s="166">
        <f>IF(OR($I209="",$E209=0),0,IF(OR($J209&lt;Z$3,$I209&gt;Z$2),0,IF($K209=0,IF(AND($I209&gt;=Z$3,$I209&lt;=Z$2),$E209,0),$E209*NETWORKDAYS(MAX($I209,Z$3),MIN($J209,Z$2),Data!$K$4:$K$203)/$K209)))</f>
        <v>0</v>
      </c>
      <c r="AA209" s="166">
        <f>IF(OR($I209="",$E209=0),0,IF(OR($J209&lt;AA$3,$I209&gt;AA$2),0,IF($K209=0,IF(AND($I209&gt;=AA$3,$I209&lt;=AA$2),$E209,0),$E209*NETWORKDAYS(MAX($I209,AA$3),MIN($J209,AA$2),Data!$K$4:$K$203)/$K209)))</f>
        <v>0</v>
      </c>
      <c r="AB209" s="166">
        <f>IF(OR($I209="",$E209=0),0,IF(OR($J209&lt;AB$3,$I209&gt;AB$2),0,IF($K209=0,IF(AND($I209&gt;=AB$3,$I209&lt;=AB$2),$E209,0),$E209*NETWORKDAYS(MAX($I209,AB$3),MIN($J209,AB$2),Data!$K$4:$K$203)/$K209)))</f>
        <v>0</v>
      </c>
      <c r="AC209" s="166">
        <f>IF(OR($I209="",$E209=0),0,IF(OR($J209&lt;AC$3,$I209&gt;AC$2),0,IF($K209=0,IF(AND($I209&gt;=AC$3,$I209&lt;=AC$2),$E209,0),$E209*NETWORKDAYS(MAX($I209,AC$3),MIN($J209,AC$2),Data!$K$4:$K$203)/$K209)))</f>
        <v>0</v>
      </c>
      <c r="AD209" s="166">
        <f>IF(OR($I209="",$E209=0),0,IF(OR($J209&lt;AD$3,$I209&gt;AD$2),0,IF($K209=0,IF(AND($I209&gt;=AD$3,$I209&lt;=AD$2),$E209,0),$E209*NETWORKDAYS(MAX($I209,AD$3),MIN($J209,AD$2),Data!$K$4:$K$203)/$K209)))</f>
        <v>0</v>
      </c>
      <c r="AE209" s="166">
        <f>IF(OR($I209="",$E209=0),0,IF(OR($J209&lt;AE$3,$I209&gt;AE$2),0,IF($K209=0,IF(AND($I209&gt;=AE$3,$I209&lt;=AE$2),$E209,0),$E209*NETWORKDAYS(MAX($I209,AE$3),MIN($J209,AE$2),Data!$K$4:$K$203)/$K209)))</f>
        <v>0</v>
      </c>
      <c r="AF209" s="166">
        <f>IF(OR($I209="",$E209=0),0,IF(OR($J209&lt;AF$3,$I209&gt;AF$2),0,IF($K209=0,IF(AND($I209&gt;=AF$3,$I209&lt;=AF$2),$E209,0),$E209*NETWORKDAYS(MAX($I209,AF$3),MIN($J209,AF$2),Data!$K$4:$K$203)/$K209)))</f>
        <v>0</v>
      </c>
      <c r="AG209" s="166">
        <f>IF(OR($I209="",$E209=0),0,IF(OR($J209&lt;AG$3,$I209&gt;AG$2),0,IF($K209=0,IF(AND($I209&gt;=AG$3,$I209&lt;=AG$2),$E209,0),$E209*NETWORKDAYS(MAX($I209,AG$3),MIN($J209,AG$2),Data!$K$4:$K$203)/$K209)))</f>
        <v>0</v>
      </c>
      <c r="AH209" s="166">
        <f>IF(OR($I209="",$E209=0),0,IF(OR($J209&lt;AH$3,$I209&gt;AH$2),0,IF($K209=0,IF(AND($I209&gt;=AH$3,$I209&lt;=AH$2),$E209,0),$E209*NETWORKDAYS(MAX($I209,AH$3),MIN($J209,AH$2),Data!$K$4:$K$203)/$K209)))</f>
        <v>0</v>
      </c>
      <c r="AI209" s="166">
        <f>SUM(W209:AH209)</f>
        <v>0</v>
      </c>
      <c r="BZ209" t="str">
        <f>IF(D209=1,IF(TRIM(INDEX(Charge!$K:$K,ROW()))&lt;&gt;"",TRIM(INDEX(Charge!$K:$K,ROW())),IF(TRIM(INDEX(Charge!$L:$L,ROW()))&lt;&gt;"",TRIM(INDEX(Charge!$L:$L,ROW())),"(non affecté)")),"")</f>
        <v/>
      </c>
      <c r="CA209" t="str">
        <f>IF(AND($CD$4&lt;&gt;"",BZ209=$CD$4),COUNTIFS($BZ$4:$BZ$503,$CD$4,$L$4:$L$503,"&lt;"&amp;L209)+1,"")</f>
        <v/>
      </c>
      <c r="EM209" t="str">
        <f>IF(D209=1,IF(TRIM(INDEX(Charge!$K:$K,ROW()))&lt;&gt;"","Interne",IF(TRIM(INDEX(Charge!$L:$L,ROW()))&lt;&gt;"","Externe","Non affecté")),"")</f>
        <v/>
      </c>
      <c r="EN209" t="str">
        <f>IF(D209=1,LEFT(SUBSTITUTE(SUBSTITUTE(SUBSTITUTE(TRIM(SUBSTITUTE(INDEX(Charge!$B:$B,ROW()),CHAR(160)," "))&amp;" | "&amp;TRIM(SUBSTITUTE(INDEX(Charge!$C:$C,ROW()),CHAR(160)," "))&amp;" | "&amp;TRIM(SUBSTITUTE(INDEX(Charge!$D:$D,ROW()),CHAR(160)," ")),"~","-"),"*","+"),"?","!"),240),"")</f>
        <v/>
      </c>
      <c r="EO209">
        <f>IF(EN209="",0,IF(COUNTIF($EN$4:EN209,EN209)=1,1,0))</f>
        <v>0</v>
      </c>
      <c r="EP209" s="166" t="str">
        <f>IF(EO209=1,ROUND(SUMIF($EN$4:$EN$503,EN209,$E$4:$E$503),2),"")</f>
        <v/>
      </c>
      <c r="EQ209" t="str">
        <f>IF(EO209=1,COUNTIFS($EO$4:$EO$503,1,$EP$4:$EP$503,"&gt;"&amp;EP209)+COUNTIFS($EO$4:EO209,1,$EP$4:EP209,EP209),"")</f>
        <v/>
      </c>
      <c r="ER209" t="str">
        <f>IF(EO209=1,COUNTIFS($EN$4:$EN$503,EN209,$EM$4:$EM$503,"Interne",$FE$4:$FE$503,1),"")</f>
        <v/>
      </c>
      <c r="ES209" t="str">
        <f>IF(EO209=1,COUNTIFS($EN$4:$EN$503,EN209,$EM$4:$EM$503,"Externe",$FE$4:$FE$503,1),"")</f>
        <v/>
      </c>
      <c r="ET209" t="str">
        <f>IF(EO209=1,IF(ER209+ES209=0,"à affecter",IF(ER209=0,ES209&amp;" ext.",(ER209+ES209)&amp;IF(ES209&gt;0," dont "&amp;ES209&amp;" ext.",""))&amp;IF(COUNTIFS($EN$4:$EN$503,EN209,$EM$4:$EM$503,"Non affecté")&gt;0," + à affecter","")),"")</f>
        <v/>
      </c>
      <c r="EU209" s="170" t="str">
        <f>IF(EO209=1,IF(EP209&gt;0,SUMPRODUCT(($EN$4:$EN$503=EN209)*$E$4:$E$503*$C$4:$C$503)/EP209,AVERAGEIF($EN$4:$EN$503,EN209,$C$4:$C$503)),"")</f>
        <v/>
      </c>
      <c r="EV209" s="165">
        <f>IF(ISNUMBER(I209),I209,2958465)</f>
        <v>2958465.0</v>
      </c>
      <c r="EW209" s="165" t="str">
        <f>IF(EO209=1,SUMPRODUCT(MIN(($EN$4:$EN$503=EN209)*$EV$4:$EV$503+($EN$4:$EN$503&lt;&gt;EN209)*2958465)),"")</f>
        <v/>
      </c>
      <c r="EX209" s="165">
        <f>IF(AND(D209=1,ISNUMBER(INDEX(Charge!$F:$F,ROW()))),INDEX(Charge!$F:$F,ROW()),0)</f>
        <v>0.0</v>
      </c>
      <c r="EY209" s="165" t="str">
        <f>IF(EO209=1,SUMPRODUCT(MAX(($EN$4:$EN$503=EN209)*$EX$4:$EX$503)),"")</f>
        <v/>
      </c>
      <c r="FA209" t="str">
        <f>IF(206&lt;=$CD$23,INDEX($EJ$4:$EJ$203,206),IF(206-$CD$23&lt;=$CD$26,INDEX($EK$4:$EK$203,206-$CD$23),""))</f>
        <v/>
      </c>
      <c r="FB209" t="str">
        <f>IF(FA209="","",IF(206&lt;=$CD$23,"Interne","Externe"))</f>
        <v/>
      </c>
      <c r="FD209">
        <f>IF(AND(B209=1,TRIM(INDEX(Charge!$K:$K,ROW()))&lt;&gt;"",TRIM(INDEX(Charge!$L:$L,ROW()))&lt;&gt;""),1,0)</f>
        <v>0</v>
      </c>
      <c r="FE209">
        <f>IF(OR(EN209="",BZ209="(non affecté)"),0,IF(COUNTIFS($EN$4:EN209,EN209,$BZ$4:BZ209,BZ209)=1,1,0))</f>
        <v>0</v>
      </c>
    </row>
    <row r="210">
      <c r="A210">
        <f>ROW()</f>
        <v>210</v>
      </c>
      <c r="B210">
        <f>IF(TRIM(INDEX(Charge!$B:$B,ROW()))&lt;&gt;"",1,0)</f>
        <v>0</v>
      </c>
      <c r="C210">
        <f>IF(B210=1,MIN(1,MAX(0,N(INDEX(Charge!$O:$O,ROW())))),0)</f>
        <v>0</v>
      </c>
      <c r="D210">
        <f>IF(B210=1,IF(OR(p_Perimetre="Tous les projets",C210&lt;1),1,0),0)</f>
        <v>0</v>
      </c>
      <c r="E210">
        <f>IF(D210=1,MAX(0,N(INDEX(Charge!$M:$M,ROW()))),0)</f>
        <v>0</v>
      </c>
      <c r="F210" t="str">
        <f>IF(D210=1,IF(TRIM(INDEX(Charge!$A:$A,ROW()))="","(non renseigné)",TRIM(INDEX(Charge!$A:$A,ROW()))),"")</f>
        <v/>
      </c>
      <c r="G210" t="str">
        <f>IF(D210=1,TRIM(INDEX(Charge!$B:$B,ROW())),"")</f>
        <v/>
      </c>
      <c r="H210" t="str">
        <f>IF(D210=1,IF(TRIM(INDEX(Charge!$E:$E,ROW()))="","(non renseigné)",TRIM(INDEX(Charge!$E:$E,ROW()))),"")</f>
        <v/>
      </c>
      <c r="I210" s="165" t="str">
        <f>IF(AND(D210=1,ISNUMBER(INDEX(Charge!$N:$N,ROW()))),INDEX(Charge!$N:$N,ROW()),"")</f>
        <v/>
      </c>
      <c r="J210" s="165" t="str">
        <f>IF(I210="","",IF(AND(p_Repartition="Lissée jusqu'à la date de besoin",ISNUMBER(INDEX(Charge!$F:$F,ROW()))),IF(INDEX(Charge!$F:$F,ROW())&gt;=I210,INDEX(Charge!$F:$F,ROW()),I210),I210))</f>
        <v/>
      </c>
      <c r="K210" t="str">
        <f>IF(I210="","",NETWORKDAYS(I210,J210,Data!$K$4:$K$203))</f>
        <v/>
      </c>
      <c r="L210" t="str">
        <f>IF(D210=1,COUNTIFS($D$4:$D$503,1,$E$4:$E$503,"&gt;"&amp;E210)+COUNTIFS($D$4:$D210,1,$E$4:$E210,E210),"")</f>
        <v/>
      </c>
      <c r="M210">
        <f>IF(F210="",0,IF(COUNTIF($F$4:F210,F210)=1,1,0))</f>
        <v>0</v>
      </c>
      <c r="N210" t="str">
        <f>IF(M210=1,ROUND(SUMIF($F$4:$F$503,F210,$E$4:$E$503),2),"")</f>
        <v/>
      </c>
      <c r="O210" t="str">
        <f>IF(M210=1,COUNTIFS($M$4:$M$503,1,$N$4:$N$503,"&gt;"&amp;N210)+COUNTIFS($M$4:M210,1,$N$4:N210,N210),"")</f>
        <v/>
      </c>
      <c r="P210">
        <f>IF(G210="",0,IF(COUNTIF($G$4:G210,G210)=1,1,0))</f>
        <v>0</v>
      </c>
      <c r="Q210" t="str">
        <f>IF(P210=1,ROUND(SUMIF($G$4:$G$503,G210,$E$4:$E$503),2),"")</f>
        <v/>
      </c>
      <c r="R210" t="str">
        <f>IF(P210=1,COUNTIFS($P$4:$P$503,1,$Q$4:$Q$503,"&gt;"&amp;Q210)+COUNTIFS($P$4:P210,1,$Q$4:Q210,Q210),"")</f>
        <v/>
      </c>
      <c r="S210">
        <f>IF(H210="",0,IF(COUNTIF($H$4:H210,H210)=1,1,0))</f>
        <v>0</v>
      </c>
      <c r="T210" t="str">
        <f>IF(S210=1,ROUND(SUMIF($H$4:$H$503,H210,$E$4:$E$503),2),"")</f>
        <v/>
      </c>
      <c r="U210" t="str">
        <f>IF(S210=1,COUNTIFS($S$4:$S$503,1,$T$4:$T$503,"&gt;"&amp;T210)+COUNTIFS($S$4:S210,1,$T$4:T210,T210),"")</f>
        <v/>
      </c>
      <c r="V210" t="str">
        <f>IF(D210=1,MIN(INDEX($R$4:$R$503,MATCH(G210,$G$4:$G$503,0)),IF($AL$7&gt;9,9,999)),"")</f>
        <v/>
      </c>
      <c r="W210" s="166">
        <f>IF(OR($I210="",$E210=0),0,IF(OR($J210&lt;W$3,$I210&gt;W$2),0,IF($K210=0,IF(AND($I210&gt;=W$3,$I210&lt;=W$2),$E210,0),$E210*NETWORKDAYS(MAX($I210,W$3),MIN($J210,W$2),Data!$K$4:$K$203)/$K210)))</f>
        <v>0</v>
      </c>
      <c r="X210" s="166">
        <f>IF(OR($I210="",$E210=0),0,IF(OR($J210&lt;X$3,$I210&gt;X$2),0,IF($K210=0,IF(AND($I210&gt;=X$3,$I210&lt;=X$2),$E210,0),$E210*NETWORKDAYS(MAX($I210,X$3),MIN($J210,X$2),Data!$K$4:$K$203)/$K210)))</f>
        <v>0</v>
      </c>
      <c r="Y210" s="166">
        <f>IF(OR($I210="",$E210=0),0,IF(OR($J210&lt;Y$3,$I210&gt;Y$2),0,IF($K210=0,IF(AND($I210&gt;=Y$3,$I210&lt;=Y$2),$E210,0),$E210*NETWORKDAYS(MAX($I210,Y$3),MIN($J210,Y$2),Data!$K$4:$K$203)/$K210)))</f>
        <v>0</v>
      </c>
      <c r="Z210" s="166">
        <f>IF(OR($I210="",$E210=0),0,IF(OR($J210&lt;Z$3,$I210&gt;Z$2),0,IF($K210=0,IF(AND($I210&gt;=Z$3,$I210&lt;=Z$2),$E210,0),$E210*NETWORKDAYS(MAX($I210,Z$3),MIN($J210,Z$2),Data!$K$4:$K$203)/$K210)))</f>
        <v>0</v>
      </c>
      <c r="AA210" s="166">
        <f>IF(OR($I210="",$E210=0),0,IF(OR($J210&lt;AA$3,$I210&gt;AA$2),0,IF($K210=0,IF(AND($I210&gt;=AA$3,$I210&lt;=AA$2),$E210,0),$E210*NETWORKDAYS(MAX($I210,AA$3),MIN($J210,AA$2),Data!$K$4:$K$203)/$K210)))</f>
        <v>0</v>
      </c>
      <c r="AB210" s="166">
        <f>IF(OR($I210="",$E210=0),0,IF(OR($J210&lt;AB$3,$I210&gt;AB$2),0,IF($K210=0,IF(AND($I210&gt;=AB$3,$I210&lt;=AB$2),$E210,0),$E210*NETWORKDAYS(MAX($I210,AB$3),MIN($J210,AB$2),Data!$K$4:$K$203)/$K210)))</f>
        <v>0</v>
      </c>
      <c r="AC210" s="166">
        <f>IF(OR($I210="",$E210=0),0,IF(OR($J210&lt;AC$3,$I210&gt;AC$2),0,IF($K210=0,IF(AND($I210&gt;=AC$3,$I210&lt;=AC$2),$E210,0),$E210*NETWORKDAYS(MAX($I210,AC$3),MIN($J210,AC$2),Data!$K$4:$K$203)/$K210)))</f>
        <v>0</v>
      </c>
      <c r="AD210" s="166">
        <f>IF(OR($I210="",$E210=0),0,IF(OR($J210&lt;AD$3,$I210&gt;AD$2),0,IF($K210=0,IF(AND($I210&gt;=AD$3,$I210&lt;=AD$2),$E210,0),$E210*NETWORKDAYS(MAX($I210,AD$3),MIN($J210,AD$2),Data!$K$4:$K$203)/$K210)))</f>
        <v>0</v>
      </c>
      <c r="AE210" s="166">
        <f>IF(OR($I210="",$E210=0),0,IF(OR($J210&lt;AE$3,$I210&gt;AE$2),0,IF($K210=0,IF(AND($I210&gt;=AE$3,$I210&lt;=AE$2),$E210,0),$E210*NETWORKDAYS(MAX($I210,AE$3),MIN($J210,AE$2),Data!$K$4:$K$203)/$K210)))</f>
        <v>0</v>
      </c>
      <c r="AF210" s="166">
        <f>IF(OR($I210="",$E210=0),0,IF(OR($J210&lt;AF$3,$I210&gt;AF$2),0,IF($K210=0,IF(AND($I210&gt;=AF$3,$I210&lt;=AF$2),$E210,0),$E210*NETWORKDAYS(MAX($I210,AF$3),MIN($J210,AF$2),Data!$K$4:$K$203)/$K210)))</f>
        <v>0</v>
      </c>
      <c r="AG210" s="166">
        <f>IF(OR($I210="",$E210=0),0,IF(OR($J210&lt;AG$3,$I210&gt;AG$2),0,IF($K210=0,IF(AND($I210&gt;=AG$3,$I210&lt;=AG$2),$E210,0),$E210*NETWORKDAYS(MAX($I210,AG$3),MIN($J210,AG$2),Data!$K$4:$K$203)/$K210)))</f>
        <v>0</v>
      </c>
      <c r="AH210" s="166">
        <f>IF(OR($I210="",$E210=0),0,IF(OR($J210&lt;AH$3,$I210&gt;AH$2),0,IF($K210=0,IF(AND($I210&gt;=AH$3,$I210&lt;=AH$2),$E210,0),$E210*NETWORKDAYS(MAX($I210,AH$3),MIN($J210,AH$2),Data!$K$4:$K$203)/$K210)))</f>
        <v>0</v>
      </c>
      <c r="AI210" s="166">
        <f>SUM(W210:AH210)</f>
        <v>0</v>
      </c>
      <c r="BZ210" t="str">
        <f>IF(D210=1,IF(TRIM(INDEX(Charge!$K:$K,ROW()))&lt;&gt;"",TRIM(INDEX(Charge!$K:$K,ROW())),IF(TRIM(INDEX(Charge!$L:$L,ROW()))&lt;&gt;"",TRIM(INDEX(Charge!$L:$L,ROW())),"(non affecté)")),"")</f>
        <v/>
      </c>
      <c r="CA210" t="str">
        <f>IF(AND($CD$4&lt;&gt;"",BZ210=$CD$4),COUNTIFS($BZ$4:$BZ$503,$CD$4,$L$4:$L$503,"&lt;"&amp;L210)+1,"")</f>
        <v/>
      </c>
      <c r="EM210" t="str">
        <f>IF(D210=1,IF(TRIM(INDEX(Charge!$K:$K,ROW()))&lt;&gt;"","Interne",IF(TRIM(INDEX(Charge!$L:$L,ROW()))&lt;&gt;"","Externe","Non affecté")),"")</f>
        <v/>
      </c>
      <c r="EN210" t="str">
        <f>IF(D210=1,LEFT(SUBSTITUTE(SUBSTITUTE(SUBSTITUTE(TRIM(SUBSTITUTE(INDEX(Charge!$B:$B,ROW()),CHAR(160)," "))&amp;" | "&amp;TRIM(SUBSTITUTE(INDEX(Charge!$C:$C,ROW()),CHAR(160)," "))&amp;" | "&amp;TRIM(SUBSTITUTE(INDEX(Charge!$D:$D,ROW()),CHAR(160)," ")),"~","-"),"*","+"),"?","!"),240),"")</f>
        <v/>
      </c>
      <c r="EO210">
        <f>IF(EN210="",0,IF(COUNTIF($EN$4:EN210,EN210)=1,1,0))</f>
        <v>0</v>
      </c>
      <c r="EP210" s="166" t="str">
        <f>IF(EO210=1,ROUND(SUMIF($EN$4:$EN$503,EN210,$E$4:$E$503),2),"")</f>
        <v/>
      </c>
      <c r="EQ210" t="str">
        <f>IF(EO210=1,COUNTIFS($EO$4:$EO$503,1,$EP$4:$EP$503,"&gt;"&amp;EP210)+COUNTIFS($EO$4:EO210,1,$EP$4:EP210,EP210),"")</f>
        <v/>
      </c>
      <c r="ER210" t="str">
        <f>IF(EO210=1,COUNTIFS($EN$4:$EN$503,EN210,$EM$4:$EM$503,"Interne",$FE$4:$FE$503,1),"")</f>
        <v/>
      </c>
      <c r="ES210" t="str">
        <f>IF(EO210=1,COUNTIFS($EN$4:$EN$503,EN210,$EM$4:$EM$503,"Externe",$FE$4:$FE$503,1),"")</f>
        <v/>
      </c>
      <c r="ET210" t="str">
        <f>IF(EO210=1,IF(ER210+ES210=0,"à affecter",IF(ER210=0,ES210&amp;" ext.",(ER210+ES210)&amp;IF(ES210&gt;0," dont "&amp;ES210&amp;" ext.",""))&amp;IF(COUNTIFS($EN$4:$EN$503,EN210,$EM$4:$EM$503,"Non affecté")&gt;0," + à affecter","")),"")</f>
        <v/>
      </c>
      <c r="EU210" s="170" t="str">
        <f>IF(EO210=1,IF(EP210&gt;0,SUMPRODUCT(($EN$4:$EN$503=EN210)*$E$4:$E$503*$C$4:$C$503)/EP210,AVERAGEIF($EN$4:$EN$503,EN210,$C$4:$C$503)),"")</f>
        <v/>
      </c>
      <c r="EV210" s="165">
        <f>IF(ISNUMBER(I210),I210,2958465)</f>
        <v>2958465.0</v>
      </c>
      <c r="EW210" s="165" t="str">
        <f>IF(EO210=1,SUMPRODUCT(MIN(($EN$4:$EN$503=EN210)*$EV$4:$EV$503+($EN$4:$EN$503&lt;&gt;EN210)*2958465)),"")</f>
        <v/>
      </c>
      <c r="EX210" s="165">
        <f>IF(AND(D210=1,ISNUMBER(INDEX(Charge!$F:$F,ROW()))),INDEX(Charge!$F:$F,ROW()),0)</f>
        <v>0.0</v>
      </c>
      <c r="EY210" s="165" t="str">
        <f>IF(EO210=1,SUMPRODUCT(MAX(($EN$4:$EN$503=EN210)*$EX$4:$EX$503)),"")</f>
        <v/>
      </c>
      <c r="FA210" t="str">
        <f>IF(207&lt;=$CD$23,INDEX($EJ$4:$EJ$203,207),IF(207-$CD$23&lt;=$CD$26,INDEX($EK$4:$EK$203,207-$CD$23),""))</f>
        <v/>
      </c>
      <c r="FB210" t="str">
        <f>IF(FA210="","",IF(207&lt;=$CD$23,"Interne","Externe"))</f>
        <v/>
      </c>
      <c r="FD210">
        <f>IF(AND(B210=1,TRIM(INDEX(Charge!$K:$K,ROW()))&lt;&gt;"",TRIM(INDEX(Charge!$L:$L,ROW()))&lt;&gt;""),1,0)</f>
        <v>0</v>
      </c>
      <c r="FE210">
        <f>IF(OR(EN210="",BZ210="(non affecté)"),0,IF(COUNTIFS($EN$4:EN210,EN210,$BZ$4:BZ210,BZ210)=1,1,0))</f>
        <v>0</v>
      </c>
    </row>
    <row r="211">
      <c r="A211">
        <f>ROW()</f>
        <v>211</v>
      </c>
      <c r="B211">
        <f>IF(TRIM(INDEX(Charge!$B:$B,ROW()))&lt;&gt;"",1,0)</f>
        <v>0</v>
      </c>
      <c r="C211">
        <f>IF(B211=1,MIN(1,MAX(0,N(INDEX(Charge!$O:$O,ROW())))),0)</f>
        <v>0</v>
      </c>
      <c r="D211">
        <f>IF(B211=1,IF(OR(p_Perimetre="Tous les projets",C211&lt;1),1,0),0)</f>
        <v>0</v>
      </c>
      <c r="E211">
        <f>IF(D211=1,MAX(0,N(INDEX(Charge!$M:$M,ROW()))),0)</f>
        <v>0</v>
      </c>
      <c r="F211" t="str">
        <f>IF(D211=1,IF(TRIM(INDEX(Charge!$A:$A,ROW()))="","(non renseigné)",TRIM(INDEX(Charge!$A:$A,ROW()))),"")</f>
        <v/>
      </c>
      <c r="G211" t="str">
        <f>IF(D211=1,TRIM(INDEX(Charge!$B:$B,ROW())),"")</f>
        <v/>
      </c>
      <c r="H211" t="str">
        <f>IF(D211=1,IF(TRIM(INDEX(Charge!$E:$E,ROW()))="","(non renseigné)",TRIM(INDEX(Charge!$E:$E,ROW()))),"")</f>
        <v/>
      </c>
      <c r="I211" s="165" t="str">
        <f>IF(AND(D211=1,ISNUMBER(INDEX(Charge!$N:$N,ROW()))),INDEX(Charge!$N:$N,ROW()),"")</f>
        <v/>
      </c>
      <c r="J211" s="165" t="str">
        <f>IF(I211="","",IF(AND(p_Repartition="Lissée jusqu'à la date de besoin",ISNUMBER(INDEX(Charge!$F:$F,ROW()))),IF(INDEX(Charge!$F:$F,ROW())&gt;=I211,INDEX(Charge!$F:$F,ROW()),I211),I211))</f>
        <v/>
      </c>
      <c r="K211" t="str">
        <f>IF(I211="","",NETWORKDAYS(I211,J211,Data!$K$4:$K$203))</f>
        <v/>
      </c>
      <c r="L211" t="str">
        <f>IF(D211=1,COUNTIFS($D$4:$D$503,1,$E$4:$E$503,"&gt;"&amp;E211)+COUNTIFS($D$4:$D211,1,$E$4:$E211,E211),"")</f>
        <v/>
      </c>
      <c r="M211">
        <f>IF(F211="",0,IF(COUNTIF($F$4:F211,F211)=1,1,0))</f>
        <v>0</v>
      </c>
      <c r="N211" t="str">
        <f>IF(M211=1,ROUND(SUMIF($F$4:$F$503,F211,$E$4:$E$503),2),"")</f>
        <v/>
      </c>
      <c r="O211" t="str">
        <f>IF(M211=1,COUNTIFS($M$4:$M$503,1,$N$4:$N$503,"&gt;"&amp;N211)+COUNTIFS($M$4:M211,1,$N$4:N211,N211),"")</f>
        <v/>
      </c>
      <c r="P211">
        <f>IF(G211="",0,IF(COUNTIF($G$4:G211,G211)=1,1,0))</f>
        <v>0</v>
      </c>
      <c r="Q211" t="str">
        <f>IF(P211=1,ROUND(SUMIF($G$4:$G$503,G211,$E$4:$E$503),2),"")</f>
        <v/>
      </c>
      <c r="R211" t="str">
        <f>IF(P211=1,COUNTIFS($P$4:$P$503,1,$Q$4:$Q$503,"&gt;"&amp;Q211)+COUNTIFS($P$4:P211,1,$Q$4:Q211,Q211),"")</f>
        <v/>
      </c>
      <c r="S211">
        <f>IF(H211="",0,IF(COUNTIF($H$4:H211,H211)=1,1,0))</f>
        <v>0</v>
      </c>
      <c r="T211" t="str">
        <f>IF(S211=1,ROUND(SUMIF($H$4:$H$503,H211,$E$4:$E$503),2),"")</f>
        <v/>
      </c>
      <c r="U211" t="str">
        <f>IF(S211=1,COUNTIFS($S$4:$S$503,1,$T$4:$T$503,"&gt;"&amp;T211)+COUNTIFS($S$4:S211,1,$T$4:T211,T211),"")</f>
        <v/>
      </c>
      <c r="V211" t="str">
        <f>IF(D211=1,MIN(INDEX($R$4:$R$503,MATCH(G211,$G$4:$G$503,0)),IF($AL$7&gt;9,9,999)),"")</f>
        <v/>
      </c>
      <c r="W211" s="166">
        <f>IF(OR($I211="",$E211=0),0,IF(OR($J211&lt;W$3,$I211&gt;W$2),0,IF($K211=0,IF(AND($I211&gt;=W$3,$I211&lt;=W$2),$E211,0),$E211*NETWORKDAYS(MAX($I211,W$3),MIN($J211,W$2),Data!$K$4:$K$203)/$K211)))</f>
        <v>0</v>
      </c>
      <c r="X211" s="166">
        <f>IF(OR($I211="",$E211=0),0,IF(OR($J211&lt;X$3,$I211&gt;X$2),0,IF($K211=0,IF(AND($I211&gt;=X$3,$I211&lt;=X$2),$E211,0),$E211*NETWORKDAYS(MAX($I211,X$3),MIN($J211,X$2),Data!$K$4:$K$203)/$K211)))</f>
        <v>0</v>
      </c>
      <c r="Y211" s="166">
        <f>IF(OR($I211="",$E211=0),0,IF(OR($J211&lt;Y$3,$I211&gt;Y$2),0,IF($K211=0,IF(AND($I211&gt;=Y$3,$I211&lt;=Y$2),$E211,0),$E211*NETWORKDAYS(MAX($I211,Y$3),MIN($J211,Y$2),Data!$K$4:$K$203)/$K211)))</f>
        <v>0</v>
      </c>
      <c r="Z211" s="166">
        <f>IF(OR($I211="",$E211=0),0,IF(OR($J211&lt;Z$3,$I211&gt;Z$2),0,IF($K211=0,IF(AND($I211&gt;=Z$3,$I211&lt;=Z$2),$E211,0),$E211*NETWORKDAYS(MAX($I211,Z$3),MIN($J211,Z$2),Data!$K$4:$K$203)/$K211)))</f>
        <v>0</v>
      </c>
      <c r="AA211" s="166">
        <f>IF(OR($I211="",$E211=0),0,IF(OR($J211&lt;AA$3,$I211&gt;AA$2),0,IF($K211=0,IF(AND($I211&gt;=AA$3,$I211&lt;=AA$2),$E211,0),$E211*NETWORKDAYS(MAX($I211,AA$3),MIN($J211,AA$2),Data!$K$4:$K$203)/$K211)))</f>
        <v>0</v>
      </c>
      <c r="AB211" s="166">
        <f>IF(OR($I211="",$E211=0),0,IF(OR($J211&lt;AB$3,$I211&gt;AB$2),0,IF($K211=0,IF(AND($I211&gt;=AB$3,$I211&lt;=AB$2),$E211,0),$E211*NETWORKDAYS(MAX($I211,AB$3),MIN($J211,AB$2),Data!$K$4:$K$203)/$K211)))</f>
        <v>0</v>
      </c>
      <c r="AC211" s="166">
        <f>IF(OR($I211="",$E211=0),0,IF(OR($J211&lt;AC$3,$I211&gt;AC$2),0,IF($K211=0,IF(AND($I211&gt;=AC$3,$I211&lt;=AC$2),$E211,0),$E211*NETWORKDAYS(MAX($I211,AC$3),MIN($J211,AC$2),Data!$K$4:$K$203)/$K211)))</f>
        <v>0</v>
      </c>
      <c r="AD211" s="166">
        <f>IF(OR($I211="",$E211=0),0,IF(OR($J211&lt;AD$3,$I211&gt;AD$2),0,IF($K211=0,IF(AND($I211&gt;=AD$3,$I211&lt;=AD$2),$E211,0),$E211*NETWORKDAYS(MAX($I211,AD$3),MIN($J211,AD$2),Data!$K$4:$K$203)/$K211)))</f>
        <v>0</v>
      </c>
      <c r="AE211" s="166">
        <f>IF(OR($I211="",$E211=0),0,IF(OR($J211&lt;AE$3,$I211&gt;AE$2),0,IF($K211=0,IF(AND($I211&gt;=AE$3,$I211&lt;=AE$2),$E211,0),$E211*NETWORKDAYS(MAX($I211,AE$3),MIN($J211,AE$2),Data!$K$4:$K$203)/$K211)))</f>
        <v>0</v>
      </c>
      <c r="AF211" s="166">
        <f>IF(OR($I211="",$E211=0),0,IF(OR($J211&lt;AF$3,$I211&gt;AF$2),0,IF($K211=0,IF(AND($I211&gt;=AF$3,$I211&lt;=AF$2),$E211,0),$E211*NETWORKDAYS(MAX($I211,AF$3),MIN($J211,AF$2),Data!$K$4:$K$203)/$K211)))</f>
        <v>0</v>
      </c>
      <c r="AG211" s="166">
        <f>IF(OR($I211="",$E211=0),0,IF(OR($J211&lt;AG$3,$I211&gt;AG$2),0,IF($K211=0,IF(AND($I211&gt;=AG$3,$I211&lt;=AG$2),$E211,0),$E211*NETWORKDAYS(MAX($I211,AG$3),MIN($J211,AG$2),Data!$K$4:$K$203)/$K211)))</f>
        <v>0</v>
      </c>
      <c r="AH211" s="166">
        <f>IF(OR($I211="",$E211=0),0,IF(OR($J211&lt;AH$3,$I211&gt;AH$2),0,IF($K211=0,IF(AND($I211&gt;=AH$3,$I211&lt;=AH$2),$E211,0),$E211*NETWORKDAYS(MAX($I211,AH$3),MIN($J211,AH$2),Data!$K$4:$K$203)/$K211)))</f>
        <v>0</v>
      </c>
      <c r="AI211" s="166">
        <f>SUM(W211:AH211)</f>
        <v>0</v>
      </c>
      <c r="BZ211" t="str">
        <f>IF(D211=1,IF(TRIM(INDEX(Charge!$K:$K,ROW()))&lt;&gt;"",TRIM(INDEX(Charge!$K:$K,ROW())),IF(TRIM(INDEX(Charge!$L:$L,ROW()))&lt;&gt;"",TRIM(INDEX(Charge!$L:$L,ROW())),"(non affecté)")),"")</f>
        <v/>
      </c>
      <c r="CA211" t="str">
        <f>IF(AND($CD$4&lt;&gt;"",BZ211=$CD$4),COUNTIFS($BZ$4:$BZ$503,$CD$4,$L$4:$L$503,"&lt;"&amp;L211)+1,"")</f>
        <v/>
      </c>
      <c r="EM211" t="str">
        <f>IF(D211=1,IF(TRIM(INDEX(Charge!$K:$K,ROW()))&lt;&gt;"","Interne",IF(TRIM(INDEX(Charge!$L:$L,ROW()))&lt;&gt;"","Externe","Non affecté")),"")</f>
        <v/>
      </c>
      <c r="EN211" t="str">
        <f>IF(D211=1,LEFT(SUBSTITUTE(SUBSTITUTE(SUBSTITUTE(TRIM(SUBSTITUTE(INDEX(Charge!$B:$B,ROW()),CHAR(160)," "))&amp;" | "&amp;TRIM(SUBSTITUTE(INDEX(Charge!$C:$C,ROW()),CHAR(160)," "))&amp;" | "&amp;TRIM(SUBSTITUTE(INDEX(Charge!$D:$D,ROW()),CHAR(160)," ")),"~","-"),"*","+"),"?","!"),240),"")</f>
        <v/>
      </c>
      <c r="EO211">
        <f>IF(EN211="",0,IF(COUNTIF($EN$4:EN211,EN211)=1,1,0))</f>
        <v>0</v>
      </c>
      <c r="EP211" s="166" t="str">
        <f>IF(EO211=1,ROUND(SUMIF($EN$4:$EN$503,EN211,$E$4:$E$503),2),"")</f>
        <v/>
      </c>
      <c r="EQ211" t="str">
        <f>IF(EO211=1,COUNTIFS($EO$4:$EO$503,1,$EP$4:$EP$503,"&gt;"&amp;EP211)+COUNTIFS($EO$4:EO211,1,$EP$4:EP211,EP211),"")</f>
        <v/>
      </c>
      <c r="ER211" t="str">
        <f>IF(EO211=1,COUNTIFS($EN$4:$EN$503,EN211,$EM$4:$EM$503,"Interne",$FE$4:$FE$503,1),"")</f>
        <v/>
      </c>
      <c r="ES211" t="str">
        <f>IF(EO211=1,COUNTIFS($EN$4:$EN$503,EN211,$EM$4:$EM$503,"Externe",$FE$4:$FE$503,1),"")</f>
        <v/>
      </c>
      <c r="ET211" t="str">
        <f>IF(EO211=1,IF(ER211+ES211=0,"à affecter",IF(ER211=0,ES211&amp;" ext.",(ER211+ES211)&amp;IF(ES211&gt;0," dont "&amp;ES211&amp;" ext.",""))&amp;IF(COUNTIFS($EN$4:$EN$503,EN211,$EM$4:$EM$503,"Non affecté")&gt;0," + à affecter","")),"")</f>
        <v/>
      </c>
      <c r="EU211" s="170" t="str">
        <f>IF(EO211=1,IF(EP211&gt;0,SUMPRODUCT(($EN$4:$EN$503=EN211)*$E$4:$E$503*$C$4:$C$503)/EP211,AVERAGEIF($EN$4:$EN$503,EN211,$C$4:$C$503)),"")</f>
        <v/>
      </c>
      <c r="EV211" s="165">
        <f>IF(ISNUMBER(I211),I211,2958465)</f>
        <v>2958465.0</v>
      </c>
      <c r="EW211" s="165" t="str">
        <f>IF(EO211=1,SUMPRODUCT(MIN(($EN$4:$EN$503=EN211)*$EV$4:$EV$503+($EN$4:$EN$503&lt;&gt;EN211)*2958465)),"")</f>
        <v/>
      </c>
      <c r="EX211" s="165">
        <f>IF(AND(D211=1,ISNUMBER(INDEX(Charge!$F:$F,ROW()))),INDEX(Charge!$F:$F,ROW()),0)</f>
        <v>0.0</v>
      </c>
      <c r="EY211" s="165" t="str">
        <f>IF(EO211=1,SUMPRODUCT(MAX(($EN$4:$EN$503=EN211)*$EX$4:$EX$503)),"")</f>
        <v/>
      </c>
      <c r="FA211" t="str">
        <f>IF(208&lt;=$CD$23,INDEX($EJ$4:$EJ$203,208),IF(208-$CD$23&lt;=$CD$26,INDEX($EK$4:$EK$203,208-$CD$23),""))</f>
        <v/>
      </c>
      <c r="FB211" t="str">
        <f>IF(FA211="","",IF(208&lt;=$CD$23,"Interne","Externe"))</f>
        <v/>
      </c>
      <c r="FD211">
        <f>IF(AND(B211=1,TRIM(INDEX(Charge!$K:$K,ROW()))&lt;&gt;"",TRIM(INDEX(Charge!$L:$L,ROW()))&lt;&gt;""),1,0)</f>
        <v>0</v>
      </c>
      <c r="FE211">
        <f>IF(OR(EN211="",BZ211="(non affecté)"),0,IF(COUNTIFS($EN$4:EN211,EN211,$BZ$4:BZ211,BZ211)=1,1,0))</f>
        <v>0</v>
      </c>
    </row>
    <row r="212">
      <c r="A212">
        <f>ROW()</f>
        <v>212</v>
      </c>
      <c r="B212">
        <f>IF(TRIM(INDEX(Charge!$B:$B,ROW()))&lt;&gt;"",1,0)</f>
        <v>0</v>
      </c>
      <c r="C212">
        <f>IF(B212=1,MIN(1,MAX(0,N(INDEX(Charge!$O:$O,ROW())))),0)</f>
        <v>0</v>
      </c>
      <c r="D212">
        <f>IF(B212=1,IF(OR(p_Perimetre="Tous les projets",C212&lt;1),1,0),0)</f>
        <v>0</v>
      </c>
      <c r="E212">
        <f>IF(D212=1,MAX(0,N(INDEX(Charge!$M:$M,ROW()))),0)</f>
        <v>0</v>
      </c>
      <c r="F212" t="str">
        <f>IF(D212=1,IF(TRIM(INDEX(Charge!$A:$A,ROW()))="","(non renseigné)",TRIM(INDEX(Charge!$A:$A,ROW()))),"")</f>
        <v/>
      </c>
      <c r="G212" t="str">
        <f>IF(D212=1,TRIM(INDEX(Charge!$B:$B,ROW())),"")</f>
        <v/>
      </c>
      <c r="H212" t="str">
        <f>IF(D212=1,IF(TRIM(INDEX(Charge!$E:$E,ROW()))="","(non renseigné)",TRIM(INDEX(Charge!$E:$E,ROW()))),"")</f>
        <v/>
      </c>
      <c r="I212" s="165" t="str">
        <f>IF(AND(D212=1,ISNUMBER(INDEX(Charge!$N:$N,ROW()))),INDEX(Charge!$N:$N,ROW()),"")</f>
        <v/>
      </c>
      <c r="J212" s="165" t="str">
        <f>IF(I212="","",IF(AND(p_Repartition="Lissée jusqu'à la date de besoin",ISNUMBER(INDEX(Charge!$F:$F,ROW()))),IF(INDEX(Charge!$F:$F,ROW())&gt;=I212,INDEX(Charge!$F:$F,ROW()),I212),I212))</f>
        <v/>
      </c>
      <c r="K212" t="str">
        <f>IF(I212="","",NETWORKDAYS(I212,J212,Data!$K$4:$K$203))</f>
        <v/>
      </c>
      <c r="L212" t="str">
        <f>IF(D212=1,COUNTIFS($D$4:$D$503,1,$E$4:$E$503,"&gt;"&amp;E212)+COUNTIFS($D$4:$D212,1,$E$4:$E212,E212),"")</f>
        <v/>
      </c>
      <c r="M212">
        <f>IF(F212="",0,IF(COUNTIF($F$4:F212,F212)=1,1,0))</f>
        <v>0</v>
      </c>
      <c r="N212" t="str">
        <f>IF(M212=1,ROUND(SUMIF($F$4:$F$503,F212,$E$4:$E$503),2),"")</f>
        <v/>
      </c>
      <c r="O212" t="str">
        <f>IF(M212=1,COUNTIFS($M$4:$M$503,1,$N$4:$N$503,"&gt;"&amp;N212)+COUNTIFS($M$4:M212,1,$N$4:N212,N212),"")</f>
        <v/>
      </c>
      <c r="P212">
        <f>IF(G212="",0,IF(COUNTIF($G$4:G212,G212)=1,1,0))</f>
        <v>0</v>
      </c>
      <c r="Q212" t="str">
        <f>IF(P212=1,ROUND(SUMIF($G$4:$G$503,G212,$E$4:$E$503),2),"")</f>
        <v/>
      </c>
      <c r="R212" t="str">
        <f>IF(P212=1,COUNTIFS($P$4:$P$503,1,$Q$4:$Q$503,"&gt;"&amp;Q212)+COUNTIFS($P$4:P212,1,$Q$4:Q212,Q212),"")</f>
        <v/>
      </c>
      <c r="S212">
        <f>IF(H212="",0,IF(COUNTIF($H$4:H212,H212)=1,1,0))</f>
        <v>0</v>
      </c>
      <c r="T212" t="str">
        <f>IF(S212=1,ROUND(SUMIF($H$4:$H$503,H212,$E$4:$E$503),2),"")</f>
        <v/>
      </c>
      <c r="U212" t="str">
        <f>IF(S212=1,COUNTIFS($S$4:$S$503,1,$T$4:$T$503,"&gt;"&amp;T212)+COUNTIFS($S$4:S212,1,$T$4:T212,T212),"")</f>
        <v/>
      </c>
      <c r="V212" t="str">
        <f>IF(D212=1,MIN(INDEX($R$4:$R$503,MATCH(G212,$G$4:$G$503,0)),IF($AL$7&gt;9,9,999)),"")</f>
        <v/>
      </c>
      <c r="W212" s="166">
        <f>IF(OR($I212="",$E212=0),0,IF(OR($J212&lt;W$3,$I212&gt;W$2),0,IF($K212=0,IF(AND($I212&gt;=W$3,$I212&lt;=W$2),$E212,0),$E212*NETWORKDAYS(MAX($I212,W$3),MIN($J212,W$2),Data!$K$4:$K$203)/$K212)))</f>
        <v>0</v>
      </c>
      <c r="X212" s="166">
        <f>IF(OR($I212="",$E212=0),0,IF(OR($J212&lt;X$3,$I212&gt;X$2),0,IF($K212=0,IF(AND($I212&gt;=X$3,$I212&lt;=X$2),$E212,0),$E212*NETWORKDAYS(MAX($I212,X$3),MIN($J212,X$2),Data!$K$4:$K$203)/$K212)))</f>
        <v>0</v>
      </c>
      <c r="Y212" s="166">
        <f>IF(OR($I212="",$E212=0),0,IF(OR($J212&lt;Y$3,$I212&gt;Y$2),0,IF($K212=0,IF(AND($I212&gt;=Y$3,$I212&lt;=Y$2),$E212,0),$E212*NETWORKDAYS(MAX($I212,Y$3),MIN($J212,Y$2),Data!$K$4:$K$203)/$K212)))</f>
        <v>0</v>
      </c>
      <c r="Z212" s="166">
        <f>IF(OR($I212="",$E212=0),0,IF(OR($J212&lt;Z$3,$I212&gt;Z$2),0,IF($K212=0,IF(AND($I212&gt;=Z$3,$I212&lt;=Z$2),$E212,0),$E212*NETWORKDAYS(MAX($I212,Z$3),MIN($J212,Z$2),Data!$K$4:$K$203)/$K212)))</f>
        <v>0</v>
      </c>
      <c r="AA212" s="166">
        <f>IF(OR($I212="",$E212=0),0,IF(OR($J212&lt;AA$3,$I212&gt;AA$2),0,IF($K212=0,IF(AND($I212&gt;=AA$3,$I212&lt;=AA$2),$E212,0),$E212*NETWORKDAYS(MAX($I212,AA$3),MIN($J212,AA$2),Data!$K$4:$K$203)/$K212)))</f>
        <v>0</v>
      </c>
      <c r="AB212" s="166">
        <f>IF(OR($I212="",$E212=0),0,IF(OR($J212&lt;AB$3,$I212&gt;AB$2),0,IF($K212=0,IF(AND($I212&gt;=AB$3,$I212&lt;=AB$2),$E212,0),$E212*NETWORKDAYS(MAX($I212,AB$3),MIN($J212,AB$2),Data!$K$4:$K$203)/$K212)))</f>
        <v>0</v>
      </c>
      <c r="AC212" s="166">
        <f>IF(OR($I212="",$E212=0),0,IF(OR($J212&lt;AC$3,$I212&gt;AC$2),0,IF($K212=0,IF(AND($I212&gt;=AC$3,$I212&lt;=AC$2),$E212,0),$E212*NETWORKDAYS(MAX($I212,AC$3),MIN($J212,AC$2),Data!$K$4:$K$203)/$K212)))</f>
        <v>0</v>
      </c>
      <c r="AD212" s="166">
        <f>IF(OR($I212="",$E212=0),0,IF(OR($J212&lt;AD$3,$I212&gt;AD$2),0,IF($K212=0,IF(AND($I212&gt;=AD$3,$I212&lt;=AD$2),$E212,0),$E212*NETWORKDAYS(MAX($I212,AD$3),MIN($J212,AD$2),Data!$K$4:$K$203)/$K212)))</f>
        <v>0</v>
      </c>
      <c r="AE212" s="166">
        <f>IF(OR($I212="",$E212=0),0,IF(OR($J212&lt;AE$3,$I212&gt;AE$2),0,IF($K212=0,IF(AND($I212&gt;=AE$3,$I212&lt;=AE$2),$E212,0),$E212*NETWORKDAYS(MAX($I212,AE$3),MIN($J212,AE$2),Data!$K$4:$K$203)/$K212)))</f>
        <v>0</v>
      </c>
      <c r="AF212" s="166">
        <f>IF(OR($I212="",$E212=0),0,IF(OR($J212&lt;AF$3,$I212&gt;AF$2),0,IF($K212=0,IF(AND($I212&gt;=AF$3,$I212&lt;=AF$2),$E212,0),$E212*NETWORKDAYS(MAX($I212,AF$3),MIN($J212,AF$2),Data!$K$4:$K$203)/$K212)))</f>
        <v>0</v>
      </c>
      <c r="AG212" s="166">
        <f>IF(OR($I212="",$E212=0),0,IF(OR($J212&lt;AG$3,$I212&gt;AG$2),0,IF($K212=0,IF(AND($I212&gt;=AG$3,$I212&lt;=AG$2),$E212,0),$E212*NETWORKDAYS(MAX($I212,AG$3),MIN($J212,AG$2),Data!$K$4:$K$203)/$K212)))</f>
        <v>0</v>
      </c>
      <c r="AH212" s="166">
        <f>IF(OR($I212="",$E212=0),0,IF(OR($J212&lt;AH$3,$I212&gt;AH$2),0,IF($K212=0,IF(AND($I212&gt;=AH$3,$I212&lt;=AH$2),$E212,0),$E212*NETWORKDAYS(MAX($I212,AH$3),MIN($J212,AH$2),Data!$K$4:$K$203)/$K212)))</f>
        <v>0</v>
      </c>
      <c r="AI212" s="166">
        <f>SUM(W212:AH212)</f>
        <v>0</v>
      </c>
      <c r="BZ212" t="str">
        <f>IF(D212=1,IF(TRIM(INDEX(Charge!$K:$K,ROW()))&lt;&gt;"",TRIM(INDEX(Charge!$K:$K,ROW())),IF(TRIM(INDEX(Charge!$L:$L,ROW()))&lt;&gt;"",TRIM(INDEX(Charge!$L:$L,ROW())),"(non affecté)")),"")</f>
        <v/>
      </c>
      <c r="CA212" t="str">
        <f>IF(AND($CD$4&lt;&gt;"",BZ212=$CD$4),COUNTIFS($BZ$4:$BZ$503,$CD$4,$L$4:$L$503,"&lt;"&amp;L212)+1,"")</f>
        <v/>
      </c>
      <c r="EM212" t="str">
        <f>IF(D212=1,IF(TRIM(INDEX(Charge!$K:$K,ROW()))&lt;&gt;"","Interne",IF(TRIM(INDEX(Charge!$L:$L,ROW()))&lt;&gt;"","Externe","Non affecté")),"")</f>
        <v/>
      </c>
      <c r="EN212" t="str">
        <f>IF(D212=1,LEFT(SUBSTITUTE(SUBSTITUTE(SUBSTITUTE(TRIM(SUBSTITUTE(INDEX(Charge!$B:$B,ROW()),CHAR(160)," "))&amp;" | "&amp;TRIM(SUBSTITUTE(INDEX(Charge!$C:$C,ROW()),CHAR(160)," "))&amp;" | "&amp;TRIM(SUBSTITUTE(INDEX(Charge!$D:$D,ROW()),CHAR(160)," ")),"~","-"),"*","+"),"?","!"),240),"")</f>
        <v/>
      </c>
      <c r="EO212">
        <f>IF(EN212="",0,IF(COUNTIF($EN$4:EN212,EN212)=1,1,0))</f>
        <v>0</v>
      </c>
      <c r="EP212" s="166" t="str">
        <f>IF(EO212=1,ROUND(SUMIF($EN$4:$EN$503,EN212,$E$4:$E$503),2),"")</f>
        <v/>
      </c>
      <c r="EQ212" t="str">
        <f>IF(EO212=1,COUNTIFS($EO$4:$EO$503,1,$EP$4:$EP$503,"&gt;"&amp;EP212)+COUNTIFS($EO$4:EO212,1,$EP$4:EP212,EP212),"")</f>
        <v/>
      </c>
      <c r="ER212" t="str">
        <f>IF(EO212=1,COUNTIFS($EN$4:$EN$503,EN212,$EM$4:$EM$503,"Interne",$FE$4:$FE$503,1),"")</f>
        <v/>
      </c>
      <c r="ES212" t="str">
        <f>IF(EO212=1,COUNTIFS($EN$4:$EN$503,EN212,$EM$4:$EM$503,"Externe",$FE$4:$FE$503,1),"")</f>
        <v/>
      </c>
      <c r="ET212" t="str">
        <f>IF(EO212=1,IF(ER212+ES212=0,"à affecter",IF(ER212=0,ES212&amp;" ext.",(ER212+ES212)&amp;IF(ES212&gt;0," dont "&amp;ES212&amp;" ext.",""))&amp;IF(COUNTIFS($EN$4:$EN$503,EN212,$EM$4:$EM$503,"Non affecté")&gt;0," + à affecter","")),"")</f>
        <v/>
      </c>
      <c r="EU212" s="170" t="str">
        <f>IF(EO212=1,IF(EP212&gt;0,SUMPRODUCT(($EN$4:$EN$503=EN212)*$E$4:$E$503*$C$4:$C$503)/EP212,AVERAGEIF($EN$4:$EN$503,EN212,$C$4:$C$503)),"")</f>
        <v/>
      </c>
      <c r="EV212" s="165">
        <f>IF(ISNUMBER(I212),I212,2958465)</f>
        <v>2958465.0</v>
      </c>
      <c r="EW212" s="165" t="str">
        <f>IF(EO212=1,SUMPRODUCT(MIN(($EN$4:$EN$503=EN212)*$EV$4:$EV$503+($EN$4:$EN$503&lt;&gt;EN212)*2958465)),"")</f>
        <v/>
      </c>
      <c r="EX212" s="165">
        <f>IF(AND(D212=1,ISNUMBER(INDEX(Charge!$F:$F,ROW()))),INDEX(Charge!$F:$F,ROW()),0)</f>
        <v>0.0</v>
      </c>
      <c r="EY212" s="165" t="str">
        <f>IF(EO212=1,SUMPRODUCT(MAX(($EN$4:$EN$503=EN212)*$EX$4:$EX$503)),"")</f>
        <v/>
      </c>
      <c r="FA212" t="str">
        <f>IF(209&lt;=$CD$23,INDEX($EJ$4:$EJ$203,209),IF(209-$CD$23&lt;=$CD$26,INDEX($EK$4:$EK$203,209-$CD$23),""))</f>
        <v/>
      </c>
      <c r="FB212" t="str">
        <f>IF(FA212="","",IF(209&lt;=$CD$23,"Interne","Externe"))</f>
        <v/>
      </c>
      <c r="FD212">
        <f>IF(AND(B212=1,TRIM(INDEX(Charge!$K:$K,ROW()))&lt;&gt;"",TRIM(INDEX(Charge!$L:$L,ROW()))&lt;&gt;""),1,0)</f>
        <v>0</v>
      </c>
      <c r="FE212">
        <f>IF(OR(EN212="",BZ212="(non affecté)"),0,IF(COUNTIFS($EN$4:EN212,EN212,$BZ$4:BZ212,BZ212)=1,1,0))</f>
        <v>0</v>
      </c>
    </row>
    <row r="213">
      <c r="A213">
        <f>ROW()</f>
        <v>213</v>
      </c>
      <c r="B213">
        <f>IF(TRIM(INDEX(Charge!$B:$B,ROW()))&lt;&gt;"",1,0)</f>
        <v>0</v>
      </c>
      <c r="C213">
        <f>IF(B213=1,MIN(1,MAX(0,N(INDEX(Charge!$O:$O,ROW())))),0)</f>
        <v>0</v>
      </c>
      <c r="D213">
        <f>IF(B213=1,IF(OR(p_Perimetre="Tous les projets",C213&lt;1),1,0),0)</f>
        <v>0</v>
      </c>
      <c r="E213">
        <f>IF(D213=1,MAX(0,N(INDEX(Charge!$M:$M,ROW()))),0)</f>
        <v>0</v>
      </c>
      <c r="F213" t="str">
        <f>IF(D213=1,IF(TRIM(INDEX(Charge!$A:$A,ROW()))="","(non renseigné)",TRIM(INDEX(Charge!$A:$A,ROW()))),"")</f>
        <v/>
      </c>
      <c r="G213" t="str">
        <f>IF(D213=1,TRIM(INDEX(Charge!$B:$B,ROW())),"")</f>
        <v/>
      </c>
      <c r="H213" t="str">
        <f>IF(D213=1,IF(TRIM(INDEX(Charge!$E:$E,ROW()))="","(non renseigné)",TRIM(INDEX(Charge!$E:$E,ROW()))),"")</f>
        <v/>
      </c>
      <c r="I213" s="165" t="str">
        <f>IF(AND(D213=1,ISNUMBER(INDEX(Charge!$N:$N,ROW()))),INDEX(Charge!$N:$N,ROW()),"")</f>
        <v/>
      </c>
      <c r="J213" s="165" t="str">
        <f>IF(I213="","",IF(AND(p_Repartition="Lissée jusqu'à la date de besoin",ISNUMBER(INDEX(Charge!$F:$F,ROW()))),IF(INDEX(Charge!$F:$F,ROW())&gt;=I213,INDEX(Charge!$F:$F,ROW()),I213),I213))</f>
        <v/>
      </c>
      <c r="K213" t="str">
        <f>IF(I213="","",NETWORKDAYS(I213,J213,Data!$K$4:$K$203))</f>
        <v/>
      </c>
      <c r="L213" t="str">
        <f>IF(D213=1,COUNTIFS($D$4:$D$503,1,$E$4:$E$503,"&gt;"&amp;E213)+COUNTIFS($D$4:$D213,1,$E$4:$E213,E213),"")</f>
        <v/>
      </c>
      <c r="M213">
        <f>IF(F213="",0,IF(COUNTIF($F$4:F213,F213)=1,1,0))</f>
        <v>0</v>
      </c>
      <c r="N213" t="str">
        <f>IF(M213=1,ROUND(SUMIF($F$4:$F$503,F213,$E$4:$E$503),2),"")</f>
        <v/>
      </c>
      <c r="O213" t="str">
        <f>IF(M213=1,COUNTIFS($M$4:$M$503,1,$N$4:$N$503,"&gt;"&amp;N213)+COUNTIFS($M$4:M213,1,$N$4:N213,N213),"")</f>
        <v/>
      </c>
      <c r="P213">
        <f>IF(G213="",0,IF(COUNTIF($G$4:G213,G213)=1,1,0))</f>
        <v>0</v>
      </c>
      <c r="Q213" t="str">
        <f>IF(P213=1,ROUND(SUMIF($G$4:$G$503,G213,$E$4:$E$503),2),"")</f>
        <v/>
      </c>
      <c r="R213" t="str">
        <f>IF(P213=1,COUNTIFS($P$4:$P$503,1,$Q$4:$Q$503,"&gt;"&amp;Q213)+COUNTIFS($P$4:P213,1,$Q$4:Q213,Q213),"")</f>
        <v/>
      </c>
      <c r="S213">
        <f>IF(H213="",0,IF(COUNTIF($H$4:H213,H213)=1,1,0))</f>
        <v>0</v>
      </c>
      <c r="T213" t="str">
        <f>IF(S213=1,ROUND(SUMIF($H$4:$H$503,H213,$E$4:$E$503),2),"")</f>
        <v/>
      </c>
      <c r="U213" t="str">
        <f>IF(S213=1,COUNTIFS($S$4:$S$503,1,$T$4:$T$503,"&gt;"&amp;T213)+COUNTIFS($S$4:S213,1,$T$4:T213,T213),"")</f>
        <v/>
      </c>
      <c r="V213" t="str">
        <f>IF(D213=1,MIN(INDEX($R$4:$R$503,MATCH(G213,$G$4:$G$503,0)),IF($AL$7&gt;9,9,999)),"")</f>
        <v/>
      </c>
      <c r="W213" s="166">
        <f>IF(OR($I213="",$E213=0),0,IF(OR($J213&lt;W$3,$I213&gt;W$2),0,IF($K213=0,IF(AND($I213&gt;=W$3,$I213&lt;=W$2),$E213,0),$E213*NETWORKDAYS(MAX($I213,W$3),MIN($J213,W$2),Data!$K$4:$K$203)/$K213)))</f>
        <v>0</v>
      </c>
      <c r="X213" s="166">
        <f>IF(OR($I213="",$E213=0),0,IF(OR($J213&lt;X$3,$I213&gt;X$2),0,IF($K213=0,IF(AND($I213&gt;=X$3,$I213&lt;=X$2),$E213,0),$E213*NETWORKDAYS(MAX($I213,X$3),MIN($J213,X$2),Data!$K$4:$K$203)/$K213)))</f>
        <v>0</v>
      </c>
      <c r="Y213" s="166">
        <f>IF(OR($I213="",$E213=0),0,IF(OR($J213&lt;Y$3,$I213&gt;Y$2),0,IF($K213=0,IF(AND($I213&gt;=Y$3,$I213&lt;=Y$2),$E213,0),$E213*NETWORKDAYS(MAX($I213,Y$3),MIN($J213,Y$2),Data!$K$4:$K$203)/$K213)))</f>
        <v>0</v>
      </c>
      <c r="Z213" s="166">
        <f>IF(OR($I213="",$E213=0),0,IF(OR($J213&lt;Z$3,$I213&gt;Z$2),0,IF($K213=0,IF(AND($I213&gt;=Z$3,$I213&lt;=Z$2),$E213,0),$E213*NETWORKDAYS(MAX($I213,Z$3),MIN($J213,Z$2),Data!$K$4:$K$203)/$K213)))</f>
        <v>0</v>
      </c>
      <c r="AA213" s="166">
        <f>IF(OR($I213="",$E213=0),0,IF(OR($J213&lt;AA$3,$I213&gt;AA$2),0,IF($K213=0,IF(AND($I213&gt;=AA$3,$I213&lt;=AA$2),$E213,0),$E213*NETWORKDAYS(MAX($I213,AA$3),MIN($J213,AA$2),Data!$K$4:$K$203)/$K213)))</f>
        <v>0</v>
      </c>
      <c r="AB213" s="166">
        <f>IF(OR($I213="",$E213=0),0,IF(OR($J213&lt;AB$3,$I213&gt;AB$2),0,IF($K213=0,IF(AND($I213&gt;=AB$3,$I213&lt;=AB$2),$E213,0),$E213*NETWORKDAYS(MAX($I213,AB$3),MIN($J213,AB$2),Data!$K$4:$K$203)/$K213)))</f>
        <v>0</v>
      </c>
      <c r="AC213" s="166">
        <f>IF(OR($I213="",$E213=0),0,IF(OR($J213&lt;AC$3,$I213&gt;AC$2),0,IF($K213=0,IF(AND($I213&gt;=AC$3,$I213&lt;=AC$2),$E213,0),$E213*NETWORKDAYS(MAX($I213,AC$3),MIN($J213,AC$2),Data!$K$4:$K$203)/$K213)))</f>
        <v>0</v>
      </c>
      <c r="AD213" s="166">
        <f>IF(OR($I213="",$E213=0),0,IF(OR($J213&lt;AD$3,$I213&gt;AD$2),0,IF($K213=0,IF(AND($I213&gt;=AD$3,$I213&lt;=AD$2),$E213,0),$E213*NETWORKDAYS(MAX($I213,AD$3),MIN($J213,AD$2),Data!$K$4:$K$203)/$K213)))</f>
        <v>0</v>
      </c>
      <c r="AE213" s="166">
        <f>IF(OR($I213="",$E213=0),0,IF(OR($J213&lt;AE$3,$I213&gt;AE$2),0,IF($K213=0,IF(AND($I213&gt;=AE$3,$I213&lt;=AE$2),$E213,0),$E213*NETWORKDAYS(MAX($I213,AE$3),MIN($J213,AE$2),Data!$K$4:$K$203)/$K213)))</f>
        <v>0</v>
      </c>
      <c r="AF213" s="166">
        <f>IF(OR($I213="",$E213=0),0,IF(OR($J213&lt;AF$3,$I213&gt;AF$2),0,IF($K213=0,IF(AND($I213&gt;=AF$3,$I213&lt;=AF$2),$E213,0),$E213*NETWORKDAYS(MAX($I213,AF$3),MIN($J213,AF$2),Data!$K$4:$K$203)/$K213)))</f>
        <v>0</v>
      </c>
      <c r="AG213" s="166">
        <f>IF(OR($I213="",$E213=0),0,IF(OR($J213&lt;AG$3,$I213&gt;AG$2),0,IF($K213=0,IF(AND($I213&gt;=AG$3,$I213&lt;=AG$2),$E213,0),$E213*NETWORKDAYS(MAX($I213,AG$3),MIN($J213,AG$2),Data!$K$4:$K$203)/$K213)))</f>
        <v>0</v>
      </c>
      <c r="AH213" s="166">
        <f>IF(OR($I213="",$E213=0),0,IF(OR($J213&lt;AH$3,$I213&gt;AH$2),0,IF($K213=0,IF(AND($I213&gt;=AH$3,$I213&lt;=AH$2),$E213,0),$E213*NETWORKDAYS(MAX($I213,AH$3),MIN($J213,AH$2),Data!$K$4:$K$203)/$K213)))</f>
        <v>0</v>
      </c>
      <c r="AI213" s="166">
        <f>SUM(W213:AH213)</f>
        <v>0</v>
      </c>
      <c r="BZ213" t="str">
        <f>IF(D213=1,IF(TRIM(INDEX(Charge!$K:$K,ROW()))&lt;&gt;"",TRIM(INDEX(Charge!$K:$K,ROW())),IF(TRIM(INDEX(Charge!$L:$L,ROW()))&lt;&gt;"",TRIM(INDEX(Charge!$L:$L,ROW())),"(non affecté)")),"")</f>
        <v/>
      </c>
      <c r="CA213" t="str">
        <f>IF(AND($CD$4&lt;&gt;"",BZ213=$CD$4),COUNTIFS($BZ$4:$BZ$503,$CD$4,$L$4:$L$503,"&lt;"&amp;L213)+1,"")</f>
        <v/>
      </c>
      <c r="EM213" t="str">
        <f>IF(D213=1,IF(TRIM(INDEX(Charge!$K:$K,ROW()))&lt;&gt;"","Interne",IF(TRIM(INDEX(Charge!$L:$L,ROW()))&lt;&gt;"","Externe","Non affecté")),"")</f>
        <v/>
      </c>
      <c r="EN213" t="str">
        <f>IF(D213=1,LEFT(SUBSTITUTE(SUBSTITUTE(SUBSTITUTE(TRIM(SUBSTITUTE(INDEX(Charge!$B:$B,ROW()),CHAR(160)," "))&amp;" | "&amp;TRIM(SUBSTITUTE(INDEX(Charge!$C:$C,ROW()),CHAR(160)," "))&amp;" | "&amp;TRIM(SUBSTITUTE(INDEX(Charge!$D:$D,ROW()),CHAR(160)," ")),"~","-"),"*","+"),"?","!"),240),"")</f>
        <v/>
      </c>
      <c r="EO213">
        <f>IF(EN213="",0,IF(COUNTIF($EN$4:EN213,EN213)=1,1,0))</f>
        <v>0</v>
      </c>
      <c r="EP213" s="166" t="str">
        <f>IF(EO213=1,ROUND(SUMIF($EN$4:$EN$503,EN213,$E$4:$E$503),2),"")</f>
        <v/>
      </c>
      <c r="EQ213" t="str">
        <f>IF(EO213=1,COUNTIFS($EO$4:$EO$503,1,$EP$4:$EP$503,"&gt;"&amp;EP213)+COUNTIFS($EO$4:EO213,1,$EP$4:EP213,EP213),"")</f>
        <v/>
      </c>
      <c r="ER213" t="str">
        <f>IF(EO213=1,COUNTIFS($EN$4:$EN$503,EN213,$EM$4:$EM$503,"Interne",$FE$4:$FE$503,1),"")</f>
        <v/>
      </c>
      <c r="ES213" t="str">
        <f>IF(EO213=1,COUNTIFS($EN$4:$EN$503,EN213,$EM$4:$EM$503,"Externe",$FE$4:$FE$503,1),"")</f>
        <v/>
      </c>
      <c r="ET213" t="str">
        <f>IF(EO213=1,IF(ER213+ES213=0,"à affecter",IF(ER213=0,ES213&amp;" ext.",(ER213+ES213)&amp;IF(ES213&gt;0," dont "&amp;ES213&amp;" ext.",""))&amp;IF(COUNTIFS($EN$4:$EN$503,EN213,$EM$4:$EM$503,"Non affecté")&gt;0," + à affecter","")),"")</f>
        <v/>
      </c>
      <c r="EU213" s="170" t="str">
        <f>IF(EO213=1,IF(EP213&gt;0,SUMPRODUCT(($EN$4:$EN$503=EN213)*$E$4:$E$503*$C$4:$C$503)/EP213,AVERAGEIF($EN$4:$EN$503,EN213,$C$4:$C$503)),"")</f>
        <v/>
      </c>
      <c r="EV213" s="165">
        <f>IF(ISNUMBER(I213),I213,2958465)</f>
        <v>2958465.0</v>
      </c>
      <c r="EW213" s="165" t="str">
        <f>IF(EO213=1,SUMPRODUCT(MIN(($EN$4:$EN$503=EN213)*$EV$4:$EV$503+($EN$4:$EN$503&lt;&gt;EN213)*2958465)),"")</f>
        <v/>
      </c>
      <c r="EX213" s="165">
        <f>IF(AND(D213=1,ISNUMBER(INDEX(Charge!$F:$F,ROW()))),INDEX(Charge!$F:$F,ROW()),0)</f>
        <v>0.0</v>
      </c>
      <c r="EY213" s="165" t="str">
        <f>IF(EO213=1,SUMPRODUCT(MAX(($EN$4:$EN$503=EN213)*$EX$4:$EX$503)),"")</f>
        <v/>
      </c>
      <c r="FA213" t="str">
        <f>IF(210&lt;=$CD$23,INDEX($EJ$4:$EJ$203,210),IF(210-$CD$23&lt;=$CD$26,INDEX($EK$4:$EK$203,210-$CD$23),""))</f>
        <v/>
      </c>
      <c r="FB213" t="str">
        <f>IF(FA213="","",IF(210&lt;=$CD$23,"Interne","Externe"))</f>
        <v/>
      </c>
      <c r="FD213">
        <f>IF(AND(B213=1,TRIM(INDEX(Charge!$K:$K,ROW()))&lt;&gt;"",TRIM(INDEX(Charge!$L:$L,ROW()))&lt;&gt;""),1,0)</f>
        <v>0</v>
      </c>
      <c r="FE213">
        <f>IF(OR(EN213="",BZ213="(non affecté)"),0,IF(COUNTIFS($EN$4:EN213,EN213,$BZ$4:BZ213,BZ213)=1,1,0))</f>
        <v>0</v>
      </c>
    </row>
    <row r="214">
      <c r="A214">
        <f>ROW()</f>
        <v>214</v>
      </c>
      <c r="B214">
        <f>IF(TRIM(INDEX(Charge!$B:$B,ROW()))&lt;&gt;"",1,0)</f>
        <v>0</v>
      </c>
      <c r="C214">
        <f>IF(B214=1,MIN(1,MAX(0,N(INDEX(Charge!$O:$O,ROW())))),0)</f>
        <v>0</v>
      </c>
      <c r="D214">
        <f>IF(B214=1,IF(OR(p_Perimetre="Tous les projets",C214&lt;1),1,0),0)</f>
        <v>0</v>
      </c>
      <c r="E214">
        <f>IF(D214=1,MAX(0,N(INDEX(Charge!$M:$M,ROW()))),0)</f>
        <v>0</v>
      </c>
      <c r="F214" t="str">
        <f>IF(D214=1,IF(TRIM(INDEX(Charge!$A:$A,ROW()))="","(non renseigné)",TRIM(INDEX(Charge!$A:$A,ROW()))),"")</f>
        <v/>
      </c>
      <c r="G214" t="str">
        <f>IF(D214=1,TRIM(INDEX(Charge!$B:$B,ROW())),"")</f>
        <v/>
      </c>
      <c r="H214" t="str">
        <f>IF(D214=1,IF(TRIM(INDEX(Charge!$E:$E,ROW()))="","(non renseigné)",TRIM(INDEX(Charge!$E:$E,ROW()))),"")</f>
        <v/>
      </c>
      <c r="I214" s="165" t="str">
        <f>IF(AND(D214=1,ISNUMBER(INDEX(Charge!$N:$N,ROW()))),INDEX(Charge!$N:$N,ROW()),"")</f>
        <v/>
      </c>
      <c r="J214" s="165" t="str">
        <f>IF(I214="","",IF(AND(p_Repartition="Lissée jusqu'à la date de besoin",ISNUMBER(INDEX(Charge!$F:$F,ROW()))),IF(INDEX(Charge!$F:$F,ROW())&gt;=I214,INDEX(Charge!$F:$F,ROW()),I214),I214))</f>
        <v/>
      </c>
      <c r="K214" t="str">
        <f>IF(I214="","",NETWORKDAYS(I214,J214,Data!$K$4:$K$203))</f>
        <v/>
      </c>
      <c r="L214" t="str">
        <f>IF(D214=1,COUNTIFS($D$4:$D$503,1,$E$4:$E$503,"&gt;"&amp;E214)+COUNTIFS($D$4:$D214,1,$E$4:$E214,E214),"")</f>
        <v/>
      </c>
      <c r="M214">
        <f>IF(F214="",0,IF(COUNTIF($F$4:F214,F214)=1,1,0))</f>
        <v>0</v>
      </c>
      <c r="N214" t="str">
        <f>IF(M214=1,ROUND(SUMIF($F$4:$F$503,F214,$E$4:$E$503),2),"")</f>
        <v/>
      </c>
      <c r="O214" t="str">
        <f>IF(M214=1,COUNTIFS($M$4:$M$503,1,$N$4:$N$503,"&gt;"&amp;N214)+COUNTIFS($M$4:M214,1,$N$4:N214,N214),"")</f>
        <v/>
      </c>
      <c r="P214">
        <f>IF(G214="",0,IF(COUNTIF($G$4:G214,G214)=1,1,0))</f>
        <v>0</v>
      </c>
      <c r="Q214" t="str">
        <f>IF(P214=1,ROUND(SUMIF($G$4:$G$503,G214,$E$4:$E$503),2),"")</f>
        <v/>
      </c>
      <c r="R214" t="str">
        <f>IF(P214=1,COUNTIFS($P$4:$P$503,1,$Q$4:$Q$503,"&gt;"&amp;Q214)+COUNTIFS($P$4:P214,1,$Q$4:Q214,Q214),"")</f>
        <v/>
      </c>
      <c r="S214">
        <f>IF(H214="",0,IF(COUNTIF($H$4:H214,H214)=1,1,0))</f>
        <v>0</v>
      </c>
      <c r="T214" t="str">
        <f>IF(S214=1,ROUND(SUMIF($H$4:$H$503,H214,$E$4:$E$503),2),"")</f>
        <v/>
      </c>
      <c r="U214" t="str">
        <f>IF(S214=1,COUNTIFS($S$4:$S$503,1,$T$4:$T$503,"&gt;"&amp;T214)+COUNTIFS($S$4:S214,1,$T$4:T214,T214),"")</f>
        <v/>
      </c>
      <c r="V214" t="str">
        <f>IF(D214=1,MIN(INDEX($R$4:$R$503,MATCH(G214,$G$4:$G$503,0)),IF($AL$7&gt;9,9,999)),"")</f>
        <v/>
      </c>
      <c r="W214" s="166">
        <f>IF(OR($I214="",$E214=0),0,IF(OR($J214&lt;W$3,$I214&gt;W$2),0,IF($K214=0,IF(AND($I214&gt;=W$3,$I214&lt;=W$2),$E214,0),$E214*NETWORKDAYS(MAX($I214,W$3),MIN($J214,W$2),Data!$K$4:$K$203)/$K214)))</f>
        <v>0</v>
      </c>
      <c r="X214" s="166">
        <f>IF(OR($I214="",$E214=0),0,IF(OR($J214&lt;X$3,$I214&gt;X$2),0,IF($K214=0,IF(AND($I214&gt;=X$3,$I214&lt;=X$2),$E214,0),$E214*NETWORKDAYS(MAX($I214,X$3),MIN($J214,X$2),Data!$K$4:$K$203)/$K214)))</f>
        <v>0</v>
      </c>
      <c r="Y214" s="166">
        <f>IF(OR($I214="",$E214=0),0,IF(OR($J214&lt;Y$3,$I214&gt;Y$2),0,IF($K214=0,IF(AND($I214&gt;=Y$3,$I214&lt;=Y$2),$E214,0),$E214*NETWORKDAYS(MAX($I214,Y$3),MIN($J214,Y$2),Data!$K$4:$K$203)/$K214)))</f>
        <v>0</v>
      </c>
      <c r="Z214" s="166">
        <f>IF(OR($I214="",$E214=0),0,IF(OR($J214&lt;Z$3,$I214&gt;Z$2),0,IF($K214=0,IF(AND($I214&gt;=Z$3,$I214&lt;=Z$2),$E214,0),$E214*NETWORKDAYS(MAX($I214,Z$3),MIN($J214,Z$2),Data!$K$4:$K$203)/$K214)))</f>
        <v>0</v>
      </c>
      <c r="AA214" s="166">
        <f>IF(OR($I214="",$E214=0),0,IF(OR($J214&lt;AA$3,$I214&gt;AA$2),0,IF($K214=0,IF(AND($I214&gt;=AA$3,$I214&lt;=AA$2),$E214,0),$E214*NETWORKDAYS(MAX($I214,AA$3),MIN($J214,AA$2),Data!$K$4:$K$203)/$K214)))</f>
        <v>0</v>
      </c>
      <c r="AB214" s="166">
        <f>IF(OR($I214="",$E214=0),0,IF(OR($J214&lt;AB$3,$I214&gt;AB$2),0,IF($K214=0,IF(AND($I214&gt;=AB$3,$I214&lt;=AB$2),$E214,0),$E214*NETWORKDAYS(MAX($I214,AB$3),MIN($J214,AB$2),Data!$K$4:$K$203)/$K214)))</f>
        <v>0</v>
      </c>
      <c r="AC214" s="166">
        <f>IF(OR($I214="",$E214=0),0,IF(OR($J214&lt;AC$3,$I214&gt;AC$2),0,IF($K214=0,IF(AND($I214&gt;=AC$3,$I214&lt;=AC$2),$E214,0),$E214*NETWORKDAYS(MAX($I214,AC$3),MIN($J214,AC$2),Data!$K$4:$K$203)/$K214)))</f>
        <v>0</v>
      </c>
      <c r="AD214" s="166">
        <f>IF(OR($I214="",$E214=0),0,IF(OR($J214&lt;AD$3,$I214&gt;AD$2),0,IF($K214=0,IF(AND($I214&gt;=AD$3,$I214&lt;=AD$2),$E214,0),$E214*NETWORKDAYS(MAX($I214,AD$3),MIN($J214,AD$2),Data!$K$4:$K$203)/$K214)))</f>
        <v>0</v>
      </c>
      <c r="AE214" s="166">
        <f>IF(OR($I214="",$E214=0),0,IF(OR($J214&lt;AE$3,$I214&gt;AE$2),0,IF($K214=0,IF(AND($I214&gt;=AE$3,$I214&lt;=AE$2),$E214,0),$E214*NETWORKDAYS(MAX($I214,AE$3),MIN($J214,AE$2),Data!$K$4:$K$203)/$K214)))</f>
        <v>0</v>
      </c>
      <c r="AF214" s="166">
        <f>IF(OR($I214="",$E214=0),0,IF(OR($J214&lt;AF$3,$I214&gt;AF$2),0,IF($K214=0,IF(AND($I214&gt;=AF$3,$I214&lt;=AF$2),$E214,0),$E214*NETWORKDAYS(MAX($I214,AF$3),MIN($J214,AF$2),Data!$K$4:$K$203)/$K214)))</f>
        <v>0</v>
      </c>
      <c r="AG214" s="166">
        <f>IF(OR($I214="",$E214=0),0,IF(OR($J214&lt;AG$3,$I214&gt;AG$2),0,IF($K214=0,IF(AND($I214&gt;=AG$3,$I214&lt;=AG$2),$E214,0),$E214*NETWORKDAYS(MAX($I214,AG$3),MIN($J214,AG$2),Data!$K$4:$K$203)/$K214)))</f>
        <v>0</v>
      </c>
      <c r="AH214" s="166">
        <f>IF(OR($I214="",$E214=0),0,IF(OR($J214&lt;AH$3,$I214&gt;AH$2),0,IF($K214=0,IF(AND($I214&gt;=AH$3,$I214&lt;=AH$2),$E214,0),$E214*NETWORKDAYS(MAX($I214,AH$3),MIN($J214,AH$2),Data!$K$4:$K$203)/$K214)))</f>
        <v>0</v>
      </c>
      <c r="AI214" s="166">
        <f>SUM(W214:AH214)</f>
        <v>0</v>
      </c>
      <c r="BZ214" t="str">
        <f>IF(D214=1,IF(TRIM(INDEX(Charge!$K:$K,ROW()))&lt;&gt;"",TRIM(INDEX(Charge!$K:$K,ROW())),IF(TRIM(INDEX(Charge!$L:$L,ROW()))&lt;&gt;"",TRIM(INDEX(Charge!$L:$L,ROW())),"(non affecté)")),"")</f>
        <v/>
      </c>
      <c r="CA214" t="str">
        <f>IF(AND($CD$4&lt;&gt;"",BZ214=$CD$4),COUNTIFS($BZ$4:$BZ$503,$CD$4,$L$4:$L$503,"&lt;"&amp;L214)+1,"")</f>
        <v/>
      </c>
      <c r="EM214" t="str">
        <f>IF(D214=1,IF(TRIM(INDEX(Charge!$K:$K,ROW()))&lt;&gt;"","Interne",IF(TRIM(INDEX(Charge!$L:$L,ROW()))&lt;&gt;"","Externe","Non affecté")),"")</f>
        <v/>
      </c>
      <c r="EN214" t="str">
        <f>IF(D214=1,LEFT(SUBSTITUTE(SUBSTITUTE(SUBSTITUTE(TRIM(SUBSTITUTE(INDEX(Charge!$B:$B,ROW()),CHAR(160)," "))&amp;" | "&amp;TRIM(SUBSTITUTE(INDEX(Charge!$C:$C,ROW()),CHAR(160)," "))&amp;" | "&amp;TRIM(SUBSTITUTE(INDEX(Charge!$D:$D,ROW()),CHAR(160)," ")),"~","-"),"*","+"),"?","!"),240),"")</f>
        <v/>
      </c>
      <c r="EO214">
        <f>IF(EN214="",0,IF(COUNTIF($EN$4:EN214,EN214)=1,1,0))</f>
        <v>0</v>
      </c>
      <c r="EP214" s="166" t="str">
        <f>IF(EO214=1,ROUND(SUMIF($EN$4:$EN$503,EN214,$E$4:$E$503),2),"")</f>
        <v/>
      </c>
      <c r="EQ214" t="str">
        <f>IF(EO214=1,COUNTIFS($EO$4:$EO$503,1,$EP$4:$EP$503,"&gt;"&amp;EP214)+COUNTIFS($EO$4:EO214,1,$EP$4:EP214,EP214),"")</f>
        <v/>
      </c>
      <c r="ER214" t="str">
        <f>IF(EO214=1,COUNTIFS($EN$4:$EN$503,EN214,$EM$4:$EM$503,"Interne",$FE$4:$FE$503,1),"")</f>
        <v/>
      </c>
      <c r="ES214" t="str">
        <f>IF(EO214=1,COUNTIFS($EN$4:$EN$503,EN214,$EM$4:$EM$503,"Externe",$FE$4:$FE$503,1),"")</f>
        <v/>
      </c>
      <c r="ET214" t="str">
        <f>IF(EO214=1,IF(ER214+ES214=0,"à affecter",IF(ER214=0,ES214&amp;" ext.",(ER214+ES214)&amp;IF(ES214&gt;0," dont "&amp;ES214&amp;" ext.",""))&amp;IF(COUNTIFS($EN$4:$EN$503,EN214,$EM$4:$EM$503,"Non affecté")&gt;0," + à affecter","")),"")</f>
        <v/>
      </c>
      <c r="EU214" s="170" t="str">
        <f>IF(EO214=1,IF(EP214&gt;0,SUMPRODUCT(($EN$4:$EN$503=EN214)*$E$4:$E$503*$C$4:$C$503)/EP214,AVERAGEIF($EN$4:$EN$503,EN214,$C$4:$C$503)),"")</f>
        <v/>
      </c>
      <c r="EV214" s="165">
        <f>IF(ISNUMBER(I214),I214,2958465)</f>
        <v>2958465.0</v>
      </c>
      <c r="EW214" s="165" t="str">
        <f>IF(EO214=1,SUMPRODUCT(MIN(($EN$4:$EN$503=EN214)*$EV$4:$EV$503+($EN$4:$EN$503&lt;&gt;EN214)*2958465)),"")</f>
        <v/>
      </c>
      <c r="EX214" s="165">
        <f>IF(AND(D214=1,ISNUMBER(INDEX(Charge!$F:$F,ROW()))),INDEX(Charge!$F:$F,ROW()),0)</f>
        <v>0.0</v>
      </c>
      <c r="EY214" s="165" t="str">
        <f>IF(EO214=1,SUMPRODUCT(MAX(($EN$4:$EN$503=EN214)*$EX$4:$EX$503)),"")</f>
        <v/>
      </c>
      <c r="FA214" t="str">
        <f>IF(211&lt;=$CD$23,INDEX($EJ$4:$EJ$203,211),IF(211-$CD$23&lt;=$CD$26,INDEX($EK$4:$EK$203,211-$CD$23),""))</f>
        <v/>
      </c>
      <c r="FB214" t="str">
        <f>IF(FA214="","",IF(211&lt;=$CD$23,"Interne","Externe"))</f>
        <v/>
      </c>
      <c r="FD214">
        <f>IF(AND(B214=1,TRIM(INDEX(Charge!$K:$K,ROW()))&lt;&gt;"",TRIM(INDEX(Charge!$L:$L,ROW()))&lt;&gt;""),1,0)</f>
        <v>0</v>
      </c>
      <c r="FE214">
        <f>IF(OR(EN214="",BZ214="(non affecté)"),0,IF(COUNTIFS($EN$4:EN214,EN214,$BZ$4:BZ214,BZ214)=1,1,0))</f>
        <v>0</v>
      </c>
    </row>
    <row r="215">
      <c r="A215">
        <f>ROW()</f>
        <v>215</v>
      </c>
      <c r="B215">
        <f>IF(TRIM(INDEX(Charge!$B:$B,ROW()))&lt;&gt;"",1,0)</f>
        <v>0</v>
      </c>
      <c r="C215">
        <f>IF(B215=1,MIN(1,MAX(0,N(INDEX(Charge!$O:$O,ROW())))),0)</f>
        <v>0</v>
      </c>
      <c r="D215">
        <f>IF(B215=1,IF(OR(p_Perimetre="Tous les projets",C215&lt;1),1,0),0)</f>
        <v>0</v>
      </c>
      <c r="E215">
        <f>IF(D215=1,MAX(0,N(INDEX(Charge!$M:$M,ROW()))),0)</f>
        <v>0</v>
      </c>
      <c r="F215" t="str">
        <f>IF(D215=1,IF(TRIM(INDEX(Charge!$A:$A,ROW()))="","(non renseigné)",TRIM(INDEX(Charge!$A:$A,ROW()))),"")</f>
        <v/>
      </c>
      <c r="G215" t="str">
        <f>IF(D215=1,TRIM(INDEX(Charge!$B:$B,ROW())),"")</f>
        <v/>
      </c>
      <c r="H215" t="str">
        <f>IF(D215=1,IF(TRIM(INDEX(Charge!$E:$E,ROW()))="","(non renseigné)",TRIM(INDEX(Charge!$E:$E,ROW()))),"")</f>
        <v/>
      </c>
      <c r="I215" s="165" t="str">
        <f>IF(AND(D215=1,ISNUMBER(INDEX(Charge!$N:$N,ROW()))),INDEX(Charge!$N:$N,ROW()),"")</f>
        <v/>
      </c>
      <c r="J215" s="165" t="str">
        <f>IF(I215="","",IF(AND(p_Repartition="Lissée jusqu'à la date de besoin",ISNUMBER(INDEX(Charge!$F:$F,ROW()))),IF(INDEX(Charge!$F:$F,ROW())&gt;=I215,INDEX(Charge!$F:$F,ROW()),I215),I215))</f>
        <v/>
      </c>
      <c r="K215" t="str">
        <f>IF(I215="","",NETWORKDAYS(I215,J215,Data!$K$4:$K$203))</f>
        <v/>
      </c>
      <c r="L215" t="str">
        <f>IF(D215=1,COUNTIFS($D$4:$D$503,1,$E$4:$E$503,"&gt;"&amp;E215)+COUNTIFS($D$4:$D215,1,$E$4:$E215,E215),"")</f>
        <v/>
      </c>
      <c r="M215">
        <f>IF(F215="",0,IF(COUNTIF($F$4:F215,F215)=1,1,0))</f>
        <v>0</v>
      </c>
      <c r="N215" t="str">
        <f>IF(M215=1,ROUND(SUMIF($F$4:$F$503,F215,$E$4:$E$503),2),"")</f>
        <v/>
      </c>
      <c r="O215" t="str">
        <f>IF(M215=1,COUNTIFS($M$4:$M$503,1,$N$4:$N$503,"&gt;"&amp;N215)+COUNTIFS($M$4:M215,1,$N$4:N215,N215),"")</f>
        <v/>
      </c>
      <c r="P215">
        <f>IF(G215="",0,IF(COUNTIF($G$4:G215,G215)=1,1,0))</f>
        <v>0</v>
      </c>
      <c r="Q215" t="str">
        <f>IF(P215=1,ROUND(SUMIF($G$4:$G$503,G215,$E$4:$E$503),2),"")</f>
        <v/>
      </c>
      <c r="R215" t="str">
        <f>IF(P215=1,COUNTIFS($P$4:$P$503,1,$Q$4:$Q$503,"&gt;"&amp;Q215)+COUNTIFS($P$4:P215,1,$Q$4:Q215,Q215),"")</f>
        <v/>
      </c>
      <c r="S215">
        <f>IF(H215="",0,IF(COUNTIF($H$4:H215,H215)=1,1,0))</f>
        <v>0</v>
      </c>
      <c r="T215" t="str">
        <f>IF(S215=1,ROUND(SUMIF($H$4:$H$503,H215,$E$4:$E$503),2),"")</f>
        <v/>
      </c>
      <c r="U215" t="str">
        <f>IF(S215=1,COUNTIFS($S$4:$S$503,1,$T$4:$T$503,"&gt;"&amp;T215)+COUNTIFS($S$4:S215,1,$T$4:T215,T215),"")</f>
        <v/>
      </c>
      <c r="V215" t="str">
        <f>IF(D215=1,MIN(INDEX($R$4:$R$503,MATCH(G215,$G$4:$G$503,0)),IF($AL$7&gt;9,9,999)),"")</f>
        <v/>
      </c>
      <c r="W215" s="166">
        <f>IF(OR($I215="",$E215=0),0,IF(OR($J215&lt;W$3,$I215&gt;W$2),0,IF($K215=0,IF(AND($I215&gt;=W$3,$I215&lt;=W$2),$E215,0),$E215*NETWORKDAYS(MAX($I215,W$3),MIN($J215,W$2),Data!$K$4:$K$203)/$K215)))</f>
        <v>0</v>
      </c>
      <c r="X215" s="166">
        <f>IF(OR($I215="",$E215=0),0,IF(OR($J215&lt;X$3,$I215&gt;X$2),0,IF($K215=0,IF(AND($I215&gt;=X$3,$I215&lt;=X$2),$E215,0),$E215*NETWORKDAYS(MAX($I215,X$3),MIN($J215,X$2),Data!$K$4:$K$203)/$K215)))</f>
        <v>0</v>
      </c>
      <c r="Y215" s="166">
        <f>IF(OR($I215="",$E215=0),0,IF(OR($J215&lt;Y$3,$I215&gt;Y$2),0,IF($K215=0,IF(AND($I215&gt;=Y$3,$I215&lt;=Y$2),$E215,0),$E215*NETWORKDAYS(MAX($I215,Y$3),MIN($J215,Y$2),Data!$K$4:$K$203)/$K215)))</f>
        <v>0</v>
      </c>
      <c r="Z215" s="166">
        <f>IF(OR($I215="",$E215=0),0,IF(OR($J215&lt;Z$3,$I215&gt;Z$2),0,IF($K215=0,IF(AND($I215&gt;=Z$3,$I215&lt;=Z$2),$E215,0),$E215*NETWORKDAYS(MAX($I215,Z$3),MIN($J215,Z$2),Data!$K$4:$K$203)/$K215)))</f>
        <v>0</v>
      </c>
      <c r="AA215" s="166">
        <f>IF(OR($I215="",$E215=0),0,IF(OR($J215&lt;AA$3,$I215&gt;AA$2),0,IF($K215=0,IF(AND($I215&gt;=AA$3,$I215&lt;=AA$2),$E215,0),$E215*NETWORKDAYS(MAX($I215,AA$3),MIN($J215,AA$2),Data!$K$4:$K$203)/$K215)))</f>
        <v>0</v>
      </c>
      <c r="AB215" s="166">
        <f>IF(OR($I215="",$E215=0),0,IF(OR($J215&lt;AB$3,$I215&gt;AB$2),0,IF($K215=0,IF(AND($I215&gt;=AB$3,$I215&lt;=AB$2),$E215,0),$E215*NETWORKDAYS(MAX($I215,AB$3),MIN($J215,AB$2),Data!$K$4:$K$203)/$K215)))</f>
        <v>0</v>
      </c>
      <c r="AC215" s="166">
        <f>IF(OR($I215="",$E215=0),0,IF(OR($J215&lt;AC$3,$I215&gt;AC$2),0,IF($K215=0,IF(AND($I215&gt;=AC$3,$I215&lt;=AC$2),$E215,0),$E215*NETWORKDAYS(MAX($I215,AC$3),MIN($J215,AC$2),Data!$K$4:$K$203)/$K215)))</f>
        <v>0</v>
      </c>
      <c r="AD215" s="166">
        <f>IF(OR($I215="",$E215=0),0,IF(OR($J215&lt;AD$3,$I215&gt;AD$2),0,IF($K215=0,IF(AND($I215&gt;=AD$3,$I215&lt;=AD$2),$E215,0),$E215*NETWORKDAYS(MAX($I215,AD$3),MIN($J215,AD$2),Data!$K$4:$K$203)/$K215)))</f>
        <v>0</v>
      </c>
      <c r="AE215" s="166">
        <f>IF(OR($I215="",$E215=0),0,IF(OR($J215&lt;AE$3,$I215&gt;AE$2),0,IF($K215=0,IF(AND($I215&gt;=AE$3,$I215&lt;=AE$2),$E215,0),$E215*NETWORKDAYS(MAX($I215,AE$3),MIN($J215,AE$2),Data!$K$4:$K$203)/$K215)))</f>
        <v>0</v>
      </c>
      <c r="AF215" s="166">
        <f>IF(OR($I215="",$E215=0),0,IF(OR($J215&lt;AF$3,$I215&gt;AF$2),0,IF($K215=0,IF(AND($I215&gt;=AF$3,$I215&lt;=AF$2),$E215,0),$E215*NETWORKDAYS(MAX($I215,AF$3),MIN($J215,AF$2),Data!$K$4:$K$203)/$K215)))</f>
        <v>0</v>
      </c>
      <c r="AG215" s="166">
        <f>IF(OR($I215="",$E215=0),0,IF(OR($J215&lt;AG$3,$I215&gt;AG$2),0,IF($K215=0,IF(AND($I215&gt;=AG$3,$I215&lt;=AG$2),$E215,0),$E215*NETWORKDAYS(MAX($I215,AG$3),MIN($J215,AG$2),Data!$K$4:$K$203)/$K215)))</f>
        <v>0</v>
      </c>
      <c r="AH215" s="166">
        <f>IF(OR($I215="",$E215=0),0,IF(OR($J215&lt;AH$3,$I215&gt;AH$2),0,IF($K215=0,IF(AND($I215&gt;=AH$3,$I215&lt;=AH$2),$E215,0),$E215*NETWORKDAYS(MAX($I215,AH$3),MIN($J215,AH$2),Data!$K$4:$K$203)/$K215)))</f>
        <v>0</v>
      </c>
      <c r="AI215" s="166">
        <f>SUM(W215:AH215)</f>
        <v>0</v>
      </c>
      <c r="BZ215" t="str">
        <f>IF(D215=1,IF(TRIM(INDEX(Charge!$K:$K,ROW()))&lt;&gt;"",TRIM(INDEX(Charge!$K:$K,ROW())),IF(TRIM(INDEX(Charge!$L:$L,ROW()))&lt;&gt;"",TRIM(INDEX(Charge!$L:$L,ROW())),"(non affecté)")),"")</f>
        <v/>
      </c>
      <c r="CA215" t="str">
        <f>IF(AND($CD$4&lt;&gt;"",BZ215=$CD$4),COUNTIFS($BZ$4:$BZ$503,$CD$4,$L$4:$L$503,"&lt;"&amp;L215)+1,"")</f>
        <v/>
      </c>
      <c r="EM215" t="str">
        <f>IF(D215=1,IF(TRIM(INDEX(Charge!$K:$K,ROW()))&lt;&gt;"","Interne",IF(TRIM(INDEX(Charge!$L:$L,ROW()))&lt;&gt;"","Externe","Non affecté")),"")</f>
        <v/>
      </c>
      <c r="EN215" t="str">
        <f>IF(D215=1,LEFT(SUBSTITUTE(SUBSTITUTE(SUBSTITUTE(TRIM(SUBSTITUTE(INDEX(Charge!$B:$B,ROW()),CHAR(160)," "))&amp;" | "&amp;TRIM(SUBSTITUTE(INDEX(Charge!$C:$C,ROW()),CHAR(160)," "))&amp;" | "&amp;TRIM(SUBSTITUTE(INDEX(Charge!$D:$D,ROW()),CHAR(160)," ")),"~","-"),"*","+"),"?","!"),240),"")</f>
        <v/>
      </c>
      <c r="EO215">
        <f>IF(EN215="",0,IF(COUNTIF($EN$4:EN215,EN215)=1,1,0))</f>
        <v>0</v>
      </c>
      <c r="EP215" s="166" t="str">
        <f>IF(EO215=1,ROUND(SUMIF($EN$4:$EN$503,EN215,$E$4:$E$503),2),"")</f>
        <v/>
      </c>
      <c r="EQ215" t="str">
        <f>IF(EO215=1,COUNTIFS($EO$4:$EO$503,1,$EP$4:$EP$503,"&gt;"&amp;EP215)+COUNTIFS($EO$4:EO215,1,$EP$4:EP215,EP215),"")</f>
        <v/>
      </c>
      <c r="ER215" t="str">
        <f>IF(EO215=1,COUNTIFS($EN$4:$EN$503,EN215,$EM$4:$EM$503,"Interne",$FE$4:$FE$503,1),"")</f>
        <v/>
      </c>
      <c r="ES215" t="str">
        <f>IF(EO215=1,COUNTIFS($EN$4:$EN$503,EN215,$EM$4:$EM$503,"Externe",$FE$4:$FE$503,1),"")</f>
        <v/>
      </c>
      <c r="ET215" t="str">
        <f>IF(EO215=1,IF(ER215+ES215=0,"à affecter",IF(ER215=0,ES215&amp;" ext.",(ER215+ES215)&amp;IF(ES215&gt;0," dont "&amp;ES215&amp;" ext.",""))&amp;IF(COUNTIFS($EN$4:$EN$503,EN215,$EM$4:$EM$503,"Non affecté")&gt;0," + à affecter","")),"")</f>
        <v/>
      </c>
      <c r="EU215" s="170" t="str">
        <f>IF(EO215=1,IF(EP215&gt;0,SUMPRODUCT(($EN$4:$EN$503=EN215)*$E$4:$E$503*$C$4:$C$503)/EP215,AVERAGEIF($EN$4:$EN$503,EN215,$C$4:$C$503)),"")</f>
        <v/>
      </c>
      <c r="EV215" s="165">
        <f>IF(ISNUMBER(I215),I215,2958465)</f>
        <v>2958465.0</v>
      </c>
      <c r="EW215" s="165" t="str">
        <f>IF(EO215=1,SUMPRODUCT(MIN(($EN$4:$EN$503=EN215)*$EV$4:$EV$503+($EN$4:$EN$503&lt;&gt;EN215)*2958465)),"")</f>
        <v/>
      </c>
      <c r="EX215" s="165">
        <f>IF(AND(D215=1,ISNUMBER(INDEX(Charge!$F:$F,ROW()))),INDEX(Charge!$F:$F,ROW()),0)</f>
        <v>0.0</v>
      </c>
      <c r="EY215" s="165" t="str">
        <f>IF(EO215=1,SUMPRODUCT(MAX(($EN$4:$EN$503=EN215)*$EX$4:$EX$503)),"")</f>
        <v/>
      </c>
      <c r="FA215" t="str">
        <f>IF(212&lt;=$CD$23,INDEX($EJ$4:$EJ$203,212),IF(212-$CD$23&lt;=$CD$26,INDEX($EK$4:$EK$203,212-$CD$23),""))</f>
        <v/>
      </c>
      <c r="FB215" t="str">
        <f>IF(FA215="","",IF(212&lt;=$CD$23,"Interne","Externe"))</f>
        <v/>
      </c>
      <c r="FD215">
        <f>IF(AND(B215=1,TRIM(INDEX(Charge!$K:$K,ROW()))&lt;&gt;"",TRIM(INDEX(Charge!$L:$L,ROW()))&lt;&gt;""),1,0)</f>
        <v>0</v>
      </c>
      <c r="FE215">
        <f>IF(OR(EN215="",BZ215="(non affecté)"),0,IF(COUNTIFS($EN$4:EN215,EN215,$BZ$4:BZ215,BZ215)=1,1,0))</f>
        <v>0</v>
      </c>
    </row>
    <row r="216">
      <c r="A216">
        <f>ROW()</f>
        <v>216</v>
      </c>
      <c r="B216">
        <f>IF(TRIM(INDEX(Charge!$B:$B,ROW()))&lt;&gt;"",1,0)</f>
        <v>0</v>
      </c>
      <c r="C216">
        <f>IF(B216=1,MIN(1,MAX(0,N(INDEX(Charge!$O:$O,ROW())))),0)</f>
        <v>0</v>
      </c>
      <c r="D216">
        <f>IF(B216=1,IF(OR(p_Perimetre="Tous les projets",C216&lt;1),1,0),0)</f>
        <v>0</v>
      </c>
      <c r="E216">
        <f>IF(D216=1,MAX(0,N(INDEX(Charge!$M:$M,ROW()))),0)</f>
        <v>0</v>
      </c>
      <c r="F216" t="str">
        <f>IF(D216=1,IF(TRIM(INDEX(Charge!$A:$A,ROW()))="","(non renseigné)",TRIM(INDEX(Charge!$A:$A,ROW()))),"")</f>
        <v/>
      </c>
      <c r="G216" t="str">
        <f>IF(D216=1,TRIM(INDEX(Charge!$B:$B,ROW())),"")</f>
        <v/>
      </c>
      <c r="H216" t="str">
        <f>IF(D216=1,IF(TRIM(INDEX(Charge!$E:$E,ROW()))="","(non renseigné)",TRIM(INDEX(Charge!$E:$E,ROW()))),"")</f>
        <v/>
      </c>
      <c r="I216" s="165" t="str">
        <f>IF(AND(D216=1,ISNUMBER(INDEX(Charge!$N:$N,ROW()))),INDEX(Charge!$N:$N,ROW()),"")</f>
        <v/>
      </c>
      <c r="J216" s="165" t="str">
        <f>IF(I216="","",IF(AND(p_Repartition="Lissée jusqu'à la date de besoin",ISNUMBER(INDEX(Charge!$F:$F,ROW()))),IF(INDEX(Charge!$F:$F,ROW())&gt;=I216,INDEX(Charge!$F:$F,ROW()),I216),I216))</f>
        <v/>
      </c>
      <c r="K216" t="str">
        <f>IF(I216="","",NETWORKDAYS(I216,J216,Data!$K$4:$K$203))</f>
        <v/>
      </c>
      <c r="L216" t="str">
        <f>IF(D216=1,COUNTIFS($D$4:$D$503,1,$E$4:$E$503,"&gt;"&amp;E216)+COUNTIFS($D$4:$D216,1,$E$4:$E216,E216),"")</f>
        <v/>
      </c>
      <c r="M216">
        <f>IF(F216="",0,IF(COUNTIF($F$4:F216,F216)=1,1,0))</f>
        <v>0</v>
      </c>
      <c r="N216" t="str">
        <f>IF(M216=1,ROUND(SUMIF($F$4:$F$503,F216,$E$4:$E$503),2),"")</f>
        <v/>
      </c>
      <c r="O216" t="str">
        <f>IF(M216=1,COUNTIFS($M$4:$M$503,1,$N$4:$N$503,"&gt;"&amp;N216)+COUNTIFS($M$4:M216,1,$N$4:N216,N216),"")</f>
        <v/>
      </c>
      <c r="P216">
        <f>IF(G216="",0,IF(COUNTIF($G$4:G216,G216)=1,1,0))</f>
        <v>0</v>
      </c>
      <c r="Q216" t="str">
        <f>IF(P216=1,ROUND(SUMIF($G$4:$G$503,G216,$E$4:$E$503),2),"")</f>
        <v/>
      </c>
      <c r="R216" t="str">
        <f>IF(P216=1,COUNTIFS($P$4:$P$503,1,$Q$4:$Q$503,"&gt;"&amp;Q216)+COUNTIFS($P$4:P216,1,$Q$4:Q216,Q216),"")</f>
        <v/>
      </c>
      <c r="S216">
        <f>IF(H216="",0,IF(COUNTIF($H$4:H216,H216)=1,1,0))</f>
        <v>0</v>
      </c>
      <c r="T216" t="str">
        <f>IF(S216=1,ROUND(SUMIF($H$4:$H$503,H216,$E$4:$E$503),2),"")</f>
        <v/>
      </c>
      <c r="U216" t="str">
        <f>IF(S216=1,COUNTIFS($S$4:$S$503,1,$T$4:$T$503,"&gt;"&amp;T216)+COUNTIFS($S$4:S216,1,$T$4:T216,T216),"")</f>
        <v/>
      </c>
      <c r="V216" t="str">
        <f>IF(D216=1,MIN(INDEX($R$4:$R$503,MATCH(G216,$G$4:$G$503,0)),IF($AL$7&gt;9,9,999)),"")</f>
        <v/>
      </c>
      <c r="W216" s="166">
        <f>IF(OR($I216="",$E216=0),0,IF(OR($J216&lt;W$3,$I216&gt;W$2),0,IF($K216=0,IF(AND($I216&gt;=W$3,$I216&lt;=W$2),$E216,0),$E216*NETWORKDAYS(MAX($I216,W$3),MIN($J216,W$2),Data!$K$4:$K$203)/$K216)))</f>
        <v>0</v>
      </c>
      <c r="X216" s="166">
        <f>IF(OR($I216="",$E216=0),0,IF(OR($J216&lt;X$3,$I216&gt;X$2),0,IF($K216=0,IF(AND($I216&gt;=X$3,$I216&lt;=X$2),$E216,0),$E216*NETWORKDAYS(MAX($I216,X$3),MIN($J216,X$2),Data!$K$4:$K$203)/$K216)))</f>
        <v>0</v>
      </c>
      <c r="Y216" s="166">
        <f>IF(OR($I216="",$E216=0),0,IF(OR($J216&lt;Y$3,$I216&gt;Y$2),0,IF($K216=0,IF(AND($I216&gt;=Y$3,$I216&lt;=Y$2),$E216,0),$E216*NETWORKDAYS(MAX($I216,Y$3),MIN($J216,Y$2),Data!$K$4:$K$203)/$K216)))</f>
        <v>0</v>
      </c>
      <c r="Z216" s="166">
        <f>IF(OR($I216="",$E216=0),0,IF(OR($J216&lt;Z$3,$I216&gt;Z$2),0,IF($K216=0,IF(AND($I216&gt;=Z$3,$I216&lt;=Z$2),$E216,0),$E216*NETWORKDAYS(MAX($I216,Z$3),MIN($J216,Z$2),Data!$K$4:$K$203)/$K216)))</f>
        <v>0</v>
      </c>
      <c r="AA216" s="166">
        <f>IF(OR($I216="",$E216=0),0,IF(OR($J216&lt;AA$3,$I216&gt;AA$2),0,IF($K216=0,IF(AND($I216&gt;=AA$3,$I216&lt;=AA$2),$E216,0),$E216*NETWORKDAYS(MAX($I216,AA$3),MIN($J216,AA$2),Data!$K$4:$K$203)/$K216)))</f>
        <v>0</v>
      </c>
      <c r="AB216" s="166">
        <f>IF(OR($I216="",$E216=0),0,IF(OR($J216&lt;AB$3,$I216&gt;AB$2),0,IF($K216=0,IF(AND($I216&gt;=AB$3,$I216&lt;=AB$2),$E216,0),$E216*NETWORKDAYS(MAX($I216,AB$3),MIN($J216,AB$2),Data!$K$4:$K$203)/$K216)))</f>
        <v>0</v>
      </c>
      <c r="AC216" s="166">
        <f>IF(OR($I216="",$E216=0),0,IF(OR($J216&lt;AC$3,$I216&gt;AC$2),0,IF($K216=0,IF(AND($I216&gt;=AC$3,$I216&lt;=AC$2),$E216,0),$E216*NETWORKDAYS(MAX($I216,AC$3),MIN($J216,AC$2),Data!$K$4:$K$203)/$K216)))</f>
        <v>0</v>
      </c>
      <c r="AD216" s="166">
        <f>IF(OR($I216="",$E216=0),0,IF(OR($J216&lt;AD$3,$I216&gt;AD$2),0,IF($K216=0,IF(AND($I216&gt;=AD$3,$I216&lt;=AD$2),$E216,0),$E216*NETWORKDAYS(MAX($I216,AD$3),MIN($J216,AD$2),Data!$K$4:$K$203)/$K216)))</f>
        <v>0</v>
      </c>
      <c r="AE216" s="166">
        <f>IF(OR($I216="",$E216=0),0,IF(OR($J216&lt;AE$3,$I216&gt;AE$2),0,IF($K216=0,IF(AND($I216&gt;=AE$3,$I216&lt;=AE$2),$E216,0),$E216*NETWORKDAYS(MAX($I216,AE$3),MIN($J216,AE$2),Data!$K$4:$K$203)/$K216)))</f>
        <v>0</v>
      </c>
      <c r="AF216" s="166">
        <f>IF(OR($I216="",$E216=0),0,IF(OR($J216&lt;AF$3,$I216&gt;AF$2),0,IF($K216=0,IF(AND($I216&gt;=AF$3,$I216&lt;=AF$2),$E216,0),$E216*NETWORKDAYS(MAX($I216,AF$3),MIN($J216,AF$2),Data!$K$4:$K$203)/$K216)))</f>
        <v>0</v>
      </c>
      <c r="AG216" s="166">
        <f>IF(OR($I216="",$E216=0),0,IF(OR($J216&lt;AG$3,$I216&gt;AG$2),0,IF($K216=0,IF(AND($I216&gt;=AG$3,$I216&lt;=AG$2),$E216,0),$E216*NETWORKDAYS(MAX($I216,AG$3),MIN($J216,AG$2),Data!$K$4:$K$203)/$K216)))</f>
        <v>0</v>
      </c>
      <c r="AH216" s="166">
        <f>IF(OR($I216="",$E216=0),0,IF(OR($J216&lt;AH$3,$I216&gt;AH$2),0,IF($K216=0,IF(AND($I216&gt;=AH$3,$I216&lt;=AH$2),$E216,0),$E216*NETWORKDAYS(MAX($I216,AH$3),MIN($J216,AH$2),Data!$K$4:$K$203)/$K216)))</f>
        <v>0</v>
      </c>
      <c r="AI216" s="166">
        <f>SUM(W216:AH216)</f>
        <v>0</v>
      </c>
      <c r="BZ216" t="str">
        <f>IF(D216=1,IF(TRIM(INDEX(Charge!$K:$K,ROW()))&lt;&gt;"",TRIM(INDEX(Charge!$K:$K,ROW())),IF(TRIM(INDEX(Charge!$L:$L,ROW()))&lt;&gt;"",TRIM(INDEX(Charge!$L:$L,ROW())),"(non affecté)")),"")</f>
        <v/>
      </c>
      <c r="CA216" t="str">
        <f>IF(AND($CD$4&lt;&gt;"",BZ216=$CD$4),COUNTIFS($BZ$4:$BZ$503,$CD$4,$L$4:$L$503,"&lt;"&amp;L216)+1,"")</f>
        <v/>
      </c>
      <c r="EM216" t="str">
        <f>IF(D216=1,IF(TRIM(INDEX(Charge!$K:$K,ROW()))&lt;&gt;"","Interne",IF(TRIM(INDEX(Charge!$L:$L,ROW()))&lt;&gt;"","Externe","Non affecté")),"")</f>
        <v/>
      </c>
      <c r="EN216" t="str">
        <f>IF(D216=1,LEFT(SUBSTITUTE(SUBSTITUTE(SUBSTITUTE(TRIM(SUBSTITUTE(INDEX(Charge!$B:$B,ROW()),CHAR(160)," "))&amp;" | "&amp;TRIM(SUBSTITUTE(INDEX(Charge!$C:$C,ROW()),CHAR(160)," "))&amp;" | "&amp;TRIM(SUBSTITUTE(INDEX(Charge!$D:$D,ROW()),CHAR(160)," ")),"~","-"),"*","+"),"?","!"),240),"")</f>
        <v/>
      </c>
      <c r="EO216">
        <f>IF(EN216="",0,IF(COUNTIF($EN$4:EN216,EN216)=1,1,0))</f>
        <v>0</v>
      </c>
      <c r="EP216" s="166" t="str">
        <f>IF(EO216=1,ROUND(SUMIF($EN$4:$EN$503,EN216,$E$4:$E$503),2),"")</f>
        <v/>
      </c>
      <c r="EQ216" t="str">
        <f>IF(EO216=1,COUNTIFS($EO$4:$EO$503,1,$EP$4:$EP$503,"&gt;"&amp;EP216)+COUNTIFS($EO$4:EO216,1,$EP$4:EP216,EP216),"")</f>
        <v/>
      </c>
      <c r="ER216" t="str">
        <f>IF(EO216=1,COUNTIFS($EN$4:$EN$503,EN216,$EM$4:$EM$503,"Interne",$FE$4:$FE$503,1),"")</f>
        <v/>
      </c>
      <c r="ES216" t="str">
        <f>IF(EO216=1,COUNTIFS($EN$4:$EN$503,EN216,$EM$4:$EM$503,"Externe",$FE$4:$FE$503,1),"")</f>
        <v/>
      </c>
      <c r="ET216" t="str">
        <f>IF(EO216=1,IF(ER216+ES216=0,"à affecter",IF(ER216=0,ES216&amp;" ext.",(ER216+ES216)&amp;IF(ES216&gt;0," dont "&amp;ES216&amp;" ext.",""))&amp;IF(COUNTIFS($EN$4:$EN$503,EN216,$EM$4:$EM$503,"Non affecté")&gt;0," + à affecter","")),"")</f>
        <v/>
      </c>
      <c r="EU216" s="170" t="str">
        <f>IF(EO216=1,IF(EP216&gt;0,SUMPRODUCT(($EN$4:$EN$503=EN216)*$E$4:$E$503*$C$4:$C$503)/EP216,AVERAGEIF($EN$4:$EN$503,EN216,$C$4:$C$503)),"")</f>
        <v/>
      </c>
      <c r="EV216" s="165">
        <f>IF(ISNUMBER(I216),I216,2958465)</f>
        <v>2958465.0</v>
      </c>
      <c r="EW216" s="165" t="str">
        <f>IF(EO216=1,SUMPRODUCT(MIN(($EN$4:$EN$503=EN216)*$EV$4:$EV$503+($EN$4:$EN$503&lt;&gt;EN216)*2958465)),"")</f>
        <v/>
      </c>
      <c r="EX216" s="165">
        <f>IF(AND(D216=1,ISNUMBER(INDEX(Charge!$F:$F,ROW()))),INDEX(Charge!$F:$F,ROW()),0)</f>
        <v>0.0</v>
      </c>
      <c r="EY216" s="165" t="str">
        <f>IF(EO216=1,SUMPRODUCT(MAX(($EN$4:$EN$503=EN216)*$EX$4:$EX$503)),"")</f>
        <v/>
      </c>
      <c r="FA216" t="str">
        <f>IF(213&lt;=$CD$23,INDEX($EJ$4:$EJ$203,213),IF(213-$CD$23&lt;=$CD$26,INDEX($EK$4:$EK$203,213-$CD$23),""))</f>
        <v/>
      </c>
      <c r="FB216" t="str">
        <f>IF(FA216="","",IF(213&lt;=$CD$23,"Interne","Externe"))</f>
        <v/>
      </c>
      <c r="FD216">
        <f>IF(AND(B216=1,TRIM(INDEX(Charge!$K:$K,ROW()))&lt;&gt;"",TRIM(INDEX(Charge!$L:$L,ROW()))&lt;&gt;""),1,0)</f>
        <v>0</v>
      </c>
      <c r="FE216">
        <f>IF(OR(EN216="",BZ216="(non affecté)"),0,IF(COUNTIFS($EN$4:EN216,EN216,$BZ$4:BZ216,BZ216)=1,1,0))</f>
        <v>0</v>
      </c>
    </row>
    <row r="217">
      <c r="A217">
        <f>ROW()</f>
        <v>217</v>
      </c>
      <c r="B217">
        <f>IF(TRIM(INDEX(Charge!$B:$B,ROW()))&lt;&gt;"",1,0)</f>
        <v>0</v>
      </c>
      <c r="C217">
        <f>IF(B217=1,MIN(1,MAX(0,N(INDEX(Charge!$O:$O,ROW())))),0)</f>
        <v>0</v>
      </c>
      <c r="D217">
        <f>IF(B217=1,IF(OR(p_Perimetre="Tous les projets",C217&lt;1),1,0),0)</f>
        <v>0</v>
      </c>
      <c r="E217">
        <f>IF(D217=1,MAX(0,N(INDEX(Charge!$M:$M,ROW()))),0)</f>
        <v>0</v>
      </c>
      <c r="F217" t="str">
        <f>IF(D217=1,IF(TRIM(INDEX(Charge!$A:$A,ROW()))="","(non renseigné)",TRIM(INDEX(Charge!$A:$A,ROW()))),"")</f>
        <v/>
      </c>
      <c r="G217" t="str">
        <f>IF(D217=1,TRIM(INDEX(Charge!$B:$B,ROW())),"")</f>
        <v/>
      </c>
      <c r="H217" t="str">
        <f>IF(D217=1,IF(TRIM(INDEX(Charge!$E:$E,ROW()))="","(non renseigné)",TRIM(INDEX(Charge!$E:$E,ROW()))),"")</f>
        <v/>
      </c>
      <c r="I217" s="165" t="str">
        <f>IF(AND(D217=1,ISNUMBER(INDEX(Charge!$N:$N,ROW()))),INDEX(Charge!$N:$N,ROW()),"")</f>
        <v/>
      </c>
      <c r="J217" s="165" t="str">
        <f>IF(I217="","",IF(AND(p_Repartition="Lissée jusqu'à la date de besoin",ISNUMBER(INDEX(Charge!$F:$F,ROW()))),IF(INDEX(Charge!$F:$F,ROW())&gt;=I217,INDEX(Charge!$F:$F,ROW()),I217),I217))</f>
        <v/>
      </c>
      <c r="K217" t="str">
        <f>IF(I217="","",NETWORKDAYS(I217,J217,Data!$K$4:$K$203))</f>
        <v/>
      </c>
      <c r="L217" t="str">
        <f>IF(D217=1,COUNTIFS($D$4:$D$503,1,$E$4:$E$503,"&gt;"&amp;E217)+COUNTIFS($D$4:$D217,1,$E$4:$E217,E217),"")</f>
        <v/>
      </c>
      <c r="M217">
        <f>IF(F217="",0,IF(COUNTIF($F$4:F217,F217)=1,1,0))</f>
        <v>0</v>
      </c>
      <c r="N217" t="str">
        <f>IF(M217=1,ROUND(SUMIF($F$4:$F$503,F217,$E$4:$E$503),2),"")</f>
        <v/>
      </c>
      <c r="O217" t="str">
        <f>IF(M217=1,COUNTIFS($M$4:$M$503,1,$N$4:$N$503,"&gt;"&amp;N217)+COUNTIFS($M$4:M217,1,$N$4:N217,N217),"")</f>
        <v/>
      </c>
      <c r="P217">
        <f>IF(G217="",0,IF(COUNTIF($G$4:G217,G217)=1,1,0))</f>
        <v>0</v>
      </c>
      <c r="Q217" t="str">
        <f>IF(P217=1,ROUND(SUMIF($G$4:$G$503,G217,$E$4:$E$503),2),"")</f>
        <v/>
      </c>
      <c r="R217" t="str">
        <f>IF(P217=1,COUNTIFS($P$4:$P$503,1,$Q$4:$Q$503,"&gt;"&amp;Q217)+COUNTIFS($P$4:P217,1,$Q$4:Q217,Q217),"")</f>
        <v/>
      </c>
      <c r="S217">
        <f>IF(H217="",0,IF(COUNTIF($H$4:H217,H217)=1,1,0))</f>
        <v>0</v>
      </c>
      <c r="T217" t="str">
        <f>IF(S217=1,ROUND(SUMIF($H$4:$H$503,H217,$E$4:$E$503),2),"")</f>
        <v/>
      </c>
      <c r="U217" t="str">
        <f>IF(S217=1,COUNTIFS($S$4:$S$503,1,$T$4:$T$503,"&gt;"&amp;T217)+COUNTIFS($S$4:S217,1,$T$4:T217,T217),"")</f>
        <v/>
      </c>
      <c r="V217" t="str">
        <f>IF(D217=1,MIN(INDEX($R$4:$R$503,MATCH(G217,$G$4:$G$503,0)),IF($AL$7&gt;9,9,999)),"")</f>
        <v/>
      </c>
      <c r="W217" s="166">
        <f>IF(OR($I217="",$E217=0),0,IF(OR($J217&lt;W$3,$I217&gt;W$2),0,IF($K217=0,IF(AND($I217&gt;=W$3,$I217&lt;=W$2),$E217,0),$E217*NETWORKDAYS(MAX($I217,W$3),MIN($J217,W$2),Data!$K$4:$K$203)/$K217)))</f>
        <v>0</v>
      </c>
      <c r="X217" s="166">
        <f>IF(OR($I217="",$E217=0),0,IF(OR($J217&lt;X$3,$I217&gt;X$2),0,IF($K217=0,IF(AND($I217&gt;=X$3,$I217&lt;=X$2),$E217,0),$E217*NETWORKDAYS(MAX($I217,X$3),MIN($J217,X$2),Data!$K$4:$K$203)/$K217)))</f>
        <v>0</v>
      </c>
      <c r="Y217" s="166">
        <f>IF(OR($I217="",$E217=0),0,IF(OR($J217&lt;Y$3,$I217&gt;Y$2),0,IF($K217=0,IF(AND($I217&gt;=Y$3,$I217&lt;=Y$2),$E217,0),$E217*NETWORKDAYS(MAX($I217,Y$3),MIN($J217,Y$2),Data!$K$4:$K$203)/$K217)))</f>
        <v>0</v>
      </c>
      <c r="Z217" s="166">
        <f>IF(OR($I217="",$E217=0),0,IF(OR($J217&lt;Z$3,$I217&gt;Z$2),0,IF($K217=0,IF(AND($I217&gt;=Z$3,$I217&lt;=Z$2),$E217,0),$E217*NETWORKDAYS(MAX($I217,Z$3),MIN($J217,Z$2),Data!$K$4:$K$203)/$K217)))</f>
        <v>0</v>
      </c>
      <c r="AA217" s="166">
        <f>IF(OR($I217="",$E217=0),0,IF(OR($J217&lt;AA$3,$I217&gt;AA$2),0,IF($K217=0,IF(AND($I217&gt;=AA$3,$I217&lt;=AA$2),$E217,0),$E217*NETWORKDAYS(MAX($I217,AA$3),MIN($J217,AA$2),Data!$K$4:$K$203)/$K217)))</f>
        <v>0</v>
      </c>
      <c r="AB217" s="166">
        <f>IF(OR($I217="",$E217=0),0,IF(OR($J217&lt;AB$3,$I217&gt;AB$2),0,IF($K217=0,IF(AND($I217&gt;=AB$3,$I217&lt;=AB$2),$E217,0),$E217*NETWORKDAYS(MAX($I217,AB$3),MIN($J217,AB$2),Data!$K$4:$K$203)/$K217)))</f>
        <v>0</v>
      </c>
      <c r="AC217" s="166">
        <f>IF(OR($I217="",$E217=0),0,IF(OR($J217&lt;AC$3,$I217&gt;AC$2),0,IF($K217=0,IF(AND($I217&gt;=AC$3,$I217&lt;=AC$2),$E217,0),$E217*NETWORKDAYS(MAX($I217,AC$3),MIN($J217,AC$2),Data!$K$4:$K$203)/$K217)))</f>
        <v>0</v>
      </c>
      <c r="AD217" s="166">
        <f>IF(OR($I217="",$E217=0),0,IF(OR($J217&lt;AD$3,$I217&gt;AD$2),0,IF($K217=0,IF(AND($I217&gt;=AD$3,$I217&lt;=AD$2),$E217,0),$E217*NETWORKDAYS(MAX($I217,AD$3),MIN($J217,AD$2),Data!$K$4:$K$203)/$K217)))</f>
        <v>0</v>
      </c>
      <c r="AE217" s="166">
        <f>IF(OR($I217="",$E217=0),0,IF(OR($J217&lt;AE$3,$I217&gt;AE$2),0,IF($K217=0,IF(AND($I217&gt;=AE$3,$I217&lt;=AE$2),$E217,0),$E217*NETWORKDAYS(MAX($I217,AE$3),MIN($J217,AE$2),Data!$K$4:$K$203)/$K217)))</f>
        <v>0</v>
      </c>
      <c r="AF217" s="166">
        <f>IF(OR($I217="",$E217=0),0,IF(OR($J217&lt;AF$3,$I217&gt;AF$2),0,IF($K217=0,IF(AND($I217&gt;=AF$3,$I217&lt;=AF$2),$E217,0),$E217*NETWORKDAYS(MAX($I217,AF$3),MIN($J217,AF$2),Data!$K$4:$K$203)/$K217)))</f>
        <v>0</v>
      </c>
      <c r="AG217" s="166">
        <f>IF(OR($I217="",$E217=0),0,IF(OR($J217&lt;AG$3,$I217&gt;AG$2),0,IF($K217=0,IF(AND($I217&gt;=AG$3,$I217&lt;=AG$2),$E217,0),$E217*NETWORKDAYS(MAX($I217,AG$3),MIN($J217,AG$2),Data!$K$4:$K$203)/$K217)))</f>
        <v>0</v>
      </c>
      <c r="AH217" s="166">
        <f>IF(OR($I217="",$E217=0),0,IF(OR($J217&lt;AH$3,$I217&gt;AH$2),0,IF($K217=0,IF(AND($I217&gt;=AH$3,$I217&lt;=AH$2),$E217,0),$E217*NETWORKDAYS(MAX($I217,AH$3),MIN($J217,AH$2),Data!$K$4:$K$203)/$K217)))</f>
        <v>0</v>
      </c>
      <c r="AI217" s="166">
        <f>SUM(W217:AH217)</f>
        <v>0</v>
      </c>
      <c r="BZ217" t="str">
        <f>IF(D217=1,IF(TRIM(INDEX(Charge!$K:$K,ROW()))&lt;&gt;"",TRIM(INDEX(Charge!$K:$K,ROW())),IF(TRIM(INDEX(Charge!$L:$L,ROW()))&lt;&gt;"",TRIM(INDEX(Charge!$L:$L,ROW())),"(non affecté)")),"")</f>
        <v/>
      </c>
      <c r="CA217" t="str">
        <f>IF(AND($CD$4&lt;&gt;"",BZ217=$CD$4),COUNTIFS($BZ$4:$BZ$503,$CD$4,$L$4:$L$503,"&lt;"&amp;L217)+1,"")</f>
        <v/>
      </c>
      <c r="EM217" t="str">
        <f>IF(D217=1,IF(TRIM(INDEX(Charge!$K:$K,ROW()))&lt;&gt;"","Interne",IF(TRIM(INDEX(Charge!$L:$L,ROW()))&lt;&gt;"","Externe","Non affecté")),"")</f>
        <v/>
      </c>
      <c r="EN217" t="str">
        <f>IF(D217=1,LEFT(SUBSTITUTE(SUBSTITUTE(SUBSTITUTE(TRIM(SUBSTITUTE(INDEX(Charge!$B:$B,ROW()),CHAR(160)," "))&amp;" | "&amp;TRIM(SUBSTITUTE(INDEX(Charge!$C:$C,ROW()),CHAR(160)," "))&amp;" | "&amp;TRIM(SUBSTITUTE(INDEX(Charge!$D:$D,ROW()),CHAR(160)," ")),"~","-"),"*","+"),"?","!"),240),"")</f>
        <v/>
      </c>
      <c r="EO217">
        <f>IF(EN217="",0,IF(COUNTIF($EN$4:EN217,EN217)=1,1,0))</f>
        <v>0</v>
      </c>
      <c r="EP217" s="166" t="str">
        <f>IF(EO217=1,ROUND(SUMIF($EN$4:$EN$503,EN217,$E$4:$E$503),2),"")</f>
        <v/>
      </c>
      <c r="EQ217" t="str">
        <f>IF(EO217=1,COUNTIFS($EO$4:$EO$503,1,$EP$4:$EP$503,"&gt;"&amp;EP217)+COUNTIFS($EO$4:EO217,1,$EP$4:EP217,EP217),"")</f>
        <v/>
      </c>
      <c r="ER217" t="str">
        <f>IF(EO217=1,COUNTIFS($EN$4:$EN$503,EN217,$EM$4:$EM$503,"Interne",$FE$4:$FE$503,1),"")</f>
        <v/>
      </c>
      <c r="ES217" t="str">
        <f>IF(EO217=1,COUNTIFS($EN$4:$EN$503,EN217,$EM$4:$EM$503,"Externe",$FE$4:$FE$503,1),"")</f>
        <v/>
      </c>
      <c r="ET217" t="str">
        <f>IF(EO217=1,IF(ER217+ES217=0,"à affecter",IF(ER217=0,ES217&amp;" ext.",(ER217+ES217)&amp;IF(ES217&gt;0," dont "&amp;ES217&amp;" ext.",""))&amp;IF(COUNTIFS($EN$4:$EN$503,EN217,$EM$4:$EM$503,"Non affecté")&gt;0," + à affecter","")),"")</f>
        <v/>
      </c>
      <c r="EU217" s="170" t="str">
        <f>IF(EO217=1,IF(EP217&gt;0,SUMPRODUCT(($EN$4:$EN$503=EN217)*$E$4:$E$503*$C$4:$C$503)/EP217,AVERAGEIF($EN$4:$EN$503,EN217,$C$4:$C$503)),"")</f>
        <v/>
      </c>
      <c r="EV217" s="165">
        <f>IF(ISNUMBER(I217),I217,2958465)</f>
        <v>2958465.0</v>
      </c>
      <c r="EW217" s="165" t="str">
        <f>IF(EO217=1,SUMPRODUCT(MIN(($EN$4:$EN$503=EN217)*$EV$4:$EV$503+($EN$4:$EN$503&lt;&gt;EN217)*2958465)),"")</f>
        <v/>
      </c>
      <c r="EX217" s="165">
        <f>IF(AND(D217=1,ISNUMBER(INDEX(Charge!$F:$F,ROW()))),INDEX(Charge!$F:$F,ROW()),0)</f>
        <v>0.0</v>
      </c>
      <c r="EY217" s="165" t="str">
        <f>IF(EO217=1,SUMPRODUCT(MAX(($EN$4:$EN$503=EN217)*$EX$4:$EX$503)),"")</f>
        <v/>
      </c>
      <c r="FA217" t="str">
        <f>IF(214&lt;=$CD$23,INDEX($EJ$4:$EJ$203,214),IF(214-$CD$23&lt;=$CD$26,INDEX($EK$4:$EK$203,214-$CD$23),""))</f>
        <v/>
      </c>
      <c r="FB217" t="str">
        <f>IF(FA217="","",IF(214&lt;=$CD$23,"Interne","Externe"))</f>
        <v/>
      </c>
      <c r="FD217">
        <f>IF(AND(B217=1,TRIM(INDEX(Charge!$K:$K,ROW()))&lt;&gt;"",TRIM(INDEX(Charge!$L:$L,ROW()))&lt;&gt;""),1,0)</f>
        <v>0</v>
      </c>
      <c r="FE217">
        <f>IF(OR(EN217="",BZ217="(non affecté)"),0,IF(COUNTIFS($EN$4:EN217,EN217,$BZ$4:BZ217,BZ217)=1,1,0))</f>
        <v>0</v>
      </c>
    </row>
    <row r="218">
      <c r="A218">
        <f>ROW()</f>
        <v>218</v>
      </c>
      <c r="B218">
        <f>IF(TRIM(INDEX(Charge!$B:$B,ROW()))&lt;&gt;"",1,0)</f>
        <v>0</v>
      </c>
      <c r="C218">
        <f>IF(B218=1,MIN(1,MAX(0,N(INDEX(Charge!$O:$O,ROW())))),0)</f>
        <v>0</v>
      </c>
      <c r="D218">
        <f>IF(B218=1,IF(OR(p_Perimetre="Tous les projets",C218&lt;1),1,0),0)</f>
        <v>0</v>
      </c>
      <c r="E218">
        <f>IF(D218=1,MAX(0,N(INDEX(Charge!$M:$M,ROW()))),0)</f>
        <v>0</v>
      </c>
      <c r="F218" t="str">
        <f>IF(D218=1,IF(TRIM(INDEX(Charge!$A:$A,ROW()))="","(non renseigné)",TRIM(INDEX(Charge!$A:$A,ROW()))),"")</f>
        <v/>
      </c>
      <c r="G218" t="str">
        <f>IF(D218=1,TRIM(INDEX(Charge!$B:$B,ROW())),"")</f>
        <v/>
      </c>
      <c r="H218" t="str">
        <f>IF(D218=1,IF(TRIM(INDEX(Charge!$E:$E,ROW()))="","(non renseigné)",TRIM(INDEX(Charge!$E:$E,ROW()))),"")</f>
        <v/>
      </c>
      <c r="I218" s="165" t="str">
        <f>IF(AND(D218=1,ISNUMBER(INDEX(Charge!$N:$N,ROW()))),INDEX(Charge!$N:$N,ROW()),"")</f>
        <v/>
      </c>
      <c r="J218" s="165" t="str">
        <f>IF(I218="","",IF(AND(p_Repartition="Lissée jusqu'à la date de besoin",ISNUMBER(INDEX(Charge!$F:$F,ROW()))),IF(INDEX(Charge!$F:$F,ROW())&gt;=I218,INDEX(Charge!$F:$F,ROW()),I218),I218))</f>
        <v/>
      </c>
      <c r="K218" t="str">
        <f>IF(I218="","",NETWORKDAYS(I218,J218,Data!$K$4:$K$203))</f>
        <v/>
      </c>
      <c r="L218" t="str">
        <f>IF(D218=1,COUNTIFS($D$4:$D$503,1,$E$4:$E$503,"&gt;"&amp;E218)+COUNTIFS($D$4:$D218,1,$E$4:$E218,E218),"")</f>
        <v/>
      </c>
      <c r="M218">
        <f>IF(F218="",0,IF(COUNTIF($F$4:F218,F218)=1,1,0))</f>
        <v>0</v>
      </c>
      <c r="N218" t="str">
        <f>IF(M218=1,ROUND(SUMIF($F$4:$F$503,F218,$E$4:$E$503),2),"")</f>
        <v/>
      </c>
      <c r="O218" t="str">
        <f>IF(M218=1,COUNTIFS($M$4:$M$503,1,$N$4:$N$503,"&gt;"&amp;N218)+COUNTIFS($M$4:M218,1,$N$4:N218,N218),"")</f>
        <v/>
      </c>
      <c r="P218">
        <f>IF(G218="",0,IF(COUNTIF($G$4:G218,G218)=1,1,0))</f>
        <v>0</v>
      </c>
      <c r="Q218" t="str">
        <f>IF(P218=1,ROUND(SUMIF($G$4:$G$503,G218,$E$4:$E$503),2),"")</f>
        <v/>
      </c>
      <c r="R218" t="str">
        <f>IF(P218=1,COUNTIFS($P$4:$P$503,1,$Q$4:$Q$503,"&gt;"&amp;Q218)+COUNTIFS($P$4:P218,1,$Q$4:Q218,Q218),"")</f>
        <v/>
      </c>
      <c r="S218">
        <f>IF(H218="",0,IF(COUNTIF($H$4:H218,H218)=1,1,0))</f>
        <v>0</v>
      </c>
      <c r="T218" t="str">
        <f>IF(S218=1,ROUND(SUMIF($H$4:$H$503,H218,$E$4:$E$503),2),"")</f>
        <v/>
      </c>
      <c r="U218" t="str">
        <f>IF(S218=1,COUNTIFS($S$4:$S$503,1,$T$4:$T$503,"&gt;"&amp;T218)+COUNTIFS($S$4:S218,1,$T$4:T218,T218),"")</f>
        <v/>
      </c>
      <c r="V218" t="str">
        <f>IF(D218=1,MIN(INDEX($R$4:$R$503,MATCH(G218,$G$4:$G$503,0)),IF($AL$7&gt;9,9,999)),"")</f>
        <v/>
      </c>
      <c r="W218" s="166">
        <f>IF(OR($I218="",$E218=0),0,IF(OR($J218&lt;W$3,$I218&gt;W$2),0,IF($K218=0,IF(AND($I218&gt;=W$3,$I218&lt;=W$2),$E218,0),$E218*NETWORKDAYS(MAX($I218,W$3),MIN($J218,W$2),Data!$K$4:$K$203)/$K218)))</f>
        <v>0</v>
      </c>
      <c r="X218" s="166">
        <f>IF(OR($I218="",$E218=0),0,IF(OR($J218&lt;X$3,$I218&gt;X$2),0,IF($K218=0,IF(AND($I218&gt;=X$3,$I218&lt;=X$2),$E218,0),$E218*NETWORKDAYS(MAX($I218,X$3),MIN($J218,X$2),Data!$K$4:$K$203)/$K218)))</f>
        <v>0</v>
      </c>
      <c r="Y218" s="166">
        <f>IF(OR($I218="",$E218=0),0,IF(OR($J218&lt;Y$3,$I218&gt;Y$2),0,IF($K218=0,IF(AND($I218&gt;=Y$3,$I218&lt;=Y$2),$E218,0),$E218*NETWORKDAYS(MAX($I218,Y$3),MIN($J218,Y$2),Data!$K$4:$K$203)/$K218)))</f>
        <v>0</v>
      </c>
      <c r="Z218" s="166">
        <f>IF(OR($I218="",$E218=0),0,IF(OR($J218&lt;Z$3,$I218&gt;Z$2),0,IF($K218=0,IF(AND($I218&gt;=Z$3,$I218&lt;=Z$2),$E218,0),$E218*NETWORKDAYS(MAX($I218,Z$3),MIN($J218,Z$2),Data!$K$4:$K$203)/$K218)))</f>
        <v>0</v>
      </c>
      <c r="AA218" s="166">
        <f>IF(OR($I218="",$E218=0),0,IF(OR($J218&lt;AA$3,$I218&gt;AA$2),0,IF($K218=0,IF(AND($I218&gt;=AA$3,$I218&lt;=AA$2),$E218,0),$E218*NETWORKDAYS(MAX($I218,AA$3),MIN($J218,AA$2),Data!$K$4:$K$203)/$K218)))</f>
        <v>0</v>
      </c>
      <c r="AB218" s="166">
        <f>IF(OR($I218="",$E218=0),0,IF(OR($J218&lt;AB$3,$I218&gt;AB$2),0,IF($K218=0,IF(AND($I218&gt;=AB$3,$I218&lt;=AB$2),$E218,0),$E218*NETWORKDAYS(MAX($I218,AB$3),MIN($J218,AB$2),Data!$K$4:$K$203)/$K218)))</f>
        <v>0</v>
      </c>
      <c r="AC218" s="166">
        <f>IF(OR($I218="",$E218=0),0,IF(OR($J218&lt;AC$3,$I218&gt;AC$2),0,IF($K218=0,IF(AND($I218&gt;=AC$3,$I218&lt;=AC$2),$E218,0),$E218*NETWORKDAYS(MAX($I218,AC$3),MIN($J218,AC$2),Data!$K$4:$K$203)/$K218)))</f>
        <v>0</v>
      </c>
      <c r="AD218" s="166">
        <f>IF(OR($I218="",$E218=0),0,IF(OR($J218&lt;AD$3,$I218&gt;AD$2),0,IF($K218=0,IF(AND($I218&gt;=AD$3,$I218&lt;=AD$2),$E218,0),$E218*NETWORKDAYS(MAX($I218,AD$3),MIN($J218,AD$2),Data!$K$4:$K$203)/$K218)))</f>
        <v>0</v>
      </c>
      <c r="AE218" s="166">
        <f>IF(OR($I218="",$E218=0),0,IF(OR($J218&lt;AE$3,$I218&gt;AE$2),0,IF($K218=0,IF(AND($I218&gt;=AE$3,$I218&lt;=AE$2),$E218,0),$E218*NETWORKDAYS(MAX($I218,AE$3),MIN($J218,AE$2),Data!$K$4:$K$203)/$K218)))</f>
        <v>0</v>
      </c>
      <c r="AF218" s="166">
        <f>IF(OR($I218="",$E218=0),0,IF(OR($J218&lt;AF$3,$I218&gt;AF$2),0,IF($K218=0,IF(AND($I218&gt;=AF$3,$I218&lt;=AF$2),$E218,0),$E218*NETWORKDAYS(MAX($I218,AF$3),MIN($J218,AF$2),Data!$K$4:$K$203)/$K218)))</f>
        <v>0</v>
      </c>
      <c r="AG218" s="166">
        <f>IF(OR($I218="",$E218=0),0,IF(OR($J218&lt;AG$3,$I218&gt;AG$2),0,IF($K218=0,IF(AND($I218&gt;=AG$3,$I218&lt;=AG$2),$E218,0),$E218*NETWORKDAYS(MAX($I218,AG$3),MIN($J218,AG$2),Data!$K$4:$K$203)/$K218)))</f>
        <v>0</v>
      </c>
      <c r="AH218" s="166">
        <f>IF(OR($I218="",$E218=0),0,IF(OR($J218&lt;AH$3,$I218&gt;AH$2),0,IF($K218=0,IF(AND($I218&gt;=AH$3,$I218&lt;=AH$2),$E218,0),$E218*NETWORKDAYS(MAX($I218,AH$3),MIN($J218,AH$2),Data!$K$4:$K$203)/$K218)))</f>
        <v>0</v>
      </c>
      <c r="AI218" s="166">
        <f>SUM(W218:AH218)</f>
        <v>0</v>
      </c>
      <c r="BZ218" t="str">
        <f>IF(D218=1,IF(TRIM(INDEX(Charge!$K:$K,ROW()))&lt;&gt;"",TRIM(INDEX(Charge!$K:$K,ROW())),IF(TRIM(INDEX(Charge!$L:$L,ROW()))&lt;&gt;"",TRIM(INDEX(Charge!$L:$L,ROW())),"(non affecté)")),"")</f>
        <v/>
      </c>
      <c r="CA218" t="str">
        <f>IF(AND($CD$4&lt;&gt;"",BZ218=$CD$4),COUNTIFS($BZ$4:$BZ$503,$CD$4,$L$4:$L$503,"&lt;"&amp;L218)+1,"")</f>
        <v/>
      </c>
      <c r="EM218" t="str">
        <f>IF(D218=1,IF(TRIM(INDEX(Charge!$K:$K,ROW()))&lt;&gt;"","Interne",IF(TRIM(INDEX(Charge!$L:$L,ROW()))&lt;&gt;"","Externe","Non affecté")),"")</f>
        <v/>
      </c>
      <c r="EN218" t="str">
        <f>IF(D218=1,LEFT(SUBSTITUTE(SUBSTITUTE(SUBSTITUTE(TRIM(SUBSTITUTE(INDEX(Charge!$B:$B,ROW()),CHAR(160)," "))&amp;" | "&amp;TRIM(SUBSTITUTE(INDEX(Charge!$C:$C,ROW()),CHAR(160)," "))&amp;" | "&amp;TRIM(SUBSTITUTE(INDEX(Charge!$D:$D,ROW()),CHAR(160)," ")),"~","-"),"*","+"),"?","!"),240),"")</f>
        <v/>
      </c>
      <c r="EO218">
        <f>IF(EN218="",0,IF(COUNTIF($EN$4:EN218,EN218)=1,1,0))</f>
        <v>0</v>
      </c>
      <c r="EP218" s="166" t="str">
        <f>IF(EO218=1,ROUND(SUMIF($EN$4:$EN$503,EN218,$E$4:$E$503),2),"")</f>
        <v/>
      </c>
      <c r="EQ218" t="str">
        <f>IF(EO218=1,COUNTIFS($EO$4:$EO$503,1,$EP$4:$EP$503,"&gt;"&amp;EP218)+COUNTIFS($EO$4:EO218,1,$EP$4:EP218,EP218),"")</f>
        <v/>
      </c>
      <c r="ER218" t="str">
        <f>IF(EO218=1,COUNTIFS($EN$4:$EN$503,EN218,$EM$4:$EM$503,"Interne",$FE$4:$FE$503,1),"")</f>
        <v/>
      </c>
      <c r="ES218" t="str">
        <f>IF(EO218=1,COUNTIFS($EN$4:$EN$503,EN218,$EM$4:$EM$503,"Externe",$FE$4:$FE$503,1),"")</f>
        <v/>
      </c>
      <c r="ET218" t="str">
        <f>IF(EO218=1,IF(ER218+ES218=0,"à affecter",IF(ER218=0,ES218&amp;" ext.",(ER218+ES218)&amp;IF(ES218&gt;0," dont "&amp;ES218&amp;" ext.",""))&amp;IF(COUNTIFS($EN$4:$EN$503,EN218,$EM$4:$EM$503,"Non affecté")&gt;0," + à affecter","")),"")</f>
        <v/>
      </c>
      <c r="EU218" s="170" t="str">
        <f>IF(EO218=1,IF(EP218&gt;0,SUMPRODUCT(($EN$4:$EN$503=EN218)*$E$4:$E$503*$C$4:$C$503)/EP218,AVERAGEIF($EN$4:$EN$503,EN218,$C$4:$C$503)),"")</f>
        <v/>
      </c>
      <c r="EV218" s="165">
        <f>IF(ISNUMBER(I218),I218,2958465)</f>
        <v>2958465.0</v>
      </c>
      <c r="EW218" s="165" t="str">
        <f>IF(EO218=1,SUMPRODUCT(MIN(($EN$4:$EN$503=EN218)*$EV$4:$EV$503+($EN$4:$EN$503&lt;&gt;EN218)*2958465)),"")</f>
        <v/>
      </c>
      <c r="EX218" s="165">
        <f>IF(AND(D218=1,ISNUMBER(INDEX(Charge!$F:$F,ROW()))),INDEX(Charge!$F:$F,ROW()),0)</f>
        <v>0.0</v>
      </c>
      <c r="EY218" s="165" t="str">
        <f>IF(EO218=1,SUMPRODUCT(MAX(($EN$4:$EN$503=EN218)*$EX$4:$EX$503)),"")</f>
        <v/>
      </c>
      <c r="FA218" t="str">
        <f>IF(215&lt;=$CD$23,INDEX($EJ$4:$EJ$203,215),IF(215-$CD$23&lt;=$CD$26,INDEX($EK$4:$EK$203,215-$CD$23),""))</f>
        <v/>
      </c>
      <c r="FB218" t="str">
        <f>IF(FA218="","",IF(215&lt;=$CD$23,"Interne","Externe"))</f>
        <v/>
      </c>
      <c r="FD218">
        <f>IF(AND(B218=1,TRIM(INDEX(Charge!$K:$K,ROW()))&lt;&gt;"",TRIM(INDEX(Charge!$L:$L,ROW()))&lt;&gt;""),1,0)</f>
        <v>0</v>
      </c>
      <c r="FE218">
        <f>IF(OR(EN218="",BZ218="(non affecté)"),0,IF(COUNTIFS($EN$4:EN218,EN218,$BZ$4:BZ218,BZ218)=1,1,0))</f>
        <v>0</v>
      </c>
    </row>
    <row r="219">
      <c r="A219">
        <f>ROW()</f>
        <v>219</v>
      </c>
      <c r="B219">
        <f>IF(TRIM(INDEX(Charge!$B:$B,ROW()))&lt;&gt;"",1,0)</f>
        <v>0</v>
      </c>
      <c r="C219">
        <f>IF(B219=1,MIN(1,MAX(0,N(INDEX(Charge!$O:$O,ROW())))),0)</f>
        <v>0</v>
      </c>
      <c r="D219">
        <f>IF(B219=1,IF(OR(p_Perimetre="Tous les projets",C219&lt;1),1,0),0)</f>
        <v>0</v>
      </c>
      <c r="E219">
        <f>IF(D219=1,MAX(0,N(INDEX(Charge!$M:$M,ROW()))),0)</f>
        <v>0</v>
      </c>
      <c r="F219" t="str">
        <f>IF(D219=1,IF(TRIM(INDEX(Charge!$A:$A,ROW()))="","(non renseigné)",TRIM(INDEX(Charge!$A:$A,ROW()))),"")</f>
        <v/>
      </c>
      <c r="G219" t="str">
        <f>IF(D219=1,TRIM(INDEX(Charge!$B:$B,ROW())),"")</f>
        <v/>
      </c>
      <c r="H219" t="str">
        <f>IF(D219=1,IF(TRIM(INDEX(Charge!$E:$E,ROW()))="","(non renseigné)",TRIM(INDEX(Charge!$E:$E,ROW()))),"")</f>
        <v/>
      </c>
      <c r="I219" s="165" t="str">
        <f>IF(AND(D219=1,ISNUMBER(INDEX(Charge!$N:$N,ROW()))),INDEX(Charge!$N:$N,ROW()),"")</f>
        <v/>
      </c>
      <c r="J219" s="165" t="str">
        <f>IF(I219="","",IF(AND(p_Repartition="Lissée jusqu'à la date de besoin",ISNUMBER(INDEX(Charge!$F:$F,ROW()))),IF(INDEX(Charge!$F:$F,ROW())&gt;=I219,INDEX(Charge!$F:$F,ROW()),I219),I219))</f>
        <v/>
      </c>
      <c r="K219" t="str">
        <f>IF(I219="","",NETWORKDAYS(I219,J219,Data!$K$4:$K$203))</f>
        <v/>
      </c>
      <c r="L219" t="str">
        <f>IF(D219=1,COUNTIFS($D$4:$D$503,1,$E$4:$E$503,"&gt;"&amp;E219)+COUNTIFS($D$4:$D219,1,$E$4:$E219,E219),"")</f>
        <v/>
      </c>
      <c r="M219">
        <f>IF(F219="",0,IF(COUNTIF($F$4:F219,F219)=1,1,0))</f>
        <v>0</v>
      </c>
      <c r="N219" t="str">
        <f>IF(M219=1,ROUND(SUMIF($F$4:$F$503,F219,$E$4:$E$503),2),"")</f>
        <v/>
      </c>
      <c r="O219" t="str">
        <f>IF(M219=1,COUNTIFS($M$4:$M$503,1,$N$4:$N$503,"&gt;"&amp;N219)+COUNTIFS($M$4:M219,1,$N$4:N219,N219),"")</f>
        <v/>
      </c>
      <c r="P219">
        <f>IF(G219="",0,IF(COUNTIF($G$4:G219,G219)=1,1,0))</f>
        <v>0</v>
      </c>
      <c r="Q219" t="str">
        <f>IF(P219=1,ROUND(SUMIF($G$4:$G$503,G219,$E$4:$E$503),2),"")</f>
        <v/>
      </c>
      <c r="R219" t="str">
        <f>IF(P219=1,COUNTIFS($P$4:$P$503,1,$Q$4:$Q$503,"&gt;"&amp;Q219)+COUNTIFS($P$4:P219,1,$Q$4:Q219,Q219),"")</f>
        <v/>
      </c>
      <c r="S219">
        <f>IF(H219="",0,IF(COUNTIF($H$4:H219,H219)=1,1,0))</f>
        <v>0</v>
      </c>
      <c r="T219" t="str">
        <f>IF(S219=1,ROUND(SUMIF($H$4:$H$503,H219,$E$4:$E$503),2),"")</f>
        <v/>
      </c>
      <c r="U219" t="str">
        <f>IF(S219=1,COUNTIFS($S$4:$S$503,1,$T$4:$T$503,"&gt;"&amp;T219)+COUNTIFS($S$4:S219,1,$T$4:T219,T219),"")</f>
        <v/>
      </c>
      <c r="V219" t="str">
        <f>IF(D219=1,MIN(INDEX($R$4:$R$503,MATCH(G219,$G$4:$G$503,0)),IF($AL$7&gt;9,9,999)),"")</f>
        <v/>
      </c>
      <c r="W219" s="166">
        <f>IF(OR($I219="",$E219=0),0,IF(OR($J219&lt;W$3,$I219&gt;W$2),0,IF($K219=0,IF(AND($I219&gt;=W$3,$I219&lt;=W$2),$E219,0),$E219*NETWORKDAYS(MAX($I219,W$3),MIN($J219,W$2),Data!$K$4:$K$203)/$K219)))</f>
        <v>0</v>
      </c>
      <c r="X219" s="166">
        <f>IF(OR($I219="",$E219=0),0,IF(OR($J219&lt;X$3,$I219&gt;X$2),0,IF($K219=0,IF(AND($I219&gt;=X$3,$I219&lt;=X$2),$E219,0),$E219*NETWORKDAYS(MAX($I219,X$3),MIN($J219,X$2),Data!$K$4:$K$203)/$K219)))</f>
        <v>0</v>
      </c>
      <c r="Y219" s="166">
        <f>IF(OR($I219="",$E219=0),0,IF(OR($J219&lt;Y$3,$I219&gt;Y$2),0,IF($K219=0,IF(AND($I219&gt;=Y$3,$I219&lt;=Y$2),$E219,0),$E219*NETWORKDAYS(MAX($I219,Y$3),MIN($J219,Y$2),Data!$K$4:$K$203)/$K219)))</f>
        <v>0</v>
      </c>
      <c r="Z219" s="166">
        <f>IF(OR($I219="",$E219=0),0,IF(OR($J219&lt;Z$3,$I219&gt;Z$2),0,IF($K219=0,IF(AND($I219&gt;=Z$3,$I219&lt;=Z$2),$E219,0),$E219*NETWORKDAYS(MAX($I219,Z$3),MIN($J219,Z$2),Data!$K$4:$K$203)/$K219)))</f>
        <v>0</v>
      </c>
      <c r="AA219" s="166">
        <f>IF(OR($I219="",$E219=0),0,IF(OR($J219&lt;AA$3,$I219&gt;AA$2),0,IF($K219=0,IF(AND($I219&gt;=AA$3,$I219&lt;=AA$2),$E219,0),$E219*NETWORKDAYS(MAX($I219,AA$3),MIN($J219,AA$2),Data!$K$4:$K$203)/$K219)))</f>
        <v>0</v>
      </c>
      <c r="AB219" s="166">
        <f>IF(OR($I219="",$E219=0),0,IF(OR($J219&lt;AB$3,$I219&gt;AB$2),0,IF($K219=0,IF(AND($I219&gt;=AB$3,$I219&lt;=AB$2),$E219,0),$E219*NETWORKDAYS(MAX($I219,AB$3),MIN($J219,AB$2),Data!$K$4:$K$203)/$K219)))</f>
        <v>0</v>
      </c>
      <c r="AC219" s="166">
        <f>IF(OR($I219="",$E219=0),0,IF(OR($J219&lt;AC$3,$I219&gt;AC$2),0,IF($K219=0,IF(AND($I219&gt;=AC$3,$I219&lt;=AC$2),$E219,0),$E219*NETWORKDAYS(MAX($I219,AC$3),MIN($J219,AC$2),Data!$K$4:$K$203)/$K219)))</f>
        <v>0</v>
      </c>
      <c r="AD219" s="166">
        <f>IF(OR($I219="",$E219=0),0,IF(OR($J219&lt;AD$3,$I219&gt;AD$2),0,IF($K219=0,IF(AND($I219&gt;=AD$3,$I219&lt;=AD$2),$E219,0),$E219*NETWORKDAYS(MAX($I219,AD$3),MIN($J219,AD$2),Data!$K$4:$K$203)/$K219)))</f>
        <v>0</v>
      </c>
      <c r="AE219" s="166">
        <f>IF(OR($I219="",$E219=0),0,IF(OR($J219&lt;AE$3,$I219&gt;AE$2),0,IF($K219=0,IF(AND($I219&gt;=AE$3,$I219&lt;=AE$2),$E219,0),$E219*NETWORKDAYS(MAX($I219,AE$3),MIN($J219,AE$2),Data!$K$4:$K$203)/$K219)))</f>
        <v>0</v>
      </c>
      <c r="AF219" s="166">
        <f>IF(OR($I219="",$E219=0),0,IF(OR($J219&lt;AF$3,$I219&gt;AF$2),0,IF($K219=0,IF(AND($I219&gt;=AF$3,$I219&lt;=AF$2),$E219,0),$E219*NETWORKDAYS(MAX($I219,AF$3),MIN($J219,AF$2),Data!$K$4:$K$203)/$K219)))</f>
        <v>0</v>
      </c>
      <c r="AG219" s="166">
        <f>IF(OR($I219="",$E219=0),0,IF(OR($J219&lt;AG$3,$I219&gt;AG$2),0,IF($K219=0,IF(AND($I219&gt;=AG$3,$I219&lt;=AG$2),$E219,0),$E219*NETWORKDAYS(MAX($I219,AG$3),MIN($J219,AG$2),Data!$K$4:$K$203)/$K219)))</f>
        <v>0</v>
      </c>
      <c r="AH219" s="166">
        <f>IF(OR($I219="",$E219=0),0,IF(OR($J219&lt;AH$3,$I219&gt;AH$2),0,IF($K219=0,IF(AND($I219&gt;=AH$3,$I219&lt;=AH$2),$E219,0),$E219*NETWORKDAYS(MAX($I219,AH$3),MIN($J219,AH$2),Data!$K$4:$K$203)/$K219)))</f>
        <v>0</v>
      </c>
      <c r="AI219" s="166">
        <f>SUM(W219:AH219)</f>
        <v>0</v>
      </c>
      <c r="BZ219" t="str">
        <f>IF(D219=1,IF(TRIM(INDEX(Charge!$K:$K,ROW()))&lt;&gt;"",TRIM(INDEX(Charge!$K:$K,ROW())),IF(TRIM(INDEX(Charge!$L:$L,ROW()))&lt;&gt;"",TRIM(INDEX(Charge!$L:$L,ROW())),"(non affecté)")),"")</f>
        <v/>
      </c>
      <c r="CA219" t="str">
        <f>IF(AND($CD$4&lt;&gt;"",BZ219=$CD$4),COUNTIFS($BZ$4:$BZ$503,$CD$4,$L$4:$L$503,"&lt;"&amp;L219)+1,"")</f>
        <v/>
      </c>
      <c r="EM219" t="str">
        <f>IF(D219=1,IF(TRIM(INDEX(Charge!$K:$K,ROW()))&lt;&gt;"","Interne",IF(TRIM(INDEX(Charge!$L:$L,ROW()))&lt;&gt;"","Externe","Non affecté")),"")</f>
        <v/>
      </c>
      <c r="EN219" t="str">
        <f>IF(D219=1,LEFT(SUBSTITUTE(SUBSTITUTE(SUBSTITUTE(TRIM(SUBSTITUTE(INDEX(Charge!$B:$B,ROW()),CHAR(160)," "))&amp;" | "&amp;TRIM(SUBSTITUTE(INDEX(Charge!$C:$C,ROW()),CHAR(160)," "))&amp;" | "&amp;TRIM(SUBSTITUTE(INDEX(Charge!$D:$D,ROW()),CHAR(160)," ")),"~","-"),"*","+"),"?","!"),240),"")</f>
        <v/>
      </c>
      <c r="EO219">
        <f>IF(EN219="",0,IF(COUNTIF($EN$4:EN219,EN219)=1,1,0))</f>
        <v>0</v>
      </c>
      <c r="EP219" s="166" t="str">
        <f>IF(EO219=1,ROUND(SUMIF($EN$4:$EN$503,EN219,$E$4:$E$503),2),"")</f>
        <v/>
      </c>
      <c r="EQ219" t="str">
        <f>IF(EO219=1,COUNTIFS($EO$4:$EO$503,1,$EP$4:$EP$503,"&gt;"&amp;EP219)+COUNTIFS($EO$4:EO219,1,$EP$4:EP219,EP219),"")</f>
        <v/>
      </c>
      <c r="ER219" t="str">
        <f>IF(EO219=1,COUNTIFS($EN$4:$EN$503,EN219,$EM$4:$EM$503,"Interne",$FE$4:$FE$503,1),"")</f>
        <v/>
      </c>
      <c r="ES219" t="str">
        <f>IF(EO219=1,COUNTIFS($EN$4:$EN$503,EN219,$EM$4:$EM$503,"Externe",$FE$4:$FE$503,1),"")</f>
        <v/>
      </c>
      <c r="ET219" t="str">
        <f>IF(EO219=1,IF(ER219+ES219=0,"à affecter",IF(ER219=0,ES219&amp;" ext.",(ER219+ES219)&amp;IF(ES219&gt;0," dont "&amp;ES219&amp;" ext.",""))&amp;IF(COUNTIFS($EN$4:$EN$503,EN219,$EM$4:$EM$503,"Non affecté")&gt;0," + à affecter","")),"")</f>
        <v/>
      </c>
      <c r="EU219" s="170" t="str">
        <f>IF(EO219=1,IF(EP219&gt;0,SUMPRODUCT(($EN$4:$EN$503=EN219)*$E$4:$E$503*$C$4:$C$503)/EP219,AVERAGEIF($EN$4:$EN$503,EN219,$C$4:$C$503)),"")</f>
        <v/>
      </c>
      <c r="EV219" s="165">
        <f>IF(ISNUMBER(I219),I219,2958465)</f>
        <v>2958465.0</v>
      </c>
      <c r="EW219" s="165" t="str">
        <f>IF(EO219=1,SUMPRODUCT(MIN(($EN$4:$EN$503=EN219)*$EV$4:$EV$503+($EN$4:$EN$503&lt;&gt;EN219)*2958465)),"")</f>
        <v/>
      </c>
      <c r="EX219" s="165">
        <f>IF(AND(D219=1,ISNUMBER(INDEX(Charge!$F:$F,ROW()))),INDEX(Charge!$F:$F,ROW()),0)</f>
        <v>0.0</v>
      </c>
      <c r="EY219" s="165" t="str">
        <f>IF(EO219=1,SUMPRODUCT(MAX(($EN$4:$EN$503=EN219)*$EX$4:$EX$503)),"")</f>
        <v/>
      </c>
      <c r="FA219" t="str">
        <f>IF(216&lt;=$CD$23,INDEX($EJ$4:$EJ$203,216),IF(216-$CD$23&lt;=$CD$26,INDEX($EK$4:$EK$203,216-$CD$23),""))</f>
        <v/>
      </c>
      <c r="FB219" t="str">
        <f>IF(FA219="","",IF(216&lt;=$CD$23,"Interne","Externe"))</f>
        <v/>
      </c>
      <c r="FD219">
        <f>IF(AND(B219=1,TRIM(INDEX(Charge!$K:$K,ROW()))&lt;&gt;"",TRIM(INDEX(Charge!$L:$L,ROW()))&lt;&gt;""),1,0)</f>
        <v>0</v>
      </c>
      <c r="FE219">
        <f>IF(OR(EN219="",BZ219="(non affecté)"),0,IF(COUNTIFS($EN$4:EN219,EN219,$BZ$4:BZ219,BZ219)=1,1,0))</f>
        <v>0</v>
      </c>
    </row>
    <row r="220">
      <c r="A220">
        <f>ROW()</f>
        <v>220</v>
      </c>
      <c r="B220">
        <f>IF(TRIM(INDEX(Charge!$B:$B,ROW()))&lt;&gt;"",1,0)</f>
        <v>0</v>
      </c>
      <c r="C220">
        <f>IF(B220=1,MIN(1,MAX(0,N(INDEX(Charge!$O:$O,ROW())))),0)</f>
        <v>0</v>
      </c>
      <c r="D220">
        <f>IF(B220=1,IF(OR(p_Perimetre="Tous les projets",C220&lt;1),1,0),0)</f>
        <v>0</v>
      </c>
      <c r="E220">
        <f>IF(D220=1,MAX(0,N(INDEX(Charge!$M:$M,ROW()))),0)</f>
        <v>0</v>
      </c>
      <c r="F220" t="str">
        <f>IF(D220=1,IF(TRIM(INDEX(Charge!$A:$A,ROW()))="","(non renseigné)",TRIM(INDEX(Charge!$A:$A,ROW()))),"")</f>
        <v/>
      </c>
      <c r="G220" t="str">
        <f>IF(D220=1,TRIM(INDEX(Charge!$B:$B,ROW())),"")</f>
        <v/>
      </c>
      <c r="H220" t="str">
        <f>IF(D220=1,IF(TRIM(INDEX(Charge!$E:$E,ROW()))="","(non renseigné)",TRIM(INDEX(Charge!$E:$E,ROW()))),"")</f>
        <v/>
      </c>
      <c r="I220" s="165" t="str">
        <f>IF(AND(D220=1,ISNUMBER(INDEX(Charge!$N:$N,ROW()))),INDEX(Charge!$N:$N,ROW()),"")</f>
        <v/>
      </c>
      <c r="J220" s="165" t="str">
        <f>IF(I220="","",IF(AND(p_Repartition="Lissée jusqu'à la date de besoin",ISNUMBER(INDEX(Charge!$F:$F,ROW()))),IF(INDEX(Charge!$F:$F,ROW())&gt;=I220,INDEX(Charge!$F:$F,ROW()),I220),I220))</f>
        <v/>
      </c>
      <c r="K220" t="str">
        <f>IF(I220="","",NETWORKDAYS(I220,J220,Data!$K$4:$K$203))</f>
        <v/>
      </c>
      <c r="L220" t="str">
        <f>IF(D220=1,COUNTIFS($D$4:$D$503,1,$E$4:$E$503,"&gt;"&amp;E220)+COUNTIFS($D$4:$D220,1,$E$4:$E220,E220),"")</f>
        <v/>
      </c>
      <c r="M220">
        <f>IF(F220="",0,IF(COUNTIF($F$4:F220,F220)=1,1,0))</f>
        <v>0</v>
      </c>
      <c r="N220" t="str">
        <f>IF(M220=1,ROUND(SUMIF($F$4:$F$503,F220,$E$4:$E$503),2),"")</f>
        <v/>
      </c>
      <c r="O220" t="str">
        <f>IF(M220=1,COUNTIFS($M$4:$M$503,1,$N$4:$N$503,"&gt;"&amp;N220)+COUNTIFS($M$4:M220,1,$N$4:N220,N220),"")</f>
        <v/>
      </c>
      <c r="P220">
        <f>IF(G220="",0,IF(COUNTIF($G$4:G220,G220)=1,1,0))</f>
        <v>0</v>
      </c>
      <c r="Q220" t="str">
        <f>IF(P220=1,ROUND(SUMIF($G$4:$G$503,G220,$E$4:$E$503),2),"")</f>
        <v/>
      </c>
      <c r="R220" t="str">
        <f>IF(P220=1,COUNTIFS($P$4:$P$503,1,$Q$4:$Q$503,"&gt;"&amp;Q220)+COUNTIFS($P$4:P220,1,$Q$4:Q220,Q220),"")</f>
        <v/>
      </c>
      <c r="S220">
        <f>IF(H220="",0,IF(COUNTIF($H$4:H220,H220)=1,1,0))</f>
        <v>0</v>
      </c>
      <c r="T220" t="str">
        <f>IF(S220=1,ROUND(SUMIF($H$4:$H$503,H220,$E$4:$E$503),2),"")</f>
        <v/>
      </c>
      <c r="U220" t="str">
        <f>IF(S220=1,COUNTIFS($S$4:$S$503,1,$T$4:$T$503,"&gt;"&amp;T220)+COUNTIFS($S$4:S220,1,$T$4:T220,T220),"")</f>
        <v/>
      </c>
      <c r="V220" t="str">
        <f>IF(D220=1,MIN(INDEX($R$4:$R$503,MATCH(G220,$G$4:$G$503,0)),IF($AL$7&gt;9,9,999)),"")</f>
        <v/>
      </c>
      <c r="W220" s="166">
        <f>IF(OR($I220="",$E220=0),0,IF(OR($J220&lt;W$3,$I220&gt;W$2),0,IF($K220=0,IF(AND($I220&gt;=W$3,$I220&lt;=W$2),$E220,0),$E220*NETWORKDAYS(MAX($I220,W$3),MIN($J220,W$2),Data!$K$4:$K$203)/$K220)))</f>
        <v>0</v>
      </c>
      <c r="X220" s="166">
        <f>IF(OR($I220="",$E220=0),0,IF(OR($J220&lt;X$3,$I220&gt;X$2),0,IF($K220=0,IF(AND($I220&gt;=X$3,$I220&lt;=X$2),$E220,0),$E220*NETWORKDAYS(MAX($I220,X$3),MIN($J220,X$2),Data!$K$4:$K$203)/$K220)))</f>
        <v>0</v>
      </c>
      <c r="Y220" s="166">
        <f>IF(OR($I220="",$E220=0),0,IF(OR($J220&lt;Y$3,$I220&gt;Y$2),0,IF($K220=0,IF(AND($I220&gt;=Y$3,$I220&lt;=Y$2),$E220,0),$E220*NETWORKDAYS(MAX($I220,Y$3),MIN($J220,Y$2),Data!$K$4:$K$203)/$K220)))</f>
        <v>0</v>
      </c>
      <c r="Z220" s="166">
        <f>IF(OR($I220="",$E220=0),0,IF(OR($J220&lt;Z$3,$I220&gt;Z$2),0,IF($K220=0,IF(AND($I220&gt;=Z$3,$I220&lt;=Z$2),$E220,0),$E220*NETWORKDAYS(MAX($I220,Z$3),MIN($J220,Z$2),Data!$K$4:$K$203)/$K220)))</f>
        <v>0</v>
      </c>
      <c r="AA220" s="166">
        <f>IF(OR($I220="",$E220=0),0,IF(OR($J220&lt;AA$3,$I220&gt;AA$2),0,IF($K220=0,IF(AND($I220&gt;=AA$3,$I220&lt;=AA$2),$E220,0),$E220*NETWORKDAYS(MAX($I220,AA$3),MIN($J220,AA$2),Data!$K$4:$K$203)/$K220)))</f>
        <v>0</v>
      </c>
      <c r="AB220" s="166">
        <f>IF(OR($I220="",$E220=0),0,IF(OR($J220&lt;AB$3,$I220&gt;AB$2),0,IF($K220=0,IF(AND($I220&gt;=AB$3,$I220&lt;=AB$2),$E220,0),$E220*NETWORKDAYS(MAX($I220,AB$3),MIN($J220,AB$2),Data!$K$4:$K$203)/$K220)))</f>
        <v>0</v>
      </c>
      <c r="AC220" s="166">
        <f>IF(OR($I220="",$E220=0),0,IF(OR($J220&lt;AC$3,$I220&gt;AC$2),0,IF($K220=0,IF(AND($I220&gt;=AC$3,$I220&lt;=AC$2),$E220,0),$E220*NETWORKDAYS(MAX($I220,AC$3),MIN($J220,AC$2),Data!$K$4:$K$203)/$K220)))</f>
        <v>0</v>
      </c>
      <c r="AD220" s="166">
        <f>IF(OR($I220="",$E220=0),0,IF(OR($J220&lt;AD$3,$I220&gt;AD$2),0,IF($K220=0,IF(AND($I220&gt;=AD$3,$I220&lt;=AD$2),$E220,0),$E220*NETWORKDAYS(MAX($I220,AD$3),MIN($J220,AD$2),Data!$K$4:$K$203)/$K220)))</f>
        <v>0</v>
      </c>
      <c r="AE220" s="166">
        <f>IF(OR($I220="",$E220=0),0,IF(OR($J220&lt;AE$3,$I220&gt;AE$2),0,IF($K220=0,IF(AND($I220&gt;=AE$3,$I220&lt;=AE$2),$E220,0),$E220*NETWORKDAYS(MAX($I220,AE$3),MIN($J220,AE$2),Data!$K$4:$K$203)/$K220)))</f>
        <v>0</v>
      </c>
      <c r="AF220" s="166">
        <f>IF(OR($I220="",$E220=0),0,IF(OR($J220&lt;AF$3,$I220&gt;AF$2),0,IF($K220=0,IF(AND($I220&gt;=AF$3,$I220&lt;=AF$2),$E220,0),$E220*NETWORKDAYS(MAX($I220,AF$3),MIN($J220,AF$2),Data!$K$4:$K$203)/$K220)))</f>
        <v>0</v>
      </c>
      <c r="AG220" s="166">
        <f>IF(OR($I220="",$E220=0),0,IF(OR($J220&lt;AG$3,$I220&gt;AG$2),0,IF($K220=0,IF(AND($I220&gt;=AG$3,$I220&lt;=AG$2),$E220,0),$E220*NETWORKDAYS(MAX($I220,AG$3),MIN($J220,AG$2),Data!$K$4:$K$203)/$K220)))</f>
        <v>0</v>
      </c>
      <c r="AH220" s="166">
        <f>IF(OR($I220="",$E220=0),0,IF(OR($J220&lt;AH$3,$I220&gt;AH$2),0,IF($K220=0,IF(AND($I220&gt;=AH$3,$I220&lt;=AH$2),$E220,0),$E220*NETWORKDAYS(MAX($I220,AH$3),MIN($J220,AH$2),Data!$K$4:$K$203)/$K220)))</f>
        <v>0</v>
      </c>
      <c r="AI220" s="166">
        <f>SUM(W220:AH220)</f>
        <v>0</v>
      </c>
      <c r="BZ220" t="str">
        <f>IF(D220=1,IF(TRIM(INDEX(Charge!$K:$K,ROW()))&lt;&gt;"",TRIM(INDEX(Charge!$K:$K,ROW())),IF(TRIM(INDEX(Charge!$L:$L,ROW()))&lt;&gt;"",TRIM(INDEX(Charge!$L:$L,ROW())),"(non affecté)")),"")</f>
        <v/>
      </c>
      <c r="CA220" t="str">
        <f>IF(AND($CD$4&lt;&gt;"",BZ220=$CD$4),COUNTIFS($BZ$4:$BZ$503,$CD$4,$L$4:$L$503,"&lt;"&amp;L220)+1,"")</f>
        <v/>
      </c>
      <c r="EM220" t="str">
        <f>IF(D220=1,IF(TRIM(INDEX(Charge!$K:$K,ROW()))&lt;&gt;"","Interne",IF(TRIM(INDEX(Charge!$L:$L,ROW()))&lt;&gt;"","Externe","Non affecté")),"")</f>
        <v/>
      </c>
      <c r="EN220" t="str">
        <f>IF(D220=1,LEFT(SUBSTITUTE(SUBSTITUTE(SUBSTITUTE(TRIM(SUBSTITUTE(INDEX(Charge!$B:$B,ROW()),CHAR(160)," "))&amp;" | "&amp;TRIM(SUBSTITUTE(INDEX(Charge!$C:$C,ROW()),CHAR(160)," "))&amp;" | "&amp;TRIM(SUBSTITUTE(INDEX(Charge!$D:$D,ROW()),CHAR(160)," ")),"~","-"),"*","+"),"?","!"),240),"")</f>
        <v/>
      </c>
      <c r="EO220">
        <f>IF(EN220="",0,IF(COUNTIF($EN$4:EN220,EN220)=1,1,0))</f>
        <v>0</v>
      </c>
      <c r="EP220" s="166" t="str">
        <f>IF(EO220=1,ROUND(SUMIF($EN$4:$EN$503,EN220,$E$4:$E$503),2),"")</f>
        <v/>
      </c>
      <c r="EQ220" t="str">
        <f>IF(EO220=1,COUNTIFS($EO$4:$EO$503,1,$EP$4:$EP$503,"&gt;"&amp;EP220)+COUNTIFS($EO$4:EO220,1,$EP$4:EP220,EP220),"")</f>
        <v/>
      </c>
      <c r="ER220" t="str">
        <f>IF(EO220=1,COUNTIFS($EN$4:$EN$503,EN220,$EM$4:$EM$503,"Interne",$FE$4:$FE$503,1),"")</f>
        <v/>
      </c>
      <c r="ES220" t="str">
        <f>IF(EO220=1,COUNTIFS($EN$4:$EN$503,EN220,$EM$4:$EM$503,"Externe",$FE$4:$FE$503,1),"")</f>
        <v/>
      </c>
      <c r="ET220" t="str">
        <f>IF(EO220=1,IF(ER220+ES220=0,"à affecter",IF(ER220=0,ES220&amp;" ext.",(ER220+ES220)&amp;IF(ES220&gt;0," dont "&amp;ES220&amp;" ext.",""))&amp;IF(COUNTIFS($EN$4:$EN$503,EN220,$EM$4:$EM$503,"Non affecté")&gt;0," + à affecter","")),"")</f>
        <v/>
      </c>
      <c r="EU220" s="170" t="str">
        <f>IF(EO220=1,IF(EP220&gt;0,SUMPRODUCT(($EN$4:$EN$503=EN220)*$E$4:$E$503*$C$4:$C$503)/EP220,AVERAGEIF($EN$4:$EN$503,EN220,$C$4:$C$503)),"")</f>
        <v/>
      </c>
      <c r="EV220" s="165">
        <f>IF(ISNUMBER(I220),I220,2958465)</f>
        <v>2958465.0</v>
      </c>
      <c r="EW220" s="165" t="str">
        <f>IF(EO220=1,SUMPRODUCT(MIN(($EN$4:$EN$503=EN220)*$EV$4:$EV$503+($EN$4:$EN$503&lt;&gt;EN220)*2958465)),"")</f>
        <v/>
      </c>
      <c r="EX220" s="165">
        <f>IF(AND(D220=1,ISNUMBER(INDEX(Charge!$F:$F,ROW()))),INDEX(Charge!$F:$F,ROW()),0)</f>
        <v>0.0</v>
      </c>
      <c r="EY220" s="165" t="str">
        <f>IF(EO220=1,SUMPRODUCT(MAX(($EN$4:$EN$503=EN220)*$EX$4:$EX$503)),"")</f>
        <v/>
      </c>
      <c r="FA220" t="str">
        <f>IF(217&lt;=$CD$23,INDEX($EJ$4:$EJ$203,217),IF(217-$CD$23&lt;=$CD$26,INDEX($EK$4:$EK$203,217-$CD$23),""))</f>
        <v/>
      </c>
      <c r="FB220" t="str">
        <f>IF(FA220="","",IF(217&lt;=$CD$23,"Interne","Externe"))</f>
        <v/>
      </c>
      <c r="FD220">
        <f>IF(AND(B220=1,TRIM(INDEX(Charge!$K:$K,ROW()))&lt;&gt;"",TRIM(INDEX(Charge!$L:$L,ROW()))&lt;&gt;""),1,0)</f>
        <v>0</v>
      </c>
      <c r="FE220">
        <f>IF(OR(EN220="",BZ220="(non affecté)"),0,IF(COUNTIFS($EN$4:EN220,EN220,$BZ$4:BZ220,BZ220)=1,1,0))</f>
        <v>0</v>
      </c>
    </row>
    <row r="221">
      <c r="A221">
        <f>ROW()</f>
        <v>221</v>
      </c>
      <c r="B221">
        <f>IF(TRIM(INDEX(Charge!$B:$B,ROW()))&lt;&gt;"",1,0)</f>
        <v>0</v>
      </c>
      <c r="C221">
        <f>IF(B221=1,MIN(1,MAX(0,N(INDEX(Charge!$O:$O,ROW())))),0)</f>
        <v>0</v>
      </c>
      <c r="D221">
        <f>IF(B221=1,IF(OR(p_Perimetre="Tous les projets",C221&lt;1),1,0),0)</f>
        <v>0</v>
      </c>
      <c r="E221">
        <f>IF(D221=1,MAX(0,N(INDEX(Charge!$M:$M,ROW()))),0)</f>
        <v>0</v>
      </c>
      <c r="F221" t="str">
        <f>IF(D221=1,IF(TRIM(INDEX(Charge!$A:$A,ROW()))="","(non renseigné)",TRIM(INDEX(Charge!$A:$A,ROW()))),"")</f>
        <v/>
      </c>
      <c r="G221" t="str">
        <f>IF(D221=1,TRIM(INDEX(Charge!$B:$B,ROW())),"")</f>
        <v/>
      </c>
      <c r="H221" t="str">
        <f>IF(D221=1,IF(TRIM(INDEX(Charge!$E:$E,ROW()))="","(non renseigné)",TRIM(INDEX(Charge!$E:$E,ROW()))),"")</f>
        <v/>
      </c>
      <c r="I221" s="165" t="str">
        <f>IF(AND(D221=1,ISNUMBER(INDEX(Charge!$N:$N,ROW()))),INDEX(Charge!$N:$N,ROW()),"")</f>
        <v/>
      </c>
      <c r="J221" s="165" t="str">
        <f>IF(I221="","",IF(AND(p_Repartition="Lissée jusqu'à la date de besoin",ISNUMBER(INDEX(Charge!$F:$F,ROW()))),IF(INDEX(Charge!$F:$F,ROW())&gt;=I221,INDEX(Charge!$F:$F,ROW()),I221),I221))</f>
        <v/>
      </c>
      <c r="K221" t="str">
        <f>IF(I221="","",NETWORKDAYS(I221,J221,Data!$K$4:$K$203))</f>
        <v/>
      </c>
      <c r="L221" t="str">
        <f>IF(D221=1,COUNTIFS($D$4:$D$503,1,$E$4:$E$503,"&gt;"&amp;E221)+COUNTIFS($D$4:$D221,1,$E$4:$E221,E221),"")</f>
        <v/>
      </c>
      <c r="M221">
        <f>IF(F221="",0,IF(COUNTIF($F$4:F221,F221)=1,1,0))</f>
        <v>0</v>
      </c>
      <c r="N221" t="str">
        <f>IF(M221=1,ROUND(SUMIF($F$4:$F$503,F221,$E$4:$E$503),2),"")</f>
        <v/>
      </c>
      <c r="O221" t="str">
        <f>IF(M221=1,COUNTIFS($M$4:$M$503,1,$N$4:$N$503,"&gt;"&amp;N221)+COUNTIFS($M$4:M221,1,$N$4:N221,N221),"")</f>
        <v/>
      </c>
      <c r="P221">
        <f>IF(G221="",0,IF(COUNTIF($G$4:G221,G221)=1,1,0))</f>
        <v>0</v>
      </c>
      <c r="Q221" t="str">
        <f>IF(P221=1,ROUND(SUMIF($G$4:$G$503,G221,$E$4:$E$503),2),"")</f>
        <v/>
      </c>
      <c r="R221" t="str">
        <f>IF(P221=1,COUNTIFS($P$4:$P$503,1,$Q$4:$Q$503,"&gt;"&amp;Q221)+COUNTIFS($P$4:P221,1,$Q$4:Q221,Q221),"")</f>
        <v/>
      </c>
      <c r="S221">
        <f>IF(H221="",0,IF(COUNTIF($H$4:H221,H221)=1,1,0))</f>
        <v>0</v>
      </c>
      <c r="T221" t="str">
        <f>IF(S221=1,ROUND(SUMIF($H$4:$H$503,H221,$E$4:$E$503),2),"")</f>
        <v/>
      </c>
      <c r="U221" t="str">
        <f>IF(S221=1,COUNTIFS($S$4:$S$503,1,$T$4:$T$503,"&gt;"&amp;T221)+COUNTIFS($S$4:S221,1,$T$4:T221,T221),"")</f>
        <v/>
      </c>
      <c r="V221" t="str">
        <f>IF(D221=1,MIN(INDEX($R$4:$R$503,MATCH(G221,$G$4:$G$503,0)),IF($AL$7&gt;9,9,999)),"")</f>
        <v/>
      </c>
      <c r="W221" s="166">
        <f>IF(OR($I221="",$E221=0),0,IF(OR($J221&lt;W$3,$I221&gt;W$2),0,IF($K221=0,IF(AND($I221&gt;=W$3,$I221&lt;=W$2),$E221,0),$E221*NETWORKDAYS(MAX($I221,W$3),MIN($J221,W$2),Data!$K$4:$K$203)/$K221)))</f>
        <v>0</v>
      </c>
      <c r="X221" s="166">
        <f>IF(OR($I221="",$E221=0),0,IF(OR($J221&lt;X$3,$I221&gt;X$2),0,IF($K221=0,IF(AND($I221&gt;=X$3,$I221&lt;=X$2),$E221,0),$E221*NETWORKDAYS(MAX($I221,X$3),MIN($J221,X$2),Data!$K$4:$K$203)/$K221)))</f>
        <v>0</v>
      </c>
      <c r="Y221" s="166">
        <f>IF(OR($I221="",$E221=0),0,IF(OR($J221&lt;Y$3,$I221&gt;Y$2),0,IF($K221=0,IF(AND($I221&gt;=Y$3,$I221&lt;=Y$2),$E221,0),$E221*NETWORKDAYS(MAX($I221,Y$3),MIN($J221,Y$2),Data!$K$4:$K$203)/$K221)))</f>
        <v>0</v>
      </c>
      <c r="Z221" s="166">
        <f>IF(OR($I221="",$E221=0),0,IF(OR($J221&lt;Z$3,$I221&gt;Z$2),0,IF($K221=0,IF(AND($I221&gt;=Z$3,$I221&lt;=Z$2),$E221,0),$E221*NETWORKDAYS(MAX($I221,Z$3),MIN($J221,Z$2),Data!$K$4:$K$203)/$K221)))</f>
        <v>0</v>
      </c>
      <c r="AA221" s="166">
        <f>IF(OR($I221="",$E221=0),0,IF(OR($J221&lt;AA$3,$I221&gt;AA$2),0,IF($K221=0,IF(AND($I221&gt;=AA$3,$I221&lt;=AA$2),$E221,0),$E221*NETWORKDAYS(MAX($I221,AA$3),MIN($J221,AA$2),Data!$K$4:$K$203)/$K221)))</f>
        <v>0</v>
      </c>
      <c r="AB221" s="166">
        <f>IF(OR($I221="",$E221=0),0,IF(OR($J221&lt;AB$3,$I221&gt;AB$2),0,IF($K221=0,IF(AND($I221&gt;=AB$3,$I221&lt;=AB$2),$E221,0),$E221*NETWORKDAYS(MAX($I221,AB$3),MIN($J221,AB$2),Data!$K$4:$K$203)/$K221)))</f>
        <v>0</v>
      </c>
      <c r="AC221" s="166">
        <f>IF(OR($I221="",$E221=0),0,IF(OR($J221&lt;AC$3,$I221&gt;AC$2),0,IF($K221=0,IF(AND($I221&gt;=AC$3,$I221&lt;=AC$2),$E221,0),$E221*NETWORKDAYS(MAX($I221,AC$3),MIN($J221,AC$2),Data!$K$4:$K$203)/$K221)))</f>
        <v>0</v>
      </c>
      <c r="AD221" s="166">
        <f>IF(OR($I221="",$E221=0),0,IF(OR($J221&lt;AD$3,$I221&gt;AD$2),0,IF($K221=0,IF(AND($I221&gt;=AD$3,$I221&lt;=AD$2),$E221,0),$E221*NETWORKDAYS(MAX($I221,AD$3),MIN($J221,AD$2),Data!$K$4:$K$203)/$K221)))</f>
        <v>0</v>
      </c>
      <c r="AE221" s="166">
        <f>IF(OR($I221="",$E221=0),0,IF(OR($J221&lt;AE$3,$I221&gt;AE$2),0,IF($K221=0,IF(AND($I221&gt;=AE$3,$I221&lt;=AE$2),$E221,0),$E221*NETWORKDAYS(MAX($I221,AE$3),MIN($J221,AE$2),Data!$K$4:$K$203)/$K221)))</f>
        <v>0</v>
      </c>
      <c r="AF221" s="166">
        <f>IF(OR($I221="",$E221=0),0,IF(OR($J221&lt;AF$3,$I221&gt;AF$2),0,IF($K221=0,IF(AND($I221&gt;=AF$3,$I221&lt;=AF$2),$E221,0),$E221*NETWORKDAYS(MAX($I221,AF$3),MIN($J221,AF$2),Data!$K$4:$K$203)/$K221)))</f>
        <v>0</v>
      </c>
      <c r="AG221" s="166">
        <f>IF(OR($I221="",$E221=0),0,IF(OR($J221&lt;AG$3,$I221&gt;AG$2),0,IF($K221=0,IF(AND($I221&gt;=AG$3,$I221&lt;=AG$2),$E221,0),$E221*NETWORKDAYS(MAX($I221,AG$3),MIN($J221,AG$2),Data!$K$4:$K$203)/$K221)))</f>
        <v>0</v>
      </c>
      <c r="AH221" s="166">
        <f>IF(OR($I221="",$E221=0),0,IF(OR($J221&lt;AH$3,$I221&gt;AH$2),0,IF($K221=0,IF(AND($I221&gt;=AH$3,$I221&lt;=AH$2),$E221,0),$E221*NETWORKDAYS(MAX($I221,AH$3),MIN($J221,AH$2),Data!$K$4:$K$203)/$K221)))</f>
        <v>0</v>
      </c>
      <c r="AI221" s="166">
        <f>SUM(W221:AH221)</f>
        <v>0</v>
      </c>
      <c r="BZ221" t="str">
        <f>IF(D221=1,IF(TRIM(INDEX(Charge!$K:$K,ROW()))&lt;&gt;"",TRIM(INDEX(Charge!$K:$K,ROW())),IF(TRIM(INDEX(Charge!$L:$L,ROW()))&lt;&gt;"",TRIM(INDEX(Charge!$L:$L,ROW())),"(non affecté)")),"")</f>
        <v/>
      </c>
      <c r="CA221" t="str">
        <f>IF(AND($CD$4&lt;&gt;"",BZ221=$CD$4),COUNTIFS($BZ$4:$BZ$503,$CD$4,$L$4:$L$503,"&lt;"&amp;L221)+1,"")</f>
        <v/>
      </c>
      <c r="EM221" t="str">
        <f>IF(D221=1,IF(TRIM(INDEX(Charge!$K:$K,ROW()))&lt;&gt;"","Interne",IF(TRIM(INDEX(Charge!$L:$L,ROW()))&lt;&gt;"","Externe","Non affecté")),"")</f>
        <v/>
      </c>
      <c r="EN221" t="str">
        <f>IF(D221=1,LEFT(SUBSTITUTE(SUBSTITUTE(SUBSTITUTE(TRIM(SUBSTITUTE(INDEX(Charge!$B:$B,ROW()),CHAR(160)," "))&amp;" | "&amp;TRIM(SUBSTITUTE(INDEX(Charge!$C:$C,ROW()),CHAR(160)," "))&amp;" | "&amp;TRIM(SUBSTITUTE(INDEX(Charge!$D:$D,ROW()),CHAR(160)," ")),"~","-"),"*","+"),"?","!"),240),"")</f>
        <v/>
      </c>
      <c r="EO221">
        <f>IF(EN221="",0,IF(COUNTIF($EN$4:EN221,EN221)=1,1,0))</f>
        <v>0</v>
      </c>
      <c r="EP221" s="166" t="str">
        <f>IF(EO221=1,ROUND(SUMIF($EN$4:$EN$503,EN221,$E$4:$E$503),2),"")</f>
        <v/>
      </c>
      <c r="EQ221" t="str">
        <f>IF(EO221=1,COUNTIFS($EO$4:$EO$503,1,$EP$4:$EP$503,"&gt;"&amp;EP221)+COUNTIFS($EO$4:EO221,1,$EP$4:EP221,EP221),"")</f>
        <v/>
      </c>
      <c r="ER221" t="str">
        <f>IF(EO221=1,COUNTIFS($EN$4:$EN$503,EN221,$EM$4:$EM$503,"Interne",$FE$4:$FE$503,1),"")</f>
        <v/>
      </c>
      <c r="ES221" t="str">
        <f>IF(EO221=1,COUNTIFS($EN$4:$EN$503,EN221,$EM$4:$EM$503,"Externe",$FE$4:$FE$503,1),"")</f>
        <v/>
      </c>
      <c r="ET221" t="str">
        <f>IF(EO221=1,IF(ER221+ES221=0,"à affecter",IF(ER221=0,ES221&amp;" ext.",(ER221+ES221)&amp;IF(ES221&gt;0," dont "&amp;ES221&amp;" ext.",""))&amp;IF(COUNTIFS($EN$4:$EN$503,EN221,$EM$4:$EM$503,"Non affecté")&gt;0," + à affecter","")),"")</f>
        <v/>
      </c>
      <c r="EU221" s="170" t="str">
        <f>IF(EO221=1,IF(EP221&gt;0,SUMPRODUCT(($EN$4:$EN$503=EN221)*$E$4:$E$503*$C$4:$C$503)/EP221,AVERAGEIF($EN$4:$EN$503,EN221,$C$4:$C$503)),"")</f>
        <v/>
      </c>
      <c r="EV221" s="165">
        <f>IF(ISNUMBER(I221),I221,2958465)</f>
        <v>2958465.0</v>
      </c>
      <c r="EW221" s="165" t="str">
        <f>IF(EO221=1,SUMPRODUCT(MIN(($EN$4:$EN$503=EN221)*$EV$4:$EV$503+($EN$4:$EN$503&lt;&gt;EN221)*2958465)),"")</f>
        <v/>
      </c>
      <c r="EX221" s="165">
        <f>IF(AND(D221=1,ISNUMBER(INDEX(Charge!$F:$F,ROW()))),INDEX(Charge!$F:$F,ROW()),0)</f>
        <v>0.0</v>
      </c>
      <c r="EY221" s="165" t="str">
        <f>IF(EO221=1,SUMPRODUCT(MAX(($EN$4:$EN$503=EN221)*$EX$4:$EX$503)),"")</f>
        <v/>
      </c>
      <c r="FA221" t="str">
        <f>IF(218&lt;=$CD$23,INDEX($EJ$4:$EJ$203,218),IF(218-$CD$23&lt;=$CD$26,INDEX($EK$4:$EK$203,218-$CD$23),""))</f>
        <v/>
      </c>
      <c r="FB221" t="str">
        <f>IF(FA221="","",IF(218&lt;=$CD$23,"Interne","Externe"))</f>
        <v/>
      </c>
      <c r="FD221">
        <f>IF(AND(B221=1,TRIM(INDEX(Charge!$K:$K,ROW()))&lt;&gt;"",TRIM(INDEX(Charge!$L:$L,ROW()))&lt;&gt;""),1,0)</f>
        <v>0</v>
      </c>
      <c r="FE221">
        <f>IF(OR(EN221="",BZ221="(non affecté)"),0,IF(COUNTIFS($EN$4:EN221,EN221,$BZ$4:BZ221,BZ221)=1,1,0))</f>
        <v>0</v>
      </c>
    </row>
    <row r="222">
      <c r="A222">
        <f>ROW()</f>
        <v>222</v>
      </c>
      <c r="B222">
        <f>IF(TRIM(INDEX(Charge!$B:$B,ROW()))&lt;&gt;"",1,0)</f>
        <v>0</v>
      </c>
      <c r="C222">
        <f>IF(B222=1,MIN(1,MAX(0,N(INDEX(Charge!$O:$O,ROW())))),0)</f>
        <v>0</v>
      </c>
      <c r="D222">
        <f>IF(B222=1,IF(OR(p_Perimetre="Tous les projets",C222&lt;1),1,0),0)</f>
        <v>0</v>
      </c>
      <c r="E222">
        <f>IF(D222=1,MAX(0,N(INDEX(Charge!$M:$M,ROW()))),0)</f>
        <v>0</v>
      </c>
      <c r="F222" t="str">
        <f>IF(D222=1,IF(TRIM(INDEX(Charge!$A:$A,ROW()))="","(non renseigné)",TRIM(INDEX(Charge!$A:$A,ROW()))),"")</f>
        <v/>
      </c>
      <c r="G222" t="str">
        <f>IF(D222=1,TRIM(INDEX(Charge!$B:$B,ROW())),"")</f>
        <v/>
      </c>
      <c r="H222" t="str">
        <f>IF(D222=1,IF(TRIM(INDEX(Charge!$E:$E,ROW()))="","(non renseigné)",TRIM(INDEX(Charge!$E:$E,ROW()))),"")</f>
        <v/>
      </c>
      <c r="I222" s="165" t="str">
        <f>IF(AND(D222=1,ISNUMBER(INDEX(Charge!$N:$N,ROW()))),INDEX(Charge!$N:$N,ROW()),"")</f>
        <v/>
      </c>
      <c r="J222" s="165" t="str">
        <f>IF(I222="","",IF(AND(p_Repartition="Lissée jusqu'à la date de besoin",ISNUMBER(INDEX(Charge!$F:$F,ROW()))),IF(INDEX(Charge!$F:$F,ROW())&gt;=I222,INDEX(Charge!$F:$F,ROW()),I222),I222))</f>
        <v/>
      </c>
      <c r="K222" t="str">
        <f>IF(I222="","",NETWORKDAYS(I222,J222,Data!$K$4:$K$203))</f>
        <v/>
      </c>
      <c r="L222" t="str">
        <f>IF(D222=1,COUNTIFS($D$4:$D$503,1,$E$4:$E$503,"&gt;"&amp;E222)+COUNTIFS($D$4:$D222,1,$E$4:$E222,E222),"")</f>
        <v/>
      </c>
      <c r="M222">
        <f>IF(F222="",0,IF(COUNTIF($F$4:F222,F222)=1,1,0))</f>
        <v>0</v>
      </c>
      <c r="N222" t="str">
        <f>IF(M222=1,ROUND(SUMIF($F$4:$F$503,F222,$E$4:$E$503),2),"")</f>
        <v/>
      </c>
      <c r="O222" t="str">
        <f>IF(M222=1,COUNTIFS($M$4:$M$503,1,$N$4:$N$503,"&gt;"&amp;N222)+COUNTIFS($M$4:M222,1,$N$4:N222,N222),"")</f>
        <v/>
      </c>
      <c r="P222">
        <f>IF(G222="",0,IF(COUNTIF($G$4:G222,G222)=1,1,0))</f>
        <v>0</v>
      </c>
      <c r="Q222" t="str">
        <f>IF(P222=1,ROUND(SUMIF($G$4:$G$503,G222,$E$4:$E$503),2),"")</f>
        <v/>
      </c>
      <c r="R222" t="str">
        <f>IF(P222=1,COUNTIFS($P$4:$P$503,1,$Q$4:$Q$503,"&gt;"&amp;Q222)+COUNTIFS($P$4:P222,1,$Q$4:Q222,Q222),"")</f>
        <v/>
      </c>
      <c r="S222">
        <f>IF(H222="",0,IF(COUNTIF($H$4:H222,H222)=1,1,0))</f>
        <v>0</v>
      </c>
      <c r="T222" t="str">
        <f>IF(S222=1,ROUND(SUMIF($H$4:$H$503,H222,$E$4:$E$503),2),"")</f>
        <v/>
      </c>
      <c r="U222" t="str">
        <f>IF(S222=1,COUNTIFS($S$4:$S$503,1,$T$4:$T$503,"&gt;"&amp;T222)+COUNTIFS($S$4:S222,1,$T$4:T222,T222),"")</f>
        <v/>
      </c>
      <c r="V222" t="str">
        <f>IF(D222=1,MIN(INDEX($R$4:$R$503,MATCH(G222,$G$4:$G$503,0)),IF($AL$7&gt;9,9,999)),"")</f>
        <v/>
      </c>
      <c r="W222" s="166">
        <f>IF(OR($I222="",$E222=0),0,IF(OR($J222&lt;W$3,$I222&gt;W$2),0,IF($K222=0,IF(AND($I222&gt;=W$3,$I222&lt;=W$2),$E222,0),$E222*NETWORKDAYS(MAX($I222,W$3),MIN($J222,W$2),Data!$K$4:$K$203)/$K222)))</f>
        <v>0</v>
      </c>
      <c r="X222" s="166">
        <f>IF(OR($I222="",$E222=0),0,IF(OR($J222&lt;X$3,$I222&gt;X$2),0,IF($K222=0,IF(AND($I222&gt;=X$3,$I222&lt;=X$2),$E222,0),$E222*NETWORKDAYS(MAX($I222,X$3),MIN($J222,X$2),Data!$K$4:$K$203)/$K222)))</f>
        <v>0</v>
      </c>
      <c r="Y222" s="166">
        <f>IF(OR($I222="",$E222=0),0,IF(OR($J222&lt;Y$3,$I222&gt;Y$2),0,IF($K222=0,IF(AND($I222&gt;=Y$3,$I222&lt;=Y$2),$E222,0),$E222*NETWORKDAYS(MAX($I222,Y$3),MIN($J222,Y$2),Data!$K$4:$K$203)/$K222)))</f>
        <v>0</v>
      </c>
      <c r="Z222" s="166">
        <f>IF(OR($I222="",$E222=0),0,IF(OR($J222&lt;Z$3,$I222&gt;Z$2),0,IF($K222=0,IF(AND($I222&gt;=Z$3,$I222&lt;=Z$2),$E222,0),$E222*NETWORKDAYS(MAX($I222,Z$3),MIN($J222,Z$2),Data!$K$4:$K$203)/$K222)))</f>
        <v>0</v>
      </c>
      <c r="AA222" s="166">
        <f>IF(OR($I222="",$E222=0),0,IF(OR($J222&lt;AA$3,$I222&gt;AA$2),0,IF($K222=0,IF(AND($I222&gt;=AA$3,$I222&lt;=AA$2),$E222,0),$E222*NETWORKDAYS(MAX($I222,AA$3),MIN($J222,AA$2),Data!$K$4:$K$203)/$K222)))</f>
        <v>0</v>
      </c>
      <c r="AB222" s="166">
        <f>IF(OR($I222="",$E222=0),0,IF(OR($J222&lt;AB$3,$I222&gt;AB$2),0,IF($K222=0,IF(AND($I222&gt;=AB$3,$I222&lt;=AB$2),$E222,0),$E222*NETWORKDAYS(MAX($I222,AB$3),MIN($J222,AB$2),Data!$K$4:$K$203)/$K222)))</f>
        <v>0</v>
      </c>
      <c r="AC222" s="166">
        <f>IF(OR($I222="",$E222=0),0,IF(OR($J222&lt;AC$3,$I222&gt;AC$2),0,IF($K222=0,IF(AND($I222&gt;=AC$3,$I222&lt;=AC$2),$E222,0),$E222*NETWORKDAYS(MAX($I222,AC$3),MIN($J222,AC$2),Data!$K$4:$K$203)/$K222)))</f>
        <v>0</v>
      </c>
      <c r="AD222" s="166">
        <f>IF(OR($I222="",$E222=0),0,IF(OR($J222&lt;AD$3,$I222&gt;AD$2),0,IF($K222=0,IF(AND($I222&gt;=AD$3,$I222&lt;=AD$2),$E222,0),$E222*NETWORKDAYS(MAX($I222,AD$3),MIN($J222,AD$2),Data!$K$4:$K$203)/$K222)))</f>
        <v>0</v>
      </c>
      <c r="AE222" s="166">
        <f>IF(OR($I222="",$E222=0),0,IF(OR($J222&lt;AE$3,$I222&gt;AE$2),0,IF($K222=0,IF(AND($I222&gt;=AE$3,$I222&lt;=AE$2),$E222,0),$E222*NETWORKDAYS(MAX($I222,AE$3),MIN($J222,AE$2),Data!$K$4:$K$203)/$K222)))</f>
        <v>0</v>
      </c>
      <c r="AF222" s="166">
        <f>IF(OR($I222="",$E222=0),0,IF(OR($J222&lt;AF$3,$I222&gt;AF$2),0,IF($K222=0,IF(AND($I222&gt;=AF$3,$I222&lt;=AF$2),$E222,0),$E222*NETWORKDAYS(MAX($I222,AF$3),MIN($J222,AF$2),Data!$K$4:$K$203)/$K222)))</f>
        <v>0</v>
      </c>
      <c r="AG222" s="166">
        <f>IF(OR($I222="",$E222=0),0,IF(OR($J222&lt;AG$3,$I222&gt;AG$2),0,IF($K222=0,IF(AND($I222&gt;=AG$3,$I222&lt;=AG$2),$E222,0),$E222*NETWORKDAYS(MAX($I222,AG$3),MIN($J222,AG$2),Data!$K$4:$K$203)/$K222)))</f>
        <v>0</v>
      </c>
      <c r="AH222" s="166">
        <f>IF(OR($I222="",$E222=0),0,IF(OR($J222&lt;AH$3,$I222&gt;AH$2),0,IF($K222=0,IF(AND($I222&gt;=AH$3,$I222&lt;=AH$2),$E222,0),$E222*NETWORKDAYS(MAX($I222,AH$3),MIN($J222,AH$2),Data!$K$4:$K$203)/$K222)))</f>
        <v>0</v>
      </c>
      <c r="AI222" s="166">
        <f>SUM(W222:AH222)</f>
        <v>0</v>
      </c>
      <c r="BZ222" t="str">
        <f>IF(D222=1,IF(TRIM(INDEX(Charge!$K:$K,ROW()))&lt;&gt;"",TRIM(INDEX(Charge!$K:$K,ROW())),IF(TRIM(INDEX(Charge!$L:$L,ROW()))&lt;&gt;"",TRIM(INDEX(Charge!$L:$L,ROW())),"(non affecté)")),"")</f>
        <v/>
      </c>
      <c r="CA222" t="str">
        <f>IF(AND($CD$4&lt;&gt;"",BZ222=$CD$4),COUNTIFS($BZ$4:$BZ$503,$CD$4,$L$4:$L$503,"&lt;"&amp;L222)+1,"")</f>
        <v/>
      </c>
      <c r="EM222" t="str">
        <f>IF(D222=1,IF(TRIM(INDEX(Charge!$K:$K,ROW()))&lt;&gt;"","Interne",IF(TRIM(INDEX(Charge!$L:$L,ROW()))&lt;&gt;"","Externe","Non affecté")),"")</f>
        <v/>
      </c>
      <c r="EN222" t="str">
        <f>IF(D222=1,LEFT(SUBSTITUTE(SUBSTITUTE(SUBSTITUTE(TRIM(SUBSTITUTE(INDEX(Charge!$B:$B,ROW()),CHAR(160)," "))&amp;" | "&amp;TRIM(SUBSTITUTE(INDEX(Charge!$C:$C,ROW()),CHAR(160)," "))&amp;" | "&amp;TRIM(SUBSTITUTE(INDEX(Charge!$D:$D,ROW()),CHAR(160)," ")),"~","-"),"*","+"),"?","!"),240),"")</f>
        <v/>
      </c>
      <c r="EO222">
        <f>IF(EN222="",0,IF(COUNTIF($EN$4:EN222,EN222)=1,1,0))</f>
        <v>0</v>
      </c>
      <c r="EP222" s="166" t="str">
        <f>IF(EO222=1,ROUND(SUMIF($EN$4:$EN$503,EN222,$E$4:$E$503),2),"")</f>
        <v/>
      </c>
      <c r="EQ222" t="str">
        <f>IF(EO222=1,COUNTIFS($EO$4:$EO$503,1,$EP$4:$EP$503,"&gt;"&amp;EP222)+COUNTIFS($EO$4:EO222,1,$EP$4:EP222,EP222),"")</f>
        <v/>
      </c>
      <c r="ER222" t="str">
        <f>IF(EO222=1,COUNTIFS($EN$4:$EN$503,EN222,$EM$4:$EM$503,"Interne",$FE$4:$FE$503,1),"")</f>
        <v/>
      </c>
      <c r="ES222" t="str">
        <f>IF(EO222=1,COUNTIFS($EN$4:$EN$503,EN222,$EM$4:$EM$503,"Externe",$FE$4:$FE$503,1),"")</f>
        <v/>
      </c>
      <c r="ET222" t="str">
        <f>IF(EO222=1,IF(ER222+ES222=0,"à affecter",IF(ER222=0,ES222&amp;" ext.",(ER222+ES222)&amp;IF(ES222&gt;0," dont "&amp;ES222&amp;" ext.",""))&amp;IF(COUNTIFS($EN$4:$EN$503,EN222,$EM$4:$EM$503,"Non affecté")&gt;0," + à affecter","")),"")</f>
        <v/>
      </c>
      <c r="EU222" s="170" t="str">
        <f>IF(EO222=1,IF(EP222&gt;0,SUMPRODUCT(($EN$4:$EN$503=EN222)*$E$4:$E$503*$C$4:$C$503)/EP222,AVERAGEIF($EN$4:$EN$503,EN222,$C$4:$C$503)),"")</f>
        <v/>
      </c>
      <c r="EV222" s="165">
        <f>IF(ISNUMBER(I222),I222,2958465)</f>
        <v>2958465.0</v>
      </c>
      <c r="EW222" s="165" t="str">
        <f>IF(EO222=1,SUMPRODUCT(MIN(($EN$4:$EN$503=EN222)*$EV$4:$EV$503+($EN$4:$EN$503&lt;&gt;EN222)*2958465)),"")</f>
        <v/>
      </c>
      <c r="EX222" s="165">
        <f>IF(AND(D222=1,ISNUMBER(INDEX(Charge!$F:$F,ROW()))),INDEX(Charge!$F:$F,ROW()),0)</f>
        <v>0.0</v>
      </c>
      <c r="EY222" s="165" t="str">
        <f>IF(EO222=1,SUMPRODUCT(MAX(($EN$4:$EN$503=EN222)*$EX$4:$EX$503)),"")</f>
        <v/>
      </c>
      <c r="FA222" t="str">
        <f>IF(219&lt;=$CD$23,INDEX($EJ$4:$EJ$203,219),IF(219-$CD$23&lt;=$CD$26,INDEX($EK$4:$EK$203,219-$CD$23),""))</f>
        <v/>
      </c>
      <c r="FB222" t="str">
        <f>IF(FA222="","",IF(219&lt;=$CD$23,"Interne","Externe"))</f>
        <v/>
      </c>
      <c r="FD222">
        <f>IF(AND(B222=1,TRIM(INDEX(Charge!$K:$K,ROW()))&lt;&gt;"",TRIM(INDEX(Charge!$L:$L,ROW()))&lt;&gt;""),1,0)</f>
        <v>0</v>
      </c>
      <c r="FE222">
        <f>IF(OR(EN222="",BZ222="(non affecté)"),0,IF(COUNTIFS($EN$4:EN222,EN222,$BZ$4:BZ222,BZ222)=1,1,0))</f>
        <v>0</v>
      </c>
    </row>
    <row r="223">
      <c r="A223">
        <f>ROW()</f>
        <v>223</v>
      </c>
      <c r="B223">
        <f>IF(TRIM(INDEX(Charge!$B:$B,ROW()))&lt;&gt;"",1,0)</f>
        <v>0</v>
      </c>
      <c r="C223">
        <f>IF(B223=1,MIN(1,MAX(0,N(INDEX(Charge!$O:$O,ROW())))),0)</f>
        <v>0</v>
      </c>
      <c r="D223">
        <f>IF(B223=1,IF(OR(p_Perimetre="Tous les projets",C223&lt;1),1,0),0)</f>
        <v>0</v>
      </c>
      <c r="E223">
        <f>IF(D223=1,MAX(0,N(INDEX(Charge!$M:$M,ROW()))),0)</f>
        <v>0</v>
      </c>
      <c r="F223" t="str">
        <f>IF(D223=1,IF(TRIM(INDEX(Charge!$A:$A,ROW()))="","(non renseigné)",TRIM(INDEX(Charge!$A:$A,ROW()))),"")</f>
        <v/>
      </c>
      <c r="G223" t="str">
        <f>IF(D223=1,TRIM(INDEX(Charge!$B:$B,ROW())),"")</f>
        <v/>
      </c>
      <c r="H223" t="str">
        <f>IF(D223=1,IF(TRIM(INDEX(Charge!$E:$E,ROW()))="","(non renseigné)",TRIM(INDEX(Charge!$E:$E,ROW()))),"")</f>
        <v/>
      </c>
      <c r="I223" s="165" t="str">
        <f>IF(AND(D223=1,ISNUMBER(INDEX(Charge!$N:$N,ROW()))),INDEX(Charge!$N:$N,ROW()),"")</f>
        <v/>
      </c>
      <c r="J223" s="165" t="str">
        <f>IF(I223="","",IF(AND(p_Repartition="Lissée jusqu'à la date de besoin",ISNUMBER(INDEX(Charge!$F:$F,ROW()))),IF(INDEX(Charge!$F:$F,ROW())&gt;=I223,INDEX(Charge!$F:$F,ROW()),I223),I223))</f>
        <v/>
      </c>
      <c r="K223" t="str">
        <f>IF(I223="","",NETWORKDAYS(I223,J223,Data!$K$4:$K$203))</f>
        <v/>
      </c>
      <c r="L223" t="str">
        <f>IF(D223=1,COUNTIFS($D$4:$D$503,1,$E$4:$E$503,"&gt;"&amp;E223)+COUNTIFS($D$4:$D223,1,$E$4:$E223,E223),"")</f>
        <v/>
      </c>
      <c r="M223">
        <f>IF(F223="",0,IF(COUNTIF($F$4:F223,F223)=1,1,0))</f>
        <v>0</v>
      </c>
      <c r="N223" t="str">
        <f>IF(M223=1,ROUND(SUMIF($F$4:$F$503,F223,$E$4:$E$503),2),"")</f>
        <v/>
      </c>
      <c r="O223" t="str">
        <f>IF(M223=1,COUNTIFS($M$4:$M$503,1,$N$4:$N$503,"&gt;"&amp;N223)+COUNTIFS($M$4:M223,1,$N$4:N223,N223),"")</f>
        <v/>
      </c>
      <c r="P223">
        <f>IF(G223="",0,IF(COUNTIF($G$4:G223,G223)=1,1,0))</f>
        <v>0</v>
      </c>
      <c r="Q223" t="str">
        <f>IF(P223=1,ROUND(SUMIF($G$4:$G$503,G223,$E$4:$E$503),2),"")</f>
        <v/>
      </c>
      <c r="R223" t="str">
        <f>IF(P223=1,COUNTIFS($P$4:$P$503,1,$Q$4:$Q$503,"&gt;"&amp;Q223)+COUNTIFS($P$4:P223,1,$Q$4:Q223,Q223),"")</f>
        <v/>
      </c>
      <c r="S223">
        <f>IF(H223="",0,IF(COUNTIF($H$4:H223,H223)=1,1,0))</f>
        <v>0</v>
      </c>
      <c r="T223" t="str">
        <f>IF(S223=1,ROUND(SUMIF($H$4:$H$503,H223,$E$4:$E$503),2),"")</f>
        <v/>
      </c>
      <c r="U223" t="str">
        <f>IF(S223=1,COUNTIFS($S$4:$S$503,1,$T$4:$T$503,"&gt;"&amp;T223)+COUNTIFS($S$4:S223,1,$T$4:T223,T223),"")</f>
        <v/>
      </c>
      <c r="V223" t="str">
        <f>IF(D223=1,MIN(INDEX($R$4:$R$503,MATCH(G223,$G$4:$G$503,0)),IF($AL$7&gt;9,9,999)),"")</f>
        <v/>
      </c>
      <c r="W223" s="166">
        <f>IF(OR($I223="",$E223=0),0,IF(OR($J223&lt;W$3,$I223&gt;W$2),0,IF($K223=0,IF(AND($I223&gt;=W$3,$I223&lt;=W$2),$E223,0),$E223*NETWORKDAYS(MAX($I223,W$3),MIN($J223,W$2),Data!$K$4:$K$203)/$K223)))</f>
        <v>0</v>
      </c>
      <c r="X223" s="166">
        <f>IF(OR($I223="",$E223=0),0,IF(OR($J223&lt;X$3,$I223&gt;X$2),0,IF($K223=0,IF(AND($I223&gt;=X$3,$I223&lt;=X$2),$E223,0),$E223*NETWORKDAYS(MAX($I223,X$3),MIN($J223,X$2),Data!$K$4:$K$203)/$K223)))</f>
        <v>0</v>
      </c>
      <c r="Y223" s="166">
        <f>IF(OR($I223="",$E223=0),0,IF(OR($J223&lt;Y$3,$I223&gt;Y$2),0,IF($K223=0,IF(AND($I223&gt;=Y$3,$I223&lt;=Y$2),$E223,0),$E223*NETWORKDAYS(MAX($I223,Y$3),MIN($J223,Y$2),Data!$K$4:$K$203)/$K223)))</f>
        <v>0</v>
      </c>
      <c r="Z223" s="166">
        <f>IF(OR($I223="",$E223=0),0,IF(OR($J223&lt;Z$3,$I223&gt;Z$2),0,IF($K223=0,IF(AND($I223&gt;=Z$3,$I223&lt;=Z$2),$E223,0),$E223*NETWORKDAYS(MAX($I223,Z$3),MIN($J223,Z$2),Data!$K$4:$K$203)/$K223)))</f>
        <v>0</v>
      </c>
      <c r="AA223" s="166">
        <f>IF(OR($I223="",$E223=0),0,IF(OR($J223&lt;AA$3,$I223&gt;AA$2),0,IF($K223=0,IF(AND($I223&gt;=AA$3,$I223&lt;=AA$2),$E223,0),$E223*NETWORKDAYS(MAX($I223,AA$3),MIN($J223,AA$2),Data!$K$4:$K$203)/$K223)))</f>
        <v>0</v>
      </c>
      <c r="AB223" s="166">
        <f>IF(OR($I223="",$E223=0),0,IF(OR($J223&lt;AB$3,$I223&gt;AB$2),0,IF($K223=0,IF(AND($I223&gt;=AB$3,$I223&lt;=AB$2),$E223,0),$E223*NETWORKDAYS(MAX($I223,AB$3),MIN($J223,AB$2),Data!$K$4:$K$203)/$K223)))</f>
        <v>0</v>
      </c>
      <c r="AC223" s="166">
        <f>IF(OR($I223="",$E223=0),0,IF(OR($J223&lt;AC$3,$I223&gt;AC$2),0,IF($K223=0,IF(AND($I223&gt;=AC$3,$I223&lt;=AC$2),$E223,0),$E223*NETWORKDAYS(MAX($I223,AC$3),MIN($J223,AC$2),Data!$K$4:$K$203)/$K223)))</f>
        <v>0</v>
      </c>
      <c r="AD223" s="166">
        <f>IF(OR($I223="",$E223=0),0,IF(OR($J223&lt;AD$3,$I223&gt;AD$2),0,IF($K223=0,IF(AND($I223&gt;=AD$3,$I223&lt;=AD$2),$E223,0),$E223*NETWORKDAYS(MAX($I223,AD$3),MIN($J223,AD$2),Data!$K$4:$K$203)/$K223)))</f>
        <v>0</v>
      </c>
      <c r="AE223" s="166">
        <f>IF(OR($I223="",$E223=0),0,IF(OR($J223&lt;AE$3,$I223&gt;AE$2),0,IF($K223=0,IF(AND($I223&gt;=AE$3,$I223&lt;=AE$2),$E223,0),$E223*NETWORKDAYS(MAX($I223,AE$3),MIN($J223,AE$2),Data!$K$4:$K$203)/$K223)))</f>
        <v>0</v>
      </c>
      <c r="AF223" s="166">
        <f>IF(OR($I223="",$E223=0),0,IF(OR($J223&lt;AF$3,$I223&gt;AF$2),0,IF($K223=0,IF(AND($I223&gt;=AF$3,$I223&lt;=AF$2),$E223,0),$E223*NETWORKDAYS(MAX($I223,AF$3),MIN($J223,AF$2),Data!$K$4:$K$203)/$K223)))</f>
        <v>0</v>
      </c>
      <c r="AG223" s="166">
        <f>IF(OR($I223="",$E223=0),0,IF(OR($J223&lt;AG$3,$I223&gt;AG$2),0,IF($K223=0,IF(AND($I223&gt;=AG$3,$I223&lt;=AG$2),$E223,0),$E223*NETWORKDAYS(MAX($I223,AG$3),MIN($J223,AG$2),Data!$K$4:$K$203)/$K223)))</f>
        <v>0</v>
      </c>
      <c r="AH223" s="166">
        <f>IF(OR($I223="",$E223=0),0,IF(OR($J223&lt;AH$3,$I223&gt;AH$2),0,IF($K223=0,IF(AND($I223&gt;=AH$3,$I223&lt;=AH$2),$E223,0),$E223*NETWORKDAYS(MAX($I223,AH$3),MIN($J223,AH$2),Data!$K$4:$K$203)/$K223)))</f>
        <v>0</v>
      </c>
      <c r="AI223" s="166">
        <f>SUM(W223:AH223)</f>
        <v>0</v>
      </c>
      <c r="BZ223" t="str">
        <f>IF(D223=1,IF(TRIM(INDEX(Charge!$K:$K,ROW()))&lt;&gt;"",TRIM(INDEX(Charge!$K:$K,ROW())),IF(TRIM(INDEX(Charge!$L:$L,ROW()))&lt;&gt;"",TRIM(INDEX(Charge!$L:$L,ROW())),"(non affecté)")),"")</f>
        <v/>
      </c>
      <c r="CA223" t="str">
        <f>IF(AND($CD$4&lt;&gt;"",BZ223=$CD$4),COUNTIFS($BZ$4:$BZ$503,$CD$4,$L$4:$L$503,"&lt;"&amp;L223)+1,"")</f>
        <v/>
      </c>
      <c r="EM223" t="str">
        <f>IF(D223=1,IF(TRIM(INDEX(Charge!$K:$K,ROW()))&lt;&gt;"","Interne",IF(TRIM(INDEX(Charge!$L:$L,ROW()))&lt;&gt;"","Externe","Non affecté")),"")</f>
        <v/>
      </c>
      <c r="EN223" t="str">
        <f>IF(D223=1,LEFT(SUBSTITUTE(SUBSTITUTE(SUBSTITUTE(TRIM(SUBSTITUTE(INDEX(Charge!$B:$B,ROW()),CHAR(160)," "))&amp;" | "&amp;TRIM(SUBSTITUTE(INDEX(Charge!$C:$C,ROW()),CHAR(160)," "))&amp;" | "&amp;TRIM(SUBSTITUTE(INDEX(Charge!$D:$D,ROW()),CHAR(160)," ")),"~","-"),"*","+"),"?","!"),240),"")</f>
        <v/>
      </c>
      <c r="EO223">
        <f>IF(EN223="",0,IF(COUNTIF($EN$4:EN223,EN223)=1,1,0))</f>
        <v>0</v>
      </c>
      <c r="EP223" s="166" t="str">
        <f>IF(EO223=1,ROUND(SUMIF($EN$4:$EN$503,EN223,$E$4:$E$503),2),"")</f>
        <v/>
      </c>
      <c r="EQ223" t="str">
        <f>IF(EO223=1,COUNTIFS($EO$4:$EO$503,1,$EP$4:$EP$503,"&gt;"&amp;EP223)+COUNTIFS($EO$4:EO223,1,$EP$4:EP223,EP223),"")</f>
        <v/>
      </c>
      <c r="ER223" t="str">
        <f>IF(EO223=1,COUNTIFS($EN$4:$EN$503,EN223,$EM$4:$EM$503,"Interne",$FE$4:$FE$503,1),"")</f>
        <v/>
      </c>
      <c r="ES223" t="str">
        <f>IF(EO223=1,COUNTIFS($EN$4:$EN$503,EN223,$EM$4:$EM$503,"Externe",$FE$4:$FE$503,1),"")</f>
        <v/>
      </c>
      <c r="ET223" t="str">
        <f>IF(EO223=1,IF(ER223+ES223=0,"à affecter",IF(ER223=0,ES223&amp;" ext.",(ER223+ES223)&amp;IF(ES223&gt;0," dont "&amp;ES223&amp;" ext.",""))&amp;IF(COUNTIFS($EN$4:$EN$503,EN223,$EM$4:$EM$503,"Non affecté")&gt;0," + à affecter","")),"")</f>
        <v/>
      </c>
      <c r="EU223" s="170" t="str">
        <f>IF(EO223=1,IF(EP223&gt;0,SUMPRODUCT(($EN$4:$EN$503=EN223)*$E$4:$E$503*$C$4:$C$503)/EP223,AVERAGEIF($EN$4:$EN$503,EN223,$C$4:$C$503)),"")</f>
        <v/>
      </c>
      <c r="EV223" s="165">
        <f>IF(ISNUMBER(I223),I223,2958465)</f>
        <v>2958465.0</v>
      </c>
      <c r="EW223" s="165" t="str">
        <f>IF(EO223=1,SUMPRODUCT(MIN(($EN$4:$EN$503=EN223)*$EV$4:$EV$503+($EN$4:$EN$503&lt;&gt;EN223)*2958465)),"")</f>
        <v/>
      </c>
      <c r="EX223" s="165">
        <f>IF(AND(D223=1,ISNUMBER(INDEX(Charge!$F:$F,ROW()))),INDEX(Charge!$F:$F,ROW()),0)</f>
        <v>0.0</v>
      </c>
      <c r="EY223" s="165" t="str">
        <f>IF(EO223=1,SUMPRODUCT(MAX(($EN$4:$EN$503=EN223)*$EX$4:$EX$503)),"")</f>
        <v/>
      </c>
      <c r="FA223" t="str">
        <f>IF(220&lt;=$CD$23,INDEX($EJ$4:$EJ$203,220),IF(220-$CD$23&lt;=$CD$26,INDEX($EK$4:$EK$203,220-$CD$23),""))</f>
        <v/>
      </c>
      <c r="FB223" t="str">
        <f>IF(FA223="","",IF(220&lt;=$CD$23,"Interne","Externe"))</f>
        <v/>
      </c>
      <c r="FD223">
        <f>IF(AND(B223=1,TRIM(INDEX(Charge!$K:$K,ROW()))&lt;&gt;"",TRIM(INDEX(Charge!$L:$L,ROW()))&lt;&gt;""),1,0)</f>
        <v>0</v>
      </c>
      <c r="FE223">
        <f>IF(OR(EN223="",BZ223="(non affecté)"),0,IF(COUNTIFS($EN$4:EN223,EN223,$BZ$4:BZ223,BZ223)=1,1,0))</f>
        <v>0</v>
      </c>
    </row>
    <row r="224">
      <c r="A224">
        <f>ROW()</f>
        <v>224</v>
      </c>
      <c r="B224">
        <f>IF(TRIM(INDEX(Charge!$B:$B,ROW()))&lt;&gt;"",1,0)</f>
        <v>0</v>
      </c>
      <c r="C224">
        <f>IF(B224=1,MIN(1,MAX(0,N(INDEX(Charge!$O:$O,ROW())))),0)</f>
        <v>0</v>
      </c>
      <c r="D224">
        <f>IF(B224=1,IF(OR(p_Perimetre="Tous les projets",C224&lt;1),1,0),0)</f>
        <v>0</v>
      </c>
      <c r="E224">
        <f>IF(D224=1,MAX(0,N(INDEX(Charge!$M:$M,ROW()))),0)</f>
        <v>0</v>
      </c>
      <c r="F224" t="str">
        <f>IF(D224=1,IF(TRIM(INDEX(Charge!$A:$A,ROW()))="","(non renseigné)",TRIM(INDEX(Charge!$A:$A,ROW()))),"")</f>
        <v/>
      </c>
      <c r="G224" t="str">
        <f>IF(D224=1,TRIM(INDEX(Charge!$B:$B,ROW())),"")</f>
        <v/>
      </c>
      <c r="H224" t="str">
        <f>IF(D224=1,IF(TRIM(INDEX(Charge!$E:$E,ROW()))="","(non renseigné)",TRIM(INDEX(Charge!$E:$E,ROW()))),"")</f>
        <v/>
      </c>
      <c r="I224" s="165" t="str">
        <f>IF(AND(D224=1,ISNUMBER(INDEX(Charge!$N:$N,ROW()))),INDEX(Charge!$N:$N,ROW()),"")</f>
        <v/>
      </c>
      <c r="J224" s="165" t="str">
        <f>IF(I224="","",IF(AND(p_Repartition="Lissée jusqu'à la date de besoin",ISNUMBER(INDEX(Charge!$F:$F,ROW()))),IF(INDEX(Charge!$F:$F,ROW())&gt;=I224,INDEX(Charge!$F:$F,ROW()),I224),I224))</f>
        <v/>
      </c>
      <c r="K224" t="str">
        <f>IF(I224="","",NETWORKDAYS(I224,J224,Data!$K$4:$K$203))</f>
        <v/>
      </c>
      <c r="L224" t="str">
        <f>IF(D224=1,COUNTIFS($D$4:$D$503,1,$E$4:$E$503,"&gt;"&amp;E224)+COUNTIFS($D$4:$D224,1,$E$4:$E224,E224),"")</f>
        <v/>
      </c>
      <c r="M224">
        <f>IF(F224="",0,IF(COUNTIF($F$4:F224,F224)=1,1,0))</f>
        <v>0</v>
      </c>
      <c r="N224" t="str">
        <f>IF(M224=1,ROUND(SUMIF($F$4:$F$503,F224,$E$4:$E$503),2),"")</f>
        <v/>
      </c>
      <c r="O224" t="str">
        <f>IF(M224=1,COUNTIFS($M$4:$M$503,1,$N$4:$N$503,"&gt;"&amp;N224)+COUNTIFS($M$4:M224,1,$N$4:N224,N224),"")</f>
        <v/>
      </c>
      <c r="P224">
        <f>IF(G224="",0,IF(COUNTIF($G$4:G224,G224)=1,1,0))</f>
        <v>0</v>
      </c>
      <c r="Q224" t="str">
        <f>IF(P224=1,ROUND(SUMIF($G$4:$G$503,G224,$E$4:$E$503),2),"")</f>
        <v/>
      </c>
      <c r="R224" t="str">
        <f>IF(P224=1,COUNTIFS($P$4:$P$503,1,$Q$4:$Q$503,"&gt;"&amp;Q224)+COUNTIFS($P$4:P224,1,$Q$4:Q224,Q224),"")</f>
        <v/>
      </c>
      <c r="S224">
        <f>IF(H224="",0,IF(COUNTIF($H$4:H224,H224)=1,1,0))</f>
        <v>0</v>
      </c>
      <c r="T224" t="str">
        <f>IF(S224=1,ROUND(SUMIF($H$4:$H$503,H224,$E$4:$E$503),2),"")</f>
        <v/>
      </c>
      <c r="U224" t="str">
        <f>IF(S224=1,COUNTIFS($S$4:$S$503,1,$T$4:$T$503,"&gt;"&amp;T224)+COUNTIFS($S$4:S224,1,$T$4:T224,T224),"")</f>
        <v/>
      </c>
      <c r="V224" t="str">
        <f>IF(D224=1,MIN(INDEX($R$4:$R$503,MATCH(G224,$G$4:$G$503,0)),IF($AL$7&gt;9,9,999)),"")</f>
        <v/>
      </c>
      <c r="W224" s="166">
        <f>IF(OR($I224="",$E224=0),0,IF(OR($J224&lt;W$3,$I224&gt;W$2),0,IF($K224=0,IF(AND($I224&gt;=W$3,$I224&lt;=W$2),$E224,0),$E224*NETWORKDAYS(MAX($I224,W$3),MIN($J224,W$2),Data!$K$4:$K$203)/$K224)))</f>
        <v>0</v>
      </c>
      <c r="X224" s="166">
        <f>IF(OR($I224="",$E224=0),0,IF(OR($J224&lt;X$3,$I224&gt;X$2),0,IF($K224=0,IF(AND($I224&gt;=X$3,$I224&lt;=X$2),$E224,0),$E224*NETWORKDAYS(MAX($I224,X$3),MIN($J224,X$2),Data!$K$4:$K$203)/$K224)))</f>
        <v>0</v>
      </c>
      <c r="Y224" s="166">
        <f>IF(OR($I224="",$E224=0),0,IF(OR($J224&lt;Y$3,$I224&gt;Y$2),0,IF($K224=0,IF(AND($I224&gt;=Y$3,$I224&lt;=Y$2),$E224,0),$E224*NETWORKDAYS(MAX($I224,Y$3),MIN($J224,Y$2),Data!$K$4:$K$203)/$K224)))</f>
        <v>0</v>
      </c>
      <c r="Z224" s="166">
        <f>IF(OR($I224="",$E224=0),0,IF(OR($J224&lt;Z$3,$I224&gt;Z$2),0,IF($K224=0,IF(AND($I224&gt;=Z$3,$I224&lt;=Z$2),$E224,0),$E224*NETWORKDAYS(MAX($I224,Z$3),MIN($J224,Z$2),Data!$K$4:$K$203)/$K224)))</f>
        <v>0</v>
      </c>
      <c r="AA224" s="166">
        <f>IF(OR($I224="",$E224=0),0,IF(OR($J224&lt;AA$3,$I224&gt;AA$2),0,IF($K224=0,IF(AND($I224&gt;=AA$3,$I224&lt;=AA$2),$E224,0),$E224*NETWORKDAYS(MAX($I224,AA$3),MIN($J224,AA$2),Data!$K$4:$K$203)/$K224)))</f>
        <v>0</v>
      </c>
      <c r="AB224" s="166">
        <f>IF(OR($I224="",$E224=0),0,IF(OR($J224&lt;AB$3,$I224&gt;AB$2),0,IF($K224=0,IF(AND($I224&gt;=AB$3,$I224&lt;=AB$2),$E224,0),$E224*NETWORKDAYS(MAX($I224,AB$3),MIN($J224,AB$2),Data!$K$4:$K$203)/$K224)))</f>
        <v>0</v>
      </c>
      <c r="AC224" s="166">
        <f>IF(OR($I224="",$E224=0),0,IF(OR($J224&lt;AC$3,$I224&gt;AC$2),0,IF($K224=0,IF(AND($I224&gt;=AC$3,$I224&lt;=AC$2),$E224,0),$E224*NETWORKDAYS(MAX($I224,AC$3),MIN($J224,AC$2),Data!$K$4:$K$203)/$K224)))</f>
        <v>0</v>
      </c>
      <c r="AD224" s="166">
        <f>IF(OR($I224="",$E224=0),0,IF(OR($J224&lt;AD$3,$I224&gt;AD$2),0,IF($K224=0,IF(AND($I224&gt;=AD$3,$I224&lt;=AD$2),$E224,0),$E224*NETWORKDAYS(MAX($I224,AD$3),MIN($J224,AD$2),Data!$K$4:$K$203)/$K224)))</f>
        <v>0</v>
      </c>
      <c r="AE224" s="166">
        <f>IF(OR($I224="",$E224=0),0,IF(OR($J224&lt;AE$3,$I224&gt;AE$2),0,IF($K224=0,IF(AND($I224&gt;=AE$3,$I224&lt;=AE$2),$E224,0),$E224*NETWORKDAYS(MAX($I224,AE$3),MIN($J224,AE$2),Data!$K$4:$K$203)/$K224)))</f>
        <v>0</v>
      </c>
      <c r="AF224" s="166">
        <f>IF(OR($I224="",$E224=0),0,IF(OR($J224&lt;AF$3,$I224&gt;AF$2),0,IF($K224=0,IF(AND($I224&gt;=AF$3,$I224&lt;=AF$2),$E224,0),$E224*NETWORKDAYS(MAX($I224,AF$3),MIN($J224,AF$2),Data!$K$4:$K$203)/$K224)))</f>
        <v>0</v>
      </c>
      <c r="AG224" s="166">
        <f>IF(OR($I224="",$E224=0),0,IF(OR($J224&lt;AG$3,$I224&gt;AG$2),0,IF($K224=0,IF(AND($I224&gt;=AG$3,$I224&lt;=AG$2),$E224,0),$E224*NETWORKDAYS(MAX($I224,AG$3),MIN($J224,AG$2),Data!$K$4:$K$203)/$K224)))</f>
        <v>0</v>
      </c>
      <c r="AH224" s="166">
        <f>IF(OR($I224="",$E224=0),0,IF(OR($J224&lt;AH$3,$I224&gt;AH$2),0,IF($K224=0,IF(AND($I224&gt;=AH$3,$I224&lt;=AH$2),$E224,0),$E224*NETWORKDAYS(MAX($I224,AH$3),MIN($J224,AH$2),Data!$K$4:$K$203)/$K224)))</f>
        <v>0</v>
      </c>
      <c r="AI224" s="166">
        <f>SUM(W224:AH224)</f>
        <v>0</v>
      </c>
      <c r="BZ224" t="str">
        <f>IF(D224=1,IF(TRIM(INDEX(Charge!$K:$K,ROW()))&lt;&gt;"",TRIM(INDEX(Charge!$K:$K,ROW())),IF(TRIM(INDEX(Charge!$L:$L,ROW()))&lt;&gt;"",TRIM(INDEX(Charge!$L:$L,ROW())),"(non affecté)")),"")</f>
        <v/>
      </c>
      <c r="CA224" t="str">
        <f>IF(AND($CD$4&lt;&gt;"",BZ224=$CD$4),COUNTIFS($BZ$4:$BZ$503,$CD$4,$L$4:$L$503,"&lt;"&amp;L224)+1,"")</f>
        <v/>
      </c>
      <c r="EM224" t="str">
        <f>IF(D224=1,IF(TRIM(INDEX(Charge!$K:$K,ROW()))&lt;&gt;"","Interne",IF(TRIM(INDEX(Charge!$L:$L,ROW()))&lt;&gt;"","Externe","Non affecté")),"")</f>
        <v/>
      </c>
      <c r="EN224" t="str">
        <f>IF(D224=1,LEFT(SUBSTITUTE(SUBSTITUTE(SUBSTITUTE(TRIM(SUBSTITUTE(INDEX(Charge!$B:$B,ROW()),CHAR(160)," "))&amp;" | "&amp;TRIM(SUBSTITUTE(INDEX(Charge!$C:$C,ROW()),CHAR(160)," "))&amp;" | "&amp;TRIM(SUBSTITUTE(INDEX(Charge!$D:$D,ROW()),CHAR(160)," ")),"~","-"),"*","+"),"?","!"),240),"")</f>
        <v/>
      </c>
      <c r="EO224">
        <f>IF(EN224="",0,IF(COUNTIF($EN$4:EN224,EN224)=1,1,0))</f>
        <v>0</v>
      </c>
      <c r="EP224" s="166" t="str">
        <f>IF(EO224=1,ROUND(SUMIF($EN$4:$EN$503,EN224,$E$4:$E$503),2),"")</f>
        <v/>
      </c>
      <c r="EQ224" t="str">
        <f>IF(EO224=1,COUNTIFS($EO$4:$EO$503,1,$EP$4:$EP$503,"&gt;"&amp;EP224)+COUNTIFS($EO$4:EO224,1,$EP$4:EP224,EP224),"")</f>
        <v/>
      </c>
      <c r="ER224" t="str">
        <f>IF(EO224=1,COUNTIFS($EN$4:$EN$503,EN224,$EM$4:$EM$503,"Interne",$FE$4:$FE$503,1),"")</f>
        <v/>
      </c>
      <c r="ES224" t="str">
        <f>IF(EO224=1,COUNTIFS($EN$4:$EN$503,EN224,$EM$4:$EM$503,"Externe",$FE$4:$FE$503,1),"")</f>
        <v/>
      </c>
      <c r="ET224" t="str">
        <f>IF(EO224=1,IF(ER224+ES224=0,"à affecter",IF(ER224=0,ES224&amp;" ext.",(ER224+ES224)&amp;IF(ES224&gt;0," dont "&amp;ES224&amp;" ext.",""))&amp;IF(COUNTIFS($EN$4:$EN$503,EN224,$EM$4:$EM$503,"Non affecté")&gt;0," + à affecter","")),"")</f>
        <v/>
      </c>
      <c r="EU224" s="170" t="str">
        <f>IF(EO224=1,IF(EP224&gt;0,SUMPRODUCT(($EN$4:$EN$503=EN224)*$E$4:$E$503*$C$4:$C$503)/EP224,AVERAGEIF($EN$4:$EN$503,EN224,$C$4:$C$503)),"")</f>
        <v/>
      </c>
      <c r="EV224" s="165">
        <f>IF(ISNUMBER(I224),I224,2958465)</f>
        <v>2958465.0</v>
      </c>
      <c r="EW224" s="165" t="str">
        <f>IF(EO224=1,SUMPRODUCT(MIN(($EN$4:$EN$503=EN224)*$EV$4:$EV$503+($EN$4:$EN$503&lt;&gt;EN224)*2958465)),"")</f>
        <v/>
      </c>
      <c r="EX224" s="165">
        <f>IF(AND(D224=1,ISNUMBER(INDEX(Charge!$F:$F,ROW()))),INDEX(Charge!$F:$F,ROW()),0)</f>
        <v>0.0</v>
      </c>
      <c r="EY224" s="165" t="str">
        <f>IF(EO224=1,SUMPRODUCT(MAX(($EN$4:$EN$503=EN224)*$EX$4:$EX$503)),"")</f>
        <v/>
      </c>
      <c r="FA224" t="str">
        <f>IF(221&lt;=$CD$23,INDEX($EJ$4:$EJ$203,221),IF(221-$CD$23&lt;=$CD$26,INDEX($EK$4:$EK$203,221-$CD$23),""))</f>
        <v/>
      </c>
      <c r="FB224" t="str">
        <f>IF(FA224="","",IF(221&lt;=$CD$23,"Interne","Externe"))</f>
        <v/>
      </c>
      <c r="FD224">
        <f>IF(AND(B224=1,TRIM(INDEX(Charge!$K:$K,ROW()))&lt;&gt;"",TRIM(INDEX(Charge!$L:$L,ROW()))&lt;&gt;""),1,0)</f>
        <v>0</v>
      </c>
      <c r="FE224">
        <f>IF(OR(EN224="",BZ224="(non affecté)"),0,IF(COUNTIFS($EN$4:EN224,EN224,$BZ$4:BZ224,BZ224)=1,1,0))</f>
        <v>0</v>
      </c>
    </row>
    <row r="225">
      <c r="A225">
        <f>ROW()</f>
        <v>225</v>
      </c>
      <c r="B225">
        <f>IF(TRIM(INDEX(Charge!$B:$B,ROW()))&lt;&gt;"",1,0)</f>
        <v>0</v>
      </c>
      <c r="C225">
        <f>IF(B225=1,MIN(1,MAX(0,N(INDEX(Charge!$O:$O,ROW())))),0)</f>
        <v>0</v>
      </c>
      <c r="D225">
        <f>IF(B225=1,IF(OR(p_Perimetre="Tous les projets",C225&lt;1),1,0),0)</f>
        <v>0</v>
      </c>
      <c r="E225">
        <f>IF(D225=1,MAX(0,N(INDEX(Charge!$M:$M,ROW()))),0)</f>
        <v>0</v>
      </c>
      <c r="F225" t="str">
        <f>IF(D225=1,IF(TRIM(INDEX(Charge!$A:$A,ROW()))="","(non renseigné)",TRIM(INDEX(Charge!$A:$A,ROW()))),"")</f>
        <v/>
      </c>
      <c r="G225" t="str">
        <f>IF(D225=1,TRIM(INDEX(Charge!$B:$B,ROW())),"")</f>
        <v/>
      </c>
      <c r="H225" t="str">
        <f>IF(D225=1,IF(TRIM(INDEX(Charge!$E:$E,ROW()))="","(non renseigné)",TRIM(INDEX(Charge!$E:$E,ROW()))),"")</f>
        <v/>
      </c>
      <c r="I225" s="165" t="str">
        <f>IF(AND(D225=1,ISNUMBER(INDEX(Charge!$N:$N,ROW()))),INDEX(Charge!$N:$N,ROW()),"")</f>
        <v/>
      </c>
      <c r="J225" s="165" t="str">
        <f>IF(I225="","",IF(AND(p_Repartition="Lissée jusqu'à la date de besoin",ISNUMBER(INDEX(Charge!$F:$F,ROW()))),IF(INDEX(Charge!$F:$F,ROW())&gt;=I225,INDEX(Charge!$F:$F,ROW()),I225),I225))</f>
        <v/>
      </c>
      <c r="K225" t="str">
        <f>IF(I225="","",NETWORKDAYS(I225,J225,Data!$K$4:$K$203))</f>
        <v/>
      </c>
      <c r="L225" t="str">
        <f>IF(D225=1,COUNTIFS($D$4:$D$503,1,$E$4:$E$503,"&gt;"&amp;E225)+COUNTIFS($D$4:$D225,1,$E$4:$E225,E225),"")</f>
        <v/>
      </c>
      <c r="M225">
        <f>IF(F225="",0,IF(COUNTIF($F$4:F225,F225)=1,1,0))</f>
        <v>0</v>
      </c>
      <c r="N225" t="str">
        <f>IF(M225=1,ROUND(SUMIF($F$4:$F$503,F225,$E$4:$E$503),2),"")</f>
        <v/>
      </c>
      <c r="O225" t="str">
        <f>IF(M225=1,COUNTIFS($M$4:$M$503,1,$N$4:$N$503,"&gt;"&amp;N225)+COUNTIFS($M$4:M225,1,$N$4:N225,N225),"")</f>
        <v/>
      </c>
      <c r="P225">
        <f>IF(G225="",0,IF(COUNTIF($G$4:G225,G225)=1,1,0))</f>
        <v>0</v>
      </c>
      <c r="Q225" t="str">
        <f>IF(P225=1,ROUND(SUMIF($G$4:$G$503,G225,$E$4:$E$503),2),"")</f>
        <v/>
      </c>
      <c r="R225" t="str">
        <f>IF(P225=1,COUNTIFS($P$4:$P$503,1,$Q$4:$Q$503,"&gt;"&amp;Q225)+COUNTIFS($P$4:P225,1,$Q$4:Q225,Q225),"")</f>
        <v/>
      </c>
      <c r="S225">
        <f>IF(H225="",0,IF(COUNTIF($H$4:H225,H225)=1,1,0))</f>
        <v>0</v>
      </c>
      <c r="T225" t="str">
        <f>IF(S225=1,ROUND(SUMIF($H$4:$H$503,H225,$E$4:$E$503),2),"")</f>
        <v/>
      </c>
      <c r="U225" t="str">
        <f>IF(S225=1,COUNTIFS($S$4:$S$503,1,$T$4:$T$503,"&gt;"&amp;T225)+COUNTIFS($S$4:S225,1,$T$4:T225,T225),"")</f>
        <v/>
      </c>
      <c r="V225" t="str">
        <f>IF(D225=1,MIN(INDEX($R$4:$R$503,MATCH(G225,$G$4:$G$503,0)),IF($AL$7&gt;9,9,999)),"")</f>
        <v/>
      </c>
      <c r="W225" s="166">
        <f>IF(OR($I225="",$E225=0),0,IF(OR($J225&lt;W$3,$I225&gt;W$2),0,IF($K225=0,IF(AND($I225&gt;=W$3,$I225&lt;=W$2),$E225,0),$E225*NETWORKDAYS(MAX($I225,W$3),MIN($J225,W$2),Data!$K$4:$K$203)/$K225)))</f>
        <v>0</v>
      </c>
      <c r="X225" s="166">
        <f>IF(OR($I225="",$E225=0),0,IF(OR($J225&lt;X$3,$I225&gt;X$2),0,IF($K225=0,IF(AND($I225&gt;=X$3,$I225&lt;=X$2),$E225,0),$E225*NETWORKDAYS(MAX($I225,X$3),MIN($J225,X$2),Data!$K$4:$K$203)/$K225)))</f>
        <v>0</v>
      </c>
      <c r="Y225" s="166">
        <f>IF(OR($I225="",$E225=0),0,IF(OR($J225&lt;Y$3,$I225&gt;Y$2),0,IF($K225=0,IF(AND($I225&gt;=Y$3,$I225&lt;=Y$2),$E225,0),$E225*NETWORKDAYS(MAX($I225,Y$3),MIN($J225,Y$2),Data!$K$4:$K$203)/$K225)))</f>
        <v>0</v>
      </c>
      <c r="Z225" s="166">
        <f>IF(OR($I225="",$E225=0),0,IF(OR($J225&lt;Z$3,$I225&gt;Z$2),0,IF($K225=0,IF(AND($I225&gt;=Z$3,$I225&lt;=Z$2),$E225,0),$E225*NETWORKDAYS(MAX($I225,Z$3),MIN($J225,Z$2),Data!$K$4:$K$203)/$K225)))</f>
        <v>0</v>
      </c>
      <c r="AA225" s="166">
        <f>IF(OR($I225="",$E225=0),0,IF(OR($J225&lt;AA$3,$I225&gt;AA$2),0,IF($K225=0,IF(AND($I225&gt;=AA$3,$I225&lt;=AA$2),$E225,0),$E225*NETWORKDAYS(MAX($I225,AA$3),MIN($J225,AA$2),Data!$K$4:$K$203)/$K225)))</f>
        <v>0</v>
      </c>
      <c r="AB225" s="166">
        <f>IF(OR($I225="",$E225=0),0,IF(OR($J225&lt;AB$3,$I225&gt;AB$2),0,IF($K225=0,IF(AND($I225&gt;=AB$3,$I225&lt;=AB$2),$E225,0),$E225*NETWORKDAYS(MAX($I225,AB$3),MIN($J225,AB$2),Data!$K$4:$K$203)/$K225)))</f>
        <v>0</v>
      </c>
      <c r="AC225" s="166">
        <f>IF(OR($I225="",$E225=0),0,IF(OR($J225&lt;AC$3,$I225&gt;AC$2),0,IF($K225=0,IF(AND($I225&gt;=AC$3,$I225&lt;=AC$2),$E225,0),$E225*NETWORKDAYS(MAX($I225,AC$3),MIN($J225,AC$2),Data!$K$4:$K$203)/$K225)))</f>
        <v>0</v>
      </c>
      <c r="AD225" s="166">
        <f>IF(OR($I225="",$E225=0),0,IF(OR($J225&lt;AD$3,$I225&gt;AD$2),0,IF($K225=0,IF(AND($I225&gt;=AD$3,$I225&lt;=AD$2),$E225,0),$E225*NETWORKDAYS(MAX($I225,AD$3),MIN($J225,AD$2),Data!$K$4:$K$203)/$K225)))</f>
        <v>0</v>
      </c>
      <c r="AE225" s="166">
        <f>IF(OR($I225="",$E225=0),0,IF(OR($J225&lt;AE$3,$I225&gt;AE$2),0,IF($K225=0,IF(AND($I225&gt;=AE$3,$I225&lt;=AE$2),$E225,0),$E225*NETWORKDAYS(MAX($I225,AE$3),MIN($J225,AE$2),Data!$K$4:$K$203)/$K225)))</f>
        <v>0</v>
      </c>
      <c r="AF225" s="166">
        <f>IF(OR($I225="",$E225=0),0,IF(OR($J225&lt;AF$3,$I225&gt;AF$2),0,IF($K225=0,IF(AND($I225&gt;=AF$3,$I225&lt;=AF$2),$E225,0),$E225*NETWORKDAYS(MAX($I225,AF$3),MIN($J225,AF$2),Data!$K$4:$K$203)/$K225)))</f>
        <v>0</v>
      </c>
      <c r="AG225" s="166">
        <f>IF(OR($I225="",$E225=0),0,IF(OR($J225&lt;AG$3,$I225&gt;AG$2),0,IF($K225=0,IF(AND($I225&gt;=AG$3,$I225&lt;=AG$2),$E225,0),$E225*NETWORKDAYS(MAX($I225,AG$3),MIN($J225,AG$2),Data!$K$4:$K$203)/$K225)))</f>
        <v>0</v>
      </c>
      <c r="AH225" s="166">
        <f>IF(OR($I225="",$E225=0),0,IF(OR($J225&lt;AH$3,$I225&gt;AH$2),0,IF($K225=0,IF(AND($I225&gt;=AH$3,$I225&lt;=AH$2),$E225,0),$E225*NETWORKDAYS(MAX($I225,AH$3),MIN($J225,AH$2),Data!$K$4:$K$203)/$K225)))</f>
        <v>0</v>
      </c>
      <c r="AI225" s="166">
        <f>SUM(W225:AH225)</f>
        <v>0</v>
      </c>
      <c r="BZ225" t="str">
        <f>IF(D225=1,IF(TRIM(INDEX(Charge!$K:$K,ROW()))&lt;&gt;"",TRIM(INDEX(Charge!$K:$K,ROW())),IF(TRIM(INDEX(Charge!$L:$L,ROW()))&lt;&gt;"",TRIM(INDEX(Charge!$L:$L,ROW())),"(non affecté)")),"")</f>
        <v/>
      </c>
      <c r="CA225" t="str">
        <f>IF(AND($CD$4&lt;&gt;"",BZ225=$CD$4),COUNTIFS($BZ$4:$BZ$503,$CD$4,$L$4:$L$503,"&lt;"&amp;L225)+1,"")</f>
        <v/>
      </c>
      <c r="EM225" t="str">
        <f>IF(D225=1,IF(TRIM(INDEX(Charge!$K:$K,ROW()))&lt;&gt;"","Interne",IF(TRIM(INDEX(Charge!$L:$L,ROW()))&lt;&gt;"","Externe","Non affecté")),"")</f>
        <v/>
      </c>
      <c r="EN225" t="str">
        <f>IF(D225=1,LEFT(SUBSTITUTE(SUBSTITUTE(SUBSTITUTE(TRIM(SUBSTITUTE(INDEX(Charge!$B:$B,ROW()),CHAR(160)," "))&amp;" | "&amp;TRIM(SUBSTITUTE(INDEX(Charge!$C:$C,ROW()),CHAR(160)," "))&amp;" | "&amp;TRIM(SUBSTITUTE(INDEX(Charge!$D:$D,ROW()),CHAR(160)," ")),"~","-"),"*","+"),"?","!"),240),"")</f>
        <v/>
      </c>
      <c r="EO225">
        <f>IF(EN225="",0,IF(COUNTIF($EN$4:EN225,EN225)=1,1,0))</f>
        <v>0</v>
      </c>
      <c r="EP225" s="166" t="str">
        <f>IF(EO225=1,ROUND(SUMIF($EN$4:$EN$503,EN225,$E$4:$E$503),2),"")</f>
        <v/>
      </c>
      <c r="EQ225" t="str">
        <f>IF(EO225=1,COUNTIFS($EO$4:$EO$503,1,$EP$4:$EP$503,"&gt;"&amp;EP225)+COUNTIFS($EO$4:EO225,1,$EP$4:EP225,EP225),"")</f>
        <v/>
      </c>
      <c r="ER225" t="str">
        <f>IF(EO225=1,COUNTIFS($EN$4:$EN$503,EN225,$EM$4:$EM$503,"Interne",$FE$4:$FE$503,1),"")</f>
        <v/>
      </c>
      <c r="ES225" t="str">
        <f>IF(EO225=1,COUNTIFS($EN$4:$EN$503,EN225,$EM$4:$EM$503,"Externe",$FE$4:$FE$503,1),"")</f>
        <v/>
      </c>
      <c r="ET225" t="str">
        <f>IF(EO225=1,IF(ER225+ES225=0,"à affecter",IF(ER225=0,ES225&amp;" ext.",(ER225+ES225)&amp;IF(ES225&gt;0," dont "&amp;ES225&amp;" ext.",""))&amp;IF(COUNTIFS($EN$4:$EN$503,EN225,$EM$4:$EM$503,"Non affecté")&gt;0," + à affecter","")),"")</f>
        <v/>
      </c>
      <c r="EU225" s="170" t="str">
        <f>IF(EO225=1,IF(EP225&gt;0,SUMPRODUCT(($EN$4:$EN$503=EN225)*$E$4:$E$503*$C$4:$C$503)/EP225,AVERAGEIF($EN$4:$EN$503,EN225,$C$4:$C$503)),"")</f>
        <v/>
      </c>
      <c r="EV225" s="165">
        <f>IF(ISNUMBER(I225),I225,2958465)</f>
        <v>2958465.0</v>
      </c>
      <c r="EW225" s="165" t="str">
        <f>IF(EO225=1,SUMPRODUCT(MIN(($EN$4:$EN$503=EN225)*$EV$4:$EV$503+($EN$4:$EN$503&lt;&gt;EN225)*2958465)),"")</f>
        <v/>
      </c>
      <c r="EX225" s="165">
        <f>IF(AND(D225=1,ISNUMBER(INDEX(Charge!$F:$F,ROW()))),INDEX(Charge!$F:$F,ROW()),0)</f>
        <v>0.0</v>
      </c>
      <c r="EY225" s="165" t="str">
        <f>IF(EO225=1,SUMPRODUCT(MAX(($EN$4:$EN$503=EN225)*$EX$4:$EX$503)),"")</f>
        <v/>
      </c>
      <c r="FA225" t="str">
        <f>IF(222&lt;=$CD$23,INDEX($EJ$4:$EJ$203,222),IF(222-$CD$23&lt;=$CD$26,INDEX($EK$4:$EK$203,222-$CD$23),""))</f>
        <v/>
      </c>
      <c r="FB225" t="str">
        <f>IF(FA225="","",IF(222&lt;=$CD$23,"Interne","Externe"))</f>
        <v/>
      </c>
      <c r="FD225">
        <f>IF(AND(B225=1,TRIM(INDEX(Charge!$K:$K,ROW()))&lt;&gt;"",TRIM(INDEX(Charge!$L:$L,ROW()))&lt;&gt;""),1,0)</f>
        <v>0</v>
      </c>
      <c r="FE225">
        <f>IF(OR(EN225="",BZ225="(non affecté)"),0,IF(COUNTIFS($EN$4:EN225,EN225,$BZ$4:BZ225,BZ225)=1,1,0))</f>
        <v>0</v>
      </c>
    </row>
    <row r="226">
      <c r="A226">
        <f>ROW()</f>
        <v>226</v>
      </c>
      <c r="B226">
        <f>IF(TRIM(INDEX(Charge!$B:$B,ROW()))&lt;&gt;"",1,0)</f>
        <v>0</v>
      </c>
      <c r="C226">
        <f>IF(B226=1,MIN(1,MAX(0,N(INDEX(Charge!$O:$O,ROW())))),0)</f>
        <v>0</v>
      </c>
      <c r="D226">
        <f>IF(B226=1,IF(OR(p_Perimetre="Tous les projets",C226&lt;1),1,0),0)</f>
        <v>0</v>
      </c>
      <c r="E226">
        <f>IF(D226=1,MAX(0,N(INDEX(Charge!$M:$M,ROW()))),0)</f>
        <v>0</v>
      </c>
      <c r="F226" t="str">
        <f>IF(D226=1,IF(TRIM(INDEX(Charge!$A:$A,ROW()))="","(non renseigné)",TRIM(INDEX(Charge!$A:$A,ROW()))),"")</f>
        <v/>
      </c>
      <c r="G226" t="str">
        <f>IF(D226=1,TRIM(INDEX(Charge!$B:$B,ROW())),"")</f>
        <v/>
      </c>
      <c r="H226" t="str">
        <f>IF(D226=1,IF(TRIM(INDEX(Charge!$E:$E,ROW()))="","(non renseigné)",TRIM(INDEX(Charge!$E:$E,ROW()))),"")</f>
        <v/>
      </c>
      <c r="I226" s="165" t="str">
        <f>IF(AND(D226=1,ISNUMBER(INDEX(Charge!$N:$N,ROW()))),INDEX(Charge!$N:$N,ROW()),"")</f>
        <v/>
      </c>
      <c r="J226" s="165" t="str">
        <f>IF(I226="","",IF(AND(p_Repartition="Lissée jusqu'à la date de besoin",ISNUMBER(INDEX(Charge!$F:$F,ROW()))),IF(INDEX(Charge!$F:$F,ROW())&gt;=I226,INDEX(Charge!$F:$F,ROW()),I226),I226))</f>
        <v/>
      </c>
      <c r="K226" t="str">
        <f>IF(I226="","",NETWORKDAYS(I226,J226,Data!$K$4:$K$203))</f>
        <v/>
      </c>
      <c r="L226" t="str">
        <f>IF(D226=1,COUNTIFS($D$4:$D$503,1,$E$4:$E$503,"&gt;"&amp;E226)+COUNTIFS($D$4:$D226,1,$E$4:$E226,E226),"")</f>
        <v/>
      </c>
      <c r="M226">
        <f>IF(F226="",0,IF(COUNTIF($F$4:F226,F226)=1,1,0))</f>
        <v>0</v>
      </c>
      <c r="N226" t="str">
        <f>IF(M226=1,ROUND(SUMIF($F$4:$F$503,F226,$E$4:$E$503),2),"")</f>
        <v/>
      </c>
      <c r="O226" t="str">
        <f>IF(M226=1,COUNTIFS($M$4:$M$503,1,$N$4:$N$503,"&gt;"&amp;N226)+COUNTIFS($M$4:M226,1,$N$4:N226,N226),"")</f>
        <v/>
      </c>
      <c r="P226">
        <f>IF(G226="",0,IF(COUNTIF($G$4:G226,G226)=1,1,0))</f>
        <v>0</v>
      </c>
      <c r="Q226" t="str">
        <f>IF(P226=1,ROUND(SUMIF($G$4:$G$503,G226,$E$4:$E$503),2),"")</f>
        <v/>
      </c>
      <c r="R226" t="str">
        <f>IF(P226=1,COUNTIFS($P$4:$P$503,1,$Q$4:$Q$503,"&gt;"&amp;Q226)+COUNTIFS($P$4:P226,1,$Q$4:Q226,Q226),"")</f>
        <v/>
      </c>
      <c r="S226">
        <f>IF(H226="",0,IF(COUNTIF($H$4:H226,H226)=1,1,0))</f>
        <v>0</v>
      </c>
      <c r="T226" t="str">
        <f>IF(S226=1,ROUND(SUMIF($H$4:$H$503,H226,$E$4:$E$503),2),"")</f>
        <v/>
      </c>
      <c r="U226" t="str">
        <f>IF(S226=1,COUNTIFS($S$4:$S$503,1,$T$4:$T$503,"&gt;"&amp;T226)+COUNTIFS($S$4:S226,1,$T$4:T226,T226),"")</f>
        <v/>
      </c>
      <c r="V226" t="str">
        <f>IF(D226=1,MIN(INDEX($R$4:$R$503,MATCH(G226,$G$4:$G$503,0)),IF($AL$7&gt;9,9,999)),"")</f>
        <v/>
      </c>
      <c r="W226" s="166">
        <f>IF(OR($I226="",$E226=0),0,IF(OR($J226&lt;W$3,$I226&gt;W$2),0,IF($K226=0,IF(AND($I226&gt;=W$3,$I226&lt;=W$2),$E226,0),$E226*NETWORKDAYS(MAX($I226,W$3),MIN($J226,W$2),Data!$K$4:$K$203)/$K226)))</f>
        <v>0</v>
      </c>
      <c r="X226" s="166">
        <f>IF(OR($I226="",$E226=0),0,IF(OR($J226&lt;X$3,$I226&gt;X$2),0,IF($K226=0,IF(AND($I226&gt;=X$3,$I226&lt;=X$2),$E226,0),$E226*NETWORKDAYS(MAX($I226,X$3),MIN($J226,X$2),Data!$K$4:$K$203)/$K226)))</f>
        <v>0</v>
      </c>
      <c r="Y226" s="166">
        <f>IF(OR($I226="",$E226=0),0,IF(OR($J226&lt;Y$3,$I226&gt;Y$2),0,IF($K226=0,IF(AND($I226&gt;=Y$3,$I226&lt;=Y$2),$E226,0),$E226*NETWORKDAYS(MAX($I226,Y$3),MIN($J226,Y$2),Data!$K$4:$K$203)/$K226)))</f>
        <v>0</v>
      </c>
      <c r="Z226" s="166">
        <f>IF(OR($I226="",$E226=0),0,IF(OR($J226&lt;Z$3,$I226&gt;Z$2),0,IF($K226=0,IF(AND($I226&gt;=Z$3,$I226&lt;=Z$2),$E226,0),$E226*NETWORKDAYS(MAX($I226,Z$3),MIN($J226,Z$2),Data!$K$4:$K$203)/$K226)))</f>
        <v>0</v>
      </c>
      <c r="AA226" s="166">
        <f>IF(OR($I226="",$E226=0),0,IF(OR($J226&lt;AA$3,$I226&gt;AA$2),0,IF($K226=0,IF(AND($I226&gt;=AA$3,$I226&lt;=AA$2),$E226,0),$E226*NETWORKDAYS(MAX($I226,AA$3),MIN($J226,AA$2),Data!$K$4:$K$203)/$K226)))</f>
        <v>0</v>
      </c>
      <c r="AB226" s="166">
        <f>IF(OR($I226="",$E226=0),0,IF(OR($J226&lt;AB$3,$I226&gt;AB$2),0,IF($K226=0,IF(AND($I226&gt;=AB$3,$I226&lt;=AB$2),$E226,0),$E226*NETWORKDAYS(MAX($I226,AB$3),MIN($J226,AB$2),Data!$K$4:$K$203)/$K226)))</f>
        <v>0</v>
      </c>
      <c r="AC226" s="166">
        <f>IF(OR($I226="",$E226=0),0,IF(OR($J226&lt;AC$3,$I226&gt;AC$2),0,IF($K226=0,IF(AND($I226&gt;=AC$3,$I226&lt;=AC$2),$E226,0),$E226*NETWORKDAYS(MAX($I226,AC$3),MIN($J226,AC$2),Data!$K$4:$K$203)/$K226)))</f>
        <v>0</v>
      </c>
      <c r="AD226" s="166">
        <f>IF(OR($I226="",$E226=0),0,IF(OR($J226&lt;AD$3,$I226&gt;AD$2),0,IF($K226=0,IF(AND($I226&gt;=AD$3,$I226&lt;=AD$2),$E226,0),$E226*NETWORKDAYS(MAX($I226,AD$3),MIN($J226,AD$2),Data!$K$4:$K$203)/$K226)))</f>
        <v>0</v>
      </c>
      <c r="AE226" s="166">
        <f>IF(OR($I226="",$E226=0),0,IF(OR($J226&lt;AE$3,$I226&gt;AE$2),0,IF($K226=0,IF(AND($I226&gt;=AE$3,$I226&lt;=AE$2),$E226,0),$E226*NETWORKDAYS(MAX($I226,AE$3),MIN($J226,AE$2),Data!$K$4:$K$203)/$K226)))</f>
        <v>0</v>
      </c>
      <c r="AF226" s="166">
        <f>IF(OR($I226="",$E226=0),0,IF(OR($J226&lt;AF$3,$I226&gt;AF$2),0,IF($K226=0,IF(AND($I226&gt;=AF$3,$I226&lt;=AF$2),$E226,0),$E226*NETWORKDAYS(MAX($I226,AF$3),MIN($J226,AF$2),Data!$K$4:$K$203)/$K226)))</f>
        <v>0</v>
      </c>
      <c r="AG226" s="166">
        <f>IF(OR($I226="",$E226=0),0,IF(OR($J226&lt;AG$3,$I226&gt;AG$2),0,IF($K226=0,IF(AND($I226&gt;=AG$3,$I226&lt;=AG$2),$E226,0),$E226*NETWORKDAYS(MAX($I226,AG$3),MIN($J226,AG$2),Data!$K$4:$K$203)/$K226)))</f>
        <v>0</v>
      </c>
      <c r="AH226" s="166">
        <f>IF(OR($I226="",$E226=0),0,IF(OR($J226&lt;AH$3,$I226&gt;AH$2),0,IF($K226=0,IF(AND($I226&gt;=AH$3,$I226&lt;=AH$2),$E226,0),$E226*NETWORKDAYS(MAX($I226,AH$3),MIN($J226,AH$2),Data!$K$4:$K$203)/$K226)))</f>
        <v>0</v>
      </c>
      <c r="AI226" s="166">
        <f>SUM(W226:AH226)</f>
        <v>0</v>
      </c>
      <c r="BZ226" t="str">
        <f>IF(D226=1,IF(TRIM(INDEX(Charge!$K:$K,ROW()))&lt;&gt;"",TRIM(INDEX(Charge!$K:$K,ROW())),IF(TRIM(INDEX(Charge!$L:$L,ROW()))&lt;&gt;"",TRIM(INDEX(Charge!$L:$L,ROW())),"(non affecté)")),"")</f>
        <v/>
      </c>
      <c r="CA226" t="str">
        <f>IF(AND($CD$4&lt;&gt;"",BZ226=$CD$4),COUNTIFS($BZ$4:$BZ$503,$CD$4,$L$4:$L$503,"&lt;"&amp;L226)+1,"")</f>
        <v/>
      </c>
      <c r="EM226" t="str">
        <f>IF(D226=1,IF(TRIM(INDEX(Charge!$K:$K,ROW()))&lt;&gt;"","Interne",IF(TRIM(INDEX(Charge!$L:$L,ROW()))&lt;&gt;"","Externe","Non affecté")),"")</f>
        <v/>
      </c>
      <c r="EN226" t="str">
        <f>IF(D226=1,LEFT(SUBSTITUTE(SUBSTITUTE(SUBSTITUTE(TRIM(SUBSTITUTE(INDEX(Charge!$B:$B,ROW()),CHAR(160)," "))&amp;" | "&amp;TRIM(SUBSTITUTE(INDEX(Charge!$C:$C,ROW()),CHAR(160)," "))&amp;" | "&amp;TRIM(SUBSTITUTE(INDEX(Charge!$D:$D,ROW()),CHAR(160)," ")),"~","-"),"*","+"),"?","!"),240),"")</f>
        <v/>
      </c>
      <c r="EO226">
        <f>IF(EN226="",0,IF(COUNTIF($EN$4:EN226,EN226)=1,1,0))</f>
        <v>0</v>
      </c>
      <c r="EP226" s="166" t="str">
        <f>IF(EO226=1,ROUND(SUMIF($EN$4:$EN$503,EN226,$E$4:$E$503),2),"")</f>
        <v/>
      </c>
      <c r="EQ226" t="str">
        <f>IF(EO226=1,COUNTIFS($EO$4:$EO$503,1,$EP$4:$EP$503,"&gt;"&amp;EP226)+COUNTIFS($EO$4:EO226,1,$EP$4:EP226,EP226),"")</f>
        <v/>
      </c>
      <c r="ER226" t="str">
        <f>IF(EO226=1,COUNTIFS($EN$4:$EN$503,EN226,$EM$4:$EM$503,"Interne",$FE$4:$FE$503,1),"")</f>
        <v/>
      </c>
      <c r="ES226" t="str">
        <f>IF(EO226=1,COUNTIFS($EN$4:$EN$503,EN226,$EM$4:$EM$503,"Externe",$FE$4:$FE$503,1),"")</f>
        <v/>
      </c>
      <c r="ET226" t="str">
        <f>IF(EO226=1,IF(ER226+ES226=0,"à affecter",IF(ER226=0,ES226&amp;" ext.",(ER226+ES226)&amp;IF(ES226&gt;0," dont "&amp;ES226&amp;" ext.",""))&amp;IF(COUNTIFS($EN$4:$EN$503,EN226,$EM$4:$EM$503,"Non affecté")&gt;0," + à affecter","")),"")</f>
        <v/>
      </c>
      <c r="EU226" s="170" t="str">
        <f>IF(EO226=1,IF(EP226&gt;0,SUMPRODUCT(($EN$4:$EN$503=EN226)*$E$4:$E$503*$C$4:$C$503)/EP226,AVERAGEIF($EN$4:$EN$503,EN226,$C$4:$C$503)),"")</f>
        <v/>
      </c>
      <c r="EV226" s="165">
        <f>IF(ISNUMBER(I226),I226,2958465)</f>
        <v>2958465.0</v>
      </c>
      <c r="EW226" s="165" t="str">
        <f>IF(EO226=1,SUMPRODUCT(MIN(($EN$4:$EN$503=EN226)*$EV$4:$EV$503+($EN$4:$EN$503&lt;&gt;EN226)*2958465)),"")</f>
        <v/>
      </c>
      <c r="EX226" s="165">
        <f>IF(AND(D226=1,ISNUMBER(INDEX(Charge!$F:$F,ROW()))),INDEX(Charge!$F:$F,ROW()),0)</f>
        <v>0.0</v>
      </c>
      <c r="EY226" s="165" t="str">
        <f>IF(EO226=1,SUMPRODUCT(MAX(($EN$4:$EN$503=EN226)*$EX$4:$EX$503)),"")</f>
        <v/>
      </c>
      <c r="FA226" t="str">
        <f>IF(223&lt;=$CD$23,INDEX($EJ$4:$EJ$203,223),IF(223-$CD$23&lt;=$CD$26,INDEX($EK$4:$EK$203,223-$CD$23),""))</f>
        <v/>
      </c>
      <c r="FB226" t="str">
        <f>IF(FA226="","",IF(223&lt;=$CD$23,"Interne","Externe"))</f>
        <v/>
      </c>
      <c r="FD226">
        <f>IF(AND(B226=1,TRIM(INDEX(Charge!$K:$K,ROW()))&lt;&gt;"",TRIM(INDEX(Charge!$L:$L,ROW()))&lt;&gt;""),1,0)</f>
        <v>0</v>
      </c>
      <c r="FE226">
        <f>IF(OR(EN226="",BZ226="(non affecté)"),0,IF(COUNTIFS($EN$4:EN226,EN226,$BZ$4:BZ226,BZ226)=1,1,0))</f>
        <v>0</v>
      </c>
    </row>
    <row r="227">
      <c r="A227">
        <f>ROW()</f>
        <v>227</v>
      </c>
      <c r="B227">
        <f>IF(TRIM(INDEX(Charge!$B:$B,ROW()))&lt;&gt;"",1,0)</f>
        <v>0</v>
      </c>
      <c r="C227">
        <f>IF(B227=1,MIN(1,MAX(0,N(INDEX(Charge!$O:$O,ROW())))),0)</f>
        <v>0</v>
      </c>
      <c r="D227">
        <f>IF(B227=1,IF(OR(p_Perimetre="Tous les projets",C227&lt;1),1,0),0)</f>
        <v>0</v>
      </c>
      <c r="E227">
        <f>IF(D227=1,MAX(0,N(INDEX(Charge!$M:$M,ROW()))),0)</f>
        <v>0</v>
      </c>
      <c r="F227" t="str">
        <f>IF(D227=1,IF(TRIM(INDEX(Charge!$A:$A,ROW()))="","(non renseigné)",TRIM(INDEX(Charge!$A:$A,ROW()))),"")</f>
        <v/>
      </c>
      <c r="G227" t="str">
        <f>IF(D227=1,TRIM(INDEX(Charge!$B:$B,ROW())),"")</f>
        <v/>
      </c>
      <c r="H227" t="str">
        <f>IF(D227=1,IF(TRIM(INDEX(Charge!$E:$E,ROW()))="","(non renseigné)",TRIM(INDEX(Charge!$E:$E,ROW()))),"")</f>
        <v/>
      </c>
      <c r="I227" s="165" t="str">
        <f>IF(AND(D227=1,ISNUMBER(INDEX(Charge!$N:$N,ROW()))),INDEX(Charge!$N:$N,ROW()),"")</f>
        <v/>
      </c>
      <c r="J227" s="165" t="str">
        <f>IF(I227="","",IF(AND(p_Repartition="Lissée jusqu'à la date de besoin",ISNUMBER(INDEX(Charge!$F:$F,ROW()))),IF(INDEX(Charge!$F:$F,ROW())&gt;=I227,INDEX(Charge!$F:$F,ROW()),I227),I227))</f>
        <v/>
      </c>
      <c r="K227" t="str">
        <f>IF(I227="","",NETWORKDAYS(I227,J227,Data!$K$4:$K$203))</f>
        <v/>
      </c>
      <c r="L227" t="str">
        <f>IF(D227=1,COUNTIFS($D$4:$D$503,1,$E$4:$E$503,"&gt;"&amp;E227)+COUNTIFS($D$4:$D227,1,$E$4:$E227,E227),"")</f>
        <v/>
      </c>
      <c r="M227">
        <f>IF(F227="",0,IF(COUNTIF($F$4:F227,F227)=1,1,0))</f>
        <v>0</v>
      </c>
      <c r="N227" t="str">
        <f>IF(M227=1,ROUND(SUMIF($F$4:$F$503,F227,$E$4:$E$503),2),"")</f>
        <v/>
      </c>
      <c r="O227" t="str">
        <f>IF(M227=1,COUNTIFS($M$4:$M$503,1,$N$4:$N$503,"&gt;"&amp;N227)+COUNTIFS($M$4:M227,1,$N$4:N227,N227),"")</f>
        <v/>
      </c>
      <c r="P227">
        <f>IF(G227="",0,IF(COUNTIF($G$4:G227,G227)=1,1,0))</f>
        <v>0</v>
      </c>
      <c r="Q227" t="str">
        <f>IF(P227=1,ROUND(SUMIF($G$4:$G$503,G227,$E$4:$E$503),2),"")</f>
        <v/>
      </c>
      <c r="R227" t="str">
        <f>IF(P227=1,COUNTIFS($P$4:$P$503,1,$Q$4:$Q$503,"&gt;"&amp;Q227)+COUNTIFS($P$4:P227,1,$Q$4:Q227,Q227),"")</f>
        <v/>
      </c>
      <c r="S227">
        <f>IF(H227="",0,IF(COUNTIF($H$4:H227,H227)=1,1,0))</f>
        <v>0</v>
      </c>
      <c r="T227" t="str">
        <f>IF(S227=1,ROUND(SUMIF($H$4:$H$503,H227,$E$4:$E$503),2),"")</f>
        <v/>
      </c>
      <c r="U227" t="str">
        <f>IF(S227=1,COUNTIFS($S$4:$S$503,1,$T$4:$T$503,"&gt;"&amp;T227)+COUNTIFS($S$4:S227,1,$T$4:T227,T227),"")</f>
        <v/>
      </c>
      <c r="V227" t="str">
        <f>IF(D227=1,MIN(INDEX($R$4:$R$503,MATCH(G227,$G$4:$G$503,0)),IF($AL$7&gt;9,9,999)),"")</f>
        <v/>
      </c>
      <c r="W227" s="166">
        <f>IF(OR($I227="",$E227=0),0,IF(OR($J227&lt;W$3,$I227&gt;W$2),0,IF($K227=0,IF(AND($I227&gt;=W$3,$I227&lt;=W$2),$E227,0),$E227*NETWORKDAYS(MAX($I227,W$3),MIN($J227,W$2),Data!$K$4:$K$203)/$K227)))</f>
        <v>0</v>
      </c>
      <c r="X227" s="166">
        <f>IF(OR($I227="",$E227=0),0,IF(OR($J227&lt;X$3,$I227&gt;X$2),0,IF($K227=0,IF(AND($I227&gt;=X$3,$I227&lt;=X$2),$E227,0),$E227*NETWORKDAYS(MAX($I227,X$3),MIN($J227,X$2),Data!$K$4:$K$203)/$K227)))</f>
        <v>0</v>
      </c>
      <c r="Y227" s="166">
        <f>IF(OR($I227="",$E227=0),0,IF(OR($J227&lt;Y$3,$I227&gt;Y$2),0,IF($K227=0,IF(AND($I227&gt;=Y$3,$I227&lt;=Y$2),$E227,0),$E227*NETWORKDAYS(MAX($I227,Y$3),MIN($J227,Y$2),Data!$K$4:$K$203)/$K227)))</f>
        <v>0</v>
      </c>
      <c r="Z227" s="166">
        <f>IF(OR($I227="",$E227=0),0,IF(OR($J227&lt;Z$3,$I227&gt;Z$2),0,IF($K227=0,IF(AND($I227&gt;=Z$3,$I227&lt;=Z$2),$E227,0),$E227*NETWORKDAYS(MAX($I227,Z$3),MIN($J227,Z$2),Data!$K$4:$K$203)/$K227)))</f>
        <v>0</v>
      </c>
      <c r="AA227" s="166">
        <f>IF(OR($I227="",$E227=0),0,IF(OR($J227&lt;AA$3,$I227&gt;AA$2),0,IF($K227=0,IF(AND($I227&gt;=AA$3,$I227&lt;=AA$2),$E227,0),$E227*NETWORKDAYS(MAX($I227,AA$3),MIN($J227,AA$2),Data!$K$4:$K$203)/$K227)))</f>
        <v>0</v>
      </c>
      <c r="AB227" s="166">
        <f>IF(OR($I227="",$E227=0),0,IF(OR($J227&lt;AB$3,$I227&gt;AB$2),0,IF($K227=0,IF(AND($I227&gt;=AB$3,$I227&lt;=AB$2),$E227,0),$E227*NETWORKDAYS(MAX($I227,AB$3),MIN($J227,AB$2),Data!$K$4:$K$203)/$K227)))</f>
        <v>0</v>
      </c>
      <c r="AC227" s="166">
        <f>IF(OR($I227="",$E227=0),0,IF(OR($J227&lt;AC$3,$I227&gt;AC$2),0,IF($K227=0,IF(AND($I227&gt;=AC$3,$I227&lt;=AC$2),$E227,0),$E227*NETWORKDAYS(MAX($I227,AC$3),MIN($J227,AC$2),Data!$K$4:$K$203)/$K227)))</f>
        <v>0</v>
      </c>
      <c r="AD227" s="166">
        <f>IF(OR($I227="",$E227=0),0,IF(OR($J227&lt;AD$3,$I227&gt;AD$2),0,IF($K227=0,IF(AND($I227&gt;=AD$3,$I227&lt;=AD$2),$E227,0),$E227*NETWORKDAYS(MAX($I227,AD$3),MIN($J227,AD$2),Data!$K$4:$K$203)/$K227)))</f>
        <v>0</v>
      </c>
      <c r="AE227" s="166">
        <f>IF(OR($I227="",$E227=0),0,IF(OR($J227&lt;AE$3,$I227&gt;AE$2),0,IF($K227=0,IF(AND($I227&gt;=AE$3,$I227&lt;=AE$2),$E227,0),$E227*NETWORKDAYS(MAX($I227,AE$3),MIN($J227,AE$2),Data!$K$4:$K$203)/$K227)))</f>
        <v>0</v>
      </c>
      <c r="AF227" s="166">
        <f>IF(OR($I227="",$E227=0),0,IF(OR($J227&lt;AF$3,$I227&gt;AF$2),0,IF($K227=0,IF(AND($I227&gt;=AF$3,$I227&lt;=AF$2),$E227,0),$E227*NETWORKDAYS(MAX($I227,AF$3),MIN($J227,AF$2),Data!$K$4:$K$203)/$K227)))</f>
        <v>0</v>
      </c>
      <c r="AG227" s="166">
        <f>IF(OR($I227="",$E227=0),0,IF(OR($J227&lt;AG$3,$I227&gt;AG$2),0,IF($K227=0,IF(AND($I227&gt;=AG$3,$I227&lt;=AG$2),$E227,0),$E227*NETWORKDAYS(MAX($I227,AG$3),MIN($J227,AG$2),Data!$K$4:$K$203)/$K227)))</f>
        <v>0</v>
      </c>
      <c r="AH227" s="166">
        <f>IF(OR($I227="",$E227=0),0,IF(OR($J227&lt;AH$3,$I227&gt;AH$2),0,IF($K227=0,IF(AND($I227&gt;=AH$3,$I227&lt;=AH$2),$E227,0),$E227*NETWORKDAYS(MAX($I227,AH$3),MIN($J227,AH$2),Data!$K$4:$K$203)/$K227)))</f>
        <v>0</v>
      </c>
      <c r="AI227" s="166">
        <f>SUM(W227:AH227)</f>
        <v>0</v>
      </c>
      <c r="BZ227" t="str">
        <f>IF(D227=1,IF(TRIM(INDEX(Charge!$K:$K,ROW()))&lt;&gt;"",TRIM(INDEX(Charge!$K:$K,ROW())),IF(TRIM(INDEX(Charge!$L:$L,ROW()))&lt;&gt;"",TRIM(INDEX(Charge!$L:$L,ROW())),"(non affecté)")),"")</f>
        <v/>
      </c>
      <c r="CA227" t="str">
        <f>IF(AND($CD$4&lt;&gt;"",BZ227=$CD$4),COUNTIFS($BZ$4:$BZ$503,$CD$4,$L$4:$L$503,"&lt;"&amp;L227)+1,"")</f>
        <v/>
      </c>
      <c r="EM227" t="str">
        <f>IF(D227=1,IF(TRIM(INDEX(Charge!$K:$K,ROW()))&lt;&gt;"","Interne",IF(TRIM(INDEX(Charge!$L:$L,ROW()))&lt;&gt;"","Externe","Non affecté")),"")</f>
        <v/>
      </c>
      <c r="EN227" t="str">
        <f>IF(D227=1,LEFT(SUBSTITUTE(SUBSTITUTE(SUBSTITUTE(TRIM(SUBSTITUTE(INDEX(Charge!$B:$B,ROW()),CHAR(160)," "))&amp;" | "&amp;TRIM(SUBSTITUTE(INDEX(Charge!$C:$C,ROW()),CHAR(160)," "))&amp;" | "&amp;TRIM(SUBSTITUTE(INDEX(Charge!$D:$D,ROW()),CHAR(160)," ")),"~","-"),"*","+"),"?","!"),240),"")</f>
        <v/>
      </c>
      <c r="EO227">
        <f>IF(EN227="",0,IF(COUNTIF($EN$4:EN227,EN227)=1,1,0))</f>
        <v>0</v>
      </c>
      <c r="EP227" s="166" t="str">
        <f>IF(EO227=1,ROUND(SUMIF($EN$4:$EN$503,EN227,$E$4:$E$503),2),"")</f>
        <v/>
      </c>
      <c r="EQ227" t="str">
        <f>IF(EO227=1,COUNTIFS($EO$4:$EO$503,1,$EP$4:$EP$503,"&gt;"&amp;EP227)+COUNTIFS($EO$4:EO227,1,$EP$4:EP227,EP227),"")</f>
        <v/>
      </c>
      <c r="ER227" t="str">
        <f>IF(EO227=1,COUNTIFS($EN$4:$EN$503,EN227,$EM$4:$EM$503,"Interne",$FE$4:$FE$503,1),"")</f>
        <v/>
      </c>
      <c r="ES227" t="str">
        <f>IF(EO227=1,COUNTIFS($EN$4:$EN$503,EN227,$EM$4:$EM$503,"Externe",$FE$4:$FE$503,1),"")</f>
        <v/>
      </c>
      <c r="ET227" t="str">
        <f>IF(EO227=1,IF(ER227+ES227=0,"à affecter",IF(ER227=0,ES227&amp;" ext.",(ER227+ES227)&amp;IF(ES227&gt;0," dont "&amp;ES227&amp;" ext.",""))&amp;IF(COUNTIFS($EN$4:$EN$503,EN227,$EM$4:$EM$503,"Non affecté")&gt;0," + à affecter","")),"")</f>
        <v/>
      </c>
      <c r="EU227" s="170" t="str">
        <f>IF(EO227=1,IF(EP227&gt;0,SUMPRODUCT(($EN$4:$EN$503=EN227)*$E$4:$E$503*$C$4:$C$503)/EP227,AVERAGEIF($EN$4:$EN$503,EN227,$C$4:$C$503)),"")</f>
        <v/>
      </c>
      <c r="EV227" s="165">
        <f>IF(ISNUMBER(I227),I227,2958465)</f>
        <v>2958465.0</v>
      </c>
      <c r="EW227" s="165" t="str">
        <f>IF(EO227=1,SUMPRODUCT(MIN(($EN$4:$EN$503=EN227)*$EV$4:$EV$503+($EN$4:$EN$503&lt;&gt;EN227)*2958465)),"")</f>
        <v/>
      </c>
      <c r="EX227" s="165">
        <f>IF(AND(D227=1,ISNUMBER(INDEX(Charge!$F:$F,ROW()))),INDEX(Charge!$F:$F,ROW()),0)</f>
        <v>0.0</v>
      </c>
      <c r="EY227" s="165" t="str">
        <f>IF(EO227=1,SUMPRODUCT(MAX(($EN$4:$EN$503=EN227)*$EX$4:$EX$503)),"")</f>
        <v/>
      </c>
      <c r="FA227" t="str">
        <f>IF(224&lt;=$CD$23,INDEX($EJ$4:$EJ$203,224),IF(224-$CD$23&lt;=$CD$26,INDEX($EK$4:$EK$203,224-$CD$23),""))</f>
        <v/>
      </c>
      <c r="FB227" t="str">
        <f>IF(FA227="","",IF(224&lt;=$CD$23,"Interne","Externe"))</f>
        <v/>
      </c>
      <c r="FD227">
        <f>IF(AND(B227=1,TRIM(INDEX(Charge!$K:$K,ROW()))&lt;&gt;"",TRIM(INDEX(Charge!$L:$L,ROW()))&lt;&gt;""),1,0)</f>
        <v>0</v>
      </c>
      <c r="FE227">
        <f>IF(OR(EN227="",BZ227="(non affecté)"),0,IF(COUNTIFS($EN$4:EN227,EN227,$BZ$4:BZ227,BZ227)=1,1,0))</f>
        <v>0</v>
      </c>
    </row>
    <row r="228">
      <c r="A228">
        <f>ROW()</f>
        <v>228</v>
      </c>
      <c r="B228">
        <f>IF(TRIM(INDEX(Charge!$B:$B,ROW()))&lt;&gt;"",1,0)</f>
        <v>0</v>
      </c>
      <c r="C228">
        <f>IF(B228=1,MIN(1,MAX(0,N(INDEX(Charge!$O:$O,ROW())))),0)</f>
        <v>0</v>
      </c>
      <c r="D228">
        <f>IF(B228=1,IF(OR(p_Perimetre="Tous les projets",C228&lt;1),1,0),0)</f>
        <v>0</v>
      </c>
      <c r="E228">
        <f>IF(D228=1,MAX(0,N(INDEX(Charge!$M:$M,ROW()))),0)</f>
        <v>0</v>
      </c>
      <c r="F228" t="str">
        <f>IF(D228=1,IF(TRIM(INDEX(Charge!$A:$A,ROW()))="","(non renseigné)",TRIM(INDEX(Charge!$A:$A,ROW()))),"")</f>
        <v/>
      </c>
      <c r="G228" t="str">
        <f>IF(D228=1,TRIM(INDEX(Charge!$B:$B,ROW())),"")</f>
        <v/>
      </c>
      <c r="H228" t="str">
        <f>IF(D228=1,IF(TRIM(INDEX(Charge!$E:$E,ROW()))="","(non renseigné)",TRIM(INDEX(Charge!$E:$E,ROW()))),"")</f>
        <v/>
      </c>
      <c r="I228" s="165" t="str">
        <f>IF(AND(D228=1,ISNUMBER(INDEX(Charge!$N:$N,ROW()))),INDEX(Charge!$N:$N,ROW()),"")</f>
        <v/>
      </c>
      <c r="J228" s="165" t="str">
        <f>IF(I228="","",IF(AND(p_Repartition="Lissée jusqu'à la date de besoin",ISNUMBER(INDEX(Charge!$F:$F,ROW()))),IF(INDEX(Charge!$F:$F,ROW())&gt;=I228,INDEX(Charge!$F:$F,ROW()),I228),I228))</f>
        <v/>
      </c>
      <c r="K228" t="str">
        <f>IF(I228="","",NETWORKDAYS(I228,J228,Data!$K$4:$K$203))</f>
        <v/>
      </c>
      <c r="L228" t="str">
        <f>IF(D228=1,COUNTIFS($D$4:$D$503,1,$E$4:$E$503,"&gt;"&amp;E228)+COUNTIFS($D$4:$D228,1,$E$4:$E228,E228),"")</f>
        <v/>
      </c>
      <c r="M228">
        <f>IF(F228="",0,IF(COUNTIF($F$4:F228,F228)=1,1,0))</f>
        <v>0</v>
      </c>
      <c r="N228" t="str">
        <f>IF(M228=1,ROUND(SUMIF($F$4:$F$503,F228,$E$4:$E$503),2),"")</f>
        <v/>
      </c>
      <c r="O228" t="str">
        <f>IF(M228=1,COUNTIFS($M$4:$M$503,1,$N$4:$N$503,"&gt;"&amp;N228)+COUNTIFS($M$4:M228,1,$N$4:N228,N228),"")</f>
        <v/>
      </c>
      <c r="P228">
        <f>IF(G228="",0,IF(COUNTIF($G$4:G228,G228)=1,1,0))</f>
        <v>0</v>
      </c>
      <c r="Q228" t="str">
        <f>IF(P228=1,ROUND(SUMIF($G$4:$G$503,G228,$E$4:$E$503),2),"")</f>
        <v/>
      </c>
      <c r="R228" t="str">
        <f>IF(P228=1,COUNTIFS($P$4:$P$503,1,$Q$4:$Q$503,"&gt;"&amp;Q228)+COUNTIFS($P$4:P228,1,$Q$4:Q228,Q228),"")</f>
        <v/>
      </c>
      <c r="S228">
        <f>IF(H228="",0,IF(COUNTIF($H$4:H228,H228)=1,1,0))</f>
        <v>0</v>
      </c>
      <c r="T228" t="str">
        <f>IF(S228=1,ROUND(SUMIF($H$4:$H$503,H228,$E$4:$E$503),2),"")</f>
        <v/>
      </c>
      <c r="U228" t="str">
        <f>IF(S228=1,COUNTIFS($S$4:$S$503,1,$T$4:$T$503,"&gt;"&amp;T228)+COUNTIFS($S$4:S228,1,$T$4:T228,T228),"")</f>
        <v/>
      </c>
      <c r="V228" t="str">
        <f>IF(D228=1,MIN(INDEX($R$4:$R$503,MATCH(G228,$G$4:$G$503,0)),IF($AL$7&gt;9,9,999)),"")</f>
        <v/>
      </c>
      <c r="W228" s="166">
        <f>IF(OR($I228="",$E228=0),0,IF(OR($J228&lt;W$3,$I228&gt;W$2),0,IF($K228=0,IF(AND($I228&gt;=W$3,$I228&lt;=W$2),$E228,0),$E228*NETWORKDAYS(MAX($I228,W$3),MIN($J228,W$2),Data!$K$4:$K$203)/$K228)))</f>
        <v>0</v>
      </c>
      <c r="X228" s="166">
        <f>IF(OR($I228="",$E228=0),0,IF(OR($J228&lt;X$3,$I228&gt;X$2),0,IF($K228=0,IF(AND($I228&gt;=X$3,$I228&lt;=X$2),$E228,0),$E228*NETWORKDAYS(MAX($I228,X$3),MIN($J228,X$2),Data!$K$4:$K$203)/$K228)))</f>
        <v>0</v>
      </c>
      <c r="Y228" s="166">
        <f>IF(OR($I228="",$E228=0),0,IF(OR($J228&lt;Y$3,$I228&gt;Y$2),0,IF($K228=0,IF(AND($I228&gt;=Y$3,$I228&lt;=Y$2),$E228,0),$E228*NETWORKDAYS(MAX($I228,Y$3),MIN($J228,Y$2),Data!$K$4:$K$203)/$K228)))</f>
        <v>0</v>
      </c>
      <c r="Z228" s="166">
        <f>IF(OR($I228="",$E228=0),0,IF(OR($J228&lt;Z$3,$I228&gt;Z$2),0,IF($K228=0,IF(AND($I228&gt;=Z$3,$I228&lt;=Z$2),$E228,0),$E228*NETWORKDAYS(MAX($I228,Z$3),MIN($J228,Z$2),Data!$K$4:$K$203)/$K228)))</f>
        <v>0</v>
      </c>
      <c r="AA228" s="166">
        <f>IF(OR($I228="",$E228=0),0,IF(OR($J228&lt;AA$3,$I228&gt;AA$2),0,IF($K228=0,IF(AND($I228&gt;=AA$3,$I228&lt;=AA$2),$E228,0),$E228*NETWORKDAYS(MAX($I228,AA$3),MIN($J228,AA$2),Data!$K$4:$K$203)/$K228)))</f>
        <v>0</v>
      </c>
      <c r="AB228" s="166">
        <f>IF(OR($I228="",$E228=0),0,IF(OR($J228&lt;AB$3,$I228&gt;AB$2),0,IF($K228=0,IF(AND($I228&gt;=AB$3,$I228&lt;=AB$2),$E228,0),$E228*NETWORKDAYS(MAX($I228,AB$3),MIN($J228,AB$2),Data!$K$4:$K$203)/$K228)))</f>
        <v>0</v>
      </c>
      <c r="AC228" s="166">
        <f>IF(OR($I228="",$E228=0),0,IF(OR($J228&lt;AC$3,$I228&gt;AC$2),0,IF($K228=0,IF(AND($I228&gt;=AC$3,$I228&lt;=AC$2),$E228,0),$E228*NETWORKDAYS(MAX($I228,AC$3),MIN($J228,AC$2),Data!$K$4:$K$203)/$K228)))</f>
        <v>0</v>
      </c>
      <c r="AD228" s="166">
        <f>IF(OR($I228="",$E228=0),0,IF(OR($J228&lt;AD$3,$I228&gt;AD$2),0,IF($K228=0,IF(AND($I228&gt;=AD$3,$I228&lt;=AD$2),$E228,0),$E228*NETWORKDAYS(MAX($I228,AD$3),MIN($J228,AD$2),Data!$K$4:$K$203)/$K228)))</f>
        <v>0</v>
      </c>
      <c r="AE228" s="166">
        <f>IF(OR($I228="",$E228=0),0,IF(OR($J228&lt;AE$3,$I228&gt;AE$2),0,IF($K228=0,IF(AND($I228&gt;=AE$3,$I228&lt;=AE$2),$E228,0),$E228*NETWORKDAYS(MAX($I228,AE$3),MIN($J228,AE$2),Data!$K$4:$K$203)/$K228)))</f>
        <v>0</v>
      </c>
      <c r="AF228" s="166">
        <f>IF(OR($I228="",$E228=0),0,IF(OR($J228&lt;AF$3,$I228&gt;AF$2),0,IF($K228=0,IF(AND($I228&gt;=AF$3,$I228&lt;=AF$2),$E228,0),$E228*NETWORKDAYS(MAX($I228,AF$3),MIN($J228,AF$2),Data!$K$4:$K$203)/$K228)))</f>
        <v>0</v>
      </c>
      <c r="AG228" s="166">
        <f>IF(OR($I228="",$E228=0),0,IF(OR($J228&lt;AG$3,$I228&gt;AG$2),0,IF($K228=0,IF(AND($I228&gt;=AG$3,$I228&lt;=AG$2),$E228,0),$E228*NETWORKDAYS(MAX($I228,AG$3),MIN($J228,AG$2),Data!$K$4:$K$203)/$K228)))</f>
        <v>0</v>
      </c>
      <c r="AH228" s="166">
        <f>IF(OR($I228="",$E228=0),0,IF(OR($J228&lt;AH$3,$I228&gt;AH$2),0,IF($K228=0,IF(AND($I228&gt;=AH$3,$I228&lt;=AH$2),$E228,0),$E228*NETWORKDAYS(MAX($I228,AH$3),MIN($J228,AH$2),Data!$K$4:$K$203)/$K228)))</f>
        <v>0</v>
      </c>
      <c r="AI228" s="166">
        <f>SUM(W228:AH228)</f>
        <v>0</v>
      </c>
      <c r="BZ228" t="str">
        <f>IF(D228=1,IF(TRIM(INDEX(Charge!$K:$K,ROW()))&lt;&gt;"",TRIM(INDEX(Charge!$K:$K,ROW())),IF(TRIM(INDEX(Charge!$L:$L,ROW()))&lt;&gt;"",TRIM(INDEX(Charge!$L:$L,ROW())),"(non affecté)")),"")</f>
        <v/>
      </c>
      <c r="CA228" t="str">
        <f>IF(AND($CD$4&lt;&gt;"",BZ228=$CD$4),COUNTIFS($BZ$4:$BZ$503,$CD$4,$L$4:$L$503,"&lt;"&amp;L228)+1,"")</f>
        <v/>
      </c>
      <c r="EM228" t="str">
        <f>IF(D228=1,IF(TRIM(INDEX(Charge!$K:$K,ROW()))&lt;&gt;"","Interne",IF(TRIM(INDEX(Charge!$L:$L,ROW()))&lt;&gt;"","Externe","Non affecté")),"")</f>
        <v/>
      </c>
      <c r="EN228" t="str">
        <f>IF(D228=1,LEFT(SUBSTITUTE(SUBSTITUTE(SUBSTITUTE(TRIM(SUBSTITUTE(INDEX(Charge!$B:$B,ROW()),CHAR(160)," "))&amp;" | "&amp;TRIM(SUBSTITUTE(INDEX(Charge!$C:$C,ROW()),CHAR(160)," "))&amp;" | "&amp;TRIM(SUBSTITUTE(INDEX(Charge!$D:$D,ROW()),CHAR(160)," ")),"~","-"),"*","+"),"?","!"),240),"")</f>
        <v/>
      </c>
      <c r="EO228">
        <f>IF(EN228="",0,IF(COUNTIF($EN$4:EN228,EN228)=1,1,0))</f>
        <v>0</v>
      </c>
      <c r="EP228" s="166" t="str">
        <f>IF(EO228=1,ROUND(SUMIF($EN$4:$EN$503,EN228,$E$4:$E$503),2),"")</f>
        <v/>
      </c>
      <c r="EQ228" t="str">
        <f>IF(EO228=1,COUNTIFS($EO$4:$EO$503,1,$EP$4:$EP$503,"&gt;"&amp;EP228)+COUNTIFS($EO$4:EO228,1,$EP$4:EP228,EP228),"")</f>
        <v/>
      </c>
      <c r="ER228" t="str">
        <f>IF(EO228=1,COUNTIFS($EN$4:$EN$503,EN228,$EM$4:$EM$503,"Interne",$FE$4:$FE$503,1),"")</f>
        <v/>
      </c>
      <c r="ES228" t="str">
        <f>IF(EO228=1,COUNTIFS($EN$4:$EN$503,EN228,$EM$4:$EM$503,"Externe",$FE$4:$FE$503,1),"")</f>
        <v/>
      </c>
      <c r="ET228" t="str">
        <f>IF(EO228=1,IF(ER228+ES228=0,"à affecter",IF(ER228=0,ES228&amp;" ext.",(ER228+ES228)&amp;IF(ES228&gt;0," dont "&amp;ES228&amp;" ext.",""))&amp;IF(COUNTIFS($EN$4:$EN$503,EN228,$EM$4:$EM$503,"Non affecté")&gt;0," + à affecter","")),"")</f>
        <v/>
      </c>
      <c r="EU228" s="170" t="str">
        <f>IF(EO228=1,IF(EP228&gt;0,SUMPRODUCT(($EN$4:$EN$503=EN228)*$E$4:$E$503*$C$4:$C$503)/EP228,AVERAGEIF($EN$4:$EN$503,EN228,$C$4:$C$503)),"")</f>
        <v/>
      </c>
      <c r="EV228" s="165">
        <f>IF(ISNUMBER(I228),I228,2958465)</f>
        <v>2958465.0</v>
      </c>
      <c r="EW228" s="165" t="str">
        <f>IF(EO228=1,SUMPRODUCT(MIN(($EN$4:$EN$503=EN228)*$EV$4:$EV$503+($EN$4:$EN$503&lt;&gt;EN228)*2958465)),"")</f>
        <v/>
      </c>
      <c r="EX228" s="165">
        <f>IF(AND(D228=1,ISNUMBER(INDEX(Charge!$F:$F,ROW()))),INDEX(Charge!$F:$F,ROW()),0)</f>
        <v>0.0</v>
      </c>
      <c r="EY228" s="165" t="str">
        <f>IF(EO228=1,SUMPRODUCT(MAX(($EN$4:$EN$503=EN228)*$EX$4:$EX$503)),"")</f>
        <v/>
      </c>
      <c r="FA228" t="str">
        <f>IF(225&lt;=$CD$23,INDEX($EJ$4:$EJ$203,225),IF(225-$CD$23&lt;=$CD$26,INDEX($EK$4:$EK$203,225-$CD$23),""))</f>
        <v/>
      </c>
      <c r="FB228" t="str">
        <f>IF(FA228="","",IF(225&lt;=$CD$23,"Interne","Externe"))</f>
        <v/>
      </c>
      <c r="FD228">
        <f>IF(AND(B228=1,TRIM(INDEX(Charge!$K:$K,ROW()))&lt;&gt;"",TRIM(INDEX(Charge!$L:$L,ROW()))&lt;&gt;""),1,0)</f>
        <v>0</v>
      </c>
      <c r="FE228">
        <f>IF(OR(EN228="",BZ228="(non affecté)"),0,IF(COUNTIFS($EN$4:EN228,EN228,$BZ$4:BZ228,BZ228)=1,1,0))</f>
        <v>0</v>
      </c>
    </row>
    <row r="229">
      <c r="A229">
        <f>ROW()</f>
        <v>229</v>
      </c>
      <c r="B229">
        <f>IF(TRIM(INDEX(Charge!$B:$B,ROW()))&lt;&gt;"",1,0)</f>
        <v>0</v>
      </c>
      <c r="C229">
        <f>IF(B229=1,MIN(1,MAX(0,N(INDEX(Charge!$O:$O,ROW())))),0)</f>
        <v>0</v>
      </c>
      <c r="D229">
        <f>IF(B229=1,IF(OR(p_Perimetre="Tous les projets",C229&lt;1),1,0),0)</f>
        <v>0</v>
      </c>
      <c r="E229">
        <f>IF(D229=1,MAX(0,N(INDEX(Charge!$M:$M,ROW()))),0)</f>
        <v>0</v>
      </c>
      <c r="F229" t="str">
        <f>IF(D229=1,IF(TRIM(INDEX(Charge!$A:$A,ROW()))="","(non renseigné)",TRIM(INDEX(Charge!$A:$A,ROW()))),"")</f>
        <v/>
      </c>
      <c r="G229" t="str">
        <f>IF(D229=1,TRIM(INDEX(Charge!$B:$B,ROW())),"")</f>
        <v/>
      </c>
      <c r="H229" t="str">
        <f>IF(D229=1,IF(TRIM(INDEX(Charge!$E:$E,ROW()))="","(non renseigné)",TRIM(INDEX(Charge!$E:$E,ROW()))),"")</f>
        <v/>
      </c>
      <c r="I229" s="165" t="str">
        <f>IF(AND(D229=1,ISNUMBER(INDEX(Charge!$N:$N,ROW()))),INDEX(Charge!$N:$N,ROW()),"")</f>
        <v/>
      </c>
      <c r="J229" s="165" t="str">
        <f>IF(I229="","",IF(AND(p_Repartition="Lissée jusqu'à la date de besoin",ISNUMBER(INDEX(Charge!$F:$F,ROW()))),IF(INDEX(Charge!$F:$F,ROW())&gt;=I229,INDEX(Charge!$F:$F,ROW()),I229),I229))</f>
        <v/>
      </c>
      <c r="K229" t="str">
        <f>IF(I229="","",NETWORKDAYS(I229,J229,Data!$K$4:$K$203))</f>
        <v/>
      </c>
      <c r="L229" t="str">
        <f>IF(D229=1,COUNTIFS($D$4:$D$503,1,$E$4:$E$503,"&gt;"&amp;E229)+COUNTIFS($D$4:$D229,1,$E$4:$E229,E229),"")</f>
        <v/>
      </c>
      <c r="M229">
        <f>IF(F229="",0,IF(COUNTIF($F$4:F229,F229)=1,1,0))</f>
        <v>0</v>
      </c>
      <c r="N229" t="str">
        <f>IF(M229=1,ROUND(SUMIF($F$4:$F$503,F229,$E$4:$E$503),2),"")</f>
        <v/>
      </c>
      <c r="O229" t="str">
        <f>IF(M229=1,COUNTIFS($M$4:$M$503,1,$N$4:$N$503,"&gt;"&amp;N229)+COUNTIFS($M$4:M229,1,$N$4:N229,N229),"")</f>
        <v/>
      </c>
      <c r="P229">
        <f>IF(G229="",0,IF(COUNTIF($G$4:G229,G229)=1,1,0))</f>
        <v>0</v>
      </c>
      <c r="Q229" t="str">
        <f>IF(P229=1,ROUND(SUMIF($G$4:$G$503,G229,$E$4:$E$503),2),"")</f>
        <v/>
      </c>
      <c r="R229" t="str">
        <f>IF(P229=1,COUNTIFS($P$4:$P$503,1,$Q$4:$Q$503,"&gt;"&amp;Q229)+COUNTIFS($P$4:P229,1,$Q$4:Q229,Q229),"")</f>
        <v/>
      </c>
      <c r="S229">
        <f>IF(H229="",0,IF(COUNTIF($H$4:H229,H229)=1,1,0))</f>
        <v>0</v>
      </c>
      <c r="T229" t="str">
        <f>IF(S229=1,ROUND(SUMIF($H$4:$H$503,H229,$E$4:$E$503),2),"")</f>
        <v/>
      </c>
      <c r="U229" t="str">
        <f>IF(S229=1,COUNTIFS($S$4:$S$503,1,$T$4:$T$503,"&gt;"&amp;T229)+COUNTIFS($S$4:S229,1,$T$4:T229,T229),"")</f>
        <v/>
      </c>
      <c r="V229" t="str">
        <f>IF(D229=1,MIN(INDEX($R$4:$R$503,MATCH(G229,$G$4:$G$503,0)),IF($AL$7&gt;9,9,999)),"")</f>
        <v/>
      </c>
      <c r="W229" s="166">
        <f>IF(OR($I229="",$E229=0),0,IF(OR($J229&lt;W$3,$I229&gt;W$2),0,IF($K229=0,IF(AND($I229&gt;=W$3,$I229&lt;=W$2),$E229,0),$E229*NETWORKDAYS(MAX($I229,W$3),MIN($J229,W$2),Data!$K$4:$K$203)/$K229)))</f>
        <v>0</v>
      </c>
      <c r="X229" s="166">
        <f>IF(OR($I229="",$E229=0),0,IF(OR($J229&lt;X$3,$I229&gt;X$2),0,IF($K229=0,IF(AND($I229&gt;=X$3,$I229&lt;=X$2),$E229,0),$E229*NETWORKDAYS(MAX($I229,X$3),MIN($J229,X$2),Data!$K$4:$K$203)/$K229)))</f>
        <v>0</v>
      </c>
      <c r="Y229" s="166">
        <f>IF(OR($I229="",$E229=0),0,IF(OR($J229&lt;Y$3,$I229&gt;Y$2),0,IF($K229=0,IF(AND($I229&gt;=Y$3,$I229&lt;=Y$2),$E229,0),$E229*NETWORKDAYS(MAX($I229,Y$3),MIN($J229,Y$2),Data!$K$4:$K$203)/$K229)))</f>
        <v>0</v>
      </c>
      <c r="Z229" s="166">
        <f>IF(OR($I229="",$E229=0),0,IF(OR($J229&lt;Z$3,$I229&gt;Z$2),0,IF($K229=0,IF(AND($I229&gt;=Z$3,$I229&lt;=Z$2),$E229,0),$E229*NETWORKDAYS(MAX($I229,Z$3),MIN($J229,Z$2),Data!$K$4:$K$203)/$K229)))</f>
        <v>0</v>
      </c>
      <c r="AA229" s="166">
        <f>IF(OR($I229="",$E229=0),0,IF(OR($J229&lt;AA$3,$I229&gt;AA$2),0,IF($K229=0,IF(AND($I229&gt;=AA$3,$I229&lt;=AA$2),$E229,0),$E229*NETWORKDAYS(MAX($I229,AA$3),MIN($J229,AA$2),Data!$K$4:$K$203)/$K229)))</f>
        <v>0</v>
      </c>
      <c r="AB229" s="166">
        <f>IF(OR($I229="",$E229=0),0,IF(OR($J229&lt;AB$3,$I229&gt;AB$2),0,IF($K229=0,IF(AND($I229&gt;=AB$3,$I229&lt;=AB$2),$E229,0),$E229*NETWORKDAYS(MAX($I229,AB$3),MIN($J229,AB$2),Data!$K$4:$K$203)/$K229)))</f>
        <v>0</v>
      </c>
      <c r="AC229" s="166">
        <f>IF(OR($I229="",$E229=0),0,IF(OR($J229&lt;AC$3,$I229&gt;AC$2),0,IF($K229=0,IF(AND($I229&gt;=AC$3,$I229&lt;=AC$2),$E229,0),$E229*NETWORKDAYS(MAX($I229,AC$3),MIN($J229,AC$2),Data!$K$4:$K$203)/$K229)))</f>
        <v>0</v>
      </c>
      <c r="AD229" s="166">
        <f>IF(OR($I229="",$E229=0),0,IF(OR($J229&lt;AD$3,$I229&gt;AD$2),0,IF($K229=0,IF(AND($I229&gt;=AD$3,$I229&lt;=AD$2),$E229,0),$E229*NETWORKDAYS(MAX($I229,AD$3),MIN($J229,AD$2),Data!$K$4:$K$203)/$K229)))</f>
        <v>0</v>
      </c>
      <c r="AE229" s="166">
        <f>IF(OR($I229="",$E229=0),0,IF(OR($J229&lt;AE$3,$I229&gt;AE$2),0,IF($K229=0,IF(AND($I229&gt;=AE$3,$I229&lt;=AE$2),$E229,0),$E229*NETWORKDAYS(MAX($I229,AE$3),MIN($J229,AE$2),Data!$K$4:$K$203)/$K229)))</f>
        <v>0</v>
      </c>
      <c r="AF229" s="166">
        <f>IF(OR($I229="",$E229=0),0,IF(OR($J229&lt;AF$3,$I229&gt;AF$2),0,IF($K229=0,IF(AND($I229&gt;=AF$3,$I229&lt;=AF$2),$E229,0),$E229*NETWORKDAYS(MAX($I229,AF$3),MIN($J229,AF$2),Data!$K$4:$K$203)/$K229)))</f>
        <v>0</v>
      </c>
      <c r="AG229" s="166">
        <f>IF(OR($I229="",$E229=0),0,IF(OR($J229&lt;AG$3,$I229&gt;AG$2),0,IF($K229=0,IF(AND($I229&gt;=AG$3,$I229&lt;=AG$2),$E229,0),$E229*NETWORKDAYS(MAX($I229,AG$3),MIN($J229,AG$2),Data!$K$4:$K$203)/$K229)))</f>
        <v>0</v>
      </c>
      <c r="AH229" s="166">
        <f>IF(OR($I229="",$E229=0),0,IF(OR($J229&lt;AH$3,$I229&gt;AH$2),0,IF($K229=0,IF(AND($I229&gt;=AH$3,$I229&lt;=AH$2),$E229,0),$E229*NETWORKDAYS(MAX($I229,AH$3),MIN($J229,AH$2),Data!$K$4:$K$203)/$K229)))</f>
        <v>0</v>
      </c>
      <c r="AI229" s="166">
        <f>SUM(W229:AH229)</f>
        <v>0</v>
      </c>
      <c r="BZ229" t="str">
        <f>IF(D229=1,IF(TRIM(INDEX(Charge!$K:$K,ROW()))&lt;&gt;"",TRIM(INDEX(Charge!$K:$K,ROW())),IF(TRIM(INDEX(Charge!$L:$L,ROW()))&lt;&gt;"",TRIM(INDEX(Charge!$L:$L,ROW())),"(non affecté)")),"")</f>
        <v/>
      </c>
      <c r="CA229" t="str">
        <f>IF(AND($CD$4&lt;&gt;"",BZ229=$CD$4),COUNTIFS($BZ$4:$BZ$503,$CD$4,$L$4:$L$503,"&lt;"&amp;L229)+1,"")</f>
        <v/>
      </c>
      <c r="EM229" t="str">
        <f>IF(D229=1,IF(TRIM(INDEX(Charge!$K:$K,ROW()))&lt;&gt;"","Interne",IF(TRIM(INDEX(Charge!$L:$L,ROW()))&lt;&gt;"","Externe","Non affecté")),"")</f>
        <v/>
      </c>
      <c r="EN229" t="str">
        <f>IF(D229=1,LEFT(SUBSTITUTE(SUBSTITUTE(SUBSTITUTE(TRIM(SUBSTITUTE(INDEX(Charge!$B:$B,ROW()),CHAR(160)," "))&amp;" | "&amp;TRIM(SUBSTITUTE(INDEX(Charge!$C:$C,ROW()),CHAR(160)," "))&amp;" | "&amp;TRIM(SUBSTITUTE(INDEX(Charge!$D:$D,ROW()),CHAR(160)," ")),"~","-"),"*","+"),"?","!"),240),"")</f>
        <v/>
      </c>
      <c r="EO229">
        <f>IF(EN229="",0,IF(COUNTIF($EN$4:EN229,EN229)=1,1,0))</f>
        <v>0</v>
      </c>
      <c r="EP229" s="166" t="str">
        <f>IF(EO229=1,ROUND(SUMIF($EN$4:$EN$503,EN229,$E$4:$E$503),2),"")</f>
        <v/>
      </c>
      <c r="EQ229" t="str">
        <f>IF(EO229=1,COUNTIFS($EO$4:$EO$503,1,$EP$4:$EP$503,"&gt;"&amp;EP229)+COUNTIFS($EO$4:EO229,1,$EP$4:EP229,EP229),"")</f>
        <v/>
      </c>
      <c r="ER229" t="str">
        <f>IF(EO229=1,COUNTIFS($EN$4:$EN$503,EN229,$EM$4:$EM$503,"Interne",$FE$4:$FE$503,1),"")</f>
        <v/>
      </c>
      <c r="ES229" t="str">
        <f>IF(EO229=1,COUNTIFS($EN$4:$EN$503,EN229,$EM$4:$EM$503,"Externe",$FE$4:$FE$503,1),"")</f>
        <v/>
      </c>
      <c r="ET229" t="str">
        <f>IF(EO229=1,IF(ER229+ES229=0,"à affecter",IF(ER229=0,ES229&amp;" ext.",(ER229+ES229)&amp;IF(ES229&gt;0," dont "&amp;ES229&amp;" ext.",""))&amp;IF(COUNTIFS($EN$4:$EN$503,EN229,$EM$4:$EM$503,"Non affecté")&gt;0," + à affecter","")),"")</f>
        <v/>
      </c>
      <c r="EU229" s="170" t="str">
        <f>IF(EO229=1,IF(EP229&gt;0,SUMPRODUCT(($EN$4:$EN$503=EN229)*$E$4:$E$503*$C$4:$C$503)/EP229,AVERAGEIF($EN$4:$EN$503,EN229,$C$4:$C$503)),"")</f>
        <v/>
      </c>
      <c r="EV229" s="165">
        <f>IF(ISNUMBER(I229),I229,2958465)</f>
        <v>2958465.0</v>
      </c>
      <c r="EW229" s="165" t="str">
        <f>IF(EO229=1,SUMPRODUCT(MIN(($EN$4:$EN$503=EN229)*$EV$4:$EV$503+($EN$4:$EN$503&lt;&gt;EN229)*2958465)),"")</f>
        <v/>
      </c>
      <c r="EX229" s="165">
        <f>IF(AND(D229=1,ISNUMBER(INDEX(Charge!$F:$F,ROW()))),INDEX(Charge!$F:$F,ROW()),0)</f>
        <v>0.0</v>
      </c>
      <c r="EY229" s="165" t="str">
        <f>IF(EO229=1,SUMPRODUCT(MAX(($EN$4:$EN$503=EN229)*$EX$4:$EX$503)),"")</f>
        <v/>
      </c>
      <c r="FA229" t="str">
        <f>IF(226&lt;=$CD$23,INDEX($EJ$4:$EJ$203,226),IF(226-$CD$23&lt;=$CD$26,INDEX($EK$4:$EK$203,226-$CD$23),""))</f>
        <v/>
      </c>
      <c r="FB229" t="str">
        <f>IF(FA229="","",IF(226&lt;=$CD$23,"Interne","Externe"))</f>
        <v/>
      </c>
      <c r="FD229">
        <f>IF(AND(B229=1,TRIM(INDEX(Charge!$K:$K,ROW()))&lt;&gt;"",TRIM(INDEX(Charge!$L:$L,ROW()))&lt;&gt;""),1,0)</f>
        <v>0</v>
      </c>
      <c r="FE229">
        <f>IF(OR(EN229="",BZ229="(non affecté)"),0,IF(COUNTIFS($EN$4:EN229,EN229,$BZ$4:BZ229,BZ229)=1,1,0))</f>
        <v>0</v>
      </c>
    </row>
    <row r="230">
      <c r="A230">
        <f>ROW()</f>
        <v>230</v>
      </c>
      <c r="B230">
        <f>IF(TRIM(INDEX(Charge!$B:$B,ROW()))&lt;&gt;"",1,0)</f>
        <v>0</v>
      </c>
      <c r="C230">
        <f>IF(B230=1,MIN(1,MAX(0,N(INDEX(Charge!$O:$O,ROW())))),0)</f>
        <v>0</v>
      </c>
      <c r="D230">
        <f>IF(B230=1,IF(OR(p_Perimetre="Tous les projets",C230&lt;1),1,0),0)</f>
        <v>0</v>
      </c>
      <c r="E230">
        <f>IF(D230=1,MAX(0,N(INDEX(Charge!$M:$M,ROW()))),0)</f>
        <v>0</v>
      </c>
      <c r="F230" t="str">
        <f>IF(D230=1,IF(TRIM(INDEX(Charge!$A:$A,ROW()))="","(non renseigné)",TRIM(INDEX(Charge!$A:$A,ROW()))),"")</f>
        <v/>
      </c>
      <c r="G230" t="str">
        <f>IF(D230=1,TRIM(INDEX(Charge!$B:$B,ROW())),"")</f>
        <v/>
      </c>
      <c r="H230" t="str">
        <f>IF(D230=1,IF(TRIM(INDEX(Charge!$E:$E,ROW()))="","(non renseigné)",TRIM(INDEX(Charge!$E:$E,ROW()))),"")</f>
        <v/>
      </c>
      <c r="I230" s="165" t="str">
        <f>IF(AND(D230=1,ISNUMBER(INDEX(Charge!$N:$N,ROW()))),INDEX(Charge!$N:$N,ROW()),"")</f>
        <v/>
      </c>
      <c r="J230" s="165" t="str">
        <f>IF(I230="","",IF(AND(p_Repartition="Lissée jusqu'à la date de besoin",ISNUMBER(INDEX(Charge!$F:$F,ROW()))),IF(INDEX(Charge!$F:$F,ROW())&gt;=I230,INDEX(Charge!$F:$F,ROW()),I230),I230))</f>
        <v/>
      </c>
      <c r="K230" t="str">
        <f>IF(I230="","",NETWORKDAYS(I230,J230,Data!$K$4:$K$203))</f>
        <v/>
      </c>
      <c r="L230" t="str">
        <f>IF(D230=1,COUNTIFS($D$4:$D$503,1,$E$4:$E$503,"&gt;"&amp;E230)+COUNTIFS($D$4:$D230,1,$E$4:$E230,E230),"")</f>
        <v/>
      </c>
      <c r="M230">
        <f>IF(F230="",0,IF(COUNTIF($F$4:F230,F230)=1,1,0))</f>
        <v>0</v>
      </c>
      <c r="N230" t="str">
        <f>IF(M230=1,ROUND(SUMIF($F$4:$F$503,F230,$E$4:$E$503),2),"")</f>
        <v/>
      </c>
      <c r="O230" t="str">
        <f>IF(M230=1,COUNTIFS($M$4:$M$503,1,$N$4:$N$503,"&gt;"&amp;N230)+COUNTIFS($M$4:M230,1,$N$4:N230,N230),"")</f>
        <v/>
      </c>
      <c r="P230">
        <f>IF(G230="",0,IF(COUNTIF($G$4:G230,G230)=1,1,0))</f>
        <v>0</v>
      </c>
      <c r="Q230" t="str">
        <f>IF(P230=1,ROUND(SUMIF($G$4:$G$503,G230,$E$4:$E$503),2),"")</f>
        <v/>
      </c>
      <c r="R230" t="str">
        <f>IF(P230=1,COUNTIFS($P$4:$P$503,1,$Q$4:$Q$503,"&gt;"&amp;Q230)+COUNTIFS($P$4:P230,1,$Q$4:Q230,Q230),"")</f>
        <v/>
      </c>
      <c r="S230">
        <f>IF(H230="",0,IF(COUNTIF($H$4:H230,H230)=1,1,0))</f>
        <v>0</v>
      </c>
      <c r="T230" t="str">
        <f>IF(S230=1,ROUND(SUMIF($H$4:$H$503,H230,$E$4:$E$503),2),"")</f>
        <v/>
      </c>
      <c r="U230" t="str">
        <f>IF(S230=1,COUNTIFS($S$4:$S$503,1,$T$4:$T$503,"&gt;"&amp;T230)+COUNTIFS($S$4:S230,1,$T$4:T230,T230),"")</f>
        <v/>
      </c>
      <c r="V230" t="str">
        <f>IF(D230=1,MIN(INDEX($R$4:$R$503,MATCH(G230,$G$4:$G$503,0)),IF($AL$7&gt;9,9,999)),"")</f>
        <v/>
      </c>
      <c r="W230" s="166">
        <f>IF(OR($I230="",$E230=0),0,IF(OR($J230&lt;W$3,$I230&gt;W$2),0,IF($K230=0,IF(AND($I230&gt;=W$3,$I230&lt;=W$2),$E230,0),$E230*NETWORKDAYS(MAX($I230,W$3),MIN($J230,W$2),Data!$K$4:$K$203)/$K230)))</f>
        <v>0</v>
      </c>
      <c r="X230" s="166">
        <f>IF(OR($I230="",$E230=0),0,IF(OR($J230&lt;X$3,$I230&gt;X$2),0,IF($K230=0,IF(AND($I230&gt;=X$3,$I230&lt;=X$2),$E230,0),$E230*NETWORKDAYS(MAX($I230,X$3),MIN($J230,X$2),Data!$K$4:$K$203)/$K230)))</f>
        <v>0</v>
      </c>
      <c r="Y230" s="166">
        <f>IF(OR($I230="",$E230=0),0,IF(OR($J230&lt;Y$3,$I230&gt;Y$2),0,IF($K230=0,IF(AND($I230&gt;=Y$3,$I230&lt;=Y$2),$E230,0),$E230*NETWORKDAYS(MAX($I230,Y$3),MIN($J230,Y$2),Data!$K$4:$K$203)/$K230)))</f>
        <v>0</v>
      </c>
      <c r="Z230" s="166">
        <f>IF(OR($I230="",$E230=0),0,IF(OR($J230&lt;Z$3,$I230&gt;Z$2),0,IF($K230=0,IF(AND($I230&gt;=Z$3,$I230&lt;=Z$2),$E230,0),$E230*NETWORKDAYS(MAX($I230,Z$3),MIN($J230,Z$2),Data!$K$4:$K$203)/$K230)))</f>
        <v>0</v>
      </c>
      <c r="AA230" s="166">
        <f>IF(OR($I230="",$E230=0),0,IF(OR($J230&lt;AA$3,$I230&gt;AA$2),0,IF($K230=0,IF(AND($I230&gt;=AA$3,$I230&lt;=AA$2),$E230,0),$E230*NETWORKDAYS(MAX($I230,AA$3),MIN($J230,AA$2),Data!$K$4:$K$203)/$K230)))</f>
        <v>0</v>
      </c>
      <c r="AB230" s="166">
        <f>IF(OR($I230="",$E230=0),0,IF(OR($J230&lt;AB$3,$I230&gt;AB$2),0,IF($K230=0,IF(AND($I230&gt;=AB$3,$I230&lt;=AB$2),$E230,0),$E230*NETWORKDAYS(MAX($I230,AB$3),MIN($J230,AB$2),Data!$K$4:$K$203)/$K230)))</f>
        <v>0</v>
      </c>
      <c r="AC230" s="166">
        <f>IF(OR($I230="",$E230=0),0,IF(OR($J230&lt;AC$3,$I230&gt;AC$2),0,IF($K230=0,IF(AND($I230&gt;=AC$3,$I230&lt;=AC$2),$E230,0),$E230*NETWORKDAYS(MAX($I230,AC$3),MIN($J230,AC$2),Data!$K$4:$K$203)/$K230)))</f>
        <v>0</v>
      </c>
      <c r="AD230" s="166">
        <f>IF(OR($I230="",$E230=0),0,IF(OR($J230&lt;AD$3,$I230&gt;AD$2),0,IF($K230=0,IF(AND($I230&gt;=AD$3,$I230&lt;=AD$2),$E230,0),$E230*NETWORKDAYS(MAX($I230,AD$3),MIN($J230,AD$2),Data!$K$4:$K$203)/$K230)))</f>
        <v>0</v>
      </c>
      <c r="AE230" s="166">
        <f>IF(OR($I230="",$E230=0),0,IF(OR($J230&lt;AE$3,$I230&gt;AE$2),0,IF($K230=0,IF(AND($I230&gt;=AE$3,$I230&lt;=AE$2),$E230,0),$E230*NETWORKDAYS(MAX($I230,AE$3),MIN($J230,AE$2),Data!$K$4:$K$203)/$K230)))</f>
        <v>0</v>
      </c>
      <c r="AF230" s="166">
        <f>IF(OR($I230="",$E230=0),0,IF(OR($J230&lt;AF$3,$I230&gt;AF$2),0,IF($K230=0,IF(AND($I230&gt;=AF$3,$I230&lt;=AF$2),$E230,0),$E230*NETWORKDAYS(MAX($I230,AF$3),MIN($J230,AF$2),Data!$K$4:$K$203)/$K230)))</f>
        <v>0</v>
      </c>
      <c r="AG230" s="166">
        <f>IF(OR($I230="",$E230=0),0,IF(OR($J230&lt;AG$3,$I230&gt;AG$2),0,IF($K230=0,IF(AND($I230&gt;=AG$3,$I230&lt;=AG$2),$E230,0),$E230*NETWORKDAYS(MAX($I230,AG$3),MIN($J230,AG$2),Data!$K$4:$K$203)/$K230)))</f>
        <v>0</v>
      </c>
      <c r="AH230" s="166">
        <f>IF(OR($I230="",$E230=0),0,IF(OR($J230&lt;AH$3,$I230&gt;AH$2),0,IF($K230=0,IF(AND($I230&gt;=AH$3,$I230&lt;=AH$2),$E230,0),$E230*NETWORKDAYS(MAX($I230,AH$3),MIN($J230,AH$2),Data!$K$4:$K$203)/$K230)))</f>
        <v>0</v>
      </c>
      <c r="AI230" s="166">
        <f>SUM(W230:AH230)</f>
        <v>0</v>
      </c>
      <c r="BZ230" t="str">
        <f>IF(D230=1,IF(TRIM(INDEX(Charge!$K:$K,ROW()))&lt;&gt;"",TRIM(INDEX(Charge!$K:$K,ROW())),IF(TRIM(INDEX(Charge!$L:$L,ROW()))&lt;&gt;"",TRIM(INDEX(Charge!$L:$L,ROW())),"(non affecté)")),"")</f>
        <v/>
      </c>
      <c r="CA230" t="str">
        <f>IF(AND($CD$4&lt;&gt;"",BZ230=$CD$4),COUNTIFS($BZ$4:$BZ$503,$CD$4,$L$4:$L$503,"&lt;"&amp;L230)+1,"")</f>
        <v/>
      </c>
      <c r="EM230" t="str">
        <f>IF(D230=1,IF(TRIM(INDEX(Charge!$K:$K,ROW()))&lt;&gt;"","Interne",IF(TRIM(INDEX(Charge!$L:$L,ROW()))&lt;&gt;"","Externe","Non affecté")),"")</f>
        <v/>
      </c>
      <c r="EN230" t="str">
        <f>IF(D230=1,LEFT(SUBSTITUTE(SUBSTITUTE(SUBSTITUTE(TRIM(SUBSTITUTE(INDEX(Charge!$B:$B,ROW()),CHAR(160)," "))&amp;" | "&amp;TRIM(SUBSTITUTE(INDEX(Charge!$C:$C,ROW()),CHAR(160)," "))&amp;" | "&amp;TRIM(SUBSTITUTE(INDEX(Charge!$D:$D,ROW()),CHAR(160)," ")),"~","-"),"*","+"),"?","!"),240),"")</f>
        <v/>
      </c>
      <c r="EO230">
        <f>IF(EN230="",0,IF(COUNTIF($EN$4:EN230,EN230)=1,1,0))</f>
        <v>0</v>
      </c>
      <c r="EP230" s="166" t="str">
        <f>IF(EO230=1,ROUND(SUMIF($EN$4:$EN$503,EN230,$E$4:$E$503),2),"")</f>
        <v/>
      </c>
      <c r="EQ230" t="str">
        <f>IF(EO230=1,COUNTIFS($EO$4:$EO$503,1,$EP$4:$EP$503,"&gt;"&amp;EP230)+COUNTIFS($EO$4:EO230,1,$EP$4:EP230,EP230),"")</f>
        <v/>
      </c>
      <c r="ER230" t="str">
        <f>IF(EO230=1,COUNTIFS($EN$4:$EN$503,EN230,$EM$4:$EM$503,"Interne",$FE$4:$FE$503,1),"")</f>
        <v/>
      </c>
      <c r="ES230" t="str">
        <f>IF(EO230=1,COUNTIFS($EN$4:$EN$503,EN230,$EM$4:$EM$503,"Externe",$FE$4:$FE$503,1),"")</f>
        <v/>
      </c>
      <c r="ET230" t="str">
        <f>IF(EO230=1,IF(ER230+ES230=0,"à affecter",IF(ER230=0,ES230&amp;" ext.",(ER230+ES230)&amp;IF(ES230&gt;0," dont "&amp;ES230&amp;" ext.",""))&amp;IF(COUNTIFS($EN$4:$EN$503,EN230,$EM$4:$EM$503,"Non affecté")&gt;0," + à affecter","")),"")</f>
        <v/>
      </c>
      <c r="EU230" s="170" t="str">
        <f>IF(EO230=1,IF(EP230&gt;0,SUMPRODUCT(($EN$4:$EN$503=EN230)*$E$4:$E$503*$C$4:$C$503)/EP230,AVERAGEIF($EN$4:$EN$503,EN230,$C$4:$C$503)),"")</f>
        <v/>
      </c>
      <c r="EV230" s="165">
        <f>IF(ISNUMBER(I230),I230,2958465)</f>
        <v>2958465.0</v>
      </c>
      <c r="EW230" s="165" t="str">
        <f>IF(EO230=1,SUMPRODUCT(MIN(($EN$4:$EN$503=EN230)*$EV$4:$EV$503+($EN$4:$EN$503&lt;&gt;EN230)*2958465)),"")</f>
        <v/>
      </c>
      <c r="EX230" s="165">
        <f>IF(AND(D230=1,ISNUMBER(INDEX(Charge!$F:$F,ROW()))),INDEX(Charge!$F:$F,ROW()),0)</f>
        <v>0.0</v>
      </c>
      <c r="EY230" s="165" t="str">
        <f>IF(EO230=1,SUMPRODUCT(MAX(($EN$4:$EN$503=EN230)*$EX$4:$EX$503)),"")</f>
        <v/>
      </c>
      <c r="FA230" t="str">
        <f>IF(227&lt;=$CD$23,INDEX($EJ$4:$EJ$203,227),IF(227-$CD$23&lt;=$CD$26,INDEX($EK$4:$EK$203,227-$CD$23),""))</f>
        <v/>
      </c>
      <c r="FB230" t="str">
        <f>IF(FA230="","",IF(227&lt;=$CD$23,"Interne","Externe"))</f>
        <v/>
      </c>
      <c r="FD230">
        <f>IF(AND(B230=1,TRIM(INDEX(Charge!$K:$K,ROW()))&lt;&gt;"",TRIM(INDEX(Charge!$L:$L,ROW()))&lt;&gt;""),1,0)</f>
        <v>0</v>
      </c>
      <c r="FE230">
        <f>IF(OR(EN230="",BZ230="(non affecté)"),0,IF(COUNTIFS($EN$4:EN230,EN230,$BZ$4:BZ230,BZ230)=1,1,0))</f>
        <v>0</v>
      </c>
    </row>
    <row r="231">
      <c r="A231">
        <f>ROW()</f>
        <v>231</v>
      </c>
      <c r="B231">
        <f>IF(TRIM(INDEX(Charge!$B:$B,ROW()))&lt;&gt;"",1,0)</f>
        <v>0</v>
      </c>
      <c r="C231">
        <f>IF(B231=1,MIN(1,MAX(0,N(INDEX(Charge!$O:$O,ROW())))),0)</f>
        <v>0</v>
      </c>
      <c r="D231">
        <f>IF(B231=1,IF(OR(p_Perimetre="Tous les projets",C231&lt;1),1,0),0)</f>
        <v>0</v>
      </c>
      <c r="E231">
        <f>IF(D231=1,MAX(0,N(INDEX(Charge!$M:$M,ROW()))),0)</f>
        <v>0</v>
      </c>
      <c r="F231" t="str">
        <f>IF(D231=1,IF(TRIM(INDEX(Charge!$A:$A,ROW()))="","(non renseigné)",TRIM(INDEX(Charge!$A:$A,ROW()))),"")</f>
        <v/>
      </c>
      <c r="G231" t="str">
        <f>IF(D231=1,TRIM(INDEX(Charge!$B:$B,ROW())),"")</f>
        <v/>
      </c>
      <c r="H231" t="str">
        <f>IF(D231=1,IF(TRIM(INDEX(Charge!$E:$E,ROW()))="","(non renseigné)",TRIM(INDEX(Charge!$E:$E,ROW()))),"")</f>
        <v/>
      </c>
      <c r="I231" s="165" t="str">
        <f>IF(AND(D231=1,ISNUMBER(INDEX(Charge!$N:$N,ROW()))),INDEX(Charge!$N:$N,ROW()),"")</f>
        <v/>
      </c>
      <c r="J231" s="165" t="str">
        <f>IF(I231="","",IF(AND(p_Repartition="Lissée jusqu'à la date de besoin",ISNUMBER(INDEX(Charge!$F:$F,ROW()))),IF(INDEX(Charge!$F:$F,ROW())&gt;=I231,INDEX(Charge!$F:$F,ROW()),I231),I231))</f>
        <v/>
      </c>
      <c r="K231" t="str">
        <f>IF(I231="","",NETWORKDAYS(I231,J231,Data!$K$4:$K$203))</f>
        <v/>
      </c>
      <c r="L231" t="str">
        <f>IF(D231=1,COUNTIFS($D$4:$D$503,1,$E$4:$E$503,"&gt;"&amp;E231)+COUNTIFS($D$4:$D231,1,$E$4:$E231,E231),"")</f>
        <v/>
      </c>
      <c r="M231">
        <f>IF(F231="",0,IF(COUNTIF($F$4:F231,F231)=1,1,0))</f>
        <v>0</v>
      </c>
      <c r="N231" t="str">
        <f>IF(M231=1,ROUND(SUMIF($F$4:$F$503,F231,$E$4:$E$503),2),"")</f>
        <v/>
      </c>
      <c r="O231" t="str">
        <f>IF(M231=1,COUNTIFS($M$4:$M$503,1,$N$4:$N$503,"&gt;"&amp;N231)+COUNTIFS($M$4:M231,1,$N$4:N231,N231),"")</f>
        <v/>
      </c>
      <c r="P231">
        <f>IF(G231="",0,IF(COUNTIF($G$4:G231,G231)=1,1,0))</f>
        <v>0</v>
      </c>
      <c r="Q231" t="str">
        <f>IF(P231=1,ROUND(SUMIF($G$4:$G$503,G231,$E$4:$E$503),2),"")</f>
        <v/>
      </c>
      <c r="R231" t="str">
        <f>IF(P231=1,COUNTIFS($P$4:$P$503,1,$Q$4:$Q$503,"&gt;"&amp;Q231)+COUNTIFS($P$4:P231,1,$Q$4:Q231,Q231),"")</f>
        <v/>
      </c>
      <c r="S231">
        <f>IF(H231="",0,IF(COUNTIF($H$4:H231,H231)=1,1,0))</f>
        <v>0</v>
      </c>
      <c r="T231" t="str">
        <f>IF(S231=1,ROUND(SUMIF($H$4:$H$503,H231,$E$4:$E$503),2),"")</f>
        <v/>
      </c>
      <c r="U231" t="str">
        <f>IF(S231=1,COUNTIFS($S$4:$S$503,1,$T$4:$T$503,"&gt;"&amp;T231)+COUNTIFS($S$4:S231,1,$T$4:T231,T231),"")</f>
        <v/>
      </c>
      <c r="V231" t="str">
        <f>IF(D231=1,MIN(INDEX($R$4:$R$503,MATCH(G231,$G$4:$G$503,0)),IF($AL$7&gt;9,9,999)),"")</f>
        <v/>
      </c>
      <c r="W231" s="166">
        <f>IF(OR($I231="",$E231=0),0,IF(OR($J231&lt;W$3,$I231&gt;W$2),0,IF($K231=0,IF(AND($I231&gt;=W$3,$I231&lt;=W$2),$E231,0),$E231*NETWORKDAYS(MAX($I231,W$3),MIN($J231,W$2),Data!$K$4:$K$203)/$K231)))</f>
        <v>0</v>
      </c>
      <c r="X231" s="166">
        <f>IF(OR($I231="",$E231=0),0,IF(OR($J231&lt;X$3,$I231&gt;X$2),0,IF($K231=0,IF(AND($I231&gt;=X$3,$I231&lt;=X$2),$E231,0),$E231*NETWORKDAYS(MAX($I231,X$3),MIN($J231,X$2),Data!$K$4:$K$203)/$K231)))</f>
        <v>0</v>
      </c>
      <c r="Y231" s="166">
        <f>IF(OR($I231="",$E231=0),0,IF(OR($J231&lt;Y$3,$I231&gt;Y$2),0,IF($K231=0,IF(AND($I231&gt;=Y$3,$I231&lt;=Y$2),$E231,0),$E231*NETWORKDAYS(MAX($I231,Y$3),MIN($J231,Y$2),Data!$K$4:$K$203)/$K231)))</f>
        <v>0</v>
      </c>
      <c r="Z231" s="166">
        <f>IF(OR($I231="",$E231=0),0,IF(OR($J231&lt;Z$3,$I231&gt;Z$2),0,IF($K231=0,IF(AND($I231&gt;=Z$3,$I231&lt;=Z$2),$E231,0),$E231*NETWORKDAYS(MAX($I231,Z$3),MIN($J231,Z$2),Data!$K$4:$K$203)/$K231)))</f>
        <v>0</v>
      </c>
      <c r="AA231" s="166">
        <f>IF(OR($I231="",$E231=0),0,IF(OR($J231&lt;AA$3,$I231&gt;AA$2),0,IF($K231=0,IF(AND($I231&gt;=AA$3,$I231&lt;=AA$2),$E231,0),$E231*NETWORKDAYS(MAX($I231,AA$3),MIN($J231,AA$2),Data!$K$4:$K$203)/$K231)))</f>
        <v>0</v>
      </c>
      <c r="AB231" s="166">
        <f>IF(OR($I231="",$E231=0),0,IF(OR($J231&lt;AB$3,$I231&gt;AB$2),0,IF($K231=0,IF(AND($I231&gt;=AB$3,$I231&lt;=AB$2),$E231,0),$E231*NETWORKDAYS(MAX($I231,AB$3),MIN($J231,AB$2),Data!$K$4:$K$203)/$K231)))</f>
        <v>0</v>
      </c>
      <c r="AC231" s="166">
        <f>IF(OR($I231="",$E231=0),0,IF(OR($J231&lt;AC$3,$I231&gt;AC$2),0,IF($K231=0,IF(AND($I231&gt;=AC$3,$I231&lt;=AC$2),$E231,0),$E231*NETWORKDAYS(MAX($I231,AC$3),MIN($J231,AC$2),Data!$K$4:$K$203)/$K231)))</f>
        <v>0</v>
      </c>
      <c r="AD231" s="166">
        <f>IF(OR($I231="",$E231=0),0,IF(OR($J231&lt;AD$3,$I231&gt;AD$2),0,IF($K231=0,IF(AND($I231&gt;=AD$3,$I231&lt;=AD$2),$E231,0),$E231*NETWORKDAYS(MAX($I231,AD$3),MIN($J231,AD$2),Data!$K$4:$K$203)/$K231)))</f>
        <v>0</v>
      </c>
      <c r="AE231" s="166">
        <f>IF(OR($I231="",$E231=0),0,IF(OR($J231&lt;AE$3,$I231&gt;AE$2),0,IF($K231=0,IF(AND($I231&gt;=AE$3,$I231&lt;=AE$2),$E231,0),$E231*NETWORKDAYS(MAX($I231,AE$3),MIN($J231,AE$2),Data!$K$4:$K$203)/$K231)))</f>
        <v>0</v>
      </c>
      <c r="AF231" s="166">
        <f>IF(OR($I231="",$E231=0),0,IF(OR($J231&lt;AF$3,$I231&gt;AF$2),0,IF($K231=0,IF(AND($I231&gt;=AF$3,$I231&lt;=AF$2),$E231,0),$E231*NETWORKDAYS(MAX($I231,AF$3),MIN($J231,AF$2),Data!$K$4:$K$203)/$K231)))</f>
        <v>0</v>
      </c>
      <c r="AG231" s="166">
        <f>IF(OR($I231="",$E231=0),0,IF(OR($J231&lt;AG$3,$I231&gt;AG$2),0,IF($K231=0,IF(AND($I231&gt;=AG$3,$I231&lt;=AG$2),$E231,0),$E231*NETWORKDAYS(MAX($I231,AG$3),MIN($J231,AG$2),Data!$K$4:$K$203)/$K231)))</f>
        <v>0</v>
      </c>
      <c r="AH231" s="166">
        <f>IF(OR($I231="",$E231=0),0,IF(OR($J231&lt;AH$3,$I231&gt;AH$2),0,IF($K231=0,IF(AND($I231&gt;=AH$3,$I231&lt;=AH$2),$E231,0),$E231*NETWORKDAYS(MAX($I231,AH$3),MIN($J231,AH$2),Data!$K$4:$K$203)/$K231)))</f>
        <v>0</v>
      </c>
      <c r="AI231" s="166">
        <f>SUM(W231:AH231)</f>
        <v>0</v>
      </c>
      <c r="BZ231" t="str">
        <f>IF(D231=1,IF(TRIM(INDEX(Charge!$K:$K,ROW()))&lt;&gt;"",TRIM(INDEX(Charge!$K:$K,ROW())),IF(TRIM(INDEX(Charge!$L:$L,ROW()))&lt;&gt;"",TRIM(INDEX(Charge!$L:$L,ROW())),"(non affecté)")),"")</f>
        <v/>
      </c>
      <c r="CA231" t="str">
        <f>IF(AND($CD$4&lt;&gt;"",BZ231=$CD$4),COUNTIFS($BZ$4:$BZ$503,$CD$4,$L$4:$L$503,"&lt;"&amp;L231)+1,"")</f>
        <v/>
      </c>
      <c r="EM231" t="str">
        <f>IF(D231=1,IF(TRIM(INDEX(Charge!$K:$K,ROW()))&lt;&gt;"","Interne",IF(TRIM(INDEX(Charge!$L:$L,ROW()))&lt;&gt;"","Externe","Non affecté")),"")</f>
        <v/>
      </c>
      <c r="EN231" t="str">
        <f>IF(D231=1,LEFT(SUBSTITUTE(SUBSTITUTE(SUBSTITUTE(TRIM(SUBSTITUTE(INDEX(Charge!$B:$B,ROW()),CHAR(160)," "))&amp;" | "&amp;TRIM(SUBSTITUTE(INDEX(Charge!$C:$C,ROW()),CHAR(160)," "))&amp;" | "&amp;TRIM(SUBSTITUTE(INDEX(Charge!$D:$D,ROW()),CHAR(160)," ")),"~","-"),"*","+"),"?","!"),240),"")</f>
        <v/>
      </c>
      <c r="EO231">
        <f>IF(EN231="",0,IF(COUNTIF($EN$4:EN231,EN231)=1,1,0))</f>
        <v>0</v>
      </c>
      <c r="EP231" s="166" t="str">
        <f>IF(EO231=1,ROUND(SUMIF($EN$4:$EN$503,EN231,$E$4:$E$503),2),"")</f>
        <v/>
      </c>
      <c r="EQ231" t="str">
        <f>IF(EO231=1,COUNTIFS($EO$4:$EO$503,1,$EP$4:$EP$503,"&gt;"&amp;EP231)+COUNTIFS($EO$4:EO231,1,$EP$4:EP231,EP231),"")</f>
        <v/>
      </c>
      <c r="ER231" t="str">
        <f>IF(EO231=1,COUNTIFS($EN$4:$EN$503,EN231,$EM$4:$EM$503,"Interne",$FE$4:$FE$503,1),"")</f>
        <v/>
      </c>
      <c r="ES231" t="str">
        <f>IF(EO231=1,COUNTIFS($EN$4:$EN$503,EN231,$EM$4:$EM$503,"Externe",$FE$4:$FE$503,1),"")</f>
        <v/>
      </c>
      <c r="ET231" t="str">
        <f>IF(EO231=1,IF(ER231+ES231=0,"à affecter",IF(ER231=0,ES231&amp;" ext.",(ER231+ES231)&amp;IF(ES231&gt;0," dont "&amp;ES231&amp;" ext.",""))&amp;IF(COUNTIFS($EN$4:$EN$503,EN231,$EM$4:$EM$503,"Non affecté")&gt;0," + à affecter","")),"")</f>
        <v/>
      </c>
      <c r="EU231" s="170" t="str">
        <f>IF(EO231=1,IF(EP231&gt;0,SUMPRODUCT(($EN$4:$EN$503=EN231)*$E$4:$E$503*$C$4:$C$503)/EP231,AVERAGEIF($EN$4:$EN$503,EN231,$C$4:$C$503)),"")</f>
        <v/>
      </c>
      <c r="EV231" s="165">
        <f>IF(ISNUMBER(I231),I231,2958465)</f>
        <v>2958465.0</v>
      </c>
      <c r="EW231" s="165" t="str">
        <f>IF(EO231=1,SUMPRODUCT(MIN(($EN$4:$EN$503=EN231)*$EV$4:$EV$503+($EN$4:$EN$503&lt;&gt;EN231)*2958465)),"")</f>
        <v/>
      </c>
      <c r="EX231" s="165">
        <f>IF(AND(D231=1,ISNUMBER(INDEX(Charge!$F:$F,ROW()))),INDEX(Charge!$F:$F,ROW()),0)</f>
        <v>0.0</v>
      </c>
      <c r="EY231" s="165" t="str">
        <f>IF(EO231=1,SUMPRODUCT(MAX(($EN$4:$EN$503=EN231)*$EX$4:$EX$503)),"")</f>
        <v/>
      </c>
      <c r="FA231" t="str">
        <f>IF(228&lt;=$CD$23,INDEX($EJ$4:$EJ$203,228),IF(228-$CD$23&lt;=$CD$26,INDEX($EK$4:$EK$203,228-$CD$23),""))</f>
        <v/>
      </c>
      <c r="FB231" t="str">
        <f>IF(FA231="","",IF(228&lt;=$CD$23,"Interne","Externe"))</f>
        <v/>
      </c>
      <c r="FD231">
        <f>IF(AND(B231=1,TRIM(INDEX(Charge!$K:$K,ROW()))&lt;&gt;"",TRIM(INDEX(Charge!$L:$L,ROW()))&lt;&gt;""),1,0)</f>
        <v>0</v>
      </c>
      <c r="FE231">
        <f>IF(OR(EN231="",BZ231="(non affecté)"),0,IF(COUNTIFS($EN$4:EN231,EN231,$BZ$4:BZ231,BZ231)=1,1,0))</f>
        <v>0</v>
      </c>
    </row>
    <row r="232">
      <c r="A232">
        <f>ROW()</f>
        <v>232</v>
      </c>
      <c r="B232">
        <f>IF(TRIM(INDEX(Charge!$B:$B,ROW()))&lt;&gt;"",1,0)</f>
        <v>0</v>
      </c>
      <c r="C232">
        <f>IF(B232=1,MIN(1,MAX(0,N(INDEX(Charge!$O:$O,ROW())))),0)</f>
        <v>0</v>
      </c>
      <c r="D232">
        <f>IF(B232=1,IF(OR(p_Perimetre="Tous les projets",C232&lt;1),1,0),0)</f>
        <v>0</v>
      </c>
      <c r="E232">
        <f>IF(D232=1,MAX(0,N(INDEX(Charge!$M:$M,ROW()))),0)</f>
        <v>0</v>
      </c>
      <c r="F232" t="str">
        <f>IF(D232=1,IF(TRIM(INDEX(Charge!$A:$A,ROW()))="","(non renseigné)",TRIM(INDEX(Charge!$A:$A,ROW()))),"")</f>
        <v/>
      </c>
      <c r="G232" t="str">
        <f>IF(D232=1,TRIM(INDEX(Charge!$B:$B,ROW())),"")</f>
        <v/>
      </c>
      <c r="H232" t="str">
        <f>IF(D232=1,IF(TRIM(INDEX(Charge!$E:$E,ROW()))="","(non renseigné)",TRIM(INDEX(Charge!$E:$E,ROW()))),"")</f>
        <v/>
      </c>
      <c r="I232" s="165" t="str">
        <f>IF(AND(D232=1,ISNUMBER(INDEX(Charge!$N:$N,ROW()))),INDEX(Charge!$N:$N,ROW()),"")</f>
        <v/>
      </c>
      <c r="J232" s="165" t="str">
        <f>IF(I232="","",IF(AND(p_Repartition="Lissée jusqu'à la date de besoin",ISNUMBER(INDEX(Charge!$F:$F,ROW()))),IF(INDEX(Charge!$F:$F,ROW())&gt;=I232,INDEX(Charge!$F:$F,ROW()),I232),I232))</f>
        <v/>
      </c>
      <c r="K232" t="str">
        <f>IF(I232="","",NETWORKDAYS(I232,J232,Data!$K$4:$K$203))</f>
        <v/>
      </c>
      <c r="L232" t="str">
        <f>IF(D232=1,COUNTIFS($D$4:$D$503,1,$E$4:$E$503,"&gt;"&amp;E232)+COUNTIFS($D$4:$D232,1,$E$4:$E232,E232),"")</f>
        <v/>
      </c>
      <c r="M232">
        <f>IF(F232="",0,IF(COUNTIF($F$4:F232,F232)=1,1,0))</f>
        <v>0</v>
      </c>
      <c r="N232" t="str">
        <f>IF(M232=1,ROUND(SUMIF($F$4:$F$503,F232,$E$4:$E$503),2),"")</f>
        <v/>
      </c>
      <c r="O232" t="str">
        <f>IF(M232=1,COUNTIFS($M$4:$M$503,1,$N$4:$N$503,"&gt;"&amp;N232)+COUNTIFS($M$4:M232,1,$N$4:N232,N232),"")</f>
        <v/>
      </c>
      <c r="P232">
        <f>IF(G232="",0,IF(COUNTIF($G$4:G232,G232)=1,1,0))</f>
        <v>0</v>
      </c>
      <c r="Q232" t="str">
        <f>IF(P232=1,ROUND(SUMIF($G$4:$G$503,G232,$E$4:$E$503),2),"")</f>
        <v/>
      </c>
      <c r="R232" t="str">
        <f>IF(P232=1,COUNTIFS($P$4:$P$503,1,$Q$4:$Q$503,"&gt;"&amp;Q232)+COUNTIFS($P$4:P232,1,$Q$4:Q232,Q232),"")</f>
        <v/>
      </c>
      <c r="S232">
        <f>IF(H232="",0,IF(COUNTIF($H$4:H232,H232)=1,1,0))</f>
        <v>0</v>
      </c>
      <c r="T232" t="str">
        <f>IF(S232=1,ROUND(SUMIF($H$4:$H$503,H232,$E$4:$E$503),2),"")</f>
        <v/>
      </c>
      <c r="U232" t="str">
        <f>IF(S232=1,COUNTIFS($S$4:$S$503,1,$T$4:$T$503,"&gt;"&amp;T232)+COUNTIFS($S$4:S232,1,$T$4:T232,T232),"")</f>
        <v/>
      </c>
      <c r="V232" t="str">
        <f>IF(D232=1,MIN(INDEX($R$4:$R$503,MATCH(G232,$G$4:$G$503,0)),IF($AL$7&gt;9,9,999)),"")</f>
        <v/>
      </c>
      <c r="W232" s="166">
        <f>IF(OR($I232="",$E232=0),0,IF(OR($J232&lt;W$3,$I232&gt;W$2),0,IF($K232=0,IF(AND($I232&gt;=W$3,$I232&lt;=W$2),$E232,0),$E232*NETWORKDAYS(MAX($I232,W$3),MIN($J232,W$2),Data!$K$4:$K$203)/$K232)))</f>
        <v>0</v>
      </c>
      <c r="X232" s="166">
        <f>IF(OR($I232="",$E232=0),0,IF(OR($J232&lt;X$3,$I232&gt;X$2),0,IF($K232=0,IF(AND($I232&gt;=X$3,$I232&lt;=X$2),$E232,0),$E232*NETWORKDAYS(MAX($I232,X$3),MIN($J232,X$2),Data!$K$4:$K$203)/$K232)))</f>
        <v>0</v>
      </c>
      <c r="Y232" s="166">
        <f>IF(OR($I232="",$E232=0),0,IF(OR($J232&lt;Y$3,$I232&gt;Y$2),0,IF($K232=0,IF(AND($I232&gt;=Y$3,$I232&lt;=Y$2),$E232,0),$E232*NETWORKDAYS(MAX($I232,Y$3),MIN($J232,Y$2),Data!$K$4:$K$203)/$K232)))</f>
        <v>0</v>
      </c>
      <c r="Z232" s="166">
        <f>IF(OR($I232="",$E232=0),0,IF(OR($J232&lt;Z$3,$I232&gt;Z$2),0,IF($K232=0,IF(AND($I232&gt;=Z$3,$I232&lt;=Z$2),$E232,0),$E232*NETWORKDAYS(MAX($I232,Z$3),MIN($J232,Z$2),Data!$K$4:$K$203)/$K232)))</f>
        <v>0</v>
      </c>
      <c r="AA232" s="166">
        <f>IF(OR($I232="",$E232=0),0,IF(OR($J232&lt;AA$3,$I232&gt;AA$2),0,IF($K232=0,IF(AND($I232&gt;=AA$3,$I232&lt;=AA$2),$E232,0),$E232*NETWORKDAYS(MAX($I232,AA$3),MIN($J232,AA$2),Data!$K$4:$K$203)/$K232)))</f>
        <v>0</v>
      </c>
      <c r="AB232" s="166">
        <f>IF(OR($I232="",$E232=0),0,IF(OR($J232&lt;AB$3,$I232&gt;AB$2),0,IF($K232=0,IF(AND($I232&gt;=AB$3,$I232&lt;=AB$2),$E232,0),$E232*NETWORKDAYS(MAX($I232,AB$3),MIN($J232,AB$2),Data!$K$4:$K$203)/$K232)))</f>
        <v>0</v>
      </c>
      <c r="AC232" s="166">
        <f>IF(OR($I232="",$E232=0),0,IF(OR($J232&lt;AC$3,$I232&gt;AC$2),0,IF($K232=0,IF(AND($I232&gt;=AC$3,$I232&lt;=AC$2),$E232,0),$E232*NETWORKDAYS(MAX($I232,AC$3),MIN($J232,AC$2),Data!$K$4:$K$203)/$K232)))</f>
        <v>0</v>
      </c>
      <c r="AD232" s="166">
        <f>IF(OR($I232="",$E232=0),0,IF(OR($J232&lt;AD$3,$I232&gt;AD$2),0,IF($K232=0,IF(AND($I232&gt;=AD$3,$I232&lt;=AD$2),$E232,0),$E232*NETWORKDAYS(MAX($I232,AD$3),MIN($J232,AD$2),Data!$K$4:$K$203)/$K232)))</f>
        <v>0</v>
      </c>
      <c r="AE232" s="166">
        <f>IF(OR($I232="",$E232=0),0,IF(OR($J232&lt;AE$3,$I232&gt;AE$2),0,IF($K232=0,IF(AND($I232&gt;=AE$3,$I232&lt;=AE$2),$E232,0),$E232*NETWORKDAYS(MAX($I232,AE$3),MIN($J232,AE$2),Data!$K$4:$K$203)/$K232)))</f>
        <v>0</v>
      </c>
      <c r="AF232" s="166">
        <f>IF(OR($I232="",$E232=0),0,IF(OR($J232&lt;AF$3,$I232&gt;AF$2),0,IF($K232=0,IF(AND($I232&gt;=AF$3,$I232&lt;=AF$2),$E232,0),$E232*NETWORKDAYS(MAX($I232,AF$3),MIN($J232,AF$2),Data!$K$4:$K$203)/$K232)))</f>
        <v>0</v>
      </c>
      <c r="AG232" s="166">
        <f>IF(OR($I232="",$E232=0),0,IF(OR($J232&lt;AG$3,$I232&gt;AG$2),0,IF($K232=0,IF(AND($I232&gt;=AG$3,$I232&lt;=AG$2),$E232,0),$E232*NETWORKDAYS(MAX($I232,AG$3),MIN($J232,AG$2),Data!$K$4:$K$203)/$K232)))</f>
        <v>0</v>
      </c>
      <c r="AH232" s="166">
        <f>IF(OR($I232="",$E232=0),0,IF(OR($J232&lt;AH$3,$I232&gt;AH$2),0,IF($K232=0,IF(AND($I232&gt;=AH$3,$I232&lt;=AH$2),$E232,0),$E232*NETWORKDAYS(MAX($I232,AH$3),MIN($J232,AH$2),Data!$K$4:$K$203)/$K232)))</f>
        <v>0</v>
      </c>
      <c r="AI232" s="166">
        <f>SUM(W232:AH232)</f>
        <v>0</v>
      </c>
      <c r="BZ232" t="str">
        <f>IF(D232=1,IF(TRIM(INDEX(Charge!$K:$K,ROW()))&lt;&gt;"",TRIM(INDEX(Charge!$K:$K,ROW())),IF(TRIM(INDEX(Charge!$L:$L,ROW()))&lt;&gt;"",TRIM(INDEX(Charge!$L:$L,ROW())),"(non affecté)")),"")</f>
        <v/>
      </c>
      <c r="CA232" t="str">
        <f>IF(AND($CD$4&lt;&gt;"",BZ232=$CD$4),COUNTIFS($BZ$4:$BZ$503,$CD$4,$L$4:$L$503,"&lt;"&amp;L232)+1,"")</f>
        <v/>
      </c>
      <c r="EM232" t="str">
        <f>IF(D232=1,IF(TRIM(INDEX(Charge!$K:$K,ROW()))&lt;&gt;"","Interne",IF(TRIM(INDEX(Charge!$L:$L,ROW()))&lt;&gt;"","Externe","Non affecté")),"")</f>
        <v/>
      </c>
      <c r="EN232" t="str">
        <f>IF(D232=1,LEFT(SUBSTITUTE(SUBSTITUTE(SUBSTITUTE(TRIM(SUBSTITUTE(INDEX(Charge!$B:$B,ROW()),CHAR(160)," "))&amp;" | "&amp;TRIM(SUBSTITUTE(INDEX(Charge!$C:$C,ROW()),CHAR(160)," "))&amp;" | "&amp;TRIM(SUBSTITUTE(INDEX(Charge!$D:$D,ROW()),CHAR(160)," ")),"~","-"),"*","+"),"?","!"),240),"")</f>
        <v/>
      </c>
      <c r="EO232">
        <f>IF(EN232="",0,IF(COUNTIF($EN$4:EN232,EN232)=1,1,0))</f>
        <v>0</v>
      </c>
      <c r="EP232" s="166" t="str">
        <f>IF(EO232=1,ROUND(SUMIF($EN$4:$EN$503,EN232,$E$4:$E$503),2),"")</f>
        <v/>
      </c>
      <c r="EQ232" t="str">
        <f>IF(EO232=1,COUNTIFS($EO$4:$EO$503,1,$EP$4:$EP$503,"&gt;"&amp;EP232)+COUNTIFS($EO$4:EO232,1,$EP$4:EP232,EP232),"")</f>
        <v/>
      </c>
      <c r="ER232" t="str">
        <f>IF(EO232=1,COUNTIFS($EN$4:$EN$503,EN232,$EM$4:$EM$503,"Interne",$FE$4:$FE$503,1),"")</f>
        <v/>
      </c>
      <c r="ES232" t="str">
        <f>IF(EO232=1,COUNTIFS($EN$4:$EN$503,EN232,$EM$4:$EM$503,"Externe",$FE$4:$FE$503,1),"")</f>
        <v/>
      </c>
      <c r="ET232" t="str">
        <f>IF(EO232=1,IF(ER232+ES232=0,"à affecter",IF(ER232=0,ES232&amp;" ext.",(ER232+ES232)&amp;IF(ES232&gt;0," dont "&amp;ES232&amp;" ext.",""))&amp;IF(COUNTIFS($EN$4:$EN$503,EN232,$EM$4:$EM$503,"Non affecté")&gt;0," + à affecter","")),"")</f>
        <v/>
      </c>
      <c r="EU232" s="170" t="str">
        <f>IF(EO232=1,IF(EP232&gt;0,SUMPRODUCT(($EN$4:$EN$503=EN232)*$E$4:$E$503*$C$4:$C$503)/EP232,AVERAGEIF($EN$4:$EN$503,EN232,$C$4:$C$503)),"")</f>
        <v/>
      </c>
      <c r="EV232" s="165">
        <f>IF(ISNUMBER(I232),I232,2958465)</f>
        <v>2958465.0</v>
      </c>
      <c r="EW232" s="165" t="str">
        <f>IF(EO232=1,SUMPRODUCT(MIN(($EN$4:$EN$503=EN232)*$EV$4:$EV$503+($EN$4:$EN$503&lt;&gt;EN232)*2958465)),"")</f>
        <v/>
      </c>
      <c r="EX232" s="165">
        <f>IF(AND(D232=1,ISNUMBER(INDEX(Charge!$F:$F,ROW()))),INDEX(Charge!$F:$F,ROW()),0)</f>
        <v>0.0</v>
      </c>
      <c r="EY232" s="165" t="str">
        <f>IF(EO232=1,SUMPRODUCT(MAX(($EN$4:$EN$503=EN232)*$EX$4:$EX$503)),"")</f>
        <v/>
      </c>
      <c r="FA232" t="str">
        <f>IF(229&lt;=$CD$23,INDEX($EJ$4:$EJ$203,229),IF(229-$CD$23&lt;=$CD$26,INDEX($EK$4:$EK$203,229-$CD$23),""))</f>
        <v/>
      </c>
      <c r="FB232" t="str">
        <f>IF(FA232="","",IF(229&lt;=$CD$23,"Interne","Externe"))</f>
        <v/>
      </c>
      <c r="FD232">
        <f>IF(AND(B232=1,TRIM(INDEX(Charge!$K:$K,ROW()))&lt;&gt;"",TRIM(INDEX(Charge!$L:$L,ROW()))&lt;&gt;""),1,0)</f>
        <v>0</v>
      </c>
      <c r="FE232">
        <f>IF(OR(EN232="",BZ232="(non affecté)"),0,IF(COUNTIFS($EN$4:EN232,EN232,$BZ$4:BZ232,BZ232)=1,1,0))</f>
        <v>0</v>
      </c>
    </row>
    <row r="233">
      <c r="A233">
        <f>ROW()</f>
        <v>233</v>
      </c>
      <c r="B233">
        <f>IF(TRIM(INDEX(Charge!$B:$B,ROW()))&lt;&gt;"",1,0)</f>
        <v>0</v>
      </c>
      <c r="C233">
        <f>IF(B233=1,MIN(1,MAX(0,N(INDEX(Charge!$O:$O,ROW())))),0)</f>
        <v>0</v>
      </c>
      <c r="D233">
        <f>IF(B233=1,IF(OR(p_Perimetre="Tous les projets",C233&lt;1),1,0),0)</f>
        <v>0</v>
      </c>
      <c r="E233">
        <f>IF(D233=1,MAX(0,N(INDEX(Charge!$M:$M,ROW()))),0)</f>
        <v>0</v>
      </c>
      <c r="F233" t="str">
        <f>IF(D233=1,IF(TRIM(INDEX(Charge!$A:$A,ROW()))="","(non renseigné)",TRIM(INDEX(Charge!$A:$A,ROW()))),"")</f>
        <v/>
      </c>
      <c r="G233" t="str">
        <f>IF(D233=1,TRIM(INDEX(Charge!$B:$B,ROW())),"")</f>
        <v/>
      </c>
      <c r="H233" t="str">
        <f>IF(D233=1,IF(TRIM(INDEX(Charge!$E:$E,ROW()))="","(non renseigné)",TRIM(INDEX(Charge!$E:$E,ROW()))),"")</f>
        <v/>
      </c>
      <c r="I233" s="165" t="str">
        <f>IF(AND(D233=1,ISNUMBER(INDEX(Charge!$N:$N,ROW()))),INDEX(Charge!$N:$N,ROW()),"")</f>
        <v/>
      </c>
      <c r="J233" s="165" t="str">
        <f>IF(I233="","",IF(AND(p_Repartition="Lissée jusqu'à la date de besoin",ISNUMBER(INDEX(Charge!$F:$F,ROW()))),IF(INDEX(Charge!$F:$F,ROW())&gt;=I233,INDEX(Charge!$F:$F,ROW()),I233),I233))</f>
        <v/>
      </c>
      <c r="K233" t="str">
        <f>IF(I233="","",NETWORKDAYS(I233,J233,Data!$K$4:$K$203))</f>
        <v/>
      </c>
      <c r="L233" t="str">
        <f>IF(D233=1,COUNTIFS($D$4:$D$503,1,$E$4:$E$503,"&gt;"&amp;E233)+COUNTIFS($D$4:$D233,1,$E$4:$E233,E233),"")</f>
        <v/>
      </c>
      <c r="M233">
        <f>IF(F233="",0,IF(COUNTIF($F$4:F233,F233)=1,1,0))</f>
        <v>0</v>
      </c>
      <c r="N233" t="str">
        <f>IF(M233=1,ROUND(SUMIF($F$4:$F$503,F233,$E$4:$E$503),2),"")</f>
        <v/>
      </c>
      <c r="O233" t="str">
        <f>IF(M233=1,COUNTIFS($M$4:$M$503,1,$N$4:$N$503,"&gt;"&amp;N233)+COUNTIFS($M$4:M233,1,$N$4:N233,N233),"")</f>
        <v/>
      </c>
      <c r="P233">
        <f>IF(G233="",0,IF(COUNTIF($G$4:G233,G233)=1,1,0))</f>
        <v>0</v>
      </c>
      <c r="Q233" t="str">
        <f>IF(P233=1,ROUND(SUMIF($G$4:$G$503,G233,$E$4:$E$503),2),"")</f>
        <v/>
      </c>
      <c r="R233" t="str">
        <f>IF(P233=1,COUNTIFS($P$4:$P$503,1,$Q$4:$Q$503,"&gt;"&amp;Q233)+COUNTIFS($P$4:P233,1,$Q$4:Q233,Q233),"")</f>
        <v/>
      </c>
      <c r="S233">
        <f>IF(H233="",0,IF(COUNTIF($H$4:H233,H233)=1,1,0))</f>
        <v>0</v>
      </c>
      <c r="T233" t="str">
        <f>IF(S233=1,ROUND(SUMIF($H$4:$H$503,H233,$E$4:$E$503),2),"")</f>
        <v/>
      </c>
      <c r="U233" t="str">
        <f>IF(S233=1,COUNTIFS($S$4:$S$503,1,$T$4:$T$503,"&gt;"&amp;T233)+COUNTIFS($S$4:S233,1,$T$4:T233,T233),"")</f>
        <v/>
      </c>
      <c r="V233" t="str">
        <f>IF(D233=1,MIN(INDEX($R$4:$R$503,MATCH(G233,$G$4:$G$503,0)),IF($AL$7&gt;9,9,999)),"")</f>
        <v/>
      </c>
      <c r="W233" s="166">
        <f>IF(OR($I233="",$E233=0),0,IF(OR($J233&lt;W$3,$I233&gt;W$2),0,IF($K233=0,IF(AND($I233&gt;=W$3,$I233&lt;=W$2),$E233,0),$E233*NETWORKDAYS(MAX($I233,W$3),MIN($J233,W$2),Data!$K$4:$K$203)/$K233)))</f>
        <v>0</v>
      </c>
      <c r="X233" s="166">
        <f>IF(OR($I233="",$E233=0),0,IF(OR($J233&lt;X$3,$I233&gt;X$2),0,IF($K233=0,IF(AND($I233&gt;=X$3,$I233&lt;=X$2),$E233,0),$E233*NETWORKDAYS(MAX($I233,X$3),MIN($J233,X$2),Data!$K$4:$K$203)/$K233)))</f>
        <v>0</v>
      </c>
      <c r="Y233" s="166">
        <f>IF(OR($I233="",$E233=0),0,IF(OR($J233&lt;Y$3,$I233&gt;Y$2),0,IF($K233=0,IF(AND($I233&gt;=Y$3,$I233&lt;=Y$2),$E233,0),$E233*NETWORKDAYS(MAX($I233,Y$3),MIN($J233,Y$2),Data!$K$4:$K$203)/$K233)))</f>
        <v>0</v>
      </c>
      <c r="Z233" s="166">
        <f>IF(OR($I233="",$E233=0),0,IF(OR($J233&lt;Z$3,$I233&gt;Z$2),0,IF($K233=0,IF(AND($I233&gt;=Z$3,$I233&lt;=Z$2),$E233,0),$E233*NETWORKDAYS(MAX($I233,Z$3),MIN($J233,Z$2),Data!$K$4:$K$203)/$K233)))</f>
        <v>0</v>
      </c>
      <c r="AA233" s="166">
        <f>IF(OR($I233="",$E233=0),0,IF(OR($J233&lt;AA$3,$I233&gt;AA$2),0,IF($K233=0,IF(AND($I233&gt;=AA$3,$I233&lt;=AA$2),$E233,0),$E233*NETWORKDAYS(MAX($I233,AA$3),MIN($J233,AA$2),Data!$K$4:$K$203)/$K233)))</f>
        <v>0</v>
      </c>
      <c r="AB233" s="166">
        <f>IF(OR($I233="",$E233=0),0,IF(OR($J233&lt;AB$3,$I233&gt;AB$2),0,IF($K233=0,IF(AND($I233&gt;=AB$3,$I233&lt;=AB$2),$E233,0),$E233*NETWORKDAYS(MAX($I233,AB$3),MIN($J233,AB$2),Data!$K$4:$K$203)/$K233)))</f>
        <v>0</v>
      </c>
      <c r="AC233" s="166">
        <f>IF(OR($I233="",$E233=0),0,IF(OR($J233&lt;AC$3,$I233&gt;AC$2),0,IF($K233=0,IF(AND($I233&gt;=AC$3,$I233&lt;=AC$2),$E233,0),$E233*NETWORKDAYS(MAX($I233,AC$3),MIN($J233,AC$2),Data!$K$4:$K$203)/$K233)))</f>
        <v>0</v>
      </c>
      <c r="AD233" s="166">
        <f>IF(OR($I233="",$E233=0),0,IF(OR($J233&lt;AD$3,$I233&gt;AD$2),0,IF($K233=0,IF(AND($I233&gt;=AD$3,$I233&lt;=AD$2),$E233,0),$E233*NETWORKDAYS(MAX($I233,AD$3),MIN($J233,AD$2),Data!$K$4:$K$203)/$K233)))</f>
        <v>0</v>
      </c>
      <c r="AE233" s="166">
        <f>IF(OR($I233="",$E233=0),0,IF(OR($J233&lt;AE$3,$I233&gt;AE$2),0,IF($K233=0,IF(AND($I233&gt;=AE$3,$I233&lt;=AE$2),$E233,0),$E233*NETWORKDAYS(MAX($I233,AE$3),MIN($J233,AE$2),Data!$K$4:$K$203)/$K233)))</f>
        <v>0</v>
      </c>
      <c r="AF233" s="166">
        <f>IF(OR($I233="",$E233=0),0,IF(OR($J233&lt;AF$3,$I233&gt;AF$2),0,IF($K233=0,IF(AND($I233&gt;=AF$3,$I233&lt;=AF$2),$E233,0),$E233*NETWORKDAYS(MAX($I233,AF$3),MIN($J233,AF$2),Data!$K$4:$K$203)/$K233)))</f>
        <v>0</v>
      </c>
      <c r="AG233" s="166">
        <f>IF(OR($I233="",$E233=0),0,IF(OR($J233&lt;AG$3,$I233&gt;AG$2),0,IF($K233=0,IF(AND($I233&gt;=AG$3,$I233&lt;=AG$2),$E233,0),$E233*NETWORKDAYS(MAX($I233,AG$3),MIN($J233,AG$2),Data!$K$4:$K$203)/$K233)))</f>
        <v>0</v>
      </c>
      <c r="AH233" s="166">
        <f>IF(OR($I233="",$E233=0),0,IF(OR($J233&lt;AH$3,$I233&gt;AH$2),0,IF($K233=0,IF(AND($I233&gt;=AH$3,$I233&lt;=AH$2),$E233,0),$E233*NETWORKDAYS(MAX($I233,AH$3),MIN($J233,AH$2),Data!$K$4:$K$203)/$K233)))</f>
        <v>0</v>
      </c>
      <c r="AI233" s="166">
        <f>SUM(W233:AH233)</f>
        <v>0</v>
      </c>
      <c r="BZ233" t="str">
        <f>IF(D233=1,IF(TRIM(INDEX(Charge!$K:$K,ROW()))&lt;&gt;"",TRIM(INDEX(Charge!$K:$K,ROW())),IF(TRIM(INDEX(Charge!$L:$L,ROW()))&lt;&gt;"",TRIM(INDEX(Charge!$L:$L,ROW())),"(non affecté)")),"")</f>
        <v/>
      </c>
      <c r="CA233" t="str">
        <f>IF(AND($CD$4&lt;&gt;"",BZ233=$CD$4),COUNTIFS($BZ$4:$BZ$503,$CD$4,$L$4:$L$503,"&lt;"&amp;L233)+1,"")</f>
        <v/>
      </c>
      <c r="EM233" t="str">
        <f>IF(D233=1,IF(TRIM(INDEX(Charge!$K:$K,ROW()))&lt;&gt;"","Interne",IF(TRIM(INDEX(Charge!$L:$L,ROW()))&lt;&gt;"","Externe","Non affecté")),"")</f>
        <v/>
      </c>
      <c r="EN233" t="str">
        <f>IF(D233=1,LEFT(SUBSTITUTE(SUBSTITUTE(SUBSTITUTE(TRIM(SUBSTITUTE(INDEX(Charge!$B:$B,ROW()),CHAR(160)," "))&amp;" | "&amp;TRIM(SUBSTITUTE(INDEX(Charge!$C:$C,ROW()),CHAR(160)," "))&amp;" | "&amp;TRIM(SUBSTITUTE(INDEX(Charge!$D:$D,ROW()),CHAR(160)," ")),"~","-"),"*","+"),"?","!"),240),"")</f>
        <v/>
      </c>
      <c r="EO233">
        <f>IF(EN233="",0,IF(COUNTIF($EN$4:EN233,EN233)=1,1,0))</f>
        <v>0</v>
      </c>
      <c r="EP233" s="166" t="str">
        <f>IF(EO233=1,ROUND(SUMIF($EN$4:$EN$503,EN233,$E$4:$E$503),2),"")</f>
        <v/>
      </c>
      <c r="EQ233" t="str">
        <f>IF(EO233=1,COUNTIFS($EO$4:$EO$503,1,$EP$4:$EP$503,"&gt;"&amp;EP233)+COUNTIFS($EO$4:EO233,1,$EP$4:EP233,EP233),"")</f>
        <v/>
      </c>
      <c r="ER233" t="str">
        <f>IF(EO233=1,COUNTIFS($EN$4:$EN$503,EN233,$EM$4:$EM$503,"Interne",$FE$4:$FE$503,1),"")</f>
        <v/>
      </c>
      <c r="ES233" t="str">
        <f>IF(EO233=1,COUNTIFS($EN$4:$EN$503,EN233,$EM$4:$EM$503,"Externe",$FE$4:$FE$503,1),"")</f>
        <v/>
      </c>
      <c r="ET233" t="str">
        <f>IF(EO233=1,IF(ER233+ES233=0,"à affecter",IF(ER233=0,ES233&amp;" ext.",(ER233+ES233)&amp;IF(ES233&gt;0," dont "&amp;ES233&amp;" ext.",""))&amp;IF(COUNTIFS($EN$4:$EN$503,EN233,$EM$4:$EM$503,"Non affecté")&gt;0," + à affecter","")),"")</f>
        <v/>
      </c>
      <c r="EU233" s="170" t="str">
        <f>IF(EO233=1,IF(EP233&gt;0,SUMPRODUCT(($EN$4:$EN$503=EN233)*$E$4:$E$503*$C$4:$C$503)/EP233,AVERAGEIF($EN$4:$EN$503,EN233,$C$4:$C$503)),"")</f>
        <v/>
      </c>
      <c r="EV233" s="165">
        <f>IF(ISNUMBER(I233),I233,2958465)</f>
        <v>2958465.0</v>
      </c>
      <c r="EW233" s="165" t="str">
        <f>IF(EO233=1,SUMPRODUCT(MIN(($EN$4:$EN$503=EN233)*$EV$4:$EV$503+($EN$4:$EN$503&lt;&gt;EN233)*2958465)),"")</f>
        <v/>
      </c>
      <c r="EX233" s="165">
        <f>IF(AND(D233=1,ISNUMBER(INDEX(Charge!$F:$F,ROW()))),INDEX(Charge!$F:$F,ROW()),0)</f>
        <v>0.0</v>
      </c>
      <c r="EY233" s="165" t="str">
        <f>IF(EO233=1,SUMPRODUCT(MAX(($EN$4:$EN$503=EN233)*$EX$4:$EX$503)),"")</f>
        <v/>
      </c>
      <c r="FA233" t="str">
        <f>IF(230&lt;=$CD$23,INDEX($EJ$4:$EJ$203,230),IF(230-$CD$23&lt;=$CD$26,INDEX($EK$4:$EK$203,230-$CD$23),""))</f>
        <v/>
      </c>
      <c r="FB233" t="str">
        <f>IF(FA233="","",IF(230&lt;=$CD$23,"Interne","Externe"))</f>
        <v/>
      </c>
      <c r="FD233">
        <f>IF(AND(B233=1,TRIM(INDEX(Charge!$K:$K,ROW()))&lt;&gt;"",TRIM(INDEX(Charge!$L:$L,ROW()))&lt;&gt;""),1,0)</f>
        <v>0</v>
      </c>
      <c r="FE233">
        <f>IF(OR(EN233="",BZ233="(non affecté)"),0,IF(COUNTIFS($EN$4:EN233,EN233,$BZ$4:BZ233,BZ233)=1,1,0))</f>
        <v>0</v>
      </c>
    </row>
    <row r="234">
      <c r="A234">
        <f>ROW()</f>
        <v>234</v>
      </c>
      <c r="B234">
        <f>IF(TRIM(INDEX(Charge!$B:$B,ROW()))&lt;&gt;"",1,0)</f>
        <v>0</v>
      </c>
      <c r="C234">
        <f>IF(B234=1,MIN(1,MAX(0,N(INDEX(Charge!$O:$O,ROW())))),0)</f>
        <v>0</v>
      </c>
      <c r="D234">
        <f>IF(B234=1,IF(OR(p_Perimetre="Tous les projets",C234&lt;1),1,0),0)</f>
        <v>0</v>
      </c>
      <c r="E234">
        <f>IF(D234=1,MAX(0,N(INDEX(Charge!$M:$M,ROW()))),0)</f>
        <v>0</v>
      </c>
      <c r="F234" t="str">
        <f>IF(D234=1,IF(TRIM(INDEX(Charge!$A:$A,ROW()))="","(non renseigné)",TRIM(INDEX(Charge!$A:$A,ROW()))),"")</f>
        <v/>
      </c>
      <c r="G234" t="str">
        <f>IF(D234=1,TRIM(INDEX(Charge!$B:$B,ROW())),"")</f>
        <v/>
      </c>
      <c r="H234" t="str">
        <f>IF(D234=1,IF(TRIM(INDEX(Charge!$E:$E,ROW()))="","(non renseigné)",TRIM(INDEX(Charge!$E:$E,ROW()))),"")</f>
        <v/>
      </c>
      <c r="I234" s="165" t="str">
        <f>IF(AND(D234=1,ISNUMBER(INDEX(Charge!$N:$N,ROW()))),INDEX(Charge!$N:$N,ROW()),"")</f>
        <v/>
      </c>
      <c r="J234" s="165" t="str">
        <f>IF(I234="","",IF(AND(p_Repartition="Lissée jusqu'à la date de besoin",ISNUMBER(INDEX(Charge!$F:$F,ROW()))),IF(INDEX(Charge!$F:$F,ROW())&gt;=I234,INDEX(Charge!$F:$F,ROW()),I234),I234))</f>
        <v/>
      </c>
      <c r="K234" t="str">
        <f>IF(I234="","",NETWORKDAYS(I234,J234,Data!$K$4:$K$203))</f>
        <v/>
      </c>
      <c r="L234" t="str">
        <f>IF(D234=1,COUNTIFS($D$4:$D$503,1,$E$4:$E$503,"&gt;"&amp;E234)+COUNTIFS($D$4:$D234,1,$E$4:$E234,E234),"")</f>
        <v/>
      </c>
      <c r="M234">
        <f>IF(F234="",0,IF(COUNTIF($F$4:F234,F234)=1,1,0))</f>
        <v>0</v>
      </c>
      <c r="N234" t="str">
        <f>IF(M234=1,ROUND(SUMIF($F$4:$F$503,F234,$E$4:$E$503),2),"")</f>
        <v/>
      </c>
      <c r="O234" t="str">
        <f>IF(M234=1,COUNTIFS($M$4:$M$503,1,$N$4:$N$503,"&gt;"&amp;N234)+COUNTIFS($M$4:M234,1,$N$4:N234,N234),"")</f>
        <v/>
      </c>
      <c r="P234">
        <f>IF(G234="",0,IF(COUNTIF($G$4:G234,G234)=1,1,0))</f>
        <v>0</v>
      </c>
      <c r="Q234" t="str">
        <f>IF(P234=1,ROUND(SUMIF($G$4:$G$503,G234,$E$4:$E$503),2),"")</f>
        <v/>
      </c>
      <c r="R234" t="str">
        <f>IF(P234=1,COUNTIFS($P$4:$P$503,1,$Q$4:$Q$503,"&gt;"&amp;Q234)+COUNTIFS($P$4:P234,1,$Q$4:Q234,Q234),"")</f>
        <v/>
      </c>
      <c r="S234">
        <f>IF(H234="",0,IF(COUNTIF($H$4:H234,H234)=1,1,0))</f>
        <v>0</v>
      </c>
      <c r="T234" t="str">
        <f>IF(S234=1,ROUND(SUMIF($H$4:$H$503,H234,$E$4:$E$503),2),"")</f>
        <v/>
      </c>
      <c r="U234" t="str">
        <f>IF(S234=1,COUNTIFS($S$4:$S$503,1,$T$4:$T$503,"&gt;"&amp;T234)+COUNTIFS($S$4:S234,1,$T$4:T234,T234),"")</f>
        <v/>
      </c>
      <c r="V234" t="str">
        <f>IF(D234=1,MIN(INDEX($R$4:$R$503,MATCH(G234,$G$4:$G$503,0)),IF($AL$7&gt;9,9,999)),"")</f>
        <v/>
      </c>
      <c r="W234" s="166">
        <f>IF(OR($I234="",$E234=0),0,IF(OR($J234&lt;W$3,$I234&gt;W$2),0,IF($K234=0,IF(AND($I234&gt;=W$3,$I234&lt;=W$2),$E234,0),$E234*NETWORKDAYS(MAX($I234,W$3),MIN($J234,W$2),Data!$K$4:$K$203)/$K234)))</f>
        <v>0</v>
      </c>
      <c r="X234" s="166">
        <f>IF(OR($I234="",$E234=0),0,IF(OR($J234&lt;X$3,$I234&gt;X$2),0,IF($K234=0,IF(AND($I234&gt;=X$3,$I234&lt;=X$2),$E234,0),$E234*NETWORKDAYS(MAX($I234,X$3),MIN($J234,X$2),Data!$K$4:$K$203)/$K234)))</f>
        <v>0</v>
      </c>
      <c r="Y234" s="166">
        <f>IF(OR($I234="",$E234=0),0,IF(OR($J234&lt;Y$3,$I234&gt;Y$2),0,IF($K234=0,IF(AND($I234&gt;=Y$3,$I234&lt;=Y$2),$E234,0),$E234*NETWORKDAYS(MAX($I234,Y$3),MIN($J234,Y$2),Data!$K$4:$K$203)/$K234)))</f>
        <v>0</v>
      </c>
      <c r="Z234" s="166">
        <f>IF(OR($I234="",$E234=0),0,IF(OR($J234&lt;Z$3,$I234&gt;Z$2),0,IF($K234=0,IF(AND($I234&gt;=Z$3,$I234&lt;=Z$2),$E234,0),$E234*NETWORKDAYS(MAX($I234,Z$3),MIN($J234,Z$2),Data!$K$4:$K$203)/$K234)))</f>
        <v>0</v>
      </c>
      <c r="AA234" s="166">
        <f>IF(OR($I234="",$E234=0),0,IF(OR($J234&lt;AA$3,$I234&gt;AA$2),0,IF($K234=0,IF(AND($I234&gt;=AA$3,$I234&lt;=AA$2),$E234,0),$E234*NETWORKDAYS(MAX($I234,AA$3),MIN($J234,AA$2),Data!$K$4:$K$203)/$K234)))</f>
        <v>0</v>
      </c>
      <c r="AB234" s="166">
        <f>IF(OR($I234="",$E234=0),0,IF(OR($J234&lt;AB$3,$I234&gt;AB$2),0,IF($K234=0,IF(AND($I234&gt;=AB$3,$I234&lt;=AB$2),$E234,0),$E234*NETWORKDAYS(MAX($I234,AB$3),MIN($J234,AB$2),Data!$K$4:$K$203)/$K234)))</f>
        <v>0</v>
      </c>
      <c r="AC234" s="166">
        <f>IF(OR($I234="",$E234=0),0,IF(OR($J234&lt;AC$3,$I234&gt;AC$2),0,IF($K234=0,IF(AND($I234&gt;=AC$3,$I234&lt;=AC$2),$E234,0),$E234*NETWORKDAYS(MAX($I234,AC$3),MIN($J234,AC$2),Data!$K$4:$K$203)/$K234)))</f>
        <v>0</v>
      </c>
      <c r="AD234" s="166">
        <f>IF(OR($I234="",$E234=0),0,IF(OR($J234&lt;AD$3,$I234&gt;AD$2),0,IF($K234=0,IF(AND($I234&gt;=AD$3,$I234&lt;=AD$2),$E234,0),$E234*NETWORKDAYS(MAX($I234,AD$3),MIN($J234,AD$2),Data!$K$4:$K$203)/$K234)))</f>
        <v>0</v>
      </c>
      <c r="AE234" s="166">
        <f>IF(OR($I234="",$E234=0),0,IF(OR($J234&lt;AE$3,$I234&gt;AE$2),0,IF($K234=0,IF(AND($I234&gt;=AE$3,$I234&lt;=AE$2),$E234,0),$E234*NETWORKDAYS(MAX($I234,AE$3),MIN($J234,AE$2),Data!$K$4:$K$203)/$K234)))</f>
        <v>0</v>
      </c>
      <c r="AF234" s="166">
        <f>IF(OR($I234="",$E234=0),0,IF(OR($J234&lt;AF$3,$I234&gt;AF$2),0,IF($K234=0,IF(AND($I234&gt;=AF$3,$I234&lt;=AF$2),$E234,0),$E234*NETWORKDAYS(MAX($I234,AF$3),MIN($J234,AF$2),Data!$K$4:$K$203)/$K234)))</f>
        <v>0</v>
      </c>
      <c r="AG234" s="166">
        <f>IF(OR($I234="",$E234=0),0,IF(OR($J234&lt;AG$3,$I234&gt;AG$2),0,IF($K234=0,IF(AND($I234&gt;=AG$3,$I234&lt;=AG$2),$E234,0),$E234*NETWORKDAYS(MAX($I234,AG$3),MIN($J234,AG$2),Data!$K$4:$K$203)/$K234)))</f>
        <v>0</v>
      </c>
      <c r="AH234" s="166">
        <f>IF(OR($I234="",$E234=0),0,IF(OR($J234&lt;AH$3,$I234&gt;AH$2),0,IF($K234=0,IF(AND($I234&gt;=AH$3,$I234&lt;=AH$2),$E234,0),$E234*NETWORKDAYS(MAX($I234,AH$3),MIN($J234,AH$2),Data!$K$4:$K$203)/$K234)))</f>
        <v>0</v>
      </c>
      <c r="AI234" s="166">
        <f>SUM(W234:AH234)</f>
        <v>0</v>
      </c>
      <c r="BZ234" t="str">
        <f>IF(D234=1,IF(TRIM(INDEX(Charge!$K:$K,ROW()))&lt;&gt;"",TRIM(INDEX(Charge!$K:$K,ROW())),IF(TRIM(INDEX(Charge!$L:$L,ROW()))&lt;&gt;"",TRIM(INDEX(Charge!$L:$L,ROW())),"(non affecté)")),"")</f>
        <v/>
      </c>
      <c r="CA234" t="str">
        <f>IF(AND($CD$4&lt;&gt;"",BZ234=$CD$4),COUNTIFS($BZ$4:$BZ$503,$CD$4,$L$4:$L$503,"&lt;"&amp;L234)+1,"")</f>
        <v/>
      </c>
      <c r="EM234" t="str">
        <f>IF(D234=1,IF(TRIM(INDEX(Charge!$K:$K,ROW()))&lt;&gt;"","Interne",IF(TRIM(INDEX(Charge!$L:$L,ROW()))&lt;&gt;"","Externe","Non affecté")),"")</f>
        <v/>
      </c>
      <c r="EN234" t="str">
        <f>IF(D234=1,LEFT(SUBSTITUTE(SUBSTITUTE(SUBSTITUTE(TRIM(SUBSTITUTE(INDEX(Charge!$B:$B,ROW()),CHAR(160)," "))&amp;" | "&amp;TRIM(SUBSTITUTE(INDEX(Charge!$C:$C,ROW()),CHAR(160)," "))&amp;" | "&amp;TRIM(SUBSTITUTE(INDEX(Charge!$D:$D,ROW()),CHAR(160)," ")),"~","-"),"*","+"),"?","!"),240),"")</f>
        <v/>
      </c>
      <c r="EO234">
        <f>IF(EN234="",0,IF(COUNTIF($EN$4:EN234,EN234)=1,1,0))</f>
        <v>0</v>
      </c>
      <c r="EP234" s="166" t="str">
        <f>IF(EO234=1,ROUND(SUMIF($EN$4:$EN$503,EN234,$E$4:$E$503),2),"")</f>
        <v/>
      </c>
      <c r="EQ234" t="str">
        <f>IF(EO234=1,COUNTIFS($EO$4:$EO$503,1,$EP$4:$EP$503,"&gt;"&amp;EP234)+COUNTIFS($EO$4:EO234,1,$EP$4:EP234,EP234),"")</f>
        <v/>
      </c>
      <c r="ER234" t="str">
        <f>IF(EO234=1,COUNTIFS($EN$4:$EN$503,EN234,$EM$4:$EM$503,"Interne",$FE$4:$FE$503,1),"")</f>
        <v/>
      </c>
      <c r="ES234" t="str">
        <f>IF(EO234=1,COUNTIFS($EN$4:$EN$503,EN234,$EM$4:$EM$503,"Externe",$FE$4:$FE$503,1),"")</f>
        <v/>
      </c>
      <c r="ET234" t="str">
        <f>IF(EO234=1,IF(ER234+ES234=0,"à affecter",IF(ER234=0,ES234&amp;" ext.",(ER234+ES234)&amp;IF(ES234&gt;0," dont "&amp;ES234&amp;" ext.",""))&amp;IF(COUNTIFS($EN$4:$EN$503,EN234,$EM$4:$EM$503,"Non affecté")&gt;0," + à affecter","")),"")</f>
        <v/>
      </c>
      <c r="EU234" s="170" t="str">
        <f>IF(EO234=1,IF(EP234&gt;0,SUMPRODUCT(($EN$4:$EN$503=EN234)*$E$4:$E$503*$C$4:$C$503)/EP234,AVERAGEIF($EN$4:$EN$503,EN234,$C$4:$C$503)),"")</f>
        <v/>
      </c>
      <c r="EV234" s="165">
        <f>IF(ISNUMBER(I234),I234,2958465)</f>
        <v>2958465.0</v>
      </c>
      <c r="EW234" s="165" t="str">
        <f>IF(EO234=1,SUMPRODUCT(MIN(($EN$4:$EN$503=EN234)*$EV$4:$EV$503+($EN$4:$EN$503&lt;&gt;EN234)*2958465)),"")</f>
        <v/>
      </c>
      <c r="EX234" s="165">
        <f>IF(AND(D234=1,ISNUMBER(INDEX(Charge!$F:$F,ROW()))),INDEX(Charge!$F:$F,ROW()),0)</f>
        <v>0.0</v>
      </c>
      <c r="EY234" s="165" t="str">
        <f>IF(EO234=1,SUMPRODUCT(MAX(($EN$4:$EN$503=EN234)*$EX$4:$EX$503)),"")</f>
        <v/>
      </c>
      <c r="FA234" t="str">
        <f>IF(231&lt;=$CD$23,INDEX($EJ$4:$EJ$203,231),IF(231-$CD$23&lt;=$CD$26,INDEX($EK$4:$EK$203,231-$CD$23),""))</f>
        <v/>
      </c>
      <c r="FB234" t="str">
        <f>IF(FA234="","",IF(231&lt;=$CD$23,"Interne","Externe"))</f>
        <v/>
      </c>
      <c r="FD234">
        <f>IF(AND(B234=1,TRIM(INDEX(Charge!$K:$K,ROW()))&lt;&gt;"",TRIM(INDEX(Charge!$L:$L,ROW()))&lt;&gt;""),1,0)</f>
        <v>0</v>
      </c>
      <c r="FE234">
        <f>IF(OR(EN234="",BZ234="(non affecté)"),0,IF(COUNTIFS($EN$4:EN234,EN234,$BZ$4:BZ234,BZ234)=1,1,0))</f>
        <v>0</v>
      </c>
    </row>
    <row r="235">
      <c r="A235">
        <f>ROW()</f>
        <v>235</v>
      </c>
      <c r="B235">
        <f>IF(TRIM(INDEX(Charge!$B:$B,ROW()))&lt;&gt;"",1,0)</f>
        <v>0</v>
      </c>
      <c r="C235">
        <f>IF(B235=1,MIN(1,MAX(0,N(INDEX(Charge!$O:$O,ROW())))),0)</f>
        <v>0</v>
      </c>
      <c r="D235">
        <f>IF(B235=1,IF(OR(p_Perimetre="Tous les projets",C235&lt;1),1,0),0)</f>
        <v>0</v>
      </c>
      <c r="E235">
        <f>IF(D235=1,MAX(0,N(INDEX(Charge!$M:$M,ROW()))),0)</f>
        <v>0</v>
      </c>
      <c r="F235" t="str">
        <f>IF(D235=1,IF(TRIM(INDEX(Charge!$A:$A,ROW()))="","(non renseigné)",TRIM(INDEX(Charge!$A:$A,ROW()))),"")</f>
        <v/>
      </c>
      <c r="G235" t="str">
        <f>IF(D235=1,TRIM(INDEX(Charge!$B:$B,ROW())),"")</f>
        <v/>
      </c>
      <c r="H235" t="str">
        <f>IF(D235=1,IF(TRIM(INDEX(Charge!$E:$E,ROW()))="","(non renseigné)",TRIM(INDEX(Charge!$E:$E,ROW()))),"")</f>
        <v/>
      </c>
      <c r="I235" s="165" t="str">
        <f>IF(AND(D235=1,ISNUMBER(INDEX(Charge!$N:$N,ROW()))),INDEX(Charge!$N:$N,ROW()),"")</f>
        <v/>
      </c>
      <c r="J235" s="165" t="str">
        <f>IF(I235="","",IF(AND(p_Repartition="Lissée jusqu'à la date de besoin",ISNUMBER(INDEX(Charge!$F:$F,ROW()))),IF(INDEX(Charge!$F:$F,ROW())&gt;=I235,INDEX(Charge!$F:$F,ROW()),I235),I235))</f>
        <v/>
      </c>
      <c r="K235" t="str">
        <f>IF(I235="","",NETWORKDAYS(I235,J235,Data!$K$4:$K$203))</f>
        <v/>
      </c>
      <c r="L235" t="str">
        <f>IF(D235=1,COUNTIFS($D$4:$D$503,1,$E$4:$E$503,"&gt;"&amp;E235)+COUNTIFS($D$4:$D235,1,$E$4:$E235,E235),"")</f>
        <v/>
      </c>
      <c r="M235">
        <f>IF(F235="",0,IF(COUNTIF($F$4:F235,F235)=1,1,0))</f>
        <v>0</v>
      </c>
      <c r="N235" t="str">
        <f>IF(M235=1,ROUND(SUMIF($F$4:$F$503,F235,$E$4:$E$503),2),"")</f>
        <v/>
      </c>
      <c r="O235" t="str">
        <f>IF(M235=1,COUNTIFS($M$4:$M$503,1,$N$4:$N$503,"&gt;"&amp;N235)+COUNTIFS($M$4:M235,1,$N$4:N235,N235),"")</f>
        <v/>
      </c>
      <c r="P235">
        <f>IF(G235="",0,IF(COUNTIF($G$4:G235,G235)=1,1,0))</f>
        <v>0</v>
      </c>
      <c r="Q235" t="str">
        <f>IF(P235=1,ROUND(SUMIF($G$4:$G$503,G235,$E$4:$E$503),2),"")</f>
        <v/>
      </c>
      <c r="R235" t="str">
        <f>IF(P235=1,COUNTIFS($P$4:$P$503,1,$Q$4:$Q$503,"&gt;"&amp;Q235)+COUNTIFS($P$4:P235,1,$Q$4:Q235,Q235),"")</f>
        <v/>
      </c>
      <c r="S235">
        <f>IF(H235="",0,IF(COUNTIF($H$4:H235,H235)=1,1,0))</f>
        <v>0</v>
      </c>
      <c r="T235" t="str">
        <f>IF(S235=1,ROUND(SUMIF($H$4:$H$503,H235,$E$4:$E$503),2),"")</f>
        <v/>
      </c>
      <c r="U235" t="str">
        <f>IF(S235=1,COUNTIFS($S$4:$S$503,1,$T$4:$T$503,"&gt;"&amp;T235)+COUNTIFS($S$4:S235,1,$T$4:T235,T235),"")</f>
        <v/>
      </c>
      <c r="V235" t="str">
        <f>IF(D235=1,MIN(INDEX($R$4:$R$503,MATCH(G235,$G$4:$G$503,0)),IF($AL$7&gt;9,9,999)),"")</f>
        <v/>
      </c>
      <c r="W235" s="166">
        <f>IF(OR($I235="",$E235=0),0,IF(OR($J235&lt;W$3,$I235&gt;W$2),0,IF($K235=0,IF(AND($I235&gt;=W$3,$I235&lt;=W$2),$E235,0),$E235*NETWORKDAYS(MAX($I235,W$3),MIN($J235,W$2),Data!$K$4:$K$203)/$K235)))</f>
        <v>0</v>
      </c>
      <c r="X235" s="166">
        <f>IF(OR($I235="",$E235=0),0,IF(OR($J235&lt;X$3,$I235&gt;X$2),0,IF($K235=0,IF(AND($I235&gt;=X$3,$I235&lt;=X$2),$E235,0),$E235*NETWORKDAYS(MAX($I235,X$3),MIN($J235,X$2),Data!$K$4:$K$203)/$K235)))</f>
        <v>0</v>
      </c>
      <c r="Y235" s="166">
        <f>IF(OR($I235="",$E235=0),0,IF(OR($J235&lt;Y$3,$I235&gt;Y$2),0,IF($K235=0,IF(AND($I235&gt;=Y$3,$I235&lt;=Y$2),$E235,0),$E235*NETWORKDAYS(MAX($I235,Y$3),MIN($J235,Y$2),Data!$K$4:$K$203)/$K235)))</f>
        <v>0</v>
      </c>
      <c r="Z235" s="166">
        <f>IF(OR($I235="",$E235=0),0,IF(OR($J235&lt;Z$3,$I235&gt;Z$2),0,IF($K235=0,IF(AND($I235&gt;=Z$3,$I235&lt;=Z$2),$E235,0),$E235*NETWORKDAYS(MAX($I235,Z$3),MIN($J235,Z$2),Data!$K$4:$K$203)/$K235)))</f>
        <v>0</v>
      </c>
      <c r="AA235" s="166">
        <f>IF(OR($I235="",$E235=0),0,IF(OR($J235&lt;AA$3,$I235&gt;AA$2),0,IF($K235=0,IF(AND($I235&gt;=AA$3,$I235&lt;=AA$2),$E235,0),$E235*NETWORKDAYS(MAX($I235,AA$3),MIN($J235,AA$2),Data!$K$4:$K$203)/$K235)))</f>
        <v>0</v>
      </c>
      <c r="AB235" s="166">
        <f>IF(OR($I235="",$E235=0),0,IF(OR($J235&lt;AB$3,$I235&gt;AB$2),0,IF($K235=0,IF(AND($I235&gt;=AB$3,$I235&lt;=AB$2),$E235,0),$E235*NETWORKDAYS(MAX($I235,AB$3),MIN($J235,AB$2),Data!$K$4:$K$203)/$K235)))</f>
        <v>0</v>
      </c>
      <c r="AC235" s="166">
        <f>IF(OR($I235="",$E235=0),0,IF(OR($J235&lt;AC$3,$I235&gt;AC$2),0,IF($K235=0,IF(AND($I235&gt;=AC$3,$I235&lt;=AC$2),$E235,0),$E235*NETWORKDAYS(MAX($I235,AC$3),MIN($J235,AC$2),Data!$K$4:$K$203)/$K235)))</f>
        <v>0</v>
      </c>
      <c r="AD235" s="166">
        <f>IF(OR($I235="",$E235=0),0,IF(OR($J235&lt;AD$3,$I235&gt;AD$2),0,IF($K235=0,IF(AND($I235&gt;=AD$3,$I235&lt;=AD$2),$E235,0),$E235*NETWORKDAYS(MAX($I235,AD$3),MIN($J235,AD$2),Data!$K$4:$K$203)/$K235)))</f>
        <v>0</v>
      </c>
      <c r="AE235" s="166">
        <f>IF(OR($I235="",$E235=0),0,IF(OR($J235&lt;AE$3,$I235&gt;AE$2),0,IF($K235=0,IF(AND($I235&gt;=AE$3,$I235&lt;=AE$2),$E235,0),$E235*NETWORKDAYS(MAX($I235,AE$3),MIN($J235,AE$2),Data!$K$4:$K$203)/$K235)))</f>
        <v>0</v>
      </c>
      <c r="AF235" s="166">
        <f>IF(OR($I235="",$E235=0),0,IF(OR($J235&lt;AF$3,$I235&gt;AF$2),0,IF($K235=0,IF(AND($I235&gt;=AF$3,$I235&lt;=AF$2),$E235,0),$E235*NETWORKDAYS(MAX($I235,AF$3),MIN($J235,AF$2),Data!$K$4:$K$203)/$K235)))</f>
        <v>0</v>
      </c>
      <c r="AG235" s="166">
        <f>IF(OR($I235="",$E235=0),0,IF(OR($J235&lt;AG$3,$I235&gt;AG$2),0,IF($K235=0,IF(AND($I235&gt;=AG$3,$I235&lt;=AG$2),$E235,0),$E235*NETWORKDAYS(MAX($I235,AG$3),MIN($J235,AG$2),Data!$K$4:$K$203)/$K235)))</f>
        <v>0</v>
      </c>
      <c r="AH235" s="166">
        <f>IF(OR($I235="",$E235=0),0,IF(OR($J235&lt;AH$3,$I235&gt;AH$2),0,IF($K235=0,IF(AND($I235&gt;=AH$3,$I235&lt;=AH$2),$E235,0),$E235*NETWORKDAYS(MAX($I235,AH$3),MIN($J235,AH$2),Data!$K$4:$K$203)/$K235)))</f>
        <v>0</v>
      </c>
      <c r="AI235" s="166">
        <f>SUM(W235:AH235)</f>
        <v>0</v>
      </c>
      <c r="BZ235" t="str">
        <f>IF(D235=1,IF(TRIM(INDEX(Charge!$K:$K,ROW()))&lt;&gt;"",TRIM(INDEX(Charge!$K:$K,ROW())),IF(TRIM(INDEX(Charge!$L:$L,ROW()))&lt;&gt;"",TRIM(INDEX(Charge!$L:$L,ROW())),"(non affecté)")),"")</f>
        <v/>
      </c>
      <c r="CA235" t="str">
        <f>IF(AND($CD$4&lt;&gt;"",BZ235=$CD$4),COUNTIFS($BZ$4:$BZ$503,$CD$4,$L$4:$L$503,"&lt;"&amp;L235)+1,"")</f>
        <v/>
      </c>
      <c r="EM235" t="str">
        <f>IF(D235=1,IF(TRIM(INDEX(Charge!$K:$K,ROW()))&lt;&gt;"","Interne",IF(TRIM(INDEX(Charge!$L:$L,ROW()))&lt;&gt;"","Externe","Non affecté")),"")</f>
        <v/>
      </c>
      <c r="EN235" t="str">
        <f>IF(D235=1,LEFT(SUBSTITUTE(SUBSTITUTE(SUBSTITUTE(TRIM(SUBSTITUTE(INDEX(Charge!$B:$B,ROW()),CHAR(160)," "))&amp;" | "&amp;TRIM(SUBSTITUTE(INDEX(Charge!$C:$C,ROW()),CHAR(160)," "))&amp;" | "&amp;TRIM(SUBSTITUTE(INDEX(Charge!$D:$D,ROW()),CHAR(160)," ")),"~","-"),"*","+"),"?","!"),240),"")</f>
        <v/>
      </c>
      <c r="EO235">
        <f>IF(EN235="",0,IF(COUNTIF($EN$4:EN235,EN235)=1,1,0))</f>
        <v>0</v>
      </c>
      <c r="EP235" s="166" t="str">
        <f>IF(EO235=1,ROUND(SUMIF($EN$4:$EN$503,EN235,$E$4:$E$503),2),"")</f>
        <v/>
      </c>
      <c r="EQ235" t="str">
        <f>IF(EO235=1,COUNTIFS($EO$4:$EO$503,1,$EP$4:$EP$503,"&gt;"&amp;EP235)+COUNTIFS($EO$4:EO235,1,$EP$4:EP235,EP235),"")</f>
        <v/>
      </c>
      <c r="ER235" t="str">
        <f>IF(EO235=1,COUNTIFS($EN$4:$EN$503,EN235,$EM$4:$EM$503,"Interne",$FE$4:$FE$503,1),"")</f>
        <v/>
      </c>
      <c r="ES235" t="str">
        <f>IF(EO235=1,COUNTIFS($EN$4:$EN$503,EN235,$EM$4:$EM$503,"Externe",$FE$4:$FE$503,1),"")</f>
        <v/>
      </c>
      <c r="ET235" t="str">
        <f>IF(EO235=1,IF(ER235+ES235=0,"à affecter",IF(ER235=0,ES235&amp;" ext.",(ER235+ES235)&amp;IF(ES235&gt;0," dont "&amp;ES235&amp;" ext.",""))&amp;IF(COUNTIFS($EN$4:$EN$503,EN235,$EM$4:$EM$503,"Non affecté")&gt;0," + à affecter","")),"")</f>
        <v/>
      </c>
      <c r="EU235" s="170" t="str">
        <f>IF(EO235=1,IF(EP235&gt;0,SUMPRODUCT(($EN$4:$EN$503=EN235)*$E$4:$E$503*$C$4:$C$503)/EP235,AVERAGEIF($EN$4:$EN$503,EN235,$C$4:$C$503)),"")</f>
        <v/>
      </c>
      <c r="EV235" s="165">
        <f>IF(ISNUMBER(I235),I235,2958465)</f>
        <v>2958465.0</v>
      </c>
      <c r="EW235" s="165" t="str">
        <f>IF(EO235=1,SUMPRODUCT(MIN(($EN$4:$EN$503=EN235)*$EV$4:$EV$503+($EN$4:$EN$503&lt;&gt;EN235)*2958465)),"")</f>
        <v/>
      </c>
      <c r="EX235" s="165">
        <f>IF(AND(D235=1,ISNUMBER(INDEX(Charge!$F:$F,ROW()))),INDEX(Charge!$F:$F,ROW()),0)</f>
        <v>0.0</v>
      </c>
      <c r="EY235" s="165" t="str">
        <f>IF(EO235=1,SUMPRODUCT(MAX(($EN$4:$EN$503=EN235)*$EX$4:$EX$503)),"")</f>
        <v/>
      </c>
      <c r="FA235" t="str">
        <f>IF(232&lt;=$CD$23,INDEX($EJ$4:$EJ$203,232),IF(232-$CD$23&lt;=$CD$26,INDEX($EK$4:$EK$203,232-$CD$23),""))</f>
        <v/>
      </c>
      <c r="FB235" t="str">
        <f>IF(FA235="","",IF(232&lt;=$CD$23,"Interne","Externe"))</f>
        <v/>
      </c>
      <c r="FD235">
        <f>IF(AND(B235=1,TRIM(INDEX(Charge!$K:$K,ROW()))&lt;&gt;"",TRIM(INDEX(Charge!$L:$L,ROW()))&lt;&gt;""),1,0)</f>
        <v>0</v>
      </c>
      <c r="FE235">
        <f>IF(OR(EN235="",BZ235="(non affecté)"),0,IF(COUNTIFS($EN$4:EN235,EN235,$BZ$4:BZ235,BZ235)=1,1,0))</f>
        <v>0</v>
      </c>
    </row>
    <row r="236">
      <c r="A236">
        <f>ROW()</f>
        <v>236</v>
      </c>
      <c r="B236">
        <f>IF(TRIM(INDEX(Charge!$B:$B,ROW()))&lt;&gt;"",1,0)</f>
        <v>0</v>
      </c>
      <c r="C236">
        <f>IF(B236=1,MIN(1,MAX(0,N(INDEX(Charge!$O:$O,ROW())))),0)</f>
        <v>0</v>
      </c>
      <c r="D236">
        <f>IF(B236=1,IF(OR(p_Perimetre="Tous les projets",C236&lt;1),1,0),0)</f>
        <v>0</v>
      </c>
      <c r="E236">
        <f>IF(D236=1,MAX(0,N(INDEX(Charge!$M:$M,ROW()))),0)</f>
        <v>0</v>
      </c>
      <c r="F236" t="str">
        <f>IF(D236=1,IF(TRIM(INDEX(Charge!$A:$A,ROW()))="","(non renseigné)",TRIM(INDEX(Charge!$A:$A,ROW()))),"")</f>
        <v/>
      </c>
      <c r="G236" t="str">
        <f>IF(D236=1,TRIM(INDEX(Charge!$B:$B,ROW())),"")</f>
        <v/>
      </c>
      <c r="H236" t="str">
        <f>IF(D236=1,IF(TRIM(INDEX(Charge!$E:$E,ROW()))="","(non renseigné)",TRIM(INDEX(Charge!$E:$E,ROW()))),"")</f>
        <v/>
      </c>
      <c r="I236" s="165" t="str">
        <f>IF(AND(D236=1,ISNUMBER(INDEX(Charge!$N:$N,ROW()))),INDEX(Charge!$N:$N,ROW()),"")</f>
        <v/>
      </c>
      <c r="J236" s="165" t="str">
        <f>IF(I236="","",IF(AND(p_Repartition="Lissée jusqu'à la date de besoin",ISNUMBER(INDEX(Charge!$F:$F,ROW()))),IF(INDEX(Charge!$F:$F,ROW())&gt;=I236,INDEX(Charge!$F:$F,ROW()),I236),I236))</f>
        <v/>
      </c>
      <c r="K236" t="str">
        <f>IF(I236="","",NETWORKDAYS(I236,J236,Data!$K$4:$K$203))</f>
        <v/>
      </c>
      <c r="L236" t="str">
        <f>IF(D236=1,COUNTIFS($D$4:$D$503,1,$E$4:$E$503,"&gt;"&amp;E236)+COUNTIFS($D$4:$D236,1,$E$4:$E236,E236),"")</f>
        <v/>
      </c>
      <c r="M236">
        <f>IF(F236="",0,IF(COUNTIF($F$4:F236,F236)=1,1,0))</f>
        <v>0</v>
      </c>
      <c r="N236" t="str">
        <f>IF(M236=1,ROUND(SUMIF($F$4:$F$503,F236,$E$4:$E$503),2),"")</f>
        <v/>
      </c>
      <c r="O236" t="str">
        <f>IF(M236=1,COUNTIFS($M$4:$M$503,1,$N$4:$N$503,"&gt;"&amp;N236)+COUNTIFS($M$4:M236,1,$N$4:N236,N236),"")</f>
        <v/>
      </c>
      <c r="P236">
        <f>IF(G236="",0,IF(COUNTIF($G$4:G236,G236)=1,1,0))</f>
        <v>0</v>
      </c>
      <c r="Q236" t="str">
        <f>IF(P236=1,ROUND(SUMIF($G$4:$G$503,G236,$E$4:$E$503),2),"")</f>
        <v/>
      </c>
      <c r="R236" t="str">
        <f>IF(P236=1,COUNTIFS($P$4:$P$503,1,$Q$4:$Q$503,"&gt;"&amp;Q236)+COUNTIFS($P$4:P236,1,$Q$4:Q236,Q236),"")</f>
        <v/>
      </c>
      <c r="S236">
        <f>IF(H236="",0,IF(COUNTIF($H$4:H236,H236)=1,1,0))</f>
        <v>0</v>
      </c>
      <c r="T236" t="str">
        <f>IF(S236=1,ROUND(SUMIF($H$4:$H$503,H236,$E$4:$E$503),2),"")</f>
        <v/>
      </c>
      <c r="U236" t="str">
        <f>IF(S236=1,COUNTIFS($S$4:$S$503,1,$T$4:$T$503,"&gt;"&amp;T236)+COUNTIFS($S$4:S236,1,$T$4:T236,T236),"")</f>
        <v/>
      </c>
      <c r="V236" t="str">
        <f>IF(D236=1,MIN(INDEX($R$4:$R$503,MATCH(G236,$G$4:$G$503,0)),IF($AL$7&gt;9,9,999)),"")</f>
        <v/>
      </c>
      <c r="W236" s="166">
        <f>IF(OR($I236="",$E236=0),0,IF(OR($J236&lt;W$3,$I236&gt;W$2),0,IF($K236=0,IF(AND($I236&gt;=W$3,$I236&lt;=W$2),$E236,0),$E236*NETWORKDAYS(MAX($I236,W$3),MIN($J236,W$2),Data!$K$4:$K$203)/$K236)))</f>
        <v>0</v>
      </c>
      <c r="X236" s="166">
        <f>IF(OR($I236="",$E236=0),0,IF(OR($J236&lt;X$3,$I236&gt;X$2),0,IF($K236=0,IF(AND($I236&gt;=X$3,$I236&lt;=X$2),$E236,0),$E236*NETWORKDAYS(MAX($I236,X$3),MIN($J236,X$2),Data!$K$4:$K$203)/$K236)))</f>
        <v>0</v>
      </c>
      <c r="Y236" s="166">
        <f>IF(OR($I236="",$E236=0),0,IF(OR($J236&lt;Y$3,$I236&gt;Y$2),0,IF($K236=0,IF(AND($I236&gt;=Y$3,$I236&lt;=Y$2),$E236,0),$E236*NETWORKDAYS(MAX($I236,Y$3),MIN($J236,Y$2),Data!$K$4:$K$203)/$K236)))</f>
        <v>0</v>
      </c>
      <c r="Z236" s="166">
        <f>IF(OR($I236="",$E236=0),0,IF(OR($J236&lt;Z$3,$I236&gt;Z$2),0,IF($K236=0,IF(AND($I236&gt;=Z$3,$I236&lt;=Z$2),$E236,0),$E236*NETWORKDAYS(MAX($I236,Z$3),MIN($J236,Z$2),Data!$K$4:$K$203)/$K236)))</f>
        <v>0</v>
      </c>
      <c r="AA236" s="166">
        <f>IF(OR($I236="",$E236=0),0,IF(OR($J236&lt;AA$3,$I236&gt;AA$2),0,IF($K236=0,IF(AND($I236&gt;=AA$3,$I236&lt;=AA$2),$E236,0),$E236*NETWORKDAYS(MAX($I236,AA$3),MIN($J236,AA$2),Data!$K$4:$K$203)/$K236)))</f>
        <v>0</v>
      </c>
      <c r="AB236" s="166">
        <f>IF(OR($I236="",$E236=0),0,IF(OR($J236&lt;AB$3,$I236&gt;AB$2),0,IF($K236=0,IF(AND($I236&gt;=AB$3,$I236&lt;=AB$2),$E236,0),$E236*NETWORKDAYS(MAX($I236,AB$3),MIN($J236,AB$2),Data!$K$4:$K$203)/$K236)))</f>
        <v>0</v>
      </c>
      <c r="AC236" s="166">
        <f>IF(OR($I236="",$E236=0),0,IF(OR($J236&lt;AC$3,$I236&gt;AC$2),0,IF($K236=0,IF(AND($I236&gt;=AC$3,$I236&lt;=AC$2),$E236,0),$E236*NETWORKDAYS(MAX($I236,AC$3),MIN($J236,AC$2),Data!$K$4:$K$203)/$K236)))</f>
        <v>0</v>
      </c>
      <c r="AD236" s="166">
        <f>IF(OR($I236="",$E236=0),0,IF(OR($J236&lt;AD$3,$I236&gt;AD$2),0,IF($K236=0,IF(AND($I236&gt;=AD$3,$I236&lt;=AD$2),$E236,0),$E236*NETWORKDAYS(MAX($I236,AD$3),MIN($J236,AD$2),Data!$K$4:$K$203)/$K236)))</f>
        <v>0</v>
      </c>
      <c r="AE236" s="166">
        <f>IF(OR($I236="",$E236=0),0,IF(OR($J236&lt;AE$3,$I236&gt;AE$2),0,IF($K236=0,IF(AND($I236&gt;=AE$3,$I236&lt;=AE$2),$E236,0),$E236*NETWORKDAYS(MAX($I236,AE$3),MIN($J236,AE$2),Data!$K$4:$K$203)/$K236)))</f>
        <v>0</v>
      </c>
      <c r="AF236" s="166">
        <f>IF(OR($I236="",$E236=0),0,IF(OR($J236&lt;AF$3,$I236&gt;AF$2),0,IF($K236=0,IF(AND($I236&gt;=AF$3,$I236&lt;=AF$2),$E236,0),$E236*NETWORKDAYS(MAX($I236,AF$3),MIN($J236,AF$2),Data!$K$4:$K$203)/$K236)))</f>
        <v>0</v>
      </c>
      <c r="AG236" s="166">
        <f>IF(OR($I236="",$E236=0),0,IF(OR($J236&lt;AG$3,$I236&gt;AG$2),0,IF($K236=0,IF(AND($I236&gt;=AG$3,$I236&lt;=AG$2),$E236,0),$E236*NETWORKDAYS(MAX($I236,AG$3),MIN($J236,AG$2),Data!$K$4:$K$203)/$K236)))</f>
        <v>0</v>
      </c>
      <c r="AH236" s="166">
        <f>IF(OR($I236="",$E236=0),0,IF(OR($J236&lt;AH$3,$I236&gt;AH$2),0,IF($K236=0,IF(AND($I236&gt;=AH$3,$I236&lt;=AH$2),$E236,0),$E236*NETWORKDAYS(MAX($I236,AH$3),MIN($J236,AH$2),Data!$K$4:$K$203)/$K236)))</f>
        <v>0</v>
      </c>
      <c r="AI236" s="166">
        <f>SUM(W236:AH236)</f>
        <v>0</v>
      </c>
      <c r="BZ236" t="str">
        <f>IF(D236=1,IF(TRIM(INDEX(Charge!$K:$K,ROW()))&lt;&gt;"",TRIM(INDEX(Charge!$K:$K,ROW())),IF(TRIM(INDEX(Charge!$L:$L,ROW()))&lt;&gt;"",TRIM(INDEX(Charge!$L:$L,ROW())),"(non affecté)")),"")</f>
        <v/>
      </c>
      <c r="CA236" t="str">
        <f>IF(AND($CD$4&lt;&gt;"",BZ236=$CD$4),COUNTIFS($BZ$4:$BZ$503,$CD$4,$L$4:$L$503,"&lt;"&amp;L236)+1,"")</f>
        <v/>
      </c>
      <c r="EM236" t="str">
        <f>IF(D236=1,IF(TRIM(INDEX(Charge!$K:$K,ROW()))&lt;&gt;"","Interne",IF(TRIM(INDEX(Charge!$L:$L,ROW()))&lt;&gt;"","Externe","Non affecté")),"")</f>
        <v/>
      </c>
      <c r="EN236" t="str">
        <f>IF(D236=1,LEFT(SUBSTITUTE(SUBSTITUTE(SUBSTITUTE(TRIM(SUBSTITUTE(INDEX(Charge!$B:$B,ROW()),CHAR(160)," "))&amp;" | "&amp;TRIM(SUBSTITUTE(INDEX(Charge!$C:$C,ROW()),CHAR(160)," "))&amp;" | "&amp;TRIM(SUBSTITUTE(INDEX(Charge!$D:$D,ROW()),CHAR(160)," ")),"~","-"),"*","+"),"?","!"),240),"")</f>
        <v/>
      </c>
      <c r="EO236">
        <f>IF(EN236="",0,IF(COUNTIF($EN$4:EN236,EN236)=1,1,0))</f>
        <v>0</v>
      </c>
      <c r="EP236" s="166" t="str">
        <f>IF(EO236=1,ROUND(SUMIF($EN$4:$EN$503,EN236,$E$4:$E$503),2),"")</f>
        <v/>
      </c>
      <c r="EQ236" t="str">
        <f>IF(EO236=1,COUNTIFS($EO$4:$EO$503,1,$EP$4:$EP$503,"&gt;"&amp;EP236)+COUNTIFS($EO$4:EO236,1,$EP$4:EP236,EP236),"")</f>
        <v/>
      </c>
      <c r="ER236" t="str">
        <f>IF(EO236=1,COUNTIFS($EN$4:$EN$503,EN236,$EM$4:$EM$503,"Interne",$FE$4:$FE$503,1),"")</f>
        <v/>
      </c>
      <c r="ES236" t="str">
        <f>IF(EO236=1,COUNTIFS($EN$4:$EN$503,EN236,$EM$4:$EM$503,"Externe",$FE$4:$FE$503,1),"")</f>
        <v/>
      </c>
      <c r="ET236" t="str">
        <f>IF(EO236=1,IF(ER236+ES236=0,"à affecter",IF(ER236=0,ES236&amp;" ext.",(ER236+ES236)&amp;IF(ES236&gt;0," dont "&amp;ES236&amp;" ext.",""))&amp;IF(COUNTIFS($EN$4:$EN$503,EN236,$EM$4:$EM$503,"Non affecté")&gt;0," + à affecter","")),"")</f>
        <v/>
      </c>
      <c r="EU236" s="170" t="str">
        <f>IF(EO236=1,IF(EP236&gt;0,SUMPRODUCT(($EN$4:$EN$503=EN236)*$E$4:$E$503*$C$4:$C$503)/EP236,AVERAGEIF($EN$4:$EN$503,EN236,$C$4:$C$503)),"")</f>
        <v/>
      </c>
      <c r="EV236" s="165">
        <f>IF(ISNUMBER(I236),I236,2958465)</f>
        <v>2958465.0</v>
      </c>
      <c r="EW236" s="165" t="str">
        <f>IF(EO236=1,SUMPRODUCT(MIN(($EN$4:$EN$503=EN236)*$EV$4:$EV$503+($EN$4:$EN$503&lt;&gt;EN236)*2958465)),"")</f>
        <v/>
      </c>
      <c r="EX236" s="165">
        <f>IF(AND(D236=1,ISNUMBER(INDEX(Charge!$F:$F,ROW()))),INDEX(Charge!$F:$F,ROW()),0)</f>
        <v>0.0</v>
      </c>
      <c r="EY236" s="165" t="str">
        <f>IF(EO236=1,SUMPRODUCT(MAX(($EN$4:$EN$503=EN236)*$EX$4:$EX$503)),"")</f>
        <v/>
      </c>
      <c r="FA236" t="str">
        <f>IF(233&lt;=$CD$23,INDEX($EJ$4:$EJ$203,233),IF(233-$CD$23&lt;=$CD$26,INDEX($EK$4:$EK$203,233-$CD$23),""))</f>
        <v/>
      </c>
      <c r="FB236" t="str">
        <f>IF(FA236="","",IF(233&lt;=$CD$23,"Interne","Externe"))</f>
        <v/>
      </c>
      <c r="FD236">
        <f>IF(AND(B236=1,TRIM(INDEX(Charge!$K:$K,ROW()))&lt;&gt;"",TRIM(INDEX(Charge!$L:$L,ROW()))&lt;&gt;""),1,0)</f>
        <v>0</v>
      </c>
      <c r="FE236">
        <f>IF(OR(EN236="",BZ236="(non affecté)"),0,IF(COUNTIFS($EN$4:EN236,EN236,$BZ$4:BZ236,BZ236)=1,1,0))</f>
        <v>0</v>
      </c>
    </row>
    <row r="237">
      <c r="A237">
        <f>ROW()</f>
        <v>237</v>
      </c>
      <c r="B237">
        <f>IF(TRIM(INDEX(Charge!$B:$B,ROW()))&lt;&gt;"",1,0)</f>
        <v>0</v>
      </c>
      <c r="C237">
        <f>IF(B237=1,MIN(1,MAX(0,N(INDEX(Charge!$O:$O,ROW())))),0)</f>
        <v>0</v>
      </c>
      <c r="D237">
        <f>IF(B237=1,IF(OR(p_Perimetre="Tous les projets",C237&lt;1),1,0),0)</f>
        <v>0</v>
      </c>
      <c r="E237">
        <f>IF(D237=1,MAX(0,N(INDEX(Charge!$M:$M,ROW()))),0)</f>
        <v>0</v>
      </c>
      <c r="F237" t="str">
        <f>IF(D237=1,IF(TRIM(INDEX(Charge!$A:$A,ROW()))="","(non renseigné)",TRIM(INDEX(Charge!$A:$A,ROW()))),"")</f>
        <v/>
      </c>
      <c r="G237" t="str">
        <f>IF(D237=1,TRIM(INDEX(Charge!$B:$B,ROW())),"")</f>
        <v/>
      </c>
      <c r="H237" t="str">
        <f>IF(D237=1,IF(TRIM(INDEX(Charge!$E:$E,ROW()))="","(non renseigné)",TRIM(INDEX(Charge!$E:$E,ROW()))),"")</f>
        <v/>
      </c>
      <c r="I237" s="165" t="str">
        <f>IF(AND(D237=1,ISNUMBER(INDEX(Charge!$N:$N,ROW()))),INDEX(Charge!$N:$N,ROW()),"")</f>
        <v/>
      </c>
      <c r="J237" s="165" t="str">
        <f>IF(I237="","",IF(AND(p_Repartition="Lissée jusqu'à la date de besoin",ISNUMBER(INDEX(Charge!$F:$F,ROW()))),IF(INDEX(Charge!$F:$F,ROW())&gt;=I237,INDEX(Charge!$F:$F,ROW()),I237),I237))</f>
        <v/>
      </c>
      <c r="K237" t="str">
        <f>IF(I237="","",NETWORKDAYS(I237,J237,Data!$K$4:$K$203))</f>
        <v/>
      </c>
      <c r="L237" t="str">
        <f>IF(D237=1,COUNTIFS($D$4:$D$503,1,$E$4:$E$503,"&gt;"&amp;E237)+COUNTIFS($D$4:$D237,1,$E$4:$E237,E237),"")</f>
        <v/>
      </c>
      <c r="M237">
        <f>IF(F237="",0,IF(COUNTIF($F$4:F237,F237)=1,1,0))</f>
        <v>0</v>
      </c>
      <c r="N237" t="str">
        <f>IF(M237=1,ROUND(SUMIF($F$4:$F$503,F237,$E$4:$E$503),2),"")</f>
        <v/>
      </c>
      <c r="O237" t="str">
        <f>IF(M237=1,COUNTIFS($M$4:$M$503,1,$N$4:$N$503,"&gt;"&amp;N237)+COUNTIFS($M$4:M237,1,$N$4:N237,N237),"")</f>
        <v/>
      </c>
      <c r="P237">
        <f>IF(G237="",0,IF(COUNTIF($G$4:G237,G237)=1,1,0))</f>
        <v>0</v>
      </c>
      <c r="Q237" t="str">
        <f>IF(P237=1,ROUND(SUMIF($G$4:$G$503,G237,$E$4:$E$503),2),"")</f>
        <v/>
      </c>
      <c r="R237" t="str">
        <f>IF(P237=1,COUNTIFS($P$4:$P$503,1,$Q$4:$Q$503,"&gt;"&amp;Q237)+COUNTIFS($P$4:P237,1,$Q$4:Q237,Q237),"")</f>
        <v/>
      </c>
      <c r="S237">
        <f>IF(H237="",0,IF(COUNTIF($H$4:H237,H237)=1,1,0))</f>
        <v>0</v>
      </c>
      <c r="T237" t="str">
        <f>IF(S237=1,ROUND(SUMIF($H$4:$H$503,H237,$E$4:$E$503),2),"")</f>
        <v/>
      </c>
      <c r="U237" t="str">
        <f>IF(S237=1,COUNTIFS($S$4:$S$503,1,$T$4:$T$503,"&gt;"&amp;T237)+COUNTIFS($S$4:S237,1,$T$4:T237,T237),"")</f>
        <v/>
      </c>
      <c r="V237" t="str">
        <f>IF(D237=1,MIN(INDEX($R$4:$R$503,MATCH(G237,$G$4:$G$503,0)),IF($AL$7&gt;9,9,999)),"")</f>
        <v/>
      </c>
      <c r="W237" s="166">
        <f>IF(OR($I237="",$E237=0),0,IF(OR($J237&lt;W$3,$I237&gt;W$2),0,IF($K237=0,IF(AND($I237&gt;=W$3,$I237&lt;=W$2),$E237,0),$E237*NETWORKDAYS(MAX($I237,W$3),MIN($J237,W$2),Data!$K$4:$K$203)/$K237)))</f>
        <v>0</v>
      </c>
      <c r="X237" s="166">
        <f>IF(OR($I237="",$E237=0),0,IF(OR($J237&lt;X$3,$I237&gt;X$2),0,IF($K237=0,IF(AND($I237&gt;=X$3,$I237&lt;=X$2),$E237,0),$E237*NETWORKDAYS(MAX($I237,X$3),MIN($J237,X$2),Data!$K$4:$K$203)/$K237)))</f>
        <v>0</v>
      </c>
      <c r="Y237" s="166">
        <f>IF(OR($I237="",$E237=0),0,IF(OR($J237&lt;Y$3,$I237&gt;Y$2),0,IF($K237=0,IF(AND($I237&gt;=Y$3,$I237&lt;=Y$2),$E237,0),$E237*NETWORKDAYS(MAX($I237,Y$3),MIN($J237,Y$2),Data!$K$4:$K$203)/$K237)))</f>
        <v>0</v>
      </c>
      <c r="Z237" s="166">
        <f>IF(OR($I237="",$E237=0),0,IF(OR($J237&lt;Z$3,$I237&gt;Z$2),0,IF($K237=0,IF(AND($I237&gt;=Z$3,$I237&lt;=Z$2),$E237,0),$E237*NETWORKDAYS(MAX($I237,Z$3),MIN($J237,Z$2),Data!$K$4:$K$203)/$K237)))</f>
        <v>0</v>
      </c>
      <c r="AA237" s="166">
        <f>IF(OR($I237="",$E237=0),0,IF(OR($J237&lt;AA$3,$I237&gt;AA$2),0,IF($K237=0,IF(AND($I237&gt;=AA$3,$I237&lt;=AA$2),$E237,0),$E237*NETWORKDAYS(MAX($I237,AA$3),MIN($J237,AA$2),Data!$K$4:$K$203)/$K237)))</f>
        <v>0</v>
      </c>
      <c r="AB237" s="166">
        <f>IF(OR($I237="",$E237=0),0,IF(OR($J237&lt;AB$3,$I237&gt;AB$2),0,IF($K237=0,IF(AND($I237&gt;=AB$3,$I237&lt;=AB$2),$E237,0),$E237*NETWORKDAYS(MAX($I237,AB$3),MIN($J237,AB$2),Data!$K$4:$K$203)/$K237)))</f>
        <v>0</v>
      </c>
      <c r="AC237" s="166">
        <f>IF(OR($I237="",$E237=0),0,IF(OR($J237&lt;AC$3,$I237&gt;AC$2),0,IF($K237=0,IF(AND($I237&gt;=AC$3,$I237&lt;=AC$2),$E237,0),$E237*NETWORKDAYS(MAX($I237,AC$3),MIN($J237,AC$2),Data!$K$4:$K$203)/$K237)))</f>
        <v>0</v>
      </c>
      <c r="AD237" s="166">
        <f>IF(OR($I237="",$E237=0),0,IF(OR($J237&lt;AD$3,$I237&gt;AD$2),0,IF($K237=0,IF(AND($I237&gt;=AD$3,$I237&lt;=AD$2),$E237,0),$E237*NETWORKDAYS(MAX($I237,AD$3),MIN($J237,AD$2),Data!$K$4:$K$203)/$K237)))</f>
        <v>0</v>
      </c>
      <c r="AE237" s="166">
        <f>IF(OR($I237="",$E237=0),0,IF(OR($J237&lt;AE$3,$I237&gt;AE$2),0,IF($K237=0,IF(AND($I237&gt;=AE$3,$I237&lt;=AE$2),$E237,0),$E237*NETWORKDAYS(MAX($I237,AE$3),MIN($J237,AE$2),Data!$K$4:$K$203)/$K237)))</f>
        <v>0</v>
      </c>
      <c r="AF237" s="166">
        <f>IF(OR($I237="",$E237=0),0,IF(OR($J237&lt;AF$3,$I237&gt;AF$2),0,IF($K237=0,IF(AND($I237&gt;=AF$3,$I237&lt;=AF$2),$E237,0),$E237*NETWORKDAYS(MAX($I237,AF$3),MIN($J237,AF$2),Data!$K$4:$K$203)/$K237)))</f>
        <v>0</v>
      </c>
      <c r="AG237" s="166">
        <f>IF(OR($I237="",$E237=0),0,IF(OR($J237&lt;AG$3,$I237&gt;AG$2),0,IF($K237=0,IF(AND($I237&gt;=AG$3,$I237&lt;=AG$2),$E237,0),$E237*NETWORKDAYS(MAX($I237,AG$3),MIN($J237,AG$2),Data!$K$4:$K$203)/$K237)))</f>
        <v>0</v>
      </c>
      <c r="AH237" s="166">
        <f>IF(OR($I237="",$E237=0),0,IF(OR($J237&lt;AH$3,$I237&gt;AH$2),0,IF($K237=0,IF(AND($I237&gt;=AH$3,$I237&lt;=AH$2),$E237,0),$E237*NETWORKDAYS(MAX($I237,AH$3),MIN($J237,AH$2),Data!$K$4:$K$203)/$K237)))</f>
        <v>0</v>
      </c>
      <c r="AI237" s="166">
        <f>SUM(W237:AH237)</f>
        <v>0</v>
      </c>
      <c r="BZ237" t="str">
        <f>IF(D237=1,IF(TRIM(INDEX(Charge!$K:$K,ROW()))&lt;&gt;"",TRIM(INDEX(Charge!$K:$K,ROW())),IF(TRIM(INDEX(Charge!$L:$L,ROW()))&lt;&gt;"",TRIM(INDEX(Charge!$L:$L,ROW())),"(non affecté)")),"")</f>
        <v/>
      </c>
      <c r="CA237" t="str">
        <f>IF(AND($CD$4&lt;&gt;"",BZ237=$CD$4),COUNTIFS($BZ$4:$BZ$503,$CD$4,$L$4:$L$503,"&lt;"&amp;L237)+1,"")</f>
        <v/>
      </c>
      <c r="EM237" t="str">
        <f>IF(D237=1,IF(TRIM(INDEX(Charge!$K:$K,ROW()))&lt;&gt;"","Interne",IF(TRIM(INDEX(Charge!$L:$L,ROW()))&lt;&gt;"","Externe","Non affecté")),"")</f>
        <v/>
      </c>
      <c r="EN237" t="str">
        <f>IF(D237=1,LEFT(SUBSTITUTE(SUBSTITUTE(SUBSTITUTE(TRIM(SUBSTITUTE(INDEX(Charge!$B:$B,ROW()),CHAR(160)," "))&amp;" | "&amp;TRIM(SUBSTITUTE(INDEX(Charge!$C:$C,ROW()),CHAR(160)," "))&amp;" | "&amp;TRIM(SUBSTITUTE(INDEX(Charge!$D:$D,ROW()),CHAR(160)," ")),"~","-"),"*","+"),"?","!"),240),"")</f>
        <v/>
      </c>
      <c r="EO237">
        <f>IF(EN237="",0,IF(COUNTIF($EN$4:EN237,EN237)=1,1,0))</f>
        <v>0</v>
      </c>
      <c r="EP237" s="166" t="str">
        <f>IF(EO237=1,ROUND(SUMIF($EN$4:$EN$503,EN237,$E$4:$E$503),2),"")</f>
        <v/>
      </c>
      <c r="EQ237" t="str">
        <f>IF(EO237=1,COUNTIFS($EO$4:$EO$503,1,$EP$4:$EP$503,"&gt;"&amp;EP237)+COUNTIFS($EO$4:EO237,1,$EP$4:EP237,EP237),"")</f>
        <v/>
      </c>
      <c r="ER237" t="str">
        <f>IF(EO237=1,COUNTIFS($EN$4:$EN$503,EN237,$EM$4:$EM$503,"Interne",$FE$4:$FE$503,1),"")</f>
        <v/>
      </c>
      <c r="ES237" t="str">
        <f>IF(EO237=1,COUNTIFS($EN$4:$EN$503,EN237,$EM$4:$EM$503,"Externe",$FE$4:$FE$503,1),"")</f>
        <v/>
      </c>
      <c r="ET237" t="str">
        <f>IF(EO237=1,IF(ER237+ES237=0,"à affecter",IF(ER237=0,ES237&amp;" ext.",(ER237+ES237)&amp;IF(ES237&gt;0," dont "&amp;ES237&amp;" ext.",""))&amp;IF(COUNTIFS($EN$4:$EN$503,EN237,$EM$4:$EM$503,"Non affecté")&gt;0," + à affecter","")),"")</f>
        <v/>
      </c>
      <c r="EU237" s="170" t="str">
        <f>IF(EO237=1,IF(EP237&gt;0,SUMPRODUCT(($EN$4:$EN$503=EN237)*$E$4:$E$503*$C$4:$C$503)/EP237,AVERAGEIF($EN$4:$EN$503,EN237,$C$4:$C$503)),"")</f>
        <v/>
      </c>
      <c r="EV237" s="165">
        <f>IF(ISNUMBER(I237),I237,2958465)</f>
        <v>2958465.0</v>
      </c>
      <c r="EW237" s="165" t="str">
        <f>IF(EO237=1,SUMPRODUCT(MIN(($EN$4:$EN$503=EN237)*$EV$4:$EV$503+($EN$4:$EN$503&lt;&gt;EN237)*2958465)),"")</f>
        <v/>
      </c>
      <c r="EX237" s="165">
        <f>IF(AND(D237=1,ISNUMBER(INDEX(Charge!$F:$F,ROW()))),INDEX(Charge!$F:$F,ROW()),0)</f>
        <v>0.0</v>
      </c>
      <c r="EY237" s="165" t="str">
        <f>IF(EO237=1,SUMPRODUCT(MAX(($EN$4:$EN$503=EN237)*$EX$4:$EX$503)),"")</f>
        <v/>
      </c>
      <c r="FA237" t="str">
        <f>IF(234&lt;=$CD$23,INDEX($EJ$4:$EJ$203,234),IF(234-$CD$23&lt;=$CD$26,INDEX($EK$4:$EK$203,234-$CD$23),""))</f>
        <v/>
      </c>
      <c r="FB237" t="str">
        <f>IF(FA237="","",IF(234&lt;=$CD$23,"Interne","Externe"))</f>
        <v/>
      </c>
      <c r="FD237">
        <f>IF(AND(B237=1,TRIM(INDEX(Charge!$K:$K,ROW()))&lt;&gt;"",TRIM(INDEX(Charge!$L:$L,ROW()))&lt;&gt;""),1,0)</f>
        <v>0</v>
      </c>
      <c r="FE237">
        <f>IF(OR(EN237="",BZ237="(non affecté)"),0,IF(COUNTIFS($EN$4:EN237,EN237,$BZ$4:BZ237,BZ237)=1,1,0))</f>
        <v>0</v>
      </c>
    </row>
    <row r="238">
      <c r="A238">
        <f>ROW()</f>
        <v>238</v>
      </c>
      <c r="B238">
        <f>IF(TRIM(INDEX(Charge!$B:$B,ROW()))&lt;&gt;"",1,0)</f>
        <v>0</v>
      </c>
      <c r="C238">
        <f>IF(B238=1,MIN(1,MAX(0,N(INDEX(Charge!$O:$O,ROW())))),0)</f>
        <v>0</v>
      </c>
      <c r="D238">
        <f>IF(B238=1,IF(OR(p_Perimetre="Tous les projets",C238&lt;1),1,0),0)</f>
        <v>0</v>
      </c>
      <c r="E238">
        <f>IF(D238=1,MAX(0,N(INDEX(Charge!$M:$M,ROW()))),0)</f>
        <v>0</v>
      </c>
      <c r="F238" t="str">
        <f>IF(D238=1,IF(TRIM(INDEX(Charge!$A:$A,ROW()))="","(non renseigné)",TRIM(INDEX(Charge!$A:$A,ROW()))),"")</f>
        <v/>
      </c>
      <c r="G238" t="str">
        <f>IF(D238=1,TRIM(INDEX(Charge!$B:$B,ROW())),"")</f>
        <v/>
      </c>
      <c r="H238" t="str">
        <f>IF(D238=1,IF(TRIM(INDEX(Charge!$E:$E,ROW()))="","(non renseigné)",TRIM(INDEX(Charge!$E:$E,ROW()))),"")</f>
        <v/>
      </c>
      <c r="I238" s="165" t="str">
        <f>IF(AND(D238=1,ISNUMBER(INDEX(Charge!$N:$N,ROW()))),INDEX(Charge!$N:$N,ROW()),"")</f>
        <v/>
      </c>
      <c r="J238" s="165" t="str">
        <f>IF(I238="","",IF(AND(p_Repartition="Lissée jusqu'à la date de besoin",ISNUMBER(INDEX(Charge!$F:$F,ROW()))),IF(INDEX(Charge!$F:$F,ROW())&gt;=I238,INDEX(Charge!$F:$F,ROW()),I238),I238))</f>
        <v/>
      </c>
      <c r="K238" t="str">
        <f>IF(I238="","",NETWORKDAYS(I238,J238,Data!$K$4:$K$203))</f>
        <v/>
      </c>
      <c r="L238" t="str">
        <f>IF(D238=1,COUNTIFS($D$4:$D$503,1,$E$4:$E$503,"&gt;"&amp;E238)+COUNTIFS($D$4:$D238,1,$E$4:$E238,E238),"")</f>
        <v/>
      </c>
      <c r="M238">
        <f>IF(F238="",0,IF(COUNTIF($F$4:F238,F238)=1,1,0))</f>
        <v>0</v>
      </c>
      <c r="N238" t="str">
        <f>IF(M238=1,ROUND(SUMIF($F$4:$F$503,F238,$E$4:$E$503),2),"")</f>
        <v/>
      </c>
      <c r="O238" t="str">
        <f>IF(M238=1,COUNTIFS($M$4:$M$503,1,$N$4:$N$503,"&gt;"&amp;N238)+COUNTIFS($M$4:M238,1,$N$4:N238,N238),"")</f>
        <v/>
      </c>
      <c r="P238">
        <f>IF(G238="",0,IF(COUNTIF($G$4:G238,G238)=1,1,0))</f>
        <v>0</v>
      </c>
      <c r="Q238" t="str">
        <f>IF(P238=1,ROUND(SUMIF($G$4:$G$503,G238,$E$4:$E$503),2),"")</f>
        <v/>
      </c>
      <c r="R238" t="str">
        <f>IF(P238=1,COUNTIFS($P$4:$P$503,1,$Q$4:$Q$503,"&gt;"&amp;Q238)+COUNTIFS($P$4:P238,1,$Q$4:Q238,Q238),"")</f>
        <v/>
      </c>
      <c r="S238">
        <f>IF(H238="",0,IF(COUNTIF($H$4:H238,H238)=1,1,0))</f>
        <v>0</v>
      </c>
      <c r="T238" t="str">
        <f>IF(S238=1,ROUND(SUMIF($H$4:$H$503,H238,$E$4:$E$503),2),"")</f>
        <v/>
      </c>
      <c r="U238" t="str">
        <f>IF(S238=1,COUNTIFS($S$4:$S$503,1,$T$4:$T$503,"&gt;"&amp;T238)+COUNTIFS($S$4:S238,1,$T$4:T238,T238),"")</f>
        <v/>
      </c>
      <c r="V238" t="str">
        <f>IF(D238=1,MIN(INDEX($R$4:$R$503,MATCH(G238,$G$4:$G$503,0)),IF($AL$7&gt;9,9,999)),"")</f>
        <v/>
      </c>
      <c r="W238" s="166">
        <f>IF(OR($I238="",$E238=0),0,IF(OR($J238&lt;W$3,$I238&gt;W$2),0,IF($K238=0,IF(AND($I238&gt;=W$3,$I238&lt;=W$2),$E238,0),$E238*NETWORKDAYS(MAX($I238,W$3),MIN($J238,W$2),Data!$K$4:$K$203)/$K238)))</f>
        <v>0</v>
      </c>
      <c r="X238" s="166">
        <f>IF(OR($I238="",$E238=0),0,IF(OR($J238&lt;X$3,$I238&gt;X$2),0,IF($K238=0,IF(AND($I238&gt;=X$3,$I238&lt;=X$2),$E238,0),$E238*NETWORKDAYS(MAX($I238,X$3),MIN($J238,X$2),Data!$K$4:$K$203)/$K238)))</f>
        <v>0</v>
      </c>
      <c r="Y238" s="166">
        <f>IF(OR($I238="",$E238=0),0,IF(OR($J238&lt;Y$3,$I238&gt;Y$2),0,IF($K238=0,IF(AND($I238&gt;=Y$3,$I238&lt;=Y$2),$E238,0),$E238*NETWORKDAYS(MAX($I238,Y$3),MIN($J238,Y$2),Data!$K$4:$K$203)/$K238)))</f>
        <v>0</v>
      </c>
      <c r="Z238" s="166">
        <f>IF(OR($I238="",$E238=0),0,IF(OR($J238&lt;Z$3,$I238&gt;Z$2),0,IF($K238=0,IF(AND($I238&gt;=Z$3,$I238&lt;=Z$2),$E238,0),$E238*NETWORKDAYS(MAX($I238,Z$3),MIN($J238,Z$2),Data!$K$4:$K$203)/$K238)))</f>
        <v>0</v>
      </c>
      <c r="AA238" s="166">
        <f>IF(OR($I238="",$E238=0),0,IF(OR($J238&lt;AA$3,$I238&gt;AA$2),0,IF($K238=0,IF(AND($I238&gt;=AA$3,$I238&lt;=AA$2),$E238,0),$E238*NETWORKDAYS(MAX($I238,AA$3),MIN($J238,AA$2),Data!$K$4:$K$203)/$K238)))</f>
        <v>0</v>
      </c>
      <c r="AB238" s="166">
        <f>IF(OR($I238="",$E238=0),0,IF(OR($J238&lt;AB$3,$I238&gt;AB$2),0,IF($K238=0,IF(AND($I238&gt;=AB$3,$I238&lt;=AB$2),$E238,0),$E238*NETWORKDAYS(MAX($I238,AB$3),MIN($J238,AB$2),Data!$K$4:$K$203)/$K238)))</f>
        <v>0</v>
      </c>
      <c r="AC238" s="166">
        <f>IF(OR($I238="",$E238=0),0,IF(OR($J238&lt;AC$3,$I238&gt;AC$2),0,IF($K238=0,IF(AND($I238&gt;=AC$3,$I238&lt;=AC$2),$E238,0),$E238*NETWORKDAYS(MAX($I238,AC$3),MIN($J238,AC$2),Data!$K$4:$K$203)/$K238)))</f>
        <v>0</v>
      </c>
      <c r="AD238" s="166">
        <f>IF(OR($I238="",$E238=0),0,IF(OR($J238&lt;AD$3,$I238&gt;AD$2),0,IF($K238=0,IF(AND($I238&gt;=AD$3,$I238&lt;=AD$2),$E238,0),$E238*NETWORKDAYS(MAX($I238,AD$3),MIN($J238,AD$2),Data!$K$4:$K$203)/$K238)))</f>
        <v>0</v>
      </c>
      <c r="AE238" s="166">
        <f>IF(OR($I238="",$E238=0),0,IF(OR($J238&lt;AE$3,$I238&gt;AE$2),0,IF($K238=0,IF(AND($I238&gt;=AE$3,$I238&lt;=AE$2),$E238,0),$E238*NETWORKDAYS(MAX($I238,AE$3),MIN($J238,AE$2),Data!$K$4:$K$203)/$K238)))</f>
        <v>0</v>
      </c>
      <c r="AF238" s="166">
        <f>IF(OR($I238="",$E238=0),0,IF(OR($J238&lt;AF$3,$I238&gt;AF$2),0,IF($K238=0,IF(AND($I238&gt;=AF$3,$I238&lt;=AF$2),$E238,0),$E238*NETWORKDAYS(MAX($I238,AF$3),MIN($J238,AF$2),Data!$K$4:$K$203)/$K238)))</f>
        <v>0</v>
      </c>
      <c r="AG238" s="166">
        <f>IF(OR($I238="",$E238=0),0,IF(OR($J238&lt;AG$3,$I238&gt;AG$2),0,IF($K238=0,IF(AND($I238&gt;=AG$3,$I238&lt;=AG$2),$E238,0),$E238*NETWORKDAYS(MAX($I238,AG$3),MIN($J238,AG$2),Data!$K$4:$K$203)/$K238)))</f>
        <v>0</v>
      </c>
      <c r="AH238" s="166">
        <f>IF(OR($I238="",$E238=0),0,IF(OR($J238&lt;AH$3,$I238&gt;AH$2),0,IF($K238=0,IF(AND($I238&gt;=AH$3,$I238&lt;=AH$2),$E238,0),$E238*NETWORKDAYS(MAX($I238,AH$3),MIN($J238,AH$2),Data!$K$4:$K$203)/$K238)))</f>
        <v>0</v>
      </c>
      <c r="AI238" s="166">
        <f>SUM(W238:AH238)</f>
        <v>0</v>
      </c>
      <c r="BZ238" t="str">
        <f>IF(D238=1,IF(TRIM(INDEX(Charge!$K:$K,ROW()))&lt;&gt;"",TRIM(INDEX(Charge!$K:$K,ROW())),IF(TRIM(INDEX(Charge!$L:$L,ROW()))&lt;&gt;"",TRIM(INDEX(Charge!$L:$L,ROW())),"(non affecté)")),"")</f>
        <v/>
      </c>
      <c r="CA238" t="str">
        <f>IF(AND($CD$4&lt;&gt;"",BZ238=$CD$4),COUNTIFS($BZ$4:$BZ$503,$CD$4,$L$4:$L$503,"&lt;"&amp;L238)+1,"")</f>
        <v/>
      </c>
      <c r="EM238" t="str">
        <f>IF(D238=1,IF(TRIM(INDEX(Charge!$K:$K,ROW()))&lt;&gt;"","Interne",IF(TRIM(INDEX(Charge!$L:$L,ROW()))&lt;&gt;"","Externe","Non affecté")),"")</f>
        <v/>
      </c>
      <c r="EN238" t="str">
        <f>IF(D238=1,LEFT(SUBSTITUTE(SUBSTITUTE(SUBSTITUTE(TRIM(SUBSTITUTE(INDEX(Charge!$B:$B,ROW()),CHAR(160)," "))&amp;" | "&amp;TRIM(SUBSTITUTE(INDEX(Charge!$C:$C,ROW()),CHAR(160)," "))&amp;" | "&amp;TRIM(SUBSTITUTE(INDEX(Charge!$D:$D,ROW()),CHAR(160)," ")),"~","-"),"*","+"),"?","!"),240),"")</f>
        <v/>
      </c>
      <c r="EO238">
        <f>IF(EN238="",0,IF(COUNTIF($EN$4:EN238,EN238)=1,1,0))</f>
        <v>0</v>
      </c>
      <c r="EP238" s="166" t="str">
        <f>IF(EO238=1,ROUND(SUMIF($EN$4:$EN$503,EN238,$E$4:$E$503),2),"")</f>
        <v/>
      </c>
      <c r="EQ238" t="str">
        <f>IF(EO238=1,COUNTIFS($EO$4:$EO$503,1,$EP$4:$EP$503,"&gt;"&amp;EP238)+COUNTIFS($EO$4:EO238,1,$EP$4:EP238,EP238),"")</f>
        <v/>
      </c>
      <c r="ER238" t="str">
        <f>IF(EO238=1,COUNTIFS($EN$4:$EN$503,EN238,$EM$4:$EM$503,"Interne",$FE$4:$FE$503,1),"")</f>
        <v/>
      </c>
      <c r="ES238" t="str">
        <f>IF(EO238=1,COUNTIFS($EN$4:$EN$503,EN238,$EM$4:$EM$503,"Externe",$FE$4:$FE$503,1),"")</f>
        <v/>
      </c>
      <c r="ET238" t="str">
        <f>IF(EO238=1,IF(ER238+ES238=0,"à affecter",IF(ER238=0,ES238&amp;" ext.",(ER238+ES238)&amp;IF(ES238&gt;0," dont "&amp;ES238&amp;" ext.",""))&amp;IF(COUNTIFS($EN$4:$EN$503,EN238,$EM$4:$EM$503,"Non affecté")&gt;0," + à affecter","")),"")</f>
        <v/>
      </c>
      <c r="EU238" s="170" t="str">
        <f>IF(EO238=1,IF(EP238&gt;0,SUMPRODUCT(($EN$4:$EN$503=EN238)*$E$4:$E$503*$C$4:$C$503)/EP238,AVERAGEIF($EN$4:$EN$503,EN238,$C$4:$C$503)),"")</f>
        <v/>
      </c>
      <c r="EV238" s="165">
        <f>IF(ISNUMBER(I238),I238,2958465)</f>
        <v>2958465.0</v>
      </c>
      <c r="EW238" s="165" t="str">
        <f>IF(EO238=1,SUMPRODUCT(MIN(($EN$4:$EN$503=EN238)*$EV$4:$EV$503+($EN$4:$EN$503&lt;&gt;EN238)*2958465)),"")</f>
        <v/>
      </c>
      <c r="EX238" s="165">
        <f>IF(AND(D238=1,ISNUMBER(INDEX(Charge!$F:$F,ROW()))),INDEX(Charge!$F:$F,ROW()),0)</f>
        <v>0.0</v>
      </c>
      <c r="EY238" s="165" t="str">
        <f>IF(EO238=1,SUMPRODUCT(MAX(($EN$4:$EN$503=EN238)*$EX$4:$EX$503)),"")</f>
        <v/>
      </c>
      <c r="FA238" t="str">
        <f>IF(235&lt;=$CD$23,INDEX($EJ$4:$EJ$203,235),IF(235-$CD$23&lt;=$CD$26,INDEX($EK$4:$EK$203,235-$CD$23),""))</f>
        <v/>
      </c>
      <c r="FB238" t="str">
        <f>IF(FA238="","",IF(235&lt;=$CD$23,"Interne","Externe"))</f>
        <v/>
      </c>
      <c r="FD238">
        <f>IF(AND(B238=1,TRIM(INDEX(Charge!$K:$K,ROW()))&lt;&gt;"",TRIM(INDEX(Charge!$L:$L,ROW()))&lt;&gt;""),1,0)</f>
        <v>0</v>
      </c>
      <c r="FE238">
        <f>IF(OR(EN238="",BZ238="(non affecté)"),0,IF(COUNTIFS($EN$4:EN238,EN238,$BZ$4:BZ238,BZ238)=1,1,0))</f>
        <v>0</v>
      </c>
    </row>
    <row r="239">
      <c r="A239">
        <f>ROW()</f>
        <v>239</v>
      </c>
      <c r="B239">
        <f>IF(TRIM(INDEX(Charge!$B:$B,ROW()))&lt;&gt;"",1,0)</f>
        <v>0</v>
      </c>
      <c r="C239">
        <f>IF(B239=1,MIN(1,MAX(0,N(INDEX(Charge!$O:$O,ROW())))),0)</f>
        <v>0</v>
      </c>
      <c r="D239">
        <f>IF(B239=1,IF(OR(p_Perimetre="Tous les projets",C239&lt;1),1,0),0)</f>
        <v>0</v>
      </c>
      <c r="E239">
        <f>IF(D239=1,MAX(0,N(INDEX(Charge!$M:$M,ROW()))),0)</f>
        <v>0</v>
      </c>
      <c r="F239" t="str">
        <f>IF(D239=1,IF(TRIM(INDEX(Charge!$A:$A,ROW()))="","(non renseigné)",TRIM(INDEX(Charge!$A:$A,ROW()))),"")</f>
        <v/>
      </c>
      <c r="G239" t="str">
        <f>IF(D239=1,TRIM(INDEX(Charge!$B:$B,ROW())),"")</f>
        <v/>
      </c>
      <c r="H239" t="str">
        <f>IF(D239=1,IF(TRIM(INDEX(Charge!$E:$E,ROW()))="","(non renseigné)",TRIM(INDEX(Charge!$E:$E,ROW()))),"")</f>
        <v/>
      </c>
      <c r="I239" s="165" t="str">
        <f>IF(AND(D239=1,ISNUMBER(INDEX(Charge!$N:$N,ROW()))),INDEX(Charge!$N:$N,ROW()),"")</f>
        <v/>
      </c>
      <c r="J239" s="165" t="str">
        <f>IF(I239="","",IF(AND(p_Repartition="Lissée jusqu'à la date de besoin",ISNUMBER(INDEX(Charge!$F:$F,ROW()))),IF(INDEX(Charge!$F:$F,ROW())&gt;=I239,INDEX(Charge!$F:$F,ROW()),I239),I239))</f>
        <v/>
      </c>
      <c r="K239" t="str">
        <f>IF(I239="","",NETWORKDAYS(I239,J239,Data!$K$4:$K$203))</f>
        <v/>
      </c>
      <c r="L239" t="str">
        <f>IF(D239=1,COUNTIFS($D$4:$D$503,1,$E$4:$E$503,"&gt;"&amp;E239)+COUNTIFS($D$4:$D239,1,$E$4:$E239,E239),"")</f>
        <v/>
      </c>
      <c r="M239">
        <f>IF(F239="",0,IF(COUNTIF($F$4:F239,F239)=1,1,0))</f>
        <v>0</v>
      </c>
      <c r="N239" t="str">
        <f>IF(M239=1,ROUND(SUMIF($F$4:$F$503,F239,$E$4:$E$503),2),"")</f>
        <v/>
      </c>
      <c r="O239" t="str">
        <f>IF(M239=1,COUNTIFS($M$4:$M$503,1,$N$4:$N$503,"&gt;"&amp;N239)+COUNTIFS($M$4:M239,1,$N$4:N239,N239),"")</f>
        <v/>
      </c>
      <c r="P239">
        <f>IF(G239="",0,IF(COUNTIF($G$4:G239,G239)=1,1,0))</f>
        <v>0</v>
      </c>
      <c r="Q239" t="str">
        <f>IF(P239=1,ROUND(SUMIF($G$4:$G$503,G239,$E$4:$E$503),2),"")</f>
        <v/>
      </c>
      <c r="R239" t="str">
        <f>IF(P239=1,COUNTIFS($P$4:$P$503,1,$Q$4:$Q$503,"&gt;"&amp;Q239)+COUNTIFS($P$4:P239,1,$Q$4:Q239,Q239),"")</f>
        <v/>
      </c>
      <c r="S239">
        <f>IF(H239="",0,IF(COUNTIF($H$4:H239,H239)=1,1,0))</f>
        <v>0</v>
      </c>
      <c r="T239" t="str">
        <f>IF(S239=1,ROUND(SUMIF($H$4:$H$503,H239,$E$4:$E$503),2),"")</f>
        <v/>
      </c>
      <c r="U239" t="str">
        <f>IF(S239=1,COUNTIFS($S$4:$S$503,1,$T$4:$T$503,"&gt;"&amp;T239)+COUNTIFS($S$4:S239,1,$T$4:T239,T239),"")</f>
        <v/>
      </c>
      <c r="V239" t="str">
        <f>IF(D239=1,MIN(INDEX($R$4:$R$503,MATCH(G239,$G$4:$G$503,0)),IF($AL$7&gt;9,9,999)),"")</f>
        <v/>
      </c>
      <c r="W239" s="166">
        <f>IF(OR($I239="",$E239=0),0,IF(OR($J239&lt;W$3,$I239&gt;W$2),0,IF($K239=0,IF(AND($I239&gt;=W$3,$I239&lt;=W$2),$E239,0),$E239*NETWORKDAYS(MAX($I239,W$3),MIN($J239,W$2),Data!$K$4:$K$203)/$K239)))</f>
        <v>0</v>
      </c>
      <c r="X239" s="166">
        <f>IF(OR($I239="",$E239=0),0,IF(OR($J239&lt;X$3,$I239&gt;X$2),0,IF($K239=0,IF(AND($I239&gt;=X$3,$I239&lt;=X$2),$E239,0),$E239*NETWORKDAYS(MAX($I239,X$3),MIN($J239,X$2),Data!$K$4:$K$203)/$K239)))</f>
        <v>0</v>
      </c>
      <c r="Y239" s="166">
        <f>IF(OR($I239="",$E239=0),0,IF(OR($J239&lt;Y$3,$I239&gt;Y$2),0,IF($K239=0,IF(AND($I239&gt;=Y$3,$I239&lt;=Y$2),$E239,0),$E239*NETWORKDAYS(MAX($I239,Y$3),MIN($J239,Y$2),Data!$K$4:$K$203)/$K239)))</f>
        <v>0</v>
      </c>
      <c r="Z239" s="166">
        <f>IF(OR($I239="",$E239=0),0,IF(OR($J239&lt;Z$3,$I239&gt;Z$2),0,IF($K239=0,IF(AND($I239&gt;=Z$3,$I239&lt;=Z$2),$E239,0),$E239*NETWORKDAYS(MAX($I239,Z$3),MIN($J239,Z$2),Data!$K$4:$K$203)/$K239)))</f>
        <v>0</v>
      </c>
      <c r="AA239" s="166">
        <f>IF(OR($I239="",$E239=0),0,IF(OR($J239&lt;AA$3,$I239&gt;AA$2),0,IF($K239=0,IF(AND($I239&gt;=AA$3,$I239&lt;=AA$2),$E239,0),$E239*NETWORKDAYS(MAX($I239,AA$3),MIN($J239,AA$2),Data!$K$4:$K$203)/$K239)))</f>
        <v>0</v>
      </c>
      <c r="AB239" s="166">
        <f>IF(OR($I239="",$E239=0),0,IF(OR($J239&lt;AB$3,$I239&gt;AB$2),0,IF($K239=0,IF(AND($I239&gt;=AB$3,$I239&lt;=AB$2),$E239,0),$E239*NETWORKDAYS(MAX($I239,AB$3),MIN($J239,AB$2),Data!$K$4:$K$203)/$K239)))</f>
        <v>0</v>
      </c>
      <c r="AC239" s="166">
        <f>IF(OR($I239="",$E239=0),0,IF(OR($J239&lt;AC$3,$I239&gt;AC$2),0,IF($K239=0,IF(AND($I239&gt;=AC$3,$I239&lt;=AC$2),$E239,0),$E239*NETWORKDAYS(MAX($I239,AC$3),MIN($J239,AC$2),Data!$K$4:$K$203)/$K239)))</f>
        <v>0</v>
      </c>
      <c r="AD239" s="166">
        <f>IF(OR($I239="",$E239=0),0,IF(OR($J239&lt;AD$3,$I239&gt;AD$2),0,IF($K239=0,IF(AND($I239&gt;=AD$3,$I239&lt;=AD$2),$E239,0),$E239*NETWORKDAYS(MAX($I239,AD$3),MIN($J239,AD$2),Data!$K$4:$K$203)/$K239)))</f>
        <v>0</v>
      </c>
      <c r="AE239" s="166">
        <f>IF(OR($I239="",$E239=0),0,IF(OR($J239&lt;AE$3,$I239&gt;AE$2),0,IF($K239=0,IF(AND($I239&gt;=AE$3,$I239&lt;=AE$2),$E239,0),$E239*NETWORKDAYS(MAX($I239,AE$3),MIN($J239,AE$2),Data!$K$4:$K$203)/$K239)))</f>
        <v>0</v>
      </c>
      <c r="AF239" s="166">
        <f>IF(OR($I239="",$E239=0),0,IF(OR($J239&lt;AF$3,$I239&gt;AF$2),0,IF($K239=0,IF(AND($I239&gt;=AF$3,$I239&lt;=AF$2),$E239,0),$E239*NETWORKDAYS(MAX($I239,AF$3),MIN($J239,AF$2),Data!$K$4:$K$203)/$K239)))</f>
        <v>0</v>
      </c>
      <c r="AG239" s="166">
        <f>IF(OR($I239="",$E239=0),0,IF(OR($J239&lt;AG$3,$I239&gt;AG$2),0,IF($K239=0,IF(AND($I239&gt;=AG$3,$I239&lt;=AG$2),$E239,0),$E239*NETWORKDAYS(MAX($I239,AG$3),MIN($J239,AG$2),Data!$K$4:$K$203)/$K239)))</f>
        <v>0</v>
      </c>
      <c r="AH239" s="166">
        <f>IF(OR($I239="",$E239=0),0,IF(OR($J239&lt;AH$3,$I239&gt;AH$2),0,IF($K239=0,IF(AND($I239&gt;=AH$3,$I239&lt;=AH$2),$E239,0),$E239*NETWORKDAYS(MAX($I239,AH$3),MIN($J239,AH$2),Data!$K$4:$K$203)/$K239)))</f>
        <v>0</v>
      </c>
      <c r="AI239" s="166">
        <f>SUM(W239:AH239)</f>
        <v>0</v>
      </c>
      <c r="BZ239" t="str">
        <f>IF(D239=1,IF(TRIM(INDEX(Charge!$K:$K,ROW()))&lt;&gt;"",TRIM(INDEX(Charge!$K:$K,ROW())),IF(TRIM(INDEX(Charge!$L:$L,ROW()))&lt;&gt;"",TRIM(INDEX(Charge!$L:$L,ROW())),"(non affecté)")),"")</f>
        <v/>
      </c>
      <c r="CA239" t="str">
        <f>IF(AND($CD$4&lt;&gt;"",BZ239=$CD$4),COUNTIFS($BZ$4:$BZ$503,$CD$4,$L$4:$L$503,"&lt;"&amp;L239)+1,"")</f>
        <v/>
      </c>
      <c r="EM239" t="str">
        <f>IF(D239=1,IF(TRIM(INDEX(Charge!$K:$K,ROW()))&lt;&gt;"","Interne",IF(TRIM(INDEX(Charge!$L:$L,ROW()))&lt;&gt;"","Externe","Non affecté")),"")</f>
        <v/>
      </c>
      <c r="EN239" t="str">
        <f>IF(D239=1,LEFT(SUBSTITUTE(SUBSTITUTE(SUBSTITUTE(TRIM(SUBSTITUTE(INDEX(Charge!$B:$B,ROW()),CHAR(160)," "))&amp;" | "&amp;TRIM(SUBSTITUTE(INDEX(Charge!$C:$C,ROW()),CHAR(160)," "))&amp;" | "&amp;TRIM(SUBSTITUTE(INDEX(Charge!$D:$D,ROW()),CHAR(160)," ")),"~","-"),"*","+"),"?","!"),240),"")</f>
        <v/>
      </c>
      <c r="EO239">
        <f>IF(EN239="",0,IF(COUNTIF($EN$4:EN239,EN239)=1,1,0))</f>
        <v>0</v>
      </c>
      <c r="EP239" s="166" t="str">
        <f>IF(EO239=1,ROUND(SUMIF($EN$4:$EN$503,EN239,$E$4:$E$503),2),"")</f>
        <v/>
      </c>
      <c r="EQ239" t="str">
        <f>IF(EO239=1,COUNTIFS($EO$4:$EO$503,1,$EP$4:$EP$503,"&gt;"&amp;EP239)+COUNTIFS($EO$4:EO239,1,$EP$4:EP239,EP239),"")</f>
        <v/>
      </c>
      <c r="ER239" t="str">
        <f>IF(EO239=1,COUNTIFS($EN$4:$EN$503,EN239,$EM$4:$EM$503,"Interne",$FE$4:$FE$503,1),"")</f>
        <v/>
      </c>
      <c r="ES239" t="str">
        <f>IF(EO239=1,COUNTIFS($EN$4:$EN$503,EN239,$EM$4:$EM$503,"Externe",$FE$4:$FE$503,1),"")</f>
        <v/>
      </c>
      <c r="ET239" t="str">
        <f>IF(EO239=1,IF(ER239+ES239=0,"à affecter",IF(ER239=0,ES239&amp;" ext.",(ER239+ES239)&amp;IF(ES239&gt;0," dont "&amp;ES239&amp;" ext.",""))&amp;IF(COUNTIFS($EN$4:$EN$503,EN239,$EM$4:$EM$503,"Non affecté")&gt;0," + à affecter","")),"")</f>
        <v/>
      </c>
      <c r="EU239" s="170" t="str">
        <f>IF(EO239=1,IF(EP239&gt;0,SUMPRODUCT(($EN$4:$EN$503=EN239)*$E$4:$E$503*$C$4:$C$503)/EP239,AVERAGEIF($EN$4:$EN$503,EN239,$C$4:$C$503)),"")</f>
        <v/>
      </c>
      <c r="EV239" s="165">
        <f>IF(ISNUMBER(I239),I239,2958465)</f>
        <v>2958465.0</v>
      </c>
      <c r="EW239" s="165" t="str">
        <f>IF(EO239=1,SUMPRODUCT(MIN(($EN$4:$EN$503=EN239)*$EV$4:$EV$503+($EN$4:$EN$503&lt;&gt;EN239)*2958465)),"")</f>
        <v/>
      </c>
      <c r="EX239" s="165">
        <f>IF(AND(D239=1,ISNUMBER(INDEX(Charge!$F:$F,ROW()))),INDEX(Charge!$F:$F,ROW()),0)</f>
        <v>0.0</v>
      </c>
      <c r="EY239" s="165" t="str">
        <f>IF(EO239=1,SUMPRODUCT(MAX(($EN$4:$EN$503=EN239)*$EX$4:$EX$503)),"")</f>
        <v/>
      </c>
      <c r="FA239" t="str">
        <f>IF(236&lt;=$CD$23,INDEX($EJ$4:$EJ$203,236),IF(236-$CD$23&lt;=$CD$26,INDEX($EK$4:$EK$203,236-$CD$23),""))</f>
        <v/>
      </c>
      <c r="FB239" t="str">
        <f>IF(FA239="","",IF(236&lt;=$CD$23,"Interne","Externe"))</f>
        <v/>
      </c>
      <c r="FD239">
        <f>IF(AND(B239=1,TRIM(INDEX(Charge!$K:$K,ROW()))&lt;&gt;"",TRIM(INDEX(Charge!$L:$L,ROW()))&lt;&gt;""),1,0)</f>
        <v>0</v>
      </c>
      <c r="FE239">
        <f>IF(OR(EN239="",BZ239="(non affecté)"),0,IF(COUNTIFS($EN$4:EN239,EN239,$BZ$4:BZ239,BZ239)=1,1,0))</f>
        <v>0</v>
      </c>
    </row>
    <row r="240">
      <c r="A240">
        <f>ROW()</f>
        <v>240</v>
      </c>
      <c r="B240">
        <f>IF(TRIM(INDEX(Charge!$B:$B,ROW()))&lt;&gt;"",1,0)</f>
        <v>0</v>
      </c>
      <c r="C240">
        <f>IF(B240=1,MIN(1,MAX(0,N(INDEX(Charge!$O:$O,ROW())))),0)</f>
        <v>0</v>
      </c>
      <c r="D240">
        <f>IF(B240=1,IF(OR(p_Perimetre="Tous les projets",C240&lt;1),1,0),0)</f>
        <v>0</v>
      </c>
      <c r="E240">
        <f>IF(D240=1,MAX(0,N(INDEX(Charge!$M:$M,ROW()))),0)</f>
        <v>0</v>
      </c>
      <c r="F240" t="str">
        <f>IF(D240=1,IF(TRIM(INDEX(Charge!$A:$A,ROW()))="","(non renseigné)",TRIM(INDEX(Charge!$A:$A,ROW()))),"")</f>
        <v/>
      </c>
      <c r="G240" t="str">
        <f>IF(D240=1,TRIM(INDEX(Charge!$B:$B,ROW())),"")</f>
        <v/>
      </c>
      <c r="H240" t="str">
        <f>IF(D240=1,IF(TRIM(INDEX(Charge!$E:$E,ROW()))="","(non renseigné)",TRIM(INDEX(Charge!$E:$E,ROW()))),"")</f>
        <v/>
      </c>
      <c r="I240" s="165" t="str">
        <f>IF(AND(D240=1,ISNUMBER(INDEX(Charge!$N:$N,ROW()))),INDEX(Charge!$N:$N,ROW()),"")</f>
        <v/>
      </c>
      <c r="J240" s="165" t="str">
        <f>IF(I240="","",IF(AND(p_Repartition="Lissée jusqu'à la date de besoin",ISNUMBER(INDEX(Charge!$F:$F,ROW()))),IF(INDEX(Charge!$F:$F,ROW())&gt;=I240,INDEX(Charge!$F:$F,ROW()),I240),I240))</f>
        <v/>
      </c>
      <c r="K240" t="str">
        <f>IF(I240="","",NETWORKDAYS(I240,J240,Data!$K$4:$K$203))</f>
        <v/>
      </c>
      <c r="L240" t="str">
        <f>IF(D240=1,COUNTIFS($D$4:$D$503,1,$E$4:$E$503,"&gt;"&amp;E240)+COUNTIFS($D$4:$D240,1,$E$4:$E240,E240),"")</f>
        <v/>
      </c>
      <c r="M240">
        <f>IF(F240="",0,IF(COUNTIF($F$4:F240,F240)=1,1,0))</f>
        <v>0</v>
      </c>
      <c r="N240" t="str">
        <f>IF(M240=1,ROUND(SUMIF($F$4:$F$503,F240,$E$4:$E$503),2),"")</f>
        <v/>
      </c>
      <c r="O240" t="str">
        <f>IF(M240=1,COUNTIFS($M$4:$M$503,1,$N$4:$N$503,"&gt;"&amp;N240)+COUNTIFS($M$4:M240,1,$N$4:N240,N240),"")</f>
        <v/>
      </c>
      <c r="P240">
        <f>IF(G240="",0,IF(COUNTIF($G$4:G240,G240)=1,1,0))</f>
        <v>0</v>
      </c>
      <c r="Q240" t="str">
        <f>IF(P240=1,ROUND(SUMIF($G$4:$G$503,G240,$E$4:$E$503),2),"")</f>
        <v/>
      </c>
      <c r="R240" t="str">
        <f>IF(P240=1,COUNTIFS($P$4:$P$503,1,$Q$4:$Q$503,"&gt;"&amp;Q240)+COUNTIFS($P$4:P240,1,$Q$4:Q240,Q240),"")</f>
        <v/>
      </c>
      <c r="S240">
        <f>IF(H240="",0,IF(COUNTIF($H$4:H240,H240)=1,1,0))</f>
        <v>0</v>
      </c>
      <c r="T240" t="str">
        <f>IF(S240=1,ROUND(SUMIF($H$4:$H$503,H240,$E$4:$E$503),2),"")</f>
        <v/>
      </c>
      <c r="U240" t="str">
        <f>IF(S240=1,COUNTIFS($S$4:$S$503,1,$T$4:$T$503,"&gt;"&amp;T240)+COUNTIFS($S$4:S240,1,$T$4:T240,T240),"")</f>
        <v/>
      </c>
      <c r="V240" t="str">
        <f>IF(D240=1,MIN(INDEX($R$4:$R$503,MATCH(G240,$G$4:$G$503,0)),IF($AL$7&gt;9,9,999)),"")</f>
        <v/>
      </c>
      <c r="W240" s="166">
        <f>IF(OR($I240="",$E240=0),0,IF(OR($J240&lt;W$3,$I240&gt;W$2),0,IF($K240=0,IF(AND($I240&gt;=W$3,$I240&lt;=W$2),$E240,0),$E240*NETWORKDAYS(MAX($I240,W$3),MIN($J240,W$2),Data!$K$4:$K$203)/$K240)))</f>
        <v>0</v>
      </c>
      <c r="X240" s="166">
        <f>IF(OR($I240="",$E240=0),0,IF(OR($J240&lt;X$3,$I240&gt;X$2),0,IF($K240=0,IF(AND($I240&gt;=X$3,$I240&lt;=X$2),$E240,0),$E240*NETWORKDAYS(MAX($I240,X$3),MIN($J240,X$2),Data!$K$4:$K$203)/$K240)))</f>
        <v>0</v>
      </c>
      <c r="Y240" s="166">
        <f>IF(OR($I240="",$E240=0),0,IF(OR($J240&lt;Y$3,$I240&gt;Y$2),0,IF($K240=0,IF(AND($I240&gt;=Y$3,$I240&lt;=Y$2),$E240,0),$E240*NETWORKDAYS(MAX($I240,Y$3),MIN($J240,Y$2),Data!$K$4:$K$203)/$K240)))</f>
        <v>0</v>
      </c>
      <c r="Z240" s="166">
        <f>IF(OR($I240="",$E240=0),0,IF(OR($J240&lt;Z$3,$I240&gt;Z$2),0,IF($K240=0,IF(AND($I240&gt;=Z$3,$I240&lt;=Z$2),$E240,0),$E240*NETWORKDAYS(MAX($I240,Z$3),MIN($J240,Z$2),Data!$K$4:$K$203)/$K240)))</f>
        <v>0</v>
      </c>
      <c r="AA240" s="166">
        <f>IF(OR($I240="",$E240=0),0,IF(OR($J240&lt;AA$3,$I240&gt;AA$2),0,IF($K240=0,IF(AND($I240&gt;=AA$3,$I240&lt;=AA$2),$E240,0),$E240*NETWORKDAYS(MAX($I240,AA$3),MIN($J240,AA$2),Data!$K$4:$K$203)/$K240)))</f>
        <v>0</v>
      </c>
      <c r="AB240" s="166">
        <f>IF(OR($I240="",$E240=0),0,IF(OR($J240&lt;AB$3,$I240&gt;AB$2),0,IF($K240=0,IF(AND($I240&gt;=AB$3,$I240&lt;=AB$2),$E240,0),$E240*NETWORKDAYS(MAX($I240,AB$3),MIN($J240,AB$2),Data!$K$4:$K$203)/$K240)))</f>
        <v>0</v>
      </c>
      <c r="AC240" s="166">
        <f>IF(OR($I240="",$E240=0),0,IF(OR($J240&lt;AC$3,$I240&gt;AC$2),0,IF($K240=0,IF(AND($I240&gt;=AC$3,$I240&lt;=AC$2),$E240,0),$E240*NETWORKDAYS(MAX($I240,AC$3),MIN($J240,AC$2),Data!$K$4:$K$203)/$K240)))</f>
        <v>0</v>
      </c>
      <c r="AD240" s="166">
        <f>IF(OR($I240="",$E240=0),0,IF(OR($J240&lt;AD$3,$I240&gt;AD$2),0,IF($K240=0,IF(AND($I240&gt;=AD$3,$I240&lt;=AD$2),$E240,0),$E240*NETWORKDAYS(MAX($I240,AD$3),MIN($J240,AD$2),Data!$K$4:$K$203)/$K240)))</f>
        <v>0</v>
      </c>
      <c r="AE240" s="166">
        <f>IF(OR($I240="",$E240=0),0,IF(OR($J240&lt;AE$3,$I240&gt;AE$2),0,IF($K240=0,IF(AND($I240&gt;=AE$3,$I240&lt;=AE$2),$E240,0),$E240*NETWORKDAYS(MAX($I240,AE$3),MIN($J240,AE$2),Data!$K$4:$K$203)/$K240)))</f>
        <v>0</v>
      </c>
      <c r="AF240" s="166">
        <f>IF(OR($I240="",$E240=0),0,IF(OR($J240&lt;AF$3,$I240&gt;AF$2),0,IF($K240=0,IF(AND($I240&gt;=AF$3,$I240&lt;=AF$2),$E240,0),$E240*NETWORKDAYS(MAX($I240,AF$3),MIN($J240,AF$2),Data!$K$4:$K$203)/$K240)))</f>
        <v>0</v>
      </c>
      <c r="AG240" s="166">
        <f>IF(OR($I240="",$E240=0),0,IF(OR($J240&lt;AG$3,$I240&gt;AG$2),0,IF($K240=0,IF(AND($I240&gt;=AG$3,$I240&lt;=AG$2),$E240,0),$E240*NETWORKDAYS(MAX($I240,AG$3),MIN($J240,AG$2),Data!$K$4:$K$203)/$K240)))</f>
        <v>0</v>
      </c>
      <c r="AH240" s="166">
        <f>IF(OR($I240="",$E240=0),0,IF(OR($J240&lt;AH$3,$I240&gt;AH$2),0,IF($K240=0,IF(AND($I240&gt;=AH$3,$I240&lt;=AH$2),$E240,0),$E240*NETWORKDAYS(MAX($I240,AH$3),MIN($J240,AH$2),Data!$K$4:$K$203)/$K240)))</f>
        <v>0</v>
      </c>
      <c r="AI240" s="166">
        <f>SUM(W240:AH240)</f>
        <v>0</v>
      </c>
      <c r="BZ240" t="str">
        <f>IF(D240=1,IF(TRIM(INDEX(Charge!$K:$K,ROW()))&lt;&gt;"",TRIM(INDEX(Charge!$K:$K,ROW())),IF(TRIM(INDEX(Charge!$L:$L,ROW()))&lt;&gt;"",TRIM(INDEX(Charge!$L:$L,ROW())),"(non affecté)")),"")</f>
        <v/>
      </c>
      <c r="CA240" t="str">
        <f>IF(AND($CD$4&lt;&gt;"",BZ240=$CD$4),COUNTIFS($BZ$4:$BZ$503,$CD$4,$L$4:$L$503,"&lt;"&amp;L240)+1,"")</f>
        <v/>
      </c>
      <c r="EM240" t="str">
        <f>IF(D240=1,IF(TRIM(INDEX(Charge!$K:$K,ROW()))&lt;&gt;"","Interne",IF(TRIM(INDEX(Charge!$L:$L,ROW()))&lt;&gt;"","Externe","Non affecté")),"")</f>
        <v/>
      </c>
      <c r="EN240" t="str">
        <f>IF(D240=1,LEFT(SUBSTITUTE(SUBSTITUTE(SUBSTITUTE(TRIM(SUBSTITUTE(INDEX(Charge!$B:$B,ROW()),CHAR(160)," "))&amp;" | "&amp;TRIM(SUBSTITUTE(INDEX(Charge!$C:$C,ROW()),CHAR(160)," "))&amp;" | "&amp;TRIM(SUBSTITUTE(INDEX(Charge!$D:$D,ROW()),CHAR(160)," ")),"~","-"),"*","+"),"?","!"),240),"")</f>
        <v/>
      </c>
      <c r="EO240">
        <f>IF(EN240="",0,IF(COUNTIF($EN$4:EN240,EN240)=1,1,0))</f>
        <v>0</v>
      </c>
      <c r="EP240" s="166" t="str">
        <f>IF(EO240=1,ROUND(SUMIF($EN$4:$EN$503,EN240,$E$4:$E$503),2),"")</f>
        <v/>
      </c>
      <c r="EQ240" t="str">
        <f>IF(EO240=1,COUNTIFS($EO$4:$EO$503,1,$EP$4:$EP$503,"&gt;"&amp;EP240)+COUNTIFS($EO$4:EO240,1,$EP$4:EP240,EP240),"")</f>
        <v/>
      </c>
      <c r="ER240" t="str">
        <f>IF(EO240=1,COUNTIFS($EN$4:$EN$503,EN240,$EM$4:$EM$503,"Interne",$FE$4:$FE$503,1),"")</f>
        <v/>
      </c>
      <c r="ES240" t="str">
        <f>IF(EO240=1,COUNTIFS($EN$4:$EN$503,EN240,$EM$4:$EM$503,"Externe",$FE$4:$FE$503,1),"")</f>
        <v/>
      </c>
      <c r="ET240" t="str">
        <f>IF(EO240=1,IF(ER240+ES240=0,"à affecter",IF(ER240=0,ES240&amp;" ext.",(ER240+ES240)&amp;IF(ES240&gt;0," dont "&amp;ES240&amp;" ext.",""))&amp;IF(COUNTIFS($EN$4:$EN$503,EN240,$EM$4:$EM$503,"Non affecté")&gt;0," + à affecter","")),"")</f>
        <v/>
      </c>
      <c r="EU240" s="170" t="str">
        <f>IF(EO240=1,IF(EP240&gt;0,SUMPRODUCT(($EN$4:$EN$503=EN240)*$E$4:$E$503*$C$4:$C$503)/EP240,AVERAGEIF($EN$4:$EN$503,EN240,$C$4:$C$503)),"")</f>
        <v/>
      </c>
      <c r="EV240" s="165">
        <f>IF(ISNUMBER(I240),I240,2958465)</f>
        <v>2958465.0</v>
      </c>
      <c r="EW240" s="165" t="str">
        <f>IF(EO240=1,SUMPRODUCT(MIN(($EN$4:$EN$503=EN240)*$EV$4:$EV$503+($EN$4:$EN$503&lt;&gt;EN240)*2958465)),"")</f>
        <v/>
      </c>
      <c r="EX240" s="165">
        <f>IF(AND(D240=1,ISNUMBER(INDEX(Charge!$F:$F,ROW()))),INDEX(Charge!$F:$F,ROW()),0)</f>
        <v>0.0</v>
      </c>
      <c r="EY240" s="165" t="str">
        <f>IF(EO240=1,SUMPRODUCT(MAX(($EN$4:$EN$503=EN240)*$EX$4:$EX$503)),"")</f>
        <v/>
      </c>
      <c r="FA240" t="str">
        <f>IF(237&lt;=$CD$23,INDEX($EJ$4:$EJ$203,237),IF(237-$CD$23&lt;=$CD$26,INDEX($EK$4:$EK$203,237-$CD$23),""))</f>
        <v/>
      </c>
      <c r="FB240" t="str">
        <f>IF(FA240="","",IF(237&lt;=$CD$23,"Interne","Externe"))</f>
        <v/>
      </c>
      <c r="FD240">
        <f>IF(AND(B240=1,TRIM(INDEX(Charge!$K:$K,ROW()))&lt;&gt;"",TRIM(INDEX(Charge!$L:$L,ROW()))&lt;&gt;""),1,0)</f>
        <v>0</v>
      </c>
      <c r="FE240">
        <f>IF(OR(EN240="",BZ240="(non affecté)"),0,IF(COUNTIFS($EN$4:EN240,EN240,$BZ$4:BZ240,BZ240)=1,1,0))</f>
        <v>0</v>
      </c>
    </row>
    <row r="241">
      <c r="A241">
        <f>ROW()</f>
        <v>241</v>
      </c>
      <c r="B241">
        <f>IF(TRIM(INDEX(Charge!$B:$B,ROW()))&lt;&gt;"",1,0)</f>
        <v>0</v>
      </c>
      <c r="C241">
        <f>IF(B241=1,MIN(1,MAX(0,N(INDEX(Charge!$O:$O,ROW())))),0)</f>
        <v>0</v>
      </c>
      <c r="D241">
        <f>IF(B241=1,IF(OR(p_Perimetre="Tous les projets",C241&lt;1),1,0),0)</f>
        <v>0</v>
      </c>
      <c r="E241">
        <f>IF(D241=1,MAX(0,N(INDEX(Charge!$M:$M,ROW()))),0)</f>
        <v>0</v>
      </c>
      <c r="F241" t="str">
        <f>IF(D241=1,IF(TRIM(INDEX(Charge!$A:$A,ROW()))="","(non renseigné)",TRIM(INDEX(Charge!$A:$A,ROW()))),"")</f>
        <v/>
      </c>
      <c r="G241" t="str">
        <f>IF(D241=1,TRIM(INDEX(Charge!$B:$B,ROW())),"")</f>
        <v/>
      </c>
      <c r="H241" t="str">
        <f>IF(D241=1,IF(TRIM(INDEX(Charge!$E:$E,ROW()))="","(non renseigné)",TRIM(INDEX(Charge!$E:$E,ROW()))),"")</f>
        <v/>
      </c>
      <c r="I241" s="165" t="str">
        <f>IF(AND(D241=1,ISNUMBER(INDEX(Charge!$N:$N,ROW()))),INDEX(Charge!$N:$N,ROW()),"")</f>
        <v/>
      </c>
      <c r="J241" s="165" t="str">
        <f>IF(I241="","",IF(AND(p_Repartition="Lissée jusqu'à la date de besoin",ISNUMBER(INDEX(Charge!$F:$F,ROW()))),IF(INDEX(Charge!$F:$F,ROW())&gt;=I241,INDEX(Charge!$F:$F,ROW()),I241),I241))</f>
        <v/>
      </c>
      <c r="K241" t="str">
        <f>IF(I241="","",NETWORKDAYS(I241,J241,Data!$K$4:$K$203))</f>
        <v/>
      </c>
      <c r="L241" t="str">
        <f>IF(D241=1,COUNTIFS($D$4:$D$503,1,$E$4:$E$503,"&gt;"&amp;E241)+COUNTIFS($D$4:$D241,1,$E$4:$E241,E241),"")</f>
        <v/>
      </c>
      <c r="M241">
        <f>IF(F241="",0,IF(COUNTIF($F$4:F241,F241)=1,1,0))</f>
        <v>0</v>
      </c>
      <c r="N241" t="str">
        <f>IF(M241=1,ROUND(SUMIF($F$4:$F$503,F241,$E$4:$E$503),2),"")</f>
        <v/>
      </c>
      <c r="O241" t="str">
        <f>IF(M241=1,COUNTIFS($M$4:$M$503,1,$N$4:$N$503,"&gt;"&amp;N241)+COUNTIFS($M$4:M241,1,$N$4:N241,N241),"")</f>
        <v/>
      </c>
      <c r="P241">
        <f>IF(G241="",0,IF(COUNTIF($G$4:G241,G241)=1,1,0))</f>
        <v>0</v>
      </c>
      <c r="Q241" t="str">
        <f>IF(P241=1,ROUND(SUMIF($G$4:$G$503,G241,$E$4:$E$503),2),"")</f>
        <v/>
      </c>
      <c r="R241" t="str">
        <f>IF(P241=1,COUNTIFS($P$4:$P$503,1,$Q$4:$Q$503,"&gt;"&amp;Q241)+COUNTIFS($P$4:P241,1,$Q$4:Q241,Q241),"")</f>
        <v/>
      </c>
      <c r="S241">
        <f>IF(H241="",0,IF(COUNTIF($H$4:H241,H241)=1,1,0))</f>
        <v>0</v>
      </c>
      <c r="T241" t="str">
        <f>IF(S241=1,ROUND(SUMIF($H$4:$H$503,H241,$E$4:$E$503),2),"")</f>
        <v/>
      </c>
      <c r="U241" t="str">
        <f>IF(S241=1,COUNTIFS($S$4:$S$503,1,$T$4:$T$503,"&gt;"&amp;T241)+COUNTIFS($S$4:S241,1,$T$4:T241,T241),"")</f>
        <v/>
      </c>
      <c r="V241" t="str">
        <f>IF(D241=1,MIN(INDEX($R$4:$R$503,MATCH(G241,$G$4:$G$503,0)),IF($AL$7&gt;9,9,999)),"")</f>
        <v/>
      </c>
      <c r="W241" s="166">
        <f>IF(OR($I241="",$E241=0),0,IF(OR($J241&lt;W$3,$I241&gt;W$2),0,IF($K241=0,IF(AND($I241&gt;=W$3,$I241&lt;=W$2),$E241,0),$E241*NETWORKDAYS(MAX($I241,W$3),MIN($J241,W$2),Data!$K$4:$K$203)/$K241)))</f>
        <v>0</v>
      </c>
      <c r="X241" s="166">
        <f>IF(OR($I241="",$E241=0),0,IF(OR($J241&lt;X$3,$I241&gt;X$2),0,IF($K241=0,IF(AND($I241&gt;=X$3,$I241&lt;=X$2),$E241,0),$E241*NETWORKDAYS(MAX($I241,X$3),MIN($J241,X$2),Data!$K$4:$K$203)/$K241)))</f>
        <v>0</v>
      </c>
      <c r="Y241" s="166">
        <f>IF(OR($I241="",$E241=0),0,IF(OR($J241&lt;Y$3,$I241&gt;Y$2),0,IF($K241=0,IF(AND($I241&gt;=Y$3,$I241&lt;=Y$2),$E241,0),$E241*NETWORKDAYS(MAX($I241,Y$3),MIN($J241,Y$2),Data!$K$4:$K$203)/$K241)))</f>
        <v>0</v>
      </c>
      <c r="Z241" s="166">
        <f>IF(OR($I241="",$E241=0),0,IF(OR($J241&lt;Z$3,$I241&gt;Z$2),0,IF($K241=0,IF(AND($I241&gt;=Z$3,$I241&lt;=Z$2),$E241,0),$E241*NETWORKDAYS(MAX($I241,Z$3),MIN($J241,Z$2),Data!$K$4:$K$203)/$K241)))</f>
        <v>0</v>
      </c>
      <c r="AA241" s="166">
        <f>IF(OR($I241="",$E241=0),0,IF(OR($J241&lt;AA$3,$I241&gt;AA$2),0,IF($K241=0,IF(AND($I241&gt;=AA$3,$I241&lt;=AA$2),$E241,0),$E241*NETWORKDAYS(MAX($I241,AA$3),MIN($J241,AA$2),Data!$K$4:$K$203)/$K241)))</f>
        <v>0</v>
      </c>
      <c r="AB241" s="166">
        <f>IF(OR($I241="",$E241=0),0,IF(OR($J241&lt;AB$3,$I241&gt;AB$2),0,IF($K241=0,IF(AND($I241&gt;=AB$3,$I241&lt;=AB$2),$E241,0),$E241*NETWORKDAYS(MAX($I241,AB$3),MIN($J241,AB$2),Data!$K$4:$K$203)/$K241)))</f>
        <v>0</v>
      </c>
      <c r="AC241" s="166">
        <f>IF(OR($I241="",$E241=0),0,IF(OR($J241&lt;AC$3,$I241&gt;AC$2),0,IF($K241=0,IF(AND($I241&gt;=AC$3,$I241&lt;=AC$2),$E241,0),$E241*NETWORKDAYS(MAX($I241,AC$3),MIN($J241,AC$2),Data!$K$4:$K$203)/$K241)))</f>
        <v>0</v>
      </c>
      <c r="AD241" s="166">
        <f>IF(OR($I241="",$E241=0),0,IF(OR($J241&lt;AD$3,$I241&gt;AD$2),0,IF($K241=0,IF(AND($I241&gt;=AD$3,$I241&lt;=AD$2),$E241,0),$E241*NETWORKDAYS(MAX($I241,AD$3),MIN($J241,AD$2),Data!$K$4:$K$203)/$K241)))</f>
        <v>0</v>
      </c>
      <c r="AE241" s="166">
        <f>IF(OR($I241="",$E241=0),0,IF(OR($J241&lt;AE$3,$I241&gt;AE$2),0,IF($K241=0,IF(AND($I241&gt;=AE$3,$I241&lt;=AE$2),$E241,0),$E241*NETWORKDAYS(MAX($I241,AE$3),MIN($J241,AE$2),Data!$K$4:$K$203)/$K241)))</f>
        <v>0</v>
      </c>
      <c r="AF241" s="166">
        <f>IF(OR($I241="",$E241=0),0,IF(OR($J241&lt;AF$3,$I241&gt;AF$2),0,IF($K241=0,IF(AND($I241&gt;=AF$3,$I241&lt;=AF$2),$E241,0),$E241*NETWORKDAYS(MAX($I241,AF$3),MIN($J241,AF$2),Data!$K$4:$K$203)/$K241)))</f>
        <v>0</v>
      </c>
      <c r="AG241" s="166">
        <f>IF(OR($I241="",$E241=0),0,IF(OR($J241&lt;AG$3,$I241&gt;AG$2),0,IF($K241=0,IF(AND($I241&gt;=AG$3,$I241&lt;=AG$2),$E241,0),$E241*NETWORKDAYS(MAX($I241,AG$3),MIN($J241,AG$2),Data!$K$4:$K$203)/$K241)))</f>
        <v>0</v>
      </c>
      <c r="AH241" s="166">
        <f>IF(OR($I241="",$E241=0),0,IF(OR($J241&lt;AH$3,$I241&gt;AH$2),0,IF($K241=0,IF(AND($I241&gt;=AH$3,$I241&lt;=AH$2),$E241,0),$E241*NETWORKDAYS(MAX($I241,AH$3),MIN($J241,AH$2),Data!$K$4:$K$203)/$K241)))</f>
        <v>0</v>
      </c>
      <c r="AI241" s="166">
        <f>SUM(W241:AH241)</f>
        <v>0</v>
      </c>
      <c r="BZ241" t="str">
        <f>IF(D241=1,IF(TRIM(INDEX(Charge!$K:$K,ROW()))&lt;&gt;"",TRIM(INDEX(Charge!$K:$K,ROW())),IF(TRIM(INDEX(Charge!$L:$L,ROW()))&lt;&gt;"",TRIM(INDEX(Charge!$L:$L,ROW())),"(non affecté)")),"")</f>
        <v/>
      </c>
      <c r="CA241" t="str">
        <f>IF(AND($CD$4&lt;&gt;"",BZ241=$CD$4),COUNTIFS($BZ$4:$BZ$503,$CD$4,$L$4:$L$503,"&lt;"&amp;L241)+1,"")</f>
        <v/>
      </c>
      <c r="EM241" t="str">
        <f>IF(D241=1,IF(TRIM(INDEX(Charge!$K:$K,ROW()))&lt;&gt;"","Interne",IF(TRIM(INDEX(Charge!$L:$L,ROW()))&lt;&gt;"","Externe","Non affecté")),"")</f>
        <v/>
      </c>
      <c r="EN241" t="str">
        <f>IF(D241=1,LEFT(SUBSTITUTE(SUBSTITUTE(SUBSTITUTE(TRIM(SUBSTITUTE(INDEX(Charge!$B:$B,ROW()),CHAR(160)," "))&amp;" | "&amp;TRIM(SUBSTITUTE(INDEX(Charge!$C:$C,ROW()),CHAR(160)," "))&amp;" | "&amp;TRIM(SUBSTITUTE(INDEX(Charge!$D:$D,ROW()),CHAR(160)," ")),"~","-"),"*","+"),"?","!"),240),"")</f>
        <v/>
      </c>
      <c r="EO241">
        <f>IF(EN241="",0,IF(COUNTIF($EN$4:EN241,EN241)=1,1,0))</f>
        <v>0</v>
      </c>
      <c r="EP241" s="166" t="str">
        <f>IF(EO241=1,ROUND(SUMIF($EN$4:$EN$503,EN241,$E$4:$E$503),2),"")</f>
        <v/>
      </c>
      <c r="EQ241" t="str">
        <f>IF(EO241=1,COUNTIFS($EO$4:$EO$503,1,$EP$4:$EP$503,"&gt;"&amp;EP241)+COUNTIFS($EO$4:EO241,1,$EP$4:EP241,EP241),"")</f>
        <v/>
      </c>
      <c r="ER241" t="str">
        <f>IF(EO241=1,COUNTIFS($EN$4:$EN$503,EN241,$EM$4:$EM$503,"Interne",$FE$4:$FE$503,1),"")</f>
        <v/>
      </c>
      <c r="ES241" t="str">
        <f>IF(EO241=1,COUNTIFS($EN$4:$EN$503,EN241,$EM$4:$EM$503,"Externe",$FE$4:$FE$503,1),"")</f>
        <v/>
      </c>
      <c r="ET241" t="str">
        <f>IF(EO241=1,IF(ER241+ES241=0,"à affecter",IF(ER241=0,ES241&amp;" ext.",(ER241+ES241)&amp;IF(ES241&gt;0," dont "&amp;ES241&amp;" ext.",""))&amp;IF(COUNTIFS($EN$4:$EN$503,EN241,$EM$4:$EM$503,"Non affecté")&gt;0," + à affecter","")),"")</f>
        <v/>
      </c>
      <c r="EU241" s="170" t="str">
        <f>IF(EO241=1,IF(EP241&gt;0,SUMPRODUCT(($EN$4:$EN$503=EN241)*$E$4:$E$503*$C$4:$C$503)/EP241,AVERAGEIF($EN$4:$EN$503,EN241,$C$4:$C$503)),"")</f>
        <v/>
      </c>
      <c r="EV241" s="165">
        <f>IF(ISNUMBER(I241),I241,2958465)</f>
        <v>2958465.0</v>
      </c>
      <c r="EW241" s="165" t="str">
        <f>IF(EO241=1,SUMPRODUCT(MIN(($EN$4:$EN$503=EN241)*$EV$4:$EV$503+($EN$4:$EN$503&lt;&gt;EN241)*2958465)),"")</f>
        <v/>
      </c>
      <c r="EX241" s="165">
        <f>IF(AND(D241=1,ISNUMBER(INDEX(Charge!$F:$F,ROW()))),INDEX(Charge!$F:$F,ROW()),0)</f>
        <v>0.0</v>
      </c>
      <c r="EY241" s="165" t="str">
        <f>IF(EO241=1,SUMPRODUCT(MAX(($EN$4:$EN$503=EN241)*$EX$4:$EX$503)),"")</f>
        <v/>
      </c>
      <c r="FA241" t="str">
        <f>IF(238&lt;=$CD$23,INDEX($EJ$4:$EJ$203,238),IF(238-$CD$23&lt;=$CD$26,INDEX($EK$4:$EK$203,238-$CD$23),""))</f>
        <v/>
      </c>
      <c r="FB241" t="str">
        <f>IF(FA241="","",IF(238&lt;=$CD$23,"Interne","Externe"))</f>
        <v/>
      </c>
      <c r="FD241">
        <f>IF(AND(B241=1,TRIM(INDEX(Charge!$K:$K,ROW()))&lt;&gt;"",TRIM(INDEX(Charge!$L:$L,ROW()))&lt;&gt;""),1,0)</f>
        <v>0</v>
      </c>
      <c r="FE241">
        <f>IF(OR(EN241="",BZ241="(non affecté)"),0,IF(COUNTIFS($EN$4:EN241,EN241,$BZ$4:BZ241,BZ241)=1,1,0))</f>
        <v>0</v>
      </c>
    </row>
    <row r="242">
      <c r="A242">
        <f>ROW()</f>
        <v>242</v>
      </c>
      <c r="B242">
        <f>IF(TRIM(INDEX(Charge!$B:$B,ROW()))&lt;&gt;"",1,0)</f>
        <v>0</v>
      </c>
      <c r="C242">
        <f>IF(B242=1,MIN(1,MAX(0,N(INDEX(Charge!$O:$O,ROW())))),0)</f>
        <v>0</v>
      </c>
      <c r="D242">
        <f>IF(B242=1,IF(OR(p_Perimetre="Tous les projets",C242&lt;1),1,0),0)</f>
        <v>0</v>
      </c>
      <c r="E242">
        <f>IF(D242=1,MAX(0,N(INDEX(Charge!$M:$M,ROW()))),0)</f>
        <v>0</v>
      </c>
      <c r="F242" t="str">
        <f>IF(D242=1,IF(TRIM(INDEX(Charge!$A:$A,ROW()))="","(non renseigné)",TRIM(INDEX(Charge!$A:$A,ROW()))),"")</f>
        <v/>
      </c>
      <c r="G242" t="str">
        <f>IF(D242=1,TRIM(INDEX(Charge!$B:$B,ROW())),"")</f>
        <v/>
      </c>
      <c r="H242" t="str">
        <f>IF(D242=1,IF(TRIM(INDEX(Charge!$E:$E,ROW()))="","(non renseigné)",TRIM(INDEX(Charge!$E:$E,ROW()))),"")</f>
        <v/>
      </c>
      <c r="I242" s="165" t="str">
        <f>IF(AND(D242=1,ISNUMBER(INDEX(Charge!$N:$N,ROW()))),INDEX(Charge!$N:$N,ROW()),"")</f>
        <v/>
      </c>
      <c r="J242" s="165" t="str">
        <f>IF(I242="","",IF(AND(p_Repartition="Lissée jusqu'à la date de besoin",ISNUMBER(INDEX(Charge!$F:$F,ROW()))),IF(INDEX(Charge!$F:$F,ROW())&gt;=I242,INDEX(Charge!$F:$F,ROW()),I242),I242))</f>
        <v/>
      </c>
      <c r="K242" t="str">
        <f>IF(I242="","",NETWORKDAYS(I242,J242,Data!$K$4:$K$203))</f>
        <v/>
      </c>
      <c r="L242" t="str">
        <f>IF(D242=1,COUNTIFS($D$4:$D$503,1,$E$4:$E$503,"&gt;"&amp;E242)+COUNTIFS($D$4:$D242,1,$E$4:$E242,E242),"")</f>
        <v/>
      </c>
      <c r="M242">
        <f>IF(F242="",0,IF(COUNTIF($F$4:F242,F242)=1,1,0))</f>
        <v>0</v>
      </c>
      <c r="N242" t="str">
        <f>IF(M242=1,ROUND(SUMIF($F$4:$F$503,F242,$E$4:$E$503),2),"")</f>
        <v/>
      </c>
      <c r="O242" t="str">
        <f>IF(M242=1,COUNTIFS($M$4:$M$503,1,$N$4:$N$503,"&gt;"&amp;N242)+COUNTIFS($M$4:M242,1,$N$4:N242,N242),"")</f>
        <v/>
      </c>
      <c r="P242">
        <f>IF(G242="",0,IF(COUNTIF($G$4:G242,G242)=1,1,0))</f>
        <v>0</v>
      </c>
      <c r="Q242" t="str">
        <f>IF(P242=1,ROUND(SUMIF($G$4:$G$503,G242,$E$4:$E$503),2),"")</f>
        <v/>
      </c>
      <c r="R242" t="str">
        <f>IF(P242=1,COUNTIFS($P$4:$P$503,1,$Q$4:$Q$503,"&gt;"&amp;Q242)+COUNTIFS($P$4:P242,1,$Q$4:Q242,Q242),"")</f>
        <v/>
      </c>
      <c r="S242">
        <f>IF(H242="",0,IF(COUNTIF($H$4:H242,H242)=1,1,0))</f>
        <v>0</v>
      </c>
      <c r="T242" t="str">
        <f>IF(S242=1,ROUND(SUMIF($H$4:$H$503,H242,$E$4:$E$503),2),"")</f>
        <v/>
      </c>
      <c r="U242" t="str">
        <f>IF(S242=1,COUNTIFS($S$4:$S$503,1,$T$4:$T$503,"&gt;"&amp;T242)+COUNTIFS($S$4:S242,1,$T$4:T242,T242),"")</f>
        <v/>
      </c>
      <c r="V242" t="str">
        <f>IF(D242=1,MIN(INDEX($R$4:$R$503,MATCH(G242,$G$4:$G$503,0)),IF($AL$7&gt;9,9,999)),"")</f>
        <v/>
      </c>
      <c r="W242" s="166">
        <f>IF(OR($I242="",$E242=0),0,IF(OR($J242&lt;W$3,$I242&gt;W$2),0,IF($K242=0,IF(AND($I242&gt;=W$3,$I242&lt;=W$2),$E242,0),$E242*NETWORKDAYS(MAX($I242,W$3),MIN($J242,W$2),Data!$K$4:$K$203)/$K242)))</f>
        <v>0</v>
      </c>
      <c r="X242" s="166">
        <f>IF(OR($I242="",$E242=0),0,IF(OR($J242&lt;X$3,$I242&gt;X$2),0,IF($K242=0,IF(AND($I242&gt;=X$3,$I242&lt;=X$2),$E242,0),$E242*NETWORKDAYS(MAX($I242,X$3),MIN($J242,X$2),Data!$K$4:$K$203)/$K242)))</f>
        <v>0</v>
      </c>
      <c r="Y242" s="166">
        <f>IF(OR($I242="",$E242=0),0,IF(OR($J242&lt;Y$3,$I242&gt;Y$2),0,IF($K242=0,IF(AND($I242&gt;=Y$3,$I242&lt;=Y$2),$E242,0),$E242*NETWORKDAYS(MAX($I242,Y$3),MIN($J242,Y$2),Data!$K$4:$K$203)/$K242)))</f>
        <v>0</v>
      </c>
      <c r="Z242" s="166">
        <f>IF(OR($I242="",$E242=0),0,IF(OR($J242&lt;Z$3,$I242&gt;Z$2),0,IF($K242=0,IF(AND($I242&gt;=Z$3,$I242&lt;=Z$2),$E242,0),$E242*NETWORKDAYS(MAX($I242,Z$3),MIN($J242,Z$2),Data!$K$4:$K$203)/$K242)))</f>
        <v>0</v>
      </c>
      <c r="AA242" s="166">
        <f>IF(OR($I242="",$E242=0),0,IF(OR($J242&lt;AA$3,$I242&gt;AA$2),0,IF($K242=0,IF(AND($I242&gt;=AA$3,$I242&lt;=AA$2),$E242,0),$E242*NETWORKDAYS(MAX($I242,AA$3),MIN($J242,AA$2),Data!$K$4:$K$203)/$K242)))</f>
        <v>0</v>
      </c>
      <c r="AB242" s="166">
        <f>IF(OR($I242="",$E242=0),0,IF(OR($J242&lt;AB$3,$I242&gt;AB$2),0,IF($K242=0,IF(AND($I242&gt;=AB$3,$I242&lt;=AB$2),$E242,0),$E242*NETWORKDAYS(MAX($I242,AB$3),MIN($J242,AB$2),Data!$K$4:$K$203)/$K242)))</f>
        <v>0</v>
      </c>
      <c r="AC242" s="166">
        <f>IF(OR($I242="",$E242=0),0,IF(OR($J242&lt;AC$3,$I242&gt;AC$2),0,IF($K242=0,IF(AND($I242&gt;=AC$3,$I242&lt;=AC$2),$E242,0),$E242*NETWORKDAYS(MAX($I242,AC$3),MIN($J242,AC$2),Data!$K$4:$K$203)/$K242)))</f>
        <v>0</v>
      </c>
      <c r="AD242" s="166">
        <f>IF(OR($I242="",$E242=0),0,IF(OR($J242&lt;AD$3,$I242&gt;AD$2),0,IF($K242=0,IF(AND($I242&gt;=AD$3,$I242&lt;=AD$2),$E242,0),$E242*NETWORKDAYS(MAX($I242,AD$3),MIN($J242,AD$2),Data!$K$4:$K$203)/$K242)))</f>
        <v>0</v>
      </c>
      <c r="AE242" s="166">
        <f>IF(OR($I242="",$E242=0),0,IF(OR($J242&lt;AE$3,$I242&gt;AE$2),0,IF($K242=0,IF(AND($I242&gt;=AE$3,$I242&lt;=AE$2),$E242,0),$E242*NETWORKDAYS(MAX($I242,AE$3),MIN($J242,AE$2),Data!$K$4:$K$203)/$K242)))</f>
        <v>0</v>
      </c>
      <c r="AF242" s="166">
        <f>IF(OR($I242="",$E242=0),0,IF(OR($J242&lt;AF$3,$I242&gt;AF$2),0,IF($K242=0,IF(AND($I242&gt;=AF$3,$I242&lt;=AF$2),$E242,0),$E242*NETWORKDAYS(MAX($I242,AF$3),MIN($J242,AF$2),Data!$K$4:$K$203)/$K242)))</f>
        <v>0</v>
      </c>
      <c r="AG242" s="166">
        <f>IF(OR($I242="",$E242=0),0,IF(OR($J242&lt;AG$3,$I242&gt;AG$2),0,IF($K242=0,IF(AND($I242&gt;=AG$3,$I242&lt;=AG$2),$E242,0),$E242*NETWORKDAYS(MAX($I242,AG$3),MIN($J242,AG$2),Data!$K$4:$K$203)/$K242)))</f>
        <v>0</v>
      </c>
      <c r="AH242" s="166">
        <f>IF(OR($I242="",$E242=0),0,IF(OR($J242&lt;AH$3,$I242&gt;AH$2),0,IF($K242=0,IF(AND($I242&gt;=AH$3,$I242&lt;=AH$2),$E242,0),$E242*NETWORKDAYS(MAX($I242,AH$3),MIN($J242,AH$2),Data!$K$4:$K$203)/$K242)))</f>
        <v>0</v>
      </c>
      <c r="AI242" s="166">
        <f>SUM(W242:AH242)</f>
        <v>0</v>
      </c>
      <c r="BZ242" t="str">
        <f>IF(D242=1,IF(TRIM(INDEX(Charge!$K:$K,ROW()))&lt;&gt;"",TRIM(INDEX(Charge!$K:$K,ROW())),IF(TRIM(INDEX(Charge!$L:$L,ROW()))&lt;&gt;"",TRIM(INDEX(Charge!$L:$L,ROW())),"(non affecté)")),"")</f>
        <v/>
      </c>
      <c r="CA242" t="str">
        <f>IF(AND($CD$4&lt;&gt;"",BZ242=$CD$4),COUNTIFS($BZ$4:$BZ$503,$CD$4,$L$4:$L$503,"&lt;"&amp;L242)+1,"")</f>
        <v/>
      </c>
      <c r="EM242" t="str">
        <f>IF(D242=1,IF(TRIM(INDEX(Charge!$K:$K,ROW()))&lt;&gt;"","Interne",IF(TRIM(INDEX(Charge!$L:$L,ROW()))&lt;&gt;"","Externe","Non affecté")),"")</f>
        <v/>
      </c>
      <c r="EN242" t="str">
        <f>IF(D242=1,LEFT(SUBSTITUTE(SUBSTITUTE(SUBSTITUTE(TRIM(SUBSTITUTE(INDEX(Charge!$B:$B,ROW()),CHAR(160)," "))&amp;" | "&amp;TRIM(SUBSTITUTE(INDEX(Charge!$C:$C,ROW()),CHAR(160)," "))&amp;" | "&amp;TRIM(SUBSTITUTE(INDEX(Charge!$D:$D,ROW()),CHAR(160)," ")),"~","-"),"*","+"),"?","!"),240),"")</f>
        <v/>
      </c>
      <c r="EO242">
        <f>IF(EN242="",0,IF(COUNTIF($EN$4:EN242,EN242)=1,1,0))</f>
        <v>0</v>
      </c>
      <c r="EP242" s="166" t="str">
        <f>IF(EO242=1,ROUND(SUMIF($EN$4:$EN$503,EN242,$E$4:$E$503),2),"")</f>
        <v/>
      </c>
      <c r="EQ242" t="str">
        <f>IF(EO242=1,COUNTIFS($EO$4:$EO$503,1,$EP$4:$EP$503,"&gt;"&amp;EP242)+COUNTIFS($EO$4:EO242,1,$EP$4:EP242,EP242),"")</f>
        <v/>
      </c>
      <c r="ER242" t="str">
        <f>IF(EO242=1,COUNTIFS($EN$4:$EN$503,EN242,$EM$4:$EM$503,"Interne",$FE$4:$FE$503,1),"")</f>
        <v/>
      </c>
      <c r="ES242" t="str">
        <f>IF(EO242=1,COUNTIFS($EN$4:$EN$503,EN242,$EM$4:$EM$503,"Externe",$FE$4:$FE$503,1),"")</f>
        <v/>
      </c>
      <c r="ET242" t="str">
        <f>IF(EO242=1,IF(ER242+ES242=0,"à affecter",IF(ER242=0,ES242&amp;" ext.",(ER242+ES242)&amp;IF(ES242&gt;0," dont "&amp;ES242&amp;" ext.",""))&amp;IF(COUNTIFS($EN$4:$EN$503,EN242,$EM$4:$EM$503,"Non affecté")&gt;0," + à affecter","")),"")</f>
        <v/>
      </c>
      <c r="EU242" s="170" t="str">
        <f>IF(EO242=1,IF(EP242&gt;0,SUMPRODUCT(($EN$4:$EN$503=EN242)*$E$4:$E$503*$C$4:$C$503)/EP242,AVERAGEIF($EN$4:$EN$503,EN242,$C$4:$C$503)),"")</f>
        <v/>
      </c>
      <c r="EV242" s="165">
        <f>IF(ISNUMBER(I242),I242,2958465)</f>
        <v>2958465.0</v>
      </c>
      <c r="EW242" s="165" t="str">
        <f>IF(EO242=1,SUMPRODUCT(MIN(($EN$4:$EN$503=EN242)*$EV$4:$EV$503+($EN$4:$EN$503&lt;&gt;EN242)*2958465)),"")</f>
        <v/>
      </c>
      <c r="EX242" s="165">
        <f>IF(AND(D242=1,ISNUMBER(INDEX(Charge!$F:$F,ROW()))),INDEX(Charge!$F:$F,ROW()),0)</f>
        <v>0.0</v>
      </c>
      <c r="EY242" s="165" t="str">
        <f>IF(EO242=1,SUMPRODUCT(MAX(($EN$4:$EN$503=EN242)*$EX$4:$EX$503)),"")</f>
        <v/>
      </c>
      <c r="FA242" t="str">
        <f>IF(239&lt;=$CD$23,INDEX($EJ$4:$EJ$203,239),IF(239-$CD$23&lt;=$CD$26,INDEX($EK$4:$EK$203,239-$CD$23),""))</f>
        <v/>
      </c>
      <c r="FB242" t="str">
        <f>IF(FA242="","",IF(239&lt;=$CD$23,"Interne","Externe"))</f>
        <v/>
      </c>
      <c r="FD242">
        <f>IF(AND(B242=1,TRIM(INDEX(Charge!$K:$K,ROW()))&lt;&gt;"",TRIM(INDEX(Charge!$L:$L,ROW()))&lt;&gt;""),1,0)</f>
        <v>0</v>
      </c>
      <c r="FE242">
        <f>IF(OR(EN242="",BZ242="(non affecté)"),0,IF(COUNTIFS($EN$4:EN242,EN242,$BZ$4:BZ242,BZ242)=1,1,0))</f>
        <v>0</v>
      </c>
    </row>
    <row r="243">
      <c r="A243">
        <f>ROW()</f>
        <v>243</v>
      </c>
      <c r="B243">
        <f>IF(TRIM(INDEX(Charge!$B:$B,ROW()))&lt;&gt;"",1,0)</f>
        <v>0</v>
      </c>
      <c r="C243">
        <f>IF(B243=1,MIN(1,MAX(0,N(INDEX(Charge!$O:$O,ROW())))),0)</f>
        <v>0</v>
      </c>
      <c r="D243">
        <f>IF(B243=1,IF(OR(p_Perimetre="Tous les projets",C243&lt;1),1,0),0)</f>
        <v>0</v>
      </c>
      <c r="E243">
        <f>IF(D243=1,MAX(0,N(INDEX(Charge!$M:$M,ROW()))),0)</f>
        <v>0</v>
      </c>
      <c r="F243" t="str">
        <f>IF(D243=1,IF(TRIM(INDEX(Charge!$A:$A,ROW()))="","(non renseigné)",TRIM(INDEX(Charge!$A:$A,ROW()))),"")</f>
        <v/>
      </c>
      <c r="G243" t="str">
        <f>IF(D243=1,TRIM(INDEX(Charge!$B:$B,ROW())),"")</f>
        <v/>
      </c>
      <c r="H243" t="str">
        <f>IF(D243=1,IF(TRIM(INDEX(Charge!$E:$E,ROW()))="","(non renseigné)",TRIM(INDEX(Charge!$E:$E,ROW()))),"")</f>
        <v/>
      </c>
      <c r="I243" s="165" t="str">
        <f>IF(AND(D243=1,ISNUMBER(INDEX(Charge!$N:$N,ROW()))),INDEX(Charge!$N:$N,ROW()),"")</f>
        <v/>
      </c>
      <c r="J243" s="165" t="str">
        <f>IF(I243="","",IF(AND(p_Repartition="Lissée jusqu'à la date de besoin",ISNUMBER(INDEX(Charge!$F:$F,ROW()))),IF(INDEX(Charge!$F:$F,ROW())&gt;=I243,INDEX(Charge!$F:$F,ROW()),I243),I243))</f>
        <v/>
      </c>
      <c r="K243" t="str">
        <f>IF(I243="","",NETWORKDAYS(I243,J243,Data!$K$4:$K$203))</f>
        <v/>
      </c>
      <c r="L243" t="str">
        <f>IF(D243=1,COUNTIFS($D$4:$D$503,1,$E$4:$E$503,"&gt;"&amp;E243)+COUNTIFS($D$4:$D243,1,$E$4:$E243,E243),"")</f>
        <v/>
      </c>
      <c r="M243">
        <f>IF(F243="",0,IF(COUNTIF($F$4:F243,F243)=1,1,0))</f>
        <v>0</v>
      </c>
      <c r="N243" t="str">
        <f>IF(M243=1,ROUND(SUMIF($F$4:$F$503,F243,$E$4:$E$503),2),"")</f>
        <v/>
      </c>
      <c r="O243" t="str">
        <f>IF(M243=1,COUNTIFS($M$4:$M$503,1,$N$4:$N$503,"&gt;"&amp;N243)+COUNTIFS($M$4:M243,1,$N$4:N243,N243),"")</f>
        <v/>
      </c>
      <c r="P243">
        <f>IF(G243="",0,IF(COUNTIF($G$4:G243,G243)=1,1,0))</f>
        <v>0</v>
      </c>
      <c r="Q243" t="str">
        <f>IF(P243=1,ROUND(SUMIF($G$4:$G$503,G243,$E$4:$E$503),2),"")</f>
        <v/>
      </c>
      <c r="R243" t="str">
        <f>IF(P243=1,COUNTIFS($P$4:$P$503,1,$Q$4:$Q$503,"&gt;"&amp;Q243)+COUNTIFS($P$4:P243,1,$Q$4:Q243,Q243),"")</f>
        <v/>
      </c>
      <c r="S243">
        <f>IF(H243="",0,IF(COUNTIF($H$4:H243,H243)=1,1,0))</f>
        <v>0</v>
      </c>
      <c r="T243" t="str">
        <f>IF(S243=1,ROUND(SUMIF($H$4:$H$503,H243,$E$4:$E$503),2),"")</f>
        <v/>
      </c>
      <c r="U243" t="str">
        <f>IF(S243=1,COUNTIFS($S$4:$S$503,1,$T$4:$T$503,"&gt;"&amp;T243)+COUNTIFS($S$4:S243,1,$T$4:T243,T243),"")</f>
        <v/>
      </c>
      <c r="V243" t="str">
        <f>IF(D243=1,MIN(INDEX($R$4:$R$503,MATCH(G243,$G$4:$G$503,0)),IF($AL$7&gt;9,9,999)),"")</f>
        <v/>
      </c>
      <c r="W243" s="166">
        <f>IF(OR($I243="",$E243=0),0,IF(OR($J243&lt;W$3,$I243&gt;W$2),0,IF($K243=0,IF(AND($I243&gt;=W$3,$I243&lt;=W$2),$E243,0),$E243*NETWORKDAYS(MAX($I243,W$3),MIN($J243,W$2),Data!$K$4:$K$203)/$K243)))</f>
        <v>0</v>
      </c>
      <c r="X243" s="166">
        <f>IF(OR($I243="",$E243=0),0,IF(OR($J243&lt;X$3,$I243&gt;X$2),0,IF($K243=0,IF(AND($I243&gt;=X$3,$I243&lt;=X$2),$E243,0),$E243*NETWORKDAYS(MAX($I243,X$3),MIN($J243,X$2),Data!$K$4:$K$203)/$K243)))</f>
        <v>0</v>
      </c>
      <c r="Y243" s="166">
        <f>IF(OR($I243="",$E243=0),0,IF(OR($J243&lt;Y$3,$I243&gt;Y$2),0,IF($K243=0,IF(AND($I243&gt;=Y$3,$I243&lt;=Y$2),$E243,0),$E243*NETWORKDAYS(MAX($I243,Y$3),MIN($J243,Y$2),Data!$K$4:$K$203)/$K243)))</f>
        <v>0</v>
      </c>
      <c r="Z243" s="166">
        <f>IF(OR($I243="",$E243=0),0,IF(OR($J243&lt;Z$3,$I243&gt;Z$2),0,IF($K243=0,IF(AND($I243&gt;=Z$3,$I243&lt;=Z$2),$E243,0),$E243*NETWORKDAYS(MAX($I243,Z$3),MIN($J243,Z$2),Data!$K$4:$K$203)/$K243)))</f>
        <v>0</v>
      </c>
      <c r="AA243" s="166">
        <f>IF(OR($I243="",$E243=0),0,IF(OR($J243&lt;AA$3,$I243&gt;AA$2),0,IF($K243=0,IF(AND($I243&gt;=AA$3,$I243&lt;=AA$2),$E243,0),$E243*NETWORKDAYS(MAX($I243,AA$3),MIN($J243,AA$2),Data!$K$4:$K$203)/$K243)))</f>
        <v>0</v>
      </c>
      <c r="AB243" s="166">
        <f>IF(OR($I243="",$E243=0),0,IF(OR($J243&lt;AB$3,$I243&gt;AB$2),0,IF($K243=0,IF(AND($I243&gt;=AB$3,$I243&lt;=AB$2),$E243,0),$E243*NETWORKDAYS(MAX($I243,AB$3),MIN($J243,AB$2),Data!$K$4:$K$203)/$K243)))</f>
        <v>0</v>
      </c>
      <c r="AC243" s="166">
        <f>IF(OR($I243="",$E243=0),0,IF(OR($J243&lt;AC$3,$I243&gt;AC$2),0,IF($K243=0,IF(AND($I243&gt;=AC$3,$I243&lt;=AC$2),$E243,0),$E243*NETWORKDAYS(MAX($I243,AC$3),MIN($J243,AC$2),Data!$K$4:$K$203)/$K243)))</f>
        <v>0</v>
      </c>
      <c r="AD243" s="166">
        <f>IF(OR($I243="",$E243=0),0,IF(OR($J243&lt;AD$3,$I243&gt;AD$2),0,IF($K243=0,IF(AND($I243&gt;=AD$3,$I243&lt;=AD$2),$E243,0),$E243*NETWORKDAYS(MAX($I243,AD$3),MIN($J243,AD$2),Data!$K$4:$K$203)/$K243)))</f>
        <v>0</v>
      </c>
      <c r="AE243" s="166">
        <f>IF(OR($I243="",$E243=0),0,IF(OR($J243&lt;AE$3,$I243&gt;AE$2),0,IF($K243=0,IF(AND($I243&gt;=AE$3,$I243&lt;=AE$2),$E243,0),$E243*NETWORKDAYS(MAX($I243,AE$3),MIN($J243,AE$2),Data!$K$4:$K$203)/$K243)))</f>
        <v>0</v>
      </c>
      <c r="AF243" s="166">
        <f>IF(OR($I243="",$E243=0),0,IF(OR($J243&lt;AF$3,$I243&gt;AF$2),0,IF($K243=0,IF(AND($I243&gt;=AF$3,$I243&lt;=AF$2),$E243,0),$E243*NETWORKDAYS(MAX($I243,AF$3),MIN($J243,AF$2),Data!$K$4:$K$203)/$K243)))</f>
        <v>0</v>
      </c>
      <c r="AG243" s="166">
        <f>IF(OR($I243="",$E243=0),0,IF(OR($J243&lt;AG$3,$I243&gt;AG$2),0,IF($K243=0,IF(AND($I243&gt;=AG$3,$I243&lt;=AG$2),$E243,0),$E243*NETWORKDAYS(MAX($I243,AG$3),MIN($J243,AG$2),Data!$K$4:$K$203)/$K243)))</f>
        <v>0</v>
      </c>
      <c r="AH243" s="166">
        <f>IF(OR($I243="",$E243=0),0,IF(OR($J243&lt;AH$3,$I243&gt;AH$2),0,IF($K243=0,IF(AND($I243&gt;=AH$3,$I243&lt;=AH$2),$E243,0),$E243*NETWORKDAYS(MAX($I243,AH$3),MIN($J243,AH$2),Data!$K$4:$K$203)/$K243)))</f>
        <v>0</v>
      </c>
      <c r="AI243" s="166">
        <f>SUM(W243:AH243)</f>
        <v>0</v>
      </c>
      <c r="BZ243" t="str">
        <f>IF(D243=1,IF(TRIM(INDEX(Charge!$K:$K,ROW()))&lt;&gt;"",TRIM(INDEX(Charge!$K:$K,ROW())),IF(TRIM(INDEX(Charge!$L:$L,ROW()))&lt;&gt;"",TRIM(INDEX(Charge!$L:$L,ROW())),"(non affecté)")),"")</f>
        <v/>
      </c>
      <c r="CA243" t="str">
        <f>IF(AND($CD$4&lt;&gt;"",BZ243=$CD$4),COUNTIFS($BZ$4:$BZ$503,$CD$4,$L$4:$L$503,"&lt;"&amp;L243)+1,"")</f>
        <v/>
      </c>
      <c r="EM243" t="str">
        <f>IF(D243=1,IF(TRIM(INDEX(Charge!$K:$K,ROW()))&lt;&gt;"","Interne",IF(TRIM(INDEX(Charge!$L:$L,ROW()))&lt;&gt;"","Externe","Non affecté")),"")</f>
        <v/>
      </c>
      <c r="EN243" t="str">
        <f>IF(D243=1,LEFT(SUBSTITUTE(SUBSTITUTE(SUBSTITUTE(TRIM(SUBSTITUTE(INDEX(Charge!$B:$B,ROW()),CHAR(160)," "))&amp;" | "&amp;TRIM(SUBSTITUTE(INDEX(Charge!$C:$C,ROW()),CHAR(160)," "))&amp;" | "&amp;TRIM(SUBSTITUTE(INDEX(Charge!$D:$D,ROW()),CHAR(160)," ")),"~","-"),"*","+"),"?","!"),240),"")</f>
        <v/>
      </c>
      <c r="EO243">
        <f>IF(EN243="",0,IF(COUNTIF($EN$4:EN243,EN243)=1,1,0))</f>
        <v>0</v>
      </c>
      <c r="EP243" s="166" t="str">
        <f>IF(EO243=1,ROUND(SUMIF($EN$4:$EN$503,EN243,$E$4:$E$503),2),"")</f>
        <v/>
      </c>
      <c r="EQ243" t="str">
        <f>IF(EO243=1,COUNTIFS($EO$4:$EO$503,1,$EP$4:$EP$503,"&gt;"&amp;EP243)+COUNTIFS($EO$4:EO243,1,$EP$4:EP243,EP243),"")</f>
        <v/>
      </c>
      <c r="ER243" t="str">
        <f>IF(EO243=1,COUNTIFS($EN$4:$EN$503,EN243,$EM$4:$EM$503,"Interne",$FE$4:$FE$503,1),"")</f>
        <v/>
      </c>
      <c r="ES243" t="str">
        <f>IF(EO243=1,COUNTIFS($EN$4:$EN$503,EN243,$EM$4:$EM$503,"Externe",$FE$4:$FE$503,1),"")</f>
        <v/>
      </c>
      <c r="ET243" t="str">
        <f>IF(EO243=1,IF(ER243+ES243=0,"à affecter",IF(ER243=0,ES243&amp;" ext.",(ER243+ES243)&amp;IF(ES243&gt;0," dont "&amp;ES243&amp;" ext.",""))&amp;IF(COUNTIFS($EN$4:$EN$503,EN243,$EM$4:$EM$503,"Non affecté")&gt;0," + à affecter","")),"")</f>
        <v/>
      </c>
      <c r="EU243" s="170" t="str">
        <f>IF(EO243=1,IF(EP243&gt;0,SUMPRODUCT(($EN$4:$EN$503=EN243)*$E$4:$E$503*$C$4:$C$503)/EP243,AVERAGEIF($EN$4:$EN$503,EN243,$C$4:$C$503)),"")</f>
        <v/>
      </c>
      <c r="EV243" s="165">
        <f>IF(ISNUMBER(I243),I243,2958465)</f>
        <v>2958465.0</v>
      </c>
      <c r="EW243" s="165" t="str">
        <f>IF(EO243=1,SUMPRODUCT(MIN(($EN$4:$EN$503=EN243)*$EV$4:$EV$503+($EN$4:$EN$503&lt;&gt;EN243)*2958465)),"")</f>
        <v/>
      </c>
      <c r="EX243" s="165">
        <f>IF(AND(D243=1,ISNUMBER(INDEX(Charge!$F:$F,ROW()))),INDEX(Charge!$F:$F,ROW()),0)</f>
        <v>0.0</v>
      </c>
      <c r="EY243" s="165" t="str">
        <f>IF(EO243=1,SUMPRODUCT(MAX(($EN$4:$EN$503=EN243)*$EX$4:$EX$503)),"")</f>
        <v/>
      </c>
      <c r="FA243" t="str">
        <f>IF(240&lt;=$CD$23,INDEX($EJ$4:$EJ$203,240),IF(240-$CD$23&lt;=$CD$26,INDEX($EK$4:$EK$203,240-$CD$23),""))</f>
        <v/>
      </c>
      <c r="FB243" t="str">
        <f>IF(FA243="","",IF(240&lt;=$CD$23,"Interne","Externe"))</f>
        <v/>
      </c>
      <c r="FD243">
        <f>IF(AND(B243=1,TRIM(INDEX(Charge!$K:$K,ROW()))&lt;&gt;"",TRIM(INDEX(Charge!$L:$L,ROW()))&lt;&gt;""),1,0)</f>
        <v>0</v>
      </c>
      <c r="FE243">
        <f>IF(OR(EN243="",BZ243="(non affecté)"),0,IF(COUNTIFS($EN$4:EN243,EN243,$BZ$4:BZ243,BZ243)=1,1,0))</f>
        <v>0</v>
      </c>
    </row>
    <row r="244">
      <c r="A244">
        <f>ROW()</f>
        <v>244</v>
      </c>
      <c r="B244">
        <f>IF(TRIM(INDEX(Charge!$B:$B,ROW()))&lt;&gt;"",1,0)</f>
        <v>0</v>
      </c>
      <c r="C244">
        <f>IF(B244=1,MIN(1,MAX(0,N(INDEX(Charge!$O:$O,ROW())))),0)</f>
        <v>0</v>
      </c>
      <c r="D244">
        <f>IF(B244=1,IF(OR(p_Perimetre="Tous les projets",C244&lt;1),1,0),0)</f>
        <v>0</v>
      </c>
      <c r="E244">
        <f>IF(D244=1,MAX(0,N(INDEX(Charge!$M:$M,ROW()))),0)</f>
        <v>0</v>
      </c>
      <c r="F244" t="str">
        <f>IF(D244=1,IF(TRIM(INDEX(Charge!$A:$A,ROW()))="","(non renseigné)",TRIM(INDEX(Charge!$A:$A,ROW()))),"")</f>
        <v/>
      </c>
      <c r="G244" t="str">
        <f>IF(D244=1,TRIM(INDEX(Charge!$B:$B,ROW())),"")</f>
        <v/>
      </c>
      <c r="H244" t="str">
        <f>IF(D244=1,IF(TRIM(INDEX(Charge!$E:$E,ROW()))="","(non renseigné)",TRIM(INDEX(Charge!$E:$E,ROW()))),"")</f>
        <v/>
      </c>
      <c r="I244" s="165" t="str">
        <f>IF(AND(D244=1,ISNUMBER(INDEX(Charge!$N:$N,ROW()))),INDEX(Charge!$N:$N,ROW()),"")</f>
        <v/>
      </c>
      <c r="J244" s="165" t="str">
        <f>IF(I244="","",IF(AND(p_Repartition="Lissée jusqu'à la date de besoin",ISNUMBER(INDEX(Charge!$F:$F,ROW()))),IF(INDEX(Charge!$F:$F,ROW())&gt;=I244,INDEX(Charge!$F:$F,ROW()),I244),I244))</f>
        <v/>
      </c>
      <c r="K244" t="str">
        <f>IF(I244="","",NETWORKDAYS(I244,J244,Data!$K$4:$K$203))</f>
        <v/>
      </c>
      <c r="L244" t="str">
        <f>IF(D244=1,COUNTIFS($D$4:$D$503,1,$E$4:$E$503,"&gt;"&amp;E244)+COUNTIFS($D$4:$D244,1,$E$4:$E244,E244),"")</f>
        <v/>
      </c>
      <c r="M244">
        <f>IF(F244="",0,IF(COUNTIF($F$4:F244,F244)=1,1,0))</f>
        <v>0</v>
      </c>
      <c r="N244" t="str">
        <f>IF(M244=1,ROUND(SUMIF($F$4:$F$503,F244,$E$4:$E$503),2),"")</f>
        <v/>
      </c>
      <c r="O244" t="str">
        <f>IF(M244=1,COUNTIFS($M$4:$M$503,1,$N$4:$N$503,"&gt;"&amp;N244)+COUNTIFS($M$4:M244,1,$N$4:N244,N244),"")</f>
        <v/>
      </c>
      <c r="P244">
        <f>IF(G244="",0,IF(COUNTIF($G$4:G244,G244)=1,1,0))</f>
        <v>0</v>
      </c>
      <c r="Q244" t="str">
        <f>IF(P244=1,ROUND(SUMIF($G$4:$G$503,G244,$E$4:$E$503),2),"")</f>
        <v/>
      </c>
      <c r="R244" t="str">
        <f>IF(P244=1,COUNTIFS($P$4:$P$503,1,$Q$4:$Q$503,"&gt;"&amp;Q244)+COUNTIFS($P$4:P244,1,$Q$4:Q244,Q244),"")</f>
        <v/>
      </c>
      <c r="S244">
        <f>IF(H244="",0,IF(COUNTIF($H$4:H244,H244)=1,1,0))</f>
        <v>0</v>
      </c>
      <c r="T244" t="str">
        <f>IF(S244=1,ROUND(SUMIF($H$4:$H$503,H244,$E$4:$E$503),2),"")</f>
        <v/>
      </c>
      <c r="U244" t="str">
        <f>IF(S244=1,COUNTIFS($S$4:$S$503,1,$T$4:$T$503,"&gt;"&amp;T244)+COUNTIFS($S$4:S244,1,$T$4:T244,T244),"")</f>
        <v/>
      </c>
      <c r="V244" t="str">
        <f>IF(D244=1,MIN(INDEX($R$4:$R$503,MATCH(G244,$G$4:$G$503,0)),IF($AL$7&gt;9,9,999)),"")</f>
        <v/>
      </c>
      <c r="W244" s="166">
        <f>IF(OR($I244="",$E244=0),0,IF(OR($J244&lt;W$3,$I244&gt;W$2),0,IF($K244=0,IF(AND($I244&gt;=W$3,$I244&lt;=W$2),$E244,0),$E244*NETWORKDAYS(MAX($I244,W$3),MIN($J244,W$2),Data!$K$4:$K$203)/$K244)))</f>
        <v>0</v>
      </c>
      <c r="X244" s="166">
        <f>IF(OR($I244="",$E244=0),0,IF(OR($J244&lt;X$3,$I244&gt;X$2),0,IF($K244=0,IF(AND($I244&gt;=X$3,$I244&lt;=X$2),$E244,0),$E244*NETWORKDAYS(MAX($I244,X$3),MIN($J244,X$2),Data!$K$4:$K$203)/$K244)))</f>
        <v>0</v>
      </c>
      <c r="Y244" s="166">
        <f>IF(OR($I244="",$E244=0),0,IF(OR($J244&lt;Y$3,$I244&gt;Y$2),0,IF($K244=0,IF(AND($I244&gt;=Y$3,$I244&lt;=Y$2),$E244,0),$E244*NETWORKDAYS(MAX($I244,Y$3),MIN($J244,Y$2),Data!$K$4:$K$203)/$K244)))</f>
        <v>0</v>
      </c>
      <c r="Z244" s="166">
        <f>IF(OR($I244="",$E244=0),0,IF(OR($J244&lt;Z$3,$I244&gt;Z$2),0,IF($K244=0,IF(AND($I244&gt;=Z$3,$I244&lt;=Z$2),$E244,0),$E244*NETWORKDAYS(MAX($I244,Z$3),MIN($J244,Z$2),Data!$K$4:$K$203)/$K244)))</f>
        <v>0</v>
      </c>
      <c r="AA244" s="166">
        <f>IF(OR($I244="",$E244=0),0,IF(OR($J244&lt;AA$3,$I244&gt;AA$2),0,IF($K244=0,IF(AND($I244&gt;=AA$3,$I244&lt;=AA$2),$E244,0),$E244*NETWORKDAYS(MAX($I244,AA$3),MIN($J244,AA$2),Data!$K$4:$K$203)/$K244)))</f>
        <v>0</v>
      </c>
      <c r="AB244" s="166">
        <f>IF(OR($I244="",$E244=0),0,IF(OR($J244&lt;AB$3,$I244&gt;AB$2),0,IF($K244=0,IF(AND($I244&gt;=AB$3,$I244&lt;=AB$2),$E244,0),$E244*NETWORKDAYS(MAX($I244,AB$3),MIN($J244,AB$2),Data!$K$4:$K$203)/$K244)))</f>
        <v>0</v>
      </c>
      <c r="AC244" s="166">
        <f>IF(OR($I244="",$E244=0),0,IF(OR($J244&lt;AC$3,$I244&gt;AC$2),0,IF($K244=0,IF(AND($I244&gt;=AC$3,$I244&lt;=AC$2),$E244,0),$E244*NETWORKDAYS(MAX($I244,AC$3),MIN($J244,AC$2),Data!$K$4:$K$203)/$K244)))</f>
        <v>0</v>
      </c>
      <c r="AD244" s="166">
        <f>IF(OR($I244="",$E244=0),0,IF(OR($J244&lt;AD$3,$I244&gt;AD$2),0,IF($K244=0,IF(AND($I244&gt;=AD$3,$I244&lt;=AD$2),$E244,0),$E244*NETWORKDAYS(MAX($I244,AD$3),MIN($J244,AD$2),Data!$K$4:$K$203)/$K244)))</f>
        <v>0</v>
      </c>
      <c r="AE244" s="166">
        <f>IF(OR($I244="",$E244=0),0,IF(OR($J244&lt;AE$3,$I244&gt;AE$2),0,IF($K244=0,IF(AND($I244&gt;=AE$3,$I244&lt;=AE$2),$E244,0),$E244*NETWORKDAYS(MAX($I244,AE$3),MIN($J244,AE$2),Data!$K$4:$K$203)/$K244)))</f>
        <v>0</v>
      </c>
      <c r="AF244" s="166">
        <f>IF(OR($I244="",$E244=0),0,IF(OR($J244&lt;AF$3,$I244&gt;AF$2),0,IF($K244=0,IF(AND($I244&gt;=AF$3,$I244&lt;=AF$2),$E244,0),$E244*NETWORKDAYS(MAX($I244,AF$3),MIN($J244,AF$2),Data!$K$4:$K$203)/$K244)))</f>
        <v>0</v>
      </c>
      <c r="AG244" s="166">
        <f>IF(OR($I244="",$E244=0),0,IF(OR($J244&lt;AG$3,$I244&gt;AG$2),0,IF($K244=0,IF(AND($I244&gt;=AG$3,$I244&lt;=AG$2),$E244,0),$E244*NETWORKDAYS(MAX($I244,AG$3),MIN($J244,AG$2),Data!$K$4:$K$203)/$K244)))</f>
        <v>0</v>
      </c>
      <c r="AH244" s="166">
        <f>IF(OR($I244="",$E244=0),0,IF(OR($J244&lt;AH$3,$I244&gt;AH$2),0,IF($K244=0,IF(AND($I244&gt;=AH$3,$I244&lt;=AH$2),$E244,0),$E244*NETWORKDAYS(MAX($I244,AH$3),MIN($J244,AH$2),Data!$K$4:$K$203)/$K244)))</f>
        <v>0</v>
      </c>
      <c r="AI244" s="166">
        <f>SUM(W244:AH244)</f>
        <v>0</v>
      </c>
      <c r="BZ244" t="str">
        <f>IF(D244=1,IF(TRIM(INDEX(Charge!$K:$K,ROW()))&lt;&gt;"",TRIM(INDEX(Charge!$K:$K,ROW())),IF(TRIM(INDEX(Charge!$L:$L,ROW()))&lt;&gt;"",TRIM(INDEX(Charge!$L:$L,ROW())),"(non affecté)")),"")</f>
        <v/>
      </c>
      <c r="CA244" t="str">
        <f>IF(AND($CD$4&lt;&gt;"",BZ244=$CD$4),COUNTIFS($BZ$4:$BZ$503,$CD$4,$L$4:$L$503,"&lt;"&amp;L244)+1,"")</f>
        <v/>
      </c>
      <c r="EM244" t="str">
        <f>IF(D244=1,IF(TRIM(INDEX(Charge!$K:$K,ROW()))&lt;&gt;"","Interne",IF(TRIM(INDEX(Charge!$L:$L,ROW()))&lt;&gt;"","Externe","Non affecté")),"")</f>
        <v/>
      </c>
      <c r="EN244" t="str">
        <f>IF(D244=1,LEFT(SUBSTITUTE(SUBSTITUTE(SUBSTITUTE(TRIM(SUBSTITUTE(INDEX(Charge!$B:$B,ROW()),CHAR(160)," "))&amp;" | "&amp;TRIM(SUBSTITUTE(INDEX(Charge!$C:$C,ROW()),CHAR(160)," "))&amp;" | "&amp;TRIM(SUBSTITUTE(INDEX(Charge!$D:$D,ROW()),CHAR(160)," ")),"~","-"),"*","+"),"?","!"),240),"")</f>
        <v/>
      </c>
      <c r="EO244">
        <f>IF(EN244="",0,IF(COUNTIF($EN$4:EN244,EN244)=1,1,0))</f>
        <v>0</v>
      </c>
      <c r="EP244" s="166" t="str">
        <f>IF(EO244=1,ROUND(SUMIF($EN$4:$EN$503,EN244,$E$4:$E$503),2),"")</f>
        <v/>
      </c>
      <c r="EQ244" t="str">
        <f>IF(EO244=1,COUNTIFS($EO$4:$EO$503,1,$EP$4:$EP$503,"&gt;"&amp;EP244)+COUNTIFS($EO$4:EO244,1,$EP$4:EP244,EP244),"")</f>
        <v/>
      </c>
      <c r="ER244" t="str">
        <f>IF(EO244=1,COUNTIFS($EN$4:$EN$503,EN244,$EM$4:$EM$503,"Interne",$FE$4:$FE$503,1),"")</f>
        <v/>
      </c>
      <c r="ES244" t="str">
        <f>IF(EO244=1,COUNTIFS($EN$4:$EN$503,EN244,$EM$4:$EM$503,"Externe",$FE$4:$FE$503,1),"")</f>
        <v/>
      </c>
      <c r="ET244" t="str">
        <f>IF(EO244=1,IF(ER244+ES244=0,"à affecter",IF(ER244=0,ES244&amp;" ext.",(ER244+ES244)&amp;IF(ES244&gt;0," dont "&amp;ES244&amp;" ext.",""))&amp;IF(COUNTIFS($EN$4:$EN$503,EN244,$EM$4:$EM$503,"Non affecté")&gt;0," + à affecter","")),"")</f>
        <v/>
      </c>
      <c r="EU244" s="170" t="str">
        <f>IF(EO244=1,IF(EP244&gt;0,SUMPRODUCT(($EN$4:$EN$503=EN244)*$E$4:$E$503*$C$4:$C$503)/EP244,AVERAGEIF($EN$4:$EN$503,EN244,$C$4:$C$503)),"")</f>
        <v/>
      </c>
      <c r="EV244" s="165">
        <f>IF(ISNUMBER(I244),I244,2958465)</f>
        <v>2958465.0</v>
      </c>
      <c r="EW244" s="165" t="str">
        <f>IF(EO244=1,SUMPRODUCT(MIN(($EN$4:$EN$503=EN244)*$EV$4:$EV$503+($EN$4:$EN$503&lt;&gt;EN244)*2958465)),"")</f>
        <v/>
      </c>
      <c r="EX244" s="165">
        <f>IF(AND(D244=1,ISNUMBER(INDEX(Charge!$F:$F,ROW()))),INDEX(Charge!$F:$F,ROW()),0)</f>
        <v>0.0</v>
      </c>
      <c r="EY244" s="165" t="str">
        <f>IF(EO244=1,SUMPRODUCT(MAX(($EN$4:$EN$503=EN244)*$EX$4:$EX$503)),"")</f>
        <v/>
      </c>
      <c r="FA244" t="str">
        <f>IF(241&lt;=$CD$23,INDEX($EJ$4:$EJ$203,241),IF(241-$CD$23&lt;=$CD$26,INDEX($EK$4:$EK$203,241-$CD$23),""))</f>
        <v/>
      </c>
      <c r="FB244" t="str">
        <f>IF(FA244="","",IF(241&lt;=$CD$23,"Interne","Externe"))</f>
        <v/>
      </c>
      <c r="FD244">
        <f>IF(AND(B244=1,TRIM(INDEX(Charge!$K:$K,ROW()))&lt;&gt;"",TRIM(INDEX(Charge!$L:$L,ROW()))&lt;&gt;""),1,0)</f>
        <v>0</v>
      </c>
      <c r="FE244">
        <f>IF(OR(EN244="",BZ244="(non affecté)"),0,IF(COUNTIFS($EN$4:EN244,EN244,$BZ$4:BZ244,BZ244)=1,1,0))</f>
        <v>0</v>
      </c>
    </row>
    <row r="245">
      <c r="A245">
        <f>ROW()</f>
        <v>245</v>
      </c>
      <c r="B245">
        <f>IF(TRIM(INDEX(Charge!$B:$B,ROW()))&lt;&gt;"",1,0)</f>
        <v>0</v>
      </c>
      <c r="C245">
        <f>IF(B245=1,MIN(1,MAX(0,N(INDEX(Charge!$O:$O,ROW())))),0)</f>
        <v>0</v>
      </c>
      <c r="D245">
        <f>IF(B245=1,IF(OR(p_Perimetre="Tous les projets",C245&lt;1),1,0),0)</f>
        <v>0</v>
      </c>
      <c r="E245">
        <f>IF(D245=1,MAX(0,N(INDEX(Charge!$M:$M,ROW()))),0)</f>
        <v>0</v>
      </c>
      <c r="F245" t="str">
        <f>IF(D245=1,IF(TRIM(INDEX(Charge!$A:$A,ROW()))="","(non renseigné)",TRIM(INDEX(Charge!$A:$A,ROW()))),"")</f>
        <v/>
      </c>
      <c r="G245" t="str">
        <f>IF(D245=1,TRIM(INDEX(Charge!$B:$B,ROW())),"")</f>
        <v/>
      </c>
      <c r="H245" t="str">
        <f>IF(D245=1,IF(TRIM(INDEX(Charge!$E:$E,ROW()))="","(non renseigné)",TRIM(INDEX(Charge!$E:$E,ROW()))),"")</f>
        <v/>
      </c>
      <c r="I245" s="165" t="str">
        <f>IF(AND(D245=1,ISNUMBER(INDEX(Charge!$N:$N,ROW()))),INDEX(Charge!$N:$N,ROW()),"")</f>
        <v/>
      </c>
      <c r="J245" s="165" t="str">
        <f>IF(I245="","",IF(AND(p_Repartition="Lissée jusqu'à la date de besoin",ISNUMBER(INDEX(Charge!$F:$F,ROW()))),IF(INDEX(Charge!$F:$F,ROW())&gt;=I245,INDEX(Charge!$F:$F,ROW()),I245),I245))</f>
        <v/>
      </c>
      <c r="K245" t="str">
        <f>IF(I245="","",NETWORKDAYS(I245,J245,Data!$K$4:$K$203))</f>
        <v/>
      </c>
      <c r="L245" t="str">
        <f>IF(D245=1,COUNTIFS($D$4:$D$503,1,$E$4:$E$503,"&gt;"&amp;E245)+COUNTIFS($D$4:$D245,1,$E$4:$E245,E245),"")</f>
        <v/>
      </c>
      <c r="M245">
        <f>IF(F245="",0,IF(COUNTIF($F$4:F245,F245)=1,1,0))</f>
        <v>0</v>
      </c>
      <c r="N245" t="str">
        <f>IF(M245=1,ROUND(SUMIF($F$4:$F$503,F245,$E$4:$E$503),2),"")</f>
        <v/>
      </c>
      <c r="O245" t="str">
        <f>IF(M245=1,COUNTIFS($M$4:$M$503,1,$N$4:$N$503,"&gt;"&amp;N245)+COUNTIFS($M$4:M245,1,$N$4:N245,N245),"")</f>
        <v/>
      </c>
      <c r="P245">
        <f>IF(G245="",0,IF(COUNTIF($G$4:G245,G245)=1,1,0))</f>
        <v>0</v>
      </c>
      <c r="Q245" t="str">
        <f>IF(P245=1,ROUND(SUMIF($G$4:$G$503,G245,$E$4:$E$503),2),"")</f>
        <v/>
      </c>
      <c r="R245" t="str">
        <f>IF(P245=1,COUNTIFS($P$4:$P$503,1,$Q$4:$Q$503,"&gt;"&amp;Q245)+COUNTIFS($P$4:P245,1,$Q$4:Q245,Q245),"")</f>
        <v/>
      </c>
      <c r="S245">
        <f>IF(H245="",0,IF(COUNTIF($H$4:H245,H245)=1,1,0))</f>
        <v>0</v>
      </c>
      <c r="T245" t="str">
        <f>IF(S245=1,ROUND(SUMIF($H$4:$H$503,H245,$E$4:$E$503),2),"")</f>
        <v/>
      </c>
      <c r="U245" t="str">
        <f>IF(S245=1,COUNTIFS($S$4:$S$503,1,$T$4:$T$503,"&gt;"&amp;T245)+COUNTIFS($S$4:S245,1,$T$4:T245,T245),"")</f>
        <v/>
      </c>
      <c r="V245" t="str">
        <f>IF(D245=1,MIN(INDEX($R$4:$R$503,MATCH(G245,$G$4:$G$503,0)),IF($AL$7&gt;9,9,999)),"")</f>
        <v/>
      </c>
      <c r="W245" s="166">
        <f>IF(OR($I245="",$E245=0),0,IF(OR($J245&lt;W$3,$I245&gt;W$2),0,IF($K245=0,IF(AND($I245&gt;=W$3,$I245&lt;=W$2),$E245,0),$E245*NETWORKDAYS(MAX($I245,W$3),MIN($J245,W$2),Data!$K$4:$K$203)/$K245)))</f>
        <v>0</v>
      </c>
      <c r="X245" s="166">
        <f>IF(OR($I245="",$E245=0),0,IF(OR($J245&lt;X$3,$I245&gt;X$2),0,IF($K245=0,IF(AND($I245&gt;=X$3,$I245&lt;=X$2),$E245,0),$E245*NETWORKDAYS(MAX($I245,X$3),MIN($J245,X$2),Data!$K$4:$K$203)/$K245)))</f>
        <v>0</v>
      </c>
      <c r="Y245" s="166">
        <f>IF(OR($I245="",$E245=0),0,IF(OR($J245&lt;Y$3,$I245&gt;Y$2),0,IF($K245=0,IF(AND($I245&gt;=Y$3,$I245&lt;=Y$2),$E245,0),$E245*NETWORKDAYS(MAX($I245,Y$3),MIN($J245,Y$2),Data!$K$4:$K$203)/$K245)))</f>
        <v>0</v>
      </c>
      <c r="Z245" s="166">
        <f>IF(OR($I245="",$E245=0),0,IF(OR($J245&lt;Z$3,$I245&gt;Z$2),0,IF($K245=0,IF(AND($I245&gt;=Z$3,$I245&lt;=Z$2),$E245,0),$E245*NETWORKDAYS(MAX($I245,Z$3),MIN($J245,Z$2),Data!$K$4:$K$203)/$K245)))</f>
        <v>0</v>
      </c>
      <c r="AA245" s="166">
        <f>IF(OR($I245="",$E245=0),0,IF(OR($J245&lt;AA$3,$I245&gt;AA$2),0,IF($K245=0,IF(AND($I245&gt;=AA$3,$I245&lt;=AA$2),$E245,0),$E245*NETWORKDAYS(MAX($I245,AA$3),MIN($J245,AA$2),Data!$K$4:$K$203)/$K245)))</f>
        <v>0</v>
      </c>
      <c r="AB245" s="166">
        <f>IF(OR($I245="",$E245=0),0,IF(OR($J245&lt;AB$3,$I245&gt;AB$2),0,IF($K245=0,IF(AND($I245&gt;=AB$3,$I245&lt;=AB$2),$E245,0),$E245*NETWORKDAYS(MAX($I245,AB$3),MIN($J245,AB$2),Data!$K$4:$K$203)/$K245)))</f>
        <v>0</v>
      </c>
      <c r="AC245" s="166">
        <f>IF(OR($I245="",$E245=0),0,IF(OR($J245&lt;AC$3,$I245&gt;AC$2),0,IF($K245=0,IF(AND($I245&gt;=AC$3,$I245&lt;=AC$2),$E245,0),$E245*NETWORKDAYS(MAX($I245,AC$3),MIN($J245,AC$2),Data!$K$4:$K$203)/$K245)))</f>
        <v>0</v>
      </c>
      <c r="AD245" s="166">
        <f>IF(OR($I245="",$E245=0),0,IF(OR($J245&lt;AD$3,$I245&gt;AD$2),0,IF($K245=0,IF(AND($I245&gt;=AD$3,$I245&lt;=AD$2),$E245,0),$E245*NETWORKDAYS(MAX($I245,AD$3),MIN($J245,AD$2),Data!$K$4:$K$203)/$K245)))</f>
        <v>0</v>
      </c>
      <c r="AE245" s="166">
        <f>IF(OR($I245="",$E245=0),0,IF(OR($J245&lt;AE$3,$I245&gt;AE$2),0,IF($K245=0,IF(AND($I245&gt;=AE$3,$I245&lt;=AE$2),$E245,0),$E245*NETWORKDAYS(MAX($I245,AE$3),MIN($J245,AE$2),Data!$K$4:$K$203)/$K245)))</f>
        <v>0</v>
      </c>
      <c r="AF245" s="166">
        <f>IF(OR($I245="",$E245=0),0,IF(OR($J245&lt;AF$3,$I245&gt;AF$2),0,IF($K245=0,IF(AND($I245&gt;=AF$3,$I245&lt;=AF$2),$E245,0),$E245*NETWORKDAYS(MAX($I245,AF$3),MIN($J245,AF$2),Data!$K$4:$K$203)/$K245)))</f>
        <v>0</v>
      </c>
      <c r="AG245" s="166">
        <f>IF(OR($I245="",$E245=0),0,IF(OR($J245&lt;AG$3,$I245&gt;AG$2),0,IF($K245=0,IF(AND($I245&gt;=AG$3,$I245&lt;=AG$2),$E245,0),$E245*NETWORKDAYS(MAX($I245,AG$3),MIN($J245,AG$2),Data!$K$4:$K$203)/$K245)))</f>
        <v>0</v>
      </c>
      <c r="AH245" s="166">
        <f>IF(OR($I245="",$E245=0),0,IF(OR($J245&lt;AH$3,$I245&gt;AH$2),0,IF($K245=0,IF(AND($I245&gt;=AH$3,$I245&lt;=AH$2),$E245,0),$E245*NETWORKDAYS(MAX($I245,AH$3),MIN($J245,AH$2),Data!$K$4:$K$203)/$K245)))</f>
        <v>0</v>
      </c>
      <c r="AI245" s="166">
        <f>SUM(W245:AH245)</f>
        <v>0</v>
      </c>
      <c r="BZ245" t="str">
        <f>IF(D245=1,IF(TRIM(INDEX(Charge!$K:$K,ROW()))&lt;&gt;"",TRIM(INDEX(Charge!$K:$K,ROW())),IF(TRIM(INDEX(Charge!$L:$L,ROW()))&lt;&gt;"",TRIM(INDEX(Charge!$L:$L,ROW())),"(non affecté)")),"")</f>
        <v/>
      </c>
      <c r="CA245" t="str">
        <f>IF(AND($CD$4&lt;&gt;"",BZ245=$CD$4),COUNTIFS($BZ$4:$BZ$503,$CD$4,$L$4:$L$503,"&lt;"&amp;L245)+1,"")</f>
        <v/>
      </c>
      <c r="EM245" t="str">
        <f>IF(D245=1,IF(TRIM(INDEX(Charge!$K:$K,ROW()))&lt;&gt;"","Interne",IF(TRIM(INDEX(Charge!$L:$L,ROW()))&lt;&gt;"","Externe","Non affecté")),"")</f>
        <v/>
      </c>
      <c r="EN245" t="str">
        <f>IF(D245=1,LEFT(SUBSTITUTE(SUBSTITUTE(SUBSTITUTE(TRIM(SUBSTITUTE(INDEX(Charge!$B:$B,ROW()),CHAR(160)," "))&amp;" | "&amp;TRIM(SUBSTITUTE(INDEX(Charge!$C:$C,ROW()),CHAR(160)," "))&amp;" | "&amp;TRIM(SUBSTITUTE(INDEX(Charge!$D:$D,ROW()),CHAR(160)," ")),"~","-"),"*","+"),"?","!"),240),"")</f>
        <v/>
      </c>
      <c r="EO245">
        <f>IF(EN245="",0,IF(COUNTIF($EN$4:EN245,EN245)=1,1,0))</f>
        <v>0</v>
      </c>
      <c r="EP245" s="166" t="str">
        <f>IF(EO245=1,ROUND(SUMIF($EN$4:$EN$503,EN245,$E$4:$E$503),2),"")</f>
        <v/>
      </c>
      <c r="EQ245" t="str">
        <f>IF(EO245=1,COUNTIFS($EO$4:$EO$503,1,$EP$4:$EP$503,"&gt;"&amp;EP245)+COUNTIFS($EO$4:EO245,1,$EP$4:EP245,EP245),"")</f>
        <v/>
      </c>
      <c r="ER245" t="str">
        <f>IF(EO245=1,COUNTIFS($EN$4:$EN$503,EN245,$EM$4:$EM$503,"Interne",$FE$4:$FE$503,1),"")</f>
        <v/>
      </c>
      <c r="ES245" t="str">
        <f>IF(EO245=1,COUNTIFS($EN$4:$EN$503,EN245,$EM$4:$EM$503,"Externe",$FE$4:$FE$503,1),"")</f>
        <v/>
      </c>
      <c r="ET245" t="str">
        <f>IF(EO245=1,IF(ER245+ES245=0,"à affecter",IF(ER245=0,ES245&amp;" ext.",(ER245+ES245)&amp;IF(ES245&gt;0," dont "&amp;ES245&amp;" ext.",""))&amp;IF(COUNTIFS($EN$4:$EN$503,EN245,$EM$4:$EM$503,"Non affecté")&gt;0," + à affecter","")),"")</f>
        <v/>
      </c>
      <c r="EU245" s="170" t="str">
        <f>IF(EO245=1,IF(EP245&gt;0,SUMPRODUCT(($EN$4:$EN$503=EN245)*$E$4:$E$503*$C$4:$C$503)/EP245,AVERAGEIF($EN$4:$EN$503,EN245,$C$4:$C$503)),"")</f>
        <v/>
      </c>
      <c r="EV245" s="165">
        <f>IF(ISNUMBER(I245),I245,2958465)</f>
        <v>2958465.0</v>
      </c>
      <c r="EW245" s="165" t="str">
        <f>IF(EO245=1,SUMPRODUCT(MIN(($EN$4:$EN$503=EN245)*$EV$4:$EV$503+($EN$4:$EN$503&lt;&gt;EN245)*2958465)),"")</f>
        <v/>
      </c>
      <c r="EX245" s="165">
        <f>IF(AND(D245=1,ISNUMBER(INDEX(Charge!$F:$F,ROW()))),INDEX(Charge!$F:$F,ROW()),0)</f>
        <v>0.0</v>
      </c>
      <c r="EY245" s="165" t="str">
        <f>IF(EO245=1,SUMPRODUCT(MAX(($EN$4:$EN$503=EN245)*$EX$4:$EX$503)),"")</f>
        <v/>
      </c>
      <c r="FA245" t="str">
        <f>IF(242&lt;=$CD$23,INDEX($EJ$4:$EJ$203,242),IF(242-$CD$23&lt;=$CD$26,INDEX($EK$4:$EK$203,242-$CD$23),""))</f>
        <v/>
      </c>
      <c r="FB245" t="str">
        <f>IF(FA245="","",IF(242&lt;=$CD$23,"Interne","Externe"))</f>
        <v/>
      </c>
      <c r="FD245">
        <f>IF(AND(B245=1,TRIM(INDEX(Charge!$K:$K,ROW()))&lt;&gt;"",TRIM(INDEX(Charge!$L:$L,ROW()))&lt;&gt;""),1,0)</f>
        <v>0</v>
      </c>
      <c r="FE245">
        <f>IF(OR(EN245="",BZ245="(non affecté)"),0,IF(COUNTIFS($EN$4:EN245,EN245,$BZ$4:BZ245,BZ245)=1,1,0))</f>
        <v>0</v>
      </c>
    </row>
    <row r="246">
      <c r="A246">
        <f>ROW()</f>
        <v>246</v>
      </c>
      <c r="B246">
        <f>IF(TRIM(INDEX(Charge!$B:$B,ROW()))&lt;&gt;"",1,0)</f>
        <v>0</v>
      </c>
      <c r="C246">
        <f>IF(B246=1,MIN(1,MAX(0,N(INDEX(Charge!$O:$O,ROW())))),0)</f>
        <v>0</v>
      </c>
      <c r="D246">
        <f>IF(B246=1,IF(OR(p_Perimetre="Tous les projets",C246&lt;1),1,0),0)</f>
        <v>0</v>
      </c>
      <c r="E246">
        <f>IF(D246=1,MAX(0,N(INDEX(Charge!$M:$M,ROW()))),0)</f>
        <v>0</v>
      </c>
      <c r="F246" t="str">
        <f>IF(D246=1,IF(TRIM(INDEX(Charge!$A:$A,ROW()))="","(non renseigné)",TRIM(INDEX(Charge!$A:$A,ROW()))),"")</f>
        <v/>
      </c>
      <c r="G246" t="str">
        <f>IF(D246=1,TRIM(INDEX(Charge!$B:$B,ROW())),"")</f>
        <v/>
      </c>
      <c r="H246" t="str">
        <f>IF(D246=1,IF(TRIM(INDEX(Charge!$E:$E,ROW()))="","(non renseigné)",TRIM(INDEX(Charge!$E:$E,ROW()))),"")</f>
        <v/>
      </c>
      <c r="I246" s="165" t="str">
        <f>IF(AND(D246=1,ISNUMBER(INDEX(Charge!$N:$N,ROW()))),INDEX(Charge!$N:$N,ROW()),"")</f>
        <v/>
      </c>
      <c r="J246" s="165" t="str">
        <f>IF(I246="","",IF(AND(p_Repartition="Lissée jusqu'à la date de besoin",ISNUMBER(INDEX(Charge!$F:$F,ROW()))),IF(INDEX(Charge!$F:$F,ROW())&gt;=I246,INDEX(Charge!$F:$F,ROW()),I246),I246))</f>
        <v/>
      </c>
      <c r="K246" t="str">
        <f>IF(I246="","",NETWORKDAYS(I246,J246,Data!$K$4:$K$203))</f>
        <v/>
      </c>
      <c r="L246" t="str">
        <f>IF(D246=1,COUNTIFS($D$4:$D$503,1,$E$4:$E$503,"&gt;"&amp;E246)+COUNTIFS($D$4:$D246,1,$E$4:$E246,E246),"")</f>
        <v/>
      </c>
      <c r="M246">
        <f>IF(F246="",0,IF(COUNTIF($F$4:F246,F246)=1,1,0))</f>
        <v>0</v>
      </c>
      <c r="N246" t="str">
        <f>IF(M246=1,ROUND(SUMIF($F$4:$F$503,F246,$E$4:$E$503),2),"")</f>
        <v/>
      </c>
      <c r="O246" t="str">
        <f>IF(M246=1,COUNTIFS($M$4:$M$503,1,$N$4:$N$503,"&gt;"&amp;N246)+COUNTIFS($M$4:M246,1,$N$4:N246,N246),"")</f>
        <v/>
      </c>
      <c r="P246">
        <f>IF(G246="",0,IF(COUNTIF($G$4:G246,G246)=1,1,0))</f>
        <v>0</v>
      </c>
      <c r="Q246" t="str">
        <f>IF(P246=1,ROUND(SUMIF($G$4:$G$503,G246,$E$4:$E$503),2),"")</f>
        <v/>
      </c>
      <c r="R246" t="str">
        <f>IF(P246=1,COUNTIFS($P$4:$P$503,1,$Q$4:$Q$503,"&gt;"&amp;Q246)+COUNTIFS($P$4:P246,1,$Q$4:Q246,Q246),"")</f>
        <v/>
      </c>
      <c r="S246">
        <f>IF(H246="",0,IF(COUNTIF($H$4:H246,H246)=1,1,0))</f>
        <v>0</v>
      </c>
      <c r="T246" t="str">
        <f>IF(S246=1,ROUND(SUMIF($H$4:$H$503,H246,$E$4:$E$503),2),"")</f>
        <v/>
      </c>
      <c r="U246" t="str">
        <f>IF(S246=1,COUNTIFS($S$4:$S$503,1,$T$4:$T$503,"&gt;"&amp;T246)+COUNTIFS($S$4:S246,1,$T$4:T246,T246),"")</f>
        <v/>
      </c>
      <c r="V246" t="str">
        <f>IF(D246=1,MIN(INDEX($R$4:$R$503,MATCH(G246,$G$4:$G$503,0)),IF($AL$7&gt;9,9,999)),"")</f>
        <v/>
      </c>
      <c r="W246" s="166">
        <f>IF(OR($I246="",$E246=0),0,IF(OR($J246&lt;W$3,$I246&gt;W$2),0,IF($K246=0,IF(AND($I246&gt;=W$3,$I246&lt;=W$2),$E246,0),$E246*NETWORKDAYS(MAX($I246,W$3),MIN($J246,W$2),Data!$K$4:$K$203)/$K246)))</f>
        <v>0</v>
      </c>
      <c r="X246" s="166">
        <f>IF(OR($I246="",$E246=0),0,IF(OR($J246&lt;X$3,$I246&gt;X$2),0,IF($K246=0,IF(AND($I246&gt;=X$3,$I246&lt;=X$2),$E246,0),$E246*NETWORKDAYS(MAX($I246,X$3),MIN($J246,X$2),Data!$K$4:$K$203)/$K246)))</f>
        <v>0</v>
      </c>
      <c r="Y246" s="166">
        <f>IF(OR($I246="",$E246=0),0,IF(OR($J246&lt;Y$3,$I246&gt;Y$2),0,IF($K246=0,IF(AND($I246&gt;=Y$3,$I246&lt;=Y$2),$E246,0),$E246*NETWORKDAYS(MAX($I246,Y$3),MIN($J246,Y$2),Data!$K$4:$K$203)/$K246)))</f>
        <v>0</v>
      </c>
      <c r="Z246" s="166">
        <f>IF(OR($I246="",$E246=0),0,IF(OR($J246&lt;Z$3,$I246&gt;Z$2),0,IF($K246=0,IF(AND($I246&gt;=Z$3,$I246&lt;=Z$2),$E246,0),$E246*NETWORKDAYS(MAX($I246,Z$3),MIN($J246,Z$2),Data!$K$4:$K$203)/$K246)))</f>
        <v>0</v>
      </c>
      <c r="AA246" s="166">
        <f>IF(OR($I246="",$E246=0),0,IF(OR($J246&lt;AA$3,$I246&gt;AA$2),0,IF($K246=0,IF(AND($I246&gt;=AA$3,$I246&lt;=AA$2),$E246,0),$E246*NETWORKDAYS(MAX($I246,AA$3),MIN($J246,AA$2),Data!$K$4:$K$203)/$K246)))</f>
        <v>0</v>
      </c>
      <c r="AB246" s="166">
        <f>IF(OR($I246="",$E246=0),0,IF(OR($J246&lt;AB$3,$I246&gt;AB$2),0,IF($K246=0,IF(AND($I246&gt;=AB$3,$I246&lt;=AB$2),$E246,0),$E246*NETWORKDAYS(MAX($I246,AB$3),MIN($J246,AB$2),Data!$K$4:$K$203)/$K246)))</f>
        <v>0</v>
      </c>
      <c r="AC246" s="166">
        <f>IF(OR($I246="",$E246=0),0,IF(OR($J246&lt;AC$3,$I246&gt;AC$2),0,IF($K246=0,IF(AND($I246&gt;=AC$3,$I246&lt;=AC$2),$E246,0),$E246*NETWORKDAYS(MAX($I246,AC$3),MIN($J246,AC$2),Data!$K$4:$K$203)/$K246)))</f>
        <v>0</v>
      </c>
      <c r="AD246" s="166">
        <f>IF(OR($I246="",$E246=0),0,IF(OR($J246&lt;AD$3,$I246&gt;AD$2),0,IF($K246=0,IF(AND($I246&gt;=AD$3,$I246&lt;=AD$2),$E246,0),$E246*NETWORKDAYS(MAX($I246,AD$3),MIN($J246,AD$2),Data!$K$4:$K$203)/$K246)))</f>
        <v>0</v>
      </c>
      <c r="AE246" s="166">
        <f>IF(OR($I246="",$E246=0),0,IF(OR($J246&lt;AE$3,$I246&gt;AE$2),0,IF($K246=0,IF(AND($I246&gt;=AE$3,$I246&lt;=AE$2),$E246,0),$E246*NETWORKDAYS(MAX($I246,AE$3),MIN($J246,AE$2),Data!$K$4:$K$203)/$K246)))</f>
        <v>0</v>
      </c>
      <c r="AF246" s="166">
        <f>IF(OR($I246="",$E246=0),0,IF(OR($J246&lt;AF$3,$I246&gt;AF$2),0,IF($K246=0,IF(AND($I246&gt;=AF$3,$I246&lt;=AF$2),$E246,0),$E246*NETWORKDAYS(MAX($I246,AF$3),MIN($J246,AF$2),Data!$K$4:$K$203)/$K246)))</f>
        <v>0</v>
      </c>
      <c r="AG246" s="166">
        <f>IF(OR($I246="",$E246=0),0,IF(OR($J246&lt;AG$3,$I246&gt;AG$2),0,IF($K246=0,IF(AND($I246&gt;=AG$3,$I246&lt;=AG$2),$E246,0),$E246*NETWORKDAYS(MAX($I246,AG$3),MIN($J246,AG$2),Data!$K$4:$K$203)/$K246)))</f>
        <v>0</v>
      </c>
      <c r="AH246" s="166">
        <f>IF(OR($I246="",$E246=0),0,IF(OR($J246&lt;AH$3,$I246&gt;AH$2),0,IF($K246=0,IF(AND($I246&gt;=AH$3,$I246&lt;=AH$2),$E246,0),$E246*NETWORKDAYS(MAX($I246,AH$3),MIN($J246,AH$2),Data!$K$4:$K$203)/$K246)))</f>
        <v>0</v>
      </c>
      <c r="AI246" s="166">
        <f>SUM(W246:AH246)</f>
        <v>0</v>
      </c>
      <c r="BZ246" t="str">
        <f>IF(D246=1,IF(TRIM(INDEX(Charge!$K:$K,ROW()))&lt;&gt;"",TRIM(INDEX(Charge!$K:$K,ROW())),IF(TRIM(INDEX(Charge!$L:$L,ROW()))&lt;&gt;"",TRIM(INDEX(Charge!$L:$L,ROW())),"(non affecté)")),"")</f>
        <v/>
      </c>
      <c r="CA246" t="str">
        <f>IF(AND($CD$4&lt;&gt;"",BZ246=$CD$4),COUNTIFS($BZ$4:$BZ$503,$CD$4,$L$4:$L$503,"&lt;"&amp;L246)+1,"")</f>
        <v/>
      </c>
      <c r="EM246" t="str">
        <f>IF(D246=1,IF(TRIM(INDEX(Charge!$K:$K,ROW()))&lt;&gt;"","Interne",IF(TRIM(INDEX(Charge!$L:$L,ROW()))&lt;&gt;"","Externe","Non affecté")),"")</f>
        <v/>
      </c>
      <c r="EN246" t="str">
        <f>IF(D246=1,LEFT(SUBSTITUTE(SUBSTITUTE(SUBSTITUTE(TRIM(SUBSTITUTE(INDEX(Charge!$B:$B,ROW()),CHAR(160)," "))&amp;" | "&amp;TRIM(SUBSTITUTE(INDEX(Charge!$C:$C,ROW()),CHAR(160)," "))&amp;" | "&amp;TRIM(SUBSTITUTE(INDEX(Charge!$D:$D,ROW()),CHAR(160)," ")),"~","-"),"*","+"),"?","!"),240),"")</f>
        <v/>
      </c>
      <c r="EO246">
        <f>IF(EN246="",0,IF(COUNTIF($EN$4:EN246,EN246)=1,1,0))</f>
        <v>0</v>
      </c>
      <c r="EP246" s="166" t="str">
        <f>IF(EO246=1,ROUND(SUMIF($EN$4:$EN$503,EN246,$E$4:$E$503),2),"")</f>
        <v/>
      </c>
      <c r="EQ246" t="str">
        <f>IF(EO246=1,COUNTIFS($EO$4:$EO$503,1,$EP$4:$EP$503,"&gt;"&amp;EP246)+COUNTIFS($EO$4:EO246,1,$EP$4:EP246,EP246),"")</f>
        <v/>
      </c>
      <c r="ER246" t="str">
        <f>IF(EO246=1,COUNTIFS($EN$4:$EN$503,EN246,$EM$4:$EM$503,"Interne",$FE$4:$FE$503,1),"")</f>
        <v/>
      </c>
      <c r="ES246" t="str">
        <f>IF(EO246=1,COUNTIFS($EN$4:$EN$503,EN246,$EM$4:$EM$503,"Externe",$FE$4:$FE$503,1),"")</f>
        <v/>
      </c>
      <c r="ET246" t="str">
        <f>IF(EO246=1,IF(ER246+ES246=0,"à affecter",IF(ER246=0,ES246&amp;" ext.",(ER246+ES246)&amp;IF(ES246&gt;0," dont "&amp;ES246&amp;" ext.",""))&amp;IF(COUNTIFS($EN$4:$EN$503,EN246,$EM$4:$EM$503,"Non affecté")&gt;0," + à affecter","")),"")</f>
        <v/>
      </c>
      <c r="EU246" s="170" t="str">
        <f>IF(EO246=1,IF(EP246&gt;0,SUMPRODUCT(($EN$4:$EN$503=EN246)*$E$4:$E$503*$C$4:$C$503)/EP246,AVERAGEIF($EN$4:$EN$503,EN246,$C$4:$C$503)),"")</f>
        <v/>
      </c>
      <c r="EV246" s="165">
        <f>IF(ISNUMBER(I246),I246,2958465)</f>
        <v>2958465.0</v>
      </c>
      <c r="EW246" s="165" t="str">
        <f>IF(EO246=1,SUMPRODUCT(MIN(($EN$4:$EN$503=EN246)*$EV$4:$EV$503+($EN$4:$EN$503&lt;&gt;EN246)*2958465)),"")</f>
        <v/>
      </c>
      <c r="EX246" s="165">
        <f>IF(AND(D246=1,ISNUMBER(INDEX(Charge!$F:$F,ROW()))),INDEX(Charge!$F:$F,ROW()),0)</f>
        <v>0.0</v>
      </c>
      <c r="EY246" s="165" t="str">
        <f>IF(EO246=1,SUMPRODUCT(MAX(($EN$4:$EN$503=EN246)*$EX$4:$EX$503)),"")</f>
        <v/>
      </c>
      <c r="FA246" t="str">
        <f>IF(243&lt;=$CD$23,INDEX($EJ$4:$EJ$203,243),IF(243-$CD$23&lt;=$CD$26,INDEX($EK$4:$EK$203,243-$CD$23),""))</f>
        <v/>
      </c>
      <c r="FB246" t="str">
        <f>IF(FA246="","",IF(243&lt;=$CD$23,"Interne","Externe"))</f>
        <v/>
      </c>
      <c r="FD246">
        <f>IF(AND(B246=1,TRIM(INDEX(Charge!$K:$K,ROW()))&lt;&gt;"",TRIM(INDEX(Charge!$L:$L,ROW()))&lt;&gt;""),1,0)</f>
        <v>0</v>
      </c>
      <c r="FE246">
        <f>IF(OR(EN246="",BZ246="(non affecté)"),0,IF(COUNTIFS($EN$4:EN246,EN246,$BZ$4:BZ246,BZ246)=1,1,0))</f>
        <v>0</v>
      </c>
    </row>
    <row r="247">
      <c r="A247">
        <f>ROW()</f>
        <v>247</v>
      </c>
      <c r="B247">
        <f>IF(TRIM(INDEX(Charge!$B:$B,ROW()))&lt;&gt;"",1,0)</f>
        <v>0</v>
      </c>
      <c r="C247">
        <f>IF(B247=1,MIN(1,MAX(0,N(INDEX(Charge!$O:$O,ROW())))),0)</f>
        <v>0</v>
      </c>
      <c r="D247">
        <f>IF(B247=1,IF(OR(p_Perimetre="Tous les projets",C247&lt;1),1,0),0)</f>
        <v>0</v>
      </c>
      <c r="E247">
        <f>IF(D247=1,MAX(0,N(INDEX(Charge!$M:$M,ROW()))),0)</f>
        <v>0</v>
      </c>
      <c r="F247" t="str">
        <f>IF(D247=1,IF(TRIM(INDEX(Charge!$A:$A,ROW()))="","(non renseigné)",TRIM(INDEX(Charge!$A:$A,ROW()))),"")</f>
        <v/>
      </c>
      <c r="G247" t="str">
        <f>IF(D247=1,TRIM(INDEX(Charge!$B:$B,ROW())),"")</f>
        <v/>
      </c>
      <c r="H247" t="str">
        <f>IF(D247=1,IF(TRIM(INDEX(Charge!$E:$E,ROW()))="","(non renseigné)",TRIM(INDEX(Charge!$E:$E,ROW()))),"")</f>
        <v/>
      </c>
      <c r="I247" s="165" t="str">
        <f>IF(AND(D247=1,ISNUMBER(INDEX(Charge!$N:$N,ROW()))),INDEX(Charge!$N:$N,ROW()),"")</f>
        <v/>
      </c>
      <c r="J247" s="165" t="str">
        <f>IF(I247="","",IF(AND(p_Repartition="Lissée jusqu'à la date de besoin",ISNUMBER(INDEX(Charge!$F:$F,ROW()))),IF(INDEX(Charge!$F:$F,ROW())&gt;=I247,INDEX(Charge!$F:$F,ROW()),I247),I247))</f>
        <v/>
      </c>
      <c r="K247" t="str">
        <f>IF(I247="","",NETWORKDAYS(I247,J247,Data!$K$4:$K$203))</f>
        <v/>
      </c>
      <c r="L247" t="str">
        <f>IF(D247=1,COUNTIFS($D$4:$D$503,1,$E$4:$E$503,"&gt;"&amp;E247)+COUNTIFS($D$4:$D247,1,$E$4:$E247,E247),"")</f>
        <v/>
      </c>
      <c r="M247">
        <f>IF(F247="",0,IF(COUNTIF($F$4:F247,F247)=1,1,0))</f>
        <v>0</v>
      </c>
      <c r="N247" t="str">
        <f>IF(M247=1,ROUND(SUMIF($F$4:$F$503,F247,$E$4:$E$503),2),"")</f>
        <v/>
      </c>
      <c r="O247" t="str">
        <f>IF(M247=1,COUNTIFS($M$4:$M$503,1,$N$4:$N$503,"&gt;"&amp;N247)+COUNTIFS($M$4:M247,1,$N$4:N247,N247),"")</f>
        <v/>
      </c>
      <c r="P247">
        <f>IF(G247="",0,IF(COUNTIF($G$4:G247,G247)=1,1,0))</f>
        <v>0</v>
      </c>
      <c r="Q247" t="str">
        <f>IF(P247=1,ROUND(SUMIF($G$4:$G$503,G247,$E$4:$E$503),2),"")</f>
        <v/>
      </c>
      <c r="R247" t="str">
        <f>IF(P247=1,COUNTIFS($P$4:$P$503,1,$Q$4:$Q$503,"&gt;"&amp;Q247)+COUNTIFS($P$4:P247,1,$Q$4:Q247,Q247),"")</f>
        <v/>
      </c>
      <c r="S247">
        <f>IF(H247="",0,IF(COUNTIF($H$4:H247,H247)=1,1,0))</f>
        <v>0</v>
      </c>
      <c r="T247" t="str">
        <f>IF(S247=1,ROUND(SUMIF($H$4:$H$503,H247,$E$4:$E$503),2),"")</f>
        <v/>
      </c>
      <c r="U247" t="str">
        <f>IF(S247=1,COUNTIFS($S$4:$S$503,1,$T$4:$T$503,"&gt;"&amp;T247)+COUNTIFS($S$4:S247,1,$T$4:T247,T247),"")</f>
        <v/>
      </c>
      <c r="V247" t="str">
        <f>IF(D247=1,MIN(INDEX($R$4:$R$503,MATCH(G247,$G$4:$G$503,0)),IF($AL$7&gt;9,9,999)),"")</f>
        <v/>
      </c>
      <c r="W247" s="166">
        <f>IF(OR($I247="",$E247=0),0,IF(OR($J247&lt;W$3,$I247&gt;W$2),0,IF($K247=0,IF(AND($I247&gt;=W$3,$I247&lt;=W$2),$E247,0),$E247*NETWORKDAYS(MAX($I247,W$3),MIN($J247,W$2),Data!$K$4:$K$203)/$K247)))</f>
        <v>0</v>
      </c>
      <c r="X247" s="166">
        <f>IF(OR($I247="",$E247=0),0,IF(OR($J247&lt;X$3,$I247&gt;X$2),0,IF($K247=0,IF(AND($I247&gt;=X$3,$I247&lt;=X$2),$E247,0),$E247*NETWORKDAYS(MAX($I247,X$3),MIN($J247,X$2),Data!$K$4:$K$203)/$K247)))</f>
        <v>0</v>
      </c>
      <c r="Y247" s="166">
        <f>IF(OR($I247="",$E247=0),0,IF(OR($J247&lt;Y$3,$I247&gt;Y$2),0,IF($K247=0,IF(AND($I247&gt;=Y$3,$I247&lt;=Y$2),$E247,0),$E247*NETWORKDAYS(MAX($I247,Y$3),MIN($J247,Y$2),Data!$K$4:$K$203)/$K247)))</f>
        <v>0</v>
      </c>
      <c r="Z247" s="166">
        <f>IF(OR($I247="",$E247=0),0,IF(OR($J247&lt;Z$3,$I247&gt;Z$2),0,IF($K247=0,IF(AND($I247&gt;=Z$3,$I247&lt;=Z$2),$E247,0),$E247*NETWORKDAYS(MAX($I247,Z$3),MIN($J247,Z$2),Data!$K$4:$K$203)/$K247)))</f>
        <v>0</v>
      </c>
      <c r="AA247" s="166">
        <f>IF(OR($I247="",$E247=0),0,IF(OR($J247&lt;AA$3,$I247&gt;AA$2),0,IF($K247=0,IF(AND($I247&gt;=AA$3,$I247&lt;=AA$2),$E247,0),$E247*NETWORKDAYS(MAX($I247,AA$3),MIN($J247,AA$2),Data!$K$4:$K$203)/$K247)))</f>
        <v>0</v>
      </c>
      <c r="AB247" s="166">
        <f>IF(OR($I247="",$E247=0),0,IF(OR($J247&lt;AB$3,$I247&gt;AB$2),0,IF($K247=0,IF(AND($I247&gt;=AB$3,$I247&lt;=AB$2),$E247,0),$E247*NETWORKDAYS(MAX($I247,AB$3),MIN($J247,AB$2),Data!$K$4:$K$203)/$K247)))</f>
        <v>0</v>
      </c>
      <c r="AC247" s="166">
        <f>IF(OR($I247="",$E247=0),0,IF(OR($J247&lt;AC$3,$I247&gt;AC$2),0,IF($K247=0,IF(AND($I247&gt;=AC$3,$I247&lt;=AC$2),$E247,0),$E247*NETWORKDAYS(MAX($I247,AC$3),MIN($J247,AC$2),Data!$K$4:$K$203)/$K247)))</f>
        <v>0</v>
      </c>
      <c r="AD247" s="166">
        <f>IF(OR($I247="",$E247=0),0,IF(OR($J247&lt;AD$3,$I247&gt;AD$2),0,IF($K247=0,IF(AND($I247&gt;=AD$3,$I247&lt;=AD$2),$E247,0),$E247*NETWORKDAYS(MAX($I247,AD$3),MIN($J247,AD$2),Data!$K$4:$K$203)/$K247)))</f>
        <v>0</v>
      </c>
      <c r="AE247" s="166">
        <f>IF(OR($I247="",$E247=0),0,IF(OR($J247&lt;AE$3,$I247&gt;AE$2),0,IF($K247=0,IF(AND($I247&gt;=AE$3,$I247&lt;=AE$2),$E247,0),$E247*NETWORKDAYS(MAX($I247,AE$3),MIN($J247,AE$2),Data!$K$4:$K$203)/$K247)))</f>
        <v>0</v>
      </c>
      <c r="AF247" s="166">
        <f>IF(OR($I247="",$E247=0),0,IF(OR($J247&lt;AF$3,$I247&gt;AF$2),0,IF($K247=0,IF(AND($I247&gt;=AF$3,$I247&lt;=AF$2),$E247,0),$E247*NETWORKDAYS(MAX($I247,AF$3),MIN($J247,AF$2),Data!$K$4:$K$203)/$K247)))</f>
        <v>0</v>
      </c>
      <c r="AG247" s="166">
        <f>IF(OR($I247="",$E247=0),0,IF(OR($J247&lt;AG$3,$I247&gt;AG$2),0,IF($K247=0,IF(AND($I247&gt;=AG$3,$I247&lt;=AG$2),$E247,0),$E247*NETWORKDAYS(MAX($I247,AG$3),MIN($J247,AG$2),Data!$K$4:$K$203)/$K247)))</f>
        <v>0</v>
      </c>
      <c r="AH247" s="166">
        <f>IF(OR($I247="",$E247=0),0,IF(OR($J247&lt;AH$3,$I247&gt;AH$2),0,IF($K247=0,IF(AND($I247&gt;=AH$3,$I247&lt;=AH$2),$E247,0),$E247*NETWORKDAYS(MAX($I247,AH$3),MIN($J247,AH$2),Data!$K$4:$K$203)/$K247)))</f>
        <v>0</v>
      </c>
      <c r="AI247" s="166">
        <f>SUM(W247:AH247)</f>
        <v>0</v>
      </c>
      <c r="BZ247" t="str">
        <f>IF(D247=1,IF(TRIM(INDEX(Charge!$K:$K,ROW()))&lt;&gt;"",TRIM(INDEX(Charge!$K:$K,ROW())),IF(TRIM(INDEX(Charge!$L:$L,ROW()))&lt;&gt;"",TRIM(INDEX(Charge!$L:$L,ROW())),"(non affecté)")),"")</f>
        <v/>
      </c>
      <c r="CA247" t="str">
        <f>IF(AND($CD$4&lt;&gt;"",BZ247=$CD$4),COUNTIFS($BZ$4:$BZ$503,$CD$4,$L$4:$L$503,"&lt;"&amp;L247)+1,"")</f>
        <v/>
      </c>
      <c r="EM247" t="str">
        <f>IF(D247=1,IF(TRIM(INDEX(Charge!$K:$K,ROW()))&lt;&gt;"","Interne",IF(TRIM(INDEX(Charge!$L:$L,ROW()))&lt;&gt;"","Externe","Non affecté")),"")</f>
        <v/>
      </c>
      <c r="EN247" t="str">
        <f>IF(D247=1,LEFT(SUBSTITUTE(SUBSTITUTE(SUBSTITUTE(TRIM(SUBSTITUTE(INDEX(Charge!$B:$B,ROW()),CHAR(160)," "))&amp;" | "&amp;TRIM(SUBSTITUTE(INDEX(Charge!$C:$C,ROW()),CHAR(160)," "))&amp;" | "&amp;TRIM(SUBSTITUTE(INDEX(Charge!$D:$D,ROW()),CHAR(160)," ")),"~","-"),"*","+"),"?","!"),240),"")</f>
        <v/>
      </c>
      <c r="EO247">
        <f>IF(EN247="",0,IF(COUNTIF($EN$4:EN247,EN247)=1,1,0))</f>
        <v>0</v>
      </c>
      <c r="EP247" s="166" t="str">
        <f>IF(EO247=1,ROUND(SUMIF($EN$4:$EN$503,EN247,$E$4:$E$503),2),"")</f>
        <v/>
      </c>
      <c r="EQ247" t="str">
        <f>IF(EO247=1,COUNTIFS($EO$4:$EO$503,1,$EP$4:$EP$503,"&gt;"&amp;EP247)+COUNTIFS($EO$4:EO247,1,$EP$4:EP247,EP247),"")</f>
        <v/>
      </c>
      <c r="ER247" t="str">
        <f>IF(EO247=1,COUNTIFS($EN$4:$EN$503,EN247,$EM$4:$EM$503,"Interne",$FE$4:$FE$503,1),"")</f>
        <v/>
      </c>
      <c r="ES247" t="str">
        <f>IF(EO247=1,COUNTIFS($EN$4:$EN$503,EN247,$EM$4:$EM$503,"Externe",$FE$4:$FE$503,1),"")</f>
        <v/>
      </c>
      <c r="ET247" t="str">
        <f>IF(EO247=1,IF(ER247+ES247=0,"à affecter",IF(ER247=0,ES247&amp;" ext.",(ER247+ES247)&amp;IF(ES247&gt;0," dont "&amp;ES247&amp;" ext.",""))&amp;IF(COUNTIFS($EN$4:$EN$503,EN247,$EM$4:$EM$503,"Non affecté")&gt;0," + à affecter","")),"")</f>
        <v/>
      </c>
      <c r="EU247" s="170" t="str">
        <f>IF(EO247=1,IF(EP247&gt;0,SUMPRODUCT(($EN$4:$EN$503=EN247)*$E$4:$E$503*$C$4:$C$503)/EP247,AVERAGEIF($EN$4:$EN$503,EN247,$C$4:$C$503)),"")</f>
        <v/>
      </c>
      <c r="EV247" s="165">
        <f>IF(ISNUMBER(I247),I247,2958465)</f>
        <v>2958465.0</v>
      </c>
      <c r="EW247" s="165" t="str">
        <f>IF(EO247=1,SUMPRODUCT(MIN(($EN$4:$EN$503=EN247)*$EV$4:$EV$503+($EN$4:$EN$503&lt;&gt;EN247)*2958465)),"")</f>
        <v/>
      </c>
      <c r="EX247" s="165">
        <f>IF(AND(D247=1,ISNUMBER(INDEX(Charge!$F:$F,ROW()))),INDEX(Charge!$F:$F,ROW()),0)</f>
        <v>0.0</v>
      </c>
      <c r="EY247" s="165" t="str">
        <f>IF(EO247=1,SUMPRODUCT(MAX(($EN$4:$EN$503=EN247)*$EX$4:$EX$503)),"")</f>
        <v/>
      </c>
      <c r="FA247" t="str">
        <f>IF(244&lt;=$CD$23,INDEX($EJ$4:$EJ$203,244),IF(244-$CD$23&lt;=$CD$26,INDEX($EK$4:$EK$203,244-$CD$23),""))</f>
        <v/>
      </c>
      <c r="FB247" t="str">
        <f>IF(FA247="","",IF(244&lt;=$CD$23,"Interne","Externe"))</f>
        <v/>
      </c>
      <c r="FD247">
        <f>IF(AND(B247=1,TRIM(INDEX(Charge!$K:$K,ROW()))&lt;&gt;"",TRIM(INDEX(Charge!$L:$L,ROW()))&lt;&gt;""),1,0)</f>
        <v>0</v>
      </c>
      <c r="FE247">
        <f>IF(OR(EN247="",BZ247="(non affecté)"),0,IF(COUNTIFS($EN$4:EN247,EN247,$BZ$4:BZ247,BZ247)=1,1,0))</f>
        <v>0</v>
      </c>
    </row>
    <row r="248">
      <c r="A248">
        <f>ROW()</f>
        <v>248</v>
      </c>
      <c r="B248">
        <f>IF(TRIM(INDEX(Charge!$B:$B,ROW()))&lt;&gt;"",1,0)</f>
        <v>0</v>
      </c>
      <c r="C248">
        <f>IF(B248=1,MIN(1,MAX(0,N(INDEX(Charge!$O:$O,ROW())))),0)</f>
        <v>0</v>
      </c>
      <c r="D248">
        <f>IF(B248=1,IF(OR(p_Perimetre="Tous les projets",C248&lt;1),1,0),0)</f>
        <v>0</v>
      </c>
      <c r="E248">
        <f>IF(D248=1,MAX(0,N(INDEX(Charge!$M:$M,ROW()))),0)</f>
        <v>0</v>
      </c>
      <c r="F248" t="str">
        <f>IF(D248=1,IF(TRIM(INDEX(Charge!$A:$A,ROW()))="","(non renseigné)",TRIM(INDEX(Charge!$A:$A,ROW()))),"")</f>
        <v/>
      </c>
      <c r="G248" t="str">
        <f>IF(D248=1,TRIM(INDEX(Charge!$B:$B,ROW())),"")</f>
        <v/>
      </c>
      <c r="H248" t="str">
        <f>IF(D248=1,IF(TRIM(INDEX(Charge!$E:$E,ROW()))="","(non renseigné)",TRIM(INDEX(Charge!$E:$E,ROW()))),"")</f>
        <v/>
      </c>
      <c r="I248" s="165" t="str">
        <f>IF(AND(D248=1,ISNUMBER(INDEX(Charge!$N:$N,ROW()))),INDEX(Charge!$N:$N,ROW()),"")</f>
        <v/>
      </c>
      <c r="J248" s="165" t="str">
        <f>IF(I248="","",IF(AND(p_Repartition="Lissée jusqu'à la date de besoin",ISNUMBER(INDEX(Charge!$F:$F,ROW()))),IF(INDEX(Charge!$F:$F,ROW())&gt;=I248,INDEX(Charge!$F:$F,ROW()),I248),I248))</f>
        <v/>
      </c>
      <c r="K248" t="str">
        <f>IF(I248="","",NETWORKDAYS(I248,J248,Data!$K$4:$K$203))</f>
        <v/>
      </c>
      <c r="L248" t="str">
        <f>IF(D248=1,COUNTIFS($D$4:$D$503,1,$E$4:$E$503,"&gt;"&amp;E248)+COUNTIFS($D$4:$D248,1,$E$4:$E248,E248),"")</f>
        <v/>
      </c>
      <c r="M248">
        <f>IF(F248="",0,IF(COUNTIF($F$4:F248,F248)=1,1,0))</f>
        <v>0</v>
      </c>
      <c r="N248" t="str">
        <f>IF(M248=1,ROUND(SUMIF($F$4:$F$503,F248,$E$4:$E$503),2),"")</f>
        <v/>
      </c>
      <c r="O248" t="str">
        <f>IF(M248=1,COUNTIFS($M$4:$M$503,1,$N$4:$N$503,"&gt;"&amp;N248)+COUNTIFS($M$4:M248,1,$N$4:N248,N248),"")</f>
        <v/>
      </c>
      <c r="P248">
        <f>IF(G248="",0,IF(COUNTIF($G$4:G248,G248)=1,1,0))</f>
        <v>0</v>
      </c>
      <c r="Q248" t="str">
        <f>IF(P248=1,ROUND(SUMIF($G$4:$G$503,G248,$E$4:$E$503),2),"")</f>
        <v/>
      </c>
      <c r="R248" t="str">
        <f>IF(P248=1,COUNTIFS($P$4:$P$503,1,$Q$4:$Q$503,"&gt;"&amp;Q248)+COUNTIFS($P$4:P248,1,$Q$4:Q248,Q248),"")</f>
        <v/>
      </c>
      <c r="S248">
        <f>IF(H248="",0,IF(COUNTIF($H$4:H248,H248)=1,1,0))</f>
        <v>0</v>
      </c>
      <c r="T248" t="str">
        <f>IF(S248=1,ROUND(SUMIF($H$4:$H$503,H248,$E$4:$E$503),2),"")</f>
        <v/>
      </c>
      <c r="U248" t="str">
        <f>IF(S248=1,COUNTIFS($S$4:$S$503,1,$T$4:$T$503,"&gt;"&amp;T248)+COUNTIFS($S$4:S248,1,$T$4:T248,T248),"")</f>
        <v/>
      </c>
      <c r="V248" t="str">
        <f>IF(D248=1,MIN(INDEX($R$4:$R$503,MATCH(G248,$G$4:$G$503,0)),IF($AL$7&gt;9,9,999)),"")</f>
        <v/>
      </c>
      <c r="W248" s="166">
        <f>IF(OR($I248="",$E248=0),0,IF(OR($J248&lt;W$3,$I248&gt;W$2),0,IF($K248=0,IF(AND($I248&gt;=W$3,$I248&lt;=W$2),$E248,0),$E248*NETWORKDAYS(MAX($I248,W$3),MIN($J248,W$2),Data!$K$4:$K$203)/$K248)))</f>
        <v>0</v>
      </c>
      <c r="X248" s="166">
        <f>IF(OR($I248="",$E248=0),0,IF(OR($J248&lt;X$3,$I248&gt;X$2),0,IF($K248=0,IF(AND($I248&gt;=X$3,$I248&lt;=X$2),$E248,0),$E248*NETWORKDAYS(MAX($I248,X$3),MIN($J248,X$2),Data!$K$4:$K$203)/$K248)))</f>
        <v>0</v>
      </c>
      <c r="Y248" s="166">
        <f>IF(OR($I248="",$E248=0),0,IF(OR($J248&lt;Y$3,$I248&gt;Y$2),0,IF($K248=0,IF(AND($I248&gt;=Y$3,$I248&lt;=Y$2),$E248,0),$E248*NETWORKDAYS(MAX($I248,Y$3),MIN($J248,Y$2),Data!$K$4:$K$203)/$K248)))</f>
        <v>0</v>
      </c>
      <c r="Z248" s="166">
        <f>IF(OR($I248="",$E248=0),0,IF(OR($J248&lt;Z$3,$I248&gt;Z$2),0,IF($K248=0,IF(AND($I248&gt;=Z$3,$I248&lt;=Z$2),$E248,0),$E248*NETWORKDAYS(MAX($I248,Z$3),MIN($J248,Z$2),Data!$K$4:$K$203)/$K248)))</f>
        <v>0</v>
      </c>
      <c r="AA248" s="166">
        <f>IF(OR($I248="",$E248=0),0,IF(OR($J248&lt;AA$3,$I248&gt;AA$2),0,IF($K248=0,IF(AND($I248&gt;=AA$3,$I248&lt;=AA$2),$E248,0),$E248*NETWORKDAYS(MAX($I248,AA$3),MIN($J248,AA$2),Data!$K$4:$K$203)/$K248)))</f>
        <v>0</v>
      </c>
      <c r="AB248" s="166">
        <f>IF(OR($I248="",$E248=0),0,IF(OR($J248&lt;AB$3,$I248&gt;AB$2),0,IF($K248=0,IF(AND($I248&gt;=AB$3,$I248&lt;=AB$2),$E248,0),$E248*NETWORKDAYS(MAX($I248,AB$3),MIN($J248,AB$2),Data!$K$4:$K$203)/$K248)))</f>
        <v>0</v>
      </c>
      <c r="AC248" s="166">
        <f>IF(OR($I248="",$E248=0),0,IF(OR($J248&lt;AC$3,$I248&gt;AC$2),0,IF($K248=0,IF(AND($I248&gt;=AC$3,$I248&lt;=AC$2),$E248,0),$E248*NETWORKDAYS(MAX($I248,AC$3),MIN($J248,AC$2),Data!$K$4:$K$203)/$K248)))</f>
        <v>0</v>
      </c>
      <c r="AD248" s="166">
        <f>IF(OR($I248="",$E248=0),0,IF(OR($J248&lt;AD$3,$I248&gt;AD$2),0,IF($K248=0,IF(AND($I248&gt;=AD$3,$I248&lt;=AD$2),$E248,0),$E248*NETWORKDAYS(MAX($I248,AD$3),MIN($J248,AD$2),Data!$K$4:$K$203)/$K248)))</f>
        <v>0</v>
      </c>
      <c r="AE248" s="166">
        <f>IF(OR($I248="",$E248=0),0,IF(OR($J248&lt;AE$3,$I248&gt;AE$2),0,IF($K248=0,IF(AND($I248&gt;=AE$3,$I248&lt;=AE$2),$E248,0),$E248*NETWORKDAYS(MAX($I248,AE$3),MIN($J248,AE$2),Data!$K$4:$K$203)/$K248)))</f>
        <v>0</v>
      </c>
      <c r="AF248" s="166">
        <f>IF(OR($I248="",$E248=0),0,IF(OR($J248&lt;AF$3,$I248&gt;AF$2),0,IF($K248=0,IF(AND($I248&gt;=AF$3,$I248&lt;=AF$2),$E248,0),$E248*NETWORKDAYS(MAX($I248,AF$3),MIN($J248,AF$2),Data!$K$4:$K$203)/$K248)))</f>
        <v>0</v>
      </c>
      <c r="AG248" s="166">
        <f>IF(OR($I248="",$E248=0),0,IF(OR($J248&lt;AG$3,$I248&gt;AG$2),0,IF($K248=0,IF(AND($I248&gt;=AG$3,$I248&lt;=AG$2),$E248,0),$E248*NETWORKDAYS(MAX($I248,AG$3),MIN($J248,AG$2),Data!$K$4:$K$203)/$K248)))</f>
        <v>0</v>
      </c>
      <c r="AH248" s="166">
        <f>IF(OR($I248="",$E248=0),0,IF(OR($J248&lt;AH$3,$I248&gt;AH$2),0,IF($K248=0,IF(AND($I248&gt;=AH$3,$I248&lt;=AH$2),$E248,0),$E248*NETWORKDAYS(MAX($I248,AH$3),MIN($J248,AH$2),Data!$K$4:$K$203)/$K248)))</f>
        <v>0</v>
      </c>
      <c r="AI248" s="166">
        <f>SUM(W248:AH248)</f>
        <v>0</v>
      </c>
      <c r="BZ248" t="str">
        <f>IF(D248=1,IF(TRIM(INDEX(Charge!$K:$K,ROW()))&lt;&gt;"",TRIM(INDEX(Charge!$K:$K,ROW())),IF(TRIM(INDEX(Charge!$L:$L,ROW()))&lt;&gt;"",TRIM(INDEX(Charge!$L:$L,ROW())),"(non affecté)")),"")</f>
        <v/>
      </c>
      <c r="CA248" t="str">
        <f>IF(AND($CD$4&lt;&gt;"",BZ248=$CD$4),COUNTIFS($BZ$4:$BZ$503,$CD$4,$L$4:$L$503,"&lt;"&amp;L248)+1,"")</f>
        <v/>
      </c>
      <c r="EM248" t="str">
        <f>IF(D248=1,IF(TRIM(INDEX(Charge!$K:$K,ROW()))&lt;&gt;"","Interne",IF(TRIM(INDEX(Charge!$L:$L,ROW()))&lt;&gt;"","Externe","Non affecté")),"")</f>
        <v/>
      </c>
      <c r="EN248" t="str">
        <f>IF(D248=1,LEFT(SUBSTITUTE(SUBSTITUTE(SUBSTITUTE(TRIM(SUBSTITUTE(INDEX(Charge!$B:$B,ROW()),CHAR(160)," "))&amp;" | "&amp;TRIM(SUBSTITUTE(INDEX(Charge!$C:$C,ROW()),CHAR(160)," "))&amp;" | "&amp;TRIM(SUBSTITUTE(INDEX(Charge!$D:$D,ROW()),CHAR(160)," ")),"~","-"),"*","+"),"?","!"),240),"")</f>
        <v/>
      </c>
      <c r="EO248">
        <f>IF(EN248="",0,IF(COUNTIF($EN$4:EN248,EN248)=1,1,0))</f>
        <v>0</v>
      </c>
      <c r="EP248" s="166" t="str">
        <f>IF(EO248=1,ROUND(SUMIF($EN$4:$EN$503,EN248,$E$4:$E$503),2),"")</f>
        <v/>
      </c>
      <c r="EQ248" t="str">
        <f>IF(EO248=1,COUNTIFS($EO$4:$EO$503,1,$EP$4:$EP$503,"&gt;"&amp;EP248)+COUNTIFS($EO$4:EO248,1,$EP$4:EP248,EP248),"")</f>
        <v/>
      </c>
      <c r="ER248" t="str">
        <f>IF(EO248=1,COUNTIFS($EN$4:$EN$503,EN248,$EM$4:$EM$503,"Interne",$FE$4:$FE$503,1),"")</f>
        <v/>
      </c>
      <c r="ES248" t="str">
        <f>IF(EO248=1,COUNTIFS($EN$4:$EN$503,EN248,$EM$4:$EM$503,"Externe",$FE$4:$FE$503,1),"")</f>
        <v/>
      </c>
      <c r="ET248" t="str">
        <f>IF(EO248=1,IF(ER248+ES248=0,"à affecter",IF(ER248=0,ES248&amp;" ext.",(ER248+ES248)&amp;IF(ES248&gt;0," dont "&amp;ES248&amp;" ext.",""))&amp;IF(COUNTIFS($EN$4:$EN$503,EN248,$EM$4:$EM$503,"Non affecté")&gt;0," + à affecter","")),"")</f>
        <v/>
      </c>
      <c r="EU248" s="170" t="str">
        <f>IF(EO248=1,IF(EP248&gt;0,SUMPRODUCT(($EN$4:$EN$503=EN248)*$E$4:$E$503*$C$4:$C$503)/EP248,AVERAGEIF($EN$4:$EN$503,EN248,$C$4:$C$503)),"")</f>
        <v/>
      </c>
      <c r="EV248" s="165">
        <f>IF(ISNUMBER(I248),I248,2958465)</f>
        <v>2958465.0</v>
      </c>
      <c r="EW248" s="165" t="str">
        <f>IF(EO248=1,SUMPRODUCT(MIN(($EN$4:$EN$503=EN248)*$EV$4:$EV$503+($EN$4:$EN$503&lt;&gt;EN248)*2958465)),"")</f>
        <v/>
      </c>
      <c r="EX248" s="165">
        <f>IF(AND(D248=1,ISNUMBER(INDEX(Charge!$F:$F,ROW()))),INDEX(Charge!$F:$F,ROW()),0)</f>
        <v>0.0</v>
      </c>
      <c r="EY248" s="165" t="str">
        <f>IF(EO248=1,SUMPRODUCT(MAX(($EN$4:$EN$503=EN248)*$EX$4:$EX$503)),"")</f>
        <v/>
      </c>
      <c r="FA248" t="str">
        <f>IF(245&lt;=$CD$23,INDEX($EJ$4:$EJ$203,245),IF(245-$CD$23&lt;=$CD$26,INDEX($EK$4:$EK$203,245-$CD$23),""))</f>
        <v/>
      </c>
      <c r="FB248" t="str">
        <f>IF(FA248="","",IF(245&lt;=$CD$23,"Interne","Externe"))</f>
        <v/>
      </c>
      <c r="FD248">
        <f>IF(AND(B248=1,TRIM(INDEX(Charge!$K:$K,ROW()))&lt;&gt;"",TRIM(INDEX(Charge!$L:$L,ROW()))&lt;&gt;""),1,0)</f>
        <v>0</v>
      </c>
      <c r="FE248">
        <f>IF(OR(EN248="",BZ248="(non affecté)"),0,IF(COUNTIFS($EN$4:EN248,EN248,$BZ$4:BZ248,BZ248)=1,1,0))</f>
        <v>0</v>
      </c>
    </row>
    <row r="249">
      <c r="A249">
        <f>ROW()</f>
        <v>249</v>
      </c>
      <c r="B249">
        <f>IF(TRIM(INDEX(Charge!$B:$B,ROW()))&lt;&gt;"",1,0)</f>
        <v>0</v>
      </c>
      <c r="C249">
        <f>IF(B249=1,MIN(1,MAX(0,N(INDEX(Charge!$O:$O,ROW())))),0)</f>
        <v>0</v>
      </c>
      <c r="D249">
        <f>IF(B249=1,IF(OR(p_Perimetre="Tous les projets",C249&lt;1),1,0),0)</f>
        <v>0</v>
      </c>
      <c r="E249">
        <f>IF(D249=1,MAX(0,N(INDEX(Charge!$M:$M,ROW()))),0)</f>
        <v>0</v>
      </c>
      <c r="F249" t="str">
        <f>IF(D249=1,IF(TRIM(INDEX(Charge!$A:$A,ROW()))="","(non renseigné)",TRIM(INDEX(Charge!$A:$A,ROW()))),"")</f>
        <v/>
      </c>
      <c r="G249" t="str">
        <f>IF(D249=1,TRIM(INDEX(Charge!$B:$B,ROW())),"")</f>
        <v/>
      </c>
      <c r="H249" t="str">
        <f>IF(D249=1,IF(TRIM(INDEX(Charge!$E:$E,ROW()))="","(non renseigné)",TRIM(INDEX(Charge!$E:$E,ROW()))),"")</f>
        <v/>
      </c>
      <c r="I249" s="165" t="str">
        <f>IF(AND(D249=1,ISNUMBER(INDEX(Charge!$N:$N,ROW()))),INDEX(Charge!$N:$N,ROW()),"")</f>
        <v/>
      </c>
      <c r="J249" s="165" t="str">
        <f>IF(I249="","",IF(AND(p_Repartition="Lissée jusqu'à la date de besoin",ISNUMBER(INDEX(Charge!$F:$F,ROW()))),IF(INDEX(Charge!$F:$F,ROW())&gt;=I249,INDEX(Charge!$F:$F,ROW()),I249),I249))</f>
        <v/>
      </c>
      <c r="K249" t="str">
        <f>IF(I249="","",NETWORKDAYS(I249,J249,Data!$K$4:$K$203))</f>
        <v/>
      </c>
      <c r="L249" t="str">
        <f>IF(D249=1,COUNTIFS($D$4:$D$503,1,$E$4:$E$503,"&gt;"&amp;E249)+COUNTIFS($D$4:$D249,1,$E$4:$E249,E249),"")</f>
        <v/>
      </c>
      <c r="M249">
        <f>IF(F249="",0,IF(COUNTIF($F$4:F249,F249)=1,1,0))</f>
        <v>0</v>
      </c>
      <c r="N249" t="str">
        <f>IF(M249=1,ROUND(SUMIF($F$4:$F$503,F249,$E$4:$E$503),2),"")</f>
        <v/>
      </c>
      <c r="O249" t="str">
        <f>IF(M249=1,COUNTIFS($M$4:$M$503,1,$N$4:$N$503,"&gt;"&amp;N249)+COUNTIFS($M$4:M249,1,$N$4:N249,N249),"")</f>
        <v/>
      </c>
      <c r="P249">
        <f>IF(G249="",0,IF(COUNTIF($G$4:G249,G249)=1,1,0))</f>
        <v>0</v>
      </c>
      <c r="Q249" t="str">
        <f>IF(P249=1,ROUND(SUMIF($G$4:$G$503,G249,$E$4:$E$503),2),"")</f>
        <v/>
      </c>
      <c r="R249" t="str">
        <f>IF(P249=1,COUNTIFS($P$4:$P$503,1,$Q$4:$Q$503,"&gt;"&amp;Q249)+COUNTIFS($P$4:P249,1,$Q$4:Q249,Q249),"")</f>
        <v/>
      </c>
      <c r="S249">
        <f>IF(H249="",0,IF(COUNTIF($H$4:H249,H249)=1,1,0))</f>
        <v>0</v>
      </c>
      <c r="T249" t="str">
        <f>IF(S249=1,ROUND(SUMIF($H$4:$H$503,H249,$E$4:$E$503),2),"")</f>
        <v/>
      </c>
      <c r="U249" t="str">
        <f>IF(S249=1,COUNTIFS($S$4:$S$503,1,$T$4:$T$503,"&gt;"&amp;T249)+COUNTIFS($S$4:S249,1,$T$4:T249,T249),"")</f>
        <v/>
      </c>
      <c r="V249" t="str">
        <f>IF(D249=1,MIN(INDEX($R$4:$R$503,MATCH(G249,$G$4:$G$503,0)),IF($AL$7&gt;9,9,999)),"")</f>
        <v/>
      </c>
      <c r="W249" s="166">
        <f>IF(OR($I249="",$E249=0),0,IF(OR($J249&lt;W$3,$I249&gt;W$2),0,IF($K249=0,IF(AND($I249&gt;=W$3,$I249&lt;=W$2),$E249,0),$E249*NETWORKDAYS(MAX($I249,W$3),MIN($J249,W$2),Data!$K$4:$K$203)/$K249)))</f>
        <v>0</v>
      </c>
      <c r="X249" s="166">
        <f>IF(OR($I249="",$E249=0),0,IF(OR($J249&lt;X$3,$I249&gt;X$2),0,IF($K249=0,IF(AND($I249&gt;=X$3,$I249&lt;=X$2),$E249,0),$E249*NETWORKDAYS(MAX($I249,X$3),MIN($J249,X$2),Data!$K$4:$K$203)/$K249)))</f>
        <v>0</v>
      </c>
      <c r="Y249" s="166">
        <f>IF(OR($I249="",$E249=0),0,IF(OR($J249&lt;Y$3,$I249&gt;Y$2),0,IF($K249=0,IF(AND($I249&gt;=Y$3,$I249&lt;=Y$2),$E249,0),$E249*NETWORKDAYS(MAX($I249,Y$3),MIN($J249,Y$2),Data!$K$4:$K$203)/$K249)))</f>
        <v>0</v>
      </c>
      <c r="Z249" s="166">
        <f>IF(OR($I249="",$E249=0),0,IF(OR($J249&lt;Z$3,$I249&gt;Z$2),0,IF($K249=0,IF(AND($I249&gt;=Z$3,$I249&lt;=Z$2),$E249,0),$E249*NETWORKDAYS(MAX($I249,Z$3),MIN($J249,Z$2),Data!$K$4:$K$203)/$K249)))</f>
        <v>0</v>
      </c>
      <c r="AA249" s="166">
        <f>IF(OR($I249="",$E249=0),0,IF(OR($J249&lt;AA$3,$I249&gt;AA$2),0,IF($K249=0,IF(AND($I249&gt;=AA$3,$I249&lt;=AA$2),$E249,0),$E249*NETWORKDAYS(MAX($I249,AA$3),MIN($J249,AA$2),Data!$K$4:$K$203)/$K249)))</f>
        <v>0</v>
      </c>
      <c r="AB249" s="166">
        <f>IF(OR($I249="",$E249=0),0,IF(OR($J249&lt;AB$3,$I249&gt;AB$2),0,IF($K249=0,IF(AND($I249&gt;=AB$3,$I249&lt;=AB$2),$E249,0),$E249*NETWORKDAYS(MAX($I249,AB$3),MIN($J249,AB$2),Data!$K$4:$K$203)/$K249)))</f>
        <v>0</v>
      </c>
      <c r="AC249" s="166">
        <f>IF(OR($I249="",$E249=0),0,IF(OR($J249&lt;AC$3,$I249&gt;AC$2),0,IF($K249=0,IF(AND($I249&gt;=AC$3,$I249&lt;=AC$2),$E249,0),$E249*NETWORKDAYS(MAX($I249,AC$3),MIN($J249,AC$2),Data!$K$4:$K$203)/$K249)))</f>
        <v>0</v>
      </c>
      <c r="AD249" s="166">
        <f>IF(OR($I249="",$E249=0),0,IF(OR($J249&lt;AD$3,$I249&gt;AD$2),0,IF($K249=0,IF(AND($I249&gt;=AD$3,$I249&lt;=AD$2),$E249,0),$E249*NETWORKDAYS(MAX($I249,AD$3),MIN($J249,AD$2),Data!$K$4:$K$203)/$K249)))</f>
        <v>0</v>
      </c>
      <c r="AE249" s="166">
        <f>IF(OR($I249="",$E249=0),0,IF(OR($J249&lt;AE$3,$I249&gt;AE$2),0,IF($K249=0,IF(AND($I249&gt;=AE$3,$I249&lt;=AE$2),$E249,0),$E249*NETWORKDAYS(MAX($I249,AE$3),MIN($J249,AE$2),Data!$K$4:$K$203)/$K249)))</f>
        <v>0</v>
      </c>
      <c r="AF249" s="166">
        <f>IF(OR($I249="",$E249=0),0,IF(OR($J249&lt;AF$3,$I249&gt;AF$2),0,IF($K249=0,IF(AND($I249&gt;=AF$3,$I249&lt;=AF$2),$E249,0),$E249*NETWORKDAYS(MAX($I249,AF$3),MIN($J249,AF$2),Data!$K$4:$K$203)/$K249)))</f>
        <v>0</v>
      </c>
      <c r="AG249" s="166">
        <f>IF(OR($I249="",$E249=0),0,IF(OR($J249&lt;AG$3,$I249&gt;AG$2),0,IF($K249=0,IF(AND($I249&gt;=AG$3,$I249&lt;=AG$2),$E249,0),$E249*NETWORKDAYS(MAX($I249,AG$3),MIN($J249,AG$2),Data!$K$4:$K$203)/$K249)))</f>
        <v>0</v>
      </c>
      <c r="AH249" s="166">
        <f>IF(OR($I249="",$E249=0),0,IF(OR($J249&lt;AH$3,$I249&gt;AH$2),0,IF($K249=0,IF(AND($I249&gt;=AH$3,$I249&lt;=AH$2),$E249,0),$E249*NETWORKDAYS(MAX($I249,AH$3),MIN($J249,AH$2),Data!$K$4:$K$203)/$K249)))</f>
        <v>0</v>
      </c>
      <c r="AI249" s="166">
        <f>SUM(W249:AH249)</f>
        <v>0</v>
      </c>
      <c r="BZ249" t="str">
        <f>IF(D249=1,IF(TRIM(INDEX(Charge!$K:$K,ROW()))&lt;&gt;"",TRIM(INDEX(Charge!$K:$K,ROW())),IF(TRIM(INDEX(Charge!$L:$L,ROW()))&lt;&gt;"",TRIM(INDEX(Charge!$L:$L,ROW())),"(non affecté)")),"")</f>
        <v/>
      </c>
      <c r="CA249" t="str">
        <f>IF(AND($CD$4&lt;&gt;"",BZ249=$CD$4),COUNTIFS($BZ$4:$BZ$503,$CD$4,$L$4:$L$503,"&lt;"&amp;L249)+1,"")</f>
        <v/>
      </c>
      <c r="EM249" t="str">
        <f>IF(D249=1,IF(TRIM(INDEX(Charge!$K:$K,ROW()))&lt;&gt;"","Interne",IF(TRIM(INDEX(Charge!$L:$L,ROW()))&lt;&gt;"","Externe","Non affecté")),"")</f>
        <v/>
      </c>
      <c r="EN249" t="str">
        <f>IF(D249=1,LEFT(SUBSTITUTE(SUBSTITUTE(SUBSTITUTE(TRIM(SUBSTITUTE(INDEX(Charge!$B:$B,ROW()),CHAR(160)," "))&amp;" | "&amp;TRIM(SUBSTITUTE(INDEX(Charge!$C:$C,ROW()),CHAR(160)," "))&amp;" | "&amp;TRIM(SUBSTITUTE(INDEX(Charge!$D:$D,ROW()),CHAR(160)," ")),"~","-"),"*","+"),"?","!"),240),"")</f>
        <v/>
      </c>
      <c r="EO249">
        <f>IF(EN249="",0,IF(COUNTIF($EN$4:EN249,EN249)=1,1,0))</f>
        <v>0</v>
      </c>
      <c r="EP249" s="166" t="str">
        <f>IF(EO249=1,ROUND(SUMIF($EN$4:$EN$503,EN249,$E$4:$E$503),2),"")</f>
        <v/>
      </c>
      <c r="EQ249" t="str">
        <f>IF(EO249=1,COUNTIFS($EO$4:$EO$503,1,$EP$4:$EP$503,"&gt;"&amp;EP249)+COUNTIFS($EO$4:EO249,1,$EP$4:EP249,EP249),"")</f>
        <v/>
      </c>
      <c r="ER249" t="str">
        <f>IF(EO249=1,COUNTIFS($EN$4:$EN$503,EN249,$EM$4:$EM$503,"Interne",$FE$4:$FE$503,1),"")</f>
        <v/>
      </c>
      <c r="ES249" t="str">
        <f>IF(EO249=1,COUNTIFS($EN$4:$EN$503,EN249,$EM$4:$EM$503,"Externe",$FE$4:$FE$503,1),"")</f>
        <v/>
      </c>
      <c r="ET249" t="str">
        <f>IF(EO249=1,IF(ER249+ES249=0,"à affecter",IF(ER249=0,ES249&amp;" ext.",(ER249+ES249)&amp;IF(ES249&gt;0," dont "&amp;ES249&amp;" ext.",""))&amp;IF(COUNTIFS($EN$4:$EN$503,EN249,$EM$4:$EM$503,"Non affecté")&gt;0," + à affecter","")),"")</f>
        <v/>
      </c>
      <c r="EU249" s="170" t="str">
        <f>IF(EO249=1,IF(EP249&gt;0,SUMPRODUCT(($EN$4:$EN$503=EN249)*$E$4:$E$503*$C$4:$C$503)/EP249,AVERAGEIF($EN$4:$EN$503,EN249,$C$4:$C$503)),"")</f>
        <v/>
      </c>
      <c r="EV249" s="165">
        <f>IF(ISNUMBER(I249),I249,2958465)</f>
        <v>2958465.0</v>
      </c>
      <c r="EW249" s="165" t="str">
        <f>IF(EO249=1,SUMPRODUCT(MIN(($EN$4:$EN$503=EN249)*$EV$4:$EV$503+($EN$4:$EN$503&lt;&gt;EN249)*2958465)),"")</f>
        <v/>
      </c>
      <c r="EX249" s="165">
        <f>IF(AND(D249=1,ISNUMBER(INDEX(Charge!$F:$F,ROW()))),INDEX(Charge!$F:$F,ROW()),0)</f>
        <v>0.0</v>
      </c>
      <c r="EY249" s="165" t="str">
        <f>IF(EO249=1,SUMPRODUCT(MAX(($EN$4:$EN$503=EN249)*$EX$4:$EX$503)),"")</f>
        <v/>
      </c>
      <c r="FA249" t="str">
        <f>IF(246&lt;=$CD$23,INDEX($EJ$4:$EJ$203,246),IF(246-$CD$23&lt;=$CD$26,INDEX($EK$4:$EK$203,246-$CD$23),""))</f>
        <v/>
      </c>
      <c r="FB249" t="str">
        <f>IF(FA249="","",IF(246&lt;=$CD$23,"Interne","Externe"))</f>
        <v/>
      </c>
      <c r="FD249">
        <f>IF(AND(B249=1,TRIM(INDEX(Charge!$K:$K,ROW()))&lt;&gt;"",TRIM(INDEX(Charge!$L:$L,ROW()))&lt;&gt;""),1,0)</f>
        <v>0</v>
      </c>
      <c r="FE249">
        <f>IF(OR(EN249="",BZ249="(non affecté)"),0,IF(COUNTIFS($EN$4:EN249,EN249,$BZ$4:BZ249,BZ249)=1,1,0))</f>
        <v>0</v>
      </c>
    </row>
    <row r="250">
      <c r="A250">
        <f>ROW()</f>
        <v>250</v>
      </c>
      <c r="B250">
        <f>IF(TRIM(INDEX(Charge!$B:$B,ROW()))&lt;&gt;"",1,0)</f>
        <v>0</v>
      </c>
      <c r="C250">
        <f>IF(B250=1,MIN(1,MAX(0,N(INDEX(Charge!$O:$O,ROW())))),0)</f>
        <v>0</v>
      </c>
      <c r="D250">
        <f>IF(B250=1,IF(OR(p_Perimetre="Tous les projets",C250&lt;1),1,0),0)</f>
        <v>0</v>
      </c>
      <c r="E250">
        <f>IF(D250=1,MAX(0,N(INDEX(Charge!$M:$M,ROW()))),0)</f>
        <v>0</v>
      </c>
      <c r="F250" t="str">
        <f>IF(D250=1,IF(TRIM(INDEX(Charge!$A:$A,ROW()))="","(non renseigné)",TRIM(INDEX(Charge!$A:$A,ROW()))),"")</f>
        <v/>
      </c>
      <c r="G250" t="str">
        <f>IF(D250=1,TRIM(INDEX(Charge!$B:$B,ROW())),"")</f>
        <v/>
      </c>
      <c r="H250" t="str">
        <f>IF(D250=1,IF(TRIM(INDEX(Charge!$E:$E,ROW()))="","(non renseigné)",TRIM(INDEX(Charge!$E:$E,ROW()))),"")</f>
        <v/>
      </c>
      <c r="I250" s="165" t="str">
        <f>IF(AND(D250=1,ISNUMBER(INDEX(Charge!$N:$N,ROW()))),INDEX(Charge!$N:$N,ROW()),"")</f>
        <v/>
      </c>
      <c r="J250" s="165" t="str">
        <f>IF(I250="","",IF(AND(p_Repartition="Lissée jusqu'à la date de besoin",ISNUMBER(INDEX(Charge!$F:$F,ROW()))),IF(INDEX(Charge!$F:$F,ROW())&gt;=I250,INDEX(Charge!$F:$F,ROW()),I250),I250))</f>
        <v/>
      </c>
      <c r="K250" t="str">
        <f>IF(I250="","",NETWORKDAYS(I250,J250,Data!$K$4:$K$203))</f>
        <v/>
      </c>
      <c r="L250" t="str">
        <f>IF(D250=1,COUNTIFS($D$4:$D$503,1,$E$4:$E$503,"&gt;"&amp;E250)+COUNTIFS($D$4:$D250,1,$E$4:$E250,E250),"")</f>
        <v/>
      </c>
      <c r="M250">
        <f>IF(F250="",0,IF(COUNTIF($F$4:F250,F250)=1,1,0))</f>
        <v>0</v>
      </c>
      <c r="N250" t="str">
        <f>IF(M250=1,ROUND(SUMIF($F$4:$F$503,F250,$E$4:$E$503),2),"")</f>
        <v/>
      </c>
      <c r="O250" t="str">
        <f>IF(M250=1,COUNTIFS($M$4:$M$503,1,$N$4:$N$503,"&gt;"&amp;N250)+COUNTIFS($M$4:M250,1,$N$4:N250,N250),"")</f>
        <v/>
      </c>
      <c r="P250">
        <f>IF(G250="",0,IF(COUNTIF($G$4:G250,G250)=1,1,0))</f>
        <v>0</v>
      </c>
      <c r="Q250" t="str">
        <f>IF(P250=1,ROUND(SUMIF($G$4:$G$503,G250,$E$4:$E$503),2),"")</f>
        <v/>
      </c>
      <c r="R250" t="str">
        <f>IF(P250=1,COUNTIFS($P$4:$P$503,1,$Q$4:$Q$503,"&gt;"&amp;Q250)+COUNTIFS($P$4:P250,1,$Q$4:Q250,Q250),"")</f>
        <v/>
      </c>
      <c r="S250">
        <f>IF(H250="",0,IF(COUNTIF($H$4:H250,H250)=1,1,0))</f>
        <v>0</v>
      </c>
      <c r="T250" t="str">
        <f>IF(S250=1,ROUND(SUMIF($H$4:$H$503,H250,$E$4:$E$503),2),"")</f>
        <v/>
      </c>
      <c r="U250" t="str">
        <f>IF(S250=1,COUNTIFS($S$4:$S$503,1,$T$4:$T$503,"&gt;"&amp;T250)+COUNTIFS($S$4:S250,1,$T$4:T250,T250),"")</f>
        <v/>
      </c>
      <c r="V250" t="str">
        <f>IF(D250=1,MIN(INDEX($R$4:$R$503,MATCH(G250,$G$4:$G$503,0)),IF($AL$7&gt;9,9,999)),"")</f>
        <v/>
      </c>
      <c r="W250" s="166">
        <f>IF(OR($I250="",$E250=0),0,IF(OR($J250&lt;W$3,$I250&gt;W$2),0,IF($K250=0,IF(AND($I250&gt;=W$3,$I250&lt;=W$2),$E250,0),$E250*NETWORKDAYS(MAX($I250,W$3),MIN($J250,W$2),Data!$K$4:$K$203)/$K250)))</f>
        <v>0</v>
      </c>
      <c r="X250" s="166">
        <f>IF(OR($I250="",$E250=0),0,IF(OR($J250&lt;X$3,$I250&gt;X$2),0,IF($K250=0,IF(AND($I250&gt;=X$3,$I250&lt;=X$2),$E250,0),$E250*NETWORKDAYS(MAX($I250,X$3),MIN($J250,X$2),Data!$K$4:$K$203)/$K250)))</f>
        <v>0</v>
      </c>
      <c r="Y250" s="166">
        <f>IF(OR($I250="",$E250=0),0,IF(OR($J250&lt;Y$3,$I250&gt;Y$2),0,IF($K250=0,IF(AND($I250&gt;=Y$3,$I250&lt;=Y$2),$E250,0),$E250*NETWORKDAYS(MAX($I250,Y$3),MIN($J250,Y$2),Data!$K$4:$K$203)/$K250)))</f>
        <v>0</v>
      </c>
      <c r="Z250" s="166">
        <f>IF(OR($I250="",$E250=0),0,IF(OR($J250&lt;Z$3,$I250&gt;Z$2),0,IF($K250=0,IF(AND($I250&gt;=Z$3,$I250&lt;=Z$2),$E250,0),$E250*NETWORKDAYS(MAX($I250,Z$3),MIN($J250,Z$2),Data!$K$4:$K$203)/$K250)))</f>
        <v>0</v>
      </c>
      <c r="AA250" s="166">
        <f>IF(OR($I250="",$E250=0),0,IF(OR($J250&lt;AA$3,$I250&gt;AA$2),0,IF($K250=0,IF(AND($I250&gt;=AA$3,$I250&lt;=AA$2),$E250,0),$E250*NETWORKDAYS(MAX($I250,AA$3),MIN($J250,AA$2),Data!$K$4:$K$203)/$K250)))</f>
        <v>0</v>
      </c>
      <c r="AB250" s="166">
        <f>IF(OR($I250="",$E250=0),0,IF(OR($J250&lt;AB$3,$I250&gt;AB$2),0,IF($K250=0,IF(AND($I250&gt;=AB$3,$I250&lt;=AB$2),$E250,0),$E250*NETWORKDAYS(MAX($I250,AB$3),MIN($J250,AB$2),Data!$K$4:$K$203)/$K250)))</f>
        <v>0</v>
      </c>
      <c r="AC250" s="166">
        <f>IF(OR($I250="",$E250=0),0,IF(OR($J250&lt;AC$3,$I250&gt;AC$2),0,IF($K250=0,IF(AND($I250&gt;=AC$3,$I250&lt;=AC$2),$E250,0),$E250*NETWORKDAYS(MAX($I250,AC$3),MIN($J250,AC$2),Data!$K$4:$K$203)/$K250)))</f>
        <v>0</v>
      </c>
      <c r="AD250" s="166">
        <f>IF(OR($I250="",$E250=0),0,IF(OR($J250&lt;AD$3,$I250&gt;AD$2),0,IF($K250=0,IF(AND($I250&gt;=AD$3,$I250&lt;=AD$2),$E250,0),$E250*NETWORKDAYS(MAX($I250,AD$3),MIN($J250,AD$2),Data!$K$4:$K$203)/$K250)))</f>
        <v>0</v>
      </c>
      <c r="AE250" s="166">
        <f>IF(OR($I250="",$E250=0),0,IF(OR($J250&lt;AE$3,$I250&gt;AE$2),0,IF($K250=0,IF(AND($I250&gt;=AE$3,$I250&lt;=AE$2),$E250,0),$E250*NETWORKDAYS(MAX($I250,AE$3),MIN($J250,AE$2),Data!$K$4:$K$203)/$K250)))</f>
        <v>0</v>
      </c>
      <c r="AF250" s="166">
        <f>IF(OR($I250="",$E250=0),0,IF(OR($J250&lt;AF$3,$I250&gt;AF$2),0,IF($K250=0,IF(AND($I250&gt;=AF$3,$I250&lt;=AF$2),$E250,0),$E250*NETWORKDAYS(MAX($I250,AF$3),MIN($J250,AF$2),Data!$K$4:$K$203)/$K250)))</f>
        <v>0</v>
      </c>
      <c r="AG250" s="166">
        <f>IF(OR($I250="",$E250=0),0,IF(OR($J250&lt;AG$3,$I250&gt;AG$2),0,IF($K250=0,IF(AND($I250&gt;=AG$3,$I250&lt;=AG$2),$E250,0),$E250*NETWORKDAYS(MAX($I250,AG$3),MIN($J250,AG$2),Data!$K$4:$K$203)/$K250)))</f>
        <v>0</v>
      </c>
      <c r="AH250" s="166">
        <f>IF(OR($I250="",$E250=0),0,IF(OR($J250&lt;AH$3,$I250&gt;AH$2),0,IF($K250=0,IF(AND($I250&gt;=AH$3,$I250&lt;=AH$2),$E250,0),$E250*NETWORKDAYS(MAX($I250,AH$3),MIN($J250,AH$2),Data!$K$4:$K$203)/$K250)))</f>
        <v>0</v>
      </c>
      <c r="AI250" s="166">
        <f>SUM(W250:AH250)</f>
        <v>0</v>
      </c>
      <c r="BZ250" t="str">
        <f>IF(D250=1,IF(TRIM(INDEX(Charge!$K:$K,ROW()))&lt;&gt;"",TRIM(INDEX(Charge!$K:$K,ROW())),IF(TRIM(INDEX(Charge!$L:$L,ROW()))&lt;&gt;"",TRIM(INDEX(Charge!$L:$L,ROW())),"(non affecté)")),"")</f>
        <v/>
      </c>
      <c r="CA250" t="str">
        <f>IF(AND($CD$4&lt;&gt;"",BZ250=$CD$4),COUNTIFS($BZ$4:$BZ$503,$CD$4,$L$4:$L$503,"&lt;"&amp;L250)+1,"")</f>
        <v/>
      </c>
      <c r="EM250" t="str">
        <f>IF(D250=1,IF(TRIM(INDEX(Charge!$K:$K,ROW()))&lt;&gt;"","Interne",IF(TRIM(INDEX(Charge!$L:$L,ROW()))&lt;&gt;"","Externe","Non affecté")),"")</f>
        <v/>
      </c>
      <c r="EN250" t="str">
        <f>IF(D250=1,LEFT(SUBSTITUTE(SUBSTITUTE(SUBSTITUTE(TRIM(SUBSTITUTE(INDEX(Charge!$B:$B,ROW()),CHAR(160)," "))&amp;" | "&amp;TRIM(SUBSTITUTE(INDEX(Charge!$C:$C,ROW()),CHAR(160)," "))&amp;" | "&amp;TRIM(SUBSTITUTE(INDEX(Charge!$D:$D,ROW()),CHAR(160)," ")),"~","-"),"*","+"),"?","!"),240),"")</f>
        <v/>
      </c>
      <c r="EO250">
        <f>IF(EN250="",0,IF(COUNTIF($EN$4:EN250,EN250)=1,1,0))</f>
        <v>0</v>
      </c>
      <c r="EP250" s="166" t="str">
        <f>IF(EO250=1,ROUND(SUMIF($EN$4:$EN$503,EN250,$E$4:$E$503),2),"")</f>
        <v/>
      </c>
      <c r="EQ250" t="str">
        <f>IF(EO250=1,COUNTIFS($EO$4:$EO$503,1,$EP$4:$EP$503,"&gt;"&amp;EP250)+COUNTIFS($EO$4:EO250,1,$EP$4:EP250,EP250),"")</f>
        <v/>
      </c>
      <c r="ER250" t="str">
        <f>IF(EO250=1,COUNTIFS($EN$4:$EN$503,EN250,$EM$4:$EM$503,"Interne",$FE$4:$FE$503,1),"")</f>
        <v/>
      </c>
      <c r="ES250" t="str">
        <f>IF(EO250=1,COUNTIFS($EN$4:$EN$503,EN250,$EM$4:$EM$503,"Externe",$FE$4:$FE$503,1),"")</f>
        <v/>
      </c>
      <c r="ET250" t="str">
        <f>IF(EO250=1,IF(ER250+ES250=0,"à affecter",IF(ER250=0,ES250&amp;" ext.",(ER250+ES250)&amp;IF(ES250&gt;0," dont "&amp;ES250&amp;" ext.",""))&amp;IF(COUNTIFS($EN$4:$EN$503,EN250,$EM$4:$EM$503,"Non affecté")&gt;0," + à affecter","")),"")</f>
        <v/>
      </c>
      <c r="EU250" s="170" t="str">
        <f>IF(EO250=1,IF(EP250&gt;0,SUMPRODUCT(($EN$4:$EN$503=EN250)*$E$4:$E$503*$C$4:$C$503)/EP250,AVERAGEIF($EN$4:$EN$503,EN250,$C$4:$C$503)),"")</f>
        <v/>
      </c>
      <c r="EV250" s="165">
        <f>IF(ISNUMBER(I250),I250,2958465)</f>
        <v>2958465.0</v>
      </c>
      <c r="EW250" s="165" t="str">
        <f>IF(EO250=1,SUMPRODUCT(MIN(($EN$4:$EN$503=EN250)*$EV$4:$EV$503+($EN$4:$EN$503&lt;&gt;EN250)*2958465)),"")</f>
        <v/>
      </c>
      <c r="EX250" s="165">
        <f>IF(AND(D250=1,ISNUMBER(INDEX(Charge!$F:$F,ROW()))),INDEX(Charge!$F:$F,ROW()),0)</f>
        <v>0.0</v>
      </c>
      <c r="EY250" s="165" t="str">
        <f>IF(EO250=1,SUMPRODUCT(MAX(($EN$4:$EN$503=EN250)*$EX$4:$EX$503)),"")</f>
        <v/>
      </c>
      <c r="FA250" t="str">
        <f>IF(247&lt;=$CD$23,INDEX($EJ$4:$EJ$203,247),IF(247-$CD$23&lt;=$CD$26,INDEX($EK$4:$EK$203,247-$CD$23),""))</f>
        <v/>
      </c>
      <c r="FB250" t="str">
        <f>IF(FA250="","",IF(247&lt;=$CD$23,"Interne","Externe"))</f>
        <v/>
      </c>
      <c r="FD250">
        <f>IF(AND(B250=1,TRIM(INDEX(Charge!$K:$K,ROW()))&lt;&gt;"",TRIM(INDEX(Charge!$L:$L,ROW()))&lt;&gt;""),1,0)</f>
        <v>0</v>
      </c>
      <c r="FE250">
        <f>IF(OR(EN250="",BZ250="(non affecté)"),0,IF(COUNTIFS($EN$4:EN250,EN250,$BZ$4:BZ250,BZ250)=1,1,0))</f>
        <v>0</v>
      </c>
    </row>
    <row r="251">
      <c r="A251">
        <f>ROW()</f>
        <v>251</v>
      </c>
      <c r="B251">
        <f>IF(TRIM(INDEX(Charge!$B:$B,ROW()))&lt;&gt;"",1,0)</f>
        <v>0</v>
      </c>
      <c r="C251">
        <f>IF(B251=1,MIN(1,MAX(0,N(INDEX(Charge!$O:$O,ROW())))),0)</f>
        <v>0</v>
      </c>
      <c r="D251">
        <f>IF(B251=1,IF(OR(p_Perimetre="Tous les projets",C251&lt;1),1,0),0)</f>
        <v>0</v>
      </c>
      <c r="E251">
        <f>IF(D251=1,MAX(0,N(INDEX(Charge!$M:$M,ROW()))),0)</f>
        <v>0</v>
      </c>
      <c r="F251" t="str">
        <f>IF(D251=1,IF(TRIM(INDEX(Charge!$A:$A,ROW()))="","(non renseigné)",TRIM(INDEX(Charge!$A:$A,ROW()))),"")</f>
        <v/>
      </c>
      <c r="G251" t="str">
        <f>IF(D251=1,TRIM(INDEX(Charge!$B:$B,ROW())),"")</f>
        <v/>
      </c>
      <c r="H251" t="str">
        <f>IF(D251=1,IF(TRIM(INDEX(Charge!$E:$E,ROW()))="","(non renseigné)",TRIM(INDEX(Charge!$E:$E,ROW()))),"")</f>
        <v/>
      </c>
      <c r="I251" s="165" t="str">
        <f>IF(AND(D251=1,ISNUMBER(INDEX(Charge!$N:$N,ROW()))),INDEX(Charge!$N:$N,ROW()),"")</f>
        <v/>
      </c>
      <c r="J251" s="165" t="str">
        <f>IF(I251="","",IF(AND(p_Repartition="Lissée jusqu'à la date de besoin",ISNUMBER(INDEX(Charge!$F:$F,ROW()))),IF(INDEX(Charge!$F:$F,ROW())&gt;=I251,INDEX(Charge!$F:$F,ROW()),I251),I251))</f>
        <v/>
      </c>
      <c r="K251" t="str">
        <f>IF(I251="","",NETWORKDAYS(I251,J251,Data!$K$4:$K$203))</f>
        <v/>
      </c>
      <c r="L251" t="str">
        <f>IF(D251=1,COUNTIFS($D$4:$D$503,1,$E$4:$E$503,"&gt;"&amp;E251)+COUNTIFS($D$4:$D251,1,$E$4:$E251,E251),"")</f>
        <v/>
      </c>
      <c r="M251">
        <f>IF(F251="",0,IF(COUNTIF($F$4:F251,F251)=1,1,0))</f>
        <v>0</v>
      </c>
      <c r="N251" t="str">
        <f>IF(M251=1,ROUND(SUMIF($F$4:$F$503,F251,$E$4:$E$503),2),"")</f>
        <v/>
      </c>
      <c r="O251" t="str">
        <f>IF(M251=1,COUNTIFS($M$4:$M$503,1,$N$4:$N$503,"&gt;"&amp;N251)+COUNTIFS($M$4:M251,1,$N$4:N251,N251),"")</f>
        <v/>
      </c>
      <c r="P251">
        <f>IF(G251="",0,IF(COUNTIF($G$4:G251,G251)=1,1,0))</f>
        <v>0</v>
      </c>
      <c r="Q251" t="str">
        <f>IF(P251=1,ROUND(SUMIF($G$4:$G$503,G251,$E$4:$E$503),2),"")</f>
        <v/>
      </c>
      <c r="R251" t="str">
        <f>IF(P251=1,COUNTIFS($P$4:$P$503,1,$Q$4:$Q$503,"&gt;"&amp;Q251)+COUNTIFS($P$4:P251,1,$Q$4:Q251,Q251),"")</f>
        <v/>
      </c>
      <c r="S251">
        <f>IF(H251="",0,IF(COUNTIF($H$4:H251,H251)=1,1,0))</f>
        <v>0</v>
      </c>
      <c r="T251" t="str">
        <f>IF(S251=1,ROUND(SUMIF($H$4:$H$503,H251,$E$4:$E$503),2),"")</f>
        <v/>
      </c>
      <c r="U251" t="str">
        <f>IF(S251=1,COUNTIFS($S$4:$S$503,1,$T$4:$T$503,"&gt;"&amp;T251)+COUNTIFS($S$4:S251,1,$T$4:T251,T251),"")</f>
        <v/>
      </c>
      <c r="V251" t="str">
        <f>IF(D251=1,MIN(INDEX($R$4:$R$503,MATCH(G251,$G$4:$G$503,0)),IF($AL$7&gt;9,9,999)),"")</f>
        <v/>
      </c>
      <c r="W251" s="166">
        <f>IF(OR($I251="",$E251=0),0,IF(OR($J251&lt;W$3,$I251&gt;W$2),0,IF($K251=0,IF(AND($I251&gt;=W$3,$I251&lt;=W$2),$E251,0),$E251*NETWORKDAYS(MAX($I251,W$3),MIN($J251,W$2),Data!$K$4:$K$203)/$K251)))</f>
        <v>0</v>
      </c>
      <c r="X251" s="166">
        <f>IF(OR($I251="",$E251=0),0,IF(OR($J251&lt;X$3,$I251&gt;X$2),0,IF($K251=0,IF(AND($I251&gt;=X$3,$I251&lt;=X$2),$E251,0),$E251*NETWORKDAYS(MAX($I251,X$3),MIN($J251,X$2),Data!$K$4:$K$203)/$K251)))</f>
        <v>0</v>
      </c>
      <c r="Y251" s="166">
        <f>IF(OR($I251="",$E251=0),0,IF(OR($J251&lt;Y$3,$I251&gt;Y$2),0,IF($K251=0,IF(AND($I251&gt;=Y$3,$I251&lt;=Y$2),$E251,0),$E251*NETWORKDAYS(MAX($I251,Y$3),MIN($J251,Y$2),Data!$K$4:$K$203)/$K251)))</f>
        <v>0</v>
      </c>
      <c r="Z251" s="166">
        <f>IF(OR($I251="",$E251=0),0,IF(OR($J251&lt;Z$3,$I251&gt;Z$2),0,IF($K251=0,IF(AND($I251&gt;=Z$3,$I251&lt;=Z$2),$E251,0),$E251*NETWORKDAYS(MAX($I251,Z$3),MIN($J251,Z$2),Data!$K$4:$K$203)/$K251)))</f>
        <v>0</v>
      </c>
      <c r="AA251" s="166">
        <f>IF(OR($I251="",$E251=0),0,IF(OR($J251&lt;AA$3,$I251&gt;AA$2),0,IF($K251=0,IF(AND($I251&gt;=AA$3,$I251&lt;=AA$2),$E251,0),$E251*NETWORKDAYS(MAX($I251,AA$3),MIN($J251,AA$2),Data!$K$4:$K$203)/$K251)))</f>
        <v>0</v>
      </c>
      <c r="AB251" s="166">
        <f>IF(OR($I251="",$E251=0),0,IF(OR($J251&lt;AB$3,$I251&gt;AB$2),0,IF($K251=0,IF(AND($I251&gt;=AB$3,$I251&lt;=AB$2),$E251,0),$E251*NETWORKDAYS(MAX($I251,AB$3),MIN($J251,AB$2),Data!$K$4:$K$203)/$K251)))</f>
        <v>0</v>
      </c>
      <c r="AC251" s="166">
        <f>IF(OR($I251="",$E251=0),0,IF(OR($J251&lt;AC$3,$I251&gt;AC$2),0,IF($K251=0,IF(AND($I251&gt;=AC$3,$I251&lt;=AC$2),$E251,0),$E251*NETWORKDAYS(MAX($I251,AC$3),MIN($J251,AC$2),Data!$K$4:$K$203)/$K251)))</f>
        <v>0</v>
      </c>
      <c r="AD251" s="166">
        <f>IF(OR($I251="",$E251=0),0,IF(OR($J251&lt;AD$3,$I251&gt;AD$2),0,IF($K251=0,IF(AND($I251&gt;=AD$3,$I251&lt;=AD$2),$E251,0),$E251*NETWORKDAYS(MAX($I251,AD$3),MIN($J251,AD$2),Data!$K$4:$K$203)/$K251)))</f>
        <v>0</v>
      </c>
      <c r="AE251" s="166">
        <f>IF(OR($I251="",$E251=0),0,IF(OR($J251&lt;AE$3,$I251&gt;AE$2),0,IF($K251=0,IF(AND($I251&gt;=AE$3,$I251&lt;=AE$2),$E251,0),$E251*NETWORKDAYS(MAX($I251,AE$3),MIN($J251,AE$2),Data!$K$4:$K$203)/$K251)))</f>
        <v>0</v>
      </c>
      <c r="AF251" s="166">
        <f>IF(OR($I251="",$E251=0),0,IF(OR($J251&lt;AF$3,$I251&gt;AF$2),0,IF($K251=0,IF(AND($I251&gt;=AF$3,$I251&lt;=AF$2),$E251,0),$E251*NETWORKDAYS(MAX($I251,AF$3),MIN($J251,AF$2),Data!$K$4:$K$203)/$K251)))</f>
        <v>0</v>
      </c>
      <c r="AG251" s="166">
        <f>IF(OR($I251="",$E251=0),0,IF(OR($J251&lt;AG$3,$I251&gt;AG$2),0,IF($K251=0,IF(AND($I251&gt;=AG$3,$I251&lt;=AG$2),$E251,0),$E251*NETWORKDAYS(MAX($I251,AG$3),MIN($J251,AG$2),Data!$K$4:$K$203)/$K251)))</f>
        <v>0</v>
      </c>
      <c r="AH251" s="166">
        <f>IF(OR($I251="",$E251=0),0,IF(OR($J251&lt;AH$3,$I251&gt;AH$2),0,IF($K251=0,IF(AND($I251&gt;=AH$3,$I251&lt;=AH$2),$E251,0),$E251*NETWORKDAYS(MAX($I251,AH$3),MIN($J251,AH$2),Data!$K$4:$K$203)/$K251)))</f>
        <v>0</v>
      </c>
      <c r="AI251" s="166">
        <f>SUM(W251:AH251)</f>
        <v>0</v>
      </c>
      <c r="BZ251" t="str">
        <f>IF(D251=1,IF(TRIM(INDEX(Charge!$K:$K,ROW()))&lt;&gt;"",TRIM(INDEX(Charge!$K:$K,ROW())),IF(TRIM(INDEX(Charge!$L:$L,ROW()))&lt;&gt;"",TRIM(INDEX(Charge!$L:$L,ROW())),"(non affecté)")),"")</f>
        <v/>
      </c>
      <c r="CA251" t="str">
        <f>IF(AND($CD$4&lt;&gt;"",BZ251=$CD$4),COUNTIFS($BZ$4:$BZ$503,$CD$4,$L$4:$L$503,"&lt;"&amp;L251)+1,"")</f>
        <v/>
      </c>
      <c r="EM251" t="str">
        <f>IF(D251=1,IF(TRIM(INDEX(Charge!$K:$K,ROW()))&lt;&gt;"","Interne",IF(TRIM(INDEX(Charge!$L:$L,ROW()))&lt;&gt;"","Externe","Non affecté")),"")</f>
        <v/>
      </c>
      <c r="EN251" t="str">
        <f>IF(D251=1,LEFT(SUBSTITUTE(SUBSTITUTE(SUBSTITUTE(TRIM(SUBSTITUTE(INDEX(Charge!$B:$B,ROW()),CHAR(160)," "))&amp;" | "&amp;TRIM(SUBSTITUTE(INDEX(Charge!$C:$C,ROW()),CHAR(160)," "))&amp;" | "&amp;TRIM(SUBSTITUTE(INDEX(Charge!$D:$D,ROW()),CHAR(160)," ")),"~","-"),"*","+"),"?","!"),240),"")</f>
        <v/>
      </c>
      <c r="EO251">
        <f>IF(EN251="",0,IF(COUNTIF($EN$4:EN251,EN251)=1,1,0))</f>
        <v>0</v>
      </c>
      <c r="EP251" s="166" t="str">
        <f>IF(EO251=1,ROUND(SUMIF($EN$4:$EN$503,EN251,$E$4:$E$503),2),"")</f>
        <v/>
      </c>
      <c r="EQ251" t="str">
        <f>IF(EO251=1,COUNTIFS($EO$4:$EO$503,1,$EP$4:$EP$503,"&gt;"&amp;EP251)+COUNTIFS($EO$4:EO251,1,$EP$4:EP251,EP251),"")</f>
        <v/>
      </c>
      <c r="ER251" t="str">
        <f>IF(EO251=1,COUNTIFS($EN$4:$EN$503,EN251,$EM$4:$EM$503,"Interne",$FE$4:$FE$503,1),"")</f>
        <v/>
      </c>
      <c r="ES251" t="str">
        <f>IF(EO251=1,COUNTIFS($EN$4:$EN$503,EN251,$EM$4:$EM$503,"Externe",$FE$4:$FE$503,1),"")</f>
        <v/>
      </c>
      <c r="ET251" t="str">
        <f>IF(EO251=1,IF(ER251+ES251=0,"à affecter",IF(ER251=0,ES251&amp;" ext.",(ER251+ES251)&amp;IF(ES251&gt;0," dont "&amp;ES251&amp;" ext.",""))&amp;IF(COUNTIFS($EN$4:$EN$503,EN251,$EM$4:$EM$503,"Non affecté")&gt;0," + à affecter","")),"")</f>
        <v/>
      </c>
      <c r="EU251" s="170" t="str">
        <f>IF(EO251=1,IF(EP251&gt;0,SUMPRODUCT(($EN$4:$EN$503=EN251)*$E$4:$E$503*$C$4:$C$503)/EP251,AVERAGEIF($EN$4:$EN$503,EN251,$C$4:$C$503)),"")</f>
        <v/>
      </c>
      <c r="EV251" s="165">
        <f>IF(ISNUMBER(I251),I251,2958465)</f>
        <v>2958465.0</v>
      </c>
      <c r="EW251" s="165" t="str">
        <f>IF(EO251=1,SUMPRODUCT(MIN(($EN$4:$EN$503=EN251)*$EV$4:$EV$503+($EN$4:$EN$503&lt;&gt;EN251)*2958465)),"")</f>
        <v/>
      </c>
      <c r="EX251" s="165">
        <f>IF(AND(D251=1,ISNUMBER(INDEX(Charge!$F:$F,ROW()))),INDEX(Charge!$F:$F,ROW()),0)</f>
        <v>0.0</v>
      </c>
      <c r="EY251" s="165" t="str">
        <f>IF(EO251=1,SUMPRODUCT(MAX(($EN$4:$EN$503=EN251)*$EX$4:$EX$503)),"")</f>
        <v/>
      </c>
      <c r="FA251" t="str">
        <f>IF(248&lt;=$CD$23,INDEX($EJ$4:$EJ$203,248),IF(248-$CD$23&lt;=$CD$26,INDEX($EK$4:$EK$203,248-$CD$23),""))</f>
        <v/>
      </c>
      <c r="FB251" t="str">
        <f>IF(FA251="","",IF(248&lt;=$CD$23,"Interne","Externe"))</f>
        <v/>
      </c>
      <c r="FD251">
        <f>IF(AND(B251=1,TRIM(INDEX(Charge!$K:$K,ROW()))&lt;&gt;"",TRIM(INDEX(Charge!$L:$L,ROW()))&lt;&gt;""),1,0)</f>
        <v>0</v>
      </c>
      <c r="FE251">
        <f>IF(OR(EN251="",BZ251="(non affecté)"),0,IF(COUNTIFS($EN$4:EN251,EN251,$BZ$4:BZ251,BZ251)=1,1,0))</f>
        <v>0</v>
      </c>
    </row>
    <row r="252">
      <c r="A252">
        <f>ROW()</f>
        <v>252</v>
      </c>
      <c r="B252">
        <f>IF(TRIM(INDEX(Charge!$B:$B,ROW()))&lt;&gt;"",1,0)</f>
        <v>0</v>
      </c>
      <c r="C252">
        <f>IF(B252=1,MIN(1,MAX(0,N(INDEX(Charge!$O:$O,ROW())))),0)</f>
        <v>0</v>
      </c>
      <c r="D252">
        <f>IF(B252=1,IF(OR(p_Perimetre="Tous les projets",C252&lt;1),1,0),0)</f>
        <v>0</v>
      </c>
      <c r="E252">
        <f>IF(D252=1,MAX(0,N(INDEX(Charge!$M:$M,ROW()))),0)</f>
        <v>0</v>
      </c>
      <c r="F252" t="str">
        <f>IF(D252=1,IF(TRIM(INDEX(Charge!$A:$A,ROW()))="","(non renseigné)",TRIM(INDEX(Charge!$A:$A,ROW()))),"")</f>
        <v/>
      </c>
      <c r="G252" t="str">
        <f>IF(D252=1,TRIM(INDEX(Charge!$B:$B,ROW())),"")</f>
        <v/>
      </c>
      <c r="H252" t="str">
        <f>IF(D252=1,IF(TRIM(INDEX(Charge!$E:$E,ROW()))="","(non renseigné)",TRIM(INDEX(Charge!$E:$E,ROW()))),"")</f>
        <v/>
      </c>
      <c r="I252" s="165" t="str">
        <f>IF(AND(D252=1,ISNUMBER(INDEX(Charge!$N:$N,ROW()))),INDEX(Charge!$N:$N,ROW()),"")</f>
        <v/>
      </c>
      <c r="J252" s="165" t="str">
        <f>IF(I252="","",IF(AND(p_Repartition="Lissée jusqu'à la date de besoin",ISNUMBER(INDEX(Charge!$F:$F,ROW()))),IF(INDEX(Charge!$F:$F,ROW())&gt;=I252,INDEX(Charge!$F:$F,ROW()),I252),I252))</f>
        <v/>
      </c>
      <c r="K252" t="str">
        <f>IF(I252="","",NETWORKDAYS(I252,J252,Data!$K$4:$K$203))</f>
        <v/>
      </c>
      <c r="L252" t="str">
        <f>IF(D252=1,COUNTIFS($D$4:$D$503,1,$E$4:$E$503,"&gt;"&amp;E252)+COUNTIFS($D$4:$D252,1,$E$4:$E252,E252),"")</f>
        <v/>
      </c>
      <c r="M252">
        <f>IF(F252="",0,IF(COUNTIF($F$4:F252,F252)=1,1,0))</f>
        <v>0</v>
      </c>
      <c r="N252" t="str">
        <f>IF(M252=1,ROUND(SUMIF($F$4:$F$503,F252,$E$4:$E$503),2),"")</f>
        <v/>
      </c>
      <c r="O252" t="str">
        <f>IF(M252=1,COUNTIFS($M$4:$M$503,1,$N$4:$N$503,"&gt;"&amp;N252)+COUNTIFS($M$4:M252,1,$N$4:N252,N252),"")</f>
        <v/>
      </c>
      <c r="P252">
        <f>IF(G252="",0,IF(COUNTIF($G$4:G252,G252)=1,1,0))</f>
        <v>0</v>
      </c>
      <c r="Q252" t="str">
        <f>IF(P252=1,ROUND(SUMIF($G$4:$G$503,G252,$E$4:$E$503),2),"")</f>
        <v/>
      </c>
      <c r="R252" t="str">
        <f>IF(P252=1,COUNTIFS($P$4:$P$503,1,$Q$4:$Q$503,"&gt;"&amp;Q252)+COUNTIFS($P$4:P252,1,$Q$4:Q252,Q252),"")</f>
        <v/>
      </c>
      <c r="S252">
        <f>IF(H252="",0,IF(COUNTIF($H$4:H252,H252)=1,1,0))</f>
        <v>0</v>
      </c>
      <c r="T252" t="str">
        <f>IF(S252=1,ROUND(SUMIF($H$4:$H$503,H252,$E$4:$E$503),2),"")</f>
        <v/>
      </c>
      <c r="U252" t="str">
        <f>IF(S252=1,COUNTIFS($S$4:$S$503,1,$T$4:$T$503,"&gt;"&amp;T252)+COUNTIFS($S$4:S252,1,$T$4:T252,T252),"")</f>
        <v/>
      </c>
      <c r="V252" t="str">
        <f>IF(D252=1,MIN(INDEX($R$4:$R$503,MATCH(G252,$G$4:$G$503,0)),IF($AL$7&gt;9,9,999)),"")</f>
        <v/>
      </c>
      <c r="W252" s="166">
        <f>IF(OR($I252="",$E252=0),0,IF(OR($J252&lt;W$3,$I252&gt;W$2),0,IF($K252=0,IF(AND($I252&gt;=W$3,$I252&lt;=W$2),$E252,0),$E252*NETWORKDAYS(MAX($I252,W$3),MIN($J252,W$2),Data!$K$4:$K$203)/$K252)))</f>
        <v>0</v>
      </c>
      <c r="X252" s="166">
        <f>IF(OR($I252="",$E252=0),0,IF(OR($J252&lt;X$3,$I252&gt;X$2),0,IF($K252=0,IF(AND($I252&gt;=X$3,$I252&lt;=X$2),$E252,0),$E252*NETWORKDAYS(MAX($I252,X$3),MIN($J252,X$2),Data!$K$4:$K$203)/$K252)))</f>
        <v>0</v>
      </c>
      <c r="Y252" s="166">
        <f>IF(OR($I252="",$E252=0),0,IF(OR($J252&lt;Y$3,$I252&gt;Y$2),0,IF($K252=0,IF(AND($I252&gt;=Y$3,$I252&lt;=Y$2),$E252,0),$E252*NETWORKDAYS(MAX($I252,Y$3),MIN($J252,Y$2),Data!$K$4:$K$203)/$K252)))</f>
        <v>0</v>
      </c>
      <c r="Z252" s="166">
        <f>IF(OR($I252="",$E252=0),0,IF(OR($J252&lt;Z$3,$I252&gt;Z$2),0,IF($K252=0,IF(AND($I252&gt;=Z$3,$I252&lt;=Z$2),$E252,0),$E252*NETWORKDAYS(MAX($I252,Z$3),MIN($J252,Z$2),Data!$K$4:$K$203)/$K252)))</f>
        <v>0</v>
      </c>
      <c r="AA252" s="166">
        <f>IF(OR($I252="",$E252=0),0,IF(OR($J252&lt;AA$3,$I252&gt;AA$2),0,IF($K252=0,IF(AND($I252&gt;=AA$3,$I252&lt;=AA$2),$E252,0),$E252*NETWORKDAYS(MAX($I252,AA$3),MIN($J252,AA$2),Data!$K$4:$K$203)/$K252)))</f>
        <v>0</v>
      </c>
      <c r="AB252" s="166">
        <f>IF(OR($I252="",$E252=0),0,IF(OR($J252&lt;AB$3,$I252&gt;AB$2),0,IF($K252=0,IF(AND($I252&gt;=AB$3,$I252&lt;=AB$2),$E252,0),$E252*NETWORKDAYS(MAX($I252,AB$3),MIN($J252,AB$2),Data!$K$4:$K$203)/$K252)))</f>
        <v>0</v>
      </c>
      <c r="AC252" s="166">
        <f>IF(OR($I252="",$E252=0),0,IF(OR($J252&lt;AC$3,$I252&gt;AC$2),0,IF($K252=0,IF(AND($I252&gt;=AC$3,$I252&lt;=AC$2),$E252,0),$E252*NETWORKDAYS(MAX($I252,AC$3),MIN($J252,AC$2),Data!$K$4:$K$203)/$K252)))</f>
        <v>0</v>
      </c>
      <c r="AD252" s="166">
        <f>IF(OR($I252="",$E252=0),0,IF(OR($J252&lt;AD$3,$I252&gt;AD$2),0,IF($K252=0,IF(AND($I252&gt;=AD$3,$I252&lt;=AD$2),$E252,0),$E252*NETWORKDAYS(MAX($I252,AD$3),MIN($J252,AD$2),Data!$K$4:$K$203)/$K252)))</f>
        <v>0</v>
      </c>
      <c r="AE252" s="166">
        <f>IF(OR($I252="",$E252=0),0,IF(OR($J252&lt;AE$3,$I252&gt;AE$2),0,IF($K252=0,IF(AND($I252&gt;=AE$3,$I252&lt;=AE$2),$E252,0),$E252*NETWORKDAYS(MAX($I252,AE$3),MIN($J252,AE$2),Data!$K$4:$K$203)/$K252)))</f>
        <v>0</v>
      </c>
      <c r="AF252" s="166">
        <f>IF(OR($I252="",$E252=0),0,IF(OR($J252&lt;AF$3,$I252&gt;AF$2),0,IF($K252=0,IF(AND($I252&gt;=AF$3,$I252&lt;=AF$2),$E252,0),$E252*NETWORKDAYS(MAX($I252,AF$3),MIN($J252,AF$2),Data!$K$4:$K$203)/$K252)))</f>
        <v>0</v>
      </c>
      <c r="AG252" s="166">
        <f>IF(OR($I252="",$E252=0),0,IF(OR($J252&lt;AG$3,$I252&gt;AG$2),0,IF($K252=0,IF(AND($I252&gt;=AG$3,$I252&lt;=AG$2),$E252,0),$E252*NETWORKDAYS(MAX($I252,AG$3),MIN($J252,AG$2),Data!$K$4:$K$203)/$K252)))</f>
        <v>0</v>
      </c>
      <c r="AH252" s="166">
        <f>IF(OR($I252="",$E252=0),0,IF(OR($J252&lt;AH$3,$I252&gt;AH$2),0,IF($K252=0,IF(AND($I252&gt;=AH$3,$I252&lt;=AH$2),$E252,0),$E252*NETWORKDAYS(MAX($I252,AH$3),MIN($J252,AH$2),Data!$K$4:$K$203)/$K252)))</f>
        <v>0</v>
      </c>
      <c r="AI252" s="166">
        <f>SUM(W252:AH252)</f>
        <v>0</v>
      </c>
      <c r="BZ252" t="str">
        <f>IF(D252=1,IF(TRIM(INDEX(Charge!$K:$K,ROW()))&lt;&gt;"",TRIM(INDEX(Charge!$K:$K,ROW())),IF(TRIM(INDEX(Charge!$L:$L,ROW()))&lt;&gt;"",TRIM(INDEX(Charge!$L:$L,ROW())),"(non affecté)")),"")</f>
        <v/>
      </c>
      <c r="CA252" t="str">
        <f>IF(AND($CD$4&lt;&gt;"",BZ252=$CD$4),COUNTIFS($BZ$4:$BZ$503,$CD$4,$L$4:$L$503,"&lt;"&amp;L252)+1,"")</f>
        <v/>
      </c>
      <c r="EM252" t="str">
        <f>IF(D252=1,IF(TRIM(INDEX(Charge!$K:$K,ROW()))&lt;&gt;"","Interne",IF(TRIM(INDEX(Charge!$L:$L,ROW()))&lt;&gt;"","Externe","Non affecté")),"")</f>
        <v/>
      </c>
      <c r="EN252" t="str">
        <f>IF(D252=1,LEFT(SUBSTITUTE(SUBSTITUTE(SUBSTITUTE(TRIM(SUBSTITUTE(INDEX(Charge!$B:$B,ROW()),CHAR(160)," "))&amp;" | "&amp;TRIM(SUBSTITUTE(INDEX(Charge!$C:$C,ROW()),CHAR(160)," "))&amp;" | "&amp;TRIM(SUBSTITUTE(INDEX(Charge!$D:$D,ROW()),CHAR(160)," ")),"~","-"),"*","+"),"?","!"),240),"")</f>
        <v/>
      </c>
      <c r="EO252">
        <f>IF(EN252="",0,IF(COUNTIF($EN$4:EN252,EN252)=1,1,0))</f>
        <v>0</v>
      </c>
      <c r="EP252" s="166" t="str">
        <f>IF(EO252=1,ROUND(SUMIF($EN$4:$EN$503,EN252,$E$4:$E$503),2),"")</f>
        <v/>
      </c>
      <c r="EQ252" t="str">
        <f>IF(EO252=1,COUNTIFS($EO$4:$EO$503,1,$EP$4:$EP$503,"&gt;"&amp;EP252)+COUNTIFS($EO$4:EO252,1,$EP$4:EP252,EP252),"")</f>
        <v/>
      </c>
      <c r="ER252" t="str">
        <f>IF(EO252=1,COUNTIFS($EN$4:$EN$503,EN252,$EM$4:$EM$503,"Interne",$FE$4:$FE$503,1),"")</f>
        <v/>
      </c>
      <c r="ES252" t="str">
        <f>IF(EO252=1,COUNTIFS($EN$4:$EN$503,EN252,$EM$4:$EM$503,"Externe",$FE$4:$FE$503,1),"")</f>
        <v/>
      </c>
      <c r="ET252" t="str">
        <f>IF(EO252=1,IF(ER252+ES252=0,"à affecter",IF(ER252=0,ES252&amp;" ext.",(ER252+ES252)&amp;IF(ES252&gt;0," dont "&amp;ES252&amp;" ext.",""))&amp;IF(COUNTIFS($EN$4:$EN$503,EN252,$EM$4:$EM$503,"Non affecté")&gt;0," + à affecter","")),"")</f>
        <v/>
      </c>
      <c r="EU252" s="170" t="str">
        <f>IF(EO252=1,IF(EP252&gt;0,SUMPRODUCT(($EN$4:$EN$503=EN252)*$E$4:$E$503*$C$4:$C$503)/EP252,AVERAGEIF($EN$4:$EN$503,EN252,$C$4:$C$503)),"")</f>
        <v/>
      </c>
      <c r="EV252" s="165">
        <f>IF(ISNUMBER(I252),I252,2958465)</f>
        <v>2958465.0</v>
      </c>
      <c r="EW252" s="165" t="str">
        <f>IF(EO252=1,SUMPRODUCT(MIN(($EN$4:$EN$503=EN252)*$EV$4:$EV$503+($EN$4:$EN$503&lt;&gt;EN252)*2958465)),"")</f>
        <v/>
      </c>
      <c r="EX252" s="165">
        <f>IF(AND(D252=1,ISNUMBER(INDEX(Charge!$F:$F,ROW()))),INDEX(Charge!$F:$F,ROW()),0)</f>
        <v>0.0</v>
      </c>
      <c r="EY252" s="165" t="str">
        <f>IF(EO252=1,SUMPRODUCT(MAX(($EN$4:$EN$503=EN252)*$EX$4:$EX$503)),"")</f>
        <v/>
      </c>
      <c r="FA252" t="str">
        <f>IF(249&lt;=$CD$23,INDEX($EJ$4:$EJ$203,249),IF(249-$CD$23&lt;=$CD$26,INDEX($EK$4:$EK$203,249-$CD$23),""))</f>
        <v/>
      </c>
      <c r="FB252" t="str">
        <f>IF(FA252="","",IF(249&lt;=$CD$23,"Interne","Externe"))</f>
        <v/>
      </c>
      <c r="FD252">
        <f>IF(AND(B252=1,TRIM(INDEX(Charge!$K:$K,ROW()))&lt;&gt;"",TRIM(INDEX(Charge!$L:$L,ROW()))&lt;&gt;""),1,0)</f>
        <v>0</v>
      </c>
      <c r="FE252">
        <f>IF(OR(EN252="",BZ252="(non affecté)"),0,IF(COUNTIFS($EN$4:EN252,EN252,$BZ$4:BZ252,BZ252)=1,1,0))</f>
        <v>0</v>
      </c>
    </row>
    <row r="253">
      <c r="A253">
        <f>ROW()</f>
        <v>253</v>
      </c>
      <c r="B253">
        <f>IF(TRIM(INDEX(Charge!$B:$B,ROW()))&lt;&gt;"",1,0)</f>
        <v>0</v>
      </c>
      <c r="C253">
        <f>IF(B253=1,MIN(1,MAX(0,N(INDEX(Charge!$O:$O,ROW())))),0)</f>
        <v>0</v>
      </c>
      <c r="D253">
        <f>IF(B253=1,IF(OR(p_Perimetre="Tous les projets",C253&lt;1),1,0),0)</f>
        <v>0</v>
      </c>
      <c r="E253">
        <f>IF(D253=1,MAX(0,N(INDEX(Charge!$M:$M,ROW()))),0)</f>
        <v>0</v>
      </c>
      <c r="F253" t="str">
        <f>IF(D253=1,IF(TRIM(INDEX(Charge!$A:$A,ROW()))="","(non renseigné)",TRIM(INDEX(Charge!$A:$A,ROW()))),"")</f>
        <v/>
      </c>
      <c r="G253" t="str">
        <f>IF(D253=1,TRIM(INDEX(Charge!$B:$B,ROW())),"")</f>
        <v/>
      </c>
      <c r="H253" t="str">
        <f>IF(D253=1,IF(TRIM(INDEX(Charge!$E:$E,ROW()))="","(non renseigné)",TRIM(INDEX(Charge!$E:$E,ROW()))),"")</f>
        <v/>
      </c>
      <c r="I253" s="165" t="str">
        <f>IF(AND(D253=1,ISNUMBER(INDEX(Charge!$N:$N,ROW()))),INDEX(Charge!$N:$N,ROW()),"")</f>
        <v/>
      </c>
      <c r="J253" s="165" t="str">
        <f>IF(I253="","",IF(AND(p_Repartition="Lissée jusqu'à la date de besoin",ISNUMBER(INDEX(Charge!$F:$F,ROW()))),IF(INDEX(Charge!$F:$F,ROW())&gt;=I253,INDEX(Charge!$F:$F,ROW()),I253),I253))</f>
        <v/>
      </c>
      <c r="K253" t="str">
        <f>IF(I253="","",NETWORKDAYS(I253,J253,Data!$K$4:$K$203))</f>
        <v/>
      </c>
      <c r="L253" t="str">
        <f>IF(D253=1,COUNTIFS($D$4:$D$503,1,$E$4:$E$503,"&gt;"&amp;E253)+COUNTIFS($D$4:$D253,1,$E$4:$E253,E253),"")</f>
        <v/>
      </c>
      <c r="M253">
        <f>IF(F253="",0,IF(COUNTIF($F$4:F253,F253)=1,1,0))</f>
        <v>0</v>
      </c>
      <c r="N253" t="str">
        <f>IF(M253=1,ROUND(SUMIF($F$4:$F$503,F253,$E$4:$E$503),2),"")</f>
        <v/>
      </c>
      <c r="O253" t="str">
        <f>IF(M253=1,COUNTIFS($M$4:$M$503,1,$N$4:$N$503,"&gt;"&amp;N253)+COUNTIFS($M$4:M253,1,$N$4:N253,N253),"")</f>
        <v/>
      </c>
      <c r="P253">
        <f>IF(G253="",0,IF(COUNTIF($G$4:G253,G253)=1,1,0))</f>
        <v>0</v>
      </c>
      <c r="Q253" t="str">
        <f>IF(P253=1,ROUND(SUMIF($G$4:$G$503,G253,$E$4:$E$503),2),"")</f>
        <v/>
      </c>
      <c r="R253" t="str">
        <f>IF(P253=1,COUNTIFS($P$4:$P$503,1,$Q$4:$Q$503,"&gt;"&amp;Q253)+COUNTIFS($P$4:P253,1,$Q$4:Q253,Q253),"")</f>
        <v/>
      </c>
      <c r="S253">
        <f>IF(H253="",0,IF(COUNTIF($H$4:H253,H253)=1,1,0))</f>
        <v>0</v>
      </c>
      <c r="T253" t="str">
        <f>IF(S253=1,ROUND(SUMIF($H$4:$H$503,H253,$E$4:$E$503),2),"")</f>
        <v/>
      </c>
      <c r="U253" t="str">
        <f>IF(S253=1,COUNTIFS($S$4:$S$503,1,$T$4:$T$503,"&gt;"&amp;T253)+COUNTIFS($S$4:S253,1,$T$4:T253,T253),"")</f>
        <v/>
      </c>
      <c r="V253" t="str">
        <f>IF(D253=1,MIN(INDEX($R$4:$R$503,MATCH(G253,$G$4:$G$503,0)),IF($AL$7&gt;9,9,999)),"")</f>
        <v/>
      </c>
      <c r="W253" s="166">
        <f>IF(OR($I253="",$E253=0),0,IF(OR($J253&lt;W$3,$I253&gt;W$2),0,IF($K253=0,IF(AND($I253&gt;=W$3,$I253&lt;=W$2),$E253,0),$E253*NETWORKDAYS(MAX($I253,W$3),MIN($J253,W$2),Data!$K$4:$K$203)/$K253)))</f>
        <v>0</v>
      </c>
      <c r="X253" s="166">
        <f>IF(OR($I253="",$E253=0),0,IF(OR($J253&lt;X$3,$I253&gt;X$2),0,IF($K253=0,IF(AND($I253&gt;=X$3,$I253&lt;=X$2),$E253,0),$E253*NETWORKDAYS(MAX($I253,X$3),MIN($J253,X$2),Data!$K$4:$K$203)/$K253)))</f>
        <v>0</v>
      </c>
      <c r="Y253" s="166">
        <f>IF(OR($I253="",$E253=0),0,IF(OR($J253&lt;Y$3,$I253&gt;Y$2),0,IF($K253=0,IF(AND($I253&gt;=Y$3,$I253&lt;=Y$2),$E253,0),$E253*NETWORKDAYS(MAX($I253,Y$3),MIN($J253,Y$2),Data!$K$4:$K$203)/$K253)))</f>
        <v>0</v>
      </c>
      <c r="Z253" s="166">
        <f>IF(OR($I253="",$E253=0),0,IF(OR($J253&lt;Z$3,$I253&gt;Z$2),0,IF($K253=0,IF(AND($I253&gt;=Z$3,$I253&lt;=Z$2),$E253,0),$E253*NETWORKDAYS(MAX($I253,Z$3),MIN($J253,Z$2),Data!$K$4:$K$203)/$K253)))</f>
        <v>0</v>
      </c>
      <c r="AA253" s="166">
        <f>IF(OR($I253="",$E253=0),0,IF(OR($J253&lt;AA$3,$I253&gt;AA$2),0,IF($K253=0,IF(AND($I253&gt;=AA$3,$I253&lt;=AA$2),$E253,0),$E253*NETWORKDAYS(MAX($I253,AA$3),MIN($J253,AA$2),Data!$K$4:$K$203)/$K253)))</f>
        <v>0</v>
      </c>
      <c r="AB253" s="166">
        <f>IF(OR($I253="",$E253=0),0,IF(OR($J253&lt;AB$3,$I253&gt;AB$2),0,IF($K253=0,IF(AND($I253&gt;=AB$3,$I253&lt;=AB$2),$E253,0),$E253*NETWORKDAYS(MAX($I253,AB$3),MIN($J253,AB$2),Data!$K$4:$K$203)/$K253)))</f>
        <v>0</v>
      </c>
      <c r="AC253" s="166">
        <f>IF(OR($I253="",$E253=0),0,IF(OR($J253&lt;AC$3,$I253&gt;AC$2),0,IF($K253=0,IF(AND($I253&gt;=AC$3,$I253&lt;=AC$2),$E253,0),$E253*NETWORKDAYS(MAX($I253,AC$3),MIN($J253,AC$2),Data!$K$4:$K$203)/$K253)))</f>
        <v>0</v>
      </c>
      <c r="AD253" s="166">
        <f>IF(OR($I253="",$E253=0),0,IF(OR($J253&lt;AD$3,$I253&gt;AD$2),0,IF($K253=0,IF(AND($I253&gt;=AD$3,$I253&lt;=AD$2),$E253,0),$E253*NETWORKDAYS(MAX($I253,AD$3),MIN($J253,AD$2),Data!$K$4:$K$203)/$K253)))</f>
        <v>0</v>
      </c>
      <c r="AE253" s="166">
        <f>IF(OR($I253="",$E253=0),0,IF(OR($J253&lt;AE$3,$I253&gt;AE$2),0,IF($K253=0,IF(AND($I253&gt;=AE$3,$I253&lt;=AE$2),$E253,0),$E253*NETWORKDAYS(MAX($I253,AE$3),MIN($J253,AE$2),Data!$K$4:$K$203)/$K253)))</f>
        <v>0</v>
      </c>
      <c r="AF253" s="166">
        <f>IF(OR($I253="",$E253=0),0,IF(OR($J253&lt;AF$3,$I253&gt;AF$2),0,IF($K253=0,IF(AND($I253&gt;=AF$3,$I253&lt;=AF$2),$E253,0),$E253*NETWORKDAYS(MAX($I253,AF$3),MIN($J253,AF$2),Data!$K$4:$K$203)/$K253)))</f>
        <v>0</v>
      </c>
      <c r="AG253" s="166">
        <f>IF(OR($I253="",$E253=0),0,IF(OR($J253&lt;AG$3,$I253&gt;AG$2),0,IF($K253=0,IF(AND($I253&gt;=AG$3,$I253&lt;=AG$2),$E253,0),$E253*NETWORKDAYS(MAX($I253,AG$3),MIN($J253,AG$2),Data!$K$4:$K$203)/$K253)))</f>
        <v>0</v>
      </c>
      <c r="AH253" s="166">
        <f>IF(OR($I253="",$E253=0),0,IF(OR($J253&lt;AH$3,$I253&gt;AH$2),0,IF($K253=0,IF(AND($I253&gt;=AH$3,$I253&lt;=AH$2),$E253,0),$E253*NETWORKDAYS(MAX($I253,AH$3),MIN($J253,AH$2),Data!$K$4:$K$203)/$K253)))</f>
        <v>0</v>
      </c>
      <c r="AI253" s="166">
        <f>SUM(W253:AH253)</f>
        <v>0</v>
      </c>
      <c r="BZ253" t="str">
        <f>IF(D253=1,IF(TRIM(INDEX(Charge!$K:$K,ROW()))&lt;&gt;"",TRIM(INDEX(Charge!$K:$K,ROW())),IF(TRIM(INDEX(Charge!$L:$L,ROW()))&lt;&gt;"",TRIM(INDEX(Charge!$L:$L,ROW())),"(non affecté)")),"")</f>
        <v/>
      </c>
      <c r="CA253" t="str">
        <f>IF(AND($CD$4&lt;&gt;"",BZ253=$CD$4),COUNTIFS($BZ$4:$BZ$503,$CD$4,$L$4:$L$503,"&lt;"&amp;L253)+1,"")</f>
        <v/>
      </c>
      <c r="EM253" t="str">
        <f>IF(D253=1,IF(TRIM(INDEX(Charge!$K:$K,ROW()))&lt;&gt;"","Interne",IF(TRIM(INDEX(Charge!$L:$L,ROW()))&lt;&gt;"","Externe","Non affecté")),"")</f>
        <v/>
      </c>
      <c r="EN253" t="str">
        <f>IF(D253=1,LEFT(SUBSTITUTE(SUBSTITUTE(SUBSTITUTE(TRIM(SUBSTITUTE(INDEX(Charge!$B:$B,ROW()),CHAR(160)," "))&amp;" | "&amp;TRIM(SUBSTITUTE(INDEX(Charge!$C:$C,ROW()),CHAR(160)," "))&amp;" | "&amp;TRIM(SUBSTITUTE(INDEX(Charge!$D:$D,ROW()),CHAR(160)," ")),"~","-"),"*","+"),"?","!"),240),"")</f>
        <v/>
      </c>
      <c r="EO253">
        <f>IF(EN253="",0,IF(COUNTIF($EN$4:EN253,EN253)=1,1,0))</f>
        <v>0</v>
      </c>
      <c r="EP253" s="166" t="str">
        <f>IF(EO253=1,ROUND(SUMIF($EN$4:$EN$503,EN253,$E$4:$E$503),2),"")</f>
        <v/>
      </c>
      <c r="EQ253" t="str">
        <f>IF(EO253=1,COUNTIFS($EO$4:$EO$503,1,$EP$4:$EP$503,"&gt;"&amp;EP253)+COUNTIFS($EO$4:EO253,1,$EP$4:EP253,EP253),"")</f>
        <v/>
      </c>
      <c r="ER253" t="str">
        <f>IF(EO253=1,COUNTIFS($EN$4:$EN$503,EN253,$EM$4:$EM$503,"Interne",$FE$4:$FE$503,1),"")</f>
        <v/>
      </c>
      <c r="ES253" t="str">
        <f>IF(EO253=1,COUNTIFS($EN$4:$EN$503,EN253,$EM$4:$EM$503,"Externe",$FE$4:$FE$503,1),"")</f>
        <v/>
      </c>
      <c r="ET253" t="str">
        <f>IF(EO253=1,IF(ER253+ES253=0,"à affecter",IF(ER253=0,ES253&amp;" ext.",(ER253+ES253)&amp;IF(ES253&gt;0," dont "&amp;ES253&amp;" ext.",""))&amp;IF(COUNTIFS($EN$4:$EN$503,EN253,$EM$4:$EM$503,"Non affecté")&gt;0," + à affecter","")),"")</f>
        <v/>
      </c>
      <c r="EU253" s="170" t="str">
        <f>IF(EO253=1,IF(EP253&gt;0,SUMPRODUCT(($EN$4:$EN$503=EN253)*$E$4:$E$503*$C$4:$C$503)/EP253,AVERAGEIF($EN$4:$EN$503,EN253,$C$4:$C$503)),"")</f>
        <v/>
      </c>
      <c r="EV253" s="165">
        <f>IF(ISNUMBER(I253),I253,2958465)</f>
        <v>2958465.0</v>
      </c>
      <c r="EW253" s="165" t="str">
        <f>IF(EO253=1,SUMPRODUCT(MIN(($EN$4:$EN$503=EN253)*$EV$4:$EV$503+($EN$4:$EN$503&lt;&gt;EN253)*2958465)),"")</f>
        <v/>
      </c>
      <c r="EX253" s="165">
        <f>IF(AND(D253=1,ISNUMBER(INDEX(Charge!$F:$F,ROW()))),INDEX(Charge!$F:$F,ROW()),0)</f>
        <v>0.0</v>
      </c>
      <c r="EY253" s="165" t="str">
        <f>IF(EO253=1,SUMPRODUCT(MAX(($EN$4:$EN$503=EN253)*$EX$4:$EX$503)),"")</f>
        <v/>
      </c>
      <c r="FA253" t="str">
        <f>IF(250&lt;=$CD$23,INDEX($EJ$4:$EJ$203,250),IF(250-$CD$23&lt;=$CD$26,INDEX($EK$4:$EK$203,250-$CD$23),""))</f>
        <v/>
      </c>
      <c r="FB253" t="str">
        <f>IF(FA253="","",IF(250&lt;=$CD$23,"Interne","Externe"))</f>
        <v/>
      </c>
      <c r="FD253">
        <f>IF(AND(B253=1,TRIM(INDEX(Charge!$K:$K,ROW()))&lt;&gt;"",TRIM(INDEX(Charge!$L:$L,ROW()))&lt;&gt;""),1,0)</f>
        <v>0</v>
      </c>
      <c r="FE253">
        <f>IF(OR(EN253="",BZ253="(non affecté)"),0,IF(COUNTIFS($EN$4:EN253,EN253,$BZ$4:BZ253,BZ253)=1,1,0))</f>
        <v>0</v>
      </c>
    </row>
    <row r="254">
      <c r="A254">
        <f>ROW()</f>
        <v>254</v>
      </c>
      <c r="B254">
        <f>IF(TRIM(INDEX(Charge!$B:$B,ROW()))&lt;&gt;"",1,0)</f>
        <v>0</v>
      </c>
      <c r="C254">
        <f>IF(B254=1,MIN(1,MAX(0,N(INDEX(Charge!$O:$O,ROW())))),0)</f>
        <v>0</v>
      </c>
      <c r="D254">
        <f>IF(B254=1,IF(OR(p_Perimetre="Tous les projets",C254&lt;1),1,0),0)</f>
        <v>0</v>
      </c>
      <c r="E254">
        <f>IF(D254=1,MAX(0,N(INDEX(Charge!$M:$M,ROW()))),0)</f>
        <v>0</v>
      </c>
      <c r="F254" t="str">
        <f>IF(D254=1,IF(TRIM(INDEX(Charge!$A:$A,ROW()))="","(non renseigné)",TRIM(INDEX(Charge!$A:$A,ROW()))),"")</f>
        <v/>
      </c>
      <c r="G254" t="str">
        <f>IF(D254=1,TRIM(INDEX(Charge!$B:$B,ROW())),"")</f>
        <v/>
      </c>
      <c r="H254" t="str">
        <f>IF(D254=1,IF(TRIM(INDEX(Charge!$E:$E,ROW()))="","(non renseigné)",TRIM(INDEX(Charge!$E:$E,ROW()))),"")</f>
        <v/>
      </c>
      <c r="I254" s="165" t="str">
        <f>IF(AND(D254=1,ISNUMBER(INDEX(Charge!$N:$N,ROW()))),INDEX(Charge!$N:$N,ROW()),"")</f>
        <v/>
      </c>
      <c r="J254" s="165" t="str">
        <f>IF(I254="","",IF(AND(p_Repartition="Lissée jusqu'à la date de besoin",ISNUMBER(INDEX(Charge!$F:$F,ROW()))),IF(INDEX(Charge!$F:$F,ROW())&gt;=I254,INDEX(Charge!$F:$F,ROW()),I254),I254))</f>
        <v/>
      </c>
      <c r="K254" t="str">
        <f>IF(I254="","",NETWORKDAYS(I254,J254,Data!$K$4:$K$203))</f>
        <v/>
      </c>
      <c r="L254" t="str">
        <f>IF(D254=1,COUNTIFS($D$4:$D$503,1,$E$4:$E$503,"&gt;"&amp;E254)+COUNTIFS($D$4:$D254,1,$E$4:$E254,E254),"")</f>
        <v/>
      </c>
      <c r="M254">
        <f>IF(F254="",0,IF(COUNTIF($F$4:F254,F254)=1,1,0))</f>
        <v>0</v>
      </c>
      <c r="N254" t="str">
        <f>IF(M254=1,ROUND(SUMIF($F$4:$F$503,F254,$E$4:$E$503),2),"")</f>
        <v/>
      </c>
      <c r="O254" t="str">
        <f>IF(M254=1,COUNTIFS($M$4:$M$503,1,$N$4:$N$503,"&gt;"&amp;N254)+COUNTIFS($M$4:M254,1,$N$4:N254,N254),"")</f>
        <v/>
      </c>
      <c r="P254">
        <f>IF(G254="",0,IF(COUNTIF($G$4:G254,G254)=1,1,0))</f>
        <v>0</v>
      </c>
      <c r="Q254" t="str">
        <f>IF(P254=1,ROUND(SUMIF($G$4:$G$503,G254,$E$4:$E$503),2),"")</f>
        <v/>
      </c>
      <c r="R254" t="str">
        <f>IF(P254=1,COUNTIFS($P$4:$P$503,1,$Q$4:$Q$503,"&gt;"&amp;Q254)+COUNTIFS($P$4:P254,1,$Q$4:Q254,Q254),"")</f>
        <v/>
      </c>
      <c r="S254">
        <f>IF(H254="",0,IF(COUNTIF($H$4:H254,H254)=1,1,0))</f>
        <v>0</v>
      </c>
      <c r="T254" t="str">
        <f>IF(S254=1,ROUND(SUMIF($H$4:$H$503,H254,$E$4:$E$503),2),"")</f>
        <v/>
      </c>
      <c r="U254" t="str">
        <f>IF(S254=1,COUNTIFS($S$4:$S$503,1,$T$4:$T$503,"&gt;"&amp;T254)+COUNTIFS($S$4:S254,1,$T$4:T254,T254),"")</f>
        <v/>
      </c>
      <c r="V254" t="str">
        <f>IF(D254=1,MIN(INDEX($R$4:$R$503,MATCH(G254,$G$4:$G$503,0)),IF($AL$7&gt;9,9,999)),"")</f>
        <v/>
      </c>
      <c r="W254" s="166">
        <f>IF(OR($I254="",$E254=0),0,IF(OR($J254&lt;W$3,$I254&gt;W$2),0,IF($K254=0,IF(AND($I254&gt;=W$3,$I254&lt;=W$2),$E254,0),$E254*NETWORKDAYS(MAX($I254,W$3),MIN($J254,W$2),Data!$K$4:$K$203)/$K254)))</f>
        <v>0</v>
      </c>
      <c r="X254" s="166">
        <f>IF(OR($I254="",$E254=0),0,IF(OR($J254&lt;X$3,$I254&gt;X$2),0,IF($K254=0,IF(AND($I254&gt;=X$3,$I254&lt;=X$2),$E254,0),$E254*NETWORKDAYS(MAX($I254,X$3),MIN($J254,X$2),Data!$K$4:$K$203)/$K254)))</f>
        <v>0</v>
      </c>
      <c r="Y254" s="166">
        <f>IF(OR($I254="",$E254=0),0,IF(OR($J254&lt;Y$3,$I254&gt;Y$2),0,IF($K254=0,IF(AND($I254&gt;=Y$3,$I254&lt;=Y$2),$E254,0),$E254*NETWORKDAYS(MAX($I254,Y$3),MIN($J254,Y$2),Data!$K$4:$K$203)/$K254)))</f>
        <v>0</v>
      </c>
      <c r="Z254" s="166">
        <f>IF(OR($I254="",$E254=0),0,IF(OR($J254&lt;Z$3,$I254&gt;Z$2),0,IF($K254=0,IF(AND($I254&gt;=Z$3,$I254&lt;=Z$2),$E254,0),$E254*NETWORKDAYS(MAX($I254,Z$3),MIN($J254,Z$2),Data!$K$4:$K$203)/$K254)))</f>
        <v>0</v>
      </c>
      <c r="AA254" s="166">
        <f>IF(OR($I254="",$E254=0),0,IF(OR($J254&lt;AA$3,$I254&gt;AA$2),0,IF($K254=0,IF(AND($I254&gt;=AA$3,$I254&lt;=AA$2),$E254,0),$E254*NETWORKDAYS(MAX($I254,AA$3),MIN($J254,AA$2),Data!$K$4:$K$203)/$K254)))</f>
        <v>0</v>
      </c>
      <c r="AB254" s="166">
        <f>IF(OR($I254="",$E254=0),0,IF(OR($J254&lt;AB$3,$I254&gt;AB$2),0,IF($K254=0,IF(AND($I254&gt;=AB$3,$I254&lt;=AB$2),$E254,0),$E254*NETWORKDAYS(MAX($I254,AB$3),MIN($J254,AB$2),Data!$K$4:$K$203)/$K254)))</f>
        <v>0</v>
      </c>
      <c r="AC254" s="166">
        <f>IF(OR($I254="",$E254=0),0,IF(OR($J254&lt;AC$3,$I254&gt;AC$2),0,IF($K254=0,IF(AND($I254&gt;=AC$3,$I254&lt;=AC$2),$E254,0),$E254*NETWORKDAYS(MAX($I254,AC$3),MIN($J254,AC$2),Data!$K$4:$K$203)/$K254)))</f>
        <v>0</v>
      </c>
      <c r="AD254" s="166">
        <f>IF(OR($I254="",$E254=0),0,IF(OR($J254&lt;AD$3,$I254&gt;AD$2),0,IF($K254=0,IF(AND($I254&gt;=AD$3,$I254&lt;=AD$2),$E254,0),$E254*NETWORKDAYS(MAX($I254,AD$3),MIN($J254,AD$2),Data!$K$4:$K$203)/$K254)))</f>
        <v>0</v>
      </c>
      <c r="AE254" s="166">
        <f>IF(OR($I254="",$E254=0),0,IF(OR($J254&lt;AE$3,$I254&gt;AE$2),0,IF($K254=0,IF(AND($I254&gt;=AE$3,$I254&lt;=AE$2),$E254,0),$E254*NETWORKDAYS(MAX($I254,AE$3),MIN($J254,AE$2),Data!$K$4:$K$203)/$K254)))</f>
        <v>0</v>
      </c>
      <c r="AF254" s="166">
        <f>IF(OR($I254="",$E254=0),0,IF(OR($J254&lt;AF$3,$I254&gt;AF$2),0,IF($K254=0,IF(AND($I254&gt;=AF$3,$I254&lt;=AF$2),$E254,0),$E254*NETWORKDAYS(MAX($I254,AF$3),MIN($J254,AF$2),Data!$K$4:$K$203)/$K254)))</f>
        <v>0</v>
      </c>
      <c r="AG254" s="166">
        <f>IF(OR($I254="",$E254=0),0,IF(OR($J254&lt;AG$3,$I254&gt;AG$2),0,IF($K254=0,IF(AND($I254&gt;=AG$3,$I254&lt;=AG$2),$E254,0),$E254*NETWORKDAYS(MAX($I254,AG$3),MIN($J254,AG$2),Data!$K$4:$K$203)/$K254)))</f>
        <v>0</v>
      </c>
      <c r="AH254" s="166">
        <f>IF(OR($I254="",$E254=0),0,IF(OR($J254&lt;AH$3,$I254&gt;AH$2),0,IF($K254=0,IF(AND($I254&gt;=AH$3,$I254&lt;=AH$2),$E254,0),$E254*NETWORKDAYS(MAX($I254,AH$3),MIN($J254,AH$2),Data!$K$4:$K$203)/$K254)))</f>
        <v>0</v>
      </c>
      <c r="AI254" s="166">
        <f>SUM(W254:AH254)</f>
        <v>0</v>
      </c>
      <c r="BZ254" t="str">
        <f>IF(D254=1,IF(TRIM(INDEX(Charge!$K:$K,ROW()))&lt;&gt;"",TRIM(INDEX(Charge!$K:$K,ROW())),IF(TRIM(INDEX(Charge!$L:$L,ROW()))&lt;&gt;"",TRIM(INDEX(Charge!$L:$L,ROW())),"(non affecté)")),"")</f>
        <v/>
      </c>
      <c r="CA254" t="str">
        <f>IF(AND($CD$4&lt;&gt;"",BZ254=$CD$4),COUNTIFS($BZ$4:$BZ$503,$CD$4,$L$4:$L$503,"&lt;"&amp;L254)+1,"")</f>
        <v/>
      </c>
      <c r="EM254" t="str">
        <f>IF(D254=1,IF(TRIM(INDEX(Charge!$K:$K,ROW()))&lt;&gt;"","Interne",IF(TRIM(INDEX(Charge!$L:$L,ROW()))&lt;&gt;"","Externe","Non affecté")),"")</f>
        <v/>
      </c>
      <c r="EN254" t="str">
        <f>IF(D254=1,LEFT(SUBSTITUTE(SUBSTITUTE(SUBSTITUTE(TRIM(SUBSTITUTE(INDEX(Charge!$B:$B,ROW()),CHAR(160)," "))&amp;" | "&amp;TRIM(SUBSTITUTE(INDEX(Charge!$C:$C,ROW()),CHAR(160)," "))&amp;" | "&amp;TRIM(SUBSTITUTE(INDEX(Charge!$D:$D,ROW()),CHAR(160)," ")),"~","-"),"*","+"),"?","!"),240),"")</f>
        <v/>
      </c>
      <c r="EO254">
        <f>IF(EN254="",0,IF(COUNTIF($EN$4:EN254,EN254)=1,1,0))</f>
        <v>0</v>
      </c>
      <c r="EP254" s="166" t="str">
        <f>IF(EO254=1,ROUND(SUMIF($EN$4:$EN$503,EN254,$E$4:$E$503),2),"")</f>
        <v/>
      </c>
      <c r="EQ254" t="str">
        <f>IF(EO254=1,COUNTIFS($EO$4:$EO$503,1,$EP$4:$EP$503,"&gt;"&amp;EP254)+COUNTIFS($EO$4:EO254,1,$EP$4:EP254,EP254),"")</f>
        <v/>
      </c>
      <c r="ER254" t="str">
        <f>IF(EO254=1,COUNTIFS($EN$4:$EN$503,EN254,$EM$4:$EM$503,"Interne",$FE$4:$FE$503,1),"")</f>
        <v/>
      </c>
      <c r="ES254" t="str">
        <f>IF(EO254=1,COUNTIFS($EN$4:$EN$503,EN254,$EM$4:$EM$503,"Externe",$FE$4:$FE$503,1),"")</f>
        <v/>
      </c>
      <c r="ET254" t="str">
        <f>IF(EO254=1,IF(ER254+ES254=0,"à affecter",IF(ER254=0,ES254&amp;" ext.",(ER254+ES254)&amp;IF(ES254&gt;0," dont "&amp;ES254&amp;" ext.",""))&amp;IF(COUNTIFS($EN$4:$EN$503,EN254,$EM$4:$EM$503,"Non affecté")&gt;0," + à affecter","")),"")</f>
        <v/>
      </c>
      <c r="EU254" s="170" t="str">
        <f>IF(EO254=1,IF(EP254&gt;0,SUMPRODUCT(($EN$4:$EN$503=EN254)*$E$4:$E$503*$C$4:$C$503)/EP254,AVERAGEIF($EN$4:$EN$503,EN254,$C$4:$C$503)),"")</f>
        <v/>
      </c>
      <c r="EV254" s="165">
        <f>IF(ISNUMBER(I254),I254,2958465)</f>
        <v>2958465.0</v>
      </c>
      <c r="EW254" s="165" t="str">
        <f>IF(EO254=1,SUMPRODUCT(MIN(($EN$4:$EN$503=EN254)*$EV$4:$EV$503+($EN$4:$EN$503&lt;&gt;EN254)*2958465)),"")</f>
        <v/>
      </c>
      <c r="EX254" s="165">
        <f>IF(AND(D254=1,ISNUMBER(INDEX(Charge!$F:$F,ROW()))),INDEX(Charge!$F:$F,ROW()),0)</f>
        <v>0.0</v>
      </c>
      <c r="EY254" s="165" t="str">
        <f>IF(EO254=1,SUMPRODUCT(MAX(($EN$4:$EN$503=EN254)*$EX$4:$EX$503)),"")</f>
        <v/>
      </c>
      <c r="FA254" t="str">
        <f>IF(251&lt;=$CD$23,INDEX($EJ$4:$EJ$203,251),IF(251-$CD$23&lt;=$CD$26,INDEX($EK$4:$EK$203,251-$CD$23),""))</f>
        <v/>
      </c>
      <c r="FB254" t="str">
        <f>IF(FA254="","",IF(251&lt;=$CD$23,"Interne","Externe"))</f>
        <v/>
      </c>
      <c r="FD254">
        <f>IF(AND(B254=1,TRIM(INDEX(Charge!$K:$K,ROW()))&lt;&gt;"",TRIM(INDEX(Charge!$L:$L,ROW()))&lt;&gt;""),1,0)</f>
        <v>0</v>
      </c>
      <c r="FE254">
        <f>IF(OR(EN254="",BZ254="(non affecté)"),0,IF(COUNTIFS($EN$4:EN254,EN254,$BZ$4:BZ254,BZ254)=1,1,0))</f>
        <v>0</v>
      </c>
    </row>
    <row r="255">
      <c r="A255">
        <f>ROW()</f>
        <v>255</v>
      </c>
      <c r="B255">
        <f>IF(TRIM(INDEX(Charge!$B:$B,ROW()))&lt;&gt;"",1,0)</f>
        <v>0</v>
      </c>
      <c r="C255">
        <f>IF(B255=1,MIN(1,MAX(0,N(INDEX(Charge!$O:$O,ROW())))),0)</f>
        <v>0</v>
      </c>
      <c r="D255">
        <f>IF(B255=1,IF(OR(p_Perimetre="Tous les projets",C255&lt;1),1,0),0)</f>
        <v>0</v>
      </c>
      <c r="E255">
        <f>IF(D255=1,MAX(0,N(INDEX(Charge!$M:$M,ROW()))),0)</f>
        <v>0</v>
      </c>
      <c r="F255" t="str">
        <f>IF(D255=1,IF(TRIM(INDEX(Charge!$A:$A,ROW()))="","(non renseigné)",TRIM(INDEX(Charge!$A:$A,ROW()))),"")</f>
        <v/>
      </c>
      <c r="G255" t="str">
        <f>IF(D255=1,TRIM(INDEX(Charge!$B:$B,ROW())),"")</f>
        <v/>
      </c>
      <c r="H255" t="str">
        <f>IF(D255=1,IF(TRIM(INDEX(Charge!$E:$E,ROW()))="","(non renseigné)",TRIM(INDEX(Charge!$E:$E,ROW()))),"")</f>
        <v/>
      </c>
      <c r="I255" s="165" t="str">
        <f>IF(AND(D255=1,ISNUMBER(INDEX(Charge!$N:$N,ROW()))),INDEX(Charge!$N:$N,ROW()),"")</f>
        <v/>
      </c>
      <c r="J255" s="165" t="str">
        <f>IF(I255="","",IF(AND(p_Repartition="Lissée jusqu'à la date de besoin",ISNUMBER(INDEX(Charge!$F:$F,ROW()))),IF(INDEX(Charge!$F:$F,ROW())&gt;=I255,INDEX(Charge!$F:$F,ROW()),I255),I255))</f>
        <v/>
      </c>
      <c r="K255" t="str">
        <f>IF(I255="","",NETWORKDAYS(I255,J255,Data!$K$4:$K$203))</f>
        <v/>
      </c>
      <c r="L255" t="str">
        <f>IF(D255=1,COUNTIFS($D$4:$D$503,1,$E$4:$E$503,"&gt;"&amp;E255)+COUNTIFS($D$4:$D255,1,$E$4:$E255,E255),"")</f>
        <v/>
      </c>
      <c r="M255">
        <f>IF(F255="",0,IF(COUNTIF($F$4:F255,F255)=1,1,0))</f>
        <v>0</v>
      </c>
      <c r="N255" t="str">
        <f>IF(M255=1,ROUND(SUMIF($F$4:$F$503,F255,$E$4:$E$503),2),"")</f>
        <v/>
      </c>
      <c r="O255" t="str">
        <f>IF(M255=1,COUNTIFS($M$4:$M$503,1,$N$4:$N$503,"&gt;"&amp;N255)+COUNTIFS($M$4:M255,1,$N$4:N255,N255),"")</f>
        <v/>
      </c>
      <c r="P255">
        <f>IF(G255="",0,IF(COUNTIF($G$4:G255,G255)=1,1,0))</f>
        <v>0</v>
      </c>
      <c r="Q255" t="str">
        <f>IF(P255=1,ROUND(SUMIF($G$4:$G$503,G255,$E$4:$E$503),2),"")</f>
        <v/>
      </c>
      <c r="R255" t="str">
        <f>IF(P255=1,COUNTIFS($P$4:$P$503,1,$Q$4:$Q$503,"&gt;"&amp;Q255)+COUNTIFS($P$4:P255,1,$Q$4:Q255,Q255),"")</f>
        <v/>
      </c>
      <c r="S255">
        <f>IF(H255="",0,IF(COUNTIF($H$4:H255,H255)=1,1,0))</f>
        <v>0</v>
      </c>
      <c r="T255" t="str">
        <f>IF(S255=1,ROUND(SUMIF($H$4:$H$503,H255,$E$4:$E$503),2),"")</f>
        <v/>
      </c>
      <c r="U255" t="str">
        <f>IF(S255=1,COUNTIFS($S$4:$S$503,1,$T$4:$T$503,"&gt;"&amp;T255)+COUNTIFS($S$4:S255,1,$T$4:T255,T255),"")</f>
        <v/>
      </c>
      <c r="V255" t="str">
        <f>IF(D255=1,MIN(INDEX($R$4:$R$503,MATCH(G255,$G$4:$G$503,0)),IF($AL$7&gt;9,9,999)),"")</f>
        <v/>
      </c>
      <c r="W255" s="166">
        <f>IF(OR($I255="",$E255=0),0,IF(OR($J255&lt;W$3,$I255&gt;W$2),0,IF($K255=0,IF(AND($I255&gt;=W$3,$I255&lt;=W$2),$E255,0),$E255*NETWORKDAYS(MAX($I255,W$3),MIN($J255,W$2),Data!$K$4:$K$203)/$K255)))</f>
        <v>0</v>
      </c>
      <c r="X255" s="166">
        <f>IF(OR($I255="",$E255=0),0,IF(OR($J255&lt;X$3,$I255&gt;X$2),0,IF($K255=0,IF(AND($I255&gt;=X$3,$I255&lt;=X$2),$E255,0),$E255*NETWORKDAYS(MAX($I255,X$3),MIN($J255,X$2),Data!$K$4:$K$203)/$K255)))</f>
        <v>0</v>
      </c>
      <c r="Y255" s="166">
        <f>IF(OR($I255="",$E255=0),0,IF(OR($J255&lt;Y$3,$I255&gt;Y$2),0,IF($K255=0,IF(AND($I255&gt;=Y$3,$I255&lt;=Y$2),$E255,0),$E255*NETWORKDAYS(MAX($I255,Y$3),MIN($J255,Y$2),Data!$K$4:$K$203)/$K255)))</f>
        <v>0</v>
      </c>
      <c r="Z255" s="166">
        <f>IF(OR($I255="",$E255=0),0,IF(OR($J255&lt;Z$3,$I255&gt;Z$2),0,IF($K255=0,IF(AND($I255&gt;=Z$3,$I255&lt;=Z$2),$E255,0),$E255*NETWORKDAYS(MAX($I255,Z$3),MIN($J255,Z$2),Data!$K$4:$K$203)/$K255)))</f>
        <v>0</v>
      </c>
      <c r="AA255" s="166">
        <f>IF(OR($I255="",$E255=0),0,IF(OR($J255&lt;AA$3,$I255&gt;AA$2),0,IF($K255=0,IF(AND($I255&gt;=AA$3,$I255&lt;=AA$2),$E255,0),$E255*NETWORKDAYS(MAX($I255,AA$3),MIN($J255,AA$2),Data!$K$4:$K$203)/$K255)))</f>
        <v>0</v>
      </c>
      <c r="AB255" s="166">
        <f>IF(OR($I255="",$E255=0),0,IF(OR($J255&lt;AB$3,$I255&gt;AB$2),0,IF($K255=0,IF(AND($I255&gt;=AB$3,$I255&lt;=AB$2),$E255,0),$E255*NETWORKDAYS(MAX($I255,AB$3),MIN($J255,AB$2),Data!$K$4:$K$203)/$K255)))</f>
        <v>0</v>
      </c>
      <c r="AC255" s="166">
        <f>IF(OR($I255="",$E255=0),0,IF(OR($J255&lt;AC$3,$I255&gt;AC$2),0,IF($K255=0,IF(AND($I255&gt;=AC$3,$I255&lt;=AC$2),$E255,0),$E255*NETWORKDAYS(MAX($I255,AC$3),MIN($J255,AC$2),Data!$K$4:$K$203)/$K255)))</f>
        <v>0</v>
      </c>
      <c r="AD255" s="166">
        <f>IF(OR($I255="",$E255=0),0,IF(OR($J255&lt;AD$3,$I255&gt;AD$2),0,IF($K255=0,IF(AND($I255&gt;=AD$3,$I255&lt;=AD$2),$E255,0),$E255*NETWORKDAYS(MAX($I255,AD$3),MIN($J255,AD$2),Data!$K$4:$K$203)/$K255)))</f>
        <v>0</v>
      </c>
      <c r="AE255" s="166">
        <f>IF(OR($I255="",$E255=0),0,IF(OR($J255&lt;AE$3,$I255&gt;AE$2),0,IF($K255=0,IF(AND($I255&gt;=AE$3,$I255&lt;=AE$2),$E255,0),$E255*NETWORKDAYS(MAX($I255,AE$3),MIN($J255,AE$2),Data!$K$4:$K$203)/$K255)))</f>
        <v>0</v>
      </c>
      <c r="AF255" s="166">
        <f>IF(OR($I255="",$E255=0),0,IF(OR($J255&lt;AF$3,$I255&gt;AF$2),0,IF($K255=0,IF(AND($I255&gt;=AF$3,$I255&lt;=AF$2),$E255,0),$E255*NETWORKDAYS(MAX($I255,AF$3),MIN($J255,AF$2),Data!$K$4:$K$203)/$K255)))</f>
        <v>0</v>
      </c>
      <c r="AG255" s="166">
        <f>IF(OR($I255="",$E255=0),0,IF(OR($J255&lt;AG$3,$I255&gt;AG$2),0,IF($K255=0,IF(AND($I255&gt;=AG$3,$I255&lt;=AG$2),$E255,0),$E255*NETWORKDAYS(MAX($I255,AG$3),MIN($J255,AG$2),Data!$K$4:$K$203)/$K255)))</f>
        <v>0</v>
      </c>
      <c r="AH255" s="166">
        <f>IF(OR($I255="",$E255=0),0,IF(OR($J255&lt;AH$3,$I255&gt;AH$2),0,IF($K255=0,IF(AND($I255&gt;=AH$3,$I255&lt;=AH$2),$E255,0),$E255*NETWORKDAYS(MAX($I255,AH$3),MIN($J255,AH$2),Data!$K$4:$K$203)/$K255)))</f>
        <v>0</v>
      </c>
      <c r="AI255" s="166">
        <f>SUM(W255:AH255)</f>
        <v>0</v>
      </c>
      <c r="BZ255" t="str">
        <f>IF(D255=1,IF(TRIM(INDEX(Charge!$K:$K,ROW()))&lt;&gt;"",TRIM(INDEX(Charge!$K:$K,ROW())),IF(TRIM(INDEX(Charge!$L:$L,ROW()))&lt;&gt;"",TRIM(INDEX(Charge!$L:$L,ROW())),"(non affecté)")),"")</f>
        <v/>
      </c>
      <c r="CA255" t="str">
        <f>IF(AND($CD$4&lt;&gt;"",BZ255=$CD$4),COUNTIFS($BZ$4:$BZ$503,$CD$4,$L$4:$L$503,"&lt;"&amp;L255)+1,"")</f>
        <v/>
      </c>
      <c r="EM255" t="str">
        <f>IF(D255=1,IF(TRIM(INDEX(Charge!$K:$K,ROW()))&lt;&gt;"","Interne",IF(TRIM(INDEX(Charge!$L:$L,ROW()))&lt;&gt;"","Externe","Non affecté")),"")</f>
        <v/>
      </c>
      <c r="EN255" t="str">
        <f>IF(D255=1,LEFT(SUBSTITUTE(SUBSTITUTE(SUBSTITUTE(TRIM(SUBSTITUTE(INDEX(Charge!$B:$B,ROW()),CHAR(160)," "))&amp;" | "&amp;TRIM(SUBSTITUTE(INDEX(Charge!$C:$C,ROW()),CHAR(160)," "))&amp;" | "&amp;TRIM(SUBSTITUTE(INDEX(Charge!$D:$D,ROW()),CHAR(160)," ")),"~","-"),"*","+"),"?","!"),240),"")</f>
        <v/>
      </c>
      <c r="EO255">
        <f>IF(EN255="",0,IF(COUNTIF($EN$4:EN255,EN255)=1,1,0))</f>
        <v>0</v>
      </c>
      <c r="EP255" s="166" t="str">
        <f>IF(EO255=1,ROUND(SUMIF($EN$4:$EN$503,EN255,$E$4:$E$503),2),"")</f>
        <v/>
      </c>
      <c r="EQ255" t="str">
        <f>IF(EO255=1,COUNTIFS($EO$4:$EO$503,1,$EP$4:$EP$503,"&gt;"&amp;EP255)+COUNTIFS($EO$4:EO255,1,$EP$4:EP255,EP255),"")</f>
        <v/>
      </c>
      <c r="ER255" t="str">
        <f>IF(EO255=1,COUNTIFS($EN$4:$EN$503,EN255,$EM$4:$EM$503,"Interne",$FE$4:$FE$503,1),"")</f>
        <v/>
      </c>
      <c r="ES255" t="str">
        <f>IF(EO255=1,COUNTIFS($EN$4:$EN$503,EN255,$EM$4:$EM$503,"Externe",$FE$4:$FE$503,1),"")</f>
        <v/>
      </c>
      <c r="ET255" t="str">
        <f>IF(EO255=1,IF(ER255+ES255=0,"à affecter",IF(ER255=0,ES255&amp;" ext.",(ER255+ES255)&amp;IF(ES255&gt;0," dont "&amp;ES255&amp;" ext.",""))&amp;IF(COUNTIFS($EN$4:$EN$503,EN255,$EM$4:$EM$503,"Non affecté")&gt;0," + à affecter","")),"")</f>
        <v/>
      </c>
      <c r="EU255" s="170" t="str">
        <f>IF(EO255=1,IF(EP255&gt;0,SUMPRODUCT(($EN$4:$EN$503=EN255)*$E$4:$E$503*$C$4:$C$503)/EP255,AVERAGEIF($EN$4:$EN$503,EN255,$C$4:$C$503)),"")</f>
        <v/>
      </c>
      <c r="EV255" s="165">
        <f>IF(ISNUMBER(I255),I255,2958465)</f>
        <v>2958465.0</v>
      </c>
      <c r="EW255" s="165" t="str">
        <f>IF(EO255=1,SUMPRODUCT(MIN(($EN$4:$EN$503=EN255)*$EV$4:$EV$503+($EN$4:$EN$503&lt;&gt;EN255)*2958465)),"")</f>
        <v/>
      </c>
      <c r="EX255" s="165">
        <f>IF(AND(D255=1,ISNUMBER(INDEX(Charge!$F:$F,ROW()))),INDEX(Charge!$F:$F,ROW()),0)</f>
        <v>0.0</v>
      </c>
      <c r="EY255" s="165" t="str">
        <f>IF(EO255=1,SUMPRODUCT(MAX(($EN$4:$EN$503=EN255)*$EX$4:$EX$503)),"")</f>
        <v/>
      </c>
      <c r="FA255" t="str">
        <f>IF(252&lt;=$CD$23,INDEX($EJ$4:$EJ$203,252),IF(252-$CD$23&lt;=$CD$26,INDEX($EK$4:$EK$203,252-$CD$23),""))</f>
        <v/>
      </c>
      <c r="FB255" t="str">
        <f>IF(FA255="","",IF(252&lt;=$CD$23,"Interne","Externe"))</f>
        <v/>
      </c>
      <c r="FD255">
        <f>IF(AND(B255=1,TRIM(INDEX(Charge!$K:$K,ROW()))&lt;&gt;"",TRIM(INDEX(Charge!$L:$L,ROW()))&lt;&gt;""),1,0)</f>
        <v>0</v>
      </c>
      <c r="FE255">
        <f>IF(OR(EN255="",BZ255="(non affecté)"),0,IF(COUNTIFS($EN$4:EN255,EN255,$BZ$4:BZ255,BZ255)=1,1,0))</f>
        <v>0</v>
      </c>
    </row>
    <row r="256">
      <c r="A256">
        <f>ROW()</f>
        <v>256</v>
      </c>
      <c r="B256">
        <f>IF(TRIM(INDEX(Charge!$B:$B,ROW()))&lt;&gt;"",1,0)</f>
        <v>0</v>
      </c>
      <c r="C256">
        <f>IF(B256=1,MIN(1,MAX(0,N(INDEX(Charge!$O:$O,ROW())))),0)</f>
        <v>0</v>
      </c>
      <c r="D256">
        <f>IF(B256=1,IF(OR(p_Perimetre="Tous les projets",C256&lt;1),1,0),0)</f>
        <v>0</v>
      </c>
      <c r="E256">
        <f>IF(D256=1,MAX(0,N(INDEX(Charge!$M:$M,ROW()))),0)</f>
        <v>0</v>
      </c>
      <c r="F256" t="str">
        <f>IF(D256=1,IF(TRIM(INDEX(Charge!$A:$A,ROW()))="","(non renseigné)",TRIM(INDEX(Charge!$A:$A,ROW()))),"")</f>
        <v/>
      </c>
      <c r="G256" t="str">
        <f>IF(D256=1,TRIM(INDEX(Charge!$B:$B,ROW())),"")</f>
        <v/>
      </c>
      <c r="H256" t="str">
        <f>IF(D256=1,IF(TRIM(INDEX(Charge!$E:$E,ROW()))="","(non renseigné)",TRIM(INDEX(Charge!$E:$E,ROW()))),"")</f>
        <v/>
      </c>
      <c r="I256" s="165" t="str">
        <f>IF(AND(D256=1,ISNUMBER(INDEX(Charge!$N:$N,ROW()))),INDEX(Charge!$N:$N,ROW()),"")</f>
        <v/>
      </c>
      <c r="J256" s="165" t="str">
        <f>IF(I256="","",IF(AND(p_Repartition="Lissée jusqu'à la date de besoin",ISNUMBER(INDEX(Charge!$F:$F,ROW()))),IF(INDEX(Charge!$F:$F,ROW())&gt;=I256,INDEX(Charge!$F:$F,ROW()),I256),I256))</f>
        <v/>
      </c>
      <c r="K256" t="str">
        <f>IF(I256="","",NETWORKDAYS(I256,J256,Data!$K$4:$K$203))</f>
        <v/>
      </c>
      <c r="L256" t="str">
        <f>IF(D256=1,COUNTIFS($D$4:$D$503,1,$E$4:$E$503,"&gt;"&amp;E256)+COUNTIFS($D$4:$D256,1,$E$4:$E256,E256),"")</f>
        <v/>
      </c>
      <c r="M256">
        <f>IF(F256="",0,IF(COUNTIF($F$4:F256,F256)=1,1,0))</f>
        <v>0</v>
      </c>
      <c r="N256" t="str">
        <f>IF(M256=1,ROUND(SUMIF($F$4:$F$503,F256,$E$4:$E$503),2),"")</f>
        <v/>
      </c>
      <c r="O256" t="str">
        <f>IF(M256=1,COUNTIFS($M$4:$M$503,1,$N$4:$N$503,"&gt;"&amp;N256)+COUNTIFS($M$4:M256,1,$N$4:N256,N256),"")</f>
        <v/>
      </c>
      <c r="P256">
        <f>IF(G256="",0,IF(COUNTIF($G$4:G256,G256)=1,1,0))</f>
        <v>0</v>
      </c>
      <c r="Q256" t="str">
        <f>IF(P256=1,ROUND(SUMIF($G$4:$G$503,G256,$E$4:$E$503),2),"")</f>
        <v/>
      </c>
      <c r="R256" t="str">
        <f>IF(P256=1,COUNTIFS($P$4:$P$503,1,$Q$4:$Q$503,"&gt;"&amp;Q256)+COUNTIFS($P$4:P256,1,$Q$4:Q256,Q256),"")</f>
        <v/>
      </c>
      <c r="S256">
        <f>IF(H256="",0,IF(COUNTIF($H$4:H256,H256)=1,1,0))</f>
        <v>0</v>
      </c>
      <c r="T256" t="str">
        <f>IF(S256=1,ROUND(SUMIF($H$4:$H$503,H256,$E$4:$E$503),2),"")</f>
        <v/>
      </c>
      <c r="U256" t="str">
        <f>IF(S256=1,COUNTIFS($S$4:$S$503,1,$T$4:$T$503,"&gt;"&amp;T256)+COUNTIFS($S$4:S256,1,$T$4:T256,T256),"")</f>
        <v/>
      </c>
      <c r="V256" t="str">
        <f>IF(D256=1,MIN(INDEX($R$4:$R$503,MATCH(G256,$G$4:$G$503,0)),IF($AL$7&gt;9,9,999)),"")</f>
        <v/>
      </c>
      <c r="W256" s="166">
        <f>IF(OR($I256="",$E256=0),0,IF(OR($J256&lt;W$3,$I256&gt;W$2),0,IF($K256=0,IF(AND($I256&gt;=W$3,$I256&lt;=W$2),$E256,0),$E256*NETWORKDAYS(MAX($I256,W$3),MIN($J256,W$2),Data!$K$4:$K$203)/$K256)))</f>
        <v>0</v>
      </c>
      <c r="X256" s="166">
        <f>IF(OR($I256="",$E256=0),0,IF(OR($J256&lt;X$3,$I256&gt;X$2),0,IF($K256=0,IF(AND($I256&gt;=X$3,$I256&lt;=X$2),$E256,0),$E256*NETWORKDAYS(MAX($I256,X$3),MIN($J256,X$2),Data!$K$4:$K$203)/$K256)))</f>
        <v>0</v>
      </c>
      <c r="Y256" s="166">
        <f>IF(OR($I256="",$E256=0),0,IF(OR($J256&lt;Y$3,$I256&gt;Y$2),0,IF($K256=0,IF(AND($I256&gt;=Y$3,$I256&lt;=Y$2),$E256,0),$E256*NETWORKDAYS(MAX($I256,Y$3),MIN($J256,Y$2),Data!$K$4:$K$203)/$K256)))</f>
        <v>0</v>
      </c>
      <c r="Z256" s="166">
        <f>IF(OR($I256="",$E256=0),0,IF(OR($J256&lt;Z$3,$I256&gt;Z$2),0,IF($K256=0,IF(AND($I256&gt;=Z$3,$I256&lt;=Z$2),$E256,0),$E256*NETWORKDAYS(MAX($I256,Z$3),MIN($J256,Z$2),Data!$K$4:$K$203)/$K256)))</f>
        <v>0</v>
      </c>
      <c r="AA256" s="166">
        <f>IF(OR($I256="",$E256=0),0,IF(OR($J256&lt;AA$3,$I256&gt;AA$2),0,IF($K256=0,IF(AND($I256&gt;=AA$3,$I256&lt;=AA$2),$E256,0),$E256*NETWORKDAYS(MAX($I256,AA$3),MIN($J256,AA$2),Data!$K$4:$K$203)/$K256)))</f>
        <v>0</v>
      </c>
      <c r="AB256" s="166">
        <f>IF(OR($I256="",$E256=0),0,IF(OR($J256&lt;AB$3,$I256&gt;AB$2),0,IF($K256=0,IF(AND($I256&gt;=AB$3,$I256&lt;=AB$2),$E256,0),$E256*NETWORKDAYS(MAX($I256,AB$3),MIN($J256,AB$2),Data!$K$4:$K$203)/$K256)))</f>
        <v>0</v>
      </c>
      <c r="AC256" s="166">
        <f>IF(OR($I256="",$E256=0),0,IF(OR($J256&lt;AC$3,$I256&gt;AC$2),0,IF($K256=0,IF(AND($I256&gt;=AC$3,$I256&lt;=AC$2),$E256,0),$E256*NETWORKDAYS(MAX($I256,AC$3),MIN($J256,AC$2),Data!$K$4:$K$203)/$K256)))</f>
        <v>0</v>
      </c>
      <c r="AD256" s="166">
        <f>IF(OR($I256="",$E256=0),0,IF(OR($J256&lt;AD$3,$I256&gt;AD$2),0,IF($K256=0,IF(AND($I256&gt;=AD$3,$I256&lt;=AD$2),$E256,0),$E256*NETWORKDAYS(MAX($I256,AD$3),MIN($J256,AD$2),Data!$K$4:$K$203)/$K256)))</f>
        <v>0</v>
      </c>
      <c r="AE256" s="166">
        <f>IF(OR($I256="",$E256=0),0,IF(OR($J256&lt;AE$3,$I256&gt;AE$2),0,IF($K256=0,IF(AND($I256&gt;=AE$3,$I256&lt;=AE$2),$E256,0),$E256*NETWORKDAYS(MAX($I256,AE$3),MIN($J256,AE$2),Data!$K$4:$K$203)/$K256)))</f>
        <v>0</v>
      </c>
      <c r="AF256" s="166">
        <f>IF(OR($I256="",$E256=0),0,IF(OR($J256&lt;AF$3,$I256&gt;AF$2),0,IF($K256=0,IF(AND($I256&gt;=AF$3,$I256&lt;=AF$2),$E256,0),$E256*NETWORKDAYS(MAX($I256,AF$3),MIN($J256,AF$2),Data!$K$4:$K$203)/$K256)))</f>
        <v>0</v>
      </c>
      <c r="AG256" s="166">
        <f>IF(OR($I256="",$E256=0),0,IF(OR($J256&lt;AG$3,$I256&gt;AG$2),0,IF($K256=0,IF(AND($I256&gt;=AG$3,$I256&lt;=AG$2),$E256,0),$E256*NETWORKDAYS(MAX($I256,AG$3),MIN($J256,AG$2),Data!$K$4:$K$203)/$K256)))</f>
        <v>0</v>
      </c>
      <c r="AH256" s="166">
        <f>IF(OR($I256="",$E256=0),0,IF(OR($J256&lt;AH$3,$I256&gt;AH$2),0,IF($K256=0,IF(AND($I256&gt;=AH$3,$I256&lt;=AH$2),$E256,0),$E256*NETWORKDAYS(MAX($I256,AH$3),MIN($J256,AH$2),Data!$K$4:$K$203)/$K256)))</f>
        <v>0</v>
      </c>
      <c r="AI256" s="166">
        <f>SUM(W256:AH256)</f>
        <v>0</v>
      </c>
      <c r="BZ256" t="str">
        <f>IF(D256=1,IF(TRIM(INDEX(Charge!$K:$K,ROW()))&lt;&gt;"",TRIM(INDEX(Charge!$K:$K,ROW())),IF(TRIM(INDEX(Charge!$L:$L,ROW()))&lt;&gt;"",TRIM(INDEX(Charge!$L:$L,ROW())),"(non affecté)")),"")</f>
        <v/>
      </c>
      <c r="CA256" t="str">
        <f>IF(AND($CD$4&lt;&gt;"",BZ256=$CD$4),COUNTIFS($BZ$4:$BZ$503,$CD$4,$L$4:$L$503,"&lt;"&amp;L256)+1,"")</f>
        <v/>
      </c>
      <c r="EM256" t="str">
        <f>IF(D256=1,IF(TRIM(INDEX(Charge!$K:$K,ROW()))&lt;&gt;"","Interne",IF(TRIM(INDEX(Charge!$L:$L,ROW()))&lt;&gt;"","Externe","Non affecté")),"")</f>
        <v/>
      </c>
      <c r="EN256" t="str">
        <f>IF(D256=1,LEFT(SUBSTITUTE(SUBSTITUTE(SUBSTITUTE(TRIM(SUBSTITUTE(INDEX(Charge!$B:$B,ROW()),CHAR(160)," "))&amp;" | "&amp;TRIM(SUBSTITUTE(INDEX(Charge!$C:$C,ROW()),CHAR(160)," "))&amp;" | "&amp;TRIM(SUBSTITUTE(INDEX(Charge!$D:$D,ROW()),CHAR(160)," ")),"~","-"),"*","+"),"?","!"),240),"")</f>
        <v/>
      </c>
      <c r="EO256">
        <f>IF(EN256="",0,IF(COUNTIF($EN$4:EN256,EN256)=1,1,0))</f>
        <v>0</v>
      </c>
      <c r="EP256" s="166" t="str">
        <f>IF(EO256=1,ROUND(SUMIF($EN$4:$EN$503,EN256,$E$4:$E$503),2),"")</f>
        <v/>
      </c>
      <c r="EQ256" t="str">
        <f>IF(EO256=1,COUNTIFS($EO$4:$EO$503,1,$EP$4:$EP$503,"&gt;"&amp;EP256)+COUNTIFS($EO$4:EO256,1,$EP$4:EP256,EP256),"")</f>
        <v/>
      </c>
      <c r="ER256" t="str">
        <f>IF(EO256=1,COUNTIFS($EN$4:$EN$503,EN256,$EM$4:$EM$503,"Interne",$FE$4:$FE$503,1),"")</f>
        <v/>
      </c>
      <c r="ES256" t="str">
        <f>IF(EO256=1,COUNTIFS($EN$4:$EN$503,EN256,$EM$4:$EM$503,"Externe",$FE$4:$FE$503,1),"")</f>
        <v/>
      </c>
      <c r="ET256" t="str">
        <f>IF(EO256=1,IF(ER256+ES256=0,"à affecter",IF(ER256=0,ES256&amp;" ext.",(ER256+ES256)&amp;IF(ES256&gt;0," dont "&amp;ES256&amp;" ext.",""))&amp;IF(COUNTIFS($EN$4:$EN$503,EN256,$EM$4:$EM$503,"Non affecté")&gt;0," + à affecter","")),"")</f>
        <v/>
      </c>
      <c r="EU256" s="170" t="str">
        <f>IF(EO256=1,IF(EP256&gt;0,SUMPRODUCT(($EN$4:$EN$503=EN256)*$E$4:$E$503*$C$4:$C$503)/EP256,AVERAGEIF($EN$4:$EN$503,EN256,$C$4:$C$503)),"")</f>
        <v/>
      </c>
      <c r="EV256" s="165">
        <f>IF(ISNUMBER(I256),I256,2958465)</f>
        <v>2958465.0</v>
      </c>
      <c r="EW256" s="165" t="str">
        <f>IF(EO256=1,SUMPRODUCT(MIN(($EN$4:$EN$503=EN256)*$EV$4:$EV$503+($EN$4:$EN$503&lt;&gt;EN256)*2958465)),"")</f>
        <v/>
      </c>
      <c r="EX256" s="165">
        <f>IF(AND(D256=1,ISNUMBER(INDEX(Charge!$F:$F,ROW()))),INDEX(Charge!$F:$F,ROW()),0)</f>
        <v>0.0</v>
      </c>
      <c r="EY256" s="165" t="str">
        <f>IF(EO256=1,SUMPRODUCT(MAX(($EN$4:$EN$503=EN256)*$EX$4:$EX$503)),"")</f>
        <v/>
      </c>
      <c r="FA256" t="str">
        <f>IF(253&lt;=$CD$23,INDEX($EJ$4:$EJ$203,253),IF(253-$CD$23&lt;=$CD$26,INDEX($EK$4:$EK$203,253-$CD$23),""))</f>
        <v/>
      </c>
      <c r="FB256" t="str">
        <f>IF(FA256="","",IF(253&lt;=$CD$23,"Interne","Externe"))</f>
        <v/>
      </c>
      <c r="FD256">
        <f>IF(AND(B256=1,TRIM(INDEX(Charge!$K:$K,ROW()))&lt;&gt;"",TRIM(INDEX(Charge!$L:$L,ROW()))&lt;&gt;""),1,0)</f>
        <v>0</v>
      </c>
      <c r="FE256">
        <f>IF(OR(EN256="",BZ256="(non affecté)"),0,IF(COUNTIFS($EN$4:EN256,EN256,$BZ$4:BZ256,BZ256)=1,1,0))</f>
        <v>0</v>
      </c>
    </row>
    <row r="257">
      <c r="A257">
        <f>ROW()</f>
        <v>257</v>
      </c>
      <c r="B257">
        <f>IF(TRIM(INDEX(Charge!$B:$B,ROW()))&lt;&gt;"",1,0)</f>
        <v>0</v>
      </c>
      <c r="C257">
        <f>IF(B257=1,MIN(1,MAX(0,N(INDEX(Charge!$O:$O,ROW())))),0)</f>
        <v>0</v>
      </c>
      <c r="D257">
        <f>IF(B257=1,IF(OR(p_Perimetre="Tous les projets",C257&lt;1),1,0),0)</f>
        <v>0</v>
      </c>
      <c r="E257">
        <f>IF(D257=1,MAX(0,N(INDEX(Charge!$M:$M,ROW()))),0)</f>
        <v>0</v>
      </c>
      <c r="F257" t="str">
        <f>IF(D257=1,IF(TRIM(INDEX(Charge!$A:$A,ROW()))="","(non renseigné)",TRIM(INDEX(Charge!$A:$A,ROW()))),"")</f>
        <v/>
      </c>
      <c r="G257" t="str">
        <f>IF(D257=1,TRIM(INDEX(Charge!$B:$B,ROW())),"")</f>
        <v/>
      </c>
      <c r="H257" t="str">
        <f>IF(D257=1,IF(TRIM(INDEX(Charge!$E:$E,ROW()))="","(non renseigné)",TRIM(INDEX(Charge!$E:$E,ROW()))),"")</f>
        <v/>
      </c>
      <c r="I257" s="165" t="str">
        <f>IF(AND(D257=1,ISNUMBER(INDEX(Charge!$N:$N,ROW()))),INDEX(Charge!$N:$N,ROW()),"")</f>
        <v/>
      </c>
      <c r="J257" s="165" t="str">
        <f>IF(I257="","",IF(AND(p_Repartition="Lissée jusqu'à la date de besoin",ISNUMBER(INDEX(Charge!$F:$F,ROW()))),IF(INDEX(Charge!$F:$F,ROW())&gt;=I257,INDEX(Charge!$F:$F,ROW()),I257),I257))</f>
        <v/>
      </c>
      <c r="K257" t="str">
        <f>IF(I257="","",NETWORKDAYS(I257,J257,Data!$K$4:$K$203))</f>
        <v/>
      </c>
      <c r="L257" t="str">
        <f>IF(D257=1,COUNTIFS($D$4:$D$503,1,$E$4:$E$503,"&gt;"&amp;E257)+COUNTIFS($D$4:$D257,1,$E$4:$E257,E257),"")</f>
        <v/>
      </c>
      <c r="M257">
        <f>IF(F257="",0,IF(COUNTIF($F$4:F257,F257)=1,1,0))</f>
        <v>0</v>
      </c>
      <c r="N257" t="str">
        <f>IF(M257=1,ROUND(SUMIF($F$4:$F$503,F257,$E$4:$E$503),2),"")</f>
        <v/>
      </c>
      <c r="O257" t="str">
        <f>IF(M257=1,COUNTIFS($M$4:$M$503,1,$N$4:$N$503,"&gt;"&amp;N257)+COUNTIFS($M$4:M257,1,$N$4:N257,N257),"")</f>
        <v/>
      </c>
      <c r="P257">
        <f>IF(G257="",0,IF(COUNTIF($G$4:G257,G257)=1,1,0))</f>
        <v>0</v>
      </c>
      <c r="Q257" t="str">
        <f>IF(P257=1,ROUND(SUMIF($G$4:$G$503,G257,$E$4:$E$503),2),"")</f>
        <v/>
      </c>
      <c r="R257" t="str">
        <f>IF(P257=1,COUNTIFS($P$4:$P$503,1,$Q$4:$Q$503,"&gt;"&amp;Q257)+COUNTIFS($P$4:P257,1,$Q$4:Q257,Q257),"")</f>
        <v/>
      </c>
      <c r="S257">
        <f>IF(H257="",0,IF(COUNTIF($H$4:H257,H257)=1,1,0))</f>
        <v>0</v>
      </c>
      <c r="T257" t="str">
        <f>IF(S257=1,ROUND(SUMIF($H$4:$H$503,H257,$E$4:$E$503),2),"")</f>
        <v/>
      </c>
      <c r="U257" t="str">
        <f>IF(S257=1,COUNTIFS($S$4:$S$503,1,$T$4:$T$503,"&gt;"&amp;T257)+COUNTIFS($S$4:S257,1,$T$4:T257,T257),"")</f>
        <v/>
      </c>
      <c r="V257" t="str">
        <f>IF(D257=1,MIN(INDEX($R$4:$R$503,MATCH(G257,$G$4:$G$503,0)),IF($AL$7&gt;9,9,999)),"")</f>
        <v/>
      </c>
      <c r="W257" s="166">
        <f>IF(OR($I257="",$E257=0),0,IF(OR($J257&lt;W$3,$I257&gt;W$2),0,IF($K257=0,IF(AND($I257&gt;=W$3,$I257&lt;=W$2),$E257,0),$E257*NETWORKDAYS(MAX($I257,W$3),MIN($J257,W$2),Data!$K$4:$K$203)/$K257)))</f>
        <v>0</v>
      </c>
      <c r="X257" s="166">
        <f>IF(OR($I257="",$E257=0),0,IF(OR($J257&lt;X$3,$I257&gt;X$2),0,IF($K257=0,IF(AND($I257&gt;=X$3,$I257&lt;=X$2),$E257,0),$E257*NETWORKDAYS(MAX($I257,X$3),MIN($J257,X$2),Data!$K$4:$K$203)/$K257)))</f>
        <v>0</v>
      </c>
      <c r="Y257" s="166">
        <f>IF(OR($I257="",$E257=0),0,IF(OR($J257&lt;Y$3,$I257&gt;Y$2),0,IF($K257=0,IF(AND($I257&gt;=Y$3,$I257&lt;=Y$2),$E257,0),$E257*NETWORKDAYS(MAX($I257,Y$3),MIN($J257,Y$2),Data!$K$4:$K$203)/$K257)))</f>
        <v>0</v>
      </c>
      <c r="Z257" s="166">
        <f>IF(OR($I257="",$E257=0),0,IF(OR($J257&lt;Z$3,$I257&gt;Z$2),0,IF($K257=0,IF(AND($I257&gt;=Z$3,$I257&lt;=Z$2),$E257,0),$E257*NETWORKDAYS(MAX($I257,Z$3),MIN($J257,Z$2),Data!$K$4:$K$203)/$K257)))</f>
        <v>0</v>
      </c>
      <c r="AA257" s="166">
        <f>IF(OR($I257="",$E257=0),0,IF(OR($J257&lt;AA$3,$I257&gt;AA$2),0,IF($K257=0,IF(AND($I257&gt;=AA$3,$I257&lt;=AA$2),$E257,0),$E257*NETWORKDAYS(MAX($I257,AA$3),MIN($J257,AA$2),Data!$K$4:$K$203)/$K257)))</f>
        <v>0</v>
      </c>
      <c r="AB257" s="166">
        <f>IF(OR($I257="",$E257=0),0,IF(OR($J257&lt;AB$3,$I257&gt;AB$2),0,IF($K257=0,IF(AND($I257&gt;=AB$3,$I257&lt;=AB$2),$E257,0),$E257*NETWORKDAYS(MAX($I257,AB$3),MIN($J257,AB$2),Data!$K$4:$K$203)/$K257)))</f>
        <v>0</v>
      </c>
      <c r="AC257" s="166">
        <f>IF(OR($I257="",$E257=0),0,IF(OR($J257&lt;AC$3,$I257&gt;AC$2),0,IF($K257=0,IF(AND($I257&gt;=AC$3,$I257&lt;=AC$2),$E257,0),$E257*NETWORKDAYS(MAX($I257,AC$3),MIN($J257,AC$2),Data!$K$4:$K$203)/$K257)))</f>
        <v>0</v>
      </c>
      <c r="AD257" s="166">
        <f>IF(OR($I257="",$E257=0),0,IF(OR($J257&lt;AD$3,$I257&gt;AD$2),0,IF($K257=0,IF(AND($I257&gt;=AD$3,$I257&lt;=AD$2),$E257,0),$E257*NETWORKDAYS(MAX($I257,AD$3),MIN($J257,AD$2),Data!$K$4:$K$203)/$K257)))</f>
        <v>0</v>
      </c>
      <c r="AE257" s="166">
        <f>IF(OR($I257="",$E257=0),0,IF(OR($J257&lt;AE$3,$I257&gt;AE$2),0,IF($K257=0,IF(AND($I257&gt;=AE$3,$I257&lt;=AE$2),$E257,0),$E257*NETWORKDAYS(MAX($I257,AE$3),MIN($J257,AE$2),Data!$K$4:$K$203)/$K257)))</f>
        <v>0</v>
      </c>
      <c r="AF257" s="166">
        <f>IF(OR($I257="",$E257=0),0,IF(OR($J257&lt;AF$3,$I257&gt;AF$2),0,IF($K257=0,IF(AND($I257&gt;=AF$3,$I257&lt;=AF$2),$E257,0),$E257*NETWORKDAYS(MAX($I257,AF$3),MIN($J257,AF$2),Data!$K$4:$K$203)/$K257)))</f>
        <v>0</v>
      </c>
      <c r="AG257" s="166">
        <f>IF(OR($I257="",$E257=0),0,IF(OR($J257&lt;AG$3,$I257&gt;AG$2),0,IF($K257=0,IF(AND($I257&gt;=AG$3,$I257&lt;=AG$2),$E257,0),$E257*NETWORKDAYS(MAX($I257,AG$3),MIN($J257,AG$2),Data!$K$4:$K$203)/$K257)))</f>
        <v>0</v>
      </c>
      <c r="AH257" s="166">
        <f>IF(OR($I257="",$E257=0),0,IF(OR($J257&lt;AH$3,$I257&gt;AH$2),0,IF($K257=0,IF(AND($I257&gt;=AH$3,$I257&lt;=AH$2),$E257,0),$E257*NETWORKDAYS(MAX($I257,AH$3),MIN($J257,AH$2),Data!$K$4:$K$203)/$K257)))</f>
        <v>0</v>
      </c>
      <c r="AI257" s="166">
        <f>SUM(W257:AH257)</f>
        <v>0</v>
      </c>
      <c r="BZ257" t="str">
        <f>IF(D257=1,IF(TRIM(INDEX(Charge!$K:$K,ROW()))&lt;&gt;"",TRIM(INDEX(Charge!$K:$K,ROW())),IF(TRIM(INDEX(Charge!$L:$L,ROW()))&lt;&gt;"",TRIM(INDEX(Charge!$L:$L,ROW())),"(non affecté)")),"")</f>
        <v/>
      </c>
      <c r="CA257" t="str">
        <f>IF(AND($CD$4&lt;&gt;"",BZ257=$CD$4),COUNTIFS($BZ$4:$BZ$503,$CD$4,$L$4:$L$503,"&lt;"&amp;L257)+1,"")</f>
        <v/>
      </c>
      <c r="EM257" t="str">
        <f>IF(D257=1,IF(TRIM(INDEX(Charge!$K:$K,ROW()))&lt;&gt;"","Interne",IF(TRIM(INDEX(Charge!$L:$L,ROW()))&lt;&gt;"","Externe","Non affecté")),"")</f>
        <v/>
      </c>
      <c r="EN257" t="str">
        <f>IF(D257=1,LEFT(SUBSTITUTE(SUBSTITUTE(SUBSTITUTE(TRIM(SUBSTITUTE(INDEX(Charge!$B:$B,ROW()),CHAR(160)," "))&amp;" | "&amp;TRIM(SUBSTITUTE(INDEX(Charge!$C:$C,ROW()),CHAR(160)," "))&amp;" | "&amp;TRIM(SUBSTITUTE(INDEX(Charge!$D:$D,ROW()),CHAR(160)," ")),"~","-"),"*","+"),"?","!"),240),"")</f>
        <v/>
      </c>
      <c r="EO257">
        <f>IF(EN257="",0,IF(COUNTIF($EN$4:EN257,EN257)=1,1,0))</f>
        <v>0</v>
      </c>
      <c r="EP257" s="166" t="str">
        <f>IF(EO257=1,ROUND(SUMIF($EN$4:$EN$503,EN257,$E$4:$E$503),2),"")</f>
        <v/>
      </c>
      <c r="EQ257" t="str">
        <f>IF(EO257=1,COUNTIFS($EO$4:$EO$503,1,$EP$4:$EP$503,"&gt;"&amp;EP257)+COUNTIFS($EO$4:EO257,1,$EP$4:EP257,EP257),"")</f>
        <v/>
      </c>
      <c r="ER257" t="str">
        <f>IF(EO257=1,COUNTIFS($EN$4:$EN$503,EN257,$EM$4:$EM$503,"Interne",$FE$4:$FE$503,1),"")</f>
        <v/>
      </c>
      <c r="ES257" t="str">
        <f>IF(EO257=1,COUNTIFS($EN$4:$EN$503,EN257,$EM$4:$EM$503,"Externe",$FE$4:$FE$503,1),"")</f>
        <v/>
      </c>
      <c r="ET257" t="str">
        <f>IF(EO257=1,IF(ER257+ES257=0,"à affecter",IF(ER257=0,ES257&amp;" ext.",(ER257+ES257)&amp;IF(ES257&gt;0," dont "&amp;ES257&amp;" ext.",""))&amp;IF(COUNTIFS($EN$4:$EN$503,EN257,$EM$4:$EM$503,"Non affecté")&gt;0," + à affecter","")),"")</f>
        <v/>
      </c>
      <c r="EU257" s="170" t="str">
        <f>IF(EO257=1,IF(EP257&gt;0,SUMPRODUCT(($EN$4:$EN$503=EN257)*$E$4:$E$503*$C$4:$C$503)/EP257,AVERAGEIF($EN$4:$EN$503,EN257,$C$4:$C$503)),"")</f>
        <v/>
      </c>
      <c r="EV257" s="165">
        <f>IF(ISNUMBER(I257),I257,2958465)</f>
        <v>2958465.0</v>
      </c>
      <c r="EW257" s="165" t="str">
        <f>IF(EO257=1,SUMPRODUCT(MIN(($EN$4:$EN$503=EN257)*$EV$4:$EV$503+($EN$4:$EN$503&lt;&gt;EN257)*2958465)),"")</f>
        <v/>
      </c>
      <c r="EX257" s="165">
        <f>IF(AND(D257=1,ISNUMBER(INDEX(Charge!$F:$F,ROW()))),INDEX(Charge!$F:$F,ROW()),0)</f>
        <v>0.0</v>
      </c>
      <c r="EY257" s="165" t="str">
        <f>IF(EO257=1,SUMPRODUCT(MAX(($EN$4:$EN$503=EN257)*$EX$4:$EX$503)),"")</f>
        <v/>
      </c>
      <c r="FA257" t="str">
        <f>IF(254&lt;=$CD$23,INDEX($EJ$4:$EJ$203,254),IF(254-$CD$23&lt;=$CD$26,INDEX($EK$4:$EK$203,254-$CD$23),""))</f>
        <v/>
      </c>
      <c r="FB257" t="str">
        <f>IF(FA257="","",IF(254&lt;=$CD$23,"Interne","Externe"))</f>
        <v/>
      </c>
      <c r="FD257">
        <f>IF(AND(B257=1,TRIM(INDEX(Charge!$K:$K,ROW()))&lt;&gt;"",TRIM(INDEX(Charge!$L:$L,ROW()))&lt;&gt;""),1,0)</f>
        <v>0</v>
      </c>
      <c r="FE257">
        <f>IF(OR(EN257="",BZ257="(non affecté)"),0,IF(COUNTIFS($EN$4:EN257,EN257,$BZ$4:BZ257,BZ257)=1,1,0))</f>
        <v>0</v>
      </c>
    </row>
    <row r="258">
      <c r="A258">
        <f>ROW()</f>
        <v>258</v>
      </c>
      <c r="B258">
        <f>IF(TRIM(INDEX(Charge!$B:$B,ROW()))&lt;&gt;"",1,0)</f>
        <v>0</v>
      </c>
      <c r="C258">
        <f>IF(B258=1,MIN(1,MAX(0,N(INDEX(Charge!$O:$O,ROW())))),0)</f>
        <v>0</v>
      </c>
      <c r="D258">
        <f>IF(B258=1,IF(OR(p_Perimetre="Tous les projets",C258&lt;1),1,0),0)</f>
        <v>0</v>
      </c>
      <c r="E258">
        <f>IF(D258=1,MAX(0,N(INDEX(Charge!$M:$M,ROW()))),0)</f>
        <v>0</v>
      </c>
      <c r="F258" t="str">
        <f>IF(D258=1,IF(TRIM(INDEX(Charge!$A:$A,ROW()))="","(non renseigné)",TRIM(INDEX(Charge!$A:$A,ROW()))),"")</f>
        <v/>
      </c>
      <c r="G258" t="str">
        <f>IF(D258=1,TRIM(INDEX(Charge!$B:$B,ROW())),"")</f>
        <v/>
      </c>
      <c r="H258" t="str">
        <f>IF(D258=1,IF(TRIM(INDEX(Charge!$E:$E,ROW()))="","(non renseigné)",TRIM(INDEX(Charge!$E:$E,ROW()))),"")</f>
        <v/>
      </c>
      <c r="I258" s="165" t="str">
        <f>IF(AND(D258=1,ISNUMBER(INDEX(Charge!$N:$N,ROW()))),INDEX(Charge!$N:$N,ROW()),"")</f>
        <v/>
      </c>
      <c r="J258" s="165" t="str">
        <f>IF(I258="","",IF(AND(p_Repartition="Lissée jusqu'à la date de besoin",ISNUMBER(INDEX(Charge!$F:$F,ROW()))),IF(INDEX(Charge!$F:$F,ROW())&gt;=I258,INDEX(Charge!$F:$F,ROW()),I258),I258))</f>
        <v/>
      </c>
      <c r="K258" t="str">
        <f>IF(I258="","",NETWORKDAYS(I258,J258,Data!$K$4:$K$203))</f>
        <v/>
      </c>
      <c r="L258" t="str">
        <f>IF(D258=1,COUNTIFS($D$4:$D$503,1,$E$4:$E$503,"&gt;"&amp;E258)+COUNTIFS($D$4:$D258,1,$E$4:$E258,E258),"")</f>
        <v/>
      </c>
      <c r="M258">
        <f>IF(F258="",0,IF(COUNTIF($F$4:F258,F258)=1,1,0))</f>
        <v>0</v>
      </c>
      <c r="N258" t="str">
        <f>IF(M258=1,ROUND(SUMIF($F$4:$F$503,F258,$E$4:$E$503),2),"")</f>
        <v/>
      </c>
      <c r="O258" t="str">
        <f>IF(M258=1,COUNTIFS($M$4:$M$503,1,$N$4:$N$503,"&gt;"&amp;N258)+COUNTIFS($M$4:M258,1,$N$4:N258,N258),"")</f>
        <v/>
      </c>
      <c r="P258">
        <f>IF(G258="",0,IF(COUNTIF($G$4:G258,G258)=1,1,0))</f>
        <v>0</v>
      </c>
      <c r="Q258" t="str">
        <f>IF(P258=1,ROUND(SUMIF($G$4:$G$503,G258,$E$4:$E$503),2),"")</f>
        <v/>
      </c>
      <c r="R258" t="str">
        <f>IF(P258=1,COUNTIFS($P$4:$P$503,1,$Q$4:$Q$503,"&gt;"&amp;Q258)+COUNTIFS($P$4:P258,1,$Q$4:Q258,Q258),"")</f>
        <v/>
      </c>
      <c r="S258">
        <f>IF(H258="",0,IF(COUNTIF($H$4:H258,H258)=1,1,0))</f>
        <v>0</v>
      </c>
      <c r="T258" t="str">
        <f>IF(S258=1,ROUND(SUMIF($H$4:$H$503,H258,$E$4:$E$503),2),"")</f>
        <v/>
      </c>
      <c r="U258" t="str">
        <f>IF(S258=1,COUNTIFS($S$4:$S$503,1,$T$4:$T$503,"&gt;"&amp;T258)+COUNTIFS($S$4:S258,1,$T$4:T258,T258),"")</f>
        <v/>
      </c>
      <c r="V258" t="str">
        <f>IF(D258=1,MIN(INDEX($R$4:$R$503,MATCH(G258,$G$4:$G$503,0)),IF($AL$7&gt;9,9,999)),"")</f>
        <v/>
      </c>
      <c r="W258" s="166">
        <f>IF(OR($I258="",$E258=0),0,IF(OR($J258&lt;W$3,$I258&gt;W$2),0,IF($K258=0,IF(AND($I258&gt;=W$3,$I258&lt;=W$2),$E258,0),$E258*NETWORKDAYS(MAX($I258,W$3),MIN($J258,W$2),Data!$K$4:$K$203)/$K258)))</f>
        <v>0</v>
      </c>
      <c r="X258" s="166">
        <f>IF(OR($I258="",$E258=0),0,IF(OR($J258&lt;X$3,$I258&gt;X$2),0,IF($K258=0,IF(AND($I258&gt;=X$3,$I258&lt;=X$2),$E258,0),$E258*NETWORKDAYS(MAX($I258,X$3),MIN($J258,X$2),Data!$K$4:$K$203)/$K258)))</f>
        <v>0</v>
      </c>
      <c r="Y258" s="166">
        <f>IF(OR($I258="",$E258=0),0,IF(OR($J258&lt;Y$3,$I258&gt;Y$2),0,IF($K258=0,IF(AND($I258&gt;=Y$3,$I258&lt;=Y$2),$E258,0),$E258*NETWORKDAYS(MAX($I258,Y$3),MIN($J258,Y$2),Data!$K$4:$K$203)/$K258)))</f>
        <v>0</v>
      </c>
      <c r="Z258" s="166">
        <f>IF(OR($I258="",$E258=0),0,IF(OR($J258&lt;Z$3,$I258&gt;Z$2),0,IF($K258=0,IF(AND($I258&gt;=Z$3,$I258&lt;=Z$2),$E258,0),$E258*NETWORKDAYS(MAX($I258,Z$3),MIN($J258,Z$2),Data!$K$4:$K$203)/$K258)))</f>
        <v>0</v>
      </c>
      <c r="AA258" s="166">
        <f>IF(OR($I258="",$E258=0),0,IF(OR($J258&lt;AA$3,$I258&gt;AA$2),0,IF($K258=0,IF(AND($I258&gt;=AA$3,$I258&lt;=AA$2),$E258,0),$E258*NETWORKDAYS(MAX($I258,AA$3),MIN($J258,AA$2),Data!$K$4:$K$203)/$K258)))</f>
        <v>0</v>
      </c>
      <c r="AB258" s="166">
        <f>IF(OR($I258="",$E258=0),0,IF(OR($J258&lt;AB$3,$I258&gt;AB$2),0,IF($K258=0,IF(AND($I258&gt;=AB$3,$I258&lt;=AB$2),$E258,0),$E258*NETWORKDAYS(MAX($I258,AB$3),MIN($J258,AB$2),Data!$K$4:$K$203)/$K258)))</f>
        <v>0</v>
      </c>
      <c r="AC258" s="166">
        <f>IF(OR($I258="",$E258=0),0,IF(OR($J258&lt;AC$3,$I258&gt;AC$2),0,IF($K258=0,IF(AND($I258&gt;=AC$3,$I258&lt;=AC$2),$E258,0),$E258*NETWORKDAYS(MAX($I258,AC$3),MIN($J258,AC$2),Data!$K$4:$K$203)/$K258)))</f>
        <v>0</v>
      </c>
      <c r="AD258" s="166">
        <f>IF(OR($I258="",$E258=0),0,IF(OR($J258&lt;AD$3,$I258&gt;AD$2),0,IF($K258=0,IF(AND($I258&gt;=AD$3,$I258&lt;=AD$2),$E258,0),$E258*NETWORKDAYS(MAX($I258,AD$3),MIN($J258,AD$2),Data!$K$4:$K$203)/$K258)))</f>
        <v>0</v>
      </c>
      <c r="AE258" s="166">
        <f>IF(OR($I258="",$E258=0),0,IF(OR($J258&lt;AE$3,$I258&gt;AE$2),0,IF($K258=0,IF(AND($I258&gt;=AE$3,$I258&lt;=AE$2),$E258,0),$E258*NETWORKDAYS(MAX($I258,AE$3),MIN($J258,AE$2),Data!$K$4:$K$203)/$K258)))</f>
        <v>0</v>
      </c>
      <c r="AF258" s="166">
        <f>IF(OR($I258="",$E258=0),0,IF(OR($J258&lt;AF$3,$I258&gt;AF$2),0,IF($K258=0,IF(AND($I258&gt;=AF$3,$I258&lt;=AF$2),$E258,0),$E258*NETWORKDAYS(MAX($I258,AF$3),MIN($J258,AF$2),Data!$K$4:$K$203)/$K258)))</f>
        <v>0</v>
      </c>
      <c r="AG258" s="166">
        <f>IF(OR($I258="",$E258=0),0,IF(OR($J258&lt;AG$3,$I258&gt;AG$2),0,IF($K258=0,IF(AND($I258&gt;=AG$3,$I258&lt;=AG$2),$E258,0),$E258*NETWORKDAYS(MAX($I258,AG$3),MIN($J258,AG$2),Data!$K$4:$K$203)/$K258)))</f>
        <v>0</v>
      </c>
      <c r="AH258" s="166">
        <f>IF(OR($I258="",$E258=0),0,IF(OR($J258&lt;AH$3,$I258&gt;AH$2),0,IF($K258=0,IF(AND($I258&gt;=AH$3,$I258&lt;=AH$2),$E258,0),$E258*NETWORKDAYS(MAX($I258,AH$3),MIN($J258,AH$2),Data!$K$4:$K$203)/$K258)))</f>
        <v>0</v>
      </c>
      <c r="AI258" s="166">
        <f>SUM(W258:AH258)</f>
        <v>0</v>
      </c>
      <c r="BZ258" t="str">
        <f>IF(D258=1,IF(TRIM(INDEX(Charge!$K:$K,ROW()))&lt;&gt;"",TRIM(INDEX(Charge!$K:$K,ROW())),IF(TRIM(INDEX(Charge!$L:$L,ROW()))&lt;&gt;"",TRIM(INDEX(Charge!$L:$L,ROW())),"(non affecté)")),"")</f>
        <v/>
      </c>
      <c r="CA258" t="str">
        <f>IF(AND($CD$4&lt;&gt;"",BZ258=$CD$4),COUNTIFS($BZ$4:$BZ$503,$CD$4,$L$4:$L$503,"&lt;"&amp;L258)+1,"")</f>
        <v/>
      </c>
      <c r="EM258" t="str">
        <f>IF(D258=1,IF(TRIM(INDEX(Charge!$K:$K,ROW()))&lt;&gt;"","Interne",IF(TRIM(INDEX(Charge!$L:$L,ROW()))&lt;&gt;"","Externe","Non affecté")),"")</f>
        <v/>
      </c>
      <c r="EN258" t="str">
        <f>IF(D258=1,LEFT(SUBSTITUTE(SUBSTITUTE(SUBSTITUTE(TRIM(SUBSTITUTE(INDEX(Charge!$B:$B,ROW()),CHAR(160)," "))&amp;" | "&amp;TRIM(SUBSTITUTE(INDEX(Charge!$C:$C,ROW()),CHAR(160)," "))&amp;" | "&amp;TRIM(SUBSTITUTE(INDEX(Charge!$D:$D,ROW()),CHAR(160)," ")),"~","-"),"*","+"),"?","!"),240),"")</f>
        <v/>
      </c>
      <c r="EO258">
        <f>IF(EN258="",0,IF(COUNTIF($EN$4:EN258,EN258)=1,1,0))</f>
        <v>0</v>
      </c>
      <c r="EP258" s="166" t="str">
        <f>IF(EO258=1,ROUND(SUMIF($EN$4:$EN$503,EN258,$E$4:$E$503),2),"")</f>
        <v/>
      </c>
      <c r="EQ258" t="str">
        <f>IF(EO258=1,COUNTIFS($EO$4:$EO$503,1,$EP$4:$EP$503,"&gt;"&amp;EP258)+COUNTIFS($EO$4:EO258,1,$EP$4:EP258,EP258),"")</f>
        <v/>
      </c>
      <c r="ER258" t="str">
        <f>IF(EO258=1,COUNTIFS($EN$4:$EN$503,EN258,$EM$4:$EM$503,"Interne",$FE$4:$FE$503,1),"")</f>
        <v/>
      </c>
      <c r="ES258" t="str">
        <f>IF(EO258=1,COUNTIFS($EN$4:$EN$503,EN258,$EM$4:$EM$503,"Externe",$FE$4:$FE$503,1),"")</f>
        <v/>
      </c>
      <c r="ET258" t="str">
        <f>IF(EO258=1,IF(ER258+ES258=0,"à affecter",IF(ER258=0,ES258&amp;" ext.",(ER258+ES258)&amp;IF(ES258&gt;0," dont "&amp;ES258&amp;" ext.",""))&amp;IF(COUNTIFS($EN$4:$EN$503,EN258,$EM$4:$EM$503,"Non affecté")&gt;0," + à affecter","")),"")</f>
        <v/>
      </c>
      <c r="EU258" s="170" t="str">
        <f>IF(EO258=1,IF(EP258&gt;0,SUMPRODUCT(($EN$4:$EN$503=EN258)*$E$4:$E$503*$C$4:$C$503)/EP258,AVERAGEIF($EN$4:$EN$503,EN258,$C$4:$C$503)),"")</f>
        <v/>
      </c>
      <c r="EV258" s="165">
        <f>IF(ISNUMBER(I258),I258,2958465)</f>
        <v>2958465.0</v>
      </c>
      <c r="EW258" s="165" t="str">
        <f>IF(EO258=1,SUMPRODUCT(MIN(($EN$4:$EN$503=EN258)*$EV$4:$EV$503+($EN$4:$EN$503&lt;&gt;EN258)*2958465)),"")</f>
        <v/>
      </c>
      <c r="EX258" s="165">
        <f>IF(AND(D258=1,ISNUMBER(INDEX(Charge!$F:$F,ROW()))),INDEX(Charge!$F:$F,ROW()),0)</f>
        <v>0.0</v>
      </c>
      <c r="EY258" s="165" t="str">
        <f>IF(EO258=1,SUMPRODUCT(MAX(($EN$4:$EN$503=EN258)*$EX$4:$EX$503)),"")</f>
        <v/>
      </c>
      <c r="FA258" t="str">
        <f>IF(255&lt;=$CD$23,INDEX($EJ$4:$EJ$203,255),IF(255-$CD$23&lt;=$CD$26,INDEX($EK$4:$EK$203,255-$CD$23),""))</f>
        <v/>
      </c>
      <c r="FB258" t="str">
        <f>IF(FA258="","",IF(255&lt;=$CD$23,"Interne","Externe"))</f>
        <v/>
      </c>
      <c r="FD258">
        <f>IF(AND(B258=1,TRIM(INDEX(Charge!$K:$K,ROW()))&lt;&gt;"",TRIM(INDEX(Charge!$L:$L,ROW()))&lt;&gt;""),1,0)</f>
        <v>0</v>
      </c>
      <c r="FE258">
        <f>IF(OR(EN258="",BZ258="(non affecté)"),0,IF(COUNTIFS($EN$4:EN258,EN258,$BZ$4:BZ258,BZ258)=1,1,0))</f>
        <v>0</v>
      </c>
    </row>
    <row r="259">
      <c r="A259">
        <f>ROW()</f>
        <v>259</v>
      </c>
      <c r="B259">
        <f>IF(TRIM(INDEX(Charge!$B:$B,ROW()))&lt;&gt;"",1,0)</f>
        <v>0</v>
      </c>
      <c r="C259">
        <f>IF(B259=1,MIN(1,MAX(0,N(INDEX(Charge!$O:$O,ROW())))),0)</f>
        <v>0</v>
      </c>
      <c r="D259">
        <f>IF(B259=1,IF(OR(p_Perimetre="Tous les projets",C259&lt;1),1,0),0)</f>
        <v>0</v>
      </c>
      <c r="E259">
        <f>IF(D259=1,MAX(0,N(INDEX(Charge!$M:$M,ROW()))),0)</f>
        <v>0</v>
      </c>
      <c r="F259" t="str">
        <f>IF(D259=1,IF(TRIM(INDEX(Charge!$A:$A,ROW()))="","(non renseigné)",TRIM(INDEX(Charge!$A:$A,ROW()))),"")</f>
        <v/>
      </c>
      <c r="G259" t="str">
        <f>IF(D259=1,TRIM(INDEX(Charge!$B:$B,ROW())),"")</f>
        <v/>
      </c>
      <c r="H259" t="str">
        <f>IF(D259=1,IF(TRIM(INDEX(Charge!$E:$E,ROW()))="","(non renseigné)",TRIM(INDEX(Charge!$E:$E,ROW()))),"")</f>
        <v/>
      </c>
      <c r="I259" s="165" t="str">
        <f>IF(AND(D259=1,ISNUMBER(INDEX(Charge!$N:$N,ROW()))),INDEX(Charge!$N:$N,ROW()),"")</f>
        <v/>
      </c>
      <c r="J259" s="165" t="str">
        <f>IF(I259="","",IF(AND(p_Repartition="Lissée jusqu'à la date de besoin",ISNUMBER(INDEX(Charge!$F:$F,ROW()))),IF(INDEX(Charge!$F:$F,ROW())&gt;=I259,INDEX(Charge!$F:$F,ROW()),I259),I259))</f>
        <v/>
      </c>
      <c r="K259" t="str">
        <f>IF(I259="","",NETWORKDAYS(I259,J259,Data!$K$4:$K$203))</f>
        <v/>
      </c>
      <c r="L259" t="str">
        <f>IF(D259=1,COUNTIFS($D$4:$D$503,1,$E$4:$E$503,"&gt;"&amp;E259)+COUNTIFS($D$4:$D259,1,$E$4:$E259,E259),"")</f>
        <v/>
      </c>
      <c r="M259">
        <f>IF(F259="",0,IF(COUNTIF($F$4:F259,F259)=1,1,0))</f>
        <v>0</v>
      </c>
      <c r="N259" t="str">
        <f>IF(M259=1,ROUND(SUMIF($F$4:$F$503,F259,$E$4:$E$503),2),"")</f>
        <v/>
      </c>
      <c r="O259" t="str">
        <f>IF(M259=1,COUNTIFS($M$4:$M$503,1,$N$4:$N$503,"&gt;"&amp;N259)+COUNTIFS($M$4:M259,1,$N$4:N259,N259),"")</f>
        <v/>
      </c>
      <c r="P259">
        <f>IF(G259="",0,IF(COUNTIF($G$4:G259,G259)=1,1,0))</f>
        <v>0</v>
      </c>
      <c r="Q259" t="str">
        <f>IF(P259=1,ROUND(SUMIF($G$4:$G$503,G259,$E$4:$E$503),2),"")</f>
        <v/>
      </c>
      <c r="R259" t="str">
        <f>IF(P259=1,COUNTIFS($P$4:$P$503,1,$Q$4:$Q$503,"&gt;"&amp;Q259)+COUNTIFS($P$4:P259,1,$Q$4:Q259,Q259),"")</f>
        <v/>
      </c>
      <c r="S259">
        <f>IF(H259="",0,IF(COUNTIF($H$4:H259,H259)=1,1,0))</f>
        <v>0</v>
      </c>
      <c r="T259" t="str">
        <f>IF(S259=1,ROUND(SUMIF($H$4:$H$503,H259,$E$4:$E$503),2),"")</f>
        <v/>
      </c>
      <c r="U259" t="str">
        <f>IF(S259=1,COUNTIFS($S$4:$S$503,1,$T$4:$T$503,"&gt;"&amp;T259)+COUNTIFS($S$4:S259,1,$T$4:T259,T259),"")</f>
        <v/>
      </c>
      <c r="V259" t="str">
        <f>IF(D259=1,MIN(INDEX($R$4:$R$503,MATCH(G259,$G$4:$G$503,0)),IF($AL$7&gt;9,9,999)),"")</f>
        <v/>
      </c>
      <c r="W259" s="166">
        <f>IF(OR($I259="",$E259=0),0,IF(OR($J259&lt;W$3,$I259&gt;W$2),0,IF($K259=0,IF(AND($I259&gt;=W$3,$I259&lt;=W$2),$E259,0),$E259*NETWORKDAYS(MAX($I259,W$3),MIN($J259,W$2),Data!$K$4:$K$203)/$K259)))</f>
        <v>0</v>
      </c>
      <c r="X259" s="166">
        <f>IF(OR($I259="",$E259=0),0,IF(OR($J259&lt;X$3,$I259&gt;X$2),0,IF($K259=0,IF(AND($I259&gt;=X$3,$I259&lt;=X$2),$E259,0),$E259*NETWORKDAYS(MAX($I259,X$3),MIN($J259,X$2),Data!$K$4:$K$203)/$K259)))</f>
        <v>0</v>
      </c>
      <c r="Y259" s="166">
        <f>IF(OR($I259="",$E259=0),0,IF(OR($J259&lt;Y$3,$I259&gt;Y$2),0,IF($K259=0,IF(AND($I259&gt;=Y$3,$I259&lt;=Y$2),$E259,0),$E259*NETWORKDAYS(MAX($I259,Y$3),MIN($J259,Y$2),Data!$K$4:$K$203)/$K259)))</f>
        <v>0</v>
      </c>
      <c r="Z259" s="166">
        <f>IF(OR($I259="",$E259=0),0,IF(OR($J259&lt;Z$3,$I259&gt;Z$2),0,IF($K259=0,IF(AND($I259&gt;=Z$3,$I259&lt;=Z$2),$E259,0),$E259*NETWORKDAYS(MAX($I259,Z$3),MIN($J259,Z$2),Data!$K$4:$K$203)/$K259)))</f>
        <v>0</v>
      </c>
      <c r="AA259" s="166">
        <f>IF(OR($I259="",$E259=0),0,IF(OR($J259&lt;AA$3,$I259&gt;AA$2),0,IF($K259=0,IF(AND($I259&gt;=AA$3,$I259&lt;=AA$2),$E259,0),$E259*NETWORKDAYS(MAX($I259,AA$3),MIN($J259,AA$2),Data!$K$4:$K$203)/$K259)))</f>
        <v>0</v>
      </c>
      <c r="AB259" s="166">
        <f>IF(OR($I259="",$E259=0),0,IF(OR($J259&lt;AB$3,$I259&gt;AB$2),0,IF($K259=0,IF(AND($I259&gt;=AB$3,$I259&lt;=AB$2),$E259,0),$E259*NETWORKDAYS(MAX($I259,AB$3),MIN($J259,AB$2),Data!$K$4:$K$203)/$K259)))</f>
        <v>0</v>
      </c>
      <c r="AC259" s="166">
        <f>IF(OR($I259="",$E259=0),0,IF(OR($J259&lt;AC$3,$I259&gt;AC$2),0,IF($K259=0,IF(AND($I259&gt;=AC$3,$I259&lt;=AC$2),$E259,0),$E259*NETWORKDAYS(MAX($I259,AC$3),MIN($J259,AC$2),Data!$K$4:$K$203)/$K259)))</f>
        <v>0</v>
      </c>
      <c r="AD259" s="166">
        <f>IF(OR($I259="",$E259=0),0,IF(OR($J259&lt;AD$3,$I259&gt;AD$2),0,IF($K259=0,IF(AND($I259&gt;=AD$3,$I259&lt;=AD$2),$E259,0),$E259*NETWORKDAYS(MAX($I259,AD$3),MIN($J259,AD$2),Data!$K$4:$K$203)/$K259)))</f>
        <v>0</v>
      </c>
      <c r="AE259" s="166">
        <f>IF(OR($I259="",$E259=0),0,IF(OR($J259&lt;AE$3,$I259&gt;AE$2),0,IF($K259=0,IF(AND($I259&gt;=AE$3,$I259&lt;=AE$2),$E259,0),$E259*NETWORKDAYS(MAX($I259,AE$3),MIN($J259,AE$2),Data!$K$4:$K$203)/$K259)))</f>
        <v>0</v>
      </c>
      <c r="AF259" s="166">
        <f>IF(OR($I259="",$E259=0),0,IF(OR($J259&lt;AF$3,$I259&gt;AF$2),0,IF($K259=0,IF(AND($I259&gt;=AF$3,$I259&lt;=AF$2),$E259,0),$E259*NETWORKDAYS(MAX($I259,AF$3),MIN($J259,AF$2),Data!$K$4:$K$203)/$K259)))</f>
        <v>0</v>
      </c>
      <c r="AG259" s="166">
        <f>IF(OR($I259="",$E259=0),0,IF(OR($J259&lt;AG$3,$I259&gt;AG$2),0,IF($K259=0,IF(AND($I259&gt;=AG$3,$I259&lt;=AG$2),$E259,0),$E259*NETWORKDAYS(MAX($I259,AG$3),MIN($J259,AG$2),Data!$K$4:$K$203)/$K259)))</f>
        <v>0</v>
      </c>
      <c r="AH259" s="166">
        <f>IF(OR($I259="",$E259=0),0,IF(OR($J259&lt;AH$3,$I259&gt;AH$2),0,IF($K259=0,IF(AND($I259&gt;=AH$3,$I259&lt;=AH$2),$E259,0),$E259*NETWORKDAYS(MAX($I259,AH$3),MIN($J259,AH$2),Data!$K$4:$K$203)/$K259)))</f>
        <v>0</v>
      </c>
      <c r="AI259" s="166">
        <f>SUM(W259:AH259)</f>
        <v>0</v>
      </c>
      <c r="BZ259" t="str">
        <f>IF(D259=1,IF(TRIM(INDEX(Charge!$K:$K,ROW()))&lt;&gt;"",TRIM(INDEX(Charge!$K:$K,ROW())),IF(TRIM(INDEX(Charge!$L:$L,ROW()))&lt;&gt;"",TRIM(INDEX(Charge!$L:$L,ROW())),"(non affecté)")),"")</f>
        <v/>
      </c>
      <c r="CA259" t="str">
        <f>IF(AND($CD$4&lt;&gt;"",BZ259=$CD$4),COUNTIFS($BZ$4:$BZ$503,$CD$4,$L$4:$L$503,"&lt;"&amp;L259)+1,"")</f>
        <v/>
      </c>
      <c r="EM259" t="str">
        <f>IF(D259=1,IF(TRIM(INDEX(Charge!$K:$K,ROW()))&lt;&gt;"","Interne",IF(TRIM(INDEX(Charge!$L:$L,ROW()))&lt;&gt;"","Externe","Non affecté")),"")</f>
        <v/>
      </c>
      <c r="EN259" t="str">
        <f>IF(D259=1,LEFT(SUBSTITUTE(SUBSTITUTE(SUBSTITUTE(TRIM(SUBSTITUTE(INDEX(Charge!$B:$B,ROW()),CHAR(160)," "))&amp;" | "&amp;TRIM(SUBSTITUTE(INDEX(Charge!$C:$C,ROW()),CHAR(160)," "))&amp;" | "&amp;TRIM(SUBSTITUTE(INDEX(Charge!$D:$D,ROW()),CHAR(160)," ")),"~","-"),"*","+"),"?","!"),240),"")</f>
        <v/>
      </c>
      <c r="EO259">
        <f>IF(EN259="",0,IF(COUNTIF($EN$4:EN259,EN259)=1,1,0))</f>
        <v>0</v>
      </c>
      <c r="EP259" s="166" t="str">
        <f>IF(EO259=1,ROUND(SUMIF($EN$4:$EN$503,EN259,$E$4:$E$503),2),"")</f>
        <v/>
      </c>
      <c r="EQ259" t="str">
        <f>IF(EO259=1,COUNTIFS($EO$4:$EO$503,1,$EP$4:$EP$503,"&gt;"&amp;EP259)+COUNTIFS($EO$4:EO259,1,$EP$4:EP259,EP259),"")</f>
        <v/>
      </c>
      <c r="ER259" t="str">
        <f>IF(EO259=1,COUNTIFS($EN$4:$EN$503,EN259,$EM$4:$EM$503,"Interne",$FE$4:$FE$503,1),"")</f>
        <v/>
      </c>
      <c r="ES259" t="str">
        <f>IF(EO259=1,COUNTIFS($EN$4:$EN$503,EN259,$EM$4:$EM$503,"Externe",$FE$4:$FE$503,1),"")</f>
        <v/>
      </c>
      <c r="ET259" t="str">
        <f>IF(EO259=1,IF(ER259+ES259=0,"à affecter",IF(ER259=0,ES259&amp;" ext.",(ER259+ES259)&amp;IF(ES259&gt;0," dont "&amp;ES259&amp;" ext.",""))&amp;IF(COUNTIFS($EN$4:$EN$503,EN259,$EM$4:$EM$503,"Non affecté")&gt;0," + à affecter","")),"")</f>
        <v/>
      </c>
      <c r="EU259" s="170" t="str">
        <f>IF(EO259=1,IF(EP259&gt;0,SUMPRODUCT(($EN$4:$EN$503=EN259)*$E$4:$E$503*$C$4:$C$503)/EP259,AVERAGEIF($EN$4:$EN$503,EN259,$C$4:$C$503)),"")</f>
        <v/>
      </c>
      <c r="EV259" s="165">
        <f>IF(ISNUMBER(I259),I259,2958465)</f>
        <v>2958465.0</v>
      </c>
      <c r="EW259" s="165" t="str">
        <f>IF(EO259=1,SUMPRODUCT(MIN(($EN$4:$EN$503=EN259)*$EV$4:$EV$503+($EN$4:$EN$503&lt;&gt;EN259)*2958465)),"")</f>
        <v/>
      </c>
      <c r="EX259" s="165">
        <f>IF(AND(D259=1,ISNUMBER(INDEX(Charge!$F:$F,ROW()))),INDEX(Charge!$F:$F,ROW()),0)</f>
        <v>0.0</v>
      </c>
      <c r="EY259" s="165" t="str">
        <f>IF(EO259=1,SUMPRODUCT(MAX(($EN$4:$EN$503=EN259)*$EX$4:$EX$503)),"")</f>
        <v/>
      </c>
      <c r="FA259" t="str">
        <f>IF(256&lt;=$CD$23,INDEX($EJ$4:$EJ$203,256),IF(256-$CD$23&lt;=$CD$26,INDEX($EK$4:$EK$203,256-$CD$23),""))</f>
        <v/>
      </c>
      <c r="FB259" t="str">
        <f>IF(FA259="","",IF(256&lt;=$CD$23,"Interne","Externe"))</f>
        <v/>
      </c>
      <c r="FD259">
        <f>IF(AND(B259=1,TRIM(INDEX(Charge!$K:$K,ROW()))&lt;&gt;"",TRIM(INDEX(Charge!$L:$L,ROW()))&lt;&gt;""),1,0)</f>
        <v>0</v>
      </c>
      <c r="FE259">
        <f>IF(OR(EN259="",BZ259="(non affecté)"),0,IF(COUNTIFS($EN$4:EN259,EN259,$BZ$4:BZ259,BZ259)=1,1,0))</f>
        <v>0</v>
      </c>
    </row>
    <row r="260">
      <c r="A260">
        <f>ROW()</f>
        <v>260</v>
      </c>
      <c r="B260">
        <f>IF(TRIM(INDEX(Charge!$B:$B,ROW()))&lt;&gt;"",1,0)</f>
        <v>0</v>
      </c>
      <c r="C260">
        <f>IF(B260=1,MIN(1,MAX(0,N(INDEX(Charge!$O:$O,ROW())))),0)</f>
        <v>0</v>
      </c>
      <c r="D260">
        <f>IF(B260=1,IF(OR(p_Perimetre="Tous les projets",C260&lt;1),1,0),0)</f>
        <v>0</v>
      </c>
      <c r="E260">
        <f>IF(D260=1,MAX(0,N(INDEX(Charge!$M:$M,ROW()))),0)</f>
        <v>0</v>
      </c>
      <c r="F260" t="str">
        <f>IF(D260=1,IF(TRIM(INDEX(Charge!$A:$A,ROW()))="","(non renseigné)",TRIM(INDEX(Charge!$A:$A,ROW()))),"")</f>
        <v/>
      </c>
      <c r="G260" t="str">
        <f>IF(D260=1,TRIM(INDEX(Charge!$B:$B,ROW())),"")</f>
        <v/>
      </c>
      <c r="H260" t="str">
        <f>IF(D260=1,IF(TRIM(INDEX(Charge!$E:$E,ROW()))="","(non renseigné)",TRIM(INDEX(Charge!$E:$E,ROW()))),"")</f>
        <v/>
      </c>
      <c r="I260" s="165" t="str">
        <f>IF(AND(D260=1,ISNUMBER(INDEX(Charge!$N:$N,ROW()))),INDEX(Charge!$N:$N,ROW()),"")</f>
        <v/>
      </c>
      <c r="J260" s="165" t="str">
        <f>IF(I260="","",IF(AND(p_Repartition="Lissée jusqu'à la date de besoin",ISNUMBER(INDEX(Charge!$F:$F,ROW()))),IF(INDEX(Charge!$F:$F,ROW())&gt;=I260,INDEX(Charge!$F:$F,ROW()),I260),I260))</f>
        <v/>
      </c>
      <c r="K260" t="str">
        <f>IF(I260="","",NETWORKDAYS(I260,J260,Data!$K$4:$K$203))</f>
        <v/>
      </c>
      <c r="L260" t="str">
        <f>IF(D260=1,COUNTIFS($D$4:$D$503,1,$E$4:$E$503,"&gt;"&amp;E260)+COUNTIFS($D$4:$D260,1,$E$4:$E260,E260),"")</f>
        <v/>
      </c>
      <c r="M260">
        <f>IF(F260="",0,IF(COUNTIF($F$4:F260,F260)=1,1,0))</f>
        <v>0</v>
      </c>
      <c r="N260" t="str">
        <f>IF(M260=1,ROUND(SUMIF($F$4:$F$503,F260,$E$4:$E$503),2),"")</f>
        <v/>
      </c>
      <c r="O260" t="str">
        <f>IF(M260=1,COUNTIFS($M$4:$M$503,1,$N$4:$N$503,"&gt;"&amp;N260)+COUNTIFS($M$4:M260,1,$N$4:N260,N260),"")</f>
        <v/>
      </c>
      <c r="P260">
        <f>IF(G260="",0,IF(COUNTIF($G$4:G260,G260)=1,1,0))</f>
        <v>0</v>
      </c>
      <c r="Q260" t="str">
        <f>IF(P260=1,ROUND(SUMIF($G$4:$G$503,G260,$E$4:$E$503),2),"")</f>
        <v/>
      </c>
      <c r="R260" t="str">
        <f>IF(P260=1,COUNTIFS($P$4:$P$503,1,$Q$4:$Q$503,"&gt;"&amp;Q260)+COUNTIFS($P$4:P260,1,$Q$4:Q260,Q260),"")</f>
        <v/>
      </c>
      <c r="S260">
        <f>IF(H260="",0,IF(COUNTIF($H$4:H260,H260)=1,1,0))</f>
        <v>0</v>
      </c>
      <c r="T260" t="str">
        <f>IF(S260=1,ROUND(SUMIF($H$4:$H$503,H260,$E$4:$E$503),2),"")</f>
        <v/>
      </c>
      <c r="U260" t="str">
        <f>IF(S260=1,COUNTIFS($S$4:$S$503,1,$T$4:$T$503,"&gt;"&amp;T260)+COUNTIFS($S$4:S260,1,$T$4:T260,T260),"")</f>
        <v/>
      </c>
      <c r="V260" t="str">
        <f>IF(D260=1,MIN(INDEX($R$4:$R$503,MATCH(G260,$G$4:$G$503,0)),IF($AL$7&gt;9,9,999)),"")</f>
        <v/>
      </c>
      <c r="W260" s="166">
        <f>IF(OR($I260="",$E260=0),0,IF(OR($J260&lt;W$3,$I260&gt;W$2),0,IF($K260=0,IF(AND($I260&gt;=W$3,$I260&lt;=W$2),$E260,0),$E260*NETWORKDAYS(MAX($I260,W$3),MIN($J260,W$2),Data!$K$4:$K$203)/$K260)))</f>
        <v>0</v>
      </c>
      <c r="X260" s="166">
        <f>IF(OR($I260="",$E260=0),0,IF(OR($J260&lt;X$3,$I260&gt;X$2),0,IF($K260=0,IF(AND($I260&gt;=X$3,$I260&lt;=X$2),$E260,0),$E260*NETWORKDAYS(MAX($I260,X$3),MIN($J260,X$2),Data!$K$4:$K$203)/$K260)))</f>
        <v>0</v>
      </c>
      <c r="Y260" s="166">
        <f>IF(OR($I260="",$E260=0),0,IF(OR($J260&lt;Y$3,$I260&gt;Y$2),0,IF($K260=0,IF(AND($I260&gt;=Y$3,$I260&lt;=Y$2),$E260,0),$E260*NETWORKDAYS(MAX($I260,Y$3),MIN($J260,Y$2),Data!$K$4:$K$203)/$K260)))</f>
        <v>0</v>
      </c>
      <c r="Z260" s="166">
        <f>IF(OR($I260="",$E260=0),0,IF(OR($J260&lt;Z$3,$I260&gt;Z$2),0,IF($K260=0,IF(AND($I260&gt;=Z$3,$I260&lt;=Z$2),$E260,0),$E260*NETWORKDAYS(MAX($I260,Z$3),MIN($J260,Z$2),Data!$K$4:$K$203)/$K260)))</f>
        <v>0</v>
      </c>
      <c r="AA260" s="166">
        <f>IF(OR($I260="",$E260=0),0,IF(OR($J260&lt;AA$3,$I260&gt;AA$2),0,IF($K260=0,IF(AND($I260&gt;=AA$3,$I260&lt;=AA$2),$E260,0),$E260*NETWORKDAYS(MAX($I260,AA$3),MIN($J260,AA$2),Data!$K$4:$K$203)/$K260)))</f>
        <v>0</v>
      </c>
      <c r="AB260" s="166">
        <f>IF(OR($I260="",$E260=0),0,IF(OR($J260&lt;AB$3,$I260&gt;AB$2),0,IF($K260=0,IF(AND($I260&gt;=AB$3,$I260&lt;=AB$2),$E260,0),$E260*NETWORKDAYS(MAX($I260,AB$3),MIN($J260,AB$2),Data!$K$4:$K$203)/$K260)))</f>
        <v>0</v>
      </c>
      <c r="AC260" s="166">
        <f>IF(OR($I260="",$E260=0),0,IF(OR($J260&lt;AC$3,$I260&gt;AC$2),0,IF($K260=0,IF(AND($I260&gt;=AC$3,$I260&lt;=AC$2),$E260,0),$E260*NETWORKDAYS(MAX($I260,AC$3),MIN($J260,AC$2),Data!$K$4:$K$203)/$K260)))</f>
        <v>0</v>
      </c>
      <c r="AD260" s="166">
        <f>IF(OR($I260="",$E260=0),0,IF(OR($J260&lt;AD$3,$I260&gt;AD$2),0,IF($K260=0,IF(AND($I260&gt;=AD$3,$I260&lt;=AD$2),$E260,0),$E260*NETWORKDAYS(MAX($I260,AD$3),MIN($J260,AD$2),Data!$K$4:$K$203)/$K260)))</f>
        <v>0</v>
      </c>
      <c r="AE260" s="166">
        <f>IF(OR($I260="",$E260=0),0,IF(OR($J260&lt;AE$3,$I260&gt;AE$2),0,IF($K260=0,IF(AND($I260&gt;=AE$3,$I260&lt;=AE$2),$E260,0),$E260*NETWORKDAYS(MAX($I260,AE$3),MIN($J260,AE$2),Data!$K$4:$K$203)/$K260)))</f>
        <v>0</v>
      </c>
      <c r="AF260" s="166">
        <f>IF(OR($I260="",$E260=0),0,IF(OR($J260&lt;AF$3,$I260&gt;AF$2),0,IF($K260=0,IF(AND($I260&gt;=AF$3,$I260&lt;=AF$2),$E260,0),$E260*NETWORKDAYS(MAX($I260,AF$3),MIN($J260,AF$2),Data!$K$4:$K$203)/$K260)))</f>
        <v>0</v>
      </c>
      <c r="AG260" s="166">
        <f>IF(OR($I260="",$E260=0),0,IF(OR($J260&lt;AG$3,$I260&gt;AG$2),0,IF($K260=0,IF(AND($I260&gt;=AG$3,$I260&lt;=AG$2),$E260,0),$E260*NETWORKDAYS(MAX($I260,AG$3),MIN($J260,AG$2),Data!$K$4:$K$203)/$K260)))</f>
        <v>0</v>
      </c>
      <c r="AH260" s="166">
        <f>IF(OR($I260="",$E260=0),0,IF(OR($J260&lt;AH$3,$I260&gt;AH$2),0,IF($K260=0,IF(AND($I260&gt;=AH$3,$I260&lt;=AH$2),$E260,0),$E260*NETWORKDAYS(MAX($I260,AH$3),MIN($J260,AH$2),Data!$K$4:$K$203)/$K260)))</f>
        <v>0</v>
      </c>
      <c r="AI260" s="166">
        <f>SUM(W260:AH260)</f>
        <v>0</v>
      </c>
      <c r="BZ260" t="str">
        <f>IF(D260=1,IF(TRIM(INDEX(Charge!$K:$K,ROW()))&lt;&gt;"",TRIM(INDEX(Charge!$K:$K,ROW())),IF(TRIM(INDEX(Charge!$L:$L,ROW()))&lt;&gt;"",TRIM(INDEX(Charge!$L:$L,ROW())),"(non affecté)")),"")</f>
        <v/>
      </c>
      <c r="CA260" t="str">
        <f>IF(AND($CD$4&lt;&gt;"",BZ260=$CD$4),COUNTIFS($BZ$4:$BZ$503,$CD$4,$L$4:$L$503,"&lt;"&amp;L260)+1,"")</f>
        <v/>
      </c>
      <c r="EM260" t="str">
        <f>IF(D260=1,IF(TRIM(INDEX(Charge!$K:$K,ROW()))&lt;&gt;"","Interne",IF(TRIM(INDEX(Charge!$L:$L,ROW()))&lt;&gt;"","Externe","Non affecté")),"")</f>
        <v/>
      </c>
      <c r="EN260" t="str">
        <f>IF(D260=1,LEFT(SUBSTITUTE(SUBSTITUTE(SUBSTITUTE(TRIM(SUBSTITUTE(INDEX(Charge!$B:$B,ROW()),CHAR(160)," "))&amp;" | "&amp;TRIM(SUBSTITUTE(INDEX(Charge!$C:$C,ROW()),CHAR(160)," "))&amp;" | "&amp;TRIM(SUBSTITUTE(INDEX(Charge!$D:$D,ROW()),CHAR(160)," ")),"~","-"),"*","+"),"?","!"),240),"")</f>
        <v/>
      </c>
      <c r="EO260">
        <f>IF(EN260="",0,IF(COUNTIF($EN$4:EN260,EN260)=1,1,0))</f>
        <v>0</v>
      </c>
      <c r="EP260" s="166" t="str">
        <f>IF(EO260=1,ROUND(SUMIF($EN$4:$EN$503,EN260,$E$4:$E$503),2),"")</f>
        <v/>
      </c>
      <c r="EQ260" t="str">
        <f>IF(EO260=1,COUNTIFS($EO$4:$EO$503,1,$EP$4:$EP$503,"&gt;"&amp;EP260)+COUNTIFS($EO$4:EO260,1,$EP$4:EP260,EP260),"")</f>
        <v/>
      </c>
      <c r="ER260" t="str">
        <f>IF(EO260=1,COUNTIFS($EN$4:$EN$503,EN260,$EM$4:$EM$503,"Interne",$FE$4:$FE$503,1),"")</f>
        <v/>
      </c>
      <c r="ES260" t="str">
        <f>IF(EO260=1,COUNTIFS($EN$4:$EN$503,EN260,$EM$4:$EM$503,"Externe",$FE$4:$FE$503,1),"")</f>
        <v/>
      </c>
      <c r="ET260" t="str">
        <f>IF(EO260=1,IF(ER260+ES260=0,"à affecter",IF(ER260=0,ES260&amp;" ext.",(ER260+ES260)&amp;IF(ES260&gt;0," dont "&amp;ES260&amp;" ext.",""))&amp;IF(COUNTIFS($EN$4:$EN$503,EN260,$EM$4:$EM$503,"Non affecté")&gt;0," + à affecter","")),"")</f>
        <v/>
      </c>
      <c r="EU260" s="170" t="str">
        <f>IF(EO260=1,IF(EP260&gt;0,SUMPRODUCT(($EN$4:$EN$503=EN260)*$E$4:$E$503*$C$4:$C$503)/EP260,AVERAGEIF($EN$4:$EN$503,EN260,$C$4:$C$503)),"")</f>
        <v/>
      </c>
      <c r="EV260" s="165">
        <f>IF(ISNUMBER(I260),I260,2958465)</f>
        <v>2958465.0</v>
      </c>
      <c r="EW260" s="165" t="str">
        <f>IF(EO260=1,SUMPRODUCT(MIN(($EN$4:$EN$503=EN260)*$EV$4:$EV$503+($EN$4:$EN$503&lt;&gt;EN260)*2958465)),"")</f>
        <v/>
      </c>
      <c r="EX260" s="165">
        <f>IF(AND(D260=1,ISNUMBER(INDEX(Charge!$F:$F,ROW()))),INDEX(Charge!$F:$F,ROW()),0)</f>
        <v>0.0</v>
      </c>
      <c r="EY260" s="165" t="str">
        <f>IF(EO260=1,SUMPRODUCT(MAX(($EN$4:$EN$503=EN260)*$EX$4:$EX$503)),"")</f>
        <v/>
      </c>
      <c r="FA260" t="str">
        <f>IF(257&lt;=$CD$23,INDEX($EJ$4:$EJ$203,257),IF(257-$CD$23&lt;=$CD$26,INDEX($EK$4:$EK$203,257-$CD$23),""))</f>
        <v/>
      </c>
      <c r="FB260" t="str">
        <f>IF(FA260="","",IF(257&lt;=$CD$23,"Interne","Externe"))</f>
        <v/>
      </c>
      <c r="FD260">
        <f>IF(AND(B260=1,TRIM(INDEX(Charge!$K:$K,ROW()))&lt;&gt;"",TRIM(INDEX(Charge!$L:$L,ROW()))&lt;&gt;""),1,0)</f>
        <v>0</v>
      </c>
      <c r="FE260">
        <f>IF(OR(EN260="",BZ260="(non affecté)"),0,IF(COUNTIFS($EN$4:EN260,EN260,$BZ$4:BZ260,BZ260)=1,1,0))</f>
        <v>0</v>
      </c>
    </row>
    <row r="261">
      <c r="A261">
        <f>ROW()</f>
        <v>261</v>
      </c>
      <c r="B261">
        <f>IF(TRIM(INDEX(Charge!$B:$B,ROW()))&lt;&gt;"",1,0)</f>
        <v>0</v>
      </c>
      <c r="C261">
        <f>IF(B261=1,MIN(1,MAX(0,N(INDEX(Charge!$O:$O,ROW())))),0)</f>
        <v>0</v>
      </c>
      <c r="D261">
        <f>IF(B261=1,IF(OR(p_Perimetre="Tous les projets",C261&lt;1),1,0),0)</f>
        <v>0</v>
      </c>
      <c r="E261">
        <f>IF(D261=1,MAX(0,N(INDEX(Charge!$M:$M,ROW()))),0)</f>
        <v>0</v>
      </c>
      <c r="F261" t="str">
        <f>IF(D261=1,IF(TRIM(INDEX(Charge!$A:$A,ROW()))="","(non renseigné)",TRIM(INDEX(Charge!$A:$A,ROW()))),"")</f>
        <v/>
      </c>
      <c r="G261" t="str">
        <f>IF(D261=1,TRIM(INDEX(Charge!$B:$B,ROW())),"")</f>
        <v/>
      </c>
      <c r="H261" t="str">
        <f>IF(D261=1,IF(TRIM(INDEX(Charge!$E:$E,ROW()))="","(non renseigné)",TRIM(INDEX(Charge!$E:$E,ROW()))),"")</f>
        <v/>
      </c>
      <c r="I261" s="165" t="str">
        <f>IF(AND(D261=1,ISNUMBER(INDEX(Charge!$N:$N,ROW()))),INDEX(Charge!$N:$N,ROW()),"")</f>
        <v/>
      </c>
      <c r="J261" s="165" t="str">
        <f>IF(I261="","",IF(AND(p_Repartition="Lissée jusqu'à la date de besoin",ISNUMBER(INDEX(Charge!$F:$F,ROW()))),IF(INDEX(Charge!$F:$F,ROW())&gt;=I261,INDEX(Charge!$F:$F,ROW()),I261),I261))</f>
        <v/>
      </c>
      <c r="K261" t="str">
        <f>IF(I261="","",NETWORKDAYS(I261,J261,Data!$K$4:$K$203))</f>
        <v/>
      </c>
      <c r="L261" t="str">
        <f>IF(D261=1,COUNTIFS($D$4:$D$503,1,$E$4:$E$503,"&gt;"&amp;E261)+COUNTIFS($D$4:$D261,1,$E$4:$E261,E261),"")</f>
        <v/>
      </c>
      <c r="M261">
        <f>IF(F261="",0,IF(COUNTIF($F$4:F261,F261)=1,1,0))</f>
        <v>0</v>
      </c>
      <c r="N261" t="str">
        <f>IF(M261=1,ROUND(SUMIF($F$4:$F$503,F261,$E$4:$E$503),2),"")</f>
        <v/>
      </c>
      <c r="O261" t="str">
        <f>IF(M261=1,COUNTIFS($M$4:$M$503,1,$N$4:$N$503,"&gt;"&amp;N261)+COUNTIFS($M$4:M261,1,$N$4:N261,N261),"")</f>
        <v/>
      </c>
      <c r="P261">
        <f>IF(G261="",0,IF(COUNTIF($G$4:G261,G261)=1,1,0))</f>
        <v>0</v>
      </c>
      <c r="Q261" t="str">
        <f>IF(P261=1,ROUND(SUMIF($G$4:$G$503,G261,$E$4:$E$503),2),"")</f>
        <v/>
      </c>
      <c r="R261" t="str">
        <f>IF(P261=1,COUNTIFS($P$4:$P$503,1,$Q$4:$Q$503,"&gt;"&amp;Q261)+COUNTIFS($P$4:P261,1,$Q$4:Q261,Q261),"")</f>
        <v/>
      </c>
      <c r="S261">
        <f>IF(H261="",0,IF(COUNTIF($H$4:H261,H261)=1,1,0))</f>
        <v>0</v>
      </c>
      <c r="T261" t="str">
        <f>IF(S261=1,ROUND(SUMIF($H$4:$H$503,H261,$E$4:$E$503),2),"")</f>
        <v/>
      </c>
      <c r="U261" t="str">
        <f>IF(S261=1,COUNTIFS($S$4:$S$503,1,$T$4:$T$503,"&gt;"&amp;T261)+COUNTIFS($S$4:S261,1,$T$4:T261,T261),"")</f>
        <v/>
      </c>
      <c r="V261" t="str">
        <f>IF(D261=1,MIN(INDEX($R$4:$R$503,MATCH(G261,$G$4:$G$503,0)),IF($AL$7&gt;9,9,999)),"")</f>
        <v/>
      </c>
      <c r="W261" s="166">
        <f>IF(OR($I261="",$E261=0),0,IF(OR($J261&lt;W$3,$I261&gt;W$2),0,IF($K261=0,IF(AND($I261&gt;=W$3,$I261&lt;=W$2),$E261,0),$E261*NETWORKDAYS(MAX($I261,W$3),MIN($J261,W$2),Data!$K$4:$K$203)/$K261)))</f>
        <v>0</v>
      </c>
      <c r="X261" s="166">
        <f>IF(OR($I261="",$E261=0),0,IF(OR($J261&lt;X$3,$I261&gt;X$2),0,IF($K261=0,IF(AND($I261&gt;=X$3,$I261&lt;=X$2),$E261,0),$E261*NETWORKDAYS(MAX($I261,X$3),MIN($J261,X$2),Data!$K$4:$K$203)/$K261)))</f>
        <v>0</v>
      </c>
      <c r="Y261" s="166">
        <f>IF(OR($I261="",$E261=0),0,IF(OR($J261&lt;Y$3,$I261&gt;Y$2),0,IF($K261=0,IF(AND($I261&gt;=Y$3,$I261&lt;=Y$2),$E261,0),$E261*NETWORKDAYS(MAX($I261,Y$3),MIN($J261,Y$2),Data!$K$4:$K$203)/$K261)))</f>
        <v>0</v>
      </c>
      <c r="Z261" s="166">
        <f>IF(OR($I261="",$E261=0),0,IF(OR($J261&lt;Z$3,$I261&gt;Z$2),0,IF($K261=0,IF(AND($I261&gt;=Z$3,$I261&lt;=Z$2),$E261,0),$E261*NETWORKDAYS(MAX($I261,Z$3),MIN($J261,Z$2),Data!$K$4:$K$203)/$K261)))</f>
        <v>0</v>
      </c>
      <c r="AA261" s="166">
        <f>IF(OR($I261="",$E261=0),0,IF(OR($J261&lt;AA$3,$I261&gt;AA$2),0,IF($K261=0,IF(AND($I261&gt;=AA$3,$I261&lt;=AA$2),$E261,0),$E261*NETWORKDAYS(MAX($I261,AA$3),MIN($J261,AA$2),Data!$K$4:$K$203)/$K261)))</f>
        <v>0</v>
      </c>
      <c r="AB261" s="166">
        <f>IF(OR($I261="",$E261=0),0,IF(OR($J261&lt;AB$3,$I261&gt;AB$2),0,IF($K261=0,IF(AND($I261&gt;=AB$3,$I261&lt;=AB$2),$E261,0),$E261*NETWORKDAYS(MAX($I261,AB$3),MIN($J261,AB$2),Data!$K$4:$K$203)/$K261)))</f>
        <v>0</v>
      </c>
      <c r="AC261" s="166">
        <f>IF(OR($I261="",$E261=0),0,IF(OR($J261&lt;AC$3,$I261&gt;AC$2),0,IF($K261=0,IF(AND($I261&gt;=AC$3,$I261&lt;=AC$2),$E261,0),$E261*NETWORKDAYS(MAX($I261,AC$3),MIN($J261,AC$2),Data!$K$4:$K$203)/$K261)))</f>
        <v>0</v>
      </c>
      <c r="AD261" s="166">
        <f>IF(OR($I261="",$E261=0),0,IF(OR($J261&lt;AD$3,$I261&gt;AD$2),0,IF($K261=0,IF(AND($I261&gt;=AD$3,$I261&lt;=AD$2),$E261,0),$E261*NETWORKDAYS(MAX($I261,AD$3),MIN($J261,AD$2),Data!$K$4:$K$203)/$K261)))</f>
        <v>0</v>
      </c>
      <c r="AE261" s="166">
        <f>IF(OR($I261="",$E261=0),0,IF(OR($J261&lt;AE$3,$I261&gt;AE$2),0,IF($K261=0,IF(AND($I261&gt;=AE$3,$I261&lt;=AE$2),$E261,0),$E261*NETWORKDAYS(MAX($I261,AE$3),MIN($J261,AE$2),Data!$K$4:$K$203)/$K261)))</f>
        <v>0</v>
      </c>
      <c r="AF261" s="166">
        <f>IF(OR($I261="",$E261=0),0,IF(OR($J261&lt;AF$3,$I261&gt;AF$2),0,IF($K261=0,IF(AND($I261&gt;=AF$3,$I261&lt;=AF$2),$E261,0),$E261*NETWORKDAYS(MAX($I261,AF$3),MIN($J261,AF$2),Data!$K$4:$K$203)/$K261)))</f>
        <v>0</v>
      </c>
      <c r="AG261" s="166">
        <f>IF(OR($I261="",$E261=0),0,IF(OR($J261&lt;AG$3,$I261&gt;AG$2),0,IF($K261=0,IF(AND($I261&gt;=AG$3,$I261&lt;=AG$2),$E261,0),$E261*NETWORKDAYS(MAX($I261,AG$3),MIN($J261,AG$2),Data!$K$4:$K$203)/$K261)))</f>
        <v>0</v>
      </c>
      <c r="AH261" s="166">
        <f>IF(OR($I261="",$E261=0),0,IF(OR($J261&lt;AH$3,$I261&gt;AH$2),0,IF($K261=0,IF(AND($I261&gt;=AH$3,$I261&lt;=AH$2),$E261,0),$E261*NETWORKDAYS(MAX($I261,AH$3),MIN($J261,AH$2),Data!$K$4:$K$203)/$K261)))</f>
        <v>0</v>
      </c>
      <c r="AI261" s="166">
        <f>SUM(W261:AH261)</f>
        <v>0</v>
      </c>
      <c r="BZ261" t="str">
        <f>IF(D261=1,IF(TRIM(INDEX(Charge!$K:$K,ROW()))&lt;&gt;"",TRIM(INDEX(Charge!$K:$K,ROW())),IF(TRIM(INDEX(Charge!$L:$L,ROW()))&lt;&gt;"",TRIM(INDEX(Charge!$L:$L,ROW())),"(non affecté)")),"")</f>
        <v/>
      </c>
      <c r="CA261" t="str">
        <f>IF(AND($CD$4&lt;&gt;"",BZ261=$CD$4),COUNTIFS($BZ$4:$BZ$503,$CD$4,$L$4:$L$503,"&lt;"&amp;L261)+1,"")</f>
        <v/>
      </c>
      <c r="EM261" t="str">
        <f>IF(D261=1,IF(TRIM(INDEX(Charge!$K:$K,ROW()))&lt;&gt;"","Interne",IF(TRIM(INDEX(Charge!$L:$L,ROW()))&lt;&gt;"","Externe","Non affecté")),"")</f>
        <v/>
      </c>
      <c r="EN261" t="str">
        <f>IF(D261=1,LEFT(SUBSTITUTE(SUBSTITUTE(SUBSTITUTE(TRIM(SUBSTITUTE(INDEX(Charge!$B:$B,ROW()),CHAR(160)," "))&amp;" | "&amp;TRIM(SUBSTITUTE(INDEX(Charge!$C:$C,ROW()),CHAR(160)," "))&amp;" | "&amp;TRIM(SUBSTITUTE(INDEX(Charge!$D:$D,ROW()),CHAR(160)," ")),"~","-"),"*","+"),"?","!"),240),"")</f>
        <v/>
      </c>
      <c r="EO261">
        <f>IF(EN261="",0,IF(COUNTIF($EN$4:EN261,EN261)=1,1,0))</f>
        <v>0</v>
      </c>
      <c r="EP261" s="166" t="str">
        <f>IF(EO261=1,ROUND(SUMIF($EN$4:$EN$503,EN261,$E$4:$E$503),2),"")</f>
        <v/>
      </c>
      <c r="EQ261" t="str">
        <f>IF(EO261=1,COUNTIFS($EO$4:$EO$503,1,$EP$4:$EP$503,"&gt;"&amp;EP261)+COUNTIFS($EO$4:EO261,1,$EP$4:EP261,EP261),"")</f>
        <v/>
      </c>
      <c r="ER261" t="str">
        <f>IF(EO261=1,COUNTIFS($EN$4:$EN$503,EN261,$EM$4:$EM$503,"Interne",$FE$4:$FE$503,1),"")</f>
        <v/>
      </c>
      <c r="ES261" t="str">
        <f>IF(EO261=1,COUNTIFS($EN$4:$EN$503,EN261,$EM$4:$EM$503,"Externe",$FE$4:$FE$503,1),"")</f>
        <v/>
      </c>
      <c r="ET261" t="str">
        <f>IF(EO261=1,IF(ER261+ES261=0,"à affecter",IF(ER261=0,ES261&amp;" ext.",(ER261+ES261)&amp;IF(ES261&gt;0," dont "&amp;ES261&amp;" ext.",""))&amp;IF(COUNTIFS($EN$4:$EN$503,EN261,$EM$4:$EM$503,"Non affecté")&gt;0," + à affecter","")),"")</f>
        <v/>
      </c>
      <c r="EU261" s="170" t="str">
        <f>IF(EO261=1,IF(EP261&gt;0,SUMPRODUCT(($EN$4:$EN$503=EN261)*$E$4:$E$503*$C$4:$C$503)/EP261,AVERAGEIF($EN$4:$EN$503,EN261,$C$4:$C$503)),"")</f>
        <v/>
      </c>
      <c r="EV261" s="165">
        <f>IF(ISNUMBER(I261),I261,2958465)</f>
        <v>2958465.0</v>
      </c>
      <c r="EW261" s="165" t="str">
        <f>IF(EO261=1,SUMPRODUCT(MIN(($EN$4:$EN$503=EN261)*$EV$4:$EV$503+($EN$4:$EN$503&lt;&gt;EN261)*2958465)),"")</f>
        <v/>
      </c>
      <c r="EX261" s="165">
        <f>IF(AND(D261=1,ISNUMBER(INDEX(Charge!$F:$F,ROW()))),INDEX(Charge!$F:$F,ROW()),0)</f>
        <v>0.0</v>
      </c>
      <c r="EY261" s="165" t="str">
        <f>IF(EO261=1,SUMPRODUCT(MAX(($EN$4:$EN$503=EN261)*$EX$4:$EX$503)),"")</f>
        <v/>
      </c>
      <c r="FA261" t="str">
        <f>IF(258&lt;=$CD$23,INDEX($EJ$4:$EJ$203,258),IF(258-$CD$23&lt;=$CD$26,INDEX($EK$4:$EK$203,258-$CD$23),""))</f>
        <v/>
      </c>
      <c r="FB261" t="str">
        <f>IF(FA261="","",IF(258&lt;=$CD$23,"Interne","Externe"))</f>
        <v/>
      </c>
      <c r="FD261">
        <f>IF(AND(B261=1,TRIM(INDEX(Charge!$K:$K,ROW()))&lt;&gt;"",TRIM(INDEX(Charge!$L:$L,ROW()))&lt;&gt;""),1,0)</f>
        <v>0</v>
      </c>
      <c r="FE261">
        <f>IF(OR(EN261="",BZ261="(non affecté)"),0,IF(COUNTIFS($EN$4:EN261,EN261,$BZ$4:BZ261,BZ261)=1,1,0))</f>
        <v>0</v>
      </c>
    </row>
    <row r="262">
      <c r="A262">
        <f>ROW()</f>
        <v>262</v>
      </c>
      <c r="B262">
        <f>IF(TRIM(INDEX(Charge!$B:$B,ROW()))&lt;&gt;"",1,0)</f>
        <v>0</v>
      </c>
      <c r="C262">
        <f>IF(B262=1,MIN(1,MAX(0,N(INDEX(Charge!$O:$O,ROW())))),0)</f>
        <v>0</v>
      </c>
      <c r="D262">
        <f>IF(B262=1,IF(OR(p_Perimetre="Tous les projets",C262&lt;1),1,0),0)</f>
        <v>0</v>
      </c>
      <c r="E262">
        <f>IF(D262=1,MAX(0,N(INDEX(Charge!$M:$M,ROW()))),0)</f>
        <v>0</v>
      </c>
      <c r="F262" t="str">
        <f>IF(D262=1,IF(TRIM(INDEX(Charge!$A:$A,ROW()))="","(non renseigné)",TRIM(INDEX(Charge!$A:$A,ROW()))),"")</f>
        <v/>
      </c>
      <c r="G262" t="str">
        <f>IF(D262=1,TRIM(INDEX(Charge!$B:$B,ROW())),"")</f>
        <v/>
      </c>
      <c r="H262" t="str">
        <f>IF(D262=1,IF(TRIM(INDEX(Charge!$E:$E,ROW()))="","(non renseigné)",TRIM(INDEX(Charge!$E:$E,ROW()))),"")</f>
        <v/>
      </c>
      <c r="I262" s="165" t="str">
        <f>IF(AND(D262=1,ISNUMBER(INDEX(Charge!$N:$N,ROW()))),INDEX(Charge!$N:$N,ROW()),"")</f>
        <v/>
      </c>
      <c r="J262" s="165" t="str">
        <f>IF(I262="","",IF(AND(p_Repartition="Lissée jusqu'à la date de besoin",ISNUMBER(INDEX(Charge!$F:$F,ROW()))),IF(INDEX(Charge!$F:$F,ROW())&gt;=I262,INDEX(Charge!$F:$F,ROW()),I262),I262))</f>
        <v/>
      </c>
      <c r="K262" t="str">
        <f>IF(I262="","",NETWORKDAYS(I262,J262,Data!$K$4:$K$203))</f>
        <v/>
      </c>
      <c r="L262" t="str">
        <f>IF(D262=1,COUNTIFS($D$4:$D$503,1,$E$4:$E$503,"&gt;"&amp;E262)+COUNTIFS($D$4:$D262,1,$E$4:$E262,E262),"")</f>
        <v/>
      </c>
      <c r="M262">
        <f>IF(F262="",0,IF(COUNTIF($F$4:F262,F262)=1,1,0))</f>
        <v>0</v>
      </c>
      <c r="N262" t="str">
        <f>IF(M262=1,ROUND(SUMIF($F$4:$F$503,F262,$E$4:$E$503),2),"")</f>
        <v/>
      </c>
      <c r="O262" t="str">
        <f>IF(M262=1,COUNTIFS($M$4:$M$503,1,$N$4:$N$503,"&gt;"&amp;N262)+COUNTIFS($M$4:M262,1,$N$4:N262,N262),"")</f>
        <v/>
      </c>
      <c r="P262">
        <f>IF(G262="",0,IF(COUNTIF($G$4:G262,G262)=1,1,0))</f>
        <v>0</v>
      </c>
      <c r="Q262" t="str">
        <f>IF(P262=1,ROUND(SUMIF($G$4:$G$503,G262,$E$4:$E$503),2),"")</f>
        <v/>
      </c>
      <c r="R262" t="str">
        <f>IF(P262=1,COUNTIFS($P$4:$P$503,1,$Q$4:$Q$503,"&gt;"&amp;Q262)+COUNTIFS($P$4:P262,1,$Q$4:Q262,Q262),"")</f>
        <v/>
      </c>
      <c r="S262">
        <f>IF(H262="",0,IF(COUNTIF($H$4:H262,H262)=1,1,0))</f>
        <v>0</v>
      </c>
      <c r="T262" t="str">
        <f>IF(S262=1,ROUND(SUMIF($H$4:$H$503,H262,$E$4:$E$503),2),"")</f>
        <v/>
      </c>
      <c r="U262" t="str">
        <f>IF(S262=1,COUNTIFS($S$4:$S$503,1,$T$4:$T$503,"&gt;"&amp;T262)+COUNTIFS($S$4:S262,1,$T$4:T262,T262),"")</f>
        <v/>
      </c>
      <c r="V262" t="str">
        <f>IF(D262=1,MIN(INDEX($R$4:$R$503,MATCH(G262,$G$4:$G$503,0)),IF($AL$7&gt;9,9,999)),"")</f>
        <v/>
      </c>
      <c r="W262" s="166">
        <f>IF(OR($I262="",$E262=0),0,IF(OR($J262&lt;W$3,$I262&gt;W$2),0,IF($K262=0,IF(AND($I262&gt;=W$3,$I262&lt;=W$2),$E262,0),$E262*NETWORKDAYS(MAX($I262,W$3),MIN($J262,W$2),Data!$K$4:$K$203)/$K262)))</f>
        <v>0</v>
      </c>
      <c r="X262" s="166">
        <f>IF(OR($I262="",$E262=0),0,IF(OR($J262&lt;X$3,$I262&gt;X$2),0,IF($K262=0,IF(AND($I262&gt;=X$3,$I262&lt;=X$2),$E262,0),$E262*NETWORKDAYS(MAX($I262,X$3),MIN($J262,X$2),Data!$K$4:$K$203)/$K262)))</f>
        <v>0</v>
      </c>
      <c r="Y262" s="166">
        <f>IF(OR($I262="",$E262=0),0,IF(OR($J262&lt;Y$3,$I262&gt;Y$2),0,IF($K262=0,IF(AND($I262&gt;=Y$3,$I262&lt;=Y$2),$E262,0),$E262*NETWORKDAYS(MAX($I262,Y$3),MIN($J262,Y$2),Data!$K$4:$K$203)/$K262)))</f>
        <v>0</v>
      </c>
      <c r="Z262" s="166">
        <f>IF(OR($I262="",$E262=0),0,IF(OR($J262&lt;Z$3,$I262&gt;Z$2),0,IF($K262=0,IF(AND($I262&gt;=Z$3,$I262&lt;=Z$2),$E262,0),$E262*NETWORKDAYS(MAX($I262,Z$3),MIN($J262,Z$2),Data!$K$4:$K$203)/$K262)))</f>
        <v>0</v>
      </c>
      <c r="AA262" s="166">
        <f>IF(OR($I262="",$E262=0),0,IF(OR($J262&lt;AA$3,$I262&gt;AA$2),0,IF($K262=0,IF(AND($I262&gt;=AA$3,$I262&lt;=AA$2),$E262,0),$E262*NETWORKDAYS(MAX($I262,AA$3),MIN($J262,AA$2),Data!$K$4:$K$203)/$K262)))</f>
        <v>0</v>
      </c>
      <c r="AB262" s="166">
        <f>IF(OR($I262="",$E262=0),0,IF(OR($J262&lt;AB$3,$I262&gt;AB$2),0,IF($K262=0,IF(AND($I262&gt;=AB$3,$I262&lt;=AB$2),$E262,0),$E262*NETWORKDAYS(MAX($I262,AB$3),MIN($J262,AB$2),Data!$K$4:$K$203)/$K262)))</f>
        <v>0</v>
      </c>
      <c r="AC262" s="166">
        <f>IF(OR($I262="",$E262=0),0,IF(OR($J262&lt;AC$3,$I262&gt;AC$2),0,IF($K262=0,IF(AND($I262&gt;=AC$3,$I262&lt;=AC$2),$E262,0),$E262*NETWORKDAYS(MAX($I262,AC$3),MIN($J262,AC$2),Data!$K$4:$K$203)/$K262)))</f>
        <v>0</v>
      </c>
      <c r="AD262" s="166">
        <f>IF(OR($I262="",$E262=0),0,IF(OR($J262&lt;AD$3,$I262&gt;AD$2),0,IF($K262=0,IF(AND($I262&gt;=AD$3,$I262&lt;=AD$2),$E262,0),$E262*NETWORKDAYS(MAX($I262,AD$3),MIN($J262,AD$2),Data!$K$4:$K$203)/$K262)))</f>
        <v>0</v>
      </c>
      <c r="AE262" s="166">
        <f>IF(OR($I262="",$E262=0),0,IF(OR($J262&lt;AE$3,$I262&gt;AE$2),0,IF($K262=0,IF(AND($I262&gt;=AE$3,$I262&lt;=AE$2),$E262,0),$E262*NETWORKDAYS(MAX($I262,AE$3),MIN($J262,AE$2),Data!$K$4:$K$203)/$K262)))</f>
        <v>0</v>
      </c>
      <c r="AF262" s="166">
        <f>IF(OR($I262="",$E262=0),0,IF(OR($J262&lt;AF$3,$I262&gt;AF$2),0,IF($K262=0,IF(AND($I262&gt;=AF$3,$I262&lt;=AF$2),$E262,0),$E262*NETWORKDAYS(MAX($I262,AF$3),MIN($J262,AF$2),Data!$K$4:$K$203)/$K262)))</f>
        <v>0</v>
      </c>
      <c r="AG262" s="166">
        <f>IF(OR($I262="",$E262=0),0,IF(OR($J262&lt;AG$3,$I262&gt;AG$2),0,IF($K262=0,IF(AND($I262&gt;=AG$3,$I262&lt;=AG$2),$E262,0),$E262*NETWORKDAYS(MAX($I262,AG$3),MIN($J262,AG$2),Data!$K$4:$K$203)/$K262)))</f>
        <v>0</v>
      </c>
      <c r="AH262" s="166">
        <f>IF(OR($I262="",$E262=0),0,IF(OR($J262&lt;AH$3,$I262&gt;AH$2),0,IF($K262=0,IF(AND($I262&gt;=AH$3,$I262&lt;=AH$2),$E262,0),$E262*NETWORKDAYS(MAX($I262,AH$3),MIN($J262,AH$2),Data!$K$4:$K$203)/$K262)))</f>
        <v>0</v>
      </c>
      <c r="AI262" s="166">
        <f>SUM(W262:AH262)</f>
        <v>0</v>
      </c>
      <c r="BZ262" t="str">
        <f>IF(D262=1,IF(TRIM(INDEX(Charge!$K:$K,ROW()))&lt;&gt;"",TRIM(INDEX(Charge!$K:$K,ROW())),IF(TRIM(INDEX(Charge!$L:$L,ROW()))&lt;&gt;"",TRIM(INDEX(Charge!$L:$L,ROW())),"(non affecté)")),"")</f>
        <v/>
      </c>
      <c r="CA262" t="str">
        <f>IF(AND($CD$4&lt;&gt;"",BZ262=$CD$4),COUNTIFS($BZ$4:$BZ$503,$CD$4,$L$4:$L$503,"&lt;"&amp;L262)+1,"")</f>
        <v/>
      </c>
      <c r="EM262" t="str">
        <f>IF(D262=1,IF(TRIM(INDEX(Charge!$K:$K,ROW()))&lt;&gt;"","Interne",IF(TRIM(INDEX(Charge!$L:$L,ROW()))&lt;&gt;"","Externe","Non affecté")),"")</f>
        <v/>
      </c>
      <c r="EN262" t="str">
        <f>IF(D262=1,LEFT(SUBSTITUTE(SUBSTITUTE(SUBSTITUTE(TRIM(SUBSTITUTE(INDEX(Charge!$B:$B,ROW()),CHAR(160)," "))&amp;" | "&amp;TRIM(SUBSTITUTE(INDEX(Charge!$C:$C,ROW()),CHAR(160)," "))&amp;" | "&amp;TRIM(SUBSTITUTE(INDEX(Charge!$D:$D,ROW()),CHAR(160)," ")),"~","-"),"*","+"),"?","!"),240),"")</f>
        <v/>
      </c>
      <c r="EO262">
        <f>IF(EN262="",0,IF(COUNTIF($EN$4:EN262,EN262)=1,1,0))</f>
        <v>0</v>
      </c>
      <c r="EP262" s="166" t="str">
        <f>IF(EO262=1,ROUND(SUMIF($EN$4:$EN$503,EN262,$E$4:$E$503),2),"")</f>
        <v/>
      </c>
      <c r="EQ262" t="str">
        <f>IF(EO262=1,COUNTIFS($EO$4:$EO$503,1,$EP$4:$EP$503,"&gt;"&amp;EP262)+COUNTIFS($EO$4:EO262,1,$EP$4:EP262,EP262),"")</f>
        <v/>
      </c>
      <c r="ER262" t="str">
        <f>IF(EO262=1,COUNTIFS($EN$4:$EN$503,EN262,$EM$4:$EM$503,"Interne",$FE$4:$FE$503,1),"")</f>
        <v/>
      </c>
      <c r="ES262" t="str">
        <f>IF(EO262=1,COUNTIFS($EN$4:$EN$503,EN262,$EM$4:$EM$503,"Externe",$FE$4:$FE$503,1),"")</f>
        <v/>
      </c>
      <c r="ET262" t="str">
        <f>IF(EO262=1,IF(ER262+ES262=0,"à affecter",IF(ER262=0,ES262&amp;" ext.",(ER262+ES262)&amp;IF(ES262&gt;0," dont "&amp;ES262&amp;" ext.",""))&amp;IF(COUNTIFS($EN$4:$EN$503,EN262,$EM$4:$EM$503,"Non affecté")&gt;0," + à affecter","")),"")</f>
        <v/>
      </c>
      <c r="EU262" s="170" t="str">
        <f>IF(EO262=1,IF(EP262&gt;0,SUMPRODUCT(($EN$4:$EN$503=EN262)*$E$4:$E$503*$C$4:$C$503)/EP262,AVERAGEIF($EN$4:$EN$503,EN262,$C$4:$C$503)),"")</f>
        <v/>
      </c>
      <c r="EV262" s="165">
        <f>IF(ISNUMBER(I262),I262,2958465)</f>
        <v>2958465.0</v>
      </c>
      <c r="EW262" s="165" t="str">
        <f>IF(EO262=1,SUMPRODUCT(MIN(($EN$4:$EN$503=EN262)*$EV$4:$EV$503+($EN$4:$EN$503&lt;&gt;EN262)*2958465)),"")</f>
        <v/>
      </c>
      <c r="EX262" s="165">
        <f>IF(AND(D262=1,ISNUMBER(INDEX(Charge!$F:$F,ROW()))),INDEX(Charge!$F:$F,ROW()),0)</f>
        <v>0.0</v>
      </c>
      <c r="EY262" s="165" t="str">
        <f>IF(EO262=1,SUMPRODUCT(MAX(($EN$4:$EN$503=EN262)*$EX$4:$EX$503)),"")</f>
        <v/>
      </c>
      <c r="FA262" t="str">
        <f>IF(259&lt;=$CD$23,INDEX($EJ$4:$EJ$203,259),IF(259-$CD$23&lt;=$CD$26,INDEX($EK$4:$EK$203,259-$CD$23),""))</f>
        <v/>
      </c>
      <c r="FB262" t="str">
        <f>IF(FA262="","",IF(259&lt;=$CD$23,"Interne","Externe"))</f>
        <v/>
      </c>
      <c r="FD262">
        <f>IF(AND(B262=1,TRIM(INDEX(Charge!$K:$K,ROW()))&lt;&gt;"",TRIM(INDEX(Charge!$L:$L,ROW()))&lt;&gt;""),1,0)</f>
        <v>0</v>
      </c>
      <c r="FE262">
        <f>IF(OR(EN262="",BZ262="(non affecté)"),0,IF(COUNTIFS($EN$4:EN262,EN262,$BZ$4:BZ262,BZ262)=1,1,0))</f>
        <v>0</v>
      </c>
    </row>
    <row r="263">
      <c r="A263">
        <f>ROW()</f>
        <v>263</v>
      </c>
      <c r="B263">
        <f>IF(TRIM(INDEX(Charge!$B:$B,ROW()))&lt;&gt;"",1,0)</f>
        <v>0</v>
      </c>
      <c r="C263">
        <f>IF(B263=1,MIN(1,MAX(0,N(INDEX(Charge!$O:$O,ROW())))),0)</f>
        <v>0</v>
      </c>
      <c r="D263">
        <f>IF(B263=1,IF(OR(p_Perimetre="Tous les projets",C263&lt;1),1,0),0)</f>
        <v>0</v>
      </c>
      <c r="E263">
        <f>IF(D263=1,MAX(0,N(INDEX(Charge!$M:$M,ROW()))),0)</f>
        <v>0</v>
      </c>
      <c r="F263" t="str">
        <f>IF(D263=1,IF(TRIM(INDEX(Charge!$A:$A,ROW()))="","(non renseigné)",TRIM(INDEX(Charge!$A:$A,ROW()))),"")</f>
        <v/>
      </c>
      <c r="G263" t="str">
        <f>IF(D263=1,TRIM(INDEX(Charge!$B:$B,ROW())),"")</f>
        <v/>
      </c>
      <c r="H263" t="str">
        <f>IF(D263=1,IF(TRIM(INDEX(Charge!$E:$E,ROW()))="","(non renseigné)",TRIM(INDEX(Charge!$E:$E,ROW()))),"")</f>
        <v/>
      </c>
      <c r="I263" s="165" t="str">
        <f>IF(AND(D263=1,ISNUMBER(INDEX(Charge!$N:$N,ROW()))),INDEX(Charge!$N:$N,ROW()),"")</f>
        <v/>
      </c>
      <c r="J263" s="165" t="str">
        <f>IF(I263="","",IF(AND(p_Repartition="Lissée jusqu'à la date de besoin",ISNUMBER(INDEX(Charge!$F:$F,ROW()))),IF(INDEX(Charge!$F:$F,ROW())&gt;=I263,INDEX(Charge!$F:$F,ROW()),I263),I263))</f>
        <v/>
      </c>
      <c r="K263" t="str">
        <f>IF(I263="","",NETWORKDAYS(I263,J263,Data!$K$4:$K$203))</f>
        <v/>
      </c>
      <c r="L263" t="str">
        <f>IF(D263=1,COUNTIFS($D$4:$D$503,1,$E$4:$E$503,"&gt;"&amp;E263)+COUNTIFS($D$4:$D263,1,$E$4:$E263,E263),"")</f>
        <v/>
      </c>
      <c r="M263">
        <f>IF(F263="",0,IF(COUNTIF($F$4:F263,F263)=1,1,0))</f>
        <v>0</v>
      </c>
      <c r="N263" t="str">
        <f>IF(M263=1,ROUND(SUMIF($F$4:$F$503,F263,$E$4:$E$503),2),"")</f>
        <v/>
      </c>
      <c r="O263" t="str">
        <f>IF(M263=1,COUNTIFS($M$4:$M$503,1,$N$4:$N$503,"&gt;"&amp;N263)+COUNTIFS($M$4:M263,1,$N$4:N263,N263),"")</f>
        <v/>
      </c>
      <c r="P263">
        <f>IF(G263="",0,IF(COUNTIF($G$4:G263,G263)=1,1,0))</f>
        <v>0</v>
      </c>
      <c r="Q263" t="str">
        <f>IF(P263=1,ROUND(SUMIF($G$4:$G$503,G263,$E$4:$E$503),2),"")</f>
        <v/>
      </c>
      <c r="R263" t="str">
        <f>IF(P263=1,COUNTIFS($P$4:$P$503,1,$Q$4:$Q$503,"&gt;"&amp;Q263)+COUNTIFS($P$4:P263,1,$Q$4:Q263,Q263),"")</f>
        <v/>
      </c>
      <c r="S263">
        <f>IF(H263="",0,IF(COUNTIF($H$4:H263,H263)=1,1,0))</f>
        <v>0</v>
      </c>
      <c r="T263" t="str">
        <f>IF(S263=1,ROUND(SUMIF($H$4:$H$503,H263,$E$4:$E$503),2),"")</f>
        <v/>
      </c>
      <c r="U263" t="str">
        <f>IF(S263=1,COUNTIFS($S$4:$S$503,1,$T$4:$T$503,"&gt;"&amp;T263)+COUNTIFS($S$4:S263,1,$T$4:T263,T263),"")</f>
        <v/>
      </c>
      <c r="V263" t="str">
        <f>IF(D263=1,MIN(INDEX($R$4:$R$503,MATCH(G263,$G$4:$G$503,0)),IF($AL$7&gt;9,9,999)),"")</f>
        <v/>
      </c>
      <c r="W263" s="166">
        <f>IF(OR($I263="",$E263=0),0,IF(OR($J263&lt;W$3,$I263&gt;W$2),0,IF($K263=0,IF(AND($I263&gt;=W$3,$I263&lt;=W$2),$E263,0),$E263*NETWORKDAYS(MAX($I263,W$3),MIN($J263,W$2),Data!$K$4:$K$203)/$K263)))</f>
        <v>0</v>
      </c>
      <c r="X263" s="166">
        <f>IF(OR($I263="",$E263=0),0,IF(OR($J263&lt;X$3,$I263&gt;X$2),0,IF($K263=0,IF(AND($I263&gt;=X$3,$I263&lt;=X$2),$E263,0),$E263*NETWORKDAYS(MAX($I263,X$3),MIN($J263,X$2),Data!$K$4:$K$203)/$K263)))</f>
        <v>0</v>
      </c>
      <c r="Y263" s="166">
        <f>IF(OR($I263="",$E263=0),0,IF(OR($J263&lt;Y$3,$I263&gt;Y$2),0,IF($K263=0,IF(AND($I263&gt;=Y$3,$I263&lt;=Y$2),$E263,0),$E263*NETWORKDAYS(MAX($I263,Y$3),MIN($J263,Y$2),Data!$K$4:$K$203)/$K263)))</f>
        <v>0</v>
      </c>
      <c r="Z263" s="166">
        <f>IF(OR($I263="",$E263=0),0,IF(OR($J263&lt;Z$3,$I263&gt;Z$2),0,IF($K263=0,IF(AND($I263&gt;=Z$3,$I263&lt;=Z$2),$E263,0),$E263*NETWORKDAYS(MAX($I263,Z$3),MIN($J263,Z$2),Data!$K$4:$K$203)/$K263)))</f>
        <v>0</v>
      </c>
      <c r="AA263" s="166">
        <f>IF(OR($I263="",$E263=0),0,IF(OR($J263&lt;AA$3,$I263&gt;AA$2),0,IF($K263=0,IF(AND($I263&gt;=AA$3,$I263&lt;=AA$2),$E263,0),$E263*NETWORKDAYS(MAX($I263,AA$3),MIN($J263,AA$2),Data!$K$4:$K$203)/$K263)))</f>
        <v>0</v>
      </c>
      <c r="AB263" s="166">
        <f>IF(OR($I263="",$E263=0),0,IF(OR($J263&lt;AB$3,$I263&gt;AB$2),0,IF($K263=0,IF(AND($I263&gt;=AB$3,$I263&lt;=AB$2),$E263,0),$E263*NETWORKDAYS(MAX($I263,AB$3),MIN($J263,AB$2),Data!$K$4:$K$203)/$K263)))</f>
        <v>0</v>
      </c>
      <c r="AC263" s="166">
        <f>IF(OR($I263="",$E263=0),0,IF(OR($J263&lt;AC$3,$I263&gt;AC$2),0,IF($K263=0,IF(AND($I263&gt;=AC$3,$I263&lt;=AC$2),$E263,0),$E263*NETWORKDAYS(MAX($I263,AC$3),MIN($J263,AC$2),Data!$K$4:$K$203)/$K263)))</f>
        <v>0</v>
      </c>
      <c r="AD263" s="166">
        <f>IF(OR($I263="",$E263=0),0,IF(OR($J263&lt;AD$3,$I263&gt;AD$2),0,IF($K263=0,IF(AND($I263&gt;=AD$3,$I263&lt;=AD$2),$E263,0),$E263*NETWORKDAYS(MAX($I263,AD$3),MIN($J263,AD$2),Data!$K$4:$K$203)/$K263)))</f>
        <v>0</v>
      </c>
      <c r="AE263" s="166">
        <f>IF(OR($I263="",$E263=0),0,IF(OR($J263&lt;AE$3,$I263&gt;AE$2),0,IF($K263=0,IF(AND($I263&gt;=AE$3,$I263&lt;=AE$2),$E263,0),$E263*NETWORKDAYS(MAX($I263,AE$3),MIN($J263,AE$2),Data!$K$4:$K$203)/$K263)))</f>
        <v>0</v>
      </c>
      <c r="AF263" s="166">
        <f>IF(OR($I263="",$E263=0),0,IF(OR($J263&lt;AF$3,$I263&gt;AF$2),0,IF($K263=0,IF(AND($I263&gt;=AF$3,$I263&lt;=AF$2),$E263,0),$E263*NETWORKDAYS(MAX($I263,AF$3),MIN($J263,AF$2),Data!$K$4:$K$203)/$K263)))</f>
        <v>0</v>
      </c>
      <c r="AG263" s="166">
        <f>IF(OR($I263="",$E263=0),0,IF(OR($J263&lt;AG$3,$I263&gt;AG$2),0,IF($K263=0,IF(AND($I263&gt;=AG$3,$I263&lt;=AG$2),$E263,0),$E263*NETWORKDAYS(MAX($I263,AG$3),MIN($J263,AG$2),Data!$K$4:$K$203)/$K263)))</f>
        <v>0</v>
      </c>
      <c r="AH263" s="166">
        <f>IF(OR($I263="",$E263=0),0,IF(OR($J263&lt;AH$3,$I263&gt;AH$2),0,IF($K263=0,IF(AND($I263&gt;=AH$3,$I263&lt;=AH$2),$E263,0),$E263*NETWORKDAYS(MAX($I263,AH$3),MIN($J263,AH$2),Data!$K$4:$K$203)/$K263)))</f>
        <v>0</v>
      </c>
      <c r="AI263" s="166">
        <f>SUM(W263:AH263)</f>
        <v>0</v>
      </c>
      <c r="BZ263" t="str">
        <f>IF(D263=1,IF(TRIM(INDEX(Charge!$K:$K,ROW()))&lt;&gt;"",TRIM(INDEX(Charge!$K:$K,ROW())),IF(TRIM(INDEX(Charge!$L:$L,ROW()))&lt;&gt;"",TRIM(INDEX(Charge!$L:$L,ROW())),"(non affecté)")),"")</f>
        <v/>
      </c>
      <c r="CA263" t="str">
        <f>IF(AND($CD$4&lt;&gt;"",BZ263=$CD$4),COUNTIFS($BZ$4:$BZ$503,$CD$4,$L$4:$L$503,"&lt;"&amp;L263)+1,"")</f>
        <v/>
      </c>
      <c r="EM263" t="str">
        <f>IF(D263=1,IF(TRIM(INDEX(Charge!$K:$K,ROW()))&lt;&gt;"","Interne",IF(TRIM(INDEX(Charge!$L:$L,ROW()))&lt;&gt;"","Externe","Non affecté")),"")</f>
        <v/>
      </c>
      <c r="EN263" t="str">
        <f>IF(D263=1,LEFT(SUBSTITUTE(SUBSTITUTE(SUBSTITUTE(TRIM(SUBSTITUTE(INDEX(Charge!$B:$B,ROW()),CHAR(160)," "))&amp;" | "&amp;TRIM(SUBSTITUTE(INDEX(Charge!$C:$C,ROW()),CHAR(160)," "))&amp;" | "&amp;TRIM(SUBSTITUTE(INDEX(Charge!$D:$D,ROW()),CHAR(160)," ")),"~","-"),"*","+"),"?","!"),240),"")</f>
        <v/>
      </c>
      <c r="EO263">
        <f>IF(EN263="",0,IF(COUNTIF($EN$4:EN263,EN263)=1,1,0))</f>
        <v>0</v>
      </c>
      <c r="EP263" s="166" t="str">
        <f>IF(EO263=1,ROUND(SUMIF($EN$4:$EN$503,EN263,$E$4:$E$503),2),"")</f>
        <v/>
      </c>
      <c r="EQ263" t="str">
        <f>IF(EO263=1,COUNTIFS($EO$4:$EO$503,1,$EP$4:$EP$503,"&gt;"&amp;EP263)+COUNTIFS($EO$4:EO263,1,$EP$4:EP263,EP263),"")</f>
        <v/>
      </c>
      <c r="ER263" t="str">
        <f>IF(EO263=1,COUNTIFS($EN$4:$EN$503,EN263,$EM$4:$EM$503,"Interne",$FE$4:$FE$503,1),"")</f>
        <v/>
      </c>
      <c r="ES263" t="str">
        <f>IF(EO263=1,COUNTIFS($EN$4:$EN$503,EN263,$EM$4:$EM$503,"Externe",$FE$4:$FE$503,1),"")</f>
        <v/>
      </c>
      <c r="ET263" t="str">
        <f>IF(EO263=1,IF(ER263+ES263=0,"à affecter",IF(ER263=0,ES263&amp;" ext.",(ER263+ES263)&amp;IF(ES263&gt;0," dont "&amp;ES263&amp;" ext.",""))&amp;IF(COUNTIFS($EN$4:$EN$503,EN263,$EM$4:$EM$503,"Non affecté")&gt;0," + à affecter","")),"")</f>
        <v/>
      </c>
      <c r="EU263" s="170" t="str">
        <f>IF(EO263=1,IF(EP263&gt;0,SUMPRODUCT(($EN$4:$EN$503=EN263)*$E$4:$E$503*$C$4:$C$503)/EP263,AVERAGEIF($EN$4:$EN$503,EN263,$C$4:$C$503)),"")</f>
        <v/>
      </c>
      <c r="EV263" s="165">
        <f>IF(ISNUMBER(I263),I263,2958465)</f>
        <v>2958465.0</v>
      </c>
      <c r="EW263" s="165" t="str">
        <f>IF(EO263=1,SUMPRODUCT(MIN(($EN$4:$EN$503=EN263)*$EV$4:$EV$503+($EN$4:$EN$503&lt;&gt;EN263)*2958465)),"")</f>
        <v/>
      </c>
      <c r="EX263" s="165">
        <f>IF(AND(D263=1,ISNUMBER(INDEX(Charge!$F:$F,ROW()))),INDEX(Charge!$F:$F,ROW()),0)</f>
        <v>0.0</v>
      </c>
      <c r="EY263" s="165" t="str">
        <f>IF(EO263=1,SUMPRODUCT(MAX(($EN$4:$EN$503=EN263)*$EX$4:$EX$503)),"")</f>
        <v/>
      </c>
      <c r="FA263" t="str">
        <f>IF(260&lt;=$CD$23,INDEX($EJ$4:$EJ$203,260),IF(260-$CD$23&lt;=$CD$26,INDEX($EK$4:$EK$203,260-$CD$23),""))</f>
        <v/>
      </c>
      <c r="FB263" t="str">
        <f>IF(FA263="","",IF(260&lt;=$CD$23,"Interne","Externe"))</f>
        <v/>
      </c>
      <c r="FD263">
        <f>IF(AND(B263=1,TRIM(INDEX(Charge!$K:$K,ROW()))&lt;&gt;"",TRIM(INDEX(Charge!$L:$L,ROW()))&lt;&gt;""),1,0)</f>
        <v>0</v>
      </c>
      <c r="FE263">
        <f>IF(OR(EN263="",BZ263="(non affecté)"),0,IF(COUNTIFS($EN$4:EN263,EN263,$BZ$4:BZ263,BZ263)=1,1,0))</f>
        <v>0</v>
      </c>
    </row>
    <row r="264">
      <c r="A264">
        <f>ROW()</f>
        <v>264</v>
      </c>
      <c r="B264">
        <f>IF(TRIM(INDEX(Charge!$B:$B,ROW()))&lt;&gt;"",1,0)</f>
        <v>0</v>
      </c>
      <c r="C264">
        <f>IF(B264=1,MIN(1,MAX(0,N(INDEX(Charge!$O:$O,ROW())))),0)</f>
        <v>0</v>
      </c>
      <c r="D264">
        <f>IF(B264=1,IF(OR(p_Perimetre="Tous les projets",C264&lt;1),1,0),0)</f>
        <v>0</v>
      </c>
      <c r="E264">
        <f>IF(D264=1,MAX(0,N(INDEX(Charge!$M:$M,ROW()))),0)</f>
        <v>0</v>
      </c>
      <c r="F264" t="str">
        <f>IF(D264=1,IF(TRIM(INDEX(Charge!$A:$A,ROW()))="","(non renseigné)",TRIM(INDEX(Charge!$A:$A,ROW()))),"")</f>
        <v/>
      </c>
      <c r="G264" t="str">
        <f>IF(D264=1,TRIM(INDEX(Charge!$B:$B,ROW())),"")</f>
        <v/>
      </c>
      <c r="H264" t="str">
        <f>IF(D264=1,IF(TRIM(INDEX(Charge!$E:$E,ROW()))="","(non renseigné)",TRIM(INDEX(Charge!$E:$E,ROW()))),"")</f>
        <v/>
      </c>
      <c r="I264" s="165" t="str">
        <f>IF(AND(D264=1,ISNUMBER(INDEX(Charge!$N:$N,ROW()))),INDEX(Charge!$N:$N,ROW()),"")</f>
        <v/>
      </c>
      <c r="J264" s="165" t="str">
        <f>IF(I264="","",IF(AND(p_Repartition="Lissée jusqu'à la date de besoin",ISNUMBER(INDEX(Charge!$F:$F,ROW()))),IF(INDEX(Charge!$F:$F,ROW())&gt;=I264,INDEX(Charge!$F:$F,ROW()),I264),I264))</f>
        <v/>
      </c>
      <c r="K264" t="str">
        <f>IF(I264="","",NETWORKDAYS(I264,J264,Data!$K$4:$K$203))</f>
        <v/>
      </c>
      <c r="L264" t="str">
        <f>IF(D264=1,COUNTIFS($D$4:$D$503,1,$E$4:$E$503,"&gt;"&amp;E264)+COUNTIFS($D$4:$D264,1,$E$4:$E264,E264),"")</f>
        <v/>
      </c>
      <c r="M264">
        <f>IF(F264="",0,IF(COUNTIF($F$4:F264,F264)=1,1,0))</f>
        <v>0</v>
      </c>
      <c r="N264" t="str">
        <f>IF(M264=1,ROUND(SUMIF($F$4:$F$503,F264,$E$4:$E$503),2),"")</f>
        <v/>
      </c>
      <c r="O264" t="str">
        <f>IF(M264=1,COUNTIFS($M$4:$M$503,1,$N$4:$N$503,"&gt;"&amp;N264)+COUNTIFS($M$4:M264,1,$N$4:N264,N264),"")</f>
        <v/>
      </c>
      <c r="P264">
        <f>IF(G264="",0,IF(COUNTIF($G$4:G264,G264)=1,1,0))</f>
        <v>0</v>
      </c>
      <c r="Q264" t="str">
        <f>IF(P264=1,ROUND(SUMIF($G$4:$G$503,G264,$E$4:$E$503),2),"")</f>
        <v/>
      </c>
      <c r="R264" t="str">
        <f>IF(P264=1,COUNTIFS($P$4:$P$503,1,$Q$4:$Q$503,"&gt;"&amp;Q264)+COUNTIFS($P$4:P264,1,$Q$4:Q264,Q264),"")</f>
        <v/>
      </c>
      <c r="S264">
        <f>IF(H264="",0,IF(COUNTIF($H$4:H264,H264)=1,1,0))</f>
        <v>0</v>
      </c>
      <c r="T264" t="str">
        <f>IF(S264=1,ROUND(SUMIF($H$4:$H$503,H264,$E$4:$E$503),2),"")</f>
        <v/>
      </c>
      <c r="U264" t="str">
        <f>IF(S264=1,COUNTIFS($S$4:$S$503,1,$T$4:$T$503,"&gt;"&amp;T264)+COUNTIFS($S$4:S264,1,$T$4:T264,T264),"")</f>
        <v/>
      </c>
      <c r="V264" t="str">
        <f>IF(D264=1,MIN(INDEX($R$4:$R$503,MATCH(G264,$G$4:$G$503,0)),IF($AL$7&gt;9,9,999)),"")</f>
        <v/>
      </c>
      <c r="W264" s="166">
        <f>IF(OR($I264="",$E264=0),0,IF(OR($J264&lt;W$3,$I264&gt;W$2),0,IF($K264=0,IF(AND($I264&gt;=W$3,$I264&lt;=W$2),$E264,0),$E264*NETWORKDAYS(MAX($I264,W$3),MIN($J264,W$2),Data!$K$4:$K$203)/$K264)))</f>
        <v>0</v>
      </c>
      <c r="X264" s="166">
        <f>IF(OR($I264="",$E264=0),0,IF(OR($J264&lt;X$3,$I264&gt;X$2),0,IF($K264=0,IF(AND($I264&gt;=X$3,$I264&lt;=X$2),$E264,0),$E264*NETWORKDAYS(MAX($I264,X$3),MIN($J264,X$2),Data!$K$4:$K$203)/$K264)))</f>
        <v>0</v>
      </c>
      <c r="Y264" s="166">
        <f>IF(OR($I264="",$E264=0),0,IF(OR($J264&lt;Y$3,$I264&gt;Y$2),0,IF($K264=0,IF(AND($I264&gt;=Y$3,$I264&lt;=Y$2),$E264,0),$E264*NETWORKDAYS(MAX($I264,Y$3),MIN($J264,Y$2),Data!$K$4:$K$203)/$K264)))</f>
        <v>0</v>
      </c>
      <c r="Z264" s="166">
        <f>IF(OR($I264="",$E264=0),0,IF(OR($J264&lt;Z$3,$I264&gt;Z$2),0,IF($K264=0,IF(AND($I264&gt;=Z$3,$I264&lt;=Z$2),$E264,0),$E264*NETWORKDAYS(MAX($I264,Z$3),MIN($J264,Z$2),Data!$K$4:$K$203)/$K264)))</f>
        <v>0</v>
      </c>
      <c r="AA264" s="166">
        <f>IF(OR($I264="",$E264=0),0,IF(OR($J264&lt;AA$3,$I264&gt;AA$2),0,IF($K264=0,IF(AND($I264&gt;=AA$3,$I264&lt;=AA$2),$E264,0),$E264*NETWORKDAYS(MAX($I264,AA$3),MIN($J264,AA$2),Data!$K$4:$K$203)/$K264)))</f>
        <v>0</v>
      </c>
      <c r="AB264" s="166">
        <f>IF(OR($I264="",$E264=0),0,IF(OR($J264&lt;AB$3,$I264&gt;AB$2),0,IF($K264=0,IF(AND($I264&gt;=AB$3,$I264&lt;=AB$2),$E264,0),$E264*NETWORKDAYS(MAX($I264,AB$3),MIN($J264,AB$2),Data!$K$4:$K$203)/$K264)))</f>
        <v>0</v>
      </c>
      <c r="AC264" s="166">
        <f>IF(OR($I264="",$E264=0),0,IF(OR($J264&lt;AC$3,$I264&gt;AC$2),0,IF($K264=0,IF(AND($I264&gt;=AC$3,$I264&lt;=AC$2),$E264,0),$E264*NETWORKDAYS(MAX($I264,AC$3),MIN($J264,AC$2),Data!$K$4:$K$203)/$K264)))</f>
        <v>0</v>
      </c>
      <c r="AD264" s="166">
        <f>IF(OR($I264="",$E264=0),0,IF(OR($J264&lt;AD$3,$I264&gt;AD$2),0,IF($K264=0,IF(AND($I264&gt;=AD$3,$I264&lt;=AD$2),$E264,0),$E264*NETWORKDAYS(MAX($I264,AD$3),MIN($J264,AD$2),Data!$K$4:$K$203)/$K264)))</f>
        <v>0</v>
      </c>
      <c r="AE264" s="166">
        <f>IF(OR($I264="",$E264=0),0,IF(OR($J264&lt;AE$3,$I264&gt;AE$2),0,IF($K264=0,IF(AND($I264&gt;=AE$3,$I264&lt;=AE$2),$E264,0),$E264*NETWORKDAYS(MAX($I264,AE$3),MIN($J264,AE$2),Data!$K$4:$K$203)/$K264)))</f>
        <v>0</v>
      </c>
      <c r="AF264" s="166">
        <f>IF(OR($I264="",$E264=0),0,IF(OR($J264&lt;AF$3,$I264&gt;AF$2),0,IF($K264=0,IF(AND($I264&gt;=AF$3,$I264&lt;=AF$2),$E264,0),$E264*NETWORKDAYS(MAX($I264,AF$3),MIN($J264,AF$2),Data!$K$4:$K$203)/$K264)))</f>
        <v>0</v>
      </c>
      <c r="AG264" s="166">
        <f>IF(OR($I264="",$E264=0),0,IF(OR($J264&lt;AG$3,$I264&gt;AG$2),0,IF($K264=0,IF(AND($I264&gt;=AG$3,$I264&lt;=AG$2),$E264,0),$E264*NETWORKDAYS(MAX($I264,AG$3),MIN($J264,AG$2),Data!$K$4:$K$203)/$K264)))</f>
        <v>0</v>
      </c>
      <c r="AH264" s="166">
        <f>IF(OR($I264="",$E264=0),0,IF(OR($J264&lt;AH$3,$I264&gt;AH$2),0,IF($K264=0,IF(AND($I264&gt;=AH$3,$I264&lt;=AH$2),$E264,0),$E264*NETWORKDAYS(MAX($I264,AH$3),MIN($J264,AH$2),Data!$K$4:$K$203)/$K264)))</f>
        <v>0</v>
      </c>
      <c r="AI264" s="166">
        <f>SUM(W264:AH264)</f>
        <v>0</v>
      </c>
      <c r="BZ264" t="str">
        <f>IF(D264=1,IF(TRIM(INDEX(Charge!$K:$K,ROW()))&lt;&gt;"",TRIM(INDEX(Charge!$K:$K,ROW())),IF(TRIM(INDEX(Charge!$L:$L,ROW()))&lt;&gt;"",TRIM(INDEX(Charge!$L:$L,ROW())),"(non affecté)")),"")</f>
        <v/>
      </c>
      <c r="CA264" t="str">
        <f>IF(AND($CD$4&lt;&gt;"",BZ264=$CD$4),COUNTIFS($BZ$4:$BZ$503,$CD$4,$L$4:$L$503,"&lt;"&amp;L264)+1,"")</f>
        <v/>
      </c>
      <c r="EM264" t="str">
        <f>IF(D264=1,IF(TRIM(INDEX(Charge!$K:$K,ROW()))&lt;&gt;"","Interne",IF(TRIM(INDEX(Charge!$L:$L,ROW()))&lt;&gt;"","Externe","Non affecté")),"")</f>
        <v/>
      </c>
      <c r="EN264" t="str">
        <f>IF(D264=1,LEFT(SUBSTITUTE(SUBSTITUTE(SUBSTITUTE(TRIM(SUBSTITUTE(INDEX(Charge!$B:$B,ROW()),CHAR(160)," "))&amp;" | "&amp;TRIM(SUBSTITUTE(INDEX(Charge!$C:$C,ROW()),CHAR(160)," "))&amp;" | "&amp;TRIM(SUBSTITUTE(INDEX(Charge!$D:$D,ROW()),CHAR(160)," ")),"~","-"),"*","+"),"?","!"),240),"")</f>
        <v/>
      </c>
      <c r="EO264">
        <f>IF(EN264="",0,IF(COUNTIF($EN$4:EN264,EN264)=1,1,0))</f>
        <v>0</v>
      </c>
      <c r="EP264" s="166" t="str">
        <f>IF(EO264=1,ROUND(SUMIF($EN$4:$EN$503,EN264,$E$4:$E$503),2),"")</f>
        <v/>
      </c>
      <c r="EQ264" t="str">
        <f>IF(EO264=1,COUNTIFS($EO$4:$EO$503,1,$EP$4:$EP$503,"&gt;"&amp;EP264)+COUNTIFS($EO$4:EO264,1,$EP$4:EP264,EP264),"")</f>
        <v/>
      </c>
      <c r="ER264" t="str">
        <f>IF(EO264=1,COUNTIFS($EN$4:$EN$503,EN264,$EM$4:$EM$503,"Interne",$FE$4:$FE$503,1),"")</f>
        <v/>
      </c>
      <c r="ES264" t="str">
        <f>IF(EO264=1,COUNTIFS($EN$4:$EN$503,EN264,$EM$4:$EM$503,"Externe",$FE$4:$FE$503,1),"")</f>
        <v/>
      </c>
      <c r="ET264" t="str">
        <f>IF(EO264=1,IF(ER264+ES264=0,"à affecter",IF(ER264=0,ES264&amp;" ext.",(ER264+ES264)&amp;IF(ES264&gt;0," dont "&amp;ES264&amp;" ext.",""))&amp;IF(COUNTIFS($EN$4:$EN$503,EN264,$EM$4:$EM$503,"Non affecté")&gt;0," + à affecter","")),"")</f>
        <v/>
      </c>
      <c r="EU264" s="170" t="str">
        <f>IF(EO264=1,IF(EP264&gt;0,SUMPRODUCT(($EN$4:$EN$503=EN264)*$E$4:$E$503*$C$4:$C$503)/EP264,AVERAGEIF($EN$4:$EN$503,EN264,$C$4:$C$503)),"")</f>
        <v/>
      </c>
      <c r="EV264" s="165">
        <f>IF(ISNUMBER(I264),I264,2958465)</f>
        <v>2958465.0</v>
      </c>
      <c r="EW264" s="165" t="str">
        <f>IF(EO264=1,SUMPRODUCT(MIN(($EN$4:$EN$503=EN264)*$EV$4:$EV$503+($EN$4:$EN$503&lt;&gt;EN264)*2958465)),"")</f>
        <v/>
      </c>
      <c r="EX264" s="165">
        <f>IF(AND(D264=1,ISNUMBER(INDEX(Charge!$F:$F,ROW()))),INDEX(Charge!$F:$F,ROW()),0)</f>
        <v>0.0</v>
      </c>
      <c r="EY264" s="165" t="str">
        <f>IF(EO264=1,SUMPRODUCT(MAX(($EN$4:$EN$503=EN264)*$EX$4:$EX$503)),"")</f>
        <v/>
      </c>
      <c r="FA264" t="str">
        <f>IF(261&lt;=$CD$23,INDEX($EJ$4:$EJ$203,261),IF(261-$CD$23&lt;=$CD$26,INDEX($EK$4:$EK$203,261-$CD$23),""))</f>
        <v/>
      </c>
      <c r="FB264" t="str">
        <f>IF(FA264="","",IF(261&lt;=$CD$23,"Interne","Externe"))</f>
        <v/>
      </c>
      <c r="FD264">
        <f>IF(AND(B264=1,TRIM(INDEX(Charge!$K:$K,ROW()))&lt;&gt;"",TRIM(INDEX(Charge!$L:$L,ROW()))&lt;&gt;""),1,0)</f>
        <v>0</v>
      </c>
      <c r="FE264">
        <f>IF(OR(EN264="",BZ264="(non affecté)"),0,IF(COUNTIFS($EN$4:EN264,EN264,$BZ$4:BZ264,BZ264)=1,1,0))</f>
        <v>0</v>
      </c>
    </row>
    <row r="265">
      <c r="A265">
        <f>ROW()</f>
        <v>265</v>
      </c>
      <c r="B265">
        <f>IF(TRIM(INDEX(Charge!$B:$B,ROW()))&lt;&gt;"",1,0)</f>
        <v>0</v>
      </c>
      <c r="C265">
        <f>IF(B265=1,MIN(1,MAX(0,N(INDEX(Charge!$O:$O,ROW())))),0)</f>
        <v>0</v>
      </c>
      <c r="D265">
        <f>IF(B265=1,IF(OR(p_Perimetre="Tous les projets",C265&lt;1),1,0),0)</f>
        <v>0</v>
      </c>
      <c r="E265">
        <f>IF(D265=1,MAX(0,N(INDEX(Charge!$M:$M,ROW()))),0)</f>
        <v>0</v>
      </c>
      <c r="F265" t="str">
        <f>IF(D265=1,IF(TRIM(INDEX(Charge!$A:$A,ROW()))="","(non renseigné)",TRIM(INDEX(Charge!$A:$A,ROW()))),"")</f>
        <v/>
      </c>
      <c r="G265" t="str">
        <f>IF(D265=1,TRIM(INDEX(Charge!$B:$B,ROW())),"")</f>
        <v/>
      </c>
      <c r="H265" t="str">
        <f>IF(D265=1,IF(TRIM(INDEX(Charge!$E:$E,ROW()))="","(non renseigné)",TRIM(INDEX(Charge!$E:$E,ROW()))),"")</f>
        <v/>
      </c>
      <c r="I265" s="165" t="str">
        <f>IF(AND(D265=1,ISNUMBER(INDEX(Charge!$N:$N,ROW()))),INDEX(Charge!$N:$N,ROW()),"")</f>
        <v/>
      </c>
      <c r="J265" s="165" t="str">
        <f>IF(I265="","",IF(AND(p_Repartition="Lissée jusqu'à la date de besoin",ISNUMBER(INDEX(Charge!$F:$F,ROW()))),IF(INDEX(Charge!$F:$F,ROW())&gt;=I265,INDEX(Charge!$F:$F,ROW()),I265),I265))</f>
        <v/>
      </c>
      <c r="K265" t="str">
        <f>IF(I265="","",NETWORKDAYS(I265,J265,Data!$K$4:$K$203))</f>
        <v/>
      </c>
      <c r="L265" t="str">
        <f>IF(D265=1,COUNTIFS($D$4:$D$503,1,$E$4:$E$503,"&gt;"&amp;E265)+COUNTIFS($D$4:$D265,1,$E$4:$E265,E265),"")</f>
        <v/>
      </c>
      <c r="M265">
        <f>IF(F265="",0,IF(COUNTIF($F$4:F265,F265)=1,1,0))</f>
        <v>0</v>
      </c>
      <c r="N265" t="str">
        <f>IF(M265=1,ROUND(SUMIF($F$4:$F$503,F265,$E$4:$E$503),2),"")</f>
        <v/>
      </c>
      <c r="O265" t="str">
        <f>IF(M265=1,COUNTIFS($M$4:$M$503,1,$N$4:$N$503,"&gt;"&amp;N265)+COUNTIFS($M$4:M265,1,$N$4:N265,N265),"")</f>
        <v/>
      </c>
      <c r="P265">
        <f>IF(G265="",0,IF(COUNTIF($G$4:G265,G265)=1,1,0))</f>
        <v>0</v>
      </c>
      <c r="Q265" t="str">
        <f>IF(P265=1,ROUND(SUMIF($G$4:$G$503,G265,$E$4:$E$503),2),"")</f>
        <v/>
      </c>
      <c r="R265" t="str">
        <f>IF(P265=1,COUNTIFS($P$4:$P$503,1,$Q$4:$Q$503,"&gt;"&amp;Q265)+COUNTIFS($P$4:P265,1,$Q$4:Q265,Q265),"")</f>
        <v/>
      </c>
      <c r="S265">
        <f>IF(H265="",0,IF(COUNTIF($H$4:H265,H265)=1,1,0))</f>
        <v>0</v>
      </c>
      <c r="T265" t="str">
        <f>IF(S265=1,ROUND(SUMIF($H$4:$H$503,H265,$E$4:$E$503),2),"")</f>
        <v/>
      </c>
      <c r="U265" t="str">
        <f>IF(S265=1,COUNTIFS($S$4:$S$503,1,$T$4:$T$503,"&gt;"&amp;T265)+COUNTIFS($S$4:S265,1,$T$4:T265,T265),"")</f>
        <v/>
      </c>
      <c r="V265" t="str">
        <f>IF(D265=1,MIN(INDEX($R$4:$R$503,MATCH(G265,$G$4:$G$503,0)),IF($AL$7&gt;9,9,999)),"")</f>
        <v/>
      </c>
      <c r="W265" s="166">
        <f>IF(OR($I265="",$E265=0),0,IF(OR($J265&lt;W$3,$I265&gt;W$2),0,IF($K265=0,IF(AND($I265&gt;=W$3,$I265&lt;=W$2),$E265,0),$E265*NETWORKDAYS(MAX($I265,W$3),MIN($J265,W$2),Data!$K$4:$K$203)/$K265)))</f>
        <v>0</v>
      </c>
      <c r="X265" s="166">
        <f>IF(OR($I265="",$E265=0),0,IF(OR($J265&lt;X$3,$I265&gt;X$2),0,IF($K265=0,IF(AND($I265&gt;=X$3,$I265&lt;=X$2),$E265,0),$E265*NETWORKDAYS(MAX($I265,X$3),MIN($J265,X$2),Data!$K$4:$K$203)/$K265)))</f>
        <v>0</v>
      </c>
      <c r="Y265" s="166">
        <f>IF(OR($I265="",$E265=0),0,IF(OR($J265&lt;Y$3,$I265&gt;Y$2),0,IF($K265=0,IF(AND($I265&gt;=Y$3,$I265&lt;=Y$2),$E265,0),$E265*NETWORKDAYS(MAX($I265,Y$3),MIN($J265,Y$2),Data!$K$4:$K$203)/$K265)))</f>
        <v>0</v>
      </c>
      <c r="Z265" s="166">
        <f>IF(OR($I265="",$E265=0),0,IF(OR($J265&lt;Z$3,$I265&gt;Z$2),0,IF($K265=0,IF(AND($I265&gt;=Z$3,$I265&lt;=Z$2),$E265,0),$E265*NETWORKDAYS(MAX($I265,Z$3),MIN($J265,Z$2),Data!$K$4:$K$203)/$K265)))</f>
        <v>0</v>
      </c>
      <c r="AA265" s="166">
        <f>IF(OR($I265="",$E265=0),0,IF(OR($J265&lt;AA$3,$I265&gt;AA$2),0,IF($K265=0,IF(AND($I265&gt;=AA$3,$I265&lt;=AA$2),$E265,0),$E265*NETWORKDAYS(MAX($I265,AA$3),MIN($J265,AA$2),Data!$K$4:$K$203)/$K265)))</f>
        <v>0</v>
      </c>
      <c r="AB265" s="166">
        <f>IF(OR($I265="",$E265=0),0,IF(OR($J265&lt;AB$3,$I265&gt;AB$2),0,IF($K265=0,IF(AND($I265&gt;=AB$3,$I265&lt;=AB$2),$E265,0),$E265*NETWORKDAYS(MAX($I265,AB$3),MIN($J265,AB$2),Data!$K$4:$K$203)/$K265)))</f>
        <v>0</v>
      </c>
      <c r="AC265" s="166">
        <f>IF(OR($I265="",$E265=0),0,IF(OR($J265&lt;AC$3,$I265&gt;AC$2),0,IF($K265=0,IF(AND($I265&gt;=AC$3,$I265&lt;=AC$2),$E265,0),$E265*NETWORKDAYS(MAX($I265,AC$3),MIN($J265,AC$2),Data!$K$4:$K$203)/$K265)))</f>
        <v>0</v>
      </c>
      <c r="AD265" s="166">
        <f>IF(OR($I265="",$E265=0),0,IF(OR($J265&lt;AD$3,$I265&gt;AD$2),0,IF($K265=0,IF(AND($I265&gt;=AD$3,$I265&lt;=AD$2),$E265,0),$E265*NETWORKDAYS(MAX($I265,AD$3),MIN($J265,AD$2),Data!$K$4:$K$203)/$K265)))</f>
        <v>0</v>
      </c>
      <c r="AE265" s="166">
        <f>IF(OR($I265="",$E265=0),0,IF(OR($J265&lt;AE$3,$I265&gt;AE$2),0,IF($K265=0,IF(AND($I265&gt;=AE$3,$I265&lt;=AE$2),$E265,0),$E265*NETWORKDAYS(MAX($I265,AE$3),MIN($J265,AE$2),Data!$K$4:$K$203)/$K265)))</f>
        <v>0</v>
      </c>
      <c r="AF265" s="166">
        <f>IF(OR($I265="",$E265=0),0,IF(OR($J265&lt;AF$3,$I265&gt;AF$2),0,IF($K265=0,IF(AND($I265&gt;=AF$3,$I265&lt;=AF$2),$E265,0),$E265*NETWORKDAYS(MAX($I265,AF$3),MIN($J265,AF$2),Data!$K$4:$K$203)/$K265)))</f>
        <v>0</v>
      </c>
      <c r="AG265" s="166">
        <f>IF(OR($I265="",$E265=0),0,IF(OR($J265&lt;AG$3,$I265&gt;AG$2),0,IF($K265=0,IF(AND($I265&gt;=AG$3,$I265&lt;=AG$2),$E265,0),$E265*NETWORKDAYS(MAX($I265,AG$3),MIN($J265,AG$2),Data!$K$4:$K$203)/$K265)))</f>
        <v>0</v>
      </c>
      <c r="AH265" s="166">
        <f>IF(OR($I265="",$E265=0),0,IF(OR($J265&lt;AH$3,$I265&gt;AH$2),0,IF($K265=0,IF(AND($I265&gt;=AH$3,$I265&lt;=AH$2),$E265,0),$E265*NETWORKDAYS(MAX($I265,AH$3),MIN($J265,AH$2),Data!$K$4:$K$203)/$K265)))</f>
        <v>0</v>
      </c>
      <c r="AI265" s="166">
        <f>SUM(W265:AH265)</f>
        <v>0</v>
      </c>
      <c r="BZ265" t="str">
        <f>IF(D265=1,IF(TRIM(INDEX(Charge!$K:$K,ROW()))&lt;&gt;"",TRIM(INDEX(Charge!$K:$K,ROW())),IF(TRIM(INDEX(Charge!$L:$L,ROW()))&lt;&gt;"",TRIM(INDEX(Charge!$L:$L,ROW())),"(non affecté)")),"")</f>
        <v/>
      </c>
      <c r="CA265" t="str">
        <f>IF(AND($CD$4&lt;&gt;"",BZ265=$CD$4),COUNTIFS($BZ$4:$BZ$503,$CD$4,$L$4:$L$503,"&lt;"&amp;L265)+1,"")</f>
        <v/>
      </c>
      <c r="EM265" t="str">
        <f>IF(D265=1,IF(TRIM(INDEX(Charge!$K:$K,ROW()))&lt;&gt;"","Interne",IF(TRIM(INDEX(Charge!$L:$L,ROW()))&lt;&gt;"","Externe","Non affecté")),"")</f>
        <v/>
      </c>
      <c r="EN265" t="str">
        <f>IF(D265=1,LEFT(SUBSTITUTE(SUBSTITUTE(SUBSTITUTE(TRIM(SUBSTITUTE(INDEX(Charge!$B:$B,ROW()),CHAR(160)," "))&amp;" | "&amp;TRIM(SUBSTITUTE(INDEX(Charge!$C:$C,ROW()),CHAR(160)," "))&amp;" | "&amp;TRIM(SUBSTITUTE(INDEX(Charge!$D:$D,ROW()),CHAR(160)," ")),"~","-"),"*","+"),"?","!"),240),"")</f>
        <v/>
      </c>
      <c r="EO265">
        <f>IF(EN265="",0,IF(COUNTIF($EN$4:EN265,EN265)=1,1,0))</f>
        <v>0</v>
      </c>
      <c r="EP265" s="166" t="str">
        <f>IF(EO265=1,ROUND(SUMIF($EN$4:$EN$503,EN265,$E$4:$E$503),2),"")</f>
        <v/>
      </c>
      <c r="EQ265" t="str">
        <f>IF(EO265=1,COUNTIFS($EO$4:$EO$503,1,$EP$4:$EP$503,"&gt;"&amp;EP265)+COUNTIFS($EO$4:EO265,1,$EP$4:EP265,EP265),"")</f>
        <v/>
      </c>
      <c r="ER265" t="str">
        <f>IF(EO265=1,COUNTIFS($EN$4:$EN$503,EN265,$EM$4:$EM$503,"Interne",$FE$4:$FE$503,1),"")</f>
        <v/>
      </c>
      <c r="ES265" t="str">
        <f>IF(EO265=1,COUNTIFS($EN$4:$EN$503,EN265,$EM$4:$EM$503,"Externe",$FE$4:$FE$503,1),"")</f>
        <v/>
      </c>
      <c r="ET265" t="str">
        <f>IF(EO265=1,IF(ER265+ES265=0,"à affecter",IF(ER265=0,ES265&amp;" ext.",(ER265+ES265)&amp;IF(ES265&gt;0," dont "&amp;ES265&amp;" ext.",""))&amp;IF(COUNTIFS($EN$4:$EN$503,EN265,$EM$4:$EM$503,"Non affecté")&gt;0," + à affecter","")),"")</f>
        <v/>
      </c>
      <c r="EU265" s="170" t="str">
        <f>IF(EO265=1,IF(EP265&gt;0,SUMPRODUCT(($EN$4:$EN$503=EN265)*$E$4:$E$503*$C$4:$C$503)/EP265,AVERAGEIF($EN$4:$EN$503,EN265,$C$4:$C$503)),"")</f>
        <v/>
      </c>
      <c r="EV265" s="165">
        <f>IF(ISNUMBER(I265),I265,2958465)</f>
        <v>2958465.0</v>
      </c>
      <c r="EW265" s="165" t="str">
        <f>IF(EO265=1,SUMPRODUCT(MIN(($EN$4:$EN$503=EN265)*$EV$4:$EV$503+($EN$4:$EN$503&lt;&gt;EN265)*2958465)),"")</f>
        <v/>
      </c>
      <c r="EX265" s="165">
        <f>IF(AND(D265=1,ISNUMBER(INDEX(Charge!$F:$F,ROW()))),INDEX(Charge!$F:$F,ROW()),0)</f>
        <v>0.0</v>
      </c>
      <c r="EY265" s="165" t="str">
        <f>IF(EO265=1,SUMPRODUCT(MAX(($EN$4:$EN$503=EN265)*$EX$4:$EX$503)),"")</f>
        <v/>
      </c>
      <c r="FA265" t="str">
        <f>IF(262&lt;=$CD$23,INDEX($EJ$4:$EJ$203,262),IF(262-$CD$23&lt;=$CD$26,INDEX($EK$4:$EK$203,262-$CD$23),""))</f>
        <v/>
      </c>
      <c r="FB265" t="str">
        <f>IF(FA265="","",IF(262&lt;=$CD$23,"Interne","Externe"))</f>
        <v/>
      </c>
      <c r="FD265">
        <f>IF(AND(B265=1,TRIM(INDEX(Charge!$K:$K,ROW()))&lt;&gt;"",TRIM(INDEX(Charge!$L:$L,ROW()))&lt;&gt;""),1,0)</f>
        <v>0</v>
      </c>
      <c r="FE265">
        <f>IF(OR(EN265="",BZ265="(non affecté)"),0,IF(COUNTIFS($EN$4:EN265,EN265,$BZ$4:BZ265,BZ265)=1,1,0))</f>
        <v>0</v>
      </c>
    </row>
    <row r="266">
      <c r="A266">
        <f>ROW()</f>
        <v>266</v>
      </c>
      <c r="B266">
        <f>IF(TRIM(INDEX(Charge!$B:$B,ROW()))&lt;&gt;"",1,0)</f>
        <v>0</v>
      </c>
      <c r="C266">
        <f>IF(B266=1,MIN(1,MAX(0,N(INDEX(Charge!$O:$O,ROW())))),0)</f>
        <v>0</v>
      </c>
      <c r="D266">
        <f>IF(B266=1,IF(OR(p_Perimetre="Tous les projets",C266&lt;1),1,0),0)</f>
        <v>0</v>
      </c>
      <c r="E266">
        <f>IF(D266=1,MAX(0,N(INDEX(Charge!$M:$M,ROW()))),0)</f>
        <v>0</v>
      </c>
      <c r="F266" t="str">
        <f>IF(D266=1,IF(TRIM(INDEX(Charge!$A:$A,ROW()))="","(non renseigné)",TRIM(INDEX(Charge!$A:$A,ROW()))),"")</f>
        <v/>
      </c>
      <c r="G266" t="str">
        <f>IF(D266=1,TRIM(INDEX(Charge!$B:$B,ROW())),"")</f>
        <v/>
      </c>
      <c r="H266" t="str">
        <f>IF(D266=1,IF(TRIM(INDEX(Charge!$E:$E,ROW()))="","(non renseigné)",TRIM(INDEX(Charge!$E:$E,ROW()))),"")</f>
        <v/>
      </c>
      <c r="I266" s="165" t="str">
        <f>IF(AND(D266=1,ISNUMBER(INDEX(Charge!$N:$N,ROW()))),INDEX(Charge!$N:$N,ROW()),"")</f>
        <v/>
      </c>
      <c r="J266" s="165" t="str">
        <f>IF(I266="","",IF(AND(p_Repartition="Lissée jusqu'à la date de besoin",ISNUMBER(INDEX(Charge!$F:$F,ROW()))),IF(INDEX(Charge!$F:$F,ROW())&gt;=I266,INDEX(Charge!$F:$F,ROW()),I266),I266))</f>
        <v/>
      </c>
      <c r="K266" t="str">
        <f>IF(I266="","",NETWORKDAYS(I266,J266,Data!$K$4:$K$203))</f>
        <v/>
      </c>
      <c r="L266" t="str">
        <f>IF(D266=1,COUNTIFS($D$4:$D$503,1,$E$4:$E$503,"&gt;"&amp;E266)+COUNTIFS($D$4:$D266,1,$E$4:$E266,E266),"")</f>
        <v/>
      </c>
      <c r="M266">
        <f>IF(F266="",0,IF(COUNTIF($F$4:F266,F266)=1,1,0))</f>
        <v>0</v>
      </c>
      <c r="N266" t="str">
        <f>IF(M266=1,ROUND(SUMIF($F$4:$F$503,F266,$E$4:$E$503),2),"")</f>
        <v/>
      </c>
      <c r="O266" t="str">
        <f>IF(M266=1,COUNTIFS($M$4:$M$503,1,$N$4:$N$503,"&gt;"&amp;N266)+COUNTIFS($M$4:M266,1,$N$4:N266,N266),"")</f>
        <v/>
      </c>
      <c r="P266">
        <f>IF(G266="",0,IF(COUNTIF($G$4:G266,G266)=1,1,0))</f>
        <v>0</v>
      </c>
      <c r="Q266" t="str">
        <f>IF(P266=1,ROUND(SUMIF($G$4:$G$503,G266,$E$4:$E$503),2),"")</f>
        <v/>
      </c>
      <c r="R266" t="str">
        <f>IF(P266=1,COUNTIFS($P$4:$P$503,1,$Q$4:$Q$503,"&gt;"&amp;Q266)+COUNTIFS($P$4:P266,1,$Q$4:Q266,Q266),"")</f>
        <v/>
      </c>
      <c r="S266">
        <f>IF(H266="",0,IF(COUNTIF($H$4:H266,H266)=1,1,0))</f>
        <v>0</v>
      </c>
      <c r="T266" t="str">
        <f>IF(S266=1,ROUND(SUMIF($H$4:$H$503,H266,$E$4:$E$503),2),"")</f>
        <v/>
      </c>
      <c r="U266" t="str">
        <f>IF(S266=1,COUNTIFS($S$4:$S$503,1,$T$4:$T$503,"&gt;"&amp;T266)+COUNTIFS($S$4:S266,1,$T$4:T266,T266),"")</f>
        <v/>
      </c>
      <c r="V266" t="str">
        <f>IF(D266=1,MIN(INDEX($R$4:$R$503,MATCH(G266,$G$4:$G$503,0)),IF($AL$7&gt;9,9,999)),"")</f>
        <v/>
      </c>
      <c r="W266" s="166">
        <f>IF(OR($I266="",$E266=0),0,IF(OR($J266&lt;W$3,$I266&gt;W$2),0,IF($K266=0,IF(AND($I266&gt;=W$3,$I266&lt;=W$2),$E266,0),$E266*NETWORKDAYS(MAX($I266,W$3),MIN($J266,W$2),Data!$K$4:$K$203)/$K266)))</f>
        <v>0</v>
      </c>
      <c r="X266" s="166">
        <f>IF(OR($I266="",$E266=0),0,IF(OR($J266&lt;X$3,$I266&gt;X$2),0,IF($K266=0,IF(AND($I266&gt;=X$3,$I266&lt;=X$2),$E266,0),$E266*NETWORKDAYS(MAX($I266,X$3),MIN($J266,X$2),Data!$K$4:$K$203)/$K266)))</f>
        <v>0</v>
      </c>
      <c r="Y266" s="166">
        <f>IF(OR($I266="",$E266=0),0,IF(OR($J266&lt;Y$3,$I266&gt;Y$2),0,IF($K266=0,IF(AND($I266&gt;=Y$3,$I266&lt;=Y$2),$E266,0),$E266*NETWORKDAYS(MAX($I266,Y$3),MIN($J266,Y$2),Data!$K$4:$K$203)/$K266)))</f>
        <v>0</v>
      </c>
      <c r="Z266" s="166">
        <f>IF(OR($I266="",$E266=0),0,IF(OR($J266&lt;Z$3,$I266&gt;Z$2),0,IF($K266=0,IF(AND($I266&gt;=Z$3,$I266&lt;=Z$2),$E266,0),$E266*NETWORKDAYS(MAX($I266,Z$3),MIN($J266,Z$2),Data!$K$4:$K$203)/$K266)))</f>
        <v>0</v>
      </c>
      <c r="AA266" s="166">
        <f>IF(OR($I266="",$E266=0),0,IF(OR($J266&lt;AA$3,$I266&gt;AA$2),0,IF($K266=0,IF(AND($I266&gt;=AA$3,$I266&lt;=AA$2),$E266,0),$E266*NETWORKDAYS(MAX($I266,AA$3),MIN($J266,AA$2),Data!$K$4:$K$203)/$K266)))</f>
        <v>0</v>
      </c>
      <c r="AB266" s="166">
        <f>IF(OR($I266="",$E266=0),0,IF(OR($J266&lt;AB$3,$I266&gt;AB$2),0,IF($K266=0,IF(AND($I266&gt;=AB$3,$I266&lt;=AB$2),$E266,0),$E266*NETWORKDAYS(MAX($I266,AB$3),MIN($J266,AB$2),Data!$K$4:$K$203)/$K266)))</f>
        <v>0</v>
      </c>
      <c r="AC266" s="166">
        <f>IF(OR($I266="",$E266=0),0,IF(OR($J266&lt;AC$3,$I266&gt;AC$2),0,IF($K266=0,IF(AND($I266&gt;=AC$3,$I266&lt;=AC$2),$E266,0),$E266*NETWORKDAYS(MAX($I266,AC$3),MIN($J266,AC$2),Data!$K$4:$K$203)/$K266)))</f>
        <v>0</v>
      </c>
      <c r="AD266" s="166">
        <f>IF(OR($I266="",$E266=0),0,IF(OR($J266&lt;AD$3,$I266&gt;AD$2),0,IF($K266=0,IF(AND($I266&gt;=AD$3,$I266&lt;=AD$2),$E266,0),$E266*NETWORKDAYS(MAX($I266,AD$3),MIN($J266,AD$2),Data!$K$4:$K$203)/$K266)))</f>
        <v>0</v>
      </c>
      <c r="AE266" s="166">
        <f>IF(OR($I266="",$E266=0),0,IF(OR($J266&lt;AE$3,$I266&gt;AE$2),0,IF($K266=0,IF(AND($I266&gt;=AE$3,$I266&lt;=AE$2),$E266,0),$E266*NETWORKDAYS(MAX($I266,AE$3),MIN($J266,AE$2),Data!$K$4:$K$203)/$K266)))</f>
        <v>0</v>
      </c>
      <c r="AF266" s="166">
        <f>IF(OR($I266="",$E266=0),0,IF(OR($J266&lt;AF$3,$I266&gt;AF$2),0,IF($K266=0,IF(AND($I266&gt;=AF$3,$I266&lt;=AF$2),$E266,0),$E266*NETWORKDAYS(MAX($I266,AF$3),MIN($J266,AF$2),Data!$K$4:$K$203)/$K266)))</f>
        <v>0</v>
      </c>
      <c r="AG266" s="166">
        <f>IF(OR($I266="",$E266=0),0,IF(OR($J266&lt;AG$3,$I266&gt;AG$2),0,IF($K266=0,IF(AND($I266&gt;=AG$3,$I266&lt;=AG$2),$E266,0),$E266*NETWORKDAYS(MAX($I266,AG$3),MIN($J266,AG$2),Data!$K$4:$K$203)/$K266)))</f>
        <v>0</v>
      </c>
      <c r="AH266" s="166">
        <f>IF(OR($I266="",$E266=0),0,IF(OR($J266&lt;AH$3,$I266&gt;AH$2),0,IF($K266=0,IF(AND($I266&gt;=AH$3,$I266&lt;=AH$2),$E266,0),$E266*NETWORKDAYS(MAX($I266,AH$3),MIN($J266,AH$2),Data!$K$4:$K$203)/$K266)))</f>
        <v>0</v>
      </c>
      <c r="AI266" s="166">
        <f>SUM(W266:AH266)</f>
        <v>0</v>
      </c>
      <c r="BZ266" t="str">
        <f>IF(D266=1,IF(TRIM(INDEX(Charge!$K:$K,ROW()))&lt;&gt;"",TRIM(INDEX(Charge!$K:$K,ROW())),IF(TRIM(INDEX(Charge!$L:$L,ROW()))&lt;&gt;"",TRIM(INDEX(Charge!$L:$L,ROW())),"(non affecté)")),"")</f>
        <v/>
      </c>
      <c r="CA266" t="str">
        <f>IF(AND($CD$4&lt;&gt;"",BZ266=$CD$4),COUNTIFS($BZ$4:$BZ$503,$CD$4,$L$4:$L$503,"&lt;"&amp;L266)+1,"")</f>
        <v/>
      </c>
      <c r="EM266" t="str">
        <f>IF(D266=1,IF(TRIM(INDEX(Charge!$K:$K,ROW()))&lt;&gt;"","Interne",IF(TRIM(INDEX(Charge!$L:$L,ROW()))&lt;&gt;"","Externe","Non affecté")),"")</f>
        <v/>
      </c>
      <c r="EN266" t="str">
        <f>IF(D266=1,LEFT(SUBSTITUTE(SUBSTITUTE(SUBSTITUTE(TRIM(SUBSTITUTE(INDEX(Charge!$B:$B,ROW()),CHAR(160)," "))&amp;" | "&amp;TRIM(SUBSTITUTE(INDEX(Charge!$C:$C,ROW()),CHAR(160)," "))&amp;" | "&amp;TRIM(SUBSTITUTE(INDEX(Charge!$D:$D,ROW()),CHAR(160)," ")),"~","-"),"*","+"),"?","!"),240),"")</f>
        <v/>
      </c>
      <c r="EO266">
        <f>IF(EN266="",0,IF(COUNTIF($EN$4:EN266,EN266)=1,1,0))</f>
        <v>0</v>
      </c>
      <c r="EP266" s="166" t="str">
        <f>IF(EO266=1,ROUND(SUMIF($EN$4:$EN$503,EN266,$E$4:$E$503),2),"")</f>
        <v/>
      </c>
      <c r="EQ266" t="str">
        <f>IF(EO266=1,COUNTIFS($EO$4:$EO$503,1,$EP$4:$EP$503,"&gt;"&amp;EP266)+COUNTIFS($EO$4:EO266,1,$EP$4:EP266,EP266),"")</f>
        <v/>
      </c>
      <c r="ER266" t="str">
        <f>IF(EO266=1,COUNTIFS($EN$4:$EN$503,EN266,$EM$4:$EM$503,"Interne",$FE$4:$FE$503,1),"")</f>
        <v/>
      </c>
      <c r="ES266" t="str">
        <f>IF(EO266=1,COUNTIFS($EN$4:$EN$503,EN266,$EM$4:$EM$503,"Externe",$FE$4:$FE$503,1),"")</f>
        <v/>
      </c>
      <c r="ET266" t="str">
        <f>IF(EO266=1,IF(ER266+ES266=0,"à affecter",IF(ER266=0,ES266&amp;" ext.",(ER266+ES266)&amp;IF(ES266&gt;0," dont "&amp;ES266&amp;" ext.",""))&amp;IF(COUNTIFS($EN$4:$EN$503,EN266,$EM$4:$EM$503,"Non affecté")&gt;0," + à affecter","")),"")</f>
        <v/>
      </c>
      <c r="EU266" s="170" t="str">
        <f>IF(EO266=1,IF(EP266&gt;0,SUMPRODUCT(($EN$4:$EN$503=EN266)*$E$4:$E$503*$C$4:$C$503)/EP266,AVERAGEIF($EN$4:$EN$503,EN266,$C$4:$C$503)),"")</f>
        <v/>
      </c>
      <c r="EV266" s="165">
        <f>IF(ISNUMBER(I266),I266,2958465)</f>
        <v>2958465.0</v>
      </c>
      <c r="EW266" s="165" t="str">
        <f>IF(EO266=1,SUMPRODUCT(MIN(($EN$4:$EN$503=EN266)*$EV$4:$EV$503+($EN$4:$EN$503&lt;&gt;EN266)*2958465)),"")</f>
        <v/>
      </c>
      <c r="EX266" s="165">
        <f>IF(AND(D266=1,ISNUMBER(INDEX(Charge!$F:$F,ROW()))),INDEX(Charge!$F:$F,ROW()),0)</f>
        <v>0.0</v>
      </c>
      <c r="EY266" s="165" t="str">
        <f>IF(EO266=1,SUMPRODUCT(MAX(($EN$4:$EN$503=EN266)*$EX$4:$EX$503)),"")</f>
        <v/>
      </c>
      <c r="FA266" t="str">
        <f>IF(263&lt;=$CD$23,INDEX($EJ$4:$EJ$203,263),IF(263-$CD$23&lt;=$CD$26,INDEX($EK$4:$EK$203,263-$CD$23),""))</f>
        <v/>
      </c>
      <c r="FB266" t="str">
        <f>IF(FA266="","",IF(263&lt;=$CD$23,"Interne","Externe"))</f>
        <v/>
      </c>
      <c r="FD266">
        <f>IF(AND(B266=1,TRIM(INDEX(Charge!$K:$K,ROW()))&lt;&gt;"",TRIM(INDEX(Charge!$L:$L,ROW()))&lt;&gt;""),1,0)</f>
        <v>0</v>
      </c>
      <c r="FE266">
        <f>IF(OR(EN266="",BZ266="(non affecté)"),0,IF(COUNTIFS($EN$4:EN266,EN266,$BZ$4:BZ266,BZ266)=1,1,0))</f>
        <v>0</v>
      </c>
    </row>
    <row r="267">
      <c r="A267">
        <f>ROW()</f>
        <v>267</v>
      </c>
      <c r="B267">
        <f>IF(TRIM(INDEX(Charge!$B:$B,ROW()))&lt;&gt;"",1,0)</f>
        <v>0</v>
      </c>
      <c r="C267">
        <f>IF(B267=1,MIN(1,MAX(0,N(INDEX(Charge!$O:$O,ROW())))),0)</f>
        <v>0</v>
      </c>
      <c r="D267">
        <f>IF(B267=1,IF(OR(p_Perimetre="Tous les projets",C267&lt;1),1,0),0)</f>
        <v>0</v>
      </c>
      <c r="E267">
        <f>IF(D267=1,MAX(0,N(INDEX(Charge!$M:$M,ROW()))),0)</f>
        <v>0</v>
      </c>
      <c r="F267" t="str">
        <f>IF(D267=1,IF(TRIM(INDEX(Charge!$A:$A,ROW()))="","(non renseigné)",TRIM(INDEX(Charge!$A:$A,ROW()))),"")</f>
        <v/>
      </c>
      <c r="G267" t="str">
        <f>IF(D267=1,TRIM(INDEX(Charge!$B:$B,ROW())),"")</f>
        <v/>
      </c>
      <c r="H267" t="str">
        <f>IF(D267=1,IF(TRIM(INDEX(Charge!$E:$E,ROW()))="","(non renseigné)",TRIM(INDEX(Charge!$E:$E,ROW()))),"")</f>
        <v/>
      </c>
      <c r="I267" s="165" t="str">
        <f>IF(AND(D267=1,ISNUMBER(INDEX(Charge!$N:$N,ROW()))),INDEX(Charge!$N:$N,ROW()),"")</f>
        <v/>
      </c>
      <c r="J267" s="165" t="str">
        <f>IF(I267="","",IF(AND(p_Repartition="Lissée jusqu'à la date de besoin",ISNUMBER(INDEX(Charge!$F:$F,ROW()))),IF(INDEX(Charge!$F:$F,ROW())&gt;=I267,INDEX(Charge!$F:$F,ROW()),I267),I267))</f>
        <v/>
      </c>
      <c r="K267" t="str">
        <f>IF(I267="","",NETWORKDAYS(I267,J267,Data!$K$4:$K$203))</f>
        <v/>
      </c>
      <c r="L267" t="str">
        <f>IF(D267=1,COUNTIFS($D$4:$D$503,1,$E$4:$E$503,"&gt;"&amp;E267)+COUNTIFS($D$4:$D267,1,$E$4:$E267,E267),"")</f>
        <v/>
      </c>
      <c r="M267">
        <f>IF(F267="",0,IF(COUNTIF($F$4:F267,F267)=1,1,0))</f>
        <v>0</v>
      </c>
      <c r="N267" t="str">
        <f>IF(M267=1,ROUND(SUMIF($F$4:$F$503,F267,$E$4:$E$503),2),"")</f>
        <v/>
      </c>
      <c r="O267" t="str">
        <f>IF(M267=1,COUNTIFS($M$4:$M$503,1,$N$4:$N$503,"&gt;"&amp;N267)+COUNTIFS($M$4:M267,1,$N$4:N267,N267),"")</f>
        <v/>
      </c>
      <c r="P267">
        <f>IF(G267="",0,IF(COUNTIF($G$4:G267,G267)=1,1,0))</f>
        <v>0</v>
      </c>
      <c r="Q267" t="str">
        <f>IF(P267=1,ROUND(SUMIF($G$4:$G$503,G267,$E$4:$E$503),2),"")</f>
        <v/>
      </c>
      <c r="R267" t="str">
        <f>IF(P267=1,COUNTIFS($P$4:$P$503,1,$Q$4:$Q$503,"&gt;"&amp;Q267)+COUNTIFS($P$4:P267,1,$Q$4:Q267,Q267),"")</f>
        <v/>
      </c>
      <c r="S267">
        <f>IF(H267="",0,IF(COUNTIF($H$4:H267,H267)=1,1,0))</f>
        <v>0</v>
      </c>
      <c r="T267" t="str">
        <f>IF(S267=1,ROUND(SUMIF($H$4:$H$503,H267,$E$4:$E$503),2),"")</f>
        <v/>
      </c>
      <c r="U267" t="str">
        <f>IF(S267=1,COUNTIFS($S$4:$S$503,1,$T$4:$T$503,"&gt;"&amp;T267)+COUNTIFS($S$4:S267,1,$T$4:T267,T267),"")</f>
        <v/>
      </c>
      <c r="V267" t="str">
        <f>IF(D267=1,MIN(INDEX($R$4:$R$503,MATCH(G267,$G$4:$G$503,0)),IF($AL$7&gt;9,9,999)),"")</f>
        <v/>
      </c>
      <c r="W267" s="166">
        <f>IF(OR($I267="",$E267=0),0,IF(OR($J267&lt;W$3,$I267&gt;W$2),0,IF($K267=0,IF(AND($I267&gt;=W$3,$I267&lt;=W$2),$E267,0),$E267*NETWORKDAYS(MAX($I267,W$3),MIN($J267,W$2),Data!$K$4:$K$203)/$K267)))</f>
        <v>0</v>
      </c>
      <c r="X267" s="166">
        <f>IF(OR($I267="",$E267=0),0,IF(OR($J267&lt;X$3,$I267&gt;X$2),0,IF($K267=0,IF(AND($I267&gt;=X$3,$I267&lt;=X$2),$E267,0),$E267*NETWORKDAYS(MAX($I267,X$3),MIN($J267,X$2),Data!$K$4:$K$203)/$K267)))</f>
        <v>0</v>
      </c>
      <c r="Y267" s="166">
        <f>IF(OR($I267="",$E267=0),0,IF(OR($J267&lt;Y$3,$I267&gt;Y$2),0,IF($K267=0,IF(AND($I267&gt;=Y$3,$I267&lt;=Y$2),$E267,0),$E267*NETWORKDAYS(MAX($I267,Y$3),MIN($J267,Y$2),Data!$K$4:$K$203)/$K267)))</f>
        <v>0</v>
      </c>
      <c r="Z267" s="166">
        <f>IF(OR($I267="",$E267=0),0,IF(OR($J267&lt;Z$3,$I267&gt;Z$2),0,IF($K267=0,IF(AND($I267&gt;=Z$3,$I267&lt;=Z$2),$E267,0),$E267*NETWORKDAYS(MAX($I267,Z$3),MIN($J267,Z$2),Data!$K$4:$K$203)/$K267)))</f>
        <v>0</v>
      </c>
      <c r="AA267" s="166">
        <f>IF(OR($I267="",$E267=0),0,IF(OR($J267&lt;AA$3,$I267&gt;AA$2),0,IF($K267=0,IF(AND($I267&gt;=AA$3,$I267&lt;=AA$2),$E267,0),$E267*NETWORKDAYS(MAX($I267,AA$3),MIN($J267,AA$2),Data!$K$4:$K$203)/$K267)))</f>
        <v>0</v>
      </c>
      <c r="AB267" s="166">
        <f>IF(OR($I267="",$E267=0),0,IF(OR($J267&lt;AB$3,$I267&gt;AB$2),0,IF($K267=0,IF(AND($I267&gt;=AB$3,$I267&lt;=AB$2),$E267,0),$E267*NETWORKDAYS(MAX($I267,AB$3),MIN($J267,AB$2),Data!$K$4:$K$203)/$K267)))</f>
        <v>0</v>
      </c>
      <c r="AC267" s="166">
        <f>IF(OR($I267="",$E267=0),0,IF(OR($J267&lt;AC$3,$I267&gt;AC$2),0,IF($K267=0,IF(AND($I267&gt;=AC$3,$I267&lt;=AC$2),$E267,0),$E267*NETWORKDAYS(MAX($I267,AC$3),MIN($J267,AC$2),Data!$K$4:$K$203)/$K267)))</f>
        <v>0</v>
      </c>
      <c r="AD267" s="166">
        <f>IF(OR($I267="",$E267=0),0,IF(OR($J267&lt;AD$3,$I267&gt;AD$2),0,IF($K267=0,IF(AND($I267&gt;=AD$3,$I267&lt;=AD$2),$E267,0),$E267*NETWORKDAYS(MAX($I267,AD$3),MIN($J267,AD$2),Data!$K$4:$K$203)/$K267)))</f>
        <v>0</v>
      </c>
      <c r="AE267" s="166">
        <f>IF(OR($I267="",$E267=0),0,IF(OR($J267&lt;AE$3,$I267&gt;AE$2),0,IF($K267=0,IF(AND($I267&gt;=AE$3,$I267&lt;=AE$2),$E267,0),$E267*NETWORKDAYS(MAX($I267,AE$3),MIN($J267,AE$2),Data!$K$4:$K$203)/$K267)))</f>
        <v>0</v>
      </c>
      <c r="AF267" s="166">
        <f>IF(OR($I267="",$E267=0),0,IF(OR($J267&lt;AF$3,$I267&gt;AF$2),0,IF($K267=0,IF(AND($I267&gt;=AF$3,$I267&lt;=AF$2),$E267,0),$E267*NETWORKDAYS(MAX($I267,AF$3),MIN($J267,AF$2),Data!$K$4:$K$203)/$K267)))</f>
        <v>0</v>
      </c>
      <c r="AG267" s="166">
        <f>IF(OR($I267="",$E267=0),0,IF(OR($J267&lt;AG$3,$I267&gt;AG$2),0,IF($K267=0,IF(AND($I267&gt;=AG$3,$I267&lt;=AG$2),$E267,0),$E267*NETWORKDAYS(MAX($I267,AG$3),MIN($J267,AG$2),Data!$K$4:$K$203)/$K267)))</f>
        <v>0</v>
      </c>
      <c r="AH267" s="166">
        <f>IF(OR($I267="",$E267=0),0,IF(OR($J267&lt;AH$3,$I267&gt;AH$2),0,IF($K267=0,IF(AND($I267&gt;=AH$3,$I267&lt;=AH$2),$E267,0),$E267*NETWORKDAYS(MAX($I267,AH$3),MIN($J267,AH$2),Data!$K$4:$K$203)/$K267)))</f>
        <v>0</v>
      </c>
      <c r="AI267" s="166">
        <f>SUM(W267:AH267)</f>
        <v>0</v>
      </c>
      <c r="BZ267" t="str">
        <f>IF(D267=1,IF(TRIM(INDEX(Charge!$K:$K,ROW()))&lt;&gt;"",TRIM(INDEX(Charge!$K:$K,ROW())),IF(TRIM(INDEX(Charge!$L:$L,ROW()))&lt;&gt;"",TRIM(INDEX(Charge!$L:$L,ROW())),"(non affecté)")),"")</f>
        <v/>
      </c>
      <c r="CA267" t="str">
        <f>IF(AND($CD$4&lt;&gt;"",BZ267=$CD$4),COUNTIFS($BZ$4:$BZ$503,$CD$4,$L$4:$L$503,"&lt;"&amp;L267)+1,"")</f>
        <v/>
      </c>
      <c r="EM267" t="str">
        <f>IF(D267=1,IF(TRIM(INDEX(Charge!$K:$K,ROW()))&lt;&gt;"","Interne",IF(TRIM(INDEX(Charge!$L:$L,ROW()))&lt;&gt;"","Externe","Non affecté")),"")</f>
        <v/>
      </c>
      <c r="EN267" t="str">
        <f>IF(D267=1,LEFT(SUBSTITUTE(SUBSTITUTE(SUBSTITUTE(TRIM(SUBSTITUTE(INDEX(Charge!$B:$B,ROW()),CHAR(160)," "))&amp;" | "&amp;TRIM(SUBSTITUTE(INDEX(Charge!$C:$C,ROW()),CHAR(160)," "))&amp;" | "&amp;TRIM(SUBSTITUTE(INDEX(Charge!$D:$D,ROW()),CHAR(160)," ")),"~","-"),"*","+"),"?","!"),240),"")</f>
        <v/>
      </c>
      <c r="EO267">
        <f>IF(EN267="",0,IF(COUNTIF($EN$4:EN267,EN267)=1,1,0))</f>
        <v>0</v>
      </c>
      <c r="EP267" s="166" t="str">
        <f>IF(EO267=1,ROUND(SUMIF($EN$4:$EN$503,EN267,$E$4:$E$503),2),"")</f>
        <v/>
      </c>
      <c r="EQ267" t="str">
        <f>IF(EO267=1,COUNTIFS($EO$4:$EO$503,1,$EP$4:$EP$503,"&gt;"&amp;EP267)+COUNTIFS($EO$4:EO267,1,$EP$4:EP267,EP267),"")</f>
        <v/>
      </c>
      <c r="ER267" t="str">
        <f>IF(EO267=1,COUNTIFS($EN$4:$EN$503,EN267,$EM$4:$EM$503,"Interne",$FE$4:$FE$503,1),"")</f>
        <v/>
      </c>
      <c r="ES267" t="str">
        <f>IF(EO267=1,COUNTIFS($EN$4:$EN$503,EN267,$EM$4:$EM$503,"Externe",$FE$4:$FE$503,1),"")</f>
        <v/>
      </c>
      <c r="ET267" t="str">
        <f>IF(EO267=1,IF(ER267+ES267=0,"à affecter",IF(ER267=0,ES267&amp;" ext.",(ER267+ES267)&amp;IF(ES267&gt;0," dont "&amp;ES267&amp;" ext.",""))&amp;IF(COUNTIFS($EN$4:$EN$503,EN267,$EM$4:$EM$503,"Non affecté")&gt;0," + à affecter","")),"")</f>
        <v/>
      </c>
      <c r="EU267" s="170" t="str">
        <f>IF(EO267=1,IF(EP267&gt;0,SUMPRODUCT(($EN$4:$EN$503=EN267)*$E$4:$E$503*$C$4:$C$503)/EP267,AVERAGEIF($EN$4:$EN$503,EN267,$C$4:$C$503)),"")</f>
        <v/>
      </c>
      <c r="EV267" s="165">
        <f>IF(ISNUMBER(I267),I267,2958465)</f>
        <v>2958465.0</v>
      </c>
      <c r="EW267" s="165" t="str">
        <f>IF(EO267=1,SUMPRODUCT(MIN(($EN$4:$EN$503=EN267)*$EV$4:$EV$503+($EN$4:$EN$503&lt;&gt;EN267)*2958465)),"")</f>
        <v/>
      </c>
      <c r="EX267" s="165">
        <f>IF(AND(D267=1,ISNUMBER(INDEX(Charge!$F:$F,ROW()))),INDEX(Charge!$F:$F,ROW()),0)</f>
        <v>0.0</v>
      </c>
      <c r="EY267" s="165" t="str">
        <f>IF(EO267=1,SUMPRODUCT(MAX(($EN$4:$EN$503=EN267)*$EX$4:$EX$503)),"")</f>
        <v/>
      </c>
      <c r="FA267" t="str">
        <f>IF(264&lt;=$CD$23,INDEX($EJ$4:$EJ$203,264),IF(264-$CD$23&lt;=$CD$26,INDEX($EK$4:$EK$203,264-$CD$23),""))</f>
        <v/>
      </c>
      <c r="FB267" t="str">
        <f>IF(FA267="","",IF(264&lt;=$CD$23,"Interne","Externe"))</f>
        <v/>
      </c>
      <c r="FD267">
        <f>IF(AND(B267=1,TRIM(INDEX(Charge!$K:$K,ROW()))&lt;&gt;"",TRIM(INDEX(Charge!$L:$L,ROW()))&lt;&gt;""),1,0)</f>
        <v>0</v>
      </c>
      <c r="FE267">
        <f>IF(OR(EN267="",BZ267="(non affecté)"),0,IF(COUNTIFS($EN$4:EN267,EN267,$BZ$4:BZ267,BZ267)=1,1,0))</f>
        <v>0</v>
      </c>
    </row>
    <row r="268">
      <c r="A268">
        <f>ROW()</f>
        <v>268</v>
      </c>
      <c r="B268">
        <f>IF(TRIM(INDEX(Charge!$B:$B,ROW()))&lt;&gt;"",1,0)</f>
        <v>0</v>
      </c>
      <c r="C268">
        <f>IF(B268=1,MIN(1,MAX(0,N(INDEX(Charge!$O:$O,ROW())))),0)</f>
        <v>0</v>
      </c>
      <c r="D268">
        <f>IF(B268=1,IF(OR(p_Perimetre="Tous les projets",C268&lt;1),1,0),0)</f>
        <v>0</v>
      </c>
      <c r="E268">
        <f>IF(D268=1,MAX(0,N(INDEX(Charge!$M:$M,ROW()))),0)</f>
        <v>0</v>
      </c>
      <c r="F268" t="str">
        <f>IF(D268=1,IF(TRIM(INDEX(Charge!$A:$A,ROW()))="","(non renseigné)",TRIM(INDEX(Charge!$A:$A,ROW()))),"")</f>
        <v/>
      </c>
      <c r="G268" t="str">
        <f>IF(D268=1,TRIM(INDEX(Charge!$B:$B,ROW())),"")</f>
        <v/>
      </c>
      <c r="H268" t="str">
        <f>IF(D268=1,IF(TRIM(INDEX(Charge!$E:$E,ROW()))="","(non renseigné)",TRIM(INDEX(Charge!$E:$E,ROW()))),"")</f>
        <v/>
      </c>
      <c r="I268" s="165" t="str">
        <f>IF(AND(D268=1,ISNUMBER(INDEX(Charge!$N:$N,ROW()))),INDEX(Charge!$N:$N,ROW()),"")</f>
        <v/>
      </c>
      <c r="J268" s="165" t="str">
        <f>IF(I268="","",IF(AND(p_Repartition="Lissée jusqu'à la date de besoin",ISNUMBER(INDEX(Charge!$F:$F,ROW()))),IF(INDEX(Charge!$F:$F,ROW())&gt;=I268,INDEX(Charge!$F:$F,ROW()),I268),I268))</f>
        <v/>
      </c>
      <c r="K268" t="str">
        <f>IF(I268="","",NETWORKDAYS(I268,J268,Data!$K$4:$K$203))</f>
        <v/>
      </c>
      <c r="L268" t="str">
        <f>IF(D268=1,COUNTIFS($D$4:$D$503,1,$E$4:$E$503,"&gt;"&amp;E268)+COUNTIFS($D$4:$D268,1,$E$4:$E268,E268),"")</f>
        <v/>
      </c>
      <c r="M268">
        <f>IF(F268="",0,IF(COUNTIF($F$4:F268,F268)=1,1,0))</f>
        <v>0</v>
      </c>
      <c r="N268" t="str">
        <f>IF(M268=1,ROUND(SUMIF($F$4:$F$503,F268,$E$4:$E$503),2),"")</f>
        <v/>
      </c>
      <c r="O268" t="str">
        <f>IF(M268=1,COUNTIFS($M$4:$M$503,1,$N$4:$N$503,"&gt;"&amp;N268)+COUNTIFS($M$4:M268,1,$N$4:N268,N268),"")</f>
        <v/>
      </c>
      <c r="P268">
        <f>IF(G268="",0,IF(COUNTIF($G$4:G268,G268)=1,1,0))</f>
        <v>0</v>
      </c>
      <c r="Q268" t="str">
        <f>IF(P268=1,ROUND(SUMIF($G$4:$G$503,G268,$E$4:$E$503),2),"")</f>
        <v/>
      </c>
      <c r="R268" t="str">
        <f>IF(P268=1,COUNTIFS($P$4:$P$503,1,$Q$4:$Q$503,"&gt;"&amp;Q268)+COUNTIFS($P$4:P268,1,$Q$4:Q268,Q268),"")</f>
        <v/>
      </c>
      <c r="S268">
        <f>IF(H268="",0,IF(COUNTIF($H$4:H268,H268)=1,1,0))</f>
        <v>0</v>
      </c>
      <c r="T268" t="str">
        <f>IF(S268=1,ROUND(SUMIF($H$4:$H$503,H268,$E$4:$E$503),2),"")</f>
        <v/>
      </c>
      <c r="U268" t="str">
        <f>IF(S268=1,COUNTIFS($S$4:$S$503,1,$T$4:$T$503,"&gt;"&amp;T268)+COUNTIFS($S$4:S268,1,$T$4:T268,T268),"")</f>
        <v/>
      </c>
      <c r="V268" t="str">
        <f>IF(D268=1,MIN(INDEX($R$4:$R$503,MATCH(G268,$G$4:$G$503,0)),IF($AL$7&gt;9,9,999)),"")</f>
        <v/>
      </c>
      <c r="W268" s="166">
        <f>IF(OR($I268="",$E268=0),0,IF(OR($J268&lt;W$3,$I268&gt;W$2),0,IF($K268=0,IF(AND($I268&gt;=W$3,$I268&lt;=W$2),$E268,0),$E268*NETWORKDAYS(MAX($I268,W$3),MIN($J268,W$2),Data!$K$4:$K$203)/$K268)))</f>
        <v>0</v>
      </c>
      <c r="X268" s="166">
        <f>IF(OR($I268="",$E268=0),0,IF(OR($J268&lt;X$3,$I268&gt;X$2),0,IF($K268=0,IF(AND($I268&gt;=X$3,$I268&lt;=X$2),$E268,0),$E268*NETWORKDAYS(MAX($I268,X$3),MIN($J268,X$2),Data!$K$4:$K$203)/$K268)))</f>
        <v>0</v>
      </c>
      <c r="Y268" s="166">
        <f>IF(OR($I268="",$E268=0),0,IF(OR($J268&lt;Y$3,$I268&gt;Y$2),0,IF($K268=0,IF(AND($I268&gt;=Y$3,$I268&lt;=Y$2),$E268,0),$E268*NETWORKDAYS(MAX($I268,Y$3),MIN($J268,Y$2),Data!$K$4:$K$203)/$K268)))</f>
        <v>0</v>
      </c>
      <c r="Z268" s="166">
        <f>IF(OR($I268="",$E268=0),0,IF(OR($J268&lt;Z$3,$I268&gt;Z$2),0,IF($K268=0,IF(AND($I268&gt;=Z$3,$I268&lt;=Z$2),$E268,0),$E268*NETWORKDAYS(MAX($I268,Z$3),MIN($J268,Z$2),Data!$K$4:$K$203)/$K268)))</f>
        <v>0</v>
      </c>
      <c r="AA268" s="166">
        <f>IF(OR($I268="",$E268=0),0,IF(OR($J268&lt;AA$3,$I268&gt;AA$2),0,IF($K268=0,IF(AND($I268&gt;=AA$3,$I268&lt;=AA$2),$E268,0),$E268*NETWORKDAYS(MAX($I268,AA$3),MIN($J268,AA$2),Data!$K$4:$K$203)/$K268)))</f>
        <v>0</v>
      </c>
      <c r="AB268" s="166">
        <f>IF(OR($I268="",$E268=0),0,IF(OR($J268&lt;AB$3,$I268&gt;AB$2),0,IF($K268=0,IF(AND($I268&gt;=AB$3,$I268&lt;=AB$2),$E268,0),$E268*NETWORKDAYS(MAX($I268,AB$3),MIN($J268,AB$2),Data!$K$4:$K$203)/$K268)))</f>
        <v>0</v>
      </c>
      <c r="AC268" s="166">
        <f>IF(OR($I268="",$E268=0),0,IF(OR($J268&lt;AC$3,$I268&gt;AC$2),0,IF($K268=0,IF(AND($I268&gt;=AC$3,$I268&lt;=AC$2),$E268,0),$E268*NETWORKDAYS(MAX($I268,AC$3),MIN($J268,AC$2),Data!$K$4:$K$203)/$K268)))</f>
        <v>0</v>
      </c>
      <c r="AD268" s="166">
        <f>IF(OR($I268="",$E268=0),0,IF(OR($J268&lt;AD$3,$I268&gt;AD$2),0,IF($K268=0,IF(AND($I268&gt;=AD$3,$I268&lt;=AD$2),$E268,0),$E268*NETWORKDAYS(MAX($I268,AD$3),MIN($J268,AD$2),Data!$K$4:$K$203)/$K268)))</f>
        <v>0</v>
      </c>
      <c r="AE268" s="166">
        <f>IF(OR($I268="",$E268=0),0,IF(OR($J268&lt;AE$3,$I268&gt;AE$2),0,IF($K268=0,IF(AND($I268&gt;=AE$3,$I268&lt;=AE$2),$E268,0),$E268*NETWORKDAYS(MAX($I268,AE$3),MIN($J268,AE$2),Data!$K$4:$K$203)/$K268)))</f>
        <v>0</v>
      </c>
      <c r="AF268" s="166">
        <f>IF(OR($I268="",$E268=0),0,IF(OR($J268&lt;AF$3,$I268&gt;AF$2),0,IF($K268=0,IF(AND($I268&gt;=AF$3,$I268&lt;=AF$2),$E268,0),$E268*NETWORKDAYS(MAX($I268,AF$3),MIN($J268,AF$2),Data!$K$4:$K$203)/$K268)))</f>
        <v>0</v>
      </c>
      <c r="AG268" s="166">
        <f>IF(OR($I268="",$E268=0),0,IF(OR($J268&lt;AG$3,$I268&gt;AG$2),0,IF($K268=0,IF(AND($I268&gt;=AG$3,$I268&lt;=AG$2),$E268,0),$E268*NETWORKDAYS(MAX($I268,AG$3),MIN($J268,AG$2),Data!$K$4:$K$203)/$K268)))</f>
        <v>0</v>
      </c>
      <c r="AH268" s="166">
        <f>IF(OR($I268="",$E268=0),0,IF(OR($J268&lt;AH$3,$I268&gt;AH$2),0,IF($K268=0,IF(AND($I268&gt;=AH$3,$I268&lt;=AH$2),$E268,0),$E268*NETWORKDAYS(MAX($I268,AH$3),MIN($J268,AH$2),Data!$K$4:$K$203)/$K268)))</f>
        <v>0</v>
      </c>
      <c r="AI268" s="166">
        <f>SUM(W268:AH268)</f>
        <v>0</v>
      </c>
      <c r="BZ268" t="str">
        <f>IF(D268=1,IF(TRIM(INDEX(Charge!$K:$K,ROW()))&lt;&gt;"",TRIM(INDEX(Charge!$K:$K,ROW())),IF(TRIM(INDEX(Charge!$L:$L,ROW()))&lt;&gt;"",TRIM(INDEX(Charge!$L:$L,ROW())),"(non affecté)")),"")</f>
        <v/>
      </c>
      <c r="CA268" t="str">
        <f>IF(AND($CD$4&lt;&gt;"",BZ268=$CD$4),COUNTIFS($BZ$4:$BZ$503,$CD$4,$L$4:$L$503,"&lt;"&amp;L268)+1,"")</f>
        <v/>
      </c>
      <c r="EM268" t="str">
        <f>IF(D268=1,IF(TRIM(INDEX(Charge!$K:$K,ROW()))&lt;&gt;"","Interne",IF(TRIM(INDEX(Charge!$L:$L,ROW()))&lt;&gt;"","Externe","Non affecté")),"")</f>
        <v/>
      </c>
      <c r="EN268" t="str">
        <f>IF(D268=1,LEFT(SUBSTITUTE(SUBSTITUTE(SUBSTITUTE(TRIM(SUBSTITUTE(INDEX(Charge!$B:$B,ROW()),CHAR(160)," "))&amp;" | "&amp;TRIM(SUBSTITUTE(INDEX(Charge!$C:$C,ROW()),CHAR(160)," "))&amp;" | "&amp;TRIM(SUBSTITUTE(INDEX(Charge!$D:$D,ROW()),CHAR(160)," ")),"~","-"),"*","+"),"?","!"),240),"")</f>
        <v/>
      </c>
      <c r="EO268">
        <f>IF(EN268="",0,IF(COUNTIF($EN$4:EN268,EN268)=1,1,0))</f>
        <v>0</v>
      </c>
      <c r="EP268" s="166" t="str">
        <f>IF(EO268=1,ROUND(SUMIF($EN$4:$EN$503,EN268,$E$4:$E$503),2),"")</f>
        <v/>
      </c>
      <c r="EQ268" t="str">
        <f>IF(EO268=1,COUNTIFS($EO$4:$EO$503,1,$EP$4:$EP$503,"&gt;"&amp;EP268)+COUNTIFS($EO$4:EO268,1,$EP$4:EP268,EP268),"")</f>
        <v/>
      </c>
      <c r="ER268" t="str">
        <f>IF(EO268=1,COUNTIFS($EN$4:$EN$503,EN268,$EM$4:$EM$503,"Interne",$FE$4:$FE$503,1),"")</f>
        <v/>
      </c>
      <c r="ES268" t="str">
        <f>IF(EO268=1,COUNTIFS($EN$4:$EN$503,EN268,$EM$4:$EM$503,"Externe",$FE$4:$FE$503,1),"")</f>
        <v/>
      </c>
      <c r="ET268" t="str">
        <f>IF(EO268=1,IF(ER268+ES268=0,"à affecter",IF(ER268=0,ES268&amp;" ext.",(ER268+ES268)&amp;IF(ES268&gt;0," dont "&amp;ES268&amp;" ext.",""))&amp;IF(COUNTIFS($EN$4:$EN$503,EN268,$EM$4:$EM$503,"Non affecté")&gt;0," + à affecter","")),"")</f>
        <v/>
      </c>
      <c r="EU268" s="170" t="str">
        <f>IF(EO268=1,IF(EP268&gt;0,SUMPRODUCT(($EN$4:$EN$503=EN268)*$E$4:$E$503*$C$4:$C$503)/EP268,AVERAGEIF($EN$4:$EN$503,EN268,$C$4:$C$503)),"")</f>
        <v/>
      </c>
      <c r="EV268" s="165">
        <f>IF(ISNUMBER(I268),I268,2958465)</f>
        <v>2958465.0</v>
      </c>
      <c r="EW268" s="165" t="str">
        <f>IF(EO268=1,SUMPRODUCT(MIN(($EN$4:$EN$503=EN268)*$EV$4:$EV$503+($EN$4:$EN$503&lt;&gt;EN268)*2958465)),"")</f>
        <v/>
      </c>
      <c r="EX268" s="165">
        <f>IF(AND(D268=1,ISNUMBER(INDEX(Charge!$F:$F,ROW()))),INDEX(Charge!$F:$F,ROW()),0)</f>
        <v>0.0</v>
      </c>
      <c r="EY268" s="165" t="str">
        <f>IF(EO268=1,SUMPRODUCT(MAX(($EN$4:$EN$503=EN268)*$EX$4:$EX$503)),"")</f>
        <v/>
      </c>
      <c r="FA268" t="str">
        <f>IF(265&lt;=$CD$23,INDEX($EJ$4:$EJ$203,265),IF(265-$CD$23&lt;=$CD$26,INDEX($EK$4:$EK$203,265-$CD$23),""))</f>
        <v/>
      </c>
      <c r="FB268" t="str">
        <f>IF(FA268="","",IF(265&lt;=$CD$23,"Interne","Externe"))</f>
        <v/>
      </c>
      <c r="FD268">
        <f>IF(AND(B268=1,TRIM(INDEX(Charge!$K:$K,ROW()))&lt;&gt;"",TRIM(INDEX(Charge!$L:$L,ROW()))&lt;&gt;""),1,0)</f>
        <v>0</v>
      </c>
      <c r="FE268">
        <f>IF(OR(EN268="",BZ268="(non affecté)"),0,IF(COUNTIFS($EN$4:EN268,EN268,$BZ$4:BZ268,BZ268)=1,1,0))</f>
        <v>0</v>
      </c>
    </row>
    <row r="269">
      <c r="A269">
        <f>ROW()</f>
        <v>269</v>
      </c>
      <c r="B269">
        <f>IF(TRIM(INDEX(Charge!$B:$B,ROW()))&lt;&gt;"",1,0)</f>
        <v>0</v>
      </c>
      <c r="C269">
        <f>IF(B269=1,MIN(1,MAX(0,N(INDEX(Charge!$O:$O,ROW())))),0)</f>
        <v>0</v>
      </c>
      <c r="D269">
        <f>IF(B269=1,IF(OR(p_Perimetre="Tous les projets",C269&lt;1),1,0),0)</f>
        <v>0</v>
      </c>
      <c r="E269">
        <f>IF(D269=1,MAX(0,N(INDEX(Charge!$M:$M,ROW()))),0)</f>
        <v>0</v>
      </c>
      <c r="F269" t="str">
        <f>IF(D269=1,IF(TRIM(INDEX(Charge!$A:$A,ROW()))="","(non renseigné)",TRIM(INDEX(Charge!$A:$A,ROW()))),"")</f>
        <v/>
      </c>
      <c r="G269" t="str">
        <f>IF(D269=1,TRIM(INDEX(Charge!$B:$B,ROW())),"")</f>
        <v/>
      </c>
      <c r="H269" t="str">
        <f>IF(D269=1,IF(TRIM(INDEX(Charge!$E:$E,ROW()))="","(non renseigné)",TRIM(INDEX(Charge!$E:$E,ROW()))),"")</f>
        <v/>
      </c>
      <c r="I269" s="165" t="str">
        <f>IF(AND(D269=1,ISNUMBER(INDEX(Charge!$N:$N,ROW()))),INDEX(Charge!$N:$N,ROW()),"")</f>
        <v/>
      </c>
      <c r="J269" s="165" t="str">
        <f>IF(I269="","",IF(AND(p_Repartition="Lissée jusqu'à la date de besoin",ISNUMBER(INDEX(Charge!$F:$F,ROW()))),IF(INDEX(Charge!$F:$F,ROW())&gt;=I269,INDEX(Charge!$F:$F,ROW()),I269),I269))</f>
        <v/>
      </c>
      <c r="K269" t="str">
        <f>IF(I269="","",NETWORKDAYS(I269,J269,Data!$K$4:$K$203))</f>
        <v/>
      </c>
      <c r="L269" t="str">
        <f>IF(D269=1,COUNTIFS($D$4:$D$503,1,$E$4:$E$503,"&gt;"&amp;E269)+COUNTIFS($D$4:$D269,1,$E$4:$E269,E269),"")</f>
        <v/>
      </c>
      <c r="M269">
        <f>IF(F269="",0,IF(COUNTIF($F$4:F269,F269)=1,1,0))</f>
        <v>0</v>
      </c>
      <c r="N269" t="str">
        <f>IF(M269=1,ROUND(SUMIF($F$4:$F$503,F269,$E$4:$E$503),2),"")</f>
        <v/>
      </c>
      <c r="O269" t="str">
        <f>IF(M269=1,COUNTIFS($M$4:$M$503,1,$N$4:$N$503,"&gt;"&amp;N269)+COUNTIFS($M$4:M269,1,$N$4:N269,N269),"")</f>
        <v/>
      </c>
      <c r="P269">
        <f>IF(G269="",0,IF(COUNTIF($G$4:G269,G269)=1,1,0))</f>
        <v>0</v>
      </c>
      <c r="Q269" t="str">
        <f>IF(P269=1,ROUND(SUMIF($G$4:$G$503,G269,$E$4:$E$503),2),"")</f>
        <v/>
      </c>
      <c r="R269" t="str">
        <f>IF(P269=1,COUNTIFS($P$4:$P$503,1,$Q$4:$Q$503,"&gt;"&amp;Q269)+COUNTIFS($P$4:P269,1,$Q$4:Q269,Q269),"")</f>
        <v/>
      </c>
      <c r="S269">
        <f>IF(H269="",0,IF(COUNTIF($H$4:H269,H269)=1,1,0))</f>
        <v>0</v>
      </c>
      <c r="T269" t="str">
        <f>IF(S269=1,ROUND(SUMIF($H$4:$H$503,H269,$E$4:$E$503),2),"")</f>
        <v/>
      </c>
      <c r="U269" t="str">
        <f>IF(S269=1,COUNTIFS($S$4:$S$503,1,$T$4:$T$503,"&gt;"&amp;T269)+COUNTIFS($S$4:S269,1,$T$4:T269,T269),"")</f>
        <v/>
      </c>
      <c r="V269" t="str">
        <f>IF(D269=1,MIN(INDEX($R$4:$R$503,MATCH(G269,$G$4:$G$503,0)),IF($AL$7&gt;9,9,999)),"")</f>
        <v/>
      </c>
      <c r="W269" s="166">
        <f>IF(OR($I269="",$E269=0),0,IF(OR($J269&lt;W$3,$I269&gt;W$2),0,IF($K269=0,IF(AND($I269&gt;=W$3,$I269&lt;=W$2),$E269,0),$E269*NETWORKDAYS(MAX($I269,W$3),MIN($J269,W$2),Data!$K$4:$K$203)/$K269)))</f>
        <v>0</v>
      </c>
      <c r="X269" s="166">
        <f>IF(OR($I269="",$E269=0),0,IF(OR($J269&lt;X$3,$I269&gt;X$2),0,IF($K269=0,IF(AND($I269&gt;=X$3,$I269&lt;=X$2),$E269,0),$E269*NETWORKDAYS(MAX($I269,X$3),MIN($J269,X$2),Data!$K$4:$K$203)/$K269)))</f>
        <v>0</v>
      </c>
      <c r="Y269" s="166">
        <f>IF(OR($I269="",$E269=0),0,IF(OR($J269&lt;Y$3,$I269&gt;Y$2),0,IF($K269=0,IF(AND($I269&gt;=Y$3,$I269&lt;=Y$2),$E269,0),$E269*NETWORKDAYS(MAX($I269,Y$3),MIN($J269,Y$2),Data!$K$4:$K$203)/$K269)))</f>
        <v>0</v>
      </c>
      <c r="Z269" s="166">
        <f>IF(OR($I269="",$E269=0),0,IF(OR($J269&lt;Z$3,$I269&gt;Z$2),0,IF($K269=0,IF(AND($I269&gt;=Z$3,$I269&lt;=Z$2),$E269,0),$E269*NETWORKDAYS(MAX($I269,Z$3),MIN($J269,Z$2),Data!$K$4:$K$203)/$K269)))</f>
        <v>0</v>
      </c>
      <c r="AA269" s="166">
        <f>IF(OR($I269="",$E269=0),0,IF(OR($J269&lt;AA$3,$I269&gt;AA$2),0,IF($K269=0,IF(AND($I269&gt;=AA$3,$I269&lt;=AA$2),$E269,0),$E269*NETWORKDAYS(MAX($I269,AA$3),MIN($J269,AA$2),Data!$K$4:$K$203)/$K269)))</f>
        <v>0</v>
      </c>
      <c r="AB269" s="166">
        <f>IF(OR($I269="",$E269=0),0,IF(OR($J269&lt;AB$3,$I269&gt;AB$2),0,IF($K269=0,IF(AND($I269&gt;=AB$3,$I269&lt;=AB$2),$E269,0),$E269*NETWORKDAYS(MAX($I269,AB$3),MIN($J269,AB$2),Data!$K$4:$K$203)/$K269)))</f>
        <v>0</v>
      </c>
      <c r="AC269" s="166">
        <f>IF(OR($I269="",$E269=0),0,IF(OR($J269&lt;AC$3,$I269&gt;AC$2),0,IF($K269=0,IF(AND($I269&gt;=AC$3,$I269&lt;=AC$2),$E269,0),$E269*NETWORKDAYS(MAX($I269,AC$3),MIN($J269,AC$2),Data!$K$4:$K$203)/$K269)))</f>
        <v>0</v>
      </c>
      <c r="AD269" s="166">
        <f>IF(OR($I269="",$E269=0),0,IF(OR($J269&lt;AD$3,$I269&gt;AD$2),0,IF($K269=0,IF(AND($I269&gt;=AD$3,$I269&lt;=AD$2),$E269,0),$E269*NETWORKDAYS(MAX($I269,AD$3),MIN($J269,AD$2),Data!$K$4:$K$203)/$K269)))</f>
        <v>0</v>
      </c>
      <c r="AE269" s="166">
        <f>IF(OR($I269="",$E269=0),0,IF(OR($J269&lt;AE$3,$I269&gt;AE$2),0,IF($K269=0,IF(AND($I269&gt;=AE$3,$I269&lt;=AE$2),$E269,0),$E269*NETWORKDAYS(MAX($I269,AE$3),MIN($J269,AE$2),Data!$K$4:$K$203)/$K269)))</f>
        <v>0</v>
      </c>
      <c r="AF269" s="166">
        <f>IF(OR($I269="",$E269=0),0,IF(OR($J269&lt;AF$3,$I269&gt;AF$2),0,IF($K269=0,IF(AND($I269&gt;=AF$3,$I269&lt;=AF$2),$E269,0),$E269*NETWORKDAYS(MAX($I269,AF$3),MIN($J269,AF$2),Data!$K$4:$K$203)/$K269)))</f>
        <v>0</v>
      </c>
      <c r="AG269" s="166">
        <f>IF(OR($I269="",$E269=0),0,IF(OR($J269&lt;AG$3,$I269&gt;AG$2),0,IF($K269=0,IF(AND($I269&gt;=AG$3,$I269&lt;=AG$2),$E269,0),$E269*NETWORKDAYS(MAX($I269,AG$3),MIN($J269,AG$2),Data!$K$4:$K$203)/$K269)))</f>
        <v>0</v>
      </c>
      <c r="AH269" s="166">
        <f>IF(OR($I269="",$E269=0),0,IF(OR($J269&lt;AH$3,$I269&gt;AH$2),0,IF($K269=0,IF(AND($I269&gt;=AH$3,$I269&lt;=AH$2),$E269,0),$E269*NETWORKDAYS(MAX($I269,AH$3),MIN($J269,AH$2),Data!$K$4:$K$203)/$K269)))</f>
        <v>0</v>
      </c>
      <c r="AI269" s="166">
        <f>SUM(W269:AH269)</f>
        <v>0</v>
      </c>
      <c r="BZ269" t="str">
        <f>IF(D269=1,IF(TRIM(INDEX(Charge!$K:$K,ROW()))&lt;&gt;"",TRIM(INDEX(Charge!$K:$K,ROW())),IF(TRIM(INDEX(Charge!$L:$L,ROW()))&lt;&gt;"",TRIM(INDEX(Charge!$L:$L,ROW())),"(non affecté)")),"")</f>
        <v/>
      </c>
      <c r="CA269" t="str">
        <f>IF(AND($CD$4&lt;&gt;"",BZ269=$CD$4),COUNTIFS($BZ$4:$BZ$503,$CD$4,$L$4:$L$503,"&lt;"&amp;L269)+1,"")</f>
        <v/>
      </c>
      <c r="EM269" t="str">
        <f>IF(D269=1,IF(TRIM(INDEX(Charge!$K:$K,ROW()))&lt;&gt;"","Interne",IF(TRIM(INDEX(Charge!$L:$L,ROW()))&lt;&gt;"","Externe","Non affecté")),"")</f>
        <v/>
      </c>
      <c r="EN269" t="str">
        <f>IF(D269=1,LEFT(SUBSTITUTE(SUBSTITUTE(SUBSTITUTE(TRIM(SUBSTITUTE(INDEX(Charge!$B:$B,ROW()),CHAR(160)," "))&amp;" | "&amp;TRIM(SUBSTITUTE(INDEX(Charge!$C:$C,ROW()),CHAR(160)," "))&amp;" | "&amp;TRIM(SUBSTITUTE(INDEX(Charge!$D:$D,ROW()),CHAR(160)," ")),"~","-"),"*","+"),"?","!"),240),"")</f>
        <v/>
      </c>
      <c r="EO269">
        <f>IF(EN269="",0,IF(COUNTIF($EN$4:EN269,EN269)=1,1,0))</f>
        <v>0</v>
      </c>
      <c r="EP269" s="166" t="str">
        <f>IF(EO269=1,ROUND(SUMIF($EN$4:$EN$503,EN269,$E$4:$E$503),2),"")</f>
        <v/>
      </c>
      <c r="EQ269" t="str">
        <f>IF(EO269=1,COUNTIFS($EO$4:$EO$503,1,$EP$4:$EP$503,"&gt;"&amp;EP269)+COUNTIFS($EO$4:EO269,1,$EP$4:EP269,EP269),"")</f>
        <v/>
      </c>
      <c r="ER269" t="str">
        <f>IF(EO269=1,COUNTIFS($EN$4:$EN$503,EN269,$EM$4:$EM$503,"Interne",$FE$4:$FE$503,1),"")</f>
        <v/>
      </c>
      <c r="ES269" t="str">
        <f>IF(EO269=1,COUNTIFS($EN$4:$EN$503,EN269,$EM$4:$EM$503,"Externe",$FE$4:$FE$503,1),"")</f>
        <v/>
      </c>
      <c r="ET269" t="str">
        <f>IF(EO269=1,IF(ER269+ES269=0,"à affecter",IF(ER269=0,ES269&amp;" ext.",(ER269+ES269)&amp;IF(ES269&gt;0," dont "&amp;ES269&amp;" ext.",""))&amp;IF(COUNTIFS($EN$4:$EN$503,EN269,$EM$4:$EM$503,"Non affecté")&gt;0," + à affecter","")),"")</f>
        <v/>
      </c>
      <c r="EU269" s="170" t="str">
        <f>IF(EO269=1,IF(EP269&gt;0,SUMPRODUCT(($EN$4:$EN$503=EN269)*$E$4:$E$503*$C$4:$C$503)/EP269,AVERAGEIF($EN$4:$EN$503,EN269,$C$4:$C$503)),"")</f>
        <v/>
      </c>
      <c r="EV269" s="165">
        <f>IF(ISNUMBER(I269),I269,2958465)</f>
        <v>2958465.0</v>
      </c>
      <c r="EW269" s="165" t="str">
        <f>IF(EO269=1,SUMPRODUCT(MIN(($EN$4:$EN$503=EN269)*$EV$4:$EV$503+($EN$4:$EN$503&lt;&gt;EN269)*2958465)),"")</f>
        <v/>
      </c>
      <c r="EX269" s="165">
        <f>IF(AND(D269=1,ISNUMBER(INDEX(Charge!$F:$F,ROW()))),INDEX(Charge!$F:$F,ROW()),0)</f>
        <v>0.0</v>
      </c>
      <c r="EY269" s="165" t="str">
        <f>IF(EO269=1,SUMPRODUCT(MAX(($EN$4:$EN$503=EN269)*$EX$4:$EX$503)),"")</f>
        <v/>
      </c>
      <c r="FA269" t="str">
        <f>IF(266&lt;=$CD$23,INDEX($EJ$4:$EJ$203,266),IF(266-$CD$23&lt;=$CD$26,INDEX($EK$4:$EK$203,266-$CD$23),""))</f>
        <v/>
      </c>
      <c r="FB269" t="str">
        <f>IF(FA269="","",IF(266&lt;=$CD$23,"Interne","Externe"))</f>
        <v/>
      </c>
      <c r="FD269">
        <f>IF(AND(B269=1,TRIM(INDEX(Charge!$K:$K,ROW()))&lt;&gt;"",TRIM(INDEX(Charge!$L:$L,ROW()))&lt;&gt;""),1,0)</f>
        <v>0</v>
      </c>
      <c r="FE269">
        <f>IF(OR(EN269="",BZ269="(non affecté)"),0,IF(COUNTIFS($EN$4:EN269,EN269,$BZ$4:BZ269,BZ269)=1,1,0))</f>
        <v>0</v>
      </c>
    </row>
    <row r="270">
      <c r="A270">
        <f>ROW()</f>
        <v>270</v>
      </c>
      <c r="B270">
        <f>IF(TRIM(INDEX(Charge!$B:$B,ROW()))&lt;&gt;"",1,0)</f>
        <v>0</v>
      </c>
      <c r="C270">
        <f>IF(B270=1,MIN(1,MAX(0,N(INDEX(Charge!$O:$O,ROW())))),0)</f>
        <v>0</v>
      </c>
      <c r="D270">
        <f>IF(B270=1,IF(OR(p_Perimetre="Tous les projets",C270&lt;1),1,0),0)</f>
        <v>0</v>
      </c>
      <c r="E270">
        <f>IF(D270=1,MAX(0,N(INDEX(Charge!$M:$M,ROW()))),0)</f>
        <v>0</v>
      </c>
      <c r="F270" t="str">
        <f>IF(D270=1,IF(TRIM(INDEX(Charge!$A:$A,ROW()))="","(non renseigné)",TRIM(INDEX(Charge!$A:$A,ROW()))),"")</f>
        <v/>
      </c>
      <c r="G270" t="str">
        <f>IF(D270=1,TRIM(INDEX(Charge!$B:$B,ROW())),"")</f>
        <v/>
      </c>
      <c r="H270" t="str">
        <f>IF(D270=1,IF(TRIM(INDEX(Charge!$E:$E,ROW()))="","(non renseigné)",TRIM(INDEX(Charge!$E:$E,ROW()))),"")</f>
        <v/>
      </c>
      <c r="I270" s="165" t="str">
        <f>IF(AND(D270=1,ISNUMBER(INDEX(Charge!$N:$N,ROW()))),INDEX(Charge!$N:$N,ROW()),"")</f>
        <v/>
      </c>
      <c r="J270" s="165" t="str">
        <f>IF(I270="","",IF(AND(p_Repartition="Lissée jusqu'à la date de besoin",ISNUMBER(INDEX(Charge!$F:$F,ROW()))),IF(INDEX(Charge!$F:$F,ROW())&gt;=I270,INDEX(Charge!$F:$F,ROW()),I270),I270))</f>
        <v/>
      </c>
      <c r="K270" t="str">
        <f>IF(I270="","",NETWORKDAYS(I270,J270,Data!$K$4:$K$203))</f>
        <v/>
      </c>
      <c r="L270" t="str">
        <f>IF(D270=1,COUNTIFS($D$4:$D$503,1,$E$4:$E$503,"&gt;"&amp;E270)+COUNTIFS($D$4:$D270,1,$E$4:$E270,E270),"")</f>
        <v/>
      </c>
      <c r="M270">
        <f>IF(F270="",0,IF(COUNTIF($F$4:F270,F270)=1,1,0))</f>
        <v>0</v>
      </c>
      <c r="N270" t="str">
        <f>IF(M270=1,ROUND(SUMIF($F$4:$F$503,F270,$E$4:$E$503),2),"")</f>
        <v/>
      </c>
      <c r="O270" t="str">
        <f>IF(M270=1,COUNTIFS($M$4:$M$503,1,$N$4:$N$503,"&gt;"&amp;N270)+COUNTIFS($M$4:M270,1,$N$4:N270,N270),"")</f>
        <v/>
      </c>
      <c r="P270">
        <f>IF(G270="",0,IF(COUNTIF($G$4:G270,G270)=1,1,0))</f>
        <v>0</v>
      </c>
      <c r="Q270" t="str">
        <f>IF(P270=1,ROUND(SUMIF($G$4:$G$503,G270,$E$4:$E$503),2),"")</f>
        <v/>
      </c>
      <c r="R270" t="str">
        <f>IF(P270=1,COUNTIFS($P$4:$P$503,1,$Q$4:$Q$503,"&gt;"&amp;Q270)+COUNTIFS($P$4:P270,1,$Q$4:Q270,Q270),"")</f>
        <v/>
      </c>
      <c r="S270">
        <f>IF(H270="",0,IF(COUNTIF($H$4:H270,H270)=1,1,0))</f>
        <v>0</v>
      </c>
      <c r="T270" t="str">
        <f>IF(S270=1,ROUND(SUMIF($H$4:$H$503,H270,$E$4:$E$503),2),"")</f>
        <v/>
      </c>
      <c r="U270" t="str">
        <f>IF(S270=1,COUNTIFS($S$4:$S$503,1,$T$4:$T$503,"&gt;"&amp;T270)+COUNTIFS($S$4:S270,1,$T$4:T270,T270),"")</f>
        <v/>
      </c>
      <c r="V270" t="str">
        <f>IF(D270=1,MIN(INDEX($R$4:$R$503,MATCH(G270,$G$4:$G$503,0)),IF($AL$7&gt;9,9,999)),"")</f>
        <v/>
      </c>
      <c r="W270" s="166">
        <f>IF(OR($I270="",$E270=0),0,IF(OR($J270&lt;W$3,$I270&gt;W$2),0,IF($K270=0,IF(AND($I270&gt;=W$3,$I270&lt;=W$2),$E270,0),$E270*NETWORKDAYS(MAX($I270,W$3),MIN($J270,W$2),Data!$K$4:$K$203)/$K270)))</f>
        <v>0</v>
      </c>
      <c r="X270" s="166">
        <f>IF(OR($I270="",$E270=0),0,IF(OR($J270&lt;X$3,$I270&gt;X$2),0,IF($K270=0,IF(AND($I270&gt;=X$3,$I270&lt;=X$2),$E270,0),$E270*NETWORKDAYS(MAX($I270,X$3),MIN($J270,X$2),Data!$K$4:$K$203)/$K270)))</f>
        <v>0</v>
      </c>
      <c r="Y270" s="166">
        <f>IF(OR($I270="",$E270=0),0,IF(OR($J270&lt;Y$3,$I270&gt;Y$2),0,IF($K270=0,IF(AND($I270&gt;=Y$3,$I270&lt;=Y$2),$E270,0),$E270*NETWORKDAYS(MAX($I270,Y$3),MIN($J270,Y$2),Data!$K$4:$K$203)/$K270)))</f>
        <v>0</v>
      </c>
      <c r="Z270" s="166">
        <f>IF(OR($I270="",$E270=0),0,IF(OR($J270&lt;Z$3,$I270&gt;Z$2),0,IF($K270=0,IF(AND($I270&gt;=Z$3,$I270&lt;=Z$2),$E270,0),$E270*NETWORKDAYS(MAX($I270,Z$3),MIN($J270,Z$2),Data!$K$4:$K$203)/$K270)))</f>
        <v>0</v>
      </c>
      <c r="AA270" s="166">
        <f>IF(OR($I270="",$E270=0),0,IF(OR($J270&lt;AA$3,$I270&gt;AA$2),0,IF($K270=0,IF(AND($I270&gt;=AA$3,$I270&lt;=AA$2),$E270,0),$E270*NETWORKDAYS(MAX($I270,AA$3),MIN($J270,AA$2),Data!$K$4:$K$203)/$K270)))</f>
        <v>0</v>
      </c>
      <c r="AB270" s="166">
        <f>IF(OR($I270="",$E270=0),0,IF(OR($J270&lt;AB$3,$I270&gt;AB$2),0,IF($K270=0,IF(AND($I270&gt;=AB$3,$I270&lt;=AB$2),$E270,0),$E270*NETWORKDAYS(MAX($I270,AB$3),MIN($J270,AB$2),Data!$K$4:$K$203)/$K270)))</f>
        <v>0</v>
      </c>
      <c r="AC270" s="166">
        <f>IF(OR($I270="",$E270=0),0,IF(OR($J270&lt;AC$3,$I270&gt;AC$2),0,IF($K270=0,IF(AND($I270&gt;=AC$3,$I270&lt;=AC$2),$E270,0),$E270*NETWORKDAYS(MAX($I270,AC$3),MIN($J270,AC$2),Data!$K$4:$K$203)/$K270)))</f>
        <v>0</v>
      </c>
      <c r="AD270" s="166">
        <f>IF(OR($I270="",$E270=0),0,IF(OR($J270&lt;AD$3,$I270&gt;AD$2),0,IF($K270=0,IF(AND($I270&gt;=AD$3,$I270&lt;=AD$2),$E270,0),$E270*NETWORKDAYS(MAX($I270,AD$3),MIN($J270,AD$2),Data!$K$4:$K$203)/$K270)))</f>
        <v>0</v>
      </c>
      <c r="AE270" s="166">
        <f>IF(OR($I270="",$E270=0),0,IF(OR($J270&lt;AE$3,$I270&gt;AE$2),0,IF($K270=0,IF(AND($I270&gt;=AE$3,$I270&lt;=AE$2),$E270,0),$E270*NETWORKDAYS(MAX($I270,AE$3),MIN($J270,AE$2),Data!$K$4:$K$203)/$K270)))</f>
        <v>0</v>
      </c>
      <c r="AF270" s="166">
        <f>IF(OR($I270="",$E270=0),0,IF(OR($J270&lt;AF$3,$I270&gt;AF$2),0,IF($K270=0,IF(AND($I270&gt;=AF$3,$I270&lt;=AF$2),$E270,0),$E270*NETWORKDAYS(MAX($I270,AF$3),MIN($J270,AF$2),Data!$K$4:$K$203)/$K270)))</f>
        <v>0</v>
      </c>
      <c r="AG270" s="166">
        <f>IF(OR($I270="",$E270=0),0,IF(OR($J270&lt;AG$3,$I270&gt;AG$2),0,IF($K270=0,IF(AND($I270&gt;=AG$3,$I270&lt;=AG$2),$E270,0),$E270*NETWORKDAYS(MAX($I270,AG$3),MIN($J270,AG$2),Data!$K$4:$K$203)/$K270)))</f>
        <v>0</v>
      </c>
      <c r="AH270" s="166">
        <f>IF(OR($I270="",$E270=0),0,IF(OR($J270&lt;AH$3,$I270&gt;AH$2),0,IF($K270=0,IF(AND($I270&gt;=AH$3,$I270&lt;=AH$2),$E270,0),$E270*NETWORKDAYS(MAX($I270,AH$3),MIN($J270,AH$2),Data!$K$4:$K$203)/$K270)))</f>
        <v>0</v>
      </c>
      <c r="AI270" s="166">
        <f>SUM(W270:AH270)</f>
        <v>0</v>
      </c>
      <c r="BZ270" t="str">
        <f>IF(D270=1,IF(TRIM(INDEX(Charge!$K:$K,ROW()))&lt;&gt;"",TRIM(INDEX(Charge!$K:$K,ROW())),IF(TRIM(INDEX(Charge!$L:$L,ROW()))&lt;&gt;"",TRIM(INDEX(Charge!$L:$L,ROW())),"(non affecté)")),"")</f>
        <v/>
      </c>
      <c r="CA270" t="str">
        <f>IF(AND($CD$4&lt;&gt;"",BZ270=$CD$4),COUNTIFS($BZ$4:$BZ$503,$CD$4,$L$4:$L$503,"&lt;"&amp;L270)+1,"")</f>
        <v/>
      </c>
      <c r="EM270" t="str">
        <f>IF(D270=1,IF(TRIM(INDEX(Charge!$K:$K,ROW()))&lt;&gt;"","Interne",IF(TRIM(INDEX(Charge!$L:$L,ROW()))&lt;&gt;"","Externe","Non affecté")),"")</f>
        <v/>
      </c>
      <c r="EN270" t="str">
        <f>IF(D270=1,LEFT(SUBSTITUTE(SUBSTITUTE(SUBSTITUTE(TRIM(SUBSTITUTE(INDEX(Charge!$B:$B,ROW()),CHAR(160)," "))&amp;" | "&amp;TRIM(SUBSTITUTE(INDEX(Charge!$C:$C,ROW()),CHAR(160)," "))&amp;" | "&amp;TRIM(SUBSTITUTE(INDEX(Charge!$D:$D,ROW()),CHAR(160)," ")),"~","-"),"*","+"),"?","!"),240),"")</f>
        <v/>
      </c>
      <c r="EO270">
        <f>IF(EN270="",0,IF(COUNTIF($EN$4:EN270,EN270)=1,1,0))</f>
        <v>0</v>
      </c>
      <c r="EP270" s="166" t="str">
        <f>IF(EO270=1,ROUND(SUMIF($EN$4:$EN$503,EN270,$E$4:$E$503),2),"")</f>
        <v/>
      </c>
      <c r="EQ270" t="str">
        <f>IF(EO270=1,COUNTIFS($EO$4:$EO$503,1,$EP$4:$EP$503,"&gt;"&amp;EP270)+COUNTIFS($EO$4:EO270,1,$EP$4:EP270,EP270),"")</f>
        <v/>
      </c>
      <c r="ER270" t="str">
        <f>IF(EO270=1,COUNTIFS($EN$4:$EN$503,EN270,$EM$4:$EM$503,"Interne",$FE$4:$FE$503,1),"")</f>
        <v/>
      </c>
      <c r="ES270" t="str">
        <f>IF(EO270=1,COUNTIFS($EN$4:$EN$503,EN270,$EM$4:$EM$503,"Externe",$FE$4:$FE$503,1),"")</f>
        <v/>
      </c>
      <c r="ET270" t="str">
        <f>IF(EO270=1,IF(ER270+ES270=0,"à affecter",IF(ER270=0,ES270&amp;" ext.",(ER270+ES270)&amp;IF(ES270&gt;0," dont "&amp;ES270&amp;" ext.",""))&amp;IF(COUNTIFS($EN$4:$EN$503,EN270,$EM$4:$EM$503,"Non affecté")&gt;0," + à affecter","")),"")</f>
        <v/>
      </c>
      <c r="EU270" s="170" t="str">
        <f>IF(EO270=1,IF(EP270&gt;0,SUMPRODUCT(($EN$4:$EN$503=EN270)*$E$4:$E$503*$C$4:$C$503)/EP270,AVERAGEIF($EN$4:$EN$503,EN270,$C$4:$C$503)),"")</f>
        <v/>
      </c>
      <c r="EV270" s="165">
        <f>IF(ISNUMBER(I270),I270,2958465)</f>
        <v>2958465.0</v>
      </c>
      <c r="EW270" s="165" t="str">
        <f>IF(EO270=1,SUMPRODUCT(MIN(($EN$4:$EN$503=EN270)*$EV$4:$EV$503+($EN$4:$EN$503&lt;&gt;EN270)*2958465)),"")</f>
        <v/>
      </c>
      <c r="EX270" s="165">
        <f>IF(AND(D270=1,ISNUMBER(INDEX(Charge!$F:$F,ROW()))),INDEX(Charge!$F:$F,ROW()),0)</f>
        <v>0.0</v>
      </c>
      <c r="EY270" s="165" t="str">
        <f>IF(EO270=1,SUMPRODUCT(MAX(($EN$4:$EN$503=EN270)*$EX$4:$EX$503)),"")</f>
        <v/>
      </c>
      <c r="FA270" t="str">
        <f>IF(267&lt;=$CD$23,INDEX($EJ$4:$EJ$203,267),IF(267-$CD$23&lt;=$CD$26,INDEX($EK$4:$EK$203,267-$CD$23),""))</f>
        <v/>
      </c>
      <c r="FB270" t="str">
        <f>IF(FA270="","",IF(267&lt;=$CD$23,"Interne","Externe"))</f>
        <v/>
      </c>
      <c r="FD270">
        <f>IF(AND(B270=1,TRIM(INDEX(Charge!$K:$K,ROW()))&lt;&gt;"",TRIM(INDEX(Charge!$L:$L,ROW()))&lt;&gt;""),1,0)</f>
        <v>0</v>
      </c>
      <c r="FE270">
        <f>IF(OR(EN270="",BZ270="(non affecté)"),0,IF(COUNTIFS($EN$4:EN270,EN270,$BZ$4:BZ270,BZ270)=1,1,0))</f>
        <v>0</v>
      </c>
    </row>
    <row r="271">
      <c r="A271">
        <f>ROW()</f>
        <v>271</v>
      </c>
      <c r="B271">
        <f>IF(TRIM(INDEX(Charge!$B:$B,ROW()))&lt;&gt;"",1,0)</f>
        <v>0</v>
      </c>
      <c r="C271">
        <f>IF(B271=1,MIN(1,MAX(0,N(INDEX(Charge!$O:$O,ROW())))),0)</f>
        <v>0</v>
      </c>
      <c r="D271">
        <f>IF(B271=1,IF(OR(p_Perimetre="Tous les projets",C271&lt;1),1,0),0)</f>
        <v>0</v>
      </c>
      <c r="E271">
        <f>IF(D271=1,MAX(0,N(INDEX(Charge!$M:$M,ROW()))),0)</f>
        <v>0</v>
      </c>
      <c r="F271" t="str">
        <f>IF(D271=1,IF(TRIM(INDEX(Charge!$A:$A,ROW()))="","(non renseigné)",TRIM(INDEX(Charge!$A:$A,ROW()))),"")</f>
        <v/>
      </c>
      <c r="G271" t="str">
        <f>IF(D271=1,TRIM(INDEX(Charge!$B:$B,ROW())),"")</f>
        <v/>
      </c>
      <c r="H271" t="str">
        <f>IF(D271=1,IF(TRIM(INDEX(Charge!$E:$E,ROW()))="","(non renseigné)",TRIM(INDEX(Charge!$E:$E,ROW()))),"")</f>
        <v/>
      </c>
      <c r="I271" s="165" t="str">
        <f>IF(AND(D271=1,ISNUMBER(INDEX(Charge!$N:$N,ROW()))),INDEX(Charge!$N:$N,ROW()),"")</f>
        <v/>
      </c>
      <c r="J271" s="165" t="str">
        <f>IF(I271="","",IF(AND(p_Repartition="Lissée jusqu'à la date de besoin",ISNUMBER(INDEX(Charge!$F:$F,ROW()))),IF(INDEX(Charge!$F:$F,ROW())&gt;=I271,INDEX(Charge!$F:$F,ROW()),I271),I271))</f>
        <v/>
      </c>
      <c r="K271" t="str">
        <f>IF(I271="","",NETWORKDAYS(I271,J271,Data!$K$4:$K$203))</f>
        <v/>
      </c>
      <c r="L271" t="str">
        <f>IF(D271=1,COUNTIFS($D$4:$D$503,1,$E$4:$E$503,"&gt;"&amp;E271)+COUNTIFS($D$4:$D271,1,$E$4:$E271,E271),"")</f>
        <v/>
      </c>
      <c r="M271">
        <f>IF(F271="",0,IF(COUNTIF($F$4:F271,F271)=1,1,0))</f>
        <v>0</v>
      </c>
      <c r="N271" t="str">
        <f>IF(M271=1,ROUND(SUMIF($F$4:$F$503,F271,$E$4:$E$503),2),"")</f>
        <v/>
      </c>
      <c r="O271" t="str">
        <f>IF(M271=1,COUNTIFS($M$4:$M$503,1,$N$4:$N$503,"&gt;"&amp;N271)+COUNTIFS($M$4:M271,1,$N$4:N271,N271),"")</f>
        <v/>
      </c>
      <c r="P271">
        <f>IF(G271="",0,IF(COUNTIF($G$4:G271,G271)=1,1,0))</f>
        <v>0</v>
      </c>
      <c r="Q271" t="str">
        <f>IF(P271=1,ROUND(SUMIF($G$4:$G$503,G271,$E$4:$E$503),2),"")</f>
        <v/>
      </c>
      <c r="R271" t="str">
        <f>IF(P271=1,COUNTIFS($P$4:$P$503,1,$Q$4:$Q$503,"&gt;"&amp;Q271)+COUNTIFS($P$4:P271,1,$Q$4:Q271,Q271),"")</f>
        <v/>
      </c>
      <c r="S271">
        <f>IF(H271="",0,IF(COUNTIF($H$4:H271,H271)=1,1,0))</f>
        <v>0</v>
      </c>
      <c r="T271" t="str">
        <f>IF(S271=1,ROUND(SUMIF($H$4:$H$503,H271,$E$4:$E$503),2),"")</f>
        <v/>
      </c>
      <c r="U271" t="str">
        <f>IF(S271=1,COUNTIFS($S$4:$S$503,1,$T$4:$T$503,"&gt;"&amp;T271)+COUNTIFS($S$4:S271,1,$T$4:T271,T271),"")</f>
        <v/>
      </c>
      <c r="V271" t="str">
        <f>IF(D271=1,MIN(INDEX($R$4:$R$503,MATCH(G271,$G$4:$G$503,0)),IF($AL$7&gt;9,9,999)),"")</f>
        <v/>
      </c>
      <c r="W271" s="166">
        <f>IF(OR($I271="",$E271=0),0,IF(OR($J271&lt;W$3,$I271&gt;W$2),0,IF($K271=0,IF(AND($I271&gt;=W$3,$I271&lt;=W$2),$E271,0),$E271*NETWORKDAYS(MAX($I271,W$3),MIN($J271,W$2),Data!$K$4:$K$203)/$K271)))</f>
        <v>0</v>
      </c>
      <c r="X271" s="166">
        <f>IF(OR($I271="",$E271=0),0,IF(OR($J271&lt;X$3,$I271&gt;X$2),0,IF($K271=0,IF(AND($I271&gt;=X$3,$I271&lt;=X$2),$E271,0),$E271*NETWORKDAYS(MAX($I271,X$3),MIN($J271,X$2),Data!$K$4:$K$203)/$K271)))</f>
        <v>0</v>
      </c>
      <c r="Y271" s="166">
        <f>IF(OR($I271="",$E271=0),0,IF(OR($J271&lt;Y$3,$I271&gt;Y$2),0,IF($K271=0,IF(AND($I271&gt;=Y$3,$I271&lt;=Y$2),$E271,0),$E271*NETWORKDAYS(MAX($I271,Y$3),MIN($J271,Y$2),Data!$K$4:$K$203)/$K271)))</f>
        <v>0</v>
      </c>
      <c r="Z271" s="166">
        <f>IF(OR($I271="",$E271=0),0,IF(OR($J271&lt;Z$3,$I271&gt;Z$2),0,IF($K271=0,IF(AND($I271&gt;=Z$3,$I271&lt;=Z$2),$E271,0),$E271*NETWORKDAYS(MAX($I271,Z$3),MIN($J271,Z$2),Data!$K$4:$K$203)/$K271)))</f>
        <v>0</v>
      </c>
      <c r="AA271" s="166">
        <f>IF(OR($I271="",$E271=0),0,IF(OR($J271&lt;AA$3,$I271&gt;AA$2),0,IF($K271=0,IF(AND($I271&gt;=AA$3,$I271&lt;=AA$2),$E271,0),$E271*NETWORKDAYS(MAX($I271,AA$3),MIN($J271,AA$2),Data!$K$4:$K$203)/$K271)))</f>
        <v>0</v>
      </c>
      <c r="AB271" s="166">
        <f>IF(OR($I271="",$E271=0),0,IF(OR($J271&lt;AB$3,$I271&gt;AB$2),0,IF($K271=0,IF(AND($I271&gt;=AB$3,$I271&lt;=AB$2),$E271,0),$E271*NETWORKDAYS(MAX($I271,AB$3),MIN($J271,AB$2),Data!$K$4:$K$203)/$K271)))</f>
        <v>0</v>
      </c>
      <c r="AC271" s="166">
        <f>IF(OR($I271="",$E271=0),0,IF(OR($J271&lt;AC$3,$I271&gt;AC$2),0,IF($K271=0,IF(AND($I271&gt;=AC$3,$I271&lt;=AC$2),$E271,0),$E271*NETWORKDAYS(MAX($I271,AC$3),MIN($J271,AC$2),Data!$K$4:$K$203)/$K271)))</f>
        <v>0</v>
      </c>
      <c r="AD271" s="166">
        <f>IF(OR($I271="",$E271=0),0,IF(OR($J271&lt;AD$3,$I271&gt;AD$2),0,IF($K271=0,IF(AND($I271&gt;=AD$3,$I271&lt;=AD$2),$E271,0),$E271*NETWORKDAYS(MAX($I271,AD$3),MIN($J271,AD$2),Data!$K$4:$K$203)/$K271)))</f>
        <v>0</v>
      </c>
      <c r="AE271" s="166">
        <f>IF(OR($I271="",$E271=0),0,IF(OR($J271&lt;AE$3,$I271&gt;AE$2),0,IF($K271=0,IF(AND($I271&gt;=AE$3,$I271&lt;=AE$2),$E271,0),$E271*NETWORKDAYS(MAX($I271,AE$3),MIN($J271,AE$2),Data!$K$4:$K$203)/$K271)))</f>
        <v>0</v>
      </c>
      <c r="AF271" s="166">
        <f>IF(OR($I271="",$E271=0),0,IF(OR($J271&lt;AF$3,$I271&gt;AF$2),0,IF($K271=0,IF(AND($I271&gt;=AF$3,$I271&lt;=AF$2),$E271,0),$E271*NETWORKDAYS(MAX($I271,AF$3),MIN($J271,AF$2),Data!$K$4:$K$203)/$K271)))</f>
        <v>0</v>
      </c>
      <c r="AG271" s="166">
        <f>IF(OR($I271="",$E271=0),0,IF(OR($J271&lt;AG$3,$I271&gt;AG$2),0,IF($K271=0,IF(AND($I271&gt;=AG$3,$I271&lt;=AG$2),$E271,0),$E271*NETWORKDAYS(MAX($I271,AG$3),MIN($J271,AG$2),Data!$K$4:$K$203)/$K271)))</f>
        <v>0</v>
      </c>
      <c r="AH271" s="166">
        <f>IF(OR($I271="",$E271=0),0,IF(OR($J271&lt;AH$3,$I271&gt;AH$2),0,IF($K271=0,IF(AND($I271&gt;=AH$3,$I271&lt;=AH$2),$E271,0),$E271*NETWORKDAYS(MAX($I271,AH$3),MIN($J271,AH$2),Data!$K$4:$K$203)/$K271)))</f>
        <v>0</v>
      </c>
      <c r="AI271" s="166">
        <f>SUM(W271:AH271)</f>
        <v>0</v>
      </c>
      <c r="BZ271" t="str">
        <f>IF(D271=1,IF(TRIM(INDEX(Charge!$K:$K,ROW()))&lt;&gt;"",TRIM(INDEX(Charge!$K:$K,ROW())),IF(TRIM(INDEX(Charge!$L:$L,ROW()))&lt;&gt;"",TRIM(INDEX(Charge!$L:$L,ROW())),"(non affecté)")),"")</f>
        <v/>
      </c>
      <c r="CA271" t="str">
        <f>IF(AND($CD$4&lt;&gt;"",BZ271=$CD$4),COUNTIFS($BZ$4:$BZ$503,$CD$4,$L$4:$L$503,"&lt;"&amp;L271)+1,"")</f>
        <v/>
      </c>
      <c r="EM271" t="str">
        <f>IF(D271=1,IF(TRIM(INDEX(Charge!$K:$K,ROW()))&lt;&gt;"","Interne",IF(TRIM(INDEX(Charge!$L:$L,ROW()))&lt;&gt;"","Externe","Non affecté")),"")</f>
        <v/>
      </c>
      <c r="EN271" t="str">
        <f>IF(D271=1,LEFT(SUBSTITUTE(SUBSTITUTE(SUBSTITUTE(TRIM(SUBSTITUTE(INDEX(Charge!$B:$B,ROW()),CHAR(160)," "))&amp;" | "&amp;TRIM(SUBSTITUTE(INDEX(Charge!$C:$C,ROW()),CHAR(160)," "))&amp;" | "&amp;TRIM(SUBSTITUTE(INDEX(Charge!$D:$D,ROW()),CHAR(160)," ")),"~","-"),"*","+"),"?","!"),240),"")</f>
        <v/>
      </c>
      <c r="EO271">
        <f>IF(EN271="",0,IF(COUNTIF($EN$4:EN271,EN271)=1,1,0))</f>
        <v>0</v>
      </c>
      <c r="EP271" s="166" t="str">
        <f>IF(EO271=1,ROUND(SUMIF($EN$4:$EN$503,EN271,$E$4:$E$503),2),"")</f>
        <v/>
      </c>
      <c r="EQ271" t="str">
        <f>IF(EO271=1,COUNTIFS($EO$4:$EO$503,1,$EP$4:$EP$503,"&gt;"&amp;EP271)+COUNTIFS($EO$4:EO271,1,$EP$4:EP271,EP271),"")</f>
        <v/>
      </c>
      <c r="ER271" t="str">
        <f>IF(EO271=1,COUNTIFS($EN$4:$EN$503,EN271,$EM$4:$EM$503,"Interne",$FE$4:$FE$503,1),"")</f>
        <v/>
      </c>
      <c r="ES271" t="str">
        <f>IF(EO271=1,COUNTIFS($EN$4:$EN$503,EN271,$EM$4:$EM$503,"Externe",$FE$4:$FE$503,1),"")</f>
        <v/>
      </c>
      <c r="ET271" t="str">
        <f>IF(EO271=1,IF(ER271+ES271=0,"à affecter",IF(ER271=0,ES271&amp;" ext.",(ER271+ES271)&amp;IF(ES271&gt;0," dont "&amp;ES271&amp;" ext.",""))&amp;IF(COUNTIFS($EN$4:$EN$503,EN271,$EM$4:$EM$503,"Non affecté")&gt;0," + à affecter","")),"")</f>
        <v/>
      </c>
      <c r="EU271" s="170" t="str">
        <f>IF(EO271=1,IF(EP271&gt;0,SUMPRODUCT(($EN$4:$EN$503=EN271)*$E$4:$E$503*$C$4:$C$503)/EP271,AVERAGEIF($EN$4:$EN$503,EN271,$C$4:$C$503)),"")</f>
        <v/>
      </c>
      <c r="EV271" s="165">
        <f>IF(ISNUMBER(I271),I271,2958465)</f>
        <v>2958465.0</v>
      </c>
      <c r="EW271" s="165" t="str">
        <f>IF(EO271=1,SUMPRODUCT(MIN(($EN$4:$EN$503=EN271)*$EV$4:$EV$503+($EN$4:$EN$503&lt;&gt;EN271)*2958465)),"")</f>
        <v/>
      </c>
      <c r="EX271" s="165">
        <f>IF(AND(D271=1,ISNUMBER(INDEX(Charge!$F:$F,ROW()))),INDEX(Charge!$F:$F,ROW()),0)</f>
        <v>0.0</v>
      </c>
      <c r="EY271" s="165" t="str">
        <f>IF(EO271=1,SUMPRODUCT(MAX(($EN$4:$EN$503=EN271)*$EX$4:$EX$503)),"")</f>
        <v/>
      </c>
      <c r="FA271" t="str">
        <f>IF(268&lt;=$CD$23,INDEX($EJ$4:$EJ$203,268),IF(268-$CD$23&lt;=$CD$26,INDEX($EK$4:$EK$203,268-$CD$23),""))</f>
        <v/>
      </c>
      <c r="FB271" t="str">
        <f>IF(FA271="","",IF(268&lt;=$CD$23,"Interne","Externe"))</f>
        <v/>
      </c>
      <c r="FD271">
        <f>IF(AND(B271=1,TRIM(INDEX(Charge!$K:$K,ROW()))&lt;&gt;"",TRIM(INDEX(Charge!$L:$L,ROW()))&lt;&gt;""),1,0)</f>
        <v>0</v>
      </c>
      <c r="FE271">
        <f>IF(OR(EN271="",BZ271="(non affecté)"),0,IF(COUNTIFS($EN$4:EN271,EN271,$BZ$4:BZ271,BZ271)=1,1,0))</f>
        <v>0</v>
      </c>
    </row>
    <row r="272">
      <c r="A272">
        <f>ROW()</f>
        <v>272</v>
      </c>
      <c r="B272">
        <f>IF(TRIM(INDEX(Charge!$B:$B,ROW()))&lt;&gt;"",1,0)</f>
        <v>0</v>
      </c>
      <c r="C272">
        <f>IF(B272=1,MIN(1,MAX(0,N(INDEX(Charge!$O:$O,ROW())))),0)</f>
        <v>0</v>
      </c>
      <c r="D272">
        <f>IF(B272=1,IF(OR(p_Perimetre="Tous les projets",C272&lt;1),1,0),0)</f>
        <v>0</v>
      </c>
      <c r="E272">
        <f>IF(D272=1,MAX(0,N(INDEX(Charge!$M:$M,ROW()))),0)</f>
        <v>0</v>
      </c>
      <c r="F272" t="str">
        <f>IF(D272=1,IF(TRIM(INDEX(Charge!$A:$A,ROW()))="","(non renseigné)",TRIM(INDEX(Charge!$A:$A,ROW()))),"")</f>
        <v/>
      </c>
      <c r="G272" t="str">
        <f>IF(D272=1,TRIM(INDEX(Charge!$B:$B,ROW())),"")</f>
        <v/>
      </c>
      <c r="H272" t="str">
        <f>IF(D272=1,IF(TRIM(INDEX(Charge!$E:$E,ROW()))="","(non renseigné)",TRIM(INDEX(Charge!$E:$E,ROW()))),"")</f>
        <v/>
      </c>
      <c r="I272" s="165" t="str">
        <f>IF(AND(D272=1,ISNUMBER(INDEX(Charge!$N:$N,ROW()))),INDEX(Charge!$N:$N,ROW()),"")</f>
        <v/>
      </c>
      <c r="J272" s="165" t="str">
        <f>IF(I272="","",IF(AND(p_Repartition="Lissée jusqu'à la date de besoin",ISNUMBER(INDEX(Charge!$F:$F,ROW()))),IF(INDEX(Charge!$F:$F,ROW())&gt;=I272,INDEX(Charge!$F:$F,ROW()),I272),I272))</f>
        <v/>
      </c>
      <c r="K272" t="str">
        <f>IF(I272="","",NETWORKDAYS(I272,J272,Data!$K$4:$K$203))</f>
        <v/>
      </c>
      <c r="L272" t="str">
        <f>IF(D272=1,COUNTIFS($D$4:$D$503,1,$E$4:$E$503,"&gt;"&amp;E272)+COUNTIFS($D$4:$D272,1,$E$4:$E272,E272),"")</f>
        <v/>
      </c>
      <c r="M272">
        <f>IF(F272="",0,IF(COUNTIF($F$4:F272,F272)=1,1,0))</f>
        <v>0</v>
      </c>
      <c r="N272" t="str">
        <f>IF(M272=1,ROUND(SUMIF($F$4:$F$503,F272,$E$4:$E$503),2),"")</f>
        <v/>
      </c>
      <c r="O272" t="str">
        <f>IF(M272=1,COUNTIFS($M$4:$M$503,1,$N$4:$N$503,"&gt;"&amp;N272)+COUNTIFS($M$4:M272,1,$N$4:N272,N272),"")</f>
        <v/>
      </c>
      <c r="P272">
        <f>IF(G272="",0,IF(COUNTIF($G$4:G272,G272)=1,1,0))</f>
        <v>0</v>
      </c>
      <c r="Q272" t="str">
        <f>IF(P272=1,ROUND(SUMIF($G$4:$G$503,G272,$E$4:$E$503),2),"")</f>
        <v/>
      </c>
      <c r="R272" t="str">
        <f>IF(P272=1,COUNTIFS($P$4:$P$503,1,$Q$4:$Q$503,"&gt;"&amp;Q272)+COUNTIFS($P$4:P272,1,$Q$4:Q272,Q272),"")</f>
        <v/>
      </c>
      <c r="S272">
        <f>IF(H272="",0,IF(COUNTIF($H$4:H272,H272)=1,1,0))</f>
        <v>0</v>
      </c>
      <c r="T272" t="str">
        <f>IF(S272=1,ROUND(SUMIF($H$4:$H$503,H272,$E$4:$E$503),2),"")</f>
        <v/>
      </c>
      <c r="U272" t="str">
        <f>IF(S272=1,COUNTIFS($S$4:$S$503,1,$T$4:$T$503,"&gt;"&amp;T272)+COUNTIFS($S$4:S272,1,$T$4:T272,T272),"")</f>
        <v/>
      </c>
      <c r="V272" t="str">
        <f>IF(D272=1,MIN(INDEX($R$4:$R$503,MATCH(G272,$G$4:$G$503,0)),IF($AL$7&gt;9,9,999)),"")</f>
        <v/>
      </c>
      <c r="W272" s="166">
        <f>IF(OR($I272="",$E272=0),0,IF(OR($J272&lt;W$3,$I272&gt;W$2),0,IF($K272=0,IF(AND($I272&gt;=W$3,$I272&lt;=W$2),$E272,0),$E272*NETWORKDAYS(MAX($I272,W$3),MIN($J272,W$2),Data!$K$4:$K$203)/$K272)))</f>
        <v>0</v>
      </c>
      <c r="X272" s="166">
        <f>IF(OR($I272="",$E272=0),0,IF(OR($J272&lt;X$3,$I272&gt;X$2),0,IF($K272=0,IF(AND($I272&gt;=X$3,$I272&lt;=X$2),$E272,0),$E272*NETWORKDAYS(MAX($I272,X$3),MIN($J272,X$2),Data!$K$4:$K$203)/$K272)))</f>
        <v>0</v>
      </c>
      <c r="Y272" s="166">
        <f>IF(OR($I272="",$E272=0),0,IF(OR($J272&lt;Y$3,$I272&gt;Y$2),0,IF($K272=0,IF(AND($I272&gt;=Y$3,$I272&lt;=Y$2),$E272,0),$E272*NETWORKDAYS(MAX($I272,Y$3),MIN($J272,Y$2),Data!$K$4:$K$203)/$K272)))</f>
        <v>0</v>
      </c>
      <c r="Z272" s="166">
        <f>IF(OR($I272="",$E272=0),0,IF(OR($J272&lt;Z$3,$I272&gt;Z$2),0,IF($K272=0,IF(AND($I272&gt;=Z$3,$I272&lt;=Z$2),$E272,0),$E272*NETWORKDAYS(MAX($I272,Z$3),MIN($J272,Z$2),Data!$K$4:$K$203)/$K272)))</f>
        <v>0</v>
      </c>
      <c r="AA272" s="166">
        <f>IF(OR($I272="",$E272=0),0,IF(OR($J272&lt;AA$3,$I272&gt;AA$2),0,IF($K272=0,IF(AND($I272&gt;=AA$3,$I272&lt;=AA$2),$E272,0),$E272*NETWORKDAYS(MAX($I272,AA$3),MIN($J272,AA$2),Data!$K$4:$K$203)/$K272)))</f>
        <v>0</v>
      </c>
      <c r="AB272" s="166">
        <f>IF(OR($I272="",$E272=0),0,IF(OR($J272&lt;AB$3,$I272&gt;AB$2),0,IF($K272=0,IF(AND($I272&gt;=AB$3,$I272&lt;=AB$2),$E272,0),$E272*NETWORKDAYS(MAX($I272,AB$3),MIN($J272,AB$2),Data!$K$4:$K$203)/$K272)))</f>
        <v>0</v>
      </c>
      <c r="AC272" s="166">
        <f>IF(OR($I272="",$E272=0),0,IF(OR($J272&lt;AC$3,$I272&gt;AC$2),0,IF($K272=0,IF(AND($I272&gt;=AC$3,$I272&lt;=AC$2),$E272,0),$E272*NETWORKDAYS(MAX($I272,AC$3),MIN($J272,AC$2),Data!$K$4:$K$203)/$K272)))</f>
        <v>0</v>
      </c>
      <c r="AD272" s="166">
        <f>IF(OR($I272="",$E272=0),0,IF(OR($J272&lt;AD$3,$I272&gt;AD$2),0,IF($K272=0,IF(AND($I272&gt;=AD$3,$I272&lt;=AD$2),$E272,0),$E272*NETWORKDAYS(MAX($I272,AD$3),MIN($J272,AD$2),Data!$K$4:$K$203)/$K272)))</f>
        <v>0</v>
      </c>
      <c r="AE272" s="166">
        <f>IF(OR($I272="",$E272=0),0,IF(OR($J272&lt;AE$3,$I272&gt;AE$2),0,IF($K272=0,IF(AND($I272&gt;=AE$3,$I272&lt;=AE$2),$E272,0),$E272*NETWORKDAYS(MAX($I272,AE$3),MIN($J272,AE$2),Data!$K$4:$K$203)/$K272)))</f>
        <v>0</v>
      </c>
      <c r="AF272" s="166">
        <f>IF(OR($I272="",$E272=0),0,IF(OR($J272&lt;AF$3,$I272&gt;AF$2),0,IF($K272=0,IF(AND($I272&gt;=AF$3,$I272&lt;=AF$2),$E272,0),$E272*NETWORKDAYS(MAX($I272,AF$3),MIN($J272,AF$2),Data!$K$4:$K$203)/$K272)))</f>
        <v>0</v>
      </c>
      <c r="AG272" s="166">
        <f>IF(OR($I272="",$E272=0),0,IF(OR($J272&lt;AG$3,$I272&gt;AG$2),0,IF($K272=0,IF(AND($I272&gt;=AG$3,$I272&lt;=AG$2),$E272,0),$E272*NETWORKDAYS(MAX($I272,AG$3),MIN($J272,AG$2),Data!$K$4:$K$203)/$K272)))</f>
        <v>0</v>
      </c>
      <c r="AH272" s="166">
        <f>IF(OR($I272="",$E272=0),0,IF(OR($J272&lt;AH$3,$I272&gt;AH$2),0,IF($K272=0,IF(AND($I272&gt;=AH$3,$I272&lt;=AH$2),$E272,0),$E272*NETWORKDAYS(MAX($I272,AH$3),MIN($J272,AH$2),Data!$K$4:$K$203)/$K272)))</f>
        <v>0</v>
      </c>
      <c r="AI272" s="166">
        <f>SUM(W272:AH272)</f>
        <v>0</v>
      </c>
      <c r="BZ272" t="str">
        <f>IF(D272=1,IF(TRIM(INDEX(Charge!$K:$K,ROW()))&lt;&gt;"",TRIM(INDEX(Charge!$K:$K,ROW())),IF(TRIM(INDEX(Charge!$L:$L,ROW()))&lt;&gt;"",TRIM(INDEX(Charge!$L:$L,ROW())),"(non affecté)")),"")</f>
        <v/>
      </c>
      <c r="CA272" t="str">
        <f>IF(AND($CD$4&lt;&gt;"",BZ272=$CD$4),COUNTIFS($BZ$4:$BZ$503,$CD$4,$L$4:$L$503,"&lt;"&amp;L272)+1,"")</f>
        <v/>
      </c>
      <c r="EM272" t="str">
        <f>IF(D272=1,IF(TRIM(INDEX(Charge!$K:$K,ROW()))&lt;&gt;"","Interne",IF(TRIM(INDEX(Charge!$L:$L,ROW()))&lt;&gt;"","Externe","Non affecté")),"")</f>
        <v/>
      </c>
      <c r="EN272" t="str">
        <f>IF(D272=1,LEFT(SUBSTITUTE(SUBSTITUTE(SUBSTITUTE(TRIM(SUBSTITUTE(INDEX(Charge!$B:$B,ROW()),CHAR(160)," "))&amp;" | "&amp;TRIM(SUBSTITUTE(INDEX(Charge!$C:$C,ROW()),CHAR(160)," "))&amp;" | "&amp;TRIM(SUBSTITUTE(INDEX(Charge!$D:$D,ROW()),CHAR(160)," ")),"~","-"),"*","+"),"?","!"),240),"")</f>
        <v/>
      </c>
      <c r="EO272">
        <f>IF(EN272="",0,IF(COUNTIF($EN$4:EN272,EN272)=1,1,0))</f>
        <v>0</v>
      </c>
      <c r="EP272" s="166" t="str">
        <f>IF(EO272=1,ROUND(SUMIF($EN$4:$EN$503,EN272,$E$4:$E$503),2),"")</f>
        <v/>
      </c>
      <c r="EQ272" t="str">
        <f>IF(EO272=1,COUNTIFS($EO$4:$EO$503,1,$EP$4:$EP$503,"&gt;"&amp;EP272)+COUNTIFS($EO$4:EO272,1,$EP$4:EP272,EP272),"")</f>
        <v/>
      </c>
      <c r="ER272" t="str">
        <f>IF(EO272=1,COUNTIFS($EN$4:$EN$503,EN272,$EM$4:$EM$503,"Interne",$FE$4:$FE$503,1),"")</f>
        <v/>
      </c>
      <c r="ES272" t="str">
        <f>IF(EO272=1,COUNTIFS($EN$4:$EN$503,EN272,$EM$4:$EM$503,"Externe",$FE$4:$FE$503,1),"")</f>
        <v/>
      </c>
      <c r="ET272" t="str">
        <f>IF(EO272=1,IF(ER272+ES272=0,"à affecter",IF(ER272=0,ES272&amp;" ext.",(ER272+ES272)&amp;IF(ES272&gt;0," dont "&amp;ES272&amp;" ext.",""))&amp;IF(COUNTIFS($EN$4:$EN$503,EN272,$EM$4:$EM$503,"Non affecté")&gt;0," + à affecter","")),"")</f>
        <v/>
      </c>
      <c r="EU272" s="170" t="str">
        <f>IF(EO272=1,IF(EP272&gt;0,SUMPRODUCT(($EN$4:$EN$503=EN272)*$E$4:$E$503*$C$4:$C$503)/EP272,AVERAGEIF($EN$4:$EN$503,EN272,$C$4:$C$503)),"")</f>
        <v/>
      </c>
      <c r="EV272" s="165">
        <f>IF(ISNUMBER(I272),I272,2958465)</f>
        <v>2958465.0</v>
      </c>
      <c r="EW272" s="165" t="str">
        <f>IF(EO272=1,SUMPRODUCT(MIN(($EN$4:$EN$503=EN272)*$EV$4:$EV$503+($EN$4:$EN$503&lt;&gt;EN272)*2958465)),"")</f>
        <v/>
      </c>
      <c r="EX272" s="165">
        <f>IF(AND(D272=1,ISNUMBER(INDEX(Charge!$F:$F,ROW()))),INDEX(Charge!$F:$F,ROW()),0)</f>
        <v>0.0</v>
      </c>
      <c r="EY272" s="165" t="str">
        <f>IF(EO272=1,SUMPRODUCT(MAX(($EN$4:$EN$503=EN272)*$EX$4:$EX$503)),"")</f>
        <v/>
      </c>
      <c r="FA272" t="str">
        <f>IF(269&lt;=$CD$23,INDEX($EJ$4:$EJ$203,269),IF(269-$CD$23&lt;=$CD$26,INDEX($EK$4:$EK$203,269-$CD$23),""))</f>
        <v/>
      </c>
      <c r="FB272" t="str">
        <f>IF(FA272="","",IF(269&lt;=$CD$23,"Interne","Externe"))</f>
        <v/>
      </c>
      <c r="FD272">
        <f>IF(AND(B272=1,TRIM(INDEX(Charge!$K:$K,ROW()))&lt;&gt;"",TRIM(INDEX(Charge!$L:$L,ROW()))&lt;&gt;""),1,0)</f>
        <v>0</v>
      </c>
      <c r="FE272">
        <f>IF(OR(EN272="",BZ272="(non affecté)"),0,IF(COUNTIFS($EN$4:EN272,EN272,$BZ$4:BZ272,BZ272)=1,1,0))</f>
        <v>0</v>
      </c>
    </row>
    <row r="273">
      <c r="A273">
        <f>ROW()</f>
        <v>273</v>
      </c>
      <c r="B273">
        <f>IF(TRIM(INDEX(Charge!$B:$B,ROW()))&lt;&gt;"",1,0)</f>
        <v>0</v>
      </c>
      <c r="C273">
        <f>IF(B273=1,MIN(1,MAX(0,N(INDEX(Charge!$O:$O,ROW())))),0)</f>
        <v>0</v>
      </c>
      <c r="D273">
        <f>IF(B273=1,IF(OR(p_Perimetre="Tous les projets",C273&lt;1),1,0),0)</f>
        <v>0</v>
      </c>
      <c r="E273">
        <f>IF(D273=1,MAX(0,N(INDEX(Charge!$M:$M,ROW()))),0)</f>
        <v>0</v>
      </c>
      <c r="F273" t="str">
        <f>IF(D273=1,IF(TRIM(INDEX(Charge!$A:$A,ROW()))="","(non renseigné)",TRIM(INDEX(Charge!$A:$A,ROW()))),"")</f>
        <v/>
      </c>
      <c r="G273" t="str">
        <f>IF(D273=1,TRIM(INDEX(Charge!$B:$B,ROW())),"")</f>
        <v/>
      </c>
      <c r="H273" t="str">
        <f>IF(D273=1,IF(TRIM(INDEX(Charge!$E:$E,ROW()))="","(non renseigné)",TRIM(INDEX(Charge!$E:$E,ROW()))),"")</f>
        <v/>
      </c>
      <c r="I273" s="165" t="str">
        <f>IF(AND(D273=1,ISNUMBER(INDEX(Charge!$N:$N,ROW()))),INDEX(Charge!$N:$N,ROW()),"")</f>
        <v/>
      </c>
      <c r="J273" s="165" t="str">
        <f>IF(I273="","",IF(AND(p_Repartition="Lissée jusqu'à la date de besoin",ISNUMBER(INDEX(Charge!$F:$F,ROW()))),IF(INDEX(Charge!$F:$F,ROW())&gt;=I273,INDEX(Charge!$F:$F,ROW()),I273),I273))</f>
        <v/>
      </c>
      <c r="K273" t="str">
        <f>IF(I273="","",NETWORKDAYS(I273,J273,Data!$K$4:$K$203))</f>
        <v/>
      </c>
      <c r="L273" t="str">
        <f>IF(D273=1,COUNTIFS($D$4:$D$503,1,$E$4:$E$503,"&gt;"&amp;E273)+COUNTIFS($D$4:$D273,1,$E$4:$E273,E273),"")</f>
        <v/>
      </c>
      <c r="M273">
        <f>IF(F273="",0,IF(COUNTIF($F$4:F273,F273)=1,1,0))</f>
        <v>0</v>
      </c>
      <c r="N273" t="str">
        <f>IF(M273=1,ROUND(SUMIF($F$4:$F$503,F273,$E$4:$E$503),2),"")</f>
        <v/>
      </c>
      <c r="O273" t="str">
        <f>IF(M273=1,COUNTIFS($M$4:$M$503,1,$N$4:$N$503,"&gt;"&amp;N273)+COUNTIFS($M$4:M273,1,$N$4:N273,N273),"")</f>
        <v/>
      </c>
      <c r="P273">
        <f>IF(G273="",0,IF(COUNTIF($G$4:G273,G273)=1,1,0))</f>
        <v>0</v>
      </c>
      <c r="Q273" t="str">
        <f>IF(P273=1,ROUND(SUMIF($G$4:$G$503,G273,$E$4:$E$503),2),"")</f>
        <v/>
      </c>
      <c r="R273" t="str">
        <f>IF(P273=1,COUNTIFS($P$4:$P$503,1,$Q$4:$Q$503,"&gt;"&amp;Q273)+COUNTIFS($P$4:P273,1,$Q$4:Q273,Q273),"")</f>
        <v/>
      </c>
      <c r="S273">
        <f>IF(H273="",0,IF(COUNTIF($H$4:H273,H273)=1,1,0))</f>
        <v>0</v>
      </c>
      <c r="T273" t="str">
        <f>IF(S273=1,ROUND(SUMIF($H$4:$H$503,H273,$E$4:$E$503),2),"")</f>
        <v/>
      </c>
      <c r="U273" t="str">
        <f>IF(S273=1,COUNTIFS($S$4:$S$503,1,$T$4:$T$503,"&gt;"&amp;T273)+COUNTIFS($S$4:S273,1,$T$4:T273,T273),"")</f>
        <v/>
      </c>
      <c r="V273" t="str">
        <f>IF(D273=1,MIN(INDEX($R$4:$R$503,MATCH(G273,$G$4:$G$503,0)),IF($AL$7&gt;9,9,999)),"")</f>
        <v/>
      </c>
      <c r="W273" s="166">
        <f>IF(OR($I273="",$E273=0),0,IF(OR($J273&lt;W$3,$I273&gt;W$2),0,IF($K273=0,IF(AND($I273&gt;=W$3,$I273&lt;=W$2),$E273,0),$E273*NETWORKDAYS(MAX($I273,W$3),MIN($J273,W$2),Data!$K$4:$K$203)/$K273)))</f>
        <v>0</v>
      </c>
      <c r="X273" s="166">
        <f>IF(OR($I273="",$E273=0),0,IF(OR($J273&lt;X$3,$I273&gt;X$2),0,IF($K273=0,IF(AND($I273&gt;=X$3,$I273&lt;=X$2),$E273,0),$E273*NETWORKDAYS(MAX($I273,X$3),MIN($J273,X$2),Data!$K$4:$K$203)/$K273)))</f>
        <v>0</v>
      </c>
      <c r="Y273" s="166">
        <f>IF(OR($I273="",$E273=0),0,IF(OR($J273&lt;Y$3,$I273&gt;Y$2),0,IF($K273=0,IF(AND($I273&gt;=Y$3,$I273&lt;=Y$2),$E273,0),$E273*NETWORKDAYS(MAX($I273,Y$3),MIN($J273,Y$2),Data!$K$4:$K$203)/$K273)))</f>
        <v>0</v>
      </c>
      <c r="Z273" s="166">
        <f>IF(OR($I273="",$E273=0),0,IF(OR($J273&lt;Z$3,$I273&gt;Z$2),0,IF($K273=0,IF(AND($I273&gt;=Z$3,$I273&lt;=Z$2),$E273,0),$E273*NETWORKDAYS(MAX($I273,Z$3),MIN($J273,Z$2),Data!$K$4:$K$203)/$K273)))</f>
        <v>0</v>
      </c>
      <c r="AA273" s="166">
        <f>IF(OR($I273="",$E273=0),0,IF(OR($J273&lt;AA$3,$I273&gt;AA$2),0,IF($K273=0,IF(AND($I273&gt;=AA$3,$I273&lt;=AA$2),$E273,0),$E273*NETWORKDAYS(MAX($I273,AA$3),MIN($J273,AA$2),Data!$K$4:$K$203)/$K273)))</f>
        <v>0</v>
      </c>
      <c r="AB273" s="166">
        <f>IF(OR($I273="",$E273=0),0,IF(OR($J273&lt;AB$3,$I273&gt;AB$2),0,IF($K273=0,IF(AND($I273&gt;=AB$3,$I273&lt;=AB$2),$E273,0),$E273*NETWORKDAYS(MAX($I273,AB$3),MIN($J273,AB$2),Data!$K$4:$K$203)/$K273)))</f>
        <v>0</v>
      </c>
      <c r="AC273" s="166">
        <f>IF(OR($I273="",$E273=0),0,IF(OR($J273&lt;AC$3,$I273&gt;AC$2),0,IF($K273=0,IF(AND($I273&gt;=AC$3,$I273&lt;=AC$2),$E273,0),$E273*NETWORKDAYS(MAX($I273,AC$3),MIN($J273,AC$2),Data!$K$4:$K$203)/$K273)))</f>
        <v>0</v>
      </c>
      <c r="AD273" s="166">
        <f>IF(OR($I273="",$E273=0),0,IF(OR($J273&lt;AD$3,$I273&gt;AD$2),0,IF($K273=0,IF(AND($I273&gt;=AD$3,$I273&lt;=AD$2),$E273,0),$E273*NETWORKDAYS(MAX($I273,AD$3),MIN($J273,AD$2),Data!$K$4:$K$203)/$K273)))</f>
        <v>0</v>
      </c>
      <c r="AE273" s="166">
        <f>IF(OR($I273="",$E273=0),0,IF(OR($J273&lt;AE$3,$I273&gt;AE$2),0,IF($K273=0,IF(AND($I273&gt;=AE$3,$I273&lt;=AE$2),$E273,0),$E273*NETWORKDAYS(MAX($I273,AE$3),MIN($J273,AE$2),Data!$K$4:$K$203)/$K273)))</f>
        <v>0</v>
      </c>
      <c r="AF273" s="166">
        <f>IF(OR($I273="",$E273=0),0,IF(OR($J273&lt;AF$3,$I273&gt;AF$2),0,IF($K273=0,IF(AND($I273&gt;=AF$3,$I273&lt;=AF$2),$E273,0),$E273*NETWORKDAYS(MAX($I273,AF$3),MIN($J273,AF$2),Data!$K$4:$K$203)/$K273)))</f>
        <v>0</v>
      </c>
      <c r="AG273" s="166">
        <f>IF(OR($I273="",$E273=0),0,IF(OR($J273&lt;AG$3,$I273&gt;AG$2),0,IF($K273=0,IF(AND($I273&gt;=AG$3,$I273&lt;=AG$2),$E273,0),$E273*NETWORKDAYS(MAX($I273,AG$3),MIN($J273,AG$2),Data!$K$4:$K$203)/$K273)))</f>
        <v>0</v>
      </c>
      <c r="AH273" s="166">
        <f>IF(OR($I273="",$E273=0),0,IF(OR($J273&lt;AH$3,$I273&gt;AH$2),0,IF($K273=0,IF(AND($I273&gt;=AH$3,$I273&lt;=AH$2),$E273,0),$E273*NETWORKDAYS(MAX($I273,AH$3),MIN($J273,AH$2),Data!$K$4:$K$203)/$K273)))</f>
        <v>0</v>
      </c>
      <c r="AI273" s="166">
        <f>SUM(W273:AH273)</f>
        <v>0</v>
      </c>
      <c r="BZ273" t="str">
        <f>IF(D273=1,IF(TRIM(INDEX(Charge!$K:$K,ROW()))&lt;&gt;"",TRIM(INDEX(Charge!$K:$K,ROW())),IF(TRIM(INDEX(Charge!$L:$L,ROW()))&lt;&gt;"",TRIM(INDEX(Charge!$L:$L,ROW())),"(non affecté)")),"")</f>
        <v/>
      </c>
      <c r="CA273" t="str">
        <f>IF(AND($CD$4&lt;&gt;"",BZ273=$CD$4),COUNTIFS($BZ$4:$BZ$503,$CD$4,$L$4:$L$503,"&lt;"&amp;L273)+1,"")</f>
        <v/>
      </c>
      <c r="EM273" t="str">
        <f>IF(D273=1,IF(TRIM(INDEX(Charge!$K:$K,ROW()))&lt;&gt;"","Interne",IF(TRIM(INDEX(Charge!$L:$L,ROW()))&lt;&gt;"","Externe","Non affecté")),"")</f>
        <v/>
      </c>
      <c r="EN273" t="str">
        <f>IF(D273=1,LEFT(SUBSTITUTE(SUBSTITUTE(SUBSTITUTE(TRIM(SUBSTITUTE(INDEX(Charge!$B:$B,ROW()),CHAR(160)," "))&amp;" | "&amp;TRIM(SUBSTITUTE(INDEX(Charge!$C:$C,ROW()),CHAR(160)," "))&amp;" | "&amp;TRIM(SUBSTITUTE(INDEX(Charge!$D:$D,ROW()),CHAR(160)," ")),"~","-"),"*","+"),"?","!"),240),"")</f>
        <v/>
      </c>
      <c r="EO273">
        <f>IF(EN273="",0,IF(COUNTIF($EN$4:EN273,EN273)=1,1,0))</f>
        <v>0</v>
      </c>
      <c r="EP273" s="166" t="str">
        <f>IF(EO273=1,ROUND(SUMIF($EN$4:$EN$503,EN273,$E$4:$E$503),2),"")</f>
        <v/>
      </c>
      <c r="EQ273" t="str">
        <f>IF(EO273=1,COUNTIFS($EO$4:$EO$503,1,$EP$4:$EP$503,"&gt;"&amp;EP273)+COUNTIFS($EO$4:EO273,1,$EP$4:EP273,EP273),"")</f>
        <v/>
      </c>
      <c r="ER273" t="str">
        <f>IF(EO273=1,COUNTIFS($EN$4:$EN$503,EN273,$EM$4:$EM$503,"Interne",$FE$4:$FE$503,1),"")</f>
        <v/>
      </c>
      <c r="ES273" t="str">
        <f>IF(EO273=1,COUNTIFS($EN$4:$EN$503,EN273,$EM$4:$EM$503,"Externe",$FE$4:$FE$503,1),"")</f>
        <v/>
      </c>
      <c r="ET273" t="str">
        <f>IF(EO273=1,IF(ER273+ES273=0,"à affecter",IF(ER273=0,ES273&amp;" ext.",(ER273+ES273)&amp;IF(ES273&gt;0," dont "&amp;ES273&amp;" ext.",""))&amp;IF(COUNTIFS($EN$4:$EN$503,EN273,$EM$4:$EM$503,"Non affecté")&gt;0," + à affecter","")),"")</f>
        <v/>
      </c>
      <c r="EU273" s="170" t="str">
        <f>IF(EO273=1,IF(EP273&gt;0,SUMPRODUCT(($EN$4:$EN$503=EN273)*$E$4:$E$503*$C$4:$C$503)/EP273,AVERAGEIF($EN$4:$EN$503,EN273,$C$4:$C$503)),"")</f>
        <v/>
      </c>
      <c r="EV273" s="165">
        <f>IF(ISNUMBER(I273),I273,2958465)</f>
        <v>2958465.0</v>
      </c>
      <c r="EW273" s="165" t="str">
        <f>IF(EO273=1,SUMPRODUCT(MIN(($EN$4:$EN$503=EN273)*$EV$4:$EV$503+($EN$4:$EN$503&lt;&gt;EN273)*2958465)),"")</f>
        <v/>
      </c>
      <c r="EX273" s="165">
        <f>IF(AND(D273=1,ISNUMBER(INDEX(Charge!$F:$F,ROW()))),INDEX(Charge!$F:$F,ROW()),0)</f>
        <v>0.0</v>
      </c>
      <c r="EY273" s="165" t="str">
        <f>IF(EO273=1,SUMPRODUCT(MAX(($EN$4:$EN$503=EN273)*$EX$4:$EX$503)),"")</f>
        <v/>
      </c>
      <c r="FA273" t="str">
        <f>IF(270&lt;=$CD$23,INDEX($EJ$4:$EJ$203,270),IF(270-$CD$23&lt;=$CD$26,INDEX($EK$4:$EK$203,270-$CD$23),""))</f>
        <v/>
      </c>
      <c r="FB273" t="str">
        <f>IF(FA273="","",IF(270&lt;=$CD$23,"Interne","Externe"))</f>
        <v/>
      </c>
      <c r="FD273">
        <f>IF(AND(B273=1,TRIM(INDEX(Charge!$K:$K,ROW()))&lt;&gt;"",TRIM(INDEX(Charge!$L:$L,ROW()))&lt;&gt;""),1,0)</f>
        <v>0</v>
      </c>
      <c r="FE273">
        <f>IF(OR(EN273="",BZ273="(non affecté)"),0,IF(COUNTIFS($EN$4:EN273,EN273,$BZ$4:BZ273,BZ273)=1,1,0))</f>
        <v>0</v>
      </c>
    </row>
    <row r="274">
      <c r="A274">
        <f>ROW()</f>
        <v>274</v>
      </c>
      <c r="B274">
        <f>IF(TRIM(INDEX(Charge!$B:$B,ROW()))&lt;&gt;"",1,0)</f>
        <v>0</v>
      </c>
      <c r="C274">
        <f>IF(B274=1,MIN(1,MAX(0,N(INDEX(Charge!$O:$O,ROW())))),0)</f>
        <v>0</v>
      </c>
      <c r="D274">
        <f>IF(B274=1,IF(OR(p_Perimetre="Tous les projets",C274&lt;1),1,0),0)</f>
        <v>0</v>
      </c>
      <c r="E274">
        <f>IF(D274=1,MAX(0,N(INDEX(Charge!$M:$M,ROW()))),0)</f>
        <v>0</v>
      </c>
      <c r="F274" t="str">
        <f>IF(D274=1,IF(TRIM(INDEX(Charge!$A:$A,ROW()))="","(non renseigné)",TRIM(INDEX(Charge!$A:$A,ROW()))),"")</f>
        <v/>
      </c>
      <c r="G274" t="str">
        <f>IF(D274=1,TRIM(INDEX(Charge!$B:$B,ROW())),"")</f>
        <v/>
      </c>
      <c r="H274" t="str">
        <f>IF(D274=1,IF(TRIM(INDEX(Charge!$E:$E,ROW()))="","(non renseigné)",TRIM(INDEX(Charge!$E:$E,ROW()))),"")</f>
        <v/>
      </c>
      <c r="I274" s="165" t="str">
        <f>IF(AND(D274=1,ISNUMBER(INDEX(Charge!$N:$N,ROW()))),INDEX(Charge!$N:$N,ROW()),"")</f>
        <v/>
      </c>
      <c r="J274" s="165" t="str">
        <f>IF(I274="","",IF(AND(p_Repartition="Lissée jusqu'à la date de besoin",ISNUMBER(INDEX(Charge!$F:$F,ROW()))),IF(INDEX(Charge!$F:$F,ROW())&gt;=I274,INDEX(Charge!$F:$F,ROW()),I274),I274))</f>
        <v/>
      </c>
      <c r="K274" t="str">
        <f>IF(I274="","",NETWORKDAYS(I274,J274,Data!$K$4:$K$203))</f>
        <v/>
      </c>
      <c r="L274" t="str">
        <f>IF(D274=1,COUNTIFS($D$4:$D$503,1,$E$4:$E$503,"&gt;"&amp;E274)+COUNTIFS($D$4:$D274,1,$E$4:$E274,E274),"")</f>
        <v/>
      </c>
      <c r="M274">
        <f>IF(F274="",0,IF(COUNTIF($F$4:F274,F274)=1,1,0))</f>
        <v>0</v>
      </c>
      <c r="N274" t="str">
        <f>IF(M274=1,ROUND(SUMIF($F$4:$F$503,F274,$E$4:$E$503),2),"")</f>
        <v/>
      </c>
      <c r="O274" t="str">
        <f>IF(M274=1,COUNTIFS($M$4:$M$503,1,$N$4:$N$503,"&gt;"&amp;N274)+COUNTIFS($M$4:M274,1,$N$4:N274,N274),"")</f>
        <v/>
      </c>
      <c r="P274">
        <f>IF(G274="",0,IF(COUNTIF($G$4:G274,G274)=1,1,0))</f>
        <v>0</v>
      </c>
      <c r="Q274" t="str">
        <f>IF(P274=1,ROUND(SUMIF($G$4:$G$503,G274,$E$4:$E$503),2),"")</f>
        <v/>
      </c>
      <c r="R274" t="str">
        <f>IF(P274=1,COUNTIFS($P$4:$P$503,1,$Q$4:$Q$503,"&gt;"&amp;Q274)+COUNTIFS($P$4:P274,1,$Q$4:Q274,Q274),"")</f>
        <v/>
      </c>
      <c r="S274">
        <f>IF(H274="",0,IF(COUNTIF($H$4:H274,H274)=1,1,0))</f>
        <v>0</v>
      </c>
      <c r="T274" t="str">
        <f>IF(S274=1,ROUND(SUMIF($H$4:$H$503,H274,$E$4:$E$503),2),"")</f>
        <v/>
      </c>
      <c r="U274" t="str">
        <f>IF(S274=1,COUNTIFS($S$4:$S$503,1,$T$4:$T$503,"&gt;"&amp;T274)+COUNTIFS($S$4:S274,1,$T$4:T274,T274),"")</f>
        <v/>
      </c>
      <c r="V274" t="str">
        <f>IF(D274=1,MIN(INDEX($R$4:$R$503,MATCH(G274,$G$4:$G$503,0)),IF($AL$7&gt;9,9,999)),"")</f>
        <v/>
      </c>
      <c r="W274" s="166">
        <f>IF(OR($I274="",$E274=0),0,IF(OR($J274&lt;W$3,$I274&gt;W$2),0,IF($K274=0,IF(AND($I274&gt;=W$3,$I274&lt;=W$2),$E274,0),$E274*NETWORKDAYS(MAX($I274,W$3),MIN($J274,W$2),Data!$K$4:$K$203)/$K274)))</f>
        <v>0</v>
      </c>
      <c r="X274" s="166">
        <f>IF(OR($I274="",$E274=0),0,IF(OR($J274&lt;X$3,$I274&gt;X$2),0,IF($K274=0,IF(AND($I274&gt;=X$3,$I274&lt;=X$2),$E274,0),$E274*NETWORKDAYS(MAX($I274,X$3),MIN($J274,X$2),Data!$K$4:$K$203)/$K274)))</f>
        <v>0</v>
      </c>
      <c r="Y274" s="166">
        <f>IF(OR($I274="",$E274=0),0,IF(OR($J274&lt;Y$3,$I274&gt;Y$2),0,IF($K274=0,IF(AND($I274&gt;=Y$3,$I274&lt;=Y$2),$E274,0),$E274*NETWORKDAYS(MAX($I274,Y$3),MIN($J274,Y$2),Data!$K$4:$K$203)/$K274)))</f>
        <v>0</v>
      </c>
      <c r="Z274" s="166">
        <f>IF(OR($I274="",$E274=0),0,IF(OR($J274&lt;Z$3,$I274&gt;Z$2),0,IF($K274=0,IF(AND($I274&gt;=Z$3,$I274&lt;=Z$2),$E274,0),$E274*NETWORKDAYS(MAX($I274,Z$3),MIN($J274,Z$2),Data!$K$4:$K$203)/$K274)))</f>
        <v>0</v>
      </c>
      <c r="AA274" s="166">
        <f>IF(OR($I274="",$E274=0),0,IF(OR($J274&lt;AA$3,$I274&gt;AA$2),0,IF($K274=0,IF(AND($I274&gt;=AA$3,$I274&lt;=AA$2),$E274,0),$E274*NETWORKDAYS(MAX($I274,AA$3),MIN($J274,AA$2),Data!$K$4:$K$203)/$K274)))</f>
        <v>0</v>
      </c>
      <c r="AB274" s="166">
        <f>IF(OR($I274="",$E274=0),0,IF(OR($J274&lt;AB$3,$I274&gt;AB$2),0,IF($K274=0,IF(AND($I274&gt;=AB$3,$I274&lt;=AB$2),$E274,0),$E274*NETWORKDAYS(MAX($I274,AB$3),MIN($J274,AB$2),Data!$K$4:$K$203)/$K274)))</f>
        <v>0</v>
      </c>
      <c r="AC274" s="166">
        <f>IF(OR($I274="",$E274=0),0,IF(OR($J274&lt;AC$3,$I274&gt;AC$2),0,IF($K274=0,IF(AND($I274&gt;=AC$3,$I274&lt;=AC$2),$E274,0),$E274*NETWORKDAYS(MAX($I274,AC$3),MIN($J274,AC$2),Data!$K$4:$K$203)/$K274)))</f>
        <v>0</v>
      </c>
      <c r="AD274" s="166">
        <f>IF(OR($I274="",$E274=0),0,IF(OR($J274&lt;AD$3,$I274&gt;AD$2),0,IF($K274=0,IF(AND($I274&gt;=AD$3,$I274&lt;=AD$2),$E274,0),$E274*NETWORKDAYS(MAX($I274,AD$3),MIN($J274,AD$2),Data!$K$4:$K$203)/$K274)))</f>
        <v>0</v>
      </c>
      <c r="AE274" s="166">
        <f>IF(OR($I274="",$E274=0),0,IF(OR($J274&lt;AE$3,$I274&gt;AE$2),0,IF($K274=0,IF(AND($I274&gt;=AE$3,$I274&lt;=AE$2),$E274,0),$E274*NETWORKDAYS(MAX($I274,AE$3),MIN($J274,AE$2),Data!$K$4:$K$203)/$K274)))</f>
        <v>0</v>
      </c>
      <c r="AF274" s="166">
        <f>IF(OR($I274="",$E274=0),0,IF(OR($J274&lt;AF$3,$I274&gt;AF$2),0,IF($K274=0,IF(AND($I274&gt;=AF$3,$I274&lt;=AF$2),$E274,0),$E274*NETWORKDAYS(MAX($I274,AF$3),MIN($J274,AF$2),Data!$K$4:$K$203)/$K274)))</f>
        <v>0</v>
      </c>
      <c r="AG274" s="166">
        <f>IF(OR($I274="",$E274=0),0,IF(OR($J274&lt;AG$3,$I274&gt;AG$2),0,IF($K274=0,IF(AND($I274&gt;=AG$3,$I274&lt;=AG$2),$E274,0),$E274*NETWORKDAYS(MAX($I274,AG$3),MIN($J274,AG$2),Data!$K$4:$K$203)/$K274)))</f>
        <v>0</v>
      </c>
      <c r="AH274" s="166">
        <f>IF(OR($I274="",$E274=0),0,IF(OR($J274&lt;AH$3,$I274&gt;AH$2),0,IF($K274=0,IF(AND($I274&gt;=AH$3,$I274&lt;=AH$2),$E274,0),$E274*NETWORKDAYS(MAX($I274,AH$3),MIN($J274,AH$2),Data!$K$4:$K$203)/$K274)))</f>
        <v>0</v>
      </c>
      <c r="AI274" s="166">
        <f>SUM(W274:AH274)</f>
        <v>0</v>
      </c>
      <c r="BZ274" t="str">
        <f>IF(D274=1,IF(TRIM(INDEX(Charge!$K:$K,ROW()))&lt;&gt;"",TRIM(INDEX(Charge!$K:$K,ROW())),IF(TRIM(INDEX(Charge!$L:$L,ROW()))&lt;&gt;"",TRIM(INDEX(Charge!$L:$L,ROW())),"(non affecté)")),"")</f>
        <v/>
      </c>
      <c r="CA274" t="str">
        <f>IF(AND($CD$4&lt;&gt;"",BZ274=$CD$4),COUNTIFS($BZ$4:$BZ$503,$CD$4,$L$4:$L$503,"&lt;"&amp;L274)+1,"")</f>
        <v/>
      </c>
      <c r="EM274" t="str">
        <f>IF(D274=1,IF(TRIM(INDEX(Charge!$K:$K,ROW()))&lt;&gt;"","Interne",IF(TRIM(INDEX(Charge!$L:$L,ROW()))&lt;&gt;"","Externe","Non affecté")),"")</f>
        <v/>
      </c>
      <c r="EN274" t="str">
        <f>IF(D274=1,LEFT(SUBSTITUTE(SUBSTITUTE(SUBSTITUTE(TRIM(SUBSTITUTE(INDEX(Charge!$B:$B,ROW()),CHAR(160)," "))&amp;" | "&amp;TRIM(SUBSTITUTE(INDEX(Charge!$C:$C,ROW()),CHAR(160)," "))&amp;" | "&amp;TRIM(SUBSTITUTE(INDEX(Charge!$D:$D,ROW()),CHAR(160)," ")),"~","-"),"*","+"),"?","!"),240),"")</f>
        <v/>
      </c>
      <c r="EO274">
        <f>IF(EN274="",0,IF(COUNTIF($EN$4:EN274,EN274)=1,1,0))</f>
        <v>0</v>
      </c>
      <c r="EP274" s="166" t="str">
        <f>IF(EO274=1,ROUND(SUMIF($EN$4:$EN$503,EN274,$E$4:$E$503),2),"")</f>
        <v/>
      </c>
      <c r="EQ274" t="str">
        <f>IF(EO274=1,COUNTIFS($EO$4:$EO$503,1,$EP$4:$EP$503,"&gt;"&amp;EP274)+COUNTIFS($EO$4:EO274,1,$EP$4:EP274,EP274),"")</f>
        <v/>
      </c>
      <c r="ER274" t="str">
        <f>IF(EO274=1,COUNTIFS($EN$4:$EN$503,EN274,$EM$4:$EM$503,"Interne",$FE$4:$FE$503,1),"")</f>
        <v/>
      </c>
      <c r="ES274" t="str">
        <f>IF(EO274=1,COUNTIFS($EN$4:$EN$503,EN274,$EM$4:$EM$503,"Externe",$FE$4:$FE$503,1),"")</f>
        <v/>
      </c>
      <c r="ET274" t="str">
        <f>IF(EO274=1,IF(ER274+ES274=0,"à affecter",IF(ER274=0,ES274&amp;" ext.",(ER274+ES274)&amp;IF(ES274&gt;0," dont "&amp;ES274&amp;" ext.",""))&amp;IF(COUNTIFS($EN$4:$EN$503,EN274,$EM$4:$EM$503,"Non affecté")&gt;0," + à affecter","")),"")</f>
        <v/>
      </c>
      <c r="EU274" s="170" t="str">
        <f>IF(EO274=1,IF(EP274&gt;0,SUMPRODUCT(($EN$4:$EN$503=EN274)*$E$4:$E$503*$C$4:$C$503)/EP274,AVERAGEIF($EN$4:$EN$503,EN274,$C$4:$C$503)),"")</f>
        <v/>
      </c>
      <c r="EV274" s="165">
        <f>IF(ISNUMBER(I274),I274,2958465)</f>
        <v>2958465.0</v>
      </c>
      <c r="EW274" s="165" t="str">
        <f>IF(EO274=1,SUMPRODUCT(MIN(($EN$4:$EN$503=EN274)*$EV$4:$EV$503+($EN$4:$EN$503&lt;&gt;EN274)*2958465)),"")</f>
        <v/>
      </c>
      <c r="EX274" s="165">
        <f>IF(AND(D274=1,ISNUMBER(INDEX(Charge!$F:$F,ROW()))),INDEX(Charge!$F:$F,ROW()),0)</f>
        <v>0.0</v>
      </c>
      <c r="EY274" s="165" t="str">
        <f>IF(EO274=1,SUMPRODUCT(MAX(($EN$4:$EN$503=EN274)*$EX$4:$EX$503)),"")</f>
        <v/>
      </c>
      <c r="FA274" t="str">
        <f>IF(271&lt;=$CD$23,INDEX($EJ$4:$EJ$203,271),IF(271-$CD$23&lt;=$CD$26,INDEX($EK$4:$EK$203,271-$CD$23),""))</f>
        <v/>
      </c>
      <c r="FB274" t="str">
        <f>IF(FA274="","",IF(271&lt;=$CD$23,"Interne","Externe"))</f>
        <v/>
      </c>
      <c r="FD274">
        <f>IF(AND(B274=1,TRIM(INDEX(Charge!$K:$K,ROW()))&lt;&gt;"",TRIM(INDEX(Charge!$L:$L,ROW()))&lt;&gt;""),1,0)</f>
        <v>0</v>
      </c>
      <c r="FE274">
        <f>IF(OR(EN274="",BZ274="(non affecté)"),0,IF(COUNTIFS($EN$4:EN274,EN274,$BZ$4:BZ274,BZ274)=1,1,0))</f>
        <v>0</v>
      </c>
    </row>
    <row r="275">
      <c r="A275">
        <f>ROW()</f>
        <v>275</v>
      </c>
      <c r="B275">
        <f>IF(TRIM(INDEX(Charge!$B:$B,ROW()))&lt;&gt;"",1,0)</f>
        <v>0</v>
      </c>
      <c r="C275">
        <f>IF(B275=1,MIN(1,MAX(0,N(INDEX(Charge!$O:$O,ROW())))),0)</f>
        <v>0</v>
      </c>
      <c r="D275">
        <f>IF(B275=1,IF(OR(p_Perimetre="Tous les projets",C275&lt;1),1,0),0)</f>
        <v>0</v>
      </c>
      <c r="E275">
        <f>IF(D275=1,MAX(0,N(INDEX(Charge!$M:$M,ROW()))),0)</f>
        <v>0</v>
      </c>
      <c r="F275" t="str">
        <f>IF(D275=1,IF(TRIM(INDEX(Charge!$A:$A,ROW()))="","(non renseigné)",TRIM(INDEX(Charge!$A:$A,ROW()))),"")</f>
        <v/>
      </c>
      <c r="G275" t="str">
        <f>IF(D275=1,TRIM(INDEX(Charge!$B:$B,ROW())),"")</f>
        <v/>
      </c>
      <c r="H275" t="str">
        <f>IF(D275=1,IF(TRIM(INDEX(Charge!$E:$E,ROW()))="","(non renseigné)",TRIM(INDEX(Charge!$E:$E,ROW()))),"")</f>
        <v/>
      </c>
      <c r="I275" s="165" t="str">
        <f>IF(AND(D275=1,ISNUMBER(INDEX(Charge!$N:$N,ROW()))),INDEX(Charge!$N:$N,ROW()),"")</f>
        <v/>
      </c>
      <c r="J275" s="165" t="str">
        <f>IF(I275="","",IF(AND(p_Repartition="Lissée jusqu'à la date de besoin",ISNUMBER(INDEX(Charge!$F:$F,ROW()))),IF(INDEX(Charge!$F:$F,ROW())&gt;=I275,INDEX(Charge!$F:$F,ROW()),I275),I275))</f>
        <v/>
      </c>
      <c r="K275" t="str">
        <f>IF(I275="","",NETWORKDAYS(I275,J275,Data!$K$4:$K$203))</f>
        <v/>
      </c>
      <c r="L275" t="str">
        <f>IF(D275=1,COUNTIFS($D$4:$D$503,1,$E$4:$E$503,"&gt;"&amp;E275)+COUNTIFS($D$4:$D275,1,$E$4:$E275,E275),"")</f>
        <v/>
      </c>
      <c r="M275">
        <f>IF(F275="",0,IF(COUNTIF($F$4:F275,F275)=1,1,0))</f>
        <v>0</v>
      </c>
      <c r="N275" t="str">
        <f>IF(M275=1,ROUND(SUMIF($F$4:$F$503,F275,$E$4:$E$503),2),"")</f>
        <v/>
      </c>
      <c r="O275" t="str">
        <f>IF(M275=1,COUNTIFS($M$4:$M$503,1,$N$4:$N$503,"&gt;"&amp;N275)+COUNTIFS($M$4:M275,1,$N$4:N275,N275),"")</f>
        <v/>
      </c>
      <c r="P275">
        <f>IF(G275="",0,IF(COUNTIF($G$4:G275,G275)=1,1,0))</f>
        <v>0</v>
      </c>
      <c r="Q275" t="str">
        <f>IF(P275=1,ROUND(SUMIF($G$4:$G$503,G275,$E$4:$E$503),2),"")</f>
        <v/>
      </c>
      <c r="R275" t="str">
        <f>IF(P275=1,COUNTIFS($P$4:$P$503,1,$Q$4:$Q$503,"&gt;"&amp;Q275)+COUNTIFS($P$4:P275,1,$Q$4:Q275,Q275),"")</f>
        <v/>
      </c>
      <c r="S275">
        <f>IF(H275="",0,IF(COUNTIF($H$4:H275,H275)=1,1,0))</f>
        <v>0</v>
      </c>
      <c r="T275" t="str">
        <f>IF(S275=1,ROUND(SUMIF($H$4:$H$503,H275,$E$4:$E$503),2),"")</f>
        <v/>
      </c>
      <c r="U275" t="str">
        <f>IF(S275=1,COUNTIFS($S$4:$S$503,1,$T$4:$T$503,"&gt;"&amp;T275)+COUNTIFS($S$4:S275,1,$T$4:T275,T275),"")</f>
        <v/>
      </c>
      <c r="V275" t="str">
        <f>IF(D275=1,MIN(INDEX($R$4:$R$503,MATCH(G275,$G$4:$G$503,0)),IF($AL$7&gt;9,9,999)),"")</f>
        <v/>
      </c>
      <c r="W275" s="166">
        <f>IF(OR($I275="",$E275=0),0,IF(OR($J275&lt;W$3,$I275&gt;W$2),0,IF($K275=0,IF(AND($I275&gt;=W$3,$I275&lt;=W$2),$E275,0),$E275*NETWORKDAYS(MAX($I275,W$3),MIN($J275,W$2),Data!$K$4:$K$203)/$K275)))</f>
        <v>0</v>
      </c>
      <c r="X275" s="166">
        <f>IF(OR($I275="",$E275=0),0,IF(OR($J275&lt;X$3,$I275&gt;X$2),0,IF($K275=0,IF(AND($I275&gt;=X$3,$I275&lt;=X$2),$E275,0),$E275*NETWORKDAYS(MAX($I275,X$3),MIN($J275,X$2),Data!$K$4:$K$203)/$K275)))</f>
        <v>0</v>
      </c>
      <c r="Y275" s="166">
        <f>IF(OR($I275="",$E275=0),0,IF(OR($J275&lt;Y$3,$I275&gt;Y$2),0,IF($K275=0,IF(AND($I275&gt;=Y$3,$I275&lt;=Y$2),$E275,0),$E275*NETWORKDAYS(MAX($I275,Y$3),MIN($J275,Y$2),Data!$K$4:$K$203)/$K275)))</f>
        <v>0</v>
      </c>
      <c r="Z275" s="166">
        <f>IF(OR($I275="",$E275=0),0,IF(OR($J275&lt;Z$3,$I275&gt;Z$2),0,IF($K275=0,IF(AND($I275&gt;=Z$3,$I275&lt;=Z$2),$E275,0),$E275*NETWORKDAYS(MAX($I275,Z$3),MIN($J275,Z$2),Data!$K$4:$K$203)/$K275)))</f>
        <v>0</v>
      </c>
      <c r="AA275" s="166">
        <f>IF(OR($I275="",$E275=0),0,IF(OR($J275&lt;AA$3,$I275&gt;AA$2),0,IF($K275=0,IF(AND($I275&gt;=AA$3,$I275&lt;=AA$2),$E275,0),$E275*NETWORKDAYS(MAX($I275,AA$3),MIN($J275,AA$2),Data!$K$4:$K$203)/$K275)))</f>
        <v>0</v>
      </c>
      <c r="AB275" s="166">
        <f>IF(OR($I275="",$E275=0),0,IF(OR($J275&lt;AB$3,$I275&gt;AB$2),0,IF($K275=0,IF(AND($I275&gt;=AB$3,$I275&lt;=AB$2),$E275,0),$E275*NETWORKDAYS(MAX($I275,AB$3),MIN($J275,AB$2),Data!$K$4:$K$203)/$K275)))</f>
        <v>0</v>
      </c>
      <c r="AC275" s="166">
        <f>IF(OR($I275="",$E275=0),0,IF(OR($J275&lt;AC$3,$I275&gt;AC$2),0,IF($K275=0,IF(AND($I275&gt;=AC$3,$I275&lt;=AC$2),$E275,0),$E275*NETWORKDAYS(MAX($I275,AC$3),MIN($J275,AC$2),Data!$K$4:$K$203)/$K275)))</f>
        <v>0</v>
      </c>
      <c r="AD275" s="166">
        <f>IF(OR($I275="",$E275=0),0,IF(OR($J275&lt;AD$3,$I275&gt;AD$2),0,IF($K275=0,IF(AND($I275&gt;=AD$3,$I275&lt;=AD$2),$E275,0),$E275*NETWORKDAYS(MAX($I275,AD$3),MIN($J275,AD$2),Data!$K$4:$K$203)/$K275)))</f>
        <v>0</v>
      </c>
      <c r="AE275" s="166">
        <f>IF(OR($I275="",$E275=0),0,IF(OR($J275&lt;AE$3,$I275&gt;AE$2),0,IF($K275=0,IF(AND($I275&gt;=AE$3,$I275&lt;=AE$2),$E275,0),$E275*NETWORKDAYS(MAX($I275,AE$3),MIN($J275,AE$2),Data!$K$4:$K$203)/$K275)))</f>
        <v>0</v>
      </c>
      <c r="AF275" s="166">
        <f>IF(OR($I275="",$E275=0),0,IF(OR($J275&lt;AF$3,$I275&gt;AF$2),0,IF($K275=0,IF(AND($I275&gt;=AF$3,$I275&lt;=AF$2),$E275,0),$E275*NETWORKDAYS(MAX($I275,AF$3),MIN($J275,AF$2),Data!$K$4:$K$203)/$K275)))</f>
        <v>0</v>
      </c>
      <c r="AG275" s="166">
        <f>IF(OR($I275="",$E275=0),0,IF(OR($J275&lt;AG$3,$I275&gt;AG$2),0,IF($K275=0,IF(AND($I275&gt;=AG$3,$I275&lt;=AG$2),$E275,0),$E275*NETWORKDAYS(MAX($I275,AG$3),MIN($J275,AG$2),Data!$K$4:$K$203)/$K275)))</f>
        <v>0</v>
      </c>
      <c r="AH275" s="166">
        <f>IF(OR($I275="",$E275=0),0,IF(OR($J275&lt;AH$3,$I275&gt;AH$2),0,IF($K275=0,IF(AND($I275&gt;=AH$3,$I275&lt;=AH$2),$E275,0),$E275*NETWORKDAYS(MAX($I275,AH$3),MIN($J275,AH$2),Data!$K$4:$K$203)/$K275)))</f>
        <v>0</v>
      </c>
      <c r="AI275" s="166">
        <f>SUM(W275:AH275)</f>
        <v>0</v>
      </c>
      <c r="BZ275" t="str">
        <f>IF(D275=1,IF(TRIM(INDEX(Charge!$K:$K,ROW()))&lt;&gt;"",TRIM(INDEX(Charge!$K:$K,ROW())),IF(TRIM(INDEX(Charge!$L:$L,ROW()))&lt;&gt;"",TRIM(INDEX(Charge!$L:$L,ROW())),"(non affecté)")),"")</f>
        <v/>
      </c>
      <c r="CA275" t="str">
        <f>IF(AND($CD$4&lt;&gt;"",BZ275=$CD$4),COUNTIFS($BZ$4:$BZ$503,$CD$4,$L$4:$L$503,"&lt;"&amp;L275)+1,"")</f>
        <v/>
      </c>
      <c r="EM275" t="str">
        <f>IF(D275=1,IF(TRIM(INDEX(Charge!$K:$K,ROW()))&lt;&gt;"","Interne",IF(TRIM(INDEX(Charge!$L:$L,ROW()))&lt;&gt;"","Externe","Non affecté")),"")</f>
        <v/>
      </c>
      <c r="EN275" t="str">
        <f>IF(D275=1,LEFT(SUBSTITUTE(SUBSTITUTE(SUBSTITUTE(TRIM(SUBSTITUTE(INDEX(Charge!$B:$B,ROW()),CHAR(160)," "))&amp;" | "&amp;TRIM(SUBSTITUTE(INDEX(Charge!$C:$C,ROW()),CHAR(160)," "))&amp;" | "&amp;TRIM(SUBSTITUTE(INDEX(Charge!$D:$D,ROW()),CHAR(160)," ")),"~","-"),"*","+"),"?","!"),240),"")</f>
        <v/>
      </c>
      <c r="EO275">
        <f>IF(EN275="",0,IF(COUNTIF($EN$4:EN275,EN275)=1,1,0))</f>
        <v>0</v>
      </c>
      <c r="EP275" s="166" t="str">
        <f>IF(EO275=1,ROUND(SUMIF($EN$4:$EN$503,EN275,$E$4:$E$503),2),"")</f>
        <v/>
      </c>
      <c r="EQ275" t="str">
        <f>IF(EO275=1,COUNTIFS($EO$4:$EO$503,1,$EP$4:$EP$503,"&gt;"&amp;EP275)+COUNTIFS($EO$4:EO275,1,$EP$4:EP275,EP275),"")</f>
        <v/>
      </c>
      <c r="ER275" t="str">
        <f>IF(EO275=1,COUNTIFS($EN$4:$EN$503,EN275,$EM$4:$EM$503,"Interne",$FE$4:$FE$503,1),"")</f>
        <v/>
      </c>
      <c r="ES275" t="str">
        <f>IF(EO275=1,COUNTIFS($EN$4:$EN$503,EN275,$EM$4:$EM$503,"Externe",$FE$4:$FE$503,1),"")</f>
        <v/>
      </c>
      <c r="ET275" t="str">
        <f>IF(EO275=1,IF(ER275+ES275=0,"à affecter",IF(ER275=0,ES275&amp;" ext.",(ER275+ES275)&amp;IF(ES275&gt;0," dont "&amp;ES275&amp;" ext.",""))&amp;IF(COUNTIFS($EN$4:$EN$503,EN275,$EM$4:$EM$503,"Non affecté")&gt;0," + à affecter","")),"")</f>
        <v/>
      </c>
      <c r="EU275" s="170" t="str">
        <f>IF(EO275=1,IF(EP275&gt;0,SUMPRODUCT(($EN$4:$EN$503=EN275)*$E$4:$E$503*$C$4:$C$503)/EP275,AVERAGEIF($EN$4:$EN$503,EN275,$C$4:$C$503)),"")</f>
        <v/>
      </c>
      <c r="EV275" s="165">
        <f>IF(ISNUMBER(I275),I275,2958465)</f>
        <v>2958465.0</v>
      </c>
      <c r="EW275" s="165" t="str">
        <f>IF(EO275=1,SUMPRODUCT(MIN(($EN$4:$EN$503=EN275)*$EV$4:$EV$503+($EN$4:$EN$503&lt;&gt;EN275)*2958465)),"")</f>
        <v/>
      </c>
      <c r="EX275" s="165">
        <f>IF(AND(D275=1,ISNUMBER(INDEX(Charge!$F:$F,ROW()))),INDEX(Charge!$F:$F,ROW()),0)</f>
        <v>0.0</v>
      </c>
      <c r="EY275" s="165" t="str">
        <f>IF(EO275=1,SUMPRODUCT(MAX(($EN$4:$EN$503=EN275)*$EX$4:$EX$503)),"")</f>
        <v/>
      </c>
      <c r="FA275" t="str">
        <f>IF(272&lt;=$CD$23,INDEX($EJ$4:$EJ$203,272),IF(272-$CD$23&lt;=$CD$26,INDEX($EK$4:$EK$203,272-$CD$23),""))</f>
        <v/>
      </c>
      <c r="FB275" t="str">
        <f>IF(FA275="","",IF(272&lt;=$CD$23,"Interne","Externe"))</f>
        <v/>
      </c>
      <c r="FD275">
        <f>IF(AND(B275=1,TRIM(INDEX(Charge!$K:$K,ROW()))&lt;&gt;"",TRIM(INDEX(Charge!$L:$L,ROW()))&lt;&gt;""),1,0)</f>
        <v>0</v>
      </c>
      <c r="FE275">
        <f>IF(OR(EN275="",BZ275="(non affecté)"),0,IF(COUNTIFS($EN$4:EN275,EN275,$BZ$4:BZ275,BZ275)=1,1,0))</f>
        <v>0</v>
      </c>
    </row>
    <row r="276">
      <c r="A276">
        <f>ROW()</f>
        <v>276</v>
      </c>
      <c r="B276">
        <f>IF(TRIM(INDEX(Charge!$B:$B,ROW()))&lt;&gt;"",1,0)</f>
        <v>0</v>
      </c>
      <c r="C276">
        <f>IF(B276=1,MIN(1,MAX(0,N(INDEX(Charge!$O:$O,ROW())))),0)</f>
        <v>0</v>
      </c>
      <c r="D276">
        <f>IF(B276=1,IF(OR(p_Perimetre="Tous les projets",C276&lt;1),1,0),0)</f>
        <v>0</v>
      </c>
      <c r="E276">
        <f>IF(D276=1,MAX(0,N(INDEX(Charge!$M:$M,ROW()))),0)</f>
        <v>0</v>
      </c>
      <c r="F276" t="str">
        <f>IF(D276=1,IF(TRIM(INDEX(Charge!$A:$A,ROW()))="","(non renseigné)",TRIM(INDEX(Charge!$A:$A,ROW()))),"")</f>
        <v/>
      </c>
      <c r="G276" t="str">
        <f>IF(D276=1,TRIM(INDEX(Charge!$B:$B,ROW())),"")</f>
        <v/>
      </c>
      <c r="H276" t="str">
        <f>IF(D276=1,IF(TRIM(INDEX(Charge!$E:$E,ROW()))="","(non renseigné)",TRIM(INDEX(Charge!$E:$E,ROW()))),"")</f>
        <v/>
      </c>
      <c r="I276" s="165" t="str">
        <f>IF(AND(D276=1,ISNUMBER(INDEX(Charge!$N:$N,ROW()))),INDEX(Charge!$N:$N,ROW()),"")</f>
        <v/>
      </c>
      <c r="J276" s="165" t="str">
        <f>IF(I276="","",IF(AND(p_Repartition="Lissée jusqu'à la date de besoin",ISNUMBER(INDEX(Charge!$F:$F,ROW()))),IF(INDEX(Charge!$F:$F,ROW())&gt;=I276,INDEX(Charge!$F:$F,ROW()),I276),I276))</f>
        <v/>
      </c>
      <c r="K276" t="str">
        <f>IF(I276="","",NETWORKDAYS(I276,J276,Data!$K$4:$K$203))</f>
        <v/>
      </c>
      <c r="L276" t="str">
        <f>IF(D276=1,COUNTIFS($D$4:$D$503,1,$E$4:$E$503,"&gt;"&amp;E276)+COUNTIFS($D$4:$D276,1,$E$4:$E276,E276),"")</f>
        <v/>
      </c>
      <c r="M276">
        <f>IF(F276="",0,IF(COUNTIF($F$4:F276,F276)=1,1,0))</f>
        <v>0</v>
      </c>
      <c r="N276" t="str">
        <f>IF(M276=1,ROUND(SUMIF($F$4:$F$503,F276,$E$4:$E$503),2),"")</f>
        <v/>
      </c>
      <c r="O276" t="str">
        <f>IF(M276=1,COUNTIFS($M$4:$M$503,1,$N$4:$N$503,"&gt;"&amp;N276)+COUNTIFS($M$4:M276,1,$N$4:N276,N276),"")</f>
        <v/>
      </c>
      <c r="P276">
        <f>IF(G276="",0,IF(COUNTIF($G$4:G276,G276)=1,1,0))</f>
        <v>0</v>
      </c>
      <c r="Q276" t="str">
        <f>IF(P276=1,ROUND(SUMIF($G$4:$G$503,G276,$E$4:$E$503),2),"")</f>
        <v/>
      </c>
      <c r="R276" t="str">
        <f>IF(P276=1,COUNTIFS($P$4:$P$503,1,$Q$4:$Q$503,"&gt;"&amp;Q276)+COUNTIFS($P$4:P276,1,$Q$4:Q276,Q276),"")</f>
        <v/>
      </c>
      <c r="S276">
        <f>IF(H276="",0,IF(COUNTIF($H$4:H276,H276)=1,1,0))</f>
        <v>0</v>
      </c>
      <c r="T276" t="str">
        <f>IF(S276=1,ROUND(SUMIF($H$4:$H$503,H276,$E$4:$E$503),2),"")</f>
        <v/>
      </c>
      <c r="U276" t="str">
        <f>IF(S276=1,COUNTIFS($S$4:$S$503,1,$T$4:$T$503,"&gt;"&amp;T276)+COUNTIFS($S$4:S276,1,$T$4:T276,T276),"")</f>
        <v/>
      </c>
      <c r="V276" t="str">
        <f>IF(D276=1,MIN(INDEX($R$4:$R$503,MATCH(G276,$G$4:$G$503,0)),IF($AL$7&gt;9,9,999)),"")</f>
        <v/>
      </c>
      <c r="W276" s="166">
        <f>IF(OR($I276="",$E276=0),0,IF(OR($J276&lt;W$3,$I276&gt;W$2),0,IF($K276=0,IF(AND($I276&gt;=W$3,$I276&lt;=W$2),$E276,0),$E276*NETWORKDAYS(MAX($I276,W$3),MIN($J276,W$2),Data!$K$4:$K$203)/$K276)))</f>
        <v>0</v>
      </c>
      <c r="X276" s="166">
        <f>IF(OR($I276="",$E276=0),0,IF(OR($J276&lt;X$3,$I276&gt;X$2),0,IF($K276=0,IF(AND($I276&gt;=X$3,$I276&lt;=X$2),$E276,0),$E276*NETWORKDAYS(MAX($I276,X$3),MIN($J276,X$2),Data!$K$4:$K$203)/$K276)))</f>
        <v>0</v>
      </c>
      <c r="Y276" s="166">
        <f>IF(OR($I276="",$E276=0),0,IF(OR($J276&lt;Y$3,$I276&gt;Y$2),0,IF($K276=0,IF(AND($I276&gt;=Y$3,$I276&lt;=Y$2),$E276,0),$E276*NETWORKDAYS(MAX($I276,Y$3),MIN($J276,Y$2),Data!$K$4:$K$203)/$K276)))</f>
        <v>0</v>
      </c>
      <c r="Z276" s="166">
        <f>IF(OR($I276="",$E276=0),0,IF(OR($J276&lt;Z$3,$I276&gt;Z$2),0,IF($K276=0,IF(AND($I276&gt;=Z$3,$I276&lt;=Z$2),$E276,0),$E276*NETWORKDAYS(MAX($I276,Z$3),MIN($J276,Z$2),Data!$K$4:$K$203)/$K276)))</f>
        <v>0</v>
      </c>
      <c r="AA276" s="166">
        <f>IF(OR($I276="",$E276=0),0,IF(OR($J276&lt;AA$3,$I276&gt;AA$2),0,IF($K276=0,IF(AND($I276&gt;=AA$3,$I276&lt;=AA$2),$E276,0),$E276*NETWORKDAYS(MAX($I276,AA$3),MIN($J276,AA$2),Data!$K$4:$K$203)/$K276)))</f>
        <v>0</v>
      </c>
      <c r="AB276" s="166">
        <f>IF(OR($I276="",$E276=0),0,IF(OR($J276&lt;AB$3,$I276&gt;AB$2),0,IF($K276=0,IF(AND($I276&gt;=AB$3,$I276&lt;=AB$2),$E276,0),$E276*NETWORKDAYS(MAX($I276,AB$3),MIN($J276,AB$2),Data!$K$4:$K$203)/$K276)))</f>
        <v>0</v>
      </c>
      <c r="AC276" s="166">
        <f>IF(OR($I276="",$E276=0),0,IF(OR($J276&lt;AC$3,$I276&gt;AC$2),0,IF($K276=0,IF(AND($I276&gt;=AC$3,$I276&lt;=AC$2),$E276,0),$E276*NETWORKDAYS(MAX($I276,AC$3),MIN($J276,AC$2),Data!$K$4:$K$203)/$K276)))</f>
        <v>0</v>
      </c>
      <c r="AD276" s="166">
        <f>IF(OR($I276="",$E276=0),0,IF(OR($J276&lt;AD$3,$I276&gt;AD$2),0,IF($K276=0,IF(AND($I276&gt;=AD$3,$I276&lt;=AD$2),$E276,0),$E276*NETWORKDAYS(MAX($I276,AD$3),MIN($J276,AD$2),Data!$K$4:$K$203)/$K276)))</f>
        <v>0</v>
      </c>
      <c r="AE276" s="166">
        <f>IF(OR($I276="",$E276=0),0,IF(OR($J276&lt;AE$3,$I276&gt;AE$2),0,IF($K276=0,IF(AND($I276&gt;=AE$3,$I276&lt;=AE$2),$E276,0),$E276*NETWORKDAYS(MAX($I276,AE$3),MIN($J276,AE$2),Data!$K$4:$K$203)/$K276)))</f>
        <v>0</v>
      </c>
      <c r="AF276" s="166">
        <f>IF(OR($I276="",$E276=0),0,IF(OR($J276&lt;AF$3,$I276&gt;AF$2),0,IF($K276=0,IF(AND($I276&gt;=AF$3,$I276&lt;=AF$2),$E276,0),$E276*NETWORKDAYS(MAX($I276,AF$3),MIN($J276,AF$2),Data!$K$4:$K$203)/$K276)))</f>
        <v>0</v>
      </c>
      <c r="AG276" s="166">
        <f>IF(OR($I276="",$E276=0),0,IF(OR($J276&lt;AG$3,$I276&gt;AG$2),0,IF($K276=0,IF(AND($I276&gt;=AG$3,$I276&lt;=AG$2),$E276,0),$E276*NETWORKDAYS(MAX($I276,AG$3),MIN($J276,AG$2),Data!$K$4:$K$203)/$K276)))</f>
        <v>0</v>
      </c>
      <c r="AH276" s="166">
        <f>IF(OR($I276="",$E276=0),0,IF(OR($J276&lt;AH$3,$I276&gt;AH$2),0,IF($K276=0,IF(AND($I276&gt;=AH$3,$I276&lt;=AH$2),$E276,0),$E276*NETWORKDAYS(MAX($I276,AH$3),MIN($J276,AH$2),Data!$K$4:$K$203)/$K276)))</f>
        <v>0</v>
      </c>
      <c r="AI276" s="166">
        <f>SUM(W276:AH276)</f>
        <v>0</v>
      </c>
      <c r="BZ276" t="str">
        <f>IF(D276=1,IF(TRIM(INDEX(Charge!$K:$K,ROW()))&lt;&gt;"",TRIM(INDEX(Charge!$K:$K,ROW())),IF(TRIM(INDEX(Charge!$L:$L,ROW()))&lt;&gt;"",TRIM(INDEX(Charge!$L:$L,ROW())),"(non affecté)")),"")</f>
        <v/>
      </c>
      <c r="CA276" t="str">
        <f>IF(AND($CD$4&lt;&gt;"",BZ276=$CD$4),COUNTIFS($BZ$4:$BZ$503,$CD$4,$L$4:$L$503,"&lt;"&amp;L276)+1,"")</f>
        <v/>
      </c>
      <c r="EM276" t="str">
        <f>IF(D276=1,IF(TRIM(INDEX(Charge!$K:$K,ROW()))&lt;&gt;"","Interne",IF(TRIM(INDEX(Charge!$L:$L,ROW()))&lt;&gt;"","Externe","Non affecté")),"")</f>
        <v/>
      </c>
      <c r="EN276" t="str">
        <f>IF(D276=1,LEFT(SUBSTITUTE(SUBSTITUTE(SUBSTITUTE(TRIM(SUBSTITUTE(INDEX(Charge!$B:$B,ROW()),CHAR(160)," "))&amp;" | "&amp;TRIM(SUBSTITUTE(INDEX(Charge!$C:$C,ROW()),CHAR(160)," "))&amp;" | "&amp;TRIM(SUBSTITUTE(INDEX(Charge!$D:$D,ROW()),CHAR(160)," ")),"~","-"),"*","+"),"?","!"),240),"")</f>
        <v/>
      </c>
      <c r="EO276">
        <f>IF(EN276="",0,IF(COUNTIF($EN$4:EN276,EN276)=1,1,0))</f>
        <v>0</v>
      </c>
      <c r="EP276" s="166" t="str">
        <f>IF(EO276=1,ROUND(SUMIF($EN$4:$EN$503,EN276,$E$4:$E$503),2),"")</f>
        <v/>
      </c>
      <c r="EQ276" t="str">
        <f>IF(EO276=1,COUNTIFS($EO$4:$EO$503,1,$EP$4:$EP$503,"&gt;"&amp;EP276)+COUNTIFS($EO$4:EO276,1,$EP$4:EP276,EP276),"")</f>
        <v/>
      </c>
      <c r="ER276" t="str">
        <f>IF(EO276=1,COUNTIFS($EN$4:$EN$503,EN276,$EM$4:$EM$503,"Interne",$FE$4:$FE$503,1),"")</f>
        <v/>
      </c>
      <c r="ES276" t="str">
        <f>IF(EO276=1,COUNTIFS($EN$4:$EN$503,EN276,$EM$4:$EM$503,"Externe",$FE$4:$FE$503,1),"")</f>
        <v/>
      </c>
      <c r="ET276" t="str">
        <f>IF(EO276=1,IF(ER276+ES276=0,"à affecter",IF(ER276=0,ES276&amp;" ext.",(ER276+ES276)&amp;IF(ES276&gt;0," dont "&amp;ES276&amp;" ext.",""))&amp;IF(COUNTIFS($EN$4:$EN$503,EN276,$EM$4:$EM$503,"Non affecté")&gt;0," + à affecter","")),"")</f>
        <v/>
      </c>
      <c r="EU276" s="170" t="str">
        <f>IF(EO276=1,IF(EP276&gt;0,SUMPRODUCT(($EN$4:$EN$503=EN276)*$E$4:$E$503*$C$4:$C$503)/EP276,AVERAGEIF($EN$4:$EN$503,EN276,$C$4:$C$503)),"")</f>
        <v/>
      </c>
      <c r="EV276" s="165">
        <f>IF(ISNUMBER(I276),I276,2958465)</f>
        <v>2958465.0</v>
      </c>
      <c r="EW276" s="165" t="str">
        <f>IF(EO276=1,SUMPRODUCT(MIN(($EN$4:$EN$503=EN276)*$EV$4:$EV$503+($EN$4:$EN$503&lt;&gt;EN276)*2958465)),"")</f>
        <v/>
      </c>
      <c r="EX276" s="165">
        <f>IF(AND(D276=1,ISNUMBER(INDEX(Charge!$F:$F,ROW()))),INDEX(Charge!$F:$F,ROW()),0)</f>
        <v>0.0</v>
      </c>
      <c r="EY276" s="165" t="str">
        <f>IF(EO276=1,SUMPRODUCT(MAX(($EN$4:$EN$503=EN276)*$EX$4:$EX$503)),"")</f>
        <v/>
      </c>
      <c r="FA276" t="str">
        <f>IF(273&lt;=$CD$23,INDEX($EJ$4:$EJ$203,273),IF(273-$CD$23&lt;=$CD$26,INDEX($EK$4:$EK$203,273-$CD$23),""))</f>
        <v/>
      </c>
      <c r="FB276" t="str">
        <f>IF(FA276="","",IF(273&lt;=$CD$23,"Interne","Externe"))</f>
        <v/>
      </c>
      <c r="FD276">
        <f>IF(AND(B276=1,TRIM(INDEX(Charge!$K:$K,ROW()))&lt;&gt;"",TRIM(INDEX(Charge!$L:$L,ROW()))&lt;&gt;""),1,0)</f>
        <v>0</v>
      </c>
      <c r="FE276">
        <f>IF(OR(EN276="",BZ276="(non affecté)"),0,IF(COUNTIFS($EN$4:EN276,EN276,$BZ$4:BZ276,BZ276)=1,1,0))</f>
        <v>0</v>
      </c>
    </row>
    <row r="277">
      <c r="A277">
        <f>ROW()</f>
        <v>277</v>
      </c>
      <c r="B277">
        <f>IF(TRIM(INDEX(Charge!$B:$B,ROW()))&lt;&gt;"",1,0)</f>
        <v>0</v>
      </c>
      <c r="C277">
        <f>IF(B277=1,MIN(1,MAX(0,N(INDEX(Charge!$O:$O,ROW())))),0)</f>
        <v>0</v>
      </c>
      <c r="D277">
        <f>IF(B277=1,IF(OR(p_Perimetre="Tous les projets",C277&lt;1),1,0),0)</f>
        <v>0</v>
      </c>
      <c r="E277">
        <f>IF(D277=1,MAX(0,N(INDEX(Charge!$M:$M,ROW()))),0)</f>
        <v>0</v>
      </c>
      <c r="F277" t="str">
        <f>IF(D277=1,IF(TRIM(INDEX(Charge!$A:$A,ROW()))="","(non renseigné)",TRIM(INDEX(Charge!$A:$A,ROW()))),"")</f>
        <v/>
      </c>
      <c r="G277" t="str">
        <f>IF(D277=1,TRIM(INDEX(Charge!$B:$B,ROW())),"")</f>
        <v/>
      </c>
      <c r="H277" t="str">
        <f>IF(D277=1,IF(TRIM(INDEX(Charge!$E:$E,ROW()))="","(non renseigné)",TRIM(INDEX(Charge!$E:$E,ROW()))),"")</f>
        <v/>
      </c>
      <c r="I277" s="165" t="str">
        <f>IF(AND(D277=1,ISNUMBER(INDEX(Charge!$N:$N,ROW()))),INDEX(Charge!$N:$N,ROW()),"")</f>
        <v/>
      </c>
      <c r="J277" s="165" t="str">
        <f>IF(I277="","",IF(AND(p_Repartition="Lissée jusqu'à la date de besoin",ISNUMBER(INDEX(Charge!$F:$F,ROW()))),IF(INDEX(Charge!$F:$F,ROW())&gt;=I277,INDEX(Charge!$F:$F,ROW()),I277),I277))</f>
        <v/>
      </c>
      <c r="K277" t="str">
        <f>IF(I277="","",NETWORKDAYS(I277,J277,Data!$K$4:$K$203))</f>
        <v/>
      </c>
      <c r="L277" t="str">
        <f>IF(D277=1,COUNTIFS($D$4:$D$503,1,$E$4:$E$503,"&gt;"&amp;E277)+COUNTIFS($D$4:$D277,1,$E$4:$E277,E277),"")</f>
        <v/>
      </c>
      <c r="M277">
        <f>IF(F277="",0,IF(COUNTIF($F$4:F277,F277)=1,1,0))</f>
        <v>0</v>
      </c>
      <c r="N277" t="str">
        <f>IF(M277=1,ROUND(SUMIF($F$4:$F$503,F277,$E$4:$E$503),2),"")</f>
        <v/>
      </c>
      <c r="O277" t="str">
        <f>IF(M277=1,COUNTIFS($M$4:$M$503,1,$N$4:$N$503,"&gt;"&amp;N277)+COUNTIFS($M$4:M277,1,$N$4:N277,N277),"")</f>
        <v/>
      </c>
      <c r="P277">
        <f>IF(G277="",0,IF(COUNTIF($G$4:G277,G277)=1,1,0))</f>
        <v>0</v>
      </c>
      <c r="Q277" t="str">
        <f>IF(P277=1,ROUND(SUMIF($G$4:$G$503,G277,$E$4:$E$503),2),"")</f>
        <v/>
      </c>
      <c r="R277" t="str">
        <f>IF(P277=1,COUNTIFS($P$4:$P$503,1,$Q$4:$Q$503,"&gt;"&amp;Q277)+COUNTIFS($P$4:P277,1,$Q$4:Q277,Q277),"")</f>
        <v/>
      </c>
      <c r="S277">
        <f>IF(H277="",0,IF(COUNTIF($H$4:H277,H277)=1,1,0))</f>
        <v>0</v>
      </c>
      <c r="T277" t="str">
        <f>IF(S277=1,ROUND(SUMIF($H$4:$H$503,H277,$E$4:$E$503),2),"")</f>
        <v/>
      </c>
      <c r="U277" t="str">
        <f>IF(S277=1,COUNTIFS($S$4:$S$503,1,$T$4:$T$503,"&gt;"&amp;T277)+COUNTIFS($S$4:S277,1,$T$4:T277,T277),"")</f>
        <v/>
      </c>
      <c r="V277" t="str">
        <f>IF(D277=1,MIN(INDEX($R$4:$R$503,MATCH(G277,$G$4:$G$503,0)),IF($AL$7&gt;9,9,999)),"")</f>
        <v/>
      </c>
      <c r="W277" s="166">
        <f>IF(OR($I277="",$E277=0),0,IF(OR($J277&lt;W$3,$I277&gt;W$2),0,IF($K277=0,IF(AND($I277&gt;=W$3,$I277&lt;=W$2),$E277,0),$E277*NETWORKDAYS(MAX($I277,W$3),MIN($J277,W$2),Data!$K$4:$K$203)/$K277)))</f>
        <v>0</v>
      </c>
      <c r="X277" s="166">
        <f>IF(OR($I277="",$E277=0),0,IF(OR($J277&lt;X$3,$I277&gt;X$2),0,IF($K277=0,IF(AND($I277&gt;=X$3,$I277&lt;=X$2),$E277,0),$E277*NETWORKDAYS(MAX($I277,X$3),MIN($J277,X$2),Data!$K$4:$K$203)/$K277)))</f>
        <v>0</v>
      </c>
      <c r="Y277" s="166">
        <f>IF(OR($I277="",$E277=0),0,IF(OR($J277&lt;Y$3,$I277&gt;Y$2),0,IF($K277=0,IF(AND($I277&gt;=Y$3,$I277&lt;=Y$2),$E277,0),$E277*NETWORKDAYS(MAX($I277,Y$3),MIN($J277,Y$2),Data!$K$4:$K$203)/$K277)))</f>
        <v>0</v>
      </c>
      <c r="Z277" s="166">
        <f>IF(OR($I277="",$E277=0),0,IF(OR($J277&lt;Z$3,$I277&gt;Z$2),0,IF($K277=0,IF(AND($I277&gt;=Z$3,$I277&lt;=Z$2),$E277,0),$E277*NETWORKDAYS(MAX($I277,Z$3),MIN($J277,Z$2),Data!$K$4:$K$203)/$K277)))</f>
        <v>0</v>
      </c>
      <c r="AA277" s="166">
        <f>IF(OR($I277="",$E277=0),0,IF(OR($J277&lt;AA$3,$I277&gt;AA$2),0,IF($K277=0,IF(AND($I277&gt;=AA$3,$I277&lt;=AA$2),$E277,0),$E277*NETWORKDAYS(MAX($I277,AA$3),MIN($J277,AA$2),Data!$K$4:$K$203)/$K277)))</f>
        <v>0</v>
      </c>
      <c r="AB277" s="166">
        <f>IF(OR($I277="",$E277=0),0,IF(OR($J277&lt;AB$3,$I277&gt;AB$2),0,IF($K277=0,IF(AND($I277&gt;=AB$3,$I277&lt;=AB$2),$E277,0),$E277*NETWORKDAYS(MAX($I277,AB$3),MIN($J277,AB$2),Data!$K$4:$K$203)/$K277)))</f>
        <v>0</v>
      </c>
      <c r="AC277" s="166">
        <f>IF(OR($I277="",$E277=0),0,IF(OR($J277&lt;AC$3,$I277&gt;AC$2),0,IF($K277=0,IF(AND($I277&gt;=AC$3,$I277&lt;=AC$2),$E277,0),$E277*NETWORKDAYS(MAX($I277,AC$3),MIN($J277,AC$2),Data!$K$4:$K$203)/$K277)))</f>
        <v>0</v>
      </c>
      <c r="AD277" s="166">
        <f>IF(OR($I277="",$E277=0),0,IF(OR($J277&lt;AD$3,$I277&gt;AD$2),0,IF($K277=0,IF(AND($I277&gt;=AD$3,$I277&lt;=AD$2),$E277,0),$E277*NETWORKDAYS(MAX($I277,AD$3),MIN($J277,AD$2),Data!$K$4:$K$203)/$K277)))</f>
        <v>0</v>
      </c>
      <c r="AE277" s="166">
        <f>IF(OR($I277="",$E277=0),0,IF(OR($J277&lt;AE$3,$I277&gt;AE$2),0,IF($K277=0,IF(AND($I277&gt;=AE$3,$I277&lt;=AE$2),$E277,0),$E277*NETWORKDAYS(MAX($I277,AE$3),MIN($J277,AE$2),Data!$K$4:$K$203)/$K277)))</f>
        <v>0</v>
      </c>
      <c r="AF277" s="166">
        <f>IF(OR($I277="",$E277=0),0,IF(OR($J277&lt;AF$3,$I277&gt;AF$2),0,IF($K277=0,IF(AND($I277&gt;=AF$3,$I277&lt;=AF$2),$E277,0),$E277*NETWORKDAYS(MAX($I277,AF$3),MIN($J277,AF$2),Data!$K$4:$K$203)/$K277)))</f>
        <v>0</v>
      </c>
      <c r="AG277" s="166">
        <f>IF(OR($I277="",$E277=0),0,IF(OR($J277&lt;AG$3,$I277&gt;AG$2),0,IF($K277=0,IF(AND($I277&gt;=AG$3,$I277&lt;=AG$2),$E277,0),$E277*NETWORKDAYS(MAX($I277,AG$3),MIN($J277,AG$2),Data!$K$4:$K$203)/$K277)))</f>
        <v>0</v>
      </c>
      <c r="AH277" s="166">
        <f>IF(OR($I277="",$E277=0),0,IF(OR($J277&lt;AH$3,$I277&gt;AH$2),0,IF($K277=0,IF(AND($I277&gt;=AH$3,$I277&lt;=AH$2),$E277,0),$E277*NETWORKDAYS(MAX($I277,AH$3),MIN($J277,AH$2),Data!$K$4:$K$203)/$K277)))</f>
        <v>0</v>
      </c>
      <c r="AI277" s="166">
        <f>SUM(W277:AH277)</f>
        <v>0</v>
      </c>
      <c r="BZ277" t="str">
        <f>IF(D277=1,IF(TRIM(INDEX(Charge!$K:$K,ROW()))&lt;&gt;"",TRIM(INDEX(Charge!$K:$K,ROW())),IF(TRIM(INDEX(Charge!$L:$L,ROW()))&lt;&gt;"",TRIM(INDEX(Charge!$L:$L,ROW())),"(non affecté)")),"")</f>
        <v/>
      </c>
      <c r="CA277" t="str">
        <f>IF(AND($CD$4&lt;&gt;"",BZ277=$CD$4),COUNTIFS($BZ$4:$BZ$503,$CD$4,$L$4:$L$503,"&lt;"&amp;L277)+1,"")</f>
        <v/>
      </c>
      <c r="EM277" t="str">
        <f>IF(D277=1,IF(TRIM(INDEX(Charge!$K:$K,ROW()))&lt;&gt;"","Interne",IF(TRIM(INDEX(Charge!$L:$L,ROW()))&lt;&gt;"","Externe","Non affecté")),"")</f>
        <v/>
      </c>
      <c r="EN277" t="str">
        <f>IF(D277=1,LEFT(SUBSTITUTE(SUBSTITUTE(SUBSTITUTE(TRIM(SUBSTITUTE(INDEX(Charge!$B:$B,ROW()),CHAR(160)," "))&amp;" | "&amp;TRIM(SUBSTITUTE(INDEX(Charge!$C:$C,ROW()),CHAR(160)," "))&amp;" | "&amp;TRIM(SUBSTITUTE(INDEX(Charge!$D:$D,ROW()),CHAR(160)," ")),"~","-"),"*","+"),"?","!"),240),"")</f>
        <v/>
      </c>
      <c r="EO277">
        <f>IF(EN277="",0,IF(COUNTIF($EN$4:EN277,EN277)=1,1,0))</f>
        <v>0</v>
      </c>
      <c r="EP277" s="166" t="str">
        <f>IF(EO277=1,ROUND(SUMIF($EN$4:$EN$503,EN277,$E$4:$E$503),2),"")</f>
        <v/>
      </c>
      <c r="EQ277" t="str">
        <f>IF(EO277=1,COUNTIFS($EO$4:$EO$503,1,$EP$4:$EP$503,"&gt;"&amp;EP277)+COUNTIFS($EO$4:EO277,1,$EP$4:EP277,EP277),"")</f>
        <v/>
      </c>
      <c r="ER277" t="str">
        <f>IF(EO277=1,COUNTIFS($EN$4:$EN$503,EN277,$EM$4:$EM$503,"Interne",$FE$4:$FE$503,1),"")</f>
        <v/>
      </c>
      <c r="ES277" t="str">
        <f>IF(EO277=1,COUNTIFS($EN$4:$EN$503,EN277,$EM$4:$EM$503,"Externe",$FE$4:$FE$503,1),"")</f>
        <v/>
      </c>
      <c r="ET277" t="str">
        <f>IF(EO277=1,IF(ER277+ES277=0,"à affecter",IF(ER277=0,ES277&amp;" ext.",(ER277+ES277)&amp;IF(ES277&gt;0," dont "&amp;ES277&amp;" ext.",""))&amp;IF(COUNTIFS($EN$4:$EN$503,EN277,$EM$4:$EM$503,"Non affecté")&gt;0," + à affecter","")),"")</f>
        <v/>
      </c>
      <c r="EU277" s="170" t="str">
        <f>IF(EO277=1,IF(EP277&gt;0,SUMPRODUCT(($EN$4:$EN$503=EN277)*$E$4:$E$503*$C$4:$C$503)/EP277,AVERAGEIF($EN$4:$EN$503,EN277,$C$4:$C$503)),"")</f>
        <v/>
      </c>
      <c r="EV277" s="165">
        <f>IF(ISNUMBER(I277),I277,2958465)</f>
        <v>2958465.0</v>
      </c>
      <c r="EW277" s="165" t="str">
        <f>IF(EO277=1,SUMPRODUCT(MIN(($EN$4:$EN$503=EN277)*$EV$4:$EV$503+($EN$4:$EN$503&lt;&gt;EN277)*2958465)),"")</f>
        <v/>
      </c>
      <c r="EX277" s="165">
        <f>IF(AND(D277=1,ISNUMBER(INDEX(Charge!$F:$F,ROW()))),INDEX(Charge!$F:$F,ROW()),0)</f>
        <v>0.0</v>
      </c>
      <c r="EY277" s="165" t="str">
        <f>IF(EO277=1,SUMPRODUCT(MAX(($EN$4:$EN$503=EN277)*$EX$4:$EX$503)),"")</f>
        <v/>
      </c>
      <c r="FA277" t="str">
        <f>IF(274&lt;=$CD$23,INDEX($EJ$4:$EJ$203,274),IF(274-$CD$23&lt;=$CD$26,INDEX($EK$4:$EK$203,274-$CD$23),""))</f>
        <v/>
      </c>
      <c r="FB277" t="str">
        <f>IF(FA277="","",IF(274&lt;=$CD$23,"Interne","Externe"))</f>
        <v/>
      </c>
      <c r="FD277">
        <f>IF(AND(B277=1,TRIM(INDEX(Charge!$K:$K,ROW()))&lt;&gt;"",TRIM(INDEX(Charge!$L:$L,ROW()))&lt;&gt;""),1,0)</f>
        <v>0</v>
      </c>
      <c r="FE277">
        <f>IF(OR(EN277="",BZ277="(non affecté)"),0,IF(COUNTIFS($EN$4:EN277,EN277,$BZ$4:BZ277,BZ277)=1,1,0))</f>
        <v>0</v>
      </c>
    </row>
    <row r="278">
      <c r="A278">
        <f>ROW()</f>
        <v>278</v>
      </c>
      <c r="B278">
        <f>IF(TRIM(INDEX(Charge!$B:$B,ROW()))&lt;&gt;"",1,0)</f>
        <v>0</v>
      </c>
      <c r="C278">
        <f>IF(B278=1,MIN(1,MAX(0,N(INDEX(Charge!$O:$O,ROW())))),0)</f>
        <v>0</v>
      </c>
      <c r="D278">
        <f>IF(B278=1,IF(OR(p_Perimetre="Tous les projets",C278&lt;1),1,0),0)</f>
        <v>0</v>
      </c>
      <c r="E278">
        <f>IF(D278=1,MAX(0,N(INDEX(Charge!$M:$M,ROW()))),0)</f>
        <v>0</v>
      </c>
      <c r="F278" t="str">
        <f>IF(D278=1,IF(TRIM(INDEX(Charge!$A:$A,ROW()))="","(non renseigné)",TRIM(INDEX(Charge!$A:$A,ROW()))),"")</f>
        <v/>
      </c>
      <c r="G278" t="str">
        <f>IF(D278=1,TRIM(INDEX(Charge!$B:$B,ROW())),"")</f>
        <v/>
      </c>
      <c r="H278" t="str">
        <f>IF(D278=1,IF(TRIM(INDEX(Charge!$E:$E,ROW()))="","(non renseigné)",TRIM(INDEX(Charge!$E:$E,ROW()))),"")</f>
        <v/>
      </c>
      <c r="I278" s="165" t="str">
        <f>IF(AND(D278=1,ISNUMBER(INDEX(Charge!$N:$N,ROW()))),INDEX(Charge!$N:$N,ROW()),"")</f>
        <v/>
      </c>
      <c r="J278" s="165" t="str">
        <f>IF(I278="","",IF(AND(p_Repartition="Lissée jusqu'à la date de besoin",ISNUMBER(INDEX(Charge!$F:$F,ROW()))),IF(INDEX(Charge!$F:$F,ROW())&gt;=I278,INDEX(Charge!$F:$F,ROW()),I278),I278))</f>
        <v/>
      </c>
      <c r="K278" t="str">
        <f>IF(I278="","",NETWORKDAYS(I278,J278,Data!$K$4:$K$203))</f>
        <v/>
      </c>
      <c r="L278" t="str">
        <f>IF(D278=1,COUNTIFS($D$4:$D$503,1,$E$4:$E$503,"&gt;"&amp;E278)+COUNTIFS($D$4:$D278,1,$E$4:$E278,E278),"")</f>
        <v/>
      </c>
      <c r="M278">
        <f>IF(F278="",0,IF(COUNTIF($F$4:F278,F278)=1,1,0))</f>
        <v>0</v>
      </c>
      <c r="N278" t="str">
        <f>IF(M278=1,ROUND(SUMIF($F$4:$F$503,F278,$E$4:$E$503),2),"")</f>
        <v/>
      </c>
      <c r="O278" t="str">
        <f>IF(M278=1,COUNTIFS($M$4:$M$503,1,$N$4:$N$503,"&gt;"&amp;N278)+COUNTIFS($M$4:M278,1,$N$4:N278,N278),"")</f>
        <v/>
      </c>
      <c r="P278">
        <f>IF(G278="",0,IF(COUNTIF($G$4:G278,G278)=1,1,0))</f>
        <v>0</v>
      </c>
      <c r="Q278" t="str">
        <f>IF(P278=1,ROUND(SUMIF($G$4:$G$503,G278,$E$4:$E$503),2),"")</f>
        <v/>
      </c>
      <c r="R278" t="str">
        <f>IF(P278=1,COUNTIFS($P$4:$P$503,1,$Q$4:$Q$503,"&gt;"&amp;Q278)+COUNTIFS($P$4:P278,1,$Q$4:Q278,Q278),"")</f>
        <v/>
      </c>
      <c r="S278">
        <f>IF(H278="",0,IF(COUNTIF($H$4:H278,H278)=1,1,0))</f>
        <v>0</v>
      </c>
      <c r="T278" t="str">
        <f>IF(S278=1,ROUND(SUMIF($H$4:$H$503,H278,$E$4:$E$503),2),"")</f>
        <v/>
      </c>
      <c r="U278" t="str">
        <f>IF(S278=1,COUNTIFS($S$4:$S$503,1,$T$4:$T$503,"&gt;"&amp;T278)+COUNTIFS($S$4:S278,1,$T$4:T278,T278),"")</f>
        <v/>
      </c>
      <c r="V278" t="str">
        <f>IF(D278=1,MIN(INDEX($R$4:$R$503,MATCH(G278,$G$4:$G$503,0)),IF($AL$7&gt;9,9,999)),"")</f>
        <v/>
      </c>
      <c r="W278" s="166">
        <f>IF(OR($I278="",$E278=0),0,IF(OR($J278&lt;W$3,$I278&gt;W$2),0,IF($K278=0,IF(AND($I278&gt;=W$3,$I278&lt;=W$2),$E278,0),$E278*NETWORKDAYS(MAX($I278,W$3),MIN($J278,W$2),Data!$K$4:$K$203)/$K278)))</f>
        <v>0</v>
      </c>
      <c r="X278" s="166">
        <f>IF(OR($I278="",$E278=0),0,IF(OR($J278&lt;X$3,$I278&gt;X$2),0,IF($K278=0,IF(AND($I278&gt;=X$3,$I278&lt;=X$2),$E278,0),$E278*NETWORKDAYS(MAX($I278,X$3),MIN($J278,X$2),Data!$K$4:$K$203)/$K278)))</f>
        <v>0</v>
      </c>
      <c r="Y278" s="166">
        <f>IF(OR($I278="",$E278=0),0,IF(OR($J278&lt;Y$3,$I278&gt;Y$2),0,IF($K278=0,IF(AND($I278&gt;=Y$3,$I278&lt;=Y$2),$E278,0),$E278*NETWORKDAYS(MAX($I278,Y$3),MIN($J278,Y$2),Data!$K$4:$K$203)/$K278)))</f>
        <v>0</v>
      </c>
      <c r="Z278" s="166">
        <f>IF(OR($I278="",$E278=0),0,IF(OR($J278&lt;Z$3,$I278&gt;Z$2),0,IF($K278=0,IF(AND($I278&gt;=Z$3,$I278&lt;=Z$2),$E278,0),$E278*NETWORKDAYS(MAX($I278,Z$3),MIN($J278,Z$2),Data!$K$4:$K$203)/$K278)))</f>
        <v>0</v>
      </c>
      <c r="AA278" s="166">
        <f>IF(OR($I278="",$E278=0),0,IF(OR($J278&lt;AA$3,$I278&gt;AA$2),0,IF($K278=0,IF(AND($I278&gt;=AA$3,$I278&lt;=AA$2),$E278,0),$E278*NETWORKDAYS(MAX($I278,AA$3),MIN($J278,AA$2),Data!$K$4:$K$203)/$K278)))</f>
        <v>0</v>
      </c>
      <c r="AB278" s="166">
        <f>IF(OR($I278="",$E278=0),0,IF(OR($J278&lt;AB$3,$I278&gt;AB$2),0,IF($K278=0,IF(AND($I278&gt;=AB$3,$I278&lt;=AB$2),$E278,0),$E278*NETWORKDAYS(MAX($I278,AB$3),MIN($J278,AB$2),Data!$K$4:$K$203)/$K278)))</f>
        <v>0</v>
      </c>
      <c r="AC278" s="166">
        <f>IF(OR($I278="",$E278=0),0,IF(OR($J278&lt;AC$3,$I278&gt;AC$2),0,IF($K278=0,IF(AND($I278&gt;=AC$3,$I278&lt;=AC$2),$E278,0),$E278*NETWORKDAYS(MAX($I278,AC$3),MIN($J278,AC$2),Data!$K$4:$K$203)/$K278)))</f>
        <v>0</v>
      </c>
      <c r="AD278" s="166">
        <f>IF(OR($I278="",$E278=0),0,IF(OR($J278&lt;AD$3,$I278&gt;AD$2),0,IF($K278=0,IF(AND($I278&gt;=AD$3,$I278&lt;=AD$2),$E278,0),$E278*NETWORKDAYS(MAX($I278,AD$3),MIN($J278,AD$2),Data!$K$4:$K$203)/$K278)))</f>
        <v>0</v>
      </c>
      <c r="AE278" s="166">
        <f>IF(OR($I278="",$E278=0),0,IF(OR($J278&lt;AE$3,$I278&gt;AE$2),0,IF($K278=0,IF(AND($I278&gt;=AE$3,$I278&lt;=AE$2),$E278,0),$E278*NETWORKDAYS(MAX($I278,AE$3),MIN($J278,AE$2),Data!$K$4:$K$203)/$K278)))</f>
        <v>0</v>
      </c>
      <c r="AF278" s="166">
        <f>IF(OR($I278="",$E278=0),0,IF(OR($J278&lt;AF$3,$I278&gt;AF$2),0,IF($K278=0,IF(AND($I278&gt;=AF$3,$I278&lt;=AF$2),$E278,0),$E278*NETWORKDAYS(MAX($I278,AF$3),MIN($J278,AF$2),Data!$K$4:$K$203)/$K278)))</f>
        <v>0</v>
      </c>
      <c r="AG278" s="166">
        <f>IF(OR($I278="",$E278=0),0,IF(OR($J278&lt;AG$3,$I278&gt;AG$2),0,IF($K278=0,IF(AND($I278&gt;=AG$3,$I278&lt;=AG$2),$E278,0),$E278*NETWORKDAYS(MAX($I278,AG$3),MIN($J278,AG$2),Data!$K$4:$K$203)/$K278)))</f>
        <v>0</v>
      </c>
      <c r="AH278" s="166">
        <f>IF(OR($I278="",$E278=0),0,IF(OR($J278&lt;AH$3,$I278&gt;AH$2),0,IF($K278=0,IF(AND($I278&gt;=AH$3,$I278&lt;=AH$2),$E278,0),$E278*NETWORKDAYS(MAX($I278,AH$3),MIN($J278,AH$2),Data!$K$4:$K$203)/$K278)))</f>
        <v>0</v>
      </c>
      <c r="AI278" s="166">
        <f>SUM(W278:AH278)</f>
        <v>0</v>
      </c>
      <c r="BZ278" t="str">
        <f>IF(D278=1,IF(TRIM(INDEX(Charge!$K:$K,ROW()))&lt;&gt;"",TRIM(INDEX(Charge!$K:$K,ROW())),IF(TRIM(INDEX(Charge!$L:$L,ROW()))&lt;&gt;"",TRIM(INDEX(Charge!$L:$L,ROW())),"(non affecté)")),"")</f>
        <v/>
      </c>
      <c r="CA278" t="str">
        <f>IF(AND($CD$4&lt;&gt;"",BZ278=$CD$4),COUNTIFS($BZ$4:$BZ$503,$CD$4,$L$4:$L$503,"&lt;"&amp;L278)+1,"")</f>
        <v/>
      </c>
      <c r="EM278" t="str">
        <f>IF(D278=1,IF(TRIM(INDEX(Charge!$K:$K,ROW()))&lt;&gt;"","Interne",IF(TRIM(INDEX(Charge!$L:$L,ROW()))&lt;&gt;"","Externe","Non affecté")),"")</f>
        <v/>
      </c>
      <c r="EN278" t="str">
        <f>IF(D278=1,LEFT(SUBSTITUTE(SUBSTITUTE(SUBSTITUTE(TRIM(SUBSTITUTE(INDEX(Charge!$B:$B,ROW()),CHAR(160)," "))&amp;" | "&amp;TRIM(SUBSTITUTE(INDEX(Charge!$C:$C,ROW()),CHAR(160)," "))&amp;" | "&amp;TRIM(SUBSTITUTE(INDEX(Charge!$D:$D,ROW()),CHAR(160)," ")),"~","-"),"*","+"),"?","!"),240),"")</f>
        <v/>
      </c>
      <c r="EO278">
        <f>IF(EN278="",0,IF(COUNTIF($EN$4:EN278,EN278)=1,1,0))</f>
        <v>0</v>
      </c>
      <c r="EP278" s="166" t="str">
        <f>IF(EO278=1,ROUND(SUMIF($EN$4:$EN$503,EN278,$E$4:$E$503),2),"")</f>
        <v/>
      </c>
      <c r="EQ278" t="str">
        <f>IF(EO278=1,COUNTIFS($EO$4:$EO$503,1,$EP$4:$EP$503,"&gt;"&amp;EP278)+COUNTIFS($EO$4:EO278,1,$EP$4:EP278,EP278),"")</f>
        <v/>
      </c>
      <c r="ER278" t="str">
        <f>IF(EO278=1,COUNTIFS($EN$4:$EN$503,EN278,$EM$4:$EM$503,"Interne",$FE$4:$FE$503,1),"")</f>
        <v/>
      </c>
      <c r="ES278" t="str">
        <f>IF(EO278=1,COUNTIFS($EN$4:$EN$503,EN278,$EM$4:$EM$503,"Externe",$FE$4:$FE$503,1),"")</f>
        <v/>
      </c>
      <c r="ET278" t="str">
        <f>IF(EO278=1,IF(ER278+ES278=0,"à affecter",IF(ER278=0,ES278&amp;" ext.",(ER278+ES278)&amp;IF(ES278&gt;0," dont "&amp;ES278&amp;" ext.",""))&amp;IF(COUNTIFS($EN$4:$EN$503,EN278,$EM$4:$EM$503,"Non affecté")&gt;0," + à affecter","")),"")</f>
        <v/>
      </c>
      <c r="EU278" s="170" t="str">
        <f>IF(EO278=1,IF(EP278&gt;0,SUMPRODUCT(($EN$4:$EN$503=EN278)*$E$4:$E$503*$C$4:$C$503)/EP278,AVERAGEIF($EN$4:$EN$503,EN278,$C$4:$C$503)),"")</f>
        <v/>
      </c>
      <c r="EV278" s="165">
        <f>IF(ISNUMBER(I278),I278,2958465)</f>
        <v>2958465.0</v>
      </c>
      <c r="EW278" s="165" t="str">
        <f>IF(EO278=1,SUMPRODUCT(MIN(($EN$4:$EN$503=EN278)*$EV$4:$EV$503+($EN$4:$EN$503&lt;&gt;EN278)*2958465)),"")</f>
        <v/>
      </c>
      <c r="EX278" s="165">
        <f>IF(AND(D278=1,ISNUMBER(INDEX(Charge!$F:$F,ROW()))),INDEX(Charge!$F:$F,ROW()),0)</f>
        <v>0.0</v>
      </c>
      <c r="EY278" s="165" t="str">
        <f>IF(EO278=1,SUMPRODUCT(MAX(($EN$4:$EN$503=EN278)*$EX$4:$EX$503)),"")</f>
        <v/>
      </c>
      <c r="FA278" t="str">
        <f>IF(275&lt;=$CD$23,INDEX($EJ$4:$EJ$203,275),IF(275-$CD$23&lt;=$CD$26,INDEX($EK$4:$EK$203,275-$CD$23),""))</f>
        <v/>
      </c>
      <c r="FB278" t="str">
        <f>IF(FA278="","",IF(275&lt;=$CD$23,"Interne","Externe"))</f>
        <v/>
      </c>
      <c r="FD278">
        <f>IF(AND(B278=1,TRIM(INDEX(Charge!$K:$K,ROW()))&lt;&gt;"",TRIM(INDEX(Charge!$L:$L,ROW()))&lt;&gt;""),1,0)</f>
        <v>0</v>
      </c>
      <c r="FE278">
        <f>IF(OR(EN278="",BZ278="(non affecté)"),0,IF(COUNTIFS($EN$4:EN278,EN278,$BZ$4:BZ278,BZ278)=1,1,0))</f>
        <v>0</v>
      </c>
    </row>
    <row r="279">
      <c r="A279">
        <f>ROW()</f>
        <v>279</v>
      </c>
      <c r="B279">
        <f>IF(TRIM(INDEX(Charge!$B:$B,ROW()))&lt;&gt;"",1,0)</f>
        <v>0</v>
      </c>
      <c r="C279">
        <f>IF(B279=1,MIN(1,MAX(0,N(INDEX(Charge!$O:$O,ROW())))),0)</f>
        <v>0</v>
      </c>
      <c r="D279">
        <f>IF(B279=1,IF(OR(p_Perimetre="Tous les projets",C279&lt;1),1,0),0)</f>
        <v>0</v>
      </c>
      <c r="E279">
        <f>IF(D279=1,MAX(0,N(INDEX(Charge!$M:$M,ROW()))),0)</f>
        <v>0</v>
      </c>
      <c r="F279" t="str">
        <f>IF(D279=1,IF(TRIM(INDEX(Charge!$A:$A,ROW()))="","(non renseigné)",TRIM(INDEX(Charge!$A:$A,ROW()))),"")</f>
        <v/>
      </c>
      <c r="G279" t="str">
        <f>IF(D279=1,TRIM(INDEX(Charge!$B:$B,ROW())),"")</f>
        <v/>
      </c>
      <c r="H279" t="str">
        <f>IF(D279=1,IF(TRIM(INDEX(Charge!$E:$E,ROW()))="","(non renseigné)",TRIM(INDEX(Charge!$E:$E,ROW()))),"")</f>
        <v/>
      </c>
      <c r="I279" s="165" t="str">
        <f>IF(AND(D279=1,ISNUMBER(INDEX(Charge!$N:$N,ROW()))),INDEX(Charge!$N:$N,ROW()),"")</f>
        <v/>
      </c>
      <c r="J279" s="165" t="str">
        <f>IF(I279="","",IF(AND(p_Repartition="Lissée jusqu'à la date de besoin",ISNUMBER(INDEX(Charge!$F:$F,ROW()))),IF(INDEX(Charge!$F:$F,ROW())&gt;=I279,INDEX(Charge!$F:$F,ROW()),I279),I279))</f>
        <v/>
      </c>
      <c r="K279" t="str">
        <f>IF(I279="","",NETWORKDAYS(I279,J279,Data!$K$4:$K$203))</f>
        <v/>
      </c>
      <c r="L279" t="str">
        <f>IF(D279=1,COUNTIFS($D$4:$D$503,1,$E$4:$E$503,"&gt;"&amp;E279)+COUNTIFS($D$4:$D279,1,$E$4:$E279,E279),"")</f>
        <v/>
      </c>
      <c r="M279">
        <f>IF(F279="",0,IF(COUNTIF($F$4:F279,F279)=1,1,0))</f>
        <v>0</v>
      </c>
      <c r="N279" t="str">
        <f>IF(M279=1,ROUND(SUMIF($F$4:$F$503,F279,$E$4:$E$503),2),"")</f>
        <v/>
      </c>
      <c r="O279" t="str">
        <f>IF(M279=1,COUNTIFS($M$4:$M$503,1,$N$4:$N$503,"&gt;"&amp;N279)+COUNTIFS($M$4:M279,1,$N$4:N279,N279),"")</f>
        <v/>
      </c>
      <c r="P279">
        <f>IF(G279="",0,IF(COUNTIF($G$4:G279,G279)=1,1,0))</f>
        <v>0</v>
      </c>
      <c r="Q279" t="str">
        <f>IF(P279=1,ROUND(SUMIF($G$4:$G$503,G279,$E$4:$E$503),2),"")</f>
        <v/>
      </c>
      <c r="R279" t="str">
        <f>IF(P279=1,COUNTIFS($P$4:$P$503,1,$Q$4:$Q$503,"&gt;"&amp;Q279)+COUNTIFS($P$4:P279,1,$Q$4:Q279,Q279),"")</f>
        <v/>
      </c>
      <c r="S279">
        <f>IF(H279="",0,IF(COUNTIF($H$4:H279,H279)=1,1,0))</f>
        <v>0</v>
      </c>
      <c r="T279" t="str">
        <f>IF(S279=1,ROUND(SUMIF($H$4:$H$503,H279,$E$4:$E$503),2),"")</f>
        <v/>
      </c>
      <c r="U279" t="str">
        <f>IF(S279=1,COUNTIFS($S$4:$S$503,1,$T$4:$T$503,"&gt;"&amp;T279)+COUNTIFS($S$4:S279,1,$T$4:T279,T279),"")</f>
        <v/>
      </c>
      <c r="V279" t="str">
        <f>IF(D279=1,MIN(INDEX($R$4:$R$503,MATCH(G279,$G$4:$G$503,0)),IF($AL$7&gt;9,9,999)),"")</f>
        <v/>
      </c>
      <c r="W279" s="166">
        <f>IF(OR($I279="",$E279=0),0,IF(OR($J279&lt;W$3,$I279&gt;W$2),0,IF($K279=0,IF(AND($I279&gt;=W$3,$I279&lt;=W$2),$E279,0),$E279*NETWORKDAYS(MAX($I279,W$3),MIN($J279,W$2),Data!$K$4:$K$203)/$K279)))</f>
        <v>0</v>
      </c>
      <c r="X279" s="166">
        <f>IF(OR($I279="",$E279=0),0,IF(OR($J279&lt;X$3,$I279&gt;X$2),0,IF($K279=0,IF(AND($I279&gt;=X$3,$I279&lt;=X$2),$E279,0),$E279*NETWORKDAYS(MAX($I279,X$3),MIN($J279,X$2),Data!$K$4:$K$203)/$K279)))</f>
        <v>0</v>
      </c>
      <c r="Y279" s="166">
        <f>IF(OR($I279="",$E279=0),0,IF(OR($J279&lt;Y$3,$I279&gt;Y$2),0,IF($K279=0,IF(AND($I279&gt;=Y$3,$I279&lt;=Y$2),$E279,0),$E279*NETWORKDAYS(MAX($I279,Y$3),MIN($J279,Y$2),Data!$K$4:$K$203)/$K279)))</f>
        <v>0</v>
      </c>
      <c r="Z279" s="166">
        <f>IF(OR($I279="",$E279=0),0,IF(OR($J279&lt;Z$3,$I279&gt;Z$2),0,IF($K279=0,IF(AND($I279&gt;=Z$3,$I279&lt;=Z$2),$E279,0),$E279*NETWORKDAYS(MAX($I279,Z$3),MIN($J279,Z$2),Data!$K$4:$K$203)/$K279)))</f>
        <v>0</v>
      </c>
      <c r="AA279" s="166">
        <f>IF(OR($I279="",$E279=0),0,IF(OR($J279&lt;AA$3,$I279&gt;AA$2),0,IF($K279=0,IF(AND($I279&gt;=AA$3,$I279&lt;=AA$2),$E279,0),$E279*NETWORKDAYS(MAX($I279,AA$3),MIN($J279,AA$2),Data!$K$4:$K$203)/$K279)))</f>
        <v>0</v>
      </c>
      <c r="AB279" s="166">
        <f>IF(OR($I279="",$E279=0),0,IF(OR($J279&lt;AB$3,$I279&gt;AB$2),0,IF($K279=0,IF(AND($I279&gt;=AB$3,$I279&lt;=AB$2),$E279,0),$E279*NETWORKDAYS(MAX($I279,AB$3),MIN($J279,AB$2),Data!$K$4:$K$203)/$K279)))</f>
        <v>0</v>
      </c>
      <c r="AC279" s="166">
        <f>IF(OR($I279="",$E279=0),0,IF(OR($J279&lt;AC$3,$I279&gt;AC$2),0,IF($K279=0,IF(AND($I279&gt;=AC$3,$I279&lt;=AC$2),$E279,0),$E279*NETWORKDAYS(MAX($I279,AC$3),MIN($J279,AC$2),Data!$K$4:$K$203)/$K279)))</f>
        <v>0</v>
      </c>
      <c r="AD279" s="166">
        <f>IF(OR($I279="",$E279=0),0,IF(OR($J279&lt;AD$3,$I279&gt;AD$2),0,IF($K279=0,IF(AND($I279&gt;=AD$3,$I279&lt;=AD$2),$E279,0),$E279*NETWORKDAYS(MAX($I279,AD$3),MIN($J279,AD$2),Data!$K$4:$K$203)/$K279)))</f>
        <v>0</v>
      </c>
      <c r="AE279" s="166">
        <f>IF(OR($I279="",$E279=0),0,IF(OR($J279&lt;AE$3,$I279&gt;AE$2),0,IF($K279=0,IF(AND($I279&gt;=AE$3,$I279&lt;=AE$2),$E279,0),$E279*NETWORKDAYS(MAX($I279,AE$3),MIN($J279,AE$2),Data!$K$4:$K$203)/$K279)))</f>
        <v>0</v>
      </c>
      <c r="AF279" s="166">
        <f>IF(OR($I279="",$E279=0),0,IF(OR($J279&lt;AF$3,$I279&gt;AF$2),0,IF($K279=0,IF(AND($I279&gt;=AF$3,$I279&lt;=AF$2),$E279,0),$E279*NETWORKDAYS(MAX($I279,AF$3),MIN($J279,AF$2),Data!$K$4:$K$203)/$K279)))</f>
        <v>0</v>
      </c>
      <c r="AG279" s="166">
        <f>IF(OR($I279="",$E279=0),0,IF(OR($J279&lt;AG$3,$I279&gt;AG$2),0,IF($K279=0,IF(AND($I279&gt;=AG$3,$I279&lt;=AG$2),$E279,0),$E279*NETWORKDAYS(MAX($I279,AG$3),MIN($J279,AG$2),Data!$K$4:$K$203)/$K279)))</f>
        <v>0</v>
      </c>
      <c r="AH279" s="166">
        <f>IF(OR($I279="",$E279=0),0,IF(OR($J279&lt;AH$3,$I279&gt;AH$2),0,IF($K279=0,IF(AND($I279&gt;=AH$3,$I279&lt;=AH$2),$E279,0),$E279*NETWORKDAYS(MAX($I279,AH$3),MIN($J279,AH$2),Data!$K$4:$K$203)/$K279)))</f>
        <v>0</v>
      </c>
      <c r="AI279" s="166">
        <f>SUM(W279:AH279)</f>
        <v>0</v>
      </c>
      <c r="BZ279" t="str">
        <f>IF(D279=1,IF(TRIM(INDEX(Charge!$K:$K,ROW()))&lt;&gt;"",TRIM(INDEX(Charge!$K:$K,ROW())),IF(TRIM(INDEX(Charge!$L:$L,ROW()))&lt;&gt;"",TRIM(INDEX(Charge!$L:$L,ROW())),"(non affecté)")),"")</f>
        <v/>
      </c>
      <c r="CA279" t="str">
        <f>IF(AND($CD$4&lt;&gt;"",BZ279=$CD$4),COUNTIFS($BZ$4:$BZ$503,$CD$4,$L$4:$L$503,"&lt;"&amp;L279)+1,"")</f>
        <v/>
      </c>
      <c r="EM279" t="str">
        <f>IF(D279=1,IF(TRIM(INDEX(Charge!$K:$K,ROW()))&lt;&gt;"","Interne",IF(TRIM(INDEX(Charge!$L:$L,ROW()))&lt;&gt;"","Externe","Non affecté")),"")</f>
        <v/>
      </c>
      <c r="EN279" t="str">
        <f>IF(D279=1,LEFT(SUBSTITUTE(SUBSTITUTE(SUBSTITUTE(TRIM(SUBSTITUTE(INDEX(Charge!$B:$B,ROW()),CHAR(160)," "))&amp;" | "&amp;TRIM(SUBSTITUTE(INDEX(Charge!$C:$C,ROW()),CHAR(160)," "))&amp;" | "&amp;TRIM(SUBSTITUTE(INDEX(Charge!$D:$D,ROW()),CHAR(160)," ")),"~","-"),"*","+"),"?","!"),240),"")</f>
        <v/>
      </c>
      <c r="EO279">
        <f>IF(EN279="",0,IF(COUNTIF($EN$4:EN279,EN279)=1,1,0))</f>
        <v>0</v>
      </c>
      <c r="EP279" s="166" t="str">
        <f>IF(EO279=1,ROUND(SUMIF($EN$4:$EN$503,EN279,$E$4:$E$503),2),"")</f>
        <v/>
      </c>
      <c r="EQ279" t="str">
        <f>IF(EO279=1,COUNTIFS($EO$4:$EO$503,1,$EP$4:$EP$503,"&gt;"&amp;EP279)+COUNTIFS($EO$4:EO279,1,$EP$4:EP279,EP279),"")</f>
        <v/>
      </c>
      <c r="ER279" t="str">
        <f>IF(EO279=1,COUNTIFS($EN$4:$EN$503,EN279,$EM$4:$EM$503,"Interne",$FE$4:$FE$503,1),"")</f>
        <v/>
      </c>
      <c r="ES279" t="str">
        <f>IF(EO279=1,COUNTIFS($EN$4:$EN$503,EN279,$EM$4:$EM$503,"Externe",$FE$4:$FE$503,1),"")</f>
        <v/>
      </c>
      <c r="ET279" t="str">
        <f>IF(EO279=1,IF(ER279+ES279=0,"à affecter",IF(ER279=0,ES279&amp;" ext.",(ER279+ES279)&amp;IF(ES279&gt;0," dont "&amp;ES279&amp;" ext.",""))&amp;IF(COUNTIFS($EN$4:$EN$503,EN279,$EM$4:$EM$503,"Non affecté")&gt;0," + à affecter","")),"")</f>
        <v/>
      </c>
      <c r="EU279" s="170" t="str">
        <f>IF(EO279=1,IF(EP279&gt;0,SUMPRODUCT(($EN$4:$EN$503=EN279)*$E$4:$E$503*$C$4:$C$503)/EP279,AVERAGEIF($EN$4:$EN$503,EN279,$C$4:$C$503)),"")</f>
        <v/>
      </c>
      <c r="EV279" s="165">
        <f>IF(ISNUMBER(I279),I279,2958465)</f>
        <v>2958465.0</v>
      </c>
      <c r="EW279" s="165" t="str">
        <f>IF(EO279=1,SUMPRODUCT(MIN(($EN$4:$EN$503=EN279)*$EV$4:$EV$503+($EN$4:$EN$503&lt;&gt;EN279)*2958465)),"")</f>
        <v/>
      </c>
      <c r="EX279" s="165">
        <f>IF(AND(D279=1,ISNUMBER(INDEX(Charge!$F:$F,ROW()))),INDEX(Charge!$F:$F,ROW()),0)</f>
        <v>0.0</v>
      </c>
      <c r="EY279" s="165" t="str">
        <f>IF(EO279=1,SUMPRODUCT(MAX(($EN$4:$EN$503=EN279)*$EX$4:$EX$503)),"")</f>
        <v/>
      </c>
      <c r="FA279" t="str">
        <f>IF(276&lt;=$CD$23,INDEX($EJ$4:$EJ$203,276),IF(276-$CD$23&lt;=$CD$26,INDEX($EK$4:$EK$203,276-$CD$23),""))</f>
        <v/>
      </c>
      <c r="FB279" t="str">
        <f>IF(FA279="","",IF(276&lt;=$CD$23,"Interne","Externe"))</f>
        <v/>
      </c>
      <c r="FD279">
        <f>IF(AND(B279=1,TRIM(INDEX(Charge!$K:$K,ROW()))&lt;&gt;"",TRIM(INDEX(Charge!$L:$L,ROW()))&lt;&gt;""),1,0)</f>
        <v>0</v>
      </c>
      <c r="FE279">
        <f>IF(OR(EN279="",BZ279="(non affecté)"),0,IF(COUNTIFS($EN$4:EN279,EN279,$BZ$4:BZ279,BZ279)=1,1,0))</f>
        <v>0</v>
      </c>
    </row>
    <row r="280">
      <c r="A280">
        <f>ROW()</f>
        <v>280</v>
      </c>
      <c r="B280">
        <f>IF(TRIM(INDEX(Charge!$B:$B,ROW()))&lt;&gt;"",1,0)</f>
        <v>0</v>
      </c>
      <c r="C280">
        <f>IF(B280=1,MIN(1,MAX(0,N(INDEX(Charge!$O:$O,ROW())))),0)</f>
        <v>0</v>
      </c>
      <c r="D280">
        <f>IF(B280=1,IF(OR(p_Perimetre="Tous les projets",C280&lt;1),1,0),0)</f>
        <v>0</v>
      </c>
      <c r="E280">
        <f>IF(D280=1,MAX(0,N(INDEX(Charge!$M:$M,ROW()))),0)</f>
        <v>0</v>
      </c>
      <c r="F280" t="str">
        <f>IF(D280=1,IF(TRIM(INDEX(Charge!$A:$A,ROW()))="","(non renseigné)",TRIM(INDEX(Charge!$A:$A,ROW()))),"")</f>
        <v/>
      </c>
      <c r="G280" t="str">
        <f>IF(D280=1,TRIM(INDEX(Charge!$B:$B,ROW())),"")</f>
        <v/>
      </c>
      <c r="H280" t="str">
        <f>IF(D280=1,IF(TRIM(INDEX(Charge!$E:$E,ROW()))="","(non renseigné)",TRIM(INDEX(Charge!$E:$E,ROW()))),"")</f>
        <v/>
      </c>
      <c r="I280" s="165" t="str">
        <f>IF(AND(D280=1,ISNUMBER(INDEX(Charge!$N:$N,ROW()))),INDEX(Charge!$N:$N,ROW()),"")</f>
        <v/>
      </c>
      <c r="J280" s="165" t="str">
        <f>IF(I280="","",IF(AND(p_Repartition="Lissée jusqu'à la date de besoin",ISNUMBER(INDEX(Charge!$F:$F,ROW()))),IF(INDEX(Charge!$F:$F,ROW())&gt;=I280,INDEX(Charge!$F:$F,ROW()),I280),I280))</f>
        <v/>
      </c>
      <c r="K280" t="str">
        <f>IF(I280="","",NETWORKDAYS(I280,J280,Data!$K$4:$K$203))</f>
        <v/>
      </c>
      <c r="L280" t="str">
        <f>IF(D280=1,COUNTIFS($D$4:$D$503,1,$E$4:$E$503,"&gt;"&amp;E280)+COUNTIFS($D$4:$D280,1,$E$4:$E280,E280),"")</f>
        <v/>
      </c>
      <c r="M280">
        <f>IF(F280="",0,IF(COUNTIF($F$4:F280,F280)=1,1,0))</f>
        <v>0</v>
      </c>
      <c r="N280" t="str">
        <f>IF(M280=1,ROUND(SUMIF($F$4:$F$503,F280,$E$4:$E$503),2),"")</f>
        <v/>
      </c>
      <c r="O280" t="str">
        <f>IF(M280=1,COUNTIFS($M$4:$M$503,1,$N$4:$N$503,"&gt;"&amp;N280)+COUNTIFS($M$4:M280,1,$N$4:N280,N280),"")</f>
        <v/>
      </c>
      <c r="P280">
        <f>IF(G280="",0,IF(COUNTIF($G$4:G280,G280)=1,1,0))</f>
        <v>0</v>
      </c>
      <c r="Q280" t="str">
        <f>IF(P280=1,ROUND(SUMIF($G$4:$G$503,G280,$E$4:$E$503),2),"")</f>
        <v/>
      </c>
      <c r="R280" t="str">
        <f>IF(P280=1,COUNTIFS($P$4:$P$503,1,$Q$4:$Q$503,"&gt;"&amp;Q280)+COUNTIFS($P$4:P280,1,$Q$4:Q280,Q280),"")</f>
        <v/>
      </c>
      <c r="S280">
        <f>IF(H280="",0,IF(COUNTIF($H$4:H280,H280)=1,1,0))</f>
        <v>0</v>
      </c>
      <c r="T280" t="str">
        <f>IF(S280=1,ROUND(SUMIF($H$4:$H$503,H280,$E$4:$E$503),2),"")</f>
        <v/>
      </c>
      <c r="U280" t="str">
        <f>IF(S280=1,COUNTIFS($S$4:$S$503,1,$T$4:$T$503,"&gt;"&amp;T280)+COUNTIFS($S$4:S280,1,$T$4:T280,T280),"")</f>
        <v/>
      </c>
      <c r="V280" t="str">
        <f>IF(D280=1,MIN(INDEX($R$4:$R$503,MATCH(G280,$G$4:$G$503,0)),IF($AL$7&gt;9,9,999)),"")</f>
        <v/>
      </c>
      <c r="W280" s="166">
        <f>IF(OR($I280="",$E280=0),0,IF(OR($J280&lt;W$3,$I280&gt;W$2),0,IF($K280=0,IF(AND($I280&gt;=W$3,$I280&lt;=W$2),$E280,0),$E280*NETWORKDAYS(MAX($I280,W$3),MIN($J280,W$2),Data!$K$4:$K$203)/$K280)))</f>
        <v>0</v>
      </c>
      <c r="X280" s="166">
        <f>IF(OR($I280="",$E280=0),0,IF(OR($J280&lt;X$3,$I280&gt;X$2),0,IF($K280=0,IF(AND($I280&gt;=X$3,$I280&lt;=X$2),$E280,0),$E280*NETWORKDAYS(MAX($I280,X$3),MIN($J280,X$2),Data!$K$4:$K$203)/$K280)))</f>
        <v>0</v>
      </c>
      <c r="Y280" s="166">
        <f>IF(OR($I280="",$E280=0),0,IF(OR($J280&lt;Y$3,$I280&gt;Y$2),0,IF($K280=0,IF(AND($I280&gt;=Y$3,$I280&lt;=Y$2),$E280,0),$E280*NETWORKDAYS(MAX($I280,Y$3),MIN($J280,Y$2),Data!$K$4:$K$203)/$K280)))</f>
        <v>0</v>
      </c>
      <c r="Z280" s="166">
        <f>IF(OR($I280="",$E280=0),0,IF(OR($J280&lt;Z$3,$I280&gt;Z$2),0,IF($K280=0,IF(AND($I280&gt;=Z$3,$I280&lt;=Z$2),$E280,0),$E280*NETWORKDAYS(MAX($I280,Z$3),MIN($J280,Z$2),Data!$K$4:$K$203)/$K280)))</f>
        <v>0</v>
      </c>
      <c r="AA280" s="166">
        <f>IF(OR($I280="",$E280=0),0,IF(OR($J280&lt;AA$3,$I280&gt;AA$2),0,IF($K280=0,IF(AND($I280&gt;=AA$3,$I280&lt;=AA$2),$E280,0),$E280*NETWORKDAYS(MAX($I280,AA$3),MIN($J280,AA$2),Data!$K$4:$K$203)/$K280)))</f>
        <v>0</v>
      </c>
      <c r="AB280" s="166">
        <f>IF(OR($I280="",$E280=0),0,IF(OR($J280&lt;AB$3,$I280&gt;AB$2),0,IF($K280=0,IF(AND($I280&gt;=AB$3,$I280&lt;=AB$2),$E280,0),$E280*NETWORKDAYS(MAX($I280,AB$3),MIN($J280,AB$2),Data!$K$4:$K$203)/$K280)))</f>
        <v>0</v>
      </c>
      <c r="AC280" s="166">
        <f>IF(OR($I280="",$E280=0),0,IF(OR($J280&lt;AC$3,$I280&gt;AC$2),0,IF($K280=0,IF(AND($I280&gt;=AC$3,$I280&lt;=AC$2),$E280,0),$E280*NETWORKDAYS(MAX($I280,AC$3),MIN($J280,AC$2),Data!$K$4:$K$203)/$K280)))</f>
        <v>0</v>
      </c>
      <c r="AD280" s="166">
        <f>IF(OR($I280="",$E280=0),0,IF(OR($J280&lt;AD$3,$I280&gt;AD$2),0,IF($K280=0,IF(AND($I280&gt;=AD$3,$I280&lt;=AD$2),$E280,0),$E280*NETWORKDAYS(MAX($I280,AD$3),MIN($J280,AD$2),Data!$K$4:$K$203)/$K280)))</f>
        <v>0</v>
      </c>
      <c r="AE280" s="166">
        <f>IF(OR($I280="",$E280=0),0,IF(OR($J280&lt;AE$3,$I280&gt;AE$2),0,IF($K280=0,IF(AND($I280&gt;=AE$3,$I280&lt;=AE$2),$E280,0),$E280*NETWORKDAYS(MAX($I280,AE$3),MIN($J280,AE$2),Data!$K$4:$K$203)/$K280)))</f>
        <v>0</v>
      </c>
      <c r="AF280" s="166">
        <f>IF(OR($I280="",$E280=0),0,IF(OR($J280&lt;AF$3,$I280&gt;AF$2),0,IF($K280=0,IF(AND($I280&gt;=AF$3,$I280&lt;=AF$2),$E280,0),$E280*NETWORKDAYS(MAX($I280,AF$3),MIN($J280,AF$2),Data!$K$4:$K$203)/$K280)))</f>
        <v>0</v>
      </c>
      <c r="AG280" s="166">
        <f>IF(OR($I280="",$E280=0),0,IF(OR($J280&lt;AG$3,$I280&gt;AG$2),0,IF($K280=0,IF(AND($I280&gt;=AG$3,$I280&lt;=AG$2),$E280,0),$E280*NETWORKDAYS(MAX($I280,AG$3),MIN($J280,AG$2),Data!$K$4:$K$203)/$K280)))</f>
        <v>0</v>
      </c>
      <c r="AH280" s="166">
        <f>IF(OR($I280="",$E280=0),0,IF(OR($J280&lt;AH$3,$I280&gt;AH$2),0,IF($K280=0,IF(AND($I280&gt;=AH$3,$I280&lt;=AH$2),$E280,0),$E280*NETWORKDAYS(MAX($I280,AH$3),MIN($J280,AH$2),Data!$K$4:$K$203)/$K280)))</f>
        <v>0</v>
      </c>
      <c r="AI280" s="166">
        <f>SUM(W280:AH280)</f>
        <v>0</v>
      </c>
      <c r="BZ280" t="str">
        <f>IF(D280=1,IF(TRIM(INDEX(Charge!$K:$K,ROW()))&lt;&gt;"",TRIM(INDEX(Charge!$K:$K,ROW())),IF(TRIM(INDEX(Charge!$L:$L,ROW()))&lt;&gt;"",TRIM(INDEX(Charge!$L:$L,ROW())),"(non affecté)")),"")</f>
        <v/>
      </c>
      <c r="CA280" t="str">
        <f>IF(AND($CD$4&lt;&gt;"",BZ280=$CD$4),COUNTIFS($BZ$4:$BZ$503,$CD$4,$L$4:$L$503,"&lt;"&amp;L280)+1,"")</f>
        <v/>
      </c>
      <c r="EM280" t="str">
        <f>IF(D280=1,IF(TRIM(INDEX(Charge!$K:$K,ROW()))&lt;&gt;"","Interne",IF(TRIM(INDEX(Charge!$L:$L,ROW()))&lt;&gt;"","Externe","Non affecté")),"")</f>
        <v/>
      </c>
      <c r="EN280" t="str">
        <f>IF(D280=1,LEFT(SUBSTITUTE(SUBSTITUTE(SUBSTITUTE(TRIM(SUBSTITUTE(INDEX(Charge!$B:$B,ROW()),CHAR(160)," "))&amp;" | "&amp;TRIM(SUBSTITUTE(INDEX(Charge!$C:$C,ROW()),CHAR(160)," "))&amp;" | "&amp;TRIM(SUBSTITUTE(INDEX(Charge!$D:$D,ROW()),CHAR(160)," ")),"~","-"),"*","+"),"?","!"),240),"")</f>
        <v/>
      </c>
      <c r="EO280">
        <f>IF(EN280="",0,IF(COUNTIF($EN$4:EN280,EN280)=1,1,0))</f>
        <v>0</v>
      </c>
      <c r="EP280" s="166" t="str">
        <f>IF(EO280=1,ROUND(SUMIF($EN$4:$EN$503,EN280,$E$4:$E$503),2),"")</f>
        <v/>
      </c>
      <c r="EQ280" t="str">
        <f>IF(EO280=1,COUNTIFS($EO$4:$EO$503,1,$EP$4:$EP$503,"&gt;"&amp;EP280)+COUNTIFS($EO$4:EO280,1,$EP$4:EP280,EP280),"")</f>
        <v/>
      </c>
      <c r="ER280" t="str">
        <f>IF(EO280=1,COUNTIFS($EN$4:$EN$503,EN280,$EM$4:$EM$503,"Interne",$FE$4:$FE$503,1),"")</f>
        <v/>
      </c>
      <c r="ES280" t="str">
        <f>IF(EO280=1,COUNTIFS($EN$4:$EN$503,EN280,$EM$4:$EM$503,"Externe",$FE$4:$FE$503,1),"")</f>
        <v/>
      </c>
      <c r="ET280" t="str">
        <f>IF(EO280=1,IF(ER280+ES280=0,"à affecter",IF(ER280=0,ES280&amp;" ext.",(ER280+ES280)&amp;IF(ES280&gt;0," dont "&amp;ES280&amp;" ext.",""))&amp;IF(COUNTIFS($EN$4:$EN$503,EN280,$EM$4:$EM$503,"Non affecté")&gt;0," + à affecter","")),"")</f>
        <v/>
      </c>
      <c r="EU280" s="170" t="str">
        <f>IF(EO280=1,IF(EP280&gt;0,SUMPRODUCT(($EN$4:$EN$503=EN280)*$E$4:$E$503*$C$4:$C$503)/EP280,AVERAGEIF($EN$4:$EN$503,EN280,$C$4:$C$503)),"")</f>
        <v/>
      </c>
      <c r="EV280" s="165">
        <f>IF(ISNUMBER(I280),I280,2958465)</f>
        <v>2958465.0</v>
      </c>
      <c r="EW280" s="165" t="str">
        <f>IF(EO280=1,SUMPRODUCT(MIN(($EN$4:$EN$503=EN280)*$EV$4:$EV$503+($EN$4:$EN$503&lt;&gt;EN280)*2958465)),"")</f>
        <v/>
      </c>
      <c r="EX280" s="165">
        <f>IF(AND(D280=1,ISNUMBER(INDEX(Charge!$F:$F,ROW()))),INDEX(Charge!$F:$F,ROW()),0)</f>
        <v>0.0</v>
      </c>
      <c r="EY280" s="165" t="str">
        <f>IF(EO280=1,SUMPRODUCT(MAX(($EN$4:$EN$503=EN280)*$EX$4:$EX$503)),"")</f>
        <v/>
      </c>
      <c r="FA280" t="str">
        <f>IF(277&lt;=$CD$23,INDEX($EJ$4:$EJ$203,277),IF(277-$CD$23&lt;=$CD$26,INDEX($EK$4:$EK$203,277-$CD$23),""))</f>
        <v/>
      </c>
      <c r="FB280" t="str">
        <f>IF(FA280="","",IF(277&lt;=$CD$23,"Interne","Externe"))</f>
        <v/>
      </c>
      <c r="FD280">
        <f>IF(AND(B280=1,TRIM(INDEX(Charge!$K:$K,ROW()))&lt;&gt;"",TRIM(INDEX(Charge!$L:$L,ROW()))&lt;&gt;""),1,0)</f>
        <v>0</v>
      </c>
      <c r="FE280">
        <f>IF(OR(EN280="",BZ280="(non affecté)"),0,IF(COUNTIFS($EN$4:EN280,EN280,$BZ$4:BZ280,BZ280)=1,1,0))</f>
        <v>0</v>
      </c>
    </row>
    <row r="281">
      <c r="A281">
        <f>ROW()</f>
        <v>281</v>
      </c>
      <c r="B281">
        <f>IF(TRIM(INDEX(Charge!$B:$B,ROW()))&lt;&gt;"",1,0)</f>
        <v>0</v>
      </c>
      <c r="C281">
        <f>IF(B281=1,MIN(1,MAX(0,N(INDEX(Charge!$O:$O,ROW())))),0)</f>
        <v>0</v>
      </c>
      <c r="D281">
        <f>IF(B281=1,IF(OR(p_Perimetre="Tous les projets",C281&lt;1),1,0),0)</f>
        <v>0</v>
      </c>
      <c r="E281">
        <f>IF(D281=1,MAX(0,N(INDEX(Charge!$M:$M,ROW()))),0)</f>
        <v>0</v>
      </c>
      <c r="F281" t="str">
        <f>IF(D281=1,IF(TRIM(INDEX(Charge!$A:$A,ROW()))="","(non renseigné)",TRIM(INDEX(Charge!$A:$A,ROW()))),"")</f>
        <v/>
      </c>
      <c r="G281" t="str">
        <f>IF(D281=1,TRIM(INDEX(Charge!$B:$B,ROW())),"")</f>
        <v/>
      </c>
      <c r="H281" t="str">
        <f>IF(D281=1,IF(TRIM(INDEX(Charge!$E:$E,ROW()))="","(non renseigné)",TRIM(INDEX(Charge!$E:$E,ROW()))),"")</f>
        <v/>
      </c>
      <c r="I281" s="165" t="str">
        <f>IF(AND(D281=1,ISNUMBER(INDEX(Charge!$N:$N,ROW()))),INDEX(Charge!$N:$N,ROW()),"")</f>
        <v/>
      </c>
      <c r="J281" s="165" t="str">
        <f>IF(I281="","",IF(AND(p_Repartition="Lissée jusqu'à la date de besoin",ISNUMBER(INDEX(Charge!$F:$F,ROW()))),IF(INDEX(Charge!$F:$F,ROW())&gt;=I281,INDEX(Charge!$F:$F,ROW()),I281),I281))</f>
        <v/>
      </c>
      <c r="K281" t="str">
        <f>IF(I281="","",NETWORKDAYS(I281,J281,Data!$K$4:$K$203))</f>
        <v/>
      </c>
      <c r="L281" t="str">
        <f>IF(D281=1,COUNTIFS($D$4:$D$503,1,$E$4:$E$503,"&gt;"&amp;E281)+COUNTIFS($D$4:$D281,1,$E$4:$E281,E281),"")</f>
        <v/>
      </c>
      <c r="M281">
        <f>IF(F281="",0,IF(COUNTIF($F$4:F281,F281)=1,1,0))</f>
        <v>0</v>
      </c>
      <c r="N281" t="str">
        <f>IF(M281=1,ROUND(SUMIF($F$4:$F$503,F281,$E$4:$E$503),2),"")</f>
        <v/>
      </c>
      <c r="O281" t="str">
        <f>IF(M281=1,COUNTIFS($M$4:$M$503,1,$N$4:$N$503,"&gt;"&amp;N281)+COUNTIFS($M$4:M281,1,$N$4:N281,N281),"")</f>
        <v/>
      </c>
      <c r="P281">
        <f>IF(G281="",0,IF(COUNTIF($G$4:G281,G281)=1,1,0))</f>
        <v>0</v>
      </c>
      <c r="Q281" t="str">
        <f>IF(P281=1,ROUND(SUMIF($G$4:$G$503,G281,$E$4:$E$503),2),"")</f>
        <v/>
      </c>
      <c r="R281" t="str">
        <f>IF(P281=1,COUNTIFS($P$4:$P$503,1,$Q$4:$Q$503,"&gt;"&amp;Q281)+COUNTIFS($P$4:P281,1,$Q$4:Q281,Q281),"")</f>
        <v/>
      </c>
      <c r="S281">
        <f>IF(H281="",0,IF(COUNTIF($H$4:H281,H281)=1,1,0))</f>
        <v>0</v>
      </c>
      <c r="T281" t="str">
        <f>IF(S281=1,ROUND(SUMIF($H$4:$H$503,H281,$E$4:$E$503),2),"")</f>
        <v/>
      </c>
      <c r="U281" t="str">
        <f>IF(S281=1,COUNTIFS($S$4:$S$503,1,$T$4:$T$503,"&gt;"&amp;T281)+COUNTIFS($S$4:S281,1,$T$4:T281,T281),"")</f>
        <v/>
      </c>
      <c r="V281" t="str">
        <f>IF(D281=1,MIN(INDEX($R$4:$R$503,MATCH(G281,$G$4:$G$503,0)),IF($AL$7&gt;9,9,999)),"")</f>
        <v/>
      </c>
      <c r="W281" s="166">
        <f>IF(OR($I281="",$E281=0),0,IF(OR($J281&lt;W$3,$I281&gt;W$2),0,IF($K281=0,IF(AND($I281&gt;=W$3,$I281&lt;=W$2),$E281,0),$E281*NETWORKDAYS(MAX($I281,W$3),MIN($J281,W$2),Data!$K$4:$K$203)/$K281)))</f>
        <v>0</v>
      </c>
      <c r="X281" s="166">
        <f>IF(OR($I281="",$E281=0),0,IF(OR($J281&lt;X$3,$I281&gt;X$2),0,IF($K281=0,IF(AND($I281&gt;=X$3,$I281&lt;=X$2),$E281,0),$E281*NETWORKDAYS(MAX($I281,X$3),MIN($J281,X$2),Data!$K$4:$K$203)/$K281)))</f>
        <v>0</v>
      </c>
      <c r="Y281" s="166">
        <f>IF(OR($I281="",$E281=0),0,IF(OR($J281&lt;Y$3,$I281&gt;Y$2),0,IF($K281=0,IF(AND($I281&gt;=Y$3,$I281&lt;=Y$2),$E281,0),$E281*NETWORKDAYS(MAX($I281,Y$3),MIN($J281,Y$2),Data!$K$4:$K$203)/$K281)))</f>
        <v>0</v>
      </c>
      <c r="Z281" s="166">
        <f>IF(OR($I281="",$E281=0),0,IF(OR($J281&lt;Z$3,$I281&gt;Z$2),0,IF($K281=0,IF(AND($I281&gt;=Z$3,$I281&lt;=Z$2),$E281,0),$E281*NETWORKDAYS(MAX($I281,Z$3),MIN($J281,Z$2),Data!$K$4:$K$203)/$K281)))</f>
        <v>0</v>
      </c>
      <c r="AA281" s="166">
        <f>IF(OR($I281="",$E281=0),0,IF(OR($J281&lt;AA$3,$I281&gt;AA$2),0,IF($K281=0,IF(AND($I281&gt;=AA$3,$I281&lt;=AA$2),$E281,0),$E281*NETWORKDAYS(MAX($I281,AA$3),MIN($J281,AA$2),Data!$K$4:$K$203)/$K281)))</f>
        <v>0</v>
      </c>
      <c r="AB281" s="166">
        <f>IF(OR($I281="",$E281=0),0,IF(OR($J281&lt;AB$3,$I281&gt;AB$2),0,IF($K281=0,IF(AND($I281&gt;=AB$3,$I281&lt;=AB$2),$E281,0),$E281*NETWORKDAYS(MAX($I281,AB$3),MIN($J281,AB$2),Data!$K$4:$K$203)/$K281)))</f>
        <v>0</v>
      </c>
      <c r="AC281" s="166">
        <f>IF(OR($I281="",$E281=0),0,IF(OR($J281&lt;AC$3,$I281&gt;AC$2),0,IF($K281=0,IF(AND($I281&gt;=AC$3,$I281&lt;=AC$2),$E281,0),$E281*NETWORKDAYS(MAX($I281,AC$3),MIN($J281,AC$2),Data!$K$4:$K$203)/$K281)))</f>
        <v>0</v>
      </c>
      <c r="AD281" s="166">
        <f>IF(OR($I281="",$E281=0),0,IF(OR($J281&lt;AD$3,$I281&gt;AD$2),0,IF($K281=0,IF(AND($I281&gt;=AD$3,$I281&lt;=AD$2),$E281,0),$E281*NETWORKDAYS(MAX($I281,AD$3),MIN($J281,AD$2),Data!$K$4:$K$203)/$K281)))</f>
        <v>0</v>
      </c>
      <c r="AE281" s="166">
        <f>IF(OR($I281="",$E281=0),0,IF(OR($J281&lt;AE$3,$I281&gt;AE$2),0,IF($K281=0,IF(AND($I281&gt;=AE$3,$I281&lt;=AE$2),$E281,0),$E281*NETWORKDAYS(MAX($I281,AE$3),MIN($J281,AE$2),Data!$K$4:$K$203)/$K281)))</f>
        <v>0</v>
      </c>
      <c r="AF281" s="166">
        <f>IF(OR($I281="",$E281=0),0,IF(OR($J281&lt;AF$3,$I281&gt;AF$2),0,IF($K281=0,IF(AND($I281&gt;=AF$3,$I281&lt;=AF$2),$E281,0),$E281*NETWORKDAYS(MAX($I281,AF$3),MIN($J281,AF$2),Data!$K$4:$K$203)/$K281)))</f>
        <v>0</v>
      </c>
      <c r="AG281" s="166">
        <f>IF(OR($I281="",$E281=0),0,IF(OR($J281&lt;AG$3,$I281&gt;AG$2),0,IF($K281=0,IF(AND($I281&gt;=AG$3,$I281&lt;=AG$2),$E281,0),$E281*NETWORKDAYS(MAX($I281,AG$3),MIN($J281,AG$2),Data!$K$4:$K$203)/$K281)))</f>
        <v>0</v>
      </c>
      <c r="AH281" s="166">
        <f>IF(OR($I281="",$E281=0),0,IF(OR($J281&lt;AH$3,$I281&gt;AH$2),0,IF($K281=0,IF(AND($I281&gt;=AH$3,$I281&lt;=AH$2),$E281,0),$E281*NETWORKDAYS(MAX($I281,AH$3),MIN($J281,AH$2),Data!$K$4:$K$203)/$K281)))</f>
        <v>0</v>
      </c>
      <c r="AI281" s="166">
        <f>SUM(W281:AH281)</f>
        <v>0</v>
      </c>
      <c r="BZ281" t="str">
        <f>IF(D281=1,IF(TRIM(INDEX(Charge!$K:$K,ROW()))&lt;&gt;"",TRIM(INDEX(Charge!$K:$K,ROW())),IF(TRIM(INDEX(Charge!$L:$L,ROW()))&lt;&gt;"",TRIM(INDEX(Charge!$L:$L,ROW())),"(non affecté)")),"")</f>
        <v/>
      </c>
      <c r="CA281" t="str">
        <f>IF(AND($CD$4&lt;&gt;"",BZ281=$CD$4),COUNTIFS($BZ$4:$BZ$503,$CD$4,$L$4:$L$503,"&lt;"&amp;L281)+1,"")</f>
        <v/>
      </c>
      <c r="EM281" t="str">
        <f>IF(D281=1,IF(TRIM(INDEX(Charge!$K:$K,ROW()))&lt;&gt;"","Interne",IF(TRIM(INDEX(Charge!$L:$L,ROW()))&lt;&gt;"","Externe","Non affecté")),"")</f>
        <v/>
      </c>
      <c r="EN281" t="str">
        <f>IF(D281=1,LEFT(SUBSTITUTE(SUBSTITUTE(SUBSTITUTE(TRIM(SUBSTITUTE(INDEX(Charge!$B:$B,ROW()),CHAR(160)," "))&amp;" | "&amp;TRIM(SUBSTITUTE(INDEX(Charge!$C:$C,ROW()),CHAR(160)," "))&amp;" | "&amp;TRIM(SUBSTITUTE(INDEX(Charge!$D:$D,ROW()),CHAR(160)," ")),"~","-"),"*","+"),"?","!"),240),"")</f>
        <v/>
      </c>
      <c r="EO281">
        <f>IF(EN281="",0,IF(COUNTIF($EN$4:EN281,EN281)=1,1,0))</f>
        <v>0</v>
      </c>
      <c r="EP281" s="166" t="str">
        <f>IF(EO281=1,ROUND(SUMIF($EN$4:$EN$503,EN281,$E$4:$E$503),2),"")</f>
        <v/>
      </c>
      <c r="EQ281" t="str">
        <f>IF(EO281=1,COUNTIFS($EO$4:$EO$503,1,$EP$4:$EP$503,"&gt;"&amp;EP281)+COUNTIFS($EO$4:EO281,1,$EP$4:EP281,EP281),"")</f>
        <v/>
      </c>
      <c r="ER281" t="str">
        <f>IF(EO281=1,COUNTIFS($EN$4:$EN$503,EN281,$EM$4:$EM$503,"Interne",$FE$4:$FE$503,1),"")</f>
        <v/>
      </c>
      <c r="ES281" t="str">
        <f>IF(EO281=1,COUNTIFS($EN$4:$EN$503,EN281,$EM$4:$EM$503,"Externe",$FE$4:$FE$503,1),"")</f>
        <v/>
      </c>
      <c r="ET281" t="str">
        <f>IF(EO281=1,IF(ER281+ES281=0,"à affecter",IF(ER281=0,ES281&amp;" ext.",(ER281+ES281)&amp;IF(ES281&gt;0," dont "&amp;ES281&amp;" ext.",""))&amp;IF(COUNTIFS($EN$4:$EN$503,EN281,$EM$4:$EM$503,"Non affecté")&gt;0," + à affecter","")),"")</f>
        <v/>
      </c>
      <c r="EU281" s="170" t="str">
        <f>IF(EO281=1,IF(EP281&gt;0,SUMPRODUCT(($EN$4:$EN$503=EN281)*$E$4:$E$503*$C$4:$C$503)/EP281,AVERAGEIF($EN$4:$EN$503,EN281,$C$4:$C$503)),"")</f>
        <v/>
      </c>
      <c r="EV281" s="165">
        <f>IF(ISNUMBER(I281),I281,2958465)</f>
        <v>2958465.0</v>
      </c>
      <c r="EW281" s="165" t="str">
        <f>IF(EO281=1,SUMPRODUCT(MIN(($EN$4:$EN$503=EN281)*$EV$4:$EV$503+($EN$4:$EN$503&lt;&gt;EN281)*2958465)),"")</f>
        <v/>
      </c>
      <c r="EX281" s="165">
        <f>IF(AND(D281=1,ISNUMBER(INDEX(Charge!$F:$F,ROW()))),INDEX(Charge!$F:$F,ROW()),0)</f>
        <v>0.0</v>
      </c>
      <c r="EY281" s="165" t="str">
        <f>IF(EO281=1,SUMPRODUCT(MAX(($EN$4:$EN$503=EN281)*$EX$4:$EX$503)),"")</f>
        <v/>
      </c>
      <c r="FA281" t="str">
        <f>IF(278&lt;=$CD$23,INDEX($EJ$4:$EJ$203,278),IF(278-$CD$23&lt;=$CD$26,INDEX($EK$4:$EK$203,278-$CD$23),""))</f>
        <v/>
      </c>
      <c r="FB281" t="str">
        <f>IF(FA281="","",IF(278&lt;=$CD$23,"Interne","Externe"))</f>
        <v/>
      </c>
      <c r="FD281">
        <f>IF(AND(B281=1,TRIM(INDEX(Charge!$K:$K,ROW()))&lt;&gt;"",TRIM(INDEX(Charge!$L:$L,ROW()))&lt;&gt;""),1,0)</f>
        <v>0</v>
      </c>
      <c r="FE281">
        <f>IF(OR(EN281="",BZ281="(non affecté)"),0,IF(COUNTIFS($EN$4:EN281,EN281,$BZ$4:BZ281,BZ281)=1,1,0))</f>
        <v>0</v>
      </c>
    </row>
    <row r="282">
      <c r="A282">
        <f>ROW()</f>
        <v>282</v>
      </c>
      <c r="B282">
        <f>IF(TRIM(INDEX(Charge!$B:$B,ROW()))&lt;&gt;"",1,0)</f>
        <v>0</v>
      </c>
      <c r="C282">
        <f>IF(B282=1,MIN(1,MAX(0,N(INDEX(Charge!$O:$O,ROW())))),0)</f>
        <v>0</v>
      </c>
      <c r="D282">
        <f>IF(B282=1,IF(OR(p_Perimetre="Tous les projets",C282&lt;1),1,0),0)</f>
        <v>0</v>
      </c>
      <c r="E282">
        <f>IF(D282=1,MAX(0,N(INDEX(Charge!$M:$M,ROW()))),0)</f>
        <v>0</v>
      </c>
      <c r="F282" t="str">
        <f>IF(D282=1,IF(TRIM(INDEX(Charge!$A:$A,ROW()))="","(non renseigné)",TRIM(INDEX(Charge!$A:$A,ROW()))),"")</f>
        <v/>
      </c>
      <c r="G282" t="str">
        <f>IF(D282=1,TRIM(INDEX(Charge!$B:$B,ROW())),"")</f>
        <v/>
      </c>
      <c r="H282" t="str">
        <f>IF(D282=1,IF(TRIM(INDEX(Charge!$E:$E,ROW()))="","(non renseigné)",TRIM(INDEX(Charge!$E:$E,ROW()))),"")</f>
        <v/>
      </c>
      <c r="I282" s="165" t="str">
        <f>IF(AND(D282=1,ISNUMBER(INDEX(Charge!$N:$N,ROW()))),INDEX(Charge!$N:$N,ROW()),"")</f>
        <v/>
      </c>
      <c r="J282" s="165" t="str">
        <f>IF(I282="","",IF(AND(p_Repartition="Lissée jusqu'à la date de besoin",ISNUMBER(INDEX(Charge!$F:$F,ROW()))),IF(INDEX(Charge!$F:$F,ROW())&gt;=I282,INDEX(Charge!$F:$F,ROW()),I282),I282))</f>
        <v/>
      </c>
      <c r="K282" t="str">
        <f>IF(I282="","",NETWORKDAYS(I282,J282,Data!$K$4:$K$203))</f>
        <v/>
      </c>
      <c r="L282" t="str">
        <f>IF(D282=1,COUNTIFS($D$4:$D$503,1,$E$4:$E$503,"&gt;"&amp;E282)+COUNTIFS($D$4:$D282,1,$E$4:$E282,E282),"")</f>
        <v/>
      </c>
      <c r="M282">
        <f>IF(F282="",0,IF(COUNTIF($F$4:F282,F282)=1,1,0))</f>
        <v>0</v>
      </c>
      <c r="N282" t="str">
        <f>IF(M282=1,ROUND(SUMIF($F$4:$F$503,F282,$E$4:$E$503),2),"")</f>
        <v/>
      </c>
      <c r="O282" t="str">
        <f>IF(M282=1,COUNTIFS($M$4:$M$503,1,$N$4:$N$503,"&gt;"&amp;N282)+COUNTIFS($M$4:M282,1,$N$4:N282,N282),"")</f>
        <v/>
      </c>
      <c r="P282">
        <f>IF(G282="",0,IF(COUNTIF($G$4:G282,G282)=1,1,0))</f>
        <v>0</v>
      </c>
      <c r="Q282" t="str">
        <f>IF(P282=1,ROUND(SUMIF($G$4:$G$503,G282,$E$4:$E$503),2),"")</f>
        <v/>
      </c>
      <c r="R282" t="str">
        <f>IF(P282=1,COUNTIFS($P$4:$P$503,1,$Q$4:$Q$503,"&gt;"&amp;Q282)+COUNTIFS($P$4:P282,1,$Q$4:Q282,Q282),"")</f>
        <v/>
      </c>
      <c r="S282">
        <f>IF(H282="",0,IF(COUNTIF($H$4:H282,H282)=1,1,0))</f>
        <v>0</v>
      </c>
      <c r="T282" t="str">
        <f>IF(S282=1,ROUND(SUMIF($H$4:$H$503,H282,$E$4:$E$503),2),"")</f>
        <v/>
      </c>
      <c r="U282" t="str">
        <f>IF(S282=1,COUNTIFS($S$4:$S$503,1,$T$4:$T$503,"&gt;"&amp;T282)+COUNTIFS($S$4:S282,1,$T$4:T282,T282),"")</f>
        <v/>
      </c>
      <c r="V282" t="str">
        <f>IF(D282=1,MIN(INDEX($R$4:$R$503,MATCH(G282,$G$4:$G$503,0)),IF($AL$7&gt;9,9,999)),"")</f>
        <v/>
      </c>
      <c r="W282" s="166">
        <f>IF(OR($I282="",$E282=0),0,IF(OR($J282&lt;W$3,$I282&gt;W$2),0,IF($K282=0,IF(AND($I282&gt;=W$3,$I282&lt;=W$2),$E282,0),$E282*NETWORKDAYS(MAX($I282,W$3),MIN($J282,W$2),Data!$K$4:$K$203)/$K282)))</f>
        <v>0</v>
      </c>
      <c r="X282" s="166">
        <f>IF(OR($I282="",$E282=0),0,IF(OR($J282&lt;X$3,$I282&gt;X$2),0,IF($K282=0,IF(AND($I282&gt;=X$3,$I282&lt;=X$2),$E282,0),$E282*NETWORKDAYS(MAX($I282,X$3),MIN($J282,X$2),Data!$K$4:$K$203)/$K282)))</f>
        <v>0</v>
      </c>
      <c r="Y282" s="166">
        <f>IF(OR($I282="",$E282=0),0,IF(OR($J282&lt;Y$3,$I282&gt;Y$2),0,IF($K282=0,IF(AND($I282&gt;=Y$3,$I282&lt;=Y$2),$E282,0),$E282*NETWORKDAYS(MAX($I282,Y$3),MIN($J282,Y$2),Data!$K$4:$K$203)/$K282)))</f>
        <v>0</v>
      </c>
      <c r="Z282" s="166">
        <f>IF(OR($I282="",$E282=0),0,IF(OR($J282&lt;Z$3,$I282&gt;Z$2),0,IF($K282=0,IF(AND($I282&gt;=Z$3,$I282&lt;=Z$2),$E282,0),$E282*NETWORKDAYS(MAX($I282,Z$3),MIN($J282,Z$2),Data!$K$4:$K$203)/$K282)))</f>
        <v>0</v>
      </c>
      <c r="AA282" s="166">
        <f>IF(OR($I282="",$E282=0),0,IF(OR($J282&lt;AA$3,$I282&gt;AA$2),0,IF($K282=0,IF(AND($I282&gt;=AA$3,$I282&lt;=AA$2),$E282,0),$E282*NETWORKDAYS(MAX($I282,AA$3),MIN($J282,AA$2),Data!$K$4:$K$203)/$K282)))</f>
        <v>0</v>
      </c>
      <c r="AB282" s="166">
        <f>IF(OR($I282="",$E282=0),0,IF(OR($J282&lt;AB$3,$I282&gt;AB$2),0,IF($K282=0,IF(AND($I282&gt;=AB$3,$I282&lt;=AB$2),$E282,0),$E282*NETWORKDAYS(MAX($I282,AB$3),MIN($J282,AB$2),Data!$K$4:$K$203)/$K282)))</f>
        <v>0</v>
      </c>
      <c r="AC282" s="166">
        <f>IF(OR($I282="",$E282=0),0,IF(OR($J282&lt;AC$3,$I282&gt;AC$2),0,IF($K282=0,IF(AND($I282&gt;=AC$3,$I282&lt;=AC$2),$E282,0),$E282*NETWORKDAYS(MAX($I282,AC$3),MIN($J282,AC$2),Data!$K$4:$K$203)/$K282)))</f>
        <v>0</v>
      </c>
      <c r="AD282" s="166">
        <f>IF(OR($I282="",$E282=0),0,IF(OR($J282&lt;AD$3,$I282&gt;AD$2),0,IF($K282=0,IF(AND($I282&gt;=AD$3,$I282&lt;=AD$2),$E282,0),$E282*NETWORKDAYS(MAX($I282,AD$3),MIN($J282,AD$2),Data!$K$4:$K$203)/$K282)))</f>
        <v>0</v>
      </c>
      <c r="AE282" s="166">
        <f>IF(OR($I282="",$E282=0),0,IF(OR($J282&lt;AE$3,$I282&gt;AE$2),0,IF($K282=0,IF(AND($I282&gt;=AE$3,$I282&lt;=AE$2),$E282,0),$E282*NETWORKDAYS(MAX($I282,AE$3),MIN($J282,AE$2),Data!$K$4:$K$203)/$K282)))</f>
        <v>0</v>
      </c>
      <c r="AF282" s="166">
        <f>IF(OR($I282="",$E282=0),0,IF(OR($J282&lt;AF$3,$I282&gt;AF$2),0,IF($K282=0,IF(AND($I282&gt;=AF$3,$I282&lt;=AF$2),$E282,0),$E282*NETWORKDAYS(MAX($I282,AF$3),MIN($J282,AF$2),Data!$K$4:$K$203)/$K282)))</f>
        <v>0</v>
      </c>
      <c r="AG282" s="166">
        <f>IF(OR($I282="",$E282=0),0,IF(OR($J282&lt;AG$3,$I282&gt;AG$2),0,IF($K282=0,IF(AND($I282&gt;=AG$3,$I282&lt;=AG$2),$E282,0),$E282*NETWORKDAYS(MAX($I282,AG$3),MIN($J282,AG$2),Data!$K$4:$K$203)/$K282)))</f>
        <v>0</v>
      </c>
      <c r="AH282" s="166">
        <f>IF(OR($I282="",$E282=0),0,IF(OR($J282&lt;AH$3,$I282&gt;AH$2),0,IF($K282=0,IF(AND($I282&gt;=AH$3,$I282&lt;=AH$2),$E282,0),$E282*NETWORKDAYS(MAX($I282,AH$3),MIN($J282,AH$2),Data!$K$4:$K$203)/$K282)))</f>
        <v>0</v>
      </c>
      <c r="AI282" s="166">
        <f>SUM(W282:AH282)</f>
        <v>0</v>
      </c>
      <c r="BZ282" t="str">
        <f>IF(D282=1,IF(TRIM(INDEX(Charge!$K:$K,ROW()))&lt;&gt;"",TRIM(INDEX(Charge!$K:$K,ROW())),IF(TRIM(INDEX(Charge!$L:$L,ROW()))&lt;&gt;"",TRIM(INDEX(Charge!$L:$L,ROW())),"(non affecté)")),"")</f>
        <v/>
      </c>
      <c r="CA282" t="str">
        <f>IF(AND($CD$4&lt;&gt;"",BZ282=$CD$4),COUNTIFS($BZ$4:$BZ$503,$CD$4,$L$4:$L$503,"&lt;"&amp;L282)+1,"")</f>
        <v/>
      </c>
      <c r="EM282" t="str">
        <f>IF(D282=1,IF(TRIM(INDEX(Charge!$K:$K,ROW()))&lt;&gt;"","Interne",IF(TRIM(INDEX(Charge!$L:$L,ROW()))&lt;&gt;"","Externe","Non affecté")),"")</f>
        <v/>
      </c>
      <c r="EN282" t="str">
        <f>IF(D282=1,LEFT(SUBSTITUTE(SUBSTITUTE(SUBSTITUTE(TRIM(SUBSTITUTE(INDEX(Charge!$B:$B,ROW()),CHAR(160)," "))&amp;" | "&amp;TRIM(SUBSTITUTE(INDEX(Charge!$C:$C,ROW()),CHAR(160)," "))&amp;" | "&amp;TRIM(SUBSTITUTE(INDEX(Charge!$D:$D,ROW()),CHAR(160)," ")),"~","-"),"*","+"),"?","!"),240),"")</f>
        <v/>
      </c>
      <c r="EO282">
        <f>IF(EN282="",0,IF(COUNTIF($EN$4:EN282,EN282)=1,1,0))</f>
        <v>0</v>
      </c>
      <c r="EP282" s="166" t="str">
        <f>IF(EO282=1,ROUND(SUMIF($EN$4:$EN$503,EN282,$E$4:$E$503),2),"")</f>
        <v/>
      </c>
      <c r="EQ282" t="str">
        <f>IF(EO282=1,COUNTIFS($EO$4:$EO$503,1,$EP$4:$EP$503,"&gt;"&amp;EP282)+COUNTIFS($EO$4:EO282,1,$EP$4:EP282,EP282),"")</f>
        <v/>
      </c>
      <c r="ER282" t="str">
        <f>IF(EO282=1,COUNTIFS($EN$4:$EN$503,EN282,$EM$4:$EM$503,"Interne",$FE$4:$FE$503,1),"")</f>
        <v/>
      </c>
      <c r="ES282" t="str">
        <f>IF(EO282=1,COUNTIFS($EN$4:$EN$503,EN282,$EM$4:$EM$503,"Externe",$FE$4:$FE$503,1),"")</f>
        <v/>
      </c>
      <c r="ET282" t="str">
        <f>IF(EO282=1,IF(ER282+ES282=0,"à affecter",IF(ER282=0,ES282&amp;" ext.",(ER282+ES282)&amp;IF(ES282&gt;0," dont "&amp;ES282&amp;" ext.",""))&amp;IF(COUNTIFS($EN$4:$EN$503,EN282,$EM$4:$EM$503,"Non affecté")&gt;0," + à affecter","")),"")</f>
        <v/>
      </c>
      <c r="EU282" s="170" t="str">
        <f>IF(EO282=1,IF(EP282&gt;0,SUMPRODUCT(($EN$4:$EN$503=EN282)*$E$4:$E$503*$C$4:$C$503)/EP282,AVERAGEIF($EN$4:$EN$503,EN282,$C$4:$C$503)),"")</f>
        <v/>
      </c>
      <c r="EV282" s="165">
        <f>IF(ISNUMBER(I282),I282,2958465)</f>
        <v>2958465.0</v>
      </c>
      <c r="EW282" s="165" t="str">
        <f>IF(EO282=1,SUMPRODUCT(MIN(($EN$4:$EN$503=EN282)*$EV$4:$EV$503+($EN$4:$EN$503&lt;&gt;EN282)*2958465)),"")</f>
        <v/>
      </c>
      <c r="EX282" s="165">
        <f>IF(AND(D282=1,ISNUMBER(INDEX(Charge!$F:$F,ROW()))),INDEX(Charge!$F:$F,ROW()),0)</f>
        <v>0.0</v>
      </c>
      <c r="EY282" s="165" t="str">
        <f>IF(EO282=1,SUMPRODUCT(MAX(($EN$4:$EN$503=EN282)*$EX$4:$EX$503)),"")</f>
        <v/>
      </c>
      <c r="FA282" t="str">
        <f>IF(279&lt;=$CD$23,INDEX($EJ$4:$EJ$203,279),IF(279-$CD$23&lt;=$CD$26,INDEX($EK$4:$EK$203,279-$CD$23),""))</f>
        <v/>
      </c>
      <c r="FB282" t="str">
        <f>IF(FA282="","",IF(279&lt;=$CD$23,"Interne","Externe"))</f>
        <v/>
      </c>
      <c r="FD282">
        <f>IF(AND(B282=1,TRIM(INDEX(Charge!$K:$K,ROW()))&lt;&gt;"",TRIM(INDEX(Charge!$L:$L,ROW()))&lt;&gt;""),1,0)</f>
        <v>0</v>
      </c>
      <c r="FE282">
        <f>IF(OR(EN282="",BZ282="(non affecté)"),0,IF(COUNTIFS($EN$4:EN282,EN282,$BZ$4:BZ282,BZ282)=1,1,0))</f>
        <v>0</v>
      </c>
    </row>
    <row r="283">
      <c r="A283">
        <f>ROW()</f>
        <v>283</v>
      </c>
      <c r="B283">
        <f>IF(TRIM(INDEX(Charge!$B:$B,ROW()))&lt;&gt;"",1,0)</f>
        <v>0</v>
      </c>
      <c r="C283">
        <f>IF(B283=1,MIN(1,MAX(0,N(INDEX(Charge!$O:$O,ROW())))),0)</f>
        <v>0</v>
      </c>
      <c r="D283">
        <f>IF(B283=1,IF(OR(p_Perimetre="Tous les projets",C283&lt;1),1,0),0)</f>
        <v>0</v>
      </c>
      <c r="E283">
        <f>IF(D283=1,MAX(0,N(INDEX(Charge!$M:$M,ROW()))),0)</f>
        <v>0</v>
      </c>
      <c r="F283" t="str">
        <f>IF(D283=1,IF(TRIM(INDEX(Charge!$A:$A,ROW()))="","(non renseigné)",TRIM(INDEX(Charge!$A:$A,ROW()))),"")</f>
        <v/>
      </c>
      <c r="G283" t="str">
        <f>IF(D283=1,TRIM(INDEX(Charge!$B:$B,ROW())),"")</f>
        <v/>
      </c>
      <c r="H283" t="str">
        <f>IF(D283=1,IF(TRIM(INDEX(Charge!$E:$E,ROW()))="","(non renseigné)",TRIM(INDEX(Charge!$E:$E,ROW()))),"")</f>
        <v/>
      </c>
      <c r="I283" s="165" t="str">
        <f>IF(AND(D283=1,ISNUMBER(INDEX(Charge!$N:$N,ROW()))),INDEX(Charge!$N:$N,ROW()),"")</f>
        <v/>
      </c>
      <c r="J283" s="165" t="str">
        <f>IF(I283="","",IF(AND(p_Repartition="Lissée jusqu'à la date de besoin",ISNUMBER(INDEX(Charge!$F:$F,ROW()))),IF(INDEX(Charge!$F:$F,ROW())&gt;=I283,INDEX(Charge!$F:$F,ROW()),I283),I283))</f>
        <v/>
      </c>
      <c r="K283" t="str">
        <f>IF(I283="","",NETWORKDAYS(I283,J283,Data!$K$4:$K$203))</f>
        <v/>
      </c>
      <c r="L283" t="str">
        <f>IF(D283=1,COUNTIFS($D$4:$D$503,1,$E$4:$E$503,"&gt;"&amp;E283)+COUNTIFS($D$4:$D283,1,$E$4:$E283,E283),"")</f>
        <v/>
      </c>
      <c r="M283">
        <f>IF(F283="",0,IF(COUNTIF($F$4:F283,F283)=1,1,0))</f>
        <v>0</v>
      </c>
      <c r="N283" t="str">
        <f>IF(M283=1,ROUND(SUMIF($F$4:$F$503,F283,$E$4:$E$503),2),"")</f>
        <v/>
      </c>
      <c r="O283" t="str">
        <f>IF(M283=1,COUNTIFS($M$4:$M$503,1,$N$4:$N$503,"&gt;"&amp;N283)+COUNTIFS($M$4:M283,1,$N$4:N283,N283),"")</f>
        <v/>
      </c>
      <c r="P283">
        <f>IF(G283="",0,IF(COUNTIF($G$4:G283,G283)=1,1,0))</f>
        <v>0</v>
      </c>
      <c r="Q283" t="str">
        <f>IF(P283=1,ROUND(SUMIF($G$4:$G$503,G283,$E$4:$E$503),2),"")</f>
        <v/>
      </c>
      <c r="R283" t="str">
        <f>IF(P283=1,COUNTIFS($P$4:$P$503,1,$Q$4:$Q$503,"&gt;"&amp;Q283)+COUNTIFS($P$4:P283,1,$Q$4:Q283,Q283),"")</f>
        <v/>
      </c>
      <c r="S283">
        <f>IF(H283="",0,IF(COUNTIF($H$4:H283,H283)=1,1,0))</f>
        <v>0</v>
      </c>
      <c r="T283" t="str">
        <f>IF(S283=1,ROUND(SUMIF($H$4:$H$503,H283,$E$4:$E$503),2),"")</f>
        <v/>
      </c>
      <c r="U283" t="str">
        <f>IF(S283=1,COUNTIFS($S$4:$S$503,1,$T$4:$T$503,"&gt;"&amp;T283)+COUNTIFS($S$4:S283,1,$T$4:T283,T283),"")</f>
        <v/>
      </c>
      <c r="V283" t="str">
        <f>IF(D283=1,MIN(INDEX($R$4:$R$503,MATCH(G283,$G$4:$G$503,0)),IF($AL$7&gt;9,9,999)),"")</f>
        <v/>
      </c>
      <c r="W283" s="166">
        <f>IF(OR($I283="",$E283=0),0,IF(OR($J283&lt;W$3,$I283&gt;W$2),0,IF($K283=0,IF(AND($I283&gt;=W$3,$I283&lt;=W$2),$E283,0),$E283*NETWORKDAYS(MAX($I283,W$3),MIN($J283,W$2),Data!$K$4:$K$203)/$K283)))</f>
        <v>0</v>
      </c>
      <c r="X283" s="166">
        <f>IF(OR($I283="",$E283=0),0,IF(OR($J283&lt;X$3,$I283&gt;X$2),0,IF($K283=0,IF(AND($I283&gt;=X$3,$I283&lt;=X$2),$E283,0),$E283*NETWORKDAYS(MAX($I283,X$3),MIN($J283,X$2),Data!$K$4:$K$203)/$K283)))</f>
        <v>0</v>
      </c>
      <c r="Y283" s="166">
        <f>IF(OR($I283="",$E283=0),0,IF(OR($J283&lt;Y$3,$I283&gt;Y$2),0,IF($K283=0,IF(AND($I283&gt;=Y$3,$I283&lt;=Y$2),$E283,0),$E283*NETWORKDAYS(MAX($I283,Y$3),MIN($J283,Y$2),Data!$K$4:$K$203)/$K283)))</f>
        <v>0</v>
      </c>
      <c r="Z283" s="166">
        <f>IF(OR($I283="",$E283=0),0,IF(OR($J283&lt;Z$3,$I283&gt;Z$2),0,IF($K283=0,IF(AND($I283&gt;=Z$3,$I283&lt;=Z$2),$E283,0),$E283*NETWORKDAYS(MAX($I283,Z$3),MIN($J283,Z$2),Data!$K$4:$K$203)/$K283)))</f>
        <v>0</v>
      </c>
      <c r="AA283" s="166">
        <f>IF(OR($I283="",$E283=0),0,IF(OR($J283&lt;AA$3,$I283&gt;AA$2),0,IF($K283=0,IF(AND($I283&gt;=AA$3,$I283&lt;=AA$2),$E283,0),$E283*NETWORKDAYS(MAX($I283,AA$3),MIN($J283,AA$2),Data!$K$4:$K$203)/$K283)))</f>
        <v>0</v>
      </c>
      <c r="AB283" s="166">
        <f>IF(OR($I283="",$E283=0),0,IF(OR($J283&lt;AB$3,$I283&gt;AB$2),0,IF($K283=0,IF(AND($I283&gt;=AB$3,$I283&lt;=AB$2),$E283,0),$E283*NETWORKDAYS(MAX($I283,AB$3),MIN($J283,AB$2),Data!$K$4:$K$203)/$K283)))</f>
        <v>0</v>
      </c>
      <c r="AC283" s="166">
        <f>IF(OR($I283="",$E283=0),0,IF(OR($J283&lt;AC$3,$I283&gt;AC$2),0,IF($K283=0,IF(AND($I283&gt;=AC$3,$I283&lt;=AC$2),$E283,0),$E283*NETWORKDAYS(MAX($I283,AC$3),MIN($J283,AC$2),Data!$K$4:$K$203)/$K283)))</f>
        <v>0</v>
      </c>
      <c r="AD283" s="166">
        <f>IF(OR($I283="",$E283=0),0,IF(OR($J283&lt;AD$3,$I283&gt;AD$2),0,IF($K283=0,IF(AND($I283&gt;=AD$3,$I283&lt;=AD$2),$E283,0),$E283*NETWORKDAYS(MAX($I283,AD$3),MIN($J283,AD$2),Data!$K$4:$K$203)/$K283)))</f>
        <v>0</v>
      </c>
      <c r="AE283" s="166">
        <f>IF(OR($I283="",$E283=0),0,IF(OR($J283&lt;AE$3,$I283&gt;AE$2),0,IF($K283=0,IF(AND($I283&gt;=AE$3,$I283&lt;=AE$2),$E283,0),$E283*NETWORKDAYS(MAX($I283,AE$3),MIN($J283,AE$2),Data!$K$4:$K$203)/$K283)))</f>
        <v>0</v>
      </c>
      <c r="AF283" s="166">
        <f>IF(OR($I283="",$E283=0),0,IF(OR($J283&lt;AF$3,$I283&gt;AF$2),0,IF($K283=0,IF(AND($I283&gt;=AF$3,$I283&lt;=AF$2),$E283,0),$E283*NETWORKDAYS(MAX($I283,AF$3),MIN($J283,AF$2),Data!$K$4:$K$203)/$K283)))</f>
        <v>0</v>
      </c>
      <c r="AG283" s="166">
        <f>IF(OR($I283="",$E283=0),0,IF(OR($J283&lt;AG$3,$I283&gt;AG$2),0,IF($K283=0,IF(AND($I283&gt;=AG$3,$I283&lt;=AG$2),$E283,0),$E283*NETWORKDAYS(MAX($I283,AG$3),MIN($J283,AG$2),Data!$K$4:$K$203)/$K283)))</f>
        <v>0</v>
      </c>
      <c r="AH283" s="166">
        <f>IF(OR($I283="",$E283=0),0,IF(OR($J283&lt;AH$3,$I283&gt;AH$2),0,IF($K283=0,IF(AND($I283&gt;=AH$3,$I283&lt;=AH$2),$E283,0),$E283*NETWORKDAYS(MAX($I283,AH$3),MIN($J283,AH$2),Data!$K$4:$K$203)/$K283)))</f>
        <v>0</v>
      </c>
      <c r="AI283" s="166">
        <f>SUM(W283:AH283)</f>
        <v>0</v>
      </c>
      <c r="BZ283" t="str">
        <f>IF(D283=1,IF(TRIM(INDEX(Charge!$K:$K,ROW()))&lt;&gt;"",TRIM(INDEX(Charge!$K:$K,ROW())),IF(TRIM(INDEX(Charge!$L:$L,ROW()))&lt;&gt;"",TRIM(INDEX(Charge!$L:$L,ROW())),"(non affecté)")),"")</f>
        <v/>
      </c>
      <c r="CA283" t="str">
        <f>IF(AND($CD$4&lt;&gt;"",BZ283=$CD$4),COUNTIFS($BZ$4:$BZ$503,$CD$4,$L$4:$L$503,"&lt;"&amp;L283)+1,"")</f>
        <v/>
      </c>
      <c r="EM283" t="str">
        <f>IF(D283=1,IF(TRIM(INDEX(Charge!$K:$K,ROW()))&lt;&gt;"","Interne",IF(TRIM(INDEX(Charge!$L:$L,ROW()))&lt;&gt;"","Externe","Non affecté")),"")</f>
        <v/>
      </c>
      <c r="EN283" t="str">
        <f>IF(D283=1,LEFT(SUBSTITUTE(SUBSTITUTE(SUBSTITUTE(TRIM(SUBSTITUTE(INDEX(Charge!$B:$B,ROW()),CHAR(160)," "))&amp;" | "&amp;TRIM(SUBSTITUTE(INDEX(Charge!$C:$C,ROW()),CHAR(160)," "))&amp;" | "&amp;TRIM(SUBSTITUTE(INDEX(Charge!$D:$D,ROW()),CHAR(160)," ")),"~","-"),"*","+"),"?","!"),240),"")</f>
        <v/>
      </c>
      <c r="EO283">
        <f>IF(EN283="",0,IF(COUNTIF($EN$4:EN283,EN283)=1,1,0))</f>
        <v>0</v>
      </c>
      <c r="EP283" s="166" t="str">
        <f>IF(EO283=1,ROUND(SUMIF($EN$4:$EN$503,EN283,$E$4:$E$503),2),"")</f>
        <v/>
      </c>
      <c r="EQ283" t="str">
        <f>IF(EO283=1,COUNTIFS($EO$4:$EO$503,1,$EP$4:$EP$503,"&gt;"&amp;EP283)+COUNTIFS($EO$4:EO283,1,$EP$4:EP283,EP283),"")</f>
        <v/>
      </c>
      <c r="ER283" t="str">
        <f>IF(EO283=1,COUNTIFS($EN$4:$EN$503,EN283,$EM$4:$EM$503,"Interne",$FE$4:$FE$503,1),"")</f>
        <v/>
      </c>
      <c r="ES283" t="str">
        <f>IF(EO283=1,COUNTIFS($EN$4:$EN$503,EN283,$EM$4:$EM$503,"Externe",$FE$4:$FE$503,1),"")</f>
        <v/>
      </c>
      <c r="ET283" t="str">
        <f>IF(EO283=1,IF(ER283+ES283=0,"à affecter",IF(ER283=0,ES283&amp;" ext.",(ER283+ES283)&amp;IF(ES283&gt;0," dont "&amp;ES283&amp;" ext.",""))&amp;IF(COUNTIFS($EN$4:$EN$503,EN283,$EM$4:$EM$503,"Non affecté")&gt;0," + à affecter","")),"")</f>
        <v/>
      </c>
      <c r="EU283" s="170" t="str">
        <f>IF(EO283=1,IF(EP283&gt;0,SUMPRODUCT(($EN$4:$EN$503=EN283)*$E$4:$E$503*$C$4:$C$503)/EP283,AVERAGEIF($EN$4:$EN$503,EN283,$C$4:$C$503)),"")</f>
        <v/>
      </c>
      <c r="EV283" s="165">
        <f>IF(ISNUMBER(I283),I283,2958465)</f>
        <v>2958465.0</v>
      </c>
      <c r="EW283" s="165" t="str">
        <f>IF(EO283=1,SUMPRODUCT(MIN(($EN$4:$EN$503=EN283)*$EV$4:$EV$503+($EN$4:$EN$503&lt;&gt;EN283)*2958465)),"")</f>
        <v/>
      </c>
      <c r="EX283" s="165">
        <f>IF(AND(D283=1,ISNUMBER(INDEX(Charge!$F:$F,ROW()))),INDEX(Charge!$F:$F,ROW()),0)</f>
        <v>0.0</v>
      </c>
      <c r="EY283" s="165" t="str">
        <f>IF(EO283=1,SUMPRODUCT(MAX(($EN$4:$EN$503=EN283)*$EX$4:$EX$503)),"")</f>
        <v/>
      </c>
      <c r="FA283" t="str">
        <f>IF(280&lt;=$CD$23,INDEX($EJ$4:$EJ$203,280),IF(280-$CD$23&lt;=$CD$26,INDEX($EK$4:$EK$203,280-$CD$23),""))</f>
        <v/>
      </c>
      <c r="FB283" t="str">
        <f>IF(FA283="","",IF(280&lt;=$CD$23,"Interne","Externe"))</f>
        <v/>
      </c>
      <c r="FD283">
        <f>IF(AND(B283=1,TRIM(INDEX(Charge!$K:$K,ROW()))&lt;&gt;"",TRIM(INDEX(Charge!$L:$L,ROW()))&lt;&gt;""),1,0)</f>
        <v>0</v>
      </c>
      <c r="FE283">
        <f>IF(OR(EN283="",BZ283="(non affecté)"),0,IF(COUNTIFS($EN$4:EN283,EN283,$BZ$4:BZ283,BZ283)=1,1,0))</f>
        <v>0</v>
      </c>
    </row>
    <row r="284">
      <c r="A284">
        <f>ROW()</f>
        <v>284</v>
      </c>
      <c r="B284">
        <f>IF(TRIM(INDEX(Charge!$B:$B,ROW()))&lt;&gt;"",1,0)</f>
        <v>0</v>
      </c>
      <c r="C284">
        <f>IF(B284=1,MIN(1,MAX(0,N(INDEX(Charge!$O:$O,ROW())))),0)</f>
        <v>0</v>
      </c>
      <c r="D284">
        <f>IF(B284=1,IF(OR(p_Perimetre="Tous les projets",C284&lt;1),1,0),0)</f>
        <v>0</v>
      </c>
      <c r="E284">
        <f>IF(D284=1,MAX(0,N(INDEX(Charge!$M:$M,ROW()))),0)</f>
        <v>0</v>
      </c>
      <c r="F284" t="str">
        <f>IF(D284=1,IF(TRIM(INDEX(Charge!$A:$A,ROW()))="","(non renseigné)",TRIM(INDEX(Charge!$A:$A,ROW()))),"")</f>
        <v/>
      </c>
      <c r="G284" t="str">
        <f>IF(D284=1,TRIM(INDEX(Charge!$B:$B,ROW())),"")</f>
        <v/>
      </c>
      <c r="H284" t="str">
        <f>IF(D284=1,IF(TRIM(INDEX(Charge!$E:$E,ROW()))="","(non renseigné)",TRIM(INDEX(Charge!$E:$E,ROW()))),"")</f>
        <v/>
      </c>
      <c r="I284" s="165" t="str">
        <f>IF(AND(D284=1,ISNUMBER(INDEX(Charge!$N:$N,ROW()))),INDEX(Charge!$N:$N,ROW()),"")</f>
        <v/>
      </c>
      <c r="J284" s="165" t="str">
        <f>IF(I284="","",IF(AND(p_Repartition="Lissée jusqu'à la date de besoin",ISNUMBER(INDEX(Charge!$F:$F,ROW()))),IF(INDEX(Charge!$F:$F,ROW())&gt;=I284,INDEX(Charge!$F:$F,ROW()),I284),I284))</f>
        <v/>
      </c>
      <c r="K284" t="str">
        <f>IF(I284="","",NETWORKDAYS(I284,J284,Data!$K$4:$K$203))</f>
        <v/>
      </c>
      <c r="L284" t="str">
        <f>IF(D284=1,COUNTIFS($D$4:$D$503,1,$E$4:$E$503,"&gt;"&amp;E284)+COUNTIFS($D$4:$D284,1,$E$4:$E284,E284),"")</f>
        <v/>
      </c>
      <c r="M284">
        <f>IF(F284="",0,IF(COUNTIF($F$4:F284,F284)=1,1,0))</f>
        <v>0</v>
      </c>
      <c r="N284" t="str">
        <f>IF(M284=1,ROUND(SUMIF($F$4:$F$503,F284,$E$4:$E$503),2),"")</f>
        <v/>
      </c>
      <c r="O284" t="str">
        <f>IF(M284=1,COUNTIFS($M$4:$M$503,1,$N$4:$N$503,"&gt;"&amp;N284)+COUNTIFS($M$4:M284,1,$N$4:N284,N284),"")</f>
        <v/>
      </c>
      <c r="P284">
        <f>IF(G284="",0,IF(COUNTIF($G$4:G284,G284)=1,1,0))</f>
        <v>0</v>
      </c>
      <c r="Q284" t="str">
        <f>IF(P284=1,ROUND(SUMIF($G$4:$G$503,G284,$E$4:$E$503),2),"")</f>
        <v/>
      </c>
      <c r="R284" t="str">
        <f>IF(P284=1,COUNTIFS($P$4:$P$503,1,$Q$4:$Q$503,"&gt;"&amp;Q284)+COUNTIFS($P$4:P284,1,$Q$4:Q284,Q284),"")</f>
        <v/>
      </c>
      <c r="S284">
        <f>IF(H284="",0,IF(COUNTIF($H$4:H284,H284)=1,1,0))</f>
        <v>0</v>
      </c>
      <c r="T284" t="str">
        <f>IF(S284=1,ROUND(SUMIF($H$4:$H$503,H284,$E$4:$E$503),2),"")</f>
        <v/>
      </c>
      <c r="U284" t="str">
        <f>IF(S284=1,COUNTIFS($S$4:$S$503,1,$T$4:$T$503,"&gt;"&amp;T284)+COUNTIFS($S$4:S284,1,$T$4:T284,T284),"")</f>
        <v/>
      </c>
      <c r="V284" t="str">
        <f>IF(D284=1,MIN(INDEX($R$4:$R$503,MATCH(G284,$G$4:$G$503,0)),IF($AL$7&gt;9,9,999)),"")</f>
        <v/>
      </c>
      <c r="W284" s="166">
        <f>IF(OR($I284="",$E284=0),0,IF(OR($J284&lt;W$3,$I284&gt;W$2),0,IF($K284=0,IF(AND($I284&gt;=W$3,$I284&lt;=W$2),$E284,0),$E284*NETWORKDAYS(MAX($I284,W$3),MIN($J284,W$2),Data!$K$4:$K$203)/$K284)))</f>
        <v>0</v>
      </c>
      <c r="X284" s="166">
        <f>IF(OR($I284="",$E284=0),0,IF(OR($J284&lt;X$3,$I284&gt;X$2),0,IF($K284=0,IF(AND($I284&gt;=X$3,$I284&lt;=X$2),$E284,0),$E284*NETWORKDAYS(MAX($I284,X$3),MIN($J284,X$2),Data!$K$4:$K$203)/$K284)))</f>
        <v>0</v>
      </c>
      <c r="Y284" s="166">
        <f>IF(OR($I284="",$E284=0),0,IF(OR($J284&lt;Y$3,$I284&gt;Y$2),0,IF($K284=0,IF(AND($I284&gt;=Y$3,$I284&lt;=Y$2),$E284,0),$E284*NETWORKDAYS(MAX($I284,Y$3),MIN($J284,Y$2),Data!$K$4:$K$203)/$K284)))</f>
        <v>0</v>
      </c>
      <c r="Z284" s="166">
        <f>IF(OR($I284="",$E284=0),0,IF(OR($J284&lt;Z$3,$I284&gt;Z$2),0,IF($K284=0,IF(AND($I284&gt;=Z$3,$I284&lt;=Z$2),$E284,0),$E284*NETWORKDAYS(MAX($I284,Z$3),MIN($J284,Z$2),Data!$K$4:$K$203)/$K284)))</f>
        <v>0</v>
      </c>
      <c r="AA284" s="166">
        <f>IF(OR($I284="",$E284=0),0,IF(OR($J284&lt;AA$3,$I284&gt;AA$2),0,IF($K284=0,IF(AND($I284&gt;=AA$3,$I284&lt;=AA$2),$E284,0),$E284*NETWORKDAYS(MAX($I284,AA$3),MIN($J284,AA$2),Data!$K$4:$K$203)/$K284)))</f>
        <v>0</v>
      </c>
      <c r="AB284" s="166">
        <f>IF(OR($I284="",$E284=0),0,IF(OR($J284&lt;AB$3,$I284&gt;AB$2),0,IF($K284=0,IF(AND($I284&gt;=AB$3,$I284&lt;=AB$2),$E284,0),$E284*NETWORKDAYS(MAX($I284,AB$3),MIN($J284,AB$2),Data!$K$4:$K$203)/$K284)))</f>
        <v>0</v>
      </c>
      <c r="AC284" s="166">
        <f>IF(OR($I284="",$E284=0),0,IF(OR($J284&lt;AC$3,$I284&gt;AC$2),0,IF($K284=0,IF(AND($I284&gt;=AC$3,$I284&lt;=AC$2),$E284,0),$E284*NETWORKDAYS(MAX($I284,AC$3),MIN($J284,AC$2),Data!$K$4:$K$203)/$K284)))</f>
        <v>0</v>
      </c>
      <c r="AD284" s="166">
        <f>IF(OR($I284="",$E284=0),0,IF(OR($J284&lt;AD$3,$I284&gt;AD$2),0,IF($K284=0,IF(AND($I284&gt;=AD$3,$I284&lt;=AD$2),$E284,0),$E284*NETWORKDAYS(MAX($I284,AD$3),MIN($J284,AD$2),Data!$K$4:$K$203)/$K284)))</f>
        <v>0</v>
      </c>
      <c r="AE284" s="166">
        <f>IF(OR($I284="",$E284=0),0,IF(OR($J284&lt;AE$3,$I284&gt;AE$2),0,IF($K284=0,IF(AND($I284&gt;=AE$3,$I284&lt;=AE$2),$E284,0),$E284*NETWORKDAYS(MAX($I284,AE$3),MIN($J284,AE$2),Data!$K$4:$K$203)/$K284)))</f>
        <v>0</v>
      </c>
      <c r="AF284" s="166">
        <f>IF(OR($I284="",$E284=0),0,IF(OR($J284&lt;AF$3,$I284&gt;AF$2),0,IF($K284=0,IF(AND($I284&gt;=AF$3,$I284&lt;=AF$2),$E284,0),$E284*NETWORKDAYS(MAX($I284,AF$3),MIN($J284,AF$2),Data!$K$4:$K$203)/$K284)))</f>
        <v>0</v>
      </c>
      <c r="AG284" s="166">
        <f>IF(OR($I284="",$E284=0),0,IF(OR($J284&lt;AG$3,$I284&gt;AG$2),0,IF($K284=0,IF(AND($I284&gt;=AG$3,$I284&lt;=AG$2),$E284,0),$E284*NETWORKDAYS(MAX($I284,AG$3),MIN($J284,AG$2),Data!$K$4:$K$203)/$K284)))</f>
        <v>0</v>
      </c>
      <c r="AH284" s="166">
        <f>IF(OR($I284="",$E284=0),0,IF(OR($J284&lt;AH$3,$I284&gt;AH$2),0,IF($K284=0,IF(AND($I284&gt;=AH$3,$I284&lt;=AH$2),$E284,0),$E284*NETWORKDAYS(MAX($I284,AH$3),MIN($J284,AH$2),Data!$K$4:$K$203)/$K284)))</f>
        <v>0</v>
      </c>
      <c r="AI284" s="166">
        <f>SUM(W284:AH284)</f>
        <v>0</v>
      </c>
      <c r="BZ284" t="str">
        <f>IF(D284=1,IF(TRIM(INDEX(Charge!$K:$K,ROW()))&lt;&gt;"",TRIM(INDEX(Charge!$K:$K,ROW())),IF(TRIM(INDEX(Charge!$L:$L,ROW()))&lt;&gt;"",TRIM(INDEX(Charge!$L:$L,ROW())),"(non affecté)")),"")</f>
        <v/>
      </c>
      <c r="CA284" t="str">
        <f>IF(AND($CD$4&lt;&gt;"",BZ284=$CD$4),COUNTIFS($BZ$4:$BZ$503,$CD$4,$L$4:$L$503,"&lt;"&amp;L284)+1,"")</f>
        <v/>
      </c>
      <c r="EM284" t="str">
        <f>IF(D284=1,IF(TRIM(INDEX(Charge!$K:$K,ROW()))&lt;&gt;"","Interne",IF(TRIM(INDEX(Charge!$L:$L,ROW()))&lt;&gt;"","Externe","Non affecté")),"")</f>
        <v/>
      </c>
      <c r="EN284" t="str">
        <f>IF(D284=1,LEFT(SUBSTITUTE(SUBSTITUTE(SUBSTITUTE(TRIM(SUBSTITUTE(INDEX(Charge!$B:$B,ROW()),CHAR(160)," "))&amp;" | "&amp;TRIM(SUBSTITUTE(INDEX(Charge!$C:$C,ROW()),CHAR(160)," "))&amp;" | "&amp;TRIM(SUBSTITUTE(INDEX(Charge!$D:$D,ROW()),CHAR(160)," ")),"~","-"),"*","+"),"?","!"),240),"")</f>
        <v/>
      </c>
      <c r="EO284">
        <f>IF(EN284="",0,IF(COUNTIF($EN$4:EN284,EN284)=1,1,0))</f>
        <v>0</v>
      </c>
      <c r="EP284" s="166" t="str">
        <f>IF(EO284=1,ROUND(SUMIF($EN$4:$EN$503,EN284,$E$4:$E$503),2),"")</f>
        <v/>
      </c>
      <c r="EQ284" t="str">
        <f>IF(EO284=1,COUNTIFS($EO$4:$EO$503,1,$EP$4:$EP$503,"&gt;"&amp;EP284)+COUNTIFS($EO$4:EO284,1,$EP$4:EP284,EP284),"")</f>
        <v/>
      </c>
      <c r="ER284" t="str">
        <f>IF(EO284=1,COUNTIFS($EN$4:$EN$503,EN284,$EM$4:$EM$503,"Interne",$FE$4:$FE$503,1),"")</f>
        <v/>
      </c>
      <c r="ES284" t="str">
        <f>IF(EO284=1,COUNTIFS($EN$4:$EN$503,EN284,$EM$4:$EM$503,"Externe",$FE$4:$FE$503,1),"")</f>
        <v/>
      </c>
      <c r="ET284" t="str">
        <f>IF(EO284=1,IF(ER284+ES284=0,"à affecter",IF(ER284=0,ES284&amp;" ext.",(ER284+ES284)&amp;IF(ES284&gt;0," dont "&amp;ES284&amp;" ext.",""))&amp;IF(COUNTIFS($EN$4:$EN$503,EN284,$EM$4:$EM$503,"Non affecté")&gt;0," + à affecter","")),"")</f>
        <v/>
      </c>
      <c r="EU284" s="170" t="str">
        <f>IF(EO284=1,IF(EP284&gt;0,SUMPRODUCT(($EN$4:$EN$503=EN284)*$E$4:$E$503*$C$4:$C$503)/EP284,AVERAGEIF($EN$4:$EN$503,EN284,$C$4:$C$503)),"")</f>
        <v/>
      </c>
      <c r="EV284" s="165">
        <f>IF(ISNUMBER(I284),I284,2958465)</f>
        <v>2958465.0</v>
      </c>
      <c r="EW284" s="165" t="str">
        <f>IF(EO284=1,SUMPRODUCT(MIN(($EN$4:$EN$503=EN284)*$EV$4:$EV$503+($EN$4:$EN$503&lt;&gt;EN284)*2958465)),"")</f>
        <v/>
      </c>
      <c r="EX284" s="165">
        <f>IF(AND(D284=1,ISNUMBER(INDEX(Charge!$F:$F,ROW()))),INDEX(Charge!$F:$F,ROW()),0)</f>
        <v>0.0</v>
      </c>
      <c r="EY284" s="165" t="str">
        <f>IF(EO284=1,SUMPRODUCT(MAX(($EN$4:$EN$503=EN284)*$EX$4:$EX$503)),"")</f>
        <v/>
      </c>
      <c r="FA284" t="str">
        <f>IF(281&lt;=$CD$23,INDEX($EJ$4:$EJ$203,281),IF(281-$CD$23&lt;=$CD$26,INDEX($EK$4:$EK$203,281-$CD$23),""))</f>
        <v/>
      </c>
      <c r="FB284" t="str">
        <f>IF(FA284="","",IF(281&lt;=$CD$23,"Interne","Externe"))</f>
        <v/>
      </c>
      <c r="FD284">
        <f>IF(AND(B284=1,TRIM(INDEX(Charge!$K:$K,ROW()))&lt;&gt;"",TRIM(INDEX(Charge!$L:$L,ROW()))&lt;&gt;""),1,0)</f>
        <v>0</v>
      </c>
      <c r="FE284">
        <f>IF(OR(EN284="",BZ284="(non affecté)"),0,IF(COUNTIFS($EN$4:EN284,EN284,$BZ$4:BZ284,BZ284)=1,1,0))</f>
        <v>0</v>
      </c>
    </row>
    <row r="285">
      <c r="A285">
        <f>ROW()</f>
        <v>285</v>
      </c>
      <c r="B285">
        <f>IF(TRIM(INDEX(Charge!$B:$B,ROW()))&lt;&gt;"",1,0)</f>
        <v>0</v>
      </c>
      <c r="C285">
        <f>IF(B285=1,MIN(1,MAX(0,N(INDEX(Charge!$O:$O,ROW())))),0)</f>
        <v>0</v>
      </c>
      <c r="D285">
        <f>IF(B285=1,IF(OR(p_Perimetre="Tous les projets",C285&lt;1),1,0),0)</f>
        <v>0</v>
      </c>
      <c r="E285">
        <f>IF(D285=1,MAX(0,N(INDEX(Charge!$M:$M,ROW()))),0)</f>
        <v>0</v>
      </c>
      <c r="F285" t="str">
        <f>IF(D285=1,IF(TRIM(INDEX(Charge!$A:$A,ROW()))="","(non renseigné)",TRIM(INDEX(Charge!$A:$A,ROW()))),"")</f>
        <v/>
      </c>
      <c r="G285" t="str">
        <f>IF(D285=1,TRIM(INDEX(Charge!$B:$B,ROW())),"")</f>
        <v/>
      </c>
      <c r="H285" t="str">
        <f>IF(D285=1,IF(TRIM(INDEX(Charge!$E:$E,ROW()))="","(non renseigné)",TRIM(INDEX(Charge!$E:$E,ROW()))),"")</f>
        <v/>
      </c>
      <c r="I285" s="165" t="str">
        <f>IF(AND(D285=1,ISNUMBER(INDEX(Charge!$N:$N,ROW()))),INDEX(Charge!$N:$N,ROW()),"")</f>
        <v/>
      </c>
      <c r="J285" s="165" t="str">
        <f>IF(I285="","",IF(AND(p_Repartition="Lissée jusqu'à la date de besoin",ISNUMBER(INDEX(Charge!$F:$F,ROW()))),IF(INDEX(Charge!$F:$F,ROW())&gt;=I285,INDEX(Charge!$F:$F,ROW()),I285),I285))</f>
        <v/>
      </c>
      <c r="K285" t="str">
        <f>IF(I285="","",NETWORKDAYS(I285,J285,Data!$K$4:$K$203))</f>
        <v/>
      </c>
      <c r="L285" t="str">
        <f>IF(D285=1,COUNTIFS($D$4:$D$503,1,$E$4:$E$503,"&gt;"&amp;E285)+COUNTIFS($D$4:$D285,1,$E$4:$E285,E285),"")</f>
        <v/>
      </c>
      <c r="M285">
        <f>IF(F285="",0,IF(COUNTIF($F$4:F285,F285)=1,1,0))</f>
        <v>0</v>
      </c>
      <c r="N285" t="str">
        <f>IF(M285=1,ROUND(SUMIF($F$4:$F$503,F285,$E$4:$E$503),2),"")</f>
        <v/>
      </c>
      <c r="O285" t="str">
        <f>IF(M285=1,COUNTIFS($M$4:$M$503,1,$N$4:$N$503,"&gt;"&amp;N285)+COUNTIFS($M$4:M285,1,$N$4:N285,N285),"")</f>
        <v/>
      </c>
      <c r="P285">
        <f>IF(G285="",0,IF(COUNTIF($G$4:G285,G285)=1,1,0))</f>
        <v>0</v>
      </c>
      <c r="Q285" t="str">
        <f>IF(P285=1,ROUND(SUMIF($G$4:$G$503,G285,$E$4:$E$503),2),"")</f>
        <v/>
      </c>
      <c r="R285" t="str">
        <f>IF(P285=1,COUNTIFS($P$4:$P$503,1,$Q$4:$Q$503,"&gt;"&amp;Q285)+COUNTIFS($P$4:P285,1,$Q$4:Q285,Q285),"")</f>
        <v/>
      </c>
      <c r="S285">
        <f>IF(H285="",0,IF(COUNTIF($H$4:H285,H285)=1,1,0))</f>
        <v>0</v>
      </c>
      <c r="T285" t="str">
        <f>IF(S285=1,ROUND(SUMIF($H$4:$H$503,H285,$E$4:$E$503),2),"")</f>
        <v/>
      </c>
      <c r="U285" t="str">
        <f>IF(S285=1,COUNTIFS($S$4:$S$503,1,$T$4:$T$503,"&gt;"&amp;T285)+COUNTIFS($S$4:S285,1,$T$4:T285,T285),"")</f>
        <v/>
      </c>
      <c r="V285" t="str">
        <f>IF(D285=1,MIN(INDEX($R$4:$R$503,MATCH(G285,$G$4:$G$503,0)),IF($AL$7&gt;9,9,999)),"")</f>
        <v/>
      </c>
      <c r="W285" s="166">
        <f>IF(OR($I285="",$E285=0),0,IF(OR($J285&lt;W$3,$I285&gt;W$2),0,IF($K285=0,IF(AND($I285&gt;=W$3,$I285&lt;=W$2),$E285,0),$E285*NETWORKDAYS(MAX($I285,W$3),MIN($J285,W$2),Data!$K$4:$K$203)/$K285)))</f>
        <v>0</v>
      </c>
      <c r="X285" s="166">
        <f>IF(OR($I285="",$E285=0),0,IF(OR($J285&lt;X$3,$I285&gt;X$2),0,IF($K285=0,IF(AND($I285&gt;=X$3,$I285&lt;=X$2),$E285,0),$E285*NETWORKDAYS(MAX($I285,X$3),MIN($J285,X$2),Data!$K$4:$K$203)/$K285)))</f>
        <v>0</v>
      </c>
      <c r="Y285" s="166">
        <f>IF(OR($I285="",$E285=0),0,IF(OR($J285&lt;Y$3,$I285&gt;Y$2),0,IF($K285=0,IF(AND($I285&gt;=Y$3,$I285&lt;=Y$2),$E285,0),$E285*NETWORKDAYS(MAX($I285,Y$3),MIN($J285,Y$2),Data!$K$4:$K$203)/$K285)))</f>
        <v>0</v>
      </c>
      <c r="Z285" s="166">
        <f>IF(OR($I285="",$E285=0),0,IF(OR($J285&lt;Z$3,$I285&gt;Z$2),0,IF($K285=0,IF(AND($I285&gt;=Z$3,$I285&lt;=Z$2),$E285,0),$E285*NETWORKDAYS(MAX($I285,Z$3),MIN($J285,Z$2),Data!$K$4:$K$203)/$K285)))</f>
        <v>0</v>
      </c>
      <c r="AA285" s="166">
        <f>IF(OR($I285="",$E285=0),0,IF(OR($J285&lt;AA$3,$I285&gt;AA$2),0,IF($K285=0,IF(AND($I285&gt;=AA$3,$I285&lt;=AA$2),$E285,0),$E285*NETWORKDAYS(MAX($I285,AA$3),MIN($J285,AA$2),Data!$K$4:$K$203)/$K285)))</f>
        <v>0</v>
      </c>
      <c r="AB285" s="166">
        <f>IF(OR($I285="",$E285=0),0,IF(OR($J285&lt;AB$3,$I285&gt;AB$2),0,IF($K285=0,IF(AND($I285&gt;=AB$3,$I285&lt;=AB$2),$E285,0),$E285*NETWORKDAYS(MAX($I285,AB$3),MIN($J285,AB$2),Data!$K$4:$K$203)/$K285)))</f>
        <v>0</v>
      </c>
      <c r="AC285" s="166">
        <f>IF(OR($I285="",$E285=0),0,IF(OR($J285&lt;AC$3,$I285&gt;AC$2),0,IF($K285=0,IF(AND($I285&gt;=AC$3,$I285&lt;=AC$2),$E285,0),$E285*NETWORKDAYS(MAX($I285,AC$3),MIN($J285,AC$2),Data!$K$4:$K$203)/$K285)))</f>
        <v>0</v>
      </c>
      <c r="AD285" s="166">
        <f>IF(OR($I285="",$E285=0),0,IF(OR($J285&lt;AD$3,$I285&gt;AD$2),0,IF($K285=0,IF(AND($I285&gt;=AD$3,$I285&lt;=AD$2),$E285,0),$E285*NETWORKDAYS(MAX($I285,AD$3),MIN($J285,AD$2),Data!$K$4:$K$203)/$K285)))</f>
        <v>0</v>
      </c>
      <c r="AE285" s="166">
        <f>IF(OR($I285="",$E285=0),0,IF(OR($J285&lt;AE$3,$I285&gt;AE$2),0,IF($K285=0,IF(AND($I285&gt;=AE$3,$I285&lt;=AE$2),$E285,0),$E285*NETWORKDAYS(MAX($I285,AE$3),MIN($J285,AE$2),Data!$K$4:$K$203)/$K285)))</f>
        <v>0</v>
      </c>
      <c r="AF285" s="166">
        <f>IF(OR($I285="",$E285=0),0,IF(OR($J285&lt;AF$3,$I285&gt;AF$2),0,IF($K285=0,IF(AND($I285&gt;=AF$3,$I285&lt;=AF$2),$E285,0),$E285*NETWORKDAYS(MAX($I285,AF$3),MIN($J285,AF$2),Data!$K$4:$K$203)/$K285)))</f>
        <v>0</v>
      </c>
      <c r="AG285" s="166">
        <f>IF(OR($I285="",$E285=0),0,IF(OR($J285&lt;AG$3,$I285&gt;AG$2),0,IF($K285=0,IF(AND($I285&gt;=AG$3,$I285&lt;=AG$2),$E285,0),$E285*NETWORKDAYS(MAX($I285,AG$3),MIN($J285,AG$2),Data!$K$4:$K$203)/$K285)))</f>
        <v>0</v>
      </c>
      <c r="AH285" s="166">
        <f>IF(OR($I285="",$E285=0),0,IF(OR($J285&lt;AH$3,$I285&gt;AH$2),0,IF($K285=0,IF(AND($I285&gt;=AH$3,$I285&lt;=AH$2),$E285,0),$E285*NETWORKDAYS(MAX($I285,AH$3),MIN($J285,AH$2),Data!$K$4:$K$203)/$K285)))</f>
        <v>0</v>
      </c>
      <c r="AI285" s="166">
        <f>SUM(W285:AH285)</f>
        <v>0</v>
      </c>
      <c r="BZ285" t="str">
        <f>IF(D285=1,IF(TRIM(INDEX(Charge!$K:$K,ROW()))&lt;&gt;"",TRIM(INDEX(Charge!$K:$K,ROW())),IF(TRIM(INDEX(Charge!$L:$L,ROW()))&lt;&gt;"",TRIM(INDEX(Charge!$L:$L,ROW())),"(non affecté)")),"")</f>
        <v/>
      </c>
      <c r="CA285" t="str">
        <f>IF(AND($CD$4&lt;&gt;"",BZ285=$CD$4),COUNTIFS($BZ$4:$BZ$503,$CD$4,$L$4:$L$503,"&lt;"&amp;L285)+1,"")</f>
        <v/>
      </c>
      <c r="EM285" t="str">
        <f>IF(D285=1,IF(TRIM(INDEX(Charge!$K:$K,ROW()))&lt;&gt;"","Interne",IF(TRIM(INDEX(Charge!$L:$L,ROW()))&lt;&gt;"","Externe","Non affecté")),"")</f>
        <v/>
      </c>
      <c r="EN285" t="str">
        <f>IF(D285=1,LEFT(SUBSTITUTE(SUBSTITUTE(SUBSTITUTE(TRIM(SUBSTITUTE(INDEX(Charge!$B:$B,ROW()),CHAR(160)," "))&amp;" | "&amp;TRIM(SUBSTITUTE(INDEX(Charge!$C:$C,ROW()),CHAR(160)," "))&amp;" | "&amp;TRIM(SUBSTITUTE(INDEX(Charge!$D:$D,ROW()),CHAR(160)," ")),"~","-"),"*","+"),"?","!"),240),"")</f>
        <v/>
      </c>
      <c r="EO285">
        <f>IF(EN285="",0,IF(COUNTIF($EN$4:EN285,EN285)=1,1,0))</f>
        <v>0</v>
      </c>
      <c r="EP285" s="166" t="str">
        <f>IF(EO285=1,ROUND(SUMIF($EN$4:$EN$503,EN285,$E$4:$E$503),2),"")</f>
        <v/>
      </c>
      <c r="EQ285" t="str">
        <f>IF(EO285=1,COUNTIFS($EO$4:$EO$503,1,$EP$4:$EP$503,"&gt;"&amp;EP285)+COUNTIFS($EO$4:EO285,1,$EP$4:EP285,EP285),"")</f>
        <v/>
      </c>
      <c r="ER285" t="str">
        <f>IF(EO285=1,COUNTIFS($EN$4:$EN$503,EN285,$EM$4:$EM$503,"Interne",$FE$4:$FE$503,1),"")</f>
        <v/>
      </c>
      <c r="ES285" t="str">
        <f>IF(EO285=1,COUNTIFS($EN$4:$EN$503,EN285,$EM$4:$EM$503,"Externe",$FE$4:$FE$503,1),"")</f>
        <v/>
      </c>
      <c r="ET285" t="str">
        <f>IF(EO285=1,IF(ER285+ES285=0,"à affecter",IF(ER285=0,ES285&amp;" ext.",(ER285+ES285)&amp;IF(ES285&gt;0," dont "&amp;ES285&amp;" ext.",""))&amp;IF(COUNTIFS($EN$4:$EN$503,EN285,$EM$4:$EM$503,"Non affecté")&gt;0," + à affecter","")),"")</f>
        <v/>
      </c>
      <c r="EU285" s="170" t="str">
        <f>IF(EO285=1,IF(EP285&gt;0,SUMPRODUCT(($EN$4:$EN$503=EN285)*$E$4:$E$503*$C$4:$C$503)/EP285,AVERAGEIF($EN$4:$EN$503,EN285,$C$4:$C$503)),"")</f>
        <v/>
      </c>
      <c r="EV285" s="165">
        <f>IF(ISNUMBER(I285),I285,2958465)</f>
        <v>2958465.0</v>
      </c>
      <c r="EW285" s="165" t="str">
        <f>IF(EO285=1,SUMPRODUCT(MIN(($EN$4:$EN$503=EN285)*$EV$4:$EV$503+($EN$4:$EN$503&lt;&gt;EN285)*2958465)),"")</f>
        <v/>
      </c>
      <c r="EX285" s="165">
        <f>IF(AND(D285=1,ISNUMBER(INDEX(Charge!$F:$F,ROW()))),INDEX(Charge!$F:$F,ROW()),0)</f>
        <v>0.0</v>
      </c>
      <c r="EY285" s="165" t="str">
        <f>IF(EO285=1,SUMPRODUCT(MAX(($EN$4:$EN$503=EN285)*$EX$4:$EX$503)),"")</f>
        <v/>
      </c>
      <c r="FA285" t="str">
        <f>IF(282&lt;=$CD$23,INDEX($EJ$4:$EJ$203,282),IF(282-$CD$23&lt;=$CD$26,INDEX($EK$4:$EK$203,282-$CD$23),""))</f>
        <v/>
      </c>
      <c r="FB285" t="str">
        <f>IF(FA285="","",IF(282&lt;=$CD$23,"Interne","Externe"))</f>
        <v/>
      </c>
      <c r="FD285">
        <f>IF(AND(B285=1,TRIM(INDEX(Charge!$K:$K,ROW()))&lt;&gt;"",TRIM(INDEX(Charge!$L:$L,ROW()))&lt;&gt;""),1,0)</f>
        <v>0</v>
      </c>
      <c r="FE285">
        <f>IF(OR(EN285="",BZ285="(non affecté)"),0,IF(COUNTIFS($EN$4:EN285,EN285,$BZ$4:BZ285,BZ285)=1,1,0))</f>
        <v>0</v>
      </c>
    </row>
    <row r="286">
      <c r="A286">
        <f>ROW()</f>
        <v>286</v>
      </c>
      <c r="B286">
        <f>IF(TRIM(INDEX(Charge!$B:$B,ROW()))&lt;&gt;"",1,0)</f>
        <v>0</v>
      </c>
      <c r="C286">
        <f>IF(B286=1,MIN(1,MAX(0,N(INDEX(Charge!$O:$O,ROW())))),0)</f>
        <v>0</v>
      </c>
      <c r="D286">
        <f>IF(B286=1,IF(OR(p_Perimetre="Tous les projets",C286&lt;1),1,0),0)</f>
        <v>0</v>
      </c>
      <c r="E286">
        <f>IF(D286=1,MAX(0,N(INDEX(Charge!$M:$M,ROW()))),0)</f>
        <v>0</v>
      </c>
      <c r="F286" t="str">
        <f>IF(D286=1,IF(TRIM(INDEX(Charge!$A:$A,ROW()))="","(non renseigné)",TRIM(INDEX(Charge!$A:$A,ROW()))),"")</f>
        <v/>
      </c>
      <c r="G286" t="str">
        <f>IF(D286=1,TRIM(INDEX(Charge!$B:$B,ROW())),"")</f>
        <v/>
      </c>
      <c r="H286" t="str">
        <f>IF(D286=1,IF(TRIM(INDEX(Charge!$E:$E,ROW()))="","(non renseigné)",TRIM(INDEX(Charge!$E:$E,ROW()))),"")</f>
        <v/>
      </c>
      <c r="I286" s="165" t="str">
        <f>IF(AND(D286=1,ISNUMBER(INDEX(Charge!$N:$N,ROW()))),INDEX(Charge!$N:$N,ROW()),"")</f>
        <v/>
      </c>
      <c r="J286" s="165" t="str">
        <f>IF(I286="","",IF(AND(p_Repartition="Lissée jusqu'à la date de besoin",ISNUMBER(INDEX(Charge!$F:$F,ROW()))),IF(INDEX(Charge!$F:$F,ROW())&gt;=I286,INDEX(Charge!$F:$F,ROW()),I286),I286))</f>
        <v/>
      </c>
      <c r="K286" t="str">
        <f>IF(I286="","",NETWORKDAYS(I286,J286,Data!$K$4:$K$203))</f>
        <v/>
      </c>
      <c r="L286" t="str">
        <f>IF(D286=1,COUNTIFS($D$4:$D$503,1,$E$4:$E$503,"&gt;"&amp;E286)+COUNTIFS($D$4:$D286,1,$E$4:$E286,E286),"")</f>
        <v/>
      </c>
      <c r="M286">
        <f>IF(F286="",0,IF(COUNTIF($F$4:F286,F286)=1,1,0))</f>
        <v>0</v>
      </c>
      <c r="N286" t="str">
        <f>IF(M286=1,ROUND(SUMIF($F$4:$F$503,F286,$E$4:$E$503),2),"")</f>
        <v/>
      </c>
      <c r="O286" t="str">
        <f>IF(M286=1,COUNTIFS($M$4:$M$503,1,$N$4:$N$503,"&gt;"&amp;N286)+COUNTIFS($M$4:M286,1,$N$4:N286,N286),"")</f>
        <v/>
      </c>
      <c r="P286">
        <f>IF(G286="",0,IF(COUNTIF($G$4:G286,G286)=1,1,0))</f>
        <v>0</v>
      </c>
      <c r="Q286" t="str">
        <f>IF(P286=1,ROUND(SUMIF($G$4:$G$503,G286,$E$4:$E$503),2),"")</f>
        <v/>
      </c>
      <c r="R286" t="str">
        <f>IF(P286=1,COUNTIFS($P$4:$P$503,1,$Q$4:$Q$503,"&gt;"&amp;Q286)+COUNTIFS($P$4:P286,1,$Q$4:Q286,Q286),"")</f>
        <v/>
      </c>
      <c r="S286">
        <f>IF(H286="",0,IF(COUNTIF($H$4:H286,H286)=1,1,0))</f>
        <v>0</v>
      </c>
      <c r="T286" t="str">
        <f>IF(S286=1,ROUND(SUMIF($H$4:$H$503,H286,$E$4:$E$503),2),"")</f>
        <v/>
      </c>
      <c r="U286" t="str">
        <f>IF(S286=1,COUNTIFS($S$4:$S$503,1,$T$4:$T$503,"&gt;"&amp;T286)+COUNTIFS($S$4:S286,1,$T$4:T286,T286),"")</f>
        <v/>
      </c>
      <c r="V286" t="str">
        <f>IF(D286=1,MIN(INDEX($R$4:$R$503,MATCH(G286,$G$4:$G$503,0)),IF($AL$7&gt;9,9,999)),"")</f>
        <v/>
      </c>
      <c r="W286" s="166">
        <f>IF(OR($I286="",$E286=0),0,IF(OR($J286&lt;W$3,$I286&gt;W$2),0,IF($K286=0,IF(AND($I286&gt;=W$3,$I286&lt;=W$2),$E286,0),$E286*NETWORKDAYS(MAX($I286,W$3),MIN($J286,W$2),Data!$K$4:$K$203)/$K286)))</f>
        <v>0</v>
      </c>
      <c r="X286" s="166">
        <f>IF(OR($I286="",$E286=0),0,IF(OR($J286&lt;X$3,$I286&gt;X$2),0,IF($K286=0,IF(AND($I286&gt;=X$3,$I286&lt;=X$2),$E286,0),$E286*NETWORKDAYS(MAX($I286,X$3),MIN($J286,X$2),Data!$K$4:$K$203)/$K286)))</f>
        <v>0</v>
      </c>
      <c r="Y286" s="166">
        <f>IF(OR($I286="",$E286=0),0,IF(OR($J286&lt;Y$3,$I286&gt;Y$2),0,IF($K286=0,IF(AND($I286&gt;=Y$3,$I286&lt;=Y$2),$E286,0),$E286*NETWORKDAYS(MAX($I286,Y$3),MIN($J286,Y$2),Data!$K$4:$K$203)/$K286)))</f>
        <v>0</v>
      </c>
      <c r="Z286" s="166">
        <f>IF(OR($I286="",$E286=0),0,IF(OR($J286&lt;Z$3,$I286&gt;Z$2),0,IF($K286=0,IF(AND($I286&gt;=Z$3,$I286&lt;=Z$2),$E286,0),$E286*NETWORKDAYS(MAX($I286,Z$3),MIN($J286,Z$2),Data!$K$4:$K$203)/$K286)))</f>
        <v>0</v>
      </c>
      <c r="AA286" s="166">
        <f>IF(OR($I286="",$E286=0),0,IF(OR($J286&lt;AA$3,$I286&gt;AA$2),0,IF($K286=0,IF(AND($I286&gt;=AA$3,$I286&lt;=AA$2),$E286,0),$E286*NETWORKDAYS(MAX($I286,AA$3),MIN($J286,AA$2),Data!$K$4:$K$203)/$K286)))</f>
        <v>0</v>
      </c>
      <c r="AB286" s="166">
        <f>IF(OR($I286="",$E286=0),0,IF(OR($J286&lt;AB$3,$I286&gt;AB$2),0,IF($K286=0,IF(AND($I286&gt;=AB$3,$I286&lt;=AB$2),$E286,0),$E286*NETWORKDAYS(MAX($I286,AB$3),MIN($J286,AB$2),Data!$K$4:$K$203)/$K286)))</f>
        <v>0</v>
      </c>
      <c r="AC286" s="166">
        <f>IF(OR($I286="",$E286=0),0,IF(OR($J286&lt;AC$3,$I286&gt;AC$2),0,IF($K286=0,IF(AND($I286&gt;=AC$3,$I286&lt;=AC$2),$E286,0),$E286*NETWORKDAYS(MAX($I286,AC$3),MIN($J286,AC$2),Data!$K$4:$K$203)/$K286)))</f>
        <v>0</v>
      </c>
      <c r="AD286" s="166">
        <f>IF(OR($I286="",$E286=0),0,IF(OR($J286&lt;AD$3,$I286&gt;AD$2),0,IF($K286=0,IF(AND($I286&gt;=AD$3,$I286&lt;=AD$2),$E286,0),$E286*NETWORKDAYS(MAX($I286,AD$3),MIN($J286,AD$2),Data!$K$4:$K$203)/$K286)))</f>
        <v>0</v>
      </c>
      <c r="AE286" s="166">
        <f>IF(OR($I286="",$E286=0),0,IF(OR($J286&lt;AE$3,$I286&gt;AE$2),0,IF($K286=0,IF(AND($I286&gt;=AE$3,$I286&lt;=AE$2),$E286,0),$E286*NETWORKDAYS(MAX($I286,AE$3),MIN($J286,AE$2),Data!$K$4:$K$203)/$K286)))</f>
        <v>0</v>
      </c>
      <c r="AF286" s="166">
        <f>IF(OR($I286="",$E286=0),0,IF(OR($J286&lt;AF$3,$I286&gt;AF$2),0,IF($K286=0,IF(AND($I286&gt;=AF$3,$I286&lt;=AF$2),$E286,0),$E286*NETWORKDAYS(MAX($I286,AF$3),MIN($J286,AF$2),Data!$K$4:$K$203)/$K286)))</f>
        <v>0</v>
      </c>
      <c r="AG286" s="166">
        <f>IF(OR($I286="",$E286=0),0,IF(OR($J286&lt;AG$3,$I286&gt;AG$2),0,IF($K286=0,IF(AND($I286&gt;=AG$3,$I286&lt;=AG$2),$E286,0),$E286*NETWORKDAYS(MAX($I286,AG$3),MIN($J286,AG$2),Data!$K$4:$K$203)/$K286)))</f>
        <v>0</v>
      </c>
      <c r="AH286" s="166">
        <f>IF(OR($I286="",$E286=0),0,IF(OR($J286&lt;AH$3,$I286&gt;AH$2),0,IF($K286=0,IF(AND($I286&gt;=AH$3,$I286&lt;=AH$2),$E286,0),$E286*NETWORKDAYS(MAX($I286,AH$3),MIN($J286,AH$2),Data!$K$4:$K$203)/$K286)))</f>
        <v>0</v>
      </c>
      <c r="AI286" s="166">
        <f>SUM(W286:AH286)</f>
        <v>0</v>
      </c>
      <c r="BZ286" t="str">
        <f>IF(D286=1,IF(TRIM(INDEX(Charge!$K:$K,ROW()))&lt;&gt;"",TRIM(INDEX(Charge!$K:$K,ROW())),IF(TRIM(INDEX(Charge!$L:$L,ROW()))&lt;&gt;"",TRIM(INDEX(Charge!$L:$L,ROW())),"(non affecté)")),"")</f>
        <v/>
      </c>
      <c r="CA286" t="str">
        <f>IF(AND($CD$4&lt;&gt;"",BZ286=$CD$4),COUNTIFS($BZ$4:$BZ$503,$CD$4,$L$4:$L$503,"&lt;"&amp;L286)+1,"")</f>
        <v/>
      </c>
      <c r="EM286" t="str">
        <f>IF(D286=1,IF(TRIM(INDEX(Charge!$K:$K,ROW()))&lt;&gt;"","Interne",IF(TRIM(INDEX(Charge!$L:$L,ROW()))&lt;&gt;"","Externe","Non affecté")),"")</f>
        <v/>
      </c>
      <c r="EN286" t="str">
        <f>IF(D286=1,LEFT(SUBSTITUTE(SUBSTITUTE(SUBSTITUTE(TRIM(SUBSTITUTE(INDEX(Charge!$B:$B,ROW()),CHAR(160)," "))&amp;" | "&amp;TRIM(SUBSTITUTE(INDEX(Charge!$C:$C,ROW()),CHAR(160)," "))&amp;" | "&amp;TRIM(SUBSTITUTE(INDEX(Charge!$D:$D,ROW()),CHAR(160)," ")),"~","-"),"*","+"),"?","!"),240),"")</f>
        <v/>
      </c>
      <c r="EO286">
        <f>IF(EN286="",0,IF(COUNTIF($EN$4:EN286,EN286)=1,1,0))</f>
        <v>0</v>
      </c>
      <c r="EP286" s="166" t="str">
        <f>IF(EO286=1,ROUND(SUMIF($EN$4:$EN$503,EN286,$E$4:$E$503),2),"")</f>
        <v/>
      </c>
      <c r="EQ286" t="str">
        <f>IF(EO286=1,COUNTIFS($EO$4:$EO$503,1,$EP$4:$EP$503,"&gt;"&amp;EP286)+COUNTIFS($EO$4:EO286,1,$EP$4:EP286,EP286),"")</f>
        <v/>
      </c>
      <c r="ER286" t="str">
        <f>IF(EO286=1,COUNTIFS($EN$4:$EN$503,EN286,$EM$4:$EM$503,"Interne",$FE$4:$FE$503,1),"")</f>
        <v/>
      </c>
      <c r="ES286" t="str">
        <f>IF(EO286=1,COUNTIFS($EN$4:$EN$503,EN286,$EM$4:$EM$503,"Externe",$FE$4:$FE$503,1),"")</f>
        <v/>
      </c>
      <c r="ET286" t="str">
        <f>IF(EO286=1,IF(ER286+ES286=0,"à affecter",IF(ER286=0,ES286&amp;" ext.",(ER286+ES286)&amp;IF(ES286&gt;0," dont "&amp;ES286&amp;" ext.",""))&amp;IF(COUNTIFS($EN$4:$EN$503,EN286,$EM$4:$EM$503,"Non affecté")&gt;0," + à affecter","")),"")</f>
        <v/>
      </c>
      <c r="EU286" s="170" t="str">
        <f>IF(EO286=1,IF(EP286&gt;0,SUMPRODUCT(($EN$4:$EN$503=EN286)*$E$4:$E$503*$C$4:$C$503)/EP286,AVERAGEIF($EN$4:$EN$503,EN286,$C$4:$C$503)),"")</f>
        <v/>
      </c>
      <c r="EV286" s="165">
        <f>IF(ISNUMBER(I286),I286,2958465)</f>
        <v>2958465.0</v>
      </c>
      <c r="EW286" s="165" t="str">
        <f>IF(EO286=1,SUMPRODUCT(MIN(($EN$4:$EN$503=EN286)*$EV$4:$EV$503+($EN$4:$EN$503&lt;&gt;EN286)*2958465)),"")</f>
        <v/>
      </c>
      <c r="EX286" s="165">
        <f>IF(AND(D286=1,ISNUMBER(INDEX(Charge!$F:$F,ROW()))),INDEX(Charge!$F:$F,ROW()),0)</f>
        <v>0.0</v>
      </c>
      <c r="EY286" s="165" t="str">
        <f>IF(EO286=1,SUMPRODUCT(MAX(($EN$4:$EN$503=EN286)*$EX$4:$EX$503)),"")</f>
        <v/>
      </c>
      <c r="FA286" t="str">
        <f>IF(283&lt;=$CD$23,INDEX($EJ$4:$EJ$203,283),IF(283-$CD$23&lt;=$CD$26,INDEX($EK$4:$EK$203,283-$CD$23),""))</f>
        <v/>
      </c>
      <c r="FB286" t="str">
        <f>IF(FA286="","",IF(283&lt;=$CD$23,"Interne","Externe"))</f>
        <v/>
      </c>
      <c r="FD286">
        <f>IF(AND(B286=1,TRIM(INDEX(Charge!$K:$K,ROW()))&lt;&gt;"",TRIM(INDEX(Charge!$L:$L,ROW()))&lt;&gt;""),1,0)</f>
        <v>0</v>
      </c>
      <c r="FE286">
        <f>IF(OR(EN286="",BZ286="(non affecté)"),0,IF(COUNTIFS($EN$4:EN286,EN286,$BZ$4:BZ286,BZ286)=1,1,0))</f>
        <v>0</v>
      </c>
    </row>
    <row r="287">
      <c r="A287">
        <f>ROW()</f>
        <v>287</v>
      </c>
      <c r="B287">
        <f>IF(TRIM(INDEX(Charge!$B:$B,ROW()))&lt;&gt;"",1,0)</f>
        <v>0</v>
      </c>
      <c r="C287">
        <f>IF(B287=1,MIN(1,MAX(0,N(INDEX(Charge!$O:$O,ROW())))),0)</f>
        <v>0</v>
      </c>
      <c r="D287">
        <f>IF(B287=1,IF(OR(p_Perimetre="Tous les projets",C287&lt;1),1,0),0)</f>
        <v>0</v>
      </c>
      <c r="E287">
        <f>IF(D287=1,MAX(0,N(INDEX(Charge!$M:$M,ROW()))),0)</f>
        <v>0</v>
      </c>
      <c r="F287" t="str">
        <f>IF(D287=1,IF(TRIM(INDEX(Charge!$A:$A,ROW()))="","(non renseigné)",TRIM(INDEX(Charge!$A:$A,ROW()))),"")</f>
        <v/>
      </c>
      <c r="G287" t="str">
        <f>IF(D287=1,TRIM(INDEX(Charge!$B:$B,ROW())),"")</f>
        <v/>
      </c>
      <c r="H287" t="str">
        <f>IF(D287=1,IF(TRIM(INDEX(Charge!$E:$E,ROW()))="","(non renseigné)",TRIM(INDEX(Charge!$E:$E,ROW()))),"")</f>
        <v/>
      </c>
      <c r="I287" s="165" t="str">
        <f>IF(AND(D287=1,ISNUMBER(INDEX(Charge!$N:$N,ROW()))),INDEX(Charge!$N:$N,ROW()),"")</f>
        <v/>
      </c>
      <c r="J287" s="165" t="str">
        <f>IF(I287="","",IF(AND(p_Repartition="Lissée jusqu'à la date de besoin",ISNUMBER(INDEX(Charge!$F:$F,ROW()))),IF(INDEX(Charge!$F:$F,ROW())&gt;=I287,INDEX(Charge!$F:$F,ROW()),I287),I287))</f>
        <v/>
      </c>
      <c r="K287" t="str">
        <f>IF(I287="","",NETWORKDAYS(I287,J287,Data!$K$4:$K$203))</f>
        <v/>
      </c>
      <c r="L287" t="str">
        <f>IF(D287=1,COUNTIFS($D$4:$D$503,1,$E$4:$E$503,"&gt;"&amp;E287)+COUNTIFS($D$4:$D287,1,$E$4:$E287,E287),"")</f>
        <v/>
      </c>
      <c r="M287">
        <f>IF(F287="",0,IF(COUNTIF($F$4:F287,F287)=1,1,0))</f>
        <v>0</v>
      </c>
      <c r="N287" t="str">
        <f>IF(M287=1,ROUND(SUMIF($F$4:$F$503,F287,$E$4:$E$503),2),"")</f>
        <v/>
      </c>
      <c r="O287" t="str">
        <f>IF(M287=1,COUNTIFS($M$4:$M$503,1,$N$4:$N$503,"&gt;"&amp;N287)+COUNTIFS($M$4:M287,1,$N$4:N287,N287),"")</f>
        <v/>
      </c>
      <c r="P287">
        <f>IF(G287="",0,IF(COUNTIF($G$4:G287,G287)=1,1,0))</f>
        <v>0</v>
      </c>
      <c r="Q287" t="str">
        <f>IF(P287=1,ROUND(SUMIF($G$4:$G$503,G287,$E$4:$E$503),2),"")</f>
        <v/>
      </c>
      <c r="R287" t="str">
        <f>IF(P287=1,COUNTIFS($P$4:$P$503,1,$Q$4:$Q$503,"&gt;"&amp;Q287)+COUNTIFS($P$4:P287,1,$Q$4:Q287,Q287),"")</f>
        <v/>
      </c>
      <c r="S287">
        <f>IF(H287="",0,IF(COUNTIF($H$4:H287,H287)=1,1,0))</f>
        <v>0</v>
      </c>
      <c r="T287" t="str">
        <f>IF(S287=1,ROUND(SUMIF($H$4:$H$503,H287,$E$4:$E$503),2),"")</f>
        <v/>
      </c>
      <c r="U287" t="str">
        <f>IF(S287=1,COUNTIFS($S$4:$S$503,1,$T$4:$T$503,"&gt;"&amp;T287)+COUNTIFS($S$4:S287,1,$T$4:T287,T287),"")</f>
        <v/>
      </c>
      <c r="V287" t="str">
        <f>IF(D287=1,MIN(INDEX($R$4:$R$503,MATCH(G287,$G$4:$G$503,0)),IF($AL$7&gt;9,9,999)),"")</f>
        <v/>
      </c>
      <c r="W287" s="166">
        <f>IF(OR($I287="",$E287=0),0,IF(OR($J287&lt;W$3,$I287&gt;W$2),0,IF($K287=0,IF(AND($I287&gt;=W$3,$I287&lt;=W$2),$E287,0),$E287*NETWORKDAYS(MAX($I287,W$3),MIN($J287,W$2),Data!$K$4:$K$203)/$K287)))</f>
        <v>0</v>
      </c>
      <c r="X287" s="166">
        <f>IF(OR($I287="",$E287=0),0,IF(OR($J287&lt;X$3,$I287&gt;X$2),0,IF($K287=0,IF(AND($I287&gt;=X$3,$I287&lt;=X$2),$E287,0),$E287*NETWORKDAYS(MAX($I287,X$3),MIN($J287,X$2),Data!$K$4:$K$203)/$K287)))</f>
        <v>0</v>
      </c>
      <c r="Y287" s="166">
        <f>IF(OR($I287="",$E287=0),0,IF(OR($J287&lt;Y$3,$I287&gt;Y$2),0,IF($K287=0,IF(AND($I287&gt;=Y$3,$I287&lt;=Y$2),$E287,0),$E287*NETWORKDAYS(MAX($I287,Y$3),MIN($J287,Y$2),Data!$K$4:$K$203)/$K287)))</f>
        <v>0</v>
      </c>
      <c r="Z287" s="166">
        <f>IF(OR($I287="",$E287=0),0,IF(OR($J287&lt;Z$3,$I287&gt;Z$2),0,IF($K287=0,IF(AND($I287&gt;=Z$3,$I287&lt;=Z$2),$E287,0),$E287*NETWORKDAYS(MAX($I287,Z$3),MIN($J287,Z$2),Data!$K$4:$K$203)/$K287)))</f>
        <v>0</v>
      </c>
      <c r="AA287" s="166">
        <f>IF(OR($I287="",$E287=0),0,IF(OR($J287&lt;AA$3,$I287&gt;AA$2),0,IF($K287=0,IF(AND($I287&gt;=AA$3,$I287&lt;=AA$2),$E287,0),$E287*NETWORKDAYS(MAX($I287,AA$3),MIN($J287,AA$2),Data!$K$4:$K$203)/$K287)))</f>
        <v>0</v>
      </c>
      <c r="AB287" s="166">
        <f>IF(OR($I287="",$E287=0),0,IF(OR($J287&lt;AB$3,$I287&gt;AB$2),0,IF($K287=0,IF(AND($I287&gt;=AB$3,$I287&lt;=AB$2),$E287,0),$E287*NETWORKDAYS(MAX($I287,AB$3),MIN($J287,AB$2),Data!$K$4:$K$203)/$K287)))</f>
        <v>0</v>
      </c>
      <c r="AC287" s="166">
        <f>IF(OR($I287="",$E287=0),0,IF(OR($J287&lt;AC$3,$I287&gt;AC$2),0,IF($K287=0,IF(AND($I287&gt;=AC$3,$I287&lt;=AC$2),$E287,0),$E287*NETWORKDAYS(MAX($I287,AC$3),MIN($J287,AC$2),Data!$K$4:$K$203)/$K287)))</f>
        <v>0</v>
      </c>
      <c r="AD287" s="166">
        <f>IF(OR($I287="",$E287=0),0,IF(OR($J287&lt;AD$3,$I287&gt;AD$2),0,IF($K287=0,IF(AND($I287&gt;=AD$3,$I287&lt;=AD$2),$E287,0),$E287*NETWORKDAYS(MAX($I287,AD$3),MIN($J287,AD$2),Data!$K$4:$K$203)/$K287)))</f>
        <v>0</v>
      </c>
      <c r="AE287" s="166">
        <f>IF(OR($I287="",$E287=0),0,IF(OR($J287&lt;AE$3,$I287&gt;AE$2),0,IF($K287=0,IF(AND($I287&gt;=AE$3,$I287&lt;=AE$2),$E287,0),$E287*NETWORKDAYS(MAX($I287,AE$3),MIN($J287,AE$2),Data!$K$4:$K$203)/$K287)))</f>
        <v>0</v>
      </c>
      <c r="AF287" s="166">
        <f>IF(OR($I287="",$E287=0),0,IF(OR($J287&lt;AF$3,$I287&gt;AF$2),0,IF($K287=0,IF(AND($I287&gt;=AF$3,$I287&lt;=AF$2),$E287,0),$E287*NETWORKDAYS(MAX($I287,AF$3),MIN($J287,AF$2),Data!$K$4:$K$203)/$K287)))</f>
        <v>0</v>
      </c>
      <c r="AG287" s="166">
        <f>IF(OR($I287="",$E287=0),0,IF(OR($J287&lt;AG$3,$I287&gt;AG$2),0,IF($K287=0,IF(AND($I287&gt;=AG$3,$I287&lt;=AG$2),$E287,0),$E287*NETWORKDAYS(MAX($I287,AG$3),MIN($J287,AG$2),Data!$K$4:$K$203)/$K287)))</f>
        <v>0</v>
      </c>
      <c r="AH287" s="166">
        <f>IF(OR($I287="",$E287=0),0,IF(OR($J287&lt;AH$3,$I287&gt;AH$2),0,IF($K287=0,IF(AND($I287&gt;=AH$3,$I287&lt;=AH$2),$E287,0),$E287*NETWORKDAYS(MAX($I287,AH$3),MIN($J287,AH$2),Data!$K$4:$K$203)/$K287)))</f>
        <v>0</v>
      </c>
      <c r="AI287" s="166">
        <f>SUM(W287:AH287)</f>
        <v>0</v>
      </c>
      <c r="BZ287" t="str">
        <f>IF(D287=1,IF(TRIM(INDEX(Charge!$K:$K,ROW()))&lt;&gt;"",TRIM(INDEX(Charge!$K:$K,ROW())),IF(TRIM(INDEX(Charge!$L:$L,ROW()))&lt;&gt;"",TRIM(INDEX(Charge!$L:$L,ROW())),"(non affecté)")),"")</f>
        <v/>
      </c>
      <c r="CA287" t="str">
        <f>IF(AND($CD$4&lt;&gt;"",BZ287=$CD$4),COUNTIFS($BZ$4:$BZ$503,$CD$4,$L$4:$L$503,"&lt;"&amp;L287)+1,"")</f>
        <v/>
      </c>
      <c r="EM287" t="str">
        <f>IF(D287=1,IF(TRIM(INDEX(Charge!$K:$K,ROW()))&lt;&gt;"","Interne",IF(TRIM(INDEX(Charge!$L:$L,ROW()))&lt;&gt;"","Externe","Non affecté")),"")</f>
        <v/>
      </c>
      <c r="EN287" t="str">
        <f>IF(D287=1,LEFT(SUBSTITUTE(SUBSTITUTE(SUBSTITUTE(TRIM(SUBSTITUTE(INDEX(Charge!$B:$B,ROW()),CHAR(160)," "))&amp;" | "&amp;TRIM(SUBSTITUTE(INDEX(Charge!$C:$C,ROW()),CHAR(160)," "))&amp;" | "&amp;TRIM(SUBSTITUTE(INDEX(Charge!$D:$D,ROW()),CHAR(160)," ")),"~","-"),"*","+"),"?","!"),240),"")</f>
        <v/>
      </c>
      <c r="EO287">
        <f>IF(EN287="",0,IF(COUNTIF($EN$4:EN287,EN287)=1,1,0))</f>
        <v>0</v>
      </c>
      <c r="EP287" s="166" t="str">
        <f>IF(EO287=1,ROUND(SUMIF($EN$4:$EN$503,EN287,$E$4:$E$503),2),"")</f>
        <v/>
      </c>
      <c r="EQ287" t="str">
        <f>IF(EO287=1,COUNTIFS($EO$4:$EO$503,1,$EP$4:$EP$503,"&gt;"&amp;EP287)+COUNTIFS($EO$4:EO287,1,$EP$4:EP287,EP287),"")</f>
        <v/>
      </c>
      <c r="ER287" t="str">
        <f>IF(EO287=1,COUNTIFS($EN$4:$EN$503,EN287,$EM$4:$EM$503,"Interne",$FE$4:$FE$503,1),"")</f>
        <v/>
      </c>
      <c r="ES287" t="str">
        <f>IF(EO287=1,COUNTIFS($EN$4:$EN$503,EN287,$EM$4:$EM$503,"Externe",$FE$4:$FE$503,1),"")</f>
        <v/>
      </c>
      <c r="ET287" t="str">
        <f>IF(EO287=1,IF(ER287+ES287=0,"à affecter",IF(ER287=0,ES287&amp;" ext.",(ER287+ES287)&amp;IF(ES287&gt;0," dont "&amp;ES287&amp;" ext.",""))&amp;IF(COUNTIFS($EN$4:$EN$503,EN287,$EM$4:$EM$503,"Non affecté")&gt;0," + à affecter","")),"")</f>
        <v/>
      </c>
      <c r="EU287" s="170" t="str">
        <f>IF(EO287=1,IF(EP287&gt;0,SUMPRODUCT(($EN$4:$EN$503=EN287)*$E$4:$E$503*$C$4:$C$503)/EP287,AVERAGEIF($EN$4:$EN$503,EN287,$C$4:$C$503)),"")</f>
        <v/>
      </c>
      <c r="EV287" s="165">
        <f>IF(ISNUMBER(I287),I287,2958465)</f>
        <v>2958465.0</v>
      </c>
      <c r="EW287" s="165" t="str">
        <f>IF(EO287=1,SUMPRODUCT(MIN(($EN$4:$EN$503=EN287)*$EV$4:$EV$503+($EN$4:$EN$503&lt;&gt;EN287)*2958465)),"")</f>
        <v/>
      </c>
      <c r="EX287" s="165">
        <f>IF(AND(D287=1,ISNUMBER(INDEX(Charge!$F:$F,ROW()))),INDEX(Charge!$F:$F,ROW()),0)</f>
        <v>0.0</v>
      </c>
      <c r="EY287" s="165" t="str">
        <f>IF(EO287=1,SUMPRODUCT(MAX(($EN$4:$EN$503=EN287)*$EX$4:$EX$503)),"")</f>
        <v/>
      </c>
      <c r="FA287" t="str">
        <f>IF(284&lt;=$CD$23,INDEX($EJ$4:$EJ$203,284),IF(284-$CD$23&lt;=$CD$26,INDEX($EK$4:$EK$203,284-$CD$23),""))</f>
        <v/>
      </c>
      <c r="FB287" t="str">
        <f>IF(FA287="","",IF(284&lt;=$CD$23,"Interne","Externe"))</f>
        <v/>
      </c>
      <c r="FD287">
        <f>IF(AND(B287=1,TRIM(INDEX(Charge!$K:$K,ROW()))&lt;&gt;"",TRIM(INDEX(Charge!$L:$L,ROW()))&lt;&gt;""),1,0)</f>
        <v>0</v>
      </c>
      <c r="FE287">
        <f>IF(OR(EN287="",BZ287="(non affecté)"),0,IF(COUNTIFS($EN$4:EN287,EN287,$BZ$4:BZ287,BZ287)=1,1,0))</f>
        <v>0</v>
      </c>
    </row>
    <row r="288">
      <c r="A288">
        <f>ROW()</f>
        <v>288</v>
      </c>
      <c r="B288">
        <f>IF(TRIM(INDEX(Charge!$B:$B,ROW()))&lt;&gt;"",1,0)</f>
        <v>0</v>
      </c>
      <c r="C288">
        <f>IF(B288=1,MIN(1,MAX(0,N(INDEX(Charge!$O:$O,ROW())))),0)</f>
        <v>0</v>
      </c>
      <c r="D288">
        <f>IF(B288=1,IF(OR(p_Perimetre="Tous les projets",C288&lt;1),1,0),0)</f>
        <v>0</v>
      </c>
      <c r="E288">
        <f>IF(D288=1,MAX(0,N(INDEX(Charge!$M:$M,ROW()))),0)</f>
        <v>0</v>
      </c>
      <c r="F288" t="str">
        <f>IF(D288=1,IF(TRIM(INDEX(Charge!$A:$A,ROW()))="","(non renseigné)",TRIM(INDEX(Charge!$A:$A,ROW()))),"")</f>
        <v/>
      </c>
      <c r="G288" t="str">
        <f>IF(D288=1,TRIM(INDEX(Charge!$B:$B,ROW())),"")</f>
        <v/>
      </c>
      <c r="H288" t="str">
        <f>IF(D288=1,IF(TRIM(INDEX(Charge!$E:$E,ROW()))="","(non renseigné)",TRIM(INDEX(Charge!$E:$E,ROW()))),"")</f>
        <v/>
      </c>
      <c r="I288" s="165" t="str">
        <f>IF(AND(D288=1,ISNUMBER(INDEX(Charge!$N:$N,ROW()))),INDEX(Charge!$N:$N,ROW()),"")</f>
        <v/>
      </c>
      <c r="J288" s="165" t="str">
        <f>IF(I288="","",IF(AND(p_Repartition="Lissée jusqu'à la date de besoin",ISNUMBER(INDEX(Charge!$F:$F,ROW()))),IF(INDEX(Charge!$F:$F,ROW())&gt;=I288,INDEX(Charge!$F:$F,ROW()),I288),I288))</f>
        <v/>
      </c>
      <c r="K288" t="str">
        <f>IF(I288="","",NETWORKDAYS(I288,J288,Data!$K$4:$K$203))</f>
        <v/>
      </c>
      <c r="L288" t="str">
        <f>IF(D288=1,COUNTIFS($D$4:$D$503,1,$E$4:$E$503,"&gt;"&amp;E288)+COUNTIFS($D$4:$D288,1,$E$4:$E288,E288),"")</f>
        <v/>
      </c>
      <c r="M288">
        <f>IF(F288="",0,IF(COUNTIF($F$4:F288,F288)=1,1,0))</f>
        <v>0</v>
      </c>
      <c r="N288" t="str">
        <f>IF(M288=1,ROUND(SUMIF($F$4:$F$503,F288,$E$4:$E$503),2),"")</f>
        <v/>
      </c>
      <c r="O288" t="str">
        <f>IF(M288=1,COUNTIFS($M$4:$M$503,1,$N$4:$N$503,"&gt;"&amp;N288)+COUNTIFS($M$4:M288,1,$N$4:N288,N288),"")</f>
        <v/>
      </c>
      <c r="P288">
        <f>IF(G288="",0,IF(COUNTIF($G$4:G288,G288)=1,1,0))</f>
        <v>0</v>
      </c>
      <c r="Q288" t="str">
        <f>IF(P288=1,ROUND(SUMIF($G$4:$G$503,G288,$E$4:$E$503),2),"")</f>
        <v/>
      </c>
      <c r="R288" t="str">
        <f>IF(P288=1,COUNTIFS($P$4:$P$503,1,$Q$4:$Q$503,"&gt;"&amp;Q288)+COUNTIFS($P$4:P288,1,$Q$4:Q288,Q288),"")</f>
        <v/>
      </c>
      <c r="S288">
        <f>IF(H288="",0,IF(COUNTIF($H$4:H288,H288)=1,1,0))</f>
        <v>0</v>
      </c>
      <c r="T288" t="str">
        <f>IF(S288=1,ROUND(SUMIF($H$4:$H$503,H288,$E$4:$E$503),2),"")</f>
        <v/>
      </c>
      <c r="U288" t="str">
        <f>IF(S288=1,COUNTIFS($S$4:$S$503,1,$T$4:$T$503,"&gt;"&amp;T288)+COUNTIFS($S$4:S288,1,$T$4:T288,T288),"")</f>
        <v/>
      </c>
      <c r="V288" t="str">
        <f>IF(D288=1,MIN(INDEX($R$4:$R$503,MATCH(G288,$G$4:$G$503,0)),IF($AL$7&gt;9,9,999)),"")</f>
        <v/>
      </c>
      <c r="W288" s="166">
        <f>IF(OR($I288="",$E288=0),0,IF(OR($J288&lt;W$3,$I288&gt;W$2),0,IF($K288=0,IF(AND($I288&gt;=W$3,$I288&lt;=W$2),$E288,0),$E288*NETWORKDAYS(MAX($I288,W$3),MIN($J288,W$2),Data!$K$4:$K$203)/$K288)))</f>
        <v>0</v>
      </c>
      <c r="X288" s="166">
        <f>IF(OR($I288="",$E288=0),0,IF(OR($J288&lt;X$3,$I288&gt;X$2),0,IF($K288=0,IF(AND($I288&gt;=X$3,$I288&lt;=X$2),$E288,0),$E288*NETWORKDAYS(MAX($I288,X$3),MIN($J288,X$2),Data!$K$4:$K$203)/$K288)))</f>
        <v>0</v>
      </c>
      <c r="Y288" s="166">
        <f>IF(OR($I288="",$E288=0),0,IF(OR($J288&lt;Y$3,$I288&gt;Y$2),0,IF($K288=0,IF(AND($I288&gt;=Y$3,$I288&lt;=Y$2),$E288,0),$E288*NETWORKDAYS(MAX($I288,Y$3),MIN($J288,Y$2),Data!$K$4:$K$203)/$K288)))</f>
        <v>0</v>
      </c>
      <c r="Z288" s="166">
        <f>IF(OR($I288="",$E288=0),0,IF(OR($J288&lt;Z$3,$I288&gt;Z$2),0,IF($K288=0,IF(AND($I288&gt;=Z$3,$I288&lt;=Z$2),$E288,0),$E288*NETWORKDAYS(MAX($I288,Z$3),MIN($J288,Z$2),Data!$K$4:$K$203)/$K288)))</f>
        <v>0</v>
      </c>
      <c r="AA288" s="166">
        <f>IF(OR($I288="",$E288=0),0,IF(OR($J288&lt;AA$3,$I288&gt;AA$2),0,IF($K288=0,IF(AND($I288&gt;=AA$3,$I288&lt;=AA$2),$E288,0),$E288*NETWORKDAYS(MAX($I288,AA$3),MIN($J288,AA$2),Data!$K$4:$K$203)/$K288)))</f>
        <v>0</v>
      </c>
      <c r="AB288" s="166">
        <f>IF(OR($I288="",$E288=0),0,IF(OR($J288&lt;AB$3,$I288&gt;AB$2),0,IF($K288=0,IF(AND($I288&gt;=AB$3,$I288&lt;=AB$2),$E288,0),$E288*NETWORKDAYS(MAX($I288,AB$3),MIN($J288,AB$2),Data!$K$4:$K$203)/$K288)))</f>
        <v>0</v>
      </c>
      <c r="AC288" s="166">
        <f>IF(OR($I288="",$E288=0),0,IF(OR($J288&lt;AC$3,$I288&gt;AC$2),0,IF($K288=0,IF(AND($I288&gt;=AC$3,$I288&lt;=AC$2),$E288,0),$E288*NETWORKDAYS(MAX($I288,AC$3),MIN($J288,AC$2),Data!$K$4:$K$203)/$K288)))</f>
        <v>0</v>
      </c>
      <c r="AD288" s="166">
        <f>IF(OR($I288="",$E288=0),0,IF(OR($J288&lt;AD$3,$I288&gt;AD$2),0,IF($K288=0,IF(AND($I288&gt;=AD$3,$I288&lt;=AD$2),$E288,0),$E288*NETWORKDAYS(MAX($I288,AD$3),MIN($J288,AD$2),Data!$K$4:$K$203)/$K288)))</f>
        <v>0</v>
      </c>
      <c r="AE288" s="166">
        <f>IF(OR($I288="",$E288=0),0,IF(OR($J288&lt;AE$3,$I288&gt;AE$2),0,IF($K288=0,IF(AND($I288&gt;=AE$3,$I288&lt;=AE$2),$E288,0),$E288*NETWORKDAYS(MAX($I288,AE$3),MIN($J288,AE$2),Data!$K$4:$K$203)/$K288)))</f>
        <v>0</v>
      </c>
      <c r="AF288" s="166">
        <f>IF(OR($I288="",$E288=0),0,IF(OR($J288&lt;AF$3,$I288&gt;AF$2),0,IF($K288=0,IF(AND($I288&gt;=AF$3,$I288&lt;=AF$2),$E288,0),$E288*NETWORKDAYS(MAX($I288,AF$3),MIN($J288,AF$2),Data!$K$4:$K$203)/$K288)))</f>
        <v>0</v>
      </c>
      <c r="AG288" s="166">
        <f>IF(OR($I288="",$E288=0),0,IF(OR($J288&lt;AG$3,$I288&gt;AG$2),0,IF($K288=0,IF(AND($I288&gt;=AG$3,$I288&lt;=AG$2),$E288,0),$E288*NETWORKDAYS(MAX($I288,AG$3),MIN($J288,AG$2),Data!$K$4:$K$203)/$K288)))</f>
        <v>0</v>
      </c>
      <c r="AH288" s="166">
        <f>IF(OR($I288="",$E288=0),0,IF(OR($J288&lt;AH$3,$I288&gt;AH$2),0,IF($K288=0,IF(AND($I288&gt;=AH$3,$I288&lt;=AH$2),$E288,0),$E288*NETWORKDAYS(MAX($I288,AH$3),MIN($J288,AH$2),Data!$K$4:$K$203)/$K288)))</f>
        <v>0</v>
      </c>
      <c r="AI288" s="166">
        <f>SUM(W288:AH288)</f>
        <v>0</v>
      </c>
      <c r="BZ288" t="str">
        <f>IF(D288=1,IF(TRIM(INDEX(Charge!$K:$K,ROW()))&lt;&gt;"",TRIM(INDEX(Charge!$K:$K,ROW())),IF(TRIM(INDEX(Charge!$L:$L,ROW()))&lt;&gt;"",TRIM(INDEX(Charge!$L:$L,ROW())),"(non affecté)")),"")</f>
        <v/>
      </c>
      <c r="CA288" t="str">
        <f>IF(AND($CD$4&lt;&gt;"",BZ288=$CD$4),COUNTIFS($BZ$4:$BZ$503,$CD$4,$L$4:$L$503,"&lt;"&amp;L288)+1,"")</f>
        <v/>
      </c>
      <c r="EM288" t="str">
        <f>IF(D288=1,IF(TRIM(INDEX(Charge!$K:$K,ROW()))&lt;&gt;"","Interne",IF(TRIM(INDEX(Charge!$L:$L,ROW()))&lt;&gt;"","Externe","Non affecté")),"")</f>
        <v/>
      </c>
      <c r="EN288" t="str">
        <f>IF(D288=1,LEFT(SUBSTITUTE(SUBSTITUTE(SUBSTITUTE(TRIM(SUBSTITUTE(INDEX(Charge!$B:$B,ROW()),CHAR(160)," "))&amp;" | "&amp;TRIM(SUBSTITUTE(INDEX(Charge!$C:$C,ROW()),CHAR(160)," "))&amp;" | "&amp;TRIM(SUBSTITUTE(INDEX(Charge!$D:$D,ROW()),CHAR(160)," ")),"~","-"),"*","+"),"?","!"),240),"")</f>
        <v/>
      </c>
      <c r="EO288">
        <f>IF(EN288="",0,IF(COUNTIF($EN$4:EN288,EN288)=1,1,0))</f>
        <v>0</v>
      </c>
      <c r="EP288" s="166" t="str">
        <f>IF(EO288=1,ROUND(SUMIF($EN$4:$EN$503,EN288,$E$4:$E$503),2),"")</f>
        <v/>
      </c>
      <c r="EQ288" t="str">
        <f>IF(EO288=1,COUNTIFS($EO$4:$EO$503,1,$EP$4:$EP$503,"&gt;"&amp;EP288)+COUNTIFS($EO$4:EO288,1,$EP$4:EP288,EP288),"")</f>
        <v/>
      </c>
      <c r="ER288" t="str">
        <f>IF(EO288=1,COUNTIFS($EN$4:$EN$503,EN288,$EM$4:$EM$503,"Interne",$FE$4:$FE$503,1),"")</f>
        <v/>
      </c>
      <c r="ES288" t="str">
        <f>IF(EO288=1,COUNTIFS($EN$4:$EN$503,EN288,$EM$4:$EM$503,"Externe",$FE$4:$FE$503,1),"")</f>
        <v/>
      </c>
      <c r="ET288" t="str">
        <f>IF(EO288=1,IF(ER288+ES288=0,"à affecter",IF(ER288=0,ES288&amp;" ext.",(ER288+ES288)&amp;IF(ES288&gt;0," dont "&amp;ES288&amp;" ext.",""))&amp;IF(COUNTIFS($EN$4:$EN$503,EN288,$EM$4:$EM$503,"Non affecté")&gt;0," + à affecter","")),"")</f>
        <v/>
      </c>
      <c r="EU288" s="170" t="str">
        <f>IF(EO288=1,IF(EP288&gt;0,SUMPRODUCT(($EN$4:$EN$503=EN288)*$E$4:$E$503*$C$4:$C$503)/EP288,AVERAGEIF($EN$4:$EN$503,EN288,$C$4:$C$503)),"")</f>
        <v/>
      </c>
      <c r="EV288" s="165">
        <f>IF(ISNUMBER(I288),I288,2958465)</f>
        <v>2958465.0</v>
      </c>
      <c r="EW288" s="165" t="str">
        <f>IF(EO288=1,SUMPRODUCT(MIN(($EN$4:$EN$503=EN288)*$EV$4:$EV$503+($EN$4:$EN$503&lt;&gt;EN288)*2958465)),"")</f>
        <v/>
      </c>
      <c r="EX288" s="165">
        <f>IF(AND(D288=1,ISNUMBER(INDEX(Charge!$F:$F,ROW()))),INDEX(Charge!$F:$F,ROW()),0)</f>
        <v>0.0</v>
      </c>
      <c r="EY288" s="165" t="str">
        <f>IF(EO288=1,SUMPRODUCT(MAX(($EN$4:$EN$503=EN288)*$EX$4:$EX$503)),"")</f>
        <v/>
      </c>
      <c r="FA288" t="str">
        <f>IF(285&lt;=$CD$23,INDEX($EJ$4:$EJ$203,285),IF(285-$CD$23&lt;=$CD$26,INDEX($EK$4:$EK$203,285-$CD$23),""))</f>
        <v/>
      </c>
      <c r="FB288" t="str">
        <f>IF(FA288="","",IF(285&lt;=$CD$23,"Interne","Externe"))</f>
        <v/>
      </c>
      <c r="FD288">
        <f>IF(AND(B288=1,TRIM(INDEX(Charge!$K:$K,ROW()))&lt;&gt;"",TRIM(INDEX(Charge!$L:$L,ROW()))&lt;&gt;""),1,0)</f>
        <v>0</v>
      </c>
      <c r="FE288">
        <f>IF(OR(EN288="",BZ288="(non affecté)"),0,IF(COUNTIFS($EN$4:EN288,EN288,$BZ$4:BZ288,BZ288)=1,1,0))</f>
        <v>0</v>
      </c>
    </row>
    <row r="289">
      <c r="A289">
        <f>ROW()</f>
        <v>289</v>
      </c>
      <c r="B289">
        <f>IF(TRIM(INDEX(Charge!$B:$B,ROW()))&lt;&gt;"",1,0)</f>
        <v>0</v>
      </c>
      <c r="C289">
        <f>IF(B289=1,MIN(1,MAX(0,N(INDEX(Charge!$O:$O,ROW())))),0)</f>
        <v>0</v>
      </c>
      <c r="D289">
        <f>IF(B289=1,IF(OR(p_Perimetre="Tous les projets",C289&lt;1),1,0),0)</f>
        <v>0</v>
      </c>
      <c r="E289">
        <f>IF(D289=1,MAX(0,N(INDEX(Charge!$M:$M,ROW()))),0)</f>
        <v>0</v>
      </c>
      <c r="F289" t="str">
        <f>IF(D289=1,IF(TRIM(INDEX(Charge!$A:$A,ROW()))="","(non renseigné)",TRIM(INDEX(Charge!$A:$A,ROW()))),"")</f>
        <v/>
      </c>
      <c r="G289" t="str">
        <f>IF(D289=1,TRIM(INDEX(Charge!$B:$B,ROW())),"")</f>
        <v/>
      </c>
      <c r="H289" t="str">
        <f>IF(D289=1,IF(TRIM(INDEX(Charge!$E:$E,ROW()))="","(non renseigné)",TRIM(INDEX(Charge!$E:$E,ROW()))),"")</f>
        <v/>
      </c>
      <c r="I289" s="165" t="str">
        <f>IF(AND(D289=1,ISNUMBER(INDEX(Charge!$N:$N,ROW()))),INDEX(Charge!$N:$N,ROW()),"")</f>
        <v/>
      </c>
      <c r="J289" s="165" t="str">
        <f>IF(I289="","",IF(AND(p_Repartition="Lissée jusqu'à la date de besoin",ISNUMBER(INDEX(Charge!$F:$F,ROW()))),IF(INDEX(Charge!$F:$F,ROW())&gt;=I289,INDEX(Charge!$F:$F,ROW()),I289),I289))</f>
        <v/>
      </c>
      <c r="K289" t="str">
        <f>IF(I289="","",NETWORKDAYS(I289,J289,Data!$K$4:$K$203))</f>
        <v/>
      </c>
      <c r="L289" t="str">
        <f>IF(D289=1,COUNTIFS($D$4:$D$503,1,$E$4:$E$503,"&gt;"&amp;E289)+COUNTIFS($D$4:$D289,1,$E$4:$E289,E289),"")</f>
        <v/>
      </c>
      <c r="M289">
        <f>IF(F289="",0,IF(COUNTIF($F$4:F289,F289)=1,1,0))</f>
        <v>0</v>
      </c>
      <c r="N289" t="str">
        <f>IF(M289=1,ROUND(SUMIF($F$4:$F$503,F289,$E$4:$E$503),2),"")</f>
        <v/>
      </c>
      <c r="O289" t="str">
        <f>IF(M289=1,COUNTIFS($M$4:$M$503,1,$N$4:$N$503,"&gt;"&amp;N289)+COUNTIFS($M$4:M289,1,$N$4:N289,N289),"")</f>
        <v/>
      </c>
      <c r="P289">
        <f>IF(G289="",0,IF(COUNTIF($G$4:G289,G289)=1,1,0))</f>
        <v>0</v>
      </c>
      <c r="Q289" t="str">
        <f>IF(P289=1,ROUND(SUMIF($G$4:$G$503,G289,$E$4:$E$503),2),"")</f>
        <v/>
      </c>
      <c r="R289" t="str">
        <f>IF(P289=1,COUNTIFS($P$4:$P$503,1,$Q$4:$Q$503,"&gt;"&amp;Q289)+COUNTIFS($P$4:P289,1,$Q$4:Q289,Q289),"")</f>
        <v/>
      </c>
      <c r="S289">
        <f>IF(H289="",0,IF(COUNTIF($H$4:H289,H289)=1,1,0))</f>
        <v>0</v>
      </c>
      <c r="T289" t="str">
        <f>IF(S289=1,ROUND(SUMIF($H$4:$H$503,H289,$E$4:$E$503),2),"")</f>
        <v/>
      </c>
      <c r="U289" t="str">
        <f>IF(S289=1,COUNTIFS($S$4:$S$503,1,$T$4:$T$503,"&gt;"&amp;T289)+COUNTIFS($S$4:S289,1,$T$4:T289,T289),"")</f>
        <v/>
      </c>
      <c r="V289" t="str">
        <f>IF(D289=1,MIN(INDEX($R$4:$R$503,MATCH(G289,$G$4:$G$503,0)),IF($AL$7&gt;9,9,999)),"")</f>
        <v/>
      </c>
      <c r="W289" s="166">
        <f>IF(OR($I289="",$E289=0),0,IF(OR($J289&lt;W$3,$I289&gt;W$2),0,IF($K289=0,IF(AND($I289&gt;=W$3,$I289&lt;=W$2),$E289,0),$E289*NETWORKDAYS(MAX($I289,W$3),MIN($J289,W$2),Data!$K$4:$K$203)/$K289)))</f>
        <v>0</v>
      </c>
      <c r="X289" s="166">
        <f>IF(OR($I289="",$E289=0),0,IF(OR($J289&lt;X$3,$I289&gt;X$2),0,IF($K289=0,IF(AND($I289&gt;=X$3,$I289&lt;=X$2),$E289,0),$E289*NETWORKDAYS(MAX($I289,X$3),MIN($J289,X$2),Data!$K$4:$K$203)/$K289)))</f>
        <v>0</v>
      </c>
      <c r="Y289" s="166">
        <f>IF(OR($I289="",$E289=0),0,IF(OR($J289&lt;Y$3,$I289&gt;Y$2),0,IF($K289=0,IF(AND($I289&gt;=Y$3,$I289&lt;=Y$2),$E289,0),$E289*NETWORKDAYS(MAX($I289,Y$3),MIN($J289,Y$2),Data!$K$4:$K$203)/$K289)))</f>
        <v>0</v>
      </c>
      <c r="Z289" s="166">
        <f>IF(OR($I289="",$E289=0),0,IF(OR($J289&lt;Z$3,$I289&gt;Z$2),0,IF($K289=0,IF(AND($I289&gt;=Z$3,$I289&lt;=Z$2),$E289,0),$E289*NETWORKDAYS(MAX($I289,Z$3),MIN($J289,Z$2),Data!$K$4:$K$203)/$K289)))</f>
        <v>0</v>
      </c>
      <c r="AA289" s="166">
        <f>IF(OR($I289="",$E289=0),0,IF(OR($J289&lt;AA$3,$I289&gt;AA$2),0,IF($K289=0,IF(AND($I289&gt;=AA$3,$I289&lt;=AA$2),$E289,0),$E289*NETWORKDAYS(MAX($I289,AA$3),MIN($J289,AA$2),Data!$K$4:$K$203)/$K289)))</f>
        <v>0</v>
      </c>
      <c r="AB289" s="166">
        <f>IF(OR($I289="",$E289=0),0,IF(OR($J289&lt;AB$3,$I289&gt;AB$2),0,IF($K289=0,IF(AND($I289&gt;=AB$3,$I289&lt;=AB$2),$E289,0),$E289*NETWORKDAYS(MAX($I289,AB$3),MIN($J289,AB$2),Data!$K$4:$K$203)/$K289)))</f>
        <v>0</v>
      </c>
      <c r="AC289" s="166">
        <f>IF(OR($I289="",$E289=0),0,IF(OR($J289&lt;AC$3,$I289&gt;AC$2),0,IF($K289=0,IF(AND($I289&gt;=AC$3,$I289&lt;=AC$2),$E289,0),$E289*NETWORKDAYS(MAX($I289,AC$3),MIN($J289,AC$2),Data!$K$4:$K$203)/$K289)))</f>
        <v>0</v>
      </c>
      <c r="AD289" s="166">
        <f>IF(OR($I289="",$E289=0),0,IF(OR($J289&lt;AD$3,$I289&gt;AD$2),0,IF($K289=0,IF(AND($I289&gt;=AD$3,$I289&lt;=AD$2),$E289,0),$E289*NETWORKDAYS(MAX($I289,AD$3),MIN($J289,AD$2),Data!$K$4:$K$203)/$K289)))</f>
        <v>0</v>
      </c>
      <c r="AE289" s="166">
        <f>IF(OR($I289="",$E289=0),0,IF(OR($J289&lt;AE$3,$I289&gt;AE$2),0,IF($K289=0,IF(AND($I289&gt;=AE$3,$I289&lt;=AE$2),$E289,0),$E289*NETWORKDAYS(MAX($I289,AE$3),MIN($J289,AE$2),Data!$K$4:$K$203)/$K289)))</f>
        <v>0</v>
      </c>
      <c r="AF289" s="166">
        <f>IF(OR($I289="",$E289=0),0,IF(OR($J289&lt;AF$3,$I289&gt;AF$2),0,IF($K289=0,IF(AND($I289&gt;=AF$3,$I289&lt;=AF$2),$E289,0),$E289*NETWORKDAYS(MAX($I289,AF$3),MIN($J289,AF$2),Data!$K$4:$K$203)/$K289)))</f>
        <v>0</v>
      </c>
      <c r="AG289" s="166">
        <f>IF(OR($I289="",$E289=0),0,IF(OR($J289&lt;AG$3,$I289&gt;AG$2),0,IF($K289=0,IF(AND($I289&gt;=AG$3,$I289&lt;=AG$2),$E289,0),$E289*NETWORKDAYS(MAX($I289,AG$3),MIN($J289,AG$2),Data!$K$4:$K$203)/$K289)))</f>
        <v>0</v>
      </c>
      <c r="AH289" s="166">
        <f>IF(OR($I289="",$E289=0),0,IF(OR($J289&lt;AH$3,$I289&gt;AH$2),0,IF($K289=0,IF(AND($I289&gt;=AH$3,$I289&lt;=AH$2),$E289,0),$E289*NETWORKDAYS(MAX($I289,AH$3),MIN($J289,AH$2),Data!$K$4:$K$203)/$K289)))</f>
        <v>0</v>
      </c>
      <c r="AI289" s="166">
        <f>SUM(W289:AH289)</f>
        <v>0</v>
      </c>
      <c r="BZ289" t="str">
        <f>IF(D289=1,IF(TRIM(INDEX(Charge!$K:$K,ROW()))&lt;&gt;"",TRIM(INDEX(Charge!$K:$K,ROW())),IF(TRIM(INDEX(Charge!$L:$L,ROW()))&lt;&gt;"",TRIM(INDEX(Charge!$L:$L,ROW())),"(non affecté)")),"")</f>
        <v/>
      </c>
      <c r="CA289" t="str">
        <f>IF(AND($CD$4&lt;&gt;"",BZ289=$CD$4),COUNTIFS($BZ$4:$BZ$503,$CD$4,$L$4:$L$503,"&lt;"&amp;L289)+1,"")</f>
        <v/>
      </c>
      <c r="EM289" t="str">
        <f>IF(D289=1,IF(TRIM(INDEX(Charge!$K:$K,ROW()))&lt;&gt;"","Interne",IF(TRIM(INDEX(Charge!$L:$L,ROW()))&lt;&gt;"","Externe","Non affecté")),"")</f>
        <v/>
      </c>
      <c r="EN289" t="str">
        <f>IF(D289=1,LEFT(SUBSTITUTE(SUBSTITUTE(SUBSTITUTE(TRIM(SUBSTITUTE(INDEX(Charge!$B:$B,ROW()),CHAR(160)," "))&amp;" | "&amp;TRIM(SUBSTITUTE(INDEX(Charge!$C:$C,ROW()),CHAR(160)," "))&amp;" | "&amp;TRIM(SUBSTITUTE(INDEX(Charge!$D:$D,ROW()),CHAR(160)," ")),"~","-"),"*","+"),"?","!"),240),"")</f>
        <v/>
      </c>
      <c r="EO289">
        <f>IF(EN289="",0,IF(COUNTIF($EN$4:EN289,EN289)=1,1,0))</f>
        <v>0</v>
      </c>
      <c r="EP289" s="166" t="str">
        <f>IF(EO289=1,ROUND(SUMIF($EN$4:$EN$503,EN289,$E$4:$E$503),2),"")</f>
        <v/>
      </c>
      <c r="EQ289" t="str">
        <f>IF(EO289=1,COUNTIFS($EO$4:$EO$503,1,$EP$4:$EP$503,"&gt;"&amp;EP289)+COUNTIFS($EO$4:EO289,1,$EP$4:EP289,EP289),"")</f>
        <v/>
      </c>
      <c r="ER289" t="str">
        <f>IF(EO289=1,COUNTIFS($EN$4:$EN$503,EN289,$EM$4:$EM$503,"Interne",$FE$4:$FE$503,1),"")</f>
        <v/>
      </c>
      <c r="ES289" t="str">
        <f>IF(EO289=1,COUNTIFS($EN$4:$EN$503,EN289,$EM$4:$EM$503,"Externe",$FE$4:$FE$503,1),"")</f>
        <v/>
      </c>
      <c r="ET289" t="str">
        <f>IF(EO289=1,IF(ER289+ES289=0,"à affecter",IF(ER289=0,ES289&amp;" ext.",(ER289+ES289)&amp;IF(ES289&gt;0," dont "&amp;ES289&amp;" ext.",""))&amp;IF(COUNTIFS($EN$4:$EN$503,EN289,$EM$4:$EM$503,"Non affecté")&gt;0," + à affecter","")),"")</f>
        <v/>
      </c>
      <c r="EU289" s="170" t="str">
        <f>IF(EO289=1,IF(EP289&gt;0,SUMPRODUCT(($EN$4:$EN$503=EN289)*$E$4:$E$503*$C$4:$C$503)/EP289,AVERAGEIF($EN$4:$EN$503,EN289,$C$4:$C$503)),"")</f>
        <v/>
      </c>
      <c r="EV289" s="165">
        <f>IF(ISNUMBER(I289),I289,2958465)</f>
        <v>2958465.0</v>
      </c>
      <c r="EW289" s="165" t="str">
        <f>IF(EO289=1,SUMPRODUCT(MIN(($EN$4:$EN$503=EN289)*$EV$4:$EV$503+($EN$4:$EN$503&lt;&gt;EN289)*2958465)),"")</f>
        <v/>
      </c>
      <c r="EX289" s="165">
        <f>IF(AND(D289=1,ISNUMBER(INDEX(Charge!$F:$F,ROW()))),INDEX(Charge!$F:$F,ROW()),0)</f>
        <v>0.0</v>
      </c>
      <c r="EY289" s="165" t="str">
        <f>IF(EO289=1,SUMPRODUCT(MAX(($EN$4:$EN$503=EN289)*$EX$4:$EX$503)),"")</f>
        <v/>
      </c>
      <c r="FA289" t="str">
        <f>IF(286&lt;=$CD$23,INDEX($EJ$4:$EJ$203,286),IF(286-$CD$23&lt;=$CD$26,INDEX($EK$4:$EK$203,286-$CD$23),""))</f>
        <v/>
      </c>
      <c r="FB289" t="str">
        <f>IF(FA289="","",IF(286&lt;=$CD$23,"Interne","Externe"))</f>
        <v/>
      </c>
      <c r="FD289">
        <f>IF(AND(B289=1,TRIM(INDEX(Charge!$K:$K,ROW()))&lt;&gt;"",TRIM(INDEX(Charge!$L:$L,ROW()))&lt;&gt;""),1,0)</f>
        <v>0</v>
      </c>
      <c r="FE289">
        <f>IF(OR(EN289="",BZ289="(non affecté)"),0,IF(COUNTIFS($EN$4:EN289,EN289,$BZ$4:BZ289,BZ289)=1,1,0))</f>
        <v>0</v>
      </c>
    </row>
    <row r="290">
      <c r="A290">
        <f>ROW()</f>
        <v>290</v>
      </c>
      <c r="B290">
        <f>IF(TRIM(INDEX(Charge!$B:$B,ROW()))&lt;&gt;"",1,0)</f>
        <v>0</v>
      </c>
      <c r="C290">
        <f>IF(B290=1,MIN(1,MAX(0,N(INDEX(Charge!$O:$O,ROW())))),0)</f>
        <v>0</v>
      </c>
      <c r="D290">
        <f>IF(B290=1,IF(OR(p_Perimetre="Tous les projets",C290&lt;1),1,0),0)</f>
        <v>0</v>
      </c>
      <c r="E290">
        <f>IF(D290=1,MAX(0,N(INDEX(Charge!$M:$M,ROW()))),0)</f>
        <v>0</v>
      </c>
      <c r="F290" t="str">
        <f>IF(D290=1,IF(TRIM(INDEX(Charge!$A:$A,ROW()))="","(non renseigné)",TRIM(INDEX(Charge!$A:$A,ROW()))),"")</f>
        <v/>
      </c>
      <c r="G290" t="str">
        <f>IF(D290=1,TRIM(INDEX(Charge!$B:$B,ROW())),"")</f>
        <v/>
      </c>
      <c r="H290" t="str">
        <f>IF(D290=1,IF(TRIM(INDEX(Charge!$E:$E,ROW()))="","(non renseigné)",TRIM(INDEX(Charge!$E:$E,ROW()))),"")</f>
        <v/>
      </c>
      <c r="I290" s="165" t="str">
        <f>IF(AND(D290=1,ISNUMBER(INDEX(Charge!$N:$N,ROW()))),INDEX(Charge!$N:$N,ROW()),"")</f>
        <v/>
      </c>
      <c r="J290" s="165" t="str">
        <f>IF(I290="","",IF(AND(p_Repartition="Lissée jusqu'à la date de besoin",ISNUMBER(INDEX(Charge!$F:$F,ROW()))),IF(INDEX(Charge!$F:$F,ROW())&gt;=I290,INDEX(Charge!$F:$F,ROW()),I290),I290))</f>
        <v/>
      </c>
      <c r="K290" t="str">
        <f>IF(I290="","",NETWORKDAYS(I290,J290,Data!$K$4:$K$203))</f>
        <v/>
      </c>
      <c r="L290" t="str">
        <f>IF(D290=1,COUNTIFS($D$4:$D$503,1,$E$4:$E$503,"&gt;"&amp;E290)+COUNTIFS($D$4:$D290,1,$E$4:$E290,E290),"")</f>
        <v/>
      </c>
      <c r="M290">
        <f>IF(F290="",0,IF(COUNTIF($F$4:F290,F290)=1,1,0))</f>
        <v>0</v>
      </c>
      <c r="N290" t="str">
        <f>IF(M290=1,ROUND(SUMIF($F$4:$F$503,F290,$E$4:$E$503),2),"")</f>
        <v/>
      </c>
      <c r="O290" t="str">
        <f>IF(M290=1,COUNTIFS($M$4:$M$503,1,$N$4:$N$503,"&gt;"&amp;N290)+COUNTIFS($M$4:M290,1,$N$4:N290,N290),"")</f>
        <v/>
      </c>
      <c r="P290">
        <f>IF(G290="",0,IF(COUNTIF($G$4:G290,G290)=1,1,0))</f>
        <v>0</v>
      </c>
      <c r="Q290" t="str">
        <f>IF(P290=1,ROUND(SUMIF($G$4:$G$503,G290,$E$4:$E$503),2),"")</f>
        <v/>
      </c>
      <c r="R290" t="str">
        <f>IF(P290=1,COUNTIFS($P$4:$P$503,1,$Q$4:$Q$503,"&gt;"&amp;Q290)+COUNTIFS($P$4:P290,1,$Q$4:Q290,Q290),"")</f>
        <v/>
      </c>
      <c r="S290">
        <f>IF(H290="",0,IF(COUNTIF($H$4:H290,H290)=1,1,0))</f>
        <v>0</v>
      </c>
      <c r="T290" t="str">
        <f>IF(S290=1,ROUND(SUMIF($H$4:$H$503,H290,$E$4:$E$503),2),"")</f>
        <v/>
      </c>
      <c r="U290" t="str">
        <f>IF(S290=1,COUNTIFS($S$4:$S$503,1,$T$4:$T$503,"&gt;"&amp;T290)+COUNTIFS($S$4:S290,1,$T$4:T290,T290),"")</f>
        <v/>
      </c>
      <c r="V290" t="str">
        <f>IF(D290=1,MIN(INDEX($R$4:$R$503,MATCH(G290,$G$4:$G$503,0)),IF($AL$7&gt;9,9,999)),"")</f>
        <v/>
      </c>
      <c r="W290" s="166">
        <f>IF(OR($I290="",$E290=0),0,IF(OR($J290&lt;W$3,$I290&gt;W$2),0,IF($K290=0,IF(AND($I290&gt;=W$3,$I290&lt;=W$2),$E290,0),$E290*NETWORKDAYS(MAX($I290,W$3),MIN($J290,W$2),Data!$K$4:$K$203)/$K290)))</f>
        <v>0</v>
      </c>
      <c r="X290" s="166">
        <f>IF(OR($I290="",$E290=0),0,IF(OR($J290&lt;X$3,$I290&gt;X$2),0,IF($K290=0,IF(AND($I290&gt;=X$3,$I290&lt;=X$2),$E290,0),$E290*NETWORKDAYS(MAX($I290,X$3),MIN($J290,X$2),Data!$K$4:$K$203)/$K290)))</f>
        <v>0</v>
      </c>
      <c r="Y290" s="166">
        <f>IF(OR($I290="",$E290=0),0,IF(OR($J290&lt;Y$3,$I290&gt;Y$2),0,IF($K290=0,IF(AND($I290&gt;=Y$3,$I290&lt;=Y$2),$E290,0),$E290*NETWORKDAYS(MAX($I290,Y$3),MIN($J290,Y$2),Data!$K$4:$K$203)/$K290)))</f>
        <v>0</v>
      </c>
      <c r="Z290" s="166">
        <f>IF(OR($I290="",$E290=0),0,IF(OR($J290&lt;Z$3,$I290&gt;Z$2),0,IF($K290=0,IF(AND($I290&gt;=Z$3,$I290&lt;=Z$2),$E290,0),$E290*NETWORKDAYS(MAX($I290,Z$3),MIN($J290,Z$2),Data!$K$4:$K$203)/$K290)))</f>
        <v>0</v>
      </c>
      <c r="AA290" s="166">
        <f>IF(OR($I290="",$E290=0),0,IF(OR($J290&lt;AA$3,$I290&gt;AA$2),0,IF($K290=0,IF(AND($I290&gt;=AA$3,$I290&lt;=AA$2),$E290,0),$E290*NETWORKDAYS(MAX($I290,AA$3),MIN($J290,AA$2),Data!$K$4:$K$203)/$K290)))</f>
        <v>0</v>
      </c>
      <c r="AB290" s="166">
        <f>IF(OR($I290="",$E290=0),0,IF(OR($J290&lt;AB$3,$I290&gt;AB$2),0,IF($K290=0,IF(AND($I290&gt;=AB$3,$I290&lt;=AB$2),$E290,0),$E290*NETWORKDAYS(MAX($I290,AB$3),MIN($J290,AB$2),Data!$K$4:$K$203)/$K290)))</f>
        <v>0</v>
      </c>
      <c r="AC290" s="166">
        <f>IF(OR($I290="",$E290=0),0,IF(OR($J290&lt;AC$3,$I290&gt;AC$2),0,IF($K290=0,IF(AND($I290&gt;=AC$3,$I290&lt;=AC$2),$E290,0),$E290*NETWORKDAYS(MAX($I290,AC$3),MIN($J290,AC$2),Data!$K$4:$K$203)/$K290)))</f>
        <v>0</v>
      </c>
      <c r="AD290" s="166">
        <f>IF(OR($I290="",$E290=0),0,IF(OR($J290&lt;AD$3,$I290&gt;AD$2),0,IF($K290=0,IF(AND($I290&gt;=AD$3,$I290&lt;=AD$2),$E290,0),$E290*NETWORKDAYS(MAX($I290,AD$3),MIN($J290,AD$2),Data!$K$4:$K$203)/$K290)))</f>
        <v>0</v>
      </c>
      <c r="AE290" s="166">
        <f>IF(OR($I290="",$E290=0),0,IF(OR($J290&lt;AE$3,$I290&gt;AE$2),0,IF($K290=0,IF(AND($I290&gt;=AE$3,$I290&lt;=AE$2),$E290,0),$E290*NETWORKDAYS(MAX($I290,AE$3),MIN($J290,AE$2),Data!$K$4:$K$203)/$K290)))</f>
        <v>0</v>
      </c>
      <c r="AF290" s="166">
        <f>IF(OR($I290="",$E290=0),0,IF(OR($J290&lt;AF$3,$I290&gt;AF$2),0,IF($K290=0,IF(AND($I290&gt;=AF$3,$I290&lt;=AF$2),$E290,0),$E290*NETWORKDAYS(MAX($I290,AF$3),MIN($J290,AF$2),Data!$K$4:$K$203)/$K290)))</f>
        <v>0</v>
      </c>
      <c r="AG290" s="166">
        <f>IF(OR($I290="",$E290=0),0,IF(OR($J290&lt;AG$3,$I290&gt;AG$2),0,IF($K290=0,IF(AND($I290&gt;=AG$3,$I290&lt;=AG$2),$E290,0),$E290*NETWORKDAYS(MAX($I290,AG$3),MIN($J290,AG$2),Data!$K$4:$K$203)/$K290)))</f>
        <v>0</v>
      </c>
      <c r="AH290" s="166">
        <f>IF(OR($I290="",$E290=0),0,IF(OR($J290&lt;AH$3,$I290&gt;AH$2),0,IF($K290=0,IF(AND($I290&gt;=AH$3,$I290&lt;=AH$2),$E290,0),$E290*NETWORKDAYS(MAX($I290,AH$3),MIN($J290,AH$2),Data!$K$4:$K$203)/$K290)))</f>
        <v>0</v>
      </c>
      <c r="AI290" s="166">
        <f>SUM(W290:AH290)</f>
        <v>0</v>
      </c>
      <c r="BZ290" t="str">
        <f>IF(D290=1,IF(TRIM(INDEX(Charge!$K:$K,ROW()))&lt;&gt;"",TRIM(INDEX(Charge!$K:$K,ROW())),IF(TRIM(INDEX(Charge!$L:$L,ROW()))&lt;&gt;"",TRIM(INDEX(Charge!$L:$L,ROW())),"(non affecté)")),"")</f>
        <v/>
      </c>
      <c r="CA290" t="str">
        <f>IF(AND($CD$4&lt;&gt;"",BZ290=$CD$4),COUNTIFS($BZ$4:$BZ$503,$CD$4,$L$4:$L$503,"&lt;"&amp;L290)+1,"")</f>
        <v/>
      </c>
      <c r="EM290" t="str">
        <f>IF(D290=1,IF(TRIM(INDEX(Charge!$K:$K,ROW()))&lt;&gt;"","Interne",IF(TRIM(INDEX(Charge!$L:$L,ROW()))&lt;&gt;"","Externe","Non affecté")),"")</f>
        <v/>
      </c>
      <c r="EN290" t="str">
        <f>IF(D290=1,LEFT(SUBSTITUTE(SUBSTITUTE(SUBSTITUTE(TRIM(SUBSTITUTE(INDEX(Charge!$B:$B,ROW()),CHAR(160)," "))&amp;" | "&amp;TRIM(SUBSTITUTE(INDEX(Charge!$C:$C,ROW()),CHAR(160)," "))&amp;" | "&amp;TRIM(SUBSTITUTE(INDEX(Charge!$D:$D,ROW()),CHAR(160)," ")),"~","-"),"*","+"),"?","!"),240),"")</f>
        <v/>
      </c>
      <c r="EO290">
        <f>IF(EN290="",0,IF(COUNTIF($EN$4:EN290,EN290)=1,1,0))</f>
        <v>0</v>
      </c>
      <c r="EP290" s="166" t="str">
        <f>IF(EO290=1,ROUND(SUMIF($EN$4:$EN$503,EN290,$E$4:$E$503),2),"")</f>
        <v/>
      </c>
      <c r="EQ290" t="str">
        <f>IF(EO290=1,COUNTIFS($EO$4:$EO$503,1,$EP$4:$EP$503,"&gt;"&amp;EP290)+COUNTIFS($EO$4:EO290,1,$EP$4:EP290,EP290),"")</f>
        <v/>
      </c>
      <c r="ER290" t="str">
        <f>IF(EO290=1,COUNTIFS($EN$4:$EN$503,EN290,$EM$4:$EM$503,"Interne",$FE$4:$FE$503,1),"")</f>
        <v/>
      </c>
      <c r="ES290" t="str">
        <f>IF(EO290=1,COUNTIFS($EN$4:$EN$503,EN290,$EM$4:$EM$503,"Externe",$FE$4:$FE$503,1),"")</f>
        <v/>
      </c>
      <c r="ET290" t="str">
        <f>IF(EO290=1,IF(ER290+ES290=0,"à affecter",IF(ER290=0,ES290&amp;" ext.",(ER290+ES290)&amp;IF(ES290&gt;0," dont "&amp;ES290&amp;" ext.",""))&amp;IF(COUNTIFS($EN$4:$EN$503,EN290,$EM$4:$EM$503,"Non affecté")&gt;0," + à affecter","")),"")</f>
        <v/>
      </c>
      <c r="EU290" s="170" t="str">
        <f>IF(EO290=1,IF(EP290&gt;0,SUMPRODUCT(($EN$4:$EN$503=EN290)*$E$4:$E$503*$C$4:$C$503)/EP290,AVERAGEIF($EN$4:$EN$503,EN290,$C$4:$C$503)),"")</f>
        <v/>
      </c>
      <c r="EV290" s="165">
        <f>IF(ISNUMBER(I290),I290,2958465)</f>
        <v>2958465.0</v>
      </c>
      <c r="EW290" s="165" t="str">
        <f>IF(EO290=1,SUMPRODUCT(MIN(($EN$4:$EN$503=EN290)*$EV$4:$EV$503+($EN$4:$EN$503&lt;&gt;EN290)*2958465)),"")</f>
        <v/>
      </c>
      <c r="EX290" s="165">
        <f>IF(AND(D290=1,ISNUMBER(INDEX(Charge!$F:$F,ROW()))),INDEX(Charge!$F:$F,ROW()),0)</f>
        <v>0.0</v>
      </c>
      <c r="EY290" s="165" t="str">
        <f>IF(EO290=1,SUMPRODUCT(MAX(($EN$4:$EN$503=EN290)*$EX$4:$EX$503)),"")</f>
        <v/>
      </c>
      <c r="FA290" t="str">
        <f>IF(287&lt;=$CD$23,INDEX($EJ$4:$EJ$203,287),IF(287-$CD$23&lt;=$CD$26,INDEX($EK$4:$EK$203,287-$CD$23),""))</f>
        <v/>
      </c>
      <c r="FB290" t="str">
        <f>IF(FA290="","",IF(287&lt;=$CD$23,"Interne","Externe"))</f>
        <v/>
      </c>
      <c r="FD290">
        <f>IF(AND(B290=1,TRIM(INDEX(Charge!$K:$K,ROW()))&lt;&gt;"",TRIM(INDEX(Charge!$L:$L,ROW()))&lt;&gt;""),1,0)</f>
        <v>0</v>
      </c>
      <c r="FE290">
        <f>IF(OR(EN290="",BZ290="(non affecté)"),0,IF(COUNTIFS($EN$4:EN290,EN290,$BZ$4:BZ290,BZ290)=1,1,0))</f>
        <v>0</v>
      </c>
    </row>
    <row r="291">
      <c r="A291">
        <f>ROW()</f>
        <v>291</v>
      </c>
      <c r="B291">
        <f>IF(TRIM(INDEX(Charge!$B:$B,ROW()))&lt;&gt;"",1,0)</f>
        <v>0</v>
      </c>
      <c r="C291">
        <f>IF(B291=1,MIN(1,MAX(0,N(INDEX(Charge!$O:$O,ROW())))),0)</f>
        <v>0</v>
      </c>
      <c r="D291">
        <f>IF(B291=1,IF(OR(p_Perimetre="Tous les projets",C291&lt;1),1,0),0)</f>
        <v>0</v>
      </c>
      <c r="E291">
        <f>IF(D291=1,MAX(0,N(INDEX(Charge!$M:$M,ROW()))),0)</f>
        <v>0</v>
      </c>
      <c r="F291" t="str">
        <f>IF(D291=1,IF(TRIM(INDEX(Charge!$A:$A,ROW()))="","(non renseigné)",TRIM(INDEX(Charge!$A:$A,ROW()))),"")</f>
        <v/>
      </c>
      <c r="G291" t="str">
        <f>IF(D291=1,TRIM(INDEX(Charge!$B:$B,ROW())),"")</f>
        <v/>
      </c>
      <c r="H291" t="str">
        <f>IF(D291=1,IF(TRIM(INDEX(Charge!$E:$E,ROW()))="","(non renseigné)",TRIM(INDEX(Charge!$E:$E,ROW()))),"")</f>
        <v/>
      </c>
      <c r="I291" s="165" t="str">
        <f>IF(AND(D291=1,ISNUMBER(INDEX(Charge!$N:$N,ROW()))),INDEX(Charge!$N:$N,ROW()),"")</f>
        <v/>
      </c>
      <c r="J291" s="165" t="str">
        <f>IF(I291="","",IF(AND(p_Repartition="Lissée jusqu'à la date de besoin",ISNUMBER(INDEX(Charge!$F:$F,ROW()))),IF(INDEX(Charge!$F:$F,ROW())&gt;=I291,INDEX(Charge!$F:$F,ROW()),I291),I291))</f>
        <v/>
      </c>
      <c r="K291" t="str">
        <f>IF(I291="","",NETWORKDAYS(I291,J291,Data!$K$4:$K$203))</f>
        <v/>
      </c>
      <c r="L291" t="str">
        <f>IF(D291=1,COUNTIFS($D$4:$D$503,1,$E$4:$E$503,"&gt;"&amp;E291)+COUNTIFS($D$4:$D291,1,$E$4:$E291,E291),"")</f>
        <v/>
      </c>
      <c r="M291">
        <f>IF(F291="",0,IF(COUNTIF($F$4:F291,F291)=1,1,0))</f>
        <v>0</v>
      </c>
      <c r="N291" t="str">
        <f>IF(M291=1,ROUND(SUMIF($F$4:$F$503,F291,$E$4:$E$503),2),"")</f>
        <v/>
      </c>
      <c r="O291" t="str">
        <f>IF(M291=1,COUNTIFS($M$4:$M$503,1,$N$4:$N$503,"&gt;"&amp;N291)+COUNTIFS($M$4:M291,1,$N$4:N291,N291),"")</f>
        <v/>
      </c>
      <c r="P291">
        <f>IF(G291="",0,IF(COUNTIF($G$4:G291,G291)=1,1,0))</f>
        <v>0</v>
      </c>
      <c r="Q291" t="str">
        <f>IF(P291=1,ROUND(SUMIF($G$4:$G$503,G291,$E$4:$E$503),2),"")</f>
        <v/>
      </c>
      <c r="R291" t="str">
        <f>IF(P291=1,COUNTIFS($P$4:$P$503,1,$Q$4:$Q$503,"&gt;"&amp;Q291)+COUNTIFS($P$4:P291,1,$Q$4:Q291,Q291),"")</f>
        <v/>
      </c>
      <c r="S291">
        <f>IF(H291="",0,IF(COUNTIF($H$4:H291,H291)=1,1,0))</f>
        <v>0</v>
      </c>
      <c r="T291" t="str">
        <f>IF(S291=1,ROUND(SUMIF($H$4:$H$503,H291,$E$4:$E$503),2),"")</f>
        <v/>
      </c>
      <c r="U291" t="str">
        <f>IF(S291=1,COUNTIFS($S$4:$S$503,1,$T$4:$T$503,"&gt;"&amp;T291)+COUNTIFS($S$4:S291,1,$T$4:T291,T291),"")</f>
        <v/>
      </c>
      <c r="V291" t="str">
        <f>IF(D291=1,MIN(INDEX($R$4:$R$503,MATCH(G291,$G$4:$G$503,0)),IF($AL$7&gt;9,9,999)),"")</f>
        <v/>
      </c>
      <c r="W291" s="166">
        <f>IF(OR($I291="",$E291=0),0,IF(OR($J291&lt;W$3,$I291&gt;W$2),0,IF($K291=0,IF(AND($I291&gt;=W$3,$I291&lt;=W$2),$E291,0),$E291*NETWORKDAYS(MAX($I291,W$3),MIN($J291,W$2),Data!$K$4:$K$203)/$K291)))</f>
        <v>0</v>
      </c>
      <c r="X291" s="166">
        <f>IF(OR($I291="",$E291=0),0,IF(OR($J291&lt;X$3,$I291&gt;X$2),0,IF($K291=0,IF(AND($I291&gt;=X$3,$I291&lt;=X$2),$E291,0),$E291*NETWORKDAYS(MAX($I291,X$3),MIN($J291,X$2),Data!$K$4:$K$203)/$K291)))</f>
        <v>0</v>
      </c>
      <c r="Y291" s="166">
        <f>IF(OR($I291="",$E291=0),0,IF(OR($J291&lt;Y$3,$I291&gt;Y$2),0,IF($K291=0,IF(AND($I291&gt;=Y$3,$I291&lt;=Y$2),$E291,0),$E291*NETWORKDAYS(MAX($I291,Y$3),MIN($J291,Y$2),Data!$K$4:$K$203)/$K291)))</f>
        <v>0</v>
      </c>
      <c r="Z291" s="166">
        <f>IF(OR($I291="",$E291=0),0,IF(OR($J291&lt;Z$3,$I291&gt;Z$2),0,IF($K291=0,IF(AND($I291&gt;=Z$3,$I291&lt;=Z$2),$E291,0),$E291*NETWORKDAYS(MAX($I291,Z$3),MIN($J291,Z$2),Data!$K$4:$K$203)/$K291)))</f>
        <v>0</v>
      </c>
      <c r="AA291" s="166">
        <f>IF(OR($I291="",$E291=0),0,IF(OR($J291&lt;AA$3,$I291&gt;AA$2),0,IF($K291=0,IF(AND($I291&gt;=AA$3,$I291&lt;=AA$2),$E291,0),$E291*NETWORKDAYS(MAX($I291,AA$3),MIN($J291,AA$2),Data!$K$4:$K$203)/$K291)))</f>
        <v>0</v>
      </c>
      <c r="AB291" s="166">
        <f>IF(OR($I291="",$E291=0),0,IF(OR($J291&lt;AB$3,$I291&gt;AB$2),0,IF($K291=0,IF(AND($I291&gt;=AB$3,$I291&lt;=AB$2),$E291,0),$E291*NETWORKDAYS(MAX($I291,AB$3),MIN($J291,AB$2),Data!$K$4:$K$203)/$K291)))</f>
        <v>0</v>
      </c>
      <c r="AC291" s="166">
        <f>IF(OR($I291="",$E291=0),0,IF(OR($J291&lt;AC$3,$I291&gt;AC$2),0,IF($K291=0,IF(AND($I291&gt;=AC$3,$I291&lt;=AC$2),$E291,0),$E291*NETWORKDAYS(MAX($I291,AC$3),MIN($J291,AC$2),Data!$K$4:$K$203)/$K291)))</f>
        <v>0</v>
      </c>
      <c r="AD291" s="166">
        <f>IF(OR($I291="",$E291=0),0,IF(OR($J291&lt;AD$3,$I291&gt;AD$2),0,IF($K291=0,IF(AND($I291&gt;=AD$3,$I291&lt;=AD$2),$E291,0),$E291*NETWORKDAYS(MAX($I291,AD$3),MIN($J291,AD$2),Data!$K$4:$K$203)/$K291)))</f>
        <v>0</v>
      </c>
      <c r="AE291" s="166">
        <f>IF(OR($I291="",$E291=0),0,IF(OR($J291&lt;AE$3,$I291&gt;AE$2),0,IF($K291=0,IF(AND($I291&gt;=AE$3,$I291&lt;=AE$2),$E291,0),$E291*NETWORKDAYS(MAX($I291,AE$3),MIN($J291,AE$2),Data!$K$4:$K$203)/$K291)))</f>
        <v>0</v>
      </c>
      <c r="AF291" s="166">
        <f>IF(OR($I291="",$E291=0),0,IF(OR($J291&lt;AF$3,$I291&gt;AF$2),0,IF($K291=0,IF(AND($I291&gt;=AF$3,$I291&lt;=AF$2),$E291,0),$E291*NETWORKDAYS(MAX($I291,AF$3),MIN($J291,AF$2),Data!$K$4:$K$203)/$K291)))</f>
        <v>0</v>
      </c>
      <c r="AG291" s="166">
        <f>IF(OR($I291="",$E291=0),0,IF(OR($J291&lt;AG$3,$I291&gt;AG$2),0,IF($K291=0,IF(AND($I291&gt;=AG$3,$I291&lt;=AG$2),$E291,0),$E291*NETWORKDAYS(MAX($I291,AG$3),MIN($J291,AG$2),Data!$K$4:$K$203)/$K291)))</f>
        <v>0</v>
      </c>
      <c r="AH291" s="166">
        <f>IF(OR($I291="",$E291=0),0,IF(OR($J291&lt;AH$3,$I291&gt;AH$2),0,IF($K291=0,IF(AND($I291&gt;=AH$3,$I291&lt;=AH$2),$E291,0),$E291*NETWORKDAYS(MAX($I291,AH$3),MIN($J291,AH$2),Data!$K$4:$K$203)/$K291)))</f>
        <v>0</v>
      </c>
      <c r="AI291" s="166">
        <f>SUM(W291:AH291)</f>
        <v>0</v>
      </c>
      <c r="BZ291" t="str">
        <f>IF(D291=1,IF(TRIM(INDEX(Charge!$K:$K,ROW()))&lt;&gt;"",TRIM(INDEX(Charge!$K:$K,ROW())),IF(TRIM(INDEX(Charge!$L:$L,ROW()))&lt;&gt;"",TRIM(INDEX(Charge!$L:$L,ROW())),"(non affecté)")),"")</f>
        <v/>
      </c>
      <c r="CA291" t="str">
        <f>IF(AND($CD$4&lt;&gt;"",BZ291=$CD$4),COUNTIFS($BZ$4:$BZ$503,$CD$4,$L$4:$L$503,"&lt;"&amp;L291)+1,"")</f>
        <v/>
      </c>
      <c r="EM291" t="str">
        <f>IF(D291=1,IF(TRIM(INDEX(Charge!$K:$K,ROW()))&lt;&gt;"","Interne",IF(TRIM(INDEX(Charge!$L:$L,ROW()))&lt;&gt;"","Externe","Non affecté")),"")</f>
        <v/>
      </c>
      <c r="EN291" t="str">
        <f>IF(D291=1,LEFT(SUBSTITUTE(SUBSTITUTE(SUBSTITUTE(TRIM(SUBSTITUTE(INDEX(Charge!$B:$B,ROW()),CHAR(160)," "))&amp;" | "&amp;TRIM(SUBSTITUTE(INDEX(Charge!$C:$C,ROW()),CHAR(160)," "))&amp;" | "&amp;TRIM(SUBSTITUTE(INDEX(Charge!$D:$D,ROW()),CHAR(160)," ")),"~","-"),"*","+"),"?","!"),240),"")</f>
        <v/>
      </c>
      <c r="EO291">
        <f>IF(EN291="",0,IF(COUNTIF($EN$4:EN291,EN291)=1,1,0))</f>
        <v>0</v>
      </c>
      <c r="EP291" s="166" t="str">
        <f>IF(EO291=1,ROUND(SUMIF($EN$4:$EN$503,EN291,$E$4:$E$503),2),"")</f>
        <v/>
      </c>
      <c r="EQ291" t="str">
        <f>IF(EO291=1,COUNTIFS($EO$4:$EO$503,1,$EP$4:$EP$503,"&gt;"&amp;EP291)+COUNTIFS($EO$4:EO291,1,$EP$4:EP291,EP291),"")</f>
        <v/>
      </c>
      <c r="ER291" t="str">
        <f>IF(EO291=1,COUNTIFS($EN$4:$EN$503,EN291,$EM$4:$EM$503,"Interne",$FE$4:$FE$503,1),"")</f>
        <v/>
      </c>
      <c r="ES291" t="str">
        <f>IF(EO291=1,COUNTIFS($EN$4:$EN$503,EN291,$EM$4:$EM$503,"Externe",$FE$4:$FE$503,1),"")</f>
        <v/>
      </c>
      <c r="ET291" t="str">
        <f>IF(EO291=1,IF(ER291+ES291=0,"à affecter",IF(ER291=0,ES291&amp;" ext.",(ER291+ES291)&amp;IF(ES291&gt;0," dont "&amp;ES291&amp;" ext.",""))&amp;IF(COUNTIFS($EN$4:$EN$503,EN291,$EM$4:$EM$503,"Non affecté")&gt;0," + à affecter","")),"")</f>
        <v/>
      </c>
      <c r="EU291" s="170" t="str">
        <f>IF(EO291=1,IF(EP291&gt;0,SUMPRODUCT(($EN$4:$EN$503=EN291)*$E$4:$E$503*$C$4:$C$503)/EP291,AVERAGEIF($EN$4:$EN$503,EN291,$C$4:$C$503)),"")</f>
        <v/>
      </c>
      <c r="EV291" s="165">
        <f>IF(ISNUMBER(I291),I291,2958465)</f>
        <v>2958465.0</v>
      </c>
      <c r="EW291" s="165" t="str">
        <f>IF(EO291=1,SUMPRODUCT(MIN(($EN$4:$EN$503=EN291)*$EV$4:$EV$503+($EN$4:$EN$503&lt;&gt;EN291)*2958465)),"")</f>
        <v/>
      </c>
      <c r="EX291" s="165">
        <f>IF(AND(D291=1,ISNUMBER(INDEX(Charge!$F:$F,ROW()))),INDEX(Charge!$F:$F,ROW()),0)</f>
        <v>0.0</v>
      </c>
      <c r="EY291" s="165" t="str">
        <f>IF(EO291=1,SUMPRODUCT(MAX(($EN$4:$EN$503=EN291)*$EX$4:$EX$503)),"")</f>
        <v/>
      </c>
      <c r="FA291" t="str">
        <f>IF(288&lt;=$CD$23,INDEX($EJ$4:$EJ$203,288),IF(288-$CD$23&lt;=$CD$26,INDEX($EK$4:$EK$203,288-$CD$23),""))</f>
        <v/>
      </c>
      <c r="FB291" t="str">
        <f>IF(FA291="","",IF(288&lt;=$CD$23,"Interne","Externe"))</f>
        <v/>
      </c>
      <c r="FD291">
        <f>IF(AND(B291=1,TRIM(INDEX(Charge!$K:$K,ROW()))&lt;&gt;"",TRIM(INDEX(Charge!$L:$L,ROW()))&lt;&gt;""),1,0)</f>
        <v>0</v>
      </c>
      <c r="FE291">
        <f>IF(OR(EN291="",BZ291="(non affecté)"),0,IF(COUNTIFS($EN$4:EN291,EN291,$BZ$4:BZ291,BZ291)=1,1,0))</f>
        <v>0</v>
      </c>
    </row>
    <row r="292">
      <c r="A292">
        <f>ROW()</f>
        <v>292</v>
      </c>
      <c r="B292">
        <f>IF(TRIM(INDEX(Charge!$B:$B,ROW()))&lt;&gt;"",1,0)</f>
        <v>0</v>
      </c>
      <c r="C292">
        <f>IF(B292=1,MIN(1,MAX(0,N(INDEX(Charge!$O:$O,ROW())))),0)</f>
        <v>0</v>
      </c>
      <c r="D292">
        <f>IF(B292=1,IF(OR(p_Perimetre="Tous les projets",C292&lt;1),1,0),0)</f>
        <v>0</v>
      </c>
      <c r="E292">
        <f>IF(D292=1,MAX(0,N(INDEX(Charge!$M:$M,ROW()))),0)</f>
        <v>0</v>
      </c>
      <c r="F292" t="str">
        <f>IF(D292=1,IF(TRIM(INDEX(Charge!$A:$A,ROW()))="","(non renseigné)",TRIM(INDEX(Charge!$A:$A,ROW()))),"")</f>
        <v/>
      </c>
      <c r="G292" t="str">
        <f>IF(D292=1,TRIM(INDEX(Charge!$B:$B,ROW())),"")</f>
        <v/>
      </c>
      <c r="H292" t="str">
        <f>IF(D292=1,IF(TRIM(INDEX(Charge!$E:$E,ROW()))="","(non renseigné)",TRIM(INDEX(Charge!$E:$E,ROW()))),"")</f>
        <v/>
      </c>
      <c r="I292" s="165" t="str">
        <f>IF(AND(D292=1,ISNUMBER(INDEX(Charge!$N:$N,ROW()))),INDEX(Charge!$N:$N,ROW()),"")</f>
        <v/>
      </c>
      <c r="J292" s="165" t="str">
        <f>IF(I292="","",IF(AND(p_Repartition="Lissée jusqu'à la date de besoin",ISNUMBER(INDEX(Charge!$F:$F,ROW()))),IF(INDEX(Charge!$F:$F,ROW())&gt;=I292,INDEX(Charge!$F:$F,ROW()),I292),I292))</f>
        <v/>
      </c>
      <c r="K292" t="str">
        <f>IF(I292="","",NETWORKDAYS(I292,J292,Data!$K$4:$K$203))</f>
        <v/>
      </c>
      <c r="L292" t="str">
        <f>IF(D292=1,COUNTIFS($D$4:$D$503,1,$E$4:$E$503,"&gt;"&amp;E292)+COUNTIFS($D$4:$D292,1,$E$4:$E292,E292),"")</f>
        <v/>
      </c>
      <c r="M292">
        <f>IF(F292="",0,IF(COUNTIF($F$4:F292,F292)=1,1,0))</f>
        <v>0</v>
      </c>
      <c r="N292" t="str">
        <f>IF(M292=1,ROUND(SUMIF($F$4:$F$503,F292,$E$4:$E$503),2),"")</f>
        <v/>
      </c>
      <c r="O292" t="str">
        <f>IF(M292=1,COUNTIFS($M$4:$M$503,1,$N$4:$N$503,"&gt;"&amp;N292)+COUNTIFS($M$4:M292,1,$N$4:N292,N292),"")</f>
        <v/>
      </c>
      <c r="P292">
        <f>IF(G292="",0,IF(COUNTIF($G$4:G292,G292)=1,1,0))</f>
        <v>0</v>
      </c>
      <c r="Q292" t="str">
        <f>IF(P292=1,ROUND(SUMIF($G$4:$G$503,G292,$E$4:$E$503),2),"")</f>
        <v/>
      </c>
      <c r="R292" t="str">
        <f>IF(P292=1,COUNTIFS($P$4:$P$503,1,$Q$4:$Q$503,"&gt;"&amp;Q292)+COUNTIFS($P$4:P292,1,$Q$4:Q292,Q292),"")</f>
        <v/>
      </c>
      <c r="S292">
        <f>IF(H292="",0,IF(COUNTIF($H$4:H292,H292)=1,1,0))</f>
        <v>0</v>
      </c>
      <c r="T292" t="str">
        <f>IF(S292=1,ROUND(SUMIF($H$4:$H$503,H292,$E$4:$E$503),2),"")</f>
        <v/>
      </c>
      <c r="U292" t="str">
        <f>IF(S292=1,COUNTIFS($S$4:$S$503,1,$T$4:$T$503,"&gt;"&amp;T292)+COUNTIFS($S$4:S292,1,$T$4:T292,T292),"")</f>
        <v/>
      </c>
      <c r="V292" t="str">
        <f>IF(D292=1,MIN(INDEX($R$4:$R$503,MATCH(G292,$G$4:$G$503,0)),IF($AL$7&gt;9,9,999)),"")</f>
        <v/>
      </c>
      <c r="W292" s="166">
        <f>IF(OR($I292="",$E292=0),0,IF(OR($J292&lt;W$3,$I292&gt;W$2),0,IF($K292=0,IF(AND($I292&gt;=W$3,$I292&lt;=W$2),$E292,0),$E292*NETWORKDAYS(MAX($I292,W$3),MIN($J292,W$2),Data!$K$4:$K$203)/$K292)))</f>
        <v>0</v>
      </c>
      <c r="X292" s="166">
        <f>IF(OR($I292="",$E292=0),0,IF(OR($J292&lt;X$3,$I292&gt;X$2),0,IF($K292=0,IF(AND($I292&gt;=X$3,$I292&lt;=X$2),$E292,0),$E292*NETWORKDAYS(MAX($I292,X$3),MIN($J292,X$2),Data!$K$4:$K$203)/$K292)))</f>
        <v>0</v>
      </c>
      <c r="Y292" s="166">
        <f>IF(OR($I292="",$E292=0),0,IF(OR($J292&lt;Y$3,$I292&gt;Y$2),0,IF($K292=0,IF(AND($I292&gt;=Y$3,$I292&lt;=Y$2),$E292,0),$E292*NETWORKDAYS(MAX($I292,Y$3),MIN($J292,Y$2),Data!$K$4:$K$203)/$K292)))</f>
        <v>0</v>
      </c>
      <c r="Z292" s="166">
        <f>IF(OR($I292="",$E292=0),0,IF(OR($J292&lt;Z$3,$I292&gt;Z$2),0,IF($K292=0,IF(AND($I292&gt;=Z$3,$I292&lt;=Z$2),$E292,0),$E292*NETWORKDAYS(MAX($I292,Z$3),MIN($J292,Z$2),Data!$K$4:$K$203)/$K292)))</f>
        <v>0</v>
      </c>
      <c r="AA292" s="166">
        <f>IF(OR($I292="",$E292=0),0,IF(OR($J292&lt;AA$3,$I292&gt;AA$2),0,IF($K292=0,IF(AND($I292&gt;=AA$3,$I292&lt;=AA$2),$E292,0),$E292*NETWORKDAYS(MAX($I292,AA$3),MIN($J292,AA$2),Data!$K$4:$K$203)/$K292)))</f>
        <v>0</v>
      </c>
      <c r="AB292" s="166">
        <f>IF(OR($I292="",$E292=0),0,IF(OR($J292&lt;AB$3,$I292&gt;AB$2),0,IF($K292=0,IF(AND($I292&gt;=AB$3,$I292&lt;=AB$2),$E292,0),$E292*NETWORKDAYS(MAX($I292,AB$3),MIN($J292,AB$2),Data!$K$4:$K$203)/$K292)))</f>
        <v>0</v>
      </c>
      <c r="AC292" s="166">
        <f>IF(OR($I292="",$E292=0),0,IF(OR($J292&lt;AC$3,$I292&gt;AC$2),0,IF($K292=0,IF(AND($I292&gt;=AC$3,$I292&lt;=AC$2),$E292,0),$E292*NETWORKDAYS(MAX($I292,AC$3),MIN($J292,AC$2),Data!$K$4:$K$203)/$K292)))</f>
        <v>0</v>
      </c>
      <c r="AD292" s="166">
        <f>IF(OR($I292="",$E292=0),0,IF(OR($J292&lt;AD$3,$I292&gt;AD$2),0,IF($K292=0,IF(AND($I292&gt;=AD$3,$I292&lt;=AD$2),$E292,0),$E292*NETWORKDAYS(MAX($I292,AD$3),MIN($J292,AD$2),Data!$K$4:$K$203)/$K292)))</f>
        <v>0</v>
      </c>
      <c r="AE292" s="166">
        <f>IF(OR($I292="",$E292=0),0,IF(OR($J292&lt;AE$3,$I292&gt;AE$2),0,IF($K292=0,IF(AND($I292&gt;=AE$3,$I292&lt;=AE$2),$E292,0),$E292*NETWORKDAYS(MAX($I292,AE$3),MIN($J292,AE$2),Data!$K$4:$K$203)/$K292)))</f>
        <v>0</v>
      </c>
      <c r="AF292" s="166">
        <f>IF(OR($I292="",$E292=0),0,IF(OR($J292&lt;AF$3,$I292&gt;AF$2),0,IF($K292=0,IF(AND($I292&gt;=AF$3,$I292&lt;=AF$2),$E292,0),$E292*NETWORKDAYS(MAX($I292,AF$3),MIN($J292,AF$2),Data!$K$4:$K$203)/$K292)))</f>
        <v>0</v>
      </c>
      <c r="AG292" s="166">
        <f>IF(OR($I292="",$E292=0),0,IF(OR($J292&lt;AG$3,$I292&gt;AG$2),0,IF($K292=0,IF(AND($I292&gt;=AG$3,$I292&lt;=AG$2),$E292,0),$E292*NETWORKDAYS(MAX($I292,AG$3),MIN($J292,AG$2),Data!$K$4:$K$203)/$K292)))</f>
        <v>0</v>
      </c>
      <c r="AH292" s="166">
        <f>IF(OR($I292="",$E292=0),0,IF(OR($J292&lt;AH$3,$I292&gt;AH$2),0,IF($K292=0,IF(AND($I292&gt;=AH$3,$I292&lt;=AH$2),$E292,0),$E292*NETWORKDAYS(MAX($I292,AH$3),MIN($J292,AH$2),Data!$K$4:$K$203)/$K292)))</f>
        <v>0</v>
      </c>
      <c r="AI292" s="166">
        <f>SUM(W292:AH292)</f>
        <v>0</v>
      </c>
      <c r="BZ292" t="str">
        <f>IF(D292=1,IF(TRIM(INDEX(Charge!$K:$K,ROW()))&lt;&gt;"",TRIM(INDEX(Charge!$K:$K,ROW())),IF(TRIM(INDEX(Charge!$L:$L,ROW()))&lt;&gt;"",TRIM(INDEX(Charge!$L:$L,ROW())),"(non affecté)")),"")</f>
        <v/>
      </c>
      <c r="CA292" t="str">
        <f>IF(AND($CD$4&lt;&gt;"",BZ292=$CD$4),COUNTIFS($BZ$4:$BZ$503,$CD$4,$L$4:$L$503,"&lt;"&amp;L292)+1,"")</f>
        <v/>
      </c>
      <c r="EM292" t="str">
        <f>IF(D292=1,IF(TRIM(INDEX(Charge!$K:$K,ROW()))&lt;&gt;"","Interne",IF(TRIM(INDEX(Charge!$L:$L,ROW()))&lt;&gt;"","Externe","Non affecté")),"")</f>
        <v/>
      </c>
      <c r="EN292" t="str">
        <f>IF(D292=1,LEFT(SUBSTITUTE(SUBSTITUTE(SUBSTITUTE(TRIM(SUBSTITUTE(INDEX(Charge!$B:$B,ROW()),CHAR(160)," "))&amp;" | "&amp;TRIM(SUBSTITUTE(INDEX(Charge!$C:$C,ROW()),CHAR(160)," "))&amp;" | "&amp;TRIM(SUBSTITUTE(INDEX(Charge!$D:$D,ROW()),CHAR(160)," ")),"~","-"),"*","+"),"?","!"),240),"")</f>
        <v/>
      </c>
      <c r="EO292">
        <f>IF(EN292="",0,IF(COUNTIF($EN$4:EN292,EN292)=1,1,0))</f>
        <v>0</v>
      </c>
      <c r="EP292" s="166" t="str">
        <f>IF(EO292=1,ROUND(SUMIF($EN$4:$EN$503,EN292,$E$4:$E$503),2),"")</f>
        <v/>
      </c>
      <c r="EQ292" t="str">
        <f>IF(EO292=1,COUNTIFS($EO$4:$EO$503,1,$EP$4:$EP$503,"&gt;"&amp;EP292)+COUNTIFS($EO$4:EO292,1,$EP$4:EP292,EP292),"")</f>
        <v/>
      </c>
      <c r="ER292" t="str">
        <f>IF(EO292=1,COUNTIFS($EN$4:$EN$503,EN292,$EM$4:$EM$503,"Interne",$FE$4:$FE$503,1),"")</f>
        <v/>
      </c>
      <c r="ES292" t="str">
        <f>IF(EO292=1,COUNTIFS($EN$4:$EN$503,EN292,$EM$4:$EM$503,"Externe",$FE$4:$FE$503,1),"")</f>
        <v/>
      </c>
      <c r="ET292" t="str">
        <f>IF(EO292=1,IF(ER292+ES292=0,"à affecter",IF(ER292=0,ES292&amp;" ext.",(ER292+ES292)&amp;IF(ES292&gt;0," dont "&amp;ES292&amp;" ext.",""))&amp;IF(COUNTIFS($EN$4:$EN$503,EN292,$EM$4:$EM$503,"Non affecté")&gt;0," + à affecter","")),"")</f>
        <v/>
      </c>
      <c r="EU292" s="170" t="str">
        <f>IF(EO292=1,IF(EP292&gt;0,SUMPRODUCT(($EN$4:$EN$503=EN292)*$E$4:$E$503*$C$4:$C$503)/EP292,AVERAGEIF($EN$4:$EN$503,EN292,$C$4:$C$503)),"")</f>
        <v/>
      </c>
      <c r="EV292" s="165">
        <f>IF(ISNUMBER(I292),I292,2958465)</f>
        <v>2958465.0</v>
      </c>
      <c r="EW292" s="165" t="str">
        <f>IF(EO292=1,SUMPRODUCT(MIN(($EN$4:$EN$503=EN292)*$EV$4:$EV$503+($EN$4:$EN$503&lt;&gt;EN292)*2958465)),"")</f>
        <v/>
      </c>
      <c r="EX292" s="165">
        <f>IF(AND(D292=1,ISNUMBER(INDEX(Charge!$F:$F,ROW()))),INDEX(Charge!$F:$F,ROW()),0)</f>
        <v>0.0</v>
      </c>
      <c r="EY292" s="165" t="str">
        <f>IF(EO292=1,SUMPRODUCT(MAX(($EN$4:$EN$503=EN292)*$EX$4:$EX$503)),"")</f>
        <v/>
      </c>
      <c r="FA292" t="str">
        <f>IF(289&lt;=$CD$23,INDEX($EJ$4:$EJ$203,289),IF(289-$CD$23&lt;=$CD$26,INDEX($EK$4:$EK$203,289-$CD$23),""))</f>
        <v/>
      </c>
      <c r="FB292" t="str">
        <f>IF(FA292="","",IF(289&lt;=$CD$23,"Interne","Externe"))</f>
        <v/>
      </c>
      <c r="FD292">
        <f>IF(AND(B292=1,TRIM(INDEX(Charge!$K:$K,ROW()))&lt;&gt;"",TRIM(INDEX(Charge!$L:$L,ROW()))&lt;&gt;""),1,0)</f>
        <v>0</v>
      </c>
      <c r="FE292">
        <f>IF(OR(EN292="",BZ292="(non affecté)"),0,IF(COUNTIFS($EN$4:EN292,EN292,$BZ$4:BZ292,BZ292)=1,1,0))</f>
        <v>0</v>
      </c>
    </row>
    <row r="293">
      <c r="A293">
        <f>ROW()</f>
        <v>293</v>
      </c>
      <c r="B293">
        <f>IF(TRIM(INDEX(Charge!$B:$B,ROW()))&lt;&gt;"",1,0)</f>
        <v>0</v>
      </c>
      <c r="C293">
        <f>IF(B293=1,MIN(1,MAX(0,N(INDEX(Charge!$O:$O,ROW())))),0)</f>
        <v>0</v>
      </c>
      <c r="D293">
        <f>IF(B293=1,IF(OR(p_Perimetre="Tous les projets",C293&lt;1),1,0),0)</f>
        <v>0</v>
      </c>
      <c r="E293">
        <f>IF(D293=1,MAX(0,N(INDEX(Charge!$M:$M,ROW()))),0)</f>
        <v>0</v>
      </c>
      <c r="F293" t="str">
        <f>IF(D293=1,IF(TRIM(INDEX(Charge!$A:$A,ROW()))="","(non renseigné)",TRIM(INDEX(Charge!$A:$A,ROW()))),"")</f>
        <v/>
      </c>
      <c r="G293" t="str">
        <f>IF(D293=1,TRIM(INDEX(Charge!$B:$B,ROW())),"")</f>
        <v/>
      </c>
      <c r="H293" t="str">
        <f>IF(D293=1,IF(TRIM(INDEX(Charge!$E:$E,ROW()))="","(non renseigné)",TRIM(INDEX(Charge!$E:$E,ROW()))),"")</f>
        <v/>
      </c>
      <c r="I293" s="165" t="str">
        <f>IF(AND(D293=1,ISNUMBER(INDEX(Charge!$N:$N,ROW()))),INDEX(Charge!$N:$N,ROW()),"")</f>
        <v/>
      </c>
      <c r="J293" s="165" t="str">
        <f>IF(I293="","",IF(AND(p_Repartition="Lissée jusqu'à la date de besoin",ISNUMBER(INDEX(Charge!$F:$F,ROW()))),IF(INDEX(Charge!$F:$F,ROW())&gt;=I293,INDEX(Charge!$F:$F,ROW()),I293),I293))</f>
        <v/>
      </c>
      <c r="K293" t="str">
        <f>IF(I293="","",NETWORKDAYS(I293,J293,Data!$K$4:$K$203))</f>
        <v/>
      </c>
      <c r="L293" t="str">
        <f>IF(D293=1,COUNTIFS($D$4:$D$503,1,$E$4:$E$503,"&gt;"&amp;E293)+COUNTIFS($D$4:$D293,1,$E$4:$E293,E293),"")</f>
        <v/>
      </c>
      <c r="M293">
        <f>IF(F293="",0,IF(COUNTIF($F$4:F293,F293)=1,1,0))</f>
        <v>0</v>
      </c>
      <c r="N293" t="str">
        <f>IF(M293=1,ROUND(SUMIF($F$4:$F$503,F293,$E$4:$E$503),2),"")</f>
        <v/>
      </c>
      <c r="O293" t="str">
        <f>IF(M293=1,COUNTIFS($M$4:$M$503,1,$N$4:$N$503,"&gt;"&amp;N293)+COUNTIFS($M$4:M293,1,$N$4:N293,N293),"")</f>
        <v/>
      </c>
      <c r="P293">
        <f>IF(G293="",0,IF(COUNTIF($G$4:G293,G293)=1,1,0))</f>
        <v>0</v>
      </c>
      <c r="Q293" t="str">
        <f>IF(P293=1,ROUND(SUMIF($G$4:$G$503,G293,$E$4:$E$503),2),"")</f>
        <v/>
      </c>
      <c r="R293" t="str">
        <f>IF(P293=1,COUNTIFS($P$4:$P$503,1,$Q$4:$Q$503,"&gt;"&amp;Q293)+COUNTIFS($P$4:P293,1,$Q$4:Q293,Q293),"")</f>
        <v/>
      </c>
      <c r="S293">
        <f>IF(H293="",0,IF(COUNTIF($H$4:H293,H293)=1,1,0))</f>
        <v>0</v>
      </c>
      <c r="T293" t="str">
        <f>IF(S293=1,ROUND(SUMIF($H$4:$H$503,H293,$E$4:$E$503),2),"")</f>
        <v/>
      </c>
      <c r="U293" t="str">
        <f>IF(S293=1,COUNTIFS($S$4:$S$503,1,$T$4:$T$503,"&gt;"&amp;T293)+COUNTIFS($S$4:S293,1,$T$4:T293,T293),"")</f>
        <v/>
      </c>
      <c r="V293" t="str">
        <f>IF(D293=1,MIN(INDEX($R$4:$R$503,MATCH(G293,$G$4:$G$503,0)),IF($AL$7&gt;9,9,999)),"")</f>
        <v/>
      </c>
      <c r="W293" s="166">
        <f>IF(OR($I293="",$E293=0),0,IF(OR($J293&lt;W$3,$I293&gt;W$2),0,IF($K293=0,IF(AND($I293&gt;=W$3,$I293&lt;=W$2),$E293,0),$E293*NETWORKDAYS(MAX($I293,W$3),MIN($J293,W$2),Data!$K$4:$K$203)/$K293)))</f>
        <v>0</v>
      </c>
      <c r="X293" s="166">
        <f>IF(OR($I293="",$E293=0),0,IF(OR($J293&lt;X$3,$I293&gt;X$2),0,IF($K293=0,IF(AND($I293&gt;=X$3,$I293&lt;=X$2),$E293,0),$E293*NETWORKDAYS(MAX($I293,X$3),MIN($J293,X$2),Data!$K$4:$K$203)/$K293)))</f>
        <v>0</v>
      </c>
      <c r="Y293" s="166">
        <f>IF(OR($I293="",$E293=0),0,IF(OR($J293&lt;Y$3,$I293&gt;Y$2),0,IF($K293=0,IF(AND($I293&gt;=Y$3,$I293&lt;=Y$2),$E293,0),$E293*NETWORKDAYS(MAX($I293,Y$3),MIN($J293,Y$2),Data!$K$4:$K$203)/$K293)))</f>
        <v>0</v>
      </c>
      <c r="Z293" s="166">
        <f>IF(OR($I293="",$E293=0),0,IF(OR($J293&lt;Z$3,$I293&gt;Z$2),0,IF($K293=0,IF(AND($I293&gt;=Z$3,$I293&lt;=Z$2),$E293,0),$E293*NETWORKDAYS(MAX($I293,Z$3),MIN($J293,Z$2),Data!$K$4:$K$203)/$K293)))</f>
        <v>0</v>
      </c>
      <c r="AA293" s="166">
        <f>IF(OR($I293="",$E293=0),0,IF(OR($J293&lt;AA$3,$I293&gt;AA$2),0,IF($K293=0,IF(AND($I293&gt;=AA$3,$I293&lt;=AA$2),$E293,0),$E293*NETWORKDAYS(MAX($I293,AA$3),MIN($J293,AA$2),Data!$K$4:$K$203)/$K293)))</f>
        <v>0</v>
      </c>
      <c r="AB293" s="166">
        <f>IF(OR($I293="",$E293=0),0,IF(OR($J293&lt;AB$3,$I293&gt;AB$2),0,IF($K293=0,IF(AND($I293&gt;=AB$3,$I293&lt;=AB$2),$E293,0),$E293*NETWORKDAYS(MAX($I293,AB$3),MIN($J293,AB$2),Data!$K$4:$K$203)/$K293)))</f>
        <v>0</v>
      </c>
      <c r="AC293" s="166">
        <f>IF(OR($I293="",$E293=0),0,IF(OR($J293&lt;AC$3,$I293&gt;AC$2),0,IF($K293=0,IF(AND($I293&gt;=AC$3,$I293&lt;=AC$2),$E293,0),$E293*NETWORKDAYS(MAX($I293,AC$3),MIN($J293,AC$2),Data!$K$4:$K$203)/$K293)))</f>
        <v>0</v>
      </c>
      <c r="AD293" s="166">
        <f>IF(OR($I293="",$E293=0),0,IF(OR($J293&lt;AD$3,$I293&gt;AD$2),0,IF($K293=0,IF(AND($I293&gt;=AD$3,$I293&lt;=AD$2),$E293,0),$E293*NETWORKDAYS(MAX($I293,AD$3),MIN($J293,AD$2),Data!$K$4:$K$203)/$K293)))</f>
        <v>0</v>
      </c>
      <c r="AE293" s="166">
        <f>IF(OR($I293="",$E293=0),0,IF(OR($J293&lt;AE$3,$I293&gt;AE$2),0,IF($K293=0,IF(AND($I293&gt;=AE$3,$I293&lt;=AE$2),$E293,0),$E293*NETWORKDAYS(MAX($I293,AE$3),MIN($J293,AE$2),Data!$K$4:$K$203)/$K293)))</f>
        <v>0</v>
      </c>
      <c r="AF293" s="166">
        <f>IF(OR($I293="",$E293=0),0,IF(OR($J293&lt;AF$3,$I293&gt;AF$2),0,IF($K293=0,IF(AND($I293&gt;=AF$3,$I293&lt;=AF$2),$E293,0),$E293*NETWORKDAYS(MAX($I293,AF$3),MIN($J293,AF$2),Data!$K$4:$K$203)/$K293)))</f>
        <v>0</v>
      </c>
      <c r="AG293" s="166">
        <f>IF(OR($I293="",$E293=0),0,IF(OR($J293&lt;AG$3,$I293&gt;AG$2),0,IF($K293=0,IF(AND($I293&gt;=AG$3,$I293&lt;=AG$2),$E293,0),$E293*NETWORKDAYS(MAX($I293,AG$3),MIN($J293,AG$2),Data!$K$4:$K$203)/$K293)))</f>
        <v>0</v>
      </c>
      <c r="AH293" s="166">
        <f>IF(OR($I293="",$E293=0),0,IF(OR($J293&lt;AH$3,$I293&gt;AH$2),0,IF($K293=0,IF(AND($I293&gt;=AH$3,$I293&lt;=AH$2),$E293,0),$E293*NETWORKDAYS(MAX($I293,AH$3),MIN($J293,AH$2),Data!$K$4:$K$203)/$K293)))</f>
        <v>0</v>
      </c>
      <c r="AI293" s="166">
        <f>SUM(W293:AH293)</f>
        <v>0</v>
      </c>
      <c r="BZ293" t="str">
        <f>IF(D293=1,IF(TRIM(INDEX(Charge!$K:$K,ROW()))&lt;&gt;"",TRIM(INDEX(Charge!$K:$K,ROW())),IF(TRIM(INDEX(Charge!$L:$L,ROW()))&lt;&gt;"",TRIM(INDEX(Charge!$L:$L,ROW())),"(non affecté)")),"")</f>
        <v/>
      </c>
      <c r="CA293" t="str">
        <f>IF(AND($CD$4&lt;&gt;"",BZ293=$CD$4),COUNTIFS($BZ$4:$BZ$503,$CD$4,$L$4:$L$503,"&lt;"&amp;L293)+1,"")</f>
        <v/>
      </c>
      <c r="EM293" t="str">
        <f>IF(D293=1,IF(TRIM(INDEX(Charge!$K:$K,ROW()))&lt;&gt;"","Interne",IF(TRIM(INDEX(Charge!$L:$L,ROW()))&lt;&gt;"","Externe","Non affecté")),"")</f>
        <v/>
      </c>
      <c r="EN293" t="str">
        <f>IF(D293=1,LEFT(SUBSTITUTE(SUBSTITUTE(SUBSTITUTE(TRIM(SUBSTITUTE(INDEX(Charge!$B:$B,ROW()),CHAR(160)," "))&amp;" | "&amp;TRIM(SUBSTITUTE(INDEX(Charge!$C:$C,ROW()),CHAR(160)," "))&amp;" | "&amp;TRIM(SUBSTITUTE(INDEX(Charge!$D:$D,ROW()),CHAR(160)," ")),"~","-"),"*","+"),"?","!"),240),"")</f>
        <v/>
      </c>
      <c r="EO293">
        <f>IF(EN293="",0,IF(COUNTIF($EN$4:EN293,EN293)=1,1,0))</f>
        <v>0</v>
      </c>
      <c r="EP293" s="166" t="str">
        <f>IF(EO293=1,ROUND(SUMIF($EN$4:$EN$503,EN293,$E$4:$E$503),2),"")</f>
        <v/>
      </c>
      <c r="EQ293" t="str">
        <f>IF(EO293=1,COUNTIFS($EO$4:$EO$503,1,$EP$4:$EP$503,"&gt;"&amp;EP293)+COUNTIFS($EO$4:EO293,1,$EP$4:EP293,EP293),"")</f>
        <v/>
      </c>
      <c r="ER293" t="str">
        <f>IF(EO293=1,COUNTIFS($EN$4:$EN$503,EN293,$EM$4:$EM$503,"Interne",$FE$4:$FE$503,1),"")</f>
        <v/>
      </c>
      <c r="ES293" t="str">
        <f>IF(EO293=1,COUNTIFS($EN$4:$EN$503,EN293,$EM$4:$EM$503,"Externe",$FE$4:$FE$503,1),"")</f>
        <v/>
      </c>
      <c r="ET293" t="str">
        <f>IF(EO293=1,IF(ER293+ES293=0,"à affecter",IF(ER293=0,ES293&amp;" ext.",(ER293+ES293)&amp;IF(ES293&gt;0," dont "&amp;ES293&amp;" ext.",""))&amp;IF(COUNTIFS($EN$4:$EN$503,EN293,$EM$4:$EM$503,"Non affecté")&gt;0," + à affecter","")),"")</f>
        <v/>
      </c>
      <c r="EU293" s="170" t="str">
        <f>IF(EO293=1,IF(EP293&gt;0,SUMPRODUCT(($EN$4:$EN$503=EN293)*$E$4:$E$503*$C$4:$C$503)/EP293,AVERAGEIF($EN$4:$EN$503,EN293,$C$4:$C$503)),"")</f>
        <v/>
      </c>
      <c r="EV293" s="165">
        <f>IF(ISNUMBER(I293),I293,2958465)</f>
        <v>2958465.0</v>
      </c>
      <c r="EW293" s="165" t="str">
        <f>IF(EO293=1,SUMPRODUCT(MIN(($EN$4:$EN$503=EN293)*$EV$4:$EV$503+($EN$4:$EN$503&lt;&gt;EN293)*2958465)),"")</f>
        <v/>
      </c>
      <c r="EX293" s="165">
        <f>IF(AND(D293=1,ISNUMBER(INDEX(Charge!$F:$F,ROW()))),INDEX(Charge!$F:$F,ROW()),0)</f>
        <v>0.0</v>
      </c>
      <c r="EY293" s="165" t="str">
        <f>IF(EO293=1,SUMPRODUCT(MAX(($EN$4:$EN$503=EN293)*$EX$4:$EX$503)),"")</f>
        <v/>
      </c>
      <c r="FA293" t="str">
        <f>IF(290&lt;=$CD$23,INDEX($EJ$4:$EJ$203,290),IF(290-$CD$23&lt;=$CD$26,INDEX($EK$4:$EK$203,290-$CD$23),""))</f>
        <v/>
      </c>
      <c r="FB293" t="str">
        <f>IF(FA293="","",IF(290&lt;=$CD$23,"Interne","Externe"))</f>
        <v/>
      </c>
      <c r="FD293">
        <f>IF(AND(B293=1,TRIM(INDEX(Charge!$K:$K,ROW()))&lt;&gt;"",TRIM(INDEX(Charge!$L:$L,ROW()))&lt;&gt;""),1,0)</f>
        <v>0</v>
      </c>
      <c r="FE293">
        <f>IF(OR(EN293="",BZ293="(non affecté)"),0,IF(COUNTIFS($EN$4:EN293,EN293,$BZ$4:BZ293,BZ293)=1,1,0))</f>
        <v>0</v>
      </c>
    </row>
    <row r="294">
      <c r="A294">
        <f>ROW()</f>
        <v>294</v>
      </c>
      <c r="B294">
        <f>IF(TRIM(INDEX(Charge!$B:$B,ROW()))&lt;&gt;"",1,0)</f>
        <v>0</v>
      </c>
      <c r="C294">
        <f>IF(B294=1,MIN(1,MAX(0,N(INDEX(Charge!$O:$O,ROW())))),0)</f>
        <v>0</v>
      </c>
      <c r="D294">
        <f>IF(B294=1,IF(OR(p_Perimetre="Tous les projets",C294&lt;1),1,0),0)</f>
        <v>0</v>
      </c>
      <c r="E294">
        <f>IF(D294=1,MAX(0,N(INDEX(Charge!$M:$M,ROW()))),0)</f>
        <v>0</v>
      </c>
      <c r="F294" t="str">
        <f>IF(D294=1,IF(TRIM(INDEX(Charge!$A:$A,ROW()))="","(non renseigné)",TRIM(INDEX(Charge!$A:$A,ROW()))),"")</f>
        <v/>
      </c>
      <c r="G294" t="str">
        <f>IF(D294=1,TRIM(INDEX(Charge!$B:$B,ROW())),"")</f>
        <v/>
      </c>
      <c r="H294" t="str">
        <f>IF(D294=1,IF(TRIM(INDEX(Charge!$E:$E,ROW()))="","(non renseigné)",TRIM(INDEX(Charge!$E:$E,ROW()))),"")</f>
        <v/>
      </c>
      <c r="I294" s="165" t="str">
        <f>IF(AND(D294=1,ISNUMBER(INDEX(Charge!$N:$N,ROW()))),INDEX(Charge!$N:$N,ROW()),"")</f>
        <v/>
      </c>
      <c r="J294" s="165" t="str">
        <f>IF(I294="","",IF(AND(p_Repartition="Lissée jusqu'à la date de besoin",ISNUMBER(INDEX(Charge!$F:$F,ROW()))),IF(INDEX(Charge!$F:$F,ROW())&gt;=I294,INDEX(Charge!$F:$F,ROW()),I294),I294))</f>
        <v/>
      </c>
      <c r="K294" t="str">
        <f>IF(I294="","",NETWORKDAYS(I294,J294,Data!$K$4:$K$203))</f>
        <v/>
      </c>
      <c r="L294" t="str">
        <f>IF(D294=1,COUNTIFS($D$4:$D$503,1,$E$4:$E$503,"&gt;"&amp;E294)+COUNTIFS($D$4:$D294,1,$E$4:$E294,E294),"")</f>
        <v/>
      </c>
      <c r="M294">
        <f>IF(F294="",0,IF(COUNTIF($F$4:F294,F294)=1,1,0))</f>
        <v>0</v>
      </c>
      <c r="N294" t="str">
        <f>IF(M294=1,ROUND(SUMIF($F$4:$F$503,F294,$E$4:$E$503),2),"")</f>
        <v/>
      </c>
      <c r="O294" t="str">
        <f>IF(M294=1,COUNTIFS($M$4:$M$503,1,$N$4:$N$503,"&gt;"&amp;N294)+COUNTIFS($M$4:M294,1,$N$4:N294,N294),"")</f>
        <v/>
      </c>
      <c r="P294">
        <f>IF(G294="",0,IF(COUNTIF($G$4:G294,G294)=1,1,0))</f>
        <v>0</v>
      </c>
      <c r="Q294" t="str">
        <f>IF(P294=1,ROUND(SUMIF($G$4:$G$503,G294,$E$4:$E$503),2),"")</f>
        <v/>
      </c>
      <c r="R294" t="str">
        <f>IF(P294=1,COUNTIFS($P$4:$P$503,1,$Q$4:$Q$503,"&gt;"&amp;Q294)+COUNTIFS($P$4:P294,1,$Q$4:Q294,Q294),"")</f>
        <v/>
      </c>
      <c r="S294">
        <f>IF(H294="",0,IF(COUNTIF($H$4:H294,H294)=1,1,0))</f>
        <v>0</v>
      </c>
      <c r="T294" t="str">
        <f>IF(S294=1,ROUND(SUMIF($H$4:$H$503,H294,$E$4:$E$503),2),"")</f>
        <v/>
      </c>
      <c r="U294" t="str">
        <f>IF(S294=1,COUNTIFS($S$4:$S$503,1,$T$4:$T$503,"&gt;"&amp;T294)+COUNTIFS($S$4:S294,1,$T$4:T294,T294),"")</f>
        <v/>
      </c>
      <c r="V294" t="str">
        <f>IF(D294=1,MIN(INDEX($R$4:$R$503,MATCH(G294,$G$4:$G$503,0)),IF($AL$7&gt;9,9,999)),"")</f>
        <v/>
      </c>
      <c r="W294" s="166">
        <f>IF(OR($I294="",$E294=0),0,IF(OR($J294&lt;W$3,$I294&gt;W$2),0,IF($K294=0,IF(AND($I294&gt;=W$3,$I294&lt;=W$2),$E294,0),$E294*NETWORKDAYS(MAX($I294,W$3),MIN($J294,W$2),Data!$K$4:$K$203)/$K294)))</f>
        <v>0</v>
      </c>
      <c r="X294" s="166">
        <f>IF(OR($I294="",$E294=0),0,IF(OR($J294&lt;X$3,$I294&gt;X$2),0,IF($K294=0,IF(AND($I294&gt;=X$3,$I294&lt;=X$2),$E294,0),$E294*NETWORKDAYS(MAX($I294,X$3),MIN($J294,X$2),Data!$K$4:$K$203)/$K294)))</f>
        <v>0</v>
      </c>
      <c r="Y294" s="166">
        <f>IF(OR($I294="",$E294=0),0,IF(OR($J294&lt;Y$3,$I294&gt;Y$2),0,IF($K294=0,IF(AND($I294&gt;=Y$3,$I294&lt;=Y$2),$E294,0),$E294*NETWORKDAYS(MAX($I294,Y$3),MIN($J294,Y$2),Data!$K$4:$K$203)/$K294)))</f>
        <v>0</v>
      </c>
      <c r="Z294" s="166">
        <f>IF(OR($I294="",$E294=0),0,IF(OR($J294&lt;Z$3,$I294&gt;Z$2),0,IF($K294=0,IF(AND($I294&gt;=Z$3,$I294&lt;=Z$2),$E294,0),$E294*NETWORKDAYS(MAX($I294,Z$3),MIN($J294,Z$2),Data!$K$4:$K$203)/$K294)))</f>
        <v>0</v>
      </c>
      <c r="AA294" s="166">
        <f>IF(OR($I294="",$E294=0),0,IF(OR($J294&lt;AA$3,$I294&gt;AA$2),0,IF($K294=0,IF(AND($I294&gt;=AA$3,$I294&lt;=AA$2),$E294,0),$E294*NETWORKDAYS(MAX($I294,AA$3),MIN($J294,AA$2),Data!$K$4:$K$203)/$K294)))</f>
        <v>0</v>
      </c>
      <c r="AB294" s="166">
        <f>IF(OR($I294="",$E294=0),0,IF(OR($J294&lt;AB$3,$I294&gt;AB$2),0,IF($K294=0,IF(AND($I294&gt;=AB$3,$I294&lt;=AB$2),$E294,0),$E294*NETWORKDAYS(MAX($I294,AB$3),MIN($J294,AB$2),Data!$K$4:$K$203)/$K294)))</f>
        <v>0</v>
      </c>
      <c r="AC294" s="166">
        <f>IF(OR($I294="",$E294=0),0,IF(OR($J294&lt;AC$3,$I294&gt;AC$2),0,IF($K294=0,IF(AND($I294&gt;=AC$3,$I294&lt;=AC$2),$E294,0),$E294*NETWORKDAYS(MAX($I294,AC$3),MIN($J294,AC$2),Data!$K$4:$K$203)/$K294)))</f>
        <v>0</v>
      </c>
      <c r="AD294" s="166">
        <f>IF(OR($I294="",$E294=0),0,IF(OR($J294&lt;AD$3,$I294&gt;AD$2),0,IF($K294=0,IF(AND($I294&gt;=AD$3,$I294&lt;=AD$2),$E294,0),$E294*NETWORKDAYS(MAX($I294,AD$3),MIN($J294,AD$2),Data!$K$4:$K$203)/$K294)))</f>
        <v>0</v>
      </c>
      <c r="AE294" s="166">
        <f>IF(OR($I294="",$E294=0),0,IF(OR($J294&lt;AE$3,$I294&gt;AE$2),0,IF($K294=0,IF(AND($I294&gt;=AE$3,$I294&lt;=AE$2),$E294,0),$E294*NETWORKDAYS(MAX($I294,AE$3),MIN($J294,AE$2),Data!$K$4:$K$203)/$K294)))</f>
        <v>0</v>
      </c>
      <c r="AF294" s="166">
        <f>IF(OR($I294="",$E294=0),0,IF(OR($J294&lt;AF$3,$I294&gt;AF$2),0,IF($K294=0,IF(AND($I294&gt;=AF$3,$I294&lt;=AF$2),$E294,0),$E294*NETWORKDAYS(MAX($I294,AF$3),MIN($J294,AF$2),Data!$K$4:$K$203)/$K294)))</f>
        <v>0</v>
      </c>
      <c r="AG294" s="166">
        <f>IF(OR($I294="",$E294=0),0,IF(OR($J294&lt;AG$3,$I294&gt;AG$2),0,IF($K294=0,IF(AND($I294&gt;=AG$3,$I294&lt;=AG$2),$E294,0),$E294*NETWORKDAYS(MAX($I294,AG$3),MIN($J294,AG$2),Data!$K$4:$K$203)/$K294)))</f>
        <v>0</v>
      </c>
      <c r="AH294" s="166">
        <f>IF(OR($I294="",$E294=0),0,IF(OR($J294&lt;AH$3,$I294&gt;AH$2),0,IF($K294=0,IF(AND($I294&gt;=AH$3,$I294&lt;=AH$2),$E294,0),$E294*NETWORKDAYS(MAX($I294,AH$3),MIN($J294,AH$2),Data!$K$4:$K$203)/$K294)))</f>
        <v>0</v>
      </c>
      <c r="AI294" s="166">
        <f>SUM(W294:AH294)</f>
        <v>0</v>
      </c>
      <c r="BZ294" t="str">
        <f>IF(D294=1,IF(TRIM(INDEX(Charge!$K:$K,ROW()))&lt;&gt;"",TRIM(INDEX(Charge!$K:$K,ROW())),IF(TRIM(INDEX(Charge!$L:$L,ROW()))&lt;&gt;"",TRIM(INDEX(Charge!$L:$L,ROW())),"(non affecté)")),"")</f>
        <v/>
      </c>
      <c r="CA294" t="str">
        <f>IF(AND($CD$4&lt;&gt;"",BZ294=$CD$4),COUNTIFS($BZ$4:$BZ$503,$CD$4,$L$4:$L$503,"&lt;"&amp;L294)+1,"")</f>
        <v/>
      </c>
      <c r="EM294" t="str">
        <f>IF(D294=1,IF(TRIM(INDEX(Charge!$K:$K,ROW()))&lt;&gt;"","Interne",IF(TRIM(INDEX(Charge!$L:$L,ROW()))&lt;&gt;"","Externe","Non affecté")),"")</f>
        <v/>
      </c>
      <c r="EN294" t="str">
        <f>IF(D294=1,LEFT(SUBSTITUTE(SUBSTITUTE(SUBSTITUTE(TRIM(SUBSTITUTE(INDEX(Charge!$B:$B,ROW()),CHAR(160)," "))&amp;" | "&amp;TRIM(SUBSTITUTE(INDEX(Charge!$C:$C,ROW()),CHAR(160)," "))&amp;" | "&amp;TRIM(SUBSTITUTE(INDEX(Charge!$D:$D,ROW()),CHAR(160)," ")),"~","-"),"*","+"),"?","!"),240),"")</f>
        <v/>
      </c>
      <c r="EO294">
        <f>IF(EN294="",0,IF(COUNTIF($EN$4:EN294,EN294)=1,1,0))</f>
        <v>0</v>
      </c>
      <c r="EP294" s="166" t="str">
        <f>IF(EO294=1,ROUND(SUMIF($EN$4:$EN$503,EN294,$E$4:$E$503),2),"")</f>
        <v/>
      </c>
      <c r="EQ294" t="str">
        <f>IF(EO294=1,COUNTIFS($EO$4:$EO$503,1,$EP$4:$EP$503,"&gt;"&amp;EP294)+COUNTIFS($EO$4:EO294,1,$EP$4:EP294,EP294),"")</f>
        <v/>
      </c>
      <c r="ER294" t="str">
        <f>IF(EO294=1,COUNTIFS($EN$4:$EN$503,EN294,$EM$4:$EM$503,"Interne",$FE$4:$FE$503,1),"")</f>
        <v/>
      </c>
      <c r="ES294" t="str">
        <f>IF(EO294=1,COUNTIFS($EN$4:$EN$503,EN294,$EM$4:$EM$503,"Externe",$FE$4:$FE$503,1),"")</f>
        <v/>
      </c>
      <c r="ET294" t="str">
        <f>IF(EO294=1,IF(ER294+ES294=0,"à affecter",IF(ER294=0,ES294&amp;" ext.",(ER294+ES294)&amp;IF(ES294&gt;0," dont "&amp;ES294&amp;" ext.",""))&amp;IF(COUNTIFS($EN$4:$EN$503,EN294,$EM$4:$EM$503,"Non affecté")&gt;0," + à affecter","")),"")</f>
        <v/>
      </c>
      <c r="EU294" s="170" t="str">
        <f>IF(EO294=1,IF(EP294&gt;0,SUMPRODUCT(($EN$4:$EN$503=EN294)*$E$4:$E$503*$C$4:$C$503)/EP294,AVERAGEIF($EN$4:$EN$503,EN294,$C$4:$C$503)),"")</f>
        <v/>
      </c>
      <c r="EV294" s="165">
        <f>IF(ISNUMBER(I294),I294,2958465)</f>
        <v>2958465.0</v>
      </c>
      <c r="EW294" s="165" t="str">
        <f>IF(EO294=1,SUMPRODUCT(MIN(($EN$4:$EN$503=EN294)*$EV$4:$EV$503+($EN$4:$EN$503&lt;&gt;EN294)*2958465)),"")</f>
        <v/>
      </c>
      <c r="EX294" s="165">
        <f>IF(AND(D294=1,ISNUMBER(INDEX(Charge!$F:$F,ROW()))),INDEX(Charge!$F:$F,ROW()),0)</f>
        <v>0.0</v>
      </c>
      <c r="EY294" s="165" t="str">
        <f>IF(EO294=1,SUMPRODUCT(MAX(($EN$4:$EN$503=EN294)*$EX$4:$EX$503)),"")</f>
        <v/>
      </c>
      <c r="FA294" t="str">
        <f>IF(291&lt;=$CD$23,INDEX($EJ$4:$EJ$203,291),IF(291-$CD$23&lt;=$CD$26,INDEX($EK$4:$EK$203,291-$CD$23),""))</f>
        <v/>
      </c>
      <c r="FB294" t="str">
        <f>IF(FA294="","",IF(291&lt;=$CD$23,"Interne","Externe"))</f>
        <v/>
      </c>
      <c r="FD294">
        <f>IF(AND(B294=1,TRIM(INDEX(Charge!$K:$K,ROW()))&lt;&gt;"",TRIM(INDEX(Charge!$L:$L,ROW()))&lt;&gt;""),1,0)</f>
        <v>0</v>
      </c>
      <c r="FE294">
        <f>IF(OR(EN294="",BZ294="(non affecté)"),0,IF(COUNTIFS($EN$4:EN294,EN294,$BZ$4:BZ294,BZ294)=1,1,0))</f>
        <v>0</v>
      </c>
    </row>
    <row r="295">
      <c r="A295">
        <f>ROW()</f>
        <v>295</v>
      </c>
      <c r="B295">
        <f>IF(TRIM(INDEX(Charge!$B:$B,ROW()))&lt;&gt;"",1,0)</f>
        <v>0</v>
      </c>
      <c r="C295">
        <f>IF(B295=1,MIN(1,MAX(0,N(INDEX(Charge!$O:$O,ROW())))),0)</f>
        <v>0</v>
      </c>
      <c r="D295">
        <f>IF(B295=1,IF(OR(p_Perimetre="Tous les projets",C295&lt;1),1,0),0)</f>
        <v>0</v>
      </c>
      <c r="E295">
        <f>IF(D295=1,MAX(0,N(INDEX(Charge!$M:$M,ROW()))),0)</f>
        <v>0</v>
      </c>
      <c r="F295" t="str">
        <f>IF(D295=1,IF(TRIM(INDEX(Charge!$A:$A,ROW()))="","(non renseigné)",TRIM(INDEX(Charge!$A:$A,ROW()))),"")</f>
        <v/>
      </c>
      <c r="G295" t="str">
        <f>IF(D295=1,TRIM(INDEX(Charge!$B:$B,ROW())),"")</f>
        <v/>
      </c>
      <c r="H295" t="str">
        <f>IF(D295=1,IF(TRIM(INDEX(Charge!$E:$E,ROW()))="","(non renseigné)",TRIM(INDEX(Charge!$E:$E,ROW()))),"")</f>
        <v/>
      </c>
      <c r="I295" s="165" t="str">
        <f>IF(AND(D295=1,ISNUMBER(INDEX(Charge!$N:$N,ROW()))),INDEX(Charge!$N:$N,ROW()),"")</f>
        <v/>
      </c>
      <c r="J295" s="165" t="str">
        <f>IF(I295="","",IF(AND(p_Repartition="Lissée jusqu'à la date de besoin",ISNUMBER(INDEX(Charge!$F:$F,ROW()))),IF(INDEX(Charge!$F:$F,ROW())&gt;=I295,INDEX(Charge!$F:$F,ROW()),I295),I295))</f>
        <v/>
      </c>
      <c r="K295" t="str">
        <f>IF(I295="","",NETWORKDAYS(I295,J295,Data!$K$4:$K$203))</f>
        <v/>
      </c>
      <c r="L295" t="str">
        <f>IF(D295=1,COUNTIFS($D$4:$D$503,1,$E$4:$E$503,"&gt;"&amp;E295)+COUNTIFS($D$4:$D295,1,$E$4:$E295,E295),"")</f>
        <v/>
      </c>
      <c r="M295">
        <f>IF(F295="",0,IF(COUNTIF($F$4:F295,F295)=1,1,0))</f>
        <v>0</v>
      </c>
      <c r="N295" t="str">
        <f>IF(M295=1,ROUND(SUMIF($F$4:$F$503,F295,$E$4:$E$503),2),"")</f>
        <v/>
      </c>
      <c r="O295" t="str">
        <f>IF(M295=1,COUNTIFS($M$4:$M$503,1,$N$4:$N$503,"&gt;"&amp;N295)+COUNTIFS($M$4:M295,1,$N$4:N295,N295),"")</f>
        <v/>
      </c>
      <c r="P295">
        <f>IF(G295="",0,IF(COUNTIF($G$4:G295,G295)=1,1,0))</f>
        <v>0</v>
      </c>
      <c r="Q295" t="str">
        <f>IF(P295=1,ROUND(SUMIF($G$4:$G$503,G295,$E$4:$E$503),2),"")</f>
        <v/>
      </c>
      <c r="R295" t="str">
        <f>IF(P295=1,COUNTIFS($P$4:$P$503,1,$Q$4:$Q$503,"&gt;"&amp;Q295)+COUNTIFS($P$4:P295,1,$Q$4:Q295,Q295),"")</f>
        <v/>
      </c>
      <c r="S295">
        <f>IF(H295="",0,IF(COUNTIF($H$4:H295,H295)=1,1,0))</f>
        <v>0</v>
      </c>
      <c r="T295" t="str">
        <f>IF(S295=1,ROUND(SUMIF($H$4:$H$503,H295,$E$4:$E$503),2),"")</f>
        <v/>
      </c>
      <c r="U295" t="str">
        <f>IF(S295=1,COUNTIFS($S$4:$S$503,1,$T$4:$T$503,"&gt;"&amp;T295)+COUNTIFS($S$4:S295,1,$T$4:T295,T295),"")</f>
        <v/>
      </c>
      <c r="V295" t="str">
        <f>IF(D295=1,MIN(INDEX($R$4:$R$503,MATCH(G295,$G$4:$G$503,0)),IF($AL$7&gt;9,9,999)),"")</f>
        <v/>
      </c>
      <c r="W295" s="166">
        <f>IF(OR($I295="",$E295=0),0,IF(OR($J295&lt;W$3,$I295&gt;W$2),0,IF($K295=0,IF(AND($I295&gt;=W$3,$I295&lt;=W$2),$E295,0),$E295*NETWORKDAYS(MAX($I295,W$3),MIN($J295,W$2),Data!$K$4:$K$203)/$K295)))</f>
        <v>0</v>
      </c>
      <c r="X295" s="166">
        <f>IF(OR($I295="",$E295=0),0,IF(OR($J295&lt;X$3,$I295&gt;X$2),0,IF($K295=0,IF(AND($I295&gt;=X$3,$I295&lt;=X$2),$E295,0),$E295*NETWORKDAYS(MAX($I295,X$3),MIN($J295,X$2),Data!$K$4:$K$203)/$K295)))</f>
        <v>0</v>
      </c>
      <c r="Y295" s="166">
        <f>IF(OR($I295="",$E295=0),0,IF(OR($J295&lt;Y$3,$I295&gt;Y$2),0,IF($K295=0,IF(AND($I295&gt;=Y$3,$I295&lt;=Y$2),$E295,0),$E295*NETWORKDAYS(MAX($I295,Y$3),MIN($J295,Y$2),Data!$K$4:$K$203)/$K295)))</f>
        <v>0</v>
      </c>
      <c r="Z295" s="166">
        <f>IF(OR($I295="",$E295=0),0,IF(OR($J295&lt;Z$3,$I295&gt;Z$2),0,IF($K295=0,IF(AND($I295&gt;=Z$3,$I295&lt;=Z$2),$E295,0),$E295*NETWORKDAYS(MAX($I295,Z$3),MIN($J295,Z$2),Data!$K$4:$K$203)/$K295)))</f>
        <v>0</v>
      </c>
      <c r="AA295" s="166">
        <f>IF(OR($I295="",$E295=0),0,IF(OR($J295&lt;AA$3,$I295&gt;AA$2),0,IF($K295=0,IF(AND($I295&gt;=AA$3,$I295&lt;=AA$2),$E295,0),$E295*NETWORKDAYS(MAX($I295,AA$3),MIN($J295,AA$2),Data!$K$4:$K$203)/$K295)))</f>
        <v>0</v>
      </c>
      <c r="AB295" s="166">
        <f>IF(OR($I295="",$E295=0),0,IF(OR($J295&lt;AB$3,$I295&gt;AB$2),0,IF($K295=0,IF(AND($I295&gt;=AB$3,$I295&lt;=AB$2),$E295,0),$E295*NETWORKDAYS(MAX($I295,AB$3),MIN($J295,AB$2),Data!$K$4:$K$203)/$K295)))</f>
        <v>0</v>
      </c>
      <c r="AC295" s="166">
        <f>IF(OR($I295="",$E295=0),0,IF(OR($J295&lt;AC$3,$I295&gt;AC$2),0,IF($K295=0,IF(AND($I295&gt;=AC$3,$I295&lt;=AC$2),$E295,0),$E295*NETWORKDAYS(MAX($I295,AC$3),MIN($J295,AC$2),Data!$K$4:$K$203)/$K295)))</f>
        <v>0</v>
      </c>
      <c r="AD295" s="166">
        <f>IF(OR($I295="",$E295=0),0,IF(OR($J295&lt;AD$3,$I295&gt;AD$2),0,IF($K295=0,IF(AND($I295&gt;=AD$3,$I295&lt;=AD$2),$E295,0),$E295*NETWORKDAYS(MAX($I295,AD$3),MIN($J295,AD$2),Data!$K$4:$K$203)/$K295)))</f>
        <v>0</v>
      </c>
      <c r="AE295" s="166">
        <f>IF(OR($I295="",$E295=0),0,IF(OR($J295&lt;AE$3,$I295&gt;AE$2),0,IF($K295=0,IF(AND($I295&gt;=AE$3,$I295&lt;=AE$2),$E295,0),$E295*NETWORKDAYS(MAX($I295,AE$3),MIN($J295,AE$2),Data!$K$4:$K$203)/$K295)))</f>
        <v>0</v>
      </c>
      <c r="AF295" s="166">
        <f>IF(OR($I295="",$E295=0),0,IF(OR($J295&lt;AF$3,$I295&gt;AF$2),0,IF($K295=0,IF(AND($I295&gt;=AF$3,$I295&lt;=AF$2),$E295,0),$E295*NETWORKDAYS(MAX($I295,AF$3),MIN($J295,AF$2),Data!$K$4:$K$203)/$K295)))</f>
        <v>0</v>
      </c>
      <c r="AG295" s="166">
        <f>IF(OR($I295="",$E295=0),0,IF(OR($J295&lt;AG$3,$I295&gt;AG$2),0,IF($K295=0,IF(AND($I295&gt;=AG$3,$I295&lt;=AG$2),$E295,0),$E295*NETWORKDAYS(MAX($I295,AG$3),MIN($J295,AG$2),Data!$K$4:$K$203)/$K295)))</f>
        <v>0</v>
      </c>
      <c r="AH295" s="166">
        <f>IF(OR($I295="",$E295=0),0,IF(OR($J295&lt;AH$3,$I295&gt;AH$2),0,IF($K295=0,IF(AND($I295&gt;=AH$3,$I295&lt;=AH$2),$E295,0),$E295*NETWORKDAYS(MAX($I295,AH$3),MIN($J295,AH$2),Data!$K$4:$K$203)/$K295)))</f>
        <v>0</v>
      </c>
      <c r="AI295" s="166">
        <f>SUM(W295:AH295)</f>
        <v>0</v>
      </c>
      <c r="BZ295" t="str">
        <f>IF(D295=1,IF(TRIM(INDEX(Charge!$K:$K,ROW()))&lt;&gt;"",TRIM(INDEX(Charge!$K:$K,ROW())),IF(TRIM(INDEX(Charge!$L:$L,ROW()))&lt;&gt;"",TRIM(INDEX(Charge!$L:$L,ROW())),"(non affecté)")),"")</f>
        <v/>
      </c>
      <c r="CA295" t="str">
        <f>IF(AND($CD$4&lt;&gt;"",BZ295=$CD$4),COUNTIFS($BZ$4:$BZ$503,$CD$4,$L$4:$L$503,"&lt;"&amp;L295)+1,"")</f>
        <v/>
      </c>
      <c r="EM295" t="str">
        <f>IF(D295=1,IF(TRIM(INDEX(Charge!$K:$K,ROW()))&lt;&gt;"","Interne",IF(TRIM(INDEX(Charge!$L:$L,ROW()))&lt;&gt;"","Externe","Non affecté")),"")</f>
        <v/>
      </c>
      <c r="EN295" t="str">
        <f>IF(D295=1,LEFT(SUBSTITUTE(SUBSTITUTE(SUBSTITUTE(TRIM(SUBSTITUTE(INDEX(Charge!$B:$B,ROW()),CHAR(160)," "))&amp;" | "&amp;TRIM(SUBSTITUTE(INDEX(Charge!$C:$C,ROW()),CHAR(160)," "))&amp;" | "&amp;TRIM(SUBSTITUTE(INDEX(Charge!$D:$D,ROW()),CHAR(160)," ")),"~","-"),"*","+"),"?","!"),240),"")</f>
        <v/>
      </c>
      <c r="EO295">
        <f>IF(EN295="",0,IF(COUNTIF($EN$4:EN295,EN295)=1,1,0))</f>
        <v>0</v>
      </c>
      <c r="EP295" s="166" t="str">
        <f>IF(EO295=1,ROUND(SUMIF($EN$4:$EN$503,EN295,$E$4:$E$503),2),"")</f>
        <v/>
      </c>
      <c r="EQ295" t="str">
        <f>IF(EO295=1,COUNTIFS($EO$4:$EO$503,1,$EP$4:$EP$503,"&gt;"&amp;EP295)+COUNTIFS($EO$4:EO295,1,$EP$4:EP295,EP295),"")</f>
        <v/>
      </c>
      <c r="ER295" t="str">
        <f>IF(EO295=1,COUNTIFS($EN$4:$EN$503,EN295,$EM$4:$EM$503,"Interne",$FE$4:$FE$503,1),"")</f>
        <v/>
      </c>
      <c r="ES295" t="str">
        <f>IF(EO295=1,COUNTIFS($EN$4:$EN$503,EN295,$EM$4:$EM$503,"Externe",$FE$4:$FE$503,1),"")</f>
        <v/>
      </c>
      <c r="ET295" t="str">
        <f>IF(EO295=1,IF(ER295+ES295=0,"à affecter",IF(ER295=0,ES295&amp;" ext.",(ER295+ES295)&amp;IF(ES295&gt;0," dont "&amp;ES295&amp;" ext.",""))&amp;IF(COUNTIFS($EN$4:$EN$503,EN295,$EM$4:$EM$503,"Non affecté")&gt;0," + à affecter","")),"")</f>
        <v/>
      </c>
      <c r="EU295" s="170" t="str">
        <f>IF(EO295=1,IF(EP295&gt;0,SUMPRODUCT(($EN$4:$EN$503=EN295)*$E$4:$E$503*$C$4:$C$503)/EP295,AVERAGEIF($EN$4:$EN$503,EN295,$C$4:$C$503)),"")</f>
        <v/>
      </c>
      <c r="EV295" s="165">
        <f>IF(ISNUMBER(I295),I295,2958465)</f>
        <v>2958465.0</v>
      </c>
      <c r="EW295" s="165" t="str">
        <f>IF(EO295=1,SUMPRODUCT(MIN(($EN$4:$EN$503=EN295)*$EV$4:$EV$503+($EN$4:$EN$503&lt;&gt;EN295)*2958465)),"")</f>
        <v/>
      </c>
      <c r="EX295" s="165">
        <f>IF(AND(D295=1,ISNUMBER(INDEX(Charge!$F:$F,ROW()))),INDEX(Charge!$F:$F,ROW()),0)</f>
        <v>0.0</v>
      </c>
      <c r="EY295" s="165" t="str">
        <f>IF(EO295=1,SUMPRODUCT(MAX(($EN$4:$EN$503=EN295)*$EX$4:$EX$503)),"")</f>
        <v/>
      </c>
      <c r="FA295" t="str">
        <f>IF(292&lt;=$CD$23,INDEX($EJ$4:$EJ$203,292),IF(292-$CD$23&lt;=$CD$26,INDEX($EK$4:$EK$203,292-$CD$23),""))</f>
        <v/>
      </c>
      <c r="FB295" t="str">
        <f>IF(FA295="","",IF(292&lt;=$CD$23,"Interne","Externe"))</f>
        <v/>
      </c>
      <c r="FD295">
        <f>IF(AND(B295=1,TRIM(INDEX(Charge!$K:$K,ROW()))&lt;&gt;"",TRIM(INDEX(Charge!$L:$L,ROW()))&lt;&gt;""),1,0)</f>
        <v>0</v>
      </c>
      <c r="FE295">
        <f>IF(OR(EN295="",BZ295="(non affecté)"),0,IF(COUNTIFS($EN$4:EN295,EN295,$BZ$4:BZ295,BZ295)=1,1,0))</f>
        <v>0</v>
      </c>
    </row>
    <row r="296">
      <c r="A296">
        <f>ROW()</f>
        <v>296</v>
      </c>
      <c r="B296">
        <f>IF(TRIM(INDEX(Charge!$B:$B,ROW()))&lt;&gt;"",1,0)</f>
        <v>0</v>
      </c>
      <c r="C296">
        <f>IF(B296=1,MIN(1,MAX(0,N(INDEX(Charge!$O:$O,ROW())))),0)</f>
        <v>0</v>
      </c>
      <c r="D296">
        <f>IF(B296=1,IF(OR(p_Perimetre="Tous les projets",C296&lt;1),1,0),0)</f>
        <v>0</v>
      </c>
      <c r="E296">
        <f>IF(D296=1,MAX(0,N(INDEX(Charge!$M:$M,ROW()))),0)</f>
        <v>0</v>
      </c>
      <c r="F296" t="str">
        <f>IF(D296=1,IF(TRIM(INDEX(Charge!$A:$A,ROW()))="","(non renseigné)",TRIM(INDEX(Charge!$A:$A,ROW()))),"")</f>
        <v/>
      </c>
      <c r="G296" t="str">
        <f>IF(D296=1,TRIM(INDEX(Charge!$B:$B,ROW())),"")</f>
        <v/>
      </c>
      <c r="H296" t="str">
        <f>IF(D296=1,IF(TRIM(INDEX(Charge!$E:$E,ROW()))="","(non renseigné)",TRIM(INDEX(Charge!$E:$E,ROW()))),"")</f>
        <v/>
      </c>
      <c r="I296" s="165" t="str">
        <f>IF(AND(D296=1,ISNUMBER(INDEX(Charge!$N:$N,ROW()))),INDEX(Charge!$N:$N,ROW()),"")</f>
        <v/>
      </c>
      <c r="J296" s="165" t="str">
        <f>IF(I296="","",IF(AND(p_Repartition="Lissée jusqu'à la date de besoin",ISNUMBER(INDEX(Charge!$F:$F,ROW()))),IF(INDEX(Charge!$F:$F,ROW())&gt;=I296,INDEX(Charge!$F:$F,ROW()),I296),I296))</f>
        <v/>
      </c>
      <c r="K296" t="str">
        <f>IF(I296="","",NETWORKDAYS(I296,J296,Data!$K$4:$K$203))</f>
        <v/>
      </c>
      <c r="L296" t="str">
        <f>IF(D296=1,COUNTIFS($D$4:$D$503,1,$E$4:$E$503,"&gt;"&amp;E296)+COUNTIFS($D$4:$D296,1,$E$4:$E296,E296),"")</f>
        <v/>
      </c>
      <c r="M296">
        <f>IF(F296="",0,IF(COUNTIF($F$4:F296,F296)=1,1,0))</f>
        <v>0</v>
      </c>
      <c r="N296" t="str">
        <f>IF(M296=1,ROUND(SUMIF($F$4:$F$503,F296,$E$4:$E$503),2),"")</f>
        <v/>
      </c>
      <c r="O296" t="str">
        <f>IF(M296=1,COUNTIFS($M$4:$M$503,1,$N$4:$N$503,"&gt;"&amp;N296)+COUNTIFS($M$4:M296,1,$N$4:N296,N296),"")</f>
        <v/>
      </c>
      <c r="P296">
        <f>IF(G296="",0,IF(COUNTIF($G$4:G296,G296)=1,1,0))</f>
        <v>0</v>
      </c>
      <c r="Q296" t="str">
        <f>IF(P296=1,ROUND(SUMIF($G$4:$G$503,G296,$E$4:$E$503),2),"")</f>
        <v/>
      </c>
      <c r="R296" t="str">
        <f>IF(P296=1,COUNTIFS($P$4:$P$503,1,$Q$4:$Q$503,"&gt;"&amp;Q296)+COUNTIFS($P$4:P296,1,$Q$4:Q296,Q296),"")</f>
        <v/>
      </c>
      <c r="S296">
        <f>IF(H296="",0,IF(COUNTIF($H$4:H296,H296)=1,1,0))</f>
        <v>0</v>
      </c>
      <c r="T296" t="str">
        <f>IF(S296=1,ROUND(SUMIF($H$4:$H$503,H296,$E$4:$E$503),2),"")</f>
        <v/>
      </c>
      <c r="U296" t="str">
        <f>IF(S296=1,COUNTIFS($S$4:$S$503,1,$T$4:$T$503,"&gt;"&amp;T296)+COUNTIFS($S$4:S296,1,$T$4:T296,T296),"")</f>
        <v/>
      </c>
      <c r="V296" t="str">
        <f>IF(D296=1,MIN(INDEX($R$4:$R$503,MATCH(G296,$G$4:$G$503,0)),IF($AL$7&gt;9,9,999)),"")</f>
        <v/>
      </c>
      <c r="W296" s="166">
        <f>IF(OR($I296="",$E296=0),0,IF(OR($J296&lt;W$3,$I296&gt;W$2),0,IF($K296=0,IF(AND($I296&gt;=W$3,$I296&lt;=W$2),$E296,0),$E296*NETWORKDAYS(MAX($I296,W$3),MIN($J296,W$2),Data!$K$4:$K$203)/$K296)))</f>
        <v>0</v>
      </c>
      <c r="X296" s="166">
        <f>IF(OR($I296="",$E296=0),0,IF(OR($J296&lt;X$3,$I296&gt;X$2),0,IF($K296=0,IF(AND($I296&gt;=X$3,$I296&lt;=X$2),$E296,0),$E296*NETWORKDAYS(MAX($I296,X$3),MIN($J296,X$2),Data!$K$4:$K$203)/$K296)))</f>
        <v>0</v>
      </c>
      <c r="Y296" s="166">
        <f>IF(OR($I296="",$E296=0),0,IF(OR($J296&lt;Y$3,$I296&gt;Y$2),0,IF($K296=0,IF(AND($I296&gt;=Y$3,$I296&lt;=Y$2),$E296,0),$E296*NETWORKDAYS(MAX($I296,Y$3),MIN($J296,Y$2),Data!$K$4:$K$203)/$K296)))</f>
        <v>0</v>
      </c>
      <c r="Z296" s="166">
        <f>IF(OR($I296="",$E296=0),0,IF(OR($J296&lt;Z$3,$I296&gt;Z$2),0,IF($K296=0,IF(AND($I296&gt;=Z$3,$I296&lt;=Z$2),$E296,0),$E296*NETWORKDAYS(MAX($I296,Z$3),MIN($J296,Z$2),Data!$K$4:$K$203)/$K296)))</f>
        <v>0</v>
      </c>
      <c r="AA296" s="166">
        <f>IF(OR($I296="",$E296=0),0,IF(OR($J296&lt;AA$3,$I296&gt;AA$2),0,IF($K296=0,IF(AND($I296&gt;=AA$3,$I296&lt;=AA$2),$E296,0),$E296*NETWORKDAYS(MAX($I296,AA$3),MIN($J296,AA$2),Data!$K$4:$K$203)/$K296)))</f>
        <v>0</v>
      </c>
      <c r="AB296" s="166">
        <f>IF(OR($I296="",$E296=0),0,IF(OR($J296&lt;AB$3,$I296&gt;AB$2),0,IF($K296=0,IF(AND($I296&gt;=AB$3,$I296&lt;=AB$2),$E296,0),$E296*NETWORKDAYS(MAX($I296,AB$3),MIN($J296,AB$2),Data!$K$4:$K$203)/$K296)))</f>
        <v>0</v>
      </c>
      <c r="AC296" s="166">
        <f>IF(OR($I296="",$E296=0),0,IF(OR($J296&lt;AC$3,$I296&gt;AC$2),0,IF($K296=0,IF(AND($I296&gt;=AC$3,$I296&lt;=AC$2),$E296,0),$E296*NETWORKDAYS(MAX($I296,AC$3),MIN($J296,AC$2),Data!$K$4:$K$203)/$K296)))</f>
        <v>0</v>
      </c>
      <c r="AD296" s="166">
        <f>IF(OR($I296="",$E296=0),0,IF(OR($J296&lt;AD$3,$I296&gt;AD$2),0,IF($K296=0,IF(AND($I296&gt;=AD$3,$I296&lt;=AD$2),$E296,0),$E296*NETWORKDAYS(MAX($I296,AD$3),MIN($J296,AD$2),Data!$K$4:$K$203)/$K296)))</f>
        <v>0</v>
      </c>
      <c r="AE296" s="166">
        <f>IF(OR($I296="",$E296=0),0,IF(OR($J296&lt;AE$3,$I296&gt;AE$2),0,IF($K296=0,IF(AND($I296&gt;=AE$3,$I296&lt;=AE$2),$E296,0),$E296*NETWORKDAYS(MAX($I296,AE$3),MIN($J296,AE$2),Data!$K$4:$K$203)/$K296)))</f>
        <v>0</v>
      </c>
      <c r="AF296" s="166">
        <f>IF(OR($I296="",$E296=0),0,IF(OR($J296&lt;AF$3,$I296&gt;AF$2),0,IF($K296=0,IF(AND($I296&gt;=AF$3,$I296&lt;=AF$2),$E296,0),$E296*NETWORKDAYS(MAX($I296,AF$3),MIN($J296,AF$2),Data!$K$4:$K$203)/$K296)))</f>
        <v>0</v>
      </c>
      <c r="AG296" s="166">
        <f>IF(OR($I296="",$E296=0),0,IF(OR($J296&lt;AG$3,$I296&gt;AG$2),0,IF($K296=0,IF(AND($I296&gt;=AG$3,$I296&lt;=AG$2),$E296,0),$E296*NETWORKDAYS(MAX($I296,AG$3),MIN($J296,AG$2),Data!$K$4:$K$203)/$K296)))</f>
        <v>0</v>
      </c>
      <c r="AH296" s="166">
        <f>IF(OR($I296="",$E296=0),0,IF(OR($J296&lt;AH$3,$I296&gt;AH$2),0,IF($K296=0,IF(AND($I296&gt;=AH$3,$I296&lt;=AH$2),$E296,0),$E296*NETWORKDAYS(MAX($I296,AH$3),MIN($J296,AH$2),Data!$K$4:$K$203)/$K296)))</f>
        <v>0</v>
      </c>
      <c r="AI296" s="166">
        <f>SUM(W296:AH296)</f>
        <v>0</v>
      </c>
      <c r="BZ296" t="str">
        <f>IF(D296=1,IF(TRIM(INDEX(Charge!$K:$K,ROW()))&lt;&gt;"",TRIM(INDEX(Charge!$K:$K,ROW())),IF(TRIM(INDEX(Charge!$L:$L,ROW()))&lt;&gt;"",TRIM(INDEX(Charge!$L:$L,ROW())),"(non affecté)")),"")</f>
        <v/>
      </c>
      <c r="CA296" t="str">
        <f>IF(AND($CD$4&lt;&gt;"",BZ296=$CD$4),COUNTIFS($BZ$4:$BZ$503,$CD$4,$L$4:$L$503,"&lt;"&amp;L296)+1,"")</f>
        <v/>
      </c>
      <c r="EM296" t="str">
        <f>IF(D296=1,IF(TRIM(INDEX(Charge!$K:$K,ROW()))&lt;&gt;"","Interne",IF(TRIM(INDEX(Charge!$L:$L,ROW()))&lt;&gt;"","Externe","Non affecté")),"")</f>
        <v/>
      </c>
      <c r="EN296" t="str">
        <f>IF(D296=1,LEFT(SUBSTITUTE(SUBSTITUTE(SUBSTITUTE(TRIM(SUBSTITUTE(INDEX(Charge!$B:$B,ROW()),CHAR(160)," "))&amp;" | "&amp;TRIM(SUBSTITUTE(INDEX(Charge!$C:$C,ROW()),CHAR(160)," "))&amp;" | "&amp;TRIM(SUBSTITUTE(INDEX(Charge!$D:$D,ROW()),CHAR(160)," ")),"~","-"),"*","+"),"?","!"),240),"")</f>
        <v/>
      </c>
      <c r="EO296">
        <f>IF(EN296="",0,IF(COUNTIF($EN$4:EN296,EN296)=1,1,0))</f>
        <v>0</v>
      </c>
      <c r="EP296" s="166" t="str">
        <f>IF(EO296=1,ROUND(SUMIF($EN$4:$EN$503,EN296,$E$4:$E$503),2),"")</f>
        <v/>
      </c>
      <c r="EQ296" t="str">
        <f>IF(EO296=1,COUNTIFS($EO$4:$EO$503,1,$EP$4:$EP$503,"&gt;"&amp;EP296)+COUNTIFS($EO$4:EO296,1,$EP$4:EP296,EP296),"")</f>
        <v/>
      </c>
      <c r="ER296" t="str">
        <f>IF(EO296=1,COUNTIFS($EN$4:$EN$503,EN296,$EM$4:$EM$503,"Interne",$FE$4:$FE$503,1),"")</f>
        <v/>
      </c>
      <c r="ES296" t="str">
        <f>IF(EO296=1,COUNTIFS($EN$4:$EN$503,EN296,$EM$4:$EM$503,"Externe",$FE$4:$FE$503,1),"")</f>
        <v/>
      </c>
      <c r="ET296" t="str">
        <f>IF(EO296=1,IF(ER296+ES296=0,"à affecter",IF(ER296=0,ES296&amp;" ext.",(ER296+ES296)&amp;IF(ES296&gt;0," dont "&amp;ES296&amp;" ext.",""))&amp;IF(COUNTIFS($EN$4:$EN$503,EN296,$EM$4:$EM$503,"Non affecté")&gt;0," + à affecter","")),"")</f>
        <v/>
      </c>
      <c r="EU296" s="170" t="str">
        <f>IF(EO296=1,IF(EP296&gt;0,SUMPRODUCT(($EN$4:$EN$503=EN296)*$E$4:$E$503*$C$4:$C$503)/EP296,AVERAGEIF($EN$4:$EN$503,EN296,$C$4:$C$503)),"")</f>
        <v/>
      </c>
      <c r="EV296" s="165">
        <f>IF(ISNUMBER(I296),I296,2958465)</f>
        <v>2958465.0</v>
      </c>
      <c r="EW296" s="165" t="str">
        <f>IF(EO296=1,SUMPRODUCT(MIN(($EN$4:$EN$503=EN296)*$EV$4:$EV$503+($EN$4:$EN$503&lt;&gt;EN296)*2958465)),"")</f>
        <v/>
      </c>
      <c r="EX296" s="165">
        <f>IF(AND(D296=1,ISNUMBER(INDEX(Charge!$F:$F,ROW()))),INDEX(Charge!$F:$F,ROW()),0)</f>
        <v>0.0</v>
      </c>
      <c r="EY296" s="165" t="str">
        <f>IF(EO296=1,SUMPRODUCT(MAX(($EN$4:$EN$503=EN296)*$EX$4:$EX$503)),"")</f>
        <v/>
      </c>
      <c r="FA296" t="str">
        <f>IF(293&lt;=$CD$23,INDEX($EJ$4:$EJ$203,293),IF(293-$CD$23&lt;=$CD$26,INDEX($EK$4:$EK$203,293-$CD$23),""))</f>
        <v/>
      </c>
      <c r="FB296" t="str">
        <f>IF(FA296="","",IF(293&lt;=$CD$23,"Interne","Externe"))</f>
        <v/>
      </c>
      <c r="FD296">
        <f>IF(AND(B296=1,TRIM(INDEX(Charge!$K:$K,ROW()))&lt;&gt;"",TRIM(INDEX(Charge!$L:$L,ROW()))&lt;&gt;""),1,0)</f>
        <v>0</v>
      </c>
      <c r="FE296">
        <f>IF(OR(EN296="",BZ296="(non affecté)"),0,IF(COUNTIFS($EN$4:EN296,EN296,$BZ$4:BZ296,BZ296)=1,1,0))</f>
        <v>0</v>
      </c>
    </row>
    <row r="297">
      <c r="A297">
        <f>ROW()</f>
        <v>297</v>
      </c>
      <c r="B297">
        <f>IF(TRIM(INDEX(Charge!$B:$B,ROW()))&lt;&gt;"",1,0)</f>
        <v>0</v>
      </c>
      <c r="C297">
        <f>IF(B297=1,MIN(1,MAX(0,N(INDEX(Charge!$O:$O,ROW())))),0)</f>
        <v>0</v>
      </c>
      <c r="D297">
        <f>IF(B297=1,IF(OR(p_Perimetre="Tous les projets",C297&lt;1),1,0),0)</f>
        <v>0</v>
      </c>
      <c r="E297">
        <f>IF(D297=1,MAX(0,N(INDEX(Charge!$M:$M,ROW()))),0)</f>
        <v>0</v>
      </c>
      <c r="F297" t="str">
        <f>IF(D297=1,IF(TRIM(INDEX(Charge!$A:$A,ROW()))="","(non renseigné)",TRIM(INDEX(Charge!$A:$A,ROW()))),"")</f>
        <v/>
      </c>
      <c r="G297" t="str">
        <f>IF(D297=1,TRIM(INDEX(Charge!$B:$B,ROW())),"")</f>
        <v/>
      </c>
      <c r="H297" t="str">
        <f>IF(D297=1,IF(TRIM(INDEX(Charge!$E:$E,ROW()))="","(non renseigné)",TRIM(INDEX(Charge!$E:$E,ROW()))),"")</f>
        <v/>
      </c>
      <c r="I297" s="165" t="str">
        <f>IF(AND(D297=1,ISNUMBER(INDEX(Charge!$N:$N,ROW()))),INDEX(Charge!$N:$N,ROW()),"")</f>
        <v/>
      </c>
      <c r="J297" s="165" t="str">
        <f>IF(I297="","",IF(AND(p_Repartition="Lissée jusqu'à la date de besoin",ISNUMBER(INDEX(Charge!$F:$F,ROW()))),IF(INDEX(Charge!$F:$F,ROW())&gt;=I297,INDEX(Charge!$F:$F,ROW()),I297),I297))</f>
        <v/>
      </c>
      <c r="K297" t="str">
        <f>IF(I297="","",NETWORKDAYS(I297,J297,Data!$K$4:$K$203))</f>
        <v/>
      </c>
      <c r="L297" t="str">
        <f>IF(D297=1,COUNTIFS($D$4:$D$503,1,$E$4:$E$503,"&gt;"&amp;E297)+COUNTIFS($D$4:$D297,1,$E$4:$E297,E297),"")</f>
        <v/>
      </c>
      <c r="M297">
        <f>IF(F297="",0,IF(COUNTIF($F$4:F297,F297)=1,1,0))</f>
        <v>0</v>
      </c>
      <c r="N297" t="str">
        <f>IF(M297=1,ROUND(SUMIF($F$4:$F$503,F297,$E$4:$E$503),2),"")</f>
        <v/>
      </c>
      <c r="O297" t="str">
        <f>IF(M297=1,COUNTIFS($M$4:$M$503,1,$N$4:$N$503,"&gt;"&amp;N297)+COUNTIFS($M$4:M297,1,$N$4:N297,N297),"")</f>
        <v/>
      </c>
      <c r="P297">
        <f>IF(G297="",0,IF(COUNTIF($G$4:G297,G297)=1,1,0))</f>
        <v>0</v>
      </c>
      <c r="Q297" t="str">
        <f>IF(P297=1,ROUND(SUMIF($G$4:$G$503,G297,$E$4:$E$503),2),"")</f>
        <v/>
      </c>
      <c r="R297" t="str">
        <f>IF(P297=1,COUNTIFS($P$4:$P$503,1,$Q$4:$Q$503,"&gt;"&amp;Q297)+COUNTIFS($P$4:P297,1,$Q$4:Q297,Q297),"")</f>
        <v/>
      </c>
      <c r="S297">
        <f>IF(H297="",0,IF(COUNTIF($H$4:H297,H297)=1,1,0))</f>
        <v>0</v>
      </c>
      <c r="T297" t="str">
        <f>IF(S297=1,ROUND(SUMIF($H$4:$H$503,H297,$E$4:$E$503),2),"")</f>
        <v/>
      </c>
      <c r="U297" t="str">
        <f>IF(S297=1,COUNTIFS($S$4:$S$503,1,$T$4:$T$503,"&gt;"&amp;T297)+COUNTIFS($S$4:S297,1,$T$4:T297,T297),"")</f>
        <v/>
      </c>
      <c r="V297" t="str">
        <f>IF(D297=1,MIN(INDEX($R$4:$R$503,MATCH(G297,$G$4:$G$503,0)),IF($AL$7&gt;9,9,999)),"")</f>
        <v/>
      </c>
      <c r="W297" s="166">
        <f>IF(OR($I297="",$E297=0),0,IF(OR($J297&lt;W$3,$I297&gt;W$2),0,IF($K297=0,IF(AND($I297&gt;=W$3,$I297&lt;=W$2),$E297,0),$E297*NETWORKDAYS(MAX($I297,W$3),MIN($J297,W$2),Data!$K$4:$K$203)/$K297)))</f>
        <v>0</v>
      </c>
      <c r="X297" s="166">
        <f>IF(OR($I297="",$E297=0),0,IF(OR($J297&lt;X$3,$I297&gt;X$2),0,IF($K297=0,IF(AND($I297&gt;=X$3,$I297&lt;=X$2),$E297,0),$E297*NETWORKDAYS(MAX($I297,X$3),MIN($J297,X$2),Data!$K$4:$K$203)/$K297)))</f>
        <v>0</v>
      </c>
      <c r="Y297" s="166">
        <f>IF(OR($I297="",$E297=0),0,IF(OR($J297&lt;Y$3,$I297&gt;Y$2),0,IF($K297=0,IF(AND($I297&gt;=Y$3,$I297&lt;=Y$2),$E297,0),$E297*NETWORKDAYS(MAX($I297,Y$3),MIN($J297,Y$2),Data!$K$4:$K$203)/$K297)))</f>
        <v>0</v>
      </c>
      <c r="Z297" s="166">
        <f>IF(OR($I297="",$E297=0),0,IF(OR($J297&lt;Z$3,$I297&gt;Z$2),0,IF($K297=0,IF(AND($I297&gt;=Z$3,$I297&lt;=Z$2),$E297,0),$E297*NETWORKDAYS(MAX($I297,Z$3),MIN($J297,Z$2),Data!$K$4:$K$203)/$K297)))</f>
        <v>0</v>
      </c>
      <c r="AA297" s="166">
        <f>IF(OR($I297="",$E297=0),0,IF(OR($J297&lt;AA$3,$I297&gt;AA$2),0,IF($K297=0,IF(AND($I297&gt;=AA$3,$I297&lt;=AA$2),$E297,0),$E297*NETWORKDAYS(MAX($I297,AA$3),MIN($J297,AA$2),Data!$K$4:$K$203)/$K297)))</f>
        <v>0</v>
      </c>
      <c r="AB297" s="166">
        <f>IF(OR($I297="",$E297=0),0,IF(OR($J297&lt;AB$3,$I297&gt;AB$2),0,IF($K297=0,IF(AND($I297&gt;=AB$3,$I297&lt;=AB$2),$E297,0),$E297*NETWORKDAYS(MAX($I297,AB$3),MIN($J297,AB$2),Data!$K$4:$K$203)/$K297)))</f>
        <v>0</v>
      </c>
      <c r="AC297" s="166">
        <f>IF(OR($I297="",$E297=0),0,IF(OR($J297&lt;AC$3,$I297&gt;AC$2),0,IF($K297=0,IF(AND($I297&gt;=AC$3,$I297&lt;=AC$2),$E297,0),$E297*NETWORKDAYS(MAX($I297,AC$3),MIN($J297,AC$2),Data!$K$4:$K$203)/$K297)))</f>
        <v>0</v>
      </c>
      <c r="AD297" s="166">
        <f>IF(OR($I297="",$E297=0),0,IF(OR($J297&lt;AD$3,$I297&gt;AD$2),0,IF($K297=0,IF(AND($I297&gt;=AD$3,$I297&lt;=AD$2),$E297,0),$E297*NETWORKDAYS(MAX($I297,AD$3),MIN($J297,AD$2),Data!$K$4:$K$203)/$K297)))</f>
        <v>0</v>
      </c>
      <c r="AE297" s="166">
        <f>IF(OR($I297="",$E297=0),0,IF(OR($J297&lt;AE$3,$I297&gt;AE$2),0,IF($K297=0,IF(AND($I297&gt;=AE$3,$I297&lt;=AE$2),$E297,0),$E297*NETWORKDAYS(MAX($I297,AE$3),MIN($J297,AE$2),Data!$K$4:$K$203)/$K297)))</f>
        <v>0</v>
      </c>
      <c r="AF297" s="166">
        <f>IF(OR($I297="",$E297=0),0,IF(OR($J297&lt;AF$3,$I297&gt;AF$2),0,IF($K297=0,IF(AND($I297&gt;=AF$3,$I297&lt;=AF$2),$E297,0),$E297*NETWORKDAYS(MAX($I297,AF$3),MIN($J297,AF$2),Data!$K$4:$K$203)/$K297)))</f>
        <v>0</v>
      </c>
      <c r="AG297" s="166">
        <f>IF(OR($I297="",$E297=0),0,IF(OR($J297&lt;AG$3,$I297&gt;AG$2),0,IF($K297=0,IF(AND($I297&gt;=AG$3,$I297&lt;=AG$2),$E297,0),$E297*NETWORKDAYS(MAX($I297,AG$3),MIN($J297,AG$2),Data!$K$4:$K$203)/$K297)))</f>
        <v>0</v>
      </c>
      <c r="AH297" s="166">
        <f>IF(OR($I297="",$E297=0),0,IF(OR($J297&lt;AH$3,$I297&gt;AH$2),0,IF($K297=0,IF(AND($I297&gt;=AH$3,$I297&lt;=AH$2),$E297,0),$E297*NETWORKDAYS(MAX($I297,AH$3),MIN($J297,AH$2),Data!$K$4:$K$203)/$K297)))</f>
        <v>0</v>
      </c>
      <c r="AI297" s="166">
        <f>SUM(W297:AH297)</f>
        <v>0</v>
      </c>
      <c r="BZ297" t="str">
        <f>IF(D297=1,IF(TRIM(INDEX(Charge!$K:$K,ROW()))&lt;&gt;"",TRIM(INDEX(Charge!$K:$K,ROW())),IF(TRIM(INDEX(Charge!$L:$L,ROW()))&lt;&gt;"",TRIM(INDEX(Charge!$L:$L,ROW())),"(non affecté)")),"")</f>
        <v/>
      </c>
      <c r="CA297" t="str">
        <f>IF(AND($CD$4&lt;&gt;"",BZ297=$CD$4),COUNTIFS($BZ$4:$BZ$503,$CD$4,$L$4:$L$503,"&lt;"&amp;L297)+1,"")</f>
        <v/>
      </c>
      <c r="EM297" t="str">
        <f>IF(D297=1,IF(TRIM(INDEX(Charge!$K:$K,ROW()))&lt;&gt;"","Interne",IF(TRIM(INDEX(Charge!$L:$L,ROW()))&lt;&gt;"","Externe","Non affecté")),"")</f>
        <v/>
      </c>
      <c r="EN297" t="str">
        <f>IF(D297=1,LEFT(SUBSTITUTE(SUBSTITUTE(SUBSTITUTE(TRIM(SUBSTITUTE(INDEX(Charge!$B:$B,ROW()),CHAR(160)," "))&amp;" | "&amp;TRIM(SUBSTITUTE(INDEX(Charge!$C:$C,ROW()),CHAR(160)," "))&amp;" | "&amp;TRIM(SUBSTITUTE(INDEX(Charge!$D:$D,ROW()),CHAR(160)," ")),"~","-"),"*","+"),"?","!"),240),"")</f>
        <v/>
      </c>
      <c r="EO297">
        <f>IF(EN297="",0,IF(COUNTIF($EN$4:EN297,EN297)=1,1,0))</f>
        <v>0</v>
      </c>
      <c r="EP297" s="166" t="str">
        <f>IF(EO297=1,ROUND(SUMIF($EN$4:$EN$503,EN297,$E$4:$E$503),2),"")</f>
        <v/>
      </c>
      <c r="EQ297" t="str">
        <f>IF(EO297=1,COUNTIFS($EO$4:$EO$503,1,$EP$4:$EP$503,"&gt;"&amp;EP297)+COUNTIFS($EO$4:EO297,1,$EP$4:EP297,EP297),"")</f>
        <v/>
      </c>
      <c r="ER297" t="str">
        <f>IF(EO297=1,COUNTIFS($EN$4:$EN$503,EN297,$EM$4:$EM$503,"Interne",$FE$4:$FE$503,1),"")</f>
        <v/>
      </c>
      <c r="ES297" t="str">
        <f>IF(EO297=1,COUNTIFS($EN$4:$EN$503,EN297,$EM$4:$EM$503,"Externe",$FE$4:$FE$503,1),"")</f>
        <v/>
      </c>
      <c r="ET297" t="str">
        <f>IF(EO297=1,IF(ER297+ES297=0,"à affecter",IF(ER297=0,ES297&amp;" ext.",(ER297+ES297)&amp;IF(ES297&gt;0," dont "&amp;ES297&amp;" ext.",""))&amp;IF(COUNTIFS($EN$4:$EN$503,EN297,$EM$4:$EM$503,"Non affecté")&gt;0," + à affecter","")),"")</f>
        <v/>
      </c>
      <c r="EU297" s="170" t="str">
        <f>IF(EO297=1,IF(EP297&gt;0,SUMPRODUCT(($EN$4:$EN$503=EN297)*$E$4:$E$503*$C$4:$C$503)/EP297,AVERAGEIF($EN$4:$EN$503,EN297,$C$4:$C$503)),"")</f>
        <v/>
      </c>
      <c r="EV297" s="165">
        <f>IF(ISNUMBER(I297),I297,2958465)</f>
        <v>2958465.0</v>
      </c>
      <c r="EW297" s="165" t="str">
        <f>IF(EO297=1,SUMPRODUCT(MIN(($EN$4:$EN$503=EN297)*$EV$4:$EV$503+($EN$4:$EN$503&lt;&gt;EN297)*2958465)),"")</f>
        <v/>
      </c>
      <c r="EX297" s="165">
        <f>IF(AND(D297=1,ISNUMBER(INDEX(Charge!$F:$F,ROW()))),INDEX(Charge!$F:$F,ROW()),0)</f>
        <v>0.0</v>
      </c>
      <c r="EY297" s="165" t="str">
        <f>IF(EO297=1,SUMPRODUCT(MAX(($EN$4:$EN$503=EN297)*$EX$4:$EX$503)),"")</f>
        <v/>
      </c>
      <c r="FA297" t="str">
        <f>IF(294&lt;=$CD$23,INDEX($EJ$4:$EJ$203,294),IF(294-$CD$23&lt;=$CD$26,INDEX($EK$4:$EK$203,294-$CD$23),""))</f>
        <v/>
      </c>
      <c r="FB297" t="str">
        <f>IF(FA297="","",IF(294&lt;=$CD$23,"Interne","Externe"))</f>
        <v/>
      </c>
      <c r="FD297">
        <f>IF(AND(B297=1,TRIM(INDEX(Charge!$K:$K,ROW()))&lt;&gt;"",TRIM(INDEX(Charge!$L:$L,ROW()))&lt;&gt;""),1,0)</f>
        <v>0</v>
      </c>
      <c r="FE297">
        <f>IF(OR(EN297="",BZ297="(non affecté)"),0,IF(COUNTIFS($EN$4:EN297,EN297,$BZ$4:BZ297,BZ297)=1,1,0))</f>
        <v>0</v>
      </c>
    </row>
    <row r="298">
      <c r="A298">
        <f>ROW()</f>
        <v>298</v>
      </c>
      <c r="B298">
        <f>IF(TRIM(INDEX(Charge!$B:$B,ROW()))&lt;&gt;"",1,0)</f>
        <v>0</v>
      </c>
      <c r="C298">
        <f>IF(B298=1,MIN(1,MAX(0,N(INDEX(Charge!$O:$O,ROW())))),0)</f>
        <v>0</v>
      </c>
      <c r="D298">
        <f>IF(B298=1,IF(OR(p_Perimetre="Tous les projets",C298&lt;1),1,0),0)</f>
        <v>0</v>
      </c>
      <c r="E298">
        <f>IF(D298=1,MAX(0,N(INDEX(Charge!$M:$M,ROW()))),0)</f>
        <v>0</v>
      </c>
      <c r="F298" t="str">
        <f>IF(D298=1,IF(TRIM(INDEX(Charge!$A:$A,ROW()))="","(non renseigné)",TRIM(INDEX(Charge!$A:$A,ROW()))),"")</f>
        <v/>
      </c>
      <c r="G298" t="str">
        <f>IF(D298=1,TRIM(INDEX(Charge!$B:$B,ROW())),"")</f>
        <v/>
      </c>
      <c r="H298" t="str">
        <f>IF(D298=1,IF(TRIM(INDEX(Charge!$E:$E,ROW()))="","(non renseigné)",TRIM(INDEX(Charge!$E:$E,ROW()))),"")</f>
        <v/>
      </c>
      <c r="I298" s="165" t="str">
        <f>IF(AND(D298=1,ISNUMBER(INDEX(Charge!$N:$N,ROW()))),INDEX(Charge!$N:$N,ROW()),"")</f>
        <v/>
      </c>
      <c r="J298" s="165" t="str">
        <f>IF(I298="","",IF(AND(p_Repartition="Lissée jusqu'à la date de besoin",ISNUMBER(INDEX(Charge!$F:$F,ROW()))),IF(INDEX(Charge!$F:$F,ROW())&gt;=I298,INDEX(Charge!$F:$F,ROW()),I298),I298))</f>
        <v/>
      </c>
      <c r="K298" t="str">
        <f>IF(I298="","",NETWORKDAYS(I298,J298,Data!$K$4:$K$203))</f>
        <v/>
      </c>
      <c r="L298" t="str">
        <f>IF(D298=1,COUNTIFS($D$4:$D$503,1,$E$4:$E$503,"&gt;"&amp;E298)+COUNTIFS($D$4:$D298,1,$E$4:$E298,E298),"")</f>
        <v/>
      </c>
      <c r="M298">
        <f>IF(F298="",0,IF(COUNTIF($F$4:F298,F298)=1,1,0))</f>
        <v>0</v>
      </c>
      <c r="N298" t="str">
        <f>IF(M298=1,ROUND(SUMIF($F$4:$F$503,F298,$E$4:$E$503),2),"")</f>
        <v/>
      </c>
      <c r="O298" t="str">
        <f>IF(M298=1,COUNTIFS($M$4:$M$503,1,$N$4:$N$503,"&gt;"&amp;N298)+COUNTIFS($M$4:M298,1,$N$4:N298,N298),"")</f>
        <v/>
      </c>
      <c r="P298">
        <f>IF(G298="",0,IF(COUNTIF($G$4:G298,G298)=1,1,0))</f>
        <v>0</v>
      </c>
      <c r="Q298" t="str">
        <f>IF(P298=1,ROUND(SUMIF($G$4:$G$503,G298,$E$4:$E$503),2),"")</f>
        <v/>
      </c>
      <c r="R298" t="str">
        <f>IF(P298=1,COUNTIFS($P$4:$P$503,1,$Q$4:$Q$503,"&gt;"&amp;Q298)+COUNTIFS($P$4:P298,1,$Q$4:Q298,Q298),"")</f>
        <v/>
      </c>
      <c r="S298">
        <f>IF(H298="",0,IF(COUNTIF($H$4:H298,H298)=1,1,0))</f>
        <v>0</v>
      </c>
      <c r="T298" t="str">
        <f>IF(S298=1,ROUND(SUMIF($H$4:$H$503,H298,$E$4:$E$503),2),"")</f>
        <v/>
      </c>
      <c r="U298" t="str">
        <f>IF(S298=1,COUNTIFS($S$4:$S$503,1,$T$4:$T$503,"&gt;"&amp;T298)+COUNTIFS($S$4:S298,1,$T$4:T298,T298),"")</f>
        <v/>
      </c>
      <c r="V298" t="str">
        <f>IF(D298=1,MIN(INDEX($R$4:$R$503,MATCH(G298,$G$4:$G$503,0)),IF($AL$7&gt;9,9,999)),"")</f>
        <v/>
      </c>
      <c r="W298" s="166">
        <f>IF(OR($I298="",$E298=0),0,IF(OR($J298&lt;W$3,$I298&gt;W$2),0,IF($K298=0,IF(AND($I298&gt;=W$3,$I298&lt;=W$2),$E298,0),$E298*NETWORKDAYS(MAX($I298,W$3),MIN($J298,W$2),Data!$K$4:$K$203)/$K298)))</f>
        <v>0</v>
      </c>
      <c r="X298" s="166">
        <f>IF(OR($I298="",$E298=0),0,IF(OR($J298&lt;X$3,$I298&gt;X$2),0,IF($K298=0,IF(AND($I298&gt;=X$3,$I298&lt;=X$2),$E298,0),$E298*NETWORKDAYS(MAX($I298,X$3),MIN($J298,X$2),Data!$K$4:$K$203)/$K298)))</f>
        <v>0</v>
      </c>
      <c r="Y298" s="166">
        <f>IF(OR($I298="",$E298=0),0,IF(OR($J298&lt;Y$3,$I298&gt;Y$2),0,IF($K298=0,IF(AND($I298&gt;=Y$3,$I298&lt;=Y$2),$E298,0),$E298*NETWORKDAYS(MAX($I298,Y$3),MIN($J298,Y$2),Data!$K$4:$K$203)/$K298)))</f>
        <v>0</v>
      </c>
      <c r="Z298" s="166">
        <f>IF(OR($I298="",$E298=0),0,IF(OR($J298&lt;Z$3,$I298&gt;Z$2),0,IF($K298=0,IF(AND($I298&gt;=Z$3,$I298&lt;=Z$2),$E298,0),$E298*NETWORKDAYS(MAX($I298,Z$3),MIN($J298,Z$2),Data!$K$4:$K$203)/$K298)))</f>
        <v>0</v>
      </c>
      <c r="AA298" s="166">
        <f>IF(OR($I298="",$E298=0),0,IF(OR($J298&lt;AA$3,$I298&gt;AA$2),0,IF($K298=0,IF(AND($I298&gt;=AA$3,$I298&lt;=AA$2),$E298,0),$E298*NETWORKDAYS(MAX($I298,AA$3),MIN($J298,AA$2),Data!$K$4:$K$203)/$K298)))</f>
        <v>0</v>
      </c>
      <c r="AB298" s="166">
        <f>IF(OR($I298="",$E298=0),0,IF(OR($J298&lt;AB$3,$I298&gt;AB$2),0,IF($K298=0,IF(AND($I298&gt;=AB$3,$I298&lt;=AB$2),$E298,0),$E298*NETWORKDAYS(MAX($I298,AB$3),MIN($J298,AB$2),Data!$K$4:$K$203)/$K298)))</f>
        <v>0</v>
      </c>
      <c r="AC298" s="166">
        <f>IF(OR($I298="",$E298=0),0,IF(OR($J298&lt;AC$3,$I298&gt;AC$2),0,IF($K298=0,IF(AND($I298&gt;=AC$3,$I298&lt;=AC$2),$E298,0),$E298*NETWORKDAYS(MAX($I298,AC$3),MIN($J298,AC$2),Data!$K$4:$K$203)/$K298)))</f>
        <v>0</v>
      </c>
      <c r="AD298" s="166">
        <f>IF(OR($I298="",$E298=0),0,IF(OR($J298&lt;AD$3,$I298&gt;AD$2),0,IF($K298=0,IF(AND($I298&gt;=AD$3,$I298&lt;=AD$2),$E298,0),$E298*NETWORKDAYS(MAX($I298,AD$3),MIN($J298,AD$2),Data!$K$4:$K$203)/$K298)))</f>
        <v>0</v>
      </c>
      <c r="AE298" s="166">
        <f>IF(OR($I298="",$E298=0),0,IF(OR($J298&lt;AE$3,$I298&gt;AE$2),0,IF($K298=0,IF(AND($I298&gt;=AE$3,$I298&lt;=AE$2),$E298,0),$E298*NETWORKDAYS(MAX($I298,AE$3),MIN($J298,AE$2),Data!$K$4:$K$203)/$K298)))</f>
        <v>0</v>
      </c>
      <c r="AF298" s="166">
        <f>IF(OR($I298="",$E298=0),0,IF(OR($J298&lt;AF$3,$I298&gt;AF$2),0,IF($K298=0,IF(AND($I298&gt;=AF$3,$I298&lt;=AF$2),$E298,0),$E298*NETWORKDAYS(MAX($I298,AF$3),MIN($J298,AF$2),Data!$K$4:$K$203)/$K298)))</f>
        <v>0</v>
      </c>
      <c r="AG298" s="166">
        <f>IF(OR($I298="",$E298=0),0,IF(OR($J298&lt;AG$3,$I298&gt;AG$2),0,IF($K298=0,IF(AND($I298&gt;=AG$3,$I298&lt;=AG$2),$E298,0),$E298*NETWORKDAYS(MAX($I298,AG$3),MIN($J298,AG$2),Data!$K$4:$K$203)/$K298)))</f>
        <v>0</v>
      </c>
      <c r="AH298" s="166">
        <f>IF(OR($I298="",$E298=0),0,IF(OR($J298&lt;AH$3,$I298&gt;AH$2),0,IF($K298=0,IF(AND($I298&gt;=AH$3,$I298&lt;=AH$2),$E298,0),$E298*NETWORKDAYS(MAX($I298,AH$3),MIN($J298,AH$2),Data!$K$4:$K$203)/$K298)))</f>
        <v>0</v>
      </c>
      <c r="AI298" s="166">
        <f>SUM(W298:AH298)</f>
        <v>0</v>
      </c>
      <c r="BZ298" t="str">
        <f>IF(D298=1,IF(TRIM(INDEX(Charge!$K:$K,ROW()))&lt;&gt;"",TRIM(INDEX(Charge!$K:$K,ROW())),IF(TRIM(INDEX(Charge!$L:$L,ROW()))&lt;&gt;"",TRIM(INDEX(Charge!$L:$L,ROW())),"(non affecté)")),"")</f>
        <v/>
      </c>
      <c r="CA298" t="str">
        <f>IF(AND($CD$4&lt;&gt;"",BZ298=$CD$4),COUNTIFS($BZ$4:$BZ$503,$CD$4,$L$4:$L$503,"&lt;"&amp;L298)+1,"")</f>
        <v/>
      </c>
      <c r="EM298" t="str">
        <f>IF(D298=1,IF(TRIM(INDEX(Charge!$K:$K,ROW()))&lt;&gt;"","Interne",IF(TRIM(INDEX(Charge!$L:$L,ROW()))&lt;&gt;"","Externe","Non affecté")),"")</f>
        <v/>
      </c>
      <c r="EN298" t="str">
        <f>IF(D298=1,LEFT(SUBSTITUTE(SUBSTITUTE(SUBSTITUTE(TRIM(SUBSTITUTE(INDEX(Charge!$B:$B,ROW()),CHAR(160)," "))&amp;" | "&amp;TRIM(SUBSTITUTE(INDEX(Charge!$C:$C,ROW()),CHAR(160)," "))&amp;" | "&amp;TRIM(SUBSTITUTE(INDEX(Charge!$D:$D,ROW()),CHAR(160)," ")),"~","-"),"*","+"),"?","!"),240),"")</f>
        <v/>
      </c>
      <c r="EO298">
        <f>IF(EN298="",0,IF(COUNTIF($EN$4:EN298,EN298)=1,1,0))</f>
        <v>0</v>
      </c>
      <c r="EP298" s="166" t="str">
        <f>IF(EO298=1,ROUND(SUMIF($EN$4:$EN$503,EN298,$E$4:$E$503),2),"")</f>
        <v/>
      </c>
      <c r="EQ298" t="str">
        <f>IF(EO298=1,COUNTIFS($EO$4:$EO$503,1,$EP$4:$EP$503,"&gt;"&amp;EP298)+COUNTIFS($EO$4:EO298,1,$EP$4:EP298,EP298),"")</f>
        <v/>
      </c>
      <c r="ER298" t="str">
        <f>IF(EO298=1,COUNTIFS($EN$4:$EN$503,EN298,$EM$4:$EM$503,"Interne",$FE$4:$FE$503,1),"")</f>
        <v/>
      </c>
      <c r="ES298" t="str">
        <f>IF(EO298=1,COUNTIFS($EN$4:$EN$503,EN298,$EM$4:$EM$503,"Externe",$FE$4:$FE$503,1),"")</f>
        <v/>
      </c>
      <c r="ET298" t="str">
        <f>IF(EO298=1,IF(ER298+ES298=0,"à affecter",IF(ER298=0,ES298&amp;" ext.",(ER298+ES298)&amp;IF(ES298&gt;0," dont "&amp;ES298&amp;" ext.",""))&amp;IF(COUNTIFS($EN$4:$EN$503,EN298,$EM$4:$EM$503,"Non affecté")&gt;0," + à affecter","")),"")</f>
        <v/>
      </c>
      <c r="EU298" s="170" t="str">
        <f>IF(EO298=1,IF(EP298&gt;0,SUMPRODUCT(($EN$4:$EN$503=EN298)*$E$4:$E$503*$C$4:$C$503)/EP298,AVERAGEIF($EN$4:$EN$503,EN298,$C$4:$C$503)),"")</f>
        <v/>
      </c>
      <c r="EV298" s="165">
        <f>IF(ISNUMBER(I298),I298,2958465)</f>
        <v>2958465.0</v>
      </c>
      <c r="EW298" s="165" t="str">
        <f>IF(EO298=1,SUMPRODUCT(MIN(($EN$4:$EN$503=EN298)*$EV$4:$EV$503+($EN$4:$EN$503&lt;&gt;EN298)*2958465)),"")</f>
        <v/>
      </c>
      <c r="EX298" s="165">
        <f>IF(AND(D298=1,ISNUMBER(INDEX(Charge!$F:$F,ROW()))),INDEX(Charge!$F:$F,ROW()),0)</f>
        <v>0.0</v>
      </c>
      <c r="EY298" s="165" t="str">
        <f>IF(EO298=1,SUMPRODUCT(MAX(($EN$4:$EN$503=EN298)*$EX$4:$EX$503)),"")</f>
        <v/>
      </c>
      <c r="FA298" t="str">
        <f>IF(295&lt;=$CD$23,INDEX($EJ$4:$EJ$203,295),IF(295-$CD$23&lt;=$CD$26,INDEX($EK$4:$EK$203,295-$CD$23),""))</f>
        <v/>
      </c>
      <c r="FB298" t="str">
        <f>IF(FA298="","",IF(295&lt;=$CD$23,"Interne","Externe"))</f>
        <v/>
      </c>
      <c r="FD298">
        <f>IF(AND(B298=1,TRIM(INDEX(Charge!$K:$K,ROW()))&lt;&gt;"",TRIM(INDEX(Charge!$L:$L,ROW()))&lt;&gt;""),1,0)</f>
        <v>0</v>
      </c>
      <c r="FE298">
        <f>IF(OR(EN298="",BZ298="(non affecté)"),0,IF(COUNTIFS($EN$4:EN298,EN298,$BZ$4:BZ298,BZ298)=1,1,0))</f>
        <v>0</v>
      </c>
    </row>
    <row r="299">
      <c r="A299">
        <f>ROW()</f>
        <v>299</v>
      </c>
      <c r="B299">
        <f>IF(TRIM(INDEX(Charge!$B:$B,ROW()))&lt;&gt;"",1,0)</f>
        <v>0</v>
      </c>
      <c r="C299">
        <f>IF(B299=1,MIN(1,MAX(0,N(INDEX(Charge!$O:$O,ROW())))),0)</f>
        <v>0</v>
      </c>
      <c r="D299">
        <f>IF(B299=1,IF(OR(p_Perimetre="Tous les projets",C299&lt;1),1,0),0)</f>
        <v>0</v>
      </c>
      <c r="E299">
        <f>IF(D299=1,MAX(0,N(INDEX(Charge!$M:$M,ROW()))),0)</f>
        <v>0</v>
      </c>
      <c r="F299" t="str">
        <f>IF(D299=1,IF(TRIM(INDEX(Charge!$A:$A,ROW()))="","(non renseigné)",TRIM(INDEX(Charge!$A:$A,ROW()))),"")</f>
        <v/>
      </c>
      <c r="G299" t="str">
        <f>IF(D299=1,TRIM(INDEX(Charge!$B:$B,ROW())),"")</f>
        <v/>
      </c>
      <c r="H299" t="str">
        <f>IF(D299=1,IF(TRIM(INDEX(Charge!$E:$E,ROW()))="","(non renseigné)",TRIM(INDEX(Charge!$E:$E,ROW()))),"")</f>
        <v/>
      </c>
      <c r="I299" s="165" t="str">
        <f>IF(AND(D299=1,ISNUMBER(INDEX(Charge!$N:$N,ROW()))),INDEX(Charge!$N:$N,ROW()),"")</f>
        <v/>
      </c>
      <c r="J299" s="165" t="str">
        <f>IF(I299="","",IF(AND(p_Repartition="Lissée jusqu'à la date de besoin",ISNUMBER(INDEX(Charge!$F:$F,ROW()))),IF(INDEX(Charge!$F:$F,ROW())&gt;=I299,INDEX(Charge!$F:$F,ROW()),I299),I299))</f>
        <v/>
      </c>
      <c r="K299" t="str">
        <f>IF(I299="","",NETWORKDAYS(I299,J299,Data!$K$4:$K$203))</f>
        <v/>
      </c>
      <c r="L299" t="str">
        <f>IF(D299=1,COUNTIFS($D$4:$D$503,1,$E$4:$E$503,"&gt;"&amp;E299)+COUNTIFS($D$4:$D299,1,$E$4:$E299,E299),"")</f>
        <v/>
      </c>
      <c r="M299">
        <f>IF(F299="",0,IF(COUNTIF($F$4:F299,F299)=1,1,0))</f>
        <v>0</v>
      </c>
      <c r="N299" t="str">
        <f>IF(M299=1,ROUND(SUMIF($F$4:$F$503,F299,$E$4:$E$503),2),"")</f>
        <v/>
      </c>
      <c r="O299" t="str">
        <f>IF(M299=1,COUNTIFS($M$4:$M$503,1,$N$4:$N$503,"&gt;"&amp;N299)+COUNTIFS($M$4:M299,1,$N$4:N299,N299),"")</f>
        <v/>
      </c>
      <c r="P299">
        <f>IF(G299="",0,IF(COUNTIF($G$4:G299,G299)=1,1,0))</f>
        <v>0</v>
      </c>
      <c r="Q299" t="str">
        <f>IF(P299=1,ROUND(SUMIF($G$4:$G$503,G299,$E$4:$E$503),2),"")</f>
        <v/>
      </c>
      <c r="R299" t="str">
        <f>IF(P299=1,COUNTIFS($P$4:$P$503,1,$Q$4:$Q$503,"&gt;"&amp;Q299)+COUNTIFS($P$4:P299,1,$Q$4:Q299,Q299),"")</f>
        <v/>
      </c>
      <c r="S299">
        <f>IF(H299="",0,IF(COUNTIF($H$4:H299,H299)=1,1,0))</f>
        <v>0</v>
      </c>
      <c r="T299" t="str">
        <f>IF(S299=1,ROUND(SUMIF($H$4:$H$503,H299,$E$4:$E$503),2),"")</f>
        <v/>
      </c>
      <c r="U299" t="str">
        <f>IF(S299=1,COUNTIFS($S$4:$S$503,1,$T$4:$T$503,"&gt;"&amp;T299)+COUNTIFS($S$4:S299,1,$T$4:T299,T299),"")</f>
        <v/>
      </c>
      <c r="V299" t="str">
        <f>IF(D299=1,MIN(INDEX($R$4:$R$503,MATCH(G299,$G$4:$G$503,0)),IF($AL$7&gt;9,9,999)),"")</f>
        <v/>
      </c>
      <c r="W299" s="166">
        <f>IF(OR($I299="",$E299=0),0,IF(OR($J299&lt;W$3,$I299&gt;W$2),0,IF($K299=0,IF(AND($I299&gt;=W$3,$I299&lt;=W$2),$E299,0),$E299*NETWORKDAYS(MAX($I299,W$3),MIN($J299,W$2),Data!$K$4:$K$203)/$K299)))</f>
        <v>0</v>
      </c>
      <c r="X299" s="166">
        <f>IF(OR($I299="",$E299=0),0,IF(OR($J299&lt;X$3,$I299&gt;X$2),0,IF($K299=0,IF(AND($I299&gt;=X$3,$I299&lt;=X$2),$E299,0),$E299*NETWORKDAYS(MAX($I299,X$3),MIN($J299,X$2),Data!$K$4:$K$203)/$K299)))</f>
        <v>0</v>
      </c>
      <c r="Y299" s="166">
        <f>IF(OR($I299="",$E299=0),0,IF(OR($J299&lt;Y$3,$I299&gt;Y$2),0,IF($K299=0,IF(AND($I299&gt;=Y$3,$I299&lt;=Y$2),$E299,0),$E299*NETWORKDAYS(MAX($I299,Y$3),MIN($J299,Y$2),Data!$K$4:$K$203)/$K299)))</f>
        <v>0</v>
      </c>
      <c r="Z299" s="166">
        <f>IF(OR($I299="",$E299=0),0,IF(OR($J299&lt;Z$3,$I299&gt;Z$2),0,IF($K299=0,IF(AND($I299&gt;=Z$3,$I299&lt;=Z$2),$E299,0),$E299*NETWORKDAYS(MAX($I299,Z$3),MIN($J299,Z$2),Data!$K$4:$K$203)/$K299)))</f>
        <v>0</v>
      </c>
      <c r="AA299" s="166">
        <f>IF(OR($I299="",$E299=0),0,IF(OR($J299&lt;AA$3,$I299&gt;AA$2),0,IF($K299=0,IF(AND($I299&gt;=AA$3,$I299&lt;=AA$2),$E299,0),$E299*NETWORKDAYS(MAX($I299,AA$3),MIN($J299,AA$2),Data!$K$4:$K$203)/$K299)))</f>
        <v>0</v>
      </c>
      <c r="AB299" s="166">
        <f>IF(OR($I299="",$E299=0),0,IF(OR($J299&lt;AB$3,$I299&gt;AB$2),0,IF($K299=0,IF(AND($I299&gt;=AB$3,$I299&lt;=AB$2),$E299,0),$E299*NETWORKDAYS(MAX($I299,AB$3),MIN($J299,AB$2),Data!$K$4:$K$203)/$K299)))</f>
        <v>0</v>
      </c>
      <c r="AC299" s="166">
        <f>IF(OR($I299="",$E299=0),0,IF(OR($J299&lt;AC$3,$I299&gt;AC$2),0,IF($K299=0,IF(AND($I299&gt;=AC$3,$I299&lt;=AC$2),$E299,0),$E299*NETWORKDAYS(MAX($I299,AC$3),MIN($J299,AC$2),Data!$K$4:$K$203)/$K299)))</f>
        <v>0</v>
      </c>
      <c r="AD299" s="166">
        <f>IF(OR($I299="",$E299=0),0,IF(OR($J299&lt;AD$3,$I299&gt;AD$2),0,IF($K299=0,IF(AND($I299&gt;=AD$3,$I299&lt;=AD$2),$E299,0),$E299*NETWORKDAYS(MAX($I299,AD$3),MIN($J299,AD$2),Data!$K$4:$K$203)/$K299)))</f>
        <v>0</v>
      </c>
      <c r="AE299" s="166">
        <f>IF(OR($I299="",$E299=0),0,IF(OR($J299&lt;AE$3,$I299&gt;AE$2),0,IF($K299=0,IF(AND($I299&gt;=AE$3,$I299&lt;=AE$2),$E299,0),$E299*NETWORKDAYS(MAX($I299,AE$3),MIN($J299,AE$2),Data!$K$4:$K$203)/$K299)))</f>
        <v>0</v>
      </c>
      <c r="AF299" s="166">
        <f>IF(OR($I299="",$E299=0),0,IF(OR($J299&lt;AF$3,$I299&gt;AF$2),0,IF($K299=0,IF(AND($I299&gt;=AF$3,$I299&lt;=AF$2),$E299,0),$E299*NETWORKDAYS(MAX($I299,AF$3),MIN($J299,AF$2),Data!$K$4:$K$203)/$K299)))</f>
        <v>0</v>
      </c>
      <c r="AG299" s="166">
        <f>IF(OR($I299="",$E299=0),0,IF(OR($J299&lt;AG$3,$I299&gt;AG$2),0,IF($K299=0,IF(AND($I299&gt;=AG$3,$I299&lt;=AG$2),$E299,0),$E299*NETWORKDAYS(MAX($I299,AG$3),MIN($J299,AG$2),Data!$K$4:$K$203)/$K299)))</f>
        <v>0</v>
      </c>
      <c r="AH299" s="166">
        <f>IF(OR($I299="",$E299=0),0,IF(OR($J299&lt;AH$3,$I299&gt;AH$2),0,IF($K299=0,IF(AND($I299&gt;=AH$3,$I299&lt;=AH$2),$E299,0),$E299*NETWORKDAYS(MAX($I299,AH$3),MIN($J299,AH$2),Data!$K$4:$K$203)/$K299)))</f>
        <v>0</v>
      </c>
      <c r="AI299" s="166">
        <f>SUM(W299:AH299)</f>
        <v>0</v>
      </c>
      <c r="BZ299" t="str">
        <f>IF(D299=1,IF(TRIM(INDEX(Charge!$K:$K,ROW()))&lt;&gt;"",TRIM(INDEX(Charge!$K:$K,ROW())),IF(TRIM(INDEX(Charge!$L:$L,ROW()))&lt;&gt;"",TRIM(INDEX(Charge!$L:$L,ROW())),"(non affecté)")),"")</f>
        <v/>
      </c>
      <c r="CA299" t="str">
        <f>IF(AND($CD$4&lt;&gt;"",BZ299=$CD$4),COUNTIFS($BZ$4:$BZ$503,$CD$4,$L$4:$L$503,"&lt;"&amp;L299)+1,"")</f>
        <v/>
      </c>
      <c r="EM299" t="str">
        <f>IF(D299=1,IF(TRIM(INDEX(Charge!$K:$K,ROW()))&lt;&gt;"","Interne",IF(TRIM(INDEX(Charge!$L:$L,ROW()))&lt;&gt;"","Externe","Non affecté")),"")</f>
        <v/>
      </c>
      <c r="EN299" t="str">
        <f>IF(D299=1,LEFT(SUBSTITUTE(SUBSTITUTE(SUBSTITUTE(TRIM(SUBSTITUTE(INDEX(Charge!$B:$B,ROW()),CHAR(160)," "))&amp;" | "&amp;TRIM(SUBSTITUTE(INDEX(Charge!$C:$C,ROW()),CHAR(160)," "))&amp;" | "&amp;TRIM(SUBSTITUTE(INDEX(Charge!$D:$D,ROW()),CHAR(160)," ")),"~","-"),"*","+"),"?","!"),240),"")</f>
        <v/>
      </c>
      <c r="EO299">
        <f>IF(EN299="",0,IF(COUNTIF($EN$4:EN299,EN299)=1,1,0))</f>
        <v>0</v>
      </c>
      <c r="EP299" s="166" t="str">
        <f>IF(EO299=1,ROUND(SUMIF($EN$4:$EN$503,EN299,$E$4:$E$503),2),"")</f>
        <v/>
      </c>
      <c r="EQ299" t="str">
        <f>IF(EO299=1,COUNTIFS($EO$4:$EO$503,1,$EP$4:$EP$503,"&gt;"&amp;EP299)+COUNTIFS($EO$4:EO299,1,$EP$4:EP299,EP299),"")</f>
        <v/>
      </c>
      <c r="ER299" t="str">
        <f>IF(EO299=1,COUNTIFS($EN$4:$EN$503,EN299,$EM$4:$EM$503,"Interne",$FE$4:$FE$503,1),"")</f>
        <v/>
      </c>
      <c r="ES299" t="str">
        <f>IF(EO299=1,COUNTIFS($EN$4:$EN$503,EN299,$EM$4:$EM$503,"Externe",$FE$4:$FE$503,1),"")</f>
        <v/>
      </c>
      <c r="ET299" t="str">
        <f>IF(EO299=1,IF(ER299+ES299=0,"à affecter",IF(ER299=0,ES299&amp;" ext.",(ER299+ES299)&amp;IF(ES299&gt;0," dont "&amp;ES299&amp;" ext.",""))&amp;IF(COUNTIFS($EN$4:$EN$503,EN299,$EM$4:$EM$503,"Non affecté")&gt;0," + à affecter","")),"")</f>
        <v/>
      </c>
      <c r="EU299" s="170" t="str">
        <f>IF(EO299=1,IF(EP299&gt;0,SUMPRODUCT(($EN$4:$EN$503=EN299)*$E$4:$E$503*$C$4:$C$503)/EP299,AVERAGEIF($EN$4:$EN$503,EN299,$C$4:$C$503)),"")</f>
        <v/>
      </c>
      <c r="EV299" s="165">
        <f>IF(ISNUMBER(I299),I299,2958465)</f>
        <v>2958465.0</v>
      </c>
      <c r="EW299" s="165" t="str">
        <f>IF(EO299=1,SUMPRODUCT(MIN(($EN$4:$EN$503=EN299)*$EV$4:$EV$503+($EN$4:$EN$503&lt;&gt;EN299)*2958465)),"")</f>
        <v/>
      </c>
      <c r="EX299" s="165">
        <f>IF(AND(D299=1,ISNUMBER(INDEX(Charge!$F:$F,ROW()))),INDEX(Charge!$F:$F,ROW()),0)</f>
        <v>0.0</v>
      </c>
      <c r="EY299" s="165" t="str">
        <f>IF(EO299=1,SUMPRODUCT(MAX(($EN$4:$EN$503=EN299)*$EX$4:$EX$503)),"")</f>
        <v/>
      </c>
      <c r="FA299" t="str">
        <f>IF(296&lt;=$CD$23,INDEX($EJ$4:$EJ$203,296),IF(296-$CD$23&lt;=$CD$26,INDEX($EK$4:$EK$203,296-$CD$23),""))</f>
        <v/>
      </c>
      <c r="FB299" t="str">
        <f>IF(FA299="","",IF(296&lt;=$CD$23,"Interne","Externe"))</f>
        <v/>
      </c>
      <c r="FD299">
        <f>IF(AND(B299=1,TRIM(INDEX(Charge!$K:$K,ROW()))&lt;&gt;"",TRIM(INDEX(Charge!$L:$L,ROW()))&lt;&gt;""),1,0)</f>
        <v>0</v>
      </c>
      <c r="FE299">
        <f>IF(OR(EN299="",BZ299="(non affecté)"),0,IF(COUNTIFS($EN$4:EN299,EN299,$BZ$4:BZ299,BZ299)=1,1,0))</f>
        <v>0</v>
      </c>
    </row>
    <row r="300">
      <c r="A300">
        <f>ROW()</f>
        <v>300</v>
      </c>
      <c r="B300">
        <f>IF(TRIM(INDEX(Charge!$B:$B,ROW()))&lt;&gt;"",1,0)</f>
        <v>0</v>
      </c>
      <c r="C300">
        <f>IF(B300=1,MIN(1,MAX(0,N(INDEX(Charge!$O:$O,ROW())))),0)</f>
        <v>0</v>
      </c>
      <c r="D300">
        <f>IF(B300=1,IF(OR(p_Perimetre="Tous les projets",C300&lt;1),1,0),0)</f>
        <v>0</v>
      </c>
      <c r="E300">
        <f>IF(D300=1,MAX(0,N(INDEX(Charge!$M:$M,ROW()))),0)</f>
        <v>0</v>
      </c>
      <c r="F300" t="str">
        <f>IF(D300=1,IF(TRIM(INDEX(Charge!$A:$A,ROW()))="","(non renseigné)",TRIM(INDEX(Charge!$A:$A,ROW()))),"")</f>
        <v/>
      </c>
      <c r="G300" t="str">
        <f>IF(D300=1,TRIM(INDEX(Charge!$B:$B,ROW())),"")</f>
        <v/>
      </c>
      <c r="H300" t="str">
        <f>IF(D300=1,IF(TRIM(INDEX(Charge!$E:$E,ROW()))="","(non renseigné)",TRIM(INDEX(Charge!$E:$E,ROW()))),"")</f>
        <v/>
      </c>
      <c r="I300" s="165" t="str">
        <f>IF(AND(D300=1,ISNUMBER(INDEX(Charge!$N:$N,ROW()))),INDEX(Charge!$N:$N,ROW()),"")</f>
        <v/>
      </c>
      <c r="J300" s="165" t="str">
        <f>IF(I300="","",IF(AND(p_Repartition="Lissée jusqu'à la date de besoin",ISNUMBER(INDEX(Charge!$F:$F,ROW()))),IF(INDEX(Charge!$F:$F,ROW())&gt;=I300,INDEX(Charge!$F:$F,ROW()),I300),I300))</f>
        <v/>
      </c>
      <c r="K300" t="str">
        <f>IF(I300="","",NETWORKDAYS(I300,J300,Data!$K$4:$K$203))</f>
        <v/>
      </c>
      <c r="L300" t="str">
        <f>IF(D300=1,COUNTIFS($D$4:$D$503,1,$E$4:$E$503,"&gt;"&amp;E300)+COUNTIFS($D$4:$D300,1,$E$4:$E300,E300),"")</f>
        <v/>
      </c>
      <c r="M300">
        <f>IF(F300="",0,IF(COUNTIF($F$4:F300,F300)=1,1,0))</f>
        <v>0</v>
      </c>
      <c r="N300" t="str">
        <f>IF(M300=1,ROUND(SUMIF($F$4:$F$503,F300,$E$4:$E$503),2),"")</f>
        <v/>
      </c>
      <c r="O300" t="str">
        <f>IF(M300=1,COUNTIFS($M$4:$M$503,1,$N$4:$N$503,"&gt;"&amp;N300)+COUNTIFS($M$4:M300,1,$N$4:N300,N300),"")</f>
        <v/>
      </c>
      <c r="P300">
        <f>IF(G300="",0,IF(COUNTIF($G$4:G300,G300)=1,1,0))</f>
        <v>0</v>
      </c>
      <c r="Q300" t="str">
        <f>IF(P300=1,ROUND(SUMIF($G$4:$G$503,G300,$E$4:$E$503),2),"")</f>
        <v/>
      </c>
      <c r="R300" t="str">
        <f>IF(P300=1,COUNTIFS($P$4:$P$503,1,$Q$4:$Q$503,"&gt;"&amp;Q300)+COUNTIFS($P$4:P300,1,$Q$4:Q300,Q300),"")</f>
        <v/>
      </c>
      <c r="S300">
        <f>IF(H300="",0,IF(COUNTIF($H$4:H300,H300)=1,1,0))</f>
        <v>0</v>
      </c>
      <c r="T300" t="str">
        <f>IF(S300=1,ROUND(SUMIF($H$4:$H$503,H300,$E$4:$E$503),2),"")</f>
        <v/>
      </c>
      <c r="U300" t="str">
        <f>IF(S300=1,COUNTIFS($S$4:$S$503,1,$T$4:$T$503,"&gt;"&amp;T300)+COUNTIFS($S$4:S300,1,$T$4:T300,T300),"")</f>
        <v/>
      </c>
      <c r="V300" t="str">
        <f>IF(D300=1,MIN(INDEX($R$4:$R$503,MATCH(G300,$G$4:$G$503,0)),IF($AL$7&gt;9,9,999)),"")</f>
        <v/>
      </c>
      <c r="W300" s="166">
        <f>IF(OR($I300="",$E300=0),0,IF(OR($J300&lt;W$3,$I300&gt;W$2),0,IF($K300=0,IF(AND($I300&gt;=W$3,$I300&lt;=W$2),$E300,0),$E300*NETWORKDAYS(MAX($I300,W$3),MIN($J300,W$2),Data!$K$4:$K$203)/$K300)))</f>
        <v>0</v>
      </c>
      <c r="X300" s="166">
        <f>IF(OR($I300="",$E300=0),0,IF(OR($J300&lt;X$3,$I300&gt;X$2),0,IF($K300=0,IF(AND($I300&gt;=X$3,$I300&lt;=X$2),$E300,0),$E300*NETWORKDAYS(MAX($I300,X$3),MIN($J300,X$2),Data!$K$4:$K$203)/$K300)))</f>
        <v>0</v>
      </c>
      <c r="Y300" s="166">
        <f>IF(OR($I300="",$E300=0),0,IF(OR($J300&lt;Y$3,$I300&gt;Y$2),0,IF($K300=0,IF(AND($I300&gt;=Y$3,$I300&lt;=Y$2),$E300,0),$E300*NETWORKDAYS(MAX($I300,Y$3),MIN($J300,Y$2),Data!$K$4:$K$203)/$K300)))</f>
        <v>0</v>
      </c>
      <c r="Z300" s="166">
        <f>IF(OR($I300="",$E300=0),0,IF(OR($J300&lt;Z$3,$I300&gt;Z$2),0,IF($K300=0,IF(AND($I300&gt;=Z$3,$I300&lt;=Z$2),$E300,0),$E300*NETWORKDAYS(MAX($I300,Z$3),MIN($J300,Z$2),Data!$K$4:$K$203)/$K300)))</f>
        <v>0</v>
      </c>
      <c r="AA300" s="166">
        <f>IF(OR($I300="",$E300=0),0,IF(OR($J300&lt;AA$3,$I300&gt;AA$2),0,IF($K300=0,IF(AND($I300&gt;=AA$3,$I300&lt;=AA$2),$E300,0),$E300*NETWORKDAYS(MAX($I300,AA$3),MIN($J300,AA$2),Data!$K$4:$K$203)/$K300)))</f>
        <v>0</v>
      </c>
      <c r="AB300" s="166">
        <f>IF(OR($I300="",$E300=0),0,IF(OR($J300&lt;AB$3,$I300&gt;AB$2),0,IF($K300=0,IF(AND($I300&gt;=AB$3,$I300&lt;=AB$2),$E300,0),$E300*NETWORKDAYS(MAX($I300,AB$3),MIN($J300,AB$2),Data!$K$4:$K$203)/$K300)))</f>
        <v>0</v>
      </c>
      <c r="AC300" s="166">
        <f>IF(OR($I300="",$E300=0),0,IF(OR($J300&lt;AC$3,$I300&gt;AC$2),0,IF($K300=0,IF(AND($I300&gt;=AC$3,$I300&lt;=AC$2),$E300,0),$E300*NETWORKDAYS(MAX($I300,AC$3),MIN($J300,AC$2),Data!$K$4:$K$203)/$K300)))</f>
        <v>0</v>
      </c>
      <c r="AD300" s="166">
        <f>IF(OR($I300="",$E300=0),0,IF(OR($J300&lt;AD$3,$I300&gt;AD$2),0,IF($K300=0,IF(AND($I300&gt;=AD$3,$I300&lt;=AD$2),$E300,0),$E300*NETWORKDAYS(MAX($I300,AD$3),MIN($J300,AD$2),Data!$K$4:$K$203)/$K300)))</f>
        <v>0</v>
      </c>
      <c r="AE300" s="166">
        <f>IF(OR($I300="",$E300=0),0,IF(OR($J300&lt;AE$3,$I300&gt;AE$2),0,IF($K300=0,IF(AND($I300&gt;=AE$3,$I300&lt;=AE$2),$E300,0),$E300*NETWORKDAYS(MAX($I300,AE$3),MIN($J300,AE$2),Data!$K$4:$K$203)/$K300)))</f>
        <v>0</v>
      </c>
      <c r="AF300" s="166">
        <f>IF(OR($I300="",$E300=0),0,IF(OR($J300&lt;AF$3,$I300&gt;AF$2),0,IF($K300=0,IF(AND($I300&gt;=AF$3,$I300&lt;=AF$2),$E300,0),$E300*NETWORKDAYS(MAX($I300,AF$3),MIN($J300,AF$2),Data!$K$4:$K$203)/$K300)))</f>
        <v>0</v>
      </c>
      <c r="AG300" s="166">
        <f>IF(OR($I300="",$E300=0),0,IF(OR($J300&lt;AG$3,$I300&gt;AG$2),0,IF($K300=0,IF(AND($I300&gt;=AG$3,$I300&lt;=AG$2),$E300,0),$E300*NETWORKDAYS(MAX($I300,AG$3),MIN($J300,AG$2),Data!$K$4:$K$203)/$K300)))</f>
        <v>0</v>
      </c>
      <c r="AH300" s="166">
        <f>IF(OR($I300="",$E300=0),0,IF(OR($J300&lt;AH$3,$I300&gt;AH$2),0,IF($K300=0,IF(AND($I300&gt;=AH$3,$I300&lt;=AH$2),$E300,0),$E300*NETWORKDAYS(MAX($I300,AH$3),MIN($J300,AH$2),Data!$K$4:$K$203)/$K300)))</f>
        <v>0</v>
      </c>
      <c r="AI300" s="166">
        <f>SUM(W300:AH300)</f>
        <v>0</v>
      </c>
      <c r="BZ300" t="str">
        <f>IF(D300=1,IF(TRIM(INDEX(Charge!$K:$K,ROW()))&lt;&gt;"",TRIM(INDEX(Charge!$K:$K,ROW())),IF(TRIM(INDEX(Charge!$L:$L,ROW()))&lt;&gt;"",TRIM(INDEX(Charge!$L:$L,ROW())),"(non affecté)")),"")</f>
        <v/>
      </c>
      <c r="CA300" t="str">
        <f>IF(AND($CD$4&lt;&gt;"",BZ300=$CD$4),COUNTIFS($BZ$4:$BZ$503,$CD$4,$L$4:$L$503,"&lt;"&amp;L300)+1,"")</f>
        <v/>
      </c>
      <c r="EM300" t="str">
        <f>IF(D300=1,IF(TRIM(INDEX(Charge!$K:$K,ROW()))&lt;&gt;"","Interne",IF(TRIM(INDEX(Charge!$L:$L,ROW()))&lt;&gt;"","Externe","Non affecté")),"")</f>
        <v/>
      </c>
      <c r="EN300" t="str">
        <f>IF(D300=1,LEFT(SUBSTITUTE(SUBSTITUTE(SUBSTITUTE(TRIM(SUBSTITUTE(INDEX(Charge!$B:$B,ROW()),CHAR(160)," "))&amp;" | "&amp;TRIM(SUBSTITUTE(INDEX(Charge!$C:$C,ROW()),CHAR(160)," "))&amp;" | "&amp;TRIM(SUBSTITUTE(INDEX(Charge!$D:$D,ROW()),CHAR(160)," ")),"~","-"),"*","+"),"?","!"),240),"")</f>
        <v/>
      </c>
      <c r="EO300">
        <f>IF(EN300="",0,IF(COUNTIF($EN$4:EN300,EN300)=1,1,0))</f>
        <v>0</v>
      </c>
      <c r="EP300" s="166" t="str">
        <f>IF(EO300=1,ROUND(SUMIF($EN$4:$EN$503,EN300,$E$4:$E$503),2),"")</f>
        <v/>
      </c>
      <c r="EQ300" t="str">
        <f>IF(EO300=1,COUNTIFS($EO$4:$EO$503,1,$EP$4:$EP$503,"&gt;"&amp;EP300)+COUNTIFS($EO$4:EO300,1,$EP$4:EP300,EP300),"")</f>
        <v/>
      </c>
      <c r="ER300" t="str">
        <f>IF(EO300=1,COUNTIFS($EN$4:$EN$503,EN300,$EM$4:$EM$503,"Interne",$FE$4:$FE$503,1),"")</f>
        <v/>
      </c>
      <c r="ES300" t="str">
        <f>IF(EO300=1,COUNTIFS($EN$4:$EN$503,EN300,$EM$4:$EM$503,"Externe",$FE$4:$FE$503,1),"")</f>
        <v/>
      </c>
      <c r="ET300" t="str">
        <f>IF(EO300=1,IF(ER300+ES300=0,"à affecter",IF(ER300=0,ES300&amp;" ext.",(ER300+ES300)&amp;IF(ES300&gt;0," dont "&amp;ES300&amp;" ext.",""))&amp;IF(COUNTIFS($EN$4:$EN$503,EN300,$EM$4:$EM$503,"Non affecté")&gt;0," + à affecter","")),"")</f>
        <v/>
      </c>
      <c r="EU300" s="170" t="str">
        <f>IF(EO300=1,IF(EP300&gt;0,SUMPRODUCT(($EN$4:$EN$503=EN300)*$E$4:$E$503*$C$4:$C$503)/EP300,AVERAGEIF($EN$4:$EN$503,EN300,$C$4:$C$503)),"")</f>
        <v/>
      </c>
      <c r="EV300" s="165">
        <f>IF(ISNUMBER(I300),I300,2958465)</f>
        <v>2958465.0</v>
      </c>
      <c r="EW300" s="165" t="str">
        <f>IF(EO300=1,SUMPRODUCT(MIN(($EN$4:$EN$503=EN300)*$EV$4:$EV$503+($EN$4:$EN$503&lt;&gt;EN300)*2958465)),"")</f>
        <v/>
      </c>
      <c r="EX300" s="165">
        <f>IF(AND(D300=1,ISNUMBER(INDEX(Charge!$F:$F,ROW()))),INDEX(Charge!$F:$F,ROW()),0)</f>
        <v>0.0</v>
      </c>
      <c r="EY300" s="165" t="str">
        <f>IF(EO300=1,SUMPRODUCT(MAX(($EN$4:$EN$503=EN300)*$EX$4:$EX$503)),"")</f>
        <v/>
      </c>
      <c r="FA300" t="str">
        <f>IF(297&lt;=$CD$23,INDEX($EJ$4:$EJ$203,297),IF(297-$CD$23&lt;=$CD$26,INDEX($EK$4:$EK$203,297-$CD$23),""))</f>
        <v/>
      </c>
      <c r="FB300" t="str">
        <f>IF(FA300="","",IF(297&lt;=$CD$23,"Interne","Externe"))</f>
        <v/>
      </c>
      <c r="FD300">
        <f>IF(AND(B300=1,TRIM(INDEX(Charge!$K:$K,ROW()))&lt;&gt;"",TRIM(INDEX(Charge!$L:$L,ROW()))&lt;&gt;""),1,0)</f>
        <v>0</v>
      </c>
      <c r="FE300">
        <f>IF(OR(EN300="",BZ300="(non affecté)"),0,IF(COUNTIFS($EN$4:EN300,EN300,$BZ$4:BZ300,BZ300)=1,1,0))</f>
        <v>0</v>
      </c>
    </row>
    <row r="301">
      <c r="A301">
        <f>ROW()</f>
        <v>301</v>
      </c>
      <c r="B301">
        <f>IF(TRIM(INDEX(Charge!$B:$B,ROW()))&lt;&gt;"",1,0)</f>
        <v>0</v>
      </c>
      <c r="C301">
        <f>IF(B301=1,MIN(1,MAX(0,N(INDEX(Charge!$O:$O,ROW())))),0)</f>
        <v>0</v>
      </c>
      <c r="D301">
        <f>IF(B301=1,IF(OR(p_Perimetre="Tous les projets",C301&lt;1),1,0),0)</f>
        <v>0</v>
      </c>
      <c r="E301">
        <f>IF(D301=1,MAX(0,N(INDEX(Charge!$M:$M,ROW()))),0)</f>
        <v>0</v>
      </c>
      <c r="F301" t="str">
        <f>IF(D301=1,IF(TRIM(INDEX(Charge!$A:$A,ROW()))="","(non renseigné)",TRIM(INDEX(Charge!$A:$A,ROW()))),"")</f>
        <v/>
      </c>
      <c r="G301" t="str">
        <f>IF(D301=1,TRIM(INDEX(Charge!$B:$B,ROW())),"")</f>
        <v/>
      </c>
      <c r="H301" t="str">
        <f>IF(D301=1,IF(TRIM(INDEX(Charge!$E:$E,ROW()))="","(non renseigné)",TRIM(INDEX(Charge!$E:$E,ROW()))),"")</f>
        <v/>
      </c>
      <c r="I301" s="165" t="str">
        <f>IF(AND(D301=1,ISNUMBER(INDEX(Charge!$N:$N,ROW()))),INDEX(Charge!$N:$N,ROW()),"")</f>
        <v/>
      </c>
      <c r="J301" s="165" t="str">
        <f>IF(I301="","",IF(AND(p_Repartition="Lissée jusqu'à la date de besoin",ISNUMBER(INDEX(Charge!$F:$F,ROW()))),IF(INDEX(Charge!$F:$F,ROW())&gt;=I301,INDEX(Charge!$F:$F,ROW()),I301),I301))</f>
        <v/>
      </c>
      <c r="K301" t="str">
        <f>IF(I301="","",NETWORKDAYS(I301,J301,Data!$K$4:$K$203))</f>
        <v/>
      </c>
      <c r="L301" t="str">
        <f>IF(D301=1,COUNTIFS($D$4:$D$503,1,$E$4:$E$503,"&gt;"&amp;E301)+COUNTIFS($D$4:$D301,1,$E$4:$E301,E301),"")</f>
        <v/>
      </c>
      <c r="M301">
        <f>IF(F301="",0,IF(COUNTIF($F$4:F301,F301)=1,1,0))</f>
        <v>0</v>
      </c>
      <c r="N301" t="str">
        <f>IF(M301=1,ROUND(SUMIF($F$4:$F$503,F301,$E$4:$E$503),2),"")</f>
        <v/>
      </c>
      <c r="O301" t="str">
        <f>IF(M301=1,COUNTIFS($M$4:$M$503,1,$N$4:$N$503,"&gt;"&amp;N301)+COUNTIFS($M$4:M301,1,$N$4:N301,N301),"")</f>
        <v/>
      </c>
      <c r="P301">
        <f>IF(G301="",0,IF(COUNTIF($G$4:G301,G301)=1,1,0))</f>
        <v>0</v>
      </c>
      <c r="Q301" t="str">
        <f>IF(P301=1,ROUND(SUMIF($G$4:$G$503,G301,$E$4:$E$503),2),"")</f>
        <v/>
      </c>
      <c r="R301" t="str">
        <f>IF(P301=1,COUNTIFS($P$4:$P$503,1,$Q$4:$Q$503,"&gt;"&amp;Q301)+COUNTIFS($P$4:P301,1,$Q$4:Q301,Q301),"")</f>
        <v/>
      </c>
      <c r="S301">
        <f>IF(H301="",0,IF(COUNTIF($H$4:H301,H301)=1,1,0))</f>
        <v>0</v>
      </c>
      <c r="T301" t="str">
        <f>IF(S301=1,ROUND(SUMIF($H$4:$H$503,H301,$E$4:$E$503),2),"")</f>
        <v/>
      </c>
      <c r="U301" t="str">
        <f>IF(S301=1,COUNTIFS($S$4:$S$503,1,$T$4:$T$503,"&gt;"&amp;T301)+COUNTIFS($S$4:S301,1,$T$4:T301,T301),"")</f>
        <v/>
      </c>
      <c r="V301" t="str">
        <f>IF(D301=1,MIN(INDEX($R$4:$R$503,MATCH(G301,$G$4:$G$503,0)),IF($AL$7&gt;9,9,999)),"")</f>
        <v/>
      </c>
      <c r="W301" s="166">
        <f>IF(OR($I301="",$E301=0),0,IF(OR($J301&lt;W$3,$I301&gt;W$2),0,IF($K301=0,IF(AND($I301&gt;=W$3,$I301&lt;=W$2),$E301,0),$E301*NETWORKDAYS(MAX($I301,W$3),MIN($J301,W$2),Data!$K$4:$K$203)/$K301)))</f>
        <v>0</v>
      </c>
      <c r="X301" s="166">
        <f>IF(OR($I301="",$E301=0),0,IF(OR($J301&lt;X$3,$I301&gt;X$2),0,IF($K301=0,IF(AND($I301&gt;=X$3,$I301&lt;=X$2),$E301,0),$E301*NETWORKDAYS(MAX($I301,X$3),MIN($J301,X$2),Data!$K$4:$K$203)/$K301)))</f>
        <v>0</v>
      </c>
      <c r="Y301" s="166">
        <f>IF(OR($I301="",$E301=0),0,IF(OR($J301&lt;Y$3,$I301&gt;Y$2),0,IF($K301=0,IF(AND($I301&gt;=Y$3,$I301&lt;=Y$2),$E301,0),$E301*NETWORKDAYS(MAX($I301,Y$3),MIN($J301,Y$2),Data!$K$4:$K$203)/$K301)))</f>
        <v>0</v>
      </c>
      <c r="Z301" s="166">
        <f>IF(OR($I301="",$E301=0),0,IF(OR($J301&lt;Z$3,$I301&gt;Z$2),0,IF($K301=0,IF(AND($I301&gt;=Z$3,$I301&lt;=Z$2),$E301,0),$E301*NETWORKDAYS(MAX($I301,Z$3),MIN($J301,Z$2),Data!$K$4:$K$203)/$K301)))</f>
        <v>0</v>
      </c>
      <c r="AA301" s="166">
        <f>IF(OR($I301="",$E301=0),0,IF(OR($J301&lt;AA$3,$I301&gt;AA$2),0,IF($K301=0,IF(AND($I301&gt;=AA$3,$I301&lt;=AA$2),$E301,0),$E301*NETWORKDAYS(MAX($I301,AA$3),MIN($J301,AA$2),Data!$K$4:$K$203)/$K301)))</f>
        <v>0</v>
      </c>
      <c r="AB301" s="166">
        <f>IF(OR($I301="",$E301=0),0,IF(OR($J301&lt;AB$3,$I301&gt;AB$2),0,IF($K301=0,IF(AND($I301&gt;=AB$3,$I301&lt;=AB$2),$E301,0),$E301*NETWORKDAYS(MAX($I301,AB$3),MIN($J301,AB$2),Data!$K$4:$K$203)/$K301)))</f>
        <v>0</v>
      </c>
      <c r="AC301" s="166">
        <f>IF(OR($I301="",$E301=0),0,IF(OR($J301&lt;AC$3,$I301&gt;AC$2),0,IF($K301=0,IF(AND($I301&gt;=AC$3,$I301&lt;=AC$2),$E301,0),$E301*NETWORKDAYS(MAX($I301,AC$3),MIN($J301,AC$2),Data!$K$4:$K$203)/$K301)))</f>
        <v>0</v>
      </c>
      <c r="AD301" s="166">
        <f>IF(OR($I301="",$E301=0),0,IF(OR($J301&lt;AD$3,$I301&gt;AD$2),0,IF($K301=0,IF(AND($I301&gt;=AD$3,$I301&lt;=AD$2),$E301,0),$E301*NETWORKDAYS(MAX($I301,AD$3),MIN($J301,AD$2),Data!$K$4:$K$203)/$K301)))</f>
        <v>0</v>
      </c>
      <c r="AE301" s="166">
        <f>IF(OR($I301="",$E301=0),0,IF(OR($J301&lt;AE$3,$I301&gt;AE$2),0,IF($K301=0,IF(AND($I301&gt;=AE$3,$I301&lt;=AE$2),$E301,0),$E301*NETWORKDAYS(MAX($I301,AE$3),MIN($J301,AE$2),Data!$K$4:$K$203)/$K301)))</f>
        <v>0</v>
      </c>
      <c r="AF301" s="166">
        <f>IF(OR($I301="",$E301=0),0,IF(OR($J301&lt;AF$3,$I301&gt;AF$2),0,IF($K301=0,IF(AND($I301&gt;=AF$3,$I301&lt;=AF$2),$E301,0),$E301*NETWORKDAYS(MAX($I301,AF$3),MIN($J301,AF$2),Data!$K$4:$K$203)/$K301)))</f>
        <v>0</v>
      </c>
      <c r="AG301" s="166">
        <f>IF(OR($I301="",$E301=0),0,IF(OR($J301&lt;AG$3,$I301&gt;AG$2),0,IF($K301=0,IF(AND($I301&gt;=AG$3,$I301&lt;=AG$2),$E301,0),$E301*NETWORKDAYS(MAX($I301,AG$3),MIN($J301,AG$2),Data!$K$4:$K$203)/$K301)))</f>
        <v>0</v>
      </c>
      <c r="AH301" s="166">
        <f>IF(OR($I301="",$E301=0),0,IF(OR($J301&lt;AH$3,$I301&gt;AH$2),0,IF($K301=0,IF(AND($I301&gt;=AH$3,$I301&lt;=AH$2),$E301,0),$E301*NETWORKDAYS(MAX($I301,AH$3),MIN($J301,AH$2),Data!$K$4:$K$203)/$K301)))</f>
        <v>0</v>
      </c>
      <c r="AI301" s="166">
        <f>SUM(W301:AH301)</f>
        <v>0</v>
      </c>
      <c r="BZ301" t="str">
        <f>IF(D301=1,IF(TRIM(INDEX(Charge!$K:$K,ROW()))&lt;&gt;"",TRIM(INDEX(Charge!$K:$K,ROW())),IF(TRIM(INDEX(Charge!$L:$L,ROW()))&lt;&gt;"",TRIM(INDEX(Charge!$L:$L,ROW())),"(non affecté)")),"")</f>
        <v/>
      </c>
      <c r="CA301" t="str">
        <f>IF(AND($CD$4&lt;&gt;"",BZ301=$CD$4),COUNTIFS($BZ$4:$BZ$503,$CD$4,$L$4:$L$503,"&lt;"&amp;L301)+1,"")</f>
        <v/>
      </c>
      <c r="EM301" t="str">
        <f>IF(D301=1,IF(TRIM(INDEX(Charge!$K:$K,ROW()))&lt;&gt;"","Interne",IF(TRIM(INDEX(Charge!$L:$L,ROW()))&lt;&gt;"","Externe","Non affecté")),"")</f>
        <v/>
      </c>
      <c r="EN301" t="str">
        <f>IF(D301=1,LEFT(SUBSTITUTE(SUBSTITUTE(SUBSTITUTE(TRIM(SUBSTITUTE(INDEX(Charge!$B:$B,ROW()),CHAR(160)," "))&amp;" | "&amp;TRIM(SUBSTITUTE(INDEX(Charge!$C:$C,ROW()),CHAR(160)," "))&amp;" | "&amp;TRIM(SUBSTITUTE(INDEX(Charge!$D:$D,ROW()),CHAR(160)," ")),"~","-"),"*","+"),"?","!"),240),"")</f>
        <v/>
      </c>
      <c r="EO301">
        <f>IF(EN301="",0,IF(COUNTIF($EN$4:EN301,EN301)=1,1,0))</f>
        <v>0</v>
      </c>
      <c r="EP301" s="166" t="str">
        <f>IF(EO301=1,ROUND(SUMIF($EN$4:$EN$503,EN301,$E$4:$E$503),2),"")</f>
        <v/>
      </c>
      <c r="EQ301" t="str">
        <f>IF(EO301=1,COUNTIFS($EO$4:$EO$503,1,$EP$4:$EP$503,"&gt;"&amp;EP301)+COUNTIFS($EO$4:EO301,1,$EP$4:EP301,EP301),"")</f>
        <v/>
      </c>
      <c r="ER301" t="str">
        <f>IF(EO301=1,COUNTIFS($EN$4:$EN$503,EN301,$EM$4:$EM$503,"Interne",$FE$4:$FE$503,1),"")</f>
        <v/>
      </c>
      <c r="ES301" t="str">
        <f>IF(EO301=1,COUNTIFS($EN$4:$EN$503,EN301,$EM$4:$EM$503,"Externe",$FE$4:$FE$503,1),"")</f>
        <v/>
      </c>
      <c r="ET301" t="str">
        <f>IF(EO301=1,IF(ER301+ES301=0,"à affecter",IF(ER301=0,ES301&amp;" ext.",(ER301+ES301)&amp;IF(ES301&gt;0," dont "&amp;ES301&amp;" ext.",""))&amp;IF(COUNTIFS($EN$4:$EN$503,EN301,$EM$4:$EM$503,"Non affecté")&gt;0," + à affecter","")),"")</f>
        <v/>
      </c>
      <c r="EU301" s="170" t="str">
        <f>IF(EO301=1,IF(EP301&gt;0,SUMPRODUCT(($EN$4:$EN$503=EN301)*$E$4:$E$503*$C$4:$C$503)/EP301,AVERAGEIF($EN$4:$EN$503,EN301,$C$4:$C$503)),"")</f>
        <v/>
      </c>
      <c r="EV301" s="165">
        <f>IF(ISNUMBER(I301),I301,2958465)</f>
        <v>2958465.0</v>
      </c>
      <c r="EW301" s="165" t="str">
        <f>IF(EO301=1,SUMPRODUCT(MIN(($EN$4:$EN$503=EN301)*$EV$4:$EV$503+($EN$4:$EN$503&lt;&gt;EN301)*2958465)),"")</f>
        <v/>
      </c>
      <c r="EX301" s="165">
        <f>IF(AND(D301=1,ISNUMBER(INDEX(Charge!$F:$F,ROW()))),INDEX(Charge!$F:$F,ROW()),0)</f>
        <v>0.0</v>
      </c>
      <c r="EY301" s="165" t="str">
        <f>IF(EO301=1,SUMPRODUCT(MAX(($EN$4:$EN$503=EN301)*$EX$4:$EX$503)),"")</f>
        <v/>
      </c>
      <c r="FA301" t="str">
        <f>IF(298&lt;=$CD$23,INDEX($EJ$4:$EJ$203,298),IF(298-$CD$23&lt;=$CD$26,INDEX($EK$4:$EK$203,298-$CD$23),""))</f>
        <v/>
      </c>
      <c r="FB301" t="str">
        <f>IF(FA301="","",IF(298&lt;=$CD$23,"Interne","Externe"))</f>
        <v/>
      </c>
      <c r="FD301">
        <f>IF(AND(B301=1,TRIM(INDEX(Charge!$K:$K,ROW()))&lt;&gt;"",TRIM(INDEX(Charge!$L:$L,ROW()))&lt;&gt;""),1,0)</f>
        <v>0</v>
      </c>
      <c r="FE301">
        <f>IF(OR(EN301="",BZ301="(non affecté)"),0,IF(COUNTIFS($EN$4:EN301,EN301,$BZ$4:BZ301,BZ301)=1,1,0))</f>
        <v>0</v>
      </c>
    </row>
    <row r="302">
      <c r="A302">
        <f>ROW()</f>
        <v>302</v>
      </c>
      <c r="B302">
        <f>IF(TRIM(INDEX(Charge!$B:$B,ROW()))&lt;&gt;"",1,0)</f>
        <v>0</v>
      </c>
      <c r="C302">
        <f>IF(B302=1,MIN(1,MAX(0,N(INDEX(Charge!$O:$O,ROW())))),0)</f>
        <v>0</v>
      </c>
      <c r="D302">
        <f>IF(B302=1,IF(OR(p_Perimetre="Tous les projets",C302&lt;1),1,0),0)</f>
        <v>0</v>
      </c>
      <c r="E302">
        <f>IF(D302=1,MAX(0,N(INDEX(Charge!$M:$M,ROW()))),0)</f>
        <v>0</v>
      </c>
      <c r="F302" t="str">
        <f>IF(D302=1,IF(TRIM(INDEX(Charge!$A:$A,ROW()))="","(non renseigné)",TRIM(INDEX(Charge!$A:$A,ROW()))),"")</f>
        <v/>
      </c>
      <c r="G302" t="str">
        <f>IF(D302=1,TRIM(INDEX(Charge!$B:$B,ROW())),"")</f>
        <v/>
      </c>
      <c r="H302" t="str">
        <f>IF(D302=1,IF(TRIM(INDEX(Charge!$E:$E,ROW()))="","(non renseigné)",TRIM(INDEX(Charge!$E:$E,ROW()))),"")</f>
        <v/>
      </c>
      <c r="I302" s="165" t="str">
        <f>IF(AND(D302=1,ISNUMBER(INDEX(Charge!$N:$N,ROW()))),INDEX(Charge!$N:$N,ROW()),"")</f>
        <v/>
      </c>
      <c r="J302" s="165" t="str">
        <f>IF(I302="","",IF(AND(p_Repartition="Lissée jusqu'à la date de besoin",ISNUMBER(INDEX(Charge!$F:$F,ROW()))),IF(INDEX(Charge!$F:$F,ROW())&gt;=I302,INDEX(Charge!$F:$F,ROW()),I302),I302))</f>
        <v/>
      </c>
      <c r="K302" t="str">
        <f>IF(I302="","",NETWORKDAYS(I302,J302,Data!$K$4:$K$203))</f>
        <v/>
      </c>
      <c r="L302" t="str">
        <f>IF(D302=1,COUNTIFS($D$4:$D$503,1,$E$4:$E$503,"&gt;"&amp;E302)+COUNTIFS($D$4:$D302,1,$E$4:$E302,E302),"")</f>
        <v/>
      </c>
      <c r="M302">
        <f>IF(F302="",0,IF(COUNTIF($F$4:F302,F302)=1,1,0))</f>
        <v>0</v>
      </c>
      <c r="N302" t="str">
        <f>IF(M302=1,ROUND(SUMIF($F$4:$F$503,F302,$E$4:$E$503),2),"")</f>
        <v/>
      </c>
      <c r="O302" t="str">
        <f>IF(M302=1,COUNTIFS($M$4:$M$503,1,$N$4:$N$503,"&gt;"&amp;N302)+COUNTIFS($M$4:M302,1,$N$4:N302,N302),"")</f>
        <v/>
      </c>
      <c r="P302">
        <f>IF(G302="",0,IF(COUNTIF($G$4:G302,G302)=1,1,0))</f>
        <v>0</v>
      </c>
      <c r="Q302" t="str">
        <f>IF(P302=1,ROUND(SUMIF($G$4:$G$503,G302,$E$4:$E$503),2),"")</f>
        <v/>
      </c>
      <c r="R302" t="str">
        <f>IF(P302=1,COUNTIFS($P$4:$P$503,1,$Q$4:$Q$503,"&gt;"&amp;Q302)+COUNTIFS($P$4:P302,1,$Q$4:Q302,Q302),"")</f>
        <v/>
      </c>
      <c r="S302">
        <f>IF(H302="",0,IF(COUNTIF($H$4:H302,H302)=1,1,0))</f>
        <v>0</v>
      </c>
      <c r="T302" t="str">
        <f>IF(S302=1,ROUND(SUMIF($H$4:$H$503,H302,$E$4:$E$503),2),"")</f>
        <v/>
      </c>
      <c r="U302" t="str">
        <f>IF(S302=1,COUNTIFS($S$4:$S$503,1,$T$4:$T$503,"&gt;"&amp;T302)+COUNTIFS($S$4:S302,1,$T$4:T302,T302),"")</f>
        <v/>
      </c>
      <c r="V302" t="str">
        <f>IF(D302=1,MIN(INDEX($R$4:$R$503,MATCH(G302,$G$4:$G$503,0)),IF($AL$7&gt;9,9,999)),"")</f>
        <v/>
      </c>
      <c r="W302" s="166">
        <f>IF(OR($I302="",$E302=0),0,IF(OR($J302&lt;W$3,$I302&gt;W$2),0,IF($K302=0,IF(AND($I302&gt;=W$3,$I302&lt;=W$2),$E302,0),$E302*NETWORKDAYS(MAX($I302,W$3),MIN($J302,W$2),Data!$K$4:$K$203)/$K302)))</f>
        <v>0</v>
      </c>
      <c r="X302" s="166">
        <f>IF(OR($I302="",$E302=0),0,IF(OR($J302&lt;X$3,$I302&gt;X$2),0,IF($K302=0,IF(AND($I302&gt;=X$3,$I302&lt;=X$2),$E302,0),$E302*NETWORKDAYS(MAX($I302,X$3),MIN($J302,X$2),Data!$K$4:$K$203)/$K302)))</f>
        <v>0</v>
      </c>
      <c r="Y302" s="166">
        <f>IF(OR($I302="",$E302=0),0,IF(OR($J302&lt;Y$3,$I302&gt;Y$2),0,IF($K302=0,IF(AND($I302&gt;=Y$3,$I302&lt;=Y$2),$E302,0),$E302*NETWORKDAYS(MAX($I302,Y$3),MIN($J302,Y$2),Data!$K$4:$K$203)/$K302)))</f>
        <v>0</v>
      </c>
      <c r="Z302" s="166">
        <f>IF(OR($I302="",$E302=0),0,IF(OR($J302&lt;Z$3,$I302&gt;Z$2),0,IF($K302=0,IF(AND($I302&gt;=Z$3,$I302&lt;=Z$2),$E302,0),$E302*NETWORKDAYS(MAX($I302,Z$3),MIN($J302,Z$2),Data!$K$4:$K$203)/$K302)))</f>
        <v>0</v>
      </c>
      <c r="AA302" s="166">
        <f>IF(OR($I302="",$E302=0),0,IF(OR($J302&lt;AA$3,$I302&gt;AA$2),0,IF($K302=0,IF(AND($I302&gt;=AA$3,$I302&lt;=AA$2),$E302,0),$E302*NETWORKDAYS(MAX($I302,AA$3),MIN($J302,AA$2),Data!$K$4:$K$203)/$K302)))</f>
        <v>0</v>
      </c>
      <c r="AB302" s="166">
        <f>IF(OR($I302="",$E302=0),0,IF(OR($J302&lt;AB$3,$I302&gt;AB$2),0,IF($K302=0,IF(AND($I302&gt;=AB$3,$I302&lt;=AB$2),$E302,0),$E302*NETWORKDAYS(MAX($I302,AB$3),MIN($J302,AB$2),Data!$K$4:$K$203)/$K302)))</f>
        <v>0</v>
      </c>
      <c r="AC302" s="166">
        <f>IF(OR($I302="",$E302=0),0,IF(OR($J302&lt;AC$3,$I302&gt;AC$2),0,IF($K302=0,IF(AND($I302&gt;=AC$3,$I302&lt;=AC$2),$E302,0),$E302*NETWORKDAYS(MAX($I302,AC$3),MIN($J302,AC$2),Data!$K$4:$K$203)/$K302)))</f>
        <v>0</v>
      </c>
      <c r="AD302" s="166">
        <f>IF(OR($I302="",$E302=0),0,IF(OR($J302&lt;AD$3,$I302&gt;AD$2),0,IF($K302=0,IF(AND($I302&gt;=AD$3,$I302&lt;=AD$2),$E302,0),$E302*NETWORKDAYS(MAX($I302,AD$3),MIN($J302,AD$2),Data!$K$4:$K$203)/$K302)))</f>
        <v>0</v>
      </c>
      <c r="AE302" s="166">
        <f>IF(OR($I302="",$E302=0),0,IF(OR($J302&lt;AE$3,$I302&gt;AE$2),0,IF($K302=0,IF(AND($I302&gt;=AE$3,$I302&lt;=AE$2),$E302,0),$E302*NETWORKDAYS(MAX($I302,AE$3),MIN($J302,AE$2),Data!$K$4:$K$203)/$K302)))</f>
        <v>0</v>
      </c>
      <c r="AF302" s="166">
        <f>IF(OR($I302="",$E302=0),0,IF(OR($J302&lt;AF$3,$I302&gt;AF$2),0,IF($K302=0,IF(AND($I302&gt;=AF$3,$I302&lt;=AF$2),$E302,0),$E302*NETWORKDAYS(MAX($I302,AF$3),MIN($J302,AF$2),Data!$K$4:$K$203)/$K302)))</f>
        <v>0</v>
      </c>
      <c r="AG302" s="166">
        <f>IF(OR($I302="",$E302=0),0,IF(OR($J302&lt;AG$3,$I302&gt;AG$2),0,IF($K302=0,IF(AND($I302&gt;=AG$3,$I302&lt;=AG$2),$E302,0),$E302*NETWORKDAYS(MAX($I302,AG$3),MIN($J302,AG$2),Data!$K$4:$K$203)/$K302)))</f>
        <v>0</v>
      </c>
      <c r="AH302" s="166">
        <f>IF(OR($I302="",$E302=0),0,IF(OR($J302&lt;AH$3,$I302&gt;AH$2),0,IF($K302=0,IF(AND($I302&gt;=AH$3,$I302&lt;=AH$2),$E302,0),$E302*NETWORKDAYS(MAX($I302,AH$3),MIN($J302,AH$2),Data!$K$4:$K$203)/$K302)))</f>
        <v>0</v>
      </c>
      <c r="AI302" s="166">
        <f>SUM(W302:AH302)</f>
        <v>0</v>
      </c>
      <c r="BZ302" t="str">
        <f>IF(D302=1,IF(TRIM(INDEX(Charge!$K:$K,ROW()))&lt;&gt;"",TRIM(INDEX(Charge!$K:$K,ROW())),IF(TRIM(INDEX(Charge!$L:$L,ROW()))&lt;&gt;"",TRIM(INDEX(Charge!$L:$L,ROW())),"(non affecté)")),"")</f>
        <v/>
      </c>
      <c r="CA302" t="str">
        <f>IF(AND($CD$4&lt;&gt;"",BZ302=$CD$4),COUNTIFS($BZ$4:$BZ$503,$CD$4,$L$4:$L$503,"&lt;"&amp;L302)+1,"")</f>
        <v/>
      </c>
      <c r="EM302" t="str">
        <f>IF(D302=1,IF(TRIM(INDEX(Charge!$K:$K,ROW()))&lt;&gt;"","Interne",IF(TRIM(INDEX(Charge!$L:$L,ROW()))&lt;&gt;"","Externe","Non affecté")),"")</f>
        <v/>
      </c>
      <c r="EN302" t="str">
        <f>IF(D302=1,LEFT(SUBSTITUTE(SUBSTITUTE(SUBSTITUTE(TRIM(SUBSTITUTE(INDEX(Charge!$B:$B,ROW()),CHAR(160)," "))&amp;" | "&amp;TRIM(SUBSTITUTE(INDEX(Charge!$C:$C,ROW()),CHAR(160)," "))&amp;" | "&amp;TRIM(SUBSTITUTE(INDEX(Charge!$D:$D,ROW()),CHAR(160)," ")),"~","-"),"*","+"),"?","!"),240),"")</f>
        <v/>
      </c>
      <c r="EO302">
        <f>IF(EN302="",0,IF(COUNTIF($EN$4:EN302,EN302)=1,1,0))</f>
        <v>0</v>
      </c>
      <c r="EP302" s="166" t="str">
        <f>IF(EO302=1,ROUND(SUMIF($EN$4:$EN$503,EN302,$E$4:$E$503),2),"")</f>
        <v/>
      </c>
      <c r="EQ302" t="str">
        <f>IF(EO302=1,COUNTIFS($EO$4:$EO$503,1,$EP$4:$EP$503,"&gt;"&amp;EP302)+COUNTIFS($EO$4:EO302,1,$EP$4:EP302,EP302),"")</f>
        <v/>
      </c>
      <c r="ER302" t="str">
        <f>IF(EO302=1,COUNTIFS($EN$4:$EN$503,EN302,$EM$4:$EM$503,"Interne",$FE$4:$FE$503,1),"")</f>
        <v/>
      </c>
      <c r="ES302" t="str">
        <f>IF(EO302=1,COUNTIFS($EN$4:$EN$503,EN302,$EM$4:$EM$503,"Externe",$FE$4:$FE$503,1),"")</f>
        <v/>
      </c>
      <c r="ET302" t="str">
        <f>IF(EO302=1,IF(ER302+ES302=0,"à affecter",IF(ER302=0,ES302&amp;" ext.",(ER302+ES302)&amp;IF(ES302&gt;0," dont "&amp;ES302&amp;" ext.",""))&amp;IF(COUNTIFS($EN$4:$EN$503,EN302,$EM$4:$EM$503,"Non affecté")&gt;0," + à affecter","")),"")</f>
        <v/>
      </c>
      <c r="EU302" s="170" t="str">
        <f>IF(EO302=1,IF(EP302&gt;0,SUMPRODUCT(($EN$4:$EN$503=EN302)*$E$4:$E$503*$C$4:$C$503)/EP302,AVERAGEIF($EN$4:$EN$503,EN302,$C$4:$C$503)),"")</f>
        <v/>
      </c>
      <c r="EV302" s="165">
        <f>IF(ISNUMBER(I302),I302,2958465)</f>
        <v>2958465.0</v>
      </c>
      <c r="EW302" s="165" t="str">
        <f>IF(EO302=1,SUMPRODUCT(MIN(($EN$4:$EN$503=EN302)*$EV$4:$EV$503+($EN$4:$EN$503&lt;&gt;EN302)*2958465)),"")</f>
        <v/>
      </c>
      <c r="EX302" s="165">
        <f>IF(AND(D302=1,ISNUMBER(INDEX(Charge!$F:$F,ROW()))),INDEX(Charge!$F:$F,ROW()),0)</f>
        <v>0.0</v>
      </c>
      <c r="EY302" s="165" t="str">
        <f>IF(EO302=1,SUMPRODUCT(MAX(($EN$4:$EN$503=EN302)*$EX$4:$EX$503)),"")</f>
        <v/>
      </c>
      <c r="FA302" t="str">
        <f>IF(299&lt;=$CD$23,INDEX($EJ$4:$EJ$203,299),IF(299-$CD$23&lt;=$CD$26,INDEX($EK$4:$EK$203,299-$CD$23),""))</f>
        <v/>
      </c>
      <c r="FB302" t="str">
        <f>IF(FA302="","",IF(299&lt;=$CD$23,"Interne","Externe"))</f>
        <v/>
      </c>
      <c r="FD302">
        <f>IF(AND(B302=1,TRIM(INDEX(Charge!$K:$K,ROW()))&lt;&gt;"",TRIM(INDEX(Charge!$L:$L,ROW()))&lt;&gt;""),1,0)</f>
        <v>0</v>
      </c>
      <c r="FE302">
        <f>IF(OR(EN302="",BZ302="(non affecté)"),0,IF(COUNTIFS($EN$4:EN302,EN302,$BZ$4:BZ302,BZ302)=1,1,0))</f>
        <v>0</v>
      </c>
    </row>
    <row r="303">
      <c r="A303">
        <f>ROW()</f>
        <v>303</v>
      </c>
      <c r="B303">
        <f>IF(TRIM(INDEX(Charge!$B:$B,ROW()))&lt;&gt;"",1,0)</f>
        <v>0</v>
      </c>
      <c r="C303">
        <f>IF(B303=1,MIN(1,MAX(0,N(INDEX(Charge!$O:$O,ROW())))),0)</f>
        <v>0</v>
      </c>
      <c r="D303">
        <f>IF(B303=1,IF(OR(p_Perimetre="Tous les projets",C303&lt;1),1,0),0)</f>
        <v>0</v>
      </c>
      <c r="E303">
        <f>IF(D303=1,MAX(0,N(INDEX(Charge!$M:$M,ROW()))),0)</f>
        <v>0</v>
      </c>
      <c r="F303" t="str">
        <f>IF(D303=1,IF(TRIM(INDEX(Charge!$A:$A,ROW()))="","(non renseigné)",TRIM(INDEX(Charge!$A:$A,ROW()))),"")</f>
        <v/>
      </c>
      <c r="G303" t="str">
        <f>IF(D303=1,TRIM(INDEX(Charge!$B:$B,ROW())),"")</f>
        <v/>
      </c>
      <c r="H303" t="str">
        <f>IF(D303=1,IF(TRIM(INDEX(Charge!$E:$E,ROW()))="","(non renseigné)",TRIM(INDEX(Charge!$E:$E,ROW()))),"")</f>
        <v/>
      </c>
      <c r="I303" s="165" t="str">
        <f>IF(AND(D303=1,ISNUMBER(INDEX(Charge!$N:$N,ROW()))),INDEX(Charge!$N:$N,ROW()),"")</f>
        <v/>
      </c>
      <c r="J303" s="165" t="str">
        <f>IF(I303="","",IF(AND(p_Repartition="Lissée jusqu'à la date de besoin",ISNUMBER(INDEX(Charge!$F:$F,ROW()))),IF(INDEX(Charge!$F:$F,ROW())&gt;=I303,INDEX(Charge!$F:$F,ROW()),I303),I303))</f>
        <v/>
      </c>
      <c r="K303" t="str">
        <f>IF(I303="","",NETWORKDAYS(I303,J303,Data!$K$4:$K$203))</f>
        <v/>
      </c>
      <c r="L303" t="str">
        <f>IF(D303=1,COUNTIFS($D$4:$D$503,1,$E$4:$E$503,"&gt;"&amp;E303)+COUNTIFS($D$4:$D303,1,$E$4:$E303,E303),"")</f>
        <v/>
      </c>
      <c r="M303">
        <f>IF(F303="",0,IF(COUNTIF($F$4:F303,F303)=1,1,0))</f>
        <v>0</v>
      </c>
      <c r="N303" t="str">
        <f>IF(M303=1,ROUND(SUMIF($F$4:$F$503,F303,$E$4:$E$503),2),"")</f>
        <v/>
      </c>
      <c r="O303" t="str">
        <f>IF(M303=1,COUNTIFS($M$4:$M$503,1,$N$4:$N$503,"&gt;"&amp;N303)+COUNTIFS($M$4:M303,1,$N$4:N303,N303),"")</f>
        <v/>
      </c>
      <c r="P303">
        <f>IF(G303="",0,IF(COUNTIF($G$4:G303,G303)=1,1,0))</f>
        <v>0</v>
      </c>
      <c r="Q303" t="str">
        <f>IF(P303=1,ROUND(SUMIF($G$4:$G$503,G303,$E$4:$E$503),2),"")</f>
        <v/>
      </c>
      <c r="R303" t="str">
        <f>IF(P303=1,COUNTIFS($P$4:$P$503,1,$Q$4:$Q$503,"&gt;"&amp;Q303)+COUNTIFS($P$4:P303,1,$Q$4:Q303,Q303),"")</f>
        <v/>
      </c>
      <c r="S303">
        <f>IF(H303="",0,IF(COUNTIF($H$4:H303,H303)=1,1,0))</f>
        <v>0</v>
      </c>
      <c r="T303" t="str">
        <f>IF(S303=1,ROUND(SUMIF($H$4:$H$503,H303,$E$4:$E$503),2),"")</f>
        <v/>
      </c>
      <c r="U303" t="str">
        <f>IF(S303=1,COUNTIFS($S$4:$S$503,1,$T$4:$T$503,"&gt;"&amp;T303)+COUNTIFS($S$4:S303,1,$T$4:T303,T303),"")</f>
        <v/>
      </c>
      <c r="V303" t="str">
        <f>IF(D303=1,MIN(INDEX($R$4:$R$503,MATCH(G303,$G$4:$G$503,0)),IF($AL$7&gt;9,9,999)),"")</f>
        <v/>
      </c>
      <c r="W303" s="166">
        <f>IF(OR($I303="",$E303=0),0,IF(OR($J303&lt;W$3,$I303&gt;W$2),0,IF($K303=0,IF(AND($I303&gt;=W$3,$I303&lt;=W$2),$E303,0),$E303*NETWORKDAYS(MAX($I303,W$3),MIN($J303,W$2),Data!$K$4:$K$203)/$K303)))</f>
        <v>0</v>
      </c>
      <c r="X303" s="166">
        <f>IF(OR($I303="",$E303=0),0,IF(OR($J303&lt;X$3,$I303&gt;X$2),0,IF($K303=0,IF(AND($I303&gt;=X$3,$I303&lt;=X$2),$E303,0),$E303*NETWORKDAYS(MAX($I303,X$3),MIN($J303,X$2),Data!$K$4:$K$203)/$K303)))</f>
        <v>0</v>
      </c>
      <c r="Y303" s="166">
        <f>IF(OR($I303="",$E303=0),0,IF(OR($J303&lt;Y$3,$I303&gt;Y$2),0,IF($K303=0,IF(AND($I303&gt;=Y$3,$I303&lt;=Y$2),$E303,0),$E303*NETWORKDAYS(MAX($I303,Y$3),MIN($J303,Y$2),Data!$K$4:$K$203)/$K303)))</f>
        <v>0</v>
      </c>
      <c r="Z303" s="166">
        <f>IF(OR($I303="",$E303=0),0,IF(OR($J303&lt;Z$3,$I303&gt;Z$2),0,IF($K303=0,IF(AND($I303&gt;=Z$3,$I303&lt;=Z$2),$E303,0),$E303*NETWORKDAYS(MAX($I303,Z$3),MIN($J303,Z$2),Data!$K$4:$K$203)/$K303)))</f>
        <v>0</v>
      </c>
      <c r="AA303" s="166">
        <f>IF(OR($I303="",$E303=0),0,IF(OR($J303&lt;AA$3,$I303&gt;AA$2),0,IF($K303=0,IF(AND($I303&gt;=AA$3,$I303&lt;=AA$2),$E303,0),$E303*NETWORKDAYS(MAX($I303,AA$3),MIN($J303,AA$2),Data!$K$4:$K$203)/$K303)))</f>
        <v>0</v>
      </c>
      <c r="AB303" s="166">
        <f>IF(OR($I303="",$E303=0),0,IF(OR($J303&lt;AB$3,$I303&gt;AB$2),0,IF($K303=0,IF(AND($I303&gt;=AB$3,$I303&lt;=AB$2),$E303,0),$E303*NETWORKDAYS(MAX($I303,AB$3),MIN($J303,AB$2),Data!$K$4:$K$203)/$K303)))</f>
        <v>0</v>
      </c>
      <c r="AC303" s="166">
        <f>IF(OR($I303="",$E303=0),0,IF(OR($J303&lt;AC$3,$I303&gt;AC$2),0,IF($K303=0,IF(AND($I303&gt;=AC$3,$I303&lt;=AC$2),$E303,0),$E303*NETWORKDAYS(MAX($I303,AC$3),MIN($J303,AC$2),Data!$K$4:$K$203)/$K303)))</f>
        <v>0</v>
      </c>
      <c r="AD303" s="166">
        <f>IF(OR($I303="",$E303=0),0,IF(OR($J303&lt;AD$3,$I303&gt;AD$2),0,IF($K303=0,IF(AND($I303&gt;=AD$3,$I303&lt;=AD$2),$E303,0),$E303*NETWORKDAYS(MAX($I303,AD$3),MIN($J303,AD$2),Data!$K$4:$K$203)/$K303)))</f>
        <v>0</v>
      </c>
      <c r="AE303" s="166">
        <f>IF(OR($I303="",$E303=0),0,IF(OR($J303&lt;AE$3,$I303&gt;AE$2),0,IF($K303=0,IF(AND($I303&gt;=AE$3,$I303&lt;=AE$2),$E303,0),$E303*NETWORKDAYS(MAX($I303,AE$3),MIN($J303,AE$2),Data!$K$4:$K$203)/$K303)))</f>
        <v>0</v>
      </c>
      <c r="AF303" s="166">
        <f>IF(OR($I303="",$E303=0),0,IF(OR($J303&lt;AF$3,$I303&gt;AF$2),0,IF($K303=0,IF(AND($I303&gt;=AF$3,$I303&lt;=AF$2),$E303,0),$E303*NETWORKDAYS(MAX($I303,AF$3),MIN($J303,AF$2),Data!$K$4:$K$203)/$K303)))</f>
        <v>0</v>
      </c>
      <c r="AG303" s="166">
        <f>IF(OR($I303="",$E303=0),0,IF(OR($J303&lt;AG$3,$I303&gt;AG$2),0,IF($K303=0,IF(AND($I303&gt;=AG$3,$I303&lt;=AG$2),$E303,0),$E303*NETWORKDAYS(MAX($I303,AG$3),MIN($J303,AG$2),Data!$K$4:$K$203)/$K303)))</f>
        <v>0</v>
      </c>
      <c r="AH303" s="166">
        <f>IF(OR($I303="",$E303=0),0,IF(OR($J303&lt;AH$3,$I303&gt;AH$2),0,IF($K303=0,IF(AND($I303&gt;=AH$3,$I303&lt;=AH$2),$E303,0),$E303*NETWORKDAYS(MAX($I303,AH$3),MIN($J303,AH$2),Data!$K$4:$K$203)/$K303)))</f>
        <v>0</v>
      </c>
      <c r="AI303" s="166">
        <f>SUM(W303:AH303)</f>
        <v>0</v>
      </c>
      <c r="BZ303" t="str">
        <f>IF(D303=1,IF(TRIM(INDEX(Charge!$K:$K,ROW()))&lt;&gt;"",TRIM(INDEX(Charge!$K:$K,ROW())),IF(TRIM(INDEX(Charge!$L:$L,ROW()))&lt;&gt;"",TRIM(INDEX(Charge!$L:$L,ROW())),"(non affecté)")),"")</f>
        <v/>
      </c>
      <c r="CA303" t="str">
        <f>IF(AND($CD$4&lt;&gt;"",BZ303=$CD$4),COUNTIFS($BZ$4:$BZ$503,$CD$4,$L$4:$L$503,"&lt;"&amp;L303)+1,"")</f>
        <v/>
      </c>
      <c r="EM303" t="str">
        <f>IF(D303=1,IF(TRIM(INDEX(Charge!$K:$K,ROW()))&lt;&gt;"","Interne",IF(TRIM(INDEX(Charge!$L:$L,ROW()))&lt;&gt;"","Externe","Non affecté")),"")</f>
        <v/>
      </c>
      <c r="EN303" t="str">
        <f>IF(D303=1,LEFT(SUBSTITUTE(SUBSTITUTE(SUBSTITUTE(TRIM(SUBSTITUTE(INDEX(Charge!$B:$B,ROW()),CHAR(160)," "))&amp;" | "&amp;TRIM(SUBSTITUTE(INDEX(Charge!$C:$C,ROW()),CHAR(160)," "))&amp;" | "&amp;TRIM(SUBSTITUTE(INDEX(Charge!$D:$D,ROW()),CHAR(160)," ")),"~","-"),"*","+"),"?","!"),240),"")</f>
        <v/>
      </c>
      <c r="EO303">
        <f>IF(EN303="",0,IF(COUNTIF($EN$4:EN303,EN303)=1,1,0))</f>
        <v>0</v>
      </c>
      <c r="EP303" s="166" t="str">
        <f>IF(EO303=1,ROUND(SUMIF($EN$4:$EN$503,EN303,$E$4:$E$503),2),"")</f>
        <v/>
      </c>
      <c r="EQ303" t="str">
        <f>IF(EO303=1,COUNTIFS($EO$4:$EO$503,1,$EP$4:$EP$503,"&gt;"&amp;EP303)+COUNTIFS($EO$4:EO303,1,$EP$4:EP303,EP303),"")</f>
        <v/>
      </c>
      <c r="ER303" t="str">
        <f>IF(EO303=1,COUNTIFS($EN$4:$EN$503,EN303,$EM$4:$EM$503,"Interne",$FE$4:$FE$503,1),"")</f>
        <v/>
      </c>
      <c r="ES303" t="str">
        <f>IF(EO303=1,COUNTIFS($EN$4:$EN$503,EN303,$EM$4:$EM$503,"Externe",$FE$4:$FE$503,1),"")</f>
        <v/>
      </c>
      <c r="ET303" t="str">
        <f>IF(EO303=1,IF(ER303+ES303=0,"à affecter",IF(ER303=0,ES303&amp;" ext.",(ER303+ES303)&amp;IF(ES303&gt;0," dont "&amp;ES303&amp;" ext.",""))&amp;IF(COUNTIFS($EN$4:$EN$503,EN303,$EM$4:$EM$503,"Non affecté")&gt;0," + à affecter","")),"")</f>
        <v/>
      </c>
      <c r="EU303" s="170" t="str">
        <f>IF(EO303=1,IF(EP303&gt;0,SUMPRODUCT(($EN$4:$EN$503=EN303)*$E$4:$E$503*$C$4:$C$503)/EP303,AVERAGEIF($EN$4:$EN$503,EN303,$C$4:$C$503)),"")</f>
        <v/>
      </c>
      <c r="EV303" s="165">
        <f>IF(ISNUMBER(I303),I303,2958465)</f>
        <v>2958465.0</v>
      </c>
      <c r="EW303" s="165" t="str">
        <f>IF(EO303=1,SUMPRODUCT(MIN(($EN$4:$EN$503=EN303)*$EV$4:$EV$503+($EN$4:$EN$503&lt;&gt;EN303)*2958465)),"")</f>
        <v/>
      </c>
      <c r="EX303" s="165">
        <f>IF(AND(D303=1,ISNUMBER(INDEX(Charge!$F:$F,ROW()))),INDEX(Charge!$F:$F,ROW()),0)</f>
        <v>0.0</v>
      </c>
      <c r="EY303" s="165" t="str">
        <f>IF(EO303=1,SUMPRODUCT(MAX(($EN$4:$EN$503=EN303)*$EX$4:$EX$503)),"")</f>
        <v/>
      </c>
      <c r="FA303" t="str">
        <f>IF(300&lt;=$CD$23,INDEX($EJ$4:$EJ$203,300),IF(300-$CD$23&lt;=$CD$26,INDEX($EK$4:$EK$203,300-$CD$23),""))</f>
        <v/>
      </c>
      <c r="FB303" t="str">
        <f>IF(FA303="","",IF(300&lt;=$CD$23,"Interne","Externe"))</f>
        <v/>
      </c>
      <c r="FD303">
        <f>IF(AND(B303=1,TRIM(INDEX(Charge!$K:$K,ROW()))&lt;&gt;"",TRIM(INDEX(Charge!$L:$L,ROW()))&lt;&gt;""),1,0)</f>
        <v>0</v>
      </c>
      <c r="FE303">
        <f>IF(OR(EN303="",BZ303="(non affecté)"),0,IF(COUNTIFS($EN$4:EN303,EN303,$BZ$4:BZ303,BZ303)=1,1,0))</f>
        <v>0</v>
      </c>
    </row>
    <row r="304">
      <c r="A304">
        <f>ROW()</f>
        <v>304</v>
      </c>
      <c r="B304">
        <f>IF(TRIM(INDEX(Charge!$B:$B,ROW()))&lt;&gt;"",1,0)</f>
        <v>0</v>
      </c>
      <c r="C304">
        <f>IF(B304=1,MIN(1,MAX(0,N(INDEX(Charge!$O:$O,ROW())))),0)</f>
        <v>0</v>
      </c>
      <c r="D304">
        <f>IF(B304=1,IF(OR(p_Perimetre="Tous les projets",C304&lt;1),1,0),0)</f>
        <v>0</v>
      </c>
      <c r="E304">
        <f>IF(D304=1,MAX(0,N(INDEX(Charge!$M:$M,ROW()))),0)</f>
        <v>0</v>
      </c>
      <c r="F304" t="str">
        <f>IF(D304=1,IF(TRIM(INDEX(Charge!$A:$A,ROW()))="","(non renseigné)",TRIM(INDEX(Charge!$A:$A,ROW()))),"")</f>
        <v/>
      </c>
      <c r="G304" t="str">
        <f>IF(D304=1,TRIM(INDEX(Charge!$B:$B,ROW())),"")</f>
        <v/>
      </c>
      <c r="H304" t="str">
        <f>IF(D304=1,IF(TRIM(INDEX(Charge!$E:$E,ROW()))="","(non renseigné)",TRIM(INDEX(Charge!$E:$E,ROW()))),"")</f>
        <v/>
      </c>
      <c r="I304" s="165" t="str">
        <f>IF(AND(D304=1,ISNUMBER(INDEX(Charge!$N:$N,ROW()))),INDEX(Charge!$N:$N,ROW()),"")</f>
        <v/>
      </c>
      <c r="J304" s="165" t="str">
        <f>IF(I304="","",IF(AND(p_Repartition="Lissée jusqu'à la date de besoin",ISNUMBER(INDEX(Charge!$F:$F,ROW()))),IF(INDEX(Charge!$F:$F,ROW())&gt;=I304,INDEX(Charge!$F:$F,ROW()),I304),I304))</f>
        <v/>
      </c>
      <c r="K304" t="str">
        <f>IF(I304="","",NETWORKDAYS(I304,J304,Data!$K$4:$K$203))</f>
        <v/>
      </c>
      <c r="L304" t="str">
        <f>IF(D304=1,COUNTIFS($D$4:$D$503,1,$E$4:$E$503,"&gt;"&amp;E304)+COUNTIFS($D$4:$D304,1,$E$4:$E304,E304),"")</f>
        <v/>
      </c>
      <c r="M304">
        <f>IF(F304="",0,IF(COUNTIF($F$4:F304,F304)=1,1,0))</f>
        <v>0</v>
      </c>
      <c r="N304" t="str">
        <f>IF(M304=1,ROUND(SUMIF($F$4:$F$503,F304,$E$4:$E$503),2),"")</f>
        <v/>
      </c>
      <c r="O304" t="str">
        <f>IF(M304=1,COUNTIFS($M$4:$M$503,1,$N$4:$N$503,"&gt;"&amp;N304)+COUNTIFS($M$4:M304,1,$N$4:N304,N304),"")</f>
        <v/>
      </c>
      <c r="P304">
        <f>IF(G304="",0,IF(COUNTIF($G$4:G304,G304)=1,1,0))</f>
        <v>0</v>
      </c>
      <c r="Q304" t="str">
        <f>IF(P304=1,ROUND(SUMIF($G$4:$G$503,G304,$E$4:$E$503),2),"")</f>
        <v/>
      </c>
      <c r="R304" t="str">
        <f>IF(P304=1,COUNTIFS($P$4:$P$503,1,$Q$4:$Q$503,"&gt;"&amp;Q304)+COUNTIFS($P$4:P304,1,$Q$4:Q304,Q304),"")</f>
        <v/>
      </c>
      <c r="S304">
        <f>IF(H304="",0,IF(COUNTIF($H$4:H304,H304)=1,1,0))</f>
        <v>0</v>
      </c>
      <c r="T304" t="str">
        <f>IF(S304=1,ROUND(SUMIF($H$4:$H$503,H304,$E$4:$E$503),2),"")</f>
        <v/>
      </c>
      <c r="U304" t="str">
        <f>IF(S304=1,COUNTIFS($S$4:$S$503,1,$T$4:$T$503,"&gt;"&amp;T304)+COUNTIFS($S$4:S304,1,$T$4:T304,T304),"")</f>
        <v/>
      </c>
      <c r="V304" t="str">
        <f>IF(D304=1,MIN(INDEX($R$4:$R$503,MATCH(G304,$G$4:$G$503,0)),IF($AL$7&gt;9,9,999)),"")</f>
        <v/>
      </c>
      <c r="W304" s="166">
        <f>IF(OR($I304="",$E304=0),0,IF(OR($J304&lt;W$3,$I304&gt;W$2),0,IF($K304=0,IF(AND($I304&gt;=W$3,$I304&lt;=W$2),$E304,0),$E304*NETWORKDAYS(MAX($I304,W$3),MIN($J304,W$2),Data!$K$4:$K$203)/$K304)))</f>
        <v>0</v>
      </c>
      <c r="X304" s="166">
        <f>IF(OR($I304="",$E304=0),0,IF(OR($J304&lt;X$3,$I304&gt;X$2),0,IF($K304=0,IF(AND($I304&gt;=X$3,$I304&lt;=X$2),$E304,0),$E304*NETWORKDAYS(MAX($I304,X$3),MIN($J304,X$2),Data!$K$4:$K$203)/$K304)))</f>
        <v>0</v>
      </c>
      <c r="Y304" s="166">
        <f>IF(OR($I304="",$E304=0),0,IF(OR($J304&lt;Y$3,$I304&gt;Y$2),0,IF($K304=0,IF(AND($I304&gt;=Y$3,$I304&lt;=Y$2),$E304,0),$E304*NETWORKDAYS(MAX($I304,Y$3),MIN($J304,Y$2),Data!$K$4:$K$203)/$K304)))</f>
        <v>0</v>
      </c>
      <c r="Z304" s="166">
        <f>IF(OR($I304="",$E304=0),0,IF(OR($J304&lt;Z$3,$I304&gt;Z$2),0,IF($K304=0,IF(AND($I304&gt;=Z$3,$I304&lt;=Z$2),$E304,0),$E304*NETWORKDAYS(MAX($I304,Z$3),MIN($J304,Z$2),Data!$K$4:$K$203)/$K304)))</f>
        <v>0</v>
      </c>
      <c r="AA304" s="166">
        <f>IF(OR($I304="",$E304=0),0,IF(OR($J304&lt;AA$3,$I304&gt;AA$2),0,IF($K304=0,IF(AND($I304&gt;=AA$3,$I304&lt;=AA$2),$E304,0),$E304*NETWORKDAYS(MAX($I304,AA$3),MIN($J304,AA$2),Data!$K$4:$K$203)/$K304)))</f>
        <v>0</v>
      </c>
      <c r="AB304" s="166">
        <f>IF(OR($I304="",$E304=0),0,IF(OR($J304&lt;AB$3,$I304&gt;AB$2),0,IF($K304=0,IF(AND($I304&gt;=AB$3,$I304&lt;=AB$2),$E304,0),$E304*NETWORKDAYS(MAX($I304,AB$3),MIN($J304,AB$2),Data!$K$4:$K$203)/$K304)))</f>
        <v>0</v>
      </c>
      <c r="AC304" s="166">
        <f>IF(OR($I304="",$E304=0),0,IF(OR($J304&lt;AC$3,$I304&gt;AC$2),0,IF($K304=0,IF(AND($I304&gt;=AC$3,$I304&lt;=AC$2),$E304,0),$E304*NETWORKDAYS(MAX($I304,AC$3),MIN($J304,AC$2),Data!$K$4:$K$203)/$K304)))</f>
        <v>0</v>
      </c>
      <c r="AD304" s="166">
        <f>IF(OR($I304="",$E304=0),0,IF(OR($J304&lt;AD$3,$I304&gt;AD$2),0,IF($K304=0,IF(AND($I304&gt;=AD$3,$I304&lt;=AD$2),$E304,0),$E304*NETWORKDAYS(MAX($I304,AD$3),MIN($J304,AD$2),Data!$K$4:$K$203)/$K304)))</f>
        <v>0</v>
      </c>
      <c r="AE304" s="166">
        <f>IF(OR($I304="",$E304=0),0,IF(OR($J304&lt;AE$3,$I304&gt;AE$2),0,IF($K304=0,IF(AND($I304&gt;=AE$3,$I304&lt;=AE$2),$E304,0),$E304*NETWORKDAYS(MAX($I304,AE$3),MIN($J304,AE$2),Data!$K$4:$K$203)/$K304)))</f>
        <v>0</v>
      </c>
      <c r="AF304" s="166">
        <f>IF(OR($I304="",$E304=0),0,IF(OR($J304&lt;AF$3,$I304&gt;AF$2),0,IF($K304=0,IF(AND($I304&gt;=AF$3,$I304&lt;=AF$2),$E304,0),$E304*NETWORKDAYS(MAX($I304,AF$3),MIN($J304,AF$2),Data!$K$4:$K$203)/$K304)))</f>
        <v>0</v>
      </c>
      <c r="AG304" s="166">
        <f>IF(OR($I304="",$E304=0),0,IF(OR($J304&lt;AG$3,$I304&gt;AG$2),0,IF($K304=0,IF(AND($I304&gt;=AG$3,$I304&lt;=AG$2),$E304,0),$E304*NETWORKDAYS(MAX($I304,AG$3),MIN($J304,AG$2),Data!$K$4:$K$203)/$K304)))</f>
        <v>0</v>
      </c>
      <c r="AH304" s="166">
        <f>IF(OR($I304="",$E304=0),0,IF(OR($J304&lt;AH$3,$I304&gt;AH$2),0,IF($K304=0,IF(AND($I304&gt;=AH$3,$I304&lt;=AH$2),$E304,0),$E304*NETWORKDAYS(MAX($I304,AH$3),MIN($J304,AH$2),Data!$K$4:$K$203)/$K304)))</f>
        <v>0</v>
      </c>
      <c r="AI304" s="166">
        <f>SUM(W304:AH304)</f>
        <v>0</v>
      </c>
      <c r="BZ304" t="str">
        <f>IF(D304=1,IF(TRIM(INDEX(Charge!$K:$K,ROW()))&lt;&gt;"",TRIM(INDEX(Charge!$K:$K,ROW())),IF(TRIM(INDEX(Charge!$L:$L,ROW()))&lt;&gt;"",TRIM(INDEX(Charge!$L:$L,ROW())),"(non affecté)")),"")</f>
        <v/>
      </c>
      <c r="CA304" t="str">
        <f>IF(AND($CD$4&lt;&gt;"",BZ304=$CD$4),COUNTIFS($BZ$4:$BZ$503,$CD$4,$L$4:$L$503,"&lt;"&amp;L304)+1,"")</f>
        <v/>
      </c>
      <c r="EM304" t="str">
        <f>IF(D304=1,IF(TRIM(INDEX(Charge!$K:$K,ROW()))&lt;&gt;"","Interne",IF(TRIM(INDEX(Charge!$L:$L,ROW()))&lt;&gt;"","Externe","Non affecté")),"")</f>
        <v/>
      </c>
      <c r="EN304" t="str">
        <f>IF(D304=1,LEFT(SUBSTITUTE(SUBSTITUTE(SUBSTITUTE(TRIM(SUBSTITUTE(INDEX(Charge!$B:$B,ROW()),CHAR(160)," "))&amp;" | "&amp;TRIM(SUBSTITUTE(INDEX(Charge!$C:$C,ROW()),CHAR(160)," "))&amp;" | "&amp;TRIM(SUBSTITUTE(INDEX(Charge!$D:$D,ROW()),CHAR(160)," ")),"~","-"),"*","+"),"?","!"),240),"")</f>
        <v/>
      </c>
      <c r="EO304">
        <f>IF(EN304="",0,IF(COUNTIF($EN$4:EN304,EN304)=1,1,0))</f>
        <v>0</v>
      </c>
      <c r="EP304" s="166" t="str">
        <f>IF(EO304=1,ROUND(SUMIF($EN$4:$EN$503,EN304,$E$4:$E$503),2),"")</f>
        <v/>
      </c>
      <c r="EQ304" t="str">
        <f>IF(EO304=1,COUNTIFS($EO$4:$EO$503,1,$EP$4:$EP$503,"&gt;"&amp;EP304)+COUNTIFS($EO$4:EO304,1,$EP$4:EP304,EP304),"")</f>
        <v/>
      </c>
      <c r="ER304" t="str">
        <f>IF(EO304=1,COUNTIFS($EN$4:$EN$503,EN304,$EM$4:$EM$503,"Interne",$FE$4:$FE$503,1),"")</f>
        <v/>
      </c>
      <c r="ES304" t="str">
        <f>IF(EO304=1,COUNTIFS($EN$4:$EN$503,EN304,$EM$4:$EM$503,"Externe",$FE$4:$FE$503,1),"")</f>
        <v/>
      </c>
      <c r="ET304" t="str">
        <f>IF(EO304=1,IF(ER304+ES304=0,"à affecter",IF(ER304=0,ES304&amp;" ext.",(ER304+ES304)&amp;IF(ES304&gt;0," dont "&amp;ES304&amp;" ext.",""))&amp;IF(COUNTIFS($EN$4:$EN$503,EN304,$EM$4:$EM$503,"Non affecté")&gt;0," + à affecter","")),"")</f>
        <v/>
      </c>
      <c r="EU304" s="170" t="str">
        <f>IF(EO304=1,IF(EP304&gt;0,SUMPRODUCT(($EN$4:$EN$503=EN304)*$E$4:$E$503*$C$4:$C$503)/EP304,AVERAGEIF($EN$4:$EN$503,EN304,$C$4:$C$503)),"")</f>
        <v/>
      </c>
      <c r="EV304" s="165">
        <f>IF(ISNUMBER(I304),I304,2958465)</f>
        <v>2958465.0</v>
      </c>
      <c r="EW304" s="165" t="str">
        <f>IF(EO304=1,SUMPRODUCT(MIN(($EN$4:$EN$503=EN304)*$EV$4:$EV$503+($EN$4:$EN$503&lt;&gt;EN304)*2958465)),"")</f>
        <v/>
      </c>
      <c r="EX304" s="165">
        <f>IF(AND(D304=1,ISNUMBER(INDEX(Charge!$F:$F,ROW()))),INDEX(Charge!$F:$F,ROW()),0)</f>
        <v>0.0</v>
      </c>
      <c r="EY304" s="165" t="str">
        <f>IF(EO304=1,SUMPRODUCT(MAX(($EN$4:$EN$503=EN304)*$EX$4:$EX$503)),"")</f>
        <v/>
      </c>
      <c r="FA304" t="str">
        <f>IF(301&lt;=$CD$23,INDEX($EJ$4:$EJ$203,301),IF(301-$CD$23&lt;=$CD$26,INDEX($EK$4:$EK$203,301-$CD$23),""))</f>
        <v/>
      </c>
      <c r="FB304" t="str">
        <f>IF(FA304="","",IF(301&lt;=$CD$23,"Interne","Externe"))</f>
        <v/>
      </c>
      <c r="FD304">
        <f>IF(AND(B304=1,TRIM(INDEX(Charge!$K:$K,ROW()))&lt;&gt;"",TRIM(INDEX(Charge!$L:$L,ROW()))&lt;&gt;""),1,0)</f>
        <v>0</v>
      </c>
      <c r="FE304">
        <f>IF(OR(EN304="",BZ304="(non affecté)"),0,IF(COUNTIFS($EN$4:EN304,EN304,$BZ$4:BZ304,BZ304)=1,1,0))</f>
        <v>0</v>
      </c>
    </row>
    <row r="305">
      <c r="A305">
        <f>ROW()</f>
        <v>305</v>
      </c>
      <c r="B305">
        <f>IF(TRIM(INDEX(Charge!$B:$B,ROW()))&lt;&gt;"",1,0)</f>
        <v>0</v>
      </c>
      <c r="C305">
        <f>IF(B305=1,MIN(1,MAX(0,N(INDEX(Charge!$O:$O,ROW())))),0)</f>
        <v>0</v>
      </c>
      <c r="D305">
        <f>IF(B305=1,IF(OR(p_Perimetre="Tous les projets",C305&lt;1),1,0),0)</f>
        <v>0</v>
      </c>
      <c r="E305">
        <f>IF(D305=1,MAX(0,N(INDEX(Charge!$M:$M,ROW()))),0)</f>
        <v>0</v>
      </c>
      <c r="F305" t="str">
        <f>IF(D305=1,IF(TRIM(INDEX(Charge!$A:$A,ROW()))="","(non renseigné)",TRIM(INDEX(Charge!$A:$A,ROW()))),"")</f>
        <v/>
      </c>
      <c r="G305" t="str">
        <f>IF(D305=1,TRIM(INDEX(Charge!$B:$B,ROW())),"")</f>
        <v/>
      </c>
      <c r="H305" t="str">
        <f>IF(D305=1,IF(TRIM(INDEX(Charge!$E:$E,ROW()))="","(non renseigné)",TRIM(INDEX(Charge!$E:$E,ROW()))),"")</f>
        <v/>
      </c>
      <c r="I305" s="165" t="str">
        <f>IF(AND(D305=1,ISNUMBER(INDEX(Charge!$N:$N,ROW()))),INDEX(Charge!$N:$N,ROW()),"")</f>
        <v/>
      </c>
      <c r="J305" s="165" t="str">
        <f>IF(I305="","",IF(AND(p_Repartition="Lissée jusqu'à la date de besoin",ISNUMBER(INDEX(Charge!$F:$F,ROW()))),IF(INDEX(Charge!$F:$F,ROW())&gt;=I305,INDEX(Charge!$F:$F,ROW()),I305),I305))</f>
        <v/>
      </c>
      <c r="K305" t="str">
        <f>IF(I305="","",NETWORKDAYS(I305,J305,Data!$K$4:$K$203))</f>
        <v/>
      </c>
      <c r="L305" t="str">
        <f>IF(D305=1,COUNTIFS($D$4:$D$503,1,$E$4:$E$503,"&gt;"&amp;E305)+COUNTIFS($D$4:$D305,1,$E$4:$E305,E305),"")</f>
        <v/>
      </c>
      <c r="M305">
        <f>IF(F305="",0,IF(COUNTIF($F$4:F305,F305)=1,1,0))</f>
        <v>0</v>
      </c>
      <c r="N305" t="str">
        <f>IF(M305=1,ROUND(SUMIF($F$4:$F$503,F305,$E$4:$E$503),2),"")</f>
        <v/>
      </c>
      <c r="O305" t="str">
        <f>IF(M305=1,COUNTIFS($M$4:$M$503,1,$N$4:$N$503,"&gt;"&amp;N305)+COUNTIFS($M$4:M305,1,$N$4:N305,N305),"")</f>
        <v/>
      </c>
      <c r="P305">
        <f>IF(G305="",0,IF(COUNTIF($G$4:G305,G305)=1,1,0))</f>
        <v>0</v>
      </c>
      <c r="Q305" t="str">
        <f>IF(P305=1,ROUND(SUMIF($G$4:$G$503,G305,$E$4:$E$503),2),"")</f>
        <v/>
      </c>
      <c r="R305" t="str">
        <f>IF(P305=1,COUNTIFS($P$4:$P$503,1,$Q$4:$Q$503,"&gt;"&amp;Q305)+COUNTIFS($P$4:P305,1,$Q$4:Q305,Q305),"")</f>
        <v/>
      </c>
      <c r="S305">
        <f>IF(H305="",0,IF(COUNTIF($H$4:H305,H305)=1,1,0))</f>
        <v>0</v>
      </c>
      <c r="T305" t="str">
        <f>IF(S305=1,ROUND(SUMIF($H$4:$H$503,H305,$E$4:$E$503),2),"")</f>
        <v/>
      </c>
      <c r="U305" t="str">
        <f>IF(S305=1,COUNTIFS($S$4:$S$503,1,$T$4:$T$503,"&gt;"&amp;T305)+COUNTIFS($S$4:S305,1,$T$4:T305,T305),"")</f>
        <v/>
      </c>
      <c r="V305" t="str">
        <f>IF(D305=1,MIN(INDEX($R$4:$R$503,MATCH(G305,$G$4:$G$503,0)),IF($AL$7&gt;9,9,999)),"")</f>
        <v/>
      </c>
      <c r="W305" s="166">
        <f>IF(OR($I305="",$E305=0),0,IF(OR($J305&lt;W$3,$I305&gt;W$2),0,IF($K305=0,IF(AND($I305&gt;=W$3,$I305&lt;=W$2),$E305,0),$E305*NETWORKDAYS(MAX($I305,W$3),MIN($J305,W$2),Data!$K$4:$K$203)/$K305)))</f>
        <v>0</v>
      </c>
      <c r="X305" s="166">
        <f>IF(OR($I305="",$E305=0),0,IF(OR($J305&lt;X$3,$I305&gt;X$2),0,IF($K305=0,IF(AND($I305&gt;=X$3,$I305&lt;=X$2),$E305,0),$E305*NETWORKDAYS(MAX($I305,X$3),MIN($J305,X$2),Data!$K$4:$K$203)/$K305)))</f>
        <v>0</v>
      </c>
      <c r="Y305" s="166">
        <f>IF(OR($I305="",$E305=0),0,IF(OR($J305&lt;Y$3,$I305&gt;Y$2),0,IF($K305=0,IF(AND($I305&gt;=Y$3,$I305&lt;=Y$2),$E305,0),$E305*NETWORKDAYS(MAX($I305,Y$3),MIN($J305,Y$2),Data!$K$4:$K$203)/$K305)))</f>
        <v>0</v>
      </c>
      <c r="Z305" s="166">
        <f>IF(OR($I305="",$E305=0),0,IF(OR($J305&lt;Z$3,$I305&gt;Z$2),0,IF($K305=0,IF(AND($I305&gt;=Z$3,$I305&lt;=Z$2),$E305,0),$E305*NETWORKDAYS(MAX($I305,Z$3),MIN($J305,Z$2),Data!$K$4:$K$203)/$K305)))</f>
        <v>0</v>
      </c>
      <c r="AA305" s="166">
        <f>IF(OR($I305="",$E305=0),0,IF(OR($J305&lt;AA$3,$I305&gt;AA$2),0,IF($K305=0,IF(AND($I305&gt;=AA$3,$I305&lt;=AA$2),$E305,0),$E305*NETWORKDAYS(MAX($I305,AA$3),MIN($J305,AA$2),Data!$K$4:$K$203)/$K305)))</f>
        <v>0</v>
      </c>
      <c r="AB305" s="166">
        <f>IF(OR($I305="",$E305=0),0,IF(OR($J305&lt;AB$3,$I305&gt;AB$2),0,IF($K305=0,IF(AND($I305&gt;=AB$3,$I305&lt;=AB$2),$E305,0),$E305*NETWORKDAYS(MAX($I305,AB$3),MIN($J305,AB$2),Data!$K$4:$K$203)/$K305)))</f>
        <v>0</v>
      </c>
      <c r="AC305" s="166">
        <f>IF(OR($I305="",$E305=0),0,IF(OR($J305&lt;AC$3,$I305&gt;AC$2),0,IF($K305=0,IF(AND($I305&gt;=AC$3,$I305&lt;=AC$2),$E305,0),$E305*NETWORKDAYS(MAX($I305,AC$3),MIN($J305,AC$2),Data!$K$4:$K$203)/$K305)))</f>
        <v>0</v>
      </c>
      <c r="AD305" s="166">
        <f>IF(OR($I305="",$E305=0),0,IF(OR($J305&lt;AD$3,$I305&gt;AD$2),0,IF($K305=0,IF(AND($I305&gt;=AD$3,$I305&lt;=AD$2),$E305,0),$E305*NETWORKDAYS(MAX($I305,AD$3),MIN($J305,AD$2),Data!$K$4:$K$203)/$K305)))</f>
        <v>0</v>
      </c>
      <c r="AE305" s="166">
        <f>IF(OR($I305="",$E305=0),0,IF(OR($J305&lt;AE$3,$I305&gt;AE$2),0,IF($K305=0,IF(AND($I305&gt;=AE$3,$I305&lt;=AE$2),$E305,0),$E305*NETWORKDAYS(MAX($I305,AE$3),MIN($J305,AE$2),Data!$K$4:$K$203)/$K305)))</f>
        <v>0</v>
      </c>
      <c r="AF305" s="166">
        <f>IF(OR($I305="",$E305=0),0,IF(OR($J305&lt;AF$3,$I305&gt;AF$2),0,IF($K305=0,IF(AND($I305&gt;=AF$3,$I305&lt;=AF$2),$E305,0),$E305*NETWORKDAYS(MAX($I305,AF$3),MIN($J305,AF$2),Data!$K$4:$K$203)/$K305)))</f>
        <v>0</v>
      </c>
      <c r="AG305" s="166">
        <f>IF(OR($I305="",$E305=0),0,IF(OR($J305&lt;AG$3,$I305&gt;AG$2),0,IF($K305=0,IF(AND($I305&gt;=AG$3,$I305&lt;=AG$2),$E305,0),$E305*NETWORKDAYS(MAX($I305,AG$3),MIN($J305,AG$2),Data!$K$4:$K$203)/$K305)))</f>
        <v>0</v>
      </c>
      <c r="AH305" s="166">
        <f>IF(OR($I305="",$E305=0),0,IF(OR($J305&lt;AH$3,$I305&gt;AH$2),0,IF($K305=0,IF(AND($I305&gt;=AH$3,$I305&lt;=AH$2),$E305,0),$E305*NETWORKDAYS(MAX($I305,AH$3),MIN($J305,AH$2),Data!$K$4:$K$203)/$K305)))</f>
        <v>0</v>
      </c>
      <c r="AI305" s="166">
        <f>SUM(W305:AH305)</f>
        <v>0</v>
      </c>
      <c r="BZ305" t="str">
        <f>IF(D305=1,IF(TRIM(INDEX(Charge!$K:$K,ROW()))&lt;&gt;"",TRIM(INDEX(Charge!$K:$K,ROW())),IF(TRIM(INDEX(Charge!$L:$L,ROW()))&lt;&gt;"",TRIM(INDEX(Charge!$L:$L,ROW())),"(non affecté)")),"")</f>
        <v/>
      </c>
      <c r="CA305" t="str">
        <f>IF(AND($CD$4&lt;&gt;"",BZ305=$CD$4),COUNTIFS($BZ$4:$BZ$503,$CD$4,$L$4:$L$503,"&lt;"&amp;L305)+1,"")</f>
        <v/>
      </c>
      <c r="EM305" t="str">
        <f>IF(D305=1,IF(TRIM(INDEX(Charge!$K:$K,ROW()))&lt;&gt;"","Interne",IF(TRIM(INDEX(Charge!$L:$L,ROW()))&lt;&gt;"","Externe","Non affecté")),"")</f>
        <v/>
      </c>
      <c r="EN305" t="str">
        <f>IF(D305=1,LEFT(SUBSTITUTE(SUBSTITUTE(SUBSTITUTE(TRIM(SUBSTITUTE(INDEX(Charge!$B:$B,ROW()),CHAR(160)," "))&amp;" | "&amp;TRIM(SUBSTITUTE(INDEX(Charge!$C:$C,ROW()),CHAR(160)," "))&amp;" | "&amp;TRIM(SUBSTITUTE(INDEX(Charge!$D:$D,ROW()),CHAR(160)," ")),"~","-"),"*","+"),"?","!"),240),"")</f>
        <v/>
      </c>
      <c r="EO305">
        <f>IF(EN305="",0,IF(COUNTIF($EN$4:EN305,EN305)=1,1,0))</f>
        <v>0</v>
      </c>
      <c r="EP305" s="166" t="str">
        <f>IF(EO305=1,ROUND(SUMIF($EN$4:$EN$503,EN305,$E$4:$E$503),2),"")</f>
        <v/>
      </c>
      <c r="EQ305" t="str">
        <f>IF(EO305=1,COUNTIFS($EO$4:$EO$503,1,$EP$4:$EP$503,"&gt;"&amp;EP305)+COUNTIFS($EO$4:EO305,1,$EP$4:EP305,EP305),"")</f>
        <v/>
      </c>
      <c r="ER305" t="str">
        <f>IF(EO305=1,COUNTIFS($EN$4:$EN$503,EN305,$EM$4:$EM$503,"Interne",$FE$4:$FE$503,1),"")</f>
        <v/>
      </c>
      <c r="ES305" t="str">
        <f>IF(EO305=1,COUNTIFS($EN$4:$EN$503,EN305,$EM$4:$EM$503,"Externe",$FE$4:$FE$503,1),"")</f>
        <v/>
      </c>
      <c r="ET305" t="str">
        <f>IF(EO305=1,IF(ER305+ES305=0,"à affecter",IF(ER305=0,ES305&amp;" ext.",(ER305+ES305)&amp;IF(ES305&gt;0," dont "&amp;ES305&amp;" ext.",""))&amp;IF(COUNTIFS($EN$4:$EN$503,EN305,$EM$4:$EM$503,"Non affecté")&gt;0," + à affecter","")),"")</f>
        <v/>
      </c>
      <c r="EU305" s="170" t="str">
        <f>IF(EO305=1,IF(EP305&gt;0,SUMPRODUCT(($EN$4:$EN$503=EN305)*$E$4:$E$503*$C$4:$C$503)/EP305,AVERAGEIF($EN$4:$EN$503,EN305,$C$4:$C$503)),"")</f>
        <v/>
      </c>
      <c r="EV305" s="165">
        <f>IF(ISNUMBER(I305),I305,2958465)</f>
        <v>2958465.0</v>
      </c>
      <c r="EW305" s="165" t="str">
        <f>IF(EO305=1,SUMPRODUCT(MIN(($EN$4:$EN$503=EN305)*$EV$4:$EV$503+($EN$4:$EN$503&lt;&gt;EN305)*2958465)),"")</f>
        <v/>
      </c>
      <c r="EX305" s="165">
        <f>IF(AND(D305=1,ISNUMBER(INDEX(Charge!$F:$F,ROW()))),INDEX(Charge!$F:$F,ROW()),0)</f>
        <v>0.0</v>
      </c>
      <c r="EY305" s="165" t="str">
        <f>IF(EO305=1,SUMPRODUCT(MAX(($EN$4:$EN$503=EN305)*$EX$4:$EX$503)),"")</f>
        <v/>
      </c>
      <c r="FA305" t="str">
        <f>IF(302&lt;=$CD$23,INDEX($EJ$4:$EJ$203,302),IF(302-$CD$23&lt;=$CD$26,INDEX($EK$4:$EK$203,302-$CD$23),""))</f>
        <v/>
      </c>
      <c r="FB305" t="str">
        <f>IF(FA305="","",IF(302&lt;=$CD$23,"Interne","Externe"))</f>
        <v/>
      </c>
      <c r="FD305">
        <f>IF(AND(B305=1,TRIM(INDEX(Charge!$K:$K,ROW()))&lt;&gt;"",TRIM(INDEX(Charge!$L:$L,ROW()))&lt;&gt;""),1,0)</f>
        <v>0</v>
      </c>
      <c r="FE305">
        <f>IF(OR(EN305="",BZ305="(non affecté)"),0,IF(COUNTIFS($EN$4:EN305,EN305,$BZ$4:BZ305,BZ305)=1,1,0))</f>
        <v>0</v>
      </c>
    </row>
    <row r="306">
      <c r="A306">
        <f>ROW()</f>
        <v>306</v>
      </c>
      <c r="B306">
        <f>IF(TRIM(INDEX(Charge!$B:$B,ROW()))&lt;&gt;"",1,0)</f>
        <v>0</v>
      </c>
      <c r="C306">
        <f>IF(B306=1,MIN(1,MAX(0,N(INDEX(Charge!$O:$O,ROW())))),0)</f>
        <v>0</v>
      </c>
      <c r="D306">
        <f>IF(B306=1,IF(OR(p_Perimetre="Tous les projets",C306&lt;1),1,0),0)</f>
        <v>0</v>
      </c>
      <c r="E306">
        <f>IF(D306=1,MAX(0,N(INDEX(Charge!$M:$M,ROW()))),0)</f>
        <v>0</v>
      </c>
      <c r="F306" t="str">
        <f>IF(D306=1,IF(TRIM(INDEX(Charge!$A:$A,ROW()))="","(non renseigné)",TRIM(INDEX(Charge!$A:$A,ROW()))),"")</f>
        <v/>
      </c>
      <c r="G306" t="str">
        <f>IF(D306=1,TRIM(INDEX(Charge!$B:$B,ROW())),"")</f>
        <v/>
      </c>
      <c r="H306" t="str">
        <f>IF(D306=1,IF(TRIM(INDEX(Charge!$E:$E,ROW()))="","(non renseigné)",TRIM(INDEX(Charge!$E:$E,ROW()))),"")</f>
        <v/>
      </c>
      <c r="I306" s="165" t="str">
        <f>IF(AND(D306=1,ISNUMBER(INDEX(Charge!$N:$N,ROW()))),INDEX(Charge!$N:$N,ROW()),"")</f>
        <v/>
      </c>
      <c r="J306" s="165" t="str">
        <f>IF(I306="","",IF(AND(p_Repartition="Lissée jusqu'à la date de besoin",ISNUMBER(INDEX(Charge!$F:$F,ROW()))),IF(INDEX(Charge!$F:$F,ROW())&gt;=I306,INDEX(Charge!$F:$F,ROW()),I306),I306))</f>
        <v/>
      </c>
      <c r="K306" t="str">
        <f>IF(I306="","",NETWORKDAYS(I306,J306,Data!$K$4:$K$203))</f>
        <v/>
      </c>
      <c r="L306" t="str">
        <f>IF(D306=1,COUNTIFS($D$4:$D$503,1,$E$4:$E$503,"&gt;"&amp;E306)+COUNTIFS($D$4:$D306,1,$E$4:$E306,E306),"")</f>
        <v/>
      </c>
      <c r="M306">
        <f>IF(F306="",0,IF(COUNTIF($F$4:F306,F306)=1,1,0))</f>
        <v>0</v>
      </c>
      <c r="N306" t="str">
        <f>IF(M306=1,ROUND(SUMIF($F$4:$F$503,F306,$E$4:$E$503),2),"")</f>
        <v/>
      </c>
      <c r="O306" t="str">
        <f>IF(M306=1,COUNTIFS($M$4:$M$503,1,$N$4:$N$503,"&gt;"&amp;N306)+COUNTIFS($M$4:M306,1,$N$4:N306,N306),"")</f>
        <v/>
      </c>
      <c r="P306">
        <f>IF(G306="",0,IF(COUNTIF($G$4:G306,G306)=1,1,0))</f>
        <v>0</v>
      </c>
      <c r="Q306" t="str">
        <f>IF(P306=1,ROUND(SUMIF($G$4:$G$503,G306,$E$4:$E$503),2),"")</f>
        <v/>
      </c>
      <c r="R306" t="str">
        <f>IF(P306=1,COUNTIFS($P$4:$P$503,1,$Q$4:$Q$503,"&gt;"&amp;Q306)+COUNTIFS($P$4:P306,1,$Q$4:Q306,Q306),"")</f>
        <v/>
      </c>
      <c r="S306">
        <f>IF(H306="",0,IF(COUNTIF($H$4:H306,H306)=1,1,0))</f>
        <v>0</v>
      </c>
      <c r="T306" t="str">
        <f>IF(S306=1,ROUND(SUMIF($H$4:$H$503,H306,$E$4:$E$503),2),"")</f>
        <v/>
      </c>
      <c r="U306" t="str">
        <f>IF(S306=1,COUNTIFS($S$4:$S$503,1,$T$4:$T$503,"&gt;"&amp;T306)+COUNTIFS($S$4:S306,1,$T$4:T306,T306),"")</f>
        <v/>
      </c>
      <c r="V306" t="str">
        <f>IF(D306=1,MIN(INDEX($R$4:$R$503,MATCH(G306,$G$4:$G$503,0)),IF($AL$7&gt;9,9,999)),"")</f>
        <v/>
      </c>
      <c r="W306" s="166">
        <f>IF(OR($I306="",$E306=0),0,IF(OR($J306&lt;W$3,$I306&gt;W$2),0,IF($K306=0,IF(AND($I306&gt;=W$3,$I306&lt;=W$2),$E306,0),$E306*NETWORKDAYS(MAX($I306,W$3),MIN($J306,W$2),Data!$K$4:$K$203)/$K306)))</f>
        <v>0</v>
      </c>
      <c r="X306" s="166">
        <f>IF(OR($I306="",$E306=0),0,IF(OR($J306&lt;X$3,$I306&gt;X$2),0,IF($K306=0,IF(AND($I306&gt;=X$3,$I306&lt;=X$2),$E306,0),$E306*NETWORKDAYS(MAX($I306,X$3),MIN($J306,X$2),Data!$K$4:$K$203)/$K306)))</f>
        <v>0</v>
      </c>
      <c r="Y306" s="166">
        <f>IF(OR($I306="",$E306=0),0,IF(OR($J306&lt;Y$3,$I306&gt;Y$2),0,IF($K306=0,IF(AND($I306&gt;=Y$3,$I306&lt;=Y$2),$E306,0),$E306*NETWORKDAYS(MAX($I306,Y$3),MIN($J306,Y$2),Data!$K$4:$K$203)/$K306)))</f>
        <v>0</v>
      </c>
      <c r="Z306" s="166">
        <f>IF(OR($I306="",$E306=0),0,IF(OR($J306&lt;Z$3,$I306&gt;Z$2),0,IF($K306=0,IF(AND($I306&gt;=Z$3,$I306&lt;=Z$2),$E306,0),$E306*NETWORKDAYS(MAX($I306,Z$3),MIN($J306,Z$2),Data!$K$4:$K$203)/$K306)))</f>
        <v>0</v>
      </c>
      <c r="AA306" s="166">
        <f>IF(OR($I306="",$E306=0),0,IF(OR($J306&lt;AA$3,$I306&gt;AA$2),0,IF($K306=0,IF(AND($I306&gt;=AA$3,$I306&lt;=AA$2),$E306,0),$E306*NETWORKDAYS(MAX($I306,AA$3),MIN($J306,AA$2),Data!$K$4:$K$203)/$K306)))</f>
        <v>0</v>
      </c>
      <c r="AB306" s="166">
        <f>IF(OR($I306="",$E306=0),0,IF(OR($J306&lt;AB$3,$I306&gt;AB$2),0,IF($K306=0,IF(AND($I306&gt;=AB$3,$I306&lt;=AB$2),$E306,0),$E306*NETWORKDAYS(MAX($I306,AB$3),MIN($J306,AB$2),Data!$K$4:$K$203)/$K306)))</f>
        <v>0</v>
      </c>
      <c r="AC306" s="166">
        <f>IF(OR($I306="",$E306=0),0,IF(OR($J306&lt;AC$3,$I306&gt;AC$2),0,IF($K306=0,IF(AND($I306&gt;=AC$3,$I306&lt;=AC$2),$E306,0),$E306*NETWORKDAYS(MAX($I306,AC$3),MIN($J306,AC$2),Data!$K$4:$K$203)/$K306)))</f>
        <v>0</v>
      </c>
      <c r="AD306" s="166">
        <f>IF(OR($I306="",$E306=0),0,IF(OR($J306&lt;AD$3,$I306&gt;AD$2),0,IF($K306=0,IF(AND($I306&gt;=AD$3,$I306&lt;=AD$2),$E306,0),$E306*NETWORKDAYS(MAX($I306,AD$3),MIN($J306,AD$2),Data!$K$4:$K$203)/$K306)))</f>
        <v>0</v>
      </c>
      <c r="AE306" s="166">
        <f>IF(OR($I306="",$E306=0),0,IF(OR($J306&lt;AE$3,$I306&gt;AE$2),0,IF($K306=0,IF(AND($I306&gt;=AE$3,$I306&lt;=AE$2),$E306,0),$E306*NETWORKDAYS(MAX($I306,AE$3),MIN($J306,AE$2),Data!$K$4:$K$203)/$K306)))</f>
        <v>0</v>
      </c>
      <c r="AF306" s="166">
        <f>IF(OR($I306="",$E306=0),0,IF(OR($J306&lt;AF$3,$I306&gt;AF$2),0,IF($K306=0,IF(AND($I306&gt;=AF$3,$I306&lt;=AF$2),$E306,0),$E306*NETWORKDAYS(MAX($I306,AF$3),MIN($J306,AF$2),Data!$K$4:$K$203)/$K306)))</f>
        <v>0</v>
      </c>
      <c r="AG306" s="166">
        <f>IF(OR($I306="",$E306=0),0,IF(OR($J306&lt;AG$3,$I306&gt;AG$2),0,IF($K306=0,IF(AND($I306&gt;=AG$3,$I306&lt;=AG$2),$E306,0),$E306*NETWORKDAYS(MAX($I306,AG$3),MIN($J306,AG$2),Data!$K$4:$K$203)/$K306)))</f>
        <v>0</v>
      </c>
      <c r="AH306" s="166">
        <f>IF(OR($I306="",$E306=0),0,IF(OR($J306&lt;AH$3,$I306&gt;AH$2),0,IF($K306=0,IF(AND($I306&gt;=AH$3,$I306&lt;=AH$2),$E306,0),$E306*NETWORKDAYS(MAX($I306,AH$3),MIN($J306,AH$2),Data!$K$4:$K$203)/$K306)))</f>
        <v>0</v>
      </c>
      <c r="AI306" s="166">
        <f>SUM(W306:AH306)</f>
        <v>0</v>
      </c>
      <c r="BZ306" t="str">
        <f>IF(D306=1,IF(TRIM(INDEX(Charge!$K:$K,ROW()))&lt;&gt;"",TRIM(INDEX(Charge!$K:$K,ROW())),IF(TRIM(INDEX(Charge!$L:$L,ROW()))&lt;&gt;"",TRIM(INDEX(Charge!$L:$L,ROW())),"(non affecté)")),"")</f>
        <v/>
      </c>
      <c r="CA306" t="str">
        <f>IF(AND($CD$4&lt;&gt;"",BZ306=$CD$4),COUNTIFS($BZ$4:$BZ$503,$CD$4,$L$4:$L$503,"&lt;"&amp;L306)+1,"")</f>
        <v/>
      </c>
      <c r="EM306" t="str">
        <f>IF(D306=1,IF(TRIM(INDEX(Charge!$K:$K,ROW()))&lt;&gt;"","Interne",IF(TRIM(INDEX(Charge!$L:$L,ROW()))&lt;&gt;"","Externe","Non affecté")),"")</f>
        <v/>
      </c>
      <c r="EN306" t="str">
        <f>IF(D306=1,LEFT(SUBSTITUTE(SUBSTITUTE(SUBSTITUTE(TRIM(SUBSTITUTE(INDEX(Charge!$B:$B,ROW()),CHAR(160)," "))&amp;" | "&amp;TRIM(SUBSTITUTE(INDEX(Charge!$C:$C,ROW()),CHAR(160)," "))&amp;" | "&amp;TRIM(SUBSTITUTE(INDEX(Charge!$D:$D,ROW()),CHAR(160)," ")),"~","-"),"*","+"),"?","!"),240),"")</f>
        <v/>
      </c>
      <c r="EO306">
        <f>IF(EN306="",0,IF(COUNTIF($EN$4:EN306,EN306)=1,1,0))</f>
        <v>0</v>
      </c>
      <c r="EP306" s="166" t="str">
        <f>IF(EO306=1,ROUND(SUMIF($EN$4:$EN$503,EN306,$E$4:$E$503),2),"")</f>
        <v/>
      </c>
      <c r="EQ306" t="str">
        <f>IF(EO306=1,COUNTIFS($EO$4:$EO$503,1,$EP$4:$EP$503,"&gt;"&amp;EP306)+COUNTIFS($EO$4:EO306,1,$EP$4:EP306,EP306),"")</f>
        <v/>
      </c>
      <c r="ER306" t="str">
        <f>IF(EO306=1,COUNTIFS($EN$4:$EN$503,EN306,$EM$4:$EM$503,"Interne",$FE$4:$FE$503,1),"")</f>
        <v/>
      </c>
      <c r="ES306" t="str">
        <f>IF(EO306=1,COUNTIFS($EN$4:$EN$503,EN306,$EM$4:$EM$503,"Externe",$FE$4:$FE$503,1),"")</f>
        <v/>
      </c>
      <c r="ET306" t="str">
        <f>IF(EO306=1,IF(ER306+ES306=0,"à affecter",IF(ER306=0,ES306&amp;" ext.",(ER306+ES306)&amp;IF(ES306&gt;0," dont "&amp;ES306&amp;" ext.",""))&amp;IF(COUNTIFS($EN$4:$EN$503,EN306,$EM$4:$EM$503,"Non affecté")&gt;0," + à affecter","")),"")</f>
        <v/>
      </c>
      <c r="EU306" s="170" t="str">
        <f>IF(EO306=1,IF(EP306&gt;0,SUMPRODUCT(($EN$4:$EN$503=EN306)*$E$4:$E$503*$C$4:$C$503)/EP306,AVERAGEIF($EN$4:$EN$503,EN306,$C$4:$C$503)),"")</f>
        <v/>
      </c>
      <c r="EV306" s="165">
        <f>IF(ISNUMBER(I306),I306,2958465)</f>
        <v>2958465.0</v>
      </c>
      <c r="EW306" s="165" t="str">
        <f>IF(EO306=1,SUMPRODUCT(MIN(($EN$4:$EN$503=EN306)*$EV$4:$EV$503+($EN$4:$EN$503&lt;&gt;EN306)*2958465)),"")</f>
        <v/>
      </c>
      <c r="EX306" s="165">
        <f>IF(AND(D306=1,ISNUMBER(INDEX(Charge!$F:$F,ROW()))),INDEX(Charge!$F:$F,ROW()),0)</f>
        <v>0.0</v>
      </c>
      <c r="EY306" s="165" t="str">
        <f>IF(EO306=1,SUMPRODUCT(MAX(($EN$4:$EN$503=EN306)*$EX$4:$EX$503)),"")</f>
        <v/>
      </c>
      <c r="FA306" t="str">
        <f>IF(303&lt;=$CD$23,INDEX($EJ$4:$EJ$203,303),IF(303-$CD$23&lt;=$CD$26,INDEX($EK$4:$EK$203,303-$CD$23),""))</f>
        <v/>
      </c>
      <c r="FB306" t="str">
        <f>IF(FA306="","",IF(303&lt;=$CD$23,"Interne","Externe"))</f>
        <v/>
      </c>
      <c r="FD306">
        <f>IF(AND(B306=1,TRIM(INDEX(Charge!$K:$K,ROW()))&lt;&gt;"",TRIM(INDEX(Charge!$L:$L,ROW()))&lt;&gt;""),1,0)</f>
        <v>0</v>
      </c>
      <c r="FE306">
        <f>IF(OR(EN306="",BZ306="(non affecté)"),0,IF(COUNTIFS($EN$4:EN306,EN306,$BZ$4:BZ306,BZ306)=1,1,0))</f>
        <v>0</v>
      </c>
    </row>
    <row r="307">
      <c r="A307">
        <f>ROW()</f>
        <v>307</v>
      </c>
      <c r="B307">
        <f>IF(TRIM(INDEX(Charge!$B:$B,ROW()))&lt;&gt;"",1,0)</f>
        <v>0</v>
      </c>
      <c r="C307">
        <f>IF(B307=1,MIN(1,MAX(0,N(INDEX(Charge!$O:$O,ROW())))),0)</f>
        <v>0</v>
      </c>
      <c r="D307">
        <f>IF(B307=1,IF(OR(p_Perimetre="Tous les projets",C307&lt;1),1,0),0)</f>
        <v>0</v>
      </c>
      <c r="E307">
        <f>IF(D307=1,MAX(0,N(INDEX(Charge!$M:$M,ROW()))),0)</f>
        <v>0</v>
      </c>
      <c r="F307" t="str">
        <f>IF(D307=1,IF(TRIM(INDEX(Charge!$A:$A,ROW()))="","(non renseigné)",TRIM(INDEX(Charge!$A:$A,ROW()))),"")</f>
        <v/>
      </c>
      <c r="G307" t="str">
        <f>IF(D307=1,TRIM(INDEX(Charge!$B:$B,ROW())),"")</f>
        <v/>
      </c>
      <c r="H307" t="str">
        <f>IF(D307=1,IF(TRIM(INDEX(Charge!$E:$E,ROW()))="","(non renseigné)",TRIM(INDEX(Charge!$E:$E,ROW()))),"")</f>
        <v/>
      </c>
      <c r="I307" s="165" t="str">
        <f>IF(AND(D307=1,ISNUMBER(INDEX(Charge!$N:$N,ROW()))),INDEX(Charge!$N:$N,ROW()),"")</f>
        <v/>
      </c>
      <c r="J307" s="165" t="str">
        <f>IF(I307="","",IF(AND(p_Repartition="Lissée jusqu'à la date de besoin",ISNUMBER(INDEX(Charge!$F:$F,ROW()))),IF(INDEX(Charge!$F:$F,ROW())&gt;=I307,INDEX(Charge!$F:$F,ROW()),I307),I307))</f>
        <v/>
      </c>
      <c r="K307" t="str">
        <f>IF(I307="","",NETWORKDAYS(I307,J307,Data!$K$4:$K$203))</f>
        <v/>
      </c>
      <c r="L307" t="str">
        <f>IF(D307=1,COUNTIFS($D$4:$D$503,1,$E$4:$E$503,"&gt;"&amp;E307)+COUNTIFS($D$4:$D307,1,$E$4:$E307,E307),"")</f>
        <v/>
      </c>
      <c r="M307">
        <f>IF(F307="",0,IF(COUNTIF($F$4:F307,F307)=1,1,0))</f>
        <v>0</v>
      </c>
      <c r="N307" t="str">
        <f>IF(M307=1,ROUND(SUMIF($F$4:$F$503,F307,$E$4:$E$503),2),"")</f>
        <v/>
      </c>
      <c r="O307" t="str">
        <f>IF(M307=1,COUNTIFS($M$4:$M$503,1,$N$4:$N$503,"&gt;"&amp;N307)+COUNTIFS($M$4:M307,1,$N$4:N307,N307),"")</f>
        <v/>
      </c>
      <c r="P307">
        <f>IF(G307="",0,IF(COUNTIF($G$4:G307,G307)=1,1,0))</f>
        <v>0</v>
      </c>
      <c r="Q307" t="str">
        <f>IF(P307=1,ROUND(SUMIF($G$4:$G$503,G307,$E$4:$E$503),2),"")</f>
        <v/>
      </c>
      <c r="R307" t="str">
        <f>IF(P307=1,COUNTIFS($P$4:$P$503,1,$Q$4:$Q$503,"&gt;"&amp;Q307)+COUNTIFS($P$4:P307,1,$Q$4:Q307,Q307),"")</f>
        <v/>
      </c>
      <c r="S307">
        <f>IF(H307="",0,IF(COUNTIF($H$4:H307,H307)=1,1,0))</f>
        <v>0</v>
      </c>
      <c r="T307" t="str">
        <f>IF(S307=1,ROUND(SUMIF($H$4:$H$503,H307,$E$4:$E$503),2),"")</f>
        <v/>
      </c>
      <c r="U307" t="str">
        <f>IF(S307=1,COUNTIFS($S$4:$S$503,1,$T$4:$T$503,"&gt;"&amp;T307)+COUNTIFS($S$4:S307,1,$T$4:T307,T307),"")</f>
        <v/>
      </c>
      <c r="V307" t="str">
        <f>IF(D307=1,MIN(INDEX($R$4:$R$503,MATCH(G307,$G$4:$G$503,0)),IF($AL$7&gt;9,9,999)),"")</f>
        <v/>
      </c>
      <c r="W307" s="166">
        <f>IF(OR($I307="",$E307=0),0,IF(OR($J307&lt;W$3,$I307&gt;W$2),0,IF($K307=0,IF(AND($I307&gt;=W$3,$I307&lt;=W$2),$E307,0),$E307*NETWORKDAYS(MAX($I307,W$3),MIN($J307,W$2),Data!$K$4:$K$203)/$K307)))</f>
        <v>0</v>
      </c>
      <c r="X307" s="166">
        <f>IF(OR($I307="",$E307=0),0,IF(OR($J307&lt;X$3,$I307&gt;X$2),0,IF($K307=0,IF(AND($I307&gt;=X$3,$I307&lt;=X$2),$E307,0),$E307*NETWORKDAYS(MAX($I307,X$3),MIN($J307,X$2),Data!$K$4:$K$203)/$K307)))</f>
        <v>0</v>
      </c>
      <c r="Y307" s="166">
        <f>IF(OR($I307="",$E307=0),0,IF(OR($J307&lt;Y$3,$I307&gt;Y$2),0,IF($K307=0,IF(AND($I307&gt;=Y$3,$I307&lt;=Y$2),$E307,0),$E307*NETWORKDAYS(MAX($I307,Y$3),MIN($J307,Y$2),Data!$K$4:$K$203)/$K307)))</f>
        <v>0</v>
      </c>
      <c r="Z307" s="166">
        <f>IF(OR($I307="",$E307=0),0,IF(OR($J307&lt;Z$3,$I307&gt;Z$2),0,IF($K307=0,IF(AND($I307&gt;=Z$3,$I307&lt;=Z$2),$E307,0),$E307*NETWORKDAYS(MAX($I307,Z$3),MIN($J307,Z$2),Data!$K$4:$K$203)/$K307)))</f>
        <v>0</v>
      </c>
      <c r="AA307" s="166">
        <f>IF(OR($I307="",$E307=0),0,IF(OR($J307&lt;AA$3,$I307&gt;AA$2),0,IF($K307=0,IF(AND($I307&gt;=AA$3,$I307&lt;=AA$2),$E307,0),$E307*NETWORKDAYS(MAX($I307,AA$3),MIN($J307,AA$2),Data!$K$4:$K$203)/$K307)))</f>
        <v>0</v>
      </c>
      <c r="AB307" s="166">
        <f>IF(OR($I307="",$E307=0),0,IF(OR($J307&lt;AB$3,$I307&gt;AB$2),0,IF($K307=0,IF(AND($I307&gt;=AB$3,$I307&lt;=AB$2),$E307,0),$E307*NETWORKDAYS(MAX($I307,AB$3),MIN($J307,AB$2),Data!$K$4:$K$203)/$K307)))</f>
        <v>0</v>
      </c>
      <c r="AC307" s="166">
        <f>IF(OR($I307="",$E307=0),0,IF(OR($J307&lt;AC$3,$I307&gt;AC$2),0,IF($K307=0,IF(AND($I307&gt;=AC$3,$I307&lt;=AC$2),$E307,0),$E307*NETWORKDAYS(MAX($I307,AC$3),MIN($J307,AC$2),Data!$K$4:$K$203)/$K307)))</f>
        <v>0</v>
      </c>
      <c r="AD307" s="166">
        <f>IF(OR($I307="",$E307=0),0,IF(OR($J307&lt;AD$3,$I307&gt;AD$2),0,IF($K307=0,IF(AND($I307&gt;=AD$3,$I307&lt;=AD$2),$E307,0),$E307*NETWORKDAYS(MAX($I307,AD$3),MIN($J307,AD$2),Data!$K$4:$K$203)/$K307)))</f>
        <v>0</v>
      </c>
      <c r="AE307" s="166">
        <f>IF(OR($I307="",$E307=0),0,IF(OR($J307&lt;AE$3,$I307&gt;AE$2),0,IF($K307=0,IF(AND($I307&gt;=AE$3,$I307&lt;=AE$2),$E307,0),$E307*NETWORKDAYS(MAX($I307,AE$3),MIN($J307,AE$2),Data!$K$4:$K$203)/$K307)))</f>
        <v>0</v>
      </c>
      <c r="AF307" s="166">
        <f>IF(OR($I307="",$E307=0),0,IF(OR($J307&lt;AF$3,$I307&gt;AF$2),0,IF($K307=0,IF(AND($I307&gt;=AF$3,$I307&lt;=AF$2),$E307,0),$E307*NETWORKDAYS(MAX($I307,AF$3),MIN($J307,AF$2),Data!$K$4:$K$203)/$K307)))</f>
        <v>0</v>
      </c>
      <c r="AG307" s="166">
        <f>IF(OR($I307="",$E307=0),0,IF(OR($J307&lt;AG$3,$I307&gt;AG$2),0,IF($K307=0,IF(AND($I307&gt;=AG$3,$I307&lt;=AG$2),$E307,0),$E307*NETWORKDAYS(MAX($I307,AG$3),MIN($J307,AG$2),Data!$K$4:$K$203)/$K307)))</f>
        <v>0</v>
      </c>
      <c r="AH307" s="166">
        <f>IF(OR($I307="",$E307=0),0,IF(OR($J307&lt;AH$3,$I307&gt;AH$2),0,IF($K307=0,IF(AND($I307&gt;=AH$3,$I307&lt;=AH$2),$E307,0),$E307*NETWORKDAYS(MAX($I307,AH$3),MIN($J307,AH$2),Data!$K$4:$K$203)/$K307)))</f>
        <v>0</v>
      </c>
      <c r="AI307" s="166">
        <f>SUM(W307:AH307)</f>
        <v>0</v>
      </c>
      <c r="BZ307" t="str">
        <f>IF(D307=1,IF(TRIM(INDEX(Charge!$K:$K,ROW()))&lt;&gt;"",TRIM(INDEX(Charge!$K:$K,ROW())),IF(TRIM(INDEX(Charge!$L:$L,ROW()))&lt;&gt;"",TRIM(INDEX(Charge!$L:$L,ROW())),"(non affecté)")),"")</f>
        <v/>
      </c>
      <c r="CA307" t="str">
        <f>IF(AND($CD$4&lt;&gt;"",BZ307=$CD$4),COUNTIFS($BZ$4:$BZ$503,$CD$4,$L$4:$L$503,"&lt;"&amp;L307)+1,"")</f>
        <v/>
      </c>
      <c r="EM307" t="str">
        <f>IF(D307=1,IF(TRIM(INDEX(Charge!$K:$K,ROW()))&lt;&gt;"","Interne",IF(TRIM(INDEX(Charge!$L:$L,ROW()))&lt;&gt;"","Externe","Non affecté")),"")</f>
        <v/>
      </c>
      <c r="EN307" t="str">
        <f>IF(D307=1,LEFT(SUBSTITUTE(SUBSTITUTE(SUBSTITUTE(TRIM(SUBSTITUTE(INDEX(Charge!$B:$B,ROW()),CHAR(160)," "))&amp;" | "&amp;TRIM(SUBSTITUTE(INDEX(Charge!$C:$C,ROW()),CHAR(160)," "))&amp;" | "&amp;TRIM(SUBSTITUTE(INDEX(Charge!$D:$D,ROW()),CHAR(160)," ")),"~","-"),"*","+"),"?","!"),240),"")</f>
        <v/>
      </c>
      <c r="EO307">
        <f>IF(EN307="",0,IF(COUNTIF($EN$4:EN307,EN307)=1,1,0))</f>
        <v>0</v>
      </c>
      <c r="EP307" s="166" t="str">
        <f>IF(EO307=1,ROUND(SUMIF($EN$4:$EN$503,EN307,$E$4:$E$503),2),"")</f>
        <v/>
      </c>
      <c r="EQ307" t="str">
        <f>IF(EO307=1,COUNTIFS($EO$4:$EO$503,1,$EP$4:$EP$503,"&gt;"&amp;EP307)+COUNTIFS($EO$4:EO307,1,$EP$4:EP307,EP307),"")</f>
        <v/>
      </c>
      <c r="ER307" t="str">
        <f>IF(EO307=1,COUNTIFS($EN$4:$EN$503,EN307,$EM$4:$EM$503,"Interne",$FE$4:$FE$503,1),"")</f>
        <v/>
      </c>
      <c r="ES307" t="str">
        <f>IF(EO307=1,COUNTIFS($EN$4:$EN$503,EN307,$EM$4:$EM$503,"Externe",$FE$4:$FE$503,1),"")</f>
        <v/>
      </c>
      <c r="ET307" t="str">
        <f>IF(EO307=1,IF(ER307+ES307=0,"à affecter",IF(ER307=0,ES307&amp;" ext.",(ER307+ES307)&amp;IF(ES307&gt;0," dont "&amp;ES307&amp;" ext.",""))&amp;IF(COUNTIFS($EN$4:$EN$503,EN307,$EM$4:$EM$503,"Non affecté")&gt;0," + à affecter","")),"")</f>
        <v/>
      </c>
      <c r="EU307" s="170" t="str">
        <f>IF(EO307=1,IF(EP307&gt;0,SUMPRODUCT(($EN$4:$EN$503=EN307)*$E$4:$E$503*$C$4:$C$503)/EP307,AVERAGEIF($EN$4:$EN$503,EN307,$C$4:$C$503)),"")</f>
        <v/>
      </c>
      <c r="EV307" s="165">
        <f>IF(ISNUMBER(I307),I307,2958465)</f>
        <v>2958465.0</v>
      </c>
      <c r="EW307" s="165" t="str">
        <f>IF(EO307=1,SUMPRODUCT(MIN(($EN$4:$EN$503=EN307)*$EV$4:$EV$503+($EN$4:$EN$503&lt;&gt;EN307)*2958465)),"")</f>
        <v/>
      </c>
      <c r="EX307" s="165">
        <f>IF(AND(D307=1,ISNUMBER(INDEX(Charge!$F:$F,ROW()))),INDEX(Charge!$F:$F,ROW()),0)</f>
        <v>0.0</v>
      </c>
      <c r="EY307" s="165" t="str">
        <f>IF(EO307=1,SUMPRODUCT(MAX(($EN$4:$EN$503=EN307)*$EX$4:$EX$503)),"")</f>
        <v/>
      </c>
      <c r="FA307" t="str">
        <f>IF(304&lt;=$CD$23,INDEX($EJ$4:$EJ$203,304),IF(304-$CD$23&lt;=$CD$26,INDEX($EK$4:$EK$203,304-$CD$23),""))</f>
        <v/>
      </c>
      <c r="FB307" t="str">
        <f>IF(FA307="","",IF(304&lt;=$CD$23,"Interne","Externe"))</f>
        <v/>
      </c>
      <c r="FD307">
        <f>IF(AND(B307=1,TRIM(INDEX(Charge!$K:$K,ROW()))&lt;&gt;"",TRIM(INDEX(Charge!$L:$L,ROW()))&lt;&gt;""),1,0)</f>
        <v>0</v>
      </c>
      <c r="FE307">
        <f>IF(OR(EN307="",BZ307="(non affecté)"),0,IF(COUNTIFS($EN$4:EN307,EN307,$BZ$4:BZ307,BZ307)=1,1,0))</f>
        <v>0</v>
      </c>
    </row>
    <row r="308">
      <c r="A308">
        <f>ROW()</f>
        <v>308</v>
      </c>
      <c r="B308">
        <f>IF(TRIM(INDEX(Charge!$B:$B,ROW()))&lt;&gt;"",1,0)</f>
        <v>0</v>
      </c>
      <c r="C308">
        <f>IF(B308=1,MIN(1,MAX(0,N(INDEX(Charge!$O:$O,ROW())))),0)</f>
        <v>0</v>
      </c>
      <c r="D308">
        <f>IF(B308=1,IF(OR(p_Perimetre="Tous les projets",C308&lt;1),1,0),0)</f>
        <v>0</v>
      </c>
      <c r="E308">
        <f>IF(D308=1,MAX(0,N(INDEX(Charge!$M:$M,ROW()))),0)</f>
        <v>0</v>
      </c>
      <c r="F308" t="str">
        <f>IF(D308=1,IF(TRIM(INDEX(Charge!$A:$A,ROW()))="","(non renseigné)",TRIM(INDEX(Charge!$A:$A,ROW()))),"")</f>
        <v/>
      </c>
      <c r="G308" t="str">
        <f>IF(D308=1,TRIM(INDEX(Charge!$B:$B,ROW())),"")</f>
        <v/>
      </c>
      <c r="H308" t="str">
        <f>IF(D308=1,IF(TRIM(INDEX(Charge!$E:$E,ROW()))="","(non renseigné)",TRIM(INDEX(Charge!$E:$E,ROW()))),"")</f>
        <v/>
      </c>
      <c r="I308" s="165" t="str">
        <f>IF(AND(D308=1,ISNUMBER(INDEX(Charge!$N:$N,ROW()))),INDEX(Charge!$N:$N,ROW()),"")</f>
        <v/>
      </c>
      <c r="J308" s="165" t="str">
        <f>IF(I308="","",IF(AND(p_Repartition="Lissée jusqu'à la date de besoin",ISNUMBER(INDEX(Charge!$F:$F,ROW()))),IF(INDEX(Charge!$F:$F,ROW())&gt;=I308,INDEX(Charge!$F:$F,ROW()),I308),I308))</f>
        <v/>
      </c>
      <c r="K308" t="str">
        <f>IF(I308="","",NETWORKDAYS(I308,J308,Data!$K$4:$K$203))</f>
        <v/>
      </c>
      <c r="L308" t="str">
        <f>IF(D308=1,COUNTIFS($D$4:$D$503,1,$E$4:$E$503,"&gt;"&amp;E308)+COUNTIFS($D$4:$D308,1,$E$4:$E308,E308),"")</f>
        <v/>
      </c>
      <c r="M308">
        <f>IF(F308="",0,IF(COUNTIF($F$4:F308,F308)=1,1,0))</f>
        <v>0</v>
      </c>
      <c r="N308" t="str">
        <f>IF(M308=1,ROUND(SUMIF($F$4:$F$503,F308,$E$4:$E$503),2),"")</f>
        <v/>
      </c>
      <c r="O308" t="str">
        <f>IF(M308=1,COUNTIFS($M$4:$M$503,1,$N$4:$N$503,"&gt;"&amp;N308)+COUNTIFS($M$4:M308,1,$N$4:N308,N308),"")</f>
        <v/>
      </c>
      <c r="P308">
        <f>IF(G308="",0,IF(COUNTIF($G$4:G308,G308)=1,1,0))</f>
        <v>0</v>
      </c>
      <c r="Q308" t="str">
        <f>IF(P308=1,ROUND(SUMIF($G$4:$G$503,G308,$E$4:$E$503),2),"")</f>
        <v/>
      </c>
      <c r="R308" t="str">
        <f>IF(P308=1,COUNTIFS($P$4:$P$503,1,$Q$4:$Q$503,"&gt;"&amp;Q308)+COUNTIFS($P$4:P308,1,$Q$4:Q308,Q308),"")</f>
        <v/>
      </c>
      <c r="S308">
        <f>IF(H308="",0,IF(COUNTIF($H$4:H308,H308)=1,1,0))</f>
        <v>0</v>
      </c>
      <c r="T308" t="str">
        <f>IF(S308=1,ROUND(SUMIF($H$4:$H$503,H308,$E$4:$E$503),2),"")</f>
        <v/>
      </c>
      <c r="U308" t="str">
        <f>IF(S308=1,COUNTIFS($S$4:$S$503,1,$T$4:$T$503,"&gt;"&amp;T308)+COUNTIFS($S$4:S308,1,$T$4:T308,T308),"")</f>
        <v/>
      </c>
      <c r="V308" t="str">
        <f>IF(D308=1,MIN(INDEX($R$4:$R$503,MATCH(G308,$G$4:$G$503,0)),IF($AL$7&gt;9,9,999)),"")</f>
        <v/>
      </c>
      <c r="W308" s="166">
        <f>IF(OR($I308="",$E308=0),0,IF(OR($J308&lt;W$3,$I308&gt;W$2),0,IF($K308=0,IF(AND($I308&gt;=W$3,$I308&lt;=W$2),$E308,0),$E308*NETWORKDAYS(MAX($I308,W$3),MIN($J308,W$2),Data!$K$4:$K$203)/$K308)))</f>
        <v>0</v>
      </c>
      <c r="X308" s="166">
        <f>IF(OR($I308="",$E308=0),0,IF(OR($J308&lt;X$3,$I308&gt;X$2),0,IF($K308=0,IF(AND($I308&gt;=X$3,$I308&lt;=X$2),$E308,0),$E308*NETWORKDAYS(MAX($I308,X$3),MIN($J308,X$2),Data!$K$4:$K$203)/$K308)))</f>
        <v>0</v>
      </c>
      <c r="Y308" s="166">
        <f>IF(OR($I308="",$E308=0),0,IF(OR($J308&lt;Y$3,$I308&gt;Y$2),0,IF($K308=0,IF(AND($I308&gt;=Y$3,$I308&lt;=Y$2),$E308,0),$E308*NETWORKDAYS(MAX($I308,Y$3),MIN($J308,Y$2),Data!$K$4:$K$203)/$K308)))</f>
        <v>0</v>
      </c>
      <c r="Z308" s="166">
        <f>IF(OR($I308="",$E308=0),0,IF(OR($J308&lt;Z$3,$I308&gt;Z$2),0,IF($K308=0,IF(AND($I308&gt;=Z$3,$I308&lt;=Z$2),$E308,0),$E308*NETWORKDAYS(MAX($I308,Z$3),MIN($J308,Z$2),Data!$K$4:$K$203)/$K308)))</f>
        <v>0</v>
      </c>
      <c r="AA308" s="166">
        <f>IF(OR($I308="",$E308=0),0,IF(OR($J308&lt;AA$3,$I308&gt;AA$2),0,IF($K308=0,IF(AND($I308&gt;=AA$3,$I308&lt;=AA$2),$E308,0),$E308*NETWORKDAYS(MAX($I308,AA$3),MIN($J308,AA$2),Data!$K$4:$K$203)/$K308)))</f>
        <v>0</v>
      </c>
      <c r="AB308" s="166">
        <f>IF(OR($I308="",$E308=0),0,IF(OR($J308&lt;AB$3,$I308&gt;AB$2),0,IF($K308=0,IF(AND($I308&gt;=AB$3,$I308&lt;=AB$2),$E308,0),$E308*NETWORKDAYS(MAX($I308,AB$3),MIN($J308,AB$2),Data!$K$4:$K$203)/$K308)))</f>
        <v>0</v>
      </c>
      <c r="AC308" s="166">
        <f>IF(OR($I308="",$E308=0),0,IF(OR($J308&lt;AC$3,$I308&gt;AC$2),0,IF($K308=0,IF(AND($I308&gt;=AC$3,$I308&lt;=AC$2),$E308,0),$E308*NETWORKDAYS(MAX($I308,AC$3),MIN($J308,AC$2),Data!$K$4:$K$203)/$K308)))</f>
        <v>0</v>
      </c>
      <c r="AD308" s="166">
        <f>IF(OR($I308="",$E308=0),0,IF(OR($J308&lt;AD$3,$I308&gt;AD$2),0,IF($K308=0,IF(AND($I308&gt;=AD$3,$I308&lt;=AD$2),$E308,0),$E308*NETWORKDAYS(MAX($I308,AD$3),MIN($J308,AD$2),Data!$K$4:$K$203)/$K308)))</f>
        <v>0</v>
      </c>
      <c r="AE308" s="166">
        <f>IF(OR($I308="",$E308=0),0,IF(OR($J308&lt;AE$3,$I308&gt;AE$2),0,IF($K308=0,IF(AND($I308&gt;=AE$3,$I308&lt;=AE$2),$E308,0),$E308*NETWORKDAYS(MAX($I308,AE$3),MIN($J308,AE$2),Data!$K$4:$K$203)/$K308)))</f>
        <v>0</v>
      </c>
      <c r="AF308" s="166">
        <f>IF(OR($I308="",$E308=0),0,IF(OR($J308&lt;AF$3,$I308&gt;AF$2),0,IF($K308=0,IF(AND($I308&gt;=AF$3,$I308&lt;=AF$2),$E308,0),$E308*NETWORKDAYS(MAX($I308,AF$3),MIN($J308,AF$2),Data!$K$4:$K$203)/$K308)))</f>
        <v>0</v>
      </c>
      <c r="AG308" s="166">
        <f>IF(OR($I308="",$E308=0),0,IF(OR($J308&lt;AG$3,$I308&gt;AG$2),0,IF($K308=0,IF(AND($I308&gt;=AG$3,$I308&lt;=AG$2),$E308,0),$E308*NETWORKDAYS(MAX($I308,AG$3),MIN($J308,AG$2),Data!$K$4:$K$203)/$K308)))</f>
        <v>0</v>
      </c>
      <c r="AH308" s="166">
        <f>IF(OR($I308="",$E308=0),0,IF(OR($J308&lt;AH$3,$I308&gt;AH$2),0,IF($K308=0,IF(AND($I308&gt;=AH$3,$I308&lt;=AH$2),$E308,0),$E308*NETWORKDAYS(MAX($I308,AH$3),MIN($J308,AH$2),Data!$K$4:$K$203)/$K308)))</f>
        <v>0</v>
      </c>
      <c r="AI308" s="166">
        <f>SUM(W308:AH308)</f>
        <v>0</v>
      </c>
      <c r="BZ308" t="str">
        <f>IF(D308=1,IF(TRIM(INDEX(Charge!$K:$K,ROW()))&lt;&gt;"",TRIM(INDEX(Charge!$K:$K,ROW())),IF(TRIM(INDEX(Charge!$L:$L,ROW()))&lt;&gt;"",TRIM(INDEX(Charge!$L:$L,ROW())),"(non affecté)")),"")</f>
        <v/>
      </c>
      <c r="CA308" t="str">
        <f>IF(AND($CD$4&lt;&gt;"",BZ308=$CD$4),COUNTIFS($BZ$4:$BZ$503,$CD$4,$L$4:$L$503,"&lt;"&amp;L308)+1,"")</f>
        <v/>
      </c>
      <c r="EM308" t="str">
        <f>IF(D308=1,IF(TRIM(INDEX(Charge!$K:$K,ROW()))&lt;&gt;"","Interne",IF(TRIM(INDEX(Charge!$L:$L,ROW()))&lt;&gt;"","Externe","Non affecté")),"")</f>
        <v/>
      </c>
      <c r="EN308" t="str">
        <f>IF(D308=1,LEFT(SUBSTITUTE(SUBSTITUTE(SUBSTITUTE(TRIM(SUBSTITUTE(INDEX(Charge!$B:$B,ROW()),CHAR(160)," "))&amp;" | "&amp;TRIM(SUBSTITUTE(INDEX(Charge!$C:$C,ROW()),CHAR(160)," "))&amp;" | "&amp;TRIM(SUBSTITUTE(INDEX(Charge!$D:$D,ROW()),CHAR(160)," ")),"~","-"),"*","+"),"?","!"),240),"")</f>
        <v/>
      </c>
      <c r="EO308">
        <f>IF(EN308="",0,IF(COUNTIF($EN$4:EN308,EN308)=1,1,0))</f>
        <v>0</v>
      </c>
      <c r="EP308" s="166" t="str">
        <f>IF(EO308=1,ROUND(SUMIF($EN$4:$EN$503,EN308,$E$4:$E$503),2),"")</f>
        <v/>
      </c>
      <c r="EQ308" t="str">
        <f>IF(EO308=1,COUNTIFS($EO$4:$EO$503,1,$EP$4:$EP$503,"&gt;"&amp;EP308)+COUNTIFS($EO$4:EO308,1,$EP$4:EP308,EP308),"")</f>
        <v/>
      </c>
      <c r="ER308" t="str">
        <f>IF(EO308=1,COUNTIFS($EN$4:$EN$503,EN308,$EM$4:$EM$503,"Interne",$FE$4:$FE$503,1),"")</f>
        <v/>
      </c>
      <c r="ES308" t="str">
        <f>IF(EO308=1,COUNTIFS($EN$4:$EN$503,EN308,$EM$4:$EM$503,"Externe",$FE$4:$FE$503,1),"")</f>
        <v/>
      </c>
      <c r="ET308" t="str">
        <f>IF(EO308=1,IF(ER308+ES308=0,"à affecter",IF(ER308=0,ES308&amp;" ext.",(ER308+ES308)&amp;IF(ES308&gt;0," dont "&amp;ES308&amp;" ext.",""))&amp;IF(COUNTIFS($EN$4:$EN$503,EN308,$EM$4:$EM$503,"Non affecté")&gt;0," + à affecter","")),"")</f>
        <v/>
      </c>
      <c r="EU308" s="170" t="str">
        <f>IF(EO308=1,IF(EP308&gt;0,SUMPRODUCT(($EN$4:$EN$503=EN308)*$E$4:$E$503*$C$4:$C$503)/EP308,AVERAGEIF($EN$4:$EN$503,EN308,$C$4:$C$503)),"")</f>
        <v/>
      </c>
      <c r="EV308" s="165">
        <f>IF(ISNUMBER(I308),I308,2958465)</f>
        <v>2958465.0</v>
      </c>
      <c r="EW308" s="165" t="str">
        <f>IF(EO308=1,SUMPRODUCT(MIN(($EN$4:$EN$503=EN308)*$EV$4:$EV$503+($EN$4:$EN$503&lt;&gt;EN308)*2958465)),"")</f>
        <v/>
      </c>
      <c r="EX308" s="165">
        <f>IF(AND(D308=1,ISNUMBER(INDEX(Charge!$F:$F,ROW()))),INDEX(Charge!$F:$F,ROW()),0)</f>
        <v>0.0</v>
      </c>
      <c r="EY308" s="165" t="str">
        <f>IF(EO308=1,SUMPRODUCT(MAX(($EN$4:$EN$503=EN308)*$EX$4:$EX$503)),"")</f>
        <v/>
      </c>
      <c r="FA308" t="str">
        <f>IF(305&lt;=$CD$23,INDEX($EJ$4:$EJ$203,305),IF(305-$CD$23&lt;=$CD$26,INDEX($EK$4:$EK$203,305-$CD$23),""))</f>
        <v/>
      </c>
      <c r="FB308" t="str">
        <f>IF(FA308="","",IF(305&lt;=$CD$23,"Interne","Externe"))</f>
        <v/>
      </c>
      <c r="FD308">
        <f>IF(AND(B308=1,TRIM(INDEX(Charge!$K:$K,ROW()))&lt;&gt;"",TRIM(INDEX(Charge!$L:$L,ROW()))&lt;&gt;""),1,0)</f>
        <v>0</v>
      </c>
      <c r="FE308">
        <f>IF(OR(EN308="",BZ308="(non affecté)"),0,IF(COUNTIFS($EN$4:EN308,EN308,$BZ$4:BZ308,BZ308)=1,1,0))</f>
        <v>0</v>
      </c>
    </row>
    <row r="309">
      <c r="A309">
        <f>ROW()</f>
        <v>309</v>
      </c>
      <c r="B309">
        <f>IF(TRIM(INDEX(Charge!$B:$B,ROW()))&lt;&gt;"",1,0)</f>
        <v>0</v>
      </c>
      <c r="C309">
        <f>IF(B309=1,MIN(1,MAX(0,N(INDEX(Charge!$O:$O,ROW())))),0)</f>
        <v>0</v>
      </c>
      <c r="D309">
        <f>IF(B309=1,IF(OR(p_Perimetre="Tous les projets",C309&lt;1),1,0),0)</f>
        <v>0</v>
      </c>
      <c r="E309">
        <f>IF(D309=1,MAX(0,N(INDEX(Charge!$M:$M,ROW()))),0)</f>
        <v>0</v>
      </c>
      <c r="F309" t="str">
        <f>IF(D309=1,IF(TRIM(INDEX(Charge!$A:$A,ROW()))="","(non renseigné)",TRIM(INDEX(Charge!$A:$A,ROW()))),"")</f>
        <v/>
      </c>
      <c r="G309" t="str">
        <f>IF(D309=1,TRIM(INDEX(Charge!$B:$B,ROW())),"")</f>
        <v/>
      </c>
      <c r="H309" t="str">
        <f>IF(D309=1,IF(TRIM(INDEX(Charge!$E:$E,ROW()))="","(non renseigné)",TRIM(INDEX(Charge!$E:$E,ROW()))),"")</f>
        <v/>
      </c>
      <c r="I309" s="165" t="str">
        <f>IF(AND(D309=1,ISNUMBER(INDEX(Charge!$N:$N,ROW()))),INDEX(Charge!$N:$N,ROW()),"")</f>
        <v/>
      </c>
      <c r="J309" s="165" t="str">
        <f>IF(I309="","",IF(AND(p_Repartition="Lissée jusqu'à la date de besoin",ISNUMBER(INDEX(Charge!$F:$F,ROW()))),IF(INDEX(Charge!$F:$F,ROW())&gt;=I309,INDEX(Charge!$F:$F,ROW()),I309),I309))</f>
        <v/>
      </c>
      <c r="K309" t="str">
        <f>IF(I309="","",NETWORKDAYS(I309,J309,Data!$K$4:$K$203))</f>
        <v/>
      </c>
      <c r="L309" t="str">
        <f>IF(D309=1,COUNTIFS($D$4:$D$503,1,$E$4:$E$503,"&gt;"&amp;E309)+COUNTIFS($D$4:$D309,1,$E$4:$E309,E309),"")</f>
        <v/>
      </c>
      <c r="M309">
        <f>IF(F309="",0,IF(COUNTIF($F$4:F309,F309)=1,1,0))</f>
        <v>0</v>
      </c>
      <c r="N309" t="str">
        <f>IF(M309=1,ROUND(SUMIF($F$4:$F$503,F309,$E$4:$E$503),2),"")</f>
        <v/>
      </c>
      <c r="O309" t="str">
        <f>IF(M309=1,COUNTIFS($M$4:$M$503,1,$N$4:$N$503,"&gt;"&amp;N309)+COUNTIFS($M$4:M309,1,$N$4:N309,N309),"")</f>
        <v/>
      </c>
      <c r="P309">
        <f>IF(G309="",0,IF(COUNTIF($G$4:G309,G309)=1,1,0))</f>
        <v>0</v>
      </c>
      <c r="Q309" t="str">
        <f>IF(P309=1,ROUND(SUMIF($G$4:$G$503,G309,$E$4:$E$503),2),"")</f>
        <v/>
      </c>
      <c r="R309" t="str">
        <f>IF(P309=1,COUNTIFS($P$4:$P$503,1,$Q$4:$Q$503,"&gt;"&amp;Q309)+COUNTIFS($P$4:P309,1,$Q$4:Q309,Q309),"")</f>
        <v/>
      </c>
      <c r="S309">
        <f>IF(H309="",0,IF(COUNTIF($H$4:H309,H309)=1,1,0))</f>
        <v>0</v>
      </c>
      <c r="T309" t="str">
        <f>IF(S309=1,ROUND(SUMIF($H$4:$H$503,H309,$E$4:$E$503),2),"")</f>
        <v/>
      </c>
      <c r="U309" t="str">
        <f>IF(S309=1,COUNTIFS($S$4:$S$503,1,$T$4:$T$503,"&gt;"&amp;T309)+COUNTIFS($S$4:S309,1,$T$4:T309,T309),"")</f>
        <v/>
      </c>
      <c r="V309" t="str">
        <f>IF(D309=1,MIN(INDEX($R$4:$R$503,MATCH(G309,$G$4:$G$503,0)),IF($AL$7&gt;9,9,999)),"")</f>
        <v/>
      </c>
      <c r="W309" s="166">
        <f>IF(OR($I309="",$E309=0),0,IF(OR($J309&lt;W$3,$I309&gt;W$2),0,IF($K309=0,IF(AND($I309&gt;=W$3,$I309&lt;=W$2),$E309,0),$E309*NETWORKDAYS(MAX($I309,W$3),MIN($J309,W$2),Data!$K$4:$K$203)/$K309)))</f>
        <v>0</v>
      </c>
      <c r="X309" s="166">
        <f>IF(OR($I309="",$E309=0),0,IF(OR($J309&lt;X$3,$I309&gt;X$2),0,IF($K309=0,IF(AND($I309&gt;=X$3,$I309&lt;=X$2),$E309,0),$E309*NETWORKDAYS(MAX($I309,X$3),MIN($J309,X$2),Data!$K$4:$K$203)/$K309)))</f>
        <v>0</v>
      </c>
      <c r="Y309" s="166">
        <f>IF(OR($I309="",$E309=0),0,IF(OR($J309&lt;Y$3,$I309&gt;Y$2),0,IF($K309=0,IF(AND($I309&gt;=Y$3,$I309&lt;=Y$2),$E309,0),$E309*NETWORKDAYS(MAX($I309,Y$3),MIN($J309,Y$2),Data!$K$4:$K$203)/$K309)))</f>
        <v>0</v>
      </c>
      <c r="Z309" s="166">
        <f>IF(OR($I309="",$E309=0),0,IF(OR($J309&lt;Z$3,$I309&gt;Z$2),0,IF($K309=0,IF(AND($I309&gt;=Z$3,$I309&lt;=Z$2),$E309,0),$E309*NETWORKDAYS(MAX($I309,Z$3),MIN($J309,Z$2),Data!$K$4:$K$203)/$K309)))</f>
        <v>0</v>
      </c>
      <c r="AA309" s="166">
        <f>IF(OR($I309="",$E309=0),0,IF(OR($J309&lt;AA$3,$I309&gt;AA$2),0,IF($K309=0,IF(AND($I309&gt;=AA$3,$I309&lt;=AA$2),$E309,0),$E309*NETWORKDAYS(MAX($I309,AA$3),MIN($J309,AA$2),Data!$K$4:$K$203)/$K309)))</f>
        <v>0</v>
      </c>
      <c r="AB309" s="166">
        <f>IF(OR($I309="",$E309=0),0,IF(OR($J309&lt;AB$3,$I309&gt;AB$2),0,IF($K309=0,IF(AND($I309&gt;=AB$3,$I309&lt;=AB$2),$E309,0),$E309*NETWORKDAYS(MAX($I309,AB$3),MIN($J309,AB$2),Data!$K$4:$K$203)/$K309)))</f>
        <v>0</v>
      </c>
      <c r="AC309" s="166">
        <f>IF(OR($I309="",$E309=0),0,IF(OR($J309&lt;AC$3,$I309&gt;AC$2),0,IF($K309=0,IF(AND($I309&gt;=AC$3,$I309&lt;=AC$2),$E309,0),$E309*NETWORKDAYS(MAX($I309,AC$3),MIN($J309,AC$2),Data!$K$4:$K$203)/$K309)))</f>
        <v>0</v>
      </c>
      <c r="AD309" s="166">
        <f>IF(OR($I309="",$E309=0),0,IF(OR($J309&lt;AD$3,$I309&gt;AD$2),0,IF($K309=0,IF(AND($I309&gt;=AD$3,$I309&lt;=AD$2),$E309,0),$E309*NETWORKDAYS(MAX($I309,AD$3),MIN($J309,AD$2),Data!$K$4:$K$203)/$K309)))</f>
        <v>0</v>
      </c>
      <c r="AE309" s="166">
        <f>IF(OR($I309="",$E309=0),0,IF(OR($J309&lt;AE$3,$I309&gt;AE$2),0,IF($K309=0,IF(AND($I309&gt;=AE$3,$I309&lt;=AE$2),$E309,0),$E309*NETWORKDAYS(MAX($I309,AE$3),MIN($J309,AE$2),Data!$K$4:$K$203)/$K309)))</f>
        <v>0</v>
      </c>
      <c r="AF309" s="166">
        <f>IF(OR($I309="",$E309=0),0,IF(OR($J309&lt;AF$3,$I309&gt;AF$2),0,IF($K309=0,IF(AND($I309&gt;=AF$3,$I309&lt;=AF$2),$E309,0),$E309*NETWORKDAYS(MAX($I309,AF$3),MIN($J309,AF$2),Data!$K$4:$K$203)/$K309)))</f>
        <v>0</v>
      </c>
      <c r="AG309" s="166">
        <f>IF(OR($I309="",$E309=0),0,IF(OR($J309&lt;AG$3,$I309&gt;AG$2),0,IF($K309=0,IF(AND($I309&gt;=AG$3,$I309&lt;=AG$2),$E309,0),$E309*NETWORKDAYS(MAX($I309,AG$3),MIN($J309,AG$2),Data!$K$4:$K$203)/$K309)))</f>
        <v>0</v>
      </c>
      <c r="AH309" s="166">
        <f>IF(OR($I309="",$E309=0),0,IF(OR($J309&lt;AH$3,$I309&gt;AH$2),0,IF($K309=0,IF(AND($I309&gt;=AH$3,$I309&lt;=AH$2),$E309,0),$E309*NETWORKDAYS(MAX($I309,AH$3),MIN($J309,AH$2),Data!$K$4:$K$203)/$K309)))</f>
        <v>0</v>
      </c>
      <c r="AI309" s="166">
        <f>SUM(W309:AH309)</f>
        <v>0</v>
      </c>
      <c r="BZ309" t="str">
        <f>IF(D309=1,IF(TRIM(INDEX(Charge!$K:$K,ROW()))&lt;&gt;"",TRIM(INDEX(Charge!$K:$K,ROW())),IF(TRIM(INDEX(Charge!$L:$L,ROW()))&lt;&gt;"",TRIM(INDEX(Charge!$L:$L,ROW())),"(non affecté)")),"")</f>
        <v/>
      </c>
      <c r="CA309" t="str">
        <f>IF(AND($CD$4&lt;&gt;"",BZ309=$CD$4),COUNTIFS($BZ$4:$BZ$503,$CD$4,$L$4:$L$503,"&lt;"&amp;L309)+1,"")</f>
        <v/>
      </c>
      <c r="EM309" t="str">
        <f>IF(D309=1,IF(TRIM(INDEX(Charge!$K:$K,ROW()))&lt;&gt;"","Interne",IF(TRIM(INDEX(Charge!$L:$L,ROW()))&lt;&gt;"","Externe","Non affecté")),"")</f>
        <v/>
      </c>
      <c r="EN309" t="str">
        <f>IF(D309=1,LEFT(SUBSTITUTE(SUBSTITUTE(SUBSTITUTE(TRIM(SUBSTITUTE(INDEX(Charge!$B:$B,ROW()),CHAR(160)," "))&amp;" | "&amp;TRIM(SUBSTITUTE(INDEX(Charge!$C:$C,ROW()),CHAR(160)," "))&amp;" | "&amp;TRIM(SUBSTITUTE(INDEX(Charge!$D:$D,ROW()),CHAR(160)," ")),"~","-"),"*","+"),"?","!"),240),"")</f>
        <v/>
      </c>
      <c r="EO309">
        <f>IF(EN309="",0,IF(COUNTIF($EN$4:EN309,EN309)=1,1,0))</f>
        <v>0</v>
      </c>
      <c r="EP309" s="166" t="str">
        <f>IF(EO309=1,ROUND(SUMIF($EN$4:$EN$503,EN309,$E$4:$E$503),2),"")</f>
        <v/>
      </c>
      <c r="EQ309" t="str">
        <f>IF(EO309=1,COUNTIFS($EO$4:$EO$503,1,$EP$4:$EP$503,"&gt;"&amp;EP309)+COUNTIFS($EO$4:EO309,1,$EP$4:EP309,EP309),"")</f>
        <v/>
      </c>
      <c r="ER309" t="str">
        <f>IF(EO309=1,COUNTIFS($EN$4:$EN$503,EN309,$EM$4:$EM$503,"Interne",$FE$4:$FE$503,1),"")</f>
        <v/>
      </c>
      <c r="ES309" t="str">
        <f>IF(EO309=1,COUNTIFS($EN$4:$EN$503,EN309,$EM$4:$EM$503,"Externe",$FE$4:$FE$503,1),"")</f>
        <v/>
      </c>
      <c r="ET309" t="str">
        <f>IF(EO309=1,IF(ER309+ES309=0,"à affecter",IF(ER309=0,ES309&amp;" ext.",(ER309+ES309)&amp;IF(ES309&gt;0," dont "&amp;ES309&amp;" ext.",""))&amp;IF(COUNTIFS($EN$4:$EN$503,EN309,$EM$4:$EM$503,"Non affecté")&gt;0," + à affecter","")),"")</f>
        <v/>
      </c>
      <c r="EU309" s="170" t="str">
        <f>IF(EO309=1,IF(EP309&gt;0,SUMPRODUCT(($EN$4:$EN$503=EN309)*$E$4:$E$503*$C$4:$C$503)/EP309,AVERAGEIF($EN$4:$EN$503,EN309,$C$4:$C$503)),"")</f>
        <v/>
      </c>
      <c r="EV309" s="165">
        <f>IF(ISNUMBER(I309),I309,2958465)</f>
        <v>2958465.0</v>
      </c>
      <c r="EW309" s="165" t="str">
        <f>IF(EO309=1,SUMPRODUCT(MIN(($EN$4:$EN$503=EN309)*$EV$4:$EV$503+($EN$4:$EN$503&lt;&gt;EN309)*2958465)),"")</f>
        <v/>
      </c>
      <c r="EX309" s="165">
        <f>IF(AND(D309=1,ISNUMBER(INDEX(Charge!$F:$F,ROW()))),INDEX(Charge!$F:$F,ROW()),0)</f>
        <v>0.0</v>
      </c>
      <c r="EY309" s="165" t="str">
        <f>IF(EO309=1,SUMPRODUCT(MAX(($EN$4:$EN$503=EN309)*$EX$4:$EX$503)),"")</f>
        <v/>
      </c>
      <c r="FA309" t="str">
        <f>IF(306&lt;=$CD$23,INDEX($EJ$4:$EJ$203,306),IF(306-$CD$23&lt;=$CD$26,INDEX($EK$4:$EK$203,306-$CD$23),""))</f>
        <v/>
      </c>
      <c r="FB309" t="str">
        <f>IF(FA309="","",IF(306&lt;=$CD$23,"Interne","Externe"))</f>
        <v/>
      </c>
      <c r="FD309">
        <f>IF(AND(B309=1,TRIM(INDEX(Charge!$K:$K,ROW()))&lt;&gt;"",TRIM(INDEX(Charge!$L:$L,ROW()))&lt;&gt;""),1,0)</f>
        <v>0</v>
      </c>
      <c r="FE309">
        <f>IF(OR(EN309="",BZ309="(non affecté)"),0,IF(COUNTIFS($EN$4:EN309,EN309,$BZ$4:BZ309,BZ309)=1,1,0))</f>
        <v>0</v>
      </c>
    </row>
    <row r="310">
      <c r="A310">
        <f>ROW()</f>
        <v>310</v>
      </c>
      <c r="B310">
        <f>IF(TRIM(INDEX(Charge!$B:$B,ROW()))&lt;&gt;"",1,0)</f>
        <v>0</v>
      </c>
      <c r="C310">
        <f>IF(B310=1,MIN(1,MAX(0,N(INDEX(Charge!$O:$O,ROW())))),0)</f>
        <v>0</v>
      </c>
      <c r="D310">
        <f>IF(B310=1,IF(OR(p_Perimetre="Tous les projets",C310&lt;1),1,0),0)</f>
        <v>0</v>
      </c>
      <c r="E310">
        <f>IF(D310=1,MAX(0,N(INDEX(Charge!$M:$M,ROW()))),0)</f>
        <v>0</v>
      </c>
      <c r="F310" t="str">
        <f>IF(D310=1,IF(TRIM(INDEX(Charge!$A:$A,ROW()))="","(non renseigné)",TRIM(INDEX(Charge!$A:$A,ROW()))),"")</f>
        <v/>
      </c>
      <c r="G310" t="str">
        <f>IF(D310=1,TRIM(INDEX(Charge!$B:$B,ROW())),"")</f>
        <v/>
      </c>
      <c r="H310" t="str">
        <f>IF(D310=1,IF(TRIM(INDEX(Charge!$E:$E,ROW()))="","(non renseigné)",TRIM(INDEX(Charge!$E:$E,ROW()))),"")</f>
        <v/>
      </c>
      <c r="I310" s="165" t="str">
        <f>IF(AND(D310=1,ISNUMBER(INDEX(Charge!$N:$N,ROW()))),INDEX(Charge!$N:$N,ROW()),"")</f>
        <v/>
      </c>
      <c r="J310" s="165" t="str">
        <f>IF(I310="","",IF(AND(p_Repartition="Lissée jusqu'à la date de besoin",ISNUMBER(INDEX(Charge!$F:$F,ROW()))),IF(INDEX(Charge!$F:$F,ROW())&gt;=I310,INDEX(Charge!$F:$F,ROW()),I310),I310))</f>
        <v/>
      </c>
      <c r="K310" t="str">
        <f>IF(I310="","",NETWORKDAYS(I310,J310,Data!$K$4:$K$203))</f>
        <v/>
      </c>
      <c r="L310" t="str">
        <f>IF(D310=1,COUNTIFS($D$4:$D$503,1,$E$4:$E$503,"&gt;"&amp;E310)+COUNTIFS($D$4:$D310,1,$E$4:$E310,E310),"")</f>
        <v/>
      </c>
      <c r="M310">
        <f>IF(F310="",0,IF(COUNTIF($F$4:F310,F310)=1,1,0))</f>
        <v>0</v>
      </c>
      <c r="N310" t="str">
        <f>IF(M310=1,ROUND(SUMIF($F$4:$F$503,F310,$E$4:$E$503),2),"")</f>
        <v/>
      </c>
      <c r="O310" t="str">
        <f>IF(M310=1,COUNTIFS($M$4:$M$503,1,$N$4:$N$503,"&gt;"&amp;N310)+COUNTIFS($M$4:M310,1,$N$4:N310,N310),"")</f>
        <v/>
      </c>
      <c r="P310">
        <f>IF(G310="",0,IF(COUNTIF($G$4:G310,G310)=1,1,0))</f>
        <v>0</v>
      </c>
      <c r="Q310" t="str">
        <f>IF(P310=1,ROUND(SUMIF($G$4:$G$503,G310,$E$4:$E$503),2),"")</f>
        <v/>
      </c>
      <c r="R310" t="str">
        <f>IF(P310=1,COUNTIFS($P$4:$P$503,1,$Q$4:$Q$503,"&gt;"&amp;Q310)+COUNTIFS($P$4:P310,1,$Q$4:Q310,Q310),"")</f>
        <v/>
      </c>
      <c r="S310">
        <f>IF(H310="",0,IF(COUNTIF($H$4:H310,H310)=1,1,0))</f>
        <v>0</v>
      </c>
      <c r="T310" t="str">
        <f>IF(S310=1,ROUND(SUMIF($H$4:$H$503,H310,$E$4:$E$503),2),"")</f>
        <v/>
      </c>
      <c r="U310" t="str">
        <f>IF(S310=1,COUNTIFS($S$4:$S$503,1,$T$4:$T$503,"&gt;"&amp;T310)+COUNTIFS($S$4:S310,1,$T$4:T310,T310),"")</f>
        <v/>
      </c>
      <c r="V310" t="str">
        <f>IF(D310=1,MIN(INDEX($R$4:$R$503,MATCH(G310,$G$4:$G$503,0)),IF($AL$7&gt;9,9,999)),"")</f>
        <v/>
      </c>
      <c r="W310" s="166">
        <f>IF(OR($I310="",$E310=0),0,IF(OR($J310&lt;W$3,$I310&gt;W$2),0,IF($K310=0,IF(AND($I310&gt;=W$3,$I310&lt;=W$2),$E310,0),$E310*NETWORKDAYS(MAX($I310,W$3),MIN($J310,W$2),Data!$K$4:$K$203)/$K310)))</f>
        <v>0</v>
      </c>
      <c r="X310" s="166">
        <f>IF(OR($I310="",$E310=0),0,IF(OR($J310&lt;X$3,$I310&gt;X$2),0,IF($K310=0,IF(AND($I310&gt;=X$3,$I310&lt;=X$2),$E310,0),$E310*NETWORKDAYS(MAX($I310,X$3),MIN($J310,X$2),Data!$K$4:$K$203)/$K310)))</f>
        <v>0</v>
      </c>
      <c r="Y310" s="166">
        <f>IF(OR($I310="",$E310=0),0,IF(OR($J310&lt;Y$3,$I310&gt;Y$2),0,IF($K310=0,IF(AND($I310&gt;=Y$3,$I310&lt;=Y$2),$E310,0),$E310*NETWORKDAYS(MAX($I310,Y$3),MIN($J310,Y$2),Data!$K$4:$K$203)/$K310)))</f>
        <v>0</v>
      </c>
      <c r="Z310" s="166">
        <f>IF(OR($I310="",$E310=0),0,IF(OR($J310&lt;Z$3,$I310&gt;Z$2),0,IF($K310=0,IF(AND($I310&gt;=Z$3,$I310&lt;=Z$2),$E310,0),$E310*NETWORKDAYS(MAX($I310,Z$3),MIN($J310,Z$2),Data!$K$4:$K$203)/$K310)))</f>
        <v>0</v>
      </c>
      <c r="AA310" s="166">
        <f>IF(OR($I310="",$E310=0),0,IF(OR($J310&lt;AA$3,$I310&gt;AA$2),0,IF($K310=0,IF(AND($I310&gt;=AA$3,$I310&lt;=AA$2),$E310,0),$E310*NETWORKDAYS(MAX($I310,AA$3),MIN($J310,AA$2),Data!$K$4:$K$203)/$K310)))</f>
        <v>0</v>
      </c>
      <c r="AB310" s="166">
        <f>IF(OR($I310="",$E310=0),0,IF(OR($J310&lt;AB$3,$I310&gt;AB$2),0,IF($K310=0,IF(AND($I310&gt;=AB$3,$I310&lt;=AB$2),$E310,0),$E310*NETWORKDAYS(MAX($I310,AB$3),MIN($J310,AB$2),Data!$K$4:$K$203)/$K310)))</f>
        <v>0</v>
      </c>
      <c r="AC310" s="166">
        <f>IF(OR($I310="",$E310=0),0,IF(OR($J310&lt;AC$3,$I310&gt;AC$2),0,IF($K310=0,IF(AND($I310&gt;=AC$3,$I310&lt;=AC$2),$E310,0),$E310*NETWORKDAYS(MAX($I310,AC$3),MIN($J310,AC$2),Data!$K$4:$K$203)/$K310)))</f>
        <v>0</v>
      </c>
      <c r="AD310" s="166">
        <f>IF(OR($I310="",$E310=0),0,IF(OR($J310&lt;AD$3,$I310&gt;AD$2),0,IF($K310=0,IF(AND($I310&gt;=AD$3,$I310&lt;=AD$2),$E310,0),$E310*NETWORKDAYS(MAX($I310,AD$3),MIN($J310,AD$2),Data!$K$4:$K$203)/$K310)))</f>
        <v>0</v>
      </c>
      <c r="AE310" s="166">
        <f>IF(OR($I310="",$E310=0),0,IF(OR($J310&lt;AE$3,$I310&gt;AE$2),0,IF($K310=0,IF(AND($I310&gt;=AE$3,$I310&lt;=AE$2),$E310,0),$E310*NETWORKDAYS(MAX($I310,AE$3),MIN($J310,AE$2),Data!$K$4:$K$203)/$K310)))</f>
        <v>0</v>
      </c>
      <c r="AF310" s="166">
        <f>IF(OR($I310="",$E310=0),0,IF(OR($J310&lt;AF$3,$I310&gt;AF$2),0,IF($K310=0,IF(AND($I310&gt;=AF$3,$I310&lt;=AF$2),$E310,0),$E310*NETWORKDAYS(MAX($I310,AF$3),MIN($J310,AF$2),Data!$K$4:$K$203)/$K310)))</f>
        <v>0</v>
      </c>
      <c r="AG310" s="166">
        <f>IF(OR($I310="",$E310=0),0,IF(OR($J310&lt;AG$3,$I310&gt;AG$2),0,IF($K310=0,IF(AND($I310&gt;=AG$3,$I310&lt;=AG$2),$E310,0),$E310*NETWORKDAYS(MAX($I310,AG$3),MIN($J310,AG$2),Data!$K$4:$K$203)/$K310)))</f>
        <v>0</v>
      </c>
      <c r="AH310" s="166">
        <f>IF(OR($I310="",$E310=0),0,IF(OR($J310&lt;AH$3,$I310&gt;AH$2),0,IF($K310=0,IF(AND($I310&gt;=AH$3,$I310&lt;=AH$2),$E310,0),$E310*NETWORKDAYS(MAX($I310,AH$3),MIN($J310,AH$2),Data!$K$4:$K$203)/$K310)))</f>
        <v>0</v>
      </c>
      <c r="AI310" s="166">
        <f>SUM(W310:AH310)</f>
        <v>0</v>
      </c>
      <c r="BZ310" t="str">
        <f>IF(D310=1,IF(TRIM(INDEX(Charge!$K:$K,ROW()))&lt;&gt;"",TRIM(INDEX(Charge!$K:$K,ROW())),IF(TRIM(INDEX(Charge!$L:$L,ROW()))&lt;&gt;"",TRIM(INDEX(Charge!$L:$L,ROW())),"(non affecté)")),"")</f>
        <v/>
      </c>
      <c r="CA310" t="str">
        <f>IF(AND($CD$4&lt;&gt;"",BZ310=$CD$4),COUNTIFS($BZ$4:$BZ$503,$CD$4,$L$4:$L$503,"&lt;"&amp;L310)+1,"")</f>
        <v/>
      </c>
      <c r="EM310" t="str">
        <f>IF(D310=1,IF(TRIM(INDEX(Charge!$K:$K,ROW()))&lt;&gt;"","Interne",IF(TRIM(INDEX(Charge!$L:$L,ROW()))&lt;&gt;"","Externe","Non affecté")),"")</f>
        <v/>
      </c>
      <c r="EN310" t="str">
        <f>IF(D310=1,LEFT(SUBSTITUTE(SUBSTITUTE(SUBSTITUTE(TRIM(SUBSTITUTE(INDEX(Charge!$B:$B,ROW()),CHAR(160)," "))&amp;" | "&amp;TRIM(SUBSTITUTE(INDEX(Charge!$C:$C,ROW()),CHAR(160)," "))&amp;" | "&amp;TRIM(SUBSTITUTE(INDEX(Charge!$D:$D,ROW()),CHAR(160)," ")),"~","-"),"*","+"),"?","!"),240),"")</f>
        <v/>
      </c>
      <c r="EO310">
        <f>IF(EN310="",0,IF(COUNTIF($EN$4:EN310,EN310)=1,1,0))</f>
        <v>0</v>
      </c>
      <c r="EP310" s="166" t="str">
        <f>IF(EO310=1,ROUND(SUMIF($EN$4:$EN$503,EN310,$E$4:$E$503),2),"")</f>
        <v/>
      </c>
      <c r="EQ310" t="str">
        <f>IF(EO310=1,COUNTIFS($EO$4:$EO$503,1,$EP$4:$EP$503,"&gt;"&amp;EP310)+COUNTIFS($EO$4:EO310,1,$EP$4:EP310,EP310),"")</f>
        <v/>
      </c>
      <c r="ER310" t="str">
        <f>IF(EO310=1,COUNTIFS($EN$4:$EN$503,EN310,$EM$4:$EM$503,"Interne",$FE$4:$FE$503,1),"")</f>
        <v/>
      </c>
      <c r="ES310" t="str">
        <f>IF(EO310=1,COUNTIFS($EN$4:$EN$503,EN310,$EM$4:$EM$503,"Externe",$FE$4:$FE$503,1),"")</f>
        <v/>
      </c>
      <c r="ET310" t="str">
        <f>IF(EO310=1,IF(ER310+ES310=0,"à affecter",IF(ER310=0,ES310&amp;" ext.",(ER310+ES310)&amp;IF(ES310&gt;0," dont "&amp;ES310&amp;" ext.",""))&amp;IF(COUNTIFS($EN$4:$EN$503,EN310,$EM$4:$EM$503,"Non affecté")&gt;0," + à affecter","")),"")</f>
        <v/>
      </c>
      <c r="EU310" s="170" t="str">
        <f>IF(EO310=1,IF(EP310&gt;0,SUMPRODUCT(($EN$4:$EN$503=EN310)*$E$4:$E$503*$C$4:$C$503)/EP310,AVERAGEIF($EN$4:$EN$503,EN310,$C$4:$C$503)),"")</f>
        <v/>
      </c>
      <c r="EV310" s="165">
        <f>IF(ISNUMBER(I310),I310,2958465)</f>
        <v>2958465.0</v>
      </c>
      <c r="EW310" s="165" t="str">
        <f>IF(EO310=1,SUMPRODUCT(MIN(($EN$4:$EN$503=EN310)*$EV$4:$EV$503+($EN$4:$EN$503&lt;&gt;EN310)*2958465)),"")</f>
        <v/>
      </c>
      <c r="EX310" s="165">
        <f>IF(AND(D310=1,ISNUMBER(INDEX(Charge!$F:$F,ROW()))),INDEX(Charge!$F:$F,ROW()),0)</f>
        <v>0.0</v>
      </c>
      <c r="EY310" s="165" t="str">
        <f>IF(EO310=1,SUMPRODUCT(MAX(($EN$4:$EN$503=EN310)*$EX$4:$EX$503)),"")</f>
        <v/>
      </c>
      <c r="FA310" t="str">
        <f>IF(307&lt;=$CD$23,INDEX($EJ$4:$EJ$203,307),IF(307-$CD$23&lt;=$CD$26,INDEX($EK$4:$EK$203,307-$CD$23),""))</f>
        <v/>
      </c>
      <c r="FB310" t="str">
        <f>IF(FA310="","",IF(307&lt;=$CD$23,"Interne","Externe"))</f>
        <v/>
      </c>
      <c r="FD310">
        <f>IF(AND(B310=1,TRIM(INDEX(Charge!$K:$K,ROW()))&lt;&gt;"",TRIM(INDEX(Charge!$L:$L,ROW()))&lt;&gt;""),1,0)</f>
        <v>0</v>
      </c>
      <c r="FE310">
        <f>IF(OR(EN310="",BZ310="(non affecté)"),0,IF(COUNTIFS($EN$4:EN310,EN310,$BZ$4:BZ310,BZ310)=1,1,0))</f>
        <v>0</v>
      </c>
    </row>
    <row r="311">
      <c r="A311">
        <f>ROW()</f>
        <v>311</v>
      </c>
      <c r="B311">
        <f>IF(TRIM(INDEX(Charge!$B:$B,ROW()))&lt;&gt;"",1,0)</f>
        <v>0</v>
      </c>
      <c r="C311">
        <f>IF(B311=1,MIN(1,MAX(0,N(INDEX(Charge!$O:$O,ROW())))),0)</f>
        <v>0</v>
      </c>
      <c r="D311">
        <f>IF(B311=1,IF(OR(p_Perimetre="Tous les projets",C311&lt;1),1,0),0)</f>
        <v>0</v>
      </c>
      <c r="E311">
        <f>IF(D311=1,MAX(0,N(INDEX(Charge!$M:$M,ROW()))),0)</f>
        <v>0</v>
      </c>
      <c r="F311" t="str">
        <f>IF(D311=1,IF(TRIM(INDEX(Charge!$A:$A,ROW()))="","(non renseigné)",TRIM(INDEX(Charge!$A:$A,ROW()))),"")</f>
        <v/>
      </c>
      <c r="G311" t="str">
        <f>IF(D311=1,TRIM(INDEX(Charge!$B:$B,ROW())),"")</f>
        <v/>
      </c>
      <c r="H311" t="str">
        <f>IF(D311=1,IF(TRIM(INDEX(Charge!$E:$E,ROW()))="","(non renseigné)",TRIM(INDEX(Charge!$E:$E,ROW()))),"")</f>
        <v/>
      </c>
      <c r="I311" s="165" t="str">
        <f>IF(AND(D311=1,ISNUMBER(INDEX(Charge!$N:$N,ROW()))),INDEX(Charge!$N:$N,ROW()),"")</f>
        <v/>
      </c>
      <c r="J311" s="165" t="str">
        <f>IF(I311="","",IF(AND(p_Repartition="Lissée jusqu'à la date de besoin",ISNUMBER(INDEX(Charge!$F:$F,ROW()))),IF(INDEX(Charge!$F:$F,ROW())&gt;=I311,INDEX(Charge!$F:$F,ROW()),I311),I311))</f>
        <v/>
      </c>
      <c r="K311" t="str">
        <f>IF(I311="","",NETWORKDAYS(I311,J311,Data!$K$4:$K$203))</f>
        <v/>
      </c>
      <c r="L311" t="str">
        <f>IF(D311=1,COUNTIFS($D$4:$D$503,1,$E$4:$E$503,"&gt;"&amp;E311)+COUNTIFS($D$4:$D311,1,$E$4:$E311,E311),"")</f>
        <v/>
      </c>
      <c r="M311">
        <f>IF(F311="",0,IF(COUNTIF($F$4:F311,F311)=1,1,0))</f>
        <v>0</v>
      </c>
      <c r="N311" t="str">
        <f>IF(M311=1,ROUND(SUMIF($F$4:$F$503,F311,$E$4:$E$503),2),"")</f>
        <v/>
      </c>
      <c r="O311" t="str">
        <f>IF(M311=1,COUNTIFS($M$4:$M$503,1,$N$4:$N$503,"&gt;"&amp;N311)+COUNTIFS($M$4:M311,1,$N$4:N311,N311),"")</f>
        <v/>
      </c>
      <c r="P311">
        <f>IF(G311="",0,IF(COUNTIF($G$4:G311,G311)=1,1,0))</f>
        <v>0</v>
      </c>
      <c r="Q311" t="str">
        <f>IF(P311=1,ROUND(SUMIF($G$4:$G$503,G311,$E$4:$E$503),2),"")</f>
        <v/>
      </c>
      <c r="R311" t="str">
        <f>IF(P311=1,COUNTIFS($P$4:$P$503,1,$Q$4:$Q$503,"&gt;"&amp;Q311)+COUNTIFS($P$4:P311,1,$Q$4:Q311,Q311),"")</f>
        <v/>
      </c>
      <c r="S311">
        <f>IF(H311="",0,IF(COUNTIF($H$4:H311,H311)=1,1,0))</f>
        <v>0</v>
      </c>
      <c r="T311" t="str">
        <f>IF(S311=1,ROUND(SUMIF($H$4:$H$503,H311,$E$4:$E$503),2),"")</f>
        <v/>
      </c>
      <c r="U311" t="str">
        <f>IF(S311=1,COUNTIFS($S$4:$S$503,1,$T$4:$T$503,"&gt;"&amp;T311)+COUNTIFS($S$4:S311,1,$T$4:T311,T311),"")</f>
        <v/>
      </c>
      <c r="V311" t="str">
        <f>IF(D311=1,MIN(INDEX($R$4:$R$503,MATCH(G311,$G$4:$G$503,0)),IF($AL$7&gt;9,9,999)),"")</f>
        <v/>
      </c>
      <c r="W311" s="166">
        <f>IF(OR($I311="",$E311=0),0,IF(OR($J311&lt;W$3,$I311&gt;W$2),0,IF($K311=0,IF(AND($I311&gt;=W$3,$I311&lt;=W$2),$E311,0),$E311*NETWORKDAYS(MAX($I311,W$3),MIN($J311,W$2),Data!$K$4:$K$203)/$K311)))</f>
        <v>0</v>
      </c>
      <c r="X311" s="166">
        <f>IF(OR($I311="",$E311=0),0,IF(OR($J311&lt;X$3,$I311&gt;X$2),0,IF($K311=0,IF(AND($I311&gt;=X$3,$I311&lt;=X$2),$E311,0),$E311*NETWORKDAYS(MAX($I311,X$3),MIN($J311,X$2),Data!$K$4:$K$203)/$K311)))</f>
        <v>0</v>
      </c>
      <c r="Y311" s="166">
        <f>IF(OR($I311="",$E311=0),0,IF(OR($J311&lt;Y$3,$I311&gt;Y$2),0,IF($K311=0,IF(AND($I311&gt;=Y$3,$I311&lt;=Y$2),$E311,0),$E311*NETWORKDAYS(MAX($I311,Y$3),MIN($J311,Y$2),Data!$K$4:$K$203)/$K311)))</f>
        <v>0</v>
      </c>
      <c r="Z311" s="166">
        <f>IF(OR($I311="",$E311=0),0,IF(OR($J311&lt;Z$3,$I311&gt;Z$2),0,IF($K311=0,IF(AND($I311&gt;=Z$3,$I311&lt;=Z$2),$E311,0),$E311*NETWORKDAYS(MAX($I311,Z$3),MIN($J311,Z$2),Data!$K$4:$K$203)/$K311)))</f>
        <v>0</v>
      </c>
      <c r="AA311" s="166">
        <f>IF(OR($I311="",$E311=0),0,IF(OR($J311&lt;AA$3,$I311&gt;AA$2),0,IF($K311=0,IF(AND($I311&gt;=AA$3,$I311&lt;=AA$2),$E311,0),$E311*NETWORKDAYS(MAX($I311,AA$3),MIN($J311,AA$2),Data!$K$4:$K$203)/$K311)))</f>
        <v>0</v>
      </c>
      <c r="AB311" s="166">
        <f>IF(OR($I311="",$E311=0),0,IF(OR($J311&lt;AB$3,$I311&gt;AB$2),0,IF($K311=0,IF(AND($I311&gt;=AB$3,$I311&lt;=AB$2),$E311,0),$E311*NETWORKDAYS(MAX($I311,AB$3),MIN($J311,AB$2),Data!$K$4:$K$203)/$K311)))</f>
        <v>0</v>
      </c>
      <c r="AC311" s="166">
        <f>IF(OR($I311="",$E311=0),0,IF(OR($J311&lt;AC$3,$I311&gt;AC$2),0,IF($K311=0,IF(AND($I311&gt;=AC$3,$I311&lt;=AC$2),$E311,0),$E311*NETWORKDAYS(MAX($I311,AC$3),MIN($J311,AC$2),Data!$K$4:$K$203)/$K311)))</f>
        <v>0</v>
      </c>
      <c r="AD311" s="166">
        <f>IF(OR($I311="",$E311=0),0,IF(OR($J311&lt;AD$3,$I311&gt;AD$2),0,IF($K311=0,IF(AND($I311&gt;=AD$3,$I311&lt;=AD$2),$E311,0),$E311*NETWORKDAYS(MAX($I311,AD$3),MIN($J311,AD$2),Data!$K$4:$K$203)/$K311)))</f>
        <v>0</v>
      </c>
      <c r="AE311" s="166">
        <f>IF(OR($I311="",$E311=0),0,IF(OR($J311&lt;AE$3,$I311&gt;AE$2),0,IF($K311=0,IF(AND($I311&gt;=AE$3,$I311&lt;=AE$2),$E311,0),$E311*NETWORKDAYS(MAX($I311,AE$3),MIN($J311,AE$2),Data!$K$4:$K$203)/$K311)))</f>
        <v>0</v>
      </c>
      <c r="AF311" s="166">
        <f>IF(OR($I311="",$E311=0),0,IF(OR($J311&lt;AF$3,$I311&gt;AF$2),0,IF($K311=0,IF(AND($I311&gt;=AF$3,$I311&lt;=AF$2),$E311,0),$E311*NETWORKDAYS(MAX($I311,AF$3),MIN($J311,AF$2),Data!$K$4:$K$203)/$K311)))</f>
        <v>0</v>
      </c>
      <c r="AG311" s="166">
        <f>IF(OR($I311="",$E311=0),0,IF(OR($J311&lt;AG$3,$I311&gt;AG$2),0,IF($K311=0,IF(AND($I311&gt;=AG$3,$I311&lt;=AG$2),$E311,0),$E311*NETWORKDAYS(MAX($I311,AG$3),MIN($J311,AG$2),Data!$K$4:$K$203)/$K311)))</f>
        <v>0</v>
      </c>
      <c r="AH311" s="166">
        <f>IF(OR($I311="",$E311=0),0,IF(OR($J311&lt;AH$3,$I311&gt;AH$2),0,IF($K311=0,IF(AND($I311&gt;=AH$3,$I311&lt;=AH$2),$E311,0),$E311*NETWORKDAYS(MAX($I311,AH$3),MIN($J311,AH$2),Data!$K$4:$K$203)/$K311)))</f>
        <v>0</v>
      </c>
      <c r="AI311" s="166">
        <f>SUM(W311:AH311)</f>
        <v>0</v>
      </c>
      <c r="BZ311" t="str">
        <f>IF(D311=1,IF(TRIM(INDEX(Charge!$K:$K,ROW()))&lt;&gt;"",TRIM(INDEX(Charge!$K:$K,ROW())),IF(TRIM(INDEX(Charge!$L:$L,ROW()))&lt;&gt;"",TRIM(INDEX(Charge!$L:$L,ROW())),"(non affecté)")),"")</f>
        <v/>
      </c>
      <c r="CA311" t="str">
        <f>IF(AND($CD$4&lt;&gt;"",BZ311=$CD$4),COUNTIFS($BZ$4:$BZ$503,$CD$4,$L$4:$L$503,"&lt;"&amp;L311)+1,"")</f>
        <v/>
      </c>
      <c r="EM311" t="str">
        <f>IF(D311=1,IF(TRIM(INDEX(Charge!$K:$K,ROW()))&lt;&gt;"","Interne",IF(TRIM(INDEX(Charge!$L:$L,ROW()))&lt;&gt;"","Externe","Non affecté")),"")</f>
        <v/>
      </c>
      <c r="EN311" t="str">
        <f>IF(D311=1,LEFT(SUBSTITUTE(SUBSTITUTE(SUBSTITUTE(TRIM(SUBSTITUTE(INDEX(Charge!$B:$B,ROW()),CHAR(160)," "))&amp;" | "&amp;TRIM(SUBSTITUTE(INDEX(Charge!$C:$C,ROW()),CHAR(160)," "))&amp;" | "&amp;TRIM(SUBSTITUTE(INDEX(Charge!$D:$D,ROW()),CHAR(160)," ")),"~","-"),"*","+"),"?","!"),240),"")</f>
        <v/>
      </c>
      <c r="EO311">
        <f>IF(EN311="",0,IF(COUNTIF($EN$4:EN311,EN311)=1,1,0))</f>
        <v>0</v>
      </c>
      <c r="EP311" s="166" t="str">
        <f>IF(EO311=1,ROUND(SUMIF($EN$4:$EN$503,EN311,$E$4:$E$503),2),"")</f>
        <v/>
      </c>
      <c r="EQ311" t="str">
        <f>IF(EO311=1,COUNTIFS($EO$4:$EO$503,1,$EP$4:$EP$503,"&gt;"&amp;EP311)+COUNTIFS($EO$4:EO311,1,$EP$4:EP311,EP311),"")</f>
        <v/>
      </c>
      <c r="ER311" t="str">
        <f>IF(EO311=1,COUNTIFS($EN$4:$EN$503,EN311,$EM$4:$EM$503,"Interne",$FE$4:$FE$503,1),"")</f>
        <v/>
      </c>
      <c r="ES311" t="str">
        <f>IF(EO311=1,COUNTIFS($EN$4:$EN$503,EN311,$EM$4:$EM$503,"Externe",$FE$4:$FE$503,1),"")</f>
        <v/>
      </c>
      <c r="ET311" t="str">
        <f>IF(EO311=1,IF(ER311+ES311=0,"à affecter",IF(ER311=0,ES311&amp;" ext.",(ER311+ES311)&amp;IF(ES311&gt;0," dont "&amp;ES311&amp;" ext.",""))&amp;IF(COUNTIFS($EN$4:$EN$503,EN311,$EM$4:$EM$503,"Non affecté")&gt;0," + à affecter","")),"")</f>
        <v/>
      </c>
      <c r="EU311" s="170" t="str">
        <f>IF(EO311=1,IF(EP311&gt;0,SUMPRODUCT(($EN$4:$EN$503=EN311)*$E$4:$E$503*$C$4:$C$503)/EP311,AVERAGEIF($EN$4:$EN$503,EN311,$C$4:$C$503)),"")</f>
        <v/>
      </c>
      <c r="EV311" s="165">
        <f>IF(ISNUMBER(I311),I311,2958465)</f>
        <v>2958465.0</v>
      </c>
      <c r="EW311" s="165" t="str">
        <f>IF(EO311=1,SUMPRODUCT(MIN(($EN$4:$EN$503=EN311)*$EV$4:$EV$503+($EN$4:$EN$503&lt;&gt;EN311)*2958465)),"")</f>
        <v/>
      </c>
      <c r="EX311" s="165">
        <f>IF(AND(D311=1,ISNUMBER(INDEX(Charge!$F:$F,ROW()))),INDEX(Charge!$F:$F,ROW()),0)</f>
        <v>0.0</v>
      </c>
      <c r="EY311" s="165" t="str">
        <f>IF(EO311=1,SUMPRODUCT(MAX(($EN$4:$EN$503=EN311)*$EX$4:$EX$503)),"")</f>
        <v/>
      </c>
      <c r="FA311" t="str">
        <f>IF(308&lt;=$CD$23,INDEX($EJ$4:$EJ$203,308),IF(308-$CD$23&lt;=$CD$26,INDEX($EK$4:$EK$203,308-$CD$23),""))</f>
        <v/>
      </c>
      <c r="FB311" t="str">
        <f>IF(FA311="","",IF(308&lt;=$CD$23,"Interne","Externe"))</f>
        <v/>
      </c>
      <c r="FD311">
        <f>IF(AND(B311=1,TRIM(INDEX(Charge!$K:$K,ROW()))&lt;&gt;"",TRIM(INDEX(Charge!$L:$L,ROW()))&lt;&gt;""),1,0)</f>
        <v>0</v>
      </c>
      <c r="FE311">
        <f>IF(OR(EN311="",BZ311="(non affecté)"),0,IF(COUNTIFS($EN$4:EN311,EN311,$BZ$4:BZ311,BZ311)=1,1,0))</f>
        <v>0</v>
      </c>
    </row>
    <row r="312">
      <c r="A312">
        <f>ROW()</f>
        <v>312</v>
      </c>
      <c r="B312">
        <f>IF(TRIM(INDEX(Charge!$B:$B,ROW()))&lt;&gt;"",1,0)</f>
        <v>0</v>
      </c>
      <c r="C312">
        <f>IF(B312=1,MIN(1,MAX(0,N(INDEX(Charge!$O:$O,ROW())))),0)</f>
        <v>0</v>
      </c>
      <c r="D312">
        <f>IF(B312=1,IF(OR(p_Perimetre="Tous les projets",C312&lt;1),1,0),0)</f>
        <v>0</v>
      </c>
      <c r="E312">
        <f>IF(D312=1,MAX(0,N(INDEX(Charge!$M:$M,ROW()))),0)</f>
        <v>0</v>
      </c>
      <c r="F312" t="str">
        <f>IF(D312=1,IF(TRIM(INDEX(Charge!$A:$A,ROW()))="","(non renseigné)",TRIM(INDEX(Charge!$A:$A,ROW()))),"")</f>
        <v/>
      </c>
      <c r="G312" t="str">
        <f>IF(D312=1,TRIM(INDEX(Charge!$B:$B,ROW())),"")</f>
        <v/>
      </c>
      <c r="H312" t="str">
        <f>IF(D312=1,IF(TRIM(INDEX(Charge!$E:$E,ROW()))="","(non renseigné)",TRIM(INDEX(Charge!$E:$E,ROW()))),"")</f>
        <v/>
      </c>
      <c r="I312" s="165" t="str">
        <f>IF(AND(D312=1,ISNUMBER(INDEX(Charge!$N:$N,ROW()))),INDEX(Charge!$N:$N,ROW()),"")</f>
        <v/>
      </c>
      <c r="J312" s="165" t="str">
        <f>IF(I312="","",IF(AND(p_Repartition="Lissée jusqu'à la date de besoin",ISNUMBER(INDEX(Charge!$F:$F,ROW()))),IF(INDEX(Charge!$F:$F,ROW())&gt;=I312,INDEX(Charge!$F:$F,ROW()),I312),I312))</f>
        <v/>
      </c>
      <c r="K312" t="str">
        <f>IF(I312="","",NETWORKDAYS(I312,J312,Data!$K$4:$K$203))</f>
        <v/>
      </c>
      <c r="L312" t="str">
        <f>IF(D312=1,COUNTIFS($D$4:$D$503,1,$E$4:$E$503,"&gt;"&amp;E312)+COUNTIFS($D$4:$D312,1,$E$4:$E312,E312),"")</f>
        <v/>
      </c>
      <c r="M312">
        <f>IF(F312="",0,IF(COUNTIF($F$4:F312,F312)=1,1,0))</f>
        <v>0</v>
      </c>
      <c r="N312" t="str">
        <f>IF(M312=1,ROUND(SUMIF($F$4:$F$503,F312,$E$4:$E$503),2),"")</f>
        <v/>
      </c>
      <c r="O312" t="str">
        <f>IF(M312=1,COUNTIFS($M$4:$M$503,1,$N$4:$N$503,"&gt;"&amp;N312)+COUNTIFS($M$4:M312,1,$N$4:N312,N312),"")</f>
        <v/>
      </c>
      <c r="P312">
        <f>IF(G312="",0,IF(COUNTIF($G$4:G312,G312)=1,1,0))</f>
        <v>0</v>
      </c>
      <c r="Q312" t="str">
        <f>IF(P312=1,ROUND(SUMIF($G$4:$G$503,G312,$E$4:$E$503),2),"")</f>
        <v/>
      </c>
      <c r="R312" t="str">
        <f>IF(P312=1,COUNTIFS($P$4:$P$503,1,$Q$4:$Q$503,"&gt;"&amp;Q312)+COUNTIFS($P$4:P312,1,$Q$4:Q312,Q312),"")</f>
        <v/>
      </c>
      <c r="S312">
        <f>IF(H312="",0,IF(COUNTIF($H$4:H312,H312)=1,1,0))</f>
        <v>0</v>
      </c>
      <c r="T312" t="str">
        <f>IF(S312=1,ROUND(SUMIF($H$4:$H$503,H312,$E$4:$E$503),2),"")</f>
        <v/>
      </c>
      <c r="U312" t="str">
        <f>IF(S312=1,COUNTIFS($S$4:$S$503,1,$T$4:$T$503,"&gt;"&amp;T312)+COUNTIFS($S$4:S312,1,$T$4:T312,T312),"")</f>
        <v/>
      </c>
      <c r="V312" t="str">
        <f>IF(D312=1,MIN(INDEX($R$4:$R$503,MATCH(G312,$G$4:$G$503,0)),IF($AL$7&gt;9,9,999)),"")</f>
        <v/>
      </c>
      <c r="W312" s="166">
        <f>IF(OR($I312="",$E312=0),0,IF(OR($J312&lt;W$3,$I312&gt;W$2),0,IF($K312=0,IF(AND($I312&gt;=W$3,$I312&lt;=W$2),$E312,0),$E312*NETWORKDAYS(MAX($I312,W$3),MIN($J312,W$2),Data!$K$4:$K$203)/$K312)))</f>
        <v>0</v>
      </c>
      <c r="X312" s="166">
        <f>IF(OR($I312="",$E312=0),0,IF(OR($J312&lt;X$3,$I312&gt;X$2),0,IF($K312=0,IF(AND($I312&gt;=X$3,$I312&lt;=X$2),$E312,0),$E312*NETWORKDAYS(MAX($I312,X$3),MIN($J312,X$2),Data!$K$4:$K$203)/$K312)))</f>
        <v>0</v>
      </c>
      <c r="Y312" s="166">
        <f>IF(OR($I312="",$E312=0),0,IF(OR($J312&lt;Y$3,$I312&gt;Y$2),0,IF($K312=0,IF(AND($I312&gt;=Y$3,$I312&lt;=Y$2),$E312,0),$E312*NETWORKDAYS(MAX($I312,Y$3),MIN($J312,Y$2),Data!$K$4:$K$203)/$K312)))</f>
        <v>0</v>
      </c>
      <c r="Z312" s="166">
        <f>IF(OR($I312="",$E312=0),0,IF(OR($J312&lt;Z$3,$I312&gt;Z$2),0,IF($K312=0,IF(AND($I312&gt;=Z$3,$I312&lt;=Z$2),$E312,0),$E312*NETWORKDAYS(MAX($I312,Z$3),MIN($J312,Z$2),Data!$K$4:$K$203)/$K312)))</f>
        <v>0</v>
      </c>
      <c r="AA312" s="166">
        <f>IF(OR($I312="",$E312=0),0,IF(OR($J312&lt;AA$3,$I312&gt;AA$2),0,IF($K312=0,IF(AND($I312&gt;=AA$3,$I312&lt;=AA$2),$E312,0),$E312*NETWORKDAYS(MAX($I312,AA$3),MIN($J312,AA$2),Data!$K$4:$K$203)/$K312)))</f>
        <v>0</v>
      </c>
      <c r="AB312" s="166">
        <f>IF(OR($I312="",$E312=0),0,IF(OR($J312&lt;AB$3,$I312&gt;AB$2),0,IF($K312=0,IF(AND($I312&gt;=AB$3,$I312&lt;=AB$2),$E312,0),$E312*NETWORKDAYS(MAX($I312,AB$3),MIN($J312,AB$2),Data!$K$4:$K$203)/$K312)))</f>
        <v>0</v>
      </c>
      <c r="AC312" s="166">
        <f>IF(OR($I312="",$E312=0),0,IF(OR($J312&lt;AC$3,$I312&gt;AC$2),0,IF($K312=0,IF(AND($I312&gt;=AC$3,$I312&lt;=AC$2),$E312,0),$E312*NETWORKDAYS(MAX($I312,AC$3),MIN($J312,AC$2),Data!$K$4:$K$203)/$K312)))</f>
        <v>0</v>
      </c>
      <c r="AD312" s="166">
        <f>IF(OR($I312="",$E312=0),0,IF(OR($J312&lt;AD$3,$I312&gt;AD$2),0,IF($K312=0,IF(AND($I312&gt;=AD$3,$I312&lt;=AD$2),$E312,0),$E312*NETWORKDAYS(MAX($I312,AD$3),MIN($J312,AD$2),Data!$K$4:$K$203)/$K312)))</f>
        <v>0</v>
      </c>
      <c r="AE312" s="166">
        <f>IF(OR($I312="",$E312=0),0,IF(OR($J312&lt;AE$3,$I312&gt;AE$2),0,IF($K312=0,IF(AND($I312&gt;=AE$3,$I312&lt;=AE$2),$E312,0),$E312*NETWORKDAYS(MAX($I312,AE$3),MIN($J312,AE$2),Data!$K$4:$K$203)/$K312)))</f>
        <v>0</v>
      </c>
      <c r="AF312" s="166">
        <f>IF(OR($I312="",$E312=0),0,IF(OR($J312&lt;AF$3,$I312&gt;AF$2),0,IF($K312=0,IF(AND($I312&gt;=AF$3,$I312&lt;=AF$2),$E312,0),$E312*NETWORKDAYS(MAX($I312,AF$3),MIN($J312,AF$2),Data!$K$4:$K$203)/$K312)))</f>
        <v>0</v>
      </c>
      <c r="AG312" s="166">
        <f>IF(OR($I312="",$E312=0),0,IF(OR($J312&lt;AG$3,$I312&gt;AG$2),0,IF($K312=0,IF(AND($I312&gt;=AG$3,$I312&lt;=AG$2),$E312,0),$E312*NETWORKDAYS(MAX($I312,AG$3),MIN($J312,AG$2),Data!$K$4:$K$203)/$K312)))</f>
        <v>0</v>
      </c>
      <c r="AH312" s="166">
        <f>IF(OR($I312="",$E312=0),0,IF(OR($J312&lt;AH$3,$I312&gt;AH$2),0,IF($K312=0,IF(AND($I312&gt;=AH$3,$I312&lt;=AH$2),$E312,0),$E312*NETWORKDAYS(MAX($I312,AH$3),MIN($J312,AH$2),Data!$K$4:$K$203)/$K312)))</f>
        <v>0</v>
      </c>
      <c r="AI312" s="166">
        <f>SUM(W312:AH312)</f>
        <v>0</v>
      </c>
      <c r="BZ312" t="str">
        <f>IF(D312=1,IF(TRIM(INDEX(Charge!$K:$K,ROW()))&lt;&gt;"",TRIM(INDEX(Charge!$K:$K,ROW())),IF(TRIM(INDEX(Charge!$L:$L,ROW()))&lt;&gt;"",TRIM(INDEX(Charge!$L:$L,ROW())),"(non affecté)")),"")</f>
        <v/>
      </c>
      <c r="CA312" t="str">
        <f>IF(AND($CD$4&lt;&gt;"",BZ312=$CD$4),COUNTIFS($BZ$4:$BZ$503,$CD$4,$L$4:$L$503,"&lt;"&amp;L312)+1,"")</f>
        <v/>
      </c>
      <c r="EM312" t="str">
        <f>IF(D312=1,IF(TRIM(INDEX(Charge!$K:$K,ROW()))&lt;&gt;"","Interne",IF(TRIM(INDEX(Charge!$L:$L,ROW()))&lt;&gt;"","Externe","Non affecté")),"")</f>
        <v/>
      </c>
      <c r="EN312" t="str">
        <f>IF(D312=1,LEFT(SUBSTITUTE(SUBSTITUTE(SUBSTITUTE(TRIM(SUBSTITUTE(INDEX(Charge!$B:$B,ROW()),CHAR(160)," "))&amp;" | "&amp;TRIM(SUBSTITUTE(INDEX(Charge!$C:$C,ROW()),CHAR(160)," "))&amp;" | "&amp;TRIM(SUBSTITUTE(INDEX(Charge!$D:$D,ROW()),CHAR(160)," ")),"~","-"),"*","+"),"?","!"),240),"")</f>
        <v/>
      </c>
      <c r="EO312">
        <f>IF(EN312="",0,IF(COUNTIF($EN$4:EN312,EN312)=1,1,0))</f>
        <v>0</v>
      </c>
      <c r="EP312" s="166" t="str">
        <f>IF(EO312=1,ROUND(SUMIF($EN$4:$EN$503,EN312,$E$4:$E$503),2),"")</f>
        <v/>
      </c>
      <c r="EQ312" t="str">
        <f>IF(EO312=1,COUNTIFS($EO$4:$EO$503,1,$EP$4:$EP$503,"&gt;"&amp;EP312)+COUNTIFS($EO$4:EO312,1,$EP$4:EP312,EP312),"")</f>
        <v/>
      </c>
      <c r="ER312" t="str">
        <f>IF(EO312=1,COUNTIFS($EN$4:$EN$503,EN312,$EM$4:$EM$503,"Interne",$FE$4:$FE$503,1),"")</f>
        <v/>
      </c>
      <c r="ES312" t="str">
        <f>IF(EO312=1,COUNTIFS($EN$4:$EN$503,EN312,$EM$4:$EM$503,"Externe",$FE$4:$FE$503,1),"")</f>
        <v/>
      </c>
      <c r="ET312" t="str">
        <f>IF(EO312=1,IF(ER312+ES312=0,"à affecter",IF(ER312=0,ES312&amp;" ext.",(ER312+ES312)&amp;IF(ES312&gt;0," dont "&amp;ES312&amp;" ext.",""))&amp;IF(COUNTIFS($EN$4:$EN$503,EN312,$EM$4:$EM$503,"Non affecté")&gt;0," + à affecter","")),"")</f>
        <v/>
      </c>
      <c r="EU312" s="170" t="str">
        <f>IF(EO312=1,IF(EP312&gt;0,SUMPRODUCT(($EN$4:$EN$503=EN312)*$E$4:$E$503*$C$4:$C$503)/EP312,AVERAGEIF($EN$4:$EN$503,EN312,$C$4:$C$503)),"")</f>
        <v/>
      </c>
      <c r="EV312" s="165">
        <f>IF(ISNUMBER(I312),I312,2958465)</f>
        <v>2958465.0</v>
      </c>
      <c r="EW312" s="165" t="str">
        <f>IF(EO312=1,SUMPRODUCT(MIN(($EN$4:$EN$503=EN312)*$EV$4:$EV$503+($EN$4:$EN$503&lt;&gt;EN312)*2958465)),"")</f>
        <v/>
      </c>
      <c r="EX312" s="165">
        <f>IF(AND(D312=1,ISNUMBER(INDEX(Charge!$F:$F,ROW()))),INDEX(Charge!$F:$F,ROW()),0)</f>
        <v>0.0</v>
      </c>
      <c r="EY312" s="165" t="str">
        <f>IF(EO312=1,SUMPRODUCT(MAX(($EN$4:$EN$503=EN312)*$EX$4:$EX$503)),"")</f>
        <v/>
      </c>
      <c r="FA312" t="str">
        <f>IF(309&lt;=$CD$23,INDEX($EJ$4:$EJ$203,309),IF(309-$CD$23&lt;=$CD$26,INDEX($EK$4:$EK$203,309-$CD$23),""))</f>
        <v/>
      </c>
      <c r="FB312" t="str">
        <f>IF(FA312="","",IF(309&lt;=$CD$23,"Interne","Externe"))</f>
        <v/>
      </c>
      <c r="FD312">
        <f>IF(AND(B312=1,TRIM(INDEX(Charge!$K:$K,ROW()))&lt;&gt;"",TRIM(INDEX(Charge!$L:$L,ROW()))&lt;&gt;""),1,0)</f>
        <v>0</v>
      </c>
      <c r="FE312">
        <f>IF(OR(EN312="",BZ312="(non affecté)"),0,IF(COUNTIFS($EN$4:EN312,EN312,$BZ$4:BZ312,BZ312)=1,1,0))</f>
        <v>0</v>
      </c>
    </row>
    <row r="313">
      <c r="A313">
        <f>ROW()</f>
        <v>313</v>
      </c>
      <c r="B313">
        <f>IF(TRIM(INDEX(Charge!$B:$B,ROW()))&lt;&gt;"",1,0)</f>
        <v>0</v>
      </c>
      <c r="C313">
        <f>IF(B313=1,MIN(1,MAX(0,N(INDEX(Charge!$O:$O,ROW())))),0)</f>
        <v>0</v>
      </c>
      <c r="D313">
        <f>IF(B313=1,IF(OR(p_Perimetre="Tous les projets",C313&lt;1),1,0),0)</f>
        <v>0</v>
      </c>
      <c r="E313">
        <f>IF(D313=1,MAX(0,N(INDEX(Charge!$M:$M,ROW()))),0)</f>
        <v>0</v>
      </c>
      <c r="F313" t="str">
        <f>IF(D313=1,IF(TRIM(INDEX(Charge!$A:$A,ROW()))="","(non renseigné)",TRIM(INDEX(Charge!$A:$A,ROW()))),"")</f>
        <v/>
      </c>
      <c r="G313" t="str">
        <f>IF(D313=1,TRIM(INDEX(Charge!$B:$B,ROW())),"")</f>
        <v/>
      </c>
      <c r="H313" t="str">
        <f>IF(D313=1,IF(TRIM(INDEX(Charge!$E:$E,ROW()))="","(non renseigné)",TRIM(INDEX(Charge!$E:$E,ROW()))),"")</f>
        <v/>
      </c>
      <c r="I313" s="165" t="str">
        <f>IF(AND(D313=1,ISNUMBER(INDEX(Charge!$N:$N,ROW()))),INDEX(Charge!$N:$N,ROW()),"")</f>
        <v/>
      </c>
      <c r="J313" s="165" t="str">
        <f>IF(I313="","",IF(AND(p_Repartition="Lissée jusqu'à la date de besoin",ISNUMBER(INDEX(Charge!$F:$F,ROW()))),IF(INDEX(Charge!$F:$F,ROW())&gt;=I313,INDEX(Charge!$F:$F,ROW()),I313),I313))</f>
        <v/>
      </c>
      <c r="K313" t="str">
        <f>IF(I313="","",NETWORKDAYS(I313,J313,Data!$K$4:$K$203))</f>
        <v/>
      </c>
      <c r="L313" t="str">
        <f>IF(D313=1,COUNTIFS($D$4:$D$503,1,$E$4:$E$503,"&gt;"&amp;E313)+COUNTIFS($D$4:$D313,1,$E$4:$E313,E313),"")</f>
        <v/>
      </c>
      <c r="M313">
        <f>IF(F313="",0,IF(COUNTIF($F$4:F313,F313)=1,1,0))</f>
        <v>0</v>
      </c>
      <c r="N313" t="str">
        <f>IF(M313=1,ROUND(SUMIF($F$4:$F$503,F313,$E$4:$E$503),2),"")</f>
        <v/>
      </c>
      <c r="O313" t="str">
        <f>IF(M313=1,COUNTIFS($M$4:$M$503,1,$N$4:$N$503,"&gt;"&amp;N313)+COUNTIFS($M$4:M313,1,$N$4:N313,N313),"")</f>
        <v/>
      </c>
      <c r="P313">
        <f>IF(G313="",0,IF(COUNTIF($G$4:G313,G313)=1,1,0))</f>
        <v>0</v>
      </c>
      <c r="Q313" t="str">
        <f>IF(P313=1,ROUND(SUMIF($G$4:$G$503,G313,$E$4:$E$503),2),"")</f>
        <v/>
      </c>
      <c r="R313" t="str">
        <f>IF(P313=1,COUNTIFS($P$4:$P$503,1,$Q$4:$Q$503,"&gt;"&amp;Q313)+COUNTIFS($P$4:P313,1,$Q$4:Q313,Q313),"")</f>
        <v/>
      </c>
      <c r="S313">
        <f>IF(H313="",0,IF(COUNTIF($H$4:H313,H313)=1,1,0))</f>
        <v>0</v>
      </c>
      <c r="T313" t="str">
        <f>IF(S313=1,ROUND(SUMIF($H$4:$H$503,H313,$E$4:$E$503),2),"")</f>
        <v/>
      </c>
      <c r="U313" t="str">
        <f>IF(S313=1,COUNTIFS($S$4:$S$503,1,$T$4:$T$503,"&gt;"&amp;T313)+COUNTIFS($S$4:S313,1,$T$4:T313,T313),"")</f>
        <v/>
      </c>
      <c r="V313" t="str">
        <f>IF(D313=1,MIN(INDEX($R$4:$R$503,MATCH(G313,$G$4:$G$503,0)),IF($AL$7&gt;9,9,999)),"")</f>
        <v/>
      </c>
      <c r="W313" s="166">
        <f>IF(OR($I313="",$E313=0),0,IF(OR($J313&lt;W$3,$I313&gt;W$2),0,IF($K313=0,IF(AND($I313&gt;=W$3,$I313&lt;=W$2),$E313,0),$E313*NETWORKDAYS(MAX($I313,W$3),MIN($J313,W$2),Data!$K$4:$K$203)/$K313)))</f>
        <v>0</v>
      </c>
      <c r="X313" s="166">
        <f>IF(OR($I313="",$E313=0),0,IF(OR($J313&lt;X$3,$I313&gt;X$2),0,IF($K313=0,IF(AND($I313&gt;=X$3,$I313&lt;=X$2),$E313,0),$E313*NETWORKDAYS(MAX($I313,X$3),MIN($J313,X$2),Data!$K$4:$K$203)/$K313)))</f>
        <v>0</v>
      </c>
      <c r="Y313" s="166">
        <f>IF(OR($I313="",$E313=0),0,IF(OR($J313&lt;Y$3,$I313&gt;Y$2),0,IF($K313=0,IF(AND($I313&gt;=Y$3,$I313&lt;=Y$2),$E313,0),$E313*NETWORKDAYS(MAX($I313,Y$3),MIN($J313,Y$2),Data!$K$4:$K$203)/$K313)))</f>
        <v>0</v>
      </c>
      <c r="Z313" s="166">
        <f>IF(OR($I313="",$E313=0),0,IF(OR($J313&lt;Z$3,$I313&gt;Z$2),0,IF($K313=0,IF(AND($I313&gt;=Z$3,$I313&lt;=Z$2),$E313,0),$E313*NETWORKDAYS(MAX($I313,Z$3),MIN($J313,Z$2),Data!$K$4:$K$203)/$K313)))</f>
        <v>0</v>
      </c>
      <c r="AA313" s="166">
        <f>IF(OR($I313="",$E313=0),0,IF(OR($J313&lt;AA$3,$I313&gt;AA$2),0,IF($K313=0,IF(AND($I313&gt;=AA$3,$I313&lt;=AA$2),$E313,0),$E313*NETWORKDAYS(MAX($I313,AA$3),MIN($J313,AA$2),Data!$K$4:$K$203)/$K313)))</f>
        <v>0</v>
      </c>
      <c r="AB313" s="166">
        <f>IF(OR($I313="",$E313=0),0,IF(OR($J313&lt;AB$3,$I313&gt;AB$2),0,IF($K313=0,IF(AND($I313&gt;=AB$3,$I313&lt;=AB$2),$E313,0),$E313*NETWORKDAYS(MAX($I313,AB$3),MIN($J313,AB$2),Data!$K$4:$K$203)/$K313)))</f>
        <v>0</v>
      </c>
      <c r="AC313" s="166">
        <f>IF(OR($I313="",$E313=0),0,IF(OR($J313&lt;AC$3,$I313&gt;AC$2),0,IF($K313=0,IF(AND($I313&gt;=AC$3,$I313&lt;=AC$2),$E313,0),$E313*NETWORKDAYS(MAX($I313,AC$3),MIN($J313,AC$2),Data!$K$4:$K$203)/$K313)))</f>
        <v>0</v>
      </c>
      <c r="AD313" s="166">
        <f>IF(OR($I313="",$E313=0),0,IF(OR($J313&lt;AD$3,$I313&gt;AD$2),0,IF($K313=0,IF(AND($I313&gt;=AD$3,$I313&lt;=AD$2),$E313,0),$E313*NETWORKDAYS(MAX($I313,AD$3),MIN($J313,AD$2),Data!$K$4:$K$203)/$K313)))</f>
        <v>0</v>
      </c>
      <c r="AE313" s="166">
        <f>IF(OR($I313="",$E313=0),0,IF(OR($J313&lt;AE$3,$I313&gt;AE$2),0,IF($K313=0,IF(AND($I313&gt;=AE$3,$I313&lt;=AE$2),$E313,0),$E313*NETWORKDAYS(MAX($I313,AE$3),MIN($J313,AE$2),Data!$K$4:$K$203)/$K313)))</f>
        <v>0</v>
      </c>
      <c r="AF313" s="166">
        <f>IF(OR($I313="",$E313=0),0,IF(OR($J313&lt;AF$3,$I313&gt;AF$2),0,IF($K313=0,IF(AND($I313&gt;=AF$3,$I313&lt;=AF$2),$E313,0),$E313*NETWORKDAYS(MAX($I313,AF$3),MIN($J313,AF$2),Data!$K$4:$K$203)/$K313)))</f>
        <v>0</v>
      </c>
      <c r="AG313" s="166">
        <f>IF(OR($I313="",$E313=0),0,IF(OR($J313&lt;AG$3,$I313&gt;AG$2),0,IF($K313=0,IF(AND($I313&gt;=AG$3,$I313&lt;=AG$2),$E313,0),$E313*NETWORKDAYS(MAX($I313,AG$3),MIN($J313,AG$2),Data!$K$4:$K$203)/$K313)))</f>
        <v>0</v>
      </c>
      <c r="AH313" s="166">
        <f>IF(OR($I313="",$E313=0),0,IF(OR($J313&lt;AH$3,$I313&gt;AH$2),0,IF($K313=0,IF(AND($I313&gt;=AH$3,$I313&lt;=AH$2),$E313,0),$E313*NETWORKDAYS(MAX($I313,AH$3),MIN($J313,AH$2),Data!$K$4:$K$203)/$K313)))</f>
        <v>0</v>
      </c>
      <c r="AI313" s="166">
        <f>SUM(W313:AH313)</f>
        <v>0</v>
      </c>
      <c r="BZ313" t="str">
        <f>IF(D313=1,IF(TRIM(INDEX(Charge!$K:$K,ROW()))&lt;&gt;"",TRIM(INDEX(Charge!$K:$K,ROW())),IF(TRIM(INDEX(Charge!$L:$L,ROW()))&lt;&gt;"",TRIM(INDEX(Charge!$L:$L,ROW())),"(non affecté)")),"")</f>
        <v/>
      </c>
      <c r="CA313" t="str">
        <f>IF(AND($CD$4&lt;&gt;"",BZ313=$CD$4),COUNTIFS($BZ$4:$BZ$503,$CD$4,$L$4:$L$503,"&lt;"&amp;L313)+1,"")</f>
        <v/>
      </c>
      <c r="EM313" t="str">
        <f>IF(D313=1,IF(TRIM(INDEX(Charge!$K:$K,ROW()))&lt;&gt;"","Interne",IF(TRIM(INDEX(Charge!$L:$L,ROW()))&lt;&gt;"","Externe","Non affecté")),"")</f>
        <v/>
      </c>
      <c r="EN313" t="str">
        <f>IF(D313=1,LEFT(SUBSTITUTE(SUBSTITUTE(SUBSTITUTE(TRIM(SUBSTITUTE(INDEX(Charge!$B:$B,ROW()),CHAR(160)," "))&amp;" | "&amp;TRIM(SUBSTITUTE(INDEX(Charge!$C:$C,ROW()),CHAR(160)," "))&amp;" | "&amp;TRIM(SUBSTITUTE(INDEX(Charge!$D:$D,ROW()),CHAR(160)," ")),"~","-"),"*","+"),"?","!"),240),"")</f>
        <v/>
      </c>
      <c r="EO313">
        <f>IF(EN313="",0,IF(COUNTIF($EN$4:EN313,EN313)=1,1,0))</f>
        <v>0</v>
      </c>
      <c r="EP313" s="166" t="str">
        <f>IF(EO313=1,ROUND(SUMIF($EN$4:$EN$503,EN313,$E$4:$E$503),2),"")</f>
        <v/>
      </c>
      <c r="EQ313" t="str">
        <f>IF(EO313=1,COUNTIFS($EO$4:$EO$503,1,$EP$4:$EP$503,"&gt;"&amp;EP313)+COUNTIFS($EO$4:EO313,1,$EP$4:EP313,EP313),"")</f>
        <v/>
      </c>
      <c r="ER313" t="str">
        <f>IF(EO313=1,COUNTIFS($EN$4:$EN$503,EN313,$EM$4:$EM$503,"Interne",$FE$4:$FE$503,1),"")</f>
        <v/>
      </c>
      <c r="ES313" t="str">
        <f>IF(EO313=1,COUNTIFS($EN$4:$EN$503,EN313,$EM$4:$EM$503,"Externe",$FE$4:$FE$503,1),"")</f>
        <v/>
      </c>
      <c r="ET313" t="str">
        <f>IF(EO313=1,IF(ER313+ES313=0,"à affecter",IF(ER313=0,ES313&amp;" ext.",(ER313+ES313)&amp;IF(ES313&gt;0," dont "&amp;ES313&amp;" ext.",""))&amp;IF(COUNTIFS($EN$4:$EN$503,EN313,$EM$4:$EM$503,"Non affecté")&gt;0," + à affecter","")),"")</f>
        <v/>
      </c>
      <c r="EU313" s="170" t="str">
        <f>IF(EO313=1,IF(EP313&gt;0,SUMPRODUCT(($EN$4:$EN$503=EN313)*$E$4:$E$503*$C$4:$C$503)/EP313,AVERAGEIF($EN$4:$EN$503,EN313,$C$4:$C$503)),"")</f>
        <v/>
      </c>
      <c r="EV313" s="165">
        <f>IF(ISNUMBER(I313),I313,2958465)</f>
        <v>2958465.0</v>
      </c>
      <c r="EW313" s="165" t="str">
        <f>IF(EO313=1,SUMPRODUCT(MIN(($EN$4:$EN$503=EN313)*$EV$4:$EV$503+($EN$4:$EN$503&lt;&gt;EN313)*2958465)),"")</f>
        <v/>
      </c>
      <c r="EX313" s="165">
        <f>IF(AND(D313=1,ISNUMBER(INDEX(Charge!$F:$F,ROW()))),INDEX(Charge!$F:$F,ROW()),0)</f>
        <v>0.0</v>
      </c>
      <c r="EY313" s="165" t="str">
        <f>IF(EO313=1,SUMPRODUCT(MAX(($EN$4:$EN$503=EN313)*$EX$4:$EX$503)),"")</f>
        <v/>
      </c>
      <c r="FA313" t="str">
        <f>IF(310&lt;=$CD$23,INDEX($EJ$4:$EJ$203,310),IF(310-$CD$23&lt;=$CD$26,INDEX($EK$4:$EK$203,310-$CD$23),""))</f>
        <v/>
      </c>
      <c r="FB313" t="str">
        <f>IF(FA313="","",IF(310&lt;=$CD$23,"Interne","Externe"))</f>
        <v/>
      </c>
      <c r="FD313">
        <f>IF(AND(B313=1,TRIM(INDEX(Charge!$K:$K,ROW()))&lt;&gt;"",TRIM(INDEX(Charge!$L:$L,ROW()))&lt;&gt;""),1,0)</f>
        <v>0</v>
      </c>
      <c r="FE313">
        <f>IF(OR(EN313="",BZ313="(non affecté)"),0,IF(COUNTIFS($EN$4:EN313,EN313,$BZ$4:BZ313,BZ313)=1,1,0))</f>
        <v>0</v>
      </c>
    </row>
    <row r="314">
      <c r="A314">
        <f>ROW()</f>
        <v>314</v>
      </c>
      <c r="B314">
        <f>IF(TRIM(INDEX(Charge!$B:$B,ROW()))&lt;&gt;"",1,0)</f>
        <v>0</v>
      </c>
      <c r="C314">
        <f>IF(B314=1,MIN(1,MAX(0,N(INDEX(Charge!$O:$O,ROW())))),0)</f>
        <v>0</v>
      </c>
      <c r="D314">
        <f>IF(B314=1,IF(OR(p_Perimetre="Tous les projets",C314&lt;1),1,0),0)</f>
        <v>0</v>
      </c>
      <c r="E314">
        <f>IF(D314=1,MAX(0,N(INDEX(Charge!$M:$M,ROW()))),0)</f>
        <v>0</v>
      </c>
      <c r="F314" t="str">
        <f>IF(D314=1,IF(TRIM(INDEX(Charge!$A:$A,ROW()))="","(non renseigné)",TRIM(INDEX(Charge!$A:$A,ROW()))),"")</f>
        <v/>
      </c>
      <c r="G314" t="str">
        <f>IF(D314=1,TRIM(INDEX(Charge!$B:$B,ROW())),"")</f>
        <v/>
      </c>
      <c r="H314" t="str">
        <f>IF(D314=1,IF(TRIM(INDEX(Charge!$E:$E,ROW()))="","(non renseigné)",TRIM(INDEX(Charge!$E:$E,ROW()))),"")</f>
        <v/>
      </c>
      <c r="I314" s="165" t="str">
        <f>IF(AND(D314=1,ISNUMBER(INDEX(Charge!$N:$N,ROW()))),INDEX(Charge!$N:$N,ROW()),"")</f>
        <v/>
      </c>
      <c r="J314" s="165" t="str">
        <f>IF(I314="","",IF(AND(p_Repartition="Lissée jusqu'à la date de besoin",ISNUMBER(INDEX(Charge!$F:$F,ROW()))),IF(INDEX(Charge!$F:$F,ROW())&gt;=I314,INDEX(Charge!$F:$F,ROW()),I314),I314))</f>
        <v/>
      </c>
      <c r="K314" t="str">
        <f>IF(I314="","",NETWORKDAYS(I314,J314,Data!$K$4:$K$203))</f>
        <v/>
      </c>
      <c r="L314" t="str">
        <f>IF(D314=1,COUNTIFS($D$4:$D$503,1,$E$4:$E$503,"&gt;"&amp;E314)+COUNTIFS($D$4:$D314,1,$E$4:$E314,E314),"")</f>
        <v/>
      </c>
      <c r="M314">
        <f>IF(F314="",0,IF(COUNTIF($F$4:F314,F314)=1,1,0))</f>
        <v>0</v>
      </c>
      <c r="N314" t="str">
        <f>IF(M314=1,ROUND(SUMIF($F$4:$F$503,F314,$E$4:$E$503),2),"")</f>
        <v/>
      </c>
      <c r="O314" t="str">
        <f>IF(M314=1,COUNTIFS($M$4:$M$503,1,$N$4:$N$503,"&gt;"&amp;N314)+COUNTIFS($M$4:M314,1,$N$4:N314,N314),"")</f>
        <v/>
      </c>
      <c r="P314">
        <f>IF(G314="",0,IF(COUNTIF($G$4:G314,G314)=1,1,0))</f>
        <v>0</v>
      </c>
      <c r="Q314" t="str">
        <f>IF(P314=1,ROUND(SUMIF($G$4:$G$503,G314,$E$4:$E$503),2),"")</f>
        <v/>
      </c>
      <c r="R314" t="str">
        <f>IF(P314=1,COUNTIFS($P$4:$P$503,1,$Q$4:$Q$503,"&gt;"&amp;Q314)+COUNTIFS($P$4:P314,1,$Q$4:Q314,Q314),"")</f>
        <v/>
      </c>
      <c r="S314">
        <f>IF(H314="",0,IF(COUNTIF($H$4:H314,H314)=1,1,0))</f>
        <v>0</v>
      </c>
      <c r="T314" t="str">
        <f>IF(S314=1,ROUND(SUMIF($H$4:$H$503,H314,$E$4:$E$503),2),"")</f>
        <v/>
      </c>
      <c r="U314" t="str">
        <f>IF(S314=1,COUNTIFS($S$4:$S$503,1,$T$4:$T$503,"&gt;"&amp;T314)+COUNTIFS($S$4:S314,1,$T$4:T314,T314),"")</f>
        <v/>
      </c>
      <c r="V314" t="str">
        <f>IF(D314=1,MIN(INDEX($R$4:$R$503,MATCH(G314,$G$4:$G$503,0)),IF($AL$7&gt;9,9,999)),"")</f>
        <v/>
      </c>
      <c r="W314" s="166">
        <f>IF(OR($I314="",$E314=0),0,IF(OR($J314&lt;W$3,$I314&gt;W$2),0,IF($K314=0,IF(AND($I314&gt;=W$3,$I314&lt;=W$2),$E314,0),$E314*NETWORKDAYS(MAX($I314,W$3),MIN($J314,W$2),Data!$K$4:$K$203)/$K314)))</f>
        <v>0</v>
      </c>
      <c r="X314" s="166">
        <f>IF(OR($I314="",$E314=0),0,IF(OR($J314&lt;X$3,$I314&gt;X$2),0,IF($K314=0,IF(AND($I314&gt;=X$3,$I314&lt;=X$2),$E314,0),$E314*NETWORKDAYS(MAX($I314,X$3),MIN($J314,X$2),Data!$K$4:$K$203)/$K314)))</f>
        <v>0</v>
      </c>
      <c r="Y314" s="166">
        <f>IF(OR($I314="",$E314=0),0,IF(OR($J314&lt;Y$3,$I314&gt;Y$2),0,IF($K314=0,IF(AND($I314&gt;=Y$3,$I314&lt;=Y$2),$E314,0),$E314*NETWORKDAYS(MAX($I314,Y$3),MIN($J314,Y$2),Data!$K$4:$K$203)/$K314)))</f>
        <v>0</v>
      </c>
      <c r="Z314" s="166">
        <f>IF(OR($I314="",$E314=0),0,IF(OR($J314&lt;Z$3,$I314&gt;Z$2),0,IF($K314=0,IF(AND($I314&gt;=Z$3,$I314&lt;=Z$2),$E314,0),$E314*NETWORKDAYS(MAX($I314,Z$3),MIN($J314,Z$2),Data!$K$4:$K$203)/$K314)))</f>
        <v>0</v>
      </c>
      <c r="AA314" s="166">
        <f>IF(OR($I314="",$E314=0),0,IF(OR($J314&lt;AA$3,$I314&gt;AA$2),0,IF($K314=0,IF(AND($I314&gt;=AA$3,$I314&lt;=AA$2),$E314,0),$E314*NETWORKDAYS(MAX($I314,AA$3),MIN($J314,AA$2),Data!$K$4:$K$203)/$K314)))</f>
        <v>0</v>
      </c>
      <c r="AB314" s="166">
        <f>IF(OR($I314="",$E314=0),0,IF(OR($J314&lt;AB$3,$I314&gt;AB$2),0,IF($K314=0,IF(AND($I314&gt;=AB$3,$I314&lt;=AB$2),$E314,0),$E314*NETWORKDAYS(MAX($I314,AB$3),MIN($J314,AB$2),Data!$K$4:$K$203)/$K314)))</f>
        <v>0</v>
      </c>
      <c r="AC314" s="166">
        <f>IF(OR($I314="",$E314=0),0,IF(OR($J314&lt;AC$3,$I314&gt;AC$2),0,IF($K314=0,IF(AND($I314&gt;=AC$3,$I314&lt;=AC$2),$E314,0),$E314*NETWORKDAYS(MAX($I314,AC$3),MIN($J314,AC$2),Data!$K$4:$K$203)/$K314)))</f>
        <v>0</v>
      </c>
      <c r="AD314" s="166">
        <f>IF(OR($I314="",$E314=0),0,IF(OR($J314&lt;AD$3,$I314&gt;AD$2),0,IF($K314=0,IF(AND($I314&gt;=AD$3,$I314&lt;=AD$2),$E314,0),$E314*NETWORKDAYS(MAX($I314,AD$3),MIN($J314,AD$2),Data!$K$4:$K$203)/$K314)))</f>
        <v>0</v>
      </c>
      <c r="AE314" s="166">
        <f>IF(OR($I314="",$E314=0),0,IF(OR($J314&lt;AE$3,$I314&gt;AE$2),0,IF($K314=0,IF(AND($I314&gt;=AE$3,$I314&lt;=AE$2),$E314,0),$E314*NETWORKDAYS(MAX($I314,AE$3),MIN($J314,AE$2),Data!$K$4:$K$203)/$K314)))</f>
        <v>0</v>
      </c>
      <c r="AF314" s="166">
        <f>IF(OR($I314="",$E314=0),0,IF(OR($J314&lt;AF$3,$I314&gt;AF$2),0,IF($K314=0,IF(AND($I314&gt;=AF$3,$I314&lt;=AF$2),$E314,0),$E314*NETWORKDAYS(MAX($I314,AF$3),MIN($J314,AF$2),Data!$K$4:$K$203)/$K314)))</f>
        <v>0</v>
      </c>
      <c r="AG314" s="166">
        <f>IF(OR($I314="",$E314=0),0,IF(OR($J314&lt;AG$3,$I314&gt;AG$2),0,IF($K314=0,IF(AND($I314&gt;=AG$3,$I314&lt;=AG$2),$E314,0),$E314*NETWORKDAYS(MAX($I314,AG$3),MIN($J314,AG$2),Data!$K$4:$K$203)/$K314)))</f>
        <v>0</v>
      </c>
      <c r="AH314" s="166">
        <f>IF(OR($I314="",$E314=0),0,IF(OR($J314&lt;AH$3,$I314&gt;AH$2),0,IF($K314=0,IF(AND($I314&gt;=AH$3,$I314&lt;=AH$2),$E314,0),$E314*NETWORKDAYS(MAX($I314,AH$3),MIN($J314,AH$2),Data!$K$4:$K$203)/$K314)))</f>
        <v>0</v>
      </c>
      <c r="AI314" s="166">
        <f>SUM(W314:AH314)</f>
        <v>0</v>
      </c>
      <c r="BZ314" t="str">
        <f>IF(D314=1,IF(TRIM(INDEX(Charge!$K:$K,ROW()))&lt;&gt;"",TRIM(INDEX(Charge!$K:$K,ROW())),IF(TRIM(INDEX(Charge!$L:$L,ROW()))&lt;&gt;"",TRIM(INDEX(Charge!$L:$L,ROW())),"(non affecté)")),"")</f>
        <v/>
      </c>
      <c r="CA314" t="str">
        <f>IF(AND($CD$4&lt;&gt;"",BZ314=$CD$4),COUNTIFS($BZ$4:$BZ$503,$CD$4,$L$4:$L$503,"&lt;"&amp;L314)+1,"")</f>
        <v/>
      </c>
      <c r="EM314" t="str">
        <f>IF(D314=1,IF(TRIM(INDEX(Charge!$K:$K,ROW()))&lt;&gt;"","Interne",IF(TRIM(INDEX(Charge!$L:$L,ROW()))&lt;&gt;"","Externe","Non affecté")),"")</f>
        <v/>
      </c>
      <c r="EN314" t="str">
        <f>IF(D314=1,LEFT(SUBSTITUTE(SUBSTITUTE(SUBSTITUTE(TRIM(SUBSTITUTE(INDEX(Charge!$B:$B,ROW()),CHAR(160)," "))&amp;" | "&amp;TRIM(SUBSTITUTE(INDEX(Charge!$C:$C,ROW()),CHAR(160)," "))&amp;" | "&amp;TRIM(SUBSTITUTE(INDEX(Charge!$D:$D,ROW()),CHAR(160)," ")),"~","-"),"*","+"),"?","!"),240),"")</f>
        <v/>
      </c>
      <c r="EO314">
        <f>IF(EN314="",0,IF(COUNTIF($EN$4:EN314,EN314)=1,1,0))</f>
        <v>0</v>
      </c>
      <c r="EP314" s="166" t="str">
        <f>IF(EO314=1,ROUND(SUMIF($EN$4:$EN$503,EN314,$E$4:$E$503),2),"")</f>
        <v/>
      </c>
      <c r="EQ314" t="str">
        <f>IF(EO314=1,COUNTIFS($EO$4:$EO$503,1,$EP$4:$EP$503,"&gt;"&amp;EP314)+COUNTIFS($EO$4:EO314,1,$EP$4:EP314,EP314),"")</f>
        <v/>
      </c>
      <c r="ER314" t="str">
        <f>IF(EO314=1,COUNTIFS($EN$4:$EN$503,EN314,$EM$4:$EM$503,"Interne",$FE$4:$FE$503,1),"")</f>
        <v/>
      </c>
      <c r="ES314" t="str">
        <f>IF(EO314=1,COUNTIFS($EN$4:$EN$503,EN314,$EM$4:$EM$503,"Externe",$FE$4:$FE$503,1),"")</f>
        <v/>
      </c>
      <c r="ET314" t="str">
        <f>IF(EO314=1,IF(ER314+ES314=0,"à affecter",IF(ER314=0,ES314&amp;" ext.",(ER314+ES314)&amp;IF(ES314&gt;0," dont "&amp;ES314&amp;" ext.",""))&amp;IF(COUNTIFS($EN$4:$EN$503,EN314,$EM$4:$EM$503,"Non affecté")&gt;0," + à affecter","")),"")</f>
        <v/>
      </c>
      <c r="EU314" s="170" t="str">
        <f>IF(EO314=1,IF(EP314&gt;0,SUMPRODUCT(($EN$4:$EN$503=EN314)*$E$4:$E$503*$C$4:$C$503)/EP314,AVERAGEIF($EN$4:$EN$503,EN314,$C$4:$C$503)),"")</f>
        <v/>
      </c>
      <c r="EV314" s="165">
        <f>IF(ISNUMBER(I314),I314,2958465)</f>
        <v>2958465.0</v>
      </c>
      <c r="EW314" s="165" t="str">
        <f>IF(EO314=1,SUMPRODUCT(MIN(($EN$4:$EN$503=EN314)*$EV$4:$EV$503+($EN$4:$EN$503&lt;&gt;EN314)*2958465)),"")</f>
        <v/>
      </c>
      <c r="EX314" s="165">
        <f>IF(AND(D314=1,ISNUMBER(INDEX(Charge!$F:$F,ROW()))),INDEX(Charge!$F:$F,ROW()),0)</f>
        <v>0.0</v>
      </c>
      <c r="EY314" s="165" t="str">
        <f>IF(EO314=1,SUMPRODUCT(MAX(($EN$4:$EN$503=EN314)*$EX$4:$EX$503)),"")</f>
        <v/>
      </c>
      <c r="FA314" t="str">
        <f>IF(311&lt;=$CD$23,INDEX($EJ$4:$EJ$203,311),IF(311-$CD$23&lt;=$CD$26,INDEX($EK$4:$EK$203,311-$CD$23),""))</f>
        <v/>
      </c>
      <c r="FB314" t="str">
        <f>IF(FA314="","",IF(311&lt;=$CD$23,"Interne","Externe"))</f>
        <v/>
      </c>
      <c r="FD314">
        <f>IF(AND(B314=1,TRIM(INDEX(Charge!$K:$K,ROW()))&lt;&gt;"",TRIM(INDEX(Charge!$L:$L,ROW()))&lt;&gt;""),1,0)</f>
        <v>0</v>
      </c>
      <c r="FE314">
        <f>IF(OR(EN314="",BZ314="(non affecté)"),0,IF(COUNTIFS($EN$4:EN314,EN314,$BZ$4:BZ314,BZ314)=1,1,0))</f>
        <v>0</v>
      </c>
    </row>
    <row r="315">
      <c r="A315">
        <f>ROW()</f>
        <v>315</v>
      </c>
      <c r="B315">
        <f>IF(TRIM(INDEX(Charge!$B:$B,ROW()))&lt;&gt;"",1,0)</f>
        <v>0</v>
      </c>
      <c r="C315">
        <f>IF(B315=1,MIN(1,MAX(0,N(INDEX(Charge!$O:$O,ROW())))),0)</f>
        <v>0</v>
      </c>
      <c r="D315">
        <f>IF(B315=1,IF(OR(p_Perimetre="Tous les projets",C315&lt;1),1,0),0)</f>
        <v>0</v>
      </c>
      <c r="E315">
        <f>IF(D315=1,MAX(0,N(INDEX(Charge!$M:$M,ROW()))),0)</f>
        <v>0</v>
      </c>
      <c r="F315" t="str">
        <f>IF(D315=1,IF(TRIM(INDEX(Charge!$A:$A,ROW()))="","(non renseigné)",TRIM(INDEX(Charge!$A:$A,ROW()))),"")</f>
        <v/>
      </c>
      <c r="G315" t="str">
        <f>IF(D315=1,TRIM(INDEX(Charge!$B:$B,ROW())),"")</f>
        <v/>
      </c>
      <c r="H315" t="str">
        <f>IF(D315=1,IF(TRIM(INDEX(Charge!$E:$E,ROW()))="","(non renseigné)",TRIM(INDEX(Charge!$E:$E,ROW()))),"")</f>
        <v/>
      </c>
      <c r="I315" s="165" t="str">
        <f>IF(AND(D315=1,ISNUMBER(INDEX(Charge!$N:$N,ROW()))),INDEX(Charge!$N:$N,ROW()),"")</f>
        <v/>
      </c>
      <c r="J315" s="165" t="str">
        <f>IF(I315="","",IF(AND(p_Repartition="Lissée jusqu'à la date de besoin",ISNUMBER(INDEX(Charge!$F:$F,ROW()))),IF(INDEX(Charge!$F:$F,ROW())&gt;=I315,INDEX(Charge!$F:$F,ROW()),I315),I315))</f>
        <v/>
      </c>
      <c r="K315" t="str">
        <f>IF(I315="","",NETWORKDAYS(I315,J315,Data!$K$4:$K$203))</f>
        <v/>
      </c>
      <c r="L315" t="str">
        <f>IF(D315=1,COUNTIFS($D$4:$D$503,1,$E$4:$E$503,"&gt;"&amp;E315)+COUNTIFS($D$4:$D315,1,$E$4:$E315,E315),"")</f>
        <v/>
      </c>
      <c r="M315">
        <f>IF(F315="",0,IF(COUNTIF($F$4:F315,F315)=1,1,0))</f>
        <v>0</v>
      </c>
      <c r="N315" t="str">
        <f>IF(M315=1,ROUND(SUMIF($F$4:$F$503,F315,$E$4:$E$503),2),"")</f>
        <v/>
      </c>
      <c r="O315" t="str">
        <f>IF(M315=1,COUNTIFS($M$4:$M$503,1,$N$4:$N$503,"&gt;"&amp;N315)+COUNTIFS($M$4:M315,1,$N$4:N315,N315),"")</f>
        <v/>
      </c>
      <c r="P315">
        <f>IF(G315="",0,IF(COUNTIF($G$4:G315,G315)=1,1,0))</f>
        <v>0</v>
      </c>
      <c r="Q315" t="str">
        <f>IF(P315=1,ROUND(SUMIF($G$4:$G$503,G315,$E$4:$E$503),2),"")</f>
        <v/>
      </c>
      <c r="R315" t="str">
        <f>IF(P315=1,COUNTIFS($P$4:$P$503,1,$Q$4:$Q$503,"&gt;"&amp;Q315)+COUNTIFS($P$4:P315,1,$Q$4:Q315,Q315),"")</f>
        <v/>
      </c>
      <c r="S315">
        <f>IF(H315="",0,IF(COUNTIF($H$4:H315,H315)=1,1,0))</f>
        <v>0</v>
      </c>
      <c r="T315" t="str">
        <f>IF(S315=1,ROUND(SUMIF($H$4:$H$503,H315,$E$4:$E$503),2),"")</f>
        <v/>
      </c>
      <c r="U315" t="str">
        <f>IF(S315=1,COUNTIFS($S$4:$S$503,1,$T$4:$T$503,"&gt;"&amp;T315)+COUNTIFS($S$4:S315,1,$T$4:T315,T315),"")</f>
        <v/>
      </c>
      <c r="V315" t="str">
        <f>IF(D315=1,MIN(INDEX($R$4:$R$503,MATCH(G315,$G$4:$G$503,0)),IF($AL$7&gt;9,9,999)),"")</f>
        <v/>
      </c>
      <c r="W315" s="166">
        <f>IF(OR($I315="",$E315=0),0,IF(OR($J315&lt;W$3,$I315&gt;W$2),0,IF($K315=0,IF(AND($I315&gt;=W$3,$I315&lt;=W$2),$E315,0),$E315*NETWORKDAYS(MAX($I315,W$3),MIN($J315,W$2),Data!$K$4:$K$203)/$K315)))</f>
        <v>0</v>
      </c>
      <c r="X315" s="166">
        <f>IF(OR($I315="",$E315=0),0,IF(OR($J315&lt;X$3,$I315&gt;X$2),0,IF($K315=0,IF(AND($I315&gt;=X$3,$I315&lt;=X$2),$E315,0),$E315*NETWORKDAYS(MAX($I315,X$3),MIN($J315,X$2),Data!$K$4:$K$203)/$K315)))</f>
        <v>0</v>
      </c>
      <c r="Y315" s="166">
        <f>IF(OR($I315="",$E315=0),0,IF(OR($J315&lt;Y$3,$I315&gt;Y$2),0,IF($K315=0,IF(AND($I315&gt;=Y$3,$I315&lt;=Y$2),$E315,0),$E315*NETWORKDAYS(MAX($I315,Y$3),MIN($J315,Y$2),Data!$K$4:$K$203)/$K315)))</f>
        <v>0</v>
      </c>
      <c r="Z315" s="166">
        <f>IF(OR($I315="",$E315=0),0,IF(OR($J315&lt;Z$3,$I315&gt;Z$2),0,IF($K315=0,IF(AND($I315&gt;=Z$3,$I315&lt;=Z$2),$E315,0),$E315*NETWORKDAYS(MAX($I315,Z$3),MIN($J315,Z$2),Data!$K$4:$K$203)/$K315)))</f>
        <v>0</v>
      </c>
      <c r="AA315" s="166">
        <f>IF(OR($I315="",$E315=0),0,IF(OR($J315&lt;AA$3,$I315&gt;AA$2),0,IF($K315=0,IF(AND($I315&gt;=AA$3,$I315&lt;=AA$2),$E315,0),$E315*NETWORKDAYS(MAX($I315,AA$3),MIN($J315,AA$2),Data!$K$4:$K$203)/$K315)))</f>
        <v>0</v>
      </c>
      <c r="AB315" s="166">
        <f>IF(OR($I315="",$E315=0),0,IF(OR($J315&lt;AB$3,$I315&gt;AB$2),0,IF($K315=0,IF(AND($I315&gt;=AB$3,$I315&lt;=AB$2),$E315,0),$E315*NETWORKDAYS(MAX($I315,AB$3),MIN($J315,AB$2),Data!$K$4:$K$203)/$K315)))</f>
        <v>0</v>
      </c>
      <c r="AC315" s="166">
        <f>IF(OR($I315="",$E315=0),0,IF(OR($J315&lt;AC$3,$I315&gt;AC$2),0,IF($K315=0,IF(AND($I315&gt;=AC$3,$I315&lt;=AC$2),$E315,0),$E315*NETWORKDAYS(MAX($I315,AC$3),MIN($J315,AC$2),Data!$K$4:$K$203)/$K315)))</f>
        <v>0</v>
      </c>
      <c r="AD315" s="166">
        <f>IF(OR($I315="",$E315=0),0,IF(OR($J315&lt;AD$3,$I315&gt;AD$2),0,IF($K315=0,IF(AND($I315&gt;=AD$3,$I315&lt;=AD$2),$E315,0),$E315*NETWORKDAYS(MAX($I315,AD$3),MIN($J315,AD$2),Data!$K$4:$K$203)/$K315)))</f>
        <v>0</v>
      </c>
      <c r="AE315" s="166">
        <f>IF(OR($I315="",$E315=0),0,IF(OR($J315&lt;AE$3,$I315&gt;AE$2),0,IF($K315=0,IF(AND($I315&gt;=AE$3,$I315&lt;=AE$2),$E315,0),$E315*NETWORKDAYS(MAX($I315,AE$3),MIN($J315,AE$2),Data!$K$4:$K$203)/$K315)))</f>
        <v>0</v>
      </c>
      <c r="AF315" s="166">
        <f>IF(OR($I315="",$E315=0),0,IF(OR($J315&lt;AF$3,$I315&gt;AF$2),0,IF($K315=0,IF(AND($I315&gt;=AF$3,$I315&lt;=AF$2),$E315,0),$E315*NETWORKDAYS(MAX($I315,AF$3),MIN($J315,AF$2),Data!$K$4:$K$203)/$K315)))</f>
        <v>0</v>
      </c>
      <c r="AG315" s="166">
        <f>IF(OR($I315="",$E315=0),0,IF(OR($J315&lt;AG$3,$I315&gt;AG$2),0,IF($K315=0,IF(AND($I315&gt;=AG$3,$I315&lt;=AG$2),$E315,0),$E315*NETWORKDAYS(MAX($I315,AG$3),MIN($J315,AG$2),Data!$K$4:$K$203)/$K315)))</f>
        <v>0</v>
      </c>
      <c r="AH315" s="166">
        <f>IF(OR($I315="",$E315=0),0,IF(OR($J315&lt;AH$3,$I315&gt;AH$2),0,IF($K315=0,IF(AND($I315&gt;=AH$3,$I315&lt;=AH$2),$E315,0),$E315*NETWORKDAYS(MAX($I315,AH$3),MIN($J315,AH$2),Data!$K$4:$K$203)/$K315)))</f>
        <v>0</v>
      </c>
      <c r="AI315" s="166">
        <f>SUM(W315:AH315)</f>
        <v>0</v>
      </c>
      <c r="BZ315" t="str">
        <f>IF(D315=1,IF(TRIM(INDEX(Charge!$K:$K,ROW()))&lt;&gt;"",TRIM(INDEX(Charge!$K:$K,ROW())),IF(TRIM(INDEX(Charge!$L:$L,ROW()))&lt;&gt;"",TRIM(INDEX(Charge!$L:$L,ROW())),"(non affecté)")),"")</f>
        <v/>
      </c>
      <c r="CA315" t="str">
        <f>IF(AND($CD$4&lt;&gt;"",BZ315=$CD$4),COUNTIFS($BZ$4:$BZ$503,$CD$4,$L$4:$L$503,"&lt;"&amp;L315)+1,"")</f>
        <v/>
      </c>
      <c r="EM315" t="str">
        <f>IF(D315=1,IF(TRIM(INDEX(Charge!$K:$K,ROW()))&lt;&gt;"","Interne",IF(TRIM(INDEX(Charge!$L:$L,ROW()))&lt;&gt;"","Externe","Non affecté")),"")</f>
        <v/>
      </c>
      <c r="EN315" t="str">
        <f>IF(D315=1,LEFT(SUBSTITUTE(SUBSTITUTE(SUBSTITUTE(TRIM(SUBSTITUTE(INDEX(Charge!$B:$B,ROW()),CHAR(160)," "))&amp;" | "&amp;TRIM(SUBSTITUTE(INDEX(Charge!$C:$C,ROW()),CHAR(160)," "))&amp;" | "&amp;TRIM(SUBSTITUTE(INDEX(Charge!$D:$D,ROW()),CHAR(160)," ")),"~","-"),"*","+"),"?","!"),240),"")</f>
        <v/>
      </c>
      <c r="EO315">
        <f>IF(EN315="",0,IF(COUNTIF($EN$4:EN315,EN315)=1,1,0))</f>
        <v>0</v>
      </c>
      <c r="EP315" s="166" t="str">
        <f>IF(EO315=1,ROUND(SUMIF($EN$4:$EN$503,EN315,$E$4:$E$503),2),"")</f>
        <v/>
      </c>
      <c r="EQ315" t="str">
        <f>IF(EO315=1,COUNTIFS($EO$4:$EO$503,1,$EP$4:$EP$503,"&gt;"&amp;EP315)+COUNTIFS($EO$4:EO315,1,$EP$4:EP315,EP315),"")</f>
        <v/>
      </c>
      <c r="ER315" t="str">
        <f>IF(EO315=1,COUNTIFS($EN$4:$EN$503,EN315,$EM$4:$EM$503,"Interne",$FE$4:$FE$503,1),"")</f>
        <v/>
      </c>
      <c r="ES315" t="str">
        <f>IF(EO315=1,COUNTIFS($EN$4:$EN$503,EN315,$EM$4:$EM$503,"Externe",$FE$4:$FE$503,1),"")</f>
        <v/>
      </c>
      <c r="ET315" t="str">
        <f>IF(EO315=1,IF(ER315+ES315=0,"à affecter",IF(ER315=0,ES315&amp;" ext.",(ER315+ES315)&amp;IF(ES315&gt;0," dont "&amp;ES315&amp;" ext.",""))&amp;IF(COUNTIFS($EN$4:$EN$503,EN315,$EM$4:$EM$503,"Non affecté")&gt;0," + à affecter","")),"")</f>
        <v/>
      </c>
      <c r="EU315" s="170" t="str">
        <f>IF(EO315=1,IF(EP315&gt;0,SUMPRODUCT(($EN$4:$EN$503=EN315)*$E$4:$E$503*$C$4:$C$503)/EP315,AVERAGEIF($EN$4:$EN$503,EN315,$C$4:$C$503)),"")</f>
        <v/>
      </c>
      <c r="EV315" s="165">
        <f>IF(ISNUMBER(I315),I315,2958465)</f>
        <v>2958465.0</v>
      </c>
      <c r="EW315" s="165" t="str">
        <f>IF(EO315=1,SUMPRODUCT(MIN(($EN$4:$EN$503=EN315)*$EV$4:$EV$503+($EN$4:$EN$503&lt;&gt;EN315)*2958465)),"")</f>
        <v/>
      </c>
      <c r="EX315" s="165">
        <f>IF(AND(D315=1,ISNUMBER(INDEX(Charge!$F:$F,ROW()))),INDEX(Charge!$F:$F,ROW()),0)</f>
        <v>0.0</v>
      </c>
      <c r="EY315" s="165" t="str">
        <f>IF(EO315=1,SUMPRODUCT(MAX(($EN$4:$EN$503=EN315)*$EX$4:$EX$503)),"")</f>
        <v/>
      </c>
      <c r="FA315" t="str">
        <f>IF(312&lt;=$CD$23,INDEX($EJ$4:$EJ$203,312),IF(312-$CD$23&lt;=$CD$26,INDEX($EK$4:$EK$203,312-$CD$23),""))</f>
        <v/>
      </c>
      <c r="FB315" t="str">
        <f>IF(FA315="","",IF(312&lt;=$CD$23,"Interne","Externe"))</f>
        <v/>
      </c>
      <c r="FD315">
        <f>IF(AND(B315=1,TRIM(INDEX(Charge!$K:$K,ROW()))&lt;&gt;"",TRIM(INDEX(Charge!$L:$L,ROW()))&lt;&gt;""),1,0)</f>
        <v>0</v>
      </c>
      <c r="FE315">
        <f>IF(OR(EN315="",BZ315="(non affecté)"),0,IF(COUNTIFS($EN$4:EN315,EN315,$BZ$4:BZ315,BZ315)=1,1,0))</f>
        <v>0</v>
      </c>
    </row>
    <row r="316">
      <c r="A316">
        <f>ROW()</f>
        <v>316</v>
      </c>
      <c r="B316">
        <f>IF(TRIM(INDEX(Charge!$B:$B,ROW()))&lt;&gt;"",1,0)</f>
        <v>0</v>
      </c>
      <c r="C316">
        <f>IF(B316=1,MIN(1,MAX(0,N(INDEX(Charge!$O:$O,ROW())))),0)</f>
        <v>0</v>
      </c>
      <c r="D316">
        <f>IF(B316=1,IF(OR(p_Perimetre="Tous les projets",C316&lt;1),1,0),0)</f>
        <v>0</v>
      </c>
      <c r="E316">
        <f>IF(D316=1,MAX(0,N(INDEX(Charge!$M:$M,ROW()))),0)</f>
        <v>0</v>
      </c>
      <c r="F316" t="str">
        <f>IF(D316=1,IF(TRIM(INDEX(Charge!$A:$A,ROW()))="","(non renseigné)",TRIM(INDEX(Charge!$A:$A,ROW()))),"")</f>
        <v/>
      </c>
      <c r="G316" t="str">
        <f>IF(D316=1,TRIM(INDEX(Charge!$B:$B,ROW())),"")</f>
        <v/>
      </c>
      <c r="H316" t="str">
        <f>IF(D316=1,IF(TRIM(INDEX(Charge!$E:$E,ROW()))="","(non renseigné)",TRIM(INDEX(Charge!$E:$E,ROW()))),"")</f>
        <v/>
      </c>
      <c r="I316" s="165" t="str">
        <f>IF(AND(D316=1,ISNUMBER(INDEX(Charge!$N:$N,ROW()))),INDEX(Charge!$N:$N,ROW()),"")</f>
        <v/>
      </c>
      <c r="J316" s="165" t="str">
        <f>IF(I316="","",IF(AND(p_Repartition="Lissée jusqu'à la date de besoin",ISNUMBER(INDEX(Charge!$F:$F,ROW()))),IF(INDEX(Charge!$F:$F,ROW())&gt;=I316,INDEX(Charge!$F:$F,ROW()),I316),I316))</f>
        <v/>
      </c>
      <c r="K316" t="str">
        <f>IF(I316="","",NETWORKDAYS(I316,J316,Data!$K$4:$K$203))</f>
        <v/>
      </c>
      <c r="L316" t="str">
        <f>IF(D316=1,COUNTIFS($D$4:$D$503,1,$E$4:$E$503,"&gt;"&amp;E316)+COUNTIFS($D$4:$D316,1,$E$4:$E316,E316),"")</f>
        <v/>
      </c>
      <c r="M316">
        <f>IF(F316="",0,IF(COUNTIF($F$4:F316,F316)=1,1,0))</f>
        <v>0</v>
      </c>
      <c r="N316" t="str">
        <f>IF(M316=1,ROUND(SUMIF($F$4:$F$503,F316,$E$4:$E$503),2),"")</f>
        <v/>
      </c>
      <c r="O316" t="str">
        <f>IF(M316=1,COUNTIFS($M$4:$M$503,1,$N$4:$N$503,"&gt;"&amp;N316)+COUNTIFS($M$4:M316,1,$N$4:N316,N316),"")</f>
        <v/>
      </c>
      <c r="P316">
        <f>IF(G316="",0,IF(COUNTIF($G$4:G316,G316)=1,1,0))</f>
        <v>0</v>
      </c>
      <c r="Q316" t="str">
        <f>IF(P316=1,ROUND(SUMIF($G$4:$G$503,G316,$E$4:$E$503),2),"")</f>
        <v/>
      </c>
      <c r="R316" t="str">
        <f>IF(P316=1,COUNTIFS($P$4:$P$503,1,$Q$4:$Q$503,"&gt;"&amp;Q316)+COUNTIFS($P$4:P316,1,$Q$4:Q316,Q316),"")</f>
        <v/>
      </c>
      <c r="S316">
        <f>IF(H316="",0,IF(COUNTIF($H$4:H316,H316)=1,1,0))</f>
        <v>0</v>
      </c>
      <c r="T316" t="str">
        <f>IF(S316=1,ROUND(SUMIF($H$4:$H$503,H316,$E$4:$E$503),2),"")</f>
        <v/>
      </c>
      <c r="U316" t="str">
        <f>IF(S316=1,COUNTIFS($S$4:$S$503,1,$T$4:$T$503,"&gt;"&amp;T316)+COUNTIFS($S$4:S316,1,$T$4:T316,T316),"")</f>
        <v/>
      </c>
      <c r="V316" t="str">
        <f>IF(D316=1,MIN(INDEX($R$4:$R$503,MATCH(G316,$G$4:$G$503,0)),IF($AL$7&gt;9,9,999)),"")</f>
        <v/>
      </c>
      <c r="W316" s="166">
        <f>IF(OR($I316="",$E316=0),0,IF(OR($J316&lt;W$3,$I316&gt;W$2),0,IF($K316=0,IF(AND($I316&gt;=W$3,$I316&lt;=W$2),$E316,0),$E316*NETWORKDAYS(MAX($I316,W$3),MIN($J316,W$2),Data!$K$4:$K$203)/$K316)))</f>
        <v>0</v>
      </c>
      <c r="X316" s="166">
        <f>IF(OR($I316="",$E316=0),0,IF(OR($J316&lt;X$3,$I316&gt;X$2),0,IF($K316=0,IF(AND($I316&gt;=X$3,$I316&lt;=X$2),$E316,0),$E316*NETWORKDAYS(MAX($I316,X$3),MIN($J316,X$2),Data!$K$4:$K$203)/$K316)))</f>
        <v>0</v>
      </c>
      <c r="Y316" s="166">
        <f>IF(OR($I316="",$E316=0),0,IF(OR($J316&lt;Y$3,$I316&gt;Y$2),0,IF($K316=0,IF(AND($I316&gt;=Y$3,$I316&lt;=Y$2),$E316,0),$E316*NETWORKDAYS(MAX($I316,Y$3),MIN($J316,Y$2),Data!$K$4:$K$203)/$K316)))</f>
        <v>0</v>
      </c>
      <c r="Z316" s="166">
        <f>IF(OR($I316="",$E316=0),0,IF(OR($J316&lt;Z$3,$I316&gt;Z$2),0,IF($K316=0,IF(AND($I316&gt;=Z$3,$I316&lt;=Z$2),$E316,0),$E316*NETWORKDAYS(MAX($I316,Z$3),MIN($J316,Z$2),Data!$K$4:$K$203)/$K316)))</f>
        <v>0</v>
      </c>
      <c r="AA316" s="166">
        <f>IF(OR($I316="",$E316=0),0,IF(OR($J316&lt;AA$3,$I316&gt;AA$2),0,IF($K316=0,IF(AND($I316&gt;=AA$3,$I316&lt;=AA$2),$E316,0),$E316*NETWORKDAYS(MAX($I316,AA$3),MIN($J316,AA$2),Data!$K$4:$K$203)/$K316)))</f>
        <v>0</v>
      </c>
      <c r="AB316" s="166">
        <f>IF(OR($I316="",$E316=0),0,IF(OR($J316&lt;AB$3,$I316&gt;AB$2),0,IF($K316=0,IF(AND($I316&gt;=AB$3,$I316&lt;=AB$2),$E316,0),$E316*NETWORKDAYS(MAX($I316,AB$3),MIN($J316,AB$2),Data!$K$4:$K$203)/$K316)))</f>
        <v>0</v>
      </c>
      <c r="AC316" s="166">
        <f>IF(OR($I316="",$E316=0),0,IF(OR($J316&lt;AC$3,$I316&gt;AC$2),0,IF($K316=0,IF(AND($I316&gt;=AC$3,$I316&lt;=AC$2),$E316,0),$E316*NETWORKDAYS(MAX($I316,AC$3),MIN($J316,AC$2),Data!$K$4:$K$203)/$K316)))</f>
        <v>0</v>
      </c>
      <c r="AD316" s="166">
        <f>IF(OR($I316="",$E316=0),0,IF(OR($J316&lt;AD$3,$I316&gt;AD$2),0,IF($K316=0,IF(AND($I316&gt;=AD$3,$I316&lt;=AD$2),$E316,0),$E316*NETWORKDAYS(MAX($I316,AD$3),MIN($J316,AD$2),Data!$K$4:$K$203)/$K316)))</f>
        <v>0</v>
      </c>
      <c r="AE316" s="166">
        <f>IF(OR($I316="",$E316=0),0,IF(OR($J316&lt;AE$3,$I316&gt;AE$2),0,IF($K316=0,IF(AND($I316&gt;=AE$3,$I316&lt;=AE$2),$E316,0),$E316*NETWORKDAYS(MAX($I316,AE$3),MIN($J316,AE$2),Data!$K$4:$K$203)/$K316)))</f>
        <v>0</v>
      </c>
      <c r="AF316" s="166">
        <f>IF(OR($I316="",$E316=0),0,IF(OR($J316&lt;AF$3,$I316&gt;AF$2),0,IF($K316=0,IF(AND($I316&gt;=AF$3,$I316&lt;=AF$2),$E316,0),$E316*NETWORKDAYS(MAX($I316,AF$3),MIN($J316,AF$2),Data!$K$4:$K$203)/$K316)))</f>
        <v>0</v>
      </c>
      <c r="AG316" s="166">
        <f>IF(OR($I316="",$E316=0),0,IF(OR($J316&lt;AG$3,$I316&gt;AG$2),0,IF($K316=0,IF(AND($I316&gt;=AG$3,$I316&lt;=AG$2),$E316,0),$E316*NETWORKDAYS(MAX($I316,AG$3),MIN($J316,AG$2),Data!$K$4:$K$203)/$K316)))</f>
        <v>0</v>
      </c>
      <c r="AH316" s="166">
        <f>IF(OR($I316="",$E316=0),0,IF(OR($J316&lt;AH$3,$I316&gt;AH$2),0,IF($K316=0,IF(AND($I316&gt;=AH$3,$I316&lt;=AH$2),$E316,0),$E316*NETWORKDAYS(MAX($I316,AH$3),MIN($J316,AH$2),Data!$K$4:$K$203)/$K316)))</f>
        <v>0</v>
      </c>
      <c r="AI316" s="166">
        <f>SUM(W316:AH316)</f>
        <v>0</v>
      </c>
      <c r="BZ316" t="str">
        <f>IF(D316=1,IF(TRIM(INDEX(Charge!$K:$K,ROW()))&lt;&gt;"",TRIM(INDEX(Charge!$K:$K,ROW())),IF(TRIM(INDEX(Charge!$L:$L,ROW()))&lt;&gt;"",TRIM(INDEX(Charge!$L:$L,ROW())),"(non affecté)")),"")</f>
        <v/>
      </c>
      <c r="CA316" t="str">
        <f>IF(AND($CD$4&lt;&gt;"",BZ316=$CD$4),COUNTIFS($BZ$4:$BZ$503,$CD$4,$L$4:$L$503,"&lt;"&amp;L316)+1,"")</f>
        <v/>
      </c>
      <c r="EM316" t="str">
        <f>IF(D316=1,IF(TRIM(INDEX(Charge!$K:$K,ROW()))&lt;&gt;"","Interne",IF(TRIM(INDEX(Charge!$L:$L,ROW()))&lt;&gt;"","Externe","Non affecté")),"")</f>
        <v/>
      </c>
      <c r="EN316" t="str">
        <f>IF(D316=1,LEFT(SUBSTITUTE(SUBSTITUTE(SUBSTITUTE(TRIM(SUBSTITUTE(INDEX(Charge!$B:$B,ROW()),CHAR(160)," "))&amp;" | "&amp;TRIM(SUBSTITUTE(INDEX(Charge!$C:$C,ROW()),CHAR(160)," "))&amp;" | "&amp;TRIM(SUBSTITUTE(INDEX(Charge!$D:$D,ROW()),CHAR(160)," ")),"~","-"),"*","+"),"?","!"),240),"")</f>
        <v/>
      </c>
      <c r="EO316">
        <f>IF(EN316="",0,IF(COUNTIF($EN$4:EN316,EN316)=1,1,0))</f>
        <v>0</v>
      </c>
      <c r="EP316" s="166" t="str">
        <f>IF(EO316=1,ROUND(SUMIF($EN$4:$EN$503,EN316,$E$4:$E$503),2),"")</f>
        <v/>
      </c>
      <c r="EQ316" t="str">
        <f>IF(EO316=1,COUNTIFS($EO$4:$EO$503,1,$EP$4:$EP$503,"&gt;"&amp;EP316)+COUNTIFS($EO$4:EO316,1,$EP$4:EP316,EP316),"")</f>
        <v/>
      </c>
      <c r="ER316" t="str">
        <f>IF(EO316=1,COUNTIFS($EN$4:$EN$503,EN316,$EM$4:$EM$503,"Interne",$FE$4:$FE$503,1),"")</f>
        <v/>
      </c>
      <c r="ES316" t="str">
        <f>IF(EO316=1,COUNTIFS($EN$4:$EN$503,EN316,$EM$4:$EM$503,"Externe",$FE$4:$FE$503,1),"")</f>
        <v/>
      </c>
      <c r="ET316" t="str">
        <f>IF(EO316=1,IF(ER316+ES316=0,"à affecter",IF(ER316=0,ES316&amp;" ext.",(ER316+ES316)&amp;IF(ES316&gt;0," dont "&amp;ES316&amp;" ext.",""))&amp;IF(COUNTIFS($EN$4:$EN$503,EN316,$EM$4:$EM$503,"Non affecté")&gt;0," + à affecter","")),"")</f>
        <v/>
      </c>
      <c r="EU316" s="170" t="str">
        <f>IF(EO316=1,IF(EP316&gt;0,SUMPRODUCT(($EN$4:$EN$503=EN316)*$E$4:$E$503*$C$4:$C$503)/EP316,AVERAGEIF($EN$4:$EN$503,EN316,$C$4:$C$503)),"")</f>
        <v/>
      </c>
      <c r="EV316" s="165">
        <f>IF(ISNUMBER(I316),I316,2958465)</f>
        <v>2958465.0</v>
      </c>
      <c r="EW316" s="165" t="str">
        <f>IF(EO316=1,SUMPRODUCT(MIN(($EN$4:$EN$503=EN316)*$EV$4:$EV$503+($EN$4:$EN$503&lt;&gt;EN316)*2958465)),"")</f>
        <v/>
      </c>
      <c r="EX316" s="165">
        <f>IF(AND(D316=1,ISNUMBER(INDEX(Charge!$F:$F,ROW()))),INDEX(Charge!$F:$F,ROW()),0)</f>
        <v>0.0</v>
      </c>
      <c r="EY316" s="165" t="str">
        <f>IF(EO316=1,SUMPRODUCT(MAX(($EN$4:$EN$503=EN316)*$EX$4:$EX$503)),"")</f>
        <v/>
      </c>
      <c r="FA316" t="str">
        <f>IF(313&lt;=$CD$23,INDEX($EJ$4:$EJ$203,313),IF(313-$CD$23&lt;=$CD$26,INDEX($EK$4:$EK$203,313-$CD$23),""))</f>
        <v/>
      </c>
      <c r="FB316" t="str">
        <f>IF(FA316="","",IF(313&lt;=$CD$23,"Interne","Externe"))</f>
        <v/>
      </c>
      <c r="FD316">
        <f>IF(AND(B316=1,TRIM(INDEX(Charge!$K:$K,ROW()))&lt;&gt;"",TRIM(INDEX(Charge!$L:$L,ROW()))&lt;&gt;""),1,0)</f>
        <v>0</v>
      </c>
      <c r="FE316">
        <f>IF(OR(EN316="",BZ316="(non affecté)"),0,IF(COUNTIFS($EN$4:EN316,EN316,$BZ$4:BZ316,BZ316)=1,1,0))</f>
        <v>0</v>
      </c>
    </row>
    <row r="317">
      <c r="A317">
        <f>ROW()</f>
        <v>317</v>
      </c>
      <c r="B317">
        <f>IF(TRIM(INDEX(Charge!$B:$B,ROW()))&lt;&gt;"",1,0)</f>
        <v>0</v>
      </c>
      <c r="C317">
        <f>IF(B317=1,MIN(1,MAX(0,N(INDEX(Charge!$O:$O,ROW())))),0)</f>
        <v>0</v>
      </c>
      <c r="D317">
        <f>IF(B317=1,IF(OR(p_Perimetre="Tous les projets",C317&lt;1),1,0),0)</f>
        <v>0</v>
      </c>
      <c r="E317">
        <f>IF(D317=1,MAX(0,N(INDEX(Charge!$M:$M,ROW()))),0)</f>
        <v>0</v>
      </c>
      <c r="F317" t="str">
        <f>IF(D317=1,IF(TRIM(INDEX(Charge!$A:$A,ROW()))="","(non renseigné)",TRIM(INDEX(Charge!$A:$A,ROW()))),"")</f>
        <v/>
      </c>
      <c r="G317" t="str">
        <f>IF(D317=1,TRIM(INDEX(Charge!$B:$B,ROW())),"")</f>
        <v/>
      </c>
      <c r="H317" t="str">
        <f>IF(D317=1,IF(TRIM(INDEX(Charge!$E:$E,ROW()))="","(non renseigné)",TRIM(INDEX(Charge!$E:$E,ROW()))),"")</f>
        <v/>
      </c>
      <c r="I317" s="165" t="str">
        <f>IF(AND(D317=1,ISNUMBER(INDEX(Charge!$N:$N,ROW()))),INDEX(Charge!$N:$N,ROW()),"")</f>
        <v/>
      </c>
      <c r="J317" s="165" t="str">
        <f>IF(I317="","",IF(AND(p_Repartition="Lissée jusqu'à la date de besoin",ISNUMBER(INDEX(Charge!$F:$F,ROW()))),IF(INDEX(Charge!$F:$F,ROW())&gt;=I317,INDEX(Charge!$F:$F,ROW()),I317),I317))</f>
        <v/>
      </c>
      <c r="K317" t="str">
        <f>IF(I317="","",NETWORKDAYS(I317,J317,Data!$K$4:$K$203))</f>
        <v/>
      </c>
      <c r="L317" t="str">
        <f>IF(D317=1,COUNTIFS($D$4:$D$503,1,$E$4:$E$503,"&gt;"&amp;E317)+COUNTIFS($D$4:$D317,1,$E$4:$E317,E317),"")</f>
        <v/>
      </c>
      <c r="M317">
        <f>IF(F317="",0,IF(COUNTIF($F$4:F317,F317)=1,1,0))</f>
        <v>0</v>
      </c>
      <c r="N317" t="str">
        <f>IF(M317=1,ROUND(SUMIF($F$4:$F$503,F317,$E$4:$E$503),2),"")</f>
        <v/>
      </c>
      <c r="O317" t="str">
        <f>IF(M317=1,COUNTIFS($M$4:$M$503,1,$N$4:$N$503,"&gt;"&amp;N317)+COUNTIFS($M$4:M317,1,$N$4:N317,N317),"")</f>
        <v/>
      </c>
      <c r="P317">
        <f>IF(G317="",0,IF(COUNTIF($G$4:G317,G317)=1,1,0))</f>
        <v>0</v>
      </c>
      <c r="Q317" t="str">
        <f>IF(P317=1,ROUND(SUMIF($G$4:$G$503,G317,$E$4:$E$503),2),"")</f>
        <v/>
      </c>
      <c r="R317" t="str">
        <f>IF(P317=1,COUNTIFS($P$4:$P$503,1,$Q$4:$Q$503,"&gt;"&amp;Q317)+COUNTIFS($P$4:P317,1,$Q$4:Q317,Q317),"")</f>
        <v/>
      </c>
      <c r="S317">
        <f>IF(H317="",0,IF(COUNTIF($H$4:H317,H317)=1,1,0))</f>
        <v>0</v>
      </c>
      <c r="T317" t="str">
        <f>IF(S317=1,ROUND(SUMIF($H$4:$H$503,H317,$E$4:$E$503),2),"")</f>
        <v/>
      </c>
      <c r="U317" t="str">
        <f>IF(S317=1,COUNTIFS($S$4:$S$503,1,$T$4:$T$503,"&gt;"&amp;T317)+COUNTIFS($S$4:S317,1,$T$4:T317,T317),"")</f>
        <v/>
      </c>
      <c r="V317" t="str">
        <f>IF(D317=1,MIN(INDEX($R$4:$R$503,MATCH(G317,$G$4:$G$503,0)),IF($AL$7&gt;9,9,999)),"")</f>
        <v/>
      </c>
      <c r="W317" s="166">
        <f>IF(OR($I317="",$E317=0),0,IF(OR($J317&lt;W$3,$I317&gt;W$2),0,IF($K317=0,IF(AND($I317&gt;=W$3,$I317&lt;=W$2),$E317,0),$E317*NETWORKDAYS(MAX($I317,W$3),MIN($J317,W$2),Data!$K$4:$K$203)/$K317)))</f>
        <v>0</v>
      </c>
      <c r="X317" s="166">
        <f>IF(OR($I317="",$E317=0),0,IF(OR($J317&lt;X$3,$I317&gt;X$2),0,IF($K317=0,IF(AND($I317&gt;=X$3,$I317&lt;=X$2),$E317,0),$E317*NETWORKDAYS(MAX($I317,X$3),MIN($J317,X$2),Data!$K$4:$K$203)/$K317)))</f>
        <v>0</v>
      </c>
      <c r="Y317" s="166">
        <f>IF(OR($I317="",$E317=0),0,IF(OR($J317&lt;Y$3,$I317&gt;Y$2),0,IF($K317=0,IF(AND($I317&gt;=Y$3,$I317&lt;=Y$2),$E317,0),$E317*NETWORKDAYS(MAX($I317,Y$3),MIN($J317,Y$2),Data!$K$4:$K$203)/$K317)))</f>
        <v>0</v>
      </c>
      <c r="Z317" s="166">
        <f>IF(OR($I317="",$E317=0),0,IF(OR($J317&lt;Z$3,$I317&gt;Z$2),0,IF($K317=0,IF(AND($I317&gt;=Z$3,$I317&lt;=Z$2),$E317,0),$E317*NETWORKDAYS(MAX($I317,Z$3),MIN($J317,Z$2),Data!$K$4:$K$203)/$K317)))</f>
        <v>0</v>
      </c>
      <c r="AA317" s="166">
        <f>IF(OR($I317="",$E317=0),0,IF(OR($J317&lt;AA$3,$I317&gt;AA$2),0,IF($K317=0,IF(AND($I317&gt;=AA$3,$I317&lt;=AA$2),$E317,0),$E317*NETWORKDAYS(MAX($I317,AA$3),MIN($J317,AA$2),Data!$K$4:$K$203)/$K317)))</f>
        <v>0</v>
      </c>
      <c r="AB317" s="166">
        <f>IF(OR($I317="",$E317=0),0,IF(OR($J317&lt;AB$3,$I317&gt;AB$2),0,IF($K317=0,IF(AND($I317&gt;=AB$3,$I317&lt;=AB$2),$E317,0),$E317*NETWORKDAYS(MAX($I317,AB$3),MIN($J317,AB$2),Data!$K$4:$K$203)/$K317)))</f>
        <v>0</v>
      </c>
      <c r="AC317" s="166">
        <f>IF(OR($I317="",$E317=0),0,IF(OR($J317&lt;AC$3,$I317&gt;AC$2),0,IF($K317=0,IF(AND($I317&gt;=AC$3,$I317&lt;=AC$2),$E317,0),$E317*NETWORKDAYS(MAX($I317,AC$3),MIN($J317,AC$2),Data!$K$4:$K$203)/$K317)))</f>
        <v>0</v>
      </c>
      <c r="AD317" s="166">
        <f>IF(OR($I317="",$E317=0),0,IF(OR($J317&lt;AD$3,$I317&gt;AD$2),0,IF($K317=0,IF(AND($I317&gt;=AD$3,$I317&lt;=AD$2),$E317,0),$E317*NETWORKDAYS(MAX($I317,AD$3),MIN($J317,AD$2),Data!$K$4:$K$203)/$K317)))</f>
        <v>0</v>
      </c>
      <c r="AE317" s="166">
        <f>IF(OR($I317="",$E317=0),0,IF(OR($J317&lt;AE$3,$I317&gt;AE$2),0,IF($K317=0,IF(AND($I317&gt;=AE$3,$I317&lt;=AE$2),$E317,0),$E317*NETWORKDAYS(MAX($I317,AE$3),MIN($J317,AE$2),Data!$K$4:$K$203)/$K317)))</f>
        <v>0</v>
      </c>
      <c r="AF317" s="166">
        <f>IF(OR($I317="",$E317=0),0,IF(OR($J317&lt;AF$3,$I317&gt;AF$2),0,IF($K317=0,IF(AND($I317&gt;=AF$3,$I317&lt;=AF$2),$E317,0),$E317*NETWORKDAYS(MAX($I317,AF$3),MIN($J317,AF$2),Data!$K$4:$K$203)/$K317)))</f>
        <v>0</v>
      </c>
      <c r="AG317" s="166">
        <f>IF(OR($I317="",$E317=0),0,IF(OR($J317&lt;AG$3,$I317&gt;AG$2),0,IF($K317=0,IF(AND($I317&gt;=AG$3,$I317&lt;=AG$2),$E317,0),$E317*NETWORKDAYS(MAX($I317,AG$3),MIN($J317,AG$2),Data!$K$4:$K$203)/$K317)))</f>
        <v>0</v>
      </c>
      <c r="AH317" s="166">
        <f>IF(OR($I317="",$E317=0),0,IF(OR($J317&lt;AH$3,$I317&gt;AH$2),0,IF($K317=0,IF(AND($I317&gt;=AH$3,$I317&lt;=AH$2),$E317,0),$E317*NETWORKDAYS(MAX($I317,AH$3),MIN($J317,AH$2),Data!$K$4:$K$203)/$K317)))</f>
        <v>0</v>
      </c>
      <c r="AI317" s="166">
        <f>SUM(W317:AH317)</f>
        <v>0</v>
      </c>
      <c r="BZ317" t="str">
        <f>IF(D317=1,IF(TRIM(INDEX(Charge!$K:$K,ROW()))&lt;&gt;"",TRIM(INDEX(Charge!$K:$K,ROW())),IF(TRIM(INDEX(Charge!$L:$L,ROW()))&lt;&gt;"",TRIM(INDEX(Charge!$L:$L,ROW())),"(non affecté)")),"")</f>
        <v/>
      </c>
      <c r="CA317" t="str">
        <f>IF(AND($CD$4&lt;&gt;"",BZ317=$CD$4),COUNTIFS($BZ$4:$BZ$503,$CD$4,$L$4:$L$503,"&lt;"&amp;L317)+1,"")</f>
        <v/>
      </c>
      <c r="EM317" t="str">
        <f>IF(D317=1,IF(TRIM(INDEX(Charge!$K:$K,ROW()))&lt;&gt;"","Interne",IF(TRIM(INDEX(Charge!$L:$L,ROW()))&lt;&gt;"","Externe","Non affecté")),"")</f>
        <v/>
      </c>
      <c r="EN317" t="str">
        <f>IF(D317=1,LEFT(SUBSTITUTE(SUBSTITUTE(SUBSTITUTE(TRIM(SUBSTITUTE(INDEX(Charge!$B:$B,ROW()),CHAR(160)," "))&amp;" | "&amp;TRIM(SUBSTITUTE(INDEX(Charge!$C:$C,ROW()),CHAR(160)," "))&amp;" | "&amp;TRIM(SUBSTITUTE(INDEX(Charge!$D:$D,ROW()),CHAR(160)," ")),"~","-"),"*","+"),"?","!"),240),"")</f>
        <v/>
      </c>
      <c r="EO317">
        <f>IF(EN317="",0,IF(COUNTIF($EN$4:EN317,EN317)=1,1,0))</f>
        <v>0</v>
      </c>
      <c r="EP317" s="166" t="str">
        <f>IF(EO317=1,ROUND(SUMIF($EN$4:$EN$503,EN317,$E$4:$E$503),2),"")</f>
        <v/>
      </c>
      <c r="EQ317" t="str">
        <f>IF(EO317=1,COUNTIFS($EO$4:$EO$503,1,$EP$4:$EP$503,"&gt;"&amp;EP317)+COUNTIFS($EO$4:EO317,1,$EP$4:EP317,EP317),"")</f>
        <v/>
      </c>
      <c r="ER317" t="str">
        <f>IF(EO317=1,COUNTIFS($EN$4:$EN$503,EN317,$EM$4:$EM$503,"Interne",$FE$4:$FE$503,1),"")</f>
        <v/>
      </c>
      <c r="ES317" t="str">
        <f>IF(EO317=1,COUNTIFS($EN$4:$EN$503,EN317,$EM$4:$EM$503,"Externe",$FE$4:$FE$503,1),"")</f>
        <v/>
      </c>
      <c r="ET317" t="str">
        <f>IF(EO317=1,IF(ER317+ES317=0,"à affecter",IF(ER317=0,ES317&amp;" ext.",(ER317+ES317)&amp;IF(ES317&gt;0," dont "&amp;ES317&amp;" ext.",""))&amp;IF(COUNTIFS($EN$4:$EN$503,EN317,$EM$4:$EM$503,"Non affecté")&gt;0," + à affecter","")),"")</f>
        <v/>
      </c>
      <c r="EU317" s="170" t="str">
        <f>IF(EO317=1,IF(EP317&gt;0,SUMPRODUCT(($EN$4:$EN$503=EN317)*$E$4:$E$503*$C$4:$C$503)/EP317,AVERAGEIF($EN$4:$EN$503,EN317,$C$4:$C$503)),"")</f>
        <v/>
      </c>
      <c r="EV317" s="165">
        <f>IF(ISNUMBER(I317),I317,2958465)</f>
        <v>2958465.0</v>
      </c>
      <c r="EW317" s="165" t="str">
        <f>IF(EO317=1,SUMPRODUCT(MIN(($EN$4:$EN$503=EN317)*$EV$4:$EV$503+($EN$4:$EN$503&lt;&gt;EN317)*2958465)),"")</f>
        <v/>
      </c>
      <c r="EX317" s="165">
        <f>IF(AND(D317=1,ISNUMBER(INDEX(Charge!$F:$F,ROW()))),INDEX(Charge!$F:$F,ROW()),0)</f>
        <v>0.0</v>
      </c>
      <c r="EY317" s="165" t="str">
        <f>IF(EO317=1,SUMPRODUCT(MAX(($EN$4:$EN$503=EN317)*$EX$4:$EX$503)),"")</f>
        <v/>
      </c>
      <c r="FA317" t="str">
        <f>IF(314&lt;=$CD$23,INDEX($EJ$4:$EJ$203,314),IF(314-$CD$23&lt;=$CD$26,INDEX($EK$4:$EK$203,314-$CD$23),""))</f>
        <v/>
      </c>
      <c r="FB317" t="str">
        <f>IF(FA317="","",IF(314&lt;=$CD$23,"Interne","Externe"))</f>
        <v/>
      </c>
      <c r="FD317">
        <f>IF(AND(B317=1,TRIM(INDEX(Charge!$K:$K,ROW()))&lt;&gt;"",TRIM(INDEX(Charge!$L:$L,ROW()))&lt;&gt;""),1,0)</f>
        <v>0</v>
      </c>
      <c r="FE317">
        <f>IF(OR(EN317="",BZ317="(non affecté)"),0,IF(COUNTIFS($EN$4:EN317,EN317,$BZ$4:BZ317,BZ317)=1,1,0))</f>
        <v>0</v>
      </c>
    </row>
    <row r="318">
      <c r="A318">
        <f>ROW()</f>
        <v>318</v>
      </c>
      <c r="B318">
        <f>IF(TRIM(INDEX(Charge!$B:$B,ROW()))&lt;&gt;"",1,0)</f>
        <v>0</v>
      </c>
      <c r="C318">
        <f>IF(B318=1,MIN(1,MAX(0,N(INDEX(Charge!$O:$O,ROW())))),0)</f>
        <v>0</v>
      </c>
      <c r="D318">
        <f>IF(B318=1,IF(OR(p_Perimetre="Tous les projets",C318&lt;1),1,0),0)</f>
        <v>0</v>
      </c>
      <c r="E318">
        <f>IF(D318=1,MAX(0,N(INDEX(Charge!$M:$M,ROW()))),0)</f>
        <v>0</v>
      </c>
      <c r="F318" t="str">
        <f>IF(D318=1,IF(TRIM(INDEX(Charge!$A:$A,ROW()))="","(non renseigné)",TRIM(INDEX(Charge!$A:$A,ROW()))),"")</f>
        <v/>
      </c>
      <c r="G318" t="str">
        <f>IF(D318=1,TRIM(INDEX(Charge!$B:$B,ROW())),"")</f>
        <v/>
      </c>
      <c r="H318" t="str">
        <f>IF(D318=1,IF(TRIM(INDEX(Charge!$E:$E,ROW()))="","(non renseigné)",TRIM(INDEX(Charge!$E:$E,ROW()))),"")</f>
        <v/>
      </c>
      <c r="I318" s="165" t="str">
        <f>IF(AND(D318=1,ISNUMBER(INDEX(Charge!$N:$N,ROW()))),INDEX(Charge!$N:$N,ROW()),"")</f>
        <v/>
      </c>
      <c r="J318" s="165" t="str">
        <f>IF(I318="","",IF(AND(p_Repartition="Lissée jusqu'à la date de besoin",ISNUMBER(INDEX(Charge!$F:$F,ROW()))),IF(INDEX(Charge!$F:$F,ROW())&gt;=I318,INDEX(Charge!$F:$F,ROW()),I318),I318))</f>
        <v/>
      </c>
      <c r="K318" t="str">
        <f>IF(I318="","",NETWORKDAYS(I318,J318,Data!$K$4:$K$203))</f>
        <v/>
      </c>
      <c r="L318" t="str">
        <f>IF(D318=1,COUNTIFS($D$4:$D$503,1,$E$4:$E$503,"&gt;"&amp;E318)+COUNTIFS($D$4:$D318,1,$E$4:$E318,E318),"")</f>
        <v/>
      </c>
      <c r="M318">
        <f>IF(F318="",0,IF(COUNTIF($F$4:F318,F318)=1,1,0))</f>
        <v>0</v>
      </c>
      <c r="N318" t="str">
        <f>IF(M318=1,ROUND(SUMIF($F$4:$F$503,F318,$E$4:$E$503),2),"")</f>
        <v/>
      </c>
      <c r="O318" t="str">
        <f>IF(M318=1,COUNTIFS($M$4:$M$503,1,$N$4:$N$503,"&gt;"&amp;N318)+COUNTIFS($M$4:M318,1,$N$4:N318,N318),"")</f>
        <v/>
      </c>
      <c r="P318">
        <f>IF(G318="",0,IF(COUNTIF($G$4:G318,G318)=1,1,0))</f>
        <v>0</v>
      </c>
      <c r="Q318" t="str">
        <f>IF(P318=1,ROUND(SUMIF($G$4:$G$503,G318,$E$4:$E$503),2),"")</f>
        <v/>
      </c>
      <c r="R318" t="str">
        <f>IF(P318=1,COUNTIFS($P$4:$P$503,1,$Q$4:$Q$503,"&gt;"&amp;Q318)+COUNTIFS($P$4:P318,1,$Q$4:Q318,Q318),"")</f>
        <v/>
      </c>
      <c r="S318">
        <f>IF(H318="",0,IF(COUNTIF($H$4:H318,H318)=1,1,0))</f>
        <v>0</v>
      </c>
      <c r="T318" t="str">
        <f>IF(S318=1,ROUND(SUMIF($H$4:$H$503,H318,$E$4:$E$503),2),"")</f>
        <v/>
      </c>
      <c r="U318" t="str">
        <f>IF(S318=1,COUNTIFS($S$4:$S$503,1,$T$4:$T$503,"&gt;"&amp;T318)+COUNTIFS($S$4:S318,1,$T$4:T318,T318),"")</f>
        <v/>
      </c>
      <c r="V318" t="str">
        <f>IF(D318=1,MIN(INDEX($R$4:$R$503,MATCH(G318,$G$4:$G$503,0)),IF($AL$7&gt;9,9,999)),"")</f>
        <v/>
      </c>
      <c r="W318" s="166">
        <f>IF(OR($I318="",$E318=0),0,IF(OR($J318&lt;W$3,$I318&gt;W$2),0,IF($K318=0,IF(AND($I318&gt;=W$3,$I318&lt;=W$2),$E318,0),$E318*NETWORKDAYS(MAX($I318,W$3),MIN($J318,W$2),Data!$K$4:$K$203)/$K318)))</f>
        <v>0</v>
      </c>
      <c r="X318" s="166">
        <f>IF(OR($I318="",$E318=0),0,IF(OR($J318&lt;X$3,$I318&gt;X$2),0,IF($K318=0,IF(AND($I318&gt;=X$3,$I318&lt;=X$2),$E318,0),$E318*NETWORKDAYS(MAX($I318,X$3),MIN($J318,X$2),Data!$K$4:$K$203)/$K318)))</f>
        <v>0</v>
      </c>
      <c r="Y318" s="166">
        <f>IF(OR($I318="",$E318=0),0,IF(OR($J318&lt;Y$3,$I318&gt;Y$2),0,IF($K318=0,IF(AND($I318&gt;=Y$3,$I318&lt;=Y$2),$E318,0),$E318*NETWORKDAYS(MAX($I318,Y$3),MIN($J318,Y$2),Data!$K$4:$K$203)/$K318)))</f>
        <v>0</v>
      </c>
      <c r="Z318" s="166">
        <f>IF(OR($I318="",$E318=0),0,IF(OR($J318&lt;Z$3,$I318&gt;Z$2),0,IF($K318=0,IF(AND($I318&gt;=Z$3,$I318&lt;=Z$2),$E318,0),$E318*NETWORKDAYS(MAX($I318,Z$3),MIN($J318,Z$2),Data!$K$4:$K$203)/$K318)))</f>
        <v>0</v>
      </c>
      <c r="AA318" s="166">
        <f>IF(OR($I318="",$E318=0),0,IF(OR($J318&lt;AA$3,$I318&gt;AA$2),0,IF($K318=0,IF(AND($I318&gt;=AA$3,$I318&lt;=AA$2),$E318,0),$E318*NETWORKDAYS(MAX($I318,AA$3),MIN($J318,AA$2),Data!$K$4:$K$203)/$K318)))</f>
        <v>0</v>
      </c>
      <c r="AB318" s="166">
        <f>IF(OR($I318="",$E318=0),0,IF(OR($J318&lt;AB$3,$I318&gt;AB$2),0,IF($K318=0,IF(AND($I318&gt;=AB$3,$I318&lt;=AB$2),$E318,0),$E318*NETWORKDAYS(MAX($I318,AB$3),MIN($J318,AB$2),Data!$K$4:$K$203)/$K318)))</f>
        <v>0</v>
      </c>
      <c r="AC318" s="166">
        <f>IF(OR($I318="",$E318=0),0,IF(OR($J318&lt;AC$3,$I318&gt;AC$2),0,IF($K318=0,IF(AND($I318&gt;=AC$3,$I318&lt;=AC$2),$E318,0),$E318*NETWORKDAYS(MAX($I318,AC$3),MIN($J318,AC$2),Data!$K$4:$K$203)/$K318)))</f>
        <v>0</v>
      </c>
      <c r="AD318" s="166">
        <f>IF(OR($I318="",$E318=0),0,IF(OR($J318&lt;AD$3,$I318&gt;AD$2),0,IF($K318=0,IF(AND($I318&gt;=AD$3,$I318&lt;=AD$2),$E318,0),$E318*NETWORKDAYS(MAX($I318,AD$3),MIN($J318,AD$2),Data!$K$4:$K$203)/$K318)))</f>
        <v>0</v>
      </c>
      <c r="AE318" s="166">
        <f>IF(OR($I318="",$E318=0),0,IF(OR($J318&lt;AE$3,$I318&gt;AE$2),0,IF($K318=0,IF(AND($I318&gt;=AE$3,$I318&lt;=AE$2),$E318,0),$E318*NETWORKDAYS(MAX($I318,AE$3),MIN($J318,AE$2),Data!$K$4:$K$203)/$K318)))</f>
        <v>0</v>
      </c>
      <c r="AF318" s="166">
        <f>IF(OR($I318="",$E318=0),0,IF(OR($J318&lt;AF$3,$I318&gt;AF$2),0,IF($K318=0,IF(AND($I318&gt;=AF$3,$I318&lt;=AF$2),$E318,0),$E318*NETWORKDAYS(MAX($I318,AF$3),MIN($J318,AF$2),Data!$K$4:$K$203)/$K318)))</f>
        <v>0</v>
      </c>
      <c r="AG318" s="166">
        <f>IF(OR($I318="",$E318=0),0,IF(OR($J318&lt;AG$3,$I318&gt;AG$2),0,IF($K318=0,IF(AND($I318&gt;=AG$3,$I318&lt;=AG$2),$E318,0),$E318*NETWORKDAYS(MAX($I318,AG$3),MIN($J318,AG$2),Data!$K$4:$K$203)/$K318)))</f>
        <v>0</v>
      </c>
      <c r="AH318" s="166">
        <f>IF(OR($I318="",$E318=0),0,IF(OR($J318&lt;AH$3,$I318&gt;AH$2),0,IF($K318=0,IF(AND($I318&gt;=AH$3,$I318&lt;=AH$2),$E318,0),$E318*NETWORKDAYS(MAX($I318,AH$3),MIN($J318,AH$2),Data!$K$4:$K$203)/$K318)))</f>
        <v>0</v>
      </c>
      <c r="AI318" s="166">
        <f>SUM(W318:AH318)</f>
        <v>0</v>
      </c>
      <c r="BZ318" t="str">
        <f>IF(D318=1,IF(TRIM(INDEX(Charge!$K:$K,ROW()))&lt;&gt;"",TRIM(INDEX(Charge!$K:$K,ROW())),IF(TRIM(INDEX(Charge!$L:$L,ROW()))&lt;&gt;"",TRIM(INDEX(Charge!$L:$L,ROW())),"(non affecté)")),"")</f>
        <v/>
      </c>
      <c r="CA318" t="str">
        <f>IF(AND($CD$4&lt;&gt;"",BZ318=$CD$4),COUNTIFS($BZ$4:$BZ$503,$CD$4,$L$4:$L$503,"&lt;"&amp;L318)+1,"")</f>
        <v/>
      </c>
      <c r="EM318" t="str">
        <f>IF(D318=1,IF(TRIM(INDEX(Charge!$K:$K,ROW()))&lt;&gt;"","Interne",IF(TRIM(INDEX(Charge!$L:$L,ROW()))&lt;&gt;"","Externe","Non affecté")),"")</f>
        <v/>
      </c>
      <c r="EN318" t="str">
        <f>IF(D318=1,LEFT(SUBSTITUTE(SUBSTITUTE(SUBSTITUTE(TRIM(SUBSTITUTE(INDEX(Charge!$B:$B,ROW()),CHAR(160)," "))&amp;" | "&amp;TRIM(SUBSTITUTE(INDEX(Charge!$C:$C,ROW()),CHAR(160)," "))&amp;" | "&amp;TRIM(SUBSTITUTE(INDEX(Charge!$D:$D,ROW()),CHAR(160)," ")),"~","-"),"*","+"),"?","!"),240),"")</f>
        <v/>
      </c>
      <c r="EO318">
        <f>IF(EN318="",0,IF(COUNTIF($EN$4:EN318,EN318)=1,1,0))</f>
        <v>0</v>
      </c>
      <c r="EP318" s="166" t="str">
        <f>IF(EO318=1,ROUND(SUMIF($EN$4:$EN$503,EN318,$E$4:$E$503),2),"")</f>
        <v/>
      </c>
      <c r="EQ318" t="str">
        <f>IF(EO318=1,COUNTIFS($EO$4:$EO$503,1,$EP$4:$EP$503,"&gt;"&amp;EP318)+COUNTIFS($EO$4:EO318,1,$EP$4:EP318,EP318),"")</f>
        <v/>
      </c>
      <c r="ER318" t="str">
        <f>IF(EO318=1,COUNTIFS($EN$4:$EN$503,EN318,$EM$4:$EM$503,"Interne",$FE$4:$FE$503,1),"")</f>
        <v/>
      </c>
      <c r="ES318" t="str">
        <f>IF(EO318=1,COUNTIFS($EN$4:$EN$503,EN318,$EM$4:$EM$503,"Externe",$FE$4:$FE$503,1),"")</f>
        <v/>
      </c>
      <c r="ET318" t="str">
        <f>IF(EO318=1,IF(ER318+ES318=0,"à affecter",IF(ER318=0,ES318&amp;" ext.",(ER318+ES318)&amp;IF(ES318&gt;0," dont "&amp;ES318&amp;" ext.",""))&amp;IF(COUNTIFS($EN$4:$EN$503,EN318,$EM$4:$EM$503,"Non affecté")&gt;0," + à affecter","")),"")</f>
        <v/>
      </c>
      <c r="EU318" s="170" t="str">
        <f>IF(EO318=1,IF(EP318&gt;0,SUMPRODUCT(($EN$4:$EN$503=EN318)*$E$4:$E$503*$C$4:$C$503)/EP318,AVERAGEIF($EN$4:$EN$503,EN318,$C$4:$C$503)),"")</f>
        <v/>
      </c>
      <c r="EV318" s="165">
        <f>IF(ISNUMBER(I318),I318,2958465)</f>
        <v>2958465.0</v>
      </c>
      <c r="EW318" s="165" t="str">
        <f>IF(EO318=1,SUMPRODUCT(MIN(($EN$4:$EN$503=EN318)*$EV$4:$EV$503+($EN$4:$EN$503&lt;&gt;EN318)*2958465)),"")</f>
        <v/>
      </c>
      <c r="EX318" s="165">
        <f>IF(AND(D318=1,ISNUMBER(INDEX(Charge!$F:$F,ROW()))),INDEX(Charge!$F:$F,ROW()),0)</f>
        <v>0.0</v>
      </c>
      <c r="EY318" s="165" t="str">
        <f>IF(EO318=1,SUMPRODUCT(MAX(($EN$4:$EN$503=EN318)*$EX$4:$EX$503)),"")</f>
        <v/>
      </c>
      <c r="FA318" t="str">
        <f>IF(315&lt;=$CD$23,INDEX($EJ$4:$EJ$203,315),IF(315-$CD$23&lt;=$CD$26,INDEX($EK$4:$EK$203,315-$CD$23),""))</f>
        <v/>
      </c>
      <c r="FB318" t="str">
        <f>IF(FA318="","",IF(315&lt;=$CD$23,"Interne","Externe"))</f>
        <v/>
      </c>
      <c r="FD318">
        <f>IF(AND(B318=1,TRIM(INDEX(Charge!$K:$K,ROW()))&lt;&gt;"",TRIM(INDEX(Charge!$L:$L,ROW()))&lt;&gt;""),1,0)</f>
        <v>0</v>
      </c>
      <c r="FE318">
        <f>IF(OR(EN318="",BZ318="(non affecté)"),0,IF(COUNTIFS($EN$4:EN318,EN318,$BZ$4:BZ318,BZ318)=1,1,0))</f>
        <v>0</v>
      </c>
    </row>
    <row r="319">
      <c r="A319">
        <f>ROW()</f>
        <v>319</v>
      </c>
      <c r="B319">
        <f>IF(TRIM(INDEX(Charge!$B:$B,ROW()))&lt;&gt;"",1,0)</f>
        <v>0</v>
      </c>
      <c r="C319">
        <f>IF(B319=1,MIN(1,MAX(0,N(INDEX(Charge!$O:$O,ROW())))),0)</f>
        <v>0</v>
      </c>
      <c r="D319">
        <f>IF(B319=1,IF(OR(p_Perimetre="Tous les projets",C319&lt;1),1,0),0)</f>
        <v>0</v>
      </c>
      <c r="E319">
        <f>IF(D319=1,MAX(0,N(INDEX(Charge!$M:$M,ROW()))),0)</f>
        <v>0</v>
      </c>
      <c r="F319" t="str">
        <f>IF(D319=1,IF(TRIM(INDEX(Charge!$A:$A,ROW()))="","(non renseigné)",TRIM(INDEX(Charge!$A:$A,ROW()))),"")</f>
        <v/>
      </c>
      <c r="G319" t="str">
        <f>IF(D319=1,TRIM(INDEX(Charge!$B:$B,ROW())),"")</f>
        <v/>
      </c>
      <c r="H319" t="str">
        <f>IF(D319=1,IF(TRIM(INDEX(Charge!$E:$E,ROW()))="","(non renseigné)",TRIM(INDEX(Charge!$E:$E,ROW()))),"")</f>
        <v/>
      </c>
      <c r="I319" s="165" t="str">
        <f>IF(AND(D319=1,ISNUMBER(INDEX(Charge!$N:$N,ROW()))),INDEX(Charge!$N:$N,ROW()),"")</f>
        <v/>
      </c>
      <c r="J319" s="165" t="str">
        <f>IF(I319="","",IF(AND(p_Repartition="Lissée jusqu'à la date de besoin",ISNUMBER(INDEX(Charge!$F:$F,ROW()))),IF(INDEX(Charge!$F:$F,ROW())&gt;=I319,INDEX(Charge!$F:$F,ROW()),I319),I319))</f>
        <v/>
      </c>
      <c r="K319" t="str">
        <f>IF(I319="","",NETWORKDAYS(I319,J319,Data!$K$4:$K$203))</f>
        <v/>
      </c>
      <c r="L319" t="str">
        <f>IF(D319=1,COUNTIFS($D$4:$D$503,1,$E$4:$E$503,"&gt;"&amp;E319)+COUNTIFS($D$4:$D319,1,$E$4:$E319,E319),"")</f>
        <v/>
      </c>
      <c r="M319">
        <f>IF(F319="",0,IF(COUNTIF($F$4:F319,F319)=1,1,0))</f>
        <v>0</v>
      </c>
      <c r="N319" t="str">
        <f>IF(M319=1,ROUND(SUMIF($F$4:$F$503,F319,$E$4:$E$503),2),"")</f>
        <v/>
      </c>
      <c r="O319" t="str">
        <f>IF(M319=1,COUNTIFS($M$4:$M$503,1,$N$4:$N$503,"&gt;"&amp;N319)+COUNTIFS($M$4:M319,1,$N$4:N319,N319),"")</f>
        <v/>
      </c>
      <c r="P319">
        <f>IF(G319="",0,IF(COUNTIF($G$4:G319,G319)=1,1,0))</f>
        <v>0</v>
      </c>
      <c r="Q319" t="str">
        <f>IF(P319=1,ROUND(SUMIF($G$4:$G$503,G319,$E$4:$E$503),2),"")</f>
        <v/>
      </c>
      <c r="R319" t="str">
        <f>IF(P319=1,COUNTIFS($P$4:$P$503,1,$Q$4:$Q$503,"&gt;"&amp;Q319)+COUNTIFS($P$4:P319,1,$Q$4:Q319,Q319),"")</f>
        <v/>
      </c>
      <c r="S319">
        <f>IF(H319="",0,IF(COUNTIF($H$4:H319,H319)=1,1,0))</f>
        <v>0</v>
      </c>
      <c r="T319" t="str">
        <f>IF(S319=1,ROUND(SUMIF($H$4:$H$503,H319,$E$4:$E$503),2),"")</f>
        <v/>
      </c>
      <c r="U319" t="str">
        <f>IF(S319=1,COUNTIFS($S$4:$S$503,1,$T$4:$T$503,"&gt;"&amp;T319)+COUNTIFS($S$4:S319,1,$T$4:T319,T319),"")</f>
        <v/>
      </c>
      <c r="V319" t="str">
        <f>IF(D319=1,MIN(INDEX($R$4:$R$503,MATCH(G319,$G$4:$G$503,0)),IF($AL$7&gt;9,9,999)),"")</f>
        <v/>
      </c>
      <c r="W319" s="166">
        <f>IF(OR($I319="",$E319=0),0,IF(OR($J319&lt;W$3,$I319&gt;W$2),0,IF($K319=0,IF(AND($I319&gt;=W$3,$I319&lt;=W$2),$E319,0),$E319*NETWORKDAYS(MAX($I319,W$3),MIN($J319,W$2),Data!$K$4:$K$203)/$K319)))</f>
        <v>0</v>
      </c>
      <c r="X319" s="166">
        <f>IF(OR($I319="",$E319=0),0,IF(OR($J319&lt;X$3,$I319&gt;X$2),0,IF($K319=0,IF(AND($I319&gt;=X$3,$I319&lt;=X$2),$E319,0),$E319*NETWORKDAYS(MAX($I319,X$3),MIN($J319,X$2),Data!$K$4:$K$203)/$K319)))</f>
        <v>0</v>
      </c>
      <c r="Y319" s="166">
        <f>IF(OR($I319="",$E319=0),0,IF(OR($J319&lt;Y$3,$I319&gt;Y$2),0,IF($K319=0,IF(AND($I319&gt;=Y$3,$I319&lt;=Y$2),$E319,0),$E319*NETWORKDAYS(MAX($I319,Y$3),MIN($J319,Y$2),Data!$K$4:$K$203)/$K319)))</f>
        <v>0</v>
      </c>
      <c r="Z319" s="166">
        <f>IF(OR($I319="",$E319=0),0,IF(OR($J319&lt;Z$3,$I319&gt;Z$2),0,IF($K319=0,IF(AND($I319&gt;=Z$3,$I319&lt;=Z$2),$E319,0),$E319*NETWORKDAYS(MAX($I319,Z$3),MIN($J319,Z$2),Data!$K$4:$K$203)/$K319)))</f>
        <v>0</v>
      </c>
      <c r="AA319" s="166">
        <f>IF(OR($I319="",$E319=0),0,IF(OR($J319&lt;AA$3,$I319&gt;AA$2),0,IF($K319=0,IF(AND($I319&gt;=AA$3,$I319&lt;=AA$2),$E319,0),$E319*NETWORKDAYS(MAX($I319,AA$3),MIN($J319,AA$2),Data!$K$4:$K$203)/$K319)))</f>
        <v>0</v>
      </c>
      <c r="AB319" s="166">
        <f>IF(OR($I319="",$E319=0),0,IF(OR($J319&lt;AB$3,$I319&gt;AB$2),0,IF($K319=0,IF(AND($I319&gt;=AB$3,$I319&lt;=AB$2),$E319,0),$E319*NETWORKDAYS(MAX($I319,AB$3),MIN($J319,AB$2),Data!$K$4:$K$203)/$K319)))</f>
        <v>0</v>
      </c>
      <c r="AC319" s="166">
        <f>IF(OR($I319="",$E319=0),0,IF(OR($J319&lt;AC$3,$I319&gt;AC$2),0,IF($K319=0,IF(AND($I319&gt;=AC$3,$I319&lt;=AC$2),$E319,0),$E319*NETWORKDAYS(MAX($I319,AC$3),MIN($J319,AC$2),Data!$K$4:$K$203)/$K319)))</f>
        <v>0</v>
      </c>
      <c r="AD319" s="166">
        <f>IF(OR($I319="",$E319=0),0,IF(OR($J319&lt;AD$3,$I319&gt;AD$2),0,IF($K319=0,IF(AND($I319&gt;=AD$3,$I319&lt;=AD$2),$E319,0),$E319*NETWORKDAYS(MAX($I319,AD$3),MIN($J319,AD$2),Data!$K$4:$K$203)/$K319)))</f>
        <v>0</v>
      </c>
      <c r="AE319" s="166">
        <f>IF(OR($I319="",$E319=0),0,IF(OR($J319&lt;AE$3,$I319&gt;AE$2),0,IF($K319=0,IF(AND($I319&gt;=AE$3,$I319&lt;=AE$2),$E319,0),$E319*NETWORKDAYS(MAX($I319,AE$3),MIN($J319,AE$2),Data!$K$4:$K$203)/$K319)))</f>
        <v>0</v>
      </c>
      <c r="AF319" s="166">
        <f>IF(OR($I319="",$E319=0),0,IF(OR($J319&lt;AF$3,$I319&gt;AF$2),0,IF($K319=0,IF(AND($I319&gt;=AF$3,$I319&lt;=AF$2),$E319,0),$E319*NETWORKDAYS(MAX($I319,AF$3),MIN($J319,AF$2),Data!$K$4:$K$203)/$K319)))</f>
        <v>0</v>
      </c>
      <c r="AG319" s="166">
        <f>IF(OR($I319="",$E319=0),0,IF(OR($J319&lt;AG$3,$I319&gt;AG$2),0,IF($K319=0,IF(AND($I319&gt;=AG$3,$I319&lt;=AG$2),$E319,0),$E319*NETWORKDAYS(MAX($I319,AG$3),MIN($J319,AG$2),Data!$K$4:$K$203)/$K319)))</f>
        <v>0</v>
      </c>
      <c r="AH319" s="166">
        <f>IF(OR($I319="",$E319=0),0,IF(OR($J319&lt;AH$3,$I319&gt;AH$2),0,IF($K319=0,IF(AND($I319&gt;=AH$3,$I319&lt;=AH$2),$E319,0),$E319*NETWORKDAYS(MAX($I319,AH$3),MIN($J319,AH$2),Data!$K$4:$K$203)/$K319)))</f>
        <v>0</v>
      </c>
      <c r="AI319" s="166">
        <f>SUM(W319:AH319)</f>
        <v>0</v>
      </c>
      <c r="BZ319" t="str">
        <f>IF(D319=1,IF(TRIM(INDEX(Charge!$K:$K,ROW()))&lt;&gt;"",TRIM(INDEX(Charge!$K:$K,ROW())),IF(TRIM(INDEX(Charge!$L:$L,ROW()))&lt;&gt;"",TRIM(INDEX(Charge!$L:$L,ROW())),"(non affecté)")),"")</f>
        <v/>
      </c>
      <c r="CA319" t="str">
        <f>IF(AND($CD$4&lt;&gt;"",BZ319=$CD$4),COUNTIFS($BZ$4:$BZ$503,$CD$4,$L$4:$L$503,"&lt;"&amp;L319)+1,"")</f>
        <v/>
      </c>
      <c r="EM319" t="str">
        <f>IF(D319=1,IF(TRIM(INDEX(Charge!$K:$K,ROW()))&lt;&gt;"","Interne",IF(TRIM(INDEX(Charge!$L:$L,ROW()))&lt;&gt;"","Externe","Non affecté")),"")</f>
        <v/>
      </c>
      <c r="EN319" t="str">
        <f>IF(D319=1,LEFT(SUBSTITUTE(SUBSTITUTE(SUBSTITUTE(TRIM(SUBSTITUTE(INDEX(Charge!$B:$B,ROW()),CHAR(160)," "))&amp;" | "&amp;TRIM(SUBSTITUTE(INDEX(Charge!$C:$C,ROW()),CHAR(160)," "))&amp;" | "&amp;TRIM(SUBSTITUTE(INDEX(Charge!$D:$D,ROW()),CHAR(160)," ")),"~","-"),"*","+"),"?","!"),240),"")</f>
        <v/>
      </c>
      <c r="EO319">
        <f>IF(EN319="",0,IF(COUNTIF($EN$4:EN319,EN319)=1,1,0))</f>
        <v>0</v>
      </c>
      <c r="EP319" s="166" t="str">
        <f>IF(EO319=1,ROUND(SUMIF($EN$4:$EN$503,EN319,$E$4:$E$503),2),"")</f>
        <v/>
      </c>
      <c r="EQ319" t="str">
        <f>IF(EO319=1,COUNTIFS($EO$4:$EO$503,1,$EP$4:$EP$503,"&gt;"&amp;EP319)+COUNTIFS($EO$4:EO319,1,$EP$4:EP319,EP319),"")</f>
        <v/>
      </c>
      <c r="ER319" t="str">
        <f>IF(EO319=1,COUNTIFS($EN$4:$EN$503,EN319,$EM$4:$EM$503,"Interne",$FE$4:$FE$503,1),"")</f>
        <v/>
      </c>
      <c r="ES319" t="str">
        <f>IF(EO319=1,COUNTIFS($EN$4:$EN$503,EN319,$EM$4:$EM$503,"Externe",$FE$4:$FE$503,1),"")</f>
        <v/>
      </c>
      <c r="ET319" t="str">
        <f>IF(EO319=1,IF(ER319+ES319=0,"à affecter",IF(ER319=0,ES319&amp;" ext.",(ER319+ES319)&amp;IF(ES319&gt;0," dont "&amp;ES319&amp;" ext.",""))&amp;IF(COUNTIFS($EN$4:$EN$503,EN319,$EM$4:$EM$503,"Non affecté")&gt;0," + à affecter","")),"")</f>
        <v/>
      </c>
      <c r="EU319" s="170" t="str">
        <f>IF(EO319=1,IF(EP319&gt;0,SUMPRODUCT(($EN$4:$EN$503=EN319)*$E$4:$E$503*$C$4:$C$503)/EP319,AVERAGEIF($EN$4:$EN$503,EN319,$C$4:$C$503)),"")</f>
        <v/>
      </c>
      <c r="EV319" s="165">
        <f>IF(ISNUMBER(I319),I319,2958465)</f>
        <v>2958465.0</v>
      </c>
      <c r="EW319" s="165" t="str">
        <f>IF(EO319=1,SUMPRODUCT(MIN(($EN$4:$EN$503=EN319)*$EV$4:$EV$503+($EN$4:$EN$503&lt;&gt;EN319)*2958465)),"")</f>
        <v/>
      </c>
      <c r="EX319" s="165">
        <f>IF(AND(D319=1,ISNUMBER(INDEX(Charge!$F:$F,ROW()))),INDEX(Charge!$F:$F,ROW()),0)</f>
        <v>0.0</v>
      </c>
      <c r="EY319" s="165" t="str">
        <f>IF(EO319=1,SUMPRODUCT(MAX(($EN$4:$EN$503=EN319)*$EX$4:$EX$503)),"")</f>
        <v/>
      </c>
      <c r="FA319" t="str">
        <f>IF(316&lt;=$CD$23,INDEX($EJ$4:$EJ$203,316),IF(316-$CD$23&lt;=$CD$26,INDEX($EK$4:$EK$203,316-$CD$23),""))</f>
        <v/>
      </c>
      <c r="FB319" t="str">
        <f>IF(FA319="","",IF(316&lt;=$CD$23,"Interne","Externe"))</f>
        <v/>
      </c>
      <c r="FD319">
        <f>IF(AND(B319=1,TRIM(INDEX(Charge!$K:$K,ROW()))&lt;&gt;"",TRIM(INDEX(Charge!$L:$L,ROW()))&lt;&gt;""),1,0)</f>
        <v>0</v>
      </c>
      <c r="FE319">
        <f>IF(OR(EN319="",BZ319="(non affecté)"),0,IF(COUNTIFS($EN$4:EN319,EN319,$BZ$4:BZ319,BZ319)=1,1,0))</f>
        <v>0</v>
      </c>
    </row>
    <row r="320">
      <c r="A320">
        <f>ROW()</f>
        <v>320</v>
      </c>
      <c r="B320">
        <f>IF(TRIM(INDEX(Charge!$B:$B,ROW()))&lt;&gt;"",1,0)</f>
        <v>0</v>
      </c>
      <c r="C320">
        <f>IF(B320=1,MIN(1,MAX(0,N(INDEX(Charge!$O:$O,ROW())))),0)</f>
        <v>0</v>
      </c>
      <c r="D320">
        <f>IF(B320=1,IF(OR(p_Perimetre="Tous les projets",C320&lt;1),1,0),0)</f>
        <v>0</v>
      </c>
      <c r="E320">
        <f>IF(D320=1,MAX(0,N(INDEX(Charge!$M:$M,ROW()))),0)</f>
        <v>0</v>
      </c>
      <c r="F320" t="str">
        <f>IF(D320=1,IF(TRIM(INDEX(Charge!$A:$A,ROW()))="","(non renseigné)",TRIM(INDEX(Charge!$A:$A,ROW()))),"")</f>
        <v/>
      </c>
      <c r="G320" t="str">
        <f>IF(D320=1,TRIM(INDEX(Charge!$B:$B,ROW())),"")</f>
        <v/>
      </c>
      <c r="H320" t="str">
        <f>IF(D320=1,IF(TRIM(INDEX(Charge!$E:$E,ROW()))="","(non renseigné)",TRIM(INDEX(Charge!$E:$E,ROW()))),"")</f>
        <v/>
      </c>
      <c r="I320" s="165" t="str">
        <f>IF(AND(D320=1,ISNUMBER(INDEX(Charge!$N:$N,ROW()))),INDEX(Charge!$N:$N,ROW()),"")</f>
        <v/>
      </c>
      <c r="J320" s="165" t="str">
        <f>IF(I320="","",IF(AND(p_Repartition="Lissée jusqu'à la date de besoin",ISNUMBER(INDEX(Charge!$F:$F,ROW()))),IF(INDEX(Charge!$F:$F,ROW())&gt;=I320,INDEX(Charge!$F:$F,ROW()),I320),I320))</f>
        <v/>
      </c>
      <c r="K320" t="str">
        <f>IF(I320="","",NETWORKDAYS(I320,J320,Data!$K$4:$K$203))</f>
        <v/>
      </c>
      <c r="L320" t="str">
        <f>IF(D320=1,COUNTIFS($D$4:$D$503,1,$E$4:$E$503,"&gt;"&amp;E320)+COUNTIFS($D$4:$D320,1,$E$4:$E320,E320),"")</f>
        <v/>
      </c>
      <c r="M320">
        <f>IF(F320="",0,IF(COUNTIF($F$4:F320,F320)=1,1,0))</f>
        <v>0</v>
      </c>
      <c r="N320" t="str">
        <f>IF(M320=1,ROUND(SUMIF($F$4:$F$503,F320,$E$4:$E$503),2),"")</f>
        <v/>
      </c>
      <c r="O320" t="str">
        <f>IF(M320=1,COUNTIFS($M$4:$M$503,1,$N$4:$N$503,"&gt;"&amp;N320)+COUNTIFS($M$4:M320,1,$N$4:N320,N320),"")</f>
        <v/>
      </c>
      <c r="P320">
        <f>IF(G320="",0,IF(COUNTIF($G$4:G320,G320)=1,1,0))</f>
        <v>0</v>
      </c>
      <c r="Q320" t="str">
        <f>IF(P320=1,ROUND(SUMIF($G$4:$G$503,G320,$E$4:$E$503),2),"")</f>
        <v/>
      </c>
      <c r="R320" t="str">
        <f>IF(P320=1,COUNTIFS($P$4:$P$503,1,$Q$4:$Q$503,"&gt;"&amp;Q320)+COUNTIFS($P$4:P320,1,$Q$4:Q320,Q320),"")</f>
        <v/>
      </c>
      <c r="S320">
        <f>IF(H320="",0,IF(COUNTIF($H$4:H320,H320)=1,1,0))</f>
        <v>0</v>
      </c>
      <c r="T320" t="str">
        <f>IF(S320=1,ROUND(SUMIF($H$4:$H$503,H320,$E$4:$E$503),2),"")</f>
        <v/>
      </c>
      <c r="U320" t="str">
        <f>IF(S320=1,COUNTIFS($S$4:$S$503,1,$T$4:$T$503,"&gt;"&amp;T320)+COUNTIFS($S$4:S320,1,$T$4:T320,T320),"")</f>
        <v/>
      </c>
      <c r="V320" t="str">
        <f>IF(D320=1,MIN(INDEX($R$4:$R$503,MATCH(G320,$G$4:$G$503,0)),IF($AL$7&gt;9,9,999)),"")</f>
        <v/>
      </c>
      <c r="W320" s="166">
        <f>IF(OR($I320="",$E320=0),0,IF(OR($J320&lt;W$3,$I320&gt;W$2),0,IF($K320=0,IF(AND($I320&gt;=W$3,$I320&lt;=W$2),$E320,0),$E320*NETWORKDAYS(MAX($I320,W$3),MIN($J320,W$2),Data!$K$4:$K$203)/$K320)))</f>
        <v>0</v>
      </c>
      <c r="X320" s="166">
        <f>IF(OR($I320="",$E320=0),0,IF(OR($J320&lt;X$3,$I320&gt;X$2),0,IF($K320=0,IF(AND($I320&gt;=X$3,$I320&lt;=X$2),$E320,0),$E320*NETWORKDAYS(MAX($I320,X$3),MIN($J320,X$2),Data!$K$4:$K$203)/$K320)))</f>
        <v>0</v>
      </c>
      <c r="Y320" s="166">
        <f>IF(OR($I320="",$E320=0),0,IF(OR($J320&lt;Y$3,$I320&gt;Y$2),0,IF($K320=0,IF(AND($I320&gt;=Y$3,$I320&lt;=Y$2),$E320,0),$E320*NETWORKDAYS(MAX($I320,Y$3),MIN($J320,Y$2),Data!$K$4:$K$203)/$K320)))</f>
        <v>0</v>
      </c>
      <c r="Z320" s="166">
        <f>IF(OR($I320="",$E320=0),0,IF(OR($J320&lt;Z$3,$I320&gt;Z$2),0,IF($K320=0,IF(AND($I320&gt;=Z$3,$I320&lt;=Z$2),$E320,0),$E320*NETWORKDAYS(MAX($I320,Z$3),MIN($J320,Z$2),Data!$K$4:$K$203)/$K320)))</f>
        <v>0</v>
      </c>
      <c r="AA320" s="166">
        <f>IF(OR($I320="",$E320=0),0,IF(OR($J320&lt;AA$3,$I320&gt;AA$2),0,IF($K320=0,IF(AND($I320&gt;=AA$3,$I320&lt;=AA$2),$E320,0),$E320*NETWORKDAYS(MAX($I320,AA$3),MIN($J320,AA$2),Data!$K$4:$K$203)/$K320)))</f>
        <v>0</v>
      </c>
      <c r="AB320" s="166">
        <f>IF(OR($I320="",$E320=0),0,IF(OR($J320&lt;AB$3,$I320&gt;AB$2),0,IF($K320=0,IF(AND($I320&gt;=AB$3,$I320&lt;=AB$2),$E320,0),$E320*NETWORKDAYS(MAX($I320,AB$3),MIN($J320,AB$2),Data!$K$4:$K$203)/$K320)))</f>
        <v>0</v>
      </c>
      <c r="AC320" s="166">
        <f>IF(OR($I320="",$E320=0),0,IF(OR($J320&lt;AC$3,$I320&gt;AC$2),0,IF($K320=0,IF(AND($I320&gt;=AC$3,$I320&lt;=AC$2),$E320,0),$E320*NETWORKDAYS(MAX($I320,AC$3),MIN($J320,AC$2),Data!$K$4:$K$203)/$K320)))</f>
        <v>0</v>
      </c>
      <c r="AD320" s="166">
        <f>IF(OR($I320="",$E320=0),0,IF(OR($J320&lt;AD$3,$I320&gt;AD$2),0,IF($K320=0,IF(AND($I320&gt;=AD$3,$I320&lt;=AD$2),$E320,0),$E320*NETWORKDAYS(MAX($I320,AD$3),MIN($J320,AD$2),Data!$K$4:$K$203)/$K320)))</f>
        <v>0</v>
      </c>
      <c r="AE320" s="166">
        <f>IF(OR($I320="",$E320=0),0,IF(OR($J320&lt;AE$3,$I320&gt;AE$2),0,IF($K320=0,IF(AND($I320&gt;=AE$3,$I320&lt;=AE$2),$E320,0),$E320*NETWORKDAYS(MAX($I320,AE$3),MIN($J320,AE$2),Data!$K$4:$K$203)/$K320)))</f>
        <v>0</v>
      </c>
      <c r="AF320" s="166">
        <f>IF(OR($I320="",$E320=0),0,IF(OR($J320&lt;AF$3,$I320&gt;AF$2),0,IF($K320=0,IF(AND($I320&gt;=AF$3,$I320&lt;=AF$2),$E320,0),$E320*NETWORKDAYS(MAX($I320,AF$3),MIN($J320,AF$2),Data!$K$4:$K$203)/$K320)))</f>
        <v>0</v>
      </c>
      <c r="AG320" s="166">
        <f>IF(OR($I320="",$E320=0),0,IF(OR($J320&lt;AG$3,$I320&gt;AG$2),0,IF($K320=0,IF(AND($I320&gt;=AG$3,$I320&lt;=AG$2),$E320,0),$E320*NETWORKDAYS(MAX($I320,AG$3),MIN($J320,AG$2),Data!$K$4:$K$203)/$K320)))</f>
        <v>0</v>
      </c>
      <c r="AH320" s="166">
        <f>IF(OR($I320="",$E320=0),0,IF(OR($J320&lt;AH$3,$I320&gt;AH$2),0,IF($K320=0,IF(AND($I320&gt;=AH$3,$I320&lt;=AH$2),$E320,0),$E320*NETWORKDAYS(MAX($I320,AH$3),MIN($J320,AH$2),Data!$K$4:$K$203)/$K320)))</f>
        <v>0</v>
      </c>
      <c r="AI320" s="166">
        <f>SUM(W320:AH320)</f>
        <v>0</v>
      </c>
      <c r="BZ320" t="str">
        <f>IF(D320=1,IF(TRIM(INDEX(Charge!$K:$K,ROW()))&lt;&gt;"",TRIM(INDEX(Charge!$K:$K,ROW())),IF(TRIM(INDEX(Charge!$L:$L,ROW()))&lt;&gt;"",TRIM(INDEX(Charge!$L:$L,ROW())),"(non affecté)")),"")</f>
        <v/>
      </c>
      <c r="CA320" t="str">
        <f>IF(AND($CD$4&lt;&gt;"",BZ320=$CD$4),COUNTIFS($BZ$4:$BZ$503,$CD$4,$L$4:$L$503,"&lt;"&amp;L320)+1,"")</f>
        <v/>
      </c>
      <c r="EM320" t="str">
        <f>IF(D320=1,IF(TRIM(INDEX(Charge!$K:$K,ROW()))&lt;&gt;"","Interne",IF(TRIM(INDEX(Charge!$L:$L,ROW()))&lt;&gt;"","Externe","Non affecté")),"")</f>
        <v/>
      </c>
      <c r="EN320" t="str">
        <f>IF(D320=1,LEFT(SUBSTITUTE(SUBSTITUTE(SUBSTITUTE(TRIM(SUBSTITUTE(INDEX(Charge!$B:$B,ROW()),CHAR(160)," "))&amp;" | "&amp;TRIM(SUBSTITUTE(INDEX(Charge!$C:$C,ROW()),CHAR(160)," "))&amp;" | "&amp;TRIM(SUBSTITUTE(INDEX(Charge!$D:$D,ROW()),CHAR(160)," ")),"~","-"),"*","+"),"?","!"),240),"")</f>
        <v/>
      </c>
      <c r="EO320">
        <f>IF(EN320="",0,IF(COUNTIF($EN$4:EN320,EN320)=1,1,0))</f>
        <v>0</v>
      </c>
      <c r="EP320" s="166" t="str">
        <f>IF(EO320=1,ROUND(SUMIF($EN$4:$EN$503,EN320,$E$4:$E$503),2),"")</f>
        <v/>
      </c>
      <c r="EQ320" t="str">
        <f>IF(EO320=1,COUNTIFS($EO$4:$EO$503,1,$EP$4:$EP$503,"&gt;"&amp;EP320)+COUNTIFS($EO$4:EO320,1,$EP$4:EP320,EP320),"")</f>
        <v/>
      </c>
      <c r="ER320" t="str">
        <f>IF(EO320=1,COUNTIFS($EN$4:$EN$503,EN320,$EM$4:$EM$503,"Interne",$FE$4:$FE$503,1),"")</f>
        <v/>
      </c>
      <c r="ES320" t="str">
        <f>IF(EO320=1,COUNTIFS($EN$4:$EN$503,EN320,$EM$4:$EM$503,"Externe",$FE$4:$FE$503,1),"")</f>
        <v/>
      </c>
      <c r="ET320" t="str">
        <f>IF(EO320=1,IF(ER320+ES320=0,"à affecter",IF(ER320=0,ES320&amp;" ext.",(ER320+ES320)&amp;IF(ES320&gt;0," dont "&amp;ES320&amp;" ext.",""))&amp;IF(COUNTIFS($EN$4:$EN$503,EN320,$EM$4:$EM$503,"Non affecté")&gt;0," + à affecter","")),"")</f>
        <v/>
      </c>
      <c r="EU320" s="170" t="str">
        <f>IF(EO320=1,IF(EP320&gt;0,SUMPRODUCT(($EN$4:$EN$503=EN320)*$E$4:$E$503*$C$4:$C$503)/EP320,AVERAGEIF($EN$4:$EN$503,EN320,$C$4:$C$503)),"")</f>
        <v/>
      </c>
      <c r="EV320" s="165">
        <f>IF(ISNUMBER(I320),I320,2958465)</f>
        <v>2958465.0</v>
      </c>
      <c r="EW320" s="165" t="str">
        <f>IF(EO320=1,SUMPRODUCT(MIN(($EN$4:$EN$503=EN320)*$EV$4:$EV$503+($EN$4:$EN$503&lt;&gt;EN320)*2958465)),"")</f>
        <v/>
      </c>
      <c r="EX320" s="165">
        <f>IF(AND(D320=1,ISNUMBER(INDEX(Charge!$F:$F,ROW()))),INDEX(Charge!$F:$F,ROW()),0)</f>
        <v>0.0</v>
      </c>
      <c r="EY320" s="165" t="str">
        <f>IF(EO320=1,SUMPRODUCT(MAX(($EN$4:$EN$503=EN320)*$EX$4:$EX$503)),"")</f>
        <v/>
      </c>
      <c r="FA320" t="str">
        <f>IF(317&lt;=$CD$23,INDEX($EJ$4:$EJ$203,317),IF(317-$CD$23&lt;=$CD$26,INDEX($EK$4:$EK$203,317-$CD$23),""))</f>
        <v/>
      </c>
      <c r="FB320" t="str">
        <f>IF(FA320="","",IF(317&lt;=$CD$23,"Interne","Externe"))</f>
        <v/>
      </c>
      <c r="FD320">
        <f>IF(AND(B320=1,TRIM(INDEX(Charge!$K:$K,ROW()))&lt;&gt;"",TRIM(INDEX(Charge!$L:$L,ROW()))&lt;&gt;""),1,0)</f>
        <v>0</v>
      </c>
      <c r="FE320">
        <f>IF(OR(EN320="",BZ320="(non affecté)"),0,IF(COUNTIFS($EN$4:EN320,EN320,$BZ$4:BZ320,BZ320)=1,1,0))</f>
        <v>0</v>
      </c>
    </row>
    <row r="321">
      <c r="A321">
        <f>ROW()</f>
        <v>321</v>
      </c>
      <c r="B321">
        <f>IF(TRIM(INDEX(Charge!$B:$B,ROW()))&lt;&gt;"",1,0)</f>
        <v>0</v>
      </c>
      <c r="C321">
        <f>IF(B321=1,MIN(1,MAX(0,N(INDEX(Charge!$O:$O,ROW())))),0)</f>
        <v>0</v>
      </c>
      <c r="D321">
        <f>IF(B321=1,IF(OR(p_Perimetre="Tous les projets",C321&lt;1),1,0),0)</f>
        <v>0</v>
      </c>
      <c r="E321">
        <f>IF(D321=1,MAX(0,N(INDEX(Charge!$M:$M,ROW()))),0)</f>
        <v>0</v>
      </c>
      <c r="F321" t="str">
        <f>IF(D321=1,IF(TRIM(INDEX(Charge!$A:$A,ROW()))="","(non renseigné)",TRIM(INDEX(Charge!$A:$A,ROW()))),"")</f>
        <v/>
      </c>
      <c r="G321" t="str">
        <f>IF(D321=1,TRIM(INDEX(Charge!$B:$B,ROW())),"")</f>
        <v/>
      </c>
      <c r="H321" t="str">
        <f>IF(D321=1,IF(TRIM(INDEX(Charge!$E:$E,ROW()))="","(non renseigné)",TRIM(INDEX(Charge!$E:$E,ROW()))),"")</f>
        <v/>
      </c>
      <c r="I321" s="165" t="str">
        <f>IF(AND(D321=1,ISNUMBER(INDEX(Charge!$N:$N,ROW()))),INDEX(Charge!$N:$N,ROW()),"")</f>
        <v/>
      </c>
      <c r="J321" s="165" t="str">
        <f>IF(I321="","",IF(AND(p_Repartition="Lissée jusqu'à la date de besoin",ISNUMBER(INDEX(Charge!$F:$F,ROW()))),IF(INDEX(Charge!$F:$F,ROW())&gt;=I321,INDEX(Charge!$F:$F,ROW()),I321),I321))</f>
        <v/>
      </c>
      <c r="K321" t="str">
        <f>IF(I321="","",NETWORKDAYS(I321,J321,Data!$K$4:$K$203))</f>
        <v/>
      </c>
      <c r="L321" t="str">
        <f>IF(D321=1,COUNTIFS($D$4:$D$503,1,$E$4:$E$503,"&gt;"&amp;E321)+COUNTIFS($D$4:$D321,1,$E$4:$E321,E321),"")</f>
        <v/>
      </c>
      <c r="M321">
        <f>IF(F321="",0,IF(COUNTIF($F$4:F321,F321)=1,1,0))</f>
        <v>0</v>
      </c>
      <c r="N321" t="str">
        <f>IF(M321=1,ROUND(SUMIF($F$4:$F$503,F321,$E$4:$E$503),2),"")</f>
        <v/>
      </c>
      <c r="O321" t="str">
        <f>IF(M321=1,COUNTIFS($M$4:$M$503,1,$N$4:$N$503,"&gt;"&amp;N321)+COUNTIFS($M$4:M321,1,$N$4:N321,N321),"")</f>
        <v/>
      </c>
      <c r="P321">
        <f>IF(G321="",0,IF(COUNTIF($G$4:G321,G321)=1,1,0))</f>
        <v>0</v>
      </c>
      <c r="Q321" t="str">
        <f>IF(P321=1,ROUND(SUMIF($G$4:$G$503,G321,$E$4:$E$503),2),"")</f>
        <v/>
      </c>
      <c r="R321" t="str">
        <f>IF(P321=1,COUNTIFS($P$4:$P$503,1,$Q$4:$Q$503,"&gt;"&amp;Q321)+COUNTIFS($P$4:P321,1,$Q$4:Q321,Q321),"")</f>
        <v/>
      </c>
      <c r="S321">
        <f>IF(H321="",0,IF(COUNTIF($H$4:H321,H321)=1,1,0))</f>
        <v>0</v>
      </c>
      <c r="T321" t="str">
        <f>IF(S321=1,ROUND(SUMIF($H$4:$H$503,H321,$E$4:$E$503),2),"")</f>
        <v/>
      </c>
      <c r="U321" t="str">
        <f>IF(S321=1,COUNTIFS($S$4:$S$503,1,$T$4:$T$503,"&gt;"&amp;T321)+COUNTIFS($S$4:S321,1,$T$4:T321,T321),"")</f>
        <v/>
      </c>
      <c r="V321" t="str">
        <f>IF(D321=1,MIN(INDEX($R$4:$R$503,MATCH(G321,$G$4:$G$503,0)),IF($AL$7&gt;9,9,999)),"")</f>
        <v/>
      </c>
      <c r="W321" s="166">
        <f>IF(OR($I321="",$E321=0),0,IF(OR($J321&lt;W$3,$I321&gt;W$2),0,IF($K321=0,IF(AND($I321&gt;=W$3,$I321&lt;=W$2),$E321,0),$E321*NETWORKDAYS(MAX($I321,W$3),MIN($J321,W$2),Data!$K$4:$K$203)/$K321)))</f>
        <v>0</v>
      </c>
      <c r="X321" s="166">
        <f>IF(OR($I321="",$E321=0),0,IF(OR($J321&lt;X$3,$I321&gt;X$2),0,IF($K321=0,IF(AND($I321&gt;=X$3,$I321&lt;=X$2),$E321,0),$E321*NETWORKDAYS(MAX($I321,X$3),MIN($J321,X$2),Data!$K$4:$K$203)/$K321)))</f>
        <v>0</v>
      </c>
      <c r="Y321" s="166">
        <f>IF(OR($I321="",$E321=0),0,IF(OR($J321&lt;Y$3,$I321&gt;Y$2),0,IF($K321=0,IF(AND($I321&gt;=Y$3,$I321&lt;=Y$2),$E321,0),$E321*NETWORKDAYS(MAX($I321,Y$3),MIN($J321,Y$2),Data!$K$4:$K$203)/$K321)))</f>
        <v>0</v>
      </c>
      <c r="Z321" s="166">
        <f>IF(OR($I321="",$E321=0),0,IF(OR($J321&lt;Z$3,$I321&gt;Z$2),0,IF($K321=0,IF(AND($I321&gt;=Z$3,$I321&lt;=Z$2),$E321,0),$E321*NETWORKDAYS(MAX($I321,Z$3),MIN($J321,Z$2),Data!$K$4:$K$203)/$K321)))</f>
        <v>0</v>
      </c>
      <c r="AA321" s="166">
        <f>IF(OR($I321="",$E321=0),0,IF(OR($J321&lt;AA$3,$I321&gt;AA$2),0,IF($K321=0,IF(AND($I321&gt;=AA$3,$I321&lt;=AA$2),$E321,0),$E321*NETWORKDAYS(MAX($I321,AA$3),MIN($J321,AA$2),Data!$K$4:$K$203)/$K321)))</f>
        <v>0</v>
      </c>
      <c r="AB321" s="166">
        <f>IF(OR($I321="",$E321=0),0,IF(OR($J321&lt;AB$3,$I321&gt;AB$2),0,IF($K321=0,IF(AND($I321&gt;=AB$3,$I321&lt;=AB$2),$E321,0),$E321*NETWORKDAYS(MAX($I321,AB$3),MIN($J321,AB$2),Data!$K$4:$K$203)/$K321)))</f>
        <v>0</v>
      </c>
      <c r="AC321" s="166">
        <f>IF(OR($I321="",$E321=0),0,IF(OR($J321&lt;AC$3,$I321&gt;AC$2),0,IF($K321=0,IF(AND($I321&gt;=AC$3,$I321&lt;=AC$2),$E321,0),$E321*NETWORKDAYS(MAX($I321,AC$3),MIN($J321,AC$2),Data!$K$4:$K$203)/$K321)))</f>
        <v>0</v>
      </c>
      <c r="AD321" s="166">
        <f>IF(OR($I321="",$E321=0),0,IF(OR($J321&lt;AD$3,$I321&gt;AD$2),0,IF($K321=0,IF(AND($I321&gt;=AD$3,$I321&lt;=AD$2),$E321,0),$E321*NETWORKDAYS(MAX($I321,AD$3),MIN($J321,AD$2),Data!$K$4:$K$203)/$K321)))</f>
        <v>0</v>
      </c>
      <c r="AE321" s="166">
        <f>IF(OR($I321="",$E321=0),0,IF(OR($J321&lt;AE$3,$I321&gt;AE$2),0,IF($K321=0,IF(AND($I321&gt;=AE$3,$I321&lt;=AE$2),$E321,0),$E321*NETWORKDAYS(MAX($I321,AE$3),MIN($J321,AE$2),Data!$K$4:$K$203)/$K321)))</f>
        <v>0</v>
      </c>
      <c r="AF321" s="166">
        <f>IF(OR($I321="",$E321=0),0,IF(OR($J321&lt;AF$3,$I321&gt;AF$2),0,IF($K321=0,IF(AND($I321&gt;=AF$3,$I321&lt;=AF$2),$E321,0),$E321*NETWORKDAYS(MAX($I321,AF$3),MIN($J321,AF$2),Data!$K$4:$K$203)/$K321)))</f>
        <v>0</v>
      </c>
      <c r="AG321" s="166">
        <f>IF(OR($I321="",$E321=0),0,IF(OR($J321&lt;AG$3,$I321&gt;AG$2),0,IF($K321=0,IF(AND($I321&gt;=AG$3,$I321&lt;=AG$2),$E321,0),$E321*NETWORKDAYS(MAX($I321,AG$3),MIN($J321,AG$2),Data!$K$4:$K$203)/$K321)))</f>
        <v>0</v>
      </c>
      <c r="AH321" s="166">
        <f>IF(OR($I321="",$E321=0),0,IF(OR($J321&lt;AH$3,$I321&gt;AH$2),0,IF($K321=0,IF(AND($I321&gt;=AH$3,$I321&lt;=AH$2),$E321,0),$E321*NETWORKDAYS(MAX($I321,AH$3),MIN($J321,AH$2),Data!$K$4:$K$203)/$K321)))</f>
        <v>0</v>
      </c>
      <c r="AI321" s="166">
        <f>SUM(W321:AH321)</f>
        <v>0</v>
      </c>
      <c r="BZ321" t="str">
        <f>IF(D321=1,IF(TRIM(INDEX(Charge!$K:$K,ROW()))&lt;&gt;"",TRIM(INDEX(Charge!$K:$K,ROW())),IF(TRIM(INDEX(Charge!$L:$L,ROW()))&lt;&gt;"",TRIM(INDEX(Charge!$L:$L,ROW())),"(non affecté)")),"")</f>
        <v/>
      </c>
      <c r="CA321" t="str">
        <f>IF(AND($CD$4&lt;&gt;"",BZ321=$CD$4),COUNTIFS($BZ$4:$BZ$503,$CD$4,$L$4:$L$503,"&lt;"&amp;L321)+1,"")</f>
        <v/>
      </c>
      <c r="EM321" t="str">
        <f>IF(D321=1,IF(TRIM(INDEX(Charge!$K:$K,ROW()))&lt;&gt;"","Interne",IF(TRIM(INDEX(Charge!$L:$L,ROW()))&lt;&gt;"","Externe","Non affecté")),"")</f>
        <v/>
      </c>
      <c r="EN321" t="str">
        <f>IF(D321=1,LEFT(SUBSTITUTE(SUBSTITUTE(SUBSTITUTE(TRIM(SUBSTITUTE(INDEX(Charge!$B:$B,ROW()),CHAR(160)," "))&amp;" | "&amp;TRIM(SUBSTITUTE(INDEX(Charge!$C:$C,ROW()),CHAR(160)," "))&amp;" | "&amp;TRIM(SUBSTITUTE(INDEX(Charge!$D:$D,ROW()),CHAR(160)," ")),"~","-"),"*","+"),"?","!"),240),"")</f>
        <v/>
      </c>
      <c r="EO321">
        <f>IF(EN321="",0,IF(COUNTIF($EN$4:EN321,EN321)=1,1,0))</f>
        <v>0</v>
      </c>
      <c r="EP321" s="166" t="str">
        <f>IF(EO321=1,ROUND(SUMIF($EN$4:$EN$503,EN321,$E$4:$E$503),2),"")</f>
        <v/>
      </c>
      <c r="EQ321" t="str">
        <f>IF(EO321=1,COUNTIFS($EO$4:$EO$503,1,$EP$4:$EP$503,"&gt;"&amp;EP321)+COUNTIFS($EO$4:EO321,1,$EP$4:EP321,EP321),"")</f>
        <v/>
      </c>
      <c r="ER321" t="str">
        <f>IF(EO321=1,COUNTIFS($EN$4:$EN$503,EN321,$EM$4:$EM$503,"Interne",$FE$4:$FE$503,1),"")</f>
        <v/>
      </c>
      <c r="ES321" t="str">
        <f>IF(EO321=1,COUNTIFS($EN$4:$EN$503,EN321,$EM$4:$EM$503,"Externe",$FE$4:$FE$503,1),"")</f>
        <v/>
      </c>
      <c r="ET321" t="str">
        <f>IF(EO321=1,IF(ER321+ES321=0,"à affecter",IF(ER321=0,ES321&amp;" ext.",(ER321+ES321)&amp;IF(ES321&gt;0," dont "&amp;ES321&amp;" ext.",""))&amp;IF(COUNTIFS($EN$4:$EN$503,EN321,$EM$4:$EM$503,"Non affecté")&gt;0," + à affecter","")),"")</f>
        <v/>
      </c>
      <c r="EU321" s="170" t="str">
        <f>IF(EO321=1,IF(EP321&gt;0,SUMPRODUCT(($EN$4:$EN$503=EN321)*$E$4:$E$503*$C$4:$C$503)/EP321,AVERAGEIF($EN$4:$EN$503,EN321,$C$4:$C$503)),"")</f>
        <v/>
      </c>
      <c r="EV321" s="165">
        <f>IF(ISNUMBER(I321),I321,2958465)</f>
        <v>2958465.0</v>
      </c>
      <c r="EW321" s="165" t="str">
        <f>IF(EO321=1,SUMPRODUCT(MIN(($EN$4:$EN$503=EN321)*$EV$4:$EV$503+($EN$4:$EN$503&lt;&gt;EN321)*2958465)),"")</f>
        <v/>
      </c>
      <c r="EX321" s="165">
        <f>IF(AND(D321=1,ISNUMBER(INDEX(Charge!$F:$F,ROW()))),INDEX(Charge!$F:$F,ROW()),0)</f>
        <v>0.0</v>
      </c>
      <c r="EY321" s="165" t="str">
        <f>IF(EO321=1,SUMPRODUCT(MAX(($EN$4:$EN$503=EN321)*$EX$4:$EX$503)),"")</f>
        <v/>
      </c>
      <c r="FA321" t="str">
        <f>IF(318&lt;=$CD$23,INDEX($EJ$4:$EJ$203,318),IF(318-$CD$23&lt;=$CD$26,INDEX($EK$4:$EK$203,318-$CD$23),""))</f>
        <v/>
      </c>
      <c r="FB321" t="str">
        <f>IF(FA321="","",IF(318&lt;=$CD$23,"Interne","Externe"))</f>
        <v/>
      </c>
      <c r="FD321">
        <f>IF(AND(B321=1,TRIM(INDEX(Charge!$K:$K,ROW()))&lt;&gt;"",TRIM(INDEX(Charge!$L:$L,ROW()))&lt;&gt;""),1,0)</f>
        <v>0</v>
      </c>
      <c r="FE321">
        <f>IF(OR(EN321="",BZ321="(non affecté)"),0,IF(COUNTIFS($EN$4:EN321,EN321,$BZ$4:BZ321,BZ321)=1,1,0))</f>
        <v>0</v>
      </c>
    </row>
    <row r="322">
      <c r="A322">
        <f>ROW()</f>
        <v>322</v>
      </c>
      <c r="B322">
        <f>IF(TRIM(INDEX(Charge!$B:$B,ROW()))&lt;&gt;"",1,0)</f>
        <v>0</v>
      </c>
      <c r="C322">
        <f>IF(B322=1,MIN(1,MAX(0,N(INDEX(Charge!$O:$O,ROW())))),0)</f>
        <v>0</v>
      </c>
      <c r="D322">
        <f>IF(B322=1,IF(OR(p_Perimetre="Tous les projets",C322&lt;1),1,0),0)</f>
        <v>0</v>
      </c>
      <c r="E322">
        <f>IF(D322=1,MAX(0,N(INDEX(Charge!$M:$M,ROW()))),0)</f>
        <v>0</v>
      </c>
      <c r="F322" t="str">
        <f>IF(D322=1,IF(TRIM(INDEX(Charge!$A:$A,ROW()))="","(non renseigné)",TRIM(INDEX(Charge!$A:$A,ROW()))),"")</f>
        <v/>
      </c>
      <c r="G322" t="str">
        <f>IF(D322=1,TRIM(INDEX(Charge!$B:$B,ROW())),"")</f>
        <v/>
      </c>
      <c r="H322" t="str">
        <f>IF(D322=1,IF(TRIM(INDEX(Charge!$E:$E,ROW()))="","(non renseigné)",TRIM(INDEX(Charge!$E:$E,ROW()))),"")</f>
        <v/>
      </c>
      <c r="I322" s="165" t="str">
        <f>IF(AND(D322=1,ISNUMBER(INDEX(Charge!$N:$N,ROW()))),INDEX(Charge!$N:$N,ROW()),"")</f>
        <v/>
      </c>
      <c r="J322" s="165" t="str">
        <f>IF(I322="","",IF(AND(p_Repartition="Lissée jusqu'à la date de besoin",ISNUMBER(INDEX(Charge!$F:$F,ROW()))),IF(INDEX(Charge!$F:$F,ROW())&gt;=I322,INDEX(Charge!$F:$F,ROW()),I322),I322))</f>
        <v/>
      </c>
      <c r="K322" t="str">
        <f>IF(I322="","",NETWORKDAYS(I322,J322,Data!$K$4:$K$203))</f>
        <v/>
      </c>
      <c r="L322" t="str">
        <f>IF(D322=1,COUNTIFS($D$4:$D$503,1,$E$4:$E$503,"&gt;"&amp;E322)+COUNTIFS($D$4:$D322,1,$E$4:$E322,E322),"")</f>
        <v/>
      </c>
      <c r="M322">
        <f>IF(F322="",0,IF(COUNTIF($F$4:F322,F322)=1,1,0))</f>
        <v>0</v>
      </c>
      <c r="N322" t="str">
        <f>IF(M322=1,ROUND(SUMIF($F$4:$F$503,F322,$E$4:$E$503),2),"")</f>
        <v/>
      </c>
      <c r="O322" t="str">
        <f>IF(M322=1,COUNTIFS($M$4:$M$503,1,$N$4:$N$503,"&gt;"&amp;N322)+COUNTIFS($M$4:M322,1,$N$4:N322,N322),"")</f>
        <v/>
      </c>
      <c r="P322">
        <f>IF(G322="",0,IF(COUNTIF($G$4:G322,G322)=1,1,0))</f>
        <v>0</v>
      </c>
      <c r="Q322" t="str">
        <f>IF(P322=1,ROUND(SUMIF($G$4:$G$503,G322,$E$4:$E$503),2),"")</f>
        <v/>
      </c>
      <c r="R322" t="str">
        <f>IF(P322=1,COUNTIFS($P$4:$P$503,1,$Q$4:$Q$503,"&gt;"&amp;Q322)+COUNTIFS($P$4:P322,1,$Q$4:Q322,Q322),"")</f>
        <v/>
      </c>
      <c r="S322">
        <f>IF(H322="",0,IF(COUNTIF($H$4:H322,H322)=1,1,0))</f>
        <v>0</v>
      </c>
      <c r="T322" t="str">
        <f>IF(S322=1,ROUND(SUMIF($H$4:$H$503,H322,$E$4:$E$503),2),"")</f>
        <v/>
      </c>
      <c r="U322" t="str">
        <f>IF(S322=1,COUNTIFS($S$4:$S$503,1,$T$4:$T$503,"&gt;"&amp;T322)+COUNTIFS($S$4:S322,1,$T$4:T322,T322),"")</f>
        <v/>
      </c>
      <c r="V322" t="str">
        <f>IF(D322=1,MIN(INDEX($R$4:$R$503,MATCH(G322,$G$4:$G$503,0)),IF($AL$7&gt;9,9,999)),"")</f>
        <v/>
      </c>
      <c r="W322" s="166">
        <f>IF(OR($I322="",$E322=0),0,IF(OR($J322&lt;W$3,$I322&gt;W$2),0,IF($K322=0,IF(AND($I322&gt;=W$3,$I322&lt;=W$2),$E322,0),$E322*NETWORKDAYS(MAX($I322,W$3),MIN($J322,W$2),Data!$K$4:$K$203)/$K322)))</f>
        <v>0</v>
      </c>
      <c r="X322" s="166">
        <f>IF(OR($I322="",$E322=0),0,IF(OR($J322&lt;X$3,$I322&gt;X$2),0,IF($K322=0,IF(AND($I322&gt;=X$3,$I322&lt;=X$2),$E322,0),$E322*NETWORKDAYS(MAX($I322,X$3),MIN($J322,X$2),Data!$K$4:$K$203)/$K322)))</f>
        <v>0</v>
      </c>
      <c r="Y322" s="166">
        <f>IF(OR($I322="",$E322=0),0,IF(OR($J322&lt;Y$3,$I322&gt;Y$2),0,IF($K322=0,IF(AND($I322&gt;=Y$3,$I322&lt;=Y$2),$E322,0),$E322*NETWORKDAYS(MAX($I322,Y$3),MIN($J322,Y$2),Data!$K$4:$K$203)/$K322)))</f>
        <v>0</v>
      </c>
      <c r="Z322" s="166">
        <f>IF(OR($I322="",$E322=0),0,IF(OR($J322&lt;Z$3,$I322&gt;Z$2),0,IF($K322=0,IF(AND($I322&gt;=Z$3,$I322&lt;=Z$2),$E322,0),$E322*NETWORKDAYS(MAX($I322,Z$3),MIN($J322,Z$2),Data!$K$4:$K$203)/$K322)))</f>
        <v>0</v>
      </c>
      <c r="AA322" s="166">
        <f>IF(OR($I322="",$E322=0),0,IF(OR($J322&lt;AA$3,$I322&gt;AA$2),0,IF($K322=0,IF(AND($I322&gt;=AA$3,$I322&lt;=AA$2),$E322,0),$E322*NETWORKDAYS(MAX($I322,AA$3),MIN($J322,AA$2),Data!$K$4:$K$203)/$K322)))</f>
        <v>0</v>
      </c>
      <c r="AB322" s="166">
        <f>IF(OR($I322="",$E322=0),0,IF(OR($J322&lt;AB$3,$I322&gt;AB$2),0,IF($K322=0,IF(AND($I322&gt;=AB$3,$I322&lt;=AB$2),$E322,0),$E322*NETWORKDAYS(MAX($I322,AB$3),MIN($J322,AB$2),Data!$K$4:$K$203)/$K322)))</f>
        <v>0</v>
      </c>
      <c r="AC322" s="166">
        <f>IF(OR($I322="",$E322=0),0,IF(OR($J322&lt;AC$3,$I322&gt;AC$2),0,IF($K322=0,IF(AND($I322&gt;=AC$3,$I322&lt;=AC$2),$E322,0),$E322*NETWORKDAYS(MAX($I322,AC$3),MIN($J322,AC$2),Data!$K$4:$K$203)/$K322)))</f>
        <v>0</v>
      </c>
      <c r="AD322" s="166">
        <f>IF(OR($I322="",$E322=0),0,IF(OR($J322&lt;AD$3,$I322&gt;AD$2),0,IF($K322=0,IF(AND($I322&gt;=AD$3,$I322&lt;=AD$2),$E322,0),$E322*NETWORKDAYS(MAX($I322,AD$3),MIN($J322,AD$2),Data!$K$4:$K$203)/$K322)))</f>
        <v>0</v>
      </c>
      <c r="AE322" s="166">
        <f>IF(OR($I322="",$E322=0),0,IF(OR($J322&lt;AE$3,$I322&gt;AE$2),0,IF($K322=0,IF(AND($I322&gt;=AE$3,$I322&lt;=AE$2),$E322,0),$E322*NETWORKDAYS(MAX($I322,AE$3),MIN($J322,AE$2),Data!$K$4:$K$203)/$K322)))</f>
        <v>0</v>
      </c>
      <c r="AF322" s="166">
        <f>IF(OR($I322="",$E322=0),0,IF(OR($J322&lt;AF$3,$I322&gt;AF$2),0,IF($K322=0,IF(AND($I322&gt;=AF$3,$I322&lt;=AF$2),$E322,0),$E322*NETWORKDAYS(MAX($I322,AF$3),MIN($J322,AF$2),Data!$K$4:$K$203)/$K322)))</f>
        <v>0</v>
      </c>
      <c r="AG322" s="166">
        <f>IF(OR($I322="",$E322=0),0,IF(OR($J322&lt;AG$3,$I322&gt;AG$2),0,IF($K322=0,IF(AND($I322&gt;=AG$3,$I322&lt;=AG$2),$E322,0),$E322*NETWORKDAYS(MAX($I322,AG$3),MIN($J322,AG$2),Data!$K$4:$K$203)/$K322)))</f>
        <v>0</v>
      </c>
      <c r="AH322" s="166">
        <f>IF(OR($I322="",$E322=0),0,IF(OR($J322&lt;AH$3,$I322&gt;AH$2),0,IF($K322=0,IF(AND($I322&gt;=AH$3,$I322&lt;=AH$2),$E322,0),$E322*NETWORKDAYS(MAX($I322,AH$3),MIN($J322,AH$2),Data!$K$4:$K$203)/$K322)))</f>
        <v>0</v>
      </c>
      <c r="AI322" s="166">
        <f>SUM(W322:AH322)</f>
        <v>0</v>
      </c>
      <c r="BZ322" t="str">
        <f>IF(D322=1,IF(TRIM(INDEX(Charge!$K:$K,ROW()))&lt;&gt;"",TRIM(INDEX(Charge!$K:$K,ROW())),IF(TRIM(INDEX(Charge!$L:$L,ROW()))&lt;&gt;"",TRIM(INDEX(Charge!$L:$L,ROW())),"(non affecté)")),"")</f>
        <v/>
      </c>
      <c r="CA322" t="str">
        <f>IF(AND($CD$4&lt;&gt;"",BZ322=$CD$4),COUNTIFS($BZ$4:$BZ$503,$CD$4,$L$4:$L$503,"&lt;"&amp;L322)+1,"")</f>
        <v/>
      </c>
      <c r="EM322" t="str">
        <f>IF(D322=1,IF(TRIM(INDEX(Charge!$K:$K,ROW()))&lt;&gt;"","Interne",IF(TRIM(INDEX(Charge!$L:$L,ROW()))&lt;&gt;"","Externe","Non affecté")),"")</f>
        <v/>
      </c>
      <c r="EN322" t="str">
        <f>IF(D322=1,LEFT(SUBSTITUTE(SUBSTITUTE(SUBSTITUTE(TRIM(SUBSTITUTE(INDEX(Charge!$B:$B,ROW()),CHAR(160)," "))&amp;" | "&amp;TRIM(SUBSTITUTE(INDEX(Charge!$C:$C,ROW()),CHAR(160)," "))&amp;" | "&amp;TRIM(SUBSTITUTE(INDEX(Charge!$D:$D,ROW()),CHAR(160)," ")),"~","-"),"*","+"),"?","!"),240),"")</f>
        <v/>
      </c>
      <c r="EO322">
        <f>IF(EN322="",0,IF(COUNTIF($EN$4:EN322,EN322)=1,1,0))</f>
        <v>0</v>
      </c>
      <c r="EP322" s="166" t="str">
        <f>IF(EO322=1,ROUND(SUMIF($EN$4:$EN$503,EN322,$E$4:$E$503),2),"")</f>
        <v/>
      </c>
      <c r="EQ322" t="str">
        <f>IF(EO322=1,COUNTIFS($EO$4:$EO$503,1,$EP$4:$EP$503,"&gt;"&amp;EP322)+COUNTIFS($EO$4:EO322,1,$EP$4:EP322,EP322),"")</f>
        <v/>
      </c>
      <c r="ER322" t="str">
        <f>IF(EO322=1,COUNTIFS($EN$4:$EN$503,EN322,$EM$4:$EM$503,"Interne",$FE$4:$FE$503,1),"")</f>
        <v/>
      </c>
      <c r="ES322" t="str">
        <f>IF(EO322=1,COUNTIFS($EN$4:$EN$503,EN322,$EM$4:$EM$503,"Externe",$FE$4:$FE$503,1),"")</f>
        <v/>
      </c>
      <c r="ET322" t="str">
        <f>IF(EO322=1,IF(ER322+ES322=0,"à affecter",IF(ER322=0,ES322&amp;" ext.",(ER322+ES322)&amp;IF(ES322&gt;0," dont "&amp;ES322&amp;" ext.",""))&amp;IF(COUNTIFS($EN$4:$EN$503,EN322,$EM$4:$EM$503,"Non affecté")&gt;0," + à affecter","")),"")</f>
        <v/>
      </c>
      <c r="EU322" s="170" t="str">
        <f>IF(EO322=1,IF(EP322&gt;0,SUMPRODUCT(($EN$4:$EN$503=EN322)*$E$4:$E$503*$C$4:$C$503)/EP322,AVERAGEIF($EN$4:$EN$503,EN322,$C$4:$C$503)),"")</f>
        <v/>
      </c>
      <c r="EV322" s="165">
        <f>IF(ISNUMBER(I322),I322,2958465)</f>
        <v>2958465.0</v>
      </c>
      <c r="EW322" s="165" t="str">
        <f>IF(EO322=1,SUMPRODUCT(MIN(($EN$4:$EN$503=EN322)*$EV$4:$EV$503+($EN$4:$EN$503&lt;&gt;EN322)*2958465)),"")</f>
        <v/>
      </c>
      <c r="EX322" s="165">
        <f>IF(AND(D322=1,ISNUMBER(INDEX(Charge!$F:$F,ROW()))),INDEX(Charge!$F:$F,ROW()),0)</f>
        <v>0.0</v>
      </c>
      <c r="EY322" s="165" t="str">
        <f>IF(EO322=1,SUMPRODUCT(MAX(($EN$4:$EN$503=EN322)*$EX$4:$EX$503)),"")</f>
        <v/>
      </c>
      <c r="FA322" t="str">
        <f>IF(319&lt;=$CD$23,INDEX($EJ$4:$EJ$203,319),IF(319-$CD$23&lt;=$CD$26,INDEX($EK$4:$EK$203,319-$CD$23),""))</f>
        <v/>
      </c>
      <c r="FB322" t="str">
        <f>IF(FA322="","",IF(319&lt;=$CD$23,"Interne","Externe"))</f>
        <v/>
      </c>
      <c r="FD322">
        <f>IF(AND(B322=1,TRIM(INDEX(Charge!$K:$K,ROW()))&lt;&gt;"",TRIM(INDEX(Charge!$L:$L,ROW()))&lt;&gt;""),1,0)</f>
        <v>0</v>
      </c>
      <c r="FE322">
        <f>IF(OR(EN322="",BZ322="(non affecté)"),0,IF(COUNTIFS($EN$4:EN322,EN322,$BZ$4:BZ322,BZ322)=1,1,0))</f>
        <v>0</v>
      </c>
    </row>
    <row r="323">
      <c r="A323">
        <f>ROW()</f>
        <v>323</v>
      </c>
      <c r="B323">
        <f>IF(TRIM(INDEX(Charge!$B:$B,ROW()))&lt;&gt;"",1,0)</f>
        <v>0</v>
      </c>
      <c r="C323">
        <f>IF(B323=1,MIN(1,MAX(0,N(INDEX(Charge!$O:$O,ROW())))),0)</f>
        <v>0</v>
      </c>
      <c r="D323">
        <f>IF(B323=1,IF(OR(p_Perimetre="Tous les projets",C323&lt;1),1,0),0)</f>
        <v>0</v>
      </c>
      <c r="E323">
        <f>IF(D323=1,MAX(0,N(INDEX(Charge!$M:$M,ROW()))),0)</f>
        <v>0</v>
      </c>
      <c r="F323" t="str">
        <f>IF(D323=1,IF(TRIM(INDEX(Charge!$A:$A,ROW()))="","(non renseigné)",TRIM(INDEX(Charge!$A:$A,ROW()))),"")</f>
        <v/>
      </c>
      <c r="G323" t="str">
        <f>IF(D323=1,TRIM(INDEX(Charge!$B:$B,ROW())),"")</f>
        <v/>
      </c>
      <c r="H323" t="str">
        <f>IF(D323=1,IF(TRIM(INDEX(Charge!$E:$E,ROW()))="","(non renseigné)",TRIM(INDEX(Charge!$E:$E,ROW()))),"")</f>
        <v/>
      </c>
      <c r="I323" s="165" t="str">
        <f>IF(AND(D323=1,ISNUMBER(INDEX(Charge!$N:$N,ROW()))),INDEX(Charge!$N:$N,ROW()),"")</f>
        <v/>
      </c>
      <c r="J323" s="165" t="str">
        <f>IF(I323="","",IF(AND(p_Repartition="Lissée jusqu'à la date de besoin",ISNUMBER(INDEX(Charge!$F:$F,ROW()))),IF(INDEX(Charge!$F:$F,ROW())&gt;=I323,INDEX(Charge!$F:$F,ROW()),I323),I323))</f>
        <v/>
      </c>
      <c r="K323" t="str">
        <f>IF(I323="","",NETWORKDAYS(I323,J323,Data!$K$4:$K$203))</f>
        <v/>
      </c>
      <c r="L323" t="str">
        <f>IF(D323=1,COUNTIFS($D$4:$D$503,1,$E$4:$E$503,"&gt;"&amp;E323)+COUNTIFS($D$4:$D323,1,$E$4:$E323,E323),"")</f>
        <v/>
      </c>
      <c r="M323">
        <f>IF(F323="",0,IF(COUNTIF($F$4:F323,F323)=1,1,0))</f>
        <v>0</v>
      </c>
      <c r="N323" t="str">
        <f>IF(M323=1,ROUND(SUMIF($F$4:$F$503,F323,$E$4:$E$503),2),"")</f>
        <v/>
      </c>
      <c r="O323" t="str">
        <f>IF(M323=1,COUNTIFS($M$4:$M$503,1,$N$4:$N$503,"&gt;"&amp;N323)+COUNTIFS($M$4:M323,1,$N$4:N323,N323),"")</f>
        <v/>
      </c>
      <c r="P323">
        <f>IF(G323="",0,IF(COUNTIF($G$4:G323,G323)=1,1,0))</f>
        <v>0</v>
      </c>
      <c r="Q323" t="str">
        <f>IF(P323=1,ROUND(SUMIF($G$4:$G$503,G323,$E$4:$E$503),2),"")</f>
        <v/>
      </c>
      <c r="R323" t="str">
        <f>IF(P323=1,COUNTIFS($P$4:$P$503,1,$Q$4:$Q$503,"&gt;"&amp;Q323)+COUNTIFS($P$4:P323,1,$Q$4:Q323,Q323),"")</f>
        <v/>
      </c>
      <c r="S323">
        <f>IF(H323="",0,IF(COUNTIF($H$4:H323,H323)=1,1,0))</f>
        <v>0</v>
      </c>
      <c r="T323" t="str">
        <f>IF(S323=1,ROUND(SUMIF($H$4:$H$503,H323,$E$4:$E$503),2),"")</f>
        <v/>
      </c>
      <c r="U323" t="str">
        <f>IF(S323=1,COUNTIFS($S$4:$S$503,1,$T$4:$T$503,"&gt;"&amp;T323)+COUNTIFS($S$4:S323,1,$T$4:T323,T323),"")</f>
        <v/>
      </c>
      <c r="V323" t="str">
        <f>IF(D323=1,MIN(INDEX($R$4:$R$503,MATCH(G323,$G$4:$G$503,0)),IF($AL$7&gt;9,9,999)),"")</f>
        <v/>
      </c>
      <c r="W323" s="166">
        <f>IF(OR($I323="",$E323=0),0,IF(OR($J323&lt;W$3,$I323&gt;W$2),0,IF($K323=0,IF(AND($I323&gt;=W$3,$I323&lt;=W$2),$E323,0),$E323*NETWORKDAYS(MAX($I323,W$3),MIN($J323,W$2),Data!$K$4:$K$203)/$K323)))</f>
        <v>0</v>
      </c>
      <c r="X323" s="166">
        <f>IF(OR($I323="",$E323=0),0,IF(OR($J323&lt;X$3,$I323&gt;X$2),0,IF($K323=0,IF(AND($I323&gt;=X$3,$I323&lt;=X$2),$E323,0),$E323*NETWORKDAYS(MAX($I323,X$3),MIN($J323,X$2),Data!$K$4:$K$203)/$K323)))</f>
        <v>0</v>
      </c>
      <c r="Y323" s="166">
        <f>IF(OR($I323="",$E323=0),0,IF(OR($J323&lt;Y$3,$I323&gt;Y$2),0,IF($K323=0,IF(AND($I323&gt;=Y$3,$I323&lt;=Y$2),$E323,0),$E323*NETWORKDAYS(MAX($I323,Y$3),MIN($J323,Y$2),Data!$K$4:$K$203)/$K323)))</f>
        <v>0</v>
      </c>
      <c r="Z323" s="166">
        <f>IF(OR($I323="",$E323=0),0,IF(OR($J323&lt;Z$3,$I323&gt;Z$2),0,IF($K323=0,IF(AND($I323&gt;=Z$3,$I323&lt;=Z$2),$E323,0),$E323*NETWORKDAYS(MAX($I323,Z$3),MIN($J323,Z$2),Data!$K$4:$K$203)/$K323)))</f>
        <v>0</v>
      </c>
      <c r="AA323" s="166">
        <f>IF(OR($I323="",$E323=0),0,IF(OR($J323&lt;AA$3,$I323&gt;AA$2),0,IF($K323=0,IF(AND($I323&gt;=AA$3,$I323&lt;=AA$2),$E323,0),$E323*NETWORKDAYS(MAX($I323,AA$3),MIN($J323,AA$2),Data!$K$4:$K$203)/$K323)))</f>
        <v>0</v>
      </c>
      <c r="AB323" s="166">
        <f>IF(OR($I323="",$E323=0),0,IF(OR($J323&lt;AB$3,$I323&gt;AB$2),0,IF($K323=0,IF(AND($I323&gt;=AB$3,$I323&lt;=AB$2),$E323,0),$E323*NETWORKDAYS(MAX($I323,AB$3),MIN($J323,AB$2),Data!$K$4:$K$203)/$K323)))</f>
        <v>0</v>
      </c>
      <c r="AC323" s="166">
        <f>IF(OR($I323="",$E323=0),0,IF(OR($J323&lt;AC$3,$I323&gt;AC$2),0,IF($K323=0,IF(AND($I323&gt;=AC$3,$I323&lt;=AC$2),$E323,0),$E323*NETWORKDAYS(MAX($I323,AC$3),MIN($J323,AC$2),Data!$K$4:$K$203)/$K323)))</f>
        <v>0</v>
      </c>
      <c r="AD323" s="166">
        <f>IF(OR($I323="",$E323=0),0,IF(OR($J323&lt;AD$3,$I323&gt;AD$2),0,IF($K323=0,IF(AND($I323&gt;=AD$3,$I323&lt;=AD$2),$E323,0),$E323*NETWORKDAYS(MAX($I323,AD$3),MIN($J323,AD$2),Data!$K$4:$K$203)/$K323)))</f>
        <v>0</v>
      </c>
      <c r="AE323" s="166">
        <f>IF(OR($I323="",$E323=0),0,IF(OR($J323&lt;AE$3,$I323&gt;AE$2),0,IF($K323=0,IF(AND($I323&gt;=AE$3,$I323&lt;=AE$2),$E323,0),$E323*NETWORKDAYS(MAX($I323,AE$3),MIN($J323,AE$2),Data!$K$4:$K$203)/$K323)))</f>
        <v>0</v>
      </c>
      <c r="AF323" s="166">
        <f>IF(OR($I323="",$E323=0),0,IF(OR($J323&lt;AF$3,$I323&gt;AF$2),0,IF($K323=0,IF(AND($I323&gt;=AF$3,$I323&lt;=AF$2),$E323,0),$E323*NETWORKDAYS(MAX($I323,AF$3),MIN($J323,AF$2),Data!$K$4:$K$203)/$K323)))</f>
        <v>0</v>
      </c>
      <c r="AG323" s="166">
        <f>IF(OR($I323="",$E323=0),0,IF(OR($J323&lt;AG$3,$I323&gt;AG$2),0,IF($K323=0,IF(AND($I323&gt;=AG$3,$I323&lt;=AG$2),$E323,0),$E323*NETWORKDAYS(MAX($I323,AG$3),MIN($J323,AG$2),Data!$K$4:$K$203)/$K323)))</f>
        <v>0</v>
      </c>
      <c r="AH323" s="166">
        <f>IF(OR($I323="",$E323=0),0,IF(OR($J323&lt;AH$3,$I323&gt;AH$2),0,IF($K323=0,IF(AND($I323&gt;=AH$3,$I323&lt;=AH$2),$E323,0),$E323*NETWORKDAYS(MAX($I323,AH$3),MIN($J323,AH$2),Data!$K$4:$K$203)/$K323)))</f>
        <v>0</v>
      </c>
      <c r="AI323" s="166">
        <f>SUM(W323:AH323)</f>
        <v>0</v>
      </c>
      <c r="BZ323" t="str">
        <f>IF(D323=1,IF(TRIM(INDEX(Charge!$K:$K,ROW()))&lt;&gt;"",TRIM(INDEX(Charge!$K:$K,ROW())),IF(TRIM(INDEX(Charge!$L:$L,ROW()))&lt;&gt;"",TRIM(INDEX(Charge!$L:$L,ROW())),"(non affecté)")),"")</f>
        <v/>
      </c>
      <c r="CA323" t="str">
        <f>IF(AND($CD$4&lt;&gt;"",BZ323=$CD$4),COUNTIFS($BZ$4:$BZ$503,$CD$4,$L$4:$L$503,"&lt;"&amp;L323)+1,"")</f>
        <v/>
      </c>
      <c r="EM323" t="str">
        <f>IF(D323=1,IF(TRIM(INDEX(Charge!$K:$K,ROW()))&lt;&gt;"","Interne",IF(TRIM(INDEX(Charge!$L:$L,ROW()))&lt;&gt;"","Externe","Non affecté")),"")</f>
        <v/>
      </c>
      <c r="EN323" t="str">
        <f>IF(D323=1,LEFT(SUBSTITUTE(SUBSTITUTE(SUBSTITUTE(TRIM(SUBSTITUTE(INDEX(Charge!$B:$B,ROW()),CHAR(160)," "))&amp;" | "&amp;TRIM(SUBSTITUTE(INDEX(Charge!$C:$C,ROW()),CHAR(160)," "))&amp;" | "&amp;TRIM(SUBSTITUTE(INDEX(Charge!$D:$D,ROW()),CHAR(160)," ")),"~","-"),"*","+"),"?","!"),240),"")</f>
        <v/>
      </c>
      <c r="EO323">
        <f>IF(EN323="",0,IF(COUNTIF($EN$4:EN323,EN323)=1,1,0))</f>
        <v>0</v>
      </c>
      <c r="EP323" s="166" t="str">
        <f>IF(EO323=1,ROUND(SUMIF($EN$4:$EN$503,EN323,$E$4:$E$503),2),"")</f>
        <v/>
      </c>
      <c r="EQ323" t="str">
        <f>IF(EO323=1,COUNTIFS($EO$4:$EO$503,1,$EP$4:$EP$503,"&gt;"&amp;EP323)+COUNTIFS($EO$4:EO323,1,$EP$4:EP323,EP323),"")</f>
        <v/>
      </c>
      <c r="ER323" t="str">
        <f>IF(EO323=1,COUNTIFS($EN$4:$EN$503,EN323,$EM$4:$EM$503,"Interne",$FE$4:$FE$503,1),"")</f>
        <v/>
      </c>
      <c r="ES323" t="str">
        <f>IF(EO323=1,COUNTIFS($EN$4:$EN$503,EN323,$EM$4:$EM$503,"Externe",$FE$4:$FE$503,1),"")</f>
        <v/>
      </c>
      <c r="ET323" t="str">
        <f>IF(EO323=1,IF(ER323+ES323=0,"à affecter",IF(ER323=0,ES323&amp;" ext.",(ER323+ES323)&amp;IF(ES323&gt;0," dont "&amp;ES323&amp;" ext.",""))&amp;IF(COUNTIFS($EN$4:$EN$503,EN323,$EM$4:$EM$503,"Non affecté")&gt;0," + à affecter","")),"")</f>
        <v/>
      </c>
      <c r="EU323" s="170" t="str">
        <f>IF(EO323=1,IF(EP323&gt;0,SUMPRODUCT(($EN$4:$EN$503=EN323)*$E$4:$E$503*$C$4:$C$503)/EP323,AVERAGEIF($EN$4:$EN$503,EN323,$C$4:$C$503)),"")</f>
        <v/>
      </c>
      <c r="EV323" s="165">
        <f>IF(ISNUMBER(I323),I323,2958465)</f>
        <v>2958465.0</v>
      </c>
      <c r="EW323" s="165" t="str">
        <f>IF(EO323=1,SUMPRODUCT(MIN(($EN$4:$EN$503=EN323)*$EV$4:$EV$503+($EN$4:$EN$503&lt;&gt;EN323)*2958465)),"")</f>
        <v/>
      </c>
      <c r="EX323" s="165">
        <f>IF(AND(D323=1,ISNUMBER(INDEX(Charge!$F:$F,ROW()))),INDEX(Charge!$F:$F,ROW()),0)</f>
        <v>0.0</v>
      </c>
      <c r="EY323" s="165" t="str">
        <f>IF(EO323=1,SUMPRODUCT(MAX(($EN$4:$EN$503=EN323)*$EX$4:$EX$503)),"")</f>
        <v/>
      </c>
      <c r="FA323" t="str">
        <f>IF(320&lt;=$CD$23,INDEX($EJ$4:$EJ$203,320),IF(320-$CD$23&lt;=$CD$26,INDEX($EK$4:$EK$203,320-$CD$23),""))</f>
        <v/>
      </c>
      <c r="FB323" t="str">
        <f>IF(FA323="","",IF(320&lt;=$CD$23,"Interne","Externe"))</f>
        <v/>
      </c>
      <c r="FD323">
        <f>IF(AND(B323=1,TRIM(INDEX(Charge!$K:$K,ROW()))&lt;&gt;"",TRIM(INDEX(Charge!$L:$L,ROW()))&lt;&gt;""),1,0)</f>
        <v>0</v>
      </c>
      <c r="FE323">
        <f>IF(OR(EN323="",BZ323="(non affecté)"),0,IF(COUNTIFS($EN$4:EN323,EN323,$BZ$4:BZ323,BZ323)=1,1,0))</f>
        <v>0</v>
      </c>
    </row>
    <row r="324">
      <c r="A324">
        <f>ROW()</f>
        <v>324</v>
      </c>
      <c r="B324">
        <f>IF(TRIM(INDEX(Charge!$B:$B,ROW()))&lt;&gt;"",1,0)</f>
        <v>0</v>
      </c>
      <c r="C324">
        <f>IF(B324=1,MIN(1,MAX(0,N(INDEX(Charge!$O:$O,ROW())))),0)</f>
        <v>0</v>
      </c>
      <c r="D324">
        <f>IF(B324=1,IF(OR(p_Perimetre="Tous les projets",C324&lt;1),1,0),0)</f>
        <v>0</v>
      </c>
      <c r="E324">
        <f>IF(D324=1,MAX(0,N(INDEX(Charge!$M:$M,ROW()))),0)</f>
        <v>0</v>
      </c>
      <c r="F324" t="str">
        <f>IF(D324=1,IF(TRIM(INDEX(Charge!$A:$A,ROW()))="","(non renseigné)",TRIM(INDEX(Charge!$A:$A,ROW()))),"")</f>
        <v/>
      </c>
      <c r="G324" t="str">
        <f>IF(D324=1,TRIM(INDEX(Charge!$B:$B,ROW())),"")</f>
        <v/>
      </c>
      <c r="H324" t="str">
        <f>IF(D324=1,IF(TRIM(INDEX(Charge!$E:$E,ROW()))="","(non renseigné)",TRIM(INDEX(Charge!$E:$E,ROW()))),"")</f>
        <v/>
      </c>
      <c r="I324" s="165" t="str">
        <f>IF(AND(D324=1,ISNUMBER(INDEX(Charge!$N:$N,ROW()))),INDEX(Charge!$N:$N,ROW()),"")</f>
        <v/>
      </c>
      <c r="J324" s="165" t="str">
        <f>IF(I324="","",IF(AND(p_Repartition="Lissée jusqu'à la date de besoin",ISNUMBER(INDEX(Charge!$F:$F,ROW()))),IF(INDEX(Charge!$F:$F,ROW())&gt;=I324,INDEX(Charge!$F:$F,ROW()),I324),I324))</f>
        <v/>
      </c>
      <c r="K324" t="str">
        <f>IF(I324="","",NETWORKDAYS(I324,J324,Data!$K$4:$K$203))</f>
        <v/>
      </c>
      <c r="L324" t="str">
        <f>IF(D324=1,COUNTIFS($D$4:$D$503,1,$E$4:$E$503,"&gt;"&amp;E324)+COUNTIFS($D$4:$D324,1,$E$4:$E324,E324),"")</f>
        <v/>
      </c>
      <c r="M324">
        <f>IF(F324="",0,IF(COUNTIF($F$4:F324,F324)=1,1,0))</f>
        <v>0</v>
      </c>
      <c r="N324" t="str">
        <f>IF(M324=1,ROUND(SUMIF($F$4:$F$503,F324,$E$4:$E$503),2),"")</f>
        <v/>
      </c>
      <c r="O324" t="str">
        <f>IF(M324=1,COUNTIFS($M$4:$M$503,1,$N$4:$N$503,"&gt;"&amp;N324)+COUNTIFS($M$4:M324,1,$N$4:N324,N324),"")</f>
        <v/>
      </c>
      <c r="P324">
        <f>IF(G324="",0,IF(COUNTIF($G$4:G324,G324)=1,1,0))</f>
        <v>0</v>
      </c>
      <c r="Q324" t="str">
        <f>IF(P324=1,ROUND(SUMIF($G$4:$G$503,G324,$E$4:$E$503),2),"")</f>
        <v/>
      </c>
      <c r="R324" t="str">
        <f>IF(P324=1,COUNTIFS($P$4:$P$503,1,$Q$4:$Q$503,"&gt;"&amp;Q324)+COUNTIFS($P$4:P324,1,$Q$4:Q324,Q324),"")</f>
        <v/>
      </c>
      <c r="S324">
        <f>IF(H324="",0,IF(COUNTIF($H$4:H324,H324)=1,1,0))</f>
        <v>0</v>
      </c>
      <c r="T324" t="str">
        <f>IF(S324=1,ROUND(SUMIF($H$4:$H$503,H324,$E$4:$E$503),2),"")</f>
        <v/>
      </c>
      <c r="U324" t="str">
        <f>IF(S324=1,COUNTIFS($S$4:$S$503,1,$T$4:$T$503,"&gt;"&amp;T324)+COUNTIFS($S$4:S324,1,$T$4:T324,T324),"")</f>
        <v/>
      </c>
      <c r="V324" t="str">
        <f>IF(D324=1,MIN(INDEX($R$4:$R$503,MATCH(G324,$G$4:$G$503,0)),IF($AL$7&gt;9,9,999)),"")</f>
        <v/>
      </c>
      <c r="W324" s="166">
        <f>IF(OR($I324="",$E324=0),0,IF(OR($J324&lt;W$3,$I324&gt;W$2),0,IF($K324=0,IF(AND($I324&gt;=W$3,$I324&lt;=W$2),$E324,0),$E324*NETWORKDAYS(MAX($I324,W$3),MIN($J324,W$2),Data!$K$4:$K$203)/$K324)))</f>
        <v>0</v>
      </c>
      <c r="X324" s="166">
        <f>IF(OR($I324="",$E324=0),0,IF(OR($J324&lt;X$3,$I324&gt;X$2),0,IF($K324=0,IF(AND($I324&gt;=X$3,$I324&lt;=X$2),$E324,0),$E324*NETWORKDAYS(MAX($I324,X$3),MIN($J324,X$2),Data!$K$4:$K$203)/$K324)))</f>
        <v>0</v>
      </c>
      <c r="Y324" s="166">
        <f>IF(OR($I324="",$E324=0),0,IF(OR($J324&lt;Y$3,$I324&gt;Y$2),0,IF($K324=0,IF(AND($I324&gt;=Y$3,$I324&lt;=Y$2),$E324,0),$E324*NETWORKDAYS(MAX($I324,Y$3),MIN($J324,Y$2),Data!$K$4:$K$203)/$K324)))</f>
        <v>0</v>
      </c>
      <c r="Z324" s="166">
        <f>IF(OR($I324="",$E324=0),0,IF(OR($J324&lt;Z$3,$I324&gt;Z$2),0,IF($K324=0,IF(AND($I324&gt;=Z$3,$I324&lt;=Z$2),$E324,0),$E324*NETWORKDAYS(MAX($I324,Z$3),MIN($J324,Z$2),Data!$K$4:$K$203)/$K324)))</f>
        <v>0</v>
      </c>
      <c r="AA324" s="166">
        <f>IF(OR($I324="",$E324=0),0,IF(OR($J324&lt;AA$3,$I324&gt;AA$2),0,IF($K324=0,IF(AND($I324&gt;=AA$3,$I324&lt;=AA$2),$E324,0),$E324*NETWORKDAYS(MAX($I324,AA$3),MIN($J324,AA$2),Data!$K$4:$K$203)/$K324)))</f>
        <v>0</v>
      </c>
      <c r="AB324" s="166">
        <f>IF(OR($I324="",$E324=0),0,IF(OR($J324&lt;AB$3,$I324&gt;AB$2),0,IF($K324=0,IF(AND($I324&gt;=AB$3,$I324&lt;=AB$2),$E324,0),$E324*NETWORKDAYS(MAX($I324,AB$3),MIN($J324,AB$2),Data!$K$4:$K$203)/$K324)))</f>
        <v>0</v>
      </c>
      <c r="AC324" s="166">
        <f>IF(OR($I324="",$E324=0),0,IF(OR($J324&lt;AC$3,$I324&gt;AC$2),0,IF($K324=0,IF(AND($I324&gt;=AC$3,$I324&lt;=AC$2),$E324,0),$E324*NETWORKDAYS(MAX($I324,AC$3),MIN($J324,AC$2),Data!$K$4:$K$203)/$K324)))</f>
        <v>0</v>
      </c>
      <c r="AD324" s="166">
        <f>IF(OR($I324="",$E324=0),0,IF(OR($J324&lt;AD$3,$I324&gt;AD$2),0,IF($K324=0,IF(AND($I324&gt;=AD$3,$I324&lt;=AD$2),$E324,0),$E324*NETWORKDAYS(MAX($I324,AD$3),MIN($J324,AD$2),Data!$K$4:$K$203)/$K324)))</f>
        <v>0</v>
      </c>
      <c r="AE324" s="166">
        <f>IF(OR($I324="",$E324=0),0,IF(OR($J324&lt;AE$3,$I324&gt;AE$2),0,IF($K324=0,IF(AND($I324&gt;=AE$3,$I324&lt;=AE$2),$E324,0),$E324*NETWORKDAYS(MAX($I324,AE$3),MIN($J324,AE$2),Data!$K$4:$K$203)/$K324)))</f>
        <v>0</v>
      </c>
      <c r="AF324" s="166">
        <f>IF(OR($I324="",$E324=0),0,IF(OR($J324&lt;AF$3,$I324&gt;AF$2),0,IF($K324=0,IF(AND($I324&gt;=AF$3,$I324&lt;=AF$2),$E324,0),$E324*NETWORKDAYS(MAX($I324,AF$3),MIN($J324,AF$2),Data!$K$4:$K$203)/$K324)))</f>
        <v>0</v>
      </c>
      <c r="AG324" s="166">
        <f>IF(OR($I324="",$E324=0),0,IF(OR($J324&lt;AG$3,$I324&gt;AG$2),0,IF($K324=0,IF(AND($I324&gt;=AG$3,$I324&lt;=AG$2),$E324,0),$E324*NETWORKDAYS(MAX($I324,AG$3),MIN($J324,AG$2),Data!$K$4:$K$203)/$K324)))</f>
        <v>0</v>
      </c>
      <c r="AH324" s="166">
        <f>IF(OR($I324="",$E324=0),0,IF(OR($J324&lt;AH$3,$I324&gt;AH$2),0,IF($K324=0,IF(AND($I324&gt;=AH$3,$I324&lt;=AH$2),$E324,0),$E324*NETWORKDAYS(MAX($I324,AH$3),MIN($J324,AH$2),Data!$K$4:$K$203)/$K324)))</f>
        <v>0</v>
      </c>
      <c r="AI324" s="166">
        <f>SUM(W324:AH324)</f>
        <v>0</v>
      </c>
      <c r="BZ324" t="str">
        <f>IF(D324=1,IF(TRIM(INDEX(Charge!$K:$K,ROW()))&lt;&gt;"",TRIM(INDEX(Charge!$K:$K,ROW())),IF(TRIM(INDEX(Charge!$L:$L,ROW()))&lt;&gt;"",TRIM(INDEX(Charge!$L:$L,ROW())),"(non affecté)")),"")</f>
        <v/>
      </c>
      <c r="CA324" t="str">
        <f>IF(AND($CD$4&lt;&gt;"",BZ324=$CD$4),COUNTIFS($BZ$4:$BZ$503,$CD$4,$L$4:$L$503,"&lt;"&amp;L324)+1,"")</f>
        <v/>
      </c>
      <c r="EM324" t="str">
        <f>IF(D324=1,IF(TRIM(INDEX(Charge!$K:$K,ROW()))&lt;&gt;"","Interne",IF(TRIM(INDEX(Charge!$L:$L,ROW()))&lt;&gt;"","Externe","Non affecté")),"")</f>
        <v/>
      </c>
      <c r="EN324" t="str">
        <f>IF(D324=1,LEFT(SUBSTITUTE(SUBSTITUTE(SUBSTITUTE(TRIM(SUBSTITUTE(INDEX(Charge!$B:$B,ROW()),CHAR(160)," "))&amp;" | "&amp;TRIM(SUBSTITUTE(INDEX(Charge!$C:$C,ROW()),CHAR(160)," "))&amp;" | "&amp;TRIM(SUBSTITUTE(INDEX(Charge!$D:$D,ROW()),CHAR(160)," ")),"~","-"),"*","+"),"?","!"),240),"")</f>
        <v/>
      </c>
      <c r="EO324">
        <f>IF(EN324="",0,IF(COUNTIF($EN$4:EN324,EN324)=1,1,0))</f>
        <v>0</v>
      </c>
      <c r="EP324" s="166" t="str">
        <f>IF(EO324=1,ROUND(SUMIF($EN$4:$EN$503,EN324,$E$4:$E$503),2),"")</f>
        <v/>
      </c>
      <c r="EQ324" t="str">
        <f>IF(EO324=1,COUNTIFS($EO$4:$EO$503,1,$EP$4:$EP$503,"&gt;"&amp;EP324)+COUNTIFS($EO$4:EO324,1,$EP$4:EP324,EP324),"")</f>
        <v/>
      </c>
      <c r="ER324" t="str">
        <f>IF(EO324=1,COUNTIFS($EN$4:$EN$503,EN324,$EM$4:$EM$503,"Interne",$FE$4:$FE$503,1),"")</f>
        <v/>
      </c>
      <c r="ES324" t="str">
        <f>IF(EO324=1,COUNTIFS($EN$4:$EN$503,EN324,$EM$4:$EM$503,"Externe",$FE$4:$FE$503,1),"")</f>
        <v/>
      </c>
      <c r="ET324" t="str">
        <f>IF(EO324=1,IF(ER324+ES324=0,"à affecter",IF(ER324=0,ES324&amp;" ext.",(ER324+ES324)&amp;IF(ES324&gt;0," dont "&amp;ES324&amp;" ext.",""))&amp;IF(COUNTIFS($EN$4:$EN$503,EN324,$EM$4:$EM$503,"Non affecté")&gt;0," + à affecter","")),"")</f>
        <v/>
      </c>
      <c r="EU324" s="170" t="str">
        <f>IF(EO324=1,IF(EP324&gt;0,SUMPRODUCT(($EN$4:$EN$503=EN324)*$E$4:$E$503*$C$4:$C$503)/EP324,AVERAGEIF($EN$4:$EN$503,EN324,$C$4:$C$503)),"")</f>
        <v/>
      </c>
      <c r="EV324" s="165">
        <f>IF(ISNUMBER(I324),I324,2958465)</f>
        <v>2958465.0</v>
      </c>
      <c r="EW324" s="165" t="str">
        <f>IF(EO324=1,SUMPRODUCT(MIN(($EN$4:$EN$503=EN324)*$EV$4:$EV$503+($EN$4:$EN$503&lt;&gt;EN324)*2958465)),"")</f>
        <v/>
      </c>
      <c r="EX324" s="165">
        <f>IF(AND(D324=1,ISNUMBER(INDEX(Charge!$F:$F,ROW()))),INDEX(Charge!$F:$F,ROW()),0)</f>
        <v>0.0</v>
      </c>
      <c r="EY324" s="165" t="str">
        <f>IF(EO324=1,SUMPRODUCT(MAX(($EN$4:$EN$503=EN324)*$EX$4:$EX$503)),"")</f>
        <v/>
      </c>
      <c r="FA324" t="str">
        <f>IF(321&lt;=$CD$23,INDEX($EJ$4:$EJ$203,321),IF(321-$CD$23&lt;=$CD$26,INDEX($EK$4:$EK$203,321-$CD$23),""))</f>
        <v/>
      </c>
      <c r="FB324" t="str">
        <f>IF(FA324="","",IF(321&lt;=$CD$23,"Interne","Externe"))</f>
        <v/>
      </c>
      <c r="FD324">
        <f>IF(AND(B324=1,TRIM(INDEX(Charge!$K:$K,ROW()))&lt;&gt;"",TRIM(INDEX(Charge!$L:$L,ROW()))&lt;&gt;""),1,0)</f>
        <v>0</v>
      </c>
      <c r="FE324">
        <f>IF(OR(EN324="",BZ324="(non affecté)"),0,IF(COUNTIFS($EN$4:EN324,EN324,$BZ$4:BZ324,BZ324)=1,1,0))</f>
        <v>0</v>
      </c>
    </row>
    <row r="325">
      <c r="A325">
        <f>ROW()</f>
        <v>325</v>
      </c>
      <c r="B325">
        <f>IF(TRIM(INDEX(Charge!$B:$B,ROW()))&lt;&gt;"",1,0)</f>
        <v>0</v>
      </c>
      <c r="C325">
        <f>IF(B325=1,MIN(1,MAX(0,N(INDEX(Charge!$O:$O,ROW())))),0)</f>
        <v>0</v>
      </c>
      <c r="D325">
        <f>IF(B325=1,IF(OR(p_Perimetre="Tous les projets",C325&lt;1),1,0),0)</f>
        <v>0</v>
      </c>
      <c r="E325">
        <f>IF(D325=1,MAX(0,N(INDEX(Charge!$M:$M,ROW()))),0)</f>
        <v>0</v>
      </c>
      <c r="F325" t="str">
        <f>IF(D325=1,IF(TRIM(INDEX(Charge!$A:$A,ROW()))="","(non renseigné)",TRIM(INDEX(Charge!$A:$A,ROW()))),"")</f>
        <v/>
      </c>
      <c r="G325" t="str">
        <f>IF(D325=1,TRIM(INDEX(Charge!$B:$B,ROW())),"")</f>
        <v/>
      </c>
      <c r="H325" t="str">
        <f>IF(D325=1,IF(TRIM(INDEX(Charge!$E:$E,ROW()))="","(non renseigné)",TRIM(INDEX(Charge!$E:$E,ROW()))),"")</f>
        <v/>
      </c>
      <c r="I325" s="165" t="str">
        <f>IF(AND(D325=1,ISNUMBER(INDEX(Charge!$N:$N,ROW()))),INDEX(Charge!$N:$N,ROW()),"")</f>
        <v/>
      </c>
      <c r="J325" s="165" t="str">
        <f>IF(I325="","",IF(AND(p_Repartition="Lissée jusqu'à la date de besoin",ISNUMBER(INDEX(Charge!$F:$F,ROW()))),IF(INDEX(Charge!$F:$F,ROW())&gt;=I325,INDEX(Charge!$F:$F,ROW()),I325),I325))</f>
        <v/>
      </c>
      <c r="K325" t="str">
        <f>IF(I325="","",NETWORKDAYS(I325,J325,Data!$K$4:$K$203))</f>
        <v/>
      </c>
      <c r="L325" t="str">
        <f>IF(D325=1,COUNTIFS($D$4:$D$503,1,$E$4:$E$503,"&gt;"&amp;E325)+COUNTIFS($D$4:$D325,1,$E$4:$E325,E325),"")</f>
        <v/>
      </c>
      <c r="M325">
        <f>IF(F325="",0,IF(COUNTIF($F$4:F325,F325)=1,1,0))</f>
        <v>0</v>
      </c>
      <c r="N325" t="str">
        <f>IF(M325=1,ROUND(SUMIF($F$4:$F$503,F325,$E$4:$E$503),2),"")</f>
        <v/>
      </c>
      <c r="O325" t="str">
        <f>IF(M325=1,COUNTIFS($M$4:$M$503,1,$N$4:$N$503,"&gt;"&amp;N325)+COUNTIFS($M$4:M325,1,$N$4:N325,N325),"")</f>
        <v/>
      </c>
      <c r="P325">
        <f>IF(G325="",0,IF(COUNTIF($G$4:G325,G325)=1,1,0))</f>
        <v>0</v>
      </c>
      <c r="Q325" t="str">
        <f>IF(P325=1,ROUND(SUMIF($G$4:$G$503,G325,$E$4:$E$503),2),"")</f>
        <v/>
      </c>
      <c r="R325" t="str">
        <f>IF(P325=1,COUNTIFS($P$4:$P$503,1,$Q$4:$Q$503,"&gt;"&amp;Q325)+COUNTIFS($P$4:P325,1,$Q$4:Q325,Q325),"")</f>
        <v/>
      </c>
      <c r="S325">
        <f>IF(H325="",0,IF(COUNTIF($H$4:H325,H325)=1,1,0))</f>
        <v>0</v>
      </c>
      <c r="T325" t="str">
        <f>IF(S325=1,ROUND(SUMIF($H$4:$H$503,H325,$E$4:$E$503),2),"")</f>
        <v/>
      </c>
      <c r="U325" t="str">
        <f>IF(S325=1,COUNTIFS($S$4:$S$503,1,$T$4:$T$503,"&gt;"&amp;T325)+COUNTIFS($S$4:S325,1,$T$4:T325,T325),"")</f>
        <v/>
      </c>
      <c r="V325" t="str">
        <f>IF(D325=1,MIN(INDEX($R$4:$R$503,MATCH(G325,$G$4:$G$503,0)),IF($AL$7&gt;9,9,999)),"")</f>
        <v/>
      </c>
      <c r="W325" s="166">
        <f>IF(OR($I325="",$E325=0),0,IF(OR($J325&lt;W$3,$I325&gt;W$2),0,IF($K325=0,IF(AND($I325&gt;=W$3,$I325&lt;=W$2),$E325,0),$E325*NETWORKDAYS(MAX($I325,W$3),MIN($J325,W$2),Data!$K$4:$K$203)/$K325)))</f>
        <v>0</v>
      </c>
      <c r="X325" s="166">
        <f>IF(OR($I325="",$E325=0),0,IF(OR($J325&lt;X$3,$I325&gt;X$2),0,IF($K325=0,IF(AND($I325&gt;=X$3,$I325&lt;=X$2),$E325,0),$E325*NETWORKDAYS(MAX($I325,X$3),MIN($J325,X$2),Data!$K$4:$K$203)/$K325)))</f>
        <v>0</v>
      </c>
      <c r="Y325" s="166">
        <f>IF(OR($I325="",$E325=0),0,IF(OR($J325&lt;Y$3,$I325&gt;Y$2),0,IF($K325=0,IF(AND($I325&gt;=Y$3,$I325&lt;=Y$2),$E325,0),$E325*NETWORKDAYS(MAX($I325,Y$3),MIN($J325,Y$2),Data!$K$4:$K$203)/$K325)))</f>
        <v>0</v>
      </c>
      <c r="Z325" s="166">
        <f>IF(OR($I325="",$E325=0),0,IF(OR($J325&lt;Z$3,$I325&gt;Z$2),0,IF($K325=0,IF(AND($I325&gt;=Z$3,$I325&lt;=Z$2),$E325,0),$E325*NETWORKDAYS(MAX($I325,Z$3),MIN($J325,Z$2),Data!$K$4:$K$203)/$K325)))</f>
        <v>0</v>
      </c>
      <c r="AA325" s="166">
        <f>IF(OR($I325="",$E325=0),0,IF(OR($J325&lt;AA$3,$I325&gt;AA$2),0,IF($K325=0,IF(AND($I325&gt;=AA$3,$I325&lt;=AA$2),$E325,0),$E325*NETWORKDAYS(MAX($I325,AA$3),MIN($J325,AA$2),Data!$K$4:$K$203)/$K325)))</f>
        <v>0</v>
      </c>
      <c r="AB325" s="166">
        <f>IF(OR($I325="",$E325=0),0,IF(OR($J325&lt;AB$3,$I325&gt;AB$2),0,IF($K325=0,IF(AND($I325&gt;=AB$3,$I325&lt;=AB$2),$E325,0),$E325*NETWORKDAYS(MAX($I325,AB$3),MIN($J325,AB$2),Data!$K$4:$K$203)/$K325)))</f>
        <v>0</v>
      </c>
      <c r="AC325" s="166">
        <f>IF(OR($I325="",$E325=0),0,IF(OR($J325&lt;AC$3,$I325&gt;AC$2),0,IF($K325=0,IF(AND($I325&gt;=AC$3,$I325&lt;=AC$2),$E325,0),$E325*NETWORKDAYS(MAX($I325,AC$3),MIN($J325,AC$2),Data!$K$4:$K$203)/$K325)))</f>
        <v>0</v>
      </c>
      <c r="AD325" s="166">
        <f>IF(OR($I325="",$E325=0),0,IF(OR($J325&lt;AD$3,$I325&gt;AD$2),0,IF($K325=0,IF(AND($I325&gt;=AD$3,$I325&lt;=AD$2),$E325,0),$E325*NETWORKDAYS(MAX($I325,AD$3),MIN($J325,AD$2),Data!$K$4:$K$203)/$K325)))</f>
        <v>0</v>
      </c>
      <c r="AE325" s="166">
        <f>IF(OR($I325="",$E325=0),0,IF(OR($J325&lt;AE$3,$I325&gt;AE$2),0,IF($K325=0,IF(AND($I325&gt;=AE$3,$I325&lt;=AE$2),$E325,0),$E325*NETWORKDAYS(MAX($I325,AE$3),MIN($J325,AE$2),Data!$K$4:$K$203)/$K325)))</f>
        <v>0</v>
      </c>
      <c r="AF325" s="166">
        <f>IF(OR($I325="",$E325=0),0,IF(OR($J325&lt;AF$3,$I325&gt;AF$2),0,IF($K325=0,IF(AND($I325&gt;=AF$3,$I325&lt;=AF$2),$E325,0),$E325*NETWORKDAYS(MAX($I325,AF$3),MIN($J325,AF$2),Data!$K$4:$K$203)/$K325)))</f>
        <v>0</v>
      </c>
      <c r="AG325" s="166">
        <f>IF(OR($I325="",$E325=0),0,IF(OR($J325&lt;AG$3,$I325&gt;AG$2),0,IF($K325=0,IF(AND($I325&gt;=AG$3,$I325&lt;=AG$2),$E325,0),$E325*NETWORKDAYS(MAX($I325,AG$3),MIN($J325,AG$2),Data!$K$4:$K$203)/$K325)))</f>
        <v>0</v>
      </c>
      <c r="AH325" s="166">
        <f>IF(OR($I325="",$E325=0),0,IF(OR($J325&lt;AH$3,$I325&gt;AH$2),0,IF($K325=0,IF(AND($I325&gt;=AH$3,$I325&lt;=AH$2),$E325,0),$E325*NETWORKDAYS(MAX($I325,AH$3),MIN($J325,AH$2),Data!$K$4:$K$203)/$K325)))</f>
        <v>0</v>
      </c>
      <c r="AI325" s="166">
        <f>SUM(W325:AH325)</f>
        <v>0</v>
      </c>
      <c r="BZ325" t="str">
        <f>IF(D325=1,IF(TRIM(INDEX(Charge!$K:$K,ROW()))&lt;&gt;"",TRIM(INDEX(Charge!$K:$K,ROW())),IF(TRIM(INDEX(Charge!$L:$L,ROW()))&lt;&gt;"",TRIM(INDEX(Charge!$L:$L,ROW())),"(non affecté)")),"")</f>
        <v/>
      </c>
      <c r="CA325" t="str">
        <f>IF(AND($CD$4&lt;&gt;"",BZ325=$CD$4),COUNTIFS($BZ$4:$BZ$503,$CD$4,$L$4:$L$503,"&lt;"&amp;L325)+1,"")</f>
        <v/>
      </c>
      <c r="EM325" t="str">
        <f>IF(D325=1,IF(TRIM(INDEX(Charge!$K:$K,ROW()))&lt;&gt;"","Interne",IF(TRIM(INDEX(Charge!$L:$L,ROW()))&lt;&gt;"","Externe","Non affecté")),"")</f>
        <v/>
      </c>
      <c r="EN325" t="str">
        <f>IF(D325=1,LEFT(SUBSTITUTE(SUBSTITUTE(SUBSTITUTE(TRIM(SUBSTITUTE(INDEX(Charge!$B:$B,ROW()),CHAR(160)," "))&amp;" | "&amp;TRIM(SUBSTITUTE(INDEX(Charge!$C:$C,ROW()),CHAR(160)," "))&amp;" | "&amp;TRIM(SUBSTITUTE(INDEX(Charge!$D:$D,ROW()),CHAR(160)," ")),"~","-"),"*","+"),"?","!"),240),"")</f>
        <v/>
      </c>
      <c r="EO325">
        <f>IF(EN325="",0,IF(COUNTIF($EN$4:EN325,EN325)=1,1,0))</f>
        <v>0</v>
      </c>
      <c r="EP325" s="166" t="str">
        <f>IF(EO325=1,ROUND(SUMIF($EN$4:$EN$503,EN325,$E$4:$E$503),2),"")</f>
        <v/>
      </c>
      <c r="EQ325" t="str">
        <f>IF(EO325=1,COUNTIFS($EO$4:$EO$503,1,$EP$4:$EP$503,"&gt;"&amp;EP325)+COUNTIFS($EO$4:EO325,1,$EP$4:EP325,EP325),"")</f>
        <v/>
      </c>
      <c r="ER325" t="str">
        <f>IF(EO325=1,COUNTIFS($EN$4:$EN$503,EN325,$EM$4:$EM$503,"Interne",$FE$4:$FE$503,1),"")</f>
        <v/>
      </c>
      <c r="ES325" t="str">
        <f>IF(EO325=1,COUNTIFS($EN$4:$EN$503,EN325,$EM$4:$EM$503,"Externe",$FE$4:$FE$503,1),"")</f>
        <v/>
      </c>
      <c r="ET325" t="str">
        <f>IF(EO325=1,IF(ER325+ES325=0,"à affecter",IF(ER325=0,ES325&amp;" ext.",(ER325+ES325)&amp;IF(ES325&gt;0," dont "&amp;ES325&amp;" ext.",""))&amp;IF(COUNTIFS($EN$4:$EN$503,EN325,$EM$4:$EM$503,"Non affecté")&gt;0," + à affecter","")),"")</f>
        <v/>
      </c>
      <c r="EU325" s="170" t="str">
        <f>IF(EO325=1,IF(EP325&gt;0,SUMPRODUCT(($EN$4:$EN$503=EN325)*$E$4:$E$503*$C$4:$C$503)/EP325,AVERAGEIF($EN$4:$EN$503,EN325,$C$4:$C$503)),"")</f>
        <v/>
      </c>
      <c r="EV325" s="165">
        <f>IF(ISNUMBER(I325),I325,2958465)</f>
        <v>2958465.0</v>
      </c>
      <c r="EW325" s="165" t="str">
        <f>IF(EO325=1,SUMPRODUCT(MIN(($EN$4:$EN$503=EN325)*$EV$4:$EV$503+($EN$4:$EN$503&lt;&gt;EN325)*2958465)),"")</f>
        <v/>
      </c>
      <c r="EX325" s="165">
        <f>IF(AND(D325=1,ISNUMBER(INDEX(Charge!$F:$F,ROW()))),INDEX(Charge!$F:$F,ROW()),0)</f>
        <v>0.0</v>
      </c>
      <c r="EY325" s="165" t="str">
        <f>IF(EO325=1,SUMPRODUCT(MAX(($EN$4:$EN$503=EN325)*$EX$4:$EX$503)),"")</f>
        <v/>
      </c>
      <c r="FA325" t="str">
        <f>IF(322&lt;=$CD$23,INDEX($EJ$4:$EJ$203,322),IF(322-$CD$23&lt;=$CD$26,INDEX($EK$4:$EK$203,322-$CD$23),""))</f>
        <v/>
      </c>
      <c r="FB325" t="str">
        <f>IF(FA325="","",IF(322&lt;=$CD$23,"Interne","Externe"))</f>
        <v/>
      </c>
      <c r="FD325">
        <f>IF(AND(B325=1,TRIM(INDEX(Charge!$K:$K,ROW()))&lt;&gt;"",TRIM(INDEX(Charge!$L:$L,ROW()))&lt;&gt;""),1,0)</f>
        <v>0</v>
      </c>
      <c r="FE325">
        <f>IF(OR(EN325="",BZ325="(non affecté)"),0,IF(COUNTIFS($EN$4:EN325,EN325,$BZ$4:BZ325,BZ325)=1,1,0))</f>
        <v>0</v>
      </c>
    </row>
    <row r="326">
      <c r="A326">
        <f>ROW()</f>
        <v>326</v>
      </c>
      <c r="B326">
        <f>IF(TRIM(INDEX(Charge!$B:$B,ROW()))&lt;&gt;"",1,0)</f>
        <v>0</v>
      </c>
      <c r="C326">
        <f>IF(B326=1,MIN(1,MAX(0,N(INDEX(Charge!$O:$O,ROW())))),0)</f>
        <v>0</v>
      </c>
      <c r="D326">
        <f>IF(B326=1,IF(OR(p_Perimetre="Tous les projets",C326&lt;1),1,0),0)</f>
        <v>0</v>
      </c>
      <c r="E326">
        <f>IF(D326=1,MAX(0,N(INDEX(Charge!$M:$M,ROW()))),0)</f>
        <v>0</v>
      </c>
      <c r="F326" t="str">
        <f>IF(D326=1,IF(TRIM(INDEX(Charge!$A:$A,ROW()))="","(non renseigné)",TRIM(INDEX(Charge!$A:$A,ROW()))),"")</f>
        <v/>
      </c>
      <c r="G326" t="str">
        <f>IF(D326=1,TRIM(INDEX(Charge!$B:$B,ROW())),"")</f>
        <v/>
      </c>
      <c r="H326" t="str">
        <f>IF(D326=1,IF(TRIM(INDEX(Charge!$E:$E,ROW()))="","(non renseigné)",TRIM(INDEX(Charge!$E:$E,ROW()))),"")</f>
        <v/>
      </c>
      <c r="I326" s="165" t="str">
        <f>IF(AND(D326=1,ISNUMBER(INDEX(Charge!$N:$N,ROW()))),INDEX(Charge!$N:$N,ROW()),"")</f>
        <v/>
      </c>
      <c r="J326" s="165" t="str">
        <f>IF(I326="","",IF(AND(p_Repartition="Lissée jusqu'à la date de besoin",ISNUMBER(INDEX(Charge!$F:$F,ROW()))),IF(INDEX(Charge!$F:$F,ROW())&gt;=I326,INDEX(Charge!$F:$F,ROW()),I326),I326))</f>
        <v/>
      </c>
      <c r="K326" t="str">
        <f>IF(I326="","",NETWORKDAYS(I326,J326,Data!$K$4:$K$203))</f>
        <v/>
      </c>
      <c r="L326" t="str">
        <f>IF(D326=1,COUNTIFS($D$4:$D$503,1,$E$4:$E$503,"&gt;"&amp;E326)+COUNTIFS($D$4:$D326,1,$E$4:$E326,E326),"")</f>
        <v/>
      </c>
      <c r="M326">
        <f>IF(F326="",0,IF(COUNTIF($F$4:F326,F326)=1,1,0))</f>
        <v>0</v>
      </c>
      <c r="N326" t="str">
        <f>IF(M326=1,ROUND(SUMIF($F$4:$F$503,F326,$E$4:$E$503),2),"")</f>
        <v/>
      </c>
      <c r="O326" t="str">
        <f>IF(M326=1,COUNTIFS($M$4:$M$503,1,$N$4:$N$503,"&gt;"&amp;N326)+COUNTIFS($M$4:M326,1,$N$4:N326,N326),"")</f>
        <v/>
      </c>
      <c r="P326">
        <f>IF(G326="",0,IF(COUNTIF($G$4:G326,G326)=1,1,0))</f>
        <v>0</v>
      </c>
      <c r="Q326" t="str">
        <f>IF(P326=1,ROUND(SUMIF($G$4:$G$503,G326,$E$4:$E$503),2),"")</f>
        <v/>
      </c>
      <c r="R326" t="str">
        <f>IF(P326=1,COUNTIFS($P$4:$P$503,1,$Q$4:$Q$503,"&gt;"&amp;Q326)+COUNTIFS($P$4:P326,1,$Q$4:Q326,Q326),"")</f>
        <v/>
      </c>
      <c r="S326">
        <f>IF(H326="",0,IF(COUNTIF($H$4:H326,H326)=1,1,0))</f>
        <v>0</v>
      </c>
      <c r="T326" t="str">
        <f>IF(S326=1,ROUND(SUMIF($H$4:$H$503,H326,$E$4:$E$503),2),"")</f>
        <v/>
      </c>
      <c r="U326" t="str">
        <f>IF(S326=1,COUNTIFS($S$4:$S$503,1,$T$4:$T$503,"&gt;"&amp;T326)+COUNTIFS($S$4:S326,1,$T$4:T326,T326),"")</f>
        <v/>
      </c>
      <c r="V326" t="str">
        <f>IF(D326=1,MIN(INDEX($R$4:$R$503,MATCH(G326,$G$4:$G$503,0)),IF($AL$7&gt;9,9,999)),"")</f>
        <v/>
      </c>
      <c r="W326" s="166">
        <f>IF(OR($I326="",$E326=0),0,IF(OR($J326&lt;W$3,$I326&gt;W$2),0,IF($K326=0,IF(AND($I326&gt;=W$3,$I326&lt;=W$2),$E326,0),$E326*NETWORKDAYS(MAX($I326,W$3),MIN($J326,W$2),Data!$K$4:$K$203)/$K326)))</f>
        <v>0</v>
      </c>
      <c r="X326" s="166">
        <f>IF(OR($I326="",$E326=0),0,IF(OR($J326&lt;X$3,$I326&gt;X$2),0,IF($K326=0,IF(AND($I326&gt;=X$3,$I326&lt;=X$2),$E326,0),$E326*NETWORKDAYS(MAX($I326,X$3),MIN($J326,X$2),Data!$K$4:$K$203)/$K326)))</f>
        <v>0</v>
      </c>
      <c r="Y326" s="166">
        <f>IF(OR($I326="",$E326=0),0,IF(OR($J326&lt;Y$3,$I326&gt;Y$2),0,IF($K326=0,IF(AND($I326&gt;=Y$3,$I326&lt;=Y$2),$E326,0),$E326*NETWORKDAYS(MAX($I326,Y$3),MIN($J326,Y$2),Data!$K$4:$K$203)/$K326)))</f>
        <v>0</v>
      </c>
      <c r="Z326" s="166">
        <f>IF(OR($I326="",$E326=0),0,IF(OR($J326&lt;Z$3,$I326&gt;Z$2),0,IF($K326=0,IF(AND($I326&gt;=Z$3,$I326&lt;=Z$2),$E326,0),$E326*NETWORKDAYS(MAX($I326,Z$3),MIN($J326,Z$2),Data!$K$4:$K$203)/$K326)))</f>
        <v>0</v>
      </c>
      <c r="AA326" s="166">
        <f>IF(OR($I326="",$E326=0),0,IF(OR($J326&lt;AA$3,$I326&gt;AA$2),0,IF($K326=0,IF(AND($I326&gt;=AA$3,$I326&lt;=AA$2),$E326,0),$E326*NETWORKDAYS(MAX($I326,AA$3),MIN($J326,AA$2),Data!$K$4:$K$203)/$K326)))</f>
        <v>0</v>
      </c>
      <c r="AB326" s="166">
        <f>IF(OR($I326="",$E326=0),0,IF(OR($J326&lt;AB$3,$I326&gt;AB$2),0,IF($K326=0,IF(AND($I326&gt;=AB$3,$I326&lt;=AB$2),$E326,0),$E326*NETWORKDAYS(MAX($I326,AB$3),MIN($J326,AB$2),Data!$K$4:$K$203)/$K326)))</f>
        <v>0</v>
      </c>
      <c r="AC326" s="166">
        <f>IF(OR($I326="",$E326=0),0,IF(OR($J326&lt;AC$3,$I326&gt;AC$2),0,IF($K326=0,IF(AND($I326&gt;=AC$3,$I326&lt;=AC$2),$E326,0),$E326*NETWORKDAYS(MAX($I326,AC$3),MIN($J326,AC$2),Data!$K$4:$K$203)/$K326)))</f>
        <v>0</v>
      </c>
      <c r="AD326" s="166">
        <f>IF(OR($I326="",$E326=0),0,IF(OR($J326&lt;AD$3,$I326&gt;AD$2),0,IF($K326=0,IF(AND($I326&gt;=AD$3,$I326&lt;=AD$2),$E326,0),$E326*NETWORKDAYS(MAX($I326,AD$3),MIN($J326,AD$2),Data!$K$4:$K$203)/$K326)))</f>
        <v>0</v>
      </c>
      <c r="AE326" s="166">
        <f>IF(OR($I326="",$E326=0),0,IF(OR($J326&lt;AE$3,$I326&gt;AE$2),0,IF($K326=0,IF(AND($I326&gt;=AE$3,$I326&lt;=AE$2),$E326,0),$E326*NETWORKDAYS(MAX($I326,AE$3),MIN($J326,AE$2),Data!$K$4:$K$203)/$K326)))</f>
        <v>0</v>
      </c>
      <c r="AF326" s="166">
        <f>IF(OR($I326="",$E326=0),0,IF(OR($J326&lt;AF$3,$I326&gt;AF$2),0,IF($K326=0,IF(AND($I326&gt;=AF$3,$I326&lt;=AF$2),$E326,0),$E326*NETWORKDAYS(MAX($I326,AF$3),MIN($J326,AF$2),Data!$K$4:$K$203)/$K326)))</f>
        <v>0</v>
      </c>
      <c r="AG326" s="166">
        <f>IF(OR($I326="",$E326=0),0,IF(OR($J326&lt;AG$3,$I326&gt;AG$2),0,IF($K326=0,IF(AND($I326&gt;=AG$3,$I326&lt;=AG$2),$E326,0),$E326*NETWORKDAYS(MAX($I326,AG$3),MIN($J326,AG$2),Data!$K$4:$K$203)/$K326)))</f>
        <v>0</v>
      </c>
      <c r="AH326" s="166">
        <f>IF(OR($I326="",$E326=0),0,IF(OR($J326&lt;AH$3,$I326&gt;AH$2),0,IF($K326=0,IF(AND($I326&gt;=AH$3,$I326&lt;=AH$2),$E326,0),$E326*NETWORKDAYS(MAX($I326,AH$3),MIN($J326,AH$2),Data!$K$4:$K$203)/$K326)))</f>
        <v>0</v>
      </c>
      <c r="AI326" s="166">
        <f>SUM(W326:AH326)</f>
        <v>0</v>
      </c>
      <c r="BZ326" t="str">
        <f>IF(D326=1,IF(TRIM(INDEX(Charge!$K:$K,ROW()))&lt;&gt;"",TRIM(INDEX(Charge!$K:$K,ROW())),IF(TRIM(INDEX(Charge!$L:$L,ROW()))&lt;&gt;"",TRIM(INDEX(Charge!$L:$L,ROW())),"(non affecté)")),"")</f>
        <v/>
      </c>
      <c r="CA326" t="str">
        <f>IF(AND($CD$4&lt;&gt;"",BZ326=$CD$4),COUNTIFS($BZ$4:$BZ$503,$CD$4,$L$4:$L$503,"&lt;"&amp;L326)+1,"")</f>
        <v/>
      </c>
      <c r="EM326" t="str">
        <f>IF(D326=1,IF(TRIM(INDEX(Charge!$K:$K,ROW()))&lt;&gt;"","Interne",IF(TRIM(INDEX(Charge!$L:$L,ROW()))&lt;&gt;"","Externe","Non affecté")),"")</f>
        <v/>
      </c>
      <c r="EN326" t="str">
        <f>IF(D326=1,LEFT(SUBSTITUTE(SUBSTITUTE(SUBSTITUTE(TRIM(SUBSTITUTE(INDEX(Charge!$B:$B,ROW()),CHAR(160)," "))&amp;" | "&amp;TRIM(SUBSTITUTE(INDEX(Charge!$C:$C,ROW()),CHAR(160)," "))&amp;" | "&amp;TRIM(SUBSTITUTE(INDEX(Charge!$D:$D,ROW()),CHAR(160)," ")),"~","-"),"*","+"),"?","!"),240),"")</f>
        <v/>
      </c>
      <c r="EO326">
        <f>IF(EN326="",0,IF(COUNTIF($EN$4:EN326,EN326)=1,1,0))</f>
        <v>0</v>
      </c>
      <c r="EP326" s="166" t="str">
        <f>IF(EO326=1,ROUND(SUMIF($EN$4:$EN$503,EN326,$E$4:$E$503),2),"")</f>
        <v/>
      </c>
      <c r="EQ326" t="str">
        <f>IF(EO326=1,COUNTIFS($EO$4:$EO$503,1,$EP$4:$EP$503,"&gt;"&amp;EP326)+COUNTIFS($EO$4:EO326,1,$EP$4:EP326,EP326),"")</f>
        <v/>
      </c>
      <c r="ER326" t="str">
        <f>IF(EO326=1,COUNTIFS($EN$4:$EN$503,EN326,$EM$4:$EM$503,"Interne",$FE$4:$FE$503,1),"")</f>
        <v/>
      </c>
      <c r="ES326" t="str">
        <f>IF(EO326=1,COUNTIFS($EN$4:$EN$503,EN326,$EM$4:$EM$503,"Externe",$FE$4:$FE$503,1),"")</f>
        <v/>
      </c>
      <c r="ET326" t="str">
        <f>IF(EO326=1,IF(ER326+ES326=0,"à affecter",IF(ER326=0,ES326&amp;" ext.",(ER326+ES326)&amp;IF(ES326&gt;0," dont "&amp;ES326&amp;" ext.",""))&amp;IF(COUNTIFS($EN$4:$EN$503,EN326,$EM$4:$EM$503,"Non affecté")&gt;0," + à affecter","")),"")</f>
        <v/>
      </c>
      <c r="EU326" s="170" t="str">
        <f>IF(EO326=1,IF(EP326&gt;0,SUMPRODUCT(($EN$4:$EN$503=EN326)*$E$4:$E$503*$C$4:$C$503)/EP326,AVERAGEIF($EN$4:$EN$503,EN326,$C$4:$C$503)),"")</f>
        <v/>
      </c>
      <c r="EV326" s="165">
        <f>IF(ISNUMBER(I326),I326,2958465)</f>
        <v>2958465.0</v>
      </c>
      <c r="EW326" s="165" t="str">
        <f>IF(EO326=1,SUMPRODUCT(MIN(($EN$4:$EN$503=EN326)*$EV$4:$EV$503+($EN$4:$EN$503&lt;&gt;EN326)*2958465)),"")</f>
        <v/>
      </c>
      <c r="EX326" s="165">
        <f>IF(AND(D326=1,ISNUMBER(INDEX(Charge!$F:$F,ROW()))),INDEX(Charge!$F:$F,ROW()),0)</f>
        <v>0.0</v>
      </c>
      <c r="EY326" s="165" t="str">
        <f>IF(EO326=1,SUMPRODUCT(MAX(($EN$4:$EN$503=EN326)*$EX$4:$EX$503)),"")</f>
        <v/>
      </c>
      <c r="FA326" t="str">
        <f>IF(323&lt;=$CD$23,INDEX($EJ$4:$EJ$203,323),IF(323-$CD$23&lt;=$CD$26,INDEX($EK$4:$EK$203,323-$CD$23),""))</f>
        <v/>
      </c>
      <c r="FB326" t="str">
        <f>IF(FA326="","",IF(323&lt;=$CD$23,"Interne","Externe"))</f>
        <v/>
      </c>
      <c r="FD326">
        <f>IF(AND(B326=1,TRIM(INDEX(Charge!$K:$K,ROW()))&lt;&gt;"",TRIM(INDEX(Charge!$L:$L,ROW()))&lt;&gt;""),1,0)</f>
        <v>0</v>
      </c>
      <c r="FE326">
        <f>IF(OR(EN326="",BZ326="(non affecté)"),0,IF(COUNTIFS($EN$4:EN326,EN326,$BZ$4:BZ326,BZ326)=1,1,0))</f>
        <v>0</v>
      </c>
    </row>
    <row r="327">
      <c r="A327">
        <f>ROW()</f>
        <v>327</v>
      </c>
      <c r="B327">
        <f>IF(TRIM(INDEX(Charge!$B:$B,ROW()))&lt;&gt;"",1,0)</f>
        <v>0</v>
      </c>
      <c r="C327">
        <f>IF(B327=1,MIN(1,MAX(0,N(INDEX(Charge!$O:$O,ROW())))),0)</f>
        <v>0</v>
      </c>
      <c r="D327">
        <f>IF(B327=1,IF(OR(p_Perimetre="Tous les projets",C327&lt;1),1,0),0)</f>
        <v>0</v>
      </c>
      <c r="E327">
        <f>IF(D327=1,MAX(0,N(INDEX(Charge!$M:$M,ROW()))),0)</f>
        <v>0</v>
      </c>
      <c r="F327" t="str">
        <f>IF(D327=1,IF(TRIM(INDEX(Charge!$A:$A,ROW()))="","(non renseigné)",TRIM(INDEX(Charge!$A:$A,ROW()))),"")</f>
        <v/>
      </c>
      <c r="G327" t="str">
        <f>IF(D327=1,TRIM(INDEX(Charge!$B:$B,ROW())),"")</f>
        <v/>
      </c>
      <c r="H327" t="str">
        <f>IF(D327=1,IF(TRIM(INDEX(Charge!$E:$E,ROW()))="","(non renseigné)",TRIM(INDEX(Charge!$E:$E,ROW()))),"")</f>
        <v/>
      </c>
      <c r="I327" s="165" t="str">
        <f>IF(AND(D327=1,ISNUMBER(INDEX(Charge!$N:$N,ROW()))),INDEX(Charge!$N:$N,ROW()),"")</f>
        <v/>
      </c>
      <c r="J327" s="165" t="str">
        <f>IF(I327="","",IF(AND(p_Repartition="Lissée jusqu'à la date de besoin",ISNUMBER(INDEX(Charge!$F:$F,ROW()))),IF(INDEX(Charge!$F:$F,ROW())&gt;=I327,INDEX(Charge!$F:$F,ROW()),I327),I327))</f>
        <v/>
      </c>
      <c r="K327" t="str">
        <f>IF(I327="","",NETWORKDAYS(I327,J327,Data!$K$4:$K$203))</f>
        <v/>
      </c>
      <c r="L327" t="str">
        <f>IF(D327=1,COUNTIFS($D$4:$D$503,1,$E$4:$E$503,"&gt;"&amp;E327)+COUNTIFS($D$4:$D327,1,$E$4:$E327,E327),"")</f>
        <v/>
      </c>
      <c r="M327">
        <f>IF(F327="",0,IF(COUNTIF($F$4:F327,F327)=1,1,0))</f>
        <v>0</v>
      </c>
      <c r="N327" t="str">
        <f>IF(M327=1,ROUND(SUMIF($F$4:$F$503,F327,$E$4:$E$503),2),"")</f>
        <v/>
      </c>
      <c r="O327" t="str">
        <f>IF(M327=1,COUNTIFS($M$4:$M$503,1,$N$4:$N$503,"&gt;"&amp;N327)+COUNTIFS($M$4:M327,1,$N$4:N327,N327),"")</f>
        <v/>
      </c>
      <c r="P327">
        <f>IF(G327="",0,IF(COUNTIF($G$4:G327,G327)=1,1,0))</f>
        <v>0</v>
      </c>
      <c r="Q327" t="str">
        <f>IF(P327=1,ROUND(SUMIF($G$4:$G$503,G327,$E$4:$E$503),2),"")</f>
        <v/>
      </c>
      <c r="R327" t="str">
        <f>IF(P327=1,COUNTIFS($P$4:$P$503,1,$Q$4:$Q$503,"&gt;"&amp;Q327)+COUNTIFS($P$4:P327,1,$Q$4:Q327,Q327),"")</f>
        <v/>
      </c>
      <c r="S327">
        <f>IF(H327="",0,IF(COUNTIF($H$4:H327,H327)=1,1,0))</f>
        <v>0</v>
      </c>
      <c r="T327" t="str">
        <f>IF(S327=1,ROUND(SUMIF($H$4:$H$503,H327,$E$4:$E$503),2),"")</f>
        <v/>
      </c>
      <c r="U327" t="str">
        <f>IF(S327=1,COUNTIFS($S$4:$S$503,1,$T$4:$T$503,"&gt;"&amp;T327)+COUNTIFS($S$4:S327,1,$T$4:T327,T327),"")</f>
        <v/>
      </c>
      <c r="V327" t="str">
        <f>IF(D327=1,MIN(INDEX($R$4:$R$503,MATCH(G327,$G$4:$G$503,0)),IF($AL$7&gt;9,9,999)),"")</f>
        <v/>
      </c>
      <c r="W327" s="166">
        <f>IF(OR($I327="",$E327=0),0,IF(OR($J327&lt;W$3,$I327&gt;W$2),0,IF($K327=0,IF(AND($I327&gt;=W$3,$I327&lt;=W$2),$E327,0),$E327*NETWORKDAYS(MAX($I327,W$3),MIN($J327,W$2),Data!$K$4:$K$203)/$K327)))</f>
        <v>0</v>
      </c>
      <c r="X327" s="166">
        <f>IF(OR($I327="",$E327=0),0,IF(OR($J327&lt;X$3,$I327&gt;X$2),0,IF($K327=0,IF(AND($I327&gt;=X$3,$I327&lt;=X$2),$E327,0),$E327*NETWORKDAYS(MAX($I327,X$3),MIN($J327,X$2),Data!$K$4:$K$203)/$K327)))</f>
        <v>0</v>
      </c>
      <c r="Y327" s="166">
        <f>IF(OR($I327="",$E327=0),0,IF(OR($J327&lt;Y$3,$I327&gt;Y$2),0,IF($K327=0,IF(AND($I327&gt;=Y$3,$I327&lt;=Y$2),$E327,0),$E327*NETWORKDAYS(MAX($I327,Y$3),MIN($J327,Y$2),Data!$K$4:$K$203)/$K327)))</f>
        <v>0</v>
      </c>
      <c r="Z327" s="166">
        <f>IF(OR($I327="",$E327=0),0,IF(OR($J327&lt;Z$3,$I327&gt;Z$2),0,IF($K327=0,IF(AND($I327&gt;=Z$3,$I327&lt;=Z$2),$E327,0),$E327*NETWORKDAYS(MAX($I327,Z$3),MIN($J327,Z$2),Data!$K$4:$K$203)/$K327)))</f>
        <v>0</v>
      </c>
      <c r="AA327" s="166">
        <f>IF(OR($I327="",$E327=0),0,IF(OR($J327&lt;AA$3,$I327&gt;AA$2),0,IF($K327=0,IF(AND($I327&gt;=AA$3,$I327&lt;=AA$2),$E327,0),$E327*NETWORKDAYS(MAX($I327,AA$3),MIN($J327,AA$2),Data!$K$4:$K$203)/$K327)))</f>
        <v>0</v>
      </c>
      <c r="AB327" s="166">
        <f>IF(OR($I327="",$E327=0),0,IF(OR($J327&lt;AB$3,$I327&gt;AB$2),0,IF($K327=0,IF(AND($I327&gt;=AB$3,$I327&lt;=AB$2),$E327,0),$E327*NETWORKDAYS(MAX($I327,AB$3),MIN($J327,AB$2),Data!$K$4:$K$203)/$K327)))</f>
        <v>0</v>
      </c>
      <c r="AC327" s="166">
        <f>IF(OR($I327="",$E327=0),0,IF(OR($J327&lt;AC$3,$I327&gt;AC$2),0,IF($K327=0,IF(AND($I327&gt;=AC$3,$I327&lt;=AC$2),$E327,0),$E327*NETWORKDAYS(MAX($I327,AC$3),MIN($J327,AC$2),Data!$K$4:$K$203)/$K327)))</f>
        <v>0</v>
      </c>
      <c r="AD327" s="166">
        <f>IF(OR($I327="",$E327=0),0,IF(OR($J327&lt;AD$3,$I327&gt;AD$2),0,IF($K327=0,IF(AND($I327&gt;=AD$3,$I327&lt;=AD$2),$E327,0),$E327*NETWORKDAYS(MAX($I327,AD$3),MIN($J327,AD$2),Data!$K$4:$K$203)/$K327)))</f>
        <v>0</v>
      </c>
      <c r="AE327" s="166">
        <f>IF(OR($I327="",$E327=0),0,IF(OR($J327&lt;AE$3,$I327&gt;AE$2),0,IF($K327=0,IF(AND($I327&gt;=AE$3,$I327&lt;=AE$2),$E327,0),$E327*NETWORKDAYS(MAX($I327,AE$3),MIN($J327,AE$2),Data!$K$4:$K$203)/$K327)))</f>
        <v>0</v>
      </c>
      <c r="AF327" s="166">
        <f>IF(OR($I327="",$E327=0),0,IF(OR($J327&lt;AF$3,$I327&gt;AF$2),0,IF($K327=0,IF(AND($I327&gt;=AF$3,$I327&lt;=AF$2),$E327,0),$E327*NETWORKDAYS(MAX($I327,AF$3),MIN($J327,AF$2),Data!$K$4:$K$203)/$K327)))</f>
        <v>0</v>
      </c>
      <c r="AG327" s="166">
        <f>IF(OR($I327="",$E327=0),0,IF(OR($J327&lt;AG$3,$I327&gt;AG$2),0,IF($K327=0,IF(AND($I327&gt;=AG$3,$I327&lt;=AG$2),$E327,0),$E327*NETWORKDAYS(MAX($I327,AG$3),MIN($J327,AG$2),Data!$K$4:$K$203)/$K327)))</f>
        <v>0</v>
      </c>
      <c r="AH327" s="166">
        <f>IF(OR($I327="",$E327=0),0,IF(OR($J327&lt;AH$3,$I327&gt;AH$2),0,IF($K327=0,IF(AND($I327&gt;=AH$3,$I327&lt;=AH$2),$E327,0),$E327*NETWORKDAYS(MAX($I327,AH$3),MIN($J327,AH$2),Data!$K$4:$K$203)/$K327)))</f>
        <v>0</v>
      </c>
      <c r="AI327" s="166">
        <f>SUM(W327:AH327)</f>
        <v>0</v>
      </c>
      <c r="BZ327" t="str">
        <f>IF(D327=1,IF(TRIM(INDEX(Charge!$K:$K,ROW()))&lt;&gt;"",TRIM(INDEX(Charge!$K:$K,ROW())),IF(TRIM(INDEX(Charge!$L:$L,ROW()))&lt;&gt;"",TRIM(INDEX(Charge!$L:$L,ROW())),"(non affecté)")),"")</f>
        <v/>
      </c>
      <c r="CA327" t="str">
        <f>IF(AND($CD$4&lt;&gt;"",BZ327=$CD$4),COUNTIFS($BZ$4:$BZ$503,$CD$4,$L$4:$L$503,"&lt;"&amp;L327)+1,"")</f>
        <v/>
      </c>
      <c r="EM327" t="str">
        <f>IF(D327=1,IF(TRIM(INDEX(Charge!$K:$K,ROW()))&lt;&gt;"","Interne",IF(TRIM(INDEX(Charge!$L:$L,ROW()))&lt;&gt;"","Externe","Non affecté")),"")</f>
        <v/>
      </c>
      <c r="EN327" t="str">
        <f>IF(D327=1,LEFT(SUBSTITUTE(SUBSTITUTE(SUBSTITUTE(TRIM(SUBSTITUTE(INDEX(Charge!$B:$B,ROW()),CHAR(160)," "))&amp;" | "&amp;TRIM(SUBSTITUTE(INDEX(Charge!$C:$C,ROW()),CHAR(160)," "))&amp;" | "&amp;TRIM(SUBSTITUTE(INDEX(Charge!$D:$D,ROW()),CHAR(160)," ")),"~","-"),"*","+"),"?","!"),240),"")</f>
        <v/>
      </c>
      <c r="EO327">
        <f>IF(EN327="",0,IF(COUNTIF($EN$4:EN327,EN327)=1,1,0))</f>
        <v>0</v>
      </c>
      <c r="EP327" s="166" t="str">
        <f>IF(EO327=1,ROUND(SUMIF($EN$4:$EN$503,EN327,$E$4:$E$503),2),"")</f>
        <v/>
      </c>
      <c r="EQ327" t="str">
        <f>IF(EO327=1,COUNTIFS($EO$4:$EO$503,1,$EP$4:$EP$503,"&gt;"&amp;EP327)+COUNTIFS($EO$4:EO327,1,$EP$4:EP327,EP327),"")</f>
        <v/>
      </c>
      <c r="ER327" t="str">
        <f>IF(EO327=1,COUNTIFS($EN$4:$EN$503,EN327,$EM$4:$EM$503,"Interne",$FE$4:$FE$503,1),"")</f>
        <v/>
      </c>
      <c r="ES327" t="str">
        <f>IF(EO327=1,COUNTIFS($EN$4:$EN$503,EN327,$EM$4:$EM$503,"Externe",$FE$4:$FE$503,1),"")</f>
        <v/>
      </c>
      <c r="ET327" t="str">
        <f>IF(EO327=1,IF(ER327+ES327=0,"à affecter",IF(ER327=0,ES327&amp;" ext.",(ER327+ES327)&amp;IF(ES327&gt;0," dont "&amp;ES327&amp;" ext.",""))&amp;IF(COUNTIFS($EN$4:$EN$503,EN327,$EM$4:$EM$503,"Non affecté")&gt;0," + à affecter","")),"")</f>
        <v/>
      </c>
      <c r="EU327" s="170" t="str">
        <f>IF(EO327=1,IF(EP327&gt;0,SUMPRODUCT(($EN$4:$EN$503=EN327)*$E$4:$E$503*$C$4:$C$503)/EP327,AVERAGEIF($EN$4:$EN$503,EN327,$C$4:$C$503)),"")</f>
        <v/>
      </c>
      <c r="EV327" s="165">
        <f>IF(ISNUMBER(I327),I327,2958465)</f>
        <v>2958465.0</v>
      </c>
      <c r="EW327" s="165" t="str">
        <f>IF(EO327=1,SUMPRODUCT(MIN(($EN$4:$EN$503=EN327)*$EV$4:$EV$503+($EN$4:$EN$503&lt;&gt;EN327)*2958465)),"")</f>
        <v/>
      </c>
      <c r="EX327" s="165">
        <f>IF(AND(D327=1,ISNUMBER(INDEX(Charge!$F:$F,ROW()))),INDEX(Charge!$F:$F,ROW()),0)</f>
        <v>0.0</v>
      </c>
      <c r="EY327" s="165" t="str">
        <f>IF(EO327=1,SUMPRODUCT(MAX(($EN$4:$EN$503=EN327)*$EX$4:$EX$503)),"")</f>
        <v/>
      </c>
      <c r="FA327" t="str">
        <f>IF(324&lt;=$CD$23,INDEX($EJ$4:$EJ$203,324),IF(324-$CD$23&lt;=$CD$26,INDEX($EK$4:$EK$203,324-$CD$23),""))</f>
        <v/>
      </c>
      <c r="FB327" t="str">
        <f>IF(FA327="","",IF(324&lt;=$CD$23,"Interne","Externe"))</f>
        <v/>
      </c>
      <c r="FD327">
        <f>IF(AND(B327=1,TRIM(INDEX(Charge!$K:$K,ROW()))&lt;&gt;"",TRIM(INDEX(Charge!$L:$L,ROW()))&lt;&gt;""),1,0)</f>
        <v>0</v>
      </c>
      <c r="FE327">
        <f>IF(OR(EN327="",BZ327="(non affecté)"),0,IF(COUNTIFS($EN$4:EN327,EN327,$BZ$4:BZ327,BZ327)=1,1,0))</f>
        <v>0</v>
      </c>
    </row>
    <row r="328">
      <c r="A328">
        <f>ROW()</f>
        <v>328</v>
      </c>
      <c r="B328">
        <f>IF(TRIM(INDEX(Charge!$B:$B,ROW()))&lt;&gt;"",1,0)</f>
        <v>0</v>
      </c>
      <c r="C328">
        <f>IF(B328=1,MIN(1,MAX(0,N(INDEX(Charge!$O:$O,ROW())))),0)</f>
        <v>0</v>
      </c>
      <c r="D328">
        <f>IF(B328=1,IF(OR(p_Perimetre="Tous les projets",C328&lt;1),1,0),0)</f>
        <v>0</v>
      </c>
      <c r="E328">
        <f>IF(D328=1,MAX(0,N(INDEX(Charge!$M:$M,ROW()))),0)</f>
        <v>0</v>
      </c>
      <c r="F328" t="str">
        <f>IF(D328=1,IF(TRIM(INDEX(Charge!$A:$A,ROW()))="","(non renseigné)",TRIM(INDEX(Charge!$A:$A,ROW()))),"")</f>
        <v/>
      </c>
      <c r="G328" t="str">
        <f>IF(D328=1,TRIM(INDEX(Charge!$B:$B,ROW())),"")</f>
        <v/>
      </c>
      <c r="H328" t="str">
        <f>IF(D328=1,IF(TRIM(INDEX(Charge!$E:$E,ROW()))="","(non renseigné)",TRIM(INDEX(Charge!$E:$E,ROW()))),"")</f>
        <v/>
      </c>
      <c r="I328" s="165" t="str">
        <f>IF(AND(D328=1,ISNUMBER(INDEX(Charge!$N:$N,ROW()))),INDEX(Charge!$N:$N,ROW()),"")</f>
        <v/>
      </c>
      <c r="J328" s="165" t="str">
        <f>IF(I328="","",IF(AND(p_Repartition="Lissée jusqu'à la date de besoin",ISNUMBER(INDEX(Charge!$F:$F,ROW()))),IF(INDEX(Charge!$F:$F,ROW())&gt;=I328,INDEX(Charge!$F:$F,ROW()),I328),I328))</f>
        <v/>
      </c>
      <c r="K328" t="str">
        <f>IF(I328="","",NETWORKDAYS(I328,J328,Data!$K$4:$K$203))</f>
        <v/>
      </c>
      <c r="L328" t="str">
        <f>IF(D328=1,COUNTIFS($D$4:$D$503,1,$E$4:$E$503,"&gt;"&amp;E328)+COUNTIFS($D$4:$D328,1,$E$4:$E328,E328),"")</f>
        <v/>
      </c>
      <c r="M328">
        <f>IF(F328="",0,IF(COUNTIF($F$4:F328,F328)=1,1,0))</f>
        <v>0</v>
      </c>
      <c r="N328" t="str">
        <f>IF(M328=1,ROUND(SUMIF($F$4:$F$503,F328,$E$4:$E$503),2),"")</f>
        <v/>
      </c>
      <c r="O328" t="str">
        <f>IF(M328=1,COUNTIFS($M$4:$M$503,1,$N$4:$N$503,"&gt;"&amp;N328)+COUNTIFS($M$4:M328,1,$N$4:N328,N328),"")</f>
        <v/>
      </c>
      <c r="P328">
        <f>IF(G328="",0,IF(COUNTIF($G$4:G328,G328)=1,1,0))</f>
        <v>0</v>
      </c>
      <c r="Q328" t="str">
        <f>IF(P328=1,ROUND(SUMIF($G$4:$G$503,G328,$E$4:$E$503),2),"")</f>
        <v/>
      </c>
      <c r="R328" t="str">
        <f>IF(P328=1,COUNTIFS($P$4:$P$503,1,$Q$4:$Q$503,"&gt;"&amp;Q328)+COUNTIFS($P$4:P328,1,$Q$4:Q328,Q328),"")</f>
        <v/>
      </c>
      <c r="S328">
        <f>IF(H328="",0,IF(COUNTIF($H$4:H328,H328)=1,1,0))</f>
        <v>0</v>
      </c>
      <c r="T328" t="str">
        <f>IF(S328=1,ROUND(SUMIF($H$4:$H$503,H328,$E$4:$E$503),2),"")</f>
        <v/>
      </c>
      <c r="U328" t="str">
        <f>IF(S328=1,COUNTIFS($S$4:$S$503,1,$T$4:$T$503,"&gt;"&amp;T328)+COUNTIFS($S$4:S328,1,$T$4:T328,T328),"")</f>
        <v/>
      </c>
      <c r="V328" t="str">
        <f>IF(D328=1,MIN(INDEX($R$4:$R$503,MATCH(G328,$G$4:$G$503,0)),IF($AL$7&gt;9,9,999)),"")</f>
        <v/>
      </c>
      <c r="W328" s="166">
        <f>IF(OR($I328="",$E328=0),0,IF(OR($J328&lt;W$3,$I328&gt;W$2),0,IF($K328=0,IF(AND($I328&gt;=W$3,$I328&lt;=W$2),$E328,0),$E328*NETWORKDAYS(MAX($I328,W$3),MIN($J328,W$2),Data!$K$4:$K$203)/$K328)))</f>
        <v>0</v>
      </c>
      <c r="X328" s="166">
        <f>IF(OR($I328="",$E328=0),0,IF(OR($J328&lt;X$3,$I328&gt;X$2),0,IF($K328=0,IF(AND($I328&gt;=X$3,$I328&lt;=X$2),$E328,0),$E328*NETWORKDAYS(MAX($I328,X$3),MIN($J328,X$2),Data!$K$4:$K$203)/$K328)))</f>
        <v>0</v>
      </c>
      <c r="Y328" s="166">
        <f>IF(OR($I328="",$E328=0),0,IF(OR($J328&lt;Y$3,$I328&gt;Y$2),0,IF($K328=0,IF(AND($I328&gt;=Y$3,$I328&lt;=Y$2),$E328,0),$E328*NETWORKDAYS(MAX($I328,Y$3),MIN($J328,Y$2),Data!$K$4:$K$203)/$K328)))</f>
        <v>0</v>
      </c>
      <c r="Z328" s="166">
        <f>IF(OR($I328="",$E328=0),0,IF(OR($J328&lt;Z$3,$I328&gt;Z$2),0,IF($K328=0,IF(AND($I328&gt;=Z$3,$I328&lt;=Z$2),$E328,0),$E328*NETWORKDAYS(MAX($I328,Z$3),MIN($J328,Z$2),Data!$K$4:$K$203)/$K328)))</f>
        <v>0</v>
      </c>
      <c r="AA328" s="166">
        <f>IF(OR($I328="",$E328=0),0,IF(OR($J328&lt;AA$3,$I328&gt;AA$2),0,IF($K328=0,IF(AND($I328&gt;=AA$3,$I328&lt;=AA$2),$E328,0),$E328*NETWORKDAYS(MAX($I328,AA$3),MIN($J328,AA$2),Data!$K$4:$K$203)/$K328)))</f>
        <v>0</v>
      </c>
      <c r="AB328" s="166">
        <f>IF(OR($I328="",$E328=0),0,IF(OR($J328&lt;AB$3,$I328&gt;AB$2),0,IF($K328=0,IF(AND($I328&gt;=AB$3,$I328&lt;=AB$2),$E328,0),$E328*NETWORKDAYS(MAX($I328,AB$3),MIN($J328,AB$2),Data!$K$4:$K$203)/$K328)))</f>
        <v>0</v>
      </c>
      <c r="AC328" s="166">
        <f>IF(OR($I328="",$E328=0),0,IF(OR($J328&lt;AC$3,$I328&gt;AC$2),0,IF($K328=0,IF(AND($I328&gt;=AC$3,$I328&lt;=AC$2),$E328,0),$E328*NETWORKDAYS(MAX($I328,AC$3),MIN($J328,AC$2),Data!$K$4:$K$203)/$K328)))</f>
        <v>0</v>
      </c>
      <c r="AD328" s="166">
        <f>IF(OR($I328="",$E328=0),0,IF(OR($J328&lt;AD$3,$I328&gt;AD$2),0,IF($K328=0,IF(AND($I328&gt;=AD$3,$I328&lt;=AD$2),$E328,0),$E328*NETWORKDAYS(MAX($I328,AD$3),MIN($J328,AD$2),Data!$K$4:$K$203)/$K328)))</f>
        <v>0</v>
      </c>
      <c r="AE328" s="166">
        <f>IF(OR($I328="",$E328=0),0,IF(OR($J328&lt;AE$3,$I328&gt;AE$2),0,IF($K328=0,IF(AND($I328&gt;=AE$3,$I328&lt;=AE$2),$E328,0),$E328*NETWORKDAYS(MAX($I328,AE$3),MIN($J328,AE$2),Data!$K$4:$K$203)/$K328)))</f>
        <v>0</v>
      </c>
      <c r="AF328" s="166">
        <f>IF(OR($I328="",$E328=0),0,IF(OR($J328&lt;AF$3,$I328&gt;AF$2),0,IF($K328=0,IF(AND($I328&gt;=AF$3,$I328&lt;=AF$2),$E328,0),$E328*NETWORKDAYS(MAX($I328,AF$3),MIN($J328,AF$2),Data!$K$4:$K$203)/$K328)))</f>
        <v>0</v>
      </c>
      <c r="AG328" s="166">
        <f>IF(OR($I328="",$E328=0),0,IF(OR($J328&lt;AG$3,$I328&gt;AG$2),0,IF($K328=0,IF(AND($I328&gt;=AG$3,$I328&lt;=AG$2),$E328,0),$E328*NETWORKDAYS(MAX($I328,AG$3),MIN($J328,AG$2),Data!$K$4:$K$203)/$K328)))</f>
        <v>0</v>
      </c>
      <c r="AH328" s="166">
        <f>IF(OR($I328="",$E328=0),0,IF(OR($J328&lt;AH$3,$I328&gt;AH$2),0,IF($K328=0,IF(AND($I328&gt;=AH$3,$I328&lt;=AH$2),$E328,0),$E328*NETWORKDAYS(MAX($I328,AH$3),MIN($J328,AH$2),Data!$K$4:$K$203)/$K328)))</f>
        <v>0</v>
      </c>
      <c r="AI328" s="166">
        <f>SUM(W328:AH328)</f>
        <v>0</v>
      </c>
      <c r="BZ328" t="str">
        <f>IF(D328=1,IF(TRIM(INDEX(Charge!$K:$K,ROW()))&lt;&gt;"",TRIM(INDEX(Charge!$K:$K,ROW())),IF(TRIM(INDEX(Charge!$L:$L,ROW()))&lt;&gt;"",TRIM(INDEX(Charge!$L:$L,ROW())),"(non affecté)")),"")</f>
        <v/>
      </c>
      <c r="CA328" t="str">
        <f>IF(AND($CD$4&lt;&gt;"",BZ328=$CD$4),COUNTIFS($BZ$4:$BZ$503,$CD$4,$L$4:$L$503,"&lt;"&amp;L328)+1,"")</f>
        <v/>
      </c>
      <c r="EM328" t="str">
        <f>IF(D328=1,IF(TRIM(INDEX(Charge!$K:$K,ROW()))&lt;&gt;"","Interne",IF(TRIM(INDEX(Charge!$L:$L,ROW()))&lt;&gt;"","Externe","Non affecté")),"")</f>
        <v/>
      </c>
      <c r="EN328" t="str">
        <f>IF(D328=1,LEFT(SUBSTITUTE(SUBSTITUTE(SUBSTITUTE(TRIM(SUBSTITUTE(INDEX(Charge!$B:$B,ROW()),CHAR(160)," "))&amp;" | "&amp;TRIM(SUBSTITUTE(INDEX(Charge!$C:$C,ROW()),CHAR(160)," "))&amp;" | "&amp;TRIM(SUBSTITUTE(INDEX(Charge!$D:$D,ROW()),CHAR(160)," ")),"~","-"),"*","+"),"?","!"),240),"")</f>
        <v/>
      </c>
      <c r="EO328">
        <f>IF(EN328="",0,IF(COUNTIF($EN$4:EN328,EN328)=1,1,0))</f>
        <v>0</v>
      </c>
      <c r="EP328" s="166" t="str">
        <f>IF(EO328=1,ROUND(SUMIF($EN$4:$EN$503,EN328,$E$4:$E$503),2),"")</f>
        <v/>
      </c>
      <c r="EQ328" t="str">
        <f>IF(EO328=1,COUNTIFS($EO$4:$EO$503,1,$EP$4:$EP$503,"&gt;"&amp;EP328)+COUNTIFS($EO$4:EO328,1,$EP$4:EP328,EP328),"")</f>
        <v/>
      </c>
      <c r="ER328" t="str">
        <f>IF(EO328=1,COUNTIFS($EN$4:$EN$503,EN328,$EM$4:$EM$503,"Interne",$FE$4:$FE$503,1),"")</f>
        <v/>
      </c>
      <c r="ES328" t="str">
        <f>IF(EO328=1,COUNTIFS($EN$4:$EN$503,EN328,$EM$4:$EM$503,"Externe",$FE$4:$FE$503,1),"")</f>
        <v/>
      </c>
      <c r="ET328" t="str">
        <f>IF(EO328=1,IF(ER328+ES328=0,"à affecter",IF(ER328=0,ES328&amp;" ext.",(ER328+ES328)&amp;IF(ES328&gt;0," dont "&amp;ES328&amp;" ext.",""))&amp;IF(COUNTIFS($EN$4:$EN$503,EN328,$EM$4:$EM$503,"Non affecté")&gt;0," + à affecter","")),"")</f>
        <v/>
      </c>
      <c r="EU328" s="170" t="str">
        <f>IF(EO328=1,IF(EP328&gt;0,SUMPRODUCT(($EN$4:$EN$503=EN328)*$E$4:$E$503*$C$4:$C$503)/EP328,AVERAGEIF($EN$4:$EN$503,EN328,$C$4:$C$503)),"")</f>
        <v/>
      </c>
      <c r="EV328" s="165">
        <f>IF(ISNUMBER(I328),I328,2958465)</f>
        <v>2958465.0</v>
      </c>
      <c r="EW328" s="165" t="str">
        <f>IF(EO328=1,SUMPRODUCT(MIN(($EN$4:$EN$503=EN328)*$EV$4:$EV$503+($EN$4:$EN$503&lt;&gt;EN328)*2958465)),"")</f>
        <v/>
      </c>
      <c r="EX328" s="165">
        <f>IF(AND(D328=1,ISNUMBER(INDEX(Charge!$F:$F,ROW()))),INDEX(Charge!$F:$F,ROW()),0)</f>
        <v>0.0</v>
      </c>
      <c r="EY328" s="165" t="str">
        <f>IF(EO328=1,SUMPRODUCT(MAX(($EN$4:$EN$503=EN328)*$EX$4:$EX$503)),"")</f>
        <v/>
      </c>
      <c r="FA328" t="str">
        <f>IF(325&lt;=$CD$23,INDEX($EJ$4:$EJ$203,325),IF(325-$CD$23&lt;=$CD$26,INDEX($EK$4:$EK$203,325-$CD$23),""))</f>
        <v/>
      </c>
      <c r="FB328" t="str">
        <f>IF(FA328="","",IF(325&lt;=$CD$23,"Interne","Externe"))</f>
        <v/>
      </c>
      <c r="FD328">
        <f>IF(AND(B328=1,TRIM(INDEX(Charge!$K:$K,ROW()))&lt;&gt;"",TRIM(INDEX(Charge!$L:$L,ROW()))&lt;&gt;""),1,0)</f>
        <v>0</v>
      </c>
      <c r="FE328">
        <f>IF(OR(EN328="",BZ328="(non affecté)"),0,IF(COUNTIFS($EN$4:EN328,EN328,$BZ$4:BZ328,BZ328)=1,1,0))</f>
        <v>0</v>
      </c>
    </row>
    <row r="329">
      <c r="A329">
        <f>ROW()</f>
        <v>329</v>
      </c>
      <c r="B329">
        <f>IF(TRIM(INDEX(Charge!$B:$B,ROW()))&lt;&gt;"",1,0)</f>
        <v>0</v>
      </c>
      <c r="C329">
        <f>IF(B329=1,MIN(1,MAX(0,N(INDEX(Charge!$O:$O,ROW())))),0)</f>
        <v>0</v>
      </c>
      <c r="D329">
        <f>IF(B329=1,IF(OR(p_Perimetre="Tous les projets",C329&lt;1),1,0),0)</f>
        <v>0</v>
      </c>
      <c r="E329">
        <f>IF(D329=1,MAX(0,N(INDEX(Charge!$M:$M,ROW()))),0)</f>
        <v>0</v>
      </c>
      <c r="F329" t="str">
        <f>IF(D329=1,IF(TRIM(INDEX(Charge!$A:$A,ROW()))="","(non renseigné)",TRIM(INDEX(Charge!$A:$A,ROW()))),"")</f>
        <v/>
      </c>
      <c r="G329" t="str">
        <f>IF(D329=1,TRIM(INDEX(Charge!$B:$B,ROW())),"")</f>
        <v/>
      </c>
      <c r="H329" t="str">
        <f>IF(D329=1,IF(TRIM(INDEX(Charge!$E:$E,ROW()))="","(non renseigné)",TRIM(INDEX(Charge!$E:$E,ROW()))),"")</f>
        <v/>
      </c>
      <c r="I329" s="165" t="str">
        <f>IF(AND(D329=1,ISNUMBER(INDEX(Charge!$N:$N,ROW()))),INDEX(Charge!$N:$N,ROW()),"")</f>
        <v/>
      </c>
      <c r="J329" s="165" t="str">
        <f>IF(I329="","",IF(AND(p_Repartition="Lissée jusqu'à la date de besoin",ISNUMBER(INDEX(Charge!$F:$F,ROW()))),IF(INDEX(Charge!$F:$F,ROW())&gt;=I329,INDEX(Charge!$F:$F,ROW()),I329),I329))</f>
        <v/>
      </c>
      <c r="K329" t="str">
        <f>IF(I329="","",NETWORKDAYS(I329,J329,Data!$K$4:$K$203))</f>
        <v/>
      </c>
      <c r="L329" t="str">
        <f>IF(D329=1,COUNTIFS($D$4:$D$503,1,$E$4:$E$503,"&gt;"&amp;E329)+COUNTIFS($D$4:$D329,1,$E$4:$E329,E329),"")</f>
        <v/>
      </c>
      <c r="M329">
        <f>IF(F329="",0,IF(COUNTIF($F$4:F329,F329)=1,1,0))</f>
        <v>0</v>
      </c>
      <c r="N329" t="str">
        <f>IF(M329=1,ROUND(SUMIF($F$4:$F$503,F329,$E$4:$E$503),2),"")</f>
        <v/>
      </c>
      <c r="O329" t="str">
        <f>IF(M329=1,COUNTIFS($M$4:$M$503,1,$N$4:$N$503,"&gt;"&amp;N329)+COUNTIFS($M$4:M329,1,$N$4:N329,N329),"")</f>
        <v/>
      </c>
      <c r="P329">
        <f>IF(G329="",0,IF(COUNTIF($G$4:G329,G329)=1,1,0))</f>
        <v>0</v>
      </c>
      <c r="Q329" t="str">
        <f>IF(P329=1,ROUND(SUMIF($G$4:$G$503,G329,$E$4:$E$503),2),"")</f>
        <v/>
      </c>
      <c r="R329" t="str">
        <f>IF(P329=1,COUNTIFS($P$4:$P$503,1,$Q$4:$Q$503,"&gt;"&amp;Q329)+COUNTIFS($P$4:P329,1,$Q$4:Q329,Q329),"")</f>
        <v/>
      </c>
      <c r="S329">
        <f>IF(H329="",0,IF(COUNTIF($H$4:H329,H329)=1,1,0))</f>
        <v>0</v>
      </c>
      <c r="T329" t="str">
        <f>IF(S329=1,ROUND(SUMIF($H$4:$H$503,H329,$E$4:$E$503),2),"")</f>
        <v/>
      </c>
      <c r="U329" t="str">
        <f>IF(S329=1,COUNTIFS($S$4:$S$503,1,$T$4:$T$503,"&gt;"&amp;T329)+COUNTIFS($S$4:S329,1,$T$4:T329,T329),"")</f>
        <v/>
      </c>
      <c r="V329" t="str">
        <f>IF(D329=1,MIN(INDEX($R$4:$R$503,MATCH(G329,$G$4:$G$503,0)),IF($AL$7&gt;9,9,999)),"")</f>
        <v/>
      </c>
      <c r="W329" s="166">
        <f>IF(OR($I329="",$E329=0),0,IF(OR($J329&lt;W$3,$I329&gt;W$2),0,IF($K329=0,IF(AND($I329&gt;=W$3,$I329&lt;=W$2),$E329,0),$E329*NETWORKDAYS(MAX($I329,W$3),MIN($J329,W$2),Data!$K$4:$K$203)/$K329)))</f>
        <v>0</v>
      </c>
      <c r="X329" s="166">
        <f>IF(OR($I329="",$E329=0),0,IF(OR($J329&lt;X$3,$I329&gt;X$2),0,IF($K329=0,IF(AND($I329&gt;=X$3,$I329&lt;=X$2),$E329,0),$E329*NETWORKDAYS(MAX($I329,X$3),MIN($J329,X$2),Data!$K$4:$K$203)/$K329)))</f>
        <v>0</v>
      </c>
      <c r="Y329" s="166">
        <f>IF(OR($I329="",$E329=0),0,IF(OR($J329&lt;Y$3,$I329&gt;Y$2),0,IF($K329=0,IF(AND($I329&gt;=Y$3,$I329&lt;=Y$2),$E329,0),$E329*NETWORKDAYS(MAX($I329,Y$3),MIN($J329,Y$2),Data!$K$4:$K$203)/$K329)))</f>
        <v>0</v>
      </c>
      <c r="Z329" s="166">
        <f>IF(OR($I329="",$E329=0),0,IF(OR($J329&lt;Z$3,$I329&gt;Z$2),0,IF($K329=0,IF(AND($I329&gt;=Z$3,$I329&lt;=Z$2),$E329,0),$E329*NETWORKDAYS(MAX($I329,Z$3),MIN($J329,Z$2),Data!$K$4:$K$203)/$K329)))</f>
        <v>0</v>
      </c>
      <c r="AA329" s="166">
        <f>IF(OR($I329="",$E329=0),0,IF(OR($J329&lt;AA$3,$I329&gt;AA$2),0,IF($K329=0,IF(AND($I329&gt;=AA$3,$I329&lt;=AA$2),$E329,0),$E329*NETWORKDAYS(MAX($I329,AA$3),MIN($J329,AA$2),Data!$K$4:$K$203)/$K329)))</f>
        <v>0</v>
      </c>
      <c r="AB329" s="166">
        <f>IF(OR($I329="",$E329=0),0,IF(OR($J329&lt;AB$3,$I329&gt;AB$2),0,IF($K329=0,IF(AND($I329&gt;=AB$3,$I329&lt;=AB$2),$E329,0),$E329*NETWORKDAYS(MAX($I329,AB$3),MIN($J329,AB$2),Data!$K$4:$K$203)/$K329)))</f>
        <v>0</v>
      </c>
      <c r="AC329" s="166">
        <f>IF(OR($I329="",$E329=0),0,IF(OR($J329&lt;AC$3,$I329&gt;AC$2),0,IF($K329=0,IF(AND($I329&gt;=AC$3,$I329&lt;=AC$2),$E329,0),$E329*NETWORKDAYS(MAX($I329,AC$3),MIN($J329,AC$2),Data!$K$4:$K$203)/$K329)))</f>
        <v>0</v>
      </c>
      <c r="AD329" s="166">
        <f>IF(OR($I329="",$E329=0),0,IF(OR($J329&lt;AD$3,$I329&gt;AD$2),0,IF($K329=0,IF(AND($I329&gt;=AD$3,$I329&lt;=AD$2),$E329,0),$E329*NETWORKDAYS(MAX($I329,AD$3),MIN($J329,AD$2),Data!$K$4:$K$203)/$K329)))</f>
        <v>0</v>
      </c>
      <c r="AE329" s="166">
        <f>IF(OR($I329="",$E329=0),0,IF(OR($J329&lt;AE$3,$I329&gt;AE$2),0,IF($K329=0,IF(AND($I329&gt;=AE$3,$I329&lt;=AE$2),$E329,0),$E329*NETWORKDAYS(MAX($I329,AE$3),MIN($J329,AE$2),Data!$K$4:$K$203)/$K329)))</f>
        <v>0</v>
      </c>
      <c r="AF329" s="166">
        <f>IF(OR($I329="",$E329=0),0,IF(OR($J329&lt;AF$3,$I329&gt;AF$2),0,IF($K329=0,IF(AND($I329&gt;=AF$3,$I329&lt;=AF$2),$E329,0),$E329*NETWORKDAYS(MAX($I329,AF$3),MIN($J329,AF$2),Data!$K$4:$K$203)/$K329)))</f>
        <v>0</v>
      </c>
      <c r="AG329" s="166">
        <f>IF(OR($I329="",$E329=0),0,IF(OR($J329&lt;AG$3,$I329&gt;AG$2),0,IF($K329=0,IF(AND($I329&gt;=AG$3,$I329&lt;=AG$2),$E329,0),$E329*NETWORKDAYS(MAX($I329,AG$3),MIN($J329,AG$2),Data!$K$4:$K$203)/$K329)))</f>
        <v>0</v>
      </c>
      <c r="AH329" s="166">
        <f>IF(OR($I329="",$E329=0),0,IF(OR($J329&lt;AH$3,$I329&gt;AH$2),0,IF($K329=0,IF(AND($I329&gt;=AH$3,$I329&lt;=AH$2),$E329,0),$E329*NETWORKDAYS(MAX($I329,AH$3),MIN($J329,AH$2),Data!$K$4:$K$203)/$K329)))</f>
        <v>0</v>
      </c>
      <c r="AI329" s="166">
        <f>SUM(W329:AH329)</f>
        <v>0</v>
      </c>
      <c r="BZ329" t="str">
        <f>IF(D329=1,IF(TRIM(INDEX(Charge!$K:$K,ROW()))&lt;&gt;"",TRIM(INDEX(Charge!$K:$K,ROW())),IF(TRIM(INDEX(Charge!$L:$L,ROW()))&lt;&gt;"",TRIM(INDEX(Charge!$L:$L,ROW())),"(non affecté)")),"")</f>
        <v/>
      </c>
      <c r="CA329" t="str">
        <f>IF(AND($CD$4&lt;&gt;"",BZ329=$CD$4),COUNTIFS($BZ$4:$BZ$503,$CD$4,$L$4:$L$503,"&lt;"&amp;L329)+1,"")</f>
        <v/>
      </c>
      <c r="EM329" t="str">
        <f>IF(D329=1,IF(TRIM(INDEX(Charge!$K:$K,ROW()))&lt;&gt;"","Interne",IF(TRIM(INDEX(Charge!$L:$L,ROW()))&lt;&gt;"","Externe","Non affecté")),"")</f>
        <v/>
      </c>
      <c r="EN329" t="str">
        <f>IF(D329=1,LEFT(SUBSTITUTE(SUBSTITUTE(SUBSTITUTE(TRIM(SUBSTITUTE(INDEX(Charge!$B:$B,ROW()),CHAR(160)," "))&amp;" | "&amp;TRIM(SUBSTITUTE(INDEX(Charge!$C:$C,ROW()),CHAR(160)," "))&amp;" | "&amp;TRIM(SUBSTITUTE(INDEX(Charge!$D:$D,ROW()),CHAR(160)," ")),"~","-"),"*","+"),"?","!"),240),"")</f>
        <v/>
      </c>
      <c r="EO329">
        <f>IF(EN329="",0,IF(COUNTIF($EN$4:EN329,EN329)=1,1,0))</f>
        <v>0</v>
      </c>
      <c r="EP329" s="166" t="str">
        <f>IF(EO329=1,ROUND(SUMIF($EN$4:$EN$503,EN329,$E$4:$E$503),2),"")</f>
        <v/>
      </c>
      <c r="EQ329" t="str">
        <f>IF(EO329=1,COUNTIFS($EO$4:$EO$503,1,$EP$4:$EP$503,"&gt;"&amp;EP329)+COUNTIFS($EO$4:EO329,1,$EP$4:EP329,EP329),"")</f>
        <v/>
      </c>
      <c r="ER329" t="str">
        <f>IF(EO329=1,COUNTIFS($EN$4:$EN$503,EN329,$EM$4:$EM$503,"Interne",$FE$4:$FE$503,1),"")</f>
        <v/>
      </c>
      <c r="ES329" t="str">
        <f>IF(EO329=1,COUNTIFS($EN$4:$EN$503,EN329,$EM$4:$EM$503,"Externe",$FE$4:$FE$503,1),"")</f>
        <v/>
      </c>
      <c r="ET329" t="str">
        <f>IF(EO329=1,IF(ER329+ES329=0,"à affecter",IF(ER329=0,ES329&amp;" ext.",(ER329+ES329)&amp;IF(ES329&gt;0," dont "&amp;ES329&amp;" ext.",""))&amp;IF(COUNTIFS($EN$4:$EN$503,EN329,$EM$4:$EM$503,"Non affecté")&gt;0," + à affecter","")),"")</f>
        <v/>
      </c>
      <c r="EU329" s="170" t="str">
        <f>IF(EO329=1,IF(EP329&gt;0,SUMPRODUCT(($EN$4:$EN$503=EN329)*$E$4:$E$503*$C$4:$C$503)/EP329,AVERAGEIF($EN$4:$EN$503,EN329,$C$4:$C$503)),"")</f>
        <v/>
      </c>
      <c r="EV329" s="165">
        <f>IF(ISNUMBER(I329),I329,2958465)</f>
        <v>2958465.0</v>
      </c>
      <c r="EW329" s="165" t="str">
        <f>IF(EO329=1,SUMPRODUCT(MIN(($EN$4:$EN$503=EN329)*$EV$4:$EV$503+($EN$4:$EN$503&lt;&gt;EN329)*2958465)),"")</f>
        <v/>
      </c>
      <c r="EX329" s="165">
        <f>IF(AND(D329=1,ISNUMBER(INDEX(Charge!$F:$F,ROW()))),INDEX(Charge!$F:$F,ROW()),0)</f>
        <v>0.0</v>
      </c>
      <c r="EY329" s="165" t="str">
        <f>IF(EO329=1,SUMPRODUCT(MAX(($EN$4:$EN$503=EN329)*$EX$4:$EX$503)),"")</f>
        <v/>
      </c>
      <c r="FA329" t="str">
        <f>IF(326&lt;=$CD$23,INDEX($EJ$4:$EJ$203,326),IF(326-$CD$23&lt;=$CD$26,INDEX($EK$4:$EK$203,326-$CD$23),""))</f>
        <v/>
      </c>
      <c r="FB329" t="str">
        <f>IF(FA329="","",IF(326&lt;=$CD$23,"Interne","Externe"))</f>
        <v/>
      </c>
      <c r="FD329">
        <f>IF(AND(B329=1,TRIM(INDEX(Charge!$K:$K,ROW()))&lt;&gt;"",TRIM(INDEX(Charge!$L:$L,ROW()))&lt;&gt;""),1,0)</f>
        <v>0</v>
      </c>
      <c r="FE329">
        <f>IF(OR(EN329="",BZ329="(non affecté)"),0,IF(COUNTIFS($EN$4:EN329,EN329,$BZ$4:BZ329,BZ329)=1,1,0))</f>
        <v>0</v>
      </c>
    </row>
    <row r="330">
      <c r="A330">
        <f>ROW()</f>
        <v>330</v>
      </c>
      <c r="B330">
        <f>IF(TRIM(INDEX(Charge!$B:$B,ROW()))&lt;&gt;"",1,0)</f>
        <v>0</v>
      </c>
      <c r="C330">
        <f>IF(B330=1,MIN(1,MAX(0,N(INDEX(Charge!$O:$O,ROW())))),0)</f>
        <v>0</v>
      </c>
      <c r="D330">
        <f>IF(B330=1,IF(OR(p_Perimetre="Tous les projets",C330&lt;1),1,0),0)</f>
        <v>0</v>
      </c>
      <c r="E330">
        <f>IF(D330=1,MAX(0,N(INDEX(Charge!$M:$M,ROW()))),0)</f>
        <v>0</v>
      </c>
      <c r="F330" t="str">
        <f>IF(D330=1,IF(TRIM(INDEX(Charge!$A:$A,ROW()))="","(non renseigné)",TRIM(INDEX(Charge!$A:$A,ROW()))),"")</f>
        <v/>
      </c>
      <c r="G330" t="str">
        <f>IF(D330=1,TRIM(INDEX(Charge!$B:$B,ROW())),"")</f>
        <v/>
      </c>
      <c r="H330" t="str">
        <f>IF(D330=1,IF(TRIM(INDEX(Charge!$E:$E,ROW()))="","(non renseigné)",TRIM(INDEX(Charge!$E:$E,ROW()))),"")</f>
        <v/>
      </c>
      <c r="I330" s="165" t="str">
        <f>IF(AND(D330=1,ISNUMBER(INDEX(Charge!$N:$N,ROW()))),INDEX(Charge!$N:$N,ROW()),"")</f>
        <v/>
      </c>
      <c r="J330" s="165" t="str">
        <f>IF(I330="","",IF(AND(p_Repartition="Lissée jusqu'à la date de besoin",ISNUMBER(INDEX(Charge!$F:$F,ROW()))),IF(INDEX(Charge!$F:$F,ROW())&gt;=I330,INDEX(Charge!$F:$F,ROW()),I330),I330))</f>
        <v/>
      </c>
      <c r="K330" t="str">
        <f>IF(I330="","",NETWORKDAYS(I330,J330,Data!$K$4:$K$203))</f>
        <v/>
      </c>
      <c r="L330" t="str">
        <f>IF(D330=1,COUNTIFS($D$4:$D$503,1,$E$4:$E$503,"&gt;"&amp;E330)+COUNTIFS($D$4:$D330,1,$E$4:$E330,E330),"")</f>
        <v/>
      </c>
      <c r="M330">
        <f>IF(F330="",0,IF(COUNTIF($F$4:F330,F330)=1,1,0))</f>
        <v>0</v>
      </c>
      <c r="N330" t="str">
        <f>IF(M330=1,ROUND(SUMIF($F$4:$F$503,F330,$E$4:$E$503),2),"")</f>
        <v/>
      </c>
      <c r="O330" t="str">
        <f>IF(M330=1,COUNTIFS($M$4:$M$503,1,$N$4:$N$503,"&gt;"&amp;N330)+COUNTIFS($M$4:M330,1,$N$4:N330,N330),"")</f>
        <v/>
      </c>
      <c r="P330">
        <f>IF(G330="",0,IF(COUNTIF($G$4:G330,G330)=1,1,0))</f>
        <v>0</v>
      </c>
      <c r="Q330" t="str">
        <f>IF(P330=1,ROUND(SUMIF($G$4:$G$503,G330,$E$4:$E$503),2),"")</f>
        <v/>
      </c>
      <c r="R330" t="str">
        <f>IF(P330=1,COUNTIFS($P$4:$P$503,1,$Q$4:$Q$503,"&gt;"&amp;Q330)+COUNTIFS($P$4:P330,1,$Q$4:Q330,Q330),"")</f>
        <v/>
      </c>
      <c r="S330">
        <f>IF(H330="",0,IF(COUNTIF($H$4:H330,H330)=1,1,0))</f>
        <v>0</v>
      </c>
      <c r="T330" t="str">
        <f>IF(S330=1,ROUND(SUMIF($H$4:$H$503,H330,$E$4:$E$503),2),"")</f>
        <v/>
      </c>
      <c r="U330" t="str">
        <f>IF(S330=1,COUNTIFS($S$4:$S$503,1,$T$4:$T$503,"&gt;"&amp;T330)+COUNTIFS($S$4:S330,1,$T$4:T330,T330),"")</f>
        <v/>
      </c>
      <c r="V330" t="str">
        <f>IF(D330=1,MIN(INDEX($R$4:$R$503,MATCH(G330,$G$4:$G$503,0)),IF($AL$7&gt;9,9,999)),"")</f>
        <v/>
      </c>
      <c r="W330" s="166">
        <f>IF(OR($I330="",$E330=0),0,IF(OR($J330&lt;W$3,$I330&gt;W$2),0,IF($K330=0,IF(AND($I330&gt;=W$3,$I330&lt;=W$2),$E330,0),$E330*NETWORKDAYS(MAX($I330,W$3),MIN($J330,W$2),Data!$K$4:$K$203)/$K330)))</f>
        <v>0</v>
      </c>
      <c r="X330" s="166">
        <f>IF(OR($I330="",$E330=0),0,IF(OR($J330&lt;X$3,$I330&gt;X$2),0,IF($K330=0,IF(AND($I330&gt;=X$3,$I330&lt;=X$2),$E330,0),$E330*NETWORKDAYS(MAX($I330,X$3),MIN($J330,X$2),Data!$K$4:$K$203)/$K330)))</f>
        <v>0</v>
      </c>
      <c r="Y330" s="166">
        <f>IF(OR($I330="",$E330=0),0,IF(OR($J330&lt;Y$3,$I330&gt;Y$2),0,IF($K330=0,IF(AND($I330&gt;=Y$3,$I330&lt;=Y$2),$E330,0),$E330*NETWORKDAYS(MAX($I330,Y$3),MIN($J330,Y$2),Data!$K$4:$K$203)/$K330)))</f>
        <v>0</v>
      </c>
      <c r="Z330" s="166">
        <f>IF(OR($I330="",$E330=0),0,IF(OR($J330&lt;Z$3,$I330&gt;Z$2),0,IF($K330=0,IF(AND($I330&gt;=Z$3,$I330&lt;=Z$2),$E330,0),$E330*NETWORKDAYS(MAX($I330,Z$3),MIN($J330,Z$2),Data!$K$4:$K$203)/$K330)))</f>
        <v>0</v>
      </c>
      <c r="AA330" s="166">
        <f>IF(OR($I330="",$E330=0),0,IF(OR($J330&lt;AA$3,$I330&gt;AA$2),0,IF($K330=0,IF(AND($I330&gt;=AA$3,$I330&lt;=AA$2),$E330,0),$E330*NETWORKDAYS(MAX($I330,AA$3),MIN($J330,AA$2),Data!$K$4:$K$203)/$K330)))</f>
        <v>0</v>
      </c>
      <c r="AB330" s="166">
        <f>IF(OR($I330="",$E330=0),0,IF(OR($J330&lt;AB$3,$I330&gt;AB$2),0,IF($K330=0,IF(AND($I330&gt;=AB$3,$I330&lt;=AB$2),$E330,0),$E330*NETWORKDAYS(MAX($I330,AB$3),MIN($J330,AB$2),Data!$K$4:$K$203)/$K330)))</f>
        <v>0</v>
      </c>
      <c r="AC330" s="166">
        <f>IF(OR($I330="",$E330=0),0,IF(OR($J330&lt;AC$3,$I330&gt;AC$2),0,IF($K330=0,IF(AND($I330&gt;=AC$3,$I330&lt;=AC$2),$E330,0),$E330*NETWORKDAYS(MAX($I330,AC$3),MIN($J330,AC$2),Data!$K$4:$K$203)/$K330)))</f>
        <v>0</v>
      </c>
      <c r="AD330" s="166">
        <f>IF(OR($I330="",$E330=0),0,IF(OR($J330&lt;AD$3,$I330&gt;AD$2),0,IF($K330=0,IF(AND($I330&gt;=AD$3,$I330&lt;=AD$2),$E330,0),$E330*NETWORKDAYS(MAX($I330,AD$3),MIN($J330,AD$2),Data!$K$4:$K$203)/$K330)))</f>
        <v>0</v>
      </c>
      <c r="AE330" s="166">
        <f>IF(OR($I330="",$E330=0),0,IF(OR($J330&lt;AE$3,$I330&gt;AE$2),0,IF($K330=0,IF(AND($I330&gt;=AE$3,$I330&lt;=AE$2),$E330,0),$E330*NETWORKDAYS(MAX($I330,AE$3),MIN($J330,AE$2),Data!$K$4:$K$203)/$K330)))</f>
        <v>0</v>
      </c>
      <c r="AF330" s="166">
        <f>IF(OR($I330="",$E330=0),0,IF(OR($J330&lt;AF$3,$I330&gt;AF$2),0,IF($K330=0,IF(AND($I330&gt;=AF$3,$I330&lt;=AF$2),$E330,0),$E330*NETWORKDAYS(MAX($I330,AF$3),MIN($J330,AF$2),Data!$K$4:$K$203)/$K330)))</f>
        <v>0</v>
      </c>
      <c r="AG330" s="166">
        <f>IF(OR($I330="",$E330=0),0,IF(OR($J330&lt;AG$3,$I330&gt;AG$2),0,IF($K330=0,IF(AND($I330&gt;=AG$3,$I330&lt;=AG$2),$E330,0),$E330*NETWORKDAYS(MAX($I330,AG$3),MIN($J330,AG$2),Data!$K$4:$K$203)/$K330)))</f>
        <v>0</v>
      </c>
      <c r="AH330" s="166">
        <f>IF(OR($I330="",$E330=0),0,IF(OR($J330&lt;AH$3,$I330&gt;AH$2),0,IF($K330=0,IF(AND($I330&gt;=AH$3,$I330&lt;=AH$2),$E330,0),$E330*NETWORKDAYS(MAX($I330,AH$3),MIN($J330,AH$2),Data!$K$4:$K$203)/$K330)))</f>
        <v>0</v>
      </c>
      <c r="AI330" s="166">
        <f>SUM(W330:AH330)</f>
        <v>0</v>
      </c>
      <c r="BZ330" t="str">
        <f>IF(D330=1,IF(TRIM(INDEX(Charge!$K:$K,ROW()))&lt;&gt;"",TRIM(INDEX(Charge!$K:$K,ROW())),IF(TRIM(INDEX(Charge!$L:$L,ROW()))&lt;&gt;"",TRIM(INDEX(Charge!$L:$L,ROW())),"(non affecté)")),"")</f>
        <v/>
      </c>
      <c r="CA330" t="str">
        <f>IF(AND($CD$4&lt;&gt;"",BZ330=$CD$4),COUNTIFS($BZ$4:$BZ$503,$CD$4,$L$4:$L$503,"&lt;"&amp;L330)+1,"")</f>
        <v/>
      </c>
      <c r="EM330" t="str">
        <f>IF(D330=1,IF(TRIM(INDEX(Charge!$K:$K,ROW()))&lt;&gt;"","Interne",IF(TRIM(INDEX(Charge!$L:$L,ROW()))&lt;&gt;"","Externe","Non affecté")),"")</f>
        <v/>
      </c>
      <c r="EN330" t="str">
        <f>IF(D330=1,LEFT(SUBSTITUTE(SUBSTITUTE(SUBSTITUTE(TRIM(SUBSTITUTE(INDEX(Charge!$B:$B,ROW()),CHAR(160)," "))&amp;" | "&amp;TRIM(SUBSTITUTE(INDEX(Charge!$C:$C,ROW()),CHAR(160)," "))&amp;" | "&amp;TRIM(SUBSTITUTE(INDEX(Charge!$D:$D,ROW()),CHAR(160)," ")),"~","-"),"*","+"),"?","!"),240),"")</f>
        <v/>
      </c>
      <c r="EO330">
        <f>IF(EN330="",0,IF(COUNTIF($EN$4:EN330,EN330)=1,1,0))</f>
        <v>0</v>
      </c>
      <c r="EP330" s="166" t="str">
        <f>IF(EO330=1,ROUND(SUMIF($EN$4:$EN$503,EN330,$E$4:$E$503),2),"")</f>
        <v/>
      </c>
      <c r="EQ330" t="str">
        <f>IF(EO330=1,COUNTIFS($EO$4:$EO$503,1,$EP$4:$EP$503,"&gt;"&amp;EP330)+COUNTIFS($EO$4:EO330,1,$EP$4:EP330,EP330),"")</f>
        <v/>
      </c>
      <c r="ER330" t="str">
        <f>IF(EO330=1,COUNTIFS($EN$4:$EN$503,EN330,$EM$4:$EM$503,"Interne",$FE$4:$FE$503,1),"")</f>
        <v/>
      </c>
      <c r="ES330" t="str">
        <f>IF(EO330=1,COUNTIFS($EN$4:$EN$503,EN330,$EM$4:$EM$503,"Externe",$FE$4:$FE$503,1),"")</f>
        <v/>
      </c>
      <c r="ET330" t="str">
        <f>IF(EO330=1,IF(ER330+ES330=0,"à affecter",IF(ER330=0,ES330&amp;" ext.",(ER330+ES330)&amp;IF(ES330&gt;0," dont "&amp;ES330&amp;" ext.",""))&amp;IF(COUNTIFS($EN$4:$EN$503,EN330,$EM$4:$EM$503,"Non affecté")&gt;0," + à affecter","")),"")</f>
        <v/>
      </c>
      <c r="EU330" s="170" t="str">
        <f>IF(EO330=1,IF(EP330&gt;0,SUMPRODUCT(($EN$4:$EN$503=EN330)*$E$4:$E$503*$C$4:$C$503)/EP330,AVERAGEIF($EN$4:$EN$503,EN330,$C$4:$C$503)),"")</f>
        <v/>
      </c>
      <c r="EV330" s="165">
        <f>IF(ISNUMBER(I330),I330,2958465)</f>
        <v>2958465.0</v>
      </c>
      <c r="EW330" s="165" t="str">
        <f>IF(EO330=1,SUMPRODUCT(MIN(($EN$4:$EN$503=EN330)*$EV$4:$EV$503+($EN$4:$EN$503&lt;&gt;EN330)*2958465)),"")</f>
        <v/>
      </c>
      <c r="EX330" s="165">
        <f>IF(AND(D330=1,ISNUMBER(INDEX(Charge!$F:$F,ROW()))),INDEX(Charge!$F:$F,ROW()),0)</f>
        <v>0.0</v>
      </c>
      <c r="EY330" s="165" t="str">
        <f>IF(EO330=1,SUMPRODUCT(MAX(($EN$4:$EN$503=EN330)*$EX$4:$EX$503)),"")</f>
        <v/>
      </c>
      <c r="FA330" t="str">
        <f>IF(327&lt;=$CD$23,INDEX($EJ$4:$EJ$203,327),IF(327-$CD$23&lt;=$CD$26,INDEX($EK$4:$EK$203,327-$CD$23),""))</f>
        <v/>
      </c>
      <c r="FB330" t="str">
        <f>IF(FA330="","",IF(327&lt;=$CD$23,"Interne","Externe"))</f>
        <v/>
      </c>
      <c r="FD330">
        <f>IF(AND(B330=1,TRIM(INDEX(Charge!$K:$K,ROW()))&lt;&gt;"",TRIM(INDEX(Charge!$L:$L,ROW()))&lt;&gt;""),1,0)</f>
        <v>0</v>
      </c>
      <c r="FE330">
        <f>IF(OR(EN330="",BZ330="(non affecté)"),0,IF(COUNTIFS($EN$4:EN330,EN330,$BZ$4:BZ330,BZ330)=1,1,0))</f>
        <v>0</v>
      </c>
    </row>
    <row r="331">
      <c r="A331">
        <f>ROW()</f>
        <v>331</v>
      </c>
      <c r="B331">
        <f>IF(TRIM(INDEX(Charge!$B:$B,ROW()))&lt;&gt;"",1,0)</f>
        <v>0</v>
      </c>
      <c r="C331">
        <f>IF(B331=1,MIN(1,MAX(0,N(INDEX(Charge!$O:$O,ROW())))),0)</f>
        <v>0</v>
      </c>
      <c r="D331">
        <f>IF(B331=1,IF(OR(p_Perimetre="Tous les projets",C331&lt;1),1,0),0)</f>
        <v>0</v>
      </c>
      <c r="E331">
        <f>IF(D331=1,MAX(0,N(INDEX(Charge!$M:$M,ROW()))),0)</f>
        <v>0</v>
      </c>
      <c r="F331" t="str">
        <f>IF(D331=1,IF(TRIM(INDEX(Charge!$A:$A,ROW()))="","(non renseigné)",TRIM(INDEX(Charge!$A:$A,ROW()))),"")</f>
        <v/>
      </c>
      <c r="G331" t="str">
        <f>IF(D331=1,TRIM(INDEX(Charge!$B:$B,ROW())),"")</f>
        <v/>
      </c>
      <c r="H331" t="str">
        <f>IF(D331=1,IF(TRIM(INDEX(Charge!$E:$E,ROW()))="","(non renseigné)",TRIM(INDEX(Charge!$E:$E,ROW()))),"")</f>
        <v/>
      </c>
      <c r="I331" s="165" t="str">
        <f>IF(AND(D331=1,ISNUMBER(INDEX(Charge!$N:$N,ROW()))),INDEX(Charge!$N:$N,ROW()),"")</f>
        <v/>
      </c>
      <c r="J331" s="165" t="str">
        <f>IF(I331="","",IF(AND(p_Repartition="Lissée jusqu'à la date de besoin",ISNUMBER(INDEX(Charge!$F:$F,ROW()))),IF(INDEX(Charge!$F:$F,ROW())&gt;=I331,INDEX(Charge!$F:$F,ROW()),I331),I331))</f>
        <v/>
      </c>
      <c r="K331" t="str">
        <f>IF(I331="","",NETWORKDAYS(I331,J331,Data!$K$4:$K$203))</f>
        <v/>
      </c>
      <c r="L331" t="str">
        <f>IF(D331=1,COUNTIFS($D$4:$D$503,1,$E$4:$E$503,"&gt;"&amp;E331)+COUNTIFS($D$4:$D331,1,$E$4:$E331,E331),"")</f>
        <v/>
      </c>
      <c r="M331">
        <f>IF(F331="",0,IF(COUNTIF($F$4:F331,F331)=1,1,0))</f>
        <v>0</v>
      </c>
      <c r="N331" t="str">
        <f>IF(M331=1,ROUND(SUMIF($F$4:$F$503,F331,$E$4:$E$503),2),"")</f>
        <v/>
      </c>
      <c r="O331" t="str">
        <f>IF(M331=1,COUNTIFS($M$4:$M$503,1,$N$4:$N$503,"&gt;"&amp;N331)+COUNTIFS($M$4:M331,1,$N$4:N331,N331),"")</f>
        <v/>
      </c>
      <c r="P331">
        <f>IF(G331="",0,IF(COUNTIF($G$4:G331,G331)=1,1,0))</f>
        <v>0</v>
      </c>
      <c r="Q331" t="str">
        <f>IF(P331=1,ROUND(SUMIF($G$4:$G$503,G331,$E$4:$E$503),2),"")</f>
        <v/>
      </c>
      <c r="R331" t="str">
        <f>IF(P331=1,COUNTIFS($P$4:$P$503,1,$Q$4:$Q$503,"&gt;"&amp;Q331)+COUNTIFS($P$4:P331,1,$Q$4:Q331,Q331),"")</f>
        <v/>
      </c>
      <c r="S331">
        <f>IF(H331="",0,IF(COUNTIF($H$4:H331,H331)=1,1,0))</f>
        <v>0</v>
      </c>
      <c r="T331" t="str">
        <f>IF(S331=1,ROUND(SUMIF($H$4:$H$503,H331,$E$4:$E$503),2),"")</f>
        <v/>
      </c>
      <c r="U331" t="str">
        <f>IF(S331=1,COUNTIFS($S$4:$S$503,1,$T$4:$T$503,"&gt;"&amp;T331)+COUNTIFS($S$4:S331,1,$T$4:T331,T331),"")</f>
        <v/>
      </c>
      <c r="V331" t="str">
        <f>IF(D331=1,MIN(INDEX($R$4:$R$503,MATCH(G331,$G$4:$G$503,0)),IF($AL$7&gt;9,9,999)),"")</f>
        <v/>
      </c>
      <c r="W331" s="166">
        <f>IF(OR($I331="",$E331=0),0,IF(OR($J331&lt;W$3,$I331&gt;W$2),0,IF($K331=0,IF(AND($I331&gt;=W$3,$I331&lt;=W$2),$E331,0),$E331*NETWORKDAYS(MAX($I331,W$3),MIN($J331,W$2),Data!$K$4:$K$203)/$K331)))</f>
        <v>0</v>
      </c>
      <c r="X331" s="166">
        <f>IF(OR($I331="",$E331=0),0,IF(OR($J331&lt;X$3,$I331&gt;X$2),0,IF($K331=0,IF(AND($I331&gt;=X$3,$I331&lt;=X$2),$E331,0),$E331*NETWORKDAYS(MAX($I331,X$3),MIN($J331,X$2),Data!$K$4:$K$203)/$K331)))</f>
        <v>0</v>
      </c>
      <c r="Y331" s="166">
        <f>IF(OR($I331="",$E331=0),0,IF(OR($J331&lt;Y$3,$I331&gt;Y$2),0,IF($K331=0,IF(AND($I331&gt;=Y$3,$I331&lt;=Y$2),$E331,0),$E331*NETWORKDAYS(MAX($I331,Y$3),MIN($J331,Y$2),Data!$K$4:$K$203)/$K331)))</f>
        <v>0</v>
      </c>
      <c r="Z331" s="166">
        <f>IF(OR($I331="",$E331=0),0,IF(OR($J331&lt;Z$3,$I331&gt;Z$2),0,IF($K331=0,IF(AND($I331&gt;=Z$3,$I331&lt;=Z$2),$E331,0),$E331*NETWORKDAYS(MAX($I331,Z$3),MIN($J331,Z$2),Data!$K$4:$K$203)/$K331)))</f>
        <v>0</v>
      </c>
      <c r="AA331" s="166">
        <f>IF(OR($I331="",$E331=0),0,IF(OR($J331&lt;AA$3,$I331&gt;AA$2),0,IF($K331=0,IF(AND($I331&gt;=AA$3,$I331&lt;=AA$2),$E331,0),$E331*NETWORKDAYS(MAX($I331,AA$3),MIN($J331,AA$2),Data!$K$4:$K$203)/$K331)))</f>
        <v>0</v>
      </c>
      <c r="AB331" s="166">
        <f>IF(OR($I331="",$E331=0),0,IF(OR($J331&lt;AB$3,$I331&gt;AB$2),0,IF($K331=0,IF(AND($I331&gt;=AB$3,$I331&lt;=AB$2),$E331,0),$E331*NETWORKDAYS(MAX($I331,AB$3),MIN($J331,AB$2),Data!$K$4:$K$203)/$K331)))</f>
        <v>0</v>
      </c>
      <c r="AC331" s="166">
        <f>IF(OR($I331="",$E331=0),0,IF(OR($J331&lt;AC$3,$I331&gt;AC$2),0,IF($K331=0,IF(AND($I331&gt;=AC$3,$I331&lt;=AC$2),$E331,0),$E331*NETWORKDAYS(MAX($I331,AC$3),MIN($J331,AC$2),Data!$K$4:$K$203)/$K331)))</f>
        <v>0</v>
      </c>
      <c r="AD331" s="166">
        <f>IF(OR($I331="",$E331=0),0,IF(OR($J331&lt;AD$3,$I331&gt;AD$2),0,IF($K331=0,IF(AND($I331&gt;=AD$3,$I331&lt;=AD$2),$E331,0),$E331*NETWORKDAYS(MAX($I331,AD$3),MIN($J331,AD$2),Data!$K$4:$K$203)/$K331)))</f>
        <v>0</v>
      </c>
      <c r="AE331" s="166">
        <f>IF(OR($I331="",$E331=0),0,IF(OR($J331&lt;AE$3,$I331&gt;AE$2),0,IF($K331=0,IF(AND($I331&gt;=AE$3,$I331&lt;=AE$2),$E331,0),$E331*NETWORKDAYS(MAX($I331,AE$3),MIN($J331,AE$2),Data!$K$4:$K$203)/$K331)))</f>
        <v>0</v>
      </c>
      <c r="AF331" s="166">
        <f>IF(OR($I331="",$E331=0),0,IF(OR($J331&lt;AF$3,$I331&gt;AF$2),0,IF($K331=0,IF(AND($I331&gt;=AF$3,$I331&lt;=AF$2),$E331,0),$E331*NETWORKDAYS(MAX($I331,AF$3),MIN($J331,AF$2),Data!$K$4:$K$203)/$K331)))</f>
        <v>0</v>
      </c>
      <c r="AG331" s="166">
        <f>IF(OR($I331="",$E331=0),0,IF(OR($J331&lt;AG$3,$I331&gt;AG$2),0,IF($K331=0,IF(AND($I331&gt;=AG$3,$I331&lt;=AG$2),$E331,0),$E331*NETWORKDAYS(MAX($I331,AG$3),MIN($J331,AG$2),Data!$K$4:$K$203)/$K331)))</f>
        <v>0</v>
      </c>
      <c r="AH331" s="166">
        <f>IF(OR($I331="",$E331=0),0,IF(OR($J331&lt;AH$3,$I331&gt;AH$2),0,IF($K331=0,IF(AND($I331&gt;=AH$3,$I331&lt;=AH$2),$E331,0),$E331*NETWORKDAYS(MAX($I331,AH$3),MIN($J331,AH$2),Data!$K$4:$K$203)/$K331)))</f>
        <v>0</v>
      </c>
      <c r="AI331" s="166">
        <f>SUM(W331:AH331)</f>
        <v>0</v>
      </c>
      <c r="BZ331" t="str">
        <f>IF(D331=1,IF(TRIM(INDEX(Charge!$K:$K,ROW()))&lt;&gt;"",TRIM(INDEX(Charge!$K:$K,ROW())),IF(TRIM(INDEX(Charge!$L:$L,ROW()))&lt;&gt;"",TRIM(INDEX(Charge!$L:$L,ROW())),"(non affecté)")),"")</f>
        <v/>
      </c>
      <c r="CA331" t="str">
        <f>IF(AND($CD$4&lt;&gt;"",BZ331=$CD$4),COUNTIFS($BZ$4:$BZ$503,$CD$4,$L$4:$L$503,"&lt;"&amp;L331)+1,"")</f>
        <v/>
      </c>
      <c r="EM331" t="str">
        <f>IF(D331=1,IF(TRIM(INDEX(Charge!$K:$K,ROW()))&lt;&gt;"","Interne",IF(TRIM(INDEX(Charge!$L:$L,ROW()))&lt;&gt;"","Externe","Non affecté")),"")</f>
        <v/>
      </c>
      <c r="EN331" t="str">
        <f>IF(D331=1,LEFT(SUBSTITUTE(SUBSTITUTE(SUBSTITUTE(TRIM(SUBSTITUTE(INDEX(Charge!$B:$B,ROW()),CHAR(160)," "))&amp;" | "&amp;TRIM(SUBSTITUTE(INDEX(Charge!$C:$C,ROW()),CHAR(160)," "))&amp;" | "&amp;TRIM(SUBSTITUTE(INDEX(Charge!$D:$D,ROW()),CHAR(160)," ")),"~","-"),"*","+"),"?","!"),240),"")</f>
        <v/>
      </c>
      <c r="EO331">
        <f>IF(EN331="",0,IF(COUNTIF($EN$4:EN331,EN331)=1,1,0))</f>
        <v>0</v>
      </c>
      <c r="EP331" s="166" t="str">
        <f>IF(EO331=1,ROUND(SUMIF($EN$4:$EN$503,EN331,$E$4:$E$503),2),"")</f>
        <v/>
      </c>
      <c r="EQ331" t="str">
        <f>IF(EO331=1,COUNTIFS($EO$4:$EO$503,1,$EP$4:$EP$503,"&gt;"&amp;EP331)+COUNTIFS($EO$4:EO331,1,$EP$4:EP331,EP331),"")</f>
        <v/>
      </c>
      <c r="ER331" t="str">
        <f>IF(EO331=1,COUNTIFS($EN$4:$EN$503,EN331,$EM$4:$EM$503,"Interne",$FE$4:$FE$503,1),"")</f>
        <v/>
      </c>
      <c r="ES331" t="str">
        <f>IF(EO331=1,COUNTIFS($EN$4:$EN$503,EN331,$EM$4:$EM$503,"Externe",$FE$4:$FE$503,1),"")</f>
        <v/>
      </c>
      <c r="ET331" t="str">
        <f>IF(EO331=1,IF(ER331+ES331=0,"à affecter",IF(ER331=0,ES331&amp;" ext.",(ER331+ES331)&amp;IF(ES331&gt;0," dont "&amp;ES331&amp;" ext.",""))&amp;IF(COUNTIFS($EN$4:$EN$503,EN331,$EM$4:$EM$503,"Non affecté")&gt;0," + à affecter","")),"")</f>
        <v/>
      </c>
      <c r="EU331" s="170" t="str">
        <f>IF(EO331=1,IF(EP331&gt;0,SUMPRODUCT(($EN$4:$EN$503=EN331)*$E$4:$E$503*$C$4:$C$503)/EP331,AVERAGEIF($EN$4:$EN$503,EN331,$C$4:$C$503)),"")</f>
        <v/>
      </c>
      <c r="EV331" s="165">
        <f>IF(ISNUMBER(I331),I331,2958465)</f>
        <v>2958465.0</v>
      </c>
      <c r="EW331" s="165" t="str">
        <f>IF(EO331=1,SUMPRODUCT(MIN(($EN$4:$EN$503=EN331)*$EV$4:$EV$503+($EN$4:$EN$503&lt;&gt;EN331)*2958465)),"")</f>
        <v/>
      </c>
      <c r="EX331" s="165">
        <f>IF(AND(D331=1,ISNUMBER(INDEX(Charge!$F:$F,ROW()))),INDEX(Charge!$F:$F,ROW()),0)</f>
        <v>0.0</v>
      </c>
      <c r="EY331" s="165" t="str">
        <f>IF(EO331=1,SUMPRODUCT(MAX(($EN$4:$EN$503=EN331)*$EX$4:$EX$503)),"")</f>
        <v/>
      </c>
      <c r="FA331" t="str">
        <f>IF(328&lt;=$CD$23,INDEX($EJ$4:$EJ$203,328),IF(328-$CD$23&lt;=$CD$26,INDEX($EK$4:$EK$203,328-$CD$23),""))</f>
        <v/>
      </c>
      <c r="FB331" t="str">
        <f>IF(FA331="","",IF(328&lt;=$CD$23,"Interne","Externe"))</f>
        <v/>
      </c>
      <c r="FD331">
        <f>IF(AND(B331=1,TRIM(INDEX(Charge!$K:$K,ROW()))&lt;&gt;"",TRIM(INDEX(Charge!$L:$L,ROW()))&lt;&gt;""),1,0)</f>
        <v>0</v>
      </c>
      <c r="FE331">
        <f>IF(OR(EN331="",BZ331="(non affecté)"),0,IF(COUNTIFS($EN$4:EN331,EN331,$BZ$4:BZ331,BZ331)=1,1,0))</f>
        <v>0</v>
      </c>
    </row>
    <row r="332">
      <c r="A332">
        <f>ROW()</f>
        <v>332</v>
      </c>
      <c r="B332">
        <f>IF(TRIM(INDEX(Charge!$B:$B,ROW()))&lt;&gt;"",1,0)</f>
        <v>0</v>
      </c>
      <c r="C332">
        <f>IF(B332=1,MIN(1,MAX(0,N(INDEX(Charge!$O:$O,ROW())))),0)</f>
        <v>0</v>
      </c>
      <c r="D332">
        <f>IF(B332=1,IF(OR(p_Perimetre="Tous les projets",C332&lt;1),1,0),0)</f>
        <v>0</v>
      </c>
      <c r="E332">
        <f>IF(D332=1,MAX(0,N(INDEX(Charge!$M:$M,ROW()))),0)</f>
        <v>0</v>
      </c>
      <c r="F332" t="str">
        <f>IF(D332=1,IF(TRIM(INDEX(Charge!$A:$A,ROW()))="","(non renseigné)",TRIM(INDEX(Charge!$A:$A,ROW()))),"")</f>
        <v/>
      </c>
      <c r="G332" t="str">
        <f>IF(D332=1,TRIM(INDEX(Charge!$B:$B,ROW())),"")</f>
        <v/>
      </c>
      <c r="H332" t="str">
        <f>IF(D332=1,IF(TRIM(INDEX(Charge!$E:$E,ROW()))="","(non renseigné)",TRIM(INDEX(Charge!$E:$E,ROW()))),"")</f>
        <v/>
      </c>
      <c r="I332" s="165" t="str">
        <f>IF(AND(D332=1,ISNUMBER(INDEX(Charge!$N:$N,ROW()))),INDEX(Charge!$N:$N,ROW()),"")</f>
        <v/>
      </c>
      <c r="J332" s="165" t="str">
        <f>IF(I332="","",IF(AND(p_Repartition="Lissée jusqu'à la date de besoin",ISNUMBER(INDEX(Charge!$F:$F,ROW()))),IF(INDEX(Charge!$F:$F,ROW())&gt;=I332,INDEX(Charge!$F:$F,ROW()),I332),I332))</f>
        <v/>
      </c>
      <c r="K332" t="str">
        <f>IF(I332="","",NETWORKDAYS(I332,J332,Data!$K$4:$K$203))</f>
        <v/>
      </c>
      <c r="L332" t="str">
        <f>IF(D332=1,COUNTIFS($D$4:$D$503,1,$E$4:$E$503,"&gt;"&amp;E332)+COUNTIFS($D$4:$D332,1,$E$4:$E332,E332),"")</f>
        <v/>
      </c>
      <c r="M332">
        <f>IF(F332="",0,IF(COUNTIF($F$4:F332,F332)=1,1,0))</f>
        <v>0</v>
      </c>
      <c r="N332" t="str">
        <f>IF(M332=1,ROUND(SUMIF($F$4:$F$503,F332,$E$4:$E$503),2),"")</f>
        <v/>
      </c>
      <c r="O332" t="str">
        <f>IF(M332=1,COUNTIFS($M$4:$M$503,1,$N$4:$N$503,"&gt;"&amp;N332)+COUNTIFS($M$4:M332,1,$N$4:N332,N332),"")</f>
        <v/>
      </c>
      <c r="P332">
        <f>IF(G332="",0,IF(COUNTIF($G$4:G332,G332)=1,1,0))</f>
        <v>0</v>
      </c>
      <c r="Q332" t="str">
        <f>IF(P332=1,ROUND(SUMIF($G$4:$G$503,G332,$E$4:$E$503),2),"")</f>
        <v/>
      </c>
      <c r="R332" t="str">
        <f>IF(P332=1,COUNTIFS($P$4:$P$503,1,$Q$4:$Q$503,"&gt;"&amp;Q332)+COUNTIFS($P$4:P332,1,$Q$4:Q332,Q332),"")</f>
        <v/>
      </c>
      <c r="S332">
        <f>IF(H332="",0,IF(COUNTIF($H$4:H332,H332)=1,1,0))</f>
        <v>0</v>
      </c>
      <c r="T332" t="str">
        <f>IF(S332=1,ROUND(SUMIF($H$4:$H$503,H332,$E$4:$E$503),2),"")</f>
        <v/>
      </c>
      <c r="U332" t="str">
        <f>IF(S332=1,COUNTIFS($S$4:$S$503,1,$T$4:$T$503,"&gt;"&amp;T332)+COUNTIFS($S$4:S332,1,$T$4:T332,T332),"")</f>
        <v/>
      </c>
      <c r="V332" t="str">
        <f>IF(D332=1,MIN(INDEX($R$4:$R$503,MATCH(G332,$G$4:$G$503,0)),IF($AL$7&gt;9,9,999)),"")</f>
        <v/>
      </c>
      <c r="W332" s="166">
        <f>IF(OR($I332="",$E332=0),0,IF(OR($J332&lt;W$3,$I332&gt;W$2),0,IF($K332=0,IF(AND($I332&gt;=W$3,$I332&lt;=W$2),$E332,0),$E332*NETWORKDAYS(MAX($I332,W$3),MIN($J332,W$2),Data!$K$4:$K$203)/$K332)))</f>
        <v>0</v>
      </c>
      <c r="X332" s="166">
        <f>IF(OR($I332="",$E332=0),0,IF(OR($J332&lt;X$3,$I332&gt;X$2),0,IF($K332=0,IF(AND($I332&gt;=X$3,$I332&lt;=X$2),$E332,0),$E332*NETWORKDAYS(MAX($I332,X$3),MIN($J332,X$2),Data!$K$4:$K$203)/$K332)))</f>
        <v>0</v>
      </c>
      <c r="Y332" s="166">
        <f>IF(OR($I332="",$E332=0),0,IF(OR($J332&lt;Y$3,$I332&gt;Y$2),0,IF($K332=0,IF(AND($I332&gt;=Y$3,$I332&lt;=Y$2),$E332,0),$E332*NETWORKDAYS(MAX($I332,Y$3),MIN($J332,Y$2),Data!$K$4:$K$203)/$K332)))</f>
        <v>0</v>
      </c>
      <c r="Z332" s="166">
        <f>IF(OR($I332="",$E332=0),0,IF(OR($J332&lt;Z$3,$I332&gt;Z$2),0,IF($K332=0,IF(AND($I332&gt;=Z$3,$I332&lt;=Z$2),$E332,0),$E332*NETWORKDAYS(MAX($I332,Z$3),MIN($J332,Z$2),Data!$K$4:$K$203)/$K332)))</f>
        <v>0</v>
      </c>
      <c r="AA332" s="166">
        <f>IF(OR($I332="",$E332=0),0,IF(OR($J332&lt;AA$3,$I332&gt;AA$2),0,IF($K332=0,IF(AND($I332&gt;=AA$3,$I332&lt;=AA$2),$E332,0),$E332*NETWORKDAYS(MAX($I332,AA$3),MIN($J332,AA$2),Data!$K$4:$K$203)/$K332)))</f>
        <v>0</v>
      </c>
      <c r="AB332" s="166">
        <f>IF(OR($I332="",$E332=0),0,IF(OR($J332&lt;AB$3,$I332&gt;AB$2),0,IF($K332=0,IF(AND($I332&gt;=AB$3,$I332&lt;=AB$2),$E332,0),$E332*NETWORKDAYS(MAX($I332,AB$3),MIN($J332,AB$2),Data!$K$4:$K$203)/$K332)))</f>
        <v>0</v>
      </c>
      <c r="AC332" s="166">
        <f>IF(OR($I332="",$E332=0),0,IF(OR($J332&lt;AC$3,$I332&gt;AC$2),0,IF($K332=0,IF(AND($I332&gt;=AC$3,$I332&lt;=AC$2),$E332,0),$E332*NETWORKDAYS(MAX($I332,AC$3),MIN($J332,AC$2),Data!$K$4:$K$203)/$K332)))</f>
        <v>0</v>
      </c>
      <c r="AD332" s="166">
        <f>IF(OR($I332="",$E332=0),0,IF(OR($J332&lt;AD$3,$I332&gt;AD$2),0,IF($K332=0,IF(AND($I332&gt;=AD$3,$I332&lt;=AD$2),$E332,0),$E332*NETWORKDAYS(MAX($I332,AD$3),MIN($J332,AD$2),Data!$K$4:$K$203)/$K332)))</f>
        <v>0</v>
      </c>
      <c r="AE332" s="166">
        <f>IF(OR($I332="",$E332=0),0,IF(OR($J332&lt;AE$3,$I332&gt;AE$2),0,IF($K332=0,IF(AND($I332&gt;=AE$3,$I332&lt;=AE$2),$E332,0),$E332*NETWORKDAYS(MAX($I332,AE$3),MIN($J332,AE$2),Data!$K$4:$K$203)/$K332)))</f>
        <v>0</v>
      </c>
      <c r="AF332" s="166">
        <f>IF(OR($I332="",$E332=0),0,IF(OR($J332&lt;AF$3,$I332&gt;AF$2),0,IF($K332=0,IF(AND($I332&gt;=AF$3,$I332&lt;=AF$2),$E332,0),$E332*NETWORKDAYS(MAX($I332,AF$3),MIN($J332,AF$2),Data!$K$4:$K$203)/$K332)))</f>
        <v>0</v>
      </c>
      <c r="AG332" s="166">
        <f>IF(OR($I332="",$E332=0),0,IF(OR($J332&lt;AG$3,$I332&gt;AG$2),0,IF($K332=0,IF(AND($I332&gt;=AG$3,$I332&lt;=AG$2),$E332,0),$E332*NETWORKDAYS(MAX($I332,AG$3),MIN($J332,AG$2),Data!$K$4:$K$203)/$K332)))</f>
        <v>0</v>
      </c>
      <c r="AH332" s="166">
        <f>IF(OR($I332="",$E332=0),0,IF(OR($J332&lt;AH$3,$I332&gt;AH$2),0,IF($K332=0,IF(AND($I332&gt;=AH$3,$I332&lt;=AH$2),$E332,0),$E332*NETWORKDAYS(MAX($I332,AH$3),MIN($J332,AH$2),Data!$K$4:$K$203)/$K332)))</f>
        <v>0</v>
      </c>
      <c r="AI332" s="166">
        <f>SUM(W332:AH332)</f>
        <v>0</v>
      </c>
      <c r="BZ332" t="str">
        <f>IF(D332=1,IF(TRIM(INDEX(Charge!$K:$K,ROW()))&lt;&gt;"",TRIM(INDEX(Charge!$K:$K,ROW())),IF(TRIM(INDEX(Charge!$L:$L,ROW()))&lt;&gt;"",TRIM(INDEX(Charge!$L:$L,ROW())),"(non affecté)")),"")</f>
        <v/>
      </c>
      <c r="CA332" t="str">
        <f>IF(AND($CD$4&lt;&gt;"",BZ332=$CD$4),COUNTIFS($BZ$4:$BZ$503,$CD$4,$L$4:$L$503,"&lt;"&amp;L332)+1,"")</f>
        <v/>
      </c>
      <c r="EM332" t="str">
        <f>IF(D332=1,IF(TRIM(INDEX(Charge!$K:$K,ROW()))&lt;&gt;"","Interne",IF(TRIM(INDEX(Charge!$L:$L,ROW()))&lt;&gt;"","Externe","Non affecté")),"")</f>
        <v/>
      </c>
      <c r="EN332" t="str">
        <f>IF(D332=1,LEFT(SUBSTITUTE(SUBSTITUTE(SUBSTITUTE(TRIM(SUBSTITUTE(INDEX(Charge!$B:$B,ROW()),CHAR(160)," "))&amp;" | "&amp;TRIM(SUBSTITUTE(INDEX(Charge!$C:$C,ROW()),CHAR(160)," "))&amp;" | "&amp;TRIM(SUBSTITUTE(INDEX(Charge!$D:$D,ROW()),CHAR(160)," ")),"~","-"),"*","+"),"?","!"),240),"")</f>
        <v/>
      </c>
      <c r="EO332">
        <f>IF(EN332="",0,IF(COUNTIF($EN$4:EN332,EN332)=1,1,0))</f>
        <v>0</v>
      </c>
      <c r="EP332" s="166" t="str">
        <f>IF(EO332=1,ROUND(SUMIF($EN$4:$EN$503,EN332,$E$4:$E$503),2),"")</f>
        <v/>
      </c>
      <c r="EQ332" t="str">
        <f>IF(EO332=1,COUNTIFS($EO$4:$EO$503,1,$EP$4:$EP$503,"&gt;"&amp;EP332)+COUNTIFS($EO$4:EO332,1,$EP$4:EP332,EP332),"")</f>
        <v/>
      </c>
      <c r="ER332" t="str">
        <f>IF(EO332=1,COUNTIFS($EN$4:$EN$503,EN332,$EM$4:$EM$503,"Interne",$FE$4:$FE$503,1),"")</f>
        <v/>
      </c>
      <c r="ES332" t="str">
        <f>IF(EO332=1,COUNTIFS($EN$4:$EN$503,EN332,$EM$4:$EM$503,"Externe",$FE$4:$FE$503,1),"")</f>
        <v/>
      </c>
      <c r="ET332" t="str">
        <f>IF(EO332=1,IF(ER332+ES332=0,"à affecter",IF(ER332=0,ES332&amp;" ext.",(ER332+ES332)&amp;IF(ES332&gt;0," dont "&amp;ES332&amp;" ext.",""))&amp;IF(COUNTIFS($EN$4:$EN$503,EN332,$EM$4:$EM$503,"Non affecté")&gt;0," + à affecter","")),"")</f>
        <v/>
      </c>
      <c r="EU332" s="170" t="str">
        <f>IF(EO332=1,IF(EP332&gt;0,SUMPRODUCT(($EN$4:$EN$503=EN332)*$E$4:$E$503*$C$4:$C$503)/EP332,AVERAGEIF($EN$4:$EN$503,EN332,$C$4:$C$503)),"")</f>
        <v/>
      </c>
      <c r="EV332" s="165">
        <f>IF(ISNUMBER(I332),I332,2958465)</f>
        <v>2958465.0</v>
      </c>
      <c r="EW332" s="165" t="str">
        <f>IF(EO332=1,SUMPRODUCT(MIN(($EN$4:$EN$503=EN332)*$EV$4:$EV$503+($EN$4:$EN$503&lt;&gt;EN332)*2958465)),"")</f>
        <v/>
      </c>
      <c r="EX332" s="165">
        <f>IF(AND(D332=1,ISNUMBER(INDEX(Charge!$F:$F,ROW()))),INDEX(Charge!$F:$F,ROW()),0)</f>
        <v>0.0</v>
      </c>
      <c r="EY332" s="165" t="str">
        <f>IF(EO332=1,SUMPRODUCT(MAX(($EN$4:$EN$503=EN332)*$EX$4:$EX$503)),"")</f>
        <v/>
      </c>
      <c r="FA332" t="str">
        <f>IF(329&lt;=$CD$23,INDEX($EJ$4:$EJ$203,329),IF(329-$CD$23&lt;=$CD$26,INDEX($EK$4:$EK$203,329-$CD$23),""))</f>
        <v/>
      </c>
      <c r="FB332" t="str">
        <f>IF(FA332="","",IF(329&lt;=$CD$23,"Interne","Externe"))</f>
        <v/>
      </c>
      <c r="FD332">
        <f>IF(AND(B332=1,TRIM(INDEX(Charge!$K:$K,ROW()))&lt;&gt;"",TRIM(INDEX(Charge!$L:$L,ROW()))&lt;&gt;""),1,0)</f>
        <v>0</v>
      </c>
      <c r="FE332">
        <f>IF(OR(EN332="",BZ332="(non affecté)"),0,IF(COUNTIFS($EN$4:EN332,EN332,$BZ$4:BZ332,BZ332)=1,1,0))</f>
        <v>0</v>
      </c>
    </row>
    <row r="333">
      <c r="A333">
        <f>ROW()</f>
        <v>333</v>
      </c>
      <c r="B333">
        <f>IF(TRIM(INDEX(Charge!$B:$B,ROW()))&lt;&gt;"",1,0)</f>
        <v>0</v>
      </c>
      <c r="C333">
        <f>IF(B333=1,MIN(1,MAX(0,N(INDEX(Charge!$O:$O,ROW())))),0)</f>
        <v>0</v>
      </c>
      <c r="D333">
        <f>IF(B333=1,IF(OR(p_Perimetre="Tous les projets",C333&lt;1),1,0),0)</f>
        <v>0</v>
      </c>
      <c r="E333">
        <f>IF(D333=1,MAX(0,N(INDEX(Charge!$M:$M,ROW()))),0)</f>
        <v>0</v>
      </c>
      <c r="F333" t="str">
        <f>IF(D333=1,IF(TRIM(INDEX(Charge!$A:$A,ROW()))="","(non renseigné)",TRIM(INDEX(Charge!$A:$A,ROW()))),"")</f>
        <v/>
      </c>
      <c r="G333" t="str">
        <f>IF(D333=1,TRIM(INDEX(Charge!$B:$B,ROW())),"")</f>
        <v/>
      </c>
      <c r="H333" t="str">
        <f>IF(D333=1,IF(TRIM(INDEX(Charge!$E:$E,ROW()))="","(non renseigné)",TRIM(INDEX(Charge!$E:$E,ROW()))),"")</f>
        <v/>
      </c>
      <c r="I333" s="165" t="str">
        <f>IF(AND(D333=1,ISNUMBER(INDEX(Charge!$N:$N,ROW()))),INDEX(Charge!$N:$N,ROW()),"")</f>
        <v/>
      </c>
      <c r="J333" s="165" t="str">
        <f>IF(I333="","",IF(AND(p_Repartition="Lissée jusqu'à la date de besoin",ISNUMBER(INDEX(Charge!$F:$F,ROW()))),IF(INDEX(Charge!$F:$F,ROW())&gt;=I333,INDEX(Charge!$F:$F,ROW()),I333),I333))</f>
        <v/>
      </c>
      <c r="K333" t="str">
        <f>IF(I333="","",NETWORKDAYS(I333,J333,Data!$K$4:$K$203))</f>
        <v/>
      </c>
      <c r="L333" t="str">
        <f>IF(D333=1,COUNTIFS($D$4:$D$503,1,$E$4:$E$503,"&gt;"&amp;E333)+COUNTIFS($D$4:$D333,1,$E$4:$E333,E333),"")</f>
        <v/>
      </c>
      <c r="M333">
        <f>IF(F333="",0,IF(COUNTIF($F$4:F333,F333)=1,1,0))</f>
        <v>0</v>
      </c>
      <c r="N333" t="str">
        <f>IF(M333=1,ROUND(SUMIF($F$4:$F$503,F333,$E$4:$E$503),2),"")</f>
        <v/>
      </c>
      <c r="O333" t="str">
        <f>IF(M333=1,COUNTIFS($M$4:$M$503,1,$N$4:$N$503,"&gt;"&amp;N333)+COUNTIFS($M$4:M333,1,$N$4:N333,N333),"")</f>
        <v/>
      </c>
      <c r="P333">
        <f>IF(G333="",0,IF(COUNTIF($G$4:G333,G333)=1,1,0))</f>
        <v>0</v>
      </c>
      <c r="Q333" t="str">
        <f>IF(P333=1,ROUND(SUMIF($G$4:$G$503,G333,$E$4:$E$503),2),"")</f>
        <v/>
      </c>
      <c r="R333" t="str">
        <f>IF(P333=1,COUNTIFS($P$4:$P$503,1,$Q$4:$Q$503,"&gt;"&amp;Q333)+COUNTIFS($P$4:P333,1,$Q$4:Q333,Q333),"")</f>
        <v/>
      </c>
      <c r="S333">
        <f>IF(H333="",0,IF(COUNTIF($H$4:H333,H333)=1,1,0))</f>
        <v>0</v>
      </c>
      <c r="T333" t="str">
        <f>IF(S333=1,ROUND(SUMIF($H$4:$H$503,H333,$E$4:$E$503),2),"")</f>
        <v/>
      </c>
      <c r="U333" t="str">
        <f>IF(S333=1,COUNTIFS($S$4:$S$503,1,$T$4:$T$503,"&gt;"&amp;T333)+COUNTIFS($S$4:S333,1,$T$4:T333,T333),"")</f>
        <v/>
      </c>
      <c r="V333" t="str">
        <f>IF(D333=1,MIN(INDEX($R$4:$R$503,MATCH(G333,$G$4:$G$503,0)),IF($AL$7&gt;9,9,999)),"")</f>
        <v/>
      </c>
      <c r="W333" s="166">
        <f>IF(OR($I333="",$E333=0),0,IF(OR($J333&lt;W$3,$I333&gt;W$2),0,IF($K333=0,IF(AND($I333&gt;=W$3,$I333&lt;=W$2),$E333,0),$E333*NETWORKDAYS(MAX($I333,W$3),MIN($J333,W$2),Data!$K$4:$K$203)/$K333)))</f>
        <v>0</v>
      </c>
      <c r="X333" s="166">
        <f>IF(OR($I333="",$E333=0),0,IF(OR($J333&lt;X$3,$I333&gt;X$2),0,IF($K333=0,IF(AND($I333&gt;=X$3,$I333&lt;=X$2),$E333,0),$E333*NETWORKDAYS(MAX($I333,X$3),MIN($J333,X$2),Data!$K$4:$K$203)/$K333)))</f>
        <v>0</v>
      </c>
      <c r="Y333" s="166">
        <f>IF(OR($I333="",$E333=0),0,IF(OR($J333&lt;Y$3,$I333&gt;Y$2),0,IF($K333=0,IF(AND($I333&gt;=Y$3,$I333&lt;=Y$2),$E333,0),$E333*NETWORKDAYS(MAX($I333,Y$3),MIN($J333,Y$2),Data!$K$4:$K$203)/$K333)))</f>
        <v>0</v>
      </c>
      <c r="Z333" s="166">
        <f>IF(OR($I333="",$E333=0),0,IF(OR($J333&lt;Z$3,$I333&gt;Z$2),0,IF($K333=0,IF(AND($I333&gt;=Z$3,$I333&lt;=Z$2),$E333,0),$E333*NETWORKDAYS(MAX($I333,Z$3),MIN($J333,Z$2),Data!$K$4:$K$203)/$K333)))</f>
        <v>0</v>
      </c>
      <c r="AA333" s="166">
        <f>IF(OR($I333="",$E333=0),0,IF(OR($J333&lt;AA$3,$I333&gt;AA$2),0,IF($K333=0,IF(AND($I333&gt;=AA$3,$I333&lt;=AA$2),$E333,0),$E333*NETWORKDAYS(MAX($I333,AA$3),MIN($J333,AA$2),Data!$K$4:$K$203)/$K333)))</f>
        <v>0</v>
      </c>
      <c r="AB333" s="166">
        <f>IF(OR($I333="",$E333=0),0,IF(OR($J333&lt;AB$3,$I333&gt;AB$2),0,IF($K333=0,IF(AND($I333&gt;=AB$3,$I333&lt;=AB$2),$E333,0),$E333*NETWORKDAYS(MAX($I333,AB$3),MIN($J333,AB$2),Data!$K$4:$K$203)/$K333)))</f>
        <v>0</v>
      </c>
      <c r="AC333" s="166">
        <f>IF(OR($I333="",$E333=0),0,IF(OR($J333&lt;AC$3,$I333&gt;AC$2),0,IF($K333=0,IF(AND($I333&gt;=AC$3,$I333&lt;=AC$2),$E333,0),$E333*NETWORKDAYS(MAX($I333,AC$3),MIN($J333,AC$2),Data!$K$4:$K$203)/$K333)))</f>
        <v>0</v>
      </c>
      <c r="AD333" s="166">
        <f>IF(OR($I333="",$E333=0),0,IF(OR($J333&lt;AD$3,$I333&gt;AD$2),0,IF($K333=0,IF(AND($I333&gt;=AD$3,$I333&lt;=AD$2),$E333,0),$E333*NETWORKDAYS(MAX($I333,AD$3),MIN($J333,AD$2),Data!$K$4:$K$203)/$K333)))</f>
        <v>0</v>
      </c>
      <c r="AE333" s="166">
        <f>IF(OR($I333="",$E333=0),0,IF(OR($J333&lt;AE$3,$I333&gt;AE$2),0,IF($K333=0,IF(AND($I333&gt;=AE$3,$I333&lt;=AE$2),$E333,0),$E333*NETWORKDAYS(MAX($I333,AE$3),MIN($J333,AE$2),Data!$K$4:$K$203)/$K333)))</f>
        <v>0</v>
      </c>
      <c r="AF333" s="166">
        <f>IF(OR($I333="",$E333=0),0,IF(OR($J333&lt;AF$3,$I333&gt;AF$2),0,IF($K333=0,IF(AND($I333&gt;=AF$3,$I333&lt;=AF$2),$E333,0),$E333*NETWORKDAYS(MAX($I333,AF$3),MIN($J333,AF$2),Data!$K$4:$K$203)/$K333)))</f>
        <v>0</v>
      </c>
      <c r="AG333" s="166">
        <f>IF(OR($I333="",$E333=0),0,IF(OR($J333&lt;AG$3,$I333&gt;AG$2),0,IF($K333=0,IF(AND($I333&gt;=AG$3,$I333&lt;=AG$2),$E333,0),$E333*NETWORKDAYS(MAX($I333,AG$3),MIN($J333,AG$2),Data!$K$4:$K$203)/$K333)))</f>
        <v>0</v>
      </c>
      <c r="AH333" s="166">
        <f>IF(OR($I333="",$E333=0),0,IF(OR($J333&lt;AH$3,$I333&gt;AH$2),0,IF($K333=0,IF(AND($I333&gt;=AH$3,$I333&lt;=AH$2),$E333,0),$E333*NETWORKDAYS(MAX($I333,AH$3),MIN($J333,AH$2),Data!$K$4:$K$203)/$K333)))</f>
        <v>0</v>
      </c>
      <c r="AI333" s="166">
        <f>SUM(W333:AH333)</f>
        <v>0</v>
      </c>
      <c r="BZ333" t="str">
        <f>IF(D333=1,IF(TRIM(INDEX(Charge!$K:$K,ROW()))&lt;&gt;"",TRIM(INDEX(Charge!$K:$K,ROW())),IF(TRIM(INDEX(Charge!$L:$L,ROW()))&lt;&gt;"",TRIM(INDEX(Charge!$L:$L,ROW())),"(non affecté)")),"")</f>
        <v/>
      </c>
      <c r="CA333" t="str">
        <f>IF(AND($CD$4&lt;&gt;"",BZ333=$CD$4),COUNTIFS($BZ$4:$BZ$503,$CD$4,$L$4:$L$503,"&lt;"&amp;L333)+1,"")</f>
        <v/>
      </c>
      <c r="EM333" t="str">
        <f>IF(D333=1,IF(TRIM(INDEX(Charge!$K:$K,ROW()))&lt;&gt;"","Interne",IF(TRIM(INDEX(Charge!$L:$L,ROW()))&lt;&gt;"","Externe","Non affecté")),"")</f>
        <v/>
      </c>
      <c r="EN333" t="str">
        <f>IF(D333=1,LEFT(SUBSTITUTE(SUBSTITUTE(SUBSTITUTE(TRIM(SUBSTITUTE(INDEX(Charge!$B:$B,ROW()),CHAR(160)," "))&amp;" | "&amp;TRIM(SUBSTITUTE(INDEX(Charge!$C:$C,ROW()),CHAR(160)," "))&amp;" | "&amp;TRIM(SUBSTITUTE(INDEX(Charge!$D:$D,ROW()),CHAR(160)," ")),"~","-"),"*","+"),"?","!"),240),"")</f>
        <v/>
      </c>
      <c r="EO333">
        <f>IF(EN333="",0,IF(COUNTIF($EN$4:EN333,EN333)=1,1,0))</f>
        <v>0</v>
      </c>
      <c r="EP333" s="166" t="str">
        <f>IF(EO333=1,ROUND(SUMIF($EN$4:$EN$503,EN333,$E$4:$E$503),2),"")</f>
        <v/>
      </c>
      <c r="EQ333" t="str">
        <f>IF(EO333=1,COUNTIFS($EO$4:$EO$503,1,$EP$4:$EP$503,"&gt;"&amp;EP333)+COUNTIFS($EO$4:EO333,1,$EP$4:EP333,EP333),"")</f>
        <v/>
      </c>
      <c r="ER333" t="str">
        <f>IF(EO333=1,COUNTIFS($EN$4:$EN$503,EN333,$EM$4:$EM$503,"Interne",$FE$4:$FE$503,1),"")</f>
        <v/>
      </c>
      <c r="ES333" t="str">
        <f>IF(EO333=1,COUNTIFS($EN$4:$EN$503,EN333,$EM$4:$EM$503,"Externe",$FE$4:$FE$503,1),"")</f>
        <v/>
      </c>
      <c r="ET333" t="str">
        <f>IF(EO333=1,IF(ER333+ES333=0,"à affecter",IF(ER333=0,ES333&amp;" ext.",(ER333+ES333)&amp;IF(ES333&gt;0," dont "&amp;ES333&amp;" ext.",""))&amp;IF(COUNTIFS($EN$4:$EN$503,EN333,$EM$4:$EM$503,"Non affecté")&gt;0," + à affecter","")),"")</f>
        <v/>
      </c>
      <c r="EU333" s="170" t="str">
        <f>IF(EO333=1,IF(EP333&gt;0,SUMPRODUCT(($EN$4:$EN$503=EN333)*$E$4:$E$503*$C$4:$C$503)/EP333,AVERAGEIF($EN$4:$EN$503,EN333,$C$4:$C$503)),"")</f>
        <v/>
      </c>
      <c r="EV333" s="165">
        <f>IF(ISNUMBER(I333),I333,2958465)</f>
        <v>2958465.0</v>
      </c>
      <c r="EW333" s="165" t="str">
        <f>IF(EO333=1,SUMPRODUCT(MIN(($EN$4:$EN$503=EN333)*$EV$4:$EV$503+($EN$4:$EN$503&lt;&gt;EN333)*2958465)),"")</f>
        <v/>
      </c>
      <c r="EX333" s="165">
        <f>IF(AND(D333=1,ISNUMBER(INDEX(Charge!$F:$F,ROW()))),INDEX(Charge!$F:$F,ROW()),0)</f>
        <v>0.0</v>
      </c>
      <c r="EY333" s="165" t="str">
        <f>IF(EO333=1,SUMPRODUCT(MAX(($EN$4:$EN$503=EN333)*$EX$4:$EX$503)),"")</f>
        <v/>
      </c>
      <c r="FA333" t="str">
        <f>IF(330&lt;=$CD$23,INDEX($EJ$4:$EJ$203,330),IF(330-$CD$23&lt;=$CD$26,INDEX($EK$4:$EK$203,330-$CD$23),""))</f>
        <v/>
      </c>
      <c r="FB333" t="str">
        <f>IF(FA333="","",IF(330&lt;=$CD$23,"Interne","Externe"))</f>
        <v/>
      </c>
      <c r="FD333">
        <f>IF(AND(B333=1,TRIM(INDEX(Charge!$K:$K,ROW()))&lt;&gt;"",TRIM(INDEX(Charge!$L:$L,ROW()))&lt;&gt;""),1,0)</f>
        <v>0</v>
      </c>
      <c r="FE333">
        <f>IF(OR(EN333="",BZ333="(non affecté)"),0,IF(COUNTIFS($EN$4:EN333,EN333,$BZ$4:BZ333,BZ333)=1,1,0))</f>
        <v>0</v>
      </c>
    </row>
    <row r="334">
      <c r="A334">
        <f>ROW()</f>
        <v>334</v>
      </c>
      <c r="B334">
        <f>IF(TRIM(INDEX(Charge!$B:$B,ROW()))&lt;&gt;"",1,0)</f>
        <v>0</v>
      </c>
      <c r="C334">
        <f>IF(B334=1,MIN(1,MAX(0,N(INDEX(Charge!$O:$O,ROW())))),0)</f>
        <v>0</v>
      </c>
      <c r="D334">
        <f>IF(B334=1,IF(OR(p_Perimetre="Tous les projets",C334&lt;1),1,0),0)</f>
        <v>0</v>
      </c>
      <c r="E334">
        <f>IF(D334=1,MAX(0,N(INDEX(Charge!$M:$M,ROW()))),0)</f>
        <v>0</v>
      </c>
      <c r="F334" t="str">
        <f>IF(D334=1,IF(TRIM(INDEX(Charge!$A:$A,ROW()))="","(non renseigné)",TRIM(INDEX(Charge!$A:$A,ROW()))),"")</f>
        <v/>
      </c>
      <c r="G334" t="str">
        <f>IF(D334=1,TRIM(INDEX(Charge!$B:$B,ROW())),"")</f>
        <v/>
      </c>
      <c r="H334" t="str">
        <f>IF(D334=1,IF(TRIM(INDEX(Charge!$E:$E,ROW()))="","(non renseigné)",TRIM(INDEX(Charge!$E:$E,ROW()))),"")</f>
        <v/>
      </c>
      <c r="I334" s="165" t="str">
        <f>IF(AND(D334=1,ISNUMBER(INDEX(Charge!$N:$N,ROW()))),INDEX(Charge!$N:$N,ROW()),"")</f>
        <v/>
      </c>
      <c r="J334" s="165" t="str">
        <f>IF(I334="","",IF(AND(p_Repartition="Lissée jusqu'à la date de besoin",ISNUMBER(INDEX(Charge!$F:$F,ROW()))),IF(INDEX(Charge!$F:$F,ROW())&gt;=I334,INDEX(Charge!$F:$F,ROW()),I334),I334))</f>
        <v/>
      </c>
      <c r="K334" t="str">
        <f>IF(I334="","",NETWORKDAYS(I334,J334,Data!$K$4:$K$203))</f>
        <v/>
      </c>
      <c r="L334" t="str">
        <f>IF(D334=1,COUNTIFS($D$4:$D$503,1,$E$4:$E$503,"&gt;"&amp;E334)+COUNTIFS($D$4:$D334,1,$E$4:$E334,E334),"")</f>
        <v/>
      </c>
      <c r="M334">
        <f>IF(F334="",0,IF(COUNTIF($F$4:F334,F334)=1,1,0))</f>
        <v>0</v>
      </c>
      <c r="N334" t="str">
        <f>IF(M334=1,ROUND(SUMIF($F$4:$F$503,F334,$E$4:$E$503),2),"")</f>
        <v/>
      </c>
      <c r="O334" t="str">
        <f>IF(M334=1,COUNTIFS($M$4:$M$503,1,$N$4:$N$503,"&gt;"&amp;N334)+COUNTIFS($M$4:M334,1,$N$4:N334,N334),"")</f>
        <v/>
      </c>
      <c r="P334">
        <f>IF(G334="",0,IF(COUNTIF($G$4:G334,G334)=1,1,0))</f>
        <v>0</v>
      </c>
      <c r="Q334" t="str">
        <f>IF(P334=1,ROUND(SUMIF($G$4:$G$503,G334,$E$4:$E$503),2),"")</f>
        <v/>
      </c>
      <c r="R334" t="str">
        <f>IF(P334=1,COUNTIFS($P$4:$P$503,1,$Q$4:$Q$503,"&gt;"&amp;Q334)+COUNTIFS($P$4:P334,1,$Q$4:Q334,Q334),"")</f>
        <v/>
      </c>
      <c r="S334">
        <f>IF(H334="",0,IF(COUNTIF($H$4:H334,H334)=1,1,0))</f>
        <v>0</v>
      </c>
      <c r="T334" t="str">
        <f>IF(S334=1,ROUND(SUMIF($H$4:$H$503,H334,$E$4:$E$503),2),"")</f>
        <v/>
      </c>
      <c r="U334" t="str">
        <f>IF(S334=1,COUNTIFS($S$4:$S$503,1,$T$4:$T$503,"&gt;"&amp;T334)+COUNTIFS($S$4:S334,1,$T$4:T334,T334),"")</f>
        <v/>
      </c>
      <c r="V334" t="str">
        <f>IF(D334=1,MIN(INDEX($R$4:$R$503,MATCH(G334,$G$4:$G$503,0)),IF($AL$7&gt;9,9,999)),"")</f>
        <v/>
      </c>
      <c r="W334" s="166">
        <f>IF(OR($I334="",$E334=0),0,IF(OR($J334&lt;W$3,$I334&gt;W$2),0,IF($K334=0,IF(AND($I334&gt;=W$3,$I334&lt;=W$2),$E334,0),$E334*NETWORKDAYS(MAX($I334,W$3),MIN($J334,W$2),Data!$K$4:$K$203)/$K334)))</f>
        <v>0</v>
      </c>
      <c r="X334" s="166">
        <f>IF(OR($I334="",$E334=0),0,IF(OR($J334&lt;X$3,$I334&gt;X$2),0,IF($K334=0,IF(AND($I334&gt;=X$3,$I334&lt;=X$2),$E334,0),$E334*NETWORKDAYS(MAX($I334,X$3),MIN($J334,X$2),Data!$K$4:$K$203)/$K334)))</f>
        <v>0</v>
      </c>
      <c r="Y334" s="166">
        <f>IF(OR($I334="",$E334=0),0,IF(OR($J334&lt;Y$3,$I334&gt;Y$2),0,IF($K334=0,IF(AND($I334&gt;=Y$3,$I334&lt;=Y$2),$E334,0),$E334*NETWORKDAYS(MAX($I334,Y$3),MIN($J334,Y$2),Data!$K$4:$K$203)/$K334)))</f>
        <v>0</v>
      </c>
      <c r="Z334" s="166">
        <f>IF(OR($I334="",$E334=0),0,IF(OR($J334&lt;Z$3,$I334&gt;Z$2),0,IF($K334=0,IF(AND($I334&gt;=Z$3,$I334&lt;=Z$2),$E334,0),$E334*NETWORKDAYS(MAX($I334,Z$3),MIN($J334,Z$2),Data!$K$4:$K$203)/$K334)))</f>
        <v>0</v>
      </c>
      <c r="AA334" s="166">
        <f>IF(OR($I334="",$E334=0),0,IF(OR($J334&lt;AA$3,$I334&gt;AA$2),0,IF($K334=0,IF(AND($I334&gt;=AA$3,$I334&lt;=AA$2),$E334,0),$E334*NETWORKDAYS(MAX($I334,AA$3),MIN($J334,AA$2),Data!$K$4:$K$203)/$K334)))</f>
        <v>0</v>
      </c>
      <c r="AB334" s="166">
        <f>IF(OR($I334="",$E334=0),0,IF(OR($J334&lt;AB$3,$I334&gt;AB$2),0,IF($K334=0,IF(AND($I334&gt;=AB$3,$I334&lt;=AB$2),$E334,0),$E334*NETWORKDAYS(MAX($I334,AB$3),MIN($J334,AB$2),Data!$K$4:$K$203)/$K334)))</f>
        <v>0</v>
      </c>
      <c r="AC334" s="166">
        <f>IF(OR($I334="",$E334=0),0,IF(OR($J334&lt;AC$3,$I334&gt;AC$2),0,IF($K334=0,IF(AND($I334&gt;=AC$3,$I334&lt;=AC$2),$E334,0),$E334*NETWORKDAYS(MAX($I334,AC$3),MIN($J334,AC$2),Data!$K$4:$K$203)/$K334)))</f>
        <v>0</v>
      </c>
      <c r="AD334" s="166">
        <f>IF(OR($I334="",$E334=0),0,IF(OR($J334&lt;AD$3,$I334&gt;AD$2),0,IF($K334=0,IF(AND($I334&gt;=AD$3,$I334&lt;=AD$2),$E334,0),$E334*NETWORKDAYS(MAX($I334,AD$3),MIN($J334,AD$2),Data!$K$4:$K$203)/$K334)))</f>
        <v>0</v>
      </c>
      <c r="AE334" s="166">
        <f>IF(OR($I334="",$E334=0),0,IF(OR($J334&lt;AE$3,$I334&gt;AE$2),0,IF($K334=0,IF(AND($I334&gt;=AE$3,$I334&lt;=AE$2),$E334,0),$E334*NETWORKDAYS(MAX($I334,AE$3),MIN($J334,AE$2),Data!$K$4:$K$203)/$K334)))</f>
        <v>0</v>
      </c>
      <c r="AF334" s="166">
        <f>IF(OR($I334="",$E334=0),0,IF(OR($J334&lt;AF$3,$I334&gt;AF$2),0,IF($K334=0,IF(AND($I334&gt;=AF$3,$I334&lt;=AF$2),$E334,0),$E334*NETWORKDAYS(MAX($I334,AF$3),MIN($J334,AF$2),Data!$K$4:$K$203)/$K334)))</f>
        <v>0</v>
      </c>
      <c r="AG334" s="166">
        <f>IF(OR($I334="",$E334=0),0,IF(OR($J334&lt;AG$3,$I334&gt;AG$2),0,IF($K334=0,IF(AND($I334&gt;=AG$3,$I334&lt;=AG$2),$E334,0),$E334*NETWORKDAYS(MAX($I334,AG$3),MIN($J334,AG$2),Data!$K$4:$K$203)/$K334)))</f>
        <v>0</v>
      </c>
      <c r="AH334" s="166">
        <f>IF(OR($I334="",$E334=0),0,IF(OR($J334&lt;AH$3,$I334&gt;AH$2),0,IF($K334=0,IF(AND($I334&gt;=AH$3,$I334&lt;=AH$2),$E334,0),$E334*NETWORKDAYS(MAX($I334,AH$3),MIN($J334,AH$2),Data!$K$4:$K$203)/$K334)))</f>
        <v>0</v>
      </c>
      <c r="AI334" s="166">
        <f>SUM(W334:AH334)</f>
        <v>0</v>
      </c>
      <c r="BZ334" t="str">
        <f>IF(D334=1,IF(TRIM(INDEX(Charge!$K:$K,ROW()))&lt;&gt;"",TRIM(INDEX(Charge!$K:$K,ROW())),IF(TRIM(INDEX(Charge!$L:$L,ROW()))&lt;&gt;"",TRIM(INDEX(Charge!$L:$L,ROW())),"(non affecté)")),"")</f>
        <v/>
      </c>
      <c r="CA334" t="str">
        <f>IF(AND($CD$4&lt;&gt;"",BZ334=$CD$4),COUNTIFS($BZ$4:$BZ$503,$CD$4,$L$4:$L$503,"&lt;"&amp;L334)+1,"")</f>
        <v/>
      </c>
      <c r="EM334" t="str">
        <f>IF(D334=1,IF(TRIM(INDEX(Charge!$K:$K,ROW()))&lt;&gt;"","Interne",IF(TRIM(INDEX(Charge!$L:$L,ROW()))&lt;&gt;"","Externe","Non affecté")),"")</f>
        <v/>
      </c>
      <c r="EN334" t="str">
        <f>IF(D334=1,LEFT(SUBSTITUTE(SUBSTITUTE(SUBSTITUTE(TRIM(SUBSTITUTE(INDEX(Charge!$B:$B,ROW()),CHAR(160)," "))&amp;" | "&amp;TRIM(SUBSTITUTE(INDEX(Charge!$C:$C,ROW()),CHAR(160)," "))&amp;" | "&amp;TRIM(SUBSTITUTE(INDEX(Charge!$D:$D,ROW()),CHAR(160)," ")),"~","-"),"*","+"),"?","!"),240),"")</f>
        <v/>
      </c>
      <c r="EO334">
        <f>IF(EN334="",0,IF(COUNTIF($EN$4:EN334,EN334)=1,1,0))</f>
        <v>0</v>
      </c>
      <c r="EP334" s="166" t="str">
        <f>IF(EO334=1,ROUND(SUMIF($EN$4:$EN$503,EN334,$E$4:$E$503),2),"")</f>
        <v/>
      </c>
      <c r="EQ334" t="str">
        <f>IF(EO334=1,COUNTIFS($EO$4:$EO$503,1,$EP$4:$EP$503,"&gt;"&amp;EP334)+COUNTIFS($EO$4:EO334,1,$EP$4:EP334,EP334),"")</f>
        <v/>
      </c>
      <c r="ER334" t="str">
        <f>IF(EO334=1,COUNTIFS($EN$4:$EN$503,EN334,$EM$4:$EM$503,"Interne",$FE$4:$FE$503,1),"")</f>
        <v/>
      </c>
      <c r="ES334" t="str">
        <f>IF(EO334=1,COUNTIFS($EN$4:$EN$503,EN334,$EM$4:$EM$503,"Externe",$FE$4:$FE$503,1),"")</f>
        <v/>
      </c>
      <c r="ET334" t="str">
        <f>IF(EO334=1,IF(ER334+ES334=0,"à affecter",IF(ER334=0,ES334&amp;" ext.",(ER334+ES334)&amp;IF(ES334&gt;0," dont "&amp;ES334&amp;" ext.",""))&amp;IF(COUNTIFS($EN$4:$EN$503,EN334,$EM$4:$EM$503,"Non affecté")&gt;0," + à affecter","")),"")</f>
        <v/>
      </c>
      <c r="EU334" s="170" t="str">
        <f>IF(EO334=1,IF(EP334&gt;0,SUMPRODUCT(($EN$4:$EN$503=EN334)*$E$4:$E$503*$C$4:$C$503)/EP334,AVERAGEIF($EN$4:$EN$503,EN334,$C$4:$C$503)),"")</f>
        <v/>
      </c>
      <c r="EV334" s="165">
        <f>IF(ISNUMBER(I334),I334,2958465)</f>
        <v>2958465.0</v>
      </c>
      <c r="EW334" s="165" t="str">
        <f>IF(EO334=1,SUMPRODUCT(MIN(($EN$4:$EN$503=EN334)*$EV$4:$EV$503+($EN$4:$EN$503&lt;&gt;EN334)*2958465)),"")</f>
        <v/>
      </c>
      <c r="EX334" s="165">
        <f>IF(AND(D334=1,ISNUMBER(INDEX(Charge!$F:$F,ROW()))),INDEX(Charge!$F:$F,ROW()),0)</f>
        <v>0.0</v>
      </c>
      <c r="EY334" s="165" t="str">
        <f>IF(EO334=1,SUMPRODUCT(MAX(($EN$4:$EN$503=EN334)*$EX$4:$EX$503)),"")</f>
        <v/>
      </c>
      <c r="FA334" t="str">
        <f>IF(331&lt;=$CD$23,INDEX($EJ$4:$EJ$203,331),IF(331-$CD$23&lt;=$CD$26,INDEX($EK$4:$EK$203,331-$CD$23),""))</f>
        <v/>
      </c>
      <c r="FB334" t="str">
        <f>IF(FA334="","",IF(331&lt;=$CD$23,"Interne","Externe"))</f>
        <v/>
      </c>
      <c r="FD334">
        <f>IF(AND(B334=1,TRIM(INDEX(Charge!$K:$K,ROW()))&lt;&gt;"",TRIM(INDEX(Charge!$L:$L,ROW()))&lt;&gt;""),1,0)</f>
        <v>0</v>
      </c>
      <c r="FE334">
        <f>IF(OR(EN334="",BZ334="(non affecté)"),0,IF(COUNTIFS($EN$4:EN334,EN334,$BZ$4:BZ334,BZ334)=1,1,0))</f>
        <v>0</v>
      </c>
    </row>
    <row r="335">
      <c r="A335">
        <f>ROW()</f>
        <v>335</v>
      </c>
      <c r="B335">
        <f>IF(TRIM(INDEX(Charge!$B:$B,ROW()))&lt;&gt;"",1,0)</f>
        <v>0</v>
      </c>
      <c r="C335">
        <f>IF(B335=1,MIN(1,MAX(0,N(INDEX(Charge!$O:$O,ROW())))),0)</f>
        <v>0</v>
      </c>
      <c r="D335">
        <f>IF(B335=1,IF(OR(p_Perimetre="Tous les projets",C335&lt;1),1,0),0)</f>
        <v>0</v>
      </c>
      <c r="E335">
        <f>IF(D335=1,MAX(0,N(INDEX(Charge!$M:$M,ROW()))),0)</f>
        <v>0</v>
      </c>
      <c r="F335" t="str">
        <f>IF(D335=1,IF(TRIM(INDEX(Charge!$A:$A,ROW()))="","(non renseigné)",TRIM(INDEX(Charge!$A:$A,ROW()))),"")</f>
        <v/>
      </c>
      <c r="G335" t="str">
        <f>IF(D335=1,TRIM(INDEX(Charge!$B:$B,ROW())),"")</f>
        <v/>
      </c>
      <c r="H335" t="str">
        <f>IF(D335=1,IF(TRIM(INDEX(Charge!$E:$E,ROW()))="","(non renseigné)",TRIM(INDEX(Charge!$E:$E,ROW()))),"")</f>
        <v/>
      </c>
      <c r="I335" s="165" t="str">
        <f>IF(AND(D335=1,ISNUMBER(INDEX(Charge!$N:$N,ROW()))),INDEX(Charge!$N:$N,ROW()),"")</f>
        <v/>
      </c>
      <c r="J335" s="165" t="str">
        <f>IF(I335="","",IF(AND(p_Repartition="Lissée jusqu'à la date de besoin",ISNUMBER(INDEX(Charge!$F:$F,ROW()))),IF(INDEX(Charge!$F:$F,ROW())&gt;=I335,INDEX(Charge!$F:$F,ROW()),I335),I335))</f>
        <v/>
      </c>
      <c r="K335" t="str">
        <f>IF(I335="","",NETWORKDAYS(I335,J335,Data!$K$4:$K$203))</f>
        <v/>
      </c>
      <c r="L335" t="str">
        <f>IF(D335=1,COUNTIFS($D$4:$D$503,1,$E$4:$E$503,"&gt;"&amp;E335)+COUNTIFS($D$4:$D335,1,$E$4:$E335,E335),"")</f>
        <v/>
      </c>
      <c r="M335">
        <f>IF(F335="",0,IF(COUNTIF($F$4:F335,F335)=1,1,0))</f>
        <v>0</v>
      </c>
      <c r="N335" t="str">
        <f>IF(M335=1,ROUND(SUMIF($F$4:$F$503,F335,$E$4:$E$503),2),"")</f>
        <v/>
      </c>
      <c r="O335" t="str">
        <f>IF(M335=1,COUNTIFS($M$4:$M$503,1,$N$4:$N$503,"&gt;"&amp;N335)+COUNTIFS($M$4:M335,1,$N$4:N335,N335),"")</f>
        <v/>
      </c>
      <c r="P335">
        <f>IF(G335="",0,IF(COUNTIF($G$4:G335,G335)=1,1,0))</f>
        <v>0</v>
      </c>
      <c r="Q335" t="str">
        <f>IF(P335=1,ROUND(SUMIF($G$4:$G$503,G335,$E$4:$E$503),2),"")</f>
        <v/>
      </c>
      <c r="R335" t="str">
        <f>IF(P335=1,COUNTIFS($P$4:$P$503,1,$Q$4:$Q$503,"&gt;"&amp;Q335)+COUNTIFS($P$4:P335,1,$Q$4:Q335,Q335),"")</f>
        <v/>
      </c>
      <c r="S335">
        <f>IF(H335="",0,IF(COUNTIF($H$4:H335,H335)=1,1,0))</f>
        <v>0</v>
      </c>
      <c r="T335" t="str">
        <f>IF(S335=1,ROUND(SUMIF($H$4:$H$503,H335,$E$4:$E$503),2),"")</f>
        <v/>
      </c>
      <c r="U335" t="str">
        <f>IF(S335=1,COUNTIFS($S$4:$S$503,1,$T$4:$T$503,"&gt;"&amp;T335)+COUNTIFS($S$4:S335,1,$T$4:T335,T335),"")</f>
        <v/>
      </c>
      <c r="V335" t="str">
        <f>IF(D335=1,MIN(INDEX($R$4:$R$503,MATCH(G335,$G$4:$G$503,0)),IF($AL$7&gt;9,9,999)),"")</f>
        <v/>
      </c>
      <c r="W335" s="166">
        <f>IF(OR($I335="",$E335=0),0,IF(OR($J335&lt;W$3,$I335&gt;W$2),0,IF($K335=0,IF(AND($I335&gt;=W$3,$I335&lt;=W$2),$E335,0),$E335*NETWORKDAYS(MAX($I335,W$3),MIN($J335,W$2),Data!$K$4:$K$203)/$K335)))</f>
        <v>0</v>
      </c>
      <c r="X335" s="166">
        <f>IF(OR($I335="",$E335=0),0,IF(OR($J335&lt;X$3,$I335&gt;X$2),0,IF($K335=0,IF(AND($I335&gt;=X$3,$I335&lt;=X$2),$E335,0),$E335*NETWORKDAYS(MAX($I335,X$3),MIN($J335,X$2),Data!$K$4:$K$203)/$K335)))</f>
        <v>0</v>
      </c>
      <c r="Y335" s="166">
        <f>IF(OR($I335="",$E335=0),0,IF(OR($J335&lt;Y$3,$I335&gt;Y$2),0,IF($K335=0,IF(AND($I335&gt;=Y$3,$I335&lt;=Y$2),$E335,0),$E335*NETWORKDAYS(MAX($I335,Y$3),MIN($J335,Y$2),Data!$K$4:$K$203)/$K335)))</f>
        <v>0</v>
      </c>
      <c r="Z335" s="166">
        <f>IF(OR($I335="",$E335=0),0,IF(OR($J335&lt;Z$3,$I335&gt;Z$2),0,IF($K335=0,IF(AND($I335&gt;=Z$3,$I335&lt;=Z$2),$E335,0),$E335*NETWORKDAYS(MAX($I335,Z$3),MIN($J335,Z$2),Data!$K$4:$K$203)/$K335)))</f>
        <v>0</v>
      </c>
      <c r="AA335" s="166">
        <f>IF(OR($I335="",$E335=0),0,IF(OR($J335&lt;AA$3,$I335&gt;AA$2),0,IF($K335=0,IF(AND($I335&gt;=AA$3,$I335&lt;=AA$2),$E335,0),$E335*NETWORKDAYS(MAX($I335,AA$3),MIN($J335,AA$2),Data!$K$4:$K$203)/$K335)))</f>
        <v>0</v>
      </c>
      <c r="AB335" s="166">
        <f>IF(OR($I335="",$E335=0),0,IF(OR($J335&lt;AB$3,$I335&gt;AB$2),0,IF($K335=0,IF(AND($I335&gt;=AB$3,$I335&lt;=AB$2),$E335,0),$E335*NETWORKDAYS(MAX($I335,AB$3),MIN($J335,AB$2),Data!$K$4:$K$203)/$K335)))</f>
        <v>0</v>
      </c>
      <c r="AC335" s="166">
        <f>IF(OR($I335="",$E335=0),0,IF(OR($J335&lt;AC$3,$I335&gt;AC$2),0,IF($K335=0,IF(AND($I335&gt;=AC$3,$I335&lt;=AC$2),$E335,0),$E335*NETWORKDAYS(MAX($I335,AC$3),MIN($J335,AC$2),Data!$K$4:$K$203)/$K335)))</f>
        <v>0</v>
      </c>
      <c r="AD335" s="166">
        <f>IF(OR($I335="",$E335=0),0,IF(OR($J335&lt;AD$3,$I335&gt;AD$2),0,IF($K335=0,IF(AND($I335&gt;=AD$3,$I335&lt;=AD$2),$E335,0),$E335*NETWORKDAYS(MAX($I335,AD$3),MIN($J335,AD$2),Data!$K$4:$K$203)/$K335)))</f>
        <v>0</v>
      </c>
      <c r="AE335" s="166">
        <f>IF(OR($I335="",$E335=0),0,IF(OR($J335&lt;AE$3,$I335&gt;AE$2),0,IF($K335=0,IF(AND($I335&gt;=AE$3,$I335&lt;=AE$2),$E335,0),$E335*NETWORKDAYS(MAX($I335,AE$3),MIN($J335,AE$2),Data!$K$4:$K$203)/$K335)))</f>
        <v>0</v>
      </c>
      <c r="AF335" s="166">
        <f>IF(OR($I335="",$E335=0),0,IF(OR($J335&lt;AF$3,$I335&gt;AF$2),0,IF($K335=0,IF(AND($I335&gt;=AF$3,$I335&lt;=AF$2),$E335,0),$E335*NETWORKDAYS(MAX($I335,AF$3),MIN($J335,AF$2),Data!$K$4:$K$203)/$K335)))</f>
        <v>0</v>
      </c>
      <c r="AG335" s="166">
        <f>IF(OR($I335="",$E335=0),0,IF(OR($J335&lt;AG$3,$I335&gt;AG$2),0,IF($K335=0,IF(AND($I335&gt;=AG$3,$I335&lt;=AG$2),$E335,0),$E335*NETWORKDAYS(MAX($I335,AG$3),MIN($J335,AG$2),Data!$K$4:$K$203)/$K335)))</f>
        <v>0</v>
      </c>
      <c r="AH335" s="166">
        <f>IF(OR($I335="",$E335=0),0,IF(OR($J335&lt;AH$3,$I335&gt;AH$2),0,IF($K335=0,IF(AND($I335&gt;=AH$3,$I335&lt;=AH$2),$E335,0),$E335*NETWORKDAYS(MAX($I335,AH$3),MIN($J335,AH$2),Data!$K$4:$K$203)/$K335)))</f>
        <v>0</v>
      </c>
      <c r="AI335" s="166">
        <f>SUM(W335:AH335)</f>
        <v>0</v>
      </c>
      <c r="BZ335" t="str">
        <f>IF(D335=1,IF(TRIM(INDEX(Charge!$K:$K,ROW()))&lt;&gt;"",TRIM(INDEX(Charge!$K:$K,ROW())),IF(TRIM(INDEX(Charge!$L:$L,ROW()))&lt;&gt;"",TRIM(INDEX(Charge!$L:$L,ROW())),"(non affecté)")),"")</f>
        <v/>
      </c>
      <c r="CA335" t="str">
        <f>IF(AND($CD$4&lt;&gt;"",BZ335=$CD$4),COUNTIFS($BZ$4:$BZ$503,$CD$4,$L$4:$L$503,"&lt;"&amp;L335)+1,"")</f>
        <v/>
      </c>
      <c r="EM335" t="str">
        <f>IF(D335=1,IF(TRIM(INDEX(Charge!$K:$K,ROW()))&lt;&gt;"","Interne",IF(TRIM(INDEX(Charge!$L:$L,ROW()))&lt;&gt;"","Externe","Non affecté")),"")</f>
        <v/>
      </c>
      <c r="EN335" t="str">
        <f>IF(D335=1,LEFT(SUBSTITUTE(SUBSTITUTE(SUBSTITUTE(TRIM(SUBSTITUTE(INDEX(Charge!$B:$B,ROW()),CHAR(160)," "))&amp;" | "&amp;TRIM(SUBSTITUTE(INDEX(Charge!$C:$C,ROW()),CHAR(160)," "))&amp;" | "&amp;TRIM(SUBSTITUTE(INDEX(Charge!$D:$D,ROW()),CHAR(160)," ")),"~","-"),"*","+"),"?","!"),240),"")</f>
        <v/>
      </c>
      <c r="EO335">
        <f>IF(EN335="",0,IF(COUNTIF($EN$4:EN335,EN335)=1,1,0))</f>
        <v>0</v>
      </c>
      <c r="EP335" s="166" t="str">
        <f>IF(EO335=1,ROUND(SUMIF($EN$4:$EN$503,EN335,$E$4:$E$503),2),"")</f>
        <v/>
      </c>
      <c r="EQ335" t="str">
        <f>IF(EO335=1,COUNTIFS($EO$4:$EO$503,1,$EP$4:$EP$503,"&gt;"&amp;EP335)+COUNTIFS($EO$4:EO335,1,$EP$4:EP335,EP335),"")</f>
        <v/>
      </c>
      <c r="ER335" t="str">
        <f>IF(EO335=1,COUNTIFS($EN$4:$EN$503,EN335,$EM$4:$EM$503,"Interne",$FE$4:$FE$503,1),"")</f>
        <v/>
      </c>
      <c r="ES335" t="str">
        <f>IF(EO335=1,COUNTIFS($EN$4:$EN$503,EN335,$EM$4:$EM$503,"Externe",$FE$4:$FE$503,1),"")</f>
        <v/>
      </c>
      <c r="ET335" t="str">
        <f>IF(EO335=1,IF(ER335+ES335=0,"à affecter",IF(ER335=0,ES335&amp;" ext.",(ER335+ES335)&amp;IF(ES335&gt;0," dont "&amp;ES335&amp;" ext.",""))&amp;IF(COUNTIFS($EN$4:$EN$503,EN335,$EM$4:$EM$503,"Non affecté")&gt;0," + à affecter","")),"")</f>
        <v/>
      </c>
      <c r="EU335" s="170" t="str">
        <f>IF(EO335=1,IF(EP335&gt;0,SUMPRODUCT(($EN$4:$EN$503=EN335)*$E$4:$E$503*$C$4:$C$503)/EP335,AVERAGEIF($EN$4:$EN$503,EN335,$C$4:$C$503)),"")</f>
        <v/>
      </c>
      <c r="EV335" s="165">
        <f>IF(ISNUMBER(I335),I335,2958465)</f>
        <v>2958465.0</v>
      </c>
      <c r="EW335" s="165" t="str">
        <f>IF(EO335=1,SUMPRODUCT(MIN(($EN$4:$EN$503=EN335)*$EV$4:$EV$503+($EN$4:$EN$503&lt;&gt;EN335)*2958465)),"")</f>
        <v/>
      </c>
      <c r="EX335" s="165">
        <f>IF(AND(D335=1,ISNUMBER(INDEX(Charge!$F:$F,ROW()))),INDEX(Charge!$F:$F,ROW()),0)</f>
        <v>0.0</v>
      </c>
      <c r="EY335" s="165" t="str">
        <f>IF(EO335=1,SUMPRODUCT(MAX(($EN$4:$EN$503=EN335)*$EX$4:$EX$503)),"")</f>
        <v/>
      </c>
      <c r="FA335" t="str">
        <f>IF(332&lt;=$CD$23,INDEX($EJ$4:$EJ$203,332),IF(332-$CD$23&lt;=$CD$26,INDEX($EK$4:$EK$203,332-$CD$23),""))</f>
        <v/>
      </c>
      <c r="FB335" t="str">
        <f>IF(FA335="","",IF(332&lt;=$CD$23,"Interne","Externe"))</f>
        <v/>
      </c>
      <c r="FD335">
        <f>IF(AND(B335=1,TRIM(INDEX(Charge!$K:$K,ROW()))&lt;&gt;"",TRIM(INDEX(Charge!$L:$L,ROW()))&lt;&gt;""),1,0)</f>
        <v>0</v>
      </c>
      <c r="FE335">
        <f>IF(OR(EN335="",BZ335="(non affecté)"),0,IF(COUNTIFS($EN$4:EN335,EN335,$BZ$4:BZ335,BZ335)=1,1,0))</f>
        <v>0</v>
      </c>
    </row>
    <row r="336">
      <c r="A336">
        <f>ROW()</f>
        <v>336</v>
      </c>
      <c r="B336">
        <f>IF(TRIM(INDEX(Charge!$B:$B,ROW()))&lt;&gt;"",1,0)</f>
        <v>0</v>
      </c>
      <c r="C336">
        <f>IF(B336=1,MIN(1,MAX(0,N(INDEX(Charge!$O:$O,ROW())))),0)</f>
        <v>0</v>
      </c>
      <c r="D336">
        <f>IF(B336=1,IF(OR(p_Perimetre="Tous les projets",C336&lt;1),1,0),0)</f>
        <v>0</v>
      </c>
      <c r="E336">
        <f>IF(D336=1,MAX(0,N(INDEX(Charge!$M:$M,ROW()))),0)</f>
        <v>0</v>
      </c>
      <c r="F336" t="str">
        <f>IF(D336=1,IF(TRIM(INDEX(Charge!$A:$A,ROW()))="","(non renseigné)",TRIM(INDEX(Charge!$A:$A,ROW()))),"")</f>
        <v/>
      </c>
      <c r="G336" t="str">
        <f>IF(D336=1,TRIM(INDEX(Charge!$B:$B,ROW())),"")</f>
        <v/>
      </c>
      <c r="H336" t="str">
        <f>IF(D336=1,IF(TRIM(INDEX(Charge!$E:$E,ROW()))="","(non renseigné)",TRIM(INDEX(Charge!$E:$E,ROW()))),"")</f>
        <v/>
      </c>
      <c r="I336" s="165" t="str">
        <f>IF(AND(D336=1,ISNUMBER(INDEX(Charge!$N:$N,ROW()))),INDEX(Charge!$N:$N,ROW()),"")</f>
        <v/>
      </c>
      <c r="J336" s="165" t="str">
        <f>IF(I336="","",IF(AND(p_Repartition="Lissée jusqu'à la date de besoin",ISNUMBER(INDEX(Charge!$F:$F,ROW()))),IF(INDEX(Charge!$F:$F,ROW())&gt;=I336,INDEX(Charge!$F:$F,ROW()),I336),I336))</f>
        <v/>
      </c>
      <c r="K336" t="str">
        <f>IF(I336="","",NETWORKDAYS(I336,J336,Data!$K$4:$K$203))</f>
        <v/>
      </c>
      <c r="L336" t="str">
        <f>IF(D336=1,COUNTIFS($D$4:$D$503,1,$E$4:$E$503,"&gt;"&amp;E336)+COUNTIFS($D$4:$D336,1,$E$4:$E336,E336),"")</f>
        <v/>
      </c>
      <c r="M336">
        <f>IF(F336="",0,IF(COUNTIF($F$4:F336,F336)=1,1,0))</f>
        <v>0</v>
      </c>
      <c r="N336" t="str">
        <f>IF(M336=1,ROUND(SUMIF($F$4:$F$503,F336,$E$4:$E$503),2),"")</f>
        <v/>
      </c>
      <c r="O336" t="str">
        <f>IF(M336=1,COUNTIFS($M$4:$M$503,1,$N$4:$N$503,"&gt;"&amp;N336)+COUNTIFS($M$4:M336,1,$N$4:N336,N336),"")</f>
        <v/>
      </c>
      <c r="P336">
        <f>IF(G336="",0,IF(COUNTIF($G$4:G336,G336)=1,1,0))</f>
        <v>0</v>
      </c>
      <c r="Q336" t="str">
        <f>IF(P336=1,ROUND(SUMIF($G$4:$G$503,G336,$E$4:$E$503),2),"")</f>
        <v/>
      </c>
      <c r="R336" t="str">
        <f>IF(P336=1,COUNTIFS($P$4:$P$503,1,$Q$4:$Q$503,"&gt;"&amp;Q336)+COUNTIFS($P$4:P336,1,$Q$4:Q336,Q336),"")</f>
        <v/>
      </c>
      <c r="S336">
        <f>IF(H336="",0,IF(COUNTIF($H$4:H336,H336)=1,1,0))</f>
        <v>0</v>
      </c>
      <c r="T336" t="str">
        <f>IF(S336=1,ROUND(SUMIF($H$4:$H$503,H336,$E$4:$E$503),2),"")</f>
        <v/>
      </c>
      <c r="U336" t="str">
        <f>IF(S336=1,COUNTIFS($S$4:$S$503,1,$T$4:$T$503,"&gt;"&amp;T336)+COUNTIFS($S$4:S336,1,$T$4:T336,T336),"")</f>
        <v/>
      </c>
      <c r="V336" t="str">
        <f>IF(D336=1,MIN(INDEX($R$4:$R$503,MATCH(G336,$G$4:$G$503,0)),IF($AL$7&gt;9,9,999)),"")</f>
        <v/>
      </c>
      <c r="W336" s="166">
        <f>IF(OR($I336="",$E336=0),0,IF(OR($J336&lt;W$3,$I336&gt;W$2),0,IF($K336=0,IF(AND($I336&gt;=W$3,$I336&lt;=W$2),$E336,0),$E336*NETWORKDAYS(MAX($I336,W$3),MIN($J336,W$2),Data!$K$4:$K$203)/$K336)))</f>
        <v>0</v>
      </c>
      <c r="X336" s="166">
        <f>IF(OR($I336="",$E336=0),0,IF(OR($J336&lt;X$3,$I336&gt;X$2),0,IF($K336=0,IF(AND($I336&gt;=X$3,$I336&lt;=X$2),$E336,0),$E336*NETWORKDAYS(MAX($I336,X$3),MIN($J336,X$2),Data!$K$4:$K$203)/$K336)))</f>
        <v>0</v>
      </c>
      <c r="Y336" s="166">
        <f>IF(OR($I336="",$E336=0),0,IF(OR($J336&lt;Y$3,$I336&gt;Y$2),0,IF($K336=0,IF(AND($I336&gt;=Y$3,$I336&lt;=Y$2),$E336,0),$E336*NETWORKDAYS(MAX($I336,Y$3),MIN($J336,Y$2),Data!$K$4:$K$203)/$K336)))</f>
        <v>0</v>
      </c>
      <c r="Z336" s="166">
        <f>IF(OR($I336="",$E336=0),0,IF(OR($J336&lt;Z$3,$I336&gt;Z$2),0,IF($K336=0,IF(AND($I336&gt;=Z$3,$I336&lt;=Z$2),$E336,0),$E336*NETWORKDAYS(MAX($I336,Z$3),MIN($J336,Z$2),Data!$K$4:$K$203)/$K336)))</f>
        <v>0</v>
      </c>
      <c r="AA336" s="166">
        <f>IF(OR($I336="",$E336=0),0,IF(OR($J336&lt;AA$3,$I336&gt;AA$2),0,IF($K336=0,IF(AND($I336&gt;=AA$3,$I336&lt;=AA$2),$E336,0),$E336*NETWORKDAYS(MAX($I336,AA$3),MIN($J336,AA$2),Data!$K$4:$K$203)/$K336)))</f>
        <v>0</v>
      </c>
      <c r="AB336" s="166">
        <f>IF(OR($I336="",$E336=0),0,IF(OR($J336&lt;AB$3,$I336&gt;AB$2),0,IF($K336=0,IF(AND($I336&gt;=AB$3,$I336&lt;=AB$2),$E336,0),$E336*NETWORKDAYS(MAX($I336,AB$3),MIN($J336,AB$2),Data!$K$4:$K$203)/$K336)))</f>
        <v>0</v>
      </c>
      <c r="AC336" s="166">
        <f>IF(OR($I336="",$E336=0),0,IF(OR($J336&lt;AC$3,$I336&gt;AC$2),0,IF($K336=0,IF(AND($I336&gt;=AC$3,$I336&lt;=AC$2),$E336,0),$E336*NETWORKDAYS(MAX($I336,AC$3),MIN($J336,AC$2),Data!$K$4:$K$203)/$K336)))</f>
        <v>0</v>
      </c>
      <c r="AD336" s="166">
        <f>IF(OR($I336="",$E336=0),0,IF(OR($J336&lt;AD$3,$I336&gt;AD$2),0,IF($K336=0,IF(AND($I336&gt;=AD$3,$I336&lt;=AD$2),$E336,0),$E336*NETWORKDAYS(MAX($I336,AD$3),MIN($J336,AD$2),Data!$K$4:$K$203)/$K336)))</f>
        <v>0</v>
      </c>
      <c r="AE336" s="166">
        <f>IF(OR($I336="",$E336=0),0,IF(OR($J336&lt;AE$3,$I336&gt;AE$2),0,IF($K336=0,IF(AND($I336&gt;=AE$3,$I336&lt;=AE$2),$E336,0),$E336*NETWORKDAYS(MAX($I336,AE$3),MIN($J336,AE$2),Data!$K$4:$K$203)/$K336)))</f>
        <v>0</v>
      </c>
      <c r="AF336" s="166">
        <f>IF(OR($I336="",$E336=0),0,IF(OR($J336&lt;AF$3,$I336&gt;AF$2),0,IF($K336=0,IF(AND($I336&gt;=AF$3,$I336&lt;=AF$2),$E336,0),$E336*NETWORKDAYS(MAX($I336,AF$3),MIN($J336,AF$2),Data!$K$4:$K$203)/$K336)))</f>
        <v>0</v>
      </c>
      <c r="AG336" s="166">
        <f>IF(OR($I336="",$E336=0),0,IF(OR($J336&lt;AG$3,$I336&gt;AG$2),0,IF($K336=0,IF(AND($I336&gt;=AG$3,$I336&lt;=AG$2),$E336,0),$E336*NETWORKDAYS(MAX($I336,AG$3),MIN($J336,AG$2),Data!$K$4:$K$203)/$K336)))</f>
        <v>0</v>
      </c>
      <c r="AH336" s="166">
        <f>IF(OR($I336="",$E336=0),0,IF(OR($J336&lt;AH$3,$I336&gt;AH$2),0,IF($K336=0,IF(AND($I336&gt;=AH$3,$I336&lt;=AH$2),$E336,0),$E336*NETWORKDAYS(MAX($I336,AH$3),MIN($J336,AH$2),Data!$K$4:$K$203)/$K336)))</f>
        <v>0</v>
      </c>
      <c r="AI336" s="166">
        <f>SUM(W336:AH336)</f>
        <v>0</v>
      </c>
      <c r="BZ336" t="str">
        <f>IF(D336=1,IF(TRIM(INDEX(Charge!$K:$K,ROW()))&lt;&gt;"",TRIM(INDEX(Charge!$K:$K,ROW())),IF(TRIM(INDEX(Charge!$L:$L,ROW()))&lt;&gt;"",TRIM(INDEX(Charge!$L:$L,ROW())),"(non affecté)")),"")</f>
        <v/>
      </c>
      <c r="CA336" t="str">
        <f>IF(AND($CD$4&lt;&gt;"",BZ336=$CD$4),COUNTIFS($BZ$4:$BZ$503,$CD$4,$L$4:$L$503,"&lt;"&amp;L336)+1,"")</f>
        <v/>
      </c>
      <c r="EM336" t="str">
        <f>IF(D336=1,IF(TRIM(INDEX(Charge!$K:$K,ROW()))&lt;&gt;"","Interne",IF(TRIM(INDEX(Charge!$L:$L,ROW()))&lt;&gt;"","Externe","Non affecté")),"")</f>
        <v/>
      </c>
      <c r="EN336" t="str">
        <f>IF(D336=1,LEFT(SUBSTITUTE(SUBSTITUTE(SUBSTITUTE(TRIM(SUBSTITUTE(INDEX(Charge!$B:$B,ROW()),CHAR(160)," "))&amp;" | "&amp;TRIM(SUBSTITUTE(INDEX(Charge!$C:$C,ROW()),CHAR(160)," "))&amp;" | "&amp;TRIM(SUBSTITUTE(INDEX(Charge!$D:$D,ROW()),CHAR(160)," ")),"~","-"),"*","+"),"?","!"),240),"")</f>
        <v/>
      </c>
      <c r="EO336">
        <f>IF(EN336="",0,IF(COUNTIF($EN$4:EN336,EN336)=1,1,0))</f>
        <v>0</v>
      </c>
      <c r="EP336" s="166" t="str">
        <f>IF(EO336=1,ROUND(SUMIF($EN$4:$EN$503,EN336,$E$4:$E$503),2),"")</f>
        <v/>
      </c>
      <c r="EQ336" t="str">
        <f>IF(EO336=1,COUNTIFS($EO$4:$EO$503,1,$EP$4:$EP$503,"&gt;"&amp;EP336)+COUNTIFS($EO$4:EO336,1,$EP$4:EP336,EP336),"")</f>
        <v/>
      </c>
      <c r="ER336" t="str">
        <f>IF(EO336=1,COUNTIFS($EN$4:$EN$503,EN336,$EM$4:$EM$503,"Interne",$FE$4:$FE$503,1),"")</f>
        <v/>
      </c>
      <c r="ES336" t="str">
        <f>IF(EO336=1,COUNTIFS($EN$4:$EN$503,EN336,$EM$4:$EM$503,"Externe",$FE$4:$FE$503,1),"")</f>
        <v/>
      </c>
      <c r="ET336" t="str">
        <f>IF(EO336=1,IF(ER336+ES336=0,"à affecter",IF(ER336=0,ES336&amp;" ext.",(ER336+ES336)&amp;IF(ES336&gt;0," dont "&amp;ES336&amp;" ext.",""))&amp;IF(COUNTIFS($EN$4:$EN$503,EN336,$EM$4:$EM$503,"Non affecté")&gt;0," + à affecter","")),"")</f>
        <v/>
      </c>
      <c r="EU336" s="170" t="str">
        <f>IF(EO336=1,IF(EP336&gt;0,SUMPRODUCT(($EN$4:$EN$503=EN336)*$E$4:$E$503*$C$4:$C$503)/EP336,AVERAGEIF($EN$4:$EN$503,EN336,$C$4:$C$503)),"")</f>
        <v/>
      </c>
      <c r="EV336" s="165">
        <f>IF(ISNUMBER(I336),I336,2958465)</f>
        <v>2958465.0</v>
      </c>
      <c r="EW336" s="165" t="str">
        <f>IF(EO336=1,SUMPRODUCT(MIN(($EN$4:$EN$503=EN336)*$EV$4:$EV$503+($EN$4:$EN$503&lt;&gt;EN336)*2958465)),"")</f>
        <v/>
      </c>
      <c r="EX336" s="165">
        <f>IF(AND(D336=1,ISNUMBER(INDEX(Charge!$F:$F,ROW()))),INDEX(Charge!$F:$F,ROW()),0)</f>
        <v>0.0</v>
      </c>
      <c r="EY336" s="165" t="str">
        <f>IF(EO336=1,SUMPRODUCT(MAX(($EN$4:$EN$503=EN336)*$EX$4:$EX$503)),"")</f>
        <v/>
      </c>
      <c r="FA336" t="str">
        <f>IF(333&lt;=$CD$23,INDEX($EJ$4:$EJ$203,333),IF(333-$CD$23&lt;=$CD$26,INDEX($EK$4:$EK$203,333-$CD$23),""))</f>
        <v/>
      </c>
      <c r="FB336" t="str">
        <f>IF(FA336="","",IF(333&lt;=$CD$23,"Interne","Externe"))</f>
        <v/>
      </c>
      <c r="FD336">
        <f>IF(AND(B336=1,TRIM(INDEX(Charge!$K:$K,ROW()))&lt;&gt;"",TRIM(INDEX(Charge!$L:$L,ROW()))&lt;&gt;""),1,0)</f>
        <v>0</v>
      </c>
      <c r="FE336">
        <f>IF(OR(EN336="",BZ336="(non affecté)"),0,IF(COUNTIFS($EN$4:EN336,EN336,$BZ$4:BZ336,BZ336)=1,1,0))</f>
        <v>0</v>
      </c>
    </row>
    <row r="337">
      <c r="A337">
        <f>ROW()</f>
        <v>337</v>
      </c>
      <c r="B337">
        <f>IF(TRIM(INDEX(Charge!$B:$B,ROW()))&lt;&gt;"",1,0)</f>
        <v>0</v>
      </c>
      <c r="C337">
        <f>IF(B337=1,MIN(1,MAX(0,N(INDEX(Charge!$O:$O,ROW())))),0)</f>
        <v>0</v>
      </c>
      <c r="D337">
        <f>IF(B337=1,IF(OR(p_Perimetre="Tous les projets",C337&lt;1),1,0),0)</f>
        <v>0</v>
      </c>
      <c r="E337">
        <f>IF(D337=1,MAX(0,N(INDEX(Charge!$M:$M,ROW()))),0)</f>
        <v>0</v>
      </c>
      <c r="F337" t="str">
        <f>IF(D337=1,IF(TRIM(INDEX(Charge!$A:$A,ROW()))="","(non renseigné)",TRIM(INDEX(Charge!$A:$A,ROW()))),"")</f>
        <v/>
      </c>
      <c r="G337" t="str">
        <f>IF(D337=1,TRIM(INDEX(Charge!$B:$B,ROW())),"")</f>
        <v/>
      </c>
      <c r="H337" t="str">
        <f>IF(D337=1,IF(TRIM(INDEX(Charge!$E:$E,ROW()))="","(non renseigné)",TRIM(INDEX(Charge!$E:$E,ROW()))),"")</f>
        <v/>
      </c>
      <c r="I337" s="165" t="str">
        <f>IF(AND(D337=1,ISNUMBER(INDEX(Charge!$N:$N,ROW()))),INDEX(Charge!$N:$N,ROW()),"")</f>
        <v/>
      </c>
      <c r="J337" s="165" t="str">
        <f>IF(I337="","",IF(AND(p_Repartition="Lissée jusqu'à la date de besoin",ISNUMBER(INDEX(Charge!$F:$F,ROW()))),IF(INDEX(Charge!$F:$F,ROW())&gt;=I337,INDEX(Charge!$F:$F,ROW()),I337),I337))</f>
        <v/>
      </c>
      <c r="K337" t="str">
        <f>IF(I337="","",NETWORKDAYS(I337,J337,Data!$K$4:$K$203))</f>
        <v/>
      </c>
      <c r="L337" t="str">
        <f>IF(D337=1,COUNTIFS($D$4:$D$503,1,$E$4:$E$503,"&gt;"&amp;E337)+COUNTIFS($D$4:$D337,1,$E$4:$E337,E337),"")</f>
        <v/>
      </c>
      <c r="M337">
        <f>IF(F337="",0,IF(COUNTIF($F$4:F337,F337)=1,1,0))</f>
        <v>0</v>
      </c>
      <c r="N337" t="str">
        <f>IF(M337=1,ROUND(SUMIF($F$4:$F$503,F337,$E$4:$E$503),2),"")</f>
        <v/>
      </c>
      <c r="O337" t="str">
        <f>IF(M337=1,COUNTIFS($M$4:$M$503,1,$N$4:$N$503,"&gt;"&amp;N337)+COUNTIFS($M$4:M337,1,$N$4:N337,N337),"")</f>
        <v/>
      </c>
      <c r="P337">
        <f>IF(G337="",0,IF(COUNTIF($G$4:G337,G337)=1,1,0))</f>
        <v>0</v>
      </c>
      <c r="Q337" t="str">
        <f>IF(P337=1,ROUND(SUMIF($G$4:$G$503,G337,$E$4:$E$503),2),"")</f>
        <v/>
      </c>
      <c r="R337" t="str">
        <f>IF(P337=1,COUNTIFS($P$4:$P$503,1,$Q$4:$Q$503,"&gt;"&amp;Q337)+COUNTIFS($P$4:P337,1,$Q$4:Q337,Q337),"")</f>
        <v/>
      </c>
      <c r="S337">
        <f>IF(H337="",0,IF(COUNTIF($H$4:H337,H337)=1,1,0))</f>
        <v>0</v>
      </c>
      <c r="T337" t="str">
        <f>IF(S337=1,ROUND(SUMIF($H$4:$H$503,H337,$E$4:$E$503),2),"")</f>
        <v/>
      </c>
      <c r="U337" t="str">
        <f>IF(S337=1,COUNTIFS($S$4:$S$503,1,$T$4:$T$503,"&gt;"&amp;T337)+COUNTIFS($S$4:S337,1,$T$4:T337,T337),"")</f>
        <v/>
      </c>
      <c r="V337" t="str">
        <f>IF(D337=1,MIN(INDEX($R$4:$R$503,MATCH(G337,$G$4:$G$503,0)),IF($AL$7&gt;9,9,999)),"")</f>
        <v/>
      </c>
      <c r="W337" s="166">
        <f>IF(OR($I337="",$E337=0),0,IF(OR($J337&lt;W$3,$I337&gt;W$2),0,IF($K337=0,IF(AND($I337&gt;=W$3,$I337&lt;=W$2),$E337,0),$E337*NETWORKDAYS(MAX($I337,W$3),MIN($J337,W$2),Data!$K$4:$K$203)/$K337)))</f>
        <v>0</v>
      </c>
      <c r="X337" s="166">
        <f>IF(OR($I337="",$E337=0),0,IF(OR($J337&lt;X$3,$I337&gt;X$2),0,IF($K337=0,IF(AND($I337&gt;=X$3,$I337&lt;=X$2),$E337,0),$E337*NETWORKDAYS(MAX($I337,X$3),MIN($J337,X$2),Data!$K$4:$K$203)/$K337)))</f>
        <v>0</v>
      </c>
      <c r="Y337" s="166">
        <f>IF(OR($I337="",$E337=0),0,IF(OR($J337&lt;Y$3,$I337&gt;Y$2),0,IF($K337=0,IF(AND($I337&gt;=Y$3,$I337&lt;=Y$2),$E337,0),$E337*NETWORKDAYS(MAX($I337,Y$3),MIN($J337,Y$2),Data!$K$4:$K$203)/$K337)))</f>
        <v>0</v>
      </c>
      <c r="Z337" s="166">
        <f>IF(OR($I337="",$E337=0),0,IF(OR($J337&lt;Z$3,$I337&gt;Z$2),0,IF($K337=0,IF(AND($I337&gt;=Z$3,$I337&lt;=Z$2),$E337,0),$E337*NETWORKDAYS(MAX($I337,Z$3),MIN($J337,Z$2),Data!$K$4:$K$203)/$K337)))</f>
        <v>0</v>
      </c>
      <c r="AA337" s="166">
        <f>IF(OR($I337="",$E337=0),0,IF(OR($J337&lt;AA$3,$I337&gt;AA$2),0,IF($K337=0,IF(AND($I337&gt;=AA$3,$I337&lt;=AA$2),$E337,0),$E337*NETWORKDAYS(MAX($I337,AA$3),MIN($J337,AA$2),Data!$K$4:$K$203)/$K337)))</f>
        <v>0</v>
      </c>
      <c r="AB337" s="166">
        <f>IF(OR($I337="",$E337=0),0,IF(OR($J337&lt;AB$3,$I337&gt;AB$2),0,IF($K337=0,IF(AND($I337&gt;=AB$3,$I337&lt;=AB$2),$E337,0),$E337*NETWORKDAYS(MAX($I337,AB$3),MIN($J337,AB$2),Data!$K$4:$K$203)/$K337)))</f>
        <v>0</v>
      </c>
      <c r="AC337" s="166">
        <f>IF(OR($I337="",$E337=0),0,IF(OR($J337&lt;AC$3,$I337&gt;AC$2),0,IF($K337=0,IF(AND($I337&gt;=AC$3,$I337&lt;=AC$2),$E337,0),$E337*NETWORKDAYS(MAX($I337,AC$3),MIN($J337,AC$2),Data!$K$4:$K$203)/$K337)))</f>
        <v>0</v>
      </c>
      <c r="AD337" s="166">
        <f>IF(OR($I337="",$E337=0),0,IF(OR($J337&lt;AD$3,$I337&gt;AD$2),0,IF($K337=0,IF(AND($I337&gt;=AD$3,$I337&lt;=AD$2),$E337,0),$E337*NETWORKDAYS(MAX($I337,AD$3),MIN($J337,AD$2),Data!$K$4:$K$203)/$K337)))</f>
        <v>0</v>
      </c>
      <c r="AE337" s="166">
        <f>IF(OR($I337="",$E337=0),0,IF(OR($J337&lt;AE$3,$I337&gt;AE$2),0,IF($K337=0,IF(AND($I337&gt;=AE$3,$I337&lt;=AE$2),$E337,0),$E337*NETWORKDAYS(MAX($I337,AE$3),MIN($J337,AE$2),Data!$K$4:$K$203)/$K337)))</f>
        <v>0</v>
      </c>
      <c r="AF337" s="166">
        <f>IF(OR($I337="",$E337=0),0,IF(OR($J337&lt;AF$3,$I337&gt;AF$2),0,IF($K337=0,IF(AND($I337&gt;=AF$3,$I337&lt;=AF$2),$E337,0),$E337*NETWORKDAYS(MAX($I337,AF$3),MIN($J337,AF$2),Data!$K$4:$K$203)/$K337)))</f>
        <v>0</v>
      </c>
      <c r="AG337" s="166">
        <f>IF(OR($I337="",$E337=0),0,IF(OR($J337&lt;AG$3,$I337&gt;AG$2),0,IF($K337=0,IF(AND($I337&gt;=AG$3,$I337&lt;=AG$2),$E337,0),$E337*NETWORKDAYS(MAX($I337,AG$3),MIN($J337,AG$2),Data!$K$4:$K$203)/$K337)))</f>
        <v>0</v>
      </c>
      <c r="AH337" s="166">
        <f>IF(OR($I337="",$E337=0),0,IF(OR($J337&lt;AH$3,$I337&gt;AH$2),0,IF($K337=0,IF(AND($I337&gt;=AH$3,$I337&lt;=AH$2),$E337,0),$E337*NETWORKDAYS(MAX($I337,AH$3),MIN($J337,AH$2),Data!$K$4:$K$203)/$K337)))</f>
        <v>0</v>
      </c>
      <c r="AI337" s="166">
        <f>SUM(W337:AH337)</f>
        <v>0</v>
      </c>
      <c r="BZ337" t="str">
        <f>IF(D337=1,IF(TRIM(INDEX(Charge!$K:$K,ROW()))&lt;&gt;"",TRIM(INDEX(Charge!$K:$K,ROW())),IF(TRIM(INDEX(Charge!$L:$L,ROW()))&lt;&gt;"",TRIM(INDEX(Charge!$L:$L,ROW())),"(non affecté)")),"")</f>
        <v/>
      </c>
      <c r="CA337" t="str">
        <f>IF(AND($CD$4&lt;&gt;"",BZ337=$CD$4),COUNTIFS($BZ$4:$BZ$503,$CD$4,$L$4:$L$503,"&lt;"&amp;L337)+1,"")</f>
        <v/>
      </c>
      <c r="EM337" t="str">
        <f>IF(D337=1,IF(TRIM(INDEX(Charge!$K:$K,ROW()))&lt;&gt;"","Interne",IF(TRIM(INDEX(Charge!$L:$L,ROW()))&lt;&gt;"","Externe","Non affecté")),"")</f>
        <v/>
      </c>
      <c r="EN337" t="str">
        <f>IF(D337=1,LEFT(SUBSTITUTE(SUBSTITUTE(SUBSTITUTE(TRIM(SUBSTITUTE(INDEX(Charge!$B:$B,ROW()),CHAR(160)," "))&amp;" | "&amp;TRIM(SUBSTITUTE(INDEX(Charge!$C:$C,ROW()),CHAR(160)," "))&amp;" | "&amp;TRIM(SUBSTITUTE(INDEX(Charge!$D:$D,ROW()),CHAR(160)," ")),"~","-"),"*","+"),"?","!"),240),"")</f>
        <v/>
      </c>
      <c r="EO337">
        <f>IF(EN337="",0,IF(COUNTIF($EN$4:EN337,EN337)=1,1,0))</f>
        <v>0</v>
      </c>
      <c r="EP337" s="166" t="str">
        <f>IF(EO337=1,ROUND(SUMIF($EN$4:$EN$503,EN337,$E$4:$E$503),2),"")</f>
        <v/>
      </c>
      <c r="EQ337" t="str">
        <f>IF(EO337=1,COUNTIFS($EO$4:$EO$503,1,$EP$4:$EP$503,"&gt;"&amp;EP337)+COUNTIFS($EO$4:EO337,1,$EP$4:EP337,EP337),"")</f>
        <v/>
      </c>
      <c r="ER337" t="str">
        <f>IF(EO337=1,COUNTIFS($EN$4:$EN$503,EN337,$EM$4:$EM$503,"Interne",$FE$4:$FE$503,1),"")</f>
        <v/>
      </c>
      <c r="ES337" t="str">
        <f>IF(EO337=1,COUNTIFS($EN$4:$EN$503,EN337,$EM$4:$EM$503,"Externe",$FE$4:$FE$503,1),"")</f>
        <v/>
      </c>
      <c r="ET337" t="str">
        <f>IF(EO337=1,IF(ER337+ES337=0,"à affecter",IF(ER337=0,ES337&amp;" ext.",(ER337+ES337)&amp;IF(ES337&gt;0," dont "&amp;ES337&amp;" ext.",""))&amp;IF(COUNTIFS($EN$4:$EN$503,EN337,$EM$4:$EM$503,"Non affecté")&gt;0," + à affecter","")),"")</f>
        <v/>
      </c>
      <c r="EU337" s="170" t="str">
        <f>IF(EO337=1,IF(EP337&gt;0,SUMPRODUCT(($EN$4:$EN$503=EN337)*$E$4:$E$503*$C$4:$C$503)/EP337,AVERAGEIF($EN$4:$EN$503,EN337,$C$4:$C$503)),"")</f>
        <v/>
      </c>
      <c r="EV337" s="165">
        <f>IF(ISNUMBER(I337),I337,2958465)</f>
        <v>2958465.0</v>
      </c>
      <c r="EW337" s="165" t="str">
        <f>IF(EO337=1,SUMPRODUCT(MIN(($EN$4:$EN$503=EN337)*$EV$4:$EV$503+($EN$4:$EN$503&lt;&gt;EN337)*2958465)),"")</f>
        <v/>
      </c>
      <c r="EX337" s="165">
        <f>IF(AND(D337=1,ISNUMBER(INDEX(Charge!$F:$F,ROW()))),INDEX(Charge!$F:$F,ROW()),0)</f>
        <v>0.0</v>
      </c>
      <c r="EY337" s="165" t="str">
        <f>IF(EO337=1,SUMPRODUCT(MAX(($EN$4:$EN$503=EN337)*$EX$4:$EX$503)),"")</f>
        <v/>
      </c>
      <c r="FA337" t="str">
        <f>IF(334&lt;=$CD$23,INDEX($EJ$4:$EJ$203,334),IF(334-$CD$23&lt;=$CD$26,INDEX($EK$4:$EK$203,334-$CD$23),""))</f>
        <v/>
      </c>
      <c r="FB337" t="str">
        <f>IF(FA337="","",IF(334&lt;=$CD$23,"Interne","Externe"))</f>
        <v/>
      </c>
      <c r="FD337">
        <f>IF(AND(B337=1,TRIM(INDEX(Charge!$K:$K,ROW()))&lt;&gt;"",TRIM(INDEX(Charge!$L:$L,ROW()))&lt;&gt;""),1,0)</f>
        <v>0</v>
      </c>
      <c r="FE337">
        <f>IF(OR(EN337="",BZ337="(non affecté)"),0,IF(COUNTIFS($EN$4:EN337,EN337,$BZ$4:BZ337,BZ337)=1,1,0))</f>
        <v>0</v>
      </c>
    </row>
    <row r="338">
      <c r="A338">
        <f>ROW()</f>
        <v>338</v>
      </c>
      <c r="B338">
        <f>IF(TRIM(INDEX(Charge!$B:$B,ROW()))&lt;&gt;"",1,0)</f>
        <v>0</v>
      </c>
      <c r="C338">
        <f>IF(B338=1,MIN(1,MAX(0,N(INDEX(Charge!$O:$O,ROW())))),0)</f>
        <v>0</v>
      </c>
      <c r="D338">
        <f>IF(B338=1,IF(OR(p_Perimetre="Tous les projets",C338&lt;1),1,0),0)</f>
        <v>0</v>
      </c>
      <c r="E338">
        <f>IF(D338=1,MAX(0,N(INDEX(Charge!$M:$M,ROW()))),0)</f>
        <v>0</v>
      </c>
      <c r="F338" t="str">
        <f>IF(D338=1,IF(TRIM(INDEX(Charge!$A:$A,ROW()))="","(non renseigné)",TRIM(INDEX(Charge!$A:$A,ROW()))),"")</f>
        <v/>
      </c>
      <c r="G338" t="str">
        <f>IF(D338=1,TRIM(INDEX(Charge!$B:$B,ROW())),"")</f>
        <v/>
      </c>
      <c r="H338" t="str">
        <f>IF(D338=1,IF(TRIM(INDEX(Charge!$E:$E,ROW()))="","(non renseigné)",TRIM(INDEX(Charge!$E:$E,ROW()))),"")</f>
        <v/>
      </c>
      <c r="I338" s="165" t="str">
        <f>IF(AND(D338=1,ISNUMBER(INDEX(Charge!$N:$N,ROW()))),INDEX(Charge!$N:$N,ROW()),"")</f>
        <v/>
      </c>
      <c r="J338" s="165" t="str">
        <f>IF(I338="","",IF(AND(p_Repartition="Lissée jusqu'à la date de besoin",ISNUMBER(INDEX(Charge!$F:$F,ROW()))),IF(INDEX(Charge!$F:$F,ROW())&gt;=I338,INDEX(Charge!$F:$F,ROW()),I338),I338))</f>
        <v/>
      </c>
      <c r="K338" t="str">
        <f>IF(I338="","",NETWORKDAYS(I338,J338,Data!$K$4:$K$203))</f>
        <v/>
      </c>
      <c r="L338" t="str">
        <f>IF(D338=1,COUNTIFS($D$4:$D$503,1,$E$4:$E$503,"&gt;"&amp;E338)+COUNTIFS($D$4:$D338,1,$E$4:$E338,E338),"")</f>
        <v/>
      </c>
      <c r="M338">
        <f>IF(F338="",0,IF(COUNTIF($F$4:F338,F338)=1,1,0))</f>
        <v>0</v>
      </c>
      <c r="N338" t="str">
        <f>IF(M338=1,ROUND(SUMIF($F$4:$F$503,F338,$E$4:$E$503),2),"")</f>
        <v/>
      </c>
      <c r="O338" t="str">
        <f>IF(M338=1,COUNTIFS($M$4:$M$503,1,$N$4:$N$503,"&gt;"&amp;N338)+COUNTIFS($M$4:M338,1,$N$4:N338,N338),"")</f>
        <v/>
      </c>
      <c r="P338">
        <f>IF(G338="",0,IF(COUNTIF($G$4:G338,G338)=1,1,0))</f>
        <v>0</v>
      </c>
      <c r="Q338" t="str">
        <f>IF(P338=1,ROUND(SUMIF($G$4:$G$503,G338,$E$4:$E$503),2),"")</f>
        <v/>
      </c>
      <c r="R338" t="str">
        <f>IF(P338=1,COUNTIFS($P$4:$P$503,1,$Q$4:$Q$503,"&gt;"&amp;Q338)+COUNTIFS($P$4:P338,1,$Q$4:Q338,Q338),"")</f>
        <v/>
      </c>
      <c r="S338">
        <f>IF(H338="",0,IF(COUNTIF($H$4:H338,H338)=1,1,0))</f>
        <v>0</v>
      </c>
      <c r="T338" t="str">
        <f>IF(S338=1,ROUND(SUMIF($H$4:$H$503,H338,$E$4:$E$503),2),"")</f>
        <v/>
      </c>
      <c r="U338" t="str">
        <f>IF(S338=1,COUNTIFS($S$4:$S$503,1,$T$4:$T$503,"&gt;"&amp;T338)+COUNTIFS($S$4:S338,1,$T$4:T338,T338),"")</f>
        <v/>
      </c>
      <c r="V338" t="str">
        <f>IF(D338=1,MIN(INDEX($R$4:$R$503,MATCH(G338,$G$4:$G$503,0)),IF($AL$7&gt;9,9,999)),"")</f>
        <v/>
      </c>
      <c r="W338" s="166">
        <f>IF(OR($I338="",$E338=0),0,IF(OR($J338&lt;W$3,$I338&gt;W$2),0,IF($K338=0,IF(AND($I338&gt;=W$3,$I338&lt;=W$2),$E338,0),$E338*NETWORKDAYS(MAX($I338,W$3),MIN($J338,W$2),Data!$K$4:$K$203)/$K338)))</f>
        <v>0</v>
      </c>
      <c r="X338" s="166">
        <f>IF(OR($I338="",$E338=0),0,IF(OR($J338&lt;X$3,$I338&gt;X$2),0,IF($K338=0,IF(AND($I338&gt;=X$3,$I338&lt;=X$2),$E338,0),$E338*NETWORKDAYS(MAX($I338,X$3),MIN($J338,X$2),Data!$K$4:$K$203)/$K338)))</f>
        <v>0</v>
      </c>
      <c r="Y338" s="166">
        <f>IF(OR($I338="",$E338=0),0,IF(OR($J338&lt;Y$3,$I338&gt;Y$2),0,IF($K338=0,IF(AND($I338&gt;=Y$3,$I338&lt;=Y$2),$E338,0),$E338*NETWORKDAYS(MAX($I338,Y$3),MIN($J338,Y$2),Data!$K$4:$K$203)/$K338)))</f>
        <v>0</v>
      </c>
      <c r="Z338" s="166">
        <f>IF(OR($I338="",$E338=0),0,IF(OR($J338&lt;Z$3,$I338&gt;Z$2),0,IF($K338=0,IF(AND($I338&gt;=Z$3,$I338&lt;=Z$2),$E338,0),$E338*NETWORKDAYS(MAX($I338,Z$3),MIN($J338,Z$2),Data!$K$4:$K$203)/$K338)))</f>
        <v>0</v>
      </c>
      <c r="AA338" s="166">
        <f>IF(OR($I338="",$E338=0),0,IF(OR($J338&lt;AA$3,$I338&gt;AA$2),0,IF($K338=0,IF(AND($I338&gt;=AA$3,$I338&lt;=AA$2),$E338,0),$E338*NETWORKDAYS(MAX($I338,AA$3),MIN($J338,AA$2),Data!$K$4:$K$203)/$K338)))</f>
        <v>0</v>
      </c>
      <c r="AB338" s="166">
        <f>IF(OR($I338="",$E338=0),0,IF(OR($J338&lt;AB$3,$I338&gt;AB$2),0,IF($K338=0,IF(AND($I338&gt;=AB$3,$I338&lt;=AB$2),$E338,0),$E338*NETWORKDAYS(MAX($I338,AB$3),MIN($J338,AB$2),Data!$K$4:$K$203)/$K338)))</f>
        <v>0</v>
      </c>
      <c r="AC338" s="166">
        <f>IF(OR($I338="",$E338=0),0,IF(OR($J338&lt;AC$3,$I338&gt;AC$2),0,IF($K338=0,IF(AND($I338&gt;=AC$3,$I338&lt;=AC$2),$E338,0),$E338*NETWORKDAYS(MAX($I338,AC$3),MIN($J338,AC$2),Data!$K$4:$K$203)/$K338)))</f>
        <v>0</v>
      </c>
      <c r="AD338" s="166">
        <f>IF(OR($I338="",$E338=0),0,IF(OR($J338&lt;AD$3,$I338&gt;AD$2),0,IF($K338=0,IF(AND($I338&gt;=AD$3,$I338&lt;=AD$2),$E338,0),$E338*NETWORKDAYS(MAX($I338,AD$3),MIN($J338,AD$2),Data!$K$4:$K$203)/$K338)))</f>
        <v>0</v>
      </c>
      <c r="AE338" s="166">
        <f>IF(OR($I338="",$E338=0),0,IF(OR($J338&lt;AE$3,$I338&gt;AE$2),0,IF($K338=0,IF(AND($I338&gt;=AE$3,$I338&lt;=AE$2),$E338,0),$E338*NETWORKDAYS(MAX($I338,AE$3),MIN($J338,AE$2),Data!$K$4:$K$203)/$K338)))</f>
        <v>0</v>
      </c>
      <c r="AF338" s="166">
        <f>IF(OR($I338="",$E338=0),0,IF(OR($J338&lt;AF$3,$I338&gt;AF$2),0,IF($K338=0,IF(AND($I338&gt;=AF$3,$I338&lt;=AF$2),$E338,0),$E338*NETWORKDAYS(MAX($I338,AF$3),MIN($J338,AF$2),Data!$K$4:$K$203)/$K338)))</f>
        <v>0</v>
      </c>
      <c r="AG338" s="166">
        <f>IF(OR($I338="",$E338=0),0,IF(OR($J338&lt;AG$3,$I338&gt;AG$2),0,IF($K338=0,IF(AND($I338&gt;=AG$3,$I338&lt;=AG$2),$E338,0),$E338*NETWORKDAYS(MAX($I338,AG$3),MIN($J338,AG$2),Data!$K$4:$K$203)/$K338)))</f>
        <v>0</v>
      </c>
      <c r="AH338" s="166">
        <f>IF(OR($I338="",$E338=0),0,IF(OR($J338&lt;AH$3,$I338&gt;AH$2),0,IF($K338=0,IF(AND($I338&gt;=AH$3,$I338&lt;=AH$2),$E338,0),$E338*NETWORKDAYS(MAX($I338,AH$3),MIN($J338,AH$2),Data!$K$4:$K$203)/$K338)))</f>
        <v>0</v>
      </c>
      <c r="AI338" s="166">
        <f>SUM(W338:AH338)</f>
        <v>0</v>
      </c>
      <c r="BZ338" t="str">
        <f>IF(D338=1,IF(TRIM(INDEX(Charge!$K:$K,ROW()))&lt;&gt;"",TRIM(INDEX(Charge!$K:$K,ROW())),IF(TRIM(INDEX(Charge!$L:$L,ROW()))&lt;&gt;"",TRIM(INDEX(Charge!$L:$L,ROW())),"(non affecté)")),"")</f>
        <v/>
      </c>
      <c r="CA338" t="str">
        <f>IF(AND($CD$4&lt;&gt;"",BZ338=$CD$4),COUNTIFS($BZ$4:$BZ$503,$CD$4,$L$4:$L$503,"&lt;"&amp;L338)+1,"")</f>
        <v/>
      </c>
      <c r="EM338" t="str">
        <f>IF(D338=1,IF(TRIM(INDEX(Charge!$K:$K,ROW()))&lt;&gt;"","Interne",IF(TRIM(INDEX(Charge!$L:$L,ROW()))&lt;&gt;"","Externe","Non affecté")),"")</f>
        <v/>
      </c>
      <c r="EN338" t="str">
        <f>IF(D338=1,LEFT(SUBSTITUTE(SUBSTITUTE(SUBSTITUTE(TRIM(SUBSTITUTE(INDEX(Charge!$B:$B,ROW()),CHAR(160)," "))&amp;" | "&amp;TRIM(SUBSTITUTE(INDEX(Charge!$C:$C,ROW()),CHAR(160)," "))&amp;" | "&amp;TRIM(SUBSTITUTE(INDEX(Charge!$D:$D,ROW()),CHAR(160)," ")),"~","-"),"*","+"),"?","!"),240),"")</f>
        <v/>
      </c>
      <c r="EO338">
        <f>IF(EN338="",0,IF(COUNTIF($EN$4:EN338,EN338)=1,1,0))</f>
        <v>0</v>
      </c>
      <c r="EP338" s="166" t="str">
        <f>IF(EO338=1,ROUND(SUMIF($EN$4:$EN$503,EN338,$E$4:$E$503),2),"")</f>
        <v/>
      </c>
      <c r="EQ338" t="str">
        <f>IF(EO338=1,COUNTIFS($EO$4:$EO$503,1,$EP$4:$EP$503,"&gt;"&amp;EP338)+COUNTIFS($EO$4:EO338,1,$EP$4:EP338,EP338),"")</f>
        <v/>
      </c>
      <c r="ER338" t="str">
        <f>IF(EO338=1,COUNTIFS($EN$4:$EN$503,EN338,$EM$4:$EM$503,"Interne",$FE$4:$FE$503,1),"")</f>
        <v/>
      </c>
      <c r="ES338" t="str">
        <f>IF(EO338=1,COUNTIFS($EN$4:$EN$503,EN338,$EM$4:$EM$503,"Externe",$FE$4:$FE$503,1),"")</f>
        <v/>
      </c>
      <c r="ET338" t="str">
        <f>IF(EO338=1,IF(ER338+ES338=0,"à affecter",IF(ER338=0,ES338&amp;" ext.",(ER338+ES338)&amp;IF(ES338&gt;0," dont "&amp;ES338&amp;" ext.",""))&amp;IF(COUNTIFS($EN$4:$EN$503,EN338,$EM$4:$EM$503,"Non affecté")&gt;0," + à affecter","")),"")</f>
        <v/>
      </c>
      <c r="EU338" s="170" t="str">
        <f>IF(EO338=1,IF(EP338&gt;0,SUMPRODUCT(($EN$4:$EN$503=EN338)*$E$4:$E$503*$C$4:$C$503)/EP338,AVERAGEIF($EN$4:$EN$503,EN338,$C$4:$C$503)),"")</f>
        <v/>
      </c>
      <c r="EV338" s="165">
        <f>IF(ISNUMBER(I338),I338,2958465)</f>
        <v>2958465.0</v>
      </c>
      <c r="EW338" s="165" t="str">
        <f>IF(EO338=1,SUMPRODUCT(MIN(($EN$4:$EN$503=EN338)*$EV$4:$EV$503+($EN$4:$EN$503&lt;&gt;EN338)*2958465)),"")</f>
        <v/>
      </c>
      <c r="EX338" s="165">
        <f>IF(AND(D338=1,ISNUMBER(INDEX(Charge!$F:$F,ROW()))),INDEX(Charge!$F:$F,ROW()),0)</f>
        <v>0.0</v>
      </c>
      <c r="EY338" s="165" t="str">
        <f>IF(EO338=1,SUMPRODUCT(MAX(($EN$4:$EN$503=EN338)*$EX$4:$EX$503)),"")</f>
        <v/>
      </c>
      <c r="FA338" t="str">
        <f>IF(335&lt;=$CD$23,INDEX($EJ$4:$EJ$203,335),IF(335-$CD$23&lt;=$CD$26,INDEX($EK$4:$EK$203,335-$CD$23),""))</f>
        <v/>
      </c>
      <c r="FB338" t="str">
        <f>IF(FA338="","",IF(335&lt;=$CD$23,"Interne","Externe"))</f>
        <v/>
      </c>
      <c r="FD338">
        <f>IF(AND(B338=1,TRIM(INDEX(Charge!$K:$K,ROW()))&lt;&gt;"",TRIM(INDEX(Charge!$L:$L,ROW()))&lt;&gt;""),1,0)</f>
        <v>0</v>
      </c>
      <c r="FE338">
        <f>IF(OR(EN338="",BZ338="(non affecté)"),0,IF(COUNTIFS($EN$4:EN338,EN338,$BZ$4:BZ338,BZ338)=1,1,0))</f>
        <v>0</v>
      </c>
    </row>
    <row r="339">
      <c r="A339">
        <f>ROW()</f>
        <v>339</v>
      </c>
      <c r="B339">
        <f>IF(TRIM(INDEX(Charge!$B:$B,ROW()))&lt;&gt;"",1,0)</f>
        <v>0</v>
      </c>
      <c r="C339">
        <f>IF(B339=1,MIN(1,MAX(0,N(INDEX(Charge!$O:$O,ROW())))),0)</f>
        <v>0</v>
      </c>
      <c r="D339">
        <f>IF(B339=1,IF(OR(p_Perimetre="Tous les projets",C339&lt;1),1,0),0)</f>
        <v>0</v>
      </c>
      <c r="E339">
        <f>IF(D339=1,MAX(0,N(INDEX(Charge!$M:$M,ROW()))),0)</f>
        <v>0</v>
      </c>
      <c r="F339" t="str">
        <f>IF(D339=1,IF(TRIM(INDEX(Charge!$A:$A,ROW()))="","(non renseigné)",TRIM(INDEX(Charge!$A:$A,ROW()))),"")</f>
        <v/>
      </c>
      <c r="G339" t="str">
        <f>IF(D339=1,TRIM(INDEX(Charge!$B:$B,ROW())),"")</f>
        <v/>
      </c>
      <c r="H339" t="str">
        <f>IF(D339=1,IF(TRIM(INDEX(Charge!$E:$E,ROW()))="","(non renseigné)",TRIM(INDEX(Charge!$E:$E,ROW()))),"")</f>
        <v/>
      </c>
      <c r="I339" s="165" t="str">
        <f>IF(AND(D339=1,ISNUMBER(INDEX(Charge!$N:$N,ROW()))),INDEX(Charge!$N:$N,ROW()),"")</f>
        <v/>
      </c>
      <c r="J339" s="165" t="str">
        <f>IF(I339="","",IF(AND(p_Repartition="Lissée jusqu'à la date de besoin",ISNUMBER(INDEX(Charge!$F:$F,ROW()))),IF(INDEX(Charge!$F:$F,ROW())&gt;=I339,INDEX(Charge!$F:$F,ROW()),I339),I339))</f>
        <v/>
      </c>
      <c r="K339" t="str">
        <f>IF(I339="","",NETWORKDAYS(I339,J339,Data!$K$4:$K$203))</f>
        <v/>
      </c>
      <c r="L339" t="str">
        <f>IF(D339=1,COUNTIFS($D$4:$D$503,1,$E$4:$E$503,"&gt;"&amp;E339)+COUNTIFS($D$4:$D339,1,$E$4:$E339,E339),"")</f>
        <v/>
      </c>
      <c r="M339">
        <f>IF(F339="",0,IF(COUNTIF($F$4:F339,F339)=1,1,0))</f>
        <v>0</v>
      </c>
      <c r="N339" t="str">
        <f>IF(M339=1,ROUND(SUMIF($F$4:$F$503,F339,$E$4:$E$503),2),"")</f>
        <v/>
      </c>
      <c r="O339" t="str">
        <f>IF(M339=1,COUNTIFS($M$4:$M$503,1,$N$4:$N$503,"&gt;"&amp;N339)+COUNTIFS($M$4:M339,1,$N$4:N339,N339),"")</f>
        <v/>
      </c>
      <c r="P339">
        <f>IF(G339="",0,IF(COUNTIF($G$4:G339,G339)=1,1,0))</f>
        <v>0</v>
      </c>
      <c r="Q339" t="str">
        <f>IF(P339=1,ROUND(SUMIF($G$4:$G$503,G339,$E$4:$E$503),2),"")</f>
        <v/>
      </c>
      <c r="R339" t="str">
        <f>IF(P339=1,COUNTIFS($P$4:$P$503,1,$Q$4:$Q$503,"&gt;"&amp;Q339)+COUNTIFS($P$4:P339,1,$Q$4:Q339,Q339),"")</f>
        <v/>
      </c>
      <c r="S339">
        <f>IF(H339="",0,IF(COUNTIF($H$4:H339,H339)=1,1,0))</f>
        <v>0</v>
      </c>
      <c r="T339" t="str">
        <f>IF(S339=1,ROUND(SUMIF($H$4:$H$503,H339,$E$4:$E$503),2),"")</f>
        <v/>
      </c>
      <c r="U339" t="str">
        <f>IF(S339=1,COUNTIFS($S$4:$S$503,1,$T$4:$T$503,"&gt;"&amp;T339)+COUNTIFS($S$4:S339,1,$T$4:T339,T339),"")</f>
        <v/>
      </c>
      <c r="V339" t="str">
        <f>IF(D339=1,MIN(INDEX($R$4:$R$503,MATCH(G339,$G$4:$G$503,0)),IF($AL$7&gt;9,9,999)),"")</f>
        <v/>
      </c>
      <c r="W339" s="166">
        <f>IF(OR($I339="",$E339=0),0,IF(OR($J339&lt;W$3,$I339&gt;W$2),0,IF($K339=0,IF(AND($I339&gt;=W$3,$I339&lt;=W$2),$E339,0),$E339*NETWORKDAYS(MAX($I339,W$3),MIN($J339,W$2),Data!$K$4:$K$203)/$K339)))</f>
        <v>0</v>
      </c>
      <c r="X339" s="166">
        <f>IF(OR($I339="",$E339=0),0,IF(OR($J339&lt;X$3,$I339&gt;X$2),0,IF($K339=0,IF(AND($I339&gt;=X$3,$I339&lt;=X$2),$E339,0),$E339*NETWORKDAYS(MAX($I339,X$3),MIN($J339,X$2),Data!$K$4:$K$203)/$K339)))</f>
        <v>0</v>
      </c>
      <c r="Y339" s="166">
        <f>IF(OR($I339="",$E339=0),0,IF(OR($J339&lt;Y$3,$I339&gt;Y$2),0,IF($K339=0,IF(AND($I339&gt;=Y$3,$I339&lt;=Y$2),$E339,0),$E339*NETWORKDAYS(MAX($I339,Y$3),MIN($J339,Y$2),Data!$K$4:$K$203)/$K339)))</f>
        <v>0</v>
      </c>
      <c r="Z339" s="166">
        <f>IF(OR($I339="",$E339=0),0,IF(OR($J339&lt;Z$3,$I339&gt;Z$2),0,IF($K339=0,IF(AND($I339&gt;=Z$3,$I339&lt;=Z$2),$E339,0),$E339*NETWORKDAYS(MAX($I339,Z$3),MIN($J339,Z$2),Data!$K$4:$K$203)/$K339)))</f>
        <v>0</v>
      </c>
      <c r="AA339" s="166">
        <f>IF(OR($I339="",$E339=0),0,IF(OR($J339&lt;AA$3,$I339&gt;AA$2),0,IF($K339=0,IF(AND($I339&gt;=AA$3,$I339&lt;=AA$2),$E339,0),$E339*NETWORKDAYS(MAX($I339,AA$3),MIN($J339,AA$2),Data!$K$4:$K$203)/$K339)))</f>
        <v>0</v>
      </c>
      <c r="AB339" s="166">
        <f>IF(OR($I339="",$E339=0),0,IF(OR($J339&lt;AB$3,$I339&gt;AB$2),0,IF($K339=0,IF(AND($I339&gt;=AB$3,$I339&lt;=AB$2),$E339,0),$E339*NETWORKDAYS(MAX($I339,AB$3),MIN($J339,AB$2),Data!$K$4:$K$203)/$K339)))</f>
        <v>0</v>
      </c>
      <c r="AC339" s="166">
        <f>IF(OR($I339="",$E339=0),0,IF(OR($J339&lt;AC$3,$I339&gt;AC$2),0,IF($K339=0,IF(AND($I339&gt;=AC$3,$I339&lt;=AC$2),$E339,0),$E339*NETWORKDAYS(MAX($I339,AC$3),MIN($J339,AC$2),Data!$K$4:$K$203)/$K339)))</f>
        <v>0</v>
      </c>
      <c r="AD339" s="166">
        <f>IF(OR($I339="",$E339=0),0,IF(OR($J339&lt;AD$3,$I339&gt;AD$2),0,IF($K339=0,IF(AND($I339&gt;=AD$3,$I339&lt;=AD$2),$E339,0),$E339*NETWORKDAYS(MAX($I339,AD$3),MIN($J339,AD$2),Data!$K$4:$K$203)/$K339)))</f>
        <v>0</v>
      </c>
      <c r="AE339" s="166">
        <f>IF(OR($I339="",$E339=0),0,IF(OR($J339&lt;AE$3,$I339&gt;AE$2),0,IF($K339=0,IF(AND($I339&gt;=AE$3,$I339&lt;=AE$2),$E339,0),$E339*NETWORKDAYS(MAX($I339,AE$3),MIN($J339,AE$2),Data!$K$4:$K$203)/$K339)))</f>
        <v>0</v>
      </c>
      <c r="AF339" s="166">
        <f>IF(OR($I339="",$E339=0),0,IF(OR($J339&lt;AF$3,$I339&gt;AF$2),0,IF($K339=0,IF(AND($I339&gt;=AF$3,$I339&lt;=AF$2),$E339,0),$E339*NETWORKDAYS(MAX($I339,AF$3),MIN($J339,AF$2),Data!$K$4:$K$203)/$K339)))</f>
        <v>0</v>
      </c>
      <c r="AG339" s="166">
        <f>IF(OR($I339="",$E339=0),0,IF(OR($J339&lt;AG$3,$I339&gt;AG$2),0,IF($K339=0,IF(AND($I339&gt;=AG$3,$I339&lt;=AG$2),$E339,0),$E339*NETWORKDAYS(MAX($I339,AG$3),MIN($J339,AG$2),Data!$K$4:$K$203)/$K339)))</f>
        <v>0</v>
      </c>
      <c r="AH339" s="166">
        <f>IF(OR($I339="",$E339=0),0,IF(OR($J339&lt;AH$3,$I339&gt;AH$2),0,IF($K339=0,IF(AND($I339&gt;=AH$3,$I339&lt;=AH$2),$E339,0),$E339*NETWORKDAYS(MAX($I339,AH$3),MIN($J339,AH$2),Data!$K$4:$K$203)/$K339)))</f>
        <v>0</v>
      </c>
      <c r="AI339" s="166">
        <f>SUM(W339:AH339)</f>
        <v>0</v>
      </c>
      <c r="BZ339" t="str">
        <f>IF(D339=1,IF(TRIM(INDEX(Charge!$K:$K,ROW()))&lt;&gt;"",TRIM(INDEX(Charge!$K:$K,ROW())),IF(TRIM(INDEX(Charge!$L:$L,ROW()))&lt;&gt;"",TRIM(INDEX(Charge!$L:$L,ROW())),"(non affecté)")),"")</f>
        <v/>
      </c>
      <c r="CA339" t="str">
        <f>IF(AND($CD$4&lt;&gt;"",BZ339=$CD$4),COUNTIFS($BZ$4:$BZ$503,$CD$4,$L$4:$L$503,"&lt;"&amp;L339)+1,"")</f>
        <v/>
      </c>
      <c r="EM339" t="str">
        <f>IF(D339=1,IF(TRIM(INDEX(Charge!$K:$K,ROW()))&lt;&gt;"","Interne",IF(TRIM(INDEX(Charge!$L:$L,ROW()))&lt;&gt;"","Externe","Non affecté")),"")</f>
        <v/>
      </c>
      <c r="EN339" t="str">
        <f>IF(D339=1,LEFT(SUBSTITUTE(SUBSTITUTE(SUBSTITUTE(TRIM(SUBSTITUTE(INDEX(Charge!$B:$B,ROW()),CHAR(160)," "))&amp;" | "&amp;TRIM(SUBSTITUTE(INDEX(Charge!$C:$C,ROW()),CHAR(160)," "))&amp;" | "&amp;TRIM(SUBSTITUTE(INDEX(Charge!$D:$D,ROW()),CHAR(160)," ")),"~","-"),"*","+"),"?","!"),240),"")</f>
        <v/>
      </c>
      <c r="EO339">
        <f>IF(EN339="",0,IF(COUNTIF($EN$4:EN339,EN339)=1,1,0))</f>
        <v>0</v>
      </c>
      <c r="EP339" s="166" t="str">
        <f>IF(EO339=1,ROUND(SUMIF($EN$4:$EN$503,EN339,$E$4:$E$503),2),"")</f>
        <v/>
      </c>
      <c r="EQ339" t="str">
        <f>IF(EO339=1,COUNTIFS($EO$4:$EO$503,1,$EP$4:$EP$503,"&gt;"&amp;EP339)+COUNTIFS($EO$4:EO339,1,$EP$4:EP339,EP339),"")</f>
        <v/>
      </c>
      <c r="ER339" t="str">
        <f>IF(EO339=1,COUNTIFS($EN$4:$EN$503,EN339,$EM$4:$EM$503,"Interne",$FE$4:$FE$503,1),"")</f>
        <v/>
      </c>
      <c r="ES339" t="str">
        <f>IF(EO339=1,COUNTIFS($EN$4:$EN$503,EN339,$EM$4:$EM$503,"Externe",$FE$4:$FE$503,1),"")</f>
        <v/>
      </c>
      <c r="ET339" t="str">
        <f>IF(EO339=1,IF(ER339+ES339=0,"à affecter",IF(ER339=0,ES339&amp;" ext.",(ER339+ES339)&amp;IF(ES339&gt;0," dont "&amp;ES339&amp;" ext.",""))&amp;IF(COUNTIFS($EN$4:$EN$503,EN339,$EM$4:$EM$503,"Non affecté")&gt;0," + à affecter","")),"")</f>
        <v/>
      </c>
      <c r="EU339" s="170" t="str">
        <f>IF(EO339=1,IF(EP339&gt;0,SUMPRODUCT(($EN$4:$EN$503=EN339)*$E$4:$E$503*$C$4:$C$503)/EP339,AVERAGEIF($EN$4:$EN$503,EN339,$C$4:$C$503)),"")</f>
        <v/>
      </c>
      <c r="EV339" s="165">
        <f>IF(ISNUMBER(I339),I339,2958465)</f>
        <v>2958465.0</v>
      </c>
      <c r="EW339" s="165" t="str">
        <f>IF(EO339=1,SUMPRODUCT(MIN(($EN$4:$EN$503=EN339)*$EV$4:$EV$503+($EN$4:$EN$503&lt;&gt;EN339)*2958465)),"")</f>
        <v/>
      </c>
      <c r="EX339" s="165">
        <f>IF(AND(D339=1,ISNUMBER(INDEX(Charge!$F:$F,ROW()))),INDEX(Charge!$F:$F,ROW()),0)</f>
        <v>0.0</v>
      </c>
      <c r="EY339" s="165" t="str">
        <f>IF(EO339=1,SUMPRODUCT(MAX(($EN$4:$EN$503=EN339)*$EX$4:$EX$503)),"")</f>
        <v/>
      </c>
      <c r="FA339" t="str">
        <f>IF(336&lt;=$CD$23,INDEX($EJ$4:$EJ$203,336),IF(336-$CD$23&lt;=$CD$26,INDEX($EK$4:$EK$203,336-$CD$23),""))</f>
        <v/>
      </c>
      <c r="FB339" t="str">
        <f>IF(FA339="","",IF(336&lt;=$CD$23,"Interne","Externe"))</f>
        <v/>
      </c>
      <c r="FD339">
        <f>IF(AND(B339=1,TRIM(INDEX(Charge!$K:$K,ROW()))&lt;&gt;"",TRIM(INDEX(Charge!$L:$L,ROW()))&lt;&gt;""),1,0)</f>
        <v>0</v>
      </c>
      <c r="FE339">
        <f>IF(OR(EN339="",BZ339="(non affecté)"),0,IF(COUNTIFS($EN$4:EN339,EN339,$BZ$4:BZ339,BZ339)=1,1,0))</f>
        <v>0</v>
      </c>
    </row>
    <row r="340">
      <c r="A340">
        <f>ROW()</f>
        <v>340</v>
      </c>
      <c r="B340">
        <f>IF(TRIM(INDEX(Charge!$B:$B,ROW()))&lt;&gt;"",1,0)</f>
        <v>0</v>
      </c>
      <c r="C340">
        <f>IF(B340=1,MIN(1,MAX(0,N(INDEX(Charge!$O:$O,ROW())))),0)</f>
        <v>0</v>
      </c>
      <c r="D340">
        <f>IF(B340=1,IF(OR(p_Perimetre="Tous les projets",C340&lt;1),1,0),0)</f>
        <v>0</v>
      </c>
      <c r="E340">
        <f>IF(D340=1,MAX(0,N(INDEX(Charge!$M:$M,ROW()))),0)</f>
        <v>0</v>
      </c>
      <c r="F340" t="str">
        <f>IF(D340=1,IF(TRIM(INDEX(Charge!$A:$A,ROW()))="","(non renseigné)",TRIM(INDEX(Charge!$A:$A,ROW()))),"")</f>
        <v/>
      </c>
      <c r="G340" t="str">
        <f>IF(D340=1,TRIM(INDEX(Charge!$B:$B,ROW())),"")</f>
        <v/>
      </c>
      <c r="H340" t="str">
        <f>IF(D340=1,IF(TRIM(INDEX(Charge!$E:$E,ROW()))="","(non renseigné)",TRIM(INDEX(Charge!$E:$E,ROW()))),"")</f>
        <v/>
      </c>
      <c r="I340" s="165" t="str">
        <f>IF(AND(D340=1,ISNUMBER(INDEX(Charge!$N:$N,ROW()))),INDEX(Charge!$N:$N,ROW()),"")</f>
        <v/>
      </c>
      <c r="J340" s="165" t="str">
        <f>IF(I340="","",IF(AND(p_Repartition="Lissée jusqu'à la date de besoin",ISNUMBER(INDEX(Charge!$F:$F,ROW()))),IF(INDEX(Charge!$F:$F,ROW())&gt;=I340,INDEX(Charge!$F:$F,ROW()),I340),I340))</f>
        <v/>
      </c>
      <c r="K340" t="str">
        <f>IF(I340="","",NETWORKDAYS(I340,J340,Data!$K$4:$K$203))</f>
        <v/>
      </c>
      <c r="L340" t="str">
        <f>IF(D340=1,COUNTIFS($D$4:$D$503,1,$E$4:$E$503,"&gt;"&amp;E340)+COUNTIFS($D$4:$D340,1,$E$4:$E340,E340),"")</f>
        <v/>
      </c>
      <c r="M340">
        <f>IF(F340="",0,IF(COUNTIF($F$4:F340,F340)=1,1,0))</f>
        <v>0</v>
      </c>
      <c r="N340" t="str">
        <f>IF(M340=1,ROUND(SUMIF($F$4:$F$503,F340,$E$4:$E$503),2),"")</f>
        <v/>
      </c>
      <c r="O340" t="str">
        <f>IF(M340=1,COUNTIFS($M$4:$M$503,1,$N$4:$N$503,"&gt;"&amp;N340)+COUNTIFS($M$4:M340,1,$N$4:N340,N340),"")</f>
        <v/>
      </c>
      <c r="P340">
        <f>IF(G340="",0,IF(COUNTIF($G$4:G340,G340)=1,1,0))</f>
        <v>0</v>
      </c>
      <c r="Q340" t="str">
        <f>IF(P340=1,ROUND(SUMIF($G$4:$G$503,G340,$E$4:$E$503),2),"")</f>
        <v/>
      </c>
      <c r="R340" t="str">
        <f>IF(P340=1,COUNTIFS($P$4:$P$503,1,$Q$4:$Q$503,"&gt;"&amp;Q340)+COUNTIFS($P$4:P340,1,$Q$4:Q340,Q340),"")</f>
        <v/>
      </c>
      <c r="S340">
        <f>IF(H340="",0,IF(COUNTIF($H$4:H340,H340)=1,1,0))</f>
        <v>0</v>
      </c>
      <c r="T340" t="str">
        <f>IF(S340=1,ROUND(SUMIF($H$4:$H$503,H340,$E$4:$E$503),2),"")</f>
        <v/>
      </c>
      <c r="U340" t="str">
        <f>IF(S340=1,COUNTIFS($S$4:$S$503,1,$T$4:$T$503,"&gt;"&amp;T340)+COUNTIFS($S$4:S340,1,$T$4:T340,T340),"")</f>
        <v/>
      </c>
      <c r="V340" t="str">
        <f>IF(D340=1,MIN(INDEX($R$4:$R$503,MATCH(G340,$G$4:$G$503,0)),IF($AL$7&gt;9,9,999)),"")</f>
        <v/>
      </c>
      <c r="W340" s="166">
        <f>IF(OR($I340="",$E340=0),0,IF(OR($J340&lt;W$3,$I340&gt;W$2),0,IF($K340=0,IF(AND($I340&gt;=W$3,$I340&lt;=W$2),$E340,0),$E340*NETWORKDAYS(MAX($I340,W$3),MIN($J340,W$2),Data!$K$4:$K$203)/$K340)))</f>
        <v>0</v>
      </c>
      <c r="X340" s="166">
        <f>IF(OR($I340="",$E340=0),0,IF(OR($J340&lt;X$3,$I340&gt;X$2),0,IF($K340=0,IF(AND($I340&gt;=X$3,$I340&lt;=X$2),$E340,0),$E340*NETWORKDAYS(MAX($I340,X$3),MIN($J340,X$2),Data!$K$4:$K$203)/$K340)))</f>
        <v>0</v>
      </c>
      <c r="Y340" s="166">
        <f>IF(OR($I340="",$E340=0),0,IF(OR($J340&lt;Y$3,$I340&gt;Y$2),0,IF($K340=0,IF(AND($I340&gt;=Y$3,$I340&lt;=Y$2),$E340,0),$E340*NETWORKDAYS(MAX($I340,Y$3),MIN($J340,Y$2),Data!$K$4:$K$203)/$K340)))</f>
        <v>0</v>
      </c>
      <c r="Z340" s="166">
        <f>IF(OR($I340="",$E340=0),0,IF(OR($J340&lt;Z$3,$I340&gt;Z$2),0,IF($K340=0,IF(AND($I340&gt;=Z$3,$I340&lt;=Z$2),$E340,0),$E340*NETWORKDAYS(MAX($I340,Z$3),MIN($J340,Z$2),Data!$K$4:$K$203)/$K340)))</f>
        <v>0</v>
      </c>
      <c r="AA340" s="166">
        <f>IF(OR($I340="",$E340=0),0,IF(OR($J340&lt;AA$3,$I340&gt;AA$2),0,IF($K340=0,IF(AND($I340&gt;=AA$3,$I340&lt;=AA$2),$E340,0),$E340*NETWORKDAYS(MAX($I340,AA$3),MIN($J340,AA$2),Data!$K$4:$K$203)/$K340)))</f>
        <v>0</v>
      </c>
      <c r="AB340" s="166">
        <f>IF(OR($I340="",$E340=0),0,IF(OR($J340&lt;AB$3,$I340&gt;AB$2),0,IF($K340=0,IF(AND($I340&gt;=AB$3,$I340&lt;=AB$2),$E340,0),$E340*NETWORKDAYS(MAX($I340,AB$3),MIN($J340,AB$2),Data!$K$4:$K$203)/$K340)))</f>
        <v>0</v>
      </c>
      <c r="AC340" s="166">
        <f>IF(OR($I340="",$E340=0),0,IF(OR($J340&lt;AC$3,$I340&gt;AC$2),0,IF($K340=0,IF(AND($I340&gt;=AC$3,$I340&lt;=AC$2),$E340,0),$E340*NETWORKDAYS(MAX($I340,AC$3),MIN($J340,AC$2),Data!$K$4:$K$203)/$K340)))</f>
        <v>0</v>
      </c>
      <c r="AD340" s="166">
        <f>IF(OR($I340="",$E340=0),0,IF(OR($J340&lt;AD$3,$I340&gt;AD$2),0,IF($K340=0,IF(AND($I340&gt;=AD$3,$I340&lt;=AD$2),$E340,0),$E340*NETWORKDAYS(MAX($I340,AD$3),MIN($J340,AD$2),Data!$K$4:$K$203)/$K340)))</f>
        <v>0</v>
      </c>
      <c r="AE340" s="166">
        <f>IF(OR($I340="",$E340=0),0,IF(OR($J340&lt;AE$3,$I340&gt;AE$2),0,IF($K340=0,IF(AND($I340&gt;=AE$3,$I340&lt;=AE$2),$E340,0),$E340*NETWORKDAYS(MAX($I340,AE$3),MIN($J340,AE$2),Data!$K$4:$K$203)/$K340)))</f>
        <v>0</v>
      </c>
      <c r="AF340" s="166">
        <f>IF(OR($I340="",$E340=0),0,IF(OR($J340&lt;AF$3,$I340&gt;AF$2),0,IF($K340=0,IF(AND($I340&gt;=AF$3,$I340&lt;=AF$2),$E340,0),$E340*NETWORKDAYS(MAX($I340,AF$3),MIN($J340,AF$2),Data!$K$4:$K$203)/$K340)))</f>
        <v>0</v>
      </c>
      <c r="AG340" s="166">
        <f>IF(OR($I340="",$E340=0),0,IF(OR($J340&lt;AG$3,$I340&gt;AG$2),0,IF($K340=0,IF(AND($I340&gt;=AG$3,$I340&lt;=AG$2),$E340,0),$E340*NETWORKDAYS(MAX($I340,AG$3),MIN($J340,AG$2),Data!$K$4:$K$203)/$K340)))</f>
        <v>0</v>
      </c>
      <c r="AH340" s="166">
        <f>IF(OR($I340="",$E340=0),0,IF(OR($J340&lt;AH$3,$I340&gt;AH$2),0,IF($K340=0,IF(AND($I340&gt;=AH$3,$I340&lt;=AH$2),$E340,0),$E340*NETWORKDAYS(MAX($I340,AH$3),MIN($J340,AH$2),Data!$K$4:$K$203)/$K340)))</f>
        <v>0</v>
      </c>
      <c r="AI340" s="166">
        <f>SUM(W340:AH340)</f>
        <v>0</v>
      </c>
      <c r="BZ340" t="str">
        <f>IF(D340=1,IF(TRIM(INDEX(Charge!$K:$K,ROW()))&lt;&gt;"",TRIM(INDEX(Charge!$K:$K,ROW())),IF(TRIM(INDEX(Charge!$L:$L,ROW()))&lt;&gt;"",TRIM(INDEX(Charge!$L:$L,ROW())),"(non affecté)")),"")</f>
        <v/>
      </c>
      <c r="CA340" t="str">
        <f>IF(AND($CD$4&lt;&gt;"",BZ340=$CD$4),COUNTIFS($BZ$4:$BZ$503,$CD$4,$L$4:$L$503,"&lt;"&amp;L340)+1,"")</f>
        <v/>
      </c>
      <c r="EM340" t="str">
        <f>IF(D340=1,IF(TRIM(INDEX(Charge!$K:$K,ROW()))&lt;&gt;"","Interne",IF(TRIM(INDEX(Charge!$L:$L,ROW()))&lt;&gt;"","Externe","Non affecté")),"")</f>
        <v/>
      </c>
      <c r="EN340" t="str">
        <f>IF(D340=1,LEFT(SUBSTITUTE(SUBSTITUTE(SUBSTITUTE(TRIM(SUBSTITUTE(INDEX(Charge!$B:$B,ROW()),CHAR(160)," "))&amp;" | "&amp;TRIM(SUBSTITUTE(INDEX(Charge!$C:$C,ROW()),CHAR(160)," "))&amp;" | "&amp;TRIM(SUBSTITUTE(INDEX(Charge!$D:$D,ROW()),CHAR(160)," ")),"~","-"),"*","+"),"?","!"),240),"")</f>
        <v/>
      </c>
      <c r="EO340">
        <f>IF(EN340="",0,IF(COUNTIF($EN$4:EN340,EN340)=1,1,0))</f>
        <v>0</v>
      </c>
      <c r="EP340" s="166" t="str">
        <f>IF(EO340=1,ROUND(SUMIF($EN$4:$EN$503,EN340,$E$4:$E$503),2),"")</f>
        <v/>
      </c>
      <c r="EQ340" t="str">
        <f>IF(EO340=1,COUNTIFS($EO$4:$EO$503,1,$EP$4:$EP$503,"&gt;"&amp;EP340)+COUNTIFS($EO$4:EO340,1,$EP$4:EP340,EP340),"")</f>
        <v/>
      </c>
      <c r="ER340" t="str">
        <f>IF(EO340=1,COUNTIFS($EN$4:$EN$503,EN340,$EM$4:$EM$503,"Interne",$FE$4:$FE$503,1),"")</f>
        <v/>
      </c>
      <c r="ES340" t="str">
        <f>IF(EO340=1,COUNTIFS($EN$4:$EN$503,EN340,$EM$4:$EM$503,"Externe",$FE$4:$FE$503,1),"")</f>
        <v/>
      </c>
      <c r="ET340" t="str">
        <f>IF(EO340=1,IF(ER340+ES340=0,"à affecter",IF(ER340=0,ES340&amp;" ext.",(ER340+ES340)&amp;IF(ES340&gt;0," dont "&amp;ES340&amp;" ext.",""))&amp;IF(COUNTIFS($EN$4:$EN$503,EN340,$EM$4:$EM$503,"Non affecté")&gt;0," + à affecter","")),"")</f>
        <v/>
      </c>
      <c r="EU340" s="170" t="str">
        <f>IF(EO340=1,IF(EP340&gt;0,SUMPRODUCT(($EN$4:$EN$503=EN340)*$E$4:$E$503*$C$4:$C$503)/EP340,AVERAGEIF($EN$4:$EN$503,EN340,$C$4:$C$503)),"")</f>
        <v/>
      </c>
      <c r="EV340" s="165">
        <f>IF(ISNUMBER(I340),I340,2958465)</f>
        <v>2958465.0</v>
      </c>
      <c r="EW340" s="165" t="str">
        <f>IF(EO340=1,SUMPRODUCT(MIN(($EN$4:$EN$503=EN340)*$EV$4:$EV$503+($EN$4:$EN$503&lt;&gt;EN340)*2958465)),"")</f>
        <v/>
      </c>
      <c r="EX340" s="165">
        <f>IF(AND(D340=1,ISNUMBER(INDEX(Charge!$F:$F,ROW()))),INDEX(Charge!$F:$F,ROW()),0)</f>
        <v>0.0</v>
      </c>
      <c r="EY340" s="165" t="str">
        <f>IF(EO340=1,SUMPRODUCT(MAX(($EN$4:$EN$503=EN340)*$EX$4:$EX$503)),"")</f>
        <v/>
      </c>
      <c r="FA340" t="str">
        <f>IF(337&lt;=$CD$23,INDEX($EJ$4:$EJ$203,337),IF(337-$CD$23&lt;=$CD$26,INDEX($EK$4:$EK$203,337-$CD$23),""))</f>
        <v/>
      </c>
      <c r="FB340" t="str">
        <f>IF(FA340="","",IF(337&lt;=$CD$23,"Interne","Externe"))</f>
        <v/>
      </c>
      <c r="FD340">
        <f>IF(AND(B340=1,TRIM(INDEX(Charge!$K:$K,ROW()))&lt;&gt;"",TRIM(INDEX(Charge!$L:$L,ROW()))&lt;&gt;""),1,0)</f>
        <v>0</v>
      </c>
      <c r="FE340">
        <f>IF(OR(EN340="",BZ340="(non affecté)"),0,IF(COUNTIFS($EN$4:EN340,EN340,$BZ$4:BZ340,BZ340)=1,1,0))</f>
        <v>0</v>
      </c>
    </row>
    <row r="341">
      <c r="A341">
        <f>ROW()</f>
        <v>341</v>
      </c>
      <c r="B341">
        <f>IF(TRIM(INDEX(Charge!$B:$B,ROW()))&lt;&gt;"",1,0)</f>
        <v>0</v>
      </c>
      <c r="C341">
        <f>IF(B341=1,MIN(1,MAX(0,N(INDEX(Charge!$O:$O,ROW())))),0)</f>
        <v>0</v>
      </c>
      <c r="D341">
        <f>IF(B341=1,IF(OR(p_Perimetre="Tous les projets",C341&lt;1),1,0),0)</f>
        <v>0</v>
      </c>
      <c r="E341">
        <f>IF(D341=1,MAX(0,N(INDEX(Charge!$M:$M,ROW()))),0)</f>
        <v>0</v>
      </c>
      <c r="F341" t="str">
        <f>IF(D341=1,IF(TRIM(INDEX(Charge!$A:$A,ROW()))="","(non renseigné)",TRIM(INDEX(Charge!$A:$A,ROW()))),"")</f>
        <v/>
      </c>
      <c r="G341" t="str">
        <f>IF(D341=1,TRIM(INDEX(Charge!$B:$B,ROW())),"")</f>
        <v/>
      </c>
      <c r="H341" t="str">
        <f>IF(D341=1,IF(TRIM(INDEX(Charge!$E:$E,ROW()))="","(non renseigné)",TRIM(INDEX(Charge!$E:$E,ROW()))),"")</f>
        <v/>
      </c>
      <c r="I341" s="165" t="str">
        <f>IF(AND(D341=1,ISNUMBER(INDEX(Charge!$N:$N,ROW()))),INDEX(Charge!$N:$N,ROW()),"")</f>
        <v/>
      </c>
      <c r="J341" s="165" t="str">
        <f>IF(I341="","",IF(AND(p_Repartition="Lissée jusqu'à la date de besoin",ISNUMBER(INDEX(Charge!$F:$F,ROW()))),IF(INDEX(Charge!$F:$F,ROW())&gt;=I341,INDEX(Charge!$F:$F,ROW()),I341),I341))</f>
        <v/>
      </c>
      <c r="K341" t="str">
        <f>IF(I341="","",NETWORKDAYS(I341,J341,Data!$K$4:$K$203))</f>
        <v/>
      </c>
      <c r="L341" t="str">
        <f>IF(D341=1,COUNTIFS($D$4:$D$503,1,$E$4:$E$503,"&gt;"&amp;E341)+COUNTIFS($D$4:$D341,1,$E$4:$E341,E341),"")</f>
        <v/>
      </c>
      <c r="M341">
        <f>IF(F341="",0,IF(COUNTIF($F$4:F341,F341)=1,1,0))</f>
        <v>0</v>
      </c>
      <c r="N341" t="str">
        <f>IF(M341=1,ROUND(SUMIF($F$4:$F$503,F341,$E$4:$E$503),2),"")</f>
        <v/>
      </c>
      <c r="O341" t="str">
        <f>IF(M341=1,COUNTIFS($M$4:$M$503,1,$N$4:$N$503,"&gt;"&amp;N341)+COUNTIFS($M$4:M341,1,$N$4:N341,N341),"")</f>
        <v/>
      </c>
      <c r="P341">
        <f>IF(G341="",0,IF(COUNTIF($G$4:G341,G341)=1,1,0))</f>
        <v>0</v>
      </c>
      <c r="Q341" t="str">
        <f>IF(P341=1,ROUND(SUMIF($G$4:$G$503,G341,$E$4:$E$503),2),"")</f>
        <v/>
      </c>
      <c r="R341" t="str">
        <f>IF(P341=1,COUNTIFS($P$4:$P$503,1,$Q$4:$Q$503,"&gt;"&amp;Q341)+COUNTIFS($P$4:P341,1,$Q$4:Q341,Q341),"")</f>
        <v/>
      </c>
      <c r="S341">
        <f>IF(H341="",0,IF(COUNTIF($H$4:H341,H341)=1,1,0))</f>
        <v>0</v>
      </c>
      <c r="T341" t="str">
        <f>IF(S341=1,ROUND(SUMIF($H$4:$H$503,H341,$E$4:$E$503),2),"")</f>
        <v/>
      </c>
      <c r="U341" t="str">
        <f>IF(S341=1,COUNTIFS($S$4:$S$503,1,$T$4:$T$503,"&gt;"&amp;T341)+COUNTIFS($S$4:S341,1,$T$4:T341,T341),"")</f>
        <v/>
      </c>
      <c r="V341" t="str">
        <f>IF(D341=1,MIN(INDEX($R$4:$R$503,MATCH(G341,$G$4:$G$503,0)),IF($AL$7&gt;9,9,999)),"")</f>
        <v/>
      </c>
      <c r="W341" s="166">
        <f>IF(OR($I341="",$E341=0),0,IF(OR($J341&lt;W$3,$I341&gt;W$2),0,IF($K341=0,IF(AND($I341&gt;=W$3,$I341&lt;=W$2),$E341,0),$E341*NETWORKDAYS(MAX($I341,W$3),MIN($J341,W$2),Data!$K$4:$K$203)/$K341)))</f>
        <v>0</v>
      </c>
      <c r="X341" s="166">
        <f>IF(OR($I341="",$E341=0),0,IF(OR($J341&lt;X$3,$I341&gt;X$2),0,IF($K341=0,IF(AND($I341&gt;=X$3,$I341&lt;=X$2),$E341,0),$E341*NETWORKDAYS(MAX($I341,X$3),MIN($J341,X$2),Data!$K$4:$K$203)/$K341)))</f>
        <v>0</v>
      </c>
      <c r="Y341" s="166">
        <f>IF(OR($I341="",$E341=0),0,IF(OR($J341&lt;Y$3,$I341&gt;Y$2),0,IF($K341=0,IF(AND($I341&gt;=Y$3,$I341&lt;=Y$2),$E341,0),$E341*NETWORKDAYS(MAX($I341,Y$3),MIN($J341,Y$2),Data!$K$4:$K$203)/$K341)))</f>
        <v>0</v>
      </c>
      <c r="Z341" s="166">
        <f>IF(OR($I341="",$E341=0),0,IF(OR($J341&lt;Z$3,$I341&gt;Z$2),0,IF($K341=0,IF(AND($I341&gt;=Z$3,$I341&lt;=Z$2),$E341,0),$E341*NETWORKDAYS(MAX($I341,Z$3),MIN($J341,Z$2),Data!$K$4:$K$203)/$K341)))</f>
        <v>0</v>
      </c>
      <c r="AA341" s="166">
        <f>IF(OR($I341="",$E341=0),0,IF(OR($J341&lt;AA$3,$I341&gt;AA$2),0,IF($K341=0,IF(AND($I341&gt;=AA$3,$I341&lt;=AA$2),$E341,0),$E341*NETWORKDAYS(MAX($I341,AA$3),MIN($J341,AA$2),Data!$K$4:$K$203)/$K341)))</f>
        <v>0</v>
      </c>
      <c r="AB341" s="166">
        <f>IF(OR($I341="",$E341=0),0,IF(OR($J341&lt;AB$3,$I341&gt;AB$2),0,IF($K341=0,IF(AND($I341&gt;=AB$3,$I341&lt;=AB$2),$E341,0),$E341*NETWORKDAYS(MAX($I341,AB$3),MIN($J341,AB$2),Data!$K$4:$K$203)/$K341)))</f>
        <v>0</v>
      </c>
      <c r="AC341" s="166">
        <f>IF(OR($I341="",$E341=0),0,IF(OR($J341&lt;AC$3,$I341&gt;AC$2),0,IF($K341=0,IF(AND($I341&gt;=AC$3,$I341&lt;=AC$2),$E341,0),$E341*NETWORKDAYS(MAX($I341,AC$3),MIN($J341,AC$2),Data!$K$4:$K$203)/$K341)))</f>
        <v>0</v>
      </c>
      <c r="AD341" s="166">
        <f>IF(OR($I341="",$E341=0),0,IF(OR($J341&lt;AD$3,$I341&gt;AD$2),0,IF($K341=0,IF(AND($I341&gt;=AD$3,$I341&lt;=AD$2),$E341,0),$E341*NETWORKDAYS(MAX($I341,AD$3),MIN($J341,AD$2),Data!$K$4:$K$203)/$K341)))</f>
        <v>0</v>
      </c>
      <c r="AE341" s="166">
        <f>IF(OR($I341="",$E341=0),0,IF(OR($J341&lt;AE$3,$I341&gt;AE$2),0,IF($K341=0,IF(AND($I341&gt;=AE$3,$I341&lt;=AE$2),$E341,0),$E341*NETWORKDAYS(MAX($I341,AE$3),MIN($J341,AE$2),Data!$K$4:$K$203)/$K341)))</f>
        <v>0</v>
      </c>
      <c r="AF341" s="166">
        <f>IF(OR($I341="",$E341=0),0,IF(OR($J341&lt;AF$3,$I341&gt;AF$2),0,IF($K341=0,IF(AND($I341&gt;=AF$3,$I341&lt;=AF$2),$E341,0),$E341*NETWORKDAYS(MAX($I341,AF$3),MIN($J341,AF$2),Data!$K$4:$K$203)/$K341)))</f>
        <v>0</v>
      </c>
      <c r="AG341" s="166">
        <f>IF(OR($I341="",$E341=0),0,IF(OR($J341&lt;AG$3,$I341&gt;AG$2),0,IF($K341=0,IF(AND($I341&gt;=AG$3,$I341&lt;=AG$2),$E341,0),$E341*NETWORKDAYS(MAX($I341,AG$3),MIN($J341,AG$2),Data!$K$4:$K$203)/$K341)))</f>
        <v>0</v>
      </c>
      <c r="AH341" s="166">
        <f>IF(OR($I341="",$E341=0),0,IF(OR($J341&lt;AH$3,$I341&gt;AH$2),0,IF($K341=0,IF(AND($I341&gt;=AH$3,$I341&lt;=AH$2),$E341,0),$E341*NETWORKDAYS(MAX($I341,AH$3),MIN($J341,AH$2),Data!$K$4:$K$203)/$K341)))</f>
        <v>0</v>
      </c>
      <c r="AI341" s="166">
        <f>SUM(W341:AH341)</f>
        <v>0</v>
      </c>
      <c r="BZ341" t="str">
        <f>IF(D341=1,IF(TRIM(INDEX(Charge!$K:$K,ROW()))&lt;&gt;"",TRIM(INDEX(Charge!$K:$K,ROW())),IF(TRIM(INDEX(Charge!$L:$L,ROW()))&lt;&gt;"",TRIM(INDEX(Charge!$L:$L,ROW())),"(non affecté)")),"")</f>
        <v/>
      </c>
      <c r="CA341" t="str">
        <f>IF(AND($CD$4&lt;&gt;"",BZ341=$CD$4),COUNTIFS($BZ$4:$BZ$503,$CD$4,$L$4:$L$503,"&lt;"&amp;L341)+1,"")</f>
        <v/>
      </c>
      <c r="EM341" t="str">
        <f>IF(D341=1,IF(TRIM(INDEX(Charge!$K:$K,ROW()))&lt;&gt;"","Interne",IF(TRIM(INDEX(Charge!$L:$L,ROW()))&lt;&gt;"","Externe","Non affecté")),"")</f>
        <v/>
      </c>
      <c r="EN341" t="str">
        <f>IF(D341=1,LEFT(SUBSTITUTE(SUBSTITUTE(SUBSTITUTE(TRIM(SUBSTITUTE(INDEX(Charge!$B:$B,ROW()),CHAR(160)," "))&amp;" | "&amp;TRIM(SUBSTITUTE(INDEX(Charge!$C:$C,ROW()),CHAR(160)," "))&amp;" | "&amp;TRIM(SUBSTITUTE(INDEX(Charge!$D:$D,ROW()),CHAR(160)," ")),"~","-"),"*","+"),"?","!"),240),"")</f>
        <v/>
      </c>
      <c r="EO341">
        <f>IF(EN341="",0,IF(COUNTIF($EN$4:EN341,EN341)=1,1,0))</f>
        <v>0</v>
      </c>
      <c r="EP341" s="166" t="str">
        <f>IF(EO341=1,ROUND(SUMIF($EN$4:$EN$503,EN341,$E$4:$E$503),2),"")</f>
        <v/>
      </c>
      <c r="EQ341" t="str">
        <f>IF(EO341=1,COUNTIFS($EO$4:$EO$503,1,$EP$4:$EP$503,"&gt;"&amp;EP341)+COUNTIFS($EO$4:EO341,1,$EP$4:EP341,EP341),"")</f>
        <v/>
      </c>
      <c r="ER341" t="str">
        <f>IF(EO341=1,COUNTIFS($EN$4:$EN$503,EN341,$EM$4:$EM$503,"Interne",$FE$4:$FE$503,1),"")</f>
        <v/>
      </c>
      <c r="ES341" t="str">
        <f>IF(EO341=1,COUNTIFS($EN$4:$EN$503,EN341,$EM$4:$EM$503,"Externe",$FE$4:$FE$503,1),"")</f>
        <v/>
      </c>
      <c r="ET341" t="str">
        <f>IF(EO341=1,IF(ER341+ES341=0,"à affecter",IF(ER341=0,ES341&amp;" ext.",(ER341+ES341)&amp;IF(ES341&gt;0," dont "&amp;ES341&amp;" ext.",""))&amp;IF(COUNTIFS($EN$4:$EN$503,EN341,$EM$4:$EM$503,"Non affecté")&gt;0," + à affecter","")),"")</f>
        <v/>
      </c>
      <c r="EU341" s="170" t="str">
        <f>IF(EO341=1,IF(EP341&gt;0,SUMPRODUCT(($EN$4:$EN$503=EN341)*$E$4:$E$503*$C$4:$C$503)/EP341,AVERAGEIF($EN$4:$EN$503,EN341,$C$4:$C$503)),"")</f>
        <v/>
      </c>
      <c r="EV341" s="165">
        <f>IF(ISNUMBER(I341),I341,2958465)</f>
        <v>2958465.0</v>
      </c>
      <c r="EW341" s="165" t="str">
        <f>IF(EO341=1,SUMPRODUCT(MIN(($EN$4:$EN$503=EN341)*$EV$4:$EV$503+($EN$4:$EN$503&lt;&gt;EN341)*2958465)),"")</f>
        <v/>
      </c>
      <c r="EX341" s="165">
        <f>IF(AND(D341=1,ISNUMBER(INDEX(Charge!$F:$F,ROW()))),INDEX(Charge!$F:$F,ROW()),0)</f>
        <v>0.0</v>
      </c>
      <c r="EY341" s="165" t="str">
        <f>IF(EO341=1,SUMPRODUCT(MAX(($EN$4:$EN$503=EN341)*$EX$4:$EX$503)),"")</f>
        <v/>
      </c>
      <c r="FA341" t="str">
        <f>IF(338&lt;=$CD$23,INDEX($EJ$4:$EJ$203,338),IF(338-$CD$23&lt;=$CD$26,INDEX($EK$4:$EK$203,338-$CD$23),""))</f>
        <v/>
      </c>
      <c r="FB341" t="str">
        <f>IF(FA341="","",IF(338&lt;=$CD$23,"Interne","Externe"))</f>
        <v/>
      </c>
      <c r="FD341">
        <f>IF(AND(B341=1,TRIM(INDEX(Charge!$K:$K,ROW()))&lt;&gt;"",TRIM(INDEX(Charge!$L:$L,ROW()))&lt;&gt;""),1,0)</f>
        <v>0</v>
      </c>
      <c r="FE341">
        <f>IF(OR(EN341="",BZ341="(non affecté)"),0,IF(COUNTIFS($EN$4:EN341,EN341,$BZ$4:BZ341,BZ341)=1,1,0))</f>
        <v>0</v>
      </c>
    </row>
    <row r="342">
      <c r="A342">
        <f>ROW()</f>
        <v>342</v>
      </c>
      <c r="B342">
        <f>IF(TRIM(INDEX(Charge!$B:$B,ROW()))&lt;&gt;"",1,0)</f>
        <v>0</v>
      </c>
      <c r="C342">
        <f>IF(B342=1,MIN(1,MAX(0,N(INDEX(Charge!$O:$O,ROW())))),0)</f>
        <v>0</v>
      </c>
      <c r="D342">
        <f>IF(B342=1,IF(OR(p_Perimetre="Tous les projets",C342&lt;1),1,0),0)</f>
        <v>0</v>
      </c>
      <c r="E342">
        <f>IF(D342=1,MAX(0,N(INDEX(Charge!$M:$M,ROW()))),0)</f>
        <v>0</v>
      </c>
      <c r="F342" t="str">
        <f>IF(D342=1,IF(TRIM(INDEX(Charge!$A:$A,ROW()))="","(non renseigné)",TRIM(INDEX(Charge!$A:$A,ROW()))),"")</f>
        <v/>
      </c>
      <c r="G342" t="str">
        <f>IF(D342=1,TRIM(INDEX(Charge!$B:$B,ROW())),"")</f>
        <v/>
      </c>
      <c r="H342" t="str">
        <f>IF(D342=1,IF(TRIM(INDEX(Charge!$E:$E,ROW()))="","(non renseigné)",TRIM(INDEX(Charge!$E:$E,ROW()))),"")</f>
        <v/>
      </c>
      <c r="I342" s="165" t="str">
        <f>IF(AND(D342=1,ISNUMBER(INDEX(Charge!$N:$N,ROW()))),INDEX(Charge!$N:$N,ROW()),"")</f>
        <v/>
      </c>
      <c r="J342" s="165" t="str">
        <f>IF(I342="","",IF(AND(p_Repartition="Lissée jusqu'à la date de besoin",ISNUMBER(INDEX(Charge!$F:$F,ROW()))),IF(INDEX(Charge!$F:$F,ROW())&gt;=I342,INDEX(Charge!$F:$F,ROW()),I342),I342))</f>
        <v/>
      </c>
      <c r="K342" t="str">
        <f>IF(I342="","",NETWORKDAYS(I342,J342,Data!$K$4:$K$203))</f>
        <v/>
      </c>
      <c r="L342" t="str">
        <f>IF(D342=1,COUNTIFS($D$4:$D$503,1,$E$4:$E$503,"&gt;"&amp;E342)+COUNTIFS($D$4:$D342,1,$E$4:$E342,E342),"")</f>
        <v/>
      </c>
      <c r="M342">
        <f>IF(F342="",0,IF(COUNTIF($F$4:F342,F342)=1,1,0))</f>
        <v>0</v>
      </c>
      <c r="N342" t="str">
        <f>IF(M342=1,ROUND(SUMIF($F$4:$F$503,F342,$E$4:$E$503),2),"")</f>
        <v/>
      </c>
      <c r="O342" t="str">
        <f>IF(M342=1,COUNTIFS($M$4:$M$503,1,$N$4:$N$503,"&gt;"&amp;N342)+COUNTIFS($M$4:M342,1,$N$4:N342,N342),"")</f>
        <v/>
      </c>
      <c r="P342">
        <f>IF(G342="",0,IF(COUNTIF($G$4:G342,G342)=1,1,0))</f>
        <v>0</v>
      </c>
      <c r="Q342" t="str">
        <f>IF(P342=1,ROUND(SUMIF($G$4:$G$503,G342,$E$4:$E$503),2),"")</f>
        <v/>
      </c>
      <c r="R342" t="str">
        <f>IF(P342=1,COUNTIFS($P$4:$P$503,1,$Q$4:$Q$503,"&gt;"&amp;Q342)+COUNTIFS($P$4:P342,1,$Q$4:Q342,Q342),"")</f>
        <v/>
      </c>
      <c r="S342">
        <f>IF(H342="",0,IF(COUNTIF($H$4:H342,H342)=1,1,0))</f>
        <v>0</v>
      </c>
      <c r="T342" t="str">
        <f>IF(S342=1,ROUND(SUMIF($H$4:$H$503,H342,$E$4:$E$503),2),"")</f>
        <v/>
      </c>
      <c r="U342" t="str">
        <f>IF(S342=1,COUNTIFS($S$4:$S$503,1,$T$4:$T$503,"&gt;"&amp;T342)+COUNTIFS($S$4:S342,1,$T$4:T342,T342),"")</f>
        <v/>
      </c>
      <c r="V342" t="str">
        <f>IF(D342=1,MIN(INDEX($R$4:$R$503,MATCH(G342,$G$4:$G$503,0)),IF($AL$7&gt;9,9,999)),"")</f>
        <v/>
      </c>
      <c r="W342" s="166">
        <f>IF(OR($I342="",$E342=0),0,IF(OR($J342&lt;W$3,$I342&gt;W$2),0,IF($K342=0,IF(AND($I342&gt;=W$3,$I342&lt;=W$2),$E342,0),$E342*NETWORKDAYS(MAX($I342,W$3),MIN($J342,W$2),Data!$K$4:$K$203)/$K342)))</f>
        <v>0</v>
      </c>
      <c r="X342" s="166">
        <f>IF(OR($I342="",$E342=0),0,IF(OR($J342&lt;X$3,$I342&gt;X$2),0,IF($K342=0,IF(AND($I342&gt;=X$3,$I342&lt;=X$2),$E342,0),$E342*NETWORKDAYS(MAX($I342,X$3),MIN($J342,X$2),Data!$K$4:$K$203)/$K342)))</f>
        <v>0</v>
      </c>
      <c r="Y342" s="166">
        <f>IF(OR($I342="",$E342=0),0,IF(OR($J342&lt;Y$3,$I342&gt;Y$2),0,IF($K342=0,IF(AND($I342&gt;=Y$3,$I342&lt;=Y$2),$E342,0),$E342*NETWORKDAYS(MAX($I342,Y$3),MIN($J342,Y$2),Data!$K$4:$K$203)/$K342)))</f>
        <v>0</v>
      </c>
      <c r="Z342" s="166">
        <f>IF(OR($I342="",$E342=0),0,IF(OR($J342&lt;Z$3,$I342&gt;Z$2),0,IF($K342=0,IF(AND($I342&gt;=Z$3,$I342&lt;=Z$2),$E342,0),$E342*NETWORKDAYS(MAX($I342,Z$3),MIN($J342,Z$2),Data!$K$4:$K$203)/$K342)))</f>
        <v>0</v>
      </c>
      <c r="AA342" s="166">
        <f>IF(OR($I342="",$E342=0),0,IF(OR($J342&lt;AA$3,$I342&gt;AA$2),0,IF($K342=0,IF(AND($I342&gt;=AA$3,$I342&lt;=AA$2),$E342,0),$E342*NETWORKDAYS(MAX($I342,AA$3),MIN($J342,AA$2),Data!$K$4:$K$203)/$K342)))</f>
        <v>0</v>
      </c>
      <c r="AB342" s="166">
        <f>IF(OR($I342="",$E342=0),0,IF(OR($J342&lt;AB$3,$I342&gt;AB$2),0,IF($K342=0,IF(AND($I342&gt;=AB$3,$I342&lt;=AB$2),$E342,0),$E342*NETWORKDAYS(MAX($I342,AB$3),MIN($J342,AB$2),Data!$K$4:$K$203)/$K342)))</f>
        <v>0</v>
      </c>
      <c r="AC342" s="166">
        <f>IF(OR($I342="",$E342=0),0,IF(OR($J342&lt;AC$3,$I342&gt;AC$2),0,IF($K342=0,IF(AND($I342&gt;=AC$3,$I342&lt;=AC$2),$E342,0),$E342*NETWORKDAYS(MAX($I342,AC$3),MIN($J342,AC$2),Data!$K$4:$K$203)/$K342)))</f>
        <v>0</v>
      </c>
      <c r="AD342" s="166">
        <f>IF(OR($I342="",$E342=0),0,IF(OR($J342&lt;AD$3,$I342&gt;AD$2),0,IF($K342=0,IF(AND($I342&gt;=AD$3,$I342&lt;=AD$2),$E342,0),$E342*NETWORKDAYS(MAX($I342,AD$3),MIN($J342,AD$2),Data!$K$4:$K$203)/$K342)))</f>
        <v>0</v>
      </c>
      <c r="AE342" s="166">
        <f>IF(OR($I342="",$E342=0),0,IF(OR($J342&lt;AE$3,$I342&gt;AE$2),0,IF($K342=0,IF(AND($I342&gt;=AE$3,$I342&lt;=AE$2),$E342,0),$E342*NETWORKDAYS(MAX($I342,AE$3),MIN($J342,AE$2),Data!$K$4:$K$203)/$K342)))</f>
        <v>0</v>
      </c>
      <c r="AF342" s="166">
        <f>IF(OR($I342="",$E342=0),0,IF(OR($J342&lt;AF$3,$I342&gt;AF$2),0,IF($K342=0,IF(AND($I342&gt;=AF$3,$I342&lt;=AF$2),$E342,0),$E342*NETWORKDAYS(MAX($I342,AF$3),MIN($J342,AF$2),Data!$K$4:$K$203)/$K342)))</f>
        <v>0</v>
      </c>
      <c r="AG342" s="166">
        <f>IF(OR($I342="",$E342=0),0,IF(OR($J342&lt;AG$3,$I342&gt;AG$2),0,IF($K342=0,IF(AND($I342&gt;=AG$3,$I342&lt;=AG$2),$E342,0),$E342*NETWORKDAYS(MAX($I342,AG$3),MIN($J342,AG$2),Data!$K$4:$K$203)/$K342)))</f>
        <v>0</v>
      </c>
      <c r="AH342" s="166">
        <f>IF(OR($I342="",$E342=0),0,IF(OR($J342&lt;AH$3,$I342&gt;AH$2),0,IF($K342=0,IF(AND($I342&gt;=AH$3,$I342&lt;=AH$2),$E342,0),$E342*NETWORKDAYS(MAX($I342,AH$3),MIN($J342,AH$2),Data!$K$4:$K$203)/$K342)))</f>
        <v>0</v>
      </c>
      <c r="AI342" s="166">
        <f>SUM(W342:AH342)</f>
        <v>0</v>
      </c>
      <c r="BZ342" t="str">
        <f>IF(D342=1,IF(TRIM(INDEX(Charge!$K:$K,ROW()))&lt;&gt;"",TRIM(INDEX(Charge!$K:$K,ROW())),IF(TRIM(INDEX(Charge!$L:$L,ROW()))&lt;&gt;"",TRIM(INDEX(Charge!$L:$L,ROW())),"(non affecté)")),"")</f>
        <v/>
      </c>
      <c r="CA342" t="str">
        <f>IF(AND($CD$4&lt;&gt;"",BZ342=$CD$4),COUNTIFS($BZ$4:$BZ$503,$CD$4,$L$4:$L$503,"&lt;"&amp;L342)+1,"")</f>
        <v/>
      </c>
      <c r="EM342" t="str">
        <f>IF(D342=1,IF(TRIM(INDEX(Charge!$K:$K,ROW()))&lt;&gt;"","Interne",IF(TRIM(INDEX(Charge!$L:$L,ROW()))&lt;&gt;"","Externe","Non affecté")),"")</f>
        <v/>
      </c>
      <c r="EN342" t="str">
        <f>IF(D342=1,LEFT(SUBSTITUTE(SUBSTITUTE(SUBSTITUTE(TRIM(SUBSTITUTE(INDEX(Charge!$B:$B,ROW()),CHAR(160)," "))&amp;" | "&amp;TRIM(SUBSTITUTE(INDEX(Charge!$C:$C,ROW()),CHAR(160)," "))&amp;" | "&amp;TRIM(SUBSTITUTE(INDEX(Charge!$D:$D,ROW()),CHAR(160)," ")),"~","-"),"*","+"),"?","!"),240),"")</f>
        <v/>
      </c>
      <c r="EO342">
        <f>IF(EN342="",0,IF(COUNTIF($EN$4:EN342,EN342)=1,1,0))</f>
        <v>0</v>
      </c>
      <c r="EP342" s="166" t="str">
        <f>IF(EO342=1,ROUND(SUMIF($EN$4:$EN$503,EN342,$E$4:$E$503),2),"")</f>
        <v/>
      </c>
      <c r="EQ342" t="str">
        <f>IF(EO342=1,COUNTIFS($EO$4:$EO$503,1,$EP$4:$EP$503,"&gt;"&amp;EP342)+COUNTIFS($EO$4:EO342,1,$EP$4:EP342,EP342),"")</f>
        <v/>
      </c>
      <c r="ER342" t="str">
        <f>IF(EO342=1,COUNTIFS($EN$4:$EN$503,EN342,$EM$4:$EM$503,"Interne",$FE$4:$FE$503,1),"")</f>
        <v/>
      </c>
      <c r="ES342" t="str">
        <f>IF(EO342=1,COUNTIFS($EN$4:$EN$503,EN342,$EM$4:$EM$503,"Externe",$FE$4:$FE$503,1),"")</f>
        <v/>
      </c>
      <c r="ET342" t="str">
        <f>IF(EO342=1,IF(ER342+ES342=0,"à affecter",IF(ER342=0,ES342&amp;" ext.",(ER342+ES342)&amp;IF(ES342&gt;0," dont "&amp;ES342&amp;" ext.",""))&amp;IF(COUNTIFS($EN$4:$EN$503,EN342,$EM$4:$EM$503,"Non affecté")&gt;0," + à affecter","")),"")</f>
        <v/>
      </c>
      <c r="EU342" s="170" t="str">
        <f>IF(EO342=1,IF(EP342&gt;0,SUMPRODUCT(($EN$4:$EN$503=EN342)*$E$4:$E$503*$C$4:$C$503)/EP342,AVERAGEIF($EN$4:$EN$503,EN342,$C$4:$C$503)),"")</f>
        <v/>
      </c>
      <c r="EV342" s="165">
        <f>IF(ISNUMBER(I342),I342,2958465)</f>
        <v>2958465.0</v>
      </c>
      <c r="EW342" s="165" t="str">
        <f>IF(EO342=1,SUMPRODUCT(MIN(($EN$4:$EN$503=EN342)*$EV$4:$EV$503+($EN$4:$EN$503&lt;&gt;EN342)*2958465)),"")</f>
        <v/>
      </c>
      <c r="EX342" s="165">
        <f>IF(AND(D342=1,ISNUMBER(INDEX(Charge!$F:$F,ROW()))),INDEX(Charge!$F:$F,ROW()),0)</f>
        <v>0.0</v>
      </c>
      <c r="EY342" s="165" t="str">
        <f>IF(EO342=1,SUMPRODUCT(MAX(($EN$4:$EN$503=EN342)*$EX$4:$EX$503)),"")</f>
        <v/>
      </c>
      <c r="FA342" t="str">
        <f>IF(339&lt;=$CD$23,INDEX($EJ$4:$EJ$203,339),IF(339-$CD$23&lt;=$CD$26,INDEX($EK$4:$EK$203,339-$CD$23),""))</f>
        <v/>
      </c>
      <c r="FB342" t="str">
        <f>IF(FA342="","",IF(339&lt;=$CD$23,"Interne","Externe"))</f>
        <v/>
      </c>
      <c r="FD342">
        <f>IF(AND(B342=1,TRIM(INDEX(Charge!$K:$K,ROW()))&lt;&gt;"",TRIM(INDEX(Charge!$L:$L,ROW()))&lt;&gt;""),1,0)</f>
        <v>0</v>
      </c>
      <c r="FE342">
        <f>IF(OR(EN342="",BZ342="(non affecté)"),0,IF(COUNTIFS($EN$4:EN342,EN342,$BZ$4:BZ342,BZ342)=1,1,0))</f>
        <v>0</v>
      </c>
    </row>
    <row r="343">
      <c r="A343">
        <f>ROW()</f>
        <v>343</v>
      </c>
      <c r="B343">
        <f>IF(TRIM(INDEX(Charge!$B:$B,ROW()))&lt;&gt;"",1,0)</f>
        <v>0</v>
      </c>
      <c r="C343">
        <f>IF(B343=1,MIN(1,MAX(0,N(INDEX(Charge!$O:$O,ROW())))),0)</f>
        <v>0</v>
      </c>
      <c r="D343">
        <f>IF(B343=1,IF(OR(p_Perimetre="Tous les projets",C343&lt;1),1,0),0)</f>
        <v>0</v>
      </c>
      <c r="E343">
        <f>IF(D343=1,MAX(0,N(INDEX(Charge!$M:$M,ROW()))),0)</f>
        <v>0</v>
      </c>
      <c r="F343" t="str">
        <f>IF(D343=1,IF(TRIM(INDEX(Charge!$A:$A,ROW()))="","(non renseigné)",TRIM(INDEX(Charge!$A:$A,ROW()))),"")</f>
        <v/>
      </c>
      <c r="G343" t="str">
        <f>IF(D343=1,TRIM(INDEX(Charge!$B:$B,ROW())),"")</f>
        <v/>
      </c>
      <c r="H343" t="str">
        <f>IF(D343=1,IF(TRIM(INDEX(Charge!$E:$E,ROW()))="","(non renseigné)",TRIM(INDEX(Charge!$E:$E,ROW()))),"")</f>
        <v/>
      </c>
      <c r="I343" s="165" t="str">
        <f>IF(AND(D343=1,ISNUMBER(INDEX(Charge!$N:$N,ROW()))),INDEX(Charge!$N:$N,ROW()),"")</f>
        <v/>
      </c>
      <c r="J343" s="165" t="str">
        <f>IF(I343="","",IF(AND(p_Repartition="Lissée jusqu'à la date de besoin",ISNUMBER(INDEX(Charge!$F:$F,ROW()))),IF(INDEX(Charge!$F:$F,ROW())&gt;=I343,INDEX(Charge!$F:$F,ROW()),I343),I343))</f>
        <v/>
      </c>
      <c r="K343" t="str">
        <f>IF(I343="","",NETWORKDAYS(I343,J343,Data!$K$4:$K$203))</f>
        <v/>
      </c>
      <c r="L343" t="str">
        <f>IF(D343=1,COUNTIFS($D$4:$D$503,1,$E$4:$E$503,"&gt;"&amp;E343)+COUNTIFS($D$4:$D343,1,$E$4:$E343,E343),"")</f>
        <v/>
      </c>
      <c r="M343">
        <f>IF(F343="",0,IF(COUNTIF($F$4:F343,F343)=1,1,0))</f>
        <v>0</v>
      </c>
      <c r="N343" t="str">
        <f>IF(M343=1,ROUND(SUMIF($F$4:$F$503,F343,$E$4:$E$503),2),"")</f>
        <v/>
      </c>
      <c r="O343" t="str">
        <f>IF(M343=1,COUNTIFS($M$4:$M$503,1,$N$4:$N$503,"&gt;"&amp;N343)+COUNTIFS($M$4:M343,1,$N$4:N343,N343),"")</f>
        <v/>
      </c>
      <c r="P343">
        <f>IF(G343="",0,IF(COUNTIF($G$4:G343,G343)=1,1,0))</f>
        <v>0</v>
      </c>
      <c r="Q343" t="str">
        <f>IF(P343=1,ROUND(SUMIF($G$4:$G$503,G343,$E$4:$E$503),2),"")</f>
        <v/>
      </c>
      <c r="R343" t="str">
        <f>IF(P343=1,COUNTIFS($P$4:$P$503,1,$Q$4:$Q$503,"&gt;"&amp;Q343)+COUNTIFS($P$4:P343,1,$Q$4:Q343,Q343),"")</f>
        <v/>
      </c>
      <c r="S343">
        <f>IF(H343="",0,IF(COUNTIF($H$4:H343,H343)=1,1,0))</f>
        <v>0</v>
      </c>
      <c r="T343" t="str">
        <f>IF(S343=1,ROUND(SUMIF($H$4:$H$503,H343,$E$4:$E$503),2),"")</f>
        <v/>
      </c>
      <c r="U343" t="str">
        <f>IF(S343=1,COUNTIFS($S$4:$S$503,1,$T$4:$T$503,"&gt;"&amp;T343)+COUNTIFS($S$4:S343,1,$T$4:T343,T343),"")</f>
        <v/>
      </c>
      <c r="V343" t="str">
        <f>IF(D343=1,MIN(INDEX($R$4:$R$503,MATCH(G343,$G$4:$G$503,0)),IF($AL$7&gt;9,9,999)),"")</f>
        <v/>
      </c>
      <c r="W343" s="166">
        <f>IF(OR($I343="",$E343=0),0,IF(OR($J343&lt;W$3,$I343&gt;W$2),0,IF($K343=0,IF(AND($I343&gt;=W$3,$I343&lt;=W$2),$E343,0),$E343*NETWORKDAYS(MAX($I343,W$3),MIN($J343,W$2),Data!$K$4:$K$203)/$K343)))</f>
        <v>0</v>
      </c>
      <c r="X343" s="166">
        <f>IF(OR($I343="",$E343=0),0,IF(OR($J343&lt;X$3,$I343&gt;X$2),0,IF($K343=0,IF(AND($I343&gt;=X$3,$I343&lt;=X$2),$E343,0),$E343*NETWORKDAYS(MAX($I343,X$3),MIN($J343,X$2),Data!$K$4:$K$203)/$K343)))</f>
        <v>0</v>
      </c>
      <c r="Y343" s="166">
        <f>IF(OR($I343="",$E343=0),0,IF(OR($J343&lt;Y$3,$I343&gt;Y$2),0,IF($K343=0,IF(AND($I343&gt;=Y$3,$I343&lt;=Y$2),$E343,0),$E343*NETWORKDAYS(MAX($I343,Y$3),MIN($J343,Y$2),Data!$K$4:$K$203)/$K343)))</f>
        <v>0</v>
      </c>
      <c r="Z343" s="166">
        <f>IF(OR($I343="",$E343=0),0,IF(OR($J343&lt;Z$3,$I343&gt;Z$2),0,IF($K343=0,IF(AND($I343&gt;=Z$3,$I343&lt;=Z$2),$E343,0),$E343*NETWORKDAYS(MAX($I343,Z$3),MIN($J343,Z$2),Data!$K$4:$K$203)/$K343)))</f>
        <v>0</v>
      </c>
      <c r="AA343" s="166">
        <f>IF(OR($I343="",$E343=0),0,IF(OR($J343&lt;AA$3,$I343&gt;AA$2),0,IF($K343=0,IF(AND($I343&gt;=AA$3,$I343&lt;=AA$2),$E343,0),$E343*NETWORKDAYS(MAX($I343,AA$3),MIN($J343,AA$2),Data!$K$4:$K$203)/$K343)))</f>
        <v>0</v>
      </c>
      <c r="AB343" s="166">
        <f>IF(OR($I343="",$E343=0),0,IF(OR($J343&lt;AB$3,$I343&gt;AB$2),0,IF($K343=0,IF(AND($I343&gt;=AB$3,$I343&lt;=AB$2),$E343,0),$E343*NETWORKDAYS(MAX($I343,AB$3),MIN($J343,AB$2),Data!$K$4:$K$203)/$K343)))</f>
        <v>0</v>
      </c>
      <c r="AC343" s="166">
        <f>IF(OR($I343="",$E343=0),0,IF(OR($J343&lt;AC$3,$I343&gt;AC$2),0,IF($K343=0,IF(AND($I343&gt;=AC$3,$I343&lt;=AC$2),$E343,0),$E343*NETWORKDAYS(MAX($I343,AC$3),MIN($J343,AC$2),Data!$K$4:$K$203)/$K343)))</f>
        <v>0</v>
      </c>
      <c r="AD343" s="166">
        <f>IF(OR($I343="",$E343=0),0,IF(OR($J343&lt;AD$3,$I343&gt;AD$2),0,IF($K343=0,IF(AND($I343&gt;=AD$3,$I343&lt;=AD$2),$E343,0),$E343*NETWORKDAYS(MAX($I343,AD$3),MIN($J343,AD$2),Data!$K$4:$K$203)/$K343)))</f>
        <v>0</v>
      </c>
      <c r="AE343" s="166">
        <f>IF(OR($I343="",$E343=0),0,IF(OR($J343&lt;AE$3,$I343&gt;AE$2),0,IF($K343=0,IF(AND($I343&gt;=AE$3,$I343&lt;=AE$2),$E343,0),$E343*NETWORKDAYS(MAX($I343,AE$3),MIN($J343,AE$2),Data!$K$4:$K$203)/$K343)))</f>
        <v>0</v>
      </c>
      <c r="AF343" s="166">
        <f>IF(OR($I343="",$E343=0),0,IF(OR($J343&lt;AF$3,$I343&gt;AF$2),0,IF($K343=0,IF(AND($I343&gt;=AF$3,$I343&lt;=AF$2),$E343,0),$E343*NETWORKDAYS(MAX($I343,AF$3),MIN($J343,AF$2),Data!$K$4:$K$203)/$K343)))</f>
        <v>0</v>
      </c>
      <c r="AG343" s="166">
        <f>IF(OR($I343="",$E343=0),0,IF(OR($J343&lt;AG$3,$I343&gt;AG$2),0,IF($K343=0,IF(AND($I343&gt;=AG$3,$I343&lt;=AG$2),$E343,0),$E343*NETWORKDAYS(MAX($I343,AG$3),MIN($J343,AG$2),Data!$K$4:$K$203)/$K343)))</f>
        <v>0</v>
      </c>
      <c r="AH343" s="166">
        <f>IF(OR($I343="",$E343=0),0,IF(OR($J343&lt;AH$3,$I343&gt;AH$2),0,IF($K343=0,IF(AND($I343&gt;=AH$3,$I343&lt;=AH$2),$E343,0),$E343*NETWORKDAYS(MAX($I343,AH$3),MIN($J343,AH$2),Data!$K$4:$K$203)/$K343)))</f>
        <v>0</v>
      </c>
      <c r="AI343" s="166">
        <f>SUM(W343:AH343)</f>
        <v>0</v>
      </c>
      <c r="BZ343" t="str">
        <f>IF(D343=1,IF(TRIM(INDEX(Charge!$K:$K,ROW()))&lt;&gt;"",TRIM(INDEX(Charge!$K:$K,ROW())),IF(TRIM(INDEX(Charge!$L:$L,ROW()))&lt;&gt;"",TRIM(INDEX(Charge!$L:$L,ROW())),"(non affecté)")),"")</f>
        <v/>
      </c>
      <c r="CA343" t="str">
        <f>IF(AND($CD$4&lt;&gt;"",BZ343=$CD$4),COUNTIFS($BZ$4:$BZ$503,$CD$4,$L$4:$L$503,"&lt;"&amp;L343)+1,"")</f>
        <v/>
      </c>
      <c r="EM343" t="str">
        <f>IF(D343=1,IF(TRIM(INDEX(Charge!$K:$K,ROW()))&lt;&gt;"","Interne",IF(TRIM(INDEX(Charge!$L:$L,ROW()))&lt;&gt;"","Externe","Non affecté")),"")</f>
        <v/>
      </c>
      <c r="EN343" t="str">
        <f>IF(D343=1,LEFT(SUBSTITUTE(SUBSTITUTE(SUBSTITUTE(TRIM(SUBSTITUTE(INDEX(Charge!$B:$B,ROW()),CHAR(160)," "))&amp;" | "&amp;TRIM(SUBSTITUTE(INDEX(Charge!$C:$C,ROW()),CHAR(160)," "))&amp;" | "&amp;TRIM(SUBSTITUTE(INDEX(Charge!$D:$D,ROW()),CHAR(160)," ")),"~","-"),"*","+"),"?","!"),240),"")</f>
        <v/>
      </c>
      <c r="EO343">
        <f>IF(EN343="",0,IF(COUNTIF($EN$4:EN343,EN343)=1,1,0))</f>
        <v>0</v>
      </c>
      <c r="EP343" s="166" t="str">
        <f>IF(EO343=1,ROUND(SUMIF($EN$4:$EN$503,EN343,$E$4:$E$503),2),"")</f>
        <v/>
      </c>
      <c r="EQ343" t="str">
        <f>IF(EO343=1,COUNTIFS($EO$4:$EO$503,1,$EP$4:$EP$503,"&gt;"&amp;EP343)+COUNTIFS($EO$4:EO343,1,$EP$4:EP343,EP343),"")</f>
        <v/>
      </c>
      <c r="ER343" t="str">
        <f>IF(EO343=1,COUNTIFS($EN$4:$EN$503,EN343,$EM$4:$EM$503,"Interne",$FE$4:$FE$503,1),"")</f>
        <v/>
      </c>
      <c r="ES343" t="str">
        <f>IF(EO343=1,COUNTIFS($EN$4:$EN$503,EN343,$EM$4:$EM$503,"Externe",$FE$4:$FE$503,1),"")</f>
        <v/>
      </c>
      <c r="ET343" t="str">
        <f>IF(EO343=1,IF(ER343+ES343=0,"à affecter",IF(ER343=0,ES343&amp;" ext.",(ER343+ES343)&amp;IF(ES343&gt;0," dont "&amp;ES343&amp;" ext.",""))&amp;IF(COUNTIFS($EN$4:$EN$503,EN343,$EM$4:$EM$503,"Non affecté")&gt;0," + à affecter","")),"")</f>
        <v/>
      </c>
      <c r="EU343" s="170" t="str">
        <f>IF(EO343=1,IF(EP343&gt;0,SUMPRODUCT(($EN$4:$EN$503=EN343)*$E$4:$E$503*$C$4:$C$503)/EP343,AVERAGEIF($EN$4:$EN$503,EN343,$C$4:$C$503)),"")</f>
        <v/>
      </c>
      <c r="EV343" s="165">
        <f>IF(ISNUMBER(I343),I343,2958465)</f>
        <v>2958465.0</v>
      </c>
      <c r="EW343" s="165" t="str">
        <f>IF(EO343=1,SUMPRODUCT(MIN(($EN$4:$EN$503=EN343)*$EV$4:$EV$503+($EN$4:$EN$503&lt;&gt;EN343)*2958465)),"")</f>
        <v/>
      </c>
      <c r="EX343" s="165">
        <f>IF(AND(D343=1,ISNUMBER(INDEX(Charge!$F:$F,ROW()))),INDEX(Charge!$F:$F,ROW()),0)</f>
        <v>0.0</v>
      </c>
      <c r="EY343" s="165" t="str">
        <f>IF(EO343=1,SUMPRODUCT(MAX(($EN$4:$EN$503=EN343)*$EX$4:$EX$503)),"")</f>
        <v/>
      </c>
      <c r="FA343" t="str">
        <f>IF(340&lt;=$CD$23,INDEX($EJ$4:$EJ$203,340),IF(340-$CD$23&lt;=$CD$26,INDEX($EK$4:$EK$203,340-$CD$23),""))</f>
        <v/>
      </c>
      <c r="FB343" t="str">
        <f>IF(FA343="","",IF(340&lt;=$CD$23,"Interne","Externe"))</f>
        <v/>
      </c>
      <c r="FD343">
        <f>IF(AND(B343=1,TRIM(INDEX(Charge!$K:$K,ROW()))&lt;&gt;"",TRIM(INDEX(Charge!$L:$L,ROW()))&lt;&gt;""),1,0)</f>
        <v>0</v>
      </c>
      <c r="FE343">
        <f>IF(OR(EN343="",BZ343="(non affecté)"),0,IF(COUNTIFS($EN$4:EN343,EN343,$BZ$4:BZ343,BZ343)=1,1,0))</f>
        <v>0</v>
      </c>
    </row>
    <row r="344">
      <c r="A344">
        <f>ROW()</f>
        <v>344</v>
      </c>
      <c r="B344">
        <f>IF(TRIM(INDEX(Charge!$B:$B,ROW()))&lt;&gt;"",1,0)</f>
        <v>0</v>
      </c>
      <c r="C344">
        <f>IF(B344=1,MIN(1,MAX(0,N(INDEX(Charge!$O:$O,ROW())))),0)</f>
        <v>0</v>
      </c>
      <c r="D344">
        <f>IF(B344=1,IF(OR(p_Perimetre="Tous les projets",C344&lt;1),1,0),0)</f>
        <v>0</v>
      </c>
      <c r="E344">
        <f>IF(D344=1,MAX(0,N(INDEX(Charge!$M:$M,ROW()))),0)</f>
        <v>0</v>
      </c>
      <c r="F344" t="str">
        <f>IF(D344=1,IF(TRIM(INDEX(Charge!$A:$A,ROW()))="","(non renseigné)",TRIM(INDEX(Charge!$A:$A,ROW()))),"")</f>
        <v/>
      </c>
      <c r="G344" t="str">
        <f>IF(D344=1,TRIM(INDEX(Charge!$B:$B,ROW())),"")</f>
        <v/>
      </c>
      <c r="H344" t="str">
        <f>IF(D344=1,IF(TRIM(INDEX(Charge!$E:$E,ROW()))="","(non renseigné)",TRIM(INDEX(Charge!$E:$E,ROW()))),"")</f>
        <v/>
      </c>
      <c r="I344" s="165" t="str">
        <f>IF(AND(D344=1,ISNUMBER(INDEX(Charge!$N:$N,ROW()))),INDEX(Charge!$N:$N,ROW()),"")</f>
        <v/>
      </c>
      <c r="J344" s="165" t="str">
        <f>IF(I344="","",IF(AND(p_Repartition="Lissée jusqu'à la date de besoin",ISNUMBER(INDEX(Charge!$F:$F,ROW()))),IF(INDEX(Charge!$F:$F,ROW())&gt;=I344,INDEX(Charge!$F:$F,ROW()),I344),I344))</f>
        <v/>
      </c>
      <c r="K344" t="str">
        <f>IF(I344="","",NETWORKDAYS(I344,J344,Data!$K$4:$K$203))</f>
        <v/>
      </c>
      <c r="L344" t="str">
        <f>IF(D344=1,COUNTIFS($D$4:$D$503,1,$E$4:$E$503,"&gt;"&amp;E344)+COUNTIFS($D$4:$D344,1,$E$4:$E344,E344),"")</f>
        <v/>
      </c>
      <c r="M344">
        <f>IF(F344="",0,IF(COUNTIF($F$4:F344,F344)=1,1,0))</f>
        <v>0</v>
      </c>
      <c r="N344" t="str">
        <f>IF(M344=1,ROUND(SUMIF($F$4:$F$503,F344,$E$4:$E$503),2),"")</f>
        <v/>
      </c>
      <c r="O344" t="str">
        <f>IF(M344=1,COUNTIFS($M$4:$M$503,1,$N$4:$N$503,"&gt;"&amp;N344)+COUNTIFS($M$4:M344,1,$N$4:N344,N344),"")</f>
        <v/>
      </c>
      <c r="P344">
        <f>IF(G344="",0,IF(COUNTIF($G$4:G344,G344)=1,1,0))</f>
        <v>0</v>
      </c>
      <c r="Q344" t="str">
        <f>IF(P344=1,ROUND(SUMIF($G$4:$G$503,G344,$E$4:$E$503),2),"")</f>
        <v/>
      </c>
      <c r="R344" t="str">
        <f>IF(P344=1,COUNTIFS($P$4:$P$503,1,$Q$4:$Q$503,"&gt;"&amp;Q344)+COUNTIFS($P$4:P344,1,$Q$4:Q344,Q344),"")</f>
        <v/>
      </c>
      <c r="S344">
        <f>IF(H344="",0,IF(COUNTIF($H$4:H344,H344)=1,1,0))</f>
        <v>0</v>
      </c>
      <c r="T344" t="str">
        <f>IF(S344=1,ROUND(SUMIF($H$4:$H$503,H344,$E$4:$E$503),2),"")</f>
        <v/>
      </c>
      <c r="U344" t="str">
        <f>IF(S344=1,COUNTIFS($S$4:$S$503,1,$T$4:$T$503,"&gt;"&amp;T344)+COUNTIFS($S$4:S344,1,$T$4:T344,T344),"")</f>
        <v/>
      </c>
      <c r="V344" t="str">
        <f>IF(D344=1,MIN(INDEX($R$4:$R$503,MATCH(G344,$G$4:$G$503,0)),IF($AL$7&gt;9,9,999)),"")</f>
        <v/>
      </c>
      <c r="W344" s="166">
        <f>IF(OR($I344="",$E344=0),0,IF(OR($J344&lt;W$3,$I344&gt;W$2),0,IF($K344=0,IF(AND($I344&gt;=W$3,$I344&lt;=W$2),$E344,0),$E344*NETWORKDAYS(MAX($I344,W$3),MIN($J344,W$2),Data!$K$4:$K$203)/$K344)))</f>
        <v>0</v>
      </c>
      <c r="X344" s="166">
        <f>IF(OR($I344="",$E344=0),0,IF(OR($J344&lt;X$3,$I344&gt;X$2),0,IF($K344=0,IF(AND($I344&gt;=X$3,$I344&lt;=X$2),$E344,0),$E344*NETWORKDAYS(MAX($I344,X$3),MIN($J344,X$2),Data!$K$4:$K$203)/$K344)))</f>
        <v>0</v>
      </c>
      <c r="Y344" s="166">
        <f>IF(OR($I344="",$E344=0),0,IF(OR($J344&lt;Y$3,$I344&gt;Y$2),0,IF($K344=0,IF(AND($I344&gt;=Y$3,$I344&lt;=Y$2),$E344,0),$E344*NETWORKDAYS(MAX($I344,Y$3),MIN($J344,Y$2),Data!$K$4:$K$203)/$K344)))</f>
        <v>0</v>
      </c>
      <c r="Z344" s="166">
        <f>IF(OR($I344="",$E344=0),0,IF(OR($J344&lt;Z$3,$I344&gt;Z$2),0,IF($K344=0,IF(AND($I344&gt;=Z$3,$I344&lt;=Z$2),$E344,0),$E344*NETWORKDAYS(MAX($I344,Z$3),MIN($J344,Z$2),Data!$K$4:$K$203)/$K344)))</f>
        <v>0</v>
      </c>
      <c r="AA344" s="166">
        <f>IF(OR($I344="",$E344=0),0,IF(OR($J344&lt;AA$3,$I344&gt;AA$2),0,IF($K344=0,IF(AND($I344&gt;=AA$3,$I344&lt;=AA$2),$E344,0),$E344*NETWORKDAYS(MAX($I344,AA$3),MIN($J344,AA$2),Data!$K$4:$K$203)/$K344)))</f>
        <v>0</v>
      </c>
      <c r="AB344" s="166">
        <f>IF(OR($I344="",$E344=0),0,IF(OR($J344&lt;AB$3,$I344&gt;AB$2),0,IF($K344=0,IF(AND($I344&gt;=AB$3,$I344&lt;=AB$2),$E344,0),$E344*NETWORKDAYS(MAX($I344,AB$3),MIN($J344,AB$2),Data!$K$4:$K$203)/$K344)))</f>
        <v>0</v>
      </c>
      <c r="AC344" s="166">
        <f>IF(OR($I344="",$E344=0),0,IF(OR($J344&lt;AC$3,$I344&gt;AC$2),0,IF($K344=0,IF(AND($I344&gt;=AC$3,$I344&lt;=AC$2),$E344,0),$E344*NETWORKDAYS(MAX($I344,AC$3),MIN($J344,AC$2),Data!$K$4:$K$203)/$K344)))</f>
        <v>0</v>
      </c>
      <c r="AD344" s="166">
        <f>IF(OR($I344="",$E344=0),0,IF(OR($J344&lt;AD$3,$I344&gt;AD$2),0,IF($K344=0,IF(AND($I344&gt;=AD$3,$I344&lt;=AD$2),$E344,0),$E344*NETWORKDAYS(MAX($I344,AD$3),MIN($J344,AD$2),Data!$K$4:$K$203)/$K344)))</f>
        <v>0</v>
      </c>
      <c r="AE344" s="166">
        <f>IF(OR($I344="",$E344=0),0,IF(OR($J344&lt;AE$3,$I344&gt;AE$2),0,IF($K344=0,IF(AND($I344&gt;=AE$3,$I344&lt;=AE$2),$E344,0),$E344*NETWORKDAYS(MAX($I344,AE$3),MIN($J344,AE$2),Data!$K$4:$K$203)/$K344)))</f>
        <v>0</v>
      </c>
      <c r="AF344" s="166">
        <f>IF(OR($I344="",$E344=0),0,IF(OR($J344&lt;AF$3,$I344&gt;AF$2),0,IF($K344=0,IF(AND($I344&gt;=AF$3,$I344&lt;=AF$2),$E344,0),$E344*NETWORKDAYS(MAX($I344,AF$3),MIN($J344,AF$2),Data!$K$4:$K$203)/$K344)))</f>
        <v>0</v>
      </c>
      <c r="AG344" s="166">
        <f>IF(OR($I344="",$E344=0),0,IF(OR($J344&lt;AG$3,$I344&gt;AG$2),0,IF($K344=0,IF(AND($I344&gt;=AG$3,$I344&lt;=AG$2),$E344,0),$E344*NETWORKDAYS(MAX($I344,AG$3),MIN($J344,AG$2),Data!$K$4:$K$203)/$K344)))</f>
        <v>0</v>
      </c>
      <c r="AH344" s="166">
        <f>IF(OR($I344="",$E344=0),0,IF(OR($J344&lt;AH$3,$I344&gt;AH$2),0,IF($K344=0,IF(AND($I344&gt;=AH$3,$I344&lt;=AH$2),$E344,0),$E344*NETWORKDAYS(MAX($I344,AH$3),MIN($J344,AH$2),Data!$K$4:$K$203)/$K344)))</f>
        <v>0</v>
      </c>
      <c r="AI344" s="166">
        <f>SUM(W344:AH344)</f>
        <v>0</v>
      </c>
      <c r="BZ344" t="str">
        <f>IF(D344=1,IF(TRIM(INDEX(Charge!$K:$K,ROW()))&lt;&gt;"",TRIM(INDEX(Charge!$K:$K,ROW())),IF(TRIM(INDEX(Charge!$L:$L,ROW()))&lt;&gt;"",TRIM(INDEX(Charge!$L:$L,ROW())),"(non affecté)")),"")</f>
        <v/>
      </c>
      <c r="CA344" t="str">
        <f>IF(AND($CD$4&lt;&gt;"",BZ344=$CD$4),COUNTIFS($BZ$4:$BZ$503,$CD$4,$L$4:$L$503,"&lt;"&amp;L344)+1,"")</f>
        <v/>
      </c>
      <c r="EM344" t="str">
        <f>IF(D344=1,IF(TRIM(INDEX(Charge!$K:$K,ROW()))&lt;&gt;"","Interne",IF(TRIM(INDEX(Charge!$L:$L,ROW()))&lt;&gt;"","Externe","Non affecté")),"")</f>
        <v/>
      </c>
      <c r="EN344" t="str">
        <f>IF(D344=1,LEFT(SUBSTITUTE(SUBSTITUTE(SUBSTITUTE(TRIM(SUBSTITUTE(INDEX(Charge!$B:$B,ROW()),CHAR(160)," "))&amp;" | "&amp;TRIM(SUBSTITUTE(INDEX(Charge!$C:$C,ROW()),CHAR(160)," "))&amp;" | "&amp;TRIM(SUBSTITUTE(INDEX(Charge!$D:$D,ROW()),CHAR(160)," ")),"~","-"),"*","+"),"?","!"),240),"")</f>
        <v/>
      </c>
      <c r="EO344">
        <f>IF(EN344="",0,IF(COUNTIF($EN$4:EN344,EN344)=1,1,0))</f>
        <v>0</v>
      </c>
      <c r="EP344" s="166" t="str">
        <f>IF(EO344=1,ROUND(SUMIF($EN$4:$EN$503,EN344,$E$4:$E$503),2),"")</f>
        <v/>
      </c>
      <c r="EQ344" t="str">
        <f>IF(EO344=1,COUNTIFS($EO$4:$EO$503,1,$EP$4:$EP$503,"&gt;"&amp;EP344)+COUNTIFS($EO$4:EO344,1,$EP$4:EP344,EP344),"")</f>
        <v/>
      </c>
      <c r="ER344" t="str">
        <f>IF(EO344=1,COUNTIFS($EN$4:$EN$503,EN344,$EM$4:$EM$503,"Interne",$FE$4:$FE$503,1),"")</f>
        <v/>
      </c>
      <c r="ES344" t="str">
        <f>IF(EO344=1,COUNTIFS($EN$4:$EN$503,EN344,$EM$4:$EM$503,"Externe",$FE$4:$FE$503,1),"")</f>
        <v/>
      </c>
      <c r="ET344" t="str">
        <f>IF(EO344=1,IF(ER344+ES344=0,"à affecter",IF(ER344=0,ES344&amp;" ext.",(ER344+ES344)&amp;IF(ES344&gt;0," dont "&amp;ES344&amp;" ext.",""))&amp;IF(COUNTIFS($EN$4:$EN$503,EN344,$EM$4:$EM$503,"Non affecté")&gt;0," + à affecter","")),"")</f>
        <v/>
      </c>
      <c r="EU344" s="170" t="str">
        <f>IF(EO344=1,IF(EP344&gt;0,SUMPRODUCT(($EN$4:$EN$503=EN344)*$E$4:$E$503*$C$4:$C$503)/EP344,AVERAGEIF($EN$4:$EN$503,EN344,$C$4:$C$503)),"")</f>
        <v/>
      </c>
      <c r="EV344" s="165">
        <f>IF(ISNUMBER(I344),I344,2958465)</f>
        <v>2958465.0</v>
      </c>
      <c r="EW344" s="165" t="str">
        <f>IF(EO344=1,SUMPRODUCT(MIN(($EN$4:$EN$503=EN344)*$EV$4:$EV$503+($EN$4:$EN$503&lt;&gt;EN344)*2958465)),"")</f>
        <v/>
      </c>
      <c r="EX344" s="165">
        <f>IF(AND(D344=1,ISNUMBER(INDEX(Charge!$F:$F,ROW()))),INDEX(Charge!$F:$F,ROW()),0)</f>
        <v>0.0</v>
      </c>
      <c r="EY344" s="165" t="str">
        <f>IF(EO344=1,SUMPRODUCT(MAX(($EN$4:$EN$503=EN344)*$EX$4:$EX$503)),"")</f>
        <v/>
      </c>
      <c r="FA344" t="str">
        <f>IF(341&lt;=$CD$23,INDEX($EJ$4:$EJ$203,341),IF(341-$CD$23&lt;=$CD$26,INDEX($EK$4:$EK$203,341-$CD$23),""))</f>
        <v/>
      </c>
      <c r="FB344" t="str">
        <f>IF(FA344="","",IF(341&lt;=$CD$23,"Interne","Externe"))</f>
        <v/>
      </c>
      <c r="FD344">
        <f>IF(AND(B344=1,TRIM(INDEX(Charge!$K:$K,ROW()))&lt;&gt;"",TRIM(INDEX(Charge!$L:$L,ROW()))&lt;&gt;""),1,0)</f>
        <v>0</v>
      </c>
      <c r="FE344">
        <f>IF(OR(EN344="",BZ344="(non affecté)"),0,IF(COUNTIFS($EN$4:EN344,EN344,$BZ$4:BZ344,BZ344)=1,1,0))</f>
        <v>0</v>
      </c>
    </row>
    <row r="345">
      <c r="A345">
        <f>ROW()</f>
        <v>345</v>
      </c>
      <c r="B345">
        <f>IF(TRIM(INDEX(Charge!$B:$B,ROW()))&lt;&gt;"",1,0)</f>
        <v>0</v>
      </c>
      <c r="C345">
        <f>IF(B345=1,MIN(1,MAX(0,N(INDEX(Charge!$O:$O,ROW())))),0)</f>
        <v>0</v>
      </c>
      <c r="D345">
        <f>IF(B345=1,IF(OR(p_Perimetre="Tous les projets",C345&lt;1),1,0),0)</f>
        <v>0</v>
      </c>
      <c r="E345">
        <f>IF(D345=1,MAX(0,N(INDEX(Charge!$M:$M,ROW()))),0)</f>
        <v>0</v>
      </c>
      <c r="F345" t="str">
        <f>IF(D345=1,IF(TRIM(INDEX(Charge!$A:$A,ROW()))="","(non renseigné)",TRIM(INDEX(Charge!$A:$A,ROW()))),"")</f>
        <v/>
      </c>
      <c r="G345" t="str">
        <f>IF(D345=1,TRIM(INDEX(Charge!$B:$B,ROW())),"")</f>
        <v/>
      </c>
      <c r="H345" t="str">
        <f>IF(D345=1,IF(TRIM(INDEX(Charge!$E:$E,ROW()))="","(non renseigné)",TRIM(INDEX(Charge!$E:$E,ROW()))),"")</f>
        <v/>
      </c>
      <c r="I345" s="165" t="str">
        <f>IF(AND(D345=1,ISNUMBER(INDEX(Charge!$N:$N,ROW()))),INDEX(Charge!$N:$N,ROW()),"")</f>
        <v/>
      </c>
      <c r="J345" s="165" t="str">
        <f>IF(I345="","",IF(AND(p_Repartition="Lissée jusqu'à la date de besoin",ISNUMBER(INDEX(Charge!$F:$F,ROW()))),IF(INDEX(Charge!$F:$F,ROW())&gt;=I345,INDEX(Charge!$F:$F,ROW()),I345),I345))</f>
        <v/>
      </c>
      <c r="K345" t="str">
        <f>IF(I345="","",NETWORKDAYS(I345,J345,Data!$K$4:$K$203))</f>
        <v/>
      </c>
      <c r="L345" t="str">
        <f>IF(D345=1,COUNTIFS($D$4:$D$503,1,$E$4:$E$503,"&gt;"&amp;E345)+COUNTIFS($D$4:$D345,1,$E$4:$E345,E345),"")</f>
        <v/>
      </c>
      <c r="M345">
        <f>IF(F345="",0,IF(COUNTIF($F$4:F345,F345)=1,1,0))</f>
        <v>0</v>
      </c>
      <c r="N345" t="str">
        <f>IF(M345=1,ROUND(SUMIF($F$4:$F$503,F345,$E$4:$E$503),2),"")</f>
        <v/>
      </c>
      <c r="O345" t="str">
        <f>IF(M345=1,COUNTIFS($M$4:$M$503,1,$N$4:$N$503,"&gt;"&amp;N345)+COUNTIFS($M$4:M345,1,$N$4:N345,N345),"")</f>
        <v/>
      </c>
      <c r="P345">
        <f>IF(G345="",0,IF(COUNTIF($G$4:G345,G345)=1,1,0))</f>
        <v>0</v>
      </c>
      <c r="Q345" t="str">
        <f>IF(P345=1,ROUND(SUMIF($G$4:$G$503,G345,$E$4:$E$503),2),"")</f>
        <v/>
      </c>
      <c r="R345" t="str">
        <f>IF(P345=1,COUNTIFS($P$4:$P$503,1,$Q$4:$Q$503,"&gt;"&amp;Q345)+COUNTIFS($P$4:P345,1,$Q$4:Q345,Q345),"")</f>
        <v/>
      </c>
      <c r="S345">
        <f>IF(H345="",0,IF(COUNTIF($H$4:H345,H345)=1,1,0))</f>
        <v>0</v>
      </c>
      <c r="T345" t="str">
        <f>IF(S345=1,ROUND(SUMIF($H$4:$H$503,H345,$E$4:$E$503),2),"")</f>
        <v/>
      </c>
      <c r="U345" t="str">
        <f>IF(S345=1,COUNTIFS($S$4:$S$503,1,$T$4:$T$503,"&gt;"&amp;T345)+COUNTIFS($S$4:S345,1,$T$4:T345,T345),"")</f>
        <v/>
      </c>
      <c r="V345" t="str">
        <f>IF(D345=1,MIN(INDEX($R$4:$R$503,MATCH(G345,$G$4:$G$503,0)),IF($AL$7&gt;9,9,999)),"")</f>
        <v/>
      </c>
      <c r="W345" s="166">
        <f>IF(OR($I345="",$E345=0),0,IF(OR($J345&lt;W$3,$I345&gt;W$2),0,IF($K345=0,IF(AND($I345&gt;=W$3,$I345&lt;=W$2),$E345,0),$E345*NETWORKDAYS(MAX($I345,W$3),MIN($J345,W$2),Data!$K$4:$K$203)/$K345)))</f>
        <v>0</v>
      </c>
      <c r="X345" s="166">
        <f>IF(OR($I345="",$E345=0),0,IF(OR($J345&lt;X$3,$I345&gt;X$2),0,IF($K345=0,IF(AND($I345&gt;=X$3,$I345&lt;=X$2),$E345,0),$E345*NETWORKDAYS(MAX($I345,X$3),MIN($J345,X$2),Data!$K$4:$K$203)/$K345)))</f>
        <v>0</v>
      </c>
      <c r="Y345" s="166">
        <f>IF(OR($I345="",$E345=0),0,IF(OR($J345&lt;Y$3,$I345&gt;Y$2),0,IF($K345=0,IF(AND($I345&gt;=Y$3,$I345&lt;=Y$2),$E345,0),$E345*NETWORKDAYS(MAX($I345,Y$3),MIN($J345,Y$2),Data!$K$4:$K$203)/$K345)))</f>
        <v>0</v>
      </c>
      <c r="Z345" s="166">
        <f>IF(OR($I345="",$E345=0),0,IF(OR($J345&lt;Z$3,$I345&gt;Z$2),0,IF($K345=0,IF(AND($I345&gt;=Z$3,$I345&lt;=Z$2),$E345,0),$E345*NETWORKDAYS(MAX($I345,Z$3),MIN($J345,Z$2),Data!$K$4:$K$203)/$K345)))</f>
        <v>0</v>
      </c>
      <c r="AA345" s="166">
        <f>IF(OR($I345="",$E345=0),0,IF(OR($J345&lt;AA$3,$I345&gt;AA$2),0,IF($K345=0,IF(AND($I345&gt;=AA$3,$I345&lt;=AA$2),$E345,0),$E345*NETWORKDAYS(MAX($I345,AA$3),MIN($J345,AA$2),Data!$K$4:$K$203)/$K345)))</f>
        <v>0</v>
      </c>
      <c r="AB345" s="166">
        <f>IF(OR($I345="",$E345=0),0,IF(OR($J345&lt;AB$3,$I345&gt;AB$2),0,IF($K345=0,IF(AND($I345&gt;=AB$3,$I345&lt;=AB$2),$E345,0),$E345*NETWORKDAYS(MAX($I345,AB$3),MIN($J345,AB$2),Data!$K$4:$K$203)/$K345)))</f>
        <v>0</v>
      </c>
      <c r="AC345" s="166">
        <f>IF(OR($I345="",$E345=0),0,IF(OR($J345&lt;AC$3,$I345&gt;AC$2),0,IF($K345=0,IF(AND($I345&gt;=AC$3,$I345&lt;=AC$2),$E345,0),$E345*NETWORKDAYS(MAX($I345,AC$3),MIN($J345,AC$2),Data!$K$4:$K$203)/$K345)))</f>
        <v>0</v>
      </c>
      <c r="AD345" s="166">
        <f>IF(OR($I345="",$E345=0),0,IF(OR($J345&lt;AD$3,$I345&gt;AD$2),0,IF($K345=0,IF(AND($I345&gt;=AD$3,$I345&lt;=AD$2),$E345,0),$E345*NETWORKDAYS(MAX($I345,AD$3),MIN($J345,AD$2),Data!$K$4:$K$203)/$K345)))</f>
        <v>0</v>
      </c>
      <c r="AE345" s="166">
        <f>IF(OR($I345="",$E345=0),0,IF(OR($J345&lt;AE$3,$I345&gt;AE$2),0,IF($K345=0,IF(AND($I345&gt;=AE$3,$I345&lt;=AE$2),$E345,0),$E345*NETWORKDAYS(MAX($I345,AE$3),MIN($J345,AE$2),Data!$K$4:$K$203)/$K345)))</f>
        <v>0</v>
      </c>
      <c r="AF345" s="166">
        <f>IF(OR($I345="",$E345=0),0,IF(OR($J345&lt;AF$3,$I345&gt;AF$2),0,IF($K345=0,IF(AND($I345&gt;=AF$3,$I345&lt;=AF$2),$E345,0),$E345*NETWORKDAYS(MAX($I345,AF$3),MIN($J345,AF$2),Data!$K$4:$K$203)/$K345)))</f>
        <v>0</v>
      </c>
      <c r="AG345" s="166">
        <f>IF(OR($I345="",$E345=0),0,IF(OR($J345&lt;AG$3,$I345&gt;AG$2),0,IF($K345=0,IF(AND($I345&gt;=AG$3,$I345&lt;=AG$2),$E345,0),$E345*NETWORKDAYS(MAX($I345,AG$3),MIN($J345,AG$2),Data!$K$4:$K$203)/$K345)))</f>
        <v>0</v>
      </c>
      <c r="AH345" s="166">
        <f>IF(OR($I345="",$E345=0),0,IF(OR($J345&lt;AH$3,$I345&gt;AH$2),0,IF($K345=0,IF(AND($I345&gt;=AH$3,$I345&lt;=AH$2),$E345,0),$E345*NETWORKDAYS(MAX($I345,AH$3),MIN($J345,AH$2),Data!$K$4:$K$203)/$K345)))</f>
        <v>0</v>
      </c>
      <c r="AI345" s="166">
        <f>SUM(W345:AH345)</f>
        <v>0</v>
      </c>
      <c r="BZ345" t="str">
        <f>IF(D345=1,IF(TRIM(INDEX(Charge!$K:$K,ROW()))&lt;&gt;"",TRIM(INDEX(Charge!$K:$K,ROW())),IF(TRIM(INDEX(Charge!$L:$L,ROW()))&lt;&gt;"",TRIM(INDEX(Charge!$L:$L,ROW())),"(non affecté)")),"")</f>
        <v/>
      </c>
      <c r="CA345" t="str">
        <f>IF(AND($CD$4&lt;&gt;"",BZ345=$CD$4),COUNTIFS($BZ$4:$BZ$503,$CD$4,$L$4:$L$503,"&lt;"&amp;L345)+1,"")</f>
        <v/>
      </c>
      <c r="EM345" t="str">
        <f>IF(D345=1,IF(TRIM(INDEX(Charge!$K:$K,ROW()))&lt;&gt;"","Interne",IF(TRIM(INDEX(Charge!$L:$L,ROW()))&lt;&gt;"","Externe","Non affecté")),"")</f>
        <v/>
      </c>
      <c r="EN345" t="str">
        <f>IF(D345=1,LEFT(SUBSTITUTE(SUBSTITUTE(SUBSTITUTE(TRIM(SUBSTITUTE(INDEX(Charge!$B:$B,ROW()),CHAR(160)," "))&amp;" | "&amp;TRIM(SUBSTITUTE(INDEX(Charge!$C:$C,ROW()),CHAR(160)," "))&amp;" | "&amp;TRIM(SUBSTITUTE(INDEX(Charge!$D:$D,ROW()),CHAR(160)," ")),"~","-"),"*","+"),"?","!"),240),"")</f>
        <v/>
      </c>
      <c r="EO345">
        <f>IF(EN345="",0,IF(COUNTIF($EN$4:EN345,EN345)=1,1,0))</f>
        <v>0</v>
      </c>
      <c r="EP345" s="166" t="str">
        <f>IF(EO345=1,ROUND(SUMIF($EN$4:$EN$503,EN345,$E$4:$E$503),2),"")</f>
        <v/>
      </c>
      <c r="EQ345" t="str">
        <f>IF(EO345=1,COUNTIFS($EO$4:$EO$503,1,$EP$4:$EP$503,"&gt;"&amp;EP345)+COUNTIFS($EO$4:EO345,1,$EP$4:EP345,EP345),"")</f>
        <v/>
      </c>
      <c r="ER345" t="str">
        <f>IF(EO345=1,COUNTIFS($EN$4:$EN$503,EN345,$EM$4:$EM$503,"Interne",$FE$4:$FE$503,1),"")</f>
        <v/>
      </c>
      <c r="ES345" t="str">
        <f>IF(EO345=1,COUNTIFS($EN$4:$EN$503,EN345,$EM$4:$EM$503,"Externe",$FE$4:$FE$503,1),"")</f>
        <v/>
      </c>
      <c r="ET345" t="str">
        <f>IF(EO345=1,IF(ER345+ES345=0,"à affecter",IF(ER345=0,ES345&amp;" ext.",(ER345+ES345)&amp;IF(ES345&gt;0," dont "&amp;ES345&amp;" ext.",""))&amp;IF(COUNTIFS($EN$4:$EN$503,EN345,$EM$4:$EM$503,"Non affecté")&gt;0," + à affecter","")),"")</f>
        <v/>
      </c>
      <c r="EU345" s="170" t="str">
        <f>IF(EO345=1,IF(EP345&gt;0,SUMPRODUCT(($EN$4:$EN$503=EN345)*$E$4:$E$503*$C$4:$C$503)/EP345,AVERAGEIF($EN$4:$EN$503,EN345,$C$4:$C$503)),"")</f>
        <v/>
      </c>
      <c r="EV345" s="165">
        <f>IF(ISNUMBER(I345),I345,2958465)</f>
        <v>2958465.0</v>
      </c>
      <c r="EW345" s="165" t="str">
        <f>IF(EO345=1,SUMPRODUCT(MIN(($EN$4:$EN$503=EN345)*$EV$4:$EV$503+($EN$4:$EN$503&lt;&gt;EN345)*2958465)),"")</f>
        <v/>
      </c>
      <c r="EX345" s="165">
        <f>IF(AND(D345=1,ISNUMBER(INDEX(Charge!$F:$F,ROW()))),INDEX(Charge!$F:$F,ROW()),0)</f>
        <v>0.0</v>
      </c>
      <c r="EY345" s="165" t="str">
        <f>IF(EO345=1,SUMPRODUCT(MAX(($EN$4:$EN$503=EN345)*$EX$4:$EX$503)),"")</f>
        <v/>
      </c>
      <c r="FA345" t="str">
        <f>IF(342&lt;=$CD$23,INDEX($EJ$4:$EJ$203,342),IF(342-$CD$23&lt;=$CD$26,INDEX($EK$4:$EK$203,342-$CD$23),""))</f>
        <v/>
      </c>
      <c r="FB345" t="str">
        <f>IF(FA345="","",IF(342&lt;=$CD$23,"Interne","Externe"))</f>
        <v/>
      </c>
      <c r="FD345">
        <f>IF(AND(B345=1,TRIM(INDEX(Charge!$K:$K,ROW()))&lt;&gt;"",TRIM(INDEX(Charge!$L:$L,ROW()))&lt;&gt;""),1,0)</f>
        <v>0</v>
      </c>
      <c r="FE345">
        <f>IF(OR(EN345="",BZ345="(non affecté)"),0,IF(COUNTIFS($EN$4:EN345,EN345,$BZ$4:BZ345,BZ345)=1,1,0))</f>
        <v>0</v>
      </c>
    </row>
    <row r="346">
      <c r="A346">
        <f>ROW()</f>
        <v>346</v>
      </c>
      <c r="B346">
        <f>IF(TRIM(INDEX(Charge!$B:$B,ROW()))&lt;&gt;"",1,0)</f>
        <v>0</v>
      </c>
      <c r="C346">
        <f>IF(B346=1,MIN(1,MAX(0,N(INDEX(Charge!$O:$O,ROW())))),0)</f>
        <v>0</v>
      </c>
      <c r="D346">
        <f>IF(B346=1,IF(OR(p_Perimetre="Tous les projets",C346&lt;1),1,0),0)</f>
        <v>0</v>
      </c>
      <c r="E346">
        <f>IF(D346=1,MAX(0,N(INDEX(Charge!$M:$M,ROW()))),0)</f>
        <v>0</v>
      </c>
      <c r="F346" t="str">
        <f>IF(D346=1,IF(TRIM(INDEX(Charge!$A:$A,ROW()))="","(non renseigné)",TRIM(INDEX(Charge!$A:$A,ROW()))),"")</f>
        <v/>
      </c>
      <c r="G346" t="str">
        <f>IF(D346=1,TRIM(INDEX(Charge!$B:$B,ROW())),"")</f>
        <v/>
      </c>
      <c r="H346" t="str">
        <f>IF(D346=1,IF(TRIM(INDEX(Charge!$E:$E,ROW()))="","(non renseigné)",TRIM(INDEX(Charge!$E:$E,ROW()))),"")</f>
        <v/>
      </c>
      <c r="I346" s="165" t="str">
        <f>IF(AND(D346=1,ISNUMBER(INDEX(Charge!$N:$N,ROW()))),INDEX(Charge!$N:$N,ROW()),"")</f>
        <v/>
      </c>
      <c r="J346" s="165" t="str">
        <f>IF(I346="","",IF(AND(p_Repartition="Lissée jusqu'à la date de besoin",ISNUMBER(INDEX(Charge!$F:$F,ROW()))),IF(INDEX(Charge!$F:$F,ROW())&gt;=I346,INDEX(Charge!$F:$F,ROW()),I346),I346))</f>
        <v/>
      </c>
      <c r="K346" t="str">
        <f>IF(I346="","",NETWORKDAYS(I346,J346,Data!$K$4:$K$203))</f>
        <v/>
      </c>
      <c r="L346" t="str">
        <f>IF(D346=1,COUNTIFS($D$4:$D$503,1,$E$4:$E$503,"&gt;"&amp;E346)+COUNTIFS($D$4:$D346,1,$E$4:$E346,E346),"")</f>
        <v/>
      </c>
      <c r="M346">
        <f>IF(F346="",0,IF(COUNTIF($F$4:F346,F346)=1,1,0))</f>
        <v>0</v>
      </c>
      <c r="N346" t="str">
        <f>IF(M346=1,ROUND(SUMIF($F$4:$F$503,F346,$E$4:$E$503),2),"")</f>
        <v/>
      </c>
      <c r="O346" t="str">
        <f>IF(M346=1,COUNTIFS($M$4:$M$503,1,$N$4:$N$503,"&gt;"&amp;N346)+COUNTIFS($M$4:M346,1,$N$4:N346,N346),"")</f>
        <v/>
      </c>
      <c r="P346">
        <f>IF(G346="",0,IF(COUNTIF($G$4:G346,G346)=1,1,0))</f>
        <v>0</v>
      </c>
      <c r="Q346" t="str">
        <f>IF(P346=1,ROUND(SUMIF($G$4:$G$503,G346,$E$4:$E$503),2),"")</f>
        <v/>
      </c>
      <c r="R346" t="str">
        <f>IF(P346=1,COUNTIFS($P$4:$P$503,1,$Q$4:$Q$503,"&gt;"&amp;Q346)+COUNTIFS($P$4:P346,1,$Q$4:Q346,Q346),"")</f>
        <v/>
      </c>
      <c r="S346">
        <f>IF(H346="",0,IF(COUNTIF($H$4:H346,H346)=1,1,0))</f>
        <v>0</v>
      </c>
      <c r="T346" t="str">
        <f>IF(S346=1,ROUND(SUMIF($H$4:$H$503,H346,$E$4:$E$503),2),"")</f>
        <v/>
      </c>
      <c r="U346" t="str">
        <f>IF(S346=1,COUNTIFS($S$4:$S$503,1,$T$4:$T$503,"&gt;"&amp;T346)+COUNTIFS($S$4:S346,1,$T$4:T346,T346),"")</f>
        <v/>
      </c>
      <c r="V346" t="str">
        <f>IF(D346=1,MIN(INDEX($R$4:$R$503,MATCH(G346,$G$4:$G$503,0)),IF($AL$7&gt;9,9,999)),"")</f>
        <v/>
      </c>
      <c r="W346" s="166">
        <f>IF(OR($I346="",$E346=0),0,IF(OR($J346&lt;W$3,$I346&gt;W$2),0,IF($K346=0,IF(AND($I346&gt;=W$3,$I346&lt;=W$2),$E346,0),$E346*NETWORKDAYS(MAX($I346,W$3),MIN($J346,W$2),Data!$K$4:$K$203)/$K346)))</f>
        <v>0</v>
      </c>
      <c r="X346" s="166">
        <f>IF(OR($I346="",$E346=0),0,IF(OR($J346&lt;X$3,$I346&gt;X$2),0,IF($K346=0,IF(AND($I346&gt;=X$3,$I346&lt;=X$2),$E346,0),$E346*NETWORKDAYS(MAX($I346,X$3),MIN($J346,X$2),Data!$K$4:$K$203)/$K346)))</f>
        <v>0</v>
      </c>
      <c r="Y346" s="166">
        <f>IF(OR($I346="",$E346=0),0,IF(OR($J346&lt;Y$3,$I346&gt;Y$2),0,IF($K346=0,IF(AND($I346&gt;=Y$3,$I346&lt;=Y$2),$E346,0),$E346*NETWORKDAYS(MAX($I346,Y$3),MIN($J346,Y$2),Data!$K$4:$K$203)/$K346)))</f>
        <v>0</v>
      </c>
      <c r="Z346" s="166">
        <f>IF(OR($I346="",$E346=0),0,IF(OR($J346&lt;Z$3,$I346&gt;Z$2),0,IF($K346=0,IF(AND($I346&gt;=Z$3,$I346&lt;=Z$2),$E346,0),$E346*NETWORKDAYS(MAX($I346,Z$3),MIN($J346,Z$2),Data!$K$4:$K$203)/$K346)))</f>
        <v>0</v>
      </c>
      <c r="AA346" s="166">
        <f>IF(OR($I346="",$E346=0),0,IF(OR($J346&lt;AA$3,$I346&gt;AA$2),0,IF($K346=0,IF(AND($I346&gt;=AA$3,$I346&lt;=AA$2),$E346,0),$E346*NETWORKDAYS(MAX($I346,AA$3),MIN($J346,AA$2),Data!$K$4:$K$203)/$K346)))</f>
        <v>0</v>
      </c>
      <c r="AB346" s="166">
        <f>IF(OR($I346="",$E346=0),0,IF(OR($J346&lt;AB$3,$I346&gt;AB$2),0,IF($K346=0,IF(AND($I346&gt;=AB$3,$I346&lt;=AB$2),$E346,0),$E346*NETWORKDAYS(MAX($I346,AB$3),MIN($J346,AB$2),Data!$K$4:$K$203)/$K346)))</f>
        <v>0</v>
      </c>
      <c r="AC346" s="166">
        <f>IF(OR($I346="",$E346=0),0,IF(OR($J346&lt;AC$3,$I346&gt;AC$2),0,IF($K346=0,IF(AND($I346&gt;=AC$3,$I346&lt;=AC$2),$E346,0),$E346*NETWORKDAYS(MAX($I346,AC$3),MIN($J346,AC$2),Data!$K$4:$K$203)/$K346)))</f>
        <v>0</v>
      </c>
      <c r="AD346" s="166">
        <f>IF(OR($I346="",$E346=0),0,IF(OR($J346&lt;AD$3,$I346&gt;AD$2),0,IF($K346=0,IF(AND($I346&gt;=AD$3,$I346&lt;=AD$2),$E346,0),$E346*NETWORKDAYS(MAX($I346,AD$3),MIN($J346,AD$2),Data!$K$4:$K$203)/$K346)))</f>
        <v>0</v>
      </c>
      <c r="AE346" s="166">
        <f>IF(OR($I346="",$E346=0),0,IF(OR($J346&lt;AE$3,$I346&gt;AE$2),0,IF($K346=0,IF(AND($I346&gt;=AE$3,$I346&lt;=AE$2),$E346,0),$E346*NETWORKDAYS(MAX($I346,AE$3),MIN($J346,AE$2),Data!$K$4:$K$203)/$K346)))</f>
        <v>0</v>
      </c>
      <c r="AF346" s="166">
        <f>IF(OR($I346="",$E346=0),0,IF(OR($J346&lt;AF$3,$I346&gt;AF$2),0,IF($K346=0,IF(AND($I346&gt;=AF$3,$I346&lt;=AF$2),$E346,0),$E346*NETWORKDAYS(MAX($I346,AF$3),MIN($J346,AF$2),Data!$K$4:$K$203)/$K346)))</f>
        <v>0</v>
      </c>
      <c r="AG346" s="166">
        <f>IF(OR($I346="",$E346=0),0,IF(OR($J346&lt;AG$3,$I346&gt;AG$2),0,IF($K346=0,IF(AND($I346&gt;=AG$3,$I346&lt;=AG$2),$E346,0),$E346*NETWORKDAYS(MAX($I346,AG$3),MIN($J346,AG$2),Data!$K$4:$K$203)/$K346)))</f>
        <v>0</v>
      </c>
      <c r="AH346" s="166">
        <f>IF(OR($I346="",$E346=0),0,IF(OR($J346&lt;AH$3,$I346&gt;AH$2),0,IF($K346=0,IF(AND($I346&gt;=AH$3,$I346&lt;=AH$2),$E346,0),$E346*NETWORKDAYS(MAX($I346,AH$3),MIN($J346,AH$2),Data!$K$4:$K$203)/$K346)))</f>
        <v>0</v>
      </c>
      <c r="AI346" s="166">
        <f>SUM(W346:AH346)</f>
        <v>0</v>
      </c>
      <c r="BZ346" t="str">
        <f>IF(D346=1,IF(TRIM(INDEX(Charge!$K:$K,ROW()))&lt;&gt;"",TRIM(INDEX(Charge!$K:$K,ROW())),IF(TRIM(INDEX(Charge!$L:$L,ROW()))&lt;&gt;"",TRIM(INDEX(Charge!$L:$L,ROW())),"(non affecté)")),"")</f>
        <v/>
      </c>
      <c r="CA346" t="str">
        <f>IF(AND($CD$4&lt;&gt;"",BZ346=$CD$4),COUNTIFS($BZ$4:$BZ$503,$CD$4,$L$4:$L$503,"&lt;"&amp;L346)+1,"")</f>
        <v/>
      </c>
      <c r="EM346" t="str">
        <f>IF(D346=1,IF(TRIM(INDEX(Charge!$K:$K,ROW()))&lt;&gt;"","Interne",IF(TRIM(INDEX(Charge!$L:$L,ROW()))&lt;&gt;"","Externe","Non affecté")),"")</f>
        <v/>
      </c>
      <c r="EN346" t="str">
        <f>IF(D346=1,LEFT(SUBSTITUTE(SUBSTITUTE(SUBSTITUTE(TRIM(SUBSTITUTE(INDEX(Charge!$B:$B,ROW()),CHAR(160)," "))&amp;" | "&amp;TRIM(SUBSTITUTE(INDEX(Charge!$C:$C,ROW()),CHAR(160)," "))&amp;" | "&amp;TRIM(SUBSTITUTE(INDEX(Charge!$D:$D,ROW()),CHAR(160)," ")),"~","-"),"*","+"),"?","!"),240),"")</f>
        <v/>
      </c>
      <c r="EO346">
        <f>IF(EN346="",0,IF(COUNTIF($EN$4:EN346,EN346)=1,1,0))</f>
        <v>0</v>
      </c>
      <c r="EP346" s="166" t="str">
        <f>IF(EO346=1,ROUND(SUMIF($EN$4:$EN$503,EN346,$E$4:$E$503),2),"")</f>
        <v/>
      </c>
      <c r="EQ346" t="str">
        <f>IF(EO346=1,COUNTIFS($EO$4:$EO$503,1,$EP$4:$EP$503,"&gt;"&amp;EP346)+COUNTIFS($EO$4:EO346,1,$EP$4:EP346,EP346),"")</f>
        <v/>
      </c>
      <c r="ER346" t="str">
        <f>IF(EO346=1,COUNTIFS($EN$4:$EN$503,EN346,$EM$4:$EM$503,"Interne",$FE$4:$FE$503,1),"")</f>
        <v/>
      </c>
      <c r="ES346" t="str">
        <f>IF(EO346=1,COUNTIFS($EN$4:$EN$503,EN346,$EM$4:$EM$503,"Externe",$FE$4:$FE$503,1),"")</f>
        <v/>
      </c>
      <c r="ET346" t="str">
        <f>IF(EO346=1,IF(ER346+ES346=0,"à affecter",IF(ER346=0,ES346&amp;" ext.",(ER346+ES346)&amp;IF(ES346&gt;0," dont "&amp;ES346&amp;" ext.",""))&amp;IF(COUNTIFS($EN$4:$EN$503,EN346,$EM$4:$EM$503,"Non affecté")&gt;0," + à affecter","")),"")</f>
        <v/>
      </c>
      <c r="EU346" s="170" t="str">
        <f>IF(EO346=1,IF(EP346&gt;0,SUMPRODUCT(($EN$4:$EN$503=EN346)*$E$4:$E$503*$C$4:$C$503)/EP346,AVERAGEIF($EN$4:$EN$503,EN346,$C$4:$C$503)),"")</f>
        <v/>
      </c>
      <c r="EV346" s="165">
        <f>IF(ISNUMBER(I346),I346,2958465)</f>
        <v>2958465.0</v>
      </c>
      <c r="EW346" s="165" t="str">
        <f>IF(EO346=1,SUMPRODUCT(MIN(($EN$4:$EN$503=EN346)*$EV$4:$EV$503+($EN$4:$EN$503&lt;&gt;EN346)*2958465)),"")</f>
        <v/>
      </c>
      <c r="EX346" s="165">
        <f>IF(AND(D346=1,ISNUMBER(INDEX(Charge!$F:$F,ROW()))),INDEX(Charge!$F:$F,ROW()),0)</f>
        <v>0.0</v>
      </c>
      <c r="EY346" s="165" t="str">
        <f>IF(EO346=1,SUMPRODUCT(MAX(($EN$4:$EN$503=EN346)*$EX$4:$EX$503)),"")</f>
        <v/>
      </c>
      <c r="FA346" t="str">
        <f>IF(343&lt;=$CD$23,INDEX($EJ$4:$EJ$203,343),IF(343-$CD$23&lt;=$CD$26,INDEX($EK$4:$EK$203,343-$CD$23),""))</f>
        <v/>
      </c>
      <c r="FB346" t="str">
        <f>IF(FA346="","",IF(343&lt;=$CD$23,"Interne","Externe"))</f>
        <v/>
      </c>
      <c r="FD346">
        <f>IF(AND(B346=1,TRIM(INDEX(Charge!$K:$K,ROW()))&lt;&gt;"",TRIM(INDEX(Charge!$L:$L,ROW()))&lt;&gt;""),1,0)</f>
        <v>0</v>
      </c>
      <c r="FE346">
        <f>IF(OR(EN346="",BZ346="(non affecté)"),0,IF(COUNTIFS($EN$4:EN346,EN346,$BZ$4:BZ346,BZ346)=1,1,0))</f>
        <v>0</v>
      </c>
    </row>
    <row r="347">
      <c r="A347">
        <f>ROW()</f>
        <v>347</v>
      </c>
      <c r="B347">
        <f>IF(TRIM(INDEX(Charge!$B:$B,ROW()))&lt;&gt;"",1,0)</f>
        <v>0</v>
      </c>
      <c r="C347">
        <f>IF(B347=1,MIN(1,MAX(0,N(INDEX(Charge!$O:$O,ROW())))),0)</f>
        <v>0</v>
      </c>
      <c r="D347">
        <f>IF(B347=1,IF(OR(p_Perimetre="Tous les projets",C347&lt;1),1,0),0)</f>
        <v>0</v>
      </c>
      <c r="E347">
        <f>IF(D347=1,MAX(0,N(INDEX(Charge!$M:$M,ROW()))),0)</f>
        <v>0</v>
      </c>
      <c r="F347" t="str">
        <f>IF(D347=1,IF(TRIM(INDEX(Charge!$A:$A,ROW()))="","(non renseigné)",TRIM(INDEX(Charge!$A:$A,ROW()))),"")</f>
        <v/>
      </c>
      <c r="G347" t="str">
        <f>IF(D347=1,TRIM(INDEX(Charge!$B:$B,ROW())),"")</f>
        <v/>
      </c>
      <c r="H347" t="str">
        <f>IF(D347=1,IF(TRIM(INDEX(Charge!$E:$E,ROW()))="","(non renseigné)",TRIM(INDEX(Charge!$E:$E,ROW()))),"")</f>
        <v/>
      </c>
      <c r="I347" s="165" t="str">
        <f>IF(AND(D347=1,ISNUMBER(INDEX(Charge!$N:$N,ROW()))),INDEX(Charge!$N:$N,ROW()),"")</f>
        <v/>
      </c>
      <c r="J347" s="165" t="str">
        <f>IF(I347="","",IF(AND(p_Repartition="Lissée jusqu'à la date de besoin",ISNUMBER(INDEX(Charge!$F:$F,ROW()))),IF(INDEX(Charge!$F:$F,ROW())&gt;=I347,INDEX(Charge!$F:$F,ROW()),I347),I347))</f>
        <v/>
      </c>
      <c r="K347" t="str">
        <f>IF(I347="","",NETWORKDAYS(I347,J347,Data!$K$4:$K$203))</f>
        <v/>
      </c>
      <c r="L347" t="str">
        <f>IF(D347=1,COUNTIFS($D$4:$D$503,1,$E$4:$E$503,"&gt;"&amp;E347)+COUNTIFS($D$4:$D347,1,$E$4:$E347,E347),"")</f>
        <v/>
      </c>
      <c r="M347">
        <f>IF(F347="",0,IF(COUNTIF($F$4:F347,F347)=1,1,0))</f>
        <v>0</v>
      </c>
      <c r="N347" t="str">
        <f>IF(M347=1,ROUND(SUMIF($F$4:$F$503,F347,$E$4:$E$503),2),"")</f>
        <v/>
      </c>
      <c r="O347" t="str">
        <f>IF(M347=1,COUNTIFS($M$4:$M$503,1,$N$4:$N$503,"&gt;"&amp;N347)+COUNTIFS($M$4:M347,1,$N$4:N347,N347),"")</f>
        <v/>
      </c>
      <c r="P347">
        <f>IF(G347="",0,IF(COUNTIF($G$4:G347,G347)=1,1,0))</f>
        <v>0</v>
      </c>
      <c r="Q347" t="str">
        <f>IF(P347=1,ROUND(SUMIF($G$4:$G$503,G347,$E$4:$E$503),2),"")</f>
        <v/>
      </c>
      <c r="R347" t="str">
        <f>IF(P347=1,COUNTIFS($P$4:$P$503,1,$Q$4:$Q$503,"&gt;"&amp;Q347)+COUNTIFS($P$4:P347,1,$Q$4:Q347,Q347),"")</f>
        <v/>
      </c>
      <c r="S347">
        <f>IF(H347="",0,IF(COUNTIF($H$4:H347,H347)=1,1,0))</f>
        <v>0</v>
      </c>
      <c r="T347" t="str">
        <f>IF(S347=1,ROUND(SUMIF($H$4:$H$503,H347,$E$4:$E$503),2),"")</f>
        <v/>
      </c>
      <c r="U347" t="str">
        <f>IF(S347=1,COUNTIFS($S$4:$S$503,1,$T$4:$T$503,"&gt;"&amp;T347)+COUNTIFS($S$4:S347,1,$T$4:T347,T347),"")</f>
        <v/>
      </c>
      <c r="V347" t="str">
        <f>IF(D347=1,MIN(INDEX($R$4:$R$503,MATCH(G347,$G$4:$G$503,0)),IF($AL$7&gt;9,9,999)),"")</f>
        <v/>
      </c>
      <c r="W347" s="166">
        <f>IF(OR($I347="",$E347=0),0,IF(OR($J347&lt;W$3,$I347&gt;W$2),0,IF($K347=0,IF(AND($I347&gt;=W$3,$I347&lt;=W$2),$E347,0),$E347*NETWORKDAYS(MAX($I347,W$3),MIN($J347,W$2),Data!$K$4:$K$203)/$K347)))</f>
        <v>0</v>
      </c>
      <c r="X347" s="166">
        <f>IF(OR($I347="",$E347=0),0,IF(OR($J347&lt;X$3,$I347&gt;X$2),0,IF($K347=0,IF(AND($I347&gt;=X$3,$I347&lt;=X$2),$E347,0),$E347*NETWORKDAYS(MAX($I347,X$3),MIN($J347,X$2),Data!$K$4:$K$203)/$K347)))</f>
        <v>0</v>
      </c>
      <c r="Y347" s="166">
        <f>IF(OR($I347="",$E347=0),0,IF(OR($J347&lt;Y$3,$I347&gt;Y$2),0,IF($K347=0,IF(AND($I347&gt;=Y$3,$I347&lt;=Y$2),$E347,0),$E347*NETWORKDAYS(MAX($I347,Y$3),MIN($J347,Y$2),Data!$K$4:$K$203)/$K347)))</f>
        <v>0</v>
      </c>
      <c r="Z347" s="166">
        <f>IF(OR($I347="",$E347=0),0,IF(OR($J347&lt;Z$3,$I347&gt;Z$2),0,IF($K347=0,IF(AND($I347&gt;=Z$3,$I347&lt;=Z$2),$E347,0),$E347*NETWORKDAYS(MAX($I347,Z$3),MIN($J347,Z$2),Data!$K$4:$K$203)/$K347)))</f>
        <v>0</v>
      </c>
      <c r="AA347" s="166">
        <f>IF(OR($I347="",$E347=0),0,IF(OR($J347&lt;AA$3,$I347&gt;AA$2),0,IF($K347=0,IF(AND($I347&gt;=AA$3,$I347&lt;=AA$2),$E347,0),$E347*NETWORKDAYS(MAX($I347,AA$3),MIN($J347,AA$2),Data!$K$4:$K$203)/$K347)))</f>
        <v>0</v>
      </c>
      <c r="AB347" s="166">
        <f>IF(OR($I347="",$E347=0),0,IF(OR($J347&lt;AB$3,$I347&gt;AB$2),0,IF($K347=0,IF(AND($I347&gt;=AB$3,$I347&lt;=AB$2),$E347,0),$E347*NETWORKDAYS(MAX($I347,AB$3),MIN($J347,AB$2),Data!$K$4:$K$203)/$K347)))</f>
        <v>0</v>
      </c>
      <c r="AC347" s="166">
        <f>IF(OR($I347="",$E347=0),0,IF(OR($J347&lt;AC$3,$I347&gt;AC$2),0,IF($K347=0,IF(AND($I347&gt;=AC$3,$I347&lt;=AC$2),$E347,0),$E347*NETWORKDAYS(MAX($I347,AC$3),MIN($J347,AC$2),Data!$K$4:$K$203)/$K347)))</f>
        <v>0</v>
      </c>
      <c r="AD347" s="166">
        <f>IF(OR($I347="",$E347=0),0,IF(OR($J347&lt;AD$3,$I347&gt;AD$2),0,IF($K347=0,IF(AND($I347&gt;=AD$3,$I347&lt;=AD$2),$E347,0),$E347*NETWORKDAYS(MAX($I347,AD$3),MIN($J347,AD$2),Data!$K$4:$K$203)/$K347)))</f>
        <v>0</v>
      </c>
      <c r="AE347" s="166">
        <f>IF(OR($I347="",$E347=0),0,IF(OR($J347&lt;AE$3,$I347&gt;AE$2),0,IF($K347=0,IF(AND($I347&gt;=AE$3,$I347&lt;=AE$2),$E347,0),$E347*NETWORKDAYS(MAX($I347,AE$3),MIN($J347,AE$2),Data!$K$4:$K$203)/$K347)))</f>
        <v>0</v>
      </c>
      <c r="AF347" s="166">
        <f>IF(OR($I347="",$E347=0),0,IF(OR($J347&lt;AF$3,$I347&gt;AF$2),0,IF($K347=0,IF(AND($I347&gt;=AF$3,$I347&lt;=AF$2),$E347,0),$E347*NETWORKDAYS(MAX($I347,AF$3),MIN($J347,AF$2),Data!$K$4:$K$203)/$K347)))</f>
        <v>0</v>
      </c>
      <c r="AG347" s="166">
        <f>IF(OR($I347="",$E347=0),0,IF(OR($J347&lt;AG$3,$I347&gt;AG$2),0,IF($K347=0,IF(AND($I347&gt;=AG$3,$I347&lt;=AG$2),$E347,0),$E347*NETWORKDAYS(MAX($I347,AG$3),MIN($J347,AG$2),Data!$K$4:$K$203)/$K347)))</f>
        <v>0</v>
      </c>
      <c r="AH347" s="166">
        <f>IF(OR($I347="",$E347=0),0,IF(OR($J347&lt;AH$3,$I347&gt;AH$2),0,IF($K347=0,IF(AND($I347&gt;=AH$3,$I347&lt;=AH$2),$E347,0),$E347*NETWORKDAYS(MAX($I347,AH$3),MIN($J347,AH$2),Data!$K$4:$K$203)/$K347)))</f>
        <v>0</v>
      </c>
      <c r="AI347" s="166">
        <f>SUM(W347:AH347)</f>
        <v>0</v>
      </c>
      <c r="BZ347" t="str">
        <f>IF(D347=1,IF(TRIM(INDEX(Charge!$K:$K,ROW()))&lt;&gt;"",TRIM(INDEX(Charge!$K:$K,ROW())),IF(TRIM(INDEX(Charge!$L:$L,ROW()))&lt;&gt;"",TRIM(INDEX(Charge!$L:$L,ROW())),"(non affecté)")),"")</f>
        <v/>
      </c>
      <c r="CA347" t="str">
        <f>IF(AND($CD$4&lt;&gt;"",BZ347=$CD$4),COUNTIFS($BZ$4:$BZ$503,$CD$4,$L$4:$L$503,"&lt;"&amp;L347)+1,"")</f>
        <v/>
      </c>
      <c r="EM347" t="str">
        <f>IF(D347=1,IF(TRIM(INDEX(Charge!$K:$K,ROW()))&lt;&gt;"","Interne",IF(TRIM(INDEX(Charge!$L:$L,ROW()))&lt;&gt;"","Externe","Non affecté")),"")</f>
        <v/>
      </c>
      <c r="EN347" t="str">
        <f>IF(D347=1,LEFT(SUBSTITUTE(SUBSTITUTE(SUBSTITUTE(TRIM(SUBSTITUTE(INDEX(Charge!$B:$B,ROW()),CHAR(160)," "))&amp;" | "&amp;TRIM(SUBSTITUTE(INDEX(Charge!$C:$C,ROW()),CHAR(160)," "))&amp;" | "&amp;TRIM(SUBSTITUTE(INDEX(Charge!$D:$D,ROW()),CHAR(160)," ")),"~","-"),"*","+"),"?","!"),240),"")</f>
        <v/>
      </c>
      <c r="EO347">
        <f>IF(EN347="",0,IF(COUNTIF($EN$4:EN347,EN347)=1,1,0))</f>
        <v>0</v>
      </c>
      <c r="EP347" s="166" t="str">
        <f>IF(EO347=1,ROUND(SUMIF($EN$4:$EN$503,EN347,$E$4:$E$503),2),"")</f>
        <v/>
      </c>
      <c r="EQ347" t="str">
        <f>IF(EO347=1,COUNTIFS($EO$4:$EO$503,1,$EP$4:$EP$503,"&gt;"&amp;EP347)+COUNTIFS($EO$4:EO347,1,$EP$4:EP347,EP347),"")</f>
        <v/>
      </c>
      <c r="ER347" t="str">
        <f>IF(EO347=1,COUNTIFS($EN$4:$EN$503,EN347,$EM$4:$EM$503,"Interne",$FE$4:$FE$503,1),"")</f>
        <v/>
      </c>
      <c r="ES347" t="str">
        <f>IF(EO347=1,COUNTIFS($EN$4:$EN$503,EN347,$EM$4:$EM$503,"Externe",$FE$4:$FE$503,1),"")</f>
        <v/>
      </c>
      <c r="ET347" t="str">
        <f>IF(EO347=1,IF(ER347+ES347=0,"à affecter",IF(ER347=0,ES347&amp;" ext.",(ER347+ES347)&amp;IF(ES347&gt;0," dont "&amp;ES347&amp;" ext.",""))&amp;IF(COUNTIFS($EN$4:$EN$503,EN347,$EM$4:$EM$503,"Non affecté")&gt;0," + à affecter","")),"")</f>
        <v/>
      </c>
      <c r="EU347" s="170" t="str">
        <f>IF(EO347=1,IF(EP347&gt;0,SUMPRODUCT(($EN$4:$EN$503=EN347)*$E$4:$E$503*$C$4:$C$503)/EP347,AVERAGEIF($EN$4:$EN$503,EN347,$C$4:$C$503)),"")</f>
        <v/>
      </c>
      <c r="EV347" s="165">
        <f>IF(ISNUMBER(I347),I347,2958465)</f>
        <v>2958465.0</v>
      </c>
      <c r="EW347" s="165" t="str">
        <f>IF(EO347=1,SUMPRODUCT(MIN(($EN$4:$EN$503=EN347)*$EV$4:$EV$503+($EN$4:$EN$503&lt;&gt;EN347)*2958465)),"")</f>
        <v/>
      </c>
      <c r="EX347" s="165">
        <f>IF(AND(D347=1,ISNUMBER(INDEX(Charge!$F:$F,ROW()))),INDEX(Charge!$F:$F,ROW()),0)</f>
        <v>0.0</v>
      </c>
      <c r="EY347" s="165" t="str">
        <f>IF(EO347=1,SUMPRODUCT(MAX(($EN$4:$EN$503=EN347)*$EX$4:$EX$503)),"")</f>
        <v/>
      </c>
      <c r="FA347" t="str">
        <f>IF(344&lt;=$CD$23,INDEX($EJ$4:$EJ$203,344),IF(344-$CD$23&lt;=$CD$26,INDEX($EK$4:$EK$203,344-$CD$23),""))</f>
        <v/>
      </c>
      <c r="FB347" t="str">
        <f>IF(FA347="","",IF(344&lt;=$CD$23,"Interne","Externe"))</f>
        <v/>
      </c>
      <c r="FD347">
        <f>IF(AND(B347=1,TRIM(INDEX(Charge!$K:$K,ROW()))&lt;&gt;"",TRIM(INDEX(Charge!$L:$L,ROW()))&lt;&gt;""),1,0)</f>
        <v>0</v>
      </c>
      <c r="FE347">
        <f>IF(OR(EN347="",BZ347="(non affecté)"),0,IF(COUNTIFS($EN$4:EN347,EN347,$BZ$4:BZ347,BZ347)=1,1,0))</f>
        <v>0</v>
      </c>
    </row>
    <row r="348">
      <c r="A348">
        <f>ROW()</f>
        <v>348</v>
      </c>
      <c r="B348">
        <f>IF(TRIM(INDEX(Charge!$B:$B,ROW()))&lt;&gt;"",1,0)</f>
        <v>0</v>
      </c>
      <c r="C348">
        <f>IF(B348=1,MIN(1,MAX(0,N(INDEX(Charge!$O:$O,ROW())))),0)</f>
        <v>0</v>
      </c>
      <c r="D348">
        <f>IF(B348=1,IF(OR(p_Perimetre="Tous les projets",C348&lt;1),1,0),0)</f>
        <v>0</v>
      </c>
      <c r="E348">
        <f>IF(D348=1,MAX(0,N(INDEX(Charge!$M:$M,ROW()))),0)</f>
        <v>0</v>
      </c>
      <c r="F348" t="str">
        <f>IF(D348=1,IF(TRIM(INDEX(Charge!$A:$A,ROW()))="","(non renseigné)",TRIM(INDEX(Charge!$A:$A,ROW()))),"")</f>
        <v/>
      </c>
      <c r="G348" t="str">
        <f>IF(D348=1,TRIM(INDEX(Charge!$B:$B,ROW())),"")</f>
        <v/>
      </c>
      <c r="H348" t="str">
        <f>IF(D348=1,IF(TRIM(INDEX(Charge!$E:$E,ROW()))="","(non renseigné)",TRIM(INDEX(Charge!$E:$E,ROW()))),"")</f>
        <v/>
      </c>
      <c r="I348" s="165" t="str">
        <f>IF(AND(D348=1,ISNUMBER(INDEX(Charge!$N:$N,ROW()))),INDEX(Charge!$N:$N,ROW()),"")</f>
        <v/>
      </c>
      <c r="J348" s="165" t="str">
        <f>IF(I348="","",IF(AND(p_Repartition="Lissée jusqu'à la date de besoin",ISNUMBER(INDEX(Charge!$F:$F,ROW()))),IF(INDEX(Charge!$F:$F,ROW())&gt;=I348,INDEX(Charge!$F:$F,ROW()),I348),I348))</f>
        <v/>
      </c>
      <c r="K348" t="str">
        <f>IF(I348="","",NETWORKDAYS(I348,J348,Data!$K$4:$K$203))</f>
        <v/>
      </c>
      <c r="L348" t="str">
        <f>IF(D348=1,COUNTIFS($D$4:$D$503,1,$E$4:$E$503,"&gt;"&amp;E348)+COUNTIFS($D$4:$D348,1,$E$4:$E348,E348),"")</f>
        <v/>
      </c>
      <c r="M348">
        <f>IF(F348="",0,IF(COUNTIF($F$4:F348,F348)=1,1,0))</f>
        <v>0</v>
      </c>
      <c r="N348" t="str">
        <f>IF(M348=1,ROUND(SUMIF($F$4:$F$503,F348,$E$4:$E$503),2),"")</f>
        <v/>
      </c>
      <c r="O348" t="str">
        <f>IF(M348=1,COUNTIFS($M$4:$M$503,1,$N$4:$N$503,"&gt;"&amp;N348)+COUNTIFS($M$4:M348,1,$N$4:N348,N348),"")</f>
        <v/>
      </c>
      <c r="P348">
        <f>IF(G348="",0,IF(COUNTIF($G$4:G348,G348)=1,1,0))</f>
        <v>0</v>
      </c>
      <c r="Q348" t="str">
        <f>IF(P348=1,ROUND(SUMIF($G$4:$G$503,G348,$E$4:$E$503),2),"")</f>
        <v/>
      </c>
      <c r="R348" t="str">
        <f>IF(P348=1,COUNTIFS($P$4:$P$503,1,$Q$4:$Q$503,"&gt;"&amp;Q348)+COUNTIFS($P$4:P348,1,$Q$4:Q348,Q348),"")</f>
        <v/>
      </c>
      <c r="S348">
        <f>IF(H348="",0,IF(COUNTIF($H$4:H348,H348)=1,1,0))</f>
        <v>0</v>
      </c>
      <c r="T348" t="str">
        <f>IF(S348=1,ROUND(SUMIF($H$4:$H$503,H348,$E$4:$E$503),2),"")</f>
        <v/>
      </c>
      <c r="U348" t="str">
        <f>IF(S348=1,COUNTIFS($S$4:$S$503,1,$T$4:$T$503,"&gt;"&amp;T348)+COUNTIFS($S$4:S348,1,$T$4:T348,T348),"")</f>
        <v/>
      </c>
      <c r="V348" t="str">
        <f>IF(D348=1,MIN(INDEX($R$4:$R$503,MATCH(G348,$G$4:$G$503,0)),IF($AL$7&gt;9,9,999)),"")</f>
        <v/>
      </c>
      <c r="W348" s="166">
        <f>IF(OR($I348="",$E348=0),0,IF(OR($J348&lt;W$3,$I348&gt;W$2),0,IF($K348=0,IF(AND($I348&gt;=W$3,$I348&lt;=W$2),$E348,0),$E348*NETWORKDAYS(MAX($I348,W$3),MIN($J348,W$2),Data!$K$4:$K$203)/$K348)))</f>
        <v>0</v>
      </c>
      <c r="X348" s="166">
        <f>IF(OR($I348="",$E348=0),0,IF(OR($J348&lt;X$3,$I348&gt;X$2),0,IF($K348=0,IF(AND($I348&gt;=X$3,$I348&lt;=X$2),$E348,0),$E348*NETWORKDAYS(MAX($I348,X$3),MIN($J348,X$2),Data!$K$4:$K$203)/$K348)))</f>
        <v>0</v>
      </c>
      <c r="Y348" s="166">
        <f>IF(OR($I348="",$E348=0),0,IF(OR($J348&lt;Y$3,$I348&gt;Y$2),0,IF($K348=0,IF(AND($I348&gt;=Y$3,$I348&lt;=Y$2),$E348,0),$E348*NETWORKDAYS(MAX($I348,Y$3),MIN($J348,Y$2),Data!$K$4:$K$203)/$K348)))</f>
        <v>0</v>
      </c>
      <c r="Z348" s="166">
        <f>IF(OR($I348="",$E348=0),0,IF(OR($J348&lt;Z$3,$I348&gt;Z$2),0,IF($K348=0,IF(AND($I348&gt;=Z$3,$I348&lt;=Z$2),$E348,0),$E348*NETWORKDAYS(MAX($I348,Z$3),MIN($J348,Z$2),Data!$K$4:$K$203)/$K348)))</f>
        <v>0</v>
      </c>
      <c r="AA348" s="166">
        <f>IF(OR($I348="",$E348=0),0,IF(OR($J348&lt;AA$3,$I348&gt;AA$2),0,IF($K348=0,IF(AND($I348&gt;=AA$3,$I348&lt;=AA$2),$E348,0),$E348*NETWORKDAYS(MAX($I348,AA$3),MIN($J348,AA$2),Data!$K$4:$K$203)/$K348)))</f>
        <v>0</v>
      </c>
      <c r="AB348" s="166">
        <f>IF(OR($I348="",$E348=0),0,IF(OR($J348&lt;AB$3,$I348&gt;AB$2),0,IF($K348=0,IF(AND($I348&gt;=AB$3,$I348&lt;=AB$2),$E348,0),$E348*NETWORKDAYS(MAX($I348,AB$3),MIN($J348,AB$2),Data!$K$4:$K$203)/$K348)))</f>
        <v>0</v>
      </c>
      <c r="AC348" s="166">
        <f>IF(OR($I348="",$E348=0),0,IF(OR($J348&lt;AC$3,$I348&gt;AC$2),0,IF($K348=0,IF(AND($I348&gt;=AC$3,$I348&lt;=AC$2),$E348,0),$E348*NETWORKDAYS(MAX($I348,AC$3),MIN($J348,AC$2),Data!$K$4:$K$203)/$K348)))</f>
        <v>0</v>
      </c>
      <c r="AD348" s="166">
        <f>IF(OR($I348="",$E348=0),0,IF(OR($J348&lt;AD$3,$I348&gt;AD$2),0,IF($K348=0,IF(AND($I348&gt;=AD$3,$I348&lt;=AD$2),$E348,0),$E348*NETWORKDAYS(MAX($I348,AD$3),MIN($J348,AD$2),Data!$K$4:$K$203)/$K348)))</f>
        <v>0</v>
      </c>
      <c r="AE348" s="166">
        <f>IF(OR($I348="",$E348=0),0,IF(OR($J348&lt;AE$3,$I348&gt;AE$2),0,IF($K348=0,IF(AND($I348&gt;=AE$3,$I348&lt;=AE$2),$E348,0),$E348*NETWORKDAYS(MAX($I348,AE$3),MIN($J348,AE$2),Data!$K$4:$K$203)/$K348)))</f>
        <v>0</v>
      </c>
      <c r="AF348" s="166">
        <f>IF(OR($I348="",$E348=0),0,IF(OR($J348&lt;AF$3,$I348&gt;AF$2),0,IF($K348=0,IF(AND($I348&gt;=AF$3,$I348&lt;=AF$2),$E348,0),$E348*NETWORKDAYS(MAX($I348,AF$3),MIN($J348,AF$2),Data!$K$4:$K$203)/$K348)))</f>
        <v>0</v>
      </c>
      <c r="AG348" s="166">
        <f>IF(OR($I348="",$E348=0),0,IF(OR($J348&lt;AG$3,$I348&gt;AG$2),0,IF($K348=0,IF(AND($I348&gt;=AG$3,$I348&lt;=AG$2),$E348,0),$E348*NETWORKDAYS(MAX($I348,AG$3),MIN($J348,AG$2),Data!$K$4:$K$203)/$K348)))</f>
        <v>0</v>
      </c>
      <c r="AH348" s="166">
        <f>IF(OR($I348="",$E348=0),0,IF(OR($J348&lt;AH$3,$I348&gt;AH$2),0,IF($K348=0,IF(AND($I348&gt;=AH$3,$I348&lt;=AH$2),$E348,0),$E348*NETWORKDAYS(MAX($I348,AH$3),MIN($J348,AH$2),Data!$K$4:$K$203)/$K348)))</f>
        <v>0</v>
      </c>
      <c r="AI348" s="166">
        <f>SUM(W348:AH348)</f>
        <v>0</v>
      </c>
      <c r="BZ348" t="str">
        <f>IF(D348=1,IF(TRIM(INDEX(Charge!$K:$K,ROW()))&lt;&gt;"",TRIM(INDEX(Charge!$K:$K,ROW())),IF(TRIM(INDEX(Charge!$L:$L,ROW()))&lt;&gt;"",TRIM(INDEX(Charge!$L:$L,ROW())),"(non affecté)")),"")</f>
        <v/>
      </c>
      <c r="CA348" t="str">
        <f>IF(AND($CD$4&lt;&gt;"",BZ348=$CD$4),COUNTIFS($BZ$4:$BZ$503,$CD$4,$L$4:$L$503,"&lt;"&amp;L348)+1,"")</f>
        <v/>
      </c>
      <c r="EM348" t="str">
        <f>IF(D348=1,IF(TRIM(INDEX(Charge!$K:$K,ROW()))&lt;&gt;"","Interne",IF(TRIM(INDEX(Charge!$L:$L,ROW()))&lt;&gt;"","Externe","Non affecté")),"")</f>
        <v/>
      </c>
      <c r="EN348" t="str">
        <f>IF(D348=1,LEFT(SUBSTITUTE(SUBSTITUTE(SUBSTITUTE(TRIM(SUBSTITUTE(INDEX(Charge!$B:$B,ROW()),CHAR(160)," "))&amp;" | "&amp;TRIM(SUBSTITUTE(INDEX(Charge!$C:$C,ROW()),CHAR(160)," "))&amp;" | "&amp;TRIM(SUBSTITUTE(INDEX(Charge!$D:$D,ROW()),CHAR(160)," ")),"~","-"),"*","+"),"?","!"),240),"")</f>
        <v/>
      </c>
      <c r="EO348">
        <f>IF(EN348="",0,IF(COUNTIF($EN$4:EN348,EN348)=1,1,0))</f>
        <v>0</v>
      </c>
      <c r="EP348" s="166" t="str">
        <f>IF(EO348=1,ROUND(SUMIF($EN$4:$EN$503,EN348,$E$4:$E$503),2),"")</f>
        <v/>
      </c>
      <c r="EQ348" t="str">
        <f>IF(EO348=1,COUNTIFS($EO$4:$EO$503,1,$EP$4:$EP$503,"&gt;"&amp;EP348)+COUNTIFS($EO$4:EO348,1,$EP$4:EP348,EP348),"")</f>
        <v/>
      </c>
      <c r="ER348" t="str">
        <f>IF(EO348=1,COUNTIFS($EN$4:$EN$503,EN348,$EM$4:$EM$503,"Interne",$FE$4:$FE$503,1),"")</f>
        <v/>
      </c>
      <c r="ES348" t="str">
        <f>IF(EO348=1,COUNTIFS($EN$4:$EN$503,EN348,$EM$4:$EM$503,"Externe",$FE$4:$FE$503,1),"")</f>
        <v/>
      </c>
      <c r="ET348" t="str">
        <f>IF(EO348=1,IF(ER348+ES348=0,"à affecter",IF(ER348=0,ES348&amp;" ext.",(ER348+ES348)&amp;IF(ES348&gt;0," dont "&amp;ES348&amp;" ext.",""))&amp;IF(COUNTIFS($EN$4:$EN$503,EN348,$EM$4:$EM$503,"Non affecté")&gt;0," + à affecter","")),"")</f>
        <v/>
      </c>
      <c r="EU348" s="170" t="str">
        <f>IF(EO348=1,IF(EP348&gt;0,SUMPRODUCT(($EN$4:$EN$503=EN348)*$E$4:$E$503*$C$4:$C$503)/EP348,AVERAGEIF($EN$4:$EN$503,EN348,$C$4:$C$503)),"")</f>
        <v/>
      </c>
      <c r="EV348" s="165">
        <f>IF(ISNUMBER(I348),I348,2958465)</f>
        <v>2958465.0</v>
      </c>
      <c r="EW348" s="165" t="str">
        <f>IF(EO348=1,SUMPRODUCT(MIN(($EN$4:$EN$503=EN348)*$EV$4:$EV$503+($EN$4:$EN$503&lt;&gt;EN348)*2958465)),"")</f>
        <v/>
      </c>
      <c r="EX348" s="165">
        <f>IF(AND(D348=1,ISNUMBER(INDEX(Charge!$F:$F,ROW()))),INDEX(Charge!$F:$F,ROW()),0)</f>
        <v>0.0</v>
      </c>
      <c r="EY348" s="165" t="str">
        <f>IF(EO348=1,SUMPRODUCT(MAX(($EN$4:$EN$503=EN348)*$EX$4:$EX$503)),"")</f>
        <v/>
      </c>
      <c r="FA348" t="str">
        <f>IF(345&lt;=$CD$23,INDEX($EJ$4:$EJ$203,345),IF(345-$CD$23&lt;=$CD$26,INDEX($EK$4:$EK$203,345-$CD$23),""))</f>
        <v/>
      </c>
      <c r="FB348" t="str">
        <f>IF(FA348="","",IF(345&lt;=$CD$23,"Interne","Externe"))</f>
        <v/>
      </c>
      <c r="FD348">
        <f>IF(AND(B348=1,TRIM(INDEX(Charge!$K:$K,ROW()))&lt;&gt;"",TRIM(INDEX(Charge!$L:$L,ROW()))&lt;&gt;""),1,0)</f>
        <v>0</v>
      </c>
      <c r="FE348">
        <f>IF(OR(EN348="",BZ348="(non affecté)"),0,IF(COUNTIFS($EN$4:EN348,EN348,$BZ$4:BZ348,BZ348)=1,1,0))</f>
        <v>0</v>
      </c>
    </row>
    <row r="349">
      <c r="A349">
        <f>ROW()</f>
        <v>349</v>
      </c>
      <c r="B349">
        <f>IF(TRIM(INDEX(Charge!$B:$B,ROW()))&lt;&gt;"",1,0)</f>
        <v>0</v>
      </c>
      <c r="C349">
        <f>IF(B349=1,MIN(1,MAX(0,N(INDEX(Charge!$O:$O,ROW())))),0)</f>
        <v>0</v>
      </c>
      <c r="D349">
        <f>IF(B349=1,IF(OR(p_Perimetre="Tous les projets",C349&lt;1),1,0),0)</f>
        <v>0</v>
      </c>
      <c r="E349">
        <f>IF(D349=1,MAX(0,N(INDEX(Charge!$M:$M,ROW()))),0)</f>
        <v>0</v>
      </c>
      <c r="F349" t="str">
        <f>IF(D349=1,IF(TRIM(INDEX(Charge!$A:$A,ROW()))="","(non renseigné)",TRIM(INDEX(Charge!$A:$A,ROW()))),"")</f>
        <v/>
      </c>
      <c r="G349" t="str">
        <f>IF(D349=1,TRIM(INDEX(Charge!$B:$B,ROW())),"")</f>
        <v/>
      </c>
      <c r="H349" t="str">
        <f>IF(D349=1,IF(TRIM(INDEX(Charge!$E:$E,ROW()))="","(non renseigné)",TRIM(INDEX(Charge!$E:$E,ROW()))),"")</f>
        <v/>
      </c>
      <c r="I349" s="165" t="str">
        <f>IF(AND(D349=1,ISNUMBER(INDEX(Charge!$N:$N,ROW()))),INDEX(Charge!$N:$N,ROW()),"")</f>
        <v/>
      </c>
      <c r="J349" s="165" t="str">
        <f>IF(I349="","",IF(AND(p_Repartition="Lissée jusqu'à la date de besoin",ISNUMBER(INDEX(Charge!$F:$F,ROW()))),IF(INDEX(Charge!$F:$F,ROW())&gt;=I349,INDEX(Charge!$F:$F,ROW()),I349),I349))</f>
        <v/>
      </c>
      <c r="K349" t="str">
        <f>IF(I349="","",NETWORKDAYS(I349,J349,Data!$K$4:$K$203))</f>
        <v/>
      </c>
      <c r="L349" t="str">
        <f>IF(D349=1,COUNTIFS($D$4:$D$503,1,$E$4:$E$503,"&gt;"&amp;E349)+COUNTIFS($D$4:$D349,1,$E$4:$E349,E349),"")</f>
        <v/>
      </c>
      <c r="M349">
        <f>IF(F349="",0,IF(COUNTIF($F$4:F349,F349)=1,1,0))</f>
        <v>0</v>
      </c>
      <c r="N349" t="str">
        <f>IF(M349=1,ROUND(SUMIF($F$4:$F$503,F349,$E$4:$E$503),2),"")</f>
        <v/>
      </c>
      <c r="O349" t="str">
        <f>IF(M349=1,COUNTIFS($M$4:$M$503,1,$N$4:$N$503,"&gt;"&amp;N349)+COUNTIFS($M$4:M349,1,$N$4:N349,N349),"")</f>
        <v/>
      </c>
      <c r="P349">
        <f>IF(G349="",0,IF(COUNTIF($G$4:G349,G349)=1,1,0))</f>
        <v>0</v>
      </c>
      <c r="Q349" t="str">
        <f>IF(P349=1,ROUND(SUMIF($G$4:$G$503,G349,$E$4:$E$503),2),"")</f>
        <v/>
      </c>
      <c r="R349" t="str">
        <f>IF(P349=1,COUNTIFS($P$4:$P$503,1,$Q$4:$Q$503,"&gt;"&amp;Q349)+COUNTIFS($P$4:P349,1,$Q$4:Q349,Q349),"")</f>
        <v/>
      </c>
      <c r="S349">
        <f>IF(H349="",0,IF(COUNTIF($H$4:H349,H349)=1,1,0))</f>
        <v>0</v>
      </c>
      <c r="T349" t="str">
        <f>IF(S349=1,ROUND(SUMIF($H$4:$H$503,H349,$E$4:$E$503),2),"")</f>
        <v/>
      </c>
      <c r="U349" t="str">
        <f>IF(S349=1,COUNTIFS($S$4:$S$503,1,$T$4:$T$503,"&gt;"&amp;T349)+COUNTIFS($S$4:S349,1,$T$4:T349,T349),"")</f>
        <v/>
      </c>
      <c r="V349" t="str">
        <f>IF(D349=1,MIN(INDEX($R$4:$R$503,MATCH(G349,$G$4:$G$503,0)),IF($AL$7&gt;9,9,999)),"")</f>
        <v/>
      </c>
      <c r="W349" s="166">
        <f>IF(OR($I349="",$E349=0),0,IF(OR($J349&lt;W$3,$I349&gt;W$2),0,IF($K349=0,IF(AND($I349&gt;=W$3,$I349&lt;=W$2),$E349,0),$E349*NETWORKDAYS(MAX($I349,W$3),MIN($J349,W$2),Data!$K$4:$K$203)/$K349)))</f>
        <v>0</v>
      </c>
      <c r="X349" s="166">
        <f>IF(OR($I349="",$E349=0),0,IF(OR($J349&lt;X$3,$I349&gt;X$2),0,IF($K349=0,IF(AND($I349&gt;=X$3,$I349&lt;=X$2),$E349,0),$E349*NETWORKDAYS(MAX($I349,X$3),MIN($J349,X$2),Data!$K$4:$K$203)/$K349)))</f>
        <v>0</v>
      </c>
      <c r="Y349" s="166">
        <f>IF(OR($I349="",$E349=0),0,IF(OR($J349&lt;Y$3,$I349&gt;Y$2),0,IF($K349=0,IF(AND($I349&gt;=Y$3,$I349&lt;=Y$2),$E349,0),$E349*NETWORKDAYS(MAX($I349,Y$3),MIN($J349,Y$2),Data!$K$4:$K$203)/$K349)))</f>
        <v>0</v>
      </c>
      <c r="Z349" s="166">
        <f>IF(OR($I349="",$E349=0),0,IF(OR($J349&lt;Z$3,$I349&gt;Z$2),0,IF($K349=0,IF(AND($I349&gt;=Z$3,$I349&lt;=Z$2),$E349,0),$E349*NETWORKDAYS(MAX($I349,Z$3),MIN($J349,Z$2),Data!$K$4:$K$203)/$K349)))</f>
        <v>0</v>
      </c>
      <c r="AA349" s="166">
        <f>IF(OR($I349="",$E349=0),0,IF(OR($J349&lt;AA$3,$I349&gt;AA$2),0,IF($K349=0,IF(AND($I349&gt;=AA$3,$I349&lt;=AA$2),$E349,0),$E349*NETWORKDAYS(MAX($I349,AA$3),MIN($J349,AA$2),Data!$K$4:$K$203)/$K349)))</f>
        <v>0</v>
      </c>
      <c r="AB349" s="166">
        <f>IF(OR($I349="",$E349=0),0,IF(OR($J349&lt;AB$3,$I349&gt;AB$2),0,IF($K349=0,IF(AND($I349&gt;=AB$3,$I349&lt;=AB$2),$E349,0),$E349*NETWORKDAYS(MAX($I349,AB$3),MIN($J349,AB$2),Data!$K$4:$K$203)/$K349)))</f>
        <v>0</v>
      </c>
      <c r="AC349" s="166">
        <f>IF(OR($I349="",$E349=0),0,IF(OR($J349&lt;AC$3,$I349&gt;AC$2),0,IF($K349=0,IF(AND($I349&gt;=AC$3,$I349&lt;=AC$2),$E349,0),$E349*NETWORKDAYS(MAX($I349,AC$3),MIN($J349,AC$2),Data!$K$4:$K$203)/$K349)))</f>
        <v>0</v>
      </c>
      <c r="AD349" s="166">
        <f>IF(OR($I349="",$E349=0),0,IF(OR($J349&lt;AD$3,$I349&gt;AD$2),0,IF($K349=0,IF(AND($I349&gt;=AD$3,$I349&lt;=AD$2),$E349,0),$E349*NETWORKDAYS(MAX($I349,AD$3),MIN($J349,AD$2),Data!$K$4:$K$203)/$K349)))</f>
        <v>0</v>
      </c>
      <c r="AE349" s="166">
        <f>IF(OR($I349="",$E349=0),0,IF(OR($J349&lt;AE$3,$I349&gt;AE$2),0,IF($K349=0,IF(AND($I349&gt;=AE$3,$I349&lt;=AE$2),$E349,0),$E349*NETWORKDAYS(MAX($I349,AE$3),MIN($J349,AE$2),Data!$K$4:$K$203)/$K349)))</f>
        <v>0</v>
      </c>
      <c r="AF349" s="166">
        <f>IF(OR($I349="",$E349=0),0,IF(OR($J349&lt;AF$3,$I349&gt;AF$2),0,IF($K349=0,IF(AND($I349&gt;=AF$3,$I349&lt;=AF$2),$E349,0),$E349*NETWORKDAYS(MAX($I349,AF$3),MIN($J349,AF$2),Data!$K$4:$K$203)/$K349)))</f>
        <v>0</v>
      </c>
      <c r="AG349" s="166">
        <f>IF(OR($I349="",$E349=0),0,IF(OR($J349&lt;AG$3,$I349&gt;AG$2),0,IF($K349=0,IF(AND($I349&gt;=AG$3,$I349&lt;=AG$2),$E349,0),$E349*NETWORKDAYS(MAX($I349,AG$3),MIN($J349,AG$2),Data!$K$4:$K$203)/$K349)))</f>
        <v>0</v>
      </c>
      <c r="AH349" s="166">
        <f>IF(OR($I349="",$E349=0),0,IF(OR($J349&lt;AH$3,$I349&gt;AH$2),0,IF($K349=0,IF(AND($I349&gt;=AH$3,$I349&lt;=AH$2),$E349,0),$E349*NETWORKDAYS(MAX($I349,AH$3),MIN($J349,AH$2),Data!$K$4:$K$203)/$K349)))</f>
        <v>0</v>
      </c>
      <c r="AI349" s="166">
        <f>SUM(W349:AH349)</f>
        <v>0</v>
      </c>
      <c r="BZ349" t="str">
        <f>IF(D349=1,IF(TRIM(INDEX(Charge!$K:$K,ROW()))&lt;&gt;"",TRIM(INDEX(Charge!$K:$K,ROW())),IF(TRIM(INDEX(Charge!$L:$L,ROW()))&lt;&gt;"",TRIM(INDEX(Charge!$L:$L,ROW())),"(non affecté)")),"")</f>
        <v/>
      </c>
      <c r="CA349" t="str">
        <f>IF(AND($CD$4&lt;&gt;"",BZ349=$CD$4),COUNTIFS($BZ$4:$BZ$503,$CD$4,$L$4:$L$503,"&lt;"&amp;L349)+1,"")</f>
        <v/>
      </c>
      <c r="EM349" t="str">
        <f>IF(D349=1,IF(TRIM(INDEX(Charge!$K:$K,ROW()))&lt;&gt;"","Interne",IF(TRIM(INDEX(Charge!$L:$L,ROW()))&lt;&gt;"","Externe","Non affecté")),"")</f>
        <v/>
      </c>
      <c r="EN349" t="str">
        <f>IF(D349=1,LEFT(SUBSTITUTE(SUBSTITUTE(SUBSTITUTE(TRIM(SUBSTITUTE(INDEX(Charge!$B:$B,ROW()),CHAR(160)," "))&amp;" | "&amp;TRIM(SUBSTITUTE(INDEX(Charge!$C:$C,ROW()),CHAR(160)," "))&amp;" | "&amp;TRIM(SUBSTITUTE(INDEX(Charge!$D:$D,ROW()),CHAR(160)," ")),"~","-"),"*","+"),"?","!"),240),"")</f>
        <v/>
      </c>
      <c r="EO349">
        <f>IF(EN349="",0,IF(COUNTIF($EN$4:EN349,EN349)=1,1,0))</f>
        <v>0</v>
      </c>
      <c r="EP349" s="166" t="str">
        <f>IF(EO349=1,ROUND(SUMIF($EN$4:$EN$503,EN349,$E$4:$E$503),2),"")</f>
        <v/>
      </c>
      <c r="EQ349" t="str">
        <f>IF(EO349=1,COUNTIFS($EO$4:$EO$503,1,$EP$4:$EP$503,"&gt;"&amp;EP349)+COUNTIFS($EO$4:EO349,1,$EP$4:EP349,EP349),"")</f>
        <v/>
      </c>
      <c r="ER349" t="str">
        <f>IF(EO349=1,COUNTIFS($EN$4:$EN$503,EN349,$EM$4:$EM$503,"Interne",$FE$4:$FE$503,1),"")</f>
        <v/>
      </c>
      <c r="ES349" t="str">
        <f>IF(EO349=1,COUNTIFS($EN$4:$EN$503,EN349,$EM$4:$EM$503,"Externe",$FE$4:$FE$503,1),"")</f>
        <v/>
      </c>
      <c r="ET349" t="str">
        <f>IF(EO349=1,IF(ER349+ES349=0,"à affecter",IF(ER349=0,ES349&amp;" ext.",(ER349+ES349)&amp;IF(ES349&gt;0," dont "&amp;ES349&amp;" ext.",""))&amp;IF(COUNTIFS($EN$4:$EN$503,EN349,$EM$4:$EM$503,"Non affecté")&gt;0," + à affecter","")),"")</f>
        <v/>
      </c>
      <c r="EU349" s="170" t="str">
        <f>IF(EO349=1,IF(EP349&gt;0,SUMPRODUCT(($EN$4:$EN$503=EN349)*$E$4:$E$503*$C$4:$C$503)/EP349,AVERAGEIF($EN$4:$EN$503,EN349,$C$4:$C$503)),"")</f>
        <v/>
      </c>
      <c r="EV349" s="165">
        <f>IF(ISNUMBER(I349),I349,2958465)</f>
        <v>2958465.0</v>
      </c>
      <c r="EW349" s="165" t="str">
        <f>IF(EO349=1,SUMPRODUCT(MIN(($EN$4:$EN$503=EN349)*$EV$4:$EV$503+($EN$4:$EN$503&lt;&gt;EN349)*2958465)),"")</f>
        <v/>
      </c>
      <c r="EX349" s="165">
        <f>IF(AND(D349=1,ISNUMBER(INDEX(Charge!$F:$F,ROW()))),INDEX(Charge!$F:$F,ROW()),0)</f>
        <v>0.0</v>
      </c>
      <c r="EY349" s="165" t="str">
        <f>IF(EO349=1,SUMPRODUCT(MAX(($EN$4:$EN$503=EN349)*$EX$4:$EX$503)),"")</f>
        <v/>
      </c>
      <c r="FA349" t="str">
        <f>IF(346&lt;=$CD$23,INDEX($EJ$4:$EJ$203,346),IF(346-$CD$23&lt;=$CD$26,INDEX($EK$4:$EK$203,346-$CD$23),""))</f>
        <v/>
      </c>
      <c r="FB349" t="str">
        <f>IF(FA349="","",IF(346&lt;=$CD$23,"Interne","Externe"))</f>
        <v/>
      </c>
      <c r="FD349">
        <f>IF(AND(B349=1,TRIM(INDEX(Charge!$K:$K,ROW()))&lt;&gt;"",TRIM(INDEX(Charge!$L:$L,ROW()))&lt;&gt;""),1,0)</f>
        <v>0</v>
      </c>
      <c r="FE349">
        <f>IF(OR(EN349="",BZ349="(non affecté)"),0,IF(COUNTIFS($EN$4:EN349,EN349,$BZ$4:BZ349,BZ349)=1,1,0))</f>
        <v>0</v>
      </c>
    </row>
    <row r="350">
      <c r="A350">
        <f>ROW()</f>
        <v>350</v>
      </c>
      <c r="B350">
        <f>IF(TRIM(INDEX(Charge!$B:$B,ROW()))&lt;&gt;"",1,0)</f>
        <v>0</v>
      </c>
      <c r="C350">
        <f>IF(B350=1,MIN(1,MAX(0,N(INDEX(Charge!$O:$O,ROW())))),0)</f>
        <v>0</v>
      </c>
      <c r="D350">
        <f>IF(B350=1,IF(OR(p_Perimetre="Tous les projets",C350&lt;1),1,0),0)</f>
        <v>0</v>
      </c>
      <c r="E350">
        <f>IF(D350=1,MAX(0,N(INDEX(Charge!$M:$M,ROW()))),0)</f>
        <v>0</v>
      </c>
      <c r="F350" t="str">
        <f>IF(D350=1,IF(TRIM(INDEX(Charge!$A:$A,ROW()))="","(non renseigné)",TRIM(INDEX(Charge!$A:$A,ROW()))),"")</f>
        <v/>
      </c>
      <c r="G350" t="str">
        <f>IF(D350=1,TRIM(INDEX(Charge!$B:$B,ROW())),"")</f>
        <v/>
      </c>
      <c r="H350" t="str">
        <f>IF(D350=1,IF(TRIM(INDEX(Charge!$E:$E,ROW()))="","(non renseigné)",TRIM(INDEX(Charge!$E:$E,ROW()))),"")</f>
        <v/>
      </c>
      <c r="I350" s="165" t="str">
        <f>IF(AND(D350=1,ISNUMBER(INDEX(Charge!$N:$N,ROW()))),INDEX(Charge!$N:$N,ROW()),"")</f>
        <v/>
      </c>
      <c r="J350" s="165" t="str">
        <f>IF(I350="","",IF(AND(p_Repartition="Lissée jusqu'à la date de besoin",ISNUMBER(INDEX(Charge!$F:$F,ROW()))),IF(INDEX(Charge!$F:$F,ROW())&gt;=I350,INDEX(Charge!$F:$F,ROW()),I350),I350))</f>
        <v/>
      </c>
      <c r="K350" t="str">
        <f>IF(I350="","",NETWORKDAYS(I350,J350,Data!$K$4:$K$203))</f>
        <v/>
      </c>
      <c r="L350" t="str">
        <f>IF(D350=1,COUNTIFS($D$4:$D$503,1,$E$4:$E$503,"&gt;"&amp;E350)+COUNTIFS($D$4:$D350,1,$E$4:$E350,E350),"")</f>
        <v/>
      </c>
      <c r="M350">
        <f>IF(F350="",0,IF(COUNTIF($F$4:F350,F350)=1,1,0))</f>
        <v>0</v>
      </c>
      <c r="N350" t="str">
        <f>IF(M350=1,ROUND(SUMIF($F$4:$F$503,F350,$E$4:$E$503),2),"")</f>
        <v/>
      </c>
      <c r="O350" t="str">
        <f>IF(M350=1,COUNTIFS($M$4:$M$503,1,$N$4:$N$503,"&gt;"&amp;N350)+COUNTIFS($M$4:M350,1,$N$4:N350,N350),"")</f>
        <v/>
      </c>
      <c r="P350">
        <f>IF(G350="",0,IF(COUNTIF($G$4:G350,G350)=1,1,0))</f>
        <v>0</v>
      </c>
      <c r="Q350" t="str">
        <f>IF(P350=1,ROUND(SUMIF($G$4:$G$503,G350,$E$4:$E$503),2),"")</f>
        <v/>
      </c>
      <c r="R350" t="str">
        <f>IF(P350=1,COUNTIFS($P$4:$P$503,1,$Q$4:$Q$503,"&gt;"&amp;Q350)+COUNTIFS($P$4:P350,1,$Q$4:Q350,Q350),"")</f>
        <v/>
      </c>
      <c r="S350">
        <f>IF(H350="",0,IF(COUNTIF($H$4:H350,H350)=1,1,0))</f>
        <v>0</v>
      </c>
      <c r="T350" t="str">
        <f>IF(S350=1,ROUND(SUMIF($H$4:$H$503,H350,$E$4:$E$503),2),"")</f>
        <v/>
      </c>
      <c r="U350" t="str">
        <f>IF(S350=1,COUNTIFS($S$4:$S$503,1,$T$4:$T$503,"&gt;"&amp;T350)+COUNTIFS($S$4:S350,1,$T$4:T350,T350),"")</f>
        <v/>
      </c>
      <c r="V350" t="str">
        <f>IF(D350=1,MIN(INDEX($R$4:$R$503,MATCH(G350,$G$4:$G$503,0)),IF($AL$7&gt;9,9,999)),"")</f>
        <v/>
      </c>
      <c r="W350" s="166">
        <f>IF(OR($I350="",$E350=0),0,IF(OR($J350&lt;W$3,$I350&gt;W$2),0,IF($K350=0,IF(AND($I350&gt;=W$3,$I350&lt;=W$2),$E350,0),$E350*NETWORKDAYS(MAX($I350,W$3),MIN($J350,W$2),Data!$K$4:$K$203)/$K350)))</f>
        <v>0</v>
      </c>
      <c r="X350" s="166">
        <f>IF(OR($I350="",$E350=0),0,IF(OR($J350&lt;X$3,$I350&gt;X$2),0,IF($K350=0,IF(AND($I350&gt;=X$3,$I350&lt;=X$2),$E350,0),$E350*NETWORKDAYS(MAX($I350,X$3),MIN($J350,X$2),Data!$K$4:$K$203)/$K350)))</f>
        <v>0</v>
      </c>
      <c r="Y350" s="166">
        <f>IF(OR($I350="",$E350=0),0,IF(OR($J350&lt;Y$3,$I350&gt;Y$2),0,IF($K350=0,IF(AND($I350&gt;=Y$3,$I350&lt;=Y$2),$E350,0),$E350*NETWORKDAYS(MAX($I350,Y$3),MIN($J350,Y$2),Data!$K$4:$K$203)/$K350)))</f>
        <v>0</v>
      </c>
      <c r="Z350" s="166">
        <f>IF(OR($I350="",$E350=0),0,IF(OR($J350&lt;Z$3,$I350&gt;Z$2),0,IF($K350=0,IF(AND($I350&gt;=Z$3,$I350&lt;=Z$2),$E350,0),$E350*NETWORKDAYS(MAX($I350,Z$3),MIN($J350,Z$2),Data!$K$4:$K$203)/$K350)))</f>
        <v>0</v>
      </c>
      <c r="AA350" s="166">
        <f>IF(OR($I350="",$E350=0),0,IF(OR($J350&lt;AA$3,$I350&gt;AA$2),0,IF($K350=0,IF(AND($I350&gt;=AA$3,$I350&lt;=AA$2),$E350,0),$E350*NETWORKDAYS(MAX($I350,AA$3),MIN($J350,AA$2),Data!$K$4:$K$203)/$K350)))</f>
        <v>0</v>
      </c>
      <c r="AB350" s="166">
        <f>IF(OR($I350="",$E350=0),0,IF(OR($J350&lt;AB$3,$I350&gt;AB$2),0,IF($K350=0,IF(AND($I350&gt;=AB$3,$I350&lt;=AB$2),$E350,0),$E350*NETWORKDAYS(MAX($I350,AB$3),MIN($J350,AB$2),Data!$K$4:$K$203)/$K350)))</f>
        <v>0</v>
      </c>
      <c r="AC350" s="166">
        <f>IF(OR($I350="",$E350=0),0,IF(OR($J350&lt;AC$3,$I350&gt;AC$2),0,IF($K350=0,IF(AND($I350&gt;=AC$3,$I350&lt;=AC$2),$E350,0),$E350*NETWORKDAYS(MAX($I350,AC$3),MIN($J350,AC$2),Data!$K$4:$K$203)/$K350)))</f>
        <v>0</v>
      </c>
      <c r="AD350" s="166">
        <f>IF(OR($I350="",$E350=0),0,IF(OR($J350&lt;AD$3,$I350&gt;AD$2),0,IF($K350=0,IF(AND($I350&gt;=AD$3,$I350&lt;=AD$2),$E350,0),$E350*NETWORKDAYS(MAX($I350,AD$3),MIN($J350,AD$2),Data!$K$4:$K$203)/$K350)))</f>
        <v>0</v>
      </c>
      <c r="AE350" s="166">
        <f>IF(OR($I350="",$E350=0),0,IF(OR($J350&lt;AE$3,$I350&gt;AE$2),0,IF($K350=0,IF(AND($I350&gt;=AE$3,$I350&lt;=AE$2),$E350,0),$E350*NETWORKDAYS(MAX($I350,AE$3),MIN($J350,AE$2),Data!$K$4:$K$203)/$K350)))</f>
        <v>0</v>
      </c>
      <c r="AF350" s="166">
        <f>IF(OR($I350="",$E350=0),0,IF(OR($J350&lt;AF$3,$I350&gt;AF$2),0,IF($K350=0,IF(AND($I350&gt;=AF$3,$I350&lt;=AF$2),$E350,0),$E350*NETWORKDAYS(MAX($I350,AF$3),MIN($J350,AF$2),Data!$K$4:$K$203)/$K350)))</f>
        <v>0</v>
      </c>
      <c r="AG350" s="166">
        <f>IF(OR($I350="",$E350=0),0,IF(OR($J350&lt;AG$3,$I350&gt;AG$2),0,IF($K350=0,IF(AND($I350&gt;=AG$3,$I350&lt;=AG$2),$E350,0),$E350*NETWORKDAYS(MAX($I350,AG$3),MIN($J350,AG$2),Data!$K$4:$K$203)/$K350)))</f>
        <v>0</v>
      </c>
      <c r="AH350" s="166">
        <f>IF(OR($I350="",$E350=0),0,IF(OR($J350&lt;AH$3,$I350&gt;AH$2),0,IF($K350=0,IF(AND($I350&gt;=AH$3,$I350&lt;=AH$2),$E350,0),$E350*NETWORKDAYS(MAX($I350,AH$3),MIN($J350,AH$2),Data!$K$4:$K$203)/$K350)))</f>
        <v>0</v>
      </c>
      <c r="AI350" s="166">
        <f>SUM(W350:AH350)</f>
        <v>0</v>
      </c>
      <c r="BZ350" t="str">
        <f>IF(D350=1,IF(TRIM(INDEX(Charge!$K:$K,ROW()))&lt;&gt;"",TRIM(INDEX(Charge!$K:$K,ROW())),IF(TRIM(INDEX(Charge!$L:$L,ROW()))&lt;&gt;"",TRIM(INDEX(Charge!$L:$L,ROW())),"(non affecté)")),"")</f>
        <v/>
      </c>
      <c r="CA350" t="str">
        <f>IF(AND($CD$4&lt;&gt;"",BZ350=$CD$4),COUNTIFS($BZ$4:$BZ$503,$CD$4,$L$4:$L$503,"&lt;"&amp;L350)+1,"")</f>
        <v/>
      </c>
      <c r="EM350" t="str">
        <f>IF(D350=1,IF(TRIM(INDEX(Charge!$K:$K,ROW()))&lt;&gt;"","Interne",IF(TRIM(INDEX(Charge!$L:$L,ROW()))&lt;&gt;"","Externe","Non affecté")),"")</f>
        <v/>
      </c>
      <c r="EN350" t="str">
        <f>IF(D350=1,LEFT(SUBSTITUTE(SUBSTITUTE(SUBSTITUTE(TRIM(SUBSTITUTE(INDEX(Charge!$B:$B,ROW()),CHAR(160)," "))&amp;" | "&amp;TRIM(SUBSTITUTE(INDEX(Charge!$C:$C,ROW()),CHAR(160)," "))&amp;" | "&amp;TRIM(SUBSTITUTE(INDEX(Charge!$D:$D,ROW()),CHAR(160)," ")),"~","-"),"*","+"),"?","!"),240),"")</f>
        <v/>
      </c>
      <c r="EO350">
        <f>IF(EN350="",0,IF(COUNTIF($EN$4:EN350,EN350)=1,1,0))</f>
        <v>0</v>
      </c>
      <c r="EP350" s="166" t="str">
        <f>IF(EO350=1,ROUND(SUMIF($EN$4:$EN$503,EN350,$E$4:$E$503),2),"")</f>
        <v/>
      </c>
      <c r="EQ350" t="str">
        <f>IF(EO350=1,COUNTIFS($EO$4:$EO$503,1,$EP$4:$EP$503,"&gt;"&amp;EP350)+COUNTIFS($EO$4:EO350,1,$EP$4:EP350,EP350),"")</f>
        <v/>
      </c>
      <c r="ER350" t="str">
        <f>IF(EO350=1,COUNTIFS($EN$4:$EN$503,EN350,$EM$4:$EM$503,"Interne",$FE$4:$FE$503,1),"")</f>
        <v/>
      </c>
      <c r="ES350" t="str">
        <f>IF(EO350=1,COUNTIFS($EN$4:$EN$503,EN350,$EM$4:$EM$503,"Externe",$FE$4:$FE$503,1),"")</f>
        <v/>
      </c>
      <c r="ET350" t="str">
        <f>IF(EO350=1,IF(ER350+ES350=0,"à affecter",IF(ER350=0,ES350&amp;" ext.",(ER350+ES350)&amp;IF(ES350&gt;0," dont "&amp;ES350&amp;" ext.",""))&amp;IF(COUNTIFS($EN$4:$EN$503,EN350,$EM$4:$EM$503,"Non affecté")&gt;0," + à affecter","")),"")</f>
        <v/>
      </c>
      <c r="EU350" s="170" t="str">
        <f>IF(EO350=1,IF(EP350&gt;0,SUMPRODUCT(($EN$4:$EN$503=EN350)*$E$4:$E$503*$C$4:$C$503)/EP350,AVERAGEIF($EN$4:$EN$503,EN350,$C$4:$C$503)),"")</f>
        <v/>
      </c>
      <c r="EV350" s="165">
        <f>IF(ISNUMBER(I350),I350,2958465)</f>
        <v>2958465.0</v>
      </c>
      <c r="EW350" s="165" t="str">
        <f>IF(EO350=1,SUMPRODUCT(MIN(($EN$4:$EN$503=EN350)*$EV$4:$EV$503+($EN$4:$EN$503&lt;&gt;EN350)*2958465)),"")</f>
        <v/>
      </c>
      <c r="EX350" s="165">
        <f>IF(AND(D350=1,ISNUMBER(INDEX(Charge!$F:$F,ROW()))),INDEX(Charge!$F:$F,ROW()),0)</f>
        <v>0.0</v>
      </c>
      <c r="EY350" s="165" t="str">
        <f>IF(EO350=1,SUMPRODUCT(MAX(($EN$4:$EN$503=EN350)*$EX$4:$EX$503)),"")</f>
        <v/>
      </c>
      <c r="FA350" t="str">
        <f>IF(347&lt;=$CD$23,INDEX($EJ$4:$EJ$203,347),IF(347-$CD$23&lt;=$CD$26,INDEX($EK$4:$EK$203,347-$CD$23),""))</f>
        <v/>
      </c>
      <c r="FB350" t="str">
        <f>IF(FA350="","",IF(347&lt;=$CD$23,"Interne","Externe"))</f>
        <v/>
      </c>
      <c r="FD350">
        <f>IF(AND(B350=1,TRIM(INDEX(Charge!$K:$K,ROW()))&lt;&gt;"",TRIM(INDEX(Charge!$L:$L,ROW()))&lt;&gt;""),1,0)</f>
        <v>0</v>
      </c>
      <c r="FE350">
        <f>IF(OR(EN350="",BZ350="(non affecté)"),0,IF(COUNTIFS($EN$4:EN350,EN350,$BZ$4:BZ350,BZ350)=1,1,0))</f>
        <v>0</v>
      </c>
    </row>
    <row r="351">
      <c r="A351">
        <f>ROW()</f>
        <v>351</v>
      </c>
      <c r="B351">
        <f>IF(TRIM(INDEX(Charge!$B:$B,ROW()))&lt;&gt;"",1,0)</f>
        <v>0</v>
      </c>
      <c r="C351">
        <f>IF(B351=1,MIN(1,MAX(0,N(INDEX(Charge!$O:$O,ROW())))),0)</f>
        <v>0</v>
      </c>
      <c r="D351">
        <f>IF(B351=1,IF(OR(p_Perimetre="Tous les projets",C351&lt;1),1,0),0)</f>
        <v>0</v>
      </c>
      <c r="E351">
        <f>IF(D351=1,MAX(0,N(INDEX(Charge!$M:$M,ROW()))),0)</f>
        <v>0</v>
      </c>
      <c r="F351" t="str">
        <f>IF(D351=1,IF(TRIM(INDEX(Charge!$A:$A,ROW()))="","(non renseigné)",TRIM(INDEX(Charge!$A:$A,ROW()))),"")</f>
        <v/>
      </c>
      <c r="G351" t="str">
        <f>IF(D351=1,TRIM(INDEX(Charge!$B:$B,ROW())),"")</f>
        <v/>
      </c>
      <c r="H351" t="str">
        <f>IF(D351=1,IF(TRIM(INDEX(Charge!$E:$E,ROW()))="","(non renseigné)",TRIM(INDEX(Charge!$E:$E,ROW()))),"")</f>
        <v/>
      </c>
      <c r="I351" s="165" t="str">
        <f>IF(AND(D351=1,ISNUMBER(INDEX(Charge!$N:$N,ROW()))),INDEX(Charge!$N:$N,ROW()),"")</f>
        <v/>
      </c>
      <c r="J351" s="165" t="str">
        <f>IF(I351="","",IF(AND(p_Repartition="Lissée jusqu'à la date de besoin",ISNUMBER(INDEX(Charge!$F:$F,ROW()))),IF(INDEX(Charge!$F:$F,ROW())&gt;=I351,INDEX(Charge!$F:$F,ROW()),I351),I351))</f>
        <v/>
      </c>
      <c r="K351" t="str">
        <f>IF(I351="","",NETWORKDAYS(I351,J351,Data!$K$4:$K$203))</f>
        <v/>
      </c>
      <c r="L351" t="str">
        <f>IF(D351=1,COUNTIFS($D$4:$D$503,1,$E$4:$E$503,"&gt;"&amp;E351)+COUNTIFS($D$4:$D351,1,$E$4:$E351,E351),"")</f>
        <v/>
      </c>
      <c r="M351">
        <f>IF(F351="",0,IF(COUNTIF($F$4:F351,F351)=1,1,0))</f>
        <v>0</v>
      </c>
      <c r="N351" t="str">
        <f>IF(M351=1,ROUND(SUMIF($F$4:$F$503,F351,$E$4:$E$503),2),"")</f>
        <v/>
      </c>
      <c r="O351" t="str">
        <f>IF(M351=1,COUNTIFS($M$4:$M$503,1,$N$4:$N$503,"&gt;"&amp;N351)+COUNTIFS($M$4:M351,1,$N$4:N351,N351),"")</f>
        <v/>
      </c>
      <c r="P351">
        <f>IF(G351="",0,IF(COUNTIF($G$4:G351,G351)=1,1,0))</f>
        <v>0</v>
      </c>
      <c r="Q351" t="str">
        <f>IF(P351=1,ROUND(SUMIF($G$4:$G$503,G351,$E$4:$E$503),2),"")</f>
        <v/>
      </c>
      <c r="R351" t="str">
        <f>IF(P351=1,COUNTIFS($P$4:$P$503,1,$Q$4:$Q$503,"&gt;"&amp;Q351)+COUNTIFS($P$4:P351,1,$Q$4:Q351,Q351),"")</f>
        <v/>
      </c>
      <c r="S351">
        <f>IF(H351="",0,IF(COUNTIF($H$4:H351,H351)=1,1,0))</f>
        <v>0</v>
      </c>
      <c r="T351" t="str">
        <f>IF(S351=1,ROUND(SUMIF($H$4:$H$503,H351,$E$4:$E$503),2),"")</f>
        <v/>
      </c>
      <c r="U351" t="str">
        <f>IF(S351=1,COUNTIFS($S$4:$S$503,1,$T$4:$T$503,"&gt;"&amp;T351)+COUNTIFS($S$4:S351,1,$T$4:T351,T351),"")</f>
        <v/>
      </c>
      <c r="V351" t="str">
        <f>IF(D351=1,MIN(INDEX($R$4:$R$503,MATCH(G351,$G$4:$G$503,0)),IF($AL$7&gt;9,9,999)),"")</f>
        <v/>
      </c>
      <c r="W351" s="166">
        <f>IF(OR($I351="",$E351=0),0,IF(OR($J351&lt;W$3,$I351&gt;W$2),0,IF($K351=0,IF(AND($I351&gt;=W$3,$I351&lt;=W$2),$E351,0),$E351*NETWORKDAYS(MAX($I351,W$3),MIN($J351,W$2),Data!$K$4:$K$203)/$K351)))</f>
        <v>0</v>
      </c>
      <c r="X351" s="166">
        <f>IF(OR($I351="",$E351=0),0,IF(OR($J351&lt;X$3,$I351&gt;X$2),0,IF($K351=0,IF(AND($I351&gt;=X$3,$I351&lt;=X$2),$E351,0),$E351*NETWORKDAYS(MAX($I351,X$3),MIN($J351,X$2),Data!$K$4:$K$203)/$K351)))</f>
        <v>0</v>
      </c>
      <c r="Y351" s="166">
        <f>IF(OR($I351="",$E351=0),0,IF(OR($J351&lt;Y$3,$I351&gt;Y$2),0,IF($K351=0,IF(AND($I351&gt;=Y$3,$I351&lt;=Y$2),$E351,0),$E351*NETWORKDAYS(MAX($I351,Y$3),MIN($J351,Y$2),Data!$K$4:$K$203)/$K351)))</f>
        <v>0</v>
      </c>
      <c r="Z351" s="166">
        <f>IF(OR($I351="",$E351=0),0,IF(OR($J351&lt;Z$3,$I351&gt;Z$2),0,IF($K351=0,IF(AND($I351&gt;=Z$3,$I351&lt;=Z$2),$E351,0),$E351*NETWORKDAYS(MAX($I351,Z$3),MIN($J351,Z$2),Data!$K$4:$K$203)/$K351)))</f>
        <v>0</v>
      </c>
      <c r="AA351" s="166">
        <f>IF(OR($I351="",$E351=0),0,IF(OR($J351&lt;AA$3,$I351&gt;AA$2),0,IF($K351=0,IF(AND($I351&gt;=AA$3,$I351&lt;=AA$2),$E351,0),$E351*NETWORKDAYS(MAX($I351,AA$3),MIN($J351,AA$2),Data!$K$4:$K$203)/$K351)))</f>
        <v>0</v>
      </c>
      <c r="AB351" s="166">
        <f>IF(OR($I351="",$E351=0),0,IF(OR($J351&lt;AB$3,$I351&gt;AB$2),0,IF($K351=0,IF(AND($I351&gt;=AB$3,$I351&lt;=AB$2),$E351,0),$E351*NETWORKDAYS(MAX($I351,AB$3),MIN($J351,AB$2),Data!$K$4:$K$203)/$K351)))</f>
        <v>0</v>
      </c>
      <c r="AC351" s="166">
        <f>IF(OR($I351="",$E351=0),0,IF(OR($J351&lt;AC$3,$I351&gt;AC$2),0,IF($K351=0,IF(AND($I351&gt;=AC$3,$I351&lt;=AC$2),$E351,0),$E351*NETWORKDAYS(MAX($I351,AC$3),MIN($J351,AC$2),Data!$K$4:$K$203)/$K351)))</f>
        <v>0</v>
      </c>
      <c r="AD351" s="166">
        <f>IF(OR($I351="",$E351=0),0,IF(OR($J351&lt;AD$3,$I351&gt;AD$2),0,IF($K351=0,IF(AND($I351&gt;=AD$3,$I351&lt;=AD$2),$E351,0),$E351*NETWORKDAYS(MAX($I351,AD$3),MIN($J351,AD$2),Data!$K$4:$K$203)/$K351)))</f>
        <v>0</v>
      </c>
      <c r="AE351" s="166">
        <f>IF(OR($I351="",$E351=0),0,IF(OR($J351&lt;AE$3,$I351&gt;AE$2),0,IF($K351=0,IF(AND($I351&gt;=AE$3,$I351&lt;=AE$2),$E351,0),$E351*NETWORKDAYS(MAX($I351,AE$3),MIN($J351,AE$2),Data!$K$4:$K$203)/$K351)))</f>
        <v>0</v>
      </c>
      <c r="AF351" s="166">
        <f>IF(OR($I351="",$E351=0),0,IF(OR($J351&lt;AF$3,$I351&gt;AF$2),0,IF($K351=0,IF(AND($I351&gt;=AF$3,$I351&lt;=AF$2),$E351,0),$E351*NETWORKDAYS(MAX($I351,AF$3),MIN($J351,AF$2),Data!$K$4:$K$203)/$K351)))</f>
        <v>0</v>
      </c>
      <c r="AG351" s="166">
        <f>IF(OR($I351="",$E351=0),0,IF(OR($J351&lt;AG$3,$I351&gt;AG$2),0,IF($K351=0,IF(AND($I351&gt;=AG$3,$I351&lt;=AG$2),$E351,0),$E351*NETWORKDAYS(MAX($I351,AG$3),MIN($J351,AG$2),Data!$K$4:$K$203)/$K351)))</f>
        <v>0</v>
      </c>
      <c r="AH351" s="166">
        <f>IF(OR($I351="",$E351=0),0,IF(OR($J351&lt;AH$3,$I351&gt;AH$2),0,IF($K351=0,IF(AND($I351&gt;=AH$3,$I351&lt;=AH$2),$E351,0),$E351*NETWORKDAYS(MAX($I351,AH$3),MIN($J351,AH$2),Data!$K$4:$K$203)/$K351)))</f>
        <v>0</v>
      </c>
      <c r="AI351" s="166">
        <f>SUM(W351:AH351)</f>
        <v>0</v>
      </c>
      <c r="BZ351" t="str">
        <f>IF(D351=1,IF(TRIM(INDEX(Charge!$K:$K,ROW()))&lt;&gt;"",TRIM(INDEX(Charge!$K:$K,ROW())),IF(TRIM(INDEX(Charge!$L:$L,ROW()))&lt;&gt;"",TRIM(INDEX(Charge!$L:$L,ROW())),"(non affecté)")),"")</f>
        <v/>
      </c>
      <c r="CA351" t="str">
        <f>IF(AND($CD$4&lt;&gt;"",BZ351=$CD$4),COUNTIFS($BZ$4:$BZ$503,$CD$4,$L$4:$L$503,"&lt;"&amp;L351)+1,"")</f>
        <v/>
      </c>
      <c r="EM351" t="str">
        <f>IF(D351=1,IF(TRIM(INDEX(Charge!$K:$K,ROW()))&lt;&gt;"","Interne",IF(TRIM(INDEX(Charge!$L:$L,ROW()))&lt;&gt;"","Externe","Non affecté")),"")</f>
        <v/>
      </c>
      <c r="EN351" t="str">
        <f>IF(D351=1,LEFT(SUBSTITUTE(SUBSTITUTE(SUBSTITUTE(TRIM(SUBSTITUTE(INDEX(Charge!$B:$B,ROW()),CHAR(160)," "))&amp;" | "&amp;TRIM(SUBSTITUTE(INDEX(Charge!$C:$C,ROW()),CHAR(160)," "))&amp;" | "&amp;TRIM(SUBSTITUTE(INDEX(Charge!$D:$D,ROW()),CHAR(160)," ")),"~","-"),"*","+"),"?","!"),240),"")</f>
        <v/>
      </c>
      <c r="EO351">
        <f>IF(EN351="",0,IF(COUNTIF($EN$4:EN351,EN351)=1,1,0))</f>
        <v>0</v>
      </c>
      <c r="EP351" s="166" t="str">
        <f>IF(EO351=1,ROUND(SUMIF($EN$4:$EN$503,EN351,$E$4:$E$503),2),"")</f>
        <v/>
      </c>
      <c r="EQ351" t="str">
        <f>IF(EO351=1,COUNTIFS($EO$4:$EO$503,1,$EP$4:$EP$503,"&gt;"&amp;EP351)+COUNTIFS($EO$4:EO351,1,$EP$4:EP351,EP351),"")</f>
        <v/>
      </c>
      <c r="ER351" t="str">
        <f>IF(EO351=1,COUNTIFS($EN$4:$EN$503,EN351,$EM$4:$EM$503,"Interne",$FE$4:$FE$503,1),"")</f>
        <v/>
      </c>
      <c r="ES351" t="str">
        <f>IF(EO351=1,COUNTIFS($EN$4:$EN$503,EN351,$EM$4:$EM$503,"Externe",$FE$4:$FE$503,1),"")</f>
        <v/>
      </c>
      <c r="ET351" t="str">
        <f>IF(EO351=1,IF(ER351+ES351=0,"à affecter",IF(ER351=0,ES351&amp;" ext.",(ER351+ES351)&amp;IF(ES351&gt;0," dont "&amp;ES351&amp;" ext.",""))&amp;IF(COUNTIFS($EN$4:$EN$503,EN351,$EM$4:$EM$503,"Non affecté")&gt;0," + à affecter","")),"")</f>
        <v/>
      </c>
      <c r="EU351" s="170" t="str">
        <f>IF(EO351=1,IF(EP351&gt;0,SUMPRODUCT(($EN$4:$EN$503=EN351)*$E$4:$E$503*$C$4:$C$503)/EP351,AVERAGEIF($EN$4:$EN$503,EN351,$C$4:$C$503)),"")</f>
        <v/>
      </c>
      <c r="EV351" s="165">
        <f>IF(ISNUMBER(I351),I351,2958465)</f>
        <v>2958465.0</v>
      </c>
      <c r="EW351" s="165" t="str">
        <f>IF(EO351=1,SUMPRODUCT(MIN(($EN$4:$EN$503=EN351)*$EV$4:$EV$503+($EN$4:$EN$503&lt;&gt;EN351)*2958465)),"")</f>
        <v/>
      </c>
      <c r="EX351" s="165">
        <f>IF(AND(D351=1,ISNUMBER(INDEX(Charge!$F:$F,ROW()))),INDEX(Charge!$F:$F,ROW()),0)</f>
        <v>0.0</v>
      </c>
      <c r="EY351" s="165" t="str">
        <f>IF(EO351=1,SUMPRODUCT(MAX(($EN$4:$EN$503=EN351)*$EX$4:$EX$503)),"")</f>
        <v/>
      </c>
      <c r="FA351" t="str">
        <f>IF(348&lt;=$CD$23,INDEX($EJ$4:$EJ$203,348),IF(348-$CD$23&lt;=$CD$26,INDEX($EK$4:$EK$203,348-$CD$23),""))</f>
        <v/>
      </c>
      <c r="FB351" t="str">
        <f>IF(FA351="","",IF(348&lt;=$CD$23,"Interne","Externe"))</f>
        <v/>
      </c>
      <c r="FD351">
        <f>IF(AND(B351=1,TRIM(INDEX(Charge!$K:$K,ROW()))&lt;&gt;"",TRIM(INDEX(Charge!$L:$L,ROW()))&lt;&gt;""),1,0)</f>
        <v>0</v>
      </c>
      <c r="FE351">
        <f>IF(OR(EN351="",BZ351="(non affecté)"),0,IF(COUNTIFS($EN$4:EN351,EN351,$BZ$4:BZ351,BZ351)=1,1,0))</f>
        <v>0</v>
      </c>
    </row>
    <row r="352">
      <c r="A352">
        <f>ROW()</f>
        <v>352</v>
      </c>
      <c r="B352">
        <f>IF(TRIM(INDEX(Charge!$B:$B,ROW()))&lt;&gt;"",1,0)</f>
        <v>0</v>
      </c>
      <c r="C352">
        <f>IF(B352=1,MIN(1,MAX(0,N(INDEX(Charge!$O:$O,ROW())))),0)</f>
        <v>0</v>
      </c>
      <c r="D352">
        <f>IF(B352=1,IF(OR(p_Perimetre="Tous les projets",C352&lt;1),1,0),0)</f>
        <v>0</v>
      </c>
      <c r="E352">
        <f>IF(D352=1,MAX(0,N(INDEX(Charge!$M:$M,ROW()))),0)</f>
        <v>0</v>
      </c>
      <c r="F352" t="str">
        <f>IF(D352=1,IF(TRIM(INDEX(Charge!$A:$A,ROW()))="","(non renseigné)",TRIM(INDEX(Charge!$A:$A,ROW()))),"")</f>
        <v/>
      </c>
      <c r="G352" t="str">
        <f>IF(D352=1,TRIM(INDEX(Charge!$B:$B,ROW())),"")</f>
        <v/>
      </c>
      <c r="H352" t="str">
        <f>IF(D352=1,IF(TRIM(INDEX(Charge!$E:$E,ROW()))="","(non renseigné)",TRIM(INDEX(Charge!$E:$E,ROW()))),"")</f>
        <v/>
      </c>
      <c r="I352" s="165" t="str">
        <f>IF(AND(D352=1,ISNUMBER(INDEX(Charge!$N:$N,ROW()))),INDEX(Charge!$N:$N,ROW()),"")</f>
        <v/>
      </c>
      <c r="J352" s="165" t="str">
        <f>IF(I352="","",IF(AND(p_Repartition="Lissée jusqu'à la date de besoin",ISNUMBER(INDEX(Charge!$F:$F,ROW()))),IF(INDEX(Charge!$F:$F,ROW())&gt;=I352,INDEX(Charge!$F:$F,ROW()),I352),I352))</f>
        <v/>
      </c>
      <c r="K352" t="str">
        <f>IF(I352="","",NETWORKDAYS(I352,J352,Data!$K$4:$K$203))</f>
        <v/>
      </c>
      <c r="L352" t="str">
        <f>IF(D352=1,COUNTIFS($D$4:$D$503,1,$E$4:$E$503,"&gt;"&amp;E352)+COUNTIFS($D$4:$D352,1,$E$4:$E352,E352),"")</f>
        <v/>
      </c>
      <c r="M352">
        <f>IF(F352="",0,IF(COUNTIF($F$4:F352,F352)=1,1,0))</f>
        <v>0</v>
      </c>
      <c r="N352" t="str">
        <f>IF(M352=1,ROUND(SUMIF($F$4:$F$503,F352,$E$4:$E$503),2),"")</f>
        <v/>
      </c>
      <c r="O352" t="str">
        <f>IF(M352=1,COUNTIFS($M$4:$M$503,1,$N$4:$N$503,"&gt;"&amp;N352)+COUNTIFS($M$4:M352,1,$N$4:N352,N352),"")</f>
        <v/>
      </c>
      <c r="P352">
        <f>IF(G352="",0,IF(COUNTIF($G$4:G352,G352)=1,1,0))</f>
        <v>0</v>
      </c>
      <c r="Q352" t="str">
        <f>IF(P352=1,ROUND(SUMIF($G$4:$G$503,G352,$E$4:$E$503),2),"")</f>
        <v/>
      </c>
      <c r="R352" t="str">
        <f>IF(P352=1,COUNTIFS($P$4:$P$503,1,$Q$4:$Q$503,"&gt;"&amp;Q352)+COUNTIFS($P$4:P352,1,$Q$4:Q352,Q352),"")</f>
        <v/>
      </c>
      <c r="S352">
        <f>IF(H352="",0,IF(COUNTIF($H$4:H352,H352)=1,1,0))</f>
        <v>0</v>
      </c>
      <c r="T352" t="str">
        <f>IF(S352=1,ROUND(SUMIF($H$4:$H$503,H352,$E$4:$E$503),2),"")</f>
        <v/>
      </c>
      <c r="U352" t="str">
        <f>IF(S352=1,COUNTIFS($S$4:$S$503,1,$T$4:$T$503,"&gt;"&amp;T352)+COUNTIFS($S$4:S352,1,$T$4:T352,T352),"")</f>
        <v/>
      </c>
      <c r="V352" t="str">
        <f>IF(D352=1,MIN(INDEX($R$4:$R$503,MATCH(G352,$G$4:$G$503,0)),IF($AL$7&gt;9,9,999)),"")</f>
        <v/>
      </c>
      <c r="W352" s="166">
        <f>IF(OR($I352="",$E352=0),0,IF(OR($J352&lt;W$3,$I352&gt;W$2),0,IF($K352=0,IF(AND($I352&gt;=W$3,$I352&lt;=W$2),$E352,0),$E352*NETWORKDAYS(MAX($I352,W$3),MIN($J352,W$2),Data!$K$4:$K$203)/$K352)))</f>
        <v>0</v>
      </c>
      <c r="X352" s="166">
        <f>IF(OR($I352="",$E352=0),0,IF(OR($J352&lt;X$3,$I352&gt;X$2),0,IF($K352=0,IF(AND($I352&gt;=X$3,$I352&lt;=X$2),$E352,0),$E352*NETWORKDAYS(MAX($I352,X$3),MIN($J352,X$2),Data!$K$4:$K$203)/$K352)))</f>
        <v>0</v>
      </c>
      <c r="Y352" s="166">
        <f>IF(OR($I352="",$E352=0),0,IF(OR($J352&lt;Y$3,$I352&gt;Y$2),0,IF($K352=0,IF(AND($I352&gt;=Y$3,$I352&lt;=Y$2),$E352,0),$E352*NETWORKDAYS(MAX($I352,Y$3),MIN($J352,Y$2),Data!$K$4:$K$203)/$K352)))</f>
        <v>0</v>
      </c>
      <c r="Z352" s="166">
        <f>IF(OR($I352="",$E352=0),0,IF(OR($J352&lt;Z$3,$I352&gt;Z$2),0,IF($K352=0,IF(AND($I352&gt;=Z$3,$I352&lt;=Z$2),$E352,0),$E352*NETWORKDAYS(MAX($I352,Z$3),MIN($J352,Z$2),Data!$K$4:$K$203)/$K352)))</f>
        <v>0</v>
      </c>
      <c r="AA352" s="166">
        <f>IF(OR($I352="",$E352=0),0,IF(OR($J352&lt;AA$3,$I352&gt;AA$2),0,IF($K352=0,IF(AND($I352&gt;=AA$3,$I352&lt;=AA$2),$E352,0),$E352*NETWORKDAYS(MAX($I352,AA$3),MIN($J352,AA$2),Data!$K$4:$K$203)/$K352)))</f>
        <v>0</v>
      </c>
      <c r="AB352" s="166">
        <f>IF(OR($I352="",$E352=0),0,IF(OR($J352&lt;AB$3,$I352&gt;AB$2),0,IF($K352=0,IF(AND($I352&gt;=AB$3,$I352&lt;=AB$2),$E352,0),$E352*NETWORKDAYS(MAX($I352,AB$3),MIN($J352,AB$2),Data!$K$4:$K$203)/$K352)))</f>
        <v>0</v>
      </c>
      <c r="AC352" s="166">
        <f>IF(OR($I352="",$E352=0),0,IF(OR($J352&lt;AC$3,$I352&gt;AC$2),0,IF($K352=0,IF(AND($I352&gt;=AC$3,$I352&lt;=AC$2),$E352,0),$E352*NETWORKDAYS(MAX($I352,AC$3),MIN($J352,AC$2),Data!$K$4:$K$203)/$K352)))</f>
        <v>0</v>
      </c>
      <c r="AD352" s="166">
        <f>IF(OR($I352="",$E352=0),0,IF(OR($J352&lt;AD$3,$I352&gt;AD$2),0,IF($K352=0,IF(AND($I352&gt;=AD$3,$I352&lt;=AD$2),$E352,0),$E352*NETWORKDAYS(MAX($I352,AD$3),MIN($J352,AD$2),Data!$K$4:$K$203)/$K352)))</f>
        <v>0</v>
      </c>
      <c r="AE352" s="166">
        <f>IF(OR($I352="",$E352=0),0,IF(OR($J352&lt;AE$3,$I352&gt;AE$2),0,IF($K352=0,IF(AND($I352&gt;=AE$3,$I352&lt;=AE$2),$E352,0),$E352*NETWORKDAYS(MAX($I352,AE$3),MIN($J352,AE$2),Data!$K$4:$K$203)/$K352)))</f>
        <v>0</v>
      </c>
      <c r="AF352" s="166">
        <f>IF(OR($I352="",$E352=0),0,IF(OR($J352&lt;AF$3,$I352&gt;AF$2),0,IF($K352=0,IF(AND($I352&gt;=AF$3,$I352&lt;=AF$2),$E352,0),$E352*NETWORKDAYS(MAX($I352,AF$3),MIN($J352,AF$2),Data!$K$4:$K$203)/$K352)))</f>
        <v>0</v>
      </c>
      <c r="AG352" s="166">
        <f>IF(OR($I352="",$E352=0),0,IF(OR($J352&lt;AG$3,$I352&gt;AG$2),0,IF($K352=0,IF(AND($I352&gt;=AG$3,$I352&lt;=AG$2),$E352,0),$E352*NETWORKDAYS(MAX($I352,AG$3),MIN($J352,AG$2),Data!$K$4:$K$203)/$K352)))</f>
        <v>0</v>
      </c>
      <c r="AH352" s="166">
        <f>IF(OR($I352="",$E352=0),0,IF(OR($J352&lt;AH$3,$I352&gt;AH$2),0,IF($K352=0,IF(AND($I352&gt;=AH$3,$I352&lt;=AH$2),$E352,0),$E352*NETWORKDAYS(MAX($I352,AH$3),MIN($J352,AH$2),Data!$K$4:$K$203)/$K352)))</f>
        <v>0</v>
      </c>
      <c r="AI352" s="166">
        <f>SUM(W352:AH352)</f>
        <v>0</v>
      </c>
      <c r="BZ352" t="str">
        <f>IF(D352=1,IF(TRIM(INDEX(Charge!$K:$K,ROW()))&lt;&gt;"",TRIM(INDEX(Charge!$K:$K,ROW())),IF(TRIM(INDEX(Charge!$L:$L,ROW()))&lt;&gt;"",TRIM(INDEX(Charge!$L:$L,ROW())),"(non affecté)")),"")</f>
        <v/>
      </c>
      <c r="CA352" t="str">
        <f>IF(AND($CD$4&lt;&gt;"",BZ352=$CD$4),COUNTIFS($BZ$4:$BZ$503,$CD$4,$L$4:$L$503,"&lt;"&amp;L352)+1,"")</f>
        <v/>
      </c>
      <c r="EM352" t="str">
        <f>IF(D352=1,IF(TRIM(INDEX(Charge!$K:$K,ROW()))&lt;&gt;"","Interne",IF(TRIM(INDEX(Charge!$L:$L,ROW()))&lt;&gt;"","Externe","Non affecté")),"")</f>
        <v/>
      </c>
      <c r="EN352" t="str">
        <f>IF(D352=1,LEFT(SUBSTITUTE(SUBSTITUTE(SUBSTITUTE(TRIM(SUBSTITUTE(INDEX(Charge!$B:$B,ROW()),CHAR(160)," "))&amp;" | "&amp;TRIM(SUBSTITUTE(INDEX(Charge!$C:$C,ROW()),CHAR(160)," "))&amp;" | "&amp;TRIM(SUBSTITUTE(INDEX(Charge!$D:$D,ROW()),CHAR(160)," ")),"~","-"),"*","+"),"?","!"),240),"")</f>
        <v/>
      </c>
      <c r="EO352">
        <f>IF(EN352="",0,IF(COUNTIF($EN$4:EN352,EN352)=1,1,0))</f>
        <v>0</v>
      </c>
      <c r="EP352" s="166" t="str">
        <f>IF(EO352=1,ROUND(SUMIF($EN$4:$EN$503,EN352,$E$4:$E$503),2),"")</f>
        <v/>
      </c>
      <c r="EQ352" t="str">
        <f>IF(EO352=1,COUNTIFS($EO$4:$EO$503,1,$EP$4:$EP$503,"&gt;"&amp;EP352)+COUNTIFS($EO$4:EO352,1,$EP$4:EP352,EP352),"")</f>
        <v/>
      </c>
      <c r="ER352" t="str">
        <f>IF(EO352=1,COUNTIFS($EN$4:$EN$503,EN352,$EM$4:$EM$503,"Interne",$FE$4:$FE$503,1),"")</f>
        <v/>
      </c>
      <c r="ES352" t="str">
        <f>IF(EO352=1,COUNTIFS($EN$4:$EN$503,EN352,$EM$4:$EM$503,"Externe",$FE$4:$FE$503,1),"")</f>
        <v/>
      </c>
      <c r="ET352" t="str">
        <f>IF(EO352=1,IF(ER352+ES352=0,"à affecter",IF(ER352=0,ES352&amp;" ext.",(ER352+ES352)&amp;IF(ES352&gt;0," dont "&amp;ES352&amp;" ext.",""))&amp;IF(COUNTIFS($EN$4:$EN$503,EN352,$EM$4:$EM$503,"Non affecté")&gt;0," + à affecter","")),"")</f>
        <v/>
      </c>
      <c r="EU352" s="170" t="str">
        <f>IF(EO352=1,IF(EP352&gt;0,SUMPRODUCT(($EN$4:$EN$503=EN352)*$E$4:$E$503*$C$4:$C$503)/EP352,AVERAGEIF($EN$4:$EN$503,EN352,$C$4:$C$503)),"")</f>
        <v/>
      </c>
      <c r="EV352" s="165">
        <f>IF(ISNUMBER(I352),I352,2958465)</f>
        <v>2958465.0</v>
      </c>
      <c r="EW352" s="165" t="str">
        <f>IF(EO352=1,SUMPRODUCT(MIN(($EN$4:$EN$503=EN352)*$EV$4:$EV$503+($EN$4:$EN$503&lt;&gt;EN352)*2958465)),"")</f>
        <v/>
      </c>
      <c r="EX352" s="165">
        <f>IF(AND(D352=1,ISNUMBER(INDEX(Charge!$F:$F,ROW()))),INDEX(Charge!$F:$F,ROW()),0)</f>
        <v>0.0</v>
      </c>
      <c r="EY352" s="165" t="str">
        <f>IF(EO352=1,SUMPRODUCT(MAX(($EN$4:$EN$503=EN352)*$EX$4:$EX$503)),"")</f>
        <v/>
      </c>
      <c r="FA352" t="str">
        <f>IF(349&lt;=$CD$23,INDEX($EJ$4:$EJ$203,349),IF(349-$CD$23&lt;=$CD$26,INDEX($EK$4:$EK$203,349-$CD$23),""))</f>
        <v/>
      </c>
      <c r="FB352" t="str">
        <f>IF(FA352="","",IF(349&lt;=$CD$23,"Interne","Externe"))</f>
        <v/>
      </c>
      <c r="FD352">
        <f>IF(AND(B352=1,TRIM(INDEX(Charge!$K:$K,ROW()))&lt;&gt;"",TRIM(INDEX(Charge!$L:$L,ROW()))&lt;&gt;""),1,0)</f>
        <v>0</v>
      </c>
      <c r="FE352">
        <f>IF(OR(EN352="",BZ352="(non affecté)"),0,IF(COUNTIFS($EN$4:EN352,EN352,$BZ$4:BZ352,BZ352)=1,1,0))</f>
        <v>0</v>
      </c>
    </row>
    <row r="353">
      <c r="A353">
        <f>ROW()</f>
        <v>353</v>
      </c>
      <c r="B353">
        <f>IF(TRIM(INDEX(Charge!$B:$B,ROW()))&lt;&gt;"",1,0)</f>
        <v>0</v>
      </c>
      <c r="C353">
        <f>IF(B353=1,MIN(1,MAX(0,N(INDEX(Charge!$O:$O,ROW())))),0)</f>
        <v>0</v>
      </c>
      <c r="D353">
        <f>IF(B353=1,IF(OR(p_Perimetre="Tous les projets",C353&lt;1),1,0),0)</f>
        <v>0</v>
      </c>
      <c r="E353">
        <f>IF(D353=1,MAX(0,N(INDEX(Charge!$M:$M,ROW()))),0)</f>
        <v>0</v>
      </c>
      <c r="F353" t="str">
        <f>IF(D353=1,IF(TRIM(INDEX(Charge!$A:$A,ROW()))="","(non renseigné)",TRIM(INDEX(Charge!$A:$A,ROW()))),"")</f>
        <v/>
      </c>
      <c r="G353" t="str">
        <f>IF(D353=1,TRIM(INDEX(Charge!$B:$B,ROW())),"")</f>
        <v/>
      </c>
      <c r="H353" t="str">
        <f>IF(D353=1,IF(TRIM(INDEX(Charge!$E:$E,ROW()))="","(non renseigné)",TRIM(INDEX(Charge!$E:$E,ROW()))),"")</f>
        <v/>
      </c>
      <c r="I353" s="165" t="str">
        <f>IF(AND(D353=1,ISNUMBER(INDEX(Charge!$N:$N,ROW()))),INDEX(Charge!$N:$N,ROW()),"")</f>
        <v/>
      </c>
      <c r="J353" s="165" t="str">
        <f>IF(I353="","",IF(AND(p_Repartition="Lissée jusqu'à la date de besoin",ISNUMBER(INDEX(Charge!$F:$F,ROW()))),IF(INDEX(Charge!$F:$F,ROW())&gt;=I353,INDEX(Charge!$F:$F,ROW()),I353),I353))</f>
        <v/>
      </c>
      <c r="K353" t="str">
        <f>IF(I353="","",NETWORKDAYS(I353,J353,Data!$K$4:$K$203))</f>
        <v/>
      </c>
      <c r="L353" t="str">
        <f>IF(D353=1,COUNTIFS($D$4:$D$503,1,$E$4:$E$503,"&gt;"&amp;E353)+COUNTIFS($D$4:$D353,1,$E$4:$E353,E353),"")</f>
        <v/>
      </c>
      <c r="M353">
        <f>IF(F353="",0,IF(COUNTIF($F$4:F353,F353)=1,1,0))</f>
        <v>0</v>
      </c>
      <c r="N353" t="str">
        <f>IF(M353=1,ROUND(SUMIF($F$4:$F$503,F353,$E$4:$E$503),2),"")</f>
        <v/>
      </c>
      <c r="O353" t="str">
        <f>IF(M353=1,COUNTIFS($M$4:$M$503,1,$N$4:$N$503,"&gt;"&amp;N353)+COUNTIFS($M$4:M353,1,$N$4:N353,N353),"")</f>
        <v/>
      </c>
      <c r="P353">
        <f>IF(G353="",0,IF(COUNTIF($G$4:G353,G353)=1,1,0))</f>
        <v>0</v>
      </c>
      <c r="Q353" t="str">
        <f>IF(P353=1,ROUND(SUMIF($G$4:$G$503,G353,$E$4:$E$503),2),"")</f>
        <v/>
      </c>
      <c r="R353" t="str">
        <f>IF(P353=1,COUNTIFS($P$4:$P$503,1,$Q$4:$Q$503,"&gt;"&amp;Q353)+COUNTIFS($P$4:P353,1,$Q$4:Q353,Q353),"")</f>
        <v/>
      </c>
      <c r="S353">
        <f>IF(H353="",0,IF(COUNTIF($H$4:H353,H353)=1,1,0))</f>
        <v>0</v>
      </c>
      <c r="T353" t="str">
        <f>IF(S353=1,ROUND(SUMIF($H$4:$H$503,H353,$E$4:$E$503),2),"")</f>
        <v/>
      </c>
      <c r="U353" t="str">
        <f>IF(S353=1,COUNTIFS($S$4:$S$503,1,$T$4:$T$503,"&gt;"&amp;T353)+COUNTIFS($S$4:S353,1,$T$4:T353,T353),"")</f>
        <v/>
      </c>
      <c r="V353" t="str">
        <f>IF(D353=1,MIN(INDEX($R$4:$R$503,MATCH(G353,$G$4:$G$503,0)),IF($AL$7&gt;9,9,999)),"")</f>
        <v/>
      </c>
      <c r="W353" s="166">
        <f>IF(OR($I353="",$E353=0),0,IF(OR($J353&lt;W$3,$I353&gt;W$2),0,IF($K353=0,IF(AND($I353&gt;=W$3,$I353&lt;=W$2),$E353,0),$E353*NETWORKDAYS(MAX($I353,W$3),MIN($J353,W$2),Data!$K$4:$K$203)/$K353)))</f>
        <v>0</v>
      </c>
      <c r="X353" s="166">
        <f>IF(OR($I353="",$E353=0),0,IF(OR($J353&lt;X$3,$I353&gt;X$2),0,IF($K353=0,IF(AND($I353&gt;=X$3,$I353&lt;=X$2),$E353,0),$E353*NETWORKDAYS(MAX($I353,X$3),MIN($J353,X$2),Data!$K$4:$K$203)/$K353)))</f>
        <v>0</v>
      </c>
      <c r="Y353" s="166">
        <f>IF(OR($I353="",$E353=0),0,IF(OR($J353&lt;Y$3,$I353&gt;Y$2),0,IF($K353=0,IF(AND($I353&gt;=Y$3,$I353&lt;=Y$2),$E353,0),$E353*NETWORKDAYS(MAX($I353,Y$3),MIN($J353,Y$2),Data!$K$4:$K$203)/$K353)))</f>
        <v>0</v>
      </c>
      <c r="Z353" s="166">
        <f>IF(OR($I353="",$E353=0),0,IF(OR($J353&lt;Z$3,$I353&gt;Z$2),0,IF($K353=0,IF(AND($I353&gt;=Z$3,$I353&lt;=Z$2),$E353,0),$E353*NETWORKDAYS(MAX($I353,Z$3),MIN($J353,Z$2),Data!$K$4:$K$203)/$K353)))</f>
        <v>0</v>
      </c>
      <c r="AA353" s="166">
        <f>IF(OR($I353="",$E353=0),0,IF(OR($J353&lt;AA$3,$I353&gt;AA$2),0,IF($K353=0,IF(AND($I353&gt;=AA$3,$I353&lt;=AA$2),$E353,0),$E353*NETWORKDAYS(MAX($I353,AA$3),MIN($J353,AA$2),Data!$K$4:$K$203)/$K353)))</f>
        <v>0</v>
      </c>
      <c r="AB353" s="166">
        <f>IF(OR($I353="",$E353=0),0,IF(OR($J353&lt;AB$3,$I353&gt;AB$2),0,IF($K353=0,IF(AND($I353&gt;=AB$3,$I353&lt;=AB$2),$E353,0),$E353*NETWORKDAYS(MAX($I353,AB$3),MIN($J353,AB$2),Data!$K$4:$K$203)/$K353)))</f>
        <v>0</v>
      </c>
      <c r="AC353" s="166">
        <f>IF(OR($I353="",$E353=0),0,IF(OR($J353&lt;AC$3,$I353&gt;AC$2),0,IF($K353=0,IF(AND($I353&gt;=AC$3,$I353&lt;=AC$2),$E353,0),$E353*NETWORKDAYS(MAX($I353,AC$3),MIN($J353,AC$2),Data!$K$4:$K$203)/$K353)))</f>
        <v>0</v>
      </c>
      <c r="AD353" s="166">
        <f>IF(OR($I353="",$E353=0),0,IF(OR($J353&lt;AD$3,$I353&gt;AD$2),0,IF($K353=0,IF(AND($I353&gt;=AD$3,$I353&lt;=AD$2),$E353,0),$E353*NETWORKDAYS(MAX($I353,AD$3),MIN($J353,AD$2),Data!$K$4:$K$203)/$K353)))</f>
        <v>0</v>
      </c>
      <c r="AE353" s="166">
        <f>IF(OR($I353="",$E353=0),0,IF(OR($J353&lt;AE$3,$I353&gt;AE$2),0,IF($K353=0,IF(AND($I353&gt;=AE$3,$I353&lt;=AE$2),$E353,0),$E353*NETWORKDAYS(MAX($I353,AE$3),MIN($J353,AE$2),Data!$K$4:$K$203)/$K353)))</f>
        <v>0</v>
      </c>
      <c r="AF353" s="166">
        <f>IF(OR($I353="",$E353=0),0,IF(OR($J353&lt;AF$3,$I353&gt;AF$2),0,IF($K353=0,IF(AND($I353&gt;=AF$3,$I353&lt;=AF$2),$E353,0),$E353*NETWORKDAYS(MAX($I353,AF$3),MIN($J353,AF$2),Data!$K$4:$K$203)/$K353)))</f>
        <v>0</v>
      </c>
      <c r="AG353" s="166">
        <f>IF(OR($I353="",$E353=0),0,IF(OR($J353&lt;AG$3,$I353&gt;AG$2),0,IF($K353=0,IF(AND($I353&gt;=AG$3,$I353&lt;=AG$2),$E353,0),$E353*NETWORKDAYS(MAX($I353,AG$3),MIN($J353,AG$2),Data!$K$4:$K$203)/$K353)))</f>
        <v>0</v>
      </c>
      <c r="AH353" s="166">
        <f>IF(OR($I353="",$E353=0),0,IF(OR($J353&lt;AH$3,$I353&gt;AH$2),0,IF($K353=0,IF(AND($I353&gt;=AH$3,$I353&lt;=AH$2),$E353,0),$E353*NETWORKDAYS(MAX($I353,AH$3),MIN($J353,AH$2),Data!$K$4:$K$203)/$K353)))</f>
        <v>0</v>
      </c>
      <c r="AI353" s="166">
        <f>SUM(W353:AH353)</f>
        <v>0</v>
      </c>
      <c r="BZ353" t="str">
        <f>IF(D353=1,IF(TRIM(INDEX(Charge!$K:$K,ROW()))&lt;&gt;"",TRIM(INDEX(Charge!$K:$K,ROW())),IF(TRIM(INDEX(Charge!$L:$L,ROW()))&lt;&gt;"",TRIM(INDEX(Charge!$L:$L,ROW())),"(non affecté)")),"")</f>
        <v/>
      </c>
      <c r="CA353" t="str">
        <f>IF(AND($CD$4&lt;&gt;"",BZ353=$CD$4),COUNTIFS($BZ$4:$BZ$503,$CD$4,$L$4:$L$503,"&lt;"&amp;L353)+1,"")</f>
        <v/>
      </c>
      <c r="EM353" t="str">
        <f>IF(D353=1,IF(TRIM(INDEX(Charge!$K:$K,ROW()))&lt;&gt;"","Interne",IF(TRIM(INDEX(Charge!$L:$L,ROW()))&lt;&gt;"","Externe","Non affecté")),"")</f>
        <v/>
      </c>
      <c r="EN353" t="str">
        <f>IF(D353=1,LEFT(SUBSTITUTE(SUBSTITUTE(SUBSTITUTE(TRIM(SUBSTITUTE(INDEX(Charge!$B:$B,ROW()),CHAR(160)," "))&amp;" | "&amp;TRIM(SUBSTITUTE(INDEX(Charge!$C:$C,ROW()),CHAR(160)," "))&amp;" | "&amp;TRIM(SUBSTITUTE(INDEX(Charge!$D:$D,ROW()),CHAR(160)," ")),"~","-"),"*","+"),"?","!"),240),"")</f>
        <v/>
      </c>
      <c r="EO353">
        <f>IF(EN353="",0,IF(COUNTIF($EN$4:EN353,EN353)=1,1,0))</f>
        <v>0</v>
      </c>
      <c r="EP353" s="166" t="str">
        <f>IF(EO353=1,ROUND(SUMIF($EN$4:$EN$503,EN353,$E$4:$E$503),2),"")</f>
        <v/>
      </c>
      <c r="EQ353" t="str">
        <f>IF(EO353=1,COUNTIFS($EO$4:$EO$503,1,$EP$4:$EP$503,"&gt;"&amp;EP353)+COUNTIFS($EO$4:EO353,1,$EP$4:EP353,EP353),"")</f>
        <v/>
      </c>
      <c r="ER353" t="str">
        <f>IF(EO353=1,COUNTIFS($EN$4:$EN$503,EN353,$EM$4:$EM$503,"Interne",$FE$4:$FE$503,1),"")</f>
        <v/>
      </c>
      <c r="ES353" t="str">
        <f>IF(EO353=1,COUNTIFS($EN$4:$EN$503,EN353,$EM$4:$EM$503,"Externe",$FE$4:$FE$503,1),"")</f>
        <v/>
      </c>
      <c r="ET353" t="str">
        <f>IF(EO353=1,IF(ER353+ES353=0,"à affecter",IF(ER353=0,ES353&amp;" ext.",(ER353+ES353)&amp;IF(ES353&gt;0," dont "&amp;ES353&amp;" ext.",""))&amp;IF(COUNTIFS($EN$4:$EN$503,EN353,$EM$4:$EM$503,"Non affecté")&gt;0," + à affecter","")),"")</f>
        <v/>
      </c>
      <c r="EU353" s="170" t="str">
        <f>IF(EO353=1,IF(EP353&gt;0,SUMPRODUCT(($EN$4:$EN$503=EN353)*$E$4:$E$503*$C$4:$C$503)/EP353,AVERAGEIF($EN$4:$EN$503,EN353,$C$4:$C$503)),"")</f>
        <v/>
      </c>
      <c r="EV353" s="165">
        <f>IF(ISNUMBER(I353),I353,2958465)</f>
        <v>2958465.0</v>
      </c>
      <c r="EW353" s="165" t="str">
        <f>IF(EO353=1,SUMPRODUCT(MIN(($EN$4:$EN$503=EN353)*$EV$4:$EV$503+($EN$4:$EN$503&lt;&gt;EN353)*2958465)),"")</f>
        <v/>
      </c>
      <c r="EX353" s="165">
        <f>IF(AND(D353=1,ISNUMBER(INDEX(Charge!$F:$F,ROW()))),INDEX(Charge!$F:$F,ROW()),0)</f>
        <v>0.0</v>
      </c>
      <c r="EY353" s="165" t="str">
        <f>IF(EO353=1,SUMPRODUCT(MAX(($EN$4:$EN$503=EN353)*$EX$4:$EX$503)),"")</f>
        <v/>
      </c>
      <c r="FA353" t="str">
        <f>IF(350&lt;=$CD$23,INDEX($EJ$4:$EJ$203,350),IF(350-$CD$23&lt;=$CD$26,INDEX($EK$4:$EK$203,350-$CD$23),""))</f>
        <v/>
      </c>
      <c r="FB353" t="str">
        <f>IF(FA353="","",IF(350&lt;=$CD$23,"Interne","Externe"))</f>
        <v/>
      </c>
      <c r="FD353">
        <f>IF(AND(B353=1,TRIM(INDEX(Charge!$K:$K,ROW()))&lt;&gt;"",TRIM(INDEX(Charge!$L:$L,ROW()))&lt;&gt;""),1,0)</f>
        <v>0</v>
      </c>
      <c r="FE353">
        <f>IF(OR(EN353="",BZ353="(non affecté)"),0,IF(COUNTIFS($EN$4:EN353,EN353,$BZ$4:BZ353,BZ353)=1,1,0))</f>
        <v>0</v>
      </c>
    </row>
    <row r="354">
      <c r="A354">
        <f>ROW()</f>
        <v>354</v>
      </c>
      <c r="B354">
        <f>IF(TRIM(INDEX(Charge!$B:$B,ROW()))&lt;&gt;"",1,0)</f>
        <v>0</v>
      </c>
      <c r="C354">
        <f>IF(B354=1,MIN(1,MAX(0,N(INDEX(Charge!$O:$O,ROW())))),0)</f>
        <v>0</v>
      </c>
      <c r="D354">
        <f>IF(B354=1,IF(OR(p_Perimetre="Tous les projets",C354&lt;1),1,0),0)</f>
        <v>0</v>
      </c>
      <c r="E354">
        <f>IF(D354=1,MAX(0,N(INDEX(Charge!$M:$M,ROW()))),0)</f>
        <v>0</v>
      </c>
      <c r="F354" t="str">
        <f>IF(D354=1,IF(TRIM(INDEX(Charge!$A:$A,ROW()))="","(non renseigné)",TRIM(INDEX(Charge!$A:$A,ROW()))),"")</f>
        <v/>
      </c>
      <c r="G354" t="str">
        <f>IF(D354=1,TRIM(INDEX(Charge!$B:$B,ROW())),"")</f>
        <v/>
      </c>
      <c r="H354" t="str">
        <f>IF(D354=1,IF(TRIM(INDEX(Charge!$E:$E,ROW()))="","(non renseigné)",TRIM(INDEX(Charge!$E:$E,ROW()))),"")</f>
        <v/>
      </c>
      <c r="I354" s="165" t="str">
        <f>IF(AND(D354=1,ISNUMBER(INDEX(Charge!$N:$N,ROW()))),INDEX(Charge!$N:$N,ROW()),"")</f>
        <v/>
      </c>
      <c r="J354" s="165" t="str">
        <f>IF(I354="","",IF(AND(p_Repartition="Lissée jusqu'à la date de besoin",ISNUMBER(INDEX(Charge!$F:$F,ROW()))),IF(INDEX(Charge!$F:$F,ROW())&gt;=I354,INDEX(Charge!$F:$F,ROW()),I354),I354))</f>
        <v/>
      </c>
      <c r="K354" t="str">
        <f>IF(I354="","",NETWORKDAYS(I354,J354,Data!$K$4:$K$203))</f>
        <v/>
      </c>
      <c r="L354" t="str">
        <f>IF(D354=1,COUNTIFS($D$4:$D$503,1,$E$4:$E$503,"&gt;"&amp;E354)+COUNTIFS($D$4:$D354,1,$E$4:$E354,E354),"")</f>
        <v/>
      </c>
      <c r="M354">
        <f>IF(F354="",0,IF(COUNTIF($F$4:F354,F354)=1,1,0))</f>
        <v>0</v>
      </c>
      <c r="N354" t="str">
        <f>IF(M354=1,ROUND(SUMIF($F$4:$F$503,F354,$E$4:$E$503),2),"")</f>
        <v/>
      </c>
      <c r="O354" t="str">
        <f>IF(M354=1,COUNTIFS($M$4:$M$503,1,$N$4:$N$503,"&gt;"&amp;N354)+COUNTIFS($M$4:M354,1,$N$4:N354,N354),"")</f>
        <v/>
      </c>
      <c r="P354">
        <f>IF(G354="",0,IF(COUNTIF($G$4:G354,G354)=1,1,0))</f>
        <v>0</v>
      </c>
      <c r="Q354" t="str">
        <f>IF(P354=1,ROUND(SUMIF($G$4:$G$503,G354,$E$4:$E$503),2),"")</f>
        <v/>
      </c>
      <c r="R354" t="str">
        <f>IF(P354=1,COUNTIFS($P$4:$P$503,1,$Q$4:$Q$503,"&gt;"&amp;Q354)+COUNTIFS($P$4:P354,1,$Q$4:Q354,Q354),"")</f>
        <v/>
      </c>
      <c r="S354">
        <f>IF(H354="",0,IF(COUNTIF($H$4:H354,H354)=1,1,0))</f>
        <v>0</v>
      </c>
      <c r="T354" t="str">
        <f>IF(S354=1,ROUND(SUMIF($H$4:$H$503,H354,$E$4:$E$503),2),"")</f>
        <v/>
      </c>
      <c r="U354" t="str">
        <f>IF(S354=1,COUNTIFS($S$4:$S$503,1,$T$4:$T$503,"&gt;"&amp;T354)+COUNTIFS($S$4:S354,1,$T$4:T354,T354),"")</f>
        <v/>
      </c>
      <c r="V354" t="str">
        <f>IF(D354=1,MIN(INDEX($R$4:$R$503,MATCH(G354,$G$4:$G$503,0)),IF($AL$7&gt;9,9,999)),"")</f>
        <v/>
      </c>
      <c r="W354" s="166">
        <f>IF(OR($I354="",$E354=0),0,IF(OR($J354&lt;W$3,$I354&gt;W$2),0,IF($K354=0,IF(AND($I354&gt;=W$3,$I354&lt;=W$2),$E354,0),$E354*NETWORKDAYS(MAX($I354,W$3),MIN($J354,W$2),Data!$K$4:$K$203)/$K354)))</f>
        <v>0</v>
      </c>
      <c r="X354" s="166">
        <f>IF(OR($I354="",$E354=0),0,IF(OR($J354&lt;X$3,$I354&gt;X$2),0,IF($K354=0,IF(AND($I354&gt;=X$3,$I354&lt;=X$2),$E354,0),$E354*NETWORKDAYS(MAX($I354,X$3),MIN($J354,X$2),Data!$K$4:$K$203)/$K354)))</f>
        <v>0</v>
      </c>
      <c r="Y354" s="166">
        <f>IF(OR($I354="",$E354=0),0,IF(OR($J354&lt;Y$3,$I354&gt;Y$2),0,IF($K354=0,IF(AND($I354&gt;=Y$3,$I354&lt;=Y$2),$E354,0),$E354*NETWORKDAYS(MAX($I354,Y$3),MIN($J354,Y$2),Data!$K$4:$K$203)/$K354)))</f>
        <v>0</v>
      </c>
      <c r="Z354" s="166">
        <f>IF(OR($I354="",$E354=0),0,IF(OR($J354&lt;Z$3,$I354&gt;Z$2),0,IF($K354=0,IF(AND($I354&gt;=Z$3,$I354&lt;=Z$2),$E354,0),$E354*NETWORKDAYS(MAX($I354,Z$3),MIN($J354,Z$2),Data!$K$4:$K$203)/$K354)))</f>
        <v>0</v>
      </c>
      <c r="AA354" s="166">
        <f>IF(OR($I354="",$E354=0),0,IF(OR($J354&lt;AA$3,$I354&gt;AA$2),0,IF($K354=0,IF(AND($I354&gt;=AA$3,$I354&lt;=AA$2),$E354,0),$E354*NETWORKDAYS(MAX($I354,AA$3),MIN($J354,AA$2),Data!$K$4:$K$203)/$K354)))</f>
        <v>0</v>
      </c>
      <c r="AB354" s="166">
        <f>IF(OR($I354="",$E354=0),0,IF(OR($J354&lt;AB$3,$I354&gt;AB$2),0,IF($K354=0,IF(AND($I354&gt;=AB$3,$I354&lt;=AB$2),$E354,0),$E354*NETWORKDAYS(MAX($I354,AB$3),MIN($J354,AB$2),Data!$K$4:$K$203)/$K354)))</f>
        <v>0</v>
      </c>
      <c r="AC354" s="166">
        <f>IF(OR($I354="",$E354=0),0,IF(OR($J354&lt;AC$3,$I354&gt;AC$2),0,IF($K354=0,IF(AND($I354&gt;=AC$3,$I354&lt;=AC$2),$E354,0),$E354*NETWORKDAYS(MAX($I354,AC$3),MIN($J354,AC$2),Data!$K$4:$K$203)/$K354)))</f>
        <v>0</v>
      </c>
      <c r="AD354" s="166">
        <f>IF(OR($I354="",$E354=0),0,IF(OR($J354&lt;AD$3,$I354&gt;AD$2),0,IF($K354=0,IF(AND($I354&gt;=AD$3,$I354&lt;=AD$2),$E354,0),$E354*NETWORKDAYS(MAX($I354,AD$3),MIN($J354,AD$2),Data!$K$4:$K$203)/$K354)))</f>
        <v>0</v>
      </c>
      <c r="AE354" s="166">
        <f>IF(OR($I354="",$E354=0),0,IF(OR($J354&lt;AE$3,$I354&gt;AE$2),0,IF($K354=0,IF(AND($I354&gt;=AE$3,$I354&lt;=AE$2),$E354,0),$E354*NETWORKDAYS(MAX($I354,AE$3),MIN($J354,AE$2),Data!$K$4:$K$203)/$K354)))</f>
        <v>0</v>
      </c>
      <c r="AF354" s="166">
        <f>IF(OR($I354="",$E354=0),0,IF(OR($J354&lt;AF$3,$I354&gt;AF$2),0,IF($K354=0,IF(AND($I354&gt;=AF$3,$I354&lt;=AF$2),$E354,0),$E354*NETWORKDAYS(MAX($I354,AF$3),MIN($J354,AF$2),Data!$K$4:$K$203)/$K354)))</f>
        <v>0</v>
      </c>
      <c r="AG354" s="166">
        <f>IF(OR($I354="",$E354=0),0,IF(OR($J354&lt;AG$3,$I354&gt;AG$2),0,IF($K354=0,IF(AND($I354&gt;=AG$3,$I354&lt;=AG$2),$E354,0),$E354*NETWORKDAYS(MAX($I354,AG$3),MIN($J354,AG$2),Data!$K$4:$K$203)/$K354)))</f>
        <v>0</v>
      </c>
      <c r="AH354" s="166">
        <f>IF(OR($I354="",$E354=0),0,IF(OR($J354&lt;AH$3,$I354&gt;AH$2),0,IF($K354=0,IF(AND($I354&gt;=AH$3,$I354&lt;=AH$2),$E354,0),$E354*NETWORKDAYS(MAX($I354,AH$3),MIN($J354,AH$2),Data!$K$4:$K$203)/$K354)))</f>
        <v>0</v>
      </c>
      <c r="AI354" s="166">
        <f>SUM(W354:AH354)</f>
        <v>0</v>
      </c>
      <c r="BZ354" t="str">
        <f>IF(D354=1,IF(TRIM(INDEX(Charge!$K:$K,ROW()))&lt;&gt;"",TRIM(INDEX(Charge!$K:$K,ROW())),IF(TRIM(INDEX(Charge!$L:$L,ROW()))&lt;&gt;"",TRIM(INDEX(Charge!$L:$L,ROW())),"(non affecté)")),"")</f>
        <v/>
      </c>
      <c r="CA354" t="str">
        <f>IF(AND($CD$4&lt;&gt;"",BZ354=$CD$4),COUNTIFS($BZ$4:$BZ$503,$CD$4,$L$4:$L$503,"&lt;"&amp;L354)+1,"")</f>
        <v/>
      </c>
      <c r="EM354" t="str">
        <f>IF(D354=1,IF(TRIM(INDEX(Charge!$K:$K,ROW()))&lt;&gt;"","Interne",IF(TRIM(INDEX(Charge!$L:$L,ROW()))&lt;&gt;"","Externe","Non affecté")),"")</f>
        <v/>
      </c>
      <c r="EN354" t="str">
        <f>IF(D354=1,LEFT(SUBSTITUTE(SUBSTITUTE(SUBSTITUTE(TRIM(SUBSTITUTE(INDEX(Charge!$B:$B,ROW()),CHAR(160)," "))&amp;" | "&amp;TRIM(SUBSTITUTE(INDEX(Charge!$C:$C,ROW()),CHAR(160)," "))&amp;" | "&amp;TRIM(SUBSTITUTE(INDEX(Charge!$D:$D,ROW()),CHAR(160)," ")),"~","-"),"*","+"),"?","!"),240),"")</f>
        <v/>
      </c>
      <c r="EO354">
        <f>IF(EN354="",0,IF(COUNTIF($EN$4:EN354,EN354)=1,1,0))</f>
        <v>0</v>
      </c>
      <c r="EP354" s="166" t="str">
        <f>IF(EO354=1,ROUND(SUMIF($EN$4:$EN$503,EN354,$E$4:$E$503),2),"")</f>
        <v/>
      </c>
      <c r="EQ354" t="str">
        <f>IF(EO354=1,COUNTIFS($EO$4:$EO$503,1,$EP$4:$EP$503,"&gt;"&amp;EP354)+COUNTIFS($EO$4:EO354,1,$EP$4:EP354,EP354),"")</f>
        <v/>
      </c>
      <c r="ER354" t="str">
        <f>IF(EO354=1,COUNTIFS($EN$4:$EN$503,EN354,$EM$4:$EM$503,"Interne",$FE$4:$FE$503,1),"")</f>
        <v/>
      </c>
      <c r="ES354" t="str">
        <f>IF(EO354=1,COUNTIFS($EN$4:$EN$503,EN354,$EM$4:$EM$503,"Externe",$FE$4:$FE$503,1),"")</f>
        <v/>
      </c>
      <c r="ET354" t="str">
        <f>IF(EO354=1,IF(ER354+ES354=0,"à affecter",IF(ER354=0,ES354&amp;" ext.",(ER354+ES354)&amp;IF(ES354&gt;0," dont "&amp;ES354&amp;" ext.",""))&amp;IF(COUNTIFS($EN$4:$EN$503,EN354,$EM$4:$EM$503,"Non affecté")&gt;0," + à affecter","")),"")</f>
        <v/>
      </c>
      <c r="EU354" s="170" t="str">
        <f>IF(EO354=1,IF(EP354&gt;0,SUMPRODUCT(($EN$4:$EN$503=EN354)*$E$4:$E$503*$C$4:$C$503)/EP354,AVERAGEIF($EN$4:$EN$503,EN354,$C$4:$C$503)),"")</f>
        <v/>
      </c>
      <c r="EV354" s="165">
        <f>IF(ISNUMBER(I354),I354,2958465)</f>
        <v>2958465.0</v>
      </c>
      <c r="EW354" s="165" t="str">
        <f>IF(EO354=1,SUMPRODUCT(MIN(($EN$4:$EN$503=EN354)*$EV$4:$EV$503+($EN$4:$EN$503&lt;&gt;EN354)*2958465)),"")</f>
        <v/>
      </c>
      <c r="EX354" s="165">
        <f>IF(AND(D354=1,ISNUMBER(INDEX(Charge!$F:$F,ROW()))),INDEX(Charge!$F:$F,ROW()),0)</f>
        <v>0.0</v>
      </c>
      <c r="EY354" s="165" t="str">
        <f>IF(EO354=1,SUMPRODUCT(MAX(($EN$4:$EN$503=EN354)*$EX$4:$EX$503)),"")</f>
        <v/>
      </c>
      <c r="FA354" t="str">
        <f>IF(351&lt;=$CD$23,INDEX($EJ$4:$EJ$203,351),IF(351-$CD$23&lt;=$CD$26,INDEX($EK$4:$EK$203,351-$CD$23),""))</f>
        <v/>
      </c>
      <c r="FB354" t="str">
        <f>IF(FA354="","",IF(351&lt;=$CD$23,"Interne","Externe"))</f>
        <v/>
      </c>
      <c r="FD354">
        <f>IF(AND(B354=1,TRIM(INDEX(Charge!$K:$K,ROW()))&lt;&gt;"",TRIM(INDEX(Charge!$L:$L,ROW()))&lt;&gt;""),1,0)</f>
        <v>0</v>
      </c>
      <c r="FE354">
        <f>IF(OR(EN354="",BZ354="(non affecté)"),0,IF(COUNTIFS($EN$4:EN354,EN354,$BZ$4:BZ354,BZ354)=1,1,0))</f>
        <v>0</v>
      </c>
    </row>
    <row r="355">
      <c r="A355">
        <f>ROW()</f>
        <v>355</v>
      </c>
      <c r="B355">
        <f>IF(TRIM(INDEX(Charge!$B:$B,ROW()))&lt;&gt;"",1,0)</f>
        <v>0</v>
      </c>
      <c r="C355">
        <f>IF(B355=1,MIN(1,MAX(0,N(INDEX(Charge!$O:$O,ROW())))),0)</f>
        <v>0</v>
      </c>
      <c r="D355">
        <f>IF(B355=1,IF(OR(p_Perimetre="Tous les projets",C355&lt;1),1,0),0)</f>
        <v>0</v>
      </c>
      <c r="E355">
        <f>IF(D355=1,MAX(0,N(INDEX(Charge!$M:$M,ROW()))),0)</f>
        <v>0</v>
      </c>
      <c r="F355" t="str">
        <f>IF(D355=1,IF(TRIM(INDEX(Charge!$A:$A,ROW()))="","(non renseigné)",TRIM(INDEX(Charge!$A:$A,ROW()))),"")</f>
        <v/>
      </c>
      <c r="G355" t="str">
        <f>IF(D355=1,TRIM(INDEX(Charge!$B:$B,ROW())),"")</f>
        <v/>
      </c>
      <c r="H355" t="str">
        <f>IF(D355=1,IF(TRIM(INDEX(Charge!$E:$E,ROW()))="","(non renseigné)",TRIM(INDEX(Charge!$E:$E,ROW()))),"")</f>
        <v/>
      </c>
      <c r="I355" s="165" t="str">
        <f>IF(AND(D355=1,ISNUMBER(INDEX(Charge!$N:$N,ROW()))),INDEX(Charge!$N:$N,ROW()),"")</f>
        <v/>
      </c>
      <c r="J355" s="165" t="str">
        <f>IF(I355="","",IF(AND(p_Repartition="Lissée jusqu'à la date de besoin",ISNUMBER(INDEX(Charge!$F:$F,ROW()))),IF(INDEX(Charge!$F:$F,ROW())&gt;=I355,INDEX(Charge!$F:$F,ROW()),I355),I355))</f>
        <v/>
      </c>
      <c r="K355" t="str">
        <f>IF(I355="","",NETWORKDAYS(I355,J355,Data!$K$4:$K$203))</f>
        <v/>
      </c>
      <c r="L355" t="str">
        <f>IF(D355=1,COUNTIFS($D$4:$D$503,1,$E$4:$E$503,"&gt;"&amp;E355)+COUNTIFS($D$4:$D355,1,$E$4:$E355,E355),"")</f>
        <v/>
      </c>
      <c r="M355">
        <f>IF(F355="",0,IF(COUNTIF($F$4:F355,F355)=1,1,0))</f>
        <v>0</v>
      </c>
      <c r="N355" t="str">
        <f>IF(M355=1,ROUND(SUMIF($F$4:$F$503,F355,$E$4:$E$503),2),"")</f>
        <v/>
      </c>
      <c r="O355" t="str">
        <f>IF(M355=1,COUNTIFS($M$4:$M$503,1,$N$4:$N$503,"&gt;"&amp;N355)+COUNTIFS($M$4:M355,1,$N$4:N355,N355),"")</f>
        <v/>
      </c>
      <c r="P355">
        <f>IF(G355="",0,IF(COUNTIF($G$4:G355,G355)=1,1,0))</f>
        <v>0</v>
      </c>
      <c r="Q355" t="str">
        <f>IF(P355=1,ROUND(SUMIF($G$4:$G$503,G355,$E$4:$E$503),2),"")</f>
        <v/>
      </c>
      <c r="R355" t="str">
        <f>IF(P355=1,COUNTIFS($P$4:$P$503,1,$Q$4:$Q$503,"&gt;"&amp;Q355)+COUNTIFS($P$4:P355,1,$Q$4:Q355,Q355),"")</f>
        <v/>
      </c>
      <c r="S355">
        <f>IF(H355="",0,IF(COUNTIF($H$4:H355,H355)=1,1,0))</f>
        <v>0</v>
      </c>
      <c r="T355" t="str">
        <f>IF(S355=1,ROUND(SUMIF($H$4:$H$503,H355,$E$4:$E$503),2),"")</f>
        <v/>
      </c>
      <c r="U355" t="str">
        <f>IF(S355=1,COUNTIFS($S$4:$S$503,1,$T$4:$T$503,"&gt;"&amp;T355)+COUNTIFS($S$4:S355,1,$T$4:T355,T355),"")</f>
        <v/>
      </c>
      <c r="V355" t="str">
        <f>IF(D355=1,MIN(INDEX($R$4:$R$503,MATCH(G355,$G$4:$G$503,0)),IF($AL$7&gt;9,9,999)),"")</f>
        <v/>
      </c>
      <c r="W355" s="166">
        <f>IF(OR($I355="",$E355=0),0,IF(OR($J355&lt;W$3,$I355&gt;W$2),0,IF($K355=0,IF(AND($I355&gt;=W$3,$I355&lt;=W$2),$E355,0),$E355*NETWORKDAYS(MAX($I355,W$3),MIN($J355,W$2),Data!$K$4:$K$203)/$K355)))</f>
        <v>0</v>
      </c>
      <c r="X355" s="166">
        <f>IF(OR($I355="",$E355=0),0,IF(OR($J355&lt;X$3,$I355&gt;X$2),0,IF($K355=0,IF(AND($I355&gt;=X$3,$I355&lt;=X$2),$E355,0),$E355*NETWORKDAYS(MAX($I355,X$3),MIN($J355,X$2),Data!$K$4:$K$203)/$K355)))</f>
        <v>0</v>
      </c>
      <c r="Y355" s="166">
        <f>IF(OR($I355="",$E355=0),0,IF(OR($J355&lt;Y$3,$I355&gt;Y$2),0,IF($K355=0,IF(AND($I355&gt;=Y$3,$I355&lt;=Y$2),$E355,0),$E355*NETWORKDAYS(MAX($I355,Y$3),MIN($J355,Y$2),Data!$K$4:$K$203)/$K355)))</f>
        <v>0</v>
      </c>
      <c r="Z355" s="166">
        <f>IF(OR($I355="",$E355=0),0,IF(OR($J355&lt;Z$3,$I355&gt;Z$2),0,IF($K355=0,IF(AND($I355&gt;=Z$3,$I355&lt;=Z$2),$E355,0),$E355*NETWORKDAYS(MAX($I355,Z$3),MIN($J355,Z$2),Data!$K$4:$K$203)/$K355)))</f>
        <v>0</v>
      </c>
      <c r="AA355" s="166">
        <f>IF(OR($I355="",$E355=0),0,IF(OR($J355&lt;AA$3,$I355&gt;AA$2),0,IF($K355=0,IF(AND($I355&gt;=AA$3,$I355&lt;=AA$2),$E355,0),$E355*NETWORKDAYS(MAX($I355,AA$3),MIN($J355,AA$2),Data!$K$4:$K$203)/$K355)))</f>
        <v>0</v>
      </c>
      <c r="AB355" s="166">
        <f>IF(OR($I355="",$E355=0),0,IF(OR($J355&lt;AB$3,$I355&gt;AB$2),0,IF($K355=0,IF(AND($I355&gt;=AB$3,$I355&lt;=AB$2),$E355,0),$E355*NETWORKDAYS(MAX($I355,AB$3),MIN($J355,AB$2),Data!$K$4:$K$203)/$K355)))</f>
        <v>0</v>
      </c>
      <c r="AC355" s="166">
        <f>IF(OR($I355="",$E355=0),0,IF(OR($J355&lt;AC$3,$I355&gt;AC$2),0,IF($K355=0,IF(AND($I355&gt;=AC$3,$I355&lt;=AC$2),$E355,0),$E355*NETWORKDAYS(MAX($I355,AC$3),MIN($J355,AC$2),Data!$K$4:$K$203)/$K355)))</f>
        <v>0</v>
      </c>
      <c r="AD355" s="166">
        <f>IF(OR($I355="",$E355=0),0,IF(OR($J355&lt;AD$3,$I355&gt;AD$2),0,IF($K355=0,IF(AND($I355&gt;=AD$3,$I355&lt;=AD$2),$E355,0),$E355*NETWORKDAYS(MAX($I355,AD$3),MIN($J355,AD$2),Data!$K$4:$K$203)/$K355)))</f>
        <v>0</v>
      </c>
      <c r="AE355" s="166">
        <f>IF(OR($I355="",$E355=0),0,IF(OR($J355&lt;AE$3,$I355&gt;AE$2),0,IF($K355=0,IF(AND($I355&gt;=AE$3,$I355&lt;=AE$2),$E355,0),$E355*NETWORKDAYS(MAX($I355,AE$3),MIN($J355,AE$2),Data!$K$4:$K$203)/$K355)))</f>
        <v>0</v>
      </c>
      <c r="AF355" s="166">
        <f>IF(OR($I355="",$E355=0),0,IF(OR($J355&lt;AF$3,$I355&gt;AF$2),0,IF($K355=0,IF(AND($I355&gt;=AF$3,$I355&lt;=AF$2),$E355,0),$E355*NETWORKDAYS(MAX($I355,AF$3),MIN($J355,AF$2),Data!$K$4:$K$203)/$K355)))</f>
        <v>0</v>
      </c>
      <c r="AG355" s="166">
        <f>IF(OR($I355="",$E355=0),0,IF(OR($J355&lt;AG$3,$I355&gt;AG$2),0,IF($K355=0,IF(AND($I355&gt;=AG$3,$I355&lt;=AG$2),$E355,0),$E355*NETWORKDAYS(MAX($I355,AG$3),MIN($J355,AG$2),Data!$K$4:$K$203)/$K355)))</f>
        <v>0</v>
      </c>
      <c r="AH355" s="166">
        <f>IF(OR($I355="",$E355=0),0,IF(OR($J355&lt;AH$3,$I355&gt;AH$2),0,IF($K355=0,IF(AND($I355&gt;=AH$3,$I355&lt;=AH$2),$E355,0),$E355*NETWORKDAYS(MAX($I355,AH$3),MIN($J355,AH$2),Data!$K$4:$K$203)/$K355)))</f>
        <v>0</v>
      </c>
      <c r="AI355" s="166">
        <f>SUM(W355:AH355)</f>
        <v>0</v>
      </c>
      <c r="BZ355" t="str">
        <f>IF(D355=1,IF(TRIM(INDEX(Charge!$K:$K,ROW()))&lt;&gt;"",TRIM(INDEX(Charge!$K:$K,ROW())),IF(TRIM(INDEX(Charge!$L:$L,ROW()))&lt;&gt;"",TRIM(INDEX(Charge!$L:$L,ROW())),"(non affecté)")),"")</f>
        <v/>
      </c>
      <c r="CA355" t="str">
        <f>IF(AND($CD$4&lt;&gt;"",BZ355=$CD$4),COUNTIFS($BZ$4:$BZ$503,$CD$4,$L$4:$L$503,"&lt;"&amp;L355)+1,"")</f>
        <v/>
      </c>
      <c r="EM355" t="str">
        <f>IF(D355=1,IF(TRIM(INDEX(Charge!$K:$K,ROW()))&lt;&gt;"","Interne",IF(TRIM(INDEX(Charge!$L:$L,ROW()))&lt;&gt;"","Externe","Non affecté")),"")</f>
        <v/>
      </c>
      <c r="EN355" t="str">
        <f>IF(D355=1,LEFT(SUBSTITUTE(SUBSTITUTE(SUBSTITUTE(TRIM(SUBSTITUTE(INDEX(Charge!$B:$B,ROW()),CHAR(160)," "))&amp;" | "&amp;TRIM(SUBSTITUTE(INDEX(Charge!$C:$C,ROW()),CHAR(160)," "))&amp;" | "&amp;TRIM(SUBSTITUTE(INDEX(Charge!$D:$D,ROW()),CHAR(160)," ")),"~","-"),"*","+"),"?","!"),240),"")</f>
        <v/>
      </c>
      <c r="EO355">
        <f>IF(EN355="",0,IF(COUNTIF($EN$4:EN355,EN355)=1,1,0))</f>
        <v>0</v>
      </c>
      <c r="EP355" s="166" t="str">
        <f>IF(EO355=1,ROUND(SUMIF($EN$4:$EN$503,EN355,$E$4:$E$503),2),"")</f>
        <v/>
      </c>
      <c r="EQ355" t="str">
        <f>IF(EO355=1,COUNTIFS($EO$4:$EO$503,1,$EP$4:$EP$503,"&gt;"&amp;EP355)+COUNTIFS($EO$4:EO355,1,$EP$4:EP355,EP355),"")</f>
        <v/>
      </c>
      <c r="ER355" t="str">
        <f>IF(EO355=1,COUNTIFS($EN$4:$EN$503,EN355,$EM$4:$EM$503,"Interne",$FE$4:$FE$503,1),"")</f>
        <v/>
      </c>
      <c r="ES355" t="str">
        <f>IF(EO355=1,COUNTIFS($EN$4:$EN$503,EN355,$EM$4:$EM$503,"Externe",$FE$4:$FE$503,1),"")</f>
        <v/>
      </c>
      <c r="ET355" t="str">
        <f>IF(EO355=1,IF(ER355+ES355=0,"à affecter",IF(ER355=0,ES355&amp;" ext.",(ER355+ES355)&amp;IF(ES355&gt;0," dont "&amp;ES355&amp;" ext.",""))&amp;IF(COUNTIFS($EN$4:$EN$503,EN355,$EM$4:$EM$503,"Non affecté")&gt;0," + à affecter","")),"")</f>
        <v/>
      </c>
      <c r="EU355" s="170" t="str">
        <f>IF(EO355=1,IF(EP355&gt;0,SUMPRODUCT(($EN$4:$EN$503=EN355)*$E$4:$E$503*$C$4:$C$503)/EP355,AVERAGEIF($EN$4:$EN$503,EN355,$C$4:$C$503)),"")</f>
        <v/>
      </c>
      <c r="EV355" s="165">
        <f>IF(ISNUMBER(I355),I355,2958465)</f>
        <v>2958465.0</v>
      </c>
      <c r="EW355" s="165" t="str">
        <f>IF(EO355=1,SUMPRODUCT(MIN(($EN$4:$EN$503=EN355)*$EV$4:$EV$503+($EN$4:$EN$503&lt;&gt;EN355)*2958465)),"")</f>
        <v/>
      </c>
      <c r="EX355" s="165">
        <f>IF(AND(D355=1,ISNUMBER(INDEX(Charge!$F:$F,ROW()))),INDEX(Charge!$F:$F,ROW()),0)</f>
        <v>0.0</v>
      </c>
      <c r="EY355" s="165" t="str">
        <f>IF(EO355=1,SUMPRODUCT(MAX(($EN$4:$EN$503=EN355)*$EX$4:$EX$503)),"")</f>
        <v/>
      </c>
      <c r="FA355" t="str">
        <f>IF(352&lt;=$CD$23,INDEX($EJ$4:$EJ$203,352),IF(352-$CD$23&lt;=$CD$26,INDEX($EK$4:$EK$203,352-$CD$23),""))</f>
        <v/>
      </c>
      <c r="FB355" t="str">
        <f>IF(FA355="","",IF(352&lt;=$CD$23,"Interne","Externe"))</f>
        <v/>
      </c>
      <c r="FD355">
        <f>IF(AND(B355=1,TRIM(INDEX(Charge!$K:$K,ROW()))&lt;&gt;"",TRIM(INDEX(Charge!$L:$L,ROW()))&lt;&gt;""),1,0)</f>
        <v>0</v>
      </c>
      <c r="FE355">
        <f>IF(OR(EN355="",BZ355="(non affecté)"),0,IF(COUNTIFS($EN$4:EN355,EN355,$BZ$4:BZ355,BZ355)=1,1,0))</f>
        <v>0</v>
      </c>
    </row>
    <row r="356">
      <c r="A356">
        <f>ROW()</f>
        <v>356</v>
      </c>
      <c r="B356">
        <f>IF(TRIM(INDEX(Charge!$B:$B,ROW()))&lt;&gt;"",1,0)</f>
        <v>0</v>
      </c>
      <c r="C356">
        <f>IF(B356=1,MIN(1,MAX(0,N(INDEX(Charge!$O:$O,ROW())))),0)</f>
        <v>0</v>
      </c>
      <c r="D356">
        <f>IF(B356=1,IF(OR(p_Perimetre="Tous les projets",C356&lt;1),1,0),0)</f>
        <v>0</v>
      </c>
      <c r="E356">
        <f>IF(D356=1,MAX(0,N(INDEX(Charge!$M:$M,ROW()))),0)</f>
        <v>0</v>
      </c>
      <c r="F356" t="str">
        <f>IF(D356=1,IF(TRIM(INDEX(Charge!$A:$A,ROW()))="","(non renseigné)",TRIM(INDEX(Charge!$A:$A,ROW()))),"")</f>
        <v/>
      </c>
      <c r="G356" t="str">
        <f>IF(D356=1,TRIM(INDEX(Charge!$B:$B,ROW())),"")</f>
        <v/>
      </c>
      <c r="H356" t="str">
        <f>IF(D356=1,IF(TRIM(INDEX(Charge!$E:$E,ROW()))="","(non renseigné)",TRIM(INDEX(Charge!$E:$E,ROW()))),"")</f>
        <v/>
      </c>
      <c r="I356" s="165" t="str">
        <f>IF(AND(D356=1,ISNUMBER(INDEX(Charge!$N:$N,ROW()))),INDEX(Charge!$N:$N,ROW()),"")</f>
        <v/>
      </c>
      <c r="J356" s="165" t="str">
        <f>IF(I356="","",IF(AND(p_Repartition="Lissée jusqu'à la date de besoin",ISNUMBER(INDEX(Charge!$F:$F,ROW()))),IF(INDEX(Charge!$F:$F,ROW())&gt;=I356,INDEX(Charge!$F:$F,ROW()),I356),I356))</f>
        <v/>
      </c>
      <c r="K356" t="str">
        <f>IF(I356="","",NETWORKDAYS(I356,J356,Data!$K$4:$K$203))</f>
        <v/>
      </c>
      <c r="L356" t="str">
        <f>IF(D356=1,COUNTIFS($D$4:$D$503,1,$E$4:$E$503,"&gt;"&amp;E356)+COUNTIFS($D$4:$D356,1,$E$4:$E356,E356),"")</f>
        <v/>
      </c>
      <c r="M356">
        <f>IF(F356="",0,IF(COUNTIF($F$4:F356,F356)=1,1,0))</f>
        <v>0</v>
      </c>
      <c r="N356" t="str">
        <f>IF(M356=1,ROUND(SUMIF($F$4:$F$503,F356,$E$4:$E$503),2),"")</f>
        <v/>
      </c>
      <c r="O356" t="str">
        <f>IF(M356=1,COUNTIFS($M$4:$M$503,1,$N$4:$N$503,"&gt;"&amp;N356)+COUNTIFS($M$4:M356,1,$N$4:N356,N356),"")</f>
        <v/>
      </c>
      <c r="P356">
        <f>IF(G356="",0,IF(COUNTIF($G$4:G356,G356)=1,1,0))</f>
        <v>0</v>
      </c>
      <c r="Q356" t="str">
        <f>IF(P356=1,ROUND(SUMIF($G$4:$G$503,G356,$E$4:$E$503),2),"")</f>
        <v/>
      </c>
      <c r="R356" t="str">
        <f>IF(P356=1,COUNTIFS($P$4:$P$503,1,$Q$4:$Q$503,"&gt;"&amp;Q356)+COUNTIFS($P$4:P356,1,$Q$4:Q356,Q356),"")</f>
        <v/>
      </c>
      <c r="S356">
        <f>IF(H356="",0,IF(COUNTIF($H$4:H356,H356)=1,1,0))</f>
        <v>0</v>
      </c>
      <c r="T356" t="str">
        <f>IF(S356=1,ROUND(SUMIF($H$4:$H$503,H356,$E$4:$E$503),2),"")</f>
        <v/>
      </c>
      <c r="U356" t="str">
        <f>IF(S356=1,COUNTIFS($S$4:$S$503,1,$T$4:$T$503,"&gt;"&amp;T356)+COUNTIFS($S$4:S356,1,$T$4:T356,T356),"")</f>
        <v/>
      </c>
      <c r="V356" t="str">
        <f>IF(D356=1,MIN(INDEX($R$4:$R$503,MATCH(G356,$G$4:$G$503,0)),IF($AL$7&gt;9,9,999)),"")</f>
        <v/>
      </c>
      <c r="W356" s="166">
        <f>IF(OR($I356="",$E356=0),0,IF(OR($J356&lt;W$3,$I356&gt;W$2),0,IF($K356=0,IF(AND($I356&gt;=W$3,$I356&lt;=W$2),$E356,0),$E356*NETWORKDAYS(MAX($I356,W$3),MIN($J356,W$2),Data!$K$4:$K$203)/$K356)))</f>
        <v>0</v>
      </c>
      <c r="X356" s="166">
        <f>IF(OR($I356="",$E356=0),0,IF(OR($J356&lt;X$3,$I356&gt;X$2),0,IF($K356=0,IF(AND($I356&gt;=X$3,$I356&lt;=X$2),$E356,0),$E356*NETWORKDAYS(MAX($I356,X$3),MIN($J356,X$2),Data!$K$4:$K$203)/$K356)))</f>
        <v>0</v>
      </c>
      <c r="Y356" s="166">
        <f>IF(OR($I356="",$E356=0),0,IF(OR($J356&lt;Y$3,$I356&gt;Y$2),0,IF($K356=0,IF(AND($I356&gt;=Y$3,$I356&lt;=Y$2),$E356,0),$E356*NETWORKDAYS(MAX($I356,Y$3),MIN($J356,Y$2),Data!$K$4:$K$203)/$K356)))</f>
        <v>0</v>
      </c>
      <c r="Z356" s="166">
        <f>IF(OR($I356="",$E356=0),0,IF(OR($J356&lt;Z$3,$I356&gt;Z$2),0,IF($K356=0,IF(AND($I356&gt;=Z$3,$I356&lt;=Z$2),$E356,0),$E356*NETWORKDAYS(MAX($I356,Z$3),MIN($J356,Z$2),Data!$K$4:$K$203)/$K356)))</f>
        <v>0</v>
      </c>
      <c r="AA356" s="166">
        <f>IF(OR($I356="",$E356=0),0,IF(OR($J356&lt;AA$3,$I356&gt;AA$2),0,IF($K356=0,IF(AND($I356&gt;=AA$3,$I356&lt;=AA$2),$E356,0),$E356*NETWORKDAYS(MAX($I356,AA$3),MIN($J356,AA$2),Data!$K$4:$K$203)/$K356)))</f>
        <v>0</v>
      </c>
      <c r="AB356" s="166">
        <f>IF(OR($I356="",$E356=0),0,IF(OR($J356&lt;AB$3,$I356&gt;AB$2),0,IF($K356=0,IF(AND($I356&gt;=AB$3,$I356&lt;=AB$2),$E356,0),$E356*NETWORKDAYS(MAX($I356,AB$3),MIN($J356,AB$2),Data!$K$4:$K$203)/$K356)))</f>
        <v>0</v>
      </c>
      <c r="AC356" s="166">
        <f>IF(OR($I356="",$E356=0),0,IF(OR($J356&lt;AC$3,$I356&gt;AC$2),0,IF($K356=0,IF(AND($I356&gt;=AC$3,$I356&lt;=AC$2),$E356,0),$E356*NETWORKDAYS(MAX($I356,AC$3),MIN($J356,AC$2),Data!$K$4:$K$203)/$K356)))</f>
        <v>0</v>
      </c>
      <c r="AD356" s="166">
        <f>IF(OR($I356="",$E356=0),0,IF(OR($J356&lt;AD$3,$I356&gt;AD$2),0,IF($K356=0,IF(AND($I356&gt;=AD$3,$I356&lt;=AD$2),$E356,0),$E356*NETWORKDAYS(MAX($I356,AD$3),MIN($J356,AD$2),Data!$K$4:$K$203)/$K356)))</f>
        <v>0</v>
      </c>
      <c r="AE356" s="166">
        <f>IF(OR($I356="",$E356=0),0,IF(OR($J356&lt;AE$3,$I356&gt;AE$2),0,IF($K356=0,IF(AND($I356&gt;=AE$3,$I356&lt;=AE$2),$E356,0),$E356*NETWORKDAYS(MAX($I356,AE$3),MIN($J356,AE$2),Data!$K$4:$K$203)/$K356)))</f>
        <v>0</v>
      </c>
      <c r="AF356" s="166">
        <f>IF(OR($I356="",$E356=0),0,IF(OR($J356&lt;AF$3,$I356&gt;AF$2),0,IF($K356=0,IF(AND($I356&gt;=AF$3,$I356&lt;=AF$2),$E356,0),$E356*NETWORKDAYS(MAX($I356,AF$3),MIN($J356,AF$2),Data!$K$4:$K$203)/$K356)))</f>
        <v>0</v>
      </c>
      <c r="AG356" s="166">
        <f>IF(OR($I356="",$E356=0),0,IF(OR($J356&lt;AG$3,$I356&gt;AG$2),0,IF($K356=0,IF(AND($I356&gt;=AG$3,$I356&lt;=AG$2),$E356,0),$E356*NETWORKDAYS(MAX($I356,AG$3),MIN($J356,AG$2),Data!$K$4:$K$203)/$K356)))</f>
        <v>0</v>
      </c>
      <c r="AH356" s="166">
        <f>IF(OR($I356="",$E356=0),0,IF(OR($J356&lt;AH$3,$I356&gt;AH$2),0,IF($K356=0,IF(AND($I356&gt;=AH$3,$I356&lt;=AH$2),$E356,0),$E356*NETWORKDAYS(MAX($I356,AH$3),MIN($J356,AH$2),Data!$K$4:$K$203)/$K356)))</f>
        <v>0</v>
      </c>
      <c r="AI356" s="166">
        <f>SUM(W356:AH356)</f>
        <v>0</v>
      </c>
      <c r="BZ356" t="str">
        <f>IF(D356=1,IF(TRIM(INDEX(Charge!$K:$K,ROW()))&lt;&gt;"",TRIM(INDEX(Charge!$K:$K,ROW())),IF(TRIM(INDEX(Charge!$L:$L,ROW()))&lt;&gt;"",TRIM(INDEX(Charge!$L:$L,ROW())),"(non affecté)")),"")</f>
        <v/>
      </c>
      <c r="CA356" t="str">
        <f>IF(AND($CD$4&lt;&gt;"",BZ356=$CD$4),COUNTIFS($BZ$4:$BZ$503,$CD$4,$L$4:$L$503,"&lt;"&amp;L356)+1,"")</f>
        <v/>
      </c>
      <c r="EM356" t="str">
        <f>IF(D356=1,IF(TRIM(INDEX(Charge!$K:$K,ROW()))&lt;&gt;"","Interne",IF(TRIM(INDEX(Charge!$L:$L,ROW()))&lt;&gt;"","Externe","Non affecté")),"")</f>
        <v/>
      </c>
      <c r="EN356" t="str">
        <f>IF(D356=1,LEFT(SUBSTITUTE(SUBSTITUTE(SUBSTITUTE(TRIM(SUBSTITUTE(INDEX(Charge!$B:$B,ROW()),CHAR(160)," "))&amp;" | "&amp;TRIM(SUBSTITUTE(INDEX(Charge!$C:$C,ROW()),CHAR(160)," "))&amp;" | "&amp;TRIM(SUBSTITUTE(INDEX(Charge!$D:$D,ROW()),CHAR(160)," ")),"~","-"),"*","+"),"?","!"),240),"")</f>
        <v/>
      </c>
      <c r="EO356">
        <f>IF(EN356="",0,IF(COUNTIF($EN$4:EN356,EN356)=1,1,0))</f>
        <v>0</v>
      </c>
      <c r="EP356" s="166" t="str">
        <f>IF(EO356=1,ROUND(SUMIF($EN$4:$EN$503,EN356,$E$4:$E$503),2),"")</f>
        <v/>
      </c>
      <c r="EQ356" t="str">
        <f>IF(EO356=1,COUNTIFS($EO$4:$EO$503,1,$EP$4:$EP$503,"&gt;"&amp;EP356)+COUNTIFS($EO$4:EO356,1,$EP$4:EP356,EP356),"")</f>
        <v/>
      </c>
      <c r="ER356" t="str">
        <f>IF(EO356=1,COUNTIFS($EN$4:$EN$503,EN356,$EM$4:$EM$503,"Interne",$FE$4:$FE$503,1),"")</f>
        <v/>
      </c>
      <c r="ES356" t="str">
        <f>IF(EO356=1,COUNTIFS($EN$4:$EN$503,EN356,$EM$4:$EM$503,"Externe",$FE$4:$FE$503,1),"")</f>
        <v/>
      </c>
      <c r="ET356" t="str">
        <f>IF(EO356=1,IF(ER356+ES356=0,"à affecter",IF(ER356=0,ES356&amp;" ext.",(ER356+ES356)&amp;IF(ES356&gt;0," dont "&amp;ES356&amp;" ext.",""))&amp;IF(COUNTIFS($EN$4:$EN$503,EN356,$EM$4:$EM$503,"Non affecté")&gt;0," + à affecter","")),"")</f>
        <v/>
      </c>
      <c r="EU356" s="170" t="str">
        <f>IF(EO356=1,IF(EP356&gt;0,SUMPRODUCT(($EN$4:$EN$503=EN356)*$E$4:$E$503*$C$4:$C$503)/EP356,AVERAGEIF($EN$4:$EN$503,EN356,$C$4:$C$503)),"")</f>
        <v/>
      </c>
      <c r="EV356" s="165">
        <f>IF(ISNUMBER(I356),I356,2958465)</f>
        <v>2958465.0</v>
      </c>
      <c r="EW356" s="165" t="str">
        <f>IF(EO356=1,SUMPRODUCT(MIN(($EN$4:$EN$503=EN356)*$EV$4:$EV$503+($EN$4:$EN$503&lt;&gt;EN356)*2958465)),"")</f>
        <v/>
      </c>
      <c r="EX356" s="165">
        <f>IF(AND(D356=1,ISNUMBER(INDEX(Charge!$F:$F,ROW()))),INDEX(Charge!$F:$F,ROW()),0)</f>
        <v>0.0</v>
      </c>
      <c r="EY356" s="165" t="str">
        <f>IF(EO356=1,SUMPRODUCT(MAX(($EN$4:$EN$503=EN356)*$EX$4:$EX$503)),"")</f>
        <v/>
      </c>
      <c r="FA356" t="str">
        <f>IF(353&lt;=$CD$23,INDEX($EJ$4:$EJ$203,353),IF(353-$CD$23&lt;=$CD$26,INDEX($EK$4:$EK$203,353-$CD$23),""))</f>
        <v/>
      </c>
      <c r="FB356" t="str">
        <f>IF(FA356="","",IF(353&lt;=$CD$23,"Interne","Externe"))</f>
        <v/>
      </c>
      <c r="FD356">
        <f>IF(AND(B356=1,TRIM(INDEX(Charge!$K:$K,ROW()))&lt;&gt;"",TRIM(INDEX(Charge!$L:$L,ROW()))&lt;&gt;""),1,0)</f>
        <v>0</v>
      </c>
      <c r="FE356">
        <f>IF(OR(EN356="",BZ356="(non affecté)"),0,IF(COUNTIFS($EN$4:EN356,EN356,$BZ$4:BZ356,BZ356)=1,1,0))</f>
        <v>0</v>
      </c>
    </row>
    <row r="357">
      <c r="A357">
        <f>ROW()</f>
        <v>357</v>
      </c>
      <c r="B357">
        <f>IF(TRIM(INDEX(Charge!$B:$B,ROW()))&lt;&gt;"",1,0)</f>
        <v>0</v>
      </c>
      <c r="C357">
        <f>IF(B357=1,MIN(1,MAX(0,N(INDEX(Charge!$O:$O,ROW())))),0)</f>
        <v>0</v>
      </c>
      <c r="D357">
        <f>IF(B357=1,IF(OR(p_Perimetre="Tous les projets",C357&lt;1),1,0),0)</f>
        <v>0</v>
      </c>
      <c r="E357">
        <f>IF(D357=1,MAX(0,N(INDEX(Charge!$M:$M,ROW()))),0)</f>
        <v>0</v>
      </c>
      <c r="F357" t="str">
        <f>IF(D357=1,IF(TRIM(INDEX(Charge!$A:$A,ROW()))="","(non renseigné)",TRIM(INDEX(Charge!$A:$A,ROW()))),"")</f>
        <v/>
      </c>
      <c r="G357" t="str">
        <f>IF(D357=1,TRIM(INDEX(Charge!$B:$B,ROW())),"")</f>
        <v/>
      </c>
      <c r="H357" t="str">
        <f>IF(D357=1,IF(TRIM(INDEX(Charge!$E:$E,ROW()))="","(non renseigné)",TRIM(INDEX(Charge!$E:$E,ROW()))),"")</f>
        <v/>
      </c>
      <c r="I357" s="165" t="str">
        <f>IF(AND(D357=1,ISNUMBER(INDEX(Charge!$N:$N,ROW()))),INDEX(Charge!$N:$N,ROW()),"")</f>
        <v/>
      </c>
      <c r="J357" s="165" t="str">
        <f>IF(I357="","",IF(AND(p_Repartition="Lissée jusqu'à la date de besoin",ISNUMBER(INDEX(Charge!$F:$F,ROW()))),IF(INDEX(Charge!$F:$F,ROW())&gt;=I357,INDEX(Charge!$F:$F,ROW()),I357),I357))</f>
        <v/>
      </c>
      <c r="K357" t="str">
        <f>IF(I357="","",NETWORKDAYS(I357,J357,Data!$K$4:$K$203))</f>
        <v/>
      </c>
      <c r="L357" t="str">
        <f>IF(D357=1,COUNTIFS($D$4:$D$503,1,$E$4:$E$503,"&gt;"&amp;E357)+COUNTIFS($D$4:$D357,1,$E$4:$E357,E357),"")</f>
        <v/>
      </c>
      <c r="M357">
        <f>IF(F357="",0,IF(COUNTIF($F$4:F357,F357)=1,1,0))</f>
        <v>0</v>
      </c>
      <c r="N357" t="str">
        <f>IF(M357=1,ROUND(SUMIF($F$4:$F$503,F357,$E$4:$E$503),2),"")</f>
        <v/>
      </c>
      <c r="O357" t="str">
        <f>IF(M357=1,COUNTIFS($M$4:$M$503,1,$N$4:$N$503,"&gt;"&amp;N357)+COUNTIFS($M$4:M357,1,$N$4:N357,N357),"")</f>
        <v/>
      </c>
      <c r="P357">
        <f>IF(G357="",0,IF(COUNTIF($G$4:G357,G357)=1,1,0))</f>
        <v>0</v>
      </c>
      <c r="Q357" t="str">
        <f>IF(P357=1,ROUND(SUMIF($G$4:$G$503,G357,$E$4:$E$503),2),"")</f>
        <v/>
      </c>
      <c r="R357" t="str">
        <f>IF(P357=1,COUNTIFS($P$4:$P$503,1,$Q$4:$Q$503,"&gt;"&amp;Q357)+COUNTIFS($P$4:P357,1,$Q$4:Q357,Q357),"")</f>
        <v/>
      </c>
      <c r="S357">
        <f>IF(H357="",0,IF(COUNTIF($H$4:H357,H357)=1,1,0))</f>
        <v>0</v>
      </c>
      <c r="T357" t="str">
        <f>IF(S357=1,ROUND(SUMIF($H$4:$H$503,H357,$E$4:$E$503),2),"")</f>
        <v/>
      </c>
      <c r="U357" t="str">
        <f>IF(S357=1,COUNTIFS($S$4:$S$503,1,$T$4:$T$503,"&gt;"&amp;T357)+COUNTIFS($S$4:S357,1,$T$4:T357,T357),"")</f>
        <v/>
      </c>
      <c r="V357" t="str">
        <f>IF(D357=1,MIN(INDEX($R$4:$R$503,MATCH(G357,$G$4:$G$503,0)),IF($AL$7&gt;9,9,999)),"")</f>
        <v/>
      </c>
      <c r="W357" s="166">
        <f>IF(OR($I357="",$E357=0),0,IF(OR($J357&lt;W$3,$I357&gt;W$2),0,IF($K357=0,IF(AND($I357&gt;=W$3,$I357&lt;=W$2),$E357,0),$E357*NETWORKDAYS(MAX($I357,W$3),MIN($J357,W$2),Data!$K$4:$K$203)/$K357)))</f>
        <v>0</v>
      </c>
      <c r="X357" s="166">
        <f>IF(OR($I357="",$E357=0),0,IF(OR($J357&lt;X$3,$I357&gt;X$2),0,IF($K357=0,IF(AND($I357&gt;=X$3,$I357&lt;=X$2),$E357,0),$E357*NETWORKDAYS(MAX($I357,X$3),MIN($J357,X$2),Data!$K$4:$K$203)/$K357)))</f>
        <v>0</v>
      </c>
      <c r="Y357" s="166">
        <f>IF(OR($I357="",$E357=0),0,IF(OR($J357&lt;Y$3,$I357&gt;Y$2),0,IF($K357=0,IF(AND($I357&gt;=Y$3,$I357&lt;=Y$2),$E357,0),$E357*NETWORKDAYS(MAX($I357,Y$3),MIN($J357,Y$2),Data!$K$4:$K$203)/$K357)))</f>
        <v>0</v>
      </c>
      <c r="Z357" s="166">
        <f>IF(OR($I357="",$E357=0),0,IF(OR($J357&lt;Z$3,$I357&gt;Z$2),0,IF($K357=0,IF(AND($I357&gt;=Z$3,$I357&lt;=Z$2),$E357,0),$E357*NETWORKDAYS(MAX($I357,Z$3),MIN($J357,Z$2),Data!$K$4:$K$203)/$K357)))</f>
        <v>0</v>
      </c>
      <c r="AA357" s="166">
        <f>IF(OR($I357="",$E357=0),0,IF(OR($J357&lt;AA$3,$I357&gt;AA$2),0,IF($K357=0,IF(AND($I357&gt;=AA$3,$I357&lt;=AA$2),$E357,0),$E357*NETWORKDAYS(MAX($I357,AA$3),MIN($J357,AA$2),Data!$K$4:$K$203)/$K357)))</f>
        <v>0</v>
      </c>
      <c r="AB357" s="166">
        <f>IF(OR($I357="",$E357=0),0,IF(OR($J357&lt;AB$3,$I357&gt;AB$2),0,IF($K357=0,IF(AND($I357&gt;=AB$3,$I357&lt;=AB$2),$E357,0),$E357*NETWORKDAYS(MAX($I357,AB$3),MIN($J357,AB$2),Data!$K$4:$K$203)/$K357)))</f>
        <v>0</v>
      </c>
      <c r="AC357" s="166">
        <f>IF(OR($I357="",$E357=0),0,IF(OR($J357&lt;AC$3,$I357&gt;AC$2),0,IF($K357=0,IF(AND($I357&gt;=AC$3,$I357&lt;=AC$2),$E357,0),$E357*NETWORKDAYS(MAX($I357,AC$3),MIN($J357,AC$2),Data!$K$4:$K$203)/$K357)))</f>
        <v>0</v>
      </c>
      <c r="AD357" s="166">
        <f>IF(OR($I357="",$E357=0),0,IF(OR($J357&lt;AD$3,$I357&gt;AD$2),0,IF($K357=0,IF(AND($I357&gt;=AD$3,$I357&lt;=AD$2),$E357,0),$E357*NETWORKDAYS(MAX($I357,AD$3),MIN($J357,AD$2),Data!$K$4:$K$203)/$K357)))</f>
        <v>0</v>
      </c>
      <c r="AE357" s="166">
        <f>IF(OR($I357="",$E357=0),0,IF(OR($J357&lt;AE$3,$I357&gt;AE$2),0,IF($K357=0,IF(AND($I357&gt;=AE$3,$I357&lt;=AE$2),$E357,0),$E357*NETWORKDAYS(MAX($I357,AE$3),MIN($J357,AE$2),Data!$K$4:$K$203)/$K357)))</f>
        <v>0</v>
      </c>
      <c r="AF357" s="166">
        <f>IF(OR($I357="",$E357=0),0,IF(OR($J357&lt;AF$3,$I357&gt;AF$2),0,IF($K357=0,IF(AND($I357&gt;=AF$3,$I357&lt;=AF$2),$E357,0),$E357*NETWORKDAYS(MAX($I357,AF$3),MIN($J357,AF$2),Data!$K$4:$K$203)/$K357)))</f>
        <v>0</v>
      </c>
      <c r="AG357" s="166">
        <f>IF(OR($I357="",$E357=0),0,IF(OR($J357&lt;AG$3,$I357&gt;AG$2),0,IF($K357=0,IF(AND($I357&gt;=AG$3,$I357&lt;=AG$2),$E357,0),$E357*NETWORKDAYS(MAX($I357,AG$3),MIN($J357,AG$2),Data!$K$4:$K$203)/$K357)))</f>
        <v>0</v>
      </c>
      <c r="AH357" s="166">
        <f>IF(OR($I357="",$E357=0),0,IF(OR($J357&lt;AH$3,$I357&gt;AH$2),0,IF($K357=0,IF(AND($I357&gt;=AH$3,$I357&lt;=AH$2),$E357,0),$E357*NETWORKDAYS(MAX($I357,AH$3),MIN($J357,AH$2),Data!$K$4:$K$203)/$K357)))</f>
        <v>0</v>
      </c>
      <c r="AI357" s="166">
        <f>SUM(W357:AH357)</f>
        <v>0</v>
      </c>
      <c r="BZ357" t="str">
        <f>IF(D357=1,IF(TRIM(INDEX(Charge!$K:$K,ROW()))&lt;&gt;"",TRIM(INDEX(Charge!$K:$K,ROW())),IF(TRIM(INDEX(Charge!$L:$L,ROW()))&lt;&gt;"",TRIM(INDEX(Charge!$L:$L,ROW())),"(non affecté)")),"")</f>
        <v/>
      </c>
      <c r="CA357" t="str">
        <f>IF(AND($CD$4&lt;&gt;"",BZ357=$CD$4),COUNTIFS($BZ$4:$BZ$503,$CD$4,$L$4:$L$503,"&lt;"&amp;L357)+1,"")</f>
        <v/>
      </c>
      <c r="EM357" t="str">
        <f>IF(D357=1,IF(TRIM(INDEX(Charge!$K:$K,ROW()))&lt;&gt;"","Interne",IF(TRIM(INDEX(Charge!$L:$L,ROW()))&lt;&gt;"","Externe","Non affecté")),"")</f>
        <v/>
      </c>
      <c r="EN357" t="str">
        <f>IF(D357=1,LEFT(SUBSTITUTE(SUBSTITUTE(SUBSTITUTE(TRIM(SUBSTITUTE(INDEX(Charge!$B:$B,ROW()),CHAR(160)," "))&amp;" | "&amp;TRIM(SUBSTITUTE(INDEX(Charge!$C:$C,ROW()),CHAR(160)," "))&amp;" | "&amp;TRIM(SUBSTITUTE(INDEX(Charge!$D:$D,ROW()),CHAR(160)," ")),"~","-"),"*","+"),"?","!"),240),"")</f>
        <v/>
      </c>
      <c r="EO357">
        <f>IF(EN357="",0,IF(COUNTIF($EN$4:EN357,EN357)=1,1,0))</f>
        <v>0</v>
      </c>
      <c r="EP357" s="166" t="str">
        <f>IF(EO357=1,ROUND(SUMIF($EN$4:$EN$503,EN357,$E$4:$E$503),2),"")</f>
        <v/>
      </c>
      <c r="EQ357" t="str">
        <f>IF(EO357=1,COUNTIFS($EO$4:$EO$503,1,$EP$4:$EP$503,"&gt;"&amp;EP357)+COUNTIFS($EO$4:EO357,1,$EP$4:EP357,EP357),"")</f>
        <v/>
      </c>
      <c r="ER357" t="str">
        <f>IF(EO357=1,COUNTIFS($EN$4:$EN$503,EN357,$EM$4:$EM$503,"Interne",$FE$4:$FE$503,1),"")</f>
        <v/>
      </c>
      <c r="ES357" t="str">
        <f>IF(EO357=1,COUNTIFS($EN$4:$EN$503,EN357,$EM$4:$EM$503,"Externe",$FE$4:$FE$503,1),"")</f>
        <v/>
      </c>
      <c r="ET357" t="str">
        <f>IF(EO357=1,IF(ER357+ES357=0,"à affecter",IF(ER357=0,ES357&amp;" ext.",(ER357+ES357)&amp;IF(ES357&gt;0," dont "&amp;ES357&amp;" ext.",""))&amp;IF(COUNTIFS($EN$4:$EN$503,EN357,$EM$4:$EM$503,"Non affecté")&gt;0," + à affecter","")),"")</f>
        <v/>
      </c>
      <c r="EU357" s="170" t="str">
        <f>IF(EO357=1,IF(EP357&gt;0,SUMPRODUCT(($EN$4:$EN$503=EN357)*$E$4:$E$503*$C$4:$C$503)/EP357,AVERAGEIF($EN$4:$EN$503,EN357,$C$4:$C$503)),"")</f>
        <v/>
      </c>
      <c r="EV357" s="165">
        <f>IF(ISNUMBER(I357),I357,2958465)</f>
        <v>2958465.0</v>
      </c>
      <c r="EW357" s="165" t="str">
        <f>IF(EO357=1,SUMPRODUCT(MIN(($EN$4:$EN$503=EN357)*$EV$4:$EV$503+($EN$4:$EN$503&lt;&gt;EN357)*2958465)),"")</f>
        <v/>
      </c>
      <c r="EX357" s="165">
        <f>IF(AND(D357=1,ISNUMBER(INDEX(Charge!$F:$F,ROW()))),INDEX(Charge!$F:$F,ROW()),0)</f>
        <v>0.0</v>
      </c>
      <c r="EY357" s="165" t="str">
        <f>IF(EO357=1,SUMPRODUCT(MAX(($EN$4:$EN$503=EN357)*$EX$4:$EX$503)),"")</f>
        <v/>
      </c>
      <c r="FA357" t="str">
        <f>IF(354&lt;=$CD$23,INDEX($EJ$4:$EJ$203,354),IF(354-$CD$23&lt;=$CD$26,INDEX($EK$4:$EK$203,354-$CD$23),""))</f>
        <v/>
      </c>
      <c r="FB357" t="str">
        <f>IF(FA357="","",IF(354&lt;=$CD$23,"Interne","Externe"))</f>
        <v/>
      </c>
      <c r="FD357">
        <f>IF(AND(B357=1,TRIM(INDEX(Charge!$K:$K,ROW()))&lt;&gt;"",TRIM(INDEX(Charge!$L:$L,ROW()))&lt;&gt;""),1,0)</f>
        <v>0</v>
      </c>
      <c r="FE357">
        <f>IF(OR(EN357="",BZ357="(non affecté)"),0,IF(COUNTIFS($EN$4:EN357,EN357,$BZ$4:BZ357,BZ357)=1,1,0))</f>
        <v>0</v>
      </c>
    </row>
    <row r="358">
      <c r="A358">
        <f>ROW()</f>
        <v>358</v>
      </c>
      <c r="B358">
        <f>IF(TRIM(INDEX(Charge!$B:$B,ROW()))&lt;&gt;"",1,0)</f>
        <v>0</v>
      </c>
      <c r="C358">
        <f>IF(B358=1,MIN(1,MAX(0,N(INDEX(Charge!$O:$O,ROW())))),0)</f>
        <v>0</v>
      </c>
      <c r="D358">
        <f>IF(B358=1,IF(OR(p_Perimetre="Tous les projets",C358&lt;1),1,0),0)</f>
        <v>0</v>
      </c>
      <c r="E358">
        <f>IF(D358=1,MAX(0,N(INDEX(Charge!$M:$M,ROW()))),0)</f>
        <v>0</v>
      </c>
      <c r="F358" t="str">
        <f>IF(D358=1,IF(TRIM(INDEX(Charge!$A:$A,ROW()))="","(non renseigné)",TRIM(INDEX(Charge!$A:$A,ROW()))),"")</f>
        <v/>
      </c>
      <c r="G358" t="str">
        <f>IF(D358=1,TRIM(INDEX(Charge!$B:$B,ROW())),"")</f>
        <v/>
      </c>
      <c r="H358" t="str">
        <f>IF(D358=1,IF(TRIM(INDEX(Charge!$E:$E,ROW()))="","(non renseigné)",TRIM(INDEX(Charge!$E:$E,ROW()))),"")</f>
        <v/>
      </c>
      <c r="I358" s="165" t="str">
        <f>IF(AND(D358=1,ISNUMBER(INDEX(Charge!$N:$N,ROW()))),INDEX(Charge!$N:$N,ROW()),"")</f>
        <v/>
      </c>
      <c r="J358" s="165" t="str">
        <f>IF(I358="","",IF(AND(p_Repartition="Lissée jusqu'à la date de besoin",ISNUMBER(INDEX(Charge!$F:$F,ROW()))),IF(INDEX(Charge!$F:$F,ROW())&gt;=I358,INDEX(Charge!$F:$F,ROW()),I358),I358))</f>
        <v/>
      </c>
      <c r="K358" t="str">
        <f>IF(I358="","",NETWORKDAYS(I358,J358,Data!$K$4:$K$203))</f>
        <v/>
      </c>
      <c r="L358" t="str">
        <f>IF(D358=1,COUNTIFS($D$4:$D$503,1,$E$4:$E$503,"&gt;"&amp;E358)+COUNTIFS($D$4:$D358,1,$E$4:$E358,E358),"")</f>
        <v/>
      </c>
      <c r="M358">
        <f>IF(F358="",0,IF(COUNTIF($F$4:F358,F358)=1,1,0))</f>
        <v>0</v>
      </c>
      <c r="N358" t="str">
        <f>IF(M358=1,ROUND(SUMIF($F$4:$F$503,F358,$E$4:$E$503),2),"")</f>
        <v/>
      </c>
      <c r="O358" t="str">
        <f>IF(M358=1,COUNTIFS($M$4:$M$503,1,$N$4:$N$503,"&gt;"&amp;N358)+COUNTIFS($M$4:M358,1,$N$4:N358,N358),"")</f>
        <v/>
      </c>
      <c r="P358">
        <f>IF(G358="",0,IF(COUNTIF($G$4:G358,G358)=1,1,0))</f>
        <v>0</v>
      </c>
      <c r="Q358" t="str">
        <f>IF(P358=1,ROUND(SUMIF($G$4:$G$503,G358,$E$4:$E$503),2),"")</f>
        <v/>
      </c>
      <c r="R358" t="str">
        <f>IF(P358=1,COUNTIFS($P$4:$P$503,1,$Q$4:$Q$503,"&gt;"&amp;Q358)+COUNTIFS($P$4:P358,1,$Q$4:Q358,Q358),"")</f>
        <v/>
      </c>
      <c r="S358">
        <f>IF(H358="",0,IF(COUNTIF($H$4:H358,H358)=1,1,0))</f>
        <v>0</v>
      </c>
      <c r="T358" t="str">
        <f>IF(S358=1,ROUND(SUMIF($H$4:$H$503,H358,$E$4:$E$503),2),"")</f>
        <v/>
      </c>
      <c r="U358" t="str">
        <f>IF(S358=1,COUNTIFS($S$4:$S$503,1,$T$4:$T$503,"&gt;"&amp;T358)+COUNTIFS($S$4:S358,1,$T$4:T358,T358),"")</f>
        <v/>
      </c>
      <c r="V358" t="str">
        <f>IF(D358=1,MIN(INDEX($R$4:$R$503,MATCH(G358,$G$4:$G$503,0)),IF($AL$7&gt;9,9,999)),"")</f>
        <v/>
      </c>
      <c r="W358" s="166">
        <f>IF(OR($I358="",$E358=0),0,IF(OR($J358&lt;W$3,$I358&gt;W$2),0,IF($K358=0,IF(AND($I358&gt;=W$3,$I358&lt;=W$2),$E358,0),$E358*NETWORKDAYS(MAX($I358,W$3),MIN($J358,W$2),Data!$K$4:$K$203)/$K358)))</f>
        <v>0</v>
      </c>
      <c r="X358" s="166">
        <f>IF(OR($I358="",$E358=0),0,IF(OR($J358&lt;X$3,$I358&gt;X$2),0,IF($K358=0,IF(AND($I358&gt;=X$3,$I358&lt;=X$2),$E358,0),$E358*NETWORKDAYS(MAX($I358,X$3),MIN($J358,X$2),Data!$K$4:$K$203)/$K358)))</f>
        <v>0</v>
      </c>
      <c r="Y358" s="166">
        <f>IF(OR($I358="",$E358=0),0,IF(OR($J358&lt;Y$3,$I358&gt;Y$2),0,IF($K358=0,IF(AND($I358&gt;=Y$3,$I358&lt;=Y$2),$E358,0),$E358*NETWORKDAYS(MAX($I358,Y$3),MIN($J358,Y$2),Data!$K$4:$K$203)/$K358)))</f>
        <v>0</v>
      </c>
      <c r="Z358" s="166">
        <f>IF(OR($I358="",$E358=0),0,IF(OR($J358&lt;Z$3,$I358&gt;Z$2),0,IF($K358=0,IF(AND($I358&gt;=Z$3,$I358&lt;=Z$2),$E358,0),$E358*NETWORKDAYS(MAX($I358,Z$3),MIN($J358,Z$2),Data!$K$4:$K$203)/$K358)))</f>
        <v>0</v>
      </c>
      <c r="AA358" s="166">
        <f>IF(OR($I358="",$E358=0),0,IF(OR($J358&lt;AA$3,$I358&gt;AA$2),0,IF($K358=0,IF(AND($I358&gt;=AA$3,$I358&lt;=AA$2),$E358,0),$E358*NETWORKDAYS(MAX($I358,AA$3),MIN($J358,AA$2),Data!$K$4:$K$203)/$K358)))</f>
        <v>0</v>
      </c>
      <c r="AB358" s="166">
        <f>IF(OR($I358="",$E358=0),0,IF(OR($J358&lt;AB$3,$I358&gt;AB$2),0,IF($K358=0,IF(AND($I358&gt;=AB$3,$I358&lt;=AB$2),$E358,0),$E358*NETWORKDAYS(MAX($I358,AB$3),MIN($J358,AB$2),Data!$K$4:$K$203)/$K358)))</f>
        <v>0</v>
      </c>
      <c r="AC358" s="166">
        <f>IF(OR($I358="",$E358=0),0,IF(OR($J358&lt;AC$3,$I358&gt;AC$2),0,IF($K358=0,IF(AND($I358&gt;=AC$3,$I358&lt;=AC$2),$E358,0),$E358*NETWORKDAYS(MAX($I358,AC$3),MIN($J358,AC$2),Data!$K$4:$K$203)/$K358)))</f>
        <v>0</v>
      </c>
      <c r="AD358" s="166">
        <f>IF(OR($I358="",$E358=0),0,IF(OR($J358&lt;AD$3,$I358&gt;AD$2),0,IF($K358=0,IF(AND($I358&gt;=AD$3,$I358&lt;=AD$2),$E358,0),$E358*NETWORKDAYS(MAX($I358,AD$3),MIN($J358,AD$2),Data!$K$4:$K$203)/$K358)))</f>
        <v>0</v>
      </c>
      <c r="AE358" s="166">
        <f>IF(OR($I358="",$E358=0),0,IF(OR($J358&lt;AE$3,$I358&gt;AE$2),0,IF($K358=0,IF(AND($I358&gt;=AE$3,$I358&lt;=AE$2),$E358,0),$E358*NETWORKDAYS(MAX($I358,AE$3),MIN($J358,AE$2),Data!$K$4:$K$203)/$K358)))</f>
        <v>0</v>
      </c>
      <c r="AF358" s="166">
        <f>IF(OR($I358="",$E358=0),0,IF(OR($J358&lt;AF$3,$I358&gt;AF$2),0,IF($K358=0,IF(AND($I358&gt;=AF$3,$I358&lt;=AF$2),$E358,0),$E358*NETWORKDAYS(MAX($I358,AF$3),MIN($J358,AF$2),Data!$K$4:$K$203)/$K358)))</f>
        <v>0</v>
      </c>
      <c r="AG358" s="166">
        <f>IF(OR($I358="",$E358=0),0,IF(OR($J358&lt;AG$3,$I358&gt;AG$2),0,IF($K358=0,IF(AND($I358&gt;=AG$3,$I358&lt;=AG$2),$E358,0),$E358*NETWORKDAYS(MAX($I358,AG$3),MIN($J358,AG$2),Data!$K$4:$K$203)/$K358)))</f>
        <v>0</v>
      </c>
      <c r="AH358" s="166">
        <f>IF(OR($I358="",$E358=0),0,IF(OR($J358&lt;AH$3,$I358&gt;AH$2),0,IF($K358=0,IF(AND($I358&gt;=AH$3,$I358&lt;=AH$2),$E358,0),$E358*NETWORKDAYS(MAX($I358,AH$3),MIN($J358,AH$2),Data!$K$4:$K$203)/$K358)))</f>
        <v>0</v>
      </c>
      <c r="AI358" s="166">
        <f>SUM(W358:AH358)</f>
        <v>0</v>
      </c>
      <c r="BZ358" t="str">
        <f>IF(D358=1,IF(TRIM(INDEX(Charge!$K:$K,ROW()))&lt;&gt;"",TRIM(INDEX(Charge!$K:$K,ROW())),IF(TRIM(INDEX(Charge!$L:$L,ROW()))&lt;&gt;"",TRIM(INDEX(Charge!$L:$L,ROW())),"(non affecté)")),"")</f>
        <v/>
      </c>
      <c r="CA358" t="str">
        <f>IF(AND($CD$4&lt;&gt;"",BZ358=$CD$4),COUNTIFS($BZ$4:$BZ$503,$CD$4,$L$4:$L$503,"&lt;"&amp;L358)+1,"")</f>
        <v/>
      </c>
      <c r="EM358" t="str">
        <f>IF(D358=1,IF(TRIM(INDEX(Charge!$K:$K,ROW()))&lt;&gt;"","Interne",IF(TRIM(INDEX(Charge!$L:$L,ROW()))&lt;&gt;"","Externe","Non affecté")),"")</f>
        <v/>
      </c>
      <c r="EN358" t="str">
        <f>IF(D358=1,LEFT(SUBSTITUTE(SUBSTITUTE(SUBSTITUTE(TRIM(SUBSTITUTE(INDEX(Charge!$B:$B,ROW()),CHAR(160)," "))&amp;" | "&amp;TRIM(SUBSTITUTE(INDEX(Charge!$C:$C,ROW()),CHAR(160)," "))&amp;" | "&amp;TRIM(SUBSTITUTE(INDEX(Charge!$D:$D,ROW()),CHAR(160)," ")),"~","-"),"*","+"),"?","!"),240),"")</f>
        <v/>
      </c>
      <c r="EO358">
        <f>IF(EN358="",0,IF(COUNTIF($EN$4:EN358,EN358)=1,1,0))</f>
        <v>0</v>
      </c>
      <c r="EP358" s="166" t="str">
        <f>IF(EO358=1,ROUND(SUMIF($EN$4:$EN$503,EN358,$E$4:$E$503),2),"")</f>
        <v/>
      </c>
      <c r="EQ358" t="str">
        <f>IF(EO358=1,COUNTIFS($EO$4:$EO$503,1,$EP$4:$EP$503,"&gt;"&amp;EP358)+COUNTIFS($EO$4:EO358,1,$EP$4:EP358,EP358),"")</f>
        <v/>
      </c>
      <c r="ER358" t="str">
        <f>IF(EO358=1,COUNTIFS($EN$4:$EN$503,EN358,$EM$4:$EM$503,"Interne",$FE$4:$FE$503,1),"")</f>
        <v/>
      </c>
      <c r="ES358" t="str">
        <f>IF(EO358=1,COUNTIFS($EN$4:$EN$503,EN358,$EM$4:$EM$503,"Externe",$FE$4:$FE$503,1),"")</f>
        <v/>
      </c>
      <c r="ET358" t="str">
        <f>IF(EO358=1,IF(ER358+ES358=0,"à affecter",IF(ER358=0,ES358&amp;" ext.",(ER358+ES358)&amp;IF(ES358&gt;0," dont "&amp;ES358&amp;" ext.",""))&amp;IF(COUNTIFS($EN$4:$EN$503,EN358,$EM$4:$EM$503,"Non affecté")&gt;0," + à affecter","")),"")</f>
        <v/>
      </c>
      <c r="EU358" s="170" t="str">
        <f>IF(EO358=1,IF(EP358&gt;0,SUMPRODUCT(($EN$4:$EN$503=EN358)*$E$4:$E$503*$C$4:$C$503)/EP358,AVERAGEIF($EN$4:$EN$503,EN358,$C$4:$C$503)),"")</f>
        <v/>
      </c>
      <c r="EV358" s="165">
        <f>IF(ISNUMBER(I358),I358,2958465)</f>
        <v>2958465.0</v>
      </c>
      <c r="EW358" s="165" t="str">
        <f>IF(EO358=1,SUMPRODUCT(MIN(($EN$4:$EN$503=EN358)*$EV$4:$EV$503+($EN$4:$EN$503&lt;&gt;EN358)*2958465)),"")</f>
        <v/>
      </c>
      <c r="EX358" s="165">
        <f>IF(AND(D358=1,ISNUMBER(INDEX(Charge!$F:$F,ROW()))),INDEX(Charge!$F:$F,ROW()),0)</f>
        <v>0.0</v>
      </c>
      <c r="EY358" s="165" t="str">
        <f>IF(EO358=1,SUMPRODUCT(MAX(($EN$4:$EN$503=EN358)*$EX$4:$EX$503)),"")</f>
        <v/>
      </c>
      <c r="FA358" t="str">
        <f>IF(355&lt;=$CD$23,INDEX($EJ$4:$EJ$203,355),IF(355-$CD$23&lt;=$CD$26,INDEX($EK$4:$EK$203,355-$CD$23),""))</f>
        <v/>
      </c>
      <c r="FB358" t="str">
        <f>IF(FA358="","",IF(355&lt;=$CD$23,"Interne","Externe"))</f>
        <v/>
      </c>
      <c r="FD358">
        <f>IF(AND(B358=1,TRIM(INDEX(Charge!$K:$K,ROW()))&lt;&gt;"",TRIM(INDEX(Charge!$L:$L,ROW()))&lt;&gt;""),1,0)</f>
        <v>0</v>
      </c>
      <c r="FE358">
        <f>IF(OR(EN358="",BZ358="(non affecté)"),0,IF(COUNTIFS($EN$4:EN358,EN358,$BZ$4:BZ358,BZ358)=1,1,0))</f>
        <v>0</v>
      </c>
    </row>
    <row r="359">
      <c r="A359">
        <f>ROW()</f>
        <v>359</v>
      </c>
      <c r="B359">
        <f>IF(TRIM(INDEX(Charge!$B:$B,ROW()))&lt;&gt;"",1,0)</f>
        <v>0</v>
      </c>
      <c r="C359">
        <f>IF(B359=1,MIN(1,MAX(0,N(INDEX(Charge!$O:$O,ROW())))),0)</f>
        <v>0</v>
      </c>
      <c r="D359">
        <f>IF(B359=1,IF(OR(p_Perimetre="Tous les projets",C359&lt;1),1,0),0)</f>
        <v>0</v>
      </c>
      <c r="E359">
        <f>IF(D359=1,MAX(0,N(INDEX(Charge!$M:$M,ROW()))),0)</f>
        <v>0</v>
      </c>
      <c r="F359" t="str">
        <f>IF(D359=1,IF(TRIM(INDEX(Charge!$A:$A,ROW()))="","(non renseigné)",TRIM(INDEX(Charge!$A:$A,ROW()))),"")</f>
        <v/>
      </c>
      <c r="G359" t="str">
        <f>IF(D359=1,TRIM(INDEX(Charge!$B:$B,ROW())),"")</f>
        <v/>
      </c>
      <c r="H359" t="str">
        <f>IF(D359=1,IF(TRIM(INDEX(Charge!$E:$E,ROW()))="","(non renseigné)",TRIM(INDEX(Charge!$E:$E,ROW()))),"")</f>
        <v/>
      </c>
      <c r="I359" s="165" t="str">
        <f>IF(AND(D359=1,ISNUMBER(INDEX(Charge!$N:$N,ROW()))),INDEX(Charge!$N:$N,ROW()),"")</f>
        <v/>
      </c>
      <c r="J359" s="165" t="str">
        <f>IF(I359="","",IF(AND(p_Repartition="Lissée jusqu'à la date de besoin",ISNUMBER(INDEX(Charge!$F:$F,ROW()))),IF(INDEX(Charge!$F:$F,ROW())&gt;=I359,INDEX(Charge!$F:$F,ROW()),I359),I359))</f>
        <v/>
      </c>
      <c r="K359" t="str">
        <f>IF(I359="","",NETWORKDAYS(I359,J359,Data!$K$4:$K$203))</f>
        <v/>
      </c>
      <c r="L359" t="str">
        <f>IF(D359=1,COUNTIFS($D$4:$D$503,1,$E$4:$E$503,"&gt;"&amp;E359)+COUNTIFS($D$4:$D359,1,$E$4:$E359,E359),"")</f>
        <v/>
      </c>
      <c r="M359">
        <f>IF(F359="",0,IF(COUNTIF($F$4:F359,F359)=1,1,0))</f>
        <v>0</v>
      </c>
      <c r="N359" t="str">
        <f>IF(M359=1,ROUND(SUMIF($F$4:$F$503,F359,$E$4:$E$503),2),"")</f>
        <v/>
      </c>
      <c r="O359" t="str">
        <f>IF(M359=1,COUNTIFS($M$4:$M$503,1,$N$4:$N$503,"&gt;"&amp;N359)+COUNTIFS($M$4:M359,1,$N$4:N359,N359),"")</f>
        <v/>
      </c>
      <c r="P359">
        <f>IF(G359="",0,IF(COUNTIF($G$4:G359,G359)=1,1,0))</f>
        <v>0</v>
      </c>
      <c r="Q359" t="str">
        <f>IF(P359=1,ROUND(SUMIF($G$4:$G$503,G359,$E$4:$E$503),2),"")</f>
        <v/>
      </c>
      <c r="R359" t="str">
        <f>IF(P359=1,COUNTIFS($P$4:$P$503,1,$Q$4:$Q$503,"&gt;"&amp;Q359)+COUNTIFS($P$4:P359,1,$Q$4:Q359,Q359),"")</f>
        <v/>
      </c>
      <c r="S359">
        <f>IF(H359="",0,IF(COUNTIF($H$4:H359,H359)=1,1,0))</f>
        <v>0</v>
      </c>
      <c r="T359" t="str">
        <f>IF(S359=1,ROUND(SUMIF($H$4:$H$503,H359,$E$4:$E$503),2),"")</f>
        <v/>
      </c>
      <c r="U359" t="str">
        <f>IF(S359=1,COUNTIFS($S$4:$S$503,1,$T$4:$T$503,"&gt;"&amp;T359)+COUNTIFS($S$4:S359,1,$T$4:T359,T359),"")</f>
        <v/>
      </c>
      <c r="V359" t="str">
        <f>IF(D359=1,MIN(INDEX($R$4:$R$503,MATCH(G359,$G$4:$G$503,0)),IF($AL$7&gt;9,9,999)),"")</f>
        <v/>
      </c>
      <c r="W359" s="166">
        <f>IF(OR($I359="",$E359=0),0,IF(OR($J359&lt;W$3,$I359&gt;W$2),0,IF($K359=0,IF(AND($I359&gt;=W$3,$I359&lt;=W$2),$E359,0),$E359*NETWORKDAYS(MAX($I359,W$3),MIN($J359,W$2),Data!$K$4:$K$203)/$K359)))</f>
        <v>0</v>
      </c>
      <c r="X359" s="166">
        <f>IF(OR($I359="",$E359=0),0,IF(OR($J359&lt;X$3,$I359&gt;X$2),0,IF($K359=0,IF(AND($I359&gt;=X$3,$I359&lt;=X$2),$E359,0),$E359*NETWORKDAYS(MAX($I359,X$3),MIN($J359,X$2),Data!$K$4:$K$203)/$K359)))</f>
        <v>0</v>
      </c>
      <c r="Y359" s="166">
        <f>IF(OR($I359="",$E359=0),0,IF(OR($J359&lt;Y$3,$I359&gt;Y$2),0,IF($K359=0,IF(AND($I359&gt;=Y$3,$I359&lt;=Y$2),$E359,0),$E359*NETWORKDAYS(MAX($I359,Y$3),MIN($J359,Y$2),Data!$K$4:$K$203)/$K359)))</f>
        <v>0</v>
      </c>
      <c r="Z359" s="166">
        <f>IF(OR($I359="",$E359=0),0,IF(OR($J359&lt;Z$3,$I359&gt;Z$2),0,IF($K359=0,IF(AND($I359&gt;=Z$3,$I359&lt;=Z$2),$E359,0),$E359*NETWORKDAYS(MAX($I359,Z$3),MIN($J359,Z$2),Data!$K$4:$K$203)/$K359)))</f>
        <v>0</v>
      </c>
      <c r="AA359" s="166">
        <f>IF(OR($I359="",$E359=0),0,IF(OR($J359&lt;AA$3,$I359&gt;AA$2),0,IF($K359=0,IF(AND($I359&gt;=AA$3,$I359&lt;=AA$2),$E359,0),$E359*NETWORKDAYS(MAX($I359,AA$3),MIN($J359,AA$2),Data!$K$4:$K$203)/$K359)))</f>
        <v>0</v>
      </c>
      <c r="AB359" s="166">
        <f>IF(OR($I359="",$E359=0),0,IF(OR($J359&lt;AB$3,$I359&gt;AB$2),0,IF($K359=0,IF(AND($I359&gt;=AB$3,$I359&lt;=AB$2),$E359,0),$E359*NETWORKDAYS(MAX($I359,AB$3),MIN($J359,AB$2),Data!$K$4:$K$203)/$K359)))</f>
        <v>0</v>
      </c>
      <c r="AC359" s="166">
        <f>IF(OR($I359="",$E359=0),0,IF(OR($J359&lt;AC$3,$I359&gt;AC$2),0,IF($K359=0,IF(AND($I359&gt;=AC$3,$I359&lt;=AC$2),$E359,0),$E359*NETWORKDAYS(MAX($I359,AC$3),MIN($J359,AC$2),Data!$K$4:$K$203)/$K359)))</f>
        <v>0</v>
      </c>
      <c r="AD359" s="166">
        <f>IF(OR($I359="",$E359=0),0,IF(OR($J359&lt;AD$3,$I359&gt;AD$2),0,IF($K359=0,IF(AND($I359&gt;=AD$3,$I359&lt;=AD$2),$E359,0),$E359*NETWORKDAYS(MAX($I359,AD$3),MIN($J359,AD$2),Data!$K$4:$K$203)/$K359)))</f>
        <v>0</v>
      </c>
      <c r="AE359" s="166">
        <f>IF(OR($I359="",$E359=0),0,IF(OR($J359&lt;AE$3,$I359&gt;AE$2),0,IF($K359=0,IF(AND($I359&gt;=AE$3,$I359&lt;=AE$2),$E359,0),$E359*NETWORKDAYS(MAX($I359,AE$3),MIN($J359,AE$2),Data!$K$4:$K$203)/$K359)))</f>
        <v>0</v>
      </c>
      <c r="AF359" s="166">
        <f>IF(OR($I359="",$E359=0),0,IF(OR($J359&lt;AF$3,$I359&gt;AF$2),0,IF($K359=0,IF(AND($I359&gt;=AF$3,$I359&lt;=AF$2),$E359,0),$E359*NETWORKDAYS(MAX($I359,AF$3),MIN($J359,AF$2),Data!$K$4:$K$203)/$K359)))</f>
        <v>0</v>
      </c>
      <c r="AG359" s="166">
        <f>IF(OR($I359="",$E359=0),0,IF(OR($J359&lt;AG$3,$I359&gt;AG$2),0,IF($K359=0,IF(AND($I359&gt;=AG$3,$I359&lt;=AG$2),$E359,0),$E359*NETWORKDAYS(MAX($I359,AG$3),MIN($J359,AG$2),Data!$K$4:$K$203)/$K359)))</f>
        <v>0</v>
      </c>
      <c r="AH359" s="166">
        <f>IF(OR($I359="",$E359=0),0,IF(OR($J359&lt;AH$3,$I359&gt;AH$2),0,IF($K359=0,IF(AND($I359&gt;=AH$3,$I359&lt;=AH$2),$E359,0),$E359*NETWORKDAYS(MAX($I359,AH$3),MIN($J359,AH$2),Data!$K$4:$K$203)/$K359)))</f>
        <v>0</v>
      </c>
      <c r="AI359" s="166">
        <f>SUM(W359:AH359)</f>
        <v>0</v>
      </c>
      <c r="BZ359" t="str">
        <f>IF(D359=1,IF(TRIM(INDEX(Charge!$K:$K,ROW()))&lt;&gt;"",TRIM(INDEX(Charge!$K:$K,ROW())),IF(TRIM(INDEX(Charge!$L:$L,ROW()))&lt;&gt;"",TRIM(INDEX(Charge!$L:$L,ROW())),"(non affecté)")),"")</f>
        <v/>
      </c>
      <c r="CA359" t="str">
        <f>IF(AND($CD$4&lt;&gt;"",BZ359=$CD$4),COUNTIFS($BZ$4:$BZ$503,$CD$4,$L$4:$L$503,"&lt;"&amp;L359)+1,"")</f>
        <v/>
      </c>
      <c r="EM359" t="str">
        <f>IF(D359=1,IF(TRIM(INDEX(Charge!$K:$K,ROW()))&lt;&gt;"","Interne",IF(TRIM(INDEX(Charge!$L:$L,ROW()))&lt;&gt;"","Externe","Non affecté")),"")</f>
        <v/>
      </c>
      <c r="EN359" t="str">
        <f>IF(D359=1,LEFT(SUBSTITUTE(SUBSTITUTE(SUBSTITUTE(TRIM(SUBSTITUTE(INDEX(Charge!$B:$B,ROW()),CHAR(160)," "))&amp;" | "&amp;TRIM(SUBSTITUTE(INDEX(Charge!$C:$C,ROW()),CHAR(160)," "))&amp;" | "&amp;TRIM(SUBSTITUTE(INDEX(Charge!$D:$D,ROW()),CHAR(160)," ")),"~","-"),"*","+"),"?","!"),240),"")</f>
        <v/>
      </c>
      <c r="EO359">
        <f>IF(EN359="",0,IF(COUNTIF($EN$4:EN359,EN359)=1,1,0))</f>
        <v>0</v>
      </c>
      <c r="EP359" s="166" t="str">
        <f>IF(EO359=1,ROUND(SUMIF($EN$4:$EN$503,EN359,$E$4:$E$503),2),"")</f>
        <v/>
      </c>
      <c r="EQ359" t="str">
        <f>IF(EO359=1,COUNTIFS($EO$4:$EO$503,1,$EP$4:$EP$503,"&gt;"&amp;EP359)+COUNTIFS($EO$4:EO359,1,$EP$4:EP359,EP359),"")</f>
        <v/>
      </c>
      <c r="ER359" t="str">
        <f>IF(EO359=1,COUNTIFS($EN$4:$EN$503,EN359,$EM$4:$EM$503,"Interne",$FE$4:$FE$503,1),"")</f>
        <v/>
      </c>
      <c r="ES359" t="str">
        <f>IF(EO359=1,COUNTIFS($EN$4:$EN$503,EN359,$EM$4:$EM$503,"Externe",$FE$4:$FE$503,1),"")</f>
        <v/>
      </c>
      <c r="ET359" t="str">
        <f>IF(EO359=1,IF(ER359+ES359=0,"à affecter",IF(ER359=0,ES359&amp;" ext.",(ER359+ES359)&amp;IF(ES359&gt;0," dont "&amp;ES359&amp;" ext.",""))&amp;IF(COUNTIFS($EN$4:$EN$503,EN359,$EM$4:$EM$503,"Non affecté")&gt;0," + à affecter","")),"")</f>
        <v/>
      </c>
      <c r="EU359" s="170" t="str">
        <f>IF(EO359=1,IF(EP359&gt;0,SUMPRODUCT(($EN$4:$EN$503=EN359)*$E$4:$E$503*$C$4:$C$503)/EP359,AVERAGEIF($EN$4:$EN$503,EN359,$C$4:$C$503)),"")</f>
        <v/>
      </c>
      <c r="EV359" s="165">
        <f>IF(ISNUMBER(I359),I359,2958465)</f>
        <v>2958465.0</v>
      </c>
      <c r="EW359" s="165" t="str">
        <f>IF(EO359=1,SUMPRODUCT(MIN(($EN$4:$EN$503=EN359)*$EV$4:$EV$503+($EN$4:$EN$503&lt;&gt;EN359)*2958465)),"")</f>
        <v/>
      </c>
      <c r="EX359" s="165">
        <f>IF(AND(D359=1,ISNUMBER(INDEX(Charge!$F:$F,ROW()))),INDEX(Charge!$F:$F,ROW()),0)</f>
        <v>0.0</v>
      </c>
      <c r="EY359" s="165" t="str">
        <f>IF(EO359=1,SUMPRODUCT(MAX(($EN$4:$EN$503=EN359)*$EX$4:$EX$503)),"")</f>
        <v/>
      </c>
      <c r="FA359" t="str">
        <f>IF(356&lt;=$CD$23,INDEX($EJ$4:$EJ$203,356),IF(356-$CD$23&lt;=$CD$26,INDEX($EK$4:$EK$203,356-$CD$23),""))</f>
        <v/>
      </c>
      <c r="FB359" t="str">
        <f>IF(FA359="","",IF(356&lt;=$CD$23,"Interne","Externe"))</f>
        <v/>
      </c>
      <c r="FD359">
        <f>IF(AND(B359=1,TRIM(INDEX(Charge!$K:$K,ROW()))&lt;&gt;"",TRIM(INDEX(Charge!$L:$L,ROW()))&lt;&gt;""),1,0)</f>
        <v>0</v>
      </c>
      <c r="FE359">
        <f>IF(OR(EN359="",BZ359="(non affecté)"),0,IF(COUNTIFS($EN$4:EN359,EN359,$BZ$4:BZ359,BZ359)=1,1,0))</f>
        <v>0</v>
      </c>
    </row>
    <row r="360">
      <c r="A360">
        <f>ROW()</f>
        <v>360</v>
      </c>
      <c r="B360">
        <f>IF(TRIM(INDEX(Charge!$B:$B,ROW()))&lt;&gt;"",1,0)</f>
        <v>0</v>
      </c>
      <c r="C360">
        <f>IF(B360=1,MIN(1,MAX(0,N(INDEX(Charge!$O:$O,ROW())))),0)</f>
        <v>0</v>
      </c>
      <c r="D360">
        <f>IF(B360=1,IF(OR(p_Perimetre="Tous les projets",C360&lt;1),1,0),0)</f>
        <v>0</v>
      </c>
      <c r="E360">
        <f>IF(D360=1,MAX(0,N(INDEX(Charge!$M:$M,ROW()))),0)</f>
        <v>0</v>
      </c>
      <c r="F360" t="str">
        <f>IF(D360=1,IF(TRIM(INDEX(Charge!$A:$A,ROW()))="","(non renseigné)",TRIM(INDEX(Charge!$A:$A,ROW()))),"")</f>
        <v/>
      </c>
      <c r="G360" t="str">
        <f>IF(D360=1,TRIM(INDEX(Charge!$B:$B,ROW())),"")</f>
        <v/>
      </c>
      <c r="H360" t="str">
        <f>IF(D360=1,IF(TRIM(INDEX(Charge!$E:$E,ROW()))="","(non renseigné)",TRIM(INDEX(Charge!$E:$E,ROW()))),"")</f>
        <v/>
      </c>
      <c r="I360" s="165" t="str">
        <f>IF(AND(D360=1,ISNUMBER(INDEX(Charge!$N:$N,ROW()))),INDEX(Charge!$N:$N,ROW()),"")</f>
        <v/>
      </c>
      <c r="J360" s="165" t="str">
        <f>IF(I360="","",IF(AND(p_Repartition="Lissée jusqu'à la date de besoin",ISNUMBER(INDEX(Charge!$F:$F,ROW()))),IF(INDEX(Charge!$F:$F,ROW())&gt;=I360,INDEX(Charge!$F:$F,ROW()),I360),I360))</f>
        <v/>
      </c>
      <c r="K360" t="str">
        <f>IF(I360="","",NETWORKDAYS(I360,J360,Data!$K$4:$K$203))</f>
        <v/>
      </c>
      <c r="L360" t="str">
        <f>IF(D360=1,COUNTIFS($D$4:$D$503,1,$E$4:$E$503,"&gt;"&amp;E360)+COUNTIFS($D$4:$D360,1,$E$4:$E360,E360),"")</f>
        <v/>
      </c>
      <c r="M360">
        <f>IF(F360="",0,IF(COUNTIF($F$4:F360,F360)=1,1,0))</f>
        <v>0</v>
      </c>
      <c r="N360" t="str">
        <f>IF(M360=1,ROUND(SUMIF($F$4:$F$503,F360,$E$4:$E$503),2),"")</f>
        <v/>
      </c>
      <c r="O360" t="str">
        <f>IF(M360=1,COUNTIFS($M$4:$M$503,1,$N$4:$N$503,"&gt;"&amp;N360)+COUNTIFS($M$4:M360,1,$N$4:N360,N360),"")</f>
        <v/>
      </c>
      <c r="P360">
        <f>IF(G360="",0,IF(COUNTIF($G$4:G360,G360)=1,1,0))</f>
        <v>0</v>
      </c>
      <c r="Q360" t="str">
        <f>IF(P360=1,ROUND(SUMIF($G$4:$G$503,G360,$E$4:$E$503),2),"")</f>
        <v/>
      </c>
      <c r="R360" t="str">
        <f>IF(P360=1,COUNTIFS($P$4:$P$503,1,$Q$4:$Q$503,"&gt;"&amp;Q360)+COUNTIFS($P$4:P360,1,$Q$4:Q360,Q360),"")</f>
        <v/>
      </c>
      <c r="S360">
        <f>IF(H360="",0,IF(COUNTIF($H$4:H360,H360)=1,1,0))</f>
        <v>0</v>
      </c>
      <c r="T360" t="str">
        <f>IF(S360=1,ROUND(SUMIF($H$4:$H$503,H360,$E$4:$E$503),2),"")</f>
        <v/>
      </c>
      <c r="U360" t="str">
        <f>IF(S360=1,COUNTIFS($S$4:$S$503,1,$T$4:$T$503,"&gt;"&amp;T360)+COUNTIFS($S$4:S360,1,$T$4:T360,T360),"")</f>
        <v/>
      </c>
      <c r="V360" t="str">
        <f>IF(D360=1,MIN(INDEX($R$4:$R$503,MATCH(G360,$G$4:$G$503,0)),IF($AL$7&gt;9,9,999)),"")</f>
        <v/>
      </c>
      <c r="W360" s="166">
        <f>IF(OR($I360="",$E360=0),0,IF(OR($J360&lt;W$3,$I360&gt;W$2),0,IF($K360=0,IF(AND($I360&gt;=W$3,$I360&lt;=W$2),$E360,0),$E360*NETWORKDAYS(MAX($I360,W$3),MIN($J360,W$2),Data!$K$4:$K$203)/$K360)))</f>
        <v>0</v>
      </c>
      <c r="X360" s="166">
        <f>IF(OR($I360="",$E360=0),0,IF(OR($J360&lt;X$3,$I360&gt;X$2),0,IF($K360=0,IF(AND($I360&gt;=X$3,$I360&lt;=X$2),$E360,0),$E360*NETWORKDAYS(MAX($I360,X$3),MIN($J360,X$2),Data!$K$4:$K$203)/$K360)))</f>
        <v>0</v>
      </c>
      <c r="Y360" s="166">
        <f>IF(OR($I360="",$E360=0),0,IF(OR($J360&lt;Y$3,$I360&gt;Y$2),0,IF($K360=0,IF(AND($I360&gt;=Y$3,$I360&lt;=Y$2),$E360,0),$E360*NETWORKDAYS(MAX($I360,Y$3),MIN($J360,Y$2),Data!$K$4:$K$203)/$K360)))</f>
        <v>0</v>
      </c>
      <c r="Z360" s="166">
        <f>IF(OR($I360="",$E360=0),0,IF(OR($J360&lt;Z$3,$I360&gt;Z$2),0,IF($K360=0,IF(AND($I360&gt;=Z$3,$I360&lt;=Z$2),$E360,0),$E360*NETWORKDAYS(MAX($I360,Z$3),MIN($J360,Z$2),Data!$K$4:$K$203)/$K360)))</f>
        <v>0</v>
      </c>
      <c r="AA360" s="166">
        <f>IF(OR($I360="",$E360=0),0,IF(OR($J360&lt;AA$3,$I360&gt;AA$2),0,IF($K360=0,IF(AND($I360&gt;=AA$3,$I360&lt;=AA$2),$E360,0),$E360*NETWORKDAYS(MAX($I360,AA$3),MIN($J360,AA$2),Data!$K$4:$K$203)/$K360)))</f>
        <v>0</v>
      </c>
      <c r="AB360" s="166">
        <f>IF(OR($I360="",$E360=0),0,IF(OR($J360&lt;AB$3,$I360&gt;AB$2),0,IF($K360=0,IF(AND($I360&gt;=AB$3,$I360&lt;=AB$2),$E360,0),$E360*NETWORKDAYS(MAX($I360,AB$3),MIN($J360,AB$2),Data!$K$4:$K$203)/$K360)))</f>
        <v>0</v>
      </c>
      <c r="AC360" s="166">
        <f>IF(OR($I360="",$E360=0),0,IF(OR($J360&lt;AC$3,$I360&gt;AC$2),0,IF($K360=0,IF(AND($I360&gt;=AC$3,$I360&lt;=AC$2),$E360,0),$E360*NETWORKDAYS(MAX($I360,AC$3),MIN($J360,AC$2),Data!$K$4:$K$203)/$K360)))</f>
        <v>0</v>
      </c>
      <c r="AD360" s="166">
        <f>IF(OR($I360="",$E360=0),0,IF(OR($J360&lt;AD$3,$I360&gt;AD$2),0,IF($K360=0,IF(AND($I360&gt;=AD$3,$I360&lt;=AD$2),$E360,0),$E360*NETWORKDAYS(MAX($I360,AD$3),MIN($J360,AD$2),Data!$K$4:$K$203)/$K360)))</f>
        <v>0</v>
      </c>
      <c r="AE360" s="166">
        <f>IF(OR($I360="",$E360=0),0,IF(OR($J360&lt;AE$3,$I360&gt;AE$2),0,IF($K360=0,IF(AND($I360&gt;=AE$3,$I360&lt;=AE$2),$E360,0),$E360*NETWORKDAYS(MAX($I360,AE$3),MIN($J360,AE$2),Data!$K$4:$K$203)/$K360)))</f>
        <v>0</v>
      </c>
      <c r="AF360" s="166">
        <f>IF(OR($I360="",$E360=0),0,IF(OR($J360&lt;AF$3,$I360&gt;AF$2),0,IF($K360=0,IF(AND($I360&gt;=AF$3,$I360&lt;=AF$2),$E360,0),$E360*NETWORKDAYS(MAX($I360,AF$3),MIN($J360,AF$2),Data!$K$4:$K$203)/$K360)))</f>
        <v>0</v>
      </c>
      <c r="AG360" s="166">
        <f>IF(OR($I360="",$E360=0),0,IF(OR($J360&lt;AG$3,$I360&gt;AG$2),0,IF($K360=0,IF(AND($I360&gt;=AG$3,$I360&lt;=AG$2),$E360,0),$E360*NETWORKDAYS(MAX($I360,AG$3),MIN($J360,AG$2),Data!$K$4:$K$203)/$K360)))</f>
        <v>0</v>
      </c>
      <c r="AH360" s="166">
        <f>IF(OR($I360="",$E360=0),0,IF(OR($J360&lt;AH$3,$I360&gt;AH$2),0,IF($K360=0,IF(AND($I360&gt;=AH$3,$I360&lt;=AH$2),$E360,0),$E360*NETWORKDAYS(MAX($I360,AH$3),MIN($J360,AH$2),Data!$K$4:$K$203)/$K360)))</f>
        <v>0</v>
      </c>
      <c r="AI360" s="166">
        <f>SUM(W360:AH360)</f>
        <v>0</v>
      </c>
      <c r="BZ360" t="str">
        <f>IF(D360=1,IF(TRIM(INDEX(Charge!$K:$K,ROW()))&lt;&gt;"",TRIM(INDEX(Charge!$K:$K,ROW())),IF(TRIM(INDEX(Charge!$L:$L,ROW()))&lt;&gt;"",TRIM(INDEX(Charge!$L:$L,ROW())),"(non affecté)")),"")</f>
        <v/>
      </c>
      <c r="CA360" t="str">
        <f>IF(AND($CD$4&lt;&gt;"",BZ360=$CD$4),COUNTIFS($BZ$4:$BZ$503,$CD$4,$L$4:$L$503,"&lt;"&amp;L360)+1,"")</f>
        <v/>
      </c>
      <c r="EM360" t="str">
        <f>IF(D360=1,IF(TRIM(INDEX(Charge!$K:$K,ROW()))&lt;&gt;"","Interne",IF(TRIM(INDEX(Charge!$L:$L,ROW()))&lt;&gt;"","Externe","Non affecté")),"")</f>
        <v/>
      </c>
      <c r="EN360" t="str">
        <f>IF(D360=1,LEFT(SUBSTITUTE(SUBSTITUTE(SUBSTITUTE(TRIM(SUBSTITUTE(INDEX(Charge!$B:$B,ROW()),CHAR(160)," "))&amp;" | "&amp;TRIM(SUBSTITUTE(INDEX(Charge!$C:$C,ROW()),CHAR(160)," "))&amp;" | "&amp;TRIM(SUBSTITUTE(INDEX(Charge!$D:$D,ROW()),CHAR(160)," ")),"~","-"),"*","+"),"?","!"),240),"")</f>
        <v/>
      </c>
      <c r="EO360">
        <f>IF(EN360="",0,IF(COUNTIF($EN$4:EN360,EN360)=1,1,0))</f>
        <v>0</v>
      </c>
      <c r="EP360" s="166" t="str">
        <f>IF(EO360=1,ROUND(SUMIF($EN$4:$EN$503,EN360,$E$4:$E$503),2),"")</f>
        <v/>
      </c>
      <c r="EQ360" t="str">
        <f>IF(EO360=1,COUNTIFS($EO$4:$EO$503,1,$EP$4:$EP$503,"&gt;"&amp;EP360)+COUNTIFS($EO$4:EO360,1,$EP$4:EP360,EP360),"")</f>
        <v/>
      </c>
      <c r="ER360" t="str">
        <f>IF(EO360=1,COUNTIFS($EN$4:$EN$503,EN360,$EM$4:$EM$503,"Interne",$FE$4:$FE$503,1),"")</f>
        <v/>
      </c>
      <c r="ES360" t="str">
        <f>IF(EO360=1,COUNTIFS($EN$4:$EN$503,EN360,$EM$4:$EM$503,"Externe",$FE$4:$FE$503,1),"")</f>
        <v/>
      </c>
      <c r="ET360" t="str">
        <f>IF(EO360=1,IF(ER360+ES360=0,"à affecter",IF(ER360=0,ES360&amp;" ext.",(ER360+ES360)&amp;IF(ES360&gt;0," dont "&amp;ES360&amp;" ext.",""))&amp;IF(COUNTIFS($EN$4:$EN$503,EN360,$EM$4:$EM$503,"Non affecté")&gt;0," + à affecter","")),"")</f>
        <v/>
      </c>
      <c r="EU360" s="170" t="str">
        <f>IF(EO360=1,IF(EP360&gt;0,SUMPRODUCT(($EN$4:$EN$503=EN360)*$E$4:$E$503*$C$4:$C$503)/EP360,AVERAGEIF($EN$4:$EN$503,EN360,$C$4:$C$503)),"")</f>
        <v/>
      </c>
      <c r="EV360" s="165">
        <f>IF(ISNUMBER(I360),I360,2958465)</f>
        <v>2958465.0</v>
      </c>
      <c r="EW360" s="165" t="str">
        <f>IF(EO360=1,SUMPRODUCT(MIN(($EN$4:$EN$503=EN360)*$EV$4:$EV$503+($EN$4:$EN$503&lt;&gt;EN360)*2958465)),"")</f>
        <v/>
      </c>
      <c r="EX360" s="165">
        <f>IF(AND(D360=1,ISNUMBER(INDEX(Charge!$F:$F,ROW()))),INDEX(Charge!$F:$F,ROW()),0)</f>
        <v>0.0</v>
      </c>
      <c r="EY360" s="165" t="str">
        <f>IF(EO360=1,SUMPRODUCT(MAX(($EN$4:$EN$503=EN360)*$EX$4:$EX$503)),"")</f>
        <v/>
      </c>
      <c r="FA360" t="str">
        <f>IF(357&lt;=$CD$23,INDEX($EJ$4:$EJ$203,357),IF(357-$CD$23&lt;=$CD$26,INDEX($EK$4:$EK$203,357-$CD$23),""))</f>
        <v/>
      </c>
      <c r="FB360" t="str">
        <f>IF(FA360="","",IF(357&lt;=$CD$23,"Interne","Externe"))</f>
        <v/>
      </c>
      <c r="FD360">
        <f>IF(AND(B360=1,TRIM(INDEX(Charge!$K:$K,ROW()))&lt;&gt;"",TRIM(INDEX(Charge!$L:$L,ROW()))&lt;&gt;""),1,0)</f>
        <v>0</v>
      </c>
      <c r="FE360">
        <f>IF(OR(EN360="",BZ360="(non affecté)"),0,IF(COUNTIFS($EN$4:EN360,EN360,$BZ$4:BZ360,BZ360)=1,1,0))</f>
        <v>0</v>
      </c>
    </row>
    <row r="361">
      <c r="A361">
        <f>ROW()</f>
        <v>361</v>
      </c>
      <c r="B361">
        <f>IF(TRIM(INDEX(Charge!$B:$B,ROW()))&lt;&gt;"",1,0)</f>
        <v>0</v>
      </c>
      <c r="C361">
        <f>IF(B361=1,MIN(1,MAX(0,N(INDEX(Charge!$O:$O,ROW())))),0)</f>
        <v>0</v>
      </c>
      <c r="D361">
        <f>IF(B361=1,IF(OR(p_Perimetre="Tous les projets",C361&lt;1),1,0),0)</f>
        <v>0</v>
      </c>
      <c r="E361">
        <f>IF(D361=1,MAX(0,N(INDEX(Charge!$M:$M,ROW()))),0)</f>
        <v>0</v>
      </c>
      <c r="F361" t="str">
        <f>IF(D361=1,IF(TRIM(INDEX(Charge!$A:$A,ROW()))="","(non renseigné)",TRIM(INDEX(Charge!$A:$A,ROW()))),"")</f>
        <v/>
      </c>
      <c r="G361" t="str">
        <f>IF(D361=1,TRIM(INDEX(Charge!$B:$B,ROW())),"")</f>
        <v/>
      </c>
      <c r="H361" t="str">
        <f>IF(D361=1,IF(TRIM(INDEX(Charge!$E:$E,ROW()))="","(non renseigné)",TRIM(INDEX(Charge!$E:$E,ROW()))),"")</f>
        <v/>
      </c>
      <c r="I361" s="165" t="str">
        <f>IF(AND(D361=1,ISNUMBER(INDEX(Charge!$N:$N,ROW()))),INDEX(Charge!$N:$N,ROW()),"")</f>
        <v/>
      </c>
      <c r="J361" s="165" t="str">
        <f>IF(I361="","",IF(AND(p_Repartition="Lissée jusqu'à la date de besoin",ISNUMBER(INDEX(Charge!$F:$F,ROW()))),IF(INDEX(Charge!$F:$F,ROW())&gt;=I361,INDEX(Charge!$F:$F,ROW()),I361),I361))</f>
        <v/>
      </c>
      <c r="K361" t="str">
        <f>IF(I361="","",NETWORKDAYS(I361,J361,Data!$K$4:$K$203))</f>
        <v/>
      </c>
      <c r="L361" t="str">
        <f>IF(D361=1,COUNTIFS($D$4:$D$503,1,$E$4:$E$503,"&gt;"&amp;E361)+COUNTIFS($D$4:$D361,1,$E$4:$E361,E361),"")</f>
        <v/>
      </c>
      <c r="M361">
        <f>IF(F361="",0,IF(COUNTIF($F$4:F361,F361)=1,1,0))</f>
        <v>0</v>
      </c>
      <c r="N361" t="str">
        <f>IF(M361=1,ROUND(SUMIF($F$4:$F$503,F361,$E$4:$E$503),2),"")</f>
        <v/>
      </c>
      <c r="O361" t="str">
        <f>IF(M361=1,COUNTIFS($M$4:$M$503,1,$N$4:$N$503,"&gt;"&amp;N361)+COUNTIFS($M$4:M361,1,$N$4:N361,N361),"")</f>
        <v/>
      </c>
      <c r="P361">
        <f>IF(G361="",0,IF(COUNTIF($G$4:G361,G361)=1,1,0))</f>
        <v>0</v>
      </c>
      <c r="Q361" t="str">
        <f>IF(P361=1,ROUND(SUMIF($G$4:$G$503,G361,$E$4:$E$503),2),"")</f>
        <v/>
      </c>
      <c r="R361" t="str">
        <f>IF(P361=1,COUNTIFS($P$4:$P$503,1,$Q$4:$Q$503,"&gt;"&amp;Q361)+COUNTIFS($P$4:P361,1,$Q$4:Q361,Q361),"")</f>
        <v/>
      </c>
      <c r="S361">
        <f>IF(H361="",0,IF(COUNTIF($H$4:H361,H361)=1,1,0))</f>
        <v>0</v>
      </c>
      <c r="T361" t="str">
        <f>IF(S361=1,ROUND(SUMIF($H$4:$H$503,H361,$E$4:$E$503),2),"")</f>
        <v/>
      </c>
      <c r="U361" t="str">
        <f>IF(S361=1,COUNTIFS($S$4:$S$503,1,$T$4:$T$503,"&gt;"&amp;T361)+COUNTIFS($S$4:S361,1,$T$4:T361,T361),"")</f>
        <v/>
      </c>
      <c r="V361" t="str">
        <f>IF(D361=1,MIN(INDEX($R$4:$R$503,MATCH(G361,$G$4:$G$503,0)),IF($AL$7&gt;9,9,999)),"")</f>
        <v/>
      </c>
      <c r="W361" s="166">
        <f>IF(OR($I361="",$E361=0),0,IF(OR($J361&lt;W$3,$I361&gt;W$2),0,IF($K361=0,IF(AND($I361&gt;=W$3,$I361&lt;=W$2),$E361,0),$E361*NETWORKDAYS(MAX($I361,W$3),MIN($J361,W$2),Data!$K$4:$K$203)/$K361)))</f>
        <v>0</v>
      </c>
      <c r="X361" s="166">
        <f>IF(OR($I361="",$E361=0),0,IF(OR($J361&lt;X$3,$I361&gt;X$2),0,IF($K361=0,IF(AND($I361&gt;=X$3,$I361&lt;=X$2),$E361,0),$E361*NETWORKDAYS(MAX($I361,X$3),MIN($J361,X$2),Data!$K$4:$K$203)/$K361)))</f>
        <v>0</v>
      </c>
      <c r="Y361" s="166">
        <f>IF(OR($I361="",$E361=0),0,IF(OR($J361&lt;Y$3,$I361&gt;Y$2),0,IF($K361=0,IF(AND($I361&gt;=Y$3,$I361&lt;=Y$2),$E361,0),$E361*NETWORKDAYS(MAX($I361,Y$3),MIN($J361,Y$2),Data!$K$4:$K$203)/$K361)))</f>
        <v>0</v>
      </c>
      <c r="Z361" s="166">
        <f>IF(OR($I361="",$E361=0),0,IF(OR($J361&lt;Z$3,$I361&gt;Z$2),0,IF($K361=0,IF(AND($I361&gt;=Z$3,$I361&lt;=Z$2),$E361,0),$E361*NETWORKDAYS(MAX($I361,Z$3),MIN($J361,Z$2),Data!$K$4:$K$203)/$K361)))</f>
        <v>0</v>
      </c>
      <c r="AA361" s="166">
        <f>IF(OR($I361="",$E361=0),0,IF(OR($J361&lt;AA$3,$I361&gt;AA$2),0,IF($K361=0,IF(AND($I361&gt;=AA$3,$I361&lt;=AA$2),$E361,0),$E361*NETWORKDAYS(MAX($I361,AA$3),MIN($J361,AA$2),Data!$K$4:$K$203)/$K361)))</f>
        <v>0</v>
      </c>
      <c r="AB361" s="166">
        <f>IF(OR($I361="",$E361=0),0,IF(OR($J361&lt;AB$3,$I361&gt;AB$2),0,IF($K361=0,IF(AND($I361&gt;=AB$3,$I361&lt;=AB$2),$E361,0),$E361*NETWORKDAYS(MAX($I361,AB$3),MIN($J361,AB$2),Data!$K$4:$K$203)/$K361)))</f>
        <v>0</v>
      </c>
      <c r="AC361" s="166">
        <f>IF(OR($I361="",$E361=0),0,IF(OR($J361&lt;AC$3,$I361&gt;AC$2),0,IF($K361=0,IF(AND($I361&gt;=AC$3,$I361&lt;=AC$2),$E361,0),$E361*NETWORKDAYS(MAX($I361,AC$3),MIN($J361,AC$2),Data!$K$4:$K$203)/$K361)))</f>
        <v>0</v>
      </c>
      <c r="AD361" s="166">
        <f>IF(OR($I361="",$E361=0),0,IF(OR($J361&lt;AD$3,$I361&gt;AD$2),0,IF($K361=0,IF(AND($I361&gt;=AD$3,$I361&lt;=AD$2),$E361,0),$E361*NETWORKDAYS(MAX($I361,AD$3),MIN($J361,AD$2),Data!$K$4:$K$203)/$K361)))</f>
        <v>0</v>
      </c>
      <c r="AE361" s="166">
        <f>IF(OR($I361="",$E361=0),0,IF(OR($J361&lt;AE$3,$I361&gt;AE$2),0,IF($K361=0,IF(AND($I361&gt;=AE$3,$I361&lt;=AE$2),$E361,0),$E361*NETWORKDAYS(MAX($I361,AE$3),MIN($J361,AE$2),Data!$K$4:$K$203)/$K361)))</f>
        <v>0</v>
      </c>
      <c r="AF361" s="166">
        <f>IF(OR($I361="",$E361=0),0,IF(OR($J361&lt;AF$3,$I361&gt;AF$2),0,IF($K361=0,IF(AND($I361&gt;=AF$3,$I361&lt;=AF$2),$E361,0),$E361*NETWORKDAYS(MAX($I361,AF$3),MIN($J361,AF$2),Data!$K$4:$K$203)/$K361)))</f>
        <v>0</v>
      </c>
      <c r="AG361" s="166">
        <f>IF(OR($I361="",$E361=0),0,IF(OR($J361&lt;AG$3,$I361&gt;AG$2),0,IF($K361=0,IF(AND($I361&gt;=AG$3,$I361&lt;=AG$2),$E361,0),$E361*NETWORKDAYS(MAX($I361,AG$3),MIN($J361,AG$2),Data!$K$4:$K$203)/$K361)))</f>
        <v>0</v>
      </c>
      <c r="AH361" s="166">
        <f>IF(OR($I361="",$E361=0),0,IF(OR($J361&lt;AH$3,$I361&gt;AH$2),0,IF($K361=0,IF(AND($I361&gt;=AH$3,$I361&lt;=AH$2),$E361,0),$E361*NETWORKDAYS(MAX($I361,AH$3),MIN($J361,AH$2),Data!$K$4:$K$203)/$K361)))</f>
        <v>0</v>
      </c>
      <c r="AI361" s="166">
        <f>SUM(W361:AH361)</f>
        <v>0</v>
      </c>
      <c r="BZ361" t="str">
        <f>IF(D361=1,IF(TRIM(INDEX(Charge!$K:$K,ROW()))&lt;&gt;"",TRIM(INDEX(Charge!$K:$K,ROW())),IF(TRIM(INDEX(Charge!$L:$L,ROW()))&lt;&gt;"",TRIM(INDEX(Charge!$L:$L,ROW())),"(non affecté)")),"")</f>
        <v/>
      </c>
      <c r="CA361" t="str">
        <f>IF(AND($CD$4&lt;&gt;"",BZ361=$CD$4),COUNTIFS($BZ$4:$BZ$503,$CD$4,$L$4:$L$503,"&lt;"&amp;L361)+1,"")</f>
        <v/>
      </c>
      <c r="EM361" t="str">
        <f>IF(D361=1,IF(TRIM(INDEX(Charge!$K:$K,ROW()))&lt;&gt;"","Interne",IF(TRIM(INDEX(Charge!$L:$L,ROW()))&lt;&gt;"","Externe","Non affecté")),"")</f>
        <v/>
      </c>
      <c r="EN361" t="str">
        <f>IF(D361=1,LEFT(SUBSTITUTE(SUBSTITUTE(SUBSTITUTE(TRIM(SUBSTITUTE(INDEX(Charge!$B:$B,ROW()),CHAR(160)," "))&amp;" | "&amp;TRIM(SUBSTITUTE(INDEX(Charge!$C:$C,ROW()),CHAR(160)," "))&amp;" | "&amp;TRIM(SUBSTITUTE(INDEX(Charge!$D:$D,ROW()),CHAR(160)," ")),"~","-"),"*","+"),"?","!"),240),"")</f>
        <v/>
      </c>
      <c r="EO361">
        <f>IF(EN361="",0,IF(COUNTIF($EN$4:EN361,EN361)=1,1,0))</f>
        <v>0</v>
      </c>
      <c r="EP361" s="166" t="str">
        <f>IF(EO361=1,ROUND(SUMIF($EN$4:$EN$503,EN361,$E$4:$E$503),2),"")</f>
        <v/>
      </c>
      <c r="EQ361" t="str">
        <f>IF(EO361=1,COUNTIFS($EO$4:$EO$503,1,$EP$4:$EP$503,"&gt;"&amp;EP361)+COUNTIFS($EO$4:EO361,1,$EP$4:EP361,EP361),"")</f>
        <v/>
      </c>
      <c r="ER361" t="str">
        <f>IF(EO361=1,COUNTIFS($EN$4:$EN$503,EN361,$EM$4:$EM$503,"Interne",$FE$4:$FE$503,1),"")</f>
        <v/>
      </c>
      <c r="ES361" t="str">
        <f>IF(EO361=1,COUNTIFS($EN$4:$EN$503,EN361,$EM$4:$EM$503,"Externe",$FE$4:$FE$503,1),"")</f>
        <v/>
      </c>
      <c r="ET361" t="str">
        <f>IF(EO361=1,IF(ER361+ES361=0,"à affecter",IF(ER361=0,ES361&amp;" ext.",(ER361+ES361)&amp;IF(ES361&gt;0," dont "&amp;ES361&amp;" ext.",""))&amp;IF(COUNTIFS($EN$4:$EN$503,EN361,$EM$4:$EM$503,"Non affecté")&gt;0," + à affecter","")),"")</f>
        <v/>
      </c>
      <c r="EU361" s="170" t="str">
        <f>IF(EO361=1,IF(EP361&gt;0,SUMPRODUCT(($EN$4:$EN$503=EN361)*$E$4:$E$503*$C$4:$C$503)/EP361,AVERAGEIF($EN$4:$EN$503,EN361,$C$4:$C$503)),"")</f>
        <v/>
      </c>
      <c r="EV361" s="165">
        <f>IF(ISNUMBER(I361),I361,2958465)</f>
        <v>2958465.0</v>
      </c>
      <c r="EW361" s="165" t="str">
        <f>IF(EO361=1,SUMPRODUCT(MIN(($EN$4:$EN$503=EN361)*$EV$4:$EV$503+($EN$4:$EN$503&lt;&gt;EN361)*2958465)),"")</f>
        <v/>
      </c>
      <c r="EX361" s="165">
        <f>IF(AND(D361=1,ISNUMBER(INDEX(Charge!$F:$F,ROW()))),INDEX(Charge!$F:$F,ROW()),0)</f>
        <v>0.0</v>
      </c>
      <c r="EY361" s="165" t="str">
        <f>IF(EO361=1,SUMPRODUCT(MAX(($EN$4:$EN$503=EN361)*$EX$4:$EX$503)),"")</f>
        <v/>
      </c>
      <c r="FA361" t="str">
        <f>IF(358&lt;=$CD$23,INDEX($EJ$4:$EJ$203,358),IF(358-$CD$23&lt;=$CD$26,INDEX($EK$4:$EK$203,358-$CD$23),""))</f>
        <v/>
      </c>
      <c r="FB361" t="str">
        <f>IF(FA361="","",IF(358&lt;=$CD$23,"Interne","Externe"))</f>
        <v/>
      </c>
      <c r="FD361">
        <f>IF(AND(B361=1,TRIM(INDEX(Charge!$K:$K,ROW()))&lt;&gt;"",TRIM(INDEX(Charge!$L:$L,ROW()))&lt;&gt;""),1,0)</f>
        <v>0</v>
      </c>
      <c r="FE361">
        <f>IF(OR(EN361="",BZ361="(non affecté)"),0,IF(COUNTIFS($EN$4:EN361,EN361,$BZ$4:BZ361,BZ361)=1,1,0))</f>
        <v>0</v>
      </c>
    </row>
    <row r="362">
      <c r="A362">
        <f>ROW()</f>
        <v>362</v>
      </c>
      <c r="B362">
        <f>IF(TRIM(INDEX(Charge!$B:$B,ROW()))&lt;&gt;"",1,0)</f>
        <v>0</v>
      </c>
      <c r="C362">
        <f>IF(B362=1,MIN(1,MAX(0,N(INDEX(Charge!$O:$O,ROW())))),0)</f>
        <v>0</v>
      </c>
      <c r="D362">
        <f>IF(B362=1,IF(OR(p_Perimetre="Tous les projets",C362&lt;1),1,0),0)</f>
        <v>0</v>
      </c>
      <c r="E362">
        <f>IF(D362=1,MAX(0,N(INDEX(Charge!$M:$M,ROW()))),0)</f>
        <v>0</v>
      </c>
      <c r="F362" t="str">
        <f>IF(D362=1,IF(TRIM(INDEX(Charge!$A:$A,ROW()))="","(non renseigné)",TRIM(INDEX(Charge!$A:$A,ROW()))),"")</f>
        <v/>
      </c>
      <c r="G362" t="str">
        <f>IF(D362=1,TRIM(INDEX(Charge!$B:$B,ROW())),"")</f>
        <v/>
      </c>
      <c r="H362" t="str">
        <f>IF(D362=1,IF(TRIM(INDEX(Charge!$E:$E,ROW()))="","(non renseigné)",TRIM(INDEX(Charge!$E:$E,ROW()))),"")</f>
        <v/>
      </c>
      <c r="I362" s="165" t="str">
        <f>IF(AND(D362=1,ISNUMBER(INDEX(Charge!$N:$N,ROW()))),INDEX(Charge!$N:$N,ROW()),"")</f>
        <v/>
      </c>
      <c r="J362" s="165" t="str">
        <f>IF(I362="","",IF(AND(p_Repartition="Lissée jusqu'à la date de besoin",ISNUMBER(INDEX(Charge!$F:$F,ROW()))),IF(INDEX(Charge!$F:$F,ROW())&gt;=I362,INDEX(Charge!$F:$F,ROW()),I362),I362))</f>
        <v/>
      </c>
      <c r="K362" t="str">
        <f>IF(I362="","",NETWORKDAYS(I362,J362,Data!$K$4:$K$203))</f>
        <v/>
      </c>
      <c r="L362" t="str">
        <f>IF(D362=1,COUNTIFS($D$4:$D$503,1,$E$4:$E$503,"&gt;"&amp;E362)+COUNTIFS($D$4:$D362,1,$E$4:$E362,E362),"")</f>
        <v/>
      </c>
      <c r="M362">
        <f>IF(F362="",0,IF(COUNTIF($F$4:F362,F362)=1,1,0))</f>
        <v>0</v>
      </c>
      <c r="N362" t="str">
        <f>IF(M362=1,ROUND(SUMIF($F$4:$F$503,F362,$E$4:$E$503),2),"")</f>
        <v/>
      </c>
      <c r="O362" t="str">
        <f>IF(M362=1,COUNTIFS($M$4:$M$503,1,$N$4:$N$503,"&gt;"&amp;N362)+COUNTIFS($M$4:M362,1,$N$4:N362,N362),"")</f>
        <v/>
      </c>
      <c r="P362">
        <f>IF(G362="",0,IF(COUNTIF($G$4:G362,G362)=1,1,0))</f>
        <v>0</v>
      </c>
      <c r="Q362" t="str">
        <f>IF(P362=1,ROUND(SUMIF($G$4:$G$503,G362,$E$4:$E$503),2),"")</f>
        <v/>
      </c>
      <c r="R362" t="str">
        <f>IF(P362=1,COUNTIFS($P$4:$P$503,1,$Q$4:$Q$503,"&gt;"&amp;Q362)+COUNTIFS($P$4:P362,1,$Q$4:Q362,Q362),"")</f>
        <v/>
      </c>
      <c r="S362">
        <f>IF(H362="",0,IF(COUNTIF($H$4:H362,H362)=1,1,0))</f>
        <v>0</v>
      </c>
      <c r="T362" t="str">
        <f>IF(S362=1,ROUND(SUMIF($H$4:$H$503,H362,$E$4:$E$503),2),"")</f>
        <v/>
      </c>
      <c r="U362" t="str">
        <f>IF(S362=1,COUNTIFS($S$4:$S$503,1,$T$4:$T$503,"&gt;"&amp;T362)+COUNTIFS($S$4:S362,1,$T$4:T362,T362),"")</f>
        <v/>
      </c>
      <c r="V362" t="str">
        <f>IF(D362=1,MIN(INDEX($R$4:$R$503,MATCH(G362,$G$4:$G$503,0)),IF($AL$7&gt;9,9,999)),"")</f>
        <v/>
      </c>
      <c r="W362" s="166">
        <f>IF(OR($I362="",$E362=0),0,IF(OR($J362&lt;W$3,$I362&gt;W$2),0,IF($K362=0,IF(AND($I362&gt;=W$3,$I362&lt;=W$2),$E362,0),$E362*NETWORKDAYS(MAX($I362,W$3),MIN($J362,W$2),Data!$K$4:$K$203)/$K362)))</f>
        <v>0</v>
      </c>
      <c r="X362" s="166">
        <f>IF(OR($I362="",$E362=0),0,IF(OR($J362&lt;X$3,$I362&gt;X$2),0,IF($K362=0,IF(AND($I362&gt;=X$3,$I362&lt;=X$2),$E362,0),$E362*NETWORKDAYS(MAX($I362,X$3),MIN($J362,X$2),Data!$K$4:$K$203)/$K362)))</f>
        <v>0</v>
      </c>
      <c r="Y362" s="166">
        <f>IF(OR($I362="",$E362=0),0,IF(OR($J362&lt;Y$3,$I362&gt;Y$2),0,IF($K362=0,IF(AND($I362&gt;=Y$3,$I362&lt;=Y$2),$E362,0),$E362*NETWORKDAYS(MAX($I362,Y$3),MIN($J362,Y$2),Data!$K$4:$K$203)/$K362)))</f>
        <v>0</v>
      </c>
      <c r="Z362" s="166">
        <f>IF(OR($I362="",$E362=0),0,IF(OR($J362&lt;Z$3,$I362&gt;Z$2),0,IF($K362=0,IF(AND($I362&gt;=Z$3,$I362&lt;=Z$2),$E362,0),$E362*NETWORKDAYS(MAX($I362,Z$3),MIN($J362,Z$2),Data!$K$4:$K$203)/$K362)))</f>
        <v>0</v>
      </c>
      <c r="AA362" s="166">
        <f>IF(OR($I362="",$E362=0),0,IF(OR($J362&lt;AA$3,$I362&gt;AA$2),0,IF($K362=0,IF(AND($I362&gt;=AA$3,$I362&lt;=AA$2),$E362,0),$E362*NETWORKDAYS(MAX($I362,AA$3),MIN($J362,AA$2),Data!$K$4:$K$203)/$K362)))</f>
        <v>0</v>
      </c>
      <c r="AB362" s="166">
        <f>IF(OR($I362="",$E362=0),0,IF(OR($J362&lt;AB$3,$I362&gt;AB$2),0,IF($K362=0,IF(AND($I362&gt;=AB$3,$I362&lt;=AB$2),$E362,0),$E362*NETWORKDAYS(MAX($I362,AB$3),MIN($J362,AB$2),Data!$K$4:$K$203)/$K362)))</f>
        <v>0</v>
      </c>
      <c r="AC362" s="166">
        <f>IF(OR($I362="",$E362=0),0,IF(OR($J362&lt;AC$3,$I362&gt;AC$2),0,IF($K362=0,IF(AND($I362&gt;=AC$3,$I362&lt;=AC$2),$E362,0),$E362*NETWORKDAYS(MAX($I362,AC$3),MIN($J362,AC$2),Data!$K$4:$K$203)/$K362)))</f>
        <v>0</v>
      </c>
      <c r="AD362" s="166">
        <f>IF(OR($I362="",$E362=0),0,IF(OR($J362&lt;AD$3,$I362&gt;AD$2),0,IF($K362=0,IF(AND($I362&gt;=AD$3,$I362&lt;=AD$2),$E362,0),$E362*NETWORKDAYS(MAX($I362,AD$3),MIN($J362,AD$2),Data!$K$4:$K$203)/$K362)))</f>
        <v>0</v>
      </c>
      <c r="AE362" s="166">
        <f>IF(OR($I362="",$E362=0),0,IF(OR($J362&lt;AE$3,$I362&gt;AE$2),0,IF($K362=0,IF(AND($I362&gt;=AE$3,$I362&lt;=AE$2),$E362,0),$E362*NETWORKDAYS(MAX($I362,AE$3),MIN($J362,AE$2),Data!$K$4:$K$203)/$K362)))</f>
        <v>0</v>
      </c>
      <c r="AF362" s="166">
        <f>IF(OR($I362="",$E362=0),0,IF(OR($J362&lt;AF$3,$I362&gt;AF$2),0,IF($K362=0,IF(AND($I362&gt;=AF$3,$I362&lt;=AF$2),$E362,0),$E362*NETWORKDAYS(MAX($I362,AF$3),MIN($J362,AF$2),Data!$K$4:$K$203)/$K362)))</f>
        <v>0</v>
      </c>
      <c r="AG362" s="166">
        <f>IF(OR($I362="",$E362=0),0,IF(OR($J362&lt;AG$3,$I362&gt;AG$2),0,IF($K362=0,IF(AND($I362&gt;=AG$3,$I362&lt;=AG$2),$E362,0),$E362*NETWORKDAYS(MAX($I362,AG$3),MIN($J362,AG$2),Data!$K$4:$K$203)/$K362)))</f>
        <v>0</v>
      </c>
      <c r="AH362" s="166">
        <f>IF(OR($I362="",$E362=0),0,IF(OR($J362&lt;AH$3,$I362&gt;AH$2),0,IF($K362=0,IF(AND($I362&gt;=AH$3,$I362&lt;=AH$2),$E362,0),$E362*NETWORKDAYS(MAX($I362,AH$3),MIN($J362,AH$2),Data!$K$4:$K$203)/$K362)))</f>
        <v>0</v>
      </c>
      <c r="AI362" s="166">
        <f>SUM(W362:AH362)</f>
        <v>0</v>
      </c>
      <c r="BZ362" t="str">
        <f>IF(D362=1,IF(TRIM(INDEX(Charge!$K:$K,ROW()))&lt;&gt;"",TRIM(INDEX(Charge!$K:$K,ROW())),IF(TRIM(INDEX(Charge!$L:$L,ROW()))&lt;&gt;"",TRIM(INDEX(Charge!$L:$L,ROW())),"(non affecté)")),"")</f>
        <v/>
      </c>
      <c r="CA362" t="str">
        <f>IF(AND($CD$4&lt;&gt;"",BZ362=$CD$4),COUNTIFS($BZ$4:$BZ$503,$CD$4,$L$4:$L$503,"&lt;"&amp;L362)+1,"")</f>
        <v/>
      </c>
      <c r="EM362" t="str">
        <f>IF(D362=1,IF(TRIM(INDEX(Charge!$K:$K,ROW()))&lt;&gt;"","Interne",IF(TRIM(INDEX(Charge!$L:$L,ROW()))&lt;&gt;"","Externe","Non affecté")),"")</f>
        <v/>
      </c>
      <c r="EN362" t="str">
        <f>IF(D362=1,LEFT(SUBSTITUTE(SUBSTITUTE(SUBSTITUTE(TRIM(SUBSTITUTE(INDEX(Charge!$B:$B,ROW()),CHAR(160)," "))&amp;" | "&amp;TRIM(SUBSTITUTE(INDEX(Charge!$C:$C,ROW()),CHAR(160)," "))&amp;" | "&amp;TRIM(SUBSTITUTE(INDEX(Charge!$D:$D,ROW()),CHAR(160)," ")),"~","-"),"*","+"),"?","!"),240),"")</f>
        <v/>
      </c>
      <c r="EO362">
        <f>IF(EN362="",0,IF(COUNTIF($EN$4:EN362,EN362)=1,1,0))</f>
        <v>0</v>
      </c>
      <c r="EP362" s="166" t="str">
        <f>IF(EO362=1,ROUND(SUMIF($EN$4:$EN$503,EN362,$E$4:$E$503),2),"")</f>
        <v/>
      </c>
      <c r="EQ362" t="str">
        <f>IF(EO362=1,COUNTIFS($EO$4:$EO$503,1,$EP$4:$EP$503,"&gt;"&amp;EP362)+COUNTIFS($EO$4:EO362,1,$EP$4:EP362,EP362),"")</f>
        <v/>
      </c>
      <c r="ER362" t="str">
        <f>IF(EO362=1,COUNTIFS($EN$4:$EN$503,EN362,$EM$4:$EM$503,"Interne",$FE$4:$FE$503,1),"")</f>
        <v/>
      </c>
      <c r="ES362" t="str">
        <f>IF(EO362=1,COUNTIFS($EN$4:$EN$503,EN362,$EM$4:$EM$503,"Externe",$FE$4:$FE$503,1),"")</f>
        <v/>
      </c>
      <c r="ET362" t="str">
        <f>IF(EO362=1,IF(ER362+ES362=0,"à affecter",IF(ER362=0,ES362&amp;" ext.",(ER362+ES362)&amp;IF(ES362&gt;0," dont "&amp;ES362&amp;" ext.",""))&amp;IF(COUNTIFS($EN$4:$EN$503,EN362,$EM$4:$EM$503,"Non affecté")&gt;0," + à affecter","")),"")</f>
        <v/>
      </c>
      <c r="EU362" s="170" t="str">
        <f>IF(EO362=1,IF(EP362&gt;0,SUMPRODUCT(($EN$4:$EN$503=EN362)*$E$4:$E$503*$C$4:$C$503)/EP362,AVERAGEIF($EN$4:$EN$503,EN362,$C$4:$C$503)),"")</f>
        <v/>
      </c>
      <c r="EV362" s="165">
        <f>IF(ISNUMBER(I362),I362,2958465)</f>
        <v>2958465.0</v>
      </c>
      <c r="EW362" s="165" t="str">
        <f>IF(EO362=1,SUMPRODUCT(MIN(($EN$4:$EN$503=EN362)*$EV$4:$EV$503+($EN$4:$EN$503&lt;&gt;EN362)*2958465)),"")</f>
        <v/>
      </c>
      <c r="EX362" s="165">
        <f>IF(AND(D362=1,ISNUMBER(INDEX(Charge!$F:$F,ROW()))),INDEX(Charge!$F:$F,ROW()),0)</f>
        <v>0.0</v>
      </c>
      <c r="EY362" s="165" t="str">
        <f>IF(EO362=1,SUMPRODUCT(MAX(($EN$4:$EN$503=EN362)*$EX$4:$EX$503)),"")</f>
        <v/>
      </c>
      <c r="FA362" t="str">
        <f>IF(359&lt;=$CD$23,INDEX($EJ$4:$EJ$203,359),IF(359-$CD$23&lt;=$CD$26,INDEX($EK$4:$EK$203,359-$CD$23),""))</f>
        <v/>
      </c>
      <c r="FB362" t="str">
        <f>IF(FA362="","",IF(359&lt;=$CD$23,"Interne","Externe"))</f>
        <v/>
      </c>
      <c r="FD362">
        <f>IF(AND(B362=1,TRIM(INDEX(Charge!$K:$K,ROW()))&lt;&gt;"",TRIM(INDEX(Charge!$L:$L,ROW()))&lt;&gt;""),1,0)</f>
        <v>0</v>
      </c>
      <c r="FE362">
        <f>IF(OR(EN362="",BZ362="(non affecté)"),0,IF(COUNTIFS($EN$4:EN362,EN362,$BZ$4:BZ362,BZ362)=1,1,0))</f>
        <v>0</v>
      </c>
    </row>
    <row r="363">
      <c r="A363">
        <f>ROW()</f>
        <v>363</v>
      </c>
      <c r="B363">
        <f>IF(TRIM(INDEX(Charge!$B:$B,ROW()))&lt;&gt;"",1,0)</f>
        <v>0</v>
      </c>
      <c r="C363">
        <f>IF(B363=1,MIN(1,MAX(0,N(INDEX(Charge!$O:$O,ROW())))),0)</f>
        <v>0</v>
      </c>
      <c r="D363">
        <f>IF(B363=1,IF(OR(p_Perimetre="Tous les projets",C363&lt;1),1,0),0)</f>
        <v>0</v>
      </c>
      <c r="E363">
        <f>IF(D363=1,MAX(0,N(INDEX(Charge!$M:$M,ROW()))),0)</f>
        <v>0</v>
      </c>
      <c r="F363" t="str">
        <f>IF(D363=1,IF(TRIM(INDEX(Charge!$A:$A,ROW()))="","(non renseigné)",TRIM(INDEX(Charge!$A:$A,ROW()))),"")</f>
        <v/>
      </c>
      <c r="G363" t="str">
        <f>IF(D363=1,TRIM(INDEX(Charge!$B:$B,ROW())),"")</f>
        <v/>
      </c>
      <c r="H363" t="str">
        <f>IF(D363=1,IF(TRIM(INDEX(Charge!$E:$E,ROW()))="","(non renseigné)",TRIM(INDEX(Charge!$E:$E,ROW()))),"")</f>
        <v/>
      </c>
      <c r="I363" s="165" t="str">
        <f>IF(AND(D363=1,ISNUMBER(INDEX(Charge!$N:$N,ROW()))),INDEX(Charge!$N:$N,ROW()),"")</f>
        <v/>
      </c>
      <c r="J363" s="165" t="str">
        <f>IF(I363="","",IF(AND(p_Repartition="Lissée jusqu'à la date de besoin",ISNUMBER(INDEX(Charge!$F:$F,ROW()))),IF(INDEX(Charge!$F:$F,ROW())&gt;=I363,INDEX(Charge!$F:$F,ROW()),I363),I363))</f>
        <v/>
      </c>
      <c r="K363" t="str">
        <f>IF(I363="","",NETWORKDAYS(I363,J363,Data!$K$4:$K$203))</f>
        <v/>
      </c>
      <c r="L363" t="str">
        <f>IF(D363=1,COUNTIFS($D$4:$D$503,1,$E$4:$E$503,"&gt;"&amp;E363)+COUNTIFS($D$4:$D363,1,$E$4:$E363,E363),"")</f>
        <v/>
      </c>
      <c r="M363">
        <f>IF(F363="",0,IF(COUNTIF($F$4:F363,F363)=1,1,0))</f>
        <v>0</v>
      </c>
      <c r="N363" t="str">
        <f>IF(M363=1,ROUND(SUMIF($F$4:$F$503,F363,$E$4:$E$503),2),"")</f>
        <v/>
      </c>
      <c r="O363" t="str">
        <f>IF(M363=1,COUNTIFS($M$4:$M$503,1,$N$4:$N$503,"&gt;"&amp;N363)+COUNTIFS($M$4:M363,1,$N$4:N363,N363),"")</f>
        <v/>
      </c>
      <c r="P363">
        <f>IF(G363="",0,IF(COUNTIF($G$4:G363,G363)=1,1,0))</f>
        <v>0</v>
      </c>
      <c r="Q363" t="str">
        <f>IF(P363=1,ROUND(SUMIF($G$4:$G$503,G363,$E$4:$E$503),2),"")</f>
        <v/>
      </c>
      <c r="R363" t="str">
        <f>IF(P363=1,COUNTIFS($P$4:$P$503,1,$Q$4:$Q$503,"&gt;"&amp;Q363)+COUNTIFS($P$4:P363,1,$Q$4:Q363,Q363),"")</f>
        <v/>
      </c>
      <c r="S363">
        <f>IF(H363="",0,IF(COUNTIF($H$4:H363,H363)=1,1,0))</f>
        <v>0</v>
      </c>
      <c r="T363" t="str">
        <f>IF(S363=1,ROUND(SUMIF($H$4:$H$503,H363,$E$4:$E$503),2),"")</f>
        <v/>
      </c>
      <c r="U363" t="str">
        <f>IF(S363=1,COUNTIFS($S$4:$S$503,1,$T$4:$T$503,"&gt;"&amp;T363)+COUNTIFS($S$4:S363,1,$T$4:T363,T363),"")</f>
        <v/>
      </c>
      <c r="V363" t="str">
        <f>IF(D363=1,MIN(INDEX($R$4:$R$503,MATCH(G363,$G$4:$G$503,0)),IF($AL$7&gt;9,9,999)),"")</f>
        <v/>
      </c>
      <c r="W363" s="166">
        <f>IF(OR($I363="",$E363=0),0,IF(OR($J363&lt;W$3,$I363&gt;W$2),0,IF($K363=0,IF(AND($I363&gt;=W$3,$I363&lt;=W$2),$E363,0),$E363*NETWORKDAYS(MAX($I363,W$3),MIN($J363,W$2),Data!$K$4:$K$203)/$K363)))</f>
        <v>0</v>
      </c>
      <c r="X363" s="166">
        <f>IF(OR($I363="",$E363=0),0,IF(OR($J363&lt;X$3,$I363&gt;X$2),0,IF($K363=0,IF(AND($I363&gt;=X$3,$I363&lt;=X$2),$E363,0),$E363*NETWORKDAYS(MAX($I363,X$3),MIN($J363,X$2),Data!$K$4:$K$203)/$K363)))</f>
        <v>0</v>
      </c>
      <c r="Y363" s="166">
        <f>IF(OR($I363="",$E363=0),0,IF(OR($J363&lt;Y$3,$I363&gt;Y$2),0,IF($K363=0,IF(AND($I363&gt;=Y$3,$I363&lt;=Y$2),$E363,0),$E363*NETWORKDAYS(MAX($I363,Y$3),MIN($J363,Y$2),Data!$K$4:$K$203)/$K363)))</f>
        <v>0</v>
      </c>
      <c r="Z363" s="166">
        <f>IF(OR($I363="",$E363=0),0,IF(OR($J363&lt;Z$3,$I363&gt;Z$2),0,IF($K363=0,IF(AND($I363&gt;=Z$3,$I363&lt;=Z$2),$E363,0),$E363*NETWORKDAYS(MAX($I363,Z$3),MIN($J363,Z$2),Data!$K$4:$K$203)/$K363)))</f>
        <v>0</v>
      </c>
      <c r="AA363" s="166">
        <f>IF(OR($I363="",$E363=0),0,IF(OR($J363&lt;AA$3,$I363&gt;AA$2),0,IF($K363=0,IF(AND($I363&gt;=AA$3,$I363&lt;=AA$2),$E363,0),$E363*NETWORKDAYS(MAX($I363,AA$3),MIN($J363,AA$2),Data!$K$4:$K$203)/$K363)))</f>
        <v>0</v>
      </c>
      <c r="AB363" s="166">
        <f>IF(OR($I363="",$E363=0),0,IF(OR($J363&lt;AB$3,$I363&gt;AB$2),0,IF($K363=0,IF(AND($I363&gt;=AB$3,$I363&lt;=AB$2),$E363,0),$E363*NETWORKDAYS(MAX($I363,AB$3),MIN($J363,AB$2),Data!$K$4:$K$203)/$K363)))</f>
        <v>0</v>
      </c>
      <c r="AC363" s="166">
        <f>IF(OR($I363="",$E363=0),0,IF(OR($J363&lt;AC$3,$I363&gt;AC$2),0,IF($K363=0,IF(AND($I363&gt;=AC$3,$I363&lt;=AC$2),$E363,0),$E363*NETWORKDAYS(MAX($I363,AC$3),MIN($J363,AC$2),Data!$K$4:$K$203)/$K363)))</f>
        <v>0</v>
      </c>
      <c r="AD363" s="166">
        <f>IF(OR($I363="",$E363=0),0,IF(OR($J363&lt;AD$3,$I363&gt;AD$2),0,IF($K363=0,IF(AND($I363&gt;=AD$3,$I363&lt;=AD$2),$E363,0),$E363*NETWORKDAYS(MAX($I363,AD$3),MIN($J363,AD$2),Data!$K$4:$K$203)/$K363)))</f>
        <v>0</v>
      </c>
      <c r="AE363" s="166">
        <f>IF(OR($I363="",$E363=0),0,IF(OR($J363&lt;AE$3,$I363&gt;AE$2),0,IF($K363=0,IF(AND($I363&gt;=AE$3,$I363&lt;=AE$2),$E363,0),$E363*NETWORKDAYS(MAX($I363,AE$3),MIN($J363,AE$2),Data!$K$4:$K$203)/$K363)))</f>
        <v>0</v>
      </c>
      <c r="AF363" s="166">
        <f>IF(OR($I363="",$E363=0),0,IF(OR($J363&lt;AF$3,$I363&gt;AF$2),0,IF($K363=0,IF(AND($I363&gt;=AF$3,$I363&lt;=AF$2),$E363,0),$E363*NETWORKDAYS(MAX($I363,AF$3),MIN($J363,AF$2),Data!$K$4:$K$203)/$K363)))</f>
        <v>0</v>
      </c>
      <c r="AG363" s="166">
        <f>IF(OR($I363="",$E363=0),0,IF(OR($J363&lt;AG$3,$I363&gt;AG$2),0,IF($K363=0,IF(AND($I363&gt;=AG$3,$I363&lt;=AG$2),$E363,0),$E363*NETWORKDAYS(MAX($I363,AG$3),MIN($J363,AG$2),Data!$K$4:$K$203)/$K363)))</f>
        <v>0</v>
      </c>
      <c r="AH363" s="166">
        <f>IF(OR($I363="",$E363=0),0,IF(OR($J363&lt;AH$3,$I363&gt;AH$2),0,IF($K363=0,IF(AND($I363&gt;=AH$3,$I363&lt;=AH$2),$E363,0),$E363*NETWORKDAYS(MAX($I363,AH$3),MIN($J363,AH$2),Data!$K$4:$K$203)/$K363)))</f>
        <v>0</v>
      </c>
      <c r="AI363" s="166">
        <f>SUM(W363:AH363)</f>
        <v>0</v>
      </c>
      <c r="BZ363" t="str">
        <f>IF(D363=1,IF(TRIM(INDEX(Charge!$K:$K,ROW()))&lt;&gt;"",TRIM(INDEX(Charge!$K:$K,ROW())),IF(TRIM(INDEX(Charge!$L:$L,ROW()))&lt;&gt;"",TRIM(INDEX(Charge!$L:$L,ROW())),"(non affecté)")),"")</f>
        <v/>
      </c>
      <c r="CA363" t="str">
        <f>IF(AND($CD$4&lt;&gt;"",BZ363=$CD$4),COUNTIFS($BZ$4:$BZ$503,$CD$4,$L$4:$L$503,"&lt;"&amp;L363)+1,"")</f>
        <v/>
      </c>
      <c r="EM363" t="str">
        <f>IF(D363=1,IF(TRIM(INDEX(Charge!$K:$K,ROW()))&lt;&gt;"","Interne",IF(TRIM(INDEX(Charge!$L:$L,ROW()))&lt;&gt;"","Externe","Non affecté")),"")</f>
        <v/>
      </c>
      <c r="EN363" t="str">
        <f>IF(D363=1,LEFT(SUBSTITUTE(SUBSTITUTE(SUBSTITUTE(TRIM(SUBSTITUTE(INDEX(Charge!$B:$B,ROW()),CHAR(160)," "))&amp;" | "&amp;TRIM(SUBSTITUTE(INDEX(Charge!$C:$C,ROW()),CHAR(160)," "))&amp;" | "&amp;TRIM(SUBSTITUTE(INDEX(Charge!$D:$D,ROW()),CHAR(160)," ")),"~","-"),"*","+"),"?","!"),240),"")</f>
        <v/>
      </c>
      <c r="EO363">
        <f>IF(EN363="",0,IF(COUNTIF($EN$4:EN363,EN363)=1,1,0))</f>
        <v>0</v>
      </c>
      <c r="EP363" s="166" t="str">
        <f>IF(EO363=1,ROUND(SUMIF($EN$4:$EN$503,EN363,$E$4:$E$503),2),"")</f>
        <v/>
      </c>
      <c r="EQ363" t="str">
        <f>IF(EO363=1,COUNTIFS($EO$4:$EO$503,1,$EP$4:$EP$503,"&gt;"&amp;EP363)+COUNTIFS($EO$4:EO363,1,$EP$4:EP363,EP363),"")</f>
        <v/>
      </c>
      <c r="ER363" t="str">
        <f>IF(EO363=1,COUNTIFS($EN$4:$EN$503,EN363,$EM$4:$EM$503,"Interne",$FE$4:$FE$503,1),"")</f>
        <v/>
      </c>
      <c r="ES363" t="str">
        <f>IF(EO363=1,COUNTIFS($EN$4:$EN$503,EN363,$EM$4:$EM$503,"Externe",$FE$4:$FE$503,1),"")</f>
        <v/>
      </c>
      <c r="ET363" t="str">
        <f>IF(EO363=1,IF(ER363+ES363=0,"à affecter",IF(ER363=0,ES363&amp;" ext.",(ER363+ES363)&amp;IF(ES363&gt;0," dont "&amp;ES363&amp;" ext.",""))&amp;IF(COUNTIFS($EN$4:$EN$503,EN363,$EM$4:$EM$503,"Non affecté")&gt;0," + à affecter","")),"")</f>
        <v/>
      </c>
      <c r="EU363" s="170" t="str">
        <f>IF(EO363=1,IF(EP363&gt;0,SUMPRODUCT(($EN$4:$EN$503=EN363)*$E$4:$E$503*$C$4:$C$503)/EP363,AVERAGEIF($EN$4:$EN$503,EN363,$C$4:$C$503)),"")</f>
        <v/>
      </c>
      <c r="EV363" s="165">
        <f>IF(ISNUMBER(I363),I363,2958465)</f>
        <v>2958465.0</v>
      </c>
      <c r="EW363" s="165" t="str">
        <f>IF(EO363=1,SUMPRODUCT(MIN(($EN$4:$EN$503=EN363)*$EV$4:$EV$503+($EN$4:$EN$503&lt;&gt;EN363)*2958465)),"")</f>
        <v/>
      </c>
      <c r="EX363" s="165">
        <f>IF(AND(D363=1,ISNUMBER(INDEX(Charge!$F:$F,ROW()))),INDEX(Charge!$F:$F,ROW()),0)</f>
        <v>0.0</v>
      </c>
      <c r="EY363" s="165" t="str">
        <f>IF(EO363=1,SUMPRODUCT(MAX(($EN$4:$EN$503=EN363)*$EX$4:$EX$503)),"")</f>
        <v/>
      </c>
      <c r="FA363" t="str">
        <f>IF(360&lt;=$CD$23,INDEX($EJ$4:$EJ$203,360),IF(360-$CD$23&lt;=$CD$26,INDEX($EK$4:$EK$203,360-$CD$23),""))</f>
        <v/>
      </c>
      <c r="FB363" t="str">
        <f>IF(FA363="","",IF(360&lt;=$CD$23,"Interne","Externe"))</f>
        <v/>
      </c>
      <c r="FD363">
        <f>IF(AND(B363=1,TRIM(INDEX(Charge!$K:$K,ROW()))&lt;&gt;"",TRIM(INDEX(Charge!$L:$L,ROW()))&lt;&gt;""),1,0)</f>
        <v>0</v>
      </c>
      <c r="FE363">
        <f>IF(OR(EN363="",BZ363="(non affecté)"),0,IF(COUNTIFS($EN$4:EN363,EN363,$BZ$4:BZ363,BZ363)=1,1,0))</f>
        <v>0</v>
      </c>
    </row>
    <row r="364">
      <c r="A364">
        <f>ROW()</f>
        <v>364</v>
      </c>
      <c r="B364">
        <f>IF(TRIM(INDEX(Charge!$B:$B,ROW()))&lt;&gt;"",1,0)</f>
        <v>0</v>
      </c>
      <c r="C364">
        <f>IF(B364=1,MIN(1,MAX(0,N(INDEX(Charge!$O:$O,ROW())))),0)</f>
        <v>0</v>
      </c>
      <c r="D364">
        <f>IF(B364=1,IF(OR(p_Perimetre="Tous les projets",C364&lt;1),1,0),0)</f>
        <v>0</v>
      </c>
      <c r="E364">
        <f>IF(D364=1,MAX(0,N(INDEX(Charge!$M:$M,ROW()))),0)</f>
        <v>0</v>
      </c>
      <c r="F364" t="str">
        <f>IF(D364=1,IF(TRIM(INDEX(Charge!$A:$A,ROW()))="","(non renseigné)",TRIM(INDEX(Charge!$A:$A,ROW()))),"")</f>
        <v/>
      </c>
      <c r="G364" t="str">
        <f>IF(D364=1,TRIM(INDEX(Charge!$B:$B,ROW())),"")</f>
        <v/>
      </c>
      <c r="H364" t="str">
        <f>IF(D364=1,IF(TRIM(INDEX(Charge!$E:$E,ROW()))="","(non renseigné)",TRIM(INDEX(Charge!$E:$E,ROW()))),"")</f>
        <v/>
      </c>
      <c r="I364" s="165" t="str">
        <f>IF(AND(D364=1,ISNUMBER(INDEX(Charge!$N:$N,ROW()))),INDEX(Charge!$N:$N,ROW()),"")</f>
        <v/>
      </c>
      <c r="J364" s="165" t="str">
        <f>IF(I364="","",IF(AND(p_Repartition="Lissée jusqu'à la date de besoin",ISNUMBER(INDEX(Charge!$F:$F,ROW()))),IF(INDEX(Charge!$F:$F,ROW())&gt;=I364,INDEX(Charge!$F:$F,ROW()),I364),I364))</f>
        <v/>
      </c>
      <c r="K364" t="str">
        <f>IF(I364="","",NETWORKDAYS(I364,J364,Data!$K$4:$K$203))</f>
        <v/>
      </c>
      <c r="L364" t="str">
        <f>IF(D364=1,COUNTIFS($D$4:$D$503,1,$E$4:$E$503,"&gt;"&amp;E364)+COUNTIFS($D$4:$D364,1,$E$4:$E364,E364),"")</f>
        <v/>
      </c>
      <c r="M364">
        <f>IF(F364="",0,IF(COUNTIF($F$4:F364,F364)=1,1,0))</f>
        <v>0</v>
      </c>
      <c r="N364" t="str">
        <f>IF(M364=1,ROUND(SUMIF($F$4:$F$503,F364,$E$4:$E$503),2),"")</f>
        <v/>
      </c>
      <c r="O364" t="str">
        <f>IF(M364=1,COUNTIFS($M$4:$M$503,1,$N$4:$N$503,"&gt;"&amp;N364)+COUNTIFS($M$4:M364,1,$N$4:N364,N364),"")</f>
        <v/>
      </c>
      <c r="P364">
        <f>IF(G364="",0,IF(COUNTIF($G$4:G364,G364)=1,1,0))</f>
        <v>0</v>
      </c>
      <c r="Q364" t="str">
        <f>IF(P364=1,ROUND(SUMIF($G$4:$G$503,G364,$E$4:$E$503),2),"")</f>
        <v/>
      </c>
      <c r="R364" t="str">
        <f>IF(P364=1,COUNTIFS($P$4:$P$503,1,$Q$4:$Q$503,"&gt;"&amp;Q364)+COUNTIFS($P$4:P364,1,$Q$4:Q364,Q364),"")</f>
        <v/>
      </c>
      <c r="S364">
        <f>IF(H364="",0,IF(COUNTIF($H$4:H364,H364)=1,1,0))</f>
        <v>0</v>
      </c>
      <c r="T364" t="str">
        <f>IF(S364=1,ROUND(SUMIF($H$4:$H$503,H364,$E$4:$E$503),2),"")</f>
        <v/>
      </c>
      <c r="U364" t="str">
        <f>IF(S364=1,COUNTIFS($S$4:$S$503,1,$T$4:$T$503,"&gt;"&amp;T364)+COUNTIFS($S$4:S364,1,$T$4:T364,T364),"")</f>
        <v/>
      </c>
      <c r="V364" t="str">
        <f>IF(D364=1,MIN(INDEX($R$4:$R$503,MATCH(G364,$G$4:$G$503,0)),IF($AL$7&gt;9,9,999)),"")</f>
        <v/>
      </c>
      <c r="W364" s="166">
        <f>IF(OR($I364="",$E364=0),0,IF(OR($J364&lt;W$3,$I364&gt;W$2),0,IF($K364=0,IF(AND($I364&gt;=W$3,$I364&lt;=W$2),$E364,0),$E364*NETWORKDAYS(MAX($I364,W$3),MIN($J364,W$2),Data!$K$4:$K$203)/$K364)))</f>
        <v>0</v>
      </c>
      <c r="X364" s="166">
        <f>IF(OR($I364="",$E364=0),0,IF(OR($J364&lt;X$3,$I364&gt;X$2),0,IF($K364=0,IF(AND($I364&gt;=X$3,$I364&lt;=X$2),$E364,0),$E364*NETWORKDAYS(MAX($I364,X$3),MIN($J364,X$2),Data!$K$4:$K$203)/$K364)))</f>
        <v>0</v>
      </c>
      <c r="Y364" s="166">
        <f>IF(OR($I364="",$E364=0),0,IF(OR($J364&lt;Y$3,$I364&gt;Y$2),0,IF($K364=0,IF(AND($I364&gt;=Y$3,$I364&lt;=Y$2),$E364,0),$E364*NETWORKDAYS(MAX($I364,Y$3),MIN($J364,Y$2),Data!$K$4:$K$203)/$K364)))</f>
        <v>0</v>
      </c>
      <c r="Z364" s="166">
        <f>IF(OR($I364="",$E364=0),0,IF(OR($J364&lt;Z$3,$I364&gt;Z$2),0,IF($K364=0,IF(AND($I364&gt;=Z$3,$I364&lt;=Z$2),$E364,0),$E364*NETWORKDAYS(MAX($I364,Z$3),MIN($J364,Z$2),Data!$K$4:$K$203)/$K364)))</f>
        <v>0</v>
      </c>
      <c r="AA364" s="166">
        <f>IF(OR($I364="",$E364=0),0,IF(OR($J364&lt;AA$3,$I364&gt;AA$2),0,IF($K364=0,IF(AND($I364&gt;=AA$3,$I364&lt;=AA$2),$E364,0),$E364*NETWORKDAYS(MAX($I364,AA$3),MIN($J364,AA$2),Data!$K$4:$K$203)/$K364)))</f>
        <v>0</v>
      </c>
      <c r="AB364" s="166">
        <f>IF(OR($I364="",$E364=0),0,IF(OR($J364&lt;AB$3,$I364&gt;AB$2),0,IF($K364=0,IF(AND($I364&gt;=AB$3,$I364&lt;=AB$2),$E364,0),$E364*NETWORKDAYS(MAX($I364,AB$3),MIN($J364,AB$2),Data!$K$4:$K$203)/$K364)))</f>
        <v>0</v>
      </c>
      <c r="AC364" s="166">
        <f>IF(OR($I364="",$E364=0),0,IF(OR($J364&lt;AC$3,$I364&gt;AC$2),0,IF($K364=0,IF(AND($I364&gt;=AC$3,$I364&lt;=AC$2),$E364,0),$E364*NETWORKDAYS(MAX($I364,AC$3),MIN($J364,AC$2),Data!$K$4:$K$203)/$K364)))</f>
        <v>0</v>
      </c>
      <c r="AD364" s="166">
        <f>IF(OR($I364="",$E364=0),0,IF(OR($J364&lt;AD$3,$I364&gt;AD$2),0,IF($K364=0,IF(AND($I364&gt;=AD$3,$I364&lt;=AD$2),$E364,0),$E364*NETWORKDAYS(MAX($I364,AD$3),MIN($J364,AD$2),Data!$K$4:$K$203)/$K364)))</f>
        <v>0</v>
      </c>
      <c r="AE364" s="166">
        <f>IF(OR($I364="",$E364=0),0,IF(OR($J364&lt;AE$3,$I364&gt;AE$2),0,IF($K364=0,IF(AND($I364&gt;=AE$3,$I364&lt;=AE$2),$E364,0),$E364*NETWORKDAYS(MAX($I364,AE$3),MIN($J364,AE$2),Data!$K$4:$K$203)/$K364)))</f>
        <v>0</v>
      </c>
      <c r="AF364" s="166">
        <f>IF(OR($I364="",$E364=0),0,IF(OR($J364&lt;AF$3,$I364&gt;AF$2),0,IF($K364=0,IF(AND($I364&gt;=AF$3,$I364&lt;=AF$2),$E364,0),$E364*NETWORKDAYS(MAX($I364,AF$3),MIN($J364,AF$2),Data!$K$4:$K$203)/$K364)))</f>
        <v>0</v>
      </c>
      <c r="AG364" s="166">
        <f>IF(OR($I364="",$E364=0),0,IF(OR($J364&lt;AG$3,$I364&gt;AG$2),0,IF($K364=0,IF(AND($I364&gt;=AG$3,$I364&lt;=AG$2),$E364,0),$E364*NETWORKDAYS(MAX($I364,AG$3),MIN($J364,AG$2),Data!$K$4:$K$203)/$K364)))</f>
        <v>0</v>
      </c>
      <c r="AH364" s="166">
        <f>IF(OR($I364="",$E364=0),0,IF(OR($J364&lt;AH$3,$I364&gt;AH$2),0,IF($K364=0,IF(AND($I364&gt;=AH$3,$I364&lt;=AH$2),$E364,0),$E364*NETWORKDAYS(MAX($I364,AH$3),MIN($J364,AH$2),Data!$K$4:$K$203)/$K364)))</f>
        <v>0</v>
      </c>
      <c r="AI364" s="166">
        <f>SUM(W364:AH364)</f>
        <v>0</v>
      </c>
      <c r="BZ364" t="str">
        <f>IF(D364=1,IF(TRIM(INDEX(Charge!$K:$K,ROW()))&lt;&gt;"",TRIM(INDEX(Charge!$K:$K,ROW())),IF(TRIM(INDEX(Charge!$L:$L,ROW()))&lt;&gt;"",TRIM(INDEX(Charge!$L:$L,ROW())),"(non affecté)")),"")</f>
        <v/>
      </c>
      <c r="CA364" t="str">
        <f>IF(AND($CD$4&lt;&gt;"",BZ364=$CD$4),COUNTIFS($BZ$4:$BZ$503,$CD$4,$L$4:$L$503,"&lt;"&amp;L364)+1,"")</f>
        <v/>
      </c>
      <c r="EM364" t="str">
        <f>IF(D364=1,IF(TRIM(INDEX(Charge!$K:$K,ROW()))&lt;&gt;"","Interne",IF(TRIM(INDEX(Charge!$L:$L,ROW()))&lt;&gt;"","Externe","Non affecté")),"")</f>
        <v/>
      </c>
      <c r="EN364" t="str">
        <f>IF(D364=1,LEFT(SUBSTITUTE(SUBSTITUTE(SUBSTITUTE(TRIM(SUBSTITUTE(INDEX(Charge!$B:$B,ROW()),CHAR(160)," "))&amp;" | "&amp;TRIM(SUBSTITUTE(INDEX(Charge!$C:$C,ROW()),CHAR(160)," "))&amp;" | "&amp;TRIM(SUBSTITUTE(INDEX(Charge!$D:$D,ROW()),CHAR(160)," ")),"~","-"),"*","+"),"?","!"),240),"")</f>
        <v/>
      </c>
      <c r="EO364">
        <f>IF(EN364="",0,IF(COUNTIF($EN$4:EN364,EN364)=1,1,0))</f>
        <v>0</v>
      </c>
      <c r="EP364" s="166" t="str">
        <f>IF(EO364=1,ROUND(SUMIF($EN$4:$EN$503,EN364,$E$4:$E$503),2),"")</f>
        <v/>
      </c>
      <c r="EQ364" t="str">
        <f>IF(EO364=1,COUNTIFS($EO$4:$EO$503,1,$EP$4:$EP$503,"&gt;"&amp;EP364)+COUNTIFS($EO$4:EO364,1,$EP$4:EP364,EP364),"")</f>
        <v/>
      </c>
      <c r="ER364" t="str">
        <f>IF(EO364=1,COUNTIFS($EN$4:$EN$503,EN364,$EM$4:$EM$503,"Interne",$FE$4:$FE$503,1),"")</f>
        <v/>
      </c>
      <c r="ES364" t="str">
        <f>IF(EO364=1,COUNTIFS($EN$4:$EN$503,EN364,$EM$4:$EM$503,"Externe",$FE$4:$FE$503,1),"")</f>
        <v/>
      </c>
      <c r="ET364" t="str">
        <f>IF(EO364=1,IF(ER364+ES364=0,"à affecter",IF(ER364=0,ES364&amp;" ext.",(ER364+ES364)&amp;IF(ES364&gt;0," dont "&amp;ES364&amp;" ext.",""))&amp;IF(COUNTIFS($EN$4:$EN$503,EN364,$EM$4:$EM$503,"Non affecté")&gt;0," + à affecter","")),"")</f>
        <v/>
      </c>
      <c r="EU364" s="170" t="str">
        <f>IF(EO364=1,IF(EP364&gt;0,SUMPRODUCT(($EN$4:$EN$503=EN364)*$E$4:$E$503*$C$4:$C$503)/EP364,AVERAGEIF($EN$4:$EN$503,EN364,$C$4:$C$503)),"")</f>
        <v/>
      </c>
      <c r="EV364" s="165">
        <f>IF(ISNUMBER(I364),I364,2958465)</f>
        <v>2958465.0</v>
      </c>
      <c r="EW364" s="165" t="str">
        <f>IF(EO364=1,SUMPRODUCT(MIN(($EN$4:$EN$503=EN364)*$EV$4:$EV$503+($EN$4:$EN$503&lt;&gt;EN364)*2958465)),"")</f>
        <v/>
      </c>
      <c r="EX364" s="165">
        <f>IF(AND(D364=1,ISNUMBER(INDEX(Charge!$F:$F,ROW()))),INDEX(Charge!$F:$F,ROW()),0)</f>
        <v>0.0</v>
      </c>
      <c r="EY364" s="165" t="str">
        <f>IF(EO364=1,SUMPRODUCT(MAX(($EN$4:$EN$503=EN364)*$EX$4:$EX$503)),"")</f>
        <v/>
      </c>
      <c r="FA364" t="str">
        <f>IF(361&lt;=$CD$23,INDEX($EJ$4:$EJ$203,361),IF(361-$CD$23&lt;=$CD$26,INDEX($EK$4:$EK$203,361-$CD$23),""))</f>
        <v/>
      </c>
      <c r="FB364" t="str">
        <f>IF(FA364="","",IF(361&lt;=$CD$23,"Interne","Externe"))</f>
        <v/>
      </c>
      <c r="FD364">
        <f>IF(AND(B364=1,TRIM(INDEX(Charge!$K:$K,ROW()))&lt;&gt;"",TRIM(INDEX(Charge!$L:$L,ROW()))&lt;&gt;""),1,0)</f>
        <v>0</v>
      </c>
      <c r="FE364">
        <f>IF(OR(EN364="",BZ364="(non affecté)"),0,IF(COUNTIFS($EN$4:EN364,EN364,$BZ$4:BZ364,BZ364)=1,1,0))</f>
        <v>0</v>
      </c>
    </row>
    <row r="365">
      <c r="A365">
        <f>ROW()</f>
        <v>365</v>
      </c>
      <c r="B365">
        <f>IF(TRIM(INDEX(Charge!$B:$B,ROW()))&lt;&gt;"",1,0)</f>
        <v>0</v>
      </c>
      <c r="C365">
        <f>IF(B365=1,MIN(1,MAX(0,N(INDEX(Charge!$O:$O,ROW())))),0)</f>
        <v>0</v>
      </c>
      <c r="D365">
        <f>IF(B365=1,IF(OR(p_Perimetre="Tous les projets",C365&lt;1),1,0),0)</f>
        <v>0</v>
      </c>
      <c r="E365">
        <f>IF(D365=1,MAX(0,N(INDEX(Charge!$M:$M,ROW()))),0)</f>
        <v>0</v>
      </c>
      <c r="F365" t="str">
        <f>IF(D365=1,IF(TRIM(INDEX(Charge!$A:$A,ROW()))="","(non renseigné)",TRIM(INDEX(Charge!$A:$A,ROW()))),"")</f>
        <v/>
      </c>
      <c r="G365" t="str">
        <f>IF(D365=1,TRIM(INDEX(Charge!$B:$B,ROW())),"")</f>
        <v/>
      </c>
      <c r="H365" t="str">
        <f>IF(D365=1,IF(TRIM(INDEX(Charge!$E:$E,ROW()))="","(non renseigné)",TRIM(INDEX(Charge!$E:$E,ROW()))),"")</f>
        <v/>
      </c>
      <c r="I365" s="165" t="str">
        <f>IF(AND(D365=1,ISNUMBER(INDEX(Charge!$N:$N,ROW()))),INDEX(Charge!$N:$N,ROW()),"")</f>
        <v/>
      </c>
      <c r="J365" s="165" t="str">
        <f>IF(I365="","",IF(AND(p_Repartition="Lissée jusqu'à la date de besoin",ISNUMBER(INDEX(Charge!$F:$F,ROW()))),IF(INDEX(Charge!$F:$F,ROW())&gt;=I365,INDEX(Charge!$F:$F,ROW()),I365),I365))</f>
        <v/>
      </c>
      <c r="K365" t="str">
        <f>IF(I365="","",NETWORKDAYS(I365,J365,Data!$K$4:$K$203))</f>
        <v/>
      </c>
      <c r="L365" t="str">
        <f>IF(D365=1,COUNTIFS($D$4:$D$503,1,$E$4:$E$503,"&gt;"&amp;E365)+COUNTIFS($D$4:$D365,1,$E$4:$E365,E365),"")</f>
        <v/>
      </c>
      <c r="M365">
        <f>IF(F365="",0,IF(COUNTIF($F$4:F365,F365)=1,1,0))</f>
        <v>0</v>
      </c>
      <c r="N365" t="str">
        <f>IF(M365=1,ROUND(SUMIF($F$4:$F$503,F365,$E$4:$E$503),2),"")</f>
        <v/>
      </c>
      <c r="O365" t="str">
        <f>IF(M365=1,COUNTIFS($M$4:$M$503,1,$N$4:$N$503,"&gt;"&amp;N365)+COUNTIFS($M$4:M365,1,$N$4:N365,N365),"")</f>
        <v/>
      </c>
      <c r="P365">
        <f>IF(G365="",0,IF(COUNTIF($G$4:G365,G365)=1,1,0))</f>
        <v>0</v>
      </c>
      <c r="Q365" t="str">
        <f>IF(P365=1,ROUND(SUMIF($G$4:$G$503,G365,$E$4:$E$503),2),"")</f>
        <v/>
      </c>
      <c r="R365" t="str">
        <f>IF(P365=1,COUNTIFS($P$4:$P$503,1,$Q$4:$Q$503,"&gt;"&amp;Q365)+COUNTIFS($P$4:P365,1,$Q$4:Q365,Q365),"")</f>
        <v/>
      </c>
      <c r="S365">
        <f>IF(H365="",0,IF(COUNTIF($H$4:H365,H365)=1,1,0))</f>
        <v>0</v>
      </c>
      <c r="T365" t="str">
        <f>IF(S365=1,ROUND(SUMIF($H$4:$H$503,H365,$E$4:$E$503),2),"")</f>
        <v/>
      </c>
      <c r="U365" t="str">
        <f>IF(S365=1,COUNTIFS($S$4:$S$503,1,$T$4:$T$503,"&gt;"&amp;T365)+COUNTIFS($S$4:S365,1,$T$4:T365,T365),"")</f>
        <v/>
      </c>
      <c r="V365" t="str">
        <f>IF(D365=1,MIN(INDEX($R$4:$R$503,MATCH(G365,$G$4:$G$503,0)),IF($AL$7&gt;9,9,999)),"")</f>
        <v/>
      </c>
      <c r="W365" s="166">
        <f>IF(OR($I365="",$E365=0),0,IF(OR($J365&lt;W$3,$I365&gt;W$2),0,IF($K365=0,IF(AND($I365&gt;=W$3,$I365&lt;=W$2),$E365,0),$E365*NETWORKDAYS(MAX($I365,W$3),MIN($J365,W$2),Data!$K$4:$K$203)/$K365)))</f>
        <v>0</v>
      </c>
      <c r="X365" s="166">
        <f>IF(OR($I365="",$E365=0),0,IF(OR($J365&lt;X$3,$I365&gt;X$2),0,IF($K365=0,IF(AND($I365&gt;=X$3,$I365&lt;=X$2),$E365,0),$E365*NETWORKDAYS(MAX($I365,X$3),MIN($J365,X$2),Data!$K$4:$K$203)/$K365)))</f>
        <v>0</v>
      </c>
      <c r="Y365" s="166">
        <f>IF(OR($I365="",$E365=0),0,IF(OR($J365&lt;Y$3,$I365&gt;Y$2),0,IF($K365=0,IF(AND($I365&gt;=Y$3,$I365&lt;=Y$2),$E365,0),$E365*NETWORKDAYS(MAX($I365,Y$3),MIN($J365,Y$2),Data!$K$4:$K$203)/$K365)))</f>
        <v>0</v>
      </c>
      <c r="Z365" s="166">
        <f>IF(OR($I365="",$E365=0),0,IF(OR($J365&lt;Z$3,$I365&gt;Z$2),0,IF($K365=0,IF(AND($I365&gt;=Z$3,$I365&lt;=Z$2),$E365,0),$E365*NETWORKDAYS(MAX($I365,Z$3),MIN($J365,Z$2),Data!$K$4:$K$203)/$K365)))</f>
        <v>0</v>
      </c>
      <c r="AA365" s="166">
        <f>IF(OR($I365="",$E365=0),0,IF(OR($J365&lt;AA$3,$I365&gt;AA$2),0,IF($K365=0,IF(AND($I365&gt;=AA$3,$I365&lt;=AA$2),$E365,0),$E365*NETWORKDAYS(MAX($I365,AA$3),MIN($J365,AA$2),Data!$K$4:$K$203)/$K365)))</f>
        <v>0</v>
      </c>
      <c r="AB365" s="166">
        <f>IF(OR($I365="",$E365=0),0,IF(OR($J365&lt;AB$3,$I365&gt;AB$2),0,IF($K365=0,IF(AND($I365&gt;=AB$3,$I365&lt;=AB$2),$E365,0),$E365*NETWORKDAYS(MAX($I365,AB$3),MIN($J365,AB$2),Data!$K$4:$K$203)/$K365)))</f>
        <v>0</v>
      </c>
      <c r="AC365" s="166">
        <f>IF(OR($I365="",$E365=0),0,IF(OR($J365&lt;AC$3,$I365&gt;AC$2),0,IF($K365=0,IF(AND($I365&gt;=AC$3,$I365&lt;=AC$2),$E365,0),$E365*NETWORKDAYS(MAX($I365,AC$3),MIN($J365,AC$2),Data!$K$4:$K$203)/$K365)))</f>
        <v>0</v>
      </c>
      <c r="AD365" s="166">
        <f>IF(OR($I365="",$E365=0),0,IF(OR($J365&lt;AD$3,$I365&gt;AD$2),0,IF($K365=0,IF(AND($I365&gt;=AD$3,$I365&lt;=AD$2),$E365,0),$E365*NETWORKDAYS(MAX($I365,AD$3),MIN($J365,AD$2),Data!$K$4:$K$203)/$K365)))</f>
        <v>0</v>
      </c>
      <c r="AE365" s="166">
        <f>IF(OR($I365="",$E365=0),0,IF(OR($J365&lt;AE$3,$I365&gt;AE$2),0,IF($K365=0,IF(AND($I365&gt;=AE$3,$I365&lt;=AE$2),$E365,0),$E365*NETWORKDAYS(MAX($I365,AE$3),MIN($J365,AE$2),Data!$K$4:$K$203)/$K365)))</f>
        <v>0</v>
      </c>
      <c r="AF365" s="166">
        <f>IF(OR($I365="",$E365=0),0,IF(OR($J365&lt;AF$3,$I365&gt;AF$2),0,IF($K365=0,IF(AND($I365&gt;=AF$3,$I365&lt;=AF$2),$E365,0),$E365*NETWORKDAYS(MAX($I365,AF$3),MIN($J365,AF$2),Data!$K$4:$K$203)/$K365)))</f>
        <v>0</v>
      </c>
      <c r="AG365" s="166">
        <f>IF(OR($I365="",$E365=0),0,IF(OR($J365&lt;AG$3,$I365&gt;AG$2),0,IF($K365=0,IF(AND($I365&gt;=AG$3,$I365&lt;=AG$2),$E365,0),$E365*NETWORKDAYS(MAX($I365,AG$3),MIN($J365,AG$2),Data!$K$4:$K$203)/$K365)))</f>
        <v>0</v>
      </c>
      <c r="AH365" s="166">
        <f>IF(OR($I365="",$E365=0),0,IF(OR($J365&lt;AH$3,$I365&gt;AH$2),0,IF($K365=0,IF(AND($I365&gt;=AH$3,$I365&lt;=AH$2),$E365,0),$E365*NETWORKDAYS(MAX($I365,AH$3),MIN($J365,AH$2),Data!$K$4:$K$203)/$K365)))</f>
        <v>0</v>
      </c>
      <c r="AI365" s="166">
        <f>SUM(W365:AH365)</f>
        <v>0</v>
      </c>
      <c r="BZ365" t="str">
        <f>IF(D365=1,IF(TRIM(INDEX(Charge!$K:$K,ROW()))&lt;&gt;"",TRIM(INDEX(Charge!$K:$K,ROW())),IF(TRIM(INDEX(Charge!$L:$L,ROW()))&lt;&gt;"",TRIM(INDEX(Charge!$L:$L,ROW())),"(non affecté)")),"")</f>
        <v/>
      </c>
      <c r="CA365" t="str">
        <f>IF(AND($CD$4&lt;&gt;"",BZ365=$CD$4),COUNTIFS($BZ$4:$BZ$503,$CD$4,$L$4:$L$503,"&lt;"&amp;L365)+1,"")</f>
        <v/>
      </c>
      <c r="EM365" t="str">
        <f>IF(D365=1,IF(TRIM(INDEX(Charge!$K:$K,ROW()))&lt;&gt;"","Interne",IF(TRIM(INDEX(Charge!$L:$L,ROW()))&lt;&gt;"","Externe","Non affecté")),"")</f>
        <v/>
      </c>
      <c r="EN365" t="str">
        <f>IF(D365=1,LEFT(SUBSTITUTE(SUBSTITUTE(SUBSTITUTE(TRIM(SUBSTITUTE(INDEX(Charge!$B:$B,ROW()),CHAR(160)," "))&amp;" | "&amp;TRIM(SUBSTITUTE(INDEX(Charge!$C:$C,ROW()),CHAR(160)," "))&amp;" | "&amp;TRIM(SUBSTITUTE(INDEX(Charge!$D:$D,ROW()),CHAR(160)," ")),"~","-"),"*","+"),"?","!"),240),"")</f>
        <v/>
      </c>
      <c r="EO365">
        <f>IF(EN365="",0,IF(COUNTIF($EN$4:EN365,EN365)=1,1,0))</f>
        <v>0</v>
      </c>
      <c r="EP365" s="166" t="str">
        <f>IF(EO365=1,ROUND(SUMIF($EN$4:$EN$503,EN365,$E$4:$E$503),2),"")</f>
        <v/>
      </c>
      <c r="EQ365" t="str">
        <f>IF(EO365=1,COUNTIFS($EO$4:$EO$503,1,$EP$4:$EP$503,"&gt;"&amp;EP365)+COUNTIFS($EO$4:EO365,1,$EP$4:EP365,EP365),"")</f>
        <v/>
      </c>
      <c r="ER365" t="str">
        <f>IF(EO365=1,COUNTIFS($EN$4:$EN$503,EN365,$EM$4:$EM$503,"Interne",$FE$4:$FE$503,1),"")</f>
        <v/>
      </c>
      <c r="ES365" t="str">
        <f>IF(EO365=1,COUNTIFS($EN$4:$EN$503,EN365,$EM$4:$EM$503,"Externe",$FE$4:$FE$503,1),"")</f>
        <v/>
      </c>
      <c r="ET365" t="str">
        <f>IF(EO365=1,IF(ER365+ES365=0,"à affecter",IF(ER365=0,ES365&amp;" ext.",(ER365+ES365)&amp;IF(ES365&gt;0," dont "&amp;ES365&amp;" ext.",""))&amp;IF(COUNTIFS($EN$4:$EN$503,EN365,$EM$4:$EM$503,"Non affecté")&gt;0," + à affecter","")),"")</f>
        <v/>
      </c>
      <c r="EU365" s="170" t="str">
        <f>IF(EO365=1,IF(EP365&gt;0,SUMPRODUCT(($EN$4:$EN$503=EN365)*$E$4:$E$503*$C$4:$C$503)/EP365,AVERAGEIF($EN$4:$EN$503,EN365,$C$4:$C$503)),"")</f>
        <v/>
      </c>
      <c r="EV365" s="165">
        <f>IF(ISNUMBER(I365),I365,2958465)</f>
        <v>2958465.0</v>
      </c>
      <c r="EW365" s="165" t="str">
        <f>IF(EO365=1,SUMPRODUCT(MIN(($EN$4:$EN$503=EN365)*$EV$4:$EV$503+($EN$4:$EN$503&lt;&gt;EN365)*2958465)),"")</f>
        <v/>
      </c>
      <c r="EX365" s="165">
        <f>IF(AND(D365=1,ISNUMBER(INDEX(Charge!$F:$F,ROW()))),INDEX(Charge!$F:$F,ROW()),0)</f>
        <v>0.0</v>
      </c>
      <c r="EY365" s="165" t="str">
        <f>IF(EO365=1,SUMPRODUCT(MAX(($EN$4:$EN$503=EN365)*$EX$4:$EX$503)),"")</f>
        <v/>
      </c>
      <c r="FA365" t="str">
        <f>IF(362&lt;=$CD$23,INDEX($EJ$4:$EJ$203,362),IF(362-$CD$23&lt;=$CD$26,INDEX($EK$4:$EK$203,362-$CD$23),""))</f>
        <v/>
      </c>
      <c r="FB365" t="str">
        <f>IF(FA365="","",IF(362&lt;=$CD$23,"Interne","Externe"))</f>
        <v/>
      </c>
      <c r="FD365">
        <f>IF(AND(B365=1,TRIM(INDEX(Charge!$K:$K,ROW()))&lt;&gt;"",TRIM(INDEX(Charge!$L:$L,ROW()))&lt;&gt;""),1,0)</f>
        <v>0</v>
      </c>
      <c r="FE365">
        <f>IF(OR(EN365="",BZ365="(non affecté)"),0,IF(COUNTIFS($EN$4:EN365,EN365,$BZ$4:BZ365,BZ365)=1,1,0))</f>
        <v>0</v>
      </c>
    </row>
    <row r="366">
      <c r="A366">
        <f>ROW()</f>
        <v>366</v>
      </c>
      <c r="B366">
        <f>IF(TRIM(INDEX(Charge!$B:$B,ROW()))&lt;&gt;"",1,0)</f>
        <v>0</v>
      </c>
      <c r="C366">
        <f>IF(B366=1,MIN(1,MAX(0,N(INDEX(Charge!$O:$O,ROW())))),0)</f>
        <v>0</v>
      </c>
      <c r="D366">
        <f>IF(B366=1,IF(OR(p_Perimetre="Tous les projets",C366&lt;1),1,0),0)</f>
        <v>0</v>
      </c>
      <c r="E366">
        <f>IF(D366=1,MAX(0,N(INDEX(Charge!$M:$M,ROW()))),0)</f>
        <v>0</v>
      </c>
      <c r="F366" t="str">
        <f>IF(D366=1,IF(TRIM(INDEX(Charge!$A:$A,ROW()))="","(non renseigné)",TRIM(INDEX(Charge!$A:$A,ROW()))),"")</f>
        <v/>
      </c>
      <c r="G366" t="str">
        <f>IF(D366=1,TRIM(INDEX(Charge!$B:$B,ROW())),"")</f>
        <v/>
      </c>
      <c r="H366" t="str">
        <f>IF(D366=1,IF(TRIM(INDEX(Charge!$E:$E,ROW()))="","(non renseigné)",TRIM(INDEX(Charge!$E:$E,ROW()))),"")</f>
        <v/>
      </c>
      <c r="I366" s="165" t="str">
        <f>IF(AND(D366=1,ISNUMBER(INDEX(Charge!$N:$N,ROW()))),INDEX(Charge!$N:$N,ROW()),"")</f>
        <v/>
      </c>
      <c r="J366" s="165" t="str">
        <f>IF(I366="","",IF(AND(p_Repartition="Lissée jusqu'à la date de besoin",ISNUMBER(INDEX(Charge!$F:$F,ROW()))),IF(INDEX(Charge!$F:$F,ROW())&gt;=I366,INDEX(Charge!$F:$F,ROW()),I366),I366))</f>
        <v/>
      </c>
      <c r="K366" t="str">
        <f>IF(I366="","",NETWORKDAYS(I366,J366,Data!$K$4:$K$203))</f>
        <v/>
      </c>
      <c r="L366" t="str">
        <f>IF(D366=1,COUNTIFS($D$4:$D$503,1,$E$4:$E$503,"&gt;"&amp;E366)+COUNTIFS($D$4:$D366,1,$E$4:$E366,E366),"")</f>
        <v/>
      </c>
      <c r="M366">
        <f>IF(F366="",0,IF(COUNTIF($F$4:F366,F366)=1,1,0))</f>
        <v>0</v>
      </c>
      <c r="N366" t="str">
        <f>IF(M366=1,ROUND(SUMIF($F$4:$F$503,F366,$E$4:$E$503),2),"")</f>
        <v/>
      </c>
      <c r="O366" t="str">
        <f>IF(M366=1,COUNTIFS($M$4:$M$503,1,$N$4:$N$503,"&gt;"&amp;N366)+COUNTIFS($M$4:M366,1,$N$4:N366,N366),"")</f>
        <v/>
      </c>
      <c r="P366">
        <f>IF(G366="",0,IF(COUNTIF($G$4:G366,G366)=1,1,0))</f>
        <v>0</v>
      </c>
      <c r="Q366" t="str">
        <f>IF(P366=1,ROUND(SUMIF($G$4:$G$503,G366,$E$4:$E$503),2),"")</f>
        <v/>
      </c>
      <c r="R366" t="str">
        <f>IF(P366=1,COUNTIFS($P$4:$P$503,1,$Q$4:$Q$503,"&gt;"&amp;Q366)+COUNTIFS($P$4:P366,1,$Q$4:Q366,Q366),"")</f>
        <v/>
      </c>
      <c r="S366">
        <f>IF(H366="",0,IF(COUNTIF($H$4:H366,H366)=1,1,0))</f>
        <v>0</v>
      </c>
      <c r="T366" t="str">
        <f>IF(S366=1,ROUND(SUMIF($H$4:$H$503,H366,$E$4:$E$503),2),"")</f>
        <v/>
      </c>
      <c r="U366" t="str">
        <f>IF(S366=1,COUNTIFS($S$4:$S$503,1,$T$4:$T$503,"&gt;"&amp;T366)+COUNTIFS($S$4:S366,1,$T$4:T366,T366),"")</f>
        <v/>
      </c>
      <c r="V366" t="str">
        <f>IF(D366=1,MIN(INDEX($R$4:$R$503,MATCH(G366,$G$4:$G$503,0)),IF($AL$7&gt;9,9,999)),"")</f>
        <v/>
      </c>
      <c r="W366" s="166">
        <f>IF(OR($I366="",$E366=0),0,IF(OR($J366&lt;W$3,$I366&gt;W$2),0,IF($K366=0,IF(AND($I366&gt;=W$3,$I366&lt;=W$2),$E366,0),$E366*NETWORKDAYS(MAX($I366,W$3),MIN($J366,W$2),Data!$K$4:$K$203)/$K366)))</f>
        <v>0</v>
      </c>
      <c r="X366" s="166">
        <f>IF(OR($I366="",$E366=0),0,IF(OR($J366&lt;X$3,$I366&gt;X$2),0,IF($K366=0,IF(AND($I366&gt;=X$3,$I366&lt;=X$2),$E366,0),$E366*NETWORKDAYS(MAX($I366,X$3),MIN($J366,X$2),Data!$K$4:$K$203)/$K366)))</f>
        <v>0</v>
      </c>
      <c r="Y366" s="166">
        <f>IF(OR($I366="",$E366=0),0,IF(OR($J366&lt;Y$3,$I366&gt;Y$2),0,IF($K366=0,IF(AND($I366&gt;=Y$3,$I366&lt;=Y$2),$E366,0),$E366*NETWORKDAYS(MAX($I366,Y$3),MIN($J366,Y$2),Data!$K$4:$K$203)/$K366)))</f>
        <v>0</v>
      </c>
      <c r="Z366" s="166">
        <f>IF(OR($I366="",$E366=0),0,IF(OR($J366&lt;Z$3,$I366&gt;Z$2),0,IF($K366=0,IF(AND($I366&gt;=Z$3,$I366&lt;=Z$2),$E366,0),$E366*NETWORKDAYS(MAX($I366,Z$3),MIN($J366,Z$2),Data!$K$4:$K$203)/$K366)))</f>
        <v>0</v>
      </c>
      <c r="AA366" s="166">
        <f>IF(OR($I366="",$E366=0),0,IF(OR($J366&lt;AA$3,$I366&gt;AA$2),0,IF($K366=0,IF(AND($I366&gt;=AA$3,$I366&lt;=AA$2),$E366,0),$E366*NETWORKDAYS(MAX($I366,AA$3),MIN($J366,AA$2),Data!$K$4:$K$203)/$K366)))</f>
        <v>0</v>
      </c>
      <c r="AB366" s="166">
        <f>IF(OR($I366="",$E366=0),0,IF(OR($J366&lt;AB$3,$I366&gt;AB$2),0,IF($K366=0,IF(AND($I366&gt;=AB$3,$I366&lt;=AB$2),$E366,0),$E366*NETWORKDAYS(MAX($I366,AB$3),MIN($J366,AB$2),Data!$K$4:$K$203)/$K366)))</f>
        <v>0</v>
      </c>
      <c r="AC366" s="166">
        <f>IF(OR($I366="",$E366=0),0,IF(OR($J366&lt;AC$3,$I366&gt;AC$2),0,IF($K366=0,IF(AND($I366&gt;=AC$3,$I366&lt;=AC$2),$E366,0),$E366*NETWORKDAYS(MAX($I366,AC$3),MIN($J366,AC$2),Data!$K$4:$K$203)/$K366)))</f>
        <v>0</v>
      </c>
      <c r="AD366" s="166">
        <f>IF(OR($I366="",$E366=0),0,IF(OR($J366&lt;AD$3,$I366&gt;AD$2),0,IF($K366=0,IF(AND($I366&gt;=AD$3,$I366&lt;=AD$2),$E366,0),$E366*NETWORKDAYS(MAX($I366,AD$3),MIN($J366,AD$2),Data!$K$4:$K$203)/$K366)))</f>
        <v>0</v>
      </c>
      <c r="AE366" s="166">
        <f>IF(OR($I366="",$E366=0),0,IF(OR($J366&lt;AE$3,$I366&gt;AE$2),0,IF($K366=0,IF(AND($I366&gt;=AE$3,$I366&lt;=AE$2),$E366,0),$E366*NETWORKDAYS(MAX($I366,AE$3),MIN($J366,AE$2),Data!$K$4:$K$203)/$K366)))</f>
        <v>0</v>
      </c>
      <c r="AF366" s="166">
        <f>IF(OR($I366="",$E366=0),0,IF(OR($J366&lt;AF$3,$I366&gt;AF$2),0,IF($K366=0,IF(AND($I366&gt;=AF$3,$I366&lt;=AF$2),$E366,0),$E366*NETWORKDAYS(MAX($I366,AF$3),MIN($J366,AF$2),Data!$K$4:$K$203)/$K366)))</f>
        <v>0</v>
      </c>
      <c r="AG366" s="166">
        <f>IF(OR($I366="",$E366=0),0,IF(OR($J366&lt;AG$3,$I366&gt;AG$2),0,IF($K366=0,IF(AND($I366&gt;=AG$3,$I366&lt;=AG$2),$E366,0),$E366*NETWORKDAYS(MAX($I366,AG$3),MIN($J366,AG$2),Data!$K$4:$K$203)/$K366)))</f>
        <v>0</v>
      </c>
      <c r="AH366" s="166">
        <f>IF(OR($I366="",$E366=0),0,IF(OR($J366&lt;AH$3,$I366&gt;AH$2),0,IF($K366=0,IF(AND($I366&gt;=AH$3,$I366&lt;=AH$2),$E366,0),$E366*NETWORKDAYS(MAX($I366,AH$3),MIN($J366,AH$2),Data!$K$4:$K$203)/$K366)))</f>
        <v>0</v>
      </c>
      <c r="AI366" s="166">
        <f>SUM(W366:AH366)</f>
        <v>0</v>
      </c>
      <c r="BZ366" t="str">
        <f>IF(D366=1,IF(TRIM(INDEX(Charge!$K:$K,ROW()))&lt;&gt;"",TRIM(INDEX(Charge!$K:$K,ROW())),IF(TRIM(INDEX(Charge!$L:$L,ROW()))&lt;&gt;"",TRIM(INDEX(Charge!$L:$L,ROW())),"(non affecté)")),"")</f>
        <v/>
      </c>
      <c r="CA366" t="str">
        <f>IF(AND($CD$4&lt;&gt;"",BZ366=$CD$4),COUNTIFS($BZ$4:$BZ$503,$CD$4,$L$4:$L$503,"&lt;"&amp;L366)+1,"")</f>
        <v/>
      </c>
      <c r="EM366" t="str">
        <f>IF(D366=1,IF(TRIM(INDEX(Charge!$K:$K,ROW()))&lt;&gt;"","Interne",IF(TRIM(INDEX(Charge!$L:$L,ROW()))&lt;&gt;"","Externe","Non affecté")),"")</f>
        <v/>
      </c>
      <c r="EN366" t="str">
        <f>IF(D366=1,LEFT(SUBSTITUTE(SUBSTITUTE(SUBSTITUTE(TRIM(SUBSTITUTE(INDEX(Charge!$B:$B,ROW()),CHAR(160)," "))&amp;" | "&amp;TRIM(SUBSTITUTE(INDEX(Charge!$C:$C,ROW()),CHAR(160)," "))&amp;" | "&amp;TRIM(SUBSTITUTE(INDEX(Charge!$D:$D,ROW()),CHAR(160)," ")),"~","-"),"*","+"),"?","!"),240),"")</f>
        <v/>
      </c>
      <c r="EO366">
        <f>IF(EN366="",0,IF(COUNTIF($EN$4:EN366,EN366)=1,1,0))</f>
        <v>0</v>
      </c>
      <c r="EP366" s="166" t="str">
        <f>IF(EO366=1,ROUND(SUMIF($EN$4:$EN$503,EN366,$E$4:$E$503),2),"")</f>
        <v/>
      </c>
      <c r="EQ366" t="str">
        <f>IF(EO366=1,COUNTIFS($EO$4:$EO$503,1,$EP$4:$EP$503,"&gt;"&amp;EP366)+COUNTIFS($EO$4:EO366,1,$EP$4:EP366,EP366),"")</f>
        <v/>
      </c>
      <c r="ER366" t="str">
        <f>IF(EO366=1,COUNTIFS($EN$4:$EN$503,EN366,$EM$4:$EM$503,"Interne",$FE$4:$FE$503,1),"")</f>
        <v/>
      </c>
      <c r="ES366" t="str">
        <f>IF(EO366=1,COUNTIFS($EN$4:$EN$503,EN366,$EM$4:$EM$503,"Externe",$FE$4:$FE$503,1),"")</f>
        <v/>
      </c>
      <c r="ET366" t="str">
        <f>IF(EO366=1,IF(ER366+ES366=0,"à affecter",IF(ER366=0,ES366&amp;" ext.",(ER366+ES366)&amp;IF(ES366&gt;0," dont "&amp;ES366&amp;" ext.",""))&amp;IF(COUNTIFS($EN$4:$EN$503,EN366,$EM$4:$EM$503,"Non affecté")&gt;0," + à affecter","")),"")</f>
        <v/>
      </c>
      <c r="EU366" s="170" t="str">
        <f>IF(EO366=1,IF(EP366&gt;0,SUMPRODUCT(($EN$4:$EN$503=EN366)*$E$4:$E$503*$C$4:$C$503)/EP366,AVERAGEIF($EN$4:$EN$503,EN366,$C$4:$C$503)),"")</f>
        <v/>
      </c>
      <c r="EV366" s="165">
        <f>IF(ISNUMBER(I366),I366,2958465)</f>
        <v>2958465.0</v>
      </c>
      <c r="EW366" s="165" t="str">
        <f>IF(EO366=1,SUMPRODUCT(MIN(($EN$4:$EN$503=EN366)*$EV$4:$EV$503+($EN$4:$EN$503&lt;&gt;EN366)*2958465)),"")</f>
        <v/>
      </c>
      <c r="EX366" s="165">
        <f>IF(AND(D366=1,ISNUMBER(INDEX(Charge!$F:$F,ROW()))),INDEX(Charge!$F:$F,ROW()),0)</f>
        <v>0.0</v>
      </c>
      <c r="EY366" s="165" t="str">
        <f>IF(EO366=1,SUMPRODUCT(MAX(($EN$4:$EN$503=EN366)*$EX$4:$EX$503)),"")</f>
        <v/>
      </c>
      <c r="FA366" t="str">
        <f>IF(363&lt;=$CD$23,INDEX($EJ$4:$EJ$203,363),IF(363-$CD$23&lt;=$CD$26,INDEX($EK$4:$EK$203,363-$CD$23),""))</f>
        <v/>
      </c>
      <c r="FB366" t="str">
        <f>IF(FA366="","",IF(363&lt;=$CD$23,"Interne","Externe"))</f>
        <v/>
      </c>
      <c r="FD366">
        <f>IF(AND(B366=1,TRIM(INDEX(Charge!$K:$K,ROW()))&lt;&gt;"",TRIM(INDEX(Charge!$L:$L,ROW()))&lt;&gt;""),1,0)</f>
        <v>0</v>
      </c>
      <c r="FE366">
        <f>IF(OR(EN366="",BZ366="(non affecté)"),0,IF(COUNTIFS($EN$4:EN366,EN366,$BZ$4:BZ366,BZ366)=1,1,0))</f>
        <v>0</v>
      </c>
    </row>
    <row r="367">
      <c r="A367">
        <f>ROW()</f>
        <v>367</v>
      </c>
      <c r="B367">
        <f>IF(TRIM(INDEX(Charge!$B:$B,ROW()))&lt;&gt;"",1,0)</f>
        <v>0</v>
      </c>
      <c r="C367">
        <f>IF(B367=1,MIN(1,MAX(0,N(INDEX(Charge!$O:$O,ROW())))),0)</f>
        <v>0</v>
      </c>
      <c r="D367">
        <f>IF(B367=1,IF(OR(p_Perimetre="Tous les projets",C367&lt;1),1,0),0)</f>
        <v>0</v>
      </c>
      <c r="E367">
        <f>IF(D367=1,MAX(0,N(INDEX(Charge!$M:$M,ROW()))),0)</f>
        <v>0</v>
      </c>
      <c r="F367" t="str">
        <f>IF(D367=1,IF(TRIM(INDEX(Charge!$A:$A,ROW()))="","(non renseigné)",TRIM(INDEX(Charge!$A:$A,ROW()))),"")</f>
        <v/>
      </c>
      <c r="G367" t="str">
        <f>IF(D367=1,TRIM(INDEX(Charge!$B:$B,ROW())),"")</f>
        <v/>
      </c>
      <c r="H367" t="str">
        <f>IF(D367=1,IF(TRIM(INDEX(Charge!$E:$E,ROW()))="","(non renseigné)",TRIM(INDEX(Charge!$E:$E,ROW()))),"")</f>
        <v/>
      </c>
      <c r="I367" s="165" t="str">
        <f>IF(AND(D367=1,ISNUMBER(INDEX(Charge!$N:$N,ROW()))),INDEX(Charge!$N:$N,ROW()),"")</f>
        <v/>
      </c>
      <c r="J367" s="165" t="str">
        <f>IF(I367="","",IF(AND(p_Repartition="Lissée jusqu'à la date de besoin",ISNUMBER(INDEX(Charge!$F:$F,ROW()))),IF(INDEX(Charge!$F:$F,ROW())&gt;=I367,INDEX(Charge!$F:$F,ROW()),I367),I367))</f>
        <v/>
      </c>
      <c r="K367" t="str">
        <f>IF(I367="","",NETWORKDAYS(I367,J367,Data!$K$4:$K$203))</f>
        <v/>
      </c>
      <c r="L367" t="str">
        <f>IF(D367=1,COUNTIFS($D$4:$D$503,1,$E$4:$E$503,"&gt;"&amp;E367)+COUNTIFS($D$4:$D367,1,$E$4:$E367,E367),"")</f>
        <v/>
      </c>
      <c r="M367">
        <f>IF(F367="",0,IF(COUNTIF($F$4:F367,F367)=1,1,0))</f>
        <v>0</v>
      </c>
      <c r="N367" t="str">
        <f>IF(M367=1,ROUND(SUMIF($F$4:$F$503,F367,$E$4:$E$503),2),"")</f>
        <v/>
      </c>
      <c r="O367" t="str">
        <f>IF(M367=1,COUNTIFS($M$4:$M$503,1,$N$4:$N$503,"&gt;"&amp;N367)+COUNTIFS($M$4:M367,1,$N$4:N367,N367),"")</f>
        <v/>
      </c>
      <c r="P367">
        <f>IF(G367="",0,IF(COUNTIF($G$4:G367,G367)=1,1,0))</f>
        <v>0</v>
      </c>
      <c r="Q367" t="str">
        <f>IF(P367=1,ROUND(SUMIF($G$4:$G$503,G367,$E$4:$E$503),2),"")</f>
        <v/>
      </c>
      <c r="R367" t="str">
        <f>IF(P367=1,COUNTIFS($P$4:$P$503,1,$Q$4:$Q$503,"&gt;"&amp;Q367)+COUNTIFS($P$4:P367,1,$Q$4:Q367,Q367),"")</f>
        <v/>
      </c>
      <c r="S367">
        <f>IF(H367="",0,IF(COUNTIF($H$4:H367,H367)=1,1,0))</f>
        <v>0</v>
      </c>
      <c r="T367" t="str">
        <f>IF(S367=1,ROUND(SUMIF($H$4:$H$503,H367,$E$4:$E$503),2),"")</f>
        <v/>
      </c>
      <c r="U367" t="str">
        <f>IF(S367=1,COUNTIFS($S$4:$S$503,1,$T$4:$T$503,"&gt;"&amp;T367)+COUNTIFS($S$4:S367,1,$T$4:T367,T367),"")</f>
        <v/>
      </c>
      <c r="V367" t="str">
        <f>IF(D367=1,MIN(INDEX($R$4:$R$503,MATCH(G367,$G$4:$G$503,0)),IF($AL$7&gt;9,9,999)),"")</f>
        <v/>
      </c>
      <c r="W367" s="166">
        <f>IF(OR($I367="",$E367=0),0,IF(OR($J367&lt;W$3,$I367&gt;W$2),0,IF($K367=0,IF(AND($I367&gt;=W$3,$I367&lt;=W$2),$E367,0),$E367*NETWORKDAYS(MAX($I367,W$3),MIN($J367,W$2),Data!$K$4:$K$203)/$K367)))</f>
        <v>0</v>
      </c>
      <c r="X367" s="166">
        <f>IF(OR($I367="",$E367=0),0,IF(OR($J367&lt;X$3,$I367&gt;X$2),0,IF($K367=0,IF(AND($I367&gt;=X$3,$I367&lt;=X$2),$E367,0),$E367*NETWORKDAYS(MAX($I367,X$3),MIN($J367,X$2),Data!$K$4:$K$203)/$K367)))</f>
        <v>0</v>
      </c>
      <c r="Y367" s="166">
        <f>IF(OR($I367="",$E367=0),0,IF(OR($J367&lt;Y$3,$I367&gt;Y$2),0,IF($K367=0,IF(AND($I367&gt;=Y$3,$I367&lt;=Y$2),$E367,0),$E367*NETWORKDAYS(MAX($I367,Y$3),MIN($J367,Y$2),Data!$K$4:$K$203)/$K367)))</f>
        <v>0</v>
      </c>
      <c r="Z367" s="166">
        <f>IF(OR($I367="",$E367=0),0,IF(OR($J367&lt;Z$3,$I367&gt;Z$2),0,IF($K367=0,IF(AND($I367&gt;=Z$3,$I367&lt;=Z$2),$E367,0),$E367*NETWORKDAYS(MAX($I367,Z$3),MIN($J367,Z$2),Data!$K$4:$K$203)/$K367)))</f>
        <v>0</v>
      </c>
      <c r="AA367" s="166">
        <f>IF(OR($I367="",$E367=0),0,IF(OR($J367&lt;AA$3,$I367&gt;AA$2),0,IF($K367=0,IF(AND($I367&gt;=AA$3,$I367&lt;=AA$2),$E367,0),$E367*NETWORKDAYS(MAX($I367,AA$3),MIN($J367,AA$2),Data!$K$4:$K$203)/$K367)))</f>
        <v>0</v>
      </c>
      <c r="AB367" s="166">
        <f>IF(OR($I367="",$E367=0),0,IF(OR($J367&lt;AB$3,$I367&gt;AB$2),0,IF($K367=0,IF(AND($I367&gt;=AB$3,$I367&lt;=AB$2),$E367,0),$E367*NETWORKDAYS(MAX($I367,AB$3),MIN($J367,AB$2),Data!$K$4:$K$203)/$K367)))</f>
        <v>0</v>
      </c>
      <c r="AC367" s="166">
        <f>IF(OR($I367="",$E367=0),0,IF(OR($J367&lt;AC$3,$I367&gt;AC$2),0,IF($K367=0,IF(AND($I367&gt;=AC$3,$I367&lt;=AC$2),$E367,0),$E367*NETWORKDAYS(MAX($I367,AC$3),MIN($J367,AC$2),Data!$K$4:$K$203)/$K367)))</f>
        <v>0</v>
      </c>
      <c r="AD367" s="166">
        <f>IF(OR($I367="",$E367=0),0,IF(OR($J367&lt;AD$3,$I367&gt;AD$2),0,IF($K367=0,IF(AND($I367&gt;=AD$3,$I367&lt;=AD$2),$E367,0),$E367*NETWORKDAYS(MAX($I367,AD$3),MIN($J367,AD$2),Data!$K$4:$K$203)/$K367)))</f>
        <v>0</v>
      </c>
      <c r="AE367" s="166">
        <f>IF(OR($I367="",$E367=0),0,IF(OR($J367&lt;AE$3,$I367&gt;AE$2),0,IF($K367=0,IF(AND($I367&gt;=AE$3,$I367&lt;=AE$2),$E367,0),$E367*NETWORKDAYS(MAX($I367,AE$3),MIN($J367,AE$2),Data!$K$4:$K$203)/$K367)))</f>
        <v>0</v>
      </c>
      <c r="AF367" s="166">
        <f>IF(OR($I367="",$E367=0),0,IF(OR($J367&lt;AF$3,$I367&gt;AF$2),0,IF($K367=0,IF(AND($I367&gt;=AF$3,$I367&lt;=AF$2),$E367,0),$E367*NETWORKDAYS(MAX($I367,AF$3),MIN($J367,AF$2),Data!$K$4:$K$203)/$K367)))</f>
        <v>0</v>
      </c>
      <c r="AG367" s="166">
        <f>IF(OR($I367="",$E367=0),0,IF(OR($J367&lt;AG$3,$I367&gt;AG$2),0,IF($K367=0,IF(AND($I367&gt;=AG$3,$I367&lt;=AG$2),$E367,0),$E367*NETWORKDAYS(MAX($I367,AG$3),MIN($J367,AG$2),Data!$K$4:$K$203)/$K367)))</f>
        <v>0</v>
      </c>
      <c r="AH367" s="166">
        <f>IF(OR($I367="",$E367=0),0,IF(OR($J367&lt;AH$3,$I367&gt;AH$2),0,IF($K367=0,IF(AND($I367&gt;=AH$3,$I367&lt;=AH$2),$E367,0),$E367*NETWORKDAYS(MAX($I367,AH$3),MIN($J367,AH$2),Data!$K$4:$K$203)/$K367)))</f>
        <v>0</v>
      </c>
      <c r="AI367" s="166">
        <f>SUM(W367:AH367)</f>
        <v>0</v>
      </c>
      <c r="BZ367" t="str">
        <f>IF(D367=1,IF(TRIM(INDEX(Charge!$K:$K,ROW()))&lt;&gt;"",TRIM(INDEX(Charge!$K:$K,ROW())),IF(TRIM(INDEX(Charge!$L:$L,ROW()))&lt;&gt;"",TRIM(INDEX(Charge!$L:$L,ROW())),"(non affecté)")),"")</f>
        <v/>
      </c>
      <c r="CA367" t="str">
        <f>IF(AND($CD$4&lt;&gt;"",BZ367=$CD$4),COUNTIFS($BZ$4:$BZ$503,$CD$4,$L$4:$L$503,"&lt;"&amp;L367)+1,"")</f>
        <v/>
      </c>
      <c r="EM367" t="str">
        <f>IF(D367=1,IF(TRIM(INDEX(Charge!$K:$K,ROW()))&lt;&gt;"","Interne",IF(TRIM(INDEX(Charge!$L:$L,ROW()))&lt;&gt;"","Externe","Non affecté")),"")</f>
        <v/>
      </c>
      <c r="EN367" t="str">
        <f>IF(D367=1,LEFT(SUBSTITUTE(SUBSTITUTE(SUBSTITUTE(TRIM(SUBSTITUTE(INDEX(Charge!$B:$B,ROW()),CHAR(160)," "))&amp;" | "&amp;TRIM(SUBSTITUTE(INDEX(Charge!$C:$C,ROW()),CHAR(160)," "))&amp;" | "&amp;TRIM(SUBSTITUTE(INDEX(Charge!$D:$D,ROW()),CHAR(160)," ")),"~","-"),"*","+"),"?","!"),240),"")</f>
        <v/>
      </c>
      <c r="EO367">
        <f>IF(EN367="",0,IF(COUNTIF($EN$4:EN367,EN367)=1,1,0))</f>
        <v>0</v>
      </c>
      <c r="EP367" s="166" t="str">
        <f>IF(EO367=1,ROUND(SUMIF($EN$4:$EN$503,EN367,$E$4:$E$503),2),"")</f>
        <v/>
      </c>
      <c r="EQ367" t="str">
        <f>IF(EO367=1,COUNTIFS($EO$4:$EO$503,1,$EP$4:$EP$503,"&gt;"&amp;EP367)+COUNTIFS($EO$4:EO367,1,$EP$4:EP367,EP367),"")</f>
        <v/>
      </c>
      <c r="ER367" t="str">
        <f>IF(EO367=1,COUNTIFS($EN$4:$EN$503,EN367,$EM$4:$EM$503,"Interne",$FE$4:$FE$503,1),"")</f>
        <v/>
      </c>
      <c r="ES367" t="str">
        <f>IF(EO367=1,COUNTIFS($EN$4:$EN$503,EN367,$EM$4:$EM$503,"Externe",$FE$4:$FE$503,1),"")</f>
        <v/>
      </c>
      <c r="ET367" t="str">
        <f>IF(EO367=1,IF(ER367+ES367=0,"à affecter",IF(ER367=0,ES367&amp;" ext.",(ER367+ES367)&amp;IF(ES367&gt;0," dont "&amp;ES367&amp;" ext.",""))&amp;IF(COUNTIFS($EN$4:$EN$503,EN367,$EM$4:$EM$503,"Non affecté")&gt;0," + à affecter","")),"")</f>
        <v/>
      </c>
      <c r="EU367" s="170" t="str">
        <f>IF(EO367=1,IF(EP367&gt;0,SUMPRODUCT(($EN$4:$EN$503=EN367)*$E$4:$E$503*$C$4:$C$503)/EP367,AVERAGEIF($EN$4:$EN$503,EN367,$C$4:$C$503)),"")</f>
        <v/>
      </c>
      <c r="EV367" s="165">
        <f>IF(ISNUMBER(I367),I367,2958465)</f>
        <v>2958465.0</v>
      </c>
      <c r="EW367" s="165" t="str">
        <f>IF(EO367=1,SUMPRODUCT(MIN(($EN$4:$EN$503=EN367)*$EV$4:$EV$503+($EN$4:$EN$503&lt;&gt;EN367)*2958465)),"")</f>
        <v/>
      </c>
      <c r="EX367" s="165">
        <f>IF(AND(D367=1,ISNUMBER(INDEX(Charge!$F:$F,ROW()))),INDEX(Charge!$F:$F,ROW()),0)</f>
        <v>0.0</v>
      </c>
      <c r="EY367" s="165" t="str">
        <f>IF(EO367=1,SUMPRODUCT(MAX(($EN$4:$EN$503=EN367)*$EX$4:$EX$503)),"")</f>
        <v/>
      </c>
      <c r="FA367" t="str">
        <f>IF(364&lt;=$CD$23,INDEX($EJ$4:$EJ$203,364),IF(364-$CD$23&lt;=$CD$26,INDEX($EK$4:$EK$203,364-$CD$23),""))</f>
        <v/>
      </c>
      <c r="FB367" t="str">
        <f>IF(FA367="","",IF(364&lt;=$CD$23,"Interne","Externe"))</f>
        <v/>
      </c>
      <c r="FD367">
        <f>IF(AND(B367=1,TRIM(INDEX(Charge!$K:$K,ROW()))&lt;&gt;"",TRIM(INDEX(Charge!$L:$L,ROW()))&lt;&gt;""),1,0)</f>
        <v>0</v>
      </c>
      <c r="FE367">
        <f>IF(OR(EN367="",BZ367="(non affecté)"),0,IF(COUNTIFS($EN$4:EN367,EN367,$BZ$4:BZ367,BZ367)=1,1,0))</f>
        <v>0</v>
      </c>
    </row>
    <row r="368">
      <c r="A368">
        <f>ROW()</f>
        <v>368</v>
      </c>
      <c r="B368">
        <f>IF(TRIM(INDEX(Charge!$B:$B,ROW()))&lt;&gt;"",1,0)</f>
        <v>0</v>
      </c>
      <c r="C368">
        <f>IF(B368=1,MIN(1,MAX(0,N(INDEX(Charge!$O:$O,ROW())))),0)</f>
        <v>0</v>
      </c>
      <c r="D368">
        <f>IF(B368=1,IF(OR(p_Perimetre="Tous les projets",C368&lt;1),1,0),0)</f>
        <v>0</v>
      </c>
      <c r="E368">
        <f>IF(D368=1,MAX(0,N(INDEX(Charge!$M:$M,ROW()))),0)</f>
        <v>0</v>
      </c>
      <c r="F368" t="str">
        <f>IF(D368=1,IF(TRIM(INDEX(Charge!$A:$A,ROW()))="","(non renseigné)",TRIM(INDEX(Charge!$A:$A,ROW()))),"")</f>
        <v/>
      </c>
      <c r="G368" t="str">
        <f>IF(D368=1,TRIM(INDEX(Charge!$B:$B,ROW())),"")</f>
        <v/>
      </c>
      <c r="H368" t="str">
        <f>IF(D368=1,IF(TRIM(INDEX(Charge!$E:$E,ROW()))="","(non renseigné)",TRIM(INDEX(Charge!$E:$E,ROW()))),"")</f>
        <v/>
      </c>
      <c r="I368" s="165" t="str">
        <f>IF(AND(D368=1,ISNUMBER(INDEX(Charge!$N:$N,ROW()))),INDEX(Charge!$N:$N,ROW()),"")</f>
        <v/>
      </c>
      <c r="J368" s="165" t="str">
        <f>IF(I368="","",IF(AND(p_Repartition="Lissée jusqu'à la date de besoin",ISNUMBER(INDEX(Charge!$F:$F,ROW()))),IF(INDEX(Charge!$F:$F,ROW())&gt;=I368,INDEX(Charge!$F:$F,ROW()),I368),I368))</f>
        <v/>
      </c>
      <c r="K368" t="str">
        <f>IF(I368="","",NETWORKDAYS(I368,J368,Data!$K$4:$K$203))</f>
        <v/>
      </c>
      <c r="L368" t="str">
        <f>IF(D368=1,COUNTIFS($D$4:$D$503,1,$E$4:$E$503,"&gt;"&amp;E368)+COUNTIFS($D$4:$D368,1,$E$4:$E368,E368),"")</f>
        <v/>
      </c>
      <c r="M368">
        <f>IF(F368="",0,IF(COUNTIF($F$4:F368,F368)=1,1,0))</f>
        <v>0</v>
      </c>
      <c r="N368" t="str">
        <f>IF(M368=1,ROUND(SUMIF($F$4:$F$503,F368,$E$4:$E$503),2),"")</f>
        <v/>
      </c>
      <c r="O368" t="str">
        <f>IF(M368=1,COUNTIFS($M$4:$M$503,1,$N$4:$N$503,"&gt;"&amp;N368)+COUNTIFS($M$4:M368,1,$N$4:N368,N368),"")</f>
        <v/>
      </c>
      <c r="P368">
        <f>IF(G368="",0,IF(COUNTIF($G$4:G368,G368)=1,1,0))</f>
        <v>0</v>
      </c>
      <c r="Q368" t="str">
        <f>IF(P368=1,ROUND(SUMIF($G$4:$G$503,G368,$E$4:$E$503),2),"")</f>
        <v/>
      </c>
      <c r="R368" t="str">
        <f>IF(P368=1,COUNTIFS($P$4:$P$503,1,$Q$4:$Q$503,"&gt;"&amp;Q368)+COUNTIFS($P$4:P368,1,$Q$4:Q368,Q368),"")</f>
        <v/>
      </c>
      <c r="S368">
        <f>IF(H368="",0,IF(COUNTIF($H$4:H368,H368)=1,1,0))</f>
        <v>0</v>
      </c>
      <c r="T368" t="str">
        <f>IF(S368=1,ROUND(SUMIF($H$4:$H$503,H368,$E$4:$E$503),2),"")</f>
        <v/>
      </c>
      <c r="U368" t="str">
        <f>IF(S368=1,COUNTIFS($S$4:$S$503,1,$T$4:$T$503,"&gt;"&amp;T368)+COUNTIFS($S$4:S368,1,$T$4:T368,T368),"")</f>
        <v/>
      </c>
      <c r="V368" t="str">
        <f>IF(D368=1,MIN(INDEX($R$4:$R$503,MATCH(G368,$G$4:$G$503,0)),IF($AL$7&gt;9,9,999)),"")</f>
        <v/>
      </c>
      <c r="W368" s="166">
        <f>IF(OR($I368="",$E368=0),0,IF(OR($J368&lt;W$3,$I368&gt;W$2),0,IF($K368=0,IF(AND($I368&gt;=W$3,$I368&lt;=W$2),$E368,0),$E368*NETWORKDAYS(MAX($I368,W$3),MIN($J368,W$2),Data!$K$4:$K$203)/$K368)))</f>
        <v>0</v>
      </c>
      <c r="X368" s="166">
        <f>IF(OR($I368="",$E368=0),0,IF(OR($J368&lt;X$3,$I368&gt;X$2),0,IF($K368=0,IF(AND($I368&gt;=X$3,$I368&lt;=X$2),$E368,0),$E368*NETWORKDAYS(MAX($I368,X$3),MIN($J368,X$2),Data!$K$4:$K$203)/$K368)))</f>
        <v>0</v>
      </c>
      <c r="Y368" s="166">
        <f>IF(OR($I368="",$E368=0),0,IF(OR($J368&lt;Y$3,$I368&gt;Y$2),0,IF($K368=0,IF(AND($I368&gt;=Y$3,$I368&lt;=Y$2),$E368,0),$E368*NETWORKDAYS(MAX($I368,Y$3),MIN($J368,Y$2),Data!$K$4:$K$203)/$K368)))</f>
        <v>0</v>
      </c>
      <c r="Z368" s="166">
        <f>IF(OR($I368="",$E368=0),0,IF(OR($J368&lt;Z$3,$I368&gt;Z$2),0,IF($K368=0,IF(AND($I368&gt;=Z$3,$I368&lt;=Z$2),$E368,0),$E368*NETWORKDAYS(MAX($I368,Z$3),MIN($J368,Z$2),Data!$K$4:$K$203)/$K368)))</f>
        <v>0</v>
      </c>
      <c r="AA368" s="166">
        <f>IF(OR($I368="",$E368=0),0,IF(OR($J368&lt;AA$3,$I368&gt;AA$2),0,IF($K368=0,IF(AND($I368&gt;=AA$3,$I368&lt;=AA$2),$E368,0),$E368*NETWORKDAYS(MAX($I368,AA$3),MIN($J368,AA$2),Data!$K$4:$K$203)/$K368)))</f>
        <v>0</v>
      </c>
      <c r="AB368" s="166">
        <f>IF(OR($I368="",$E368=0),0,IF(OR($J368&lt;AB$3,$I368&gt;AB$2),0,IF($K368=0,IF(AND($I368&gt;=AB$3,$I368&lt;=AB$2),$E368,0),$E368*NETWORKDAYS(MAX($I368,AB$3),MIN($J368,AB$2),Data!$K$4:$K$203)/$K368)))</f>
        <v>0</v>
      </c>
      <c r="AC368" s="166">
        <f>IF(OR($I368="",$E368=0),0,IF(OR($J368&lt;AC$3,$I368&gt;AC$2),0,IF($K368=0,IF(AND($I368&gt;=AC$3,$I368&lt;=AC$2),$E368,0),$E368*NETWORKDAYS(MAX($I368,AC$3),MIN($J368,AC$2),Data!$K$4:$K$203)/$K368)))</f>
        <v>0</v>
      </c>
      <c r="AD368" s="166">
        <f>IF(OR($I368="",$E368=0),0,IF(OR($J368&lt;AD$3,$I368&gt;AD$2),0,IF($K368=0,IF(AND($I368&gt;=AD$3,$I368&lt;=AD$2),$E368,0),$E368*NETWORKDAYS(MAX($I368,AD$3),MIN($J368,AD$2),Data!$K$4:$K$203)/$K368)))</f>
        <v>0</v>
      </c>
      <c r="AE368" s="166">
        <f>IF(OR($I368="",$E368=0),0,IF(OR($J368&lt;AE$3,$I368&gt;AE$2),0,IF($K368=0,IF(AND($I368&gt;=AE$3,$I368&lt;=AE$2),$E368,0),$E368*NETWORKDAYS(MAX($I368,AE$3),MIN($J368,AE$2),Data!$K$4:$K$203)/$K368)))</f>
        <v>0</v>
      </c>
      <c r="AF368" s="166">
        <f>IF(OR($I368="",$E368=0),0,IF(OR($J368&lt;AF$3,$I368&gt;AF$2),0,IF($K368=0,IF(AND($I368&gt;=AF$3,$I368&lt;=AF$2),$E368,0),$E368*NETWORKDAYS(MAX($I368,AF$3),MIN($J368,AF$2),Data!$K$4:$K$203)/$K368)))</f>
        <v>0</v>
      </c>
      <c r="AG368" s="166">
        <f>IF(OR($I368="",$E368=0),0,IF(OR($J368&lt;AG$3,$I368&gt;AG$2),0,IF($K368=0,IF(AND($I368&gt;=AG$3,$I368&lt;=AG$2),$E368,0),$E368*NETWORKDAYS(MAX($I368,AG$3),MIN($J368,AG$2),Data!$K$4:$K$203)/$K368)))</f>
        <v>0</v>
      </c>
      <c r="AH368" s="166">
        <f>IF(OR($I368="",$E368=0),0,IF(OR($J368&lt;AH$3,$I368&gt;AH$2),0,IF($K368=0,IF(AND($I368&gt;=AH$3,$I368&lt;=AH$2),$E368,0),$E368*NETWORKDAYS(MAX($I368,AH$3),MIN($J368,AH$2),Data!$K$4:$K$203)/$K368)))</f>
        <v>0</v>
      </c>
      <c r="AI368" s="166">
        <f>SUM(W368:AH368)</f>
        <v>0</v>
      </c>
      <c r="BZ368" t="str">
        <f>IF(D368=1,IF(TRIM(INDEX(Charge!$K:$K,ROW()))&lt;&gt;"",TRIM(INDEX(Charge!$K:$K,ROW())),IF(TRIM(INDEX(Charge!$L:$L,ROW()))&lt;&gt;"",TRIM(INDEX(Charge!$L:$L,ROW())),"(non affecté)")),"")</f>
        <v/>
      </c>
      <c r="CA368" t="str">
        <f>IF(AND($CD$4&lt;&gt;"",BZ368=$CD$4),COUNTIFS($BZ$4:$BZ$503,$CD$4,$L$4:$L$503,"&lt;"&amp;L368)+1,"")</f>
        <v/>
      </c>
      <c r="EM368" t="str">
        <f>IF(D368=1,IF(TRIM(INDEX(Charge!$K:$K,ROW()))&lt;&gt;"","Interne",IF(TRIM(INDEX(Charge!$L:$L,ROW()))&lt;&gt;"","Externe","Non affecté")),"")</f>
        <v/>
      </c>
      <c r="EN368" t="str">
        <f>IF(D368=1,LEFT(SUBSTITUTE(SUBSTITUTE(SUBSTITUTE(TRIM(SUBSTITUTE(INDEX(Charge!$B:$B,ROW()),CHAR(160)," "))&amp;" | "&amp;TRIM(SUBSTITUTE(INDEX(Charge!$C:$C,ROW()),CHAR(160)," "))&amp;" | "&amp;TRIM(SUBSTITUTE(INDEX(Charge!$D:$D,ROW()),CHAR(160)," ")),"~","-"),"*","+"),"?","!"),240),"")</f>
        <v/>
      </c>
      <c r="EO368">
        <f>IF(EN368="",0,IF(COUNTIF($EN$4:EN368,EN368)=1,1,0))</f>
        <v>0</v>
      </c>
      <c r="EP368" s="166" t="str">
        <f>IF(EO368=1,ROUND(SUMIF($EN$4:$EN$503,EN368,$E$4:$E$503),2),"")</f>
        <v/>
      </c>
      <c r="EQ368" t="str">
        <f>IF(EO368=1,COUNTIFS($EO$4:$EO$503,1,$EP$4:$EP$503,"&gt;"&amp;EP368)+COUNTIFS($EO$4:EO368,1,$EP$4:EP368,EP368),"")</f>
        <v/>
      </c>
      <c r="ER368" t="str">
        <f>IF(EO368=1,COUNTIFS($EN$4:$EN$503,EN368,$EM$4:$EM$503,"Interne",$FE$4:$FE$503,1),"")</f>
        <v/>
      </c>
      <c r="ES368" t="str">
        <f>IF(EO368=1,COUNTIFS($EN$4:$EN$503,EN368,$EM$4:$EM$503,"Externe",$FE$4:$FE$503,1),"")</f>
        <v/>
      </c>
      <c r="ET368" t="str">
        <f>IF(EO368=1,IF(ER368+ES368=0,"à affecter",IF(ER368=0,ES368&amp;" ext.",(ER368+ES368)&amp;IF(ES368&gt;0," dont "&amp;ES368&amp;" ext.",""))&amp;IF(COUNTIFS($EN$4:$EN$503,EN368,$EM$4:$EM$503,"Non affecté")&gt;0," + à affecter","")),"")</f>
        <v/>
      </c>
      <c r="EU368" s="170" t="str">
        <f>IF(EO368=1,IF(EP368&gt;0,SUMPRODUCT(($EN$4:$EN$503=EN368)*$E$4:$E$503*$C$4:$C$503)/EP368,AVERAGEIF($EN$4:$EN$503,EN368,$C$4:$C$503)),"")</f>
        <v/>
      </c>
      <c r="EV368" s="165">
        <f>IF(ISNUMBER(I368),I368,2958465)</f>
        <v>2958465.0</v>
      </c>
      <c r="EW368" s="165" t="str">
        <f>IF(EO368=1,SUMPRODUCT(MIN(($EN$4:$EN$503=EN368)*$EV$4:$EV$503+($EN$4:$EN$503&lt;&gt;EN368)*2958465)),"")</f>
        <v/>
      </c>
      <c r="EX368" s="165">
        <f>IF(AND(D368=1,ISNUMBER(INDEX(Charge!$F:$F,ROW()))),INDEX(Charge!$F:$F,ROW()),0)</f>
        <v>0.0</v>
      </c>
      <c r="EY368" s="165" t="str">
        <f>IF(EO368=1,SUMPRODUCT(MAX(($EN$4:$EN$503=EN368)*$EX$4:$EX$503)),"")</f>
        <v/>
      </c>
      <c r="FA368" t="str">
        <f>IF(365&lt;=$CD$23,INDEX($EJ$4:$EJ$203,365),IF(365-$CD$23&lt;=$CD$26,INDEX($EK$4:$EK$203,365-$CD$23),""))</f>
        <v/>
      </c>
      <c r="FB368" t="str">
        <f>IF(FA368="","",IF(365&lt;=$CD$23,"Interne","Externe"))</f>
        <v/>
      </c>
      <c r="FD368">
        <f>IF(AND(B368=1,TRIM(INDEX(Charge!$K:$K,ROW()))&lt;&gt;"",TRIM(INDEX(Charge!$L:$L,ROW()))&lt;&gt;""),1,0)</f>
        <v>0</v>
      </c>
      <c r="FE368">
        <f>IF(OR(EN368="",BZ368="(non affecté)"),0,IF(COUNTIFS($EN$4:EN368,EN368,$BZ$4:BZ368,BZ368)=1,1,0))</f>
        <v>0</v>
      </c>
    </row>
    <row r="369">
      <c r="A369">
        <f>ROW()</f>
        <v>369</v>
      </c>
      <c r="B369">
        <f>IF(TRIM(INDEX(Charge!$B:$B,ROW()))&lt;&gt;"",1,0)</f>
        <v>0</v>
      </c>
      <c r="C369">
        <f>IF(B369=1,MIN(1,MAX(0,N(INDEX(Charge!$O:$O,ROW())))),0)</f>
        <v>0</v>
      </c>
      <c r="D369">
        <f>IF(B369=1,IF(OR(p_Perimetre="Tous les projets",C369&lt;1),1,0),0)</f>
        <v>0</v>
      </c>
      <c r="E369">
        <f>IF(D369=1,MAX(0,N(INDEX(Charge!$M:$M,ROW()))),0)</f>
        <v>0</v>
      </c>
      <c r="F369" t="str">
        <f>IF(D369=1,IF(TRIM(INDEX(Charge!$A:$A,ROW()))="","(non renseigné)",TRIM(INDEX(Charge!$A:$A,ROW()))),"")</f>
        <v/>
      </c>
      <c r="G369" t="str">
        <f>IF(D369=1,TRIM(INDEX(Charge!$B:$B,ROW())),"")</f>
        <v/>
      </c>
      <c r="H369" t="str">
        <f>IF(D369=1,IF(TRIM(INDEX(Charge!$E:$E,ROW()))="","(non renseigné)",TRIM(INDEX(Charge!$E:$E,ROW()))),"")</f>
        <v/>
      </c>
      <c r="I369" s="165" t="str">
        <f>IF(AND(D369=1,ISNUMBER(INDEX(Charge!$N:$N,ROW()))),INDEX(Charge!$N:$N,ROW()),"")</f>
        <v/>
      </c>
      <c r="J369" s="165" t="str">
        <f>IF(I369="","",IF(AND(p_Repartition="Lissée jusqu'à la date de besoin",ISNUMBER(INDEX(Charge!$F:$F,ROW()))),IF(INDEX(Charge!$F:$F,ROW())&gt;=I369,INDEX(Charge!$F:$F,ROW()),I369),I369))</f>
        <v/>
      </c>
      <c r="K369" t="str">
        <f>IF(I369="","",NETWORKDAYS(I369,J369,Data!$K$4:$K$203))</f>
        <v/>
      </c>
      <c r="L369" t="str">
        <f>IF(D369=1,COUNTIFS($D$4:$D$503,1,$E$4:$E$503,"&gt;"&amp;E369)+COUNTIFS($D$4:$D369,1,$E$4:$E369,E369),"")</f>
        <v/>
      </c>
      <c r="M369">
        <f>IF(F369="",0,IF(COUNTIF($F$4:F369,F369)=1,1,0))</f>
        <v>0</v>
      </c>
      <c r="N369" t="str">
        <f>IF(M369=1,ROUND(SUMIF($F$4:$F$503,F369,$E$4:$E$503),2),"")</f>
        <v/>
      </c>
      <c r="O369" t="str">
        <f>IF(M369=1,COUNTIFS($M$4:$M$503,1,$N$4:$N$503,"&gt;"&amp;N369)+COUNTIFS($M$4:M369,1,$N$4:N369,N369),"")</f>
        <v/>
      </c>
      <c r="P369">
        <f>IF(G369="",0,IF(COUNTIF($G$4:G369,G369)=1,1,0))</f>
        <v>0</v>
      </c>
      <c r="Q369" t="str">
        <f>IF(P369=1,ROUND(SUMIF($G$4:$G$503,G369,$E$4:$E$503),2),"")</f>
        <v/>
      </c>
      <c r="R369" t="str">
        <f>IF(P369=1,COUNTIFS($P$4:$P$503,1,$Q$4:$Q$503,"&gt;"&amp;Q369)+COUNTIFS($P$4:P369,1,$Q$4:Q369,Q369),"")</f>
        <v/>
      </c>
      <c r="S369">
        <f>IF(H369="",0,IF(COUNTIF($H$4:H369,H369)=1,1,0))</f>
        <v>0</v>
      </c>
      <c r="T369" t="str">
        <f>IF(S369=1,ROUND(SUMIF($H$4:$H$503,H369,$E$4:$E$503),2),"")</f>
        <v/>
      </c>
      <c r="U369" t="str">
        <f>IF(S369=1,COUNTIFS($S$4:$S$503,1,$T$4:$T$503,"&gt;"&amp;T369)+COUNTIFS($S$4:S369,1,$T$4:T369,T369),"")</f>
        <v/>
      </c>
      <c r="V369" t="str">
        <f>IF(D369=1,MIN(INDEX($R$4:$R$503,MATCH(G369,$G$4:$G$503,0)),IF($AL$7&gt;9,9,999)),"")</f>
        <v/>
      </c>
      <c r="W369" s="166">
        <f>IF(OR($I369="",$E369=0),0,IF(OR($J369&lt;W$3,$I369&gt;W$2),0,IF($K369=0,IF(AND($I369&gt;=W$3,$I369&lt;=W$2),$E369,0),$E369*NETWORKDAYS(MAX($I369,W$3),MIN($J369,W$2),Data!$K$4:$K$203)/$K369)))</f>
        <v>0</v>
      </c>
      <c r="X369" s="166">
        <f>IF(OR($I369="",$E369=0),0,IF(OR($J369&lt;X$3,$I369&gt;X$2),0,IF($K369=0,IF(AND($I369&gt;=X$3,$I369&lt;=X$2),$E369,0),$E369*NETWORKDAYS(MAX($I369,X$3),MIN($J369,X$2),Data!$K$4:$K$203)/$K369)))</f>
        <v>0</v>
      </c>
      <c r="Y369" s="166">
        <f>IF(OR($I369="",$E369=0),0,IF(OR($J369&lt;Y$3,$I369&gt;Y$2),0,IF($K369=0,IF(AND($I369&gt;=Y$3,$I369&lt;=Y$2),$E369,0),$E369*NETWORKDAYS(MAX($I369,Y$3),MIN($J369,Y$2),Data!$K$4:$K$203)/$K369)))</f>
        <v>0</v>
      </c>
      <c r="Z369" s="166">
        <f>IF(OR($I369="",$E369=0),0,IF(OR($J369&lt;Z$3,$I369&gt;Z$2),0,IF($K369=0,IF(AND($I369&gt;=Z$3,$I369&lt;=Z$2),$E369,0),$E369*NETWORKDAYS(MAX($I369,Z$3),MIN($J369,Z$2),Data!$K$4:$K$203)/$K369)))</f>
        <v>0</v>
      </c>
      <c r="AA369" s="166">
        <f>IF(OR($I369="",$E369=0),0,IF(OR($J369&lt;AA$3,$I369&gt;AA$2),0,IF($K369=0,IF(AND($I369&gt;=AA$3,$I369&lt;=AA$2),$E369,0),$E369*NETWORKDAYS(MAX($I369,AA$3),MIN($J369,AA$2),Data!$K$4:$K$203)/$K369)))</f>
        <v>0</v>
      </c>
      <c r="AB369" s="166">
        <f>IF(OR($I369="",$E369=0),0,IF(OR($J369&lt;AB$3,$I369&gt;AB$2),0,IF($K369=0,IF(AND($I369&gt;=AB$3,$I369&lt;=AB$2),$E369,0),$E369*NETWORKDAYS(MAX($I369,AB$3),MIN($J369,AB$2),Data!$K$4:$K$203)/$K369)))</f>
        <v>0</v>
      </c>
      <c r="AC369" s="166">
        <f>IF(OR($I369="",$E369=0),0,IF(OR($J369&lt;AC$3,$I369&gt;AC$2),0,IF($K369=0,IF(AND($I369&gt;=AC$3,$I369&lt;=AC$2),$E369,0),$E369*NETWORKDAYS(MAX($I369,AC$3),MIN($J369,AC$2),Data!$K$4:$K$203)/$K369)))</f>
        <v>0</v>
      </c>
      <c r="AD369" s="166">
        <f>IF(OR($I369="",$E369=0),0,IF(OR($J369&lt;AD$3,$I369&gt;AD$2),0,IF($K369=0,IF(AND($I369&gt;=AD$3,$I369&lt;=AD$2),$E369,0),$E369*NETWORKDAYS(MAX($I369,AD$3),MIN($J369,AD$2),Data!$K$4:$K$203)/$K369)))</f>
        <v>0</v>
      </c>
      <c r="AE369" s="166">
        <f>IF(OR($I369="",$E369=0),0,IF(OR($J369&lt;AE$3,$I369&gt;AE$2),0,IF($K369=0,IF(AND($I369&gt;=AE$3,$I369&lt;=AE$2),$E369,0),$E369*NETWORKDAYS(MAX($I369,AE$3),MIN($J369,AE$2),Data!$K$4:$K$203)/$K369)))</f>
        <v>0</v>
      </c>
      <c r="AF369" s="166">
        <f>IF(OR($I369="",$E369=0),0,IF(OR($J369&lt;AF$3,$I369&gt;AF$2),0,IF($K369=0,IF(AND($I369&gt;=AF$3,$I369&lt;=AF$2),$E369,0),$E369*NETWORKDAYS(MAX($I369,AF$3),MIN($J369,AF$2),Data!$K$4:$K$203)/$K369)))</f>
        <v>0</v>
      </c>
      <c r="AG369" s="166">
        <f>IF(OR($I369="",$E369=0),0,IF(OR($J369&lt;AG$3,$I369&gt;AG$2),0,IF($K369=0,IF(AND($I369&gt;=AG$3,$I369&lt;=AG$2),$E369,0),$E369*NETWORKDAYS(MAX($I369,AG$3),MIN($J369,AG$2),Data!$K$4:$K$203)/$K369)))</f>
        <v>0</v>
      </c>
      <c r="AH369" s="166">
        <f>IF(OR($I369="",$E369=0),0,IF(OR($J369&lt;AH$3,$I369&gt;AH$2),0,IF($K369=0,IF(AND($I369&gt;=AH$3,$I369&lt;=AH$2),$E369,0),$E369*NETWORKDAYS(MAX($I369,AH$3),MIN($J369,AH$2),Data!$K$4:$K$203)/$K369)))</f>
        <v>0</v>
      </c>
      <c r="AI369" s="166">
        <f>SUM(W369:AH369)</f>
        <v>0</v>
      </c>
      <c r="BZ369" t="str">
        <f>IF(D369=1,IF(TRIM(INDEX(Charge!$K:$K,ROW()))&lt;&gt;"",TRIM(INDEX(Charge!$K:$K,ROW())),IF(TRIM(INDEX(Charge!$L:$L,ROW()))&lt;&gt;"",TRIM(INDEX(Charge!$L:$L,ROW())),"(non affecté)")),"")</f>
        <v/>
      </c>
      <c r="CA369" t="str">
        <f>IF(AND($CD$4&lt;&gt;"",BZ369=$CD$4),COUNTIFS($BZ$4:$BZ$503,$CD$4,$L$4:$L$503,"&lt;"&amp;L369)+1,"")</f>
        <v/>
      </c>
      <c r="EM369" t="str">
        <f>IF(D369=1,IF(TRIM(INDEX(Charge!$K:$K,ROW()))&lt;&gt;"","Interne",IF(TRIM(INDEX(Charge!$L:$L,ROW()))&lt;&gt;"","Externe","Non affecté")),"")</f>
        <v/>
      </c>
      <c r="EN369" t="str">
        <f>IF(D369=1,LEFT(SUBSTITUTE(SUBSTITUTE(SUBSTITUTE(TRIM(SUBSTITUTE(INDEX(Charge!$B:$B,ROW()),CHAR(160)," "))&amp;" | "&amp;TRIM(SUBSTITUTE(INDEX(Charge!$C:$C,ROW()),CHAR(160)," "))&amp;" | "&amp;TRIM(SUBSTITUTE(INDEX(Charge!$D:$D,ROW()),CHAR(160)," ")),"~","-"),"*","+"),"?","!"),240),"")</f>
        <v/>
      </c>
      <c r="EO369">
        <f>IF(EN369="",0,IF(COUNTIF($EN$4:EN369,EN369)=1,1,0))</f>
        <v>0</v>
      </c>
      <c r="EP369" s="166" t="str">
        <f>IF(EO369=1,ROUND(SUMIF($EN$4:$EN$503,EN369,$E$4:$E$503),2),"")</f>
        <v/>
      </c>
      <c r="EQ369" t="str">
        <f>IF(EO369=1,COUNTIFS($EO$4:$EO$503,1,$EP$4:$EP$503,"&gt;"&amp;EP369)+COUNTIFS($EO$4:EO369,1,$EP$4:EP369,EP369),"")</f>
        <v/>
      </c>
      <c r="ER369" t="str">
        <f>IF(EO369=1,COUNTIFS($EN$4:$EN$503,EN369,$EM$4:$EM$503,"Interne",$FE$4:$FE$503,1),"")</f>
        <v/>
      </c>
      <c r="ES369" t="str">
        <f>IF(EO369=1,COUNTIFS($EN$4:$EN$503,EN369,$EM$4:$EM$503,"Externe",$FE$4:$FE$503,1),"")</f>
        <v/>
      </c>
      <c r="ET369" t="str">
        <f>IF(EO369=1,IF(ER369+ES369=0,"à affecter",IF(ER369=0,ES369&amp;" ext.",(ER369+ES369)&amp;IF(ES369&gt;0," dont "&amp;ES369&amp;" ext.",""))&amp;IF(COUNTIFS($EN$4:$EN$503,EN369,$EM$4:$EM$503,"Non affecté")&gt;0," + à affecter","")),"")</f>
        <v/>
      </c>
      <c r="EU369" s="170" t="str">
        <f>IF(EO369=1,IF(EP369&gt;0,SUMPRODUCT(($EN$4:$EN$503=EN369)*$E$4:$E$503*$C$4:$C$503)/EP369,AVERAGEIF($EN$4:$EN$503,EN369,$C$4:$C$503)),"")</f>
        <v/>
      </c>
      <c r="EV369" s="165">
        <f>IF(ISNUMBER(I369),I369,2958465)</f>
        <v>2958465.0</v>
      </c>
      <c r="EW369" s="165" t="str">
        <f>IF(EO369=1,SUMPRODUCT(MIN(($EN$4:$EN$503=EN369)*$EV$4:$EV$503+($EN$4:$EN$503&lt;&gt;EN369)*2958465)),"")</f>
        <v/>
      </c>
      <c r="EX369" s="165">
        <f>IF(AND(D369=1,ISNUMBER(INDEX(Charge!$F:$F,ROW()))),INDEX(Charge!$F:$F,ROW()),0)</f>
        <v>0.0</v>
      </c>
      <c r="EY369" s="165" t="str">
        <f>IF(EO369=1,SUMPRODUCT(MAX(($EN$4:$EN$503=EN369)*$EX$4:$EX$503)),"")</f>
        <v/>
      </c>
      <c r="FA369" t="str">
        <f>IF(366&lt;=$CD$23,INDEX($EJ$4:$EJ$203,366),IF(366-$CD$23&lt;=$CD$26,INDEX($EK$4:$EK$203,366-$CD$23),""))</f>
        <v/>
      </c>
      <c r="FB369" t="str">
        <f>IF(FA369="","",IF(366&lt;=$CD$23,"Interne","Externe"))</f>
        <v/>
      </c>
      <c r="FD369">
        <f>IF(AND(B369=1,TRIM(INDEX(Charge!$K:$K,ROW()))&lt;&gt;"",TRIM(INDEX(Charge!$L:$L,ROW()))&lt;&gt;""),1,0)</f>
        <v>0</v>
      </c>
      <c r="FE369">
        <f>IF(OR(EN369="",BZ369="(non affecté)"),0,IF(COUNTIFS($EN$4:EN369,EN369,$BZ$4:BZ369,BZ369)=1,1,0))</f>
        <v>0</v>
      </c>
    </row>
    <row r="370">
      <c r="A370">
        <f>ROW()</f>
        <v>370</v>
      </c>
      <c r="B370">
        <f>IF(TRIM(INDEX(Charge!$B:$B,ROW()))&lt;&gt;"",1,0)</f>
        <v>0</v>
      </c>
      <c r="C370">
        <f>IF(B370=1,MIN(1,MAX(0,N(INDEX(Charge!$O:$O,ROW())))),0)</f>
        <v>0</v>
      </c>
      <c r="D370">
        <f>IF(B370=1,IF(OR(p_Perimetre="Tous les projets",C370&lt;1),1,0),0)</f>
        <v>0</v>
      </c>
      <c r="E370">
        <f>IF(D370=1,MAX(0,N(INDEX(Charge!$M:$M,ROW()))),0)</f>
        <v>0</v>
      </c>
      <c r="F370" t="str">
        <f>IF(D370=1,IF(TRIM(INDEX(Charge!$A:$A,ROW()))="","(non renseigné)",TRIM(INDEX(Charge!$A:$A,ROW()))),"")</f>
        <v/>
      </c>
      <c r="G370" t="str">
        <f>IF(D370=1,TRIM(INDEX(Charge!$B:$B,ROW())),"")</f>
        <v/>
      </c>
      <c r="H370" t="str">
        <f>IF(D370=1,IF(TRIM(INDEX(Charge!$E:$E,ROW()))="","(non renseigné)",TRIM(INDEX(Charge!$E:$E,ROW()))),"")</f>
        <v/>
      </c>
      <c r="I370" s="165" t="str">
        <f>IF(AND(D370=1,ISNUMBER(INDEX(Charge!$N:$N,ROW()))),INDEX(Charge!$N:$N,ROW()),"")</f>
        <v/>
      </c>
      <c r="J370" s="165" t="str">
        <f>IF(I370="","",IF(AND(p_Repartition="Lissée jusqu'à la date de besoin",ISNUMBER(INDEX(Charge!$F:$F,ROW()))),IF(INDEX(Charge!$F:$F,ROW())&gt;=I370,INDEX(Charge!$F:$F,ROW()),I370),I370))</f>
        <v/>
      </c>
      <c r="K370" t="str">
        <f>IF(I370="","",NETWORKDAYS(I370,J370,Data!$K$4:$K$203))</f>
        <v/>
      </c>
      <c r="L370" t="str">
        <f>IF(D370=1,COUNTIFS($D$4:$D$503,1,$E$4:$E$503,"&gt;"&amp;E370)+COUNTIFS($D$4:$D370,1,$E$4:$E370,E370),"")</f>
        <v/>
      </c>
      <c r="M370">
        <f>IF(F370="",0,IF(COUNTIF($F$4:F370,F370)=1,1,0))</f>
        <v>0</v>
      </c>
      <c r="N370" t="str">
        <f>IF(M370=1,ROUND(SUMIF($F$4:$F$503,F370,$E$4:$E$503),2),"")</f>
        <v/>
      </c>
      <c r="O370" t="str">
        <f>IF(M370=1,COUNTIFS($M$4:$M$503,1,$N$4:$N$503,"&gt;"&amp;N370)+COUNTIFS($M$4:M370,1,$N$4:N370,N370),"")</f>
        <v/>
      </c>
      <c r="P370">
        <f>IF(G370="",0,IF(COUNTIF($G$4:G370,G370)=1,1,0))</f>
        <v>0</v>
      </c>
      <c r="Q370" t="str">
        <f>IF(P370=1,ROUND(SUMIF($G$4:$G$503,G370,$E$4:$E$503),2),"")</f>
        <v/>
      </c>
      <c r="R370" t="str">
        <f>IF(P370=1,COUNTIFS($P$4:$P$503,1,$Q$4:$Q$503,"&gt;"&amp;Q370)+COUNTIFS($P$4:P370,1,$Q$4:Q370,Q370),"")</f>
        <v/>
      </c>
      <c r="S370">
        <f>IF(H370="",0,IF(COUNTIF($H$4:H370,H370)=1,1,0))</f>
        <v>0</v>
      </c>
      <c r="T370" t="str">
        <f>IF(S370=1,ROUND(SUMIF($H$4:$H$503,H370,$E$4:$E$503),2),"")</f>
        <v/>
      </c>
      <c r="U370" t="str">
        <f>IF(S370=1,COUNTIFS($S$4:$S$503,1,$T$4:$T$503,"&gt;"&amp;T370)+COUNTIFS($S$4:S370,1,$T$4:T370,T370),"")</f>
        <v/>
      </c>
      <c r="V370" t="str">
        <f>IF(D370=1,MIN(INDEX($R$4:$R$503,MATCH(G370,$G$4:$G$503,0)),IF($AL$7&gt;9,9,999)),"")</f>
        <v/>
      </c>
      <c r="W370" s="166">
        <f>IF(OR($I370="",$E370=0),0,IF(OR($J370&lt;W$3,$I370&gt;W$2),0,IF($K370=0,IF(AND($I370&gt;=W$3,$I370&lt;=W$2),$E370,0),$E370*NETWORKDAYS(MAX($I370,W$3),MIN($J370,W$2),Data!$K$4:$K$203)/$K370)))</f>
        <v>0</v>
      </c>
      <c r="X370" s="166">
        <f>IF(OR($I370="",$E370=0),0,IF(OR($J370&lt;X$3,$I370&gt;X$2),0,IF($K370=0,IF(AND($I370&gt;=X$3,$I370&lt;=X$2),$E370,0),$E370*NETWORKDAYS(MAX($I370,X$3),MIN($J370,X$2),Data!$K$4:$K$203)/$K370)))</f>
        <v>0</v>
      </c>
      <c r="Y370" s="166">
        <f>IF(OR($I370="",$E370=0),0,IF(OR($J370&lt;Y$3,$I370&gt;Y$2),0,IF($K370=0,IF(AND($I370&gt;=Y$3,$I370&lt;=Y$2),$E370,0),$E370*NETWORKDAYS(MAX($I370,Y$3),MIN($J370,Y$2),Data!$K$4:$K$203)/$K370)))</f>
        <v>0</v>
      </c>
      <c r="Z370" s="166">
        <f>IF(OR($I370="",$E370=0),0,IF(OR($J370&lt;Z$3,$I370&gt;Z$2),0,IF($K370=0,IF(AND($I370&gt;=Z$3,$I370&lt;=Z$2),$E370,0),$E370*NETWORKDAYS(MAX($I370,Z$3),MIN($J370,Z$2),Data!$K$4:$K$203)/$K370)))</f>
        <v>0</v>
      </c>
      <c r="AA370" s="166">
        <f>IF(OR($I370="",$E370=0),0,IF(OR($J370&lt;AA$3,$I370&gt;AA$2),0,IF($K370=0,IF(AND($I370&gt;=AA$3,$I370&lt;=AA$2),$E370,0),$E370*NETWORKDAYS(MAX($I370,AA$3),MIN($J370,AA$2),Data!$K$4:$K$203)/$K370)))</f>
        <v>0</v>
      </c>
      <c r="AB370" s="166">
        <f>IF(OR($I370="",$E370=0),0,IF(OR($J370&lt;AB$3,$I370&gt;AB$2),0,IF($K370=0,IF(AND($I370&gt;=AB$3,$I370&lt;=AB$2),$E370,0),$E370*NETWORKDAYS(MAX($I370,AB$3),MIN($J370,AB$2),Data!$K$4:$K$203)/$K370)))</f>
        <v>0</v>
      </c>
      <c r="AC370" s="166">
        <f>IF(OR($I370="",$E370=0),0,IF(OR($J370&lt;AC$3,$I370&gt;AC$2),0,IF($K370=0,IF(AND($I370&gt;=AC$3,$I370&lt;=AC$2),$E370,0),$E370*NETWORKDAYS(MAX($I370,AC$3),MIN($J370,AC$2),Data!$K$4:$K$203)/$K370)))</f>
        <v>0</v>
      </c>
      <c r="AD370" s="166">
        <f>IF(OR($I370="",$E370=0),0,IF(OR($J370&lt;AD$3,$I370&gt;AD$2),0,IF($K370=0,IF(AND($I370&gt;=AD$3,$I370&lt;=AD$2),$E370,0),$E370*NETWORKDAYS(MAX($I370,AD$3),MIN($J370,AD$2),Data!$K$4:$K$203)/$K370)))</f>
        <v>0</v>
      </c>
      <c r="AE370" s="166">
        <f>IF(OR($I370="",$E370=0),0,IF(OR($J370&lt;AE$3,$I370&gt;AE$2),0,IF($K370=0,IF(AND($I370&gt;=AE$3,$I370&lt;=AE$2),$E370,0),$E370*NETWORKDAYS(MAX($I370,AE$3),MIN($J370,AE$2),Data!$K$4:$K$203)/$K370)))</f>
        <v>0</v>
      </c>
      <c r="AF370" s="166">
        <f>IF(OR($I370="",$E370=0),0,IF(OR($J370&lt;AF$3,$I370&gt;AF$2),0,IF($K370=0,IF(AND($I370&gt;=AF$3,$I370&lt;=AF$2),$E370,0),$E370*NETWORKDAYS(MAX($I370,AF$3),MIN($J370,AF$2),Data!$K$4:$K$203)/$K370)))</f>
        <v>0</v>
      </c>
      <c r="AG370" s="166">
        <f>IF(OR($I370="",$E370=0),0,IF(OR($J370&lt;AG$3,$I370&gt;AG$2),0,IF($K370=0,IF(AND($I370&gt;=AG$3,$I370&lt;=AG$2),$E370,0),$E370*NETWORKDAYS(MAX($I370,AG$3),MIN($J370,AG$2),Data!$K$4:$K$203)/$K370)))</f>
        <v>0</v>
      </c>
      <c r="AH370" s="166">
        <f>IF(OR($I370="",$E370=0),0,IF(OR($J370&lt;AH$3,$I370&gt;AH$2),0,IF($K370=0,IF(AND($I370&gt;=AH$3,$I370&lt;=AH$2),$E370,0),$E370*NETWORKDAYS(MAX($I370,AH$3),MIN($J370,AH$2),Data!$K$4:$K$203)/$K370)))</f>
        <v>0</v>
      </c>
      <c r="AI370" s="166">
        <f>SUM(W370:AH370)</f>
        <v>0</v>
      </c>
      <c r="BZ370" t="str">
        <f>IF(D370=1,IF(TRIM(INDEX(Charge!$K:$K,ROW()))&lt;&gt;"",TRIM(INDEX(Charge!$K:$K,ROW())),IF(TRIM(INDEX(Charge!$L:$L,ROW()))&lt;&gt;"",TRIM(INDEX(Charge!$L:$L,ROW())),"(non affecté)")),"")</f>
        <v/>
      </c>
      <c r="CA370" t="str">
        <f>IF(AND($CD$4&lt;&gt;"",BZ370=$CD$4),COUNTIFS($BZ$4:$BZ$503,$CD$4,$L$4:$L$503,"&lt;"&amp;L370)+1,"")</f>
        <v/>
      </c>
      <c r="EM370" t="str">
        <f>IF(D370=1,IF(TRIM(INDEX(Charge!$K:$K,ROW()))&lt;&gt;"","Interne",IF(TRIM(INDEX(Charge!$L:$L,ROW()))&lt;&gt;"","Externe","Non affecté")),"")</f>
        <v/>
      </c>
      <c r="EN370" t="str">
        <f>IF(D370=1,LEFT(SUBSTITUTE(SUBSTITUTE(SUBSTITUTE(TRIM(SUBSTITUTE(INDEX(Charge!$B:$B,ROW()),CHAR(160)," "))&amp;" | "&amp;TRIM(SUBSTITUTE(INDEX(Charge!$C:$C,ROW()),CHAR(160)," "))&amp;" | "&amp;TRIM(SUBSTITUTE(INDEX(Charge!$D:$D,ROW()),CHAR(160)," ")),"~","-"),"*","+"),"?","!"),240),"")</f>
        <v/>
      </c>
      <c r="EO370">
        <f>IF(EN370="",0,IF(COUNTIF($EN$4:EN370,EN370)=1,1,0))</f>
        <v>0</v>
      </c>
      <c r="EP370" s="166" t="str">
        <f>IF(EO370=1,ROUND(SUMIF($EN$4:$EN$503,EN370,$E$4:$E$503),2),"")</f>
        <v/>
      </c>
      <c r="EQ370" t="str">
        <f>IF(EO370=1,COUNTIFS($EO$4:$EO$503,1,$EP$4:$EP$503,"&gt;"&amp;EP370)+COUNTIFS($EO$4:EO370,1,$EP$4:EP370,EP370),"")</f>
        <v/>
      </c>
      <c r="ER370" t="str">
        <f>IF(EO370=1,COUNTIFS($EN$4:$EN$503,EN370,$EM$4:$EM$503,"Interne",$FE$4:$FE$503,1),"")</f>
        <v/>
      </c>
      <c r="ES370" t="str">
        <f>IF(EO370=1,COUNTIFS($EN$4:$EN$503,EN370,$EM$4:$EM$503,"Externe",$FE$4:$FE$503,1),"")</f>
        <v/>
      </c>
      <c r="ET370" t="str">
        <f>IF(EO370=1,IF(ER370+ES370=0,"à affecter",IF(ER370=0,ES370&amp;" ext.",(ER370+ES370)&amp;IF(ES370&gt;0," dont "&amp;ES370&amp;" ext.",""))&amp;IF(COUNTIFS($EN$4:$EN$503,EN370,$EM$4:$EM$503,"Non affecté")&gt;0," + à affecter","")),"")</f>
        <v/>
      </c>
      <c r="EU370" s="170" t="str">
        <f>IF(EO370=1,IF(EP370&gt;0,SUMPRODUCT(($EN$4:$EN$503=EN370)*$E$4:$E$503*$C$4:$C$503)/EP370,AVERAGEIF($EN$4:$EN$503,EN370,$C$4:$C$503)),"")</f>
        <v/>
      </c>
      <c r="EV370" s="165">
        <f>IF(ISNUMBER(I370),I370,2958465)</f>
        <v>2958465.0</v>
      </c>
      <c r="EW370" s="165" t="str">
        <f>IF(EO370=1,SUMPRODUCT(MIN(($EN$4:$EN$503=EN370)*$EV$4:$EV$503+($EN$4:$EN$503&lt;&gt;EN370)*2958465)),"")</f>
        <v/>
      </c>
      <c r="EX370" s="165">
        <f>IF(AND(D370=1,ISNUMBER(INDEX(Charge!$F:$F,ROW()))),INDEX(Charge!$F:$F,ROW()),0)</f>
        <v>0.0</v>
      </c>
      <c r="EY370" s="165" t="str">
        <f>IF(EO370=1,SUMPRODUCT(MAX(($EN$4:$EN$503=EN370)*$EX$4:$EX$503)),"")</f>
        <v/>
      </c>
      <c r="FA370" t="str">
        <f>IF(367&lt;=$CD$23,INDEX($EJ$4:$EJ$203,367),IF(367-$CD$23&lt;=$CD$26,INDEX($EK$4:$EK$203,367-$CD$23),""))</f>
        <v/>
      </c>
      <c r="FB370" t="str">
        <f>IF(FA370="","",IF(367&lt;=$CD$23,"Interne","Externe"))</f>
        <v/>
      </c>
      <c r="FD370">
        <f>IF(AND(B370=1,TRIM(INDEX(Charge!$K:$K,ROW()))&lt;&gt;"",TRIM(INDEX(Charge!$L:$L,ROW()))&lt;&gt;""),1,0)</f>
        <v>0</v>
      </c>
      <c r="FE370">
        <f>IF(OR(EN370="",BZ370="(non affecté)"),0,IF(COUNTIFS($EN$4:EN370,EN370,$BZ$4:BZ370,BZ370)=1,1,0))</f>
        <v>0</v>
      </c>
    </row>
    <row r="371">
      <c r="A371">
        <f>ROW()</f>
        <v>371</v>
      </c>
      <c r="B371">
        <f>IF(TRIM(INDEX(Charge!$B:$B,ROW()))&lt;&gt;"",1,0)</f>
        <v>0</v>
      </c>
      <c r="C371">
        <f>IF(B371=1,MIN(1,MAX(0,N(INDEX(Charge!$O:$O,ROW())))),0)</f>
        <v>0</v>
      </c>
      <c r="D371">
        <f>IF(B371=1,IF(OR(p_Perimetre="Tous les projets",C371&lt;1),1,0),0)</f>
        <v>0</v>
      </c>
      <c r="E371">
        <f>IF(D371=1,MAX(0,N(INDEX(Charge!$M:$M,ROW()))),0)</f>
        <v>0</v>
      </c>
      <c r="F371" t="str">
        <f>IF(D371=1,IF(TRIM(INDEX(Charge!$A:$A,ROW()))="","(non renseigné)",TRIM(INDEX(Charge!$A:$A,ROW()))),"")</f>
        <v/>
      </c>
      <c r="G371" t="str">
        <f>IF(D371=1,TRIM(INDEX(Charge!$B:$B,ROW())),"")</f>
        <v/>
      </c>
      <c r="H371" t="str">
        <f>IF(D371=1,IF(TRIM(INDEX(Charge!$E:$E,ROW()))="","(non renseigné)",TRIM(INDEX(Charge!$E:$E,ROW()))),"")</f>
        <v/>
      </c>
      <c r="I371" s="165" t="str">
        <f>IF(AND(D371=1,ISNUMBER(INDEX(Charge!$N:$N,ROW()))),INDEX(Charge!$N:$N,ROW()),"")</f>
        <v/>
      </c>
      <c r="J371" s="165" t="str">
        <f>IF(I371="","",IF(AND(p_Repartition="Lissée jusqu'à la date de besoin",ISNUMBER(INDEX(Charge!$F:$F,ROW()))),IF(INDEX(Charge!$F:$F,ROW())&gt;=I371,INDEX(Charge!$F:$F,ROW()),I371),I371))</f>
        <v/>
      </c>
      <c r="K371" t="str">
        <f>IF(I371="","",NETWORKDAYS(I371,J371,Data!$K$4:$K$203))</f>
        <v/>
      </c>
      <c r="L371" t="str">
        <f>IF(D371=1,COUNTIFS($D$4:$D$503,1,$E$4:$E$503,"&gt;"&amp;E371)+COUNTIFS($D$4:$D371,1,$E$4:$E371,E371),"")</f>
        <v/>
      </c>
      <c r="M371">
        <f>IF(F371="",0,IF(COUNTIF($F$4:F371,F371)=1,1,0))</f>
        <v>0</v>
      </c>
      <c r="N371" t="str">
        <f>IF(M371=1,ROUND(SUMIF($F$4:$F$503,F371,$E$4:$E$503),2),"")</f>
        <v/>
      </c>
      <c r="O371" t="str">
        <f>IF(M371=1,COUNTIFS($M$4:$M$503,1,$N$4:$N$503,"&gt;"&amp;N371)+COUNTIFS($M$4:M371,1,$N$4:N371,N371),"")</f>
        <v/>
      </c>
      <c r="P371">
        <f>IF(G371="",0,IF(COUNTIF($G$4:G371,G371)=1,1,0))</f>
        <v>0</v>
      </c>
      <c r="Q371" t="str">
        <f>IF(P371=1,ROUND(SUMIF($G$4:$G$503,G371,$E$4:$E$503),2),"")</f>
        <v/>
      </c>
      <c r="R371" t="str">
        <f>IF(P371=1,COUNTIFS($P$4:$P$503,1,$Q$4:$Q$503,"&gt;"&amp;Q371)+COUNTIFS($P$4:P371,1,$Q$4:Q371,Q371),"")</f>
        <v/>
      </c>
      <c r="S371">
        <f>IF(H371="",0,IF(COUNTIF($H$4:H371,H371)=1,1,0))</f>
        <v>0</v>
      </c>
      <c r="T371" t="str">
        <f>IF(S371=1,ROUND(SUMIF($H$4:$H$503,H371,$E$4:$E$503),2),"")</f>
        <v/>
      </c>
      <c r="U371" t="str">
        <f>IF(S371=1,COUNTIFS($S$4:$S$503,1,$T$4:$T$503,"&gt;"&amp;T371)+COUNTIFS($S$4:S371,1,$T$4:T371,T371),"")</f>
        <v/>
      </c>
      <c r="V371" t="str">
        <f>IF(D371=1,MIN(INDEX($R$4:$R$503,MATCH(G371,$G$4:$G$503,0)),IF($AL$7&gt;9,9,999)),"")</f>
        <v/>
      </c>
      <c r="W371" s="166">
        <f>IF(OR($I371="",$E371=0),0,IF(OR($J371&lt;W$3,$I371&gt;W$2),0,IF($K371=0,IF(AND($I371&gt;=W$3,$I371&lt;=W$2),$E371,0),$E371*NETWORKDAYS(MAX($I371,W$3),MIN($J371,W$2),Data!$K$4:$K$203)/$K371)))</f>
        <v>0</v>
      </c>
      <c r="X371" s="166">
        <f>IF(OR($I371="",$E371=0),0,IF(OR($J371&lt;X$3,$I371&gt;X$2),0,IF($K371=0,IF(AND($I371&gt;=X$3,$I371&lt;=X$2),$E371,0),$E371*NETWORKDAYS(MAX($I371,X$3),MIN($J371,X$2),Data!$K$4:$K$203)/$K371)))</f>
        <v>0</v>
      </c>
      <c r="Y371" s="166">
        <f>IF(OR($I371="",$E371=0),0,IF(OR($J371&lt;Y$3,$I371&gt;Y$2),0,IF($K371=0,IF(AND($I371&gt;=Y$3,$I371&lt;=Y$2),$E371,0),$E371*NETWORKDAYS(MAX($I371,Y$3),MIN($J371,Y$2),Data!$K$4:$K$203)/$K371)))</f>
        <v>0</v>
      </c>
      <c r="Z371" s="166">
        <f>IF(OR($I371="",$E371=0),0,IF(OR($J371&lt;Z$3,$I371&gt;Z$2),0,IF($K371=0,IF(AND($I371&gt;=Z$3,$I371&lt;=Z$2),$E371,0),$E371*NETWORKDAYS(MAX($I371,Z$3),MIN($J371,Z$2),Data!$K$4:$K$203)/$K371)))</f>
        <v>0</v>
      </c>
      <c r="AA371" s="166">
        <f>IF(OR($I371="",$E371=0),0,IF(OR($J371&lt;AA$3,$I371&gt;AA$2),0,IF($K371=0,IF(AND($I371&gt;=AA$3,$I371&lt;=AA$2),$E371,0),$E371*NETWORKDAYS(MAX($I371,AA$3),MIN($J371,AA$2),Data!$K$4:$K$203)/$K371)))</f>
        <v>0</v>
      </c>
      <c r="AB371" s="166">
        <f>IF(OR($I371="",$E371=0),0,IF(OR($J371&lt;AB$3,$I371&gt;AB$2),0,IF($K371=0,IF(AND($I371&gt;=AB$3,$I371&lt;=AB$2),$E371,0),$E371*NETWORKDAYS(MAX($I371,AB$3),MIN($J371,AB$2),Data!$K$4:$K$203)/$K371)))</f>
        <v>0</v>
      </c>
      <c r="AC371" s="166">
        <f>IF(OR($I371="",$E371=0),0,IF(OR($J371&lt;AC$3,$I371&gt;AC$2),0,IF($K371=0,IF(AND($I371&gt;=AC$3,$I371&lt;=AC$2),$E371,0),$E371*NETWORKDAYS(MAX($I371,AC$3),MIN($J371,AC$2),Data!$K$4:$K$203)/$K371)))</f>
        <v>0</v>
      </c>
      <c r="AD371" s="166">
        <f>IF(OR($I371="",$E371=0),0,IF(OR($J371&lt;AD$3,$I371&gt;AD$2),0,IF($K371=0,IF(AND($I371&gt;=AD$3,$I371&lt;=AD$2),$E371,0),$E371*NETWORKDAYS(MAX($I371,AD$3),MIN($J371,AD$2),Data!$K$4:$K$203)/$K371)))</f>
        <v>0</v>
      </c>
      <c r="AE371" s="166">
        <f>IF(OR($I371="",$E371=0),0,IF(OR($J371&lt;AE$3,$I371&gt;AE$2),0,IF($K371=0,IF(AND($I371&gt;=AE$3,$I371&lt;=AE$2),$E371,0),$E371*NETWORKDAYS(MAX($I371,AE$3),MIN($J371,AE$2),Data!$K$4:$K$203)/$K371)))</f>
        <v>0</v>
      </c>
      <c r="AF371" s="166">
        <f>IF(OR($I371="",$E371=0),0,IF(OR($J371&lt;AF$3,$I371&gt;AF$2),0,IF($K371=0,IF(AND($I371&gt;=AF$3,$I371&lt;=AF$2),$E371,0),$E371*NETWORKDAYS(MAX($I371,AF$3),MIN($J371,AF$2),Data!$K$4:$K$203)/$K371)))</f>
        <v>0</v>
      </c>
      <c r="AG371" s="166">
        <f>IF(OR($I371="",$E371=0),0,IF(OR($J371&lt;AG$3,$I371&gt;AG$2),0,IF($K371=0,IF(AND($I371&gt;=AG$3,$I371&lt;=AG$2),$E371,0),$E371*NETWORKDAYS(MAX($I371,AG$3),MIN($J371,AG$2),Data!$K$4:$K$203)/$K371)))</f>
        <v>0</v>
      </c>
      <c r="AH371" s="166">
        <f>IF(OR($I371="",$E371=0),0,IF(OR($J371&lt;AH$3,$I371&gt;AH$2),0,IF($K371=0,IF(AND($I371&gt;=AH$3,$I371&lt;=AH$2),$E371,0),$E371*NETWORKDAYS(MAX($I371,AH$3),MIN($J371,AH$2),Data!$K$4:$K$203)/$K371)))</f>
        <v>0</v>
      </c>
      <c r="AI371" s="166">
        <f>SUM(W371:AH371)</f>
        <v>0</v>
      </c>
      <c r="BZ371" t="str">
        <f>IF(D371=1,IF(TRIM(INDEX(Charge!$K:$K,ROW()))&lt;&gt;"",TRIM(INDEX(Charge!$K:$K,ROW())),IF(TRIM(INDEX(Charge!$L:$L,ROW()))&lt;&gt;"",TRIM(INDEX(Charge!$L:$L,ROW())),"(non affecté)")),"")</f>
        <v/>
      </c>
      <c r="CA371" t="str">
        <f>IF(AND($CD$4&lt;&gt;"",BZ371=$CD$4),COUNTIFS($BZ$4:$BZ$503,$CD$4,$L$4:$L$503,"&lt;"&amp;L371)+1,"")</f>
        <v/>
      </c>
      <c r="EM371" t="str">
        <f>IF(D371=1,IF(TRIM(INDEX(Charge!$K:$K,ROW()))&lt;&gt;"","Interne",IF(TRIM(INDEX(Charge!$L:$L,ROW()))&lt;&gt;"","Externe","Non affecté")),"")</f>
        <v/>
      </c>
      <c r="EN371" t="str">
        <f>IF(D371=1,LEFT(SUBSTITUTE(SUBSTITUTE(SUBSTITUTE(TRIM(SUBSTITUTE(INDEX(Charge!$B:$B,ROW()),CHAR(160)," "))&amp;" | "&amp;TRIM(SUBSTITUTE(INDEX(Charge!$C:$C,ROW()),CHAR(160)," "))&amp;" | "&amp;TRIM(SUBSTITUTE(INDEX(Charge!$D:$D,ROW()),CHAR(160)," ")),"~","-"),"*","+"),"?","!"),240),"")</f>
        <v/>
      </c>
      <c r="EO371">
        <f>IF(EN371="",0,IF(COUNTIF($EN$4:EN371,EN371)=1,1,0))</f>
        <v>0</v>
      </c>
      <c r="EP371" s="166" t="str">
        <f>IF(EO371=1,ROUND(SUMIF($EN$4:$EN$503,EN371,$E$4:$E$503),2),"")</f>
        <v/>
      </c>
      <c r="EQ371" t="str">
        <f>IF(EO371=1,COUNTIFS($EO$4:$EO$503,1,$EP$4:$EP$503,"&gt;"&amp;EP371)+COUNTIFS($EO$4:EO371,1,$EP$4:EP371,EP371),"")</f>
        <v/>
      </c>
      <c r="ER371" t="str">
        <f>IF(EO371=1,COUNTIFS($EN$4:$EN$503,EN371,$EM$4:$EM$503,"Interne",$FE$4:$FE$503,1),"")</f>
        <v/>
      </c>
      <c r="ES371" t="str">
        <f>IF(EO371=1,COUNTIFS($EN$4:$EN$503,EN371,$EM$4:$EM$503,"Externe",$FE$4:$FE$503,1),"")</f>
        <v/>
      </c>
      <c r="ET371" t="str">
        <f>IF(EO371=1,IF(ER371+ES371=0,"à affecter",IF(ER371=0,ES371&amp;" ext.",(ER371+ES371)&amp;IF(ES371&gt;0," dont "&amp;ES371&amp;" ext.",""))&amp;IF(COUNTIFS($EN$4:$EN$503,EN371,$EM$4:$EM$503,"Non affecté")&gt;0," + à affecter","")),"")</f>
        <v/>
      </c>
      <c r="EU371" s="170" t="str">
        <f>IF(EO371=1,IF(EP371&gt;0,SUMPRODUCT(($EN$4:$EN$503=EN371)*$E$4:$E$503*$C$4:$C$503)/EP371,AVERAGEIF($EN$4:$EN$503,EN371,$C$4:$C$503)),"")</f>
        <v/>
      </c>
      <c r="EV371" s="165">
        <f>IF(ISNUMBER(I371),I371,2958465)</f>
        <v>2958465.0</v>
      </c>
      <c r="EW371" s="165" t="str">
        <f>IF(EO371=1,SUMPRODUCT(MIN(($EN$4:$EN$503=EN371)*$EV$4:$EV$503+($EN$4:$EN$503&lt;&gt;EN371)*2958465)),"")</f>
        <v/>
      </c>
      <c r="EX371" s="165">
        <f>IF(AND(D371=1,ISNUMBER(INDEX(Charge!$F:$F,ROW()))),INDEX(Charge!$F:$F,ROW()),0)</f>
        <v>0.0</v>
      </c>
      <c r="EY371" s="165" t="str">
        <f>IF(EO371=1,SUMPRODUCT(MAX(($EN$4:$EN$503=EN371)*$EX$4:$EX$503)),"")</f>
        <v/>
      </c>
      <c r="FA371" t="str">
        <f>IF(368&lt;=$CD$23,INDEX($EJ$4:$EJ$203,368),IF(368-$CD$23&lt;=$CD$26,INDEX($EK$4:$EK$203,368-$CD$23),""))</f>
        <v/>
      </c>
      <c r="FB371" t="str">
        <f>IF(FA371="","",IF(368&lt;=$CD$23,"Interne","Externe"))</f>
        <v/>
      </c>
      <c r="FD371">
        <f>IF(AND(B371=1,TRIM(INDEX(Charge!$K:$K,ROW()))&lt;&gt;"",TRIM(INDEX(Charge!$L:$L,ROW()))&lt;&gt;""),1,0)</f>
        <v>0</v>
      </c>
      <c r="FE371">
        <f>IF(OR(EN371="",BZ371="(non affecté)"),0,IF(COUNTIFS($EN$4:EN371,EN371,$BZ$4:BZ371,BZ371)=1,1,0))</f>
        <v>0</v>
      </c>
    </row>
    <row r="372">
      <c r="A372">
        <f>ROW()</f>
        <v>372</v>
      </c>
      <c r="B372">
        <f>IF(TRIM(INDEX(Charge!$B:$B,ROW()))&lt;&gt;"",1,0)</f>
        <v>0</v>
      </c>
      <c r="C372">
        <f>IF(B372=1,MIN(1,MAX(0,N(INDEX(Charge!$O:$O,ROW())))),0)</f>
        <v>0</v>
      </c>
      <c r="D372">
        <f>IF(B372=1,IF(OR(p_Perimetre="Tous les projets",C372&lt;1),1,0),0)</f>
        <v>0</v>
      </c>
      <c r="E372">
        <f>IF(D372=1,MAX(0,N(INDEX(Charge!$M:$M,ROW()))),0)</f>
        <v>0</v>
      </c>
      <c r="F372" t="str">
        <f>IF(D372=1,IF(TRIM(INDEX(Charge!$A:$A,ROW()))="","(non renseigné)",TRIM(INDEX(Charge!$A:$A,ROW()))),"")</f>
        <v/>
      </c>
      <c r="G372" t="str">
        <f>IF(D372=1,TRIM(INDEX(Charge!$B:$B,ROW())),"")</f>
        <v/>
      </c>
      <c r="H372" t="str">
        <f>IF(D372=1,IF(TRIM(INDEX(Charge!$E:$E,ROW()))="","(non renseigné)",TRIM(INDEX(Charge!$E:$E,ROW()))),"")</f>
        <v/>
      </c>
      <c r="I372" s="165" t="str">
        <f>IF(AND(D372=1,ISNUMBER(INDEX(Charge!$N:$N,ROW()))),INDEX(Charge!$N:$N,ROW()),"")</f>
        <v/>
      </c>
      <c r="J372" s="165" t="str">
        <f>IF(I372="","",IF(AND(p_Repartition="Lissée jusqu'à la date de besoin",ISNUMBER(INDEX(Charge!$F:$F,ROW()))),IF(INDEX(Charge!$F:$F,ROW())&gt;=I372,INDEX(Charge!$F:$F,ROW()),I372),I372))</f>
        <v/>
      </c>
      <c r="K372" t="str">
        <f>IF(I372="","",NETWORKDAYS(I372,J372,Data!$K$4:$K$203))</f>
        <v/>
      </c>
      <c r="L372" t="str">
        <f>IF(D372=1,COUNTIFS($D$4:$D$503,1,$E$4:$E$503,"&gt;"&amp;E372)+COUNTIFS($D$4:$D372,1,$E$4:$E372,E372),"")</f>
        <v/>
      </c>
      <c r="M372">
        <f>IF(F372="",0,IF(COUNTIF($F$4:F372,F372)=1,1,0))</f>
        <v>0</v>
      </c>
      <c r="N372" t="str">
        <f>IF(M372=1,ROUND(SUMIF($F$4:$F$503,F372,$E$4:$E$503),2),"")</f>
        <v/>
      </c>
      <c r="O372" t="str">
        <f>IF(M372=1,COUNTIFS($M$4:$M$503,1,$N$4:$N$503,"&gt;"&amp;N372)+COUNTIFS($M$4:M372,1,$N$4:N372,N372),"")</f>
        <v/>
      </c>
      <c r="P372">
        <f>IF(G372="",0,IF(COUNTIF($G$4:G372,G372)=1,1,0))</f>
        <v>0</v>
      </c>
      <c r="Q372" t="str">
        <f>IF(P372=1,ROUND(SUMIF($G$4:$G$503,G372,$E$4:$E$503),2),"")</f>
        <v/>
      </c>
      <c r="R372" t="str">
        <f>IF(P372=1,COUNTIFS($P$4:$P$503,1,$Q$4:$Q$503,"&gt;"&amp;Q372)+COUNTIFS($P$4:P372,1,$Q$4:Q372,Q372),"")</f>
        <v/>
      </c>
      <c r="S372">
        <f>IF(H372="",0,IF(COUNTIF($H$4:H372,H372)=1,1,0))</f>
        <v>0</v>
      </c>
      <c r="T372" t="str">
        <f>IF(S372=1,ROUND(SUMIF($H$4:$H$503,H372,$E$4:$E$503),2),"")</f>
        <v/>
      </c>
      <c r="U372" t="str">
        <f>IF(S372=1,COUNTIFS($S$4:$S$503,1,$T$4:$T$503,"&gt;"&amp;T372)+COUNTIFS($S$4:S372,1,$T$4:T372,T372),"")</f>
        <v/>
      </c>
      <c r="V372" t="str">
        <f>IF(D372=1,MIN(INDEX($R$4:$R$503,MATCH(G372,$G$4:$G$503,0)),IF($AL$7&gt;9,9,999)),"")</f>
        <v/>
      </c>
      <c r="W372" s="166">
        <f>IF(OR($I372="",$E372=0),0,IF(OR($J372&lt;W$3,$I372&gt;W$2),0,IF($K372=0,IF(AND($I372&gt;=W$3,$I372&lt;=W$2),$E372,0),$E372*NETWORKDAYS(MAX($I372,W$3),MIN($J372,W$2),Data!$K$4:$K$203)/$K372)))</f>
        <v>0</v>
      </c>
      <c r="X372" s="166">
        <f>IF(OR($I372="",$E372=0),0,IF(OR($J372&lt;X$3,$I372&gt;X$2),0,IF($K372=0,IF(AND($I372&gt;=X$3,$I372&lt;=X$2),$E372,0),$E372*NETWORKDAYS(MAX($I372,X$3),MIN($J372,X$2),Data!$K$4:$K$203)/$K372)))</f>
        <v>0</v>
      </c>
      <c r="Y372" s="166">
        <f>IF(OR($I372="",$E372=0),0,IF(OR($J372&lt;Y$3,$I372&gt;Y$2),0,IF($K372=0,IF(AND($I372&gt;=Y$3,$I372&lt;=Y$2),$E372,0),$E372*NETWORKDAYS(MAX($I372,Y$3),MIN($J372,Y$2),Data!$K$4:$K$203)/$K372)))</f>
        <v>0</v>
      </c>
      <c r="Z372" s="166">
        <f>IF(OR($I372="",$E372=0),0,IF(OR($J372&lt;Z$3,$I372&gt;Z$2),0,IF($K372=0,IF(AND($I372&gt;=Z$3,$I372&lt;=Z$2),$E372,0),$E372*NETWORKDAYS(MAX($I372,Z$3),MIN($J372,Z$2),Data!$K$4:$K$203)/$K372)))</f>
        <v>0</v>
      </c>
      <c r="AA372" s="166">
        <f>IF(OR($I372="",$E372=0),0,IF(OR($J372&lt;AA$3,$I372&gt;AA$2),0,IF($K372=0,IF(AND($I372&gt;=AA$3,$I372&lt;=AA$2),$E372,0),$E372*NETWORKDAYS(MAX($I372,AA$3),MIN($J372,AA$2),Data!$K$4:$K$203)/$K372)))</f>
        <v>0</v>
      </c>
      <c r="AB372" s="166">
        <f>IF(OR($I372="",$E372=0),0,IF(OR($J372&lt;AB$3,$I372&gt;AB$2),0,IF($K372=0,IF(AND($I372&gt;=AB$3,$I372&lt;=AB$2),$E372,0),$E372*NETWORKDAYS(MAX($I372,AB$3),MIN($J372,AB$2),Data!$K$4:$K$203)/$K372)))</f>
        <v>0</v>
      </c>
      <c r="AC372" s="166">
        <f>IF(OR($I372="",$E372=0),0,IF(OR($J372&lt;AC$3,$I372&gt;AC$2),0,IF($K372=0,IF(AND($I372&gt;=AC$3,$I372&lt;=AC$2),$E372,0),$E372*NETWORKDAYS(MAX($I372,AC$3),MIN($J372,AC$2),Data!$K$4:$K$203)/$K372)))</f>
        <v>0</v>
      </c>
      <c r="AD372" s="166">
        <f>IF(OR($I372="",$E372=0),0,IF(OR($J372&lt;AD$3,$I372&gt;AD$2),0,IF($K372=0,IF(AND($I372&gt;=AD$3,$I372&lt;=AD$2),$E372,0),$E372*NETWORKDAYS(MAX($I372,AD$3),MIN($J372,AD$2),Data!$K$4:$K$203)/$K372)))</f>
        <v>0</v>
      </c>
      <c r="AE372" s="166">
        <f>IF(OR($I372="",$E372=0),0,IF(OR($J372&lt;AE$3,$I372&gt;AE$2),0,IF($K372=0,IF(AND($I372&gt;=AE$3,$I372&lt;=AE$2),$E372,0),$E372*NETWORKDAYS(MAX($I372,AE$3),MIN($J372,AE$2),Data!$K$4:$K$203)/$K372)))</f>
        <v>0</v>
      </c>
      <c r="AF372" s="166">
        <f>IF(OR($I372="",$E372=0),0,IF(OR($J372&lt;AF$3,$I372&gt;AF$2),0,IF($K372=0,IF(AND($I372&gt;=AF$3,$I372&lt;=AF$2),$E372,0),$E372*NETWORKDAYS(MAX($I372,AF$3),MIN($J372,AF$2),Data!$K$4:$K$203)/$K372)))</f>
        <v>0</v>
      </c>
      <c r="AG372" s="166">
        <f>IF(OR($I372="",$E372=0),0,IF(OR($J372&lt;AG$3,$I372&gt;AG$2),0,IF($K372=0,IF(AND($I372&gt;=AG$3,$I372&lt;=AG$2),$E372,0),$E372*NETWORKDAYS(MAX($I372,AG$3),MIN($J372,AG$2),Data!$K$4:$K$203)/$K372)))</f>
        <v>0</v>
      </c>
      <c r="AH372" s="166">
        <f>IF(OR($I372="",$E372=0),0,IF(OR($J372&lt;AH$3,$I372&gt;AH$2),0,IF($K372=0,IF(AND($I372&gt;=AH$3,$I372&lt;=AH$2),$E372,0),$E372*NETWORKDAYS(MAX($I372,AH$3),MIN($J372,AH$2),Data!$K$4:$K$203)/$K372)))</f>
        <v>0</v>
      </c>
      <c r="AI372" s="166">
        <f>SUM(W372:AH372)</f>
        <v>0</v>
      </c>
      <c r="BZ372" t="str">
        <f>IF(D372=1,IF(TRIM(INDEX(Charge!$K:$K,ROW()))&lt;&gt;"",TRIM(INDEX(Charge!$K:$K,ROW())),IF(TRIM(INDEX(Charge!$L:$L,ROW()))&lt;&gt;"",TRIM(INDEX(Charge!$L:$L,ROW())),"(non affecté)")),"")</f>
        <v/>
      </c>
      <c r="CA372" t="str">
        <f>IF(AND($CD$4&lt;&gt;"",BZ372=$CD$4),COUNTIFS($BZ$4:$BZ$503,$CD$4,$L$4:$L$503,"&lt;"&amp;L372)+1,"")</f>
        <v/>
      </c>
      <c r="EM372" t="str">
        <f>IF(D372=1,IF(TRIM(INDEX(Charge!$K:$K,ROW()))&lt;&gt;"","Interne",IF(TRIM(INDEX(Charge!$L:$L,ROW()))&lt;&gt;"","Externe","Non affecté")),"")</f>
        <v/>
      </c>
      <c r="EN372" t="str">
        <f>IF(D372=1,LEFT(SUBSTITUTE(SUBSTITUTE(SUBSTITUTE(TRIM(SUBSTITUTE(INDEX(Charge!$B:$B,ROW()),CHAR(160)," "))&amp;" | "&amp;TRIM(SUBSTITUTE(INDEX(Charge!$C:$C,ROW()),CHAR(160)," "))&amp;" | "&amp;TRIM(SUBSTITUTE(INDEX(Charge!$D:$D,ROW()),CHAR(160)," ")),"~","-"),"*","+"),"?","!"),240),"")</f>
        <v/>
      </c>
      <c r="EO372">
        <f>IF(EN372="",0,IF(COUNTIF($EN$4:EN372,EN372)=1,1,0))</f>
        <v>0</v>
      </c>
      <c r="EP372" s="166" t="str">
        <f>IF(EO372=1,ROUND(SUMIF($EN$4:$EN$503,EN372,$E$4:$E$503),2),"")</f>
        <v/>
      </c>
      <c r="EQ372" t="str">
        <f>IF(EO372=1,COUNTIFS($EO$4:$EO$503,1,$EP$4:$EP$503,"&gt;"&amp;EP372)+COUNTIFS($EO$4:EO372,1,$EP$4:EP372,EP372),"")</f>
        <v/>
      </c>
      <c r="ER372" t="str">
        <f>IF(EO372=1,COUNTIFS($EN$4:$EN$503,EN372,$EM$4:$EM$503,"Interne",$FE$4:$FE$503,1),"")</f>
        <v/>
      </c>
      <c r="ES372" t="str">
        <f>IF(EO372=1,COUNTIFS($EN$4:$EN$503,EN372,$EM$4:$EM$503,"Externe",$FE$4:$FE$503,1),"")</f>
        <v/>
      </c>
      <c r="ET372" t="str">
        <f>IF(EO372=1,IF(ER372+ES372=0,"à affecter",IF(ER372=0,ES372&amp;" ext.",(ER372+ES372)&amp;IF(ES372&gt;0," dont "&amp;ES372&amp;" ext.",""))&amp;IF(COUNTIFS($EN$4:$EN$503,EN372,$EM$4:$EM$503,"Non affecté")&gt;0," + à affecter","")),"")</f>
        <v/>
      </c>
      <c r="EU372" s="170" t="str">
        <f>IF(EO372=1,IF(EP372&gt;0,SUMPRODUCT(($EN$4:$EN$503=EN372)*$E$4:$E$503*$C$4:$C$503)/EP372,AVERAGEIF($EN$4:$EN$503,EN372,$C$4:$C$503)),"")</f>
        <v/>
      </c>
      <c r="EV372" s="165">
        <f>IF(ISNUMBER(I372),I372,2958465)</f>
        <v>2958465.0</v>
      </c>
      <c r="EW372" s="165" t="str">
        <f>IF(EO372=1,SUMPRODUCT(MIN(($EN$4:$EN$503=EN372)*$EV$4:$EV$503+($EN$4:$EN$503&lt;&gt;EN372)*2958465)),"")</f>
        <v/>
      </c>
      <c r="EX372" s="165">
        <f>IF(AND(D372=1,ISNUMBER(INDEX(Charge!$F:$F,ROW()))),INDEX(Charge!$F:$F,ROW()),0)</f>
        <v>0.0</v>
      </c>
      <c r="EY372" s="165" t="str">
        <f>IF(EO372=1,SUMPRODUCT(MAX(($EN$4:$EN$503=EN372)*$EX$4:$EX$503)),"")</f>
        <v/>
      </c>
      <c r="FA372" t="str">
        <f>IF(369&lt;=$CD$23,INDEX($EJ$4:$EJ$203,369),IF(369-$CD$23&lt;=$CD$26,INDEX($EK$4:$EK$203,369-$CD$23),""))</f>
        <v/>
      </c>
      <c r="FB372" t="str">
        <f>IF(FA372="","",IF(369&lt;=$CD$23,"Interne","Externe"))</f>
        <v/>
      </c>
      <c r="FD372">
        <f>IF(AND(B372=1,TRIM(INDEX(Charge!$K:$K,ROW()))&lt;&gt;"",TRIM(INDEX(Charge!$L:$L,ROW()))&lt;&gt;""),1,0)</f>
        <v>0</v>
      </c>
      <c r="FE372">
        <f>IF(OR(EN372="",BZ372="(non affecté)"),0,IF(COUNTIFS($EN$4:EN372,EN372,$BZ$4:BZ372,BZ372)=1,1,0))</f>
        <v>0</v>
      </c>
    </row>
    <row r="373">
      <c r="A373">
        <f>ROW()</f>
        <v>373</v>
      </c>
      <c r="B373">
        <f>IF(TRIM(INDEX(Charge!$B:$B,ROW()))&lt;&gt;"",1,0)</f>
        <v>0</v>
      </c>
      <c r="C373">
        <f>IF(B373=1,MIN(1,MAX(0,N(INDEX(Charge!$O:$O,ROW())))),0)</f>
        <v>0</v>
      </c>
      <c r="D373">
        <f>IF(B373=1,IF(OR(p_Perimetre="Tous les projets",C373&lt;1),1,0),0)</f>
        <v>0</v>
      </c>
      <c r="E373">
        <f>IF(D373=1,MAX(0,N(INDEX(Charge!$M:$M,ROW()))),0)</f>
        <v>0</v>
      </c>
      <c r="F373" t="str">
        <f>IF(D373=1,IF(TRIM(INDEX(Charge!$A:$A,ROW()))="","(non renseigné)",TRIM(INDEX(Charge!$A:$A,ROW()))),"")</f>
        <v/>
      </c>
      <c r="G373" t="str">
        <f>IF(D373=1,TRIM(INDEX(Charge!$B:$B,ROW())),"")</f>
        <v/>
      </c>
      <c r="H373" t="str">
        <f>IF(D373=1,IF(TRIM(INDEX(Charge!$E:$E,ROW()))="","(non renseigné)",TRIM(INDEX(Charge!$E:$E,ROW()))),"")</f>
        <v/>
      </c>
      <c r="I373" s="165" t="str">
        <f>IF(AND(D373=1,ISNUMBER(INDEX(Charge!$N:$N,ROW()))),INDEX(Charge!$N:$N,ROW()),"")</f>
        <v/>
      </c>
      <c r="J373" s="165" t="str">
        <f>IF(I373="","",IF(AND(p_Repartition="Lissée jusqu'à la date de besoin",ISNUMBER(INDEX(Charge!$F:$F,ROW()))),IF(INDEX(Charge!$F:$F,ROW())&gt;=I373,INDEX(Charge!$F:$F,ROW()),I373),I373))</f>
        <v/>
      </c>
      <c r="K373" t="str">
        <f>IF(I373="","",NETWORKDAYS(I373,J373,Data!$K$4:$K$203))</f>
        <v/>
      </c>
      <c r="L373" t="str">
        <f>IF(D373=1,COUNTIFS($D$4:$D$503,1,$E$4:$E$503,"&gt;"&amp;E373)+COUNTIFS($D$4:$D373,1,$E$4:$E373,E373),"")</f>
        <v/>
      </c>
      <c r="M373">
        <f>IF(F373="",0,IF(COUNTIF($F$4:F373,F373)=1,1,0))</f>
        <v>0</v>
      </c>
      <c r="N373" t="str">
        <f>IF(M373=1,ROUND(SUMIF($F$4:$F$503,F373,$E$4:$E$503),2),"")</f>
        <v/>
      </c>
      <c r="O373" t="str">
        <f>IF(M373=1,COUNTIFS($M$4:$M$503,1,$N$4:$N$503,"&gt;"&amp;N373)+COUNTIFS($M$4:M373,1,$N$4:N373,N373),"")</f>
        <v/>
      </c>
      <c r="P373">
        <f>IF(G373="",0,IF(COUNTIF($G$4:G373,G373)=1,1,0))</f>
        <v>0</v>
      </c>
      <c r="Q373" t="str">
        <f>IF(P373=1,ROUND(SUMIF($G$4:$G$503,G373,$E$4:$E$503),2),"")</f>
        <v/>
      </c>
      <c r="R373" t="str">
        <f>IF(P373=1,COUNTIFS($P$4:$P$503,1,$Q$4:$Q$503,"&gt;"&amp;Q373)+COUNTIFS($P$4:P373,1,$Q$4:Q373,Q373),"")</f>
        <v/>
      </c>
      <c r="S373">
        <f>IF(H373="",0,IF(COUNTIF($H$4:H373,H373)=1,1,0))</f>
        <v>0</v>
      </c>
      <c r="T373" t="str">
        <f>IF(S373=1,ROUND(SUMIF($H$4:$H$503,H373,$E$4:$E$503),2),"")</f>
        <v/>
      </c>
      <c r="U373" t="str">
        <f>IF(S373=1,COUNTIFS($S$4:$S$503,1,$T$4:$T$503,"&gt;"&amp;T373)+COUNTIFS($S$4:S373,1,$T$4:T373,T373),"")</f>
        <v/>
      </c>
      <c r="V373" t="str">
        <f>IF(D373=1,MIN(INDEX($R$4:$R$503,MATCH(G373,$G$4:$G$503,0)),IF($AL$7&gt;9,9,999)),"")</f>
        <v/>
      </c>
      <c r="W373" s="166">
        <f>IF(OR($I373="",$E373=0),0,IF(OR($J373&lt;W$3,$I373&gt;W$2),0,IF($K373=0,IF(AND($I373&gt;=W$3,$I373&lt;=W$2),$E373,0),$E373*NETWORKDAYS(MAX($I373,W$3),MIN($J373,W$2),Data!$K$4:$K$203)/$K373)))</f>
        <v>0</v>
      </c>
      <c r="X373" s="166">
        <f>IF(OR($I373="",$E373=0),0,IF(OR($J373&lt;X$3,$I373&gt;X$2),0,IF($K373=0,IF(AND($I373&gt;=X$3,$I373&lt;=X$2),$E373,0),$E373*NETWORKDAYS(MAX($I373,X$3),MIN($J373,X$2),Data!$K$4:$K$203)/$K373)))</f>
        <v>0</v>
      </c>
      <c r="Y373" s="166">
        <f>IF(OR($I373="",$E373=0),0,IF(OR($J373&lt;Y$3,$I373&gt;Y$2),0,IF($K373=0,IF(AND($I373&gt;=Y$3,$I373&lt;=Y$2),$E373,0),$E373*NETWORKDAYS(MAX($I373,Y$3),MIN($J373,Y$2),Data!$K$4:$K$203)/$K373)))</f>
        <v>0</v>
      </c>
      <c r="Z373" s="166">
        <f>IF(OR($I373="",$E373=0),0,IF(OR($J373&lt;Z$3,$I373&gt;Z$2),0,IF($K373=0,IF(AND($I373&gt;=Z$3,$I373&lt;=Z$2),$E373,0),$E373*NETWORKDAYS(MAX($I373,Z$3),MIN($J373,Z$2),Data!$K$4:$K$203)/$K373)))</f>
        <v>0</v>
      </c>
      <c r="AA373" s="166">
        <f>IF(OR($I373="",$E373=0),0,IF(OR($J373&lt;AA$3,$I373&gt;AA$2),0,IF($K373=0,IF(AND($I373&gt;=AA$3,$I373&lt;=AA$2),$E373,0),$E373*NETWORKDAYS(MAX($I373,AA$3),MIN($J373,AA$2),Data!$K$4:$K$203)/$K373)))</f>
        <v>0</v>
      </c>
      <c r="AB373" s="166">
        <f>IF(OR($I373="",$E373=0),0,IF(OR($J373&lt;AB$3,$I373&gt;AB$2),0,IF($K373=0,IF(AND($I373&gt;=AB$3,$I373&lt;=AB$2),$E373,0),$E373*NETWORKDAYS(MAX($I373,AB$3),MIN($J373,AB$2),Data!$K$4:$K$203)/$K373)))</f>
        <v>0</v>
      </c>
      <c r="AC373" s="166">
        <f>IF(OR($I373="",$E373=0),0,IF(OR($J373&lt;AC$3,$I373&gt;AC$2),0,IF($K373=0,IF(AND($I373&gt;=AC$3,$I373&lt;=AC$2),$E373,0),$E373*NETWORKDAYS(MAX($I373,AC$3),MIN($J373,AC$2),Data!$K$4:$K$203)/$K373)))</f>
        <v>0</v>
      </c>
      <c r="AD373" s="166">
        <f>IF(OR($I373="",$E373=0),0,IF(OR($J373&lt;AD$3,$I373&gt;AD$2),0,IF($K373=0,IF(AND($I373&gt;=AD$3,$I373&lt;=AD$2),$E373,0),$E373*NETWORKDAYS(MAX($I373,AD$3),MIN($J373,AD$2),Data!$K$4:$K$203)/$K373)))</f>
        <v>0</v>
      </c>
      <c r="AE373" s="166">
        <f>IF(OR($I373="",$E373=0),0,IF(OR($J373&lt;AE$3,$I373&gt;AE$2),0,IF($K373=0,IF(AND($I373&gt;=AE$3,$I373&lt;=AE$2),$E373,0),$E373*NETWORKDAYS(MAX($I373,AE$3),MIN($J373,AE$2),Data!$K$4:$K$203)/$K373)))</f>
        <v>0</v>
      </c>
      <c r="AF373" s="166">
        <f>IF(OR($I373="",$E373=0),0,IF(OR($J373&lt;AF$3,$I373&gt;AF$2),0,IF($K373=0,IF(AND($I373&gt;=AF$3,$I373&lt;=AF$2),$E373,0),$E373*NETWORKDAYS(MAX($I373,AF$3),MIN($J373,AF$2),Data!$K$4:$K$203)/$K373)))</f>
        <v>0</v>
      </c>
      <c r="AG373" s="166">
        <f>IF(OR($I373="",$E373=0),0,IF(OR($J373&lt;AG$3,$I373&gt;AG$2),0,IF($K373=0,IF(AND($I373&gt;=AG$3,$I373&lt;=AG$2),$E373,0),$E373*NETWORKDAYS(MAX($I373,AG$3),MIN($J373,AG$2),Data!$K$4:$K$203)/$K373)))</f>
        <v>0</v>
      </c>
      <c r="AH373" s="166">
        <f>IF(OR($I373="",$E373=0),0,IF(OR($J373&lt;AH$3,$I373&gt;AH$2),0,IF($K373=0,IF(AND($I373&gt;=AH$3,$I373&lt;=AH$2),$E373,0),$E373*NETWORKDAYS(MAX($I373,AH$3),MIN($J373,AH$2),Data!$K$4:$K$203)/$K373)))</f>
        <v>0</v>
      </c>
      <c r="AI373" s="166">
        <f>SUM(W373:AH373)</f>
        <v>0</v>
      </c>
      <c r="BZ373" t="str">
        <f>IF(D373=1,IF(TRIM(INDEX(Charge!$K:$K,ROW()))&lt;&gt;"",TRIM(INDEX(Charge!$K:$K,ROW())),IF(TRIM(INDEX(Charge!$L:$L,ROW()))&lt;&gt;"",TRIM(INDEX(Charge!$L:$L,ROW())),"(non affecté)")),"")</f>
        <v/>
      </c>
      <c r="CA373" t="str">
        <f>IF(AND($CD$4&lt;&gt;"",BZ373=$CD$4),COUNTIFS($BZ$4:$BZ$503,$CD$4,$L$4:$L$503,"&lt;"&amp;L373)+1,"")</f>
        <v/>
      </c>
      <c r="EM373" t="str">
        <f>IF(D373=1,IF(TRIM(INDEX(Charge!$K:$K,ROW()))&lt;&gt;"","Interne",IF(TRIM(INDEX(Charge!$L:$L,ROW()))&lt;&gt;"","Externe","Non affecté")),"")</f>
        <v/>
      </c>
      <c r="EN373" t="str">
        <f>IF(D373=1,LEFT(SUBSTITUTE(SUBSTITUTE(SUBSTITUTE(TRIM(SUBSTITUTE(INDEX(Charge!$B:$B,ROW()),CHAR(160)," "))&amp;" | "&amp;TRIM(SUBSTITUTE(INDEX(Charge!$C:$C,ROW()),CHAR(160)," "))&amp;" | "&amp;TRIM(SUBSTITUTE(INDEX(Charge!$D:$D,ROW()),CHAR(160)," ")),"~","-"),"*","+"),"?","!"),240),"")</f>
        <v/>
      </c>
      <c r="EO373">
        <f>IF(EN373="",0,IF(COUNTIF($EN$4:EN373,EN373)=1,1,0))</f>
        <v>0</v>
      </c>
      <c r="EP373" s="166" t="str">
        <f>IF(EO373=1,ROUND(SUMIF($EN$4:$EN$503,EN373,$E$4:$E$503),2),"")</f>
        <v/>
      </c>
      <c r="EQ373" t="str">
        <f>IF(EO373=1,COUNTIFS($EO$4:$EO$503,1,$EP$4:$EP$503,"&gt;"&amp;EP373)+COUNTIFS($EO$4:EO373,1,$EP$4:EP373,EP373),"")</f>
        <v/>
      </c>
      <c r="ER373" t="str">
        <f>IF(EO373=1,COUNTIFS($EN$4:$EN$503,EN373,$EM$4:$EM$503,"Interne",$FE$4:$FE$503,1),"")</f>
        <v/>
      </c>
      <c r="ES373" t="str">
        <f>IF(EO373=1,COUNTIFS($EN$4:$EN$503,EN373,$EM$4:$EM$503,"Externe",$FE$4:$FE$503,1),"")</f>
        <v/>
      </c>
      <c r="ET373" t="str">
        <f>IF(EO373=1,IF(ER373+ES373=0,"à affecter",IF(ER373=0,ES373&amp;" ext.",(ER373+ES373)&amp;IF(ES373&gt;0," dont "&amp;ES373&amp;" ext.",""))&amp;IF(COUNTIFS($EN$4:$EN$503,EN373,$EM$4:$EM$503,"Non affecté")&gt;0," + à affecter","")),"")</f>
        <v/>
      </c>
      <c r="EU373" s="170" t="str">
        <f>IF(EO373=1,IF(EP373&gt;0,SUMPRODUCT(($EN$4:$EN$503=EN373)*$E$4:$E$503*$C$4:$C$503)/EP373,AVERAGEIF($EN$4:$EN$503,EN373,$C$4:$C$503)),"")</f>
        <v/>
      </c>
      <c r="EV373" s="165">
        <f>IF(ISNUMBER(I373),I373,2958465)</f>
        <v>2958465.0</v>
      </c>
      <c r="EW373" s="165" t="str">
        <f>IF(EO373=1,SUMPRODUCT(MIN(($EN$4:$EN$503=EN373)*$EV$4:$EV$503+($EN$4:$EN$503&lt;&gt;EN373)*2958465)),"")</f>
        <v/>
      </c>
      <c r="EX373" s="165">
        <f>IF(AND(D373=1,ISNUMBER(INDEX(Charge!$F:$F,ROW()))),INDEX(Charge!$F:$F,ROW()),0)</f>
        <v>0.0</v>
      </c>
      <c r="EY373" s="165" t="str">
        <f>IF(EO373=1,SUMPRODUCT(MAX(($EN$4:$EN$503=EN373)*$EX$4:$EX$503)),"")</f>
        <v/>
      </c>
      <c r="FA373" t="str">
        <f>IF(370&lt;=$CD$23,INDEX($EJ$4:$EJ$203,370),IF(370-$CD$23&lt;=$CD$26,INDEX($EK$4:$EK$203,370-$CD$23),""))</f>
        <v/>
      </c>
      <c r="FB373" t="str">
        <f>IF(FA373="","",IF(370&lt;=$CD$23,"Interne","Externe"))</f>
        <v/>
      </c>
      <c r="FD373">
        <f>IF(AND(B373=1,TRIM(INDEX(Charge!$K:$K,ROW()))&lt;&gt;"",TRIM(INDEX(Charge!$L:$L,ROW()))&lt;&gt;""),1,0)</f>
        <v>0</v>
      </c>
      <c r="FE373">
        <f>IF(OR(EN373="",BZ373="(non affecté)"),0,IF(COUNTIFS($EN$4:EN373,EN373,$BZ$4:BZ373,BZ373)=1,1,0))</f>
        <v>0</v>
      </c>
    </row>
    <row r="374">
      <c r="A374">
        <f>ROW()</f>
        <v>374</v>
      </c>
      <c r="B374">
        <f>IF(TRIM(INDEX(Charge!$B:$B,ROW()))&lt;&gt;"",1,0)</f>
        <v>0</v>
      </c>
      <c r="C374">
        <f>IF(B374=1,MIN(1,MAX(0,N(INDEX(Charge!$O:$O,ROW())))),0)</f>
        <v>0</v>
      </c>
      <c r="D374">
        <f>IF(B374=1,IF(OR(p_Perimetre="Tous les projets",C374&lt;1),1,0),0)</f>
        <v>0</v>
      </c>
      <c r="E374">
        <f>IF(D374=1,MAX(0,N(INDEX(Charge!$M:$M,ROW()))),0)</f>
        <v>0</v>
      </c>
      <c r="F374" t="str">
        <f>IF(D374=1,IF(TRIM(INDEX(Charge!$A:$A,ROW()))="","(non renseigné)",TRIM(INDEX(Charge!$A:$A,ROW()))),"")</f>
        <v/>
      </c>
      <c r="G374" t="str">
        <f>IF(D374=1,TRIM(INDEX(Charge!$B:$B,ROW())),"")</f>
        <v/>
      </c>
      <c r="H374" t="str">
        <f>IF(D374=1,IF(TRIM(INDEX(Charge!$E:$E,ROW()))="","(non renseigné)",TRIM(INDEX(Charge!$E:$E,ROW()))),"")</f>
        <v/>
      </c>
      <c r="I374" s="165" t="str">
        <f>IF(AND(D374=1,ISNUMBER(INDEX(Charge!$N:$N,ROW()))),INDEX(Charge!$N:$N,ROW()),"")</f>
        <v/>
      </c>
      <c r="J374" s="165" t="str">
        <f>IF(I374="","",IF(AND(p_Repartition="Lissée jusqu'à la date de besoin",ISNUMBER(INDEX(Charge!$F:$F,ROW()))),IF(INDEX(Charge!$F:$F,ROW())&gt;=I374,INDEX(Charge!$F:$F,ROW()),I374),I374))</f>
        <v/>
      </c>
      <c r="K374" t="str">
        <f>IF(I374="","",NETWORKDAYS(I374,J374,Data!$K$4:$K$203))</f>
        <v/>
      </c>
      <c r="L374" t="str">
        <f>IF(D374=1,COUNTIFS($D$4:$D$503,1,$E$4:$E$503,"&gt;"&amp;E374)+COUNTIFS($D$4:$D374,1,$E$4:$E374,E374),"")</f>
        <v/>
      </c>
      <c r="M374">
        <f>IF(F374="",0,IF(COUNTIF($F$4:F374,F374)=1,1,0))</f>
        <v>0</v>
      </c>
      <c r="N374" t="str">
        <f>IF(M374=1,ROUND(SUMIF($F$4:$F$503,F374,$E$4:$E$503),2),"")</f>
        <v/>
      </c>
      <c r="O374" t="str">
        <f>IF(M374=1,COUNTIFS($M$4:$M$503,1,$N$4:$N$503,"&gt;"&amp;N374)+COUNTIFS($M$4:M374,1,$N$4:N374,N374),"")</f>
        <v/>
      </c>
      <c r="P374">
        <f>IF(G374="",0,IF(COUNTIF($G$4:G374,G374)=1,1,0))</f>
        <v>0</v>
      </c>
      <c r="Q374" t="str">
        <f>IF(P374=1,ROUND(SUMIF($G$4:$G$503,G374,$E$4:$E$503),2),"")</f>
        <v/>
      </c>
      <c r="R374" t="str">
        <f>IF(P374=1,COUNTIFS($P$4:$P$503,1,$Q$4:$Q$503,"&gt;"&amp;Q374)+COUNTIFS($P$4:P374,1,$Q$4:Q374,Q374),"")</f>
        <v/>
      </c>
      <c r="S374">
        <f>IF(H374="",0,IF(COUNTIF($H$4:H374,H374)=1,1,0))</f>
        <v>0</v>
      </c>
      <c r="T374" t="str">
        <f>IF(S374=1,ROUND(SUMIF($H$4:$H$503,H374,$E$4:$E$503),2),"")</f>
        <v/>
      </c>
      <c r="U374" t="str">
        <f>IF(S374=1,COUNTIFS($S$4:$S$503,1,$T$4:$T$503,"&gt;"&amp;T374)+COUNTIFS($S$4:S374,1,$T$4:T374,T374),"")</f>
        <v/>
      </c>
      <c r="V374" t="str">
        <f>IF(D374=1,MIN(INDEX($R$4:$R$503,MATCH(G374,$G$4:$G$503,0)),IF($AL$7&gt;9,9,999)),"")</f>
        <v/>
      </c>
      <c r="W374" s="166">
        <f>IF(OR($I374="",$E374=0),0,IF(OR($J374&lt;W$3,$I374&gt;W$2),0,IF($K374=0,IF(AND($I374&gt;=W$3,$I374&lt;=W$2),$E374,0),$E374*NETWORKDAYS(MAX($I374,W$3),MIN($J374,W$2),Data!$K$4:$K$203)/$K374)))</f>
        <v>0</v>
      </c>
      <c r="X374" s="166">
        <f>IF(OR($I374="",$E374=0),0,IF(OR($J374&lt;X$3,$I374&gt;X$2),0,IF($K374=0,IF(AND($I374&gt;=X$3,$I374&lt;=X$2),$E374,0),$E374*NETWORKDAYS(MAX($I374,X$3),MIN($J374,X$2),Data!$K$4:$K$203)/$K374)))</f>
        <v>0</v>
      </c>
      <c r="Y374" s="166">
        <f>IF(OR($I374="",$E374=0),0,IF(OR($J374&lt;Y$3,$I374&gt;Y$2),0,IF($K374=0,IF(AND($I374&gt;=Y$3,$I374&lt;=Y$2),$E374,0),$E374*NETWORKDAYS(MAX($I374,Y$3),MIN($J374,Y$2),Data!$K$4:$K$203)/$K374)))</f>
        <v>0</v>
      </c>
      <c r="Z374" s="166">
        <f>IF(OR($I374="",$E374=0),0,IF(OR($J374&lt;Z$3,$I374&gt;Z$2),0,IF($K374=0,IF(AND($I374&gt;=Z$3,$I374&lt;=Z$2),$E374,0),$E374*NETWORKDAYS(MAX($I374,Z$3),MIN($J374,Z$2),Data!$K$4:$K$203)/$K374)))</f>
        <v>0</v>
      </c>
      <c r="AA374" s="166">
        <f>IF(OR($I374="",$E374=0),0,IF(OR($J374&lt;AA$3,$I374&gt;AA$2),0,IF($K374=0,IF(AND($I374&gt;=AA$3,$I374&lt;=AA$2),$E374,0),$E374*NETWORKDAYS(MAX($I374,AA$3),MIN($J374,AA$2),Data!$K$4:$K$203)/$K374)))</f>
        <v>0</v>
      </c>
      <c r="AB374" s="166">
        <f>IF(OR($I374="",$E374=0),0,IF(OR($J374&lt;AB$3,$I374&gt;AB$2),0,IF($K374=0,IF(AND($I374&gt;=AB$3,$I374&lt;=AB$2),$E374,0),$E374*NETWORKDAYS(MAX($I374,AB$3),MIN($J374,AB$2),Data!$K$4:$K$203)/$K374)))</f>
        <v>0</v>
      </c>
      <c r="AC374" s="166">
        <f>IF(OR($I374="",$E374=0),0,IF(OR($J374&lt;AC$3,$I374&gt;AC$2),0,IF($K374=0,IF(AND($I374&gt;=AC$3,$I374&lt;=AC$2),$E374,0),$E374*NETWORKDAYS(MAX($I374,AC$3),MIN($J374,AC$2),Data!$K$4:$K$203)/$K374)))</f>
        <v>0</v>
      </c>
      <c r="AD374" s="166">
        <f>IF(OR($I374="",$E374=0),0,IF(OR($J374&lt;AD$3,$I374&gt;AD$2),0,IF($K374=0,IF(AND($I374&gt;=AD$3,$I374&lt;=AD$2),$E374,0),$E374*NETWORKDAYS(MAX($I374,AD$3),MIN($J374,AD$2),Data!$K$4:$K$203)/$K374)))</f>
        <v>0</v>
      </c>
      <c r="AE374" s="166">
        <f>IF(OR($I374="",$E374=0),0,IF(OR($J374&lt;AE$3,$I374&gt;AE$2),0,IF($K374=0,IF(AND($I374&gt;=AE$3,$I374&lt;=AE$2),$E374,0),$E374*NETWORKDAYS(MAX($I374,AE$3),MIN($J374,AE$2),Data!$K$4:$K$203)/$K374)))</f>
        <v>0</v>
      </c>
      <c r="AF374" s="166">
        <f>IF(OR($I374="",$E374=0),0,IF(OR($J374&lt;AF$3,$I374&gt;AF$2),0,IF($K374=0,IF(AND($I374&gt;=AF$3,$I374&lt;=AF$2),$E374,0),$E374*NETWORKDAYS(MAX($I374,AF$3),MIN($J374,AF$2),Data!$K$4:$K$203)/$K374)))</f>
        <v>0</v>
      </c>
      <c r="AG374" s="166">
        <f>IF(OR($I374="",$E374=0),0,IF(OR($J374&lt;AG$3,$I374&gt;AG$2),0,IF($K374=0,IF(AND($I374&gt;=AG$3,$I374&lt;=AG$2),$E374,0),$E374*NETWORKDAYS(MAX($I374,AG$3),MIN($J374,AG$2),Data!$K$4:$K$203)/$K374)))</f>
        <v>0</v>
      </c>
      <c r="AH374" s="166">
        <f>IF(OR($I374="",$E374=0),0,IF(OR($J374&lt;AH$3,$I374&gt;AH$2),0,IF($K374=0,IF(AND($I374&gt;=AH$3,$I374&lt;=AH$2),$E374,0),$E374*NETWORKDAYS(MAX($I374,AH$3),MIN($J374,AH$2),Data!$K$4:$K$203)/$K374)))</f>
        <v>0</v>
      </c>
      <c r="AI374" s="166">
        <f>SUM(W374:AH374)</f>
        <v>0</v>
      </c>
      <c r="BZ374" t="str">
        <f>IF(D374=1,IF(TRIM(INDEX(Charge!$K:$K,ROW()))&lt;&gt;"",TRIM(INDEX(Charge!$K:$K,ROW())),IF(TRIM(INDEX(Charge!$L:$L,ROW()))&lt;&gt;"",TRIM(INDEX(Charge!$L:$L,ROW())),"(non affecté)")),"")</f>
        <v/>
      </c>
      <c r="CA374" t="str">
        <f>IF(AND($CD$4&lt;&gt;"",BZ374=$CD$4),COUNTIFS($BZ$4:$BZ$503,$CD$4,$L$4:$L$503,"&lt;"&amp;L374)+1,"")</f>
        <v/>
      </c>
      <c r="EM374" t="str">
        <f>IF(D374=1,IF(TRIM(INDEX(Charge!$K:$K,ROW()))&lt;&gt;"","Interne",IF(TRIM(INDEX(Charge!$L:$L,ROW()))&lt;&gt;"","Externe","Non affecté")),"")</f>
        <v/>
      </c>
      <c r="EN374" t="str">
        <f>IF(D374=1,LEFT(SUBSTITUTE(SUBSTITUTE(SUBSTITUTE(TRIM(SUBSTITUTE(INDEX(Charge!$B:$B,ROW()),CHAR(160)," "))&amp;" | "&amp;TRIM(SUBSTITUTE(INDEX(Charge!$C:$C,ROW()),CHAR(160)," "))&amp;" | "&amp;TRIM(SUBSTITUTE(INDEX(Charge!$D:$D,ROW()),CHAR(160)," ")),"~","-"),"*","+"),"?","!"),240),"")</f>
        <v/>
      </c>
      <c r="EO374">
        <f>IF(EN374="",0,IF(COUNTIF($EN$4:EN374,EN374)=1,1,0))</f>
        <v>0</v>
      </c>
      <c r="EP374" s="166" t="str">
        <f>IF(EO374=1,ROUND(SUMIF($EN$4:$EN$503,EN374,$E$4:$E$503),2),"")</f>
        <v/>
      </c>
      <c r="EQ374" t="str">
        <f>IF(EO374=1,COUNTIFS($EO$4:$EO$503,1,$EP$4:$EP$503,"&gt;"&amp;EP374)+COUNTIFS($EO$4:EO374,1,$EP$4:EP374,EP374),"")</f>
        <v/>
      </c>
      <c r="ER374" t="str">
        <f>IF(EO374=1,COUNTIFS($EN$4:$EN$503,EN374,$EM$4:$EM$503,"Interne",$FE$4:$FE$503,1),"")</f>
        <v/>
      </c>
      <c r="ES374" t="str">
        <f>IF(EO374=1,COUNTIFS($EN$4:$EN$503,EN374,$EM$4:$EM$503,"Externe",$FE$4:$FE$503,1),"")</f>
        <v/>
      </c>
      <c r="ET374" t="str">
        <f>IF(EO374=1,IF(ER374+ES374=0,"à affecter",IF(ER374=0,ES374&amp;" ext.",(ER374+ES374)&amp;IF(ES374&gt;0," dont "&amp;ES374&amp;" ext.",""))&amp;IF(COUNTIFS($EN$4:$EN$503,EN374,$EM$4:$EM$503,"Non affecté")&gt;0," + à affecter","")),"")</f>
        <v/>
      </c>
      <c r="EU374" s="170" t="str">
        <f>IF(EO374=1,IF(EP374&gt;0,SUMPRODUCT(($EN$4:$EN$503=EN374)*$E$4:$E$503*$C$4:$C$503)/EP374,AVERAGEIF($EN$4:$EN$503,EN374,$C$4:$C$503)),"")</f>
        <v/>
      </c>
      <c r="EV374" s="165">
        <f>IF(ISNUMBER(I374),I374,2958465)</f>
        <v>2958465.0</v>
      </c>
      <c r="EW374" s="165" t="str">
        <f>IF(EO374=1,SUMPRODUCT(MIN(($EN$4:$EN$503=EN374)*$EV$4:$EV$503+($EN$4:$EN$503&lt;&gt;EN374)*2958465)),"")</f>
        <v/>
      </c>
      <c r="EX374" s="165">
        <f>IF(AND(D374=1,ISNUMBER(INDEX(Charge!$F:$F,ROW()))),INDEX(Charge!$F:$F,ROW()),0)</f>
        <v>0.0</v>
      </c>
      <c r="EY374" s="165" t="str">
        <f>IF(EO374=1,SUMPRODUCT(MAX(($EN$4:$EN$503=EN374)*$EX$4:$EX$503)),"")</f>
        <v/>
      </c>
      <c r="FA374" t="str">
        <f>IF(371&lt;=$CD$23,INDEX($EJ$4:$EJ$203,371),IF(371-$CD$23&lt;=$CD$26,INDEX($EK$4:$EK$203,371-$CD$23),""))</f>
        <v/>
      </c>
      <c r="FB374" t="str">
        <f>IF(FA374="","",IF(371&lt;=$CD$23,"Interne","Externe"))</f>
        <v/>
      </c>
      <c r="FD374">
        <f>IF(AND(B374=1,TRIM(INDEX(Charge!$K:$K,ROW()))&lt;&gt;"",TRIM(INDEX(Charge!$L:$L,ROW()))&lt;&gt;""),1,0)</f>
        <v>0</v>
      </c>
      <c r="FE374">
        <f>IF(OR(EN374="",BZ374="(non affecté)"),0,IF(COUNTIFS($EN$4:EN374,EN374,$BZ$4:BZ374,BZ374)=1,1,0))</f>
        <v>0</v>
      </c>
    </row>
    <row r="375">
      <c r="A375">
        <f>ROW()</f>
        <v>375</v>
      </c>
      <c r="B375">
        <f>IF(TRIM(INDEX(Charge!$B:$B,ROW()))&lt;&gt;"",1,0)</f>
        <v>0</v>
      </c>
      <c r="C375">
        <f>IF(B375=1,MIN(1,MAX(0,N(INDEX(Charge!$O:$O,ROW())))),0)</f>
        <v>0</v>
      </c>
      <c r="D375">
        <f>IF(B375=1,IF(OR(p_Perimetre="Tous les projets",C375&lt;1),1,0),0)</f>
        <v>0</v>
      </c>
      <c r="E375">
        <f>IF(D375=1,MAX(0,N(INDEX(Charge!$M:$M,ROW()))),0)</f>
        <v>0</v>
      </c>
      <c r="F375" t="str">
        <f>IF(D375=1,IF(TRIM(INDEX(Charge!$A:$A,ROW()))="","(non renseigné)",TRIM(INDEX(Charge!$A:$A,ROW()))),"")</f>
        <v/>
      </c>
      <c r="G375" t="str">
        <f>IF(D375=1,TRIM(INDEX(Charge!$B:$B,ROW())),"")</f>
        <v/>
      </c>
      <c r="H375" t="str">
        <f>IF(D375=1,IF(TRIM(INDEX(Charge!$E:$E,ROW()))="","(non renseigné)",TRIM(INDEX(Charge!$E:$E,ROW()))),"")</f>
        <v/>
      </c>
      <c r="I375" s="165" t="str">
        <f>IF(AND(D375=1,ISNUMBER(INDEX(Charge!$N:$N,ROW()))),INDEX(Charge!$N:$N,ROW()),"")</f>
        <v/>
      </c>
      <c r="J375" s="165" t="str">
        <f>IF(I375="","",IF(AND(p_Repartition="Lissée jusqu'à la date de besoin",ISNUMBER(INDEX(Charge!$F:$F,ROW()))),IF(INDEX(Charge!$F:$F,ROW())&gt;=I375,INDEX(Charge!$F:$F,ROW()),I375),I375))</f>
        <v/>
      </c>
      <c r="K375" t="str">
        <f>IF(I375="","",NETWORKDAYS(I375,J375,Data!$K$4:$K$203))</f>
        <v/>
      </c>
      <c r="L375" t="str">
        <f>IF(D375=1,COUNTIFS($D$4:$D$503,1,$E$4:$E$503,"&gt;"&amp;E375)+COUNTIFS($D$4:$D375,1,$E$4:$E375,E375),"")</f>
        <v/>
      </c>
      <c r="M375">
        <f>IF(F375="",0,IF(COUNTIF($F$4:F375,F375)=1,1,0))</f>
        <v>0</v>
      </c>
      <c r="N375" t="str">
        <f>IF(M375=1,ROUND(SUMIF($F$4:$F$503,F375,$E$4:$E$503),2),"")</f>
        <v/>
      </c>
      <c r="O375" t="str">
        <f>IF(M375=1,COUNTIFS($M$4:$M$503,1,$N$4:$N$503,"&gt;"&amp;N375)+COUNTIFS($M$4:M375,1,$N$4:N375,N375),"")</f>
        <v/>
      </c>
      <c r="P375">
        <f>IF(G375="",0,IF(COUNTIF($G$4:G375,G375)=1,1,0))</f>
        <v>0</v>
      </c>
      <c r="Q375" t="str">
        <f>IF(P375=1,ROUND(SUMIF($G$4:$G$503,G375,$E$4:$E$503),2),"")</f>
        <v/>
      </c>
      <c r="R375" t="str">
        <f>IF(P375=1,COUNTIFS($P$4:$P$503,1,$Q$4:$Q$503,"&gt;"&amp;Q375)+COUNTIFS($P$4:P375,1,$Q$4:Q375,Q375),"")</f>
        <v/>
      </c>
      <c r="S375">
        <f>IF(H375="",0,IF(COUNTIF($H$4:H375,H375)=1,1,0))</f>
        <v>0</v>
      </c>
      <c r="T375" t="str">
        <f>IF(S375=1,ROUND(SUMIF($H$4:$H$503,H375,$E$4:$E$503),2),"")</f>
        <v/>
      </c>
      <c r="U375" t="str">
        <f>IF(S375=1,COUNTIFS($S$4:$S$503,1,$T$4:$T$503,"&gt;"&amp;T375)+COUNTIFS($S$4:S375,1,$T$4:T375,T375),"")</f>
        <v/>
      </c>
      <c r="V375" t="str">
        <f>IF(D375=1,MIN(INDEX($R$4:$R$503,MATCH(G375,$G$4:$G$503,0)),IF($AL$7&gt;9,9,999)),"")</f>
        <v/>
      </c>
      <c r="W375" s="166">
        <f>IF(OR($I375="",$E375=0),0,IF(OR($J375&lt;W$3,$I375&gt;W$2),0,IF($K375=0,IF(AND($I375&gt;=W$3,$I375&lt;=W$2),$E375,0),$E375*NETWORKDAYS(MAX($I375,W$3),MIN($J375,W$2),Data!$K$4:$K$203)/$K375)))</f>
        <v>0</v>
      </c>
      <c r="X375" s="166">
        <f>IF(OR($I375="",$E375=0),0,IF(OR($J375&lt;X$3,$I375&gt;X$2),0,IF($K375=0,IF(AND($I375&gt;=X$3,$I375&lt;=X$2),$E375,0),$E375*NETWORKDAYS(MAX($I375,X$3),MIN($J375,X$2),Data!$K$4:$K$203)/$K375)))</f>
        <v>0</v>
      </c>
      <c r="Y375" s="166">
        <f>IF(OR($I375="",$E375=0),0,IF(OR($J375&lt;Y$3,$I375&gt;Y$2),0,IF($K375=0,IF(AND($I375&gt;=Y$3,$I375&lt;=Y$2),$E375,0),$E375*NETWORKDAYS(MAX($I375,Y$3),MIN($J375,Y$2),Data!$K$4:$K$203)/$K375)))</f>
        <v>0</v>
      </c>
      <c r="Z375" s="166">
        <f>IF(OR($I375="",$E375=0),0,IF(OR($J375&lt;Z$3,$I375&gt;Z$2),0,IF($K375=0,IF(AND($I375&gt;=Z$3,$I375&lt;=Z$2),$E375,0),$E375*NETWORKDAYS(MAX($I375,Z$3),MIN($J375,Z$2),Data!$K$4:$K$203)/$K375)))</f>
        <v>0</v>
      </c>
      <c r="AA375" s="166">
        <f>IF(OR($I375="",$E375=0),0,IF(OR($J375&lt;AA$3,$I375&gt;AA$2),0,IF($K375=0,IF(AND($I375&gt;=AA$3,$I375&lt;=AA$2),$E375,0),$E375*NETWORKDAYS(MAX($I375,AA$3),MIN($J375,AA$2),Data!$K$4:$K$203)/$K375)))</f>
        <v>0</v>
      </c>
      <c r="AB375" s="166">
        <f>IF(OR($I375="",$E375=0),0,IF(OR($J375&lt;AB$3,$I375&gt;AB$2),0,IF($K375=0,IF(AND($I375&gt;=AB$3,$I375&lt;=AB$2),$E375,0),$E375*NETWORKDAYS(MAX($I375,AB$3),MIN($J375,AB$2),Data!$K$4:$K$203)/$K375)))</f>
        <v>0</v>
      </c>
      <c r="AC375" s="166">
        <f>IF(OR($I375="",$E375=0),0,IF(OR($J375&lt;AC$3,$I375&gt;AC$2),0,IF($K375=0,IF(AND($I375&gt;=AC$3,$I375&lt;=AC$2),$E375,0),$E375*NETWORKDAYS(MAX($I375,AC$3),MIN($J375,AC$2),Data!$K$4:$K$203)/$K375)))</f>
        <v>0</v>
      </c>
      <c r="AD375" s="166">
        <f>IF(OR($I375="",$E375=0),0,IF(OR($J375&lt;AD$3,$I375&gt;AD$2),0,IF($K375=0,IF(AND($I375&gt;=AD$3,$I375&lt;=AD$2),$E375,0),$E375*NETWORKDAYS(MAX($I375,AD$3),MIN($J375,AD$2),Data!$K$4:$K$203)/$K375)))</f>
        <v>0</v>
      </c>
      <c r="AE375" s="166">
        <f>IF(OR($I375="",$E375=0),0,IF(OR($J375&lt;AE$3,$I375&gt;AE$2),0,IF($K375=0,IF(AND($I375&gt;=AE$3,$I375&lt;=AE$2),$E375,0),$E375*NETWORKDAYS(MAX($I375,AE$3),MIN($J375,AE$2),Data!$K$4:$K$203)/$K375)))</f>
        <v>0</v>
      </c>
      <c r="AF375" s="166">
        <f>IF(OR($I375="",$E375=0),0,IF(OR($J375&lt;AF$3,$I375&gt;AF$2),0,IF($K375=0,IF(AND($I375&gt;=AF$3,$I375&lt;=AF$2),$E375,0),$E375*NETWORKDAYS(MAX($I375,AF$3),MIN($J375,AF$2),Data!$K$4:$K$203)/$K375)))</f>
        <v>0</v>
      </c>
      <c r="AG375" s="166">
        <f>IF(OR($I375="",$E375=0),0,IF(OR($J375&lt;AG$3,$I375&gt;AG$2),0,IF($K375=0,IF(AND($I375&gt;=AG$3,$I375&lt;=AG$2),$E375,0),$E375*NETWORKDAYS(MAX($I375,AG$3),MIN($J375,AG$2),Data!$K$4:$K$203)/$K375)))</f>
        <v>0</v>
      </c>
      <c r="AH375" s="166">
        <f>IF(OR($I375="",$E375=0),0,IF(OR($J375&lt;AH$3,$I375&gt;AH$2),0,IF($K375=0,IF(AND($I375&gt;=AH$3,$I375&lt;=AH$2),$E375,0),$E375*NETWORKDAYS(MAX($I375,AH$3),MIN($J375,AH$2),Data!$K$4:$K$203)/$K375)))</f>
        <v>0</v>
      </c>
      <c r="AI375" s="166">
        <f>SUM(W375:AH375)</f>
        <v>0</v>
      </c>
      <c r="BZ375" t="str">
        <f>IF(D375=1,IF(TRIM(INDEX(Charge!$K:$K,ROW()))&lt;&gt;"",TRIM(INDEX(Charge!$K:$K,ROW())),IF(TRIM(INDEX(Charge!$L:$L,ROW()))&lt;&gt;"",TRIM(INDEX(Charge!$L:$L,ROW())),"(non affecté)")),"")</f>
        <v/>
      </c>
      <c r="CA375" t="str">
        <f>IF(AND($CD$4&lt;&gt;"",BZ375=$CD$4),COUNTIFS($BZ$4:$BZ$503,$CD$4,$L$4:$L$503,"&lt;"&amp;L375)+1,"")</f>
        <v/>
      </c>
      <c r="EM375" t="str">
        <f>IF(D375=1,IF(TRIM(INDEX(Charge!$K:$K,ROW()))&lt;&gt;"","Interne",IF(TRIM(INDEX(Charge!$L:$L,ROW()))&lt;&gt;"","Externe","Non affecté")),"")</f>
        <v/>
      </c>
      <c r="EN375" t="str">
        <f>IF(D375=1,LEFT(SUBSTITUTE(SUBSTITUTE(SUBSTITUTE(TRIM(SUBSTITUTE(INDEX(Charge!$B:$B,ROW()),CHAR(160)," "))&amp;" | "&amp;TRIM(SUBSTITUTE(INDEX(Charge!$C:$C,ROW()),CHAR(160)," "))&amp;" | "&amp;TRIM(SUBSTITUTE(INDEX(Charge!$D:$D,ROW()),CHAR(160)," ")),"~","-"),"*","+"),"?","!"),240),"")</f>
        <v/>
      </c>
      <c r="EO375">
        <f>IF(EN375="",0,IF(COUNTIF($EN$4:EN375,EN375)=1,1,0))</f>
        <v>0</v>
      </c>
      <c r="EP375" s="166" t="str">
        <f>IF(EO375=1,ROUND(SUMIF($EN$4:$EN$503,EN375,$E$4:$E$503),2),"")</f>
        <v/>
      </c>
      <c r="EQ375" t="str">
        <f>IF(EO375=1,COUNTIFS($EO$4:$EO$503,1,$EP$4:$EP$503,"&gt;"&amp;EP375)+COUNTIFS($EO$4:EO375,1,$EP$4:EP375,EP375),"")</f>
        <v/>
      </c>
      <c r="ER375" t="str">
        <f>IF(EO375=1,COUNTIFS($EN$4:$EN$503,EN375,$EM$4:$EM$503,"Interne",$FE$4:$FE$503,1),"")</f>
        <v/>
      </c>
      <c r="ES375" t="str">
        <f>IF(EO375=1,COUNTIFS($EN$4:$EN$503,EN375,$EM$4:$EM$503,"Externe",$FE$4:$FE$503,1),"")</f>
        <v/>
      </c>
      <c r="ET375" t="str">
        <f>IF(EO375=1,IF(ER375+ES375=0,"à affecter",IF(ER375=0,ES375&amp;" ext.",(ER375+ES375)&amp;IF(ES375&gt;0," dont "&amp;ES375&amp;" ext.",""))&amp;IF(COUNTIFS($EN$4:$EN$503,EN375,$EM$4:$EM$503,"Non affecté")&gt;0," + à affecter","")),"")</f>
        <v/>
      </c>
      <c r="EU375" s="170" t="str">
        <f>IF(EO375=1,IF(EP375&gt;0,SUMPRODUCT(($EN$4:$EN$503=EN375)*$E$4:$E$503*$C$4:$C$503)/EP375,AVERAGEIF($EN$4:$EN$503,EN375,$C$4:$C$503)),"")</f>
        <v/>
      </c>
      <c r="EV375" s="165">
        <f>IF(ISNUMBER(I375),I375,2958465)</f>
        <v>2958465.0</v>
      </c>
      <c r="EW375" s="165" t="str">
        <f>IF(EO375=1,SUMPRODUCT(MIN(($EN$4:$EN$503=EN375)*$EV$4:$EV$503+($EN$4:$EN$503&lt;&gt;EN375)*2958465)),"")</f>
        <v/>
      </c>
      <c r="EX375" s="165">
        <f>IF(AND(D375=1,ISNUMBER(INDEX(Charge!$F:$F,ROW()))),INDEX(Charge!$F:$F,ROW()),0)</f>
        <v>0.0</v>
      </c>
      <c r="EY375" s="165" t="str">
        <f>IF(EO375=1,SUMPRODUCT(MAX(($EN$4:$EN$503=EN375)*$EX$4:$EX$503)),"")</f>
        <v/>
      </c>
      <c r="FA375" t="str">
        <f>IF(372&lt;=$CD$23,INDEX($EJ$4:$EJ$203,372),IF(372-$CD$23&lt;=$CD$26,INDEX($EK$4:$EK$203,372-$CD$23),""))</f>
        <v/>
      </c>
      <c r="FB375" t="str">
        <f>IF(FA375="","",IF(372&lt;=$CD$23,"Interne","Externe"))</f>
        <v/>
      </c>
      <c r="FD375">
        <f>IF(AND(B375=1,TRIM(INDEX(Charge!$K:$K,ROW()))&lt;&gt;"",TRIM(INDEX(Charge!$L:$L,ROW()))&lt;&gt;""),1,0)</f>
        <v>0</v>
      </c>
      <c r="FE375">
        <f>IF(OR(EN375="",BZ375="(non affecté)"),0,IF(COUNTIFS($EN$4:EN375,EN375,$BZ$4:BZ375,BZ375)=1,1,0))</f>
        <v>0</v>
      </c>
    </row>
    <row r="376">
      <c r="A376">
        <f>ROW()</f>
        <v>376</v>
      </c>
      <c r="B376">
        <f>IF(TRIM(INDEX(Charge!$B:$B,ROW()))&lt;&gt;"",1,0)</f>
        <v>0</v>
      </c>
      <c r="C376">
        <f>IF(B376=1,MIN(1,MAX(0,N(INDEX(Charge!$O:$O,ROW())))),0)</f>
        <v>0</v>
      </c>
      <c r="D376">
        <f>IF(B376=1,IF(OR(p_Perimetre="Tous les projets",C376&lt;1),1,0),0)</f>
        <v>0</v>
      </c>
      <c r="E376">
        <f>IF(D376=1,MAX(0,N(INDEX(Charge!$M:$M,ROW()))),0)</f>
        <v>0</v>
      </c>
      <c r="F376" t="str">
        <f>IF(D376=1,IF(TRIM(INDEX(Charge!$A:$A,ROW()))="","(non renseigné)",TRIM(INDEX(Charge!$A:$A,ROW()))),"")</f>
        <v/>
      </c>
      <c r="G376" t="str">
        <f>IF(D376=1,TRIM(INDEX(Charge!$B:$B,ROW())),"")</f>
        <v/>
      </c>
      <c r="H376" t="str">
        <f>IF(D376=1,IF(TRIM(INDEX(Charge!$E:$E,ROW()))="","(non renseigné)",TRIM(INDEX(Charge!$E:$E,ROW()))),"")</f>
        <v/>
      </c>
      <c r="I376" s="165" t="str">
        <f>IF(AND(D376=1,ISNUMBER(INDEX(Charge!$N:$N,ROW()))),INDEX(Charge!$N:$N,ROW()),"")</f>
        <v/>
      </c>
      <c r="J376" s="165" t="str">
        <f>IF(I376="","",IF(AND(p_Repartition="Lissée jusqu'à la date de besoin",ISNUMBER(INDEX(Charge!$F:$F,ROW()))),IF(INDEX(Charge!$F:$F,ROW())&gt;=I376,INDEX(Charge!$F:$F,ROW()),I376),I376))</f>
        <v/>
      </c>
      <c r="K376" t="str">
        <f>IF(I376="","",NETWORKDAYS(I376,J376,Data!$K$4:$K$203))</f>
        <v/>
      </c>
      <c r="L376" t="str">
        <f>IF(D376=1,COUNTIFS($D$4:$D$503,1,$E$4:$E$503,"&gt;"&amp;E376)+COUNTIFS($D$4:$D376,1,$E$4:$E376,E376),"")</f>
        <v/>
      </c>
      <c r="M376">
        <f>IF(F376="",0,IF(COUNTIF($F$4:F376,F376)=1,1,0))</f>
        <v>0</v>
      </c>
      <c r="N376" t="str">
        <f>IF(M376=1,ROUND(SUMIF($F$4:$F$503,F376,$E$4:$E$503),2),"")</f>
        <v/>
      </c>
      <c r="O376" t="str">
        <f>IF(M376=1,COUNTIFS($M$4:$M$503,1,$N$4:$N$503,"&gt;"&amp;N376)+COUNTIFS($M$4:M376,1,$N$4:N376,N376),"")</f>
        <v/>
      </c>
      <c r="P376">
        <f>IF(G376="",0,IF(COUNTIF($G$4:G376,G376)=1,1,0))</f>
        <v>0</v>
      </c>
      <c r="Q376" t="str">
        <f>IF(P376=1,ROUND(SUMIF($G$4:$G$503,G376,$E$4:$E$503),2),"")</f>
        <v/>
      </c>
      <c r="R376" t="str">
        <f>IF(P376=1,COUNTIFS($P$4:$P$503,1,$Q$4:$Q$503,"&gt;"&amp;Q376)+COUNTIFS($P$4:P376,1,$Q$4:Q376,Q376),"")</f>
        <v/>
      </c>
      <c r="S376">
        <f>IF(H376="",0,IF(COUNTIF($H$4:H376,H376)=1,1,0))</f>
        <v>0</v>
      </c>
      <c r="T376" t="str">
        <f>IF(S376=1,ROUND(SUMIF($H$4:$H$503,H376,$E$4:$E$503),2),"")</f>
        <v/>
      </c>
      <c r="U376" t="str">
        <f>IF(S376=1,COUNTIFS($S$4:$S$503,1,$T$4:$T$503,"&gt;"&amp;T376)+COUNTIFS($S$4:S376,1,$T$4:T376,T376),"")</f>
        <v/>
      </c>
      <c r="V376" t="str">
        <f>IF(D376=1,MIN(INDEX($R$4:$R$503,MATCH(G376,$G$4:$G$503,0)),IF($AL$7&gt;9,9,999)),"")</f>
        <v/>
      </c>
      <c r="W376" s="166">
        <f>IF(OR($I376="",$E376=0),0,IF(OR($J376&lt;W$3,$I376&gt;W$2),0,IF($K376=0,IF(AND($I376&gt;=W$3,$I376&lt;=W$2),$E376,0),$E376*NETWORKDAYS(MAX($I376,W$3),MIN($J376,W$2),Data!$K$4:$K$203)/$K376)))</f>
        <v>0</v>
      </c>
      <c r="X376" s="166">
        <f>IF(OR($I376="",$E376=0),0,IF(OR($J376&lt;X$3,$I376&gt;X$2),0,IF($K376=0,IF(AND($I376&gt;=X$3,$I376&lt;=X$2),$E376,0),$E376*NETWORKDAYS(MAX($I376,X$3),MIN($J376,X$2),Data!$K$4:$K$203)/$K376)))</f>
        <v>0</v>
      </c>
      <c r="Y376" s="166">
        <f>IF(OR($I376="",$E376=0),0,IF(OR($J376&lt;Y$3,$I376&gt;Y$2),0,IF($K376=0,IF(AND($I376&gt;=Y$3,$I376&lt;=Y$2),$E376,0),$E376*NETWORKDAYS(MAX($I376,Y$3),MIN($J376,Y$2),Data!$K$4:$K$203)/$K376)))</f>
        <v>0</v>
      </c>
      <c r="Z376" s="166">
        <f>IF(OR($I376="",$E376=0),0,IF(OR($J376&lt;Z$3,$I376&gt;Z$2),0,IF($K376=0,IF(AND($I376&gt;=Z$3,$I376&lt;=Z$2),$E376,0),$E376*NETWORKDAYS(MAX($I376,Z$3),MIN($J376,Z$2),Data!$K$4:$K$203)/$K376)))</f>
        <v>0</v>
      </c>
      <c r="AA376" s="166">
        <f>IF(OR($I376="",$E376=0),0,IF(OR($J376&lt;AA$3,$I376&gt;AA$2),0,IF($K376=0,IF(AND($I376&gt;=AA$3,$I376&lt;=AA$2),$E376,0),$E376*NETWORKDAYS(MAX($I376,AA$3),MIN($J376,AA$2),Data!$K$4:$K$203)/$K376)))</f>
        <v>0</v>
      </c>
      <c r="AB376" s="166">
        <f>IF(OR($I376="",$E376=0),0,IF(OR($J376&lt;AB$3,$I376&gt;AB$2),0,IF($K376=0,IF(AND($I376&gt;=AB$3,$I376&lt;=AB$2),$E376,0),$E376*NETWORKDAYS(MAX($I376,AB$3),MIN($J376,AB$2),Data!$K$4:$K$203)/$K376)))</f>
        <v>0</v>
      </c>
      <c r="AC376" s="166">
        <f>IF(OR($I376="",$E376=0),0,IF(OR($J376&lt;AC$3,$I376&gt;AC$2),0,IF($K376=0,IF(AND($I376&gt;=AC$3,$I376&lt;=AC$2),$E376,0),$E376*NETWORKDAYS(MAX($I376,AC$3),MIN($J376,AC$2),Data!$K$4:$K$203)/$K376)))</f>
        <v>0</v>
      </c>
      <c r="AD376" s="166">
        <f>IF(OR($I376="",$E376=0),0,IF(OR($J376&lt;AD$3,$I376&gt;AD$2),0,IF($K376=0,IF(AND($I376&gt;=AD$3,$I376&lt;=AD$2),$E376,0),$E376*NETWORKDAYS(MAX($I376,AD$3),MIN($J376,AD$2),Data!$K$4:$K$203)/$K376)))</f>
        <v>0</v>
      </c>
      <c r="AE376" s="166">
        <f>IF(OR($I376="",$E376=0),0,IF(OR($J376&lt;AE$3,$I376&gt;AE$2),0,IF($K376=0,IF(AND($I376&gt;=AE$3,$I376&lt;=AE$2),$E376,0),$E376*NETWORKDAYS(MAX($I376,AE$3),MIN($J376,AE$2),Data!$K$4:$K$203)/$K376)))</f>
        <v>0</v>
      </c>
      <c r="AF376" s="166">
        <f>IF(OR($I376="",$E376=0),0,IF(OR($J376&lt;AF$3,$I376&gt;AF$2),0,IF($K376=0,IF(AND($I376&gt;=AF$3,$I376&lt;=AF$2),$E376,0),$E376*NETWORKDAYS(MAX($I376,AF$3),MIN($J376,AF$2),Data!$K$4:$K$203)/$K376)))</f>
        <v>0</v>
      </c>
      <c r="AG376" s="166">
        <f>IF(OR($I376="",$E376=0),0,IF(OR($J376&lt;AG$3,$I376&gt;AG$2),0,IF($K376=0,IF(AND($I376&gt;=AG$3,$I376&lt;=AG$2),$E376,0),$E376*NETWORKDAYS(MAX($I376,AG$3),MIN($J376,AG$2),Data!$K$4:$K$203)/$K376)))</f>
        <v>0</v>
      </c>
      <c r="AH376" s="166">
        <f>IF(OR($I376="",$E376=0),0,IF(OR($J376&lt;AH$3,$I376&gt;AH$2),0,IF($K376=0,IF(AND($I376&gt;=AH$3,$I376&lt;=AH$2),$E376,0),$E376*NETWORKDAYS(MAX($I376,AH$3),MIN($J376,AH$2),Data!$K$4:$K$203)/$K376)))</f>
        <v>0</v>
      </c>
      <c r="AI376" s="166">
        <f>SUM(W376:AH376)</f>
        <v>0</v>
      </c>
      <c r="BZ376" t="str">
        <f>IF(D376=1,IF(TRIM(INDEX(Charge!$K:$K,ROW()))&lt;&gt;"",TRIM(INDEX(Charge!$K:$K,ROW())),IF(TRIM(INDEX(Charge!$L:$L,ROW()))&lt;&gt;"",TRIM(INDEX(Charge!$L:$L,ROW())),"(non affecté)")),"")</f>
        <v/>
      </c>
      <c r="CA376" t="str">
        <f>IF(AND($CD$4&lt;&gt;"",BZ376=$CD$4),COUNTIFS($BZ$4:$BZ$503,$CD$4,$L$4:$L$503,"&lt;"&amp;L376)+1,"")</f>
        <v/>
      </c>
      <c r="EM376" t="str">
        <f>IF(D376=1,IF(TRIM(INDEX(Charge!$K:$K,ROW()))&lt;&gt;"","Interne",IF(TRIM(INDEX(Charge!$L:$L,ROW()))&lt;&gt;"","Externe","Non affecté")),"")</f>
        <v/>
      </c>
      <c r="EN376" t="str">
        <f>IF(D376=1,LEFT(SUBSTITUTE(SUBSTITUTE(SUBSTITUTE(TRIM(SUBSTITUTE(INDEX(Charge!$B:$B,ROW()),CHAR(160)," "))&amp;" | "&amp;TRIM(SUBSTITUTE(INDEX(Charge!$C:$C,ROW()),CHAR(160)," "))&amp;" | "&amp;TRIM(SUBSTITUTE(INDEX(Charge!$D:$D,ROW()),CHAR(160)," ")),"~","-"),"*","+"),"?","!"),240),"")</f>
        <v/>
      </c>
      <c r="EO376">
        <f>IF(EN376="",0,IF(COUNTIF($EN$4:EN376,EN376)=1,1,0))</f>
        <v>0</v>
      </c>
      <c r="EP376" s="166" t="str">
        <f>IF(EO376=1,ROUND(SUMIF($EN$4:$EN$503,EN376,$E$4:$E$503),2),"")</f>
        <v/>
      </c>
      <c r="EQ376" t="str">
        <f>IF(EO376=1,COUNTIFS($EO$4:$EO$503,1,$EP$4:$EP$503,"&gt;"&amp;EP376)+COUNTIFS($EO$4:EO376,1,$EP$4:EP376,EP376),"")</f>
        <v/>
      </c>
      <c r="ER376" t="str">
        <f>IF(EO376=1,COUNTIFS($EN$4:$EN$503,EN376,$EM$4:$EM$503,"Interne",$FE$4:$FE$503,1),"")</f>
        <v/>
      </c>
      <c r="ES376" t="str">
        <f>IF(EO376=1,COUNTIFS($EN$4:$EN$503,EN376,$EM$4:$EM$503,"Externe",$FE$4:$FE$503,1),"")</f>
        <v/>
      </c>
      <c r="ET376" t="str">
        <f>IF(EO376=1,IF(ER376+ES376=0,"à affecter",IF(ER376=0,ES376&amp;" ext.",(ER376+ES376)&amp;IF(ES376&gt;0," dont "&amp;ES376&amp;" ext.",""))&amp;IF(COUNTIFS($EN$4:$EN$503,EN376,$EM$4:$EM$503,"Non affecté")&gt;0," + à affecter","")),"")</f>
        <v/>
      </c>
      <c r="EU376" s="170" t="str">
        <f>IF(EO376=1,IF(EP376&gt;0,SUMPRODUCT(($EN$4:$EN$503=EN376)*$E$4:$E$503*$C$4:$C$503)/EP376,AVERAGEIF($EN$4:$EN$503,EN376,$C$4:$C$503)),"")</f>
        <v/>
      </c>
      <c r="EV376" s="165">
        <f>IF(ISNUMBER(I376),I376,2958465)</f>
        <v>2958465.0</v>
      </c>
      <c r="EW376" s="165" t="str">
        <f>IF(EO376=1,SUMPRODUCT(MIN(($EN$4:$EN$503=EN376)*$EV$4:$EV$503+($EN$4:$EN$503&lt;&gt;EN376)*2958465)),"")</f>
        <v/>
      </c>
      <c r="EX376" s="165">
        <f>IF(AND(D376=1,ISNUMBER(INDEX(Charge!$F:$F,ROW()))),INDEX(Charge!$F:$F,ROW()),0)</f>
        <v>0.0</v>
      </c>
      <c r="EY376" s="165" t="str">
        <f>IF(EO376=1,SUMPRODUCT(MAX(($EN$4:$EN$503=EN376)*$EX$4:$EX$503)),"")</f>
        <v/>
      </c>
      <c r="FA376" t="str">
        <f>IF(373&lt;=$CD$23,INDEX($EJ$4:$EJ$203,373),IF(373-$CD$23&lt;=$CD$26,INDEX($EK$4:$EK$203,373-$CD$23),""))</f>
        <v/>
      </c>
      <c r="FB376" t="str">
        <f>IF(FA376="","",IF(373&lt;=$CD$23,"Interne","Externe"))</f>
        <v/>
      </c>
      <c r="FD376">
        <f>IF(AND(B376=1,TRIM(INDEX(Charge!$K:$K,ROW()))&lt;&gt;"",TRIM(INDEX(Charge!$L:$L,ROW()))&lt;&gt;""),1,0)</f>
        <v>0</v>
      </c>
      <c r="FE376">
        <f>IF(OR(EN376="",BZ376="(non affecté)"),0,IF(COUNTIFS($EN$4:EN376,EN376,$BZ$4:BZ376,BZ376)=1,1,0))</f>
        <v>0</v>
      </c>
    </row>
    <row r="377">
      <c r="A377">
        <f>ROW()</f>
        <v>377</v>
      </c>
      <c r="B377">
        <f>IF(TRIM(INDEX(Charge!$B:$B,ROW()))&lt;&gt;"",1,0)</f>
        <v>0</v>
      </c>
      <c r="C377">
        <f>IF(B377=1,MIN(1,MAX(0,N(INDEX(Charge!$O:$O,ROW())))),0)</f>
        <v>0</v>
      </c>
      <c r="D377">
        <f>IF(B377=1,IF(OR(p_Perimetre="Tous les projets",C377&lt;1),1,0),0)</f>
        <v>0</v>
      </c>
      <c r="E377">
        <f>IF(D377=1,MAX(0,N(INDEX(Charge!$M:$M,ROW()))),0)</f>
        <v>0</v>
      </c>
      <c r="F377" t="str">
        <f>IF(D377=1,IF(TRIM(INDEX(Charge!$A:$A,ROW()))="","(non renseigné)",TRIM(INDEX(Charge!$A:$A,ROW()))),"")</f>
        <v/>
      </c>
      <c r="G377" t="str">
        <f>IF(D377=1,TRIM(INDEX(Charge!$B:$B,ROW())),"")</f>
        <v/>
      </c>
      <c r="H377" t="str">
        <f>IF(D377=1,IF(TRIM(INDEX(Charge!$E:$E,ROW()))="","(non renseigné)",TRIM(INDEX(Charge!$E:$E,ROW()))),"")</f>
        <v/>
      </c>
      <c r="I377" s="165" t="str">
        <f>IF(AND(D377=1,ISNUMBER(INDEX(Charge!$N:$N,ROW()))),INDEX(Charge!$N:$N,ROW()),"")</f>
        <v/>
      </c>
      <c r="J377" s="165" t="str">
        <f>IF(I377="","",IF(AND(p_Repartition="Lissée jusqu'à la date de besoin",ISNUMBER(INDEX(Charge!$F:$F,ROW()))),IF(INDEX(Charge!$F:$F,ROW())&gt;=I377,INDEX(Charge!$F:$F,ROW()),I377),I377))</f>
        <v/>
      </c>
      <c r="K377" t="str">
        <f>IF(I377="","",NETWORKDAYS(I377,J377,Data!$K$4:$K$203))</f>
        <v/>
      </c>
      <c r="L377" t="str">
        <f>IF(D377=1,COUNTIFS($D$4:$D$503,1,$E$4:$E$503,"&gt;"&amp;E377)+COUNTIFS($D$4:$D377,1,$E$4:$E377,E377),"")</f>
        <v/>
      </c>
      <c r="M377">
        <f>IF(F377="",0,IF(COUNTIF($F$4:F377,F377)=1,1,0))</f>
        <v>0</v>
      </c>
      <c r="N377" t="str">
        <f>IF(M377=1,ROUND(SUMIF($F$4:$F$503,F377,$E$4:$E$503),2),"")</f>
        <v/>
      </c>
      <c r="O377" t="str">
        <f>IF(M377=1,COUNTIFS($M$4:$M$503,1,$N$4:$N$503,"&gt;"&amp;N377)+COUNTIFS($M$4:M377,1,$N$4:N377,N377),"")</f>
        <v/>
      </c>
      <c r="P377">
        <f>IF(G377="",0,IF(COUNTIF($G$4:G377,G377)=1,1,0))</f>
        <v>0</v>
      </c>
      <c r="Q377" t="str">
        <f>IF(P377=1,ROUND(SUMIF($G$4:$G$503,G377,$E$4:$E$503),2),"")</f>
        <v/>
      </c>
      <c r="R377" t="str">
        <f>IF(P377=1,COUNTIFS($P$4:$P$503,1,$Q$4:$Q$503,"&gt;"&amp;Q377)+COUNTIFS($P$4:P377,1,$Q$4:Q377,Q377),"")</f>
        <v/>
      </c>
      <c r="S377">
        <f>IF(H377="",0,IF(COUNTIF($H$4:H377,H377)=1,1,0))</f>
        <v>0</v>
      </c>
      <c r="T377" t="str">
        <f>IF(S377=1,ROUND(SUMIF($H$4:$H$503,H377,$E$4:$E$503),2),"")</f>
        <v/>
      </c>
      <c r="U377" t="str">
        <f>IF(S377=1,COUNTIFS($S$4:$S$503,1,$T$4:$T$503,"&gt;"&amp;T377)+COUNTIFS($S$4:S377,1,$T$4:T377,T377),"")</f>
        <v/>
      </c>
      <c r="V377" t="str">
        <f>IF(D377=1,MIN(INDEX($R$4:$R$503,MATCH(G377,$G$4:$G$503,0)),IF($AL$7&gt;9,9,999)),"")</f>
        <v/>
      </c>
      <c r="W377" s="166">
        <f>IF(OR($I377="",$E377=0),0,IF(OR($J377&lt;W$3,$I377&gt;W$2),0,IF($K377=0,IF(AND($I377&gt;=W$3,$I377&lt;=W$2),$E377,0),$E377*NETWORKDAYS(MAX($I377,W$3),MIN($J377,W$2),Data!$K$4:$K$203)/$K377)))</f>
        <v>0</v>
      </c>
      <c r="X377" s="166">
        <f>IF(OR($I377="",$E377=0),0,IF(OR($J377&lt;X$3,$I377&gt;X$2),0,IF($K377=0,IF(AND($I377&gt;=X$3,$I377&lt;=X$2),$E377,0),$E377*NETWORKDAYS(MAX($I377,X$3),MIN($J377,X$2),Data!$K$4:$K$203)/$K377)))</f>
        <v>0</v>
      </c>
      <c r="Y377" s="166">
        <f>IF(OR($I377="",$E377=0),0,IF(OR($J377&lt;Y$3,$I377&gt;Y$2),0,IF($K377=0,IF(AND($I377&gt;=Y$3,$I377&lt;=Y$2),$E377,0),$E377*NETWORKDAYS(MAX($I377,Y$3),MIN($J377,Y$2),Data!$K$4:$K$203)/$K377)))</f>
        <v>0</v>
      </c>
      <c r="Z377" s="166">
        <f>IF(OR($I377="",$E377=0),0,IF(OR($J377&lt;Z$3,$I377&gt;Z$2),0,IF($K377=0,IF(AND($I377&gt;=Z$3,$I377&lt;=Z$2),$E377,0),$E377*NETWORKDAYS(MAX($I377,Z$3),MIN($J377,Z$2),Data!$K$4:$K$203)/$K377)))</f>
        <v>0</v>
      </c>
      <c r="AA377" s="166">
        <f>IF(OR($I377="",$E377=0),0,IF(OR($J377&lt;AA$3,$I377&gt;AA$2),0,IF($K377=0,IF(AND($I377&gt;=AA$3,$I377&lt;=AA$2),$E377,0),$E377*NETWORKDAYS(MAX($I377,AA$3),MIN($J377,AA$2),Data!$K$4:$K$203)/$K377)))</f>
        <v>0</v>
      </c>
      <c r="AB377" s="166">
        <f>IF(OR($I377="",$E377=0),0,IF(OR($J377&lt;AB$3,$I377&gt;AB$2),0,IF($K377=0,IF(AND($I377&gt;=AB$3,$I377&lt;=AB$2),$E377,0),$E377*NETWORKDAYS(MAX($I377,AB$3),MIN($J377,AB$2),Data!$K$4:$K$203)/$K377)))</f>
        <v>0</v>
      </c>
      <c r="AC377" s="166">
        <f>IF(OR($I377="",$E377=0),0,IF(OR($J377&lt;AC$3,$I377&gt;AC$2),0,IF($K377=0,IF(AND($I377&gt;=AC$3,$I377&lt;=AC$2),$E377,0),$E377*NETWORKDAYS(MAX($I377,AC$3),MIN($J377,AC$2),Data!$K$4:$K$203)/$K377)))</f>
        <v>0</v>
      </c>
      <c r="AD377" s="166">
        <f>IF(OR($I377="",$E377=0),0,IF(OR($J377&lt;AD$3,$I377&gt;AD$2),0,IF($K377=0,IF(AND($I377&gt;=AD$3,$I377&lt;=AD$2),$E377,0),$E377*NETWORKDAYS(MAX($I377,AD$3),MIN($J377,AD$2),Data!$K$4:$K$203)/$K377)))</f>
        <v>0</v>
      </c>
      <c r="AE377" s="166">
        <f>IF(OR($I377="",$E377=0),0,IF(OR($J377&lt;AE$3,$I377&gt;AE$2),0,IF($K377=0,IF(AND($I377&gt;=AE$3,$I377&lt;=AE$2),$E377,0),$E377*NETWORKDAYS(MAX($I377,AE$3),MIN($J377,AE$2),Data!$K$4:$K$203)/$K377)))</f>
        <v>0</v>
      </c>
      <c r="AF377" s="166">
        <f>IF(OR($I377="",$E377=0),0,IF(OR($J377&lt;AF$3,$I377&gt;AF$2),0,IF($K377=0,IF(AND($I377&gt;=AF$3,$I377&lt;=AF$2),$E377,0),$E377*NETWORKDAYS(MAX($I377,AF$3),MIN($J377,AF$2),Data!$K$4:$K$203)/$K377)))</f>
        <v>0</v>
      </c>
      <c r="AG377" s="166">
        <f>IF(OR($I377="",$E377=0),0,IF(OR($J377&lt;AG$3,$I377&gt;AG$2),0,IF($K377=0,IF(AND($I377&gt;=AG$3,$I377&lt;=AG$2),$E377,0),$E377*NETWORKDAYS(MAX($I377,AG$3),MIN($J377,AG$2),Data!$K$4:$K$203)/$K377)))</f>
        <v>0</v>
      </c>
      <c r="AH377" s="166">
        <f>IF(OR($I377="",$E377=0),0,IF(OR($J377&lt;AH$3,$I377&gt;AH$2),0,IF($K377=0,IF(AND($I377&gt;=AH$3,$I377&lt;=AH$2),$E377,0),$E377*NETWORKDAYS(MAX($I377,AH$3),MIN($J377,AH$2),Data!$K$4:$K$203)/$K377)))</f>
        <v>0</v>
      </c>
      <c r="AI377" s="166">
        <f>SUM(W377:AH377)</f>
        <v>0</v>
      </c>
      <c r="BZ377" t="str">
        <f>IF(D377=1,IF(TRIM(INDEX(Charge!$K:$K,ROW()))&lt;&gt;"",TRIM(INDEX(Charge!$K:$K,ROW())),IF(TRIM(INDEX(Charge!$L:$L,ROW()))&lt;&gt;"",TRIM(INDEX(Charge!$L:$L,ROW())),"(non affecté)")),"")</f>
        <v/>
      </c>
      <c r="CA377" t="str">
        <f>IF(AND($CD$4&lt;&gt;"",BZ377=$CD$4),COUNTIFS($BZ$4:$BZ$503,$CD$4,$L$4:$L$503,"&lt;"&amp;L377)+1,"")</f>
        <v/>
      </c>
      <c r="EM377" t="str">
        <f>IF(D377=1,IF(TRIM(INDEX(Charge!$K:$K,ROW()))&lt;&gt;"","Interne",IF(TRIM(INDEX(Charge!$L:$L,ROW()))&lt;&gt;"","Externe","Non affecté")),"")</f>
        <v/>
      </c>
      <c r="EN377" t="str">
        <f>IF(D377=1,LEFT(SUBSTITUTE(SUBSTITUTE(SUBSTITUTE(TRIM(SUBSTITUTE(INDEX(Charge!$B:$B,ROW()),CHAR(160)," "))&amp;" | "&amp;TRIM(SUBSTITUTE(INDEX(Charge!$C:$C,ROW()),CHAR(160)," "))&amp;" | "&amp;TRIM(SUBSTITUTE(INDEX(Charge!$D:$D,ROW()),CHAR(160)," ")),"~","-"),"*","+"),"?","!"),240),"")</f>
        <v/>
      </c>
      <c r="EO377">
        <f>IF(EN377="",0,IF(COUNTIF($EN$4:EN377,EN377)=1,1,0))</f>
        <v>0</v>
      </c>
      <c r="EP377" s="166" t="str">
        <f>IF(EO377=1,ROUND(SUMIF($EN$4:$EN$503,EN377,$E$4:$E$503),2),"")</f>
        <v/>
      </c>
      <c r="EQ377" t="str">
        <f>IF(EO377=1,COUNTIFS($EO$4:$EO$503,1,$EP$4:$EP$503,"&gt;"&amp;EP377)+COUNTIFS($EO$4:EO377,1,$EP$4:EP377,EP377),"")</f>
        <v/>
      </c>
      <c r="ER377" t="str">
        <f>IF(EO377=1,COUNTIFS($EN$4:$EN$503,EN377,$EM$4:$EM$503,"Interne",$FE$4:$FE$503,1),"")</f>
        <v/>
      </c>
      <c r="ES377" t="str">
        <f>IF(EO377=1,COUNTIFS($EN$4:$EN$503,EN377,$EM$4:$EM$503,"Externe",$FE$4:$FE$503,1),"")</f>
        <v/>
      </c>
      <c r="ET377" t="str">
        <f>IF(EO377=1,IF(ER377+ES377=0,"à affecter",IF(ER377=0,ES377&amp;" ext.",(ER377+ES377)&amp;IF(ES377&gt;0," dont "&amp;ES377&amp;" ext.",""))&amp;IF(COUNTIFS($EN$4:$EN$503,EN377,$EM$4:$EM$503,"Non affecté")&gt;0," + à affecter","")),"")</f>
        <v/>
      </c>
      <c r="EU377" s="170" t="str">
        <f>IF(EO377=1,IF(EP377&gt;0,SUMPRODUCT(($EN$4:$EN$503=EN377)*$E$4:$E$503*$C$4:$C$503)/EP377,AVERAGEIF($EN$4:$EN$503,EN377,$C$4:$C$503)),"")</f>
        <v/>
      </c>
      <c r="EV377" s="165">
        <f>IF(ISNUMBER(I377),I377,2958465)</f>
        <v>2958465.0</v>
      </c>
      <c r="EW377" s="165" t="str">
        <f>IF(EO377=1,SUMPRODUCT(MIN(($EN$4:$EN$503=EN377)*$EV$4:$EV$503+($EN$4:$EN$503&lt;&gt;EN377)*2958465)),"")</f>
        <v/>
      </c>
      <c r="EX377" s="165">
        <f>IF(AND(D377=1,ISNUMBER(INDEX(Charge!$F:$F,ROW()))),INDEX(Charge!$F:$F,ROW()),0)</f>
        <v>0.0</v>
      </c>
      <c r="EY377" s="165" t="str">
        <f>IF(EO377=1,SUMPRODUCT(MAX(($EN$4:$EN$503=EN377)*$EX$4:$EX$503)),"")</f>
        <v/>
      </c>
      <c r="FA377" t="str">
        <f>IF(374&lt;=$CD$23,INDEX($EJ$4:$EJ$203,374),IF(374-$CD$23&lt;=$CD$26,INDEX($EK$4:$EK$203,374-$CD$23),""))</f>
        <v/>
      </c>
      <c r="FB377" t="str">
        <f>IF(FA377="","",IF(374&lt;=$CD$23,"Interne","Externe"))</f>
        <v/>
      </c>
      <c r="FD377">
        <f>IF(AND(B377=1,TRIM(INDEX(Charge!$K:$K,ROW()))&lt;&gt;"",TRIM(INDEX(Charge!$L:$L,ROW()))&lt;&gt;""),1,0)</f>
        <v>0</v>
      </c>
      <c r="FE377">
        <f>IF(OR(EN377="",BZ377="(non affecté)"),0,IF(COUNTIFS($EN$4:EN377,EN377,$BZ$4:BZ377,BZ377)=1,1,0))</f>
        <v>0</v>
      </c>
    </row>
    <row r="378">
      <c r="A378">
        <f>ROW()</f>
        <v>378</v>
      </c>
      <c r="B378">
        <f>IF(TRIM(INDEX(Charge!$B:$B,ROW()))&lt;&gt;"",1,0)</f>
        <v>0</v>
      </c>
      <c r="C378">
        <f>IF(B378=1,MIN(1,MAX(0,N(INDEX(Charge!$O:$O,ROW())))),0)</f>
        <v>0</v>
      </c>
      <c r="D378">
        <f>IF(B378=1,IF(OR(p_Perimetre="Tous les projets",C378&lt;1),1,0),0)</f>
        <v>0</v>
      </c>
      <c r="E378">
        <f>IF(D378=1,MAX(0,N(INDEX(Charge!$M:$M,ROW()))),0)</f>
        <v>0</v>
      </c>
      <c r="F378" t="str">
        <f>IF(D378=1,IF(TRIM(INDEX(Charge!$A:$A,ROW()))="","(non renseigné)",TRIM(INDEX(Charge!$A:$A,ROW()))),"")</f>
        <v/>
      </c>
      <c r="G378" t="str">
        <f>IF(D378=1,TRIM(INDEX(Charge!$B:$B,ROW())),"")</f>
        <v/>
      </c>
      <c r="H378" t="str">
        <f>IF(D378=1,IF(TRIM(INDEX(Charge!$E:$E,ROW()))="","(non renseigné)",TRIM(INDEX(Charge!$E:$E,ROW()))),"")</f>
        <v/>
      </c>
      <c r="I378" s="165" t="str">
        <f>IF(AND(D378=1,ISNUMBER(INDEX(Charge!$N:$N,ROW()))),INDEX(Charge!$N:$N,ROW()),"")</f>
        <v/>
      </c>
      <c r="J378" s="165" t="str">
        <f>IF(I378="","",IF(AND(p_Repartition="Lissée jusqu'à la date de besoin",ISNUMBER(INDEX(Charge!$F:$F,ROW()))),IF(INDEX(Charge!$F:$F,ROW())&gt;=I378,INDEX(Charge!$F:$F,ROW()),I378),I378))</f>
        <v/>
      </c>
      <c r="K378" t="str">
        <f>IF(I378="","",NETWORKDAYS(I378,J378,Data!$K$4:$K$203))</f>
        <v/>
      </c>
      <c r="L378" t="str">
        <f>IF(D378=1,COUNTIFS($D$4:$D$503,1,$E$4:$E$503,"&gt;"&amp;E378)+COUNTIFS($D$4:$D378,1,$E$4:$E378,E378),"")</f>
        <v/>
      </c>
      <c r="M378">
        <f>IF(F378="",0,IF(COUNTIF($F$4:F378,F378)=1,1,0))</f>
        <v>0</v>
      </c>
      <c r="N378" t="str">
        <f>IF(M378=1,ROUND(SUMIF($F$4:$F$503,F378,$E$4:$E$503),2),"")</f>
        <v/>
      </c>
      <c r="O378" t="str">
        <f>IF(M378=1,COUNTIFS($M$4:$M$503,1,$N$4:$N$503,"&gt;"&amp;N378)+COUNTIFS($M$4:M378,1,$N$4:N378,N378),"")</f>
        <v/>
      </c>
      <c r="P378">
        <f>IF(G378="",0,IF(COUNTIF($G$4:G378,G378)=1,1,0))</f>
        <v>0</v>
      </c>
      <c r="Q378" t="str">
        <f>IF(P378=1,ROUND(SUMIF($G$4:$G$503,G378,$E$4:$E$503),2),"")</f>
        <v/>
      </c>
      <c r="R378" t="str">
        <f>IF(P378=1,COUNTIFS($P$4:$P$503,1,$Q$4:$Q$503,"&gt;"&amp;Q378)+COUNTIFS($P$4:P378,1,$Q$4:Q378,Q378),"")</f>
        <v/>
      </c>
      <c r="S378">
        <f>IF(H378="",0,IF(COUNTIF($H$4:H378,H378)=1,1,0))</f>
        <v>0</v>
      </c>
      <c r="T378" t="str">
        <f>IF(S378=1,ROUND(SUMIF($H$4:$H$503,H378,$E$4:$E$503),2),"")</f>
        <v/>
      </c>
      <c r="U378" t="str">
        <f>IF(S378=1,COUNTIFS($S$4:$S$503,1,$T$4:$T$503,"&gt;"&amp;T378)+COUNTIFS($S$4:S378,1,$T$4:T378,T378),"")</f>
        <v/>
      </c>
      <c r="V378" t="str">
        <f>IF(D378=1,MIN(INDEX($R$4:$R$503,MATCH(G378,$G$4:$G$503,0)),IF($AL$7&gt;9,9,999)),"")</f>
        <v/>
      </c>
      <c r="W378" s="166">
        <f>IF(OR($I378="",$E378=0),0,IF(OR($J378&lt;W$3,$I378&gt;W$2),0,IF($K378=0,IF(AND($I378&gt;=W$3,$I378&lt;=W$2),$E378,0),$E378*NETWORKDAYS(MAX($I378,W$3),MIN($J378,W$2),Data!$K$4:$K$203)/$K378)))</f>
        <v>0</v>
      </c>
      <c r="X378" s="166">
        <f>IF(OR($I378="",$E378=0),0,IF(OR($J378&lt;X$3,$I378&gt;X$2),0,IF($K378=0,IF(AND($I378&gt;=X$3,$I378&lt;=X$2),$E378,0),$E378*NETWORKDAYS(MAX($I378,X$3),MIN($J378,X$2),Data!$K$4:$K$203)/$K378)))</f>
        <v>0</v>
      </c>
      <c r="Y378" s="166">
        <f>IF(OR($I378="",$E378=0),0,IF(OR($J378&lt;Y$3,$I378&gt;Y$2),0,IF($K378=0,IF(AND($I378&gt;=Y$3,$I378&lt;=Y$2),$E378,0),$E378*NETWORKDAYS(MAX($I378,Y$3),MIN($J378,Y$2),Data!$K$4:$K$203)/$K378)))</f>
        <v>0</v>
      </c>
      <c r="Z378" s="166">
        <f>IF(OR($I378="",$E378=0),0,IF(OR($J378&lt;Z$3,$I378&gt;Z$2),0,IF($K378=0,IF(AND($I378&gt;=Z$3,$I378&lt;=Z$2),$E378,0),$E378*NETWORKDAYS(MAX($I378,Z$3),MIN($J378,Z$2),Data!$K$4:$K$203)/$K378)))</f>
        <v>0</v>
      </c>
      <c r="AA378" s="166">
        <f>IF(OR($I378="",$E378=0),0,IF(OR($J378&lt;AA$3,$I378&gt;AA$2),0,IF($K378=0,IF(AND($I378&gt;=AA$3,$I378&lt;=AA$2),$E378,0),$E378*NETWORKDAYS(MAX($I378,AA$3),MIN($J378,AA$2),Data!$K$4:$K$203)/$K378)))</f>
        <v>0</v>
      </c>
      <c r="AB378" s="166">
        <f>IF(OR($I378="",$E378=0),0,IF(OR($J378&lt;AB$3,$I378&gt;AB$2),0,IF($K378=0,IF(AND($I378&gt;=AB$3,$I378&lt;=AB$2),$E378,0),$E378*NETWORKDAYS(MAX($I378,AB$3),MIN($J378,AB$2),Data!$K$4:$K$203)/$K378)))</f>
        <v>0</v>
      </c>
      <c r="AC378" s="166">
        <f>IF(OR($I378="",$E378=0),0,IF(OR($J378&lt;AC$3,$I378&gt;AC$2),0,IF($K378=0,IF(AND($I378&gt;=AC$3,$I378&lt;=AC$2),$E378,0),$E378*NETWORKDAYS(MAX($I378,AC$3),MIN($J378,AC$2),Data!$K$4:$K$203)/$K378)))</f>
        <v>0</v>
      </c>
      <c r="AD378" s="166">
        <f>IF(OR($I378="",$E378=0),0,IF(OR($J378&lt;AD$3,$I378&gt;AD$2),0,IF($K378=0,IF(AND($I378&gt;=AD$3,$I378&lt;=AD$2),$E378,0),$E378*NETWORKDAYS(MAX($I378,AD$3),MIN($J378,AD$2),Data!$K$4:$K$203)/$K378)))</f>
        <v>0</v>
      </c>
      <c r="AE378" s="166">
        <f>IF(OR($I378="",$E378=0),0,IF(OR($J378&lt;AE$3,$I378&gt;AE$2),0,IF($K378=0,IF(AND($I378&gt;=AE$3,$I378&lt;=AE$2),$E378,0),$E378*NETWORKDAYS(MAX($I378,AE$3),MIN($J378,AE$2),Data!$K$4:$K$203)/$K378)))</f>
        <v>0</v>
      </c>
      <c r="AF378" s="166">
        <f>IF(OR($I378="",$E378=0),0,IF(OR($J378&lt;AF$3,$I378&gt;AF$2),0,IF($K378=0,IF(AND($I378&gt;=AF$3,$I378&lt;=AF$2),$E378,0),$E378*NETWORKDAYS(MAX($I378,AF$3),MIN($J378,AF$2),Data!$K$4:$K$203)/$K378)))</f>
        <v>0</v>
      </c>
      <c r="AG378" s="166">
        <f>IF(OR($I378="",$E378=0),0,IF(OR($J378&lt;AG$3,$I378&gt;AG$2),0,IF($K378=0,IF(AND($I378&gt;=AG$3,$I378&lt;=AG$2),$E378,0),$E378*NETWORKDAYS(MAX($I378,AG$3),MIN($J378,AG$2),Data!$K$4:$K$203)/$K378)))</f>
        <v>0</v>
      </c>
      <c r="AH378" s="166">
        <f>IF(OR($I378="",$E378=0),0,IF(OR($J378&lt;AH$3,$I378&gt;AH$2),0,IF($K378=0,IF(AND($I378&gt;=AH$3,$I378&lt;=AH$2),$E378,0),$E378*NETWORKDAYS(MAX($I378,AH$3),MIN($J378,AH$2),Data!$K$4:$K$203)/$K378)))</f>
        <v>0</v>
      </c>
      <c r="AI378" s="166">
        <f>SUM(W378:AH378)</f>
        <v>0</v>
      </c>
      <c r="BZ378" t="str">
        <f>IF(D378=1,IF(TRIM(INDEX(Charge!$K:$K,ROW()))&lt;&gt;"",TRIM(INDEX(Charge!$K:$K,ROW())),IF(TRIM(INDEX(Charge!$L:$L,ROW()))&lt;&gt;"",TRIM(INDEX(Charge!$L:$L,ROW())),"(non affecté)")),"")</f>
        <v/>
      </c>
      <c r="CA378" t="str">
        <f>IF(AND($CD$4&lt;&gt;"",BZ378=$CD$4),COUNTIFS($BZ$4:$BZ$503,$CD$4,$L$4:$L$503,"&lt;"&amp;L378)+1,"")</f>
        <v/>
      </c>
      <c r="EM378" t="str">
        <f>IF(D378=1,IF(TRIM(INDEX(Charge!$K:$K,ROW()))&lt;&gt;"","Interne",IF(TRIM(INDEX(Charge!$L:$L,ROW()))&lt;&gt;"","Externe","Non affecté")),"")</f>
        <v/>
      </c>
      <c r="EN378" t="str">
        <f>IF(D378=1,LEFT(SUBSTITUTE(SUBSTITUTE(SUBSTITUTE(TRIM(SUBSTITUTE(INDEX(Charge!$B:$B,ROW()),CHAR(160)," "))&amp;" | "&amp;TRIM(SUBSTITUTE(INDEX(Charge!$C:$C,ROW()),CHAR(160)," "))&amp;" | "&amp;TRIM(SUBSTITUTE(INDEX(Charge!$D:$D,ROW()),CHAR(160)," ")),"~","-"),"*","+"),"?","!"),240),"")</f>
        <v/>
      </c>
      <c r="EO378">
        <f>IF(EN378="",0,IF(COUNTIF($EN$4:EN378,EN378)=1,1,0))</f>
        <v>0</v>
      </c>
      <c r="EP378" s="166" t="str">
        <f>IF(EO378=1,ROUND(SUMIF($EN$4:$EN$503,EN378,$E$4:$E$503),2),"")</f>
        <v/>
      </c>
      <c r="EQ378" t="str">
        <f>IF(EO378=1,COUNTIFS($EO$4:$EO$503,1,$EP$4:$EP$503,"&gt;"&amp;EP378)+COUNTIFS($EO$4:EO378,1,$EP$4:EP378,EP378),"")</f>
        <v/>
      </c>
      <c r="ER378" t="str">
        <f>IF(EO378=1,COUNTIFS($EN$4:$EN$503,EN378,$EM$4:$EM$503,"Interne",$FE$4:$FE$503,1),"")</f>
        <v/>
      </c>
      <c r="ES378" t="str">
        <f>IF(EO378=1,COUNTIFS($EN$4:$EN$503,EN378,$EM$4:$EM$503,"Externe",$FE$4:$FE$503,1),"")</f>
        <v/>
      </c>
      <c r="ET378" t="str">
        <f>IF(EO378=1,IF(ER378+ES378=0,"à affecter",IF(ER378=0,ES378&amp;" ext.",(ER378+ES378)&amp;IF(ES378&gt;0," dont "&amp;ES378&amp;" ext.",""))&amp;IF(COUNTIFS($EN$4:$EN$503,EN378,$EM$4:$EM$503,"Non affecté")&gt;0," + à affecter","")),"")</f>
        <v/>
      </c>
      <c r="EU378" s="170" t="str">
        <f>IF(EO378=1,IF(EP378&gt;0,SUMPRODUCT(($EN$4:$EN$503=EN378)*$E$4:$E$503*$C$4:$C$503)/EP378,AVERAGEIF($EN$4:$EN$503,EN378,$C$4:$C$503)),"")</f>
        <v/>
      </c>
      <c r="EV378" s="165">
        <f>IF(ISNUMBER(I378),I378,2958465)</f>
        <v>2958465.0</v>
      </c>
      <c r="EW378" s="165" t="str">
        <f>IF(EO378=1,SUMPRODUCT(MIN(($EN$4:$EN$503=EN378)*$EV$4:$EV$503+($EN$4:$EN$503&lt;&gt;EN378)*2958465)),"")</f>
        <v/>
      </c>
      <c r="EX378" s="165">
        <f>IF(AND(D378=1,ISNUMBER(INDEX(Charge!$F:$F,ROW()))),INDEX(Charge!$F:$F,ROW()),0)</f>
        <v>0.0</v>
      </c>
      <c r="EY378" s="165" t="str">
        <f>IF(EO378=1,SUMPRODUCT(MAX(($EN$4:$EN$503=EN378)*$EX$4:$EX$503)),"")</f>
        <v/>
      </c>
      <c r="FA378" t="str">
        <f>IF(375&lt;=$CD$23,INDEX($EJ$4:$EJ$203,375),IF(375-$CD$23&lt;=$CD$26,INDEX($EK$4:$EK$203,375-$CD$23),""))</f>
        <v/>
      </c>
      <c r="FB378" t="str">
        <f>IF(FA378="","",IF(375&lt;=$CD$23,"Interne","Externe"))</f>
        <v/>
      </c>
      <c r="FD378">
        <f>IF(AND(B378=1,TRIM(INDEX(Charge!$K:$K,ROW()))&lt;&gt;"",TRIM(INDEX(Charge!$L:$L,ROW()))&lt;&gt;""),1,0)</f>
        <v>0</v>
      </c>
      <c r="FE378">
        <f>IF(OR(EN378="",BZ378="(non affecté)"),0,IF(COUNTIFS($EN$4:EN378,EN378,$BZ$4:BZ378,BZ378)=1,1,0))</f>
        <v>0</v>
      </c>
    </row>
    <row r="379">
      <c r="A379">
        <f>ROW()</f>
        <v>379</v>
      </c>
      <c r="B379">
        <f>IF(TRIM(INDEX(Charge!$B:$B,ROW()))&lt;&gt;"",1,0)</f>
        <v>0</v>
      </c>
      <c r="C379">
        <f>IF(B379=1,MIN(1,MAX(0,N(INDEX(Charge!$O:$O,ROW())))),0)</f>
        <v>0</v>
      </c>
      <c r="D379">
        <f>IF(B379=1,IF(OR(p_Perimetre="Tous les projets",C379&lt;1),1,0),0)</f>
        <v>0</v>
      </c>
      <c r="E379">
        <f>IF(D379=1,MAX(0,N(INDEX(Charge!$M:$M,ROW()))),0)</f>
        <v>0</v>
      </c>
      <c r="F379" t="str">
        <f>IF(D379=1,IF(TRIM(INDEX(Charge!$A:$A,ROW()))="","(non renseigné)",TRIM(INDEX(Charge!$A:$A,ROW()))),"")</f>
        <v/>
      </c>
      <c r="G379" t="str">
        <f>IF(D379=1,TRIM(INDEX(Charge!$B:$B,ROW())),"")</f>
        <v/>
      </c>
      <c r="H379" t="str">
        <f>IF(D379=1,IF(TRIM(INDEX(Charge!$E:$E,ROW()))="","(non renseigné)",TRIM(INDEX(Charge!$E:$E,ROW()))),"")</f>
        <v/>
      </c>
      <c r="I379" s="165" t="str">
        <f>IF(AND(D379=1,ISNUMBER(INDEX(Charge!$N:$N,ROW()))),INDEX(Charge!$N:$N,ROW()),"")</f>
        <v/>
      </c>
      <c r="J379" s="165" t="str">
        <f>IF(I379="","",IF(AND(p_Repartition="Lissée jusqu'à la date de besoin",ISNUMBER(INDEX(Charge!$F:$F,ROW()))),IF(INDEX(Charge!$F:$F,ROW())&gt;=I379,INDEX(Charge!$F:$F,ROW()),I379),I379))</f>
        <v/>
      </c>
      <c r="K379" t="str">
        <f>IF(I379="","",NETWORKDAYS(I379,J379,Data!$K$4:$K$203))</f>
        <v/>
      </c>
      <c r="L379" t="str">
        <f>IF(D379=1,COUNTIFS($D$4:$D$503,1,$E$4:$E$503,"&gt;"&amp;E379)+COUNTIFS($D$4:$D379,1,$E$4:$E379,E379),"")</f>
        <v/>
      </c>
      <c r="M379">
        <f>IF(F379="",0,IF(COUNTIF($F$4:F379,F379)=1,1,0))</f>
        <v>0</v>
      </c>
      <c r="N379" t="str">
        <f>IF(M379=1,ROUND(SUMIF($F$4:$F$503,F379,$E$4:$E$503),2),"")</f>
        <v/>
      </c>
      <c r="O379" t="str">
        <f>IF(M379=1,COUNTIFS($M$4:$M$503,1,$N$4:$N$503,"&gt;"&amp;N379)+COUNTIFS($M$4:M379,1,$N$4:N379,N379),"")</f>
        <v/>
      </c>
      <c r="P379">
        <f>IF(G379="",0,IF(COUNTIF($G$4:G379,G379)=1,1,0))</f>
        <v>0</v>
      </c>
      <c r="Q379" t="str">
        <f>IF(P379=1,ROUND(SUMIF($G$4:$G$503,G379,$E$4:$E$503),2),"")</f>
        <v/>
      </c>
      <c r="R379" t="str">
        <f>IF(P379=1,COUNTIFS($P$4:$P$503,1,$Q$4:$Q$503,"&gt;"&amp;Q379)+COUNTIFS($P$4:P379,1,$Q$4:Q379,Q379),"")</f>
        <v/>
      </c>
      <c r="S379">
        <f>IF(H379="",0,IF(COUNTIF($H$4:H379,H379)=1,1,0))</f>
        <v>0</v>
      </c>
      <c r="T379" t="str">
        <f>IF(S379=1,ROUND(SUMIF($H$4:$H$503,H379,$E$4:$E$503),2),"")</f>
        <v/>
      </c>
      <c r="U379" t="str">
        <f>IF(S379=1,COUNTIFS($S$4:$S$503,1,$T$4:$T$503,"&gt;"&amp;T379)+COUNTIFS($S$4:S379,1,$T$4:T379,T379),"")</f>
        <v/>
      </c>
      <c r="V379" t="str">
        <f>IF(D379=1,MIN(INDEX($R$4:$R$503,MATCH(G379,$G$4:$G$503,0)),IF($AL$7&gt;9,9,999)),"")</f>
        <v/>
      </c>
      <c r="W379" s="166">
        <f>IF(OR($I379="",$E379=0),0,IF(OR($J379&lt;W$3,$I379&gt;W$2),0,IF($K379=0,IF(AND($I379&gt;=W$3,$I379&lt;=W$2),$E379,0),$E379*NETWORKDAYS(MAX($I379,W$3),MIN($J379,W$2),Data!$K$4:$K$203)/$K379)))</f>
        <v>0</v>
      </c>
      <c r="X379" s="166">
        <f>IF(OR($I379="",$E379=0),0,IF(OR($J379&lt;X$3,$I379&gt;X$2),0,IF($K379=0,IF(AND($I379&gt;=X$3,$I379&lt;=X$2),$E379,0),$E379*NETWORKDAYS(MAX($I379,X$3),MIN($J379,X$2),Data!$K$4:$K$203)/$K379)))</f>
        <v>0</v>
      </c>
      <c r="Y379" s="166">
        <f>IF(OR($I379="",$E379=0),0,IF(OR($J379&lt;Y$3,$I379&gt;Y$2),0,IF($K379=0,IF(AND($I379&gt;=Y$3,$I379&lt;=Y$2),$E379,0),$E379*NETWORKDAYS(MAX($I379,Y$3),MIN($J379,Y$2),Data!$K$4:$K$203)/$K379)))</f>
        <v>0</v>
      </c>
      <c r="Z379" s="166">
        <f>IF(OR($I379="",$E379=0),0,IF(OR($J379&lt;Z$3,$I379&gt;Z$2),0,IF($K379=0,IF(AND($I379&gt;=Z$3,$I379&lt;=Z$2),$E379,0),$E379*NETWORKDAYS(MAX($I379,Z$3),MIN($J379,Z$2),Data!$K$4:$K$203)/$K379)))</f>
        <v>0</v>
      </c>
      <c r="AA379" s="166">
        <f>IF(OR($I379="",$E379=0),0,IF(OR($J379&lt;AA$3,$I379&gt;AA$2),0,IF($K379=0,IF(AND($I379&gt;=AA$3,$I379&lt;=AA$2),$E379,0),$E379*NETWORKDAYS(MAX($I379,AA$3),MIN($J379,AA$2),Data!$K$4:$K$203)/$K379)))</f>
        <v>0</v>
      </c>
      <c r="AB379" s="166">
        <f>IF(OR($I379="",$E379=0),0,IF(OR($J379&lt;AB$3,$I379&gt;AB$2),0,IF($K379=0,IF(AND($I379&gt;=AB$3,$I379&lt;=AB$2),$E379,0),$E379*NETWORKDAYS(MAX($I379,AB$3),MIN($J379,AB$2),Data!$K$4:$K$203)/$K379)))</f>
        <v>0</v>
      </c>
      <c r="AC379" s="166">
        <f>IF(OR($I379="",$E379=0),0,IF(OR($J379&lt;AC$3,$I379&gt;AC$2),0,IF($K379=0,IF(AND($I379&gt;=AC$3,$I379&lt;=AC$2),$E379,0),$E379*NETWORKDAYS(MAX($I379,AC$3),MIN($J379,AC$2),Data!$K$4:$K$203)/$K379)))</f>
        <v>0</v>
      </c>
      <c r="AD379" s="166">
        <f>IF(OR($I379="",$E379=0),0,IF(OR($J379&lt;AD$3,$I379&gt;AD$2),0,IF($K379=0,IF(AND($I379&gt;=AD$3,$I379&lt;=AD$2),$E379,0),$E379*NETWORKDAYS(MAX($I379,AD$3),MIN($J379,AD$2),Data!$K$4:$K$203)/$K379)))</f>
        <v>0</v>
      </c>
      <c r="AE379" s="166">
        <f>IF(OR($I379="",$E379=0),0,IF(OR($J379&lt;AE$3,$I379&gt;AE$2),0,IF($K379=0,IF(AND($I379&gt;=AE$3,$I379&lt;=AE$2),$E379,0),$E379*NETWORKDAYS(MAX($I379,AE$3),MIN($J379,AE$2),Data!$K$4:$K$203)/$K379)))</f>
        <v>0</v>
      </c>
      <c r="AF379" s="166">
        <f>IF(OR($I379="",$E379=0),0,IF(OR($J379&lt;AF$3,$I379&gt;AF$2),0,IF($K379=0,IF(AND($I379&gt;=AF$3,$I379&lt;=AF$2),$E379,0),$E379*NETWORKDAYS(MAX($I379,AF$3),MIN($J379,AF$2),Data!$K$4:$K$203)/$K379)))</f>
        <v>0</v>
      </c>
      <c r="AG379" s="166">
        <f>IF(OR($I379="",$E379=0),0,IF(OR($J379&lt;AG$3,$I379&gt;AG$2),0,IF($K379=0,IF(AND($I379&gt;=AG$3,$I379&lt;=AG$2),$E379,0),$E379*NETWORKDAYS(MAX($I379,AG$3),MIN($J379,AG$2),Data!$K$4:$K$203)/$K379)))</f>
        <v>0</v>
      </c>
      <c r="AH379" s="166">
        <f>IF(OR($I379="",$E379=0),0,IF(OR($J379&lt;AH$3,$I379&gt;AH$2),0,IF($K379=0,IF(AND($I379&gt;=AH$3,$I379&lt;=AH$2),$E379,0),$E379*NETWORKDAYS(MAX($I379,AH$3),MIN($J379,AH$2),Data!$K$4:$K$203)/$K379)))</f>
        <v>0</v>
      </c>
      <c r="AI379" s="166">
        <f>SUM(W379:AH379)</f>
        <v>0</v>
      </c>
      <c r="BZ379" t="str">
        <f>IF(D379=1,IF(TRIM(INDEX(Charge!$K:$K,ROW()))&lt;&gt;"",TRIM(INDEX(Charge!$K:$K,ROW())),IF(TRIM(INDEX(Charge!$L:$L,ROW()))&lt;&gt;"",TRIM(INDEX(Charge!$L:$L,ROW())),"(non affecté)")),"")</f>
        <v/>
      </c>
      <c r="CA379" t="str">
        <f>IF(AND($CD$4&lt;&gt;"",BZ379=$CD$4),COUNTIFS($BZ$4:$BZ$503,$CD$4,$L$4:$L$503,"&lt;"&amp;L379)+1,"")</f>
        <v/>
      </c>
      <c r="EM379" t="str">
        <f>IF(D379=1,IF(TRIM(INDEX(Charge!$K:$K,ROW()))&lt;&gt;"","Interne",IF(TRIM(INDEX(Charge!$L:$L,ROW()))&lt;&gt;"","Externe","Non affecté")),"")</f>
        <v/>
      </c>
      <c r="EN379" t="str">
        <f>IF(D379=1,LEFT(SUBSTITUTE(SUBSTITUTE(SUBSTITUTE(TRIM(SUBSTITUTE(INDEX(Charge!$B:$B,ROW()),CHAR(160)," "))&amp;" | "&amp;TRIM(SUBSTITUTE(INDEX(Charge!$C:$C,ROW()),CHAR(160)," "))&amp;" | "&amp;TRIM(SUBSTITUTE(INDEX(Charge!$D:$D,ROW()),CHAR(160)," ")),"~","-"),"*","+"),"?","!"),240),"")</f>
        <v/>
      </c>
      <c r="EO379">
        <f>IF(EN379="",0,IF(COUNTIF($EN$4:EN379,EN379)=1,1,0))</f>
        <v>0</v>
      </c>
      <c r="EP379" s="166" t="str">
        <f>IF(EO379=1,ROUND(SUMIF($EN$4:$EN$503,EN379,$E$4:$E$503),2),"")</f>
        <v/>
      </c>
      <c r="EQ379" t="str">
        <f>IF(EO379=1,COUNTIFS($EO$4:$EO$503,1,$EP$4:$EP$503,"&gt;"&amp;EP379)+COUNTIFS($EO$4:EO379,1,$EP$4:EP379,EP379),"")</f>
        <v/>
      </c>
      <c r="ER379" t="str">
        <f>IF(EO379=1,COUNTIFS($EN$4:$EN$503,EN379,$EM$4:$EM$503,"Interne",$FE$4:$FE$503,1),"")</f>
        <v/>
      </c>
      <c r="ES379" t="str">
        <f>IF(EO379=1,COUNTIFS($EN$4:$EN$503,EN379,$EM$4:$EM$503,"Externe",$FE$4:$FE$503,1),"")</f>
        <v/>
      </c>
      <c r="ET379" t="str">
        <f>IF(EO379=1,IF(ER379+ES379=0,"à affecter",IF(ER379=0,ES379&amp;" ext.",(ER379+ES379)&amp;IF(ES379&gt;0," dont "&amp;ES379&amp;" ext.",""))&amp;IF(COUNTIFS($EN$4:$EN$503,EN379,$EM$4:$EM$503,"Non affecté")&gt;0," + à affecter","")),"")</f>
        <v/>
      </c>
      <c r="EU379" s="170" t="str">
        <f>IF(EO379=1,IF(EP379&gt;0,SUMPRODUCT(($EN$4:$EN$503=EN379)*$E$4:$E$503*$C$4:$C$503)/EP379,AVERAGEIF($EN$4:$EN$503,EN379,$C$4:$C$503)),"")</f>
        <v/>
      </c>
      <c r="EV379" s="165">
        <f>IF(ISNUMBER(I379),I379,2958465)</f>
        <v>2958465.0</v>
      </c>
      <c r="EW379" s="165" t="str">
        <f>IF(EO379=1,SUMPRODUCT(MIN(($EN$4:$EN$503=EN379)*$EV$4:$EV$503+($EN$4:$EN$503&lt;&gt;EN379)*2958465)),"")</f>
        <v/>
      </c>
      <c r="EX379" s="165">
        <f>IF(AND(D379=1,ISNUMBER(INDEX(Charge!$F:$F,ROW()))),INDEX(Charge!$F:$F,ROW()),0)</f>
        <v>0.0</v>
      </c>
      <c r="EY379" s="165" t="str">
        <f>IF(EO379=1,SUMPRODUCT(MAX(($EN$4:$EN$503=EN379)*$EX$4:$EX$503)),"")</f>
        <v/>
      </c>
      <c r="FA379" t="str">
        <f>IF(376&lt;=$CD$23,INDEX($EJ$4:$EJ$203,376),IF(376-$CD$23&lt;=$CD$26,INDEX($EK$4:$EK$203,376-$CD$23),""))</f>
        <v/>
      </c>
      <c r="FB379" t="str">
        <f>IF(FA379="","",IF(376&lt;=$CD$23,"Interne","Externe"))</f>
        <v/>
      </c>
      <c r="FD379">
        <f>IF(AND(B379=1,TRIM(INDEX(Charge!$K:$K,ROW()))&lt;&gt;"",TRIM(INDEX(Charge!$L:$L,ROW()))&lt;&gt;""),1,0)</f>
        <v>0</v>
      </c>
      <c r="FE379">
        <f>IF(OR(EN379="",BZ379="(non affecté)"),0,IF(COUNTIFS($EN$4:EN379,EN379,$BZ$4:BZ379,BZ379)=1,1,0))</f>
        <v>0</v>
      </c>
    </row>
    <row r="380">
      <c r="A380">
        <f>ROW()</f>
        <v>380</v>
      </c>
      <c r="B380">
        <f>IF(TRIM(INDEX(Charge!$B:$B,ROW()))&lt;&gt;"",1,0)</f>
        <v>0</v>
      </c>
      <c r="C380">
        <f>IF(B380=1,MIN(1,MAX(0,N(INDEX(Charge!$O:$O,ROW())))),0)</f>
        <v>0</v>
      </c>
      <c r="D380">
        <f>IF(B380=1,IF(OR(p_Perimetre="Tous les projets",C380&lt;1),1,0),0)</f>
        <v>0</v>
      </c>
      <c r="E380">
        <f>IF(D380=1,MAX(0,N(INDEX(Charge!$M:$M,ROW()))),0)</f>
        <v>0</v>
      </c>
      <c r="F380" t="str">
        <f>IF(D380=1,IF(TRIM(INDEX(Charge!$A:$A,ROW()))="","(non renseigné)",TRIM(INDEX(Charge!$A:$A,ROW()))),"")</f>
        <v/>
      </c>
      <c r="G380" t="str">
        <f>IF(D380=1,TRIM(INDEX(Charge!$B:$B,ROW())),"")</f>
        <v/>
      </c>
      <c r="H380" t="str">
        <f>IF(D380=1,IF(TRIM(INDEX(Charge!$E:$E,ROW()))="","(non renseigné)",TRIM(INDEX(Charge!$E:$E,ROW()))),"")</f>
        <v/>
      </c>
      <c r="I380" s="165" t="str">
        <f>IF(AND(D380=1,ISNUMBER(INDEX(Charge!$N:$N,ROW()))),INDEX(Charge!$N:$N,ROW()),"")</f>
        <v/>
      </c>
      <c r="J380" s="165" t="str">
        <f>IF(I380="","",IF(AND(p_Repartition="Lissée jusqu'à la date de besoin",ISNUMBER(INDEX(Charge!$F:$F,ROW()))),IF(INDEX(Charge!$F:$F,ROW())&gt;=I380,INDEX(Charge!$F:$F,ROW()),I380),I380))</f>
        <v/>
      </c>
      <c r="K380" t="str">
        <f>IF(I380="","",NETWORKDAYS(I380,J380,Data!$K$4:$K$203))</f>
        <v/>
      </c>
      <c r="L380" t="str">
        <f>IF(D380=1,COUNTIFS($D$4:$D$503,1,$E$4:$E$503,"&gt;"&amp;E380)+COUNTIFS($D$4:$D380,1,$E$4:$E380,E380),"")</f>
        <v/>
      </c>
      <c r="M380">
        <f>IF(F380="",0,IF(COUNTIF($F$4:F380,F380)=1,1,0))</f>
        <v>0</v>
      </c>
      <c r="N380" t="str">
        <f>IF(M380=1,ROUND(SUMIF($F$4:$F$503,F380,$E$4:$E$503),2),"")</f>
        <v/>
      </c>
      <c r="O380" t="str">
        <f>IF(M380=1,COUNTIFS($M$4:$M$503,1,$N$4:$N$503,"&gt;"&amp;N380)+COUNTIFS($M$4:M380,1,$N$4:N380,N380),"")</f>
        <v/>
      </c>
      <c r="P380">
        <f>IF(G380="",0,IF(COUNTIF($G$4:G380,G380)=1,1,0))</f>
        <v>0</v>
      </c>
      <c r="Q380" t="str">
        <f>IF(P380=1,ROUND(SUMIF($G$4:$G$503,G380,$E$4:$E$503),2),"")</f>
        <v/>
      </c>
      <c r="R380" t="str">
        <f>IF(P380=1,COUNTIFS($P$4:$P$503,1,$Q$4:$Q$503,"&gt;"&amp;Q380)+COUNTIFS($P$4:P380,1,$Q$4:Q380,Q380),"")</f>
        <v/>
      </c>
      <c r="S380">
        <f>IF(H380="",0,IF(COUNTIF($H$4:H380,H380)=1,1,0))</f>
        <v>0</v>
      </c>
      <c r="T380" t="str">
        <f>IF(S380=1,ROUND(SUMIF($H$4:$H$503,H380,$E$4:$E$503),2),"")</f>
        <v/>
      </c>
      <c r="U380" t="str">
        <f>IF(S380=1,COUNTIFS($S$4:$S$503,1,$T$4:$T$503,"&gt;"&amp;T380)+COUNTIFS($S$4:S380,1,$T$4:T380,T380),"")</f>
        <v/>
      </c>
      <c r="V380" t="str">
        <f>IF(D380=1,MIN(INDEX($R$4:$R$503,MATCH(G380,$G$4:$G$503,0)),IF($AL$7&gt;9,9,999)),"")</f>
        <v/>
      </c>
      <c r="W380" s="166">
        <f>IF(OR($I380="",$E380=0),0,IF(OR($J380&lt;W$3,$I380&gt;W$2),0,IF($K380=0,IF(AND($I380&gt;=W$3,$I380&lt;=W$2),$E380,0),$E380*NETWORKDAYS(MAX($I380,W$3),MIN($J380,W$2),Data!$K$4:$K$203)/$K380)))</f>
        <v>0</v>
      </c>
      <c r="X380" s="166">
        <f>IF(OR($I380="",$E380=0),0,IF(OR($J380&lt;X$3,$I380&gt;X$2),0,IF($K380=0,IF(AND($I380&gt;=X$3,$I380&lt;=X$2),$E380,0),$E380*NETWORKDAYS(MAX($I380,X$3),MIN($J380,X$2),Data!$K$4:$K$203)/$K380)))</f>
        <v>0</v>
      </c>
      <c r="Y380" s="166">
        <f>IF(OR($I380="",$E380=0),0,IF(OR($J380&lt;Y$3,$I380&gt;Y$2),0,IF($K380=0,IF(AND($I380&gt;=Y$3,$I380&lt;=Y$2),$E380,0),$E380*NETWORKDAYS(MAX($I380,Y$3),MIN($J380,Y$2),Data!$K$4:$K$203)/$K380)))</f>
        <v>0</v>
      </c>
      <c r="Z380" s="166">
        <f>IF(OR($I380="",$E380=0),0,IF(OR($J380&lt;Z$3,$I380&gt;Z$2),0,IF($K380=0,IF(AND($I380&gt;=Z$3,$I380&lt;=Z$2),$E380,0),$E380*NETWORKDAYS(MAX($I380,Z$3),MIN($J380,Z$2),Data!$K$4:$K$203)/$K380)))</f>
        <v>0</v>
      </c>
      <c r="AA380" s="166">
        <f>IF(OR($I380="",$E380=0),0,IF(OR($J380&lt;AA$3,$I380&gt;AA$2),0,IF($K380=0,IF(AND($I380&gt;=AA$3,$I380&lt;=AA$2),$E380,0),$E380*NETWORKDAYS(MAX($I380,AA$3),MIN($J380,AA$2),Data!$K$4:$K$203)/$K380)))</f>
        <v>0</v>
      </c>
      <c r="AB380" s="166">
        <f>IF(OR($I380="",$E380=0),0,IF(OR($J380&lt;AB$3,$I380&gt;AB$2),0,IF($K380=0,IF(AND($I380&gt;=AB$3,$I380&lt;=AB$2),$E380,0),$E380*NETWORKDAYS(MAX($I380,AB$3),MIN($J380,AB$2),Data!$K$4:$K$203)/$K380)))</f>
        <v>0</v>
      </c>
      <c r="AC380" s="166">
        <f>IF(OR($I380="",$E380=0),0,IF(OR($J380&lt;AC$3,$I380&gt;AC$2),0,IF($K380=0,IF(AND($I380&gt;=AC$3,$I380&lt;=AC$2),$E380,0),$E380*NETWORKDAYS(MAX($I380,AC$3),MIN($J380,AC$2),Data!$K$4:$K$203)/$K380)))</f>
        <v>0</v>
      </c>
      <c r="AD380" s="166">
        <f>IF(OR($I380="",$E380=0),0,IF(OR($J380&lt;AD$3,$I380&gt;AD$2),0,IF($K380=0,IF(AND($I380&gt;=AD$3,$I380&lt;=AD$2),$E380,0),$E380*NETWORKDAYS(MAX($I380,AD$3),MIN($J380,AD$2),Data!$K$4:$K$203)/$K380)))</f>
        <v>0</v>
      </c>
      <c r="AE380" s="166">
        <f>IF(OR($I380="",$E380=0),0,IF(OR($J380&lt;AE$3,$I380&gt;AE$2),0,IF($K380=0,IF(AND($I380&gt;=AE$3,$I380&lt;=AE$2),$E380,0),$E380*NETWORKDAYS(MAX($I380,AE$3),MIN($J380,AE$2),Data!$K$4:$K$203)/$K380)))</f>
        <v>0</v>
      </c>
      <c r="AF380" s="166">
        <f>IF(OR($I380="",$E380=0),0,IF(OR($J380&lt;AF$3,$I380&gt;AF$2),0,IF($K380=0,IF(AND($I380&gt;=AF$3,$I380&lt;=AF$2),$E380,0),$E380*NETWORKDAYS(MAX($I380,AF$3),MIN($J380,AF$2),Data!$K$4:$K$203)/$K380)))</f>
        <v>0</v>
      </c>
      <c r="AG380" s="166">
        <f>IF(OR($I380="",$E380=0),0,IF(OR($J380&lt;AG$3,$I380&gt;AG$2),0,IF($K380=0,IF(AND($I380&gt;=AG$3,$I380&lt;=AG$2),$E380,0),$E380*NETWORKDAYS(MAX($I380,AG$3),MIN($J380,AG$2),Data!$K$4:$K$203)/$K380)))</f>
        <v>0</v>
      </c>
      <c r="AH380" s="166">
        <f>IF(OR($I380="",$E380=0),0,IF(OR($J380&lt;AH$3,$I380&gt;AH$2),0,IF($K380=0,IF(AND($I380&gt;=AH$3,$I380&lt;=AH$2),$E380,0),$E380*NETWORKDAYS(MAX($I380,AH$3),MIN($J380,AH$2),Data!$K$4:$K$203)/$K380)))</f>
        <v>0</v>
      </c>
      <c r="AI380" s="166">
        <f>SUM(W380:AH380)</f>
        <v>0</v>
      </c>
      <c r="BZ380" t="str">
        <f>IF(D380=1,IF(TRIM(INDEX(Charge!$K:$K,ROW()))&lt;&gt;"",TRIM(INDEX(Charge!$K:$K,ROW())),IF(TRIM(INDEX(Charge!$L:$L,ROW()))&lt;&gt;"",TRIM(INDEX(Charge!$L:$L,ROW())),"(non affecté)")),"")</f>
        <v/>
      </c>
      <c r="CA380" t="str">
        <f>IF(AND($CD$4&lt;&gt;"",BZ380=$CD$4),COUNTIFS($BZ$4:$BZ$503,$CD$4,$L$4:$L$503,"&lt;"&amp;L380)+1,"")</f>
        <v/>
      </c>
      <c r="EM380" t="str">
        <f>IF(D380=1,IF(TRIM(INDEX(Charge!$K:$K,ROW()))&lt;&gt;"","Interne",IF(TRIM(INDEX(Charge!$L:$L,ROW()))&lt;&gt;"","Externe","Non affecté")),"")</f>
        <v/>
      </c>
      <c r="EN380" t="str">
        <f>IF(D380=1,LEFT(SUBSTITUTE(SUBSTITUTE(SUBSTITUTE(TRIM(SUBSTITUTE(INDEX(Charge!$B:$B,ROW()),CHAR(160)," "))&amp;" | "&amp;TRIM(SUBSTITUTE(INDEX(Charge!$C:$C,ROW()),CHAR(160)," "))&amp;" | "&amp;TRIM(SUBSTITUTE(INDEX(Charge!$D:$D,ROW()),CHAR(160)," ")),"~","-"),"*","+"),"?","!"),240),"")</f>
        <v/>
      </c>
      <c r="EO380">
        <f>IF(EN380="",0,IF(COUNTIF($EN$4:EN380,EN380)=1,1,0))</f>
        <v>0</v>
      </c>
      <c r="EP380" s="166" t="str">
        <f>IF(EO380=1,ROUND(SUMIF($EN$4:$EN$503,EN380,$E$4:$E$503),2),"")</f>
        <v/>
      </c>
      <c r="EQ380" t="str">
        <f>IF(EO380=1,COUNTIFS($EO$4:$EO$503,1,$EP$4:$EP$503,"&gt;"&amp;EP380)+COUNTIFS($EO$4:EO380,1,$EP$4:EP380,EP380),"")</f>
        <v/>
      </c>
      <c r="ER380" t="str">
        <f>IF(EO380=1,COUNTIFS($EN$4:$EN$503,EN380,$EM$4:$EM$503,"Interne",$FE$4:$FE$503,1),"")</f>
        <v/>
      </c>
      <c r="ES380" t="str">
        <f>IF(EO380=1,COUNTIFS($EN$4:$EN$503,EN380,$EM$4:$EM$503,"Externe",$FE$4:$FE$503,1),"")</f>
        <v/>
      </c>
      <c r="ET380" t="str">
        <f>IF(EO380=1,IF(ER380+ES380=0,"à affecter",IF(ER380=0,ES380&amp;" ext.",(ER380+ES380)&amp;IF(ES380&gt;0," dont "&amp;ES380&amp;" ext.",""))&amp;IF(COUNTIFS($EN$4:$EN$503,EN380,$EM$4:$EM$503,"Non affecté")&gt;0," + à affecter","")),"")</f>
        <v/>
      </c>
      <c r="EU380" s="170" t="str">
        <f>IF(EO380=1,IF(EP380&gt;0,SUMPRODUCT(($EN$4:$EN$503=EN380)*$E$4:$E$503*$C$4:$C$503)/EP380,AVERAGEIF($EN$4:$EN$503,EN380,$C$4:$C$503)),"")</f>
        <v/>
      </c>
      <c r="EV380" s="165">
        <f>IF(ISNUMBER(I380),I380,2958465)</f>
        <v>2958465.0</v>
      </c>
      <c r="EW380" s="165" t="str">
        <f>IF(EO380=1,SUMPRODUCT(MIN(($EN$4:$EN$503=EN380)*$EV$4:$EV$503+($EN$4:$EN$503&lt;&gt;EN380)*2958465)),"")</f>
        <v/>
      </c>
      <c r="EX380" s="165">
        <f>IF(AND(D380=1,ISNUMBER(INDEX(Charge!$F:$F,ROW()))),INDEX(Charge!$F:$F,ROW()),0)</f>
        <v>0.0</v>
      </c>
      <c r="EY380" s="165" t="str">
        <f>IF(EO380=1,SUMPRODUCT(MAX(($EN$4:$EN$503=EN380)*$EX$4:$EX$503)),"")</f>
        <v/>
      </c>
      <c r="FA380" t="str">
        <f>IF(377&lt;=$CD$23,INDEX($EJ$4:$EJ$203,377),IF(377-$CD$23&lt;=$CD$26,INDEX($EK$4:$EK$203,377-$CD$23),""))</f>
        <v/>
      </c>
      <c r="FB380" t="str">
        <f>IF(FA380="","",IF(377&lt;=$CD$23,"Interne","Externe"))</f>
        <v/>
      </c>
      <c r="FD380">
        <f>IF(AND(B380=1,TRIM(INDEX(Charge!$K:$K,ROW()))&lt;&gt;"",TRIM(INDEX(Charge!$L:$L,ROW()))&lt;&gt;""),1,0)</f>
        <v>0</v>
      </c>
      <c r="FE380">
        <f>IF(OR(EN380="",BZ380="(non affecté)"),0,IF(COUNTIFS($EN$4:EN380,EN380,$BZ$4:BZ380,BZ380)=1,1,0))</f>
        <v>0</v>
      </c>
    </row>
    <row r="381">
      <c r="A381">
        <f>ROW()</f>
        <v>381</v>
      </c>
      <c r="B381">
        <f>IF(TRIM(INDEX(Charge!$B:$B,ROW()))&lt;&gt;"",1,0)</f>
        <v>0</v>
      </c>
      <c r="C381">
        <f>IF(B381=1,MIN(1,MAX(0,N(INDEX(Charge!$O:$O,ROW())))),0)</f>
        <v>0</v>
      </c>
      <c r="D381">
        <f>IF(B381=1,IF(OR(p_Perimetre="Tous les projets",C381&lt;1),1,0),0)</f>
        <v>0</v>
      </c>
      <c r="E381">
        <f>IF(D381=1,MAX(0,N(INDEX(Charge!$M:$M,ROW()))),0)</f>
        <v>0</v>
      </c>
      <c r="F381" t="str">
        <f>IF(D381=1,IF(TRIM(INDEX(Charge!$A:$A,ROW()))="","(non renseigné)",TRIM(INDEX(Charge!$A:$A,ROW()))),"")</f>
        <v/>
      </c>
      <c r="G381" t="str">
        <f>IF(D381=1,TRIM(INDEX(Charge!$B:$B,ROW())),"")</f>
        <v/>
      </c>
      <c r="H381" t="str">
        <f>IF(D381=1,IF(TRIM(INDEX(Charge!$E:$E,ROW()))="","(non renseigné)",TRIM(INDEX(Charge!$E:$E,ROW()))),"")</f>
        <v/>
      </c>
      <c r="I381" s="165" t="str">
        <f>IF(AND(D381=1,ISNUMBER(INDEX(Charge!$N:$N,ROW()))),INDEX(Charge!$N:$N,ROW()),"")</f>
        <v/>
      </c>
      <c r="J381" s="165" t="str">
        <f>IF(I381="","",IF(AND(p_Repartition="Lissée jusqu'à la date de besoin",ISNUMBER(INDEX(Charge!$F:$F,ROW()))),IF(INDEX(Charge!$F:$F,ROW())&gt;=I381,INDEX(Charge!$F:$F,ROW()),I381),I381))</f>
        <v/>
      </c>
      <c r="K381" t="str">
        <f>IF(I381="","",NETWORKDAYS(I381,J381,Data!$K$4:$K$203))</f>
        <v/>
      </c>
      <c r="L381" t="str">
        <f>IF(D381=1,COUNTIFS($D$4:$D$503,1,$E$4:$E$503,"&gt;"&amp;E381)+COUNTIFS($D$4:$D381,1,$E$4:$E381,E381),"")</f>
        <v/>
      </c>
      <c r="M381">
        <f>IF(F381="",0,IF(COUNTIF($F$4:F381,F381)=1,1,0))</f>
        <v>0</v>
      </c>
      <c r="N381" t="str">
        <f>IF(M381=1,ROUND(SUMIF($F$4:$F$503,F381,$E$4:$E$503),2),"")</f>
        <v/>
      </c>
      <c r="O381" t="str">
        <f>IF(M381=1,COUNTIFS($M$4:$M$503,1,$N$4:$N$503,"&gt;"&amp;N381)+COUNTIFS($M$4:M381,1,$N$4:N381,N381),"")</f>
        <v/>
      </c>
      <c r="P381">
        <f>IF(G381="",0,IF(COUNTIF($G$4:G381,G381)=1,1,0))</f>
        <v>0</v>
      </c>
      <c r="Q381" t="str">
        <f>IF(P381=1,ROUND(SUMIF($G$4:$G$503,G381,$E$4:$E$503),2),"")</f>
        <v/>
      </c>
      <c r="R381" t="str">
        <f>IF(P381=1,COUNTIFS($P$4:$P$503,1,$Q$4:$Q$503,"&gt;"&amp;Q381)+COUNTIFS($P$4:P381,1,$Q$4:Q381,Q381),"")</f>
        <v/>
      </c>
      <c r="S381">
        <f>IF(H381="",0,IF(COUNTIF($H$4:H381,H381)=1,1,0))</f>
        <v>0</v>
      </c>
      <c r="T381" t="str">
        <f>IF(S381=1,ROUND(SUMIF($H$4:$H$503,H381,$E$4:$E$503),2),"")</f>
        <v/>
      </c>
      <c r="U381" t="str">
        <f>IF(S381=1,COUNTIFS($S$4:$S$503,1,$T$4:$T$503,"&gt;"&amp;T381)+COUNTIFS($S$4:S381,1,$T$4:T381,T381),"")</f>
        <v/>
      </c>
      <c r="V381" t="str">
        <f>IF(D381=1,MIN(INDEX($R$4:$R$503,MATCH(G381,$G$4:$G$503,0)),IF($AL$7&gt;9,9,999)),"")</f>
        <v/>
      </c>
      <c r="W381" s="166">
        <f>IF(OR($I381="",$E381=0),0,IF(OR($J381&lt;W$3,$I381&gt;W$2),0,IF($K381=0,IF(AND($I381&gt;=W$3,$I381&lt;=W$2),$E381,0),$E381*NETWORKDAYS(MAX($I381,W$3),MIN($J381,W$2),Data!$K$4:$K$203)/$K381)))</f>
        <v>0</v>
      </c>
      <c r="X381" s="166">
        <f>IF(OR($I381="",$E381=0),0,IF(OR($J381&lt;X$3,$I381&gt;X$2),0,IF($K381=0,IF(AND($I381&gt;=X$3,$I381&lt;=X$2),$E381,0),$E381*NETWORKDAYS(MAX($I381,X$3),MIN($J381,X$2),Data!$K$4:$K$203)/$K381)))</f>
        <v>0</v>
      </c>
      <c r="Y381" s="166">
        <f>IF(OR($I381="",$E381=0),0,IF(OR($J381&lt;Y$3,$I381&gt;Y$2),0,IF($K381=0,IF(AND($I381&gt;=Y$3,$I381&lt;=Y$2),$E381,0),$E381*NETWORKDAYS(MAX($I381,Y$3),MIN($J381,Y$2),Data!$K$4:$K$203)/$K381)))</f>
        <v>0</v>
      </c>
      <c r="Z381" s="166">
        <f>IF(OR($I381="",$E381=0),0,IF(OR($J381&lt;Z$3,$I381&gt;Z$2),0,IF($K381=0,IF(AND($I381&gt;=Z$3,$I381&lt;=Z$2),$E381,0),$E381*NETWORKDAYS(MAX($I381,Z$3),MIN($J381,Z$2),Data!$K$4:$K$203)/$K381)))</f>
        <v>0</v>
      </c>
      <c r="AA381" s="166">
        <f>IF(OR($I381="",$E381=0),0,IF(OR($J381&lt;AA$3,$I381&gt;AA$2),0,IF($K381=0,IF(AND($I381&gt;=AA$3,$I381&lt;=AA$2),$E381,0),$E381*NETWORKDAYS(MAX($I381,AA$3),MIN($J381,AA$2),Data!$K$4:$K$203)/$K381)))</f>
        <v>0</v>
      </c>
      <c r="AB381" s="166">
        <f>IF(OR($I381="",$E381=0),0,IF(OR($J381&lt;AB$3,$I381&gt;AB$2),0,IF($K381=0,IF(AND($I381&gt;=AB$3,$I381&lt;=AB$2),$E381,0),$E381*NETWORKDAYS(MAX($I381,AB$3),MIN($J381,AB$2),Data!$K$4:$K$203)/$K381)))</f>
        <v>0</v>
      </c>
      <c r="AC381" s="166">
        <f>IF(OR($I381="",$E381=0),0,IF(OR($J381&lt;AC$3,$I381&gt;AC$2),0,IF($K381=0,IF(AND($I381&gt;=AC$3,$I381&lt;=AC$2),$E381,0),$E381*NETWORKDAYS(MAX($I381,AC$3),MIN($J381,AC$2),Data!$K$4:$K$203)/$K381)))</f>
        <v>0</v>
      </c>
      <c r="AD381" s="166">
        <f>IF(OR($I381="",$E381=0),0,IF(OR($J381&lt;AD$3,$I381&gt;AD$2),0,IF($K381=0,IF(AND($I381&gt;=AD$3,$I381&lt;=AD$2),$E381,0),$E381*NETWORKDAYS(MAX($I381,AD$3),MIN($J381,AD$2),Data!$K$4:$K$203)/$K381)))</f>
        <v>0</v>
      </c>
      <c r="AE381" s="166">
        <f>IF(OR($I381="",$E381=0),0,IF(OR($J381&lt;AE$3,$I381&gt;AE$2),0,IF($K381=0,IF(AND($I381&gt;=AE$3,$I381&lt;=AE$2),$E381,0),$E381*NETWORKDAYS(MAX($I381,AE$3),MIN($J381,AE$2),Data!$K$4:$K$203)/$K381)))</f>
        <v>0</v>
      </c>
      <c r="AF381" s="166">
        <f>IF(OR($I381="",$E381=0),0,IF(OR($J381&lt;AF$3,$I381&gt;AF$2),0,IF($K381=0,IF(AND($I381&gt;=AF$3,$I381&lt;=AF$2),$E381,0),$E381*NETWORKDAYS(MAX($I381,AF$3),MIN($J381,AF$2),Data!$K$4:$K$203)/$K381)))</f>
        <v>0</v>
      </c>
      <c r="AG381" s="166">
        <f>IF(OR($I381="",$E381=0),0,IF(OR($J381&lt;AG$3,$I381&gt;AG$2),0,IF($K381=0,IF(AND($I381&gt;=AG$3,$I381&lt;=AG$2),$E381,0),$E381*NETWORKDAYS(MAX($I381,AG$3),MIN($J381,AG$2),Data!$K$4:$K$203)/$K381)))</f>
        <v>0</v>
      </c>
      <c r="AH381" s="166">
        <f>IF(OR($I381="",$E381=0),0,IF(OR($J381&lt;AH$3,$I381&gt;AH$2),0,IF($K381=0,IF(AND($I381&gt;=AH$3,$I381&lt;=AH$2),$E381,0),$E381*NETWORKDAYS(MAX($I381,AH$3),MIN($J381,AH$2),Data!$K$4:$K$203)/$K381)))</f>
        <v>0</v>
      </c>
      <c r="AI381" s="166">
        <f>SUM(W381:AH381)</f>
        <v>0</v>
      </c>
      <c r="BZ381" t="str">
        <f>IF(D381=1,IF(TRIM(INDEX(Charge!$K:$K,ROW()))&lt;&gt;"",TRIM(INDEX(Charge!$K:$K,ROW())),IF(TRIM(INDEX(Charge!$L:$L,ROW()))&lt;&gt;"",TRIM(INDEX(Charge!$L:$L,ROW())),"(non affecté)")),"")</f>
        <v/>
      </c>
      <c r="CA381" t="str">
        <f>IF(AND($CD$4&lt;&gt;"",BZ381=$CD$4),COUNTIFS($BZ$4:$BZ$503,$CD$4,$L$4:$L$503,"&lt;"&amp;L381)+1,"")</f>
        <v/>
      </c>
      <c r="EM381" t="str">
        <f>IF(D381=1,IF(TRIM(INDEX(Charge!$K:$K,ROW()))&lt;&gt;"","Interne",IF(TRIM(INDEX(Charge!$L:$L,ROW()))&lt;&gt;"","Externe","Non affecté")),"")</f>
        <v/>
      </c>
      <c r="EN381" t="str">
        <f>IF(D381=1,LEFT(SUBSTITUTE(SUBSTITUTE(SUBSTITUTE(TRIM(SUBSTITUTE(INDEX(Charge!$B:$B,ROW()),CHAR(160)," "))&amp;" | "&amp;TRIM(SUBSTITUTE(INDEX(Charge!$C:$C,ROW()),CHAR(160)," "))&amp;" | "&amp;TRIM(SUBSTITUTE(INDEX(Charge!$D:$D,ROW()),CHAR(160)," ")),"~","-"),"*","+"),"?","!"),240),"")</f>
        <v/>
      </c>
      <c r="EO381">
        <f>IF(EN381="",0,IF(COUNTIF($EN$4:EN381,EN381)=1,1,0))</f>
        <v>0</v>
      </c>
      <c r="EP381" s="166" t="str">
        <f>IF(EO381=1,ROUND(SUMIF($EN$4:$EN$503,EN381,$E$4:$E$503),2),"")</f>
        <v/>
      </c>
      <c r="EQ381" t="str">
        <f>IF(EO381=1,COUNTIFS($EO$4:$EO$503,1,$EP$4:$EP$503,"&gt;"&amp;EP381)+COUNTIFS($EO$4:EO381,1,$EP$4:EP381,EP381),"")</f>
        <v/>
      </c>
      <c r="ER381" t="str">
        <f>IF(EO381=1,COUNTIFS($EN$4:$EN$503,EN381,$EM$4:$EM$503,"Interne",$FE$4:$FE$503,1),"")</f>
        <v/>
      </c>
      <c r="ES381" t="str">
        <f>IF(EO381=1,COUNTIFS($EN$4:$EN$503,EN381,$EM$4:$EM$503,"Externe",$FE$4:$FE$503,1),"")</f>
        <v/>
      </c>
      <c r="ET381" t="str">
        <f>IF(EO381=1,IF(ER381+ES381=0,"à affecter",IF(ER381=0,ES381&amp;" ext.",(ER381+ES381)&amp;IF(ES381&gt;0," dont "&amp;ES381&amp;" ext.",""))&amp;IF(COUNTIFS($EN$4:$EN$503,EN381,$EM$4:$EM$503,"Non affecté")&gt;0," + à affecter","")),"")</f>
        <v/>
      </c>
      <c r="EU381" s="170" t="str">
        <f>IF(EO381=1,IF(EP381&gt;0,SUMPRODUCT(($EN$4:$EN$503=EN381)*$E$4:$E$503*$C$4:$C$503)/EP381,AVERAGEIF($EN$4:$EN$503,EN381,$C$4:$C$503)),"")</f>
        <v/>
      </c>
      <c r="EV381" s="165">
        <f>IF(ISNUMBER(I381),I381,2958465)</f>
        <v>2958465.0</v>
      </c>
      <c r="EW381" s="165" t="str">
        <f>IF(EO381=1,SUMPRODUCT(MIN(($EN$4:$EN$503=EN381)*$EV$4:$EV$503+($EN$4:$EN$503&lt;&gt;EN381)*2958465)),"")</f>
        <v/>
      </c>
      <c r="EX381" s="165">
        <f>IF(AND(D381=1,ISNUMBER(INDEX(Charge!$F:$F,ROW()))),INDEX(Charge!$F:$F,ROW()),0)</f>
        <v>0.0</v>
      </c>
      <c r="EY381" s="165" t="str">
        <f>IF(EO381=1,SUMPRODUCT(MAX(($EN$4:$EN$503=EN381)*$EX$4:$EX$503)),"")</f>
        <v/>
      </c>
      <c r="FA381" t="str">
        <f>IF(378&lt;=$CD$23,INDEX($EJ$4:$EJ$203,378),IF(378-$CD$23&lt;=$CD$26,INDEX($EK$4:$EK$203,378-$CD$23),""))</f>
        <v/>
      </c>
      <c r="FB381" t="str">
        <f>IF(FA381="","",IF(378&lt;=$CD$23,"Interne","Externe"))</f>
        <v/>
      </c>
      <c r="FD381">
        <f>IF(AND(B381=1,TRIM(INDEX(Charge!$K:$K,ROW()))&lt;&gt;"",TRIM(INDEX(Charge!$L:$L,ROW()))&lt;&gt;""),1,0)</f>
        <v>0</v>
      </c>
      <c r="FE381">
        <f>IF(OR(EN381="",BZ381="(non affecté)"),0,IF(COUNTIFS($EN$4:EN381,EN381,$BZ$4:BZ381,BZ381)=1,1,0))</f>
        <v>0</v>
      </c>
    </row>
    <row r="382">
      <c r="A382">
        <f>ROW()</f>
        <v>382</v>
      </c>
      <c r="B382">
        <f>IF(TRIM(INDEX(Charge!$B:$B,ROW()))&lt;&gt;"",1,0)</f>
        <v>0</v>
      </c>
      <c r="C382">
        <f>IF(B382=1,MIN(1,MAX(0,N(INDEX(Charge!$O:$O,ROW())))),0)</f>
        <v>0</v>
      </c>
      <c r="D382">
        <f>IF(B382=1,IF(OR(p_Perimetre="Tous les projets",C382&lt;1),1,0),0)</f>
        <v>0</v>
      </c>
      <c r="E382">
        <f>IF(D382=1,MAX(0,N(INDEX(Charge!$M:$M,ROW()))),0)</f>
        <v>0</v>
      </c>
      <c r="F382" t="str">
        <f>IF(D382=1,IF(TRIM(INDEX(Charge!$A:$A,ROW()))="","(non renseigné)",TRIM(INDEX(Charge!$A:$A,ROW()))),"")</f>
        <v/>
      </c>
      <c r="G382" t="str">
        <f>IF(D382=1,TRIM(INDEX(Charge!$B:$B,ROW())),"")</f>
        <v/>
      </c>
      <c r="H382" t="str">
        <f>IF(D382=1,IF(TRIM(INDEX(Charge!$E:$E,ROW()))="","(non renseigné)",TRIM(INDEX(Charge!$E:$E,ROW()))),"")</f>
        <v/>
      </c>
      <c r="I382" s="165" t="str">
        <f>IF(AND(D382=1,ISNUMBER(INDEX(Charge!$N:$N,ROW()))),INDEX(Charge!$N:$N,ROW()),"")</f>
        <v/>
      </c>
      <c r="J382" s="165" t="str">
        <f>IF(I382="","",IF(AND(p_Repartition="Lissée jusqu'à la date de besoin",ISNUMBER(INDEX(Charge!$F:$F,ROW()))),IF(INDEX(Charge!$F:$F,ROW())&gt;=I382,INDEX(Charge!$F:$F,ROW()),I382),I382))</f>
        <v/>
      </c>
      <c r="K382" t="str">
        <f>IF(I382="","",NETWORKDAYS(I382,J382,Data!$K$4:$K$203))</f>
        <v/>
      </c>
      <c r="L382" t="str">
        <f>IF(D382=1,COUNTIFS($D$4:$D$503,1,$E$4:$E$503,"&gt;"&amp;E382)+COUNTIFS($D$4:$D382,1,$E$4:$E382,E382),"")</f>
        <v/>
      </c>
      <c r="M382">
        <f>IF(F382="",0,IF(COUNTIF($F$4:F382,F382)=1,1,0))</f>
        <v>0</v>
      </c>
      <c r="N382" t="str">
        <f>IF(M382=1,ROUND(SUMIF($F$4:$F$503,F382,$E$4:$E$503),2),"")</f>
        <v/>
      </c>
      <c r="O382" t="str">
        <f>IF(M382=1,COUNTIFS($M$4:$M$503,1,$N$4:$N$503,"&gt;"&amp;N382)+COUNTIFS($M$4:M382,1,$N$4:N382,N382),"")</f>
        <v/>
      </c>
      <c r="P382">
        <f>IF(G382="",0,IF(COUNTIF($G$4:G382,G382)=1,1,0))</f>
        <v>0</v>
      </c>
      <c r="Q382" t="str">
        <f>IF(P382=1,ROUND(SUMIF($G$4:$G$503,G382,$E$4:$E$503),2),"")</f>
        <v/>
      </c>
      <c r="R382" t="str">
        <f>IF(P382=1,COUNTIFS($P$4:$P$503,1,$Q$4:$Q$503,"&gt;"&amp;Q382)+COUNTIFS($P$4:P382,1,$Q$4:Q382,Q382),"")</f>
        <v/>
      </c>
      <c r="S382">
        <f>IF(H382="",0,IF(COUNTIF($H$4:H382,H382)=1,1,0))</f>
        <v>0</v>
      </c>
      <c r="T382" t="str">
        <f>IF(S382=1,ROUND(SUMIF($H$4:$H$503,H382,$E$4:$E$503),2),"")</f>
        <v/>
      </c>
      <c r="U382" t="str">
        <f>IF(S382=1,COUNTIFS($S$4:$S$503,1,$T$4:$T$503,"&gt;"&amp;T382)+COUNTIFS($S$4:S382,1,$T$4:T382,T382),"")</f>
        <v/>
      </c>
      <c r="V382" t="str">
        <f>IF(D382=1,MIN(INDEX($R$4:$R$503,MATCH(G382,$G$4:$G$503,0)),IF($AL$7&gt;9,9,999)),"")</f>
        <v/>
      </c>
      <c r="W382" s="166">
        <f>IF(OR($I382="",$E382=0),0,IF(OR($J382&lt;W$3,$I382&gt;W$2),0,IF($K382=0,IF(AND($I382&gt;=W$3,$I382&lt;=W$2),$E382,0),$E382*NETWORKDAYS(MAX($I382,W$3),MIN($J382,W$2),Data!$K$4:$K$203)/$K382)))</f>
        <v>0</v>
      </c>
      <c r="X382" s="166">
        <f>IF(OR($I382="",$E382=0),0,IF(OR($J382&lt;X$3,$I382&gt;X$2),0,IF($K382=0,IF(AND($I382&gt;=X$3,$I382&lt;=X$2),$E382,0),$E382*NETWORKDAYS(MAX($I382,X$3),MIN($J382,X$2),Data!$K$4:$K$203)/$K382)))</f>
        <v>0</v>
      </c>
      <c r="Y382" s="166">
        <f>IF(OR($I382="",$E382=0),0,IF(OR($J382&lt;Y$3,$I382&gt;Y$2),0,IF($K382=0,IF(AND($I382&gt;=Y$3,$I382&lt;=Y$2),$E382,0),$E382*NETWORKDAYS(MAX($I382,Y$3),MIN($J382,Y$2),Data!$K$4:$K$203)/$K382)))</f>
        <v>0</v>
      </c>
      <c r="Z382" s="166">
        <f>IF(OR($I382="",$E382=0),0,IF(OR($J382&lt;Z$3,$I382&gt;Z$2),0,IF($K382=0,IF(AND($I382&gt;=Z$3,$I382&lt;=Z$2),$E382,0),$E382*NETWORKDAYS(MAX($I382,Z$3),MIN($J382,Z$2),Data!$K$4:$K$203)/$K382)))</f>
        <v>0</v>
      </c>
      <c r="AA382" s="166">
        <f>IF(OR($I382="",$E382=0),0,IF(OR($J382&lt;AA$3,$I382&gt;AA$2),0,IF($K382=0,IF(AND($I382&gt;=AA$3,$I382&lt;=AA$2),$E382,0),$E382*NETWORKDAYS(MAX($I382,AA$3),MIN($J382,AA$2),Data!$K$4:$K$203)/$K382)))</f>
        <v>0</v>
      </c>
      <c r="AB382" s="166">
        <f>IF(OR($I382="",$E382=0),0,IF(OR($J382&lt;AB$3,$I382&gt;AB$2),0,IF($K382=0,IF(AND($I382&gt;=AB$3,$I382&lt;=AB$2),$E382,0),$E382*NETWORKDAYS(MAX($I382,AB$3),MIN($J382,AB$2),Data!$K$4:$K$203)/$K382)))</f>
        <v>0</v>
      </c>
      <c r="AC382" s="166">
        <f>IF(OR($I382="",$E382=0),0,IF(OR($J382&lt;AC$3,$I382&gt;AC$2),0,IF($K382=0,IF(AND($I382&gt;=AC$3,$I382&lt;=AC$2),$E382,0),$E382*NETWORKDAYS(MAX($I382,AC$3),MIN($J382,AC$2),Data!$K$4:$K$203)/$K382)))</f>
        <v>0</v>
      </c>
      <c r="AD382" s="166">
        <f>IF(OR($I382="",$E382=0),0,IF(OR($J382&lt;AD$3,$I382&gt;AD$2),0,IF($K382=0,IF(AND($I382&gt;=AD$3,$I382&lt;=AD$2),$E382,0),$E382*NETWORKDAYS(MAX($I382,AD$3),MIN($J382,AD$2),Data!$K$4:$K$203)/$K382)))</f>
        <v>0</v>
      </c>
      <c r="AE382" s="166">
        <f>IF(OR($I382="",$E382=0),0,IF(OR($J382&lt;AE$3,$I382&gt;AE$2),0,IF($K382=0,IF(AND($I382&gt;=AE$3,$I382&lt;=AE$2),$E382,0),$E382*NETWORKDAYS(MAX($I382,AE$3),MIN($J382,AE$2),Data!$K$4:$K$203)/$K382)))</f>
        <v>0</v>
      </c>
      <c r="AF382" s="166">
        <f>IF(OR($I382="",$E382=0),0,IF(OR($J382&lt;AF$3,$I382&gt;AF$2),0,IF($K382=0,IF(AND($I382&gt;=AF$3,$I382&lt;=AF$2),$E382,0),$E382*NETWORKDAYS(MAX($I382,AF$3),MIN($J382,AF$2),Data!$K$4:$K$203)/$K382)))</f>
        <v>0</v>
      </c>
      <c r="AG382" s="166">
        <f>IF(OR($I382="",$E382=0),0,IF(OR($J382&lt;AG$3,$I382&gt;AG$2),0,IF($K382=0,IF(AND($I382&gt;=AG$3,$I382&lt;=AG$2),$E382,0),$E382*NETWORKDAYS(MAX($I382,AG$3),MIN($J382,AG$2),Data!$K$4:$K$203)/$K382)))</f>
        <v>0</v>
      </c>
      <c r="AH382" s="166">
        <f>IF(OR($I382="",$E382=0),0,IF(OR($J382&lt;AH$3,$I382&gt;AH$2),0,IF($K382=0,IF(AND($I382&gt;=AH$3,$I382&lt;=AH$2),$E382,0),$E382*NETWORKDAYS(MAX($I382,AH$3),MIN($J382,AH$2),Data!$K$4:$K$203)/$K382)))</f>
        <v>0</v>
      </c>
      <c r="AI382" s="166">
        <f>SUM(W382:AH382)</f>
        <v>0</v>
      </c>
      <c r="BZ382" t="str">
        <f>IF(D382=1,IF(TRIM(INDEX(Charge!$K:$K,ROW()))&lt;&gt;"",TRIM(INDEX(Charge!$K:$K,ROW())),IF(TRIM(INDEX(Charge!$L:$L,ROW()))&lt;&gt;"",TRIM(INDEX(Charge!$L:$L,ROW())),"(non affecté)")),"")</f>
        <v/>
      </c>
      <c r="CA382" t="str">
        <f>IF(AND($CD$4&lt;&gt;"",BZ382=$CD$4),COUNTIFS($BZ$4:$BZ$503,$CD$4,$L$4:$L$503,"&lt;"&amp;L382)+1,"")</f>
        <v/>
      </c>
      <c r="EM382" t="str">
        <f>IF(D382=1,IF(TRIM(INDEX(Charge!$K:$K,ROW()))&lt;&gt;"","Interne",IF(TRIM(INDEX(Charge!$L:$L,ROW()))&lt;&gt;"","Externe","Non affecté")),"")</f>
        <v/>
      </c>
      <c r="EN382" t="str">
        <f>IF(D382=1,LEFT(SUBSTITUTE(SUBSTITUTE(SUBSTITUTE(TRIM(SUBSTITUTE(INDEX(Charge!$B:$B,ROW()),CHAR(160)," "))&amp;" | "&amp;TRIM(SUBSTITUTE(INDEX(Charge!$C:$C,ROW()),CHAR(160)," "))&amp;" | "&amp;TRIM(SUBSTITUTE(INDEX(Charge!$D:$D,ROW()),CHAR(160)," ")),"~","-"),"*","+"),"?","!"),240),"")</f>
        <v/>
      </c>
      <c r="EO382">
        <f>IF(EN382="",0,IF(COUNTIF($EN$4:EN382,EN382)=1,1,0))</f>
        <v>0</v>
      </c>
      <c r="EP382" s="166" t="str">
        <f>IF(EO382=1,ROUND(SUMIF($EN$4:$EN$503,EN382,$E$4:$E$503),2),"")</f>
        <v/>
      </c>
      <c r="EQ382" t="str">
        <f>IF(EO382=1,COUNTIFS($EO$4:$EO$503,1,$EP$4:$EP$503,"&gt;"&amp;EP382)+COUNTIFS($EO$4:EO382,1,$EP$4:EP382,EP382),"")</f>
        <v/>
      </c>
      <c r="ER382" t="str">
        <f>IF(EO382=1,COUNTIFS($EN$4:$EN$503,EN382,$EM$4:$EM$503,"Interne",$FE$4:$FE$503,1),"")</f>
        <v/>
      </c>
      <c r="ES382" t="str">
        <f>IF(EO382=1,COUNTIFS($EN$4:$EN$503,EN382,$EM$4:$EM$503,"Externe",$FE$4:$FE$503,1),"")</f>
        <v/>
      </c>
      <c r="ET382" t="str">
        <f>IF(EO382=1,IF(ER382+ES382=0,"à affecter",IF(ER382=0,ES382&amp;" ext.",(ER382+ES382)&amp;IF(ES382&gt;0," dont "&amp;ES382&amp;" ext.",""))&amp;IF(COUNTIFS($EN$4:$EN$503,EN382,$EM$4:$EM$503,"Non affecté")&gt;0," + à affecter","")),"")</f>
        <v/>
      </c>
      <c r="EU382" s="170" t="str">
        <f>IF(EO382=1,IF(EP382&gt;0,SUMPRODUCT(($EN$4:$EN$503=EN382)*$E$4:$E$503*$C$4:$C$503)/EP382,AVERAGEIF($EN$4:$EN$503,EN382,$C$4:$C$503)),"")</f>
        <v/>
      </c>
      <c r="EV382" s="165">
        <f>IF(ISNUMBER(I382),I382,2958465)</f>
        <v>2958465.0</v>
      </c>
      <c r="EW382" s="165" t="str">
        <f>IF(EO382=1,SUMPRODUCT(MIN(($EN$4:$EN$503=EN382)*$EV$4:$EV$503+($EN$4:$EN$503&lt;&gt;EN382)*2958465)),"")</f>
        <v/>
      </c>
      <c r="EX382" s="165">
        <f>IF(AND(D382=1,ISNUMBER(INDEX(Charge!$F:$F,ROW()))),INDEX(Charge!$F:$F,ROW()),0)</f>
        <v>0.0</v>
      </c>
      <c r="EY382" s="165" t="str">
        <f>IF(EO382=1,SUMPRODUCT(MAX(($EN$4:$EN$503=EN382)*$EX$4:$EX$503)),"")</f>
        <v/>
      </c>
      <c r="FA382" t="str">
        <f>IF(379&lt;=$CD$23,INDEX($EJ$4:$EJ$203,379),IF(379-$CD$23&lt;=$CD$26,INDEX($EK$4:$EK$203,379-$CD$23),""))</f>
        <v/>
      </c>
      <c r="FB382" t="str">
        <f>IF(FA382="","",IF(379&lt;=$CD$23,"Interne","Externe"))</f>
        <v/>
      </c>
      <c r="FD382">
        <f>IF(AND(B382=1,TRIM(INDEX(Charge!$K:$K,ROW()))&lt;&gt;"",TRIM(INDEX(Charge!$L:$L,ROW()))&lt;&gt;""),1,0)</f>
        <v>0</v>
      </c>
      <c r="FE382">
        <f>IF(OR(EN382="",BZ382="(non affecté)"),0,IF(COUNTIFS($EN$4:EN382,EN382,$BZ$4:BZ382,BZ382)=1,1,0))</f>
        <v>0</v>
      </c>
    </row>
    <row r="383">
      <c r="A383">
        <f>ROW()</f>
        <v>383</v>
      </c>
      <c r="B383">
        <f>IF(TRIM(INDEX(Charge!$B:$B,ROW()))&lt;&gt;"",1,0)</f>
        <v>0</v>
      </c>
      <c r="C383">
        <f>IF(B383=1,MIN(1,MAX(0,N(INDEX(Charge!$O:$O,ROW())))),0)</f>
        <v>0</v>
      </c>
      <c r="D383">
        <f>IF(B383=1,IF(OR(p_Perimetre="Tous les projets",C383&lt;1),1,0),0)</f>
        <v>0</v>
      </c>
      <c r="E383">
        <f>IF(D383=1,MAX(0,N(INDEX(Charge!$M:$M,ROW()))),0)</f>
        <v>0</v>
      </c>
      <c r="F383" t="str">
        <f>IF(D383=1,IF(TRIM(INDEX(Charge!$A:$A,ROW()))="","(non renseigné)",TRIM(INDEX(Charge!$A:$A,ROW()))),"")</f>
        <v/>
      </c>
      <c r="G383" t="str">
        <f>IF(D383=1,TRIM(INDEX(Charge!$B:$B,ROW())),"")</f>
        <v/>
      </c>
      <c r="H383" t="str">
        <f>IF(D383=1,IF(TRIM(INDEX(Charge!$E:$E,ROW()))="","(non renseigné)",TRIM(INDEX(Charge!$E:$E,ROW()))),"")</f>
        <v/>
      </c>
      <c r="I383" s="165" t="str">
        <f>IF(AND(D383=1,ISNUMBER(INDEX(Charge!$N:$N,ROW()))),INDEX(Charge!$N:$N,ROW()),"")</f>
        <v/>
      </c>
      <c r="J383" s="165" t="str">
        <f>IF(I383="","",IF(AND(p_Repartition="Lissée jusqu'à la date de besoin",ISNUMBER(INDEX(Charge!$F:$F,ROW()))),IF(INDEX(Charge!$F:$F,ROW())&gt;=I383,INDEX(Charge!$F:$F,ROW()),I383),I383))</f>
        <v/>
      </c>
      <c r="K383" t="str">
        <f>IF(I383="","",NETWORKDAYS(I383,J383,Data!$K$4:$K$203))</f>
        <v/>
      </c>
      <c r="L383" t="str">
        <f>IF(D383=1,COUNTIFS($D$4:$D$503,1,$E$4:$E$503,"&gt;"&amp;E383)+COUNTIFS($D$4:$D383,1,$E$4:$E383,E383),"")</f>
        <v/>
      </c>
      <c r="M383">
        <f>IF(F383="",0,IF(COUNTIF($F$4:F383,F383)=1,1,0))</f>
        <v>0</v>
      </c>
      <c r="N383" t="str">
        <f>IF(M383=1,ROUND(SUMIF($F$4:$F$503,F383,$E$4:$E$503),2),"")</f>
        <v/>
      </c>
      <c r="O383" t="str">
        <f>IF(M383=1,COUNTIFS($M$4:$M$503,1,$N$4:$N$503,"&gt;"&amp;N383)+COUNTIFS($M$4:M383,1,$N$4:N383,N383),"")</f>
        <v/>
      </c>
      <c r="P383">
        <f>IF(G383="",0,IF(COUNTIF($G$4:G383,G383)=1,1,0))</f>
        <v>0</v>
      </c>
      <c r="Q383" t="str">
        <f>IF(P383=1,ROUND(SUMIF($G$4:$G$503,G383,$E$4:$E$503),2),"")</f>
        <v/>
      </c>
      <c r="R383" t="str">
        <f>IF(P383=1,COUNTIFS($P$4:$P$503,1,$Q$4:$Q$503,"&gt;"&amp;Q383)+COUNTIFS($P$4:P383,1,$Q$4:Q383,Q383),"")</f>
        <v/>
      </c>
      <c r="S383">
        <f>IF(H383="",0,IF(COUNTIF($H$4:H383,H383)=1,1,0))</f>
        <v>0</v>
      </c>
      <c r="T383" t="str">
        <f>IF(S383=1,ROUND(SUMIF($H$4:$H$503,H383,$E$4:$E$503),2),"")</f>
        <v/>
      </c>
      <c r="U383" t="str">
        <f>IF(S383=1,COUNTIFS($S$4:$S$503,1,$T$4:$T$503,"&gt;"&amp;T383)+COUNTIFS($S$4:S383,1,$T$4:T383,T383),"")</f>
        <v/>
      </c>
      <c r="V383" t="str">
        <f>IF(D383=1,MIN(INDEX($R$4:$R$503,MATCH(G383,$G$4:$G$503,0)),IF($AL$7&gt;9,9,999)),"")</f>
        <v/>
      </c>
      <c r="W383" s="166">
        <f>IF(OR($I383="",$E383=0),0,IF(OR($J383&lt;W$3,$I383&gt;W$2),0,IF($K383=0,IF(AND($I383&gt;=W$3,$I383&lt;=W$2),$E383,0),$E383*NETWORKDAYS(MAX($I383,W$3),MIN($J383,W$2),Data!$K$4:$K$203)/$K383)))</f>
        <v>0</v>
      </c>
      <c r="X383" s="166">
        <f>IF(OR($I383="",$E383=0),0,IF(OR($J383&lt;X$3,$I383&gt;X$2),0,IF($K383=0,IF(AND($I383&gt;=X$3,$I383&lt;=X$2),$E383,0),$E383*NETWORKDAYS(MAX($I383,X$3),MIN($J383,X$2),Data!$K$4:$K$203)/$K383)))</f>
        <v>0</v>
      </c>
      <c r="Y383" s="166">
        <f>IF(OR($I383="",$E383=0),0,IF(OR($J383&lt;Y$3,$I383&gt;Y$2),0,IF($K383=0,IF(AND($I383&gt;=Y$3,$I383&lt;=Y$2),$E383,0),$E383*NETWORKDAYS(MAX($I383,Y$3),MIN($J383,Y$2),Data!$K$4:$K$203)/$K383)))</f>
        <v>0</v>
      </c>
      <c r="Z383" s="166">
        <f>IF(OR($I383="",$E383=0),0,IF(OR($J383&lt;Z$3,$I383&gt;Z$2),0,IF($K383=0,IF(AND($I383&gt;=Z$3,$I383&lt;=Z$2),$E383,0),$E383*NETWORKDAYS(MAX($I383,Z$3),MIN($J383,Z$2),Data!$K$4:$K$203)/$K383)))</f>
        <v>0</v>
      </c>
      <c r="AA383" s="166">
        <f>IF(OR($I383="",$E383=0),0,IF(OR($J383&lt;AA$3,$I383&gt;AA$2),0,IF($K383=0,IF(AND($I383&gt;=AA$3,$I383&lt;=AA$2),$E383,0),$E383*NETWORKDAYS(MAX($I383,AA$3),MIN($J383,AA$2),Data!$K$4:$K$203)/$K383)))</f>
        <v>0</v>
      </c>
      <c r="AB383" s="166">
        <f>IF(OR($I383="",$E383=0),0,IF(OR($J383&lt;AB$3,$I383&gt;AB$2),0,IF($K383=0,IF(AND($I383&gt;=AB$3,$I383&lt;=AB$2),$E383,0),$E383*NETWORKDAYS(MAX($I383,AB$3),MIN($J383,AB$2),Data!$K$4:$K$203)/$K383)))</f>
        <v>0</v>
      </c>
      <c r="AC383" s="166">
        <f>IF(OR($I383="",$E383=0),0,IF(OR($J383&lt;AC$3,$I383&gt;AC$2),0,IF($K383=0,IF(AND($I383&gt;=AC$3,$I383&lt;=AC$2),$E383,0),$E383*NETWORKDAYS(MAX($I383,AC$3),MIN($J383,AC$2),Data!$K$4:$K$203)/$K383)))</f>
        <v>0</v>
      </c>
      <c r="AD383" s="166">
        <f>IF(OR($I383="",$E383=0),0,IF(OR($J383&lt;AD$3,$I383&gt;AD$2),0,IF($K383=0,IF(AND($I383&gt;=AD$3,$I383&lt;=AD$2),$E383,0),$E383*NETWORKDAYS(MAX($I383,AD$3),MIN($J383,AD$2),Data!$K$4:$K$203)/$K383)))</f>
        <v>0</v>
      </c>
      <c r="AE383" s="166">
        <f>IF(OR($I383="",$E383=0),0,IF(OR($J383&lt;AE$3,$I383&gt;AE$2),0,IF($K383=0,IF(AND($I383&gt;=AE$3,$I383&lt;=AE$2),$E383,0),$E383*NETWORKDAYS(MAX($I383,AE$3),MIN($J383,AE$2),Data!$K$4:$K$203)/$K383)))</f>
        <v>0</v>
      </c>
      <c r="AF383" s="166">
        <f>IF(OR($I383="",$E383=0),0,IF(OR($J383&lt;AF$3,$I383&gt;AF$2),0,IF($K383=0,IF(AND($I383&gt;=AF$3,$I383&lt;=AF$2),$E383,0),$E383*NETWORKDAYS(MAX($I383,AF$3),MIN($J383,AF$2),Data!$K$4:$K$203)/$K383)))</f>
        <v>0</v>
      </c>
      <c r="AG383" s="166">
        <f>IF(OR($I383="",$E383=0),0,IF(OR($J383&lt;AG$3,$I383&gt;AG$2),0,IF($K383=0,IF(AND($I383&gt;=AG$3,$I383&lt;=AG$2),$E383,0),$E383*NETWORKDAYS(MAX($I383,AG$3),MIN($J383,AG$2),Data!$K$4:$K$203)/$K383)))</f>
        <v>0</v>
      </c>
      <c r="AH383" s="166">
        <f>IF(OR($I383="",$E383=0),0,IF(OR($J383&lt;AH$3,$I383&gt;AH$2),0,IF($K383=0,IF(AND($I383&gt;=AH$3,$I383&lt;=AH$2),$E383,0),$E383*NETWORKDAYS(MAX($I383,AH$3),MIN($J383,AH$2),Data!$K$4:$K$203)/$K383)))</f>
        <v>0</v>
      </c>
      <c r="AI383" s="166">
        <f>SUM(W383:AH383)</f>
        <v>0</v>
      </c>
      <c r="BZ383" t="str">
        <f>IF(D383=1,IF(TRIM(INDEX(Charge!$K:$K,ROW()))&lt;&gt;"",TRIM(INDEX(Charge!$K:$K,ROW())),IF(TRIM(INDEX(Charge!$L:$L,ROW()))&lt;&gt;"",TRIM(INDEX(Charge!$L:$L,ROW())),"(non affecté)")),"")</f>
        <v/>
      </c>
      <c r="CA383" t="str">
        <f>IF(AND($CD$4&lt;&gt;"",BZ383=$CD$4),COUNTIFS($BZ$4:$BZ$503,$CD$4,$L$4:$L$503,"&lt;"&amp;L383)+1,"")</f>
        <v/>
      </c>
      <c r="EM383" t="str">
        <f>IF(D383=1,IF(TRIM(INDEX(Charge!$K:$K,ROW()))&lt;&gt;"","Interne",IF(TRIM(INDEX(Charge!$L:$L,ROW()))&lt;&gt;"","Externe","Non affecté")),"")</f>
        <v/>
      </c>
      <c r="EN383" t="str">
        <f>IF(D383=1,LEFT(SUBSTITUTE(SUBSTITUTE(SUBSTITUTE(TRIM(SUBSTITUTE(INDEX(Charge!$B:$B,ROW()),CHAR(160)," "))&amp;" | "&amp;TRIM(SUBSTITUTE(INDEX(Charge!$C:$C,ROW()),CHAR(160)," "))&amp;" | "&amp;TRIM(SUBSTITUTE(INDEX(Charge!$D:$D,ROW()),CHAR(160)," ")),"~","-"),"*","+"),"?","!"),240),"")</f>
        <v/>
      </c>
      <c r="EO383">
        <f>IF(EN383="",0,IF(COUNTIF($EN$4:EN383,EN383)=1,1,0))</f>
        <v>0</v>
      </c>
      <c r="EP383" s="166" t="str">
        <f>IF(EO383=1,ROUND(SUMIF($EN$4:$EN$503,EN383,$E$4:$E$503),2),"")</f>
        <v/>
      </c>
      <c r="EQ383" t="str">
        <f>IF(EO383=1,COUNTIFS($EO$4:$EO$503,1,$EP$4:$EP$503,"&gt;"&amp;EP383)+COUNTIFS($EO$4:EO383,1,$EP$4:EP383,EP383),"")</f>
        <v/>
      </c>
      <c r="ER383" t="str">
        <f>IF(EO383=1,COUNTIFS($EN$4:$EN$503,EN383,$EM$4:$EM$503,"Interne",$FE$4:$FE$503,1),"")</f>
        <v/>
      </c>
      <c r="ES383" t="str">
        <f>IF(EO383=1,COUNTIFS($EN$4:$EN$503,EN383,$EM$4:$EM$503,"Externe",$FE$4:$FE$503,1),"")</f>
        <v/>
      </c>
      <c r="ET383" t="str">
        <f>IF(EO383=1,IF(ER383+ES383=0,"à affecter",IF(ER383=0,ES383&amp;" ext.",(ER383+ES383)&amp;IF(ES383&gt;0," dont "&amp;ES383&amp;" ext.",""))&amp;IF(COUNTIFS($EN$4:$EN$503,EN383,$EM$4:$EM$503,"Non affecté")&gt;0," + à affecter","")),"")</f>
        <v/>
      </c>
      <c r="EU383" s="170" t="str">
        <f>IF(EO383=1,IF(EP383&gt;0,SUMPRODUCT(($EN$4:$EN$503=EN383)*$E$4:$E$503*$C$4:$C$503)/EP383,AVERAGEIF($EN$4:$EN$503,EN383,$C$4:$C$503)),"")</f>
        <v/>
      </c>
      <c r="EV383" s="165">
        <f>IF(ISNUMBER(I383),I383,2958465)</f>
        <v>2958465.0</v>
      </c>
      <c r="EW383" s="165" t="str">
        <f>IF(EO383=1,SUMPRODUCT(MIN(($EN$4:$EN$503=EN383)*$EV$4:$EV$503+($EN$4:$EN$503&lt;&gt;EN383)*2958465)),"")</f>
        <v/>
      </c>
      <c r="EX383" s="165">
        <f>IF(AND(D383=1,ISNUMBER(INDEX(Charge!$F:$F,ROW()))),INDEX(Charge!$F:$F,ROW()),0)</f>
        <v>0.0</v>
      </c>
      <c r="EY383" s="165" t="str">
        <f>IF(EO383=1,SUMPRODUCT(MAX(($EN$4:$EN$503=EN383)*$EX$4:$EX$503)),"")</f>
        <v/>
      </c>
      <c r="FA383" t="str">
        <f>IF(380&lt;=$CD$23,INDEX($EJ$4:$EJ$203,380),IF(380-$CD$23&lt;=$CD$26,INDEX($EK$4:$EK$203,380-$CD$23),""))</f>
        <v/>
      </c>
      <c r="FB383" t="str">
        <f>IF(FA383="","",IF(380&lt;=$CD$23,"Interne","Externe"))</f>
        <v/>
      </c>
      <c r="FD383">
        <f>IF(AND(B383=1,TRIM(INDEX(Charge!$K:$K,ROW()))&lt;&gt;"",TRIM(INDEX(Charge!$L:$L,ROW()))&lt;&gt;""),1,0)</f>
        <v>0</v>
      </c>
      <c r="FE383">
        <f>IF(OR(EN383="",BZ383="(non affecté)"),0,IF(COUNTIFS($EN$4:EN383,EN383,$BZ$4:BZ383,BZ383)=1,1,0))</f>
        <v>0</v>
      </c>
    </row>
    <row r="384">
      <c r="A384">
        <f>ROW()</f>
        <v>384</v>
      </c>
      <c r="B384">
        <f>IF(TRIM(INDEX(Charge!$B:$B,ROW()))&lt;&gt;"",1,0)</f>
        <v>0</v>
      </c>
      <c r="C384">
        <f>IF(B384=1,MIN(1,MAX(0,N(INDEX(Charge!$O:$O,ROW())))),0)</f>
        <v>0</v>
      </c>
      <c r="D384">
        <f>IF(B384=1,IF(OR(p_Perimetre="Tous les projets",C384&lt;1),1,0),0)</f>
        <v>0</v>
      </c>
      <c r="E384">
        <f>IF(D384=1,MAX(0,N(INDEX(Charge!$M:$M,ROW()))),0)</f>
        <v>0</v>
      </c>
      <c r="F384" t="str">
        <f>IF(D384=1,IF(TRIM(INDEX(Charge!$A:$A,ROW()))="","(non renseigné)",TRIM(INDEX(Charge!$A:$A,ROW()))),"")</f>
        <v/>
      </c>
      <c r="G384" t="str">
        <f>IF(D384=1,TRIM(INDEX(Charge!$B:$B,ROW())),"")</f>
        <v/>
      </c>
      <c r="H384" t="str">
        <f>IF(D384=1,IF(TRIM(INDEX(Charge!$E:$E,ROW()))="","(non renseigné)",TRIM(INDEX(Charge!$E:$E,ROW()))),"")</f>
        <v/>
      </c>
      <c r="I384" s="165" t="str">
        <f>IF(AND(D384=1,ISNUMBER(INDEX(Charge!$N:$N,ROW()))),INDEX(Charge!$N:$N,ROW()),"")</f>
        <v/>
      </c>
      <c r="J384" s="165" t="str">
        <f>IF(I384="","",IF(AND(p_Repartition="Lissée jusqu'à la date de besoin",ISNUMBER(INDEX(Charge!$F:$F,ROW()))),IF(INDEX(Charge!$F:$F,ROW())&gt;=I384,INDEX(Charge!$F:$F,ROW()),I384),I384))</f>
        <v/>
      </c>
      <c r="K384" t="str">
        <f>IF(I384="","",NETWORKDAYS(I384,J384,Data!$K$4:$K$203))</f>
        <v/>
      </c>
      <c r="L384" t="str">
        <f>IF(D384=1,COUNTIFS($D$4:$D$503,1,$E$4:$E$503,"&gt;"&amp;E384)+COUNTIFS($D$4:$D384,1,$E$4:$E384,E384),"")</f>
        <v/>
      </c>
      <c r="M384">
        <f>IF(F384="",0,IF(COUNTIF($F$4:F384,F384)=1,1,0))</f>
        <v>0</v>
      </c>
      <c r="N384" t="str">
        <f>IF(M384=1,ROUND(SUMIF($F$4:$F$503,F384,$E$4:$E$503),2),"")</f>
        <v/>
      </c>
      <c r="O384" t="str">
        <f>IF(M384=1,COUNTIFS($M$4:$M$503,1,$N$4:$N$503,"&gt;"&amp;N384)+COUNTIFS($M$4:M384,1,$N$4:N384,N384),"")</f>
        <v/>
      </c>
      <c r="P384">
        <f>IF(G384="",0,IF(COUNTIF($G$4:G384,G384)=1,1,0))</f>
        <v>0</v>
      </c>
      <c r="Q384" t="str">
        <f>IF(P384=1,ROUND(SUMIF($G$4:$G$503,G384,$E$4:$E$503),2),"")</f>
        <v/>
      </c>
      <c r="R384" t="str">
        <f>IF(P384=1,COUNTIFS($P$4:$P$503,1,$Q$4:$Q$503,"&gt;"&amp;Q384)+COUNTIFS($P$4:P384,1,$Q$4:Q384,Q384),"")</f>
        <v/>
      </c>
      <c r="S384">
        <f>IF(H384="",0,IF(COUNTIF($H$4:H384,H384)=1,1,0))</f>
        <v>0</v>
      </c>
      <c r="T384" t="str">
        <f>IF(S384=1,ROUND(SUMIF($H$4:$H$503,H384,$E$4:$E$503),2),"")</f>
        <v/>
      </c>
      <c r="U384" t="str">
        <f>IF(S384=1,COUNTIFS($S$4:$S$503,1,$T$4:$T$503,"&gt;"&amp;T384)+COUNTIFS($S$4:S384,1,$T$4:T384,T384),"")</f>
        <v/>
      </c>
      <c r="V384" t="str">
        <f>IF(D384=1,MIN(INDEX($R$4:$R$503,MATCH(G384,$G$4:$G$503,0)),IF($AL$7&gt;9,9,999)),"")</f>
        <v/>
      </c>
      <c r="W384" s="166">
        <f>IF(OR($I384="",$E384=0),0,IF(OR($J384&lt;W$3,$I384&gt;W$2),0,IF($K384=0,IF(AND($I384&gt;=W$3,$I384&lt;=W$2),$E384,0),$E384*NETWORKDAYS(MAX($I384,W$3),MIN($J384,W$2),Data!$K$4:$K$203)/$K384)))</f>
        <v>0</v>
      </c>
      <c r="X384" s="166">
        <f>IF(OR($I384="",$E384=0),0,IF(OR($J384&lt;X$3,$I384&gt;X$2),0,IF($K384=0,IF(AND($I384&gt;=X$3,$I384&lt;=X$2),$E384,0),$E384*NETWORKDAYS(MAX($I384,X$3),MIN($J384,X$2),Data!$K$4:$K$203)/$K384)))</f>
        <v>0</v>
      </c>
      <c r="Y384" s="166">
        <f>IF(OR($I384="",$E384=0),0,IF(OR($J384&lt;Y$3,$I384&gt;Y$2),0,IF($K384=0,IF(AND($I384&gt;=Y$3,$I384&lt;=Y$2),$E384,0),$E384*NETWORKDAYS(MAX($I384,Y$3),MIN($J384,Y$2),Data!$K$4:$K$203)/$K384)))</f>
        <v>0</v>
      </c>
      <c r="Z384" s="166">
        <f>IF(OR($I384="",$E384=0),0,IF(OR($J384&lt;Z$3,$I384&gt;Z$2),0,IF($K384=0,IF(AND($I384&gt;=Z$3,$I384&lt;=Z$2),$E384,0),$E384*NETWORKDAYS(MAX($I384,Z$3),MIN($J384,Z$2),Data!$K$4:$K$203)/$K384)))</f>
        <v>0</v>
      </c>
      <c r="AA384" s="166">
        <f>IF(OR($I384="",$E384=0),0,IF(OR($J384&lt;AA$3,$I384&gt;AA$2),0,IF($K384=0,IF(AND($I384&gt;=AA$3,$I384&lt;=AA$2),$E384,0),$E384*NETWORKDAYS(MAX($I384,AA$3),MIN($J384,AA$2),Data!$K$4:$K$203)/$K384)))</f>
        <v>0</v>
      </c>
      <c r="AB384" s="166">
        <f>IF(OR($I384="",$E384=0),0,IF(OR($J384&lt;AB$3,$I384&gt;AB$2),0,IF($K384=0,IF(AND($I384&gt;=AB$3,$I384&lt;=AB$2),$E384,0),$E384*NETWORKDAYS(MAX($I384,AB$3),MIN($J384,AB$2),Data!$K$4:$K$203)/$K384)))</f>
        <v>0</v>
      </c>
      <c r="AC384" s="166">
        <f>IF(OR($I384="",$E384=0),0,IF(OR($J384&lt;AC$3,$I384&gt;AC$2),0,IF($K384=0,IF(AND($I384&gt;=AC$3,$I384&lt;=AC$2),$E384,0),$E384*NETWORKDAYS(MAX($I384,AC$3),MIN($J384,AC$2),Data!$K$4:$K$203)/$K384)))</f>
        <v>0</v>
      </c>
      <c r="AD384" s="166">
        <f>IF(OR($I384="",$E384=0),0,IF(OR($J384&lt;AD$3,$I384&gt;AD$2),0,IF($K384=0,IF(AND($I384&gt;=AD$3,$I384&lt;=AD$2),$E384,0),$E384*NETWORKDAYS(MAX($I384,AD$3),MIN($J384,AD$2),Data!$K$4:$K$203)/$K384)))</f>
        <v>0</v>
      </c>
      <c r="AE384" s="166">
        <f>IF(OR($I384="",$E384=0),0,IF(OR($J384&lt;AE$3,$I384&gt;AE$2),0,IF($K384=0,IF(AND($I384&gt;=AE$3,$I384&lt;=AE$2),$E384,0),$E384*NETWORKDAYS(MAX($I384,AE$3),MIN($J384,AE$2),Data!$K$4:$K$203)/$K384)))</f>
        <v>0</v>
      </c>
      <c r="AF384" s="166">
        <f>IF(OR($I384="",$E384=0),0,IF(OR($J384&lt;AF$3,$I384&gt;AF$2),0,IF($K384=0,IF(AND($I384&gt;=AF$3,$I384&lt;=AF$2),$E384,0),$E384*NETWORKDAYS(MAX($I384,AF$3),MIN($J384,AF$2),Data!$K$4:$K$203)/$K384)))</f>
        <v>0</v>
      </c>
      <c r="AG384" s="166">
        <f>IF(OR($I384="",$E384=0),0,IF(OR($J384&lt;AG$3,$I384&gt;AG$2),0,IF($K384=0,IF(AND($I384&gt;=AG$3,$I384&lt;=AG$2),$E384,0),$E384*NETWORKDAYS(MAX($I384,AG$3),MIN($J384,AG$2),Data!$K$4:$K$203)/$K384)))</f>
        <v>0</v>
      </c>
      <c r="AH384" s="166">
        <f>IF(OR($I384="",$E384=0),0,IF(OR($J384&lt;AH$3,$I384&gt;AH$2),0,IF($K384=0,IF(AND($I384&gt;=AH$3,$I384&lt;=AH$2),$E384,0),$E384*NETWORKDAYS(MAX($I384,AH$3),MIN($J384,AH$2),Data!$K$4:$K$203)/$K384)))</f>
        <v>0</v>
      </c>
      <c r="AI384" s="166">
        <f>SUM(W384:AH384)</f>
        <v>0</v>
      </c>
      <c r="BZ384" t="str">
        <f>IF(D384=1,IF(TRIM(INDEX(Charge!$K:$K,ROW()))&lt;&gt;"",TRIM(INDEX(Charge!$K:$K,ROW())),IF(TRIM(INDEX(Charge!$L:$L,ROW()))&lt;&gt;"",TRIM(INDEX(Charge!$L:$L,ROW())),"(non affecté)")),"")</f>
        <v/>
      </c>
      <c r="CA384" t="str">
        <f>IF(AND($CD$4&lt;&gt;"",BZ384=$CD$4),COUNTIFS($BZ$4:$BZ$503,$CD$4,$L$4:$L$503,"&lt;"&amp;L384)+1,"")</f>
        <v/>
      </c>
      <c r="EM384" t="str">
        <f>IF(D384=1,IF(TRIM(INDEX(Charge!$K:$K,ROW()))&lt;&gt;"","Interne",IF(TRIM(INDEX(Charge!$L:$L,ROW()))&lt;&gt;"","Externe","Non affecté")),"")</f>
        <v/>
      </c>
      <c r="EN384" t="str">
        <f>IF(D384=1,LEFT(SUBSTITUTE(SUBSTITUTE(SUBSTITUTE(TRIM(SUBSTITUTE(INDEX(Charge!$B:$B,ROW()),CHAR(160)," "))&amp;" | "&amp;TRIM(SUBSTITUTE(INDEX(Charge!$C:$C,ROW()),CHAR(160)," "))&amp;" | "&amp;TRIM(SUBSTITUTE(INDEX(Charge!$D:$D,ROW()),CHAR(160)," ")),"~","-"),"*","+"),"?","!"),240),"")</f>
        <v/>
      </c>
      <c r="EO384">
        <f>IF(EN384="",0,IF(COUNTIF($EN$4:EN384,EN384)=1,1,0))</f>
        <v>0</v>
      </c>
      <c r="EP384" s="166" t="str">
        <f>IF(EO384=1,ROUND(SUMIF($EN$4:$EN$503,EN384,$E$4:$E$503),2),"")</f>
        <v/>
      </c>
      <c r="EQ384" t="str">
        <f>IF(EO384=1,COUNTIFS($EO$4:$EO$503,1,$EP$4:$EP$503,"&gt;"&amp;EP384)+COUNTIFS($EO$4:EO384,1,$EP$4:EP384,EP384),"")</f>
        <v/>
      </c>
      <c r="ER384" t="str">
        <f>IF(EO384=1,COUNTIFS($EN$4:$EN$503,EN384,$EM$4:$EM$503,"Interne",$FE$4:$FE$503,1),"")</f>
        <v/>
      </c>
      <c r="ES384" t="str">
        <f>IF(EO384=1,COUNTIFS($EN$4:$EN$503,EN384,$EM$4:$EM$503,"Externe",$FE$4:$FE$503,1),"")</f>
        <v/>
      </c>
      <c r="ET384" t="str">
        <f>IF(EO384=1,IF(ER384+ES384=0,"à affecter",IF(ER384=0,ES384&amp;" ext.",(ER384+ES384)&amp;IF(ES384&gt;0," dont "&amp;ES384&amp;" ext.",""))&amp;IF(COUNTIFS($EN$4:$EN$503,EN384,$EM$4:$EM$503,"Non affecté")&gt;0," + à affecter","")),"")</f>
        <v/>
      </c>
      <c r="EU384" s="170" t="str">
        <f>IF(EO384=1,IF(EP384&gt;0,SUMPRODUCT(($EN$4:$EN$503=EN384)*$E$4:$E$503*$C$4:$C$503)/EP384,AVERAGEIF($EN$4:$EN$503,EN384,$C$4:$C$503)),"")</f>
        <v/>
      </c>
      <c r="EV384" s="165">
        <f>IF(ISNUMBER(I384),I384,2958465)</f>
        <v>2958465.0</v>
      </c>
      <c r="EW384" s="165" t="str">
        <f>IF(EO384=1,SUMPRODUCT(MIN(($EN$4:$EN$503=EN384)*$EV$4:$EV$503+($EN$4:$EN$503&lt;&gt;EN384)*2958465)),"")</f>
        <v/>
      </c>
      <c r="EX384" s="165">
        <f>IF(AND(D384=1,ISNUMBER(INDEX(Charge!$F:$F,ROW()))),INDEX(Charge!$F:$F,ROW()),0)</f>
        <v>0.0</v>
      </c>
      <c r="EY384" s="165" t="str">
        <f>IF(EO384=1,SUMPRODUCT(MAX(($EN$4:$EN$503=EN384)*$EX$4:$EX$503)),"")</f>
        <v/>
      </c>
      <c r="FA384" t="str">
        <f>IF(381&lt;=$CD$23,INDEX($EJ$4:$EJ$203,381),IF(381-$CD$23&lt;=$CD$26,INDEX($EK$4:$EK$203,381-$CD$23),""))</f>
        <v/>
      </c>
      <c r="FB384" t="str">
        <f>IF(FA384="","",IF(381&lt;=$CD$23,"Interne","Externe"))</f>
        <v/>
      </c>
      <c r="FD384">
        <f>IF(AND(B384=1,TRIM(INDEX(Charge!$K:$K,ROW()))&lt;&gt;"",TRIM(INDEX(Charge!$L:$L,ROW()))&lt;&gt;""),1,0)</f>
        <v>0</v>
      </c>
      <c r="FE384">
        <f>IF(OR(EN384="",BZ384="(non affecté)"),0,IF(COUNTIFS($EN$4:EN384,EN384,$BZ$4:BZ384,BZ384)=1,1,0))</f>
        <v>0</v>
      </c>
    </row>
    <row r="385">
      <c r="A385">
        <f>ROW()</f>
        <v>385</v>
      </c>
      <c r="B385">
        <f>IF(TRIM(INDEX(Charge!$B:$B,ROW()))&lt;&gt;"",1,0)</f>
        <v>0</v>
      </c>
      <c r="C385">
        <f>IF(B385=1,MIN(1,MAX(0,N(INDEX(Charge!$O:$O,ROW())))),0)</f>
        <v>0</v>
      </c>
      <c r="D385">
        <f>IF(B385=1,IF(OR(p_Perimetre="Tous les projets",C385&lt;1),1,0),0)</f>
        <v>0</v>
      </c>
      <c r="E385">
        <f>IF(D385=1,MAX(0,N(INDEX(Charge!$M:$M,ROW()))),0)</f>
        <v>0</v>
      </c>
      <c r="F385" t="str">
        <f>IF(D385=1,IF(TRIM(INDEX(Charge!$A:$A,ROW()))="","(non renseigné)",TRIM(INDEX(Charge!$A:$A,ROW()))),"")</f>
        <v/>
      </c>
      <c r="G385" t="str">
        <f>IF(D385=1,TRIM(INDEX(Charge!$B:$B,ROW())),"")</f>
        <v/>
      </c>
      <c r="H385" t="str">
        <f>IF(D385=1,IF(TRIM(INDEX(Charge!$E:$E,ROW()))="","(non renseigné)",TRIM(INDEX(Charge!$E:$E,ROW()))),"")</f>
        <v/>
      </c>
      <c r="I385" s="165" t="str">
        <f>IF(AND(D385=1,ISNUMBER(INDEX(Charge!$N:$N,ROW()))),INDEX(Charge!$N:$N,ROW()),"")</f>
        <v/>
      </c>
      <c r="J385" s="165" t="str">
        <f>IF(I385="","",IF(AND(p_Repartition="Lissée jusqu'à la date de besoin",ISNUMBER(INDEX(Charge!$F:$F,ROW()))),IF(INDEX(Charge!$F:$F,ROW())&gt;=I385,INDEX(Charge!$F:$F,ROW()),I385),I385))</f>
        <v/>
      </c>
      <c r="K385" t="str">
        <f>IF(I385="","",NETWORKDAYS(I385,J385,Data!$K$4:$K$203))</f>
        <v/>
      </c>
      <c r="L385" t="str">
        <f>IF(D385=1,COUNTIFS($D$4:$D$503,1,$E$4:$E$503,"&gt;"&amp;E385)+COUNTIFS($D$4:$D385,1,$E$4:$E385,E385),"")</f>
        <v/>
      </c>
      <c r="M385">
        <f>IF(F385="",0,IF(COUNTIF($F$4:F385,F385)=1,1,0))</f>
        <v>0</v>
      </c>
      <c r="N385" t="str">
        <f>IF(M385=1,ROUND(SUMIF($F$4:$F$503,F385,$E$4:$E$503),2),"")</f>
        <v/>
      </c>
      <c r="O385" t="str">
        <f>IF(M385=1,COUNTIFS($M$4:$M$503,1,$N$4:$N$503,"&gt;"&amp;N385)+COUNTIFS($M$4:M385,1,$N$4:N385,N385),"")</f>
        <v/>
      </c>
      <c r="P385">
        <f>IF(G385="",0,IF(COUNTIF($G$4:G385,G385)=1,1,0))</f>
        <v>0</v>
      </c>
      <c r="Q385" t="str">
        <f>IF(P385=1,ROUND(SUMIF($G$4:$G$503,G385,$E$4:$E$503),2),"")</f>
        <v/>
      </c>
      <c r="R385" t="str">
        <f>IF(P385=1,COUNTIFS($P$4:$P$503,1,$Q$4:$Q$503,"&gt;"&amp;Q385)+COUNTIFS($P$4:P385,1,$Q$4:Q385,Q385),"")</f>
        <v/>
      </c>
      <c r="S385">
        <f>IF(H385="",0,IF(COUNTIF($H$4:H385,H385)=1,1,0))</f>
        <v>0</v>
      </c>
      <c r="T385" t="str">
        <f>IF(S385=1,ROUND(SUMIF($H$4:$H$503,H385,$E$4:$E$503),2),"")</f>
        <v/>
      </c>
      <c r="U385" t="str">
        <f>IF(S385=1,COUNTIFS($S$4:$S$503,1,$T$4:$T$503,"&gt;"&amp;T385)+COUNTIFS($S$4:S385,1,$T$4:T385,T385),"")</f>
        <v/>
      </c>
      <c r="V385" t="str">
        <f>IF(D385=1,MIN(INDEX($R$4:$R$503,MATCH(G385,$G$4:$G$503,0)),IF($AL$7&gt;9,9,999)),"")</f>
        <v/>
      </c>
      <c r="W385" s="166">
        <f>IF(OR($I385="",$E385=0),0,IF(OR($J385&lt;W$3,$I385&gt;W$2),0,IF($K385=0,IF(AND($I385&gt;=W$3,$I385&lt;=W$2),$E385,0),$E385*NETWORKDAYS(MAX($I385,W$3),MIN($J385,W$2),Data!$K$4:$K$203)/$K385)))</f>
        <v>0</v>
      </c>
      <c r="X385" s="166">
        <f>IF(OR($I385="",$E385=0),0,IF(OR($J385&lt;X$3,$I385&gt;X$2),0,IF($K385=0,IF(AND($I385&gt;=X$3,$I385&lt;=X$2),$E385,0),$E385*NETWORKDAYS(MAX($I385,X$3),MIN($J385,X$2),Data!$K$4:$K$203)/$K385)))</f>
        <v>0</v>
      </c>
      <c r="Y385" s="166">
        <f>IF(OR($I385="",$E385=0),0,IF(OR($J385&lt;Y$3,$I385&gt;Y$2),0,IF($K385=0,IF(AND($I385&gt;=Y$3,$I385&lt;=Y$2),$E385,0),$E385*NETWORKDAYS(MAX($I385,Y$3),MIN($J385,Y$2),Data!$K$4:$K$203)/$K385)))</f>
        <v>0</v>
      </c>
      <c r="Z385" s="166">
        <f>IF(OR($I385="",$E385=0),0,IF(OR($J385&lt;Z$3,$I385&gt;Z$2),0,IF($K385=0,IF(AND($I385&gt;=Z$3,$I385&lt;=Z$2),$E385,0),$E385*NETWORKDAYS(MAX($I385,Z$3),MIN($J385,Z$2),Data!$K$4:$K$203)/$K385)))</f>
        <v>0</v>
      </c>
      <c r="AA385" s="166">
        <f>IF(OR($I385="",$E385=0),0,IF(OR($J385&lt;AA$3,$I385&gt;AA$2),0,IF($K385=0,IF(AND($I385&gt;=AA$3,$I385&lt;=AA$2),$E385,0),$E385*NETWORKDAYS(MAX($I385,AA$3),MIN($J385,AA$2),Data!$K$4:$K$203)/$K385)))</f>
        <v>0</v>
      </c>
      <c r="AB385" s="166">
        <f>IF(OR($I385="",$E385=0),0,IF(OR($J385&lt;AB$3,$I385&gt;AB$2),0,IF($K385=0,IF(AND($I385&gt;=AB$3,$I385&lt;=AB$2),$E385,0),$E385*NETWORKDAYS(MAX($I385,AB$3),MIN($J385,AB$2),Data!$K$4:$K$203)/$K385)))</f>
        <v>0</v>
      </c>
      <c r="AC385" s="166">
        <f>IF(OR($I385="",$E385=0),0,IF(OR($J385&lt;AC$3,$I385&gt;AC$2),0,IF($K385=0,IF(AND($I385&gt;=AC$3,$I385&lt;=AC$2),$E385,0),$E385*NETWORKDAYS(MAX($I385,AC$3),MIN($J385,AC$2),Data!$K$4:$K$203)/$K385)))</f>
        <v>0</v>
      </c>
      <c r="AD385" s="166">
        <f>IF(OR($I385="",$E385=0),0,IF(OR($J385&lt;AD$3,$I385&gt;AD$2),0,IF($K385=0,IF(AND($I385&gt;=AD$3,$I385&lt;=AD$2),$E385,0),$E385*NETWORKDAYS(MAX($I385,AD$3),MIN($J385,AD$2),Data!$K$4:$K$203)/$K385)))</f>
        <v>0</v>
      </c>
      <c r="AE385" s="166">
        <f>IF(OR($I385="",$E385=0),0,IF(OR($J385&lt;AE$3,$I385&gt;AE$2),0,IF($K385=0,IF(AND($I385&gt;=AE$3,$I385&lt;=AE$2),$E385,0),$E385*NETWORKDAYS(MAX($I385,AE$3),MIN($J385,AE$2),Data!$K$4:$K$203)/$K385)))</f>
        <v>0</v>
      </c>
      <c r="AF385" s="166">
        <f>IF(OR($I385="",$E385=0),0,IF(OR($J385&lt;AF$3,$I385&gt;AF$2),0,IF($K385=0,IF(AND($I385&gt;=AF$3,$I385&lt;=AF$2),$E385,0),$E385*NETWORKDAYS(MAX($I385,AF$3),MIN($J385,AF$2),Data!$K$4:$K$203)/$K385)))</f>
        <v>0</v>
      </c>
      <c r="AG385" s="166">
        <f>IF(OR($I385="",$E385=0),0,IF(OR($J385&lt;AG$3,$I385&gt;AG$2),0,IF($K385=0,IF(AND($I385&gt;=AG$3,$I385&lt;=AG$2),$E385,0),$E385*NETWORKDAYS(MAX($I385,AG$3),MIN($J385,AG$2),Data!$K$4:$K$203)/$K385)))</f>
        <v>0</v>
      </c>
      <c r="AH385" s="166">
        <f>IF(OR($I385="",$E385=0),0,IF(OR($J385&lt;AH$3,$I385&gt;AH$2),0,IF($K385=0,IF(AND($I385&gt;=AH$3,$I385&lt;=AH$2),$E385,0),$E385*NETWORKDAYS(MAX($I385,AH$3),MIN($J385,AH$2),Data!$K$4:$K$203)/$K385)))</f>
        <v>0</v>
      </c>
      <c r="AI385" s="166">
        <f>SUM(W385:AH385)</f>
        <v>0</v>
      </c>
      <c r="BZ385" t="str">
        <f>IF(D385=1,IF(TRIM(INDEX(Charge!$K:$K,ROW()))&lt;&gt;"",TRIM(INDEX(Charge!$K:$K,ROW())),IF(TRIM(INDEX(Charge!$L:$L,ROW()))&lt;&gt;"",TRIM(INDEX(Charge!$L:$L,ROW())),"(non affecté)")),"")</f>
        <v/>
      </c>
      <c r="CA385" t="str">
        <f>IF(AND($CD$4&lt;&gt;"",BZ385=$CD$4),COUNTIFS($BZ$4:$BZ$503,$CD$4,$L$4:$L$503,"&lt;"&amp;L385)+1,"")</f>
        <v/>
      </c>
      <c r="EM385" t="str">
        <f>IF(D385=1,IF(TRIM(INDEX(Charge!$K:$K,ROW()))&lt;&gt;"","Interne",IF(TRIM(INDEX(Charge!$L:$L,ROW()))&lt;&gt;"","Externe","Non affecté")),"")</f>
        <v/>
      </c>
      <c r="EN385" t="str">
        <f>IF(D385=1,LEFT(SUBSTITUTE(SUBSTITUTE(SUBSTITUTE(TRIM(SUBSTITUTE(INDEX(Charge!$B:$B,ROW()),CHAR(160)," "))&amp;" | "&amp;TRIM(SUBSTITUTE(INDEX(Charge!$C:$C,ROW()),CHAR(160)," "))&amp;" | "&amp;TRIM(SUBSTITUTE(INDEX(Charge!$D:$D,ROW()),CHAR(160)," ")),"~","-"),"*","+"),"?","!"),240),"")</f>
        <v/>
      </c>
      <c r="EO385">
        <f>IF(EN385="",0,IF(COUNTIF($EN$4:EN385,EN385)=1,1,0))</f>
        <v>0</v>
      </c>
      <c r="EP385" s="166" t="str">
        <f>IF(EO385=1,ROUND(SUMIF($EN$4:$EN$503,EN385,$E$4:$E$503),2),"")</f>
        <v/>
      </c>
      <c r="EQ385" t="str">
        <f>IF(EO385=1,COUNTIFS($EO$4:$EO$503,1,$EP$4:$EP$503,"&gt;"&amp;EP385)+COUNTIFS($EO$4:EO385,1,$EP$4:EP385,EP385),"")</f>
        <v/>
      </c>
      <c r="ER385" t="str">
        <f>IF(EO385=1,COUNTIFS($EN$4:$EN$503,EN385,$EM$4:$EM$503,"Interne",$FE$4:$FE$503,1),"")</f>
        <v/>
      </c>
      <c r="ES385" t="str">
        <f>IF(EO385=1,COUNTIFS($EN$4:$EN$503,EN385,$EM$4:$EM$503,"Externe",$FE$4:$FE$503,1),"")</f>
        <v/>
      </c>
      <c r="ET385" t="str">
        <f>IF(EO385=1,IF(ER385+ES385=0,"à affecter",IF(ER385=0,ES385&amp;" ext.",(ER385+ES385)&amp;IF(ES385&gt;0," dont "&amp;ES385&amp;" ext.",""))&amp;IF(COUNTIFS($EN$4:$EN$503,EN385,$EM$4:$EM$503,"Non affecté")&gt;0," + à affecter","")),"")</f>
        <v/>
      </c>
      <c r="EU385" s="170" t="str">
        <f>IF(EO385=1,IF(EP385&gt;0,SUMPRODUCT(($EN$4:$EN$503=EN385)*$E$4:$E$503*$C$4:$C$503)/EP385,AVERAGEIF($EN$4:$EN$503,EN385,$C$4:$C$503)),"")</f>
        <v/>
      </c>
      <c r="EV385" s="165">
        <f>IF(ISNUMBER(I385),I385,2958465)</f>
        <v>2958465.0</v>
      </c>
      <c r="EW385" s="165" t="str">
        <f>IF(EO385=1,SUMPRODUCT(MIN(($EN$4:$EN$503=EN385)*$EV$4:$EV$503+($EN$4:$EN$503&lt;&gt;EN385)*2958465)),"")</f>
        <v/>
      </c>
      <c r="EX385" s="165">
        <f>IF(AND(D385=1,ISNUMBER(INDEX(Charge!$F:$F,ROW()))),INDEX(Charge!$F:$F,ROW()),0)</f>
        <v>0.0</v>
      </c>
      <c r="EY385" s="165" t="str">
        <f>IF(EO385=1,SUMPRODUCT(MAX(($EN$4:$EN$503=EN385)*$EX$4:$EX$503)),"")</f>
        <v/>
      </c>
      <c r="FA385" t="str">
        <f>IF(382&lt;=$CD$23,INDEX($EJ$4:$EJ$203,382),IF(382-$CD$23&lt;=$CD$26,INDEX($EK$4:$EK$203,382-$CD$23),""))</f>
        <v/>
      </c>
      <c r="FB385" t="str">
        <f>IF(FA385="","",IF(382&lt;=$CD$23,"Interne","Externe"))</f>
        <v/>
      </c>
      <c r="FD385">
        <f>IF(AND(B385=1,TRIM(INDEX(Charge!$K:$K,ROW()))&lt;&gt;"",TRIM(INDEX(Charge!$L:$L,ROW()))&lt;&gt;""),1,0)</f>
        <v>0</v>
      </c>
      <c r="FE385">
        <f>IF(OR(EN385="",BZ385="(non affecté)"),0,IF(COUNTIFS($EN$4:EN385,EN385,$BZ$4:BZ385,BZ385)=1,1,0))</f>
        <v>0</v>
      </c>
    </row>
    <row r="386">
      <c r="A386">
        <f>ROW()</f>
        <v>386</v>
      </c>
      <c r="B386">
        <f>IF(TRIM(INDEX(Charge!$B:$B,ROW()))&lt;&gt;"",1,0)</f>
        <v>0</v>
      </c>
      <c r="C386">
        <f>IF(B386=1,MIN(1,MAX(0,N(INDEX(Charge!$O:$O,ROW())))),0)</f>
        <v>0</v>
      </c>
      <c r="D386">
        <f>IF(B386=1,IF(OR(p_Perimetre="Tous les projets",C386&lt;1),1,0),0)</f>
        <v>0</v>
      </c>
      <c r="E386">
        <f>IF(D386=1,MAX(0,N(INDEX(Charge!$M:$M,ROW()))),0)</f>
        <v>0</v>
      </c>
      <c r="F386" t="str">
        <f>IF(D386=1,IF(TRIM(INDEX(Charge!$A:$A,ROW()))="","(non renseigné)",TRIM(INDEX(Charge!$A:$A,ROW()))),"")</f>
        <v/>
      </c>
      <c r="G386" t="str">
        <f>IF(D386=1,TRIM(INDEX(Charge!$B:$B,ROW())),"")</f>
        <v/>
      </c>
      <c r="H386" t="str">
        <f>IF(D386=1,IF(TRIM(INDEX(Charge!$E:$E,ROW()))="","(non renseigné)",TRIM(INDEX(Charge!$E:$E,ROW()))),"")</f>
        <v/>
      </c>
      <c r="I386" s="165" t="str">
        <f>IF(AND(D386=1,ISNUMBER(INDEX(Charge!$N:$N,ROW()))),INDEX(Charge!$N:$N,ROW()),"")</f>
        <v/>
      </c>
      <c r="J386" s="165" t="str">
        <f>IF(I386="","",IF(AND(p_Repartition="Lissée jusqu'à la date de besoin",ISNUMBER(INDEX(Charge!$F:$F,ROW()))),IF(INDEX(Charge!$F:$F,ROW())&gt;=I386,INDEX(Charge!$F:$F,ROW()),I386),I386))</f>
        <v/>
      </c>
      <c r="K386" t="str">
        <f>IF(I386="","",NETWORKDAYS(I386,J386,Data!$K$4:$K$203))</f>
        <v/>
      </c>
      <c r="L386" t="str">
        <f>IF(D386=1,COUNTIFS($D$4:$D$503,1,$E$4:$E$503,"&gt;"&amp;E386)+COUNTIFS($D$4:$D386,1,$E$4:$E386,E386),"")</f>
        <v/>
      </c>
      <c r="M386">
        <f>IF(F386="",0,IF(COUNTIF($F$4:F386,F386)=1,1,0))</f>
        <v>0</v>
      </c>
      <c r="N386" t="str">
        <f>IF(M386=1,ROUND(SUMIF($F$4:$F$503,F386,$E$4:$E$503),2),"")</f>
        <v/>
      </c>
      <c r="O386" t="str">
        <f>IF(M386=1,COUNTIFS($M$4:$M$503,1,$N$4:$N$503,"&gt;"&amp;N386)+COUNTIFS($M$4:M386,1,$N$4:N386,N386),"")</f>
        <v/>
      </c>
      <c r="P386">
        <f>IF(G386="",0,IF(COUNTIF($G$4:G386,G386)=1,1,0))</f>
        <v>0</v>
      </c>
      <c r="Q386" t="str">
        <f>IF(P386=1,ROUND(SUMIF($G$4:$G$503,G386,$E$4:$E$503),2),"")</f>
        <v/>
      </c>
      <c r="R386" t="str">
        <f>IF(P386=1,COUNTIFS($P$4:$P$503,1,$Q$4:$Q$503,"&gt;"&amp;Q386)+COUNTIFS($P$4:P386,1,$Q$4:Q386,Q386),"")</f>
        <v/>
      </c>
      <c r="S386">
        <f>IF(H386="",0,IF(COUNTIF($H$4:H386,H386)=1,1,0))</f>
        <v>0</v>
      </c>
      <c r="T386" t="str">
        <f>IF(S386=1,ROUND(SUMIF($H$4:$H$503,H386,$E$4:$E$503),2),"")</f>
        <v/>
      </c>
      <c r="U386" t="str">
        <f>IF(S386=1,COUNTIFS($S$4:$S$503,1,$T$4:$T$503,"&gt;"&amp;T386)+COUNTIFS($S$4:S386,1,$T$4:T386,T386),"")</f>
        <v/>
      </c>
      <c r="V386" t="str">
        <f>IF(D386=1,MIN(INDEX($R$4:$R$503,MATCH(G386,$G$4:$G$503,0)),IF($AL$7&gt;9,9,999)),"")</f>
        <v/>
      </c>
      <c r="W386" s="166">
        <f>IF(OR($I386="",$E386=0),0,IF(OR($J386&lt;W$3,$I386&gt;W$2),0,IF($K386=0,IF(AND($I386&gt;=W$3,$I386&lt;=W$2),$E386,0),$E386*NETWORKDAYS(MAX($I386,W$3),MIN($J386,W$2),Data!$K$4:$K$203)/$K386)))</f>
        <v>0</v>
      </c>
      <c r="X386" s="166">
        <f>IF(OR($I386="",$E386=0),0,IF(OR($J386&lt;X$3,$I386&gt;X$2),0,IF($K386=0,IF(AND($I386&gt;=X$3,$I386&lt;=X$2),$E386,0),$E386*NETWORKDAYS(MAX($I386,X$3),MIN($J386,X$2),Data!$K$4:$K$203)/$K386)))</f>
        <v>0</v>
      </c>
      <c r="Y386" s="166">
        <f>IF(OR($I386="",$E386=0),0,IF(OR($J386&lt;Y$3,$I386&gt;Y$2),0,IF($K386=0,IF(AND($I386&gt;=Y$3,$I386&lt;=Y$2),$E386,0),$E386*NETWORKDAYS(MAX($I386,Y$3),MIN($J386,Y$2),Data!$K$4:$K$203)/$K386)))</f>
        <v>0</v>
      </c>
      <c r="Z386" s="166">
        <f>IF(OR($I386="",$E386=0),0,IF(OR($J386&lt;Z$3,$I386&gt;Z$2),0,IF($K386=0,IF(AND($I386&gt;=Z$3,$I386&lt;=Z$2),$E386,0),$E386*NETWORKDAYS(MAX($I386,Z$3),MIN($J386,Z$2),Data!$K$4:$K$203)/$K386)))</f>
        <v>0</v>
      </c>
      <c r="AA386" s="166">
        <f>IF(OR($I386="",$E386=0),0,IF(OR($J386&lt;AA$3,$I386&gt;AA$2),0,IF($K386=0,IF(AND($I386&gt;=AA$3,$I386&lt;=AA$2),$E386,0),$E386*NETWORKDAYS(MAX($I386,AA$3),MIN($J386,AA$2),Data!$K$4:$K$203)/$K386)))</f>
        <v>0</v>
      </c>
      <c r="AB386" s="166">
        <f>IF(OR($I386="",$E386=0),0,IF(OR($J386&lt;AB$3,$I386&gt;AB$2),0,IF($K386=0,IF(AND($I386&gt;=AB$3,$I386&lt;=AB$2),$E386,0),$E386*NETWORKDAYS(MAX($I386,AB$3),MIN($J386,AB$2),Data!$K$4:$K$203)/$K386)))</f>
        <v>0</v>
      </c>
      <c r="AC386" s="166">
        <f>IF(OR($I386="",$E386=0),0,IF(OR($J386&lt;AC$3,$I386&gt;AC$2),0,IF($K386=0,IF(AND($I386&gt;=AC$3,$I386&lt;=AC$2),$E386,0),$E386*NETWORKDAYS(MAX($I386,AC$3),MIN($J386,AC$2),Data!$K$4:$K$203)/$K386)))</f>
        <v>0</v>
      </c>
      <c r="AD386" s="166">
        <f>IF(OR($I386="",$E386=0),0,IF(OR($J386&lt;AD$3,$I386&gt;AD$2),0,IF($K386=0,IF(AND($I386&gt;=AD$3,$I386&lt;=AD$2),$E386,0),$E386*NETWORKDAYS(MAX($I386,AD$3),MIN($J386,AD$2),Data!$K$4:$K$203)/$K386)))</f>
        <v>0</v>
      </c>
      <c r="AE386" s="166">
        <f>IF(OR($I386="",$E386=0),0,IF(OR($J386&lt;AE$3,$I386&gt;AE$2),0,IF($K386=0,IF(AND($I386&gt;=AE$3,$I386&lt;=AE$2),$E386,0),$E386*NETWORKDAYS(MAX($I386,AE$3),MIN($J386,AE$2),Data!$K$4:$K$203)/$K386)))</f>
        <v>0</v>
      </c>
      <c r="AF386" s="166">
        <f>IF(OR($I386="",$E386=0),0,IF(OR($J386&lt;AF$3,$I386&gt;AF$2),0,IF($K386=0,IF(AND($I386&gt;=AF$3,$I386&lt;=AF$2),$E386,0),$E386*NETWORKDAYS(MAX($I386,AF$3),MIN($J386,AF$2),Data!$K$4:$K$203)/$K386)))</f>
        <v>0</v>
      </c>
      <c r="AG386" s="166">
        <f>IF(OR($I386="",$E386=0),0,IF(OR($J386&lt;AG$3,$I386&gt;AG$2),0,IF($K386=0,IF(AND($I386&gt;=AG$3,$I386&lt;=AG$2),$E386,0),$E386*NETWORKDAYS(MAX($I386,AG$3),MIN($J386,AG$2),Data!$K$4:$K$203)/$K386)))</f>
        <v>0</v>
      </c>
      <c r="AH386" s="166">
        <f>IF(OR($I386="",$E386=0),0,IF(OR($J386&lt;AH$3,$I386&gt;AH$2),0,IF($K386=0,IF(AND($I386&gt;=AH$3,$I386&lt;=AH$2),$E386,0),$E386*NETWORKDAYS(MAX($I386,AH$3),MIN($J386,AH$2),Data!$K$4:$K$203)/$K386)))</f>
        <v>0</v>
      </c>
      <c r="AI386" s="166">
        <f>SUM(W386:AH386)</f>
        <v>0</v>
      </c>
      <c r="BZ386" t="str">
        <f>IF(D386=1,IF(TRIM(INDEX(Charge!$K:$K,ROW()))&lt;&gt;"",TRIM(INDEX(Charge!$K:$K,ROW())),IF(TRIM(INDEX(Charge!$L:$L,ROW()))&lt;&gt;"",TRIM(INDEX(Charge!$L:$L,ROW())),"(non affecté)")),"")</f>
        <v/>
      </c>
      <c r="CA386" t="str">
        <f>IF(AND($CD$4&lt;&gt;"",BZ386=$CD$4),COUNTIFS($BZ$4:$BZ$503,$CD$4,$L$4:$L$503,"&lt;"&amp;L386)+1,"")</f>
        <v/>
      </c>
      <c r="EM386" t="str">
        <f>IF(D386=1,IF(TRIM(INDEX(Charge!$K:$K,ROW()))&lt;&gt;"","Interne",IF(TRIM(INDEX(Charge!$L:$L,ROW()))&lt;&gt;"","Externe","Non affecté")),"")</f>
        <v/>
      </c>
      <c r="EN386" t="str">
        <f>IF(D386=1,LEFT(SUBSTITUTE(SUBSTITUTE(SUBSTITUTE(TRIM(SUBSTITUTE(INDEX(Charge!$B:$B,ROW()),CHAR(160)," "))&amp;" | "&amp;TRIM(SUBSTITUTE(INDEX(Charge!$C:$C,ROW()),CHAR(160)," "))&amp;" | "&amp;TRIM(SUBSTITUTE(INDEX(Charge!$D:$D,ROW()),CHAR(160)," ")),"~","-"),"*","+"),"?","!"),240),"")</f>
        <v/>
      </c>
      <c r="EO386">
        <f>IF(EN386="",0,IF(COUNTIF($EN$4:EN386,EN386)=1,1,0))</f>
        <v>0</v>
      </c>
      <c r="EP386" s="166" t="str">
        <f>IF(EO386=1,ROUND(SUMIF($EN$4:$EN$503,EN386,$E$4:$E$503),2),"")</f>
        <v/>
      </c>
      <c r="EQ386" t="str">
        <f>IF(EO386=1,COUNTIFS($EO$4:$EO$503,1,$EP$4:$EP$503,"&gt;"&amp;EP386)+COUNTIFS($EO$4:EO386,1,$EP$4:EP386,EP386),"")</f>
        <v/>
      </c>
      <c r="ER386" t="str">
        <f>IF(EO386=1,COUNTIFS($EN$4:$EN$503,EN386,$EM$4:$EM$503,"Interne",$FE$4:$FE$503,1),"")</f>
        <v/>
      </c>
      <c r="ES386" t="str">
        <f>IF(EO386=1,COUNTIFS($EN$4:$EN$503,EN386,$EM$4:$EM$503,"Externe",$FE$4:$FE$503,1),"")</f>
        <v/>
      </c>
      <c r="ET386" t="str">
        <f>IF(EO386=1,IF(ER386+ES386=0,"à affecter",IF(ER386=0,ES386&amp;" ext.",(ER386+ES386)&amp;IF(ES386&gt;0," dont "&amp;ES386&amp;" ext.",""))&amp;IF(COUNTIFS($EN$4:$EN$503,EN386,$EM$4:$EM$503,"Non affecté")&gt;0," + à affecter","")),"")</f>
        <v/>
      </c>
      <c r="EU386" s="170" t="str">
        <f>IF(EO386=1,IF(EP386&gt;0,SUMPRODUCT(($EN$4:$EN$503=EN386)*$E$4:$E$503*$C$4:$C$503)/EP386,AVERAGEIF($EN$4:$EN$503,EN386,$C$4:$C$503)),"")</f>
        <v/>
      </c>
      <c r="EV386" s="165">
        <f>IF(ISNUMBER(I386),I386,2958465)</f>
        <v>2958465.0</v>
      </c>
      <c r="EW386" s="165" t="str">
        <f>IF(EO386=1,SUMPRODUCT(MIN(($EN$4:$EN$503=EN386)*$EV$4:$EV$503+($EN$4:$EN$503&lt;&gt;EN386)*2958465)),"")</f>
        <v/>
      </c>
      <c r="EX386" s="165">
        <f>IF(AND(D386=1,ISNUMBER(INDEX(Charge!$F:$F,ROW()))),INDEX(Charge!$F:$F,ROW()),0)</f>
        <v>0.0</v>
      </c>
      <c r="EY386" s="165" t="str">
        <f>IF(EO386=1,SUMPRODUCT(MAX(($EN$4:$EN$503=EN386)*$EX$4:$EX$503)),"")</f>
        <v/>
      </c>
      <c r="FA386" t="str">
        <f>IF(383&lt;=$CD$23,INDEX($EJ$4:$EJ$203,383),IF(383-$CD$23&lt;=$CD$26,INDEX($EK$4:$EK$203,383-$CD$23),""))</f>
        <v/>
      </c>
      <c r="FB386" t="str">
        <f>IF(FA386="","",IF(383&lt;=$CD$23,"Interne","Externe"))</f>
        <v/>
      </c>
      <c r="FD386">
        <f>IF(AND(B386=1,TRIM(INDEX(Charge!$K:$K,ROW()))&lt;&gt;"",TRIM(INDEX(Charge!$L:$L,ROW()))&lt;&gt;""),1,0)</f>
        <v>0</v>
      </c>
      <c r="FE386">
        <f>IF(OR(EN386="",BZ386="(non affecté)"),0,IF(COUNTIFS($EN$4:EN386,EN386,$BZ$4:BZ386,BZ386)=1,1,0))</f>
        <v>0</v>
      </c>
    </row>
    <row r="387">
      <c r="A387">
        <f>ROW()</f>
        <v>387</v>
      </c>
      <c r="B387">
        <f>IF(TRIM(INDEX(Charge!$B:$B,ROW()))&lt;&gt;"",1,0)</f>
        <v>0</v>
      </c>
      <c r="C387">
        <f>IF(B387=1,MIN(1,MAX(0,N(INDEX(Charge!$O:$O,ROW())))),0)</f>
        <v>0</v>
      </c>
      <c r="D387">
        <f>IF(B387=1,IF(OR(p_Perimetre="Tous les projets",C387&lt;1),1,0),0)</f>
        <v>0</v>
      </c>
      <c r="E387">
        <f>IF(D387=1,MAX(0,N(INDEX(Charge!$M:$M,ROW()))),0)</f>
        <v>0</v>
      </c>
      <c r="F387" t="str">
        <f>IF(D387=1,IF(TRIM(INDEX(Charge!$A:$A,ROW()))="","(non renseigné)",TRIM(INDEX(Charge!$A:$A,ROW()))),"")</f>
        <v/>
      </c>
      <c r="G387" t="str">
        <f>IF(D387=1,TRIM(INDEX(Charge!$B:$B,ROW())),"")</f>
        <v/>
      </c>
      <c r="H387" t="str">
        <f>IF(D387=1,IF(TRIM(INDEX(Charge!$E:$E,ROW()))="","(non renseigné)",TRIM(INDEX(Charge!$E:$E,ROW()))),"")</f>
        <v/>
      </c>
      <c r="I387" s="165" t="str">
        <f>IF(AND(D387=1,ISNUMBER(INDEX(Charge!$N:$N,ROW()))),INDEX(Charge!$N:$N,ROW()),"")</f>
        <v/>
      </c>
      <c r="J387" s="165" t="str">
        <f>IF(I387="","",IF(AND(p_Repartition="Lissée jusqu'à la date de besoin",ISNUMBER(INDEX(Charge!$F:$F,ROW()))),IF(INDEX(Charge!$F:$F,ROW())&gt;=I387,INDEX(Charge!$F:$F,ROW()),I387),I387))</f>
        <v/>
      </c>
      <c r="K387" t="str">
        <f>IF(I387="","",NETWORKDAYS(I387,J387,Data!$K$4:$K$203))</f>
        <v/>
      </c>
      <c r="L387" t="str">
        <f>IF(D387=1,COUNTIFS($D$4:$D$503,1,$E$4:$E$503,"&gt;"&amp;E387)+COUNTIFS($D$4:$D387,1,$E$4:$E387,E387),"")</f>
        <v/>
      </c>
      <c r="M387">
        <f>IF(F387="",0,IF(COUNTIF($F$4:F387,F387)=1,1,0))</f>
        <v>0</v>
      </c>
      <c r="N387" t="str">
        <f>IF(M387=1,ROUND(SUMIF($F$4:$F$503,F387,$E$4:$E$503),2),"")</f>
        <v/>
      </c>
      <c r="O387" t="str">
        <f>IF(M387=1,COUNTIFS($M$4:$M$503,1,$N$4:$N$503,"&gt;"&amp;N387)+COUNTIFS($M$4:M387,1,$N$4:N387,N387),"")</f>
        <v/>
      </c>
      <c r="P387">
        <f>IF(G387="",0,IF(COUNTIF($G$4:G387,G387)=1,1,0))</f>
        <v>0</v>
      </c>
      <c r="Q387" t="str">
        <f>IF(P387=1,ROUND(SUMIF($G$4:$G$503,G387,$E$4:$E$503),2),"")</f>
        <v/>
      </c>
      <c r="R387" t="str">
        <f>IF(P387=1,COUNTIFS($P$4:$P$503,1,$Q$4:$Q$503,"&gt;"&amp;Q387)+COUNTIFS($P$4:P387,1,$Q$4:Q387,Q387),"")</f>
        <v/>
      </c>
      <c r="S387">
        <f>IF(H387="",0,IF(COUNTIF($H$4:H387,H387)=1,1,0))</f>
        <v>0</v>
      </c>
      <c r="T387" t="str">
        <f>IF(S387=1,ROUND(SUMIF($H$4:$H$503,H387,$E$4:$E$503),2),"")</f>
        <v/>
      </c>
      <c r="U387" t="str">
        <f>IF(S387=1,COUNTIFS($S$4:$S$503,1,$T$4:$T$503,"&gt;"&amp;T387)+COUNTIFS($S$4:S387,1,$T$4:T387,T387),"")</f>
        <v/>
      </c>
      <c r="V387" t="str">
        <f>IF(D387=1,MIN(INDEX($R$4:$R$503,MATCH(G387,$G$4:$G$503,0)),IF($AL$7&gt;9,9,999)),"")</f>
        <v/>
      </c>
      <c r="W387" s="166">
        <f>IF(OR($I387="",$E387=0),0,IF(OR($J387&lt;W$3,$I387&gt;W$2),0,IF($K387=0,IF(AND($I387&gt;=W$3,$I387&lt;=W$2),$E387,0),$E387*NETWORKDAYS(MAX($I387,W$3),MIN($J387,W$2),Data!$K$4:$K$203)/$K387)))</f>
        <v>0</v>
      </c>
      <c r="X387" s="166">
        <f>IF(OR($I387="",$E387=0),0,IF(OR($J387&lt;X$3,$I387&gt;X$2),0,IF($K387=0,IF(AND($I387&gt;=X$3,$I387&lt;=X$2),$E387,0),$E387*NETWORKDAYS(MAX($I387,X$3),MIN($J387,X$2),Data!$K$4:$K$203)/$K387)))</f>
        <v>0</v>
      </c>
      <c r="Y387" s="166">
        <f>IF(OR($I387="",$E387=0),0,IF(OR($J387&lt;Y$3,$I387&gt;Y$2),0,IF($K387=0,IF(AND($I387&gt;=Y$3,$I387&lt;=Y$2),$E387,0),$E387*NETWORKDAYS(MAX($I387,Y$3),MIN($J387,Y$2),Data!$K$4:$K$203)/$K387)))</f>
        <v>0</v>
      </c>
      <c r="Z387" s="166">
        <f>IF(OR($I387="",$E387=0),0,IF(OR($J387&lt;Z$3,$I387&gt;Z$2),0,IF($K387=0,IF(AND($I387&gt;=Z$3,$I387&lt;=Z$2),$E387,0),$E387*NETWORKDAYS(MAX($I387,Z$3),MIN($J387,Z$2),Data!$K$4:$K$203)/$K387)))</f>
        <v>0</v>
      </c>
      <c r="AA387" s="166">
        <f>IF(OR($I387="",$E387=0),0,IF(OR($J387&lt;AA$3,$I387&gt;AA$2),0,IF($K387=0,IF(AND($I387&gt;=AA$3,$I387&lt;=AA$2),$E387,0),$E387*NETWORKDAYS(MAX($I387,AA$3),MIN($J387,AA$2),Data!$K$4:$K$203)/$K387)))</f>
        <v>0</v>
      </c>
      <c r="AB387" s="166">
        <f>IF(OR($I387="",$E387=0),0,IF(OR($J387&lt;AB$3,$I387&gt;AB$2),0,IF($K387=0,IF(AND($I387&gt;=AB$3,$I387&lt;=AB$2),$E387,0),$E387*NETWORKDAYS(MAX($I387,AB$3),MIN($J387,AB$2),Data!$K$4:$K$203)/$K387)))</f>
        <v>0</v>
      </c>
      <c r="AC387" s="166">
        <f>IF(OR($I387="",$E387=0),0,IF(OR($J387&lt;AC$3,$I387&gt;AC$2),0,IF($K387=0,IF(AND($I387&gt;=AC$3,$I387&lt;=AC$2),$E387,0),$E387*NETWORKDAYS(MAX($I387,AC$3),MIN($J387,AC$2),Data!$K$4:$K$203)/$K387)))</f>
        <v>0</v>
      </c>
      <c r="AD387" s="166">
        <f>IF(OR($I387="",$E387=0),0,IF(OR($J387&lt;AD$3,$I387&gt;AD$2),0,IF($K387=0,IF(AND($I387&gt;=AD$3,$I387&lt;=AD$2),$E387,0),$E387*NETWORKDAYS(MAX($I387,AD$3),MIN($J387,AD$2),Data!$K$4:$K$203)/$K387)))</f>
        <v>0</v>
      </c>
      <c r="AE387" s="166">
        <f>IF(OR($I387="",$E387=0),0,IF(OR($J387&lt;AE$3,$I387&gt;AE$2),0,IF($K387=0,IF(AND($I387&gt;=AE$3,$I387&lt;=AE$2),$E387,0),$E387*NETWORKDAYS(MAX($I387,AE$3),MIN($J387,AE$2),Data!$K$4:$K$203)/$K387)))</f>
        <v>0</v>
      </c>
      <c r="AF387" s="166">
        <f>IF(OR($I387="",$E387=0),0,IF(OR($J387&lt;AF$3,$I387&gt;AF$2),0,IF($K387=0,IF(AND($I387&gt;=AF$3,$I387&lt;=AF$2),$E387,0),$E387*NETWORKDAYS(MAX($I387,AF$3),MIN($J387,AF$2),Data!$K$4:$K$203)/$K387)))</f>
        <v>0</v>
      </c>
      <c r="AG387" s="166">
        <f>IF(OR($I387="",$E387=0),0,IF(OR($J387&lt;AG$3,$I387&gt;AG$2),0,IF($K387=0,IF(AND($I387&gt;=AG$3,$I387&lt;=AG$2),$E387,0),$E387*NETWORKDAYS(MAX($I387,AG$3),MIN($J387,AG$2),Data!$K$4:$K$203)/$K387)))</f>
        <v>0</v>
      </c>
      <c r="AH387" s="166">
        <f>IF(OR($I387="",$E387=0),0,IF(OR($J387&lt;AH$3,$I387&gt;AH$2),0,IF($K387=0,IF(AND($I387&gt;=AH$3,$I387&lt;=AH$2),$E387,0),$E387*NETWORKDAYS(MAX($I387,AH$3),MIN($J387,AH$2),Data!$K$4:$K$203)/$K387)))</f>
        <v>0</v>
      </c>
      <c r="AI387" s="166">
        <f>SUM(W387:AH387)</f>
        <v>0</v>
      </c>
      <c r="BZ387" t="str">
        <f>IF(D387=1,IF(TRIM(INDEX(Charge!$K:$K,ROW()))&lt;&gt;"",TRIM(INDEX(Charge!$K:$K,ROW())),IF(TRIM(INDEX(Charge!$L:$L,ROW()))&lt;&gt;"",TRIM(INDEX(Charge!$L:$L,ROW())),"(non affecté)")),"")</f>
        <v/>
      </c>
      <c r="CA387" t="str">
        <f>IF(AND($CD$4&lt;&gt;"",BZ387=$CD$4),COUNTIFS($BZ$4:$BZ$503,$CD$4,$L$4:$L$503,"&lt;"&amp;L387)+1,"")</f>
        <v/>
      </c>
      <c r="EM387" t="str">
        <f>IF(D387=1,IF(TRIM(INDEX(Charge!$K:$K,ROW()))&lt;&gt;"","Interne",IF(TRIM(INDEX(Charge!$L:$L,ROW()))&lt;&gt;"","Externe","Non affecté")),"")</f>
        <v/>
      </c>
      <c r="EN387" t="str">
        <f>IF(D387=1,LEFT(SUBSTITUTE(SUBSTITUTE(SUBSTITUTE(TRIM(SUBSTITUTE(INDEX(Charge!$B:$B,ROW()),CHAR(160)," "))&amp;" | "&amp;TRIM(SUBSTITUTE(INDEX(Charge!$C:$C,ROW()),CHAR(160)," "))&amp;" | "&amp;TRIM(SUBSTITUTE(INDEX(Charge!$D:$D,ROW()),CHAR(160)," ")),"~","-"),"*","+"),"?","!"),240),"")</f>
        <v/>
      </c>
      <c r="EO387">
        <f>IF(EN387="",0,IF(COUNTIF($EN$4:EN387,EN387)=1,1,0))</f>
        <v>0</v>
      </c>
      <c r="EP387" s="166" t="str">
        <f>IF(EO387=1,ROUND(SUMIF($EN$4:$EN$503,EN387,$E$4:$E$503),2),"")</f>
        <v/>
      </c>
      <c r="EQ387" t="str">
        <f>IF(EO387=1,COUNTIFS($EO$4:$EO$503,1,$EP$4:$EP$503,"&gt;"&amp;EP387)+COUNTIFS($EO$4:EO387,1,$EP$4:EP387,EP387),"")</f>
        <v/>
      </c>
      <c r="ER387" t="str">
        <f>IF(EO387=1,COUNTIFS($EN$4:$EN$503,EN387,$EM$4:$EM$503,"Interne",$FE$4:$FE$503,1),"")</f>
        <v/>
      </c>
      <c r="ES387" t="str">
        <f>IF(EO387=1,COUNTIFS($EN$4:$EN$503,EN387,$EM$4:$EM$503,"Externe",$FE$4:$FE$503,1),"")</f>
        <v/>
      </c>
      <c r="ET387" t="str">
        <f>IF(EO387=1,IF(ER387+ES387=0,"à affecter",IF(ER387=0,ES387&amp;" ext.",(ER387+ES387)&amp;IF(ES387&gt;0," dont "&amp;ES387&amp;" ext.",""))&amp;IF(COUNTIFS($EN$4:$EN$503,EN387,$EM$4:$EM$503,"Non affecté")&gt;0," + à affecter","")),"")</f>
        <v/>
      </c>
      <c r="EU387" s="170" t="str">
        <f>IF(EO387=1,IF(EP387&gt;0,SUMPRODUCT(($EN$4:$EN$503=EN387)*$E$4:$E$503*$C$4:$C$503)/EP387,AVERAGEIF($EN$4:$EN$503,EN387,$C$4:$C$503)),"")</f>
        <v/>
      </c>
      <c r="EV387" s="165">
        <f>IF(ISNUMBER(I387),I387,2958465)</f>
        <v>2958465.0</v>
      </c>
      <c r="EW387" s="165" t="str">
        <f>IF(EO387=1,SUMPRODUCT(MIN(($EN$4:$EN$503=EN387)*$EV$4:$EV$503+($EN$4:$EN$503&lt;&gt;EN387)*2958465)),"")</f>
        <v/>
      </c>
      <c r="EX387" s="165">
        <f>IF(AND(D387=1,ISNUMBER(INDEX(Charge!$F:$F,ROW()))),INDEX(Charge!$F:$F,ROW()),0)</f>
        <v>0.0</v>
      </c>
      <c r="EY387" s="165" t="str">
        <f>IF(EO387=1,SUMPRODUCT(MAX(($EN$4:$EN$503=EN387)*$EX$4:$EX$503)),"")</f>
        <v/>
      </c>
      <c r="FA387" t="str">
        <f>IF(384&lt;=$CD$23,INDEX($EJ$4:$EJ$203,384),IF(384-$CD$23&lt;=$CD$26,INDEX($EK$4:$EK$203,384-$CD$23),""))</f>
        <v/>
      </c>
      <c r="FB387" t="str">
        <f>IF(FA387="","",IF(384&lt;=$CD$23,"Interne","Externe"))</f>
        <v/>
      </c>
      <c r="FD387">
        <f>IF(AND(B387=1,TRIM(INDEX(Charge!$K:$K,ROW()))&lt;&gt;"",TRIM(INDEX(Charge!$L:$L,ROW()))&lt;&gt;""),1,0)</f>
        <v>0</v>
      </c>
      <c r="FE387">
        <f>IF(OR(EN387="",BZ387="(non affecté)"),0,IF(COUNTIFS($EN$4:EN387,EN387,$BZ$4:BZ387,BZ387)=1,1,0))</f>
        <v>0</v>
      </c>
    </row>
    <row r="388">
      <c r="A388">
        <f>ROW()</f>
        <v>388</v>
      </c>
      <c r="B388">
        <f>IF(TRIM(INDEX(Charge!$B:$B,ROW()))&lt;&gt;"",1,0)</f>
        <v>0</v>
      </c>
      <c r="C388">
        <f>IF(B388=1,MIN(1,MAX(0,N(INDEX(Charge!$O:$O,ROW())))),0)</f>
        <v>0</v>
      </c>
      <c r="D388">
        <f>IF(B388=1,IF(OR(p_Perimetre="Tous les projets",C388&lt;1),1,0),0)</f>
        <v>0</v>
      </c>
      <c r="E388">
        <f>IF(D388=1,MAX(0,N(INDEX(Charge!$M:$M,ROW()))),0)</f>
        <v>0</v>
      </c>
      <c r="F388" t="str">
        <f>IF(D388=1,IF(TRIM(INDEX(Charge!$A:$A,ROW()))="","(non renseigné)",TRIM(INDEX(Charge!$A:$A,ROW()))),"")</f>
        <v/>
      </c>
      <c r="G388" t="str">
        <f>IF(D388=1,TRIM(INDEX(Charge!$B:$B,ROW())),"")</f>
        <v/>
      </c>
      <c r="H388" t="str">
        <f>IF(D388=1,IF(TRIM(INDEX(Charge!$E:$E,ROW()))="","(non renseigné)",TRIM(INDEX(Charge!$E:$E,ROW()))),"")</f>
        <v/>
      </c>
      <c r="I388" s="165" t="str">
        <f>IF(AND(D388=1,ISNUMBER(INDEX(Charge!$N:$N,ROW()))),INDEX(Charge!$N:$N,ROW()),"")</f>
        <v/>
      </c>
      <c r="J388" s="165" t="str">
        <f>IF(I388="","",IF(AND(p_Repartition="Lissée jusqu'à la date de besoin",ISNUMBER(INDEX(Charge!$F:$F,ROW()))),IF(INDEX(Charge!$F:$F,ROW())&gt;=I388,INDEX(Charge!$F:$F,ROW()),I388),I388))</f>
        <v/>
      </c>
      <c r="K388" t="str">
        <f>IF(I388="","",NETWORKDAYS(I388,J388,Data!$K$4:$K$203))</f>
        <v/>
      </c>
      <c r="L388" t="str">
        <f>IF(D388=1,COUNTIFS($D$4:$D$503,1,$E$4:$E$503,"&gt;"&amp;E388)+COUNTIFS($D$4:$D388,1,$E$4:$E388,E388),"")</f>
        <v/>
      </c>
      <c r="M388">
        <f>IF(F388="",0,IF(COUNTIF($F$4:F388,F388)=1,1,0))</f>
        <v>0</v>
      </c>
      <c r="N388" t="str">
        <f>IF(M388=1,ROUND(SUMIF($F$4:$F$503,F388,$E$4:$E$503),2),"")</f>
        <v/>
      </c>
      <c r="O388" t="str">
        <f>IF(M388=1,COUNTIFS($M$4:$M$503,1,$N$4:$N$503,"&gt;"&amp;N388)+COUNTIFS($M$4:M388,1,$N$4:N388,N388),"")</f>
        <v/>
      </c>
      <c r="P388">
        <f>IF(G388="",0,IF(COUNTIF($G$4:G388,G388)=1,1,0))</f>
        <v>0</v>
      </c>
      <c r="Q388" t="str">
        <f>IF(P388=1,ROUND(SUMIF($G$4:$G$503,G388,$E$4:$E$503),2),"")</f>
        <v/>
      </c>
      <c r="R388" t="str">
        <f>IF(P388=1,COUNTIFS($P$4:$P$503,1,$Q$4:$Q$503,"&gt;"&amp;Q388)+COUNTIFS($P$4:P388,1,$Q$4:Q388,Q388),"")</f>
        <v/>
      </c>
      <c r="S388">
        <f>IF(H388="",0,IF(COUNTIF($H$4:H388,H388)=1,1,0))</f>
        <v>0</v>
      </c>
      <c r="T388" t="str">
        <f>IF(S388=1,ROUND(SUMIF($H$4:$H$503,H388,$E$4:$E$503),2),"")</f>
        <v/>
      </c>
      <c r="U388" t="str">
        <f>IF(S388=1,COUNTIFS($S$4:$S$503,1,$T$4:$T$503,"&gt;"&amp;T388)+COUNTIFS($S$4:S388,1,$T$4:T388,T388),"")</f>
        <v/>
      </c>
      <c r="V388" t="str">
        <f>IF(D388=1,MIN(INDEX($R$4:$R$503,MATCH(G388,$G$4:$G$503,0)),IF($AL$7&gt;9,9,999)),"")</f>
        <v/>
      </c>
      <c r="W388" s="166">
        <f>IF(OR($I388="",$E388=0),0,IF(OR($J388&lt;W$3,$I388&gt;W$2),0,IF($K388=0,IF(AND($I388&gt;=W$3,$I388&lt;=W$2),$E388,0),$E388*NETWORKDAYS(MAX($I388,W$3),MIN($J388,W$2),Data!$K$4:$K$203)/$K388)))</f>
        <v>0</v>
      </c>
      <c r="X388" s="166">
        <f>IF(OR($I388="",$E388=0),0,IF(OR($J388&lt;X$3,$I388&gt;X$2),0,IF($K388=0,IF(AND($I388&gt;=X$3,$I388&lt;=X$2),$E388,0),$E388*NETWORKDAYS(MAX($I388,X$3),MIN($J388,X$2),Data!$K$4:$K$203)/$K388)))</f>
        <v>0</v>
      </c>
      <c r="Y388" s="166">
        <f>IF(OR($I388="",$E388=0),0,IF(OR($J388&lt;Y$3,$I388&gt;Y$2),0,IF($K388=0,IF(AND($I388&gt;=Y$3,$I388&lt;=Y$2),$E388,0),$E388*NETWORKDAYS(MAX($I388,Y$3),MIN($J388,Y$2),Data!$K$4:$K$203)/$K388)))</f>
        <v>0</v>
      </c>
      <c r="Z388" s="166">
        <f>IF(OR($I388="",$E388=0),0,IF(OR($J388&lt;Z$3,$I388&gt;Z$2),0,IF($K388=0,IF(AND($I388&gt;=Z$3,$I388&lt;=Z$2),$E388,0),$E388*NETWORKDAYS(MAX($I388,Z$3),MIN($J388,Z$2),Data!$K$4:$K$203)/$K388)))</f>
        <v>0</v>
      </c>
      <c r="AA388" s="166">
        <f>IF(OR($I388="",$E388=0),0,IF(OR($J388&lt;AA$3,$I388&gt;AA$2),0,IF($K388=0,IF(AND($I388&gt;=AA$3,$I388&lt;=AA$2),$E388,0),$E388*NETWORKDAYS(MAX($I388,AA$3),MIN($J388,AA$2),Data!$K$4:$K$203)/$K388)))</f>
        <v>0</v>
      </c>
      <c r="AB388" s="166">
        <f>IF(OR($I388="",$E388=0),0,IF(OR($J388&lt;AB$3,$I388&gt;AB$2),0,IF($K388=0,IF(AND($I388&gt;=AB$3,$I388&lt;=AB$2),$E388,0),$E388*NETWORKDAYS(MAX($I388,AB$3),MIN($J388,AB$2),Data!$K$4:$K$203)/$K388)))</f>
        <v>0</v>
      </c>
      <c r="AC388" s="166">
        <f>IF(OR($I388="",$E388=0),0,IF(OR($J388&lt;AC$3,$I388&gt;AC$2),0,IF($K388=0,IF(AND($I388&gt;=AC$3,$I388&lt;=AC$2),$E388,0),$E388*NETWORKDAYS(MAX($I388,AC$3),MIN($J388,AC$2),Data!$K$4:$K$203)/$K388)))</f>
        <v>0</v>
      </c>
      <c r="AD388" s="166">
        <f>IF(OR($I388="",$E388=0),0,IF(OR($J388&lt;AD$3,$I388&gt;AD$2),0,IF($K388=0,IF(AND($I388&gt;=AD$3,$I388&lt;=AD$2),$E388,0),$E388*NETWORKDAYS(MAX($I388,AD$3),MIN($J388,AD$2),Data!$K$4:$K$203)/$K388)))</f>
        <v>0</v>
      </c>
      <c r="AE388" s="166">
        <f>IF(OR($I388="",$E388=0),0,IF(OR($J388&lt;AE$3,$I388&gt;AE$2),0,IF($K388=0,IF(AND($I388&gt;=AE$3,$I388&lt;=AE$2),$E388,0),$E388*NETWORKDAYS(MAX($I388,AE$3),MIN($J388,AE$2),Data!$K$4:$K$203)/$K388)))</f>
        <v>0</v>
      </c>
      <c r="AF388" s="166">
        <f>IF(OR($I388="",$E388=0),0,IF(OR($J388&lt;AF$3,$I388&gt;AF$2),0,IF($K388=0,IF(AND($I388&gt;=AF$3,$I388&lt;=AF$2),$E388,0),$E388*NETWORKDAYS(MAX($I388,AF$3),MIN($J388,AF$2),Data!$K$4:$K$203)/$K388)))</f>
        <v>0</v>
      </c>
      <c r="AG388" s="166">
        <f>IF(OR($I388="",$E388=0),0,IF(OR($J388&lt;AG$3,$I388&gt;AG$2),0,IF($K388=0,IF(AND($I388&gt;=AG$3,$I388&lt;=AG$2),$E388,0),$E388*NETWORKDAYS(MAX($I388,AG$3),MIN($J388,AG$2),Data!$K$4:$K$203)/$K388)))</f>
        <v>0</v>
      </c>
      <c r="AH388" s="166">
        <f>IF(OR($I388="",$E388=0),0,IF(OR($J388&lt;AH$3,$I388&gt;AH$2),0,IF($K388=0,IF(AND($I388&gt;=AH$3,$I388&lt;=AH$2),$E388,0),$E388*NETWORKDAYS(MAX($I388,AH$3),MIN($J388,AH$2),Data!$K$4:$K$203)/$K388)))</f>
        <v>0</v>
      </c>
      <c r="AI388" s="166">
        <f>SUM(W388:AH388)</f>
        <v>0</v>
      </c>
      <c r="BZ388" t="str">
        <f>IF(D388=1,IF(TRIM(INDEX(Charge!$K:$K,ROW()))&lt;&gt;"",TRIM(INDEX(Charge!$K:$K,ROW())),IF(TRIM(INDEX(Charge!$L:$L,ROW()))&lt;&gt;"",TRIM(INDEX(Charge!$L:$L,ROW())),"(non affecté)")),"")</f>
        <v/>
      </c>
      <c r="CA388" t="str">
        <f>IF(AND($CD$4&lt;&gt;"",BZ388=$CD$4),COUNTIFS($BZ$4:$BZ$503,$CD$4,$L$4:$L$503,"&lt;"&amp;L388)+1,"")</f>
        <v/>
      </c>
      <c r="EM388" t="str">
        <f>IF(D388=1,IF(TRIM(INDEX(Charge!$K:$K,ROW()))&lt;&gt;"","Interne",IF(TRIM(INDEX(Charge!$L:$L,ROW()))&lt;&gt;"","Externe","Non affecté")),"")</f>
        <v/>
      </c>
      <c r="EN388" t="str">
        <f>IF(D388=1,LEFT(SUBSTITUTE(SUBSTITUTE(SUBSTITUTE(TRIM(SUBSTITUTE(INDEX(Charge!$B:$B,ROW()),CHAR(160)," "))&amp;" | "&amp;TRIM(SUBSTITUTE(INDEX(Charge!$C:$C,ROW()),CHAR(160)," "))&amp;" | "&amp;TRIM(SUBSTITUTE(INDEX(Charge!$D:$D,ROW()),CHAR(160)," ")),"~","-"),"*","+"),"?","!"),240),"")</f>
        <v/>
      </c>
      <c r="EO388">
        <f>IF(EN388="",0,IF(COUNTIF($EN$4:EN388,EN388)=1,1,0))</f>
        <v>0</v>
      </c>
      <c r="EP388" s="166" t="str">
        <f>IF(EO388=1,ROUND(SUMIF($EN$4:$EN$503,EN388,$E$4:$E$503),2),"")</f>
        <v/>
      </c>
      <c r="EQ388" t="str">
        <f>IF(EO388=1,COUNTIFS($EO$4:$EO$503,1,$EP$4:$EP$503,"&gt;"&amp;EP388)+COUNTIFS($EO$4:EO388,1,$EP$4:EP388,EP388),"")</f>
        <v/>
      </c>
      <c r="ER388" t="str">
        <f>IF(EO388=1,COUNTIFS($EN$4:$EN$503,EN388,$EM$4:$EM$503,"Interne",$FE$4:$FE$503,1),"")</f>
        <v/>
      </c>
      <c r="ES388" t="str">
        <f>IF(EO388=1,COUNTIFS($EN$4:$EN$503,EN388,$EM$4:$EM$503,"Externe",$FE$4:$FE$503,1),"")</f>
        <v/>
      </c>
      <c r="ET388" t="str">
        <f>IF(EO388=1,IF(ER388+ES388=0,"à affecter",IF(ER388=0,ES388&amp;" ext.",(ER388+ES388)&amp;IF(ES388&gt;0," dont "&amp;ES388&amp;" ext.",""))&amp;IF(COUNTIFS($EN$4:$EN$503,EN388,$EM$4:$EM$503,"Non affecté")&gt;0," + à affecter","")),"")</f>
        <v/>
      </c>
      <c r="EU388" s="170" t="str">
        <f>IF(EO388=1,IF(EP388&gt;0,SUMPRODUCT(($EN$4:$EN$503=EN388)*$E$4:$E$503*$C$4:$C$503)/EP388,AVERAGEIF($EN$4:$EN$503,EN388,$C$4:$C$503)),"")</f>
        <v/>
      </c>
      <c r="EV388" s="165">
        <f>IF(ISNUMBER(I388),I388,2958465)</f>
        <v>2958465.0</v>
      </c>
      <c r="EW388" s="165" t="str">
        <f>IF(EO388=1,SUMPRODUCT(MIN(($EN$4:$EN$503=EN388)*$EV$4:$EV$503+($EN$4:$EN$503&lt;&gt;EN388)*2958465)),"")</f>
        <v/>
      </c>
      <c r="EX388" s="165">
        <f>IF(AND(D388=1,ISNUMBER(INDEX(Charge!$F:$F,ROW()))),INDEX(Charge!$F:$F,ROW()),0)</f>
        <v>0.0</v>
      </c>
      <c r="EY388" s="165" t="str">
        <f>IF(EO388=1,SUMPRODUCT(MAX(($EN$4:$EN$503=EN388)*$EX$4:$EX$503)),"")</f>
        <v/>
      </c>
      <c r="FA388" t="str">
        <f>IF(385&lt;=$CD$23,INDEX($EJ$4:$EJ$203,385),IF(385-$CD$23&lt;=$CD$26,INDEX($EK$4:$EK$203,385-$CD$23),""))</f>
        <v/>
      </c>
      <c r="FB388" t="str">
        <f>IF(FA388="","",IF(385&lt;=$CD$23,"Interne","Externe"))</f>
        <v/>
      </c>
      <c r="FD388">
        <f>IF(AND(B388=1,TRIM(INDEX(Charge!$K:$K,ROW()))&lt;&gt;"",TRIM(INDEX(Charge!$L:$L,ROW()))&lt;&gt;""),1,0)</f>
        <v>0</v>
      </c>
      <c r="FE388">
        <f>IF(OR(EN388="",BZ388="(non affecté)"),0,IF(COUNTIFS($EN$4:EN388,EN388,$BZ$4:BZ388,BZ388)=1,1,0))</f>
        <v>0</v>
      </c>
    </row>
    <row r="389">
      <c r="A389">
        <f>ROW()</f>
        <v>389</v>
      </c>
      <c r="B389">
        <f>IF(TRIM(INDEX(Charge!$B:$B,ROW()))&lt;&gt;"",1,0)</f>
        <v>0</v>
      </c>
      <c r="C389">
        <f>IF(B389=1,MIN(1,MAX(0,N(INDEX(Charge!$O:$O,ROW())))),0)</f>
        <v>0</v>
      </c>
      <c r="D389">
        <f>IF(B389=1,IF(OR(p_Perimetre="Tous les projets",C389&lt;1),1,0),0)</f>
        <v>0</v>
      </c>
      <c r="E389">
        <f>IF(D389=1,MAX(0,N(INDEX(Charge!$M:$M,ROW()))),0)</f>
        <v>0</v>
      </c>
      <c r="F389" t="str">
        <f>IF(D389=1,IF(TRIM(INDEX(Charge!$A:$A,ROW()))="","(non renseigné)",TRIM(INDEX(Charge!$A:$A,ROW()))),"")</f>
        <v/>
      </c>
      <c r="G389" t="str">
        <f>IF(D389=1,TRIM(INDEX(Charge!$B:$B,ROW())),"")</f>
        <v/>
      </c>
      <c r="H389" t="str">
        <f>IF(D389=1,IF(TRIM(INDEX(Charge!$E:$E,ROW()))="","(non renseigné)",TRIM(INDEX(Charge!$E:$E,ROW()))),"")</f>
        <v/>
      </c>
      <c r="I389" s="165" t="str">
        <f>IF(AND(D389=1,ISNUMBER(INDEX(Charge!$N:$N,ROW()))),INDEX(Charge!$N:$N,ROW()),"")</f>
        <v/>
      </c>
      <c r="J389" s="165" t="str">
        <f>IF(I389="","",IF(AND(p_Repartition="Lissée jusqu'à la date de besoin",ISNUMBER(INDEX(Charge!$F:$F,ROW()))),IF(INDEX(Charge!$F:$F,ROW())&gt;=I389,INDEX(Charge!$F:$F,ROW()),I389),I389))</f>
        <v/>
      </c>
      <c r="K389" t="str">
        <f>IF(I389="","",NETWORKDAYS(I389,J389,Data!$K$4:$K$203))</f>
        <v/>
      </c>
      <c r="L389" t="str">
        <f>IF(D389=1,COUNTIFS($D$4:$D$503,1,$E$4:$E$503,"&gt;"&amp;E389)+COUNTIFS($D$4:$D389,1,$E$4:$E389,E389),"")</f>
        <v/>
      </c>
      <c r="M389">
        <f>IF(F389="",0,IF(COUNTIF($F$4:F389,F389)=1,1,0))</f>
        <v>0</v>
      </c>
      <c r="N389" t="str">
        <f>IF(M389=1,ROUND(SUMIF($F$4:$F$503,F389,$E$4:$E$503),2),"")</f>
        <v/>
      </c>
      <c r="O389" t="str">
        <f>IF(M389=1,COUNTIFS($M$4:$M$503,1,$N$4:$N$503,"&gt;"&amp;N389)+COUNTIFS($M$4:M389,1,$N$4:N389,N389),"")</f>
        <v/>
      </c>
      <c r="P389">
        <f>IF(G389="",0,IF(COUNTIF($G$4:G389,G389)=1,1,0))</f>
        <v>0</v>
      </c>
      <c r="Q389" t="str">
        <f>IF(P389=1,ROUND(SUMIF($G$4:$G$503,G389,$E$4:$E$503),2),"")</f>
        <v/>
      </c>
      <c r="R389" t="str">
        <f>IF(P389=1,COUNTIFS($P$4:$P$503,1,$Q$4:$Q$503,"&gt;"&amp;Q389)+COUNTIFS($P$4:P389,1,$Q$4:Q389,Q389),"")</f>
        <v/>
      </c>
      <c r="S389">
        <f>IF(H389="",0,IF(COUNTIF($H$4:H389,H389)=1,1,0))</f>
        <v>0</v>
      </c>
      <c r="T389" t="str">
        <f>IF(S389=1,ROUND(SUMIF($H$4:$H$503,H389,$E$4:$E$503),2),"")</f>
        <v/>
      </c>
      <c r="U389" t="str">
        <f>IF(S389=1,COUNTIFS($S$4:$S$503,1,$T$4:$T$503,"&gt;"&amp;T389)+COUNTIFS($S$4:S389,1,$T$4:T389,T389),"")</f>
        <v/>
      </c>
      <c r="V389" t="str">
        <f>IF(D389=1,MIN(INDEX($R$4:$R$503,MATCH(G389,$G$4:$G$503,0)),IF($AL$7&gt;9,9,999)),"")</f>
        <v/>
      </c>
      <c r="W389" s="166">
        <f>IF(OR($I389="",$E389=0),0,IF(OR($J389&lt;W$3,$I389&gt;W$2),0,IF($K389=0,IF(AND($I389&gt;=W$3,$I389&lt;=W$2),$E389,0),$E389*NETWORKDAYS(MAX($I389,W$3),MIN($J389,W$2),Data!$K$4:$K$203)/$K389)))</f>
        <v>0</v>
      </c>
      <c r="X389" s="166">
        <f>IF(OR($I389="",$E389=0),0,IF(OR($J389&lt;X$3,$I389&gt;X$2),0,IF($K389=0,IF(AND($I389&gt;=X$3,$I389&lt;=X$2),$E389,0),$E389*NETWORKDAYS(MAX($I389,X$3),MIN($J389,X$2),Data!$K$4:$K$203)/$K389)))</f>
        <v>0</v>
      </c>
      <c r="Y389" s="166">
        <f>IF(OR($I389="",$E389=0),0,IF(OR($J389&lt;Y$3,$I389&gt;Y$2),0,IF($K389=0,IF(AND($I389&gt;=Y$3,$I389&lt;=Y$2),$E389,0),$E389*NETWORKDAYS(MAX($I389,Y$3),MIN($J389,Y$2),Data!$K$4:$K$203)/$K389)))</f>
        <v>0</v>
      </c>
      <c r="Z389" s="166">
        <f>IF(OR($I389="",$E389=0),0,IF(OR($J389&lt;Z$3,$I389&gt;Z$2),0,IF($K389=0,IF(AND($I389&gt;=Z$3,$I389&lt;=Z$2),$E389,0),$E389*NETWORKDAYS(MAX($I389,Z$3),MIN($J389,Z$2),Data!$K$4:$K$203)/$K389)))</f>
        <v>0</v>
      </c>
      <c r="AA389" s="166">
        <f>IF(OR($I389="",$E389=0),0,IF(OR($J389&lt;AA$3,$I389&gt;AA$2),0,IF($K389=0,IF(AND($I389&gt;=AA$3,$I389&lt;=AA$2),$E389,0),$E389*NETWORKDAYS(MAX($I389,AA$3),MIN($J389,AA$2),Data!$K$4:$K$203)/$K389)))</f>
        <v>0</v>
      </c>
      <c r="AB389" s="166">
        <f>IF(OR($I389="",$E389=0),0,IF(OR($J389&lt;AB$3,$I389&gt;AB$2),0,IF($K389=0,IF(AND($I389&gt;=AB$3,$I389&lt;=AB$2),$E389,0),$E389*NETWORKDAYS(MAX($I389,AB$3),MIN($J389,AB$2),Data!$K$4:$K$203)/$K389)))</f>
        <v>0</v>
      </c>
      <c r="AC389" s="166">
        <f>IF(OR($I389="",$E389=0),0,IF(OR($J389&lt;AC$3,$I389&gt;AC$2),0,IF($K389=0,IF(AND($I389&gt;=AC$3,$I389&lt;=AC$2),$E389,0),$E389*NETWORKDAYS(MAX($I389,AC$3),MIN($J389,AC$2),Data!$K$4:$K$203)/$K389)))</f>
        <v>0</v>
      </c>
      <c r="AD389" s="166">
        <f>IF(OR($I389="",$E389=0),0,IF(OR($J389&lt;AD$3,$I389&gt;AD$2),0,IF($K389=0,IF(AND($I389&gt;=AD$3,$I389&lt;=AD$2),$E389,0),$E389*NETWORKDAYS(MAX($I389,AD$3),MIN($J389,AD$2),Data!$K$4:$K$203)/$K389)))</f>
        <v>0</v>
      </c>
      <c r="AE389" s="166">
        <f>IF(OR($I389="",$E389=0),0,IF(OR($J389&lt;AE$3,$I389&gt;AE$2),0,IF($K389=0,IF(AND($I389&gt;=AE$3,$I389&lt;=AE$2),$E389,0),$E389*NETWORKDAYS(MAX($I389,AE$3),MIN($J389,AE$2),Data!$K$4:$K$203)/$K389)))</f>
        <v>0</v>
      </c>
      <c r="AF389" s="166">
        <f>IF(OR($I389="",$E389=0),0,IF(OR($J389&lt;AF$3,$I389&gt;AF$2),0,IF($K389=0,IF(AND($I389&gt;=AF$3,$I389&lt;=AF$2),$E389,0),$E389*NETWORKDAYS(MAX($I389,AF$3),MIN($J389,AF$2),Data!$K$4:$K$203)/$K389)))</f>
        <v>0</v>
      </c>
      <c r="AG389" s="166">
        <f>IF(OR($I389="",$E389=0),0,IF(OR($J389&lt;AG$3,$I389&gt;AG$2),0,IF($K389=0,IF(AND($I389&gt;=AG$3,$I389&lt;=AG$2),$E389,0),$E389*NETWORKDAYS(MAX($I389,AG$3),MIN($J389,AG$2),Data!$K$4:$K$203)/$K389)))</f>
        <v>0</v>
      </c>
      <c r="AH389" s="166">
        <f>IF(OR($I389="",$E389=0),0,IF(OR($J389&lt;AH$3,$I389&gt;AH$2),0,IF($K389=0,IF(AND($I389&gt;=AH$3,$I389&lt;=AH$2),$E389,0),$E389*NETWORKDAYS(MAX($I389,AH$3),MIN($J389,AH$2),Data!$K$4:$K$203)/$K389)))</f>
        <v>0</v>
      </c>
      <c r="AI389" s="166">
        <f>SUM(W389:AH389)</f>
        <v>0</v>
      </c>
      <c r="BZ389" t="str">
        <f>IF(D389=1,IF(TRIM(INDEX(Charge!$K:$K,ROW()))&lt;&gt;"",TRIM(INDEX(Charge!$K:$K,ROW())),IF(TRIM(INDEX(Charge!$L:$L,ROW()))&lt;&gt;"",TRIM(INDEX(Charge!$L:$L,ROW())),"(non affecté)")),"")</f>
        <v/>
      </c>
      <c r="CA389" t="str">
        <f>IF(AND($CD$4&lt;&gt;"",BZ389=$CD$4),COUNTIFS($BZ$4:$BZ$503,$CD$4,$L$4:$L$503,"&lt;"&amp;L389)+1,"")</f>
        <v/>
      </c>
      <c r="EM389" t="str">
        <f>IF(D389=1,IF(TRIM(INDEX(Charge!$K:$K,ROW()))&lt;&gt;"","Interne",IF(TRIM(INDEX(Charge!$L:$L,ROW()))&lt;&gt;"","Externe","Non affecté")),"")</f>
        <v/>
      </c>
      <c r="EN389" t="str">
        <f>IF(D389=1,LEFT(SUBSTITUTE(SUBSTITUTE(SUBSTITUTE(TRIM(SUBSTITUTE(INDEX(Charge!$B:$B,ROW()),CHAR(160)," "))&amp;" | "&amp;TRIM(SUBSTITUTE(INDEX(Charge!$C:$C,ROW()),CHAR(160)," "))&amp;" | "&amp;TRIM(SUBSTITUTE(INDEX(Charge!$D:$D,ROW()),CHAR(160)," ")),"~","-"),"*","+"),"?","!"),240),"")</f>
        <v/>
      </c>
      <c r="EO389">
        <f>IF(EN389="",0,IF(COUNTIF($EN$4:EN389,EN389)=1,1,0))</f>
        <v>0</v>
      </c>
      <c r="EP389" s="166" t="str">
        <f>IF(EO389=1,ROUND(SUMIF($EN$4:$EN$503,EN389,$E$4:$E$503),2),"")</f>
        <v/>
      </c>
      <c r="EQ389" t="str">
        <f>IF(EO389=1,COUNTIFS($EO$4:$EO$503,1,$EP$4:$EP$503,"&gt;"&amp;EP389)+COUNTIFS($EO$4:EO389,1,$EP$4:EP389,EP389),"")</f>
        <v/>
      </c>
      <c r="ER389" t="str">
        <f>IF(EO389=1,COUNTIFS($EN$4:$EN$503,EN389,$EM$4:$EM$503,"Interne",$FE$4:$FE$503,1),"")</f>
        <v/>
      </c>
      <c r="ES389" t="str">
        <f>IF(EO389=1,COUNTIFS($EN$4:$EN$503,EN389,$EM$4:$EM$503,"Externe",$FE$4:$FE$503,1),"")</f>
        <v/>
      </c>
      <c r="ET389" t="str">
        <f>IF(EO389=1,IF(ER389+ES389=0,"à affecter",IF(ER389=0,ES389&amp;" ext.",(ER389+ES389)&amp;IF(ES389&gt;0," dont "&amp;ES389&amp;" ext.",""))&amp;IF(COUNTIFS($EN$4:$EN$503,EN389,$EM$4:$EM$503,"Non affecté")&gt;0," + à affecter","")),"")</f>
        <v/>
      </c>
      <c r="EU389" s="170" t="str">
        <f>IF(EO389=1,IF(EP389&gt;0,SUMPRODUCT(($EN$4:$EN$503=EN389)*$E$4:$E$503*$C$4:$C$503)/EP389,AVERAGEIF($EN$4:$EN$503,EN389,$C$4:$C$503)),"")</f>
        <v/>
      </c>
      <c r="EV389" s="165">
        <f>IF(ISNUMBER(I389),I389,2958465)</f>
        <v>2958465.0</v>
      </c>
      <c r="EW389" s="165" t="str">
        <f>IF(EO389=1,SUMPRODUCT(MIN(($EN$4:$EN$503=EN389)*$EV$4:$EV$503+($EN$4:$EN$503&lt;&gt;EN389)*2958465)),"")</f>
        <v/>
      </c>
      <c r="EX389" s="165">
        <f>IF(AND(D389=1,ISNUMBER(INDEX(Charge!$F:$F,ROW()))),INDEX(Charge!$F:$F,ROW()),0)</f>
        <v>0.0</v>
      </c>
      <c r="EY389" s="165" t="str">
        <f>IF(EO389=1,SUMPRODUCT(MAX(($EN$4:$EN$503=EN389)*$EX$4:$EX$503)),"")</f>
        <v/>
      </c>
      <c r="FA389" t="str">
        <f>IF(386&lt;=$CD$23,INDEX($EJ$4:$EJ$203,386),IF(386-$CD$23&lt;=$CD$26,INDEX($EK$4:$EK$203,386-$CD$23),""))</f>
        <v/>
      </c>
      <c r="FB389" t="str">
        <f>IF(FA389="","",IF(386&lt;=$CD$23,"Interne","Externe"))</f>
        <v/>
      </c>
      <c r="FD389">
        <f>IF(AND(B389=1,TRIM(INDEX(Charge!$K:$K,ROW()))&lt;&gt;"",TRIM(INDEX(Charge!$L:$L,ROW()))&lt;&gt;""),1,0)</f>
        <v>0</v>
      </c>
      <c r="FE389">
        <f>IF(OR(EN389="",BZ389="(non affecté)"),0,IF(COUNTIFS($EN$4:EN389,EN389,$BZ$4:BZ389,BZ389)=1,1,0))</f>
        <v>0</v>
      </c>
    </row>
    <row r="390">
      <c r="A390">
        <f>ROW()</f>
        <v>390</v>
      </c>
      <c r="B390">
        <f>IF(TRIM(INDEX(Charge!$B:$B,ROW()))&lt;&gt;"",1,0)</f>
        <v>0</v>
      </c>
      <c r="C390">
        <f>IF(B390=1,MIN(1,MAX(0,N(INDEX(Charge!$O:$O,ROW())))),0)</f>
        <v>0</v>
      </c>
      <c r="D390">
        <f>IF(B390=1,IF(OR(p_Perimetre="Tous les projets",C390&lt;1),1,0),0)</f>
        <v>0</v>
      </c>
      <c r="E390">
        <f>IF(D390=1,MAX(0,N(INDEX(Charge!$M:$M,ROW()))),0)</f>
        <v>0</v>
      </c>
      <c r="F390" t="str">
        <f>IF(D390=1,IF(TRIM(INDEX(Charge!$A:$A,ROW()))="","(non renseigné)",TRIM(INDEX(Charge!$A:$A,ROW()))),"")</f>
        <v/>
      </c>
      <c r="G390" t="str">
        <f>IF(D390=1,TRIM(INDEX(Charge!$B:$B,ROW())),"")</f>
        <v/>
      </c>
      <c r="H390" t="str">
        <f>IF(D390=1,IF(TRIM(INDEX(Charge!$E:$E,ROW()))="","(non renseigné)",TRIM(INDEX(Charge!$E:$E,ROW()))),"")</f>
        <v/>
      </c>
      <c r="I390" s="165" t="str">
        <f>IF(AND(D390=1,ISNUMBER(INDEX(Charge!$N:$N,ROW()))),INDEX(Charge!$N:$N,ROW()),"")</f>
        <v/>
      </c>
      <c r="J390" s="165" t="str">
        <f>IF(I390="","",IF(AND(p_Repartition="Lissée jusqu'à la date de besoin",ISNUMBER(INDEX(Charge!$F:$F,ROW()))),IF(INDEX(Charge!$F:$F,ROW())&gt;=I390,INDEX(Charge!$F:$F,ROW()),I390),I390))</f>
        <v/>
      </c>
      <c r="K390" t="str">
        <f>IF(I390="","",NETWORKDAYS(I390,J390,Data!$K$4:$K$203))</f>
        <v/>
      </c>
      <c r="L390" t="str">
        <f>IF(D390=1,COUNTIFS($D$4:$D$503,1,$E$4:$E$503,"&gt;"&amp;E390)+COUNTIFS($D$4:$D390,1,$E$4:$E390,E390),"")</f>
        <v/>
      </c>
      <c r="M390">
        <f>IF(F390="",0,IF(COUNTIF($F$4:F390,F390)=1,1,0))</f>
        <v>0</v>
      </c>
      <c r="N390" t="str">
        <f>IF(M390=1,ROUND(SUMIF($F$4:$F$503,F390,$E$4:$E$503),2),"")</f>
        <v/>
      </c>
      <c r="O390" t="str">
        <f>IF(M390=1,COUNTIFS($M$4:$M$503,1,$N$4:$N$503,"&gt;"&amp;N390)+COUNTIFS($M$4:M390,1,$N$4:N390,N390),"")</f>
        <v/>
      </c>
      <c r="P390">
        <f>IF(G390="",0,IF(COUNTIF($G$4:G390,G390)=1,1,0))</f>
        <v>0</v>
      </c>
      <c r="Q390" t="str">
        <f>IF(P390=1,ROUND(SUMIF($G$4:$G$503,G390,$E$4:$E$503),2),"")</f>
        <v/>
      </c>
      <c r="R390" t="str">
        <f>IF(P390=1,COUNTIFS($P$4:$P$503,1,$Q$4:$Q$503,"&gt;"&amp;Q390)+COUNTIFS($P$4:P390,1,$Q$4:Q390,Q390),"")</f>
        <v/>
      </c>
      <c r="S390">
        <f>IF(H390="",0,IF(COUNTIF($H$4:H390,H390)=1,1,0))</f>
        <v>0</v>
      </c>
      <c r="T390" t="str">
        <f>IF(S390=1,ROUND(SUMIF($H$4:$H$503,H390,$E$4:$E$503),2),"")</f>
        <v/>
      </c>
      <c r="U390" t="str">
        <f>IF(S390=1,COUNTIFS($S$4:$S$503,1,$T$4:$T$503,"&gt;"&amp;T390)+COUNTIFS($S$4:S390,1,$T$4:T390,T390),"")</f>
        <v/>
      </c>
      <c r="V390" t="str">
        <f>IF(D390=1,MIN(INDEX($R$4:$R$503,MATCH(G390,$G$4:$G$503,0)),IF($AL$7&gt;9,9,999)),"")</f>
        <v/>
      </c>
      <c r="W390" s="166">
        <f>IF(OR($I390="",$E390=0),0,IF(OR($J390&lt;W$3,$I390&gt;W$2),0,IF($K390=0,IF(AND($I390&gt;=W$3,$I390&lt;=W$2),$E390,0),$E390*NETWORKDAYS(MAX($I390,W$3),MIN($J390,W$2),Data!$K$4:$K$203)/$K390)))</f>
        <v>0</v>
      </c>
      <c r="X390" s="166">
        <f>IF(OR($I390="",$E390=0),0,IF(OR($J390&lt;X$3,$I390&gt;X$2),0,IF($K390=0,IF(AND($I390&gt;=X$3,$I390&lt;=X$2),$E390,0),$E390*NETWORKDAYS(MAX($I390,X$3),MIN($J390,X$2),Data!$K$4:$K$203)/$K390)))</f>
        <v>0</v>
      </c>
      <c r="Y390" s="166">
        <f>IF(OR($I390="",$E390=0),0,IF(OR($J390&lt;Y$3,$I390&gt;Y$2),0,IF($K390=0,IF(AND($I390&gt;=Y$3,$I390&lt;=Y$2),$E390,0),$E390*NETWORKDAYS(MAX($I390,Y$3),MIN($J390,Y$2),Data!$K$4:$K$203)/$K390)))</f>
        <v>0</v>
      </c>
      <c r="Z390" s="166">
        <f>IF(OR($I390="",$E390=0),0,IF(OR($J390&lt;Z$3,$I390&gt;Z$2),0,IF($K390=0,IF(AND($I390&gt;=Z$3,$I390&lt;=Z$2),$E390,0),$E390*NETWORKDAYS(MAX($I390,Z$3),MIN($J390,Z$2),Data!$K$4:$K$203)/$K390)))</f>
        <v>0</v>
      </c>
      <c r="AA390" s="166">
        <f>IF(OR($I390="",$E390=0),0,IF(OR($J390&lt;AA$3,$I390&gt;AA$2),0,IF($K390=0,IF(AND($I390&gt;=AA$3,$I390&lt;=AA$2),$E390,0),$E390*NETWORKDAYS(MAX($I390,AA$3),MIN($J390,AA$2),Data!$K$4:$K$203)/$K390)))</f>
        <v>0</v>
      </c>
      <c r="AB390" s="166">
        <f>IF(OR($I390="",$E390=0),0,IF(OR($J390&lt;AB$3,$I390&gt;AB$2),0,IF($K390=0,IF(AND($I390&gt;=AB$3,$I390&lt;=AB$2),$E390,0),$E390*NETWORKDAYS(MAX($I390,AB$3),MIN($J390,AB$2),Data!$K$4:$K$203)/$K390)))</f>
        <v>0</v>
      </c>
      <c r="AC390" s="166">
        <f>IF(OR($I390="",$E390=0),0,IF(OR($J390&lt;AC$3,$I390&gt;AC$2),0,IF($K390=0,IF(AND($I390&gt;=AC$3,$I390&lt;=AC$2),$E390,0),$E390*NETWORKDAYS(MAX($I390,AC$3),MIN($J390,AC$2),Data!$K$4:$K$203)/$K390)))</f>
        <v>0</v>
      </c>
      <c r="AD390" s="166">
        <f>IF(OR($I390="",$E390=0),0,IF(OR($J390&lt;AD$3,$I390&gt;AD$2),0,IF($K390=0,IF(AND($I390&gt;=AD$3,$I390&lt;=AD$2),$E390,0),$E390*NETWORKDAYS(MAX($I390,AD$3),MIN($J390,AD$2),Data!$K$4:$K$203)/$K390)))</f>
        <v>0</v>
      </c>
      <c r="AE390" s="166">
        <f>IF(OR($I390="",$E390=0),0,IF(OR($J390&lt;AE$3,$I390&gt;AE$2),0,IF($K390=0,IF(AND($I390&gt;=AE$3,$I390&lt;=AE$2),$E390,0),$E390*NETWORKDAYS(MAX($I390,AE$3),MIN($J390,AE$2),Data!$K$4:$K$203)/$K390)))</f>
        <v>0</v>
      </c>
      <c r="AF390" s="166">
        <f>IF(OR($I390="",$E390=0),0,IF(OR($J390&lt;AF$3,$I390&gt;AF$2),0,IF($K390=0,IF(AND($I390&gt;=AF$3,$I390&lt;=AF$2),$E390,0),$E390*NETWORKDAYS(MAX($I390,AF$3),MIN($J390,AF$2),Data!$K$4:$K$203)/$K390)))</f>
        <v>0</v>
      </c>
      <c r="AG390" s="166">
        <f>IF(OR($I390="",$E390=0),0,IF(OR($J390&lt;AG$3,$I390&gt;AG$2),0,IF($K390=0,IF(AND($I390&gt;=AG$3,$I390&lt;=AG$2),$E390,0),$E390*NETWORKDAYS(MAX($I390,AG$3),MIN($J390,AG$2),Data!$K$4:$K$203)/$K390)))</f>
        <v>0</v>
      </c>
      <c r="AH390" s="166">
        <f>IF(OR($I390="",$E390=0),0,IF(OR($J390&lt;AH$3,$I390&gt;AH$2),0,IF($K390=0,IF(AND($I390&gt;=AH$3,$I390&lt;=AH$2),$E390,0),$E390*NETWORKDAYS(MAX($I390,AH$3),MIN($J390,AH$2),Data!$K$4:$K$203)/$K390)))</f>
        <v>0</v>
      </c>
      <c r="AI390" s="166">
        <f>SUM(W390:AH390)</f>
        <v>0</v>
      </c>
      <c r="BZ390" t="str">
        <f>IF(D390=1,IF(TRIM(INDEX(Charge!$K:$K,ROW()))&lt;&gt;"",TRIM(INDEX(Charge!$K:$K,ROW())),IF(TRIM(INDEX(Charge!$L:$L,ROW()))&lt;&gt;"",TRIM(INDEX(Charge!$L:$L,ROW())),"(non affecté)")),"")</f>
        <v/>
      </c>
      <c r="CA390" t="str">
        <f>IF(AND($CD$4&lt;&gt;"",BZ390=$CD$4),COUNTIFS($BZ$4:$BZ$503,$CD$4,$L$4:$L$503,"&lt;"&amp;L390)+1,"")</f>
        <v/>
      </c>
      <c r="EM390" t="str">
        <f>IF(D390=1,IF(TRIM(INDEX(Charge!$K:$K,ROW()))&lt;&gt;"","Interne",IF(TRIM(INDEX(Charge!$L:$L,ROW()))&lt;&gt;"","Externe","Non affecté")),"")</f>
        <v/>
      </c>
      <c r="EN390" t="str">
        <f>IF(D390=1,LEFT(SUBSTITUTE(SUBSTITUTE(SUBSTITUTE(TRIM(SUBSTITUTE(INDEX(Charge!$B:$B,ROW()),CHAR(160)," "))&amp;" | "&amp;TRIM(SUBSTITUTE(INDEX(Charge!$C:$C,ROW()),CHAR(160)," "))&amp;" | "&amp;TRIM(SUBSTITUTE(INDEX(Charge!$D:$D,ROW()),CHAR(160)," ")),"~","-"),"*","+"),"?","!"),240),"")</f>
        <v/>
      </c>
      <c r="EO390">
        <f>IF(EN390="",0,IF(COUNTIF($EN$4:EN390,EN390)=1,1,0))</f>
        <v>0</v>
      </c>
      <c r="EP390" s="166" t="str">
        <f>IF(EO390=1,ROUND(SUMIF($EN$4:$EN$503,EN390,$E$4:$E$503),2),"")</f>
        <v/>
      </c>
      <c r="EQ390" t="str">
        <f>IF(EO390=1,COUNTIFS($EO$4:$EO$503,1,$EP$4:$EP$503,"&gt;"&amp;EP390)+COUNTIFS($EO$4:EO390,1,$EP$4:EP390,EP390),"")</f>
        <v/>
      </c>
      <c r="ER390" t="str">
        <f>IF(EO390=1,COUNTIFS($EN$4:$EN$503,EN390,$EM$4:$EM$503,"Interne",$FE$4:$FE$503,1),"")</f>
        <v/>
      </c>
      <c r="ES390" t="str">
        <f>IF(EO390=1,COUNTIFS($EN$4:$EN$503,EN390,$EM$4:$EM$503,"Externe",$FE$4:$FE$503,1),"")</f>
        <v/>
      </c>
      <c r="ET390" t="str">
        <f>IF(EO390=1,IF(ER390+ES390=0,"à affecter",IF(ER390=0,ES390&amp;" ext.",(ER390+ES390)&amp;IF(ES390&gt;0," dont "&amp;ES390&amp;" ext.",""))&amp;IF(COUNTIFS($EN$4:$EN$503,EN390,$EM$4:$EM$503,"Non affecté")&gt;0," + à affecter","")),"")</f>
        <v/>
      </c>
      <c r="EU390" s="170" t="str">
        <f>IF(EO390=1,IF(EP390&gt;0,SUMPRODUCT(($EN$4:$EN$503=EN390)*$E$4:$E$503*$C$4:$C$503)/EP390,AVERAGEIF($EN$4:$EN$503,EN390,$C$4:$C$503)),"")</f>
        <v/>
      </c>
      <c r="EV390" s="165">
        <f>IF(ISNUMBER(I390),I390,2958465)</f>
        <v>2958465.0</v>
      </c>
      <c r="EW390" s="165" t="str">
        <f>IF(EO390=1,SUMPRODUCT(MIN(($EN$4:$EN$503=EN390)*$EV$4:$EV$503+($EN$4:$EN$503&lt;&gt;EN390)*2958465)),"")</f>
        <v/>
      </c>
      <c r="EX390" s="165">
        <f>IF(AND(D390=1,ISNUMBER(INDEX(Charge!$F:$F,ROW()))),INDEX(Charge!$F:$F,ROW()),0)</f>
        <v>0.0</v>
      </c>
      <c r="EY390" s="165" t="str">
        <f>IF(EO390=1,SUMPRODUCT(MAX(($EN$4:$EN$503=EN390)*$EX$4:$EX$503)),"")</f>
        <v/>
      </c>
      <c r="FA390" t="str">
        <f>IF(387&lt;=$CD$23,INDEX($EJ$4:$EJ$203,387),IF(387-$CD$23&lt;=$CD$26,INDEX($EK$4:$EK$203,387-$CD$23),""))</f>
        <v/>
      </c>
      <c r="FB390" t="str">
        <f>IF(FA390="","",IF(387&lt;=$CD$23,"Interne","Externe"))</f>
        <v/>
      </c>
      <c r="FD390">
        <f>IF(AND(B390=1,TRIM(INDEX(Charge!$K:$K,ROW()))&lt;&gt;"",TRIM(INDEX(Charge!$L:$L,ROW()))&lt;&gt;""),1,0)</f>
        <v>0</v>
      </c>
      <c r="FE390">
        <f>IF(OR(EN390="",BZ390="(non affecté)"),0,IF(COUNTIFS($EN$4:EN390,EN390,$BZ$4:BZ390,BZ390)=1,1,0))</f>
        <v>0</v>
      </c>
    </row>
    <row r="391">
      <c r="A391">
        <f>ROW()</f>
        <v>391</v>
      </c>
      <c r="B391">
        <f>IF(TRIM(INDEX(Charge!$B:$B,ROW()))&lt;&gt;"",1,0)</f>
        <v>0</v>
      </c>
      <c r="C391">
        <f>IF(B391=1,MIN(1,MAX(0,N(INDEX(Charge!$O:$O,ROW())))),0)</f>
        <v>0</v>
      </c>
      <c r="D391">
        <f>IF(B391=1,IF(OR(p_Perimetre="Tous les projets",C391&lt;1),1,0),0)</f>
        <v>0</v>
      </c>
      <c r="E391">
        <f>IF(D391=1,MAX(0,N(INDEX(Charge!$M:$M,ROW()))),0)</f>
        <v>0</v>
      </c>
      <c r="F391" t="str">
        <f>IF(D391=1,IF(TRIM(INDEX(Charge!$A:$A,ROW()))="","(non renseigné)",TRIM(INDEX(Charge!$A:$A,ROW()))),"")</f>
        <v/>
      </c>
      <c r="G391" t="str">
        <f>IF(D391=1,TRIM(INDEX(Charge!$B:$B,ROW())),"")</f>
        <v/>
      </c>
      <c r="H391" t="str">
        <f>IF(D391=1,IF(TRIM(INDEX(Charge!$E:$E,ROW()))="","(non renseigné)",TRIM(INDEX(Charge!$E:$E,ROW()))),"")</f>
        <v/>
      </c>
      <c r="I391" s="165" t="str">
        <f>IF(AND(D391=1,ISNUMBER(INDEX(Charge!$N:$N,ROW()))),INDEX(Charge!$N:$N,ROW()),"")</f>
        <v/>
      </c>
      <c r="J391" s="165" t="str">
        <f>IF(I391="","",IF(AND(p_Repartition="Lissée jusqu'à la date de besoin",ISNUMBER(INDEX(Charge!$F:$F,ROW()))),IF(INDEX(Charge!$F:$F,ROW())&gt;=I391,INDEX(Charge!$F:$F,ROW()),I391),I391))</f>
        <v/>
      </c>
      <c r="K391" t="str">
        <f>IF(I391="","",NETWORKDAYS(I391,J391,Data!$K$4:$K$203))</f>
        <v/>
      </c>
      <c r="L391" t="str">
        <f>IF(D391=1,COUNTIFS($D$4:$D$503,1,$E$4:$E$503,"&gt;"&amp;E391)+COUNTIFS($D$4:$D391,1,$E$4:$E391,E391),"")</f>
        <v/>
      </c>
      <c r="M391">
        <f>IF(F391="",0,IF(COUNTIF($F$4:F391,F391)=1,1,0))</f>
        <v>0</v>
      </c>
      <c r="N391" t="str">
        <f>IF(M391=1,ROUND(SUMIF($F$4:$F$503,F391,$E$4:$E$503),2),"")</f>
        <v/>
      </c>
      <c r="O391" t="str">
        <f>IF(M391=1,COUNTIFS($M$4:$M$503,1,$N$4:$N$503,"&gt;"&amp;N391)+COUNTIFS($M$4:M391,1,$N$4:N391,N391),"")</f>
        <v/>
      </c>
      <c r="P391">
        <f>IF(G391="",0,IF(COUNTIF($G$4:G391,G391)=1,1,0))</f>
        <v>0</v>
      </c>
      <c r="Q391" t="str">
        <f>IF(P391=1,ROUND(SUMIF($G$4:$G$503,G391,$E$4:$E$503),2),"")</f>
        <v/>
      </c>
      <c r="R391" t="str">
        <f>IF(P391=1,COUNTIFS($P$4:$P$503,1,$Q$4:$Q$503,"&gt;"&amp;Q391)+COUNTIFS($P$4:P391,1,$Q$4:Q391,Q391),"")</f>
        <v/>
      </c>
      <c r="S391">
        <f>IF(H391="",0,IF(COUNTIF($H$4:H391,H391)=1,1,0))</f>
        <v>0</v>
      </c>
      <c r="T391" t="str">
        <f>IF(S391=1,ROUND(SUMIF($H$4:$H$503,H391,$E$4:$E$503),2),"")</f>
        <v/>
      </c>
      <c r="U391" t="str">
        <f>IF(S391=1,COUNTIFS($S$4:$S$503,1,$T$4:$T$503,"&gt;"&amp;T391)+COUNTIFS($S$4:S391,1,$T$4:T391,T391),"")</f>
        <v/>
      </c>
      <c r="V391" t="str">
        <f>IF(D391=1,MIN(INDEX($R$4:$R$503,MATCH(G391,$G$4:$G$503,0)),IF($AL$7&gt;9,9,999)),"")</f>
        <v/>
      </c>
      <c r="W391" s="166">
        <f>IF(OR($I391="",$E391=0),0,IF(OR($J391&lt;W$3,$I391&gt;W$2),0,IF($K391=0,IF(AND($I391&gt;=W$3,$I391&lt;=W$2),$E391,0),$E391*NETWORKDAYS(MAX($I391,W$3),MIN($J391,W$2),Data!$K$4:$K$203)/$K391)))</f>
        <v>0</v>
      </c>
      <c r="X391" s="166">
        <f>IF(OR($I391="",$E391=0),0,IF(OR($J391&lt;X$3,$I391&gt;X$2),0,IF($K391=0,IF(AND($I391&gt;=X$3,$I391&lt;=X$2),$E391,0),$E391*NETWORKDAYS(MAX($I391,X$3),MIN($J391,X$2),Data!$K$4:$K$203)/$K391)))</f>
        <v>0</v>
      </c>
      <c r="Y391" s="166">
        <f>IF(OR($I391="",$E391=0),0,IF(OR($J391&lt;Y$3,$I391&gt;Y$2),0,IF($K391=0,IF(AND($I391&gt;=Y$3,$I391&lt;=Y$2),$E391,0),$E391*NETWORKDAYS(MAX($I391,Y$3),MIN($J391,Y$2),Data!$K$4:$K$203)/$K391)))</f>
        <v>0</v>
      </c>
      <c r="Z391" s="166">
        <f>IF(OR($I391="",$E391=0),0,IF(OR($J391&lt;Z$3,$I391&gt;Z$2),0,IF($K391=0,IF(AND($I391&gt;=Z$3,$I391&lt;=Z$2),$E391,0),$E391*NETWORKDAYS(MAX($I391,Z$3),MIN($J391,Z$2),Data!$K$4:$K$203)/$K391)))</f>
        <v>0</v>
      </c>
      <c r="AA391" s="166">
        <f>IF(OR($I391="",$E391=0),0,IF(OR($J391&lt;AA$3,$I391&gt;AA$2),0,IF($K391=0,IF(AND($I391&gt;=AA$3,$I391&lt;=AA$2),$E391,0),$E391*NETWORKDAYS(MAX($I391,AA$3),MIN($J391,AA$2),Data!$K$4:$K$203)/$K391)))</f>
        <v>0</v>
      </c>
      <c r="AB391" s="166">
        <f>IF(OR($I391="",$E391=0),0,IF(OR($J391&lt;AB$3,$I391&gt;AB$2),0,IF($K391=0,IF(AND($I391&gt;=AB$3,$I391&lt;=AB$2),$E391,0),$E391*NETWORKDAYS(MAX($I391,AB$3),MIN($J391,AB$2),Data!$K$4:$K$203)/$K391)))</f>
        <v>0</v>
      </c>
      <c r="AC391" s="166">
        <f>IF(OR($I391="",$E391=0),0,IF(OR($J391&lt;AC$3,$I391&gt;AC$2),0,IF($K391=0,IF(AND($I391&gt;=AC$3,$I391&lt;=AC$2),$E391,0),$E391*NETWORKDAYS(MAX($I391,AC$3),MIN($J391,AC$2),Data!$K$4:$K$203)/$K391)))</f>
        <v>0</v>
      </c>
      <c r="AD391" s="166">
        <f>IF(OR($I391="",$E391=0),0,IF(OR($J391&lt;AD$3,$I391&gt;AD$2),0,IF($K391=0,IF(AND($I391&gt;=AD$3,$I391&lt;=AD$2),$E391,0),$E391*NETWORKDAYS(MAX($I391,AD$3),MIN($J391,AD$2),Data!$K$4:$K$203)/$K391)))</f>
        <v>0</v>
      </c>
      <c r="AE391" s="166">
        <f>IF(OR($I391="",$E391=0),0,IF(OR($J391&lt;AE$3,$I391&gt;AE$2),0,IF($K391=0,IF(AND($I391&gt;=AE$3,$I391&lt;=AE$2),$E391,0),$E391*NETWORKDAYS(MAX($I391,AE$3),MIN($J391,AE$2),Data!$K$4:$K$203)/$K391)))</f>
        <v>0</v>
      </c>
      <c r="AF391" s="166">
        <f>IF(OR($I391="",$E391=0),0,IF(OR($J391&lt;AF$3,$I391&gt;AF$2),0,IF($K391=0,IF(AND($I391&gt;=AF$3,$I391&lt;=AF$2),$E391,0),$E391*NETWORKDAYS(MAX($I391,AF$3),MIN($J391,AF$2),Data!$K$4:$K$203)/$K391)))</f>
        <v>0</v>
      </c>
      <c r="AG391" s="166">
        <f>IF(OR($I391="",$E391=0),0,IF(OR($J391&lt;AG$3,$I391&gt;AG$2),0,IF($K391=0,IF(AND($I391&gt;=AG$3,$I391&lt;=AG$2),$E391,0),$E391*NETWORKDAYS(MAX($I391,AG$3),MIN($J391,AG$2),Data!$K$4:$K$203)/$K391)))</f>
        <v>0</v>
      </c>
      <c r="AH391" s="166">
        <f>IF(OR($I391="",$E391=0),0,IF(OR($J391&lt;AH$3,$I391&gt;AH$2),0,IF($K391=0,IF(AND($I391&gt;=AH$3,$I391&lt;=AH$2),$E391,0),$E391*NETWORKDAYS(MAX($I391,AH$3),MIN($J391,AH$2),Data!$K$4:$K$203)/$K391)))</f>
        <v>0</v>
      </c>
      <c r="AI391" s="166">
        <f>SUM(W391:AH391)</f>
        <v>0</v>
      </c>
      <c r="BZ391" t="str">
        <f>IF(D391=1,IF(TRIM(INDEX(Charge!$K:$K,ROW()))&lt;&gt;"",TRIM(INDEX(Charge!$K:$K,ROW())),IF(TRIM(INDEX(Charge!$L:$L,ROW()))&lt;&gt;"",TRIM(INDEX(Charge!$L:$L,ROW())),"(non affecté)")),"")</f>
        <v/>
      </c>
      <c r="CA391" t="str">
        <f>IF(AND($CD$4&lt;&gt;"",BZ391=$CD$4),COUNTIFS($BZ$4:$BZ$503,$CD$4,$L$4:$L$503,"&lt;"&amp;L391)+1,"")</f>
        <v/>
      </c>
      <c r="EM391" t="str">
        <f>IF(D391=1,IF(TRIM(INDEX(Charge!$K:$K,ROW()))&lt;&gt;"","Interne",IF(TRIM(INDEX(Charge!$L:$L,ROW()))&lt;&gt;"","Externe","Non affecté")),"")</f>
        <v/>
      </c>
      <c r="EN391" t="str">
        <f>IF(D391=1,LEFT(SUBSTITUTE(SUBSTITUTE(SUBSTITUTE(TRIM(SUBSTITUTE(INDEX(Charge!$B:$B,ROW()),CHAR(160)," "))&amp;" | "&amp;TRIM(SUBSTITUTE(INDEX(Charge!$C:$C,ROW()),CHAR(160)," "))&amp;" | "&amp;TRIM(SUBSTITUTE(INDEX(Charge!$D:$D,ROW()),CHAR(160)," ")),"~","-"),"*","+"),"?","!"),240),"")</f>
        <v/>
      </c>
      <c r="EO391">
        <f>IF(EN391="",0,IF(COUNTIF($EN$4:EN391,EN391)=1,1,0))</f>
        <v>0</v>
      </c>
      <c r="EP391" s="166" t="str">
        <f>IF(EO391=1,ROUND(SUMIF($EN$4:$EN$503,EN391,$E$4:$E$503),2),"")</f>
        <v/>
      </c>
      <c r="EQ391" t="str">
        <f>IF(EO391=1,COUNTIFS($EO$4:$EO$503,1,$EP$4:$EP$503,"&gt;"&amp;EP391)+COUNTIFS($EO$4:EO391,1,$EP$4:EP391,EP391),"")</f>
        <v/>
      </c>
      <c r="ER391" t="str">
        <f>IF(EO391=1,COUNTIFS($EN$4:$EN$503,EN391,$EM$4:$EM$503,"Interne",$FE$4:$FE$503,1),"")</f>
        <v/>
      </c>
      <c r="ES391" t="str">
        <f>IF(EO391=1,COUNTIFS($EN$4:$EN$503,EN391,$EM$4:$EM$503,"Externe",$FE$4:$FE$503,1),"")</f>
        <v/>
      </c>
      <c r="ET391" t="str">
        <f>IF(EO391=1,IF(ER391+ES391=0,"à affecter",IF(ER391=0,ES391&amp;" ext.",(ER391+ES391)&amp;IF(ES391&gt;0," dont "&amp;ES391&amp;" ext.",""))&amp;IF(COUNTIFS($EN$4:$EN$503,EN391,$EM$4:$EM$503,"Non affecté")&gt;0," + à affecter","")),"")</f>
        <v/>
      </c>
      <c r="EU391" s="170" t="str">
        <f>IF(EO391=1,IF(EP391&gt;0,SUMPRODUCT(($EN$4:$EN$503=EN391)*$E$4:$E$503*$C$4:$C$503)/EP391,AVERAGEIF($EN$4:$EN$503,EN391,$C$4:$C$503)),"")</f>
        <v/>
      </c>
      <c r="EV391" s="165">
        <f>IF(ISNUMBER(I391),I391,2958465)</f>
        <v>2958465.0</v>
      </c>
      <c r="EW391" s="165" t="str">
        <f>IF(EO391=1,SUMPRODUCT(MIN(($EN$4:$EN$503=EN391)*$EV$4:$EV$503+($EN$4:$EN$503&lt;&gt;EN391)*2958465)),"")</f>
        <v/>
      </c>
      <c r="EX391" s="165">
        <f>IF(AND(D391=1,ISNUMBER(INDEX(Charge!$F:$F,ROW()))),INDEX(Charge!$F:$F,ROW()),0)</f>
        <v>0.0</v>
      </c>
      <c r="EY391" s="165" t="str">
        <f>IF(EO391=1,SUMPRODUCT(MAX(($EN$4:$EN$503=EN391)*$EX$4:$EX$503)),"")</f>
        <v/>
      </c>
      <c r="FA391" t="str">
        <f>IF(388&lt;=$CD$23,INDEX($EJ$4:$EJ$203,388),IF(388-$CD$23&lt;=$CD$26,INDEX($EK$4:$EK$203,388-$CD$23),""))</f>
        <v/>
      </c>
      <c r="FB391" t="str">
        <f>IF(FA391="","",IF(388&lt;=$CD$23,"Interne","Externe"))</f>
        <v/>
      </c>
      <c r="FD391">
        <f>IF(AND(B391=1,TRIM(INDEX(Charge!$K:$K,ROW()))&lt;&gt;"",TRIM(INDEX(Charge!$L:$L,ROW()))&lt;&gt;""),1,0)</f>
        <v>0</v>
      </c>
      <c r="FE391">
        <f>IF(OR(EN391="",BZ391="(non affecté)"),0,IF(COUNTIFS($EN$4:EN391,EN391,$BZ$4:BZ391,BZ391)=1,1,0))</f>
        <v>0</v>
      </c>
    </row>
    <row r="392">
      <c r="A392">
        <f>ROW()</f>
        <v>392</v>
      </c>
      <c r="B392">
        <f>IF(TRIM(INDEX(Charge!$B:$B,ROW()))&lt;&gt;"",1,0)</f>
        <v>0</v>
      </c>
      <c r="C392">
        <f>IF(B392=1,MIN(1,MAX(0,N(INDEX(Charge!$O:$O,ROW())))),0)</f>
        <v>0</v>
      </c>
      <c r="D392">
        <f>IF(B392=1,IF(OR(p_Perimetre="Tous les projets",C392&lt;1),1,0),0)</f>
        <v>0</v>
      </c>
      <c r="E392">
        <f>IF(D392=1,MAX(0,N(INDEX(Charge!$M:$M,ROW()))),0)</f>
        <v>0</v>
      </c>
      <c r="F392" t="str">
        <f>IF(D392=1,IF(TRIM(INDEX(Charge!$A:$A,ROW()))="","(non renseigné)",TRIM(INDEX(Charge!$A:$A,ROW()))),"")</f>
        <v/>
      </c>
      <c r="G392" t="str">
        <f>IF(D392=1,TRIM(INDEX(Charge!$B:$B,ROW())),"")</f>
        <v/>
      </c>
      <c r="H392" t="str">
        <f>IF(D392=1,IF(TRIM(INDEX(Charge!$E:$E,ROW()))="","(non renseigné)",TRIM(INDEX(Charge!$E:$E,ROW()))),"")</f>
        <v/>
      </c>
      <c r="I392" s="165" t="str">
        <f>IF(AND(D392=1,ISNUMBER(INDEX(Charge!$N:$N,ROW()))),INDEX(Charge!$N:$N,ROW()),"")</f>
        <v/>
      </c>
      <c r="J392" s="165" t="str">
        <f>IF(I392="","",IF(AND(p_Repartition="Lissée jusqu'à la date de besoin",ISNUMBER(INDEX(Charge!$F:$F,ROW()))),IF(INDEX(Charge!$F:$F,ROW())&gt;=I392,INDEX(Charge!$F:$F,ROW()),I392),I392))</f>
        <v/>
      </c>
      <c r="K392" t="str">
        <f>IF(I392="","",NETWORKDAYS(I392,J392,Data!$K$4:$K$203))</f>
        <v/>
      </c>
      <c r="L392" t="str">
        <f>IF(D392=1,COUNTIFS($D$4:$D$503,1,$E$4:$E$503,"&gt;"&amp;E392)+COUNTIFS($D$4:$D392,1,$E$4:$E392,E392),"")</f>
        <v/>
      </c>
      <c r="M392">
        <f>IF(F392="",0,IF(COUNTIF($F$4:F392,F392)=1,1,0))</f>
        <v>0</v>
      </c>
      <c r="N392" t="str">
        <f>IF(M392=1,ROUND(SUMIF($F$4:$F$503,F392,$E$4:$E$503),2),"")</f>
        <v/>
      </c>
      <c r="O392" t="str">
        <f>IF(M392=1,COUNTIFS($M$4:$M$503,1,$N$4:$N$503,"&gt;"&amp;N392)+COUNTIFS($M$4:M392,1,$N$4:N392,N392),"")</f>
        <v/>
      </c>
      <c r="P392">
        <f>IF(G392="",0,IF(COUNTIF($G$4:G392,G392)=1,1,0))</f>
        <v>0</v>
      </c>
      <c r="Q392" t="str">
        <f>IF(P392=1,ROUND(SUMIF($G$4:$G$503,G392,$E$4:$E$503),2),"")</f>
        <v/>
      </c>
      <c r="R392" t="str">
        <f>IF(P392=1,COUNTIFS($P$4:$P$503,1,$Q$4:$Q$503,"&gt;"&amp;Q392)+COUNTIFS($P$4:P392,1,$Q$4:Q392,Q392),"")</f>
        <v/>
      </c>
      <c r="S392">
        <f>IF(H392="",0,IF(COUNTIF($H$4:H392,H392)=1,1,0))</f>
        <v>0</v>
      </c>
      <c r="T392" t="str">
        <f>IF(S392=1,ROUND(SUMIF($H$4:$H$503,H392,$E$4:$E$503),2),"")</f>
        <v/>
      </c>
      <c r="U392" t="str">
        <f>IF(S392=1,COUNTIFS($S$4:$S$503,1,$T$4:$T$503,"&gt;"&amp;T392)+COUNTIFS($S$4:S392,1,$T$4:T392,T392),"")</f>
        <v/>
      </c>
      <c r="V392" t="str">
        <f>IF(D392=1,MIN(INDEX($R$4:$R$503,MATCH(G392,$G$4:$G$503,0)),IF($AL$7&gt;9,9,999)),"")</f>
        <v/>
      </c>
      <c r="W392" s="166">
        <f>IF(OR($I392="",$E392=0),0,IF(OR($J392&lt;W$3,$I392&gt;W$2),0,IF($K392=0,IF(AND($I392&gt;=W$3,$I392&lt;=W$2),$E392,0),$E392*NETWORKDAYS(MAX($I392,W$3),MIN($J392,W$2),Data!$K$4:$K$203)/$K392)))</f>
        <v>0</v>
      </c>
      <c r="X392" s="166">
        <f>IF(OR($I392="",$E392=0),0,IF(OR($J392&lt;X$3,$I392&gt;X$2),0,IF($K392=0,IF(AND($I392&gt;=X$3,$I392&lt;=X$2),$E392,0),$E392*NETWORKDAYS(MAX($I392,X$3),MIN($J392,X$2),Data!$K$4:$K$203)/$K392)))</f>
        <v>0</v>
      </c>
      <c r="Y392" s="166">
        <f>IF(OR($I392="",$E392=0),0,IF(OR($J392&lt;Y$3,$I392&gt;Y$2),0,IF($K392=0,IF(AND($I392&gt;=Y$3,$I392&lt;=Y$2),$E392,0),$E392*NETWORKDAYS(MAX($I392,Y$3),MIN($J392,Y$2),Data!$K$4:$K$203)/$K392)))</f>
        <v>0</v>
      </c>
      <c r="Z392" s="166">
        <f>IF(OR($I392="",$E392=0),0,IF(OR($J392&lt;Z$3,$I392&gt;Z$2),0,IF($K392=0,IF(AND($I392&gt;=Z$3,$I392&lt;=Z$2),$E392,0),$E392*NETWORKDAYS(MAX($I392,Z$3),MIN($J392,Z$2),Data!$K$4:$K$203)/$K392)))</f>
        <v>0</v>
      </c>
      <c r="AA392" s="166">
        <f>IF(OR($I392="",$E392=0),0,IF(OR($J392&lt;AA$3,$I392&gt;AA$2),0,IF($K392=0,IF(AND($I392&gt;=AA$3,$I392&lt;=AA$2),$E392,0),$E392*NETWORKDAYS(MAX($I392,AA$3),MIN($J392,AA$2),Data!$K$4:$K$203)/$K392)))</f>
        <v>0</v>
      </c>
      <c r="AB392" s="166">
        <f>IF(OR($I392="",$E392=0),0,IF(OR($J392&lt;AB$3,$I392&gt;AB$2),0,IF($K392=0,IF(AND($I392&gt;=AB$3,$I392&lt;=AB$2),$E392,0),$E392*NETWORKDAYS(MAX($I392,AB$3),MIN($J392,AB$2),Data!$K$4:$K$203)/$K392)))</f>
        <v>0</v>
      </c>
      <c r="AC392" s="166">
        <f>IF(OR($I392="",$E392=0),0,IF(OR($J392&lt;AC$3,$I392&gt;AC$2),0,IF($K392=0,IF(AND($I392&gt;=AC$3,$I392&lt;=AC$2),$E392,0),$E392*NETWORKDAYS(MAX($I392,AC$3),MIN($J392,AC$2),Data!$K$4:$K$203)/$K392)))</f>
        <v>0</v>
      </c>
      <c r="AD392" s="166">
        <f>IF(OR($I392="",$E392=0),0,IF(OR($J392&lt;AD$3,$I392&gt;AD$2),0,IF($K392=0,IF(AND($I392&gt;=AD$3,$I392&lt;=AD$2),$E392,0),$E392*NETWORKDAYS(MAX($I392,AD$3),MIN($J392,AD$2),Data!$K$4:$K$203)/$K392)))</f>
        <v>0</v>
      </c>
      <c r="AE392" s="166">
        <f>IF(OR($I392="",$E392=0),0,IF(OR($J392&lt;AE$3,$I392&gt;AE$2),0,IF($K392=0,IF(AND($I392&gt;=AE$3,$I392&lt;=AE$2),$E392,0),$E392*NETWORKDAYS(MAX($I392,AE$3),MIN($J392,AE$2),Data!$K$4:$K$203)/$K392)))</f>
        <v>0</v>
      </c>
      <c r="AF392" s="166">
        <f>IF(OR($I392="",$E392=0),0,IF(OR($J392&lt;AF$3,$I392&gt;AF$2),0,IF($K392=0,IF(AND($I392&gt;=AF$3,$I392&lt;=AF$2),$E392,0),$E392*NETWORKDAYS(MAX($I392,AF$3),MIN($J392,AF$2),Data!$K$4:$K$203)/$K392)))</f>
        <v>0</v>
      </c>
      <c r="AG392" s="166">
        <f>IF(OR($I392="",$E392=0),0,IF(OR($J392&lt;AG$3,$I392&gt;AG$2),0,IF($K392=0,IF(AND($I392&gt;=AG$3,$I392&lt;=AG$2),$E392,0),$E392*NETWORKDAYS(MAX($I392,AG$3),MIN($J392,AG$2),Data!$K$4:$K$203)/$K392)))</f>
        <v>0</v>
      </c>
      <c r="AH392" s="166">
        <f>IF(OR($I392="",$E392=0),0,IF(OR($J392&lt;AH$3,$I392&gt;AH$2),0,IF($K392=0,IF(AND($I392&gt;=AH$3,$I392&lt;=AH$2),$E392,0),$E392*NETWORKDAYS(MAX($I392,AH$3),MIN($J392,AH$2),Data!$K$4:$K$203)/$K392)))</f>
        <v>0</v>
      </c>
      <c r="AI392" s="166">
        <f>SUM(W392:AH392)</f>
        <v>0</v>
      </c>
      <c r="BZ392" t="str">
        <f>IF(D392=1,IF(TRIM(INDEX(Charge!$K:$K,ROW()))&lt;&gt;"",TRIM(INDEX(Charge!$K:$K,ROW())),IF(TRIM(INDEX(Charge!$L:$L,ROW()))&lt;&gt;"",TRIM(INDEX(Charge!$L:$L,ROW())),"(non affecté)")),"")</f>
        <v/>
      </c>
      <c r="CA392" t="str">
        <f>IF(AND($CD$4&lt;&gt;"",BZ392=$CD$4),COUNTIFS($BZ$4:$BZ$503,$CD$4,$L$4:$L$503,"&lt;"&amp;L392)+1,"")</f>
        <v/>
      </c>
      <c r="EM392" t="str">
        <f>IF(D392=1,IF(TRIM(INDEX(Charge!$K:$K,ROW()))&lt;&gt;"","Interne",IF(TRIM(INDEX(Charge!$L:$L,ROW()))&lt;&gt;"","Externe","Non affecté")),"")</f>
        <v/>
      </c>
      <c r="EN392" t="str">
        <f>IF(D392=1,LEFT(SUBSTITUTE(SUBSTITUTE(SUBSTITUTE(TRIM(SUBSTITUTE(INDEX(Charge!$B:$B,ROW()),CHAR(160)," "))&amp;" | "&amp;TRIM(SUBSTITUTE(INDEX(Charge!$C:$C,ROW()),CHAR(160)," "))&amp;" | "&amp;TRIM(SUBSTITUTE(INDEX(Charge!$D:$D,ROW()),CHAR(160)," ")),"~","-"),"*","+"),"?","!"),240),"")</f>
        <v/>
      </c>
      <c r="EO392">
        <f>IF(EN392="",0,IF(COUNTIF($EN$4:EN392,EN392)=1,1,0))</f>
        <v>0</v>
      </c>
      <c r="EP392" s="166" t="str">
        <f>IF(EO392=1,ROUND(SUMIF($EN$4:$EN$503,EN392,$E$4:$E$503),2),"")</f>
        <v/>
      </c>
      <c r="EQ392" t="str">
        <f>IF(EO392=1,COUNTIFS($EO$4:$EO$503,1,$EP$4:$EP$503,"&gt;"&amp;EP392)+COUNTIFS($EO$4:EO392,1,$EP$4:EP392,EP392),"")</f>
        <v/>
      </c>
      <c r="ER392" t="str">
        <f>IF(EO392=1,COUNTIFS($EN$4:$EN$503,EN392,$EM$4:$EM$503,"Interne",$FE$4:$FE$503,1),"")</f>
        <v/>
      </c>
      <c r="ES392" t="str">
        <f>IF(EO392=1,COUNTIFS($EN$4:$EN$503,EN392,$EM$4:$EM$503,"Externe",$FE$4:$FE$503,1),"")</f>
        <v/>
      </c>
      <c r="ET392" t="str">
        <f>IF(EO392=1,IF(ER392+ES392=0,"à affecter",IF(ER392=0,ES392&amp;" ext.",(ER392+ES392)&amp;IF(ES392&gt;0," dont "&amp;ES392&amp;" ext.",""))&amp;IF(COUNTIFS($EN$4:$EN$503,EN392,$EM$4:$EM$503,"Non affecté")&gt;0," + à affecter","")),"")</f>
        <v/>
      </c>
      <c r="EU392" s="170" t="str">
        <f>IF(EO392=1,IF(EP392&gt;0,SUMPRODUCT(($EN$4:$EN$503=EN392)*$E$4:$E$503*$C$4:$C$503)/EP392,AVERAGEIF($EN$4:$EN$503,EN392,$C$4:$C$503)),"")</f>
        <v/>
      </c>
      <c r="EV392" s="165">
        <f>IF(ISNUMBER(I392),I392,2958465)</f>
        <v>2958465.0</v>
      </c>
      <c r="EW392" s="165" t="str">
        <f>IF(EO392=1,SUMPRODUCT(MIN(($EN$4:$EN$503=EN392)*$EV$4:$EV$503+($EN$4:$EN$503&lt;&gt;EN392)*2958465)),"")</f>
        <v/>
      </c>
      <c r="EX392" s="165">
        <f>IF(AND(D392=1,ISNUMBER(INDEX(Charge!$F:$F,ROW()))),INDEX(Charge!$F:$F,ROW()),0)</f>
        <v>0.0</v>
      </c>
      <c r="EY392" s="165" t="str">
        <f>IF(EO392=1,SUMPRODUCT(MAX(($EN$4:$EN$503=EN392)*$EX$4:$EX$503)),"")</f>
        <v/>
      </c>
      <c r="FA392" t="str">
        <f>IF(389&lt;=$CD$23,INDEX($EJ$4:$EJ$203,389),IF(389-$CD$23&lt;=$CD$26,INDEX($EK$4:$EK$203,389-$CD$23),""))</f>
        <v/>
      </c>
      <c r="FB392" t="str">
        <f>IF(FA392="","",IF(389&lt;=$CD$23,"Interne","Externe"))</f>
        <v/>
      </c>
      <c r="FD392">
        <f>IF(AND(B392=1,TRIM(INDEX(Charge!$K:$K,ROW()))&lt;&gt;"",TRIM(INDEX(Charge!$L:$L,ROW()))&lt;&gt;""),1,0)</f>
        <v>0</v>
      </c>
      <c r="FE392">
        <f>IF(OR(EN392="",BZ392="(non affecté)"),0,IF(COUNTIFS($EN$4:EN392,EN392,$BZ$4:BZ392,BZ392)=1,1,0))</f>
        <v>0</v>
      </c>
    </row>
    <row r="393">
      <c r="A393">
        <f>ROW()</f>
        <v>393</v>
      </c>
      <c r="B393">
        <f>IF(TRIM(INDEX(Charge!$B:$B,ROW()))&lt;&gt;"",1,0)</f>
        <v>0</v>
      </c>
      <c r="C393">
        <f>IF(B393=1,MIN(1,MAX(0,N(INDEX(Charge!$O:$O,ROW())))),0)</f>
        <v>0</v>
      </c>
      <c r="D393">
        <f>IF(B393=1,IF(OR(p_Perimetre="Tous les projets",C393&lt;1),1,0),0)</f>
        <v>0</v>
      </c>
      <c r="E393">
        <f>IF(D393=1,MAX(0,N(INDEX(Charge!$M:$M,ROW()))),0)</f>
        <v>0</v>
      </c>
      <c r="F393" t="str">
        <f>IF(D393=1,IF(TRIM(INDEX(Charge!$A:$A,ROW()))="","(non renseigné)",TRIM(INDEX(Charge!$A:$A,ROW()))),"")</f>
        <v/>
      </c>
      <c r="G393" t="str">
        <f>IF(D393=1,TRIM(INDEX(Charge!$B:$B,ROW())),"")</f>
        <v/>
      </c>
      <c r="H393" t="str">
        <f>IF(D393=1,IF(TRIM(INDEX(Charge!$E:$E,ROW()))="","(non renseigné)",TRIM(INDEX(Charge!$E:$E,ROW()))),"")</f>
        <v/>
      </c>
      <c r="I393" s="165" t="str">
        <f>IF(AND(D393=1,ISNUMBER(INDEX(Charge!$N:$N,ROW()))),INDEX(Charge!$N:$N,ROW()),"")</f>
        <v/>
      </c>
      <c r="J393" s="165" t="str">
        <f>IF(I393="","",IF(AND(p_Repartition="Lissée jusqu'à la date de besoin",ISNUMBER(INDEX(Charge!$F:$F,ROW()))),IF(INDEX(Charge!$F:$F,ROW())&gt;=I393,INDEX(Charge!$F:$F,ROW()),I393),I393))</f>
        <v/>
      </c>
      <c r="K393" t="str">
        <f>IF(I393="","",NETWORKDAYS(I393,J393,Data!$K$4:$K$203))</f>
        <v/>
      </c>
      <c r="L393" t="str">
        <f>IF(D393=1,COUNTIFS($D$4:$D$503,1,$E$4:$E$503,"&gt;"&amp;E393)+COUNTIFS($D$4:$D393,1,$E$4:$E393,E393),"")</f>
        <v/>
      </c>
      <c r="M393">
        <f>IF(F393="",0,IF(COUNTIF($F$4:F393,F393)=1,1,0))</f>
        <v>0</v>
      </c>
      <c r="N393" t="str">
        <f>IF(M393=1,ROUND(SUMIF($F$4:$F$503,F393,$E$4:$E$503),2),"")</f>
        <v/>
      </c>
      <c r="O393" t="str">
        <f>IF(M393=1,COUNTIFS($M$4:$M$503,1,$N$4:$N$503,"&gt;"&amp;N393)+COUNTIFS($M$4:M393,1,$N$4:N393,N393),"")</f>
        <v/>
      </c>
      <c r="P393">
        <f>IF(G393="",0,IF(COUNTIF($G$4:G393,G393)=1,1,0))</f>
        <v>0</v>
      </c>
      <c r="Q393" t="str">
        <f>IF(P393=1,ROUND(SUMIF($G$4:$G$503,G393,$E$4:$E$503),2),"")</f>
        <v/>
      </c>
      <c r="R393" t="str">
        <f>IF(P393=1,COUNTIFS($P$4:$P$503,1,$Q$4:$Q$503,"&gt;"&amp;Q393)+COUNTIFS($P$4:P393,1,$Q$4:Q393,Q393),"")</f>
        <v/>
      </c>
      <c r="S393">
        <f>IF(H393="",0,IF(COUNTIF($H$4:H393,H393)=1,1,0))</f>
        <v>0</v>
      </c>
      <c r="T393" t="str">
        <f>IF(S393=1,ROUND(SUMIF($H$4:$H$503,H393,$E$4:$E$503),2),"")</f>
        <v/>
      </c>
      <c r="U393" t="str">
        <f>IF(S393=1,COUNTIFS($S$4:$S$503,1,$T$4:$T$503,"&gt;"&amp;T393)+COUNTIFS($S$4:S393,1,$T$4:T393,T393),"")</f>
        <v/>
      </c>
      <c r="V393" t="str">
        <f>IF(D393=1,MIN(INDEX($R$4:$R$503,MATCH(G393,$G$4:$G$503,0)),IF($AL$7&gt;9,9,999)),"")</f>
        <v/>
      </c>
      <c r="W393" s="166">
        <f>IF(OR($I393="",$E393=0),0,IF(OR($J393&lt;W$3,$I393&gt;W$2),0,IF($K393=0,IF(AND($I393&gt;=W$3,$I393&lt;=W$2),$E393,0),$E393*NETWORKDAYS(MAX($I393,W$3),MIN($J393,W$2),Data!$K$4:$K$203)/$K393)))</f>
        <v>0</v>
      </c>
      <c r="X393" s="166">
        <f>IF(OR($I393="",$E393=0),0,IF(OR($J393&lt;X$3,$I393&gt;X$2),0,IF($K393=0,IF(AND($I393&gt;=X$3,$I393&lt;=X$2),$E393,0),$E393*NETWORKDAYS(MAX($I393,X$3),MIN($J393,X$2),Data!$K$4:$K$203)/$K393)))</f>
        <v>0</v>
      </c>
      <c r="Y393" s="166">
        <f>IF(OR($I393="",$E393=0),0,IF(OR($J393&lt;Y$3,$I393&gt;Y$2),0,IF($K393=0,IF(AND($I393&gt;=Y$3,$I393&lt;=Y$2),$E393,0),$E393*NETWORKDAYS(MAX($I393,Y$3),MIN($J393,Y$2),Data!$K$4:$K$203)/$K393)))</f>
        <v>0</v>
      </c>
      <c r="Z393" s="166">
        <f>IF(OR($I393="",$E393=0),0,IF(OR($J393&lt;Z$3,$I393&gt;Z$2),0,IF($K393=0,IF(AND($I393&gt;=Z$3,$I393&lt;=Z$2),$E393,0),$E393*NETWORKDAYS(MAX($I393,Z$3),MIN($J393,Z$2),Data!$K$4:$K$203)/$K393)))</f>
        <v>0</v>
      </c>
      <c r="AA393" s="166">
        <f>IF(OR($I393="",$E393=0),0,IF(OR($J393&lt;AA$3,$I393&gt;AA$2),0,IF($K393=0,IF(AND($I393&gt;=AA$3,$I393&lt;=AA$2),$E393,0),$E393*NETWORKDAYS(MAX($I393,AA$3),MIN($J393,AA$2),Data!$K$4:$K$203)/$K393)))</f>
        <v>0</v>
      </c>
      <c r="AB393" s="166">
        <f>IF(OR($I393="",$E393=0),0,IF(OR($J393&lt;AB$3,$I393&gt;AB$2),0,IF($K393=0,IF(AND($I393&gt;=AB$3,$I393&lt;=AB$2),$E393,0),$E393*NETWORKDAYS(MAX($I393,AB$3),MIN($J393,AB$2),Data!$K$4:$K$203)/$K393)))</f>
        <v>0</v>
      </c>
      <c r="AC393" s="166">
        <f>IF(OR($I393="",$E393=0),0,IF(OR($J393&lt;AC$3,$I393&gt;AC$2),0,IF($K393=0,IF(AND($I393&gt;=AC$3,$I393&lt;=AC$2),$E393,0),$E393*NETWORKDAYS(MAX($I393,AC$3),MIN($J393,AC$2),Data!$K$4:$K$203)/$K393)))</f>
        <v>0</v>
      </c>
      <c r="AD393" s="166">
        <f>IF(OR($I393="",$E393=0),0,IF(OR($J393&lt;AD$3,$I393&gt;AD$2),0,IF($K393=0,IF(AND($I393&gt;=AD$3,$I393&lt;=AD$2),$E393,0),$E393*NETWORKDAYS(MAX($I393,AD$3),MIN($J393,AD$2),Data!$K$4:$K$203)/$K393)))</f>
        <v>0</v>
      </c>
      <c r="AE393" s="166">
        <f>IF(OR($I393="",$E393=0),0,IF(OR($J393&lt;AE$3,$I393&gt;AE$2),0,IF($K393=0,IF(AND($I393&gt;=AE$3,$I393&lt;=AE$2),$E393,0),$E393*NETWORKDAYS(MAX($I393,AE$3),MIN($J393,AE$2),Data!$K$4:$K$203)/$K393)))</f>
        <v>0</v>
      </c>
      <c r="AF393" s="166">
        <f>IF(OR($I393="",$E393=0),0,IF(OR($J393&lt;AF$3,$I393&gt;AF$2),0,IF($K393=0,IF(AND($I393&gt;=AF$3,$I393&lt;=AF$2),$E393,0),$E393*NETWORKDAYS(MAX($I393,AF$3),MIN($J393,AF$2),Data!$K$4:$K$203)/$K393)))</f>
        <v>0</v>
      </c>
      <c r="AG393" s="166">
        <f>IF(OR($I393="",$E393=0),0,IF(OR($J393&lt;AG$3,$I393&gt;AG$2),0,IF($K393=0,IF(AND($I393&gt;=AG$3,$I393&lt;=AG$2),$E393,0),$E393*NETWORKDAYS(MAX($I393,AG$3),MIN($J393,AG$2),Data!$K$4:$K$203)/$K393)))</f>
        <v>0</v>
      </c>
      <c r="AH393" s="166">
        <f>IF(OR($I393="",$E393=0),0,IF(OR($J393&lt;AH$3,$I393&gt;AH$2),0,IF($K393=0,IF(AND($I393&gt;=AH$3,$I393&lt;=AH$2),$E393,0),$E393*NETWORKDAYS(MAX($I393,AH$3),MIN($J393,AH$2),Data!$K$4:$K$203)/$K393)))</f>
        <v>0</v>
      </c>
      <c r="AI393" s="166">
        <f>SUM(W393:AH393)</f>
        <v>0</v>
      </c>
      <c r="BZ393" t="str">
        <f>IF(D393=1,IF(TRIM(INDEX(Charge!$K:$K,ROW()))&lt;&gt;"",TRIM(INDEX(Charge!$K:$K,ROW())),IF(TRIM(INDEX(Charge!$L:$L,ROW()))&lt;&gt;"",TRIM(INDEX(Charge!$L:$L,ROW())),"(non affecté)")),"")</f>
        <v/>
      </c>
      <c r="CA393" t="str">
        <f>IF(AND($CD$4&lt;&gt;"",BZ393=$CD$4),COUNTIFS($BZ$4:$BZ$503,$CD$4,$L$4:$L$503,"&lt;"&amp;L393)+1,"")</f>
        <v/>
      </c>
      <c r="EM393" t="str">
        <f>IF(D393=1,IF(TRIM(INDEX(Charge!$K:$K,ROW()))&lt;&gt;"","Interne",IF(TRIM(INDEX(Charge!$L:$L,ROW()))&lt;&gt;"","Externe","Non affecté")),"")</f>
        <v/>
      </c>
      <c r="EN393" t="str">
        <f>IF(D393=1,LEFT(SUBSTITUTE(SUBSTITUTE(SUBSTITUTE(TRIM(SUBSTITUTE(INDEX(Charge!$B:$B,ROW()),CHAR(160)," "))&amp;" | "&amp;TRIM(SUBSTITUTE(INDEX(Charge!$C:$C,ROW()),CHAR(160)," "))&amp;" | "&amp;TRIM(SUBSTITUTE(INDEX(Charge!$D:$D,ROW()),CHAR(160)," ")),"~","-"),"*","+"),"?","!"),240),"")</f>
        <v/>
      </c>
      <c r="EO393">
        <f>IF(EN393="",0,IF(COUNTIF($EN$4:EN393,EN393)=1,1,0))</f>
        <v>0</v>
      </c>
      <c r="EP393" s="166" t="str">
        <f>IF(EO393=1,ROUND(SUMIF($EN$4:$EN$503,EN393,$E$4:$E$503),2),"")</f>
        <v/>
      </c>
      <c r="EQ393" t="str">
        <f>IF(EO393=1,COUNTIFS($EO$4:$EO$503,1,$EP$4:$EP$503,"&gt;"&amp;EP393)+COUNTIFS($EO$4:EO393,1,$EP$4:EP393,EP393),"")</f>
        <v/>
      </c>
      <c r="ER393" t="str">
        <f>IF(EO393=1,COUNTIFS($EN$4:$EN$503,EN393,$EM$4:$EM$503,"Interne",$FE$4:$FE$503,1),"")</f>
        <v/>
      </c>
      <c r="ES393" t="str">
        <f>IF(EO393=1,COUNTIFS($EN$4:$EN$503,EN393,$EM$4:$EM$503,"Externe",$FE$4:$FE$503,1),"")</f>
        <v/>
      </c>
      <c r="ET393" t="str">
        <f>IF(EO393=1,IF(ER393+ES393=0,"à affecter",IF(ER393=0,ES393&amp;" ext.",(ER393+ES393)&amp;IF(ES393&gt;0," dont "&amp;ES393&amp;" ext.",""))&amp;IF(COUNTIFS($EN$4:$EN$503,EN393,$EM$4:$EM$503,"Non affecté")&gt;0," + à affecter","")),"")</f>
        <v/>
      </c>
      <c r="EU393" s="170" t="str">
        <f>IF(EO393=1,IF(EP393&gt;0,SUMPRODUCT(($EN$4:$EN$503=EN393)*$E$4:$E$503*$C$4:$C$503)/EP393,AVERAGEIF($EN$4:$EN$503,EN393,$C$4:$C$503)),"")</f>
        <v/>
      </c>
      <c r="EV393" s="165">
        <f>IF(ISNUMBER(I393),I393,2958465)</f>
        <v>2958465.0</v>
      </c>
      <c r="EW393" s="165" t="str">
        <f>IF(EO393=1,SUMPRODUCT(MIN(($EN$4:$EN$503=EN393)*$EV$4:$EV$503+($EN$4:$EN$503&lt;&gt;EN393)*2958465)),"")</f>
        <v/>
      </c>
      <c r="EX393" s="165">
        <f>IF(AND(D393=1,ISNUMBER(INDEX(Charge!$F:$F,ROW()))),INDEX(Charge!$F:$F,ROW()),0)</f>
        <v>0.0</v>
      </c>
      <c r="EY393" s="165" t="str">
        <f>IF(EO393=1,SUMPRODUCT(MAX(($EN$4:$EN$503=EN393)*$EX$4:$EX$503)),"")</f>
        <v/>
      </c>
      <c r="FA393" t="str">
        <f>IF(390&lt;=$CD$23,INDEX($EJ$4:$EJ$203,390),IF(390-$CD$23&lt;=$CD$26,INDEX($EK$4:$EK$203,390-$CD$23),""))</f>
        <v/>
      </c>
      <c r="FB393" t="str">
        <f>IF(FA393="","",IF(390&lt;=$CD$23,"Interne","Externe"))</f>
        <v/>
      </c>
      <c r="FD393">
        <f>IF(AND(B393=1,TRIM(INDEX(Charge!$K:$K,ROW()))&lt;&gt;"",TRIM(INDEX(Charge!$L:$L,ROW()))&lt;&gt;""),1,0)</f>
        <v>0</v>
      </c>
      <c r="FE393">
        <f>IF(OR(EN393="",BZ393="(non affecté)"),0,IF(COUNTIFS($EN$4:EN393,EN393,$BZ$4:BZ393,BZ393)=1,1,0))</f>
        <v>0</v>
      </c>
    </row>
    <row r="394">
      <c r="A394">
        <f>ROW()</f>
        <v>394</v>
      </c>
      <c r="B394">
        <f>IF(TRIM(INDEX(Charge!$B:$B,ROW()))&lt;&gt;"",1,0)</f>
        <v>0</v>
      </c>
      <c r="C394">
        <f>IF(B394=1,MIN(1,MAX(0,N(INDEX(Charge!$O:$O,ROW())))),0)</f>
        <v>0</v>
      </c>
      <c r="D394">
        <f>IF(B394=1,IF(OR(p_Perimetre="Tous les projets",C394&lt;1),1,0),0)</f>
        <v>0</v>
      </c>
      <c r="E394">
        <f>IF(D394=1,MAX(0,N(INDEX(Charge!$M:$M,ROW()))),0)</f>
        <v>0</v>
      </c>
      <c r="F394" t="str">
        <f>IF(D394=1,IF(TRIM(INDEX(Charge!$A:$A,ROW()))="","(non renseigné)",TRIM(INDEX(Charge!$A:$A,ROW()))),"")</f>
        <v/>
      </c>
      <c r="G394" t="str">
        <f>IF(D394=1,TRIM(INDEX(Charge!$B:$B,ROW())),"")</f>
        <v/>
      </c>
      <c r="H394" t="str">
        <f>IF(D394=1,IF(TRIM(INDEX(Charge!$E:$E,ROW()))="","(non renseigné)",TRIM(INDEX(Charge!$E:$E,ROW()))),"")</f>
        <v/>
      </c>
      <c r="I394" s="165" t="str">
        <f>IF(AND(D394=1,ISNUMBER(INDEX(Charge!$N:$N,ROW()))),INDEX(Charge!$N:$N,ROW()),"")</f>
        <v/>
      </c>
      <c r="J394" s="165" t="str">
        <f>IF(I394="","",IF(AND(p_Repartition="Lissée jusqu'à la date de besoin",ISNUMBER(INDEX(Charge!$F:$F,ROW()))),IF(INDEX(Charge!$F:$F,ROW())&gt;=I394,INDEX(Charge!$F:$F,ROW()),I394),I394))</f>
        <v/>
      </c>
      <c r="K394" t="str">
        <f>IF(I394="","",NETWORKDAYS(I394,J394,Data!$K$4:$K$203))</f>
        <v/>
      </c>
      <c r="L394" t="str">
        <f>IF(D394=1,COUNTIFS($D$4:$D$503,1,$E$4:$E$503,"&gt;"&amp;E394)+COUNTIFS($D$4:$D394,1,$E$4:$E394,E394),"")</f>
        <v/>
      </c>
      <c r="M394">
        <f>IF(F394="",0,IF(COUNTIF($F$4:F394,F394)=1,1,0))</f>
        <v>0</v>
      </c>
      <c r="N394" t="str">
        <f>IF(M394=1,ROUND(SUMIF($F$4:$F$503,F394,$E$4:$E$503),2),"")</f>
        <v/>
      </c>
      <c r="O394" t="str">
        <f>IF(M394=1,COUNTIFS($M$4:$M$503,1,$N$4:$N$503,"&gt;"&amp;N394)+COUNTIFS($M$4:M394,1,$N$4:N394,N394),"")</f>
        <v/>
      </c>
      <c r="P394">
        <f>IF(G394="",0,IF(COUNTIF($G$4:G394,G394)=1,1,0))</f>
        <v>0</v>
      </c>
      <c r="Q394" t="str">
        <f>IF(P394=1,ROUND(SUMIF($G$4:$G$503,G394,$E$4:$E$503),2),"")</f>
        <v/>
      </c>
      <c r="R394" t="str">
        <f>IF(P394=1,COUNTIFS($P$4:$P$503,1,$Q$4:$Q$503,"&gt;"&amp;Q394)+COUNTIFS($P$4:P394,1,$Q$4:Q394,Q394),"")</f>
        <v/>
      </c>
      <c r="S394">
        <f>IF(H394="",0,IF(COUNTIF($H$4:H394,H394)=1,1,0))</f>
        <v>0</v>
      </c>
      <c r="T394" t="str">
        <f>IF(S394=1,ROUND(SUMIF($H$4:$H$503,H394,$E$4:$E$503),2),"")</f>
        <v/>
      </c>
      <c r="U394" t="str">
        <f>IF(S394=1,COUNTIFS($S$4:$S$503,1,$T$4:$T$503,"&gt;"&amp;T394)+COUNTIFS($S$4:S394,1,$T$4:T394,T394),"")</f>
        <v/>
      </c>
      <c r="V394" t="str">
        <f>IF(D394=1,MIN(INDEX($R$4:$R$503,MATCH(G394,$G$4:$G$503,0)),IF($AL$7&gt;9,9,999)),"")</f>
        <v/>
      </c>
      <c r="W394" s="166">
        <f>IF(OR($I394="",$E394=0),0,IF(OR($J394&lt;W$3,$I394&gt;W$2),0,IF($K394=0,IF(AND($I394&gt;=W$3,$I394&lt;=W$2),$E394,0),$E394*NETWORKDAYS(MAX($I394,W$3),MIN($J394,W$2),Data!$K$4:$K$203)/$K394)))</f>
        <v>0</v>
      </c>
      <c r="X394" s="166">
        <f>IF(OR($I394="",$E394=0),0,IF(OR($J394&lt;X$3,$I394&gt;X$2),0,IF($K394=0,IF(AND($I394&gt;=X$3,$I394&lt;=X$2),$E394,0),$E394*NETWORKDAYS(MAX($I394,X$3),MIN($J394,X$2),Data!$K$4:$K$203)/$K394)))</f>
        <v>0</v>
      </c>
      <c r="Y394" s="166">
        <f>IF(OR($I394="",$E394=0),0,IF(OR($J394&lt;Y$3,$I394&gt;Y$2),0,IF($K394=0,IF(AND($I394&gt;=Y$3,$I394&lt;=Y$2),$E394,0),$E394*NETWORKDAYS(MAX($I394,Y$3),MIN($J394,Y$2),Data!$K$4:$K$203)/$K394)))</f>
        <v>0</v>
      </c>
      <c r="Z394" s="166">
        <f>IF(OR($I394="",$E394=0),0,IF(OR($J394&lt;Z$3,$I394&gt;Z$2),0,IF($K394=0,IF(AND($I394&gt;=Z$3,$I394&lt;=Z$2),$E394,0),$E394*NETWORKDAYS(MAX($I394,Z$3),MIN($J394,Z$2),Data!$K$4:$K$203)/$K394)))</f>
        <v>0</v>
      </c>
      <c r="AA394" s="166">
        <f>IF(OR($I394="",$E394=0),0,IF(OR($J394&lt;AA$3,$I394&gt;AA$2),0,IF($K394=0,IF(AND($I394&gt;=AA$3,$I394&lt;=AA$2),$E394,0),$E394*NETWORKDAYS(MAX($I394,AA$3),MIN($J394,AA$2),Data!$K$4:$K$203)/$K394)))</f>
        <v>0</v>
      </c>
      <c r="AB394" s="166">
        <f>IF(OR($I394="",$E394=0),0,IF(OR($J394&lt;AB$3,$I394&gt;AB$2),0,IF($K394=0,IF(AND($I394&gt;=AB$3,$I394&lt;=AB$2),$E394,0),$E394*NETWORKDAYS(MAX($I394,AB$3),MIN($J394,AB$2),Data!$K$4:$K$203)/$K394)))</f>
        <v>0</v>
      </c>
      <c r="AC394" s="166">
        <f>IF(OR($I394="",$E394=0),0,IF(OR($J394&lt;AC$3,$I394&gt;AC$2),0,IF($K394=0,IF(AND($I394&gt;=AC$3,$I394&lt;=AC$2),$E394,0),$E394*NETWORKDAYS(MAX($I394,AC$3),MIN($J394,AC$2),Data!$K$4:$K$203)/$K394)))</f>
        <v>0</v>
      </c>
      <c r="AD394" s="166">
        <f>IF(OR($I394="",$E394=0),0,IF(OR($J394&lt;AD$3,$I394&gt;AD$2),0,IF($K394=0,IF(AND($I394&gt;=AD$3,$I394&lt;=AD$2),$E394,0),$E394*NETWORKDAYS(MAX($I394,AD$3),MIN($J394,AD$2),Data!$K$4:$K$203)/$K394)))</f>
        <v>0</v>
      </c>
      <c r="AE394" s="166">
        <f>IF(OR($I394="",$E394=0),0,IF(OR($J394&lt;AE$3,$I394&gt;AE$2),0,IF($K394=0,IF(AND($I394&gt;=AE$3,$I394&lt;=AE$2),$E394,0),$E394*NETWORKDAYS(MAX($I394,AE$3),MIN($J394,AE$2),Data!$K$4:$K$203)/$K394)))</f>
        <v>0</v>
      </c>
      <c r="AF394" s="166">
        <f>IF(OR($I394="",$E394=0),0,IF(OR($J394&lt;AF$3,$I394&gt;AF$2),0,IF($K394=0,IF(AND($I394&gt;=AF$3,$I394&lt;=AF$2),$E394,0),$E394*NETWORKDAYS(MAX($I394,AF$3),MIN($J394,AF$2),Data!$K$4:$K$203)/$K394)))</f>
        <v>0</v>
      </c>
      <c r="AG394" s="166">
        <f>IF(OR($I394="",$E394=0),0,IF(OR($J394&lt;AG$3,$I394&gt;AG$2),0,IF($K394=0,IF(AND($I394&gt;=AG$3,$I394&lt;=AG$2),$E394,0),$E394*NETWORKDAYS(MAX($I394,AG$3),MIN($J394,AG$2),Data!$K$4:$K$203)/$K394)))</f>
        <v>0</v>
      </c>
      <c r="AH394" s="166">
        <f>IF(OR($I394="",$E394=0),0,IF(OR($J394&lt;AH$3,$I394&gt;AH$2),0,IF($K394=0,IF(AND($I394&gt;=AH$3,$I394&lt;=AH$2),$E394,0),$E394*NETWORKDAYS(MAX($I394,AH$3),MIN($J394,AH$2),Data!$K$4:$K$203)/$K394)))</f>
        <v>0</v>
      </c>
      <c r="AI394" s="166">
        <f>SUM(W394:AH394)</f>
        <v>0</v>
      </c>
      <c r="BZ394" t="str">
        <f>IF(D394=1,IF(TRIM(INDEX(Charge!$K:$K,ROW()))&lt;&gt;"",TRIM(INDEX(Charge!$K:$K,ROW())),IF(TRIM(INDEX(Charge!$L:$L,ROW()))&lt;&gt;"",TRIM(INDEX(Charge!$L:$L,ROW())),"(non affecté)")),"")</f>
        <v/>
      </c>
      <c r="CA394" t="str">
        <f>IF(AND($CD$4&lt;&gt;"",BZ394=$CD$4),COUNTIFS($BZ$4:$BZ$503,$CD$4,$L$4:$L$503,"&lt;"&amp;L394)+1,"")</f>
        <v/>
      </c>
      <c r="EM394" t="str">
        <f>IF(D394=1,IF(TRIM(INDEX(Charge!$K:$K,ROW()))&lt;&gt;"","Interne",IF(TRIM(INDEX(Charge!$L:$L,ROW()))&lt;&gt;"","Externe","Non affecté")),"")</f>
        <v/>
      </c>
      <c r="EN394" t="str">
        <f>IF(D394=1,LEFT(SUBSTITUTE(SUBSTITUTE(SUBSTITUTE(TRIM(SUBSTITUTE(INDEX(Charge!$B:$B,ROW()),CHAR(160)," "))&amp;" | "&amp;TRIM(SUBSTITUTE(INDEX(Charge!$C:$C,ROW()),CHAR(160)," "))&amp;" | "&amp;TRIM(SUBSTITUTE(INDEX(Charge!$D:$D,ROW()),CHAR(160)," ")),"~","-"),"*","+"),"?","!"),240),"")</f>
        <v/>
      </c>
      <c r="EO394">
        <f>IF(EN394="",0,IF(COUNTIF($EN$4:EN394,EN394)=1,1,0))</f>
        <v>0</v>
      </c>
      <c r="EP394" s="166" t="str">
        <f>IF(EO394=1,ROUND(SUMIF($EN$4:$EN$503,EN394,$E$4:$E$503),2),"")</f>
        <v/>
      </c>
      <c r="EQ394" t="str">
        <f>IF(EO394=1,COUNTIFS($EO$4:$EO$503,1,$EP$4:$EP$503,"&gt;"&amp;EP394)+COUNTIFS($EO$4:EO394,1,$EP$4:EP394,EP394),"")</f>
        <v/>
      </c>
      <c r="ER394" t="str">
        <f>IF(EO394=1,COUNTIFS($EN$4:$EN$503,EN394,$EM$4:$EM$503,"Interne",$FE$4:$FE$503,1),"")</f>
        <v/>
      </c>
      <c r="ES394" t="str">
        <f>IF(EO394=1,COUNTIFS($EN$4:$EN$503,EN394,$EM$4:$EM$503,"Externe",$FE$4:$FE$503,1),"")</f>
        <v/>
      </c>
      <c r="ET394" t="str">
        <f>IF(EO394=1,IF(ER394+ES394=0,"à affecter",IF(ER394=0,ES394&amp;" ext.",(ER394+ES394)&amp;IF(ES394&gt;0," dont "&amp;ES394&amp;" ext.",""))&amp;IF(COUNTIFS($EN$4:$EN$503,EN394,$EM$4:$EM$503,"Non affecté")&gt;0," + à affecter","")),"")</f>
        <v/>
      </c>
      <c r="EU394" s="170" t="str">
        <f>IF(EO394=1,IF(EP394&gt;0,SUMPRODUCT(($EN$4:$EN$503=EN394)*$E$4:$E$503*$C$4:$C$503)/EP394,AVERAGEIF($EN$4:$EN$503,EN394,$C$4:$C$503)),"")</f>
        <v/>
      </c>
      <c r="EV394" s="165">
        <f>IF(ISNUMBER(I394),I394,2958465)</f>
        <v>2958465.0</v>
      </c>
      <c r="EW394" s="165" t="str">
        <f>IF(EO394=1,SUMPRODUCT(MIN(($EN$4:$EN$503=EN394)*$EV$4:$EV$503+($EN$4:$EN$503&lt;&gt;EN394)*2958465)),"")</f>
        <v/>
      </c>
      <c r="EX394" s="165">
        <f>IF(AND(D394=1,ISNUMBER(INDEX(Charge!$F:$F,ROW()))),INDEX(Charge!$F:$F,ROW()),0)</f>
        <v>0.0</v>
      </c>
      <c r="EY394" s="165" t="str">
        <f>IF(EO394=1,SUMPRODUCT(MAX(($EN$4:$EN$503=EN394)*$EX$4:$EX$503)),"")</f>
        <v/>
      </c>
      <c r="FA394" t="str">
        <f>IF(391&lt;=$CD$23,INDEX($EJ$4:$EJ$203,391),IF(391-$CD$23&lt;=$CD$26,INDEX($EK$4:$EK$203,391-$CD$23),""))</f>
        <v/>
      </c>
      <c r="FB394" t="str">
        <f>IF(FA394="","",IF(391&lt;=$CD$23,"Interne","Externe"))</f>
        <v/>
      </c>
      <c r="FD394">
        <f>IF(AND(B394=1,TRIM(INDEX(Charge!$K:$K,ROW()))&lt;&gt;"",TRIM(INDEX(Charge!$L:$L,ROW()))&lt;&gt;""),1,0)</f>
        <v>0</v>
      </c>
      <c r="FE394">
        <f>IF(OR(EN394="",BZ394="(non affecté)"),0,IF(COUNTIFS($EN$4:EN394,EN394,$BZ$4:BZ394,BZ394)=1,1,0))</f>
        <v>0</v>
      </c>
    </row>
    <row r="395">
      <c r="A395">
        <f>ROW()</f>
        <v>395</v>
      </c>
      <c r="B395">
        <f>IF(TRIM(INDEX(Charge!$B:$B,ROW()))&lt;&gt;"",1,0)</f>
        <v>0</v>
      </c>
      <c r="C395">
        <f>IF(B395=1,MIN(1,MAX(0,N(INDEX(Charge!$O:$O,ROW())))),0)</f>
        <v>0</v>
      </c>
      <c r="D395">
        <f>IF(B395=1,IF(OR(p_Perimetre="Tous les projets",C395&lt;1),1,0),0)</f>
        <v>0</v>
      </c>
      <c r="E395">
        <f>IF(D395=1,MAX(0,N(INDEX(Charge!$M:$M,ROW()))),0)</f>
        <v>0</v>
      </c>
      <c r="F395" t="str">
        <f>IF(D395=1,IF(TRIM(INDEX(Charge!$A:$A,ROW()))="","(non renseigné)",TRIM(INDEX(Charge!$A:$A,ROW()))),"")</f>
        <v/>
      </c>
      <c r="G395" t="str">
        <f>IF(D395=1,TRIM(INDEX(Charge!$B:$B,ROW())),"")</f>
        <v/>
      </c>
      <c r="H395" t="str">
        <f>IF(D395=1,IF(TRIM(INDEX(Charge!$E:$E,ROW()))="","(non renseigné)",TRIM(INDEX(Charge!$E:$E,ROW()))),"")</f>
        <v/>
      </c>
      <c r="I395" s="165" t="str">
        <f>IF(AND(D395=1,ISNUMBER(INDEX(Charge!$N:$N,ROW()))),INDEX(Charge!$N:$N,ROW()),"")</f>
        <v/>
      </c>
      <c r="J395" s="165" t="str">
        <f>IF(I395="","",IF(AND(p_Repartition="Lissée jusqu'à la date de besoin",ISNUMBER(INDEX(Charge!$F:$F,ROW()))),IF(INDEX(Charge!$F:$F,ROW())&gt;=I395,INDEX(Charge!$F:$F,ROW()),I395),I395))</f>
        <v/>
      </c>
      <c r="K395" t="str">
        <f>IF(I395="","",NETWORKDAYS(I395,J395,Data!$K$4:$K$203))</f>
        <v/>
      </c>
      <c r="L395" t="str">
        <f>IF(D395=1,COUNTIFS($D$4:$D$503,1,$E$4:$E$503,"&gt;"&amp;E395)+COUNTIFS($D$4:$D395,1,$E$4:$E395,E395),"")</f>
        <v/>
      </c>
      <c r="M395">
        <f>IF(F395="",0,IF(COUNTIF($F$4:F395,F395)=1,1,0))</f>
        <v>0</v>
      </c>
      <c r="N395" t="str">
        <f>IF(M395=1,ROUND(SUMIF($F$4:$F$503,F395,$E$4:$E$503),2),"")</f>
        <v/>
      </c>
      <c r="O395" t="str">
        <f>IF(M395=1,COUNTIFS($M$4:$M$503,1,$N$4:$N$503,"&gt;"&amp;N395)+COUNTIFS($M$4:M395,1,$N$4:N395,N395),"")</f>
        <v/>
      </c>
      <c r="P395">
        <f>IF(G395="",0,IF(COUNTIF($G$4:G395,G395)=1,1,0))</f>
        <v>0</v>
      </c>
      <c r="Q395" t="str">
        <f>IF(P395=1,ROUND(SUMIF($G$4:$G$503,G395,$E$4:$E$503),2),"")</f>
        <v/>
      </c>
      <c r="R395" t="str">
        <f>IF(P395=1,COUNTIFS($P$4:$P$503,1,$Q$4:$Q$503,"&gt;"&amp;Q395)+COUNTIFS($P$4:P395,1,$Q$4:Q395,Q395),"")</f>
        <v/>
      </c>
      <c r="S395">
        <f>IF(H395="",0,IF(COUNTIF($H$4:H395,H395)=1,1,0))</f>
        <v>0</v>
      </c>
      <c r="T395" t="str">
        <f>IF(S395=1,ROUND(SUMIF($H$4:$H$503,H395,$E$4:$E$503),2),"")</f>
        <v/>
      </c>
      <c r="U395" t="str">
        <f>IF(S395=1,COUNTIFS($S$4:$S$503,1,$T$4:$T$503,"&gt;"&amp;T395)+COUNTIFS($S$4:S395,1,$T$4:T395,T395),"")</f>
        <v/>
      </c>
      <c r="V395" t="str">
        <f>IF(D395=1,MIN(INDEX($R$4:$R$503,MATCH(G395,$G$4:$G$503,0)),IF($AL$7&gt;9,9,999)),"")</f>
        <v/>
      </c>
      <c r="W395" s="166">
        <f>IF(OR($I395="",$E395=0),0,IF(OR($J395&lt;W$3,$I395&gt;W$2),0,IF($K395=0,IF(AND($I395&gt;=W$3,$I395&lt;=W$2),$E395,0),$E395*NETWORKDAYS(MAX($I395,W$3),MIN($J395,W$2),Data!$K$4:$K$203)/$K395)))</f>
        <v>0</v>
      </c>
      <c r="X395" s="166">
        <f>IF(OR($I395="",$E395=0),0,IF(OR($J395&lt;X$3,$I395&gt;X$2),0,IF($K395=0,IF(AND($I395&gt;=X$3,$I395&lt;=X$2),$E395,0),$E395*NETWORKDAYS(MAX($I395,X$3),MIN($J395,X$2),Data!$K$4:$K$203)/$K395)))</f>
        <v>0</v>
      </c>
      <c r="Y395" s="166">
        <f>IF(OR($I395="",$E395=0),0,IF(OR($J395&lt;Y$3,$I395&gt;Y$2),0,IF($K395=0,IF(AND($I395&gt;=Y$3,$I395&lt;=Y$2),$E395,0),$E395*NETWORKDAYS(MAX($I395,Y$3),MIN($J395,Y$2),Data!$K$4:$K$203)/$K395)))</f>
        <v>0</v>
      </c>
      <c r="Z395" s="166">
        <f>IF(OR($I395="",$E395=0),0,IF(OR($J395&lt;Z$3,$I395&gt;Z$2),0,IF($K395=0,IF(AND($I395&gt;=Z$3,$I395&lt;=Z$2),$E395,0),$E395*NETWORKDAYS(MAX($I395,Z$3),MIN($J395,Z$2),Data!$K$4:$K$203)/$K395)))</f>
        <v>0</v>
      </c>
      <c r="AA395" s="166">
        <f>IF(OR($I395="",$E395=0),0,IF(OR($J395&lt;AA$3,$I395&gt;AA$2),0,IF($K395=0,IF(AND($I395&gt;=AA$3,$I395&lt;=AA$2),$E395,0),$E395*NETWORKDAYS(MAX($I395,AA$3),MIN($J395,AA$2),Data!$K$4:$K$203)/$K395)))</f>
        <v>0</v>
      </c>
      <c r="AB395" s="166">
        <f>IF(OR($I395="",$E395=0),0,IF(OR($J395&lt;AB$3,$I395&gt;AB$2),0,IF($K395=0,IF(AND($I395&gt;=AB$3,$I395&lt;=AB$2),$E395,0),$E395*NETWORKDAYS(MAX($I395,AB$3),MIN($J395,AB$2),Data!$K$4:$K$203)/$K395)))</f>
        <v>0</v>
      </c>
      <c r="AC395" s="166">
        <f>IF(OR($I395="",$E395=0),0,IF(OR($J395&lt;AC$3,$I395&gt;AC$2),0,IF($K395=0,IF(AND($I395&gt;=AC$3,$I395&lt;=AC$2),$E395,0),$E395*NETWORKDAYS(MAX($I395,AC$3),MIN($J395,AC$2),Data!$K$4:$K$203)/$K395)))</f>
        <v>0</v>
      </c>
      <c r="AD395" s="166">
        <f>IF(OR($I395="",$E395=0),0,IF(OR($J395&lt;AD$3,$I395&gt;AD$2),0,IF($K395=0,IF(AND($I395&gt;=AD$3,$I395&lt;=AD$2),$E395,0),$E395*NETWORKDAYS(MAX($I395,AD$3),MIN($J395,AD$2),Data!$K$4:$K$203)/$K395)))</f>
        <v>0</v>
      </c>
      <c r="AE395" s="166">
        <f>IF(OR($I395="",$E395=0),0,IF(OR($J395&lt;AE$3,$I395&gt;AE$2),0,IF($K395=0,IF(AND($I395&gt;=AE$3,$I395&lt;=AE$2),$E395,0),$E395*NETWORKDAYS(MAX($I395,AE$3),MIN($J395,AE$2),Data!$K$4:$K$203)/$K395)))</f>
        <v>0</v>
      </c>
      <c r="AF395" s="166">
        <f>IF(OR($I395="",$E395=0),0,IF(OR($J395&lt;AF$3,$I395&gt;AF$2),0,IF($K395=0,IF(AND($I395&gt;=AF$3,$I395&lt;=AF$2),$E395,0),$E395*NETWORKDAYS(MAX($I395,AF$3),MIN($J395,AF$2),Data!$K$4:$K$203)/$K395)))</f>
        <v>0</v>
      </c>
      <c r="AG395" s="166">
        <f>IF(OR($I395="",$E395=0),0,IF(OR($J395&lt;AG$3,$I395&gt;AG$2),0,IF($K395=0,IF(AND($I395&gt;=AG$3,$I395&lt;=AG$2),$E395,0),$E395*NETWORKDAYS(MAX($I395,AG$3),MIN($J395,AG$2),Data!$K$4:$K$203)/$K395)))</f>
        <v>0</v>
      </c>
      <c r="AH395" s="166">
        <f>IF(OR($I395="",$E395=0),0,IF(OR($J395&lt;AH$3,$I395&gt;AH$2),0,IF($K395=0,IF(AND($I395&gt;=AH$3,$I395&lt;=AH$2),$E395,0),$E395*NETWORKDAYS(MAX($I395,AH$3),MIN($J395,AH$2),Data!$K$4:$K$203)/$K395)))</f>
        <v>0</v>
      </c>
      <c r="AI395" s="166">
        <f>SUM(W395:AH395)</f>
        <v>0</v>
      </c>
      <c r="BZ395" t="str">
        <f>IF(D395=1,IF(TRIM(INDEX(Charge!$K:$K,ROW()))&lt;&gt;"",TRIM(INDEX(Charge!$K:$K,ROW())),IF(TRIM(INDEX(Charge!$L:$L,ROW()))&lt;&gt;"",TRIM(INDEX(Charge!$L:$L,ROW())),"(non affecté)")),"")</f>
        <v/>
      </c>
      <c r="CA395" t="str">
        <f>IF(AND($CD$4&lt;&gt;"",BZ395=$CD$4),COUNTIFS($BZ$4:$BZ$503,$CD$4,$L$4:$L$503,"&lt;"&amp;L395)+1,"")</f>
        <v/>
      </c>
      <c r="EM395" t="str">
        <f>IF(D395=1,IF(TRIM(INDEX(Charge!$K:$K,ROW()))&lt;&gt;"","Interne",IF(TRIM(INDEX(Charge!$L:$L,ROW()))&lt;&gt;"","Externe","Non affecté")),"")</f>
        <v/>
      </c>
      <c r="EN395" t="str">
        <f>IF(D395=1,LEFT(SUBSTITUTE(SUBSTITUTE(SUBSTITUTE(TRIM(SUBSTITUTE(INDEX(Charge!$B:$B,ROW()),CHAR(160)," "))&amp;" | "&amp;TRIM(SUBSTITUTE(INDEX(Charge!$C:$C,ROW()),CHAR(160)," "))&amp;" | "&amp;TRIM(SUBSTITUTE(INDEX(Charge!$D:$D,ROW()),CHAR(160)," ")),"~","-"),"*","+"),"?","!"),240),"")</f>
        <v/>
      </c>
      <c r="EO395">
        <f>IF(EN395="",0,IF(COUNTIF($EN$4:EN395,EN395)=1,1,0))</f>
        <v>0</v>
      </c>
      <c r="EP395" s="166" t="str">
        <f>IF(EO395=1,ROUND(SUMIF($EN$4:$EN$503,EN395,$E$4:$E$503),2),"")</f>
        <v/>
      </c>
      <c r="EQ395" t="str">
        <f>IF(EO395=1,COUNTIFS($EO$4:$EO$503,1,$EP$4:$EP$503,"&gt;"&amp;EP395)+COUNTIFS($EO$4:EO395,1,$EP$4:EP395,EP395),"")</f>
        <v/>
      </c>
      <c r="ER395" t="str">
        <f>IF(EO395=1,COUNTIFS($EN$4:$EN$503,EN395,$EM$4:$EM$503,"Interne",$FE$4:$FE$503,1),"")</f>
        <v/>
      </c>
      <c r="ES395" t="str">
        <f>IF(EO395=1,COUNTIFS($EN$4:$EN$503,EN395,$EM$4:$EM$503,"Externe",$FE$4:$FE$503,1),"")</f>
        <v/>
      </c>
      <c r="ET395" t="str">
        <f>IF(EO395=1,IF(ER395+ES395=0,"à affecter",IF(ER395=0,ES395&amp;" ext.",(ER395+ES395)&amp;IF(ES395&gt;0," dont "&amp;ES395&amp;" ext.",""))&amp;IF(COUNTIFS($EN$4:$EN$503,EN395,$EM$4:$EM$503,"Non affecté")&gt;0," + à affecter","")),"")</f>
        <v/>
      </c>
      <c r="EU395" s="170" t="str">
        <f>IF(EO395=1,IF(EP395&gt;0,SUMPRODUCT(($EN$4:$EN$503=EN395)*$E$4:$E$503*$C$4:$C$503)/EP395,AVERAGEIF($EN$4:$EN$503,EN395,$C$4:$C$503)),"")</f>
        <v/>
      </c>
      <c r="EV395" s="165">
        <f>IF(ISNUMBER(I395),I395,2958465)</f>
        <v>2958465.0</v>
      </c>
      <c r="EW395" s="165" t="str">
        <f>IF(EO395=1,SUMPRODUCT(MIN(($EN$4:$EN$503=EN395)*$EV$4:$EV$503+($EN$4:$EN$503&lt;&gt;EN395)*2958465)),"")</f>
        <v/>
      </c>
      <c r="EX395" s="165">
        <f>IF(AND(D395=1,ISNUMBER(INDEX(Charge!$F:$F,ROW()))),INDEX(Charge!$F:$F,ROW()),0)</f>
        <v>0.0</v>
      </c>
      <c r="EY395" s="165" t="str">
        <f>IF(EO395=1,SUMPRODUCT(MAX(($EN$4:$EN$503=EN395)*$EX$4:$EX$503)),"")</f>
        <v/>
      </c>
      <c r="FA395" t="str">
        <f>IF(392&lt;=$CD$23,INDEX($EJ$4:$EJ$203,392),IF(392-$CD$23&lt;=$CD$26,INDEX($EK$4:$EK$203,392-$CD$23),""))</f>
        <v/>
      </c>
      <c r="FB395" t="str">
        <f>IF(FA395="","",IF(392&lt;=$CD$23,"Interne","Externe"))</f>
        <v/>
      </c>
      <c r="FD395">
        <f>IF(AND(B395=1,TRIM(INDEX(Charge!$K:$K,ROW()))&lt;&gt;"",TRIM(INDEX(Charge!$L:$L,ROW()))&lt;&gt;""),1,0)</f>
        <v>0</v>
      </c>
      <c r="FE395">
        <f>IF(OR(EN395="",BZ395="(non affecté)"),0,IF(COUNTIFS($EN$4:EN395,EN395,$BZ$4:BZ395,BZ395)=1,1,0))</f>
        <v>0</v>
      </c>
    </row>
    <row r="396">
      <c r="A396">
        <f>ROW()</f>
        <v>396</v>
      </c>
      <c r="B396">
        <f>IF(TRIM(INDEX(Charge!$B:$B,ROW()))&lt;&gt;"",1,0)</f>
        <v>0</v>
      </c>
      <c r="C396">
        <f>IF(B396=1,MIN(1,MAX(0,N(INDEX(Charge!$O:$O,ROW())))),0)</f>
        <v>0</v>
      </c>
      <c r="D396">
        <f>IF(B396=1,IF(OR(p_Perimetre="Tous les projets",C396&lt;1),1,0),0)</f>
        <v>0</v>
      </c>
      <c r="E396">
        <f>IF(D396=1,MAX(0,N(INDEX(Charge!$M:$M,ROW()))),0)</f>
        <v>0</v>
      </c>
      <c r="F396" t="str">
        <f>IF(D396=1,IF(TRIM(INDEX(Charge!$A:$A,ROW()))="","(non renseigné)",TRIM(INDEX(Charge!$A:$A,ROW()))),"")</f>
        <v/>
      </c>
      <c r="G396" t="str">
        <f>IF(D396=1,TRIM(INDEX(Charge!$B:$B,ROW())),"")</f>
        <v/>
      </c>
      <c r="H396" t="str">
        <f>IF(D396=1,IF(TRIM(INDEX(Charge!$E:$E,ROW()))="","(non renseigné)",TRIM(INDEX(Charge!$E:$E,ROW()))),"")</f>
        <v/>
      </c>
      <c r="I396" s="165" t="str">
        <f>IF(AND(D396=1,ISNUMBER(INDEX(Charge!$N:$N,ROW()))),INDEX(Charge!$N:$N,ROW()),"")</f>
        <v/>
      </c>
      <c r="J396" s="165" t="str">
        <f>IF(I396="","",IF(AND(p_Repartition="Lissée jusqu'à la date de besoin",ISNUMBER(INDEX(Charge!$F:$F,ROW()))),IF(INDEX(Charge!$F:$F,ROW())&gt;=I396,INDEX(Charge!$F:$F,ROW()),I396),I396))</f>
        <v/>
      </c>
      <c r="K396" t="str">
        <f>IF(I396="","",NETWORKDAYS(I396,J396,Data!$K$4:$K$203))</f>
        <v/>
      </c>
      <c r="L396" t="str">
        <f>IF(D396=1,COUNTIFS($D$4:$D$503,1,$E$4:$E$503,"&gt;"&amp;E396)+COUNTIFS($D$4:$D396,1,$E$4:$E396,E396),"")</f>
        <v/>
      </c>
      <c r="M396">
        <f>IF(F396="",0,IF(COUNTIF($F$4:F396,F396)=1,1,0))</f>
        <v>0</v>
      </c>
      <c r="N396" t="str">
        <f>IF(M396=1,ROUND(SUMIF($F$4:$F$503,F396,$E$4:$E$503),2),"")</f>
        <v/>
      </c>
      <c r="O396" t="str">
        <f>IF(M396=1,COUNTIFS($M$4:$M$503,1,$N$4:$N$503,"&gt;"&amp;N396)+COUNTIFS($M$4:M396,1,$N$4:N396,N396),"")</f>
        <v/>
      </c>
      <c r="P396">
        <f>IF(G396="",0,IF(COUNTIF($G$4:G396,G396)=1,1,0))</f>
        <v>0</v>
      </c>
      <c r="Q396" t="str">
        <f>IF(P396=1,ROUND(SUMIF($G$4:$G$503,G396,$E$4:$E$503),2),"")</f>
        <v/>
      </c>
      <c r="R396" t="str">
        <f>IF(P396=1,COUNTIFS($P$4:$P$503,1,$Q$4:$Q$503,"&gt;"&amp;Q396)+COUNTIFS($P$4:P396,1,$Q$4:Q396,Q396),"")</f>
        <v/>
      </c>
      <c r="S396">
        <f>IF(H396="",0,IF(COUNTIF($H$4:H396,H396)=1,1,0))</f>
        <v>0</v>
      </c>
      <c r="T396" t="str">
        <f>IF(S396=1,ROUND(SUMIF($H$4:$H$503,H396,$E$4:$E$503),2),"")</f>
        <v/>
      </c>
      <c r="U396" t="str">
        <f>IF(S396=1,COUNTIFS($S$4:$S$503,1,$T$4:$T$503,"&gt;"&amp;T396)+COUNTIFS($S$4:S396,1,$T$4:T396,T396),"")</f>
        <v/>
      </c>
      <c r="V396" t="str">
        <f>IF(D396=1,MIN(INDEX($R$4:$R$503,MATCH(G396,$G$4:$G$503,0)),IF($AL$7&gt;9,9,999)),"")</f>
        <v/>
      </c>
      <c r="W396" s="166">
        <f>IF(OR($I396="",$E396=0),0,IF(OR($J396&lt;W$3,$I396&gt;W$2),0,IF($K396=0,IF(AND($I396&gt;=W$3,$I396&lt;=W$2),$E396,0),$E396*NETWORKDAYS(MAX($I396,W$3),MIN($J396,W$2),Data!$K$4:$K$203)/$K396)))</f>
        <v>0</v>
      </c>
      <c r="X396" s="166">
        <f>IF(OR($I396="",$E396=0),0,IF(OR($J396&lt;X$3,$I396&gt;X$2),0,IF($K396=0,IF(AND($I396&gt;=X$3,$I396&lt;=X$2),$E396,0),$E396*NETWORKDAYS(MAX($I396,X$3),MIN($J396,X$2),Data!$K$4:$K$203)/$K396)))</f>
        <v>0</v>
      </c>
      <c r="Y396" s="166">
        <f>IF(OR($I396="",$E396=0),0,IF(OR($J396&lt;Y$3,$I396&gt;Y$2),0,IF($K396=0,IF(AND($I396&gt;=Y$3,$I396&lt;=Y$2),$E396,0),$E396*NETWORKDAYS(MAX($I396,Y$3),MIN($J396,Y$2),Data!$K$4:$K$203)/$K396)))</f>
        <v>0</v>
      </c>
      <c r="Z396" s="166">
        <f>IF(OR($I396="",$E396=0),0,IF(OR($J396&lt;Z$3,$I396&gt;Z$2),0,IF($K396=0,IF(AND($I396&gt;=Z$3,$I396&lt;=Z$2),$E396,0),$E396*NETWORKDAYS(MAX($I396,Z$3),MIN($J396,Z$2),Data!$K$4:$K$203)/$K396)))</f>
        <v>0</v>
      </c>
      <c r="AA396" s="166">
        <f>IF(OR($I396="",$E396=0),0,IF(OR($J396&lt;AA$3,$I396&gt;AA$2),0,IF($K396=0,IF(AND($I396&gt;=AA$3,$I396&lt;=AA$2),$E396,0),$E396*NETWORKDAYS(MAX($I396,AA$3),MIN($J396,AA$2),Data!$K$4:$K$203)/$K396)))</f>
        <v>0</v>
      </c>
      <c r="AB396" s="166">
        <f>IF(OR($I396="",$E396=0),0,IF(OR($J396&lt;AB$3,$I396&gt;AB$2),0,IF($K396=0,IF(AND($I396&gt;=AB$3,$I396&lt;=AB$2),$E396,0),$E396*NETWORKDAYS(MAX($I396,AB$3),MIN($J396,AB$2),Data!$K$4:$K$203)/$K396)))</f>
        <v>0</v>
      </c>
      <c r="AC396" s="166">
        <f>IF(OR($I396="",$E396=0),0,IF(OR($J396&lt;AC$3,$I396&gt;AC$2),0,IF($K396=0,IF(AND($I396&gt;=AC$3,$I396&lt;=AC$2),$E396,0),$E396*NETWORKDAYS(MAX($I396,AC$3),MIN($J396,AC$2),Data!$K$4:$K$203)/$K396)))</f>
        <v>0</v>
      </c>
      <c r="AD396" s="166">
        <f>IF(OR($I396="",$E396=0),0,IF(OR($J396&lt;AD$3,$I396&gt;AD$2),0,IF($K396=0,IF(AND($I396&gt;=AD$3,$I396&lt;=AD$2),$E396,0),$E396*NETWORKDAYS(MAX($I396,AD$3),MIN($J396,AD$2),Data!$K$4:$K$203)/$K396)))</f>
        <v>0</v>
      </c>
      <c r="AE396" s="166">
        <f>IF(OR($I396="",$E396=0),0,IF(OR($J396&lt;AE$3,$I396&gt;AE$2),0,IF($K396=0,IF(AND($I396&gt;=AE$3,$I396&lt;=AE$2),$E396,0),$E396*NETWORKDAYS(MAX($I396,AE$3),MIN($J396,AE$2),Data!$K$4:$K$203)/$K396)))</f>
        <v>0</v>
      </c>
      <c r="AF396" s="166">
        <f>IF(OR($I396="",$E396=0),0,IF(OR($J396&lt;AF$3,$I396&gt;AF$2),0,IF($K396=0,IF(AND($I396&gt;=AF$3,$I396&lt;=AF$2),$E396,0),$E396*NETWORKDAYS(MAX($I396,AF$3),MIN($J396,AF$2),Data!$K$4:$K$203)/$K396)))</f>
        <v>0</v>
      </c>
      <c r="AG396" s="166">
        <f>IF(OR($I396="",$E396=0),0,IF(OR($J396&lt;AG$3,$I396&gt;AG$2),0,IF($K396=0,IF(AND($I396&gt;=AG$3,$I396&lt;=AG$2),$E396,0),$E396*NETWORKDAYS(MAX($I396,AG$3),MIN($J396,AG$2),Data!$K$4:$K$203)/$K396)))</f>
        <v>0</v>
      </c>
      <c r="AH396" s="166">
        <f>IF(OR($I396="",$E396=0),0,IF(OR($J396&lt;AH$3,$I396&gt;AH$2),0,IF($K396=0,IF(AND($I396&gt;=AH$3,$I396&lt;=AH$2),$E396,0),$E396*NETWORKDAYS(MAX($I396,AH$3),MIN($J396,AH$2),Data!$K$4:$K$203)/$K396)))</f>
        <v>0</v>
      </c>
      <c r="AI396" s="166">
        <f>SUM(W396:AH396)</f>
        <v>0</v>
      </c>
      <c r="BZ396" t="str">
        <f>IF(D396=1,IF(TRIM(INDEX(Charge!$K:$K,ROW()))&lt;&gt;"",TRIM(INDEX(Charge!$K:$K,ROW())),IF(TRIM(INDEX(Charge!$L:$L,ROW()))&lt;&gt;"",TRIM(INDEX(Charge!$L:$L,ROW())),"(non affecté)")),"")</f>
        <v/>
      </c>
      <c r="CA396" t="str">
        <f>IF(AND($CD$4&lt;&gt;"",BZ396=$CD$4),COUNTIFS($BZ$4:$BZ$503,$CD$4,$L$4:$L$503,"&lt;"&amp;L396)+1,"")</f>
        <v/>
      </c>
      <c r="EM396" t="str">
        <f>IF(D396=1,IF(TRIM(INDEX(Charge!$K:$K,ROW()))&lt;&gt;"","Interne",IF(TRIM(INDEX(Charge!$L:$L,ROW()))&lt;&gt;"","Externe","Non affecté")),"")</f>
        <v/>
      </c>
      <c r="EN396" t="str">
        <f>IF(D396=1,LEFT(SUBSTITUTE(SUBSTITUTE(SUBSTITUTE(TRIM(SUBSTITUTE(INDEX(Charge!$B:$B,ROW()),CHAR(160)," "))&amp;" | "&amp;TRIM(SUBSTITUTE(INDEX(Charge!$C:$C,ROW()),CHAR(160)," "))&amp;" | "&amp;TRIM(SUBSTITUTE(INDEX(Charge!$D:$D,ROW()),CHAR(160)," ")),"~","-"),"*","+"),"?","!"),240),"")</f>
        <v/>
      </c>
      <c r="EO396">
        <f>IF(EN396="",0,IF(COUNTIF($EN$4:EN396,EN396)=1,1,0))</f>
        <v>0</v>
      </c>
      <c r="EP396" s="166" t="str">
        <f>IF(EO396=1,ROUND(SUMIF($EN$4:$EN$503,EN396,$E$4:$E$503),2),"")</f>
        <v/>
      </c>
      <c r="EQ396" t="str">
        <f>IF(EO396=1,COUNTIFS($EO$4:$EO$503,1,$EP$4:$EP$503,"&gt;"&amp;EP396)+COUNTIFS($EO$4:EO396,1,$EP$4:EP396,EP396),"")</f>
        <v/>
      </c>
      <c r="ER396" t="str">
        <f>IF(EO396=1,COUNTIFS($EN$4:$EN$503,EN396,$EM$4:$EM$503,"Interne",$FE$4:$FE$503,1),"")</f>
        <v/>
      </c>
      <c r="ES396" t="str">
        <f>IF(EO396=1,COUNTIFS($EN$4:$EN$503,EN396,$EM$4:$EM$503,"Externe",$FE$4:$FE$503,1),"")</f>
        <v/>
      </c>
      <c r="ET396" t="str">
        <f>IF(EO396=1,IF(ER396+ES396=0,"à affecter",IF(ER396=0,ES396&amp;" ext.",(ER396+ES396)&amp;IF(ES396&gt;0," dont "&amp;ES396&amp;" ext.",""))&amp;IF(COUNTIFS($EN$4:$EN$503,EN396,$EM$4:$EM$503,"Non affecté")&gt;0," + à affecter","")),"")</f>
        <v/>
      </c>
      <c r="EU396" s="170" t="str">
        <f>IF(EO396=1,IF(EP396&gt;0,SUMPRODUCT(($EN$4:$EN$503=EN396)*$E$4:$E$503*$C$4:$C$503)/EP396,AVERAGEIF($EN$4:$EN$503,EN396,$C$4:$C$503)),"")</f>
        <v/>
      </c>
      <c r="EV396" s="165">
        <f>IF(ISNUMBER(I396),I396,2958465)</f>
        <v>2958465.0</v>
      </c>
      <c r="EW396" s="165" t="str">
        <f>IF(EO396=1,SUMPRODUCT(MIN(($EN$4:$EN$503=EN396)*$EV$4:$EV$503+($EN$4:$EN$503&lt;&gt;EN396)*2958465)),"")</f>
        <v/>
      </c>
      <c r="EX396" s="165">
        <f>IF(AND(D396=1,ISNUMBER(INDEX(Charge!$F:$F,ROW()))),INDEX(Charge!$F:$F,ROW()),0)</f>
        <v>0.0</v>
      </c>
      <c r="EY396" s="165" t="str">
        <f>IF(EO396=1,SUMPRODUCT(MAX(($EN$4:$EN$503=EN396)*$EX$4:$EX$503)),"")</f>
        <v/>
      </c>
      <c r="FA396" t="str">
        <f>IF(393&lt;=$CD$23,INDEX($EJ$4:$EJ$203,393),IF(393-$CD$23&lt;=$CD$26,INDEX($EK$4:$EK$203,393-$CD$23),""))</f>
        <v/>
      </c>
      <c r="FB396" t="str">
        <f>IF(FA396="","",IF(393&lt;=$CD$23,"Interne","Externe"))</f>
        <v/>
      </c>
      <c r="FD396">
        <f>IF(AND(B396=1,TRIM(INDEX(Charge!$K:$K,ROW()))&lt;&gt;"",TRIM(INDEX(Charge!$L:$L,ROW()))&lt;&gt;""),1,0)</f>
        <v>0</v>
      </c>
      <c r="FE396">
        <f>IF(OR(EN396="",BZ396="(non affecté)"),0,IF(COUNTIFS($EN$4:EN396,EN396,$BZ$4:BZ396,BZ396)=1,1,0))</f>
        <v>0</v>
      </c>
    </row>
    <row r="397">
      <c r="A397">
        <f>ROW()</f>
        <v>397</v>
      </c>
      <c r="B397">
        <f>IF(TRIM(INDEX(Charge!$B:$B,ROW()))&lt;&gt;"",1,0)</f>
        <v>0</v>
      </c>
      <c r="C397">
        <f>IF(B397=1,MIN(1,MAX(0,N(INDEX(Charge!$O:$O,ROW())))),0)</f>
        <v>0</v>
      </c>
      <c r="D397">
        <f>IF(B397=1,IF(OR(p_Perimetre="Tous les projets",C397&lt;1),1,0),0)</f>
        <v>0</v>
      </c>
      <c r="E397">
        <f>IF(D397=1,MAX(0,N(INDEX(Charge!$M:$M,ROW()))),0)</f>
        <v>0</v>
      </c>
      <c r="F397" t="str">
        <f>IF(D397=1,IF(TRIM(INDEX(Charge!$A:$A,ROW()))="","(non renseigné)",TRIM(INDEX(Charge!$A:$A,ROW()))),"")</f>
        <v/>
      </c>
      <c r="G397" t="str">
        <f>IF(D397=1,TRIM(INDEX(Charge!$B:$B,ROW())),"")</f>
        <v/>
      </c>
      <c r="H397" t="str">
        <f>IF(D397=1,IF(TRIM(INDEX(Charge!$E:$E,ROW()))="","(non renseigné)",TRIM(INDEX(Charge!$E:$E,ROW()))),"")</f>
        <v/>
      </c>
      <c r="I397" s="165" t="str">
        <f>IF(AND(D397=1,ISNUMBER(INDEX(Charge!$N:$N,ROW()))),INDEX(Charge!$N:$N,ROW()),"")</f>
        <v/>
      </c>
      <c r="J397" s="165" t="str">
        <f>IF(I397="","",IF(AND(p_Repartition="Lissée jusqu'à la date de besoin",ISNUMBER(INDEX(Charge!$F:$F,ROW()))),IF(INDEX(Charge!$F:$F,ROW())&gt;=I397,INDEX(Charge!$F:$F,ROW()),I397),I397))</f>
        <v/>
      </c>
      <c r="K397" t="str">
        <f>IF(I397="","",NETWORKDAYS(I397,J397,Data!$K$4:$K$203))</f>
        <v/>
      </c>
      <c r="L397" t="str">
        <f>IF(D397=1,COUNTIFS($D$4:$D$503,1,$E$4:$E$503,"&gt;"&amp;E397)+COUNTIFS($D$4:$D397,1,$E$4:$E397,E397),"")</f>
        <v/>
      </c>
      <c r="M397">
        <f>IF(F397="",0,IF(COUNTIF($F$4:F397,F397)=1,1,0))</f>
        <v>0</v>
      </c>
      <c r="N397" t="str">
        <f>IF(M397=1,ROUND(SUMIF($F$4:$F$503,F397,$E$4:$E$503),2),"")</f>
        <v/>
      </c>
      <c r="O397" t="str">
        <f>IF(M397=1,COUNTIFS($M$4:$M$503,1,$N$4:$N$503,"&gt;"&amp;N397)+COUNTIFS($M$4:M397,1,$N$4:N397,N397),"")</f>
        <v/>
      </c>
      <c r="P397">
        <f>IF(G397="",0,IF(COUNTIF($G$4:G397,G397)=1,1,0))</f>
        <v>0</v>
      </c>
      <c r="Q397" t="str">
        <f>IF(P397=1,ROUND(SUMIF($G$4:$G$503,G397,$E$4:$E$503),2),"")</f>
        <v/>
      </c>
      <c r="R397" t="str">
        <f>IF(P397=1,COUNTIFS($P$4:$P$503,1,$Q$4:$Q$503,"&gt;"&amp;Q397)+COUNTIFS($P$4:P397,1,$Q$4:Q397,Q397),"")</f>
        <v/>
      </c>
      <c r="S397">
        <f>IF(H397="",0,IF(COUNTIF($H$4:H397,H397)=1,1,0))</f>
        <v>0</v>
      </c>
      <c r="T397" t="str">
        <f>IF(S397=1,ROUND(SUMIF($H$4:$H$503,H397,$E$4:$E$503),2),"")</f>
        <v/>
      </c>
      <c r="U397" t="str">
        <f>IF(S397=1,COUNTIFS($S$4:$S$503,1,$T$4:$T$503,"&gt;"&amp;T397)+COUNTIFS($S$4:S397,1,$T$4:T397,T397),"")</f>
        <v/>
      </c>
      <c r="V397" t="str">
        <f>IF(D397=1,MIN(INDEX($R$4:$R$503,MATCH(G397,$G$4:$G$503,0)),IF($AL$7&gt;9,9,999)),"")</f>
        <v/>
      </c>
      <c r="W397" s="166">
        <f>IF(OR($I397="",$E397=0),0,IF(OR($J397&lt;W$3,$I397&gt;W$2),0,IF($K397=0,IF(AND($I397&gt;=W$3,$I397&lt;=W$2),$E397,0),$E397*NETWORKDAYS(MAX($I397,W$3),MIN($J397,W$2),Data!$K$4:$K$203)/$K397)))</f>
        <v>0</v>
      </c>
      <c r="X397" s="166">
        <f>IF(OR($I397="",$E397=0),0,IF(OR($J397&lt;X$3,$I397&gt;X$2),0,IF($K397=0,IF(AND($I397&gt;=X$3,$I397&lt;=X$2),$E397,0),$E397*NETWORKDAYS(MAX($I397,X$3),MIN($J397,X$2),Data!$K$4:$K$203)/$K397)))</f>
        <v>0</v>
      </c>
      <c r="Y397" s="166">
        <f>IF(OR($I397="",$E397=0),0,IF(OR($J397&lt;Y$3,$I397&gt;Y$2),0,IF($K397=0,IF(AND($I397&gt;=Y$3,$I397&lt;=Y$2),$E397,0),$E397*NETWORKDAYS(MAX($I397,Y$3),MIN($J397,Y$2),Data!$K$4:$K$203)/$K397)))</f>
        <v>0</v>
      </c>
      <c r="Z397" s="166">
        <f>IF(OR($I397="",$E397=0),0,IF(OR($J397&lt;Z$3,$I397&gt;Z$2),0,IF($K397=0,IF(AND($I397&gt;=Z$3,$I397&lt;=Z$2),$E397,0),$E397*NETWORKDAYS(MAX($I397,Z$3),MIN($J397,Z$2),Data!$K$4:$K$203)/$K397)))</f>
        <v>0</v>
      </c>
      <c r="AA397" s="166">
        <f>IF(OR($I397="",$E397=0),0,IF(OR($J397&lt;AA$3,$I397&gt;AA$2),0,IF($K397=0,IF(AND($I397&gt;=AA$3,$I397&lt;=AA$2),$E397,0),$E397*NETWORKDAYS(MAX($I397,AA$3),MIN($J397,AA$2),Data!$K$4:$K$203)/$K397)))</f>
        <v>0</v>
      </c>
      <c r="AB397" s="166">
        <f>IF(OR($I397="",$E397=0),0,IF(OR($J397&lt;AB$3,$I397&gt;AB$2),0,IF($K397=0,IF(AND($I397&gt;=AB$3,$I397&lt;=AB$2),$E397,0),$E397*NETWORKDAYS(MAX($I397,AB$3),MIN($J397,AB$2),Data!$K$4:$K$203)/$K397)))</f>
        <v>0</v>
      </c>
      <c r="AC397" s="166">
        <f>IF(OR($I397="",$E397=0),0,IF(OR($J397&lt;AC$3,$I397&gt;AC$2),0,IF($K397=0,IF(AND($I397&gt;=AC$3,$I397&lt;=AC$2),$E397,0),$E397*NETWORKDAYS(MAX($I397,AC$3),MIN($J397,AC$2),Data!$K$4:$K$203)/$K397)))</f>
        <v>0</v>
      </c>
      <c r="AD397" s="166">
        <f>IF(OR($I397="",$E397=0),0,IF(OR($J397&lt;AD$3,$I397&gt;AD$2),0,IF($K397=0,IF(AND($I397&gt;=AD$3,$I397&lt;=AD$2),$E397,0),$E397*NETWORKDAYS(MAX($I397,AD$3),MIN($J397,AD$2),Data!$K$4:$K$203)/$K397)))</f>
        <v>0</v>
      </c>
      <c r="AE397" s="166">
        <f>IF(OR($I397="",$E397=0),0,IF(OR($J397&lt;AE$3,$I397&gt;AE$2),0,IF($K397=0,IF(AND($I397&gt;=AE$3,$I397&lt;=AE$2),$E397,0),$E397*NETWORKDAYS(MAX($I397,AE$3),MIN($J397,AE$2),Data!$K$4:$K$203)/$K397)))</f>
        <v>0</v>
      </c>
      <c r="AF397" s="166">
        <f>IF(OR($I397="",$E397=0),0,IF(OR($J397&lt;AF$3,$I397&gt;AF$2),0,IF($K397=0,IF(AND($I397&gt;=AF$3,$I397&lt;=AF$2),$E397,0),$E397*NETWORKDAYS(MAX($I397,AF$3),MIN($J397,AF$2),Data!$K$4:$K$203)/$K397)))</f>
        <v>0</v>
      </c>
      <c r="AG397" s="166">
        <f>IF(OR($I397="",$E397=0),0,IF(OR($J397&lt;AG$3,$I397&gt;AG$2),0,IF($K397=0,IF(AND($I397&gt;=AG$3,$I397&lt;=AG$2),$E397,0),$E397*NETWORKDAYS(MAX($I397,AG$3),MIN($J397,AG$2),Data!$K$4:$K$203)/$K397)))</f>
        <v>0</v>
      </c>
      <c r="AH397" s="166">
        <f>IF(OR($I397="",$E397=0),0,IF(OR($J397&lt;AH$3,$I397&gt;AH$2),0,IF($K397=0,IF(AND($I397&gt;=AH$3,$I397&lt;=AH$2),$E397,0),$E397*NETWORKDAYS(MAX($I397,AH$3),MIN($J397,AH$2),Data!$K$4:$K$203)/$K397)))</f>
        <v>0</v>
      </c>
      <c r="AI397" s="166">
        <f>SUM(W397:AH397)</f>
        <v>0</v>
      </c>
      <c r="BZ397" t="str">
        <f>IF(D397=1,IF(TRIM(INDEX(Charge!$K:$K,ROW()))&lt;&gt;"",TRIM(INDEX(Charge!$K:$K,ROW())),IF(TRIM(INDEX(Charge!$L:$L,ROW()))&lt;&gt;"",TRIM(INDEX(Charge!$L:$L,ROW())),"(non affecté)")),"")</f>
        <v/>
      </c>
      <c r="CA397" t="str">
        <f>IF(AND($CD$4&lt;&gt;"",BZ397=$CD$4),COUNTIFS($BZ$4:$BZ$503,$CD$4,$L$4:$L$503,"&lt;"&amp;L397)+1,"")</f>
        <v/>
      </c>
      <c r="EM397" t="str">
        <f>IF(D397=1,IF(TRIM(INDEX(Charge!$K:$K,ROW()))&lt;&gt;"","Interne",IF(TRIM(INDEX(Charge!$L:$L,ROW()))&lt;&gt;"","Externe","Non affecté")),"")</f>
        <v/>
      </c>
      <c r="EN397" t="str">
        <f>IF(D397=1,LEFT(SUBSTITUTE(SUBSTITUTE(SUBSTITUTE(TRIM(SUBSTITUTE(INDEX(Charge!$B:$B,ROW()),CHAR(160)," "))&amp;" | "&amp;TRIM(SUBSTITUTE(INDEX(Charge!$C:$C,ROW()),CHAR(160)," "))&amp;" | "&amp;TRIM(SUBSTITUTE(INDEX(Charge!$D:$D,ROW()),CHAR(160)," ")),"~","-"),"*","+"),"?","!"),240),"")</f>
        <v/>
      </c>
      <c r="EO397">
        <f>IF(EN397="",0,IF(COUNTIF($EN$4:EN397,EN397)=1,1,0))</f>
        <v>0</v>
      </c>
      <c r="EP397" s="166" t="str">
        <f>IF(EO397=1,ROUND(SUMIF($EN$4:$EN$503,EN397,$E$4:$E$503),2),"")</f>
        <v/>
      </c>
      <c r="EQ397" t="str">
        <f>IF(EO397=1,COUNTIFS($EO$4:$EO$503,1,$EP$4:$EP$503,"&gt;"&amp;EP397)+COUNTIFS($EO$4:EO397,1,$EP$4:EP397,EP397),"")</f>
        <v/>
      </c>
      <c r="ER397" t="str">
        <f>IF(EO397=1,COUNTIFS($EN$4:$EN$503,EN397,$EM$4:$EM$503,"Interne",$FE$4:$FE$503,1),"")</f>
        <v/>
      </c>
      <c r="ES397" t="str">
        <f>IF(EO397=1,COUNTIFS($EN$4:$EN$503,EN397,$EM$4:$EM$503,"Externe",$FE$4:$FE$503,1),"")</f>
        <v/>
      </c>
      <c r="ET397" t="str">
        <f>IF(EO397=1,IF(ER397+ES397=0,"à affecter",IF(ER397=0,ES397&amp;" ext.",(ER397+ES397)&amp;IF(ES397&gt;0," dont "&amp;ES397&amp;" ext.",""))&amp;IF(COUNTIFS($EN$4:$EN$503,EN397,$EM$4:$EM$503,"Non affecté")&gt;0," + à affecter","")),"")</f>
        <v/>
      </c>
      <c r="EU397" s="170" t="str">
        <f>IF(EO397=1,IF(EP397&gt;0,SUMPRODUCT(($EN$4:$EN$503=EN397)*$E$4:$E$503*$C$4:$C$503)/EP397,AVERAGEIF($EN$4:$EN$503,EN397,$C$4:$C$503)),"")</f>
        <v/>
      </c>
      <c r="EV397" s="165">
        <f>IF(ISNUMBER(I397),I397,2958465)</f>
        <v>2958465.0</v>
      </c>
      <c r="EW397" s="165" t="str">
        <f>IF(EO397=1,SUMPRODUCT(MIN(($EN$4:$EN$503=EN397)*$EV$4:$EV$503+($EN$4:$EN$503&lt;&gt;EN397)*2958465)),"")</f>
        <v/>
      </c>
      <c r="EX397" s="165">
        <f>IF(AND(D397=1,ISNUMBER(INDEX(Charge!$F:$F,ROW()))),INDEX(Charge!$F:$F,ROW()),0)</f>
        <v>0.0</v>
      </c>
      <c r="EY397" s="165" t="str">
        <f>IF(EO397=1,SUMPRODUCT(MAX(($EN$4:$EN$503=EN397)*$EX$4:$EX$503)),"")</f>
        <v/>
      </c>
      <c r="FA397" t="str">
        <f>IF(394&lt;=$CD$23,INDEX($EJ$4:$EJ$203,394),IF(394-$CD$23&lt;=$CD$26,INDEX($EK$4:$EK$203,394-$CD$23),""))</f>
        <v/>
      </c>
      <c r="FB397" t="str">
        <f>IF(FA397="","",IF(394&lt;=$CD$23,"Interne","Externe"))</f>
        <v/>
      </c>
      <c r="FD397">
        <f>IF(AND(B397=1,TRIM(INDEX(Charge!$K:$K,ROW()))&lt;&gt;"",TRIM(INDEX(Charge!$L:$L,ROW()))&lt;&gt;""),1,0)</f>
        <v>0</v>
      </c>
      <c r="FE397">
        <f>IF(OR(EN397="",BZ397="(non affecté)"),0,IF(COUNTIFS($EN$4:EN397,EN397,$BZ$4:BZ397,BZ397)=1,1,0))</f>
        <v>0</v>
      </c>
    </row>
    <row r="398">
      <c r="A398">
        <f>ROW()</f>
        <v>398</v>
      </c>
      <c r="B398">
        <f>IF(TRIM(INDEX(Charge!$B:$B,ROW()))&lt;&gt;"",1,0)</f>
        <v>0</v>
      </c>
      <c r="C398">
        <f>IF(B398=1,MIN(1,MAX(0,N(INDEX(Charge!$O:$O,ROW())))),0)</f>
        <v>0</v>
      </c>
      <c r="D398">
        <f>IF(B398=1,IF(OR(p_Perimetre="Tous les projets",C398&lt;1),1,0),0)</f>
        <v>0</v>
      </c>
      <c r="E398">
        <f>IF(D398=1,MAX(0,N(INDEX(Charge!$M:$M,ROW()))),0)</f>
        <v>0</v>
      </c>
      <c r="F398" t="str">
        <f>IF(D398=1,IF(TRIM(INDEX(Charge!$A:$A,ROW()))="","(non renseigné)",TRIM(INDEX(Charge!$A:$A,ROW()))),"")</f>
        <v/>
      </c>
      <c r="G398" t="str">
        <f>IF(D398=1,TRIM(INDEX(Charge!$B:$B,ROW())),"")</f>
        <v/>
      </c>
      <c r="H398" t="str">
        <f>IF(D398=1,IF(TRIM(INDEX(Charge!$E:$E,ROW()))="","(non renseigné)",TRIM(INDEX(Charge!$E:$E,ROW()))),"")</f>
        <v/>
      </c>
      <c r="I398" s="165" t="str">
        <f>IF(AND(D398=1,ISNUMBER(INDEX(Charge!$N:$N,ROW()))),INDEX(Charge!$N:$N,ROW()),"")</f>
        <v/>
      </c>
      <c r="J398" s="165" t="str">
        <f>IF(I398="","",IF(AND(p_Repartition="Lissée jusqu'à la date de besoin",ISNUMBER(INDEX(Charge!$F:$F,ROW()))),IF(INDEX(Charge!$F:$F,ROW())&gt;=I398,INDEX(Charge!$F:$F,ROW()),I398),I398))</f>
        <v/>
      </c>
      <c r="K398" t="str">
        <f>IF(I398="","",NETWORKDAYS(I398,J398,Data!$K$4:$K$203))</f>
        <v/>
      </c>
      <c r="L398" t="str">
        <f>IF(D398=1,COUNTIFS($D$4:$D$503,1,$E$4:$E$503,"&gt;"&amp;E398)+COUNTIFS($D$4:$D398,1,$E$4:$E398,E398),"")</f>
        <v/>
      </c>
      <c r="M398">
        <f>IF(F398="",0,IF(COUNTIF($F$4:F398,F398)=1,1,0))</f>
        <v>0</v>
      </c>
      <c r="N398" t="str">
        <f>IF(M398=1,ROUND(SUMIF($F$4:$F$503,F398,$E$4:$E$503),2),"")</f>
        <v/>
      </c>
      <c r="O398" t="str">
        <f>IF(M398=1,COUNTIFS($M$4:$M$503,1,$N$4:$N$503,"&gt;"&amp;N398)+COUNTIFS($M$4:M398,1,$N$4:N398,N398),"")</f>
        <v/>
      </c>
      <c r="P398">
        <f>IF(G398="",0,IF(COUNTIF($G$4:G398,G398)=1,1,0))</f>
        <v>0</v>
      </c>
      <c r="Q398" t="str">
        <f>IF(P398=1,ROUND(SUMIF($G$4:$G$503,G398,$E$4:$E$503),2),"")</f>
        <v/>
      </c>
      <c r="R398" t="str">
        <f>IF(P398=1,COUNTIFS($P$4:$P$503,1,$Q$4:$Q$503,"&gt;"&amp;Q398)+COUNTIFS($P$4:P398,1,$Q$4:Q398,Q398),"")</f>
        <v/>
      </c>
      <c r="S398">
        <f>IF(H398="",0,IF(COUNTIF($H$4:H398,H398)=1,1,0))</f>
        <v>0</v>
      </c>
      <c r="T398" t="str">
        <f>IF(S398=1,ROUND(SUMIF($H$4:$H$503,H398,$E$4:$E$503),2),"")</f>
        <v/>
      </c>
      <c r="U398" t="str">
        <f>IF(S398=1,COUNTIFS($S$4:$S$503,1,$T$4:$T$503,"&gt;"&amp;T398)+COUNTIFS($S$4:S398,1,$T$4:T398,T398),"")</f>
        <v/>
      </c>
      <c r="V398" t="str">
        <f>IF(D398=1,MIN(INDEX($R$4:$R$503,MATCH(G398,$G$4:$G$503,0)),IF($AL$7&gt;9,9,999)),"")</f>
        <v/>
      </c>
      <c r="W398" s="166">
        <f>IF(OR($I398="",$E398=0),0,IF(OR($J398&lt;W$3,$I398&gt;W$2),0,IF($K398=0,IF(AND($I398&gt;=W$3,$I398&lt;=W$2),$E398,0),$E398*NETWORKDAYS(MAX($I398,W$3),MIN($J398,W$2),Data!$K$4:$K$203)/$K398)))</f>
        <v>0</v>
      </c>
      <c r="X398" s="166">
        <f>IF(OR($I398="",$E398=0),0,IF(OR($J398&lt;X$3,$I398&gt;X$2),0,IF($K398=0,IF(AND($I398&gt;=X$3,$I398&lt;=X$2),$E398,0),$E398*NETWORKDAYS(MAX($I398,X$3),MIN($J398,X$2),Data!$K$4:$K$203)/$K398)))</f>
        <v>0</v>
      </c>
      <c r="Y398" s="166">
        <f>IF(OR($I398="",$E398=0),0,IF(OR($J398&lt;Y$3,$I398&gt;Y$2),0,IF($K398=0,IF(AND($I398&gt;=Y$3,$I398&lt;=Y$2),$E398,0),$E398*NETWORKDAYS(MAX($I398,Y$3),MIN($J398,Y$2),Data!$K$4:$K$203)/$K398)))</f>
        <v>0</v>
      </c>
      <c r="Z398" s="166">
        <f>IF(OR($I398="",$E398=0),0,IF(OR($J398&lt;Z$3,$I398&gt;Z$2),0,IF($K398=0,IF(AND($I398&gt;=Z$3,$I398&lt;=Z$2),$E398,0),$E398*NETWORKDAYS(MAX($I398,Z$3),MIN($J398,Z$2),Data!$K$4:$K$203)/$K398)))</f>
        <v>0</v>
      </c>
      <c r="AA398" s="166">
        <f>IF(OR($I398="",$E398=0),0,IF(OR($J398&lt;AA$3,$I398&gt;AA$2),0,IF($K398=0,IF(AND($I398&gt;=AA$3,$I398&lt;=AA$2),$E398,0),$E398*NETWORKDAYS(MAX($I398,AA$3),MIN($J398,AA$2),Data!$K$4:$K$203)/$K398)))</f>
        <v>0</v>
      </c>
      <c r="AB398" s="166">
        <f>IF(OR($I398="",$E398=0),0,IF(OR($J398&lt;AB$3,$I398&gt;AB$2),0,IF($K398=0,IF(AND($I398&gt;=AB$3,$I398&lt;=AB$2),$E398,0),$E398*NETWORKDAYS(MAX($I398,AB$3),MIN($J398,AB$2),Data!$K$4:$K$203)/$K398)))</f>
        <v>0</v>
      </c>
      <c r="AC398" s="166">
        <f>IF(OR($I398="",$E398=0),0,IF(OR($J398&lt;AC$3,$I398&gt;AC$2),0,IF($K398=0,IF(AND($I398&gt;=AC$3,$I398&lt;=AC$2),$E398,0),$E398*NETWORKDAYS(MAX($I398,AC$3),MIN($J398,AC$2),Data!$K$4:$K$203)/$K398)))</f>
        <v>0</v>
      </c>
      <c r="AD398" s="166">
        <f>IF(OR($I398="",$E398=0),0,IF(OR($J398&lt;AD$3,$I398&gt;AD$2),0,IF($K398=0,IF(AND($I398&gt;=AD$3,$I398&lt;=AD$2),$E398,0),$E398*NETWORKDAYS(MAX($I398,AD$3),MIN($J398,AD$2),Data!$K$4:$K$203)/$K398)))</f>
        <v>0</v>
      </c>
      <c r="AE398" s="166">
        <f>IF(OR($I398="",$E398=0),0,IF(OR($J398&lt;AE$3,$I398&gt;AE$2),0,IF($K398=0,IF(AND($I398&gt;=AE$3,$I398&lt;=AE$2),$E398,0),$E398*NETWORKDAYS(MAX($I398,AE$3),MIN($J398,AE$2),Data!$K$4:$K$203)/$K398)))</f>
        <v>0</v>
      </c>
      <c r="AF398" s="166">
        <f>IF(OR($I398="",$E398=0),0,IF(OR($J398&lt;AF$3,$I398&gt;AF$2),0,IF($K398=0,IF(AND($I398&gt;=AF$3,$I398&lt;=AF$2),$E398,0),$E398*NETWORKDAYS(MAX($I398,AF$3),MIN($J398,AF$2),Data!$K$4:$K$203)/$K398)))</f>
        <v>0</v>
      </c>
      <c r="AG398" s="166">
        <f>IF(OR($I398="",$E398=0),0,IF(OR($J398&lt;AG$3,$I398&gt;AG$2),0,IF($K398=0,IF(AND($I398&gt;=AG$3,$I398&lt;=AG$2),$E398,0),$E398*NETWORKDAYS(MAX($I398,AG$3),MIN($J398,AG$2),Data!$K$4:$K$203)/$K398)))</f>
        <v>0</v>
      </c>
      <c r="AH398" s="166">
        <f>IF(OR($I398="",$E398=0),0,IF(OR($J398&lt;AH$3,$I398&gt;AH$2),0,IF($K398=0,IF(AND($I398&gt;=AH$3,$I398&lt;=AH$2),$E398,0),$E398*NETWORKDAYS(MAX($I398,AH$3),MIN($J398,AH$2),Data!$K$4:$K$203)/$K398)))</f>
        <v>0</v>
      </c>
      <c r="AI398" s="166">
        <f>SUM(W398:AH398)</f>
        <v>0</v>
      </c>
      <c r="BZ398" t="str">
        <f>IF(D398=1,IF(TRIM(INDEX(Charge!$K:$K,ROW()))&lt;&gt;"",TRIM(INDEX(Charge!$K:$K,ROW())),IF(TRIM(INDEX(Charge!$L:$L,ROW()))&lt;&gt;"",TRIM(INDEX(Charge!$L:$L,ROW())),"(non affecté)")),"")</f>
        <v/>
      </c>
      <c r="CA398" t="str">
        <f>IF(AND($CD$4&lt;&gt;"",BZ398=$CD$4),COUNTIFS($BZ$4:$BZ$503,$CD$4,$L$4:$L$503,"&lt;"&amp;L398)+1,"")</f>
        <v/>
      </c>
      <c r="EM398" t="str">
        <f>IF(D398=1,IF(TRIM(INDEX(Charge!$K:$K,ROW()))&lt;&gt;"","Interne",IF(TRIM(INDEX(Charge!$L:$L,ROW()))&lt;&gt;"","Externe","Non affecté")),"")</f>
        <v/>
      </c>
      <c r="EN398" t="str">
        <f>IF(D398=1,LEFT(SUBSTITUTE(SUBSTITUTE(SUBSTITUTE(TRIM(SUBSTITUTE(INDEX(Charge!$B:$B,ROW()),CHAR(160)," "))&amp;" | "&amp;TRIM(SUBSTITUTE(INDEX(Charge!$C:$C,ROW()),CHAR(160)," "))&amp;" | "&amp;TRIM(SUBSTITUTE(INDEX(Charge!$D:$D,ROW()),CHAR(160)," ")),"~","-"),"*","+"),"?","!"),240),"")</f>
        <v/>
      </c>
      <c r="EO398">
        <f>IF(EN398="",0,IF(COUNTIF($EN$4:EN398,EN398)=1,1,0))</f>
        <v>0</v>
      </c>
      <c r="EP398" s="166" t="str">
        <f>IF(EO398=1,ROUND(SUMIF($EN$4:$EN$503,EN398,$E$4:$E$503),2),"")</f>
        <v/>
      </c>
      <c r="EQ398" t="str">
        <f>IF(EO398=1,COUNTIFS($EO$4:$EO$503,1,$EP$4:$EP$503,"&gt;"&amp;EP398)+COUNTIFS($EO$4:EO398,1,$EP$4:EP398,EP398),"")</f>
        <v/>
      </c>
      <c r="ER398" t="str">
        <f>IF(EO398=1,COUNTIFS($EN$4:$EN$503,EN398,$EM$4:$EM$503,"Interne",$FE$4:$FE$503,1),"")</f>
        <v/>
      </c>
      <c r="ES398" t="str">
        <f>IF(EO398=1,COUNTIFS($EN$4:$EN$503,EN398,$EM$4:$EM$503,"Externe",$FE$4:$FE$503,1),"")</f>
        <v/>
      </c>
      <c r="ET398" t="str">
        <f>IF(EO398=1,IF(ER398+ES398=0,"à affecter",IF(ER398=0,ES398&amp;" ext.",(ER398+ES398)&amp;IF(ES398&gt;0," dont "&amp;ES398&amp;" ext.",""))&amp;IF(COUNTIFS($EN$4:$EN$503,EN398,$EM$4:$EM$503,"Non affecté")&gt;0," + à affecter","")),"")</f>
        <v/>
      </c>
      <c r="EU398" s="170" t="str">
        <f>IF(EO398=1,IF(EP398&gt;0,SUMPRODUCT(($EN$4:$EN$503=EN398)*$E$4:$E$503*$C$4:$C$503)/EP398,AVERAGEIF($EN$4:$EN$503,EN398,$C$4:$C$503)),"")</f>
        <v/>
      </c>
      <c r="EV398" s="165">
        <f>IF(ISNUMBER(I398),I398,2958465)</f>
        <v>2958465.0</v>
      </c>
      <c r="EW398" s="165" t="str">
        <f>IF(EO398=1,SUMPRODUCT(MIN(($EN$4:$EN$503=EN398)*$EV$4:$EV$503+($EN$4:$EN$503&lt;&gt;EN398)*2958465)),"")</f>
        <v/>
      </c>
      <c r="EX398" s="165">
        <f>IF(AND(D398=1,ISNUMBER(INDEX(Charge!$F:$F,ROW()))),INDEX(Charge!$F:$F,ROW()),0)</f>
        <v>0.0</v>
      </c>
      <c r="EY398" s="165" t="str">
        <f>IF(EO398=1,SUMPRODUCT(MAX(($EN$4:$EN$503=EN398)*$EX$4:$EX$503)),"")</f>
        <v/>
      </c>
      <c r="FA398" t="str">
        <f>IF(395&lt;=$CD$23,INDEX($EJ$4:$EJ$203,395),IF(395-$CD$23&lt;=$CD$26,INDEX($EK$4:$EK$203,395-$CD$23),""))</f>
        <v/>
      </c>
      <c r="FB398" t="str">
        <f>IF(FA398="","",IF(395&lt;=$CD$23,"Interne","Externe"))</f>
        <v/>
      </c>
      <c r="FD398">
        <f>IF(AND(B398=1,TRIM(INDEX(Charge!$K:$K,ROW()))&lt;&gt;"",TRIM(INDEX(Charge!$L:$L,ROW()))&lt;&gt;""),1,0)</f>
        <v>0</v>
      </c>
      <c r="FE398">
        <f>IF(OR(EN398="",BZ398="(non affecté)"),0,IF(COUNTIFS($EN$4:EN398,EN398,$BZ$4:BZ398,BZ398)=1,1,0))</f>
        <v>0</v>
      </c>
    </row>
    <row r="399">
      <c r="A399">
        <f>ROW()</f>
        <v>399</v>
      </c>
      <c r="B399">
        <f>IF(TRIM(INDEX(Charge!$B:$B,ROW()))&lt;&gt;"",1,0)</f>
        <v>0</v>
      </c>
      <c r="C399">
        <f>IF(B399=1,MIN(1,MAX(0,N(INDEX(Charge!$O:$O,ROW())))),0)</f>
        <v>0</v>
      </c>
      <c r="D399">
        <f>IF(B399=1,IF(OR(p_Perimetre="Tous les projets",C399&lt;1),1,0),0)</f>
        <v>0</v>
      </c>
      <c r="E399">
        <f>IF(D399=1,MAX(0,N(INDEX(Charge!$M:$M,ROW()))),0)</f>
        <v>0</v>
      </c>
      <c r="F399" t="str">
        <f>IF(D399=1,IF(TRIM(INDEX(Charge!$A:$A,ROW()))="","(non renseigné)",TRIM(INDEX(Charge!$A:$A,ROW()))),"")</f>
        <v/>
      </c>
      <c r="G399" t="str">
        <f>IF(D399=1,TRIM(INDEX(Charge!$B:$B,ROW())),"")</f>
        <v/>
      </c>
      <c r="H399" t="str">
        <f>IF(D399=1,IF(TRIM(INDEX(Charge!$E:$E,ROW()))="","(non renseigné)",TRIM(INDEX(Charge!$E:$E,ROW()))),"")</f>
        <v/>
      </c>
      <c r="I399" s="165" t="str">
        <f>IF(AND(D399=1,ISNUMBER(INDEX(Charge!$N:$N,ROW()))),INDEX(Charge!$N:$N,ROW()),"")</f>
        <v/>
      </c>
      <c r="J399" s="165" t="str">
        <f>IF(I399="","",IF(AND(p_Repartition="Lissée jusqu'à la date de besoin",ISNUMBER(INDEX(Charge!$F:$F,ROW()))),IF(INDEX(Charge!$F:$F,ROW())&gt;=I399,INDEX(Charge!$F:$F,ROW()),I399),I399))</f>
        <v/>
      </c>
      <c r="K399" t="str">
        <f>IF(I399="","",NETWORKDAYS(I399,J399,Data!$K$4:$K$203))</f>
        <v/>
      </c>
      <c r="L399" t="str">
        <f>IF(D399=1,COUNTIFS($D$4:$D$503,1,$E$4:$E$503,"&gt;"&amp;E399)+COUNTIFS($D$4:$D399,1,$E$4:$E399,E399),"")</f>
        <v/>
      </c>
      <c r="M399">
        <f>IF(F399="",0,IF(COUNTIF($F$4:F399,F399)=1,1,0))</f>
        <v>0</v>
      </c>
      <c r="N399" t="str">
        <f>IF(M399=1,ROUND(SUMIF($F$4:$F$503,F399,$E$4:$E$503),2),"")</f>
        <v/>
      </c>
      <c r="O399" t="str">
        <f>IF(M399=1,COUNTIFS($M$4:$M$503,1,$N$4:$N$503,"&gt;"&amp;N399)+COUNTIFS($M$4:M399,1,$N$4:N399,N399),"")</f>
        <v/>
      </c>
      <c r="P399">
        <f>IF(G399="",0,IF(COUNTIF($G$4:G399,G399)=1,1,0))</f>
        <v>0</v>
      </c>
      <c r="Q399" t="str">
        <f>IF(P399=1,ROUND(SUMIF($G$4:$G$503,G399,$E$4:$E$503),2),"")</f>
        <v/>
      </c>
      <c r="R399" t="str">
        <f>IF(P399=1,COUNTIFS($P$4:$P$503,1,$Q$4:$Q$503,"&gt;"&amp;Q399)+COUNTIFS($P$4:P399,1,$Q$4:Q399,Q399),"")</f>
        <v/>
      </c>
      <c r="S399">
        <f>IF(H399="",0,IF(COUNTIF($H$4:H399,H399)=1,1,0))</f>
        <v>0</v>
      </c>
      <c r="T399" t="str">
        <f>IF(S399=1,ROUND(SUMIF($H$4:$H$503,H399,$E$4:$E$503),2),"")</f>
        <v/>
      </c>
      <c r="U399" t="str">
        <f>IF(S399=1,COUNTIFS($S$4:$S$503,1,$T$4:$T$503,"&gt;"&amp;T399)+COUNTIFS($S$4:S399,1,$T$4:T399,T399),"")</f>
        <v/>
      </c>
      <c r="V399" t="str">
        <f>IF(D399=1,MIN(INDEX($R$4:$R$503,MATCH(G399,$G$4:$G$503,0)),IF($AL$7&gt;9,9,999)),"")</f>
        <v/>
      </c>
      <c r="W399" s="166">
        <f>IF(OR($I399="",$E399=0),0,IF(OR($J399&lt;W$3,$I399&gt;W$2),0,IF($K399=0,IF(AND($I399&gt;=W$3,$I399&lt;=W$2),$E399,0),$E399*NETWORKDAYS(MAX($I399,W$3),MIN($J399,W$2),Data!$K$4:$K$203)/$K399)))</f>
        <v>0</v>
      </c>
      <c r="X399" s="166">
        <f>IF(OR($I399="",$E399=0),0,IF(OR($J399&lt;X$3,$I399&gt;X$2),0,IF($K399=0,IF(AND($I399&gt;=X$3,$I399&lt;=X$2),$E399,0),$E399*NETWORKDAYS(MAX($I399,X$3),MIN($J399,X$2),Data!$K$4:$K$203)/$K399)))</f>
        <v>0</v>
      </c>
      <c r="Y399" s="166">
        <f>IF(OR($I399="",$E399=0),0,IF(OR($J399&lt;Y$3,$I399&gt;Y$2),0,IF($K399=0,IF(AND($I399&gt;=Y$3,$I399&lt;=Y$2),$E399,0),$E399*NETWORKDAYS(MAX($I399,Y$3),MIN($J399,Y$2),Data!$K$4:$K$203)/$K399)))</f>
        <v>0</v>
      </c>
      <c r="Z399" s="166">
        <f>IF(OR($I399="",$E399=0),0,IF(OR($J399&lt;Z$3,$I399&gt;Z$2),0,IF($K399=0,IF(AND($I399&gt;=Z$3,$I399&lt;=Z$2),$E399,0),$E399*NETWORKDAYS(MAX($I399,Z$3),MIN($J399,Z$2),Data!$K$4:$K$203)/$K399)))</f>
        <v>0</v>
      </c>
      <c r="AA399" s="166">
        <f>IF(OR($I399="",$E399=0),0,IF(OR($J399&lt;AA$3,$I399&gt;AA$2),0,IF($K399=0,IF(AND($I399&gt;=AA$3,$I399&lt;=AA$2),$E399,0),$E399*NETWORKDAYS(MAX($I399,AA$3),MIN($J399,AA$2),Data!$K$4:$K$203)/$K399)))</f>
        <v>0</v>
      </c>
      <c r="AB399" s="166">
        <f>IF(OR($I399="",$E399=0),0,IF(OR($J399&lt;AB$3,$I399&gt;AB$2),0,IF($K399=0,IF(AND($I399&gt;=AB$3,$I399&lt;=AB$2),$E399,0),$E399*NETWORKDAYS(MAX($I399,AB$3),MIN($J399,AB$2),Data!$K$4:$K$203)/$K399)))</f>
        <v>0</v>
      </c>
      <c r="AC399" s="166">
        <f>IF(OR($I399="",$E399=0),0,IF(OR($J399&lt;AC$3,$I399&gt;AC$2),0,IF($K399=0,IF(AND($I399&gt;=AC$3,$I399&lt;=AC$2),$E399,0),$E399*NETWORKDAYS(MAX($I399,AC$3),MIN($J399,AC$2),Data!$K$4:$K$203)/$K399)))</f>
        <v>0</v>
      </c>
      <c r="AD399" s="166">
        <f>IF(OR($I399="",$E399=0),0,IF(OR($J399&lt;AD$3,$I399&gt;AD$2),0,IF($K399=0,IF(AND($I399&gt;=AD$3,$I399&lt;=AD$2),$E399,0),$E399*NETWORKDAYS(MAX($I399,AD$3),MIN($J399,AD$2),Data!$K$4:$K$203)/$K399)))</f>
        <v>0</v>
      </c>
      <c r="AE399" s="166">
        <f>IF(OR($I399="",$E399=0),0,IF(OR($J399&lt;AE$3,$I399&gt;AE$2),0,IF($K399=0,IF(AND($I399&gt;=AE$3,$I399&lt;=AE$2),$E399,0),$E399*NETWORKDAYS(MAX($I399,AE$3),MIN($J399,AE$2),Data!$K$4:$K$203)/$K399)))</f>
        <v>0</v>
      </c>
      <c r="AF399" s="166">
        <f>IF(OR($I399="",$E399=0),0,IF(OR($J399&lt;AF$3,$I399&gt;AF$2),0,IF($K399=0,IF(AND($I399&gt;=AF$3,$I399&lt;=AF$2),$E399,0),$E399*NETWORKDAYS(MAX($I399,AF$3),MIN($J399,AF$2),Data!$K$4:$K$203)/$K399)))</f>
        <v>0</v>
      </c>
      <c r="AG399" s="166">
        <f>IF(OR($I399="",$E399=0),0,IF(OR($J399&lt;AG$3,$I399&gt;AG$2),0,IF($K399=0,IF(AND($I399&gt;=AG$3,$I399&lt;=AG$2),$E399,0),$E399*NETWORKDAYS(MAX($I399,AG$3),MIN($J399,AG$2),Data!$K$4:$K$203)/$K399)))</f>
        <v>0</v>
      </c>
      <c r="AH399" s="166">
        <f>IF(OR($I399="",$E399=0),0,IF(OR($J399&lt;AH$3,$I399&gt;AH$2),0,IF($K399=0,IF(AND($I399&gt;=AH$3,$I399&lt;=AH$2),$E399,0),$E399*NETWORKDAYS(MAX($I399,AH$3),MIN($J399,AH$2),Data!$K$4:$K$203)/$K399)))</f>
        <v>0</v>
      </c>
      <c r="AI399" s="166">
        <f>SUM(W399:AH399)</f>
        <v>0</v>
      </c>
      <c r="BZ399" t="str">
        <f>IF(D399=1,IF(TRIM(INDEX(Charge!$K:$K,ROW()))&lt;&gt;"",TRIM(INDEX(Charge!$K:$K,ROW())),IF(TRIM(INDEX(Charge!$L:$L,ROW()))&lt;&gt;"",TRIM(INDEX(Charge!$L:$L,ROW())),"(non affecté)")),"")</f>
        <v/>
      </c>
      <c r="CA399" t="str">
        <f>IF(AND($CD$4&lt;&gt;"",BZ399=$CD$4),COUNTIFS($BZ$4:$BZ$503,$CD$4,$L$4:$L$503,"&lt;"&amp;L399)+1,"")</f>
        <v/>
      </c>
      <c r="EM399" t="str">
        <f>IF(D399=1,IF(TRIM(INDEX(Charge!$K:$K,ROW()))&lt;&gt;"","Interne",IF(TRIM(INDEX(Charge!$L:$L,ROW()))&lt;&gt;"","Externe","Non affecté")),"")</f>
        <v/>
      </c>
      <c r="EN399" t="str">
        <f>IF(D399=1,LEFT(SUBSTITUTE(SUBSTITUTE(SUBSTITUTE(TRIM(SUBSTITUTE(INDEX(Charge!$B:$B,ROW()),CHAR(160)," "))&amp;" | "&amp;TRIM(SUBSTITUTE(INDEX(Charge!$C:$C,ROW()),CHAR(160)," "))&amp;" | "&amp;TRIM(SUBSTITUTE(INDEX(Charge!$D:$D,ROW()),CHAR(160)," ")),"~","-"),"*","+"),"?","!"),240),"")</f>
        <v/>
      </c>
      <c r="EO399">
        <f>IF(EN399="",0,IF(COUNTIF($EN$4:EN399,EN399)=1,1,0))</f>
        <v>0</v>
      </c>
      <c r="EP399" s="166" t="str">
        <f>IF(EO399=1,ROUND(SUMIF($EN$4:$EN$503,EN399,$E$4:$E$503),2),"")</f>
        <v/>
      </c>
      <c r="EQ399" t="str">
        <f>IF(EO399=1,COUNTIFS($EO$4:$EO$503,1,$EP$4:$EP$503,"&gt;"&amp;EP399)+COUNTIFS($EO$4:EO399,1,$EP$4:EP399,EP399),"")</f>
        <v/>
      </c>
      <c r="ER399" t="str">
        <f>IF(EO399=1,COUNTIFS($EN$4:$EN$503,EN399,$EM$4:$EM$503,"Interne",$FE$4:$FE$503,1),"")</f>
        <v/>
      </c>
      <c r="ES399" t="str">
        <f>IF(EO399=1,COUNTIFS($EN$4:$EN$503,EN399,$EM$4:$EM$503,"Externe",$FE$4:$FE$503,1),"")</f>
        <v/>
      </c>
      <c r="ET399" t="str">
        <f>IF(EO399=1,IF(ER399+ES399=0,"à affecter",IF(ER399=0,ES399&amp;" ext.",(ER399+ES399)&amp;IF(ES399&gt;0," dont "&amp;ES399&amp;" ext.",""))&amp;IF(COUNTIFS($EN$4:$EN$503,EN399,$EM$4:$EM$503,"Non affecté")&gt;0," + à affecter","")),"")</f>
        <v/>
      </c>
      <c r="EU399" s="170" t="str">
        <f>IF(EO399=1,IF(EP399&gt;0,SUMPRODUCT(($EN$4:$EN$503=EN399)*$E$4:$E$503*$C$4:$C$503)/EP399,AVERAGEIF($EN$4:$EN$503,EN399,$C$4:$C$503)),"")</f>
        <v/>
      </c>
      <c r="EV399" s="165">
        <f>IF(ISNUMBER(I399),I399,2958465)</f>
        <v>2958465.0</v>
      </c>
      <c r="EW399" s="165" t="str">
        <f>IF(EO399=1,SUMPRODUCT(MIN(($EN$4:$EN$503=EN399)*$EV$4:$EV$503+($EN$4:$EN$503&lt;&gt;EN399)*2958465)),"")</f>
        <v/>
      </c>
      <c r="EX399" s="165">
        <f>IF(AND(D399=1,ISNUMBER(INDEX(Charge!$F:$F,ROW()))),INDEX(Charge!$F:$F,ROW()),0)</f>
        <v>0.0</v>
      </c>
      <c r="EY399" s="165" t="str">
        <f>IF(EO399=1,SUMPRODUCT(MAX(($EN$4:$EN$503=EN399)*$EX$4:$EX$503)),"")</f>
        <v/>
      </c>
      <c r="FA399" t="str">
        <f>IF(396&lt;=$CD$23,INDEX($EJ$4:$EJ$203,396),IF(396-$CD$23&lt;=$CD$26,INDEX($EK$4:$EK$203,396-$CD$23),""))</f>
        <v/>
      </c>
      <c r="FB399" t="str">
        <f>IF(FA399="","",IF(396&lt;=$CD$23,"Interne","Externe"))</f>
        <v/>
      </c>
      <c r="FD399">
        <f>IF(AND(B399=1,TRIM(INDEX(Charge!$K:$K,ROW()))&lt;&gt;"",TRIM(INDEX(Charge!$L:$L,ROW()))&lt;&gt;""),1,0)</f>
        <v>0</v>
      </c>
      <c r="FE399">
        <f>IF(OR(EN399="",BZ399="(non affecté)"),0,IF(COUNTIFS($EN$4:EN399,EN399,$BZ$4:BZ399,BZ399)=1,1,0))</f>
        <v>0</v>
      </c>
    </row>
    <row r="400">
      <c r="A400">
        <f>ROW()</f>
        <v>400</v>
      </c>
      <c r="B400">
        <f>IF(TRIM(INDEX(Charge!$B:$B,ROW()))&lt;&gt;"",1,0)</f>
        <v>0</v>
      </c>
      <c r="C400">
        <f>IF(B400=1,MIN(1,MAX(0,N(INDEX(Charge!$O:$O,ROW())))),0)</f>
        <v>0</v>
      </c>
      <c r="D400">
        <f>IF(B400=1,IF(OR(p_Perimetre="Tous les projets",C400&lt;1),1,0),0)</f>
        <v>0</v>
      </c>
      <c r="E400">
        <f>IF(D400=1,MAX(0,N(INDEX(Charge!$M:$M,ROW()))),0)</f>
        <v>0</v>
      </c>
      <c r="F400" t="str">
        <f>IF(D400=1,IF(TRIM(INDEX(Charge!$A:$A,ROW()))="","(non renseigné)",TRIM(INDEX(Charge!$A:$A,ROW()))),"")</f>
        <v/>
      </c>
      <c r="G400" t="str">
        <f>IF(D400=1,TRIM(INDEX(Charge!$B:$B,ROW())),"")</f>
        <v/>
      </c>
      <c r="H400" t="str">
        <f>IF(D400=1,IF(TRIM(INDEX(Charge!$E:$E,ROW()))="","(non renseigné)",TRIM(INDEX(Charge!$E:$E,ROW()))),"")</f>
        <v/>
      </c>
      <c r="I400" s="165" t="str">
        <f>IF(AND(D400=1,ISNUMBER(INDEX(Charge!$N:$N,ROW()))),INDEX(Charge!$N:$N,ROW()),"")</f>
        <v/>
      </c>
      <c r="J400" s="165" t="str">
        <f>IF(I400="","",IF(AND(p_Repartition="Lissée jusqu'à la date de besoin",ISNUMBER(INDEX(Charge!$F:$F,ROW()))),IF(INDEX(Charge!$F:$F,ROW())&gt;=I400,INDEX(Charge!$F:$F,ROW()),I400),I400))</f>
        <v/>
      </c>
      <c r="K400" t="str">
        <f>IF(I400="","",NETWORKDAYS(I400,J400,Data!$K$4:$K$203))</f>
        <v/>
      </c>
      <c r="L400" t="str">
        <f>IF(D400=1,COUNTIFS($D$4:$D$503,1,$E$4:$E$503,"&gt;"&amp;E400)+COUNTIFS($D$4:$D400,1,$E$4:$E400,E400),"")</f>
        <v/>
      </c>
      <c r="M400">
        <f>IF(F400="",0,IF(COUNTIF($F$4:F400,F400)=1,1,0))</f>
        <v>0</v>
      </c>
      <c r="N400" t="str">
        <f>IF(M400=1,ROUND(SUMIF($F$4:$F$503,F400,$E$4:$E$503),2),"")</f>
        <v/>
      </c>
      <c r="O400" t="str">
        <f>IF(M400=1,COUNTIFS($M$4:$M$503,1,$N$4:$N$503,"&gt;"&amp;N400)+COUNTIFS($M$4:M400,1,$N$4:N400,N400),"")</f>
        <v/>
      </c>
      <c r="P400">
        <f>IF(G400="",0,IF(COUNTIF($G$4:G400,G400)=1,1,0))</f>
        <v>0</v>
      </c>
      <c r="Q400" t="str">
        <f>IF(P400=1,ROUND(SUMIF($G$4:$G$503,G400,$E$4:$E$503),2),"")</f>
        <v/>
      </c>
      <c r="R400" t="str">
        <f>IF(P400=1,COUNTIFS($P$4:$P$503,1,$Q$4:$Q$503,"&gt;"&amp;Q400)+COUNTIFS($P$4:P400,1,$Q$4:Q400,Q400),"")</f>
        <v/>
      </c>
      <c r="S400">
        <f>IF(H400="",0,IF(COUNTIF($H$4:H400,H400)=1,1,0))</f>
        <v>0</v>
      </c>
      <c r="T400" t="str">
        <f>IF(S400=1,ROUND(SUMIF($H$4:$H$503,H400,$E$4:$E$503),2),"")</f>
        <v/>
      </c>
      <c r="U400" t="str">
        <f>IF(S400=1,COUNTIFS($S$4:$S$503,1,$T$4:$T$503,"&gt;"&amp;T400)+COUNTIFS($S$4:S400,1,$T$4:T400,T400),"")</f>
        <v/>
      </c>
      <c r="V400" t="str">
        <f>IF(D400=1,MIN(INDEX($R$4:$R$503,MATCH(G400,$G$4:$G$503,0)),IF($AL$7&gt;9,9,999)),"")</f>
        <v/>
      </c>
      <c r="W400" s="166">
        <f>IF(OR($I400="",$E400=0),0,IF(OR($J400&lt;W$3,$I400&gt;W$2),0,IF($K400=0,IF(AND($I400&gt;=W$3,$I400&lt;=W$2),$E400,0),$E400*NETWORKDAYS(MAX($I400,W$3),MIN($J400,W$2),Data!$K$4:$K$203)/$K400)))</f>
        <v>0</v>
      </c>
      <c r="X400" s="166">
        <f>IF(OR($I400="",$E400=0),0,IF(OR($J400&lt;X$3,$I400&gt;X$2),0,IF($K400=0,IF(AND($I400&gt;=X$3,$I400&lt;=X$2),$E400,0),$E400*NETWORKDAYS(MAX($I400,X$3),MIN($J400,X$2),Data!$K$4:$K$203)/$K400)))</f>
        <v>0</v>
      </c>
      <c r="Y400" s="166">
        <f>IF(OR($I400="",$E400=0),0,IF(OR($J400&lt;Y$3,$I400&gt;Y$2),0,IF($K400=0,IF(AND($I400&gt;=Y$3,$I400&lt;=Y$2),$E400,0),$E400*NETWORKDAYS(MAX($I400,Y$3),MIN($J400,Y$2),Data!$K$4:$K$203)/$K400)))</f>
        <v>0</v>
      </c>
      <c r="Z400" s="166">
        <f>IF(OR($I400="",$E400=0),0,IF(OR($J400&lt;Z$3,$I400&gt;Z$2),0,IF($K400=0,IF(AND($I400&gt;=Z$3,$I400&lt;=Z$2),$E400,0),$E400*NETWORKDAYS(MAX($I400,Z$3),MIN($J400,Z$2),Data!$K$4:$K$203)/$K400)))</f>
        <v>0</v>
      </c>
      <c r="AA400" s="166">
        <f>IF(OR($I400="",$E400=0),0,IF(OR($J400&lt;AA$3,$I400&gt;AA$2),0,IF($K400=0,IF(AND($I400&gt;=AA$3,$I400&lt;=AA$2),$E400,0),$E400*NETWORKDAYS(MAX($I400,AA$3),MIN($J400,AA$2),Data!$K$4:$K$203)/$K400)))</f>
        <v>0</v>
      </c>
      <c r="AB400" s="166">
        <f>IF(OR($I400="",$E400=0),0,IF(OR($J400&lt;AB$3,$I400&gt;AB$2),0,IF($K400=0,IF(AND($I400&gt;=AB$3,$I400&lt;=AB$2),$E400,0),$E400*NETWORKDAYS(MAX($I400,AB$3),MIN($J400,AB$2),Data!$K$4:$K$203)/$K400)))</f>
        <v>0</v>
      </c>
      <c r="AC400" s="166">
        <f>IF(OR($I400="",$E400=0),0,IF(OR($J400&lt;AC$3,$I400&gt;AC$2),0,IF($K400=0,IF(AND($I400&gt;=AC$3,$I400&lt;=AC$2),$E400,0),$E400*NETWORKDAYS(MAX($I400,AC$3),MIN($J400,AC$2),Data!$K$4:$K$203)/$K400)))</f>
        <v>0</v>
      </c>
      <c r="AD400" s="166">
        <f>IF(OR($I400="",$E400=0),0,IF(OR($J400&lt;AD$3,$I400&gt;AD$2),0,IF($K400=0,IF(AND($I400&gt;=AD$3,$I400&lt;=AD$2),$E400,0),$E400*NETWORKDAYS(MAX($I400,AD$3),MIN($J400,AD$2),Data!$K$4:$K$203)/$K400)))</f>
        <v>0</v>
      </c>
      <c r="AE400" s="166">
        <f>IF(OR($I400="",$E400=0),0,IF(OR($J400&lt;AE$3,$I400&gt;AE$2),0,IF($K400=0,IF(AND($I400&gt;=AE$3,$I400&lt;=AE$2),$E400,0),$E400*NETWORKDAYS(MAX($I400,AE$3),MIN($J400,AE$2),Data!$K$4:$K$203)/$K400)))</f>
        <v>0</v>
      </c>
      <c r="AF400" s="166">
        <f>IF(OR($I400="",$E400=0),0,IF(OR($J400&lt;AF$3,$I400&gt;AF$2),0,IF($K400=0,IF(AND($I400&gt;=AF$3,$I400&lt;=AF$2),$E400,0),$E400*NETWORKDAYS(MAX($I400,AF$3),MIN($J400,AF$2),Data!$K$4:$K$203)/$K400)))</f>
        <v>0</v>
      </c>
      <c r="AG400" s="166">
        <f>IF(OR($I400="",$E400=0),0,IF(OR($J400&lt;AG$3,$I400&gt;AG$2),0,IF($K400=0,IF(AND($I400&gt;=AG$3,$I400&lt;=AG$2),$E400,0),$E400*NETWORKDAYS(MAX($I400,AG$3),MIN($J400,AG$2),Data!$K$4:$K$203)/$K400)))</f>
        <v>0</v>
      </c>
      <c r="AH400" s="166">
        <f>IF(OR($I400="",$E400=0),0,IF(OR($J400&lt;AH$3,$I400&gt;AH$2),0,IF($K400=0,IF(AND($I400&gt;=AH$3,$I400&lt;=AH$2),$E400,0),$E400*NETWORKDAYS(MAX($I400,AH$3),MIN($J400,AH$2),Data!$K$4:$K$203)/$K400)))</f>
        <v>0</v>
      </c>
      <c r="AI400" s="166">
        <f>SUM(W400:AH400)</f>
        <v>0</v>
      </c>
      <c r="BZ400" t="str">
        <f>IF(D400=1,IF(TRIM(INDEX(Charge!$K:$K,ROW()))&lt;&gt;"",TRIM(INDEX(Charge!$K:$K,ROW())),IF(TRIM(INDEX(Charge!$L:$L,ROW()))&lt;&gt;"",TRIM(INDEX(Charge!$L:$L,ROW())),"(non affecté)")),"")</f>
        <v/>
      </c>
      <c r="CA400" t="str">
        <f>IF(AND($CD$4&lt;&gt;"",BZ400=$CD$4),COUNTIFS($BZ$4:$BZ$503,$CD$4,$L$4:$L$503,"&lt;"&amp;L400)+1,"")</f>
        <v/>
      </c>
      <c r="EM400" t="str">
        <f>IF(D400=1,IF(TRIM(INDEX(Charge!$K:$K,ROW()))&lt;&gt;"","Interne",IF(TRIM(INDEX(Charge!$L:$L,ROW()))&lt;&gt;"","Externe","Non affecté")),"")</f>
        <v/>
      </c>
      <c r="EN400" t="str">
        <f>IF(D400=1,LEFT(SUBSTITUTE(SUBSTITUTE(SUBSTITUTE(TRIM(SUBSTITUTE(INDEX(Charge!$B:$B,ROW()),CHAR(160)," "))&amp;" | "&amp;TRIM(SUBSTITUTE(INDEX(Charge!$C:$C,ROW()),CHAR(160)," "))&amp;" | "&amp;TRIM(SUBSTITUTE(INDEX(Charge!$D:$D,ROW()),CHAR(160)," ")),"~","-"),"*","+"),"?","!"),240),"")</f>
        <v/>
      </c>
      <c r="EO400">
        <f>IF(EN400="",0,IF(COUNTIF($EN$4:EN400,EN400)=1,1,0))</f>
        <v>0</v>
      </c>
      <c r="EP400" s="166" t="str">
        <f>IF(EO400=1,ROUND(SUMIF($EN$4:$EN$503,EN400,$E$4:$E$503),2),"")</f>
        <v/>
      </c>
      <c r="EQ400" t="str">
        <f>IF(EO400=1,COUNTIFS($EO$4:$EO$503,1,$EP$4:$EP$503,"&gt;"&amp;EP400)+COUNTIFS($EO$4:EO400,1,$EP$4:EP400,EP400),"")</f>
        <v/>
      </c>
      <c r="ER400" t="str">
        <f>IF(EO400=1,COUNTIFS($EN$4:$EN$503,EN400,$EM$4:$EM$503,"Interne",$FE$4:$FE$503,1),"")</f>
        <v/>
      </c>
      <c r="ES400" t="str">
        <f>IF(EO400=1,COUNTIFS($EN$4:$EN$503,EN400,$EM$4:$EM$503,"Externe",$FE$4:$FE$503,1),"")</f>
        <v/>
      </c>
      <c r="ET400" t="str">
        <f>IF(EO400=1,IF(ER400+ES400=0,"à affecter",IF(ER400=0,ES400&amp;" ext.",(ER400+ES400)&amp;IF(ES400&gt;0," dont "&amp;ES400&amp;" ext.",""))&amp;IF(COUNTIFS($EN$4:$EN$503,EN400,$EM$4:$EM$503,"Non affecté")&gt;0," + à affecter","")),"")</f>
        <v/>
      </c>
      <c r="EU400" s="170" t="str">
        <f>IF(EO400=1,IF(EP400&gt;0,SUMPRODUCT(($EN$4:$EN$503=EN400)*$E$4:$E$503*$C$4:$C$503)/EP400,AVERAGEIF($EN$4:$EN$503,EN400,$C$4:$C$503)),"")</f>
        <v/>
      </c>
      <c r="EV400" s="165">
        <f>IF(ISNUMBER(I400),I400,2958465)</f>
        <v>2958465.0</v>
      </c>
      <c r="EW400" s="165" t="str">
        <f>IF(EO400=1,SUMPRODUCT(MIN(($EN$4:$EN$503=EN400)*$EV$4:$EV$503+($EN$4:$EN$503&lt;&gt;EN400)*2958465)),"")</f>
        <v/>
      </c>
      <c r="EX400" s="165">
        <f>IF(AND(D400=1,ISNUMBER(INDEX(Charge!$F:$F,ROW()))),INDEX(Charge!$F:$F,ROW()),0)</f>
        <v>0.0</v>
      </c>
      <c r="EY400" s="165" t="str">
        <f>IF(EO400=1,SUMPRODUCT(MAX(($EN$4:$EN$503=EN400)*$EX$4:$EX$503)),"")</f>
        <v/>
      </c>
      <c r="FA400" t="str">
        <f>IF(397&lt;=$CD$23,INDEX($EJ$4:$EJ$203,397),IF(397-$CD$23&lt;=$CD$26,INDEX($EK$4:$EK$203,397-$CD$23),""))</f>
        <v/>
      </c>
      <c r="FB400" t="str">
        <f>IF(FA400="","",IF(397&lt;=$CD$23,"Interne","Externe"))</f>
        <v/>
      </c>
      <c r="FD400">
        <f>IF(AND(B400=1,TRIM(INDEX(Charge!$K:$K,ROW()))&lt;&gt;"",TRIM(INDEX(Charge!$L:$L,ROW()))&lt;&gt;""),1,0)</f>
        <v>0</v>
      </c>
      <c r="FE400">
        <f>IF(OR(EN400="",BZ400="(non affecté)"),0,IF(COUNTIFS($EN$4:EN400,EN400,$BZ$4:BZ400,BZ400)=1,1,0))</f>
        <v>0</v>
      </c>
    </row>
    <row r="401">
      <c r="A401">
        <f>ROW()</f>
        <v>401</v>
      </c>
      <c r="B401">
        <f>IF(TRIM(INDEX(Charge!$B:$B,ROW()))&lt;&gt;"",1,0)</f>
        <v>0</v>
      </c>
      <c r="C401">
        <f>IF(B401=1,MIN(1,MAX(0,N(INDEX(Charge!$O:$O,ROW())))),0)</f>
        <v>0</v>
      </c>
      <c r="D401">
        <f>IF(B401=1,IF(OR(p_Perimetre="Tous les projets",C401&lt;1),1,0),0)</f>
        <v>0</v>
      </c>
      <c r="E401">
        <f>IF(D401=1,MAX(0,N(INDEX(Charge!$M:$M,ROW()))),0)</f>
        <v>0</v>
      </c>
      <c r="F401" t="str">
        <f>IF(D401=1,IF(TRIM(INDEX(Charge!$A:$A,ROW()))="","(non renseigné)",TRIM(INDEX(Charge!$A:$A,ROW()))),"")</f>
        <v/>
      </c>
      <c r="G401" t="str">
        <f>IF(D401=1,TRIM(INDEX(Charge!$B:$B,ROW())),"")</f>
        <v/>
      </c>
      <c r="H401" t="str">
        <f>IF(D401=1,IF(TRIM(INDEX(Charge!$E:$E,ROW()))="","(non renseigné)",TRIM(INDEX(Charge!$E:$E,ROW()))),"")</f>
        <v/>
      </c>
      <c r="I401" s="165" t="str">
        <f>IF(AND(D401=1,ISNUMBER(INDEX(Charge!$N:$N,ROW()))),INDEX(Charge!$N:$N,ROW()),"")</f>
        <v/>
      </c>
      <c r="J401" s="165" t="str">
        <f>IF(I401="","",IF(AND(p_Repartition="Lissée jusqu'à la date de besoin",ISNUMBER(INDEX(Charge!$F:$F,ROW()))),IF(INDEX(Charge!$F:$F,ROW())&gt;=I401,INDEX(Charge!$F:$F,ROW()),I401),I401))</f>
        <v/>
      </c>
      <c r="K401" t="str">
        <f>IF(I401="","",NETWORKDAYS(I401,J401,Data!$K$4:$K$203))</f>
        <v/>
      </c>
      <c r="L401" t="str">
        <f>IF(D401=1,COUNTIFS($D$4:$D$503,1,$E$4:$E$503,"&gt;"&amp;E401)+COUNTIFS($D$4:$D401,1,$E$4:$E401,E401),"")</f>
        <v/>
      </c>
      <c r="M401">
        <f>IF(F401="",0,IF(COUNTIF($F$4:F401,F401)=1,1,0))</f>
        <v>0</v>
      </c>
      <c r="N401" t="str">
        <f>IF(M401=1,ROUND(SUMIF($F$4:$F$503,F401,$E$4:$E$503),2),"")</f>
        <v/>
      </c>
      <c r="O401" t="str">
        <f>IF(M401=1,COUNTIFS($M$4:$M$503,1,$N$4:$N$503,"&gt;"&amp;N401)+COUNTIFS($M$4:M401,1,$N$4:N401,N401),"")</f>
        <v/>
      </c>
      <c r="P401">
        <f>IF(G401="",0,IF(COUNTIF($G$4:G401,G401)=1,1,0))</f>
        <v>0</v>
      </c>
      <c r="Q401" t="str">
        <f>IF(P401=1,ROUND(SUMIF($G$4:$G$503,G401,$E$4:$E$503),2),"")</f>
        <v/>
      </c>
      <c r="R401" t="str">
        <f>IF(P401=1,COUNTIFS($P$4:$P$503,1,$Q$4:$Q$503,"&gt;"&amp;Q401)+COUNTIFS($P$4:P401,1,$Q$4:Q401,Q401),"")</f>
        <v/>
      </c>
      <c r="S401">
        <f>IF(H401="",0,IF(COUNTIF($H$4:H401,H401)=1,1,0))</f>
        <v>0</v>
      </c>
      <c r="T401" t="str">
        <f>IF(S401=1,ROUND(SUMIF($H$4:$H$503,H401,$E$4:$E$503),2),"")</f>
        <v/>
      </c>
      <c r="U401" t="str">
        <f>IF(S401=1,COUNTIFS($S$4:$S$503,1,$T$4:$T$503,"&gt;"&amp;T401)+COUNTIFS($S$4:S401,1,$T$4:T401,T401),"")</f>
        <v/>
      </c>
      <c r="V401" t="str">
        <f>IF(D401=1,MIN(INDEX($R$4:$R$503,MATCH(G401,$G$4:$G$503,0)),IF($AL$7&gt;9,9,999)),"")</f>
        <v/>
      </c>
      <c r="W401" s="166">
        <f>IF(OR($I401="",$E401=0),0,IF(OR($J401&lt;W$3,$I401&gt;W$2),0,IF($K401=0,IF(AND($I401&gt;=W$3,$I401&lt;=W$2),$E401,0),$E401*NETWORKDAYS(MAX($I401,W$3),MIN($J401,W$2),Data!$K$4:$K$203)/$K401)))</f>
        <v>0</v>
      </c>
      <c r="X401" s="166">
        <f>IF(OR($I401="",$E401=0),0,IF(OR($J401&lt;X$3,$I401&gt;X$2),0,IF($K401=0,IF(AND($I401&gt;=X$3,$I401&lt;=X$2),$E401,0),$E401*NETWORKDAYS(MAX($I401,X$3),MIN($J401,X$2),Data!$K$4:$K$203)/$K401)))</f>
        <v>0</v>
      </c>
      <c r="Y401" s="166">
        <f>IF(OR($I401="",$E401=0),0,IF(OR($J401&lt;Y$3,$I401&gt;Y$2),0,IF($K401=0,IF(AND($I401&gt;=Y$3,$I401&lt;=Y$2),$E401,0),$E401*NETWORKDAYS(MAX($I401,Y$3),MIN($J401,Y$2),Data!$K$4:$K$203)/$K401)))</f>
        <v>0</v>
      </c>
      <c r="Z401" s="166">
        <f>IF(OR($I401="",$E401=0),0,IF(OR($J401&lt;Z$3,$I401&gt;Z$2),0,IF($K401=0,IF(AND($I401&gt;=Z$3,$I401&lt;=Z$2),$E401,0),$E401*NETWORKDAYS(MAX($I401,Z$3),MIN($J401,Z$2),Data!$K$4:$K$203)/$K401)))</f>
        <v>0</v>
      </c>
      <c r="AA401" s="166">
        <f>IF(OR($I401="",$E401=0),0,IF(OR($J401&lt;AA$3,$I401&gt;AA$2),0,IF($K401=0,IF(AND($I401&gt;=AA$3,$I401&lt;=AA$2),$E401,0),$E401*NETWORKDAYS(MAX($I401,AA$3),MIN($J401,AA$2),Data!$K$4:$K$203)/$K401)))</f>
        <v>0</v>
      </c>
      <c r="AB401" s="166">
        <f>IF(OR($I401="",$E401=0),0,IF(OR($J401&lt;AB$3,$I401&gt;AB$2),0,IF($K401=0,IF(AND($I401&gt;=AB$3,$I401&lt;=AB$2),$E401,0),$E401*NETWORKDAYS(MAX($I401,AB$3),MIN($J401,AB$2),Data!$K$4:$K$203)/$K401)))</f>
        <v>0</v>
      </c>
      <c r="AC401" s="166">
        <f>IF(OR($I401="",$E401=0),0,IF(OR($J401&lt;AC$3,$I401&gt;AC$2),0,IF($K401=0,IF(AND($I401&gt;=AC$3,$I401&lt;=AC$2),$E401,0),$E401*NETWORKDAYS(MAX($I401,AC$3),MIN($J401,AC$2),Data!$K$4:$K$203)/$K401)))</f>
        <v>0</v>
      </c>
      <c r="AD401" s="166">
        <f>IF(OR($I401="",$E401=0),0,IF(OR($J401&lt;AD$3,$I401&gt;AD$2),0,IF($K401=0,IF(AND($I401&gt;=AD$3,$I401&lt;=AD$2),$E401,0),$E401*NETWORKDAYS(MAX($I401,AD$3),MIN($J401,AD$2),Data!$K$4:$K$203)/$K401)))</f>
        <v>0</v>
      </c>
      <c r="AE401" s="166">
        <f>IF(OR($I401="",$E401=0),0,IF(OR($J401&lt;AE$3,$I401&gt;AE$2),0,IF($K401=0,IF(AND($I401&gt;=AE$3,$I401&lt;=AE$2),$E401,0),$E401*NETWORKDAYS(MAX($I401,AE$3),MIN($J401,AE$2),Data!$K$4:$K$203)/$K401)))</f>
        <v>0</v>
      </c>
      <c r="AF401" s="166">
        <f>IF(OR($I401="",$E401=0),0,IF(OR($J401&lt;AF$3,$I401&gt;AF$2),0,IF($K401=0,IF(AND($I401&gt;=AF$3,$I401&lt;=AF$2),$E401,0),$E401*NETWORKDAYS(MAX($I401,AF$3),MIN($J401,AF$2),Data!$K$4:$K$203)/$K401)))</f>
        <v>0</v>
      </c>
      <c r="AG401" s="166">
        <f>IF(OR($I401="",$E401=0),0,IF(OR($J401&lt;AG$3,$I401&gt;AG$2),0,IF($K401=0,IF(AND($I401&gt;=AG$3,$I401&lt;=AG$2),$E401,0),$E401*NETWORKDAYS(MAX($I401,AG$3),MIN($J401,AG$2),Data!$K$4:$K$203)/$K401)))</f>
        <v>0</v>
      </c>
      <c r="AH401" s="166">
        <f>IF(OR($I401="",$E401=0),0,IF(OR($J401&lt;AH$3,$I401&gt;AH$2),0,IF($K401=0,IF(AND($I401&gt;=AH$3,$I401&lt;=AH$2),$E401,0),$E401*NETWORKDAYS(MAX($I401,AH$3),MIN($J401,AH$2),Data!$K$4:$K$203)/$K401)))</f>
        <v>0</v>
      </c>
      <c r="AI401" s="166">
        <f>SUM(W401:AH401)</f>
        <v>0</v>
      </c>
      <c r="BZ401" t="str">
        <f>IF(D401=1,IF(TRIM(INDEX(Charge!$K:$K,ROW()))&lt;&gt;"",TRIM(INDEX(Charge!$K:$K,ROW())),IF(TRIM(INDEX(Charge!$L:$L,ROW()))&lt;&gt;"",TRIM(INDEX(Charge!$L:$L,ROW())),"(non affecté)")),"")</f>
        <v/>
      </c>
      <c r="CA401" t="str">
        <f>IF(AND($CD$4&lt;&gt;"",BZ401=$CD$4),COUNTIFS($BZ$4:$BZ$503,$CD$4,$L$4:$L$503,"&lt;"&amp;L401)+1,"")</f>
        <v/>
      </c>
      <c r="EM401" t="str">
        <f>IF(D401=1,IF(TRIM(INDEX(Charge!$K:$K,ROW()))&lt;&gt;"","Interne",IF(TRIM(INDEX(Charge!$L:$L,ROW()))&lt;&gt;"","Externe","Non affecté")),"")</f>
        <v/>
      </c>
      <c r="EN401" t="str">
        <f>IF(D401=1,LEFT(SUBSTITUTE(SUBSTITUTE(SUBSTITUTE(TRIM(SUBSTITUTE(INDEX(Charge!$B:$B,ROW()),CHAR(160)," "))&amp;" | "&amp;TRIM(SUBSTITUTE(INDEX(Charge!$C:$C,ROW()),CHAR(160)," "))&amp;" | "&amp;TRIM(SUBSTITUTE(INDEX(Charge!$D:$D,ROW()),CHAR(160)," ")),"~","-"),"*","+"),"?","!"),240),"")</f>
        <v/>
      </c>
      <c r="EO401">
        <f>IF(EN401="",0,IF(COUNTIF($EN$4:EN401,EN401)=1,1,0))</f>
        <v>0</v>
      </c>
      <c r="EP401" s="166" t="str">
        <f>IF(EO401=1,ROUND(SUMIF($EN$4:$EN$503,EN401,$E$4:$E$503),2),"")</f>
        <v/>
      </c>
      <c r="EQ401" t="str">
        <f>IF(EO401=1,COUNTIFS($EO$4:$EO$503,1,$EP$4:$EP$503,"&gt;"&amp;EP401)+COUNTIFS($EO$4:EO401,1,$EP$4:EP401,EP401),"")</f>
        <v/>
      </c>
      <c r="ER401" t="str">
        <f>IF(EO401=1,COUNTIFS($EN$4:$EN$503,EN401,$EM$4:$EM$503,"Interne",$FE$4:$FE$503,1),"")</f>
        <v/>
      </c>
      <c r="ES401" t="str">
        <f>IF(EO401=1,COUNTIFS($EN$4:$EN$503,EN401,$EM$4:$EM$503,"Externe",$FE$4:$FE$503,1),"")</f>
        <v/>
      </c>
      <c r="ET401" t="str">
        <f>IF(EO401=1,IF(ER401+ES401=0,"à affecter",IF(ER401=0,ES401&amp;" ext.",(ER401+ES401)&amp;IF(ES401&gt;0," dont "&amp;ES401&amp;" ext.",""))&amp;IF(COUNTIFS($EN$4:$EN$503,EN401,$EM$4:$EM$503,"Non affecté")&gt;0," + à affecter","")),"")</f>
        <v/>
      </c>
      <c r="EU401" s="170" t="str">
        <f>IF(EO401=1,IF(EP401&gt;0,SUMPRODUCT(($EN$4:$EN$503=EN401)*$E$4:$E$503*$C$4:$C$503)/EP401,AVERAGEIF($EN$4:$EN$503,EN401,$C$4:$C$503)),"")</f>
        <v/>
      </c>
      <c r="EV401" s="165">
        <f>IF(ISNUMBER(I401),I401,2958465)</f>
        <v>2958465.0</v>
      </c>
      <c r="EW401" s="165" t="str">
        <f>IF(EO401=1,SUMPRODUCT(MIN(($EN$4:$EN$503=EN401)*$EV$4:$EV$503+($EN$4:$EN$503&lt;&gt;EN401)*2958465)),"")</f>
        <v/>
      </c>
      <c r="EX401" s="165">
        <f>IF(AND(D401=1,ISNUMBER(INDEX(Charge!$F:$F,ROW()))),INDEX(Charge!$F:$F,ROW()),0)</f>
        <v>0.0</v>
      </c>
      <c r="EY401" s="165" t="str">
        <f>IF(EO401=1,SUMPRODUCT(MAX(($EN$4:$EN$503=EN401)*$EX$4:$EX$503)),"")</f>
        <v/>
      </c>
      <c r="FA401" t="str">
        <f>IF(398&lt;=$CD$23,INDEX($EJ$4:$EJ$203,398),IF(398-$CD$23&lt;=$CD$26,INDEX($EK$4:$EK$203,398-$CD$23),""))</f>
        <v/>
      </c>
      <c r="FB401" t="str">
        <f>IF(FA401="","",IF(398&lt;=$CD$23,"Interne","Externe"))</f>
        <v/>
      </c>
      <c r="FD401">
        <f>IF(AND(B401=1,TRIM(INDEX(Charge!$K:$K,ROW()))&lt;&gt;"",TRIM(INDEX(Charge!$L:$L,ROW()))&lt;&gt;""),1,0)</f>
        <v>0</v>
      </c>
      <c r="FE401">
        <f>IF(OR(EN401="",BZ401="(non affecté)"),0,IF(COUNTIFS($EN$4:EN401,EN401,$BZ$4:BZ401,BZ401)=1,1,0))</f>
        <v>0</v>
      </c>
    </row>
    <row r="402">
      <c r="A402">
        <f>ROW()</f>
        <v>402</v>
      </c>
      <c r="B402">
        <f>IF(TRIM(INDEX(Charge!$B:$B,ROW()))&lt;&gt;"",1,0)</f>
        <v>0</v>
      </c>
      <c r="C402">
        <f>IF(B402=1,MIN(1,MAX(0,N(INDEX(Charge!$O:$O,ROW())))),0)</f>
        <v>0</v>
      </c>
      <c r="D402">
        <f>IF(B402=1,IF(OR(p_Perimetre="Tous les projets",C402&lt;1),1,0),0)</f>
        <v>0</v>
      </c>
      <c r="E402">
        <f>IF(D402=1,MAX(0,N(INDEX(Charge!$M:$M,ROW()))),0)</f>
        <v>0</v>
      </c>
      <c r="F402" t="str">
        <f>IF(D402=1,IF(TRIM(INDEX(Charge!$A:$A,ROW()))="","(non renseigné)",TRIM(INDEX(Charge!$A:$A,ROW()))),"")</f>
        <v/>
      </c>
      <c r="G402" t="str">
        <f>IF(D402=1,TRIM(INDEX(Charge!$B:$B,ROW())),"")</f>
        <v/>
      </c>
      <c r="H402" t="str">
        <f>IF(D402=1,IF(TRIM(INDEX(Charge!$E:$E,ROW()))="","(non renseigné)",TRIM(INDEX(Charge!$E:$E,ROW()))),"")</f>
        <v/>
      </c>
      <c r="I402" s="165" t="str">
        <f>IF(AND(D402=1,ISNUMBER(INDEX(Charge!$N:$N,ROW()))),INDEX(Charge!$N:$N,ROW()),"")</f>
        <v/>
      </c>
      <c r="J402" s="165" t="str">
        <f>IF(I402="","",IF(AND(p_Repartition="Lissée jusqu'à la date de besoin",ISNUMBER(INDEX(Charge!$F:$F,ROW()))),IF(INDEX(Charge!$F:$F,ROW())&gt;=I402,INDEX(Charge!$F:$F,ROW()),I402),I402))</f>
        <v/>
      </c>
      <c r="K402" t="str">
        <f>IF(I402="","",NETWORKDAYS(I402,J402,Data!$K$4:$K$203))</f>
        <v/>
      </c>
      <c r="L402" t="str">
        <f>IF(D402=1,COUNTIFS($D$4:$D$503,1,$E$4:$E$503,"&gt;"&amp;E402)+COUNTIFS($D$4:$D402,1,$E$4:$E402,E402),"")</f>
        <v/>
      </c>
      <c r="M402">
        <f>IF(F402="",0,IF(COUNTIF($F$4:F402,F402)=1,1,0))</f>
        <v>0</v>
      </c>
      <c r="N402" t="str">
        <f>IF(M402=1,ROUND(SUMIF($F$4:$F$503,F402,$E$4:$E$503),2),"")</f>
        <v/>
      </c>
      <c r="O402" t="str">
        <f>IF(M402=1,COUNTIFS($M$4:$M$503,1,$N$4:$N$503,"&gt;"&amp;N402)+COUNTIFS($M$4:M402,1,$N$4:N402,N402),"")</f>
        <v/>
      </c>
      <c r="P402">
        <f>IF(G402="",0,IF(COUNTIF($G$4:G402,G402)=1,1,0))</f>
        <v>0</v>
      </c>
      <c r="Q402" t="str">
        <f>IF(P402=1,ROUND(SUMIF($G$4:$G$503,G402,$E$4:$E$503),2),"")</f>
        <v/>
      </c>
      <c r="R402" t="str">
        <f>IF(P402=1,COUNTIFS($P$4:$P$503,1,$Q$4:$Q$503,"&gt;"&amp;Q402)+COUNTIFS($P$4:P402,1,$Q$4:Q402,Q402),"")</f>
        <v/>
      </c>
      <c r="S402">
        <f>IF(H402="",0,IF(COUNTIF($H$4:H402,H402)=1,1,0))</f>
        <v>0</v>
      </c>
      <c r="T402" t="str">
        <f>IF(S402=1,ROUND(SUMIF($H$4:$H$503,H402,$E$4:$E$503),2),"")</f>
        <v/>
      </c>
      <c r="U402" t="str">
        <f>IF(S402=1,COUNTIFS($S$4:$S$503,1,$T$4:$T$503,"&gt;"&amp;T402)+COUNTIFS($S$4:S402,1,$T$4:T402,T402),"")</f>
        <v/>
      </c>
      <c r="V402" t="str">
        <f>IF(D402=1,MIN(INDEX($R$4:$R$503,MATCH(G402,$G$4:$G$503,0)),IF($AL$7&gt;9,9,999)),"")</f>
        <v/>
      </c>
      <c r="W402" s="166">
        <f>IF(OR($I402="",$E402=0),0,IF(OR($J402&lt;W$3,$I402&gt;W$2),0,IF($K402=0,IF(AND($I402&gt;=W$3,$I402&lt;=W$2),$E402,0),$E402*NETWORKDAYS(MAX($I402,W$3),MIN($J402,W$2),Data!$K$4:$K$203)/$K402)))</f>
        <v>0</v>
      </c>
      <c r="X402" s="166">
        <f>IF(OR($I402="",$E402=0),0,IF(OR($J402&lt;X$3,$I402&gt;X$2),0,IF($K402=0,IF(AND($I402&gt;=X$3,$I402&lt;=X$2),$E402,0),$E402*NETWORKDAYS(MAX($I402,X$3),MIN($J402,X$2),Data!$K$4:$K$203)/$K402)))</f>
        <v>0</v>
      </c>
      <c r="Y402" s="166">
        <f>IF(OR($I402="",$E402=0),0,IF(OR($J402&lt;Y$3,$I402&gt;Y$2),0,IF($K402=0,IF(AND($I402&gt;=Y$3,$I402&lt;=Y$2),$E402,0),$E402*NETWORKDAYS(MAX($I402,Y$3),MIN($J402,Y$2),Data!$K$4:$K$203)/$K402)))</f>
        <v>0</v>
      </c>
      <c r="Z402" s="166">
        <f>IF(OR($I402="",$E402=0),0,IF(OR($J402&lt;Z$3,$I402&gt;Z$2),0,IF($K402=0,IF(AND($I402&gt;=Z$3,$I402&lt;=Z$2),$E402,0),$E402*NETWORKDAYS(MAX($I402,Z$3),MIN($J402,Z$2),Data!$K$4:$K$203)/$K402)))</f>
        <v>0</v>
      </c>
      <c r="AA402" s="166">
        <f>IF(OR($I402="",$E402=0),0,IF(OR($J402&lt;AA$3,$I402&gt;AA$2),0,IF($K402=0,IF(AND($I402&gt;=AA$3,$I402&lt;=AA$2),$E402,0),$E402*NETWORKDAYS(MAX($I402,AA$3),MIN($J402,AA$2),Data!$K$4:$K$203)/$K402)))</f>
        <v>0</v>
      </c>
      <c r="AB402" s="166">
        <f>IF(OR($I402="",$E402=0),0,IF(OR($J402&lt;AB$3,$I402&gt;AB$2),0,IF($K402=0,IF(AND($I402&gt;=AB$3,$I402&lt;=AB$2),$E402,0),$E402*NETWORKDAYS(MAX($I402,AB$3),MIN($J402,AB$2),Data!$K$4:$K$203)/$K402)))</f>
        <v>0</v>
      </c>
      <c r="AC402" s="166">
        <f>IF(OR($I402="",$E402=0),0,IF(OR($J402&lt;AC$3,$I402&gt;AC$2),0,IF($K402=0,IF(AND($I402&gt;=AC$3,$I402&lt;=AC$2),$E402,0),$E402*NETWORKDAYS(MAX($I402,AC$3),MIN($J402,AC$2),Data!$K$4:$K$203)/$K402)))</f>
        <v>0</v>
      </c>
      <c r="AD402" s="166">
        <f>IF(OR($I402="",$E402=0),0,IF(OR($J402&lt;AD$3,$I402&gt;AD$2),0,IF($K402=0,IF(AND($I402&gt;=AD$3,$I402&lt;=AD$2),$E402,0),$E402*NETWORKDAYS(MAX($I402,AD$3),MIN($J402,AD$2),Data!$K$4:$K$203)/$K402)))</f>
        <v>0</v>
      </c>
      <c r="AE402" s="166">
        <f>IF(OR($I402="",$E402=0),0,IF(OR($J402&lt;AE$3,$I402&gt;AE$2),0,IF($K402=0,IF(AND($I402&gt;=AE$3,$I402&lt;=AE$2),$E402,0),$E402*NETWORKDAYS(MAX($I402,AE$3),MIN($J402,AE$2),Data!$K$4:$K$203)/$K402)))</f>
        <v>0</v>
      </c>
      <c r="AF402" s="166">
        <f>IF(OR($I402="",$E402=0),0,IF(OR($J402&lt;AF$3,$I402&gt;AF$2),0,IF($K402=0,IF(AND($I402&gt;=AF$3,$I402&lt;=AF$2),$E402,0),$E402*NETWORKDAYS(MAX($I402,AF$3),MIN($J402,AF$2),Data!$K$4:$K$203)/$K402)))</f>
        <v>0</v>
      </c>
      <c r="AG402" s="166">
        <f>IF(OR($I402="",$E402=0),0,IF(OR($J402&lt;AG$3,$I402&gt;AG$2),0,IF($K402=0,IF(AND($I402&gt;=AG$3,$I402&lt;=AG$2),$E402,0),$E402*NETWORKDAYS(MAX($I402,AG$3),MIN($J402,AG$2),Data!$K$4:$K$203)/$K402)))</f>
        <v>0</v>
      </c>
      <c r="AH402" s="166">
        <f>IF(OR($I402="",$E402=0),0,IF(OR($J402&lt;AH$3,$I402&gt;AH$2),0,IF($K402=0,IF(AND($I402&gt;=AH$3,$I402&lt;=AH$2),$E402,0),$E402*NETWORKDAYS(MAX($I402,AH$3),MIN($J402,AH$2),Data!$K$4:$K$203)/$K402)))</f>
        <v>0</v>
      </c>
      <c r="AI402" s="166">
        <f>SUM(W402:AH402)</f>
        <v>0</v>
      </c>
      <c r="BZ402" t="str">
        <f>IF(D402=1,IF(TRIM(INDEX(Charge!$K:$K,ROW()))&lt;&gt;"",TRIM(INDEX(Charge!$K:$K,ROW())),IF(TRIM(INDEX(Charge!$L:$L,ROW()))&lt;&gt;"",TRIM(INDEX(Charge!$L:$L,ROW())),"(non affecté)")),"")</f>
        <v/>
      </c>
      <c r="CA402" t="str">
        <f>IF(AND($CD$4&lt;&gt;"",BZ402=$CD$4),COUNTIFS($BZ$4:$BZ$503,$CD$4,$L$4:$L$503,"&lt;"&amp;L402)+1,"")</f>
        <v/>
      </c>
      <c r="EM402" t="str">
        <f>IF(D402=1,IF(TRIM(INDEX(Charge!$K:$K,ROW()))&lt;&gt;"","Interne",IF(TRIM(INDEX(Charge!$L:$L,ROW()))&lt;&gt;"","Externe","Non affecté")),"")</f>
        <v/>
      </c>
      <c r="EN402" t="str">
        <f>IF(D402=1,LEFT(SUBSTITUTE(SUBSTITUTE(SUBSTITUTE(TRIM(SUBSTITUTE(INDEX(Charge!$B:$B,ROW()),CHAR(160)," "))&amp;" | "&amp;TRIM(SUBSTITUTE(INDEX(Charge!$C:$C,ROW()),CHAR(160)," "))&amp;" | "&amp;TRIM(SUBSTITUTE(INDEX(Charge!$D:$D,ROW()),CHAR(160)," ")),"~","-"),"*","+"),"?","!"),240),"")</f>
        <v/>
      </c>
      <c r="EO402">
        <f>IF(EN402="",0,IF(COUNTIF($EN$4:EN402,EN402)=1,1,0))</f>
        <v>0</v>
      </c>
      <c r="EP402" s="166" t="str">
        <f>IF(EO402=1,ROUND(SUMIF($EN$4:$EN$503,EN402,$E$4:$E$503),2),"")</f>
        <v/>
      </c>
      <c r="EQ402" t="str">
        <f>IF(EO402=1,COUNTIFS($EO$4:$EO$503,1,$EP$4:$EP$503,"&gt;"&amp;EP402)+COUNTIFS($EO$4:EO402,1,$EP$4:EP402,EP402),"")</f>
        <v/>
      </c>
      <c r="ER402" t="str">
        <f>IF(EO402=1,COUNTIFS($EN$4:$EN$503,EN402,$EM$4:$EM$503,"Interne",$FE$4:$FE$503,1),"")</f>
        <v/>
      </c>
      <c r="ES402" t="str">
        <f>IF(EO402=1,COUNTIFS($EN$4:$EN$503,EN402,$EM$4:$EM$503,"Externe",$FE$4:$FE$503,1),"")</f>
        <v/>
      </c>
      <c r="ET402" t="str">
        <f>IF(EO402=1,IF(ER402+ES402=0,"à affecter",IF(ER402=0,ES402&amp;" ext.",(ER402+ES402)&amp;IF(ES402&gt;0," dont "&amp;ES402&amp;" ext.",""))&amp;IF(COUNTIFS($EN$4:$EN$503,EN402,$EM$4:$EM$503,"Non affecté")&gt;0," + à affecter","")),"")</f>
        <v/>
      </c>
      <c r="EU402" s="170" t="str">
        <f>IF(EO402=1,IF(EP402&gt;0,SUMPRODUCT(($EN$4:$EN$503=EN402)*$E$4:$E$503*$C$4:$C$503)/EP402,AVERAGEIF($EN$4:$EN$503,EN402,$C$4:$C$503)),"")</f>
        <v/>
      </c>
      <c r="EV402" s="165">
        <f>IF(ISNUMBER(I402),I402,2958465)</f>
        <v>2958465.0</v>
      </c>
      <c r="EW402" s="165" t="str">
        <f>IF(EO402=1,SUMPRODUCT(MIN(($EN$4:$EN$503=EN402)*$EV$4:$EV$503+($EN$4:$EN$503&lt;&gt;EN402)*2958465)),"")</f>
        <v/>
      </c>
      <c r="EX402" s="165">
        <f>IF(AND(D402=1,ISNUMBER(INDEX(Charge!$F:$F,ROW()))),INDEX(Charge!$F:$F,ROW()),0)</f>
        <v>0.0</v>
      </c>
      <c r="EY402" s="165" t="str">
        <f>IF(EO402=1,SUMPRODUCT(MAX(($EN$4:$EN$503=EN402)*$EX$4:$EX$503)),"")</f>
        <v/>
      </c>
      <c r="FA402" t="str">
        <f>IF(399&lt;=$CD$23,INDEX($EJ$4:$EJ$203,399),IF(399-$CD$23&lt;=$CD$26,INDEX($EK$4:$EK$203,399-$CD$23),""))</f>
        <v/>
      </c>
      <c r="FB402" t="str">
        <f>IF(FA402="","",IF(399&lt;=$CD$23,"Interne","Externe"))</f>
        <v/>
      </c>
      <c r="FD402">
        <f>IF(AND(B402=1,TRIM(INDEX(Charge!$K:$K,ROW()))&lt;&gt;"",TRIM(INDEX(Charge!$L:$L,ROW()))&lt;&gt;""),1,0)</f>
        <v>0</v>
      </c>
      <c r="FE402">
        <f>IF(OR(EN402="",BZ402="(non affecté)"),0,IF(COUNTIFS($EN$4:EN402,EN402,$BZ$4:BZ402,BZ402)=1,1,0))</f>
        <v>0</v>
      </c>
    </row>
    <row r="403">
      <c r="A403">
        <f>ROW()</f>
        <v>403</v>
      </c>
      <c r="B403">
        <f>IF(TRIM(INDEX(Charge!$B:$B,ROW()))&lt;&gt;"",1,0)</f>
        <v>0</v>
      </c>
      <c r="C403">
        <f>IF(B403=1,MIN(1,MAX(0,N(INDEX(Charge!$O:$O,ROW())))),0)</f>
        <v>0</v>
      </c>
      <c r="D403">
        <f>IF(B403=1,IF(OR(p_Perimetre="Tous les projets",C403&lt;1),1,0),0)</f>
        <v>0</v>
      </c>
      <c r="E403">
        <f>IF(D403=1,MAX(0,N(INDEX(Charge!$M:$M,ROW()))),0)</f>
        <v>0</v>
      </c>
      <c r="F403" t="str">
        <f>IF(D403=1,IF(TRIM(INDEX(Charge!$A:$A,ROW()))="","(non renseigné)",TRIM(INDEX(Charge!$A:$A,ROW()))),"")</f>
        <v/>
      </c>
      <c r="G403" t="str">
        <f>IF(D403=1,TRIM(INDEX(Charge!$B:$B,ROW())),"")</f>
        <v/>
      </c>
      <c r="H403" t="str">
        <f>IF(D403=1,IF(TRIM(INDEX(Charge!$E:$E,ROW()))="","(non renseigné)",TRIM(INDEX(Charge!$E:$E,ROW()))),"")</f>
        <v/>
      </c>
      <c r="I403" s="165" t="str">
        <f>IF(AND(D403=1,ISNUMBER(INDEX(Charge!$N:$N,ROW()))),INDEX(Charge!$N:$N,ROW()),"")</f>
        <v/>
      </c>
      <c r="J403" s="165" t="str">
        <f>IF(I403="","",IF(AND(p_Repartition="Lissée jusqu'à la date de besoin",ISNUMBER(INDEX(Charge!$F:$F,ROW()))),IF(INDEX(Charge!$F:$F,ROW())&gt;=I403,INDEX(Charge!$F:$F,ROW()),I403),I403))</f>
        <v/>
      </c>
      <c r="K403" t="str">
        <f>IF(I403="","",NETWORKDAYS(I403,J403,Data!$K$4:$K$203))</f>
        <v/>
      </c>
      <c r="L403" t="str">
        <f>IF(D403=1,COUNTIFS($D$4:$D$503,1,$E$4:$E$503,"&gt;"&amp;E403)+COUNTIFS($D$4:$D403,1,$E$4:$E403,E403),"")</f>
        <v/>
      </c>
      <c r="M403">
        <f>IF(F403="",0,IF(COUNTIF($F$4:F403,F403)=1,1,0))</f>
        <v>0</v>
      </c>
      <c r="N403" t="str">
        <f>IF(M403=1,ROUND(SUMIF($F$4:$F$503,F403,$E$4:$E$503),2),"")</f>
        <v/>
      </c>
      <c r="O403" t="str">
        <f>IF(M403=1,COUNTIFS($M$4:$M$503,1,$N$4:$N$503,"&gt;"&amp;N403)+COUNTIFS($M$4:M403,1,$N$4:N403,N403),"")</f>
        <v/>
      </c>
      <c r="P403">
        <f>IF(G403="",0,IF(COUNTIF($G$4:G403,G403)=1,1,0))</f>
        <v>0</v>
      </c>
      <c r="Q403" t="str">
        <f>IF(P403=1,ROUND(SUMIF($G$4:$G$503,G403,$E$4:$E$503),2),"")</f>
        <v/>
      </c>
      <c r="R403" t="str">
        <f>IF(P403=1,COUNTIFS($P$4:$P$503,1,$Q$4:$Q$503,"&gt;"&amp;Q403)+COUNTIFS($P$4:P403,1,$Q$4:Q403,Q403),"")</f>
        <v/>
      </c>
      <c r="S403">
        <f>IF(H403="",0,IF(COUNTIF($H$4:H403,H403)=1,1,0))</f>
        <v>0</v>
      </c>
      <c r="T403" t="str">
        <f>IF(S403=1,ROUND(SUMIF($H$4:$H$503,H403,$E$4:$E$503),2),"")</f>
        <v/>
      </c>
      <c r="U403" t="str">
        <f>IF(S403=1,COUNTIFS($S$4:$S$503,1,$T$4:$T$503,"&gt;"&amp;T403)+COUNTIFS($S$4:S403,1,$T$4:T403,T403),"")</f>
        <v/>
      </c>
      <c r="V403" t="str">
        <f>IF(D403=1,MIN(INDEX($R$4:$R$503,MATCH(G403,$G$4:$G$503,0)),IF($AL$7&gt;9,9,999)),"")</f>
        <v/>
      </c>
      <c r="W403" s="166">
        <f>IF(OR($I403="",$E403=0),0,IF(OR($J403&lt;W$3,$I403&gt;W$2),0,IF($K403=0,IF(AND($I403&gt;=W$3,$I403&lt;=W$2),$E403,0),$E403*NETWORKDAYS(MAX($I403,W$3),MIN($J403,W$2),Data!$K$4:$K$203)/$K403)))</f>
        <v>0</v>
      </c>
      <c r="X403" s="166">
        <f>IF(OR($I403="",$E403=0),0,IF(OR($J403&lt;X$3,$I403&gt;X$2),0,IF($K403=0,IF(AND($I403&gt;=X$3,$I403&lt;=X$2),$E403,0),$E403*NETWORKDAYS(MAX($I403,X$3),MIN($J403,X$2),Data!$K$4:$K$203)/$K403)))</f>
        <v>0</v>
      </c>
      <c r="Y403" s="166">
        <f>IF(OR($I403="",$E403=0),0,IF(OR($J403&lt;Y$3,$I403&gt;Y$2),0,IF($K403=0,IF(AND($I403&gt;=Y$3,$I403&lt;=Y$2),$E403,0),$E403*NETWORKDAYS(MAX($I403,Y$3),MIN($J403,Y$2),Data!$K$4:$K$203)/$K403)))</f>
        <v>0</v>
      </c>
      <c r="Z403" s="166">
        <f>IF(OR($I403="",$E403=0),0,IF(OR($J403&lt;Z$3,$I403&gt;Z$2),0,IF($K403=0,IF(AND($I403&gt;=Z$3,$I403&lt;=Z$2),$E403,0),$E403*NETWORKDAYS(MAX($I403,Z$3),MIN($J403,Z$2),Data!$K$4:$K$203)/$K403)))</f>
        <v>0</v>
      </c>
      <c r="AA403" s="166">
        <f>IF(OR($I403="",$E403=0),0,IF(OR($J403&lt;AA$3,$I403&gt;AA$2),0,IF($K403=0,IF(AND($I403&gt;=AA$3,$I403&lt;=AA$2),$E403,0),$E403*NETWORKDAYS(MAX($I403,AA$3),MIN($J403,AA$2),Data!$K$4:$K$203)/$K403)))</f>
        <v>0</v>
      </c>
      <c r="AB403" s="166">
        <f>IF(OR($I403="",$E403=0),0,IF(OR($J403&lt;AB$3,$I403&gt;AB$2),0,IF($K403=0,IF(AND($I403&gt;=AB$3,$I403&lt;=AB$2),$E403,0),$E403*NETWORKDAYS(MAX($I403,AB$3),MIN($J403,AB$2),Data!$K$4:$K$203)/$K403)))</f>
        <v>0</v>
      </c>
      <c r="AC403" s="166">
        <f>IF(OR($I403="",$E403=0),0,IF(OR($J403&lt;AC$3,$I403&gt;AC$2),0,IF($K403=0,IF(AND($I403&gt;=AC$3,$I403&lt;=AC$2),$E403,0),$E403*NETWORKDAYS(MAX($I403,AC$3),MIN($J403,AC$2),Data!$K$4:$K$203)/$K403)))</f>
        <v>0</v>
      </c>
      <c r="AD403" s="166">
        <f>IF(OR($I403="",$E403=0),0,IF(OR($J403&lt;AD$3,$I403&gt;AD$2),0,IF($K403=0,IF(AND($I403&gt;=AD$3,$I403&lt;=AD$2),$E403,0),$E403*NETWORKDAYS(MAX($I403,AD$3),MIN($J403,AD$2),Data!$K$4:$K$203)/$K403)))</f>
        <v>0</v>
      </c>
      <c r="AE403" s="166">
        <f>IF(OR($I403="",$E403=0),0,IF(OR($J403&lt;AE$3,$I403&gt;AE$2),0,IF($K403=0,IF(AND($I403&gt;=AE$3,$I403&lt;=AE$2),$E403,0),$E403*NETWORKDAYS(MAX($I403,AE$3),MIN($J403,AE$2),Data!$K$4:$K$203)/$K403)))</f>
        <v>0</v>
      </c>
      <c r="AF403" s="166">
        <f>IF(OR($I403="",$E403=0),0,IF(OR($J403&lt;AF$3,$I403&gt;AF$2),0,IF($K403=0,IF(AND($I403&gt;=AF$3,$I403&lt;=AF$2),$E403,0),$E403*NETWORKDAYS(MAX($I403,AF$3),MIN($J403,AF$2),Data!$K$4:$K$203)/$K403)))</f>
        <v>0</v>
      </c>
      <c r="AG403" s="166">
        <f>IF(OR($I403="",$E403=0),0,IF(OR($J403&lt;AG$3,$I403&gt;AG$2),0,IF($K403=0,IF(AND($I403&gt;=AG$3,$I403&lt;=AG$2),$E403,0),$E403*NETWORKDAYS(MAX($I403,AG$3),MIN($J403,AG$2),Data!$K$4:$K$203)/$K403)))</f>
        <v>0</v>
      </c>
      <c r="AH403" s="166">
        <f>IF(OR($I403="",$E403=0),0,IF(OR($J403&lt;AH$3,$I403&gt;AH$2),0,IF($K403=0,IF(AND($I403&gt;=AH$3,$I403&lt;=AH$2),$E403,0),$E403*NETWORKDAYS(MAX($I403,AH$3),MIN($J403,AH$2),Data!$K$4:$K$203)/$K403)))</f>
        <v>0</v>
      </c>
      <c r="AI403" s="166">
        <f>SUM(W403:AH403)</f>
        <v>0</v>
      </c>
      <c r="BZ403" t="str">
        <f>IF(D403=1,IF(TRIM(INDEX(Charge!$K:$K,ROW()))&lt;&gt;"",TRIM(INDEX(Charge!$K:$K,ROW())),IF(TRIM(INDEX(Charge!$L:$L,ROW()))&lt;&gt;"",TRIM(INDEX(Charge!$L:$L,ROW())),"(non affecté)")),"")</f>
        <v/>
      </c>
      <c r="CA403" t="str">
        <f>IF(AND($CD$4&lt;&gt;"",BZ403=$CD$4),COUNTIFS($BZ$4:$BZ$503,$CD$4,$L$4:$L$503,"&lt;"&amp;L403)+1,"")</f>
        <v/>
      </c>
      <c r="EM403" t="str">
        <f>IF(D403=1,IF(TRIM(INDEX(Charge!$K:$K,ROW()))&lt;&gt;"","Interne",IF(TRIM(INDEX(Charge!$L:$L,ROW()))&lt;&gt;"","Externe","Non affecté")),"")</f>
        <v/>
      </c>
      <c r="EN403" t="str">
        <f>IF(D403=1,LEFT(SUBSTITUTE(SUBSTITUTE(SUBSTITUTE(TRIM(SUBSTITUTE(INDEX(Charge!$B:$B,ROW()),CHAR(160)," "))&amp;" | "&amp;TRIM(SUBSTITUTE(INDEX(Charge!$C:$C,ROW()),CHAR(160)," "))&amp;" | "&amp;TRIM(SUBSTITUTE(INDEX(Charge!$D:$D,ROW()),CHAR(160)," ")),"~","-"),"*","+"),"?","!"),240),"")</f>
        <v/>
      </c>
      <c r="EO403">
        <f>IF(EN403="",0,IF(COUNTIF($EN$4:EN403,EN403)=1,1,0))</f>
        <v>0</v>
      </c>
      <c r="EP403" s="166" t="str">
        <f>IF(EO403=1,ROUND(SUMIF($EN$4:$EN$503,EN403,$E$4:$E$503),2),"")</f>
        <v/>
      </c>
      <c r="EQ403" t="str">
        <f>IF(EO403=1,COUNTIFS($EO$4:$EO$503,1,$EP$4:$EP$503,"&gt;"&amp;EP403)+COUNTIFS($EO$4:EO403,1,$EP$4:EP403,EP403),"")</f>
        <v/>
      </c>
      <c r="ER403" t="str">
        <f>IF(EO403=1,COUNTIFS($EN$4:$EN$503,EN403,$EM$4:$EM$503,"Interne",$FE$4:$FE$503,1),"")</f>
        <v/>
      </c>
      <c r="ES403" t="str">
        <f>IF(EO403=1,COUNTIFS($EN$4:$EN$503,EN403,$EM$4:$EM$503,"Externe",$FE$4:$FE$503,1),"")</f>
        <v/>
      </c>
      <c r="ET403" t="str">
        <f>IF(EO403=1,IF(ER403+ES403=0,"à affecter",IF(ER403=0,ES403&amp;" ext.",(ER403+ES403)&amp;IF(ES403&gt;0," dont "&amp;ES403&amp;" ext.",""))&amp;IF(COUNTIFS($EN$4:$EN$503,EN403,$EM$4:$EM$503,"Non affecté")&gt;0," + à affecter","")),"")</f>
        <v/>
      </c>
      <c r="EU403" s="170" t="str">
        <f>IF(EO403=1,IF(EP403&gt;0,SUMPRODUCT(($EN$4:$EN$503=EN403)*$E$4:$E$503*$C$4:$C$503)/EP403,AVERAGEIF($EN$4:$EN$503,EN403,$C$4:$C$503)),"")</f>
        <v/>
      </c>
      <c r="EV403" s="165">
        <f>IF(ISNUMBER(I403),I403,2958465)</f>
        <v>2958465.0</v>
      </c>
      <c r="EW403" s="165" t="str">
        <f>IF(EO403=1,SUMPRODUCT(MIN(($EN$4:$EN$503=EN403)*$EV$4:$EV$503+($EN$4:$EN$503&lt;&gt;EN403)*2958465)),"")</f>
        <v/>
      </c>
      <c r="EX403" s="165">
        <f>IF(AND(D403=1,ISNUMBER(INDEX(Charge!$F:$F,ROW()))),INDEX(Charge!$F:$F,ROW()),0)</f>
        <v>0.0</v>
      </c>
      <c r="EY403" s="165" t="str">
        <f>IF(EO403=1,SUMPRODUCT(MAX(($EN$4:$EN$503=EN403)*$EX$4:$EX$503)),"")</f>
        <v/>
      </c>
      <c r="FA403" t="str">
        <f>IF(400&lt;=$CD$23,INDEX($EJ$4:$EJ$203,400),IF(400-$CD$23&lt;=$CD$26,INDEX($EK$4:$EK$203,400-$CD$23),""))</f>
        <v/>
      </c>
      <c r="FB403" t="str">
        <f>IF(FA403="","",IF(400&lt;=$CD$23,"Interne","Externe"))</f>
        <v/>
      </c>
      <c r="FD403">
        <f>IF(AND(B403=1,TRIM(INDEX(Charge!$K:$K,ROW()))&lt;&gt;"",TRIM(INDEX(Charge!$L:$L,ROW()))&lt;&gt;""),1,0)</f>
        <v>0</v>
      </c>
      <c r="FE403">
        <f>IF(OR(EN403="",BZ403="(non affecté)"),0,IF(COUNTIFS($EN$4:EN403,EN403,$BZ$4:BZ403,BZ403)=1,1,0))</f>
        <v>0</v>
      </c>
    </row>
    <row r="404">
      <c r="A404">
        <f>ROW()</f>
        <v>404</v>
      </c>
      <c r="B404">
        <f>IF(TRIM(INDEX(Charge!$B:$B,ROW()))&lt;&gt;"",1,0)</f>
        <v>0</v>
      </c>
      <c r="C404">
        <f>IF(B404=1,MIN(1,MAX(0,N(INDEX(Charge!$O:$O,ROW())))),0)</f>
        <v>0</v>
      </c>
      <c r="D404">
        <f>IF(B404=1,IF(OR(p_Perimetre="Tous les projets",C404&lt;1),1,0),0)</f>
        <v>0</v>
      </c>
      <c r="E404">
        <f>IF(D404=1,MAX(0,N(INDEX(Charge!$M:$M,ROW()))),0)</f>
        <v>0</v>
      </c>
      <c r="F404" t="str">
        <f>IF(D404=1,IF(TRIM(INDEX(Charge!$A:$A,ROW()))="","(non renseigné)",TRIM(INDEX(Charge!$A:$A,ROW()))),"")</f>
        <v/>
      </c>
      <c r="G404" t="str">
        <f>IF(D404=1,TRIM(INDEX(Charge!$B:$B,ROW())),"")</f>
        <v/>
      </c>
      <c r="H404" t="str">
        <f>IF(D404=1,IF(TRIM(INDEX(Charge!$E:$E,ROW()))="","(non renseigné)",TRIM(INDEX(Charge!$E:$E,ROW()))),"")</f>
        <v/>
      </c>
      <c r="I404" s="165" t="str">
        <f>IF(AND(D404=1,ISNUMBER(INDEX(Charge!$N:$N,ROW()))),INDEX(Charge!$N:$N,ROW()),"")</f>
        <v/>
      </c>
      <c r="J404" s="165" t="str">
        <f>IF(I404="","",IF(AND(p_Repartition="Lissée jusqu'à la date de besoin",ISNUMBER(INDEX(Charge!$F:$F,ROW()))),IF(INDEX(Charge!$F:$F,ROW())&gt;=I404,INDEX(Charge!$F:$F,ROW()),I404),I404))</f>
        <v/>
      </c>
      <c r="K404" t="str">
        <f>IF(I404="","",NETWORKDAYS(I404,J404,Data!$K$4:$K$203))</f>
        <v/>
      </c>
      <c r="L404" t="str">
        <f>IF(D404=1,COUNTIFS($D$4:$D$503,1,$E$4:$E$503,"&gt;"&amp;E404)+COUNTIFS($D$4:$D404,1,$E$4:$E404,E404),"")</f>
        <v/>
      </c>
      <c r="M404">
        <f>IF(F404="",0,IF(COUNTIF($F$4:F404,F404)=1,1,0))</f>
        <v>0</v>
      </c>
      <c r="N404" t="str">
        <f>IF(M404=1,ROUND(SUMIF($F$4:$F$503,F404,$E$4:$E$503),2),"")</f>
        <v/>
      </c>
      <c r="O404" t="str">
        <f>IF(M404=1,COUNTIFS($M$4:$M$503,1,$N$4:$N$503,"&gt;"&amp;N404)+COUNTIFS($M$4:M404,1,$N$4:N404,N404),"")</f>
        <v/>
      </c>
      <c r="P404">
        <f>IF(G404="",0,IF(COUNTIF($G$4:G404,G404)=1,1,0))</f>
        <v>0</v>
      </c>
      <c r="Q404" t="str">
        <f>IF(P404=1,ROUND(SUMIF($G$4:$G$503,G404,$E$4:$E$503),2),"")</f>
        <v/>
      </c>
      <c r="R404" t="str">
        <f>IF(P404=1,COUNTIFS($P$4:$P$503,1,$Q$4:$Q$503,"&gt;"&amp;Q404)+COUNTIFS($P$4:P404,1,$Q$4:Q404,Q404),"")</f>
        <v/>
      </c>
      <c r="S404">
        <f>IF(H404="",0,IF(COUNTIF($H$4:H404,H404)=1,1,0))</f>
        <v>0</v>
      </c>
      <c r="T404" t="str">
        <f>IF(S404=1,ROUND(SUMIF($H$4:$H$503,H404,$E$4:$E$503),2),"")</f>
        <v/>
      </c>
      <c r="U404" t="str">
        <f>IF(S404=1,COUNTIFS($S$4:$S$503,1,$T$4:$T$503,"&gt;"&amp;T404)+COUNTIFS($S$4:S404,1,$T$4:T404,T404),"")</f>
        <v/>
      </c>
      <c r="V404" t="str">
        <f>IF(D404=1,MIN(INDEX($R$4:$R$503,MATCH(G404,$G$4:$G$503,0)),IF($AL$7&gt;9,9,999)),"")</f>
        <v/>
      </c>
      <c r="W404" s="166">
        <f>IF(OR($I404="",$E404=0),0,IF(OR($J404&lt;W$3,$I404&gt;W$2),0,IF($K404=0,IF(AND($I404&gt;=W$3,$I404&lt;=W$2),$E404,0),$E404*NETWORKDAYS(MAX($I404,W$3),MIN($J404,W$2),Data!$K$4:$K$203)/$K404)))</f>
        <v>0</v>
      </c>
      <c r="X404" s="166">
        <f>IF(OR($I404="",$E404=0),0,IF(OR($J404&lt;X$3,$I404&gt;X$2),0,IF($K404=0,IF(AND($I404&gt;=X$3,$I404&lt;=X$2),$E404,0),$E404*NETWORKDAYS(MAX($I404,X$3),MIN($J404,X$2),Data!$K$4:$K$203)/$K404)))</f>
        <v>0</v>
      </c>
      <c r="Y404" s="166">
        <f>IF(OR($I404="",$E404=0),0,IF(OR($J404&lt;Y$3,$I404&gt;Y$2),0,IF($K404=0,IF(AND($I404&gt;=Y$3,$I404&lt;=Y$2),$E404,0),$E404*NETWORKDAYS(MAX($I404,Y$3),MIN($J404,Y$2),Data!$K$4:$K$203)/$K404)))</f>
        <v>0</v>
      </c>
      <c r="Z404" s="166">
        <f>IF(OR($I404="",$E404=0),0,IF(OR($J404&lt;Z$3,$I404&gt;Z$2),0,IF($K404=0,IF(AND($I404&gt;=Z$3,$I404&lt;=Z$2),$E404,0),$E404*NETWORKDAYS(MAX($I404,Z$3),MIN($J404,Z$2),Data!$K$4:$K$203)/$K404)))</f>
        <v>0</v>
      </c>
      <c r="AA404" s="166">
        <f>IF(OR($I404="",$E404=0),0,IF(OR($J404&lt;AA$3,$I404&gt;AA$2),0,IF($K404=0,IF(AND($I404&gt;=AA$3,$I404&lt;=AA$2),$E404,0),$E404*NETWORKDAYS(MAX($I404,AA$3),MIN($J404,AA$2),Data!$K$4:$K$203)/$K404)))</f>
        <v>0</v>
      </c>
      <c r="AB404" s="166">
        <f>IF(OR($I404="",$E404=0),0,IF(OR($J404&lt;AB$3,$I404&gt;AB$2),0,IF($K404=0,IF(AND($I404&gt;=AB$3,$I404&lt;=AB$2),$E404,0),$E404*NETWORKDAYS(MAX($I404,AB$3),MIN($J404,AB$2),Data!$K$4:$K$203)/$K404)))</f>
        <v>0</v>
      </c>
      <c r="AC404" s="166">
        <f>IF(OR($I404="",$E404=0),0,IF(OR($J404&lt;AC$3,$I404&gt;AC$2),0,IF($K404=0,IF(AND($I404&gt;=AC$3,$I404&lt;=AC$2),$E404,0),$E404*NETWORKDAYS(MAX($I404,AC$3),MIN($J404,AC$2),Data!$K$4:$K$203)/$K404)))</f>
        <v>0</v>
      </c>
      <c r="AD404" s="166">
        <f>IF(OR($I404="",$E404=0),0,IF(OR($J404&lt;AD$3,$I404&gt;AD$2),0,IF($K404=0,IF(AND($I404&gt;=AD$3,$I404&lt;=AD$2),$E404,0),$E404*NETWORKDAYS(MAX($I404,AD$3),MIN($J404,AD$2),Data!$K$4:$K$203)/$K404)))</f>
        <v>0</v>
      </c>
      <c r="AE404" s="166">
        <f>IF(OR($I404="",$E404=0),0,IF(OR($J404&lt;AE$3,$I404&gt;AE$2),0,IF($K404=0,IF(AND($I404&gt;=AE$3,$I404&lt;=AE$2),$E404,0),$E404*NETWORKDAYS(MAX($I404,AE$3),MIN($J404,AE$2),Data!$K$4:$K$203)/$K404)))</f>
        <v>0</v>
      </c>
      <c r="AF404" s="166">
        <f>IF(OR($I404="",$E404=0),0,IF(OR($J404&lt;AF$3,$I404&gt;AF$2),0,IF($K404=0,IF(AND($I404&gt;=AF$3,$I404&lt;=AF$2),$E404,0),$E404*NETWORKDAYS(MAX($I404,AF$3),MIN($J404,AF$2),Data!$K$4:$K$203)/$K404)))</f>
        <v>0</v>
      </c>
      <c r="AG404" s="166">
        <f>IF(OR($I404="",$E404=0),0,IF(OR($J404&lt;AG$3,$I404&gt;AG$2),0,IF($K404=0,IF(AND($I404&gt;=AG$3,$I404&lt;=AG$2),$E404,0),$E404*NETWORKDAYS(MAX($I404,AG$3),MIN($J404,AG$2),Data!$K$4:$K$203)/$K404)))</f>
        <v>0</v>
      </c>
      <c r="AH404" s="166">
        <f>IF(OR($I404="",$E404=0),0,IF(OR($J404&lt;AH$3,$I404&gt;AH$2),0,IF($K404=0,IF(AND($I404&gt;=AH$3,$I404&lt;=AH$2),$E404,0),$E404*NETWORKDAYS(MAX($I404,AH$3),MIN($J404,AH$2),Data!$K$4:$K$203)/$K404)))</f>
        <v>0</v>
      </c>
      <c r="AI404" s="166">
        <f>SUM(W404:AH404)</f>
        <v>0</v>
      </c>
      <c r="BZ404" t="str">
        <f>IF(D404=1,IF(TRIM(INDEX(Charge!$K:$K,ROW()))&lt;&gt;"",TRIM(INDEX(Charge!$K:$K,ROW())),IF(TRIM(INDEX(Charge!$L:$L,ROW()))&lt;&gt;"",TRIM(INDEX(Charge!$L:$L,ROW())),"(non affecté)")),"")</f>
        <v/>
      </c>
      <c r="CA404" t="str">
        <f>IF(AND($CD$4&lt;&gt;"",BZ404=$CD$4),COUNTIFS($BZ$4:$BZ$503,$CD$4,$L$4:$L$503,"&lt;"&amp;L404)+1,"")</f>
        <v/>
      </c>
      <c r="EM404" t="str">
        <f>IF(D404=1,IF(TRIM(INDEX(Charge!$K:$K,ROW()))&lt;&gt;"","Interne",IF(TRIM(INDEX(Charge!$L:$L,ROW()))&lt;&gt;"","Externe","Non affecté")),"")</f>
        <v/>
      </c>
      <c r="EN404" t="str">
        <f>IF(D404=1,LEFT(SUBSTITUTE(SUBSTITUTE(SUBSTITUTE(TRIM(SUBSTITUTE(INDEX(Charge!$B:$B,ROW()),CHAR(160)," "))&amp;" | "&amp;TRIM(SUBSTITUTE(INDEX(Charge!$C:$C,ROW()),CHAR(160)," "))&amp;" | "&amp;TRIM(SUBSTITUTE(INDEX(Charge!$D:$D,ROW()),CHAR(160)," ")),"~","-"),"*","+"),"?","!"),240),"")</f>
        <v/>
      </c>
      <c r="EO404">
        <f>IF(EN404="",0,IF(COUNTIF($EN$4:EN404,EN404)=1,1,0))</f>
        <v>0</v>
      </c>
      <c r="EP404" s="166" t="str">
        <f>IF(EO404=1,ROUND(SUMIF($EN$4:$EN$503,EN404,$E$4:$E$503),2),"")</f>
        <v/>
      </c>
      <c r="EQ404" t="str">
        <f>IF(EO404=1,COUNTIFS($EO$4:$EO$503,1,$EP$4:$EP$503,"&gt;"&amp;EP404)+COUNTIFS($EO$4:EO404,1,$EP$4:EP404,EP404),"")</f>
        <v/>
      </c>
      <c r="ER404" t="str">
        <f>IF(EO404=1,COUNTIFS($EN$4:$EN$503,EN404,$EM$4:$EM$503,"Interne",$FE$4:$FE$503,1),"")</f>
        <v/>
      </c>
      <c r="ES404" t="str">
        <f>IF(EO404=1,COUNTIFS($EN$4:$EN$503,EN404,$EM$4:$EM$503,"Externe",$FE$4:$FE$503,1),"")</f>
        <v/>
      </c>
      <c r="ET404" t="str">
        <f>IF(EO404=1,IF(ER404+ES404=0,"à affecter",IF(ER404=0,ES404&amp;" ext.",(ER404+ES404)&amp;IF(ES404&gt;0," dont "&amp;ES404&amp;" ext.",""))&amp;IF(COUNTIFS($EN$4:$EN$503,EN404,$EM$4:$EM$503,"Non affecté")&gt;0," + à affecter","")),"")</f>
        <v/>
      </c>
      <c r="EU404" s="170" t="str">
        <f>IF(EO404=1,IF(EP404&gt;0,SUMPRODUCT(($EN$4:$EN$503=EN404)*$E$4:$E$503*$C$4:$C$503)/EP404,AVERAGEIF($EN$4:$EN$503,EN404,$C$4:$C$503)),"")</f>
        <v/>
      </c>
      <c r="EV404" s="165">
        <f>IF(ISNUMBER(I404),I404,2958465)</f>
        <v>2958465.0</v>
      </c>
      <c r="EW404" s="165" t="str">
        <f>IF(EO404=1,SUMPRODUCT(MIN(($EN$4:$EN$503=EN404)*$EV$4:$EV$503+($EN$4:$EN$503&lt;&gt;EN404)*2958465)),"")</f>
        <v/>
      </c>
      <c r="EX404" s="165">
        <f>IF(AND(D404=1,ISNUMBER(INDEX(Charge!$F:$F,ROW()))),INDEX(Charge!$F:$F,ROW()),0)</f>
        <v>0.0</v>
      </c>
      <c r="EY404" s="165" t="str">
        <f>IF(EO404=1,SUMPRODUCT(MAX(($EN$4:$EN$503=EN404)*$EX$4:$EX$503)),"")</f>
        <v/>
      </c>
      <c r="FD404">
        <f>IF(AND(B404=1,TRIM(INDEX(Charge!$K:$K,ROW()))&lt;&gt;"",TRIM(INDEX(Charge!$L:$L,ROW()))&lt;&gt;""),1,0)</f>
        <v>0</v>
      </c>
      <c r="FE404">
        <f>IF(OR(EN404="",BZ404="(non affecté)"),0,IF(COUNTIFS($EN$4:EN404,EN404,$BZ$4:BZ404,BZ404)=1,1,0))</f>
        <v>0</v>
      </c>
    </row>
    <row r="405">
      <c r="A405">
        <f>ROW()</f>
        <v>405</v>
      </c>
      <c r="B405">
        <f>IF(TRIM(INDEX(Charge!$B:$B,ROW()))&lt;&gt;"",1,0)</f>
        <v>0</v>
      </c>
      <c r="C405">
        <f>IF(B405=1,MIN(1,MAX(0,N(INDEX(Charge!$O:$O,ROW())))),0)</f>
        <v>0</v>
      </c>
      <c r="D405">
        <f>IF(B405=1,IF(OR(p_Perimetre="Tous les projets",C405&lt;1),1,0),0)</f>
        <v>0</v>
      </c>
      <c r="E405">
        <f>IF(D405=1,MAX(0,N(INDEX(Charge!$M:$M,ROW()))),0)</f>
        <v>0</v>
      </c>
      <c r="F405" t="str">
        <f>IF(D405=1,IF(TRIM(INDEX(Charge!$A:$A,ROW()))="","(non renseigné)",TRIM(INDEX(Charge!$A:$A,ROW()))),"")</f>
        <v/>
      </c>
      <c r="G405" t="str">
        <f>IF(D405=1,TRIM(INDEX(Charge!$B:$B,ROW())),"")</f>
        <v/>
      </c>
      <c r="H405" t="str">
        <f>IF(D405=1,IF(TRIM(INDEX(Charge!$E:$E,ROW()))="","(non renseigné)",TRIM(INDEX(Charge!$E:$E,ROW()))),"")</f>
        <v/>
      </c>
      <c r="I405" s="165" t="str">
        <f>IF(AND(D405=1,ISNUMBER(INDEX(Charge!$N:$N,ROW()))),INDEX(Charge!$N:$N,ROW()),"")</f>
        <v/>
      </c>
      <c r="J405" s="165" t="str">
        <f>IF(I405="","",IF(AND(p_Repartition="Lissée jusqu'à la date de besoin",ISNUMBER(INDEX(Charge!$F:$F,ROW()))),IF(INDEX(Charge!$F:$F,ROW())&gt;=I405,INDEX(Charge!$F:$F,ROW()),I405),I405))</f>
        <v/>
      </c>
      <c r="K405" t="str">
        <f>IF(I405="","",NETWORKDAYS(I405,J405,Data!$K$4:$K$203))</f>
        <v/>
      </c>
      <c r="L405" t="str">
        <f>IF(D405=1,COUNTIFS($D$4:$D$503,1,$E$4:$E$503,"&gt;"&amp;E405)+COUNTIFS($D$4:$D405,1,$E$4:$E405,E405),"")</f>
        <v/>
      </c>
      <c r="M405">
        <f>IF(F405="",0,IF(COUNTIF($F$4:F405,F405)=1,1,0))</f>
        <v>0</v>
      </c>
      <c r="N405" t="str">
        <f>IF(M405=1,ROUND(SUMIF($F$4:$F$503,F405,$E$4:$E$503),2),"")</f>
        <v/>
      </c>
      <c r="O405" t="str">
        <f>IF(M405=1,COUNTIFS($M$4:$M$503,1,$N$4:$N$503,"&gt;"&amp;N405)+COUNTIFS($M$4:M405,1,$N$4:N405,N405),"")</f>
        <v/>
      </c>
      <c r="P405">
        <f>IF(G405="",0,IF(COUNTIF($G$4:G405,G405)=1,1,0))</f>
        <v>0</v>
      </c>
      <c r="Q405" t="str">
        <f>IF(P405=1,ROUND(SUMIF($G$4:$G$503,G405,$E$4:$E$503),2),"")</f>
        <v/>
      </c>
      <c r="R405" t="str">
        <f>IF(P405=1,COUNTIFS($P$4:$P$503,1,$Q$4:$Q$503,"&gt;"&amp;Q405)+COUNTIFS($P$4:P405,1,$Q$4:Q405,Q405),"")</f>
        <v/>
      </c>
      <c r="S405">
        <f>IF(H405="",0,IF(COUNTIF($H$4:H405,H405)=1,1,0))</f>
        <v>0</v>
      </c>
      <c r="T405" t="str">
        <f>IF(S405=1,ROUND(SUMIF($H$4:$H$503,H405,$E$4:$E$503),2),"")</f>
        <v/>
      </c>
      <c r="U405" t="str">
        <f>IF(S405=1,COUNTIFS($S$4:$S$503,1,$T$4:$T$503,"&gt;"&amp;T405)+COUNTIFS($S$4:S405,1,$T$4:T405,T405),"")</f>
        <v/>
      </c>
      <c r="V405" t="str">
        <f>IF(D405=1,MIN(INDEX($R$4:$R$503,MATCH(G405,$G$4:$G$503,0)),IF($AL$7&gt;9,9,999)),"")</f>
        <v/>
      </c>
      <c r="W405" s="166">
        <f>IF(OR($I405="",$E405=0),0,IF(OR($J405&lt;W$3,$I405&gt;W$2),0,IF($K405=0,IF(AND($I405&gt;=W$3,$I405&lt;=W$2),$E405,0),$E405*NETWORKDAYS(MAX($I405,W$3),MIN($J405,W$2),Data!$K$4:$K$203)/$K405)))</f>
        <v>0</v>
      </c>
      <c r="X405" s="166">
        <f>IF(OR($I405="",$E405=0),0,IF(OR($J405&lt;X$3,$I405&gt;X$2),0,IF($K405=0,IF(AND($I405&gt;=X$3,$I405&lt;=X$2),$E405,0),$E405*NETWORKDAYS(MAX($I405,X$3),MIN($J405,X$2),Data!$K$4:$K$203)/$K405)))</f>
        <v>0</v>
      </c>
      <c r="Y405" s="166">
        <f>IF(OR($I405="",$E405=0),0,IF(OR($J405&lt;Y$3,$I405&gt;Y$2),0,IF($K405=0,IF(AND($I405&gt;=Y$3,$I405&lt;=Y$2),$E405,0),$E405*NETWORKDAYS(MAX($I405,Y$3),MIN($J405,Y$2),Data!$K$4:$K$203)/$K405)))</f>
        <v>0</v>
      </c>
      <c r="Z405" s="166">
        <f>IF(OR($I405="",$E405=0),0,IF(OR($J405&lt;Z$3,$I405&gt;Z$2),0,IF($K405=0,IF(AND($I405&gt;=Z$3,$I405&lt;=Z$2),$E405,0),$E405*NETWORKDAYS(MAX($I405,Z$3),MIN($J405,Z$2),Data!$K$4:$K$203)/$K405)))</f>
        <v>0</v>
      </c>
      <c r="AA405" s="166">
        <f>IF(OR($I405="",$E405=0),0,IF(OR($J405&lt;AA$3,$I405&gt;AA$2),0,IF($K405=0,IF(AND($I405&gt;=AA$3,$I405&lt;=AA$2),$E405,0),$E405*NETWORKDAYS(MAX($I405,AA$3),MIN($J405,AA$2),Data!$K$4:$K$203)/$K405)))</f>
        <v>0</v>
      </c>
      <c r="AB405" s="166">
        <f>IF(OR($I405="",$E405=0),0,IF(OR($J405&lt;AB$3,$I405&gt;AB$2),0,IF($K405=0,IF(AND($I405&gt;=AB$3,$I405&lt;=AB$2),$E405,0),$E405*NETWORKDAYS(MAX($I405,AB$3),MIN($J405,AB$2),Data!$K$4:$K$203)/$K405)))</f>
        <v>0</v>
      </c>
      <c r="AC405" s="166">
        <f>IF(OR($I405="",$E405=0),0,IF(OR($J405&lt;AC$3,$I405&gt;AC$2),0,IF($K405=0,IF(AND($I405&gt;=AC$3,$I405&lt;=AC$2),$E405,0),$E405*NETWORKDAYS(MAX($I405,AC$3),MIN($J405,AC$2),Data!$K$4:$K$203)/$K405)))</f>
        <v>0</v>
      </c>
      <c r="AD405" s="166">
        <f>IF(OR($I405="",$E405=0),0,IF(OR($J405&lt;AD$3,$I405&gt;AD$2),0,IF($K405=0,IF(AND($I405&gt;=AD$3,$I405&lt;=AD$2),$E405,0),$E405*NETWORKDAYS(MAX($I405,AD$3),MIN($J405,AD$2),Data!$K$4:$K$203)/$K405)))</f>
        <v>0</v>
      </c>
      <c r="AE405" s="166">
        <f>IF(OR($I405="",$E405=0),0,IF(OR($J405&lt;AE$3,$I405&gt;AE$2),0,IF($K405=0,IF(AND($I405&gt;=AE$3,$I405&lt;=AE$2),$E405,0),$E405*NETWORKDAYS(MAX($I405,AE$3),MIN($J405,AE$2),Data!$K$4:$K$203)/$K405)))</f>
        <v>0</v>
      </c>
      <c r="AF405" s="166">
        <f>IF(OR($I405="",$E405=0),0,IF(OR($J405&lt;AF$3,$I405&gt;AF$2),0,IF($K405=0,IF(AND($I405&gt;=AF$3,$I405&lt;=AF$2),$E405,0),$E405*NETWORKDAYS(MAX($I405,AF$3),MIN($J405,AF$2),Data!$K$4:$K$203)/$K405)))</f>
        <v>0</v>
      </c>
      <c r="AG405" s="166">
        <f>IF(OR($I405="",$E405=0),0,IF(OR($J405&lt;AG$3,$I405&gt;AG$2),0,IF($K405=0,IF(AND($I405&gt;=AG$3,$I405&lt;=AG$2),$E405,0),$E405*NETWORKDAYS(MAX($I405,AG$3),MIN($J405,AG$2),Data!$K$4:$K$203)/$K405)))</f>
        <v>0</v>
      </c>
      <c r="AH405" s="166">
        <f>IF(OR($I405="",$E405=0),0,IF(OR($J405&lt;AH$3,$I405&gt;AH$2),0,IF($K405=0,IF(AND($I405&gt;=AH$3,$I405&lt;=AH$2),$E405,0),$E405*NETWORKDAYS(MAX($I405,AH$3),MIN($J405,AH$2),Data!$K$4:$K$203)/$K405)))</f>
        <v>0</v>
      </c>
      <c r="AI405" s="166">
        <f>SUM(W405:AH405)</f>
        <v>0</v>
      </c>
      <c r="BZ405" t="str">
        <f>IF(D405=1,IF(TRIM(INDEX(Charge!$K:$K,ROW()))&lt;&gt;"",TRIM(INDEX(Charge!$K:$K,ROW())),IF(TRIM(INDEX(Charge!$L:$L,ROW()))&lt;&gt;"",TRIM(INDEX(Charge!$L:$L,ROW())),"(non affecté)")),"")</f>
        <v/>
      </c>
      <c r="CA405" t="str">
        <f>IF(AND($CD$4&lt;&gt;"",BZ405=$CD$4),COUNTIFS($BZ$4:$BZ$503,$CD$4,$L$4:$L$503,"&lt;"&amp;L405)+1,"")</f>
        <v/>
      </c>
      <c r="EM405" t="str">
        <f>IF(D405=1,IF(TRIM(INDEX(Charge!$K:$K,ROW()))&lt;&gt;"","Interne",IF(TRIM(INDEX(Charge!$L:$L,ROW()))&lt;&gt;"","Externe","Non affecté")),"")</f>
        <v/>
      </c>
      <c r="EN405" t="str">
        <f>IF(D405=1,LEFT(SUBSTITUTE(SUBSTITUTE(SUBSTITUTE(TRIM(SUBSTITUTE(INDEX(Charge!$B:$B,ROW()),CHAR(160)," "))&amp;" | "&amp;TRIM(SUBSTITUTE(INDEX(Charge!$C:$C,ROW()),CHAR(160)," "))&amp;" | "&amp;TRIM(SUBSTITUTE(INDEX(Charge!$D:$D,ROW()),CHAR(160)," ")),"~","-"),"*","+"),"?","!"),240),"")</f>
        <v/>
      </c>
      <c r="EO405">
        <f>IF(EN405="",0,IF(COUNTIF($EN$4:EN405,EN405)=1,1,0))</f>
        <v>0</v>
      </c>
      <c r="EP405" s="166" t="str">
        <f>IF(EO405=1,ROUND(SUMIF($EN$4:$EN$503,EN405,$E$4:$E$503),2),"")</f>
        <v/>
      </c>
      <c r="EQ405" t="str">
        <f>IF(EO405=1,COUNTIFS($EO$4:$EO$503,1,$EP$4:$EP$503,"&gt;"&amp;EP405)+COUNTIFS($EO$4:EO405,1,$EP$4:EP405,EP405),"")</f>
        <v/>
      </c>
      <c r="ER405" t="str">
        <f>IF(EO405=1,COUNTIFS($EN$4:$EN$503,EN405,$EM$4:$EM$503,"Interne",$FE$4:$FE$503,1),"")</f>
        <v/>
      </c>
      <c r="ES405" t="str">
        <f>IF(EO405=1,COUNTIFS($EN$4:$EN$503,EN405,$EM$4:$EM$503,"Externe",$FE$4:$FE$503,1),"")</f>
        <v/>
      </c>
      <c r="ET405" t="str">
        <f>IF(EO405=1,IF(ER405+ES405=0,"à affecter",IF(ER405=0,ES405&amp;" ext.",(ER405+ES405)&amp;IF(ES405&gt;0," dont "&amp;ES405&amp;" ext.",""))&amp;IF(COUNTIFS($EN$4:$EN$503,EN405,$EM$4:$EM$503,"Non affecté")&gt;0," + à affecter","")),"")</f>
        <v/>
      </c>
      <c r="EU405" s="170" t="str">
        <f>IF(EO405=1,IF(EP405&gt;0,SUMPRODUCT(($EN$4:$EN$503=EN405)*$E$4:$E$503*$C$4:$C$503)/EP405,AVERAGEIF($EN$4:$EN$503,EN405,$C$4:$C$503)),"")</f>
        <v/>
      </c>
      <c r="EV405" s="165">
        <f>IF(ISNUMBER(I405),I405,2958465)</f>
        <v>2958465.0</v>
      </c>
      <c r="EW405" s="165" t="str">
        <f>IF(EO405=1,SUMPRODUCT(MIN(($EN$4:$EN$503=EN405)*$EV$4:$EV$503+($EN$4:$EN$503&lt;&gt;EN405)*2958465)),"")</f>
        <v/>
      </c>
      <c r="EX405" s="165">
        <f>IF(AND(D405=1,ISNUMBER(INDEX(Charge!$F:$F,ROW()))),INDEX(Charge!$F:$F,ROW()),0)</f>
        <v>0.0</v>
      </c>
      <c r="EY405" s="165" t="str">
        <f>IF(EO405=1,SUMPRODUCT(MAX(($EN$4:$EN$503=EN405)*$EX$4:$EX$503)),"")</f>
        <v/>
      </c>
      <c r="FD405">
        <f>IF(AND(B405=1,TRIM(INDEX(Charge!$K:$K,ROW()))&lt;&gt;"",TRIM(INDEX(Charge!$L:$L,ROW()))&lt;&gt;""),1,0)</f>
        <v>0</v>
      </c>
      <c r="FE405">
        <f>IF(OR(EN405="",BZ405="(non affecté)"),0,IF(COUNTIFS($EN$4:EN405,EN405,$BZ$4:BZ405,BZ405)=1,1,0))</f>
        <v>0</v>
      </c>
    </row>
    <row r="406">
      <c r="A406">
        <f>ROW()</f>
        <v>406</v>
      </c>
      <c r="B406">
        <f>IF(TRIM(INDEX(Charge!$B:$B,ROW()))&lt;&gt;"",1,0)</f>
        <v>0</v>
      </c>
      <c r="C406">
        <f>IF(B406=1,MIN(1,MAX(0,N(INDEX(Charge!$O:$O,ROW())))),0)</f>
        <v>0</v>
      </c>
      <c r="D406">
        <f>IF(B406=1,IF(OR(p_Perimetre="Tous les projets",C406&lt;1),1,0),0)</f>
        <v>0</v>
      </c>
      <c r="E406">
        <f>IF(D406=1,MAX(0,N(INDEX(Charge!$M:$M,ROW()))),0)</f>
        <v>0</v>
      </c>
      <c r="F406" t="str">
        <f>IF(D406=1,IF(TRIM(INDEX(Charge!$A:$A,ROW()))="","(non renseigné)",TRIM(INDEX(Charge!$A:$A,ROW()))),"")</f>
        <v/>
      </c>
      <c r="G406" t="str">
        <f>IF(D406=1,TRIM(INDEX(Charge!$B:$B,ROW())),"")</f>
        <v/>
      </c>
      <c r="H406" t="str">
        <f>IF(D406=1,IF(TRIM(INDEX(Charge!$E:$E,ROW()))="","(non renseigné)",TRIM(INDEX(Charge!$E:$E,ROW()))),"")</f>
        <v/>
      </c>
      <c r="I406" s="165" t="str">
        <f>IF(AND(D406=1,ISNUMBER(INDEX(Charge!$N:$N,ROW()))),INDEX(Charge!$N:$N,ROW()),"")</f>
        <v/>
      </c>
      <c r="J406" s="165" t="str">
        <f>IF(I406="","",IF(AND(p_Repartition="Lissée jusqu'à la date de besoin",ISNUMBER(INDEX(Charge!$F:$F,ROW()))),IF(INDEX(Charge!$F:$F,ROW())&gt;=I406,INDEX(Charge!$F:$F,ROW()),I406),I406))</f>
        <v/>
      </c>
      <c r="K406" t="str">
        <f>IF(I406="","",NETWORKDAYS(I406,J406,Data!$K$4:$K$203))</f>
        <v/>
      </c>
      <c r="L406" t="str">
        <f>IF(D406=1,COUNTIFS($D$4:$D$503,1,$E$4:$E$503,"&gt;"&amp;E406)+COUNTIFS($D$4:$D406,1,$E$4:$E406,E406),"")</f>
        <v/>
      </c>
      <c r="M406">
        <f>IF(F406="",0,IF(COUNTIF($F$4:F406,F406)=1,1,0))</f>
        <v>0</v>
      </c>
      <c r="N406" t="str">
        <f>IF(M406=1,ROUND(SUMIF($F$4:$F$503,F406,$E$4:$E$503),2),"")</f>
        <v/>
      </c>
      <c r="O406" t="str">
        <f>IF(M406=1,COUNTIFS($M$4:$M$503,1,$N$4:$N$503,"&gt;"&amp;N406)+COUNTIFS($M$4:M406,1,$N$4:N406,N406),"")</f>
        <v/>
      </c>
      <c r="P406">
        <f>IF(G406="",0,IF(COUNTIF($G$4:G406,G406)=1,1,0))</f>
        <v>0</v>
      </c>
      <c r="Q406" t="str">
        <f>IF(P406=1,ROUND(SUMIF($G$4:$G$503,G406,$E$4:$E$503),2),"")</f>
        <v/>
      </c>
      <c r="R406" t="str">
        <f>IF(P406=1,COUNTIFS($P$4:$P$503,1,$Q$4:$Q$503,"&gt;"&amp;Q406)+COUNTIFS($P$4:P406,1,$Q$4:Q406,Q406),"")</f>
        <v/>
      </c>
      <c r="S406">
        <f>IF(H406="",0,IF(COUNTIF($H$4:H406,H406)=1,1,0))</f>
        <v>0</v>
      </c>
      <c r="T406" t="str">
        <f>IF(S406=1,ROUND(SUMIF($H$4:$H$503,H406,$E$4:$E$503),2),"")</f>
        <v/>
      </c>
      <c r="U406" t="str">
        <f>IF(S406=1,COUNTIFS($S$4:$S$503,1,$T$4:$T$503,"&gt;"&amp;T406)+COUNTIFS($S$4:S406,1,$T$4:T406,T406),"")</f>
        <v/>
      </c>
      <c r="V406" t="str">
        <f>IF(D406=1,MIN(INDEX($R$4:$R$503,MATCH(G406,$G$4:$G$503,0)),IF($AL$7&gt;9,9,999)),"")</f>
        <v/>
      </c>
      <c r="W406" s="166">
        <f>IF(OR($I406="",$E406=0),0,IF(OR($J406&lt;W$3,$I406&gt;W$2),0,IF($K406=0,IF(AND($I406&gt;=W$3,$I406&lt;=W$2),$E406,0),$E406*NETWORKDAYS(MAX($I406,W$3),MIN($J406,W$2),Data!$K$4:$K$203)/$K406)))</f>
        <v>0</v>
      </c>
      <c r="X406" s="166">
        <f>IF(OR($I406="",$E406=0),0,IF(OR($J406&lt;X$3,$I406&gt;X$2),0,IF($K406=0,IF(AND($I406&gt;=X$3,$I406&lt;=X$2),$E406,0),$E406*NETWORKDAYS(MAX($I406,X$3),MIN($J406,X$2),Data!$K$4:$K$203)/$K406)))</f>
        <v>0</v>
      </c>
      <c r="Y406" s="166">
        <f>IF(OR($I406="",$E406=0),0,IF(OR($J406&lt;Y$3,$I406&gt;Y$2),0,IF($K406=0,IF(AND($I406&gt;=Y$3,$I406&lt;=Y$2),$E406,0),$E406*NETWORKDAYS(MAX($I406,Y$3),MIN($J406,Y$2),Data!$K$4:$K$203)/$K406)))</f>
        <v>0</v>
      </c>
      <c r="Z406" s="166">
        <f>IF(OR($I406="",$E406=0),0,IF(OR($J406&lt;Z$3,$I406&gt;Z$2),0,IF($K406=0,IF(AND($I406&gt;=Z$3,$I406&lt;=Z$2),$E406,0),$E406*NETWORKDAYS(MAX($I406,Z$3),MIN($J406,Z$2),Data!$K$4:$K$203)/$K406)))</f>
        <v>0</v>
      </c>
      <c r="AA406" s="166">
        <f>IF(OR($I406="",$E406=0),0,IF(OR($J406&lt;AA$3,$I406&gt;AA$2),0,IF($K406=0,IF(AND($I406&gt;=AA$3,$I406&lt;=AA$2),$E406,0),$E406*NETWORKDAYS(MAX($I406,AA$3),MIN($J406,AA$2),Data!$K$4:$K$203)/$K406)))</f>
        <v>0</v>
      </c>
      <c r="AB406" s="166">
        <f>IF(OR($I406="",$E406=0),0,IF(OR($J406&lt;AB$3,$I406&gt;AB$2),0,IF($K406=0,IF(AND($I406&gt;=AB$3,$I406&lt;=AB$2),$E406,0),$E406*NETWORKDAYS(MAX($I406,AB$3),MIN($J406,AB$2),Data!$K$4:$K$203)/$K406)))</f>
        <v>0</v>
      </c>
      <c r="AC406" s="166">
        <f>IF(OR($I406="",$E406=0),0,IF(OR($J406&lt;AC$3,$I406&gt;AC$2),0,IF($K406=0,IF(AND($I406&gt;=AC$3,$I406&lt;=AC$2),$E406,0),$E406*NETWORKDAYS(MAX($I406,AC$3),MIN($J406,AC$2),Data!$K$4:$K$203)/$K406)))</f>
        <v>0</v>
      </c>
      <c r="AD406" s="166">
        <f>IF(OR($I406="",$E406=0),0,IF(OR($J406&lt;AD$3,$I406&gt;AD$2),0,IF($K406=0,IF(AND($I406&gt;=AD$3,$I406&lt;=AD$2),$E406,0),$E406*NETWORKDAYS(MAX($I406,AD$3),MIN($J406,AD$2),Data!$K$4:$K$203)/$K406)))</f>
        <v>0</v>
      </c>
      <c r="AE406" s="166">
        <f>IF(OR($I406="",$E406=0),0,IF(OR($J406&lt;AE$3,$I406&gt;AE$2),0,IF($K406=0,IF(AND($I406&gt;=AE$3,$I406&lt;=AE$2),$E406,0),$E406*NETWORKDAYS(MAX($I406,AE$3),MIN($J406,AE$2),Data!$K$4:$K$203)/$K406)))</f>
        <v>0</v>
      </c>
      <c r="AF406" s="166">
        <f>IF(OR($I406="",$E406=0),0,IF(OR($J406&lt;AF$3,$I406&gt;AF$2),0,IF($K406=0,IF(AND($I406&gt;=AF$3,$I406&lt;=AF$2),$E406,0),$E406*NETWORKDAYS(MAX($I406,AF$3),MIN($J406,AF$2),Data!$K$4:$K$203)/$K406)))</f>
        <v>0</v>
      </c>
      <c r="AG406" s="166">
        <f>IF(OR($I406="",$E406=0),0,IF(OR($J406&lt;AG$3,$I406&gt;AG$2),0,IF($K406=0,IF(AND($I406&gt;=AG$3,$I406&lt;=AG$2),$E406,0),$E406*NETWORKDAYS(MAX($I406,AG$3),MIN($J406,AG$2),Data!$K$4:$K$203)/$K406)))</f>
        <v>0</v>
      </c>
      <c r="AH406" s="166">
        <f>IF(OR($I406="",$E406=0),0,IF(OR($J406&lt;AH$3,$I406&gt;AH$2),0,IF($K406=0,IF(AND($I406&gt;=AH$3,$I406&lt;=AH$2),$E406,0),$E406*NETWORKDAYS(MAX($I406,AH$3),MIN($J406,AH$2),Data!$K$4:$K$203)/$K406)))</f>
        <v>0</v>
      </c>
      <c r="AI406" s="166">
        <f>SUM(W406:AH406)</f>
        <v>0</v>
      </c>
      <c r="BZ406" t="str">
        <f>IF(D406=1,IF(TRIM(INDEX(Charge!$K:$K,ROW()))&lt;&gt;"",TRIM(INDEX(Charge!$K:$K,ROW())),IF(TRIM(INDEX(Charge!$L:$L,ROW()))&lt;&gt;"",TRIM(INDEX(Charge!$L:$L,ROW())),"(non affecté)")),"")</f>
        <v/>
      </c>
      <c r="CA406" t="str">
        <f>IF(AND($CD$4&lt;&gt;"",BZ406=$CD$4),COUNTIFS($BZ$4:$BZ$503,$CD$4,$L$4:$L$503,"&lt;"&amp;L406)+1,"")</f>
        <v/>
      </c>
      <c r="EM406" t="str">
        <f>IF(D406=1,IF(TRIM(INDEX(Charge!$K:$K,ROW()))&lt;&gt;"","Interne",IF(TRIM(INDEX(Charge!$L:$L,ROW()))&lt;&gt;"","Externe","Non affecté")),"")</f>
        <v/>
      </c>
      <c r="EN406" t="str">
        <f>IF(D406=1,LEFT(SUBSTITUTE(SUBSTITUTE(SUBSTITUTE(TRIM(SUBSTITUTE(INDEX(Charge!$B:$B,ROW()),CHAR(160)," "))&amp;" | "&amp;TRIM(SUBSTITUTE(INDEX(Charge!$C:$C,ROW()),CHAR(160)," "))&amp;" | "&amp;TRIM(SUBSTITUTE(INDEX(Charge!$D:$D,ROW()),CHAR(160)," ")),"~","-"),"*","+"),"?","!"),240),"")</f>
        <v/>
      </c>
      <c r="EO406">
        <f>IF(EN406="",0,IF(COUNTIF($EN$4:EN406,EN406)=1,1,0))</f>
        <v>0</v>
      </c>
      <c r="EP406" s="166" t="str">
        <f>IF(EO406=1,ROUND(SUMIF($EN$4:$EN$503,EN406,$E$4:$E$503),2),"")</f>
        <v/>
      </c>
      <c r="EQ406" t="str">
        <f>IF(EO406=1,COUNTIFS($EO$4:$EO$503,1,$EP$4:$EP$503,"&gt;"&amp;EP406)+COUNTIFS($EO$4:EO406,1,$EP$4:EP406,EP406),"")</f>
        <v/>
      </c>
      <c r="ER406" t="str">
        <f>IF(EO406=1,COUNTIFS($EN$4:$EN$503,EN406,$EM$4:$EM$503,"Interne",$FE$4:$FE$503,1),"")</f>
        <v/>
      </c>
      <c r="ES406" t="str">
        <f>IF(EO406=1,COUNTIFS($EN$4:$EN$503,EN406,$EM$4:$EM$503,"Externe",$FE$4:$FE$503,1),"")</f>
        <v/>
      </c>
      <c r="ET406" t="str">
        <f>IF(EO406=1,IF(ER406+ES406=0,"à affecter",IF(ER406=0,ES406&amp;" ext.",(ER406+ES406)&amp;IF(ES406&gt;0," dont "&amp;ES406&amp;" ext.",""))&amp;IF(COUNTIFS($EN$4:$EN$503,EN406,$EM$4:$EM$503,"Non affecté")&gt;0," + à affecter","")),"")</f>
        <v/>
      </c>
      <c r="EU406" s="170" t="str">
        <f>IF(EO406=1,IF(EP406&gt;0,SUMPRODUCT(($EN$4:$EN$503=EN406)*$E$4:$E$503*$C$4:$C$503)/EP406,AVERAGEIF($EN$4:$EN$503,EN406,$C$4:$C$503)),"")</f>
        <v/>
      </c>
      <c r="EV406" s="165">
        <f>IF(ISNUMBER(I406),I406,2958465)</f>
        <v>2958465.0</v>
      </c>
      <c r="EW406" s="165" t="str">
        <f>IF(EO406=1,SUMPRODUCT(MIN(($EN$4:$EN$503=EN406)*$EV$4:$EV$503+($EN$4:$EN$503&lt;&gt;EN406)*2958465)),"")</f>
        <v/>
      </c>
      <c r="EX406" s="165">
        <f>IF(AND(D406=1,ISNUMBER(INDEX(Charge!$F:$F,ROW()))),INDEX(Charge!$F:$F,ROW()),0)</f>
        <v>0.0</v>
      </c>
      <c r="EY406" s="165" t="str">
        <f>IF(EO406=1,SUMPRODUCT(MAX(($EN$4:$EN$503=EN406)*$EX$4:$EX$503)),"")</f>
        <v/>
      </c>
      <c r="FD406">
        <f>IF(AND(B406=1,TRIM(INDEX(Charge!$K:$K,ROW()))&lt;&gt;"",TRIM(INDEX(Charge!$L:$L,ROW()))&lt;&gt;""),1,0)</f>
        <v>0</v>
      </c>
      <c r="FE406">
        <f>IF(OR(EN406="",BZ406="(non affecté)"),0,IF(COUNTIFS($EN$4:EN406,EN406,$BZ$4:BZ406,BZ406)=1,1,0))</f>
        <v>0</v>
      </c>
    </row>
    <row r="407">
      <c r="A407">
        <f>ROW()</f>
        <v>407</v>
      </c>
      <c r="B407">
        <f>IF(TRIM(INDEX(Charge!$B:$B,ROW()))&lt;&gt;"",1,0)</f>
        <v>0</v>
      </c>
      <c r="C407">
        <f>IF(B407=1,MIN(1,MAX(0,N(INDEX(Charge!$O:$O,ROW())))),0)</f>
        <v>0</v>
      </c>
      <c r="D407">
        <f>IF(B407=1,IF(OR(p_Perimetre="Tous les projets",C407&lt;1),1,0),0)</f>
        <v>0</v>
      </c>
      <c r="E407">
        <f>IF(D407=1,MAX(0,N(INDEX(Charge!$M:$M,ROW()))),0)</f>
        <v>0</v>
      </c>
      <c r="F407" t="str">
        <f>IF(D407=1,IF(TRIM(INDEX(Charge!$A:$A,ROW()))="","(non renseigné)",TRIM(INDEX(Charge!$A:$A,ROW()))),"")</f>
        <v/>
      </c>
      <c r="G407" t="str">
        <f>IF(D407=1,TRIM(INDEX(Charge!$B:$B,ROW())),"")</f>
        <v/>
      </c>
      <c r="H407" t="str">
        <f>IF(D407=1,IF(TRIM(INDEX(Charge!$E:$E,ROW()))="","(non renseigné)",TRIM(INDEX(Charge!$E:$E,ROW()))),"")</f>
        <v/>
      </c>
      <c r="I407" s="165" t="str">
        <f>IF(AND(D407=1,ISNUMBER(INDEX(Charge!$N:$N,ROW()))),INDEX(Charge!$N:$N,ROW()),"")</f>
        <v/>
      </c>
      <c r="J407" s="165" t="str">
        <f>IF(I407="","",IF(AND(p_Repartition="Lissée jusqu'à la date de besoin",ISNUMBER(INDEX(Charge!$F:$F,ROW()))),IF(INDEX(Charge!$F:$F,ROW())&gt;=I407,INDEX(Charge!$F:$F,ROW()),I407),I407))</f>
        <v/>
      </c>
      <c r="K407" t="str">
        <f>IF(I407="","",NETWORKDAYS(I407,J407,Data!$K$4:$K$203))</f>
        <v/>
      </c>
      <c r="L407" t="str">
        <f>IF(D407=1,COUNTIFS($D$4:$D$503,1,$E$4:$E$503,"&gt;"&amp;E407)+COUNTIFS($D$4:$D407,1,$E$4:$E407,E407),"")</f>
        <v/>
      </c>
      <c r="M407">
        <f>IF(F407="",0,IF(COUNTIF($F$4:F407,F407)=1,1,0))</f>
        <v>0</v>
      </c>
      <c r="N407" t="str">
        <f>IF(M407=1,ROUND(SUMIF($F$4:$F$503,F407,$E$4:$E$503),2),"")</f>
        <v/>
      </c>
      <c r="O407" t="str">
        <f>IF(M407=1,COUNTIFS($M$4:$M$503,1,$N$4:$N$503,"&gt;"&amp;N407)+COUNTIFS($M$4:M407,1,$N$4:N407,N407),"")</f>
        <v/>
      </c>
      <c r="P407">
        <f>IF(G407="",0,IF(COUNTIF($G$4:G407,G407)=1,1,0))</f>
        <v>0</v>
      </c>
      <c r="Q407" t="str">
        <f>IF(P407=1,ROUND(SUMIF($G$4:$G$503,G407,$E$4:$E$503),2),"")</f>
        <v/>
      </c>
      <c r="R407" t="str">
        <f>IF(P407=1,COUNTIFS($P$4:$P$503,1,$Q$4:$Q$503,"&gt;"&amp;Q407)+COUNTIFS($P$4:P407,1,$Q$4:Q407,Q407),"")</f>
        <v/>
      </c>
      <c r="S407">
        <f>IF(H407="",0,IF(COUNTIF($H$4:H407,H407)=1,1,0))</f>
        <v>0</v>
      </c>
      <c r="T407" t="str">
        <f>IF(S407=1,ROUND(SUMIF($H$4:$H$503,H407,$E$4:$E$503),2),"")</f>
        <v/>
      </c>
      <c r="U407" t="str">
        <f>IF(S407=1,COUNTIFS($S$4:$S$503,1,$T$4:$T$503,"&gt;"&amp;T407)+COUNTIFS($S$4:S407,1,$T$4:T407,T407),"")</f>
        <v/>
      </c>
      <c r="V407" t="str">
        <f>IF(D407=1,MIN(INDEX($R$4:$R$503,MATCH(G407,$G$4:$G$503,0)),IF($AL$7&gt;9,9,999)),"")</f>
        <v/>
      </c>
      <c r="W407" s="166">
        <f>IF(OR($I407="",$E407=0),0,IF(OR($J407&lt;W$3,$I407&gt;W$2),0,IF($K407=0,IF(AND($I407&gt;=W$3,$I407&lt;=W$2),$E407,0),$E407*NETWORKDAYS(MAX($I407,W$3),MIN($J407,W$2),Data!$K$4:$K$203)/$K407)))</f>
        <v>0</v>
      </c>
      <c r="X407" s="166">
        <f>IF(OR($I407="",$E407=0),0,IF(OR($J407&lt;X$3,$I407&gt;X$2),0,IF($K407=0,IF(AND($I407&gt;=X$3,$I407&lt;=X$2),$E407,0),$E407*NETWORKDAYS(MAX($I407,X$3),MIN($J407,X$2),Data!$K$4:$K$203)/$K407)))</f>
        <v>0</v>
      </c>
      <c r="Y407" s="166">
        <f>IF(OR($I407="",$E407=0),0,IF(OR($J407&lt;Y$3,$I407&gt;Y$2),0,IF($K407=0,IF(AND($I407&gt;=Y$3,$I407&lt;=Y$2),$E407,0),$E407*NETWORKDAYS(MAX($I407,Y$3),MIN($J407,Y$2),Data!$K$4:$K$203)/$K407)))</f>
        <v>0</v>
      </c>
      <c r="Z407" s="166">
        <f>IF(OR($I407="",$E407=0),0,IF(OR($J407&lt;Z$3,$I407&gt;Z$2),0,IF($K407=0,IF(AND($I407&gt;=Z$3,$I407&lt;=Z$2),$E407,0),$E407*NETWORKDAYS(MAX($I407,Z$3),MIN($J407,Z$2),Data!$K$4:$K$203)/$K407)))</f>
        <v>0</v>
      </c>
      <c r="AA407" s="166">
        <f>IF(OR($I407="",$E407=0),0,IF(OR($J407&lt;AA$3,$I407&gt;AA$2),0,IF($K407=0,IF(AND($I407&gt;=AA$3,$I407&lt;=AA$2),$E407,0),$E407*NETWORKDAYS(MAX($I407,AA$3),MIN($J407,AA$2),Data!$K$4:$K$203)/$K407)))</f>
        <v>0</v>
      </c>
      <c r="AB407" s="166">
        <f>IF(OR($I407="",$E407=0),0,IF(OR($J407&lt;AB$3,$I407&gt;AB$2),0,IF($K407=0,IF(AND($I407&gt;=AB$3,$I407&lt;=AB$2),$E407,0),$E407*NETWORKDAYS(MAX($I407,AB$3),MIN($J407,AB$2),Data!$K$4:$K$203)/$K407)))</f>
        <v>0</v>
      </c>
      <c r="AC407" s="166">
        <f>IF(OR($I407="",$E407=0),0,IF(OR($J407&lt;AC$3,$I407&gt;AC$2),0,IF($K407=0,IF(AND($I407&gt;=AC$3,$I407&lt;=AC$2),$E407,0),$E407*NETWORKDAYS(MAX($I407,AC$3),MIN($J407,AC$2),Data!$K$4:$K$203)/$K407)))</f>
        <v>0</v>
      </c>
      <c r="AD407" s="166">
        <f>IF(OR($I407="",$E407=0),0,IF(OR($J407&lt;AD$3,$I407&gt;AD$2),0,IF($K407=0,IF(AND($I407&gt;=AD$3,$I407&lt;=AD$2),$E407,0),$E407*NETWORKDAYS(MAX($I407,AD$3),MIN($J407,AD$2),Data!$K$4:$K$203)/$K407)))</f>
        <v>0</v>
      </c>
      <c r="AE407" s="166">
        <f>IF(OR($I407="",$E407=0),0,IF(OR($J407&lt;AE$3,$I407&gt;AE$2),0,IF($K407=0,IF(AND($I407&gt;=AE$3,$I407&lt;=AE$2),$E407,0),$E407*NETWORKDAYS(MAX($I407,AE$3),MIN($J407,AE$2),Data!$K$4:$K$203)/$K407)))</f>
        <v>0</v>
      </c>
      <c r="AF407" s="166">
        <f>IF(OR($I407="",$E407=0),0,IF(OR($J407&lt;AF$3,$I407&gt;AF$2),0,IF($K407=0,IF(AND($I407&gt;=AF$3,$I407&lt;=AF$2),$E407,0),$E407*NETWORKDAYS(MAX($I407,AF$3),MIN($J407,AF$2),Data!$K$4:$K$203)/$K407)))</f>
        <v>0</v>
      </c>
      <c r="AG407" s="166">
        <f>IF(OR($I407="",$E407=0),0,IF(OR($J407&lt;AG$3,$I407&gt;AG$2),0,IF($K407=0,IF(AND($I407&gt;=AG$3,$I407&lt;=AG$2),$E407,0),$E407*NETWORKDAYS(MAX($I407,AG$3),MIN($J407,AG$2),Data!$K$4:$K$203)/$K407)))</f>
        <v>0</v>
      </c>
      <c r="AH407" s="166">
        <f>IF(OR($I407="",$E407=0),0,IF(OR($J407&lt;AH$3,$I407&gt;AH$2),0,IF($K407=0,IF(AND($I407&gt;=AH$3,$I407&lt;=AH$2),$E407,0),$E407*NETWORKDAYS(MAX($I407,AH$3),MIN($J407,AH$2),Data!$K$4:$K$203)/$K407)))</f>
        <v>0</v>
      </c>
      <c r="AI407" s="166">
        <f>SUM(W407:AH407)</f>
        <v>0</v>
      </c>
      <c r="BZ407" t="str">
        <f>IF(D407=1,IF(TRIM(INDEX(Charge!$K:$K,ROW()))&lt;&gt;"",TRIM(INDEX(Charge!$K:$K,ROW())),IF(TRIM(INDEX(Charge!$L:$L,ROW()))&lt;&gt;"",TRIM(INDEX(Charge!$L:$L,ROW())),"(non affecté)")),"")</f>
        <v/>
      </c>
      <c r="CA407" t="str">
        <f>IF(AND($CD$4&lt;&gt;"",BZ407=$CD$4),COUNTIFS($BZ$4:$BZ$503,$CD$4,$L$4:$L$503,"&lt;"&amp;L407)+1,"")</f>
        <v/>
      </c>
      <c r="EM407" t="str">
        <f>IF(D407=1,IF(TRIM(INDEX(Charge!$K:$K,ROW()))&lt;&gt;"","Interne",IF(TRIM(INDEX(Charge!$L:$L,ROW()))&lt;&gt;"","Externe","Non affecté")),"")</f>
        <v/>
      </c>
      <c r="EN407" t="str">
        <f>IF(D407=1,LEFT(SUBSTITUTE(SUBSTITUTE(SUBSTITUTE(TRIM(SUBSTITUTE(INDEX(Charge!$B:$B,ROW()),CHAR(160)," "))&amp;" | "&amp;TRIM(SUBSTITUTE(INDEX(Charge!$C:$C,ROW()),CHAR(160)," "))&amp;" | "&amp;TRIM(SUBSTITUTE(INDEX(Charge!$D:$D,ROW()),CHAR(160)," ")),"~","-"),"*","+"),"?","!"),240),"")</f>
        <v/>
      </c>
      <c r="EO407">
        <f>IF(EN407="",0,IF(COUNTIF($EN$4:EN407,EN407)=1,1,0))</f>
        <v>0</v>
      </c>
      <c r="EP407" s="166" t="str">
        <f>IF(EO407=1,ROUND(SUMIF($EN$4:$EN$503,EN407,$E$4:$E$503),2),"")</f>
        <v/>
      </c>
      <c r="EQ407" t="str">
        <f>IF(EO407=1,COUNTIFS($EO$4:$EO$503,1,$EP$4:$EP$503,"&gt;"&amp;EP407)+COUNTIFS($EO$4:EO407,1,$EP$4:EP407,EP407),"")</f>
        <v/>
      </c>
      <c r="ER407" t="str">
        <f>IF(EO407=1,COUNTIFS($EN$4:$EN$503,EN407,$EM$4:$EM$503,"Interne",$FE$4:$FE$503,1),"")</f>
        <v/>
      </c>
      <c r="ES407" t="str">
        <f>IF(EO407=1,COUNTIFS($EN$4:$EN$503,EN407,$EM$4:$EM$503,"Externe",$FE$4:$FE$503,1),"")</f>
        <v/>
      </c>
      <c r="ET407" t="str">
        <f>IF(EO407=1,IF(ER407+ES407=0,"à affecter",IF(ER407=0,ES407&amp;" ext.",(ER407+ES407)&amp;IF(ES407&gt;0," dont "&amp;ES407&amp;" ext.",""))&amp;IF(COUNTIFS($EN$4:$EN$503,EN407,$EM$4:$EM$503,"Non affecté")&gt;0," + à affecter","")),"")</f>
        <v/>
      </c>
      <c r="EU407" s="170" t="str">
        <f>IF(EO407=1,IF(EP407&gt;0,SUMPRODUCT(($EN$4:$EN$503=EN407)*$E$4:$E$503*$C$4:$C$503)/EP407,AVERAGEIF($EN$4:$EN$503,EN407,$C$4:$C$503)),"")</f>
        <v/>
      </c>
      <c r="EV407" s="165">
        <f>IF(ISNUMBER(I407),I407,2958465)</f>
        <v>2958465.0</v>
      </c>
      <c r="EW407" s="165" t="str">
        <f>IF(EO407=1,SUMPRODUCT(MIN(($EN$4:$EN$503=EN407)*$EV$4:$EV$503+($EN$4:$EN$503&lt;&gt;EN407)*2958465)),"")</f>
        <v/>
      </c>
      <c r="EX407" s="165">
        <f>IF(AND(D407=1,ISNUMBER(INDEX(Charge!$F:$F,ROW()))),INDEX(Charge!$F:$F,ROW()),0)</f>
        <v>0.0</v>
      </c>
      <c r="EY407" s="165" t="str">
        <f>IF(EO407=1,SUMPRODUCT(MAX(($EN$4:$EN$503=EN407)*$EX$4:$EX$503)),"")</f>
        <v/>
      </c>
      <c r="FD407">
        <f>IF(AND(B407=1,TRIM(INDEX(Charge!$K:$K,ROW()))&lt;&gt;"",TRIM(INDEX(Charge!$L:$L,ROW()))&lt;&gt;""),1,0)</f>
        <v>0</v>
      </c>
      <c r="FE407">
        <f>IF(OR(EN407="",BZ407="(non affecté)"),0,IF(COUNTIFS($EN$4:EN407,EN407,$BZ$4:BZ407,BZ407)=1,1,0))</f>
        <v>0</v>
      </c>
    </row>
    <row r="408">
      <c r="A408">
        <f>ROW()</f>
        <v>408</v>
      </c>
      <c r="B408">
        <f>IF(TRIM(INDEX(Charge!$B:$B,ROW()))&lt;&gt;"",1,0)</f>
        <v>0</v>
      </c>
      <c r="C408">
        <f>IF(B408=1,MIN(1,MAX(0,N(INDEX(Charge!$O:$O,ROW())))),0)</f>
        <v>0</v>
      </c>
      <c r="D408">
        <f>IF(B408=1,IF(OR(p_Perimetre="Tous les projets",C408&lt;1),1,0),0)</f>
        <v>0</v>
      </c>
      <c r="E408">
        <f>IF(D408=1,MAX(0,N(INDEX(Charge!$M:$M,ROW()))),0)</f>
        <v>0</v>
      </c>
      <c r="F408" t="str">
        <f>IF(D408=1,IF(TRIM(INDEX(Charge!$A:$A,ROW()))="","(non renseigné)",TRIM(INDEX(Charge!$A:$A,ROW()))),"")</f>
        <v/>
      </c>
      <c r="G408" t="str">
        <f>IF(D408=1,TRIM(INDEX(Charge!$B:$B,ROW())),"")</f>
        <v/>
      </c>
      <c r="H408" t="str">
        <f>IF(D408=1,IF(TRIM(INDEX(Charge!$E:$E,ROW()))="","(non renseigné)",TRIM(INDEX(Charge!$E:$E,ROW()))),"")</f>
        <v/>
      </c>
      <c r="I408" s="165" t="str">
        <f>IF(AND(D408=1,ISNUMBER(INDEX(Charge!$N:$N,ROW()))),INDEX(Charge!$N:$N,ROW()),"")</f>
        <v/>
      </c>
      <c r="J408" s="165" t="str">
        <f>IF(I408="","",IF(AND(p_Repartition="Lissée jusqu'à la date de besoin",ISNUMBER(INDEX(Charge!$F:$F,ROW()))),IF(INDEX(Charge!$F:$F,ROW())&gt;=I408,INDEX(Charge!$F:$F,ROW()),I408),I408))</f>
        <v/>
      </c>
      <c r="K408" t="str">
        <f>IF(I408="","",NETWORKDAYS(I408,J408,Data!$K$4:$K$203))</f>
        <v/>
      </c>
      <c r="L408" t="str">
        <f>IF(D408=1,COUNTIFS($D$4:$D$503,1,$E$4:$E$503,"&gt;"&amp;E408)+COUNTIFS($D$4:$D408,1,$E$4:$E408,E408),"")</f>
        <v/>
      </c>
      <c r="M408">
        <f>IF(F408="",0,IF(COUNTIF($F$4:F408,F408)=1,1,0))</f>
        <v>0</v>
      </c>
      <c r="N408" t="str">
        <f>IF(M408=1,ROUND(SUMIF($F$4:$F$503,F408,$E$4:$E$503),2),"")</f>
        <v/>
      </c>
      <c r="O408" t="str">
        <f>IF(M408=1,COUNTIFS($M$4:$M$503,1,$N$4:$N$503,"&gt;"&amp;N408)+COUNTIFS($M$4:M408,1,$N$4:N408,N408),"")</f>
        <v/>
      </c>
      <c r="P408">
        <f>IF(G408="",0,IF(COUNTIF($G$4:G408,G408)=1,1,0))</f>
        <v>0</v>
      </c>
      <c r="Q408" t="str">
        <f>IF(P408=1,ROUND(SUMIF($G$4:$G$503,G408,$E$4:$E$503),2),"")</f>
        <v/>
      </c>
      <c r="R408" t="str">
        <f>IF(P408=1,COUNTIFS($P$4:$P$503,1,$Q$4:$Q$503,"&gt;"&amp;Q408)+COUNTIFS($P$4:P408,1,$Q$4:Q408,Q408),"")</f>
        <v/>
      </c>
      <c r="S408">
        <f>IF(H408="",0,IF(COUNTIF($H$4:H408,H408)=1,1,0))</f>
        <v>0</v>
      </c>
      <c r="T408" t="str">
        <f>IF(S408=1,ROUND(SUMIF($H$4:$H$503,H408,$E$4:$E$503),2),"")</f>
        <v/>
      </c>
      <c r="U408" t="str">
        <f>IF(S408=1,COUNTIFS($S$4:$S$503,1,$T$4:$T$503,"&gt;"&amp;T408)+COUNTIFS($S$4:S408,1,$T$4:T408,T408),"")</f>
        <v/>
      </c>
      <c r="V408" t="str">
        <f>IF(D408=1,MIN(INDEX($R$4:$R$503,MATCH(G408,$G$4:$G$503,0)),IF($AL$7&gt;9,9,999)),"")</f>
        <v/>
      </c>
      <c r="W408" s="166">
        <f>IF(OR($I408="",$E408=0),0,IF(OR($J408&lt;W$3,$I408&gt;W$2),0,IF($K408=0,IF(AND($I408&gt;=W$3,$I408&lt;=W$2),$E408,0),$E408*NETWORKDAYS(MAX($I408,W$3),MIN($J408,W$2),Data!$K$4:$K$203)/$K408)))</f>
        <v>0</v>
      </c>
      <c r="X408" s="166">
        <f>IF(OR($I408="",$E408=0),0,IF(OR($J408&lt;X$3,$I408&gt;X$2),0,IF($K408=0,IF(AND($I408&gt;=X$3,$I408&lt;=X$2),$E408,0),$E408*NETWORKDAYS(MAX($I408,X$3),MIN($J408,X$2),Data!$K$4:$K$203)/$K408)))</f>
        <v>0</v>
      </c>
      <c r="Y408" s="166">
        <f>IF(OR($I408="",$E408=0),0,IF(OR($J408&lt;Y$3,$I408&gt;Y$2),0,IF($K408=0,IF(AND($I408&gt;=Y$3,$I408&lt;=Y$2),$E408,0),$E408*NETWORKDAYS(MAX($I408,Y$3),MIN($J408,Y$2),Data!$K$4:$K$203)/$K408)))</f>
        <v>0</v>
      </c>
      <c r="Z408" s="166">
        <f>IF(OR($I408="",$E408=0),0,IF(OR($J408&lt;Z$3,$I408&gt;Z$2),0,IF($K408=0,IF(AND($I408&gt;=Z$3,$I408&lt;=Z$2),$E408,0),$E408*NETWORKDAYS(MAX($I408,Z$3),MIN($J408,Z$2),Data!$K$4:$K$203)/$K408)))</f>
        <v>0</v>
      </c>
      <c r="AA408" s="166">
        <f>IF(OR($I408="",$E408=0),0,IF(OR($J408&lt;AA$3,$I408&gt;AA$2),0,IF($K408=0,IF(AND($I408&gt;=AA$3,$I408&lt;=AA$2),$E408,0),$E408*NETWORKDAYS(MAX($I408,AA$3),MIN($J408,AA$2),Data!$K$4:$K$203)/$K408)))</f>
        <v>0</v>
      </c>
      <c r="AB408" s="166">
        <f>IF(OR($I408="",$E408=0),0,IF(OR($J408&lt;AB$3,$I408&gt;AB$2),0,IF($K408=0,IF(AND($I408&gt;=AB$3,$I408&lt;=AB$2),$E408,0),$E408*NETWORKDAYS(MAX($I408,AB$3),MIN($J408,AB$2),Data!$K$4:$K$203)/$K408)))</f>
        <v>0</v>
      </c>
      <c r="AC408" s="166">
        <f>IF(OR($I408="",$E408=0),0,IF(OR($J408&lt;AC$3,$I408&gt;AC$2),0,IF($K408=0,IF(AND($I408&gt;=AC$3,$I408&lt;=AC$2),$E408,0),$E408*NETWORKDAYS(MAX($I408,AC$3),MIN($J408,AC$2),Data!$K$4:$K$203)/$K408)))</f>
        <v>0</v>
      </c>
      <c r="AD408" s="166">
        <f>IF(OR($I408="",$E408=0),0,IF(OR($J408&lt;AD$3,$I408&gt;AD$2),0,IF($K408=0,IF(AND($I408&gt;=AD$3,$I408&lt;=AD$2),$E408,0),$E408*NETWORKDAYS(MAX($I408,AD$3),MIN($J408,AD$2),Data!$K$4:$K$203)/$K408)))</f>
        <v>0</v>
      </c>
      <c r="AE408" s="166">
        <f>IF(OR($I408="",$E408=0),0,IF(OR($J408&lt;AE$3,$I408&gt;AE$2),0,IF($K408=0,IF(AND($I408&gt;=AE$3,$I408&lt;=AE$2),$E408,0),$E408*NETWORKDAYS(MAX($I408,AE$3),MIN($J408,AE$2),Data!$K$4:$K$203)/$K408)))</f>
        <v>0</v>
      </c>
      <c r="AF408" s="166">
        <f>IF(OR($I408="",$E408=0),0,IF(OR($J408&lt;AF$3,$I408&gt;AF$2),0,IF($K408=0,IF(AND($I408&gt;=AF$3,$I408&lt;=AF$2),$E408,0),$E408*NETWORKDAYS(MAX($I408,AF$3),MIN($J408,AF$2),Data!$K$4:$K$203)/$K408)))</f>
        <v>0</v>
      </c>
      <c r="AG408" s="166">
        <f>IF(OR($I408="",$E408=0),0,IF(OR($J408&lt;AG$3,$I408&gt;AG$2),0,IF($K408=0,IF(AND($I408&gt;=AG$3,$I408&lt;=AG$2),$E408,0),$E408*NETWORKDAYS(MAX($I408,AG$3),MIN($J408,AG$2),Data!$K$4:$K$203)/$K408)))</f>
        <v>0</v>
      </c>
      <c r="AH408" s="166">
        <f>IF(OR($I408="",$E408=0),0,IF(OR($J408&lt;AH$3,$I408&gt;AH$2),0,IF($K408=0,IF(AND($I408&gt;=AH$3,$I408&lt;=AH$2),$E408,0),$E408*NETWORKDAYS(MAX($I408,AH$3),MIN($J408,AH$2),Data!$K$4:$K$203)/$K408)))</f>
        <v>0</v>
      </c>
      <c r="AI408" s="166">
        <f>SUM(W408:AH408)</f>
        <v>0</v>
      </c>
      <c r="BZ408" t="str">
        <f>IF(D408=1,IF(TRIM(INDEX(Charge!$K:$K,ROW()))&lt;&gt;"",TRIM(INDEX(Charge!$K:$K,ROW())),IF(TRIM(INDEX(Charge!$L:$L,ROW()))&lt;&gt;"",TRIM(INDEX(Charge!$L:$L,ROW())),"(non affecté)")),"")</f>
        <v/>
      </c>
      <c r="CA408" t="str">
        <f>IF(AND($CD$4&lt;&gt;"",BZ408=$CD$4),COUNTIFS($BZ$4:$BZ$503,$CD$4,$L$4:$L$503,"&lt;"&amp;L408)+1,"")</f>
        <v/>
      </c>
      <c r="EM408" t="str">
        <f>IF(D408=1,IF(TRIM(INDEX(Charge!$K:$K,ROW()))&lt;&gt;"","Interne",IF(TRIM(INDEX(Charge!$L:$L,ROW()))&lt;&gt;"","Externe","Non affecté")),"")</f>
        <v/>
      </c>
      <c r="EN408" t="str">
        <f>IF(D408=1,LEFT(SUBSTITUTE(SUBSTITUTE(SUBSTITUTE(TRIM(SUBSTITUTE(INDEX(Charge!$B:$B,ROW()),CHAR(160)," "))&amp;" | "&amp;TRIM(SUBSTITUTE(INDEX(Charge!$C:$C,ROW()),CHAR(160)," "))&amp;" | "&amp;TRIM(SUBSTITUTE(INDEX(Charge!$D:$D,ROW()),CHAR(160)," ")),"~","-"),"*","+"),"?","!"),240),"")</f>
        <v/>
      </c>
      <c r="EO408">
        <f>IF(EN408="",0,IF(COUNTIF($EN$4:EN408,EN408)=1,1,0))</f>
        <v>0</v>
      </c>
      <c r="EP408" s="166" t="str">
        <f>IF(EO408=1,ROUND(SUMIF($EN$4:$EN$503,EN408,$E$4:$E$503),2),"")</f>
        <v/>
      </c>
      <c r="EQ408" t="str">
        <f>IF(EO408=1,COUNTIFS($EO$4:$EO$503,1,$EP$4:$EP$503,"&gt;"&amp;EP408)+COUNTIFS($EO$4:EO408,1,$EP$4:EP408,EP408),"")</f>
        <v/>
      </c>
      <c r="ER408" t="str">
        <f>IF(EO408=1,COUNTIFS($EN$4:$EN$503,EN408,$EM$4:$EM$503,"Interne",$FE$4:$FE$503,1),"")</f>
        <v/>
      </c>
      <c r="ES408" t="str">
        <f>IF(EO408=1,COUNTIFS($EN$4:$EN$503,EN408,$EM$4:$EM$503,"Externe",$FE$4:$FE$503,1),"")</f>
        <v/>
      </c>
      <c r="ET408" t="str">
        <f>IF(EO408=1,IF(ER408+ES408=0,"à affecter",IF(ER408=0,ES408&amp;" ext.",(ER408+ES408)&amp;IF(ES408&gt;0," dont "&amp;ES408&amp;" ext.",""))&amp;IF(COUNTIFS($EN$4:$EN$503,EN408,$EM$4:$EM$503,"Non affecté")&gt;0," + à affecter","")),"")</f>
        <v/>
      </c>
      <c r="EU408" s="170" t="str">
        <f>IF(EO408=1,IF(EP408&gt;0,SUMPRODUCT(($EN$4:$EN$503=EN408)*$E$4:$E$503*$C$4:$C$503)/EP408,AVERAGEIF($EN$4:$EN$503,EN408,$C$4:$C$503)),"")</f>
        <v/>
      </c>
      <c r="EV408" s="165">
        <f>IF(ISNUMBER(I408),I408,2958465)</f>
        <v>2958465.0</v>
      </c>
      <c r="EW408" s="165" t="str">
        <f>IF(EO408=1,SUMPRODUCT(MIN(($EN$4:$EN$503=EN408)*$EV$4:$EV$503+($EN$4:$EN$503&lt;&gt;EN408)*2958465)),"")</f>
        <v/>
      </c>
      <c r="EX408" s="165">
        <f>IF(AND(D408=1,ISNUMBER(INDEX(Charge!$F:$F,ROW()))),INDEX(Charge!$F:$F,ROW()),0)</f>
        <v>0.0</v>
      </c>
      <c r="EY408" s="165" t="str">
        <f>IF(EO408=1,SUMPRODUCT(MAX(($EN$4:$EN$503=EN408)*$EX$4:$EX$503)),"")</f>
        <v/>
      </c>
      <c r="FD408">
        <f>IF(AND(B408=1,TRIM(INDEX(Charge!$K:$K,ROW()))&lt;&gt;"",TRIM(INDEX(Charge!$L:$L,ROW()))&lt;&gt;""),1,0)</f>
        <v>0</v>
      </c>
      <c r="FE408">
        <f>IF(OR(EN408="",BZ408="(non affecté)"),0,IF(COUNTIFS($EN$4:EN408,EN408,$BZ$4:BZ408,BZ408)=1,1,0))</f>
        <v>0</v>
      </c>
    </row>
    <row r="409">
      <c r="A409">
        <f>ROW()</f>
        <v>409</v>
      </c>
      <c r="B409">
        <f>IF(TRIM(INDEX(Charge!$B:$B,ROW()))&lt;&gt;"",1,0)</f>
        <v>0</v>
      </c>
      <c r="C409">
        <f>IF(B409=1,MIN(1,MAX(0,N(INDEX(Charge!$O:$O,ROW())))),0)</f>
        <v>0</v>
      </c>
      <c r="D409">
        <f>IF(B409=1,IF(OR(p_Perimetre="Tous les projets",C409&lt;1),1,0),0)</f>
        <v>0</v>
      </c>
      <c r="E409">
        <f>IF(D409=1,MAX(0,N(INDEX(Charge!$M:$M,ROW()))),0)</f>
        <v>0</v>
      </c>
      <c r="F409" t="str">
        <f>IF(D409=1,IF(TRIM(INDEX(Charge!$A:$A,ROW()))="","(non renseigné)",TRIM(INDEX(Charge!$A:$A,ROW()))),"")</f>
        <v/>
      </c>
      <c r="G409" t="str">
        <f>IF(D409=1,TRIM(INDEX(Charge!$B:$B,ROW())),"")</f>
        <v/>
      </c>
      <c r="H409" t="str">
        <f>IF(D409=1,IF(TRIM(INDEX(Charge!$E:$E,ROW()))="","(non renseigné)",TRIM(INDEX(Charge!$E:$E,ROW()))),"")</f>
        <v/>
      </c>
      <c r="I409" s="165" t="str">
        <f>IF(AND(D409=1,ISNUMBER(INDEX(Charge!$N:$N,ROW()))),INDEX(Charge!$N:$N,ROW()),"")</f>
        <v/>
      </c>
      <c r="J409" s="165" t="str">
        <f>IF(I409="","",IF(AND(p_Repartition="Lissée jusqu'à la date de besoin",ISNUMBER(INDEX(Charge!$F:$F,ROW()))),IF(INDEX(Charge!$F:$F,ROW())&gt;=I409,INDEX(Charge!$F:$F,ROW()),I409),I409))</f>
        <v/>
      </c>
      <c r="K409" t="str">
        <f>IF(I409="","",NETWORKDAYS(I409,J409,Data!$K$4:$K$203))</f>
        <v/>
      </c>
      <c r="L409" t="str">
        <f>IF(D409=1,COUNTIFS($D$4:$D$503,1,$E$4:$E$503,"&gt;"&amp;E409)+COUNTIFS($D$4:$D409,1,$E$4:$E409,E409),"")</f>
        <v/>
      </c>
      <c r="M409">
        <f>IF(F409="",0,IF(COUNTIF($F$4:F409,F409)=1,1,0))</f>
        <v>0</v>
      </c>
      <c r="N409" t="str">
        <f>IF(M409=1,ROUND(SUMIF($F$4:$F$503,F409,$E$4:$E$503),2),"")</f>
        <v/>
      </c>
      <c r="O409" t="str">
        <f>IF(M409=1,COUNTIFS($M$4:$M$503,1,$N$4:$N$503,"&gt;"&amp;N409)+COUNTIFS($M$4:M409,1,$N$4:N409,N409),"")</f>
        <v/>
      </c>
      <c r="P409">
        <f>IF(G409="",0,IF(COUNTIF($G$4:G409,G409)=1,1,0))</f>
        <v>0</v>
      </c>
      <c r="Q409" t="str">
        <f>IF(P409=1,ROUND(SUMIF($G$4:$G$503,G409,$E$4:$E$503),2),"")</f>
        <v/>
      </c>
      <c r="R409" t="str">
        <f>IF(P409=1,COUNTIFS($P$4:$P$503,1,$Q$4:$Q$503,"&gt;"&amp;Q409)+COUNTIFS($P$4:P409,1,$Q$4:Q409,Q409),"")</f>
        <v/>
      </c>
      <c r="S409">
        <f>IF(H409="",0,IF(COUNTIF($H$4:H409,H409)=1,1,0))</f>
        <v>0</v>
      </c>
      <c r="T409" t="str">
        <f>IF(S409=1,ROUND(SUMIF($H$4:$H$503,H409,$E$4:$E$503),2),"")</f>
        <v/>
      </c>
      <c r="U409" t="str">
        <f>IF(S409=1,COUNTIFS($S$4:$S$503,1,$T$4:$T$503,"&gt;"&amp;T409)+COUNTIFS($S$4:S409,1,$T$4:T409,T409),"")</f>
        <v/>
      </c>
      <c r="V409" t="str">
        <f>IF(D409=1,MIN(INDEX($R$4:$R$503,MATCH(G409,$G$4:$G$503,0)),IF($AL$7&gt;9,9,999)),"")</f>
        <v/>
      </c>
      <c r="W409" s="166">
        <f>IF(OR($I409="",$E409=0),0,IF(OR($J409&lt;W$3,$I409&gt;W$2),0,IF($K409=0,IF(AND($I409&gt;=W$3,$I409&lt;=W$2),$E409,0),$E409*NETWORKDAYS(MAX($I409,W$3),MIN($J409,W$2),Data!$K$4:$K$203)/$K409)))</f>
        <v>0</v>
      </c>
      <c r="X409" s="166">
        <f>IF(OR($I409="",$E409=0),0,IF(OR($J409&lt;X$3,$I409&gt;X$2),0,IF($K409=0,IF(AND($I409&gt;=X$3,$I409&lt;=X$2),$E409,0),$E409*NETWORKDAYS(MAX($I409,X$3),MIN($J409,X$2),Data!$K$4:$K$203)/$K409)))</f>
        <v>0</v>
      </c>
      <c r="Y409" s="166">
        <f>IF(OR($I409="",$E409=0),0,IF(OR($J409&lt;Y$3,$I409&gt;Y$2),0,IF($K409=0,IF(AND($I409&gt;=Y$3,$I409&lt;=Y$2),$E409,0),$E409*NETWORKDAYS(MAX($I409,Y$3),MIN($J409,Y$2),Data!$K$4:$K$203)/$K409)))</f>
        <v>0</v>
      </c>
      <c r="Z409" s="166">
        <f>IF(OR($I409="",$E409=0),0,IF(OR($J409&lt;Z$3,$I409&gt;Z$2),0,IF($K409=0,IF(AND($I409&gt;=Z$3,$I409&lt;=Z$2),$E409,0),$E409*NETWORKDAYS(MAX($I409,Z$3),MIN($J409,Z$2),Data!$K$4:$K$203)/$K409)))</f>
        <v>0</v>
      </c>
      <c r="AA409" s="166">
        <f>IF(OR($I409="",$E409=0),0,IF(OR($J409&lt;AA$3,$I409&gt;AA$2),0,IF($K409=0,IF(AND($I409&gt;=AA$3,$I409&lt;=AA$2),$E409,0),$E409*NETWORKDAYS(MAX($I409,AA$3),MIN($J409,AA$2),Data!$K$4:$K$203)/$K409)))</f>
        <v>0</v>
      </c>
      <c r="AB409" s="166">
        <f>IF(OR($I409="",$E409=0),0,IF(OR($J409&lt;AB$3,$I409&gt;AB$2),0,IF($K409=0,IF(AND($I409&gt;=AB$3,$I409&lt;=AB$2),$E409,0),$E409*NETWORKDAYS(MAX($I409,AB$3),MIN($J409,AB$2),Data!$K$4:$K$203)/$K409)))</f>
        <v>0</v>
      </c>
      <c r="AC409" s="166">
        <f>IF(OR($I409="",$E409=0),0,IF(OR($J409&lt;AC$3,$I409&gt;AC$2),0,IF($K409=0,IF(AND($I409&gt;=AC$3,$I409&lt;=AC$2),$E409,0),$E409*NETWORKDAYS(MAX($I409,AC$3),MIN($J409,AC$2),Data!$K$4:$K$203)/$K409)))</f>
        <v>0</v>
      </c>
      <c r="AD409" s="166">
        <f>IF(OR($I409="",$E409=0),0,IF(OR($J409&lt;AD$3,$I409&gt;AD$2),0,IF($K409=0,IF(AND($I409&gt;=AD$3,$I409&lt;=AD$2),$E409,0),$E409*NETWORKDAYS(MAX($I409,AD$3),MIN($J409,AD$2),Data!$K$4:$K$203)/$K409)))</f>
        <v>0</v>
      </c>
      <c r="AE409" s="166">
        <f>IF(OR($I409="",$E409=0),0,IF(OR($J409&lt;AE$3,$I409&gt;AE$2),0,IF($K409=0,IF(AND($I409&gt;=AE$3,$I409&lt;=AE$2),$E409,0),$E409*NETWORKDAYS(MAX($I409,AE$3),MIN($J409,AE$2),Data!$K$4:$K$203)/$K409)))</f>
        <v>0</v>
      </c>
      <c r="AF409" s="166">
        <f>IF(OR($I409="",$E409=0),0,IF(OR($J409&lt;AF$3,$I409&gt;AF$2),0,IF($K409=0,IF(AND($I409&gt;=AF$3,$I409&lt;=AF$2),$E409,0),$E409*NETWORKDAYS(MAX($I409,AF$3),MIN($J409,AF$2),Data!$K$4:$K$203)/$K409)))</f>
        <v>0</v>
      </c>
      <c r="AG409" s="166">
        <f>IF(OR($I409="",$E409=0),0,IF(OR($J409&lt;AG$3,$I409&gt;AG$2),0,IF($K409=0,IF(AND($I409&gt;=AG$3,$I409&lt;=AG$2),$E409,0),$E409*NETWORKDAYS(MAX($I409,AG$3),MIN($J409,AG$2),Data!$K$4:$K$203)/$K409)))</f>
        <v>0</v>
      </c>
      <c r="AH409" s="166">
        <f>IF(OR($I409="",$E409=0),0,IF(OR($J409&lt;AH$3,$I409&gt;AH$2),0,IF($K409=0,IF(AND($I409&gt;=AH$3,$I409&lt;=AH$2),$E409,0),$E409*NETWORKDAYS(MAX($I409,AH$3),MIN($J409,AH$2),Data!$K$4:$K$203)/$K409)))</f>
        <v>0</v>
      </c>
      <c r="AI409" s="166">
        <f>SUM(W409:AH409)</f>
        <v>0</v>
      </c>
      <c r="BZ409" t="str">
        <f>IF(D409=1,IF(TRIM(INDEX(Charge!$K:$K,ROW()))&lt;&gt;"",TRIM(INDEX(Charge!$K:$K,ROW())),IF(TRIM(INDEX(Charge!$L:$L,ROW()))&lt;&gt;"",TRIM(INDEX(Charge!$L:$L,ROW())),"(non affecté)")),"")</f>
        <v/>
      </c>
      <c r="CA409" t="str">
        <f>IF(AND($CD$4&lt;&gt;"",BZ409=$CD$4),COUNTIFS($BZ$4:$BZ$503,$CD$4,$L$4:$L$503,"&lt;"&amp;L409)+1,"")</f>
        <v/>
      </c>
      <c r="EM409" t="str">
        <f>IF(D409=1,IF(TRIM(INDEX(Charge!$K:$K,ROW()))&lt;&gt;"","Interne",IF(TRIM(INDEX(Charge!$L:$L,ROW()))&lt;&gt;"","Externe","Non affecté")),"")</f>
        <v/>
      </c>
      <c r="EN409" t="str">
        <f>IF(D409=1,LEFT(SUBSTITUTE(SUBSTITUTE(SUBSTITUTE(TRIM(SUBSTITUTE(INDEX(Charge!$B:$B,ROW()),CHAR(160)," "))&amp;" | "&amp;TRIM(SUBSTITUTE(INDEX(Charge!$C:$C,ROW()),CHAR(160)," "))&amp;" | "&amp;TRIM(SUBSTITUTE(INDEX(Charge!$D:$D,ROW()),CHAR(160)," ")),"~","-"),"*","+"),"?","!"),240),"")</f>
        <v/>
      </c>
      <c r="EO409">
        <f>IF(EN409="",0,IF(COUNTIF($EN$4:EN409,EN409)=1,1,0))</f>
        <v>0</v>
      </c>
      <c r="EP409" s="166" t="str">
        <f>IF(EO409=1,ROUND(SUMIF($EN$4:$EN$503,EN409,$E$4:$E$503),2),"")</f>
        <v/>
      </c>
      <c r="EQ409" t="str">
        <f>IF(EO409=1,COUNTIFS($EO$4:$EO$503,1,$EP$4:$EP$503,"&gt;"&amp;EP409)+COUNTIFS($EO$4:EO409,1,$EP$4:EP409,EP409),"")</f>
        <v/>
      </c>
      <c r="ER409" t="str">
        <f>IF(EO409=1,COUNTIFS($EN$4:$EN$503,EN409,$EM$4:$EM$503,"Interne",$FE$4:$FE$503,1),"")</f>
        <v/>
      </c>
      <c r="ES409" t="str">
        <f>IF(EO409=1,COUNTIFS($EN$4:$EN$503,EN409,$EM$4:$EM$503,"Externe",$FE$4:$FE$503,1),"")</f>
        <v/>
      </c>
      <c r="ET409" t="str">
        <f>IF(EO409=1,IF(ER409+ES409=0,"à affecter",IF(ER409=0,ES409&amp;" ext.",(ER409+ES409)&amp;IF(ES409&gt;0," dont "&amp;ES409&amp;" ext.",""))&amp;IF(COUNTIFS($EN$4:$EN$503,EN409,$EM$4:$EM$503,"Non affecté")&gt;0," + à affecter","")),"")</f>
        <v/>
      </c>
      <c r="EU409" s="170" t="str">
        <f>IF(EO409=1,IF(EP409&gt;0,SUMPRODUCT(($EN$4:$EN$503=EN409)*$E$4:$E$503*$C$4:$C$503)/EP409,AVERAGEIF($EN$4:$EN$503,EN409,$C$4:$C$503)),"")</f>
        <v/>
      </c>
      <c r="EV409" s="165">
        <f>IF(ISNUMBER(I409),I409,2958465)</f>
        <v>2958465.0</v>
      </c>
      <c r="EW409" s="165" t="str">
        <f>IF(EO409=1,SUMPRODUCT(MIN(($EN$4:$EN$503=EN409)*$EV$4:$EV$503+($EN$4:$EN$503&lt;&gt;EN409)*2958465)),"")</f>
        <v/>
      </c>
      <c r="EX409" s="165">
        <f>IF(AND(D409=1,ISNUMBER(INDEX(Charge!$F:$F,ROW()))),INDEX(Charge!$F:$F,ROW()),0)</f>
        <v>0.0</v>
      </c>
      <c r="EY409" s="165" t="str">
        <f>IF(EO409=1,SUMPRODUCT(MAX(($EN$4:$EN$503=EN409)*$EX$4:$EX$503)),"")</f>
        <v/>
      </c>
      <c r="FD409">
        <f>IF(AND(B409=1,TRIM(INDEX(Charge!$K:$K,ROW()))&lt;&gt;"",TRIM(INDEX(Charge!$L:$L,ROW()))&lt;&gt;""),1,0)</f>
        <v>0</v>
      </c>
      <c r="FE409">
        <f>IF(OR(EN409="",BZ409="(non affecté)"),0,IF(COUNTIFS($EN$4:EN409,EN409,$BZ$4:BZ409,BZ409)=1,1,0))</f>
        <v>0</v>
      </c>
    </row>
    <row r="410">
      <c r="A410">
        <f>ROW()</f>
        <v>410</v>
      </c>
      <c r="B410">
        <f>IF(TRIM(INDEX(Charge!$B:$B,ROW()))&lt;&gt;"",1,0)</f>
        <v>0</v>
      </c>
      <c r="C410">
        <f>IF(B410=1,MIN(1,MAX(0,N(INDEX(Charge!$O:$O,ROW())))),0)</f>
        <v>0</v>
      </c>
      <c r="D410">
        <f>IF(B410=1,IF(OR(p_Perimetre="Tous les projets",C410&lt;1),1,0),0)</f>
        <v>0</v>
      </c>
      <c r="E410">
        <f>IF(D410=1,MAX(0,N(INDEX(Charge!$M:$M,ROW()))),0)</f>
        <v>0</v>
      </c>
      <c r="F410" t="str">
        <f>IF(D410=1,IF(TRIM(INDEX(Charge!$A:$A,ROW()))="","(non renseigné)",TRIM(INDEX(Charge!$A:$A,ROW()))),"")</f>
        <v/>
      </c>
      <c r="G410" t="str">
        <f>IF(D410=1,TRIM(INDEX(Charge!$B:$B,ROW())),"")</f>
        <v/>
      </c>
      <c r="H410" t="str">
        <f>IF(D410=1,IF(TRIM(INDEX(Charge!$E:$E,ROW()))="","(non renseigné)",TRIM(INDEX(Charge!$E:$E,ROW()))),"")</f>
        <v/>
      </c>
      <c r="I410" s="165" t="str">
        <f>IF(AND(D410=1,ISNUMBER(INDEX(Charge!$N:$N,ROW()))),INDEX(Charge!$N:$N,ROW()),"")</f>
        <v/>
      </c>
      <c r="J410" s="165" t="str">
        <f>IF(I410="","",IF(AND(p_Repartition="Lissée jusqu'à la date de besoin",ISNUMBER(INDEX(Charge!$F:$F,ROW()))),IF(INDEX(Charge!$F:$F,ROW())&gt;=I410,INDEX(Charge!$F:$F,ROW()),I410),I410))</f>
        <v/>
      </c>
      <c r="K410" t="str">
        <f>IF(I410="","",NETWORKDAYS(I410,J410,Data!$K$4:$K$203))</f>
        <v/>
      </c>
      <c r="L410" t="str">
        <f>IF(D410=1,COUNTIFS($D$4:$D$503,1,$E$4:$E$503,"&gt;"&amp;E410)+COUNTIFS($D$4:$D410,1,$E$4:$E410,E410),"")</f>
        <v/>
      </c>
      <c r="M410">
        <f>IF(F410="",0,IF(COUNTIF($F$4:F410,F410)=1,1,0))</f>
        <v>0</v>
      </c>
      <c r="N410" t="str">
        <f>IF(M410=1,ROUND(SUMIF($F$4:$F$503,F410,$E$4:$E$503),2),"")</f>
        <v/>
      </c>
      <c r="O410" t="str">
        <f>IF(M410=1,COUNTIFS($M$4:$M$503,1,$N$4:$N$503,"&gt;"&amp;N410)+COUNTIFS($M$4:M410,1,$N$4:N410,N410),"")</f>
        <v/>
      </c>
      <c r="P410">
        <f>IF(G410="",0,IF(COUNTIF($G$4:G410,G410)=1,1,0))</f>
        <v>0</v>
      </c>
      <c r="Q410" t="str">
        <f>IF(P410=1,ROUND(SUMIF($G$4:$G$503,G410,$E$4:$E$503),2),"")</f>
        <v/>
      </c>
      <c r="R410" t="str">
        <f>IF(P410=1,COUNTIFS($P$4:$P$503,1,$Q$4:$Q$503,"&gt;"&amp;Q410)+COUNTIFS($P$4:P410,1,$Q$4:Q410,Q410),"")</f>
        <v/>
      </c>
      <c r="S410">
        <f>IF(H410="",0,IF(COUNTIF($H$4:H410,H410)=1,1,0))</f>
        <v>0</v>
      </c>
      <c r="T410" t="str">
        <f>IF(S410=1,ROUND(SUMIF($H$4:$H$503,H410,$E$4:$E$503),2),"")</f>
        <v/>
      </c>
      <c r="U410" t="str">
        <f>IF(S410=1,COUNTIFS($S$4:$S$503,1,$T$4:$T$503,"&gt;"&amp;T410)+COUNTIFS($S$4:S410,1,$T$4:T410,T410),"")</f>
        <v/>
      </c>
      <c r="V410" t="str">
        <f>IF(D410=1,MIN(INDEX($R$4:$R$503,MATCH(G410,$G$4:$G$503,0)),IF($AL$7&gt;9,9,999)),"")</f>
        <v/>
      </c>
      <c r="W410" s="166">
        <f>IF(OR($I410="",$E410=0),0,IF(OR($J410&lt;W$3,$I410&gt;W$2),0,IF($K410=0,IF(AND($I410&gt;=W$3,$I410&lt;=W$2),$E410,0),$E410*NETWORKDAYS(MAX($I410,W$3),MIN($J410,W$2),Data!$K$4:$K$203)/$K410)))</f>
        <v>0</v>
      </c>
      <c r="X410" s="166">
        <f>IF(OR($I410="",$E410=0),0,IF(OR($J410&lt;X$3,$I410&gt;X$2),0,IF($K410=0,IF(AND($I410&gt;=X$3,$I410&lt;=X$2),$E410,0),$E410*NETWORKDAYS(MAX($I410,X$3),MIN($J410,X$2),Data!$K$4:$K$203)/$K410)))</f>
        <v>0</v>
      </c>
      <c r="Y410" s="166">
        <f>IF(OR($I410="",$E410=0),0,IF(OR($J410&lt;Y$3,$I410&gt;Y$2),0,IF($K410=0,IF(AND($I410&gt;=Y$3,$I410&lt;=Y$2),$E410,0),$E410*NETWORKDAYS(MAX($I410,Y$3),MIN($J410,Y$2),Data!$K$4:$K$203)/$K410)))</f>
        <v>0</v>
      </c>
      <c r="Z410" s="166">
        <f>IF(OR($I410="",$E410=0),0,IF(OR($J410&lt;Z$3,$I410&gt;Z$2),0,IF($K410=0,IF(AND($I410&gt;=Z$3,$I410&lt;=Z$2),$E410,0),$E410*NETWORKDAYS(MAX($I410,Z$3),MIN($J410,Z$2),Data!$K$4:$K$203)/$K410)))</f>
        <v>0</v>
      </c>
      <c r="AA410" s="166">
        <f>IF(OR($I410="",$E410=0),0,IF(OR($J410&lt;AA$3,$I410&gt;AA$2),0,IF($K410=0,IF(AND($I410&gt;=AA$3,$I410&lt;=AA$2),$E410,0),$E410*NETWORKDAYS(MAX($I410,AA$3),MIN($J410,AA$2),Data!$K$4:$K$203)/$K410)))</f>
        <v>0</v>
      </c>
      <c r="AB410" s="166">
        <f>IF(OR($I410="",$E410=0),0,IF(OR($J410&lt;AB$3,$I410&gt;AB$2),0,IF($K410=0,IF(AND($I410&gt;=AB$3,$I410&lt;=AB$2),$E410,0),$E410*NETWORKDAYS(MAX($I410,AB$3),MIN($J410,AB$2),Data!$K$4:$K$203)/$K410)))</f>
        <v>0</v>
      </c>
      <c r="AC410" s="166">
        <f>IF(OR($I410="",$E410=0),0,IF(OR($J410&lt;AC$3,$I410&gt;AC$2),0,IF($K410=0,IF(AND($I410&gt;=AC$3,$I410&lt;=AC$2),$E410,0),$E410*NETWORKDAYS(MAX($I410,AC$3),MIN($J410,AC$2),Data!$K$4:$K$203)/$K410)))</f>
        <v>0</v>
      </c>
      <c r="AD410" s="166">
        <f>IF(OR($I410="",$E410=0),0,IF(OR($J410&lt;AD$3,$I410&gt;AD$2),0,IF($K410=0,IF(AND($I410&gt;=AD$3,$I410&lt;=AD$2),$E410,0),$E410*NETWORKDAYS(MAX($I410,AD$3),MIN($J410,AD$2),Data!$K$4:$K$203)/$K410)))</f>
        <v>0</v>
      </c>
      <c r="AE410" s="166">
        <f>IF(OR($I410="",$E410=0),0,IF(OR($J410&lt;AE$3,$I410&gt;AE$2),0,IF($K410=0,IF(AND($I410&gt;=AE$3,$I410&lt;=AE$2),$E410,0),$E410*NETWORKDAYS(MAX($I410,AE$3),MIN($J410,AE$2),Data!$K$4:$K$203)/$K410)))</f>
        <v>0</v>
      </c>
      <c r="AF410" s="166">
        <f>IF(OR($I410="",$E410=0),0,IF(OR($J410&lt;AF$3,$I410&gt;AF$2),0,IF($K410=0,IF(AND($I410&gt;=AF$3,$I410&lt;=AF$2),$E410,0),$E410*NETWORKDAYS(MAX($I410,AF$3),MIN($J410,AF$2),Data!$K$4:$K$203)/$K410)))</f>
        <v>0</v>
      </c>
      <c r="AG410" s="166">
        <f>IF(OR($I410="",$E410=0),0,IF(OR($J410&lt;AG$3,$I410&gt;AG$2),0,IF($K410=0,IF(AND($I410&gt;=AG$3,$I410&lt;=AG$2),$E410,0),$E410*NETWORKDAYS(MAX($I410,AG$3),MIN($J410,AG$2),Data!$K$4:$K$203)/$K410)))</f>
        <v>0</v>
      </c>
      <c r="AH410" s="166">
        <f>IF(OR($I410="",$E410=0),0,IF(OR($J410&lt;AH$3,$I410&gt;AH$2),0,IF($K410=0,IF(AND($I410&gt;=AH$3,$I410&lt;=AH$2),$E410,0),$E410*NETWORKDAYS(MAX($I410,AH$3),MIN($J410,AH$2),Data!$K$4:$K$203)/$K410)))</f>
        <v>0</v>
      </c>
      <c r="AI410" s="166">
        <f>SUM(W410:AH410)</f>
        <v>0</v>
      </c>
      <c r="BZ410" t="str">
        <f>IF(D410=1,IF(TRIM(INDEX(Charge!$K:$K,ROW()))&lt;&gt;"",TRIM(INDEX(Charge!$K:$K,ROW())),IF(TRIM(INDEX(Charge!$L:$L,ROW()))&lt;&gt;"",TRIM(INDEX(Charge!$L:$L,ROW())),"(non affecté)")),"")</f>
        <v/>
      </c>
      <c r="CA410" t="str">
        <f>IF(AND($CD$4&lt;&gt;"",BZ410=$CD$4),COUNTIFS($BZ$4:$BZ$503,$CD$4,$L$4:$L$503,"&lt;"&amp;L410)+1,"")</f>
        <v/>
      </c>
      <c r="EM410" t="str">
        <f>IF(D410=1,IF(TRIM(INDEX(Charge!$K:$K,ROW()))&lt;&gt;"","Interne",IF(TRIM(INDEX(Charge!$L:$L,ROW()))&lt;&gt;"","Externe","Non affecté")),"")</f>
        <v/>
      </c>
      <c r="EN410" t="str">
        <f>IF(D410=1,LEFT(SUBSTITUTE(SUBSTITUTE(SUBSTITUTE(TRIM(SUBSTITUTE(INDEX(Charge!$B:$B,ROW()),CHAR(160)," "))&amp;" | "&amp;TRIM(SUBSTITUTE(INDEX(Charge!$C:$C,ROW()),CHAR(160)," "))&amp;" | "&amp;TRIM(SUBSTITUTE(INDEX(Charge!$D:$D,ROW()),CHAR(160)," ")),"~","-"),"*","+"),"?","!"),240),"")</f>
        <v/>
      </c>
      <c r="EO410">
        <f>IF(EN410="",0,IF(COUNTIF($EN$4:EN410,EN410)=1,1,0))</f>
        <v>0</v>
      </c>
      <c r="EP410" s="166" t="str">
        <f>IF(EO410=1,ROUND(SUMIF($EN$4:$EN$503,EN410,$E$4:$E$503),2),"")</f>
        <v/>
      </c>
      <c r="EQ410" t="str">
        <f>IF(EO410=1,COUNTIFS($EO$4:$EO$503,1,$EP$4:$EP$503,"&gt;"&amp;EP410)+COUNTIFS($EO$4:EO410,1,$EP$4:EP410,EP410),"")</f>
        <v/>
      </c>
      <c r="ER410" t="str">
        <f>IF(EO410=1,COUNTIFS($EN$4:$EN$503,EN410,$EM$4:$EM$503,"Interne",$FE$4:$FE$503,1),"")</f>
        <v/>
      </c>
      <c r="ES410" t="str">
        <f>IF(EO410=1,COUNTIFS($EN$4:$EN$503,EN410,$EM$4:$EM$503,"Externe",$FE$4:$FE$503,1),"")</f>
        <v/>
      </c>
      <c r="ET410" t="str">
        <f>IF(EO410=1,IF(ER410+ES410=0,"à affecter",IF(ER410=0,ES410&amp;" ext.",(ER410+ES410)&amp;IF(ES410&gt;0," dont "&amp;ES410&amp;" ext.",""))&amp;IF(COUNTIFS($EN$4:$EN$503,EN410,$EM$4:$EM$503,"Non affecté")&gt;0," + à affecter","")),"")</f>
        <v/>
      </c>
      <c r="EU410" s="170" t="str">
        <f>IF(EO410=1,IF(EP410&gt;0,SUMPRODUCT(($EN$4:$EN$503=EN410)*$E$4:$E$503*$C$4:$C$503)/EP410,AVERAGEIF($EN$4:$EN$503,EN410,$C$4:$C$503)),"")</f>
        <v/>
      </c>
      <c r="EV410" s="165">
        <f>IF(ISNUMBER(I410),I410,2958465)</f>
        <v>2958465.0</v>
      </c>
      <c r="EW410" s="165" t="str">
        <f>IF(EO410=1,SUMPRODUCT(MIN(($EN$4:$EN$503=EN410)*$EV$4:$EV$503+($EN$4:$EN$503&lt;&gt;EN410)*2958465)),"")</f>
        <v/>
      </c>
      <c r="EX410" s="165">
        <f>IF(AND(D410=1,ISNUMBER(INDEX(Charge!$F:$F,ROW()))),INDEX(Charge!$F:$F,ROW()),0)</f>
        <v>0.0</v>
      </c>
      <c r="EY410" s="165" t="str">
        <f>IF(EO410=1,SUMPRODUCT(MAX(($EN$4:$EN$503=EN410)*$EX$4:$EX$503)),"")</f>
        <v/>
      </c>
      <c r="FD410">
        <f>IF(AND(B410=1,TRIM(INDEX(Charge!$K:$K,ROW()))&lt;&gt;"",TRIM(INDEX(Charge!$L:$L,ROW()))&lt;&gt;""),1,0)</f>
        <v>0</v>
      </c>
      <c r="FE410">
        <f>IF(OR(EN410="",BZ410="(non affecté)"),0,IF(COUNTIFS($EN$4:EN410,EN410,$BZ$4:BZ410,BZ410)=1,1,0))</f>
        <v>0</v>
      </c>
    </row>
    <row r="411">
      <c r="A411">
        <f>ROW()</f>
        <v>411</v>
      </c>
      <c r="B411">
        <f>IF(TRIM(INDEX(Charge!$B:$B,ROW()))&lt;&gt;"",1,0)</f>
        <v>0</v>
      </c>
      <c r="C411">
        <f>IF(B411=1,MIN(1,MAX(0,N(INDEX(Charge!$O:$O,ROW())))),0)</f>
        <v>0</v>
      </c>
      <c r="D411">
        <f>IF(B411=1,IF(OR(p_Perimetre="Tous les projets",C411&lt;1),1,0),0)</f>
        <v>0</v>
      </c>
      <c r="E411">
        <f>IF(D411=1,MAX(0,N(INDEX(Charge!$M:$M,ROW()))),0)</f>
        <v>0</v>
      </c>
      <c r="F411" t="str">
        <f>IF(D411=1,IF(TRIM(INDEX(Charge!$A:$A,ROW()))="","(non renseigné)",TRIM(INDEX(Charge!$A:$A,ROW()))),"")</f>
        <v/>
      </c>
      <c r="G411" t="str">
        <f>IF(D411=1,TRIM(INDEX(Charge!$B:$B,ROW())),"")</f>
        <v/>
      </c>
      <c r="H411" t="str">
        <f>IF(D411=1,IF(TRIM(INDEX(Charge!$E:$E,ROW()))="","(non renseigné)",TRIM(INDEX(Charge!$E:$E,ROW()))),"")</f>
        <v/>
      </c>
      <c r="I411" s="165" t="str">
        <f>IF(AND(D411=1,ISNUMBER(INDEX(Charge!$N:$N,ROW()))),INDEX(Charge!$N:$N,ROW()),"")</f>
        <v/>
      </c>
      <c r="J411" s="165" t="str">
        <f>IF(I411="","",IF(AND(p_Repartition="Lissée jusqu'à la date de besoin",ISNUMBER(INDEX(Charge!$F:$F,ROW()))),IF(INDEX(Charge!$F:$F,ROW())&gt;=I411,INDEX(Charge!$F:$F,ROW()),I411),I411))</f>
        <v/>
      </c>
      <c r="K411" t="str">
        <f>IF(I411="","",NETWORKDAYS(I411,J411,Data!$K$4:$K$203))</f>
        <v/>
      </c>
      <c r="L411" t="str">
        <f>IF(D411=1,COUNTIFS($D$4:$D$503,1,$E$4:$E$503,"&gt;"&amp;E411)+COUNTIFS($D$4:$D411,1,$E$4:$E411,E411),"")</f>
        <v/>
      </c>
      <c r="M411">
        <f>IF(F411="",0,IF(COUNTIF($F$4:F411,F411)=1,1,0))</f>
        <v>0</v>
      </c>
      <c r="N411" t="str">
        <f>IF(M411=1,ROUND(SUMIF($F$4:$F$503,F411,$E$4:$E$503),2),"")</f>
        <v/>
      </c>
      <c r="O411" t="str">
        <f>IF(M411=1,COUNTIFS($M$4:$M$503,1,$N$4:$N$503,"&gt;"&amp;N411)+COUNTIFS($M$4:M411,1,$N$4:N411,N411),"")</f>
        <v/>
      </c>
      <c r="P411">
        <f>IF(G411="",0,IF(COUNTIF($G$4:G411,G411)=1,1,0))</f>
        <v>0</v>
      </c>
      <c r="Q411" t="str">
        <f>IF(P411=1,ROUND(SUMIF($G$4:$G$503,G411,$E$4:$E$503),2),"")</f>
        <v/>
      </c>
      <c r="R411" t="str">
        <f>IF(P411=1,COUNTIFS($P$4:$P$503,1,$Q$4:$Q$503,"&gt;"&amp;Q411)+COUNTIFS($P$4:P411,1,$Q$4:Q411,Q411),"")</f>
        <v/>
      </c>
      <c r="S411">
        <f>IF(H411="",0,IF(COUNTIF($H$4:H411,H411)=1,1,0))</f>
        <v>0</v>
      </c>
      <c r="T411" t="str">
        <f>IF(S411=1,ROUND(SUMIF($H$4:$H$503,H411,$E$4:$E$503),2),"")</f>
        <v/>
      </c>
      <c r="U411" t="str">
        <f>IF(S411=1,COUNTIFS($S$4:$S$503,1,$T$4:$T$503,"&gt;"&amp;T411)+COUNTIFS($S$4:S411,1,$T$4:T411,T411),"")</f>
        <v/>
      </c>
      <c r="V411" t="str">
        <f>IF(D411=1,MIN(INDEX($R$4:$R$503,MATCH(G411,$G$4:$G$503,0)),IF($AL$7&gt;9,9,999)),"")</f>
        <v/>
      </c>
      <c r="W411" s="166">
        <f>IF(OR($I411="",$E411=0),0,IF(OR($J411&lt;W$3,$I411&gt;W$2),0,IF($K411=0,IF(AND($I411&gt;=W$3,$I411&lt;=W$2),$E411,0),$E411*NETWORKDAYS(MAX($I411,W$3),MIN($J411,W$2),Data!$K$4:$K$203)/$K411)))</f>
        <v>0</v>
      </c>
      <c r="X411" s="166">
        <f>IF(OR($I411="",$E411=0),0,IF(OR($J411&lt;X$3,$I411&gt;X$2),0,IF($K411=0,IF(AND($I411&gt;=X$3,$I411&lt;=X$2),$E411,0),$E411*NETWORKDAYS(MAX($I411,X$3),MIN($J411,X$2),Data!$K$4:$K$203)/$K411)))</f>
        <v>0</v>
      </c>
      <c r="Y411" s="166">
        <f>IF(OR($I411="",$E411=0),0,IF(OR($J411&lt;Y$3,$I411&gt;Y$2),0,IF($K411=0,IF(AND($I411&gt;=Y$3,$I411&lt;=Y$2),$E411,0),$E411*NETWORKDAYS(MAX($I411,Y$3),MIN($J411,Y$2),Data!$K$4:$K$203)/$K411)))</f>
        <v>0</v>
      </c>
      <c r="Z411" s="166">
        <f>IF(OR($I411="",$E411=0),0,IF(OR($J411&lt;Z$3,$I411&gt;Z$2),0,IF($K411=0,IF(AND($I411&gt;=Z$3,$I411&lt;=Z$2),$E411,0),$E411*NETWORKDAYS(MAX($I411,Z$3),MIN($J411,Z$2),Data!$K$4:$K$203)/$K411)))</f>
        <v>0</v>
      </c>
      <c r="AA411" s="166">
        <f>IF(OR($I411="",$E411=0),0,IF(OR($J411&lt;AA$3,$I411&gt;AA$2),0,IF($K411=0,IF(AND($I411&gt;=AA$3,$I411&lt;=AA$2),$E411,0),$E411*NETWORKDAYS(MAX($I411,AA$3),MIN($J411,AA$2),Data!$K$4:$K$203)/$K411)))</f>
        <v>0</v>
      </c>
      <c r="AB411" s="166">
        <f>IF(OR($I411="",$E411=0),0,IF(OR($J411&lt;AB$3,$I411&gt;AB$2),0,IF($K411=0,IF(AND($I411&gt;=AB$3,$I411&lt;=AB$2),$E411,0),$E411*NETWORKDAYS(MAX($I411,AB$3),MIN($J411,AB$2),Data!$K$4:$K$203)/$K411)))</f>
        <v>0</v>
      </c>
      <c r="AC411" s="166">
        <f>IF(OR($I411="",$E411=0),0,IF(OR($J411&lt;AC$3,$I411&gt;AC$2),0,IF($K411=0,IF(AND($I411&gt;=AC$3,$I411&lt;=AC$2),$E411,0),$E411*NETWORKDAYS(MAX($I411,AC$3),MIN($J411,AC$2),Data!$K$4:$K$203)/$K411)))</f>
        <v>0</v>
      </c>
      <c r="AD411" s="166">
        <f>IF(OR($I411="",$E411=0),0,IF(OR($J411&lt;AD$3,$I411&gt;AD$2),0,IF($K411=0,IF(AND($I411&gt;=AD$3,$I411&lt;=AD$2),$E411,0),$E411*NETWORKDAYS(MAX($I411,AD$3),MIN($J411,AD$2),Data!$K$4:$K$203)/$K411)))</f>
        <v>0</v>
      </c>
      <c r="AE411" s="166">
        <f>IF(OR($I411="",$E411=0),0,IF(OR($J411&lt;AE$3,$I411&gt;AE$2),0,IF($K411=0,IF(AND($I411&gt;=AE$3,$I411&lt;=AE$2),$E411,0),$E411*NETWORKDAYS(MAX($I411,AE$3),MIN($J411,AE$2),Data!$K$4:$K$203)/$K411)))</f>
        <v>0</v>
      </c>
      <c r="AF411" s="166">
        <f>IF(OR($I411="",$E411=0),0,IF(OR($J411&lt;AF$3,$I411&gt;AF$2),0,IF($K411=0,IF(AND($I411&gt;=AF$3,$I411&lt;=AF$2),$E411,0),$E411*NETWORKDAYS(MAX($I411,AF$3),MIN($J411,AF$2),Data!$K$4:$K$203)/$K411)))</f>
        <v>0</v>
      </c>
      <c r="AG411" s="166">
        <f>IF(OR($I411="",$E411=0),0,IF(OR($J411&lt;AG$3,$I411&gt;AG$2),0,IF($K411=0,IF(AND($I411&gt;=AG$3,$I411&lt;=AG$2),$E411,0),$E411*NETWORKDAYS(MAX($I411,AG$3),MIN($J411,AG$2),Data!$K$4:$K$203)/$K411)))</f>
        <v>0</v>
      </c>
      <c r="AH411" s="166">
        <f>IF(OR($I411="",$E411=0),0,IF(OR($J411&lt;AH$3,$I411&gt;AH$2),0,IF($K411=0,IF(AND($I411&gt;=AH$3,$I411&lt;=AH$2),$E411,0),$E411*NETWORKDAYS(MAX($I411,AH$3),MIN($J411,AH$2),Data!$K$4:$K$203)/$K411)))</f>
        <v>0</v>
      </c>
      <c r="AI411" s="166">
        <f>SUM(W411:AH411)</f>
        <v>0</v>
      </c>
      <c r="BZ411" t="str">
        <f>IF(D411=1,IF(TRIM(INDEX(Charge!$K:$K,ROW()))&lt;&gt;"",TRIM(INDEX(Charge!$K:$K,ROW())),IF(TRIM(INDEX(Charge!$L:$L,ROW()))&lt;&gt;"",TRIM(INDEX(Charge!$L:$L,ROW())),"(non affecté)")),"")</f>
        <v/>
      </c>
      <c r="CA411" t="str">
        <f>IF(AND($CD$4&lt;&gt;"",BZ411=$CD$4),COUNTIFS($BZ$4:$BZ$503,$CD$4,$L$4:$L$503,"&lt;"&amp;L411)+1,"")</f>
        <v/>
      </c>
      <c r="EM411" t="str">
        <f>IF(D411=1,IF(TRIM(INDEX(Charge!$K:$K,ROW()))&lt;&gt;"","Interne",IF(TRIM(INDEX(Charge!$L:$L,ROW()))&lt;&gt;"","Externe","Non affecté")),"")</f>
        <v/>
      </c>
      <c r="EN411" t="str">
        <f>IF(D411=1,LEFT(SUBSTITUTE(SUBSTITUTE(SUBSTITUTE(TRIM(SUBSTITUTE(INDEX(Charge!$B:$B,ROW()),CHAR(160)," "))&amp;" | "&amp;TRIM(SUBSTITUTE(INDEX(Charge!$C:$C,ROW()),CHAR(160)," "))&amp;" | "&amp;TRIM(SUBSTITUTE(INDEX(Charge!$D:$D,ROW()),CHAR(160)," ")),"~","-"),"*","+"),"?","!"),240),"")</f>
        <v/>
      </c>
      <c r="EO411">
        <f>IF(EN411="",0,IF(COUNTIF($EN$4:EN411,EN411)=1,1,0))</f>
        <v>0</v>
      </c>
      <c r="EP411" s="166" t="str">
        <f>IF(EO411=1,ROUND(SUMIF($EN$4:$EN$503,EN411,$E$4:$E$503),2),"")</f>
        <v/>
      </c>
      <c r="EQ411" t="str">
        <f>IF(EO411=1,COUNTIFS($EO$4:$EO$503,1,$EP$4:$EP$503,"&gt;"&amp;EP411)+COUNTIFS($EO$4:EO411,1,$EP$4:EP411,EP411),"")</f>
        <v/>
      </c>
      <c r="ER411" t="str">
        <f>IF(EO411=1,COUNTIFS($EN$4:$EN$503,EN411,$EM$4:$EM$503,"Interne",$FE$4:$FE$503,1),"")</f>
        <v/>
      </c>
      <c r="ES411" t="str">
        <f>IF(EO411=1,COUNTIFS($EN$4:$EN$503,EN411,$EM$4:$EM$503,"Externe",$FE$4:$FE$503,1),"")</f>
        <v/>
      </c>
      <c r="ET411" t="str">
        <f>IF(EO411=1,IF(ER411+ES411=0,"à affecter",IF(ER411=0,ES411&amp;" ext.",(ER411+ES411)&amp;IF(ES411&gt;0," dont "&amp;ES411&amp;" ext.",""))&amp;IF(COUNTIFS($EN$4:$EN$503,EN411,$EM$4:$EM$503,"Non affecté")&gt;0," + à affecter","")),"")</f>
        <v/>
      </c>
      <c r="EU411" s="170" t="str">
        <f>IF(EO411=1,IF(EP411&gt;0,SUMPRODUCT(($EN$4:$EN$503=EN411)*$E$4:$E$503*$C$4:$C$503)/EP411,AVERAGEIF($EN$4:$EN$503,EN411,$C$4:$C$503)),"")</f>
        <v/>
      </c>
      <c r="EV411" s="165">
        <f>IF(ISNUMBER(I411),I411,2958465)</f>
        <v>2958465.0</v>
      </c>
      <c r="EW411" s="165" t="str">
        <f>IF(EO411=1,SUMPRODUCT(MIN(($EN$4:$EN$503=EN411)*$EV$4:$EV$503+($EN$4:$EN$503&lt;&gt;EN411)*2958465)),"")</f>
        <v/>
      </c>
      <c r="EX411" s="165">
        <f>IF(AND(D411=1,ISNUMBER(INDEX(Charge!$F:$F,ROW()))),INDEX(Charge!$F:$F,ROW()),0)</f>
        <v>0.0</v>
      </c>
      <c r="EY411" s="165" t="str">
        <f>IF(EO411=1,SUMPRODUCT(MAX(($EN$4:$EN$503=EN411)*$EX$4:$EX$503)),"")</f>
        <v/>
      </c>
      <c r="FD411">
        <f>IF(AND(B411=1,TRIM(INDEX(Charge!$K:$K,ROW()))&lt;&gt;"",TRIM(INDEX(Charge!$L:$L,ROW()))&lt;&gt;""),1,0)</f>
        <v>0</v>
      </c>
      <c r="FE411">
        <f>IF(OR(EN411="",BZ411="(non affecté)"),0,IF(COUNTIFS($EN$4:EN411,EN411,$BZ$4:BZ411,BZ411)=1,1,0))</f>
        <v>0</v>
      </c>
    </row>
    <row r="412">
      <c r="A412">
        <f>ROW()</f>
        <v>412</v>
      </c>
      <c r="B412">
        <f>IF(TRIM(INDEX(Charge!$B:$B,ROW()))&lt;&gt;"",1,0)</f>
        <v>0</v>
      </c>
      <c r="C412">
        <f>IF(B412=1,MIN(1,MAX(0,N(INDEX(Charge!$O:$O,ROW())))),0)</f>
        <v>0</v>
      </c>
      <c r="D412">
        <f>IF(B412=1,IF(OR(p_Perimetre="Tous les projets",C412&lt;1),1,0),0)</f>
        <v>0</v>
      </c>
      <c r="E412">
        <f>IF(D412=1,MAX(0,N(INDEX(Charge!$M:$M,ROW()))),0)</f>
        <v>0</v>
      </c>
      <c r="F412" t="str">
        <f>IF(D412=1,IF(TRIM(INDEX(Charge!$A:$A,ROW()))="","(non renseigné)",TRIM(INDEX(Charge!$A:$A,ROW()))),"")</f>
        <v/>
      </c>
      <c r="G412" t="str">
        <f>IF(D412=1,TRIM(INDEX(Charge!$B:$B,ROW())),"")</f>
        <v/>
      </c>
      <c r="H412" t="str">
        <f>IF(D412=1,IF(TRIM(INDEX(Charge!$E:$E,ROW()))="","(non renseigné)",TRIM(INDEX(Charge!$E:$E,ROW()))),"")</f>
        <v/>
      </c>
      <c r="I412" s="165" t="str">
        <f>IF(AND(D412=1,ISNUMBER(INDEX(Charge!$N:$N,ROW()))),INDEX(Charge!$N:$N,ROW()),"")</f>
        <v/>
      </c>
      <c r="J412" s="165" t="str">
        <f>IF(I412="","",IF(AND(p_Repartition="Lissée jusqu'à la date de besoin",ISNUMBER(INDEX(Charge!$F:$F,ROW()))),IF(INDEX(Charge!$F:$F,ROW())&gt;=I412,INDEX(Charge!$F:$F,ROW()),I412),I412))</f>
        <v/>
      </c>
      <c r="K412" t="str">
        <f>IF(I412="","",NETWORKDAYS(I412,J412,Data!$K$4:$K$203))</f>
        <v/>
      </c>
      <c r="L412" t="str">
        <f>IF(D412=1,COUNTIFS($D$4:$D$503,1,$E$4:$E$503,"&gt;"&amp;E412)+COUNTIFS($D$4:$D412,1,$E$4:$E412,E412),"")</f>
        <v/>
      </c>
      <c r="M412">
        <f>IF(F412="",0,IF(COUNTIF($F$4:F412,F412)=1,1,0))</f>
        <v>0</v>
      </c>
      <c r="N412" t="str">
        <f>IF(M412=1,ROUND(SUMIF($F$4:$F$503,F412,$E$4:$E$503),2),"")</f>
        <v/>
      </c>
      <c r="O412" t="str">
        <f>IF(M412=1,COUNTIFS($M$4:$M$503,1,$N$4:$N$503,"&gt;"&amp;N412)+COUNTIFS($M$4:M412,1,$N$4:N412,N412),"")</f>
        <v/>
      </c>
      <c r="P412">
        <f>IF(G412="",0,IF(COUNTIF($G$4:G412,G412)=1,1,0))</f>
        <v>0</v>
      </c>
      <c r="Q412" t="str">
        <f>IF(P412=1,ROUND(SUMIF($G$4:$G$503,G412,$E$4:$E$503),2),"")</f>
        <v/>
      </c>
      <c r="R412" t="str">
        <f>IF(P412=1,COUNTIFS($P$4:$P$503,1,$Q$4:$Q$503,"&gt;"&amp;Q412)+COUNTIFS($P$4:P412,1,$Q$4:Q412,Q412),"")</f>
        <v/>
      </c>
      <c r="S412">
        <f>IF(H412="",0,IF(COUNTIF($H$4:H412,H412)=1,1,0))</f>
        <v>0</v>
      </c>
      <c r="T412" t="str">
        <f>IF(S412=1,ROUND(SUMIF($H$4:$H$503,H412,$E$4:$E$503),2),"")</f>
        <v/>
      </c>
      <c r="U412" t="str">
        <f>IF(S412=1,COUNTIFS($S$4:$S$503,1,$T$4:$T$503,"&gt;"&amp;T412)+COUNTIFS($S$4:S412,1,$T$4:T412,T412),"")</f>
        <v/>
      </c>
      <c r="V412" t="str">
        <f>IF(D412=1,MIN(INDEX($R$4:$R$503,MATCH(G412,$G$4:$G$503,0)),IF($AL$7&gt;9,9,999)),"")</f>
        <v/>
      </c>
      <c r="W412" s="166">
        <f>IF(OR($I412="",$E412=0),0,IF(OR($J412&lt;W$3,$I412&gt;W$2),0,IF($K412=0,IF(AND($I412&gt;=W$3,$I412&lt;=W$2),$E412,0),$E412*NETWORKDAYS(MAX($I412,W$3),MIN($J412,W$2),Data!$K$4:$K$203)/$K412)))</f>
        <v>0</v>
      </c>
      <c r="X412" s="166">
        <f>IF(OR($I412="",$E412=0),0,IF(OR($J412&lt;X$3,$I412&gt;X$2),0,IF($K412=0,IF(AND($I412&gt;=X$3,$I412&lt;=X$2),$E412,0),$E412*NETWORKDAYS(MAX($I412,X$3),MIN($J412,X$2),Data!$K$4:$K$203)/$K412)))</f>
        <v>0</v>
      </c>
      <c r="Y412" s="166">
        <f>IF(OR($I412="",$E412=0),0,IF(OR($J412&lt;Y$3,$I412&gt;Y$2),0,IF($K412=0,IF(AND($I412&gt;=Y$3,$I412&lt;=Y$2),$E412,0),$E412*NETWORKDAYS(MAX($I412,Y$3),MIN($J412,Y$2),Data!$K$4:$K$203)/$K412)))</f>
        <v>0</v>
      </c>
      <c r="Z412" s="166">
        <f>IF(OR($I412="",$E412=0),0,IF(OR($J412&lt;Z$3,$I412&gt;Z$2),0,IF($K412=0,IF(AND($I412&gt;=Z$3,$I412&lt;=Z$2),$E412,0),$E412*NETWORKDAYS(MAX($I412,Z$3),MIN($J412,Z$2),Data!$K$4:$K$203)/$K412)))</f>
        <v>0</v>
      </c>
      <c r="AA412" s="166">
        <f>IF(OR($I412="",$E412=0),0,IF(OR($J412&lt;AA$3,$I412&gt;AA$2),0,IF($K412=0,IF(AND($I412&gt;=AA$3,$I412&lt;=AA$2),$E412,0),$E412*NETWORKDAYS(MAX($I412,AA$3),MIN($J412,AA$2),Data!$K$4:$K$203)/$K412)))</f>
        <v>0</v>
      </c>
      <c r="AB412" s="166">
        <f>IF(OR($I412="",$E412=0),0,IF(OR($J412&lt;AB$3,$I412&gt;AB$2),0,IF($K412=0,IF(AND($I412&gt;=AB$3,$I412&lt;=AB$2),$E412,0),$E412*NETWORKDAYS(MAX($I412,AB$3),MIN($J412,AB$2),Data!$K$4:$K$203)/$K412)))</f>
        <v>0</v>
      </c>
      <c r="AC412" s="166">
        <f>IF(OR($I412="",$E412=0),0,IF(OR($J412&lt;AC$3,$I412&gt;AC$2),0,IF($K412=0,IF(AND($I412&gt;=AC$3,$I412&lt;=AC$2),$E412,0),$E412*NETWORKDAYS(MAX($I412,AC$3),MIN($J412,AC$2),Data!$K$4:$K$203)/$K412)))</f>
        <v>0</v>
      </c>
      <c r="AD412" s="166">
        <f>IF(OR($I412="",$E412=0),0,IF(OR($J412&lt;AD$3,$I412&gt;AD$2),0,IF($K412=0,IF(AND($I412&gt;=AD$3,$I412&lt;=AD$2),$E412,0),$E412*NETWORKDAYS(MAX($I412,AD$3),MIN($J412,AD$2),Data!$K$4:$K$203)/$K412)))</f>
        <v>0</v>
      </c>
      <c r="AE412" s="166">
        <f>IF(OR($I412="",$E412=0),0,IF(OR($J412&lt;AE$3,$I412&gt;AE$2),0,IF($K412=0,IF(AND($I412&gt;=AE$3,$I412&lt;=AE$2),$E412,0),$E412*NETWORKDAYS(MAX($I412,AE$3),MIN($J412,AE$2),Data!$K$4:$K$203)/$K412)))</f>
        <v>0</v>
      </c>
      <c r="AF412" s="166">
        <f>IF(OR($I412="",$E412=0),0,IF(OR($J412&lt;AF$3,$I412&gt;AF$2),0,IF($K412=0,IF(AND($I412&gt;=AF$3,$I412&lt;=AF$2),$E412,0),$E412*NETWORKDAYS(MAX($I412,AF$3),MIN($J412,AF$2),Data!$K$4:$K$203)/$K412)))</f>
        <v>0</v>
      </c>
      <c r="AG412" s="166">
        <f>IF(OR($I412="",$E412=0),0,IF(OR($J412&lt;AG$3,$I412&gt;AG$2),0,IF($K412=0,IF(AND($I412&gt;=AG$3,$I412&lt;=AG$2),$E412,0),$E412*NETWORKDAYS(MAX($I412,AG$3),MIN($J412,AG$2),Data!$K$4:$K$203)/$K412)))</f>
        <v>0</v>
      </c>
      <c r="AH412" s="166">
        <f>IF(OR($I412="",$E412=0),0,IF(OR($J412&lt;AH$3,$I412&gt;AH$2),0,IF($K412=0,IF(AND($I412&gt;=AH$3,$I412&lt;=AH$2),$E412,0),$E412*NETWORKDAYS(MAX($I412,AH$3),MIN($J412,AH$2),Data!$K$4:$K$203)/$K412)))</f>
        <v>0</v>
      </c>
      <c r="AI412" s="166">
        <f>SUM(W412:AH412)</f>
        <v>0</v>
      </c>
      <c r="BZ412" t="str">
        <f>IF(D412=1,IF(TRIM(INDEX(Charge!$K:$K,ROW()))&lt;&gt;"",TRIM(INDEX(Charge!$K:$K,ROW())),IF(TRIM(INDEX(Charge!$L:$L,ROW()))&lt;&gt;"",TRIM(INDEX(Charge!$L:$L,ROW())),"(non affecté)")),"")</f>
        <v/>
      </c>
      <c r="CA412" t="str">
        <f>IF(AND($CD$4&lt;&gt;"",BZ412=$CD$4),COUNTIFS($BZ$4:$BZ$503,$CD$4,$L$4:$L$503,"&lt;"&amp;L412)+1,"")</f>
        <v/>
      </c>
      <c r="EM412" t="str">
        <f>IF(D412=1,IF(TRIM(INDEX(Charge!$K:$K,ROW()))&lt;&gt;"","Interne",IF(TRIM(INDEX(Charge!$L:$L,ROW()))&lt;&gt;"","Externe","Non affecté")),"")</f>
        <v/>
      </c>
      <c r="EN412" t="str">
        <f>IF(D412=1,LEFT(SUBSTITUTE(SUBSTITUTE(SUBSTITUTE(TRIM(SUBSTITUTE(INDEX(Charge!$B:$B,ROW()),CHAR(160)," "))&amp;" | "&amp;TRIM(SUBSTITUTE(INDEX(Charge!$C:$C,ROW()),CHAR(160)," "))&amp;" | "&amp;TRIM(SUBSTITUTE(INDEX(Charge!$D:$D,ROW()),CHAR(160)," ")),"~","-"),"*","+"),"?","!"),240),"")</f>
        <v/>
      </c>
      <c r="EO412">
        <f>IF(EN412="",0,IF(COUNTIF($EN$4:EN412,EN412)=1,1,0))</f>
        <v>0</v>
      </c>
      <c r="EP412" s="166" t="str">
        <f>IF(EO412=1,ROUND(SUMIF($EN$4:$EN$503,EN412,$E$4:$E$503),2),"")</f>
        <v/>
      </c>
      <c r="EQ412" t="str">
        <f>IF(EO412=1,COUNTIFS($EO$4:$EO$503,1,$EP$4:$EP$503,"&gt;"&amp;EP412)+COUNTIFS($EO$4:EO412,1,$EP$4:EP412,EP412),"")</f>
        <v/>
      </c>
      <c r="ER412" t="str">
        <f>IF(EO412=1,COUNTIFS($EN$4:$EN$503,EN412,$EM$4:$EM$503,"Interne",$FE$4:$FE$503,1),"")</f>
        <v/>
      </c>
      <c r="ES412" t="str">
        <f>IF(EO412=1,COUNTIFS($EN$4:$EN$503,EN412,$EM$4:$EM$503,"Externe",$FE$4:$FE$503,1),"")</f>
        <v/>
      </c>
      <c r="ET412" t="str">
        <f>IF(EO412=1,IF(ER412+ES412=0,"à affecter",IF(ER412=0,ES412&amp;" ext.",(ER412+ES412)&amp;IF(ES412&gt;0," dont "&amp;ES412&amp;" ext.",""))&amp;IF(COUNTIFS($EN$4:$EN$503,EN412,$EM$4:$EM$503,"Non affecté")&gt;0," + à affecter","")),"")</f>
        <v/>
      </c>
      <c r="EU412" s="170" t="str">
        <f>IF(EO412=1,IF(EP412&gt;0,SUMPRODUCT(($EN$4:$EN$503=EN412)*$E$4:$E$503*$C$4:$C$503)/EP412,AVERAGEIF($EN$4:$EN$503,EN412,$C$4:$C$503)),"")</f>
        <v/>
      </c>
      <c r="EV412" s="165">
        <f>IF(ISNUMBER(I412),I412,2958465)</f>
        <v>2958465.0</v>
      </c>
      <c r="EW412" s="165" t="str">
        <f>IF(EO412=1,SUMPRODUCT(MIN(($EN$4:$EN$503=EN412)*$EV$4:$EV$503+($EN$4:$EN$503&lt;&gt;EN412)*2958465)),"")</f>
        <v/>
      </c>
      <c r="EX412" s="165">
        <f>IF(AND(D412=1,ISNUMBER(INDEX(Charge!$F:$F,ROW()))),INDEX(Charge!$F:$F,ROW()),0)</f>
        <v>0.0</v>
      </c>
      <c r="EY412" s="165" t="str">
        <f>IF(EO412=1,SUMPRODUCT(MAX(($EN$4:$EN$503=EN412)*$EX$4:$EX$503)),"")</f>
        <v/>
      </c>
      <c r="FD412">
        <f>IF(AND(B412=1,TRIM(INDEX(Charge!$K:$K,ROW()))&lt;&gt;"",TRIM(INDEX(Charge!$L:$L,ROW()))&lt;&gt;""),1,0)</f>
        <v>0</v>
      </c>
      <c r="FE412">
        <f>IF(OR(EN412="",BZ412="(non affecté)"),0,IF(COUNTIFS($EN$4:EN412,EN412,$BZ$4:BZ412,BZ412)=1,1,0))</f>
        <v>0</v>
      </c>
    </row>
    <row r="413">
      <c r="A413">
        <f>ROW()</f>
        <v>413</v>
      </c>
      <c r="B413">
        <f>IF(TRIM(INDEX(Charge!$B:$B,ROW()))&lt;&gt;"",1,0)</f>
        <v>0</v>
      </c>
      <c r="C413">
        <f>IF(B413=1,MIN(1,MAX(0,N(INDEX(Charge!$O:$O,ROW())))),0)</f>
        <v>0</v>
      </c>
      <c r="D413">
        <f>IF(B413=1,IF(OR(p_Perimetre="Tous les projets",C413&lt;1),1,0),0)</f>
        <v>0</v>
      </c>
      <c r="E413">
        <f>IF(D413=1,MAX(0,N(INDEX(Charge!$M:$M,ROW()))),0)</f>
        <v>0</v>
      </c>
      <c r="F413" t="str">
        <f>IF(D413=1,IF(TRIM(INDEX(Charge!$A:$A,ROW()))="","(non renseigné)",TRIM(INDEX(Charge!$A:$A,ROW()))),"")</f>
        <v/>
      </c>
      <c r="G413" t="str">
        <f>IF(D413=1,TRIM(INDEX(Charge!$B:$B,ROW())),"")</f>
        <v/>
      </c>
      <c r="H413" t="str">
        <f>IF(D413=1,IF(TRIM(INDEX(Charge!$E:$E,ROW()))="","(non renseigné)",TRIM(INDEX(Charge!$E:$E,ROW()))),"")</f>
        <v/>
      </c>
      <c r="I413" s="165" t="str">
        <f>IF(AND(D413=1,ISNUMBER(INDEX(Charge!$N:$N,ROW()))),INDEX(Charge!$N:$N,ROW()),"")</f>
        <v/>
      </c>
      <c r="J413" s="165" t="str">
        <f>IF(I413="","",IF(AND(p_Repartition="Lissée jusqu'à la date de besoin",ISNUMBER(INDEX(Charge!$F:$F,ROW()))),IF(INDEX(Charge!$F:$F,ROW())&gt;=I413,INDEX(Charge!$F:$F,ROW()),I413),I413))</f>
        <v/>
      </c>
      <c r="K413" t="str">
        <f>IF(I413="","",NETWORKDAYS(I413,J413,Data!$K$4:$K$203))</f>
        <v/>
      </c>
      <c r="L413" t="str">
        <f>IF(D413=1,COUNTIFS($D$4:$D$503,1,$E$4:$E$503,"&gt;"&amp;E413)+COUNTIFS($D$4:$D413,1,$E$4:$E413,E413),"")</f>
        <v/>
      </c>
      <c r="M413">
        <f>IF(F413="",0,IF(COUNTIF($F$4:F413,F413)=1,1,0))</f>
        <v>0</v>
      </c>
      <c r="N413" t="str">
        <f>IF(M413=1,ROUND(SUMIF($F$4:$F$503,F413,$E$4:$E$503),2),"")</f>
        <v/>
      </c>
      <c r="O413" t="str">
        <f>IF(M413=1,COUNTIFS($M$4:$M$503,1,$N$4:$N$503,"&gt;"&amp;N413)+COUNTIFS($M$4:M413,1,$N$4:N413,N413),"")</f>
        <v/>
      </c>
      <c r="P413">
        <f>IF(G413="",0,IF(COUNTIF($G$4:G413,G413)=1,1,0))</f>
        <v>0</v>
      </c>
      <c r="Q413" t="str">
        <f>IF(P413=1,ROUND(SUMIF($G$4:$G$503,G413,$E$4:$E$503),2),"")</f>
        <v/>
      </c>
      <c r="R413" t="str">
        <f>IF(P413=1,COUNTIFS($P$4:$P$503,1,$Q$4:$Q$503,"&gt;"&amp;Q413)+COUNTIFS($P$4:P413,1,$Q$4:Q413,Q413),"")</f>
        <v/>
      </c>
      <c r="S413">
        <f>IF(H413="",0,IF(COUNTIF($H$4:H413,H413)=1,1,0))</f>
        <v>0</v>
      </c>
      <c r="T413" t="str">
        <f>IF(S413=1,ROUND(SUMIF($H$4:$H$503,H413,$E$4:$E$503),2),"")</f>
        <v/>
      </c>
      <c r="U413" t="str">
        <f>IF(S413=1,COUNTIFS($S$4:$S$503,1,$T$4:$T$503,"&gt;"&amp;T413)+COUNTIFS($S$4:S413,1,$T$4:T413,T413),"")</f>
        <v/>
      </c>
      <c r="V413" t="str">
        <f>IF(D413=1,MIN(INDEX($R$4:$R$503,MATCH(G413,$G$4:$G$503,0)),IF($AL$7&gt;9,9,999)),"")</f>
        <v/>
      </c>
      <c r="W413" s="166">
        <f>IF(OR($I413="",$E413=0),0,IF(OR($J413&lt;W$3,$I413&gt;W$2),0,IF($K413=0,IF(AND($I413&gt;=W$3,$I413&lt;=W$2),$E413,0),$E413*NETWORKDAYS(MAX($I413,W$3),MIN($J413,W$2),Data!$K$4:$K$203)/$K413)))</f>
        <v>0</v>
      </c>
      <c r="X413" s="166">
        <f>IF(OR($I413="",$E413=0),0,IF(OR($J413&lt;X$3,$I413&gt;X$2),0,IF($K413=0,IF(AND($I413&gt;=X$3,$I413&lt;=X$2),$E413,0),$E413*NETWORKDAYS(MAX($I413,X$3),MIN($J413,X$2),Data!$K$4:$K$203)/$K413)))</f>
        <v>0</v>
      </c>
      <c r="Y413" s="166">
        <f>IF(OR($I413="",$E413=0),0,IF(OR($J413&lt;Y$3,$I413&gt;Y$2),0,IF($K413=0,IF(AND($I413&gt;=Y$3,$I413&lt;=Y$2),$E413,0),$E413*NETWORKDAYS(MAX($I413,Y$3),MIN($J413,Y$2),Data!$K$4:$K$203)/$K413)))</f>
        <v>0</v>
      </c>
      <c r="Z413" s="166">
        <f>IF(OR($I413="",$E413=0),0,IF(OR($J413&lt;Z$3,$I413&gt;Z$2),0,IF($K413=0,IF(AND($I413&gt;=Z$3,$I413&lt;=Z$2),$E413,0),$E413*NETWORKDAYS(MAX($I413,Z$3),MIN($J413,Z$2),Data!$K$4:$K$203)/$K413)))</f>
        <v>0</v>
      </c>
      <c r="AA413" s="166">
        <f>IF(OR($I413="",$E413=0),0,IF(OR($J413&lt;AA$3,$I413&gt;AA$2),0,IF($K413=0,IF(AND($I413&gt;=AA$3,$I413&lt;=AA$2),$E413,0),$E413*NETWORKDAYS(MAX($I413,AA$3),MIN($J413,AA$2),Data!$K$4:$K$203)/$K413)))</f>
        <v>0</v>
      </c>
      <c r="AB413" s="166">
        <f>IF(OR($I413="",$E413=0),0,IF(OR($J413&lt;AB$3,$I413&gt;AB$2),0,IF($K413=0,IF(AND($I413&gt;=AB$3,$I413&lt;=AB$2),$E413,0),$E413*NETWORKDAYS(MAX($I413,AB$3),MIN($J413,AB$2),Data!$K$4:$K$203)/$K413)))</f>
        <v>0</v>
      </c>
      <c r="AC413" s="166">
        <f>IF(OR($I413="",$E413=0),0,IF(OR($J413&lt;AC$3,$I413&gt;AC$2),0,IF($K413=0,IF(AND($I413&gt;=AC$3,$I413&lt;=AC$2),$E413,0),$E413*NETWORKDAYS(MAX($I413,AC$3),MIN($J413,AC$2),Data!$K$4:$K$203)/$K413)))</f>
        <v>0</v>
      </c>
      <c r="AD413" s="166">
        <f>IF(OR($I413="",$E413=0),0,IF(OR($J413&lt;AD$3,$I413&gt;AD$2),0,IF($K413=0,IF(AND($I413&gt;=AD$3,$I413&lt;=AD$2),$E413,0),$E413*NETWORKDAYS(MAX($I413,AD$3),MIN($J413,AD$2),Data!$K$4:$K$203)/$K413)))</f>
        <v>0</v>
      </c>
      <c r="AE413" s="166">
        <f>IF(OR($I413="",$E413=0),0,IF(OR($J413&lt;AE$3,$I413&gt;AE$2),0,IF($K413=0,IF(AND($I413&gt;=AE$3,$I413&lt;=AE$2),$E413,0),$E413*NETWORKDAYS(MAX($I413,AE$3),MIN($J413,AE$2),Data!$K$4:$K$203)/$K413)))</f>
        <v>0</v>
      </c>
      <c r="AF413" s="166">
        <f>IF(OR($I413="",$E413=0),0,IF(OR($J413&lt;AF$3,$I413&gt;AF$2),0,IF($K413=0,IF(AND($I413&gt;=AF$3,$I413&lt;=AF$2),$E413,0),$E413*NETWORKDAYS(MAX($I413,AF$3),MIN($J413,AF$2),Data!$K$4:$K$203)/$K413)))</f>
        <v>0</v>
      </c>
      <c r="AG413" s="166">
        <f>IF(OR($I413="",$E413=0),0,IF(OR($J413&lt;AG$3,$I413&gt;AG$2),0,IF($K413=0,IF(AND($I413&gt;=AG$3,$I413&lt;=AG$2),$E413,0),$E413*NETWORKDAYS(MAX($I413,AG$3),MIN($J413,AG$2),Data!$K$4:$K$203)/$K413)))</f>
        <v>0</v>
      </c>
      <c r="AH413" s="166">
        <f>IF(OR($I413="",$E413=0),0,IF(OR($J413&lt;AH$3,$I413&gt;AH$2),0,IF($K413=0,IF(AND($I413&gt;=AH$3,$I413&lt;=AH$2),$E413,0),$E413*NETWORKDAYS(MAX($I413,AH$3),MIN($J413,AH$2),Data!$K$4:$K$203)/$K413)))</f>
        <v>0</v>
      </c>
      <c r="AI413" s="166">
        <f>SUM(W413:AH413)</f>
        <v>0</v>
      </c>
      <c r="BZ413" t="str">
        <f>IF(D413=1,IF(TRIM(INDEX(Charge!$K:$K,ROW()))&lt;&gt;"",TRIM(INDEX(Charge!$K:$K,ROW())),IF(TRIM(INDEX(Charge!$L:$L,ROW()))&lt;&gt;"",TRIM(INDEX(Charge!$L:$L,ROW())),"(non affecté)")),"")</f>
        <v/>
      </c>
      <c r="CA413" t="str">
        <f>IF(AND($CD$4&lt;&gt;"",BZ413=$CD$4),COUNTIFS($BZ$4:$BZ$503,$CD$4,$L$4:$L$503,"&lt;"&amp;L413)+1,"")</f>
        <v/>
      </c>
      <c r="EM413" t="str">
        <f>IF(D413=1,IF(TRIM(INDEX(Charge!$K:$K,ROW()))&lt;&gt;"","Interne",IF(TRIM(INDEX(Charge!$L:$L,ROW()))&lt;&gt;"","Externe","Non affecté")),"")</f>
        <v/>
      </c>
      <c r="EN413" t="str">
        <f>IF(D413=1,LEFT(SUBSTITUTE(SUBSTITUTE(SUBSTITUTE(TRIM(SUBSTITUTE(INDEX(Charge!$B:$B,ROW()),CHAR(160)," "))&amp;" | "&amp;TRIM(SUBSTITUTE(INDEX(Charge!$C:$C,ROW()),CHAR(160)," "))&amp;" | "&amp;TRIM(SUBSTITUTE(INDEX(Charge!$D:$D,ROW()),CHAR(160)," ")),"~","-"),"*","+"),"?","!"),240),"")</f>
        <v/>
      </c>
      <c r="EO413">
        <f>IF(EN413="",0,IF(COUNTIF($EN$4:EN413,EN413)=1,1,0))</f>
        <v>0</v>
      </c>
      <c r="EP413" s="166" t="str">
        <f>IF(EO413=1,ROUND(SUMIF($EN$4:$EN$503,EN413,$E$4:$E$503),2),"")</f>
        <v/>
      </c>
      <c r="EQ413" t="str">
        <f>IF(EO413=1,COUNTIFS($EO$4:$EO$503,1,$EP$4:$EP$503,"&gt;"&amp;EP413)+COUNTIFS($EO$4:EO413,1,$EP$4:EP413,EP413),"")</f>
        <v/>
      </c>
      <c r="ER413" t="str">
        <f>IF(EO413=1,COUNTIFS($EN$4:$EN$503,EN413,$EM$4:$EM$503,"Interne",$FE$4:$FE$503,1),"")</f>
        <v/>
      </c>
      <c r="ES413" t="str">
        <f>IF(EO413=1,COUNTIFS($EN$4:$EN$503,EN413,$EM$4:$EM$503,"Externe",$FE$4:$FE$503,1),"")</f>
        <v/>
      </c>
      <c r="ET413" t="str">
        <f>IF(EO413=1,IF(ER413+ES413=0,"à affecter",IF(ER413=0,ES413&amp;" ext.",(ER413+ES413)&amp;IF(ES413&gt;0," dont "&amp;ES413&amp;" ext.",""))&amp;IF(COUNTIFS($EN$4:$EN$503,EN413,$EM$4:$EM$503,"Non affecté")&gt;0," + à affecter","")),"")</f>
        <v/>
      </c>
      <c r="EU413" s="170" t="str">
        <f>IF(EO413=1,IF(EP413&gt;0,SUMPRODUCT(($EN$4:$EN$503=EN413)*$E$4:$E$503*$C$4:$C$503)/EP413,AVERAGEIF($EN$4:$EN$503,EN413,$C$4:$C$503)),"")</f>
        <v/>
      </c>
      <c r="EV413" s="165">
        <f>IF(ISNUMBER(I413),I413,2958465)</f>
        <v>2958465.0</v>
      </c>
      <c r="EW413" s="165" t="str">
        <f>IF(EO413=1,SUMPRODUCT(MIN(($EN$4:$EN$503=EN413)*$EV$4:$EV$503+($EN$4:$EN$503&lt;&gt;EN413)*2958465)),"")</f>
        <v/>
      </c>
      <c r="EX413" s="165">
        <f>IF(AND(D413=1,ISNUMBER(INDEX(Charge!$F:$F,ROW()))),INDEX(Charge!$F:$F,ROW()),0)</f>
        <v>0.0</v>
      </c>
      <c r="EY413" s="165" t="str">
        <f>IF(EO413=1,SUMPRODUCT(MAX(($EN$4:$EN$503=EN413)*$EX$4:$EX$503)),"")</f>
        <v/>
      </c>
      <c r="FD413">
        <f>IF(AND(B413=1,TRIM(INDEX(Charge!$K:$K,ROW()))&lt;&gt;"",TRIM(INDEX(Charge!$L:$L,ROW()))&lt;&gt;""),1,0)</f>
        <v>0</v>
      </c>
      <c r="FE413">
        <f>IF(OR(EN413="",BZ413="(non affecté)"),0,IF(COUNTIFS($EN$4:EN413,EN413,$BZ$4:BZ413,BZ413)=1,1,0))</f>
        <v>0</v>
      </c>
    </row>
    <row r="414">
      <c r="A414">
        <f>ROW()</f>
        <v>414</v>
      </c>
      <c r="B414">
        <f>IF(TRIM(INDEX(Charge!$B:$B,ROW()))&lt;&gt;"",1,0)</f>
        <v>0</v>
      </c>
      <c r="C414">
        <f>IF(B414=1,MIN(1,MAX(0,N(INDEX(Charge!$O:$O,ROW())))),0)</f>
        <v>0</v>
      </c>
      <c r="D414">
        <f>IF(B414=1,IF(OR(p_Perimetre="Tous les projets",C414&lt;1),1,0),0)</f>
        <v>0</v>
      </c>
      <c r="E414">
        <f>IF(D414=1,MAX(0,N(INDEX(Charge!$M:$M,ROW()))),0)</f>
        <v>0</v>
      </c>
      <c r="F414" t="str">
        <f>IF(D414=1,IF(TRIM(INDEX(Charge!$A:$A,ROW()))="","(non renseigné)",TRIM(INDEX(Charge!$A:$A,ROW()))),"")</f>
        <v/>
      </c>
      <c r="G414" t="str">
        <f>IF(D414=1,TRIM(INDEX(Charge!$B:$B,ROW())),"")</f>
        <v/>
      </c>
      <c r="H414" t="str">
        <f>IF(D414=1,IF(TRIM(INDEX(Charge!$E:$E,ROW()))="","(non renseigné)",TRIM(INDEX(Charge!$E:$E,ROW()))),"")</f>
        <v/>
      </c>
      <c r="I414" s="165" t="str">
        <f>IF(AND(D414=1,ISNUMBER(INDEX(Charge!$N:$N,ROW()))),INDEX(Charge!$N:$N,ROW()),"")</f>
        <v/>
      </c>
      <c r="J414" s="165" t="str">
        <f>IF(I414="","",IF(AND(p_Repartition="Lissée jusqu'à la date de besoin",ISNUMBER(INDEX(Charge!$F:$F,ROW()))),IF(INDEX(Charge!$F:$F,ROW())&gt;=I414,INDEX(Charge!$F:$F,ROW()),I414),I414))</f>
        <v/>
      </c>
      <c r="K414" t="str">
        <f>IF(I414="","",NETWORKDAYS(I414,J414,Data!$K$4:$K$203))</f>
        <v/>
      </c>
      <c r="L414" t="str">
        <f>IF(D414=1,COUNTIFS($D$4:$D$503,1,$E$4:$E$503,"&gt;"&amp;E414)+COUNTIFS($D$4:$D414,1,$E$4:$E414,E414),"")</f>
        <v/>
      </c>
      <c r="M414">
        <f>IF(F414="",0,IF(COUNTIF($F$4:F414,F414)=1,1,0))</f>
        <v>0</v>
      </c>
      <c r="N414" t="str">
        <f>IF(M414=1,ROUND(SUMIF($F$4:$F$503,F414,$E$4:$E$503),2),"")</f>
        <v/>
      </c>
      <c r="O414" t="str">
        <f>IF(M414=1,COUNTIFS($M$4:$M$503,1,$N$4:$N$503,"&gt;"&amp;N414)+COUNTIFS($M$4:M414,1,$N$4:N414,N414),"")</f>
        <v/>
      </c>
      <c r="P414">
        <f>IF(G414="",0,IF(COUNTIF($G$4:G414,G414)=1,1,0))</f>
        <v>0</v>
      </c>
      <c r="Q414" t="str">
        <f>IF(P414=1,ROUND(SUMIF($G$4:$G$503,G414,$E$4:$E$503),2),"")</f>
        <v/>
      </c>
      <c r="R414" t="str">
        <f>IF(P414=1,COUNTIFS($P$4:$P$503,1,$Q$4:$Q$503,"&gt;"&amp;Q414)+COUNTIFS($P$4:P414,1,$Q$4:Q414,Q414),"")</f>
        <v/>
      </c>
      <c r="S414">
        <f>IF(H414="",0,IF(COUNTIF($H$4:H414,H414)=1,1,0))</f>
        <v>0</v>
      </c>
      <c r="T414" t="str">
        <f>IF(S414=1,ROUND(SUMIF($H$4:$H$503,H414,$E$4:$E$503),2),"")</f>
        <v/>
      </c>
      <c r="U414" t="str">
        <f>IF(S414=1,COUNTIFS($S$4:$S$503,1,$T$4:$T$503,"&gt;"&amp;T414)+COUNTIFS($S$4:S414,1,$T$4:T414,T414),"")</f>
        <v/>
      </c>
      <c r="V414" t="str">
        <f>IF(D414=1,MIN(INDEX($R$4:$R$503,MATCH(G414,$G$4:$G$503,0)),IF($AL$7&gt;9,9,999)),"")</f>
        <v/>
      </c>
      <c r="W414" s="166">
        <f>IF(OR($I414="",$E414=0),0,IF(OR($J414&lt;W$3,$I414&gt;W$2),0,IF($K414=0,IF(AND($I414&gt;=W$3,$I414&lt;=W$2),$E414,0),$E414*NETWORKDAYS(MAX($I414,W$3),MIN($J414,W$2),Data!$K$4:$K$203)/$K414)))</f>
        <v>0</v>
      </c>
      <c r="X414" s="166">
        <f>IF(OR($I414="",$E414=0),0,IF(OR($J414&lt;X$3,$I414&gt;X$2),0,IF($K414=0,IF(AND($I414&gt;=X$3,$I414&lt;=X$2),$E414,0),$E414*NETWORKDAYS(MAX($I414,X$3),MIN($J414,X$2),Data!$K$4:$K$203)/$K414)))</f>
        <v>0</v>
      </c>
      <c r="Y414" s="166">
        <f>IF(OR($I414="",$E414=0),0,IF(OR($J414&lt;Y$3,$I414&gt;Y$2),0,IF($K414=0,IF(AND($I414&gt;=Y$3,$I414&lt;=Y$2),$E414,0),$E414*NETWORKDAYS(MAX($I414,Y$3),MIN($J414,Y$2),Data!$K$4:$K$203)/$K414)))</f>
        <v>0</v>
      </c>
      <c r="Z414" s="166">
        <f>IF(OR($I414="",$E414=0),0,IF(OR($J414&lt;Z$3,$I414&gt;Z$2),0,IF($K414=0,IF(AND($I414&gt;=Z$3,$I414&lt;=Z$2),$E414,0),$E414*NETWORKDAYS(MAX($I414,Z$3),MIN($J414,Z$2),Data!$K$4:$K$203)/$K414)))</f>
        <v>0</v>
      </c>
      <c r="AA414" s="166">
        <f>IF(OR($I414="",$E414=0),0,IF(OR($J414&lt;AA$3,$I414&gt;AA$2),0,IF($K414=0,IF(AND($I414&gt;=AA$3,$I414&lt;=AA$2),$E414,0),$E414*NETWORKDAYS(MAX($I414,AA$3),MIN($J414,AA$2),Data!$K$4:$K$203)/$K414)))</f>
        <v>0</v>
      </c>
      <c r="AB414" s="166">
        <f>IF(OR($I414="",$E414=0),0,IF(OR($J414&lt;AB$3,$I414&gt;AB$2),0,IF($K414=0,IF(AND($I414&gt;=AB$3,$I414&lt;=AB$2),$E414,0),$E414*NETWORKDAYS(MAX($I414,AB$3),MIN($J414,AB$2),Data!$K$4:$K$203)/$K414)))</f>
        <v>0</v>
      </c>
      <c r="AC414" s="166">
        <f>IF(OR($I414="",$E414=0),0,IF(OR($J414&lt;AC$3,$I414&gt;AC$2),0,IF($K414=0,IF(AND($I414&gt;=AC$3,$I414&lt;=AC$2),$E414,0),$E414*NETWORKDAYS(MAX($I414,AC$3),MIN($J414,AC$2),Data!$K$4:$K$203)/$K414)))</f>
        <v>0</v>
      </c>
      <c r="AD414" s="166">
        <f>IF(OR($I414="",$E414=0),0,IF(OR($J414&lt;AD$3,$I414&gt;AD$2),0,IF($K414=0,IF(AND($I414&gt;=AD$3,$I414&lt;=AD$2),$E414,0),$E414*NETWORKDAYS(MAX($I414,AD$3),MIN($J414,AD$2),Data!$K$4:$K$203)/$K414)))</f>
        <v>0</v>
      </c>
      <c r="AE414" s="166">
        <f>IF(OR($I414="",$E414=0),0,IF(OR($J414&lt;AE$3,$I414&gt;AE$2),0,IF($K414=0,IF(AND($I414&gt;=AE$3,$I414&lt;=AE$2),$E414,0),$E414*NETWORKDAYS(MAX($I414,AE$3),MIN($J414,AE$2),Data!$K$4:$K$203)/$K414)))</f>
        <v>0</v>
      </c>
      <c r="AF414" s="166">
        <f>IF(OR($I414="",$E414=0),0,IF(OR($J414&lt;AF$3,$I414&gt;AF$2),0,IF($K414=0,IF(AND($I414&gt;=AF$3,$I414&lt;=AF$2),$E414,0),$E414*NETWORKDAYS(MAX($I414,AF$3),MIN($J414,AF$2),Data!$K$4:$K$203)/$K414)))</f>
        <v>0</v>
      </c>
      <c r="AG414" s="166">
        <f>IF(OR($I414="",$E414=0),0,IF(OR($J414&lt;AG$3,$I414&gt;AG$2),0,IF($K414=0,IF(AND($I414&gt;=AG$3,$I414&lt;=AG$2),$E414,0),$E414*NETWORKDAYS(MAX($I414,AG$3),MIN($J414,AG$2),Data!$K$4:$K$203)/$K414)))</f>
        <v>0</v>
      </c>
      <c r="AH414" s="166">
        <f>IF(OR($I414="",$E414=0),0,IF(OR($J414&lt;AH$3,$I414&gt;AH$2),0,IF($K414=0,IF(AND($I414&gt;=AH$3,$I414&lt;=AH$2),$E414,0),$E414*NETWORKDAYS(MAX($I414,AH$3),MIN($J414,AH$2),Data!$K$4:$K$203)/$K414)))</f>
        <v>0</v>
      </c>
      <c r="AI414" s="166">
        <f>SUM(W414:AH414)</f>
        <v>0</v>
      </c>
      <c r="BZ414" t="str">
        <f>IF(D414=1,IF(TRIM(INDEX(Charge!$K:$K,ROW()))&lt;&gt;"",TRIM(INDEX(Charge!$K:$K,ROW())),IF(TRIM(INDEX(Charge!$L:$L,ROW()))&lt;&gt;"",TRIM(INDEX(Charge!$L:$L,ROW())),"(non affecté)")),"")</f>
        <v/>
      </c>
      <c r="CA414" t="str">
        <f>IF(AND($CD$4&lt;&gt;"",BZ414=$CD$4),COUNTIFS($BZ$4:$BZ$503,$CD$4,$L$4:$L$503,"&lt;"&amp;L414)+1,"")</f>
        <v/>
      </c>
      <c r="EM414" t="str">
        <f>IF(D414=1,IF(TRIM(INDEX(Charge!$K:$K,ROW()))&lt;&gt;"","Interne",IF(TRIM(INDEX(Charge!$L:$L,ROW()))&lt;&gt;"","Externe","Non affecté")),"")</f>
        <v/>
      </c>
      <c r="EN414" t="str">
        <f>IF(D414=1,LEFT(SUBSTITUTE(SUBSTITUTE(SUBSTITUTE(TRIM(SUBSTITUTE(INDEX(Charge!$B:$B,ROW()),CHAR(160)," "))&amp;" | "&amp;TRIM(SUBSTITUTE(INDEX(Charge!$C:$C,ROW()),CHAR(160)," "))&amp;" | "&amp;TRIM(SUBSTITUTE(INDEX(Charge!$D:$D,ROW()),CHAR(160)," ")),"~","-"),"*","+"),"?","!"),240),"")</f>
        <v/>
      </c>
      <c r="EO414">
        <f>IF(EN414="",0,IF(COUNTIF($EN$4:EN414,EN414)=1,1,0))</f>
        <v>0</v>
      </c>
      <c r="EP414" s="166" t="str">
        <f>IF(EO414=1,ROUND(SUMIF($EN$4:$EN$503,EN414,$E$4:$E$503),2),"")</f>
        <v/>
      </c>
      <c r="EQ414" t="str">
        <f>IF(EO414=1,COUNTIFS($EO$4:$EO$503,1,$EP$4:$EP$503,"&gt;"&amp;EP414)+COUNTIFS($EO$4:EO414,1,$EP$4:EP414,EP414),"")</f>
        <v/>
      </c>
      <c r="ER414" t="str">
        <f>IF(EO414=1,COUNTIFS($EN$4:$EN$503,EN414,$EM$4:$EM$503,"Interne",$FE$4:$FE$503,1),"")</f>
        <v/>
      </c>
      <c r="ES414" t="str">
        <f>IF(EO414=1,COUNTIFS($EN$4:$EN$503,EN414,$EM$4:$EM$503,"Externe",$FE$4:$FE$503,1),"")</f>
        <v/>
      </c>
      <c r="ET414" t="str">
        <f>IF(EO414=1,IF(ER414+ES414=0,"à affecter",IF(ER414=0,ES414&amp;" ext.",(ER414+ES414)&amp;IF(ES414&gt;0," dont "&amp;ES414&amp;" ext.",""))&amp;IF(COUNTIFS($EN$4:$EN$503,EN414,$EM$4:$EM$503,"Non affecté")&gt;0," + à affecter","")),"")</f>
        <v/>
      </c>
      <c r="EU414" s="170" t="str">
        <f>IF(EO414=1,IF(EP414&gt;0,SUMPRODUCT(($EN$4:$EN$503=EN414)*$E$4:$E$503*$C$4:$C$503)/EP414,AVERAGEIF($EN$4:$EN$503,EN414,$C$4:$C$503)),"")</f>
        <v/>
      </c>
      <c r="EV414" s="165">
        <f>IF(ISNUMBER(I414),I414,2958465)</f>
        <v>2958465.0</v>
      </c>
      <c r="EW414" s="165" t="str">
        <f>IF(EO414=1,SUMPRODUCT(MIN(($EN$4:$EN$503=EN414)*$EV$4:$EV$503+($EN$4:$EN$503&lt;&gt;EN414)*2958465)),"")</f>
        <v/>
      </c>
      <c r="EX414" s="165">
        <f>IF(AND(D414=1,ISNUMBER(INDEX(Charge!$F:$F,ROW()))),INDEX(Charge!$F:$F,ROW()),0)</f>
        <v>0.0</v>
      </c>
      <c r="EY414" s="165" t="str">
        <f>IF(EO414=1,SUMPRODUCT(MAX(($EN$4:$EN$503=EN414)*$EX$4:$EX$503)),"")</f>
        <v/>
      </c>
      <c r="FD414">
        <f>IF(AND(B414=1,TRIM(INDEX(Charge!$K:$K,ROW()))&lt;&gt;"",TRIM(INDEX(Charge!$L:$L,ROW()))&lt;&gt;""),1,0)</f>
        <v>0</v>
      </c>
      <c r="FE414">
        <f>IF(OR(EN414="",BZ414="(non affecté)"),0,IF(COUNTIFS($EN$4:EN414,EN414,$BZ$4:BZ414,BZ414)=1,1,0))</f>
        <v>0</v>
      </c>
    </row>
    <row r="415">
      <c r="A415">
        <f>ROW()</f>
        <v>415</v>
      </c>
      <c r="B415">
        <f>IF(TRIM(INDEX(Charge!$B:$B,ROW()))&lt;&gt;"",1,0)</f>
        <v>0</v>
      </c>
      <c r="C415">
        <f>IF(B415=1,MIN(1,MAX(0,N(INDEX(Charge!$O:$O,ROW())))),0)</f>
        <v>0</v>
      </c>
      <c r="D415">
        <f>IF(B415=1,IF(OR(p_Perimetre="Tous les projets",C415&lt;1),1,0),0)</f>
        <v>0</v>
      </c>
      <c r="E415">
        <f>IF(D415=1,MAX(0,N(INDEX(Charge!$M:$M,ROW()))),0)</f>
        <v>0</v>
      </c>
      <c r="F415" t="str">
        <f>IF(D415=1,IF(TRIM(INDEX(Charge!$A:$A,ROW()))="","(non renseigné)",TRIM(INDEX(Charge!$A:$A,ROW()))),"")</f>
        <v/>
      </c>
      <c r="G415" t="str">
        <f>IF(D415=1,TRIM(INDEX(Charge!$B:$B,ROW())),"")</f>
        <v/>
      </c>
      <c r="H415" t="str">
        <f>IF(D415=1,IF(TRIM(INDEX(Charge!$E:$E,ROW()))="","(non renseigné)",TRIM(INDEX(Charge!$E:$E,ROW()))),"")</f>
        <v/>
      </c>
      <c r="I415" s="165" t="str">
        <f>IF(AND(D415=1,ISNUMBER(INDEX(Charge!$N:$N,ROW()))),INDEX(Charge!$N:$N,ROW()),"")</f>
        <v/>
      </c>
      <c r="J415" s="165" t="str">
        <f>IF(I415="","",IF(AND(p_Repartition="Lissée jusqu'à la date de besoin",ISNUMBER(INDEX(Charge!$F:$F,ROW()))),IF(INDEX(Charge!$F:$F,ROW())&gt;=I415,INDEX(Charge!$F:$F,ROW()),I415),I415))</f>
        <v/>
      </c>
      <c r="K415" t="str">
        <f>IF(I415="","",NETWORKDAYS(I415,J415,Data!$K$4:$K$203))</f>
        <v/>
      </c>
      <c r="L415" t="str">
        <f>IF(D415=1,COUNTIFS($D$4:$D$503,1,$E$4:$E$503,"&gt;"&amp;E415)+COUNTIFS($D$4:$D415,1,$E$4:$E415,E415),"")</f>
        <v/>
      </c>
      <c r="M415">
        <f>IF(F415="",0,IF(COUNTIF($F$4:F415,F415)=1,1,0))</f>
        <v>0</v>
      </c>
      <c r="N415" t="str">
        <f>IF(M415=1,ROUND(SUMIF($F$4:$F$503,F415,$E$4:$E$503),2),"")</f>
        <v/>
      </c>
      <c r="O415" t="str">
        <f>IF(M415=1,COUNTIFS($M$4:$M$503,1,$N$4:$N$503,"&gt;"&amp;N415)+COUNTIFS($M$4:M415,1,$N$4:N415,N415),"")</f>
        <v/>
      </c>
      <c r="P415">
        <f>IF(G415="",0,IF(COUNTIF($G$4:G415,G415)=1,1,0))</f>
        <v>0</v>
      </c>
      <c r="Q415" t="str">
        <f>IF(P415=1,ROUND(SUMIF($G$4:$G$503,G415,$E$4:$E$503),2),"")</f>
        <v/>
      </c>
      <c r="R415" t="str">
        <f>IF(P415=1,COUNTIFS($P$4:$P$503,1,$Q$4:$Q$503,"&gt;"&amp;Q415)+COUNTIFS($P$4:P415,1,$Q$4:Q415,Q415),"")</f>
        <v/>
      </c>
      <c r="S415">
        <f>IF(H415="",0,IF(COUNTIF($H$4:H415,H415)=1,1,0))</f>
        <v>0</v>
      </c>
      <c r="T415" t="str">
        <f>IF(S415=1,ROUND(SUMIF($H$4:$H$503,H415,$E$4:$E$503),2),"")</f>
        <v/>
      </c>
      <c r="U415" t="str">
        <f>IF(S415=1,COUNTIFS($S$4:$S$503,1,$T$4:$T$503,"&gt;"&amp;T415)+COUNTIFS($S$4:S415,1,$T$4:T415,T415),"")</f>
        <v/>
      </c>
      <c r="V415" t="str">
        <f>IF(D415=1,MIN(INDEX($R$4:$R$503,MATCH(G415,$G$4:$G$503,0)),IF($AL$7&gt;9,9,999)),"")</f>
        <v/>
      </c>
      <c r="W415" s="166">
        <f>IF(OR($I415="",$E415=0),0,IF(OR($J415&lt;W$3,$I415&gt;W$2),0,IF($K415=0,IF(AND($I415&gt;=W$3,$I415&lt;=W$2),$E415,0),$E415*NETWORKDAYS(MAX($I415,W$3),MIN($J415,W$2),Data!$K$4:$K$203)/$K415)))</f>
        <v>0</v>
      </c>
      <c r="X415" s="166">
        <f>IF(OR($I415="",$E415=0),0,IF(OR($J415&lt;X$3,$I415&gt;X$2),0,IF($K415=0,IF(AND($I415&gt;=X$3,$I415&lt;=X$2),$E415,0),$E415*NETWORKDAYS(MAX($I415,X$3),MIN($J415,X$2),Data!$K$4:$K$203)/$K415)))</f>
        <v>0</v>
      </c>
      <c r="Y415" s="166">
        <f>IF(OR($I415="",$E415=0),0,IF(OR($J415&lt;Y$3,$I415&gt;Y$2),0,IF($K415=0,IF(AND($I415&gt;=Y$3,$I415&lt;=Y$2),$E415,0),$E415*NETWORKDAYS(MAX($I415,Y$3),MIN($J415,Y$2),Data!$K$4:$K$203)/$K415)))</f>
        <v>0</v>
      </c>
      <c r="Z415" s="166">
        <f>IF(OR($I415="",$E415=0),0,IF(OR($J415&lt;Z$3,$I415&gt;Z$2),0,IF($K415=0,IF(AND($I415&gt;=Z$3,$I415&lt;=Z$2),$E415,0),$E415*NETWORKDAYS(MAX($I415,Z$3),MIN($J415,Z$2),Data!$K$4:$K$203)/$K415)))</f>
        <v>0</v>
      </c>
      <c r="AA415" s="166">
        <f>IF(OR($I415="",$E415=0),0,IF(OR($J415&lt;AA$3,$I415&gt;AA$2),0,IF($K415=0,IF(AND($I415&gt;=AA$3,$I415&lt;=AA$2),$E415,0),$E415*NETWORKDAYS(MAX($I415,AA$3),MIN($J415,AA$2),Data!$K$4:$K$203)/$K415)))</f>
        <v>0</v>
      </c>
      <c r="AB415" s="166">
        <f>IF(OR($I415="",$E415=0),0,IF(OR($J415&lt;AB$3,$I415&gt;AB$2),0,IF($K415=0,IF(AND($I415&gt;=AB$3,$I415&lt;=AB$2),$E415,0),$E415*NETWORKDAYS(MAX($I415,AB$3),MIN($J415,AB$2),Data!$K$4:$K$203)/$K415)))</f>
        <v>0</v>
      </c>
      <c r="AC415" s="166">
        <f>IF(OR($I415="",$E415=0),0,IF(OR($J415&lt;AC$3,$I415&gt;AC$2),0,IF($K415=0,IF(AND($I415&gt;=AC$3,$I415&lt;=AC$2),$E415,0),$E415*NETWORKDAYS(MAX($I415,AC$3),MIN($J415,AC$2),Data!$K$4:$K$203)/$K415)))</f>
        <v>0</v>
      </c>
      <c r="AD415" s="166">
        <f>IF(OR($I415="",$E415=0),0,IF(OR($J415&lt;AD$3,$I415&gt;AD$2),0,IF($K415=0,IF(AND($I415&gt;=AD$3,$I415&lt;=AD$2),$E415,0),$E415*NETWORKDAYS(MAX($I415,AD$3),MIN($J415,AD$2),Data!$K$4:$K$203)/$K415)))</f>
        <v>0</v>
      </c>
      <c r="AE415" s="166">
        <f>IF(OR($I415="",$E415=0),0,IF(OR($J415&lt;AE$3,$I415&gt;AE$2),0,IF($K415=0,IF(AND($I415&gt;=AE$3,$I415&lt;=AE$2),$E415,0),$E415*NETWORKDAYS(MAX($I415,AE$3),MIN($J415,AE$2),Data!$K$4:$K$203)/$K415)))</f>
        <v>0</v>
      </c>
      <c r="AF415" s="166">
        <f>IF(OR($I415="",$E415=0),0,IF(OR($J415&lt;AF$3,$I415&gt;AF$2),0,IF($K415=0,IF(AND($I415&gt;=AF$3,$I415&lt;=AF$2),$E415,0),$E415*NETWORKDAYS(MAX($I415,AF$3),MIN($J415,AF$2),Data!$K$4:$K$203)/$K415)))</f>
        <v>0</v>
      </c>
      <c r="AG415" s="166">
        <f>IF(OR($I415="",$E415=0),0,IF(OR($J415&lt;AG$3,$I415&gt;AG$2),0,IF($K415=0,IF(AND($I415&gt;=AG$3,$I415&lt;=AG$2),$E415,0),$E415*NETWORKDAYS(MAX($I415,AG$3),MIN($J415,AG$2),Data!$K$4:$K$203)/$K415)))</f>
        <v>0</v>
      </c>
      <c r="AH415" s="166">
        <f>IF(OR($I415="",$E415=0),0,IF(OR($J415&lt;AH$3,$I415&gt;AH$2),0,IF($K415=0,IF(AND($I415&gt;=AH$3,$I415&lt;=AH$2),$E415,0),$E415*NETWORKDAYS(MAX($I415,AH$3),MIN($J415,AH$2),Data!$K$4:$K$203)/$K415)))</f>
        <v>0</v>
      </c>
      <c r="AI415" s="166">
        <f>SUM(W415:AH415)</f>
        <v>0</v>
      </c>
      <c r="BZ415" t="str">
        <f>IF(D415=1,IF(TRIM(INDEX(Charge!$K:$K,ROW()))&lt;&gt;"",TRIM(INDEX(Charge!$K:$K,ROW())),IF(TRIM(INDEX(Charge!$L:$L,ROW()))&lt;&gt;"",TRIM(INDEX(Charge!$L:$L,ROW())),"(non affecté)")),"")</f>
        <v/>
      </c>
      <c r="CA415" t="str">
        <f>IF(AND($CD$4&lt;&gt;"",BZ415=$CD$4),COUNTIFS($BZ$4:$BZ$503,$CD$4,$L$4:$L$503,"&lt;"&amp;L415)+1,"")</f>
        <v/>
      </c>
      <c r="EM415" t="str">
        <f>IF(D415=1,IF(TRIM(INDEX(Charge!$K:$K,ROW()))&lt;&gt;"","Interne",IF(TRIM(INDEX(Charge!$L:$L,ROW()))&lt;&gt;"","Externe","Non affecté")),"")</f>
        <v/>
      </c>
      <c r="EN415" t="str">
        <f>IF(D415=1,LEFT(SUBSTITUTE(SUBSTITUTE(SUBSTITUTE(TRIM(SUBSTITUTE(INDEX(Charge!$B:$B,ROW()),CHAR(160)," "))&amp;" | "&amp;TRIM(SUBSTITUTE(INDEX(Charge!$C:$C,ROW()),CHAR(160)," "))&amp;" | "&amp;TRIM(SUBSTITUTE(INDEX(Charge!$D:$D,ROW()),CHAR(160)," ")),"~","-"),"*","+"),"?","!"),240),"")</f>
        <v/>
      </c>
      <c r="EO415">
        <f>IF(EN415="",0,IF(COUNTIF($EN$4:EN415,EN415)=1,1,0))</f>
        <v>0</v>
      </c>
      <c r="EP415" s="166" t="str">
        <f>IF(EO415=1,ROUND(SUMIF($EN$4:$EN$503,EN415,$E$4:$E$503),2),"")</f>
        <v/>
      </c>
      <c r="EQ415" t="str">
        <f>IF(EO415=1,COUNTIFS($EO$4:$EO$503,1,$EP$4:$EP$503,"&gt;"&amp;EP415)+COUNTIFS($EO$4:EO415,1,$EP$4:EP415,EP415),"")</f>
        <v/>
      </c>
      <c r="ER415" t="str">
        <f>IF(EO415=1,COUNTIFS($EN$4:$EN$503,EN415,$EM$4:$EM$503,"Interne",$FE$4:$FE$503,1),"")</f>
        <v/>
      </c>
      <c r="ES415" t="str">
        <f>IF(EO415=1,COUNTIFS($EN$4:$EN$503,EN415,$EM$4:$EM$503,"Externe",$FE$4:$FE$503,1),"")</f>
        <v/>
      </c>
      <c r="ET415" t="str">
        <f>IF(EO415=1,IF(ER415+ES415=0,"à affecter",IF(ER415=0,ES415&amp;" ext.",(ER415+ES415)&amp;IF(ES415&gt;0," dont "&amp;ES415&amp;" ext.",""))&amp;IF(COUNTIFS($EN$4:$EN$503,EN415,$EM$4:$EM$503,"Non affecté")&gt;0," + à affecter","")),"")</f>
        <v/>
      </c>
      <c r="EU415" s="170" t="str">
        <f>IF(EO415=1,IF(EP415&gt;0,SUMPRODUCT(($EN$4:$EN$503=EN415)*$E$4:$E$503*$C$4:$C$503)/EP415,AVERAGEIF($EN$4:$EN$503,EN415,$C$4:$C$503)),"")</f>
        <v/>
      </c>
      <c r="EV415" s="165">
        <f>IF(ISNUMBER(I415),I415,2958465)</f>
        <v>2958465.0</v>
      </c>
      <c r="EW415" s="165" t="str">
        <f>IF(EO415=1,SUMPRODUCT(MIN(($EN$4:$EN$503=EN415)*$EV$4:$EV$503+($EN$4:$EN$503&lt;&gt;EN415)*2958465)),"")</f>
        <v/>
      </c>
      <c r="EX415" s="165">
        <f>IF(AND(D415=1,ISNUMBER(INDEX(Charge!$F:$F,ROW()))),INDEX(Charge!$F:$F,ROW()),0)</f>
        <v>0.0</v>
      </c>
      <c r="EY415" s="165" t="str">
        <f>IF(EO415=1,SUMPRODUCT(MAX(($EN$4:$EN$503=EN415)*$EX$4:$EX$503)),"")</f>
        <v/>
      </c>
      <c r="FD415">
        <f>IF(AND(B415=1,TRIM(INDEX(Charge!$K:$K,ROW()))&lt;&gt;"",TRIM(INDEX(Charge!$L:$L,ROW()))&lt;&gt;""),1,0)</f>
        <v>0</v>
      </c>
      <c r="FE415">
        <f>IF(OR(EN415="",BZ415="(non affecté)"),0,IF(COUNTIFS($EN$4:EN415,EN415,$BZ$4:BZ415,BZ415)=1,1,0))</f>
        <v>0</v>
      </c>
    </row>
    <row r="416">
      <c r="A416">
        <f>ROW()</f>
        <v>416</v>
      </c>
      <c r="B416">
        <f>IF(TRIM(INDEX(Charge!$B:$B,ROW()))&lt;&gt;"",1,0)</f>
        <v>0</v>
      </c>
      <c r="C416">
        <f>IF(B416=1,MIN(1,MAX(0,N(INDEX(Charge!$O:$O,ROW())))),0)</f>
        <v>0</v>
      </c>
      <c r="D416">
        <f>IF(B416=1,IF(OR(p_Perimetre="Tous les projets",C416&lt;1),1,0),0)</f>
        <v>0</v>
      </c>
      <c r="E416">
        <f>IF(D416=1,MAX(0,N(INDEX(Charge!$M:$M,ROW()))),0)</f>
        <v>0</v>
      </c>
      <c r="F416" t="str">
        <f>IF(D416=1,IF(TRIM(INDEX(Charge!$A:$A,ROW()))="","(non renseigné)",TRIM(INDEX(Charge!$A:$A,ROW()))),"")</f>
        <v/>
      </c>
      <c r="G416" t="str">
        <f>IF(D416=1,TRIM(INDEX(Charge!$B:$B,ROW())),"")</f>
        <v/>
      </c>
      <c r="H416" t="str">
        <f>IF(D416=1,IF(TRIM(INDEX(Charge!$E:$E,ROW()))="","(non renseigné)",TRIM(INDEX(Charge!$E:$E,ROW()))),"")</f>
        <v/>
      </c>
      <c r="I416" s="165" t="str">
        <f>IF(AND(D416=1,ISNUMBER(INDEX(Charge!$N:$N,ROW()))),INDEX(Charge!$N:$N,ROW()),"")</f>
        <v/>
      </c>
      <c r="J416" s="165" t="str">
        <f>IF(I416="","",IF(AND(p_Repartition="Lissée jusqu'à la date de besoin",ISNUMBER(INDEX(Charge!$F:$F,ROW()))),IF(INDEX(Charge!$F:$F,ROW())&gt;=I416,INDEX(Charge!$F:$F,ROW()),I416),I416))</f>
        <v/>
      </c>
      <c r="K416" t="str">
        <f>IF(I416="","",NETWORKDAYS(I416,J416,Data!$K$4:$K$203))</f>
        <v/>
      </c>
      <c r="L416" t="str">
        <f>IF(D416=1,COUNTIFS($D$4:$D$503,1,$E$4:$E$503,"&gt;"&amp;E416)+COUNTIFS($D$4:$D416,1,$E$4:$E416,E416),"")</f>
        <v/>
      </c>
      <c r="M416">
        <f>IF(F416="",0,IF(COUNTIF($F$4:F416,F416)=1,1,0))</f>
        <v>0</v>
      </c>
      <c r="N416" t="str">
        <f>IF(M416=1,ROUND(SUMIF($F$4:$F$503,F416,$E$4:$E$503),2),"")</f>
        <v/>
      </c>
      <c r="O416" t="str">
        <f>IF(M416=1,COUNTIFS($M$4:$M$503,1,$N$4:$N$503,"&gt;"&amp;N416)+COUNTIFS($M$4:M416,1,$N$4:N416,N416),"")</f>
        <v/>
      </c>
      <c r="P416">
        <f>IF(G416="",0,IF(COUNTIF($G$4:G416,G416)=1,1,0))</f>
        <v>0</v>
      </c>
      <c r="Q416" t="str">
        <f>IF(P416=1,ROUND(SUMIF($G$4:$G$503,G416,$E$4:$E$503),2),"")</f>
        <v/>
      </c>
      <c r="R416" t="str">
        <f>IF(P416=1,COUNTIFS($P$4:$P$503,1,$Q$4:$Q$503,"&gt;"&amp;Q416)+COUNTIFS($P$4:P416,1,$Q$4:Q416,Q416),"")</f>
        <v/>
      </c>
      <c r="S416">
        <f>IF(H416="",0,IF(COUNTIF($H$4:H416,H416)=1,1,0))</f>
        <v>0</v>
      </c>
      <c r="T416" t="str">
        <f>IF(S416=1,ROUND(SUMIF($H$4:$H$503,H416,$E$4:$E$503),2),"")</f>
        <v/>
      </c>
      <c r="U416" t="str">
        <f>IF(S416=1,COUNTIFS($S$4:$S$503,1,$T$4:$T$503,"&gt;"&amp;T416)+COUNTIFS($S$4:S416,1,$T$4:T416,T416),"")</f>
        <v/>
      </c>
      <c r="V416" t="str">
        <f>IF(D416=1,MIN(INDEX($R$4:$R$503,MATCH(G416,$G$4:$G$503,0)),IF($AL$7&gt;9,9,999)),"")</f>
        <v/>
      </c>
      <c r="W416" s="166">
        <f>IF(OR($I416="",$E416=0),0,IF(OR($J416&lt;W$3,$I416&gt;W$2),0,IF($K416=0,IF(AND($I416&gt;=W$3,$I416&lt;=W$2),$E416,0),$E416*NETWORKDAYS(MAX($I416,W$3),MIN($J416,W$2),Data!$K$4:$K$203)/$K416)))</f>
        <v>0</v>
      </c>
      <c r="X416" s="166">
        <f>IF(OR($I416="",$E416=0),0,IF(OR($J416&lt;X$3,$I416&gt;X$2),0,IF($K416=0,IF(AND($I416&gt;=X$3,$I416&lt;=X$2),$E416,0),$E416*NETWORKDAYS(MAX($I416,X$3),MIN($J416,X$2),Data!$K$4:$K$203)/$K416)))</f>
        <v>0</v>
      </c>
      <c r="Y416" s="166">
        <f>IF(OR($I416="",$E416=0),0,IF(OR($J416&lt;Y$3,$I416&gt;Y$2),0,IF($K416=0,IF(AND($I416&gt;=Y$3,$I416&lt;=Y$2),$E416,0),$E416*NETWORKDAYS(MAX($I416,Y$3),MIN($J416,Y$2),Data!$K$4:$K$203)/$K416)))</f>
        <v>0</v>
      </c>
      <c r="Z416" s="166">
        <f>IF(OR($I416="",$E416=0),0,IF(OR($J416&lt;Z$3,$I416&gt;Z$2),0,IF($K416=0,IF(AND($I416&gt;=Z$3,$I416&lt;=Z$2),$E416,0),$E416*NETWORKDAYS(MAX($I416,Z$3),MIN($J416,Z$2),Data!$K$4:$K$203)/$K416)))</f>
        <v>0</v>
      </c>
      <c r="AA416" s="166">
        <f>IF(OR($I416="",$E416=0),0,IF(OR($J416&lt;AA$3,$I416&gt;AA$2),0,IF($K416=0,IF(AND($I416&gt;=AA$3,$I416&lt;=AA$2),$E416,0),$E416*NETWORKDAYS(MAX($I416,AA$3),MIN($J416,AA$2),Data!$K$4:$K$203)/$K416)))</f>
        <v>0</v>
      </c>
      <c r="AB416" s="166">
        <f>IF(OR($I416="",$E416=0),0,IF(OR($J416&lt;AB$3,$I416&gt;AB$2),0,IF($K416=0,IF(AND($I416&gt;=AB$3,$I416&lt;=AB$2),$E416,0),$E416*NETWORKDAYS(MAX($I416,AB$3),MIN($J416,AB$2),Data!$K$4:$K$203)/$K416)))</f>
        <v>0</v>
      </c>
      <c r="AC416" s="166">
        <f>IF(OR($I416="",$E416=0),0,IF(OR($J416&lt;AC$3,$I416&gt;AC$2),0,IF($K416=0,IF(AND($I416&gt;=AC$3,$I416&lt;=AC$2),$E416,0),$E416*NETWORKDAYS(MAX($I416,AC$3),MIN($J416,AC$2),Data!$K$4:$K$203)/$K416)))</f>
        <v>0</v>
      </c>
      <c r="AD416" s="166">
        <f>IF(OR($I416="",$E416=0),0,IF(OR($J416&lt;AD$3,$I416&gt;AD$2),0,IF($K416=0,IF(AND($I416&gt;=AD$3,$I416&lt;=AD$2),$E416,0),$E416*NETWORKDAYS(MAX($I416,AD$3),MIN($J416,AD$2),Data!$K$4:$K$203)/$K416)))</f>
        <v>0</v>
      </c>
      <c r="AE416" s="166">
        <f>IF(OR($I416="",$E416=0),0,IF(OR($J416&lt;AE$3,$I416&gt;AE$2),0,IF($K416=0,IF(AND($I416&gt;=AE$3,$I416&lt;=AE$2),$E416,0),$E416*NETWORKDAYS(MAX($I416,AE$3),MIN($J416,AE$2),Data!$K$4:$K$203)/$K416)))</f>
        <v>0</v>
      </c>
      <c r="AF416" s="166">
        <f>IF(OR($I416="",$E416=0),0,IF(OR($J416&lt;AF$3,$I416&gt;AF$2),0,IF($K416=0,IF(AND($I416&gt;=AF$3,$I416&lt;=AF$2),$E416,0),$E416*NETWORKDAYS(MAX($I416,AF$3),MIN($J416,AF$2),Data!$K$4:$K$203)/$K416)))</f>
        <v>0</v>
      </c>
      <c r="AG416" s="166">
        <f>IF(OR($I416="",$E416=0),0,IF(OR($J416&lt;AG$3,$I416&gt;AG$2),0,IF($K416=0,IF(AND($I416&gt;=AG$3,$I416&lt;=AG$2),$E416,0),$E416*NETWORKDAYS(MAX($I416,AG$3),MIN($J416,AG$2),Data!$K$4:$K$203)/$K416)))</f>
        <v>0</v>
      </c>
      <c r="AH416" s="166">
        <f>IF(OR($I416="",$E416=0),0,IF(OR($J416&lt;AH$3,$I416&gt;AH$2),0,IF($K416=0,IF(AND($I416&gt;=AH$3,$I416&lt;=AH$2),$E416,0),$E416*NETWORKDAYS(MAX($I416,AH$3),MIN($J416,AH$2),Data!$K$4:$K$203)/$K416)))</f>
        <v>0</v>
      </c>
      <c r="AI416" s="166">
        <f>SUM(W416:AH416)</f>
        <v>0</v>
      </c>
      <c r="BZ416" t="str">
        <f>IF(D416=1,IF(TRIM(INDEX(Charge!$K:$K,ROW()))&lt;&gt;"",TRIM(INDEX(Charge!$K:$K,ROW())),IF(TRIM(INDEX(Charge!$L:$L,ROW()))&lt;&gt;"",TRIM(INDEX(Charge!$L:$L,ROW())),"(non affecté)")),"")</f>
        <v/>
      </c>
      <c r="CA416" t="str">
        <f>IF(AND($CD$4&lt;&gt;"",BZ416=$CD$4),COUNTIFS($BZ$4:$BZ$503,$CD$4,$L$4:$L$503,"&lt;"&amp;L416)+1,"")</f>
        <v/>
      </c>
      <c r="EM416" t="str">
        <f>IF(D416=1,IF(TRIM(INDEX(Charge!$K:$K,ROW()))&lt;&gt;"","Interne",IF(TRIM(INDEX(Charge!$L:$L,ROW()))&lt;&gt;"","Externe","Non affecté")),"")</f>
        <v/>
      </c>
      <c r="EN416" t="str">
        <f>IF(D416=1,LEFT(SUBSTITUTE(SUBSTITUTE(SUBSTITUTE(TRIM(SUBSTITUTE(INDEX(Charge!$B:$B,ROW()),CHAR(160)," "))&amp;" | "&amp;TRIM(SUBSTITUTE(INDEX(Charge!$C:$C,ROW()),CHAR(160)," "))&amp;" | "&amp;TRIM(SUBSTITUTE(INDEX(Charge!$D:$D,ROW()),CHAR(160)," ")),"~","-"),"*","+"),"?","!"),240),"")</f>
        <v/>
      </c>
      <c r="EO416">
        <f>IF(EN416="",0,IF(COUNTIF($EN$4:EN416,EN416)=1,1,0))</f>
        <v>0</v>
      </c>
      <c r="EP416" s="166" t="str">
        <f>IF(EO416=1,ROUND(SUMIF($EN$4:$EN$503,EN416,$E$4:$E$503),2),"")</f>
        <v/>
      </c>
      <c r="EQ416" t="str">
        <f>IF(EO416=1,COUNTIFS($EO$4:$EO$503,1,$EP$4:$EP$503,"&gt;"&amp;EP416)+COUNTIFS($EO$4:EO416,1,$EP$4:EP416,EP416),"")</f>
        <v/>
      </c>
      <c r="ER416" t="str">
        <f>IF(EO416=1,COUNTIFS($EN$4:$EN$503,EN416,$EM$4:$EM$503,"Interne",$FE$4:$FE$503,1),"")</f>
        <v/>
      </c>
      <c r="ES416" t="str">
        <f>IF(EO416=1,COUNTIFS($EN$4:$EN$503,EN416,$EM$4:$EM$503,"Externe",$FE$4:$FE$503,1),"")</f>
        <v/>
      </c>
      <c r="ET416" t="str">
        <f>IF(EO416=1,IF(ER416+ES416=0,"à affecter",IF(ER416=0,ES416&amp;" ext.",(ER416+ES416)&amp;IF(ES416&gt;0," dont "&amp;ES416&amp;" ext.",""))&amp;IF(COUNTIFS($EN$4:$EN$503,EN416,$EM$4:$EM$503,"Non affecté")&gt;0," + à affecter","")),"")</f>
        <v/>
      </c>
      <c r="EU416" s="170" t="str">
        <f>IF(EO416=1,IF(EP416&gt;0,SUMPRODUCT(($EN$4:$EN$503=EN416)*$E$4:$E$503*$C$4:$C$503)/EP416,AVERAGEIF($EN$4:$EN$503,EN416,$C$4:$C$503)),"")</f>
        <v/>
      </c>
      <c r="EV416" s="165">
        <f>IF(ISNUMBER(I416),I416,2958465)</f>
        <v>2958465.0</v>
      </c>
      <c r="EW416" s="165" t="str">
        <f>IF(EO416=1,SUMPRODUCT(MIN(($EN$4:$EN$503=EN416)*$EV$4:$EV$503+($EN$4:$EN$503&lt;&gt;EN416)*2958465)),"")</f>
        <v/>
      </c>
      <c r="EX416" s="165">
        <f>IF(AND(D416=1,ISNUMBER(INDEX(Charge!$F:$F,ROW()))),INDEX(Charge!$F:$F,ROW()),0)</f>
        <v>0.0</v>
      </c>
      <c r="EY416" s="165" t="str">
        <f>IF(EO416=1,SUMPRODUCT(MAX(($EN$4:$EN$503=EN416)*$EX$4:$EX$503)),"")</f>
        <v/>
      </c>
      <c r="FD416">
        <f>IF(AND(B416=1,TRIM(INDEX(Charge!$K:$K,ROW()))&lt;&gt;"",TRIM(INDEX(Charge!$L:$L,ROW()))&lt;&gt;""),1,0)</f>
        <v>0</v>
      </c>
      <c r="FE416">
        <f>IF(OR(EN416="",BZ416="(non affecté)"),0,IF(COUNTIFS($EN$4:EN416,EN416,$BZ$4:BZ416,BZ416)=1,1,0))</f>
        <v>0</v>
      </c>
    </row>
    <row r="417">
      <c r="A417">
        <f>ROW()</f>
        <v>417</v>
      </c>
      <c r="B417">
        <f>IF(TRIM(INDEX(Charge!$B:$B,ROW()))&lt;&gt;"",1,0)</f>
        <v>0</v>
      </c>
      <c r="C417">
        <f>IF(B417=1,MIN(1,MAX(0,N(INDEX(Charge!$O:$O,ROW())))),0)</f>
        <v>0</v>
      </c>
      <c r="D417">
        <f>IF(B417=1,IF(OR(p_Perimetre="Tous les projets",C417&lt;1),1,0),0)</f>
        <v>0</v>
      </c>
      <c r="E417">
        <f>IF(D417=1,MAX(0,N(INDEX(Charge!$M:$M,ROW()))),0)</f>
        <v>0</v>
      </c>
      <c r="F417" t="str">
        <f>IF(D417=1,IF(TRIM(INDEX(Charge!$A:$A,ROW()))="","(non renseigné)",TRIM(INDEX(Charge!$A:$A,ROW()))),"")</f>
        <v/>
      </c>
      <c r="G417" t="str">
        <f>IF(D417=1,TRIM(INDEX(Charge!$B:$B,ROW())),"")</f>
        <v/>
      </c>
      <c r="H417" t="str">
        <f>IF(D417=1,IF(TRIM(INDEX(Charge!$E:$E,ROW()))="","(non renseigné)",TRIM(INDEX(Charge!$E:$E,ROW()))),"")</f>
        <v/>
      </c>
      <c r="I417" s="165" t="str">
        <f>IF(AND(D417=1,ISNUMBER(INDEX(Charge!$N:$N,ROW()))),INDEX(Charge!$N:$N,ROW()),"")</f>
        <v/>
      </c>
      <c r="J417" s="165" t="str">
        <f>IF(I417="","",IF(AND(p_Repartition="Lissée jusqu'à la date de besoin",ISNUMBER(INDEX(Charge!$F:$F,ROW()))),IF(INDEX(Charge!$F:$F,ROW())&gt;=I417,INDEX(Charge!$F:$F,ROW()),I417),I417))</f>
        <v/>
      </c>
      <c r="K417" t="str">
        <f>IF(I417="","",NETWORKDAYS(I417,J417,Data!$K$4:$K$203))</f>
        <v/>
      </c>
      <c r="L417" t="str">
        <f>IF(D417=1,COUNTIFS($D$4:$D$503,1,$E$4:$E$503,"&gt;"&amp;E417)+COUNTIFS($D$4:$D417,1,$E$4:$E417,E417),"")</f>
        <v/>
      </c>
      <c r="M417">
        <f>IF(F417="",0,IF(COUNTIF($F$4:F417,F417)=1,1,0))</f>
        <v>0</v>
      </c>
      <c r="N417" t="str">
        <f>IF(M417=1,ROUND(SUMIF($F$4:$F$503,F417,$E$4:$E$503),2),"")</f>
        <v/>
      </c>
      <c r="O417" t="str">
        <f>IF(M417=1,COUNTIFS($M$4:$M$503,1,$N$4:$N$503,"&gt;"&amp;N417)+COUNTIFS($M$4:M417,1,$N$4:N417,N417),"")</f>
        <v/>
      </c>
      <c r="P417">
        <f>IF(G417="",0,IF(COUNTIF($G$4:G417,G417)=1,1,0))</f>
        <v>0</v>
      </c>
      <c r="Q417" t="str">
        <f>IF(P417=1,ROUND(SUMIF($G$4:$G$503,G417,$E$4:$E$503),2),"")</f>
        <v/>
      </c>
      <c r="R417" t="str">
        <f>IF(P417=1,COUNTIFS($P$4:$P$503,1,$Q$4:$Q$503,"&gt;"&amp;Q417)+COUNTIFS($P$4:P417,1,$Q$4:Q417,Q417),"")</f>
        <v/>
      </c>
      <c r="S417">
        <f>IF(H417="",0,IF(COUNTIF($H$4:H417,H417)=1,1,0))</f>
        <v>0</v>
      </c>
      <c r="T417" t="str">
        <f>IF(S417=1,ROUND(SUMIF($H$4:$H$503,H417,$E$4:$E$503),2),"")</f>
        <v/>
      </c>
      <c r="U417" t="str">
        <f>IF(S417=1,COUNTIFS($S$4:$S$503,1,$T$4:$T$503,"&gt;"&amp;T417)+COUNTIFS($S$4:S417,1,$T$4:T417,T417),"")</f>
        <v/>
      </c>
      <c r="V417" t="str">
        <f>IF(D417=1,MIN(INDEX($R$4:$R$503,MATCH(G417,$G$4:$G$503,0)),IF($AL$7&gt;9,9,999)),"")</f>
        <v/>
      </c>
      <c r="W417" s="166">
        <f>IF(OR($I417="",$E417=0),0,IF(OR($J417&lt;W$3,$I417&gt;W$2),0,IF($K417=0,IF(AND($I417&gt;=W$3,$I417&lt;=W$2),$E417,0),$E417*NETWORKDAYS(MAX($I417,W$3),MIN($J417,W$2),Data!$K$4:$K$203)/$K417)))</f>
        <v>0</v>
      </c>
      <c r="X417" s="166">
        <f>IF(OR($I417="",$E417=0),0,IF(OR($J417&lt;X$3,$I417&gt;X$2),0,IF($K417=0,IF(AND($I417&gt;=X$3,$I417&lt;=X$2),$E417,0),$E417*NETWORKDAYS(MAX($I417,X$3),MIN($J417,X$2),Data!$K$4:$K$203)/$K417)))</f>
        <v>0</v>
      </c>
      <c r="Y417" s="166">
        <f>IF(OR($I417="",$E417=0),0,IF(OR($J417&lt;Y$3,$I417&gt;Y$2),0,IF($K417=0,IF(AND($I417&gt;=Y$3,$I417&lt;=Y$2),$E417,0),$E417*NETWORKDAYS(MAX($I417,Y$3),MIN($J417,Y$2),Data!$K$4:$K$203)/$K417)))</f>
        <v>0</v>
      </c>
      <c r="Z417" s="166">
        <f>IF(OR($I417="",$E417=0),0,IF(OR($J417&lt;Z$3,$I417&gt;Z$2),0,IF($K417=0,IF(AND($I417&gt;=Z$3,$I417&lt;=Z$2),$E417,0),$E417*NETWORKDAYS(MAX($I417,Z$3),MIN($J417,Z$2),Data!$K$4:$K$203)/$K417)))</f>
        <v>0</v>
      </c>
      <c r="AA417" s="166">
        <f>IF(OR($I417="",$E417=0),0,IF(OR($J417&lt;AA$3,$I417&gt;AA$2),0,IF($K417=0,IF(AND($I417&gt;=AA$3,$I417&lt;=AA$2),$E417,0),$E417*NETWORKDAYS(MAX($I417,AA$3),MIN($J417,AA$2),Data!$K$4:$K$203)/$K417)))</f>
        <v>0</v>
      </c>
      <c r="AB417" s="166">
        <f>IF(OR($I417="",$E417=0),0,IF(OR($J417&lt;AB$3,$I417&gt;AB$2),0,IF($K417=0,IF(AND($I417&gt;=AB$3,$I417&lt;=AB$2),$E417,0),$E417*NETWORKDAYS(MAX($I417,AB$3),MIN($J417,AB$2),Data!$K$4:$K$203)/$K417)))</f>
        <v>0</v>
      </c>
      <c r="AC417" s="166">
        <f>IF(OR($I417="",$E417=0),0,IF(OR($J417&lt;AC$3,$I417&gt;AC$2),0,IF($K417=0,IF(AND($I417&gt;=AC$3,$I417&lt;=AC$2),$E417,0),$E417*NETWORKDAYS(MAX($I417,AC$3),MIN($J417,AC$2),Data!$K$4:$K$203)/$K417)))</f>
        <v>0</v>
      </c>
      <c r="AD417" s="166">
        <f>IF(OR($I417="",$E417=0),0,IF(OR($J417&lt;AD$3,$I417&gt;AD$2),0,IF($K417=0,IF(AND($I417&gt;=AD$3,$I417&lt;=AD$2),$E417,0),$E417*NETWORKDAYS(MAX($I417,AD$3),MIN($J417,AD$2),Data!$K$4:$K$203)/$K417)))</f>
        <v>0</v>
      </c>
      <c r="AE417" s="166">
        <f>IF(OR($I417="",$E417=0),0,IF(OR($J417&lt;AE$3,$I417&gt;AE$2),0,IF($K417=0,IF(AND($I417&gt;=AE$3,$I417&lt;=AE$2),$E417,0),$E417*NETWORKDAYS(MAX($I417,AE$3),MIN($J417,AE$2),Data!$K$4:$K$203)/$K417)))</f>
        <v>0</v>
      </c>
      <c r="AF417" s="166">
        <f>IF(OR($I417="",$E417=0),0,IF(OR($J417&lt;AF$3,$I417&gt;AF$2),0,IF($K417=0,IF(AND($I417&gt;=AF$3,$I417&lt;=AF$2),$E417,0),$E417*NETWORKDAYS(MAX($I417,AF$3),MIN($J417,AF$2),Data!$K$4:$K$203)/$K417)))</f>
        <v>0</v>
      </c>
      <c r="AG417" s="166">
        <f>IF(OR($I417="",$E417=0),0,IF(OR($J417&lt;AG$3,$I417&gt;AG$2),0,IF($K417=0,IF(AND($I417&gt;=AG$3,$I417&lt;=AG$2),$E417,0),$E417*NETWORKDAYS(MAX($I417,AG$3),MIN($J417,AG$2),Data!$K$4:$K$203)/$K417)))</f>
        <v>0</v>
      </c>
      <c r="AH417" s="166">
        <f>IF(OR($I417="",$E417=0),0,IF(OR($J417&lt;AH$3,$I417&gt;AH$2),0,IF($K417=0,IF(AND($I417&gt;=AH$3,$I417&lt;=AH$2),$E417,0),$E417*NETWORKDAYS(MAX($I417,AH$3),MIN($J417,AH$2),Data!$K$4:$K$203)/$K417)))</f>
        <v>0</v>
      </c>
      <c r="AI417" s="166">
        <f>SUM(W417:AH417)</f>
        <v>0</v>
      </c>
      <c r="BZ417" t="str">
        <f>IF(D417=1,IF(TRIM(INDEX(Charge!$K:$K,ROW()))&lt;&gt;"",TRIM(INDEX(Charge!$K:$K,ROW())),IF(TRIM(INDEX(Charge!$L:$L,ROW()))&lt;&gt;"",TRIM(INDEX(Charge!$L:$L,ROW())),"(non affecté)")),"")</f>
        <v/>
      </c>
      <c r="CA417" t="str">
        <f>IF(AND($CD$4&lt;&gt;"",BZ417=$CD$4),COUNTIFS($BZ$4:$BZ$503,$CD$4,$L$4:$L$503,"&lt;"&amp;L417)+1,"")</f>
        <v/>
      </c>
      <c r="EM417" t="str">
        <f>IF(D417=1,IF(TRIM(INDEX(Charge!$K:$K,ROW()))&lt;&gt;"","Interne",IF(TRIM(INDEX(Charge!$L:$L,ROW()))&lt;&gt;"","Externe","Non affecté")),"")</f>
        <v/>
      </c>
      <c r="EN417" t="str">
        <f>IF(D417=1,LEFT(SUBSTITUTE(SUBSTITUTE(SUBSTITUTE(TRIM(SUBSTITUTE(INDEX(Charge!$B:$B,ROW()),CHAR(160)," "))&amp;" | "&amp;TRIM(SUBSTITUTE(INDEX(Charge!$C:$C,ROW()),CHAR(160)," "))&amp;" | "&amp;TRIM(SUBSTITUTE(INDEX(Charge!$D:$D,ROW()),CHAR(160)," ")),"~","-"),"*","+"),"?","!"),240),"")</f>
        <v/>
      </c>
      <c r="EO417">
        <f>IF(EN417="",0,IF(COUNTIF($EN$4:EN417,EN417)=1,1,0))</f>
        <v>0</v>
      </c>
      <c r="EP417" s="166" t="str">
        <f>IF(EO417=1,ROUND(SUMIF($EN$4:$EN$503,EN417,$E$4:$E$503),2),"")</f>
        <v/>
      </c>
      <c r="EQ417" t="str">
        <f>IF(EO417=1,COUNTIFS($EO$4:$EO$503,1,$EP$4:$EP$503,"&gt;"&amp;EP417)+COUNTIFS($EO$4:EO417,1,$EP$4:EP417,EP417),"")</f>
        <v/>
      </c>
      <c r="ER417" t="str">
        <f>IF(EO417=1,COUNTIFS($EN$4:$EN$503,EN417,$EM$4:$EM$503,"Interne",$FE$4:$FE$503,1),"")</f>
        <v/>
      </c>
      <c r="ES417" t="str">
        <f>IF(EO417=1,COUNTIFS($EN$4:$EN$503,EN417,$EM$4:$EM$503,"Externe",$FE$4:$FE$503,1),"")</f>
        <v/>
      </c>
      <c r="ET417" t="str">
        <f>IF(EO417=1,IF(ER417+ES417=0,"à affecter",IF(ER417=0,ES417&amp;" ext.",(ER417+ES417)&amp;IF(ES417&gt;0," dont "&amp;ES417&amp;" ext.",""))&amp;IF(COUNTIFS($EN$4:$EN$503,EN417,$EM$4:$EM$503,"Non affecté")&gt;0," + à affecter","")),"")</f>
        <v/>
      </c>
      <c r="EU417" s="170" t="str">
        <f>IF(EO417=1,IF(EP417&gt;0,SUMPRODUCT(($EN$4:$EN$503=EN417)*$E$4:$E$503*$C$4:$C$503)/EP417,AVERAGEIF($EN$4:$EN$503,EN417,$C$4:$C$503)),"")</f>
        <v/>
      </c>
      <c r="EV417" s="165">
        <f>IF(ISNUMBER(I417),I417,2958465)</f>
        <v>2958465.0</v>
      </c>
      <c r="EW417" s="165" t="str">
        <f>IF(EO417=1,SUMPRODUCT(MIN(($EN$4:$EN$503=EN417)*$EV$4:$EV$503+($EN$4:$EN$503&lt;&gt;EN417)*2958465)),"")</f>
        <v/>
      </c>
      <c r="EX417" s="165">
        <f>IF(AND(D417=1,ISNUMBER(INDEX(Charge!$F:$F,ROW()))),INDEX(Charge!$F:$F,ROW()),0)</f>
        <v>0.0</v>
      </c>
      <c r="EY417" s="165" t="str">
        <f>IF(EO417=1,SUMPRODUCT(MAX(($EN$4:$EN$503=EN417)*$EX$4:$EX$503)),"")</f>
        <v/>
      </c>
      <c r="FD417">
        <f>IF(AND(B417=1,TRIM(INDEX(Charge!$K:$K,ROW()))&lt;&gt;"",TRIM(INDEX(Charge!$L:$L,ROW()))&lt;&gt;""),1,0)</f>
        <v>0</v>
      </c>
      <c r="FE417">
        <f>IF(OR(EN417="",BZ417="(non affecté)"),0,IF(COUNTIFS($EN$4:EN417,EN417,$BZ$4:BZ417,BZ417)=1,1,0))</f>
        <v>0</v>
      </c>
    </row>
    <row r="418">
      <c r="A418">
        <f>ROW()</f>
        <v>418</v>
      </c>
      <c r="B418">
        <f>IF(TRIM(INDEX(Charge!$B:$B,ROW()))&lt;&gt;"",1,0)</f>
        <v>0</v>
      </c>
      <c r="C418">
        <f>IF(B418=1,MIN(1,MAX(0,N(INDEX(Charge!$O:$O,ROW())))),0)</f>
        <v>0</v>
      </c>
      <c r="D418">
        <f>IF(B418=1,IF(OR(p_Perimetre="Tous les projets",C418&lt;1),1,0),0)</f>
        <v>0</v>
      </c>
      <c r="E418">
        <f>IF(D418=1,MAX(0,N(INDEX(Charge!$M:$M,ROW()))),0)</f>
        <v>0</v>
      </c>
      <c r="F418" t="str">
        <f>IF(D418=1,IF(TRIM(INDEX(Charge!$A:$A,ROW()))="","(non renseigné)",TRIM(INDEX(Charge!$A:$A,ROW()))),"")</f>
        <v/>
      </c>
      <c r="G418" t="str">
        <f>IF(D418=1,TRIM(INDEX(Charge!$B:$B,ROW())),"")</f>
        <v/>
      </c>
      <c r="H418" t="str">
        <f>IF(D418=1,IF(TRIM(INDEX(Charge!$E:$E,ROW()))="","(non renseigné)",TRIM(INDEX(Charge!$E:$E,ROW()))),"")</f>
        <v/>
      </c>
      <c r="I418" s="165" t="str">
        <f>IF(AND(D418=1,ISNUMBER(INDEX(Charge!$N:$N,ROW()))),INDEX(Charge!$N:$N,ROW()),"")</f>
        <v/>
      </c>
      <c r="J418" s="165" t="str">
        <f>IF(I418="","",IF(AND(p_Repartition="Lissée jusqu'à la date de besoin",ISNUMBER(INDEX(Charge!$F:$F,ROW()))),IF(INDEX(Charge!$F:$F,ROW())&gt;=I418,INDEX(Charge!$F:$F,ROW()),I418),I418))</f>
        <v/>
      </c>
      <c r="K418" t="str">
        <f>IF(I418="","",NETWORKDAYS(I418,J418,Data!$K$4:$K$203))</f>
        <v/>
      </c>
      <c r="L418" t="str">
        <f>IF(D418=1,COUNTIFS($D$4:$D$503,1,$E$4:$E$503,"&gt;"&amp;E418)+COUNTIFS($D$4:$D418,1,$E$4:$E418,E418),"")</f>
        <v/>
      </c>
      <c r="M418">
        <f>IF(F418="",0,IF(COUNTIF($F$4:F418,F418)=1,1,0))</f>
        <v>0</v>
      </c>
      <c r="N418" t="str">
        <f>IF(M418=1,ROUND(SUMIF($F$4:$F$503,F418,$E$4:$E$503),2),"")</f>
        <v/>
      </c>
      <c r="O418" t="str">
        <f>IF(M418=1,COUNTIFS($M$4:$M$503,1,$N$4:$N$503,"&gt;"&amp;N418)+COUNTIFS($M$4:M418,1,$N$4:N418,N418),"")</f>
        <v/>
      </c>
      <c r="P418">
        <f>IF(G418="",0,IF(COUNTIF($G$4:G418,G418)=1,1,0))</f>
        <v>0</v>
      </c>
      <c r="Q418" t="str">
        <f>IF(P418=1,ROUND(SUMIF($G$4:$G$503,G418,$E$4:$E$503),2),"")</f>
        <v/>
      </c>
      <c r="R418" t="str">
        <f>IF(P418=1,COUNTIFS($P$4:$P$503,1,$Q$4:$Q$503,"&gt;"&amp;Q418)+COUNTIFS($P$4:P418,1,$Q$4:Q418,Q418),"")</f>
        <v/>
      </c>
      <c r="S418">
        <f>IF(H418="",0,IF(COUNTIF($H$4:H418,H418)=1,1,0))</f>
        <v>0</v>
      </c>
      <c r="T418" t="str">
        <f>IF(S418=1,ROUND(SUMIF($H$4:$H$503,H418,$E$4:$E$503),2),"")</f>
        <v/>
      </c>
      <c r="U418" t="str">
        <f>IF(S418=1,COUNTIFS($S$4:$S$503,1,$T$4:$T$503,"&gt;"&amp;T418)+COUNTIFS($S$4:S418,1,$T$4:T418,T418),"")</f>
        <v/>
      </c>
      <c r="V418" t="str">
        <f>IF(D418=1,MIN(INDEX($R$4:$R$503,MATCH(G418,$G$4:$G$503,0)),IF($AL$7&gt;9,9,999)),"")</f>
        <v/>
      </c>
      <c r="W418" s="166">
        <f>IF(OR($I418="",$E418=0),0,IF(OR($J418&lt;W$3,$I418&gt;W$2),0,IF($K418=0,IF(AND($I418&gt;=W$3,$I418&lt;=W$2),$E418,0),$E418*NETWORKDAYS(MAX($I418,W$3),MIN($J418,W$2),Data!$K$4:$K$203)/$K418)))</f>
        <v>0</v>
      </c>
      <c r="X418" s="166">
        <f>IF(OR($I418="",$E418=0),0,IF(OR($J418&lt;X$3,$I418&gt;X$2),0,IF($K418=0,IF(AND($I418&gt;=X$3,$I418&lt;=X$2),$E418,0),$E418*NETWORKDAYS(MAX($I418,X$3),MIN($J418,X$2),Data!$K$4:$K$203)/$K418)))</f>
        <v>0</v>
      </c>
      <c r="Y418" s="166">
        <f>IF(OR($I418="",$E418=0),0,IF(OR($J418&lt;Y$3,$I418&gt;Y$2),0,IF($K418=0,IF(AND($I418&gt;=Y$3,$I418&lt;=Y$2),$E418,0),$E418*NETWORKDAYS(MAX($I418,Y$3),MIN($J418,Y$2),Data!$K$4:$K$203)/$K418)))</f>
        <v>0</v>
      </c>
      <c r="Z418" s="166">
        <f>IF(OR($I418="",$E418=0),0,IF(OR($J418&lt;Z$3,$I418&gt;Z$2),0,IF($K418=0,IF(AND($I418&gt;=Z$3,$I418&lt;=Z$2),$E418,0),$E418*NETWORKDAYS(MAX($I418,Z$3),MIN($J418,Z$2),Data!$K$4:$K$203)/$K418)))</f>
        <v>0</v>
      </c>
      <c r="AA418" s="166">
        <f>IF(OR($I418="",$E418=0),0,IF(OR($J418&lt;AA$3,$I418&gt;AA$2),0,IF($K418=0,IF(AND($I418&gt;=AA$3,$I418&lt;=AA$2),$E418,0),$E418*NETWORKDAYS(MAX($I418,AA$3),MIN($J418,AA$2),Data!$K$4:$K$203)/$K418)))</f>
        <v>0</v>
      </c>
      <c r="AB418" s="166">
        <f>IF(OR($I418="",$E418=0),0,IF(OR($J418&lt;AB$3,$I418&gt;AB$2),0,IF($K418=0,IF(AND($I418&gt;=AB$3,$I418&lt;=AB$2),$E418,0),$E418*NETWORKDAYS(MAX($I418,AB$3),MIN($J418,AB$2),Data!$K$4:$K$203)/$K418)))</f>
        <v>0</v>
      </c>
      <c r="AC418" s="166">
        <f>IF(OR($I418="",$E418=0),0,IF(OR($J418&lt;AC$3,$I418&gt;AC$2),0,IF($K418=0,IF(AND($I418&gt;=AC$3,$I418&lt;=AC$2),$E418,0),$E418*NETWORKDAYS(MAX($I418,AC$3),MIN($J418,AC$2),Data!$K$4:$K$203)/$K418)))</f>
        <v>0</v>
      </c>
      <c r="AD418" s="166">
        <f>IF(OR($I418="",$E418=0),0,IF(OR($J418&lt;AD$3,$I418&gt;AD$2),0,IF($K418=0,IF(AND($I418&gt;=AD$3,$I418&lt;=AD$2),$E418,0),$E418*NETWORKDAYS(MAX($I418,AD$3),MIN($J418,AD$2),Data!$K$4:$K$203)/$K418)))</f>
        <v>0</v>
      </c>
      <c r="AE418" s="166">
        <f>IF(OR($I418="",$E418=0),0,IF(OR($J418&lt;AE$3,$I418&gt;AE$2),0,IF($K418=0,IF(AND($I418&gt;=AE$3,$I418&lt;=AE$2),$E418,0),$E418*NETWORKDAYS(MAX($I418,AE$3),MIN($J418,AE$2),Data!$K$4:$K$203)/$K418)))</f>
        <v>0</v>
      </c>
      <c r="AF418" s="166">
        <f>IF(OR($I418="",$E418=0),0,IF(OR($J418&lt;AF$3,$I418&gt;AF$2),0,IF($K418=0,IF(AND($I418&gt;=AF$3,$I418&lt;=AF$2),$E418,0),$E418*NETWORKDAYS(MAX($I418,AF$3),MIN($J418,AF$2),Data!$K$4:$K$203)/$K418)))</f>
        <v>0</v>
      </c>
      <c r="AG418" s="166">
        <f>IF(OR($I418="",$E418=0),0,IF(OR($J418&lt;AG$3,$I418&gt;AG$2),0,IF($K418=0,IF(AND($I418&gt;=AG$3,$I418&lt;=AG$2),$E418,0),$E418*NETWORKDAYS(MAX($I418,AG$3),MIN($J418,AG$2),Data!$K$4:$K$203)/$K418)))</f>
        <v>0</v>
      </c>
      <c r="AH418" s="166">
        <f>IF(OR($I418="",$E418=0),0,IF(OR($J418&lt;AH$3,$I418&gt;AH$2),0,IF($K418=0,IF(AND($I418&gt;=AH$3,$I418&lt;=AH$2),$E418,0),$E418*NETWORKDAYS(MAX($I418,AH$3),MIN($J418,AH$2),Data!$K$4:$K$203)/$K418)))</f>
        <v>0</v>
      </c>
      <c r="AI418" s="166">
        <f>SUM(W418:AH418)</f>
        <v>0</v>
      </c>
      <c r="BZ418" t="str">
        <f>IF(D418=1,IF(TRIM(INDEX(Charge!$K:$K,ROW()))&lt;&gt;"",TRIM(INDEX(Charge!$K:$K,ROW())),IF(TRIM(INDEX(Charge!$L:$L,ROW()))&lt;&gt;"",TRIM(INDEX(Charge!$L:$L,ROW())),"(non affecté)")),"")</f>
        <v/>
      </c>
      <c r="CA418" t="str">
        <f>IF(AND($CD$4&lt;&gt;"",BZ418=$CD$4),COUNTIFS($BZ$4:$BZ$503,$CD$4,$L$4:$L$503,"&lt;"&amp;L418)+1,"")</f>
        <v/>
      </c>
      <c r="EM418" t="str">
        <f>IF(D418=1,IF(TRIM(INDEX(Charge!$K:$K,ROW()))&lt;&gt;"","Interne",IF(TRIM(INDEX(Charge!$L:$L,ROW()))&lt;&gt;"","Externe","Non affecté")),"")</f>
        <v/>
      </c>
      <c r="EN418" t="str">
        <f>IF(D418=1,LEFT(SUBSTITUTE(SUBSTITUTE(SUBSTITUTE(TRIM(SUBSTITUTE(INDEX(Charge!$B:$B,ROW()),CHAR(160)," "))&amp;" | "&amp;TRIM(SUBSTITUTE(INDEX(Charge!$C:$C,ROW()),CHAR(160)," "))&amp;" | "&amp;TRIM(SUBSTITUTE(INDEX(Charge!$D:$D,ROW()),CHAR(160)," ")),"~","-"),"*","+"),"?","!"),240),"")</f>
        <v/>
      </c>
      <c r="EO418">
        <f>IF(EN418="",0,IF(COUNTIF($EN$4:EN418,EN418)=1,1,0))</f>
        <v>0</v>
      </c>
      <c r="EP418" s="166" t="str">
        <f>IF(EO418=1,ROUND(SUMIF($EN$4:$EN$503,EN418,$E$4:$E$503),2),"")</f>
        <v/>
      </c>
      <c r="EQ418" t="str">
        <f>IF(EO418=1,COUNTIFS($EO$4:$EO$503,1,$EP$4:$EP$503,"&gt;"&amp;EP418)+COUNTIFS($EO$4:EO418,1,$EP$4:EP418,EP418),"")</f>
        <v/>
      </c>
      <c r="ER418" t="str">
        <f>IF(EO418=1,COUNTIFS($EN$4:$EN$503,EN418,$EM$4:$EM$503,"Interne",$FE$4:$FE$503,1),"")</f>
        <v/>
      </c>
      <c r="ES418" t="str">
        <f>IF(EO418=1,COUNTIFS($EN$4:$EN$503,EN418,$EM$4:$EM$503,"Externe",$FE$4:$FE$503,1),"")</f>
        <v/>
      </c>
      <c r="ET418" t="str">
        <f>IF(EO418=1,IF(ER418+ES418=0,"à affecter",IF(ER418=0,ES418&amp;" ext.",(ER418+ES418)&amp;IF(ES418&gt;0," dont "&amp;ES418&amp;" ext.",""))&amp;IF(COUNTIFS($EN$4:$EN$503,EN418,$EM$4:$EM$503,"Non affecté")&gt;0," + à affecter","")),"")</f>
        <v/>
      </c>
      <c r="EU418" s="170" t="str">
        <f>IF(EO418=1,IF(EP418&gt;0,SUMPRODUCT(($EN$4:$EN$503=EN418)*$E$4:$E$503*$C$4:$C$503)/EP418,AVERAGEIF($EN$4:$EN$503,EN418,$C$4:$C$503)),"")</f>
        <v/>
      </c>
      <c r="EV418" s="165">
        <f>IF(ISNUMBER(I418),I418,2958465)</f>
        <v>2958465.0</v>
      </c>
      <c r="EW418" s="165" t="str">
        <f>IF(EO418=1,SUMPRODUCT(MIN(($EN$4:$EN$503=EN418)*$EV$4:$EV$503+($EN$4:$EN$503&lt;&gt;EN418)*2958465)),"")</f>
        <v/>
      </c>
      <c r="EX418" s="165">
        <f>IF(AND(D418=1,ISNUMBER(INDEX(Charge!$F:$F,ROW()))),INDEX(Charge!$F:$F,ROW()),0)</f>
        <v>0.0</v>
      </c>
      <c r="EY418" s="165" t="str">
        <f>IF(EO418=1,SUMPRODUCT(MAX(($EN$4:$EN$503=EN418)*$EX$4:$EX$503)),"")</f>
        <v/>
      </c>
      <c r="FD418">
        <f>IF(AND(B418=1,TRIM(INDEX(Charge!$K:$K,ROW()))&lt;&gt;"",TRIM(INDEX(Charge!$L:$L,ROW()))&lt;&gt;""),1,0)</f>
        <v>0</v>
      </c>
      <c r="FE418">
        <f>IF(OR(EN418="",BZ418="(non affecté)"),0,IF(COUNTIFS($EN$4:EN418,EN418,$BZ$4:BZ418,BZ418)=1,1,0))</f>
        <v>0</v>
      </c>
    </row>
    <row r="419">
      <c r="A419">
        <f>ROW()</f>
        <v>419</v>
      </c>
      <c r="B419">
        <f>IF(TRIM(INDEX(Charge!$B:$B,ROW()))&lt;&gt;"",1,0)</f>
        <v>0</v>
      </c>
      <c r="C419">
        <f>IF(B419=1,MIN(1,MAX(0,N(INDEX(Charge!$O:$O,ROW())))),0)</f>
        <v>0</v>
      </c>
      <c r="D419">
        <f>IF(B419=1,IF(OR(p_Perimetre="Tous les projets",C419&lt;1),1,0),0)</f>
        <v>0</v>
      </c>
      <c r="E419">
        <f>IF(D419=1,MAX(0,N(INDEX(Charge!$M:$M,ROW()))),0)</f>
        <v>0</v>
      </c>
      <c r="F419" t="str">
        <f>IF(D419=1,IF(TRIM(INDEX(Charge!$A:$A,ROW()))="","(non renseigné)",TRIM(INDEX(Charge!$A:$A,ROW()))),"")</f>
        <v/>
      </c>
      <c r="G419" t="str">
        <f>IF(D419=1,TRIM(INDEX(Charge!$B:$B,ROW())),"")</f>
        <v/>
      </c>
      <c r="H419" t="str">
        <f>IF(D419=1,IF(TRIM(INDEX(Charge!$E:$E,ROW()))="","(non renseigné)",TRIM(INDEX(Charge!$E:$E,ROW()))),"")</f>
        <v/>
      </c>
      <c r="I419" s="165" t="str">
        <f>IF(AND(D419=1,ISNUMBER(INDEX(Charge!$N:$N,ROW()))),INDEX(Charge!$N:$N,ROW()),"")</f>
        <v/>
      </c>
      <c r="J419" s="165" t="str">
        <f>IF(I419="","",IF(AND(p_Repartition="Lissée jusqu'à la date de besoin",ISNUMBER(INDEX(Charge!$F:$F,ROW()))),IF(INDEX(Charge!$F:$F,ROW())&gt;=I419,INDEX(Charge!$F:$F,ROW()),I419),I419))</f>
        <v/>
      </c>
      <c r="K419" t="str">
        <f>IF(I419="","",NETWORKDAYS(I419,J419,Data!$K$4:$K$203))</f>
        <v/>
      </c>
      <c r="L419" t="str">
        <f>IF(D419=1,COUNTIFS($D$4:$D$503,1,$E$4:$E$503,"&gt;"&amp;E419)+COUNTIFS($D$4:$D419,1,$E$4:$E419,E419),"")</f>
        <v/>
      </c>
      <c r="M419">
        <f>IF(F419="",0,IF(COUNTIF($F$4:F419,F419)=1,1,0))</f>
        <v>0</v>
      </c>
      <c r="N419" t="str">
        <f>IF(M419=1,ROUND(SUMIF($F$4:$F$503,F419,$E$4:$E$503),2),"")</f>
        <v/>
      </c>
      <c r="O419" t="str">
        <f>IF(M419=1,COUNTIFS($M$4:$M$503,1,$N$4:$N$503,"&gt;"&amp;N419)+COUNTIFS($M$4:M419,1,$N$4:N419,N419),"")</f>
        <v/>
      </c>
      <c r="P419">
        <f>IF(G419="",0,IF(COUNTIF($G$4:G419,G419)=1,1,0))</f>
        <v>0</v>
      </c>
      <c r="Q419" t="str">
        <f>IF(P419=1,ROUND(SUMIF($G$4:$G$503,G419,$E$4:$E$503),2),"")</f>
        <v/>
      </c>
      <c r="R419" t="str">
        <f>IF(P419=1,COUNTIFS($P$4:$P$503,1,$Q$4:$Q$503,"&gt;"&amp;Q419)+COUNTIFS($P$4:P419,1,$Q$4:Q419,Q419),"")</f>
        <v/>
      </c>
      <c r="S419">
        <f>IF(H419="",0,IF(COUNTIF($H$4:H419,H419)=1,1,0))</f>
        <v>0</v>
      </c>
      <c r="T419" t="str">
        <f>IF(S419=1,ROUND(SUMIF($H$4:$H$503,H419,$E$4:$E$503),2),"")</f>
        <v/>
      </c>
      <c r="U419" t="str">
        <f>IF(S419=1,COUNTIFS($S$4:$S$503,1,$T$4:$T$503,"&gt;"&amp;T419)+COUNTIFS($S$4:S419,1,$T$4:T419,T419),"")</f>
        <v/>
      </c>
      <c r="V419" t="str">
        <f>IF(D419=1,MIN(INDEX($R$4:$R$503,MATCH(G419,$G$4:$G$503,0)),IF($AL$7&gt;9,9,999)),"")</f>
        <v/>
      </c>
      <c r="W419" s="166">
        <f>IF(OR($I419="",$E419=0),0,IF(OR($J419&lt;W$3,$I419&gt;W$2),0,IF($K419=0,IF(AND($I419&gt;=W$3,$I419&lt;=W$2),$E419,0),$E419*NETWORKDAYS(MAX($I419,W$3),MIN($J419,W$2),Data!$K$4:$K$203)/$K419)))</f>
        <v>0</v>
      </c>
      <c r="X419" s="166">
        <f>IF(OR($I419="",$E419=0),0,IF(OR($J419&lt;X$3,$I419&gt;X$2),0,IF($K419=0,IF(AND($I419&gt;=X$3,$I419&lt;=X$2),$E419,0),$E419*NETWORKDAYS(MAX($I419,X$3),MIN($J419,X$2),Data!$K$4:$K$203)/$K419)))</f>
        <v>0</v>
      </c>
      <c r="Y419" s="166">
        <f>IF(OR($I419="",$E419=0),0,IF(OR($J419&lt;Y$3,$I419&gt;Y$2),0,IF($K419=0,IF(AND($I419&gt;=Y$3,$I419&lt;=Y$2),$E419,0),$E419*NETWORKDAYS(MAX($I419,Y$3),MIN($J419,Y$2),Data!$K$4:$K$203)/$K419)))</f>
        <v>0</v>
      </c>
      <c r="Z419" s="166">
        <f>IF(OR($I419="",$E419=0),0,IF(OR($J419&lt;Z$3,$I419&gt;Z$2),0,IF($K419=0,IF(AND($I419&gt;=Z$3,$I419&lt;=Z$2),$E419,0),$E419*NETWORKDAYS(MAX($I419,Z$3),MIN($J419,Z$2),Data!$K$4:$K$203)/$K419)))</f>
        <v>0</v>
      </c>
      <c r="AA419" s="166">
        <f>IF(OR($I419="",$E419=0),0,IF(OR($J419&lt;AA$3,$I419&gt;AA$2),0,IF($K419=0,IF(AND($I419&gt;=AA$3,$I419&lt;=AA$2),$E419,0),$E419*NETWORKDAYS(MAX($I419,AA$3),MIN($J419,AA$2),Data!$K$4:$K$203)/$K419)))</f>
        <v>0</v>
      </c>
      <c r="AB419" s="166">
        <f>IF(OR($I419="",$E419=0),0,IF(OR($J419&lt;AB$3,$I419&gt;AB$2),0,IF($K419=0,IF(AND($I419&gt;=AB$3,$I419&lt;=AB$2),$E419,0),$E419*NETWORKDAYS(MAX($I419,AB$3),MIN($J419,AB$2),Data!$K$4:$K$203)/$K419)))</f>
        <v>0</v>
      </c>
      <c r="AC419" s="166">
        <f>IF(OR($I419="",$E419=0),0,IF(OR($J419&lt;AC$3,$I419&gt;AC$2),0,IF($K419=0,IF(AND($I419&gt;=AC$3,$I419&lt;=AC$2),$E419,0),$E419*NETWORKDAYS(MAX($I419,AC$3),MIN($J419,AC$2),Data!$K$4:$K$203)/$K419)))</f>
        <v>0</v>
      </c>
      <c r="AD419" s="166">
        <f>IF(OR($I419="",$E419=0),0,IF(OR($J419&lt;AD$3,$I419&gt;AD$2),0,IF($K419=0,IF(AND($I419&gt;=AD$3,$I419&lt;=AD$2),$E419,0),$E419*NETWORKDAYS(MAX($I419,AD$3),MIN($J419,AD$2),Data!$K$4:$K$203)/$K419)))</f>
        <v>0</v>
      </c>
      <c r="AE419" s="166">
        <f>IF(OR($I419="",$E419=0),0,IF(OR($J419&lt;AE$3,$I419&gt;AE$2),0,IF($K419=0,IF(AND($I419&gt;=AE$3,$I419&lt;=AE$2),$E419,0),$E419*NETWORKDAYS(MAX($I419,AE$3),MIN($J419,AE$2),Data!$K$4:$K$203)/$K419)))</f>
        <v>0</v>
      </c>
      <c r="AF419" s="166">
        <f>IF(OR($I419="",$E419=0),0,IF(OR($J419&lt;AF$3,$I419&gt;AF$2),0,IF($K419=0,IF(AND($I419&gt;=AF$3,$I419&lt;=AF$2),$E419,0),$E419*NETWORKDAYS(MAX($I419,AF$3),MIN($J419,AF$2),Data!$K$4:$K$203)/$K419)))</f>
        <v>0</v>
      </c>
      <c r="AG419" s="166">
        <f>IF(OR($I419="",$E419=0),0,IF(OR($J419&lt;AG$3,$I419&gt;AG$2),0,IF($K419=0,IF(AND($I419&gt;=AG$3,$I419&lt;=AG$2),$E419,0),$E419*NETWORKDAYS(MAX($I419,AG$3),MIN($J419,AG$2),Data!$K$4:$K$203)/$K419)))</f>
        <v>0</v>
      </c>
      <c r="AH419" s="166">
        <f>IF(OR($I419="",$E419=0),0,IF(OR($J419&lt;AH$3,$I419&gt;AH$2),0,IF($K419=0,IF(AND($I419&gt;=AH$3,$I419&lt;=AH$2),$E419,0),$E419*NETWORKDAYS(MAX($I419,AH$3),MIN($J419,AH$2),Data!$K$4:$K$203)/$K419)))</f>
        <v>0</v>
      </c>
      <c r="AI419" s="166">
        <f>SUM(W419:AH419)</f>
        <v>0</v>
      </c>
      <c r="BZ419" t="str">
        <f>IF(D419=1,IF(TRIM(INDEX(Charge!$K:$K,ROW()))&lt;&gt;"",TRIM(INDEX(Charge!$K:$K,ROW())),IF(TRIM(INDEX(Charge!$L:$L,ROW()))&lt;&gt;"",TRIM(INDEX(Charge!$L:$L,ROW())),"(non affecté)")),"")</f>
        <v/>
      </c>
      <c r="CA419" t="str">
        <f>IF(AND($CD$4&lt;&gt;"",BZ419=$CD$4),COUNTIFS($BZ$4:$BZ$503,$CD$4,$L$4:$L$503,"&lt;"&amp;L419)+1,"")</f>
        <v/>
      </c>
      <c r="EM419" t="str">
        <f>IF(D419=1,IF(TRIM(INDEX(Charge!$K:$K,ROW()))&lt;&gt;"","Interne",IF(TRIM(INDEX(Charge!$L:$L,ROW()))&lt;&gt;"","Externe","Non affecté")),"")</f>
        <v/>
      </c>
      <c r="EN419" t="str">
        <f>IF(D419=1,LEFT(SUBSTITUTE(SUBSTITUTE(SUBSTITUTE(TRIM(SUBSTITUTE(INDEX(Charge!$B:$B,ROW()),CHAR(160)," "))&amp;" | "&amp;TRIM(SUBSTITUTE(INDEX(Charge!$C:$C,ROW()),CHAR(160)," "))&amp;" | "&amp;TRIM(SUBSTITUTE(INDEX(Charge!$D:$D,ROW()),CHAR(160)," ")),"~","-"),"*","+"),"?","!"),240),"")</f>
        <v/>
      </c>
      <c r="EO419">
        <f>IF(EN419="",0,IF(COUNTIF($EN$4:EN419,EN419)=1,1,0))</f>
        <v>0</v>
      </c>
      <c r="EP419" s="166" t="str">
        <f>IF(EO419=1,ROUND(SUMIF($EN$4:$EN$503,EN419,$E$4:$E$503),2),"")</f>
        <v/>
      </c>
      <c r="EQ419" t="str">
        <f>IF(EO419=1,COUNTIFS($EO$4:$EO$503,1,$EP$4:$EP$503,"&gt;"&amp;EP419)+COUNTIFS($EO$4:EO419,1,$EP$4:EP419,EP419),"")</f>
        <v/>
      </c>
      <c r="ER419" t="str">
        <f>IF(EO419=1,COUNTIFS($EN$4:$EN$503,EN419,$EM$4:$EM$503,"Interne",$FE$4:$FE$503,1),"")</f>
        <v/>
      </c>
      <c r="ES419" t="str">
        <f>IF(EO419=1,COUNTIFS($EN$4:$EN$503,EN419,$EM$4:$EM$503,"Externe",$FE$4:$FE$503,1),"")</f>
        <v/>
      </c>
      <c r="ET419" t="str">
        <f>IF(EO419=1,IF(ER419+ES419=0,"à affecter",IF(ER419=0,ES419&amp;" ext.",(ER419+ES419)&amp;IF(ES419&gt;0," dont "&amp;ES419&amp;" ext.",""))&amp;IF(COUNTIFS($EN$4:$EN$503,EN419,$EM$4:$EM$503,"Non affecté")&gt;0," + à affecter","")),"")</f>
        <v/>
      </c>
      <c r="EU419" s="170" t="str">
        <f>IF(EO419=1,IF(EP419&gt;0,SUMPRODUCT(($EN$4:$EN$503=EN419)*$E$4:$E$503*$C$4:$C$503)/EP419,AVERAGEIF($EN$4:$EN$503,EN419,$C$4:$C$503)),"")</f>
        <v/>
      </c>
      <c r="EV419" s="165">
        <f>IF(ISNUMBER(I419),I419,2958465)</f>
        <v>2958465.0</v>
      </c>
      <c r="EW419" s="165" t="str">
        <f>IF(EO419=1,SUMPRODUCT(MIN(($EN$4:$EN$503=EN419)*$EV$4:$EV$503+($EN$4:$EN$503&lt;&gt;EN419)*2958465)),"")</f>
        <v/>
      </c>
      <c r="EX419" s="165">
        <f>IF(AND(D419=1,ISNUMBER(INDEX(Charge!$F:$F,ROW()))),INDEX(Charge!$F:$F,ROW()),0)</f>
        <v>0.0</v>
      </c>
      <c r="EY419" s="165" t="str">
        <f>IF(EO419=1,SUMPRODUCT(MAX(($EN$4:$EN$503=EN419)*$EX$4:$EX$503)),"")</f>
        <v/>
      </c>
      <c r="FD419">
        <f>IF(AND(B419=1,TRIM(INDEX(Charge!$K:$K,ROW()))&lt;&gt;"",TRIM(INDEX(Charge!$L:$L,ROW()))&lt;&gt;""),1,0)</f>
        <v>0</v>
      </c>
      <c r="FE419">
        <f>IF(OR(EN419="",BZ419="(non affecté)"),0,IF(COUNTIFS($EN$4:EN419,EN419,$BZ$4:BZ419,BZ419)=1,1,0))</f>
        <v>0</v>
      </c>
    </row>
    <row r="420">
      <c r="A420">
        <f>ROW()</f>
        <v>420</v>
      </c>
      <c r="B420">
        <f>IF(TRIM(INDEX(Charge!$B:$B,ROW()))&lt;&gt;"",1,0)</f>
        <v>0</v>
      </c>
      <c r="C420">
        <f>IF(B420=1,MIN(1,MAX(0,N(INDEX(Charge!$O:$O,ROW())))),0)</f>
        <v>0</v>
      </c>
      <c r="D420">
        <f>IF(B420=1,IF(OR(p_Perimetre="Tous les projets",C420&lt;1),1,0),0)</f>
        <v>0</v>
      </c>
      <c r="E420">
        <f>IF(D420=1,MAX(0,N(INDEX(Charge!$M:$M,ROW()))),0)</f>
        <v>0</v>
      </c>
      <c r="F420" t="str">
        <f>IF(D420=1,IF(TRIM(INDEX(Charge!$A:$A,ROW()))="","(non renseigné)",TRIM(INDEX(Charge!$A:$A,ROW()))),"")</f>
        <v/>
      </c>
      <c r="G420" t="str">
        <f>IF(D420=1,TRIM(INDEX(Charge!$B:$B,ROW())),"")</f>
        <v/>
      </c>
      <c r="H420" t="str">
        <f>IF(D420=1,IF(TRIM(INDEX(Charge!$E:$E,ROW()))="","(non renseigné)",TRIM(INDEX(Charge!$E:$E,ROW()))),"")</f>
        <v/>
      </c>
      <c r="I420" s="165" t="str">
        <f>IF(AND(D420=1,ISNUMBER(INDEX(Charge!$N:$N,ROW()))),INDEX(Charge!$N:$N,ROW()),"")</f>
        <v/>
      </c>
      <c r="J420" s="165" t="str">
        <f>IF(I420="","",IF(AND(p_Repartition="Lissée jusqu'à la date de besoin",ISNUMBER(INDEX(Charge!$F:$F,ROW()))),IF(INDEX(Charge!$F:$F,ROW())&gt;=I420,INDEX(Charge!$F:$F,ROW()),I420),I420))</f>
        <v/>
      </c>
      <c r="K420" t="str">
        <f>IF(I420="","",NETWORKDAYS(I420,J420,Data!$K$4:$K$203))</f>
        <v/>
      </c>
      <c r="L420" t="str">
        <f>IF(D420=1,COUNTIFS($D$4:$D$503,1,$E$4:$E$503,"&gt;"&amp;E420)+COUNTIFS($D$4:$D420,1,$E$4:$E420,E420),"")</f>
        <v/>
      </c>
      <c r="M420">
        <f>IF(F420="",0,IF(COUNTIF($F$4:F420,F420)=1,1,0))</f>
        <v>0</v>
      </c>
      <c r="N420" t="str">
        <f>IF(M420=1,ROUND(SUMIF($F$4:$F$503,F420,$E$4:$E$503),2),"")</f>
        <v/>
      </c>
      <c r="O420" t="str">
        <f>IF(M420=1,COUNTIFS($M$4:$M$503,1,$N$4:$N$503,"&gt;"&amp;N420)+COUNTIFS($M$4:M420,1,$N$4:N420,N420),"")</f>
        <v/>
      </c>
      <c r="P420">
        <f>IF(G420="",0,IF(COUNTIF($G$4:G420,G420)=1,1,0))</f>
        <v>0</v>
      </c>
      <c r="Q420" t="str">
        <f>IF(P420=1,ROUND(SUMIF($G$4:$G$503,G420,$E$4:$E$503),2),"")</f>
        <v/>
      </c>
      <c r="R420" t="str">
        <f>IF(P420=1,COUNTIFS($P$4:$P$503,1,$Q$4:$Q$503,"&gt;"&amp;Q420)+COUNTIFS($P$4:P420,1,$Q$4:Q420,Q420),"")</f>
        <v/>
      </c>
      <c r="S420">
        <f>IF(H420="",0,IF(COUNTIF($H$4:H420,H420)=1,1,0))</f>
        <v>0</v>
      </c>
      <c r="T420" t="str">
        <f>IF(S420=1,ROUND(SUMIF($H$4:$H$503,H420,$E$4:$E$503),2),"")</f>
        <v/>
      </c>
      <c r="U420" t="str">
        <f>IF(S420=1,COUNTIFS($S$4:$S$503,1,$T$4:$T$503,"&gt;"&amp;T420)+COUNTIFS($S$4:S420,1,$T$4:T420,T420),"")</f>
        <v/>
      </c>
      <c r="V420" t="str">
        <f>IF(D420=1,MIN(INDEX($R$4:$R$503,MATCH(G420,$G$4:$G$503,0)),IF($AL$7&gt;9,9,999)),"")</f>
        <v/>
      </c>
      <c r="W420" s="166">
        <f>IF(OR($I420="",$E420=0),0,IF(OR($J420&lt;W$3,$I420&gt;W$2),0,IF($K420=0,IF(AND($I420&gt;=W$3,$I420&lt;=W$2),$E420,0),$E420*NETWORKDAYS(MAX($I420,W$3),MIN($J420,W$2),Data!$K$4:$K$203)/$K420)))</f>
        <v>0</v>
      </c>
      <c r="X420" s="166">
        <f>IF(OR($I420="",$E420=0),0,IF(OR($J420&lt;X$3,$I420&gt;X$2),0,IF($K420=0,IF(AND($I420&gt;=X$3,$I420&lt;=X$2),$E420,0),$E420*NETWORKDAYS(MAX($I420,X$3),MIN($J420,X$2),Data!$K$4:$K$203)/$K420)))</f>
        <v>0</v>
      </c>
      <c r="Y420" s="166">
        <f>IF(OR($I420="",$E420=0),0,IF(OR($J420&lt;Y$3,$I420&gt;Y$2),0,IF($K420=0,IF(AND($I420&gt;=Y$3,$I420&lt;=Y$2),$E420,0),$E420*NETWORKDAYS(MAX($I420,Y$3),MIN($J420,Y$2),Data!$K$4:$K$203)/$K420)))</f>
        <v>0</v>
      </c>
      <c r="Z420" s="166">
        <f>IF(OR($I420="",$E420=0),0,IF(OR($J420&lt;Z$3,$I420&gt;Z$2),0,IF($K420=0,IF(AND($I420&gt;=Z$3,$I420&lt;=Z$2),$E420,0),$E420*NETWORKDAYS(MAX($I420,Z$3),MIN($J420,Z$2),Data!$K$4:$K$203)/$K420)))</f>
        <v>0</v>
      </c>
      <c r="AA420" s="166">
        <f>IF(OR($I420="",$E420=0),0,IF(OR($J420&lt;AA$3,$I420&gt;AA$2),0,IF($K420=0,IF(AND($I420&gt;=AA$3,$I420&lt;=AA$2),$E420,0),$E420*NETWORKDAYS(MAX($I420,AA$3),MIN($J420,AA$2),Data!$K$4:$K$203)/$K420)))</f>
        <v>0</v>
      </c>
      <c r="AB420" s="166">
        <f>IF(OR($I420="",$E420=0),0,IF(OR($J420&lt;AB$3,$I420&gt;AB$2),0,IF($K420=0,IF(AND($I420&gt;=AB$3,$I420&lt;=AB$2),$E420,0),$E420*NETWORKDAYS(MAX($I420,AB$3),MIN($J420,AB$2),Data!$K$4:$K$203)/$K420)))</f>
        <v>0</v>
      </c>
      <c r="AC420" s="166">
        <f>IF(OR($I420="",$E420=0),0,IF(OR($J420&lt;AC$3,$I420&gt;AC$2),0,IF($K420=0,IF(AND($I420&gt;=AC$3,$I420&lt;=AC$2),$E420,0),$E420*NETWORKDAYS(MAX($I420,AC$3),MIN($J420,AC$2),Data!$K$4:$K$203)/$K420)))</f>
        <v>0</v>
      </c>
      <c r="AD420" s="166">
        <f>IF(OR($I420="",$E420=0),0,IF(OR($J420&lt;AD$3,$I420&gt;AD$2),0,IF($K420=0,IF(AND($I420&gt;=AD$3,$I420&lt;=AD$2),$E420,0),$E420*NETWORKDAYS(MAX($I420,AD$3),MIN($J420,AD$2),Data!$K$4:$K$203)/$K420)))</f>
        <v>0</v>
      </c>
      <c r="AE420" s="166">
        <f>IF(OR($I420="",$E420=0),0,IF(OR($J420&lt;AE$3,$I420&gt;AE$2),0,IF($K420=0,IF(AND($I420&gt;=AE$3,$I420&lt;=AE$2),$E420,0),$E420*NETWORKDAYS(MAX($I420,AE$3),MIN($J420,AE$2),Data!$K$4:$K$203)/$K420)))</f>
        <v>0</v>
      </c>
      <c r="AF420" s="166">
        <f>IF(OR($I420="",$E420=0),0,IF(OR($J420&lt;AF$3,$I420&gt;AF$2),0,IF($K420=0,IF(AND($I420&gt;=AF$3,$I420&lt;=AF$2),$E420,0),$E420*NETWORKDAYS(MAX($I420,AF$3),MIN($J420,AF$2),Data!$K$4:$K$203)/$K420)))</f>
        <v>0</v>
      </c>
      <c r="AG420" s="166">
        <f>IF(OR($I420="",$E420=0),0,IF(OR($J420&lt;AG$3,$I420&gt;AG$2),0,IF($K420=0,IF(AND($I420&gt;=AG$3,$I420&lt;=AG$2),$E420,0),$E420*NETWORKDAYS(MAX($I420,AG$3),MIN($J420,AG$2),Data!$K$4:$K$203)/$K420)))</f>
        <v>0</v>
      </c>
      <c r="AH420" s="166">
        <f>IF(OR($I420="",$E420=0),0,IF(OR($J420&lt;AH$3,$I420&gt;AH$2),0,IF($K420=0,IF(AND($I420&gt;=AH$3,$I420&lt;=AH$2),$E420,0),$E420*NETWORKDAYS(MAX($I420,AH$3),MIN($J420,AH$2),Data!$K$4:$K$203)/$K420)))</f>
        <v>0</v>
      </c>
      <c r="AI420" s="166">
        <f>SUM(W420:AH420)</f>
        <v>0</v>
      </c>
      <c r="BZ420" t="str">
        <f>IF(D420=1,IF(TRIM(INDEX(Charge!$K:$K,ROW()))&lt;&gt;"",TRIM(INDEX(Charge!$K:$K,ROW())),IF(TRIM(INDEX(Charge!$L:$L,ROW()))&lt;&gt;"",TRIM(INDEX(Charge!$L:$L,ROW())),"(non affecté)")),"")</f>
        <v/>
      </c>
      <c r="CA420" t="str">
        <f>IF(AND($CD$4&lt;&gt;"",BZ420=$CD$4),COUNTIFS($BZ$4:$BZ$503,$CD$4,$L$4:$L$503,"&lt;"&amp;L420)+1,"")</f>
        <v/>
      </c>
      <c r="EM420" t="str">
        <f>IF(D420=1,IF(TRIM(INDEX(Charge!$K:$K,ROW()))&lt;&gt;"","Interne",IF(TRIM(INDEX(Charge!$L:$L,ROW()))&lt;&gt;"","Externe","Non affecté")),"")</f>
        <v/>
      </c>
      <c r="EN420" t="str">
        <f>IF(D420=1,LEFT(SUBSTITUTE(SUBSTITUTE(SUBSTITUTE(TRIM(SUBSTITUTE(INDEX(Charge!$B:$B,ROW()),CHAR(160)," "))&amp;" | "&amp;TRIM(SUBSTITUTE(INDEX(Charge!$C:$C,ROW()),CHAR(160)," "))&amp;" | "&amp;TRIM(SUBSTITUTE(INDEX(Charge!$D:$D,ROW()),CHAR(160)," ")),"~","-"),"*","+"),"?","!"),240),"")</f>
        <v/>
      </c>
      <c r="EO420">
        <f>IF(EN420="",0,IF(COUNTIF($EN$4:EN420,EN420)=1,1,0))</f>
        <v>0</v>
      </c>
      <c r="EP420" s="166" t="str">
        <f>IF(EO420=1,ROUND(SUMIF($EN$4:$EN$503,EN420,$E$4:$E$503),2),"")</f>
        <v/>
      </c>
      <c r="EQ420" t="str">
        <f>IF(EO420=1,COUNTIFS($EO$4:$EO$503,1,$EP$4:$EP$503,"&gt;"&amp;EP420)+COUNTIFS($EO$4:EO420,1,$EP$4:EP420,EP420),"")</f>
        <v/>
      </c>
      <c r="ER420" t="str">
        <f>IF(EO420=1,COUNTIFS($EN$4:$EN$503,EN420,$EM$4:$EM$503,"Interne",$FE$4:$FE$503,1),"")</f>
        <v/>
      </c>
      <c r="ES420" t="str">
        <f>IF(EO420=1,COUNTIFS($EN$4:$EN$503,EN420,$EM$4:$EM$503,"Externe",$FE$4:$FE$503,1),"")</f>
        <v/>
      </c>
      <c r="ET420" t="str">
        <f>IF(EO420=1,IF(ER420+ES420=0,"à affecter",IF(ER420=0,ES420&amp;" ext.",(ER420+ES420)&amp;IF(ES420&gt;0," dont "&amp;ES420&amp;" ext.",""))&amp;IF(COUNTIFS($EN$4:$EN$503,EN420,$EM$4:$EM$503,"Non affecté")&gt;0," + à affecter","")),"")</f>
        <v/>
      </c>
      <c r="EU420" s="170" t="str">
        <f>IF(EO420=1,IF(EP420&gt;0,SUMPRODUCT(($EN$4:$EN$503=EN420)*$E$4:$E$503*$C$4:$C$503)/EP420,AVERAGEIF($EN$4:$EN$503,EN420,$C$4:$C$503)),"")</f>
        <v/>
      </c>
      <c r="EV420" s="165">
        <f>IF(ISNUMBER(I420),I420,2958465)</f>
        <v>2958465.0</v>
      </c>
      <c r="EW420" s="165" t="str">
        <f>IF(EO420=1,SUMPRODUCT(MIN(($EN$4:$EN$503=EN420)*$EV$4:$EV$503+($EN$4:$EN$503&lt;&gt;EN420)*2958465)),"")</f>
        <v/>
      </c>
      <c r="EX420" s="165">
        <f>IF(AND(D420=1,ISNUMBER(INDEX(Charge!$F:$F,ROW()))),INDEX(Charge!$F:$F,ROW()),0)</f>
        <v>0.0</v>
      </c>
      <c r="EY420" s="165" t="str">
        <f>IF(EO420=1,SUMPRODUCT(MAX(($EN$4:$EN$503=EN420)*$EX$4:$EX$503)),"")</f>
        <v/>
      </c>
      <c r="FD420">
        <f>IF(AND(B420=1,TRIM(INDEX(Charge!$K:$K,ROW()))&lt;&gt;"",TRIM(INDEX(Charge!$L:$L,ROW()))&lt;&gt;""),1,0)</f>
        <v>0</v>
      </c>
      <c r="FE420">
        <f>IF(OR(EN420="",BZ420="(non affecté)"),0,IF(COUNTIFS($EN$4:EN420,EN420,$BZ$4:BZ420,BZ420)=1,1,0))</f>
        <v>0</v>
      </c>
    </row>
    <row r="421">
      <c r="A421">
        <f>ROW()</f>
        <v>421</v>
      </c>
      <c r="B421">
        <f>IF(TRIM(INDEX(Charge!$B:$B,ROW()))&lt;&gt;"",1,0)</f>
        <v>0</v>
      </c>
      <c r="C421">
        <f>IF(B421=1,MIN(1,MAX(0,N(INDEX(Charge!$O:$O,ROW())))),0)</f>
        <v>0</v>
      </c>
      <c r="D421">
        <f>IF(B421=1,IF(OR(p_Perimetre="Tous les projets",C421&lt;1),1,0),0)</f>
        <v>0</v>
      </c>
      <c r="E421">
        <f>IF(D421=1,MAX(0,N(INDEX(Charge!$M:$M,ROW()))),0)</f>
        <v>0</v>
      </c>
      <c r="F421" t="str">
        <f>IF(D421=1,IF(TRIM(INDEX(Charge!$A:$A,ROW()))="","(non renseigné)",TRIM(INDEX(Charge!$A:$A,ROW()))),"")</f>
        <v/>
      </c>
      <c r="G421" t="str">
        <f>IF(D421=1,TRIM(INDEX(Charge!$B:$B,ROW())),"")</f>
        <v/>
      </c>
      <c r="H421" t="str">
        <f>IF(D421=1,IF(TRIM(INDEX(Charge!$E:$E,ROW()))="","(non renseigné)",TRIM(INDEX(Charge!$E:$E,ROW()))),"")</f>
        <v/>
      </c>
      <c r="I421" s="165" t="str">
        <f>IF(AND(D421=1,ISNUMBER(INDEX(Charge!$N:$N,ROW()))),INDEX(Charge!$N:$N,ROW()),"")</f>
        <v/>
      </c>
      <c r="J421" s="165" t="str">
        <f>IF(I421="","",IF(AND(p_Repartition="Lissée jusqu'à la date de besoin",ISNUMBER(INDEX(Charge!$F:$F,ROW()))),IF(INDEX(Charge!$F:$F,ROW())&gt;=I421,INDEX(Charge!$F:$F,ROW()),I421),I421))</f>
        <v/>
      </c>
      <c r="K421" t="str">
        <f>IF(I421="","",NETWORKDAYS(I421,J421,Data!$K$4:$K$203))</f>
        <v/>
      </c>
      <c r="L421" t="str">
        <f>IF(D421=1,COUNTIFS($D$4:$D$503,1,$E$4:$E$503,"&gt;"&amp;E421)+COUNTIFS($D$4:$D421,1,$E$4:$E421,E421),"")</f>
        <v/>
      </c>
      <c r="M421">
        <f>IF(F421="",0,IF(COUNTIF($F$4:F421,F421)=1,1,0))</f>
        <v>0</v>
      </c>
      <c r="N421" t="str">
        <f>IF(M421=1,ROUND(SUMIF($F$4:$F$503,F421,$E$4:$E$503),2),"")</f>
        <v/>
      </c>
      <c r="O421" t="str">
        <f>IF(M421=1,COUNTIFS($M$4:$M$503,1,$N$4:$N$503,"&gt;"&amp;N421)+COUNTIFS($M$4:M421,1,$N$4:N421,N421),"")</f>
        <v/>
      </c>
      <c r="P421">
        <f>IF(G421="",0,IF(COUNTIF($G$4:G421,G421)=1,1,0))</f>
        <v>0</v>
      </c>
      <c r="Q421" t="str">
        <f>IF(P421=1,ROUND(SUMIF($G$4:$G$503,G421,$E$4:$E$503),2),"")</f>
        <v/>
      </c>
      <c r="R421" t="str">
        <f>IF(P421=1,COUNTIFS($P$4:$P$503,1,$Q$4:$Q$503,"&gt;"&amp;Q421)+COUNTIFS($P$4:P421,1,$Q$4:Q421,Q421),"")</f>
        <v/>
      </c>
      <c r="S421">
        <f>IF(H421="",0,IF(COUNTIF($H$4:H421,H421)=1,1,0))</f>
        <v>0</v>
      </c>
      <c r="T421" t="str">
        <f>IF(S421=1,ROUND(SUMIF($H$4:$H$503,H421,$E$4:$E$503),2),"")</f>
        <v/>
      </c>
      <c r="U421" t="str">
        <f>IF(S421=1,COUNTIFS($S$4:$S$503,1,$T$4:$T$503,"&gt;"&amp;T421)+COUNTIFS($S$4:S421,1,$T$4:T421,T421),"")</f>
        <v/>
      </c>
      <c r="V421" t="str">
        <f>IF(D421=1,MIN(INDEX($R$4:$R$503,MATCH(G421,$G$4:$G$503,0)),IF($AL$7&gt;9,9,999)),"")</f>
        <v/>
      </c>
      <c r="W421" s="166">
        <f>IF(OR($I421="",$E421=0),0,IF(OR($J421&lt;W$3,$I421&gt;W$2),0,IF($K421=0,IF(AND($I421&gt;=W$3,$I421&lt;=W$2),$E421,0),$E421*NETWORKDAYS(MAX($I421,W$3),MIN($J421,W$2),Data!$K$4:$K$203)/$K421)))</f>
        <v>0</v>
      </c>
      <c r="X421" s="166">
        <f>IF(OR($I421="",$E421=0),0,IF(OR($J421&lt;X$3,$I421&gt;X$2),0,IF($K421=0,IF(AND($I421&gt;=X$3,$I421&lt;=X$2),$E421,0),$E421*NETWORKDAYS(MAX($I421,X$3),MIN($J421,X$2),Data!$K$4:$K$203)/$K421)))</f>
        <v>0</v>
      </c>
      <c r="Y421" s="166">
        <f>IF(OR($I421="",$E421=0),0,IF(OR($J421&lt;Y$3,$I421&gt;Y$2),0,IF($K421=0,IF(AND($I421&gt;=Y$3,$I421&lt;=Y$2),$E421,0),$E421*NETWORKDAYS(MAX($I421,Y$3),MIN($J421,Y$2),Data!$K$4:$K$203)/$K421)))</f>
        <v>0</v>
      </c>
      <c r="Z421" s="166">
        <f>IF(OR($I421="",$E421=0),0,IF(OR($J421&lt;Z$3,$I421&gt;Z$2),0,IF($K421=0,IF(AND($I421&gt;=Z$3,$I421&lt;=Z$2),$E421,0),$E421*NETWORKDAYS(MAX($I421,Z$3),MIN($J421,Z$2),Data!$K$4:$K$203)/$K421)))</f>
        <v>0</v>
      </c>
      <c r="AA421" s="166">
        <f>IF(OR($I421="",$E421=0),0,IF(OR($J421&lt;AA$3,$I421&gt;AA$2),0,IF($K421=0,IF(AND($I421&gt;=AA$3,$I421&lt;=AA$2),$E421,0),$E421*NETWORKDAYS(MAX($I421,AA$3),MIN($J421,AA$2),Data!$K$4:$K$203)/$K421)))</f>
        <v>0</v>
      </c>
      <c r="AB421" s="166">
        <f>IF(OR($I421="",$E421=0),0,IF(OR($J421&lt;AB$3,$I421&gt;AB$2),0,IF($K421=0,IF(AND($I421&gt;=AB$3,$I421&lt;=AB$2),$E421,0),$E421*NETWORKDAYS(MAX($I421,AB$3),MIN($J421,AB$2),Data!$K$4:$K$203)/$K421)))</f>
        <v>0</v>
      </c>
      <c r="AC421" s="166">
        <f>IF(OR($I421="",$E421=0),0,IF(OR($J421&lt;AC$3,$I421&gt;AC$2),0,IF($K421=0,IF(AND($I421&gt;=AC$3,$I421&lt;=AC$2),$E421,0),$E421*NETWORKDAYS(MAX($I421,AC$3),MIN($J421,AC$2),Data!$K$4:$K$203)/$K421)))</f>
        <v>0</v>
      </c>
      <c r="AD421" s="166">
        <f>IF(OR($I421="",$E421=0),0,IF(OR($J421&lt;AD$3,$I421&gt;AD$2),0,IF($K421=0,IF(AND($I421&gt;=AD$3,$I421&lt;=AD$2),$E421,0),$E421*NETWORKDAYS(MAX($I421,AD$3),MIN($J421,AD$2),Data!$K$4:$K$203)/$K421)))</f>
        <v>0</v>
      </c>
      <c r="AE421" s="166">
        <f>IF(OR($I421="",$E421=0),0,IF(OR($J421&lt;AE$3,$I421&gt;AE$2),0,IF($K421=0,IF(AND($I421&gt;=AE$3,$I421&lt;=AE$2),$E421,0),$E421*NETWORKDAYS(MAX($I421,AE$3),MIN($J421,AE$2),Data!$K$4:$K$203)/$K421)))</f>
        <v>0</v>
      </c>
      <c r="AF421" s="166">
        <f>IF(OR($I421="",$E421=0),0,IF(OR($J421&lt;AF$3,$I421&gt;AF$2),0,IF($K421=0,IF(AND($I421&gt;=AF$3,$I421&lt;=AF$2),$E421,0),$E421*NETWORKDAYS(MAX($I421,AF$3),MIN($J421,AF$2),Data!$K$4:$K$203)/$K421)))</f>
        <v>0</v>
      </c>
      <c r="AG421" s="166">
        <f>IF(OR($I421="",$E421=0),0,IF(OR($J421&lt;AG$3,$I421&gt;AG$2),0,IF($K421=0,IF(AND($I421&gt;=AG$3,$I421&lt;=AG$2),$E421,0),$E421*NETWORKDAYS(MAX($I421,AG$3),MIN($J421,AG$2),Data!$K$4:$K$203)/$K421)))</f>
        <v>0</v>
      </c>
      <c r="AH421" s="166">
        <f>IF(OR($I421="",$E421=0),0,IF(OR($J421&lt;AH$3,$I421&gt;AH$2),0,IF($K421=0,IF(AND($I421&gt;=AH$3,$I421&lt;=AH$2),$E421,0),$E421*NETWORKDAYS(MAX($I421,AH$3),MIN($J421,AH$2),Data!$K$4:$K$203)/$K421)))</f>
        <v>0</v>
      </c>
      <c r="AI421" s="166">
        <f>SUM(W421:AH421)</f>
        <v>0</v>
      </c>
      <c r="BZ421" t="str">
        <f>IF(D421=1,IF(TRIM(INDEX(Charge!$K:$K,ROW()))&lt;&gt;"",TRIM(INDEX(Charge!$K:$K,ROW())),IF(TRIM(INDEX(Charge!$L:$L,ROW()))&lt;&gt;"",TRIM(INDEX(Charge!$L:$L,ROW())),"(non affecté)")),"")</f>
        <v/>
      </c>
      <c r="CA421" t="str">
        <f>IF(AND($CD$4&lt;&gt;"",BZ421=$CD$4),COUNTIFS($BZ$4:$BZ$503,$CD$4,$L$4:$L$503,"&lt;"&amp;L421)+1,"")</f>
        <v/>
      </c>
      <c r="EM421" t="str">
        <f>IF(D421=1,IF(TRIM(INDEX(Charge!$K:$K,ROW()))&lt;&gt;"","Interne",IF(TRIM(INDEX(Charge!$L:$L,ROW()))&lt;&gt;"","Externe","Non affecté")),"")</f>
        <v/>
      </c>
      <c r="EN421" t="str">
        <f>IF(D421=1,LEFT(SUBSTITUTE(SUBSTITUTE(SUBSTITUTE(TRIM(SUBSTITUTE(INDEX(Charge!$B:$B,ROW()),CHAR(160)," "))&amp;" | "&amp;TRIM(SUBSTITUTE(INDEX(Charge!$C:$C,ROW()),CHAR(160)," "))&amp;" | "&amp;TRIM(SUBSTITUTE(INDEX(Charge!$D:$D,ROW()),CHAR(160)," ")),"~","-"),"*","+"),"?","!"),240),"")</f>
        <v/>
      </c>
      <c r="EO421">
        <f>IF(EN421="",0,IF(COUNTIF($EN$4:EN421,EN421)=1,1,0))</f>
        <v>0</v>
      </c>
      <c r="EP421" s="166" t="str">
        <f>IF(EO421=1,ROUND(SUMIF($EN$4:$EN$503,EN421,$E$4:$E$503),2),"")</f>
        <v/>
      </c>
      <c r="EQ421" t="str">
        <f>IF(EO421=1,COUNTIFS($EO$4:$EO$503,1,$EP$4:$EP$503,"&gt;"&amp;EP421)+COUNTIFS($EO$4:EO421,1,$EP$4:EP421,EP421),"")</f>
        <v/>
      </c>
      <c r="ER421" t="str">
        <f>IF(EO421=1,COUNTIFS($EN$4:$EN$503,EN421,$EM$4:$EM$503,"Interne",$FE$4:$FE$503,1),"")</f>
        <v/>
      </c>
      <c r="ES421" t="str">
        <f>IF(EO421=1,COUNTIFS($EN$4:$EN$503,EN421,$EM$4:$EM$503,"Externe",$FE$4:$FE$503,1),"")</f>
        <v/>
      </c>
      <c r="ET421" t="str">
        <f>IF(EO421=1,IF(ER421+ES421=0,"à affecter",IF(ER421=0,ES421&amp;" ext.",(ER421+ES421)&amp;IF(ES421&gt;0," dont "&amp;ES421&amp;" ext.",""))&amp;IF(COUNTIFS($EN$4:$EN$503,EN421,$EM$4:$EM$503,"Non affecté")&gt;0," + à affecter","")),"")</f>
        <v/>
      </c>
      <c r="EU421" s="170" t="str">
        <f>IF(EO421=1,IF(EP421&gt;0,SUMPRODUCT(($EN$4:$EN$503=EN421)*$E$4:$E$503*$C$4:$C$503)/EP421,AVERAGEIF($EN$4:$EN$503,EN421,$C$4:$C$503)),"")</f>
        <v/>
      </c>
      <c r="EV421" s="165">
        <f>IF(ISNUMBER(I421),I421,2958465)</f>
        <v>2958465.0</v>
      </c>
      <c r="EW421" s="165" t="str">
        <f>IF(EO421=1,SUMPRODUCT(MIN(($EN$4:$EN$503=EN421)*$EV$4:$EV$503+($EN$4:$EN$503&lt;&gt;EN421)*2958465)),"")</f>
        <v/>
      </c>
      <c r="EX421" s="165">
        <f>IF(AND(D421=1,ISNUMBER(INDEX(Charge!$F:$F,ROW()))),INDEX(Charge!$F:$F,ROW()),0)</f>
        <v>0.0</v>
      </c>
      <c r="EY421" s="165" t="str">
        <f>IF(EO421=1,SUMPRODUCT(MAX(($EN$4:$EN$503=EN421)*$EX$4:$EX$503)),"")</f>
        <v/>
      </c>
      <c r="FD421">
        <f>IF(AND(B421=1,TRIM(INDEX(Charge!$K:$K,ROW()))&lt;&gt;"",TRIM(INDEX(Charge!$L:$L,ROW()))&lt;&gt;""),1,0)</f>
        <v>0</v>
      </c>
      <c r="FE421">
        <f>IF(OR(EN421="",BZ421="(non affecté)"),0,IF(COUNTIFS($EN$4:EN421,EN421,$BZ$4:BZ421,BZ421)=1,1,0))</f>
        <v>0</v>
      </c>
    </row>
    <row r="422">
      <c r="A422">
        <f>ROW()</f>
        <v>422</v>
      </c>
      <c r="B422">
        <f>IF(TRIM(INDEX(Charge!$B:$B,ROW()))&lt;&gt;"",1,0)</f>
        <v>0</v>
      </c>
      <c r="C422">
        <f>IF(B422=1,MIN(1,MAX(0,N(INDEX(Charge!$O:$O,ROW())))),0)</f>
        <v>0</v>
      </c>
      <c r="D422">
        <f>IF(B422=1,IF(OR(p_Perimetre="Tous les projets",C422&lt;1),1,0),0)</f>
        <v>0</v>
      </c>
      <c r="E422">
        <f>IF(D422=1,MAX(0,N(INDEX(Charge!$M:$M,ROW()))),0)</f>
        <v>0</v>
      </c>
      <c r="F422" t="str">
        <f>IF(D422=1,IF(TRIM(INDEX(Charge!$A:$A,ROW()))="","(non renseigné)",TRIM(INDEX(Charge!$A:$A,ROW()))),"")</f>
        <v/>
      </c>
      <c r="G422" t="str">
        <f>IF(D422=1,TRIM(INDEX(Charge!$B:$B,ROW())),"")</f>
        <v/>
      </c>
      <c r="H422" t="str">
        <f>IF(D422=1,IF(TRIM(INDEX(Charge!$E:$E,ROW()))="","(non renseigné)",TRIM(INDEX(Charge!$E:$E,ROW()))),"")</f>
        <v/>
      </c>
      <c r="I422" s="165" t="str">
        <f>IF(AND(D422=1,ISNUMBER(INDEX(Charge!$N:$N,ROW()))),INDEX(Charge!$N:$N,ROW()),"")</f>
        <v/>
      </c>
      <c r="J422" s="165" t="str">
        <f>IF(I422="","",IF(AND(p_Repartition="Lissée jusqu'à la date de besoin",ISNUMBER(INDEX(Charge!$F:$F,ROW()))),IF(INDEX(Charge!$F:$F,ROW())&gt;=I422,INDEX(Charge!$F:$F,ROW()),I422),I422))</f>
        <v/>
      </c>
      <c r="K422" t="str">
        <f>IF(I422="","",NETWORKDAYS(I422,J422,Data!$K$4:$K$203))</f>
        <v/>
      </c>
      <c r="L422" t="str">
        <f>IF(D422=1,COUNTIFS($D$4:$D$503,1,$E$4:$E$503,"&gt;"&amp;E422)+COUNTIFS($D$4:$D422,1,$E$4:$E422,E422),"")</f>
        <v/>
      </c>
      <c r="M422">
        <f>IF(F422="",0,IF(COUNTIF($F$4:F422,F422)=1,1,0))</f>
        <v>0</v>
      </c>
      <c r="N422" t="str">
        <f>IF(M422=1,ROUND(SUMIF($F$4:$F$503,F422,$E$4:$E$503),2),"")</f>
        <v/>
      </c>
      <c r="O422" t="str">
        <f>IF(M422=1,COUNTIFS($M$4:$M$503,1,$N$4:$N$503,"&gt;"&amp;N422)+COUNTIFS($M$4:M422,1,$N$4:N422,N422),"")</f>
        <v/>
      </c>
      <c r="P422">
        <f>IF(G422="",0,IF(COUNTIF($G$4:G422,G422)=1,1,0))</f>
        <v>0</v>
      </c>
      <c r="Q422" t="str">
        <f>IF(P422=1,ROUND(SUMIF($G$4:$G$503,G422,$E$4:$E$503),2),"")</f>
        <v/>
      </c>
      <c r="R422" t="str">
        <f>IF(P422=1,COUNTIFS($P$4:$P$503,1,$Q$4:$Q$503,"&gt;"&amp;Q422)+COUNTIFS($P$4:P422,1,$Q$4:Q422,Q422),"")</f>
        <v/>
      </c>
      <c r="S422">
        <f>IF(H422="",0,IF(COUNTIF($H$4:H422,H422)=1,1,0))</f>
        <v>0</v>
      </c>
      <c r="T422" t="str">
        <f>IF(S422=1,ROUND(SUMIF($H$4:$H$503,H422,$E$4:$E$503),2),"")</f>
        <v/>
      </c>
      <c r="U422" t="str">
        <f>IF(S422=1,COUNTIFS($S$4:$S$503,1,$T$4:$T$503,"&gt;"&amp;T422)+COUNTIFS($S$4:S422,1,$T$4:T422,T422),"")</f>
        <v/>
      </c>
      <c r="V422" t="str">
        <f>IF(D422=1,MIN(INDEX($R$4:$R$503,MATCH(G422,$G$4:$G$503,0)),IF($AL$7&gt;9,9,999)),"")</f>
        <v/>
      </c>
      <c r="W422" s="166">
        <f>IF(OR($I422="",$E422=0),0,IF(OR($J422&lt;W$3,$I422&gt;W$2),0,IF($K422=0,IF(AND($I422&gt;=W$3,$I422&lt;=W$2),$E422,0),$E422*NETWORKDAYS(MAX($I422,W$3),MIN($J422,W$2),Data!$K$4:$K$203)/$K422)))</f>
        <v>0</v>
      </c>
      <c r="X422" s="166">
        <f>IF(OR($I422="",$E422=0),0,IF(OR($J422&lt;X$3,$I422&gt;X$2),0,IF($K422=0,IF(AND($I422&gt;=X$3,$I422&lt;=X$2),$E422,0),$E422*NETWORKDAYS(MAX($I422,X$3),MIN($J422,X$2),Data!$K$4:$K$203)/$K422)))</f>
        <v>0</v>
      </c>
      <c r="Y422" s="166">
        <f>IF(OR($I422="",$E422=0),0,IF(OR($J422&lt;Y$3,$I422&gt;Y$2),0,IF($K422=0,IF(AND($I422&gt;=Y$3,$I422&lt;=Y$2),$E422,0),$E422*NETWORKDAYS(MAX($I422,Y$3),MIN($J422,Y$2),Data!$K$4:$K$203)/$K422)))</f>
        <v>0</v>
      </c>
      <c r="Z422" s="166">
        <f>IF(OR($I422="",$E422=0),0,IF(OR($J422&lt;Z$3,$I422&gt;Z$2),0,IF($K422=0,IF(AND($I422&gt;=Z$3,$I422&lt;=Z$2),$E422,0),$E422*NETWORKDAYS(MAX($I422,Z$3),MIN($J422,Z$2),Data!$K$4:$K$203)/$K422)))</f>
        <v>0</v>
      </c>
      <c r="AA422" s="166">
        <f>IF(OR($I422="",$E422=0),0,IF(OR($J422&lt;AA$3,$I422&gt;AA$2),0,IF($K422=0,IF(AND($I422&gt;=AA$3,$I422&lt;=AA$2),$E422,0),$E422*NETWORKDAYS(MAX($I422,AA$3),MIN($J422,AA$2),Data!$K$4:$K$203)/$K422)))</f>
        <v>0</v>
      </c>
      <c r="AB422" s="166">
        <f>IF(OR($I422="",$E422=0),0,IF(OR($J422&lt;AB$3,$I422&gt;AB$2),0,IF($K422=0,IF(AND($I422&gt;=AB$3,$I422&lt;=AB$2),$E422,0),$E422*NETWORKDAYS(MAX($I422,AB$3),MIN($J422,AB$2),Data!$K$4:$K$203)/$K422)))</f>
        <v>0</v>
      </c>
      <c r="AC422" s="166">
        <f>IF(OR($I422="",$E422=0),0,IF(OR($J422&lt;AC$3,$I422&gt;AC$2),0,IF($K422=0,IF(AND($I422&gt;=AC$3,$I422&lt;=AC$2),$E422,0),$E422*NETWORKDAYS(MAX($I422,AC$3),MIN($J422,AC$2),Data!$K$4:$K$203)/$K422)))</f>
        <v>0</v>
      </c>
      <c r="AD422" s="166">
        <f>IF(OR($I422="",$E422=0),0,IF(OR($J422&lt;AD$3,$I422&gt;AD$2),0,IF($K422=0,IF(AND($I422&gt;=AD$3,$I422&lt;=AD$2),$E422,0),$E422*NETWORKDAYS(MAX($I422,AD$3),MIN($J422,AD$2),Data!$K$4:$K$203)/$K422)))</f>
        <v>0</v>
      </c>
      <c r="AE422" s="166">
        <f>IF(OR($I422="",$E422=0),0,IF(OR($J422&lt;AE$3,$I422&gt;AE$2),0,IF($K422=0,IF(AND($I422&gt;=AE$3,$I422&lt;=AE$2),$E422,0),$E422*NETWORKDAYS(MAX($I422,AE$3),MIN($J422,AE$2),Data!$K$4:$K$203)/$K422)))</f>
        <v>0</v>
      </c>
      <c r="AF422" s="166">
        <f>IF(OR($I422="",$E422=0),0,IF(OR($J422&lt;AF$3,$I422&gt;AF$2),0,IF($K422=0,IF(AND($I422&gt;=AF$3,$I422&lt;=AF$2),$E422,0),$E422*NETWORKDAYS(MAX($I422,AF$3),MIN($J422,AF$2),Data!$K$4:$K$203)/$K422)))</f>
        <v>0</v>
      </c>
      <c r="AG422" s="166">
        <f>IF(OR($I422="",$E422=0),0,IF(OR($J422&lt;AG$3,$I422&gt;AG$2),0,IF($K422=0,IF(AND($I422&gt;=AG$3,$I422&lt;=AG$2),$E422,0),$E422*NETWORKDAYS(MAX($I422,AG$3),MIN($J422,AG$2),Data!$K$4:$K$203)/$K422)))</f>
        <v>0</v>
      </c>
      <c r="AH422" s="166">
        <f>IF(OR($I422="",$E422=0),0,IF(OR($J422&lt;AH$3,$I422&gt;AH$2),0,IF($K422=0,IF(AND($I422&gt;=AH$3,$I422&lt;=AH$2),$E422,0),$E422*NETWORKDAYS(MAX($I422,AH$3),MIN($J422,AH$2),Data!$K$4:$K$203)/$K422)))</f>
        <v>0</v>
      </c>
      <c r="AI422" s="166">
        <f>SUM(W422:AH422)</f>
        <v>0</v>
      </c>
      <c r="BZ422" t="str">
        <f>IF(D422=1,IF(TRIM(INDEX(Charge!$K:$K,ROW()))&lt;&gt;"",TRIM(INDEX(Charge!$K:$K,ROW())),IF(TRIM(INDEX(Charge!$L:$L,ROW()))&lt;&gt;"",TRIM(INDEX(Charge!$L:$L,ROW())),"(non affecté)")),"")</f>
        <v/>
      </c>
      <c r="CA422" t="str">
        <f>IF(AND($CD$4&lt;&gt;"",BZ422=$CD$4),COUNTIFS($BZ$4:$BZ$503,$CD$4,$L$4:$L$503,"&lt;"&amp;L422)+1,"")</f>
        <v/>
      </c>
      <c r="EM422" t="str">
        <f>IF(D422=1,IF(TRIM(INDEX(Charge!$K:$K,ROW()))&lt;&gt;"","Interne",IF(TRIM(INDEX(Charge!$L:$L,ROW()))&lt;&gt;"","Externe","Non affecté")),"")</f>
        <v/>
      </c>
      <c r="EN422" t="str">
        <f>IF(D422=1,LEFT(SUBSTITUTE(SUBSTITUTE(SUBSTITUTE(TRIM(SUBSTITUTE(INDEX(Charge!$B:$B,ROW()),CHAR(160)," "))&amp;" | "&amp;TRIM(SUBSTITUTE(INDEX(Charge!$C:$C,ROW()),CHAR(160)," "))&amp;" | "&amp;TRIM(SUBSTITUTE(INDEX(Charge!$D:$D,ROW()),CHAR(160)," ")),"~","-"),"*","+"),"?","!"),240),"")</f>
        <v/>
      </c>
      <c r="EO422">
        <f>IF(EN422="",0,IF(COUNTIF($EN$4:EN422,EN422)=1,1,0))</f>
        <v>0</v>
      </c>
      <c r="EP422" s="166" t="str">
        <f>IF(EO422=1,ROUND(SUMIF($EN$4:$EN$503,EN422,$E$4:$E$503),2),"")</f>
        <v/>
      </c>
      <c r="EQ422" t="str">
        <f>IF(EO422=1,COUNTIFS($EO$4:$EO$503,1,$EP$4:$EP$503,"&gt;"&amp;EP422)+COUNTIFS($EO$4:EO422,1,$EP$4:EP422,EP422),"")</f>
        <v/>
      </c>
      <c r="ER422" t="str">
        <f>IF(EO422=1,COUNTIFS($EN$4:$EN$503,EN422,$EM$4:$EM$503,"Interne",$FE$4:$FE$503,1),"")</f>
        <v/>
      </c>
      <c r="ES422" t="str">
        <f>IF(EO422=1,COUNTIFS($EN$4:$EN$503,EN422,$EM$4:$EM$503,"Externe",$FE$4:$FE$503,1),"")</f>
        <v/>
      </c>
      <c r="ET422" t="str">
        <f>IF(EO422=1,IF(ER422+ES422=0,"à affecter",IF(ER422=0,ES422&amp;" ext.",(ER422+ES422)&amp;IF(ES422&gt;0," dont "&amp;ES422&amp;" ext.",""))&amp;IF(COUNTIFS($EN$4:$EN$503,EN422,$EM$4:$EM$503,"Non affecté")&gt;0," + à affecter","")),"")</f>
        <v/>
      </c>
      <c r="EU422" s="170" t="str">
        <f>IF(EO422=1,IF(EP422&gt;0,SUMPRODUCT(($EN$4:$EN$503=EN422)*$E$4:$E$503*$C$4:$C$503)/EP422,AVERAGEIF($EN$4:$EN$503,EN422,$C$4:$C$503)),"")</f>
        <v/>
      </c>
      <c r="EV422" s="165">
        <f>IF(ISNUMBER(I422),I422,2958465)</f>
        <v>2958465.0</v>
      </c>
      <c r="EW422" s="165" t="str">
        <f>IF(EO422=1,SUMPRODUCT(MIN(($EN$4:$EN$503=EN422)*$EV$4:$EV$503+($EN$4:$EN$503&lt;&gt;EN422)*2958465)),"")</f>
        <v/>
      </c>
      <c r="EX422" s="165">
        <f>IF(AND(D422=1,ISNUMBER(INDEX(Charge!$F:$F,ROW()))),INDEX(Charge!$F:$F,ROW()),0)</f>
        <v>0.0</v>
      </c>
      <c r="EY422" s="165" t="str">
        <f>IF(EO422=1,SUMPRODUCT(MAX(($EN$4:$EN$503=EN422)*$EX$4:$EX$503)),"")</f>
        <v/>
      </c>
      <c r="FD422">
        <f>IF(AND(B422=1,TRIM(INDEX(Charge!$K:$K,ROW()))&lt;&gt;"",TRIM(INDEX(Charge!$L:$L,ROW()))&lt;&gt;""),1,0)</f>
        <v>0</v>
      </c>
      <c r="FE422">
        <f>IF(OR(EN422="",BZ422="(non affecté)"),0,IF(COUNTIFS($EN$4:EN422,EN422,$BZ$4:BZ422,BZ422)=1,1,0))</f>
        <v>0</v>
      </c>
    </row>
    <row r="423">
      <c r="A423">
        <f>ROW()</f>
        <v>423</v>
      </c>
      <c r="B423">
        <f>IF(TRIM(INDEX(Charge!$B:$B,ROW()))&lt;&gt;"",1,0)</f>
        <v>0</v>
      </c>
      <c r="C423">
        <f>IF(B423=1,MIN(1,MAX(0,N(INDEX(Charge!$O:$O,ROW())))),0)</f>
        <v>0</v>
      </c>
      <c r="D423">
        <f>IF(B423=1,IF(OR(p_Perimetre="Tous les projets",C423&lt;1),1,0),0)</f>
        <v>0</v>
      </c>
      <c r="E423">
        <f>IF(D423=1,MAX(0,N(INDEX(Charge!$M:$M,ROW()))),0)</f>
        <v>0</v>
      </c>
      <c r="F423" t="str">
        <f>IF(D423=1,IF(TRIM(INDEX(Charge!$A:$A,ROW()))="","(non renseigné)",TRIM(INDEX(Charge!$A:$A,ROW()))),"")</f>
        <v/>
      </c>
      <c r="G423" t="str">
        <f>IF(D423=1,TRIM(INDEX(Charge!$B:$B,ROW())),"")</f>
        <v/>
      </c>
      <c r="H423" t="str">
        <f>IF(D423=1,IF(TRIM(INDEX(Charge!$E:$E,ROW()))="","(non renseigné)",TRIM(INDEX(Charge!$E:$E,ROW()))),"")</f>
        <v/>
      </c>
      <c r="I423" s="165" t="str">
        <f>IF(AND(D423=1,ISNUMBER(INDEX(Charge!$N:$N,ROW()))),INDEX(Charge!$N:$N,ROW()),"")</f>
        <v/>
      </c>
      <c r="J423" s="165" t="str">
        <f>IF(I423="","",IF(AND(p_Repartition="Lissée jusqu'à la date de besoin",ISNUMBER(INDEX(Charge!$F:$F,ROW()))),IF(INDEX(Charge!$F:$F,ROW())&gt;=I423,INDEX(Charge!$F:$F,ROW()),I423),I423))</f>
        <v/>
      </c>
      <c r="K423" t="str">
        <f>IF(I423="","",NETWORKDAYS(I423,J423,Data!$K$4:$K$203))</f>
        <v/>
      </c>
      <c r="L423" t="str">
        <f>IF(D423=1,COUNTIFS($D$4:$D$503,1,$E$4:$E$503,"&gt;"&amp;E423)+COUNTIFS($D$4:$D423,1,$E$4:$E423,E423),"")</f>
        <v/>
      </c>
      <c r="M423">
        <f>IF(F423="",0,IF(COUNTIF($F$4:F423,F423)=1,1,0))</f>
        <v>0</v>
      </c>
      <c r="N423" t="str">
        <f>IF(M423=1,ROUND(SUMIF($F$4:$F$503,F423,$E$4:$E$503),2),"")</f>
        <v/>
      </c>
      <c r="O423" t="str">
        <f>IF(M423=1,COUNTIFS($M$4:$M$503,1,$N$4:$N$503,"&gt;"&amp;N423)+COUNTIFS($M$4:M423,1,$N$4:N423,N423),"")</f>
        <v/>
      </c>
      <c r="P423">
        <f>IF(G423="",0,IF(COUNTIF($G$4:G423,G423)=1,1,0))</f>
        <v>0</v>
      </c>
      <c r="Q423" t="str">
        <f>IF(P423=1,ROUND(SUMIF($G$4:$G$503,G423,$E$4:$E$503),2),"")</f>
        <v/>
      </c>
      <c r="R423" t="str">
        <f>IF(P423=1,COUNTIFS($P$4:$P$503,1,$Q$4:$Q$503,"&gt;"&amp;Q423)+COUNTIFS($P$4:P423,1,$Q$4:Q423,Q423),"")</f>
        <v/>
      </c>
      <c r="S423">
        <f>IF(H423="",0,IF(COUNTIF($H$4:H423,H423)=1,1,0))</f>
        <v>0</v>
      </c>
      <c r="T423" t="str">
        <f>IF(S423=1,ROUND(SUMIF($H$4:$H$503,H423,$E$4:$E$503),2),"")</f>
        <v/>
      </c>
      <c r="U423" t="str">
        <f>IF(S423=1,COUNTIFS($S$4:$S$503,1,$T$4:$T$503,"&gt;"&amp;T423)+COUNTIFS($S$4:S423,1,$T$4:T423,T423),"")</f>
        <v/>
      </c>
      <c r="V423" t="str">
        <f>IF(D423=1,MIN(INDEX($R$4:$R$503,MATCH(G423,$G$4:$G$503,0)),IF($AL$7&gt;9,9,999)),"")</f>
        <v/>
      </c>
      <c r="W423" s="166">
        <f>IF(OR($I423="",$E423=0),0,IF(OR($J423&lt;W$3,$I423&gt;W$2),0,IF($K423=0,IF(AND($I423&gt;=W$3,$I423&lt;=W$2),$E423,0),$E423*NETWORKDAYS(MAX($I423,W$3),MIN($J423,W$2),Data!$K$4:$K$203)/$K423)))</f>
        <v>0</v>
      </c>
      <c r="X423" s="166">
        <f>IF(OR($I423="",$E423=0),0,IF(OR($J423&lt;X$3,$I423&gt;X$2),0,IF($K423=0,IF(AND($I423&gt;=X$3,$I423&lt;=X$2),$E423,0),$E423*NETWORKDAYS(MAX($I423,X$3),MIN($J423,X$2),Data!$K$4:$K$203)/$K423)))</f>
        <v>0</v>
      </c>
      <c r="Y423" s="166">
        <f>IF(OR($I423="",$E423=0),0,IF(OR($J423&lt;Y$3,$I423&gt;Y$2),0,IF($K423=0,IF(AND($I423&gt;=Y$3,$I423&lt;=Y$2),$E423,0),$E423*NETWORKDAYS(MAX($I423,Y$3),MIN($J423,Y$2),Data!$K$4:$K$203)/$K423)))</f>
        <v>0</v>
      </c>
      <c r="Z423" s="166">
        <f>IF(OR($I423="",$E423=0),0,IF(OR($J423&lt;Z$3,$I423&gt;Z$2),0,IF($K423=0,IF(AND($I423&gt;=Z$3,$I423&lt;=Z$2),$E423,0),$E423*NETWORKDAYS(MAX($I423,Z$3),MIN($J423,Z$2),Data!$K$4:$K$203)/$K423)))</f>
        <v>0</v>
      </c>
      <c r="AA423" s="166">
        <f>IF(OR($I423="",$E423=0),0,IF(OR($J423&lt;AA$3,$I423&gt;AA$2),0,IF($K423=0,IF(AND($I423&gt;=AA$3,$I423&lt;=AA$2),$E423,0),$E423*NETWORKDAYS(MAX($I423,AA$3),MIN($J423,AA$2),Data!$K$4:$K$203)/$K423)))</f>
        <v>0</v>
      </c>
      <c r="AB423" s="166">
        <f>IF(OR($I423="",$E423=0),0,IF(OR($J423&lt;AB$3,$I423&gt;AB$2),0,IF($K423=0,IF(AND($I423&gt;=AB$3,$I423&lt;=AB$2),$E423,0),$E423*NETWORKDAYS(MAX($I423,AB$3),MIN($J423,AB$2),Data!$K$4:$K$203)/$K423)))</f>
        <v>0</v>
      </c>
      <c r="AC423" s="166">
        <f>IF(OR($I423="",$E423=0),0,IF(OR($J423&lt;AC$3,$I423&gt;AC$2),0,IF($K423=0,IF(AND($I423&gt;=AC$3,$I423&lt;=AC$2),$E423,0),$E423*NETWORKDAYS(MAX($I423,AC$3),MIN($J423,AC$2),Data!$K$4:$K$203)/$K423)))</f>
        <v>0</v>
      </c>
      <c r="AD423" s="166">
        <f>IF(OR($I423="",$E423=0),0,IF(OR($J423&lt;AD$3,$I423&gt;AD$2),0,IF($K423=0,IF(AND($I423&gt;=AD$3,$I423&lt;=AD$2),$E423,0),$E423*NETWORKDAYS(MAX($I423,AD$3),MIN($J423,AD$2),Data!$K$4:$K$203)/$K423)))</f>
        <v>0</v>
      </c>
      <c r="AE423" s="166">
        <f>IF(OR($I423="",$E423=0),0,IF(OR($J423&lt;AE$3,$I423&gt;AE$2),0,IF($K423=0,IF(AND($I423&gt;=AE$3,$I423&lt;=AE$2),$E423,0),$E423*NETWORKDAYS(MAX($I423,AE$3),MIN($J423,AE$2),Data!$K$4:$K$203)/$K423)))</f>
        <v>0</v>
      </c>
      <c r="AF423" s="166">
        <f>IF(OR($I423="",$E423=0),0,IF(OR($J423&lt;AF$3,$I423&gt;AF$2),0,IF($K423=0,IF(AND($I423&gt;=AF$3,$I423&lt;=AF$2),$E423,0),$E423*NETWORKDAYS(MAX($I423,AF$3),MIN($J423,AF$2),Data!$K$4:$K$203)/$K423)))</f>
        <v>0</v>
      </c>
      <c r="AG423" s="166">
        <f>IF(OR($I423="",$E423=0),0,IF(OR($J423&lt;AG$3,$I423&gt;AG$2),0,IF($K423=0,IF(AND($I423&gt;=AG$3,$I423&lt;=AG$2),$E423,0),$E423*NETWORKDAYS(MAX($I423,AG$3),MIN($J423,AG$2),Data!$K$4:$K$203)/$K423)))</f>
        <v>0</v>
      </c>
      <c r="AH423" s="166">
        <f>IF(OR($I423="",$E423=0),0,IF(OR($J423&lt;AH$3,$I423&gt;AH$2),0,IF($K423=0,IF(AND($I423&gt;=AH$3,$I423&lt;=AH$2),$E423,0),$E423*NETWORKDAYS(MAX($I423,AH$3),MIN($J423,AH$2),Data!$K$4:$K$203)/$K423)))</f>
        <v>0</v>
      </c>
      <c r="AI423" s="166">
        <f>SUM(W423:AH423)</f>
        <v>0</v>
      </c>
      <c r="BZ423" t="str">
        <f>IF(D423=1,IF(TRIM(INDEX(Charge!$K:$K,ROW()))&lt;&gt;"",TRIM(INDEX(Charge!$K:$K,ROW())),IF(TRIM(INDEX(Charge!$L:$L,ROW()))&lt;&gt;"",TRIM(INDEX(Charge!$L:$L,ROW())),"(non affecté)")),"")</f>
        <v/>
      </c>
      <c r="CA423" t="str">
        <f>IF(AND($CD$4&lt;&gt;"",BZ423=$CD$4),COUNTIFS($BZ$4:$BZ$503,$CD$4,$L$4:$L$503,"&lt;"&amp;L423)+1,"")</f>
        <v/>
      </c>
      <c r="EM423" t="str">
        <f>IF(D423=1,IF(TRIM(INDEX(Charge!$K:$K,ROW()))&lt;&gt;"","Interne",IF(TRIM(INDEX(Charge!$L:$L,ROW()))&lt;&gt;"","Externe","Non affecté")),"")</f>
        <v/>
      </c>
      <c r="EN423" t="str">
        <f>IF(D423=1,LEFT(SUBSTITUTE(SUBSTITUTE(SUBSTITUTE(TRIM(SUBSTITUTE(INDEX(Charge!$B:$B,ROW()),CHAR(160)," "))&amp;" | "&amp;TRIM(SUBSTITUTE(INDEX(Charge!$C:$C,ROW()),CHAR(160)," "))&amp;" | "&amp;TRIM(SUBSTITUTE(INDEX(Charge!$D:$D,ROW()),CHAR(160)," ")),"~","-"),"*","+"),"?","!"),240),"")</f>
        <v/>
      </c>
      <c r="EO423">
        <f>IF(EN423="",0,IF(COUNTIF($EN$4:EN423,EN423)=1,1,0))</f>
        <v>0</v>
      </c>
      <c r="EP423" s="166" t="str">
        <f>IF(EO423=1,ROUND(SUMIF($EN$4:$EN$503,EN423,$E$4:$E$503),2),"")</f>
        <v/>
      </c>
      <c r="EQ423" t="str">
        <f>IF(EO423=1,COUNTIFS($EO$4:$EO$503,1,$EP$4:$EP$503,"&gt;"&amp;EP423)+COUNTIFS($EO$4:EO423,1,$EP$4:EP423,EP423),"")</f>
        <v/>
      </c>
      <c r="ER423" t="str">
        <f>IF(EO423=1,COUNTIFS($EN$4:$EN$503,EN423,$EM$4:$EM$503,"Interne",$FE$4:$FE$503,1),"")</f>
        <v/>
      </c>
      <c r="ES423" t="str">
        <f>IF(EO423=1,COUNTIFS($EN$4:$EN$503,EN423,$EM$4:$EM$503,"Externe",$FE$4:$FE$503,1),"")</f>
        <v/>
      </c>
      <c r="ET423" t="str">
        <f>IF(EO423=1,IF(ER423+ES423=0,"à affecter",IF(ER423=0,ES423&amp;" ext.",(ER423+ES423)&amp;IF(ES423&gt;0," dont "&amp;ES423&amp;" ext.",""))&amp;IF(COUNTIFS($EN$4:$EN$503,EN423,$EM$4:$EM$503,"Non affecté")&gt;0," + à affecter","")),"")</f>
        <v/>
      </c>
      <c r="EU423" s="170" t="str">
        <f>IF(EO423=1,IF(EP423&gt;0,SUMPRODUCT(($EN$4:$EN$503=EN423)*$E$4:$E$503*$C$4:$C$503)/EP423,AVERAGEIF($EN$4:$EN$503,EN423,$C$4:$C$503)),"")</f>
        <v/>
      </c>
      <c r="EV423" s="165">
        <f>IF(ISNUMBER(I423),I423,2958465)</f>
        <v>2958465.0</v>
      </c>
      <c r="EW423" s="165" t="str">
        <f>IF(EO423=1,SUMPRODUCT(MIN(($EN$4:$EN$503=EN423)*$EV$4:$EV$503+($EN$4:$EN$503&lt;&gt;EN423)*2958465)),"")</f>
        <v/>
      </c>
      <c r="EX423" s="165">
        <f>IF(AND(D423=1,ISNUMBER(INDEX(Charge!$F:$F,ROW()))),INDEX(Charge!$F:$F,ROW()),0)</f>
        <v>0.0</v>
      </c>
      <c r="EY423" s="165" t="str">
        <f>IF(EO423=1,SUMPRODUCT(MAX(($EN$4:$EN$503=EN423)*$EX$4:$EX$503)),"")</f>
        <v/>
      </c>
      <c r="FD423">
        <f>IF(AND(B423=1,TRIM(INDEX(Charge!$K:$K,ROW()))&lt;&gt;"",TRIM(INDEX(Charge!$L:$L,ROW()))&lt;&gt;""),1,0)</f>
        <v>0</v>
      </c>
      <c r="FE423">
        <f>IF(OR(EN423="",BZ423="(non affecté)"),0,IF(COUNTIFS($EN$4:EN423,EN423,$BZ$4:BZ423,BZ423)=1,1,0))</f>
        <v>0</v>
      </c>
    </row>
    <row r="424">
      <c r="A424">
        <f>ROW()</f>
        <v>424</v>
      </c>
      <c r="B424">
        <f>IF(TRIM(INDEX(Charge!$B:$B,ROW()))&lt;&gt;"",1,0)</f>
        <v>0</v>
      </c>
      <c r="C424">
        <f>IF(B424=1,MIN(1,MAX(0,N(INDEX(Charge!$O:$O,ROW())))),0)</f>
        <v>0</v>
      </c>
      <c r="D424">
        <f>IF(B424=1,IF(OR(p_Perimetre="Tous les projets",C424&lt;1),1,0),0)</f>
        <v>0</v>
      </c>
      <c r="E424">
        <f>IF(D424=1,MAX(0,N(INDEX(Charge!$M:$M,ROW()))),0)</f>
        <v>0</v>
      </c>
      <c r="F424" t="str">
        <f>IF(D424=1,IF(TRIM(INDEX(Charge!$A:$A,ROW()))="","(non renseigné)",TRIM(INDEX(Charge!$A:$A,ROW()))),"")</f>
        <v/>
      </c>
      <c r="G424" t="str">
        <f>IF(D424=1,TRIM(INDEX(Charge!$B:$B,ROW())),"")</f>
        <v/>
      </c>
      <c r="H424" t="str">
        <f>IF(D424=1,IF(TRIM(INDEX(Charge!$E:$E,ROW()))="","(non renseigné)",TRIM(INDEX(Charge!$E:$E,ROW()))),"")</f>
        <v/>
      </c>
      <c r="I424" s="165" t="str">
        <f>IF(AND(D424=1,ISNUMBER(INDEX(Charge!$N:$N,ROW()))),INDEX(Charge!$N:$N,ROW()),"")</f>
        <v/>
      </c>
      <c r="J424" s="165" t="str">
        <f>IF(I424="","",IF(AND(p_Repartition="Lissée jusqu'à la date de besoin",ISNUMBER(INDEX(Charge!$F:$F,ROW()))),IF(INDEX(Charge!$F:$F,ROW())&gt;=I424,INDEX(Charge!$F:$F,ROW()),I424),I424))</f>
        <v/>
      </c>
      <c r="K424" t="str">
        <f>IF(I424="","",NETWORKDAYS(I424,J424,Data!$K$4:$K$203))</f>
        <v/>
      </c>
      <c r="L424" t="str">
        <f>IF(D424=1,COUNTIFS($D$4:$D$503,1,$E$4:$E$503,"&gt;"&amp;E424)+COUNTIFS($D$4:$D424,1,$E$4:$E424,E424),"")</f>
        <v/>
      </c>
      <c r="M424">
        <f>IF(F424="",0,IF(COUNTIF($F$4:F424,F424)=1,1,0))</f>
        <v>0</v>
      </c>
      <c r="N424" t="str">
        <f>IF(M424=1,ROUND(SUMIF($F$4:$F$503,F424,$E$4:$E$503),2),"")</f>
        <v/>
      </c>
      <c r="O424" t="str">
        <f>IF(M424=1,COUNTIFS($M$4:$M$503,1,$N$4:$N$503,"&gt;"&amp;N424)+COUNTIFS($M$4:M424,1,$N$4:N424,N424),"")</f>
        <v/>
      </c>
      <c r="P424">
        <f>IF(G424="",0,IF(COUNTIF($G$4:G424,G424)=1,1,0))</f>
        <v>0</v>
      </c>
      <c r="Q424" t="str">
        <f>IF(P424=1,ROUND(SUMIF($G$4:$G$503,G424,$E$4:$E$503),2),"")</f>
        <v/>
      </c>
      <c r="R424" t="str">
        <f>IF(P424=1,COUNTIFS($P$4:$P$503,1,$Q$4:$Q$503,"&gt;"&amp;Q424)+COUNTIFS($P$4:P424,1,$Q$4:Q424,Q424),"")</f>
        <v/>
      </c>
      <c r="S424">
        <f>IF(H424="",0,IF(COUNTIF($H$4:H424,H424)=1,1,0))</f>
        <v>0</v>
      </c>
      <c r="T424" t="str">
        <f>IF(S424=1,ROUND(SUMIF($H$4:$H$503,H424,$E$4:$E$503),2),"")</f>
        <v/>
      </c>
      <c r="U424" t="str">
        <f>IF(S424=1,COUNTIFS($S$4:$S$503,1,$T$4:$T$503,"&gt;"&amp;T424)+COUNTIFS($S$4:S424,1,$T$4:T424,T424),"")</f>
        <v/>
      </c>
      <c r="V424" t="str">
        <f>IF(D424=1,MIN(INDEX($R$4:$R$503,MATCH(G424,$G$4:$G$503,0)),IF($AL$7&gt;9,9,999)),"")</f>
        <v/>
      </c>
      <c r="W424" s="166">
        <f>IF(OR($I424="",$E424=0),0,IF(OR($J424&lt;W$3,$I424&gt;W$2),0,IF($K424=0,IF(AND($I424&gt;=W$3,$I424&lt;=W$2),$E424,0),$E424*NETWORKDAYS(MAX($I424,W$3),MIN($J424,W$2),Data!$K$4:$K$203)/$K424)))</f>
        <v>0</v>
      </c>
      <c r="X424" s="166">
        <f>IF(OR($I424="",$E424=0),0,IF(OR($J424&lt;X$3,$I424&gt;X$2),0,IF($K424=0,IF(AND($I424&gt;=X$3,$I424&lt;=X$2),$E424,0),$E424*NETWORKDAYS(MAX($I424,X$3),MIN($J424,X$2),Data!$K$4:$K$203)/$K424)))</f>
        <v>0</v>
      </c>
      <c r="Y424" s="166">
        <f>IF(OR($I424="",$E424=0),0,IF(OR($J424&lt;Y$3,$I424&gt;Y$2),0,IF($K424=0,IF(AND($I424&gt;=Y$3,$I424&lt;=Y$2),$E424,0),$E424*NETWORKDAYS(MAX($I424,Y$3),MIN($J424,Y$2),Data!$K$4:$K$203)/$K424)))</f>
        <v>0</v>
      </c>
      <c r="Z424" s="166">
        <f>IF(OR($I424="",$E424=0),0,IF(OR($J424&lt;Z$3,$I424&gt;Z$2),0,IF($K424=0,IF(AND($I424&gt;=Z$3,$I424&lt;=Z$2),$E424,0),$E424*NETWORKDAYS(MAX($I424,Z$3),MIN($J424,Z$2),Data!$K$4:$K$203)/$K424)))</f>
        <v>0</v>
      </c>
      <c r="AA424" s="166">
        <f>IF(OR($I424="",$E424=0),0,IF(OR($J424&lt;AA$3,$I424&gt;AA$2),0,IF($K424=0,IF(AND($I424&gt;=AA$3,$I424&lt;=AA$2),$E424,0),$E424*NETWORKDAYS(MAX($I424,AA$3),MIN($J424,AA$2),Data!$K$4:$K$203)/$K424)))</f>
        <v>0</v>
      </c>
      <c r="AB424" s="166">
        <f>IF(OR($I424="",$E424=0),0,IF(OR($J424&lt;AB$3,$I424&gt;AB$2),0,IF($K424=0,IF(AND($I424&gt;=AB$3,$I424&lt;=AB$2),$E424,0),$E424*NETWORKDAYS(MAX($I424,AB$3),MIN($J424,AB$2),Data!$K$4:$K$203)/$K424)))</f>
        <v>0</v>
      </c>
      <c r="AC424" s="166">
        <f>IF(OR($I424="",$E424=0),0,IF(OR($J424&lt;AC$3,$I424&gt;AC$2),0,IF($K424=0,IF(AND($I424&gt;=AC$3,$I424&lt;=AC$2),$E424,0),$E424*NETWORKDAYS(MAX($I424,AC$3),MIN($J424,AC$2),Data!$K$4:$K$203)/$K424)))</f>
        <v>0</v>
      </c>
      <c r="AD424" s="166">
        <f>IF(OR($I424="",$E424=0),0,IF(OR($J424&lt;AD$3,$I424&gt;AD$2),0,IF($K424=0,IF(AND($I424&gt;=AD$3,$I424&lt;=AD$2),$E424,0),$E424*NETWORKDAYS(MAX($I424,AD$3),MIN($J424,AD$2),Data!$K$4:$K$203)/$K424)))</f>
        <v>0</v>
      </c>
      <c r="AE424" s="166">
        <f>IF(OR($I424="",$E424=0),0,IF(OR($J424&lt;AE$3,$I424&gt;AE$2),0,IF($K424=0,IF(AND($I424&gt;=AE$3,$I424&lt;=AE$2),$E424,0),$E424*NETWORKDAYS(MAX($I424,AE$3),MIN($J424,AE$2),Data!$K$4:$K$203)/$K424)))</f>
        <v>0</v>
      </c>
      <c r="AF424" s="166">
        <f>IF(OR($I424="",$E424=0),0,IF(OR($J424&lt;AF$3,$I424&gt;AF$2),0,IF($K424=0,IF(AND($I424&gt;=AF$3,$I424&lt;=AF$2),$E424,0),$E424*NETWORKDAYS(MAX($I424,AF$3),MIN($J424,AF$2),Data!$K$4:$K$203)/$K424)))</f>
        <v>0</v>
      </c>
      <c r="AG424" s="166">
        <f>IF(OR($I424="",$E424=0),0,IF(OR($J424&lt;AG$3,$I424&gt;AG$2),0,IF($K424=0,IF(AND($I424&gt;=AG$3,$I424&lt;=AG$2),$E424,0),$E424*NETWORKDAYS(MAX($I424,AG$3),MIN($J424,AG$2),Data!$K$4:$K$203)/$K424)))</f>
        <v>0</v>
      </c>
      <c r="AH424" s="166">
        <f>IF(OR($I424="",$E424=0),0,IF(OR($J424&lt;AH$3,$I424&gt;AH$2),0,IF($K424=0,IF(AND($I424&gt;=AH$3,$I424&lt;=AH$2),$E424,0),$E424*NETWORKDAYS(MAX($I424,AH$3),MIN($J424,AH$2),Data!$K$4:$K$203)/$K424)))</f>
        <v>0</v>
      </c>
      <c r="AI424" s="166">
        <f>SUM(W424:AH424)</f>
        <v>0</v>
      </c>
      <c r="BZ424" t="str">
        <f>IF(D424=1,IF(TRIM(INDEX(Charge!$K:$K,ROW()))&lt;&gt;"",TRIM(INDEX(Charge!$K:$K,ROW())),IF(TRIM(INDEX(Charge!$L:$L,ROW()))&lt;&gt;"",TRIM(INDEX(Charge!$L:$L,ROW())),"(non affecté)")),"")</f>
        <v/>
      </c>
      <c r="CA424" t="str">
        <f>IF(AND($CD$4&lt;&gt;"",BZ424=$CD$4),COUNTIFS($BZ$4:$BZ$503,$CD$4,$L$4:$L$503,"&lt;"&amp;L424)+1,"")</f>
        <v/>
      </c>
      <c r="EM424" t="str">
        <f>IF(D424=1,IF(TRIM(INDEX(Charge!$K:$K,ROW()))&lt;&gt;"","Interne",IF(TRIM(INDEX(Charge!$L:$L,ROW()))&lt;&gt;"","Externe","Non affecté")),"")</f>
        <v/>
      </c>
      <c r="EN424" t="str">
        <f>IF(D424=1,LEFT(SUBSTITUTE(SUBSTITUTE(SUBSTITUTE(TRIM(SUBSTITUTE(INDEX(Charge!$B:$B,ROW()),CHAR(160)," "))&amp;" | "&amp;TRIM(SUBSTITUTE(INDEX(Charge!$C:$C,ROW()),CHAR(160)," "))&amp;" | "&amp;TRIM(SUBSTITUTE(INDEX(Charge!$D:$D,ROW()),CHAR(160)," ")),"~","-"),"*","+"),"?","!"),240),"")</f>
        <v/>
      </c>
      <c r="EO424">
        <f>IF(EN424="",0,IF(COUNTIF($EN$4:EN424,EN424)=1,1,0))</f>
        <v>0</v>
      </c>
      <c r="EP424" s="166" t="str">
        <f>IF(EO424=1,ROUND(SUMIF($EN$4:$EN$503,EN424,$E$4:$E$503),2),"")</f>
        <v/>
      </c>
      <c r="EQ424" t="str">
        <f>IF(EO424=1,COUNTIFS($EO$4:$EO$503,1,$EP$4:$EP$503,"&gt;"&amp;EP424)+COUNTIFS($EO$4:EO424,1,$EP$4:EP424,EP424),"")</f>
        <v/>
      </c>
      <c r="ER424" t="str">
        <f>IF(EO424=1,COUNTIFS($EN$4:$EN$503,EN424,$EM$4:$EM$503,"Interne",$FE$4:$FE$503,1),"")</f>
        <v/>
      </c>
      <c r="ES424" t="str">
        <f>IF(EO424=1,COUNTIFS($EN$4:$EN$503,EN424,$EM$4:$EM$503,"Externe",$FE$4:$FE$503,1),"")</f>
        <v/>
      </c>
      <c r="ET424" t="str">
        <f>IF(EO424=1,IF(ER424+ES424=0,"à affecter",IF(ER424=0,ES424&amp;" ext.",(ER424+ES424)&amp;IF(ES424&gt;0," dont "&amp;ES424&amp;" ext.",""))&amp;IF(COUNTIFS($EN$4:$EN$503,EN424,$EM$4:$EM$503,"Non affecté")&gt;0," + à affecter","")),"")</f>
        <v/>
      </c>
      <c r="EU424" s="170" t="str">
        <f>IF(EO424=1,IF(EP424&gt;0,SUMPRODUCT(($EN$4:$EN$503=EN424)*$E$4:$E$503*$C$4:$C$503)/EP424,AVERAGEIF($EN$4:$EN$503,EN424,$C$4:$C$503)),"")</f>
        <v/>
      </c>
      <c r="EV424" s="165">
        <f>IF(ISNUMBER(I424),I424,2958465)</f>
        <v>2958465.0</v>
      </c>
      <c r="EW424" s="165" t="str">
        <f>IF(EO424=1,SUMPRODUCT(MIN(($EN$4:$EN$503=EN424)*$EV$4:$EV$503+($EN$4:$EN$503&lt;&gt;EN424)*2958465)),"")</f>
        <v/>
      </c>
      <c r="EX424" s="165">
        <f>IF(AND(D424=1,ISNUMBER(INDEX(Charge!$F:$F,ROW()))),INDEX(Charge!$F:$F,ROW()),0)</f>
        <v>0.0</v>
      </c>
      <c r="EY424" s="165" t="str">
        <f>IF(EO424=1,SUMPRODUCT(MAX(($EN$4:$EN$503=EN424)*$EX$4:$EX$503)),"")</f>
        <v/>
      </c>
      <c r="FD424">
        <f>IF(AND(B424=1,TRIM(INDEX(Charge!$K:$K,ROW()))&lt;&gt;"",TRIM(INDEX(Charge!$L:$L,ROW()))&lt;&gt;""),1,0)</f>
        <v>0</v>
      </c>
      <c r="FE424">
        <f>IF(OR(EN424="",BZ424="(non affecté)"),0,IF(COUNTIFS($EN$4:EN424,EN424,$BZ$4:BZ424,BZ424)=1,1,0))</f>
        <v>0</v>
      </c>
    </row>
    <row r="425">
      <c r="A425">
        <f>ROW()</f>
        <v>425</v>
      </c>
      <c r="B425">
        <f>IF(TRIM(INDEX(Charge!$B:$B,ROW()))&lt;&gt;"",1,0)</f>
        <v>0</v>
      </c>
      <c r="C425">
        <f>IF(B425=1,MIN(1,MAX(0,N(INDEX(Charge!$O:$O,ROW())))),0)</f>
        <v>0</v>
      </c>
      <c r="D425">
        <f>IF(B425=1,IF(OR(p_Perimetre="Tous les projets",C425&lt;1),1,0),0)</f>
        <v>0</v>
      </c>
      <c r="E425">
        <f>IF(D425=1,MAX(0,N(INDEX(Charge!$M:$M,ROW()))),0)</f>
        <v>0</v>
      </c>
      <c r="F425" t="str">
        <f>IF(D425=1,IF(TRIM(INDEX(Charge!$A:$A,ROW()))="","(non renseigné)",TRIM(INDEX(Charge!$A:$A,ROW()))),"")</f>
        <v/>
      </c>
      <c r="G425" t="str">
        <f>IF(D425=1,TRIM(INDEX(Charge!$B:$B,ROW())),"")</f>
        <v/>
      </c>
      <c r="H425" t="str">
        <f>IF(D425=1,IF(TRIM(INDEX(Charge!$E:$E,ROW()))="","(non renseigné)",TRIM(INDEX(Charge!$E:$E,ROW()))),"")</f>
        <v/>
      </c>
      <c r="I425" s="165" t="str">
        <f>IF(AND(D425=1,ISNUMBER(INDEX(Charge!$N:$N,ROW()))),INDEX(Charge!$N:$N,ROW()),"")</f>
        <v/>
      </c>
      <c r="J425" s="165" t="str">
        <f>IF(I425="","",IF(AND(p_Repartition="Lissée jusqu'à la date de besoin",ISNUMBER(INDEX(Charge!$F:$F,ROW()))),IF(INDEX(Charge!$F:$F,ROW())&gt;=I425,INDEX(Charge!$F:$F,ROW()),I425),I425))</f>
        <v/>
      </c>
      <c r="K425" t="str">
        <f>IF(I425="","",NETWORKDAYS(I425,J425,Data!$K$4:$K$203))</f>
        <v/>
      </c>
      <c r="L425" t="str">
        <f>IF(D425=1,COUNTIFS($D$4:$D$503,1,$E$4:$E$503,"&gt;"&amp;E425)+COUNTIFS($D$4:$D425,1,$E$4:$E425,E425),"")</f>
        <v/>
      </c>
      <c r="M425">
        <f>IF(F425="",0,IF(COUNTIF($F$4:F425,F425)=1,1,0))</f>
        <v>0</v>
      </c>
      <c r="N425" t="str">
        <f>IF(M425=1,ROUND(SUMIF($F$4:$F$503,F425,$E$4:$E$503),2),"")</f>
        <v/>
      </c>
      <c r="O425" t="str">
        <f>IF(M425=1,COUNTIFS($M$4:$M$503,1,$N$4:$N$503,"&gt;"&amp;N425)+COUNTIFS($M$4:M425,1,$N$4:N425,N425),"")</f>
        <v/>
      </c>
      <c r="P425">
        <f>IF(G425="",0,IF(COUNTIF($G$4:G425,G425)=1,1,0))</f>
        <v>0</v>
      </c>
      <c r="Q425" t="str">
        <f>IF(P425=1,ROUND(SUMIF($G$4:$G$503,G425,$E$4:$E$503),2),"")</f>
        <v/>
      </c>
      <c r="R425" t="str">
        <f>IF(P425=1,COUNTIFS($P$4:$P$503,1,$Q$4:$Q$503,"&gt;"&amp;Q425)+COUNTIFS($P$4:P425,1,$Q$4:Q425,Q425),"")</f>
        <v/>
      </c>
      <c r="S425">
        <f>IF(H425="",0,IF(COUNTIF($H$4:H425,H425)=1,1,0))</f>
        <v>0</v>
      </c>
      <c r="T425" t="str">
        <f>IF(S425=1,ROUND(SUMIF($H$4:$H$503,H425,$E$4:$E$503),2),"")</f>
        <v/>
      </c>
      <c r="U425" t="str">
        <f>IF(S425=1,COUNTIFS($S$4:$S$503,1,$T$4:$T$503,"&gt;"&amp;T425)+COUNTIFS($S$4:S425,1,$T$4:T425,T425),"")</f>
        <v/>
      </c>
      <c r="V425" t="str">
        <f>IF(D425=1,MIN(INDEX($R$4:$R$503,MATCH(G425,$G$4:$G$503,0)),IF($AL$7&gt;9,9,999)),"")</f>
        <v/>
      </c>
      <c r="W425" s="166">
        <f>IF(OR($I425="",$E425=0),0,IF(OR($J425&lt;W$3,$I425&gt;W$2),0,IF($K425=0,IF(AND($I425&gt;=W$3,$I425&lt;=W$2),$E425,0),$E425*NETWORKDAYS(MAX($I425,W$3),MIN($J425,W$2),Data!$K$4:$K$203)/$K425)))</f>
        <v>0</v>
      </c>
      <c r="X425" s="166">
        <f>IF(OR($I425="",$E425=0),0,IF(OR($J425&lt;X$3,$I425&gt;X$2),0,IF($K425=0,IF(AND($I425&gt;=X$3,$I425&lt;=X$2),$E425,0),$E425*NETWORKDAYS(MAX($I425,X$3),MIN($J425,X$2),Data!$K$4:$K$203)/$K425)))</f>
        <v>0</v>
      </c>
      <c r="Y425" s="166">
        <f>IF(OR($I425="",$E425=0),0,IF(OR($J425&lt;Y$3,$I425&gt;Y$2),0,IF($K425=0,IF(AND($I425&gt;=Y$3,$I425&lt;=Y$2),$E425,0),$E425*NETWORKDAYS(MAX($I425,Y$3),MIN($J425,Y$2),Data!$K$4:$K$203)/$K425)))</f>
        <v>0</v>
      </c>
      <c r="Z425" s="166">
        <f>IF(OR($I425="",$E425=0),0,IF(OR($J425&lt;Z$3,$I425&gt;Z$2),0,IF($K425=0,IF(AND($I425&gt;=Z$3,$I425&lt;=Z$2),$E425,0),$E425*NETWORKDAYS(MAX($I425,Z$3),MIN($J425,Z$2),Data!$K$4:$K$203)/$K425)))</f>
        <v>0</v>
      </c>
      <c r="AA425" s="166">
        <f>IF(OR($I425="",$E425=0),0,IF(OR($J425&lt;AA$3,$I425&gt;AA$2),0,IF($K425=0,IF(AND($I425&gt;=AA$3,$I425&lt;=AA$2),$E425,0),$E425*NETWORKDAYS(MAX($I425,AA$3),MIN($J425,AA$2),Data!$K$4:$K$203)/$K425)))</f>
        <v>0</v>
      </c>
      <c r="AB425" s="166">
        <f>IF(OR($I425="",$E425=0),0,IF(OR($J425&lt;AB$3,$I425&gt;AB$2),0,IF($K425=0,IF(AND($I425&gt;=AB$3,$I425&lt;=AB$2),$E425,0),$E425*NETWORKDAYS(MAX($I425,AB$3),MIN($J425,AB$2),Data!$K$4:$K$203)/$K425)))</f>
        <v>0</v>
      </c>
      <c r="AC425" s="166">
        <f>IF(OR($I425="",$E425=0),0,IF(OR($J425&lt;AC$3,$I425&gt;AC$2),0,IF($K425=0,IF(AND($I425&gt;=AC$3,$I425&lt;=AC$2),$E425,0),$E425*NETWORKDAYS(MAX($I425,AC$3),MIN($J425,AC$2),Data!$K$4:$K$203)/$K425)))</f>
        <v>0</v>
      </c>
      <c r="AD425" s="166">
        <f>IF(OR($I425="",$E425=0),0,IF(OR($J425&lt;AD$3,$I425&gt;AD$2),0,IF($K425=0,IF(AND($I425&gt;=AD$3,$I425&lt;=AD$2),$E425,0),$E425*NETWORKDAYS(MAX($I425,AD$3),MIN($J425,AD$2),Data!$K$4:$K$203)/$K425)))</f>
        <v>0</v>
      </c>
      <c r="AE425" s="166">
        <f>IF(OR($I425="",$E425=0),0,IF(OR($J425&lt;AE$3,$I425&gt;AE$2),0,IF($K425=0,IF(AND($I425&gt;=AE$3,$I425&lt;=AE$2),$E425,0),$E425*NETWORKDAYS(MAX($I425,AE$3),MIN($J425,AE$2),Data!$K$4:$K$203)/$K425)))</f>
        <v>0</v>
      </c>
      <c r="AF425" s="166">
        <f>IF(OR($I425="",$E425=0),0,IF(OR($J425&lt;AF$3,$I425&gt;AF$2),0,IF($K425=0,IF(AND($I425&gt;=AF$3,$I425&lt;=AF$2),$E425,0),$E425*NETWORKDAYS(MAX($I425,AF$3),MIN($J425,AF$2),Data!$K$4:$K$203)/$K425)))</f>
        <v>0</v>
      </c>
      <c r="AG425" s="166">
        <f>IF(OR($I425="",$E425=0),0,IF(OR($J425&lt;AG$3,$I425&gt;AG$2),0,IF($K425=0,IF(AND($I425&gt;=AG$3,$I425&lt;=AG$2),$E425,0),$E425*NETWORKDAYS(MAX($I425,AG$3),MIN($J425,AG$2),Data!$K$4:$K$203)/$K425)))</f>
        <v>0</v>
      </c>
      <c r="AH425" s="166">
        <f>IF(OR($I425="",$E425=0),0,IF(OR($J425&lt;AH$3,$I425&gt;AH$2),0,IF($K425=0,IF(AND($I425&gt;=AH$3,$I425&lt;=AH$2),$E425,0),$E425*NETWORKDAYS(MAX($I425,AH$3),MIN($J425,AH$2),Data!$K$4:$K$203)/$K425)))</f>
        <v>0</v>
      </c>
      <c r="AI425" s="166">
        <f>SUM(W425:AH425)</f>
        <v>0</v>
      </c>
      <c r="BZ425" t="str">
        <f>IF(D425=1,IF(TRIM(INDEX(Charge!$K:$K,ROW()))&lt;&gt;"",TRIM(INDEX(Charge!$K:$K,ROW())),IF(TRIM(INDEX(Charge!$L:$L,ROW()))&lt;&gt;"",TRIM(INDEX(Charge!$L:$L,ROW())),"(non affecté)")),"")</f>
        <v/>
      </c>
      <c r="CA425" t="str">
        <f>IF(AND($CD$4&lt;&gt;"",BZ425=$CD$4),COUNTIFS($BZ$4:$BZ$503,$CD$4,$L$4:$L$503,"&lt;"&amp;L425)+1,"")</f>
        <v/>
      </c>
      <c r="EM425" t="str">
        <f>IF(D425=1,IF(TRIM(INDEX(Charge!$K:$K,ROW()))&lt;&gt;"","Interne",IF(TRIM(INDEX(Charge!$L:$L,ROW()))&lt;&gt;"","Externe","Non affecté")),"")</f>
        <v/>
      </c>
      <c r="EN425" t="str">
        <f>IF(D425=1,LEFT(SUBSTITUTE(SUBSTITUTE(SUBSTITUTE(TRIM(SUBSTITUTE(INDEX(Charge!$B:$B,ROW()),CHAR(160)," "))&amp;" | "&amp;TRIM(SUBSTITUTE(INDEX(Charge!$C:$C,ROW()),CHAR(160)," "))&amp;" | "&amp;TRIM(SUBSTITUTE(INDEX(Charge!$D:$D,ROW()),CHAR(160)," ")),"~","-"),"*","+"),"?","!"),240),"")</f>
        <v/>
      </c>
      <c r="EO425">
        <f>IF(EN425="",0,IF(COUNTIF($EN$4:EN425,EN425)=1,1,0))</f>
        <v>0</v>
      </c>
      <c r="EP425" s="166" t="str">
        <f>IF(EO425=1,ROUND(SUMIF($EN$4:$EN$503,EN425,$E$4:$E$503),2),"")</f>
        <v/>
      </c>
      <c r="EQ425" t="str">
        <f>IF(EO425=1,COUNTIFS($EO$4:$EO$503,1,$EP$4:$EP$503,"&gt;"&amp;EP425)+COUNTIFS($EO$4:EO425,1,$EP$4:EP425,EP425),"")</f>
        <v/>
      </c>
      <c r="ER425" t="str">
        <f>IF(EO425=1,COUNTIFS($EN$4:$EN$503,EN425,$EM$4:$EM$503,"Interne",$FE$4:$FE$503,1),"")</f>
        <v/>
      </c>
      <c r="ES425" t="str">
        <f>IF(EO425=1,COUNTIFS($EN$4:$EN$503,EN425,$EM$4:$EM$503,"Externe",$FE$4:$FE$503,1),"")</f>
        <v/>
      </c>
      <c r="ET425" t="str">
        <f>IF(EO425=1,IF(ER425+ES425=0,"à affecter",IF(ER425=0,ES425&amp;" ext.",(ER425+ES425)&amp;IF(ES425&gt;0," dont "&amp;ES425&amp;" ext.",""))&amp;IF(COUNTIFS($EN$4:$EN$503,EN425,$EM$4:$EM$503,"Non affecté")&gt;0," + à affecter","")),"")</f>
        <v/>
      </c>
      <c r="EU425" s="170" t="str">
        <f>IF(EO425=1,IF(EP425&gt;0,SUMPRODUCT(($EN$4:$EN$503=EN425)*$E$4:$E$503*$C$4:$C$503)/EP425,AVERAGEIF($EN$4:$EN$503,EN425,$C$4:$C$503)),"")</f>
        <v/>
      </c>
      <c r="EV425" s="165">
        <f>IF(ISNUMBER(I425),I425,2958465)</f>
        <v>2958465.0</v>
      </c>
      <c r="EW425" s="165" t="str">
        <f>IF(EO425=1,SUMPRODUCT(MIN(($EN$4:$EN$503=EN425)*$EV$4:$EV$503+($EN$4:$EN$503&lt;&gt;EN425)*2958465)),"")</f>
        <v/>
      </c>
      <c r="EX425" s="165">
        <f>IF(AND(D425=1,ISNUMBER(INDEX(Charge!$F:$F,ROW()))),INDEX(Charge!$F:$F,ROW()),0)</f>
        <v>0.0</v>
      </c>
      <c r="EY425" s="165" t="str">
        <f>IF(EO425=1,SUMPRODUCT(MAX(($EN$4:$EN$503=EN425)*$EX$4:$EX$503)),"")</f>
        <v/>
      </c>
      <c r="FD425">
        <f>IF(AND(B425=1,TRIM(INDEX(Charge!$K:$K,ROW()))&lt;&gt;"",TRIM(INDEX(Charge!$L:$L,ROW()))&lt;&gt;""),1,0)</f>
        <v>0</v>
      </c>
      <c r="FE425">
        <f>IF(OR(EN425="",BZ425="(non affecté)"),0,IF(COUNTIFS($EN$4:EN425,EN425,$BZ$4:BZ425,BZ425)=1,1,0))</f>
        <v>0</v>
      </c>
    </row>
    <row r="426">
      <c r="A426">
        <f>ROW()</f>
        <v>426</v>
      </c>
      <c r="B426">
        <f>IF(TRIM(INDEX(Charge!$B:$B,ROW()))&lt;&gt;"",1,0)</f>
        <v>0</v>
      </c>
      <c r="C426">
        <f>IF(B426=1,MIN(1,MAX(0,N(INDEX(Charge!$O:$O,ROW())))),0)</f>
        <v>0</v>
      </c>
      <c r="D426">
        <f>IF(B426=1,IF(OR(p_Perimetre="Tous les projets",C426&lt;1),1,0),0)</f>
        <v>0</v>
      </c>
      <c r="E426">
        <f>IF(D426=1,MAX(0,N(INDEX(Charge!$M:$M,ROW()))),0)</f>
        <v>0</v>
      </c>
      <c r="F426" t="str">
        <f>IF(D426=1,IF(TRIM(INDEX(Charge!$A:$A,ROW()))="","(non renseigné)",TRIM(INDEX(Charge!$A:$A,ROW()))),"")</f>
        <v/>
      </c>
      <c r="G426" t="str">
        <f>IF(D426=1,TRIM(INDEX(Charge!$B:$B,ROW())),"")</f>
        <v/>
      </c>
      <c r="H426" t="str">
        <f>IF(D426=1,IF(TRIM(INDEX(Charge!$E:$E,ROW()))="","(non renseigné)",TRIM(INDEX(Charge!$E:$E,ROW()))),"")</f>
        <v/>
      </c>
      <c r="I426" s="165" t="str">
        <f>IF(AND(D426=1,ISNUMBER(INDEX(Charge!$N:$N,ROW()))),INDEX(Charge!$N:$N,ROW()),"")</f>
        <v/>
      </c>
      <c r="J426" s="165" t="str">
        <f>IF(I426="","",IF(AND(p_Repartition="Lissée jusqu'à la date de besoin",ISNUMBER(INDEX(Charge!$F:$F,ROW()))),IF(INDEX(Charge!$F:$F,ROW())&gt;=I426,INDEX(Charge!$F:$F,ROW()),I426),I426))</f>
        <v/>
      </c>
      <c r="K426" t="str">
        <f>IF(I426="","",NETWORKDAYS(I426,J426,Data!$K$4:$K$203))</f>
        <v/>
      </c>
      <c r="L426" t="str">
        <f>IF(D426=1,COUNTIFS($D$4:$D$503,1,$E$4:$E$503,"&gt;"&amp;E426)+COUNTIFS($D$4:$D426,1,$E$4:$E426,E426),"")</f>
        <v/>
      </c>
      <c r="M426">
        <f>IF(F426="",0,IF(COUNTIF($F$4:F426,F426)=1,1,0))</f>
        <v>0</v>
      </c>
      <c r="N426" t="str">
        <f>IF(M426=1,ROUND(SUMIF($F$4:$F$503,F426,$E$4:$E$503),2),"")</f>
        <v/>
      </c>
      <c r="O426" t="str">
        <f>IF(M426=1,COUNTIFS($M$4:$M$503,1,$N$4:$N$503,"&gt;"&amp;N426)+COUNTIFS($M$4:M426,1,$N$4:N426,N426),"")</f>
        <v/>
      </c>
      <c r="P426">
        <f>IF(G426="",0,IF(COUNTIF($G$4:G426,G426)=1,1,0))</f>
        <v>0</v>
      </c>
      <c r="Q426" t="str">
        <f>IF(P426=1,ROUND(SUMIF($G$4:$G$503,G426,$E$4:$E$503),2),"")</f>
        <v/>
      </c>
      <c r="R426" t="str">
        <f>IF(P426=1,COUNTIFS($P$4:$P$503,1,$Q$4:$Q$503,"&gt;"&amp;Q426)+COUNTIFS($P$4:P426,1,$Q$4:Q426,Q426),"")</f>
        <v/>
      </c>
      <c r="S426">
        <f>IF(H426="",0,IF(COUNTIF($H$4:H426,H426)=1,1,0))</f>
        <v>0</v>
      </c>
      <c r="T426" t="str">
        <f>IF(S426=1,ROUND(SUMIF($H$4:$H$503,H426,$E$4:$E$503),2),"")</f>
        <v/>
      </c>
      <c r="U426" t="str">
        <f>IF(S426=1,COUNTIFS($S$4:$S$503,1,$T$4:$T$503,"&gt;"&amp;T426)+COUNTIFS($S$4:S426,1,$T$4:T426,T426),"")</f>
        <v/>
      </c>
      <c r="V426" t="str">
        <f>IF(D426=1,MIN(INDEX($R$4:$R$503,MATCH(G426,$G$4:$G$503,0)),IF($AL$7&gt;9,9,999)),"")</f>
        <v/>
      </c>
      <c r="W426" s="166">
        <f>IF(OR($I426="",$E426=0),0,IF(OR($J426&lt;W$3,$I426&gt;W$2),0,IF($K426=0,IF(AND($I426&gt;=W$3,$I426&lt;=W$2),$E426,0),$E426*NETWORKDAYS(MAX($I426,W$3),MIN($J426,W$2),Data!$K$4:$K$203)/$K426)))</f>
        <v>0</v>
      </c>
      <c r="X426" s="166">
        <f>IF(OR($I426="",$E426=0),0,IF(OR($J426&lt;X$3,$I426&gt;X$2),0,IF($K426=0,IF(AND($I426&gt;=X$3,$I426&lt;=X$2),$E426,0),$E426*NETWORKDAYS(MAX($I426,X$3),MIN($J426,X$2),Data!$K$4:$K$203)/$K426)))</f>
        <v>0</v>
      </c>
      <c r="Y426" s="166">
        <f>IF(OR($I426="",$E426=0),0,IF(OR($J426&lt;Y$3,$I426&gt;Y$2),0,IF($K426=0,IF(AND($I426&gt;=Y$3,$I426&lt;=Y$2),$E426,0),$E426*NETWORKDAYS(MAX($I426,Y$3),MIN($J426,Y$2),Data!$K$4:$K$203)/$K426)))</f>
        <v>0</v>
      </c>
      <c r="Z426" s="166">
        <f>IF(OR($I426="",$E426=0),0,IF(OR($J426&lt;Z$3,$I426&gt;Z$2),0,IF($K426=0,IF(AND($I426&gt;=Z$3,$I426&lt;=Z$2),$E426,0),$E426*NETWORKDAYS(MAX($I426,Z$3),MIN($J426,Z$2),Data!$K$4:$K$203)/$K426)))</f>
        <v>0</v>
      </c>
      <c r="AA426" s="166">
        <f>IF(OR($I426="",$E426=0),0,IF(OR($J426&lt;AA$3,$I426&gt;AA$2),0,IF($K426=0,IF(AND($I426&gt;=AA$3,$I426&lt;=AA$2),$E426,0),$E426*NETWORKDAYS(MAX($I426,AA$3),MIN($J426,AA$2),Data!$K$4:$K$203)/$K426)))</f>
        <v>0</v>
      </c>
      <c r="AB426" s="166">
        <f>IF(OR($I426="",$E426=0),0,IF(OR($J426&lt;AB$3,$I426&gt;AB$2),0,IF($K426=0,IF(AND($I426&gt;=AB$3,$I426&lt;=AB$2),$E426,0),$E426*NETWORKDAYS(MAX($I426,AB$3),MIN($J426,AB$2),Data!$K$4:$K$203)/$K426)))</f>
        <v>0</v>
      </c>
      <c r="AC426" s="166">
        <f>IF(OR($I426="",$E426=0),0,IF(OR($J426&lt;AC$3,$I426&gt;AC$2),0,IF($K426=0,IF(AND($I426&gt;=AC$3,$I426&lt;=AC$2),$E426,0),$E426*NETWORKDAYS(MAX($I426,AC$3),MIN($J426,AC$2),Data!$K$4:$K$203)/$K426)))</f>
        <v>0</v>
      </c>
      <c r="AD426" s="166">
        <f>IF(OR($I426="",$E426=0),0,IF(OR($J426&lt;AD$3,$I426&gt;AD$2),0,IF($K426=0,IF(AND($I426&gt;=AD$3,$I426&lt;=AD$2),$E426,0),$E426*NETWORKDAYS(MAX($I426,AD$3),MIN($J426,AD$2),Data!$K$4:$K$203)/$K426)))</f>
        <v>0</v>
      </c>
      <c r="AE426" s="166">
        <f>IF(OR($I426="",$E426=0),0,IF(OR($J426&lt;AE$3,$I426&gt;AE$2),0,IF($K426=0,IF(AND($I426&gt;=AE$3,$I426&lt;=AE$2),$E426,0),$E426*NETWORKDAYS(MAX($I426,AE$3),MIN($J426,AE$2),Data!$K$4:$K$203)/$K426)))</f>
        <v>0</v>
      </c>
      <c r="AF426" s="166">
        <f>IF(OR($I426="",$E426=0),0,IF(OR($J426&lt;AF$3,$I426&gt;AF$2),0,IF($K426=0,IF(AND($I426&gt;=AF$3,$I426&lt;=AF$2),$E426,0),$E426*NETWORKDAYS(MAX($I426,AF$3),MIN($J426,AF$2),Data!$K$4:$K$203)/$K426)))</f>
        <v>0</v>
      </c>
      <c r="AG426" s="166">
        <f>IF(OR($I426="",$E426=0),0,IF(OR($J426&lt;AG$3,$I426&gt;AG$2),0,IF($K426=0,IF(AND($I426&gt;=AG$3,$I426&lt;=AG$2),$E426,0),$E426*NETWORKDAYS(MAX($I426,AG$3),MIN($J426,AG$2),Data!$K$4:$K$203)/$K426)))</f>
        <v>0</v>
      </c>
      <c r="AH426" s="166">
        <f>IF(OR($I426="",$E426=0),0,IF(OR($J426&lt;AH$3,$I426&gt;AH$2),0,IF($K426=0,IF(AND($I426&gt;=AH$3,$I426&lt;=AH$2),$E426,0),$E426*NETWORKDAYS(MAX($I426,AH$3),MIN($J426,AH$2),Data!$K$4:$K$203)/$K426)))</f>
        <v>0</v>
      </c>
      <c r="AI426" s="166">
        <f>SUM(W426:AH426)</f>
        <v>0</v>
      </c>
      <c r="BZ426" t="str">
        <f>IF(D426=1,IF(TRIM(INDEX(Charge!$K:$K,ROW()))&lt;&gt;"",TRIM(INDEX(Charge!$K:$K,ROW())),IF(TRIM(INDEX(Charge!$L:$L,ROW()))&lt;&gt;"",TRIM(INDEX(Charge!$L:$L,ROW())),"(non affecté)")),"")</f>
        <v/>
      </c>
      <c r="CA426" t="str">
        <f>IF(AND($CD$4&lt;&gt;"",BZ426=$CD$4),COUNTIFS($BZ$4:$BZ$503,$CD$4,$L$4:$L$503,"&lt;"&amp;L426)+1,"")</f>
        <v/>
      </c>
      <c r="EM426" t="str">
        <f>IF(D426=1,IF(TRIM(INDEX(Charge!$K:$K,ROW()))&lt;&gt;"","Interne",IF(TRIM(INDEX(Charge!$L:$L,ROW()))&lt;&gt;"","Externe","Non affecté")),"")</f>
        <v/>
      </c>
      <c r="EN426" t="str">
        <f>IF(D426=1,LEFT(SUBSTITUTE(SUBSTITUTE(SUBSTITUTE(TRIM(SUBSTITUTE(INDEX(Charge!$B:$B,ROW()),CHAR(160)," "))&amp;" | "&amp;TRIM(SUBSTITUTE(INDEX(Charge!$C:$C,ROW()),CHAR(160)," "))&amp;" | "&amp;TRIM(SUBSTITUTE(INDEX(Charge!$D:$D,ROW()),CHAR(160)," ")),"~","-"),"*","+"),"?","!"),240),"")</f>
        <v/>
      </c>
      <c r="EO426">
        <f>IF(EN426="",0,IF(COUNTIF($EN$4:EN426,EN426)=1,1,0))</f>
        <v>0</v>
      </c>
      <c r="EP426" s="166" t="str">
        <f>IF(EO426=1,ROUND(SUMIF($EN$4:$EN$503,EN426,$E$4:$E$503),2),"")</f>
        <v/>
      </c>
      <c r="EQ426" t="str">
        <f>IF(EO426=1,COUNTIFS($EO$4:$EO$503,1,$EP$4:$EP$503,"&gt;"&amp;EP426)+COUNTIFS($EO$4:EO426,1,$EP$4:EP426,EP426),"")</f>
        <v/>
      </c>
      <c r="ER426" t="str">
        <f>IF(EO426=1,COUNTIFS($EN$4:$EN$503,EN426,$EM$4:$EM$503,"Interne",$FE$4:$FE$503,1),"")</f>
        <v/>
      </c>
      <c r="ES426" t="str">
        <f>IF(EO426=1,COUNTIFS($EN$4:$EN$503,EN426,$EM$4:$EM$503,"Externe",$FE$4:$FE$503,1),"")</f>
        <v/>
      </c>
      <c r="ET426" t="str">
        <f>IF(EO426=1,IF(ER426+ES426=0,"à affecter",IF(ER426=0,ES426&amp;" ext.",(ER426+ES426)&amp;IF(ES426&gt;0," dont "&amp;ES426&amp;" ext.",""))&amp;IF(COUNTIFS($EN$4:$EN$503,EN426,$EM$4:$EM$503,"Non affecté")&gt;0," + à affecter","")),"")</f>
        <v/>
      </c>
      <c r="EU426" s="170" t="str">
        <f>IF(EO426=1,IF(EP426&gt;0,SUMPRODUCT(($EN$4:$EN$503=EN426)*$E$4:$E$503*$C$4:$C$503)/EP426,AVERAGEIF($EN$4:$EN$503,EN426,$C$4:$C$503)),"")</f>
        <v/>
      </c>
      <c r="EV426" s="165">
        <f>IF(ISNUMBER(I426),I426,2958465)</f>
        <v>2958465.0</v>
      </c>
      <c r="EW426" s="165" t="str">
        <f>IF(EO426=1,SUMPRODUCT(MIN(($EN$4:$EN$503=EN426)*$EV$4:$EV$503+($EN$4:$EN$503&lt;&gt;EN426)*2958465)),"")</f>
        <v/>
      </c>
      <c r="EX426" s="165">
        <f>IF(AND(D426=1,ISNUMBER(INDEX(Charge!$F:$F,ROW()))),INDEX(Charge!$F:$F,ROW()),0)</f>
        <v>0.0</v>
      </c>
      <c r="EY426" s="165" t="str">
        <f>IF(EO426=1,SUMPRODUCT(MAX(($EN$4:$EN$503=EN426)*$EX$4:$EX$503)),"")</f>
        <v/>
      </c>
      <c r="FD426">
        <f>IF(AND(B426=1,TRIM(INDEX(Charge!$K:$K,ROW()))&lt;&gt;"",TRIM(INDEX(Charge!$L:$L,ROW()))&lt;&gt;""),1,0)</f>
        <v>0</v>
      </c>
      <c r="FE426">
        <f>IF(OR(EN426="",BZ426="(non affecté)"),0,IF(COUNTIFS($EN$4:EN426,EN426,$BZ$4:BZ426,BZ426)=1,1,0))</f>
        <v>0</v>
      </c>
    </row>
    <row r="427">
      <c r="A427">
        <f>ROW()</f>
        <v>427</v>
      </c>
      <c r="B427">
        <f>IF(TRIM(INDEX(Charge!$B:$B,ROW()))&lt;&gt;"",1,0)</f>
        <v>0</v>
      </c>
      <c r="C427">
        <f>IF(B427=1,MIN(1,MAX(0,N(INDEX(Charge!$O:$O,ROW())))),0)</f>
        <v>0</v>
      </c>
      <c r="D427">
        <f>IF(B427=1,IF(OR(p_Perimetre="Tous les projets",C427&lt;1),1,0),0)</f>
        <v>0</v>
      </c>
      <c r="E427">
        <f>IF(D427=1,MAX(0,N(INDEX(Charge!$M:$M,ROW()))),0)</f>
        <v>0</v>
      </c>
      <c r="F427" t="str">
        <f>IF(D427=1,IF(TRIM(INDEX(Charge!$A:$A,ROW()))="","(non renseigné)",TRIM(INDEX(Charge!$A:$A,ROW()))),"")</f>
        <v/>
      </c>
      <c r="G427" t="str">
        <f>IF(D427=1,TRIM(INDEX(Charge!$B:$B,ROW())),"")</f>
        <v/>
      </c>
      <c r="H427" t="str">
        <f>IF(D427=1,IF(TRIM(INDEX(Charge!$E:$E,ROW()))="","(non renseigné)",TRIM(INDEX(Charge!$E:$E,ROW()))),"")</f>
        <v/>
      </c>
      <c r="I427" s="165" t="str">
        <f>IF(AND(D427=1,ISNUMBER(INDEX(Charge!$N:$N,ROW()))),INDEX(Charge!$N:$N,ROW()),"")</f>
        <v/>
      </c>
      <c r="J427" s="165" t="str">
        <f>IF(I427="","",IF(AND(p_Repartition="Lissée jusqu'à la date de besoin",ISNUMBER(INDEX(Charge!$F:$F,ROW()))),IF(INDEX(Charge!$F:$F,ROW())&gt;=I427,INDEX(Charge!$F:$F,ROW()),I427),I427))</f>
        <v/>
      </c>
      <c r="K427" t="str">
        <f>IF(I427="","",NETWORKDAYS(I427,J427,Data!$K$4:$K$203))</f>
        <v/>
      </c>
      <c r="L427" t="str">
        <f>IF(D427=1,COUNTIFS($D$4:$D$503,1,$E$4:$E$503,"&gt;"&amp;E427)+COUNTIFS($D$4:$D427,1,$E$4:$E427,E427),"")</f>
        <v/>
      </c>
      <c r="M427">
        <f>IF(F427="",0,IF(COUNTIF($F$4:F427,F427)=1,1,0))</f>
        <v>0</v>
      </c>
      <c r="N427" t="str">
        <f>IF(M427=1,ROUND(SUMIF($F$4:$F$503,F427,$E$4:$E$503),2),"")</f>
        <v/>
      </c>
      <c r="O427" t="str">
        <f>IF(M427=1,COUNTIFS($M$4:$M$503,1,$N$4:$N$503,"&gt;"&amp;N427)+COUNTIFS($M$4:M427,1,$N$4:N427,N427),"")</f>
        <v/>
      </c>
      <c r="P427">
        <f>IF(G427="",0,IF(COUNTIF($G$4:G427,G427)=1,1,0))</f>
        <v>0</v>
      </c>
      <c r="Q427" t="str">
        <f>IF(P427=1,ROUND(SUMIF($G$4:$G$503,G427,$E$4:$E$503),2),"")</f>
        <v/>
      </c>
      <c r="R427" t="str">
        <f>IF(P427=1,COUNTIFS($P$4:$P$503,1,$Q$4:$Q$503,"&gt;"&amp;Q427)+COUNTIFS($P$4:P427,1,$Q$4:Q427,Q427),"")</f>
        <v/>
      </c>
      <c r="S427">
        <f>IF(H427="",0,IF(COUNTIF($H$4:H427,H427)=1,1,0))</f>
        <v>0</v>
      </c>
      <c r="T427" t="str">
        <f>IF(S427=1,ROUND(SUMIF($H$4:$H$503,H427,$E$4:$E$503),2),"")</f>
        <v/>
      </c>
      <c r="U427" t="str">
        <f>IF(S427=1,COUNTIFS($S$4:$S$503,1,$T$4:$T$503,"&gt;"&amp;T427)+COUNTIFS($S$4:S427,1,$T$4:T427,T427),"")</f>
        <v/>
      </c>
      <c r="V427" t="str">
        <f>IF(D427=1,MIN(INDEX($R$4:$R$503,MATCH(G427,$G$4:$G$503,0)),IF($AL$7&gt;9,9,999)),"")</f>
        <v/>
      </c>
      <c r="W427" s="166">
        <f>IF(OR($I427="",$E427=0),0,IF(OR($J427&lt;W$3,$I427&gt;W$2),0,IF($K427=0,IF(AND($I427&gt;=W$3,$I427&lt;=W$2),$E427,0),$E427*NETWORKDAYS(MAX($I427,W$3),MIN($J427,W$2),Data!$K$4:$K$203)/$K427)))</f>
        <v>0</v>
      </c>
      <c r="X427" s="166">
        <f>IF(OR($I427="",$E427=0),0,IF(OR($J427&lt;X$3,$I427&gt;X$2),0,IF($K427=0,IF(AND($I427&gt;=X$3,$I427&lt;=X$2),$E427,0),$E427*NETWORKDAYS(MAX($I427,X$3),MIN($J427,X$2),Data!$K$4:$K$203)/$K427)))</f>
        <v>0</v>
      </c>
      <c r="Y427" s="166">
        <f>IF(OR($I427="",$E427=0),0,IF(OR($J427&lt;Y$3,$I427&gt;Y$2),0,IF($K427=0,IF(AND($I427&gt;=Y$3,$I427&lt;=Y$2),$E427,0),$E427*NETWORKDAYS(MAX($I427,Y$3),MIN($J427,Y$2),Data!$K$4:$K$203)/$K427)))</f>
        <v>0</v>
      </c>
      <c r="Z427" s="166">
        <f>IF(OR($I427="",$E427=0),0,IF(OR($J427&lt;Z$3,$I427&gt;Z$2),0,IF($K427=0,IF(AND($I427&gt;=Z$3,$I427&lt;=Z$2),$E427,0),$E427*NETWORKDAYS(MAX($I427,Z$3),MIN($J427,Z$2),Data!$K$4:$K$203)/$K427)))</f>
        <v>0</v>
      </c>
      <c r="AA427" s="166">
        <f>IF(OR($I427="",$E427=0),0,IF(OR($J427&lt;AA$3,$I427&gt;AA$2),0,IF($K427=0,IF(AND($I427&gt;=AA$3,$I427&lt;=AA$2),$E427,0),$E427*NETWORKDAYS(MAX($I427,AA$3),MIN($J427,AA$2),Data!$K$4:$K$203)/$K427)))</f>
        <v>0</v>
      </c>
      <c r="AB427" s="166">
        <f>IF(OR($I427="",$E427=0),0,IF(OR($J427&lt;AB$3,$I427&gt;AB$2),0,IF($K427=0,IF(AND($I427&gt;=AB$3,$I427&lt;=AB$2),$E427,0),$E427*NETWORKDAYS(MAX($I427,AB$3),MIN($J427,AB$2),Data!$K$4:$K$203)/$K427)))</f>
        <v>0</v>
      </c>
      <c r="AC427" s="166">
        <f>IF(OR($I427="",$E427=0),0,IF(OR($J427&lt;AC$3,$I427&gt;AC$2),0,IF($K427=0,IF(AND($I427&gt;=AC$3,$I427&lt;=AC$2),$E427,0),$E427*NETWORKDAYS(MAX($I427,AC$3),MIN($J427,AC$2),Data!$K$4:$K$203)/$K427)))</f>
        <v>0</v>
      </c>
      <c r="AD427" s="166">
        <f>IF(OR($I427="",$E427=0),0,IF(OR($J427&lt;AD$3,$I427&gt;AD$2),0,IF($K427=0,IF(AND($I427&gt;=AD$3,$I427&lt;=AD$2),$E427,0),$E427*NETWORKDAYS(MAX($I427,AD$3),MIN($J427,AD$2),Data!$K$4:$K$203)/$K427)))</f>
        <v>0</v>
      </c>
      <c r="AE427" s="166">
        <f>IF(OR($I427="",$E427=0),0,IF(OR($J427&lt;AE$3,$I427&gt;AE$2),0,IF($K427=0,IF(AND($I427&gt;=AE$3,$I427&lt;=AE$2),$E427,0),$E427*NETWORKDAYS(MAX($I427,AE$3),MIN($J427,AE$2),Data!$K$4:$K$203)/$K427)))</f>
        <v>0</v>
      </c>
      <c r="AF427" s="166">
        <f>IF(OR($I427="",$E427=0),0,IF(OR($J427&lt;AF$3,$I427&gt;AF$2),0,IF($K427=0,IF(AND($I427&gt;=AF$3,$I427&lt;=AF$2),$E427,0),$E427*NETWORKDAYS(MAX($I427,AF$3),MIN($J427,AF$2),Data!$K$4:$K$203)/$K427)))</f>
        <v>0</v>
      </c>
      <c r="AG427" s="166">
        <f>IF(OR($I427="",$E427=0),0,IF(OR($J427&lt;AG$3,$I427&gt;AG$2),0,IF($K427=0,IF(AND($I427&gt;=AG$3,$I427&lt;=AG$2),$E427,0),$E427*NETWORKDAYS(MAX($I427,AG$3),MIN($J427,AG$2),Data!$K$4:$K$203)/$K427)))</f>
        <v>0</v>
      </c>
      <c r="AH427" s="166">
        <f>IF(OR($I427="",$E427=0),0,IF(OR($J427&lt;AH$3,$I427&gt;AH$2),0,IF($K427=0,IF(AND($I427&gt;=AH$3,$I427&lt;=AH$2),$E427,0),$E427*NETWORKDAYS(MAX($I427,AH$3),MIN($J427,AH$2),Data!$K$4:$K$203)/$K427)))</f>
        <v>0</v>
      </c>
      <c r="AI427" s="166">
        <f>SUM(W427:AH427)</f>
        <v>0</v>
      </c>
      <c r="BZ427" t="str">
        <f>IF(D427=1,IF(TRIM(INDEX(Charge!$K:$K,ROW()))&lt;&gt;"",TRIM(INDEX(Charge!$K:$K,ROW())),IF(TRIM(INDEX(Charge!$L:$L,ROW()))&lt;&gt;"",TRIM(INDEX(Charge!$L:$L,ROW())),"(non affecté)")),"")</f>
        <v/>
      </c>
      <c r="CA427" t="str">
        <f>IF(AND($CD$4&lt;&gt;"",BZ427=$CD$4),COUNTIFS($BZ$4:$BZ$503,$CD$4,$L$4:$L$503,"&lt;"&amp;L427)+1,"")</f>
        <v/>
      </c>
      <c r="EM427" t="str">
        <f>IF(D427=1,IF(TRIM(INDEX(Charge!$K:$K,ROW()))&lt;&gt;"","Interne",IF(TRIM(INDEX(Charge!$L:$L,ROW()))&lt;&gt;"","Externe","Non affecté")),"")</f>
        <v/>
      </c>
      <c r="EN427" t="str">
        <f>IF(D427=1,LEFT(SUBSTITUTE(SUBSTITUTE(SUBSTITUTE(TRIM(SUBSTITUTE(INDEX(Charge!$B:$B,ROW()),CHAR(160)," "))&amp;" | "&amp;TRIM(SUBSTITUTE(INDEX(Charge!$C:$C,ROW()),CHAR(160)," "))&amp;" | "&amp;TRIM(SUBSTITUTE(INDEX(Charge!$D:$D,ROW()),CHAR(160)," ")),"~","-"),"*","+"),"?","!"),240),"")</f>
        <v/>
      </c>
      <c r="EO427">
        <f>IF(EN427="",0,IF(COUNTIF($EN$4:EN427,EN427)=1,1,0))</f>
        <v>0</v>
      </c>
      <c r="EP427" s="166" t="str">
        <f>IF(EO427=1,ROUND(SUMIF($EN$4:$EN$503,EN427,$E$4:$E$503),2),"")</f>
        <v/>
      </c>
      <c r="EQ427" t="str">
        <f>IF(EO427=1,COUNTIFS($EO$4:$EO$503,1,$EP$4:$EP$503,"&gt;"&amp;EP427)+COUNTIFS($EO$4:EO427,1,$EP$4:EP427,EP427),"")</f>
        <v/>
      </c>
      <c r="ER427" t="str">
        <f>IF(EO427=1,COUNTIFS($EN$4:$EN$503,EN427,$EM$4:$EM$503,"Interne",$FE$4:$FE$503,1),"")</f>
        <v/>
      </c>
      <c r="ES427" t="str">
        <f>IF(EO427=1,COUNTIFS($EN$4:$EN$503,EN427,$EM$4:$EM$503,"Externe",$FE$4:$FE$503,1),"")</f>
        <v/>
      </c>
      <c r="ET427" t="str">
        <f>IF(EO427=1,IF(ER427+ES427=0,"à affecter",IF(ER427=0,ES427&amp;" ext.",(ER427+ES427)&amp;IF(ES427&gt;0," dont "&amp;ES427&amp;" ext.",""))&amp;IF(COUNTIFS($EN$4:$EN$503,EN427,$EM$4:$EM$503,"Non affecté")&gt;0," + à affecter","")),"")</f>
        <v/>
      </c>
      <c r="EU427" s="170" t="str">
        <f>IF(EO427=1,IF(EP427&gt;0,SUMPRODUCT(($EN$4:$EN$503=EN427)*$E$4:$E$503*$C$4:$C$503)/EP427,AVERAGEIF($EN$4:$EN$503,EN427,$C$4:$C$503)),"")</f>
        <v/>
      </c>
      <c r="EV427" s="165">
        <f>IF(ISNUMBER(I427),I427,2958465)</f>
        <v>2958465.0</v>
      </c>
      <c r="EW427" s="165" t="str">
        <f>IF(EO427=1,SUMPRODUCT(MIN(($EN$4:$EN$503=EN427)*$EV$4:$EV$503+($EN$4:$EN$503&lt;&gt;EN427)*2958465)),"")</f>
        <v/>
      </c>
      <c r="EX427" s="165">
        <f>IF(AND(D427=1,ISNUMBER(INDEX(Charge!$F:$F,ROW()))),INDEX(Charge!$F:$F,ROW()),0)</f>
        <v>0.0</v>
      </c>
      <c r="EY427" s="165" t="str">
        <f>IF(EO427=1,SUMPRODUCT(MAX(($EN$4:$EN$503=EN427)*$EX$4:$EX$503)),"")</f>
        <v/>
      </c>
      <c r="FD427">
        <f>IF(AND(B427=1,TRIM(INDEX(Charge!$K:$K,ROW()))&lt;&gt;"",TRIM(INDEX(Charge!$L:$L,ROW()))&lt;&gt;""),1,0)</f>
        <v>0</v>
      </c>
      <c r="FE427">
        <f>IF(OR(EN427="",BZ427="(non affecté)"),0,IF(COUNTIFS($EN$4:EN427,EN427,$BZ$4:BZ427,BZ427)=1,1,0))</f>
        <v>0</v>
      </c>
    </row>
    <row r="428">
      <c r="A428">
        <f>ROW()</f>
        <v>428</v>
      </c>
      <c r="B428">
        <f>IF(TRIM(INDEX(Charge!$B:$B,ROW()))&lt;&gt;"",1,0)</f>
        <v>0</v>
      </c>
      <c r="C428">
        <f>IF(B428=1,MIN(1,MAX(0,N(INDEX(Charge!$O:$O,ROW())))),0)</f>
        <v>0</v>
      </c>
      <c r="D428">
        <f>IF(B428=1,IF(OR(p_Perimetre="Tous les projets",C428&lt;1),1,0),0)</f>
        <v>0</v>
      </c>
      <c r="E428">
        <f>IF(D428=1,MAX(0,N(INDEX(Charge!$M:$M,ROW()))),0)</f>
        <v>0</v>
      </c>
      <c r="F428" t="str">
        <f>IF(D428=1,IF(TRIM(INDEX(Charge!$A:$A,ROW()))="","(non renseigné)",TRIM(INDEX(Charge!$A:$A,ROW()))),"")</f>
        <v/>
      </c>
      <c r="G428" t="str">
        <f>IF(D428=1,TRIM(INDEX(Charge!$B:$B,ROW())),"")</f>
        <v/>
      </c>
      <c r="H428" t="str">
        <f>IF(D428=1,IF(TRIM(INDEX(Charge!$E:$E,ROW()))="","(non renseigné)",TRIM(INDEX(Charge!$E:$E,ROW()))),"")</f>
        <v/>
      </c>
      <c r="I428" s="165" t="str">
        <f>IF(AND(D428=1,ISNUMBER(INDEX(Charge!$N:$N,ROW()))),INDEX(Charge!$N:$N,ROW()),"")</f>
        <v/>
      </c>
      <c r="J428" s="165" t="str">
        <f>IF(I428="","",IF(AND(p_Repartition="Lissée jusqu'à la date de besoin",ISNUMBER(INDEX(Charge!$F:$F,ROW()))),IF(INDEX(Charge!$F:$F,ROW())&gt;=I428,INDEX(Charge!$F:$F,ROW()),I428),I428))</f>
        <v/>
      </c>
      <c r="K428" t="str">
        <f>IF(I428="","",NETWORKDAYS(I428,J428,Data!$K$4:$K$203))</f>
        <v/>
      </c>
      <c r="L428" t="str">
        <f>IF(D428=1,COUNTIFS($D$4:$D$503,1,$E$4:$E$503,"&gt;"&amp;E428)+COUNTIFS($D$4:$D428,1,$E$4:$E428,E428),"")</f>
        <v/>
      </c>
      <c r="M428">
        <f>IF(F428="",0,IF(COUNTIF($F$4:F428,F428)=1,1,0))</f>
        <v>0</v>
      </c>
      <c r="N428" t="str">
        <f>IF(M428=1,ROUND(SUMIF($F$4:$F$503,F428,$E$4:$E$503),2),"")</f>
        <v/>
      </c>
      <c r="O428" t="str">
        <f>IF(M428=1,COUNTIFS($M$4:$M$503,1,$N$4:$N$503,"&gt;"&amp;N428)+COUNTIFS($M$4:M428,1,$N$4:N428,N428),"")</f>
        <v/>
      </c>
      <c r="P428">
        <f>IF(G428="",0,IF(COUNTIF($G$4:G428,G428)=1,1,0))</f>
        <v>0</v>
      </c>
      <c r="Q428" t="str">
        <f>IF(P428=1,ROUND(SUMIF($G$4:$G$503,G428,$E$4:$E$503),2),"")</f>
        <v/>
      </c>
      <c r="R428" t="str">
        <f>IF(P428=1,COUNTIFS($P$4:$P$503,1,$Q$4:$Q$503,"&gt;"&amp;Q428)+COUNTIFS($P$4:P428,1,$Q$4:Q428,Q428),"")</f>
        <v/>
      </c>
      <c r="S428">
        <f>IF(H428="",0,IF(COUNTIF($H$4:H428,H428)=1,1,0))</f>
        <v>0</v>
      </c>
      <c r="T428" t="str">
        <f>IF(S428=1,ROUND(SUMIF($H$4:$H$503,H428,$E$4:$E$503),2),"")</f>
        <v/>
      </c>
      <c r="U428" t="str">
        <f>IF(S428=1,COUNTIFS($S$4:$S$503,1,$T$4:$T$503,"&gt;"&amp;T428)+COUNTIFS($S$4:S428,1,$T$4:T428,T428),"")</f>
        <v/>
      </c>
      <c r="V428" t="str">
        <f>IF(D428=1,MIN(INDEX($R$4:$R$503,MATCH(G428,$G$4:$G$503,0)),IF($AL$7&gt;9,9,999)),"")</f>
        <v/>
      </c>
      <c r="W428" s="166">
        <f>IF(OR($I428="",$E428=0),0,IF(OR($J428&lt;W$3,$I428&gt;W$2),0,IF($K428=0,IF(AND($I428&gt;=W$3,$I428&lt;=W$2),$E428,0),$E428*NETWORKDAYS(MAX($I428,W$3),MIN($J428,W$2),Data!$K$4:$K$203)/$K428)))</f>
        <v>0</v>
      </c>
      <c r="X428" s="166">
        <f>IF(OR($I428="",$E428=0),0,IF(OR($J428&lt;X$3,$I428&gt;X$2),0,IF($K428=0,IF(AND($I428&gt;=X$3,$I428&lt;=X$2),$E428,0),$E428*NETWORKDAYS(MAX($I428,X$3),MIN($J428,X$2),Data!$K$4:$K$203)/$K428)))</f>
        <v>0</v>
      </c>
      <c r="Y428" s="166">
        <f>IF(OR($I428="",$E428=0),0,IF(OR($J428&lt;Y$3,$I428&gt;Y$2),0,IF($K428=0,IF(AND($I428&gt;=Y$3,$I428&lt;=Y$2),$E428,0),$E428*NETWORKDAYS(MAX($I428,Y$3),MIN($J428,Y$2),Data!$K$4:$K$203)/$K428)))</f>
        <v>0</v>
      </c>
      <c r="Z428" s="166">
        <f>IF(OR($I428="",$E428=0),0,IF(OR($J428&lt;Z$3,$I428&gt;Z$2),0,IF($K428=0,IF(AND($I428&gt;=Z$3,$I428&lt;=Z$2),$E428,0),$E428*NETWORKDAYS(MAX($I428,Z$3),MIN($J428,Z$2),Data!$K$4:$K$203)/$K428)))</f>
        <v>0</v>
      </c>
      <c r="AA428" s="166">
        <f>IF(OR($I428="",$E428=0),0,IF(OR($J428&lt;AA$3,$I428&gt;AA$2),0,IF($K428=0,IF(AND($I428&gt;=AA$3,$I428&lt;=AA$2),$E428,0),$E428*NETWORKDAYS(MAX($I428,AA$3),MIN($J428,AA$2),Data!$K$4:$K$203)/$K428)))</f>
        <v>0</v>
      </c>
      <c r="AB428" s="166">
        <f>IF(OR($I428="",$E428=0),0,IF(OR($J428&lt;AB$3,$I428&gt;AB$2),0,IF($K428=0,IF(AND($I428&gt;=AB$3,$I428&lt;=AB$2),$E428,0),$E428*NETWORKDAYS(MAX($I428,AB$3),MIN($J428,AB$2),Data!$K$4:$K$203)/$K428)))</f>
        <v>0</v>
      </c>
      <c r="AC428" s="166">
        <f>IF(OR($I428="",$E428=0),0,IF(OR($J428&lt;AC$3,$I428&gt;AC$2),0,IF($K428=0,IF(AND($I428&gt;=AC$3,$I428&lt;=AC$2),$E428,0),$E428*NETWORKDAYS(MAX($I428,AC$3),MIN($J428,AC$2),Data!$K$4:$K$203)/$K428)))</f>
        <v>0</v>
      </c>
      <c r="AD428" s="166">
        <f>IF(OR($I428="",$E428=0),0,IF(OR($J428&lt;AD$3,$I428&gt;AD$2),0,IF($K428=0,IF(AND($I428&gt;=AD$3,$I428&lt;=AD$2),$E428,0),$E428*NETWORKDAYS(MAX($I428,AD$3),MIN($J428,AD$2),Data!$K$4:$K$203)/$K428)))</f>
        <v>0</v>
      </c>
      <c r="AE428" s="166">
        <f>IF(OR($I428="",$E428=0),0,IF(OR($J428&lt;AE$3,$I428&gt;AE$2),0,IF($K428=0,IF(AND($I428&gt;=AE$3,$I428&lt;=AE$2),$E428,0),$E428*NETWORKDAYS(MAX($I428,AE$3),MIN($J428,AE$2),Data!$K$4:$K$203)/$K428)))</f>
        <v>0</v>
      </c>
      <c r="AF428" s="166">
        <f>IF(OR($I428="",$E428=0),0,IF(OR($J428&lt;AF$3,$I428&gt;AF$2),0,IF($K428=0,IF(AND($I428&gt;=AF$3,$I428&lt;=AF$2),$E428,0),$E428*NETWORKDAYS(MAX($I428,AF$3),MIN($J428,AF$2),Data!$K$4:$K$203)/$K428)))</f>
        <v>0</v>
      </c>
      <c r="AG428" s="166">
        <f>IF(OR($I428="",$E428=0),0,IF(OR($J428&lt;AG$3,$I428&gt;AG$2),0,IF($K428=0,IF(AND($I428&gt;=AG$3,$I428&lt;=AG$2),$E428,0),$E428*NETWORKDAYS(MAX($I428,AG$3),MIN($J428,AG$2),Data!$K$4:$K$203)/$K428)))</f>
        <v>0</v>
      </c>
      <c r="AH428" s="166">
        <f>IF(OR($I428="",$E428=0),0,IF(OR($J428&lt;AH$3,$I428&gt;AH$2),0,IF($K428=0,IF(AND($I428&gt;=AH$3,$I428&lt;=AH$2),$E428,0),$E428*NETWORKDAYS(MAX($I428,AH$3),MIN($J428,AH$2),Data!$K$4:$K$203)/$K428)))</f>
        <v>0</v>
      </c>
      <c r="AI428" s="166">
        <f>SUM(W428:AH428)</f>
        <v>0</v>
      </c>
      <c r="BZ428" t="str">
        <f>IF(D428=1,IF(TRIM(INDEX(Charge!$K:$K,ROW()))&lt;&gt;"",TRIM(INDEX(Charge!$K:$K,ROW())),IF(TRIM(INDEX(Charge!$L:$L,ROW()))&lt;&gt;"",TRIM(INDEX(Charge!$L:$L,ROW())),"(non affecté)")),"")</f>
        <v/>
      </c>
      <c r="CA428" t="str">
        <f>IF(AND($CD$4&lt;&gt;"",BZ428=$CD$4),COUNTIFS($BZ$4:$BZ$503,$CD$4,$L$4:$L$503,"&lt;"&amp;L428)+1,"")</f>
        <v/>
      </c>
      <c r="EM428" t="str">
        <f>IF(D428=1,IF(TRIM(INDEX(Charge!$K:$K,ROW()))&lt;&gt;"","Interne",IF(TRIM(INDEX(Charge!$L:$L,ROW()))&lt;&gt;"","Externe","Non affecté")),"")</f>
        <v/>
      </c>
      <c r="EN428" t="str">
        <f>IF(D428=1,LEFT(SUBSTITUTE(SUBSTITUTE(SUBSTITUTE(TRIM(SUBSTITUTE(INDEX(Charge!$B:$B,ROW()),CHAR(160)," "))&amp;" | "&amp;TRIM(SUBSTITUTE(INDEX(Charge!$C:$C,ROW()),CHAR(160)," "))&amp;" | "&amp;TRIM(SUBSTITUTE(INDEX(Charge!$D:$D,ROW()),CHAR(160)," ")),"~","-"),"*","+"),"?","!"),240),"")</f>
        <v/>
      </c>
      <c r="EO428">
        <f>IF(EN428="",0,IF(COUNTIF($EN$4:EN428,EN428)=1,1,0))</f>
        <v>0</v>
      </c>
      <c r="EP428" s="166" t="str">
        <f>IF(EO428=1,ROUND(SUMIF($EN$4:$EN$503,EN428,$E$4:$E$503),2),"")</f>
        <v/>
      </c>
      <c r="EQ428" t="str">
        <f>IF(EO428=1,COUNTIFS($EO$4:$EO$503,1,$EP$4:$EP$503,"&gt;"&amp;EP428)+COUNTIFS($EO$4:EO428,1,$EP$4:EP428,EP428),"")</f>
        <v/>
      </c>
      <c r="ER428" t="str">
        <f>IF(EO428=1,COUNTIFS($EN$4:$EN$503,EN428,$EM$4:$EM$503,"Interne",$FE$4:$FE$503,1),"")</f>
        <v/>
      </c>
      <c r="ES428" t="str">
        <f>IF(EO428=1,COUNTIFS($EN$4:$EN$503,EN428,$EM$4:$EM$503,"Externe",$FE$4:$FE$503,1),"")</f>
        <v/>
      </c>
      <c r="ET428" t="str">
        <f>IF(EO428=1,IF(ER428+ES428=0,"à affecter",IF(ER428=0,ES428&amp;" ext.",(ER428+ES428)&amp;IF(ES428&gt;0," dont "&amp;ES428&amp;" ext.",""))&amp;IF(COUNTIFS($EN$4:$EN$503,EN428,$EM$4:$EM$503,"Non affecté")&gt;0," + à affecter","")),"")</f>
        <v/>
      </c>
      <c r="EU428" s="170" t="str">
        <f>IF(EO428=1,IF(EP428&gt;0,SUMPRODUCT(($EN$4:$EN$503=EN428)*$E$4:$E$503*$C$4:$C$503)/EP428,AVERAGEIF($EN$4:$EN$503,EN428,$C$4:$C$503)),"")</f>
        <v/>
      </c>
      <c r="EV428" s="165">
        <f>IF(ISNUMBER(I428),I428,2958465)</f>
        <v>2958465.0</v>
      </c>
      <c r="EW428" s="165" t="str">
        <f>IF(EO428=1,SUMPRODUCT(MIN(($EN$4:$EN$503=EN428)*$EV$4:$EV$503+($EN$4:$EN$503&lt;&gt;EN428)*2958465)),"")</f>
        <v/>
      </c>
      <c r="EX428" s="165">
        <f>IF(AND(D428=1,ISNUMBER(INDEX(Charge!$F:$F,ROW()))),INDEX(Charge!$F:$F,ROW()),0)</f>
        <v>0.0</v>
      </c>
      <c r="EY428" s="165" t="str">
        <f>IF(EO428=1,SUMPRODUCT(MAX(($EN$4:$EN$503=EN428)*$EX$4:$EX$503)),"")</f>
        <v/>
      </c>
      <c r="FD428">
        <f>IF(AND(B428=1,TRIM(INDEX(Charge!$K:$K,ROW()))&lt;&gt;"",TRIM(INDEX(Charge!$L:$L,ROW()))&lt;&gt;""),1,0)</f>
        <v>0</v>
      </c>
      <c r="FE428">
        <f>IF(OR(EN428="",BZ428="(non affecté)"),0,IF(COUNTIFS($EN$4:EN428,EN428,$BZ$4:BZ428,BZ428)=1,1,0))</f>
        <v>0</v>
      </c>
    </row>
    <row r="429">
      <c r="A429">
        <f>ROW()</f>
        <v>429</v>
      </c>
      <c r="B429">
        <f>IF(TRIM(INDEX(Charge!$B:$B,ROW()))&lt;&gt;"",1,0)</f>
        <v>0</v>
      </c>
      <c r="C429">
        <f>IF(B429=1,MIN(1,MAX(0,N(INDEX(Charge!$O:$O,ROW())))),0)</f>
        <v>0</v>
      </c>
      <c r="D429">
        <f>IF(B429=1,IF(OR(p_Perimetre="Tous les projets",C429&lt;1),1,0),0)</f>
        <v>0</v>
      </c>
      <c r="E429">
        <f>IF(D429=1,MAX(0,N(INDEX(Charge!$M:$M,ROW()))),0)</f>
        <v>0</v>
      </c>
      <c r="F429" t="str">
        <f>IF(D429=1,IF(TRIM(INDEX(Charge!$A:$A,ROW()))="","(non renseigné)",TRIM(INDEX(Charge!$A:$A,ROW()))),"")</f>
        <v/>
      </c>
      <c r="G429" t="str">
        <f>IF(D429=1,TRIM(INDEX(Charge!$B:$B,ROW())),"")</f>
        <v/>
      </c>
      <c r="H429" t="str">
        <f>IF(D429=1,IF(TRIM(INDEX(Charge!$E:$E,ROW()))="","(non renseigné)",TRIM(INDEX(Charge!$E:$E,ROW()))),"")</f>
        <v/>
      </c>
      <c r="I429" s="165" t="str">
        <f>IF(AND(D429=1,ISNUMBER(INDEX(Charge!$N:$N,ROW()))),INDEX(Charge!$N:$N,ROW()),"")</f>
        <v/>
      </c>
      <c r="J429" s="165" t="str">
        <f>IF(I429="","",IF(AND(p_Repartition="Lissée jusqu'à la date de besoin",ISNUMBER(INDEX(Charge!$F:$F,ROW()))),IF(INDEX(Charge!$F:$F,ROW())&gt;=I429,INDEX(Charge!$F:$F,ROW()),I429),I429))</f>
        <v/>
      </c>
      <c r="K429" t="str">
        <f>IF(I429="","",NETWORKDAYS(I429,J429,Data!$K$4:$K$203))</f>
        <v/>
      </c>
      <c r="L429" t="str">
        <f>IF(D429=1,COUNTIFS($D$4:$D$503,1,$E$4:$E$503,"&gt;"&amp;E429)+COUNTIFS($D$4:$D429,1,$E$4:$E429,E429),"")</f>
        <v/>
      </c>
      <c r="M429">
        <f>IF(F429="",0,IF(COUNTIF($F$4:F429,F429)=1,1,0))</f>
        <v>0</v>
      </c>
      <c r="N429" t="str">
        <f>IF(M429=1,ROUND(SUMIF($F$4:$F$503,F429,$E$4:$E$503),2),"")</f>
        <v/>
      </c>
      <c r="O429" t="str">
        <f>IF(M429=1,COUNTIFS($M$4:$M$503,1,$N$4:$N$503,"&gt;"&amp;N429)+COUNTIFS($M$4:M429,1,$N$4:N429,N429),"")</f>
        <v/>
      </c>
      <c r="P429">
        <f>IF(G429="",0,IF(COUNTIF($G$4:G429,G429)=1,1,0))</f>
        <v>0</v>
      </c>
      <c r="Q429" t="str">
        <f>IF(P429=1,ROUND(SUMIF($G$4:$G$503,G429,$E$4:$E$503),2),"")</f>
        <v/>
      </c>
      <c r="R429" t="str">
        <f>IF(P429=1,COUNTIFS($P$4:$P$503,1,$Q$4:$Q$503,"&gt;"&amp;Q429)+COUNTIFS($P$4:P429,1,$Q$4:Q429,Q429),"")</f>
        <v/>
      </c>
      <c r="S429">
        <f>IF(H429="",0,IF(COUNTIF($H$4:H429,H429)=1,1,0))</f>
        <v>0</v>
      </c>
      <c r="T429" t="str">
        <f>IF(S429=1,ROUND(SUMIF($H$4:$H$503,H429,$E$4:$E$503),2),"")</f>
        <v/>
      </c>
      <c r="U429" t="str">
        <f>IF(S429=1,COUNTIFS($S$4:$S$503,1,$T$4:$T$503,"&gt;"&amp;T429)+COUNTIFS($S$4:S429,1,$T$4:T429,T429),"")</f>
        <v/>
      </c>
      <c r="V429" t="str">
        <f>IF(D429=1,MIN(INDEX($R$4:$R$503,MATCH(G429,$G$4:$G$503,0)),IF($AL$7&gt;9,9,999)),"")</f>
        <v/>
      </c>
      <c r="W429" s="166">
        <f>IF(OR($I429="",$E429=0),0,IF(OR($J429&lt;W$3,$I429&gt;W$2),0,IF($K429=0,IF(AND($I429&gt;=W$3,$I429&lt;=W$2),$E429,0),$E429*NETWORKDAYS(MAX($I429,W$3),MIN($J429,W$2),Data!$K$4:$K$203)/$K429)))</f>
        <v>0</v>
      </c>
      <c r="X429" s="166">
        <f>IF(OR($I429="",$E429=0),0,IF(OR($J429&lt;X$3,$I429&gt;X$2),0,IF($K429=0,IF(AND($I429&gt;=X$3,$I429&lt;=X$2),$E429,0),$E429*NETWORKDAYS(MAX($I429,X$3),MIN($J429,X$2),Data!$K$4:$K$203)/$K429)))</f>
        <v>0</v>
      </c>
      <c r="Y429" s="166">
        <f>IF(OR($I429="",$E429=0),0,IF(OR($J429&lt;Y$3,$I429&gt;Y$2),0,IF($K429=0,IF(AND($I429&gt;=Y$3,$I429&lt;=Y$2),$E429,0),$E429*NETWORKDAYS(MAX($I429,Y$3),MIN($J429,Y$2),Data!$K$4:$K$203)/$K429)))</f>
        <v>0</v>
      </c>
      <c r="Z429" s="166">
        <f>IF(OR($I429="",$E429=0),0,IF(OR($J429&lt;Z$3,$I429&gt;Z$2),0,IF($K429=0,IF(AND($I429&gt;=Z$3,$I429&lt;=Z$2),$E429,0),$E429*NETWORKDAYS(MAX($I429,Z$3),MIN($J429,Z$2),Data!$K$4:$K$203)/$K429)))</f>
        <v>0</v>
      </c>
      <c r="AA429" s="166">
        <f>IF(OR($I429="",$E429=0),0,IF(OR($J429&lt;AA$3,$I429&gt;AA$2),0,IF($K429=0,IF(AND($I429&gt;=AA$3,$I429&lt;=AA$2),$E429,0),$E429*NETWORKDAYS(MAX($I429,AA$3),MIN($J429,AA$2),Data!$K$4:$K$203)/$K429)))</f>
        <v>0</v>
      </c>
      <c r="AB429" s="166">
        <f>IF(OR($I429="",$E429=0),0,IF(OR($J429&lt;AB$3,$I429&gt;AB$2),0,IF($K429=0,IF(AND($I429&gt;=AB$3,$I429&lt;=AB$2),$E429,0),$E429*NETWORKDAYS(MAX($I429,AB$3),MIN($J429,AB$2),Data!$K$4:$K$203)/$K429)))</f>
        <v>0</v>
      </c>
      <c r="AC429" s="166">
        <f>IF(OR($I429="",$E429=0),0,IF(OR($J429&lt;AC$3,$I429&gt;AC$2),0,IF($K429=0,IF(AND($I429&gt;=AC$3,$I429&lt;=AC$2),$E429,0),$E429*NETWORKDAYS(MAX($I429,AC$3),MIN($J429,AC$2),Data!$K$4:$K$203)/$K429)))</f>
        <v>0</v>
      </c>
      <c r="AD429" s="166">
        <f>IF(OR($I429="",$E429=0),0,IF(OR($J429&lt;AD$3,$I429&gt;AD$2),0,IF($K429=0,IF(AND($I429&gt;=AD$3,$I429&lt;=AD$2),$E429,0),$E429*NETWORKDAYS(MAX($I429,AD$3),MIN($J429,AD$2),Data!$K$4:$K$203)/$K429)))</f>
        <v>0</v>
      </c>
      <c r="AE429" s="166">
        <f>IF(OR($I429="",$E429=0),0,IF(OR($J429&lt;AE$3,$I429&gt;AE$2),0,IF($K429=0,IF(AND($I429&gt;=AE$3,$I429&lt;=AE$2),$E429,0),$E429*NETWORKDAYS(MAX($I429,AE$3),MIN($J429,AE$2),Data!$K$4:$K$203)/$K429)))</f>
        <v>0</v>
      </c>
      <c r="AF429" s="166">
        <f>IF(OR($I429="",$E429=0),0,IF(OR($J429&lt;AF$3,$I429&gt;AF$2),0,IF($K429=0,IF(AND($I429&gt;=AF$3,$I429&lt;=AF$2),$E429,0),$E429*NETWORKDAYS(MAX($I429,AF$3),MIN($J429,AF$2),Data!$K$4:$K$203)/$K429)))</f>
        <v>0</v>
      </c>
      <c r="AG429" s="166">
        <f>IF(OR($I429="",$E429=0),0,IF(OR($J429&lt;AG$3,$I429&gt;AG$2),0,IF($K429=0,IF(AND($I429&gt;=AG$3,$I429&lt;=AG$2),$E429,0),$E429*NETWORKDAYS(MAX($I429,AG$3),MIN($J429,AG$2),Data!$K$4:$K$203)/$K429)))</f>
        <v>0</v>
      </c>
      <c r="AH429" s="166">
        <f>IF(OR($I429="",$E429=0),0,IF(OR($J429&lt;AH$3,$I429&gt;AH$2),0,IF($K429=0,IF(AND($I429&gt;=AH$3,$I429&lt;=AH$2),$E429,0),$E429*NETWORKDAYS(MAX($I429,AH$3),MIN($J429,AH$2),Data!$K$4:$K$203)/$K429)))</f>
        <v>0</v>
      </c>
      <c r="AI429" s="166">
        <f>SUM(W429:AH429)</f>
        <v>0</v>
      </c>
      <c r="BZ429" t="str">
        <f>IF(D429=1,IF(TRIM(INDEX(Charge!$K:$K,ROW()))&lt;&gt;"",TRIM(INDEX(Charge!$K:$K,ROW())),IF(TRIM(INDEX(Charge!$L:$L,ROW()))&lt;&gt;"",TRIM(INDEX(Charge!$L:$L,ROW())),"(non affecté)")),"")</f>
        <v/>
      </c>
      <c r="CA429" t="str">
        <f>IF(AND($CD$4&lt;&gt;"",BZ429=$CD$4),COUNTIFS($BZ$4:$BZ$503,$CD$4,$L$4:$L$503,"&lt;"&amp;L429)+1,"")</f>
        <v/>
      </c>
      <c r="EM429" t="str">
        <f>IF(D429=1,IF(TRIM(INDEX(Charge!$K:$K,ROW()))&lt;&gt;"","Interne",IF(TRIM(INDEX(Charge!$L:$L,ROW()))&lt;&gt;"","Externe","Non affecté")),"")</f>
        <v/>
      </c>
      <c r="EN429" t="str">
        <f>IF(D429=1,LEFT(SUBSTITUTE(SUBSTITUTE(SUBSTITUTE(TRIM(SUBSTITUTE(INDEX(Charge!$B:$B,ROW()),CHAR(160)," "))&amp;" | "&amp;TRIM(SUBSTITUTE(INDEX(Charge!$C:$C,ROW()),CHAR(160)," "))&amp;" | "&amp;TRIM(SUBSTITUTE(INDEX(Charge!$D:$D,ROW()),CHAR(160)," ")),"~","-"),"*","+"),"?","!"),240),"")</f>
        <v/>
      </c>
      <c r="EO429">
        <f>IF(EN429="",0,IF(COUNTIF($EN$4:EN429,EN429)=1,1,0))</f>
        <v>0</v>
      </c>
      <c r="EP429" s="166" t="str">
        <f>IF(EO429=1,ROUND(SUMIF($EN$4:$EN$503,EN429,$E$4:$E$503),2),"")</f>
        <v/>
      </c>
      <c r="EQ429" t="str">
        <f>IF(EO429=1,COUNTIFS($EO$4:$EO$503,1,$EP$4:$EP$503,"&gt;"&amp;EP429)+COUNTIFS($EO$4:EO429,1,$EP$4:EP429,EP429),"")</f>
        <v/>
      </c>
      <c r="ER429" t="str">
        <f>IF(EO429=1,COUNTIFS($EN$4:$EN$503,EN429,$EM$4:$EM$503,"Interne",$FE$4:$FE$503,1),"")</f>
        <v/>
      </c>
      <c r="ES429" t="str">
        <f>IF(EO429=1,COUNTIFS($EN$4:$EN$503,EN429,$EM$4:$EM$503,"Externe",$FE$4:$FE$503,1),"")</f>
        <v/>
      </c>
      <c r="ET429" t="str">
        <f>IF(EO429=1,IF(ER429+ES429=0,"à affecter",IF(ER429=0,ES429&amp;" ext.",(ER429+ES429)&amp;IF(ES429&gt;0," dont "&amp;ES429&amp;" ext.",""))&amp;IF(COUNTIFS($EN$4:$EN$503,EN429,$EM$4:$EM$503,"Non affecté")&gt;0," + à affecter","")),"")</f>
        <v/>
      </c>
      <c r="EU429" s="170" t="str">
        <f>IF(EO429=1,IF(EP429&gt;0,SUMPRODUCT(($EN$4:$EN$503=EN429)*$E$4:$E$503*$C$4:$C$503)/EP429,AVERAGEIF($EN$4:$EN$503,EN429,$C$4:$C$503)),"")</f>
        <v/>
      </c>
      <c r="EV429" s="165">
        <f>IF(ISNUMBER(I429),I429,2958465)</f>
        <v>2958465.0</v>
      </c>
      <c r="EW429" s="165" t="str">
        <f>IF(EO429=1,SUMPRODUCT(MIN(($EN$4:$EN$503=EN429)*$EV$4:$EV$503+($EN$4:$EN$503&lt;&gt;EN429)*2958465)),"")</f>
        <v/>
      </c>
      <c r="EX429" s="165">
        <f>IF(AND(D429=1,ISNUMBER(INDEX(Charge!$F:$F,ROW()))),INDEX(Charge!$F:$F,ROW()),0)</f>
        <v>0.0</v>
      </c>
      <c r="EY429" s="165" t="str">
        <f>IF(EO429=1,SUMPRODUCT(MAX(($EN$4:$EN$503=EN429)*$EX$4:$EX$503)),"")</f>
        <v/>
      </c>
      <c r="FD429">
        <f>IF(AND(B429=1,TRIM(INDEX(Charge!$K:$K,ROW()))&lt;&gt;"",TRIM(INDEX(Charge!$L:$L,ROW()))&lt;&gt;""),1,0)</f>
        <v>0</v>
      </c>
      <c r="FE429">
        <f>IF(OR(EN429="",BZ429="(non affecté)"),0,IF(COUNTIFS($EN$4:EN429,EN429,$BZ$4:BZ429,BZ429)=1,1,0))</f>
        <v>0</v>
      </c>
    </row>
    <row r="430">
      <c r="A430">
        <f>ROW()</f>
        <v>430</v>
      </c>
      <c r="B430">
        <f>IF(TRIM(INDEX(Charge!$B:$B,ROW()))&lt;&gt;"",1,0)</f>
        <v>0</v>
      </c>
      <c r="C430">
        <f>IF(B430=1,MIN(1,MAX(0,N(INDEX(Charge!$O:$O,ROW())))),0)</f>
        <v>0</v>
      </c>
      <c r="D430">
        <f>IF(B430=1,IF(OR(p_Perimetre="Tous les projets",C430&lt;1),1,0),0)</f>
        <v>0</v>
      </c>
      <c r="E430">
        <f>IF(D430=1,MAX(0,N(INDEX(Charge!$M:$M,ROW()))),0)</f>
        <v>0</v>
      </c>
      <c r="F430" t="str">
        <f>IF(D430=1,IF(TRIM(INDEX(Charge!$A:$A,ROW()))="","(non renseigné)",TRIM(INDEX(Charge!$A:$A,ROW()))),"")</f>
        <v/>
      </c>
      <c r="G430" t="str">
        <f>IF(D430=1,TRIM(INDEX(Charge!$B:$B,ROW())),"")</f>
        <v/>
      </c>
      <c r="H430" t="str">
        <f>IF(D430=1,IF(TRIM(INDEX(Charge!$E:$E,ROW()))="","(non renseigné)",TRIM(INDEX(Charge!$E:$E,ROW()))),"")</f>
        <v/>
      </c>
      <c r="I430" s="165" t="str">
        <f>IF(AND(D430=1,ISNUMBER(INDEX(Charge!$N:$N,ROW()))),INDEX(Charge!$N:$N,ROW()),"")</f>
        <v/>
      </c>
      <c r="J430" s="165" t="str">
        <f>IF(I430="","",IF(AND(p_Repartition="Lissée jusqu'à la date de besoin",ISNUMBER(INDEX(Charge!$F:$F,ROW()))),IF(INDEX(Charge!$F:$F,ROW())&gt;=I430,INDEX(Charge!$F:$F,ROW()),I430),I430))</f>
        <v/>
      </c>
      <c r="K430" t="str">
        <f>IF(I430="","",NETWORKDAYS(I430,J430,Data!$K$4:$K$203))</f>
        <v/>
      </c>
      <c r="L430" t="str">
        <f>IF(D430=1,COUNTIFS($D$4:$D$503,1,$E$4:$E$503,"&gt;"&amp;E430)+COUNTIFS($D$4:$D430,1,$E$4:$E430,E430),"")</f>
        <v/>
      </c>
      <c r="M430">
        <f>IF(F430="",0,IF(COUNTIF($F$4:F430,F430)=1,1,0))</f>
        <v>0</v>
      </c>
      <c r="N430" t="str">
        <f>IF(M430=1,ROUND(SUMIF($F$4:$F$503,F430,$E$4:$E$503),2),"")</f>
        <v/>
      </c>
      <c r="O430" t="str">
        <f>IF(M430=1,COUNTIFS($M$4:$M$503,1,$N$4:$N$503,"&gt;"&amp;N430)+COUNTIFS($M$4:M430,1,$N$4:N430,N430),"")</f>
        <v/>
      </c>
      <c r="P430">
        <f>IF(G430="",0,IF(COUNTIF($G$4:G430,G430)=1,1,0))</f>
        <v>0</v>
      </c>
      <c r="Q430" t="str">
        <f>IF(P430=1,ROUND(SUMIF($G$4:$G$503,G430,$E$4:$E$503),2),"")</f>
        <v/>
      </c>
      <c r="R430" t="str">
        <f>IF(P430=1,COUNTIFS($P$4:$P$503,1,$Q$4:$Q$503,"&gt;"&amp;Q430)+COUNTIFS($P$4:P430,1,$Q$4:Q430,Q430),"")</f>
        <v/>
      </c>
      <c r="S430">
        <f>IF(H430="",0,IF(COUNTIF($H$4:H430,H430)=1,1,0))</f>
        <v>0</v>
      </c>
      <c r="T430" t="str">
        <f>IF(S430=1,ROUND(SUMIF($H$4:$H$503,H430,$E$4:$E$503),2),"")</f>
        <v/>
      </c>
      <c r="U430" t="str">
        <f>IF(S430=1,COUNTIFS($S$4:$S$503,1,$T$4:$T$503,"&gt;"&amp;T430)+COUNTIFS($S$4:S430,1,$T$4:T430,T430),"")</f>
        <v/>
      </c>
      <c r="V430" t="str">
        <f>IF(D430=1,MIN(INDEX($R$4:$R$503,MATCH(G430,$G$4:$G$503,0)),IF($AL$7&gt;9,9,999)),"")</f>
        <v/>
      </c>
      <c r="W430" s="166">
        <f>IF(OR($I430="",$E430=0),0,IF(OR($J430&lt;W$3,$I430&gt;W$2),0,IF($K430=0,IF(AND($I430&gt;=W$3,$I430&lt;=W$2),$E430,0),$E430*NETWORKDAYS(MAX($I430,W$3),MIN($J430,W$2),Data!$K$4:$K$203)/$K430)))</f>
        <v>0</v>
      </c>
      <c r="X430" s="166">
        <f>IF(OR($I430="",$E430=0),0,IF(OR($J430&lt;X$3,$I430&gt;X$2),0,IF($K430=0,IF(AND($I430&gt;=X$3,$I430&lt;=X$2),$E430,0),$E430*NETWORKDAYS(MAX($I430,X$3),MIN($J430,X$2),Data!$K$4:$K$203)/$K430)))</f>
        <v>0</v>
      </c>
      <c r="Y430" s="166">
        <f>IF(OR($I430="",$E430=0),0,IF(OR($J430&lt;Y$3,$I430&gt;Y$2),0,IF($K430=0,IF(AND($I430&gt;=Y$3,$I430&lt;=Y$2),$E430,0),$E430*NETWORKDAYS(MAX($I430,Y$3),MIN($J430,Y$2),Data!$K$4:$K$203)/$K430)))</f>
        <v>0</v>
      </c>
      <c r="Z430" s="166">
        <f>IF(OR($I430="",$E430=0),0,IF(OR($J430&lt;Z$3,$I430&gt;Z$2),0,IF($K430=0,IF(AND($I430&gt;=Z$3,$I430&lt;=Z$2),$E430,0),$E430*NETWORKDAYS(MAX($I430,Z$3),MIN($J430,Z$2),Data!$K$4:$K$203)/$K430)))</f>
        <v>0</v>
      </c>
      <c r="AA430" s="166">
        <f>IF(OR($I430="",$E430=0),0,IF(OR($J430&lt;AA$3,$I430&gt;AA$2),0,IF($K430=0,IF(AND($I430&gt;=AA$3,$I430&lt;=AA$2),$E430,0),$E430*NETWORKDAYS(MAX($I430,AA$3),MIN($J430,AA$2),Data!$K$4:$K$203)/$K430)))</f>
        <v>0</v>
      </c>
      <c r="AB430" s="166">
        <f>IF(OR($I430="",$E430=0),0,IF(OR($J430&lt;AB$3,$I430&gt;AB$2),0,IF($K430=0,IF(AND($I430&gt;=AB$3,$I430&lt;=AB$2),$E430,0),$E430*NETWORKDAYS(MAX($I430,AB$3),MIN($J430,AB$2),Data!$K$4:$K$203)/$K430)))</f>
        <v>0</v>
      </c>
      <c r="AC430" s="166">
        <f>IF(OR($I430="",$E430=0),0,IF(OR($J430&lt;AC$3,$I430&gt;AC$2),0,IF($K430=0,IF(AND($I430&gt;=AC$3,$I430&lt;=AC$2),$E430,0),$E430*NETWORKDAYS(MAX($I430,AC$3),MIN($J430,AC$2),Data!$K$4:$K$203)/$K430)))</f>
        <v>0</v>
      </c>
      <c r="AD430" s="166">
        <f>IF(OR($I430="",$E430=0),0,IF(OR($J430&lt;AD$3,$I430&gt;AD$2),0,IF($K430=0,IF(AND($I430&gt;=AD$3,$I430&lt;=AD$2),$E430,0),$E430*NETWORKDAYS(MAX($I430,AD$3),MIN($J430,AD$2),Data!$K$4:$K$203)/$K430)))</f>
        <v>0</v>
      </c>
      <c r="AE430" s="166">
        <f>IF(OR($I430="",$E430=0),0,IF(OR($J430&lt;AE$3,$I430&gt;AE$2),0,IF($K430=0,IF(AND($I430&gt;=AE$3,$I430&lt;=AE$2),$E430,0),$E430*NETWORKDAYS(MAX($I430,AE$3),MIN($J430,AE$2),Data!$K$4:$K$203)/$K430)))</f>
        <v>0</v>
      </c>
      <c r="AF430" s="166">
        <f>IF(OR($I430="",$E430=0),0,IF(OR($J430&lt;AF$3,$I430&gt;AF$2),0,IF($K430=0,IF(AND($I430&gt;=AF$3,$I430&lt;=AF$2),$E430,0),$E430*NETWORKDAYS(MAX($I430,AF$3),MIN($J430,AF$2),Data!$K$4:$K$203)/$K430)))</f>
        <v>0</v>
      </c>
      <c r="AG430" s="166">
        <f>IF(OR($I430="",$E430=0),0,IF(OR($J430&lt;AG$3,$I430&gt;AG$2),0,IF($K430=0,IF(AND($I430&gt;=AG$3,$I430&lt;=AG$2),$E430,0),$E430*NETWORKDAYS(MAX($I430,AG$3),MIN($J430,AG$2),Data!$K$4:$K$203)/$K430)))</f>
        <v>0</v>
      </c>
      <c r="AH430" s="166">
        <f>IF(OR($I430="",$E430=0),0,IF(OR($J430&lt;AH$3,$I430&gt;AH$2),0,IF($K430=0,IF(AND($I430&gt;=AH$3,$I430&lt;=AH$2),$E430,0),$E430*NETWORKDAYS(MAX($I430,AH$3),MIN($J430,AH$2),Data!$K$4:$K$203)/$K430)))</f>
        <v>0</v>
      </c>
      <c r="AI430" s="166">
        <f>SUM(W430:AH430)</f>
        <v>0</v>
      </c>
      <c r="BZ430" t="str">
        <f>IF(D430=1,IF(TRIM(INDEX(Charge!$K:$K,ROW()))&lt;&gt;"",TRIM(INDEX(Charge!$K:$K,ROW())),IF(TRIM(INDEX(Charge!$L:$L,ROW()))&lt;&gt;"",TRIM(INDEX(Charge!$L:$L,ROW())),"(non affecté)")),"")</f>
        <v/>
      </c>
      <c r="CA430" t="str">
        <f>IF(AND($CD$4&lt;&gt;"",BZ430=$CD$4),COUNTIFS($BZ$4:$BZ$503,$CD$4,$L$4:$L$503,"&lt;"&amp;L430)+1,"")</f>
        <v/>
      </c>
      <c r="EM430" t="str">
        <f>IF(D430=1,IF(TRIM(INDEX(Charge!$K:$K,ROW()))&lt;&gt;"","Interne",IF(TRIM(INDEX(Charge!$L:$L,ROW()))&lt;&gt;"","Externe","Non affecté")),"")</f>
        <v/>
      </c>
      <c r="EN430" t="str">
        <f>IF(D430=1,LEFT(SUBSTITUTE(SUBSTITUTE(SUBSTITUTE(TRIM(SUBSTITUTE(INDEX(Charge!$B:$B,ROW()),CHAR(160)," "))&amp;" | "&amp;TRIM(SUBSTITUTE(INDEX(Charge!$C:$C,ROW()),CHAR(160)," "))&amp;" | "&amp;TRIM(SUBSTITUTE(INDEX(Charge!$D:$D,ROW()),CHAR(160)," ")),"~","-"),"*","+"),"?","!"),240),"")</f>
        <v/>
      </c>
      <c r="EO430">
        <f>IF(EN430="",0,IF(COUNTIF($EN$4:EN430,EN430)=1,1,0))</f>
        <v>0</v>
      </c>
      <c r="EP430" s="166" t="str">
        <f>IF(EO430=1,ROUND(SUMIF($EN$4:$EN$503,EN430,$E$4:$E$503),2),"")</f>
        <v/>
      </c>
      <c r="EQ430" t="str">
        <f>IF(EO430=1,COUNTIFS($EO$4:$EO$503,1,$EP$4:$EP$503,"&gt;"&amp;EP430)+COUNTIFS($EO$4:EO430,1,$EP$4:EP430,EP430),"")</f>
        <v/>
      </c>
      <c r="ER430" t="str">
        <f>IF(EO430=1,COUNTIFS($EN$4:$EN$503,EN430,$EM$4:$EM$503,"Interne",$FE$4:$FE$503,1),"")</f>
        <v/>
      </c>
      <c r="ES430" t="str">
        <f>IF(EO430=1,COUNTIFS($EN$4:$EN$503,EN430,$EM$4:$EM$503,"Externe",$FE$4:$FE$503,1),"")</f>
        <v/>
      </c>
      <c r="ET430" t="str">
        <f>IF(EO430=1,IF(ER430+ES430=0,"à affecter",IF(ER430=0,ES430&amp;" ext.",(ER430+ES430)&amp;IF(ES430&gt;0," dont "&amp;ES430&amp;" ext.",""))&amp;IF(COUNTIFS($EN$4:$EN$503,EN430,$EM$4:$EM$503,"Non affecté")&gt;0," + à affecter","")),"")</f>
        <v/>
      </c>
      <c r="EU430" s="170" t="str">
        <f>IF(EO430=1,IF(EP430&gt;0,SUMPRODUCT(($EN$4:$EN$503=EN430)*$E$4:$E$503*$C$4:$C$503)/EP430,AVERAGEIF($EN$4:$EN$503,EN430,$C$4:$C$503)),"")</f>
        <v/>
      </c>
      <c r="EV430" s="165">
        <f>IF(ISNUMBER(I430),I430,2958465)</f>
        <v>2958465.0</v>
      </c>
      <c r="EW430" s="165" t="str">
        <f>IF(EO430=1,SUMPRODUCT(MIN(($EN$4:$EN$503=EN430)*$EV$4:$EV$503+($EN$4:$EN$503&lt;&gt;EN430)*2958465)),"")</f>
        <v/>
      </c>
      <c r="EX430" s="165">
        <f>IF(AND(D430=1,ISNUMBER(INDEX(Charge!$F:$F,ROW()))),INDEX(Charge!$F:$F,ROW()),0)</f>
        <v>0.0</v>
      </c>
      <c r="EY430" s="165" t="str">
        <f>IF(EO430=1,SUMPRODUCT(MAX(($EN$4:$EN$503=EN430)*$EX$4:$EX$503)),"")</f>
        <v/>
      </c>
      <c r="FD430">
        <f>IF(AND(B430=1,TRIM(INDEX(Charge!$K:$K,ROW()))&lt;&gt;"",TRIM(INDEX(Charge!$L:$L,ROW()))&lt;&gt;""),1,0)</f>
        <v>0</v>
      </c>
      <c r="FE430">
        <f>IF(OR(EN430="",BZ430="(non affecté)"),0,IF(COUNTIFS($EN$4:EN430,EN430,$BZ$4:BZ430,BZ430)=1,1,0))</f>
        <v>0</v>
      </c>
    </row>
    <row r="431">
      <c r="A431">
        <f>ROW()</f>
        <v>431</v>
      </c>
      <c r="B431">
        <f>IF(TRIM(INDEX(Charge!$B:$B,ROW()))&lt;&gt;"",1,0)</f>
        <v>0</v>
      </c>
      <c r="C431">
        <f>IF(B431=1,MIN(1,MAX(0,N(INDEX(Charge!$O:$O,ROW())))),0)</f>
        <v>0</v>
      </c>
      <c r="D431">
        <f>IF(B431=1,IF(OR(p_Perimetre="Tous les projets",C431&lt;1),1,0),0)</f>
        <v>0</v>
      </c>
      <c r="E431">
        <f>IF(D431=1,MAX(0,N(INDEX(Charge!$M:$M,ROW()))),0)</f>
        <v>0</v>
      </c>
      <c r="F431" t="str">
        <f>IF(D431=1,IF(TRIM(INDEX(Charge!$A:$A,ROW()))="","(non renseigné)",TRIM(INDEX(Charge!$A:$A,ROW()))),"")</f>
        <v/>
      </c>
      <c r="G431" t="str">
        <f>IF(D431=1,TRIM(INDEX(Charge!$B:$B,ROW())),"")</f>
        <v/>
      </c>
      <c r="H431" t="str">
        <f>IF(D431=1,IF(TRIM(INDEX(Charge!$E:$E,ROW()))="","(non renseigné)",TRIM(INDEX(Charge!$E:$E,ROW()))),"")</f>
        <v/>
      </c>
      <c r="I431" s="165" t="str">
        <f>IF(AND(D431=1,ISNUMBER(INDEX(Charge!$N:$N,ROW()))),INDEX(Charge!$N:$N,ROW()),"")</f>
        <v/>
      </c>
      <c r="J431" s="165" t="str">
        <f>IF(I431="","",IF(AND(p_Repartition="Lissée jusqu'à la date de besoin",ISNUMBER(INDEX(Charge!$F:$F,ROW()))),IF(INDEX(Charge!$F:$F,ROW())&gt;=I431,INDEX(Charge!$F:$F,ROW()),I431),I431))</f>
        <v/>
      </c>
      <c r="K431" t="str">
        <f>IF(I431="","",NETWORKDAYS(I431,J431,Data!$K$4:$K$203))</f>
        <v/>
      </c>
      <c r="L431" t="str">
        <f>IF(D431=1,COUNTIFS($D$4:$D$503,1,$E$4:$E$503,"&gt;"&amp;E431)+COUNTIFS($D$4:$D431,1,$E$4:$E431,E431),"")</f>
        <v/>
      </c>
      <c r="M431">
        <f>IF(F431="",0,IF(COUNTIF($F$4:F431,F431)=1,1,0))</f>
        <v>0</v>
      </c>
      <c r="N431" t="str">
        <f>IF(M431=1,ROUND(SUMIF($F$4:$F$503,F431,$E$4:$E$503),2),"")</f>
        <v/>
      </c>
      <c r="O431" t="str">
        <f>IF(M431=1,COUNTIFS($M$4:$M$503,1,$N$4:$N$503,"&gt;"&amp;N431)+COUNTIFS($M$4:M431,1,$N$4:N431,N431),"")</f>
        <v/>
      </c>
      <c r="P431">
        <f>IF(G431="",0,IF(COUNTIF($G$4:G431,G431)=1,1,0))</f>
        <v>0</v>
      </c>
      <c r="Q431" t="str">
        <f>IF(P431=1,ROUND(SUMIF($G$4:$G$503,G431,$E$4:$E$503),2),"")</f>
        <v/>
      </c>
      <c r="R431" t="str">
        <f>IF(P431=1,COUNTIFS($P$4:$P$503,1,$Q$4:$Q$503,"&gt;"&amp;Q431)+COUNTIFS($P$4:P431,1,$Q$4:Q431,Q431),"")</f>
        <v/>
      </c>
      <c r="S431">
        <f>IF(H431="",0,IF(COUNTIF($H$4:H431,H431)=1,1,0))</f>
        <v>0</v>
      </c>
      <c r="T431" t="str">
        <f>IF(S431=1,ROUND(SUMIF($H$4:$H$503,H431,$E$4:$E$503),2),"")</f>
        <v/>
      </c>
      <c r="U431" t="str">
        <f>IF(S431=1,COUNTIFS($S$4:$S$503,1,$T$4:$T$503,"&gt;"&amp;T431)+COUNTIFS($S$4:S431,1,$T$4:T431,T431),"")</f>
        <v/>
      </c>
      <c r="V431" t="str">
        <f>IF(D431=1,MIN(INDEX($R$4:$R$503,MATCH(G431,$G$4:$G$503,0)),IF($AL$7&gt;9,9,999)),"")</f>
        <v/>
      </c>
      <c r="W431" s="166">
        <f>IF(OR($I431="",$E431=0),0,IF(OR($J431&lt;W$3,$I431&gt;W$2),0,IF($K431=0,IF(AND($I431&gt;=W$3,$I431&lt;=W$2),$E431,0),$E431*NETWORKDAYS(MAX($I431,W$3),MIN($J431,W$2),Data!$K$4:$K$203)/$K431)))</f>
        <v>0</v>
      </c>
      <c r="X431" s="166">
        <f>IF(OR($I431="",$E431=0),0,IF(OR($J431&lt;X$3,$I431&gt;X$2),0,IF($K431=0,IF(AND($I431&gt;=X$3,$I431&lt;=X$2),$E431,0),$E431*NETWORKDAYS(MAX($I431,X$3),MIN($J431,X$2),Data!$K$4:$K$203)/$K431)))</f>
        <v>0</v>
      </c>
      <c r="Y431" s="166">
        <f>IF(OR($I431="",$E431=0),0,IF(OR($J431&lt;Y$3,$I431&gt;Y$2),0,IF($K431=0,IF(AND($I431&gt;=Y$3,$I431&lt;=Y$2),$E431,0),$E431*NETWORKDAYS(MAX($I431,Y$3),MIN($J431,Y$2),Data!$K$4:$K$203)/$K431)))</f>
        <v>0</v>
      </c>
      <c r="Z431" s="166">
        <f>IF(OR($I431="",$E431=0),0,IF(OR($J431&lt;Z$3,$I431&gt;Z$2),0,IF($K431=0,IF(AND($I431&gt;=Z$3,$I431&lt;=Z$2),$E431,0),$E431*NETWORKDAYS(MAX($I431,Z$3),MIN($J431,Z$2),Data!$K$4:$K$203)/$K431)))</f>
        <v>0</v>
      </c>
      <c r="AA431" s="166">
        <f>IF(OR($I431="",$E431=0),0,IF(OR($J431&lt;AA$3,$I431&gt;AA$2),0,IF($K431=0,IF(AND($I431&gt;=AA$3,$I431&lt;=AA$2),$E431,0),$E431*NETWORKDAYS(MAX($I431,AA$3),MIN($J431,AA$2),Data!$K$4:$K$203)/$K431)))</f>
        <v>0</v>
      </c>
      <c r="AB431" s="166">
        <f>IF(OR($I431="",$E431=0),0,IF(OR($J431&lt;AB$3,$I431&gt;AB$2),0,IF($K431=0,IF(AND($I431&gt;=AB$3,$I431&lt;=AB$2),$E431,0),$E431*NETWORKDAYS(MAX($I431,AB$3),MIN($J431,AB$2),Data!$K$4:$K$203)/$K431)))</f>
        <v>0</v>
      </c>
      <c r="AC431" s="166">
        <f>IF(OR($I431="",$E431=0),0,IF(OR($J431&lt;AC$3,$I431&gt;AC$2),0,IF($K431=0,IF(AND($I431&gt;=AC$3,$I431&lt;=AC$2),$E431,0),$E431*NETWORKDAYS(MAX($I431,AC$3),MIN($J431,AC$2),Data!$K$4:$K$203)/$K431)))</f>
        <v>0</v>
      </c>
      <c r="AD431" s="166">
        <f>IF(OR($I431="",$E431=0),0,IF(OR($J431&lt;AD$3,$I431&gt;AD$2),0,IF($K431=0,IF(AND($I431&gt;=AD$3,$I431&lt;=AD$2),$E431,0),$E431*NETWORKDAYS(MAX($I431,AD$3),MIN($J431,AD$2),Data!$K$4:$K$203)/$K431)))</f>
        <v>0</v>
      </c>
      <c r="AE431" s="166">
        <f>IF(OR($I431="",$E431=0),0,IF(OR($J431&lt;AE$3,$I431&gt;AE$2),0,IF($K431=0,IF(AND($I431&gt;=AE$3,$I431&lt;=AE$2),$E431,0),$E431*NETWORKDAYS(MAX($I431,AE$3),MIN($J431,AE$2),Data!$K$4:$K$203)/$K431)))</f>
        <v>0</v>
      </c>
      <c r="AF431" s="166">
        <f>IF(OR($I431="",$E431=0),0,IF(OR($J431&lt;AF$3,$I431&gt;AF$2),0,IF($K431=0,IF(AND($I431&gt;=AF$3,$I431&lt;=AF$2),$E431,0),$E431*NETWORKDAYS(MAX($I431,AF$3),MIN($J431,AF$2),Data!$K$4:$K$203)/$K431)))</f>
        <v>0</v>
      </c>
      <c r="AG431" s="166">
        <f>IF(OR($I431="",$E431=0),0,IF(OR($J431&lt;AG$3,$I431&gt;AG$2),0,IF($K431=0,IF(AND($I431&gt;=AG$3,$I431&lt;=AG$2),$E431,0),$E431*NETWORKDAYS(MAX($I431,AG$3),MIN($J431,AG$2),Data!$K$4:$K$203)/$K431)))</f>
        <v>0</v>
      </c>
      <c r="AH431" s="166">
        <f>IF(OR($I431="",$E431=0),0,IF(OR($J431&lt;AH$3,$I431&gt;AH$2),0,IF($K431=0,IF(AND($I431&gt;=AH$3,$I431&lt;=AH$2),$E431,0),$E431*NETWORKDAYS(MAX($I431,AH$3),MIN($J431,AH$2),Data!$K$4:$K$203)/$K431)))</f>
        <v>0</v>
      </c>
      <c r="AI431" s="166">
        <f>SUM(W431:AH431)</f>
        <v>0</v>
      </c>
      <c r="BZ431" t="str">
        <f>IF(D431=1,IF(TRIM(INDEX(Charge!$K:$K,ROW()))&lt;&gt;"",TRIM(INDEX(Charge!$K:$K,ROW())),IF(TRIM(INDEX(Charge!$L:$L,ROW()))&lt;&gt;"",TRIM(INDEX(Charge!$L:$L,ROW())),"(non affecté)")),"")</f>
        <v/>
      </c>
      <c r="CA431" t="str">
        <f>IF(AND($CD$4&lt;&gt;"",BZ431=$CD$4),COUNTIFS($BZ$4:$BZ$503,$CD$4,$L$4:$L$503,"&lt;"&amp;L431)+1,"")</f>
        <v/>
      </c>
      <c r="EM431" t="str">
        <f>IF(D431=1,IF(TRIM(INDEX(Charge!$K:$K,ROW()))&lt;&gt;"","Interne",IF(TRIM(INDEX(Charge!$L:$L,ROW()))&lt;&gt;"","Externe","Non affecté")),"")</f>
        <v/>
      </c>
      <c r="EN431" t="str">
        <f>IF(D431=1,LEFT(SUBSTITUTE(SUBSTITUTE(SUBSTITUTE(TRIM(SUBSTITUTE(INDEX(Charge!$B:$B,ROW()),CHAR(160)," "))&amp;" | "&amp;TRIM(SUBSTITUTE(INDEX(Charge!$C:$C,ROW()),CHAR(160)," "))&amp;" | "&amp;TRIM(SUBSTITUTE(INDEX(Charge!$D:$D,ROW()),CHAR(160)," ")),"~","-"),"*","+"),"?","!"),240),"")</f>
        <v/>
      </c>
      <c r="EO431">
        <f>IF(EN431="",0,IF(COUNTIF($EN$4:EN431,EN431)=1,1,0))</f>
        <v>0</v>
      </c>
      <c r="EP431" s="166" t="str">
        <f>IF(EO431=1,ROUND(SUMIF($EN$4:$EN$503,EN431,$E$4:$E$503),2),"")</f>
        <v/>
      </c>
      <c r="EQ431" t="str">
        <f>IF(EO431=1,COUNTIFS($EO$4:$EO$503,1,$EP$4:$EP$503,"&gt;"&amp;EP431)+COUNTIFS($EO$4:EO431,1,$EP$4:EP431,EP431),"")</f>
        <v/>
      </c>
      <c r="ER431" t="str">
        <f>IF(EO431=1,COUNTIFS($EN$4:$EN$503,EN431,$EM$4:$EM$503,"Interne",$FE$4:$FE$503,1),"")</f>
        <v/>
      </c>
      <c r="ES431" t="str">
        <f>IF(EO431=1,COUNTIFS($EN$4:$EN$503,EN431,$EM$4:$EM$503,"Externe",$FE$4:$FE$503,1),"")</f>
        <v/>
      </c>
      <c r="ET431" t="str">
        <f>IF(EO431=1,IF(ER431+ES431=0,"à affecter",IF(ER431=0,ES431&amp;" ext.",(ER431+ES431)&amp;IF(ES431&gt;0," dont "&amp;ES431&amp;" ext.",""))&amp;IF(COUNTIFS($EN$4:$EN$503,EN431,$EM$4:$EM$503,"Non affecté")&gt;0," + à affecter","")),"")</f>
        <v/>
      </c>
      <c r="EU431" s="170" t="str">
        <f>IF(EO431=1,IF(EP431&gt;0,SUMPRODUCT(($EN$4:$EN$503=EN431)*$E$4:$E$503*$C$4:$C$503)/EP431,AVERAGEIF($EN$4:$EN$503,EN431,$C$4:$C$503)),"")</f>
        <v/>
      </c>
      <c r="EV431" s="165">
        <f>IF(ISNUMBER(I431),I431,2958465)</f>
        <v>2958465.0</v>
      </c>
      <c r="EW431" s="165" t="str">
        <f>IF(EO431=1,SUMPRODUCT(MIN(($EN$4:$EN$503=EN431)*$EV$4:$EV$503+($EN$4:$EN$503&lt;&gt;EN431)*2958465)),"")</f>
        <v/>
      </c>
      <c r="EX431" s="165">
        <f>IF(AND(D431=1,ISNUMBER(INDEX(Charge!$F:$F,ROW()))),INDEX(Charge!$F:$F,ROW()),0)</f>
        <v>0.0</v>
      </c>
      <c r="EY431" s="165" t="str">
        <f>IF(EO431=1,SUMPRODUCT(MAX(($EN$4:$EN$503=EN431)*$EX$4:$EX$503)),"")</f>
        <v/>
      </c>
      <c r="FD431">
        <f>IF(AND(B431=1,TRIM(INDEX(Charge!$K:$K,ROW()))&lt;&gt;"",TRIM(INDEX(Charge!$L:$L,ROW()))&lt;&gt;""),1,0)</f>
        <v>0</v>
      </c>
      <c r="FE431">
        <f>IF(OR(EN431="",BZ431="(non affecté)"),0,IF(COUNTIFS($EN$4:EN431,EN431,$BZ$4:BZ431,BZ431)=1,1,0))</f>
        <v>0</v>
      </c>
    </row>
    <row r="432">
      <c r="A432">
        <f>ROW()</f>
        <v>432</v>
      </c>
      <c r="B432">
        <f>IF(TRIM(INDEX(Charge!$B:$B,ROW()))&lt;&gt;"",1,0)</f>
        <v>0</v>
      </c>
      <c r="C432">
        <f>IF(B432=1,MIN(1,MAX(0,N(INDEX(Charge!$O:$O,ROW())))),0)</f>
        <v>0</v>
      </c>
      <c r="D432">
        <f>IF(B432=1,IF(OR(p_Perimetre="Tous les projets",C432&lt;1),1,0),0)</f>
        <v>0</v>
      </c>
      <c r="E432">
        <f>IF(D432=1,MAX(0,N(INDEX(Charge!$M:$M,ROW()))),0)</f>
        <v>0</v>
      </c>
      <c r="F432" t="str">
        <f>IF(D432=1,IF(TRIM(INDEX(Charge!$A:$A,ROW()))="","(non renseigné)",TRIM(INDEX(Charge!$A:$A,ROW()))),"")</f>
        <v/>
      </c>
      <c r="G432" t="str">
        <f>IF(D432=1,TRIM(INDEX(Charge!$B:$B,ROW())),"")</f>
        <v/>
      </c>
      <c r="H432" t="str">
        <f>IF(D432=1,IF(TRIM(INDEX(Charge!$E:$E,ROW()))="","(non renseigné)",TRIM(INDEX(Charge!$E:$E,ROW()))),"")</f>
        <v/>
      </c>
      <c r="I432" s="165" t="str">
        <f>IF(AND(D432=1,ISNUMBER(INDEX(Charge!$N:$N,ROW()))),INDEX(Charge!$N:$N,ROW()),"")</f>
        <v/>
      </c>
      <c r="J432" s="165" t="str">
        <f>IF(I432="","",IF(AND(p_Repartition="Lissée jusqu'à la date de besoin",ISNUMBER(INDEX(Charge!$F:$F,ROW()))),IF(INDEX(Charge!$F:$F,ROW())&gt;=I432,INDEX(Charge!$F:$F,ROW()),I432),I432))</f>
        <v/>
      </c>
      <c r="K432" t="str">
        <f>IF(I432="","",NETWORKDAYS(I432,J432,Data!$K$4:$K$203))</f>
        <v/>
      </c>
      <c r="L432" t="str">
        <f>IF(D432=1,COUNTIFS($D$4:$D$503,1,$E$4:$E$503,"&gt;"&amp;E432)+COUNTIFS($D$4:$D432,1,$E$4:$E432,E432),"")</f>
        <v/>
      </c>
      <c r="M432">
        <f>IF(F432="",0,IF(COUNTIF($F$4:F432,F432)=1,1,0))</f>
        <v>0</v>
      </c>
      <c r="N432" t="str">
        <f>IF(M432=1,ROUND(SUMIF($F$4:$F$503,F432,$E$4:$E$503),2),"")</f>
        <v/>
      </c>
      <c r="O432" t="str">
        <f>IF(M432=1,COUNTIFS($M$4:$M$503,1,$N$4:$N$503,"&gt;"&amp;N432)+COUNTIFS($M$4:M432,1,$N$4:N432,N432),"")</f>
        <v/>
      </c>
      <c r="P432">
        <f>IF(G432="",0,IF(COUNTIF($G$4:G432,G432)=1,1,0))</f>
        <v>0</v>
      </c>
      <c r="Q432" t="str">
        <f>IF(P432=1,ROUND(SUMIF($G$4:$G$503,G432,$E$4:$E$503),2),"")</f>
        <v/>
      </c>
      <c r="R432" t="str">
        <f>IF(P432=1,COUNTIFS($P$4:$P$503,1,$Q$4:$Q$503,"&gt;"&amp;Q432)+COUNTIFS($P$4:P432,1,$Q$4:Q432,Q432),"")</f>
        <v/>
      </c>
      <c r="S432">
        <f>IF(H432="",0,IF(COUNTIF($H$4:H432,H432)=1,1,0))</f>
        <v>0</v>
      </c>
      <c r="T432" t="str">
        <f>IF(S432=1,ROUND(SUMIF($H$4:$H$503,H432,$E$4:$E$503),2),"")</f>
        <v/>
      </c>
      <c r="U432" t="str">
        <f>IF(S432=1,COUNTIFS($S$4:$S$503,1,$T$4:$T$503,"&gt;"&amp;T432)+COUNTIFS($S$4:S432,1,$T$4:T432,T432),"")</f>
        <v/>
      </c>
      <c r="V432" t="str">
        <f>IF(D432=1,MIN(INDEX($R$4:$R$503,MATCH(G432,$G$4:$G$503,0)),IF($AL$7&gt;9,9,999)),"")</f>
        <v/>
      </c>
      <c r="W432" s="166">
        <f>IF(OR($I432="",$E432=0),0,IF(OR($J432&lt;W$3,$I432&gt;W$2),0,IF($K432=0,IF(AND($I432&gt;=W$3,$I432&lt;=W$2),$E432,0),$E432*NETWORKDAYS(MAX($I432,W$3),MIN($J432,W$2),Data!$K$4:$K$203)/$K432)))</f>
        <v>0</v>
      </c>
      <c r="X432" s="166">
        <f>IF(OR($I432="",$E432=0),0,IF(OR($J432&lt;X$3,$I432&gt;X$2),0,IF($K432=0,IF(AND($I432&gt;=X$3,$I432&lt;=X$2),$E432,0),$E432*NETWORKDAYS(MAX($I432,X$3),MIN($J432,X$2),Data!$K$4:$K$203)/$K432)))</f>
        <v>0</v>
      </c>
      <c r="Y432" s="166">
        <f>IF(OR($I432="",$E432=0),0,IF(OR($J432&lt;Y$3,$I432&gt;Y$2),0,IF($K432=0,IF(AND($I432&gt;=Y$3,$I432&lt;=Y$2),$E432,0),$E432*NETWORKDAYS(MAX($I432,Y$3),MIN($J432,Y$2),Data!$K$4:$K$203)/$K432)))</f>
        <v>0</v>
      </c>
      <c r="Z432" s="166">
        <f>IF(OR($I432="",$E432=0),0,IF(OR($J432&lt;Z$3,$I432&gt;Z$2),0,IF($K432=0,IF(AND($I432&gt;=Z$3,$I432&lt;=Z$2),$E432,0),$E432*NETWORKDAYS(MAX($I432,Z$3),MIN($J432,Z$2),Data!$K$4:$K$203)/$K432)))</f>
        <v>0</v>
      </c>
      <c r="AA432" s="166">
        <f>IF(OR($I432="",$E432=0),0,IF(OR($J432&lt;AA$3,$I432&gt;AA$2),0,IF($K432=0,IF(AND($I432&gt;=AA$3,$I432&lt;=AA$2),$E432,0),$E432*NETWORKDAYS(MAX($I432,AA$3),MIN($J432,AA$2),Data!$K$4:$K$203)/$K432)))</f>
        <v>0</v>
      </c>
      <c r="AB432" s="166">
        <f>IF(OR($I432="",$E432=0),0,IF(OR($J432&lt;AB$3,$I432&gt;AB$2),0,IF($K432=0,IF(AND($I432&gt;=AB$3,$I432&lt;=AB$2),$E432,0),$E432*NETWORKDAYS(MAX($I432,AB$3),MIN($J432,AB$2),Data!$K$4:$K$203)/$K432)))</f>
        <v>0</v>
      </c>
      <c r="AC432" s="166">
        <f>IF(OR($I432="",$E432=0),0,IF(OR($J432&lt;AC$3,$I432&gt;AC$2),0,IF($K432=0,IF(AND($I432&gt;=AC$3,$I432&lt;=AC$2),$E432,0),$E432*NETWORKDAYS(MAX($I432,AC$3),MIN($J432,AC$2),Data!$K$4:$K$203)/$K432)))</f>
        <v>0</v>
      </c>
      <c r="AD432" s="166">
        <f>IF(OR($I432="",$E432=0),0,IF(OR($J432&lt;AD$3,$I432&gt;AD$2),0,IF($K432=0,IF(AND($I432&gt;=AD$3,$I432&lt;=AD$2),$E432,0),$E432*NETWORKDAYS(MAX($I432,AD$3),MIN($J432,AD$2),Data!$K$4:$K$203)/$K432)))</f>
        <v>0</v>
      </c>
      <c r="AE432" s="166">
        <f>IF(OR($I432="",$E432=0),0,IF(OR($J432&lt;AE$3,$I432&gt;AE$2),0,IF($K432=0,IF(AND($I432&gt;=AE$3,$I432&lt;=AE$2),$E432,0),$E432*NETWORKDAYS(MAX($I432,AE$3),MIN($J432,AE$2),Data!$K$4:$K$203)/$K432)))</f>
        <v>0</v>
      </c>
      <c r="AF432" s="166">
        <f>IF(OR($I432="",$E432=0),0,IF(OR($J432&lt;AF$3,$I432&gt;AF$2),0,IF($K432=0,IF(AND($I432&gt;=AF$3,$I432&lt;=AF$2),$E432,0),$E432*NETWORKDAYS(MAX($I432,AF$3),MIN($J432,AF$2),Data!$K$4:$K$203)/$K432)))</f>
        <v>0</v>
      </c>
      <c r="AG432" s="166">
        <f>IF(OR($I432="",$E432=0),0,IF(OR($J432&lt;AG$3,$I432&gt;AG$2),0,IF($K432=0,IF(AND($I432&gt;=AG$3,$I432&lt;=AG$2),$E432,0),$E432*NETWORKDAYS(MAX($I432,AG$3),MIN($J432,AG$2),Data!$K$4:$K$203)/$K432)))</f>
        <v>0</v>
      </c>
      <c r="AH432" s="166">
        <f>IF(OR($I432="",$E432=0),0,IF(OR($J432&lt;AH$3,$I432&gt;AH$2),0,IF($K432=0,IF(AND($I432&gt;=AH$3,$I432&lt;=AH$2),$E432,0),$E432*NETWORKDAYS(MAX($I432,AH$3),MIN($J432,AH$2),Data!$K$4:$K$203)/$K432)))</f>
        <v>0</v>
      </c>
      <c r="AI432" s="166">
        <f>SUM(W432:AH432)</f>
        <v>0</v>
      </c>
      <c r="BZ432" t="str">
        <f>IF(D432=1,IF(TRIM(INDEX(Charge!$K:$K,ROW()))&lt;&gt;"",TRIM(INDEX(Charge!$K:$K,ROW())),IF(TRIM(INDEX(Charge!$L:$L,ROW()))&lt;&gt;"",TRIM(INDEX(Charge!$L:$L,ROW())),"(non affecté)")),"")</f>
        <v/>
      </c>
      <c r="CA432" t="str">
        <f>IF(AND($CD$4&lt;&gt;"",BZ432=$CD$4),COUNTIFS($BZ$4:$BZ$503,$CD$4,$L$4:$L$503,"&lt;"&amp;L432)+1,"")</f>
        <v/>
      </c>
      <c r="EM432" t="str">
        <f>IF(D432=1,IF(TRIM(INDEX(Charge!$K:$K,ROW()))&lt;&gt;"","Interne",IF(TRIM(INDEX(Charge!$L:$L,ROW()))&lt;&gt;"","Externe","Non affecté")),"")</f>
        <v/>
      </c>
      <c r="EN432" t="str">
        <f>IF(D432=1,LEFT(SUBSTITUTE(SUBSTITUTE(SUBSTITUTE(TRIM(SUBSTITUTE(INDEX(Charge!$B:$B,ROW()),CHAR(160)," "))&amp;" | "&amp;TRIM(SUBSTITUTE(INDEX(Charge!$C:$C,ROW()),CHAR(160)," "))&amp;" | "&amp;TRIM(SUBSTITUTE(INDEX(Charge!$D:$D,ROW()),CHAR(160)," ")),"~","-"),"*","+"),"?","!"),240),"")</f>
        <v/>
      </c>
      <c r="EO432">
        <f>IF(EN432="",0,IF(COUNTIF($EN$4:EN432,EN432)=1,1,0))</f>
        <v>0</v>
      </c>
      <c r="EP432" s="166" t="str">
        <f>IF(EO432=1,ROUND(SUMIF($EN$4:$EN$503,EN432,$E$4:$E$503),2),"")</f>
        <v/>
      </c>
      <c r="EQ432" t="str">
        <f>IF(EO432=1,COUNTIFS($EO$4:$EO$503,1,$EP$4:$EP$503,"&gt;"&amp;EP432)+COUNTIFS($EO$4:EO432,1,$EP$4:EP432,EP432),"")</f>
        <v/>
      </c>
      <c r="ER432" t="str">
        <f>IF(EO432=1,COUNTIFS($EN$4:$EN$503,EN432,$EM$4:$EM$503,"Interne",$FE$4:$FE$503,1),"")</f>
        <v/>
      </c>
      <c r="ES432" t="str">
        <f>IF(EO432=1,COUNTIFS($EN$4:$EN$503,EN432,$EM$4:$EM$503,"Externe",$FE$4:$FE$503,1),"")</f>
        <v/>
      </c>
      <c r="ET432" t="str">
        <f>IF(EO432=1,IF(ER432+ES432=0,"à affecter",IF(ER432=0,ES432&amp;" ext.",(ER432+ES432)&amp;IF(ES432&gt;0," dont "&amp;ES432&amp;" ext.",""))&amp;IF(COUNTIFS($EN$4:$EN$503,EN432,$EM$4:$EM$503,"Non affecté")&gt;0," + à affecter","")),"")</f>
        <v/>
      </c>
      <c r="EU432" s="170" t="str">
        <f>IF(EO432=1,IF(EP432&gt;0,SUMPRODUCT(($EN$4:$EN$503=EN432)*$E$4:$E$503*$C$4:$C$503)/EP432,AVERAGEIF($EN$4:$EN$503,EN432,$C$4:$C$503)),"")</f>
        <v/>
      </c>
      <c r="EV432" s="165">
        <f>IF(ISNUMBER(I432),I432,2958465)</f>
        <v>2958465.0</v>
      </c>
      <c r="EW432" s="165" t="str">
        <f>IF(EO432=1,SUMPRODUCT(MIN(($EN$4:$EN$503=EN432)*$EV$4:$EV$503+($EN$4:$EN$503&lt;&gt;EN432)*2958465)),"")</f>
        <v/>
      </c>
      <c r="EX432" s="165">
        <f>IF(AND(D432=1,ISNUMBER(INDEX(Charge!$F:$F,ROW()))),INDEX(Charge!$F:$F,ROW()),0)</f>
        <v>0.0</v>
      </c>
      <c r="EY432" s="165" t="str">
        <f>IF(EO432=1,SUMPRODUCT(MAX(($EN$4:$EN$503=EN432)*$EX$4:$EX$503)),"")</f>
        <v/>
      </c>
      <c r="FD432">
        <f>IF(AND(B432=1,TRIM(INDEX(Charge!$K:$K,ROW()))&lt;&gt;"",TRIM(INDEX(Charge!$L:$L,ROW()))&lt;&gt;""),1,0)</f>
        <v>0</v>
      </c>
      <c r="FE432">
        <f>IF(OR(EN432="",BZ432="(non affecté)"),0,IF(COUNTIFS($EN$4:EN432,EN432,$BZ$4:BZ432,BZ432)=1,1,0))</f>
        <v>0</v>
      </c>
    </row>
    <row r="433">
      <c r="A433">
        <f>ROW()</f>
        <v>433</v>
      </c>
      <c r="B433">
        <f>IF(TRIM(INDEX(Charge!$B:$B,ROW()))&lt;&gt;"",1,0)</f>
        <v>0</v>
      </c>
      <c r="C433">
        <f>IF(B433=1,MIN(1,MAX(0,N(INDEX(Charge!$O:$O,ROW())))),0)</f>
        <v>0</v>
      </c>
      <c r="D433">
        <f>IF(B433=1,IF(OR(p_Perimetre="Tous les projets",C433&lt;1),1,0),0)</f>
        <v>0</v>
      </c>
      <c r="E433">
        <f>IF(D433=1,MAX(0,N(INDEX(Charge!$M:$M,ROW()))),0)</f>
        <v>0</v>
      </c>
      <c r="F433" t="str">
        <f>IF(D433=1,IF(TRIM(INDEX(Charge!$A:$A,ROW()))="","(non renseigné)",TRIM(INDEX(Charge!$A:$A,ROW()))),"")</f>
        <v/>
      </c>
      <c r="G433" t="str">
        <f>IF(D433=1,TRIM(INDEX(Charge!$B:$B,ROW())),"")</f>
        <v/>
      </c>
      <c r="H433" t="str">
        <f>IF(D433=1,IF(TRIM(INDEX(Charge!$E:$E,ROW()))="","(non renseigné)",TRIM(INDEX(Charge!$E:$E,ROW()))),"")</f>
        <v/>
      </c>
      <c r="I433" s="165" t="str">
        <f>IF(AND(D433=1,ISNUMBER(INDEX(Charge!$N:$N,ROW()))),INDEX(Charge!$N:$N,ROW()),"")</f>
        <v/>
      </c>
      <c r="J433" s="165" t="str">
        <f>IF(I433="","",IF(AND(p_Repartition="Lissée jusqu'à la date de besoin",ISNUMBER(INDEX(Charge!$F:$F,ROW()))),IF(INDEX(Charge!$F:$F,ROW())&gt;=I433,INDEX(Charge!$F:$F,ROW()),I433),I433))</f>
        <v/>
      </c>
      <c r="K433" t="str">
        <f>IF(I433="","",NETWORKDAYS(I433,J433,Data!$K$4:$K$203))</f>
        <v/>
      </c>
      <c r="L433" t="str">
        <f>IF(D433=1,COUNTIFS($D$4:$D$503,1,$E$4:$E$503,"&gt;"&amp;E433)+COUNTIFS($D$4:$D433,1,$E$4:$E433,E433),"")</f>
        <v/>
      </c>
      <c r="M433">
        <f>IF(F433="",0,IF(COUNTIF($F$4:F433,F433)=1,1,0))</f>
        <v>0</v>
      </c>
      <c r="N433" t="str">
        <f>IF(M433=1,ROUND(SUMIF($F$4:$F$503,F433,$E$4:$E$503),2),"")</f>
        <v/>
      </c>
      <c r="O433" t="str">
        <f>IF(M433=1,COUNTIFS($M$4:$M$503,1,$N$4:$N$503,"&gt;"&amp;N433)+COUNTIFS($M$4:M433,1,$N$4:N433,N433),"")</f>
        <v/>
      </c>
      <c r="P433">
        <f>IF(G433="",0,IF(COUNTIF($G$4:G433,G433)=1,1,0))</f>
        <v>0</v>
      </c>
      <c r="Q433" t="str">
        <f>IF(P433=1,ROUND(SUMIF($G$4:$G$503,G433,$E$4:$E$503),2),"")</f>
        <v/>
      </c>
      <c r="R433" t="str">
        <f>IF(P433=1,COUNTIFS($P$4:$P$503,1,$Q$4:$Q$503,"&gt;"&amp;Q433)+COUNTIFS($P$4:P433,1,$Q$4:Q433,Q433),"")</f>
        <v/>
      </c>
      <c r="S433">
        <f>IF(H433="",0,IF(COUNTIF($H$4:H433,H433)=1,1,0))</f>
        <v>0</v>
      </c>
      <c r="T433" t="str">
        <f>IF(S433=1,ROUND(SUMIF($H$4:$H$503,H433,$E$4:$E$503),2),"")</f>
        <v/>
      </c>
      <c r="U433" t="str">
        <f>IF(S433=1,COUNTIFS($S$4:$S$503,1,$T$4:$T$503,"&gt;"&amp;T433)+COUNTIFS($S$4:S433,1,$T$4:T433,T433),"")</f>
        <v/>
      </c>
      <c r="V433" t="str">
        <f>IF(D433=1,MIN(INDEX($R$4:$R$503,MATCH(G433,$G$4:$G$503,0)),IF($AL$7&gt;9,9,999)),"")</f>
        <v/>
      </c>
      <c r="W433" s="166">
        <f>IF(OR($I433="",$E433=0),0,IF(OR($J433&lt;W$3,$I433&gt;W$2),0,IF($K433=0,IF(AND($I433&gt;=W$3,$I433&lt;=W$2),$E433,0),$E433*NETWORKDAYS(MAX($I433,W$3),MIN($J433,W$2),Data!$K$4:$K$203)/$K433)))</f>
        <v>0</v>
      </c>
      <c r="X433" s="166">
        <f>IF(OR($I433="",$E433=0),0,IF(OR($J433&lt;X$3,$I433&gt;X$2),0,IF($K433=0,IF(AND($I433&gt;=X$3,$I433&lt;=X$2),$E433,0),$E433*NETWORKDAYS(MAX($I433,X$3),MIN($J433,X$2),Data!$K$4:$K$203)/$K433)))</f>
        <v>0</v>
      </c>
      <c r="Y433" s="166">
        <f>IF(OR($I433="",$E433=0),0,IF(OR($J433&lt;Y$3,$I433&gt;Y$2),0,IF($K433=0,IF(AND($I433&gt;=Y$3,$I433&lt;=Y$2),$E433,0),$E433*NETWORKDAYS(MAX($I433,Y$3),MIN($J433,Y$2),Data!$K$4:$K$203)/$K433)))</f>
        <v>0</v>
      </c>
      <c r="Z433" s="166">
        <f>IF(OR($I433="",$E433=0),0,IF(OR($J433&lt;Z$3,$I433&gt;Z$2),0,IF($K433=0,IF(AND($I433&gt;=Z$3,$I433&lt;=Z$2),$E433,0),$E433*NETWORKDAYS(MAX($I433,Z$3),MIN($J433,Z$2),Data!$K$4:$K$203)/$K433)))</f>
        <v>0</v>
      </c>
      <c r="AA433" s="166">
        <f>IF(OR($I433="",$E433=0),0,IF(OR($J433&lt;AA$3,$I433&gt;AA$2),0,IF($K433=0,IF(AND($I433&gt;=AA$3,$I433&lt;=AA$2),$E433,0),$E433*NETWORKDAYS(MAX($I433,AA$3),MIN($J433,AA$2),Data!$K$4:$K$203)/$K433)))</f>
        <v>0</v>
      </c>
      <c r="AB433" s="166">
        <f>IF(OR($I433="",$E433=0),0,IF(OR($J433&lt;AB$3,$I433&gt;AB$2),0,IF($K433=0,IF(AND($I433&gt;=AB$3,$I433&lt;=AB$2),$E433,0),$E433*NETWORKDAYS(MAX($I433,AB$3),MIN($J433,AB$2),Data!$K$4:$K$203)/$K433)))</f>
        <v>0</v>
      </c>
      <c r="AC433" s="166">
        <f>IF(OR($I433="",$E433=0),0,IF(OR($J433&lt;AC$3,$I433&gt;AC$2),0,IF($K433=0,IF(AND($I433&gt;=AC$3,$I433&lt;=AC$2),$E433,0),$E433*NETWORKDAYS(MAX($I433,AC$3),MIN($J433,AC$2),Data!$K$4:$K$203)/$K433)))</f>
        <v>0</v>
      </c>
      <c r="AD433" s="166">
        <f>IF(OR($I433="",$E433=0),0,IF(OR($J433&lt;AD$3,$I433&gt;AD$2),0,IF($K433=0,IF(AND($I433&gt;=AD$3,$I433&lt;=AD$2),$E433,0),$E433*NETWORKDAYS(MAX($I433,AD$3),MIN($J433,AD$2),Data!$K$4:$K$203)/$K433)))</f>
        <v>0</v>
      </c>
      <c r="AE433" s="166">
        <f>IF(OR($I433="",$E433=0),0,IF(OR($J433&lt;AE$3,$I433&gt;AE$2),0,IF($K433=0,IF(AND($I433&gt;=AE$3,$I433&lt;=AE$2),$E433,0),$E433*NETWORKDAYS(MAX($I433,AE$3),MIN($J433,AE$2),Data!$K$4:$K$203)/$K433)))</f>
        <v>0</v>
      </c>
      <c r="AF433" s="166">
        <f>IF(OR($I433="",$E433=0),0,IF(OR($J433&lt;AF$3,$I433&gt;AF$2),0,IF($K433=0,IF(AND($I433&gt;=AF$3,$I433&lt;=AF$2),$E433,0),$E433*NETWORKDAYS(MAX($I433,AF$3),MIN($J433,AF$2),Data!$K$4:$K$203)/$K433)))</f>
        <v>0</v>
      </c>
      <c r="AG433" s="166">
        <f>IF(OR($I433="",$E433=0),0,IF(OR($J433&lt;AG$3,$I433&gt;AG$2),0,IF($K433=0,IF(AND($I433&gt;=AG$3,$I433&lt;=AG$2),$E433,0),$E433*NETWORKDAYS(MAX($I433,AG$3),MIN($J433,AG$2),Data!$K$4:$K$203)/$K433)))</f>
        <v>0</v>
      </c>
      <c r="AH433" s="166">
        <f>IF(OR($I433="",$E433=0),0,IF(OR($J433&lt;AH$3,$I433&gt;AH$2),0,IF($K433=0,IF(AND($I433&gt;=AH$3,$I433&lt;=AH$2),$E433,0),$E433*NETWORKDAYS(MAX($I433,AH$3),MIN($J433,AH$2),Data!$K$4:$K$203)/$K433)))</f>
        <v>0</v>
      </c>
      <c r="AI433" s="166">
        <f>SUM(W433:AH433)</f>
        <v>0</v>
      </c>
      <c r="BZ433" t="str">
        <f>IF(D433=1,IF(TRIM(INDEX(Charge!$K:$K,ROW()))&lt;&gt;"",TRIM(INDEX(Charge!$K:$K,ROW())),IF(TRIM(INDEX(Charge!$L:$L,ROW()))&lt;&gt;"",TRIM(INDEX(Charge!$L:$L,ROW())),"(non affecté)")),"")</f>
        <v/>
      </c>
      <c r="CA433" t="str">
        <f>IF(AND($CD$4&lt;&gt;"",BZ433=$CD$4),COUNTIFS($BZ$4:$BZ$503,$CD$4,$L$4:$L$503,"&lt;"&amp;L433)+1,"")</f>
        <v/>
      </c>
      <c r="EM433" t="str">
        <f>IF(D433=1,IF(TRIM(INDEX(Charge!$K:$K,ROW()))&lt;&gt;"","Interne",IF(TRIM(INDEX(Charge!$L:$L,ROW()))&lt;&gt;"","Externe","Non affecté")),"")</f>
        <v/>
      </c>
      <c r="EN433" t="str">
        <f>IF(D433=1,LEFT(SUBSTITUTE(SUBSTITUTE(SUBSTITUTE(TRIM(SUBSTITUTE(INDEX(Charge!$B:$B,ROW()),CHAR(160)," "))&amp;" | "&amp;TRIM(SUBSTITUTE(INDEX(Charge!$C:$C,ROW()),CHAR(160)," "))&amp;" | "&amp;TRIM(SUBSTITUTE(INDEX(Charge!$D:$D,ROW()),CHAR(160)," ")),"~","-"),"*","+"),"?","!"),240),"")</f>
        <v/>
      </c>
      <c r="EO433">
        <f>IF(EN433="",0,IF(COUNTIF($EN$4:EN433,EN433)=1,1,0))</f>
        <v>0</v>
      </c>
      <c r="EP433" s="166" t="str">
        <f>IF(EO433=1,ROUND(SUMIF($EN$4:$EN$503,EN433,$E$4:$E$503),2),"")</f>
        <v/>
      </c>
      <c r="EQ433" t="str">
        <f>IF(EO433=1,COUNTIFS($EO$4:$EO$503,1,$EP$4:$EP$503,"&gt;"&amp;EP433)+COUNTIFS($EO$4:EO433,1,$EP$4:EP433,EP433),"")</f>
        <v/>
      </c>
      <c r="ER433" t="str">
        <f>IF(EO433=1,COUNTIFS($EN$4:$EN$503,EN433,$EM$4:$EM$503,"Interne",$FE$4:$FE$503,1),"")</f>
        <v/>
      </c>
      <c r="ES433" t="str">
        <f>IF(EO433=1,COUNTIFS($EN$4:$EN$503,EN433,$EM$4:$EM$503,"Externe",$FE$4:$FE$503,1),"")</f>
        <v/>
      </c>
      <c r="ET433" t="str">
        <f>IF(EO433=1,IF(ER433+ES433=0,"à affecter",IF(ER433=0,ES433&amp;" ext.",(ER433+ES433)&amp;IF(ES433&gt;0," dont "&amp;ES433&amp;" ext.",""))&amp;IF(COUNTIFS($EN$4:$EN$503,EN433,$EM$4:$EM$503,"Non affecté")&gt;0," + à affecter","")),"")</f>
        <v/>
      </c>
      <c r="EU433" s="170" t="str">
        <f>IF(EO433=1,IF(EP433&gt;0,SUMPRODUCT(($EN$4:$EN$503=EN433)*$E$4:$E$503*$C$4:$C$503)/EP433,AVERAGEIF($EN$4:$EN$503,EN433,$C$4:$C$503)),"")</f>
        <v/>
      </c>
      <c r="EV433" s="165">
        <f>IF(ISNUMBER(I433),I433,2958465)</f>
        <v>2958465.0</v>
      </c>
      <c r="EW433" s="165" t="str">
        <f>IF(EO433=1,SUMPRODUCT(MIN(($EN$4:$EN$503=EN433)*$EV$4:$EV$503+($EN$4:$EN$503&lt;&gt;EN433)*2958465)),"")</f>
        <v/>
      </c>
      <c r="EX433" s="165">
        <f>IF(AND(D433=1,ISNUMBER(INDEX(Charge!$F:$F,ROW()))),INDEX(Charge!$F:$F,ROW()),0)</f>
        <v>0.0</v>
      </c>
      <c r="EY433" s="165" t="str">
        <f>IF(EO433=1,SUMPRODUCT(MAX(($EN$4:$EN$503=EN433)*$EX$4:$EX$503)),"")</f>
        <v/>
      </c>
      <c r="FD433">
        <f>IF(AND(B433=1,TRIM(INDEX(Charge!$K:$K,ROW()))&lt;&gt;"",TRIM(INDEX(Charge!$L:$L,ROW()))&lt;&gt;""),1,0)</f>
        <v>0</v>
      </c>
      <c r="FE433">
        <f>IF(OR(EN433="",BZ433="(non affecté)"),0,IF(COUNTIFS($EN$4:EN433,EN433,$BZ$4:BZ433,BZ433)=1,1,0))</f>
        <v>0</v>
      </c>
    </row>
    <row r="434">
      <c r="A434">
        <f>ROW()</f>
        <v>434</v>
      </c>
      <c r="B434">
        <f>IF(TRIM(INDEX(Charge!$B:$B,ROW()))&lt;&gt;"",1,0)</f>
        <v>0</v>
      </c>
      <c r="C434">
        <f>IF(B434=1,MIN(1,MAX(0,N(INDEX(Charge!$O:$O,ROW())))),0)</f>
        <v>0</v>
      </c>
      <c r="D434">
        <f>IF(B434=1,IF(OR(p_Perimetre="Tous les projets",C434&lt;1),1,0),0)</f>
        <v>0</v>
      </c>
      <c r="E434">
        <f>IF(D434=1,MAX(0,N(INDEX(Charge!$M:$M,ROW()))),0)</f>
        <v>0</v>
      </c>
      <c r="F434" t="str">
        <f>IF(D434=1,IF(TRIM(INDEX(Charge!$A:$A,ROW()))="","(non renseigné)",TRIM(INDEX(Charge!$A:$A,ROW()))),"")</f>
        <v/>
      </c>
      <c r="G434" t="str">
        <f>IF(D434=1,TRIM(INDEX(Charge!$B:$B,ROW())),"")</f>
        <v/>
      </c>
      <c r="H434" t="str">
        <f>IF(D434=1,IF(TRIM(INDEX(Charge!$E:$E,ROW()))="","(non renseigné)",TRIM(INDEX(Charge!$E:$E,ROW()))),"")</f>
        <v/>
      </c>
      <c r="I434" s="165" t="str">
        <f>IF(AND(D434=1,ISNUMBER(INDEX(Charge!$N:$N,ROW()))),INDEX(Charge!$N:$N,ROW()),"")</f>
        <v/>
      </c>
      <c r="J434" s="165" t="str">
        <f>IF(I434="","",IF(AND(p_Repartition="Lissée jusqu'à la date de besoin",ISNUMBER(INDEX(Charge!$F:$F,ROW()))),IF(INDEX(Charge!$F:$F,ROW())&gt;=I434,INDEX(Charge!$F:$F,ROW()),I434),I434))</f>
        <v/>
      </c>
      <c r="K434" t="str">
        <f>IF(I434="","",NETWORKDAYS(I434,J434,Data!$K$4:$K$203))</f>
        <v/>
      </c>
      <c r="L434" t="str">
        <f>IF(D434=1,COUNTIFS($D$4:$D$503,1,$E$4:$E$503,"&gt;"&amp;E434)+COUNTIFS($D$4:$D434,1,$E$4:$E434,E434),"")</f>
        <v/>
      </c>
      <c r="M434">
        <f>IF(F434="",0,IF(COUNTIF($F$4:F434,F434)=1,1,0))</f>
        <v>0</v>
      </c>
      <c r="N434" t="str">
        <f>IF(M434=1,ROUND(SUMIF($F$4:$F$503,F434,$E$4:$E$503),2),"")</f>
        <v/>
      </c>
      <c r="O434" t="str">
        <f>IF(M434=1,COUNTIFS($M$4:$M$503,1,$N$4:$N$503,"&gt;"&amp;N434)+COUNTIFS($M$4:M434,1,$N$4:N434,N434),"")</f>
        <v/>
      </c>
      <c r="P434">
        <f>IF(G434="",0,IF(COUNTIF($G$4:G434,G434)=1,1,0))</f>
        <v>0</v>
      </c>
      <c r="Q434" t="str">
        <f>IF(P434=1,ROUND(SUMIF($G$4:$G$503,G434,$E$4:$E$503),2),"")</f>
        <v/>
      </c>
      <c r="R434" t="str">
        <f>IF(P434=1,COUNTIFS($P$4:$P$503,1,$Q$4:$Q$503,"&gt;"&amp;Q434)+COUNTIFS($P$4:P434,1,$Q$4:Q434,Q434),"")</f>
        <v/>
      </c>
      <c r="S434">
        <f>IF(H434="",0,IF(COUNTIF($H$4:H434,H434)=1,1,0))</f>
        <v>0</v>
      </c>
      <c r="T434" t="str">
        <f>IF(S434=1,ROUND(SUMIF($H$4:$H$503,H434,$E$4:$E$503),2),"")</f>
        <v/>
      </c>
      <c r="U434" t="str">
        <f>IF(S434=1,COUNTIFS($S$4:$S$503,1,$T$4:$T$503,"&gt;"&amp;T434)+COUNTIFS($S$4:S434,1,$T$4:T434,T434),"")</f>
        <v/>
      </c>
      <c r="V434" t="str">
        <f>IF(D434=1,MIN(INDEX($R$4:$R$503,MATCH(G434,$G$4:$G$503,0)),IF($AL$7&gt;9,9,999)),"")</f>
        <v/>
      </c>
      <c r="W434" s="166">
        <f>IF(OR($I434="",$E434=0),0,IF(OR($J434&lt;W$3,$I434&gt;W$2),0,IF($K434=0,IF(AND($I434&gt;=W$3,$I434&lt;=W$2),$E434,0),$E434*NETWORKDAYS(MAX($I434,W$3),MIN($J434,W$2),Data!$K$4:$K$203)/$K434)))</f>
        <v>0</v>
      </c>
      <c r="X434" s="166">
        <f>IF(OR($I434="",$E434=0),0,IF(OR($J434&lt;X$3,$I434&gt;X$2),0,IF($K434=0,IF(AND($I434&gt;=X$3,$I434&lt;=X$2),$E434,0),$E434*NETWORKDAYS(MAX($I434,X$3),MIN($J434,X$2),Data!$K$4:$K$203)/$K434)))</f>
        <v>0</v>
      </c>
      <c r="Y434" s="166">
        <f>IF(OR($I434="",$E434=0),0,IF(OR($J434&lt;Y$3,$I434&gt;Y$2),0,IF($K434=0,IF(AND($I434&gt;=Y$3,$I434&lt;=Y$2),$E434,0),$E434*NETWORKDAYS(MAX($I434,Y$3),MIN($J434,Y$2),Data!$K$4:$K$203)/$K434)))</f>
        <v>0</v>
      </c>
      <c r="Z434" s="166">
        <f>IF(OR($I434="",$E434=0),0,IF(OR($J434&lt;Z$3,$I434&gt;Z$2),0,IF($K434=0,IF(AND($I434&gt;=Z$3,$I434&lt;=Z$2),$E434,0),$E434*NETWORKDAYS(MAX($I434,Z$3),MIN($J434,Z$2),Data!$K$4:$K$203)/$K434)))</f>
        <v>0</v>
      </c>
      <c r="AA434" s="166">
        <f>IF(OR($I434="",$E434=0),0,IF(OR($J434&lt;AA$3,$I434&gt;AA$2),0,IF($K434=0,IF(AND($I434&gt;=AA$3,$I434&lt;=AA$2),$E434,0),$E434*NETWORKDAYS(MAX($I434,AA$3),MIN($J434,AA$2),Data!$K$4:$K$203)/$K434)))</f>
        <v>0</v>
      </c>
      <c r="AB434" s="166">
        <f>IF(OR($I434="",$E434=0),0,IF(OR($J434&lt;AB$3,$I434&gt;AB$2),0,IF($K434=0,IF(AND($I434&gt;=AB$3,$I434&lt;=AB$2),$E434,0),$E434*NETWORKDAYS(MAX($I434,AB$3),MIN($J434,AB$2),Data!$K$4:$K$203)/$K434)))</f>
        <v>0</v>
      </c>
      <c r="AC434" s="166">
        <f>IF(OR($I434="",$E434=0),0,IF(OR($J434&lt;AC$3,$I434&gt;AC$2),0,IF($K434=0,IF(AND($I434&gt;=AC$3,$I434&lt;=AC$2),$E434,0),$E434*NETWORKDAYS(MAX($I434,AC$3),MIN($J434,AC$2),Data!$K$4:$K$203)/$K434)))</f>
        <v>0</v>
      </c>
      <c r="AD434" s="166">
        <f>IF(OR($I434="",$E434=0),0,IF(OR($J434&lt;AD$3,$I434&gt;AD$2),0,IF($K434=0,IF(AND($I434&gt;=AD$3,$I434&lt;=AD$2),$E434,0),$E434*NETWORKDAYS(MAX($I434,AD$3),MIN($J434,AD$2),Data!$K$4:$K$203)/$K434)))</f>
        <v>0</v>
      </c>
      <c r="AE434" s="166">
        <f>IF(OR($I434="",$E434=0),0,IF(OR($J434&lt;AE$3,$I434&gt;AE$2),0,IF($K434=0,IF(AND($I434&gt;=AE$3,$I434&lt;=AE$2),$E434,0),$E434*NETWORKDAYS(MAX($I434,AE$3),MIN($J434,AE$2),Data!$K$4:$K$203)/$K434)))</f>
        <v>0</v>
      </c>
      <c r="AF434" s="166">
        <f>IF(OR($I434="",$E434=0),0,IF(OR($J434&lt;AF$3,$I434&gt;AF$2),0,IF($K434=0,IF(AND($I434&gt;=AF$3,$I434&lt;=AF$2),$E434,0),$E434*NETWORKDAYS(MAX($I434,AF$3),MIN($J434,AF$2),Data!$K$4:$K$203)/$K434)))</f>
        <v>0</v>
      </c>
      <c r="AG434" s="166">
        <f>IF(OR($I434="",$E434=0),0,IF(OR($J434&lt;AG$3,$I434&gt;AG$2),0,IF($K434=0,IF(AND($I434&gt;=AG$3,$I434&lt;=AG$2),$E434,0),$E434*NETWORKDAYS(MAX($I434,AG$3),MIN($J434,AG$2),Data!$K$4:$K$203)/$K434)))</f>
        <v>0</v>
      </c>
      <c r="AH434" s="166">
        <f>IF(OR($I434="",$E434=0),0,IF(OR($J434&lt;AH$3,$I434&gt;AH$2),0,IF($K434=0,IF(AND($I434&gt;=AH$3,$I434&lt;=AH$2),$E434,0),$E434*NETWORKDAYS(MAX($I434,AH$3),MIN($J434,AH$2),Data!$K$4:$K$203)/$K434)))</f>
        <v>0</v>
      </c>
      <c r="AI434" s="166">
        <f>SUM(W434:AH434)</f>
        <v>0</v>
      </c>
      <c r="BZ434" t="str">
        <f>IF(D434=1,IF(TRIM(INDEX(Charge!$K:$K,ROW()))&lt;&gt;"",TRIM(INDEX(Charge!$K:$K,ROW())),IF(TRIM(INDEX(Charge!$L:$L,ROW()))&lt;&gt;"",TRIM(INDEX(Charge!$L:$L,ROW())),"(non affecté)")),"")</f>
        <v/>
      </c>
      <c r="CA434" t="str">
        <f>IF(AND($CD$4&lt;&gt;"",BZ434=$CD$4),COUNTIFS($BZ$4:$BZ$503,$CD$4,$L$4:$L$503,"&lt;"&amp;L434)+1,"")</f>
        <v/>
      </c>
      <c r="EM434" t="str">
        <f>IF(D434=1,IF(TRIM(INDEX(Charge!$K:$K,ROW()))&lt;&gt;"","Interne",IF(TRIM(INDEX(Charge!$L:$L,ROW()))&lt;&gt;"","Externe","Non affecté")),"")</f>
        <v/>
      </c>
      <c r="EN434" t="str">
        <f>IF(D434=1,LEFT(SUBSTITUTE(SUBSTITUTE(SUBSTITUTE(TRIM(SUBSTITUTE(INDEX(Charge!$B:$B,ROW()),CHAR(160)," "))&amp;" | "&amp;TRIM(SUBSTITUTE(INDEX(Charge!$C:$C,ROW()),CHAR(160)," "))&amp;" | "&amp;TRIM(SUBSTITUTE(INDEX(Charge!$D:$D,ROW()),CHAR(160)," ")),"~","-"),"*","+"),"?","!"),240),"")</f>
        <v/>
      </c>
      <c r="EO434">
        <f>IF(EN434="",0,IF(COUNTIF($EN$4:EN434,EN434)=1,1,0))</f>
        <v>0</v>
      </c>
      <c r="EP434" s="166" t="str">
        <f>IF(EO434=1,ROUND(SUMIF($EN$4:$EN$503,EN434,$E$4:$E$503),2),"")</f>
        <v/>
      </c>
      <c r="EQ434" t="str">
        <f>IF(EO434=1,COUNTIFS($EO$4:$EO$503,1,$EP$4:$EP$503,"&gt;"&amp;EP434)+COUNTIFS($EO$4:EO434,1,$EP$4:EP434,EP434),"")</f>
        <v/>
      </c>
      <c r="ER434" t="str">
        <f>IF(EO434=1,COUNTIFS($EN$4:$EN$503,EN434,$EM$4:$EM$503,"Interne",$FE$4:$FE$503,1),"")</f>
        <v/>
      </c>
      <c r="ES434" t="str">
        <f>IF(EO434=1,COUNTIFS($EN$4:$EN$503,EN434,$EM$4:$EM$503,"Externe",$FE$4:$FE$503,1),"")</f>
        <v/>
      </c>
      <c r="ET434" t="str">
        <f>IF(EO434=1,IF(ER434+ES434=0,"à affecter",IF(ER434=0,ES434&amp;" ext.",(ER434+ES434)&amp;IF(ES434&gt;0," dont "&amp;ES434&amp;" ext.",""))&amp;IF(COUNTIFS($EN$4:$EN$503,EN434,$EM$4:$EM$503,"Non affecté")&gt;0," + à affecter","")),"")</f>
        <v/>
      </c>
      <c r="EU434" s="170" t="str">
        <f>IF(EO434=1,IF(EP434&gt;0,SUMPRODUCT(($EN$4:$EN$503=EN434)*$E$4:$E$503*$C$4:$C$503)/EP434,AVERAGEIF($EN$4:$EN$503,EN434,$C$4:$C$503)),"")</f>
        <v/>
      </c>
      <c r="EV434" s="165">
        <f>IF(ISNUMBER(I434),I434,2958465)</f>
        <v>2958465.0</v>
      </c>
      <c r="EW434" s="165" t="str">
        <f>IF(EO434=1,SUMPRODUCT(MIN(($EN$4:$EN$503=EN434)*$EV$4:$EV$503+($EN$4:$EN$503&lt;&gt;EN434)*2958465)),"")</f>
        <v/>
      </c>
      <c r="EX434" s="165">
        <f>IF(AND(D434=1,ISNUMBER(INDEX(Charge!$F:$F,ROW()))),INDEX(Charge!$F:$F,ROW()),0)</f>
        <v>0.0</v>
      </c>
      <c r="EY434" s="165" t="str">
        <f>IF(EO434=1,SUMPRODUCT(MAX(($EN$4:$EN$503=EN434)*$EX$4:$EX$503)),"")</f>
        <v/>
      </c>
      <c r="FD434">
        <f>IF(AND(B434=1,TRIM(INDEX(Charge!$K:$K,ROW()))&lt;&gt;"",TRIM(INDEX(Charge!$L:$L,ROW()))&lt;&gt;""),1,0)</f>
        <v>0</v>
      </c>
      <c r="FE434">
        <f>IF(OR(EN434="",BZ434="(non affecté)"),0,IF(COUNTIFS($EN$4:EN434,EN434,$BZ$4:BZ434,BZ434)=1,1,0))</f>
        <v>0</v>
      </c>
    </row>
    <row r="435">
      <c r="A435">
        <f>ROW()</f>
        <v>435</v>
      </c>
      <c r="B435">
        <f>IF(TRIM(INDEX(Charge!$B:$B,ROW()))&lt;&gt;"",1,0)</f>
        <v>0</v>
      </c>
      <c r="C435">
        <f>IF(B435=1,MIN(1,MAX(0,N(INDEX(Charge!$O:$O,ROW())))),0)</f>
        <v>0</v>
      </c>
      <c r="D435">
        <f>IF(B435=1,IF(OR(p_Perimetre="Tous les projets",C435&lt;1),1,0),0)</f>
        <v>0</v>
      </c>
      <c r="E435">
        <f>IF(D435=1,MAX(0,N(INDEX(Charge!$M:$M,ROW()))),0)</f>
        <v>0</v>
      </c>
      <c r="F435" t="str">
        <f>IF(D435=1,IF(TRIM(INDEX(Charge!$A:$A,ROW()))="","(non renseigné)",TRIM(INDEX(Charge!$A:$A,ROW()))),"")</f>
        <v/>
      </c>
      <c r="G435" t="str">
        <f>IF(D435=1,TRIM(INDEX(Charge!$B:$B,ROW())),"")</f>
        <v/>
      </c>
      <c r="H435" t="str">
        <f>IF(D435=1,IF(TRIM(INDEX(Charge!$E:$E,ROW()))="","(non renseigné)",TRIM(INDEX(Charge!$E:$E,ROW()))),"")</f>
        <v/>
      </c>
      <c r="I435" s="165" t="str">
        <f>IF(AND(D435=1,ISNUMBER(INDEX(Charge!$N:$N,ROW()))),INDEX(Charge!$N:$N,ROW()),"")</f>
        <v/>
      </c>
      <c r="J435" s="165" t="str">
        <f>IF(I435="","",IF(AND(p_Repartition="Lissée jusqu'à la date de besoin",ISNUMBER(INDEX(Charge!$F:$F,ROW()))),IF(INDEX(Charge!$F:$F,ROW())&gt;=I435,INDEX(Charge!$F:$F,ROW()),I435),I435))</f>
        <v/>
      </c>
      <c r="K435" t="str">
        <f>IF(I435="","",NETWORKDAYS(I435,J435,Data!$K$4:$K$203))</f>
        <v/>
      </c>
      <c r="L435" t="str">
        <f>IF(D435=1,COUNTIFS($D$4:$D$503,1,$E$4:$E$503,"&gt;"&amp;E435)+COUNTIFS($D$4:$D435,1,$E$4:$E435,E435),"")</f>
        <v/>
      </c>
      <c r="M435">
        <f>IF(F435="",0,IF(COUNTIF($F$4:F435,F435)=1,1,0))</f>
        <v>0</v>
      </c>
      <c r="N435" t="str">
        <f>IF(M435=1,ROUND(SUMIF($F$4:$F$503,F435,$E$4:$E$503),2),"")</f>
        <v/>
      </c>
      <c r="O435" t="str">
        <f>IF(M435=1,COUNTIFS($M$4:$M$503,1,$N$4:$N$503,"&gt;"&amp;N435)+COUNTIFS($M$4:M435,1,$N$4:N435,N435),"")</f>
        <v/>
      </c>
      <c r="P435">
        <f>IF(G435="",0,IF(COUNTIF($G$4:G435,G435)=1,1,0))</f>
        <v>0</v>
      </c>
      <c r="Q435" t="str">
        <f>IF(P435=1,ROUND(SUMIF($G$4:$G$503,G435,$E$4:$E$503),2),"")</f>
        <v/>
      </c>
      <c r="R435" t="str">
        <f>IF(P435=1,COUNTIFS($P$4:$P$503,1,$Q$4:$Q$503,"&gt;"&amp;Q435)+COUNTIFS($P$4:P435,1,$Q$4:Q435,Q435),"")</f>
        <v/>
      </c>
      <c r="S435">
        <f>IF(H435="",0,IF(COUNTIF($H$4:H435,H435)=1,1,0))</f>
        <v>0</v>
      </c>
      <c r="T435" t="str">
        <f>IF(S435=1,ROUND(SUMIF($H$4:$H$503,H435,$E$4:$E$503),2),"")</f>
        <v/>
      </c>
      <c r="U435" t="str">
        <f>IF(S435=1,COUNTIFS($S$4:$S$503,1,$T$4:$T$503,"&gt;"&amp;T435)+COUNTIFS($S$4:S435,1,$T$4:T435,T435),"")</f>
        <v/>
      </c>
      <c r="V435" t="str">
        <f>IF(D435=1,MIN(INDEX($R$4:$R$503,MATCH(G435,$G$4:$G$503,0)),IF($AL$7&gt;9,9,999)),"")</f>
        <v/>
      </c>
      <c r="W435" s="166">
        <f>IF(OR($I435="",$E435=0),0,IF(OR($J435&lt;W$3,$I435&gt;W$2),0,IF($K435=0,IF(AND($I435&gt;=W$3,$I435&lt;=W$2),$E435,0),$E435*NETWORKDAYS(MAX($I435,W$3),MIN($J435,W$2),Data!$K$4:$K$203)/$K435)))</f>
        <v>0</v>
      </c>
      <c r="X435" s="166">
        <f>IF(OR($I435="",$E435=0),0,IF(OR($J435&lt;X$3,$I435&gt;X$2),0,IF($K435=0,IF(AND($I435&gt;=X$3,$I435&lt;=X$2),$E435,0),$E435*NETWORKDAYS(MAX($I435,X$3),MIN($J435,X$2),Data!$K$4:$K$203)/$K435)))</f>
        <v>0</v>
      </c>
      <c r="Y435" s="166">
        <f>IF(OR($I435="",$E435=0),0,IF(OR($J435&lt;Y$3,$I435&gt;Y$2),0,IF($K435=0,IF(AND($I435&gt;=Y$3,$I435&lt;=Y$2),$E435,0),$E435*NETWORKDAYS(MAX($I435,Y$3),MIN($J435,Y$2),Data!$K$4:$K$203)/$K435)))</f>
        <v>0</v>
      </c>
      <c r="Z435" s="166">
        <f>IF(OR($I435="",$E435=0),0,IF(OR($J435&lt;Z$3,$I435&gt;Z$2),0,IF($K435=0,IF(AND($I435&gt;=Z$3,$I435&lt;=Z$2),$E435,0),$E435*NETWORKDAYS(MAX($I435,Z$3),MIN($J435,Z$2),Data!$K$4:$K$203)/$K435)))</f>
        <v>0</v>
      </c>
      <c r="AA435" s="166">
        <f>IF(OR($I435="",$E435=0),0,IF(OR($J435&lt;AA$3,$I435&gt;AA$2),0,IF($K435=0,IF(AND($I435&gt;=AA$3,$I435&lt;=AA$2),$E435,0),$E435*NETWORKDAYS(MAX($I435,AA$3),MIN($J435,AA$2),Data!$K$4:$K$203)/$K435)))</f>
        <v>0</v>
      </c>
      <c r="AB435" s="166">
        <f>IF(OR($I435="",$E435=0),0,IF(OR($J435&lt;AB$3,$I435&gt;AB$2),0,IF($K435=0,IF(AND($I435&gt;=AB$3,$I435&lt;=AB$2),$E435,0),$E435*NETWORKDAYS(MAX($I435,AB$3),MIN($J435,AB$2),Data!$K$4:$K$203)/$K435)))</f>
        <v>0</v>
      </c>
      <c r="AC435" s="166">
        <f>IF(OR($I435="",$E435=0),0,IF(OR($J435&lt;AC$3,$I435&gt;AC$2),0,IF($K435=0,IF(AND($I435&gt;=AC$3,$I435&lt;=AC$2),$E435,0),$E435*NETWORKDAYS(MAX($I435,AC$3),MIN($J435,AC$2),Data!$K$4:$K$203)/$K435)))</f>
        <v>0</v>
      </c>
      <c r="AD435" s="166">
        <f>IF(OR($I435="",$E435=0),0,IF(OR($J435&lt;AD$3,$I435&gt;AD$2),0,IF($K435=0,IF(AND($I435&gt;=AD$3,$I435&lt;=AD$2),$E435,0),$E435*NETWORKDAYS(MAX($I435,AD$3),MIN($J435,AD$2),Data!$K$4:$K$203)/$K435)))</f>
        <v>0</v>
      </c>
      <c r="AE435" s="166">
        <f>IF(OR($I435="",$E435=0),0,IF(OR($J435&lt;AE$3,$I435&gt;AE$2),0,IF($K435=0,IF(AND($I435&gt;=AE$3,$I435&lt;=AE$2),$E435,0),$E435*NETWORKDAYS(MAX($I435,AE$3),MIN($J435,AE$2),Data!$K$4:$K$203)/$K435)))</f>
        <v>0</v>
      </c>
      <c r="AF435" s="166">
        <f>IF(OR($I435="",$E435=0),0,IF(OR($J435&lt;AF$3,$I435&gt;AF$2),0,IF($K435=0,IF(AND($I435&gt;=AF$3,$I435&lt;=AF$2),$E435,0),$E435*NETWORKDAYS(MAX($I435,AF$3),MIN($J435,AF$2),Data!$K$4:$K$203)/$K435)))</f>
        <v>0</v>
      </c>
      <c r="AG435" s="166">
        <f>IF(OR($I435="",$E435=0),0,IF(OR($J435&lt;AG$3,$I435&gt;AG$2),0,IF($K435=0,IF(AND($I435&gt;=AG$3,$I435&lt;=AG$2),$E435,0),$E435*NETWORKDAYS(MAX($I435,AG$3),MIN($J435,AG$2),Data!$K$4:$K$203)/$K435)))</f>
        <v>0</v>
      </c>
      <c r="AH435" s="166">
        <f>IF(OR($I435="",$E435=0),0,IF(OR($J435&lt;AH$3,$I435&gt;AH$2),0,IF($K435=0,IF(AND($I435&gt;=AH$3,$I435&lt;=AH$2),$E435,0),$E435*NETWORKDAYS(MAX($I435,AH$3),MIN($J435,AH$2),Data!$K$4:$K$203)/$K435)))</f>
        <v>0</v>
      </c>
      <c r="AI435" s="166">
        <f>SUM(W435:AH435)</f>
        <v>0</v>
      </c>
      <c r="BZ435" t="str">
        <f>IF(D435=1,IF(TRIM(INDEX(Charge!$K:$K,ROW()))&lt;&gt;"",TRIM(INDEX(Charge!$K:$K,ROW())),IF(TRIM(INDEX(Charge!$L:$L,ROW()))&lt;&gt;"",TRIM(INDEX(Charge!$L:$L,ROW())),"(non affecté)")),"")</f>
        <v/>
      </c>
      <c r="CA435" t="str">
        <f>IF(AND($CD$4&lt;&gt;"",BZ435=$CD$4),COUNTIFS($BZ$4:$BZ$503,$CD$4,$L$4:$L$503,"&lt;"&amp;L435)+1,"")</f>
        <v/>
      </c>
      <c r="EM435" t="str">
        <f>IF(D435=1,IF(TRIM(INDEX(Charge!$K:$K,ROW()))&lt;&gt;"","Interne",IF(TRIM(INDEX(Charge!$L:$L,ROW()))&lt;&gt;"","Externe","Non affecté")),"")</f>
        <v/>
      </c>
      <c r="EN435" t="str">
        <f>IF(D435=1,LEFT(SUBSTITUTE(SUBSTITUTE(SUBSTITUTE(TRIM(SUBSTITUTE(INDEX(Charge!$B:$B,ROW()),CHAR(160)," "))&amp;" | "&amp;TRIM(SUBSTITUTE(INDEX(Charge!$C:$C,ROW()),CHAR(160)," "))&amp;" | "&amp;TRIM(SUBSTITUTE(INDEX(Charge!$D:$D,ROW()),CHAR(160)," ")),"~","-"),"*","+"),"?","!"),240),"")</f>
        <v/>
      </c>
      <c r="EO435">
        <f>IF(EN435="",0,IF(COUNTIF($EN$4:EN435,EN435)=1,1,0))</f>
        <v>0</v>
      </c>
      <c r="EP435" s="166" t="str">
        <f>IF(EO435=1,ROUND(SUMIF($EN$4:$EN$503,EN435,$E$4:$E$503),2),"")</f>
        <v/>
      </c>
      <c r="EQ435" t="str">
        <f>IF(EO435=1,COUNTIFS($EO$4:$EO$503,1,$EP$4:$EP$503,"&gt;"&amp;EP435)+COUNTIFS($EO$4:EO435,1,$EP$4:EP435,EP435),"")</f>
        <v/>
      </c>
      <c r="ER435" t="str">
        <f>IF(EO435=1,COUNTIFS($EN$4:$EN$503,EN435,$EM$4:$EM$503,"Interne",$FE$4:$FE$503,1),"")</f>
        <v/>
      </c>
      <c r="ES435" t="str">
        <f>IF(EO435=1,COUNTIFS($EN$4:$EN$503,EN435,$EM$4:$EM$503,"Externe",$FE$4:$FE$503,1),"")</f>
        <v/>
      </c>
      <c r="ET435" t="str">
        <f>IF(EO435=1,IF(ER435+ES435=0,"à affecter",IF(ER435=0,ES435&amp;" ext.",(ER435+ES435)&amp;IF(ES435&gt;0," dont "&amp;ES435&amp;" ext.",""))&amp;IF(COUNTIFS($EN$4:$EN$503,EN435,$EM$4:$EM$503,"Non affecté")&gt;0," + à affecter","")),"")</f>
        <v/>
      </c>
      <c r="EU435" s="170" t="str">
        <f>IF(EO435=1,IF(EP435&gt;0,SUMPRODUCT(($EN$4:$EN$503=EN435)*$E$4:$E$503*$C$4:$C$503)/EP435,AVERAGEIF($EN$4:$EN$503,EN435,$C$4:$C$503)),"")</f>
        <v/>
      </c>
      <c r="EV435" s="165">
        <f>IF(ISNUMBER(I435),I435,2958465)</f>
        <v>2958465.0</v>
      </c>
      <c r="EW435" s="165" t="str">
        <f>IF(EO435=1,SUMPRODUCT(MIN(($EN$4:$EN$503=EN435)*$EV$4:$EV$503+($EN$4:$EN$503&lt;&gt;EN435)*2958465)),"")</f>
        <v/>
      </c>
      <c r="EX435" s="165">
        <f>IF(AND(D435=1,ISNUMBER(INDEX(Charge!$F:$F,ROW()))),INDEX(Charge!$F:$F,ROW()),0)</f>
        <v>0.0</v>
      </c>
      <c r="EY435" s="165" t="str">
        <f>IF(EO435=1,SUMPRODUCT(MAX(($EN$4:$EN$503=EN435)*$EX$4:$EX$503)),"")</f>
        <v/>
      </c>
      <c r="FD435">
        <f>IF(AND(B435=1,TRIM(INDEX(Charge!$K:$K,ROW()))&lt;&gt;"",TRIM(INDEX(Charge!$L:$L,ROW()))&lt;&gt;""),1,0)</f>
        <v>0</v>
      </c>
      <c r="FE435">
        <f>IF(OR(EN435="",BZ435="(non affecté)"),0,IF(COUNTIFS($EN$4:EN435,EN435,$BZ$4:BZ435,BZ435)=1,1,0))</f>
        <v>0</v>
      </c>
    </row>
    <row r="436">
      <c r="A436">
        <f>ROW()</f>
        <v>436</v>
      </c>
      <c r="B436">
        <f>IF(TRIM(INDEX(Charge!$B:$B,ROW()))&lt;&gt;"",1,0)</f>
        <v>0</v>
      </c>
      <c r="C436">
        <f>IF(B436=1,MIN(1,MAX(0,N(INDEX(Charge!$O:$O,ROW())))),0)</f>
        <v>0</v>
      </c>
      <c r="D436">
        <f>IF(B436=1,IF(OR(p_Perimetre="Tous les projets",C436&lt;1),1,0),0)</f>
        <v>0</v>
      </c>
      <c r="E436">
        <f>IF(D436=1,MAX(0,N(INDEX(Charge!$M:$M,ROW()))),0)</f>
        <v>0</v>
      </c>
      <c r="F436" t="str">
        <f>IF(D436=1,IF(TRIM(INDEX(Charge!$A:$A,ROW()))="","(non renseigné)",TRIM(INDEX(Charge!$A:$A,ROW()))),"")</f>
        <v/>
      </c>
      <c r="G436" t="str">
        <f>IF(D436=1,TRIM(INDEX(Charge!$B:$B,ROW())),"")</f>
        <v/>
      </c>
      <c r="H436" t="str">
        <f>IF(D436=1,IF(TRIM(INDEX(Charge!$E:$E,ROW()))="","(non renseigné)",TRIM(INDEX(Charge!$E:$E,ROW()))),"")</f>
        <v/>
      </c>
      <c r="I436" s="165" t="str">
        <f>IF(AND(D436=1,ISNUMBER(INDEX(Charge!$N:$N,ROW()))),INDEX(Charge!$N:$N,ROW()),"")</f>
        <v/>
      </c>
      <c r="J436" s="165" t="str">
        <f>IF(I436="","",IF(AND(p_Repartition="Lissée jusqu'à la date de besoin",ISNUMBER(INDEX(Charge!$F:$F,ROW()))),IF(INDEX(Charge!$F:$F,ROW())&gt;=I436,INDEX(Charge!$F:$F,ROW()),I436),I436))</f>
        <v/>
      </c>
      <c r="K436" t="str">
        <f>IF(I436="","",NETWORKDAYS(I436,J436,Data!$K$4:$K$203))</f>
        <v/>
      </c>
      <c r="L436" t="str">
        <f>IF(D436=1,COUNTIFS($D$4:$D$503,1,$E$4:$E$503,"&gt;"&amp;E436)+COUNTIFS($D$4:$D436,1,$E$4:$E436,E436),"")</f>
        <v/>
      </c>
      <c r="M436">
        <f>IF(F436="",0,IF(COUNTIF($F$4:F436,F436)=1,1,0))</f>
        <v>0</v>
      </c>
      <c r="N436" t="str">
        <f>IF(M436=1,ROUND(SUMIF($F$4:$F$503,F436,$E$4:$E$503),2),"")</f>
        <v/>
      </c>
      <c r="O436" t="str">
        <f>IF(M436=1,COUNTIFS($M$4:$M$503,1,$N$4:$N$503,"&gt;"&amp;N436)+COUNTIFS($M$4:M436,1,$N$4:N436,N436),"")</f>
        <v/>
      </c>
      <c r="P436">
        <f>IF(G436="",0,IF(COUNTIF($G$4:G436,G436)=1,1,0))</f>
        <v>0</v>
      </c>
      <c r="Q436" t="str">
        <f>IF(P436=1,ROUND(SUMIF($G$4:$G$503,G436,$E$4:$E$503),2),"")</f>
        <v/>
      </c>
      <c r="R436" t="str">
        <f>IF(P436=1,COUNTIFS($P$4:$P$503,1,$Q$4:$Q$503,"&gt;"&amp;Q436)+COUNTIFS($P$4:P436,1,$Q$4:Q436,Q436),"")</f>
        <v/>
      </c>
      <c r="S436">
        <f>IF(H436="",0,IF(COUNTIF($H$4:H436,H436)=1,1,0))</f>
        <v>0</v>
      </c>
      <c r="T436" t="str">
        <f>IF(S436=1,ROUND(SUMIF($H$4:$H$503,H436,$E$4:$E$503),2),"")</f>
        <v/>
      </c>
      <c r="U436" t="str">
        <f>IF(S436=1,COUNTIFS($S$4:$S$503,1,$T$4:$T$503,"&gt;"&amp;T436)+COUNTIFS($S$4:S436,1,$T$4:T436,T436),"")</f>
        <v/>
      </c>
      <c r="V436" t="str">
        <f>IF(D436=1,MIN(INDEX($R$4:$R$503,MATCH(G436,$G$4:$G$503,0)),IF($AL$7&gt;9,9,999)),"")</f>
        <v/>
      </c>
      <c r="W436" s="166">
        <f>IF(OR($I436="",$E436=0),0,IF(OR($J436&lt;W$3,$I436&gt;W$2),0,IF($K436=0,IF(AND($I436&gt;=W$3,$I436&lt;=W$2),$E436,0),$E436*NETWORKDAYS(MAX($I436,W$3),MIN($J436,W$2),Data!$K$4:$K$203)/$K436)))</f>
        <v>0</v>
      </c>
      <c r="X436" s="166">
        <f>IF(OR($I436="",$E436=0),0,IF(OR($J436&lt;X$3,$I436&gt;X$2),0,IF($K436=0,IF(AND($I436&gt;=X$3,$I436&lt;=X$2),$E436,0),$E436*NETWORKDAYS(MAX($I436,X$3),MIN($J436,X$2),Data!$K$4:$K$203)/$K436)))</f>
        <v>0</v>
      </c>
      <c r="Y436" s="166">
        <f>IF(OR($I436="",$E436=0),0,IF(OR($J436&lt;Y$3,$I436&gt;Y$2),0,IF($K436=0,IF(AND($I436&gt;=Y$3,$I436&lt;=Y$2),$E436,0),$E436*NETWORKDAYS(MAX($I436,Y$3),MIN($J436,Y$2),Data!$K$4:$K$203)/$K436)))</f>
        <v>0</v>
      </c>
      <c r="Z436" s="166">
        <f>IF(OR($I436="",$E436=0),0,IF(OR($J436&lt;Z$3,$I436&gt;Z$2),0,IF($K436=0,IF(AND($I436&gt;=Z$3,$I436&lt;=Z$2),$E436,0),$E436*NETWORKDAYS(MAX($I436,Z$3),MIN($J436,Z$2),Data!$K$4:$K$203)/$K436)))</f>
        <v>0</v>
      </c>
      <c r="AA436" s="166">
        <f>IF(OR($I436="",$E436=0),0,IF(OR($J436&lt;AA$3,$I436&gt;AA$2),0,IF($K436=0,IF(AND($I436&gt;=AA$3,$I436&lt;=AA$2),$E436,0),$E436*NETWORKDAYS(MAX($I436,AA$3),MIN($J436,AA$2),Data!$K$4:$K$203)/$K436)))</f>
        <v>0</v>
      </c>
      <c r="AB436" s="166">
        <f>IF(OR($I436="",$E436=0),0,IF(OR($J436&lt;AB$3,$I436&gt;AB$2),0,IF($K436=0,IF(AND($I436&gt;=AB$3,$I436&lt;=AB$2),$E436,0),$E436*NETWORKDAYS(MAX($I436,AB$3),MIN($J436,AB$2),Data!$K$4:$K$203)/$K436)))</f>
        <v>0</v>
      </c>
      <c r="AC436" s="166">
        <f>IF(OR($I436="",$E436=0),0,IF(OR($J436&lt;AC$3,$I436&gt;AC$2),0,IF($K436=0,IF(AND($I436&gt;=AC$3,$I436&lt;=AC$2),$E436,0),$E436*NETWORKDAYS(MAX($I436,AC$3),MIN($J436,AC$2),Data!$K$4:$K$203)/$K436)))</f>
        <v>0</v>
      </c>
      <c r="AD436" s="166">
        <f>IF(OR($I436="",$E436=0),0,IF(OR($J436&lt;AD$3,$I436&gt;AD$2),0,IF($K436=0,IF(AND($I436&gt;=AD$3,$I436&lt;=AD$2),$E436,0),$E436*NETWORKDAYS(MAX($I436,AD$3),MIN($J436,AD$2),Data!$K$4:$K$203)/$K436)))</f>
        <v>0</v>
      </c>
      <c r="AE436" s="166">
        <f>IF(OR($I436="",$E436=0),0,IF(OR($J436&lt;AE$3,$I436&gt;AE$2),0,IF($K436=0,IF(AND($I436&gt;=AE$3,$I436&lt;=AE$2),$E436,0),$E436*NETWORKDAYS(MAX($I436,AE$3),MIN($J436,AE$2),Data!$K$4:$K$203)/$K436)))</f>
        <v>0</v>
      </c>
      <c r="AF436" s="166">
        <f>IF(OR($I436="",$E436=0),0,IF(OR($J436&lt;AF$3,$I436&gt;AF$2),0,IF($K436=0,IF(AND($I436&gt;=AF$3,$I436&lt;=AF$2),$E436,0),$E436*NETWORKDAYS(MAX($I436,AF$3),MIN($J436,AF$2),Data!$K$4:$K$203)/$K436)))</f>
        <v>0</v>
      </c>
      <c r="AG436" s="166">
        <f>IF(OR($I436="",$E436=0),0,IF(OR($J436&lt;AG$3,$I436&gt;AG$2),0,IF($K436=0,IF(AND($I436&gt;=AG$3,$I436&lt;=AG$2),$E436,0),$E436*NETWORKDAYS(MAX($I436,AG$3),MIN($J436,AG$2),Data!$K$4:$K$203)/$K436)))</f>
        <v>0</v>
      </c>
      <c r="AH436" s="166">
        <f>IF(OR($I436="",$E436=0),0,IF(OR($J436&lt;AH$3,$I436&gt;AH$2),0,IF($K436=0,IF(AND($I436&gt;=AH$3,$I436&lt;=AH$2),$E436,0),$E436*NETWORKDAYS(MAX($I436,AH$3),MIN($J436,AH$2),Data!$K$4:$K$203)/$K436)))</f>
        <v>0</v>
      </c>
      <c r="AI436" s="166">
        <f>SUM(W436:AH436)</f>
        <v>0</v>
      </c>
      <c r="BZ436" t="str">
        <f>IF(D436=1,IF(TRIM(INDEX(Charge!$K:$K,ROW()))&lt;&gt;"",TRIM(INDEX(Charge!$K:$K,ROW())),IF(TRIM(INDEX(Charge!$L:$L,ROW()))&lt;&gt;"",TRIM(INDEX(Charge!$L:$L,ROW())),"(non affecté)")),"")</f>
        <v/>
      </c>
      <c r="CA436" t="str">
        <f>IF(AND($CD$4&lt;&gt;"",BZ436=$CD$4),COUNTIFS($BZ$4:$BZ$503,$CD$4,$L$4:$L$503,"&lt;"&amp;L436)+1,"")</f>
        <v/>
      </c>
      <c r="EM436" t="str">
        <f>IF(D436=1,IF(TRIM(INDEX(Charge!$K:$K,ROW()))&lt;&gt;"","Interne",IF(TRIM(INDEX(Charge!$L:$L,ROW()))&lt;&gt;"","Externe","Non affecté")),"")</f>
        <v/>
      </c>
      <c r="EN436" t="str">
        <f>IF(D436=1,LEFT(SUBSTITUTE(SUBSTITUTE(SUBSTITUTE(TRIM(SUBSTITUTE(INDEX(Charge!$B:$B,ROW()),CHAR(160)," "))&amp;" | "&amp;TRIM(SUBSTITUTE(INDEX(Charge!$C:$C,ROW()),CHAR(160)," "))&amp;" | "&amp;TRIM(SUBSTITUTE(INDEX(Charge!$D:$D,ROW()),CHAR(160)," ")),"~","-"),"*","+"),"?","!"),240),"")</f>
        <v/>
      </c>
      <c r="EO436">
        <f>IF(EN436="",0,IF(COUNTIF($EN$4:EN436,EN436)=1,1,0))</f>
        <v>0</v>
      </c>
      <c r="EP436" s="166" t="str">
        <f>IF(EO436=1,ROUND(SUMIF($EN$4:$EN$503,EN436,$E$4:$E$503),2),"")</f>
        <v/>
      </c>
      <c r="EQ436" t="str">
        <f>IF(EO436=1,COUNTIFS($EO$4:$EO$503,1,$EP$4:$EP$503,"&gt;"&amp;EP436)+COUNTIFS($EO$4:EO436,1,$EP$4:EP436,EP436),"")</f>
        <v/>
      </c>
      <c r="ER436" t="str">
        <f>IF(EO436=1,COUNTIFS($EN$4:$EN$503,EN436,$EM$4:$EM$503,"Interne",$FE$4:$FE$503,1),"")</f>
        <v/>
      </c>
      <c r="ES436" t="str">
        <f>IF(EO436=1,COUNTIFS($EN$4:$EN$503,EN436,$EM$4:$EM$503,"Externe",$FE$4:$FE$503,1),"")</f>
        <v/>
      </c>
      <c r="ET436" t="str">
        <f>IF(EO436=1,IF(ER436+ES436=0,"à affecter",IF(ER436=0,ES436&amp;" ext.",(ER436+ES436)&amp;IF(ES436&gt;0," dont "&amp;ES436&amp;" ext.",""))&amp;IF(COUNTIFS($EN$4:$EN$503,EN436,$EM$4:$EM$503,"Non affecté")&gt;0," + à affecter","")),"")</f>
        <v/>
      </c>
      <c r="EU436" s="170" t="str">
        <f>IF(EO436=1,IF(EP436&gt;0,SUMPRODUCT(($EN$4:$EN$503=EN436)*$E$4:$E$503*$C$4:$C$503)/EP436,AVERAGEIF($EN$4:$EN$503,EN436,$C$4:$C$503)),"")</f>
        <v/>
      </c>
      <c r="EV436" s="165">
        <f>IF(ISNUMBER(I436),I436,2958465)</f>
        <v>2958465.0</v>
      </c>
      <c r="EW436" s="165" t="str">
        <f>IF(EO436=1,SUMPRODUCT(MIN(($EN$4:$EN$503=EN436)*$EV$4:$EV$503+($EN$4:$EN$503&lt;&gt;EN436)*2958465)),"")</f>
        <v/>
      </c>
      <c r="EX436" s="165">
        <f>IF(AND(D436=1,ISNUMBER(INDEX(Charge!$F:$F,ROW()))),INDEX(Charge!$F:$F,ROW()),0)</f>
        <v>0.0</v>
      </c>
      <c r="EY436" s="165" t="str">
        <f>IF(EO436=1,SUMPRODUCT(MAX(($EN$4:$EN$503=EN436)*$EX$4:$EX$503)),"")</f>
        <v/>
      </c>
      <c r="FD436">
        <f>IF(AND(B436=1,TRIM(INDEX(Charge!$K:$K,ROW()))&lt;&gt;"",TRIM(INDEX(Charge!$L:$L,ROW()))&lt;&gt;""),1,0)</f>
        <v>0</v>
      </c>
      <c r="FE436">
        <f>IF(OR(EN436="",BZ436="(non affecté)"),0,IF(COUNTIFS($EN$4:EN436,EN436,$BZ$4:BZ436,BZ436)=1,1,0))</f>
        <v>0</v>
      </c>
    </row>
    <row r="437">
      <c r="A437">
        <f>ROW()</f>
        <v>437</v>
      </c>
      <c r="B437">
        <f>IF(TRIM(INDEX(Charge!$B:$B,ROW()))&lt;&gt;"",1,0)</f>
        <v>0</v>
      </c>
      <c r="C437">
        <f>IF(B437=1,MIN(1,MAX(0,N(INDEX(Charge!$O:$O,ROW())))),0)</f>
        <v>0</v>
      </c>
      <c r="D437">
        <f>IF(B437=1,IF(OR(p_Perimetre="Tous les projets",C437&lt;1),1,0),0)</f>
        <v>0</v>
      </c>
      <c r="E437">
        <f>IF(D437=1,MAX(0,N(INDEX(Charge!$M:$M,ROW()))),0)</f>
        <v>0</v>
      </c>
      <c r="F437" t="str">
        <f>IF(D437=1,IF(TRIM(INDEX(Charge!$A:$A,ROW()))="","(non renseigné)",TRIM(INDEX(Charge!$A:$A,ROW()))),"")</f>
        <v/>
      </c>
      <c r="G437" t="str">
        <f>IF(D437=1,TRIM(INDEX(Charge!$B:$B,ROW())),"")</f>
        <v/>
      </c>
      <c r="H437" t="str">
        <f>IF(D437=1,IF(TRIM(INDEX(Charge!$E:$E,ROW()))="","(non renseigné)",TRIM(INDEX(Charge!$E:$E,ROW()))),"")</f>
        <v/>
      </c>
      <c r="I437" s="165" t="str">
        <f>IF(AND(D437=1,ISNUMBER(INDEX(Charge!$N:$N,ROW()))),INDEX(Charge!$N:$N,ROW()),"")</f>
        <v/>
      </c>
      <c r="J437" s="165" t="str">
        <f>IF(I437="","",IF(AND(p_Repartition="Lissée jusqu'à la date de besoin",ISNUMBER(INDEX(Charge!$F:$F,ROW()))),IF(INDEX(Charge!$F:$F,ROW())&gt;=I437,INDEX(Charge!$F:$F,ROW()),I437),I437))</f>
        <v/>
      </c>
      <c r="K437" t="str">
        <f>IF(I437="","",NETWORKDAYS(I437,J437,Data!$K$4:$K$203))</f>
        <v/>
      </c>
      <c r="L437" t="str">
        <f>IF(D437=1,COUNTIFS($D$4:$D$503,1,$E$4:$E$503,"&gt;"&amp;E437)+COUNTIFS($D$4:$D437,1,$E$4:$E437,E437),"")</f>
        <v/>
      </c>
      <c r="M437">
        <f>IF(F437="",0,IF(COUNTIF($F$4:F437,F437)=1,1,0))</f>
        <v>0</v>
      </c>
      <c r="N437" t="str">
        <f>IF(M437=1,ROUND(SUMIF($F$4:$F$503,F437,$E$4:$E$503),2),"")</f>
        <v/>
      </c>
      <c r="O437" t="str">
        <f>IF(M437=1,COUNTIFS($M$4:$M$503,1,$N$4:$N$503,"&gt;"&amp;N437)+COUNTIFS($M$4:M437,1,$N$4:N437,N437),"")</f>
        <v/>
      </c>
      <c r="P437">
        <f>IF(G437="",0,IF(COUNTIF($G$4:G437,G437)=1,1,0))</f>
        <v>0</v>
      </c>
      <c r="Q437" t="str">
        <f>IF(P437=1,ROUND(SUMIF($G$4:$G$503,G437,$E$4:$E$503),2),"")</f>
        <v/>
      </c>
      <c r="R437" t="str">
        <f>IF(P437=1,COUNTIFS($P$4:$P$503,1,$Q$4:$Q$503,"&gt;"&amp;Q437)+COUNTIFS($P$4:P437,1,$Q$4:Q437,Q437),"")</f>
        <v/>
      </c>
      <c r="S437">
        <f>IF(H437="",0,IF(COUNTIF($H$4:H437,H437)=1,1,0))</f>
        <v>0</v>
      </c>
      <c r="T437" t="str">
        <f>IF(S437=1,ROUND(SUMIF($H$4:$H$503,H437,$E$4:$E$503),2),"")</f>
        <v/>
      </c>
      <c r="U437" t="str">
        <f>IF(S437=1,COUNTIFS($S$4:$S$503,1,$T$4:$T$503,"&gt;"&amp;T437)+COUNTIFS($S$4:S437,1,$T$4:T437,T437),"")</f>
        <v/>
      </c>
      <c r="V437" t="str">
        <f>IF(D437=1,MIN(INDEX($R$4:$R$503,MATCH(G437,$G$4:$G$503,0)),IF($AL$7&gt;9,9,999)),"")</f>
        <v/>
      </c>
      <c r="W437" s="166">
        <f>IF(OR($I437="",$E437=0),0,IF(OR($J437&lt;W$3,$I437&gt;W$2),0,IF($K437=0,IF(AND($I437&gt;=W$3,$I437&lt;=W$2),$E437,0),$E437*NETWORKDAYS(MAX($I437,W$3),MIN($J437,W$2),Data!$K$4:$K$203)/$K437)))</f>
        <v>0</v>
      </c>
      <c r="X437" s="166">
        <f>IF(OR($I437="",$E437=0),0,IF(OR($J437&lt;X$3,$I437&gt;X$2),0,IF($K437=0,IF(AND($I437&gt;=X$3,$I437&lt;=X$2),$E437,0),$E437*NETWORKDAYS(MAX($I437,X$3),MIN($J437,X$2),Data!$K$4:$K$203)/$K437)))</f>
        <v>0</v>
      </c>
      <c r="Y437" s="166">
        <f>IF(OR($I437="",$E437=0),0,IF(OR($J437&lt;Y$3,$I437&gt;Y$2),0,IF($K437=0,IF(AND($I437&gt;=Y$3,$I437&lt;=Y$2),$E437,0),$E437*NETWORKDAYS(MAX($I437,Y$3),MIN($J437,Y$2),Data!$K$4:$K$203)/$K437)))</f>
        <v>0</v>
      </c>
      <c r="Z437" s="166">
        <f>IF(OR($I437="",$E437=0),0,IF(OR($J437&lt;Z$3,$I437&gt;Z$2),0,IF($K437=0,IF(AND($I437&gt;=Z$3,$I437&lt;=Z$2),$E437,0),$E437*NETWORKDAYS(MAX($I437,Z$3),MIN($J437,Z$2),Data!$K$4:$K$203)/$K437)))</f>
        <v>0</v>
      </c>
      <c r="AA437" s="166">
        <f>IF(OR($I437="",$E437=0),0,IF(OR($J437&lt;AA$3,$I437&gt;AA$2),0,IF($K437=0,IF(AND($I437&gt;=AA$3,$I437&lt;=AA$2),$E437,0),$E437*NETWORKDAYS(MAX($I437,AA$3),MIN($J437,AA$2),Data!$K$4:$K$203)/$K437)))</f>
        <v>0</v>
      </c>
      <c r="AB437" s="166">
        <f>IF(OR($I437="",$E437=0),0,IF(OR($J437&lt;AB$3,$I437&gt;AB$2),0,IF($K437=0,IF(AND($I437&gt;=AB$3,$I437&lt;=AB$2),$E437,0),$E437*NETWORKDAYS(MAX($I437,AB$3),MIN($J437,AB$2),Data!$K$4:$K$203)/$K437)))</f>
        <v>0</v>
      </c>
      <c r="AC437" s="166">
        <f>IF(OR($I437="",$E437=0),0,IF(OR($J437&lt;AC$3,$I437&gt;AC$2),0,IF($K437=0,IF(AND($I437&gt;=AC$3,$I437&lt;=AC$2),$E437,0),$E437*NETWORKDAYS(MAX($I437,AC$3),MIN($J437,AC$2),Data!$K$4:$K$203)/$K437)))</f>
        <v>0</v>
      </c>
      <c r="AD437" s="166">
        <f>IF(OR($I437="",$E437=0),0,IF(OR($J437&lt;AD$3,$I437&gt;AD$2),0,IF($K437=0,IF(AND($I437&gt;=AD$3,$I437&lt;=AD$2),$E437,0),$E437*NETWORKDAYS(MAX($I437,AD$3),MIN($J437,AD$2),Data!$K$4:$K$203)/$K437)))</f>
        <v>0</v>
      </c>
      <c r="AE437" s="166">
        <f>IF(OR($I437="",$E437=0),0,IF(OR($J437&lt;AE$3,$I437&gt;AE$2),0,IF($K437=0,IF(AND($I437&gt;=AE$3,$I437&lt;=AE$2),$E437,0),$E437*NETWORKDAYS(MAX($I437,AE$3),MIN($J437,AE$2),Data!$K$4:$K$203)/$K437)))</f>
        <v>0</v>
      </c>
      <c r="AF437" s="166">
        <f>IF(OR($I437="",$E437=0),0,IF(OR($J437&lt;AF$3,$I437&gt;AF$2),0,IF($K437=0,IF(AND($I437&gt;=AF$3,$I437&lt;=AF$2),$E437,0),$E437*NETWORKDAYS(MAX($I437,AF$3),MIN($J437,AF$2),Data!$K$4:$K$203)/$K437)))</f>
        <v>0</v>
      </c>
      <c r="AG437" s="166">
        <f>IF(OR($I437="",$E437=0),0,IF(OR($J437&lt;AG$3,$I437&gt;AG$2),0,IF($K437=0,IF(AND($I437&gt;=AG$3,$I437&lt;=AG$2),$E437,0),$E437*NETWORKDAYS(MAX($I437,AG$3),MIN($J437,AG$2),Data!$K$4:$K$203)/$K437)))</f>
        <v>0</v>
      </c>
      <c r="AH437" s="166">
        <f>IF(OR($I437="",$E437=0),0,IF(OR($J437&lt;AH$3,$I437&gt;AH$2),0,IF($K437=0,IF(AND($I437&gt;=AH$3,$I437&lt;=AH$2),$E437,0),$E437*NETWORKDAYS(MAX($I437,AH$3),MIN($J437,AH$2),Data!$K$4:$K$203)/$K437)))</f>
        <v>0</v>
      </c>
      <c r="AI437" s="166">
        <f>SUM(W437:AH437)</f>
        <v>0</v>
      </c>
      <c r="BZ437" t="str">
        <f>IF(D437=1,IF(TRIM(INDEX(Charge!$K:$K,ROW()))&lt;&gt;"",TRIM(INDEX(Charge!$K:$K,ROW())),IF(TRIM(INDEX(Charge!$L:$L,ROW()))&lt;&gt;"",TRIM(INDEX(Charge!$L:$L,ROW())),"(non affecté)")),"")</f>
        <v/>
      </c>
      <c r="CA437" t="str">
        <f>IF(AND($CD$4&lt;&gt;"",BZ437=$CD$4),COUNTIFS($BZ$4:$BZ$503,$CD$4,$L$4:$L$503,"&lt;"&amp;L437)+1,"")</f>
        <v/>
      </c>
      <c r="EM437" t="str">
        <f>IF(D437=1,IF(TRIM(INDEX(Charge!$K:$K,ROW()))&lt;&gt;"","Interne",IF(TRIM(INDEX(Charge!$L:$L,ROW()))&lt;&gt;"","Externe","Non affecté")),"")</f>
        <v/>
      </c>
      <c r="EN437" t="str">
        <f>IF(D437=1,LEFT(SUBSTITUTE(SUBSTITUTE(SUBSTITUTE(TRIM(SUBSTITUTE(INDEX(Charge!$B:$B,ROW()),CHAR(160)," "))&amp;" | "&amp;TRIM(SUBSTITUTE(INDEX(Charge!$C:$C,ROW()),CHAR(160)," "))&amp;" | "&amp;TRIM(SUBSTITUTE(INDEX(Charge!$D:$D,ROW()),CHAR(160)," ")),"~","-"),"*","+"),"?","!"),240),"")</f>
        <v/>
      </c>
      <c r="EO437">
        <f>IF(EN437="",0,IF(COUNTIF($EN$4:EN437,EN437)=1,1,0))</f>
        <v>0</v>
      </c>
      <c r="EP437" s="166" t="str">
        <f>IF(EO437=1,ROUND(SUMIF($EN$4:$EN$503,EN437,$E$4:$E$503),2),"")</f>
        <v/>
      </c>
      <c r="EQ437" t="str">
        <f>IF(EO437=1,COUNTIFS($EO$4:$EO$503,1,$EP$4:$EP$503,"&gt;"&amp;EP437)+COUNTIFS($EO$4:EO437,1,$EP$4:EP437,EP437),"")</f>
        <v/>
      </c>
      <c r="ER437" t="str">
        <f>IF(EO437=1,COUNTIFS($EN$4:$EN$503,EN437,$EM$4:$EM$503,"Interne",$FE$4:$FE$503,1),"")</f>
        <v/>
      </c>
      <c r="ES437" t="str">
        <f>IF(EO437=1,COUNTIFS($EN$4:$EN$503,EN437,$EM$4:$EM$503,"Externe",$FE$4:$FE$503,1),"")</f>
        <v/>
      </c>
      <c r="ET437" t="str">
        <f>IF(EO437=1,IF(ER437+ES437=0,"à affecter",IF(ER437=0,ES437&amp;" ext.",(ER437+ES437)&amp;IF(ES437&gt;0," dont "&amp;ES437&amp;" ext.",""))&amp;IF(COUNTIFS($EN$4:$EN$503,EN437,$EM$4:$EM$503,"Non affecté")&gt;0," + à affecter","")),"")</f>
        <v/>
      </c>
      <c r="EU437" s="170" t="str">
        <f>IF(EO437=1,IF(EP437&gt;0,SUMPRODUCT(($EN$4:$EN$503=EN437)*$E$4:$E$503*$C$4:$C$503)/EP437,AVERAGEIF($EN$4:$EN$503,EN437,$C$4:$C$503)),"")</f>
        <v/>
      </c>
      <c r="EV437" s="165">
        <f>IF(ISNUMBER(I437),I437,2958465)</f>
        <v>2958465.0</v>
      </c>
      <c r="EW437" s="165" t="str">
        <f>IF(EO437=1,SUMPRODUCT(MIN(($EN$4:$EN$503=EN437)*$EV$4:$EV$503+($EN$4:$EN$503&lt;&gt;EN437)*2958465)),"")</f>
        <v/>
      </c>
      <c r="EX437" s="165">
        <f>IF(AND(D437=1,ISNUMBER(INDEX(Charge!$F:$F,ROW()))),INDEX(Charge!$F:$F,ROW()),0)</f>
        <v>0.0</v>
      </c>
      <c r="EY437" s="165" t="str">
        <f>IF(EO437=1,SUMPRODUCT(MAX(($EN$4:$EN$503=EN437)*$EX$4:$EX$503)),"")</f>
        <v/>
      </c>
      <c r="FD437">
        <f>IF(AND(B437=1,TRIM(INDEX(Charge!$K:$K,ROW()))&lt;&gt;"",TRIM(INDEX(Charge!$L:$L,ROW()))&lt;&gt;""),1,0)</f>
        <v>0</v>
      </c>
      <c r="FE437">
        <f>IF(OR(EN437="",BZ437="(non affecté)"),0,IF(COUNTIFS($EN$4:EN437,EN437,$BZ$4:BZ437,BZ437)=1,1,0))</f>
        <v>0</v>
      </c>
    </row>
    <row r="438">
      <c r="A438">
        <f>ROW()</f>
        <v>438</v>
      </c>
      <c r="B438">
        <f>IF(TRIM(INDEX(Charge!$B:$B,ROW()))&lt;&gt;"",1,0)</f>
        <v>0</v>
      </c>
      <c r="C438">
        <f>IF(B438=1,MIN(1,MAX(0,N(INDEX(Charge!$O:$O,ROW())))),0)</f>
        <v>0</v>
      </c>
      <c r="D438">
        <f>IF(B438=1,IF(OR(p_Perimetre="Tous les projets",C438&lt;1),1,0),0)</f>
        <v>0</v>
      </c>
      <c r="E438">
        <f>IF(D438=1,MAX(0,N(INDEX(Charge!$M:$M,ROW()))),0)</f>
        <v>0</v>
      </c>
      <c r="F438" t="str">
        <f>IF(D438=1,IF(TRIM(INDEX(Charge!$A:$A,ROW()))="","(non renseigné)",TRIM(INDEX(Charge!$A:$A,ROW()))),"")</f>
        <v/>
      </c>
      <c r="G438" t="str">
        <f>IF(D438=1,TRIM(INDEX(Charge!$B:$B,ROW())),"")</f>
        <v/>
      </c>
      <c r="H438" t="str">
        <f>IF(D438=1,IF(TRIM(INDEX(Charge!$E:$E,ROW()))="","(non renseigné)",TRIM(INDEX(Charge!$E:$E,ROW()))),"")</f>
        <v/>
      </c>
      <c r="I438" s="165" t="str">
        <f>IF(AND(D438=1,ISNUMBER(INDEX(Charge!$N:$N,ROW()))),INDEX(Charge!$N:$N,ROW()),"")</f>
        <v/>
      </c>
      <c r="J438" s="165" t="str">
        <f>IF(I438="","",IF(AND(p_Repartition="Lissée jusqu'à la date de besoin",ISNUMBER(INDEX(Charge!$F:$F,ROW()))),IF(INDEX(Charge!$F:$F,ROW())&gt;=I438,INDEX(Charge!$F:$F,ROW()),I438),I438))</f>
        <v/>
      </c>
      <c r="K438" t="str">
        <f>IF(I438="","",NETWORKDAYS(I438,J438,Data!$K$4:$K$203))</f>
        <v/>
      </c>
      <c r="L438" t="str">
        <f>IF(D438=1,COUNTIFS($D$4:$D$503,1,$E$4:$E$503,"&gt;"&amp;E438)+COUNTIFS($D$4:$D438,1,$E$4:$E438,E438),"")</f>
        <v/>
      </c>
      <c r="M438">
        <f>IF(F438="",0,IF(COUNTIF($F$4:F438,F438)=1,1,0))</f>
        <v>0</v>
      </c>
      <c r="N438" t="str">
        <f>IF(M438=1,ROUND(SUMIF($F$4:$F$503,F438,$E$4:$E$503),2),"")</f>
        <v/>
      </c>
      <c r="O438" t="str">
        <f>IF(M438=1,COUNTIFS($M$4:$M$503,1,$N$4:$N$503,"&gt;"&amp;N438)+COUNTIFS($M$4:M438,1,$N$4:N438,N438),"")</f>
        <v/>
      </c>
      <c r="P438">
        <f>IF(G438="",0,IF(COUNTIF($G$4:G438,G438)=1,1,0))</f>
        <v>0</v>
      </c>
      <c r="Q438" t="str">
        <f>IF(P438=1,ROUND(SUMIF($G$4:$G$503,G438,$E$4:$E$503),2),"")</f>
        <v/>
      </c>
      <c r="R438" t="str">
        <f>IF(P438=1,COUNTIFS($P$4:$P$503,1,$Q$4:$Q$503,"&gt;"&amp;Q438)+COUNTIFS($P$4:P438,1,$Q$4:Q438,Q438),"")</f>
        <v/>
      </c>
      <c r="S438">
        <f>IF(H438="",0,IF(COUNTIF($H$4:H438,H438)=1,1,0))</f>
        <v>0</v>
      </c>
      <c r="T438" t="str">
        <f>IF(S438=1,ROUND(SUMIF($H$4:$H$503,H438,$E$4:$E$503),2),"")</f>
        <v/>
      </c>
      <c r="U438" t="str">
        <f>IF(S438=1,COUNTIFS($S$4:$S$503,1,$T$4:$T$503,"&gt;"&amp;T438)+COUNTIFS($S$4:S438,1,$T$4:T438,T438),"")</f>
        <v/>
      </c>
      <c r="V438" t="str">
        <f>IF(D438=1,MIN(INDEX($R$4:$R$503,MATCH(G438,$G$4:$G$503,0)),IF($AL$7&gt;9,9,999)),"")</f>
        <v/>
      </c>
      <c r="W438" s="166">
        <f>IF(OR($I438="",$E438=0),0,IF(OR($J438&lt;W$3,$I438&gt;W$2),0,IF($K438=0,IF(AND($I438&gt;=W$3,$I438&lt;=W$2),$E438,0),$E438*NETWORKDAYS(MAX($I438,W$3),MIN($J438,W$2),Data!$K$4:$K$203)/$K438)))</f>
        <v>0</v>
      </c>
      <c r="X438" s="166">
        <f>IF(OR($I438="",$E438=0),0,IF(OR($J438&lt;X$3,$I438&gt;X$2),0,IF($K438=0,IF(AND($I438&gt;=X$3,$I438&lt;=X$2),$E438,0),$E438*NETWORKDAYS(MAX($I438,X$3),MIN($J438,X$2),Data!$K$4:$K$203)/$K438)))</f>
        <v>0</v>
      </c>
      <c r="Y438" s="166">
        <f>IF(OR($I438="",$E438=0),0,IF(OR($J438&lt;Y$3,$I438&gt;Y$2),0,IF($K438=0,IF(AND($I438&gt;=Y$3,$I438&lt;=Y$2),$E438,0),$E438*NETWORKDAYS(MAX($I438,Y$3),MIN($J438,Y$2),Data!$K$4:$K$203)/$K438)))</f>
        <v>0</v>
      </c>
      <c r="Z438" s="166">
        <f>IF(OR($I438="",$E438=0),0,IF(OR($J438&lt;Z$3,$I438&gt;Z$2),0,IF($K438=0,IF(AND($I438&gt;=Z$3,$I438&lt;=Z$2),$E438,0),$E438*NETWORKDAYS(MAX($I438,Z$3),MIN($J438,Z$2),Data!$K$4:$K$203)/$K438)))</f>
        <v>0</v>
      </c>
      <c r="AA438" s="166">
        <f>IF(OR($I438="",$E438=0),0,IF(OR($J438&lt;AA$3,$I438&gt;AA$2),0,IF($K438=0,IF(AND($I438&gt;=AA$3,$I438&lt;=AA$2),$E438,0),$E438*NETWORKDAYS(MAX($I438,AA$3),MIN($J438,AA$2),Data!$K$4:$K$203)/$K438)))</f>
        <v>0</v>
      </c>
      <c r="AB438" s="166">
        <f>IF(OR($I438="",$E438=0),0,IF(OR($J438&lt;AB$3,$I438&gt;AB$2),0,IF($K438=0,IF(AND($I438&gt;=AB$3,$I438&lt;=AB$2),$E438,0),$E438*NETWORKDAYS(MAX($I438,AB$3),MIN($J438,AB$2),Data!$K$4:$K$203)/$K438)))</f>
        <v>0</v>
      </c>
      <c r="AC438" s="166">
        <f>IF(OR($I438="",$E438=0),0,IF(OR($J438&lt;AC$3,$I438&gt;AC$2),0,IF($K438=0,IF(AND($I438&gt;=AC$3,$I438&lt;=AC$2),$E438,0),$E438*NETWORKDAYS(MAX($I438,AC$3),MIN($J438,AC$2),Data!$K$4:$K$203)/$K438)))</f>
        <v>0</v>
      </c>
      <c r="AD438" s="166">
        <f>IF(OR($I438="",$E438=0),0,IF(OR($J438&lt;AD$3,$I438&gt;AD$2),0,IF($K438=0,IF(AND($I438&gt;=AD$3,$I438&lt;=AD$2),$E438,0),$E438*NETWORKDAYS(MAX($I438,AD$3),MIN($J438,AD$2),Data!$K$4:$K$203)/$K438)))</f>
        <v>0</v>
      </c>
      <c r="AE438" s="166">
        <f>IF(OR($I438="",$E438=0),0,IF(OR($J438&lt;AE$3,$I438&gt;AE$2),0,IF($K438=0,IF(AND($I438&gt;=AE$3,$I438&lt;=AE$2),$E438,0),$E438*NETWORKDAYS(MAX($I438,AE$3),MIN($J438,AE$2),Data!$K$4:$K$203)/$K438)))</f>
        <v>0</v>
      </c>
      <c r="AF438" s="166">
        <f>IF(OR($I438="",$E438=0),0,IF(OR($J438&lt;AF$3,$I438&gt;AF$2),0,IF($K438=0,IF(AND($I438&gt;=AF$3,$I438&lt;=AF$2),$E438,0),$E438*NETWORKDAYS(MAX($I438,AF$3),MIN($J438,AF$2),Data!$K$4:$K$203)/$K438)))</f>
        <v>0</v>
      </c>
      <c r="AG438" s="166">
        <f>IF(OR($I438="",$E438=0),0,IF(OR($J438&lt;AG$3,$I438&gt;AG$2),0,IF($K438=0,IF(AND($I438&gt;=AG$3,$I438&lt;=AG$2),$E438,0),$E438*NETWORKDAYS(MAX($I438,AG$3),MIN($J438,AG$2),Data!$K$4:$K$203)/$K438)))</f>
        <v>0</v>
      </c>
      <c r="AH438" s="166">
        <f>IF(OR($I438="",$E438=0),0,IF(OR($J438&lt;AH$3,$I438&gt;AH$2),0,IF($K438=0,IF(AND($I438&gt;=AH$3,$I438&lt;=AH$2),$E438,0),$E438*NETWORKDAYS(MAX($I438,AH$3),MIN($J438,AH$2),Data!$K$4:$K$203)/$K438)))</f>
        <v>0</v>
      </c>
      <c r="AI438" s="166">
        <f>SUM(W438:AH438)</f>
        <v>0</v>
      </c>
      <c r="BZ438" t="str">
        <f>IF(D438=1,IF(TRIM(INDEX(Charge!$K:$K,ROW()))&lt;&gt;"",TRIM(INDEX(Charge!$K:$K,ROW())),IF(TRIM(INDEX(Charge!$L:$L,ROW()))&lt;&gt;"",TRIM(INDEX(Charge!$L:$L,ROW())),"(non affecté)")),"")</f>
        <v/>
      </c>
      <c r="CA438" t="str">
        <f>IF(AND($CD$4&lt;&gt;"",BZ438=$CD$4),COUNTIFS($BZ$4:$BZ$503,$CD$4,$L$4:$L$503,"&lt;"&amp;L438)+1,"")</f>
        <v/>
      </c>
      <c r="EM438" t="str">
        <f>IF(D438=1,IF(TRIM(INDEX(Charge!$K:$K,ROW()))&lt;&gt;"","Interne",IF(TRIM(INDEX(Charge!$L:$L,ROW()))&lt;&gt;"","Externe","Non affecté")),"")</f>
        <v/>
      </c>
      <c r="EN438" t="str">
        <f>IF(D438=1,LEFT(SUBSTITUTE(SUBSTITUTE(SUBSTITUTE(TRIM(SUBSTITUTE(INDEX(Charge!$B:$B,ROW()),CHAR(160)," "))&amp;" | "&amp;TRIM(SUBSTITUTE(INDEX(Charge!$C:$C,ROW()),CHAR(160)," "))&amp;" | "&amp;TRIM(SUBSTITUTE(INDEX(Charge!$D:$D,ROW()),CHAR(160)," ")),"~","-"),"*","+"),"?","!"),240),"")</f>
        <v/>
      </c>
      <c r="EO438">
        <f>IF(EN438="",0,IF(COUNTIF($EN$4:EN438,EN438)=1,1,0))</f>
        <v>0</v>
      </c>
      <c r="EP438" s="166" t="str">
        <f>IF(EO438=1,ROUND(SUMIF($EN$4:$EN$503,EN438,$E$4:$E$503),2),"")</f>
        <v/>
      </c>
      <c r="EQ438" t="str">
        <f>IF(EO438=1,COUNTIFS($EO$4:$EO$503,1,$EP$4:$EP$503,"&gt;"&amp;EP438)+COUNTIFS($EO$4:EO438,1,$EP$4:EP438,EP438),"")</f>
        <v/>
      </c>
      <c r="ER438" t="str">
        <f>IF(EO438=1,COUNTIFS($EN$4:$EN$503,EN438,$EM$4:$EM$503,"Interne",$FE$4:$FE$503,1),"")</f>
        <v/>
      </c>
      <c r="ES438" t="str">
        <f>IF(EO438=1,COUNTIFS($EN$4:$EN$503,EN438,$EM$4:$EM$503,"Externe",$FE$4:$FE$503,1),"")</f>
        <v/>
      </c>
      <c r="ET438" t="str">
        <f>IF(EO438=1,IF(ER438+ES438=0,"à affecter",IF(ER438=0,ES438&amp;" ext.",(ER438+ES438)&amp;IF(ES438&gt;0," dont "&amp;ES438&amp;" ext.",""))&amp;IF(COUNTIFS($EN$4:$EN$503,EN438,$EM$4:$EM$503,"Non affecté")&gt;0," + à affecter","")),"")</f>
        <v/>
      </c>
      <c r="EU438" s="170" t="str">
        <f>IF(EO438=1,IF(EP438&gt;0,SUMPRODUCT(($EN$4:$EN$503=EN438)*$E$4:$E$503*$C$4:$C$503)/EP438,AVERAGEIF($EN$4:$EN$503,EN438,$C$4:$C$503)),"")</f>
        <v/>
      </c>
      <c r="EV438" s="165">
        <f>IF(ISNUMBER(I438),I438,2958465)</f>
        <v>2958465.0</v>
      </c>
      <c r="EW438" s="165" t="str">
        <f>IF(EO438=1,SUMPRODUCT(MIN(($EN$4:$EN$503=EN438)*$EV$4:$EV$503+($EN$4:$EN$503&lt;&gt;EN438)*2958465)),"")</f>
        <v/>
      </c>
      <c r="EX438" s="165">
        <f>IF(AND(D438=1,ISNUMBER(INDEX(Charge!$F:$F,ROW()))),INDEX(Charge!$F:$F,ROW()),0)</f>
        <v>0.0</v>
      </c>
      <c r="EY438" s="165" t="str">
        <f>IF(EO438=1,SUMPRODUCT(MAX(($EN$4:$EN$503=EN438)*$EX$4:$EX$503)),"")</f>
        <v/>
      </c>
      <c r="FD438">
        <f>IF(AND(B438=1,TRIM(INDEX(Charge!$K:$K,ROW()))&lt;&gt;"",TRIM(INDEX(Charge!$L:$L,ROW()))&lt;&gt;""),1,0)</f>
        <v>0</v>
      </c>
      <c r="FE438">
        <f>IF(OR(EN438="",BZ438="(non affecté)"),0,IF(COUNTIFS($EN$4:EN438,EN438,$BZ$4:BZ438,BZ438)=1,1,0))</f>
        <v>0</v>
      </c>
    </row>
    <row r="439">
      <c r="A439">
        <f>ROW()</f>
        <v>439</v>
      </c>
      <c r="B439">
        <f>IF(TRIM(INDEX(Charge!$B:$B,ROW()))&lt;&gt;"",1,0)</f>
        <v>0</v>
      </c>
      <c r="C439">
        <f>IF(B439=1,MIN(1,MAX(0,N(INDEX(Charge!$O:$O,ROW())))),0)</f>
        <v>0</v>
      </c>
      <c r="D439">
        <f>IF(B439=1,IF(OR(p_Perimetre="Tous les projets",C439&lt;1),1,0),0)</f>
        <v>0</v>
      </c>
      <c r="E439">
        <f>IF(D439=1,MAX(0,N(INDEX(Charge!$M:$M,ROW()))),0)</f>
        <v>0</v>
      </c>
      <c r="F439" t="str">
        <f>IF(D439=1,IF(TRIM(INDEX(Charge!$A:$A,ROW()))="","(non renseigné)",TRIM(INDEX(Charge!$A:$A,ROW()))),"")</f>
        <v/>
      </c>
      <c r="G439" t="str">
        <f>IF(D439=1,TRIM(INDEX(Charge!$B:$B,ROW())),"")</f>
        <v/>
      </c>
      <c r="H439" t="str">
        <f>IF(D439=1,IF(TRIM(INDEX(Charge!$E:$E,ROW()))="","(non renseigné)",TRIM(INDEX(Charge!$E:$E,ROW()))),"")</f>
        <v/>
      </c>
      <c r="I439" s="165" t="str">
        <f>IF(AND(D439=1,ISNUMBER(INDEX(Charge!$N:$N,ROW()))),INDEX(Charge!$N:$N,ROW()),"")</f>
        <v/>
      </c>
      <c r="J439" s="165" t="str">
        <f>IF(I439="","",IF(AND(p_Repartition="Lissée jusqu'à la date de besoin",ISNUMBER(INDEX(Charge!$F:$F,ROW()))),IF(INDEX(Charge!$F:$F,ROW())&gt;=I439,INDEX(Charge!$F:$F,ROW()),I439),I439))</f>
        <v/>
      </c>
      <c r="K439" t="str">
        <f>IF(I439="","",NETWORKDAYS(I439,J439,Data!$K$4:$K$203))</f>
        <v/>
      </c>
      <c r="L439" t="str">
        <f>IF(D439=1,COUNTIFS($D$4:$D$503,1,$E$4:$E$503,"&gt;"&amp;E439)+COUNTIFS($D$4:$D439,1,$E$4:$E439,E439),"")</f>
        <v/>
      </c>
      <c r="M439">
        <f>IF(F439="",0,IF(COUNTIF($F$4:F439,F439)=1,1,0))</f>
        <v>0</v>
      </c>
      <c r="N439" t="str">
        <f>IF(M439=1,ROUND(SUMIF($F$4:$F$503,F439,$E$4:$E$503),2),"")</f>
        <v/>
      </c>
      <c r="O439" t="str">
        <f>IF(M439=1,COUNTIFS($M$4:$M$503,1,$N$4:$N$503,"&gt;"&amp;N439)+COUNTIFS($M$4:M439,1,$N$4:N439,N439),"")</f>
        <v/>
      </c>
      <c r="P439">
        <f>IF(G439="",0,IF(COUNTIF($G$4:G439,G439)=1,1,0))</f>
        <v>0</v>
      </c>
      <c r="Q439" t="str">
        <f>IF(P439=1,ROUND(SUMIF($G$4:$G$503,G439,$E$4:$E$503),2),"")</f>
        <v/>
      </c>
      <c r="R439" t="str">
        <f>IF(P439=1,COUNTIFS($P$4:$P$503,1,$Q$4:$Q$503,"&gt;"&amp;Q439)+COUNTIFS($P$4:P439,1,$Q$4:Q439,Q439),"")</f>
        <v/>
      </c>
      <c r="S439">
        <f>IF(H439="",0,IF(COUNTIF($H$4:H439,H439)=1,1,0))</f>
        <v>0</v>
      </c>
      <c r="T439" t="str">
        <f>IF(S439=1,ROUND(SUMIF($H$4:$H$503,H439,$E$4:$E$503),2),"")</f>
        <v/>
      </c>
      <c r="U439" t="str">
        <f>IF(S439=1,COUNTIFS($S$4:$S$503,1,$T$4:$T$503,"&gt;"&amp;T439)+COUNTIFS($S$4:S439,1,$T$4:T439,T439),"")</f>
        <v/>
      </c>
      <c r="V439" t="str">
        <f>IF(D439=1,MIN(INDEX($R$4:$R$503,MATCH(G439,$G$4:$G$503,0)),IF($AL$7&gt;9,9,999)),"")</f>
        <v/>
      </c>
      <c r="W439" s="166">
        <f>IF(OR($I439="",$E439=0),0,IF(OR($J439&lt;W$3,$I439&gt;W$2),0,IF($K439=0,IF(AND($I439&gt;=W$3,$I439&lt;=W$2),$E439,0),$E439*NETWORKDAYS(MAX($I439,W$3),MIN($J439,W$2),Data!$K$4:$K$203)/$K439)))</f>
        <v>0</v>
      </c>
      <c r="X439" s="166">
        <f>IF(OR($I439="",$E439=0),0,IF(OR($J439&lt;X$3,$I439&gt;X$2),0,IF($K439=0,IF(AND($I439&gt;=X$3,$I439&lt;=X$2),$E439,0),$E439*NETWORKDAYS(MAX($I439,X$3),MIN($J439,X$2),Data!$K$4:$K$203)/$K439)))</f>
        <v>0</v>
      </c>
      <c r="Y439" s="166">
        <f>IF(OR($I439="",$E439=0),0,IF(OR($J439&lt;Y$3,$I439&gt;Y$2),0,IF($K439=0,IF(AND($I439&gt;=Y$3,$I439&lt;=Y$2),$E439,0),$E439*NETWORKDAYS(MAX($I439,Y$3),MIN($J439,Y$2),Data!$K$4:$K$203)/$K439)))</f>
        <v>0</v>
      </c>
      <c r="Z439" s="166">
        <f>IF(OR($I439="",$E439=0),0,IF(OR($J439&lt;Z$3,$I439&gt;Z$2),0,IF($K439=0,IF(AND($I439&gt;=Z$3,$I439&lt;=Z$2),$E439,0),$E439*NETWORKDAYS(MAX($I439,Z$3),MIN($J439,Z$2),Data!$K$4:$K$203)/$K439)))</f>
        <v>0</v>
      </c>
      <c r="AA439" s="166">
        <f>IF(OR($I439="",$E439=0),0,IF(OR($J439&lt;AA$3,$I439&gt;AA$2),0,IF($K439=0,IF(AND($I439&gt;=AA$3,$I439&lt;=AA$2),$E439,0),$E439*NETWORKDAYS(MAX($I439,AA$3),MIN($J439,AA$2),Data!$K$4:$K$203)/$K439)))</f>
        <v>0</v>
      </c>
      <c r="AB439" s="166">
        <f>IF(OR($I439="",$E439=0),0,IF(OR($J439&lt;AB$3,$I439&gt;AB$2),0,IF($K439=0,IF(AND($I439&gt;=AB$3,$I439&lt;=AB$2),$E439,0),$E439*NETWORKDAYS(MAX($I439,AB$3),MIN($J439,AB$2),Data!$K$4:$K$203)/$K439)))</f>
        <v>0</v>
      </c>
      <c r="AC439" s="166">
        <f>IF(OR($I439="",$E439=0),0,IF(OR($J439&lt;AC$3,$I439&gt;AC$2),0,IF($K439=0,IF(AND($I439&gt;=AC$3,$I439&lt;=AC$2),$E439,0),$E439*NETWORKDAYS(MAX($I439,AC$3),MIN($J439,AC$2),Data!$K$4:$K$203)/$K439)))</f>
        <v>0</v>
      </c>
      <c r="AD439" s="166">
        <f>IF(OR($I439="",$E439=0),0,IF(OR($J439&lt;AD$3,$I439&gt;AD$2),0,IF($K439=0,IF(AND($I439&gt;=AD$3,$I439&lt;=AD$2),$E439,0),$E439*NETWORKDAYS(MAX($I439,AD$3),MIN($J439,AD$2),Data!$K$4:$K$203)/$K439)))</f>
        <v>0</v>
      </c>
      <c r="AE439" s="166">
        <f>IF(OR($I439="",$E439=0),0,IF(OR($J439&lt;AE$3,$I439&gt;AE$2),0,IF($K439=0,IF(AND($I439&gt;=AE$3,$I439&lt;=AE$2),$E439,0),$E439*NETWORKDAYS(MAX($I439,AE$3),MIN($J439,AE$2),Data!$K$4:$K$203)/$K439)))</f>
        <v>0</v>
      </c>
      <c r="AF439" s="166">
        <f>IF(OR($I439="",$E439=0),0,IF(OR($J439&lt;AF$3,$I439&gt;AF$2),0,IF($K439=0,IF(AND($I439&gt;=AF$3,$I439&lt;=AF$2),$E439,0),$E439*NETWORKDAYS(MAX($I439,AF$3),MIN($J439,AF$2),Data!$K$4:$K$203)/$K439)))</f>
        <v>0</v>
      </c>
      <c r="AG439" s="166">
        <f>IF(OR($I439="",$E439=0),0,IF(OR($J439&lt;AG$3,$I439&gt;AG$2),0,IF($K439=0,IF(AND($I439&gt;=AG$3,$I439&lt;=AG$2),$E439,0),$E439*NETWORKDAYS(MAX($I439,AG$3),MIN($J439,AG$2),Data!$K$4:$K$203)/$K439)))</f>
        <v>0</v>
      </c>
      <c r="AH439" s="166">
        <f>IF(OR($I439="",$E439=0),0,IF(OR($J439&lt;AH$3,$I439&gt;AH$2),0,IF($K439=0,IF(AND($I439&gt;=AH$3,$I439&lt;=AH$2),$E439,0),$E439*NETWORKDAYS(MAX($I439,AH$3),MIN($J439,AH$2),Data!$K$4:$K$203)/$K439)))</f>
        <v>0</v>
      </c>
      <c r="AI439" s="166">
        <f>SUM(W439:AH439)</f>
        <v>0</v>
      </c>
      <c r="BZ439" t="str">
        <f>IF(D439=1,IF(TRIM(INDEX(Charge!$K:$K,ROW()))&lt;&gt;"",TRIM(INDEX(Charge!$K:$K,ROW())),IF(TRIM(INDEX(Charge!$L:$L,ROW()))&lt;&gt;"",TRIM(INDEX(Charge!$L:$L,ROW())),"(non affecté)")),"")</f>
        <v/>
      </c>
      <c r="CA439" t="str">
        <f>IF(AND($CD$4&lt;&gt;"",BZ439=$CD$4),COUNTIFS($BZ$4:$BZ$503,$CD$4,$L$4:$L$503,"&lt;"&amp;L439)+1,"")</f>
        <v/>
      </c>
      <c r="EM439" t="str">
        <f>IF(D439=1,IF(TRIM(INDEX(Charge!$K:$K,ROW()))&lt;&gt;"","Interne",IF(TRIM(INDEX(Charge!$L:$L,ROW()))&lt;&gt;"","Externe","Non affecté")),"")</f>
        <v/>
      </c>
      <c r="EN439" t="str">
        <f>IF(D439=1,LEFT(SUBSTITUTE(SUBSTITUTE(SUBSTITUTE(TRIM(SUBSTITUTE(INDEX(Charge!$B:$B,ROW()),CHAR(160)," "))&amp;" | "&amp;TRIM(SUBSTITUTE(INDEX(Charge!$C:$C,ROW()),CHAR(160)," "))&amp;" | "&amp;TRIM(SUBSTITUTE(INDEX(Charge!$D:$D,ROW()),CHAR(160)," ")),"~","-"),"*","+"),"?","!"),240),"")</f>
        <v/>
      </c>
      <c r="EO439">
        <f>IF(EN439="",0,IF(COUNTIF($EN$4:EN439,EN439)=1,1,0))</f>
        <v>0</v>
      </c>
      <c r="EP439" s="166" t="str">
        <f>IF(EO439=1,ROUND(SUMIF($EN$4:$EN$503,EN439,$E$4:$E$503),2),"")</f>
        <v/>
      </c>
      <c r="EQ439" t="str">
        <f>IF(EO439=1,COUNTIFS($EO$4:$EO$503,1,$EP$4:$EP$503,"&gt;"&amp;EP439)+COUNTIFS($EO$4:EO439,1,$EP$4:EP439,EP439),"")</f>
        <v/>
      </c>
      <c r="ER439" t="str">
        <f>IF(EO439=1,COUNTIFS($EN$4:$EN$503,EN439,$EM$4:$EM$503,"Interne",$FE$4:$FE$503,1),"")</f>
        <v/>
      </c>
      <c r="ES439" t="str">
        <f>IF(EO439=1,COUNTIFS($EN$4:$EN$503,EN439,$EM$4:$EM$503,"Externe",$FE$4:$FE$503,1),"")</f>
        <v/>
      </c>
      <c r="ET439" t="str">
        <f>IF(EO439=1,IF(ER439+ES439=0,"à affecter",IF(ER439=0,ES439&amp;" ext.",(ER439+ES439)&amp;IF(ES439&gt;0," dont "&amp;ES439&amp;" ext.",""))&amp;IF(COUNTIFS($EN$4:$EN$503,EN439,$EM$4:$EM$503,"Non affecté")&gt;0," + à affecter","")),"")</f>
        <v/>
      </c>
      <c r="EU439" s="170" t="str">
        <f>IF(EO439=1,IF(EP439&gt;0,SUMPRODUCT(($EN$4:$EN$503=EN439)*$E$4:$E$503*$C$4:$C$503)/EP439,AVERAGEIF($EN$4:$EN$503,EN439,$C$4:$C$503)),"")</f>
        <v/>
      </c>
      <c r="EV439" s="165">
        <f>IF(ISNUMBER(I439),I439,2958465)</f>
        <v>2958465.0</v>
      </c>
      <c r="EW439" s="165" t="str">
        <f>IF(EO439=1,SUMPRODUCT(MIN(($EN$4:$EN$503=EN439)*$EV$4:$EV$503+($EN$4:$EN$503&lt;&gt;EN439)*2958465)),"")</f>
        <v/>
      </c>
      <c r="EX439" s="165">
        <f>IF(AND(D439=1,ISNUMBER(INDEX(Charge!$F:$F,ROW()))),INDEX(Charge!$F:$F,ROW()),0)</f>
        <v>0.0</v>
      </c>
      <c r="EY439" s="165" t="str">
        <f>IF(EO439=1,SUMPRODUCT(MAX(($EN$4:$EN$503=EN439)*$EX$4:$EX$503)),"")</f>
        <v/>
      </c>
      <c r="FD439">
        <f>IF(AND(B439=1,TRIM(INDEX(Charge!$K:$K,ROW()))&lt;&gt;"",TRIM(INDEX(Charge!$L:$L,ROW()))&lt;&gt;""),1,0)</f>
        <v>0</v>
      </c>
      <c r="FE439">
        <f>IF(OR(EN439="",BZ439="(non affecté)"),0,IF(COUNTIFS($EN$4:EN439,EN439,$BZ$4:BZ439,BZ439)=1,1,0))</f>
        <v>0</v>
      </c>
    </row>
    <row r="440">
      <c r="A440">
        <f>ROW()</f>
        <v>440</v>
      </c>
      <c r="B440">
        <f>IF(TRIM(INDEX(Charge!$B:$B,ROW()))&lt;&gt;"",1,0)</f>
        <v>0</v>
      </c>
      <c r="C440">
        <f>IF(B440=1,MIN(1,MAX(0,N(INDEX(Charge!$O:$O,ROW())))),0)</f>
        <v>0</v>
      </c>
      <c r="D440">
        <f>IF(B440=1,IF(OR(p_Perimetre="Tous les projets",C440&lt;1),1,0),0)</f>
        <v>0</v>
      </c>
      <c r="E440">
        <f>IF(D440=1,MAX(0,N(INDEX(Charge!$M:$M,ROW()))),0)</f>
        <v>0</v>
      </c>
      <c r="F440" t="str">
        <f>IF(D440=1,IF(TRIM(INDEX(Charge!$A:$A,ROW()))="","(non renseigné)",TRIM(INDEX(Charge!$A:$A,ROW()))),"")</f>
        <v/>
      </c>
      <c r="G440" t="str">
        <f>IF(D440=1,TRIM(INDEX(Charge!$B:$B,ROW())),"")</f>
        <v/>
      </c>
      <c r="H440" t="str">
        <f>IF(D440=1,IF(TRIM(INDEX(Charge!$E:$E,ROW()))="","(non renseigné)",TRIM(INDEX(Charge!$E:$E,ROW()))),"")</f>
        <v/>
      </c>
      <c r="I440" s="165" t="str">
        <f>IF(AND(D440=1,ISNUMBER(INDEX(Charge!$N:$N,ROW()))),INDEX(Charge!$N:$N,ROW()),"")</f>
        <v/>
      </c>
      <c r="J440" s="165" t="str">
        <f>IF(I440="","",IF(AND(p_Repartition="Lissée jusqu'à la date de besoin",ISNUMBER(INDEX(Charge!$F:$F,ROW()))),IF(INDEX(Charge!$F:$F,ROW())&gt;=I440,INDEX(Charge!$F:$F,ROW()),I440),I440))</f>
        <v/>
      </c>
      <c r="K440" t="str">
        <f>IF(I440="","",NETWORKDAYS(I440,J440,Data!$K$4:$K$203))</f>
        <v/>
      </c>
      <c r="L440" t="str">
        <f>IF(D440=1,COUNTIFS($D$4:$D$503,1,$E$4:$E$503,"&gt;"&amp;E440)+COUNTIFS($D$4:$D440,1,$E$4:$E440,E440),"")</f>
        <v/>
      </c>
      <c r="M440">
        <f>IF(F440="",0,IF(COUNTIF($F$4:F440,F440)=1,1,0))</f>
        <v>0</v>
      </c>
      <c r="N440" t="str">
        <f>IF(M440=1,ROUND(SUMIF($F$4:$F$503,F440,$E$4:$E$503),2),"")</f>
        <v/>
      </c>
      <c r="O440" t="str">
        <f>IF(M440=1,COUNTIFS($M$4:$M$503,1,$N$4:$N$503,"&gt;"&amp;N440)+COUNTIFS($M$4:M440,1,$N$4:N440,N440),"")</f>
        <v/>
      </c>
      <c r="P440">
        <f>IF(G440="",0,IF(COUNTIF($G$4:G440,G440)=1,1,0))</f>
        <v>0</v>
      </c>
      <c r="Q440" t="str">
        <f>IF(P440=1,ROUND(SUMIF($G$4:$G$503,G440,$E$4:$E$503),2),"")</f>
        <v/>
      </c>
      <c r="R440" t="str">
        <f>IF(P440=1,COUNTIFS($P$4:$P$503,1,$Q$4:$Q$503,"&gt;"&amp;Q440)+COUNTIFS($P$4:P440,1,$Q$4:Q440,Q440),"")</f>
        <v/>
      </c>
      <c r="S440">
        <f>IF(H440="",0,IF(COUNTIF($H$4:H440,H440)=1,1,0))</f>
        <v>0</v>
      </c>
      <c r="T440" t="str">
        <f>IF(S440=1,ROUND(SUMIF($H$4:$H$503,H440,$E$4:$E$503),2),"")</f>
        <v/>
      </c>
      <c r="U440" t="str">
        <f>IF(S440=1,COUNTIFS($S$4:$S$503,1,$T$4:$T$503,"&gt;"&amp;T440)+COUNTIFS($S$4:S440,1,$T$4:T440,T440),"")</f>
        <v/>
      </c>
      <c r="V440" t="str">
        <f>IF(D440=1,MIN(INDEX($R$4:$R$503,MATCH(G440,$G$4:$G$503,0)),IF($AL$7&gt;9,9,999)),"")</f>
        <v/>
      </c>
      <c r="W440" s="166">
        <f>IF(OR($I440="",$E440=0),0,IF(OR($J440&lt;W$3,$I440&gt;W$2),0,IF($K440=0,IF(AND($I440&gt;=W$3,$I440&lt;=W$2),$E440,0),$E440*NETWORKDAYS(MAX($I440,W$3),MIN($J440,W$2),Data!$K$4:$K$203)/$K440)))</f>
        <v>0</v>
      </c>
      <c r="X440" s="166">
        <f>IF(OR($I440="",$E440=0),0,IF(OR($J440&lt;X$3,$I440&gt;X$2),0,IF($K440=0,IF(AND($I440&gt;=X$3,$I440&lt;=X$2),$E440,0),$E440*NETWORKDAYS(MAX($I440,X$3),MIN($J440,X$2),Data!$K$4:$K$203)/$K440)))</f>
        <v>0</v>
      </c>
      <c r="Y440" s="166">
        <f>IF(OR($I440="",$E440=0),0,IF(OR($J440&lt;Y$3,$I440&gt;Y$2),0,IF($K440=0,IF(AND($I440&gt;=Y$3,$I440&lt;=Y$2),$E440,0),$E440*NETWORKDAYS(MAX($I440,Y$3),MIN($J440,Y$2),Data!$K$4:$K$203)/$K440)))</f>
        <v>0</v>
      </c>
      <c r="Z440" s="166">
        <f>IF(OR($I440="",$E440=0),0,IF(OR($J440&lt;Z$3,$I440&gt;Z$2),0,IF($K440=0,IF(AND($I440&gt;=Z$3,$I440&lt;=Z$2),$E440,0),$E440*NETWORKDAYS(MAX($I440,Z$3),MIN($J440,Z$2),Data!$K$4:$K$203)/$K440)))</f>
        <v>0</v>
      </c>
      <c r="AA440" s="166">
        <f>IF(OR($I440="",$E440=0),0,IF(OR($J440&lt;AA$3,$I440&gt;AA$2),0,IF($K440=0,IF(AND($I440&gt;=AA$3,$I440&lt;=AA$2),$E440,0),$E440*NETWORKDAYS(MAX($I440,AA$3),MIN($J440,AA$2),Data!$K$4:$K$203)/$K440)))</f>
        <v>0</v>
      </c>
      <c r="AB440" s="166">
        <f>IF(OR($I440="",$E440=0),0,IF(OR($J440&lt;AB$3,$I440&gt;AB$2),0,IF($K440=0,IF(AND($I440&gt;=AB$3,$I440&lt;=AB$2),$E440,0),$E440*NETWORKDAYS(MAX($I440,AB$3),MIN($J440,AB$2),Data!$K$4:$K$203)/$K440)))</f>
        <v>0</v>
      </c>
      <c r="AC440" s="166">
        <f>IF(OR($I440="",$E440=0),0,IF(OR($J440&lt;AC$3,$I440&gt;AC$2),0,IF($K440=0,IF(AND($I440&gt;=AC$3,$I440&lt;=AC$2),$E440,0),$E440*NETWORKDAYS(MAX($I440,AC$3),MIN($J440,AC$2),Data!$K$4:$K$203)/$K440)))</f>
        <v>0</v>
      </c>
      <c r="AD440" s="166">
        <f>IF(OR($I440="",$E440=0),0,IF(OR($J440&lt;AD$3,$I440&gt;AD$2),0,IF($K440=0,IF(AND($I440&gt;=AD$3,$I440&lt;=AD$2),$E440,0),$E440*NETWORKDAYS(MAX($I440,AD$3),MIN($J440,AD$2),Data!$K$4:$K$203)/$K440)))</f>
        <v>0</v>
      </c>
      <c r="AE440" s="166">
        <f>IF(OR($I440="",$E440=0),0,IF(OR($J440&lt;AE$3,$I440&gt;AE$2),0,IF($K440=0,IF(AND($I440&gt;=AE$3,$I440&lt;=AE$2),$E440,0),$E440*NETWORKDAYS(MAX($I440,AE$3),MIN($J440,AE$2),Data!$K$4:$K$203)/$K440)))</f>
        <v>0</v>
      </c>
      <c r="AF440" s="166">
        <f>IF(OR($I440="",$E440=0),0,IF(OR($J440&lt;AF$3,$I440&gt;AF$2),0,IF($K440=0,IF(AND($I440&gt;=AF$3,$I440&lt;=AF$2),$E440,0),$E440*NETWORKDAYS(MAX($I440,AF$3),MIN($J440,AF$2),Data!$K$4:$K$203)/$K440)))</f>
        <v>0</v>
      </c>
      <c r="AG440" s="166">
        <f>IF(OR($I440="",$E440=0),0,IF(OR($J440&lt;AG$3,$I440&gt;AG$2),0,IF($K440=0,IF(AND($I440&gt;=AG$3,$I440&lt;=AG$2),$E440,0),$E440*NETWORKDAYS(MAX($I440,AG$3),MIN($J440,AG$2),Data!$K$4:$K$203)/$K440)))</f>
        <v>0</v>
      </c>
      <c r="AH440" s="166">
        <f>IF(OR($I440="",$E440=0),0,IF(OR($J440&lt;AH$3,$I440&gt;AH$2),0,IF($K440=0,IF(AND($I440&gt;=AH$3,$I440&lt;=AH$2),$E440,0),$E440*NETWORKDAYS(MAX($I440,AH$3),MIN($J440,AH$2),Data!$K$4:$K$203)/$K440)))</f>
        <v>0</v>
      </c>
      <c r="AI440" s="166">
        <f>SUM(W440:AH440)</f>
        <v>0</v>
      </c>
      <c r="BZ440" t="str">
        <f>IF(D440=1,IF(TRIM(INDEX(Charge!$K:$K,ROW()))&lt;&gt;"",TRIM(INDEX(Charge!$K:$K,ROW())),IF(TRIM(INDEX(Charge!$L:$L,ROW()))&lt;&gt;"",TRIM(INDEX(Charge!$L:$L,ROW())),"(non affecté)")),"")</f>
        <v/>
      </c>
      <c r="CA440" t="str">
        <f>IF(AND($CD$4&lt;&gt;"",BZ440=$CD$4),COUNTIFS($BZ$4:$BZ$503,$CD$4,$L$4:$L$503,"&lt;"&amp;L440)+1,"")</f>
        <v/>
      </c>
      <c r="EM440" t="str">
        <f>IF(D440=1,IF(TRIM(INDEX(Charge!$K:$K,ROW()))&lt;&gt;"","Interne",IF(TRIM(INDEX(Charge!$L:$L,ROW()))&lt;&gt;"","Externe","Non affecté")),"")</f>
        <v/>
      </c>
      <c r="EN440" t="str">
        <f>IF(D440=1,LEFT(SUBSTITUTE(SUBSTITUTE(SUBSTITUTE(TRIM(SUBSTITUTE(INDEX(Charge!$B:$B,ROW()),CHAR(160)," "))&amp;" | "&amp;TRIM(SUBSTITUTE(INDEX(Charge!$C:$C,ROW()),CHAR(160)," "))&amp;" | "&amp;TRIM(SUBSTITUTE(INDEX(Charge!$D:$D,ROW()),CHAR(160)," ")),"~","-"),"*","+"),"?","!"),240),"")</f>
        <v/>
      </c>
      <c r="EO440">
        <f>IF(EN440="",0,IF(COUNTIF($EN$4:EN440,EN440)=1,1,0))</f>
        <v>0</v>
      </c>
      <c r="EP440" s="166" t="str">
        <f>IF(EO440=1,ROUND(SUMIF($EN$4:$EN$503,EN440,$E$4:$E$503),2),"")</f>
        <v/>
      </c>
      <c r="EQ440" t="str">
        <f>IF(EO440=1,COUNTIFS($EO$4:$EO$503,1,$EP$4:$EP$503,"&gt;"&amp;EP440)+COUNTIFS($EO$4:EO440,1,$EP$4:EP440,EP440),"")</f>
        <v/>
      </c>
      <c r="ER440" t="str">
        <f>IF(EO440=1,COUNTIFS($EN$4:$EN$503,EN440,$EM$4:$EM$503,"Interne",$FE$4:$FE$503,1),"")</f>
        <v/>
      </c>
      <c r="ES440" t="str">
        <f>IF(EO440=1,COUNTIFS($EN$4:$EN$503,EN440,$EM$4:$EM$503,"Externe",$FE$4:$FE$503,1),"")</f>
        <v/>
      </c>
      <c r="ET440" t="str">
        <f>IF(EO440=1,IF(ER440+ES440=0,"à affecter",IF(ER440=0,ES440&amp;" ext.",(ER440+ES440)&amp;IF(ES440&gt;0," dont "&amp;ES440&amp;" ext.",""))&amp;IF(COUNTIFS($EN$4:$EN$503,EN440,$EM$4:$EM$503,"Non affecté")&gt;0," + à affecter","")),"")</f>
        <v/>
      </c>
      <c r="EU440" s="170" t="str">
        <f>IF(EO440=1,IF(EP440&gt;0,SUMPRODUCT(($EN$4:$EN$503=EN440)*$E$4:$E$503*$C$4:$C$503)/EP440,AVERAGEIF($EN$4:$EN$503,EN440,$C$4:$C$503)),"")</f>
        <v/>
      </c>
      <c r="EV440" s="165">
        <f>IF(ISNUMBER(I440),I440,2958465)</f>
        <v>2958465.0</v>
      </c>
      <c r="EW440" s="165" t="str">
        <f>IF(EO440=1,SUMPRODUCT(MIN(($EN$4:$EN$503=EN440)*$EV$4:$EV$503+($EN$4:$EN$503&lt;&gt;EN440)*2958465)),"")</f>
        <v/>
      </c>
      <c r="EX440" s="165">
        <f>IF(AND(D440=1,ISNUMBER(INDEX(Charge!$F:$F,ROW()))),INDEX(Charge!$F:$F,ROW()),0)</f>
        <v>0.0</v>
      </c>
      <c r="EY440" s="165" t="str">
        <f>IF(EO440=1,SUMPRODUCT(MAX(($EN$4:$EN$503=EN440)*$EX$4:$EX$503)),"")</f>
        <v/>
      </c>
      <c r="FD440">
        <f>IF(AND(B440=1,TRIM(INDEX(Charge!$K:$K,ROW()))&lt;&gt;"",TRIM(INDEX(Charge!$L:$L,ROW()))&lt;&gt;""),1,0)</f>
        <v>0</v>
      </c>
      <c r="FE440">
        <f>IF(OR(EN440="",BZ440="(non affecté)"),0,IF(COUNTIFS($EN$4:EN440,EN440,$BZ$4:BZ440,BZ440)=1,1,0))</f>
        <v>0</v>
      </c>
    </row>
    <row r="441">
      <c r="A441">
        <f>ROW()</f>
        <v>441</v>
      </c>
      <c r="B441">
        <f>IF(TRIM(INDEX(Charge!$B:$B,ROW()))&lt;&gt;"",1,0)</f>
        <v>0</v>
      </c>
      <c r="C441">
        <f>IF(B441=1,MIN(1,MAX(0,N(INDEX(Charge!$O:$O,ROW())))),0)</f>
        <v>0</v>
      </c>
      <c r="D441">
        <f>IF(B441=1,IF(OR(p_Perimetre="Tous les projets",C441&lt;1),1,0),0)</f>
        <v>0</v>
      </c>
      <c r="E441">
        <f>IF(D441=1,MAX(0,N(INDEX(Charge!$M:$M,ROW()))),0)</f>
        <v>0</v>
      </c>
      <c r="F441" t="str">
        <f>IF(D441=1,IF(TRIM(INDEX(Charge!$A:$A,ROW()))="","(non renseigné)",TRIM(INDEX(Charge!$A:$A,ROW()))),"")</f>
        <v/>
      </c>
      <c r="G441" t="str">
        <f>IF(D441=1,TRIM(INDEX(Charge!$B:$B,ROW())),"")</f>
        <v/>
      </c>
      <c r="H441" t="str">
        <f>IF(D441=1,IF(TRIM(INDEX(Charge!$E:$E,ROW()))="","(non renseigné)",TRIM(INDEX(Charge!$E:$E,ROW()))),"")</f>
        <v/>
      </c>
      <c r="I441" s="165" t="str">
        <f>IF(AND(D441=1,ISNUMBER(INDEX(Charge!$N:$N,ROW()))),INDEX(Charge!$N:$N,ROW()),"")</f>
        <v/>
      </c>
      <c r="J441" s="165" t="str">
        <f>IF(I441="","",IF(AND(p_Repartition="Lissée jusqu'à la date de besoin",ISNUMBER(INDEX(Charge!$F:$F,ROW()))),IF(INDEX(Charge!$F:$F,ROW())&gt;=I441,INDEX(Charge!$F:$F,ROW()),I441),I441))</f>
        <v/>
      </c>
      <c r="K441" t="str">
        <f>IF(I441="","",NETWORKDAYS(I441,J441,Data!$K$4:$K$203))</f>
        <v/>
      </c>
      <c r="L441" t="str">
        <f>IF(D441=1,COUNTIFS($D$4:$D$503,1,$E$4:$E$503,"&gt;"&amp;E441)+COUNTIFS($D$4:$D441,1,$E$4:$E441,E441),"")</f>
        <v/>
      </c>
      <c r="M441">
        <f>IF(F441="",0,IF(COUNTIF($F$4:F441,F441)=1,1,0))</f>
        <v>0</v>
      </c>
      <c r="N441" t="str">
        <f>IF(M441=1,ROUND(SUMIF($F$4:$F$503,F441,$E$4:$E$503),2),"")</f>
        <v/>
      </c>
      <c r="O441" t="str">
        <f>IF(M441=1,COUNTIFS($M$4:$M$503,1,$N$4:$N$503,"&gt;"&amp;N441)+COUNTIFS($M$4:M441,1,$N$4:N441,N441),"")</f>
        <v/>
      </c>
      <c r="P441">
        <f>IF(G441="",0,IF(COUNTIF($G$4:G441,G441)=1,1,0))</f>
        <v>0</v>
      </c>
      <c r="Q441" t="str">
        <f>IF(P441=1,ROUND(SUMIF($G$4:$G$503,G441,$E$4:$E$503),2),"")</f>
        <v/>
      </c>
      <c r="R441" t="str">
        <f>IF(P441=1,COUNTIFS($P$4:$P$503,1,$Q$4:$Q$503,"&gt;"&amp;Q441)+COUNTIFS($P$4:P441,1,$Q$4:Q441,Q441),"")</f>
        <v/>
      </c>
      <c r="S441">
        <f>IF(H441="",0,IF(COUNTIF($H$4:H441,H441)=1,1,0))</f>
        <v>0</v>
      </c>
      <c r="T441" t="str">
        <f>IF(S441=1,ROUND(SUMIF($H$4:$H$503,H441,$E$4:$E$503),2),"")</f>
        <v/>
      </c>
      <c r="U441" t="str">
        <f>IF(S441=1,COUNTIFS($S$4:$S$503,1,$T$4:$T$503,"&gt;"&amp;T441)+COUNTIFS($S$4:S441,1,$T$4:T441,T441),"")</f>
        <v/>
      </c>
      <c r="V441" t="str">
        <f>IF(D441=1,MIN(INDEX($R$4:$R$503,MATCH(G441,$G$4:$G$503,0)),IF($AL$7&gt;9,9,999)),"")</f>
        <v/>
      </c>
      <c r="W441" s="166">
        <f>IF(OR($I441="",$E441=0),0,IF(OR($J441&lt;W$3,$I441&gt;W$2),0,IF($K441=0,IF(AND($I441&gt;=W$3,$I441&lt;=W$2),$E441,0),$E441*NETWORKDAYS(MAX($I441,W$3),MIN($J441,W$2),Data!$K$4:$K$203)/$K441)))</f>
        <v>0</v>
      </c>
      <c r="X441" s="166">
        <f>IF(OR($I441="",$E441=0),0,IF(OR($J441&lt;X$3,$I441&gt;X$2),0,IF($K441=0,IF(AND($I441&gt;=X$3,$I441&lt;=X$2),$E441,0),$E441*NETWORKDAYS(MAX($I441,X$3),MIN($J441,X$2),Data!$K$4:$K$203)/$K441)))</f>
        <v>0</v>
      </c>
      <c r="Y441" s="166">
        <f>IF(OR($I441="",$E441=0),0,IF(OR($J441&lt;Y$3,$I441&gt;Y$2),0,IF($K441=0,IF(AND($I441&gt;=Y$3,$I441&lt;=Y$2),$E441,0),$E441*NETWORKDAYS(MAX($I441,Y$3),MIN($J441,Y$2),Data!$K$4:$K$203)/$K441)))</f>
        <v>0</v>
      </c>
      <c r="Z441" s="166">
        <f>IF(OR($I441="",$E441=0),0,IF(OR($J441&lt;Z$3,$I441&gt;Z$2),0,IF($K441=0,IF(AND($I441&gt;=Z$3,$I441&lt;=Z$2),$E441,0),$E441*NETWORKDAYS(MAX($I441,Z$3),MIN($J441,Z$2),Data!$K$4:$K$203)/$K441)))</f>
        <v>0</v>
      </c>
      <c r="AA441" s="166">
        <f>IF(OR($I441="",$E441=0),0,IF(OR($J441&lt;AA$3,$I441&gt;AA$2),0,IF($K441=0,IF(AND($I441&gt;=AA$3,$I441&lt;=AA$2),$E441,0),$E441*NETWORKDAYS(MAX($I441,AA$3),MIN($J441,AA$2),Data!$K$4:$K$203)/$K441)))</f>
        <v>0</v>
      </c>
      <c r="AB441" s="166">
        <f>IF(OR($I441="",$E441=0),0,IF(OR($J441&lt;AB$3,$I441&gt;AB$2),0,IF($K441=0,IF(AND($I441&gt;=AB$3,$I441&lt;=AB$2),$E441,0),$E441*NETWORKDAYS(MAX($I441,AB$3),MIN($J441,AB$2),Data!$K$4:$K$203)/$K441)))</f>
        <v>0</v>
      </c>
      <c r="AC441" s="166">
        <f>IF(OR($I441="",$E441=0),0,IF(OR($J441&lt;AC$3,$I441&gt;AC$2),0,IF($K441=0,IF(AND($I441&gt;=AC$3,$I441&lt;=AC$2),$E441,0),$E441*NETWORKDAYS(MAX($I441,AC$3),MIN($J441,AC$2),Data!$K$4:$K$203)/$K441)))</f>
        <v>0</v>
      </c>
      <c r="AD441" s="166">
        <f>IF(OR($I441="",$E441=0),0,IF(OR($J441&lt;AD$3,$I441&gt;AD$2),0,IF($K441=0,IF(AND($I441&gt;=AD$3,$I441&lt;=AD$2),$E441,0),$E441*NETWORKDAYS(MAX($I441,AD$3),MIN($J441,AD$2),Data!$K$4:$K$203)/$K441)))</f>
        <v>0</v>
      </c>
      <c r="AE441" s="166">
        <f>IF(OR($I441="",$E441=0),0,IF(OR($J441&lt;AE$3,$I441&gt;AE$2),0,IF($K441=0,IF(AND($I441&gt;=AE$3,$I441&lt;=AE$2),$E441,0),$E441*NETWORKDAYS(MAX($I441,AE$3),MIN($J441,AE$2),Data!$K$4:$K$203)/$K441)))</f>
        <v>0</v>
      </c>
      <c r="AF441" s="166">
        <f>IF(OR($I441="",$E441=0),0,IF(OR($J441&lt;AF$3,$I441&gt;AF$2),0,IF($K441=0,IF(AND($I441&gt;=AF$3,$I441&lt;=AF$2),$E441,0),$E441*NETWORKDAYS(MAX($I441,AF$3),MIN($J441,AF$2),Data!$K$4:$K$203)/$K441)))</f>
        <v>0</v>
      </c>
      <c r="AG441" s="166">
        <f>IF(OR($I441="",$E441=0),0,IF(OR($J441&lt;AG$3,$I441&gt;AG$2),0,IF($K441=0,IF(AND($I441&gt;=AG$3,$I441&lt;=AG$2),$E441,0),$E441*NETWORKDAYS(MAX($I441,AG$3),MIN($J441,AG$2),Data!$K$4:$K$203)/$K441)))</f>
        <v>0</v>
      </c>
      <c r="AH441" s="166">
        <f>IF(OR($I441="",$E441=0),0,IF(OR($J441&lt;AH$3,$I441&gt;AH$2),0,IF($K441=0,IF(AND($I441&gt;=AH$3,$I441&lt;=AH$2),$E441,0),$E441*NETWORKDAYS(MAX($I441,AH$3),MIN($J441,AH$2),Data!$K$4:$K$203)/$K441)))</f>
        <v>0</v>
      </c>
      <c r="AI441" s="166">
        <f>SUM(W441:AH441)</f>
        <v>0</v>
      </c>
      <c r="BZ441" t="str">
        <f>IF(D441=1,IF(TRIM(INDEX(Charge!$K:$K,ROW()))&lt;&gt;"",TRIM(INDEX(Charge!$K:$K,ROW())),IF(TRIM(INDEX(Charge!$L:$L,ROW()))&lt;&gt;"",TRIM(INDEX(Charge!$L:$L,ROW())),"(non affecté)")),"")</f>
        <v/>
      </c>
      <c r="CA441" t="str">
        <f>IF(AND($CD$4&lt;&gt;"",BZ441=$CD$4),COUNTIFS($BZ$4:$BZ$503,$CD$4,$L$4:$L$503,"&lt;"&amp;L441)+1,"")</f>
        <v/>
      </c>
      <c r="EM441" t="str">
        <f>IF(D441=1,IF(TRIM(INDEX(Charge!$K:$K,ROW()))&lt;&gt;"","Interne",IF(TRIM(INDEX(Charge!$L:$L,ROW()))&lt;&gt;"","Externe","Non affecté")),"")</f>
        <v/>
      </c>
      <c r="EN441" t="str">
        <f>IF(D441=1,LEFT(SUBSTITUTE(SUBSTITUTE(SUBSTITUTE(TRIM(SUBSTITUTE(INDEX(Charge!$B:$B,ROW()),CHAR(160)," "))&amp;" | "&amp;TRIM(SUBSTITUTE(INDEX(Charge!$C:$C,ROW()),CHAR(160)," "))&amp;" | "&amp;TRIM(SUBSTITUTE(INDEX(Charge!$D:$D,ROW()),CHAR(160)," ")),"~","-"),"*","+"),"?","!"),240),"")</f>
        <v/>
      </c>
      <c r="EO441">
        <f>IF(EN441="",0,IF(COUNTIF($EN$4:EN441,EN441)=1,1,0))</f>
        <v>0</v>
      </c>
      <c r="EP441" s="166" t="str">
        <f>IF(EO441=1,ROUND(SUMIF($EN$4:$EN$503,EN441,$E$4:$E$503),2),"")</f>
        <v/>
      </c>
      <c r="EQ441" t="str">
        <f>IF(EO441=1,COUNTIFS($EO$4:$EO$503,1,$EP$4:$EP$503,"&gt;"&amp;EP441)+COUNTIFS($EO$4:EO441,1,$EP$4:EP441,EP441),"")</f>
        <v/>
      </c>
      <c r="ER441" t="str">
        <f>IF(EO441=1,COUNTIFS($EN$4:$EN$503,EN441,$EM$4:$EM$503,"Interne",$FE$4:$FE$503,1),"")</f>
        <v/>
      </c>
      <c r="ES441" t="str">
        <f>IF(EO441=1,COUNTIFS($EN$4:$EN$503,EN441,$EM$4:$EM$503,"Externe",$FE$4:$FE$503,1),"")</f>
        <v/>
      </c>
      <c r="ET441" t="str">
        <f>IF(EO441=1,IF(ER441+ES441=0,"à affecter",IF(ER441=0,ES441&amp;" ext.",(ER441+ES441)&amp;IF(ES441&gt;0," dont "&amp;ES441&amp;" ext.",""))&amp;IF(COUNTIFS($EN$4:$EN$503,EN441,$EM$4:$EM$503,"Non affecté")&gt;0," + à affecter","")),"")</f>
        <v/>
      </c>
      <c r="EU441" s="170" t="str">
        <f>IF(EO441=1,IF(EP441&gt;0,SUMPRODUCT(($EN$4:$EN$503=EN441)*$E$4:$E$503*$C$4:$C$503)/EP441,AVERAGEIF($EN$4:$EN$503,EN441,$C$4:$C$503)),"")</f>
        <v/>
      </c>
      <c r="EV441" s="165">
        <f>IF(ISNUMBER(I441),I441,2958465)</f>
        <v>2958465.0</v>
      </c>
      <c r="EW441" s="165" t="str">
        <f>IF(EO441=1,SUMPRODUCT(MIN(($EN$4:$EN$503=EN441)*$EV$4:$EV$503+($EN$4:$EN$503&lt;&gt;EN441)*2958465)),"")</f>
        <v/>
      </c>
      <c r="EX441" s="165">
        <f>IF(AND(D441=1,ISNUMBER(INDEX(Charge!$F:$F,ROW()))),INDEX(Charge!$F:$F,ROW()),0)</f>
        <v>0.0</v>
      </c>
      <c r="EY441" s="165" t="str">
        <f>IF(EO441=1,SUMPRODUCT(MAX(($EN$4:$EN$503=EN441)*$EX$4:$EX$503)),"")</f>
        <v/>
      </c>
      <c r="FD441">
        <f>IF(AND(B441=1,TRIM(INDEX(Charge!$K:$K,ROW()))&lt;&gt;"",TRIM(INDEX(Charge!$L:$L,ROW()))&lt;&gt;""),1,0)</f>
        <v>0</v>
      </c>
      <c r="FE441">
        <f>IF(OR(EN441="",BZ441="(non affecté)"),0,IF(COUNTIFS($EN$4:EN441,EN441,$BZ$4:BZ441,BZ441)=1,1,0))</f>
        <v>0</v>
      </c>
    </row>
    <row r="442">
      <c r="A442">
        <f>ROW()</f>
        <v>442</v>
      </c>
      <c r="B442">
        <f>IF(TRIM(INDEX(Charge!$B:$B,ROW()))&lt;&gt;"",1,0)</f>
        <v>0</v>
      </c>
      <c r="C442">
        <f>IF(B442=1,MIN(1,MAX(0,N(INDEX(Charge!$O:$O,ROW())))),0)</f>
        <v>0</v>
      </c>
      <c r="D442">
        <f>IF(B442=1,IF(OR(p_Perimetre="Tous les projets",C442&lt;1),1,0),0)</f>
        <v>0</v>
      </c>
      <c r="E442">
        <f>IF(D442=1,MAX(0,N(INDEX(Charge!$M:$M,ROW()))),0)</f>
        <v>0</v>
      </c>
      <c r="F442" t="str">
        <f>IF(D442=1,IF(TRIM(INDEX(Charge!$A:$A,ROW()))="","(non renseigné)",TRIM(INDEX(Charge!$A:$A,ROW()))),"")</f>
        <v/>
      </c>
      <c r="G442" t="str">
        <f>IF(D442=1,TRIM(INDEX(Charge!$B:$B,ROW())),"")</f>
        <v/>
      </c>
      <c r="H442" t="str">
        <f>IF(D442=1,IF(TRIM(INDEX(Charge!$E:$E,ROW()))="","(non renseigné)",TRIM(INDEX(Charge!$E:$E,ROW()))),"")</f>
        <v/>
      </c>
      <c r="I442" s="165" t="str">
        <f>IF(AND(D442=1,ISNUMBER(INDEX(Charge!$N:$N,ROW()))),INDEX(Charge!$N:$N,ROW()),"")</f>
        <v/>
      </c>
      <c r="J442" s="165" t="str">
        <f>IF(I442="","",IF(AND(p_Repartition="Lissée jusqu'à la date de besoin",ISNUMBER(INDEX(Charge!$F:$F,ROW()))),IF(INDEX(Charge!$F:$F,ROW())&gt;=I442,INDEX(Charge!$F:$F,ROW()),I442),I442))</f>
        <v/>
      </c>
      <c r="K442" t="str">
        <f>IF(I442="","",NETWORKDAYS(I442,J442,Data!$K$4:$K$203))</f>
        <v/>
      </c>
      <c r="L442" t="str">
        <f>IF(D442=1,COUNTIFS($D$4:$D$503,1,$E$4:$E$503,"&gt;"&amp;E442)+COUNTIFS($D$4:$D442,1,$E$4:$E442,E442),"")</f>
        <v/>
      </c>
      <c r="M442">
        <f>IF(F442="",0,IF(COUNTIF($F$4:F442,F442)=1,1,0))</f>
        <v>0</v>
      </c>
      <c r="N442" t="str">
        <f>IF(M442=1,ROUND(SUMIF($F$4:$F$503,F442,$E$4:$E$503),2),"")</f>
        <v/>
      </c>
      <c r="O442" t="str">
        <f>IF(M442=1,COUNTIFS($M$4:$M$503,1,$N$4:$N$503,"&gt;"&amp;N442)+COUNTIFS($M$4:M442,1,$N$4:N442,N442),"")</f>
        <v/>
      </c>
      <c r="P442">
        <f>IF(G442="",0,IF(COUNTIF($G$4:G442,G442)=1,1,0))</f>
        <v>0</v>
      </c>
      <c r="Q442" t="str">
        <f>IF(P442=1,ROUND(SUMIF($G$4:$G$503,G442,$E$4:$E$503),2),"")</f>
        <v/>
      </c>
      <c r="R442" t="str">
        <f>IF(P442=1,COUNTIFS($P$4:$P$503,1,$Q$4:$Q$503,"&gt;"&amp;Q442)+COUNTIFS($P$4:P442,1,$Q$4:Q442,Q442),"")</f>
        <v/>
      </c>
      <c r="S442">
        <f>IF(H442="",0,IF(COUNTIF($H$4:H442,H442)=1,1,0))</f>
        <v>0</v>
      </c>
      <c r="T442" t="str">
        <f>IF(S442=1,ROUND(SUMIF($H$4:$H$503,H442,$E$4:$E$503),2),"")</f>
        <v/>
      </c>
      <c r="U442" t="str">
        <f>IF(S442=1,COUNTIFS($S$4:$S$503,1,$T$4:$T$503,"&gt;"&amp;T442)+COUNTIFS($S$4:S442,1,$T$4:T442,T442),"")</f>
        <v/>
      </c>
      <c r="V442" t="str">
        <f>IF(D442=1,MIN(INDEX($R$4:$R$503,MATCH(G442,$G$4:$G$503,0)),IF($AL$7&gt;9,9,999)),"")</f>
        <v/>
      </c>
      <c r="W442" s="166">
        <f>IF(OR($I442="",$E442=0),0,IF(OR($J442&lt;W$3,$I442&gt;W$2),0,IF($K442=0,IF(AND($I442&gt;=W$3,$I442&lt;=W$2),$E442,0),$E442*NETWORKDAYS(MAX($I442,W$3),MIN($J442,W$2),Data!$K$4:$K$203)/$K442)))</f>
        <v>0</v>
      </c>
      <c r="X442" s="166">
        <f>IF(OR($I442="",$E442=0),0,IF(OR($J442&lt;X$3,$I442&gt;X$2),0,IF($K442=0,IF(AND($I442&gt;=X$3,$I442&lt;=X$2),$E442,0),$E442*NETWORKDAYS(MAX($I442,X$3),MIN($J442,X$2),Data!$K$4:$K$203)/$K442)))</f>
        <v>0</v>
      </c>
      <c r="Y442" s="166">
        <f>IF(OR($I442="",$E442=0),0,IF(OR($J442&lt;Y$3,$I442&gt;Y$2),0,IF($K442=0,IF(AND($I442&gt;=Y$3,$I442&lt;=Y$2),$E442,0),$E442*NETWORKDAYS(MAX($I442,Y$3),MIN($J442,Y$2),Data!$K$4:$K$203)/$K442)))</f>
        <v>0</v>
      </c>
      <c r="Z442" s="166">
        <f>IF(OR($I442="",$E442=0),0,IF(OR($J442&lt;Z$3,$I442&gt;Z$2),0,IF($K442=0,IF(AND($I442&gt;=Z$3,$I442&lt;=Z$2),$E442,0),$E442*NETWORKDAYS(MAX($I442,Z$3),MIN($J442,Z$2),Data!$K$4:$K$203)/$K442)))</f>
        <v>0</v>
      </c>
      <c r="AA442" s="166">
        <f>IF(OR($I442="",$E442=0),0,IF(OR($J442&lt;AA$3,$I442&gt;AA$2),0,IF($K442=0,IF(AND($I442&gt;=AA$3,$I442&lt;=AA$2),$E442,0),$E442*NETWORKDAYS(MAX($I442,AA$3),MIN($J442,AA$2),Data!$K$4:$K$203)/$K442)))</f>
        <v>0</v>
      </c>
      <c r="AB442" s="166">
        <f>IF(OR($I442="",$E442=0),0,IF(OR($J442&lt;AB$3,$I442&gt;AB$2),0,IF($K442=0,IF(AND($I442&gt;=AB$3,$I442&lt;=AB$2),$E442,0),$E442*NETWORKDAYS(MAX($I442,AB$3),MIN($J442,AB$2),Data!$K$4:$K$203)/$K442)))</f>
        <v>0</v>
      </c>
      <c r="AC442" s="166">
        <f>IF(OR($I442="",$E442=0),0,IF(OR($J442&lt;AC$3,$I442&gt;AC$2),0,IF($K442=0,IF(AND($I442&gt;=AC$3,$I442&lt;=AC$2),$E442,0),$E442*NETWORKDAYS(MAX($I442,AC$3),MIN($J442,AC$2),Data!$K$4:$K$203)/$K442)))</f>
        <v>0</v>
      </c>
      <c r="AD442" s="166">
        <f>IF(OR($I442="",$E442=0),0,IF(OR($J442&lt;AD$3,$I442&gt;AD$2),0,IF($K442=0,IF(AND($I442&gt;=AD$3,$I442&lt;=AD$2),$E442,0),$E442*NETWORKDAYS(MAX($I442,AD$3),MIN($J442,AD$2),Data!$K$4:$K$203)/$K442)))</f>
        <v>0</v>
      </c>
      <c r="AE442" s="166">
        <f>IF(OR($I442="",$E442=0),0,IF(OR($J442&lt;AE$3,$I442&gt;AE$2),0,IF($K442=0,IF(AND($I442&gt;=AE$3,$I442&lt;=AE$2),$E442,0),$E442*NETWORKDAYS(MAX($I442,AE$3),MIN($J442,AE$2),Data!$K$4:$K$203)/$K442)))</f>
        <v>0</v>
      </c>
      <c r="AF442" s="166">
        <f>IF(OR($I442="",$E442=0),0,IF(OR($J442&lt;AF$3,$I442&gt;AF$2),0,IF($K442=0,IF(AND($I442&gt;=AF$3,$I442&lt;=AF$2),$E442,0),$E442*NETWORKDAYS(MAX($I442,AF$3),MIN($J442,AF$2),Data!$K$4:$K$203)/$K442)))</f>
        <v>0</v>
      </c>
      <c r="AG442" s="166">
        <f>IF(OR($I442="",$E442=0),0,IF(OR($J442&lt;AG$3,$I442&gt;AG$2),0,IF($K442=0,IF(AND($I442&gt;=AG$3,$I442&lt;=AG$2),$E442,0),$E442*NETWORKDAYS(MAX($I442,AG$3),MIN($J442,AG$2),Data!$K$4:$K$203)/$K442)))</f>
        <v>0</v>
      </c>
      <c r="AH442" s="166">
        <f>IF(OR($I442="",$E442=0),0,IF(OR($J442&lt;AH$3,$I442&gt;AH$2),0,IF($K442=0,IF(AND($I442&gt;=AH$3,$I442&lt;=AH$2),$E442,0),$E442*NETWORKDAYS(MAX($I442,AH$3),MIN($J442,AH$2),Data!$K$4:$K$203)/$K442)))</f>
        <v>0</v>
      </c>
      <c r="AI442" s="166">
        <f>SUM(W442:AH442)</f>
        <v>0</v>
      </c>
      <c r="BZ442" t="str">
        <f>IF(D442=1,IF(TRIM(INDEX(Charge!$K:$K,ROW()))&lt;&gt;"",TRIM(INDEX(Charge!$K:$K,ROW())),IF(TRIM(INDEX(Charge!$L:$L,ROW()))&lt;&gt;"",TRIM(INDEX(Charge!$L:$L,ROW())),"(non affecté)")),"")</f>
        <v/>
      </c>
      <c r="CA442" t="str">
        <f>IF(AND($CD$4&lt;&gt;"",BZ442=$CD$4),COUNTIFS($BZ$4:$BZ$503,$CD$4,$L$4:$L$503,"&lt;"&amp;L442)+1,"")</f>
        <v/>
      </c>
      <c r="EM442" t="str">
        <f>IF(D442=1,IF(TRIM(INDEX(Charge!$K:$K,ROW()))&lt;&gt;"","Interne",IF(TRIM(INDEX(Charge!$L:$L,ROW()))&lt;&gt;"","Externe","Non affecté")),"")</f>
        <v/>
      </c>
      <c r="EN442" t="str">
        <f>IF(D442=1,LEFT(SUBSTITUTE(SUBSTITUTE(SUBSTITUTE(TRIM(SUBSTITUTE(INDEX(Charge!$B:$B,ROW()),CHAR(160)," "))&amp;" | "&amp;TRIM(SUBSTITUTE(INDEX(Charge!$C:$C,ROW()),CHAR(160)," "))&amp;" | "&amp;TRIM(SUBSTITUTE(INDEX(Charge!$D:$D,ROW()),CHAR(160)," ")),"~","-"),"*","+"),"?","!"),240),"")</f>
        <v/>
      </c>
      <c r="EO442">
        <f>IF(EN442="",0,IF(COUNTIF($EN$4:EN442,EN442)=1,1,0))</f>
        <v>0</v>
      </c>
      <c r="EP442" s="166" t="str">
        <f>IF(EO442=1,ROUND(SUMIF($EN$4:$EN$503,EN442,$E$4:$E$503),2),"")</f>
        <v/>
      </c>
      <c r="EQ442" t="str">
        <f>IF(EO442=1,COUNTIFS($EO$4:$EO$503,1,$EP$4:$EP$503,"&gt;"&amp;EP442)+COUNTIFS($EO$4:EO442,1,$EP$4:EP442,EP442),"")</f>
        <v/>
      </c>
      <c r="ER442" t="str">
        <f>IF(EO442=1,COUNTIFS($EN$4:$EN$503,EN442,$EM$4:$EM$503,"Interne",$FE$4:$FE$503,1),"")</f>
        <v/>
      </c>
      <c r="ES442" t="str">
        <f>IF(EO442=1,COUNTIFS($EN$4:$EN$503,EN442,$EM$4:$EM$503,"Externe",$FE$4:$FE$503,1),"")</f>
        <v/>
      </c>
      <c r="ET442" t="str">
        <f>IF(EO442=1,IF(ER442+ES442=0,"à affecter",IF(ER442=0,ES442&amp;" ext.",(ER442+ES442)&amp;IF(ES442&gt;0," dont "&amp;ES442&amp;" ext.",""))&amp;IF(COUNTIFS($EN$4:$EN$503,EN442,$EM$4:$EM$503,"Non affecté")&gt;0," + à affecter","")),"")</f>
        <v/>
      </c>
      <c r="EU442" s="170" t="str">
        <f>IF(EO442=1,IF(EP442&gt;0,SUMPRODUCT(($EN$4:$EN$503=EN442)*$E$4:$E$503*$C$4:$C$503)/EP442,AVERAGEIF($EN$4:$EN$503,EN442,$C$4:$C$503)),"")</f>
        <v/>
      </c>
      <c r="EV442" s="165">
        <f>IF(ISNUMBER(I442),I442,2958465)</f>
        <v>2958465.0</v>
      </c>
      <c r="EW442" s="165" t="str">
        <f>IF(EO442=1,SUMPRODUCT(MIN(($EN$4:$EN$503=EN442)*$EV$4:$EV$503+($EN$4:$EN$503&lt;&gt;EN442)*2958465)),"")</f>
        <v/>
      </c>
      <c r="EX442" s="165">
        <f>IF(AND(D442=1,ISNUMBER(INDEX(Charge!$F:$F,ROW()))),INDEX(Charge!$F:$F,ROW()),0)</f>
        <v>0.0</v>
      </c>
      <c r="EY442" s="165" t="str">
        <f>IF(EO442=1,SUMPRODUCT(MAX(($EN$4:$EN$503=EN442)*$EX$4:$EX$503)),"")</f>
        <v/>
      </c>
      <c r="FD442">
        <f>IF(AND(B442=1,TRIM(INDEX(Charge!$K:$K,ROW()))&lt;&gt;"",TRIM(INDEX(Charge!$L:$L,ROW()))&lt;&gt;""),1,0)</f>
        <v>0</v>
      </c>
      <c r="FE442">
        <f>IF(OR(EN442="",BZ442="(non affecté)"),0,IF(COUNTIFS($EN$4:EN442,EN442,$BZ$4:BZ442,BZ442)=1,1,0))</f>
        <v>0</v>
      </c>
    </row>
    <row r="443">
      <c r="A443">
        <f>ROW()</f>
        <v>443</v>
      </c>
      <c r="B443">
        <f>IF(TRIM(INDEX(Charge!$B:$B,ROW()))&lt;&gt;"",1,0)</f>
        <v>0</v>
      </c>
      <c r="C443">
        <f>IF(B443=1,MIN(1,MAX(0,N(INDEX(Charge!$O:$O,ROW())))),0)</f>
        <v>0</v>
      </c>
      <c r="D443">
        <f>IF(B443=1,IF(OR(p_Perimetre="Tous les projets",C443&lt;1),1,0),0)</f>
        <v>0</v>
      </c>
      <c r="E443">
        <f>IF(D443=1,MAX(0,N(INDEX(Charge!$M:$M,ROW()))),0)</f>
        <v>0</v>
      </c>
      <c r="F443" t="str">
        <f>IF(D443=1,IF(TRIM(INDEX(Charge!$A:$A,ROW()))="","(non renseigné)",TRIM(INDEX(Charge!$A:$A,ROW()))),"")</f>
        <v/>
      </c>
      <c r="G443" t="str">
        <f>IF(D443=1,TRIM(INDEX(Charge!$B:$B,ROW())),"")</f>
        <v/>
      </c>
      <c r="H443" t="str">
        <f>IF(D443=1,IF(TRIM(INDEX(Charge!$E:$E,ROW()))="","(non renseigné)",TRIM(INDEX(Charge!$E:$E,ROW()))),"")</f>
        <v/>
      </c>
      <c r="I443" s="165" t="str">
        <f>IF(AND(D443=1,ISNUMBER(INDEX(Charge!$N:$N,ROW()))),INDEX(Charge!$N:$N,ROW()),"")</f>
        <v/>
      </c>
      <c r="J443" s="165" t="str">
        <f>IF(I443="","",IF(AND(p_Repartition="Lissée jusqu'à la date de besoin",ISNUMBER(INDEX(Charge!$F:$F,ROW()))),IF(INDEX(Charge!$F:$F,ROW())&gt;=I443,INDEX(Charge!$F:$F,ROW()),I443),I443))</f>
        <v/>
      </c>
      <c r="K443" t="str">
        <f>IF(I443="","",NETWORKDAYS(I443,J443,Data!$K$4:$K$203))</f>
        <v/>
      </c>
      <c r="L443" t="str">
        <f>IF(D443=1,COUNTIFS($D$4:$D$503,1,$E$4:$E$503,"&gt;"&amp;E443)+COUNTIFS($D$4:$D443,1,$E$4:$E443,E443),"")</f>
        <v/>
      </c>
      <c r="M443">
        <f>IF(F443="",0,IF(COUNTIF($F$4:F443,F443)=1,1,0))</f>
        <v>0</v>
      </c>
      <c r="N443" t="str">
        <f>IF(M443=1,ROUND(SUMIF($F$4:$F$503,F443,$E$4:$E$503),2),"")</f>
        <v/>
      </c>
      <c r="O443" t="str">
        <f>IF(M443=1,COUNTIFS($M$4:$M$503,1,$N$4:$N$503,"&gt;"&amp;N443)+COUNTIFS($M$4:M443,1,$N$4:N443,N443),"")</f>
        <v/>
      </c>
      <c r="P443">
        <f>IF(G443="",0,IF(COUNTIF($G$4:G443,G443)=1,1,0))</f>
        <v>0</v>
      </c>
      <c r="Q443" t="str">
        <f>IF(P443=1,ROUND(SUMIF($G$4:$G$503,G443,$E$4:$E$503),2),"")</f>
        <v/>
      </c>
      <c r="R443" t="str">
        <f>IF(P443=1,COUNTIFS($P$4:$P$503,1,$Q$4:$Q$503,"&gt;"&amp;Q443)+COUNTIFS($P$4:P443,1,$Q$4:Q443,Q443),"")</f>
        <v/>
      </c>
      <c r="S443">
        <f>IF(H443="",0,IF(COUNTIF($H$4:H443,H443)=1,1,0))</f>
        <v>0</v>
      </c>
      <c r="T443" t="str">
        <f>IF(S443=1,ROUND(SUMIF($H$4:$H$503,H443,$E$4:$E$503),2),"")</f>
        <v/>
      </c>
      <c r="U443" t="str">
        <f>IF(S443=1,COUNTIFS($S$4:$S$503,1,$T$4:$T$503,"&gt;"&amp;T443)+COUNTIFS($S$4:S443,1,$T$4:T443,T443),"")</f>
        <v/>
      </c>
      <c r="V443" t="str">
        <f>IF(D443=1,MIN(INDEX($R$4:$R$503,MATCH(G443,$G$4:$G$503,0)),IF($AL$7&gt;9,9,999)),"")</f>
        <v/>
      </c>
      <c r="W443" s="166">
        <f>IF(OR($I443="",$E443=0),0,IF(OR($J443&lt;W$3,$I443&gt;W$2),0,IF($K443=0,IF(AND($I443&gt;=W$3,$I443&lt;=W$2),$E443,0),$E443*NETWORKDAYS(MAX($I443,W$3),MIN($J443,W$2),Data!$K$4:$K$203)/$K443)))</f>
        <v>0</v>
      </c>
      <c r="X443" s="166">
        <f>IF(OR($I443="",$E443=0),0,IF(OR($J443&lt;X$3,$I443&gt;X$2),0,IF($K443=0,IF(AND($I443&gt;=X$3,$I443&lt;=X$2),$E443,0),$E443*NETWORKDAYS(MAX($I443,X$3),MIN($J443,X$2),Data!$K$4:$K$203)/$K443)))</f>
        <v>0</v>
      </c>
      <c r="Y443" s="166">
        <f>IF(OR($I443="",$E443=0),0,IF(OR($J443&lt;Y$3,$I443&gt;Y$2),0,IF($K443=0,IF(AND($I443&gt;=Y$3,$I443&lt;=Y$2),$E443,0),$E443*NETWORKDAYS(MAX($I443,Y$3),MIN($J443,Y$2),Data!$K$4:$K$203)/$K443)))</f>
        <v>0</v>
      </c>
      <c r="Z443" s="166">
        <f>IF(OR($I443="",$E443=0),0,IF(OR($J443&lt;Z$3,$I443&gt;Z$2),0,IF($K443=0,IF(AND($I443&gt;=Z$3,$I443&lt;=Z$2),$E443,0),$E443*NETWORKDAYS(MAX($I443,Z$3),MIN($J443,Z$2),Data!$K$4:$K$203)/$K443)))</f>
        <v>0</v>
      </c>
      <c r="AA443" s="166">
        <f>IF(OR($I443="",$E443=0),0,IF(OR($J443&lt;AA$3,$I443&gt;AA$2),0,IF($K443=0,IF(AND($I443&gt;=AA$3,$I443&lt;=AA$2),$E443,0),$E443*NETWORKDAYS(MAX($I443,AA$3),MIN($J443,AA$2),Data!$K$4:$K$203)/$K443)))</f>
        <v>0</v>
      </c>
      <c r="AB443" s="166">
        <f>IF(OR($I443="",$E443=0),0,IF(OR($J443&lt;AB$3,$I443&gt;AB$2),0,IF($K443=0,IF(AND($I443&gt;=AB$3,$I443&lt;=AB$2),$E443,0),$E443*NETWORKDAYS(MAX($I443,AB$3),MIN($J443,AB$2),Data!$K$4:$K$203)/$K443)))</f>
        <v>0</v>
      </c>
      <c r="AC443" s="166">
        <f>IF(OR($I443="",$E443=0),0,IF(OR($J443&lt;AC$3,$I443&gt;AC$2),0,IF($K443=0,IF(AND($I443&gt;=AC$3,$I443&lt;=AC$2),$E443,0),$E443*NETWORKDAYS(MAX($I443,AC$3),MIN($J443,AC$2),Data!$K$4:$K$203)/$K443)))</f>
        <v>0</v>
      </c>
      <c r="AD443" s="166">
        <f>IF(OR($I443="",$E443=0),0,IF(OR($J443&lt;AD$3,$I443&gt;AD$2),0,IF($K443=0,IF(AND($I443&gt;=AD$3,$I443&lt;=AD$2),$E443,0),$E443*NETWORKDAYS(MAX($I443,AD$3),MIN($J443,AD$2),Data!$K$4:$K$203)/$K443)))</f>
        <v>0</v>
      </c>
      <c r="AE443" s="166">
        <f>IF(OR($I443="",$E443=0),0,IF(OR($J443&lt;AE$3,$I443&gt;AE$2),0,IF($K443=0,IF(AND($I443&gt;=AE$3,$I443&lt;=AE$2),$E443,0),$E443*NETWORKDAYS(MAX($I443,AE$3),MIN($J443,AE$2),Data!$K$4:$K$203)/$K443)))</f>
        <v>0</v>
      </c>
      <c r="AF443" s="166">
        <f>IF(OR($I443="",$E443=0),0,IF(OR($J443&lt;AF$3,$I443&gt;AF$2),0,IF($K443=0,IF(AND($I443&gt;=AF$3,$I443&lt;=AF$2),$E443,0),$E443*NETWORKDAYS(MAX($I443,AF$3),MIN($J443,AF$2),Data!$K$4:$K$203)/$K443)))</f>
        <v>0</v>
      </c>
      <c r="AG443" s="166">
        <f>IF(OR($I443="",$E443=0),0,IF(OR($J443&lt;AG$3,$I443&gt;AG$2),0,IF($K443=0,IF(AND($I443&gt;=AG$3,$I443&lt;=AG$2),$E443,0),$E443*NETWORKDAYS(MAX($I443,AG$3),MIN($J443,AG$2),Data!$K$4:$K$203)/$K443)))</f>
        <v>0</v>
      </c>
      <c r="AH443" s="166">
        <f>IF(OR($I443="",$E443=0),0,IF(OR($J443&lt;AH$3,$I443&gt;AH$2),0,IF($K443=0,IF(AND($I443&gt;=AH$3,$I443&lt;=AH$2),$E443,0),$E443*NETWORKDAYS(MAX($I443,AH$3),MIN($J443,AH$2),Data!$K$4:$K$203)/$K443)))</f>
        <v>0</v>
      </c>
      <c r="AI443" s="166">
        <f>SUM(W443:AH443)</f>
        <v>0</v>
      </c>
      <c r="BZ443" t="str">
        <f>IF(D443=1,IF(TRIM(INDEX(Charge!$K:$K,ROW()))&lt;&gt;"",TRIM(INDEX(Charge!$K:$K,ROW())),IF(TRIM(INDEX(Charge!$L:$L,ROW()))&lt;&gt;"",TRIM(INDEX(Charge!$L:$L,ROW())),"(non affecté)")),"")</f>
        <v/>
      </c>
      <c r="CA443" t="str">
        <f>IF(AND($CD$4&lt;&gt;"",BZ443=$CD$4),COUNTIFS($BZ$4:$BZ$503,$CD$4,$L$4:$L$503,"&lt;"&amp;L443)+1,"")</f>
        <v/>
      </c>
      <c r="EM443" t="str">
        <f>IF(D443=1,IF(TRIM(INDEX(Charge!$K:$K,ROW()))&lt;&gt;"","Interne",IF(TRIM(INDEX(Charge!$L:$L,ROW()))&lt;&gt;"","Externe","Non affecté")),"")</f>
        <v/>
      </c>
      <c r="EN443" t="str">
        <f>IF(D443=1,LEFT(SUBSTITUTE(SUBSTITUTE(SUBSTITUTE(TRIM(SUBSTITUTE(INDEX(Charge!$B:$B,ROW()),CHAR(160)," "))&amp;" | "&amp;TRIM(SUBSTITUTE(INDEX(Charge!$C:$C,ROW()),CHAR(160)," "))&amp;" | "&amp;TRIM(SUBSTITUTE(INDEX(Charge!$D:$D,ROW()),CHAR(160)," ")),"~","-"),"*","+"),"?","!"),240),"")</f>
        <v/>
      </c>
      <c r="EO443">
        <f>IF(EN443="",0,IF(COUNTIF($EN$4:EN443,EN443)=1,1,0))</f>
        <v>0</v>
      </c>
      <c r="EP443" s="166" t="str">
        <f>IF(EO443=1,ROUND(SUMIF($EN$4:$EN$503,EN443,$E$4:$E$503),2),"")</f>
        <v/>
      </c>
      <c r="EQ443" t="str">
        <f>IF(EO443=1,COUNTIFS($EO$4:$EO$503,1,$EP$4:$EP$503,"&gt;"&amp;EP443)+COUNTIFS($EO$4:EO443,1,$EP$4:EP443,EP443),"")</f>
        <v/>
      </c>
      <c r="ER443" t="str">
        <f>IF(EO443=1,COUNTIFS($EN$4:$EN$503,EN443,$EM$4:$EM$503,"Interne",$FE$4:$FE$503,1),"")</f>
        <v/>
      </c>
      <c r="ES443" t="str">
        <f>IF(EO443=1,COUNTIFS($EN$4:$EN$503,EN443,$EM$4:$EM$503,"Externe",$FE$4:$FE$503,1),"")</f>
        <v/>
      </c>
      <c r="ET443" t="str">
        <f>IF(EO443=1,IF(ER443+ES443=0,"à affecter",IF(ER443=0,ES443&amp;" ext.",(ER443+ES443)&amp;IF(ES443&gt;0," dont "&amp;ES443&amp;" ext.",""))&amp;IF(COUNTIFS($EN$4:$EN$503,EN443,$EM$4:$EM$503,"Non affecté")&gt;0," + à affecter","")),"")</f>
        <v/>
      </c>
      <c r="EU443" s="170" t="str">
        <f>IF(EO443=1,IF(EP443&gt;0,SUMPRODUCT(($EN$4:$EN$503=EN443)*$E$4:$E$503*$C$4:$C$503)/EP443,AVERAGEIF($EN$4:$EN$503,EN443,$C$4:$C$503)),"")</f>
        <v/>
      </c>
      <c r="EV443" s="165">
        <f>IF(ISNUMBER(I443),I443,2958465)</f>
        <v>2958465.0</v>
      </c>
      <c r="EW443" s="165" t="str">
        <f>IF(EO443=1,SUMPRODUCT(MIN(($EN$4:$EN$503=EN443)*$EV$4:$EV$503+($EN$4:$EN$503&lt;&gt;EN443)*2958465)),"")</f>
        <v/>
      </c>
      <c r="EX443" s="165">
        <f>IF(AND(D443=1,ISNUMBER(INDEX(Charge!$F:$F,ROW()))),INDEX(Charge!$F:$F,ROW()),0)</f>
        <v>0.0</v>
      </c>
      <c r="EY443" s="165" t="str">
        <f>IF(EO443=1,SUMPRODUCT(MAX(($EN$4:$EN$503=EN443)*$EX$4:$EX$503)),"")</f>
        <v/>
      </c>
      <c r="FD443">
        <f>IF(AND(B443=1,TRIM(INDEX(Charge!$K:$K,ROW()))&lt;&gt;"",TRIM(INDEX(Charge!$L:$L,ROW()))&lt;&gt;""),1,0)</f>
        <v>0</v>
      </c>
      <c r="FE443">
        <f>IF(OR(EN443="",BZ443="(non affecté)"),0,IF(COUNTIFS($EN$4:EN443,EN443,$BZ$4:BZ443,BZ443)=1,1,0))</f>
        <v>0</v>
      </c>
    </row>
    <row r="444">
      <c r="A444">
        <f>ROW()</f>
        <v>444</v>
      </c>
      <c r="B444">
        <f>IF(TRIM(INDEX(Charge!$B:$B,ROW()))&lt;&gt;"",1,0)</f>
        <v>0</v>
      </c>
      <c r="C444">
        <f>IF(B444=1,MIN(1,MAX(0,N(INDEX(Charge!$O:$O,ROW())))),0)</f>
        <v>0</v>
      </c>
      <c r="D444">
        <f>IF(B444=1,IF(OR(p_Perimetre="Tous les projets",C444&lt;1),1,0),0)</f>
        <v>0</v>
      </c>
      <c r="E444">
        <f>IF(D444=1,MAX(0,N(INDEX(Charge!$M:$M,ROW()))),0)</f>
        <v>0</v>
      </c>
      <c r="F444" t="str">
        <f>IF(D444=1,IF(TRIM(INDEX(Charge!$A:$A,ROW()))="","(non renseigné)",TRIM(INDEX(Charge!$A:$A,ROW()))),"")</f>
        <v/>
      </c>
      <c r="G444" t="str">
        <f>IF(D444=1,TRIM(INDEX(Charge!$B:$B,ROW())),"")</f>
        <v/>
      </c>
      <c r="H444" t="str">
        <f>IF(D444=1,IF(TRIM(INDEX(Charge!$E:$E,ROW()))="","(non renseigné)",TRIM(INDEX(Charge!$E:$E,ROW()))),"")</f>
        <v/>
      </c>
      <c r="I444" s="165" t="str">
        <f>IF(AND(D444=1,ISNUMBER(INDEX(Charge!$N:$N,ROW()))),INDEX(Charge!$N:$N,ROW()),"")</f>
        <v/>
      </c>
      <c r="J444" s="165" t="str">
        <f>IF(I444="","",IF(AND(p_Repartition="Lissée jusqu'à la date de besoin",ISNUMBER(INDEX(Charge!$F:$F,ROW()))),IF(INDEX(Charge!$F:$F,ROW())&gt;=I444,INDEX(Charge!$F:$F,ROW()),I444),I444))</f>
        <v/>
      </c>
      <c r="K444" t="str">
        <f>IF(I444="","",NETWORKDAYS(I444,J444,Data!$K$4:$K$203))</f>
        <v/>
      </c>
      <c r="L444" t="str">
        <f>IF(D444=1,COUNTIFS($D$4:$D$503,1,$E$4:$E$503,"&gt;"&amp;E444)+COUNTIFS($D$4:$D444,1,$E$4:$E444,E444),"")</f>
        <v/>
      </c>
      <c r="M444">
        <f>IF(F444="",0,IF(COUNTIF($F$4:F444,F444)=1,1,0))</f>
        <v>0</v>
      </c>
      <c r="N444" t="str">
        <f>IF(M444=1,ROUND(SUMIF($F$4:$F$503,F444,$E$4:$E$503),2),"")</f>
        <v/>
      </c>
      <c r="O444" t="str">
        <f>IF(M444=1,COUNTIFS($M$4:$M$503,1,$N$4:$N$503,"&gt;"&amp;N444)+COUNTIFS($M$4:M444,1,$N$4:N444,N444),"")</f>
        <v/>
      </c>
      <c r="P444">
        <f>IF(G444="",0,IF(COUNTIF($G$4:G444,G444)=1,1,0))</f>
        <v>0</v>
      </c>
      <c r="Q444" t="str">
        <f>IF(P444=1,ROUND(SUMIF($G$4:$G$503,G444,$E$4:$E$503),2),"")</f>
        <v/>
      </c>
      <c r="R444" t="str">
        <f>IF(P444=1,COUNTIFS($P$4:$P$503,1,$Q$4:$Q$503,"&gt;"&amp;Q444)+COUNTIFS($P$4:P444,1,$Q$4:Q444,Q444),"")</f>
        <v/>
      </c>
      <c r="S444">
        <f>IF(H444="",0,IF(COUNTIF($H$4:H444,H444)=1,1,0))</f>
        <v>0</v>
      </c>
      <c r="T444" t="str">
        <f>IF(S444=1,ROUND(SUMIF($H$4:$H$503,H444,$E$4:$E$503),2),"")</f>
        <v/>
      </c>
      <c r="U444" t="str">
        <f>IF(S444=1,COUNTIFS($S$4:$S$503,1,$T$4:$T$503,"&gt;"&amp;T444)+COUNTIFS($S$4:S444,1,$T$4:T444,T444),"")</f>
        <v/>
      </c>
      <c r="V444" t="str">
        <f>IF(D444=1,MIN(INDEX($R$4:$R$503,MATCH(G444,$G$4:$G$503,0)),IF($AL$7&gt;9,9,999)),"")</f>
        <v/>
      </c>
      <c r="W444" s="166">
        <f>IF(OR($I444="",$E444=0),0,IF(OR($J444&lt;W$3,$I444&gt;W$2),0,IF($K444=0,IF(AND($I444&gt;=W$3,$I444&lt;=W$2),$E444,0),$E444*NETWORKDAYS(MAX($I444,W$3),MIN($J444,W$2),Data!$K$4:$K$203)/$K444)))</f>
        <v>0</v>
      </c>
      <c r="X444" s="166">
        <f>IF(OR($I444="",$E444=0),0,IF(OR($J444&lt;X$3,$I444&gt;X$2),0,IF($K444=0,IF(AND($I444&gt;=X$3,$I444&lt;=X$2),$E444,0),$E444*NETWORKDAYS(MAX($I444,X$3),MIN($J444,X$2),Data!$K$4:$K$203)/$K444)))</f>
        <v>0</v>
      </c>
      <c r="Y444" s="166">
        <f>IF(OR($I444="",$E444=0),0,IF(OR($J444&lt;Y$3,$I444&gt;Y$2),0,IF($K444=0,IF(AND($I444&gt;=Y$3,$I444&lt;=Y$2),$E444,0),$E444*NETWORKDAYS(MAX($I444,Y$3),MIN($J444,Y$2),Data!$K$4:$K$203)/$K444)))</f>
        <v>0</v>
      </c>
      <c r="Z444" s="166">
        <f>IF(OR($I444="",$E444=0),0,IF(OR($J444&lt;Z$3,$I444&gt;Z$2),0,IF($K444=0,IF(AND($I444&gt;=Z$3,$I444&lt;=Z$2),$E444,0),$E444*NETWORKDAYS(MAX($I444,Z$3),MIN($J444,Z$2),Data!$K$4:$K$203)/$K444)))</f>
        <v>0</v>
      </c>
      <c r="AA444" s="166">
        <f>IF(OR($I444="",$E444=0),0,IF(OR($J444&lt;AA$3,$I444&gt;AA$2),0,IF($K444=0,IF(AND($I444&gt;=AA$3,$I444&lt;=AA$2),$E444,0),$E444*NETWORKDAYS(MAX($I444,AA$3),MIN($J444,AA$2),Data!$K$4:$K$203)/$K444)))</f>
        <v>0</v>
      </c>
      <c r="AB444" s="166">
        <f>IF(OR($I444="",$E444=0),0,IF(OR($J444&lt;AB$3,$I444&gt;AB$2),0,IF($K444=0,IF(AND($I444&gt;=AB$3,$I444&lt;=AB$2),$E444,0),$E444*NETWORKDAYS(MAX($I444,AB$3),MIN($J444,AB$2),Data!$K$4:$K$203)/$K444)))</f>
        <v>0</v>
      </c>
      <c r="AC444" s="166">
        <f>IF(OR($I444="",$E444=0),0,IF(OR($J444&lt;AC$3,$I444&gt;AC$2),0,IF($K444=0,IF(AND($I444&gt;=AC$3,$I444&lt;=AC$2),$E444,0),$E444*NETWORKDAYS(MAX($I444,AC$3),MIN($J444,AC$2),Data!$K$4:$K$203)/$K444)))</f>
        <v>0</v>
      </c>
      <c r="AD444" s="166">
        <f>IF(OR($I444="",$E444=0),0,IF(OR($J444&lt;AD$3,$I444&gt;AD$2),0,IF($K444=0,IF(AND($I444&gt;=AD$3,$I444&lt;=AD$2),$E444,0),$E444*NETWORKDAYS(MAX($I444,AD$3),MIN($J444,AD$2),Data!$K$4:$K$203)/$K444)))</f>
        <v>0</v>
      </c>
      <c r="AE444" s="166">
        <f>IF(OR($I444="",$E444=0),0,IF(OR($J444&lt;AE$3,$I444&gt;AE$2),0,IF($K444=0,IF(AND($I444&gt;=AE$3,$I444&lt;=AE$2),$E444,0),$E444*NETWORKDAYS(MAX($I444,AE$3),MIN($J444,AE$2),Data!$K$4:$K$203)/$K444)))</f>
        <v>0</v>
      </c>
      <c r="AF444" s="166">
        <f>IF(OR($I444="",$E444=0),0,IF(OR($J444&lt;AF$3,$I444&gt;AF$2),0,IF($K444=0,IF(AND($I444&gt;=AF$3,$I444&lt;=AF$2),$E444,0),$E444*NETWORKDAYS(MAX($I444,AF$3),MIN($J444,AF$2),Data!$K$4:$K$203)/$K444)))</f>
        <v>0</v>
      </c>
      <c r="AG444" s="166">
        <f>IF(OR($I444="",$E444=0),0,IF(OR($J444&lt;AG$3,$I444&gt;AG$2),0,IF($K444=0,IF(AND($I444&gt;=AG$3,$I444&lt;=AG$2),$E444,0),$E444*NETWORKDAYS(MAX($I444,AG$3),MIN($J444,AG$2),Data!$K$4:$K$203)/$K444)))</f>
        <v>0</v>
      </c>
      <c r="AH444" s="166">
        <f>IF(OR($I444="",$E444=0),0,IF(OR($J444&lt;AH$3,$I444&gt;AH$2),0,IF($K444=0,IF(AND($I444&gt;=AH$3,$I444&lt;=AH$2),$E444,0),$E444*NETWORKDAYS(MAX($I444,AH$3),MIN($J444,AH$2),Data!$K$4:$K$203)/$K444)))</f>
        <v>0</v>
      </c>
      <c r="AI444" s="166">
        <f>SUM(W444:AH444)</f>
        <v>0</v>
      </c>
      <c r="BZ444" t="str">
        <f>IF(D444=1,IF(TRIM(INDEX(Charge!$K:$K,ROW()))&lt;&gt;"",TRIM(INDEX(Charge!$K:$K,ROW())),IF(TRIM(INDEX(Charge!$L:$L,ROW()))&lt;&gt;"",TRIM(INDEX(Charge!$L:$L,ROW())),"(non affecté)")),"")</f>
        <v/>
      </c>
      <c r="CA444" t="str">
        <f>IF(AND($CD$4&lt;&gt;"",BZ444=$CD$4),COUNTIFS($BZ$4:$BZ$503,$CD$4,$L$4:$L$503,"&lt;"&amp;L444)+1,"")</f>
        <v/>
      </c>
      <c r="EM444" t="str">
        <f>IF(D444=1,IF(TRIM(INDEX(Charge!$K:$K,ROW()))&lt;&gt;"","Interne",IF(TRIM(INDEX(Charge!$L:$L,ROW()))&lt;&gt;"","Externe","Non affecté")),"")</f>
        <v/>
      </c>
      <c r="EN444" t="str">
        <f>IF(D444=1,LEFT(SUBSTITUTE(SUBSTITUTE(SUBSTITUTE(TRIM(SUBSTITUTE(INDEX(Charge!$B:$B,ROW()),CHAR(160)," "))&amp;" | "&amp;TRIM(SUBSTITUTE(INDEX(Charge!$C:$C,ROW()),CHAR(160)," "))&amp;" | "&amp;TRIM(SUBSTITUTE(INDEX(Charge!$D:$D,ROW()),CHAR(160)," ")),"~","-"),"*","+"),"?","!"),240),"")</f>
        <v/>
      </c>
      <c r="EO444">
        <f>IF(EN444="",0,IF(COUNTIF($EN$4:EN444,EN444)=1,1,0))</f>
        <v>0</v>
      </c>
      <c r="EP444" s="166" t="str">
        <f>IF(EO444=1,ROUND(SUMIF($EN$4:$EN$503,EN444,$E$4:$E$503),2),"")</f>
        <v/>
      </c>
      <c r="EQ444" t="str">
        <f>IF(EO444=1,COUNTIFS($EO$4:$EO$503,1,$EP$4:$EP$503,"&gt;"&amp;EP444)+COUNTIFS($EO$4:EO444,1,$EP$4:EP444,EP444),"")</f>
        <v/>
      </c>
      <c r="ER444" t="str">
        <f>IF(EO444=1,COUNTIFS($EN$4:$EN$503,EN444,$EM$4:$EM$503,"Interne",$FE$4:$FE$503,1),"")</f>
        <v/>
      </c>
      <c r="ES444" t="str">
        <f>IF(EO444=1,COUNTIFS($EN$4:$EN$503,EN444,$EM$4:$EM$503,"Externe",$FE$4:$FE$503,1),"")</f>
        <v/>
      </c>
      <c r="ET444" t="str">
        <f>IF(EO444=1,IF(ER444+ES444=0,"à affecter",IF(ER444=0,ES444&amp;" ext.",(ER444+ES444)&amp;IF(ES444&gt;0," dont "&amp;ES444&amp;" ext.",""))&amp;IF(COUNTIFS($EN$4:$EN$503,EN444,$EM$4:$EM$503,"Non affecté")&gt;0," + à affecter","")),"")</f>
        <v/>
      </c>
      <c r="EU444" s="170" t="str">
        <f>IF(EO444=1,IF(EP444&gt;0,SUMPRODUCT(($EN$4:$EN$503=EN444)*$E$4:$E$503*$C$4:$C$503)/EP444,AVERAGEIF($EN$4:$EN$503,EN444,$C$4:$C$503)),"")</f>
        <v/>
      </c>
      <c r="EV444" s="165">
        <f>IF(ISNUMBER(I444),I444,2958465)</f>
        <v>2958465.0</v>
      </c>
      <c r="EW444" s="165" t="str">
        <f>IF(EO444=1,SUMPRODUCT(MIN(($EN$4:$EN$503=EN444)*$EV$4:$EV$503+($EN$4:$EN$503&lt;&gt;EN444)*2958465)),"")</f>
        <v/>
      </c>
      <c r="EX444" s="165">
        <f>IF(AND(D444=1,ISNUMBER(INDEX(Charge!$F:$F,ROW()))),INDEX(Charge!$F:$F,ROW()),0)</f>
        <v>0.0</v>
      </c>
      <c r="EY444" s="165" t="str">
        <f>IF(EO444=1,SUMPRODUCT(MAX(($EN$4:$EN$503=EN444)*$EX$4:$EX$503)),"")</f>
        <v/>
      </c>
      <c r="FD444">
        <f>IF(AND(B444=1,TRIM(INDEX(Charge!$K:$K,ROW()))&lt;&gt;"",TRIM(INDEX(Charge!$L:$L,ROW()))&lt;&gt;""),1,0)</f>
        <v>0</v>
      </c>
      <c r="FE444">
        <f>IF(OR(EN444="",BZ444="(non affecté)"),0,IF(COUNTIFS($EN$4:EN444,EN444,$BZ$4:BZ444,BZ444)=1,1,0))</f>
        <v>0</v>
      </c>
    </row>
    <row r="445">
      <c r="A445">
        <f>ROW()</f>
        <v>445</v>
      </c>
      <c r="B445">
        <f>IF(TRIM(INDEX(Charge!$B:$B,ROW()))&lt;&gt;"",1,0)</f>
        <v>0</v>
      </c>
      <c r="C445">
        <f>IF(B445=1,MIN(1,MAX(0,N(INDEX(Charge!$O:$O,ROW())))),0)</f>
        <v>0</v>
      </c>
      <c r="D445">
        <f>IF(B445=1,IF(OR(p_Perimetre="Tous les projets",C445&lt;1),1,0),0)</f>
        <v>0</v>
      </c>
      <c r="E445">
        <f>IF(D445=1,MAX(0,N(INDEX(Charge!$M:$M,ROW()))),0)</f>
        <v>0</v>
      </c>
      <c r="F445" t="str">
        <f>IF(D445=1,IF(TRIM(INDEX(Charge!$A:$A,ROW()))="","(non renseigné)",TRIM(INDEX(Charge!$A:$A,ROW()))),"")</f>
        <v/>
      </c>
      <c r="G445" t="str">
        <f>IF(D445=1,TRIM(INDEX(Charge!$B:$B,ROW())),"")</f>
        <v/>
      </c>
      <c r="H445" t="str">
        <f>IF(D445=1,IF(TRIM(INDEX(Charge!$E:$E,ROW()))="","(non renseigné)",TRIM(INDEX(Charge!$E:$E,ROW()))),"")</f>
        <v/>
      </c>
      <c r="I445" s="165" t="str">
        <f>IF(AND(D445=1,ISNUMBER(INDEX(Charge!$N:$N,ROW()))),INDEX(Charge!$N:$N,ROW()),"")</f>
        <v/>
      </c>
      <c r="J445" s="165" t="str">
        <f>IF(I445="","",IF(AND(p_Repartition="Lissée jusqu'à la date de besoin",ISNUMBER(INDEX(Charge!$F:$F,ROW()))),IF(INDEX(Charge!$F:$F,ROW())&gt;=I445,INDEX(Charge!$F:$F,ROW()),I445),I445))</f>
        <v/>
      </c>
      <c r="K445" t="str">
        <f>IF(I445="","",NETWORKDAYS(I445,J445,Data!$K$4:$K$203))</f>
        <v/>
      </c>
      <c r="L445" t="str">
        <f>IF(D445=1,COUNTIFS($D$4:$D$503,1,$E$4:$E$503,"&gt;"&amp;E445)+COUNTIFS($D$4:$D445,1,$E$4:$E445,E445),"")</f>
        <v/>
      </c>
      <c r="M445">
        <f>IF(F445="",0,IF(COUNTIF($F$4:F445,F445)=1,1,0))</f>
        <v>0</v>
      </c>
      <c r="N445" t="str">
        <f>IF(M445=1,ROUND(SUMIF($F$4:$F$503,F445,$E$4:$E$503),2),"")</f>
        <v/>
      </c>
      <c r="O445" t="str">
        <f>IF(M445=1,COUNTIFS($M$4:$M$503,1,$N$4:$N$503,"&gt;"&amp;N445)+COUNTIFS($M$4:M445,1,$N$4:N445,N445),"")</f>
        <v/>
      </c>
      <c r="P445">
        <f>IF(G445="",0,IF(COUNTIF($G$4:G445,G445)=1,1,0))</f>
        <v>0</v>
      </c>
      <c r="Q445" t="str">
        <f>IF(P445=1,ROUND(SUMIF($G$4:$G$503,G445,$E$4:$E$503),2),"")</f>
        <v/>
      </c>
      <c r="R445" t="str">
        <f>IF(P445=1,COUNTIFS($P$4:$P$503,1,$Q$4:$Q$503,"&gt;"&amp;Q445)+COUNTIFS($P$4:P445,1,$Q$4:Q445,Q445),"")</f>
        <v/>
      </c>
      <c r="S445">
        <f>IF(H445="",0,IF(COUNTIF($H$4:H445,H445)=1,1,0))</f>
        <v>0</v>
      </c>
      <c r="T445" t="str">
        <f>IF(S445=1,ROUND(SUMIF($H$4:$H$503,H445,$E$4:$E$503),2),"")</f>
        <v/>
      </c>
      <c r="U445" t="str">
        <f>IF(S445=1,COUNTIFS($S$4:$S$503,1,$T$4:$T$503,"&gt;"&amp;T445)+COUNTIFS($S$4:S445,1,$T$4:T445,T445),"")</f>
        <v/>
      </c>
      <c r="V445" t="str">
        <f>IF(D445=1,MIN(INDEX($R$4:$R$503,MATCH(G445,$G$4:$G$503,0)),IF($AL$7&gt;9,9,999)),"")</f>
        <v/>
      </c>
      <c r="W445" s="166">
        <f>IF(OR($I445="",$E445=0),0,IF(OR($J445&lt;W$3,$I445&gt;W$2),0,IF($K445=0,IF(AND($I445&gt;=W$3,$I445&lt;=W$2),$E445,0),$E445*NETWORKDAYS(MAX($I445,W$3),MIN($J445,W$2),Data!$K$4:$K$203)/$K445)))</f>
        <v>0</v>
      </c>
      <c r="X445" s="166">
        <f>IF(OR($I445="",$E445=0),0,IF(OR($J445&lt;X$3,$I445&gt;X$2),0,IF($K445=0,IF(AND($I445&gt;=X$3,$I445&lt;=X$2),$E445,0),$E445*NETWORKDAYS(MAX($I445,X$3),MIN($J445,X$2),Data!$K$4:$K$203)/$K445)))</f>
        <v>0</v>
      </c>
      <c r="Y445" s="166">
        <f>IF(OR($I445="",$E445=0),0,IF(OR($J445&lt;Y$3,$I445&gt;Y$2),0,IF($K445=0,IF(AND($I445&gt;=Y$3,$I445&lt;=Y$2),$E445,0),$E445*NETWORKDAYS(MAX($I445,Y$3),MIN($J445,Y$2),Data!$K$4:$K$203)/$K445)))</f>
        <v>0</v>
      </c>
      <c r="Z445" s="166">
        <f>IF(OR($I445="",$E445=0),0,IF(OR($J445&lt;Z$3,$I445&gt;Z$2),0,IF($K445=0,IF(AND($I445&gt;=Z$3,$I445&lt;=Z$2),$E445,0),$E445*NETWORKDAYS(MAX($I445,Z$3),MIN($J445,Z$2),Data!$K$4:$K$203)/$K445)))</f>
        <v>0</v>
      </c>
      <c r="AA445" s="166">
        <f>IF(OR($I445="",$E445=0),0,IF(OR($J445&lt;AA$3,$I445&gt;AA$2),0,IF($K445=0,IF(AND($I445&gt;=AA$3,$I445&lt;=AA$2),$E445,0),$E445*NETWORKDAYS(MAX($I445,AA$3),MIN($J445,AA$2),Data!$K$4:$K$203)/$K445)))</f>
        <v>0</v>
      </c>
      <c r="AB445" s="166">
        <f>IF(OR($I445="",$E445=0),0,IF(OR($J445&lt;AB$3,$I445&gt;AB$2),0,IF($K445=0,IF(AND($I445&gt;=AB$3,$I445&lt;=AB$2),$E445,0),$E445*NETWORKDAYS(MAX($I445,AB$3),MIN($J445,AB$2),Data!$K$4:$K$203)/$K445)))</f>
        <v>0</v>
      </c>
      <c r="AC445" s="166">
        <f>IF(OR($I445="",$E445=0),0,IF(OR($J445&lt;AC$3,$I445&gt;AC$2),0,IF($K445=0,IF(AND($I445&gt;=AC$3,$I445&lt;=AC$2),$E445,0),$E445*NETWORKDAYS(MAX($I445,AC$3),MIN($J445,AC$2),Data!$K$4:$K$203)/$K445)))</f>
        <v>0</v>
      </c>
      <c r="AD445" s="166">
        <f>IF(OR($I445="",$E445=0),0,IF(OR($J445&lt;AD$3,$I445&gt;AD$2),0,IF($K445=0,IF(AND($I445&gt;=AD$3,$I445&lt;=AD$2),$E445,0),$E445*NETWORKDAYS(MAX($I445,AD$3),MIN($J445,AD$2),Data!$K$4:$K$203)/$K445)))</f>
        <v>0</v>
      </c>
      <c r="AE445" s="166">
        <f>IF(OR($I445="",$E445=0),0,IF(OR($J445&lt;AE$3,$I445&gt;AE$2),0,IF($K445=0,IF(AND($I445&gt;=AE$3,$I445&lt;=AE$2),$E445,0),$E445*NETWORKDAYS(MAX($I445,AE$3),MIN($J445,AE$2),Data!$K$4:$K$203)/$K445)))</f>
        <v>0</v>
      </c>
      <c r="AF445" s="166">
        <f>IF(OR($I445="",$E445=0),0,IF(OR($J445&lt;AF$3,$I445&gt;AF$2),0,IF($K445=0,IF(AND($I445&gt;=AF$3,$I445&lt;=AF$2),$E445,0),$E445*NETWORKDAYS(MAX($I445,AF$3),MIN($J445,AF$2),Data!$K$4:$K$203)/$K445)))</f>
        <v>0</v>
      </c>
      <c r="AG445" s="166">
        <f>IF(OR($I445="",$E445=0),0,IF(OR($J445&lt;AG$3,$I445&gt;AG$2),0,IF($K445=0,IF(AND($I445&gt;=AG$3,$I445&lt;=AG$2),$E445,0),$E445*NETWORKDAYS(MAX($I445,AG$3),MIN($J445,AG$2),Data!$K$4:$K$203)/$K445)))</f>
        <v>0</v>
      </c>
      <c r="AH445" s="166">
        <f>IF(OR($I445="",$E445=0),0,IF(OR($J445&lt;AH$3,$I445&gt;AH$2),0,IF($K445=0,IF(AND($I445&gt;=AH$3,$I445&lt;=AH$2),$E445,0),$E445*NETWORKDAYS(MAX($I445,AH$3),MIN($J445,AH$2),Data!$K$4:$K$203)/$K445)))</f>
        <v>0</v>
      </c>
      <c r="AI445" s="166">
        <f>SUM(W445:AH445)</f>
        <v>0</v>
      </c>
      <c r="BZ445" t="str">
        <f>IF(D445=1,IF(TRIM(INDEX(Charge!$K:$K,ROW()))&lt;&gt;"",TRIM(INDEX(Charge!$K:$K,ROW())),IF(TRIM(INDEX(Charge!$L:$L,ROW()))&lt;&gt;"",TRIM(INDEX(Charge!$L:$L,ROW())),"(non affecté)")),"")</f>
        <v/>
      </c>
      <c r="CA445" t="str">
        <f>IF(AND($CD$4&lt;&gt;"",BZ445=$CD$4),COUNTIFS($BZ$4:$BZ$503,$CD$4,$L$4:$L$503,"&lt;"&amp;L445)+1,"")</f>
        <v/>
      </c>
      <c r="EM445" t="str">
        <f>IF(D445=1,IF(TRIM(INDEX(Charge!$K:$K,ROW()))&lt;&gt;"","Interne",IF(TRIM(INDEX(Charge!$L:$L,ROW()))&lt;&gt;"","Externe","Non affecté")),"")</f>
        <v/>
      </c>
      <c r="EN445" t="str">
        <f>IF(D445=1,LEFT(SUBSTITUTE(SUBSTITUTE(SUBSTITUTE(TRIM(SUBSTITUTE(INDEX(Charge!$B:$B,ROW()),CHAR(160)," "))&amp;" | "&amp;TRIM(SUBSTITUTE(INDEX(Charge!$C:$C,ROW()),CHAR(160)," "))&amp;" | "&amp;TRIM(SUBSTITUTE(INDEX(Charge!$D:$D,ROW()),CHAR(160)," ")),"~","-"),"*","+"),"?","!"),240),"")</f>
        <v/>
      </c>
      <c r="EO445">
        <f>IF(EN445="",0,IF(COUNTIF($EN$4:EN445,EN445)=1,1,0))</f>
        <v>0</v>
      </c>
      <c r="EP445" s="166" t="str">
        <f>IF(EO445=1,ROUND(SUMIF($EN$4:$EN$503,EN445,$E$4:$E$503),2),"")</f>
        <v/>
      </c>
      <c r="EQ445" t="str">
        <f>IF(EO445=1,COUNTIFS($EO$4:$EO$503,1,$EP$4:$EP$503,"&gt;"&amp;EP445)+COUNTIFS($EO$4:EO445,1,$EP$4:EP445,EP445),"")</f>
        <v/>
      </c>
      <c r="ER445" t="str">
        <f>IF(EO445=1,COUNTIFS($EN$4:$EN$503,EN445,$EM$4:$EM$503,"Interne",$FE$4:$FE$503,1),"")</f>
        <v/>
      </c>
      <c r="ES445" t="str">
        <f>IF(EO445=1,COUNTIFS($EN$4:$EN$503,EN445,$EM$4:$EM$503,"Externe",$FE$4:$FE$503,1),"")</f>
        <v/>
      </c>
      <c r="ET445" t="str">
        <f>IF(EO445=1,IF(ER445+ES445=0,"à affecter",IF(ER445=0,ES445&amp;" ext.",(ER445+ES445)&amp;IF(ES445&gt;0," dont "&amp;ES445&amp;" ext.",""))&amp;IF(COUNTIFS($EN$4:$EN$503,EN445,$EM$4:$EM$503,"Non affecté")&gt;0," + à affecter","")),"")</f>
        <v/>
      </c>
      <c r="EU445" s="170" t="str">
        <f>IF(EO445=1,IF(EP445&gt;0,SUMPRODUCT(($EN$4:$EN$503=EN445)*$E$4:$E$503*$C$4:$C$503)/EP445,AVERAGEIF($EN$4:$EN$503,EN445,$C$4:$C$503)),"")</f>
        <v/>
      </c>
      <c r="EV445" s="165">
        <f>IF(ISNUMBER(I445),I445,2958465)</f>
        <v>2958465.0</v>
      </c>
      <c r="EW445" s="165" t="str">
        <f>IF(EO445=1,SUMPRODUCT(MIN(($EN$4:$EN$503=EN445)*$EV$4:$EV$503+($EN$4:$EN$503&lt;&gt;EN445)*2958465)),"")</f>
        <v/>
      </c>
      <c r="EX445" s="165">
        <f>IF(AND(D445=1,ISNUMBER(INDEX(Charge!$F:$F,ROW()))),INDEX(Charge!$F:$F,ROW()),0)</f>
        <v>0.0</v>
      </c>
      <c r="EY445" s="165" t="str">
        <f>IF(EO445=1,SUMPRODUCT(MAX(($EN$4:$EN$503=EN445)*$EX$4:$EX$503)),"")</f>
        <v/>
      </c>
      <c r="FD445">
        <f>IF(AND(B445=1,TRIM(INDEX(Charge!$K:$K,ROW()))&lt;&gt;"",TRIM(INDEX(Charge!$L:$L,ROW()))&lt;&gt;""),1,0)</f>
        <v>0</v>
      </c>
      <c r="FE445">
        <f>IF(OR(EN445="",BZ445="(non affecté)"),0,IF(COUNTIFS($EN$4:EN445,EN445,$BZ$4:BZ445,BZ445)=1,1,0))</f>
        <v>0</v>
      </c>
    </row>
    <row r="446">
      <c r="A446">
        <f>ROW()</f>
        <v>446</v>
      </c>
      <c r="B446">
        <f>IF(TRIM(INDEX(Charge!$B:$B,ROW()))&lt;&gt;"",1,0)</f>
        <v>0</v>
      </c>
      <c r="C446">
        <f>IF(B446=1,MIN(1,MAX(0,N(INDEX(Charge!$O:$O,ROW())))),0)</f>
        <v>0</v>
      </c>
      <c r="D446">
        <f>IF(B446=1,IF(OR(p_Perimetre="Tous les projets",C446&lt;1),1,0),0)</f>
        <v>0</v>
      </c>
      <c r="E446">
        <f>IF(D446=1,MAX(0,N(INDEX(Charge!$M:$M,ROW()))),0)</f>
        <v>0</v>
      </c>
      <c r="F446" t="str">
        <f>IF(D446=1,IF(TRIM(INDEX(Charge!$A:$A,ROW()))="","(non renseigné)",TRIM(INDEX(Charge!$A:$A,ROW()))),"")</f>
        <v/>
      </c>
      <c r="G446" t="str">
        <f>IF(D446=1,TRIM(INDEX(Charge!$B:$B,ROW())),"")</f>
        <v/>
      </c>
      <c r="H446" t="str">
        <f>IF(D446=1,IF(TRIM(INDEX(Charge!$E:$E,ROW()))="","(non renseigné)",TRIM(INDEX(Charge!$E:$E,ROW()))),"")</f>
        <v/>
      </c>
      <c r="I446" s="165" t="str">
        <f>IF(AND(D446=1,ISNUMBER(INDEX(Charge!$N:$N,ROW()))),INDEX(Charge!$N:$N,ROW()),"")</f>
        <v/>
      </c>
      <c r="J446" s="165" t="str">
        <f>IF(I446="","",IF(AND(p_Repartition="Lissée jusqu'à la date de besoin",ISNUMBER(INDEX(Charge!$F:$F,ROW()))),IF(INDEX(Charge!$F:$F,ROW())&gt;=I446,INDEX(Charge!$F:$F,ROW()),I446),I446))</f>
        <v/>
      </c>
      <c r="K446" t="str">
        <f>IF(I446="","",NETWORKDAYS(I446,J446,Data!$K$4:$K$203))</f>
        <v/>
      </c>
      <c r="L446" t="str">
        <f>IF(D446=1,COUNTIFS($D$4:$D$503,1,$E$4:$E$503,"&gt;"&amp;E446)+COUNTIFS($D$4:$D446,1,$E$4:$E446,E446),"")</f>
        <v/>
      </c>
      <c r="M446">
        <f>IF(F446="",0,IF(COUNTIF($F$4:F446,F446)=1,1,0))</f>
        <v>0</v>
      </c>
      <c r="N446" t="str">
        <f>IF(M446=1,ROUND(SUMIF($F$4:$F$503,F446,$E$4:$E$503),2),"")</f>
        <v/>
      </c>
      <c r="O446" t="str">
        <f>IF(M446=1,COUNTIFS($M$4:$M$503,1,$N$4:$N$503,"&gt;"&amp;N446)+COUNTIFS($M$4:M446,1,$N$4:N446,N446),"")</f>
        <v/>
      </c>
      <c r="P446">
        <f>IF(G446="",0,IF(COUNTIF($G$4:G446,G446)=1,1,0))</f>
        <v>0</v>
      </c>
      <c r="Q446" t="str">
        <f>IF(P446=1,ROUND(SUMIF($G$4:$G$503,G446,$E$4:$E$503),2),"")</f>
        <v/>
      </c>
      <c r="R446" t="str">
        <f>IF(P446=1,COUNTIFS($P$4:$P$503,1,$Q$4:$Q$503,"&gt;"&amp;Q446)+COUNTIFS($P$4:P446,1,$Q$4:Q446,Q446),"")</f>
        <v/>
      </c>
      <c r="S446">
        <f>IF(H446="",0,IF(COUNTIF($H$4:H446,H446)=1,1,0))</f>
        <v>0</v>
      </c>
      <c r="T446" t="str">
        <f>IF(S446=1,ROUND(SUMIF($H$4:$H$503,H446,$E$4:$E$503),2),"")</f>
        <v/>
      </c>
      <c r="U446" t="str">
        <f>IF(S446=1,COUNTIFS($S$4:$S$503,1,$T$4:$T$503,"&gt;"&amp;T446)+COUNTIFS($S$4:S446,1,$T$4:T446,T446),"")</f>
        <v/>
      </c>
      <c r="V446" t="str">
        <f>IF(D446=1,MIN(INDEX($R$4:$R$503,MATCH(G446,$G$4:$G$503,0)),IF($AL$7&gt;9,9,999)),"")</f>
        <v/>
      </c>
      <c r="W446" s="166">
        <f>IF(OR($I446="",$E446=0),0,IF(OR($J446&lt;W$3,$I446&gt;W$2),0,IF($K446=0,IF(AND($I446&gt;=W$3,$I446&lt;=W$2),$E446,0),$E446*NETWORKDAYS(MAX($I446,W$3),MIN($J446,W$2),Data!$K$4:$K$203)/$K446)))</f>
        <v>0</v>
      </c>
      <c r="X446" s="166">
        <f>IF(OR($I446="",$E446=0),0,IF(OR($J446&lt;X$3,$I446&gt;X$2),0,IF($K446=0,IF(AND($I446&gt;=X$3,$I446&lt;=X$2),$E446,0),$E446*NETWORKDAYS(MAX($I446,X$3),MIN($J446,X$2),Data!$K$4:$K$203)/$K446)))</f>
        <v>0</v>
      </c>
      <c r="Y446" s="166">
        <f>IF(OR($I446="",$E446=0),0,IF(OR($J446&lt;Y$3,$I446&gt;Y$2),0,IF($K446=0,IF(AND($I446&gt;=Y$3,$I446&lt;=Y$2),$E446,0),$E446*NETWORKDAYS(MAX($I446,Y$3),MIN($J446,Y$2),Data!$K$4:$K$203)/$K446)))</f>
        <v>0</v>
      </c>
      <c r="Z446" s="166">
        <f>IF(OR($I446="",$E446=0),0,IF(OR($J446&lt;Z$3,$I446&gt;Z$2),0,IF($K446=0,IF(AND($I446&gt;=Z$3,$I446&lt;=Z$2),$E446,0),$E446*NETWORKDAYS(MAX($I446,Z$3),MIN($J446,Z$2),Data!$K$4:$K$203)/$K446)))</f>
        <v>0</v>
      </c>
      <c r="AA446" s="166">
        <f>IF(OR($I446="",$E446=0),0,IF(OR($J446&lt;AA$3,$I446&gt;AA$2),0,IF($K446=0,IF(AND($I446&gt;=AA$3,$I446&lt;=AA$2),$E446,0),$E446*NETWORKDAYS(MAX($I446,AA$3),MIN($J446,AA$2),Data!$K$4:$K$203)/$K446)))</f>
        <v>0</v>
      </c>
      <c r="AB446" s="166">
        <f>IF(OR($I446="",$E446=0),0,IF(OR($J446&lt;AB$3,$I446&gt;AB$2),0,IF($K446=0,IF(AND($I446&gt;=AB$3,$I446&lt;=AB$2),$E446,0),$E446*NETWORKDAYS(MAX($I446,AB$3),MIN($J446,AB$2),Data!$K$4:$K$203)/$K446)))</f>
        <v>0</v>
      </c>
      <c r="AC446" s="166">
        <f>IF(OR($I446="",$E446=0),0,IF(OR($J446&lt;AC$3,$I446&gt;AC$2),0,IF($K446=0,IF(AND($I446&gt;=AC$3,$I446&lt;=AC$2),$E446,0),$E446*NETWORKDAYS(MAX($I446,AC$3),MIN($J446,AC$2),Data!$K$4:$K$203)/$K446)))</f>
        <v>0</v>
      </c>
      <c r="AD446" s="166">
        <f>IF(OR($I446="",$E446=0),0,IF(OR($J446&lt;AD$3,$I446&gt;AD$2),0,IF($K446=0,IF(AND($I446&gt;=AD$3,$I446&lt;=AD$2),$E446,0),$E446*NETWORKDAYS(MAX($I446,AD$3),MIN($J446,AD$2),Data!$K$4:$K$203)/$K446)))</f>
        <v>0</v>
      </c>
      <c r="AE446" s="166">
        <f>IF(OR($I446="",$E446=0),0,IF(OR($J446&lt;AE$3,$I446&gt;AE$2),0,IF($K446=0,IF(AND($I446&gt;=AE$3,$I446&lt;=AE$2),$E446,0),$E446*NETWORKDAYS(MAX($I446,AE$3),MIN($J446,AE$2),Data!$K$4:$K$203)/$K446)))</f>
        <v>0</v>
      </c>
      <c r="AF446" s="166">
        <f>IF(OR($I446="",$E446=0),0,IF(OR($J446&lt;AF$3,$I446&gt;AF$2),0,IF($K446=0,IF(AND($I446&gt;=AF$3,$I446&lt;=AF$2),$E446,0),$E446*NETWORKDAYS(MAX($I446,AF$3),MIN($J446,AF$2),Data!$K$4:$K$203)/$K446)))</f>
        <v>0</v>
      </c>
      <c r="AG446" s="166">
        <f>IF(OR($I446="",$E446=0),0,IF(OR($J446&lt;AG$3,$I446&gt;AG$2),0,IF($K446=0,IF(AND($I446&gt;=AG$3,$I446&lt;=AG$2),$E446,0),$E446*NETWORKDAYS(MAX($I446,AG$3),MIN($J446,AG$2),Data!$K$4:$K$203)/$K446)))</f>
        <v>0</v>
      </c>
      <c r="AH446" s="166">
        <f>IF(OR($I446="",$E446=0),0,IF(OR($J446&lt;AH$3,$I446&gt;AH$2),0,IF($K446=0,IF(AND($I446&gt;=AH$3,$I446&lt;=AH$2),$E446,0),$E446*NETWORKDAYS(MAX($I446,AH$3),MIN($J446,AH$2),Data!$K$4:$K$203)/$K446)))</f>
        <v>0</v>
      </c>
      <c r="AI446" s="166">
        <f>SUM(W446:AH446)</f>
        <v>0</v>
      </c>
      <c r="BZ446" t="str">
        <f>IF(D446=1,IF(TRIM(INDEX(Charge!$K:$K,ROW()))&lt;&gt;"",TRIM(INDEX(Charge!$K:$K,ROW())),IF(TRIM(INDEX(Charge!$L:$L,ROW()))&lt;&gt;"",TRIM(INDEX(Charge!$L:$L,ROW())),"(non affecté)")),"")</f>
        <v/>
      </c>
      <c r="CA446" t="str">
        <f>IF(AND($CD$4&lt;&gt;"",BZ446=$CD$4),COUNTIFS($BZ$4:$BZ$503,$CD$4,$L$4:$L$503,"&lt;"&amp;L446)+1,"")</f>
        <v/>
      </c>
      <c r="EM446" t="str">
        <f>IF(D446=1,IF(TRIM(INDEX(Charge!$K:$K,ROW()))&lt;&gt;"","Interne",IF(TRIM(INDEX(Charge!$L:$L,ROW()))&lt;&gt;"","Externe","Non affecté")),"")</f>
        <v/>
      </c>
      <c r="EN446" t="str">
        <f>IF(D446=1,LEFT(SUBSTITUTE(SUBSTITUTE(SUBSTITUTE(TRIM(SUBSTITUTE(INDEX(Charge!$B:$B,ROW()),CHAR(160)," "))&amp;" | "&amp;TRIM(SUBSTITUTE(INDEX(Charge!$C:$C,ROW()),CHAR(160)," "))&amp;" | "&amp;TRIM(SUBSTITUTE(INDEX(Charge!$D:$D,ROW()),CHAR(160)," ")),"~","-"),"*","+"),"?","!"),240),"")</f>
        <v/>
      </c>
      <c r="EO446">
        <f>IF(EN446="",0,IF(COUNTIF($EN$4:EN446,EN446)=1,1,0))</f>
        <v>0</v>
      </c>
      <c r="EP446" s="166" t="str">
        <f>IF(EO446=1,ROUND(SUMIF($EN$4:$EN$503,EN446,$E$4:$E$503),2),"")</f>
        <v/>
      </c>
      <c r="EQ446" t="str">
        <f>IF(EO446=1,COUNTIFS($EO$4:$EO$503,1,$EP$4:$EP$503,"&gt;"&amp;EP446)+COUNTIFS($EO$4:EO446,1,$EP$4:EP446,EP446),"")</f>
        <v/>
      </c>
      <c r="ER446" t="str">
        <f>IF(EO446=1,COUNTIFS($EN$4:$EN$503,EN446,$EM$4:$EM$503,"Interne",$FE$4:$FE$503,1),"")</f>
        <v/>
      </c>
      <c r="ES446" t="str">
        <f>IF(EO446=1,COUNTIFS($EN$4:$EN$503,EN446,$EM$4:$EM$503,"Externe",$FE$4:$FE$503,1),"")</f>
        <v/>
      </c>
      <c r="ET446" t="str">
        <f>IF(EO446=1,IF(ER446+ES446=0,"à affecter",IF(ER446=0,ES446&amp;" ext.",(ER446+ES446)&amp;IF(ES446&gt;0," dont "&amp;ES446&amp;" ext.",""))&amp;IF(COUNTIFS($EN$4:$EN$503,EN446,$EM$4:$EM$503,"Non affecté")&gt;0," + à affecter","")),"")</f>
        <v/>
      </c>
      <c r="EU446" s="170" t="str">
        <f>IF(EO446=1,IF(EP446&gt;0,SUMPRODUCT(($EN$4:$EN$503=EN446)*$E$4:$E$503*$C$4:$C$503)/EP446,AVERAGEIF($EN$4:$EN$503,EN446,$C$4:$C$503)),"")</f>
        <v/>
      </c>
      <c r="EV446" s="165">
        <f>IF(ISNUMBER(I446),I446,2958465)</f>
        <v>2958465.0</v>
      </c>
      <c r="EW446" s="165" t="str">
        <f>IF(EO446=1,SUMPRODUCT(MIN(($EN$4:$EN$503=EN446)*$EV$4:$EV$503+($EN$4:$EN$503&lt;&gt;EN446)*2958465)),"")</f>
        <v/>
      </c>
      <c r="EX446" s="165">
        <f>IF(AND(D446=1,ISNUMBER(INDEX(Charge!$F:$F,ROW()))),INDEX(Charge!$F:$F,ROW()),0)</f>
        <v>0.0</v>
      </c>
      <c r="EY446" s="165" t="str">
        <f>IF(EO446=1,SUMPRODUCT(MAX(($EN$4:$EN$503=EN446)*$EX$4:$EX$503)),"")</f>
        <v/>
      </c>
      <c r="FD446">
        <f>IF(AND(B446=1,TRIM(INDEX(Charge!$K:$K,ROW()))&lt;&gt;"",TRIM(INDEX(Charge!$L:$L,ROW()))&lt;&gt;""),1,0)</f>
        <v>0</v>
      </c>
      <c r="FE446">
        <f>IF(OR(EN446="",BZ446="(non affecté)"),0,IF(COUNTIFS($EN$4:EN446,EN446,$BZ$4:BZ446,BZ446)=1,1,0))</f>
        <v>0</v>
      </c>
    </row>
    <row r="447">
      <c r="A447">
        <f>ROW()</f>
        <v>447</v>
      </c>
      <c r="B447">
        <f>IF(TRIM(INDEX(Charge!$B:$B,ROW()))&lt;&gt;"",1,0)</f>
        <v>0</v>
      </c>
      <c r="C447">
        <f>IF(B447=1,MIN(1,MAX(0,N(INDEX(Charge!$O:$O,ROW())))),0)</f>
        <v>0</v>
      </c>
      <c r="D447">
        <f>IF(B447=1,IF(OR(p_Perimetre="Tous les projets",C447&lt;1),1,0),0)</f>
        <v>0</v>
      </c>
      <c r="E447">
        <f>IF(D447=1,MAX(0,N(INDEX(Charge!$M:$M,ROW()))),0)</f>
        <v>0</v>
      </c>
      <c r="F447" t="str">
        <f>IF(D447=1,IF(TRIM(INDEX(Charge!$A:$A,ROW()))="","(non renseigné)",TRIM(INDEX(Charge!$A:$A,ROW()))),"")</f>
        <v/>
      </c>
      <c r="G447" t="str">
        <f>IF(D447=1,TRIM(INDEX(Charge!$B:$B,ROW())),"")</f>
        <v/>
      </c>
      <c r="H447" t="str">
        <f>IF(D447=1,IF(TRIM(INDEX(Charge!$E:$E,ROW()))="","(non renseigné)",TRIM(INDEX(Charge!$E:$E,ROW()))),"")</f>
        <v/>
      </c>
      <c r="I447" s="165" t="str">
        <f>IF(AND(D447=1,ISNUMBER(INDEX(Charge!$N:$N,ROW()))),INDEX(Charge!$N:$N,ROW()),"")</f>
        <v/>
      </c>
      <c r="J447" s="165" t="str">
        <f>IF(I447="","",IF(AND(p_Repartition="Lissée jusqu'à la date de besoin",ISNUMBER(INDEX(Charge!$F:$F,ROW()))),IF(INDEX(Charge!$F:$F,ROW())&gt;=I447,INDEX(Charge!$F:$F,ROW()),I447),I447))</f>
        <v/>
      </c>
      <c r="K447" t="str">
        <f>IF(I447="","",NETWORKDAYS(I447,J447,Data!$K$4:$K$203))</f>
        <v/>
      </c>
      <c r="L447" t="str">
        <f>IF(D447=1,COUNTIFS($D$4:$D$503,1,$E$4:$E$503,"&gt;"&amp;E447)+COUNTIFS($D$4:$D447,1,$E$4:$E447,E447),"")</f>
        <v/>
      </c>
      <c r="M447">
        <f>IF(F447="",0,IF(COUNTIF($F$4:F447,F447)=1,1,0))</f>
        <v>0</v>
      </c>
      <c r="N447" t="str">
        <f>IF(M447=1,ROUND(SUMIF($F$4:$F$503,F447,$E$4:$E$503),2),"")</f>
        <v/>
      </c>
      <c r="O447" t="str">
        <f>IF(M447=1,COUNTIFS($M$4:$M$503,1,$N$4:$N$503,"&gt;"&amp;N447)+COUNTIFS($M$4:M447,1,$N$4:N447,N447),"")</f>
        <v/>
      </c>
      <c r="P447">
        <f>IF(G447="",0,IF(COUNTIF($G$4:G447,G447)=1,1,0))</f>
        <v>0</v>
      </c>
      <c r="Q447" t="str">
        <f>IF(P447=1,ROUND(SUMIF($G$4:$G$503,G447,$E$4:$E$503),2),"")</f>
        <v/>
      </c>
      <c r="R447" t="str">
        <f>IF(P447=1,COUNTIFS($P$4:$P$503,1,$Q$4:$Q$503,"&gt;"&amp;Q447)+COUNTIFS($P$4:P447,1,$Q$4:Q447,Q447),"")</f>
        <v/>
      </c>
      <c r="S447">
        <f>IF(H447="",0,IF(COUNTIF($H$4:H447,H447)=1,1,0))</f>
        <v>0</v>
      </c>
      <c r="T447" t="str">
        <f>IF(S447=1,ROUND(SUMIF($H$4:$H$503,H447,$E$4:$E$503),2),"")</f>
        <v/>
      </c>
      <c r="U447" t="str">
        <f>IF(S447=1,COUNTIFS($S$4:$S$503,1,$T$4:$T$503,"&gt;"&amp;T447)+COUNTIFS($S$4:S447,1,$T$4:T447,T447),"")</f>
        <v/>
      </c>
      <c r="V447" t="str">
        <f>IF(D447=1,MIN(INDEX($R$4:$R$503,MATCH(G447,$G$4:$G$503,0)),IF($AL$7&gt;9,9,999)),"")</f>
        <v/>
      </c>
      <c r="W447" s="166">
        <f>IF(OR($I447="",$E447=0),0,IF(OR($J447&lt;W$3,$I447&gt;W$2),0,IF($K447=0,IF(AND($I447&gt;=W$3,$I447&lt;=W$2),$E447,0),$E447*NETWORKDAYS(MAX($I447,W$3),MIN($J447,W$2),Data!$K$4:$K$203)/$K447)))</f>
        <v>0</v>
      </c>
      <c r="X447" s="166">
        <f>IF(OR($I447="",$E447=0),0,IF(OR($J447&lt;X$3,$I447&gt;X$2),0,IF($K447=0,IF(AND($I447&gt;=X$3,$I447&lt;=X$2),$E447,0),$E447*NETWORKDAYS(MAX($I447,X$3),MIN($J447,X$2),Data!$K$4:$K$203)/$K447)))</f>
        <v>0</v>
      </c>
      <c r="Y447" s="166">
        <f>IF(OR($I447="",$E447=0),0,IF(OR($J447&lt;Y$3,$I447&gt;Y$2),0,IF($K447=0,IF(AND($I447&gt;=Y$3,$I447&lt;=Y$2),$E447,0),$E447*NETWORKDAYS(MAX($I447,Y$3),MIN($J447,Y$2),Data!$K$4:$K$203)/$K447)))</f>
        <v>0</v>
      </c>
      <c r="Z447" s="166">
        <f>IF(OR($I447="",$E447=0),0,IF(OR($J447&lt;Z$3,$I447&gt;Z$2),0,IF($K447=0,IF(AND($I447&gt;=Z$3,$I447&lt;=Z$2),$E447,0),$E447*NETWORKDAYS(MAX($I447,Z$3),MIN($J447,Z$2),Data!$K$4:$K$203)/$K447)))</f>
        <v>0</v>
      </c>
      <c r="AA447" s="166">
        <f>IF(OR($I447="",$E447=0),0,IF(OR($J447&lt;AA$3,$I447&gt;AA$2),0,IF($K447=0,IF(AND($I447&gt;=AA$3,$I447&lt;=AA$2),$E447,0),$E447*NETWORKDAYS(MAX($I447,AA$3),MIN($J447,AA$2),Data!$K$4:$K$203)/$K447)))</f>
        <v>0</v>
      </c>
      <c r="AB447" s="166">
        <f>IF(OR($I447="",$E447=0),0,IF(OR($J447&lt;AB$3,$I447&gt;AB$2),0,IF($K447=0,IF(AND($I447&gt;=AB$3,$I447&lt;=AB$2),$E447,0),$E447*NETWORKDAYS(MAX($I447,AB$3),MIN($J447,AB$2),Data!$K$4:$K$203)/$K447)))</f>
        <v>0</v>
      </c>
      <c r="AC447" s="166">
        <f>IF(OR($I447="",$E447=0),0,IF(OR($J447&lt;AC$3,$I447&gt;AC$2),0,IF($K447=0,IF(AND($I447&gt;=AC$3,$I447&lt;=AC$2),$E447,0),$E447*NETWORKDAYS(MAX($I447,AC$3),MIN($J447,AC$2),Data!$K$4:$K$203)/$K447)))</f>
        <v>0</v>
      </c>
      <c r="AD447" s="166">
        <f>IF(OR($I447="",$E447=0),0,IF(OR($J447&lt;AD$3,$I447&gt;AD$2),0,IF($K447=0,IF(AND($I447&gt;=AD$3,$I447&lt;=AD$2),$E447,0),$E447*NETWORKDAYS(MAX($I447,AD$3),MIN($J447,AD$2),Data!$K$4:$K$203)/$K447)))</f>
        <v>0</v>
      </c>
      <c r="AE447" s="166">
        <f>IF(OR($I447="",$E447=0),0,IF(OR($J447&lt;AE$3,$I447&gt;AE$2),0,IF($K447=0,IF(AND($I447&gt;=AE$3,$I447&lt;=AE$2),$E447,0),$E447*NETWORKDAYS(MAX($I447,AE$3),MIN($J447,AE$2),Data!$K$4:$K$203)/$K447)))</f>
        <v>0</v>
      </c>
      <c r="AF447" s="166">
        <f>IF(OR($I447="",$E447=0),0,IF(OR($J447&lt;AF$3,$I447&gt;AF$2),0,IF($K447=0,IF(AND($I447&gt;=AF$3,$I447&lt;=AF$2),$E447,0),$E447*NETWORKDAYS(MAX($I447,AF$3),MIN($J447,AF$2),Data!$K$4:$K$203)/$K447)))</f>
        <v>0</v>
      </c>
      <c r="AG447" s="166">
        <f>IF(OR($I447="",$E447=0),0,IF(OR($J447&lt;AG$3,$I447&gt;AG$2),0,IF($K447=0,IF(AND($I447&gt;=AG$3,$I447&lt;=AG$2),$E447,0),$E447*NETWORKDAYS(MAX($I447,AG$3),MIN($J447,AG$2),Data!$K$4:$K$203)/$K447)))</f>
        <v>0</v>
      </c>
      <c r="AH447" s="166">
        <f>IF(OR($I447="",$E447=0),0,IF(OR($J447&lt;AH$3,$I447&gt;AH$2),0,IF($K447=0,IF(AND($I447&gt;=AH$3,$I447&lt;=AH$2),$E447,0),$E447*NETWORKDAYS(MAX($I447,AH$3),MIN($J447,AH$2),Data!$K$4:$K$203)/$K447)))</f>
        <v>0</v>
      </c>
      <c r="AI447" s="166">
        <f>SUM(W447:AH447)</f>
        <v>0</v>
      </c>
      <c r="BZ447" t="str">
        <f>IF(D447=1,IF(TRIM(INDEX(Charge!$K:$K,ROW()))&lt;&gt;"",TRIM(INDEX(Charge!$K:$K,ROW())),IF(TRIM(INDEX(Charge!$L:$L,ROW()))&lt;&gt;"",TRIM(INDEX(Charge!$L:$L,ROW())),"(non affecté)")),"")</f>
        <v/>
      </c>
      <c r="CA447" t="str">
        <f>IF(AND($CD$4&lt;&gt;"",BZ447=$CD$4),COUNTIFS($BZ$4:$BZ$503,$CD$4,$L$4:$L$503,"&lt;"&amp;L447)+1,"")</f>
        <v/>
      </c>
      <c r="EM447" t="str">
        <f>IF(D447=1,IF(TRIM(INDEX(Charge!$K:$K,ROW()))&lt;&gt;"","Interne",IF(TRIM(INDEX(Charge!$L:$L,ROW()))&lt;&gt;"","Externe","Non affecté")),"")</f>
        <v/>
      </c>
      <c r="EN447" t="str">
        <f>IF(D447=1,LEFT(SUBSTITUTE(SUBSTITUTE(SUBSTITUTE(TRIM(SUBSTITUTE(INDEX(Charge!$B:$B,ROW()),CHAR(160)," "))&amp;" | "&amp;TRIM(SUBSTITUTE(INDEX(Charge!$C:$C,ROW()),CHAR(160)," "))&amp;" | "&amp;TRIM(SUBSTITUTE(INDEX(Charge!$D:$D,ROW()),CHAR(160)," ")),"~","-"),"*","+"),"?","!"),240),"")</f>
        <v/>
      </c>
      <c r="EO447">
        <f>IF(EN447="",0,IF(COUNTIF($EN$4:EN447,EN447)=1,1,0))</f>
        <v>0</v>
      </c>
      <c r="EP447" s="166" t="str">
        <f>IF(EO447=1,ROUND(SUMIF($EN$4:$EN$503,EN447,$E$4:$E$503),2),"")</f>
        <v/>
      </c>
      <c r="EQ447" t="str">
        <f>IF(EO447=1,COUNTIFS($EO$4:$EO$503,1,$EP$4:$EP$503,"&gt;"&amp;EP447)+COUNTIFS($EO$4:EO447,1,$EP$4:EP447,EP447),"")</f>
        <v/>
      </c>
      <c r="ER447" t="str">
        <f>IF(EO447=1,COUNTIFS($EN$4:$EN$503,EN447,$EM$4:$EM$503,"Interne",$FE$4:$FE$503,1),"")</f>
        <v/>
      </c>
      <c r="ES447" t="str">
        <f>IF(EO447=1,COUNTIFS($EN$4:$EN$503,EN447,$EM$4:$EM$503,"Externe",$FE$4:$FE$503,1),"")</f>
        <v/>
      </c>
      <c r="ET447" t="str">
        <f>IF(EO447=1,IF(ER447+ES447=0,"à affecter",IF(ER447=0,ES447&amp;" ext.",(ER447+ES447)&amp;IF(ES447&gt;0," dont "&amp;ES447&amp;" ext.",""))&amp;IF(COUNTIFS($EN$4:$EN$503,EN447,$EM$4:$EM$503,"Non affecté")&gt;0," + à affecter","")),"")</f>
        <v/>
      </c>
      <c r="EU447" s="170" t="str">
        <f>IF(EO447=1,IF(EP447&gt;0,SUMPRODUCT(($EN$4:$EN$503=EN447)*$E$4:$E$503*$C$4:$C$503)/EP447,AVERAGEIF($EN$4:$EN$503,EN447,$C$4:$C$503)),"")</f>
        <v/>
      </c>
      <c r="EV447" s="165">
        <f>IF(ISNUMBER(I447),I447,2958465)</f>
        <v>2958465.0</v>
      </c>
      <c r="EW447" s="165" t="str">
        <f>IF(EO447=1,SUMPRODUCT(MIN(($EN$4:$EN$503=EN447)*$EV$4:$EV$503+($EN$4:$EN$503&lt;&gt;EN447)*2958465)),"")</f>
        <v/>
      </c>
      <c r="EX447" s="165">
        <f>IF(AND(D447=1,ISNUMBER(INDEX(Charge!$F:$F,ROW()))),INDEX(Charge!$F:$F,ROW()),0)</f>
        <v>0.0</v>
      </c>
      <c r="EY447" s="165" t="str">
        <f>IF(EO447=1,SUMPRODUCT(MAX(($EN$4:$EN$503=EN447)*$EX$4:$EX$503)),"")</f>
        <v/>
      </c>
      <c r="FD447">
        <f>IF(AND(B447=1,TRIM(INDEX(Charge!$K:$K,ROW()))&lt;&gt;"",TRIM(INDEX(Charge!$L:$L,ROW()))&lt;&gt;""),1,0)</f>
        <v>0</v>
      </c>
      <c r="FE447">
        <f>IF(OR(EN447="",BZ447="(non affecté)"),0,IF(COUNTIFS($EN$4:EN447,EN447,$BZ$4:BZ447,BZ447)=1,1,0))</f>
        <v>0</v>
      </c>
    </row>
    <row r="448">
      <c r="A448">
        <f>ROW()</f>
        <v>448</v>
      </c>
      <c r="B448">
        <f>IF(TRIM(INDEX(Charge!$B:$B,ROW()))&lt;&gt;"",1,0)</f>
        <v>0</v>
      </c>
      <c r="C448">
        <f>IF(B448=1,MIN(1,MAX(0,N(INDEX(Charge!$O:$O,ROW())))),0)</f>
        <v>0</v>
      </c>
      <c r="D448">
        <f>IF(B448=1,IF(OR(p_Perimetre="Tous les projets",C448&lt;1),1,0),0)</f>
        <v>0</v>
      </c>
      <c r="E448">
        <f>IF(D448=1,MAX(0,N(INDEX(Charge!$M:$M,ROW()))),0)</f>
        <v>0</v>
      </c>
      <c r="F448" t="str">
        <f>IF(D448=1,IF(TRIM(INDEX(Charge!$A:$A,ROW()))="","(non renseigné)",TRIM(INDEX(Charge!$A:$A,ROW()))),"")</f>
        <v/>
      </c>
      <c r="G448" t="str">
        <f>IF(D448=1,TRIM(INDEX(Charge!$B:$B,ROW())),"")</f>
        <v/>
      </c>
      <c r="H448" t="str">
        <f>IF(D448=1,IF(TRIM(INDEX(Charge!$E:$E,ROW()))="","(non renseigné)",TRIM(INDEX(Charge!$E:$E,ROW()))),"")</f>
        <v/>
      </c>
      <c r="I448" s="165" t="str">
        <f>IF(AND(D448=1,ISNUMBER(INDEX(Charge!$N:$N,ROW()))),INDEX(Charge!$N:$N,ROW()),"")</f>
        <v/>
      </c>
      <c r="J448" s="165" t="str">
        <f>IF(I448="","",IF(AND(p_Repartition="Lissée jusqu'à la date de besoin",ISNUMBER(INDEX(Charge!$F:$F,ROW()))),IF(INDEX(Charge!$F:$F,ROW())&gt;=I448,INDEX(Charge!$F:$F,ROW()),I448),I448))</f>
        <v/>
      </c>
      <c r="K448" t="str">
        <f>IF(I448="","",NETWORKDAYS(I448,J448,Data!$K$4:$K$203))</f>
        <v/>
      </c>
      <c r="L448" t="str">
        <f>IF(D448=1,COUNTIFS($D$4:$D$503,1,$E$4:$E$503,"&gt;"&amp;E448)+COUNTIFS($D$4:$D448,1,$E$4:$E448,E448),"")</f>
        <v/>
      </c>
      <c r="M448">
        <f>IF(F448="",0,IF(COUNTIF($F$4:F448,F448)=1,1,0))</f>
        <v>0</v>
      </c>
      <c r="N448" t="str">
        <f>IF(M448=1,ROUND(SUMIF($F$4:$F$503,F448,$E$4:$E$503),2),"")</f>
        <v/>
      </c>
      <c r="O448" t="str">
        <f>IF(M448=1,COUNTIFS($M$4:$M$503,1,$N$4:$N$503,"&gt;"&amp;N448)+COUNTIFS($M$4:M448,1,$N$4:N448,N448),"")</f>
        <v/>
      </c>
      <c r="P448">
        <f>IF(G448="",0,IF(COUNTIF($G$4:G448,G448)=1,1,0))</f>
        <v>0</v>
      </c>
      <c r="Q448" t="str">
        <f>IF(P448=1,ROUND(SUMIF($G$4:$G$503,G448,$E$4:$E$503),2),"")</f>
        <v/>
      </c>
      <c r="R448" t="str">
        <f>IF(P448=1,COUNTIFS($P$4:$P$503,1,$Q$4:$Q$503,"&gt;"&amp;Q448)+COUNTIFS($P$4:P448,1,$Q$4:Q448,Q448),"")</f>
        <v/>
      </c>
      <c r="S448">
        <f>IF(H448="",0,IF(COUNTIF($H$4:H448,H448)=1,1,0))</f>
        <v>0</v>
      </c>
      <c r="T448" t="str">
        <f>IF(S448=1,ROUND(SUMIF($H$4:$H$503,H448,$E$4:$E$503),2),"")</f>
        <v/>
      </c>
      <c r="U448" t="str">
        <f>IF(S448=1,COUNTIFS($S$4:$S$503,1,$T$4:$T$503,"&gt;"&amp;T448)+COUNTIFS($S$4:S448,1,$T$4:T448,T448),"")</f>
        <v/>
      </c>
      <c r="V448" t="str">
        <f>IF(D448=1,MIN(INDEX($R$4:$R$503,MATCH(G448,$G$4:$G$503,0)),IF($AL$7&gt;9,9,999)),"")</f>
        <v/>
      </c>
      <c r="W448" s="166">
        <f>IF(OR($I448="",$E448=0),0,IF(OR($J448&lt;W$3,$I448&gt;W$2),0,IF($K448=0,IF(AND($I448&gt;=W$3,$I448&lt;=W$2),$E448,0),$E448*NETWORKDAYS(MAX($I448,W$3),MIN($J448,W$2),Data!$K$4:$K$203)/$K448)))</f>
        <v>0</v>
      </c>
      <c r="X448" s="166">
        <f>IF(OR($I448="",$E448=0),0,IF(OR($J448&lt;X$3,$I448&gt;X$2),0,IF($K448=0,IF(AND($I448&gt;=X$3,$I448&lt;=X$2),$E448,0),$E448*NETWORKDAYS(MAX($I448,X$3),MIN($J448,X$2),Data!$K$4:$K$203)/$K448)))</f>
        <v>0</v>
      </c>
      <c r="Y448" s="166">
        <f>IF(OR($I448="",$E448=0),0,IF(OR($J448&lt;Y$3,$I448&gt;Y$2),0,IF($K448=0,IF(AND($I448&gt;=Y$3,$I448&lt;=Y$2),$E448,0),$E448*NETWORKDAYS(MAX($I448,Y$3),MIN($J448,Y$2),Data!$K$4:$K$203)/$K448)))</f>
        <v>0</v>
      </c>
      <c r="Z448" s="166">
        <f>IF(OR($I448="",$E448=0),0,IF(OR($J448&lt;Z$3,$I448&gt;Z$2),0,IF($K448=0,IF(AND($I448&gt;=Z$3,$I448&lt;=Z$2),$E448,0),$E448*NETWORKDAYS(MAX($I448,Z$3),MIN($J448,Z$2),Data!$K$4:$K$203)/$K448)))</f>
        <v>0</v>
      </c>
      <c r="AA448" s="166">
        <f>IF(OR($I448="",$E448=0),0,IF(OR($J448&lt;AA$3,$I448&gt;AA$2),0,IF($K448=0,IF(AND($I448&gt;=AA$3,$I448&lt;=AA$2),$E448,0),$E448*NETWORKDAYS(MAX($I448,AA$3),MIN($J448,AA$2),Data!$K$4:$K$203)/$K448)))</f>
        <v>0</v>
      </c>
      <c r="AB448" s="166">
        <f>IF(OR($I448="",$E448=0),0,IF(OR($J448&lt;AB$3,$I448&gt;AB$2),0,IF($K448=0,IF(AND($I448&gt;=AB$3,$I448&lt;=AB$2),$E448,0),$E448*NETWORKDAYS(MAX($I448,AB$3),MIN($J448,AB$2),Data!$K$4:$K$203)/$K448)))</f>
        <v>0</v>
      </c>
      <c r="AC448" s="166">
        <f>IF(OR($I448="",$E448=0),0,IF(OR($J448&lt;AC$3,$I448&gt;AC$2),0,IF($K448=0,IF(AND($I448&gt;=AC$3,$I448&lt;=AC$2),$E448,0),$E448*NETWORKDAYS(MAX($I448,AC$3),MIN($J448,AC$2),Data!$K$4:$K$203)/$K448)))</f>
        <v>0</v>
      </c>
      <c r="AD448" s="166">
        <f>IF(OR($I448="",$E448=0),0,IF(OR($J448&lt;AD$3,$I448&gt;AD$2),0,IF($K448=0,IF(AND($I448&gt;=AD$3,$I448&lt;=AD$2),$E448,0),$E448*NETWORKDAYS(MAX($I448,AD$3),MIN($J448,AD$2),Data!$K$4:$K$203)/$K448)))</f>
        <v>0</v>
      </c>
      <c r="AE448" s="166">
        <f>IF(OR($I448="",$E448=0),0,IF(OR($J448&lt;AE$3,$I448&gt;AE$2),0,IF($K448=0,IF(AND($I448&gt;=AE$3,$I448&lt;=AE$2),$E448,0),$E448*NETWORKDAYS(MAX($I448,AE$3),MIN($J448,AE$2),Data!$K$4:$K$203)/$K448)))</f>
        <v>0</v>
      </c>
      <c r="AF448" s="166">
        <f>IF(OR($I448="",$E448=0),0,IF(OR($J448&lt;AF$3,$I448&gt;AF$2),0,IF($K448=0,IF(AND($I448&gt;=AF$3,$I448&lt;=AF$2),$E448,0),$E448*NETWORKDAYS(MAX($I448,AF$3),MIN($J448,AF$2),Data!$K$4:$K$203)/$K448)))</f>
        <v>0</v>
      </c>
      <c r="AG448" s="166">
        <f>IF(OR($I448="",$E448=0),0,IF(OR($J448&lt;AG$3,$I448&gt;AG$2),0,IF($K448=0,IF(AND($I448&gt;=AG$3,$I448&lt;=AG$2),$E448,0),$E448*NETWORKDAYS(MAX($I448,AG$3),MIN($J448,AG$2),Data!$K$4:$K$203)/$K448)))</f>
        <v>0</v>
      </c>
      <c r="AH448" s="166">
        <f>IF(OR($I448="",$E448=0),0,IF(OR($J448&lt;AH$3,$I448&gt;AH$2),0,IF($K448=0,IF(AND($I448&gt;=AH$3,$I448&lt;=AH$2),$E448,0),$E448*NETWORKDAYS(MAX($I448,AH$3),MIN($J448,AH$2),Data!$K$4:$K$203)/$K448)))</f>
        <v>0</v>
      </c>
      <c r="AI448" s="166">
        <f>SUM(W448:AH448)</f>
        <v>0</v>
      </c>
      <c r="BZ448" t="str">
        <f>IF(D448=1,IF(TRIM(INDEX(Charge!$K:$K,ROW()))&lt;&gt;"",TRIM(INDEX(Charge!$K:$K,ROW())),IF(TRIM(INDEX(Charge!$L:$L,ROW()))&lt;&gt;"",TRIM(INDEX(Charge!$L:$L,ROW())),"(non affecté)")),"")</f>
        <v/>
      </c>
      <c r="CA448" t="str">
        <f>IF(AND($CD$4&lt;&gt;"",BZ448=$CD$4),COUNTIFS($BZ$4:$BZ$503,$CD$4,$L$4:$L$503,"&lt;"&amp;L448)+1,"")</f>
        <v/>
      </c>
      <c r="EM448" t="str">
        <f>IF(D448=1,IF(TRIM(INDEX(Charge!$K:$K,ROW()))&lt;&gt;"","Interne",IF(TRIM(INDEX(Charge!$L:$L,ROW()))&lt;&gt;"","Externe","Non affecté")),"")</f>
        <v/>
      </c>
      <c r="EN448" t="str">
        <f>IF(D448=1,LEFT(SUBSTITUTE(SUBSTITUTE(SUBSTITUTE(TRIM(SUBSTITUTE(INDEX(Charge!$B:$B,ROW()),CHAR(160)," "))&amp;" | "&amp;TRIM(SUBSTITUTE(INDEX(Charge!$C:$C,ROW()),CHAR(160)," "))&amp;" | "&amp;TRIM(SUBSTITUTE(INDEX(Charge!$D:$D,ROW()),CHAR(160)," ")),"~","-"),"*","+"),"?","!"),240),"")</f>
        <v/>
      </c>
      <c r="EO448">
        <f>IF(EN448="",0,IF(COUNTIF($EN$4:EN448,EN448)=1,1,0))</f>
        <v>0</v>
      </c>
      <c r="EP448" s="166" t="str">
        <f>IF(EO448=1,ROUND(SUMIF($EN$4:$EN$503,EN448,$E$4:$E$503),2),"")</f>
        <v/>
      </c>
      <c r="EQ448" t="str">
        <f>IF(EO448=1,COUNTIFS($EO$4:$EO$503,1,$EP$4:$EP$503,"&gt;"&amp;EP448)+COUNTIFS($EO$4:EO448,1,$EP$4:EP448,EP448),"")</f>
        <v/>
      </c>
      <c r="ER448" t="str">
        <f>IF(EO448=1,COUNTIFS($EN$4:$EN$503,EN448,$EM$4:$EM$503,"Interne",$FE$4:$FE$503,1),"")</f>
        <v/>
      </c>
      <c r="ES448" t="str">
        <f>IF(EO448=1,COUNTIFS($EN$4:$EN$503,EN448,$EM$4:$EM$503,"Externe",$FE$4:$FE$503,1),"")</f>
        <v/>
      </c>
      <c r="ET448" t="str">
        <f>IF(EO448=1,IF(ER448+ES448=0,"à affecter",IF(ER448=0,ES448&amp;" ext.",(ER448+ES448)&amp;IF(ES448&gt;0," dont "&amp;ES448&amp;" ext.",""))&amp;IF(COUNTIFS($EN$4:$EN$503,EN448,$EM$4:$EM$503,"Non affecté")&gt;0," + à affecter","")),"")</f>
        <v/>
      </c>
      <c r="EU448" s="170" t="str">
        <f>IF(EO448=1,IF(EP448&gt;0,SUMPRODUCT(($EN$4:$EN$503=EN448)*$E$4:$E$503*$C$4:$C$503)/EP448,AVERAGEIF($EN$4:$EN$503,EN448,$C$4:$C$503)),"")</f>
        <v/>
      </c>
      <c r="EV448" s="165">
        <f>IF(ISNUMBER(I448),I448,2958465)</f>
        <v>2958465.0</v>
      </c>
      <c r="EW448" s="165" t="str">
        <f>IF(EO448=1,SUMPRODUCT(MIN(($EN$4:$EN$503=EN448)*$EV$4:$EV$503+($EN$4:$EN$503&lt;&gt;EN448)*2958465)),"")</f>
        <v/>
      </c>
      <c r="EX448" s="165">
        <f>IF(AND(D448=1,ISNUMBER(INDEX(Charge!$F:$F,ROW()))),INDEX(Charge!$F:$F,ROW()),0)</f>
        <v>0.0</v>
      </c>
      <c r="EY448" s="165" t="str">
        <f>IF(EO448=1,SUMPRODUCT(MAX(($EN$4:$EN$503=EN448)*$EX$4:$EX$503)),"")</f>
        <v/>
      </c>
      <c r="FD448">
        <f>IF(AND(B448=1,TRIM(INDEX(Charge!$K:$K,ROW()))&lt;&gt;"",TRIM(INDEX(Charge!$L:$L,ROW()))&lt;&gt;""),1,0)</f>
        <v>0</v>
      </c>
      <c r="FE448">
        <f>IF(OR(EN448="",BZ448="(non affecté)"),0,IF(COUNTIFS($EN$4:EN448,EN448,$BZ$4:BZ448,BZ448)=1,1,0))</f>
        <v>0</v>
      </c>
    </row>
    <row r="449">
      <c r="A449">
        <f>ROW()</f>
        <v>449</v>
      </c>
      <c r="B449">
        <f>IF(TRIM(INDEX(Charge!$B:$B,ROW()))&lt;&gt;"",1,0)</f>
        <v>0</v>
      </c>
      <c r="C449">
        <f>IF(B449=1,MIN(1,MAX(0,N(INDEX(Charge!$O:$O,ROW())))),0)</f>
        <v>0</v>
      </c>
      <c r="D449">
        <f>IF(B449=1,IF(OR(p_Perimetre="Tous les projets",C449&lt;1),1,0),0)</f>
        <v>0</v>
      </c>
      <c r="E449">
        <f>IF(D449=1,MAX(0,N(INDEX(Charge!$M:$M,ROW()))),0)</f>
        <v>0</v>
      </c>
      <c r="F449" t="str">
        <f>IF(D449=1,IF(TRIM(INDEX(Charge!$A:$A,ROW()))="","(non renseigné)",TRIM(INDEX(Charge!$A:$A,ROW()))),"")</f>
        <v/>
      </c>
      <c r="G449" t="str">
        <f>IF(D449=1,TRIM(INDEX(Charge!$B:$B,ROW())),"")</f>
        <v/>
      </c>
      <c r="H449" t="str">
        <f>IF(D449=1,IF(TRIM(INDEX(Charge!$E:$E,ROW()))="","(non renseigné)",TRIM(INDEX(Charge!$E:$E,ROW()))),"")</f>
        <v/>
      </c>
      <c r="I449" s="165" t="str">
        <f>IF(AND(D449=1,ISNUMBER(INDEX(Charge!$N:$N,ROW()))),INDEX(Charge!$N:$N,ROW()),"")</f>
        <v/>
      </c>
      <c r="J449" s="165" t="str">
        <f>IF(I449="","",IF(AND(p_Repartition="Lissée jusqu'à la date de besoin",ISNUMBER(INDEX(Charge!$F:$F,ROW()))),IF(INDEX(Charge!$F:$F,ROW())&gt;=I449,INDEX(Charge!$F:$F,ROW()),I449),I449))</f>
        <v/>
      </c>
      <c r="K449" t="str">
        <f>IF(I449="","",NETWORKDAYS(I449,J449,Data!$K$4:$K$203))</f>
        <v/>
      </c>
      <c r="L449" t="str">
        <f>IF(D449=1,COUNTIFS($D$4:$D$503,1,$E$4:$E$503,"&gt;"&amp;E449)+COUNTIFS($D$4:$D449,1,$E$4:$E449,E449),"")</f>
        <v/>
      </c>
      <c r="M449">
        <f>IF(F449="",0,IF(COUNTIF($F$4:F449,F449)=1,1,0))</f>
        <v>0</v>
      </c>
      <c r="N449" t="str">
        <f>IF(M449=1,ROUND(SUMIF($F$4:$F$503,F449,$E$4:$E$503),2),"")</f>
        <v/>
      </c>
      <c r="O449" t="str">
        <f>IF(M449=1,COUNTIFS($M$4:$M$503,1,$N$4:$N$503,"&gt;"&amp;N449)+COUNTIFS($M$4:M449,1,$N$4:N449,N449),"")</f>
        <v/>
      </c>
      <c r="P449">
        <f>IF(G449="",0,IF(COUNTIF($G$4:G449,G449)=1,1,0))</f>
        <v>0</v>
      </c>
      <c r="Q449" t="str">
        <f>IF(P449=1,ROUND(SUMIF($G$4:$G$503,G449,$E$4:$E$503),2),"")</f>
        <v/>
      </c>
      <c r="R449" t="str">
        <f>IF(P449=1,COUNTIFS($P$4:$P$503,1,$Q$4:$Q$503,"&gt;"&amp;Q449)+COUNTIFS($P$4:P449,1,$Q$4:Q449,Q449),"")</f>
        <v/>
      </c>
      <c r="S449">
        <f>IF(H449="",0,IF(COUNTIF($H$4:H449,H449)=1,1,0))</f>
        <v>0</v>
      </c>
      <c r="T449" t="str">
        <f>IF(S449=1,ROUND(SUMIF($H$4:$H$503,H449,$E$4:$E$503),2),"")</f>
        <v/>
      </c>
      <c r="U449" t="str">
        <f>IF(S449=1,COUNTIFS($S$4:$S$503,1,$T$4:$T$503,"&gt;"&amp;T449)+COUNTIFS($S$4:S449,1,$T$4:T449,T449),"")</f>
        <v/>
      </c>
      <c r="V449" t="str">
        <f>IF(D449=1,MIN(INDEX($R$4:$R$503,MATCH(G449,$G$4:$G$503,0)),IF($AL$7&gt;9,9,999)),"")</f>
        <v/>
      </c>
      <c r="W449" s="166">
        <f>IF(OR($I449="",$E449=0),0,IF(OR($J449&lt;W$3,$I449&gt;W$2),0,IF($K449=0,IF(AND($I449&gt;=W$3,$I449&lt;=W$2),$E449,0),$E449*NETWORKDAYS(MAX($I449,W$3),MIN($J449,W$2),Data!$K$4:$K$203)/$K449)))</f>
        <v>0</v>
      </c>
      <c r="X449" s="166">
        <f>IF(OR($I449="",$E449=0),0,IF(OR($J449&lt;X$3,$I449&gt;X$2),0,IF($K449=0,IF(AND($I449&gt;=X$3,$I449&lt;=X$2),$E449,0),$E449*NETWORKDAYS(MAX($I449,X$3),MIN($J449,X$2),Data!$K$4:$K$203)/$K449)))</f>
        <v>0</v>
      </c>
      <c r="Y449" s="166">
        <f>IF(OR($I449="",$E449=0),0,IF(OR($J449&lt;Y$3,$I449&gt;Y$2),0,IF($K449=0,IF(AND($I449&gt;=Y$3,$I449&lt;=Y$2),$E449,0),$E449*NETWORKDAYS(MAX($I449,Y$3),MIN($J449,Y$2),Data!$K$4:$K$203)/$K449)))</f>
        <v>0</v>
      </c>
      <c r="Z449" s="166">
        <f>IF(OR($I449="",$E449=0),0,IF(OR($J449&lt;Z$3,$I449&gt;Z$2),0,IF($K449=0,IF(AND($I449&gt;=Z$3,$I449&lt;=Z$2),$E449,0),$E449*NETWORKDAYS(MAX($I449,Z$3),MIN($J449,Z$2),Data!$K$4:$K$203)/$K449)))</f>
        <v>0</v>
      </c>
      <c r="AA449" s="166">
        <f>IF(OR($I449="",$E449=0),0,IF(OR($J449&lt;AA$3,$I449&gt;AA$2),0,IF($K449=0,IF(AND($I449&gt;=AA$3,$I449&lt;=AA$2),$E449,0),$E449*NETWORKDAYS(MAX($I449,AA$3),MIN($J449,AA$2),Data!$K$4:$K$203)/$K449)))</f>
        <v>0</v>
      </c>
      <c r="AB449" s="166">
        <f>IF(OR($I449="",$E449=0),0,IF(OR($J449&lt;AB$3,$I449&gt;AB$2),0,IF($K449=0,IF(AND($I449&gt;=AB$3,$I449&lt;=AB$2),$E449,0),$E449*NETWORKDAYS(MAX($I449,AB$3),MIN($J449,AB$2),Data!$K$4:$K$203)/$K449)))</f>
        <v>0</v>
      </c>
      <c r="AC449" s="166">
        <f>IF(OR($I449="",$E449=0),0,IF(OR($J449&lt;AC$3,$I449&gt;AC$2),0,IF($K449=0,IF(AND($I449&gt;=AC$3,$I449&lt;=AC$2),$E449,0),$E449*NETWORKDAYS(MAX($I449,AC$3),MIN($J449,AC$2),Data!$K$4:$K$203)/$K449)))</f>
        <v>0</v>
      </c>
      <c r="AD449" s="166">
        <f>IF(OR($I449="",$E449=0),0,IF(OR($J449&lt;AD$3,$I449&gt;AD$2),0,IF($K449=0,IF(AND($I449&gt;=AD$3,$I449&lt;=AD$2),$E449,0),$E449*NETWORKDAYS(MAX($I449,AD$3),MIN($J449,AD$2),Data!$K$4:$K$203)/$K449)))</f>
        <v>0</v>
      </c>
      <c r="AE449" s="166">
        <f>IF(OR($I449="",$E449=0),0,IF(OR($J449&lt;AE$3,$I449&gt;AE$2),0,IF($K449=0,IF(AND($I449&gt;=AE$3,$I449&lt;=AE$2),$E449,0),$E449*NETWORKDAYS(MAX($I449,AE$3),MIN($J449,AE$2),Data!$K$4:$K$203)/$K449)))</f>
        <v>0</v>
      </c>
      <c r="AF449" s="166">
        <f>IF(OR($I449="",$E449=0),0,IF(OR($J449&lt;AF$3,$I449&gt;AF$2),0,IF($K449=0,IF(AND($I449&gt;=AF$3,$I449&lt;=AF$2),$E449,0),$E449*NETWORKDAYS(MAX($I449,AF$3),MIN($J449,AF$2),Data!$K$4:$K$203)/$K449)))</f>
        <v>0</v>
      </c>
      <c r="AG449" s="166">
        <f>IF(OR($I449="",$E449=0),0,IF(OR($J449&lt;AG$3,$I449&gt;AG$2),0,IF($K449=0,IF(AND($I449&gt;=AG$3,$I449&lt;=AG$2),$E449,0),$E449*NETWORKDAYS(MAX($I449,AG$3),MIN($J449,AG$2),Data!$K$4:$K$203)/$K449)))</f>
        <v>0</v>
      </c>
      <c r="AH449" s="166">
        <f>IF(OR($I449="",$E449=0),0,IF(OR($J449&lt;AH$3,$I449&gt;AH$2),0,IF($K449=0,IF(AND($I449&gt;=AH$3,$I449&lt;=AH$2),$E449,0),$E449*NETWORKDAYS(MAX($I449,AH$3),MIN($J449,AH$2),Data!$K$4:$K$203)/$K449)))</f>
        <v>0</v>
      </c>
      <c r="AI449" s="166">
        <f>SUM(W449:AH449)</f>
        <v>0</v>
      </c>
      <c r="BZ449" t="str">
        <f>IF(D449=1,IF(TRIM(INDEX(Charge!$K:$K,ROW()))&lt;&gt;"",TRIM(INDEX(Charge!$K:$K,ROW())),IF(TRIM(INDEX(Charge!$L:$L,ROW()))&lt;&gt;"",TRIM(INDEX(Charge!$L:$L,ROW())),"(non affecté)")),"")</f>
        <v/>
      </c>
      <c r="CA449" t="str">
        <f>IF(AND($CD$4&lt;&gt;"",BZ449=$CD$4),COUNTIFS($BZ$4:$BZ$503,$CD$4,$L$4:$L$503,"&lt;"&amp;L449)+1,"")</f>
        <v/>
      </c>
      <c r="EM449" t="str">
        <f>IF(D449=1,IF(TRIM(INDEX(Charge!$K:$K,ROW()))&lt;&gt;"","Interne",IF(TRIM(INDEX(Charge!$L:$L,ROW()))&lt;&gt;"","Externe","Non affecté")),"")</f>
        <v/>
      </c>
      <c r="EN449" t="str">
        <f>IF(D449=1,LEFT(SUBSTITUTE(SUBSTITUTE(SUBSTITUTE(TRIM(SUBSTITUTE(INDEX(Charge!$B:$B,ROW()),CHAR(160)," "))&amp;" | "&amp;TRIM(SUBSTITUTE(INDEX(Charge!$C:$C,ROW()),CHAR(160)," "))&amp;" | "&amp;TRIM(SUBSTITUTE(INDEX(Charge!$D:$D,ROW()),CHAR(160)," ")),"~","-"),"*","+"),"?","!"),240),"")</f>
        <v/>
      </c>
      <c r="EO449">
        <f>IF(EN449="",0,IF(COUNTIF($EN$4:EN449,EN449)=1,1,0))</f>
        <v>0</v>
      </c>
      <c r="EP449" s="166" t="str">
        <f>IF(EO449=1,ROUND(SUMIF($EN$4:$EN$503,EN449,$E$4:$E$503),2),"")</f>
        <v/>
      </c>
      <c r="EQ449" t="str">
        <f>IF(EO449=1,COUNTIFS($EO$4:$EO$503,1,$EP$4:$EP$503,"&gt;"&amp;EP449)+COUNTIFS($EO$4:EO449,1,$EP$4:EP449,EP449),"")</f>
        <v/>
      </c>
      <c r="ER449" t="str">
        <f>IF(EO449=1,COUNTIFS($EN$4:$EN$503,EN449,$EM$4:$EM$503,"Interne",$FE$4:$FE$503,1),"")</f>
        <v/>
      </c>
      <c r="ES449" t="str">
        <f>IF(EO449=1,COUNTIFS($EN$4:$EN$503,EN449,$EM$4:$EM$503,"Externe",$FE$4:$FE$503,1),"")</f>
        <v/>
      </c>
      <c r="ET449" t="str">
        <f>IF(EO449=1,IF(ER449+ES449=0,"à affecter",IF(ER449=0,ES449&amp;" ext.",(ER449+ES449)&amp;IF(ES449&gt;0," dont "&amp;ES449&amp;" ext.",""))&amp;IF(COUNTIFS($EN$4:$EN$503,EN449,$EM$4:$EM$503,"Non affecté")&gt;0," + à affecter","")),"")</f>
        <v/>
      </c>
      <c r="EU449" s="170" t="str">
        <f>IF(EO449=1,IF(EP449&gt;0,SUMPRODUCT(($EN$4:$EN$503=EN449)*$E$4:$E$503*$C$4:$C$503)/EP449,AVERAGEIF($EN$4:$EN$503,EN449,$C$4:$C$503)),"")</f>
        <v/>
      </c>
      <c r="EV449" s="165">
        <f>IF(ISNUMBER(I449),I449,2958465)</f>
        <v>2958465.0</v>
      </c>
      <c r="EW449" s="165" t="str">
        <f>IF(EO449=1,SUMPRODUCT(MIN(($EN$4:$EN$503=EN449)*$EV$4:$EV$503+($EN$4:$EN$503&lt;&gt;EN449)*2958465)),"")</f>
        <v/>
      </c>
      <c r="EX449" s="165">
        <f>IF(AND(D449=1,ISNUMBER(INDEX(Charge!$F:$F,ROW()))),INDEX(Charge!$F:$F,ROW()),0)</f>
        <v>0.0</v>
      </c>
      <c r="EY449" s="165" t="str">
        <f>IF(EO449=1,SUMPRODUCT(MAX(($EN$4:$EN$503=EN449)*$EX$4:$EX$503)),"")</f>
        <v/>
      </c>
      <c r="FD449">
        <f>IF(AND(B449=1,TRIM(INDEX(Charge!$K:$K,ROW()))&lt;&gt;"",TRIM(INDEX(Charge!$L:$L,ROW()))&lt;&gt;""),1,0)</f>
        <v>0</v>
      </c>
      <c r="FE449">
        <f>IF(OR(EN449="",BZ449="(non affecté)"),0,IF(COUNTIFS($EN$4:EN449,EN449,$BZ$4:BZ449,BZ449)=1,1,0))</f>
        <v>0</v>
      </c>
    </row>
    <row r="450">
      <c r="A450">
        <f>ROW()</f>
        <v>450</v>
      </c>
      <c r="B450">
        <f>IF(TRIM(INDEX(Charge!$B:$B,ROW()))&lt;&gt;"",1,0)</f>
        <v>0</v>
      </c>
      <c r="C450">
        <f>IF(B450=1,MIN(1,MAX(0,N(INDEX(Charge!$O:$O,ROW())))),0)</f>
        <v>0</v>
      </c>
      <c r="D450">
        <f>IF(B450=1,IF(OR(p_Perimetre="Tous les projets",C450&lt;1),1,0),0)</f>
        <v>0</v>
      </c>
      <c r="E450">
        <f>IF(D450=1,MAX(0,N(INDEX(Charge!$M:$M,ROW()))),0)</f>
        <v>0</v>
      </c>
      <c r="F450" t="str">
        <f>IF(D450=1,IF(TRIM(INDEX(Charge!$A:$A,ROW()))="","(non renseigné)",TRIM(INDEX(Charge!$A:$A,ROW()))),"")</f>
        <v/>
      </c>
      <c r="G450" t="str">
        <f>IF(D450=1,TRIM(INDEX(Charge!$B:$B,ROW())),"")</f>
        <v/>
      </c>
      <c r="H450" t="str">
        <f>IF(D450=1,IF(TRIM(INDEX(Charge!$E:$E,ROW()))="","(non renseigné)",TRIM(INDEX(Charge!$E:$E,ROW()))),"")</f>
        <v/>
      </c>
      <c r="I450" s="165" t="str">
        <f>IF(AND(D450=1,ISNUMBER(INDEX(Charge!$N:$N,ROW()))),INDEX(Charge!$N:$N,ROW()),"")</f>
        <v/>
      </c>
      <c r="J450" s="165" t="str">
        <f>IF(I450="","",IF(AND(p_Repartition="Lissée jusqu'à la date de besoin",ISNUMBER(INDEX(Charge!$F:$F,ROW()))),IF(INDEX(Charge!$F:$F,ROW())&gt;=I450,INDEX(Charge!$F:$F,ROW()),I450),I450))</f>
        <v/>
      </c>
      <c r="K450" t="str">
        <f>IF(I450="","",NETWORKDAYS(I450,J450,Data!$K$4:$K$203))</f>
        <v/>
      </c>
      <c r="L450" t="str">
        <f>IF(D450=1,COUNTIFS($D$4:$D$503,1,$E$4:$E$503,"&gt;"&amp;E450)+COUNTIFS($D$4:$D450,1,$E$4:$E450,E450),"")</f>
        <v/>
      </c>
      <c r="M450">
        <f>IF(F450="",0,IF(COUNTIF($F$4:F450,F450)=1,1,0))</f>
        <v>0</v>
      </c>
      <c r="N450" t="str">
        <f>IF(M450=1,ROUND(SUMIF($F$4:$F$503,F450,$E$4:$E$503),2),"")</f>
        <v/>
      </c>
      <c r="O450" t="str">
        <f>IF(M450=1,COUNTIFS($M$4:$M$503,1,$N$4:$N$503,"&gt;"&amp;N450)+COUNTIFS($M$4:M450,1,$N$4:N450,N450),"")</f>
        <v/>
      </c>
      <c r="P450">
        <f>IF(G450="",0,IF(COUNTIF($G$4:G450,G450)=1,1,0))</f>
        <v>0</v>
      </c>
      <c r="Q450" t="str">
        <f>IF(P450=1,ROUND(SUMIF($G$4:$G$503,G450,$E$4:$E$503),2),"")</f>
        <v/>
      </c>
      <c r="R450" t="str">
        <f>IF(P450=1,COUNTIFS($P$4:$P$503,1,$Q$4:$Q$503,"&gt;"&amp;Q450)+COUNTIFS($P$4:P450,1,$Q$4:Q450,Q450),"")</f>
        <v/>
      </c>
      <c r="S450">
        <f>IF(H450="",0,IF(COUNTIF($H$4:H450,H450)=1,1,0))</f>
        <v>0</v>
      </c>
      <c r="T450" t="str">
        <f>IF(S450=1,ROUND(SUMIF($H$4:$H$503,H450,$E$4:$E$503),2),"")</f>
        <v/>
      </c>
      <c r="U450" t="str">
        <f>IF(S450=1,COUNTIFS($S$4:$S$503,1,$T$4:$T$503,"&gt;"&amp;T450)+COUNTIFS($S$4:S450,1,$T$4:T450,T450),"")</f>
        <v/>
      </c>
      <c r="V450" t="str">
        <f>IF(D450=1,MIN(INDEX($R$4:$R$503,MATCH(G450,$G$4:$G$503,0)),IF($AL$7&gt;9,9,999)),"")</f>
        <v/>
      </c>
      <c r="W450" s="166">
        <f>IF(OR($I450="",$E450=0),0,IF(OR($J450&lt;W$3,$I450&gt;W$2),0,IF($K450=0,IF(AND($I450&gt;=W$3,$I450&lt;=W$2),$E450,0),$E450*NETWORKDAYS(MAX($I450,W$3),MIN($J450,W$2),Data!$K$4:$K$203)/$K450)))</f>
        <v>0</v>
      </c>
      <c r="X450" s="166">
        <f>IF(OR($I450="",$E450=0),0,IF(OR($J450&lt;X$3,$I450&gt;X$2),0,IF($K450=0,IF(AND($I450&gt;=X$3,$I450&lt;=X$2),$E450,0),$E450*NETWORKDAYS(MAX($I450,X$3),MIN($J450,X$2),Data!$K$4:$K$203)/$K450)))</f>
        <v>0</v>
      </c>
      <c r="Y450" s="166">
        <f>IF(OR($I450="",$E450=0),0,IF(OR($J450&lt;Y$3,$I450&gt;Y$2),0,IF($K450=0,IF(AND($I450&gt;=Y$3,$I450&lt;=Y$2),$E450,0),$E450*NETWORKDAYS(MAX($I450,Y$3),MIN($J450,Y$2),Data!$K$4:$K$203)/$K450)))</f>
        <v>0</v>
      </c>
      <c r="Z450" s="166">
        <f>IF(OR($I450="",$E450=0),0,IF(OR($J450&lt;Z$3,$I450&gt;Z$2),0,IF($K450=0,IF(AND($I450&gt;=Z$3,$I450&lt;=Z$2),$E450,0),$E450*NETWORKDAYS(MAX($I450,Z$3),MIN($J450,Z$2),Data!$K$4:$K$203)/$K450)))</f>
        <v>0</v>
      </c>
      <c r="AA450" s="166">
        <f>IF(OR($I450="",$E450=0),0,IF(OR($J450&lt;AA$3,$I450&gt;AA$2),0,IF($K450=0,IF(AND($I450&gt;=AA$3,$I450&lt;=AA$2),$E450,0),$E450*NETWORKDAYS(MAX($I450,AA$3),MIN($J450,AA$2),Data!$K$4:$K$203)/$K450)))</f>
        <v>0</v>
      </c>
      <c r="AB450" s="166">
        <f>IF(OR($I450="",$E450=0),0,IF(OR($J450&lt;AB$3,$I450&gt;AB$2),0,IF($K450=0,IF(AND($I450&gt;=AB$3,$I450&lt;=AB$2),$E450,0),$E450*NETWORKDAYS(MAX($I450,AB$3),MIN($J450,AB$2),Data!$K$4:$K$203)/$K450)))</f>
        <v>0</v>
      </c>
      <c r="AC450" s="166">
        <f>IF(OR($I450="",$E450=0),0,IF(OR($J450&lt;AC$3,$I450&gt;AC$2),0,IF($K450=0,IF(AND($I450&gt;=AC$3,$I450&lt;=AC$2),$E450,0),$E450*NETWORKDAYS(MAX($I450,AC$3),MIN($J450,AC$2),Data!$K$4:$K$203)/$K450)))</f>
        <v>0</v>
      </c>
      <c r="AD450" s="166">
        <f>IF(OR($I450="",$E450=0),0,IF(OR($J450&lt;AD$3,$I450&gt;AD$2),0,IF($K450=0,IF(AND($I450&gt;=AD$3,$I450&lt;=AD$2),$E450,0),$E450*NETWORKDAYS(MAX($I450,AD$3),MIN($J450,AD$2),Data!$K$4:$K$203)/$K450)))</f>
        <v>0</v>
      </c>
      <c r="AE450" s="166">
        <f>IF(OR($I450="",$E450=0),0,IF(OR($J450&lt;AE$3,$I450&gt;AE$2),0,IF($K450=0,IF(AND($I450&gt;=AE$3,$I450&lt;=AE$2),$E450,0),$E450*NETWORKDAYS(MAX($I450,AE$3),MIN($J450,AE$2),Data!$K$4:$K$203)/$K450)))</f>
        <v>0</v>
      </c>
      <c r="AF450" s="166">
        <f>IF(OR($I450="",$E450=0),0,IF(OR($J450&lt;AF$3,$I450&gt;AF$2),0,IF($K450=0,IF(AND($I450&gt;=AF$3,$I450&lt;=AF$2),$E450,0),$E450*NETWORKDAYS(MAX($I450,AF$3),MIN($J450,AF$2),Data!$K$4:$K$203)/$K450)))</f>
        <v>0</v>
      </c>
      <c r="AG450" s="166">
        <f>IF(OR($I450="",$E450=0),0,IF(OR($J450&lt;AG$3,$I450&gt;AG$2),0,IF($K450=0,IF(AND($I450&gt;=AG$3,$I450&lt;=AG$2),$E450,0),$E450*NETWORKDAYS(MAX($I450,AG$3),MIN($J450,AG$2),Data!$K$4:$K$203)/$K450)))</f>
        <v>0</v>
      </c>
      <c r="AH450" s="166">
        <f>IF(OR($I450="",$E450=0),0,IF(OR($J450&lt;AH$3,$I450&gt;AH$2),0,IF($K450=0,IF(AND($I450&gt;=AH$3,$I450&lt;=AH$2),$E450,0),$E450*NETWORKDAYS(MAX($I450,AH$3),MIN($J450,AH$2),Data!$K$4:$K$203)/$K450)))</f>
        <v>0</v>
      </c>
      <c r="AI450" s="166">
        <f>SUM(W450:AH450)</f>
        <v>0</v>
      </c>
      <c r="BZ450" t="str">
        <f>IF(D450=1,IF(TRIM(INDEX(Charge!$K:$K,ROW()))&lt;&gt;"",TRIM(INDEX(Charge!$K:$K,ROW())),IF(TRIM(INDEX(Charge!$L:$L,ROW()))&lt;&gt;"",TRIM(INDEX(Charge!$L:$L,ROW())),"(non affecté)")),"")</f>
        <v/>
      </c>
      <c r="CA450" t="str">
        <f>IF(AND($CD$4&lt;&gt;"",BZ450=$CD$4),COUNTIFS($BZ$4:$BZ$503,$CD$4,$L$4:$L$503,"&lt;"&amp;L450)+1,"")</f>
        <v/>
      </c>
      <c r="EM450" t="str">
        <f>IF(D450=1,IF(TRIM(INDEX(Charge!$K:$K,ROW()))&lt;&gt;"","Interne",IF(TRIM(INDEX(Charge!$L:$L,ROW()))&lt;&gt;"","Externe","Non affecté")),"")</f>
        <v/>
      </c>
      <c r="EN450" t="str">
        <f>IF(D450=1,LEFT(SUBSTITUTE(SUBSTITUTE(SUBSTITUTE(TRIM(SUBSTITUTE(INDEX(Charge!$B:$B,ROW()),CHAR(160)," "))&amp;" | "&amp;TRIM(SUBSTITUTE(INDEX(Charge!$C:$C,ROW()),CHAR(160)," "))&amp;" | "&amp;TRIM(SUBSTITUTE(INDEX(Charge!$D:$D,ROW()),CHAR(160)," ")),"~","-"),"*","+"),"?","!"),240),"")</f>
        <v/>
      </c>
      <c r="EO450">
        <f>IF(EN450="",0,IF(COUNTIF($EN$4:EN450,EN450)=1,1,0))</f>
        <v>0</v>
      </c>
      <c r="EP450" s="166" t="str">
        <f>IF(EO450=1,ROUND(SUMIF($EN$4:$EN$503,EN450,$E$4:$E$503),2),"")</f>
        <v/>
      </c>
      <c r="EQ450" t="str">
        <f>IF(EO450=1,COUNTIFS($EO$4:$EO$503,1,$EP$4:$EP$503,"&gt;"&amp;EP450)+COUNTIFS($EO$4:EO450,1,$EP$4:EP450,EP450),"")</f>
        <v/>
      </c>
      <c r="ER450" t="str">
        <f>IF(EO450=1,COUNTIFS($EN$4:$EN$503,EN450,$EM$4:$EM$503,"Interne",$FE$4:$FE$503,1),"")</f>
        <v/>
      </c>
      <c r="ES450" t="str">
        <f>IF(EO450=1,COUNTIFS($EN$4:$EN$503,EN450,$EM$4:$EM$503,"Externe",$FE$4:$FE$503,1),"")</f>
        <v/>
      </c>
      <c r="ET450" t="str">
        <f>IF(EO450=1,IF(ER450+ES450=0,"à affecter",IF(ER450=0,ES450&amp;" ext.",(ER450+ES450)&amp;IF(ES450&gt;0," dont "&amp;ES450&amp;" ext.",""))&amp;IF(COUNTIFS($EN$4:$EN$503,EN450,$EM$4:$EM$503,"Non affecté")&gt;0," + à affecter","")),"")</f>
        <v/>
      </c>
      <c r="EU450" s="170" t="str">
        <f>IF(EO450=1,IF(EP450&gt;0,SUMPRODUCT(($EN$4:$EN$503=EN450)*$E$4:$E$503*$C$4:$C$503)/EP450,AVERAGEIF($EN$4:$EN$503,EN450,$C$4:$C$503)),"")</f>
        <v/>
      </c>
      <c r="EV450" s="165">
        <f>IF(ISNUMBER(I450),I450,2958465)</f>
        <v>2958465.0</v>
      </c>
      <c r="EW450" s="165" t="str">
        <f>IF(EO450=1,SUMPRODUCT(MIN(($EN$4:$EN$503=EN450)*$EV$4:$EV$503+($EN$4:$EN$503&lt;&gt;EN450)*2958465)),"")</f>
        <v/>
      </c>
      <c r="EX450" s="165">
        <f>IF(AND(D450=1,ISNUMBER(INDEX(Charge!$F:$F,ROW()))),INDEX(Charge!$F:$F,ROW()),0)</f>
        <v>0.0</v>
      </c>
      <c r="EY450" s="165" t="str">
        <f>IF(EO450=1,SUMPRODUCT(MAX(($EN$4:$EN$503=EN450)*$EX$4:$EX$503)),"")</f>
        <v/>
      </c>
      <c r="FD450">
        <f>IF(AND(B450=1,TRIM(INDEX(Charge!$K:$K,ROW()))&lt;&gt;"",TRIM(INDEX(Charge!$L:$L,ROW()))&lt;&gt;""),1,0)</f>
        <v>0</v>
      </c>
      <c r="FE450">
        <f>IF(OR(EN450="",BZ450="(non affecté)"),0,IF(COUNTIFS($EN$4:EN450,EN450,$BZ$4:BZ450,BZ450)=1,1,0))</f>
        <v>0</v>
      </c>
    </row>
    <row r="451">
      <c r="A451">
        <f>ROW()</f>
        <v>451</v>
      </c>
      <c r="B451">
        <f>IF(TRIM(INDEX(Charge!$B:$B,ROW()))&lt;&gt;"",1,0)</f>
        <v>0</v>
      </c>
      <c r="C451">
        <f>IF(B451=1,MIN(1,MAX(0,N(INDEX(Charge!$O:$O,ROW())))),0)</f>
        <v>0</v>
      </c>
      <c r="D451">
        <f>IF(B451=1,IF(OR(p_Perimetre="Tous les projets",C451&lt;1),1,0),0)</f>
        <v>0</v>
      </c>
      <c r="E451">
        <f>IF(D451=1,MAX(0,N(INDEX(Charge!$M:$M,ROW()))),0)</f>
        <v>0</v>
      </c>
      <c r="F451" t="str">
        <f>IF(D451=1,IF(TRIM(INDEX(Charge!$A:$A,ROW()))="","(non renseigné)",TRIM(INDEX(Charge!$A:$A,ROW()))),"")</f>
        <v/>
      </c>
      <c r="G451" t="str">
        <f>IF(D451=1,TRIM(INDEX(Charge!$B:$B,ROW())),"")</f>
        <v/>
      </c>
      <c r="H451" t="str">
        <f>IF(D451=1,IF(TRIM(INDEX(Charge!$E:$E,ROW()))="","(non renseigné)",TRIM(INDEX(Charge!$E:$E,ROW()))),"")</f>
        <v/>
      </c>
      <c r="I451" s="165" t="str">
        <f>IF(AND(D451=1,ISNUMBER(INDEX(Charge!$N:$N,ROW()))),INDEX(Charge!$N:$N,ROW()),"")</f>
        <v/>
      </c>
      <c r="J451" s="165" t="str">
        <f>IF(I451="","",IF(AND(p_Repartition="Lissée jusqu'à la date de besoin",ISNUMBER(INDEX(Charge!$F:$F,ROW()))),IF(INDEX(Charge!$F:$F,ROW())&gt;=I451,INDEX(Charge!$F:$F,ROW()),I451),I451))</f>
        <v/>
      </c>
      <c r="K451" t="str">
        <f>IF(I451="","",NETWORKDAYS(I451,J451,Data!$K$4:$K$203))</f>
        <v/>
      </c>
      <c r="L451" t="str">
        <f>IF(D451=1,COUNTIFS($D$4:$D$503,1,$E$4:$E$503,"&gt;"&amp;E451)+COUNTIFS($D$4:$D451,1,$E$4:$E451,E451),"")</f>
        <v/>
      </c>
      <c r="M451">
        <f>IF(F451="",0,IF(COUNTIF($F$4:F451,F451)=1,1,0))</f>
        <v>0</v>
      </c>
      <c r="N451" t="str">
        <f>IF(M451=1,ROUND(SUMIF($F$4:$F$503,F451,$E$4:$E$503),2),"")</f>
        <v/>
      </c>
      <c r="O451" t="str">
        <f>IF(M451=1,COUNTIFS($M$4:$M$503,1,$N$4:$N$503,"&gt;"&amp;N451)+COUNTIFS($M$4:M451,1,$N$4:N451,N451),"")</f>
        <v/>
      </c>
      <c r="P451">
        <f>IF(G451="",0,IF(COUNTIF($G$4:G451,G451)=1,1,0))</f>
        <v>0</v>
      </c>
      <c r="Q451" t="str">
        <f>IF(P451=1,ROUND(SUMIF($G$4:$G$503,G451,$E$4:$E$503),2),"")</f>
        <v/>
      </c>
      <c r="R451" t="str">
        <f>IF(P451=1,COUNTIFS($P$4:$P$503,1,$Q$4:$Q$503,"&gt;"&amp;Q451)+COUNTIFS($P$4:P451,1,$Q$4:Q451,Q451),"")</f>
        <v/>
      </c>
      <c r="S451">
        <f>IF(H451="",0,IF(COUNTIF($H$4:H451,H451)=1,1,0))</f>
        <v>0</v>
      </c>
      <c r="T451" t="str">
        <f>IF(S451=1,ROUND(SUMIF($H$4:$H$503,H451,$E$4:$E$503),2),"")</f>
        <v/>
      </c>
      <c r="U451" t="str">
        <f>IF(S451=1,COUNTIFS($S$4:$S$503,1,$T$4:$T$503,"&gt;"&amp;T451)+COUNTIFS($S$4:S451,1,$T$4:T451,T451),"")</f>
        <v/>
      </c>
      <c r="V451" t="str">
        <f>IF(D451=1,MIN(INDEX($R$4:$R$503,MATCH(G451,$G$4:$G$503,0)),IF($AL$7&gt;9,9,999)),"")</f>
        <v/>
      </c>
      <c r="W451" s="166">
        <f>IF(OR($I451="",$E451=0),0,IF(OR($J451&lt;W$3,$I451&gt;W$2),0,IF($K451=0,IF(AND($I451&gt;=W$3,$I451&lt;=W$2),$E451,0),$E451*NETWORKDAYS(MAX($I451,W$3),MIN($J451,W$2),Data!$K$4:$K$203)/$K451)))</f>
        <v>0</v>
      </c>
      <c r="X451" s="166">
        <f>IF(OR($I451="",$E451=0),0,IF(OR($J451&lt;X$3,$I451&gt;X$2),0,IF($K451=0,IF(AND($I451&gt;=X$3,$I451&lt;=X$2),$E451,0),$E451*NETWORKDAYS(MAX($I451,X$3),MIN($J451,X$2),Data!$K$4:$K$203)/$K451)))</f>
        <v>0</v>
      </c>
      <c r="Y451" s="166">
        <f>IF(OR($I451="",$E451=0),0,IF(OR($J451&lt;Y$3,$I451&gt;Y$2),0,IF($K451=0,IF(AND($I451&gt;=Y$3,$I451&lt;=Y$2),$E451,0),$E451*NETWORKDAYS(MAX($I451,Y$3),MIN($J451,Y$2),Data!$K$4:$K$203)/$K451)))</f>
        <v>0</v>
      </c>
      <c r="Z451" s="166">
        <f>IF(OR($I451="",$E451=0),0,IF(OR($J451&lt;Z$3,$I451&gt;Z$2),0,IF($K451=0,IF(AND($I451&gt;=Z$3,$I451&lt;=Z$2),$E451,0),$E451*NETWORKDAYS(MAX($I451,Z$3),MIN($J451,Z$2),Data!$K$4:$K$203)/$K451)))</f>
        <v>0</v>
      </c>
      <c r="AA451" s="166">
        <f>IF(OR($I451="",$E451=0),0,IF(OR($J451&lt;AA$3,$I451&gt;AA$2),0,IF($K451=0,IF(AND($I451&gt;=AA$3,$I451&lt;=AA$2),$E451,0),$E451*NETWORKDAYS(MAX($I451,AA$3),MIN($J451,AA$2),Data!$K$4:$K$203)/$K451)))</f>
        <v>0</v>
      </c>
      <c r="AB451" s="166">
        <f>IF(OR($I451="",$E451=0),0,IF(OR($J451&lt;AB$3,$I451&gt;AB$2),0,IF($K451=0,IF(AND($I451&gt;=AB$3,$I451&lt;=AB$2),$E451,0),$E451*NETWORKDAYS(MAX($I451,AB$3),MIN($J451,AB$2),Data!$K$4:$K$203)/$K451)))</f>
        <v>0</v>
      </c>
      <c r="AC451" s="166">
        <f>IF(OR($I451="",$E451=0),0,IF(OR($J451&lt;AC$3,$I451&gt;AC$2),0,IF($K451=0,IF(AND($I451&gt;=AC$3,$I451&lt;=AC$2),$E451,0),$E451*NETWORKDAYS(MAX($I451,AC$3),MIN($J451,AC$2),Data!$K$4:$K$203)/$K451)))</f>
        <v>0</v>
      </c>
      <c r="AD451" s="166">
        <f>IF(OR($I451="",$E451=0),0,IF(OR($J451&lt;AD$3,$I451&gt;AD$2),0,IF($K451=0,IF(AND($I451&gt;=AD$3,$I451&lt;=AD$2),$E451,0),$E451*NETWORKDAYS(MAX($I451,AD$3),MIN($J451,AD$2),Data!$K$4:$K$203)/$K451)))</f>
        <v>0</v>
      </c>
      <c r="AE451" s="166">
        <f>IF(OR($I451="",$E451=0),0,IF(OR($J451&lt;AE$3,$I451&gt;AE$2),0,IF($K451=0,IF(AND($I451&gt;=AE$3,$I451&lt;=AE$2),$E451,0),$E451*NETWORKDAYS(MAX($I451,AE$3),MIN($J451,AE$2),Data!$K$4:$K$203)/$K451)))</f>
        <v>0</v>
      </c>
      <c r="AF451" s="166">
        <f>IF(OR($I451="",$E451=0),0,IF(OR($J451&lt;AF$3,$I451&gt;AF$2),0,IF($K451=0,IF(AND($I451&gt;=AF$3,$I451&lt;=AF$2),$E451,0),$E451*NETWORKDAYS(MAX($I451,AF$3),MIN($J451,AF$2),Data!$K$4:$K$203)/$K451)))</f>
        <v>0</v>
      </c>
      <c r="AG451" s="166">
        <f>IF(OR($I451="",$E451=0),0,IF(OR($J451&lt;AG$3,$I451&gt;AG$2),0,IF($K451=0,IF(AND($I451&gt;=AG$3,$I451&lt;=AG$2),$E451,0),$E451*NETWORKDAYS(MAX($I451,AG$3),MIN($J451,AG$2),Data!$K$4:$K$203)/$K451)))</f>
        <v>0</v>
      </c>
      <c r="AH451" s="166">
        <f>IF(OR($I451="",$E451=0),0,IF(OR($J451&lt;AH$3,$I451&gt;AH$2),0,IF($K451=0,IF(AND($I451&gt;=AH$3,$I451&lt;=AH$2),$E451,0),$E451*NETWORKDAYS(MAX($I451,AH$3),MIN($J451,AH$2),Data!$K$4:$K$203)/$K451)))</f>
        <v>0</v>
      </c>
      <c r="AI451" s="166">
        <f>SUM(W451:AH451)</f>
        <v>0</v>
      </c>
      <c r="BZ451" t="str">
        <f>IF(D451=1,IF(TRIM(INDEX(Charge!$K:$K,ROW()))&lt;&gt;"",TRIM(INDEX(Charge!$K:$K,ROW())),IF(TRIM(INDEX(Charge!$L:$L,ROW()))&lt;&gt;"",TRIM(INDEX(Charge!$L:$L,ROW())),"(non affecté)")),"")</f>
        <v/>
      </c>
      <c r="CA451" t="str">
        <f>IF(AND($CD$4&lt;&gt;"",BZ451=$CD$4),COUNTIFS($BZ$4:$BZ$503,$CD$4,$L$4:$L$503,"&lt;"&amp;L451)+1,"")</f>
        <v/>
      </c>
      <c r="EM451" t="str">
        <f>IF(D451=1,IF(TRIM(INDEX(Charge!$K:$K,ROW()))&lt;&gt;"","Interne",IF(TRIM(INDEX(Charge!$L:$L,ROW()))&lt;&gt;"","Externe","Non affecté")),"")</f>
        <v/>
      </c>
      <c r="EN451" t="str">
        <f>IF(D451=1,LEFT(SUBSTITUTE(SUBSTITUTE(SUBSTITUTE(TRIM(SUBSTITUTE(INDEX(Charge!$B:$B,ROW()),CHAR(160)," "))&amp;" | "&amp;TRIM(SUBSTITUTE(INDEX(Charge!$C:$C,ROW()),CHAR(160)," "))&amp;" | "&amp;TRIM(SUBSTITUTE(INDEX(Charge!$D:$D,ROW()),CHAR(160)," ")),"~","-"),"*","+"),"?","!"),240),"")</f>
        <v/>
      </c>
      <c r="EO451">
        <f>IF(EN451="",0,IF(COUNTIF($EN$4:EN451,EN451)=1,1,0))</f>
        <v>0</v>
      </c>
      <c r="EP451" s="166" t="str">
        <f>IF(EO451=1,ROUND(SUMIF($EN$4:$EN$503,EN451,$E$4:$E$503),2),"")</f>
        <v/>
      </c>
      <c r="EQ451" t="str">
        <f>IF(EO451=1,COUNTIFS($EO$4:$EO$503,1,$EP$4:$EP$503,"&gt;"&amp;EP451)+COUNTIFS($EO$4:EO451,1,$EP$4:EP451,EP451),"")</f>
        <v/>
      </c>
      <c r="ER451" t="str">
        <f>IF(EO451=1,COUNTIFS($EN$4:$EN$503,EN451,$EM$4:$EM$503,"Interne",$FE$4:$FE$503,1),"")</f>
        <v/>
      </c>
      <c r="ES451" t="str">
        <f>IF(EO451=1,COUNTIFS($EN$4:$EN$503,EN451,$EM$4:$EM$503,"Externe",$FE$4:$FE$503,1),"")</f>
        <v/>
      </c>
      <c r="ET451" t="str">
        <f>IF(EO451=1,IF(ER451+ES451=0,"à affecter",IF(ER451=0,ES451&amp;" ext.",(ER451+ES451)&amp;IF(ES451&gt;0," dont "&amp;ES451&amp;" ext.",""))&amp;IF(COUNTIFS($EN$4:$EN$503,EN451,$EM$4:$EM$503,"Non affecté")&gt;0," + à affecter","")),"")</f>
        <v/>
      </c>
      <c r="EU451" s="170" t="str">
        <f>IF(EO451=1,IF(EP451&gt;0,SUMPRODUCT(($EN$4:$EN$503=EN451)*$E$4:$E$503*$C$4:$C$503)/EP451,AVERAGEIF($EN$4:$EN$503,EN451,$C$4:$C$503)),"")</f>
        <v/>
      </c>
      <c r="EV451" s="165">
        <f>IF(ISNUMBER(I451),I451,2958465)</f>
        <v>2958465.0</v>
      </c>
      <c r="EW451" s="165" t="str">
        <f>IF(EO451=1,SUMPRODUCT(MIN(($EN$4:$EN$503=EN451)*$EV$4:$EV$503+($EN$4:$EN$503&lt;&gt;EN451)*2958465)),"")</f>
        <v/>
      </c>
      <c r="EX451" s="165">
        <f>IF(AND(D451=1,ISNUMBER(INDEX(Charge!$F:$F,ROW()))),INDEX(Charge!$F:$F,ROW()),0)</f>
        <v>0.0</v>
      </c>
      <c r="EY451" s="165" t="str">
        <f>IF(EO451=1,SUMPRODUCT(MAX(($EN$4:$EN$503=EN451)*$EX$4:$EX$503)),"")</f>
        <v/>
      </c>
      <c r="FD451">
        <f>IF(AND(B451=1,TRIM(INDEX(Charge!$K:$K,ROW()))&lt;&gt;"",TRIM(INDEX(Charge!$L:$L,ROW()))&lt;&gt;""),1,0)</f>
        <v>0</v>
      </c>
      <c r="FE451">
        <f>IF(OR(EN451="",BZ451="(non affecté)"),0,IF(COUNTIFS($EN$4:EN451,EN451,$BZ$4:BZ451,BZ451)=1,1,0))</f>
        <v>0</v>
      </c>
    </row>
    <row r="452">
      <c r="A452">
        <f>ROW()</f>
        <v>452</v>
      </c>
      <c r="B452">
        <f>IF(TRIM(INDEX(Charge!$B:$B,ROW()))&lt;&gt;"",1,0)</f>
        <v>0</v>
      </c>
      <c r="C452">
        <f>IF(B452=1,MIN(1,MAX(0,N(INDEX(Charge!$O:$O,ROW())))),0)</f>
        <v>0</v>
      </c>
      <c r="D452">
        <f>IF(B452=1,IF(OR(p_Perimetre="Tous les projets",C452&lt;1),1,0),0)</f>
        <v>0</v>
      </c>
      <c r="E452">
        <f>IF(D452=1,MAX(0,N(INDEX(Charge!$M:$M,ROW()))),0)</f>
        <v>0</v>
      </c>
      <c r="F452" t="str">
        <f>IF(D452=1,IF(TRIM(INDEX(Charge!$A:$A,ROW()))="","(non renseigné)",TRIM(INDEX(Charge!$A:$A,ROW()))),"")</f>
        <v/>
      </c>
      <c r="G452" t="str">
        <f>IF(D452=1,TRIM(INDEX(Charge!$B:$B,ROW())),"")</f>
        <v/>
      </c>
      <c r="H452" t="str">
        <f>IF(D452=1,IF(TRIM(INDEX(Charge!$E:$E,ROW()))="","(non renseigné)",TRIM(INDEX(Charge!$E:$E,ROW()))),"")</f>
        <v/>
      </c>
      <c r="I452" s="165" t="str">
        <f>IF(AND(D452=1,ISNUMBER(INDEX(Charge!$N:$N,ROW()))),INDEX(Charge!$N:$N,ROW()),"")</f>
        <v/>
      </c>
      <c r="J452" s="165" t="str">
        <f>IF(I452="","",IF(AND(p_Repartition="Lissée jusqu'à la date de besoin",ISNUMBER(INDEX(Charge!$F:$F,ROW()))),IF(INDEX(Charge!$F:$F,ROW())&gt;=I452,INDEX(Charge!$F:$F,ROW()),I452),I452))</f>
        <v/>
      </c>
      <c r="K452" t="str">
        <f>IF(I452="","",NETWORKDAYS(I452,J452,Data!$K$4:$K$203))</f>
        <v/>
      </c>
      <c r="L452" t="str">
        <f>IF(D452=1,COUNTIFS($D$4:$D$503,1,$E$4:$E$503,"&gt;"&amp;E452)+COUNTIFS($D$4:$D452,1,$E$4:$E452,E452),"")</f>
        <v/>
      </c>
      <c r="M452">
        <f>IF(F452="",0,IF(COUNTIF($F$4:F452,F452)=1,1,0))</f>
        <v>0</v>
      </c>
      <c r="N452" t="str">
        <f>IF(M452=1,ROUND(SUMIF($F$4:$F$503,F452,$E$4:$E$503),2),"")</f>
        <v/>
      </c>
      <c r="O452" t="str">
        <f>IF(M452=1,COUNTIFS($M$4:$M$503,1,$N$4:$N$503,"&gt;"&amp;N452)+COUNTIFS($M$4:M452,1,$N$4:N452,N452),"")</f>
        <v/>
      </c>
      <c r="P452">
        <f>IF(G452="",0,IF(COUNTIF($G$4:G452,G452)=1,1,0))</f>
        <v>0</v>
      </c>
      <c r="Q452" t="str">
        <f>IF(P452=1,ROUND(SUMIF($G$4:$G$503,G452,$E$4:$E$503),2),"")</f>
        <v/>
      </c>
      <c r="R452" t="str">
        <f>IF(P452=1,COUNTIFS($P$4:$P$503,1,$Q$4:$Q$503,"&gt;"&amp;Q452)+COUNTIFS($P$4:P452,1,$Q$4:Q452,Q452),"")</f>
        <v/>
      </c>
      <c r="S452">
        <f>IF(H452="",0,IF(COUNTIF($H$4:H452,H452)=1,1,0))</f>
        <v>0</v>
      </c>
      <c r="T452" t="str">
        <f>IF(S452=1,ROUND(SUMIF($H$4:$H$503,H452,$E$4:$E$503),2),"")</f>
        <v/>
      </c>
      <c r="U452" t="str">
        <f>IF(S452=1,COUNTIFS($S$4:$S$503,1,$T$4:$T$503,"&gt;"&amp;T452)+COUNTIFS($S$4:S452,1,$T$4:T452,T452),"")</f>
        <v/>
      </c>
      <c r="V452" t="str">
        <f>IF(D452=1,MIN(INDEX($R$4:$R$503,MATCH(G452,$G$4:$G$503,0)),IF($AL$7&gt;9,9,999)),"")</f>
        <v/>
      </c>
      <c r="W452" s="166">
        <f>IF(OR($I452="",$E452=0),0,IF(OR($J452&lt;W$3,$I452&gt;W$2),0,IF($K452=0,IF(AND($I452&gt;=W$3,$I452&lt;=W$2),$E452,0),$E452*NETWORKDAYS(MAX($I452,W$3),MIN($J452,W$2),Data!$K$4:$K$203)/$K452)))</f>
        <v>0</v>
      </c>
      <c r="X452" s="166">
        <f>IF(OR($I452="",$E452=0),0,IF(OR($J452&lt;X$3,$I452&gt;X$2),0,IF($K452=0,IF(AND($I452&gt;=X$3,$I452&lt;=X$2),$E452,0),$E452*NETWORKDAYS(MAX($I452,X$3),MIN($J452,X$2),Data!$K$4:$K$203)/$K452)))</f>
        <v>0</v>
      </c>
      <c r="Y452" s="166">
        <f>IF(OR($I452="",$E452=0),0,IF(OR($J452&lt;Y$3,$I452&gt;Y$2),0,IF($K452=0,IF(AND($I452&gt;=Y$3,$I452&lt;=Y$2),$E452,0),$E452*NETWORKDAYS(MAX($I452,Y$3),MIN($J452,Y$2),Data!$K$4:$K$203)/$K452)))</f>
        <v>0</v>
      </c>
      <c r="Z452" s="166">
        <f>IF(OR($I452="",$E452=0),0,IF(OR($J452&lt;Z$3,$I452&gt;Z$2),0,IF($K452=0,IF(AND($I452&gt;=Z$3,$I452&lt;=Z$2),$E452,0),$E452*NETWORKDAYS(MAX($I452,Z$3),MIN($J452,Z$2),Data!$K$4:$K$203)/$K452)))</f>
        <v>0</v>
      </c>
      <c r="AA452" s="166">
        <f>IF(OR($I452="",$E452=0),0,IF(OR($J452&lt;AA$3,$I452&gt;AA$2),0,IF($K452=0,IF(AND($I452&gt;=AA$3,$I452&lt;=AA$2),$E452,0),$E452*NETWORKDAYS(MAX($I452,AA$3),MIN($J452,AA$2),Data!$K$4:$K$203)/$K452)))</f>
        <v>0</v>
      </c>
      <c r="AB452" s="166">
        <f>IF(OR($I452="",$E452=0),0,IF(OR($J452&lt;AB$3,$I452&gt;AB$2),0,IF($K452=0,IF(AND($I452&gt;=AB$3,$I452&lt;=AB$2),$E452,0),$E452*NETWORKDAYS(MAX($I452,AB$3),MIN($J452,AB$2),Data!$K$4:$K$203)/$K452)))</f>
        <v>0</v>
      </c>
      <c r="AC452" s="166">
        <f>IF(OR($I452="",$E452=0),0,IF(OR($J452&lt;AC$3,$I452&gt;AC$2),0,IF($K452=0,IF(AND($I452&gt;=AC$3,$I452&lt;=AC$2),$E452,0),$E452*NETWORKDAYS(MAX($I452,AC$3),MIN($J452,AC$2),Data!$K$4:$K$203)/$K452)))</f>
        <v>0</v>
      </c>
      <c r="AD452" s="166">
        <f>IF(OR($I452="",$E452=0),0,IF(OR($J452&lt;AD$3,$I452&gt;AD$2),0,IF($K452=0,IF(AND($I452&gt;=AD$3,$I452&lt;=AD$2),$E452,0),$E452*NETWORKDAYS(MAX($I452,AD$3),MIN($J452,AD$2),Data!$K$4:$K$203)/$K452)))</f>
        <v>0</v>
      </c>
      <c r="AE452" s="166">
        <f>IF(OR($I452="",$E452=0),0,IF(OR($J452&lt;AE$3,$I452&gt;AE$2),0,IF($K452=0,IF(AND($I452&gt;=AE$3,$I452&lt;=AE$2),$E452,0),$E452*NETWORKDAYS(MAX($I452,AE$3),MIN($J452,AE$2),Data!$K$4:$K$203)/$K452)))</f>
        <v>0</v>
      </c>
      <c r="AF452" s="166">
        <f>IF(OR($I452="",$E452=0),0,IF(OR($J452&lt;AF$3,$I452&gt;AF$2),0,IF($K452=0,IF(AND($I452&gt;=AF$3,$I452&lt;=AF$2),$E452,0),$E452*NETWORKDAYS(MAX($I452,AF$3),MIN($J452,AF$2),Data!$K$4:$K$203)/$K452)))</f>
        <v>0</v>
      </c>
      <c r="AG452" s="166">
        <f>IF(OR($I452="",$E452=0),0,IF(OR($J452&lt;AG$3,$I452&gt;AG$2),0,IF($K452=0,IF(AND($I452&gt;=AG$3,$I452&lt;=AG$2),$E452,0),$E452*NETWORKDAYS(MAX($I452,AG$3),MIN($J452,AG$2),Data!$K$4:$K$203)/$K452)))</f>
        <v>0</v>
      </c>
      <c r="AH452" s="166">
        <f>IF(OR($I452="",$E452=0),0,IF(OR($J452&lt;AH$3,$I452&gt;AH$2),0,IF($K452=0,IF(AND($I452&gt;=AH$3,$I452&lt;=AH$2),$E452,0),$E452*NETWORKDAYS(MAX($I452,AH$3),MIN($J452,AH$2),Data!$K$4:$K$203)/$K452)))</f>
        <v>0</v>
      </c>
      <c r="AI452" s="166">
        <f>SUM(W452:AH452)</f>
        <v>0</v>
      </c>
      <c r="BZ452" t="str">
        <f>IF(D452=1,IF(TRIM(INDEX(Charge!$K:$K,ROW()))&lt;&gt;"",TRIM(INDEX(Charge!$K:$K,ROW())),IF(TRIM(INDEX(Charge!$L:$L,ROW()))&lt;&gt;"",TRIM(INDEX(Charge!$L:$L,ROW())),"(non affecté)")),"")</f>
        <v/>
      </c>
      <c r="CA452" t="str">
        <f>IF(AND($CD$4&lt;&gt;"",BZ452=$CD$4),COUNTIFS($BZ$4:$BZ$503,$CD$4,$L$4:$L$503,"&lt;"&amp;L452)+1,"")</f>
        <v/>
      </c>
      <c r="EM452" t="str">
        <f>IF(D452=1,IF(TRIM(INDEX(Charge!$K:$K,ROW()))&lt;&gt;"","Interne",IF(TRIM(INDEX(Charge!$L:$L,ROW()))&lt;&gt;"","Externe","Non affecté")),"")</f>
        <v/>
      </c>
      <c r="EN452" t="str">
        <f>IF(D452=1,LEFT(SUBSTITUTE(SUBSTITUTE(SUBSTITUTE(TRIM(SUBSTITUTE(INDEX(Charge!$B:$B,ROW()),CHAR(160)," "))&amp;" | "&amp;TRIM(SUBSTITUTE(INDEX(Charge!$C:$C,ROW()),CHAR(160)," "))&amp;" | "&amp;TRIM(SUBSTITUTE(INDEX(Charge!$D:$D,ROW()),CHAR(160)," ")),"~","-"),"*","+"),"?","!"),240),"")</f>
        <v/>
      </c>
      <c r="EO452">
        <f>IF(EN452="",0,IF(COUNTIF($EN$4:EN452,EN452)=1,1,0))</f>
        <v>0</v>
      </c>
      <c r="EP452" s="166" t="str">
        <f>IF(EO452=1,ROUND(SUMIF($EN$4:$EN$503,EN452,$E$4:$E$503),2),"")</f>
        <v/>
      </c>
      <c r="EQ452" t="str">
        <f>IF(EO452=1,COUNTIFS($EO$4:$EO$503,1,$EP$4:$EP$503,"&gt;"&amp;EP452)+COUNTIFS($EO$4:EO452,1,$EP$4:EP452,EP452),"")</f>
        <v/>
      </c>
      <c r="ER452" t="str">
        <f>IF(EO452=1,COUNTIFS($EN$4:$EN$503,EN452,$EM$4:$EM$503,"Interne",$FE$4:$FE$503,1),"")</f>
        <v/>
      </c>
      <c r="ES452" t="str">
        <f>IF(EO452=1,COUNTIFS($EN$4:$EN$503,EN452,$EM$4:$EM$503,"Externe",$FE$4:$FE$503,1),"")</f>
        <v/>
      </c>
      <c r="ET452" t="str">
        <f>IF(EO452=1,IF(ER452+ES452=0,"à affecter",IF(ER452=0,ES452&amp;" ext.",(ER452+ES452)&amp;IF(ES452&gt;0," dont "&amp;ES452&amp;" ext.",""))&amp;IF(COUNTIFS($EN$4:$EN$503,EN452,$EM$4:$EM$503,"Non affecté")&gt;0," + à affecter","")),"")</f>
        <v/>
      </c>
      <c r="EU452" s="170" t="str">
        <f>IF(EO452=1,IF(EP452&gt;0,SUMPRODUCT(($EN$4:$EN$503=EN452)*$E$4:$E$503*$C$4:$C$503)/EP452,AVERAGEIF($EN$4:$EN$503,EN452,$C$4:$C$503)),"")</f>
        <v/>
      </c>
      <c r="EV452" s="165">
        <f>IF(ISNUMBER(I452),I452,2958465)</f>
        <v>2958465.0</v>
      </c>
      <c r="EW452" s="165" t="str">
        <f>IF(EO452=1,SUMPRODUCT(MIN(($EN$4:$EN$503=EN452)*$EV$4:$EV$503+($EN$4:$EN$503&lt;&gt;EN452)*2958465)),"")</f>
        <v/>
      </c>
      <c r="EX452" s="165">
        <f>IF(AND(D452=1,ISNUMBER(INDEX(Charge!$F:$F,ROW()))),INDEX(Charge!$F:$F,ROW()),0)</f>
        <v>0.0</v>
      </c>
      <c r="EY452" s="165" t="str">
        <f>IF(EO452=1,SUMPRODUCT(MAX(($EN$4:$EN$503=EN452)*$EX$4:$EX$503)),"")</f>
        <v/>
      </c>
      <c r="FD452">
        <f>IF(AND(B452=1,TRIM(INDEX(Charge!$K:$K,ROW()))&lt;&gt;"",TRIM(INDEX(Charge!$L:$L,ROW()))&lt;&gt;""),1,0)</f>
        <v>0</v>
      </c>
      <c r="FE452">
        <f>IF(OR(EN452="",BZ452="(non affecté)"),0,IF(COUNTIFS($EN$4:EN452,EN452,$BZ$4:BZ452,BZ452)=1,1,0))</f>
        <v>0</v>
      </c>
    </row>
    <row r="453">
      <c r="A453">
        <f>ROW()</f>
        <v>453</v>
      </c>
      <c r="B453">
        <f>IF(TRIM(INDEX(Charge!$B:$B,ROW()))&lt;&gt;"",1,0)</f>
        <v>0</v>
      </c>
      <c r="C453">
        <f>IF(B453=1,MIN(1,MAX(0,N(INDEX(Charge!$O:$O,ROW())))),0)</f>
        <v>0</v>
      </c>
      <c r="D453">
        <f>IF(B453=1,IF(OR(p_Perimetre="Tous les projets",C453&lt;1),1,0),0)</f>
        <v>0</v>
      </c>
      <c r="E453">
        <f>IF(D453=1,MAX(0,N(INDEX(Charge!$M:$M,ROW()))),0)</f>
        <v>0</v>
      </c>
      <c r="F453" t="str">
        <f>IF(D453=1,IF(TRIM(INDEX(Charge!$A:$A,ROW()))="","(non renseigné)",TRIM(INDEX(Charge!$A:$A,ROW()))),"")</f>
        <v/>
      </c>
      <c r="G453" t="str">
        <f>IF(D453=1,TRIM(INDEX(Charge!$B:$B,ROW())),"")</f>
        <v/>
      </c>
      <c r="H453" t="str">
        <f>IF(D453=1,IF(TRIM(INDEX(Charge!$E:$E,ROW()))="","(non renseigné)",TRIM(INDEX(Charge!$E:$E,ROW()))),"")</f>
        <v/>
      </c>
      <c r="I453" s="165" t="str">
        <f>IF(AND(D453=1,ISNUMBER(INDEX(Charge!$N:$N,ROW()))),INDEX(Charge!$N:$N,ROW()),"")</f>
        <v/>
      </c>
      <c r="J453" s="165" t="str">
        <f>IF(I453="","",IF(AND(p_Repartition="Lissée jusqu'à la date de besoin",ISNUMBER(INDEX(Charge!$F:$F,ROW()))),IF(INDEX(Charge!$F:$F,ROW())&gt;=I453,INDEX(Charge!$F:$F,ROW()),I453),I453))</f>
        <v/>
      </c>
      <c r="K453" t="str">
        <f>IF(I453="","",NETWORKDAYS(I453,J453,Data!$K$4:$K$203))</f>
        <v/>
      </c>
      <c r="L453" t="str">
        <f>IF(D453=1,COUNTIFS($D$4:$D$503,1,$E$4:$E$503,"&gt;"&amp;E453)+COUNTIFS($D$4:$D453,1,$E$4:$E453,E453),"")</f>
        <v/>
      </c>
      <c r="M453">
        <f>IF(F453="",0,IF(COUNTIF($F$4:F453,F453)=1,1,0))</f>
        <v>0</v>
      </c>
      <c r="N453" t="str">
        <f>IF(M453=1,ROUND(SUMIF($F$4:$F$503,F453,$E$4:$E$503),2),"")</f>
        <v/>
      </c>
      <c r="O453" t="str">
        <f>IF(M453=1,COUNTIFS($M$4:$M$503,1,$N$4:$N$503,"&gt;"&amp;N453)+COUNTIFS($M$4:M453,1,$N$4:N453,N453),"")</f>
        <v/>
      </c>
      <c r="P453">
        <f>IF(G453="",0,IF(COUNTIF($G$4:G453,G453)=1,1,0))</f>
        <v>0</v>
      </c>
      <c r="Q453" t="str">
        <f>IF(P453=1,ROUND(SUMIF($G$4:$G$503,G453,$E$4:$E$503),2),"")</f>
        <v/>
      </c>
      <c r="R453" t="str">
        <f>IF(P453=1,COUNTIFS($P$4:$P$503,1,$Q$4:$Q$503,"&gt;"&amp;Q453)+COUNTIFS($P$4:P453,1,$Q$4:Q453,Q453),"")</f>
        <v/>
      </c>
      <c r="S453">
        <f>IF(H453="",0,IF(COUNTIF($H$4:H453,H453)=1,1,0))</f>
        <v>0</v>
      </c>
      <c r="T453" t="str">
        <f>IF(S453=1,ROUND(SUMIF($H$4:$H$503,H453,$E$4:$E$503),2),"")</f>
        <v/>
      </c>
      <c r="U453" t="str">
        <f>IF(S453=1,COUNTIFS($S$4:$S$503,1,$T$4:$T$503,"&gt;"&amp;T453)+COUNTIFS($S$4:S453,1,$T$4:T453,T453),"")</f>
        <v/>
      </c>
      <c r="V453" t="str">
        <f>IF(D453=1,MIN(INDEX($R$4:$R$503,MATCH(G453,$G$4:$G$503,0)),IF($AL$7&gt;9,9,999)),"")</f>
        <v/>
      </c>
      <c r="W453" s="166">
        <f>IF(OR($I453="",$E453=0),0,IF(OR($J453&lt;W$3,$I453&gt;W$2),0,IF($K453=0,IF(AND($I453&gt;=W$3,$I453&lt;=W$2),$E453,0),$E453*NETWORKDAYS(MAX($I453,W$3),MIN($J453,W$2),Data!$K$4:$K$203)/$K453)))</f>
        <v>0</v>
      </c>
      <c r="X453" s="166">
        <f>IF(OR($I453="",$E453=0),0,IF(OR($J453&lt;X$3,$I453&gt;X$2),0,IF($K453=0,IF(AND($I453&gt;=X$3,$I453&lt;=X$2),$E453,0),$E453*NETWORKDAYS(MAX($I453,X$3),MIN($J453,X$2),Data!$K$4:$K$203)/$K453)))</f>
        <v>0</v>
      </c>
      <c r="Y453" s="166">
        <f>IF(OR($I453="",$E453=0),0,IF(OR($J453&lt;Y$3,$I453&gt;Y$2),0,IF($K453=0,IF(AND($I453&gt;=Y$3,$I453&lt;=Y$2),$E453,0),$E453*NETWORKDAYS(MAX($I453,Y$3),MIN($J453,Y$2),Data!$K$4:$K$203)/$K453)))</f>
        <v>0</v>
      </c>
      <c r="Z453" s="166">
        <f>IF(OR($I453="",$E453=0),0,IF(OR($J453&lt;Z$3,$I453&gt;Z$2),0,IF($K453=0,IF(AND($I453&gt;=Z$3,$I453&lt;=Z$2),$E453,0),$E453*NETWORKDAYS(MAX($I453,Z$3),MIN($J453,Z$2),Data!$K$4:$K$203)/$K453)))</f>
        <v>0</v>
      </c>
      <c r="AA453" s="166">
        <f>IF(OR($I453="",$E453=0),0,IF(OR($J453&lt;AA$3,$I453&gt;AA$2),0,IF($K453=0,IF(AND($I453&gt;=AA$3,$I453&lt;=AA$2),$E453,0),$E453*NETWORKDAYS(MAX($I453,AA$3),MIN($J453,AA$2),Data!$K$4:$K$203)/$K453)))</f>
        <v>0</v>
      </c>
      <c r="AB453" s="166">
        <f>IF(OR($I453="",$E453=0),0,IF(OR($J453&lt;AB$3,$I453&gt;AB$2),0,IF($K453=0,IF(AND($I453&gt;=AB$3,$I453&lt;=AB$2),$E453,0),$E453*NETWORKDAYS(MAX($I453,AB$3),MIN($J453,AB$2),Data!$K$4:$K$203)/$K453)))</f>
        <v>0</v>
      </c>
      <c r="AC453" s="166">
        <f>IF(OR($I453="",$E453=0),0,IF(OR($J453&lt;AC$3,$I453&gt;AC$2),0,IF($K453=0,IF(AND($I453&gt;=AC$3,$I453&lt;=AC$2),$E453,0),$E453*NETWORKDAYS(MAX($I453,AC$3),MIN($J453,AC$2),Data!$K$4:$K$203)/$K453)))</f>
        <v>0</v>
      </c>
      <c r="AD453" s="166">
        <f>IF(OR($I453="",$E453=0),0,IF(OR($J453&lt;AD$3,$I453&gt;AD$2),0,IF($K453=0,IF(AND($I453&gt;=AD$3,$I453&lt;=AD$2),$E453,0),$E453*NETWORKDAYS(MAX($I453,AD$3),MIN($J453,AD$2),Data!$K$4:$K$203)/$K453)))</f>
        <v>0</v>
      </c>
      <c r="AE453" s="166">
        <f>IF(OR($I453="",$E453=0),0,IF(OR($J453&lt;AE$3,$I453&gt;AE$2),0,IF($K453=0,IF(AND($I453&gt;=AE$3,$I453&lt;=AE$2),$E453,0),$E453*NETWORKDAYS(MAX($I453,AE$3),MIN($J453,AE$2),Data!$K$4:$K$203)/$K453)))</f>
        <v>0</v>
      </c>
      <c r="AF453" s="166">
        <f>IF(OR($I453="",$E453=0),0,IF(OR($J453&lt;AF$3,$I453&gt;AF$2),0,IF($K453=0,IF(AND($I453&gt;=AF$3,$I453&lt;=AF$2),$E453,0),$E453*NETWORKDAYS(MAX($I453,AF$3),MIN($J453,AF$2),Data!$K$4:$K$203)/$K453)))</f>
        <v>0</v>
      </c>
      <c r="AG453" s="166">
        <f>IF(OR($I453="",$E453=0),0,IF(OR($J453&lt;AG$3,$I453&gt;AG$2),0,IF($K453=0,IF(AND($I453&gt;=AG$3,$I453&lt;=AG$2),$E453,0),$E453*NETWORKDAYS(MAX($I453,AG$3),MIN($J453,AG$2),Data!$K$4:$K$203)/$K453)))</f>
        <v>0</v>
      </c>
      <c r="AH453" s="166">
        <f>IF(OR($I453="",$E453=0),0,IF(OR($J453&lt;AH$3,$I453&gt;AH$2),0,IF($K453=0,IF(AND($I453&gt;=AH$3,$I453&lt;=AH$2),$E453,0),$E453*NETWORKDAYS(MAX($I453,AH$3),MIN($J453,AH$2),Data!$K$4:$K$203)/$K453)))</f>
        <v>0</v>
      </c>
      <c r="AI453" s="166">
        <f>SUM(W453:AH453)</f>
        <v>0</v>
      </c>
      <c r="BZ453" t="str">
        <f>IF(D453=1,IF(TRIM(INDEX(Charge!$K:$K,ROW()))&lt;&gt;"",TRIM(INDEX(Charge!$K:$K,ROW())),IF(TRIM(INDEX(Charge!$L:$L,ROW()))&lt;&gt;"",TRIM(INDEX(Charge!$L:$L,ROW())),"(non affecté)")),"")</f>
        <v/>
      </c>
      <c r="CA453" t="str">
        <f>IF(AND($CD$4&lt;&gt;"",BZ453=$CD$4),COUNTIFS($BZ$4:$BZ$503,$CD$4,$L$4:$L$503,"&lt;"&amp;L453)+1,"")</f>
        <v/>
      </c>
      <c r="EM453" t="str">
        <f>IF(D453=1,IF(TRIM(INDEX(Charge!$K:$K,ROW()))&lt;&gt;"","Interne",IF(TRIM(INDEX(Charge!$L:$L,ROW()))&lt;&gt;"","Externe","Non affecté")),"")</f>
        <v/>
      </c>
      <c r="EN453" t="str">
        <f>IF(D453=1,LEFT(SUBSTITUTE(SUBSTITUTE(SUBSTITUTE(TRIM(SUBSTITUTE(INDEX(Charge!$B:$B,ROW()),CHAR(160)," "))&amp;" | "&amp;TRIM(SUBSTITUTE(INDEX(Charge!$C:$C,ROW()),CHAR(160)," "))&amp;" | "&amp;TRIM(SUBSTITUTE(INDEX(Charge!$D:$D,ROW()),CHAR(160)," ")),"~","-"),"*","+"),"?","!"),240),"")</f>
        <v/>
      </c>
      <c r="EO453">
        <f>IF(EN453="",0,IF(COUNTIF($EN$4:EN453,EN453)=1,1,0))</f>
        <v>0</v>
      </c>
      <c r="EP453" s="166" t="str">
        <f>IF(EO453=1,ROUND(SUMIF($EN$4:$EN$503,EN453,$E$4:$E$503),2),"")</f>
        <v/>
      </c>
      <c r="EQ453" t="str">
        <f>IF(EO453=1,COUNTIFS($EO$4:$EO$503,1,$EP$4:$EP$503,"&gt;"&amp;EP453)+COUNTIFS($EO$4:EO453,1,$EP$4:EP453,EP453),"")</f>
        <v/>
      </c>
      <c r="ER453" t="str">
        <f>IF(EO453=1,COUNTIFS($EN$4:$EN$503,EN453,$EM$4:$EM$503,"Interne",$FE$4:$FE$503,1),"")</f>
        <v/>
      </c>
      <c r="ES453" t="str">
        <f>IF(EO453=1,COUNTIFS($EN$4:$EN$503,EN453,$EM$4:$EM$503,"Externe",$FE$4:$FE$503,1),"")</f>
        <v/>
      </c>
      <c r="ET453" t="str">
        <f>IF(EO453=1,IF(ER453+ES453=0,"à affecter",IF(ER453=0,ES453&amp;" ext.",(ER453+ES453)&amp;IF(ES453&gt;0," dont "&amp;ES453&amp;" ext.",""))&amp;IF(COUNTIFS($EN$4:$EN$503,EN453,$EM$4:$EM$503,"Non affecté")&gt;0," + à affecter","")),"")</f>
        <v/>
      </c>
      <c r="EU453" s="170" t="str">
        <f>IF(EO453=1,IF(EP453&gt;0,SUMPRODUCT(($EN$4:$EN$503=EN453)*$E$4:$E$503*$C$4:$C$503)/EP453,AVERAGEIF($EN$4:$EN$503,EN453,$C$4:$C$503)),"")</f>
        <v/>
      </c>
      <c r="EV453" s="165">
        <f>IF(ISNUMBER(I453),I453,2958465)</f>
        <v>2958465.0</v>
      </c>
      <c r="EW453" s="165" t="str">
        <f>IF(EO453=1,SUMPRODUCT(MIN(($EN$4:$EN$503=EN453)*$EV$4:$EV$503+($EN$4:$EN$503&lt;&gt;EN453)*2958465)),"")</f>
        <v/>
      </c>
      <c r="EX453" s="165">
        <f>IF(AND(D453=1,ISNUMBER(INDEX(Charge!$F:$F,ROW()))),INDEX(Charge!$F:$F,ROW()),0)</f>
        <v>0.0</v>
      </c>
      <c r="EY453" s="165" t="str">
        <f>IF(EO453=1,SUMPRODUCT(MAX(($EN$4:$EN$503=EN453)*$EX$4:$EX$503)),"")</f>
        <v/>
      </c>
      <c r="FD453">
        <f>IF(AND(B453=1,TRIM(INDEX(Charge!$K:$K,ROW()))&lt;&gt;"",TRIM(INDEX(Charge!$L:$L,ROW()))&lt;&gt;""),1,0)</f>
        <v>0</v>
      </c>
      <c r="FE453">
        <f>IF(OR(EN453="",BZ453="(non affecté)"),0,IF(COUNTIFS($EN$4:EN453,EN453,$BZ$4:BZ453,BZ453)=1,1,0))</f>
        <v>0</v>
      </c>
    </row>
    <row r="454">
      <c r="A454">
        <f>ROW()</f>
        <v>454</v>
      </c>
      <c r="B454">
        <f>IF(TRIM(INDEX(Charge!$B:$B,ROW()))&lt;&gt;"",1,0)</f>
        <v>0</v>
      </c>
      <c r="C454">
        <f>IF(B454=1,MIN(1,MAX(0,N(INDEX(Charge!$O:$O,ROW())))),0)</f>
        <v>0</v>
      </c>
      <c r="D454">
        <f>IF(B454=1,IF(OR(p_Perimetre="Tous les projets",C454&lt;1),1,0),0)</f>
        <v>0</v>
      </c>
      <c r="E454">
        <f>IF(D454=1,MAX(0,N(INDEX(Charge!$M:$M,ROW()))),0)</f>
        <v>0</v>
      </c>
      <c r="F454" t="str">
        <f>IF(D454=1,IF(TRIM(INDEX(Charge!$A:$A,ROW()))="","(non renseigné)",TRIM(INDEX(Charge!$A:$A,ROW()))),"")</f>
        <v/>
      </c>
      <c r="G454" t="str">
        <f>IF(D454=1,TRIM(INDEX(Charge!$B:$B,ROW())),"")</f>
        <v/>
      </c>
      <c r="H454" t="str">
        <f>IF(D454=1,IF(TRIM(INDEX(Charge!$E:$E,ROW()))="","(non renseigné)",TRIM(INDEX(Charge!$E:$E,ROW()))),"")</f>
        <v/>
      </c>
      <c r="I454" s="165" t="str">
        <f>IF(AND(D454=1,ISNUMBER(INDEX(Charge!$N:$N,ROW()))),INDEX(Charge!$N:$N,ROW()),"")</f>
        <v/>
      </c>
      <c r="J454" s="165" t="str">
        <f>IF(I454="","",IF(AND(p_Repartition="Lissée jusqu'à la date de besoin",ISNUMBER(INDEX(Charge!$F:$F,ROW()))),IF(INDEX(Charge!$F:$F,ROW())&gt;=I454,INDEX(Charge!$F:$F,ROW()),I454),I454))</f>
        <v/>
      </c>
      <c r="K454" t="str">
        <f>IF(I454="","",NETWORKDAYS(I454,J454,Data!$K$4:$K$203))</f>
        <v/>
      </c>
      <c r="L454" t="str">
        <f>IF(D454=1,COUNTIFS($D$4:$D$503,1,$E$4:$E$503,"&gt;"&amp;E454)+COUNTIFS($D$4:$D454,1,$E$4:$E454,E454),"")</f>
        <v/>
      </c>
      <c r="M454">
        <f>IF(F454="",0,IF(COUNTIF($F$4:F454,F454)=1,1,0))</f>
        <v>0</v>
      </c>
      <c r="N454" t="str">
        <f>IF(M454=1,ROUND(SUMIF($F$4:$F$503,F454,$E$4:$E$503),2),"")</f>
        <v/>
      </c>
      <c r="O454" t="str">
        <f>IF(M454=1,COUNTIFS($M$4:$M$503,1,$N$4:$N$503,"&gt;"&amp;N454)+COUNTIFS($M$4:M454,1,$N$4:N454,N454),"")</f>
        <v/>
      </c>
      <c r="P454">
        <f>IF(G454="",0,IF(COUNTIF($G$4:G454,G454)=1,1,0))</f>
        <v>0</v>
      </c>
      <c r="Q454" t="str">
        <f>IF(P454=1,ROUND(SUMIF($G$4:$G$503,G454,$E$4:$E$503),2),"")</f>
        <v/>
      </c>
      <c r="R454" t="str">
        <f>IF(P454=1,COUNTIFS($P$4:$P$503,1,$Q$4:$Q$503,"&gt;"&amp;Q454)+COUNTIFS($P$4:P454,1,$Q$4:Q454,Q454),"")</f>
        <v/>
      </c>
      <c r="S454">
        <f>IF(H454="",0,IF(COUNTIF($H$4:H454,H454)=1,1,0))</f>
        <v>0</v>
      </c>
      <c r="T454" t="str">
        <f>IF(S454=1,ROUND(SUMIF($H$4:$H$503,H454,$E$4:$E$503),2),"")</f>
        <v/>
      </c>
      <c r="U454" t="str">
        <f>IF(S454=1,COUNTIFS($S$4:$S$503,1,$T$4:$T$503,"&gt;"&amp;T454)+COUNTIFS($S$4:S454,1,$T$4:T454,T454),"")</f>
        <v/>
      </c>
      <c r="V454" t="str">
        <f>IF(D454=1,MIN(INDEX($R$4:$R$503,MATCH(G454,$G$4:$G$503,0)),IF($AL$7&gt;9,9,999)),"")</f>
        <v/>
      </c>
      <c r="W454" s="166">
        <f>IF(OR($I454="",$E454=0),0,IF(OR($J454&lt;W$3,$I454&gt;W$2),0,IF($K454=0,IF(AND($I454&gt;=W$3,$I454&lt;=W$2),$E454,0),$E454*NETWORKDAYS(MAX($I454,W$3),MIN($J454,W$2),Data!$K$4:$K$203)/$K454)))</f>
        <v>0</v>
      </c>
      <c r="X454" s="166">
        <f>IF(OR($I454="",$E454=0),0,IF(OR($J454&lt;X$3,$I454&gt;X$2),0,IF($K454=0,IF(AND($I454&gt;=X$3,$I454&lt;=X$2),$E454,0),$E454*NETWORKDAYS(MAX($I454,X$3),MIN($J454,X$2),Data!$K$4:$K$203)/$K454)))</f>
        <v>0</v>
      </c>
      <c r="Y454" s="166">
        <f>IF(OR($I454="",$E454=0),0,IF(OR($J454&lt;Y$3,$I454&gt;Y$2),0,IF($K454=0,IF(AND($I454&gt;=Y$3,$I454&lt;=Y$2),$E454,0),$E454*NETWORKDAYS(MAX($I454,Y$3),MIN($J454,Y$2),Data!$K$4:$K$203)/$K454)))</f>
        <v>0</v>
      </c>
      <c r="Z454" s="166">
        <f>IF(OR($I454="",$E454=0),0,IF(OR($J454&lt;Z$3,$I454&gt;Z$2),0,IF($K454=0,IF(AND($I454&gt;=Z$3,$I454&lt;=Z$2),$E454,0),$E454*NETWORKDAYS(MAX($I454,Z$3),MIN($J454,Z$2),Data!$K$4:$K$203)/$K454)))</f>
        <v>0</v>
      </c>
      <c r="AA454" s="166">
        <f>IF(OR($I454="",$E454=0),0,IF(OR($J454&lt;AA$3,$I454&gt;AA$2),0,IF($K454=0,IF(AND($I454&gt;=AA$3,$I454&lt;=AA$2),$E454,0),$E454*NETWORKDAYS(MAX($I454,AA$3),MIN($J454,AA$2),Data!$K$4:$K$203)/$K454)))</f>
        <v>0</v>
      </c>
      <c r="AB454" s="166">
        <f>IF(OR($I454="",$E454=0),0,IF(OR($J454&lt;AB$3,$I454&gt;AB$2),0,IF($K454=0,IF(AND($I454&gt;=AB$3,$I454&lt;=AB$2),$E454,0),$E454*NETWORKDAYS(MAX($I454,AB$3),MIN($J454,AB$2),Data!$K$4:$K$203)/$K454)))</f>
        <v>0</v>
      </c>
      <c r="AC454" s="166">
        <f>IF(OR($I454="",$E454=0),0,IF(OR($J454&lt;AC$3,$I454&gt;AC$2),0,IF($K454=0,IF(AND($I454&gt;=AC$3,$I454&lt;=AC$2),$E454,0),$E454*NETWORKDAYS(MAX($I454,AC$3),MIN($J454,AC$2),Data!$K$4:$K$203)/$K454)))</f>
        <v>0</v>
      </c>
      <c r="AD454" s="166">
        <f>IF(OR($I454="",$E454=0),0,IF(OR($J454&lt;AD$3,$I454&gt;AD$2),0,IF($K454=0,IF(AND($I454&gt;=AD$3,$I454&lt;=AD$2),$E454,0),$E454*NETWORKDAYS(MAX($I454,AD$3),MIN($J454,AD$2),Data!$K$4:$K$203)/$K454)))</f>
        <v>0</v>
      </c>
      <c r="AE454" s="166">
        <f>IF(OR($I454="",$E454=0),0,IF(OR($J454&lt;AE$3,$I454&gt;AE$2),0,IF($K454=0,IF(AND($I454&gt;=AE$3,$I454&lt;=AE$2),$E454,0),$E454*NETWORKDAYS(MAX($I454,AE$3),MIN($J454,AE$2),Data!$K$4:$K$203)/$K454)))</f>
        <v>0</v>
      </c>
      <c r="AF454" s="166">
        <f>IF(OR($I454="",$E454=0),0,IF(OR($J454&lt;AF$3,$I454&gt;AF$2),0,IF($K454=0,IF(AND($I454&gt;=AF$3,$I454&lt;=AF$2),$E454,0),$E454*NETWORKDAYS(MAX($I454,AF$3),MIN($J454,AF$2),Data!$K$4:$K$203)/$K454)))</f>
        <v>0</v>
      </c>
      <c r="AG454" s="166">
        <f>IF(OR($I454="",$E454=0),0,IF(OR($J454&lt;AG$3,$I454&gt;AG$2),0,IF($K454=0,IF(AND($I454&gt;=AG$3,$I454&lt;=AG$2),$E454,0),$E454*NETWORKDAYS(MAX($I454,AG$3),MIN($J454,AG$2),Data!$K$4:$K$203)/$K454)))</f>
        <v>0</v>
      </c>
      <c r="AH454" s="166">
        <f>IF(OR($I454="",$E454=0),0,IF(OR($J454&lt;AH$3,$I454&gt;AH$2),0,IF($K454=0,IF(AND($I454&gt;=AH$3,$I454&lt;=AH$2),$E454,0),$E454*NETWORKDAYS(MAX($I454,AH$3),MIN($J454,AH$2),Data!$K$4:$K$203)/$K454)))</f>
        <v>0</v>
      </c>
      <c r="AI454" s="166">
        <f>SUM(W454:AH454)</f>
        <v>0</v>
      </c>
      <c r="BZ454" t="str">
        <f>IF(D454=1,IF(TRIM(INDEX(Charge!$K:$K,ROW()))&lt;&gt;"",TRIM(INDEX(Charge!$K:$K,ROW())),IF(TRIM(INDEX(Charge!$L:$L,ROW()))&lt;&gt;"",TRIM(INDEX(Charge!$L:$L,ROW())),"(non affecté)")),"")</f>
        <v/>
      </c>
      <c r="CA454" t="str">
        <f>IF(AND($CD$4&lt;&gt;"",BZ454=$CD$4),COUNTIFS($BZ$4:$BZ$503,$CD$4,$L$4:$L$503,"&lt;"&amp;L454)+1,"")</f>
        <v/>
      </c>
      <c r="EM454" t="str">
        <f>IF(D454=1,IF(TRIM(INDEX(Charge!$K:$K,ROW()))&lt;&gt;"","Interne",IF(TRIM(INDEX(Charge!$L:$L,ROW()))&lt;&gt;"","Externe","Non affecté")),"")</f>
        <v/>
      </c>
      <c r="EN454" t="str">
        <f>IF(D454=1,LEFT(SUBSTITUTE(SUBSTITUTE(SUBSTITUTE(TRIM(SUBSTITUTE(INDEX(Charge!$B:$B,ROW()),CHAR(160)," "))&amp;" | "&amp;TRIM(SUBSTITUTE(INDEX(Charge!$C:$C,ROW()),CHAR(160)," "))&amp;" | "&amp;TRIM(SUBSTITUTE(INDEX(Charge!$D:$D,ROW()),CHAR(160)," ")),"~","-"),"*","+"),"?","!"),240),"")</f>
        <v/>
      </c>
      <c r="EO454">
        <f>IF(EN454="",0,IF(COUNTIF($EN$4:EN454,EN454)=1,1,0))</f>
        <v>0</v>
      </c>
      <c r="EP454" s="166" t="str">
        <f>IF(EO454=1,ROUND(SUMIF($EN$4:$EN$503,EN454,$E$4:$E$503),2),"")</f>
        <v/>
      </c>
      <c r="EQ454" t="str">
        <f>IF(EO454=1,COUNTIFS($EO$4:$EO$503,1,$EP$4:$EP$503,"&gt;"&amp;EP454)+COUNTIFS($EO$4:EO454,1,$EP$4:EP454,EP454),"")</f>
        <v/>
      </c>
      <c r="ER454" t="str">
        <f>IF(EO454=1,COUNTIFS($EN$4:$EN$503,EN454,$EM$4:$EM$503,"Interne",$FE$4:$FE$503,1),"")</f>
        <v/>
      </c>
      <c r="ES454" t="str">
        <f>IF(EO454=1,COUNTIFS($EN$4:$EN$503,EN454,$EM$4:$EM$503,"Externe",$FE$4:$FE$503,1),"")</f>
        <v/>
      </c>
      <c r="ET454" t="str">
        <f>IF(EO454=1,IF(ER454+ES454=0,"à affecter",IF(ER454=0,ES454&amp;" ext.",(ER454+ES454)&amp;IF(ES454&gt;0," dont "&amp;ES454&amp;" ext.",""))&amp;IF(COUNTIFS($EN$4:$EN$503,EN454,$EM$4:$EM$503,"Non affecté")&gt;0," + à affecter","")),"")</f>
        <v/>
      </c>
      <c r="EU454" s="170" t="str">
        <f>IF(EO454=1,IF(EP454&gt;0,SUMPRODUCT(($EN$4:$EN$503=EN454)*$E$4:$E$503*$C$4:$C$503)/EP454,AVERAGEIF($EN$4:$EN$503,EN454,$C$4:$C$503)),"")</f>
        <v/>
      </c>
      <c r="EV454" s="165">
        <f>IF(ISNUMBER(I454),I454,2958465)</f>
        <v>2958465.0</v>
      </c>
      <c r="EW454" s="165" t="str">
        <f>IF(EO454=1,SUMPRODUCT(MIN(($EN$4:$EN$503=EN454)*$EV$4:$EV$503+($EN$4:$EN$503&lt;&gt;EN454)*2958465)),"")</f>
        <v/>
      </c>
      <c r="EX454" s="165">
        <f>IF(AND(D454=1,ISNUMBER(INDEX(Charge!$F:$F,ROW()))),INDEX(Charge!$F:$F,ROW()),0)</f>
        <v>0.0</v>
      </c>
      <c r="EY454" s="165" t="str">
        <f>IF(EO454=1,SUMPRODUCT(MAX(($EN$4:$EN$503=EN454)*$EX$4:$EX$503)),"")</f>
        <v/>
      </c>
      <c r="FD454">
        <f>IF(AND(B454=1,TRIM(INDEX(Charge!$K:$K,ROW()))&lt;&gt;"",TRIM(INDEX(Charge!$L:$L,ROW()))&lt;&gt;""),1,0)</f>
        <v>0</v>
      </c>
      <c r="FE454">
        <f>IF(OR(EN454="",BZ454="(non affecté)"),0,IF(COUNTIFS($EN$4:EN454,EN454,$BZ$4:BZ454,BZ454)=1,1,0))</f>
        <v>0</v>
      </c>
    </row>
    <row r="455">
      <c r="A455">
        <f>ROW()</f>
        <v>455</v>
      </c>
      <c r="B455">
        <f>IF(TRIM(INDEX(Charge!$B:$B,ROW()))&lt;&gt;"",1,0)</f>
        <v>0</v>
      </c>
      <c r="C455">
        <f>IF(B455=1,MIN(1,MAX(0,N(INDEX(Charge!$O:$O,ROW())))),0)</f>
        <v>0</v>
      </c>
      <c r="D455">
        <f>IF(B455=1,IF(OR(p_Perimetre="Tous les projets",C455&lt;1),1,0),0)</f>
        <v>0</v>
      </c>
      <c r="E455">
        <f>IF(D455=1,MAX(0,N(INDEX(Charge!$M:$M,ROW()))),0)</f>
        <v>0</v>
      </c>
      <c r="F455" t="str">
        <f>IF(D455=1,IF(TRIM(INDEX(Charge!$A:$A,ROW()))="","(non renseigné)",TRIM(INDEX(Charge!$A:$A,ROW()))),"")</f>
        <v/>
      </c>
      <c r="G455" t="str">
        <f>IF(D455=1,TRIM(INDEX(Charge!$B:$B,ROW())),"")</f>
        <v/>
      </c>
      <c r="H455" t="str">
        <f>IF(D455=1,IF(TRIM(INDEX(Charge!$E:$E,ROW()))="","(non renseigné)",TRIM(INDEX(Charge!$E:$E,ROW()))),"")</f>
        <v/>
      </c>
      <c r="I455" s="165" t="str">
        <f>IF(AND(D455=1,ISNUMBER(INDEX(Charge!$N:$N,ROW()))),INDEX(Charge!$N:$N,ROW()),"")</f>
        <v/>
      </c>
      <c r="J455" s="165" t="str">
        <f>IF(I455="","",IF(AND(p_Repartition="Lissée jusqu'à la date de besoin",ISNUMBER(INDEX(Charge!$F:$F,ROW()))),IF(INDEX(Charge!$F:$F,ROW())&gt;=I455,INDEX(Charge!$F:$F,ROW()),I455),I455))</f>
        <v/>
      </c>
      <c r="K455" t="str">
        <f>IF(I455="","",NETWORKDAYS(I455,J455,Data!$K$4:$K$203))</f>
        <v/>
      </c>
      <c r="L455" t="str">
        <f>IF(D455=1,COUNTIFS($D$4:$D$503,1,$E$4:$E$503,"&gt;"&amp;E455)+COUNTIFS($D$4:$D455,1,$E$4:$E455,E455),"")</f>
        <v/>
      </c>
      <c r="M455">
        <f>IF(F455="",0,IF(COUNTIF($F$4:F455,F455)=1,1,0))</f>
        <v>0</v>
      </c>
      <c r="N455" t="str">
        <f>IF(M455=1,ROUND(SUMIF($F$4:$F$503,F455,$E$4:$E$503),2),"")</f>
        <v/>
      </c>
      <c r="O455" t="str">
        <f>IF(M455=1,COUNTIFS($M$4:$M$503,1,$N$4:$N$503,"&gt;"&amp;N455)+COUNTIFS($M$4:M455,1,$N$4:N455,N455),"")</f>
        <v/>
      </c>
      <c r="P455">
        <f>IF(G455="",0,IF(COUNTIF($G$4:G455,G455)=1,1,0))</f>
        <v>0</v>
      </c>
      <c r="Q455" t="str">
        <f>IF(P455=1,ROUND(SUMIF($G$4:$G$503,G455,$E$4:$E$503),2),"")</f>
        <v/>
      </c>
      <c r="R455" t="str">
        <f>IF(P455=1,COUNTIFS($P$4:$P$503,1,$Q$4:$Q$503,"&gt;"&amp;Q455)+COUNTIFS($P$4:P455,1,$Q$4:Q455,Q455),"")</f>
        <v/>
      </c>
      <c r="S455">
        <f>IF(H455="",0,IF(COUNTIF($H$4:H455,H455)=1,1,0))</f>
        <v>0</v>
      </c>
      <c r="T455" t="str">
        <f>IF(S455=1,ROUND(SUMIF($H$4:$H$503,H455,$E$4:$E$503),2),"")</f>
        <v/>
      </c>
      <c r="U455" t="str">
        <f>IF(S455=1,COUNTIFS($S$4:$S$503,1,$T$4:$T$503,"&gt;"&amp;T455)+COUNTIFS($S$4:S455,1,$T$4:T455,T455),"")</f>
        <v/>
      </c>
      <c r="V455" t="str">
        <f>IF(D455=1,MIN(INDEX($R$4:$R$503,MATCH(G455,$G$4:$G$503,0)),IF($AL$7&gt;9,9,999)),"")</f>
        <v/>
      </c>
      <c r="W455" s="166">
        <f>IF(OR($I455="",$E455=0),0,IF(OR($J455&lt;W$3,$I455&gt;W$2),0,IF($K455=0,IF(AND($I455&gt;=W$3,$I455&lt;=W$2),$E455,0),$E455*NETWORKDAYS(MAX($I455,W$3),MIN($J455,W$2),Data!$K$4:$K$203)/$K455)))</f>
        <v>0</v>
      </c>
      <c r="X455" s="166">
        <f>IF(OR($I455="",$E455=0),0,IF(OR($J455&lt;X$3,$I455&gt;X$2),0,IF($K455=0,IF(AND($I455&gt;=X$3,$I455&lt;=X$2),$E455,0),$E455*NETWORKDAYS(MAX($I455,X$3),MIN($J455,X$2),Data!$K$4:$K$203)/$K455)))</f>
        <v>0</v>
      </c>
      <c r="Y455" s="166">
        <f>IF(OR($I455="",$E455=0),0,IF(OR($J455&lt;Y$3,$I455&gt;Y$2),0,IF($K455=0,IF(AND($I455&gt;=Y$3,$I455&lt;=Y$2),$E455,0),$E455*NETWORKDAYS(MAX($I455,Y$3),MIN($J455,Y$2),Data!$K$4:$K$203)/$K455)))</f>
        <v>0</v>
      </c>
      <c r="Z455" s="166">
        <f>IF(OR($I455="",$E455=0),0,IF(OR($J455&lt;Z$3,$I455&gt;Z$2),0,IF($K455=0,IF(AND($I455&gt;=Z$3,$I455&lt;=Z$2),$E455,0),$E455*NETWORKDAYS(MAX($I455,Z$3),MIN($J455,Z$2),Data!$K$4:$K$203)/$K455)))</f>
        <v>0</v>
      </c>
      <c r="AA455" s="166">
        <f>IF(OR($I455="",$E455=0),0,IF(OR($J455&lt;AA$3,$I455&gt;AA$2),0,IF($K455=0,IF(AND($I455&gt;=AA$3,$I455&lt;=AA$2),$E455,0),$E455*NETWORKDAYS(MAX($I455,AA$3),MIN($J455,AA$2),Data!$K$4:$K$203)/$K455)))</f>
        <v>0</v>
      </c>
      <c r="AB455" s="166">
        <f>IF(OR($I455="",$E455=0),0,IF(OR($J455&lt;AB$3,$I455&gt;AB$2),0,IF($K455=0,IF(AND($I455&gt;=AB$3,$I455&lt;=AB$2),$E455,0),$E455*NETWORKDAYS(MAX($I455,AB$3),MIN($J455,AB$2),Data!$K$4:$K$203)/$K455)))</f>
        <v>0</v>
      </c>
      <c r="AC455" s="166">
        <f>IF(OR($I455="",$E455=0),0,IF(OR($J455&lt;AC$3,$I455&gt;AC$2),0,IF($K455=0,IF(AND($I455&gt;=AC$3,$I455&lt;=AC$2),$E455,0),$E455*NETWORKDAYS(MAX($I455,AC$3),MIN($J455,AC$2),Data!$K$4:$K$203)/$K455)))</f>
        <v>0</v>
      </c>
      <c r="AD455" s="166">
        <f>IF(OR($I455="",$E455=0),0,IF(OR($J455&lt;AD$3,$I455&gt;AD$2),0,IF($K455=0,IF(AND($I455&gt;=AD$3,$I455&lt;=AD$2),$E455,0),$E455*NETWORKDAYS(MAX($I455,AD$3),MIN($J455,AD$2),Data!$K$4:$K$203)/$K455)))</f>
        <v>0</v>
      </c>
      <c r="AE455" s="166">
        <f>IF(OR($I455="",$E455=0),0,IF(OR($J455&lt;AE$3,$I455&gt;AE$2),0,IF($K455=0,IF(AND($I455&gt;=AE$3,$I455&lt;=AE$2),$E455,0),$E455*NETWORKDAYS(MAX($I455,AE$3),MIN($J455,AE$2),Data!$K$4:$K$203)/$K455)))</f>
        <v>0</v>
      </c>
      <c r="AF455" s="166">
        <f>IF(OR($I455="",$E455=0),0,IF(OR($J455&lt;AF$3,$I455&gt;AF$2),0,IF($K455=0,IF(AND($I455&gt;=AF$3,$I455&lt;=AF$2),$E455,0),$E455*NETWORKDAYS(MAX($I455,AF$3),MIN($J455,AF$2),Data!$K$4:$K$203)/$K455)))</f>
        <v>0</v>
      </c>
      <c r="AG455" s="166">
        <f>IF(OR($I455="",$E455=0),0,IF(OR($J455&lt;AG$3,$I455&gt;AG$2),0,IF($K455=0,IF(AND($I455&gt;=AG$3,$I455&lt;=AG$2),$E455,0),$E455*NETWORKDAYS(MAX($I455,AG$3),MIN($J455,AG$2),Data!$K$4:$K$203)/$K455)))</f>
        <v>0</v>
      </c>
      <c r="AH455" s="166">
        <f>IF(OR($I455="",$E455=0),0,IF(OR($J455&lt;AH$3,$I455&gt;AH$2),0,IF($K455=0,IF(AND($I455&gt;=AH$3,$I455&lt;=AH$2),$E455,0),$E455*NETWORKDAYS(MAX($I455,AH$3),MIN($J455,AH$2),Data!$K$4:$K$203)/$K455)))</f>
        <v>0</v>
      </c>
      <c r="AI455" s="166">
        <f>SUM(W455:AH455)</f>
        <v>0</v>
      </c>
      <c r="BZ455" t="str">
        <f>IF(D455=1,IF(TRIM(INDEX(Charge!$K:$K,ROW()))&lt;&gt;"",TRIM(INDEX(Charge!$K:$K,ROW())),IF(TRIM(INDEX(Charge!$L:$L,ROW()))&lt;&gt;"",TRIM(INDEX(Charge!$L:$L,ROW())),"(non affecté)")),"")</f>
        <v/>
      </c>
      <c r="CA455" t="str">
        <f>IF(AND($CD$4&lt;&gt;"",BZ455=$CD$4),COUNTIFS($BZ$4:$BZ$503,$CD$4,$L$4:$L$503,"&lt;"&amp;L455)+1,"")</f>
        <v/>
      </c>
      <c r="EM455" t="str">
        <f>IF(D455=1,IF(TRIM(INDEX(Charge!$K:$K,ROW()))&lt;&gt;"","Interne",IF(TRIM(INDEX(Charge!$L:$L,ROW()))&lt;&gt;"","Externe","Non affecté")),"")</f>
        <v/>
      </c>
      <c r="EN455" t="str">
        <f>IF(D455=1,LEFT(SUBSTITUTE(SUBSTITUTE(SUBSTITUTE(TRIM(SUBSTITUTE(INDEX(Charge!$B:$B,ROW()),CHAR(160)," "))&amp;" | "&amp;TRIM(SUBSTITUTE(INDEX(Charge!$C:$C,ROW()),CHAR(160)," "))&amp;" | "&amp;TRIM(SUBSTITUTE(INDEX(Charge!$D:$D,ROW()),CHAR(160)," ")),"~","-"),"*","+"),"?","!"),240),"")</f>
        <v/>
      </c>
      <c r="EO455">
        <f>IF(EN455="",0,IF(COUNTIF($EN$4:EN455,EN455)=1,1,0))</f>
        <v>0</v>
      </c>
      <c r="EP455" s="166" t="str">
        <f>IF(EO455=1,ROUND(SUMIF($EN$4:$EN$503,EN455,$E$4:$E$503),2),"")</f>
        <v/>
      </c>
      <c r="EQ455" t="str">
        <f>IF(EO455=1,COUNTIFS($EO$4:$EO$503,1,$EP$4:$EP$503,"&gt;"&amp;EP455)+COUNTIFS($EO$4:EO455,1,$EP$4:EP455,EP455),"")</f>
        <v/>
      </c>
      <c r="ER455" t="str">
        <f>IF(EO455=1,COUNTIFS($EN$4:$EN$503,EN455,$EM$4:$EM$503,"Interne",$FE$4:$FE$503,1),"")</f>
        <v/>
      </c>
      <c r="ES455" t="str">
        <f>IF(EO455=1,COUNTIFS($EN$4:$EN$503,EN455,$EM$4:$EM$503,"Externe",$FE$4:$FE$503,1),"")</f>
        <v/>
      </c>
      <c r="ET455" t="str">
        <f>IF(EO455=1,IF(ER455+ES455=0,"à affecter",IF(ER455=0,ES455&amp;" ext.",(ER455+ES455)&amp;IF(ES455&gt;0," dont "&amp;ES455&amp;" ext.",""))&amp;IF(COUNTIFS($EN$4:$EN$503,EN455,$EM$4:$EM$503,"Non affecté")&gt;0," + à affecter","")),"")</f>
        <v/>
      </c>
      <c r="EU455" s="170" t="str">
        <f>IF(EO455=1,IF(EP455&gt;0,SUMPRODUCT(($EN$4:$EN$503=EN455)*$E$4:$E$503*$C$4:$C$503)/EP455,AVERAGEIF($EN$4:$EN$503,EN455,$C$4:$C$503)),"")</f>
        <v/>
      </c>
      <c r="EV455" s="165">
        <f>IF(ISNUMBER(I455),I455,2958465)</f>
        <v>2958465.0</v>
      </c>
      <c r="EW455" s="165" t="str">
        <f>IF(EO455=1,SUMPRODUCT(MIN(($EN$4:$EN$503=EN455)*$EV$4:$EV$503+($EN$4:$EN$503&lt;&gt;EN455)*2958465)),"")</f>
        <v/>
      </c>
      <c r="EX455" s="165">
        <f>IF(AND(D455=1,ISNUMBER(INDEX(Charge!$F:$F,ROW()))),INDEX(Charge!$F:$F,ROW()),0)</f>
        <v>0.0</v>
      </c>
      <c r="EY455" s="165" t="str">
        <f>IF(EO455=1,SUMPRODUCT(MAX(($EN$4:$EN$503=EN455)*$EX$4:$EX$503)),"")</f>
        <v/>
      </c>
      <c r="FD455">
        <f>IF(AND(B455=1,TRIM(INDEX(Charge!$K:$K,ROW()))&lt;&gt;"",TRIM(INDEX(Charge!$L:$L,ROW()))&lt;&gt;""),1,0)</f>
        <v>0</v>
      </c>
      <c r="FE455">
        <f>IF(OR(EN455="",BZ455="(non affecté)"),0,IF(COUNTIFS($EN$4:EN455,EN455,$BZ$4:BZ455,BZ455)=1,1,0))</f>
        <v>0</v>
      </c>
    </row>
    <row r="456">
      <c r="A456">
        <f>ROW()</f>
        <v>456</v>
      </c>
      <c r="B456">
        <f>IF(TRIM(INDEX(Charge!$B:$B,ROW()))&lt;&gt;"",1,0)</f>
        <v>0</v>
      </c>
      <c r="C456">
        <f>IF(B456=1,MIN(1,MAX(0,N(INDEX(Charge!$O:$O,ROW())))),0)</f>
        <v>0</v>
      </c>
      <c r="D456">
        <f>IF(B456=1,IF(OR(p_Perimetre="Tous les projets",C456&lt;1),1,0),0)</f>
        <v>0</v>
      </c>
      <c r="E456">
        <f>IF(D456=1,MAX(0,N(INDEX(Charge!$M:$M,ROW()))),0)</f>
        <v>0</v>
      </c>
      <c r="F456" t="str">
        <f>IF(D456=1,IF(TRIM(INDEX(Charge!$A:$A,ROW()))="","(non renseigné)",TRIM(INDEX(Charge!$A:$A,ROW()))),"")</f>
        <v/>
      </c>
      <c r="G456" t="str">
        <f>IF(D456=1,TRIM(INDEX(Charge!$B:$B,ROW())),"")</f>
        <v/>
      </c>
      <c r="H456" t="str">
        <f>IF(D456=1,IF(TRIM(INDEX(Charge!$E:$E,ROW()))="","(non renseigné)",TRIM(INDEX(Charge!$E:$E,ROW()))),"")</f>
        <v/>
      </c>
      <c r="I456" s="165" t="str">
        <f>IF(AND(D456=1,ISNUMBER(INDEX(Charge!$N:$N,ROW()))),INDEX(Charge!$N:$N,ROW()),"")</f>
        <v/>
      </c>
      <c r="J456" s="165" t="str">
        <f>IF(I456="","",IF(AND(p_Repartition="Lissée jusqu'à la date de besoin",ISNUMBER(INDEX(Charge!$F:$F,ROW()))),IF(INDEX(Charge!$F:$F,ROW())&gt;=I456,INDEX(Charge!$F:$F,ROW()),I456),I456))</f>
        <v/>
      </c>
      <c r="K456" t="str">
        <f>IF(I456="","",NETWORKDAYS(I456,J456,Data!$K$4:$K$203))</f>
        <v/>
      </c>
      <c r="L456" t="str">
        <f>IF(D456=1,COUNTIFS($D$4:$D$503,1,$E$4:$E$503,"&gt;"&amp;E456)+COUNTIFS($D$4:$D456,1,$E$4:$E456,E456),"")</f>
        <v/>
      </c>
      <c r="M456">
        <f>IF(F456="",0,IF(COUNTIF($F$4:F456,F456)=1,1,0))</f>
        <v>0</v>
      </c>
      <c r="N456" t="str">
        <f>IF(M456=1,ROUND(SUMIF($F$4:$F$503,F456,$E$4:$E$503),2),"")</f>
        <v/>
      </c>
      <c r="O456" t="str">
        <f>IF(M456=1,COUNTIFS($M$4:$M$503,1,$N$4:$N$503,"&gt;"&amp;N456)+COUNTIFS($M$4:M456,1,$N$4:N456,N456),"")</f>
        <v/>
      </c>
      <c r="P456">
        <f>IF(G456="",0,IF(COUNTIF($G$4:G456,G456)=1,1,0))</f>
        <v>0</v>
      </c>
      <c r="Q456" t="str">
        <f>IF(P456=1,ROUND(SUMIF($G$4:$G$503,G456,$E$4:$E$503),2),"")</f>
        <v/>
      </c>
      <c r="R456" t="str">
        <f>IF(P456=1,COUNTIFS($P$4:$P$503,1,$Q$4:$Q$503,"&gt;"&amp;Q456)+COUNTIFS($P$4:P456,1,$Q$4:Q456,Q456),"")</f>
        <v/>
      </c>
      <c r="S456">
        <f>IF(H456="",0,IF(COUNTIF($H$4:H456,H456)=1,1,0))</f>
        <v>0</v>
      </c>
      <c r="T456" t="str">
        <f>IF(S456=1,ROUND(SUMIF($H$4:$H$503,H456,$E$4:$E$503),2),"")</f>
        <v/>
      </c>
      <c r="U456" t="str">
        <f>IF(S456=1,COUNTIFS($S$4:$S$503,1,$T$4:$T$503,"&gt;"&amp;T456)+COUNTIFS($S$4:S456,1,$T$4:T456,T456),"")</f>
        <v/>
      </c>
      <c r="V456" t="str">
        <f>IF(D456=1,MIN(INDEX($R$4:$R$503,MATCH(G456,$G$4:$G$503,0)),IF($AL$7&gt;9,9,999)),"")</f>
        <v/>
      </c>
      <c r="W456" s="166">
        <f>IF(OR($I456="",$E456=0),0,IF(OR($J456&lt;W$3,$I456&gt;W$2),0,IF($K456=0,IF(AND($I456&gt;=W$3,$I456&lt;=W$2),$E456,0),$E456*NETWORKDAYS(MAX($I456,W$3),MIN($J456,W$2),Data!$K$4:$K$203)/$K456)))</f>
        <v>0</v>
      </c>
      <c r="X456" s="166">
        <f>IF(OR($I456="",$E456=0),0,IF(OR($J456&lt;X$3,$I456&gt;X$2),0,IF($K456=0,IF(AND($I456&gt;=X$3,$I456&lt;=X$2),$E456,0),$E456*NETWORKDAYS(MAX($I456,X$3),MIN($J456,X$2),Data!$K$4:$K$203)/$K456)))</f>
        <v>0</v>
      </c>
      <c r="Y456" s="166">
        <f>IF(OR($I456="",$E456=0),0,IF(OR($J456&lt;Y$3,$I456&gt;Y$2),0,IF($K456=0,IF(AND($I456&gt;=Y$3,$I456&lt;=Y$2),$E456,0),$E456*NETWORKDAYS(MAX($I456,Y$3),MIN($J456,Y$2),Data!$K$4:$K$203)/$K456)))</f>
        <v>0</v>
      </c>
      <c r="Z456" s="166">
        <f>IF(OR($I456="",$E456=0),0,IF(OR($J456&lt;Z$3,$I456&gt;Z$2),0,IF($K456=0,IF(AND($I456&gt;=Z$3,$I456&lt;=Z$2),$E456,0),$E456*NETWORKDAYS(MAX($I456,Z$3),MIN($J456,Z$2),Data!$K$4:$K$203)/$K456)))</f>
        <v>0</v>
      </c>
      <c r="AA456" s="166">
        <f>IF(OR($I456="",$E456=0),0,IF(OR($J456&lt;AA$3,$I456&gt;AA$2),0,IF($K456=0,IF(AND($I456&gt;=AA$3,$I456&lt;=AA$2),$E456,0),$E456*NETWORKDAYS(MAX($I456,AA$3),MIN($J456,AA$2),Data!$K$4:$K$203)/$K456)))</f>
        <v>0</v>
      </c>
      <c r="AB456" s="166">
        <f>IF(OR($I456="",$E456=0),0,IF(OR($J456&lt;AB$3,$I456&gt;AB$2),0,IF($K456=0,IF(AND($I456&gt;=AB$3,$I456&lt;=AB$2),$E456,0),$E456*NETWORKDAYS(MAX($I456,AB$3),MIN($J456,AB$2),Data!$K$4:$K$203)/$K456)))</f>
        <v>0</v>
      </c>
      <c r="AC456" s="166">
        <f>IF(OR($I456="",$E456=0),0,IF(OR($J456&lt;AC$3,$I456&gt;AC$2),0,IF($K456=0,IF(AND($I456&gt;=AC$3,$I456&lt;=AC$2),$E456,0),$E456*NETWORKDAYS(MAX($I456,AC$3),MIN($J456,AC$2),Data!$K$4:$K$203)/$K456)))</f>
        <v>0</v>
      </c>
      <c r="AD456" s="166">
        <f>IF(OR($I456="",$E456=0),0,IF(OR($J456&lt;AD$3,$I456&gt;AD$2),0,IF($K456=0,IF(AND($I456&gt;=AD$3,$I456&lt;=AD$2),$E456,0),$E456*NETWORKDAYS(MAX($I456,AD$3),MIN($J456,AD$2),Data!$K$4:$K$203)/$K456)))</f>
        <v>0</v>
      </c>
      <c r="AE456" s="166">
        <f>IF(OR($I456="",$E456=0),0,IF(OR($J456&lt;AE$3,$I456&gt;AE$2),0,IF($K456=0,IF(AND($I456&gt;=AE$3,$I456&lt;=AE$2),$E456,0),$E456*NETWORKDAYS(MAX($I456,AE$3),MIN($J456,AE$2),Data!$K$4:$K$203)/$K456)))</f>
        <v>0</v>
      </c>
      <c r="AF456" s="166">
        <f>IF(OR($I456="",$E456=0),0,IF(OR($J456&lt;AF$3,$I456&gt;AF$2),0,IF($K456=0,IF(AND($I456&gt;=AF$3,$I456&lt;=AF$2),$E456,0),$E456*NETWORKDAYS(MAX($I456,AF$3),MIN($J456,AF$2),Data!$K$4:$K$203)/$K456)))</f>
        <v>0</v>
      </c>
      <c r="AG456" s="166">
        <f>IF(OR($I456="",$E456=0),0,IF(OR($J456&lt;AG$3,$I456&gt;AG$2),0,IF($K456=0,IF(AND($I456&gt;=AG$3,$I456&lt;=AG$2),$E456,0),$E456*NETWORKDAYS(MAX($I456,AG$3),MIN($J456,AG$2),Data!$K$4:$K$203)/$K456)))</f>
        <v>0</v>
      </c>
      <c r="AH456" s="166">
        <f>IF(OR($I456="",$E456=0),0,IF(OR($J456&lt;AH$3,$I456&gt;AH$2),0,IF($K456=0,IF(AND($I456&gt;=AH$3,$I456&lt;=AH$2),$E456,0),$E456*NETWORKDAYS(MAX($I456,AH$3),MIN($J456,AH$2),Data!$K$4:$K$203)/$K456)))</f>
        <v>0</v>
      </c>
      <c r="AI456" s="166">
        <f>SUM(W456:AH456)</f>
        <v>0</v>
      </c>
      <c r="BZ456" t="str">
        <f>IF(D456=1,IF(TRIM(INDEX(Charge!$K:$K,ROW()))&lt;&gt;"",TRIM(INDEX(Charge!$K:$K,ROW())),IF(TRIM(INDEX(Charge!$L:$L,ROW()))&lt;&gt;"",TRIM(INDEX(Charge!$L:$L,ROW())),"(non affecté)")),"")</f>
        <v/>
      </c>
      <c r="CA456" t="str">
        <f>IF(AND($CD$4&lt;&gt;"",BZ456=$CD$4),COUNTIFS($BZ$4:$BZ$503,$CD$4,$L$4:$L$503,"&lt;"&amp;L456)+1,"")</f>
        <v/>
      </c>
      <c r="EM456" t="str">
        <f>IF(D456=1,IF(TRIM(INDEX(Charge!$K:$K,ROW()))&lt;&gt;"","Interne",IF(TRIM(INDEX(Charge!$L:$L,ROW()))&lt;&gt;"","Externe","Non affecté")),"")</f>
        <v/>
      </c>
      <c r="EN456" t="str">
        <f>IF(D456=1,LEFT(SUBSTITUTE(SUBSTITUTE(SUBSTITUTE(TRIM(SUBSTITUTE(INDEX(Charge!$B:$B,ROW()),CHAR(160)," "))&amp;" | "&amp;TRIM(SUBSTITUTE(INDEX(Charge!$C:$C,ROW()),CHAR(160)," "))&amp;" | "&amp;TRIM(SUBSTITUTE(INDEX(Charge!$D:$D,ROW()),CHAR(160)," ")),"~","-"),"*","+"),"?","!"),240),"")</f>
        <v/>
      </c>
      <c r="EO456">
        <f>IF(EN456="",0,IF(COUNTIF($EN$4:EN456,EN456)=1,1,0))</f>
        <v>0</v>
      </c>
      <c r="EP456" s="166" t="str">
        <f>IF(EO456=1,ROUND(SUMIF($EN$4:$EN$503,EN456,$E$4:$E$503),2),"")</f>
        <v/>
      </c>
      <c r="EQ456" t="str">
        <f>IF(EO456=1,COUNTIFS($EO$4:$EO$503,1,$EP$4:$EP$503,"&gt;"&amp;EP456)+COUNTIFS($EO$4:EO456,1,$EP$4:EP456,EP456),"")</f>
        <v/>
      </c>
      <c r="ER456" t="str">
        <f>IF(EO456=1,COUNTIFS($EN$4:$EN$503,EN456,$EM$4:$EM$503,"Interne",$FE$4:$FE$503,1),"")</f>
        <v/>
      </c>
      <c r="ES456" t="str">
        <f>IF(EO456=1,COUNTIFS($EN$4:$EN$503,EN456,$EM$4:$EM$503,"Externe",$FE$4:$FE$503,1),"")</f>
        <v/>
      </c>
      <c r="ET456" t="str">
        <f>IF(EO456=1,IF(ER456+ES456=0,"à affecter",IF(ER456=0,ES456&amp;" ext.",(ER456+ES456)&amp;IF(ES456&gt;0," dont "&amp;ES456&amp;" ext.",""))&amp;IF(COUNTIFS($EN$4:$EN$503,EN456,$EM$4:$EM$503,"Non affecté")&gt;0," + à affecter","")),"")</f>
        <v/>
      </c>
      <c r="EU456" s="170" t="str">
        <f>IF(EO456=1,IF(EP456&gt;0,SUMPRODUCT(($EN$4:$EN$503=EN456)*$E$4:$E$503*$C$4:$C$503)/EP456,AVERAGEIF($EN$4:$EN$503,EN456,$C$4:$C$503)),"")</f>
        <v/>
      </c>
      <c r="EV456" s="165">
        <f>IF(ISNUMBER(I456),I456,2958465)</f>
        <v>2958465.0</v>
      </c>
      <c r="EW456" s="165" t="str">
        <f>IF(EO456=1,SUMPRODUCT(MIN(($EN$4:$EN$503=EN456)*$EV$4:$EV$503+($EN$4:$EN$503&lt;&gt;EN456)*2958465)),"")</f>
        <v/>
      </c>
      <c r="EX456" s="165">
        <f>IF(AND(D456=1,ISNUMBER(INDEX(Charge!$F:$F,ROW()))),INDEX(Charge!$F:$F,ROW()),0)</f>
        <v>0.0</v>
      </c>
      <c r="EY456" s="165" t="str">
        <f>IF(EO456=1,SUMPRODUCT(MAX(($EN$4:$EN$503=EN456)*$EX$4:$EX$503)),"")</f>
        <v/>
      </c>
      <c r="FD456">
        <f>IF(AND(B456=1,TRIM(INDEX(Charge!$K:$K,ROW()))&lt;&gt;"",TRIM(INDEX(Charge!$L:$L,ROW()))&lt;&gt;""),1,0)</f>
        <v>0</v>
      </c>
      <c r="FE456">
        <f>IF(OR(EN456="",BZ456="(non affecté)"),0,IF(COUNTIFS($EN$4:EN456,EN456,$BZ$4:BZ456,BZ456)=1,1,0))</f>
        <v>0</v>
      </c>
    </row>
    <row r="457">
      <c r="A457">
        <f>ROW()</f>
        <v>457</v>
      </c>
      <c r="B457">
        <f>IF(TRIM(INDEX(Charge!$B:$B,ROW()))&lt;&gt;"",1,0)</f>
        <v>0</v>
      </c>
      <c r="C457">
        <f>IF(B457=1,MIN(1,MAX(0,N(INDEX(Charge!$O:$O,ROW())))),0)</f>
        <v>0</v>
      </c>
      <c r="D457">
        <f>IF(B457=1,IF(OR(p_Perimetre="Tous les projets",C457&lt;1),1,0),0)</f>
        <v>0</v>
      </c>
      <c r="E457">
        <f>IF(D457=1,MAX(0,N(INDEX(Charge!$M:$M,ROW()))),0)</f>
        <v>0</v>
      </c>
      <c r="F457" t="str">
        <f>IF(D457=1,IF(TRIM(INDEX(Charge!$A:$A,ROW()))="","(non renseigné)",TRIM(INDEX(Charge!$A:$A,ROW()))),"")</f>
        <v/>
      </c>
      <c r="G457" t="str">
        <f>IF(D457=1,TRIM(INDEX(Charge!$B:$B,ROW())),"")</f>
        <v/>
      </c>
      <c r="H457" t="str">
        <f>IF(D457=1,IF(TRIM(INDEX(Charge!$E:$E,ROW()))="","(non renseigné)",TRIM(INDEX(Charge!$E:$E,ROW()))),"")</f>
        <v/>
      </c>
      <c r="I457" s="165" t="str">
        <f>IF(AND(D457=1,ISNUMBER(INDEX(Charge!$N:$N,ROW()))),INDEX(Charge!$N:$N,ROW()),"")</f>
        <v/>
      </c>
      <c r="J457" s="165" t="str">
        <f>IF(I457="","",IF(AND(p_Repartition="Lissée jusqu'à la date de besoin",ISNUMBER(INDEX(Charge!$F:$F,ROW()))),IF(INDEX(Charge!$F:$F,ROW())&gt;=I457,INDEX(Charge!$F:$F,ROW()),I457),I457))</f>
        <v/>
      </c>
      <c r="K457" t="str">
        <f>IF(I457="","",NETWORKDAYS(I457,J457,Data!$K$4:$K$203))</f>
        <v/>
      </c>
      <c r="L457" t="str">
        <f>IF(D457=1,COUNTIFS($D$4:$D$503,1,$E$4:$E$503,"&gt;"&amp;E457)+COUNTIFS($D$4:$D457,1,$E$4:$E457,E457),"")</f>
        <v/>
      </c>
      <c r="M457">
        <f>IF(F457="",0,IF(COUNTIF($F$4:F457,F457)=1,1,0))</f>
        <v>0</v>
      </c>
      <c r="N457" t="str">
        <f>IF(M457=1,ROUND(SUMIF($F$4:$F$503,F457,$E$4:$E$503),2),"")</f>
        <v/>
      </c>
      <c r="O457" t="str">
        <f>IF(M457=1,COUNTIFS($M$4:$M$503,1,$N$4:$N$503,"&gt;"&amp;N457)+COUNTIFS($M$4:M457,1,$N$4:N457,N457),"")</f>
        <v/>
      </c>
      <c r="P457">
        <f>IF(G457="",0,IF(COUNTIF($G$4:G457,G457)=1,1,0))</f>
        <v>0</v>
      </c>
      <c r="Q457" t="str">
        <f>IF(P457=1,ROUND(SUMIF($G$4:$G$503,G457,$E$4:$E$503),2),"")</f>
        <v/>
      </c>
      <c r="R457" t="str">
        <f>IF(P457=1,COUNTIFS($P$4:$P$503,1,$Q$4:$Q$503,"&gt;"&amp;Q457)+COUNTIFS($P$4:P457,1,$Q$4:Q457,Q457),"")</f>
        <v/>
      </c>
      <c r="S457">
        <f>IF(H457="",0,IF(COUNTIF($H$4:H457,H457)=1,1,0))</f>
        <v>0</v>
      </c>
      <c r="T457" t="str">
        <f>IF(S457=1,ROUND(SUMIF($H$4:$H$503,H457,$E$4:$E$503),2),"")</f>
        <v/>
      </c>
      <c r="U457" t="str">
        <f>IF(S457=1,COUNTIFS($S$4:$S$503,1,$T$4:$T$503,"&gt;"&amp;T457)+COUNTIFS($S$4:S457,1,$T$4:T457,T457),"")</f>
        <v/>
      </c>
      <c r="V457" t="str">
        <f>IF(D457=1,MIN(INDEX($R$4:$R$503,MATCH(G457,$G$4:$G$503,0)),IF($AL$7&gt;9,9,999)),"")</f>
        <v/>
      </c>
      <c r="W457" s="166">
        <f>IF(OR($I457="",$E457=0),0,IF(OR($J457&lt;W$3,$I457&gt;W$2),0,IF($K457=0,IF(AND($I457&gt;=W$3,$I457&lt;=W$2),$E457,0),$E457*NETWORKDAYS(MAX($I457,W$3),MIN($J457,W$2),Data!$K$4:$K$203)/$K457)))</f>
        <v>0</v>
      </c>
      <c r="X457" s="166">
        <f>IF(OR($I457="",$E457=0),0,IF(OR($J457&lt;X$3,$I457&gt;X$2),0,IF($K457=0,IF(AND($I457&gt;=X$3,$I457&lt;=X$2),$E457,0),$E457*NETWORKDAYS(MAX($I457,X$3),MIN($J457,X$2),Data!$K$4:$K$203)/$K457)))</f>
        <v>0</v>
      </c>
      <c r="Y457" s="166">
        <f>IF(OR($I457="",$E457=0),0,IF(OR($J457&lt;Y$3,$I457&gt;Y$2),0,IF($K457=0,IF(AND($I457&gt;=Y$3,$I457&lt;=Y$2),$E457,0),$E457*NETWORKDAYS(MAX($I457,Y$3),MIN($J457,Y$2),Data!$K$4:$K$203)/$K457)))</f>
        <v>0</v>
      </c>
      <c r="Z457" s="166">
        <f>IF(OR($I457="",$E457=0),0,IF(OR($J457&lt;Z$3,$I457&gt;Z$2),0,IF($K457=0,IF(AND($I457&gt;=Z$3,$I457&lt;=Z$2),$E457,0),$E457*NETWORKDAYS(MAX($I457,Z$3),MIN($J457,Z$2),Data!$K$4:$K$203)/$K457)))</f>
        <v>0</v>
      </c>
      <c r="AA457" s="166">
        <f>IF(OR($I457="",$E457=0),0,IF(OR($J457&lt;AA$3,$I457&gt;AA$2),0,IF($K457=0,IF(AND($I457&gt;=AA$3,$I457&lt;=AA$2),$E457,0),$E457*NETWORKDAYS(MAX($I457,AA$3),MIN($J457,AA$2),Data!$K$4:$K$203)/$K457)))</f>
        <v>0</v>
      </c>
      <c r="AB457" s="166">
        <f>IF(OR($I457="",$E457=0),0,IF(OR($J457&lt;AB$3,$I457&gt;AB$2),0,IF($K457=0,IF(AND($I457&gt;=AB$3,$I457&lt;=AB$2),$E457,0),$E457*NETWORKDAYS(MAX($I457,AB$3),MIN($J457,AB$2),Data!$K$4:$K$203)/$K457)))</f>
        <v>0</v>
      </c>
      <c r="AC457" s="166">
        <f>IF(OR($I457="",$E457=0),0,IF(OR($J457&lt;AC$3,$I457&gt;AC$2),0,IF($K457=0,IF(AND($I457&gt;=AC$3,$I457&lt;=AC$2),$E457,0),$E457*NETWORKDAYS(MAX($I457,AC$3),MIN($J457,AC$2),Data!$K$4:$K$203)/$K457)))</f>
        <v>0</v>
      </c>
      <c r="AD457" s="166">
        <f>IF(OR($I457="",$E457=0),0,IF(OR($J457&lt;AD$3,$I457&gt;AD$2),0,IF($K457=0,IF(AND($I457&gt;=AD$3,$I457&lt;=AD$2),$E457,0),$E457*NETWORKDAYS(MAX($I457,AD$3),MIN($J457,AD$2),Data!$K$4:$K$203)/$K457)))</f>
        <v>0</v>
      </c>
      <c r="AE457" s="166">
        <f>IF(OR($I457="",$E457=0),0,IF(OR($J457&lt;AE$3,$I457&gt;AE$2),0,IF($K457=0,IF(AND($I457&gt;=AE$3,$I457&lt;=AE$2),$E457,0),$E457*NETWORKDAYS(MAX($I457,AE$3),MIN($J457,AE$2),Data!$K$4:$K$203)/$K457)))</f>
        <v>0</v>
      </c>
      <c r="AF457" s="166">
        <f>IF(OR($I457="",$E457=0),0,IF(OR($J457&lt;AF$3,$I457&gt;AF$2),0,IF($K457=0,IF(AND($I457&gt;=AF$3,$I457&lt;=AF$2),$E457,0),$E457*NETWORKDAYS(MAX($I457,AF$3),MIN($J457,AF$2),Data!$K$4:$K$203)/$K457)))</f>
        <v>0</v>
      </c>
      <c r="AG457" s="166">
        <f>IF(OR($I457="",$E457=0),0,IF(OR($J457&lt;AG$3,$I457&gt;AG$2),0,IF($K457=0,IF(AND($I457&gt;=AG$3,$I457&lt;=AG$2),$E457,0),$E457*NETWORKDAYS(MAX($I457,AG$3),MIN($J457,AG$2),Data!$K$4:$K$203)/$K457)))</f>
        <v>0</v>
      </c>
      <c r="AH457" s="166">
        <f>IF(OR($I457="",$E457=0),0,IF(OR($J457&lt;AH$3,$I457&gt;AH$2),0,IF($K457=0,IF(AND($I457&gt;=AH$3,$I457&lt;=AH$2),$E457,0),$E457*NETWORKDAYS(MAX($I457,AH$3),MIN($J457,AH$2),Data!$K$4:$K$203)/$K457)))</f>
        <v>0</v>
      </c>
      <c r="AI457" s="166">
        <f>SUM(W457:AH457)</f>
        <v>0</v>
      </c>
      <c r="BZ457" t="str">
        <f>IF(D457=1,IF(TRIM(INDEX(Charge!$K:$K,ROW()))&lt;&gt;"",TRIM(INDEX(Charge!$K:$K,ROW())),IF(TRIM(INDEX(Charge!$L:$L,ROW()))&lt;&gt;"",TRIM(INDEX(Charge!$L:$L,ROW())),"(non affecté)")),"")</f>
        <v/>
      </c>
      <c r="CA457" t="str">
        <f>IF(AND($CD$4&lt;&gt;"",BZ457=$CD$4),COUNTIFS($BZ$4:$BZ$503,$CD$4,$L$4:$L$503,"&lt;"&amp;L457)+1,"")</f>
        <v/>
      </c>
      <c r="EM457" t="str">
        <f>IF(D457=1,IF(TRIM(INDEX(Charge!$K:$K,ROW()))&lt;&gt;"","Interne",IF(TRIM(INDEX(Charge!$L:$L,ROW()))&lt;&gt;"","Externe","Non affecté")),"")</f>
        <v/>
      </c>
      <c r="EN457" t="str">
        <f>IF(D457=1,LEFT(SUBSTITUTE(SUBSTITUTE(SUBSTITUTE(TRIM(SUBSTITUTE(INDEX(Charge!$B:$B,ROW()),CHAR(160)," "))&amp;" | "&amp;TRIM(SUBSTITUTE(INDEX(Charge!$C:$C,ROW()),CHAR(160)," "))&amp;" | "&amp;TRIM(SUBSTITUTE(INDEX(Charge!$D:$D,ROW()),CHAR(160)," ")),"~","-"),"*","+"),"?","!"),240),"")</f>
        <v/>
      </c>
      <c r="EO457">
        <f>IF(EN457="",0,IF(COUNTIF($EN$4:EN457,EN457)=1,1,0))</f>
        <v>0</v>
      </c>
      <c r="EP457" s="166" t="str">
        <f>IF(EO457=1,ROUND(SUMIF($EN$4:$EN$503,EN457,$E$4:$E$503),2),"")</f>
        <v/>
      </c>
      <c r="EQ457" t="str">
        <f>IF(EO457=1,COUNTIFS($EO$4:$EO$503,1,$EP$4:$EP$503,"&gt;"&amp;EP457)+COUNTIFS($EO$4:EO457,1,$EP$4:EP457,EP457),"")</f>
        <v/>
      </c>
      <c r="ER457" t="str">
        <f>IF(EO457=1,COUNTIFS($EN$4:$EN$503,EN457,$EM$4:$EM$503,"Interne",$FE$4:$FE$503,1),"")</f>
        <v/>
      </c>
      <c r="ES457" t="str">
        <f>IF(EO457=1,COUNTIFS($EN$4:$EN$503,EN457,$EM$4:$EM$503,"Externe",$FE$4:$FE$503,1),"")</f>
        <v/>
      </c>
      <c r="ET457" t="str">
        <f>IF(EO457=1,IF(ER457+ES457=0,"à affecter",IF(ER457=0,ES457&amp;" ext.",(ER457+ES457)&amp;IF(ES457&gt;0," dont "&amp;ES457&amp;" ext.",""))&amp;IF(COUNTIFS($EN$4:$EN$503,EN457,$EM$4:$EM$503,"Non affecté")&gt;0," + à affecter","")),"")</f>
        <v/>
      </c>
      <c r="EU457" s="170" t="str">
        <f>IF(EO457=1,IF(EP457&gt;0,SUMPRODUCT(($EN$4:$EN$503=EN457)*$E$4:$E$503*$C$4:$C$503)/EP457,AVERAGEIF($EN$4:$EN$503,EN457,$C$4:$C$503)),"")</f>
        <v/>
      </c>
      <c r="EV457" s="165">
        <f>IF(ISNUMBER(I457),I457,2958465)</f>
        <v>2958465.0</v>
      </c>
      <c r="EW457" s="165" t="str">
        <f>IF(EO457=1,SUMPRODUCT(MIN(($EN$4:$EN$503=EN457)*$EV$4:$EV$503+($EN$4:$EN$503&lt;&gt;EN457)*2958465)),"")</f>
        <v/>
      </c>
      <c r="EX457" s="165">
        <f>IF(AND(D457=1,ISNUMBER(INDEX(Charge!$F:$F,ROW()))),INDEX(Charge!$F:$F,ROW()),0)</f>
        <v>0.0</v>
      </c>
      <c r="EY457" s="165" t="str">
        <f>IF(EO457=1,SUMPRODUCT(MAX(($EN$4:$EN$503=EN457)*$EX$4:$EX$503)),"")</f>
        <v/>
      </c>
      <c r="FD457">
        <f>IF(AND(B457=1,TRIM(INDEX(Charge!$K:$K,ROW()))&lt;&gt;"",TRIM(INDEX(Charge!$L:$L,ROW()))&lt;&gt;""),1,0)</f>
        <v>0</v>
      </c>
      <c r="FE457">
        <f>IF(OR(EN457="",BZ457="(non affecté)"),0,IF(COUNTIFS($EN$4:EN457,EN457,$BZ$4:BZ457,BZ457)=1,1,0))</f>
        <v>0</v>
      </c>
    </row>
    <row r="458">
      <c r="A458">
        <f>ROW()</f>
        <v>458</v>
      </c>
      <c r="B458">
        <f>IF(TRIM(INDEX(Charge!$B:$B,ROW()))&lt;&gt;"",1,0)</f>
        <v>0</v>
      </c>
      <c r="C458">
        <f>IF(B458=1,MIN(1,MAX(0,N(INDEX(Charge!$O:$O,ROW())))),0)</f>
        <v>0</v>
      </c>
      <c r="D458">
        <f>IF(B458=1,IF(OR(p_Perimetre="Tous les projets",C458&lt;1),1,0),0)</f>
        <v>0</v>
      </c>
      <c r="E458">
        <f>IF(D458=1,MAX(0,N(INDEX(Charge!$M:$M,ROW()))),0)</f>
        <v>0</v>
      </c>
      <c r="F458" t="str">
        <f>IF(D458=1,IF(TRIM(INDEX(Charge!$A:$A,ROW()))="","(non renseigné)",TRIM(INDEX(Charge!$A:$A,ROW()))),"")</f>
        <v/>
      </c>
      <c r="G458" t="str">
        <f>IF(D458=1,TRIM(INDEX(Charge!$B:$B,ROW())),"")</f>
        <v/>
      </c>
      <c r="H458" t="str">
        <f>IF(D458=1,IF(TRIM(INDEX(Charge!$E:$E,ROW()))="","(non renseigné)",TRIM(INDEX(Charge!$E:$E,ROW()))),"")</f>
        <v/>
      </c>
      <c r="I458" s="165" t="str">
        <f>IF(AND(D458=1,ISNUMBER(INDEX(Charge!$N:$N,ROW()))),INDEX(Charge!$N:$N,ROW()),"")</f>
        <v/>
      </c>
      <c r="J458" s="165" t="str">
        <f>IF(I458="","",IF(AND(p_Repartition="Lissée jusqu'à la date de besoin",ISNUMBER(INDEX(Charge!$F:$F,ROW()))),IF(INDEX(Charge!$F:$F,ROW())&gt;=I458,INDEX(Charge!$F:$F,ROW()),I458),I458))</f>
        <v/>
      </c>
      <c r="K458" t="str">
        <f>IF(I458="","",NETWORKDAYS(I458,J458,Data!$K$4:$K$203))</f>
        <v/>
      </c>
      <c r="L458" t="str">
        <f>IF(D458=1,COUNTIFS($D$4:$D$503,1,$E$4:$E$503,"&gt;"&amp;E458)+COUNTIFS($D$4:$D458,1,$E$4:$E458,E458),"")</f>
        <v/>
      </c>
      <c r="M458">
        <f>IF(F458="",0,IF(COUNTIF($F$4:F458,F458)=1,1,0))</f>
        <v>0</v>
      </c>
      <c r="N458" t="str">
        <f>IF(M458=1,ROUND(SUMIF($F$4:$F$503,F458,$E$4:$E$503),2),"")</f>
        <v/>
      </c>
      <c r="O458" t="str">
        <f>IF(M458=1,COUNTIFS($M$4:$M$503,1,$N$4:$N$503,"&gt;"&amp;N458)+COUNTIFS($M$4:M458,1,$N$4:N458,N458),"")</f>
        <v/>
      </c>
      <c r="P458">
        <f>IF(G458="",0,IF(COUNTIF($G$4:G458,G458)=1,1,0))</f>
        <v>0</v>
      </c>
      <c r="Q458" t="str">
        <f>IF(P458=1,ROUND(SUMIF($G$4:$G$503,G458,$E$4:$E$503),2),"")</f>
        <v/>
      </c>
      <c r="R458" t="str">
        <f>IF(P458=1,COUNTIFS($P$4:$P$503,1,$Q$4:$Q$503,"&gt;"&amp;Q458)+COUNTIFS($P$4:P458,1,$Q$4:Q458,Q458),"")</f>
        <v/>
      </c>
      <c r="S458">
        <f>IF(H458="",0,IF(COUNTIF($H$4:H458,H458)=1,1,0))</f>
        <v>0</v>
      </c>
      <c r="T458" t="str">
        <f>IF(S458=1,ROUND(SUMIF($H$4:$H$503,H458,$E$4:$E$503),2),"")</f>
        <v/>
      </c>
      <c r="U458" t="str">
        <f>IF(S458=1,COUNTIFS($S$4:$S$503,1,$T$4:$T$503,"&gt;"&amp;T458)+COUNTIFS($S$4:S458,1,$T$4:T458,T458),"")</f>
        <v/>
      </c>
      <c r="V458" t="str">
        <f>IF(D458=1,MIN(INDEX($R$4:$R$503,MATCH(G458,$G$4:$G$503,0)),IF($AL$7&gt;9,9,999)),"")</f>
        <v/>
      </c>
      <c r="W458" s="166">
        <f>IF(OR($I458="",$E458=0),0,IF(OR($J458&lt;W$3,$I458&gt;W$2),0,IF($K458=0,IF(AND($I458&gt;=W$3,$I458&lt;=W$2),$E458,0),$E458*NETWORKDAYS(MAX($I458,W$3),MIN($J458,W$2),Data!$K$4:$K$203)/$K458)))</f>
        <v>0</v>
      </c>
      <c r="X458" s="166">
        <f>IF(OR($I458="",$E458=0),0,IF(OR($J458&lt;X$3,$I458&gt;X$2),0,IF($K458=0,IF(AND($I458&gt;=X$3,$I458&lt;=X$2),$E458,0),$E458*NETWORKDAYS(MAX($I458,X$3),MIN($J458,X$2),Data!$K$4:$K$203)/$K458)))</f>
        <v>0</v>
      </c>
      <c r="Y458" s="166">
        <f>IF(OR($I458="",$E458=0),0,IF(OR($J458&lt;Y$3,$I458&gt;Y$2),0,IF($K458=0,IF(AND($I458&gt;=Y$3,$I458&lt;=Y$2),$E458,0),$E458*NETWORKDAYS(MAX($I458,Y$3),MIN($J458,Y$2),Data!$K$4:$K$203)/$K458)))</f>
        <v>0</v>
      </c>
      <c r="Z458" s="166">
        <f>IF(OR($I458="",$E458=0),0,IF(OR($J458&lt;Z$3,$I458&gt;Z$2),0,IF($K458=0,IF(AND($I458&gt;=Z$3,$I458&lt;=Z$2),$E458,0),$E458*NETWORKDAYS(MAX($I458,Z$3),MIN($J458,Z$2),Data!$K$4:$K$203)/$K458)))</f>
        <v>0</v>
      </c>
      <c r="AA458" s="166">
        <f>IF(OR($I458="",$E458=0),0,IF(OR($J458&lt;AA$3,$I458&gt;AA$2),0,IF($K458=0,IF(AND($I458&gt;=AA$3,$I458&lt;=AA$2),$E458,0),$E458*NETWORKDAYS(MAX($I458,AA$3),MIN($J458,AA$2),Data!$K$4:$K$203)/$K458)))</f>
        <v>0</v>
      </c>
      <c r="AB458" s="166">
        <f>IF(OR($I458="",$E458=0),0,IF(OR($J458&lt;AB$3,$I458&gt;AB$2),0,IF($K458=0,IF(AND($I458&gt;=AB$3,$I458&lt;=AB$2),$E458,0),$E458*NETWORKDAYS(MAX($I458,AB$3),MIN($J458,AB$2),Data!$K$4:$K$203)/$K458)))</f>
        <v>0</v>
      </c>
      <c r="AC458" s="166">
        <f>IF(OR($I458="",$E458=0),0,IF(OR($J458&lt;AC$3,$I458&gt;AC$2),0,IF($K458=0,IF(AND($I458&gt;=AC$3,$I458&lt;=AC$2),$E458,0),$E458*NETWORKDAYS(MAX($I458,AC$3),MIN($J458,AC$2),Data!$K$4:$K$203)/$K458)))</f>
        <v>0</v>
      </c>
      <c r="AD458" s="166">
        <f>IF(OR($I458="",$E458=0),0,IF(OR($J458&lt;AD$3,$I458&gt;AD$2),0,IF($K458=0,IF(AND($I458&gt;=AD$3,$I458&lt;=AD$2),$E458,0),$E458*NETWORKDAYS(MAX($I458,AD$3),MIN($J458,AD$2),Data!$K$4:$K$203)/$K458)))</f>
        <v>0</v>
      </c>
      <c r="AE458" s="166">
        <f>IF(OR($I458="",$E458=0),0,IF(OR($J458&lt;AE$3,$I458&gt;AE$2),0,IF($K458=0,IF(AND($I458&gt;=AE$3,$I458&lt;=AE$2),$E458,0),$E458*NETWORKDAYS(MAX($I458,AE$3),MIN($J458,AE$2),Data!$K$4:$K$203)/$K458)))</f>
        <v>0</v>
      </c>
      <c r="AF458" s="166">
        <f>IF(OR($I458="",$E458=0),0,IF(OR($J458&lt;AF$3,$I458&gt;AF$2),0,IF($K458=0,IF(AND($I458&gt;=AF$3,$I458&lt;=AF$2),$E458,0),$E458*NETWORKDAYS(MAX($I458,AF$3),MIN($J458,AF$2),Data!$K$4:$K$203)/$K458)))</f>
        <v>0</v>
      </c>
      <c r="AG458" s="166">
        <f>IF(OR($I458="",$E458=0),0,IF(OR($J458&lt;AG$3,$I458&gt;AG$2),0,IF($K458=0,IF(AND($I458&gt;=AG$3,$I458&lt;=AG$2),$E458,0),$E458*NETWORKDAYS(MAX($I458,AG$3),MIN($J458,AG$2),Data!$K$4:$K$203)/$K458)))</f>
        <v>0</v>
      </c>
      <c r="AH458" s="166">
        <f>IF(OR($I458="",$E458=0),0,IF(OR($J458&lt;AH$3,$I458&gt;AH$2),0,IF($K458=0,IF(AND($I458&gt;=AH$3,$I458&lt;=AH$2),$E458,0),$E458*NETWORKDAYS(MAX($I458,AH$3),MIN($J458,AH$2),Data!$K$4:$K$203)/$K458)))</f>
        <v>0</v>
      </c>
      <c r="AI458" s="166">
        <f>SUM(W458:AH458)</f>
        <v>0</v>
      </c>
      <c r="BZ458" t="str">
        <f>IF(D458=1,IF(TRIM(INDEX(Charge!$K:$K,ROW()))&lt;&gt;"",TRIM(INDEX(Charge!$K:$K,ROW())),IF(TRIM(INDEX(Charge!$L:$L,ROW()))&lt;&gt;"",TRIM(INDEX(Charge!$L:$L,ROW())),"(non affecté)")),"")</f>
        <v/>
      </c>
      <c r="CA458" t="str">
        <f>IF(AND($CD$4&lt;&gt;"",BZ458=$CD$4),COUNTIFS($BZ$4:$BZ$503,$CD$4,$L$4:$L$503,"&lt;"&amp;L458)+1,"")</f>
        <v/>
      </c>
      <c r="EM458" t="str">
        <f>IF(D458=1,IF(TRIM(INDEX(Charge!$K:$K,ROW()))&lt;&gt;"","Interne",IF(TRIM(INDEX(Charge!$L:$L,ROW()))&lt;&gt;"","Externe","Non affecté")),"")</f>
        <v/>
      </c>
      <c r="EN458" t="str">
        <f>IF(D458=1,LEFT(SUBSTITUTE(SUBSTITUTE(SUBSTITUTE(TRIM(SUBSTITUTE(INDEX(Charge!$B:$B,ROW()),CHAR(160)," "))&amp;" | "&amp;TRIM(SUBSTITUTE(INDEX(Charge!$C:$C,ROW()),CHAR(160)," "))&amp;" | "&amp;TRIM(SUBSTITUTE(INDEX(Charge!$D:$D,ROW()),CHAR(160)," ")),"~","-"),"*","+"),"?","!"),240),"")</f>
        <v/>
      </c>
      <c r="EO458">
        <f>IF(EN458="",0,IF(COUNTIF($EN$4:EN458,EN458)=1,1,0))</f>
        <v>0</v>
      </c>
      <c r="EP458" s="166" t="str">
        <f>IF(EO458=1,ROUND(SUMIF($EN$4:$EN$503,EN458,$E$4:$E$503),2),"")</f>
        <v/>
      </c>
      <c r="EQ458" t="str">
        <f>IF(EO458=1,COUNTIFS($EO$4:$EO$503,1,$EP$4:$EP$503,"&gt;"&amp;EP458)+COUNTIFS($EO$4:EO458,1,$EP$4:EP458,EP458),"")</f>
        <v/>
      </c>
      <c r="ER458" t="str">
        <f>IF(EO458=1,COUNTIFS($EN$4:$EN$503,EN458,$EM$4:$EM$503,"Interne",$FE$4:$FE$503,1),"")</f>
        <v/>
      </c>
      <c r="ES458" t="str">
        <f>IF(EO458=1,COUNTIFS($EN$4:$EN$503,EN458,$EM$4:$EM$503,"Externe",$FE$4:$FE$503,1),"")</f>
        <v/>
      </c>
      <c r="ET458" t="str">
        <f>IF(EO458=1,IF(ER458+ES458=0,"à affecter",IF(ER458=0,ES458&amp;" ext.",(ER458+ES458)&amp;IF(ES458&gt;0," dont "&amp;ES458&amp;" ext.",""))&amp;IF(COUNTIFS($EN$4:$EN$503,EN458,$EM$4:$EM$503,"Non affecté")&gt;0," + à affecter","")),"")</f>
        <v/>
      </c>
      <c r="EU458" s="170" t="str">
        <f>IF(EO458=1,IF(EP458&gt;0,SUMPRODUCT(($EN$4:$EN$503=EN458)*$E$4:$E$503*$C$4:$C$503)/EP458,AVERAGEIF($EN$4:$EN$503,EN458,$C$4:$C$503)),"")</f>
        <v/>
      </c>
      <c r="EV458" s="165">
        <f>IF(ISNUMBER(I458),I458,2958465)</f>
        <v>2958465.0</v>
      </c>
      <c r="EW458" s="165" t="str">
        <f>IF(EO458=1,SUMPRODUCT(MIN(($EN$4:$EN$503=EN458)*$EV$4:$EV$503+($EN$4:$EN$503&lt;&gt;EN458)*2958465)),"")</f>
        <v/>
      </c>
      <c r="EX458" s="165">
        <f>IF(AND(D458=1,ISNUMBER(INDEX(Charge!$F:$F,ROW()))),INDEX(Charge!$F:$F,ROW()),0)</f>
        <v>0.0</v>
      </c>
      <c r="EY458" s="165" t="str">
        <f>IF(EO458=1,SUMPRODUCT(MAX(($EN$4:$EN$503=EN458)*$EX$4:$EX$503)),"")</f>
        <v/>
      </c>
      <c r="FD458">
        <f>IF(AND(B458=1,TRIM(INDEX(Charge!$K:$K,ROW()))&lt;&gt;"",TRIM(INDEX(Charge!$L:$L,ROW()))&lt;&gt;""),1,0)</f>
        <v>0</v>
      </c>
      <c r="FE458">
        <f>IF(OR(EN458="",BZ458="(non affecté)"),0,IF(COUNTIFS($EN$4:EN458,EN458,$BZ$4:BZ458,BZ458)=1,1,0))</f>
        <v>0</v>
      </c>
    </row>
    <row r="459">
      <c r="A459">
        <f>ROW()</f>
        <v>459</v>
      </c>
      <c r="B459">
        <f>IF(TRIM(INDEX(Charge!$B:$B,ROW()))&lt;&gt;"",1,0)</f>
        <v>0</v>
      </c>
      <c r="C459">
        <f>IF(B459=1,MIN(1,MAX(0,N(INDEX(Charge!$O:$O,ROW())))),0)</f>
        <v>0</v>
      </c>
      <c r="D459">
        <f>IF(B459=1,IF(OR(p_Perimetre="Tous les projets",C459&lt;1),1,0),0)</f>
        <v>0</v>
      </c>
      <c r="E459">
        <f>IF(D459=1,MAX(0,N(INDEX(Charge!$M:$M,ROW()))),0)</f>
        <v>0</v>
      </c>
      <c r="F459" t="str">
        <f>IF(D459=1,IF(TRIM(INDEX(Charge!$A:$A,ROW()))="","(non renseigné)",TRIM(INDEX(Charge!$A:$A,ROW()))),"")</f>
        <v/>
      </c>
      <c r="G459" t="str">
        <f>IF(D459=1,TRIM(INDEX(Charge!$B:$B,ROW())),"")</f>
        <v/>
      </c>
      <c r="H459" t="str">
        <f>IF(D459=1,IF(TRIM(INDEX(Charge!$E:$E,ROW()))="","(non renseigné)",TRIM(INDEX(Charge!$E:$E,ROW()))),"")</f>
        <v/>
      </c>
      <c r="I459" s="165" t="str">
        <f>IF(AND(D459=1,ISNUMBER(INDEX(Charge!$N:$N,ROW()))),INDEX(Charge!$N:$N,ROW()),"")</f>
        <v/>
      </c>
      <c r="J459" s="165" t="str">
        <f>IF(I459="","",IF(AND(p_Repartition="Lissée jusqu'à la date de besoin",ISNUMBER(INDEX(Charge!$F:$F,ROW()))),IF(INDEX(Charge!$F:$F,ROW())&gt;=I459,INDEX(Charge!$F:$F,ROW()),I459),I459))</f>
        <v/>
      </c>
      <c r="K459" t="str">
        <f>IF(I459="","",NETWORKDAYS(I459,J459,Data!$K$4:$K$203))</f>
        <v/>
      </c>
      <c r="L459" t="str">
        <f>IF(D459=1,COUNTIFS($D$4:$D$503,1,$E$4:$E$503,"&gt;"&amp;E459)+COUNTIFS($D$4:$D459,1,$E$4:$E459,E459),"")</f>
        <v/>
      </c>
      <c r="M459">
        <f>IF(F459="",0,IF(COUNTIF($F$4:F459,F459)=1,1,0))</f>
        <v>0</v>
      </c>
      <c r="N459" t="str">
        <f>IF(M459=1,ROUND(SUMIF($F$4:$F$503,F459,$E$4:$E$503),2),"")</f>
        <v/>
      </c>
      <c r="O459" t="str">
        <f>IF(M459=1,COUNTIFS($M$4:$M$503,1,$N$4:$N$503,"&gt;"&amp;N459)+COUNTIFS($M$4:M459,1,$N$4:N459,N459),"")</f>
        <v/>
      </c>
      <c r="P459">
        <f>IF(G459="",0,IF(COUNTIF($G$4:G459,G459)=1,1,0))</f>
        <v>0</v>
      </c>
      <c r="Q459" t="str">
        <f>IF(P459=1,ROUND(SUMIF($G$4:$G$503,G459,$E$4:$E$503),2),"")</f>
        <v/>
      </c>
      <c r="R459" t="str">
        <f>IF(P459=1,COUNTIFS($P$4:$P$503,1,$Q$4:$Q$503,"&gt;"&amp;Q459)+COUNTIFS($P$4:P459,1,$Q$4:Q459,Q459),"")</f>
        <v/>
      </c>
      <c r="S459">
        <f>IF(H459="",0,IF(COUNTIF($H$4:H459,H459)=1,1,0))</f>
        <v>0</v>
      </c>
      <c r="T459" t="str">
        <f>IF(S459=1,ROUND(SUMIF($H$4:$H$503,H459,$E$4:$E$503),2),"")</f>
        <v/>
      </c>
      <c r="U459" t="str">
        <f>IF(S459=1,COUNTIFS($S$4:$S$503,1,$T$4:$T$503,"&gt;"&amp;T459)+COUNTIFS($S$4:S459,1,$T$4:T459,T459),"")</f>
        <v/>
      </c>
      <c r="V459" t="str">
        <f>IF(D459=1,MIN(INDEX($R$4:$R$503,MATCH(G459,$G$4:$G$503,0)),IF($AL$7&gt;9,9,999)),"")</f>
        <v/>
      </c>
      <c r="W459" s="166">
        <f>IF(OR($I459="",$E459=0),0,IF(OR($J459&lt;W$3,$I459&gt;W$2),0,IF($K459=0,IF(AND($I459&gt;=W$3,$I459&lt;=W$2),$E459,0),$E459*NETWORKDAYS(MAX($I459,W$3),MIN($J459,W$2),Data!$K$4:$K$203)/$K459)))</f>
        <v>0</v>
      </c>
      <c r="X459" s="166">
        <f>IF(OR($I459="",$E459=0),0,IF(OR($J459&lt;X$3,$I459&gt;X$2),0,IF($K459=0,IF(AND($I459&gt;=X$3,$I459&lt;=X$2),$E459,0),$E459*NETWORKDAYS(MAX($I459,X$3),MIN($J459,X$2),Data!$K$4:$K$203)/$K459)))</f>
        <v>0</v>
      </c>
      <c r="Y459" s="166">
        <f>IF(OR($I459="",$E459=0),0,IF(OR($J459&lt;Y$3,$I459&gt;Y$2),0,IF($K459=0,IF(AND($I459&gt;=Y$3,$I459&lt;=Y$2),$E459,0),$E459*NETWORKDAYS(MAX($I459,Y$3),MIN($J459,Y$2),Data!$K$4:$K$203)/$K459)))</f>
        <v>0</v>
      </c>
      <c r="Z459" s="166">
        <f>IF(OR($I459="",$E459=0),0,IF(OR($J459&lt;Z$3,$I459&gt;Z$2),0,IF($K459=0,IF(AND($I459&gt;=Z$3,$I459&lt;=Z$2),$E459,0),$E459*NETWORKDAYS(MAX($I459,Z$3),MIN($J459,Z$2),Data!$K$4:$K$203)/$K459)))</f>
        <v>0</v>
      </c>
      <c r="AA459" s="166">
        <f>IF(OR($I459="",$E459=0),0,IF(OR($J459&lt;AA$3,$I459&gt;AA$2),0,IF($K459=0,IF(AND($I459&gt;=AA$3,$I459&lt;=AA$2),$E459,0),$E459*NETWORKDAYS(MAX($I459,AA$3),MIN($J459,AA$2),Data!$K$4:$K$203)/$K459)))</f>
        <v>0</v>
      </c>
      <c r="AB459" s="166">
        <f>IF(OR($I459="",$E459=0),0,IF(OR($J459&lt;AB$3,$I459&gt;AB$2),0,IF($K459=0,IF(AND($I459&gt;=AB$3,$I459&lt;=AB$2),$E459,0),$E459*NETWORKDAYS(MAX($I459,AB$3),MIN($J459,AB$2),Data!$K$4:$K$203)/$K459)))</f>
        <v>0</v>
      </c>
      <c r="AC459" s="166">
        <f>IF(OR($I459="",$E459=0),0,IF(OR($J459&lt;AC$3,$I459&gt;AC$2),0,IF($K459=0,IF(AND($I459&gt;=AC$3,$I459&lt;=AC$2),$E459,0),$E459*NETWORKDAYS(MAX($I459,AC$3),MIN($J459,AC$2),Data!$K$4:$K$203)/$K459)))</f>
        <v>0</v>
      </c>
      <c r="AD459" s="166">
        <f>IF(OR($I459="",$E459=0),0,IF(OR($J459&lt;AD$3,$I459&gt;AD$2),0,IF($K459=0,IF(AND($I459&gt;=AD$3,$I459&lt;=AD$2),$E459,0),$E459*NETWORKDAYS(MAX($I459,AD$3),MIN($J459,AD$2),Data!$K$4:$K$203)/$K459)))</f>
        <v>0</v>
      </c>
      <c r="AE459" s="166">
        <f>IF(OR($I459="",$E459=0),0,IF(OR($J459&lt;AE$3,$I459&gt;AE$2),0,IF($K459=0,IF(AND($I459&gt;=AE$3,$I459&lt;=AE$2),$E459,0),$E459*NETWORKDAYS(MAX($I459,AE$3),MIN($J459,AE$2),Data!$K$4:$K$203)/$K459)))</f>
        <v>0</v>
      </c>
      <c r="AF459" s="166">
        <f>IF(OR($I459="",$E459=0),0,IF(OR($J459&lt;AF$3,$I459&gt;AF$2),0,IF($K459=0,IF(AND($I459&gt;=AF$3,$I459&lt;=AF$2),$E459,0),$E459*NETWORKDAYS(MAX($I459,AF$3),MIN($J459,AF$2),Data!$K$4:$K$203)/$K459)))</f>
        <v>0</v>
      </c>
      <c r="AG459" s="166">
        <f>IF(OR($I459="",$E459=0),0,IF(OR($J459&lt;AG$3,$I459&gt;AG$2),0,IF($K459=0,IF(AND($I459&gt;=AG$3,$I459&lt;=AG$2),$E459,0),$E459*NETWORKDAYS(MAX($I459,AG$3),MIN($J459,AG$2),Data!$K$4:$K$203)/$K459)))</f>
        <v>0</v>
      </c>
      <c r="AH459" s="166">
        <f>IF(OR($I459="",$E459=0),0,IF(OR($J459&lt;AH$3,$I459&gt;AH$2),0,IF($K459=0,IF(AND($I459&gt;=AH$3,$I459&lt;=AH$2),$E459,0),$E459*NETWORKDAYS(MAX($I459,AH$3),MIN($J459,AH$2),Data!$K$4:$K$203)/$K459)))</f>
        <v>0</v>
      </c>
      <c r="AI459" s="166">
        <f>SUM(W459:AH459)</f>
        <v>0</v>
      </c>
      <c r="BZ459" t="str">
        <f>IF(D459=1,IF(TRIM(INDEX(Charge!$K:$K,ROW()))&lt;&gt;"",TRIM(INDEX(Charge!$K:$K,ROW())),IF(TRIM(INDEX(Charge!$L:$L,ROW()))&lt;&gt;"",TRIM(INDEX(Charge!$L:$L,ROW())),"(non affecté)")),"")</f>
        <v/>
      </c>
      <c r="CA459" t="str">
        <f>IF(AND($CD$4&lt;&gt;"",BZ459=$CD$4),COUNTIFS($BZ$4:$BZ$503,$CD$4,$L$4:$L$503,"&lt;"&amp;L459)+1,"")</f>
        <v/>
      </c>
      <c r="EM459" t="str">
        <f>IF(D459=1,IF(TRIM(INDEX(Charge!$K:$K,ROW()))&lt;&gt;"","Interne",IF(TRIM(INDEX(Charge!$L:$L,ROW()))&lt;&gt;"","Externe","Non affecté")),"")</f>
        <v/>
      </c>
      <c r="EN459" t="str">
        <f>IF(D459=1,LEFT(SUBSTITUTE(SUBSTITUTE(SUBSTITUTE(TRIM(SUBSTITUTE(INDEX(Charge!$B:$B,ROW()),CHAR(160)," "))&amp;" | "&amp;TRIM(SUBSTITUTE(INDEX(Charge!$C:$C,ROW()),CHAR(160)," "))&amp;" | "&amp;TRIM(SUBSTITUTE(INDEX(Charge!$D:$D,ROW()),CHAR(160)," ")),"~","-"),"*","+"),"?","!"),240),"")</f>
        <v/>
      </c>
      <c r="EO459">
        <f>IF(EN459="",0,IF(COUNTIF($EN$4:EN459,EN459)=1,1,0))</f>
        <v>0</v>
      </c>
      <c r="EP459" s="166" t="str">
        <f>IF(EO459=1,ROUND(SUMIF($EN$4:$EN$503,EN459,$E$4:$E$503),2),"")</f>
        <v/>
      </c>
      <c r="EQ459" t="str">
        <f>IF(EO459=1,COUNTIFS($EO$4:$EO$503,1,$EP$4:$EP$503,"&gt;"&amp;EP459)+COUNTIFS($EO$4:EO459,1,$EP$4:EP459,EP459),"")</f>
        <v/>
      </c>
      <c r="ER459" t="str">
        <f>IF(EO459=1,COUNTIFS($EN$4:$EN$503,EN459,$EM$4:$EM$503,"Interne",$FE$4:$FE$503,1),"")</f>
        <v/>
      </c>
      <c r="ES459" t="str">
        <f>IF(EO459=1,COUNTIFS($EN$4:$EN$503,EN459,$EM$4:$EM$503,"Externe",$FE$4:$FE$503,1),"")</f>
        <v/>
      </c>
      <c r="ET459" t="str">
        <f>IF(EO459=1,IF(ER459+ES459=0,"à affecter",IF(ER459=0,ES459&amp;" ext.",(ER459+ES459)&amp;IF(ES459&gt;0," dont "&amp;ES459&amp;" ext.",""))&amp;IF(COUNTIFS($EN$4:$EN$503,EN459,$EM$4:$EM$503,"Non affecté")&gt;0," + à affecter","")),"")</f>
        <v/>
      </c>
      <c r="EU459" s="170" t="str">
        <f>IF(EO459=1,IF(EP459&gt;0,SUMPRODUCT(($EN$4:$EN$503=EN459)*$E$4:$E$503*$C$4:$C$503)/EP459,AVERAGEIF($EN$4:$EN$503,EN459,$C$4:$C$503)),"")</f>
        <v/>
      </c>
      <c r="EV459" s="165">
        <f>IF(ISNUMBER(I459),I459,2958465)</f>
        <v>2958465.0</v>
      </c>
      <c r="EW459" s="165" t="str">
        <f>IF(EO459=1,SUMPRODUCT(MIN(($EN$4:$EN$503=EN459)*$EV$4:$EV$503+($EN$4:$EN$503&lt;&gt;EN459)*2958465)),"")</f>
        <v/>
      </c>
      <c r="EX459" s="165">
        <f>IF(AND(D459=1,ISNUMBER(INDEX(Charge!$F:$F,ROW()))),INDEX(Charge!$F:$F,ROW()),0)</f>
        <v>0.0</v>
      </c>
      <c r="EY459" s="165" t="str">
        <f>IF(EO459=1,SUMPRODUCT(MAX(($EN$4:$EN$503=EN459)*$EX$4:$EX$503)),"")</f>
        <v/>
      </c>
      <c r="FD459">
        <f>IF(AND(B459=1,TRIM(INDEX(Charge!$K:$K,ROW()))&lt;&gt;"",TRIM(INDEX(Charge!$L:$L,ROW()))&lt;&gt;""),1,0)</f>
        <v>0</v>
      </c>
      <c r="FE459">
        <f>IF(OR(EN459="",BZ459="(non affecté)"),0,IF(COUNTIFS($EN$4:EN459,EN459,$BZ$4:BZ459,BZ459)=1,1,0))</f>
        <v>0</v>
      </c>
    </row>
    <row r="460">
      <c r="A460">
        <f>ROW()</f>
        <v>460</v>
      </c>
      <c r="B460">
        <f>IF(TRIM(INDEX(Charge!$B:$B,ROW()))&lt;&gt;"",1,0)</f>
        <v>0</v>
      </c>
      <c r="C460">
        <f>IF(B460=1,MIN(1,MAX(0,N(INDEX(Charge!$O:$O,ROW())))),0)</f>
        <v>0</v>
      </c>
      <c r="D460">
        <f>IF(B460=1,IF(OR(p_Perimetre="Tous les projets",C460&lt;1),1,0),0)</f>
        <v>0</v>
      </c>
      <c r="E460">
        <f>IF(D460=1,MAX(0,N(INDEX(Charge!$M:$M,ROW()))),0)</f>
        <v>0</v>
      </c>
      <c r="F460" t="str">
        <f>IF(D460=1,IF(TRIM(INDEX(Charge!$A:$A,ROW()))="","(non renseigné)",TRIM(INDEX(Charge!$A:$A,ROW()))),"")</f>
        <v/>
      </c>
      <c r="G460" t="str">
        <f>IF(D460=1,TRIM(INDEX(Charge!$B:$B,ROW())),"")</f>
        <v/>
      </c>
      <c r="H460" t="str">
        <f>IF(D460=1,IF(TRIM(INDEX(Charge!$E:$E,ROW()))="","(non renseigné)",TRIM(INDEX(Charge!$E:$E,ROW()))),"")</f>
        <v/>
      </c>
      <c r="I460" s="165" t="str">
        <f>IF(AND(D460=1,ISNUMBER(INDEX(Charge!$N:$N,ROW()))),INDEX(Charge!$N:$N,ROW()),"")</f>
        <v/>
      </c>
      <c r="J460" s="165" t="str">
        <f>IF(I460="","",IF(AND(p_Repartition="Lissée jusqu'à la date de besoin",ISNUMBER(INDEX(Charge!$F:$F,ROW()))),IF(INDEX(Charge!$F:$F,ROW())&gt;=I460,INDEX(Charge!$F:$F,ROW()),I460),I460))</f>
        <v/>
      </c>
      <c r="K460" t="str">
        <f>IF(I460="","",NETWORKDAYS(I460,J460,Data!$K$4:$K$203))</f>
        <v/>
      </c>
      <c r="L460" t="str">
        <f>IF(D460=1,COUNTIFS($D$4:$D$503,1,$E$4:$E$503,"&gt;"&amp;E460)+COUNTIFS($D$4:$D460,1,$E$4:$E460,E460),"")</f>
        <v/>
      </c>
      <c r="M460">
        <f>IF(F460="",0,IF(COUNTIF($F$4:F460,F460)=1,1,0))</f>
        <v>0</v>
      </c>
      <c r="N460" t="str">
        <f>IF(M460=1,ROUND(SUMIF($F$4:$F$503,F460,$E$4:$E$503),2),"")</f>
        <v/>
      </c>
      <c r="O460" t="str">
        <f>IF(M460=1,COUNTIFS($M$4:$M$503,1,$N$4:$N$503,"&gt;"&amp;N460)+COUNTIFS($M$4:M460,1,$N$4:N460,N460),"")</f>
        <v/>
      </c>
      <c r="P460">
        <f>IF(G460="",0,IF(COUNTIF($G$4:G460,G460)=1,1,0))</f>
        <v>0</v>
      </c>
      <c r="Q460" t="str">
        <f>IF(P460=1,ROUND(SUMIF($G$4:$G$503,G460,$E$4:$E$503),2),"")</f>
        <v/>
      </c>
      <c r="R460" t="str">
        <f>IF(P460=1,COUNTIFS($P$4:$P$503,1,$Q$4:$Q$503,"&gt;"&amp;Q460)+COUNTIFS($P$4:P460,1,$Q$4:Q460,Q460),"")</f>
        <v/>
      </c>
      <c r="S460">
        <f>IF(H460="",0,IF(COUNTIF($H$4:H460,H460)=1,1,0))</f>
        <v>0</v>
      </c>
      <c r="T460" t="str">
        <f>IF(S460=1,ROUND(SUMIF($H$4:$H$503,H460,$E$4:$E$503),2),"")</f>
        <v/>
      </c>
      <c r="U460" t="str">
        <f>IF(S460=1,COUNTIFS($S$4:$S$503,1,$T$4:$T$503,"&gt;"&amp;T460)+COUNTIFS($S$4:S460,1,$T$4:T460,T460),"")</f>
        <v/>
      </c>
      <c r="V460" t="str">
        <f>IF(D460=1,MIN(INDEX($R$4:$R$503,MATCH(G460,$G$4:$G$503,0)),IF($AL$7&gt;9,9,999)),"")</f>
        <v/>
      </c>
      <c r="W460" s="166">
        <f>IF(OR($I460="",$E460=0),0,IF(OR($J460&lt;W$3,$I460&gt;W$2),0,IF($K460=0,IF(AND($I460&gt;=W$3,$I460&lt;=W$2),$E460,0),$E460*NETWORKDAYS(MAX($I460,W$3),MIN($J460,W$2),Data!$K$4:$K$203)/$K460)))</f>
        <v>0</v>
      </c>
      <c r="X460" s="166">
        <f>IF(OR($I460="",$E460=0),0,IF(OR($J460&lt;X$3,$I460&gt;X$2),0,IF($K460=0,IF(AND($I460&gt;=X$3,$I460&lt;=X$2),$E460,0),$E460*NETWORKDAYS(MAX($I460,X$3),MIN($J460,X$2),Data!$K$4:$K$203)/$K460)))</f>
        <v>0</v>
      </c>
      <c r="Y460" s="166">
        <f>IF(OR($I460="",$E460=0),0,IF(OR($J460&lt;Y$3,$I460&gt;Y$2),0,IF($K460=0,IF(AND($I460&gt;=Y$3,$I460&lt;=Y$2),$E460,0),$E460*NETWORKDAYS(MAX($I460,Y$3),MIN($J460,Y$2),Data!$K$4:$K$203)/$K460)))</f>
        <v>0</v>
      </c>
      <c r="Z460" s="166">
        <f>IF(OR($I460="",$E460=0),0,IF(OR($J460&lt;Z$3,$I460&gt;Z$2),0,IF($K460=0,IF(AND($I460&gt;=Z$3,$I460&lt;=Z$2),$E460,0),$E460*NETWORKDAYS(MAX($I460,Z$3),MIN($J460,Z$2),Data!$K$4:$K$203)/$K460)))</f>
        <v>0</v>
      </c>
      <c r="AA460" s="166">
        <f>IF(OR($I460="",$E460=0),0,IF(OR($J460&lt;AA$3,$I460&gt;AA$2),0,IF($K460=0,IF(AND($I460&gt;=AA$3,$I460&lt;=AA$2),$E460,0),$E460*NETWORKDAYS(MAX($I460,AA$3),MIN($J460,AA$2),Data!$K$4:$K$203)/$K460)))</f>
        <v>0</v>
      </c>
      <c r="AB460" s="166">
        <f>IF(OR($I460="",$E460=0),0,IF(OR($J460&lt;AB$3,$I460&gt;AB$2),0,IF($K460=0,IF(AND($I460&gt;=AB$3,$I460&lt;=AB$2),$E460,0),$E460*NETWORKDAYS(MAX($I460,AB$3),MIN($J460,AB$2),Data!$K$4:$K$203)/$K460)))</f>
        <v>0</v>
      </c>
      <c r="AC460" s="166">
        <f>IF(OR($I460="",$E460=0),0,IF(OR($J460&lt;AC$3,$I460&gt;AC$2),0,IF($K460=0,IF(AND($I460&gt;=AC$3,$I460&lt;=AC$2),$E460,0),$E460*NETWORKDAYS(MAX($I460,AC$3),MIN($J460,AC$2),Data!$K$4:$K$203)/$K460)))</f>
        <v>0</v>
      </c>
      <c r="AD460" s="166">
        <f>IF(OR($I460="",$E460=0),0,IF(OR($J460&lt;AD$3,$I460&gt;AD$2),0,IF($K460=0,IF(AND($I460&gt;=AD$3,$I460&lt;=AD$2),$E460,0),$E460*NETWORKDAYS(MAX($I460,AD$3),MIN($J460,AD$2),Data!$K$4:$K$203)/$K460)))</f>
        <v>0</v>
      </c>
      <c r="AE460" s="166">
        <f>IF(OR($I460="",$E460=0),0,IF(OR($J460&lt;AE$3,$I460&gt;AE$2),0,IF($K460=0,IF(AND($I460&gt;=AE$3,$I460&lt;=AE$2),$E460,0),$E460*NETWORKDAYS(MAX($I460,AE$3),MIN($J460,AE$2),Data!$K$4:$K$203)/$K460)))</f>
        <v>0</v>
      </c>
      <c r="AF460" s="166">
        <f>IF(OR($I460="",$E460=0),0,IF(OR($J460&lt;AF$3,$I460&gt;AF$2),0,IF($K460=0,IF(AND($I460&gt;=AF$3,$I460&lt;=AF$2),$E460,0),$E460*NETWORKDAYS(MAX($I460,AF$3),MIN($J460,AF$2),Data!$K$4:$K$203)/$K460)))</f>
        <v>0</v>
      </c>
      <c r="AG460" s="166">
        <f>IF(OR($I460="",$E460=0),0,IF(OR($J460&lt;AG$3,$I460&gt;AG$2),0,IF($K460=0,IF(AND($I460&gt;=AG$3,$I460&lt;=AG$2),$E460,0),$E460*NETWORKDAYS(MAX($I460,AG$3),MIN($J460,AG$2),Data!$K$4:$K$203)/$K460)))</f>
        <v>0</v>
      </c>
      <c r="AH460" s="166">
        <f>IF(OR($I460="",$E460=0),0,IF(OR($J460&lt;AH$3,$I460&gt;AH$2),0,IF($K460=0,IF(AND($I460&gt;=AH$3,$I460&lt;=AH$2),$E460,0),$E460*NETWORKDAYS(MAX($I460,AH$3),MIN($J460,AH$2),Data!$K$4:$K$203)/$K460)))</f>
        <v>0</v>
      </c>
      <c r="AI460" s="166">
        <f>SUM(W460:AH460)</f>
        <v>0</v>
      </c>
      <c r="BZ460" t="str">
        <f>IF(D460=1,IF(TRIM(INDEX(Charge!$K:$K,ROW()))&lt;&gt;"",TRIM(INDEX(Charge!$K:$K,ROW())),IF(TRIM(INDEX(Charge!$L:$L,ROW()))&lt;&gt;"",TRIM(INDEX(Charge!$L:$L,ROW())),"(non affecté)")),"")</f>
        <v/>
      </c>
      <c r="CA460" t="str">
        <f>IF(AND($CD$4&lt;&gt;"",BZ460=$CD$4),COUNTIFS($BZ$4:$BZ$503,$CD$4,$L$4:$L$503,"&lt;"&amp;L460)+1,"")</f>
        <v/>
      </c>
      <c r="EM460" t="str">
        <f>IF(D460=1,IF(TRIM(INDEX(Charge!$K:$K,ROW()))&lt;&gt;"","Interne",IF(TRIM(INDEX(Charge!$L:$L,ROW()))&lt;&gt;"","Externe","Non affecté")),"")</f>
        <v/>
      </c>
      <c r="EN460" t="str">
        <f>IF(D460=1,LEFT(SUBSTITUTE(SUBSTITUTE(SUBSTITUTE(TRIM(SUBSTITUTE(INDEX(Charge!$B:$B,ROW()),CHAR(160)," "))&amp;" | "&amp;TRIM(SUBSTITUTE(INDEX(Charge!$C:$C,ROW()),CHAR(160)," "))&amp;" | "&amp;TRIM(SUBSTITUTE(INDEX(Charge!$D:$D,ROW()),CHAR(160)," ")),"~","-"),"*","+"),"?","!"),240),"")</f>
        <v/>
      </c>
      <c r="EO460">
        <f>IF(EN460="",0,IF(COUNTIF($EN$4:EN460,EN460)=1,1,0))</f>
        <v>0</v>
      </c>
      <c r="EP460" s="166" t="str">
        <f>IF(EO460=1,ROUND(SUMIF($EN$4:$EN$503,EN460,$E$4:$E$503),2),"")</f>
        <v/>
      </c>
      <c r="EQ460" t="str">
        <f>IF(EO460=1,COUNTIFS($EO$4:$EO$503,1,$EP$4:$EP$503,"&gt;"&amp;EP460)+COUNTIFS($EO$4:EO460,1,$EP$4:EP460,EP460),"")</f>
        <v/>
      </c>
      <c r="ER460" t="str">
        <f>IF(EO460=1,COUNTIFS($EN$4:$EN$503,EN460,$EM$4:$EM$503,"Interne",$FE$4:$FE$503,1),"")</f>
        <v/>
      </c>
      <c r="ES460" t="str">
        <f>IF(EO460=1,COUNTIFS($EN$4:$EN$503,EN460,$EM$4:$EM$503,"Externe",$FE$4:$FE$503,1),"")</f>
        <v/>
      </c>
      <c r="ET460" t="str">
        <f>IF(EO460=1,IF(ER460+ES460=0,"à affecter",IF(ER460=0,ES460&amp;" ext.",(ER460+ES460)&amp;IF(ES460&gt;0," dont "&amp;ES460&amp;" ext.",""))&amp;IF(COUNTIFS($EN$4:$EN$503,EN460,$EM$4:$EM$503,"Non affecté")&gt;0," + à affecter","")),"")</f>
        <v/>
      </c>
      <c r="EU460" s="170" t="str">
        <f>IF(EO460=1,IF(EP460&gt;0,SUMPRODUCT(($EN$4:$EN$503=EN460)*$E$4:$E$503*$C$4:$C$503)/EP460,AVERAGEIF($EN$4:$EN$503,EN460,$C$4:$C$503)),"")</f>
        <v/>
      </c>
      <c r="EV460" s="165">
        <f>IF(ISNUMBER(I460),I460,2958465)</f>
        <v>2958465.0</v>
      </c>
      <c r="EW460" s="165" t="str">
        <f>IF(EO460=1,SUMPRODUCT(MIN(($EN$4:$EN$503=EN460)*$EV$4:$EV$503+($EN$4:$EN$503&lt;&gt;EN460)*2958465)),"")</f>
        <v/>
      </c>
      <c r="EX460" s="165">
        <f>IF(AND(D460=1,ISNUMBER(INDEX(Charge!$F:$F,ROW()))),INDEX(Charge!$F:$F,ROW()),0)</f>
        <v>0.0</v>
      </c>
      <c r="EY460" s="165" t="str">
        <f>IF(EO460=1,SUMPRODUCT(MAX(($EN$4:$EN$503=EN460)*$EX$4:$EX$503)),"")</f>
        <v/>
      </c>
      <c r="FD460">
        <f>IF(AND(B460=1,TRIM(INDEX(Charge!$K:$K,ROW()))&lt;&gt;"",TRIM(INDEX(Charge!$L:$L,ROW()))&lt;&gt;""),1,0)</f>
        <v>0</v>
      </c>
      <c r="FE460">
        <f>IF(OR(EN460="",BZ460="(non affecté)"),0,IF(COUNTIFS($EN$4:EN460,EN460,$BZ$4:BZ460,BZ460)=1,1,0))</f>
        <v>0</v>
      </c>
    </row>
    <row r="461">
      <c r="A461">
        <f>ROW()</f>
        <v>461</v>
      </c>
      <c r="B461">
        <f>IF(TRIM(INDEX(Charge!$B:$B,ROW()))&lt;&gt;"",1,0)</f>
        <v>0</v>
      </c>
      <c r="C461">
        <f>IF(B461=1,MIN(1,MAX(0,N(INDEX(Charge!$O:$O,ROW())))),0)</f>
        <v>0</v>
      </c>
      <c r="D461">
        <f>IF(B461=1,IF(OR(p_Perimetre="Tous les projets",C461&lt;1),1,0),0)</f>
        <v>0</v>
      </c>
      <c r="E461">
        <f>IF(D461=1,MAX(0,N(INDEX(Charge!$M:$M,ROW()))),0)</f>
        <v>0</v>
      </c>
      <c r="F461" t="str">
        <f>IF(D461=1,IF(TRIM(INDEX(Charge!$A:$A,ROW()))="","(non renseigné)",TRIM(INDEX(Charge!$A:$A,ROW()))),"")</f>
        <v/>
      </c>
      <c r="G461" t="str">
        <f>IF(D461=1,TRIM(INDEX(Charge!$B:$B,ROW())),"")</f>
        <v/>
      </c>
      <c r="H461" t="str">
        <f>IF(D461=1,IF(TRIM(INDEX(Charge!$E:$E,ROW()))="","(non renseigné)",TRIM(INDEX(Charge!$E:$E,ROW()))),"")</f>
        <v/>
      </c>
      <c r="I461" s="165" t="str">
        <f>IF(AND(D461=1,ISNUMBER(INDEX(Charge!$N:$N,ROW()))),INDEX(Charge!$N:$N,ROW()),"")</f>
        <v/>
      </c>
      <c r="J461" s="165" t="str">
        <f>IF(I461="","",IF(AND(p_Repartition="Lissée jusqu'à la date de besoin",ISNUMBER(INDEX(Charge!$F:$F,ROW()))),IF(INDEX(Charge!$F:$F,ROW())&gt;=I461,INDEX(Charge!$F:$F,ROW()),I461),I461))</f>
        <v/>
      </c>
      <c r="K461" t="str">
        <f>IF(I461="","",NETWORKDAYS(I461,J461,Data!$K$4:$K$203))</f>
        <v/>
      </c>
      <c r="L461" t="str">
        <f>IF(D461=1,COUNTIFS($D$4:$D$503,1,$E$4:$E$503,"&gt;"&amp;E461)+COUNTIFS($D$4:$D461,1,$E$4:$E461,E461),"")</f>
        <v/>
      </c>
      <c r="M461">
        <f>IF(F461="",0,IF(COUNTIF($F$4:F461,F461)=1,1,0))</f>
        <v>0</v>
      </c>
      <c r="N461" t="str">
        <f>IF(M461=1,ROUND(SUMIF($F$4:$F$503,F461,$E$4:$E$503),2),"")</f>
        <v/>
      </c>
      <c r="O461" t="str">
        <f>IF(M461=1,COUNTIFS($M$4:$M$503,1,$N$4:$N$503,"&gt;"&amp;N461)+COUNTIFS($M$4:M461,1,$N$4:N461,N461),"")</f>
        <v/>
      </c>
      <c r="P461">
        <f>IF(G461="",0,IF(COUNTIF($G$4:G461,G461)=1,1,0))</f>
        <v>0</v>
      </c>
      <c r="Q461" t="str">
        <f>IF(P461=1,ROUND(SUMIF($G$4:$G$503,G461,$E$4:$E$503),2),"")</f>
        <v/>
      </c>
      <c r="R461" t="str">
        <f>IF(P461=1,COUNTIFS($P$4:$P$503,1,$Q$4:$Q$503,"&gt;"&amp;Q461)+COUNTIFS($P$4:P461,1,$Q$4:Q461,Q461),"")</f>
        <v/>
      </c>
      <c r="S461">
        <f>IF(H461="",0,IF(COUNTIF($H$4:H461,H461)=1,1,0))</f>
        <v>0</v>
      </c>
      <c r="T461" t="str">
        <f>IF(S461=1,ROUND(SUMIF($H$4:$H$503,H461,$E$4:$E$503),2),"")</f>
        <v/>
      </c>
      <c r="U461" t="str">
        <f>IF(S461=1,COUNTIFS($S$4:$S$503,1,$T$4:$T$503,"&gt;"&amp;T461)+COUNTIFS($S$4:S461,1,$T$4:T461,T461),"")</f>
        <v/>
      </c>
      <c r="V461" t="str">
        <f>IF(D461=1,MIN(INDEX($R$4:$R$503,MATCH(G461,$G$4:$G$503,0)),IF($AL$7&gt;9,9,999)),"")</f>
        <v/>
      </c>
      <c r="W461" s="166">
        <f>IF(OR($I461="",$E461=0),0,IF(OR($J461&lt;W$3,$I461&gt;W$2),0,IF($K461=0,IF(AND($I461&gt;=W$3,$I461&lt;=W$2),$E461,0),$E461*NETWORKDAYS(MAX($I461,W$3),MIN($J461,W$2),Data!$K$4:$K$203)/$K461)))</f>
        <v>0</v>
      </c>
      <c r="X461" s="166">
        <f>IF(OR($I461="",$E461=0),0,IF(OR($J461&lt;X$3,$I461&gt;X$2),0,IF($K461=0,IF(AND($I461&gt;=X$3,$I461&lt;=X$2),$E461,0),$E461*NETWORKDAYS(MAX($I461,X$3),MIN($J461,X$2),Data!$K$4:$K$203)/$K461)))</f>
        <v>0</v>
      </c>
      <c r="Y461" s="166">
        <f>IF(OR($I461="",$E461=0),0,IF(OR($J461&lt;Y$3,$I461&gt;Y$2),0,IF($K461=0,IF(AND($I461&gt;=Y$3,$I461&lt;=Y$2),$E461,0),$E461*NETWORKDAYS(MAX($I461,Y$3),MIN($J461,Y$2),Data!$K$4:$K$203)/$K461)))</f>
        <v>0</v>
      </c>
      <c r="Z461" s="166">
        <f>IF(OR($I461="",$E461=0),0,IF(OR($J461&lt;Z$3,$I461&gt;Z$2),0,IF($K461=0,IF(AND($I461&gt;=Z$3,$I461&lt;=Z$2),$E461,0),$E461*NETWORKDAYS(MAX($I461,Z$3),MIN($J461,Z$2),Data!$K$4:$K$203)/$K461)))</f>
        <v>0</v>
      </c>
      <c r="AA461" s="166">
        <f>IF(OR($I461="",$E461=0),0,IF(OR($J461&lt;AA$3,$I461&gt;AA$2),0,IF($K461=0,IF(AND($I461&gt;=AA$3,$I461&lt;=AA$2),$E461,0),$E461*NETWORKDAYS(MAX($I461,AA$3),MIN($J461,AA$2),Data!$K$4:$K$203)/$K461)))</f>
        <v>0</v>
      </c>
      <c r="AB461" s="166">
        <f>IF(OR($I461="",$E461=0),0,IF(OR($J461&lt;AB$3,$I461&gt;AB$2),0,IF($K461=0,IF(AND($I461&gt;=AB$3,$I461&lt;=AB$2),$E461,0),$E461*NETWORKDAYS(MAX($I461,AB$3),MIN($J461,AB$2),Data!$K$4:$K$203)/$K461)))</f>
        <v>0</v>
      </c>
      <c r="AC461" s="166">
        <f>IF(OR($I461="",$E461=0),0,IF(OR($J461&lt;AC$3,$I461&gt;AC$2),0,IF($K461=0,IF(AND($I461&gt;=AC$3,$I461&lt;=AC$2),$E461,0),$E461*NETWORKDAYS(MAX($I461,AC$3),MIN($J461,AC$2),Data!$K$4:$K$203)/$K461)))</f>
        <v>0</v>
      </c>
      <c r="AD461" s="166">
        <f>IF(OR($I461="",$E461=0),0,IF(OR($J461&lt;AD$3,$I461&gt;AD$2),0,IF($K461=0,IF(AND($I461&gt;=AD$3,$I461&lt;=AD$2),$E461,0),$E461*NETWORKDAYS(MAX($I461,AD$3),MIN($J461,AD$2),Data!$K$4:$K$203)/$K461)))</f>
        <v>0</v>
      </c>
      <c r="AE461" s="166">
        <f>IF(OR($I461="",$E461=0),0,IF(OR($J461&lt;AE$3,$I461&gt;AE$2),0,IF($K461=0,IF(AND($I461&gt;=AE$3,$I461&lt;=AE$2),$E461,0),$E461*NETWORKDAYS(MAX($I461,AE$3),MIN($J461,AE$2),Data!$K$4:$K$203)/$K461)))</f>
        <v>0</v>
      </c>
      <c r="AF461" s="166">
        <f>IF(OR($I461="",$E461=0),0,IF(OR($J461&lt;AF$3,$I461&gt;AF$2),0,IF($K461=0,IF(AND($I461&gt;=AF$3,$I461&lt;=AF$2),$E461,0),$E461*NETWORKDAYS(MAX($I461,AF$3),MIN($J461,AF$2),Data!$K$4:$K$203)/$K461)))</f>
        <v>0</v>
      </c>
      <c r="AG461" s="166">
        <f>IF(OR($I461="",$E461=0),0,IF(OR($J461&lt;AG$3,$I461&gt;AG$2),0,IF($K461=0,IF(AND($I461&gt;=AG$3,$I461&lt;=AG$2),$E461,0),$E461*NETWORKDAYS(MAX($I461,AG$3),MIN($J461,AG$2),Data!$K$4:$K$203)/$K461)))</f>
        <v>0</v>
      </c>
      <c r="AH461" s="166">
        <f>IF(OR($I461="",$E461=0),0,IF(OR($J461&lt;AH$3,$I461&gt;AH$2),0,IF($K461=0,IF(AND($I461&gt;=AH$3,$I461&lt;=AH$2),$E461,0),$E461*NETWORKDAYS(MAX($I461,AH$3),MIN($J461,AH$2),Data!$K$4:$K$203)/$K461)))</f>
        <v>0</v>
      </c>
      <c r="AI461" s="166">
        <f>SUM(W461:AH461)</f>
        <v>0</v>
      </c>
      <c r="BZ461" t="str">
        <f>IF(D461=1,IF(TRIM(INDEX(Charge!$K:$K,ROW()))&lt;&gt;"",TRIM(INDEX(Charge!$K:$K,ROW())),IF(TRIM(INDEX(Charge!$L:$L,ROW()))&lt;&gt;"",TRIM(INDEX(Charge!$L:$L,ROW())),"(non affecté)")),"")</f>
        <v/>
      </c>
      <c r="CA461" t="str">
        <f>IF(AND($CD$4&lt;&gt;"",BZ461=$CD$4),COUNTIFS($BZ$4:$BZ$503,$CD$4,$L$4:$L$503,"&lt;"&amp;L461)+1,"")</f>
        <v/>
      </c>
      <c r="EM461" t="str">
        <f>IF(D461=1,IF(TRIM(INDEX(Charge!$K:$K,ROW()))&lt;&gt;"","Interne",IF(TRIM(INDEX(Charge!$L:$L,ROW()))&lt;&gt;"","Externe","Non affecté")),"")</f>
        <v/>
      </c>
      <c r="EN461" t="str">
        <f>IF(D461=1,LEFT(SUBSTITUTE(SUBSTITUTE(SUBSTITUTE(TRIM(SUBSTITUTE(INDEX(Charge!$B:$B,ROW()),CHAR(160)," "))&amp;" | "&amp;TRIM(SUBSTITUTE(INDEX(Charge!$C:$C,ROW()),CHAR(160)," "))&amp;" | "&amp;TRIM(SUBSTITUTE(INDEX(Charge!$D:$D,ROW()),CHAR(160)," ")),"~","-"),"*","+"),"?","!"),240),"")</f>
        <v/>
      </c>
      <c r="EO461">
        <f>IF(EN461="",0,IF(COUNTIF($EN$4:EN461,EN461)=1,1,0))</f>
        <v>0</v>
      </c>
      <c r="EP461" s="166" t="str">
        <f>IF(EO461=1,ROUND(SUMIF($EN$4:$EN$503,EN461,$E$4:$E$503),2),"")</f>
        <v/>
      </c>
      <c r="EQ461" t="str">
        <f>IF(EO461=1,COUNTIFS($EO$4:$EO$503,1,$EP$4:$EP$503,"&gt;"&amp;EP461)+COUNTIFS($EO$4:EO461,1,$EP$4:EP461,EP461),"")</f>
        <v/>
      </c>
      <c r="ER461" t="str">
        <f>IF(EO461=1,COUNTIFS($EN$4:$EN$503,EN461,$EM$4:$EM$503,"Interne",$FE$4:$FE$503,1),"")</f>
        <v/>
      </c>
      <c r="ES461" t="str">
        <f>IF(EO461=1,COUNTIFS($EN$4:$EN$503,EN461,$EM$4:$EM$503,"Externe",$FE$4:$FE$503,1),"")</f>
        <v/>
      </c>
      <c r="ET461" t="str">
        <f>IF(EO461=1,IF(ER461+ES461=0,"à affecter",IF(ER461=0,ES461&amp;" ext.",(ER461+ES461)&amp;IF(ES461&gt;0," dont "&amp;ES461&amp;" ext.",""))&amp;IF(COUNTIFS($EN$4:$EN$503,EN461,$EM$4:$EM$503,"Non affecté")&gt;0," + à affecter","")),"")</f>
        <v/>
      </c>
      <c r="EU461" s="170" t="str">
        <f>IF(EO461=1,IF(EP461&gt;0,SUMPRODUCT(($EN$4:$EN$503=EN461)*$E$4:$E$503*$C$4:$C$503)/EP461,AVERAGEIF($EN$4:$EN$503,EN461,$C$4:$C$503)),"")</f>
        <v/>
      </c>
      <c r="EV461" s="165">
        <f>IF(ISNUMBER(I461),I461,2958465)</f>
        <v>2958465.0</v>
      </c>
      <c r="EW461" s="165" t="str">
        <f>IF(EO461=1,SUMPRODUCT(MIN(($EN$4:$EN$503=EN461)*$EV$4:$EV$503+($EN$4:$EN$503&lt;&gt;EN461)*2958465)),"")</f>
        <v/>
      </c>
      <c r="EX461" s="165">
        <f>IF(AND(D461=1,ISNUMBER(INDEX(Charge!$F:$F,ROW()))),INDEX(Charge!$F:$F,ROW()),0)</f>
        <v>0.0</v>
      </c>
      <c r="EY461" s="165" t="str">
        <f>IF(EO461=1,SUMPRODUCT(MAX(($EN$4:$EN$503=EN461)*$EX$4:$EX$503)),"")</f>
        <v/>
      </c>
      <c r="FD461">
        <f>IF(AND(B461=1,TRIM(INDEX(Charge!$K:$K,ROW()))&lt;&gt;"",TRIM(INDEX(Charge!$L:$L,ROW()))&lt;&gt;""),1,0)</f>
        <v>0</v>
      </c>
      <c r="FE461">
        <f>IF(OR(EN461="",BZ461="(non affecté)"),0,IF(COUNTIFS($EN$4:EN461,EN461,$BZ$4:BZ461,BZ461)=1,1,0))</f>
        <v>0</v>
      </c>
    </row>
    <row r="462">
      <c r="A462">
        <f>ROW()</f>
        <v>462</v>
      </c>
      <c r="B462">
        <f>IF(TRIM(INDEX(Charge!$B:$B,ROW()))&lt;&gt;"",1,0)</f>
        <v>0</v>
      </c>
      <c r="C462">
        <f>IF(B462=1,MIN(1,MAX(0,N(INDEX(Charge!$O:$O,ROW())))),0)</f>
        <v>0</v>
      </c>
      <c r="D462">
        <f>IF(B462=1,IF(OR(p_Perimetre="Tous les projets",C462&lt;1),1,0),0)</f>
        <v>0</v>
      </c>
      <c r="E462">
        <f>IF(D462=1,MAX(0,N(INDEX(Charge!$M:$M,ROW()))),0)</f>
        <v>0</v>
      </c>
      <c r="F462" t="str">
        <f>IF(D462=1,IF(TRIM(INDEX(Charge!$A:$A,ROW()))="","(non renseigné)",TRIM(INDEX(Charge!$A:$A,ROW()))),"")</f>
        <v/>
      </c>
      <c r="G462" t="str">
        <f>IF(D462=1,TRIM(INDEX(Charge!$B:$B,ROW())),"")</f>
        <v/>
      </c>
      <c r="H462" t="str">
        <f>IF(D462=1,IF(TRIM(INDEX(Charge!$E:$E,ROW()))="","(non renseigné)",TRIM(INDEX(Charge!$E:$E,ROW()))),"")</f>
        <v/>
      </c>
      <c r="I462" s="165" t="str">
        <f>IF(AND(D462=1,ISNUMBER(INDEX(Charge!$N:$N,ROW()))),INDEX(Charge!$N:$N,ROW()),"")</f>
        <v/>
      </c>
      <c r="J462" s="165" t="str">
        <f>IF(I462="","",IF(AND(p_Repartition="Lissée jusqu'à la date de besoin",ISNUMBER(INDEX(Charge!$F:$F,ROW()))),IF(INDEX(Charge!$F:$F,ROW())&gt;=I462,INDEX(Charge!$F:$F,ROW()),I462),I462))</f>
        <v/>
      </c>
      <c r="K462" t="str">
        <f>IF(I462="","",NETWORKDAYS(I462,J462,Data!$K$4:$K$203))</f>
        <v/>
      </c>
      <c r="L462" t="str">
        <f>IF(D462=1,COUNTIFS($D$4:$D$503,1,$E$4:$E$503,"&gt;"&amp;E462)+COUNTIFS($D$4:$D462,1,$E$4:$E462,E462),"")</f>
        <v/>
      </c>
      <c r="M462">
        <f>IF(F462="",0,IF(COUNTIF($F$4:F462,F462)=1,1,0))</f>
        <v>0</v>
      </c>
      <c r="N462" t="str">
        <f>IF(M462=1,ROUND(SUMIF($F$4:$F$503,F462,$E$4:$E$503),2),"")</f>
        <v/>
      </c>
      <c r="O462" t="str">
        <f>IF(M462=1,COUNTIFS($M$4:$M$503,1,$N$4:$N$503,"&gt;"&amp;N462)+COUNTIFS($M$4:M462,1,$N$4:N462,N462),"")</f>
        <v/>
      </c>
      <c r="P462">
        <f>IF(G462="",0,IF(COUNTIF($G$4:G462,G462)=1,1,0))</f>
        <v>0</v>
      </c>
      <c r="Q462" t="str">
        <f>IF(P462=1,ROUND(SUMIF($G$4:$G$503,G462,$E$4:$E$503),2),"")</f>
        <v/>
      </c>
      <c r="R462" t="str">
        <f>IF(P462=1,COUNTIFS($P$4:$P$503,1,$Q$4:$Q$503,"&gt;"&amp;Q462)+COUNTIFS($P$4:P462,1,$Q$4:Q462,Q462),"")</f>
        <v/>
      </c>
      <c r="S462">
        <f>IF(H462="",0,IF(COUNTIF($H$4:H462,H462)=1,1,0))</f>
        <v>0</v>
      </c>
      <c r="T462" t="str">
        <f>IF(S462=1,ROUND(SUMIF($H$4:$H$503,H462,$E$4:$E$503),2),"")</f>
        <v/>
      </c>
      <c r="U462" t="str">
        <f>IF(S462=1,COUNTIFS($S$4:$S$503,1,$T$4:$T$503,"&gt;"&amp;T462)+COUNTIFS($S$4:S462,1,$T$4:T462,T462),"")</f>
        <v/>
      </c>
      <c r="V462" t="str">
        <f>IF(D462=1,MIN(INDEX($R$4:$R$503,MATCH(G462,$G$4:$G$503,0)),IF($AL$7&gt;9,9,999)),"")</f>
        <v/>
      </c>
      <c r="W462" s="166">
        <f>IF(OR($I462="",$E462=0),0,IF(OR($J462&lt;W$3,$I462&gt;W$2),0,IF($K462=0,IF(AND($I462&gt;=W$3,$I462&lt;=W$2),$E462,0),$E462*NETWORKDAYS(MAX($I462,W$3),MIN($J462,W$2),Data!$K$4:$K$203)/$K462)))</f>
        <v>0</v>
      </c>
      <c r="X462" s="166">
        <f>IF(OR($I462="",$E462=0),0,IF(OR($J462&lt;X$3,$I462&gt;X$2),0,IF($K462=0,IF(AND($I462&gt;=X$3,$I462&lt;=X$2),$E462,0),$E462*NETWORKDAYS(MAX($I462,X$3),MIN($J462,X$2),Data!$K$4:$K$203)/$K462)))</f>
        <v>0</v>
      </c>
      <c r="Y462" s="166">
        <f>IF(OR($I462="",$E462=0),0,IF(OR($J462&lt;Y$3,$I462&gt;Y$2),0,IF($K462=0,IF(AND($I462&gt;=Y$3,$I462&lt;=Y$2),$E462,0),$E462*NETWORKDAYS(MAX($I462,Y$3),MIN($J462,Y$2),Data!$K$4:$K$203)/$K462)))</f>
        <v>0</v>
      </c>
      <c r="Z462" s="166">
        <f>IF(OR($I462="",$E462=0),0,IF(OR($J462&lt;Z$3,$I462&gt;Z$2),0,IF($K462=0,IF(AND($I462&gt;=Z$3,$I462&lt;=Z$2),$E462,0),$E462*NETWORKDAYS(MAX($I462,Z$3),MIN($J462,Z$2),Data!$K$4:$K$203)/$K462)))</f>
        <v>0</v>
      </c>
      <c r="AA462" s="166">
        <f>IF(OR($I462="",$E462=0),0,IF(OR($J462&lt;AA$3,$I462&gt;AA$2),0,IF($K462=0,IF(AND($I462&gt;=AA$3,$I462&lt;=AA$2),$E462,0),$E462*NETWORKDAYS(MAX($I462,AA$3),MIN($J462,AA$2),Data!$K$4:$K$203)/$K462)))</f>
        <v>0</v>
      </c>
      <c r="AB462" s="166">
        <f>IF(OR($I462="",$E462=0),0,IF(OR($J462&lt;AB$3,$I462&gt;AB$2),0,IF($K462=0,IF(AND($I462&gt;=AB$3,$I462&lt;=AB$2),$E462,0),$E462*NETWORKDAYS(MAX($I462,AB$3),MIN($J462,AB$2),Data!$K$4:$K$203)/$K462)))</f>
        <v>0</v>
      </c>
      <c r="AC462" s="166">
        <f>IF(OR($I462="",$E462=0),0,IF(OR($J462&lt;AC$3,$I462&gt;AC$2),0,IF($K462=0,IF(AND($I462&gt;=AC$3,$I462&lt;=AC$2),$E462,0),$E462*NETWORKDAYS(MAX($I462,AC$3),MIN($J462,AC$2),Data!$K$4:$K$203)/$K462)))</f>
        <v>0</v>
      </c>
      <c r="AD462" s="166">
        <f>IF(OR($I462="",$E462=0),0,IF(OR($J462&lt;AD$3,$I462&gt;AD$2),0,IF($K462=0,IF(AND($I462&gt;=AD$3,$I462&lt;=AD$2),$E462,0),$E462*NETWORKDAYS(MAX($I462,AD$3),MIN($J462,AD$2),Data!$K$4:$K$203)/$K462)))</f>
        <v>0</v>
      </c>
      <c r="AE462" s="166">
        <f>IF(OR($I462="",$E462=0),0,IF(OR($J462&lt;AE$3,$I462&gt;AE$2),0,IF($K462=0,IF(AND($I462&gt;=AE$3,$I462&lt;=AE$2),$E462,0),$E462*NETWORKDAYS(MAX($I462,AE$3),MIN($J462,AE$2),Data!$K$4:$K$203)/$K462)))</f>
        <v>0</v>
      </c>
      <c r="AF462" s="166">
        <f>IF(OR($I462="",$E462=0),0,IF(OR($J462&lt;AF$3,$I462&gt;AF$2),0,IF($K462=0,IF(AND($I462&gt;=AF$3,$I462&lt;=AF$2),$E462,0),$E462*NETWORKDAYS(MAX($I462,AF$3),MIN($J462,AF$2),Data!$K$4:$K$203)/$K462)))</f>
        <v>0</v>
      </c>
      <c r="AG462" s="166">
        <f>IF(OR($I462="",$E462=0),0,IF(OR($J462&lt;AG$3,$I462&gt;AG$2),0,IF($K462=0,IF(AND($I462&gt;=AG$3,$I462&lt;=AG$2),$E462,0),$E462*NETWORKDAYS(MAX($I462,AG$3),MIN($J462,AG$2),Data!$K$4:$K$203)/$K462)))</f>
        <v>0</v>
      </c>
      <c r="AH462" s="166">
        <f>IF(OR($I462="",$E462=0),0,IF(OR($J462&lt;AH$3,$I462&gt;AH$2),0,IF($K462=0,IF(AND($I462&gt;=AH$3,$I462&lt;=AH$2),$E462,0),$E462*NETWORKDAYS(MAX($I462,AH$3),MIN($J462,AH$2),Data!$K$4:$K$203)/$K462)))</f>
        <v>0</v>
      </c>
      <c r="AI462" s="166">
        <f>SUM(W462:AH462)</f>
        <v>0</v>
      </c>
      <c r="BZ462" t="str">
        <f>IF(D462=1,IF(TRIM(INDEX(Charge!$K:$K,ROW()))&lt;&gt;"",TRIM(INDEX(Charge!$K:$K,ROW())),IF(TRIM(INDEX(Charge!$L:$L,ROW()))&lt;&gt;"",TRIM(INDEX(Charge!$L:$L,ROW())),"(non affecté)")),"")</f>
        <v/>
      </c>
      <c r="CA462" t="str">
        <f>IF(AND($CD$4&lt;&gt;"",BZ462=$CD$4),COUNTIFS($BZ$4:$BZ$503,$CD$4,$L$4:$L$503,"&lt;"&amp;L462)+1,"")</f>
        <v/>
      </c>
      <c r="EM462" t="str">
        <f>IF(D462=1,IF(TRIM(INDEX(Charge!$K:$K,ROW()))&lt;&gt;"","Interne",IF(TRIM(INDEX(Charge!$L:$L,ROW()))&lt;&gt;"","Externe","Non affecté")),"")</f>
        <v/>
      </c>
      <c r="EN462" t="str">
        <f>IF(D462=1,LEFT(SUBSTITUTE(SUBSTITUTE(SUBSTITUTE(TRIM(SUBSTITUTE(INDEX(Charge!$B:$B,ROW()),CHAR(160)," "))&amp;" | "&amp;TRIM(SUBSTITUTE(INDEX(Charge!$C:$C,ROW()),CHAR(160)," "))&amp;" | "&amp;TRIM(SUBSTITUTE(INDEX(Charge!$D:$D,ROW()),CHAR(160)," ")),"~","-"),"*","+"),"?","!"),240),"")</f>
        <v/>
      </c>
      <c r="EO462">
        <f>IF(EN462="",0,IF(COUNTIF($EN$4:EN462,EN462)=1,1,0))</f>
        <v>0</v>
      </c>
      <c r="EP462" s="166" t="str">
        <f>IF(EO462=1,ROUND(SUMIF($EN$4:$EN$503,EN462,$E$4:$E$503),2),"")</f>
        <v/>
      </c>
      <c r="EQ462" t="str">
        <f>IF(EO462=1,COUNTIFS($EO$4:$EO$503,1,$EP$4:$EP$503,"&gt;"&amp;EP462)+COUNTIFS($EO$4:EO462,1,$EP$4:EP462,EP462),"")</f>
        <v/>
      </c>
      <c r="ER462" t="str">
        <f>IF(EO462=1,COUNTIFS($EN$4:$EN$503,EN462,$EM$4:$EM$503,"Interne",$FE$4:$FE$503,1),"")</f>
        <v/>
      </c>
      <c r="ES462" t="str">
        <f>IF(EO462=1,COUNTIFS($EN$4:$EN$503,EN462,$EM$4:$EM$503,"Externe",$FE$4:$FE$503,1),"")</f>
        <v/>
      </c>
      <c r="ET462" t="str">
        <f>IF(EO462=1,IF(ER462+ES462=0,"à affecter",IF(ER462=0,ES462&amp;" ext.",(ER462+ES462)&amp;IF(ES462&gt;0," dont "&amp;ES462&amp;" ext.",""))&amp;IF(COUNTIFS($EN$4:$EN$503,EN462,$EM$4:$EM$503,"Non affecté")&gt;0," + à affecter","")),"")</f>
        <v/>
      </c>
      <c r="EU462" s="170" t="str">
        <f>IF(EO462=1,IF(EP462&gt;0,SUMPRODUCT(($EN$4:$EN$503=EN462)*$E$4:$E$503*$C$4:$C$503)/EP462,AVERAGEIF($EN$4:$EN$503,EN462,$C$4:$C$503)),"")</f>
        <v/>
      </c>
      <c r="EV462" s="165">
        <f>IF(ISNUMBER(I462),I462,2958465)</f>
        <v>2958465.0</v>
      </c>
      <c r="EW462" s="165" t="str">
        <f>IF(EO462=1,SUMPRODUCT(MIN(($EN$4:$EN$503=EN462)*$EV$4:$EV$503+($EN$4:$EN$503&lt;&gt;EN462)*2958465)),"")</f>
        <v/>
      </c>
      <c r="EX462" s="165">
        <f>IF(AND(D462=1,ISNUMBER(INDEX(Charge!$F:$F,ROW()))),INDEX(Charge!$F:$F,ROW()),0)</f>
        <v>0.0</v>
      </c>
      <c r="EY462" s="165" t="str">
        <f>IF(EO462=1,SUMPRODUCT(MAX(($EN$4:$EN$503=EN462)*$EX$4:$EX$503)),"")</f>
        <v/>
      </c>
      <c r="FD462">
        <f>IF(AND(B462=1,TRIM(INDEX(Charge!$K:$K,ROW()))&lt;&gt;"",TRIM(INDEX(Charge!$L:$L,ROW()))&lt;&gt;""),1,0)</f>
        <v>0</v>
      </c>
      <c r="FE462">
        <f>IF(OR(EN462="",BZ462="(non affecté)"),0,IF(COUNTIFS($EN$4:EN462,EN462,$BZ$4:BZ462,BZ462)=1,1,0))</f>
        <v>0</v>
      </c>
    </row>
    <row r="463">
      <c r="A463">
        <f>ROW()</f>
        <v>463</v>
      </c>
      <c r="B463">
        <f>IF(TRIM(INDEX(Charge!$B:$B,ROW()))&lt;&gt;"",1,0)</f>
        <v>0</v>
      </c>
      <c r="C463">
        <f>IF(B463=1,MIN(1,MAX(0,N(INDEX(Charge!$O:$O,ROW())))),0)</f>
        <v>0</v>
      </c>
      <c r="D463">
        <f>IF(B463=1,IF(OR(p_Perimetre="Tous les projets",C463&lt;1),1,0),0)</f>
        <v>0</v>
      </c>
      <c r="E463">
        <f>IF(D463=1,MAX(0,N(INDEX(Charge!$M:$M,ROW()))),0)</f>
        <v>0</v>
      </c>
      <c r="F463" t="str">
        <f>IF(D463=1,IF(TRIM(INDEX(Charge!$A:$A,ROW()))="","(non renseigné)",TRIM(INDEX(Charge!$A:$A,ROW()))),"")</f>
        <v/>
      </c>
      <c r="G463" t="str">
        <f>IF(D463=1,TRIM(INDEX(Charge!$B:$B,ROW())),"")</f>
        <v/>
      </c>
      <c r="H463" t="str">
        <f>IF(D463=1,IF(TRIM(INDEX(Charge!$E:$E,ROW()))="","(non renseigné)",TRIM(INDEX(Charge!$E:$E,ROW()))),"")</f>
        <v/>
      </c>
      <c r="I463" s="165" t="str">
        <f>IF(AND(D463=1,ISNUMBER(INDEX(Charge!$N:$N,ROW()))),INDEX(Charge!$N:$N,ROW()),"")</f>
        <v/>
      </c>
      <c r="J463" s="165" t="str">
        <f>IF(I463="","",IF(AND(p_Repartition="Lissée jusqu'à la date de besoin",ISNUMBER(INDEX(Charge!$F:$F,ROW()))),IF(INDEX(Charge!$F:$F,ROW())&gt;=I463,INDEX(Charge!$F:$F,ROW()),I463),I463))</f>
        <v/>
      </c>
      <c r="K463" t="str">
        <f>IF(I463="","",NETWORKDAYS(I463,J463,Data!$K$4:$K$203))</f>
        <v/>
      </c>
      <c r="L463" t="str">
        <f>IF(D463=1,COUNTIFS($D$4:$D$503,1,$E$4:$E$503,"&gt;"&amp;E463)+COUNTIFS($D$4:$D463,1,$E$4:$E463,E463),"")</f>
        <v/>
      </c>
      <c r="M463">
        <f>IF(F463="",0,IF(COUNTIF($F$4:F463,F463)=1,1,0))</f>
        <v>0</v>
      </c>
      <c r="N463" t="str">
        <f>IF(M463=1,ROUND(SUMIF($F$4:$F$503,F463,$E$4:$E$503),2),"")</f>
        <v/>
      </c>
      <c r="O463" t="str">
        <f>IF(M463=1,COUNTIFS($M$4:$M$503,1,$N$4:$N$503,"&gt;"&amp;N463)+COUNTIFS($M$4:M463,1,$N$4:N463,N463),"")</f>
        <v/>
      </c>
      <c r="P463">
        <f>IF(G463="",0,IF(COUNTIF($G$4:G463,G463)=1,1,0))</f>
        <v>0</v>
      </c>
      <c r="Q463" t="str">
        <f>IF(P463=1,ROUND(SUMIF($G$4:$G$503,G463,$E$4:$E$503),2),"")</f>
        <v/>
      </c>
      <c r="R463" t="str">
        <f>IF(P463=1,COUNTIFS($P$4:$P$503,1,$Q$4:$Q$503,"&gt;"&amp;Q463)+COUNTIFS($P$4:P463,1,$Q$4:Q463,Q463),"")</f>
        <v/>
      </c>
      <c r="S463">
        <f>IF(H463="",0,IF(COUNTIF($H$4:H463,H463)=1,1,0))</f>
        <v>0</v>
      </c>
      <c r="T463" t="str">
        <f>IF(S463=1,ROUND(SUMIF($H$4:$H$503,H463,$E$4:$E$503),2),"")</f>
        <v/>
      </c>
      <c r="U463" t="str">
        <f>IF(S463=1,COUNTIFS($S$4:$S$503,1,$T$4:$T$503,"&gt;"&amp;T463)+COUNTIFS($S$4:S463,1,$T$4:T463,T463),"")</f>
        <v/>
      </c>
      <c r="V463" t="str">
        <f>IF(D463=1,MIN(INDEX($R$4:$R$503,MATCH(G463,$G$4:$G$503,0)),IF($AL$7&gt;9,9,999)),"")</f>
        <v/>
      </c>
      <c r="W463" s="166">
        <f>IF(OR($I463="",$E463=0),0,IF(OR($J463&lt;W$3,$I463&gt;W$2),0,IF($K463=0,IF(AND($I463&gt;=W$3,$I463&lt;=W$2),$E463,0),$E463*NETWORKDAYS(MAX($I463,W$3),MIN($J463,W$2),Data!$K$4:$K$203)/$K463)))</f>
        <v>0</v>
      </c>
      <c r="X463" s="166">
        <f>IF(OR($I463="",$E463=0),0,IF(OR($J463&lt;X$3,$I463&gt;X$2),0,IF($K463=0,IF(AND($I463&gt;=X$3,$I463&lt;=X$2),$E463,0),$E463*NETWORKDAYS(MAX($I463,X$3),MIN($J463,X$2),Data!$K$4:$K$203)/$K463)))</f>
        <v>0</v>
      </c>
      <c r="Y463" s="166">
        <f>IF(OR($I463="",$E463=0),0,IF(OR($J463&lt;Y$3,$I463&gt;Y$2),0,IF($K463=0,IF(AND($I463&gt;=Y$3,$I463&lt;=Y$2),$E463,0),$E463*NETWORKDAYS(MAX($I463,Y$3),MIN($J463,Y$2),Data!$K$4:$K$203)/$K463)))</f>
        <v>0</v>
      </c>
      <c r="Z463" s="166">
        <f>IF(OR($I463="",$E463=0),0,IF(OR($J463&lt;Z$3,$I463&gt;Z$2),0,IF($K463=0,IF(AND($I463&gt;=Z$3,$I463&lt;=Z$2),$E463,0),$E463*NETWORKDAYS(MAX($I463,Z$3),MIN($J463,Z$2),Data!$K$4:$K$203)/$K463)))</f>
        <v>0</v>
      </c>
      <c r="AA463" s="166">
        <f>IF(OR($I463="",$E463=0),0,IF(OR($J463&lt;AA$3,$I463&gt;AA$2),0,IF($K463=0,IF(AND($I463&gt;=AA$3,$I463&lt;=AA$2),$E463,0),$E463*NETWORKDAYS(MAX($I463,AA$3),MIN($J463,AA$2),Data!$K$4:$K$203)/$K463)))</f>
        <v>0</v>
      </c>
      <c r="AB463" s="166">
        <f>IF(OR($I463="",$E463=0),0,IF(OR($J463&lt;AB$3,$I463&gt;AB$2),0,IF($K463=0,IF(AND($I463&gt;=AB$3,$I463&lt;=AB$2),$E463,0),$E463*NETWORKDAYS(MAX($I463,AB$3),MIN($J463,AB$2),Data!$K$4:$K$203)/$K463)))</f>
        <v>0</v>
      </c>
      <c r="AC463" s="166">
        <f>IF(OR($I463="",$E463=0),0,IF(OR($J463&lt;AC$3,$I463&gt;AC$2),0,IF($K463=0,IF(AND($I463&gt;=AC$3,$I463&lt;=AC$2),$E463,0),$E463*NETWORKDAYS(MAX($I463,AC$3),MIN($J463,AC$2),Data!$K$4:$K$203)/$K463)))</f>
        <v>0</v>
      </c>
      <c r="AD463" s="166">
        <f>IF(OR($I463="",$E463=0),0,IF(OR($J463&lt;AD$3,$I463&gt;AD$2),0,IF($K463=0,IF(AND($I463&gt;=AD$3,$I463&lt;=AD$2),$E463,0),$E463*NETWORKDAYS(MAX($I463,AD$3),MIN($J463,AD$2),Data!$K$4:$K$203)/$K463)))</f>
        <v>0</v>
      </c>
      <c r="AE463" s="166">
        <f>IF(OR($I463="",$E463=0),0,IF(OR($J463&lt;AE$3,$I463&gt;AE$2),0,IF($K463=0,IF(AND($I463&gt;=AE$3,$I463&lt;=AE$2),$E463,0),$E463*NETWORKDAYS(MAX($I463,AE$3),MIN($J463,AE$2),Data!$K$4:$K$203)/$K463)))</f>
        <v>0</v>
      </c>
      <c r="AF463" s="166">
        <f>IF(OR($I463="",$E463=0),0,IF(OR($J463&lt;AF$3,$I463&gt;AF$2),0,IF($K463=0,IF(AND($I463&gt;=AF$3,$I463&lt;=AF$2),$E463,0),$E463*NETWORKDAYS(MAX($I463,AF$3),MIN($J463,AF$2),Data!$K$4:$K$203)/$K463)))</f>
        <v>0</v>
      </c>
      <c r="AG463" s="166">
        <f>IF(OR($I463="",$E463=0),0,IF(OR($J463&lt;AG$3,$I463&gt;AG$2),0,IF($K463=0,IF(AND($I463&gt;=AG$3,$I463&lt;=AG$2),$E463,0),$E463*NETWORKDAYS(MAX($I463,AG$3),MIN($J463,AG$2),Data!$K$4:$K$203)/$K463)))</f>
        <v>0</v>
      </c>
      <c r="AH463" s="166">
        <f>IF(OR($I463="",$E463=0),0,IF(OR($J463&lt;AH$3,$I463&gt;AH$2),0,IF($K463=0,IF(AND($I463&gt;=AH$3,$I463&lt;=AH$2),$E463,0),$E463*NETWORKDAYS(MAX($I463,AH$3),MIN($J463,AH$2),Data!$K$4:$K$203)/$K463)))</f>
        <v>0</v>
      </c>
      <c r="AI463" s="166">
        <f>SUM(W463:AH463)</f>
        <v>0</v>
      </c>
      <c r="BZ463" t="str">
        <f>IF(D463=1,IF(TRIM(INDEX(Charge!$K:$K,ROW()))&lt;&gt;"",TRIM(INDEX(Charge!$K:$K,ROW())),IF(TRIM(INDEX(Charge!$L:$L,ROW()))&lt;&gt;"",TRIM(INDEX(Charge!$L:$L,ROW())),"(non affecté)")),"")</f>
        <v/>
      </c>
      <c r="CA463" t="str">
        <f>IF(AND($CD$4&lt;&gt;"",BZ463=$CD$4),COUNTIFS($BZ$4:$BZ$503,$CD$4,$L$4:$L$503,"&lt;"&amp;L463)+1,"")</f>
        <v/>
      </c>
      <c r="EM463" t="str">
        <f>IF(D463=1,IF(TRIM(INDEX(Charge!$K:$K,ROW()))&lt;&gt;"","Interne",IF(TRIM(INDEX(Charge!$L:$L,ROW()))&lt;&gt;"","Externe","Non affecté")),"")</f>
        <v/>
      </c>
      <c r="EN463" t="str">
        <f>IF(D463=1,LEFT(SUBSTITUTE(SUBSTITUTE(SUBSTITUTE(TRIM(SUBSTITUTE(INDEX(Charge!$B:$B,ROW()),CHAR(160)," "))&amp;" | "&amp;TRIM(SUBSTITUTE(INDEX(Charge!$C:$C,ROW()),CHAR(160)," "))&amp;" | "&amp;TRIM(SUBSTITUTE(INDEX(Charge!$D:$D,ROW()),CHAR(160)," ")),"~","-"),"*","+"),"?","!"),240),"")</f>
        <v/>
      </c>
      <c r="EO463">
        <f>IF(EN463="",0,IF(COUNTIF($EN$4:EN463,EN463)=1,1,0))</f>
        <v>0</v>
      </c>
      <c r="EP463" s="166" t="str">
        <f>IF(EO463=1,ROUND(SUMIF($EN$4:$EN$503,EN463,$E$4:$E$503),2),"")</f>
        <v/>
      </c>
      <c r="EQ463" t="str">
        <f>IF(EO463=1,COUNTIFS($EO$4:$EO$503,1,$EP$4:$EP$503,"&gt;"&amp;EP463)+COUNTIFS($EO$4:EO463,1,$EP$4:EP463,EP463),"")</f>
        <v/>
      </c>
      <c r="ER463" t="str">
        <f>IF(EO463=1,COUNTIFS($EN$4:$EN$503,EN463,$EM$4:$EM$503,"Interne",$FE$4:$FE$503,1),"")</f>
        <v/>
      </c>
      <c r="ES463" t="str">
        <f>IF(EO463=1,COUNTIFS($EN$4:$EN$503,EN463,$EM$4:$EM$503,"Externe",$FE$4:$FE$503,1),"")</f>
        <v/>
      </c>
      <c r="ET463" t="str">
        <f>IF(EO463=1,IF(ER463+ES463=0,"à affecter",IF(ER463=0,ES463&amp;" ext.",(ER463+ES463)&amp;IF(ES463&gt;0," dont "&amp;ES463&amp;" ext.",""))&amp;IF(COUNTIFS($EN$4:$EN$503,EN463,$EM$4:$EM$503,"Non affecté")&gt;0," + à affecter","")),"")</f>
        <v/>
      </c>
      <c r="EU463" s="170" t="str">
        <f>IF(EO463=1,IF(EP463&gt;0,SUMPRODUCT(($EN$4:$EN$503=EN463)*$E$4:$E$503*$C$4:$C$503)/EP463,AVERAGEIF($EN$4:$EN$503,EN463,$C$4:$C$503)),"")</f>
        <v/>
      </c>
      <c r="EV463" s="165">
        <f>IF(ISNUMBER(I463),I463,2958465)</f>
        <v>2958465.0</v>
      </c>
      <c r="EW463" s="165" t="str">
        <f>IF(EO463=1,SUMPRODUCT(MIN(($EN$4:$EN$503=EN463)*$EV$4:$EV$503+($EN$4:$EN$503&lt;&gt;EN463)*2958465)),"")</f>
        <v/>
      </c>
      <c r="EX463" s="165">
        <f>IF(AND(D463=1,ISNUMBER(INDEX(Charge!$F:$F,ROW()))),INDEX(Charge!$F:$F,ROW()),0)</f>
        <v>0.0</v>
      </c>
      <c r="EY463" s="165" t="str">
        <f>IF(EO463=1,SUMPRODUCT(MAX(($EN$4:$EN$503=EN463)*$EX$4:$EX$503)),"")</f>
        <v/>
      </c>
      <c r="FD463">
        <f>IF(AND(B463=1,TRIM(INDEX(Charge!$K:$K,ROW()))&lt;&gt;"",TRIM(INDEX(Charge!$L:$L,ROW()))&lt;&gt;""),1,0)</f>
        <v>0</v>
      </c>
      <c r="FE463">
        <f>IF(OR(EN463="",BZ463="(non affecté)"),0,IF(COUNTIFS($EN$4:EN463,EN463,$BZ$4:BZ463,BZ463)=1,1,0))</f>
        <v>0</v>
      </c>
    </row>
    <row r="464">
      <c r="A464">
        <f>ROW()</f>
        <v>464</v>
      </c>
      <c r="B464">
        <f>IF(TRIM(INDEX(Charge!$B:$B,ROW()))&lt;&gt;"",1,0)</f>
        <v>0</v>
      </c>
      <c r="C464">
        <f>IF(B464=1,MIN(1,MAX(0,N(INDEX(Charge!$O:$O,ROW())))),0)</f>
        <v>0</v>
      </c>
      <c r="D464">
        <f>IF(B464=1,IF(OR(p_Perimetre="Tous les projets",C464&lt;1),1,0),0)</f>
        <v>0</v>
      </c>
      <c r="E464">
        <f>IF(D464=1,MAX(0,N(INDEX(Charge!$M:$M,ROW()))),0)</f>
        <v>0</v>
      </c>
      <c r="F464" t="str">
        <f>IF(D464=1,IF(TRIM(INDEX(Charge!$A:$A,ROW()))="","(non renseigné)",TRIM(INDEX(Charge!$A:$A,ROW()))),"")</f>
        <v/>
      </c>
      <c r="G464" t="str">
        <f>IF(D464=1,TRIM(INDEX(Charge!$B:$B,ROW())),"")</f>
        <v/>
      </c>
      <c r="H464" t="str">
        <f>IF(D464=1,IF(TRIM(INDEX(Charge!$E:$E,ROW()))="","(non renseigné)",TRIM(INDEX(Charge!$E:$E,ROW()))),"")</f>
        <v/>
      </c>
      <c r="I464" s="165" t="str">
        <f>IF(AND(D464=1,ISNUMBER(INDEX(Charge!$N:$N,ROW()))),INDEX(Charge!$N:$N,ROW()),"")</f>
        <v/>
      </c>
      <c r="J464" s="165" t="str">
        <f>IF(I464="","",IF(AND(p_Repartition="Lissée jusqu'à la date de besoin",ISNUMBER(INDEX(Charge!$F:$F,ROW()))),IF(INDEX(Charge!$F:$F,ROW())&gt;=I464,INDEX(Charge!$F:$F,ROW()),I464),I464))</f>
        <v/>
      </c>
      <c r="K464" t="str">
        <f>IF(I464="","",NETWORKDAYS(I464,J464,Data!$K$4:$K$203))</f>
        <v/>
      </c>
      <c r="L464" t="str">
        <f>IF(D464=1,COUNTIFS($D$4:$D$503,1,$E$4:$E$503,"&gt;"&amp;E464)+COUNTIFS($D$4:$D464,1,$E$4:$E464,E464),"")</f>
        <v/>
      </c>
      <c r="M464">
        <f>IF(F464="",0,IF(COUNTIF($F$4:F464,F464)=1,1,0))</f>
        <v>0</v>
      </c>
      <c r="N464" t="str">
        <f>IF(M464=1,ROUND(SUMIF($F$4:$F$503,F464,$E$4:$E$503),2),"")</f>
        <v/>
      </c>
      <c r="O464" t="str">
        <f>IF(M464=1,COUNTIFS($M$4:$M$503,1,$N$4:$N$503,"&gt;"&amp;N464)+COUNTIFS($M$4:M464,1,$N$4:N464,N464),"")</f>
        <v/>
      </c>
      <c r="P464">
        <f>IF(G464="",0,IF(COUNTIF($G$4:G464,G464)=1,1,0))</f>
        <v>0</v>
      </c>
      <c r="Q464" t="str">
        <f>IF(P464=1,ROUND(SUMIF($G$4:$G$503,G464,$E$4:$E$503),2),"")</f>
        <v/>
      </c>
      <c r="R464" t="str">
        <f>IF(P464=1,COUNTIFS($P$4:$P$503,1,$Q$4:$Q$503,"&gt;"&amp;Q464)+COUNTIFS($P$4:P464,1,$Q$4:Q464,Q464),"")</f>
        <v/>
      </c>
      <c r="S464">
        <f>IF(H464="",0,IF(COUNTIF($H$4:H464,H464)=1,1,0))</f>
        <v>0</v>
      </c>
      <c r="T464" t="str">
        <f>IF(S464=1,ROUND(SUMIF($H$4:$H$503,H464,$E$4:$E$503),2),"")</f>
        <v/>
      </c>
      <c r="U464" t="str">
        <f>IF(S464=1,COUNTIFS($S$4:$S$503,1,$T$4:$T$503,"&gt;"&amp;T464)+COUNTIFS($S$4:S464,1,$T$4:T464,T464),"")</f>
        <v/>
      </c>
      <c r="V464" t="str">
        <f>IF(D464=1,MIN(INDEX($R$4:$R$503,MATCH(G464,$G$4:$G$503,0)),IF($AL$7&gt;9,9,999)),"")</f>
        <v/>
      </c>
      <c r="W464" s="166">
        <f>IF(OR($I464="",$E464=0),0,IF(OR($J464&lt;W$3,$I464&gt;W$2),0,IF($K464=0,IF(AND($I464&gt;=W$3,$I464&lt;=W$2),$E464,0),$E464*NETWORKDAYS(MAX($I464,W$3),MIN($J464,W$2),Data!$K$4:$K$203)/$K464)))</f>
        <v>0</v>
      </c>
      <c r="X464" s="166">
        <f>IF(OR($I464="",$E464=0),0,IF(OR($J464&lt;X$3,$I464&gt;X$2),0,IF($K464=0,IF(AND($I464&gt;=X$3,$I464&lt;=X$2),$E464,0),$E464*NETWORKDAYS(MAX($I464,X$3),MIN($J464,X$2),Data!$K$4:$K$203)/$K464)))</f>
        <v>0</v>
      </c>
      <c r="Y464" s="166">
        <f>IF(OR($I464="",$E464=0),0,IF(OR($J464&lt;Y$3,$I464&gt;Y$2),0,IF($K464=0,IF(AND($I464&gt;=Y$3,$I464&lt;=Y$2),$E464,0),$E464*NETWORKDAYS(MAX($I464,Y$3),MIN($J464,Y$2),Data!$K$4:$K$203)/$K464)))</f>
        <v>0</v>
      </c>
      <c r="Z464" s="166">
        <f>IF(OR($I464="",$E464=0),0,IF(OR($J464&lt;Z$3,$I464&gt;Z$2),0,IF($K464=0,IF(AND($I464&gt;=Z$3,$I464&lt;=Z$2),$E464,0),$E464*NETWORKDAYS(MAX($I464,Z$3),MIN($J464,Z$2),Data!$K$4:$K$203)/$K464)))</f>
        <v>0</v>
      </c>
      <c r="AA464" s="166">
        <f>IF(OR($I464="",$E464=0),0,IF(OR($J464&lt;AA$3,$I464&gt;AA$2),0,IF($K464=0,IF(AND($I464&gt;=AA$3,$I464&lt;=AA$2),$E464,0),$E464*NETWORKDAYS(MAX($I464,AA$3),MIN($J464,AA$2),Data!$K$4:$K$203)/$K464)))</f>
        <v>0</v>
      </c>
      <c r="AB464" s="166">
        <f>IF(OR($I464="",$E464=0),0,IF(OR($J464&lt;AB$3,$I464&gt;AB$2),0,IF($K464=0,IF(AND($I464&gt;=AB$3,$I464&lt;=AB$2),$E464,0),$E464*NETWORKDAYS(MAX($I464,AB$3),MIN($J464,AB$2),Data!$K$4:$K$203)/$K464)))</f>
        <v>0</v>
      </c>
      <c r="AC464" s="166">
        <f>IF(OR($I464="",$E464=0),0,IF(OR($J464&lt;AC$3,$I464&gt;AC$2),0,IF($K464=0,IF(AND($I464&gt;=AC$3,$I464&lt;=AC$2),$E464,0),$E464*NETWORKDAYS(MAX($I464,AC$3),MIN($J464,AC$2),Data!$K$4:$K$203)/$K464)))</f>
        <v>0</v>
      </c>
      <c r="AD464" s="166">
        <f>IF(OR($I464="",$E464=0),0,IF(OR($J464&lt;AD$3,$I464&gt;AD$2),0,IF($K464=0,IF(AND($I464&gt;=AD$3,$I464&lt;=AD$2),$E464,0),$E464*NETWORKDAYS(MAX($I464,AD$3),MIN($J464,AD$2),Data!$K$4:$K$203)/$K464)))</f>
        <v>0</v>
      </c>
      <c r="AE464" s="166">
        <f>IF(OR($I464="",$E464=0),0,IF(OR($J464&lt;AE$3,$I464&gt;AE$2),0,IF($K464=0,IF(AND($I464&gt;=AE$3,$I464&lt;=AE$2),$E464,0),$E464*NETWORKDAYS(MAX($I464,AE$3),MIN($J464,AE$2),Data!$K$4:$K$203)/$K464)))</f>
        <v>0</v>
      </c>
      <c r="AF464" s="166">
        <f>IF(OR($I464="",$E464=0),0,IF(OR($J464&lt;AF$3,$I464&gt;AF$2),0,IF($K464=0,IF(AND($I464&gt;=AF$3,$I464&lt;=AF$2),$E464,0),$E464*NETWORKDAYS(MAX($I464,AF$3),MIN($J464,AF$2),Data!$K$4:$K$203)/$K464)))</f>
        <v>0</v>
      </c>
      <c r="AG464" s="166">
        <f>IF(OR($I464="",$E464=0),0,IF(OR($J464&lt;AG$3,$I464&gt;AG$2),0,IF($K464=0,IF(AND($I464&gt;=AG$3,$I464&lt;=AG$2),$E464,0),$E464*NETWORKDAYS(MAX($I464,AG$3),MIN($J464,AG$2),Data!$K$4:$K$203)/$K464)))</f>
        <v>0</v>
      </c>
      <c r="AH464" s="166">
        <f>IF(OR($I464="",$E464=0),0,IF(OR($J464&lt;AH$3,$I464&gt;AH$2),0,IF($K464=0,IF(AND($I464&gt;=AH$3,$I464&lt;=AH$2),$E464,0),$E464*NETWORKDAYS(MAX($I464,AH$3),MIN($J464,AH$2),Data!$K$4:$K$203)/$K464)))</f>
        <v>0</v>
      </c>
      <c r="AI464" s="166">
        <f>SUM(W464:AH464)</f>
        <v>0</v>
      </c>
      <c r="BZ464" t="str">
        <f>IF(D464=1,IF(TRIM(INDEX(Charge!$K:$K,ROW()))&lt;&gt;"",TRIM(INDEX(Charge!$K:$K,ROW())),IF(TRIM(INDEX(Charge!$L:$L,ROW()))&lt;&gt;"",TRIM(INDEX(Charge!$L:$L,ROW())),"(non affecté)")),"")</f>
        <v/>
      </c>
      <c r="CA464" t="str">
        <f>IF(AND($CD$4&lt;&gt;"",BZ464=$CD$4),COUNTIFS($BZ$4:$BZ$503,$CD$4,$L$4:$L$503,"&lt;"&amp;L464)+1,"")</f>
        <v/>
      </c>
      <c r="EM464" t="str">
        <f>IF(D464=1,IF(TRIM(INDEX(Charge!$K:$K,ROW()))&lt;&gt;"","Interne",IF(TRIM(INDEX(Charge!$L:$L,ROW()))&lt;&gt;"","Externe","Non affecté")),"")</f>
        <v/>
      </c>
      <c r="EN464" t="str">
        <f>IF(D464=1,LEFT(SUBSTITUTE(SUBSTITUTE(SUBSTITUTE(TRIM(SUBSTITUTE(INDEX(Charge!$B:$B,ROW()),CHAR(160)," "))&amp;" | "&amp;TRIM(SUBSTITUTE(INDEX(Charge!$C:$C,ROW()),CHAR(160)," "))&amp;" | "&amp;TRIM(SUBSTITUTE(INDEX(Charge!$D:$D,ROW()),CHAR(160)," ")),"~","-"),"*","+"),"?","!"),240),"")</f>
        <v/>
      </c>
      <c r="EO464">
        <f>IF(EN464="",0,IF(COUNTIF($EN$4:EN464,EN464)=1,1,0))</f>
        <v>0</v>
      </c>
      <c r="EP464" s="166" t="str">
        <f>IF(EO464=1,ROUND(SUMIF($EN$4:$EN$503,EN464,$E$4:$E$503),2),"")</f>
        <v/>
      </c>
      <c r="EQ464" t="str">
        <f>IF(EO464=1,COUNTIFS($EO$4:$EO$503,1,$EP$4:$EP$503,"&gt;"&amp;EP464)+COUNTIFS($EO$4:EO464,1,$EP$4:EP464,EP464),"")</f>
        <v/>
      </c>
      <c r="ER464" t="str">
        <f>IF(EO464=1,COUNTIFS($EN$4:$EN$503,EN464,$EM$4:$EM$503,"Interne",$FE$4:$FE$503,1),"")</f>
        <v/>
      </c>
      <c r="ES464" t="str">
        <f>IF(EO464=1,COUNTIFS($EN$4:$EN$503,EN464,$EM$4:$EM$503,"Externe",$FE$4:$FE$503,1),"")</f>
        <v/>
      </c>
      <c r="ET464" t="str">
        <f>IF(EO464=1,IF(ER464+ES464=0,"à affecter",IF(ER464=0,ES464&amp;" ext.",(ER464+ES464)&amp;IF(ES464&gt;0," dont "&amp;ES464&amp;" ext.",""))&amp;IF(COUNTIFS($EN$4:$EN$503,EN464,$EM$4:$EM$503,"Non affecté")&gt;0," + à affecter","")),"")</f>
        <v/>
      </c>
      <c r="EU464" s="170" t="str">
        <f>IF(EO464=1,IF(EP464&gt;0,SUMPRODUCT(($EN$4:$EN$503=EN464)*$E$4:$E$503*$C$4:$C$503)/EP464,AVERAGEIF($EN$4:$EN$503,EN464,$C$4:$C$503)),"")</f>
        <v/>
      </c>
      <c r="EV464" s="165">
        <f>IF(ISNUMBER(I464),I464,2958465)</f>
        <v>2958465.0</v>
      </c>
      <c r="EW464" s="165" t="str">
        <f>IF(EO464=1,SUMPRODUCT(MIN(($EN$4:$EN$503=EN464)*$EV$4:$EV$503+($EN$4:$EN$503&lt;&gt;EN464)*2958465)),"")</f>
        <v/>
      </c>
      <c r="EX464" s="165">
        <f>IF(AND(D464=1,ISNUMBER(INDEX(Charge!$F:$F,ROW()))),INDEX(Charge!$F:$F,ROW()),0)</f>
        <v>0.0</v>
      </c>
      <c r="EY464" s="165" t="str">
        <f>IF(EO464=1,SUMPRODUCT(MAX(($EN$4:$EN$503=EN464)*$EX$4:$EX$503)),"")</f>
        <v/>
      </c>
      <c r="FD464">
        <f>IF(AND(B464=1,TRIM(INDEX(Charge!$K:$K,ROW()))&lt;&gt;"",TRIM(INDEX(Charge!$L:$L,ROW()))&lt;&gt;""),1,0)</f>
        <v>0</v>
      </c>
      <c r="FE464">
        <f>IF(OR(EN464="",BZ464="(non affecté)"),0,IF(COUNTIFS($EN$4:EN464,EN464,$BZ$4:BZ464,BZ464)=1,1,0))</f>
        <v>0</v>
      </c>
    </row>
    <row r="465">
      <c r="A465">
        <f>ROW()</f>
        <v>465</v>
      </c>
      <c r="B465">
        <f>IF(TRIM(INDEX(Charge!$B:$B,ROW()))&lt;&gt;"",1,0)</f>
        <v>0</v>
      </c>
      <c r="C465">
        <f>IF(B465=1,MIN(1,MAX(0,N(INDEX(Charge!$O:$O,ROW())))),0)</f>
        <v>0</v>
      </c>
      <c r="D465">
        <f>IF(B465=1,IF(OR(p_Perimetre="Tous les projets",C465&lt;1),1,0),0)</f>
        <v>0</v>
      </c>
      <c r="E465">
        <f>IF(D465=1,MAX(0,N(INDEX(Charge!$M:$M,ROW()))),0)</f>
        <v>0</v>
      </c>
      <c r="F465" t="str">
        <f>IF(D465=1,IF(TRIM(INDEX(Charge!$A:$A,ROW()))="","(non renseigné)",TRIM(INDEX(Charge!$A:$A,ROW()))),"")</f>
        <v/>
      </c>
      <c r="G465" t="str">
        <f>IF(D465=1,TRIM(INDEX(Charge!$B:$B,ROW())),"")</f>
        <v/>
      </c>
      <c r="H465" t="str">
        <f>IF(D465=1,IF(TRIM(INDEX(Charge!$E:$E,ROW()))="","(non renseigné)",TRIM(INDEX(Charge!$E:$E,ROW()))),"")</f>
        <v/>
      </c>
      <c r="I465" s="165" t="str">
        <f>IF(AND(D465=1,ISNUMBER(INDEX(Charge!$N:$N,ROW()))),INDEX(Charge!$N:$N,ROW()),"")</f>
        <v/>
      </c>
      <c r="J465" s="165" t="str">
        <f>IF(I465="","",IF(AND(p_Repartition="Lissée jusqu'à la date de besoin",ISNUMBER(INDEX(Charge!$F:$F,ROW()))),IF(INDEX(Charge!$F:$F,ROW())&gt;=I465,INDEX(Charge!$F:$F,ROW()),I465),I465))</f>
        <v/>
      </c>
      <c r="K465" t="str">
        <f>IF(I465="","",NETWORKDAYS(I465,J465,Data!$K$4:$K$203))</f>
        <v/>
      </c>
      <c r="L465" t="str">
        <f>IF(D465=1,COUNTIFS($D$4:$D$503,1,$E$4:$E$503,"&gt;"&amp;E465)+COUNTIFS($D$4:$D465,1,$E$4:$E465,E465),"")</f>
        <v/>
      </c>
      <c r="M465">
        <f>IF(F465="",0,IF(COUNTIF($F$4:F465,F465)=1,1,0))</f>
        <v>0</v>
      </c>
      <c r="N465" t="str">
        <f>IF(M465=1,ROUND(SUMIF($F$4:$F$503,F465,$E$4:$E$503),2),"")</f>
        <v/>
      </c>
      <c r="O465" t="str">
        <f>IF(M465=1,COUNTIFS($M$4:$M$503,1,$N$4:$N$503,"&gt;"&amp;N465)+COUNTIFS($M$4:M465,1,$N$4:N465,N465),"")</f>
        <v/>
      </c>
      <c r="P465">
        <f>IF(G465="",0,IF(COUNTIF($G$4:G465,G465)=1,1,0))</f>
        <v>0</v>
      </c>
      <c r="Q465" t="str">
        <f>IF(P465=1,ROUND(SUMIF($G$4:$G$503,G465,$E$4:$E$503),2),"")</f>
        <v/>
      </c>
      <c r="R465" t="str">
        <f>IF(P465=1,COUNTIFS($P$4:$P$503,1,$Q$4:$Q$503,"&gt;"&amp;Q465)+COUNTIFS($P$4:P465,1,$Q$4:Q465,Q465),"")</f>
        <v/>
      </c>
      <c r="S465">
        <f>IF(H465="",0,IF(COUNTIF($H$4:H465,H465)=1,1,0))</f>
        <v>0</v>
      </c>
      <c r="T465" t="str">
        <f>IF(S465=1,ROUND(SUMIF($H$4:$H$503,H465,$E$4:$E$503),2),"")</f>
        <v/>
      </c>
      <c r="U465" t="str">
        <f>IF(S465=1,COUNTIFS($S$4:$S$503,1,$T$4:$T$503,"&gt;"&amp;T465)+COUNTIFS($S$4:S465,1,$T$4:T465,T465),"")</f>
        <v/>
      </c>
      <c r="V465" t="str">
        <f>IF(D465=1,MIN(INDEX($R$4:$R$503,MATCH(G465,$G$4:$G$503,0)),IF($AL$7&gt;9,9,999)),"")</f>
        <v/>
      </c>
      <c r="W465" s="166">
        <f>IF(OR($I465="",$E465=0),0,IF(OR($J465&lt;W$3,$I465&gt;W$2),0,IF($K465=0,IF(AND($I465&gt;=W$3,$I465&lt;=W$2),$E465,0),$E465*NETWORKDAYS(MAX($I465,W$3),MIN($J465,W$2),Data!$K$4:$K$203)/$K465)))</f>
        <v>0</v>
      </c>
      <c r="X465" s="166">
        <f>IF(OR($I465="",$E465=0),0,IF(OR($J465&lt;X$3,$I465&gt;X$2),0,IF($K465=0,IF(AND($I465&gt;=X$3,$I465&lt;=X$2),$E465,0),$E465*NETWORKDAYS(MAX($I465,X$3),MIN($J465,X$2),Data!$K$4:$K$203)/$K465)))</f>
        <v>0</v>
      </c>
      <c r="Y465" s="166">
        <f>IF(OR($I465="",$E465=0),0,IF(OR($J465&lt;Y$3,$I465&gt;Y$2),0,IF($K465=0,IF(AND($I465&gt;=Y$3,$I465&lt;=Y$2),$E465,0),$E465*NETWORKDAYS(MAX($I465,Y$3),MIN($J465,Y$2),Data!$K$4:$K$203)/$K465)))</f>
        <v>0</v>
      </c>
      <c r="Z465" s="166">
        <f>IF(OR($I465="",$E465=0),0,IF(OR($J465&lt;Z$3,$I465&gt;Z$2),0,IF($K465=0,IF(AND($I465&gt;=Z$3,$I465&lt;=Z$2),$E465,0),$E465*NETWORKDAYS(MAX($I465,Z$3),MIN($J465,Z$2),Data!$K$4:$K$203)/$K465)))</f>
        <v>0</v>
      </c>
      <c r="AA465" s="166">
        <f>IF(OR($I465="",$E465=0),0,IF(OR($J465&lt;AA$3,$I465&gt;AA$2),0,IF($K465=0,IF(AND($I465&gt;=AA$3,$I465&lt;=AA$2),$E465,0),$E465*NETWORKDAYS(MAX($I465,AA$3),MIN($J465,AA$2),Data!$K$4:$K$203)/$K465)))</f>
        <v>0</v>
      </c>
      <c r="AB465" s="166">
        <f>IF(OR($I465="",$E465=0),0,IF(OR($J465&lt;AB$3,$I465&gt;AB$2),0,IF($K465=0,IF(AND($I465&gt;=AB$3,$I465&lt;=AB$2),$E465,0),$E465*NETWORKDAYS(MAX($I465,AB$3),MIN($J465,AB$2),Data!$K$4:$K$203)/$K465)))</f>
        <v>0</v>
      </c>
      <c r="AC465" s="166">
        <f>IF(OR($I465="",$E465=0),0,IF(OR($J465&lt;AC$3,$I465&gt;AC$2),0,IF($K465=0,IF(AND($I465&gt;=AC$3,$I465&lt;=AC$2),$E465,0),$E465*NETWORKDAYS(MAX($I465,AC$3),MIN($J465,AC$2),Data!$K$4:$K$203)/$K465)))</f>
        <v>0</v>
      </c>
      <c r="AD465" s="166">
        <f>IF(OR($I465="",$E465=0),0,IF(OR($J465&lt;AD$3,$I465&gt;AD$2),0,IF($K465=0,IF(AND($I465&gt;=AD$3,$I465&lt;=AD$2),$E465,0),$E465*NETWORKDAYS(MAX($I465,AD$3),MIN($J465,AD$2),Data!$K$4:$K$203)/$K465)))</f>
        <v>0</v>
      </c>
      <c r="AE465" s="166">
        <f>IF(OR($I465="",$E465=0),0,IF(OR($J465&lt;AE$3,$I465&gt;AE$2),0,IF($K465=0,IF(AND($I465&gt;=AE$3,$I465&lt;=AE$2),$E465,0),$E465*NETWORKDAYS(MAX($I465,AE$3),MIN($J465,AE$2),Data!$K$4:$K$203)/$K465)))</f>
        <v>0</v>
      </c>
      <c r="AF465" s="166">
        <f>IF(OR($I465="",$E465=0),0,IF(OR($J465&lt;AF$3,$I465&gt;AF$2),0,IF($K465=0,IF(AND($I465&gt;=AF$3,$I465&lt;=AF$2),$E465,0),$E465*NETWORKDAYS(MAX($I465,AF$3),MIN($J465,AF$2),Data!$K$4:$K$203)/$K465)))</f>
        <v>0</v>
      </c>
      <c r="AG465" s="166">
        <f>IF(OR($I465="",$E465=0),0,IF(OR($J465&lt;AG$3,$I465&gt;AG$2),0,IF($K465=0,IF(AND($I465&gt;=AG$3,$I465&lt;=AG$2),$E465,0),$E465*NETWORKDAYS(MAX($I465,AG$3),MIN($J465,AG$2),Data!$K$4:$K$203)/$K465)))</f>
        <v>0</v>
      </c>
      <c r="AH465" s="166">
        <f>IF(OR($I465="",$E465=0),0,IF(OR($J465&lt;AH$3,$I465&gt;AH$2),0,IF($K465=0,IF(AND($I465&gt;=AH$3,$I465&lt;=AH$2),$E465,0),$E465*NETWORKDAYS(MAX($I465,AH$3),MIN($J465,AH$2),Data!$K$4:$K$203)/$K465)))</f>
        <v>0</v>
      </c>
      <c r="AI465" s="166">
        <f>SUM(W465:AH465)</f>
        <v>0</v>
      </c>
      <c r="BZ465" t="str">
        <f>IF(D465=1,IF(TRIM(INDEX(Charge!$K:$K,ROW()))&lt;&gt;"",TRIM(INDEX(Charge!$K:$K,ROW())),IF(TRIM(INDEX(Charge!$L:$L,ROW()))&lt;&gt;"",TRIM(INDEX(Charge!$L:$L,ROW())),"(non affecté)")),"")</f>
        <v/>
      </c>
      <c r="CA465" t="str">
        <f>IF(AND($CD$4&lt;&gt;"",BZ465=$CD$4),COUNTIFS($BZ$4:$BZ$503,$CD$4,$L$4:$L$503,"&lt;"&amp;L465)+1,"")</f>
        <v/>
      </c>
      <c r="EM465" t="str">
        <f>IF(D465=1,IF(TRIM(INDEX(Charge!$K:$K,ROW()))&lt;&gt;"","Interne",IF(TRIM(INDEX(Charge!$L:$L,ROW()))&lt;&gt;"","Externe","Non affecté")),"")</f>
        <v/>
      </c>
      <c r="EN465" t="str">
        <f>IF(D465=1,LEFT(SUBSTITUTE(SUBSTITUTE(SUBSTITUTE(TRIM(SUBSTITUTE(INDEX(Charge!$B:$B,ROW()),CHAR(160)," "))&amp;" | "&amp;TRIM(SUBSTITUTE(INDEX(Charge!$C:$C,ROW()),CHAR(160)," "))&amp;" | "&amp;TRIM(SUBSTITUTE(INDEX(Charge!$D:$D,ROW()),CHAR(160)," ")),"~","-"),"*","+"),"?","!"),240),"")</f>
        <v/>
      </c>
      <c r="EO465">
        <f>IF(EN465="",0,IF(COUNTIF($EN$4:EN465,EN465)=1,1,0))</f>
        <v>0</v>
      </c>
      <c r="EP465" s="166" t="str">
        <f>IF(EO465=1,ROUND(SUMIF($EN$4:$EN$503,EN465,$E$4:$E$503),2),"")</f>
        <v/>
      </c>
      <c r="EQ465" t="str">
        <f>IF(EO465=1,COUNTIFS($EO$4:$EO$503,1,$EP$4:$EP$503,"&gt;"&amp;EP465)+COUNTIFS($EO$4:EO465,1,$EP$4:EP465,EP465),"")</f>
        <v/>
      </c>
      <c r="ER465" t="str">
        <f>IF(EO465=1,COUNTIFS($EN$4:$EN$503,EN465,$EM$4:$EM$503,"Interne",$FE$4:$FE$503,1),"")</f>
        <v/>
      </c>
      <c r="ES465" t="str">
        <f>IF(EO465=1,COUNTIFS($EN$4:$EN$503,EN465,$EM$4:$EM$503,"Externe",$FE$4:$FE$503,1),"")</f>
        <v/>
      </c>
      <c r="ET465" t="str">
        <f>IF(EO465=1,IF(ER465+ES465=0,"à affecter",IF(ER465=0,ES465&amp;" ext.",(ER465+ES465)&amp;IF(ES465&gt;0," dont "&amp;ES465&amp;" ext.",""))&amp;IF(COUNTIFS($EN$4:$EN$503,EN465,$EM$4:$EM$503,"Non affecté")&gt;0," + à affecter","")),"")</f>
        <v/>
      </c>
      <c r="EU465" s="170" t="str">
        <f>IF(EO465=1,IF(EP465&gt;0,SUMPRODUCT(($EN$4:$EN$503=EN465)*$E$4:$E$503*$C$4:$C$503)/EP465,AVERAGEIF($EN$4:$EN$503,EN465,$C$4:$C$503)),"")</f>
        <v/>
      </c>
      <c r="EV465" s="165">
        <f>IF(ISNUMBER(I465),I465,2958465)</f>
        <v>2958465.0</v>
      </c>
      <c r="EW465" s="165" t="str">
        <f>IF(EO465=1,SUMPRODUCT(MIN(($EN$4:$EN$503=EN465)*$EV$4:$EV$503+($EN$4:$EN$503&lt;&gt;EN465)*2958465)),"")</f>
        <v/>
      </c>
      <c r="EX465" s="165">
        <f>IF(AND(D465=1,ISNUMBER(INDEX(Charge!$F:$F,ROW()))),INDEX(Charge!$F:$F,ROW()),0)</f>
        <v>0.0</v>
      </c>
      <c r="EY465" s="165" t="str">
        <f>IF(EO465=1,SUMPRODUCT(MAX(($EN$4:$EN$503=EN465)*$EX$4:$EX$503)),"")</f>
        <v/>
      </c>
      <c r="FD465">
        <f>IF(AND(B465=1,TRIM(INDEX(Charge!$K:$K,ROW()))&lt;&gt;"",TRIM(INDEX(Charge!$L:$L,ROW()))&lt;&gt;""),1,0)</f>
        <v>0</v>
      </c>
      <c r="FE465">
        <f>IF(OR(EN465="",BZ465="(non affecté)"),0,IF(COUNTIFS($EN$4:EN465,EN465,$BZ$4:BZ465,BZ465)=1,1,0))</f>
        <v>0</v>
      </c>
    </row>
    <row r="466">
      <c r="A466">
        <f>ROW()</f>
        <v>466</v>
      </c>
      <c r="B466">
        <f>IF(TRIM(INDEX(Charge!$B:$B,ROW()))&lt;&gt;"",1,0)</f>
        <v>0</v>
      </c>
      <c r="C466">
        <f>IF(B466=1,MIN(1,MAX(0,N(INDEX(Charge!$O:$O,ROW())))),0)</f>
        <v>0</v>
      </c>
      <c r="D466">
        <f>IF(B466=1,IF(OR(p_Perimetre="Tous les projets",C466&lt;1),1,0),0)</f>
        <v>0</v>
      </c>
      <c r="E466">
        <f>IF(D466=1,MAX(0,N(INDEX(Charge!$M:$M,ROW()))),0)</f>
        <v>0</v>
      </c>
      <c r="F466" t="str">
        <f>IF(D466=1,IF(TRIM(INDEX(Charge!$A:$A,ROW()))="","(non renseigné)",TRIM(INDEX(Charge!$A:$A,ROW()))),"")</f>
        <v/>
      </c>
      <c r="G466" t="str">
        <f>IF(D466=1,TRIM(INDEX(Charge!$B:$B,ROW())),"")</f>
        <v/>
      </c>
      <c r="H466" t="str">
        <f>IF(D466=1,IF(TRIM(INDEX(Charge!$E:$E,ROW()))="","(non renseigné)",TRIM(INDEX(Charge!$E:$E,ROW()))),"")</f>
        <v/>
      </c>
      <c r="I466" s="165" t="str">
        <f>IF(AND(D466=1,ISNUMBER(INDEX(Charge!$N:$N,ROW()))),INDEX(Charge!$N:$N,ROW()),"")</f>
        <v/>
      </c>
      <c r="J466" s="165" t="str">
        <f>IF(I466="","",IF(AND(p_Repartition="Lissée jusqu'à la date de besoin",ISNUMBER(INDEX(Charge!$F:$F,ROW()))),IF(INDEX(Charge!$F:$F,ROW())&gt;=I466,INDEX(Charge!$F:$F,ROW()),I466),I466))</f>
        <v/>
      </c>
      <c r="K466" t="str">
        <f>IF(I466="","",NETWORKDAYS(I466,J466,Data!$K$4:$K$203))</f>
        <v/>
      </c>
      <c r="L466" t="str">
        <f>IF(D466=1,COUNTIFS($D$4:$D$503,1,$E$4:$E$503,"&gt;"&amp;E466)+COUNTIFS($D$4:$D466,1,$E$4:$E466,E466),"")</f>
        <v/>
      </c>
      <c r="M466">
        <f>IF(F466="",0,IF(COUNTIF($F$4:F466,F466)=1,1,0))</f>
        <v>0</v>
      </c>
      <c r="N466" t="str">
        <f>IF(M466=1,ROUND(SUMIF($F$4:$F$503,F466,$E$4:$E$503),2),"")</f>
        <v/>
      </c>
      <c r="O466" t="str">
        <f>IF(M466=1,COUNTIFS($M$4:$M$503,1,$N$4:$N$503,"&gt;"&amp;N466)+COUNTIFS($M$4:M466,1,$N$4:N466,N466),"")</f>
        <v/>
      </c>
      <c r="P466">
        <f>IF(G466="",0,IF(COUNTIF($G$4:G466,G466)=1,1,0))</f>
        <v>0</v>
      </c>
      <c r="Q466" t="str">
        <f>IF(P466=1,ROUND(SUMIF($G$4:$G$503,G466,$E$4:$E$503),2),"")</f>
        <v/>
      </c>
      <c r="R466" t="str">
        <f>IF(P466=1,COUNTIFS($P$4:$P$503,1,$Q$4:$Q$503,"&gt;"&amp;Q466)+COUNTIFS($P$4:P466,1,$Q$4:Q466,Q466),"")</f>
        <v/>
      </c>
      <c r="S466">
        <f>IF(H466="",0,IF(COUNTIF($H$4:H466,H466)=1,1,0))</f>
        <v>0</v>
      </c>
      <c r="T466" t="str">
        <f>IF(S466=1,ROUND(SUMIF($H$4:$H$503,H466,$E$4:$E$503),2),"")</f>
        <v/>
      </c>
      <c r="U466" t="str">
        <f>IF(S466=1,COUNTIFS($S$4:$S$503,1,$T$4:$T$503,"&gt;"&amp;T466)+COUNTIFS($S$4:S466,1,$T$4:T466,T466),"")</f>
        <v/>
      </c>
      <c r="V466" t="str">
        <f>IF(D466=1,MIN(INDEX($R$4:$R$503,MATCH(G466,$G$4:$G$503,0)),IF($AL$7&gt;9,9,999)),"")</f>
        <v/>
      </c>
      <c r="W466" s="166">
        <f>IF(OR($I466="",$E466=0),0,IF(OR($J466&lt;W$3,$I466&gt;W$2),0,IF($K466=0,IF(AND($I466&gt;=W$3,$I466&lt;=W$2),$E466,0),$E466*NETWORKDAYS(MAX($I466,W$3),MIN($J466,W$2),Data!$K$4:$K$203)/$K466)))</f>
        <v>0</v>
      </c>
      <c r="X466" s="166">
        <f>IF(OR($I466="",$E466=0),0,IF(OR($J466&lt;X$3,$I466&gt;X$2),0,IF($K466=0,IF(AND($I466&gt;=X$3,$I466&lt;=X$2),$E466,0),$E466*NETWORKDAYS(MAX($I466,X$3),MIN($J466,X$2),Data!$K$4:$K$203)/$K466)))</f>
        <v>0</v>
      </c>
      <c r="Y466" s="166">
        <f>IF(OR($I466="",$E466=0),0,IF(OR($J466&lt;Y$3,$I466&gt;Y$2),0,IF($K466=0,IF(AND($I466&gt;=Y$3,$I466&lt;=Y$2),$E466,0),$E466*NETWORKDAYS(MAX($I466,Y$3),MIN($J466,Y$2),Data!$K$4:$K$203)/$K466)))</f>
        <v>0</v>
      </c>
      <c r="Z466" s="166">
        <f>IF(OR($I466="",$E466=0),0,IF(OR($J466&lt;Z$3,$I466&gt;Z$2),0,IF($K466=0,IF(AND($I466&gt;=Z$3,$I466&lt;=Z$2),$E466,0),$E466*NETWORKDAYS(MAX($I466,Z$3),MIN($J466,Z$2),Data!$K$4:$K$203)/$K466)))</f>
        <v>0</v>
      </c>
      <c r="AA466" s="166">
        <f>IF(OR($I466="",$E466=0),0,IF(OR($J466&lt;AA$3,$I466&gt;AA$2),0,IF($K466=0,IF(AND($I466&gt;=AA$3,$I466&lt;=AA$2),$E466,0),$E466*NETWORKDAYS(MAX($I466,AA$3),MIN($J466,AA$2),Data!$K$4:$K$203)/$K466)))</f>
        <v>0</v>
      </c>
      <c r="AB466" s="166">
        <f>IF(OR($I466="",$E466=0),0,IF(OR($J466&lt;AB$3,$I466&gt;AB$2),0,IF($K466=0,IF(AND($I466&gt;=AB$3,$I466&lt;=AB$2),$E466,0),$E466*NETWORKDAYS(MAX($I466,AB$3),MIN($J466,AB$2),Data!$K$4:$K$203)/$K466)))</f>
        <v>0</v>
      </c>
      <c r="AC466" s="166">
        <f>IF(OR($I466="",$E466=0),0,IF(OR($J466&lt;AC$3,$I466&gt;AC$2),0,IF($K466=0,IF(AND($I466&gt;=AC$3,$I466&lt;=AC$2),$E466,0),$E466*NETWORKDAYS(MAX($I466,AC$3),MIN($J466,AC$2),Data!$K$4:$K$203)/$K466)))</f>
        <v>0</v>
      </c>
      <c r="AD466" s="166">
        <f>IF(OR($I466="",$E466=0),0,IF(OR($J466&lt;AD$3,$I466&gt;AD$2),0,IF($K466=0,IF(AND($I466&gt;=AD$3,$I466&lt;=AD$2),$E466,0),$E466*NETWORKDAYS(MAX($I466,AD$3),MIN($J466,AD$2),Data!$K$4:$K$203)/$K466)))</f>
        <v>0</v>
      </c>
      <c r="AE466" s="166">
        <f>IF(OR($I466="",$E466=0),0,IF(OR($J466&lt;AE$3,$I466&gt;AE$2),0,IF($K466=0,IF(AND($I466&gt;=AE$3,$I466&lt;=AE$2),$E466,0),$E466*NETWORKDAYS(MAX($I466,AE$3),MIN($J466,AE$2),Data!$K$4:$K$203)/$K466)))</f>
        <v>0</v>
      </c>
      <c r="AF466" s="166">
        <f>IF(OR($I466="",$E466=0),0,IF(OR($J466&lt;AF$3,$I466&gt;AF$2),0,IF($K466=0,IF(AND($I466&gt;=AF$3,$I466&lt;=AF$2),$E466,0),$E466*NETWORKDAYS(MAX($I466,AF$3),MIN($J466,AF$2),Data!$K$4:$K$203)/$K466)))</f>
        <v>0</v>
      </c>
      <c r="AG466" s="166">
        <f>IF(OR($I466="",$E466=0),0,IF(OR($J466&lt;AG$3,$I466&gt;AG$2),0,IF($K466=0,IF(AND($I466&gt;=AG$3,$I466&lt;=AG$2),$E466,0),$E466*NETWORKDAYS(MAX($I466,AG$3),MIN($J466,AG$2),Data!$K$4:$K$203)/$K466)))</f>
        <v>0</v>
      </c>
      <c r="AH466" s="166">
        <f>IF(OR($I466="",$E466=0),0,IF(OR($J466&lt;AH$3,$I466&gt;AH$2),0,IF($K466=0,IF(AND($I466&gt;=AH$3,$I466&lt;=AH$2),$E466,0),$E466*NETWORKDAYS(MAX($I466,AH$3),MIN($J466,AH$2),Data!$K$4:$K$203)/$K466)))</f>
        <v>0</v>
      </c>
      <c r="AI466" s="166">
        <f>SUM(W466:AH466)</f>
        <v>0</v>
      </c>
      <c r="BZ466" t="str">
        <f>IF(D466=1,IF(TRIM(INDEX(Charge!$K:$K,ROW()))&lt;&gt;"",TRIM(INDEX(Charge!$K:$K,ROW())),IF(TRIM(INDEX(Charge!$L:$L,ROW()))&lt;&gt;"",TRIM(INDEX(Charge!$L:$L,ROW())),"(non affecté)")),"")</f>
        <v/>
      </c>
      <c r="CA466" t="str">
        <f>IF(AND($CD$4&lt;&gt;"",BZ466=$CD$4),COUNTIFS($BZ$4:$BZ$503,$CD$4,$L$4:$L$503,"&lt;"&amp;L466)+1,"")</f>
        <v/>
      </c>
      <c r="EM466" t="str">
        <f>IF(D466=1,IF(TRIM(INDEX(Charge!$K:$K,ROW()))&lt;&gt;"","Interne",IF(TRIM(INDEX(Charge!$L:$L,ROW()))&lt;&gt;"","Externe","Non affecté")),"")</f>
        <v/>
      </c>
      <c r="EN466" t="str">
        <f>IF(D466=1,LEFT(SUBSTITUTE(SUBSTITUTE(SUBSTITUTE(TRIM(SUBSTITUTE(INDEX(Charge!$B:$B,ROW()),CHAR(160)," "))&amp;" | "&amp;TRIM(SUBSTITUTE(INDEX(Charge!$C:$C,ROW()),CHAR(160)," "))&amp;" | "&amp;TRIM(SUBSTITUTE(INDEX(Charge!$D:$D,ROW()),CHAR(160)," ")),"~","-"),"*","+"),"?","!"),240),"")</f>
        <v/>
      </c>
      <c r="EO466">
        <f>IF(EN466="",0,IF(COUNTIF($EN$4:EN466,EN466)=1,1,0))</f>
        <v>0</v>
      </c>
      <c r="EP466" s="166" t="str">
        <f>IF(EO466=1,ROUND(SUMIF($EN$4:$EN$503,EN466,$E$4:$E$503),2),"")</f>
        <v/>
      </c>
      <c r="EQ466" t="str">
        <f>IF(EO466=1,COUNTIFS($EO$4:$EO$503,1,$EP$4:$EP$503,"&gt;"&amp;EP466)+COUNTIFS($EO$4:EO466,1,$EP$4:EP466,EP466),"")</f>
        <v/>
      </c>
      <c r="ER466" t="str">
        <f>IF(EO466=1,COUNTIFS($EN$4:$EN$503,EN466,$EM$4:$EM$503,"Interne",$FE$4:$FE$503,1),"")</f>
        <v/>
      </c>
      <c r="ES466" t="str">
        <f>IF(EO466=1,COUNTIFS($EN$4:$EN$503,EN466,$EM$4:$EM$503,"Externe",$FE$4:$FE$503,1),"")</f>
        <v/>
      </c>
      <c r="ET466" t="str">
        <f>IF(EO466=1,IF(ER466+ES466=0,"à affecter",IF(ER466=0,ES466&amp;" ext.",(ER466+ES466)&amp;IF(ES466&gt;0," dont "&amp;ES466&amp;" ext.",""))&amp;IF(COUNTIFS($EN$4:$EN$503,EN466,$EM$4:$EM$503,"Non affecté")&gt;0," + à affecter","")),"")</f>
        <v/>
      </c>
      <c r="EU466" s="170" t="str">
        <f>IF(EO466=1,IF(EP466&gt;0,SUMPRODUCT(($EN$4:$EN$503=EN466)*$E$4:$E$503*$C$4:$C$503)/EP466,AVERAGEIF($EN$4:$EN$503,EN466,$C$4:$C$503)),"")</f>
        <v/>
      </c>
      <c r="EV466" s="165">
        <f>IF(ISNUMBER(I466),I466,2958465)</f>
        <v>2958465.0</v>
      </c>
      <c r="EW466" s="165" t="str">
        <f>IF(EO466=1,SUMPRODUCT(MIN(($EN$4:$EN$503=EN466)*$EV$4:$EV$503+($EN$4:$EN$503&lt;&gt;EN466)*2958465)),"")</f>
        <v/>
      </c>
      <c r="EX466" s="165">
        <f>IF(AND(D466=1,ISNUMBER(INDEX(Charge!$F:$F,ROW()))),INDEX(Charge!$F:$F,ROW()),0)</f>
        <v>0.0</v>
      </c>
      <c r="EY466" s="165" t="str">
        <f>IF(EO466=1,SUMPRODUCT(MAX(($EN$4:$EN$503=EN466)*$EX$4:$EX$503)),"")</f>
        <v/>
      </c>
      <c r="FD466">
        <f>IF(AND(B466=1,TRIM(INDEX(Charge!$K:$K,ROW()))&lt;&gt;"",TRIM(INDEX(Charge!$L:$L,ROW()))&lt;&gt;""),1,0)</f>
        <v>0</v>
      </c>
      <c r="FE466">
        <f>IF(OR(EN466="",BZ466="(non affecté)"),0,IF(COUNTIFS($EN$4:EN466,EN466,$BZ$4:BZ466,BZ466)=1,1,0))</f>
        <v>0</v>
      </c>
    </row>
    <row r="467">
      <c r="A467">
        <f>ROW()</f>
        <v>467</v>
      </c>
      <c r="B467">
        <f>IF(TRIM(INDEX(Charge!$B:$B,ROW()))&lt;&gt;"",1,0)</f>
        <v>0</v>
      </c>
      <c r="C467">
        <f>IF(B467=1,MIN(1,MAX(0,N(INDEX(Charge!$O:$O,ROW())))),0)</f>
        <v>0</v>
      </c>
      <c r="D467">
        <f>IF(B467=1,IF(OR(p_Perimetre="Tous les projets",C467&lt;1),1,0),0)</f>
        <v>0</v>
      </c>
      <c r="E467">
        <f>IF(D467=1,MAX(0,N(INDEX(Charge!$M:$M,ROW()))),0)</f>
        <v>0</v>
      </c>
      <c r="F467" t="str">
        <f>IF(D467=1,IF(TRIM(INDEX(Charge!$A:$A,ROW()))="","(non renseigné)",TRIM(INDEX(Charge!$A:$A,ROW()))),"")</f>
        <v/>
      </c>
      <c r="G467" t="str">
        <f>IF(D467=1,TRIM(INDEX(Charge!$B:$B,ROW())),"")</f>
        <v/>
      </c>
      <c r="H467" t="str">
        <f>IF(D467=1,IF(TRIM(INDEX(Charge!$E:$E,ROW()))="","(non renseigné)",TRIM(INDEX(Charge!$E:$E,ROW()))),"")</f>
        <v/>
      </c>
      <c r="I467" s="165" t="str">
        <f>IF(AND(D467=1,ISNUMBER(INDEX(Charge!$N:$N,ROW()))),INDEX(Charge!$N:$N,ROW()),"")</f>
        <v/>
      </c>
      <c r="J467" s="165" t="str">
        <f>IF(I467="","",IF(AND(p_Repartition="Lissée jusqu'à la date de besoin",ISNUMBER(INDEX(Charge!$F:$F,ROW()))),IF(INDEX(Charge!$F:$F,ROW())&gt;=I467,INDEX(Charge!$F:$F,ROW()),I467),I467))</f>
        <v/>
      </c>
      <c r="K467" t="str">
        <f>IF(I467="","",NETWORKDAYS(I467,J467,Data!$K$4:$K$203))</f>
        <v/>
      </c>
      <c r="L467" t="str">
        <f>IF(D467=1,COUNTIFS($D$4:$D$503,1,$E$4:$E$503,"&gt;"&amp;E467)+COUNTIFS($D$4:$D467,1,$E$4:$E467,E467),"")</f>
        <v/>
      </c>
      <c r="M467">
        <f>IF(F467="",0,IF(COUNTIF($F$4:F467,F467)=1,1,0))</f>
        <v>0</v>
      </c>
      <c r="N467" t="str">
        <f>IF(M467=1,ROUND(SUMIF($F$4:$F$503,F467,$E$4:$E$503),2),"")</f>
        <v/>
      </c>
      <c r="O467" t="str">
        <f>IF(M467=1,COUNTIFS($M$4:$M$503,1,$N$4:$N$503,"&gt;"&amp;N467)+COUNTIFS($M$4:M467,1,$N$4:N467,N467),"")</f>
        <v/>
      </c>
      <c r="P467">
        <f>IF(G467="",0,IF(COUNTIF($G$4:G467,G467)=1,1,0))</f>
        <v>0</v>
      </c>
      <c r="Q467" t="str">
        <f>IF(P467=1,ROUND(SUMIF($G$4:$G$503,G467,$E$4:$E$503),2),"")</f>
        <v/>
      </c>
      <c r="R467" t="str">
        <f>IF(P467=1,COUNTIFS($P$4:$P$503,1,$Q$4:$Q$503,"&gt;"&amp;Q467)+COUNTIFS($P$4:P467,1,$Q$4:Q467,Q467),"")</f>
        <v/>
      </c>
      <c r="S467">
        <f>IF(H467="",0,IF(COUNTIF($H$4:H467,H467)=1,1,0))</f>
        <v>0</v>
      </c>
      <c r="T467" t="str">
        <f>IF(S467=1,ROUND(SUMIF($H$4:$H$503,H467,$E$4:$E$503),2),"")</f>
        <v/>
      </c>
      <c r="U467" t="str">
        <f>IF(S467=1,COUNTIFS($S$4:$S$503,1,$T$4:$T$503,"&gt;"&amp;T467)+COUNTIFS($S$4:S467,1,$T$4:T467,T467),"")</f>
        <v/>
      </c>
      <c r="V467" t="str">
        <f>IF(D467=1,MIN(INDEX($R$4:$R$503,MATCH(G467,$G$4:$G$503,0)),IF($AL$7&gt;9,9,999)),"")</f>
        <v/>
      </c>
      <c r="W467" s="166">
        <f>IF(OR($I467="",$E467=0),0,IF(OR($J467&lt;W$3,$I467&gt;W$2),0,IF($K467=0,IF(AND($I467&gt;=W$3,$I467&lt;=W$2),$E467,0),$E467*NETWORKDAYS(MAX($I467,W$3),MIN($J467,W$2),Data!$K$4:$K$203)/$K467)))</f>
        <v>0</v>
      </c>
      <c r="X467" s="166">
        <f>IF(OR($I467="",$E467=0),0,IF(OR($J467&lt;X$3,$I467&gt;X$2),0,IF($K467=0,IF(AND($I467&gt;=X$3,$I467&lt;=X$2),$E467,0),$E467*NETWORKDAYS(MAX($I467,X$3),MIN($J467,X$2),Data!$K$4:$K$203)/$K467)))</f>
        <v>0</v>
      </c>
      <c r="Y467" s="166">
        <f>IF(OR($I467="",$E467=0),0,IF(OR($J467&lt;Y$3,$I467&gt;Y$2),0,IF($K467=0,IF(AND($I467&gt;=Y$3,$I467&lt;=Y$2),$E467,0),$E467*NETWORKDAYS(MAX($I467,Y$3),MIN($J467,Y$2),Data!$K$4:$K$203)/$K467)))</f>
        <v>0</v>
      </c>
      <c r="Z467" s="166">
        <f>IF(OR($I467="",$E467=0),0,IF(OR($J467&lt;Z$3,$I467&gt;Z$2),0,IF($K467=0,IF(AND($I467&gt;=Z$3,$I467&lt;=Z$2),$E467,0),$E467*NETWORKDAYS(MAX($I467,Z$3),MIN($J467,Z$2),Data!$K$4:$K$203)/$K467)))</f>
        <v>0</v>
      </c>
      <c r="AA467" s="166">
        <f>IF(OR($I467="",$E467=0),0,IF(OR($J467&lt;AA$3,$I467&gt;AA$2),0,IF($K467=0,IF(AND($I467&gt;=AA$3,$I467&lt;=AA$2),$E467,0),$E467*NETWORKDAYS(MAX($I467,AA$3),MIN($J467,AA$2),Data!$K$4:$K$203)/$K467)))</f>
        <v>0</v>
      </c>
      <c r="AB467" s="166">
        <f>IF(OR($I467="",$E467=0),0,IF(OR($J467&lt;AB$3,$I467&gt;AB$2),0,IF($K467=0,IF(AND($I467&gt;=AB$3,$I467&lt;=AB$2),$E467,0),$E467*NETWORKDAYS(MAX($I467,AB$3),MIN($J467,AB$2),Data!$K$4:$K$203)/$K467)))</f>
        <v>0</v>
      </c>
      <c r="AC467" s="166">
        <f>IF(OR($I467="",$E467=0),0,IF(OR($J467&lt;AC$3,$I467&gt;AC$2),0,IF($K467=0,IF(AND($I467&gt;=AC$3,$I467&lt;=AC$2),$E467,0),$E467*NETWORKDAYS(MAX($I467,AC$3),MIN($J467,AC$2),Data!$K$4:$K$203)/$K467)))</f>
        <v>0</v>
      </c>
      <c r="AD467" s="166">
        <f>IF(OR($I467="",$E467=0),0,IF(OR($J467&lt;AD$3,$I467&gt;AD$2),0,IF($K467=0,IF(AND($I467&gt;=AD$3,$I467&lt;=AD$2),$E467,0),$E467*NETWORKDAYS(MAX($I467,AD$3),MIN($J467,AD$2),Data!$K$4:$K$203)/$K467)))</f>
        <v>0</v>
      </c>
      <c r="AE467" s="166">
        <f>IF(OR($I467="",$E467=0),0,IF(OR($J467&lt;AE$3,$I467&gt;AE$2),0,IF($K467=0,IF(AND($I467&gt;=AE$3,$I467&lt;=AE$2),$E467,0),$E467*NETWORKDAYS(MAX($I467,AE$3),MIN($J467,AE$2),Data!$K$4:$K$203)/$K467)))</f>
        <v>0</v>
      </c>
      <c r="AF467" s="166">
        <f>IF(OR($I467="",$E467=0),0,IF(OR($J467&lt;AF$3,$I467&gt;AF$2),0,IF($K467=0,IF(AND($I467&gt;=AF$3,$I467&lt;=AF$2),$E467,0),$E467*NETWORKDAYS(MAX($I467,AF$3),MIN($J467,AF$2),Data!$K$4:$K$203)/$K467)))</f>
        <v>0</v>
      </c>
      <c r="AG467" s="166">
        <f>IF(OR($I467="",$E467=0),0,IF(OR($J467&lt;AG$3,$I467&gt;AG$2),0,IF($K467=0,IF(AND($I467&gt;=AG$3,$I467&lt;=AG$2),$E467,0),$E467*NETWORKDAYS(MAX($I467,AG$3),MIN($J467,AG$2),Data!$K$4:$K$203)/$K467)))</f>
        <v>0</v>
      </c>
      <c r="AH467" s="166">
        <f>IF(OR($I467="",$E467=0),0,IF(OR($J467&lt;AH$3,$I467&gt;AH$2),0,IF($K467=0,IF(AND($I467&gt;=AH$3,$I467&lt;=AH$2),$E467,0),$E467*NETWORKDAYS(MAX($I467,AH$3),MIN($J467,AH$2),Data!$K$4:$K$203)/$K467)))</f>
        <v>0</v>
      </c>
      <c r="AI467" s="166">
        <f>SUM(W467:AH467)</f>
        <v>0</v>
      </c>
      <c r="BZ467" t="str">
        <f>IF(D467=1,IF(TRIM(INDEX(Charge!$K:$K,ROW()))&lt;&gt;"",TRIM(INDEX(Charge!$K:$K,ROW())),IF(TRIM(INDEX(Charge!$L:$L,ROW()))&lt;&gt;"",TRIM(INDEX(Charge!$L:$L,ROW())),"(non affecté)")),"")</f>
        <v/>
      </c>
      <c r="CA467" t="str">
        <f>IF(AND($CD$4&lt;&gt;"",BZ467=$CD$4),COUNTIFS($BZ$4:$BZ$503,$CD$4,$L$4:$L$503,"&lt;"&amp;L467)+1,"")</f>
        <v/>
      </c>
      <c r="EM467" t="str">
        <f>IF(D467=1,IF(TRIM(INDEX(Charge!$K:$K,ROW()))&lt;&gt;"","Interne",IF(TRIM(INDEX(Charge!$L:$L,ROW()))&lt;&gt;"","Externe","Non affecté")),"")</f>
        <v/>
      </c>
      <c r="EN467" t="str">
        <f>IF(D467=1,LEFT(SUBSTITUTE(SUBSTITUTE(SUBSTITUTE(TRIM(SUBSTITUTE(INDEX(Charge!$B:$B,ROW()),CHAR(160)," "))&amp;" | "&amp;TRIM(SUBSTITUTE(INDEX(Charge!$C:$C,ROW()),CHAR(160)," "))&amp;" | "&amp;TRIM(SUBSTITUTE(INDEX(Charge!$D:$D,ROW()),CHAR(160)," ")),"~","-"),"*","+"),"?","!"),240),"")</f>
        <v/>
      </c>
      <c r="EO467">
        <f>IF(EN467="",0,IF(COUNTIF($EN$4:EN467,EN467)=1,1,0))</f>
        <v>0</v>
      </c>
      <c r="EP467" s="166" t="str">
        <f>IF(EO467=1,ROUND(SUMIF($EN$4:$EN$503,EN467,$E$4:$E$503),2),"")</f>
        <v/>
      </c>
      <c r="EQ467" t="str">
        <f>IF(EO467=1,COUNTIFS($EO$4:$EO$503,1,$EP$4:$EP$503,"&gt;"&amp;EP467)+COUNTIFS($EO$4:EO467,1,$EP$4:EP467,EP467),"")</f>
        <v/>
      </c>
      <c r="ER467" t="str">
        <f>IF(EO467=1,COUNTIFS($EN$4:$EN$503,EN467,$EM$4:$EM$503,"Interne",$FE$4:$FE$503,1),"")</f>
        <v/>
      </c>
      <c r="ES467" t="str">
        <f>IF(EO467=1,COUNTIFS($EN$4:$EN$503,EN467,$EM$4:$EM$503,"Externe",$FE$4:$FE$503,1),"")</f>
        <v/>
      </c>
      <c r="ET467" t="str">
        <f>IF(EO467=1,IF(ER467+ES467=0,"à affecter",IF(ER467=0,ES467&amp;" ext.",(ER467+ES467)&amp;IF(ES467&gt;0," dont "&amp;ES467&amp;" ext.",""))&amp;IF(COUNTIFS($EN$4:$EN$503,EN467,$EM$4:$EM$503,"Non affecté")&gt;0," + à affecter","")),"")</f>
        <v/>
      </c>
      <c r="EU467" s="170" t="str">
        <f>IF(EO467=1,IF(EP467&gt;0,SUMPRODUCT(($EN$4:$EN$503=EN467)*$E$4:$E$503*$C$4:$C$503)/EP467,AVERAGEIF($EN$4:$EN$503,EN467,$C$4:$C$503)),"")</f>
        <v/>
      </c>
      <c r="EV467" s="165">
        <f>IF(ISNUMBER(I467),I467,2958465)</f>
        <v>2958465.0</v>
      </c>
      <c r="EW467" s="165" t="str">
        <f>IF(EO467=1,SUMPRODUCT(MIN(($EN$4:$EN$503=EN467)*$EV$4:$EV$503+($EN$4:$EN$503&lt;&gt;EN467)*2958465)),"")</f>
        <v/>
      </c>
      <c r="EX467" s="165">
        <f>IF(AND(D467=1,ISNUMBER(INDEX(Charge!$F:$F,ROW()))),INDEX(Charge!$F:$F,ROW()),0)</f>
        <v>0.0</v>
      </c>
      <c r="EY467" s="165" t="str">
        <f>IF(EO467=1,SUMPRODUCT(MAX(($EN$4:$EN$503=EN467)*$EX$4:$EX$503)),"")</f>
        <v/>
      </c>
      <c r="FD467">
        <f>IF(AND(B467=1,TRIM(INDEX(Charge!$K:$K,ROW()))&lt;&gt;"",TRIM(INDEX(Charge!$L:$L,ROW()))&lt;&gt;""),1,0)</f>
        <v>0</v>
      </c>
      <c r="FE467">
        <f>IF(OR(EN467="",BZ467="(non affecté)"),0,IF(COUNTIFS($EN$4:EN467,EN467,$BZ$4:BZ467,BZ467)=1,1,0))</f>
        <v>0</v>
      </c>
    </row>
    <row r="468">
      <c r="A468">
        <f>ROW()</f>
        <v>468</v>
      </c>
      <c r="B468">
        <f>IF(TRIM(INDEX(Charge!$B:$B,ROW()))&lt;&gt;"",1,0)</f>
        <v>0</v>
      </c>
      <c r="C468">
        <f>IF(B468=1,MIN(1,MAX(0,N(INDEX(Charge!$O:$O,ROW())))),0)</f>
        <v>0</v>
      </c>
      <c r="D468">
        <f>IF(B468=1,IF(OR(p_Perimetre="Tous les projets",C468&lt;1),1,0),0)</f>
        <v>0</v>
      </c>
      <c r="E468">
        <f>IF(D468=1,MAX(0,N(INDEX(Charge!$M:$M,ROW()))),0)</f>
        <v>0</v>
      </c>
      <c r="F468" t="str">
        <f>IF(D468=1,IF(TRIM(INDEX(Charge!$A:$A,ROW()))="","(non renseigné)",TRIM(INDEX(Charge!$A:$A,ROW()))),"")</f>
        <v/>
      </c>
      <c r="G468" t="str">
        <f>IF(D468=1,TRIM(INDEX(Charge!$B:$B,ROW())),"")</f>
        <v/>
      </c>
      <c r="H468" t="str">
        <f>IF(D468=1,IF(TRIM(INDEX(Charge!$E:$E,ROW()))="","(non renseigné)",TRIM(INDEX(Charge!$E:$E,ROW()))),"")</f>
        <v/>
      </c>
      <c r="I468" s="165" t="str">
        <f>IF(AND(D468=1,ISNUMBER(INDEX(Charge!$N:$N,ROW()))),INDEX(Charge!$N:$N,ROW()),"")</f>
        <v/>
      </c>
      <c r="J468" s="165" t="str">
        <f>IF(I468="","",IF(AND(p_Repartition="Lissée jusqu'à la date de besoin",ISNUMBER(INDEX(Charge!$F:$F,ROW()))),IF(INDEX(Charge!$F:$F,ROW())&gt;=I468,INDEX(Charge!$F:$F,ROW()),I468),I468))</f>
        <v/>
      </c>
      <c r="K468" t="str">
        <f>IF(I468="","",NETWORKDAYS(I468,J468,Data!$K$4:$K$203))</f>
        <v/>
      </c>
      <c r="L468" t="str">
        <f>IF(D468=1,COUNTIFS($D$4:$D$503,1,$E$4:$E$503,"&gt;"&amp;E468)+COUNTIFS($D$4:$D468,1,$E$4:$E468,E468),"")</f>
        <v/>
      </c>
      <c r="M468">
        <f>IF(F468="",0,IF(COUNTIF($F$4:F468,F468)=1,1,0))</f>
        <v>0</v>
      </c>
      <c r="N468" t="str">
        <f>IF(M468=1,ROUND(SUMIF($F$4:$F$503,F468,$E$4:$E$503),2),"")</f>
        <v/>
      </c>
      <c r="O468" t="str">
        <f>IF(M468=1,COUNTIFS($M$4:$M$503,1,$N$4:$N$503,"&gt;"&amp;N468)+COUNTIFS($M$4:M468,1,$N$4:N468,N468),"")</f>
        <v/>
      </c>
      <c r="P468">
        <f>IF(G468="",0,IF(COUNTIF($G$4:G468,G468)=1,1,0))</f>
        <v>0</v>
      </c>
      <c r="Q468" t="str">
        <f>IF(P468=1,ROUND(SUMIF($G$4:$G$503,G468,$E$4:$E$503),2),"")</f>
        <v/>
      </c>
      <c r="R468" t="str">
        <f>IF(P468=1,COUNTIFS($P$4:$P$503,1,$Q$4:$Q$503,"&gt;"&amp;Q468)+COUNTIFS($P$4:P468,1,$Q$4:Q468,Q468),"")</f>
        <v/>
      </c>
      <c r="S468">
        <f>IF(H468="",0,IF(COUNTIF($H$4:H468,H468)=1,1,0))</f>
        <v>0</v>
      </c>
      <c r="T468" t="str">
        <f>IF(S468=1,ROUND(SUMIF($H$4:$H$503,H468,$E$4:$E$503),2),"")</f>
        <v/>
      </c>
      <c r="U468" t="str">
        <f>IF(S468=1,COUNTIFS($S$4:$S$503,1,$T$4:$T$503,"&gt;"&amp;T468)+COUNTIFS($S$4:S468,1,$T$4:T468,T468),"")</f>
        <v/>
      </c>
      <c r="V468" t="str">
        <f>IF(D468=1,MIN(INDEX($R$4:$R$503,MATCH(G468,$G$4:$G$503,0)),IF($AL$7&gt;9,9,999)),"")</f>
        <v/>
      </c>
      <c r="W468" s="166">
        <f>IF(OR($I468="",$E468=0),0,IF(OR($J468&lt;W$3,$I468&gt;W$2),0,IF($K468=0,IF(AND($I468&gt;=W$3,$I468&lt;=W$2),$E468,0),$E468*NETWORKDAYS(MAX($I468,W$3),MIN($J468,W$2),Data!$K$4:$K$203)/$K468)))</f>
        <v>0</v>
      </c>
      <c r="X468" s="166">
        <f>IF(OR($I468="",$E468=0),0,IF(OR($J468&lt;X$3,$I468&gt;X$2),0,IF($K468=0,IF(AND($I468&gt;=X$3,$I468&lt;=X$2),$E468,0),$E468*NETWORKDAYS(MAX($I468,X$3),MIN($J468,X$2),Data!$K$4:$K$203)/$K468)))</f>
        <v>0</v>
      </c>
      <c r="Y468" s="166">
        <f>IF(OR($I468="",$E468=0),0,IF(OR($J468&lt;Y$3,$I468&gt;Y$2),0,IF($K468=0,IF(AND($I468&gt;=Y$3,$I468&lt;=Y$2),$E468,0),$E468*NETWORKDAYS(MAX($I468,Y$3),MIN($J468,Y$2),Data!$K$4:$K$203)/$K468)))</f>
        <v>0</v>
      </c>
      <c r="Z468" s="166">
        <f>IF(OR($I468="",$E468=0),0,IF(OR($J468&lt;Z$3,$I468&gt;Z$2),0,IF($K468=0,IF(AND($I468&gt;=Z$3,$I468&lt;=Z$2),$E468,0),$E468*NETWORKDAYS(MAX($I468,Z$3),MIN($J468,Z$2),Data!$K$4:$K$203)/$K468)))</f>
        <v>0</v>
      </c>
      <c r="AA468" s="166">
        <f>IF(OR($I468="",$E468=0),0,IF(OR($J468&lt;AA$3,$I468&gt;AA$2),0,IF($K468=0,IF(AND($I468&gt;=AA$3,$I468&lt;=AA$2),$E468,0),$E468*NETWORKDAYS(MAX($I468,AA$3),MIN($J468,AA$2),Data!$K$4:$K$203)/$K468)))</f>
        <v>0</v>
      </c>
      <c r="AB468" s="166">
        <f>IF(OR($I468="",$E468=0),0,IF(OR($J468&lt;AB$3,$I468&gt;AB$2),0,IF($K468=0,IF(AND($I468&gt;=AB$3,$I468&lt;=AB$2),$E468,0),$E468*NETWORKDAYS(MAX($I468,AB$3),MIN($J468,AB$2),Data!$K$4:$K$203)/$K468)))</f>
        <v>0</v>
      </c>
      <c r="AC468" s="166">
        <f>IF(OR($I468="",$E468=0),0,IF(OR($J468&lt;AC$3,$I468&gt;AC$2),0,IF($K468=0,IF(AND($I468&gt;=AC$3,$I468&lt;=AC$2),$E468,0),$E468*NETWORKDAYS(MAX($I468,AC$3),MIN($J468,AC$2),Data!$K$4:$K$203)/$K468)))</f>
        <v>0</v>
      </c>
      <c r="AD468" s="166">
        <f>IF(OR($I468="",$E468=0),0,IF(OR($J468&lt;AD$3,$I468&gt;AD$2),0,IF($K468=0,IF(AND($I468&gt;=AD$3,$I468&lt;=AD$2),$E468,0),$E468*NETWORKDAYS(MAX($I468,AD$3),MIN($J468,AD$2),Data!$K$4:$K$203)/$K468)))</f>
        <v>0</v>
      </c>
      <c r="AE468" s="166">
        <f>IF(OR($I468="",$E468=0),0,IF(OR($J468&lt;AE$3,$I468&gt;AE$2),0,IF($K468=0,IF(AND($I468&gt;=AE$3,$I468&lt;=AE$2),$E468,0),$E468*NETWORKDAYS(MAX($I468,AE$3),MIN($J468,AE$2),Data!$K$4:$K$203)/$K468)))</f>
        <v>0</v>
      </c>
      <c r="AF468" s="166">
        <f>IF(OR($I468="",$E468=0),0,IF(OR($J468&lt;AF$3,$I468&gt;AF$2),0,IF($K468=0,IF(AND($I468&gt;=AF$3,$I468&lt;=AF$2),$E468,0),$E468*NETWORKDAYS(MAX($I468,AF$3),MIN($J468,AF$2),Data!$K$4:$K$203)/$K468)))</f>
        <v>0</v>
      </c>
      <c r="AG468" s="166">
        <f>IF(OR($I468="",$E468=0),0,IF(OR($J468&lt;AG$3,$I468&gt;AG$2),0,IF($K468=0,IF(AND($I468&gt;=AG$3,$I468&lt;=AG$2),$E468,0),$E468*NETWORKDAYS(MAX($I468,AG$3),MIN($J468,AG$2),Data!$K$4:$K$203)/$K468)))</f>
        <v>0</v>
      </c>
      <c r="AH468" s="166">
        <f>IF(OR($I468="",$E468=0),0,IF(OR($J468&lt;AH$3,$I468&gt;AH$2),0,IF($K468=0,IF(AND($I468&gt;=AH$3,$I468&lt;=AH$2),$E468,0),$E468*NETWORKDAYS(MAX($I468,AH$3),MIN($J468,AH$2),Data!$K$4:$K$203)/$K468)))</f>
        <v>0</v>
      </c>
      <c r="AI468" s="166">
        <f>SUM(W468:AH468)</f>
        <v>0</v>
      </c>
      <c r="BZ468" t="str">
        <f>IF(D468=1,IF(TRIM(INDEX(Charge!$K:$K,ROW()))&lt;&gt;"",TRIM(INDEX(Charge!$K:$K,ROW())),IF(TRIM(INDEX(Charge!$L:$L,ROW()))&lt;&gt;"",TRIM(INDEX(Charge!$L:$L,ROW())),"(non affecté)")),"")</f>
        <v/>
      </c>
      <c r="CA468" t="str">
        <f>IF(AND($CD$4&lt;&gt;"",BZ468=$CD$4),COUNTIFS($BZ$4:$BZ$503,$CD$4,$L$4:$L$503,"&lt;"&amp;L468)+1,"")</f>
        <v/>
      </c>
      <c r="EM468" t="str">
        <f>IF(D468=1,IF(TRIM(INDEX(Charge!$K:$K,ROW()))&lt;&gt;"","Interne",IF(TRIM(INDEX(Charge!$L:$L,ROW()))&lt;&gt;"","Externe","Non affecté")),"")</f>
        <v/>
      </c>
      <c r="EN468" t="str">
        <f>IF(D468=1,LEFT(SUBSTITUTE(SUBSTITUTE(SUBSTITUTE(TRIM(SUBSTITUTE(INDEX(Charge!$B:$B,ROW()),CHAR(160)," "))&amp;" | "&amp;TRIM(SUBSTITUTE(INDEX(Charge!$C:$C,ROW()),CHAR(160)," "))&amp;" | "&amp;TRIM(SUBSTITUTE(INDEX(Charge!$D:$D,ROW()),CHAR(160)," ")),"~","-"),"*","+"),"?","!"),240),"")</f>
        <v/>
      </c>
      <c r="EO468">
        <f>IF(EN468="",0,IF(COUNTIF($EN$4:EN468,EN468)=1,1,0))</f>
        <v>0</v>
      </c>
      <c r="EP468" s="166" t="str">
        <f>IF(EO468=1,ROUND(SUMIF($EN$4:$EN$503,EN468,$E$4:$E$503),2),"")</f>
        <v/>
      </c>
      <c r="EQ468" t="str">
        <f>IF(EO468=1,COUNTIFS($EO$4:$EO$503,1,$EP$4:$EP$503,"&gt;"&amp;EP468)+COUNTIFS($EO$4:EO468,1,$EP$4:EP468,EP468),"")</f>
        <v/>
      </c>
      <c r="ER468" t="str">
        <f>IF(EO468=1,COUNTIFS($EN$4:$EN$503,EN468,$EM$4:$EM$503,"Interne",$FE$4:$FE$503,1),"")</f>
        <v/>
      </c>
      <c r="ES468" t="str">
        <f>IF(EO468=1,COUNTIFS($EN$4:$EN$503,EN468,$EM$4:$EM$503,"Externe",$FE$4:$FE$503,1),"")</f>
        <v/>
      </c>
      <c r="ET468" t="str">
        <f>IF(EO468=1,IF(ER468+ES468=0,"à affecter",IF(ER468=0,ES468&amp;" ext.",(ER468+ES468)&amp;IF(ES468&gt;0," dont "&amp;ES468&amp;" ext.",""))&amp;IF(COUNTIFS($EN$4:$EN$503,EN468,$EM$4:$EM$503,"Non affecté")&gt;0," + à affecter","")),"")</f>
        <v/>
      </c>
      <c r="EU468" s="170" t="str">
        <f>IF(EO468=1,IF(EP468&gt;0,SUMPRODUCT(($EN$4:$EN$503=EN468)*$E$4:$E$503*$C$4:$C$503)/EP468,AVERAGEIF($EN$4:$EN$503,EN468,$C$4:$C$503)),"")</f>
        <v/>
      </c>
      <c r="EV468" s="165">
        <f>IF(ISNUMBER(I468),I468,2958465)</f>
        <v>2958465.0</v>
      </c>
      <c r="EW468" s="165" t="str">
        <f>IF(EO468=1,SUMPRODUCT(MIN(($EN$4:$EN$503=EN468)*$EV$4:$EV$503+($EN$4:$EN$503&lt;&gt;EN468)*2958465)),"")</f>
        <v/>
      </c>
      <c r="EX468" s="165">
        <f>IF(AND(D468=1,ISNUMBER(INDEX(Charge!$F:$F,ROW()))),INDEX(Charge!$F:$F,ROW()),0)</f>
        <v>0.0</v>
      </c>
      <c r="EY468" s="165" t="str">
        <f>IF(EO468=1,SUMPRODUCT(MAX(($EN$4:$EN$503=EN468)*$EX$4:$EX$503)),"")</f>
        <v/>
      </c>
      <c r="FD468">
        <f>IF(AND(B468=1,TRIM(INDEX(Charge!$K:$K,ROW()))&lt;&gt;"",TRIM(INDEX(Charge!$L:$L,ROW()))&lt;&gt;""),1,0)</f>
        <v>0</v>
      </c>
      <c r="FE468">
        <f>IF(OR(EN468="",BZ468="(non affecté)"),0,IF(COUNTIFS($EN$4:EN468,EN468,$BZ$4:BZ468,BZ468)=1,1,0))</f>
        <v>0</v>
      </c>
    </row>
    <row r="469">
      <c r="A469">
        <f>ROW()</f>
        <v>469</v>
      </c>
      <c r="B469">
        <f>IF(TRIM(INDEX(Charge!$B:$B,ROW()))&lt;&gt;"",1,0)</f>
        <v>0</v>
      </c>
      <c r="C469">
        <f>IF(B469=1,MIN(1,MAX(0,N(INDEX(Charge!$O:$O,ROW())))),0)</f>
        <v>0</v>
      </c>
      <c r="D469">
        <f>IF(B469=1,IF(OR(p_Perimetre="Tous les projets",C469&lt;1),1,0),0)</f>
        <v>0</v>
      </c>
      <c r="E469">
        <f>IF(D469=1,MAX(0,N(INDEX(Charge!$M:$M,ROW()))),0)</f>
        <v>0</v>
      </c>
      <c r="F469" t="str">
        <f>IF(D469=1,IF(TRIM(INDEX(Charge!$A:$A,ROW()))="","(non renseigné)",TRIM(INDEX(Charge!$A:$A,ROW()))),"")</f>
        <v/>
      </c>
      <c r="G469" t="str">
        <f>IF(D469=1,TRIM(INDEX(Charge!$B:$B,ROW())),"")</f>
        <v/>
      </c>
      <c r="H469" t="str">
        <f>IF(D469=1,IF(TRIM(INDEX(Charge!$E:$E,ROW()))="","(non renseigné)",TRIM(INDEX(Charge!$E:$E,ROW()))),"")</f>
        <v/>
      </c>
      <c r="I469" s="165" t="str">
        <f>IF(AND(D469=1,ISNUMBER(INDEX(Charge!$N:$N,ROW()))),INDEX(Charge!$N:$N,ROW()),"")</f>
        <v/>
      </c>
      <c r="J469" s="165" t="str">
        <f>IF(I469="","",IF(AND(p_Repartition="Lissée jusqu'à la date de besoin",ISNUMBER(INDEX(Charge!$F:$F,ROW()))),IF(INDEX(Charge!$F:$F,ROW())&gt;=I469,INDEX(Charge!$F:$F,ROW()),I469),I469))</f>
        <v/>
      </c>
      <c r="K469" t="str">
        <f>IF(I469="","",NETWORKDAYS(I469,J469,Data!$K$4:$K$203))</f>
        <v/>
      </c>
      <c r="L469" t="str">
        <f>IF(D469=1,COUNTIFS($D$4:$D$503,1,$E$4:$E$503,"&gt;"&amp;E469)+COUNTIFS($D$4:$D469,1,$E$4:$E469,E469),"")</f>
        <v/>
      </c>
      <c r="M469">
        <f>IF(F469="",0,IF(COUNTIF($F$4:F469,F469)=1,1,0))</f>
        <v>0</v>
      </c>
      <c r="N469" t="str">
        <f>IF(M469=1,ROUND(SUMIF($F$4:$F$503,F469,$E$4:$E$503),2),"")</f>
        <v/>
      </c>
      <c r="O469" t="str">
        <f>IF(M469=1,COUNTIFS($M$4:$M$503,1,$N$4:$N$503,"&gt;"&amp;N469)+COUNTIFS($M$4:M469,1,$N$4:N469,N469),"")</f>
        <v/>
      </c>
      <c r="P469">
        <f>IF(G469="",0,IF(COUNTIF($G$4:G469,G469)=1,1,0))</f>
        <v>0</v>
      </c>
      <c r="Q469" t="str">
        <f>IF(P469=1,ROUND(SUMIF($G$4:$G$503,G469,$E$4:$E$503),2),"")</f>
        <v/>
      </c>
      <c r="R469" t="str">
        <f>IF(P469=1,COUNTIFS($P$4:$P$503,1,$Q$4:$Q$503,"&gt;"&amp;Q469)+COUNTIFS($P$4:P469,1,$Q$4:Q469,Q469),"")</f>
        <v/>
      </c>
      <c r="S469">
        <f>IF(H469="",0,IF(COUNTIF($H$4:H469,H469)=1,1,0))</f>
        <v>0</v>
      </c>
      <c r="T469" t="str">
        <f>IF(S469=1,ROUND(SUMIF($H$4:$H$503,H469,$E$4:$E$503),2),"")</f>
        <v/>
      </c>
      <c r="U469" t="str">
        <f>IF(S469=1,COUNTIFS($S$4:$S$503,1,$T$4:$T$503,"&gt;"&amp;T469)+COUNTIFS($S$4:S469,1,$T$4:T469,T469),"")</f>
        <v/>
      </c>
      <c r="V469" t="str">
        <f>IF(D469=1,MIN(INDEX($R$4:$R$503,MATCH(G469,$G$4:$G$503,0)),IF($AL$7&gt;9,9,999)),"")</f>
        <v/>
      </c>
      <c r="W469" s="166">
        <f>IF(OR($I469="",$E469=0),0,IF(OR($J469&lt;W$3,$I469&gt;W$2),0,IF($K469=0,IF(AND($I469&gt;=W$3,$I469&lt;=W$2),$E469,0),$E469*NETWORKDAYS(MAX($I469,W$3),MIN($J469,W$2),Data!$K$4:$K$203)/$K469)))</f>
        <v>0</v>
      </c>
      <c r="X469" s="166">
        <f>IF(OR($I469="",$E469=0),0,IF(OR($J469&lt;X$3,$I469&gt;X$2),0,IF($K469=0,IF(AND($I469&gt;=X$3,$I469&lt;=X$2),$E469,0),$E469*NETWORKDAYS(MAX($I469,X$3),MIN($J469,X$2),Data!$K$4:$K$203)/$K469)))</f>
        <v>0</v>
      </c>
      <c r="Y469" s="166">
        <f>IF(OR($I469="",$E469=0),0,IF(OR($J469&lt;Y$3,$I469&gt;Y$2),0,IF($K469=0,IF(AND($I469&gt;=Y$3,$I469&lt;=Y$2),$E469,0),$E469*NETWORKDAYS(MAX($I469,Y$3),MIN($J469,Y$2),Data!$K$4:$K$203)/$K469)))</f>
        <v>0</v>
      </c>
      <c r="Z469" s="166">
        <f>IF(OR($I469="",$E469=0),0,IF(OR($J469&lt;Z$3,$I469&gt;Z$2),0,IF($K469=0,IF(AND($I469&gt;=Z$3,$I469&lt;=Z$2),$E469,0),$E469*NETWORKDAYS(MAX($I469,Z$3),MIN($J469,Z$2),Data!$K$4:$K$203)/$K469)))</f>
        <v>0</v>
      </c>
      <c r="AA469" s="166">
        <f>IF(OR($I469="",$E469=0),0,IF(OR($J469&lt;AA$3,$I469&gt;AA$2),0,IF($K469=0,IF(AND($I469&gt;=AA$3,$I469&lt;=AA$2),$E469,0),$E469*NETWORKDAYS(MAX($I469,AA$3),MIN($J469,AA$2),Data!$K$4:$K$203)/$K469)))</f>
        <v>0</v>
      </c>
      <c r="AB469" s="166">
        <f>IF(OR($I469="",$E469=0),0,IF(OR($J469&lt;AB$3,$I469&gt;AB$2),0,IF($K469=0,IF(AND($I469&gt;=AB$3,$I469&lt;=AB$2),$E469,0),$E469*NETWORKDAYS(MAX($I469,AB$3),MIN($J469,AB$2),Data!$K$4:$K$203)/$K469)))</f>
        <v>0</v>
      </c>
      <c r="AC469" s="166">
        <f>IF(OR($I469="",$E469=0),0,IF(OR($J469&lt;AC$3,$I469&gt;AC$2),0,IF($K469=0,IF(AND($I469&gt;=AC$3,$I469&lt;=AC$2),$E469,0),$E469*NETWORKDAYS(MAX($I469,AC$3),MIN($J469,AC$2),Data!$K$4:$K$203)/$K469)))</f>
        <v>0</v>
      </c>
      <c r="AD469" s="166">
        <f>IF(OR($I469="",$E469=0),0,IF(OR($J469&lt;AD$3,$I469&gt;AD$2),0,IF($K469=0,IF(AND($I469&gt;=AD$3,$I469&lt;=AD$2),$E469,0),$E469*NETWORKDAYS(MAX($I469,AD$3),MIN($J469,AD$2),Data!$K$4:$K$203)/$K469)))</f>
        <v>0</v>
      </c>
      <c r="AE469" s="166">
        <f>IF(OR($I469="",$E469=0),0,IF(OR($J469&lt;AE$3,$I469&gt;AE$2),0,IF($K469=0,IF(AND($I469&gt;=AE$3,$I469&lt;=AE$2),$E469,0),$E469*NETWORKDAYS(MAX($I469,AE$3),MIN($J469,AE$2),Data!$K$4:$K$203)/$K469)))</f>
        <v>0</v>
      </c>
      <c r="AF469" s="166">
        <f>IF(OR($I469="",$E469=0),0,IF(OR($J469&lt;AF$3,$I469&gt;AF$2),0,IF($K469=0,IF(AND($I469&gt;=AF$3,$I469&lt;=AF$2),$E469,0),$E469*NETWORKDAYS(MAX($I469,AF$3),MIN($J469,AF$2),Data!$K$4:$K$203)/$K469)))</f>
        <v>0</v>
      </c>
      <c r="AG469" s="166">
        <f>IF(OR($I469="",$E469=0),0,IF(OR($J469&lt;AG$3,$I469&gt;AG$2),0,IF($K469=0,IF(AND($I469&gt;=AG$3,$I469&lt;=AG$2),$E469,0),$E469*NETWORKDAYS(MAX($I469,AG$3),MIN($J469,AG$2),Data!$K$4:$K$203)/$K469)))</f>
        <v>0</v>
      </c>
      <c r="AH469" s="166">
        <f>IF(OR($I469="",$E469=0),0,IF(OR($J469&lt;AH$3,$I469&gt;AH$2),0,IF($K469=0,IF(AND($I469&gt;=AH$3,$I469&lt;=AH$2),$E469,0),$E469*NETWORKDAYS(MAX($I469,AH$3),MIN($J469,AH$2),Data!$K$4:$K$203)/$K469)))</f>
        <v>0</v>
      </c>
      <c r="AI469" s="166">
        <f>SUM(W469:AH469)</f>
        <v>0</v>
      </c>
      <c r="BZ469" t="str">
        <f>IF(D469=1,IF(TRIM(INDEX(Charge!$K:$K,ROW()))&lt;&gt;"",TRIM(INDEX(Charge!$K:$K,ROW())),IF(TRIM(INDEX(Charge!$L:$L,ROW()))&lt;&gt;"",TRIM(INDEX(Charge!$L:$L,ROW())),"(non affecté)")),"")</f>
        <v/>
      </c>
      <c r="CA469" t="str">
        <f>IF(AND($CD$4&lt;&gt;"",BZ469=$CD$4),COUNTIFS($BZ$4:$BZ$503,$CD$4,$L$4:$L$503,"&lt;"&amp;L469)+1,"")</f>
        <v/>
      </c>
      <c r="EM469" t="str">
        <f>IF(D469=1,IF(TRIM(INDEX(Charge!$K:$K,ROW()))&lt;&gt;"","Interne",IF(TRIM(INDEX(Charge!$L:$L,ROW()))&lt;&gt;"","Externe","Non affecté")),"")</f>
        <v/>
      </c>
      <c r="EN469" t="str">
        <f>IF(D469=1,LEFT(SUBSTITUTE(SUBSTITUTE(SUBSTITUTE(TRIM(SUBSTITUTE(INDEX(Charge!$B:$B,ROW()),CHAR(160)," "))&amp;" | "&amp;TRIM(SUBSTITUTE(INDEX(Charge!$C:$C,ROW()),CHAR(160)," "))&amp;" | "&amp;TRIM(SUBSTITUTE(INDEX(Charge!$D:$D,ROW()),CHAR(160)," ")),"~","-"),"*","+"),"?","!"),240),"")</f>
        <v/>
      </c>
      <c r="EO469">
        <f>IF(EN469="",0,IF(COUNTIF($EN$4:EN469,EN469)=1,1,0))</f>
        <v>0</v>
      </c>
      <c r="EP469" s="166" t="str">
        <f>IF(EO469=1,ROUND(SUMIF($EN$4:$EN$503,EN469,$E$4:$E$503),2),"")</f>
        <v/>
      </c>
      <c r="EQ469" t="str">
        <f>IF(EO469=1,COUNTIFS($EO$4:$EO$503,1,$EP$4:$EP$503,"&gt;"&amp;EP469)+COUNTIFS($EO$4:EO469,1,$EP$4:EP469,EP469),"")</f>
        <v/>
      </c>
      <c r="ER469" t="str">
        <f>IF(EO469=1,COUNTIFS($EN$4:$EN$503,EN469,$EM$4:$EM$503,"Interne",$FE$4:$FE$503,1),"")</f>
        <v/>
      </c>
      <c r="ES469" t="str">
        <f>IF(EO469=1,COUNTIFS($EN$4:$EN$503,EN469,$EM$4:$EM$503,"Externe",$FE$4:$FE$503,1),"")</f>
        <v/>
      </c>
      <c r="ET469" t="str">
        <f>IF(EO469=1,IF(ER469+ES469=0,"à affecter",IF(ER469=0,ES469&amp;" ext.",(ER469+ES469)&amp;IF(ES469&gt;0," dont "&amp;ES469&amp;" ext.",""))&amp;IF(COUNTIFS($EN$4:$EN$503,EN469,$EM$4:$EM$503,"Non affecté")&gt;0," + à affecter","")),"")</f>
        <v/>
      </c>
      <c r="EU469" s="170" t="str">
        <f>IF(EO469=1,IF(EP469&gt;0,SUMPRODUCT(($EN$4:$EN$503=EN469)*$E$4:$E$503*$C$4:$C$503)/EP469,AVERAGEIF($EN$4:$EN$503,EN469,$C$4:$C$503)),"")</f>
        <v/>
      </c>
      <c r="EV469" s="165">
        <f>IF(ISNUMBER(I469),I469,2958465)</f>
        <v>2958465.0</v>
      </c>
      <c r="EW469" s="165" t="str">
        <f>IF(EO469=1,SUMPRODUCT(MIN(($EN$4:$EN$503=EN469)*$EV$4:$EV$503+($EN$4:$EN$503&lt;&gt;EN469)*2958465)),"")</f>
        <v/>
      </c>
      <c r="EX469" s="165">
        <f>IF(AND(D469=1,ISNUMBER(INDEX(Charge!$F:$F,ROW()))),INDEX(Charge!$F:$F,ROW()),0)</f>
        <v>0.0</v>
      </c>
      <c r="EY469" s="165" t="str">
        <f>IF(EO469=1,SUMPRODUCT(MAX(($EN$4:$EN$503=EN469)*$EX$4:$EX$503)),"")</f>
        <v/>
      </c>
      <c r="FD469">
        <f>IF(AND(B469=1,TRIM(INDEX(Charge!$K:$K,ROW()))&lt;&gt;"",TRIM(INDEX(Charge!$L:$L,ROW()))&lt;&gt;""),1,0)</f>
        <v>0</v>
      </c>
      <c r="FE469">
        <f>IF(OR(EN469="",BZ469="(non affecté)"),0,IF(COUNTIFS($EN$4:EN469,EN469,$BZ$4:BZ469,BZ469)=1,1,0))</f>
        <v>0</v>
      </c>
    </row>
    <row r="470">
      <c r="A470">
        <f>ROW()</f>
        <v>470</v>
      </c>
      <c r="B470">
        <f>IF(TRIM(INDEX(Charge!$B:$B,ROW()))&lt;&gt;"",1,0)</f>
        <v>0</v>
      </c>
      <c r="C470">
        <f>IF(B470=1,MIN(1,MAX(0,N(INDEX(Charge!$O:$O,ROW())))),0)</f>
        <v>0</v>
      </c>
      <c r="D470">
        <f>IF(B470=1,IF(OR(p_Perimetre="Tous les projets",C470&lt;1),1,0),0)</f>
        <v>0</v>
      </c>
      <c r="E470">
        <f>IF(D470=1,MAX(0,N(INDEX(Charge!$M:$M,ROW()))),0)</f>
        <v>0</v>
      </c>
      <c r="F470" t="str">
        <f>IF(D470=1,IF(TRIM(INDEX(Charge!$A:$A,ROW()))="","(non renseigné)",TRIM(INDEX(Charge!$A:$A,ROW()))),"")</f>
        <v/>
      </c>
      <c r="G470" t="str">
        <f>IF(D470=1,TRIM(INDEX(Charge!$B:$B,ROW())),"")</f>
        <v/>
      </c>
      <c r="H470" t="str">
        <f>IF(D470=1,IF(TRIM(INDEX(Charge!$E:$E,ROW()))="","(non renseigné)",TRIM(INDEX(Charge!$E:$E,ROW()))),"")</f>
        <v/>
      </c>
      <c r="I470" s="165" t="str">
        <f>IF(AND(D470=1,ISNUMBER(INDEX(Charge!$N:$N,ROW()))),INDEX(Charge!$N:$N,ROW()),"")</f>
        <v/>
      </c>
      <c r="J470" s="165" t="str">
        <f>IF(I470="","",IF(AND(p_Repartition="Lissée jusqu'à la date de besoin",ISNUMBER(INDEX(Charge!$F:$F,ROW()))),IF(INDEX(Charge!$F:$F,ROW())&gt;=I470,INDEX(Charge!$F:$F,ROW()),I470),I470))</f>
        <v/>
      </c>
      <c r="K470" t="str">
        <f>IF(I470="","",NETWORKDAYS(I470,J470,Data!$K$4:$K$203))</f>
        <v/>
      </c>
      <c r="L470" t="str">
        <f>IF(D470=1,COUNTIFS($D$4:$D$503,1,$E$4:$E$503,"&gt;"&amp;E470)+COUNTIFS($D$4:$D470,1,$E$4:$E470,E470),"")</f>
        <v/>
      </c>
      <c r="M470">
        <f>IF(F470="",0,IF(COUNTIF($F$4:F470,F470)=1,1,0))</f>
        <v>0</v>
      </c>
      <c r="N470" t="str">
        <f>IF(M470=1,ROUND(SUMIF($F$4:$F$503,F470,$E$4:$E$503),2),"")</f>
        <v/>
      </c>
      <c r="O470" t="str">
        <f>IF(M470=1,COUNTIFS($M$4:$M$503,1,$N$4:$N$503,"&gt;"&amp;N470)+COUNTIFS($M$4:M470,1,$N$4:N470,N470),"")</f>
        <v/>
      </c>
      <c r="P470">
        <f>IF(G470="",0,IF(COUNTIF($G$4:G470,G470)=1,1,0))</f>
        <v>0</v>
      </c>
      <c r="Q470" t="str">
        <f>IF(P470=1,ROUND(SUMIF($G$4:$G$503,G470,$E$4:$E$503),2),"")</f>
        <v/>
      </c>
      <c r="R470" t="str">
        <f>IF(P470=1,COUNTIFS($P$4:$P$503,1,$Q$4:$Q$503,"&gt;"&amp;Q470)+COUNTIFS($P$4:P470,1,$Q$4:Q470,Q470),"")</f>
        <v/>
      </c>
      <c r="S470">
        <f>IF(H470="",0,IF(COUNTIF($H$4:H470,H470)=1,1,0))</f>
        <v>0</v>
      </c>
      <c r="T470" t="str">
        <f>IF(S470=1,ROUND(SUMIF($H$4:$H$503,H470,$E$4:$E$503),2),"")</f>
        <v/>
      </c>
      <c r="U470" t="str">
        <f>IF(S470=1,COUNTIFS($S$4:$S$503,1,$T$4:$T$503,"&gt;"&amp;T470)+COUNTIFS($S$4:S470,1,$T$4:T470,T470),"")</f>
        <v/>
      </c>
      <c r="V470" t="str">
        <f>IF(D470=1,MIN(INDEX($R$4:$R$503,MATCH(G470,$G$4:$G$503,0)),IF($AL$7&gt;9,9,999)),"")</f>
        <v/>
      </c>
      <c r="W470" s="166">
        <f>IF(OR($I470="",$E470=0),0,IF(OR($J470&lt;W$3,$I470&gt;W$2),0,IF($K470=0,IF(AND($I470&gt;=W$3,$I470&lt;=W$2),$E470,0),$E470*NETWORKDAYS(MAX($I470,W$3),MIN($J470,W$2),Data!$K$4:$K$203)/$K470)))</f>
        <v>0</v>
      </c>
      <c r="X470" s="166">
        <f>IF(OR($I470="",$E470=0),0,IF(OR($J470&lt;X$3,$I470&gt;X$2),0,IF($K470=0,IF(AND($I470&gt;=X$3,$I470&lt;=X$2),$E470,0),$E470*NETWORKDAYS(MAX($I470,X$3),MIN($J470,X$2),Data!$K$4:$K$203)/$K470)))</f>
        <v>0</v>
      </c>
      <c r="Y470" s="166">
        <f>IF(OR($I470="",$E470=0),0,IF(OR($J470&lt;Y$3,$I470&gt;Y$2),0,IF($K470=0,IF(AND($I470&gt;=Y$3,$I470&lt;=Y$2),$E470,0),$E470*NETWORKDAYS(MAX($I470,Y$3),MIN($J470,Y$2),Data!$K$4:$K$203)/$K470)))</f>
        <v>0</v>
      </c>
      <c r="Z470" s="166">
        <f>IF(OR($I470="",$E470=0),0,IF(OR($J470&lt;Z$3,$I470&gt;Z$2),0,IF($K470=0,IF(AND($I470&gt;=Z$3,$I470&lt;=Z$2),$E470,0),$E470*NETWORKDAYS(MAX($I470,Z$3),MIN($J470,Z$2),Data!$K$4:$K$203)/$K470)))</f>
        <v>0</v>
      </c>
      <c r="AA470" s="166">
        <f>IF(OR($I470="",$E470=0),0,IF(OR($J470&lt;AA$3,$I470&gt;AA$2),0,IF($K470=0,IF(AND($I470&gt;=AA$3,$I470&lt;=AA$2),$E470,0),$E470*NETWORKDAYS(MAX($I470,AA$3),MIN($J470,AA$2),Data!$K$4:$K$203)/$K470)))</f>
        <v>0</v>
      </c>
      <c r="AB470" s="166">
        <f>IF(OR($I470="",$E470=0),0,IF(OR($J470&lt;AB$3,$I470&gt;AB$2),0,IF($K470=0,IF(AND($I470&gt;=AB$3,$I470&lt;=AB$2),$E470,0),$E470*NETWORKDAYS(MAX($I470,AB$3),MIN($J470,AB$2),Data!$K$4:$K$203)/$K470)))</f>
        <v>0</v>
      </c>
      <c r="AC470" s="166">
        <f>IF(OR($I470="",$E470=0),0,IF(OR($J470&lt;AC$3,$I470&gt;AC$2),0,IF($K470=0,IF(AND($I470&gt;=AC$3,$I470&lt;=AC$2),$E470,0),$E470*NETWORKDAYS(MAX($I470,AC$3),MIN($J470,AC$2),Data!$K$4:$K$203)/$K470)))</f>
        <v>0</v>
      </c>
      <c r="AD470" s="166">
        <f>IF(OR($I470="",$E470=0),0,IF(OR($J470&lt;AD$3,$I470&gt;AD$2),0,IF($K470=0,IF(AND($I470&gt;=AD$3,$I470&lt;=AD$2),$E470,0),$E470*NETWORKDAYS(MAX($I470,AD$3),MIN($J470,AD$2),Data!$K$4:$K$203)/$K470)))</f>
        <v>0</v>
      </c>
      <c r="AE470" s="166">
        <f>IF(OR($I470="",$E470=0),0,IF(OR($J470&lt;AE$3,$I470&gt;AE$2),0,IF($K470=0,IF(AND($I470&gt;=AE$3,$I470&lt;=AE$2),$E470,0),$E470*NETWORKDAYS(MAX($I470,AE$3),MIN($J470,AE$2),Data!$K$4:$K$203)/$K470)))</f>
        <v>0</v>
      </c>
      <c r="AF470" s="166">
        <f>IF(OR($I470="",$E470=0),0,IF(OR($J470&lt;AF$3,$I470&gt;AF$2),0,IF($K470=0,IF(AND($I470&gt;=AF$3,$I470&lt;=AF$2),$E470,0),$E470*NETWORKDAYS(MAX($I470,AF$3),MIN($J470,AF$2),Data!$K$4:$K$203)/$K470)))</f>
        <v>0</v>
      </c>
      <c r="AG470" s="166">
        <f>IF(OR($I470="",$E470=0),0,IF(OR($J470&lt;AG$3,$I470&gt;AG$2),0,IF($K470=0,IF(AND($I470&gt;=AG$3,$I470&lt;=AG$2),$E470,0),$E470*NETWORKDAYS(MAX($I470,AG$3),MIN($J470,AG$2),Data!$K$4:$K$203)/$K470)))</f>
        <v>0</v>
      </c>
      <c r="AH470" s="166">
        <f>IF(OR($I470="",$E470=0),0,IF(OR($J470&lt;AH$3,$I470&gt;AH$2),0,IF($K470=0,IF(AND($I470&gt;=AH$3,$I470&lt;=AH$2),$E470,0),$E470*NETWORKDAYS(MAX($I470,AH$3),MIN($J470,AH$2),Data!$K$4:$K$203)/$K470)))</f>
        <v>0</v>
      </c>
      <c r="AI470" s="166">
        <f>SUM(W470:AH470)</f>
        <v>0</v>
      </c>
      <c r="BZ470" t="str">
        <f>IF(D470=1,IF(TRIM(INDEX(Charge!$K:$K,ROW()))&lt;&gt;"",TRIM(INDEX(Charge!$K:$K,ROW())),IF(TRIM(INDEX(Charge!$L:$L,ROW()))&lt;&gt;"",TRIM(INDEX(Charge!$L:$L,ROW())),"(non affecté)")),"")</f>
        <v/>
      </c>
      <c r="CA470" t="str">
        <f>IF(AND($CD$4&lt;&gt;"",BZ470=$CD$4),COUNTIFS($BZ$4:$BZ$503,$CD$4,$L$4:$L$503,"&lt;"&amp;L470)+1,"")</f>
        <v/>
      </c>
      <c r="EM470" t="str">
        <f>IF(D470=1,IF(TRIM(INDEX(Charge!$K:$K,ROW()))&lt;&gt;"","Interne",IF(TRIM(INDEX(Charge!$L:$L,ROW()))&lt;&gt;"","Externe","Non affecté")),"")</f>
        <v/>
      </c>
      <c r="EN470" t="str">
        <f>IF(D470=1,LEFT(SUBSTITUTE(SUBSTITUTE(SUBSTITUTE(TRIM(SUBSTITUTE(INDEX(Charge!$B:$B,ROW()),CHAR(160)," "))&amp;" | "&amp;TRIM(SUBSTITUTE(INDEX(Charge!$C:$C,ROW()),CHAR(160)," "))&amp;" | "&amp;TRIM(SUBSTITUTE(INDEX(Charge!$D:$D,ROW()),CHAR(160)," ")),"~","-"),"*","+"),"?","!"),240),"")</f>
        <v/>
      </c>
      <c r="EO470">
        <f>IF(EN470="",0,IF(COUNTIF($EN$4:EN470,EN470)=1,1,0))</f>
        <v>0</v>
      </c>
      <c r="EP470" s="166" t="str">
        <f>IF(EO470=1,ROUND(SUMIF($EN$4:$EN$503,EN470,$E$4:$E$503),2),"")</f>
        <v/>
      </c>
      <c r="EQ470" t="str">
        <f>IF(EO470=1,COUNTIFS($EO$4:$EO$503,1,$EP$4:$EP$503,"&gt;"&amp;EP470)+COUNTIFS($EO$4:EO470,1,$EP$4:EP470,EP470),"")</f>
        <v/>
      </c>
      <c r="ER470" t="str">
        <f>IF(EO470=1,COUNTIFS($EN$4:$EN$503,EN470,$EM$4:$EM$503,"Interne",$FE$4:$FE$503,1),"")</f>
        <v/>
      </c>
      <c r="ES470" t="str">
        <f>IF(EO470=1,COUNTIFS($EN$4:$EN$503,EN470,$EM$4:$EM$503,"Externe",$FE$4:$FE$503,1),"")</f>
        <v/>
      </c>
      <c r="ET470" t="str">
        <f>IF(EO470=1,IF(ER470+ES470=0,"à affecter",IF(ER470=0,ES470&amp;" ext.",(ER470+ES470)&amp;IF(ES470&gt;0," dont "&amp;ES470&amp;" ext.",""))&amp;IF(COUNTIFS($EN$4:$EN$503,EN470,$EM$4:$EM$503,"Non affecté")&gt;0," + à affecter","")),"")</f>
        <v/>
      </c>
      <c r="EU470" s="170" t="str">
        <f>IF(EO470=1,IF(EP470&gt;0,SUMPRODUCT(($EN$4:$EN$503=EN470)*$E$4:$E$503*$C$4:$C$503)/EP470,AVERAGEIF($EN$4:$EN$503,EN470,$C$4:$C$503)),"")</f>
        <v/>
      </c>
      <c r="EV470" s="165">
        <f>IF(ISNUMBER(I470),I470,2958465)</f>
        <v>2958465.0</v>
      </c>
      <c r="EW470" s="165" t="str">
        <f>IF(EO470=1,SUMPRODUCT(MIN(($EN$4:$EN$503=EN470)*$EV$4:$EV$503+($EN$4:$EN$503&lt;&gt;EN470)*2958465)),"")</f>
        <v/>
      </c>
      <c r="EX470" s="165">
        <f>IF(AND(D470=1,ISNUMBER(INDEX(Charge!$F:$F,ROW()))),INDEX(Charge!$F:$F,ROW()),0)</f>
        <v>0.0</v>
      </c>
      <c r="EY470" s="165" t="str">
        <f>IF(EO470=1,SUMPRODUCT(MAX(($EN$4:$EN$503=EN470)*$EX$4:$EX$503)),"")</f>
        <v/>
      </c>
      <c r="FD470">
        <f>IF(AND(B470=1,TRIM(INDEX(Charge!$K:$K,ROW()))&lt;&gt;"",TRIM(INDEX(Charge!$L:$L,ROW()))&lt;&gt;""),1,0)</f>
        <v>0</v>
      </c>
      <c r="FE470">
        <f>IF(OR(EN470="",BZ470="(non affecté)"),0,IF(COUNTIFS($EN$4:EN470,EN470,$BZ$4:BZ470,BZ470)=1,1,0))</f>
        <v>0</v>
      </c>
    </row>
    <row r="471">
      <c r="A471">
        <f>ROW()</f>
        <v>471</v>
      </c>
      <c r="B471">
        <f>IF(TRIM(INDEX(Charge!$B:$B,ROW()))&lt;&gt;"",1,0)</f>
        <v>0</v>
      </c>
      <c r="C471">
        <f>IF(B471=1,MIN(1,MAX(0,N(INDEX(Charge!$O:$O,ROW())))),0)</f>
        <v>0</v>
      </c>
      <c r="D471">
        <f>IF(B471=1,IF(OR(p_Perimetre="Tous les projets",C471&lt;1),1,0),0)</f>
        <v>0</v>
      </c>
      <c r="E471">
        <f>IF(D471=1,MAX(0,N(INDEX(Charge!$M:$M,ROW()))),0)</f>
        <v>0</v>
      </c>
      <c r="F471" t="str">
        <f>IF(D471=1,IF(TRIM(INDEX(Charge!$A:$A,ROW()))="","(non renseigné)",TRIM(INDEX(Charge!$A:$A,ROW()))),"")</f>
        <v/>
      </c>
      <c r="G471" t="str">
        <f>IF(D471=1,TRIM(INDEX(Charge!$B:$B,ROW())),"")</f>
        <v/>
      </c>
      <c r="H471" t="str">
        <f>IF(D471=1,IF(TRIM(INDEX(Charge!$E:$E,ROW()))="","(non renseigné)",TRIM(INDEX(Charge!$E:$E,ROW()))),"")</f>
        <v/>
      </c>
      <c r="I471" s="165" t="str">
        <f>IF(AND(D471=1,ISNUMBER(INDEX(Charge!$N:$N,ROW()))),INDEX(Charge!$N:$N,ROW()),"")</f>
        <v/>
      </c>
      <c r="J471" s="165" t="str">
        <f>IF(I471="","",IF(AND(p_Repartition="Lissée jusqu'à la date de besoin",ISNUMBER(INDEX(Charge!$F:$F,ROW()))),IF(INDEX(Charge!$F:$F,ROW())&gt;=I471,INDEX(Charge!$F:$F,ROW()),I471),I471))</f>
        <v/>
      </c>
      <c r="K471" t="str">
        <f>IF(I471="","",NETWORKDAYS(I471,J471,Data!$K$4:$K$203))</f>
        <v/>
      </c>
      <c r="L471" t="str">
        <f>IF(D471=1,COUNTIFS($D$4:$D$503,1,$E$4:$E$503,"&gt;"&amp;E471)+COUNTIFS($D$4:$D471,1,$E$4:$E471,E471),"")</f>
        <v/>
      </c>
      <c r="M471">
        <f>IF(F471="",0,IF(COUNTIF($F$4:F471,F471)=1,1,0))</f>
        <v>0</v>
      </c>
      <c r="N471" t="str">
        <f>IF(M471=1,ROUND(SUMIF($F$4:$F$503,F471,$E$4:$E$503),2),"")</f>
        <v/>
      </c>
      <c r="O471" t="str">
        <f>IF(M471=1,COUNTIFS($M$4:$M$503,1,$N$4:$N$503,"&gt;"&amp;N471)+COUNTIFS($M$4:M471,1,$N$4:N471,N471),"")</f>
        <v/>
      </c>
      <c r="P471">
        <f>IF(G471="",0,IF(COUNTIF($G$4:G471,G471)=1,1,0))</f>
        <v>0</v>
      </c>
      <c r="Q471" t="str">
        <f>IF(P471=1,ROUND(SUMIF($G$4:$G$503,G471,$E$4:$E$503),2),"")</f>
        <v/>
      </c>
      <c r="R471" t="str">
        <f>IF(P471=1,COUNTIFS($P$4:$P$503,1,$Q$4:$Q$503,"&gt;"&amp;Q471)+COUNTIFS($P$4:P471,1,$Q$4:Q471,Q471),"")</f>
        <v/>
      </c>
      <c r="S471">
        <f>IF(H471="",0,IF(COUNTIF($H$4:H471,H471)=1,1,0))</f>
        <v>0</v>
      </c>
      <c r="T471" t="str">
        <f>IF(S471=1,ROUND(SUMIF($H$4:$H$503,H471,$E$4:$E$503),2),"")</f>
        <v/>
      </c>
      <c r="U471" t="str">
        <f>IF(S471=1,COUNTIFS($S$4:$S$503,1,$T$4:$T$503,"&gt;"&amp;T471)+COUNTIFS($S$4:S471,1,$T$4:T471,T471),"")</f>
        <v/>
      </c>
      <c r="V471" t="str">
        <f>IF(D471=1,MIN(INDEX($R$4:$R$503,MATCH(G471,$G$4:$G$503,0)),IF($AL$7&gt;9,9,999)),"")</f>
        <v/>
      </c>
      <c r="W471" s="166">
        <f>IF(OR($I471="",$E471=0),0,IF(OR($J471&lt;W$3,$I471&gt;W$2),0,IF($K471=0,IF(AND($I471&gt;=W$3,$I471&lt;=W$2),$E471,0),$E471*NETWORKDAYS(MAX($I471,W$3),MIN($J471,W$2),Data!$K$4:$K$203)/$K471)))</f>
        <v>0</v>
      </c>
      <c r="X471" s="166">
        <f>IF(OR($I471="",$E471=0),0,IF(OR($J471&lt;X$3,$I471&gt;X$2),0,IF($K471=0,IF(AND($I471&gt;=X$3,$I471&lt;=X$2),$E471,0),$E471*NETWORKDAYS(MAX($I471,X$3),MIN($J471,X$2),Data!$K$4:$K$203)/$K471)))</f>
        <v>0</v>
      </c>
      <c r="Y471" s="166">
        <f>IF(OR($I471="",$E471=0),0,IF(OR($J471&lt;Y$3,$I471&gt;Y$2),0,IF($K471=0,IF(AND($I471&gt;=Y$3,$I471&lt;=Y$2),$E471,0),$E471*NETWORKDAYS(MAX($I471,Y$3),MIN($J471,Y$2),Data!$K$4:$K$203)/$K471)))</f>
        <v>0</v>
      </c>
      <c r="Z471" s="166">
        <f>IF(OR($I471="",$E471=0),0,IF(OR($J471&lt;Z$3,$I471&gt;Z$2),0,IF($K471=0,IF(AND($I471&gt;=Z$3,$I471&lt;=Z$2),$E471,0),$E471*NETWORKDAYS(MAX($I471,Z$3),MIN($J471,Z$2),Data!$K$4:$K$203)/$K471)))</f>
        <v>0</v>
      </c>
      <c r="AA471" s="166">
        <f>IF(OR($I471="",$E471=0),0,IF(OR($J471&lt;AA$3,$I471&gt;AA$2),0,IF($K471=0,IF(AND($I471&gt;=AA$3,$I471&lt;=AA$2),$E471,0),$E471*NETWORKDAYS(MAX($I471,AA$3),MIN($J471,AA$2),Data!$K$4:$K$203)/$K471)))</f>
        <v>0</v>
      </c>
      <c r="AB471" s="166">
        <f>IF(OR($I471="",$E471=0),0,IF(OR($J471&lt;AB$3,$I471&gt;AB$2),0,IF($K471=0,IF(AND($I471&gt;=AB$3,$I471&lt;=AB$2),$E471,0),$E471*NETWORKDAYS(MAX($I471,AB$3),MIN($J471,AB$2),Data!$K$4:$K$203)/$K471)))</f>
        <v>0</v>
      </c>
      <c r="AC471" s="166">
        <f>IF(OR($I471="",$E471=0),0,IF(OR($J471&lt;AC$3,$I471&gt;AC$2),0,IF($K471=0,IF(AND($I471&gt;=AC$3,$I471&lt;=AC$2),$E471,0),$E471*NETWORKDAYS(MAX($I471,AC$3),MIN($J471,AC$2),Data!$K$4:$K$203)/$K471)))</f>
        <v>0</v>
      </c>
      <c r="AD471" s="166">
        <f>IF(OR($I471="",$E471=0),0,IF(OR($J471&lt;AD$3,$I471&gt;AD$2),0,IF($K471=0,IF(AND($I471&gt;=AD$3,$I471&lt;=AD$2),$E471,0),$E471*NETWORKDAYS(MAX($I471,AD$3),MIN($J471,AD$2),Data!$K$4:$K$203)/$K471)))</f>
        <v>0</v>
      </c>
      <c r="AE471" s="166">
        <f>IF(OR($I471="",$E471=0),0,IF(OR($J471&lt;AE$3,$I471&gt;AE$2),0,IF($K471=0,IF(AND($I471&gt;=AE$3,$I471&lt;=AE$2),$E471,0),$E471*NETWORKDAYS(MAX($I471,AE$3),MIN($J471,AE$2),Data!$K$4:$K$203)/$K471)))</f>
        <v>0</v>
      </c>
      <c r="AF471" s="166">
        <f>IF(OR($I471="",$E471=0),0,IF(OR($J471&lt;AF$3,$I471&gt;AF$2),0,IF($K471=0,IF(AND($I471&gt;=AF$3,$I471&lt;=AF$2),$E471,0),$E471*NETWORKDAYS(MAX($I471,AF$3),MIN($J471,AF$2),Data!$K$4:$K$203)/$K471)))</f>
        <v>0</v>
      </c>
      <c r="AG471" s="166">
        <f>IF(OR($I471="",$E471=0),0,IF(OR($J471&lt;AG$3,$I471&gt;AG$2),0,IF($K471=0,IF(AND($I471&gt;=AG$3,$I471&lt;=AG$2),$E471,0),$E471*NETWORKDAYS(MAX($I471,AG$3),MIN($J471,AG$2),Data!$K$4:$K$203)/$K471)))</f>
        <v>0</v>
      </c>
      <c r="AH471" s="166">
        <f>IF(OR($I471="",$E471=0),0,IF(OR($J471&lt;AH$3,$I471&gt;AH$2),0,IF($K471=0,IF(AND($I471&gt;=AH$3,$I471&lt;=AH$2),$E471,0),$E471*NETWORKDAYS(MAX($I471,AH$3),MIN($J471,AH$2),Data!$K$4:$K$203)/$K471)))</f>
        <v>0</v>
      </c>
      <c r="AI471" s="166">
        <f>SUM(W471:AH471)</f>
        <v>0</v>
      </c>
      <c r="BZ471" t="str">
        <f>IF(D471=1,IF(TRIM(INDEX(Charge!$K:$K,ROW()))&lt;&gt;"",TRIM(INDEX(Charge!$K:$K,ROW())),IF(TRIM(INDEX(Charge!$L:$L,ROW()))&lt;&gt;"",TRIM(INDEX(Charge!$L:$L,ROW())),"(non affecté)")),"")</f>
        <v/>
      </c>
      <c r="CA471" t="str">
        <f>IF(AND($CD$4&lt;&gt;"",BZ471=$CD$4),COUNTIFS($BZ$4:$BZ$503,$CD$4,$L$4:$L$503,"&lt;"&amp;L471)+1,"")</f>
        <v/>
      </c>
      <c r="EM471" t="str">
        <f>IF(D471=1,IF(TRIM(INDEX(Charge!$K:$K,ROW()))&lt;&gt;"","Interne",IF(TRIM(INDEX(Charge!$L:$L,ROW()))&lt;&gt;"","Externe","Non affecté")),"")</f>
        <v/>
      </c>
      <c r="EN471" t="str">
        <f>IF(D471=1,LEFT(SUBSTITUTE(SUBSTITUTE(SUBSTITUTE(TRIM(SUBSTITUTE(INDEX(Charge!$B:$B,ROW()),CHAR(160)," "))&amp;" | "&amp;TRIM(SUBSTITUTE(INDEX(Charge!$C:$C,ROW()),CHAR(160)," "))&amp;" | "&amp;TRIM(SUBSTITUTE(INDEX(Charge!$D:$D,ROW()),CHAR(160)," ")),"~","-"),"*","+"),"?","!"),240),"")</f>
        <v/>
      </c>
      <c r="EO471">
        <f>IF(EN471="",0,IF(COUNTIF($EN$4:EN471,EN471)=1,1,0))</f>
        <v>0</v>
      </c>
      <c r="EP471" s="166" t="str">
        <f>IF(EO471=1,ROUND(SUMIF($EN$4:$EN$503,EN471,$E$4:$E$503),2),"")</f>
        <v/>
      </c>
      <c r="EQ471" t="str">
        <f>IF(EO471=1,COUNTIFS($EO$4:$EO$503,1,$EP$4:$EP$503,"&gt;"&amp;EP471)+COUNTIFS($EO$4:EO471,1,$EP$4:EP471,EP471),"")</f>
        <v/>
      </c>
      <c r="ER471" t="str">
        <f>IF(EO471=1,COUNTIFS($EN$4:$EN$503,EN471,$EM$4:$EM$503,"Interne",$FE$4:$FE$503,1),"")</f>
        <v/>
      </c>
      <c r="ES471" t="str">
        <f>IF(EO471=1,COUNTIFS($EN$4:$EN$503,EN471,$EM$4:$EM$503,"Externe",$FE$4:$FE$503,1),"")</f>
        <v/>
      </c>
      <c r="ET471" t="str">
        <f>IF(EO471=1,IF(ER471+ES471=0,"à affecter",IF(ER471=0,ES471&amp;" ext.",(ER471+ES471)&amp;IF(ES471&gt;0," dont "&amp;ES471&amp;" ext.",""))&amp;IF(COUNTIFS($EN$4:$EN$503,EN471,$EM$4:$EM$503,"Non affecté")&gt;0," + à affecter","")),"")</f>
        <v/>
      </c>
      <c r="EU471" s="170" t="str">
        <f>IF(EO471=1,IF(EP471&gt;0,SUMPRODUCT(($EN$4:$EN$503=EN471)*$E$4:$E$503*$C$4:$C$503)/EP471,AVERAGEIF($EN$4:$EN$503,EN471,$C$4:$C$503)),"")</f>
        <v/>
      </c>
      <c r="EV471" s="165">
        <f>IF(ISNUMBER(I471),I471,2958465)</f>
        <v>2958465.0</v>
      </c>
      <c r="EW471" s="165" t="str">
        <f>IF(EO471=1,SUMPRODUCT(MIN(($EN$4:$EN$503=EN471)*$EV$4:$EV$503+($EN$4:$EN$503&lt;&gt;EN471)*2958465)),"")</f>
        <v/>
      </c>
      <c r="EX471" s="165">
        <f>IF(AND(D471=1,ISNUMBER(INDEX(Charge!$F:$F,ROW()))),INDEX(Charge!$F:$F,ROW()),0)</f>
        <v>0.0</v>
      </c>
      <c r="EY471" s="165" t="str">
        <f>IF(EO471=1,SUMPRODUCT(MAX(($EN$4:$EN$503=EN471)*$EX$4:$EX$503)),"")</f>
        <v/>
      </c>
      <c r="FD471">
        <f>IF(AND(B471=1,TRIM(INDEX(Charge!$K:$K,ROW()))&lt;&gt;"",TRIM(INDEX(Charge!$L:$L,ROW()))&lt;&gt;""),1,0)</f>
        <v>0</v>
      </c>
      <c r="FE471">
        <f>IF(OR(EN471="",BZ471="(non affecté)"),0,IF(COUNTIFS($EN$4:EN471,EN471,$BZ$4:BZ471,BZ471)=1,1,0))</f>
        <v>0</v>
      </c>
    </row>
    <row r="472">
      <c r="A472">
        <f>ROW()</f>
        <v>472</v>
      </c>
      <c r="B472">
        <f>IF(TRIM(INDEX(Charge!$B:$B,ROW()))&lt;&gt;"",1,0)</f>
        <v>0</v>
      </c>
      <c r="C472">
        <f>IF(B472=1,MIN(1,MAX(0,N(INDEX(Charge!$O:$O,ROW())))),0)</f>
        <v>0</v>
      </c>
      <c r="D472">
        <f>IF(B472=1,IF(OR(p_Perimetre="Tous les projets",C472&lt;1),1,0),0)</f>
        <v>0</v>
      </c>
      <c r="E472">
        <f>IF(D472=1,MAX(0,N(INDEX(Charge!$M:$M,ROW()))),0)</f>
        <v>0</v>
      </c>
      <c r="F472" t="str">
        <f>IF(D472=1,IF(TRIM(INDEX(Charge!$A:$A,ROW()))="","(non renseigné)",TRIM(INDEX(Charge!$A:$A,ROW()))),"")</f>
        <v/>
      </c>
      <c r="G472" t="str">
        <f>IF(D472=1,TRIM(INDEX(Charge!$B:$B,ROW())),"")</f>
        <v/>
      </c>
      <c r="H472" t="str">
        <f>IF(D472=1,IF(TRIM(INDEX(Charge!$E:$E,ROW()))="","(non renseigné)",TRIM(INDEX(Charge!$E:$E,ROW()))),"")</f>
        <v/>
      </c>
      <c r="I472" s="165" t="str">
        <f>IF(AND(D472=1,ISNUMBER(INDEX(Charge!$N:$N,ROW()))),INDEX(Charge!$N:$N,ROW()),"")</f>
        <v/>
      </c>
      <c r="J472" s="165" t="str">
        <f>IF(I472="","",IF(AND(p_Repartition="Lissée jusqu'à la date de besoin",ISNUMBER(INDEX(Charge!$F:$F,ROW()))),IF(INDEX(Charge!$F:$F,ROW())&gt;=I472,INDEX(Charge!$F:$F,ROW()),I472),I472))</f>
        <v/>
      </c>
      <c r="K472" t="str">
        <f>IF(I472="","",NETWORKDAYS(I472,J472,Data!$K$4:$K$203))</f>
        <v/>
      </c>
      <c r="L472" t="str">
        <f>IF(D472=1,COUNTIFS($D$4:$D$503,1,$E$4:$E$503,"&gt;"&amp;E472)+COUNTIFS($D$4:$D472,1,$E$4:$E472,E472),"")</f>
        <v/>
      </c>
      <c r="M472">
        <f>IF(F472="",0,IF(COUNTIF($F$4:F472,F472)=1,1,0))</f>
        <v>0</v>
      </c>
      <c r="N472" t="str">
        <f>IF(M472=1,ROUND(SUMIF($F$4:$F$503,F472,$E$4:$E$503),2),"")</f>
        <v/>
      </c>
      <c r="O472" t="str">
        <f>IF(M472=1,COUNTIFS($M$4:$M$503,1,$N$4:$N$503,"&gt;"&amp;N472)+COUNTIFS($M$4:M472,1,$N$4:N472,N472),"")</f>
        <v/>
      </c>
      <c r="P472">
        <f>IF(G472="",0,IF(COUNTIF($G$4:G472,G472)=1,1,0))</f>
        <v>0</v>
      </c>
      <c r="Q472" t="str">
        <f>IF(P472=1,ROUND(SUMIF($G$4:$G$503,G472,$E$4:$E$503),2),"")</f>
        <v/>
      </c>
      <c r="R472" t="str">
        <f>IF(P472=1,COUNTIFS($P$4:$P$503,1,$Q$4:$Q$503,"&gt;"&amp;Q472)+COUNTIFS($P$4:P472,1,$Q$4:Q472,Q472),"")</f>
        <v/>
      </c>
      <c r="S472">
        <f>IF(H472="",0,IF(COUNTIF($H$4:H472,H472)=1,1,0))</f>
        <v>0</v>
      </c>
      <c r="T472" t="str">
        <f>IF(S472=1,ROUND(SUMIF($H$4:$H$503,H472,$E$4:$E$503),2),"")</f>
        <v/>
      </c>
      <c r="U472" t="str">
        <f>IF(S472=1,COUNTIFS($S$4:$S$503,1,$T$4:$T$503,"&gt;"&amp;T472)+COUNTIFS($S$4:S472,1,$T$4:T472,T472),"")</f>
        <v/>
      </c>
      <c r="V472" t="str">
        <f>IF(D472=1,MIN(INDEX($R$4:$R$503,MATCH(G472,$G$4:$G$503,0)),IF($AL$7&gt;9,9,999)),"")</f>
        <v/>
      </c>
      <c r="W472" s="166">
        <f>IF(OR($I472="",$E472=0),0,IF(OR($J472&lt;W$3,$I472&gt;W$2),0,IF($K472=0,IF(AND($I472&gt;=W$3,$I472&lt;=W$2),$E472,0),$E472*NETWORKDAYS(MAX($I472,W$3),MIN($J472,W$2),Data!$K$4:$K$203)/$K472)))</f>
        <v>0</v>
      </c>
      <c r="X472" s="166">
        <f>IF(OR($I472="",$E472=0),0,IF(OR($J472&lt;X$3,$I472&gt;X$2),0,IF($K472=0,IF(AND($I472&gt;=X$3,$I472&lt;=X$2),$E472,0),$E472*NETWORKDAYS(MAX($I472,X$3),MIN($J472,X$2),Data!$K$4:$K$203)/$K472)))</f>
        <v>0</v>
      </c>
      <c r="Y472" s="166">
        <f>IF(OR($I472="",$E472=0),0,IF(OR($J472&lt;Y$3,$I472&gt;Y$2),0,IF($K472=0,IF(AND($I472&gt;=Y$3,$I472&lt;=Y$2),$E472,0),$E472*NETWORKDAYS(MAX($I472,Y$3),MIN($J472,Y$2),Data!$K$4:$K$203)/$K472)))</f>
        <v>0</v>
      </c>
      <c r="Z472" s="166">
        <f>IF(OR($I472="",$E472=0),0,IF(OR($J472&lt;Z$3,$I472&gt;Z$2),0,IF($K472=0,IF(AND($I472&gt;=Z$3,$I472&lt;=Z$2),$E472,0),$E472*NETWORKDAYS(MAX($I472,Z$3),MIN($J472,Z$2),Data!$K$4:$K$203)/$K472)))</f>
        <v>0</v>
      </c>
      <c r="AA472" s="166">
        <f>IF(OR($I472="",$E472=0),0,IF(OR($J472&lt;AA$3,$I472&gt;AA$2),0,IF($K472=0,IF(AND($I472&gt;=AA$3,$I472&lt;=AA$2),$E472,0),$E472*NETWORKDAYS(MAX($I472,AA$3),MIN($J472,AA$2),Data!$K$4:$K$203)/$K472)))</f>
        <v>0</v>
      </c>
      <c r="AB472" s="166">
        <f>IF(OR($I472="",$E472=0),0,IF(OR($J472&lt;AB$3,$I472&gt;AB$2),0,IF($K472=0,IF(AND($I472&gt;=AB$3,$I472&lt;=AB$2),$E472,0),$E472*NETWORKDAYS(MAX($I472,AB$3),MIN($J472,AB$2),Data!$K$4:$K$203)/$K472)))</f>
        <v>0</v>
      </c>
      <c r="AC472" s="166">
        <f>IF(OR($I472="",$E472=0),0,IF(OR($J472&lt;AC$3,$I472&gt;AC$2),0,IF($K472=0,IF(AND($I472&gt;=AC$3,$I472&lt;=AC$2),$E472,0),$E472*NETWORKDAYS(MAX($I472,AC$3),MIN($J472,AC$2),Data!$K$4:$K$203)/$K472)))</f>
        <v>0</v>
      </c>
      <c r="AD472" s="166">
        <f>IF(OR($I472="",$E472=0),0,IF(OR($J472&lt;AD$3,$I472&gt;AD$2),0,IF($K472=0,IF(AND($I472&gt;=AD$3,$I472&lt;=AD$2),$E472,0),$E472*NETWORKDAYS(MAX($I472,AD$3),MIN($J472,AD$2),Data!$K$4:$K$203)/$K472)))</f>
        <v>0</v>
      </c>
      <c r="AE472" s="166">
        <f>IF(OR($I472="",$E472=0),0,IF(OR($J472&lt;AE$3,$I472&gt;AE$2),0,IF($K472=0,IF(AND($I472&gt;=AE$3,$I472&lt;=AE$2),$E472,0),$E472*NETWORKDAYS(MAX($I472,AE$3),MIN($J472,AE$2),Data!$K$4:$K$203)/$K472)))</f>
        <v>0</v>
      </c>
      <c r="AF472" s="166">
        <f>IF(OR($I472="",$E472=0),0,IF(OR($J472&lt;AF$3,$I472&gt;AF$2),0,IF($K472=0,IF(AND($I472&gt;=AF$3,$I472&lt;=AF$2),$E472,0),$E472*NETWORKDAYS(MAX($I472,AF$3),MIN($J472,AF$2),Data!$K$4:$K$203)/$K472)))</f>
        <v>0</v>
      </c>
      <c r="AG472" s="166">
        <f>IF(OR($I472="",$E472=0),0,IF(OR($J472&lt;AG$3,$I472&gt;AG$2),0,IF($K472=0,IF(AND($I472&gt;=AG$3,$I472&lt;=AG$2),$E472,0),$E472*NETWORKDAYS(MAX($I472,AG$3),MIN($J472,AG$2),Data!$K$4:$K$203)/$K472)))</f>
        <v>0</v>
      </c>
      <c r="AH472" s="166">
        <f>IF(OR($I472="",$E472=0),0,IF(OR($J472&lt;AH$3,$I472&gt;AH$2),0,IF($K472=0,IF(AND($I472&gt;=AH$3,$I472&lt;=AH$2),$E472,0),$E472*NETWORKDAYS(MAX($I472,AH$3),MIN($J472,AH$2),Data!$K$4:$K$203)/$K472)))</f>
        <v>0</v>
      </c>
      <c r="AI472" s="166">
        <f>SUM(W472:AH472)</f>
        <v>0</v>
      </c>
      <c r="BZ472" t="str">
        <f>IF(D472=1,IF(TRIM(INDEX(Charge!$K:$K,ROW()))&lt;&gt;"",TRIM(INDEX(Charge!$K:$K,ROW())),IF(TRIM(INDEX(Charge!$L:$L,ROW()))&lt;&gt;"",TRIM(INDEX(Charge!$L:$L,ROW())),"(non affecté)")),"")</f>
        <v/>
      </c>
      <c r="CA472" t="str">
        <f>IF(AND($CD$4&lt;&gt;"",BZ472=$CD$4),COUNTIFS($BZ$4:$BZ$503,$CD$4,$L$4:$L$503,"&lt;"&amp;L472)+1,"")</f>
        <v/>
      </c>
      <c r="EM472" t="str">
        <f>IF(D472=1,IF(TRIM(INDEX(Charge!$K:$K,ROW()))&lt;&gt;"","Interne",IF(TRIM(INDEX(Charge!$L:$L,ROW()))&lt;&gt;"","Externe","Non affecté")),"")</f>
        <v/>
      </c>
      <c r="EN472" t="str">
        <f>IF(D472=1,LEFT(SUBSTITUTE(SUBSTITUTE(SUBSTITUTE(TRIM(SUBSTITUTE(INDEX(Charge!$B:$B,ROW()),CHAR(160)," "))&amp;" | "&amp;TRIM(SUBSTITUTE(INDEX(Charge!$C:$C,ROW()),CHAR(160)," "))&amp;" | "&amp;TRIM(SUBSTITUTE(INDEX(Charge!$D:$D,ROW()),CHAR(160)," ")),"~","-"),"*","+"),"?","!"),240),"")</f>
        <v/>
      </c>
      <c r="EO472">
        <f>IF(EN472="",0,IF(COUNTIF($EN$4:EN472,EN472)=1,1,0))</f>
        <v>0</v>
      </c>
      <c r="EP472" s="166" t="str">
        <f>IF(EO472=1,ROUND(SUMIF($EN$4:$EN$503,EN472,$E$4:$E$503),2),"")</f>
        <v/>
      </c>
      <c r="EQ472" t="str">
        <f>IF(EO472=1,COUNTIFS($EO$4:$EO$503,1,$EP$4:$EP$503,"&gt;"&amp;EP472)+COUNTIFS($EO$4:EO472,1,$EP$4:EP472,EP472),"")</f>
        <v/>
      </c>
      <c r="ER472" t="str">
        <f>IF(EO472=1,COUNTIFS($EN$4:$EN$503,EN472,$EM$4:$EM$503,"Interne",$FE$4:$FE$503,1),"")</f>
        <v/>
      </c>
      <c r="ES472" t="str">
        <f>IF(EO472=1,COUNTIFS($EN$4:$EN$503,EN472,$EM$4:$EM$503,"Externe",$FE$4:$FE$503,1),"")</f>
        <v/>
      </c>
      <c r="ET472" t="str">
        <f>IF(EO472=1,IF(ER472+ES472=0,"à affecter",IF(ER472=0,ES472&amp;" ext.",(ER472+ES472)&amp;IF(ES472&gt;0," dont "&amp;ES472&amp;" ext.",""))&amp;IF(COUNTIFS($EN$4:$EN$503,EN472,$EM$4:$EM$503,"Non affecté")&gt;0," + à affecter","")),"")</f>
        <v/>
      </c>
      <c r="EU472" s="170" t="str">
        <f>IF(EO472=1,IF(EP472&gt;0,SUMPRODUCT(($EN$4:$EN$503=EN472)*$E$4:$E$503*$C$4:$C$503)/EP472,AVERAGEIF($EN$4:$EN$503,EN472,$C$4:$C$503)),"")</f>
        <v/>
      </c>
      <c r="EV472" s="165">
        <f>IF(ISNUMBER(I472),I472,2958465)</f>
        <v>2958465.0</v>
      </c>
      <c r="EW472" s="165" t="str">
        <f>IF(EO472=1,SUMPRODUCT(MIN(($EN$4:$EN$503=EN472)*$EV$4:$EV$503+($EN$4:$EN$503&lt;&gt;EN472)*2958465)),"")</f>
        <v/>
      </c>
      <c r="EX472" s="165">
        <f>IF(AND(D472=1,ISNUMBER(INDEX(Charge!$F:$F,ROW()))),INDEX(Charge!$F:$F,ROW()),0)</f>
        <v>0.0</v>
      </c>
      <c r="EY472" s="165" t="str">
        <f>IF(EO472=1,SUMPRODUCT(MAX(($EN$4:$EN$503=EN472)*$EX$4:$EX$503)),"")</f>
        <v/>
      </c>
      <c r="FD472">
        <f>IF(AND(B472=1,TRIM(INDEX(Charge!$K:$K,ROW()))&lt;&gt;"",TRIM(INDEX(Charge!$L:$L,ROW()))&lt;&gt;""),1,0)</f>
        <v>0</v>
      </c>
      <c r="FE472">
        <f>IF(OR(EN472="",BZ472="(non affecté)"),0,IF(COUNTIFS($EN$4:EN472,EN472,$BZ$4:BZ472,BZ472)=1,1,0))</f>
        <v>0</v>
      </c>
    </row>
    <row r="473">
      <c r="A473">
        <f>ROW()</f>
        <v>473</v>
      </c>
      <c r="B473">
        <f>IF(TRIM(INDEX(Charge!$B:$B,ROW()))&lt;&gt;"",1,0)</f>
        <v>0</v>
      </c>
      <c r="C473">
        <f>IF(B473=1,MIN(1,MAX(0,N(INDEX(Charge!$O:$O,ROW())))),0)</f>
        <v>0</v>
      </c>
      <c r="D473">
        <f>IF(B473=1,IF(OR(p_Perimetre="Tous les projets",C473&lt;1),1,0),0)</f>
        <v>0</v>
      </c>
      <c r="E473">
        <f>IF(D473=1,MAX(0,N(INDEX(Charge!$M:$M,ROW()))),0)</f>
        <v>0</v>
      </c>
      <c r="F473" t="str">
        <f>IF(D473=1,IF(TRIM(INDEX(Charge!$A:$A,ROW()))="","(non renseigné)",TRIM(INDEX(Charge!$A:$A,ROW()))),"")</f>
        <v/>
      </c>
      <c r="G473" t="str">
        <f>IF(D473=1,TRIM(INDEX(Charge!$B:$B,ROW())),"")</f>
        <v/>
      </c>
      <c r="H473" t="str">
        <f>IF(D473=1,IF(TRIM(INDEX(Charge!$E:$E,ROW()))="","(non renseigné)",TRIM(INDEX(Charge!$E:$E,ROW()))),"")</f>
        <v/>
      </c>
      <c r="I473" s="165" t="str">
        <f>IF(AND(D473=1,ISNUMBER(INDEX(Charge!$N:$N,ROW()))),INDEX(Charge!$N:$N,ROW()),"")</f>
        <v/>
      </c>
      <c r="J473" s="165" t="str">
        <f>IF(I473="","",IF(AND(p_Repartition="Lissée jusqu'à la date de besoin",ISNUMBER(INDEX(Charge!$F:$F,ROW()))),IF(INDEX(Charge!$F:$F,ROW())&gt;=I473,INDEX(Charge!$F:$F,ROW()),I473),I473))</f>
        <v/>
      </c>
      <c r="K473" t="str">
        <f>IF(I473="","",NETWORKDAYS(I473,J473,Data!$K$4:$K$203))</f>
        <v/>
      </c>
      <c r="L473" t="str">
        <f>IF(D473=1,COUNTIFS($D$4:$D$503,1,$E$4:$E$503,"&gt;"&amp;E473)+COUNTIFS($D$4:$D473,1,$E$4:$E473,E473),"")</f>
        <v/>
      </c>
      <c r="M473">
        <f>IF(F473="",0,IF(COUNTIF($F$4:F473,F473)=1,1,0))</f>
        <v>0</v>
      </c>
      <c r="N473" t="str">
        <f>IF(M473=1,ROUND(SUMIF($F$4:$F$503,F473,$E$4:$E$503),2),"")</f>
        <v/>
      </c>
      <c r="O473" t="str">
        <f>IF(M473=1,COUNTIFS($M$4:$M$503,1,$N$4:$N$503,"&gt;"&amp;N473)+COUNTIFS($M$4:M473,1,$N$4:N473,N473),"")</f>
        <v/>
      </c>
      <c r="P473">
        <f>IF(G473="",0,IF(COUNTIF($G$4:G473,G473)=1,1,0))</f>
        <v>0</v>
      </c>
      <c r="Q473" t="str">
        <f>IF(P473=1,ROUND(SUMIF($G$4:$G$503,G473,$E$4:$E$503),2),"")</f>
        <v/>
      </c>
      <c r="R473" t="str">
        <f>IF(P473=1,COUNTIFS($P$4:$P$503,1,$Q$4:$Q$503,"&gt;"&amp;Q473)+COUNTIFS($P$4:P473,1,$Q$4:Q473,Q473),"")</f>
        <v/>
      </c>
      <c r="S473">
        <f>IF(H473="",0,IF(COUNTIF($H$4:H473,H473)=1,1,0))</f>
        <v>0</v>
      </c>
      <c r="T473" t="str">
        <f>IF(S473=1,ROUND(SUMIF($H$4:$H$503,H473,$E$4:$E$503),2),"")</f>
        <v/>
      </c>
      <c r="U473" t="str">
        <f>IF(S473=1,COUNTIFS($S$4:$S$503,1,$T$4:$T$503,"&gt;"&amp;T473)+COUNTIFS($S$4:S473,1,$T$4:T473,T473),"")</f>
        <v/>
      </c>
      <c r="V473" t="str">
        <f>IF(D473=1,MIN(INDEX($R$4:$R$503,MATCH(G473,$G$4:$G$503,0)),IF($AL$7&gt;9,9,999)),"")</f>
        <v/>
      </c>
      <c r="W473" s="166">
        <f>IF(OR($I473="",$E473=0),0,IF(OR($J473&lt;W$3,$I473&gt;W$2),0,IF($K473=0,IF(AND($I473&gt;=W$3,$I473&lt;=W$2),$E473,0),$E473*NETWORKDAYS(MAX($I473,W$3),MIN($J473,W$2),Data!$K$4:$K$203)/$K473)))</f>
        <v>0</v>
      </c>
      <c r="X473" s="166">
        <f>IF(OR($I473="",$E473=0),0,IF(OR($J473&lt;X$3,$I473&gt;X$2),0,IF($K473=0,IF(AND($I473&gt;=X$3,$I473&lt;=X$2),$E473,0),$E473*NETWORKDAYS(MAX($I473,X$3),MIN($J473,X$2),Data!$K$4:$K$203)/$K473)))</f>
        <v>0</v>
      </c>
      <c r="Y473" s="166">
        <f>IF(OR($I473="",$E473=0),0,IF(OR($J473&lt;Y$3,$I473&gt;Y$2),0,IF($K473=0,IF(AND($I473&gt;=Y$3,$I473&lt;=Y$2),$E473,0),$E473*NETWORKDAYS(MAX($I473,Y$3),MIN($J473,Y$2),Data!$K$4:$K$203)/$K473)))</f>
        <v>0</v>
      </c>
      <c r="Z473" s="166">
        <f>IF(OR($I473="",$E473=0),0,IF(OR($J473&lt;Z$3,$I473&gt;Z$2),0,IF($K473=0,IF(AND($I473&gt;=Z$3,$I473&lt;=Z$2),$E473,0),$E473*NETWORKDAYS(MAX($I473,Z$3),MIN($J473,Z$2),Data!$K$4:$K$203)/$K473)))</f>
        <v>0</v>
      </c>
      <c r="AA473" s="166">
        <f>IF(OR($I473="",$E473=0),0,IF(OR($J473&lt;AA$3,$I473&gt;AA$2),0,IF($K473=0,IF(AND($I473&gt;=AA$3,$I473&lt;=AA$2),$E473,0),$E473*NETWORKDAYS(MAX($I473,AA$3),MIN($J473,AA$2),Data!$K$4:$K$203)/$K473)))</f>
        <v>0</v>
      </c>
      <c r="AB473" s="166">
        <f>IF(OR($I473="",$E473=0),0,IF(OR($J473&lt;AB$3,$I473&gt;AB$2),0,IF($K473=0,IF(AND($I473&gt;=AB$3,$I473&lt;=AB$2),$E473,0),$E473*NETWORKDAYS(MAX($I473,AB$3),MIN($J473,AB$2),Data!$K$4:$K$203)/$K473)))</f>
        <v>0</v>
      </c>
      <c r="AC473" s="166">
        <f>IF(OR($I473="",$E473=0),0,IF(OR($J473&lt;AC$3,$I473&gt;AC$2),0,IF($K473=0,IF(AND($I473&gt;=AC$3,$I473&lt;=AC$2),$E473,0),$E473*NETWORKDAYS(MAX($I473,AC$3),MIN($J473,AC$2),Data!$K$4:$K$203)/$K473)))</f>
        <v>0</v>
      </c>
      <c r="AD473" s="166">
        <f>IF(OR($I473="",$E473=0),0,IF(OR($J473&lt;AD$3,$I473&gt;AD$2),0,IF($K473=0,IF(AND($I473&gt;=AD$3,$I473&lt;=AD$2),$E473,0),$E473*NETWORKDAYS(MAX($I473,AD$3),MIN($J473,AD$2),Data!$K$4:$K$203)/$K473)))</f>
        <v>0</v>
      </c>
      <c r="AE473" s="166">
        <f>IF(OR($I473="",$E473=0),0,IF(OR($J473&lt;AE$3,$I473&gt;AE$2),0,IF($K473=0,IF(AND($I473&gt;=AE$3,$I473&lt;=AE$2),$E473,0),$E473*NETWORKDAYS(MAX($I473,AE$3),MIN($J473,AE$2),Data!$K$4:$K$203)/$K473)))</f>
        <v>0</v>
      </c>
      <c r="AF473" s="166">
        <f>IF(OR($I473="",$E473=0),0,IF(OR($J473&lt;AF$3,$I473&gt;AF$2),0,IF($K473=0,IF(AND($I473&gt;=AF$3,$I473&lt;=AF$2),$E473,0),$E473*NETWORKDAYS(MAX($I473,AF$3),MIN($J473,AF$2),Data!$K$4:$K$203)/$K473)))</f>
        <v>0</v>
      </c>
      <c r="AG473" s="166">
        <f>IF(OR($I473="",$E473=0),0,IF(OR($J473&lt;AG$3,$I473&gt;AG$2),0,IF($K473=0,IF(AND($I473&gt;=AG$3,$I473&lt;=AG$2),$E473,0),$E473*NETWORKDAYS(MAX($I473,AG$3),MIN($J473,AG$2),Data!$K$4:$K$203)/$K473)))</f>
        <v>0</v>
      </c>
      <c r="AH473" s="166">
        <f>IF(OR($I473="",$E473=0),0,IF(OR($J473&lt;AH$3,$I473&gt;AH$2),0,IF($K473=0,IF(AND($I473&gt;=AH$3,$I473&lt;=AH$2),$E473,0),$E473*NETWORKDAYS(MAX($I473,AH$3),MIN($J473,AH$2),Data!$K$4:$K$203)/$K473)))</f>
        <v>0</v>
      </c>
      <c r="AI473" s="166">
        <f>SUM(W473:AH473)</f>
        <v>0</v>
      </c>
      <c r="BZ473" t="str">
        <f>IF(D473=1,IF(TRIM(INDEX(Charge!$K:$K,ROW()))&lt;&gt;"",TRIM(INDEX(Charge!$K:$K,ROW())),IF(TRIM(INDEX(Charge!$L:$L,ROW()))&lt;&gt;"",TRIM(INDEX(Charge!$L:$L,ROW())),"(non affecté)")),"")</f>
        <v/>
      </c>
      <c r="CA473" t="str">
        <f>IF(AND($CD$4&lt;&gt;"",BZ473=$CD$4),COUNTIFS($BZ$4:$BZ$503,$CD$4,$L$4:$L$503,"&lt;"&amp;L473)+1,"")</f>
        <v/>
      </c>
      <c r="EM473" t="str">
        <f>IF(D473=1,IF(TRIM(INDEX(Charge!$K:$K,ROW()))&lt;&gt;"","Interne",IF(TRIM(INDEX(Charge!$L:$L,ROW()))&lt;&gt;"","Externe","Non affecté")),"")</f>
        <v/>
      </c>
      <c r="EN473" t="str">
        <f>IF(D473=1,LEFT(SUBSTITUTE(SUBSTITUTE(SUBSTITUTE(TRIM(SUBSTITUTE(INDEX(Charge!$B:$B,ROW()),CHAR(160)," "))&amp;" | "&amp;TRIM(SUBSTITUTE(INDEX(Charge!$C:$C,ROW()),CHAR(160)," "))&amp;" | "&amp;TRIM(SUBSTITUTE(INDEX(Charge!$D:$D,ROW()),CHAR(160)," ")),"~","-"),"*","+"),"?","!"),240),"")</f>
        <v/>
      </c>
      <c r="EO473">
        <f>IF(EN473="",0,IF(COUNTIF($EN$4:EN473,EN473)=1,1,0))</f>
        <v>0</v>
      </c>
      <c r="EP473" s="166" t="str">
        <f>IF(EO473=1,ROUND(SUMIF($EN$4:$EN$503,EN473,$E$4:$E$503),2),"")</f>
        <v/>
      </c>
      <c r="EQ473" t="str">
        <f>IF(EO473=1,COUNTIFS($EO$4:$EO$503,1,$EP$4:$EP$503,"&gt;"&amp;EP473)+COUNTIFS($EO$4:EO473,1,$EP$4:EP473,EP473),"")</f>
        <v/>
      </c>
      <c r="ER473" t="str">
        <f>IF(EO473=1,COUNTIFS($EN$4:$EN$503,EN473,$EM$4:$EM$503,"Interne",$FE$4:$FE$503,1),"")</f>
        <v/>
      </c>
      <c r="ES473" t="str">
        <f>IF(EO473=1,COUNTIFS($EN$4:$EN$503,EN473,$EM$4:$EM$503,"Externe",$FE$4:$FE$503,1),"")</f>
        <v/>
      </c>
      <c r="ET473" t="str">
        <f>IF(EO473=1,IF(ER473+ES473=0,"à affecter",IF(ER473=0,ES473&amp;" ext.",(ER473+ES473)&amp;IF(ES473&gt;0," dont "&amp;ES473&amp;" ext.",""))&amp;IF(COUNTIFS($EN$4:$EN$503,EN473,$EM$4:$EM$503,"Non affecté")&gt;0," + à affecter","")),"")</f>
        <v/>
      </c>
      <c r="EU473" s="170" t="str">
        <f>IF(EO473=1,IF(EP473&gt;0,SUMPRODUCT(($EN$4:$EN$503=EN473)*$E$4:$E$503*$C$4:$C$503)/EP473,AVERAGEIF($EN$4:$EN$503,EN473,$C$4:$C$503)),"")</f>
        <v/>
      </c>
      <c r="EV473" s="165">
        <f>IF(ISNUMBER(I473),I473,2958465)</f>
        <v>2958465.0</v>
      </c>
      <c r="EW473" s="165" t="str">
        <f>IF(EO473=1,SUMPRODUCT(MIN(($EN$4:$EN$503=EN473)*$EV$4:$EV$503+($EN$4:$EN$503&lt;&gt;EN473)*2958465)),"")</f>
        <v/>
      </c>
      <c r="EX473" s="165">
        <f>IF(AND(D473=1,ISNUMBER(INDEX(Charge!$F:$F,ROW()))),INDEX(Charge!$F:$F,ROW()),0)</f>
        <v>0.0</v>
      </c>
      <c r="EY473" s="165" t="str">
        <f>IF(EO473=1,SUMPRODUCT(MAX(($EN$4:$EN$503=EN473)*$EX$4:$EX$503)),"")</f>
        <v/>
      </c>
      <c r="FD473">
        <f>IF(AND(B473=1,TRIM(INDEX(Charge!$K:$K,ROW()))&lt;&gt;"",TRIM(INDEX(Charge!$L:$L,ROW()))&lt;&gt;""),1,0)</f>
        <v>0</v>
      </c>
      <c r="FE473">
        <f>IF(OR(EN473="",BZ473="(non affecté)"),0,IF(COUNTIFS($EN$4:EN473,EN473,$BZ$4:BZ473,BZ473)=1,1,0))</f>
        <v>0</v>
      </c>
    </row>
    <row r="474">
      <c r="A474">
        <f>ROW()</f>
        <v>474</v>
      </c>
      <c r="B474">
        <f>IF(TRIM(INDEX(Charge!$B:$B,ROW()))&lt;&gt;"",1,0)</f>
        <v>0</v>
      </c>
      <c r="C474">
        <f>IF(B474=1,MIN(1,MAX(0,N(INDEX(Charge!$O:$O,ROW())))),0)</f>
        <v>0</v>
      </c>
      <c r="D474">
        <f>IF(B474=1,IF(OR(p_Perimetre="Tous les projets",C474&lt;1),1,0),0)</f>
        <v>0</v>
      </c>
      <c r="E474">
        <f>IF(D474=1,MAX(0,N(INDEX(Charge!$M:$M,ROW()))),0)</f>
        <v>0</v>
      </c>
      <c r="F474" t="str">
        <f>IF(D474=1,IF(TRIM(INDEX(Charge!$A:$A,ROW()))="","(non renseigné)",TRIM(INDEX(Charge!$A:$A,ROW()))),"")</f>
        <v/>
      </c>
      <c r="G474" t="str">
        <f>IF(D474=1,TRIM(INDEX(Charge!$B:$B,ROW())),"")</f>
        <v/>
      </c>
      <c r="H474" t="str">
        <f>IF(D474=1,IF(TRIM(INDEX(Charge!$E:$E,ROW()))="","(non renseigné)",TRIM(INDEX(Charge!$E:$E,ROW()))),"")</f>
        <v/>
      </c>
      <c r="I474" s="165" t="str">
        <f>IF(AND(D474=1,ISNUMBER(INDEX(Charge!$N:$N,ROW()))),INDEX(Charge!$N:$N,ROW()),"")</f>
        <v/>
      </c>
      <c r="J474" s="165" t="str">
        <f>IF(I474="","",IF(AND(p_Repartition="Lissée jusqu'à la date de besoin",ISNUMBER(INDEX(Charge!$F:$F,ROW()))),IF(INDEX(Charge!$F:$F,ROW())&gt;=I474,INDEX(Charge!$F:$F,ROW()),I474),I474))</f>
        <v/>
      </c>
      <c r="K474" t="str">
        <f>IF(I474="","",NETWORKDAYS(I474,J474,Data!$K$4:$K$203))</f>
        <v/>
      </c>
      <c r="L474" t="str">
        <f>IF(D474=1,COUNTIFS($D$4:$D$503,1,$E$4:$E$503,"&gt;"&amp;E474)+COUNTIFS($D$4:$D474,1,$E$4:$E474,E474),"")</f>
        <v/>
      </c>
      <c r="M474">
        <f>IF(F474="",0,IF(COUNTIF($F$4:F474,F474)=1,1,0))</f>
        <v>0</v>
      </c>
      <c r="N474" t="str">
        <f>IF(M474=1,ROUND(SUMIF($F$4:$F$503,F474,$E$4:$E$503),2),"")</f>
        <v/>
      </c>
      <c r="O474" t="str">
        <f>IF(M474=1,COUNTIFS($M$4:$M$503,1,$N$4:$N$503,"&gt;"&amp;N474)+COUNTIFS($M$4:M474,1,$N$4:N474,N474),"")</f>
        <v/>
      </c>
      <c r="P474">
        <f>IF(G474="",0,IF(COUNTIF($G$4:G474,G474)=1,1,0))</f>
        <v>0</v>
      </c>
      <c r="Q474" t="str">
        <f>IF(P474=1,ROUND(SUMIF($G$4:$G$503,G474,$E$4:$E$503),2),"")</f>
        <v/>
      </c>
      <c r="R474" t="str">
        <f>IF(P474=1,COUNTIFS($P$4:$P$503,1,$Q$4:$Q$503,"&gt;"&amp;Q474)+COUNTIFS($P$4:P474,1,$Q$4:Q474,Q474),"")</f>
        <v/>
      </c>
      <c r="S474">
        <f>IF(H474="",0,IF(COUNTIF($H$4:H474,H474)=1,1,0))</f>
        <v>0</v>
      </c>
      <c r="T474" t="str">
        <f>IF(S474=1,ROUND(SUMIF($H$4:$H$503,H474,$E$4:$E$503),2),"")</f>
        <v/>
      </c>
      <c r="U474" t="str">
        <f>IF(S474=1,COUNTIFS($S$4:$S$503,1,$T$4:$T$503,"&gt;"&amp;T474)+COUNTIFS($S$4:S474,1,$T$4:T474,T474),"")</f>
        <v/>
      </c>
      <c r="V474" t="str">
        <f>IF(D474=1,MIN(INDEX($R$4:$R$503,MATCH(G474,$G$4:$G$503,0)),IF($AL$7&gt;9,9,999)),"")</f>
        <v/>
      </c>
      <c r="W474" s="166">
        <f>IF(OR($I474="",$E474=0),0,IF(OR($J474&lt;W$3,$I474&gt;W$2),0,IF($K474=0,IF(AND($I474&gt;=W$3,$I474&lt;=W$2),$E474,0),$E474*NETWORKDAYS(MAX($I474,W$3),MIN($J474,W$2),Data!$K$4:$K$203)/$K474)))</f>
        <v>0</v>
      </c>
      <c r="X474" s="166">
        <f>IF(OR($I474="",$E474=0),0,IF(OR($J474&lt;X$3,$I474&gt;X$2),0,IF($K474=0,IF(AND($I474&gt;=X$3,$I474&lt;=X$2),$E474,0),$E474*NETWORKDAYS(MAX($I474,X$3),MIN($J474,X$2),Data!$K$4:$K$203)/$K474)))</f>
        <v>0</v>
      </c>
      <c r="Y474" s="166">
        <f>IF(OR($I474="",$E474=0),0,IF(OR($J474&lt;Y$3,$I474&gt;Y$2),0,IF($K474=0,IF(AND($I474&gt;=Y$3,$I474&lt;=Y$2),$E474,0),$E474*NETWORKDAYS(MAX($I474,Y$3),MIN($J474,Y$2),Data!$K$4:$K$203)/$K474)))</f>
        <v>0</v>
      </c>
      <c r="Z474" s="166">
        <f>IF(OR($I474="",$E474=0),0,IF(OR($J474&lt;Z$3,$I474&gt;Z$2),0,IF($K474=0,IF(AND($I474&gt;=Z$3,$I474&lt;=Z$2),$E474,0),$E474*NETWORKDAYS(MAX($I474,Z$3),MIN($J474,Z$2),Data!$K$4:$K$203)/$K474)))</f>
        <v>0</v>
      </c>
      <c r="AA474" s="166">
        <f>IF(OR($I474="",$E474=0),0,IF(OR($J474&lt;AA$3,$I474&gt;AA$2),0,IF($K474=0,IF(AND($I474&gt;=AA$3,$I474&lt;=AA$2),$E474,0),$E474*NETWORKDAYS(MAX($I474,AA$3),MIN($J474,AA$2),Data!$K$4:$K$203)/$K474)))</f>
        <v>0</v>
      </c>
      <c r="AB474" s="166">
        <f>IF(OR($I474="",$E474=0),0,IF(OR($J474&lt;AB$3,$I474&gt;AB$2),0,IF($K474=0,IF(AND($I474&gt;=AB$3,$I474&lt;=AB$2),$E474,0),$E474*NETWORKDAYS(MAX($I474,AB$3),MIN($J474,AB$2),Data!$K$4:$K$203)/$K474)))</f>
        <v>0</v>
      </c>
      <c r="AC474" s="166">
        <f>IF(OR($I474="",$E474=0),0,IF(OR($J474&lt;AC$3,$I474&gt;AC$2),0,IF($K474=0,IF(AND($I474&gt;=AC$3,$I474&lt;=AC$2),$E474,0),$E474*NETWORKDAYS(MAX($I474,AC$3),MIN($J474,AC$2),Data!$K$4:$K$203)/$K474)))</f>
        <v>0</v>
      </c>
      <c r="AD474" s="166">
        <f>IF(OR($I474="",$E474=0),0,IF(OR($J474&lt;AD$3,$I474&gt;AD$2),0,IF($K474=0,IF(AND($I474&gt;=AD$3,$I474&lt;=AD$2),$E474,0),$E474*NETWORKDAYS(MAX($I474,AD$3),MIN($J474,AD$2),Data!$K$4:$K$203)/$K474)))</f>
        <v>0</v>
      </c>
      <c r="AE474" s="166">
        <f>IF(OR($I474="",$E474=0),0,IF(OR($J474&lt;AE$3,$I474&gt;AE$2),0,IF($K474=0,IF(AND($I474&gt;=AE$3,$I474&lt;=AE$2),$E474,0),$E474*NETWORKDAYS(MAX($I474,AE$3),MIN($J474,AE$2),Data!$K$4:$K$203)/$K474)))</f>
        <v>0</v>
      </c>
      <c r="AF474" s="166">
        <f>IF(OR($I474="",$E474=0),0,IF(OR($J474&lt;AF$3,$I474&gt;AF$2),0,IF($K474=0,IF(AND($I474&gt;=AF$3,$I474&lt;=AF$2),$E474,0),$E474*NETWORKDAYS(MAX($I474,AF$3),MIN($J474,AF$2),Data!$K$4:$K$203)/$K474)))</f>
        <v>0</v>
      </c>
      <c r="AG474" s="166">
        <f>IF(OR($I474="",$E474=0),0,IF(OR($J474&lt;AG$3,$I474&gt;AG$2),0,IF($K474=0,IF(AND($I474&gt;=AG$3,$I474&lt;=AG$2),$E474,0),$E474*NETWORKDAYS(MAX($I474,AG$3),MIN($J474,AG$2),Data!$K$4:$K$203)/$K474)))</f>
        <v>0</v>
      </c>
      <c r="AH474" s="166">
        <f>IF(OR($I474="",$E474=0),0,IF(OR($J474&lt;AH$3,$I474&gt;AH$2),0,IF($K474=0,IF(AND($I474&gt;=AH$3,$I474&lt;=AH$2),$E474,0),$E474*NETWORKDAYS(MAX($I474,AH$3),MIN($J474,AH$2),Data!$K$4:$K$203)/$K474)))</f>
        <v>0</v>
      </c>
      <c r="AI474" s="166">
        <f>SUM(W474:AH474)</f>
        <v>0</v>
      </c>
      <c r="BZ474" t="str">
        <f>IF(D474=1,IF(TRIM(INDEX(Charge!$K:$K,ROW()))&lt;&gt;"",TRIM(INDEX(Charge!$K:$K,ROW())),IF(TRIM(INDEX(Charge!$L:$L,ROW()))&lt;&gt;"",TRIM(INDEX(Charge!$L:$L,ROW())),"(non affecté)")),"")</f>
        <v/>
      </c>
      <c r="CA474" t="str">
        <f>IF(AND($CD$4&lt;&gt;"",BZ474=$CD$4),COUNTIFS($BZ$4:$BZ$503,$CD$4,$L$4:$L$503,"&lt;"&amp;L474)+1,"")</f>
        <v/>
      </c>
      <c r="EM474" t="str">
        <f>IF(D474=1,IF(TRIM(INDEX(Charge!$K:$K,ROW()))&lt;&gt;"","Interne",IF(TRIM(INDEX(Charge!$L:$L,ROW()))&lt;&gt;"","Externe","Non affecté")),"")</f>
        <v/>
      </c>
      <c r="EN474" t="str">
        <f>IF(D474=1,LEFT(SUBSTITUTE(SUBSTITUTE(SUBSTITUTE(TRIM(SUBSTITUTE(INDEX(Charge!$B:$B,ROW()),CHAR(160)," "))&amp;" | "&amp;TRIM(SUBSTITUTE(INDEX(Charge!$C:$C,ROW()),CHAR(160)," "))&amp;" | "&amp;TRIM(SUBSTITUTE(INDEX(Charge!$D:$D,ROW()),CHAR(160)," ")),"~","-"),"*","+"),"?","!"),240),"")</f>
        <v/>
      </c>
      <c r="EO474">
        <f>IF(EN474="",0,IF(COUNTIF($EN$4:EN474,EN474)=1,1,0))</f>
        <v>0</v>
      </c>
      <c r="EP474" s="166" t="str">
        <f>IF(EO474=1,ROUND(SUMIF($EN$4:$EN$503,EN474,$E$4:$E$503),2),"")</f>
        <v/>
      </c>
      <c r="EQ474" t="str">
        <f>IF(EO474=1,COUNTIFS($EO$4:$EO$503,1,$EP$4:$EP$503,"&gt;"&amp;EP474)+COUNTIFS($EO$4:EO474,1,$EP$4:EP474,EP474),"")</f>
        <v/>
      </c>
      <c r="ER474" t="str">
        <f>IF(EO474=1,COUNTIFS($EN$4:$EN$503,EN474,$EM$4:$EM$503,"Interne",$FE$4:$FE$503,1),"")</f>
        <v/>
      </c>
      <c r="ES474" t="str">
        <f>IF(EO474=1,COUNTIFS($EN$4:$EN$503,EN474,$EM$4:$EM$503,"Externe",$FE$4:$FE$503,1),"")</f>
        <v/>
      </c>
      <c r="ET474" t="str">
        <f>IF(EO474=1,IF(ER474+ES474=0,"à affecter",IF(ER474=0,ES474&amp;" ext.",(ER474+ES474)&amp;IF(ES474&gt;0," dont "&amp;ES474&amp;" ext.",""))&amp;IF(COUNTIFS($EN$4:$EN$503,EN474,$EM$4:$EM$503,"Non affecté")&gt;0," + à affecter","")),"")</f>
        <v/>
      </c>
      <c r="EU474" s="170" t="str">
        <f>IF(EO474=1,IF(EP474&gt;0,SUMPRODUCT(($EN$4:$EN$503=EN474)*$E$4:$E$503*$C$4:$C$503)/EP474,AVERAGEIF($EN$4:$EN$503,EN474,$C$4:$C$503)),"")</f>
        <v/>
      </c>
      <c r="EV474" s="165">
        <f>IF(ISNUMBER(I474),I474,2958465)</f>
        <v>2958465.0</v>
      </c>
      <c r="EW474" s="165" t="str">
        <f>IF(EO474=1,SUMPRODUCT(MIN(($EN$4:$EN$503=EN474)*$EV$4:$EV$503+($EN$4:$EN$503&lt;&gt;EN474)*2958465)),"")</f>
        <v/>
      </c>
      <c r="EX474" s="165">
        <f>IF(AND(D474=1,ISNUMBER(INDEX(Charge!$F:$F,ROW()))),INDEX(Charge!$F:$F,ROW()),0)</f>
        <v>0.0</v>
      </c>
      <c r="EY474" s="165" t="str">
        <f>IF(EO474=1,SUMPRODUCT(MAX(($EN$4:$EN$503=EN474)*$EX$4:$EX$503)),"")</f>
        <v/>
      </c>
      <c r="FD474">
        <f>IF(AND(B474=1,TRIM(INDEX(Charge!$K:$K,ROW()))&lt;&gt;"",TRIM(INDEX(Charge!$L:$L,ROW()))&lt;&gt;""),1,0)</f>
        <v>0</v>
      </c>
      <c r="FE474">
        <f>IF(OR(EN474="",BZ474="(non affecté)"),0,IF(COUNTIFS($EN$4:EN474,EN474,$BZ$4:BZ474,BZ474)=1,1,0))</f>
        <v>0</v>
      </c>
    </row>
    <row r="475">
      <c r="A475">
        <f>ROW()</f>
        <v>475</v>
      </c>
      <c r="B475">
        <f>IF(TRIM(INDEX(Charge!$B:$B,ROW()))&lt;&gt;"",1,0)</f>
        <v>0</v>
      </c>
      <c r="C475">
        <f>IF(B475=1,MIN(1,MAX(0,N(INDEX(Charge!$O:$O,ROW())))),0)</f>
        <v>0</v>
      </c>
      <c r="D475">
        <f>IF(B475=1,IF(OR(p_Perimetre="Tous les projets",C475&lt;1),1,0),0)</f>
        <v>0</v>
      </c>
      <c r="E475">
        <f>IF(D475=1,MAX(0,N(INDEX(Charge!$M:$M,ROW()))),0)</f>
        <v>0</v>
      </c>
      <c r="F475" t="str">
        <f>IF(D475=1,IF(TRIM(INDEX(Charge!$A:$A,ROW()))="","(non renseigné)",TRIM(INDEX(Charge!$A:$A,ROW()))),"")</f>
        <v/>
      </c>
      <c r="G475" t="str">
        <f>IF(D475=1,TRIM(INDEX(Charge!$B:$B,ROW())),"")</f>
        <v/>
      </c>
      <c r="H475" t="str">
        <f>IF(D475=1,IF(TRIM(INDEX(Charge!$E:$E,ROW()))="","(non renseigné)",TRIM(INDEX(Charge!$E:$E,ROW()))),"")</f>
        <v/>
      </c>
      <c r="I475" s="165" t="str">
        <f>IF(AND(D475=1,ISNUMBER(INDEX(Charge!$N:$N,ROW()))),INDEX(Charge!$N:$N,ROW()),"")</f>
        <v/>
      </c>
      <c r="J475" s="165" t="str">
        <f>IF(I475="","",IF(AND(p_Repartition="Lissée jusqu'à la date de besoin",ISNUMBER(INDEX(Charge!$F:$F,ROW()))),IF(INDEX(Charge!$F:$F,ROW())&gt;=I475,INDEX(Charge!$F:$F,ROW()),I475),I475))</f>
        <v/>
      </c>
      <c r="K475" t="str">
        <f>IF(I475="","",NETWORKDAYS(I475,J475,Data!$K$4:$K$203))</f>
        <v/>
      </c>
      <c r="L475" t="str">
        <f>IF(D475=1,COUNTIFS($D$4:$D$503,1,$E$4:$E$503,"&gt;"&amp;E475)+COUNTIFS($D$4:$D475,1,$E$4:$E475,E475),"")</f>
        <v/>
      </c>
      <c r="M475">
        <f>IF(F475="",0,IF(COUNTIF($F$4:F475,F475)=1,1,0))</f>
        <v>0</v>
      </c>
      <c r="N475" t="str">
        <f>IF(M475=1,ROUND(SUMIF($F$4:$F$503,F475,$E$4:$E$503),2),"")</f>
        <v/>
      </c>
      <c r="O475" t="str">
        <f>IF(M475=1,COUNTIFS($M$4:$M$503,1,$N$4:$N$503,"&gt;"&amp;N475)+COUNTIFS($M$4:M475,1,$N$4:N475,N475),"")</f>
        <v/>
      </c>
      <c r="P475">
        <f>IF(G475="",0,IF(COUNTIF($G$4:G475,G475)=1,1,0))</f>
        <v>0</v>
      </c>
      <c r="Q475" t="str">
        <f>IF(P475=1,ROUND(SUMIF($G$4:$G$503,G475,$E$4:$E$503),2),"")</f>
        <v/>
      </c>
      <c r="R475" t="str">
        <f>IF(P475=1,COUNTIFS($P$4:$P$503,1,$Q$4:$Q$503,"&gt;"&amp;Q475)+COUNTIFS($P$4:P475,1,$Q$4:Q475,Q475),"")</f>
        <v/>
      </c>
      <c r="S475">
        <f>IF(H475="",0,IF(COUNTIF($H$4:H475,H475)=1,1,0))</f>
        <v>0</v>
      </c>
      <c r="T475" t="str">
        <f>IF(S475=1,ROUND(SUMIF($H$4:$H$503,H475,$E$4:$E$503),2),"")</f>
        <v/>
      </c>
      <c r="U475" t="str">
        <f>IF(S475=1,COUNTIFS($S$4:$S$503,1,$T$4:$T$503,"&gt;"&amp;T475)+COUNTIFS($S$4:S475,1,$T$4:T475,T475),"")</f>
        <v/>
      </c>
      <c r="V475" t="str">
        <f>IF(D475=1,MIN(INDEX($R$4:$R$503,MATCH(G475,$G$4:$G$503,0)),IF($AL$7&gt;9,9,999)),"")</f>
        <v/>
      </c>
      <c r="W475" s="166">
        <f>IF(OR($I475="",$E475=0),0,IF(OR($J475&lt;W$3,$I475&gt;W$2),0,IF($K475=0,IF(AND($I475&gt;=W$3,$I475&lt;=W$2),$E475,0),$E475*NETWORKDAYS(MAX($I475,W$3),MIN($J475,W$2),Data!$K$4:$K$203)/$K475)))</f>
        <v>0</v>
      </c>
      <c r="X475" s="166">
        <f>IF(OR($I475="",$E475=0),0,IF(OR($J475&lt;X$3,$I475&gt;X$2),0,IF($K475=0,IF(AND($I475&gt;=X$3,$I475&lt;=X$2),$E475,0),$E475*NETWORKDAYS(MAX($I475,X$3),MIN($J475,X$2),Data!$K$4:$K$203)/$K475)))</f>
        <v>0</v>
      </c>
      <c r="Y475" s="166">
        <f>IF(OR($I475="",$E475=0),0,IF(OR($J475&lt;Y$3,$I475&gt;Y$2),0,IF($K475=0,IF(AND($I475&gt;=Y$3,$I475&lt;=Y$2),$E475,0),$E475*NETWORKDAYS(MAX($I475,Y$3),MIN($J475,Y$2),Data!$K$4:$K$203)/$K475)))</f>
        <v>0</v>
      </c>
      <c r="Z475" s="166">
        <f>IF(OR($I475="",$E475=0),0,IF(OR($J475&lt;Z$3,$I475&gt;Z$2),0,IF($K475=0,IF(AND($I475&gt;=Z$3,$I475&lt;=Z$2),$E475,0),$E475*NETWORKDAYS(MAX($I475,Z$3),MIN($J475,Z$2),Data!$K$4:$K$203)/$K475)))</f>
        <v>0</v>
      </c>
      <c r="AA475" s="166">
        <f>IF(OR($I475="",$E475=0),0,IF(OR($J475&lt;AA$3,$I475&gt;AA$2),0,IF($K475=0,IF(AND($I475&gt;=AA$3,$I475&lt;=AA$2),$E475,0),$E475*NETWORKDAYS(MAX($I475,AA$3),MIN($J475,AA$2),Data!$K$4:$K$203)/$K475)))</f>
        <v>0</v>
      </c>
      <c r="AB475" s="166">
        <f>IF(OR($I475="",$E475=0),0,IF(OR($J475&lt;AB$3,$I475&gt;AB$2),0,IF($K475=0,IF(AND($I475&gt;=AB$3,$I475&lt;=AB$2),$E475,0),$E475*NETWORKDAYS(MAX($I475,AB$3),MIN($J475,AB$2),Data!$K$4:$K$203)/$K475)))</f>
        <v>0</v>
      </c>
      <c r="AC475" s="166">
        <f>IF(OR($I475="",$E475=0),0,IF(OR($J475&lt;AC$3,$I475&gt;AC$2),0,IF($K475=0,IF(AND($I475&gt;=AC$3,$I475&lt;=AC$2),$E475,0),$E475*NETWORKDAYS(MAX($I475,AC$3),MIN($J475,AC$2),Data!$K$4:$K$203)/$K475)))</f>
        <v>0</v>
      </c>
      <c r="AD475" s="166">
        <f>IF(OR($I475="",$E475=0),0,IF(OR($J475&lt;AD$3,$I475&gt;AD$2),0,IF($K475=0,IF(AND($I475&gt;=AD$3,$I475&lt;=AD$2),$E475,0),$E475*NETWORKDAYS(MAX($I475,AD$3),MIN($J475,AD$2),Data!$K$4:$K$203)/$K475)))</f>
        <v>0</v>
      </c>
      <c r="AE475" s="166">
        <f>IF(OR($I475="",$E475=0),0,IF(OR($J475&lt;AE$3,$I475&gt;AE$2),0,IF($K475=0,IF(AND($I475&gt;=AE$3,$I475&lt;=AE$2),$E475,0),$E475*NETWORKDAYS(MAX($I475,AE$3),MIN($J475,AE$2),Data!$K$4:$K$203)/$K475)))</f>
        <v>0</v>
      </c>
      <c r="AF475" s="166">
        <f>IF(OR($I475="",$E475=0),0,IF(OR($J475&lt;AF$3,$I475&gt;AF$2),0,IF($K475=0,IF(AND($I475&gt;=AF$3,$I475&lt;=AF$2),$E475,0),$E475*NETWORKDAYS(MAX($I475,AF$3),MIN($J475,AF$2),Data!$K$4:$K$203)/$K475)))</f>
        <v>0</v>
      </c>
      <c r="AG475" s="166">
        <f>IF(OR($I475="",$E475=0),0,IF(OR($J475&lt;AG$3,$I475&gt;AG$2),0,IF($K475=0,IF(AND($I475&gt;=AG$3,$I475&lt;=AG$2),$E475,0),$E475*NETWORKDAYS(MAX($I475,AG$3),MIN($J475,AG$2),Data!$K$4:$K$203)/$K475)))</f>
        <v>0</v>
      </c>
      <c r="AH475" s="166">
        <f>IF(OR($I475="",$E475=0),0,IF(OR($J475&lt;AH$3,$I475&gt;AH$2),0,IF($K475=0,IF(AND($I475&gt;=AH$3,$I475&lt;=AH$2),$E475,0),$E475*NETWORKDAYS(MAX($I475,AH$3),MIN($J475,AH$2),Data!$K$4:$K$203)/$K475)))</f>
        <v>0</v>
      </c>
      <c r="AI475" s="166">
        <f>SUM(W475:AH475)</f>
        <v>0</v>
      </c>
      <c r="BZ475" t="str">
        <f>IF(D475=1,IF(TRIM(INDEX(Charge!$K:$K,ROW()))&lt;&gt;"",TRIM(INDEX(Charge!$K:$K,ROW())),IF(TRIM(INDEX(Charge!$L:$L,ROW()))&lt;&gt;"",TRIM(INDEX(Charge!$L:$L,ROW())),"(non affecté)")),"")</f>
        <v/>
      </c>
      <c r="CA475" t="str">
        <f>IF(AND($CD$4&lt;&gt;"",BZ475=$CD$4),COUNTIFS($BZ$4:$BZ$503,$CD$4,$L$4:$L$503,"&lt;"&amp;L475)+1,"")</f>
        <v/>
      </c>
      <c r="EM475" t="str">
        <f>IF(D475=1,IF(TRIM(INDEX(Charge!$K:$K,ROW()))&lt;&gt;"","Interne",IF(TRIM(INDEX(Charge!$L:$L,ROW()))&lt;&gt;"","Externe","Non affecté")),"")</f>
        <v/>
      </c>
      <c r="EN475" t="str">
        <f>IF(D475=1,LEFT(SUBSTITUTE(SUBSTITUTE(SUBSTITUTE(TRIM(SUBSTITUTE(INDEX(Charge!$B:$B,ROW()),CHAR(160)," "))&amp;" | "&amp;TRIM(SUBSTITUTE(INDEX(Charge!$C:$C,ROW()),CHAR(160)," "))&amp;" | "&amp;TRIM(SUBSTITUTE(INDEX(Charge!$D:$D,ROW()),CHAR(160)," ")),"~","-"),"*","+"),"?","!"),240),"")</f>
        <v/>
      </c>
      <c r="EO475">
        <f>IF(EN475="",0,IF(COUNTIF($EN$4:EN475,EN475)=1,1,0))</f>
        <v>0</v>
      </c>
      <c r="EP475" s="166" t="str">
        <f>IF(EO475=1,ROUND(SUMIF($EN$4:$EN$503,EN475,$E$4:$E$503),2),"")</f>
        <v/>
      </c>
      <c r="EQ475" t="str">
        <f>IF(EO475=1,COUNTIFS($EO$4:$EO$503,1,$EP$4:$EP$503,"&gt;"&amp;EP475)+COUNTIFS($EO$4:EO475,1,$EP$4:EP475,EP475),"")</f>
        <v/>
      </c>
      <c r="ER475" t="str">
        <f>IF(EO475=1,COUNTIFS($EN$4:$EN$503,EN475,$EM$4:$EM$503,"Interne",$FE$4:$FE$503,1),"")</f>
        <v/>
      </c>
      <c r="ES475" t="str">
        <f>IF(EO475=1,COUNTIFS($EN$4:$EN$503,EN475,$EM$4:$EM$503,"Externe",$FE$4:$FE$503,1),"")</f>
        <v/>
      </c>
      <c r="ET475" t="str">
        <f>IF(EO475=1,IF(ER475+ES475=0,"à affecter",IF(ER475=0,ES475&amp;" ext.",(ER475+ES475)&amp;IF(ES475&gt;0," dont "&amp;ES475&amp;" ext.",""))&amp;IF(COUNTIFS($EN$4:$EN$503,EN475,$EM$4:$EM$503,"Non affecté")&gt;0," + à affecter","")),"")</f>
        <v/>
      </c>
      <c r="EU475" s="170" t="str">
        <f>IF(EO475=1,IF(EP475&gt;0,SUMPRODUCT(($EN$4:$EN$503=EN475)*$E$4:$E$503*$C$4:$C$503)/EP475,AVERAGEIF($EN$4:$EN$503,EN475,$C$4:$C$503)),"")</f>
        <v/>
      </c>
      <c r="EV475" s="165">
        <f>IF(ISNUMBER(I475),I475,2958465)</f>
        <v>2958465.0</v>
      </c>
      <c r="EW475" s="165" t="str">
        <f>IF(EO475=1,SUMPRODUCT(MIN(($EN$4:$EN$503=EN475)*$EV$4:$EV$503+($EN$4:$EN$503&lt;&gt;EN475)*2958465)),"")</f>
        <v/>
      </c>
      <c r="EX475" s="165">
        <f>IF(AND(D475=1,ISNUMBER(INDEX(Charge!$F:$F,ROW()))),INDEX(Charge!$F:$F,ROW()),0)</f>
        <v>0.0</v>
      </c>
      <c r="EY475" s="165" t="str">
        <f>IF(EO475=1,SUMPRODUCT(MAX(($EN$4:$EN$503=EN475)*$EX$4:$EX$503)),"")</f>
        <v/>
      </c>
      <c r="FD475">
        <f>IF(AND(B475=1,TRIM(INDEX(Charge!$K:$K,ROW()))&lt;&gt;"",TRIM(INDEX(Charge!$L:$L,ROW()))&lt;&gt;""),1,0)</f>
        <v>0</v>
      </c>
      <c r="FE475">
        <f>IF(OR(EN475="",BZ475="(non affecté)"),0,IF(COUNTIFS($EN$4:EN475,EN475,$BZ$4:BZ475,BZ475)=1,1,0))</f>
        <v>0</v>
      </c>
    </row>
    <row r="476">
      <c r="A476">
        <f>ROW()</f>
        <v>476</v>
      </c>
      <c r="B476">
        <f>IF(TRIM(INDEX(Charge!$B:$B,ROW()))&lt;&gt;"",1,0)</f>
        <v>0</v>
      </c>
      <c r="C476">
        <f>IF(B476=1,MIN(1,MAX(0,N(INDEX(Charge!$O:$O,ROW())))),0)</f>
        <v>0</v>
      </c>
      <c r="D476">
        <f>IF(B476=1,IF(OR(p_Perimetre="Tous les projets",C476&lt;1),1,0),0)</f>
        <v>0</v>
      </c>
      <c r="E476">
        <f>IF(D476=1,MAX(0,N(INDEX(Charge!$M:$M,ROW()))),0)</f>
        <v>0</v>
      </c>
      <c r="F476" t="str">
        <f>IF(D476=1,IF(TRIM(INDEX(Charge!$A:$A,ROW()))="","(non renseigné)",TRIM(INDEX(Charge!$A:$A,ROW()))),"")</f>
        <v/>
      </c>
      <c r="G476" t="str">
        <f>IF(D476=1,TRIM(INDEX(Charge!$B:$B,ROW())),"")</f>
        <v/>
      </c>
      <c r="H476" t="str">
        <f>IF(D476=1,IF(TRIM(INDEX(Charge!$E:$E,ROW()))="","(non renseigné)",TRIM(INDEX(Charge!$E:$E,ROW()))),"")</f>
        <v/>
      </c>
      <c r="I476" s="165" t="str">
        <f>IF(AND(D476=1,ISNUMBER(INDEX(Charge!$N:$N,ROW()))),INDEX(Charge!$N:$N,ROW()),"")</f>
        <v/>
      </c>
      <c r="J476" s="165" t="str">
        <f>IF(I476="","",IF(AND(p_Repartition="Lissée jusqu'à la date de besoin",ISNUMBER(INDEX(Charge!$F:$F,ROW()))),IF(INDEX(Charge!$F:$F,ROW())&gt;=I476,INDEX(Charge!$F:$F,ROW()),I476),I476))</f>
        <v/>
      </c>
      <c r="K476" t="str">
        <f>IF(I476="","",NETWORKDAYS(I476,J476,Data!$K$4:$K$203))</f>
        <v/>
      </c>
      <c r="L476" t="str">
        <f>IF(D476=1,COUNTIFS($D$4:$D$503,1,$E$4:$E$503,"&gt;"&amp;E476)+COUNTIFS($D$4:$D476,1,$E$4:$E476,E476),"")</f>
        <v/>
      </c>
      <c r="M476">
        <f>IF(F476="",0,IF(COUNTIF($F$4:F476,F476)=1,1,0))</f>
        <v>0</v>
      </c>
      <c r="N476" t="str">
        <f>IF(M476=1,ROUND(SUMIF($F$4:$F$503,F476,$E$4:$E$503),2),"")</f>
        <v/>
      </c>
      <c r="O476" t="str">
        <f>IF(M476=1,COUNTIFS($M$4:$M$503,1,$N$4:$N$503,"&gt;"&amp;N476)+COUNTIFS($M$4:M476,1,$N$4:N476,N476),"")</f>
        <v/>
      </c>
      <c r="P476">
        <f>IF(G476="",0,IF(COUNTIF($G$4:G476,G476)=1,1,0))</f>
        <v>0</v>
      </c>
      <c r="Q476" t="str">
        <f>IF(P476=1,ROUND(SUMIF($G$4:$G$503,G476,$E$4:$E$503),2),"")</f>
        <v/>
      </c>
      <c r="R476" t="str">
        <f>IF(P476=1,COUNTIFS($P$4:$P$503,1,$Q$4:$Q$503,"&gt;"&amp;Q476)+COUNTIFS($P$4:P476,1,$Q$4:Q476,Q476),"")</f>
        <v/>
      </c>
      <c r="S476">
        <f>IF(H476="",0,IF(COUNTIF($H$4:H476,H476)=1,1,0))</f>
        <v>0</v>
      </c>
      <c r="T476" t="str">
        <f>IF(S476=1,ROUND(SUMIF($H$4:$H$503,H476,$E$4:$E$503),2),"")</f>
        <v/>
      </c>
      <c r="U476" t="str">
        <f>IF(S476=1,COUNTIFS($S$4:$S$503,1,$T$4:$T$503,"&gt;"&amp;T476)+COUNTIFS($S$4:S476,1,$T$4:T476,T476),"")</f>
        <v/>
      </c>
      <c r="V476" t="str">
        <f>IF(D476=1,MIN(INDEX($R$4:$R$503,MATCH(G476,$G$4:$G$503,0)),IF($AL$7&gt;9,9,999)),"")</f>
        <v/>
      </c>
      <c r="W476" s="166">
        <f>IF(OR($I476="",$E476=0),0,IF(OR($J476&lt;W$3,$I476&gt;W$2),0,IF($K476=0,IF(AND($I476&gt;=W$3,$I476&lt;=W$2),$E476,0),$E476*NETWORKDAYS(MAX($I476,W$3),MIN($J476,W$2),Data!$K$4:$K$203)/$K476)))</f>
        <v>0</v>
      </c>
      <c r="X476" s="166">
        <f>IF(OR($I476="",$E476=0),0,IF(OR($J476&lt;X$3,$I476&gt;X$2),0,IF($K476=0,IF(AND($I476&gt;=X$3,$I476&lt;=X$2),$E476,0),$E476*NETWORKDAYS(MAX($I476,X$3),MIN($J476,X$2),Data!$K$4:$K$203)/$K476)))</f>
        <v>0</v>
      </c>
      <c r="Y476" s="166">
        <f>IF(OR($I476="",$E476=0),0,IF(OR($J476&lt;Y$3,$I476&gt;Y$2),0,IF($K476=0,IF(AND($I476&gt;=Y$3,$I476&lt;=Y$2),$E476,0),$E476*NETWORKDAYS(MAX($I476,Y$3),MIN($J476,Y$2),Data!$K$4:$K$203)/$K476)))</f>
        <v>0</v>
      </c>
      <c r="Z476" s="166">
        <f>IF(OR($I476="",$E476=0),0,IF(OR($J476&lt;Z$3,$I476&gt;Z$2),0,IF($K476=0,IF(AND($I476&gt;=Z$3,$I476&lt;=Z$2),$E476,0),$E476*NETWORKDAYS(MAX($I476,Z$3),MIN($J476,Z$2),Data!$K$4:$K$203)/$K476)))</f>
        <v>0</v>
      </c>
      <c r="AA476" s="166">
        <f>IF(OR($I476="",$E476=0),0,IF(OR($J476&lt;AA$3,$I476&gt;AA$2),0,IF($K476=0,IF(AND($I476&gt;=AA$3,$I476&lt;=AA$2),$E476,0),$E476*NETWORKDAYS(MAX($I476,AA$3),MIN($J476,AA$2),Data!$K$4:$K$203)/$K476)))</f>
        <v>0</v>
      </c>
      <c r="AB476" s="166">
        <f>IF(OR($I476="",$E476=0),0,IF(OR($J476&lt;AB$3,$I476&gt;AB$2),0,IF($K476=0,IF(AND($I476&gt;=AB$3,$I476&lt;=AB$2),$E476,0),$E476*NETWORKDAYS(MAX($I476,AB$3),MIN($J476,AB$2),Data!$K$4:$K$203)/$K476)))</f>
        <v>0</v>
      </c>
      <c r="AC476" s="166">
        <f>IF(OR($I476="",$E476=0),0,IF(OR($J476&lt;AC$3,$I476&gt;AC$2),0,IF($K476=0,IF(AND($I476&gt;=AC$3,$I476&lt;=AC$2),$E476,0),$E476*NETWORKDAYS(MAX($I476,AC$3),MIN($J476,AC$2),Data!$K$4:$K$203)/$K476)))</f>
        <v>0</v>
      </c>
      <c r="AD476" s="166">
        <f>IF(OR($I476="",$E476=0),0,IF(OR($J476&lt;AD$3,$I476&gt;AD$2),0,IF($K476=0,IF(AND($I476&gt;=AD$3,$I476&lt;=AD$2),$E476,0),$E476*NETWORKDAYS(MAX($I476,AD$3),MIN($J476,AD$2),Data!$K$4:$K$203)/$K476)))</f>
        <v>0</v>
      </c>
      <c r="AE476" s="166">
        <f>IF(OR($I476="",$E476=0),0,IF(OR($J476&lt;AE$3,$I476&gt;AE$2),0,IF($K476=0,IF(AND($I476&gt;=AE$3,$I476&lt;=AE$2),$E476,0),$E476*NETWORKDAYS(MAX($I476,AE$3),MIN($J476,AE$2),Data!$K$4:$K$203)/$K476)))</f>
        <v>0</v>
      </c>
      <c r="AF476" s="166">
        <f>IF(OR($I476="",$E476=0),0,IF(OR($J476&lt;AF$3,$I476&gt;AF$2),0,IF($K476=0,IF(AND($I476&gt;=AF$3,$I476&lt;=AF$2),$E476,0),$E476*NETWORKDAYS(MAX($I476,AF$3),MIN($J476,AF$2),Data!$K$4:$K$203)/$K476)))</f>
        <v>0</v>
      </c>
      <c r="AG476" s="166">
        <f>IF(OR($I476="",$E476=0),0,IF(OR($J476&lt;AG$3,$I476&gt;AG$2),0,IF($K476=0,IF(AND($I476&gt;=AG$3,$I476&lt;=AG$2),$E476,0),$E476*NETWORKDAYS(MAX($I476,AG$3),MIN($J476,AG$2),Data!$K$4:$K$203)/$K476)))</f>
        <v>0</v>
      </c>
      <c r="AH476" s="166">
        <f>IF(OR($I476="",$E476=0),0,IF(OR($J476&lt;AH$3,$I476&gt;AH$2),0,IF($K476=0,IF(AND($I476&gt;=AH$3,$I476&lt;=AH$2),$E476,0),$E476*NETWORKDAYS(MAX($I476,AH$3),MIN($J476,AH$2),Data!$K$4:$K$203)/$K476)))</f>
        <v>0</v>
      </c>
      <c r="AI476" s="166">
        <f>SUM(W476:AH476)</f>
        <v>0</v>
      </c>
      <c r="BZ476" t="str">
        <f>IF(D476=1,IF(TRIM(INDEX(Charge!$K:$K,ROW()))&lt;&gt;"",TRIM(INDEX(Charge!$K:$K,ROW())),IF(TRIM(INDEX(Charge!$L:$L,ROW()))&lt;&gt;"",TRIM(INDEX(Charge!$L:$L,ROW())),"(non affecté)")),"")</f>
        <v/>
      </c>
      <c r="CA476" t="str">
        <f>IF(AND($CD$4&lt;&gt;"",BZ476=$CD$4),COUNTIFS($BZ$4:$BZ$503,$CD$4,$L$4:$L$503,"&lt;"&amp;L476)+1,"")</f>
        <v/>
      </c>
      <c r="EM476" t="str">
        <f>IF(D476=1,IF(TRIM(INDEX(Charge!$K:$K,ROW()))&lt;&gt;"","Interne",IF(TRIM(INDEX(Charge!$L:$L,ROW()))&lt;&gt;"","Externe","Non affecté")),"")</f>
        <v/>
      </c>
      <c r="EN476" t="str">
        <f>IF(D476=1,LEFT(SUBSTITUTE(SUBSTITUTE(SUBSTITUTE(TRIM(SUBSTITUTE(INDEX(Charge!$B:$B,ROW()),CHAR(160)," "))&amp;" | "&amp;TRIM(SUBSTITUTE(INDEX(Charge!$C:$C,ROW()),CHAR(160)," "))&amp;" | "&amp;TRIM(SUBSTITUTE(INDEX(Charge!$D:$D,ROW()),CHAR(160)," ")),"~","-"),"*","+"),"?","!"),240),"")</f>
        <v/>
      </c>
      <c r="EO476">
        <f>IF(EN476="",0,IF(COUNTIF($EN$4:EN476,EN476)=1,1,0))</f>
        <v>0</v>
      </c>
      <c r="EP476" s="166" t="str">
        <f>IF(EO476=1,ROUND(SUMIF($EN$4:$EN$503,EN476,$E$4:$E$503),2),"")</f>
        <v/>
      </c>
      <c r="EQ476" t="str">
        <f>IF(EO476=1,COUNTIFS($EO$4:$EO$503,1,$EP$4:$EP$503,"&gt;"&amp;EP476)+COUNTIFS($EO$4:EO476,1,$EP$4:EP476,EP476),"")</f>
        <v/>
      </c>
      <c r="ER476" t="str">
        <f>IF(EO476=1,COUNTIFS($EN$4:$EN$503,EN476,$EM$4:$EM$503,"Interne",$FE$4:$FE$503,1),"")</f>
        <v/>
      </c>
      <c r="ES476" t="str">
        <f>IF(EO476=1,COUNTIFS($EN$4:$EN$503,EN476,$EM$4:$EM$503,"Externe",$FE$4:$FE$503,1),"")</f>
        <v/>
      </c>
      <c r="ET476" t="str">
        <f>IF(EO476=1,IF(ER476+ES476=0,"à affecter",IF(ER476=0,ES476&amp;" ext.",(ER476+ES476)&amp;IF(ES476&gt;0," dont "&amp;ES476&amp;" ext.",""))&amp;IF(COUNTIFS($EN$4:$EN$503,EN476,$EM$4:$EM$503,"Non affecté")&gt;0," + à affecter","")),"")</f>
        <v/>
      </c>
      <c r="EU476" s="170" t="str">
        <f>IF(EO476=1,IF(EP476&gt;0,SUMPRODUCT(($EN$4:$EN$503=EN476)*$E$4:$E$503*$C$4:$C$503)/EP476,AVERAGEIF($EN$4:$EN$503,EN476,$C$4:$C$503)),"")</f>
        <v/>
      </c>
      <c r="EV476" s="165">
        <f>IF(ISNUMBER(I476),I476,2958465)</f>
        <v>2958465.0</v>
      </c>
      <c r="EW476" s="165" t="str">
        <f>IF(EO476=1,SUMPRODUCT(MIN(($EN$4:$EN$503=EN476)*$EV$4:$EV$503+($EN$4:$EN$503&lt;&gt;EN476)*2958465)),"")</f>
        <v/>
      </c>
      <c r="EX476" s="165">
        <f>IF(AND(D476=1,ISNUMBER(INDEX(Charge!$F:$F,ROW()))),INDEX(Charge!$F:$F,ROW()),0)</f>
        <v>0.0</v>
      </c>
      <c r="EY476" s="165" t="str">
        <f>IF(EO476=1,SUMPRODUCT(MAX(($EN$4:$EN$503=EN476)*$EX$4:$EX$503)),"")</f>
        <v/>
      </c>
      <c r="FD476">
        <f>IF(AND(B476=1,TRIM(INDEX(Charge!$K:$K,ROW()))&lt;&gt;"",TRIM(INDEX(Charge!$L:$L,ROW()))&lt;&gt;""),1,0)</f>
        <v>0</v>
      </c>
      <c r="FE476">
        <f>IF(OR(EN476="",BZ476="(non affecté)"),0,IF(COUNTIFS($EN$4:EN476,EN476,$BZ$4:BZ476,BZ476)=1,1,0))</f>
        <v>0</v>
      </c>
    </row>
    <row r="477">
      <c r="A477">
        <f>ROW()</f>
        <v>477</v>
      </c>
      <c r="B477">
        <f>IF(TRIM(INDEX(Charge!$B:$B,ROW()))&lt;&gt;"",1,0)</f>
        <v>0</v>
      </c>
      <c r="C477">
        <f>IF(B477=1,MIN(1,MAX(0,N(INDEX(Charge!$O:$O,ROW())))),0)</f>
        <v>0</v>
      </c>
      <c r="D477">
        <f>IF(B477=1,IF(OR(p_Perimetre="Tous les projets",C477&lt;1),1,0),0)</f>
        <v>0</v>
      </c>
      <c r="E477">
        <f>IF(D477=1,MAX(0,N(INDEX(Charge!$M:$M,ROW()))),0)</f>
        <v>0</v>
      </c>
      <c r="F477" t="str">
        <f>IF(D477=1,IF(TRIM(INDEX(Charge!$A:$A,ROW()))="","(non renseigné)",TRIM(INDEX(Charge!$A:$A,ROW()))),"")</f>
        <v/>
      </c>
      <c r="G477" t="str">
        <f>IF(D477=1,TRIM(INDEX(Charge!$B:$B,ROW())),"")</f>
        <v/>
      </c>
      <c r="H477" t="str">
        <f>IF(D477=1,IF(TRIM(INDEX(Charge!$E:$E,ROW()))="","(non renseigné)",TRIM(INDEX(Charge!$E:$E,ROW()))),"")</f>
        <v/>
      </c>
      <c r="I477" s="165" t="str">
        <f>IF(AND(D477=1,ISNUMBER(INDEX(Charge!$N:$N,ROW()))),INDEX(Charge!$N:$N,ROW()),"")</f>
        <v/>
      </c>
      <c r="J477" s="165" t="str">
        <f>IF(I477="","",IF(AND(p_Repartition="Lissée jusqu'à la date de besoin",ISNUMBER(INDEX(Charge!$F:$F,ROW()))),IF(INDEX(Charge!$F:$F,ROW())&gt;=I477,INDEX(Charge!$F:$F,ROW()),I477),I477))</f>
        <v/>
      </c>
      <c r="K477" t="str">
        <f>IF(I477="","",NETWORKDAYS(I477,J477,Data!$K$4:$K$203))</f>
        <v/>
      </c>
      <c r="L477" t="str">
        <f>IF(D477=1,COUNTIFS($D$4:$D$503,1,$E$4:$E$503,"&gt;"&amp;E477)+COUNTIFS($D$4:$D477,1,$E$4:$E477,E477),"")</f>
        <v/>
      </c>
      <c r="M477">
        <f>IF(F477="",0,IF(COUNTIF($F$4:F477,F477)=1,1,0))</f>
        <v>0</v>
      </c>
      <c r="N477" t="str">
        <f>IF(M477=1,ROUND(SUMIF($F$4:$F$503,F477,$E$4:$E$503),2),"")</f>
        <v/>
      </c>
      <c r="O477" t="str">
        <f>IF(M477=1,COUNTIFS($M$4:$M$503,1,$N$4:$N$503,"&gt;"&amp;N477)+COUNTIFS($M$4:M477,1,$N$4:N477,N477),"")</f>
        <v/>
      </c>
      <c r="P477">
        <f>IF(G477="",0,IF(COUNTIF($G$4:G477,G477)=1,1,0))</f>
        <v>0</v>
      </c>
      <c r="Q477" t="str">
        <f>IF(P477=1,ROUND(SUMIF($G$4:$G$503,G477,$E$4:$E$503),2),"")</f>
        <v/>
      </c>
      <c r="R477" t="str">
        <f>IF(P477=1,COUNTIFS($P$4:$P$503,1,$Q$4:$Q$503,"&gt;"&amp;Q477)+COUNTIFS($P$4:P477,1,$Q$4:Q477,Q477),"")</f>
        <v/>
      </c>
      <c r="S477">
        <f>IF(H477="",0,IF(COUNTIF($H$4:H477,H477)=1,1,0))</f>
        <v>0</v>
      </c>
      <c r="T477" t="str">
        <f>IF(S477=1,ROUND(SUMIF($H$4:$H$503,H477,$E$4:$E$503),2),"")</f>
        <v/>
      </c>
      <c r="U477" t="str">
        <f>IF(S477=1,COUNTIFS($S$4:$S$503,1,$T$4:$T$503,"&gt;"&amp;T477)+COUNTIFS($S$4:S477,1,$T$4:T477,T477),"")</f>
        <v/>
      </c>
      <c r="V477" t="str">
        <f>IF(D477=1,MIN(INDEX($R$4:$R$503,MATCH(G477,$G$4:$G$503,0)),IF($AL$7&gt;9,9,999)),"")</f>
        <v/>
      </c>
      <c r="W477" s="166">
        <f>IF(OR($I477="",$E477=0),0,IF(OR($J477&lt;W$3,$I477&gt;W$2),0,IF($K477=0,IF(AND($I477&gt;=W$3,$I477&lt;=W$2),$E477,0),$E477*NETWORKDAYS(MAX($I477,W$3),MIN($J477,W$2),Data!$K$4:$K$203)/$K477)))</f>
        <v>0</v>
      </c>
      <c r="X477" s="166">
        <f>IF(OR($I477="",$E477=0),0,IF(OR($J477&lt;X$3,$I477&gt;X$2),0,IF($K477=0,IF(AND($I477&gt;=X$3,$I477&lt;=X$2),$E477,0),$E477*NETWORKDAYS(MAX($I477,X$3),MIN($J477,X$2),Data!$K$4:$K$203)/$K477)))</f>
        <v>0</v>
      </c>
      <c r="Y477" s="166">
        <f>IF(OR($I477="",$E477=0),0,IF(OR($J477&lt;Y$3,$I477&gt;Y$2),0,IF($K477=0,IF(AND($I477&gt;=Y$3,$I477&lt;=Y$2),$E477,0),$E477*NETWORKDAYS(MAX($I477,Y$3),MIN($J477,Y$2),Data!$K$4:$K$203)/$K477)))</f>
        <v>0</v>
      </c>
      <c r="Z477" s="166">
        <f>IF(OR($I477="",$E477=0),0,IF(OR($J477&lt;Z$3,$I477&gt;Z$2),0,IF($K477=0,IF(AND($I477&gt;=Z$3,$I477&lt;=Z$2),$E477,0),$E477*NETWORKDAYS(MAX($I477,Z$3),MIN($J477,Z$2),Data!$K$4:$K$203)/$K477)))</f>
        <v>0</v>
      </c>
      <c r="AA477" s="166">
        <f>IF(OR($I477="",$E477=0),0,IF(OR($J477&lt;AA$3,$I477&gt;AA$2),0,IF($K477=0,IF(AND($I477&gt;=AA$3,$I477&lt;=AA$2),$E477,0),$E477*NETWORKDAYS(MAX($I477,AA$3),MIN($J477,AA$2),Data!$K$4:$K$203)/$K477)))</f>
        <v>0</v>
      </c>
      <c r="AB477" s="166">
        <f>IF(OR($I477="",$E477=0),0,IF(OR($J477&lt;AB$3,$I477&gt;AB$2),0,IF($K477=0,IF(AND($I477&gt;=AB$3,$I477&lt;=AB$2),$E477,0),$E477*NETWORKDAYS(MAX($I477,AB$3),MIN($J477,AB$2),Data!$K$4:$K$203)/$K477)))</f>
        <v>0</v>
      </c>
      <c r="AC477" s="166">
        <f>IF(OR($I477="",$E477=0),0,IF(OR($J477&lt;AC$3,$I477&gt;AC$2),0,IF($K477=0,IF(AND($I477&gt;=AC$3,$I477&lt;=AC$2),$E477,0),$E477*NETWORKDAYS(MAX($I477,AC$3),MIN($J477,AC$2),Data!$K$4:$K$203)/$K477)))</f>
        <v>0</v>
      </c>
      <c r="AD477" s="166">
        <f>IF(OR($I477="",$E477=0),0,IF(OR($J477&lt;AD$3,$I477&gt;AD$2),0,IF($K477=0,IF(AND($I477&gt;=AD$3,$I477&lt;=AD$2),$E477,0),$E477*NETWORKDAYS(MAX($I477,AD$3),MIN($J477,AD$2),Data!$K$4:$K$203)/$K477)))</f>
        <v>0</v>
      </c>
      <c r="AE477" s="166">
        <f>IF(OR($I477="",$E477=0),0,IF(OR($J477&lt;AE$3,$I477&gt;AE$2),0,IF($K477=0,IF(AND($I477&gt;=AE$3,$I477&lt;=AE$2),$E477,0),$E477*NETWORKDAYS(MAX($I477,AE$3),MIN($J477,AE$2),Data!$K$4:$K$203)/$K477)))</f>
        <v>0</v>
      </c>
      <c r="AF477" s="166">
        <f>IF(OR($I477="",$E477=0),0,IF(OR($J477&lt;AF$3,$I477&gt;AF$2),0,IF($K477=0,IF(AND($I477&gt;=AF$3,$I477&lt;=AF$2),$E477,0),$E477*NETWORKDAYS(MAX($I477,AF$3),MIN($J477,AF$2),Data!$K$4:$K$203)/$K477)))</f>
        <v>0</v>
      </c>
      <c r="AG477" s="166">
        <f>IF(OR($I477="",$E477=0),0,IF(OR($J477&lt;AG$3,$I477&gt;AG$2),0,IF($K477=0,IF(AND($I477&gt;=AG$3,$I477&lt;=AG$2),$E477,0),$E477*NETWORKDAYS(MAX($I477,AG$3),MIN($J477,AG$2),Data!$K$4:$K$203)/$K477)))</f>
        <v>0</v>
      </c>
      <c r="AH477" s="166">
        <f>IF(OR($I477="",$E477=0),0,IF(OR($J477&lt;AH$3,$I477&gt;AH$2),0,IF($K477=0,IF(AND($I477&gt;=AH$3,$I477&lt;=AH$2),$E477,0),$E477*NETWORKDAYS(MAX($I477,AH$3),MIN($J477,AH$2),Data!$K$4:$K$203)/$K477)))</f>
        <v>0</v>
      </c>
      <c r="AI477" s="166">
        <f>SUM(W477:AH477)</f>
        <v>0</v>
      </c>
      <c r="BZ477" t="str">
        <f>IF(D477=1,IF(TRIM(INDEX(Charge!$K:$K,ROW()))&lt;&gt;"",TRIM(INDEX(Charge!$K:$K,ROW())),IF(TRIM(INDEX(Charge!$L:$L,ROW()))&lt;&gt;"",TRIM(INDEX(Charge!$L:$L,ROW())),"(non affecté)")),"")</f>
        <v/>
      </c>
      <c r="CA477" t="str">
        <f>IF(AND($CD$4&lt;&gt;"",BZ477=$CD$4),COUNTIFS($BZ$4:$BZ$503,$CD$4,$L$4:$L$503,"&lt;"&amp;L477)+1,"")</f>
        <v/>
      </c>
      <c r="EM477" t="str">
        <f>IF(D477=1,IF(TRIM(INDEX(Charge!$K:$K,ROW()))&lt;&gt;"","Interne",IF(TRIM(INDEX(Charge!$L:$L,ROW()))&lt;&gt;"","Externe","Non affecté")),"")</f>
        <v/>
      </c>
      <c r="EN477" t="str">
        <f>IF(D477=1,LEFT(SUBSTITUTE(SUBSTITUTE(SUBSTITUTE(TRIM(SUBSTITUTE(INDEX(Charge!$B:$B,ROW()),CHAR(160)," "))&amp;" | "&amp;TRIM(SUBSTITUTE(INDEX(Charge!$C:$C,ROW()),CHAR(160)," "))&amp;" | "&amp;TRIM(SUBSTITUTE(INDEX(Charge!$D:$D,ROW()),CHAR(160)," ")),"~","-"),"*","+"),"?","!"),240),"")</f>
        <v/>
      </c>
      <c r="EO477">
        <f>IF(EN477="",0,IF(COUNTIF($EN$4:EN477,EN477)=1,1,0))</f>
        <v>0</v>
      </c>
      <c r="EP477" s="166" t="str">
        <f>IF(EO477=1,ROUND(SUMIF($EN$4:$EN$503,EN477,$E$4:$E$503),2),"")</f>
        <v/>
      </c>
      <c r="EQ477" t="str">
        <f>IF(EO477=1,COUNTIFS($EO$4:$EO$503,1,$EP$4:$EP$503,"&gt;"&amp;EP477)+COUNTIFS($EO$4:EO477,1,$EP$4:EP477,EP477),"")</f>
        <v/>
      </c>
      <c r="ER477" t="str">
        <f>IF(EO477=1,COUNTIFS($EN$4:$EN$503,EN477,$EM$4:$EM$503,"Interne",$FE$4:$FE$503,1),"")</f>
        <v/>
      </c>
      <c r="ES477" t="str">
        <f>IF(EO477=1,COUNTIFS($EN$4:$EN$503,EN477,$EM$4:$EM$503,"Externe",$FE$4:$FE$503,1),"")</f>
        <v/>
      </c>
      <c r="ET477" t="str">
        <f>IF(EO477=1,IF(ER477+ES477=0,"à affecter",IF(ER477=0,ES477&amp;" ext.",(ER477+ES477)&amp;IF(ES477&gt;0," dont "&amp;ES477&amp;" ext.",""))&amp;IF(COUNTIFS($EN$4:$EN$503,EN477,$EM$4:$EM$503,"Non affecté")&gt;0," + à affecter","")),"")</f>
        <v/>
      </c>
      <c r="EU477" s="170" t="str">
        <f>IF(EO477=1,IF(EP477&gt;0,SUMPRODUCT(($EN$4:$EN$503=EN477)*$E$4:$E$503*$C$4:$C$503)/EP477,AVERAGEIF($EN$4:$EN$503,EN477,$C$4:$C$503)),"")</f>
        <v/>
      </c>
      <c r="EV477" s="165">
        <f>IF(ISNUMBER(I477),I477,2958465)</f>
        <v>2958465.0</v>
      </c>
      <c r="EW477" s="165" t="str">
        <f>IF(EO477=1,SUMPRODUCT(MIN(($EN$4:$EN$503=EN477)*$EV$4:$EV$503+($EN$4:$EN$503&lt;&gt;EN477)*2958465)),"")</f>
        <v/>
      </c>
      <c r="EX477" s="165">
        <f>IF(AND(D477=1,ISNUMBER(INDEX(Charge!$F:$F,ROW()))),INDEX(Charge!$F:$F,ROW()),0)</f>
        <v>0.0</v>
      </c>
      <c r="EY477" s="165" t="str">
        <f>IF(EO477=1,SUMPRODUCT(MAX(($EN$4:$EN$503=EN477)*$EX$4:$EX$503)),"")</f>
        <v/>
      </c>
      <c r="FD477">
        <f>IF(AND(B477=1,TRIM(INDEX(Charge!$K:$K,ROW()))&lt;&gt;"",TRIM(INDEX(Charge!$L:$L,ROW()))&lt;&gt;""),1,0)</f>
        <v>0</v>
      </c>
      <c r="FE477">
        <f>IF(OR(EN477="",BZ477="(non affecté)"),0,IF(COUNTIFS($EN$4:EN477,EN477,$BZ$4:BZ477,BZ477)=1,1,0))</f>
        <v>0</v>
      </c>
    </row>
    <row r="478">
      <c r="A478">
        <f>ROW()</f>
        <v>478</v>
      </c>
      <c r="B478">
        <f>IF(TRIM(INDEX(Charge!$B:$B,ROW()))&lt;&gt;"",1,0)</f>
        <v>0</v>
      </c>
      <c r="C478">
        <f>IF(B478=1,MIN(1,MAX(0,N(INDEX(Charge!$O:$O,ROW())))),0)</f>
        <v>0</v>
      </c>
      <c r="D478">
        <f>IF(B478=1,IF(OR(p_Perimetre="Tous les projets",C478&lt;1),1,0),0)</f>
        <v>0</v>
      </c>
      <c r="E478">
        <f>IF(D478=1,MAX(0,N(INDEX(Charge!$M:$M,ROW()))),0)</f>
        <v>0</v>
      </c>
      <c r="F478" t="str">
        <f>IF(D478=1,IF(TRIM(INDEX(Charge!$A:$A,ROW()))="","(non renseigné)",TRIM(INDEX(Charge!$A:$A,ROW()))),"")</f>
        <v/>
      </c>
      <c r="G478" t="str">
        <f>IF(D478=1,TRIM(INDEX(Charge!$B:$B,ROW())),"")</f>
        <v/>
      </c>
      <c r="H478" t="str">
        <f>IF(D478=1,IF(TRIM(INDEX(Charge!$E:$E,ROW()))="","(non renseigné)",TRIM(INDEX(Charge!$E:$E,ROW()))),"")</f>
        <v/>
      </c>
      <c r="I478" s="165" t="str">
        <f>IF(AND(D478=1,ISNUMBER(INDEX(Charge!$N:$N,ROW()))),INDEX(Charge!$N:$N,ROW()),"")</f>
        <v/>
      </c>
      <c r="J478" s="165" t="str">
        <f>IF(I478="","",IF(AND(p_Repartition="Lissée jusqu'à la date de besoin",ISNUMBER(INDEX(Charge!$F:$F,ROW()))),IF(INDEX(Charge!$F:$F,ROW())&gt;=I478,INDEX(Charge!$F:$F,ROW()),I478),I478))</f>
        <v/>
      </c>
      <c r="K478" t="str">
        <f>IF(I478="","",NETWORKDAYS(I478,J478,Data!$K$4:$K$203))</f>
        <v/>
      </c>
      <c r="L478" t="str">
        <f>IF(D478=1,COUNTIFS($D$4:$D$503,1,$E$4:$E$503,"&gt;"&amp;E478)+COUNTIFS($D$4:$D478,1,$E$4:$E478,E478),"")</f>
        <v/>
      </c>
      <c r="M478">
        <f>IF(F478="",0,IF(COUNTIF($F$4:F478,F478)=1,1,0))</f>
        <v>0</v>
      </c>
      <c r="N478" t="str">
        <f>IF(M478=1,ROUND(SUMIF($F$4:$F$503,F478,$E$4:$E$503),2),"")</f>
        <v/>
      </c>
      <c r="O478" t="str">
        <f>IF(M478=1,COUNTIFS($M$4:$M$503,1,$N$4:$N$503,"&gt;"&amp;N478)+COUNTIFS($M$4:M478,1,$N$4:N478,N478),"")</f>
        <v/>
      </c>
      <c r="P478">
        <f>IF(G478="",0,IF(COUNTIF($G$4:G478,G478)=1,1,0))</f>
        <v>0</v>
      </c>
      <c r="Q478" t="str">
        <f>IF(P478=1,ROUND(SUMIF($G$4:$G$503,G478,$E$4:$E$503),2),"")</f>
        <v/>
      </c>
      <c r="R478" t="str">
        <f>IF(P478=1,COUNTIFS($P$4:$P$503,1,$Q$4:$Q$503,"&gt;"&amp;Q478)+COUNTIFS($P$4:P478,1,$Q$4:Q478,Q478),"")</f>
        <v/>
      </c>
      <c r="S478">
        <f>IF(H478="",0,IF(COUNTIF($H$4:H478,H478)=1,1,0))</f>
        <v>0</v>
      </c>
      <c r="T478" t="str">
        <f>IF(S478=1,ROUND(SUMIF($H$4:$H$503,H478,$E$4:$E$503),2),"")</f>
        <v/>
      </c>
      <c r="U478" t="str">
        <f>IF(S478=1,COUNTIFS($S$4:$S$503,1,$T$4:$T$503,"&gt;"&amp;T478)+COUNTIFS($S$4:S478,1,$T$4:T478,T478),"")</f>
        <v/>
      </c>
      <c r="V478" t="str">
        <f>IF(D478=1,MIN(INDEX($R$4:$R$503,MATCH(G478,$G$4:$G$503,0)),IF($AL$7&gt;9,9,999)),"")</f>
        <v/>
      </c>
      <c r="W478" s="166">
        <f>IF(OR($I478="",$E478=0),0,IF(OR($J478&lt;W$3,$I478&gt;W$2),0,IF($K478=0,IF(AND($I478&gt;=W$3,$I478&lt;=W$2),$E478,0),$E478*NETWORKDAYS(MAX($I478,W$3),MIN($J478,W$2),Data!$K$4:$K$203)/$K478)))</f>
        <v>0</v>
      </c>
      <c r="X478" s="166">
        <f>IF(OR($I478="",$E478=0),0,IF(OR($J478&lt;X$3,$I478&gt;X$2),0,IF($K478=0,IF(AND($I478&gt;=X$3,$I478&lt;=X$2),$E478,0),$E478*NETWORKDAYS(MAX($I478,X$3),MIN($J478,X$2),Data!$K$4:$K$203)/$K478)))</f>
        <v>0</v>
      </c>
      <c r="Y478" s="166">
        <f>IF(OR($I478="",$E478=0),0,IF(OR($J478&lt;Y$3,$I478&gt;Y$2),0,IF($K478=0,IF(AND($I478&gt;=Y$3,$I478&lt;=Y$2),$E478,0),$E478*NETWORKDAYS(MAX($I478,Y$3),MIN($J478,Y$2),Data!$K$4:$K$203)/$K478)))</f>
        <v>0</v>
      </c>
      <c r="Z478" s="166">
        <f>IF(OR($I478="",$E478=0),0,IF(OR($J478&lt;Z$3,$I478&gt;Z$2),0,IF($K478=0,IF(AND($I478&gt;=Z$3,$I478&lt;=Z$2),$E478,0),$E478*NETWORKDAYS(MAX($I478,Z$3),MIN($J478,Z$2),Data!$K$4:$K$203)/$K478)))</f>
        <v>0</v>
      </c>
      <c r="AA478" s="166">
        <f>IF(OR($I478="",$E478=0),0,IF(OR($J478&lt;AA$3,$I478&gt;AA$2),0,IF($K478=0,IF(AND($I478&gt;=AA$3,$I478&lt;=AA$2),$E478,0),$E478*NETWORKDAYS(MAX($I478,AA$3),MIN($J478,AA$2),Data!$K$4:$K$203)/$K478)))</f>
        <v>0</v>
      </c>
      <c r="AB478" s="166">
        <f>IF(OR($I478="",$E478=0),0,IF(OR($J478&lt;AB$3,$I478&gt;AB$2),0,IF($K478=0,IF(AND($I478&gt;=AB$3,$I478&lt;=AB$2),$E478,0),$E478*NETWORKDAYS(MAX($I478,AB$3),MIN($J478,AB$2),Data!$K$4:$K$203)/$K478)))</f>
        <v>0</v>
      </c>
      <c r="AC478" s="166">
        <f>IF(OR($I478="",$E478=0),0,IF(OR($J478&lt;AC$3,$I478&gt;AC$2),0,IF($K478=0,IF(AND($I478&gt;=AC$3,$I478&lt;=AC$2),$E478,0),$E478*NETWORKDAYS(MAX($I478,AC$3),MIN($J478,AC$2),Data!$K$4:$K$203)/$K478)))</f>
        <v>0</v>
      </c>
      <c r="AD478" s="166">
        <f>IF(OR($I478="",$E478=0),0,IF(OR($J478&lt;AD$3,$I478&gt;AD$2),0,IF($K478=0,IF(AND($I478&gt;=AD$3,$I478&lt;=AD$2),$E478,0),$E478*NETWORKDAYS(MAX($I478,AD$3),MIN($J478,AD$2),Data!$K$4:$K$203)/$K478)))</f>
        <v>0</v>
      </c>
      <c r="AE478" s="166">
        <f>IF(OR($I478="",$E478=0),0,IF(OR($J478&lt;AE$3,$I478&gt;AE$2),0,IF($K478=0,IF(AND($I478&gt;=AE$3,$I478&lt;=AE$2),$E478,0),$E478*NETWORKDAYS(MAX($I478,AE$3),MIN($J478,AE$2),Data!$K$4:$K$203)/$K478)))</f>
        <v>0</v>
      </c>
      <c r="AF478" s="166">
        <f>IF(OR($I478="",$E478=0),0,IF(OR($J478&lt;AF$3,$I478&gt;AF$2),0,IF($K478=0,IF(AND($I478&gt;=AF$3,$I478&lt;=AF$2),$E478,0),$E478*NETWORKDAYS(MAX($I478,AF$3),MIN($J478,AF$2),Data!$K$4:$K$203)/$K478)))</f>
        <v>0</v>
      </c>
      <c r="AG478" s="166">
        <f>IF(OR($I478="",$E478=0),0,IF(OR($J478&lt;AG$3,$I478&gt;AG$2),0,IF($K478=0,IF(AND($I478&gt;=AG$3,$I478&lt;=AG$2),$E478,0),$E478*NETWORKDAYS(MAX($I478,AG$3),MIN($J478,AG$2),Data!$K$4:$K$203)/$K478)))</f>
        <v>0</v>
      </c>
      <c r="AH478" s="166">
        <f>IF(OR($I478="",$E478=0),0,IF(OR($J478&lt;AH$3,$I478&gt;AH$2),0,IF($K478=0,IF(AND($I478&gt;=AH$3,$I478&lt;=AH$2),$E478,0),$E478*NETWORKDAYS(MAX($I478,AH$3),MIN($J478,AH$2),Data!$K$4:$K$203)/$K478)))</f>
        <v>0</v>
      </c>
      <c r="AI478" s="166">
        <f>SUM(W478:AH478)</f>
        <v>0</v>
      </c>
      <c r="BZ478" t="str">
        <f>IF(D478=1,IF(TRIM(INDEX(Charge!$K:$K,ROW()))&lt;&gt;"",TRIM(INDEX(Charge!$K:$K,ROW())),IF(TRIM(INDEX(Charge!$L:$L,ROW()))&lt;&gt;"",TRIM(INDEX(Charge!$L:$L,ROW())),"(non affecté)")),"")</f>
        <v/>
      </c>
      <c r="CA478" t="str">
        <f>IF(AND($CD$4&lt;&gt;"",BZ478=$CD$4),COUNTIFS($BZ$4:$BZ$503,$CD$4,$L$4:$L$503,"&lt;"&amp;L478)+1,"")</f>
        <v/>
      </c>
      <c r="EM478" t="str">
        <f>IF(D478=1,IF(TRIM(INDEX(Charge!$K:$K,ROW()))&lt;&gt;"","Interne",IF(TRIM(INDEX(Charge!$L:$L,ROW()))&lt;&gt;"","Externe","Non affecté")),"")</f>
        <v/>
      </c>
      <c r="EN478" t="str">
        <f>IF(D478=1,LEFT(SUBSTITUTE(SUBSTITUTE(SUBSTITUTE(TRIM(SUBSTITUTE(INDEX(Charge!$B:$B,ROW()),CHAR(160)," "))&amp;" | "&amp;TRIM(SUBSTITUTE(INDEX(Charge!$C:$C,ROW()),CHAR(160)," "))&amp;" | "&amp;TRIM(SUBSTITUTE(INDEX(Charge!$D:$D,ROW()),CHAR(160)," ")),"~","-"),"*","+"),"?","!"),240),"")</f>
        <v/>
      </c>
      <c r="EO478">
        <f>IF(EN478="",0,IF(COUNTIF($EN$4:EN478,EN478)=1,1,0))</f>
        <v>0</v>
      </c>
      <c r="EP478" s="166" t="str">
        <f>IF(EO478=1,ROUND(SUMIF($EN$4:$EN$503,EN478,$E$4:$E$503),2),"")</f>
        <v/>
      </c>
      <c r="EQ478" t="str">
        <f>IF(EO478=1,COUNTIFS($EO$4:$EO$503,1,$EP$4:$EP$503,"&gt;"&amp;EP478)+COUNTIFS($EO$4:EO478,1,$EP$4:EP478,EP478),"")</f>
        <v/>
      </c>
      <c r="ER478" t="str">
        <f>IF(EO478=1,COUNTIFS($EN$4:$EN$503,EN478,$EM$4:$EM$503,"Interne",$FE$4:$FE$503,1),"")</f>
        <v/>
      </c>
      <c r="ES478" t="str">
        <f>IF(EO478=1,COUNTIFS($EN$4:$EN$503,EN478,$EM$4:$EM$503,"Externe",$FE$4:$FE$503,1),"")</f>
        <v/>
      </c>
      <c r="ET478" t="str">
        <f>IF(EO478=1,IF(ER478+ES478=0,"à affecter",IF(ER478=0,ES478&amp;" ext.",(ER478+ES478)&amp;IF(ES478&gt;0," dont "&amp;ES478&amp;" ext.",""))&amp;IF(COUNTIFS($EN$4:$EN$503,EN478,$EM$4:$EM$503,"Non affecté")&gt;0," + à affecter","")),"")</f>
        <v/>
      </c>
      <c r="EU478" s="170" t="str">
        <f>IF(EO478=1,IF(EP478&gt;0,SUMPRODUCT(($EN$4:$EN$503=EN478)*$E$4:$E$503*$C$4:$C$503)/EP478,AVERAGEIF($EN$4:$EN$503,EN478,$C$4:$C$503)),"")</f>
        <v/>
      </c>
      <c r="EV478" s="165">
        <f>IF(ISNUMBER(I478),I478,2958465)</f>
        <v>2958465.0</v>
      </c>
      <c r="EW478" s="165" t="str">
        <f>IF(EO478=1,SUMPRODUCT(MIN(($EN$4:$EN$503=EN478)*$EV$4:$EV$503+($EN$4:$EN$503&lt;&gt;EN478)*2958465)),"")</f>
        <v/>
      </c>
      <c r="EX478" s="165">
        <f>IF(AND(D478=1,ISNUMBER(INDEX(Charge!$F:$F,ROW()))),INDEX(Charge!$F:$F,ROW()),0)</f>
        <v>0.0</v>
      </c>
      <c r="EY478" s="165" t="str">
        <f>IF(EO478=1,SUMPRODUCT(MAX(($EN$4:$EN$503=EN478)*$EX$4:$EX$503)),"")</f>
        <v/>
      </c>
      <c r="FD478">
        <f>IF(AND(B478=1,TRIM(INDEX(Charge!$K:$K,ROW()))&lt;&gt;"",TRIM(INDEX(Charge!$L:$L,ROW()))&lt;&gt;""),1,0)</f>
        <v>0</v>
      </c>
      <c r="FE478">
        <f>IF(OR(EN478="",BZ478="(non affecté)"),0,IF(COUNTIFS($EN$4:EN478,EN478,$BZ$4:BZ478,BZ478)=1,1,0))</f>
        <v>0</v>
      </c>
    </row>
    <row r="479">
      <c r="A479">
        <f>ROW()</f>
        <v>479</v>
      </c>
      <c r="B479">
        <f>IF(TRIM(INDEX(Charge!$B:$B,ROW()))&lt;&gt;"",1,0)</f>
        <v>0</v>
      </c>
      <c r="C479">
        <f>IF(B479=1,MIN(1,MAX(0,N(INDEX(Charge!$O:$O,ROW())))),0)</f>
        <v>0</v>
      </c>
      <c r="D479">
        <f>IF(B479=1,IF(OR(p_Perimetre="Tous les projets",C479&lt;1),1,0),0)</f>
        <v>0</v>
      </c>
      <c r="E479">
        <f>IF(D479=1,MAX(0,N(INDEX(Charge!$M:$M,ROW()))),0)</f>
        <v>0</v>
      </c>
      <c r="F479" t="str">
        <f>IF(D479=1,IF(TRIM(INDEX(Charge!$A:$A,ROW()))="","(non renseigné)",TRIM(INDEX(Charge!$A:$A,ROW()))),"")</f>
        <v/>
      </c>
      <c r="G479" t="str">
        <f>IF(D479=1,TRIM(INDEX(Charge!$B:$B,ROW())),"")</f>
        <v/>
      </c>
      <c r="H479" t="str">
        <f>IF(D479=1,IF(TRIM(INDEX(Charge!$E:$E,ROW()))="","(non renseigné)",TRIM(INDEX(Charge!$E:$E,ROW()))),"")</f>
        <v/>
      </c>
      <c r="I479" s="165" t="str">
        <f>IF(AND(D479=1,ISNUMBER(INDEX(Charge!$N:$N,ROW()))),INDEX(Charge!$N:$N,ROW()),"")</f>
        <v/>
      </c>
      <c r="J479" s="165" t="str">
        <f>IF(I479="","",IF(AND(p_Repartition="Lissée jusqu'à la date de besoin",ISNUMBER(INDEX(Charge!$F:$F,ROW()))),IF(INDEX(Charge!$F:$F,ROW())&gt;=I479,INDEX(Charge!$F:$F,ROW()),I479),I479))</f>
        <v/>
      </c>
      <c r="K479" t="str">
        <f>IF(I479="","",NETWORKDAYS(I479,J479,Data!$K$4:$K$203))</f>
        <v/>
      </c>
      <c r="L479" t="str">
        <f>IF(D479=1,COUNTIFS($D$4:$D$503,1,$E$4:$E$503,"&gt;"&amp;E479)+COUNTIFS($D$4:$D479,1,$E$4:$E479,E479),"")</f>
        <v/>
      </c>
      <c r="M479">
        <f>IF(F479="",0,IF(COUNTIF($F$4:F479,F479)=1,1,0))</f>
        <v>0</v>
      </c>
      <c r="N479" t="str">
        <f>IF(M479=1,ROUND(SUMIF($F$4:$F$503,F479,$E$4:$E$503),2),"")</f>
        <v/>
      </c>
      <c r="O479" t="str">
        <f>IF(M479=1,COUNTIFS($M$4:$M$503,1,$N$4:$N$503,"&gt;"&amp;N479)+COUNTIFS($M$4:M479,1,$N$4:N479,N479),"")</f>
        <v/>
      </c>
      <c r="P479">
        <f>IF(G479="",0,IF(COUNTIF($G$4:G479,G479)=1,1,0))</f>
        <v>0</v>
      </c>
      <c r="Q479" t="str">
        <f>IF(P479=1,ROUND(SUMIF($G$4:$G$503,G479,$E$4:$E$503),2),"")</f>
        <v/>
      </c>
      <c r="R479" t="str">
        <f>IF(P479=1,COUNTIFS($P$4:$P$503,1,$Q$4:$Q$503,"&gt;"&amp;Q479)+COUNTIFS($P$4:P479,1,$Q$4:Q479,Q479),"")</f>
        <v/>
      </c>
      <c r="S479">
        <f>IF(H479="",0,IF(COUNTIF($H$4:H479,H479)=1,1,0))</f>
        <v>0</v>
      </c>
      <c r="T479" t="str">
        <f>IF(S479=1,ROUND(SUMIF($H$4:$H$503,H479,$E$4:$E$503),2),"")</f>
        <v/>
      </c>
      <c r="U479" t="str">
        <f>IF(S479=1,COUNTIFS($S$4:$S$503,1,$T$4:$T$503,"&gt;"&amp;T479)+COUNTIFS($S$4:S479,1,$T$4:T479,T479),"")</f>
        <v/>
      </c>
      <c r="V479" t="str">
        <f>IF(D479=1,MIN(INDEX($R$4:$R$503,MATCH(G479,$G$4:$G$503,0)),IF($AL$7&gt;9,9,999)),"")</f>
        <v/>
      </c>
      <c r="W479" s="166">
        <f>IF(OR($I479="",$E479=0),0,IF(OR($J479&lt;W$3,$I479&gt;W$2),0,IF($K479=0,IF(AND($I479&gt;=W$3,$I479&lt;=W$2),$E479,0),$E479*NETWORKDAYS(MAX($I479,W$3),MIN($J479,W$2),Data!$K$4:$K$203)/$K479)))</f>
        <v>0</v>
      </c>
      <c r="X479" s="166">
        <f>IF(OR($I479="",$E479=0),0,IF(OR($J479&lt;X$3,$I479&gt;X$2),0,IF($K479=0,IF(AND($I479&gt;=X$3,$I479&lt;=X$2),$E479,0),$E479*NETWORKDAYS(MAX($I479,X$3),MIN($J479,X$2),Data!$K$4:$K$203)/$K479)))</f>
        <v>0</v>
      </c>
      <c r="Y479" s="166">
        <f>IF(OR($I479="",$E479=0),0,IF(OR($J479&lt;Y$3,$I479&gt;Y$2),0,IF($K479=0,IF(AND($I479&gt;=Y$3,$I479&lt;=Y$2),$E479,0),$E479*NETWORKDAYS(MAX($I479,Y$3),MIN($J479,Y$2),Data!$K$4:$K$203)/$K479)))</f>
        <v>0</v>
      </c>
      <c r="Z479" s="166">
        <f>IF(OR($I479="",$E479=0),0,IF(OR($J479&lt;Z$3,$I479&gt;Z$2),0,IF($K479=0,IF(AND($I479&gt;=Z$3,$I479&lt;=Z$2),$E479,0),$E479*NETWORKDAYS(MAX($I479,Z$3),MIN($J479,Z$2),Data!$K$4:$K$203)/$K479)))</f>
        <v>0</v>
      </c>
      <c r="AA479" s="166">
        <f>IF(OR($I479="",$E479=0),0,IF(OR($J479&lt;AA$3,$I479&gt;AA$2),0,IF($K479=0,IF(AND($I479&gt;=AA$3,$I479&lt;=AA$2),$E479,0),$E479*NETWORKDAYS(MAX($I479,AA$3),MIN($J479,AA$2),Data!$K$4:$K$203)/$K479)))</f>
        <v>0</v>
      </c>
      <c r="AB479" s="166">
        <f>IF(OR($I479="",$E479=0),0,IF(OR($J479&lt;AB$3,$I479&gt;AB$2),0,IF($K479=0,IF(AND($I479&gt;=AB$3,$I479&lt;=AB$2),$E479,0),$E479*NETWORKDAYS(MAX($I479,AB$3),MIN($J479,AB$2),Data!$K$4:$K$203)/$K479)))</f>
        <v>0</v>
      </c>
      <c r="AC479" s="166">
        <f>IF(OR($I479="",$E479=0),0,IF(OR($J479&lt;AC$3,$I479&gt;AC$2),0,IF($K479=0,IF(AND($I479&gt;=AC$3,$I479&lt;=AC$2),$E479,0),$E479*NETWORKDAYS(MAX($I479,AC$3),MIN($J479,AC$2),Data!$K$4:$K$203)/$K479)))</f>
        <v>0</v>
      </c>
      <c r="AD479" s="166">
        <f>IF(OR($I479="",$E479=0),0,IF(OR($J479&lt;AD$3,$I479&gt;AD$2),0,IF($K479=0,IF(AND($I479&gt;=AD$3,$I479&lt;=AD$2),$E479,0),$E479*NETWORKDAYS(MAX($I479,AD$3),MIN($J479,AD$2),Data!$K$4:$K$203)/$K479)))</f>
        <v>0</v>
      </c>
      <c r="AE479" s="166">
        <f>IF(OR($I479="",$E479=0),0,IF(OR($J479&lt;AE$3,$I479&gt;AE$2),0,IF($K479=0,IF(AND($I479&gt;=AE$3,$I479&lt;=AE$2),$E479,0),$E479*NETWORKDAYS(MAX($I479,AE$3),MIN($J479,AE$2),Data!$K$4:$K$203)/$K479)))</f>
        <v>0</v>
      </c>
      <c r="AF479" s="166">
        <f>IF(OR($I479="",$E479=0),0,IF(OR($J479&lt;AF$3,$I479&gt;AF$2),0,IF($K479=0,IF(AND($I479&gt;=AF$3,$I479&lt;=AF$2),$E479,0),$E479*NETWORKDAYS(MAX($I479,AF$3),MIN($J479,AF$2),Data!$K$4:$K$203)/$K479)))</f>
        <v>0</v>
      </c>
      <c r="AG479" s="166">
        <f>IF(OR($I479="",$E479=0),0,IF(OR($J479&lt;AG$3,$I479&gt;AG$2),0,IF($K479=0,IF(AND($I479&gt;=AG$3,$I479&lt;=AG$2),$E479,0),$E479*NETWORKDAYS(MAX($I479,AG$3),MIN($J479,AG$2),Data!$K$4:$K$203)/$K479)))</f>
        <v>0</v>
      </c>
      <c r="AH479" s="166">
        <f>IF(OR($I479="",$E479=0),0,IF(OR($J479&lt;AH$3,$I479&gt;AH$2),0,IF($K479=0,IF(AND($I479&gt;=AH$3,$I479&lt;=AH$2),$E479,0),$E479*NETWORKDAYS(MAX($I479,AH$3),MIN($J479,AH$2),Data!$K$4:$K$203)/$K479)))</f>
        <v>0</v>
      </c>
      <c r="AI479" s="166">
        <f>SUM(W479:AH479)</f>
        <v>0</v>
      </c>
      <c r="BZ479" t="str">
        <f>IF(D479=1,IF(TRIM(INDEX(Charge!$K:$K,ROW()))&lt;&gt;"",TRIM(INDEX(Charge!$K:$K,ROW())),IF(TRIM(INDEX(Charge!$L:$L,ROW()))&lt;&gt;"",TRIM(INDEX(Charge!$L:$L,ROW())),"(non affecté)")),"")</f>
        <v/>
      </c>
      <c r="CA479" t="str">
        <f>IF(AND($CD$4&lt;&gt;"",BZ479=$CD$4),COUNTIFS($BZ$4:$BZ$503,$CD$4,$L$4:$L$503,"&lt;"&amp;L479)+1,"")</f>
        <v/>
      </c>
      <c r="EM479" t="str">
        <f>IF(D479=1,IF(TRIM(INDEX(Charge!$K:$K,ROW()))&lt;&gt;"","Interne",IF(TRIM(INDEX(Charge!$L:$L,ROW()))&lt;&gt;"","Externe","Non affecté")),"")</f>
        <v/>
      </c>
      <c r="EN479" t="str">
        <f>IF(D479=1,LEFT(SUBSTITUTE(SUBSTITUTE(SUBSTITUTE(TRIM(SUBSTITUTE(INDEX(Charge!$B:$B,ROW()),CHAR(160)," "))&amp;" | "&amp;TRIM(SUBSTITUTE(INDEX(Charge!$C:$C,ROW()),CHAR(160)," "))&amp;" | "&amp;TRIM(SUBSTITUTE(INDEX(Charge!$D:$D,ROW()),CHAR(160)," ")),"~","-"),"*","+"),"?","!"),240),"")</f>
        <v/>
      </c>
      <c r="EO479">
        <f>IF(EN479="",0,IF(COUNTIF($EN$4:EN479,EN479)=1,1,0))</f>
        <v>0</v>
      </c>
      <c r="EP479" s="166" t="str">
        <f>IF(EO479=1,ROUND(SUMIF($EN$4:$EN$503,EN479,$E$4:$E$503),2),"")</f>
        <v/>
      </c>
      <c r="EQ479" t="str">
        <f>IF(EO479=1,COUNTIFS($EO$4:$EO$503,1,$EP$4:$EP$503,"&gt;"&amp;EP479)+COUNTIFS($EO$4:EO479,1,$EP$4:EP479,EP479),"")</f>
        <v/>
      </c>
      <c r="ER479" t="str">
        <f>IF(EO479=1,COUNTIFS($EN$4:$EN$503,EN479,$EM$4:$EM$503,"Interne",$FE$4:$FE$503,1),"")</f>
        <v/>
      </c>
      <c r="ES479" t="str">
        <f>IF(EO479=1,COUNTIFS($EN$4:$EN$503,EN479,$EM$4:$EM$503,"Externe",$FE$4:$FE$503,1),"")</f>
        <v/>
      </c>
      <c r="ET479" t="str">
        <f>IF(EO479=1,IF(ER479+ES479=0,"à affecter",IF(ER479=0,ES479&amp;" ext.",(ER479+ES479)&amp;IF(ES479&gt;0," dont "&amp;ES479&amp;" ext.",""))&amp;IF(COUNTIFS($EN$4:$EN$503,EN479,$EM$4:$EM$503,"Non affecté")&gt;0," + à affecter","")),"")</f>
        <v/>
      </c>
      <c r="EU479" s="170" t="str">
        <f>IF(EO479=1,IF(EP479&gt;0,SUMPRODUCT(($EN$4:$EN$503=EN479)*$E$4:$E$503*$C$4:$C$503)/EP479,AVERAGEIF($EN$4:$EN$503,EN479,$C$4:$C$503)),"")</f>
        <v/>
      </c>
      <c r="EV479" s="165">
        <f>IF(ISNUMBER(I479),I479,2958465)</f>
        <v>2958465.0</v>
      </c>
      <c r="EW479" s="165" t="str">
        <f>IF(EO479=1,SUMPRODUCT(MIN(($EN$4:$EN$503=EN479)*$EV$4:$EV$503+($EN$4:$EN$503&lt;&gt;EN479)*2958465)),"")</f>
        <v/>
      </c>
      <c r="EX479" s="165">
        <f>IF(AND(D479=1,ISNUMBER(INDEX(Charge!$F:$F,ROW()))),INDEX(Charge!$F:$F,ROW()),0)</f>
        <v>0.0</v>
      </c>
      <c r="EY479" s="165" t="str">
        <f>IF(EO479=1,SUMPRODUCT(MAX(($EN$4:$EN$503=EN479)*$EX$4:$EX$503)),"")</f>
        <v/>
      </c>
      <c r="FD479">
        <f>IF(AND(B479=1,TRIM(INDEX(Charge!$K:$K,ROW()))&lt;&gt;"",TRIM(INDEX(Charge!$L:$L,ROW()))&lt;&gt;""),1,0)</f>
        <v>0</v>
      </c>
      <c r="FE479">
        <f>IF(OR(EN479="",BZ479="(non affecté)"),0,IF(COUNTIFS($EN$4:EN479,EN479,$BZ$4:BZ479,BZ479)=1,1,0))</f>
        <v>0</v>
      </c>
    </row>
    <row r="480">
      <c r="A480">
        <f>ROW()</f>
        <v>480</v>
      </c>
      <c r="B480">
        <f>IF(TRIM(INDEX(Charge!$B:$B,ROW()))&lt;&gt;"",1,0)</f>
        <v>0</v>
      </c>
      <c r="C480">
        <f>IF(B480=1,MIN(1,MAX(0,N(INDEX(Charge!$O:$O,ROW())))),0)</f>
        <v>0</v>
      </c>
      <c r="D480">
        <f>IF(B480=1,IF(OR(p_Perimetre="Tous les projets",C480&lt;1),1,0),0)</f>
        <v>0</v>
      </c>
      <c r="E480">
        <f>IF(D480=1,MAX(0,N(INDEX(Charge!$M:$M,ROW()))),0)</f>
        <v>0</v>
      </c>
      <c r="F480" t="str">
        <f>IF(D480=1,IF(TRIM(INDEX(Charge!$A:$A,ROW()))="","(non renseigné)",TRIM(INDEX(Charge!$A:$A,ROW()))),"")</f>
        <v/>
      </c>
      <c r="G480" t="str">
        <f>IF(D480=1,TRIM(INDEX(Charge!$B:$B,ROW())),"")</f>
        <v/>
      </c>
      <c r="H480" t="str">
        <f>IF(D480=1,IF(TRIM(INDEX(Charge!$E:$E,ROW()))="","(non renseigné)",TRIM(INDEX(Charge!$E:$E,ROW()))),"")</f>
        <v/>
      </c>
      <c r="I480" s="165" t="str">
        <f>IF(AND(D480=1,ISNUMBER(INDEX(Charge!$N:$N,ROW()))),INDEX(Charge!$N:$N,ROW()),"")</f>
        <v/>
      </c>
      <c r="J480" s="165" t="str">
        <f>IF(I480="","",IF(AND(p_Repartition="Lissée jusqu'à la date de besoin",ISNUMBER(INDEX(Charge!$F:$F,ROW()))),IF(INDEX(Charge!$F:$F,ROW())&gt;=I480,INDEX(Charge!$F:$F,ROW()),I480),I480))</f>
        <v/>
      </c>
      <c r="K480" t="str">
        <f>IF(I480="","",NETWORKDAYS(I480,J480,Data!$K$4:$K$203))</f>
        <v/>
      </c>
      <c r="L480" t="str">
        <f>IF(D480=1,COUNTIFS($D$4:$D$503,1,$E$4:$E$503,"&gt;"&amp;E480)+COUNTIFS($D$4:$D480,1,$E$4:$E480,E480),"")</f>
        <v/>
      </c>
      <c r="M480">
        <f>IF(F480="",0,IF(COUNTIF($F$4:F480,F480)=1,1,0))</f>
        <v>0</v>
      </c>
      <c r="N480" t="str">
        <f>IF(M480=1,ROUND(SUMIF($F$4:$F$503,F480,$E$4:$E$503),2),"")</f>
        <v/>
      </c>
      <c r="O480" t="str">
        <f>IF(M480=1,COUNTIFS($M$4:$M$503,1,$N$4:$N$503,"&gt;"&amp;N480)+COUNTIFS($M$4:M480,1,$N$4:N480,N480),"")</f>
        <v/>
      </c>
      <c r="P480">
        <f>IF(G480="",0,IF(COUNTIF($G$4:G480,G480)=1,1,0))</f>
        <v>0</v>
      </c>
      <c r="Q480" t="str">
        <f>IF(P480=1,ROUND(SUMIF($G$4:$G$503,G480,$E$4:$E$503),2),"")</f>
        <v/>
      </c>
      <c r="R480" t="str">
        <f>IF(P480=1,COUNTIFS($P$4:$P$503,1,$Q$4:$Q$503,"&gt;"&amp;Q480)+COUNTIFS($P$4:P480,1,$Q$4:Q480,Q480),"")</f>
        <v/>
      </c>
      <c r="S480">
        <f>IF(H480="",0,IF(COUNTIF($H$4:H480,H480)=1,1,0))</f>
        <v>0</v>
      </c>
      <c r="T480" t="str">
        <f>IF(S480=1,ROUND(SUMIF($H$4:$H$503,H480,$E$4:$E$503),2),"")</f>
        <v/>
      </c>
      <c r="U480" t="str">
        <f>IF(S480=1,COUNTIFS($S$4:$S$503,1,$T$4:$T$503,"&gt;"&amp;T480)+COUNTIFS($S$4:S480,1,$T$4:T480,T480),"")</f>
        <v/>
      </c>
      <c r="V480" t="str">
        <f>IF(D480=1,MIN(INDEX($R$4:$R$503,MATCH(G480,$G$4:$G$503,0)),IF($AL$7&gt;9,9,999)),"")</f>
        <v/>
      </c>
      <c r="W480" s="166">
        <f>IF(OR($I480="",$E480=0),0,IF(OR($J480&lt;W$3,$I480&gt;W$2),0,IF($K480=0,IF(AND($I480&gt;=W$3,$I480&lt;=W$2),$E480,0),$E480*NETWORKDAYS(MAX($I480,W$3),MIN($J480,W$2),Data!$K$4:$K$203)/$K480)))</f>
        <v>0</v>
      </c>
      <c r="X480" s="166">
        <f>IF(OR($I480="",$E480=0),0,IF(OR($J480&lt;X$3,$I480&gt;X$2),0,IF($K480=0,IF(AND($I480&gt;=X$3,$I480&lt;=X$2),$E480,0),$E480*NETWORKDAYS(MAX($I480,X$3),MIN($J480,X$2),Data!$K$4:$K$203)/$K480)))</f>
        <v>0</v>
      </c>
      <c r="Y480" s="166">
        <f>IF(OR($I480="",$E480=0),0,IF(OR($J480&lt;Y$3,$I480&gt;Y$2),0,IF($K480=0,IF(AND($I480&gt;=Y$3,$I480&lt;=Y$2),$E480,0),$E480*NETWORKDAYS(MAX($I480,Y$3),MIN($J480,Y$2),Data!$K$4:$K$203)/$K480)))</f>
        <v>0</v>
      </c>
      <c r="Z480" s="166">
        <f>IF(OR($I480="",$E480=0),0,IF(OR($J480&lt;Z$3,$I480&gt;Z$2),0,IF($K480=0,IF(AND($I480&gt;=Z$3,$I480&lt;=Z$2),$E480,0),$E480*NETWORKDAYS(MAX($I480,Z$3),MIN($J480,Z$2),Data!$K$4:$K$203)/$K480)))</f>
        <v>0</v>
      </c>
      <c r="AA480" s="166">
        <f>IF(OR($I480="",$E480=0),0,IF(OR($J480&lt;AA$3,$I480&gt;AA$2),0,IF($K480=0,IF(AND($I480&gt;=AA$3,$I480&lt;=AA$2),$E480,0),$E480*NETWORKDAYS(MAX($I480,AA$3),MIN($J480,AA$2),Data!$K$4:$K$203)/$K480)))</f>
        <v>0</v>
      </c>
      <c r="AB480" s="166">
        <f>IF(OR($I480="",$E480=0),0,IF(OR($J480&lt;AB$3,$I480&gt;AB$2),0,IF($K480=0,IF(AND($I480&gt;=AB$3,$I480&lt;=AB$2),$E480,0),$E480*NETWORKDAYS(MAX($I480,AB$3),MIN($J480,AB$2),Data!$K$4:$K$203)/$K480)))</f>
        <v>0</v>
      </c>
      <c r="AC480" s="166">
        <f>IF(OR($I480="",$E480=0),0,IF(OR($J480&lt;AC$3,$I480&gt;AC$2),0,IF($K480=0,IF(AND($I480&gt;=AC$3,$I480&lt;=AC$2),$E480,0),$E480*NETWORKDAYS(MAX($I480,AC$3),MIN($J480,AC$2),Data!$K$4:$K$203)/$K480)))</f>
        <v>0</v>
      </c>
      <c r="AD480" s="166">
        <f>IF(OR($I480="",$E480=0),0,IF(OR($J480&lt;AD$3,$I480&gt;AD$2),0,IF($K480=0,IF(AND($I480&gt;=AD$3,$I480&lt;=AD$2),$E480,0),$E480*NETWORKDAYS(MAX($I480,AD$3),MIN($J480,AD$2),Data!$K$4:$K$203)/$K480)))</f>
        <v>0</v>
      </c>
      <c r="AE480" s="166">
        <f>IF(OR($I480="",$E480=0),0,IF(OR($J480&lt;AE$3,$I480&gt;AE$2),0,IF($K480=0,IF(AND($I480&gt;=AE$3,$I480&lt;=AE$2),$E480,0),$E480*NETWORKDAYS(MAX($I480,AE$3),MIN($J480,AE$2),Data!$K$4:$K$203)/$K480)))</f>
        <v>0</v>
      </c>
      <c r="AF480" s="166">
        <f>IF(OR($I480="",$E480=0),0,IF(OR($J480&lt;AF$3,$I480&gt;AF$2),0,IF($K480=0,IF(AND($I480&gt;=AF$3,$I480&lt;=AF$2),$E480,0),$E480*NETWORKDAYS(MAX($I480,AF$3),MIN($J480,AF$2),Data!$K$4:$K$203)/$K480)))</f>
        <v>0</v>
      </c>
      <c r="AG480" s="166">
        <f>IF(OR($I480="",$E480=0),0,IF(OR($J480&lt;AG$3,$I480&gt;AG$2),0,IF($K480=0,IF(AND($I480&gt;=AG$3,$I480&lt;=AG$2),$E480,0),$E480*NETWORKDAYS(MAX($I480,AG$3),MIN($J480,AG$2),Data!$K$4:$K$203)/$K480)))</f>
        <v>0</v>
      </c>
      <c r="AH480" s="166">
        <f>IF(OR($I480="",$E480=0),0,IF(OR($J480&lt;AH$3,$I480&gt;AH$2),0,IF($K480=0,IF(AND($I480&gt;=AH$3,$I480&lt;=AH$2),$E480,0),$E480*NETWORKDAYS(MAX($I480,AH$3),MIN($J480,AH$2),Data!$K$4:$K$203)/$K480)))</f>
        <v>0</v>
      </c>
      <c r="AI480" s="166">
        <f>SUM(W480:AH480)</f>
        <v>0</v>
      </c>
      <c r="BZ480" t="str">
        <f>IF(D480=1,IF(TRIM(INDEX(Charge!$K:$K,ROW()))&lt;&gt;"",TRIM(INDEX(Charge!$K:$K,ROW())),IF(TRIM(INDEX(Charge!$L:$L,ROW()))&lt;&gt;"",TRIM(INDEX(Charge!$L:$L,ROW())),"(non affecté)")),"")</f>
        <v/>
      </c>
      <c r="CA480" t="str">
        <f>IF(AND($CD$4&lt;&gt;"",BZ480=$CD$4),COUNTIFS($BZ$4:$BZ$503,$CD$4,$L$4:$L$503,"&lt;"&amp;L480)+1,"")</f>
        <v/>
      </c>
      <c r="EM480" t="str">
        <f>IF(D480=1,IF(TRIM(INDEX(Charge!$K:$K,ROW()))&lt;&gt;"","Interne",IF(TRIM(INDEX(Charge!$L:$L,ROW()))&lt;&gt;"","Externe","Non affecté")),"")</f>
        <v/>
      </c>
      <c r="EN480" t="str">
        <f>IF(D480=1,LEFT(SUBSTITUTE(SUBSTITUTE(SUBSTITUTE(TRIM(SUBSTITUTE(INDEX(Charge!$B:$B,ROW()),CHAR(160)," "))&amp;" | "&amp;TRIM(SUBSTITUTE(INDEX(Charge!$C:$C,ROW()),CHAR(160)," "))&amp;" | "&amp;TRIM(SUBSTITUTE(INDEX(Charge!$D:$D,ROW()),CHAR(160)," ")),"~","-"),"*","+"),"?","!"),240),"")</f>
        <v/>
      </c>
      <c r="EO480">
        <f>IF(EN480="",0,IF(COUNTIF($EN$4:EN480,EN480)=1,1,0))</f>
        <v>0</v>
      </c>
      <c r="EP480" s="166" t="str">
        <f>IF(EO480=1,ROUND(SUMIF($EN$4:$EN$503,EN480,$E$4:$E$503),2),"")</f>
        <v/>
      </c>
      <c r="EQ480" t="str">
        <f>IF(EO480=1,COUNTIFS($EO$4:$EO$503,1,$EP$4:$EP$503,"&gt;"&amp;EP480)+COUNTIFS($EO$4:EO480,1,$EP$4:EP480,EP480),"")</f>
        <v/>
      </c>
      <c r="ER480" t="str">
        <f>IF(EO480=1,COUNTIFS($EN$4:$EN$503,EN480,$EM$4:$EM$503,"Interne",$FE$4:$FE$503,1),"")</f>
        <v/>
      </c>
      <c r="ES480" t="str">
        <f>IF(EO480=1,COUNTIFS($EN$4:$EN$503,EN480,$EM$4:$EM$503,"Externe",$FE$4:$FE$503,1),"")</f>
        <v/>
      </c>
      <c r="ET480" t="str">
        <f>IF(EO480=1,IF(ER480+ES480=0,"à affecter",IF(ER480=0,ES480&amp;" ext.",(ER480+ES480)&amp;IF(ES480&gt;0," dont "&amp;ES480&amp;" ext.",""))&amp;IF(COUNTIFS($EN$4:$EN$503,EN480,$EM$4:$EM$503,"Non affecté")&gt;0," + à affecter","")),"")</f>
        <v/>
      </c>
      <c r="EU480" s="170" t="str">
        <f>IF(EO480=1,IF(EP480&gt;0,SUMPRODUCT(($EN$4:$EN$503=EN480)*$E$4:$E$503*$C$4:$C$503)/EP480,AVERAGEIF($EN$4:$EN$503,EN480,$C$4:$C$503)),"")</f>
        <v/>
      </c>
      <c r="EV480" s="165">
        <f>IF(ISNUMBER(I480),I480,2958465)</f>
        <v>2958465.0</v>
      </c>
      <c r="EW480" s="165" t="str">
        <f>IF(EO480=1,SUMPRODUCT(MIN(($EN$4:$EN$503=EN480)*$EV$4:$EV$503+($EN$4:$EN$503&lt;&gt;EN480)*2958465)),"")</f>
        <v/>
      </c>
      <c r="EX480" s="165">
        <f>IF(AND(D480=1,ISNUMBER(INDEX(Charge!$F:$F,ROW()))),INDEX(Charge!$F:$F,ROW()),0)</f>
        <v>0.0</v>
      </c>
      <c r="EY480" s="165" t="str">
        <f>IF(EO480=1,SUMPRODUCT(MAX(($EN$4:$EN$503=EN480)*$EX$4:$EX$503)),"")</f>
        <v/>
      </c>
      <c r="FD480">
        <f>IF(AND(B480=1,TRIM(INDEX(Charge!$K:$K,ROW()))&lt;&gt;"",TRIM(INDEX(Charge!$L:$L,ROW()))&lt;&gt;""),1,0)</f>
        <v>0</v>
      </c>
      <c r="FE480">
        <f>IF(OR(EN480="",BZ480="(non affecté)"),0,IF(COUNTIFS($EN$4:EN480,EN480,$BZ$4:BZ480,BZ480)=1,1,0))</f>
        <v>0</v>
      </c>
    </row>
    <row r="481">
      <c r="A481">
        <f>ROW()</f>
        <v>481</v>
      </c>
      <c r="B481">
        <f>IF(TRIM(INDEX(Charge!$B:$B,ROW()))&lt;&gt;"",1,0)</f>
        <v>0</v>
      </c>
      <c r="C481">
        <f>IF(B481=1,MIN(1,MAX(0,N(INDEX(Charge!$O:$O,ROW())))),0)</f>
        <v>0</v>
      </c>
      <c r="D481">
        <f>IF(B481=1,IF(OR(p_Perimetre="Tous les projets",C481&lt;1),1,0),0)</f>
        <v>0</v>
      </c>
      <c r="E481">
        <f>IF(D481=1,MAX(0,N(INDEX(Charge!$M:$M,ROW()))),0)</f>
        <v>0</v>
      </c>
      <c r="F481" t="str">
        <f>IF(D481=1,IF(TRIM(INDEX(Charge!$A:$A,ROW()))="","(non renseigné)",TRIM(INDEX(Charge!$A:$A,ROW()))),"")</f>
        <v/>
      </c>
      <c r="G481" t="str">
        <f>IF(D481=1,TRIM(INDEX(Charge!$B:$B,ROW())),"")</f>
        <v/>
      </c>
      <c r="H481" t="str">
        <f>IF(D481=1,IF(TRIM(INDEX(Charge!$E:$E,ROW()))="","(non renseigné)",TRIM(INDEX(Charge!$E:$E,ROW()))),"")</f>
        <v/>
      </c>
      <c r="I481" s="165" t="str">
        <f>IF(AND(D481=1,ISNUMBER(INDEX(Charge!$N:$N,ROW()))),INDEX(Charge!$N:$N,ROW()),"")</f>
        <v/>
      </c>
      <c r="J481" s="165" t="str">
        <f>IF(I481="","",IF(AND(p_Repartition="Lissée jusqu'à la date de besoin",ISNUMBER(INDEX(Charge!$F:$F,ROW()))),IF(INDEX(Charge!$F:$F,ROW())&gt;=I481,INDEX(Charge!$F:$F,ROW()),I481),I481))</f>
        <v/>
      </c>
      <c r="K481" t="str">
        <f>IF(I481="","",NETWORKDAYS(I481,J481,Data!$K$4:$K$203))</f>
        <v/>
      </c>
      <c r="L481" t="str">
        <f>IF(D481=1,COUNTIFS($D$4:$D$503,1,$E$4:$E$503,"&gt;"&amp;E481)+COUNTIFS($D$4:$D481,1,$E$4:$E481,E481),"")</f>
        <v/>
      </c>
      <c r="M481">
        <f>IF(F481="",0,IF(COUNTIF($F$4:F481,F481)=1,1,0))</f>
        <v>0</v>
      </c>
      <c r="N481" t="str">
        <f>IF(M481=1,ROUND(SUMIF($F$4:$F$503,F481,$E$4:$E$503),2),"")</f>
        <v/>
      </c>
      <c r="O481" t="str">
        <f>IF(M481=1,COUNTIFS($M$4:$M$503,1,$N$4:$N$503,"&gt;"&amp;N481)+COUNTIFS($M$4:M481,1,$N$4:N481,N481),"")</f>
        <v/>
      </c>
      <c r="P481">
        <f>IF(G481="",0,IF(COUNTIF($G$4:G481,G481)=1,1,0))</f>
        <v>0</v>
      </c>
      <c r="Q481" t="str">
        <f>IF(P481=1,ROUND(SUMIF($G$4:$G$503,G481,$E$4:$E$503),2),"")</f>
        <v/>
      </c>
      <c r="R481" t="str">
        <f>IF(P481=1,COUNTIFS($P$4:$P$503,1,$Q$4:$Q$503,"&gt;"&amp;Q481)+COUNTIFS($P$4:P481,1,$Q$4:Q481,Q481),"")</f>
        <v/>
      </c>
      <c r="S481">
        <f>IF(H481="",0,IF(COUNTIF($H$4:H481,H481)=1,1,0))</f>
        <v>0</v>
      </c>
      <c r="T481" t="str">
        <f>IF(S481=1,ROUND(SUMIF($H$4:$H$503,H481,$E$4:$E$503),2),"")</f>
        <v/>
      </c>
      <c r="U481" t="str">
        <f>IF(S481=1,COUNTIFS($S$4:$S$503,1,$T$4:$T$503,"&gt;"&amp;T481)+COUNTIFS($S$4:S481,1,$T$4:T481,T481),"")</f>
        <v/>
      </c>
      <c r="V481" t="str">
        <f>IF(D481=1,MIN(INDEX($R$4:$R$503,MATCH(G481,$G$4:$G$503,0)),IF($AL$7&gt;9,9,999)),"")</f>
        <v/>
      </c>
      <c r="W481" s="166">
        <f>IF(OR($I481="",$E481=0),0,IF(OR($J481&lt;W$3,$I481&gt;W$2),0,IF($K481=0,IF(AND($I481&gt;=W$3,$I481&lt;=W$2),$E481,0),$E481*NETWORKDAYS(MAX($I481,W$3),MIN($J481,W$2),Data!$K$4:$K$203)/$K481)))</f>
        <v>0</v>
      </c>
      <c r="X481" s="166">
        <f>IF(OR($I481="",$E481=0),0,IF(OR($J481&lt;X$3,$I481&gt;X$2),0,IF($K481=0,IF(AND($I481&gt;=X$3,$I481&lt;=X$2),$E481,0),$E481*NETWORKDAYS(MAX($I481,X$3),MIN($J481,X$2),Data!$K$4:$K$203)/$K481)))</f>
        <v>0</v>
      </c>
      <c r="Y481" s="166">
        <f>IF(OR($I481="",$E481=0),0,IF(OR($J481&lt;Y$3,$I481&gt;Y$2),0,IF($K481=0,IF(AND($I481&gt;=Y$3,$I481&lt;=Y$2),$E481,0),$E481*NETWORKDAYS(MAX($I481,Y$3),MIN($J481,Y$2),Data!$K$4:$K$203)/$K481)))</f>
        <v>0</v>
      </c>
      <c r="Z481" s="166">
        <f>IF(OR($I481="",$E481=0),0,IF(OR($J481&lt;Z$3,$I481&gt;Z$2),0,IF($K481=0,IF(AND($I481&gt;=Z$3,$I481&lt;=Z$2),$E481,0),$E481*NETWORKDAYS(MAX($I481,Z$3),MIN($J481,Z$2),Data!$K$4:$K$203)/$K481)))</f>
        <v>0</v>
      </c>
      <c r="AA481" s="166">
        <f>IF(OR($I481="",$E481=0),0,IF(OR($J481&lt;AA$3,$I481&gt;AA$2),0,IF($K481=0,IF(AND($I481&gt;=AA$3,$I481&lt;=AA$2),$E481,0),$E481*NETWORKDAYS(MAX($I481,AA$3),MIN($J481,AA$2),Data!$K$4:$K$203)/$K481)))</f>
        <v>0</v>
      </c>
      <c r="AB481" s="166">
        <f>IF(OR($I481="",$E481=0),0,IF(OR($J481&lt;AB$3,$I481&gt;AB$2),0,IF($K481=0,IF(AND($I481&gt;=AB$3,$I481&lt;=AB$2),$E481,0),$E481*NETWORKDAYS(MAX($I481,AB$3),MIN($J481,AB$2),Data!$K$4:$K$203)/$K481)))</f>
        <v>0</v>
      </c>
      <c r="AC481" s="166">
        <f>IF(OR($I481="",$E481=0),0,IF(OR($J481&lt;AC$3,$I481&gt;AC$2),0,IF($K481=0,IF(AND($I481&gt;=AC$3,$I481&lt;=AC$2),$E481,0),$E481*NETWORKDAYS(MAX($I481,AC$3),MIN($J481,AC$2),Data!$K$4:$K$203)/$K481)))</f>
        <v>0</v>
      </c>
      <c r="AD481" s="166">
        <f>IF(OR($I481="",$E481=0),0,IF(OR($J481&lt;AD$3,$I481&gt;AD$2),0,IF($K481=0,IF(AND($I481&gt;=AD$3,$I481&lt;=AD$2),$E481,0),$E481*NETWORKDAYS(MAX($I481,AD$3),MIN($J481,AD$2),Data!$K$4:$K$203)/$K481)))</f>
        <v>0</v>
      </c>
      <c r="AE481" s="166">
        <f>IF(OR($I481="",$E481=0),0,IF(OR($J481&lt;AE$3,$I481&gt;AE$2),0,IF($K481=0,IF(AND($I481&gt;=AE$3,$I481&lt;=AE$2),$E481,0),$E481*NETWORKDAYS(MAX($I481,AE$3),MIN($J481,AE$2),Data!$K$4:$K$203)/$K481)))</f>
        <v>0</v>
      </c>
      <c r="AF481" s="166">
        <f>IF(OR($I481="",$E481=0),0,IF(OR($J481&lt;AF$3,$I481&gt;AF$2),0,IF($K481=0,IF(AND($I481&gt;=AF$3,$I481&lt;=AF$2),$E481,0),$E481*NETWORKDAYS(MAX($I481,AF$3),MIN($J481,AF$2),Data!$K$4:$K$203)/$K481)))</f>
        <v>0</v>
      </c>
      <c r="AG481" s="166">
        <f>IF(OR($I481="",$E481=0),0,IF(OR($J481&lt;AG$3,$I481&gt;AG$2),0,IF($K481=0,IF(AND($I481&gt;=AG$3,$I481&lt;=AG$2),$E481,0),$E481*NETWORKDAYS(MAX($I481,AG$3),MIN($J481,AG$2),Data!$K$4:$K$203)/$K481)))</f>
        <v>0</v>
      </c>
      <c r="AH481" s="166">
        <f>IF(OR($I481="",$E481=0),0,IF(OR($J481&lt;AH$3,$I481&gt;AH$2),0,IF($K481=0,IF(AND($I481&gt;=AH$3,$I481&lt;=AH$2),$E481,0),$E481*NETWORKDAYS(MAX($I481,AH$3),MIN($J481,AH$2),Data!$K$4:$K$203)/$K481)))</f>
        <v>0</v>
      </c>
      <c r="AI481" s="166">
        <f>SUM(W481:AH481)</f>
        <v>0</v>
      </c>
      <c r="BZ481" t="str">
        <f>IF(D481=1,IF(TRIM(INDEX(Charge!$K:$K,ROW()))&lt;&gt;"",TRIM(INDEX(Charge!$K:$K,ROW())),IF(TRIM(INDEX(Charge!$L:$L,ROW()))&lt;&gt;"",TRIM(INDEX(Charge!$L:$L,ROW())),"(non affecté)")),"")</f>
        <v/>
      </c>
      <c r="CA481" t="str">
        <f>IF(AND($CD$4&lt;&gt;"",BZ481=$CD$4),COUNTIFS($BZ$4:$BZ$503,$CD$4,$L$4:$L$503,"&lt;"&amp;L481)+1,"")</f>
        <v/>
      </c>
      <c r="EM481" t="str">
        <f>IF(D481=1,IF(TRIM(INDEX(Charge!$K:$K,ROW()))&lt;&gt;"","Interne",IF(TRIM(INDEX(Charge!$L:$L,ROW()))&lt;&gt;"","Externe","Non affecté")),"")</f>
        <v/>
      </c>
      <c r="EN481" t="str">
        <f>IF(D481=1,LEFT(SUBSTITUTE(SUBSTITUTE(SUBSTITUTE(TRIM(SUBSTITUTE(INDEX(Charge!$B:$B,ROW()),CHAR(160)," "))&amp;" | "&amp;TRIM(SUBSTITUTE(INDEX(Charge!$C:$C,ROW()),CHAR(160)," "))&amp;" | "&amp;TRIM(SUBSTITUTE(INDEX(Charge!$D:$D,ROW()),CHAR(160)," ")),"~","-"),"*","+"),"?","!"),240),"")</f>
        <v/>
      </c>
      <c r="EO481">
        <f>IF(EN481="",0,IF(COUNTIF($EN$4:EN481,EN481)=1,1,0))</f>
        <v>0</v>
      </c>
      <c r="EP481" s="166" t="str">
        <f>IF(EO481=1,ROUND(SUMIF($EN$4:$EN$503,EN481,$E$4:$E$503),2),"")</f>
        <v/>
      </c>
      <c r="EQ481" t="str">
        <f>IF(EO481=1,COUNTIFS($EO$4:$EO$503,1,$EP$4:$EP$503,"&gt;"&amp;EP481)+COUNTIFS($EO$4:EO481,1,$EP$4:EP481,EP481),"")</f>
        <v/>
      </c>
      <c r="ER481" t="str">
        <f>IF(EO481=1,COUNTIFS($EN$4:$EN$503,EN481,$EM$4:$EM$503,"Interne",$FE$4:$FE$503,1),"")</f>
        <v/>
      </c>
      <c r="ES481" t="str">
        <f>IF(EO481=1,COUNTIFS($EN$4:$EN$503,EN481,$EM$4:$EM$503,"Externe",$FE$4:$FE$503,1),"")</f>
        <v/>
      </c>
      <c r="ET481" t="str">
        <f>IF(EO481=1,IF(ER481+ES481=0,"à affecter",IF(ER481=0,ES481&amp;" ext.",(ER481+ES481)&amp;IF(ES481&gt;0," dont "&amp;ES481&amp;" ext.",""))&amp;IF(COUNTIFS($EN$4:$EN$503,EN481,$EM$4:$EM$503,"Non affecté")&gt;0," + à affecter","")),"")</f>
        <v/>
      </c>
      <c r="EU481" s="170" t="str">
        <f>IF(EO481=1,IF(EP481&gt;0,SUMPRODUCT(($EN$4:$EN$503=EN481)*$E$4:$E$503*$C$4:$C$503)/EP481,AVERAGEIF($EN$4:$EN$503,EN481,$C$4:$C$503)),"")</f>
        <v/>
      </c>
      <c r="EV481" s="165">
        <f>IF(ISNUMBER(I481),I481,2958465)</f>
        <v>2958465.0</v>
      </c>
      <c r="EW481" s="165" t="str">
        <f>IF(EO481=1,SUMPRODUCT(MIN(($EN$4:$EN$503=EN481)*$EV$4:$EV$503+($EN$4:$EN$503&lt;&gt;EN481)*2958465)),"")</f>
        <v/>
      </c>
      <c r="EX481" s="165">
        <f>IF(AND(D481=1,ISNUMBER(INDEX(Charge!$F:$F,ROW()))),INDEX(Charge!$F:$F,ROW()),0)</f>
        <v>0.0</v>
      </c>
      <c r="EY481" s="165" t="str">
        <f>IF(EO481=1,SUMPRODUCT(MAX(($EN$4:$EN$503=EN481)*$EX$4:$EX$503)),"")</f>
        <v/>
      </c>
      <c r="FD481">
        <f>IF(AND(B481=1,TRIM(INDEX(Charge!$K:$K,ROW()))&lt;&gt;"",TRIM(INDEX(Charge!$L:$L,ROW()))&lt;&gt;""),1,0)</f>
        <v>0</v>
      </c>
      <c r="FE481">
        <f>IF(OR(EN481="",BZ481="(non affecté)"),0,IF(COUNTIFS($EN$4:EN481,EN481,$BZ$4:BZ481,BZ481)=1,1,0))</f>
        <v>0</v>
      </c>
    </row>
    <row r="482">
      <c r="A482">
        <f>ROW()</f>
        <v>482</v>
      </c>
      <c r="B482">
        <f>IF(TRIM(INDEX(Charge!$B:$B,ROW()))&lt;&gt;"",1,0)</f>
        <v>0</v>
      </c>
      <c r="C482">
        <f>IF(B482=1,MIN(1,MAX(0,N(INDEX(Charge!$O:$O,ROW())))),0)</f>
        <v>0</v>
      </c>
      <c r="D482">
        <f>IF(B482=1,IF(OR(p_Perimetre="Tous les projets",C482&lt;1),1,0),0)</f>
        <v>0</v>
      </c>
      <c r="E482">
        <f>IF(D482=1,MAX(0,N(INDEX(Charge!$M:$M,ROW()))),0)</f>
        <v>0</v>
      </c>
      <c r="F482" t="str">
        <f>IF(D482=1,IF(TRIM(INDEX(Charge!$A:$A,ROW()))="","(non renseigné)",TRIM(INDEX(Charge!$A:$A,ROW()))),"")</f>
        <v/>
      </c>
      <c r="G482" t="str">
        <f>IF(D482=1,TRIM(INDEX(Charge!$B:$B,ROW())),"")</f>
        <v/>
      </c>
      <c r="H482" t="str">
        <f>IF(D482=1,IF(TRIM(INDEX(Charge!$E:$E,ROW()))="","(non renseigné)",TRIM(INDEX(Charge!$E:$E,ROW()))),"")</f>
        <v/>
      </c>
      <c r="I482" s="165" t="str">
        <f>IF(AND(D482=1,ISNUMBER(INDEX(Charge!$N:$N,ROW()))),INDEX(Charge!$N:$N,ROW()),"")</f>
        <v/>
      </c>
      <c r="J482" s="165" t="str">
        <f>IF(I482="","",IF(AND(p_Repartition="Lissée jusqu'à la date de besoin",ISNUMBER(INDEX(Charge!$F:$F,ROW()))),IF(INDEX(Charge!$F:$F,ROW())&gt;=I482,INDEX(Charge!$F:$F,ROW()),I482),I482))</f>
        <v/>
      </c>
      <c r="K482" t="str">
        <f>IF(I482="","",NETWORKDAYS(I482,J482,Data!$K$4:$K$203))</f>
        <v/>
      </c>
      <c r="L482" t="str">
        <f>IF(D482=1,COUNTIFS($D$4:$D$503,1,$E$4:$E$503,"&gt;"&amp;E482)+COUNTIFS($D$4:$D482,1,$E$4:$E482,E482),"")</f>
        <v/>
      </c>
      <c r="M482">
        <f>IF(F482="",0,IF(COUNTIF($F$4:F482,F482)=1,1,0))</f>
        <v>0</v>
      </c>
      <c r="N482" t="str">
        <f>IF(M482=1,ROUND(SUMIF($F$4:$F$503,F482,$E$4:$E$503),2),"")</f>
        <v/>
      </c>
      <c r="O482" t="str">
        <f>IF(M482=1,COUNTIFS($M$4:$M$503,1,$N$4:$N$503,"&gt;"&amp;N482)+COUNTIFS($M$4:M482,1,$N$4:N482,N482),"")</f>
        <v/>
      </c>
      <c r="P482">
        <f>IF(G482="",0,IF(COUNTIF($G$4:G482,G482)=1,1,0))</f>
        <v>0</v>
      </c>
      <c r="Q482" t="str">
        <f>IF(P482=1,ROUND(SUMIF($G$4:$G$503,G482,$E$4:$E$503),2),"")</f>
        <v/>
      </c>
      <c r="R482" t="str">
        <f>IF(P482=1,COUNTIFS($P$4:$P$503,1,$Q$4:$Q$503,"&gt;"&amp;Q482)+COUNTIFS($P$4:P482,1,$Q$4:Q482,Q482),"")</f>
        <v/>
      </c>
      <c r="S482">
        <f>IF(H482="",0,IF(COUNTIF($H$4:H482,H482)=1,1,0))</f>
        <v>0</v>
      </c>
      <c r="T482" t="str">
        <f>IF(S482=1,ROUND(SUMIF($H$4:$H$503,H482,$E$4:$E$503),2),"")</f>
        <v/>
      </c>
      <c r="U482" t="str">
        <f>IF(S482=1,COUNTIFS($S$4:$S$503,1,$T$4:$T$503,"&gt;"&amp;T482)+COUNTIFS($S$4:S482,1,$T$4:T482,T482),"")</f>
        <v/>
      </c>
      <c r="V482" t="str">
        <f>IF(D482=1,MIN(INDEX($R$4:$R$503,MATCH(G482,$G$4:$G$503,0)),IF($AL$7&gt;9,9,999)),"")</f>
        <v/>
      </c>
      <c r="W482" s="166">
        <f>IF(OR($I482="",$E482=0),0,IF(OR($J482&lt;W$3,$I482&gt;W$2),0,IF($K482=0,IF(AND($I482&gt;=W$3,$I482&lt;=W$2),$E482,0),$E482*NETWORKDAYS(MAX($I482,W$3),MIN($J482,W$2),Data!$K$4:$K$203)/$K482)))</f>
        <v>0</v>
      </c>
      <c r="X482" s="166">
        <f>IF(OR($I482="",$E482=0),0,IF(OR($J482&lt;X$3,$I482&gt;X$2),0,IF($K482=0,IF(AND($I482&gt;=X$3,$I482&lt;=X$2),$E482,0),$E482*NETWORKDAYS(MAX($I482,X$3),MIN($J482,X$2),Data!$K$4:$K$203)/$K482)))</f>
        <v>0</v>
      </c>
      <c r="Y482" s="166">
        <f>IF(OR($I482="",$E482=0),0,IF(OR($J482&lt;Y$3,$I482&gt;Y$2),0,IF($K482=0,IF(AND($I482&gt;=Y$3,$I482&lt;=Y$2),$E482,0),$E482*NETWORKDAYS(MAX($I482,Y$3),MIN($J482,Y$2),Data!$K$4:$K$203)/$K482)))</f>
        <v>0</v>
      </c>
      <c r="Z482" s="166">
        <f>IF(OR($I482="",$E482=0),0,IF(OR($J482&lt;Z$3,$I482&gt;Z$2),0,IF($K482=0,IF(AND($I482&gt;=Z$3,$I482&lt;=Z$2),$E482,0),$E482*NETWORKDAYS(MAX($I482,Z$3),MIN($J482,Z$2),Data!$K$4:$K$203)/$K482)))</f>
        <v>0</v>
      </c>
      <c r="AA482" s="166">
        <f>IF(OR($I482="",$E482=0),0,IF(OR($J482&lt;AA$3,$I482&gt;AA$2),0,IF($K482=0,IF(AND($I482&gt;=AA$3,$I482&lt;=AA$2),$E482,0),$E482*NETWORKDAYS(MAX($I482,AA$3),MIN($J482,AA$2),Data!$K$4:$K$203)/$K482)))</f>
        <v>0</v>
      </c>
      <c r="AB482" s="166">
        <f>IF(OR($I482="",$E482=0),0,IF(OR($J482&lt;AB$3,$I482&gt;AB$2),0,IF($K482=0,IF(AND($I482&gt;=AB$3,$I482&lt;=AB$2),$E482,0),$E482*NETWORKDAYS(MAX($I482,AB$3),MIN($J482,AB$2),Data!$K$4:$K$203)/$K482)))</f>
        <v>0</v>
      </c>
      <c r="AC482" s="166">
        <f>IF(OR($I482="",$E482=0),0,IF(OR($J482&lt;AC$3,$I482&gt;AC$2),0,IF($K482=0,IF(AND($I482&gt;=AC$3,$I482&lt;=AC$2),$E482,0),$E482*NETWORKDAYS(MAX($I482,AC$3),MIN($J482,AC$2),Data!$K$4:$K$203)/$K482)))</f>
        <v>0</v>
      </c>
      <c r="AD482" s="166">
        <f>IF(OR($I482="",$E482=0),0,IF(OR($J482&lt;AD$3,$I482&gt;AD$2),0,IF($K482=0,IF(AND($I482&gt;=AD$3,$I482&lt;=AD$2),$E482,0),$E482*NETWORKDAYS(MAX($I482,AD$3),MIN($J482,AD$2),Data!$K$4:$K$203)/$K482)))</f>
        <v>0</v>
      </c>
      <c r="AE482" s="166">
        <f>IF(OR($I482="",$E482=0),0,IF(OR($J482&lt;AE$3,$I482&gt;AE$2),0,IF($K482=0,IF(AND($I482&gt;=AE$3,$I482&lt;=AE$2),$E482,0),$E482*NETWORKDAYS(MAX($I482,AE$3),MIN($J482,AE$2),Data!$K$4:$K$203)/$K482)))</f>
        <v>0</v>
      </c>
      <c r="AF482" s="166">
        <f>IF(OR($I482="",$E482=0),0,IF(OR($J482&lt;AF$3,$I482&gt;AF$2),0,IF($K482=0,IF(AND($I482&gt;=AF$3,$I482&lt;=AF$2),$E482,0),$E482*NETWORKDAYS(MAX($I482,AF$3),MIN($J482,AF$2),Data!$K$4:$K$203)/$K482)))</f>
        <v>0</v>
      </c>
      <c r="AG482" s="166">
        <f>IF(OR($I482="",$E482=0),0,IF(OR($J482&lt;AG$3,$I482&gt;AG$2),0,IF($K482=0,IF(AND($I482&gt;=AG$3,$I482&lt;=AG$2),$E482,0),$E482*NETWORKDAYS(MAX($I482,AG$3),MIN($J482,AG$2),Data!$K$4:$K$203)/$K482)))</f>
        <v>0</v>
      </c>
      <c r="AH482" s="166">
        <f>IF(OR($I482="",$E482=0),0,IF(OR($J482&lt;AH$3,$I482&gt;AH$2),0,IF($K482=0,IF(AND($I482&gt;=AH$3,$I482&lt;=AH$2),$E482,0),$E482*NETWORKDAYS(MAX($I482,AH$3),MIN($J482,AH$2),Data!$K$4:$K$203)/$K482)))</f>
        <v>0</v>
      </c>
      <c r="AI482" s="166">
        <f>SUM(W482:AH482)</f>
        <v>0</v>
      </c>
      <c r="BZ482" t="str">
        <f>IF(D482=1,IF(TRIM(INDEX(Charge!$K:$K,ROW()))&lt;&gt;"",TRIM(INDEX(Charge!$K:$K,ROW())),IF(TRIM(INDEX(Charge!$L:$L,ROW()))&lt;&gt;"",TRIM(INDEX(Charge!$L:$L,ROW())),"(non affecté)")),"")</f>
        <v/>
      </c>
      <c r="CA482" t="str">
        <f>IF(AND($CD$4&lt;&gt;"",BZ482=$CD$4),COUNTIFS($BZ$4:$BZ$503,$CD$4,$L$4:$L$503,"&lt;"&amp;L482)+1,"")</f>
        <v/>
      </c>
      <c r="EM482" t="str">
        <f>IF(D482=1,IF(TRIM(INDEX(Charge!$K:$K,ROW()))&lt;&gt;"","Interne",IF(TRIM(INDEX(Charge!$L:$L,ROW()))&lt;&gt;"","Externe","Non affecté")),"")</f>
        <v/>
      </c>
      <c r="EN482" t="str">
        <f>IF(D482=1,LEFT(SUBSTITUTE(SUBSTITUTE(SUBSTITUTE(TRIM(SUBSTITUTE(INDEX(Charge!$B:$B,ROW()),CHAR(160)," "))&amp;" | "&amp;TRIM(SUBSTITUTE(INDEX(Charge!$C:$C,ROW()),CHAR(160)," "))&amp;" | "&amp;TRIM(SUBSTITUTE(INDEX(Charge!$D:$D,ROW()),CHAR(160)," ")),"~","-"),"*","+"),"?","!"),240),"")</f>
        <v/>
      </c>
      <c r="EO482">
        <f>IF(EN482="",0,IF(COUNTIF($EN$4:EN482,EN482)=1,1,0))</f>
        <v>0</v>
      </c>
      <c r="EP482" s="166" t="str">
        <f>IF(EO482=1,ROUND(SUMIF($EN$4:$EN$503,EN482,$E$4:$E$503),2),"")</f>
        <v/>
      </c>
      <c r="EQ482" t="str">
        <f>IF(EO482=1,COUNTIFS($EO$4:$EO$503,1,$EP$4:$EP$503,"&gt;"&amp;EP482)+COUNTIFS($EO$4:EO482,1,$EP$4:EP482,EP482),"")</f>
        <v/>
      </c>
      <c r="ER482" t="str">
        <f>IF(EO482=1,COUNTIFS($EN$4:$EN$503,EN482,$EM$4:$EM$503,"Interne",$FE$4:$FE$503,1),"")</f>
        <v/>
      </c>
      <c r="ES482" t="str">
        <f>IF(EO482=1,COUNTIFS($EN$4:$EN$503,EN482,$EM$4:$EM$503,"Externe",$FE$4:$FE$503,1),"")</f>
        <v/>
      </c>
      <c r="ET482" t="str">
        <f>IF(EO482=1,IF(ER482+ES482=0,"à affecter",IF(ER482=0,ES482&amp;" ext.",(ER482+ES482)&amp;IF(ES482&gt;0," dont "&amp;ES482&amp;" ext.",""))&amp;IF(COUNTIFS($EN$4:$EN$503,EN482,$EM$4:$EM$503,"Non affecté")&gt;0," + à affecter","")),"")</f>
        <v/>
      </c>
      <c r="EU482" s="170" t="str">
        <f>IF(EO482=1,IF(EP482&gt;0,SUMPRODUCT(($EN$4:$EN$503=EN482)*$E$4:$E$503*$C$4:$C$503)/EP482,AVERAGEIF($EN$4:$EN$503,EN482,$C$4:$C$503)),"")</f>
        <v/>
      </c>
      <c r="EV482" s="165">
        <f>IF(ISNUMBER(I482),I482,2958465)</f>
        <v>2958465.0</v>
      </c>
      <c r="EW482" s="165" t="str">
        <f>IF(EO482=1,SUMPRODUCT(MIN(($EN$4:$EN$503=EN482)*$EV$4:$EV$503+($EN$4:$EN$503&lt;&gt;EN482)*2958465)),"")</f>
        <v/>
      </c>
      <c r="EX482" s="165">
        <f>IF(AND(D482=1,ISNUMBER(INDEX(Charge!$F:$F,ROW()))),INDEX(Charge!$F:$F,ROW()),0)</f>
        <v>0.0</v>
      </c>
      <c r="EY482" s="165" t="str">
        <f>IF(EO482=1,SUMPRODUCT(MAX(($EN$4:$EN$503=EN482)*$EX$4:$EX$503)),"")</f>
        <v/>
      </c>
      <c r="FD482">
        <f>IF(AND(B482=1,TRIM(INDEX(Charge!$K:$K,ROW()))&lt;&gt;"",TRIM(INDEX(Charge!$L:$L,ROW()))&lt;&gt;""),1,0)</f>
        <v>0</v>
      </c>
      <c r="FE482">
        <f>IF(OR(EN482="",BZ482="(non affecté)"),0,IF(COUNTIFS($EN$4:EN482,EN482,$BZ$4:BZ482,BZ482)=1,1,0))</f>
        <v>0</v>
      </c>
    </row>
    <row r="483">
      <c r="A483">
        <f>ROW()</f>
        <v>483</v>
      </c>
      <c r="B483">
        <f>IF(TRIM(INDEX(Charge!$B:$B,ROW()))&lt;&gt;"",1,0)</f>
        <v>0</v>
      </c>
      <c r="C483">
        <f>IF(B483=1,MIN(1,MAX(0,N(INDEX(Charge!$O:$O,ROW())))),0)</f>
        <v>0</v>
      </c>
      <c r="D483">
        <f>IF(B483=1,IF(OR(p_Perimetre="Tous les projets",C483&lt;1),1,0),0)</f>
        <v>0</v>
      </c>
      <c r="E483">
        <f>IF(D483=1,MAX(0,N(INDEX(Charge!$M:$M,ROW()))),0)</f>
        <v>0</v>
      </c>
      <c r="F483" t="str">
        <f>IF(D483=1,IF(TRIM(INDEX(Charge!$A:$A,ROW()))="","(non renseigné)",TRIM(INDEX(Charge!$A:$A,ROW()))),"")</f>
        <v/>
      </c>
      <c r="G483" t="str">
        <f>IF(D483=1,TRIM(INDEX(Charge!$B:$B,ROW())),"")</f>
        <v/>
      </c>
      <c r="H483" t="str">
        <f>IF(D483=1,IF(TRIM(INDEX(Charge!$E:$E,ROW()))="","(non renseigné)",TRIM(INDEX(Charge!$E:$E,ROW()))),"")</f>
        <v/>
      </c>
      <c r="I483" s="165" t="str">
        <f>IF(AND(D483=1,ISNUMBER(INDEX(Charge!$N:$N,ROW()))),INDEX(Charge!$N:$N,ROW()),"")</f>
        <v/>
      </c>
      <c r="J483" s="165" t="str">
        <f>IF(I483="","",IF(AND(p_Repartition="Lissée jusqu'à la date de besoin",ISNUMBER(INDEX(Charge!$F:$F,ROW()))),IF(INDEX(Charge!$F:$F,ROW())&gt;=I483,INDEX(Charge!$F:$F,ROW()),I483),I483))</f>
        <v/>
      </c>
      <c r="K483" t="str">
        <f>IF(I483="","",NETWORKDAYS(I483,J483,Data!$K$4:$K$203))</f>
        <v/>
      </c>
      <c r="L483" t="str">
        <f>IF(D483=1,COUNTIFS($D$4:$D$503,1,$E$4:$E$503,"&gt;"&amp;E483)+COUNTIFS($D$4:$D483,1,$E$4:$E483,E483),"")</f>
        <v/>
      </c>
      <c r="M483">
        <f>IF(F483="",0,IF(COUNTIF($F$4:F483,F483)=1,1,0))</f>
        <v>0</v>
      </c>
      <c r="N483" t="str">
        <f>IF(M483=1,ROUND(SUMIF($F$4:$F$503,F483,$E$4:$E$503),2),"")</f>
        <v/>
      </c>
      <c r="O483" t="str">
        <f>IF(M483=1,COUNTIFS($M$4:$M$503,1,$N$4:$N$503,"&gt;"&amp;N483)+COUNTIFS($M$4:M483,1,$N$4:N483,N483),"")</f>
        <v/>
      </c>
      <c r="P483">
        <f>IF(G483="",0,IF(COUNTIF($G$4:G483,G483)=1,1,0))</f>
        <v>0</v>
      </c>
      <c r="Q483" t="str">
        <f>IF(P483=1,ROUND(SUMIF($G$4:$G$503,G483,$E$4:$E$503),2),"")</f>
        <v/>
      </c>
      <c r="R483" t="str">
        <f>IF(P483=1,COUNTIFS($P$4:$P$503,1,$Q$4:$Q$503,"&gt;"&amp;Q483)+COUNTIFS($P$4:P483,1,$Q$4:Q483,Q483),"")</f>
        <v/>
      </c>
      <c r="S483">
        <f>IF(H483="",0,IF(COUNTIF($H$4:H483,H483)=1,1,0))</f>
        <v>0</v>
      </c>
      <c r="T483" t="str">
        <f>IF(S483=1,ROUND(SUMIF($H$4:$H$503,H483,$E$4:$E$503),2),"")</f>
        <v/>
      </c>
      <c r="U483" t="str">
        <f>IF(S483=1,COUNTIFS($S$4:$S$503,1,$T$4:$T$503,"&gt;"&amp;T483)+COUNTIFS($S$4:S483,1,$T$4:T483,T483),"")</f>
        <v/>
      </c>
      <c r="V483" t="str">
        <f>IF(D483=1,MIN(INDEX($R$4:$R$503,MATCH(G483,$G$4:$G$503,0)),IF($AL$7&gt;9,9,999)),"")</f>
        <v/>
      </c>
      <c r="W483" s="166">
        <f>IF(OR($I483="",$E483=0),0,IF(OR($J483&lt;W$3,$I483&gt;W$2),0,IF($K483=0,IF(AND($I483&gt;=W$3,$I483&lt;=W$2),$E483,0),$E483*NETWORKDAYS(MAX($I483,W$3),MIN($J483,W$2),Data!$K$4:$K$203)/$K483)))</f>
        <v>0</v>
      </c>
      <c r="X483" s="166">
        <f>IF(OR($I483="",$E483=0),0,IF(OR($J483&lt;X$3,$I483&gt;X$2),0,IF($K483=0,IF(AND($I483&gt;=X$3,$I483&lt;=X$2),$E483,0),$E483*NETWORKDAYS(MAX($I483,X$3),MIN($J483,X$2),Data!$K$4:$K$203)/$K483)))</f>
        <v>0</v>
      </c>
      <c r="Y483" s="166">
        <f>IF(OR($I483="",$E483=0),0,IF(OR($J483&lt;Y$3,$I483&gt;Y$2),0,IF($K483=0,IF(AND($I483&gt;=Y$3,$I483&lt;=Y$2),$E483,0),$E483*NETWORKDAYS(MAX($I483,Y$3),MIN($J483,Y$2),Data!$K$4:$K$203)/$K483)))</f>
        <v>0</v>
      </c>
      <c r="Z483" s="166">
        <f>IF(OR($I483="",$E483=0),0,IF(OR($J483&lt;Z$3,$I483&gt;Z$2),0,IF($K483=0,IF(AND($I483&gt;=Z$3,$I483&lt;=Z$2),$E483,0),$E483*NETWORKDAYS(MAX($I483,Z$3),MIN($J483,Z$2),Data!$K$4:$K$203)/$K483)))</f>
        <v>0</v>
      </c>
      <c r="AA483" s="166">
        <f>IF(OR($I483="",$E483=0),0,IF(OR($J483&lt;AA$3,$I483&gt;AA$2),0,IF($K483=0,IF(AND($I483&gt;=AA$3,$I483&lt;=AA$2),$E483,0),$E483*NETWORKDAYS(MAX($I483,AA$3),MIN($J483,AA$2),Data!$K$4:$K$203)/$K483)))</f>
        <v>0</v>
      </c>
      <c r="AB483" s="166">
        <f>IF(OR($I483="",$E483=0),0,IF(OR($J483&lt;AB$3,$I483&gt;AB$2),0,IF($K483=0,IF(AND($I483&gt;=AB$3,$I483&lt;=AB$2),$E483,0),$E483*NETWORKDAYS(MAX($I483,AB$3),MIN($J483,AB$2),Data!$K$4:$K$203)/$K483)))</f>
        <v>0</v>
      </c>
      <c r="AC483" s="166">
        <f>IF(OR($I483="",$E483=0),0,IF(OR($J483&lt;AC$3,$I483&gt;AC$2),0,IF($K483=0,IF(AND($I483&gt;=AC$3,$I483&lt;=AC$2),$E483,0),$E483*NETWORKDAYS(MAX($I483,AC$3),MIN($J483,AC$2),Data!$K$4:$K$203)/$K483)))</f>
        <v>0</v>
      </c>
      <c r="AD483" s="166">
        <f>IF(OR($I483="",$E483=0),0,IF(OR($J483&lt;AD$3,$I483&gt;AD$2),0,IF($K483=0,IF(AND($I483&gt;=AD$3,$I483&lt;=AD$2),$E483,0),$E483*NETWORKDAYS(MAX($I483,AD$3),MIN($J483,AD$2),Data!$K$4:$K$203)/$K483)))</f>
        <v>0</v>
      </c>
      <c r="AE483" s="166">
        <f>IF(OR($I483="",$E483=0),0,IF(OR($J483&lt;AE$3,$I483&gt;AE$2),0,IF($K483=0,IF(AND($I483&gt;=AE$3,$I483&lt;=AE$2),$E483,0),$E483*NETWORKDAYS(MAX($I483,AE$3),MIN($J483,AE$2),Data!$K$4:$K$203)/$K483)))</f>
        <v>0</v>
      </c>
      <c r="AF483" s="166">
        <f>IF(OR($I483="",$E483=0),0,IF(OR($J483&lt;AF$3,$I483&gt;AF$2),0,IF($K483=0,IF(AND($I483&gt;=AF$3,$I483&lt;=AF$2),$E483,0),$E483*NETWORKDAYS(MAX($I483,AF$3),MIN($J483,AF$2),Data!$K$4:$K$203)/$K483)))</f>
        <v>0</v>
      </c>
      <c r="AG483" s="166">
        <f>IF(OR($I483="",$E483=0),0,IF(OR($J483&lt;AG$3,$I483&gt;AG$2),0,IF($K483=0,IF(AND($I483&gt;=AG$3,$I483&lt;=AG$2),$E483,0),$E483*NETWORKDAYS(MAX($I483,AG$3),MIN($J483,AG$2),Data!$K$4:$K$203)/$K483)))</f>
        <v>0</v>
      </c>
      <c r="AH483" s="166">
        <f>IF(OR($I483="",$E483=0),0,IF(OR($J483&lt;AH$3,$I483&gt;AH$2),0,IF($K483=0,IF(AND($I483&gt;=AH$3,$I483&lt;=AH$2),$E483,0),$E483*NETWORKDAYS(MAX($I483,AH$3),MIN($J483,AH$2),Data!$K$4:$K$203)/$K483)))</f>
        <v>0</v>
      </c>
      <c r="AI483" s="166">
        <f>SUM(W483:AH483)</f>
        <v>0</v>
      </c>
      <c r="BZ483" t="str">
        <f>IF(D483=1,IF(TRIM(INDEX(Charge!$K:$K,ROW()))&lt;&gt;"",TRIM(INDEX(Charge!$K:$K,ROW())),IF(TRIM(INDEX(Charge!$L:$L,ROW()))&lt;&gt;"",TRIM(INDEX(Charge!$L:$L,ROW())),"(non affecté)")),"")</f>
        <v/>
      </c>
      <c r="CA483" t="str">
        <f>IF(AND($CD$4&lt;&gt;"",BZ483=$CD$4),COUNTIFS($BZ$4:$BZ$503,$CD$4,$L$4:$L$503,"&lt;"&amp;L483)+1,"")</f>
        <v/>
      </c>
      <c r="EM483" t="str">
        <f>IF(D483=1,IF(TRIM(INDEX(Charge!$K:$K,ROW()))&lt;&gt;"","Interne",IF(TRIM(INDEX(Charge!$L:$L,ROW()))&lt;&gt;"","Externe","Non affecté")),"")</f>
        <v/>
      </c>
      <c r="EN483" t="str">
        <f>IF(D483=1,LEFT(SUBSTITUTE(SUBSTITUTE(SUBSTITUTE(TRIM(SUBSTITUTE(INDEX(Charge!$B:$B,ROW()),CHAR(160)," "))&amp;" | "&amp;TRIM(SUBSTITUTE(INDEX(Charge!$C:$C,ROW()),CHAR(160)," "))&amp;" | "&amp;TRIM(SUBSTITUTE(INDEX(Charge!$D:$D,ROW()),CHAR(160)," ")),"~","-"),"*","+"),"?","!"),240),"")</f>
        <v/>
      </c>
      <c r="EO483">
        <f>IF(EN483="",0,IF(COUNTIF($EN$4:EN483,EN483)=1,1,0))</f>
        <v>0</v>
      </c>
      <c r="EP483" s="166" t="str">
        <f>IF(EO483=1,ROUND(SUMIF($EN$4:$EN$503,EN483,$E$4:$E$503),2),"")</f>
        <v/>
      </c>
      <c r="EQ483" t="str">
        <f>IF(EO483=1,COUNTIFS($EO$4:$EO$503,1,$EP$4:$EP$503,"&gt;"&amp;EP483)+COUNTIFS($EO$4:EO483,1,$EP$4:EP483,EP483),"")</f>
        <v/>
      </c>
      <c r="ER483" t="str">
        <f>IF(EO483=1,COUNTIFS($EN$4:$EN$503,EN483,$EM$4:$EM$503,"Interne",$FE$4:$FE$503,1),"")</f>
        <v/>
      </c>
      <c r="ES483" t="str">
        <f>IF(EO483=1,COUNTIFS($EN$4:$EN$503,EN483,$EM$4:$EM$503,"Externe",$FE$4:$FE$503,1),"")</f>
        <v/>
      </c>
      <c r="ET483" t="str">
        <f>IF(EO483=1,IF(ER483+ES483=0,"à affecter",IF(ER483=0,ES483&amp;" ext.",(ER483+ES483)&amp;IF(ES483&gt;0," dont "&amp;ES483&amp;" ext.",""))&amp;IF(COUNTIFS($EN$4:$EN$503,EN483,$EM$4:$EM$503,"Non affecté")&gt;0," + à affecter","")),"")</f>
        <v/>
      </c>
      <c r="EU483" s="170" t="str">
        <f>IF(EO483=1,IF(EP483&gt;0,SUMPRODUCT(($EN$4:$EN$503=EN483)*$E$4:$E$503*$C$4:$C$503)/EP483,AVERAGEIF($EN$4:$EN$503,EN483,$C$4:$C$503)),"")</f>
        <v/>
      </c>
      <c r="EV483" s="165">
        <f>IF(ISNUMBER(I483),I483,2958465)</f>
        <v>2958465.0</v>
      </c>
      <c r="EW483" s="165" t="str">
        <f>IF(EO483=1,SUMPRODUCT(MIN(($EN$4:$EN$503=EN483)*$EV$4:$EV$503+($EN$4:$EN$503&lt;&gt;EN483)*2958465)),"")</f>
        <v/>
      </c>
      <c r="EX483" s="165">
        <f>IF(AND(D483=1,ISNUMBER(INDEX(Charge!$F:$F,ROW()))),INDEX(Charge!$F:$F,ROW()),0)</f>
        <v>0.0</v>
      </c>
      <c r="EY483" s="165" t="str">
        <f>IF(EO483=1,SUMPRODUCT(MAX(($EN$4:$EN$503=EN483)*$EX$4:$EX$503)),"")</f>
        <v/>
      </c>
      <c r="FD483">
        <f>IF(AND(B483=1,TRIM(INDEX(Charge!$K:$K,ROW()))&lt;&gt;"",TRIM(INDEX(Charge!$L:$L,ROW()))&lt;&gt;""),1,0)</f>
        <v>0</v>
      </c>
      <c r="FE483">
        <f>IF(OR(EN483="",BZ483="(non affecté)"),0,IF(COUNTIFS($EN$4:EN483,EN483,$BZ$4:BZ483,BZ483)=1,1,0))</f>
        <v>0</v>
      </c>
    </row>
    <row r="484">
      <c r="A484">
        <f>ROW()</f>
        <v>484</v>
      </c>
      <c r="B484">
        <f>IF(TRIM(INDEX(Charge!$B:$B,ROW()))&lt;&gt;"",1,0)</f>
        <v>0</v>
      </c>
      <c r="C484">
        <f>IF(B484=1,MIN(1,MAX(0,N(INDEX(Charge!$O:$O,ROW())))),0)</f>
        <v>0</v>
      </c>
      <c r="D484">
        <f>IF(B484=1,IF(OR(p_Perimetre="Tous les projets",C484&lt;1),1,0),0)</f>
        <v>0</v>
      </c>
      <c r="E484">
        <f>IF(D484=1,MAX(0,N(INDEX(Charge!$M:$M,ROW()))),0)</f>
        <v>0</v>
      </c>
      <c r="F484" t="str">
        <f>IF(D484=1,IF(TRIM(INDEX(Charge!$A:$A,ROW()))="","(non renseigné)",TRIM(INDEX(Charge!$A:$A,ROW()))),"")</f>
        <v/>
      </c>
      <c r="G484" t="str">
        <f>IF(D484=1,TRIM(INDEX(Charge!$B:$B,ROW())),"")</f>
        <v/>
      </c>
      <c r="H484" t="str">
        <f>IF(D484=1,IF(TRIM(INDEX(Charge!$E:$E,ROW()))="","(non renseigné)",TRIM(INDEX(Charge!$E:$E,ROW()))),"")</f>
        <v/>
      </c>
      <c r="I484" s="165" t="str">
        <f>IF(AND(D484=1,ISNUMBER(INDEX(Charge!$N:$N,ROW()))),INDEX(Charge!$N:$N,ROW()),"")</f>
        <v/>
      </c>
      <c r="J484" s="165" t="str">
        <f>IF(I484="","",IF(AND(p_Repartition="Lissée jusqu'à la date de besoin",ISNUMBER(INDEX(Charge!$F:$F,ROW()))),IF(INDEX(Charge!$F:$F,ROW())&gt;=I484,INDEX(Charge!$F:$F,ROW()),I484),I484))</f>
        <v/>
      </c>
      <c r="K484" t="str">
        <f>IF(I484="","",NETWORKDAYS(I484,J484,Data!$K$4:$K$203))</f>
        <v/>
      </c>
      <c r="L484" t="str">
        <f>IF(D484=1,COUNTIFS($D$4:$D$503,1,$E$4:$E$503,"&gt;"&amp;E484)+COUNTIFS($D$4:$D484,1,$E$4:$E484,E484),"")</f>
        <v/>
      </c>
      <c r="M484">
        <f>IF(F484="",0,IF(COUNTIF($F$4:F484,F484)=1,1,0))</f>
        <v>0</v>
      </c>
      <c r="N484" t="str">
        <f>IF(M484=1,ROUND(SUMIF($F$4:$F$503,F484,$E$4:$E$503),2),"")</f>
        <v/>
      </c>
      <c r="O484" t="str">
        <f>IF(M484=1,COUNTIFS($M$4:$M$503,1,$N$4:$N$503,"&gt;"&amp;N484)+COUNTIFS($M$4:M484,1,$N$4:N484,N484),"")</f>
        <v/>
      </c>
      <c r="P484">
        <f>IF(G484="",0,IF(COUNTIF($G$4:G484,G484)=1,1,0))</f>
        <v>0</v>
      </c>
      <c r="Q484" t="str">
        <f>IF(P484=1,ROUND(SUMIF($G$4:$G$503,G484,$E$4:$E$503),2),"")</f>
        <v/>
      </c>
      <c r="R484" t="str">
        <f>IF(P484=1,COUNTIFS($P$4:$P$503,1,$Q$4:$Q$503,"&gt;"&amp;Q484)+COUNTIFS($P$4:P484,1,$Q$4:Q484,Q484),"")</f>
        <v/>
      </c>
      <c r="S484">
        <f>IF(H484="",0,IF(COUNTIF($H$4:H484,H484)=1,1,0))</f>
        <v>0</v>
      </c>
      <c r="T484" t="str">
        <f>IF(S484=1,ROUND(SUMIF($H$4:$H$503,H484,$E$4:$E$503),2),"")</f>
        <v/>
      </c>
      <c r="U484" t="str">
        <f>IF(S484=1,COUNTIFS($S$4:$S$503,1,$T$4:$T$503,"&gt;"&amp;T484)+COUNTIFS($S$4:S484,1,$T$4:T484,T484),"")</f>
        <v/>
      </c>
      <c r="V484" t="str">
        <f>IF(D484=1,MIN(INDEX($R$4:$R$503,MATCH(G484,$G$4:$G$503,0)),IF($AL$7&gt;9,9,999)),"")</f>
        <v/>
      </c>
      <c r="W484" s="166">
        <f>IF(OR($I484="",$E484=0),0,IF(OR($J484&lt;W$3,$I484&gt;W$2),0,IF($K484=0,IF(AND($I484&gt;=W$3,$I484&lt;=W$2),$E484,0),$E484*NETWORKDAYS(MAX($I484,W$3),MIN($J484,W$2),Data!$K$4:$K$203)/$K484)))</f>
        <v>0</v>
      </c>
      <c r="X484" s="166">
        <f>IF(OR($I484="",$E484=0),0,IF(OR($J484&lt;X$3,$I484&gt;X$2),0,IF($K484=0,IF(AND($I484&gt;=X$3,$I484&lt;=X$2),$E484,0),$E484*NETWORKDAYS(MAX($I484,X$3),MIN($J484,X$2),Data!$K$4:$K$203)/$K484)))</f>
        <v>0</v>
      </c>
      <c r="Y484" s="166">
        <f>IF(OR($I484="",$E484=0),0,IF(OR($J484&lt;Y$3,$I484&gt;Y$2),0,IF($K484=0,IF(AND($I484&gt;=Y$3,$I484&lt;=Y$2),$E484,0),$E484*NETWORKDAYS(MAX($I484,Y$3),MIN($J484,Y$2),Data!$K$4:$K$203)/$K484)))</f>
        <v>0</v>
      </c>
      <c r="Z484" s="166">
        <f>IF(OR($I484="",$E484=0),0,IF(OR($J484&lt;Z$3,$I484&gt;Z$2),0,IF($K484=0,IF(AND($I484&gt;=Z$3,$I484&lt;=Z$2),$E484,0),$E484*NETWORKDAYS(MAX($I484,Z$3),MIN($J484,Z$2),Data!$K$4:$K$203)/$K484)))</f>
        <v>0</v>
      </c>
      <c r="AA484" s="166">
        <f>IF(OR($I484="",$E484=0),0,IF(OR($J484&lt;AA$3,$I484&gt;AA$2),0,IF($K484=0,IF(AND($I484&gt;=AA$3,$I484&lt;=AA$2),$E484,0),$E484*NETWORKDAYS(MAX($I484,AA$3),MIN($J484,AA$2),Data!$K$4:$K$203)/$K484)))</f>
        <v>0</v>
      </c>
      <c r="AB484" s="166">
        <f>IF(OR($I484="",$E484=0),0,IF(OR($J484&lt;AB$3,$I484&gt;AB$2),0,IF($K484=0,IF(AND($I484&gt;=AB$3,$I484&lt;=AB$2),$E484,0),$E484*NETWORKDAYS(MAX($I484,AB$3),MIN($J484,AB$2),Data!$K$4:$K$203)/$K484)))</f>
        <v>0</v>
      </c>
      <c r="AC484" s="166">
        <f>IF(OR($I484="",$E484=0),0,IF(OR($J484&lt;AC$3,$I484&gt;AC$2),0,IF($K484=0,IF(AND($I484&gt;=AC$3,$I484&lt;=AC$2),$E484,0),$E484*NETWORKDAYS(MAX($I484,AC$3),MIN($J484,AC$2),Data!$K$4:$K$203)/$K484)))</f>
        <v>0</v>
      </c>
      <c r="AD484" s="166">
        <f>IF(OR($I484="",$E484=0),0,IF(OR($J484&lt;AD$3,$I484&gt;AD$2),0,IF($K484=0,IF(AND($I484&gt;=AD$3,$I484&lt;=AD$2),$E484,0),$E484*NETWORKDAYS(MAX($I484,AD$3),MIN($J484,AD$2),Data!$K$4:$K$203)/$K484)))</f>
        <v>0</v>
      </c>
      <c r="AE484" s="166">
        <f>IF(OR($I484="",$E484=0),0,IF(OR($J484&lt;AE$3,$I484&gt;AE$2),0,IF($K484=0,IF(AND($I484&gt;=AE$3,$I484&lt;=AE$2),$E484,0),$E484*NETWORKDAYS(MAX($I484,AE$3),MIN($J484,AE$2),Data!$K$4:$K$203)/$K484)))</f>
        <v>0</v>
      </c>
      <c r="AF484" s="166">
        <f>IF(OR($I484="",$E484=0),0,IF(OR($J484&lt;AF$3,$I484&gt;AF$2),0,IF($K484=0,IF(AND($I484&gt;=AF$3,$I484&lt;=AF$2),$E484,0),$E484*NETWORKDAYS(MAX($I484,AF$3),MIN($J484,AF$2),Data!$K$4:$K$203)/$K484)))</f>
        <v>0</v>
      </c>
      <c r="AG484" s="166">
        <f>IF(OR($I484="",$E484=0),0,IF(OR($J484&lt;AG$3,$I484&gt;AG$2),0,IF($K484=0,IF(AND($I484&gt;=AG$3,$I484&lt;=AG$2),$E484,0),$E484*NETWORKDAYS(MAX($I484,AG$3),MIN($J484,AG$2),Data!$K$4:$K$203)/$K484)))</f>
        <v>0</v>
      </c>
      <c r="AH484" s="166">
        <f>IF(OR($I484="",$E484=0),0,IF(OR($J484&lt;AH$3,$I484&gt;AH$2),0,IF($K484=0,IF(AND($I484&gt;=AH$3,$I484&lt;=AH$2),$E484,0),$E484*NETWORKDAYS(MAX($I484,AH$3),MIN($J484,AH$2),Data!$K$4:$K$203)/$K484)))</f>
        <v>0</v>
      </c>
      <c r="AI484" s="166">
        <f>SUM(W484:AH484)</f>
        <v>0</v>
      </c>
      <c r="BZ484" t="str">
        <f>IF(D484=1,IF(TRIM(INDEX(Charge!$K:$K,ROW()))&lt;&gt;"",TRIM(INDEX(Charge!$K:$K,ROW())),IF(TRIM(INDEX(Charge!$L:$L,ROW()))&lt;&gt;"",TRIM(INDEX(Charge!$L:$L,ROW())),"(non affecté)")),"")</f>
        <v/>
      </c>
      <c r="CA484" t="str">
        <f>IF(AND($CD$4&lt;&gt;"",BZ484=$CD$4),COUNTIFS($BZ$4:$BZ$503,$CD$4,$L$4:$L$503,"&lt;"&amp;L484)+1,"")</f>
        <v/>
      </c>
      <c r="EM484" t="str">
        <f>IF(D484=1,IF(TRIM(INDEX(Charge!$K:$K,ROW()))&lt;&gt;"","Interne",IF(TRIM(INDEX(Charge!$L:$L,ROW()))&lt;&gt;"","Externe","Non affecté")),"")</f>
        <v/>
      </c>
      <c r="EN484" t="str">
        <f>IF(D484=1,LEFT(SUBSTITUTE(SUBSTITUTE(SUBSTITUTE(TRIM(SUBSTITUTE(INDEX(Charge!$B:$B,ROW()),CHAR(160)," "))&amp;" | "&amp;TRIM(SUBSTITUTE(INDEX(Charge!$C:$C,ROW()),CHAR(160)," "))&amp;" | "&amp;TRIM(SUBSTITUTE(INDEX(Charge!$D:$D,ROW()),CHAR(160)," ")),"~","-"),"*","+"),"?","!"),240),"")</f>
        <v/>
      </c>
      <c r="EO484">
        <f>IF(EN484="",0,IF(COUNTIF($EN$4:EN484,EN484)=1,1,0))</f>
        <v>0</v>
      </c>
      <c r="EP484" s="166" t="str">
        <f>IF(EO484=1,ROUND(SUMIF($EN$4:$EN$503,EN484,$E$4:$E$503),2),"")</f>
        <v/>
      </c>
      <c r="EQ484" t="str">
        <f>IF(EO484=1,COUNTIFS($EO$4:$EO$503,1,$EP$4:$EP$503,"&gt;"&amp;EP484)+COUNTIFS($EO$4:EO484,1,$EP$4:EP484,EP484),"")</f>
        <v/>
      </c>
      <c r="ER484" t="str">
        <f>IF(EO484=1,COUNTIFS($EN$4:$EN$503,EN484,$EM$4:$EM$503,"Interne",$FE$4:$FE$503,1),"")</f>
        <v/>
      </c>
      <c r="ES484" t="str">
        <f>IF(EO484=1,COUNTIFS($EN$4:$EN$503,EN484,$EM$4:$EM$503,"Externe",$FE$4:$FE$503,1),"")</f>
        <v/>
      </c>
      <c r="ET484" t="str">
        <f>IF(EO484=1,IF(ER484+ES484=0,"à affecter",IF(ER484=0,ES484&amp;" ext.",(ER484+ES484)&amp;IF(ES484&gt;0," dont "&amp;ES484&amp;" ext.",""))&amp;IF(COUNTIFS($EN$4:$EN$503,EN484,$EM$4:$EM$503,"Non affecté")&gt;0," + à affecter","")),"")</f>
        <v/>
      </c>
      <c r="EU484" s="170" t="str">
        <f>IF(EO484=1,IF(EP484&gt;0,SUMPRODUCT(($EN$4:$EN$503=EN484)*$E$4:$E$503*$C$4:$C$503)/EP484,AVERAGEIF($EN$4:$EN$503,EN484,$C$4:$C$503)),"")</f>
        <v/>
      </c>
      <c r="EV484" s="165">
        <f>IF(ISNUMBER(I484),I484,2958465)</f>
        <v>2958465.0</v>
      </c>
      <c r="EW484" s="165" t="str">
        <f>IF(EO484=1,SUMPRODUCT(MIN(($EN$4:$EN$503=EN484)*$EV$4:$EV$503+($EN$4:$EN$503&lt;&gt;EN484)*2958465)),"")</f>
        <v/>
      </c>
      <c r="EX484" s="165">
        <f>IF(AND(D484=1,ISNUMBER(INDEX(Charge!$F:$F,ROW()))),INDEX(Charge!$F:$F,ROW()),0)</f>
        <v>0.0</v>
      </c>
      <c r="EY484" s="165" t="str">
        <f>IF(EO484=1,SUMPRODUCT(MAX(($EN$4:$EN$503=EN484)*$EX$4:$EX$503)),"")</f>
        <v/>
      </c>
      <c r="FD484">
        <f>IF(AND(B484=1,TRIM(INDEX(Charge!$K:$K,ROW()))&lt;&gt;"",TRIM(INDEX(Charge!$L:$L,ROW()))&lt;&gt;""),1,0)</f>
        <v>0</v>
      </c>
      <c r="FE484">
        <f>IF(OR(EN484="",BZ484="(non affecté)"),0,IF(COUNTIFS($EN$4:EN484,EN484,$BZ$4:BZ484,BZ484)=1,1,0))</f>
        <v>0</v>
      </c>
    </row>
    <row r="485">
      <c r="A485">
        <f>ROW()</f>
        <v>485</v>
      </c>
      <c r="B485">
        <f>IF(TRIM(INDEX(Charge!$B:$B,ROW()))&lt;&gt;"",1,0)</f>
        <v>0</v>
      </c>
      <c r="C485">
        <f>IF(B485=1,MIN(1,MAX(0,N(INDEX(Charge!$O:$O,ROW())))),0)</f>
        <v>0</v>
      </c>
      <c r="D485">
        <f>IF(B485=1,IF(OR(p_Perimetre="Tous les projets",C485&lt;1),1,0),0)</f>
        <v>0</v>
      </c>
      <c r="E485">
        <f>IF(D485=1,MAX(0,N(INDEX(Charge!$M:$M,ROW()))),0)</f>
        <v>0</v>
      </c>
      <c r="F485" t="str">
        <f>IF(D485=1,IF(TRIM(INDEX(Charge!$A:$A,ROW()))="","(non renseigné)",TRIM(INDEX(Charge!$A:$A,ROW()))),"")</f>
        <v/>
      </c>
      <c r="G485" t="str">
        <f>IF(D485=1,TRIM(INDEX(Charge!$B:$B,ROW())),"")</f>
        <v/>
      </c>
      <c r="H485" t="str">
        <f>IF(D485=1,IF(TRIM(INDEX(Charge!$E:$E,ROW()))="","(non renseigné)",TRIM(INDEX(Charge!$E:$E,ROW()))),"")</f>
        <v/>
      </c>
      <c r="I485" s="165" t="str">
        <f>IF(AND(D485=1,ISNUMBER(INDEX(Charge!$N:$N,ROW()))),INDEX(Charge!$N:$N,ROW()),"")</f>
        <v/>
      </c>
      <c r="J485" s="165" t="str">
        <f>IF(I485="","",IF(AND(p_Repartition="Lissée jusqu'à la date de besoin",ISNUMBER(INDEX(Charge!$F:$F,ROW()))),IF(INDEX(Charge!$F:$F,ROW())&gt;=I485,INDEX(Charge!$F:$F,ROW()),I485),I485))</f>
        <v/>
      </c>
      <c r="K485" t="str">
        <f>IF(I485="","",NETWORKDAYS(I485,J485,Data!$K$4:$K$203))</f>
        <v/>
      </c>
      <c r="L485" t="str">
        <f>IF(D485=1,COUNTIFS($D$4:$D$503,1,$E$4:$E$503,"&gt;"&amp;E485)+COUNTIFS($D$4:$D485,1,$E$4:$E485,E485),"")</f>
        <v/>
      </c>
      <c r="M485">
        <f>IF(F485="",0,IF(COUNTIF($F$4:F485,F485)=1,1,0))</f>
        <v>0</v>
      </c>
      <c r="N485" t="str">
        <f>IF(M485=1,ROUND(SUMIF($F$4:$F$503,F485,$E$4:$E$503),2),"")</f>
        <v/>
      </c>
      <c r="O485" t="str">
        <f>IF(M485=1,COUNTIFS($M$4:$M$503,1,$N$4:$N$503,"&gt;"&amp;N485)+COUNTIFS($M$4:M485,1,$N$4:N485,N485),"")</f>
        <v/>
      </c>
      <c r="P485">
        <f>IF(G485="",0,IF(COUNTIF($G$4:G485,G485)=1,1,0))</f>
        <v>0</v>
      </c>
      <c r="Q485" t="str">
        <f>IF(P485=1,ROUND(SUMIF($G$4:$G$503,G485,$E$4:$E$503),2),"")</f>
        <v/>
      </c>
      <c r="R485" t="str">
        <f>IF(P485=1,COUNTIFS($P$4:$P$503,1,$Q$4:$Q$503,"&gt;"&amp;Q485)+COUNTIFS($P$4:P485,1,$Q$4:Q485,Q485),"")</f>
        <v/>
      </c>
      <c r="S485">
        <f>IF(H485="",0,IF(COUNTIF($H$4:H485,H485)=1,1,0))</f>
        <v>0</v>
      </c>
      <c r="T485" t="str">
        <f>IF(S485=1,ROUND(SUMIF($H$4:$H$503,H485,$E$4:$E$503),2),"")</f>
        <v/>
      </c>
      <c r="U485" t="str">
        <f>IF(S485=1,COUNTIFS($S$4:$S$503,1,$T$4:$T$503,"&gt;"&amp;T485)+COUNTIFS($S$4:S485,1,$T$4:T485,T485),"")</f>
        <v/>
      </c>
      <c r="V485" t="str">
        <f>IF(D485=1,MIN(INDEX($R$4:$R$503,MATCH(G485,$G$4:$G$503,0)),IF($AL$7&gt;9,9,999)),"")</f>
        <v/>
      </c>
      <c r="W485" s="166">
        <f>IF(OR($I485="",$E485=0),0,IF(OR($J485&lt;W$3,$I485&gt;W$2),0,IF($K485=0,IF(AND($I485&gt;=W$3,$I485&lt;=W$2),$E485,0),$E485*NETWORKDAYS(MAX($I485,W$3),MIN($J485,W$2),Data!$K$4:$K$203)/$K485)))</f>
        <v>0</v>
      </c>
      <c r="X485" s="166">
        <f>IF(OR($I485="",$E485=0),0,IF(OR($J485&lt;X$3,$I485&gt;X$2),0,IF($K485=0,IF(AND($I485&gt;=X$3,$I485&lt;=X$2),$E485,0),$E485*NETWORKDAYS(MAX($I485,X$3),MIN($J485,X$2),Data!$K$4:$K$203)/$K485)))</f>
        <v>0</v>
      </c>
      <c r="Y485" s="166">
        <f>IF(OR($I485="",$E485=0),0,IF(OR($J485&lt;Y$3,$I485&gt;Y$2),0,IF($K485=0,IF(AND($I485&gt;=Y$3,$I485&lt;=Y$2),$E485,0),$E485*NETWORKDAYS(MAX($I485,Y$3),MIN($J485,Y$2),Data!$K$4:$K$203)/$K485)))</f>
        <v>0</v>
      </c>
      <c r="Z485" s="166">
        <f>IF(OR($I485="",$E485=0),0,IF(OR($J485&lt;Z$3,$I485&gt;Z$2),0,IF($K485=0,IF(AND($I485&gt;=Z$3,$I485&lt;=Z$2),$E485,0),$E485*NETWORKDAYS(MAX($I485,Z$3),MIN($J485,Z$2),Data!$K$4:$K$203)/$K485)))</f>
        <v>0</v>
      </c>
      <c r="AA485" s="166">
        <f>IF(OR($I485="",$E485=0),0,IF(OR($J485&lt;AA$3,$I485&gt;AA$2),0,IF($K485=0,IF(AND($I485&gt;=AA$3,$I485&lt;=AA$2),$E485,0),$E485*NETWORKDAYS(MAX($I485,AA$3),MIN($J485,AA$2),Data!$K$4:$K$203)/$K485)))</f>
        <v>0</v>
      </c>
      <c r="AB485" s="166">
        <f>IF(OR($I485="",$E485=0),0,IF(OR($J485&lt;AB$3,$I485&gt;AB$2),0,IF($K485=0,IF(AND($I485&gt;=AB$3,$I485&lt;=AB$2),$E485,0),$E485*NETWORKDAYS(MAX($I485,AB$3),MIN($J485,AB$2),Data!$K$4:$K$203)/$K485)))</f>
        <v>0</v>
      </c>
      <c r="AC485" s="166">
        <f>IF(OR($I485="",$E485=0),0,IF(OR($J485&lt;AC$3,$I485&gt;AC$2),0,IF($K485=0,IF(AND($I485&gt;=AC$3,$I485&lt;=AC$2),$E485,0),$E485*NETWORKDAYS(MAX($I485,AC$3),MIN($J485,AC$2),Data!$K$4:$K$203)/$K485)))</f>
        <v>0</v>
      </c>
      <c r="AD485" s="166">
        <f>IF(OR($I485="",$E485=0),0,IF(OR($J485&lt;AD$3,$I485&gt;AD$2),0,IF($K485=0,IF(AND($I485&gt;=AD$3,$I485&lt;=AD$2),$E485,0),$E485*NETWORKDAYS(MAX($I485,AD$3),MIN($J485,AD$2),Data!$K$4:$K$203)/$K485)))</f>
        <v>0</v>
      </c>
      <c r="AE485" s="166">
        <f>IF(OR($I485="",$E485=0),0,IF(OR($J485&lt;AE$3,$I485&gt;AE$2),0,IF($K485=0,IF(AND($I485&gt;=AE$3,$I485&lt;=AE$2),$E485,0),$E485*NETWORKDAYS(MAX($I485,AE$3),MIN($J485,AE$2),Data!$K$4:$K$203)/$K485)))</f>
        <v>0</v>
      </c>
      <c r="AF485" s="166">
        <f>IF(OR($I485="",$E485=0),0,IF(OR($J485&lt;AF$3,$I485&gt;AF$2),0,IF($K485=0,IF(AND($I485&gt;=AF$3,$I485&lt;=AF$2),$E485,0),$E485*NETWORKDAYS(MAX($I485,AF$3),MIN($J485,AF$2),Data!$K$4:$K$203)/$K485)))</f>
        <v>0</v>
      </c>
      <c r="AG485" s="166">
        <f>IF(OR($I485="",$E485=0),0,IF(OR($J485&lt;AG$3,$I485&gt;AG$2),0,IF($K485=0,IF(AND($I485&gt;=AG$3,$I485&lt;=AG$2),$E485,0),$E485*NETWORKDAYS(MAX($I485,AG$3),MIN($J485,AG$2),Data!$K$4:$K$203)/$K485)))</f>
        <v>0</v>
      </c>
      <c r="AH485" s="166">
        <f>IF(OR($I485="",$E485=0),0,IF(OR($J485&lt;AH$3,$I485&gt;AH$2),0,IF($K485=0,IF(AND($I485&gt;=AH$3,$I485&lt;=AH$2),$E485,0),$E485*NETWORKDAYS(MAX($I485,AH$3),MIN($J485,AH$2),Data!$K$4:$K$203)/$K485)))</f>
        <v>0</v>
      </c>
      <c r="AI485" s="166">
        <f>SUM(W485:AH485)</f>
        <v>0</v>
      </c>
      <c r="BZ485" t="str">
        <f>IF(D485=1,IF(TRIM(INDEX(Charge!$K:$K,ROW()))&lt;&gt;"",TRIM(INDEX(Charge!$K:$K,ROW())),IF(TRIM(INDEX(Charge!$L:$L,ROW()))&lt;&gt;"",TRIM(INDEX(Charge!$L:$L,ROW())),"(non affecté)")),"")</f>
        <v/>
      </c>
      <c r="CA485" t="str">
        <f>IF(AND($CD$4&lt;&gt;"",BZ485=$CD$4),COUNTIFS($BZ$4:$BZ$503,$CD$4,$L$4:$L$503,"&lt;"&amp;L485)+1,"")</f>
        <v/>
      </c>
      <c r="EM485" t="str">
        <f>IF(D485=1,IF(TRIM(INDEX(Charge!$K:$K,ROW()))&lt;&gt;"","Interne",IF(TRIM(INDEX(Charge!$L:$L,ROW()))&lt;&gt;"","Externe","Non affecté")),"")</f>
        <v/>
      </c>
      <c r="EN485" t="str">
        <f>IF(D485=1,LEFT(SUBSTITUTE(SUBSTITUTE(SUBSTITUTE(TRIM(SUBSTITUTE(INDEX(Charge!$B:$B,ROW()),CHAR(160)," "))&amp;" | "&amp;TRIM(SUBSTITUTE(INDEX(Charge!$C:$C,ROW()),CHAR(160)," "))&amp;" | "&amp;TRIM(SUBSTITUTE(INDEX(Charge!$D:$D,ROW()),CHAR(160)," ")),"~","-"),"*","+"),"?","!"),240),"")</f>
        <v/>
      </c>
      <c r="EO485">
        <f>IF(EN485="",0,IF(COUNTIF($EN$4:EN485,EN485)=1,1,0))</f>
        <v>0</v>
      </c>
      <c r="EP485" s="166" t="str">
        <f>IF(EO485=1,ROUND(SUMIF($EN$4:$EN$503,EN485,$E$4:$E$503),2),"")</f>
        <v/>
      </c>
      <c r="EQ485" t="str">
        <f>IF(EO485=1,COUNTIFS($EO$4:$EO$503,1,$EP$4:$EP$503,"&gt;"&amp;EP485)+COUNTIFS($EO$4:EO485,1,$EP$4:EP485,EP485),"")</f>
        <v/>
      </c>
      <c r="ER485" t="str">
        <f>IF(EO485=1,COUNTIFS($EN$4:$EN$503,EN485,$EM$4:$EM$503,"Interne",$FE$4:$FE$503,1),"")</f>
        <v/>
      </c>
      <c r="ES485" t="str">
        <f>IF(EO485=1,COUNTIFS($EN$4:$EN$503,EN485,$EM$4:$EM$503,"Externe",$FE$4:$FE$503,1),"")</f>
        <v/>
      </c>
      <c r="ET485" t="str">
        <f>IF(EO485=1,IF(ER485+ES485=0,"à affecter",IF(ER485=0,ES485&amp;" ext.",(ER485+ES485)&amp;IF(ES485&gt;0," dont "&amp;ES485&amp;" ext.",""))&amp;IF(COUNTIFS($EN$4:$EN$503,EN485,$EM$4:$EM$503,"Non affecté")&gt;0," + à affecter","")),"")</f>
        <v/>
      </c>
      <c r="EU485" s="170" t="str">
        <f>IF(EO485=1,IF(EP485&gt;0,SUMPRODUCT(($EN$4:$EN$503=EN485)*$E$4:$E$503*$C$4:$C$503)/EP485,AVERAGEIF($EN$4:$EN$503,EN485,$C$4:$C$503)),"")</f>
        <v/>
      </c>
      <c r="EV485" s="165">
        <f>IF(ISNUMBER(I485),I485,2958465)</f>
        <v>2958465.0</v>
      </c>
      <c r="EW485" s="165" t="str">
        <f>IF(EO485=1,SUMPRODUCT(MIN(($EN$4:$EN$503=EN485)*$EV$4:$EV$503+($EN$4:$EN$503&lt;&gt;EN485)*2958465)),"")</f>
        <v/>
      </c>
      <c r="EX485" s="165">
        <f>IF(AND(D485=1,ISNUMBER(INDEX(Charge!$F:$F,ROW()))),INDEX(Charge!$F:$F,ROW()),0)</f>
        <v>0.0</v>
      </c>
      <c r="EY485" s="165" t="str">
        <f>IF(EO485=1,SUMPRODUCT(MAX(($EN$4:$EN$503=EN485)*$EX$4:$EX$503)),"")</f>
        <v/>
      </c>
      <c r="FD485">
        <f>IF(AND(B485=1,TRIM(INDEX(Charge!$K:$K,ROW()))&lt;&gt;"",TRIM(INDEX(Charge!$L:$L,ROW()))&lt;&gt;""),1,0)</f>
        <v>0</v>
      </c>
      <c r="FE485">
        <f>IF(OR(EN485="",BZ485="(non affecté)"),0,IF(COUNTIFS($EN$4:EN485,EN485,$BZ$4:BZ485,BZ485)=1,1,0))</f>
        <v>0</v>
      </c>
    </row>
    <row r="486">
      <c r="A486">
        <f>ROW()</f>
        <v>486</v>
      </c>
      <c r="B486">
        <f>IF(TRIM(INDEX(Charge!$B:$B,ROW()))&lt;&gt;"",1,0)</f>
        <v>0</v>
      </c>
      <c r="C486">
        <f>IF(B486=1,MIN(1,MAX(0,N(INDEX(Charge!$O:$O,ROW())))),0)</f>
        <v>0</v>
      </c>
      <c r="D486">
        <f>IF(B486=1,IF(OR(p_Perimetre="Tous les projets",C486&lt;1),1,0),0)</f>
        <v>0</v>
      </c>
      <c r="E486">
        <f>IF(D486=1,MAX(0,N(INDEX(Charge!$M:$M,ROW()))),0)</f>
        <v>0</v>
      </c>
      <c r="F486" t="str">
        <f>IF(D486=1,IF(TRIM(INDEX(Charge!$A:$A,ROW()))="","(non renseigné)",TRIM(INDEX(Charge!$A:$A,ROW()))),"")</f>
        <v/>
      </c>
      <c r="G486" t="str">
        <f>IF(D486=1,TRIM(INDEX(Charge!$B:$B,ROW())),"")</f>
        <v/>
      </c>
      <c r="H486" t="str">
        <f>IF(D486=1,IF(TRIM(INDEX(Charge!$E:$E,ROW()))="","(non renseigné)",TRIM(INDEX(Charge!$E:$E,ROW()))),"")</f>
        <v/>
      </c>
      <c r="I486" s="165" t="str">
        <f>IF(AND(D486=1,ISNUMBER(INDEX(Charge!$N:$N,ROW()))),INDEX(Charge!$N:$N,ROW()),"")</f>
        <v/>
      </c>
      <c r="J486" s="165" t="str">
        <f>IF(I486="","",IF(AND(p_Repartition="Lissée jusqu'à la date de besoin",ISNUMBER(INDEX(Charge!$F:$F,ROW()))),IF(INDEX(Charge!$F:$F,ROW())&gt;=I486,INDEX(Charge!$F:$F,ROW()),I486),I486))</f>
        <v/>
      </c>
      <c r="K486" t="str">
        <f>IF(I486="","",NETWORKDAYS(I486,J486,Data!$K$4:$K$203))</f>
        <v/>
      </c>
      <c r="L486" t="str">
        <f>IF(D486=1,COUNTIFS($D$4:$D$503,1,$E$4:$E$503,"&gt;"&amp;E486)+COUNTIFS($D$4:$D486,1,$E$4:$E486,E486),"")</f>
        <v/>
      </c>
      <c r="M486">
        <f>IF(F486="",0,IF(COUNTIF($F$4:F486,F486)=1,1,0))</f>
        <v>0</v>
      </c>
      <c r="N486" t="str">
        <f>IF(M486=1,ROUND(SUMIF($F$4:$F$503,F486,$E$4:$E$503),2),"")</f>
        <v/>
      </c>
      <c r="O486" t="str">
        <f>IF(M486=1,COUNTIFS($M$4:$M$503,1,$N$4:$N$503,"&gt;"&amp;N486)+COUNTIFS($M$4:M486,1,$N$4:N486,N486),"")</f>
        <v/>
      </c>
      <c r="P486">
        <f>IF(G486="",0,IF(COUNTIF($G$4:G486,G486)=1,1,0))</f>
        <v>0</v>
      </c>
      <c r="Q486" t="str">
        <f>IF(P486=1,ROUND(SUMIF($G$4:$G$503,G486,$E$4:$E$503),2),"")</f>
        <v/>
      </c>
      <c r="R486" t="str">
        <f>IF(P486=1,COUNTIFS($P$4:$P$503,1,$Q$4:$Q$503,"&gt;"&amp;Q486)+COUNTIFS($P$4:P486,1,$Q$4:Q486,Q486),"")</f>
        <v/>
      </c>
      <c r="S486">
        <f>IF(H486="",0,IF(COUNTIF($H$4:H486,H486)=1,1,0))</f>
        <v>0</v>
      </c>
      <c r="T486" t="str">
        <f>IF(S486=1,ROUND(SUMIF($H$4:$H$503,H486,$E$4:$E$503),2),"")</f>
        <v/>
      </c>
      <c r="U486" t="str">
        <f>IF(S486=1,COUNTIFS($S$4:$S$503,1,$T$4:$T$503,"&gt;"&amp;T486)+COUNTIFS($S$4:S486,1,$T$4:T486,T486),"")</f>
        <v/>
      </c>
      <c r="V486" t="str">
        <f>IF(D486=1,MIN(INDEX($R$4:$R$503,MATCH(G486,$G$4:$G$503,0)),IF($AL$7&gt;9,9,999)),"")</f>
        <v/>
      </c>
      <c r="W486" s="166">
        <f>IF(OR($I486="",$E486=0),0,IF(OR($J486&lt;W$3,$I486&gt;W$2),0,IF($K486=0,IF(AND($I486&gt;=W$3,$I486&lt;=W$2),$E486,0),$E486*NETWORKDAYS(MAX($I486,W$3),MIN($J486,W$2),Data!$K$4:$K$203)/$K486)))</f>
        <v>0</v>
      </c>
      <c r="X486" s="166">
        <f>IF(OR($I486="",$E486=0),0,IF(OR($J486&lt;X$3,$I486&gt;X$2),0,IF($K486=0,IF(AND($I486&gt;=X$3,$I486&lt;=X$2),$E486,0),$E486*NETWORKDAYS(MAX($I486,X$3),MIN($J486,X$2),Data!$K$4:$K$203)/$K486)))</f>
        <v>0</v>
      </c>
      <c r="Y486" s="166">
        <f>IF(OR($I486="",$E486=0),0,IF(OR($J486&lt;Y$3,$I486&gt;Y$2),0,IF($K486=0,IF(AND($I486&gt;=Y$3,$I486&lt;=Y$2),$E486,0),$E486*NETWORKDAYS(MAX($I486,Y$3),MIN($J486,Y$2),Data!$K$4:$K$203)/$K486)))</f>
        <v>0</v>
      </c>
      <c r="Z486" s="166">
        <f>IF(OR($I486="",$E486=0),0,IF(OR($J486&lt;Z$3,$I486&gt;Z$2),0,IF($K486=0,IF(AND($I486&gt;=Z$3,$I486&lt;=Z$2),$E486,0),$E486*NETWORKDAYS(MAX($I486,Z$3),MIN($J486,Z$2),Data!$K$4:$K$203)/$K486)))</f>
        <v>0</v>
      </c>
      <c r="AA486" s="166">
        <f>IF(OR($I486="",$E486=0),0,IF(OR($J486&lt;AA$3,$I486&gt;AA$2),0,IF($K486=0,IF(AND($I486&gt;=AA$3,$I486&lt;=AA$2),$E486,0),$E486*NETWORKDAYS(MAX($I486,AA$3),MIN($J486,AA$2),Data!$K$4:$K$203)/$K486)))</f>
        <v>0</v>
      </c>
      <c r="AB486" s="166">
        <f>IF(OR($I486="",$E486=0),0,IF(OR($J486&lt;AB$3,$I486&gt;AB$2),0,IF($K486=0,IF(AND($I486&gt;=AB$3,$I486&lt;=AB$2),$E486,0),$E486*NETWORKDAYS(MAX($I486,AB$3),MIN($J486,AB$2),Data!$K$4:$K$203)/$K486)))</f>
        <v>0</v>
      </c>
      <c r="AC486" s="166">
        <f>IF(OR($I486="",$E486=0),0,IF(OR($J486&lt;AC$3,$I486&gt;AC$2),0,IF($K486=0,IF(AND($I486&gt;=AC$3,$I486&lt;=AC$2),$E486,0),$E486*NETWORKDAYS(MAX($I486,AC$3),MIN($J486,AC$2),Data!$K$4:$K$203)/$K486)))</f>
        <v>0</v>
      </c>
      <c r="AD486" s="166">
        <f>IF(OR($I486="",$E486=0),0,IF(OR($J486&lt;AD$3,$I486&gt;AD$2),0,IF($K486=0,IF(AND($I486&gt;=AD$3,$I486&lt;=AD$2),$E486,0),$E486*NETWORKDAYS(MAX($I486,AD$3),MIN($J486,AD$2),Data!$K$4:$K$203)/$K486)))</f>
        <v>0</v>
      </c>
      <c r="AE486" s="166">
        <f>IF(OR($I486="",$E486=0),0,IF(OR($J486&lt;AE$3,$I486&gt;AE$2),0,IF($K486=0,IF(AND($I486&gt;=AE$3,$I486&lt;=AE$2),$E486,0),$E486*NETWORKDAYS(MAX($I486,AE$3),MIN($J486,AE$2),Data!$K$4:$K$203)/$K486)))</f>
        <v>0</v>
      </c>
      <c r="AF486" s="166">
        <f>IF(OR($I486="",$E486=0),0,IF(OR($J486&lt;AF$3,$I486&gt;AF$2),0,IF($K486=0,IF(AND($I486&gt;=AF$3,$I486&lt;=AF$2),$E486,0),$E486*NETWORKDAYS(MAX($I486,AF$3),MIN($J486,AF$2),Data!$K$4:$K$203)/$K486)))</f>
        <v>0</v>
      </c>
      <c r="AG486" s="166">
        <f>IF(OR($I486="",$E486=0),0,IF(OR($J486&lt;AG$3,$I486&gt;AG$2),0,IF($K486=0,IF(AND($I486&gt;=AG$3,$I486&lt;=AG$2),$E486,0),$E486*NETWORKDAYS(MAX($I486,AG$3),MIN($J486,AG$2),Data!$K$4:$K$203)/$K486)))</f>
        <v>0</v>
      </c>
      <c r="AH486" s="166">
        <f>IF(OR($I486="",$E486=0),0,IF(OR($J486&lt;AH$3,$I486&gt;AH$2),0,IF($K486=0,IF(AND($I486&gt;=AH$3,$I486&lt;=AH$2),$E486,0),$E486*NETWORKDAYS(MAX($I486,AH$3),MIN($J486,AH$2),Data!$K$4:$K$203)/$K486)))</f>
        <v>0</v>
      </c>
      <c r="AI486" s="166">
        <f>SUM(W486:AH486)</f>
        <v>0</v>
      </c>
      <c r="BZ486" t="str">
        <f>IF(D486=1,IF(TRIM(INDEX(Charge!$K:$K,ROW()))&lt;&gt;"",TRIM(INDEX(Charge!$K:$K,ROW())),IF(TRIM(INDEX(Charge!$L:$L,ROW()))&lt;&gt;"",TRIM(INDEX(Charge!$L:$L,ROW())),"(non affecté)")),"")</f>
        <v/>
      </c>
      <c r="CA486" t="str">
        <f>IF(AND($CD$4&lt;&gt;"",BZ486=$CD$4),COUNTIFS($BZ$4:$BZ$503,$CD$4,$L$4:$L$503,"&lt;"&amp;L486)+1,"")</f>
        <v/>
      </c>
      <c r="EM486" t="str">
        <f>IF(D486=1,IF(TRIM(INDEX(Charge!$K:$K,ROW()))&lt;&gt;"","Interne",IF(TRIM(INDEX(Charge!$L:$L,ROW()))&lt;&gt;"","Externe","Non affecté")),"")</f>
        <v/>
      </c>
      <c r="EN486" t="str">
        <f>IF(D486=1,LEFT(SUBSTITUTE(SUBSTITUTE(SUBSTITUTE(TRIM(SUBSTITUTE(INDEX(Charge!$B:$B,ROW()),CHAR(160)," "))&amp;" | "&amp;TRIM(SUBSTITUTE(INDEX(Charge!$C:$C,ROW()),CHAR(160)," "))&amp;" | "&amp;TRIM(SUBSTITUTE(INDEX(Charge!$D:$D,ROW()),CHAR(160)," ")),"~","-"),"*","+"),"?","!"),240),"")</f>
        <v/>
      </c>
      <c r="EO486">
        <f>IF(EN486="",0,IF(COUNTIF($EN$4:EN486,EN486)=1,1,0))</f>
        <v>0</v>
      </c>
      <c r="EP486" s="166" t="str">
        <f>IF(EO486=1,ROUND(SUMIF($EN$4:$EN$503,EN486,$E$4:$E$503),2),"")</f>
        <v/>
      </c>
      <c r="EQ486" t="str">
        <f>IF(EO486=1,COUNTIFS($EO$4:$EO$503,1,$EP$4:$EP$503,"&gt;"&amp;EP486)+COUNTIFS($EO$4:EO486,1,$EP$4:EP486,EP486),"")</f>
        <v/>
      </c>
      <c r="ER486" t="str">
        <f>IF(EO486=1,COUNTIFS($EN$4:$EN$503,EN486,$EM$4:$EM$503,"Interne",$FE$4:$FE$503,1),"")</f>
        <v/>
      </c>
      <c r="ES486" t="str">
        <f>IF(EO486=1,COUNTIFS($EN$4:$EN$503,EN486,$EM$4:$EM$503,"Externe",$FE$4:$FE$503,1),"")</f>
        <v/>
      </c>
      <c r="ET486" t="str">
        <f>IF(EO486=1,IF(ER486+ES486=0,"à affecter",IF(ER486=0,ES486&amp;" ext.",(ER486+ES486)&amp;IF(ES486&gt;0," dont "&amp;ES486&amp;" ext.",""))&amp;IF(COUNTIFS($EN$4:$EN$503,EN486,$EM$4:$EM$503,"Non affecté")&gt;0," + à affecter","")),"")</f>
        <v/>
      </c>
      <c r="EU486" s="170" t="str">
        <f>IF(EO486=1,IF(EP486&gt;0,SUMPRODUCT(($EN$4:$EN$503=EN486)*$E$4:$E$503*$C$4:$C$503)/EP486,AVERAGEIF($EN$4:$EN$503,EN486,$C$4:$C$503)),"")</f>
        <v/>
      </c>
      <c r="EV486" s="165">
        <f>IF(ISNUMBER(I486),I486,2958465)</f>
        <v>2958465.0</v>
      </c>
      <c r="EW486" s="165" t="str">
        <f>IF(EO486=1,SUMPRODUCT(MIN(($EN$4:$EN$503=EN486)*$EV$4:$EV$503+($EN$4:$EN$503&lt;&gt;EN486)*2958465)),"")</f>
        <v/>
      </c>
      <c r="EX486" s="165">
        <f>IF(AND(D486=1,ISNUMBER(INDEX(Charge!$F:$F,ROW()))),INDEX(Charge!$F:$F,ROW()),0)</f>
        <v>0.0</v>
      </c>
      <c r="EY486" s="165" t="str">
        <f>IF(EO486=1,SUMPRODUCT(MAX(($EN$4:$EN$503=EN486)*$EX$4:$EX$503)),"")</f>
        <v/>
      </c>
      <c r="FD486">
        <f>IF(AND(B486=1,TRIM(INDEX(Charge!$K:$K,ROW()))&lt;&gt;"",TRIM(INDEX(Charge!$L:$L,ROW()))&lt;&gt;""),1,0)</f>
        <v>0</v>
      </c>
      <c r="FE486">
        <f>IF(OR(EN486="",BZ486="(non affecté)"),0,IF(COUNTIFS($EN$4:EN486,EN486,$BZ$4:BZ486,BZ486)=1,1,0))</f>
        <v>0</v>
      </c>
    </row>
    <row r="487">
      <c r="A487">
        <f>ROW()</f>
        <v>487</v>
      </c>
      <c r="B487">
        <f>IF(TRIM(INDEX(Charge!$B:$B,ROW()))&lt;&gt;"",1,0)</f>
        <v>0</v>
      </c>
      <c r="C487">
        <f>IF(B487=1,MIN(1,MAX(0,N(INDEX(Charge!$O:$O,ROW())))),0)</f>
        <v>0</v>
      </c>
      <c r="D487">
        <f>IF(B487=1,IF(OR(p_Perimetre="Tous les projets",C487&lt;1),1,0),0)</f>
        <v>0</v>
      </c>
      <c r="E487">
        <f>IF(D487=1,MAX(0,N(INDEX(Charge!$M:$M,ROW()))),0)</f>
        <v>0</v>
      </c>
      <c r="F487" t="str">
        <f>IF(D487=1,IF(TRIM(INDEX(Charge!$A:$A,ROW()))="","(non renseigné)",TRIM(INDEX(Charge!$A:$A,ROW()))),"")</f>
        <v/>
      </c>
      <c r="G487" t="str">
        <f>IF(D487=1,TRIM(INDEX(Charge!$B:$B,ROW())),"")</f>
        <v/>
      </c>
      <c r="H487" t="str">
        <f>IF(D487=1,IF(TRIM(INDEX(Charge!$E:$E,ROW()))="","(non renseigné)",TRIM(INDEX(Charge!$E:$E,ROW()))),"")</f>
        <v/>
      </c>
      <c r="I487" s="165" t="str">
        <f>IF(AND(D487=1,ISNUMBER(INDEX(Charge!$N:$N,ROW()))),INDEX(Charge!$N:$N,ROW()),"")</f>
        <v/>
      </c>
      <c r="J487" s="165" t="str">
        <f>IF(I487="","",IF(AND(p_Repartition="Lissée jusqu'à la date de besoin",ISNUMBER(INDEX(Charge!$F:$F,ROW()))),IF(INDEX(Charge!$F:$F,ROW())&gt;=I487,INDEX(Charge!$F:$F,ROW()),I487),I487))</f>
        <v/>
      </c>
      <c r="K487" t="str">
        <f>IF(I487="","",NETWORKDAYS(I487,J487,Data!$K$4:$K$203))</f>
        <v/>
      </c>
      <c r="L487" t="str">
        <f>IF(D487=1,COUNTIFS($D$4:$D$503,1,$E$4:$E$503,"&gt;"&amp;E487)+COUNTIFS($D$4:$D487,1,$E$4:$E487,E487),"")</f>
        <v/>
      </c>
      <c r="M487">
        <f>IF(F487="",0,IF(COUNTIF($F$4:F487,F487)=1,1,0))</f>
        <v>0</v>
      </c>
      <c r="N487" t="str">
        <f>IF(M487=1,ROUND(SUMIF($F$4:$F$503,F487,$E$4:$E$503),2),"")</f>
        <v/>
      </c>
      <c r="O487" t="str">
        <f>IF(M487=1,COUNTIFS($M$4:$M$503,1,$N$4:$N$503,"&gt;"&amp;N487)+COUNTIFS($M$4:M487,1,$N$4:N487,N487),"")</f>
        <v/>
      </c>
      <c r="P487">
        <f>IF(G487="",0,IF(COUNTIF($G$4:G487,G487)=1,1,0))</f>
        <v>0</v>
      </c>
      <c r="Q487" t="str">
        <f>IF(P487=1,ROUND(SUMIF($G$4:$G$503,G487,$E$4:$E$503),2),"")</f>
        <v/>
      </c>
      <c r="R487" t="str">
        <f>IF(P487=1,COUNTIFS($P$4:$P$503,1,$Q$4:$Q$503,"&gt;"&amp;Q487)+COUNTIFS($P$4:P487,1,$Q$4:Q487,Q487),"")</f>
        <v/>
      </c>
      <c r="S487">
        <f>IF(H487="",0,IF(COUNTIF($H$4:H487,H487)=1,1,0))</f>
        <v>0</v>
      </c>
      <c r="T487" t="str">
        <f>IF(S487=1,ROUND(SUMIF($H$4:$H$503,H487,$E$4:$E$503),2),"")</f>
        <v/>
      </c>
      <c r="U487" t="str">
        <f>IF(S487=1,COUNTIFS($S$4:$S$503,1,$T$4:$T$503,"&gt;"&amp;T487)+COUNTIFS($S$4:S487,1,$T$4:T487,T487),"")</f>
        <v/>
      </c>
      <c r="V487" t="str">
        <f>IF(D487=1,MIN(INDEX($R$4:$R$503,MATCH(G487,$G$4:$G$503,0)),IF($AL$7&gt;9,9,999)),"")</f>
        <v/>
      </c>
      <c r="W487" s="166">
        <f>IF(OR($I487="",$E487=0),0,IF(OR($J487&lt;W$3,$I487&gt;W$2),0,IF($K487=0,IF(AND($I487&gt;=W$3,$I487&lt;=W$2),$E487,0),$E487*NETWORKDAYS(MAX($I487,W$3),MIN($J487,W$2),Data!$K$4:$K$203)/$K487)))</f>
        <v>0</v>
      </c>
      <c r="X487" s="166">
        <f>IF(OR($I487="",$E487=0),0,IF(OR($J487&lt;X$3,$I487&gt;X$2),0,IF($K487=0,IF(AND($I487&gt;=X$3,$I487&lt;=X$2),$E487,0),$E487*NETWORKDAYS(MAX($I487,X$3),MIN($J487,X$2),Data!$K$4:$K$203)/$K487)))</f>
        <v>0</v>
      </c>
      <c r="Y487" s="166">
        <f>IF(OR($I487="",$E487=0),0,IF(OR($J487&lt;Y$3,$I487&gt;Y$2),0,IF($K487=0,IF(AND($I487&gt;=Y$3,$I487&lt;=Y$2),$E487,0),$E487*NETWORKDAYS(MAX($I487,Y$3),MIN($J487,Y$2),Data!$K$4:$K$203)/$K487)))</f>
        <v>0</v>
      </c>
      <c r="Z487" s="166">
        <f>IF(OR($I487="",$E487=0),0,IF(OR($J487&lt;Z$3,$I487&gt;Z$2),0,IF($K487=0,IF(AND($I487&gt;=Z$3,$I487&lt;=Z$2),$E487,0),$E487*NETWORKDAYS(MAX($I487,Z$3),MIN($J487,Z$2),Data!$K$4:$K$203)/$K487)))</f>
        <v>0</v>
      </c>
      <c r="AA487" s="166">
        <f>IF(OR($I487="",$E487=0),0,IF(OR($J487&lt;AA$3,$I487&gt;AA$2),0,IF($K487=0,IF(AND($I487&gt;=AA$3,$I487&lt;=AA$2),$E487,0),$E487*NETWORKDAYS(MAX($I487,AA$3),MIN($J487,AA$2),Data!$K$4:$K$203)/$K487)))</f>
        <v>0</v>
      </c>
      <c r="AB487" s="166">
        <f>IF(OR($I487="",$E487=0),0,IF(OR($J487&lt;AB$3,$I487&gt;AB$2),0,IF($K487=0,IF(AND($I487&gt;=AB$3,$I487&lt;=AB$2),$E487,0),$E487*NETWORKDAYS(MAX($I487,AB$3),MIN($J487,AB$2),Data!$K$4:$K$203)/$K487)))</f>
        <v>0</v>
      </c>
      <c r="AC487" s="166">
        <f>IF(OR($I487="",$E487=0),0,IF(OR($J487&lt;AC$3,$I487&gt;AC$2),0,IF($K487=0,IF(AND($I487&gt;=AC$3,$I487&lt;=AC$2),$E487,0),$E487*NETWORKDAYS(MAX($I487,AC$3),MIN($J487,AC$2),Data!$K$4:$K$203)/$K487)))</f>
        <v>0</v>
      </c>
      <c r="AD487" s="166">
        <f>IF(OR($I487="",$E487=0),0,IF(OR($J487&lt;AD$3,$I487&gt;AD$2),0,IF($K487=0,IF(AND($I487&gt;=AD$3,$I487&lt;=AD$2),$E487,0),$E487*NETWORKDAYS(MAX($I487,AD$3),MIN($J487,AD$2),Data!$K$4:$K$203)/$K487)))</f>
        <v>0</v>
      </c>
      <c r="AE487" s="166">
        <f>IF(OR($I487="",$E487=0),0,IF(OR($J487&lt;AE$3,$I487&gt;AE$2),0,IF($K487=0,IF(AND($I487&gt;=AE$3,$I487&lt;=AE$2),$E487,0),$E487*NETWORKDAYS(MAX($I487,AE$3),MIN($J487,AE$2),Data!$K$4:$K$203)/$K487)))</f>
        <v>0</v>
      </c>
      <c r="AF487" s="166">
        <f>IF(OR($I487="",$E487=0),0,IF(OR($J487&lt;AF$3,$I487&gt;AF$2),0,IF($K487=0,IF(AND($I487&gt;=AF$3,$I487&lt;=AF$2),$E487,0),$E487*NETWORKDAYS(MAX($I487,AF$3),MIN($J487,AF$2),Data!$K$4:$K$203)/$K487)))</f>
        <v>0</v>
      </c>
      <c r="AG487" s="166">
        <f>IF(OR($I487="",$E487=0),0,IF(OR($J487&lt;AG$3,$I487&gt;AG$2),0,IF($K487=0,IF(AND($I487&gt;=AG$3,$I487&lt;=AG$2),$E487,0),$E487*NETWORKDAYS(MAX($I487,AG$3),MIN($J487,AG$2),Data!$K$4:$K$203)/$K487)))</f>
        <v>0</v>
      </c>
      <c r="AH487" s="166">
        <f>IF(OR($I487="",$E487=0),0,IF(OR($J487&lt;AH$3,$I487&gt;AH$2),0,IF($K487=0,IF(AND($I487&gt;=AH$3,$I487&lt;=AH$2),$E487,0),$E487*NETWORKDAYS(MAX($I487,AH$3),MIN($J487,AH$2),Data!$K$4:$K$203)/$K487)))</f>
        <v>0</v>
      </c>
      <c r="AI487" s="166">
        <f>SUM(W487:AH487)</f>
        <v>0</v>
      </c>
      <c r="BZ487" t="str">
        <f>IF(D487=1,IF(TRIM(INDEX(Charge!$K:$K,ROW()))&lt;&gt;"",TRIM(INDEX(Charge!$K:$K,ROW())),IF(TRIM(INDEX(Charge!$L:$L,ROW()))&lt;&gt;"",TRIM(INDEX(Charge!$L:$L,ROW())),"(non affecté)")),"")</f>
        <v/>
      </c>
      <c r="CA487" t="str">
        <f>IF(AND($CD$4&lt;&gt;"",BZ487=$CD$4),COUNTIFS($BZ$4:$BZ$503,$CD$4,$L$4:$L$503,"&lt;"&amp;L487)+1,"")</f>
        <v/>
      </c>
      <c r="EM487" t="str">
        <f>IF(D487=1,IF(TRIM(INDEX(Charge!$K:$K,ROW()))&lt;&gt;"","Interne",IF(TRIM(INDEX(Charge!$L:$L,ROW()))&lt;&gt;"","Externe","Non affecté")),"")</f>
        <v/>
      </c>
      <c r="EN487" t="str">
        <f>IF(D487=1,LEFT(SUBSTITUTE(SUBSTITUTE(SUBSTITUTE(TRIM(SUBSTITUTE(INDEX(Charge!$B:$B,ROW()),CHAR(160)," "))&amp;" | "&amp;TRIM(SUBSTITUTE(INDEX(Charge!$C:$C,ROW()),CHAR(160)," "))&amp;" | "&amp;TRIM(SUBSTITUTE(INDEX(Charge!$D:$D,ROW()),CHAR(160)," ")),"~","-"),"*","+"),"?","!"),240),"")</f>
        <v/>
      </c>
      <c r="EO487">
        <f>IF(EN487="",0,IF(COUNTIF($EN$4:EN487,EN487)=1,1,0))</f>
        <v>0</v>
      </c>
      <c r="EP487" s="166" t="str">
        <f>IF(EO487=1,ROUND(SUMIF($EN$4:$EN$503,EN487,$E$4:$E$503),2),"")</f>
        <v/>
      </c>
      <c r="EQ487" t="str">
        <f>IF(EO487=1,COUNTIFS($EO$4:$EO$503,1,$EP$4:$EP$503,"&gt;"&amp;EP487)+COUNTIFS($EO$4:EO487,1,$EP$4:EP487,EP487),"")</f>
        <v/>
      </c>
      <c r="ER487" t="str">
        <f>IF(EO487=1,COUNTIFS($EN$4:$EN$503,EN487,$EM$4:$EM$503,"Interne",$FE$4:$FE$503,1),"")</f>
        <v/>
      </c>
      <c r="ES487" t="str">
        <f>IF(EO487=1,COUNTIFS($EN$4:$EN$503,EN487,$EM$4:$EM$503,"Externe",$FE$4:$FE$503,1),"")</f>
        <v/>
      </c>
      <c r="ET487" t="str">
        <f>IF(EO487=1,IF(ER487+ES487=0,"à affecter",IF(ER487=0,ES487&amp;" ext.",(ER487+ES487)&amp;IF(ES487&gt;0," dont "&amp;ES487&amp;" ext.",""))&amp;IF(COUNTIFS($EN$4:$EN$503,EN487,$EM$4:$EM$503,"Non affecté")&gt;0," + à affecter","")),"")</f>
        <v/>
      </c>
      <c r="EU487" s="170" t="str">
        <f>IF(EO487=1,IF(EP487&gt;0,SUMPRODUCT(($EN$4:$EN$503=EN487)*$E$4:$E$503*$C$4:$C$503)/EP487,AVERAGEIF($EN$4:$EN$503,EN487,$C$4:$C$503)),"")</f>
        <v/>
      </c>
      <c r="EV487" s="165">
        <f>IF(ISNUMBER(I487),I487,2958465)</f>
        <v>2958465.0</v>
      </c>
      <c r="EW487" s="165" t="str">
        <f>IF(EO487=1,SUMPRODUCT(MIN(($EN$4:$EN$503=EN487)*$EV$4:$EV$503+($EN$4:$EN$503&lt;&gt;EN487)*2958465)),"")</f>
        <v/>
      </c>
      <c r="EX487" s="165">
        <f>IF(AND(D487=1,ISNUMBER(INDEX(Charge!$F:$F,ROW()))),INDEX(Charge!$F:$F,ROW()),0)</f>
        <v>0.0</v>
      </c>
      <c r="EY487" s="165" t="str">
        <f>IF(EO487=1,SUMPRODUCT(MAX(($EN$4:$EN$503=EN487)*$EX$4:$EX$503)),"")</f>
        <v/>
      </c>
      <c r="FD487">
        <f>IF(AND(B487=1,TRIM(INDEX(Charge!$K:$K,ROW()))&lt;&gt;"",TRIM(INDEX(Charge!$L:$L,ROW()))&lt;&gt;""),1,0)</f>
        <v>0</v>
      </c>
      <c r="FE487">
        <f>IF(OR(EN487="",BZ487="(non affecté)"),0,IF(COUNTIFS($EN$4:EN487,EN487,$BZ$4:BZ487,BZ487)=1,1,0))</f>
        <v>0</v>
      </c>
    </row>
    <row r="488">
      <c r="A488">
        <f>ROW()</f>
        <v>488</v>
      </c>
      <c r="B488">
        <f>IF(TRIM(INDEX(Charge!$B:$B,ROW()))&lt;&gt;"",1,0)</f>
        <v>0</v>
      </c>
      <c r="C488">
        <f>IF(B488=1,MIN(1,MAX(0,N(INDEX(Charge!$O:$O,ROW())))),0)</f>
        <v>0</v>
      </c>
      <c r="D488">
        <f>IF(B488=1,IF(OR(p_Perimetre="Tous les projets",C488&lt;1),1,0),0)</f>
        <v>0</v>
      </c>
      <c r="E488">
        <f>IF(D488=1,MAX(0,N(INDEX(Charge!$M:$M,ROW()))),0)</f>
        <v>0</v>
      </c>
      <c r="F488" t="str">
        <f>IF(D488=1,IF(TRIM(INDEX(Charge!$A:$A,ROW()))="","(non renseigné)",TRIM(INDEX(Charge!$A:$A,ROW()))),"")</f>
        <v/>
      </c>
      <c r="G488" t="str">
        <f>IF(D488=1,TRIM(INDEX(Charge!$B:$B,ROW())),"")</f>
        <v/>
      </c>
      <c r="H488" t="str">
        <f>IF(D488=1,IF(TRIM(INDEX(Charge!$E:$E,ROW()))="","(non renseigné)",TRIM(INDEX(Charge!$E:$E,ROW()))),"")</f>
        <v/>
      </c>
      <c r="I488" s="165" t="str">
        <f>IF(AND(D488=1,ISNUMBER(INDEX(Charge!$N:$N,ROW()))),INDEX(Charge!$N:$N,ROW()),"")</f>
        <v/>
      </c>
      <c r="J488" s="165" t="str">
        <f>IF(I488="","",IF(AND(p_Repartition="Lissée jusqu'à la date de besoin",ISNUMBER(INDEX(Charge!$F:$F,ROW()))),IF(INDEX(Charge!$F:$F,ROW())&gt;=I488,INDEX(Charge!$F:$F,ROW()),I488),I488))</f>
        <v/>
      </c>
      <c r="K488" t="str">
        <f>IF(I488="","",NETWORKDAYS(I488,J488,Data!$K$4:$K$203))</f>
        <v/>
      </c>
      <c r="L488" t="str">
        <f>IF(D488=1,COUNTIFS($D$4:$D$503,1,$E$4:$E$503,"&gt;"&amp;E488)+COUNTIFS($D$4:$D488,1,$E$4:$E488,E488),"")</f>
        <v/>
      </c>
      <c r="M488">
        <f>IF(F488="",0,IF(COUNTIF($F$4:F488,F488)=1,1,0))</f>
        <v>0</v>
      </c>
      <c r="N488" t="str">
        <f>IF(M488=1,ROUND(SUMIF($F$4:$F$503,F488,$E$4:$E$503),2),"")</f>
        <v/>
      </c>
      <c r="O488" t="str">
        <f>IF(M488=1,COUNTIFS($M$4:$M$503,1,$N$4:$N$503,"&gt;"&amp;N488)+COUNTIFS($M$4:M488,1,$N$4:N488,N488),"")</f>
        <v/>
      </c>
      <c r="P488">
        <f>IF(G488="",0,IF(COUNTIF($G$4:G488,G488)=1,1,0))</f>
        <v>0</v>
      </c>
      <c r="Q488" t="str">
        <f>IF(P488=1,ROUND(SUMIF($G$4:$G$503,G488,$E$4:$E$503),2),"")</f>
        <v/>
      </c>
      <c r="R488" t="str">
        <f>IF(P488=1,COUNTIFS($P$4:$P$503,1,$Q$4:$Q$503,"&gt;"&amp;Q488)+COUNTIFS($P$4:P488,1,$Q$4:Q488,Q488),"")</f>
        <v/>
      </c>
      <c r="S488">
        <f>IF(H488="",0,IF(COUNTIF($H$4:H488,H488)=1,1,0))</f>
        <v>0</v>
      </c>
      <c r="T488" t="str">
        <f>IF(S488=1,ROUND(SUMIF($H$4:$H$503,H488,$E$4:$E$503),2),"")</f>
        <v/>
      </c>
      <c r="U488" t="str">
        <f>IF(S488=1,COUNTIFS($S$4:$S$503,1,$T$4:$T$503,"&gt;"&amp;T488)+COUNTIFS($S$4:S488,1,$T$4:T488,T488),"")</f>
        <v/>
      </c>
      <c r="V488" t="str">
        <f>IF(D488=1,MIN(INDEX($R$4:$R$503,MATCH(G488,$G$4:$G$503,0)),IF($AL$7&gt;9,9,999)),"")</f>
        <v/>
      </c>
      <c r="W488" s="166">
        <f>IF(OR($I488="",$E488=0),0,IF(OR($J488&lt;W$3,$I488&gt;W$2),0,IF($K488=0,IF(AND($I488&gt;=W$3,$I488&lt;=W$2),$E488,0),$E488*NETWORKDAYS(MAX($I488,W$3),MIN($J488,W$2),Data!$K$4:$K$203)/$K488)))</f>
        <v>0</v>
      </c>
      <c r="X488" s="166">
        <f>IF(OR($I488="",$E488=0),0,IF(OR($J488&lt;X$3,$I488&gt;X$2),0,IF($K488=0,IF(AND($I488&gt;=X$3,$I488&lt;=X$2),$E488,0),$E488*NETWORKDAYS(MAX($I488,X$3),MIN($J488,X$2),Data!$K$4:$K$203)/$K488)))</f>
        <v>0</v>
      </c>
      <c r="Y488" s="166">
        <f>IF(OR($I488="",$E488=0),0,IF(OR($J488&lt;Y$3,$I488&gt;Y$2),0,IF($K488=0,IF(AND($I488&gt;=Y$3,$I488&lt;=Y$2),$E488,0),$E488*NETWORKDAYS(MAX($I488,Y$3),MIN($J488,Y$2),Data!$K$4:$K$203)/$K488)))</f>
        <v>0</v>
      </c>
      <c r="Z488" s="166">
        <f>IF(OR($I488="",$E488=0),0,IF(OR($J488&lt;Z$3,$I488&gt;Z$2),0,IF($K488=0,IF(AND($I488&gt;=Z$3,$I488&lt;=Z$2),$E488,0),$E488*NETWORKDAYS(MAX($I488,Z$3),MIN($J488,Z$2),Data!$K$4:$K$203)/$K488)))</f>
        <v>0</v>
      </c>
      <c r="AA488" s="166">
        <f>IF(OR($I488="",$E488=0),0,IF(OR($J488&lt;AA$3,$I488&gt;AA$2),0,IF($K488=0,IF(AND($I488&gt;=AA$3,$I488&lt;=AA$2),$E488,0),$E488*NETWORKDAYS(MAX($I488,AA$3),MIN($J488,AA$2),Data!$K$4:$K$203)/$K488)))</f>
        <v>0</v>
      </c>
      <c r="AB488" s="166">
        <f>IF(OR($I488="",$E488=0),0,IF(OR($J488&lt;AB$3,$I488&gt;AB$2),0,IF($K488=0,IF(AND($I488&gt;=AB$3,$I488&lt;=AB$2),$E488,0),$E488*NETWORKDAYS(MAX($I488,AB$3),MIN($J488,AB$2),Data!$K$4:$K$203)/$K488)))</f>
        <v>0</v>
      </c>
      <c r="AC488" s="166">
        <f>IF(OR($I488="",$E488=0),0,IF(OR($J488&lt;AC$3,$I488&gt;AC$2),0,IF($K488=0,IF(AND($I488&gt;=AC$3,$I488&lt;=AC$2),$E488,0),$E488*NETWORKDAYS(MAX($I488,AC$3),MIN($J488,AC$2),Data!$K$4:$K$203)/$K488)))</f>
        <v>0</v>
      </c>
      <c r="AD488" s="166">
        <f>IF(OR($I488="",$E488=0),0,IF(OR($J488&lt;AD$3,$I488&gt;AD$2),0,IF($K488=0,IF(AND($I488&gt;=AD$3,$I488&lt;=AD$2),$E488,0),$E488*NETWORKDAYS(MAX($I488,AD$3),MIN($J488,AD$2),Data!$K$4:$K$203)/$K488)))</f>
        <v>0</v>
      </c>
      <c r="AE488" s="166">
        <f>IF(OR($I488="",$E488=0),0,IF(OR($J488&lt;AE$3,$I488&gt;AE$2),0,IF($K488=0,IF(AND($I488&gt;=AE$3,$I488&lt;=AE$2),$E488,0),$E488*NETWORKDAYS(MAX($I488,AE$3),MIN($J488,AE$2),Data!$K$4:$K$203)/$K488)))</f>
        <v>0</v>
      </c>
      <c r="AF488" s="166">
        <f>IF(OR($I488="",$E488=0),0,IF(OR($J488&lt;AF$3,$I488&gt;AF$2),0,IF($K488=0,IF(AND($I488&gt;=AF$3,$I488&lt;=AF$2),$E488,0),$E488*NETWORKDAYS(MAX($I488,AF$3),MIN($J488,AF$2),Data!$K$4:$K$203)/$K488)))</f>
        <v>0</v>
      </c>
      <c r="AG488" s="166">
        <f>IF(OR($I488="",$E488=0),0,IF(OR($J488&lt;AG$3,$I488&gt;AG$2),0,IF($K488=0,IF(AND($I488&gt;=AG$3,$I488&lt;=AG$2),$E488,0),$E488*NETWORKDAYS(MAX($I488,AG$3),MIN($J488,AG$2),Data!$K$4:$K$203)/$K488)))</f>
        <v>0</v>
      </c>
      <c r="AH488" s="166">
        <f>IF(OR($I488="",$E488=0),0,IF(OR($J488&lt;AH$3,$I488&gt;AH$2),0,IF($K488=0,IF(AND($I488&gt;=AH$3,$I488&lt;=AH$2),$E488,0),$E488*NETWORKDAYS(MAX($I488,AH$3),MIN($J488,AH$2),Data!$K$4:$K$203)/$K488)))</f>
        <v>0</v>
      </c>
      <c r="AI488" s="166">
        <f>SUM(W488:AH488)</f>
        <v>0</v>
      </c>
      <c r="BZ488" t="str">
        <f>IF(D488=1,IF(TRIM(INDEX(Charge!$K:$K,ROW()))&lt;&gt;"",TRIM(INDEX(Charge!$K:$K,ROW())),IF(TRIM(INDEX(Charge!$L:$L,ROW()))&lt;&gt;"",TRIM(INDEX(Charge!$L:$L,ROW())),"(non affecté)")),"")</f>
        <v/>
      </c>
      <c r="CA488" t="str">
        <f>IF(AND($CD$4&lt;&gt;"",BZ488=$CD$4),COUNTIFS($BZ$4:$BZ$503,$CD$4,$L$4:$L$503,"&lt;"&amp;L488)+1,"")</f>
        <v/>
      </c>
      <c r="EM488" t="str">
        <f>IF(D488=1,IF(TRIM(INDEX(Charge!$K:$K,ROW()))&lt;&gt;"","Interne",IF(TRIM(INDEX(Charge!$L:$L,ROW()))&lt;&gt;"","Externe","Non affecté")),"")</f>
        <v/>
      </c>
      <c r="EN488" t="str">
        <f>IF(D488=1,LEFT(SUBSTITUTE(SUBSTITUTE(SUBSTITUTE(TRIM(SUBSTITUTE(INDEX(Charge!$B:$B,ROW()),CHAR(160)," "))&amp;" | "&amp;TRIM(SUBSTITUTE(INDEX(Charge!$C:$C,ROW()),CHAR(160)," "))&amp;" | "&amp;TRIM(SUBSTITUTE(INDEX(Charge!$D:$D,ROW()),CHAR(160)," ")),"~","-"),"*","+"),"?","!"),240),"")</f>
        <v/>
      </c>
      <c r="EO488">
        <f>IF(EN488="",0,IF(COUNTIF($EN$4:EN488,EN488)=1,1,0))</f>
        <v>0</v>
      </c>
      <c r="EP488" s="166" t="str">
        <f>IF(EO488=1,ROUND(SUMIF($EN$4:$EN$503,EN488,$E$4:$E$503),2),"")</f>
        <v/>
      </c>
      <c r="EQ488" t="str">
        <f>IF(EO488=1,COUNTIFS($EO$4:$EO$503,1,$EP$4:$EP$503,"&gt;"&amp;EP488)+COUNTIFS($EO$4:EO488,1,$EP$4:EP488,EP488),"")</f>
        <v/>
      </c>
      <c r="ER488" t="str">
        <f>IF(EO488=1,COUNTIFS($EN$4:$EN$503,EN488,$EM$4:$EM$503,"Interne",$FE$4:$FE$503,1),"")</f>
        <v/>
      </c>
      <c r="ES488" t="str">
        <f>IF(EO488=1,COUNTIFS($EN$4:$EN$503,EN488,$EM$4:$EM$503,"Externe",$FE$4:$FE$503,1),"")</f>
        <v/>
      </c>
      <c r="ET488" t="str">
        <f>IF(EO488=1,IF(ER488+ES488=0,"à affecter",IF(ER488=0,ES488&amp;" ext.",(ER488+ES488)&amp;IF(ES488&gt;0," dont "&amp;ES488&amp;" ext.",""))&amp;IF(COUNTIFS($EN$4:$EN$503,EN488,$EM$4:$EM$503,"Non affecté")&gt;0," + à affecter","")),"")</f>
        <v/>
      </c>
      <c r="EU488" s="170" t="str">
        <f>IF(EO488=1,IF(EP488&gt;0,SUMPRODUCT(($EN$4:$EN$503=EN488)*$E$4:$E$503*$C$4:$C$503)/EP488,AVERAGEIF($EN$4:$EN$503,EN488,$C$4:$C$503)),"")</f>
        <v/>
      </c>
      <c r="EV488" s="165">
        <f>IF(ISNUMBER(I488),I488,2958465)</f>
        <v>2958465.0</v>
      </c>
      <c r="EW488" s="165" t="str">
        <f>IF(EO488=1,SUMPRODUCT(MIN(($EN$4:$EN$503=EN488)*$EV$4:$EV$503+($EN$4:$EN$503&lt;&gt;EN488)*2958465)),"")</f>
        <v/>
      </c>
      <c r="EX488" s="165">
        <f>IF(AND(D488=1,ISNUMBER(INDEX(Charge!$F:$F,ROW()))),INDEX(Charge!$F:$F,ROW()),0)</f>
        <v>0.0</v>
      </c>
      <c r="EY488" s="165" t="str">
        <f>IF(EO488=1,SUMPRODUCT(MAX(($EN$4:$EN$503=EN488)*$EX$4:$EX$503)),"")</f>
        <v/>
      </c>
      <c r="FD488">
        <f>IF(AND(B488=1,TRIM(INDEX(Charge!$K:$K,ROW()))&lt;&gt;"",TRIM(INDEX(Charge!$L:$L,ROW()))&lt;&gt;""),1,0)</f>
        <v>0</v>
      </c>
      <c r="FE488">
        <f>IF(OR(EN488="",BZ488="(non affecté)"),0,IF(COUNTIFS($EN$4:EN488,EN488,$BZ$4:BZ488,BZ488)=1,1,0))</f>
        <v>0</v>
      </c>
    </row>
    <row r="489">
      <c r="A489">
        <f>ROW()</f>
        <v>489</v>
      </c>
      <c r="B489">
        <f>IF(TRIM(INDEX(Charge!$B:$B,ROW()))&lt;&gt;"",1,0)</f>
        <v>0</v>
      </c>
      <c r="C489">
        <f>IF(B489=1,MIN(1,MAX(0,N(INDEX(Charge!$O:$O,ROW())))),0)</f>
        <v>0</v>
      </c>
      <c r="D489">
        <f>IF(B489=1,IF(OR(p_Perimetre="Tous les projets",C489&lt;1),1,0),0)</f>
        <v>0</v>
      </c>
      <c r="E489">
        <f>IF(D489=1,MAX(0,N(INDEX(Charge!$M:$M,ROW()))),0)</f>
        <v>0</v>
      </c>
      <c r="F489" t="str">
        <f>IF(D489=1,IF(TRIM(INDEX(Charge!$A:$A,ROW()))="","(non renseigné)",TRIM(INDEX(Charge!$A:$A,ROW()))),"")</f>
        <v/>
      </c>
      <c r="G489" t="str">
        <f>IF(D489=1,TRIM(INDEX(Charge!$B:$B,ROW())),"")</f>
        <v/>
      </c>
      <c r="H489" t="str">
        <f>IF(D489=1,IF(TRIM(INDEX(Charge!$E:$E,ROW()))="","(non renseigné)",TRIM(INDEX(Charge!$E:$E,ROW()))),"")</f>
        <v/>
      </c>
      <c r="I489" s="165" t="str">
        <f>IF(AND(D489=1,ISNUMBER(INDEX(Charge!$N:$N,ROW()))),INDEX(Charge!$N:$N,ROW()),"")</f>
        <v/>
      </c>
      <c r="J489" s="165" t="str">
        <f>IF(I489="","",IF(AND(p_Repartition="Lissée jusqu'à la date de besoin",ISNUMBER(INDEX(Charge!$F:$F,ROW()))),IF(INDEX(Charge!$F:$F,ROW())&gt;=I489,INDEX(Charge!$F:$F,ROW()),I489),I489))</f>
        <v/>
      </c>
      <c r="K489" t="str">
        <f>IF(I489="","",NETWORKDAYS(I489,J489,Data!$K$4:$K$203))</f>
        <v/>
      </c>
      <c r="L489" t="str">
        <f>IF(D489=1,COUNTIFS($D$4:$D$503,1,$E$4:$E$503,"&gt;"&amp;E489)+COUNTIFS($D$4:$D489,1,$E$4:$E489,E489),"")</f>
        <v/>
      </c>
      <c r="M489">
        <f>IF(F489="",0,IF(COUNTIF($F$4:F489,F489)=1,1,0))</f>
        <v>0</v>
      </c>
      <c r="N489" t="str">
        <f>IF(M489=1,ROUND(SUMIF($F$4:$F$503,F489,$E$4:$E$503),2),"")</f>
        <v/>
      </c>
      <c r="O489" t="str">
        <f>IF(M489=1,COUNTIFS($M$4:$M$503,1,$N$4:$N$503,"&gt;"&amp;N489)+COUNTIFS($M$4:M489,1,$N$4:N489,N489),"")</f>
        <v/>
      </c>
      <c r="P489">
        <f>IF(G489="",0,IF(COUNTIF($G$4:G489,G489)=1,1,0))</f>
        <v>0</v>
      </c>
      <c r="Q489" t="str">
        <f>IF(P489=1,ROUND(SUMIF($G$4:$G$503,G489,$E$4:$E$503),2),"")</f>
        <v/>
      </c>
      <c r="R489" t="str">
        <f>IF(P489=1,COUNTIFS($P$4:$P$503,1,$Q$4:$Q$503,"&gt;"&amp;Q489)+COUNTIFS($P$4:P489,1,$Q$4:Q489,Q489),"")</f>
        <v/>
      </c>
      <c r="S489">
        <f>IF(H489="",0,IF(COUNTIF($H$4:H489,H489)=1,1,0))</f>
        <v>0</v>
      </c>
      <c r="T489" t="str">
        <f>IF(S489=1,ROUND(SUMIF($H$4:$H$503,H489,$E$4:$E$503),2),"")</f>
        <v/>
      </c>
      <c r="U489" t="str">
        <f>IF(S489=1,COUNTIFS($S$4:$S$503,1,$T$4:$T$503,"&gt;"&amp;T489)+COUNTIFS($S$4:S489,1,$T$4:T489,T489),"")</f>
        <v/>
      </c>
      <c r="V489" t="str">
        <f>IF(D489=1,MIN(INDEX($R$4:$R$503,MATCH(G489,$G$4:$G$503,0)),IF($AL$7&gt;9,9,999)),"")</f>
        <v/>
      </c>
      <c r="W489" s="166">
        <f>IF(OR($I489="",$E489=0),0,IF(OR($J489&lt;W$3,$I489&gt;W$2),0,IF($K489=0,IF(AND($I489&gt;=W$3,$I489&lt;=W$2),$E489,0),$E489*NETWORKDAYS(MAX($I489,W$3),MIN($J489,W$2),Data!$K$4:$K$203)/$K489)))</f>
        <v>0</v>
      </c>
      <c r="X489" s="166">
        <f>IF(OR($I489="",$E489=0),0,IF(OR($J489&lt;X$3,$I489&gt;X$2),0,IF($K489=0,IF(AND($I489&gt;=X$3,$I489&lt;=X$2),$E489,0),$E489*NETWORKDAYS(MAX($I489,X$3),MIN($J489,X$2),Data!$K$4:$K$203)/$K489)))</f>
        <v>0</v>
      </c>
      <c r="Y489" s="166">
        <f>IF(OR($I489="",$E489=0),0,IF(OR($J489&lt;Y$3,$I489&gt;Y$2),0,IF($K489=0,IF(AND($I489&gt;=Y$3,$I489&lt;=Y$2),$E489,0),$E489*NETWORKDAYS(MAX($I489,Y$3),MIN($J489,Y$2),Data!$K$4:$K$203)/$K489)))</f>
        <v>0</v>
      </c>
      <c r="Z489" s="166">
        <f>IF(OR($I489="",$E489=0),0,IF(OR($J489&lt;Z$3,$I489&gt;Z$2),0,IF($K489=0,IF(AND($I489&gt;=Z$3,$I489&lt;=Z$2),$E489,0),$E489*NETWORKDAYS(MAX($I489,Z$3),MIN($J489,Z$2),Data!$K$4:$K$203)/$K489)))</f>
        <v>0</v>
      </c>
      <c r="AA489" s="166">
        <f>IF(OR($I489="",$E489=0),0,IF(OR($J489&lt;AA$3,$I489&gt;AA$2),0,IF($K489=0,IF(AND($I489&gt;=AA$3,$I489&lt;=AA$2),$E489,0),$E489*NETWORKDAYS(MAX($I489,AA$3),MIN($J489,AA$2),Data!$K$4:$K$203)/$K489)))</f>
        <v>0</v>
      </c>
      <c r="AB489" s="166">
        <f>IF(OR($I489="",$E489=0),0,IF(OR($J489&lt;AB$3,$I489&gt;AB$2),0,IF($K489=0,IF(AND($I489&gt;=AB$3,$I489&lt;=AB$2),$E489,0),$E489*NETWORKDAYS(MAX($I489,AB$3),MIN($J489,AB$2),Data!$K$4:$K$203)/$K489)))</f>
        <v>0</v>
      </c>
      <c r="AC489" s="166">
        <f>IF(OR($I489="",$E489=0),0,IF(OR($J489&lt;AC$3,$I489&gt;AC$2),0,IF($K489=0,IF(AND($I489&gt;=AC$3,$I489&lt;=AC$2),$E489,0),$E489*NETWORKDAYS(MAX($I489,AC$3),MIN($J489,AC$2),Data!$K$4:$K$203)/$K489)))</f>
        <v>0</v>
      </c>
      <c r="AD489" s="166">
        <f>IF(OR($I489="",$E489=0),0,IF(OR($J489&lt;AD$3,$I489&gt;AD$2),0,IF($K489=0,IF(AND($I489&gt;=AD$3,$I489&lt;=AD$2),$E489,0),$E489*NETWORKDAYS(MAX($I489,AD$3),MIN($J489,AD$2),Data!$K$4:$K$203)/$K489)))</f>
        <v>0</v>
      </c>
      <c r="AE489" s="166">
        <f>IF(OR($I489="",$E489=0),0,IF(OR($J489&lt;AE$3,$I489&gt;AE$2),0,IF($K489=0,IF(AND($I489&gt;=AE$3,$I489&lt;=AE$2),$E489,0),$E489*NETWORKDAYS(MAX($I489,AE$3),MIN($J489,AE$2),Data!$K$4:$K$203)/$K489)))</f>
        <v>0</v>
      </c>
      <c r="AF489" s="166">
        <f>IF(OR($I489="",$E489=0),0,IF(OR($J489&lt;AF$3,$I489&gt;AF$2),0,IF($K489=0,IF(AND($I489&gt;=AF$3,$I489&lt;=AF$2),$E489,0),$E489*NETWORKDAYS(MAX($I489,AF$3),MIN($J489,AF$2),Data!$K$4:$K$203)/$K489)))</f>
        <v>0</v>
      </c>
      <c r="AG489" s="166">
        <f>IF(OR($I489="",$E489=0),0,IF(OR($J489&lt;AG$3,$I489&gt;AG$2),0,IF($K489=0,IF(AND($I489&gt;=AG$3,$I489&lt;=AG$2),$E489,0),$E489*NETWORKDAYS(MAX($I489,AG$3),MIN($J489,AG$2),Data!$K$4:$K$203)/$K489)))</f>
        <v>0</v>
      </c>
      <c r="AH489" s="166">
        <f>IF(OR($I489="",$E489=0),0,IF(OR($J489&lt;AH$3,$I489&gt;AH$2),0,IF($K489=0,IF(AND($I489&gt;=AH$3,$I489&lt;=AH$2),$E489,0),$E489*NETWORKDAYS(MAX($I489,AH$3),MIN($J489,AH$2),Data!$K$4:$K$203)/$K489)))</f>
        <v>0</v>
      </c>
      <c r="AI489" s="166">
        <f>SUM(W489:AH489)</f>
        <v>0</v>
      </c>
      <c r="BZ489" t="str">
        <f>IF(D489=1,IF(TRIM(INDEX(Charge!$K:$K,ROW()))&lt;&gt;"",TRIM(INDEX(Charge!$K:$K,ROW())),IF(TRIM(INDEX(Charge!$L:$L,ROW()))&lt;&gt;"",TRIM(INDEX(Charge!$L:$L,ROW())),"(non affecté)")),"")</f>
        <v/>
      </c>
      <c r="CA489" t="str">
        <f>IF(AND($CD$4&lt;&gt;"",BZ489=$CD$4),COUNTIFS($BZ$4:$BZ$503,$CD$4,$L$4:$L$503,"&lt;"&amp;L489)+1,"")</f>
        <v/>
      </c>
      <c r="EM489" t="str">
        <f>IF(D489=1,IF(TRIM(INDEX(Charge!$K:$K,ROW()))&lt;&gt;"","Interne",IF(TRIM(INDEX(Charge!$L:$L,ROW()))&lt;&gt;"","Externe","Non affecté")),"")</f>
        <v/>
      </c>
      <c r="EN489" t="str">
        <f>IF(D489=1,LEFT(SUBSTITUTE(SUBSTITUTE(SUBSTITUTE(TRIM(SUBSTITUTE(INDEX(Charge!$B:$B,ROW()),CHAR(160)," "))&amp;" | "&amp;TRIM(SUBSTITUTE(INDEX(Charge!$C:$C,ROW()),CHAR(160)," "))&amp;" | "&amp;TRIM(SUBSTITUTE(INDEX(Charge!$D:$D,ROW()),CHAR(160)," ")),"~","-"),"*","+"),"?","!"),240),"")</f>
        <v/>
      </c>
      <c r="EO489">
        <f>IF(EN489="",0,IF(COUNTIF($EN$4:EN489,EN489)=1,1,0))</f>
        <v>0</v>
      </c>
      <c r="EP489" s="166" t="str">
        <f>IF(EO489=1,ROUND(SUMIF($EN$4:$EN$503,EN489,$E$4:$E$503),2),"")</f>
        <v/>
      </c>
      <c r="EQ489" t="str">
        <f>IF(EO489=1,COUNTIFS($EO$4:$EO$503,1,$EP$4:$EP$503,"&gt;"&amp;EP489)+COUNTIFS($EO$4:EO489,1,$EP$4:EP489,EP489),"")</f>
        <v/>
      </c>
      <c r="ER489" t="str">
        <f>IF(EO489=1,COUNTIFS($EN$4:$EN$503,EN489,$EM$4:$EM$503,"Interne",$FE$4:$FE$503,1),"")</f>
        <v/>
      </c>
      <c r="ES489" t="str">
        <f>IF(EO489=1,COUNTIFS($EN$4:$EN$503,EN489,$EM$4:$EM$503,"Externe",$FE$4:$FE$503,1),"")</f>
        <v/>
      </c>
      <c r="ET489" t="str">
        <f>IF(EO489=1,IF(ER489+ES489=0,"à affecter",IF(ER489=0,ES489&amp;" ext.",(ER489+ES489)&amp;IF(ES489&gt;0," dont "&amp;ES489&amp;" ext.",""))&amp;IF(COUNTIFS($EN$4:$EN$503,EN489,$EM$4:$EM$503,"Non affecté")&gt;0," + à affecter","")),"")</f>
        <v/>
      </c>
      <c r="EU489" s="170" t="str">
        <f>IF(EO489=1,IF(EP489&gt;0,SUMPRODUCT(($EN$4:$EN$503=EN489)*$E$4:$E$503*$C$4:$C$503)/EP489,AVERAGEIF($EN$4:$EN$503,EN489,$C$4:$C$503)),"")</f>
        <v/>
      </c>
      <c r="EV489" s="165">
        <f>IF(ISNUMBER(I489),I489,2958465)</f>
        <v>2958465.0</v>
      </c>
      <c r="EW489" s="165" t="str">
        <f>IF(EO489=1,SUMPRODUCT(MIN(($EN$4:$EN$503=EN489)*$EV$4:$EV$503+($EN$4:$EN$503&lt;&gt;EN489)*2958465)),"")</f>
        <v/>
      </c>
      <c r="EX489" s="165">
        <f>IF(AND(D489=1,ISNUMBER(INDEX(Charge!$F:$F,ROW()))),INDEX(Charge!$F:$F,ROW()),0)</f>
        <v>0.0</v>
      </c>
      <c r="EY489" s="165" t="str">
        <f>IF(EO489=1,SUMPRODUCT(MAX(($EN$4:$EN$503=EN489)*$EX$4:$EX$503)),"")</f>
        <v/>
      </c>
      <c r="FD489">
        <f>IF(AND(B489=1,TRIM(INDEX(Charge!$K:$K,ROW()))&lt;&gt;"",TRIM(INDEX(Charge!$L:$L,ROW()))&lt;&gt;""),1,0)</f>
        <v>0</v>
      </c>
      <c r="FE489">
        <f>IF(OR(EN489="",BZ489="(non affecté)"),0,IF(COUNTIFS($EN$4:EN489,EN489,$BZ$4:BZ489,BZ489)=1,1,0))</f>
        <v>0</v>
      </c>
    </row>
    <row r="490">
      <c r="A490">
        <f>ROW()</f>
        <v>490</v>
      </c>
      <c r="B490">
        <f>IF(TRIM(INDEX(Charge!$B:$B,ROW()))&lt;&gt;"",1,0)</f>
        <v>0</v>
      </c>
      <c r="C490">
        <f>IF(B490=1,MIN(1,MAX(0,N(INDEX(Charge!$O:$O,ROW())))),0)</f>
        <v>0</v>
      </c>
      <c r="D490">
        <f>IF(B490=1,IF(OR(p_Perimetre="Tous les projets",C490&lt;1),1,0),0)</f>
        <v>0</v>
      </c>
      <c r="E490">
        <f>IF(D490=1,MAX(0,N(INDEX(Charge!$M:$M,ROW()))),0)</f>
        <v>0</v>
      </c>
      <c r="F490" t="str">
        <f>IF(D490=1,IF(TRIM(INDEX(Charge!$A:$A,ROW()))="","(non renseigné)",TRIM(INDEX(Charge!$A:$A,ROW()))),"")</f>
        <v/>
      </c>
      <c r="G490" t="str">
        <f>IF(D490=1,TRIM(INDEX(Charge!$B:$B,ROW())),"")</f>
        <v/>
      </c>
      <c r="H490" t="str">
        <f>IF(D490=1,IF(TRIM(INDEX(Charge!$E:$E,ROW()))="","(non renseigné)",TRIM(INDEX(Charge!$E:$E,ROW()))),"")</f>
        <v/>
      </c>
      <c r="I490" s="165" t="str">
        <f>IF(AND(D490=1,ISNUMBER(INDEX(Charge!$N:$N,ROW()))),INDEX(Charge!$N:$N,ROW()),"")</f>
        <v/>
      </c>
      <c r="J490" s="165" t="str">
        <f>IF(I490="","",IF(AND(p_Repartition="Lissée jusqu'à la date de besoin",ISNUMBER(INDEX(Charge!$F:$F,ROW()))),IF(INDEX(Charge!$F:$F,ROW())&gt;=I490,INDEX(Charge!$F:$F,ROW()),I490),I490))</f>
        <v/>
      </c>
      <c r="K490" t="str">
        <f>IF(I490="","",NETWORKDAYS(I490,J490,Data!$K$4:$K$203))</f>
        <v/>
      </c>
      <c r="L490" t="str">
        <f>IF(D490=1,COUNTIFS($D$4:$D$503,1,$E$4:$E$503,"&gt;"&amp;E490)+COUNTIFS($D$4:$D490,1,$E$4:$E490,E490),"")</f>
        <v/>
      </c>
      <c r="M490">
        <f>IF(F490="",0,IF(COUNTIF($F$4:F490,F490)=1,1,0))</f>
        <v>0</v>
      </c>
      <c r="N490" t="str">
        <f>IF(M490=1,ROUND(SUMIF($F$4:$F$503,F490,$E$4:$E$503),2),"")</f>
        <v/>
      </c>
      <c r="O490" t="str">
        <f>IF(M490=1,COUNTIFS($M$4:$M$503,1,$N$4:$N$503,"&gt;"&amp;N490)+COUNTIFS($M$4:M490,1,$N$4:N490,N490),"")</f>
        <v/>
      </c>
      <c r="P490">
        <f>IF(G490="",0,IF(COUNTIF($G$4:G490,G490)=1,1,0))</f>
        <v>0</v>
      </c>
      <c r="Q490" t="str">
        <f>IF(P490=1,ROUND(SUMIF($G$4:$G$503,G490,$E$4:$E$503),2),"")</f>
        <v/>
      </c>
      <c r="R490" t="str">
        <f>IF(P490=1,COUNTIFS($P$4:$P$503,1,$Q$4:$Q$503,"&gt;"&amp;Q490)+COUNTIFS($P$4:P490,1,$Q$4:Q490,Q490),"")</f>
        <v/>
      </c>
      <c r="S490">
        <f>IF(H490="",0,IF(COUNTIF($H$4:H490,H490)=1,1,0))</f>
        <v>0</v>
      </c>
      <c r="T490" t="str">
        <f>IF(S490=1,ROUND(SUMIF($H$4:$H$503,H490,$E$4:$E$503),2),"")</f>
        <v/>
      </c>
      <c r="U490" t="str">
        <f>IF(S490=1,COUNTIFS($S$4:$S$503,1,$T$4:$T$503,"&gt;"&amp;T490)+COUNTIFS($S$4:S490,1,$T$4:T490,T490),"")</f>
        <v/>
      </c>
      <c r="V490" t="str">
        <f>IF(D490=1,MIN(INDEX($R$4:$R$503,MATCH(G490,$G$4:$G$503,0)),IF($AL$7&gt;9,9,999)),"")</f>
        <v/>
      </c>
      <c r="W490" s="166">
        <f>IF(OR($I490="",$E490=0),0,IF(OR($J490&lt;W$3,$I490&gt;W$2),0,IF($K490=0,IF(AND($I490&gt;=W$3,$I490&lt;=W$2),$E490,0),$E490*NETWORKDAYS(MAX($I490,W$3),MIN($J490,W$2),Data!$K$4:$K$203)/$K490)))</f>
        <v>0</v>
      </c>
      <c r="X490" s="166">
        <f>IF(OR($I490="",$E490=0),0,IF(OR($J490&lt;X$3,$I490&gt;X$2),0,IF($K490=0,IF(AND($I490&gt;=X$3,$I490&lt;=X$2),$E490,0),$E490*NETWORKDAYS(MAX($I490,X$3),MIN($J490,X$2),Data!$K$4:$K$203)/$K490)))</f>
        <v>0</v>
      </c>
      <c r="Y490" s="166">
        <f>IF(OR($I490="",$E490=0),0,IF(OR($J490&lt;Y$3,$I490&gt;Y$2),0,IF($K490=0,IF(AND($I490&gt;=Y$3,$I490&lt;=Y$2),$E490,0),$E490*NETWORKDAYS(MAX($I490,Y$3),MIN($J490,Y$2),Data!$K$4:$K$203)/$K490)))</f>
        <v>0</v>
      </c>
      <c r="Z490" s="166">
        <f>IF(OR($I490="",$E490=0),0,IF(OR($J490&lt;Z$3,$I490&gt;Z$2),0,IF($K490=0,IF(AND($I490&gt;=Z$3,$I490&lt;=Z$2),$E490,0),$E490*NETWORKDAYS(MAX($I490,Z$3),MIN($J490,Z$2),Data!$K$4:$K$203)/$K490)))</f>
        <v>0</v>
      </c>
      <c r="AA490" s="166">
        <f>IF(OR($I490="",$E490=0),0,IF(OR($J490&lt;AA$3,$I490&gt;AA$2),0,IF($K490=0,IF(AND($I490&gt;=AA$3,$I490&lt;=AA$2),$E490,0),$E490*NETWORKDAYS(MAX($I490,AA$3),MIN($J490,AA$2),Data!$K$4:$K$203)/$K490)))</f>
        <v>0</v>
      </c>
      <c r="AB490" s="166">
        <f>IF(OR($I490="",$E490=0),0,IF(OR($J490&lt;AB$3,$I490&gt;AB$2),0,IF($K490=0,IF(AND($I490&gt;=AB$3,$I490&lt;=AB$2),$E490,0),$E490*NETWORKDAYS(MAX($I490,AB$3),MIN($J490,AB$2),Data!$K$4:$K$203)/$K490)))</f>
        <v>0</v>
      </c>
      <c r="AC490" s="166">
        <f>IF(OR($I490="",$E490=0),0,IF(OR($J490&lt;AC$3,$I490&gt;AC$2),0,IF($K490=0,IF(AND($I490&gt;=AC$3,$I490&lt;=AC$2),$E490,0),$E490*NETWORKDAYS(MAX($I490,AC$3),MIN($J490,AC$2),Data!$K$4:$K$203)/$K490)))</f>
        <v>0</v>
      </c>
      <c r="AD490" s="166">
        <f>IF(OR($I490="",$E490=0),0,IF(OR($J490&lt;AD$3,$I490&gt;AD$2),0,IF($K490=0,IF(AND($I490&gt;=AD$3,$I490&lt;=AD$2),$E490,0),$E490*NETWORKDAYS(MAX($I490,AD$3),MIN($J490,AD$2),Data!$K$4:$K$203)/$K490)))</f>
        <v>0</v>
      </c>
      <c r="AE490" s="166">
        <f>IF(OR($I490="",$E490=0),0,IF(OR($J490&lt;AE$3,$I490&gt;AE$2),0,IF($K490=0,IF(AND($I490&gt;=AE$3,$I490&lt;=AE$2),$E490,0),$E490*NETWORKDAYS(MAX($I490,AE$3),MIN($J490,AE$2),Data!$K$4:$K$203)/$K490)))</f>
        <v>0</v>
      </c>
      <c r="AF490" s="166">
        <f>IF(OR($I490="",$E490=0),0,IF(OR($J490&lt;AF$3,$I490&gt;AF$2),0,IF($K490=0,IF(AND($I490&gt;=AF$3,$I490&lt;=AF$2),$E490,0),$E490*NETWORKDAYS(MAX($I490,AF$3),MIN($J490,AF$2),Data!$K$4:$K$203)/$K490)))</f>
        <v>0</v>
      </c>
      <c r="AG490" s="166">
        <f>IF(OR($I490="",$E490=0),0,IF(OR($J490&lt;AG$3,$I490&gt;AG$2),0,IF($K490=0,IF(AND($I490&gt;=AG$3,$I490&lt;=AG$2),$E490,0),$E490*NETWORKDAYS(MAX($I490,AG$3),MIN($J490,AG$2),Data!$K$4:$K$203)/$K490)))</f>
        <v>0</v>
      </c>
      <c r="AH490" s="166">
        <f>IF(OR($I490="",$E490=0),0,IF(OR($J490&lt;AH$3,$I490&gt;AH$2),0,IF($K490=0,IF(AND($I490&gt;=AH$3,$I490&lt;=AH$2),$E490,0),$E490*NETWORKDAYS(MAX($I490,AH$3),MIN($J490,AH$2),Data!$K$4:$K$203)/$K490)))</f>
        <v>0</v>
      </c>
      <c r="AI490" s="166">
        <f>SUM(W490:AH490)</f>
        <v>0</v>
      </c>
      <c r="BZ490" t="str">
        <f>IF(D490=1,IF(TRIM(INDEX(Charge!$K:$K,ROW()))&lt;&gt;"",TRIM(INDEX(Charge!$K:$K,ROW())),IF(TRIM(INDEX(Charge!$L:$L,ROW()))&lt;&gt;"",TRIM(INDEX(Charge!$L:$L,ROW())),"(non affecté)")),"")</f>
        <v/>
      </c>
      <c r="CA490" t="str">
        <f>IF(AND($CD$4&lt;&gt;"",BZ490=$CD$4),COUNTIFS($BZ$4:$BZ$503,$CD$4,$L$4:$L$503,"&lt;"&amp;L490)+1,"")</f>
        <v/>
      </c>
      <c r="EM490" t="str">
        <f>IF(D490=1,IF(TRIM(INDEX(Charge!$K:$K,ROW()))&lt;&gt;"","Interne",IF(TRIM(INDEX(Charge!$L:$L,ROW()))&lt;&gt;"","Externe","Non affecté")),"")</f>
        <v/>
      </c>
      <c r="EN490" t="str">
        <f>IF(D490=1,LEFT(SUBSTITUTE(SUBSTITUTE(SUBSTITUTE(TRIM(SUBSTITUTE(INDEX(Charge!$B:$B,ROW()),CHAR(160)," "))&amp;" | "&amp;TRIM(SUBSTITUTE(INDEX(Charge!$C:$C,ROW()),CHAR(160)," "))&amp;" | "&amp;TRIM(SUBSTITUTE(INDEX(Charge!$D:$D,ROW()),CHAR(160)," ")),"~","-"),"*","+"),"?","!"),240),"")</f>
        <v/>
      </c>
      <c r="EO490">
        <f>IF(EN490="",0,IF(COUNTIF($EN$4:EN490,EN490)=1,1,0))</f>
        <v>0</v>
      </c>
      <c r="EP490" s="166" t="str">
        <f>IF(EO490=1,ROUND(SUMIF($EN$4:$EN$503,EN490,$E$4:$E$503),2),"")</f>
        <v/>
      </c>
      <c r="EQ490" t="str">
        <f>IF(EO490=1,COUNTIFS($EO$4:$EO$503,1,$EP$4:$EP$503,"&gt;"&amp;EP490)+COUNTIFS($EO$4:EO490,1,$EP$4:EP490,EP490),"")</f>
        <v/>
      </c>
      <c r="ER490" t="str">
        <f>IF(EO490=1,COUNTIFS($EN$4:$EN$503,EN490,$EM$4:$EM$503,"Interne",$FE$4:$FE$503,1),"")</f>
        <v/>
      </c>
      <c r="ES490" t="str">
        <f>IF(EO490=1,COUNTIFS($EN$4:$EN$503,EN490,$EM$4:$EM$503,"Externe",$FE$4:$FE$503,1),"")</f>
        <v/>
      </c>
      <c r="ET490" t="str">
        <f>IF(EO490=1,IF(ER490+ES490=0,"à affecter",IF(ER490=0,ES490&amp;" ext.",(ER490+ES490)&amp;IF(ES490&gt;0," dont "&amp;ES490&amp;" ext.",""))&amp;IF(COUNTIFS($EN$4:$EN$503,EN490,$EM$4:$EM$503,"Non affecté")&gt;0," + à affecter","")),"")</f>
        <v/>
      </c>
      <c r="EU490" s="170" t="str">
        <f>IF(EO490=1,IF(EP490&gt;0,SUMPRODUCT(($EN$4:$EN$503=EN490)*$E$4:$E$503*$C$4:$C$503)/EP490,AVERAGEIF($EN$4:$EN$503,EN490,$C$4:$C$503)),"")</f>
        <v/>
      </c>
      <c r="EV490" s="165">
        <f>IF(ISNUMBER(I490),I490,2958465)</f>
        <v>2958465.0</v>
      </c>
      <c r="EW490" s="165" t="str">
        <f>IF(EO490=1,SUMPRODUCT(MIN(($EN$4:$EN$503=EN490)*$EV$4:$EV$503+($EN$4:$EN$503&lt;&gt;EN490)*2958465)),"")</f>
        <v/>
      </c>
      <c r="EX490" s="165">
        <f>IF(AND(D490=1,ISNUMBER(INDEX(Charge!$F:$F,ROW()))),INDEX(Charge!$F:$F,ROW()),0)</f>
        <v>0.0</v>
      </c>
      <c r="EY490" s="165" t="str">
        <f>IF(EO490=1,SUMPRODUCT(MAX(($EN$4:$EN$503=EN490)*$EX$4:$EX$503)),"")</f>
        <v/>
      </c>
      <c r="FD490">
        <f>IF(AND(B490=1,TRIM(INDEX(Charge!$K:$K,ROW()))&lt;&gt;"",TRIM(INDEX(Charge!$L:$L,ROW()))&lt;&gt;""),1,0)</f>
        <v>0</v>
      </c>
      <c r="FE490">
        <f>IF(OR(EN490="",BZ490="(non affecté)"),0,IF(COUNTIFS($EN$4:EN490,EN490,$BZ$4:BZ490,BZ490)=1,1,0))</f>
        <v>0</v>
      </c>
    </row>
    <row r="491">
      <c r="A491">
        <f>ROW()</f>
        <v>491</v>
      </c>
      <c r="B491">
        <f>IF(TRIM(INDEX(Charge!$B:$B,ROW()))&lt;&gt;"",1,0)</f>
        <v>0</v>
      </c>
      <c r="C491">
        <f>IF(B491=1,MIN(1,MAX(0,N(INDEX(Charge!$O:$O,ROW())))),0)</f>
        <v>0</v>
      </c>
      <c r="D491">
        <f>IF(B491=1,IF(OR(p_Perimetre="Tous les projets",C491&lt;1),1,0),0)</f>
        <v>0</v>
      </c>
      <c r="E491">
        <f>IF(D491=1,MAX(0,N(INDEX(Charge!$M:$M,ROW()))),0)</f>
        <v>0</v>
      </c>
      <c r="F491" t="str">
        <f>IF(D491=1,IF(TRIM(INDEX(Charge!$A:$A,ROW()))="","(non renseigné)",TRIM(INDEX(Charge!$A:$A,ROW()))),"")</f>
        <v/>
      </c>
      <c r="G491" t="str">
        <f>IF(D491=1,TRIM(INDEX(Charge!$B:$B,ROW())),"")</f>
        <v/>
      </c>
      <c r="H491" t="str">
        <f>IF(D491=1,IF(TRIM(INDEX(Charge!$E:$E,ROW()))="","(non renseigné)",TRIM(INDEX(Charge!$E:$E,ROW()))),"")</f>
        <v/>
      </c>
      <c r="I491" s="165" t="str">
        <f>IF(AND(D491=1,ISNUMBER(INDEX(Charge!$N:$N,ROW()))),INDEX(Charge!$N:$N,ROW()),"")</f>
        <v/>
      </c>
      <c r="J491" s="165" t="str">
        <f>IF(I491="","",IF(AND(p_Repartition="Lissée jusqu'à la date de besoin",ISNUMBER(INDEX(Charge!$F:$F,ROW()))),IF(INDEX(Charge!$F:$F,ROW())&gt;=I491,INDEX(Charge!$F:$F,ROW()),I491),I491))</f>
        <v/>
      </c>
      <c r="K491" t="str">
        <f>IF(I491="","",NETWORKDAYS(I491,J491,Data!$K$4:$K$203))</f>
        <v/>
      </c>
      <c r="L491" t="str">
        <f>IF(D491=1,COUNTIFS($D$4:$D$503,1,$E$4:$E$503,"&gt;"&amp;E491)+COUNTIFS($D$4:$D491,1,$E$4:$E491,E491),"")</f>
        <v/>
      </c>
      <c r="M491">
        <f>IF(F491="",0,IF(COUNTIF($F$4:F491,F491)=1,1,0))</f>
        <v>0</v>
      </c>
      <c r="N491" t="str">
        <f>IF(M491=1,ROUND(SUMIF($F$4:$F$503,F491,$E$4:$E$503),2),"")</f>
        <v/>
      </c>
      <c r="O491" t="str">
        <f>IF(M491=1,COUNTIFS($M$4:$M$503,1,$N$4:$N$503,"&gt;"&amp;N491)+COUNTIFS($M$4:M491,1,$N$4:N491,N491),"")</f>
        <v/>
      </c>
      <c r="P491">
        <f>IF(G491="",0,IF(COUNTIF($G$4:G491,G491)=1,1,0))</f>
        <v>0</v>
      </c>
      <c r="Q491" t="str">
        <f>IF(P491=1,ROUND(SUMIF($G$4:$G$503,G491,$E$4:$E$503),2),"")</f>
        <v/>
      </c>
      <c r="R491" t="str">
        <f>IF(P491=1,COUNTIFS($P$4:$P$503,1,$Q$4:$Q$503,"&gt;"&amp;Q491)+COUNTIFS($P$4:P491,1,$Q$4:Q491,Q491),"")</f>
        <v/>
      </c>
      <c r="S491">
        <f>IF(H491="",0,IF(COUNTIF($H$4:H491,H491)=1,1,0))</f>
        <v>0</v>
      </c>
      <c r="T491" t="str">
        <f>IF(S491=1,ROUND(SUMIF($H$4:$H$503,H491,$E$4:$E$503),2),"")</f>
        <v/>
      </c>
      <c r="U491" t="str">
        <f>IF(S491=1,COUNTIFS($S$4:$S$503,1,$T$4:$T$503,"&gt;"&amp;T491)+COUNTIFS($S$4:S491,1,$T$4:T491,T491),"")</f>
        <v/>
      </c>
      <c r="V491" t="str">
        <f>IF(D491=1,MIN(INDEX($R$4:$R$503,MATCH(G491,$G$4:$G$503,0)),IF($AL$7&gt;9,9,999)),"")</f>
        <v/>
      </c>
      <c r="W491" s="166">
        <f>IF(OR($I491="",$E491=0),0,IF(OR($J491&lt;W$3,$I491&gt;W$2),0,IF($K491=0,IF(AND($I491&gt;=W$3,$I491&lt;=W$2),$E491,0),$E491*NETWORKDAYS(MAX($I491,W$3),MIN($J491,W$2),Data!$K$4:$K$203)/$K491)))</f>
        <v>0</v>
      </c>
      <c r="X491" s="166">
        <f>IF(OR($I491="",$E491=0),0,IF(OR($J491&lt;X$3,$I491&gt;X$2),0,IF($K491=0,IF(AND($I491&gt;=X$3,$I491&lt;=X$2),$E491,0),$E491*NETWORKDAYS(MAX($I491,X$3),MIN($J491,X$2),Data!$K$4:$K$203)/$K491)))</f>
        <v>0</v>
      </c>
      <c r="Y491" s="166">
        <f>IF(OR($I491="",$E491=0),0,IF(OR($J491&lt;Y$3,$I491&gt;Y$2),0,IF($K491=0,IF(AND($I491&gt;=Y$3,$I491&lt;=Y$2),$E491,0),$E491*NETWORKDAYS(MAX($I491,Y$3),MIN($J491,Y$2),Data!$K$4:$K$203)/$K491)))</f>
        <v>0</v>
      </c>
      <c r="Z491" s="166">
        <f>IF(OR($I491="",$E491=0),0,IF(OR($J491&lt;Z$3,$I491&gt;Z$2),0,IF($K491=0,IF(AND($I491&gt;=Z$3,$I491&lt;=Z$2),$E491,0),$E491*NETWORKDAYS(MAX($I491,Z$3),MIN($J491,Z$2),Data!$K$4:$K$203)/$K491)))</f>
        <v>0</v>
      </c>
      <c r="AA491" s="166">
        <f>IF(OR($I491="",$E491=0),0,IF(OR($J491&lt;AA$3,$I491&gt;AA$2),0,IF($K491=0,IF(AND($I491&gt;=AA$3,$I491&lt;=AA$2),$E491,0),$E491*NETWORKDAYS(MAX($I491,AA$3),MIN($J491,AA$2),Data!$K$4:$K$203)/$K491)))</f>
        <v>0</v>
      </c>
      <c r="AB491" s="166">
        <f>IF(OR($I491="",$E491=0),0,IF(OR($J491&lt;AB$3,$I491&gt;AB$2),0,IF($K491=0,IF(AND($I491&gt;=AB$3,$I491&lt;=AB$2),$E491,0),$E491*NETWORKDAYS(MAX($I491,AB$3),MIN($J491,AB$2),Data!$K$4:$K$203)/$K491)))</f>
        <v>0</v>
      </c>
      <c r="AC491" s="166">
        <f>IF(OR($I491="",$E491=0),0,IF(OR($J491&lt;AC$3,$I491&gt;AC$2),0,IF($K491=0,IF(AND($I491&gt;=AC$3,$I491&lt;=AC$2),$E491,0),$E491*NETWORKDAYS(MAX($I491,AC$3),MIN($J491,AC$2),Data!$K$4:$K$203)/$K491)))</f>
        <v>0</v>
      </c>
      <c r="AD491" s="166">
        <f>IF(OR($I491="",$E491=0),0,IF(OR($J491&lt;AD$3,$I491&gt;AD$2),0,IF($K491=0,IF(AND($I491&gt;=AD$3,$I491&lt;=AD$2),$E491,0),$E491*NETWORKDAYS(MAX($I491,AD$3),MIN($J491,AD$2),Data!$K$4:$K$203)/$K491)))</f>
        <v>0</v>
      </c>
      <c r="AE491" s="166">
        <f>IF(OR($I491="",$E491=0),0,IF(OR($J491&lt;AE$3,$I491&gt;AE$2),0,IF($K491=0,IF(AND($I491&gt;=AE$3,$I491&lt;=AE$2),$E491,0),$E491*NETWORKDAYS(MAX($I491,AE$3),MIN($J491,AE$2),Data!$K$4:$K$203)/$K491)))</f>
        <v>0</v>
      </c>
      <c r="AF491" s="166">
        <f>IF(OR($I491="",$E491=0),0,IF(OR($J491&lt;AF$3,$I491&gt;AF$2),0,IF($K491=0,IF(AND($I491&gt;=AF$3,$I491&lt;=AF$2),$E491,0),$E491*NETWORKDAYS(MAX($I491,AF$3),MIN($J491,AF$2),Data!$K$4:$K$203)/$K491)))</f>
        <v>0</v>
      </c>
      <c r="AG491" s="166">
        <f>IF(OR($I491="",$E491=0),0,IF(OR($J491&lt;AG$3,$I491&gt;AG$2),0,IF($K491=0,IF(AND($I491&gt;=AG$3,$I491&lt;=AG$2),$E491,0),$E491*NETWORKDAYS(MAX($I491,AG$3),MIN($J491,AG$2),Data!$K$4:$K$203)/$K491)))</f>
        <v>0</v>
      </c>
      <c r="AH491" s="166">
        <f>IF(OR($I491="",$E491=0),0,IF(OR($J491&lt;AH$3,$I491&gt;AH$2),0,IF($K491=0,IF(AND($I491&gt;=AH$3,$I491&lt;=AH$2),$E491,0),$E491*NETWORKDAYS(MAX($I491,AH$3),MIN($J491,AH$2),Data!$K$4:$K$203)/$K491)))</f>
        <v>0</v>
      </c>
      <c r="AI491" s="166">
        <f>SUM(W491:AH491)</f>
        <v>0</v>
      </c>
      <c r="BZ491" t="str">
        <f>IF(D491=1,IF(TRIM(INDEX(Charge!$K:$K,ROW()))&lt;&gt;"",TRIM(INDEX(Charge!$K:$K,ROW())),IF(TRIM(INDEX(Charge!$L:$L,ROW()))&lt;&gt;"",TRIM(INDEX(Charge!$L:$L,ROW())),"(non affecté)")),"")</f>
        <v/>
      </c>
      <c r="CA491" t="str">
        <f>IF(AND($CD$4&lt;&gt;"",BZ491=$CD$4),COUNTIFS($BZ$4:$BZ$503,$CD$4,$L$4:$L$503,"&lt;"&amp;L491)+1,"")</f>
        <v/>
      </c>
      <c r="EM491" t="str">
        <f>IF(D491=1,IF(TRIM(INDEX(Charge!$K:$K,ROW()))&lt;&gt;"","Interne",IF(TRIM(INDEX(Charge!$L:$L,ROW()))&lt;&gt;"","Externe","Non affecté")),"")</f>
        <v/>
      </c>
      <c r="EN491" t="str">
        <f>IF(D491=1,LEFT(SUBSTITUTE(SUBSTITUTE(SUBSTITUTE(TRIM(SUBSTITUTE(INDEX(Charge!$B:$B,ROW()),CHAR(160)," "))&amp;" | "&amp;TRIM(SUBSTITUTE(INDEX(Charge!$C:$C,ROW()),CHAR(160)," "))&amp;" | "&amp;TRIM(SUBSTITUTE(INDEX(Charge!$D:$D,ROW()),CHAR(160)," ")),"~","-"),"*","+"),"?","!"),240),"")</f>
        <v/>
      </c>
      <c r="EO491">
        <f>IF(EN491="",0,IF(COUNTIF($EN$4:EN491,EN491)=1,1,0))</f>
        <v>0</v>
      </c>
      <c r="EP491" s="166" t="str">
        <f>IF(EO491=1,ROUND(SUMIF($EN$4:$EN$503,EN491,$E$4:$E$503),2),"")</f>
        <v/>
      </c>
      <c r="EQ491" t="str">
        <f>IF(EO491=1,COUNTIFS($EO$4:$EO$503,1,$EP$4:$EP$503,"&gt;"&amp;EP491)+COUNTIFS($EO$4:EO491,1,$EP$4:EP491,EP491),"")</f>
        <v/>
      </c>
      <c r="ER491" t="str">
        <f>IF(EO491=1,COUNTIFS($EN$4:$EN$503,EN491,$EM$4:$EM$503,"Interne",$FE$4:$FE$503,1),"")</f>
        <v/>
      </c>
      <c r="ES491" t="str">
        <f>IF(EO491=1,COUNTIFS($EN$4:$EN$503,EN491,$EM$4:$EM$503,"Externe",$FE$4:$FE$503,1),"")</f>
        <v/>
      </c>
      <c r="ET491" t="str">
        <f>IF(EO491=1,IF(ER491+ES491=0,"à affecter",IF(ER491=0,ES491&amp;" ext.",(ER491+ES491)&amp;IF(ES491&gt;0," dont "&amp;ES491&amp;" ext.",""))&amp;IF(COUNTIFS($EN$4:$EN$503,EN491,$EM$4:$EM$503,"Non affecté")&gt;0," + à affecter","")),"")</f>
        <v/>
      </c>
      <c r="EU491" s="170" t="str">
        <f>IF(EO491=1,IF(EP491&gt;0,SUMPRODUCT(($EN$4:$EN$503=EN491)*$E$4:$E$503*$C$4:$C$503)/EP491,AVERAGEIF($EN$4:$EN$503,EN491,$C$4:$C$503)),"")</f>
        <v/>
      </c>
      <c r="EV491" s="165">
        <f>IF(ISNUMBER(I491),I491,2958465)</f>
        <v>2958465.0</v>
      </c>
      <c r="EW491" s="165" t="str">
        <f>IF(EO491=1,SUMPRODUCT(MIN(($EN$4:$EN$503=EN491)*$EV$4:$EV$503+($EN$4:$EN$503&lt;&gt;EN491)*2958465)),"")</f>
        <v/>
      </c>
      <c r="EX491" s="165">
        <f>IF(AND(D491=1,ISNUMBER(INDEX(Charge!$F:$F,ROW()))),INDEX(Charge!$F:$F,ROW()),0)</f>
        <v>0.0</v>
      </c>
      <c r="EY491" s="165" t="str">
        <f>IF(EO491=1,SUMPRODUCT(MAX(($EN$4:$EN$503=EN491)*$EX$4:$EX$503)),"")</f>
        <v/>
      </c>
      <c r="FD491">
        <f>IF(AND(B491=1,TRIM(INDEX(Charge!$K:$K,ROW()))&lt;&gt;"",TRIM(INDEX(Charge!$L:$L,ROW()))&lt;&gt;""),1,0)</f>
        <v>0</v>
      </c>
      <c r="FE491">
        <f>IF(OR(EN491="",BZ491="(non affecté)"),0,IF(COUNTIFS($EN$4:EN491,EN491,$BZ$4:BZ491,BZ491)=1,1,0))</f>
        <v>0</v>
      </c>
    </row>
    <row r="492">
      <c r="A492">
        <f>ROW()</f>
        <v>492</v>
      </c>
      <c r="B492">
        <f>IF(TRIM(INDEX(Charge!$B:$B,ROW()))&lt;&gt;"",1,0)</f>
        <v>0</v>
      </c>
      <c r="C492">
        <f>IF(B492=1,MIN(1,MAX(0,N(INDEX(Charge!$O:$O,ROW())))),0)</f>
        <v>0</v>
      </c>
      <c r="D492">
        <f>IF(B492=1,IF(OR(p_Perimetre="Tous les projets",C492&lt;1),1,0),0)</f>
        <v>0</v>
      </c>
      <c r="E492">
        <f>IF(D492=1,MAX(0,N(INDEX(Charge!$M:$M,ROW()))),0)</f>
        <v>0</v>
      </c>
      <c r="F492" t="str">
        <f>IF(D492=1,IF(TRIM(INDEX(Charge!$A:$A,ROW()))="","(non renseigné)",TRIM(INDEX(Charge!$A:$A,ROW()))),"")</f>
        <v/>
      </c>
      <c r="G492" t="str">
        <f>IF(D492=1,TRIM(INDEX(Charge!$B:$B,ROW())),"")</f>
        <v/>
      </c>
      <c r="H492" t="str">
        <f>IF(D492=1,IF(TRIM(INDEX(Charge!$E:$E,ROW()))="","(non renseigné)",TRIM(INDEX(Charge!$E:$E,ROW()))),"")</f>
        <v/>
      </c>
      <c r="I492" s="165" t="str">
        <f>IF(AND(D492=1,ISNUMBER(INDEX(Charge!$N:$N,ROW()))),INDEX(Charge!$N:$N,ROW()),"")</f>
        <v/>
      </c>
      <c r="J492" s="165" t="str">
        <f>IF(I492="","",IF(AND(p_Repartition="Lissée jusqu'à la date de besoin",ISNUMBER(INDEX(Charge!$F:$F,ROW()))),IF(INDEX(Charge!$F:$F,ROW())&gt;=I492,INDEX(Charge!$F:$F,ROW()),I492),I492))</f>
        <v/>
      </c>
      <c r="K492" t="str">
        <f>IF(I492="","",NETWORKDAYS(I492,J492,Data!$K$4:$K$203))</f>
        <v/>
      </c>
      <c r="L492" t="str">
        <f>IF(D492=1,COUNTIFS($D$4:$D$503,1,$E$4:$E$503,"&gt;"&amp;E492)+COUNTIFS($D$4:$D492,1,$E$4:$E492,E492),"")</f>
        <v/>
      </c>
      <c r="M492">
        <f>IF(F492="",0,IF(COUNTIF($F$4:F492,F492)=1,1,0))</f>
        <v>0</v>
      </c>
      <c r="N492" t="str">
        <f>IF(M492=1,ROUND(SUMIF($F$4:$F$503,F492,$E$4:$E$503),2),"")</f>
        <v/>
      </c>
      <c r="O492" t="str">
        <f>IF(M492=1,COUNTIFS($M$4:$M$503,1,$N$4:$N$503,"&gt;"&amp;N492)+COUNTIFS($M$4:M492,1,$N$4:N492,N492),"")</f>
        <v/>
      </c>
      <c r="P492">
        <f>IF(G492="",0,IF(COUNTIF($G$4:G492,G492)=1,1,0))</f>
        <v>0</v>
      </c>
      <c r="Q492" t="str">
        <f>IF(P492=1,ROUND(SUMIF($G$4:$G$503,G492,$E$4:$E$503),2),"")</f>
        <v/>
      </c>
      <c r="R492" t="str">
        <f>IF(P492=1,COUNTIFS($P$4:$P$503,1,$Q$4:$Q$503,"&gt;"&amp;Q492)+COUNTIFS($P$4:P492,1,$Q$4:Q492,Q492),"")</f>
        <v/>
      </c>
      <c r="S492">
        <f>IF(H492="",0,IF(COUNTIF($H$4:H492,H492)=1,1,0))</f>
        <v>0</v>
      </c>
      <c r="T492" t="str">
        <f>IF(S492=1,ROUND(SUMIF($H$4:$H$503,H492,$E$4:$E$503),2),"")</f>
        <v/>
      </c>
      <c r="U492" t="str">
        <f>IF(S492=1,COUNTIFS($S$4:$S$503,1,$T$4:$T$503,"&gt;"&amp;T492)+COUNTIFS($S$4:S492,1,$T$4:T492,T492),"")</f>
        <v/>
      </c>
      <c r="V492" t="str">
        <f>IF(D492=1,MIN(INDEX($R$4:$R$503,MATCH(G492,$G$4:$G$503,0)),IF($AL$7&gt;9,9,999)),"")</f>
        <v/>
      </c>
      <c r="W492" s="166">
        <f>IF(OR($I492="",$E492=0),0,IF(OR($J492&lt;W$3,$I492&gt;W$2),0,IF($K492=0,IF(AND($I492&gt;=W$3,$I492&lt;=W$2),$E492,0),$E492*NETWORKDAYS(MAX($I492,W$3),MIN($J492,W$2),Data!$K$4:$K$203)/$K492)))</f>
        <v>0</v>
      </c>
      <c r="X492" s="166">
        <f>IF(OR($I492="",$E492=0),0,IF(OR($J492&lt;X$3,$I492&gt;X$2),0,IF($K492=0,IF(AND($I492&gt;=X$3,$I492&lt;=X$2),$E492,0),$E492*NETWORKDAYS(MAX($I492,X$3),MIN($J492,X$2),Data!$K$4:$K$203)/$K492)))</f>
        <v>0</v>
      </c>
      <c r="Y492" s="166">
        <f>IF(OR($I492="",$E492=0),0,IF(OR($J492&lt;Y$3,$I492&gt;Y$2),0,IF($K492=0,IF(AND($I492&gt;=Y$3,$I492&lt;=Y$2),$E492,0),$E492*NETWORKDAYS(MAX($I492,Y$3),MIN($J492,Y$2),Data!$K$4:$K$203)/$K492)))</f>
        <v>0</v>
      </c>
      <c r="Z492" s="166">
        <f>IF(OR($I492="",$E492=0),0,IF(OR($J492&lt;Z$3,$I492&gt;Z$2),0,IF($K492=0,IF(AND($I492&gt;=Z$3,$I492&lt;=Z$2),$E492,0),$E492*NETWORKDAYS(MAX($I492,Z$3),MIN($J492,Z$2),Data!$K$4:$K$203)/$K492)))</f>
        <v>0</v>
      </c>
      <c r="AA492" s="166">
        <f>IF(OR($I492="",$E492=0),0,IF(OR($J492&lt;AA$3,$I492&gt;AA$2),0,IF($K492=0,IF(AND($I492&gt;=AA$3,$I492&lt;=AA$2),$E492,0),$E492*NETWORKDAYS(MAX($I492,AA$3),MIN($J492,AA$2),Data!$K$4:$K$203)/$K492)))</f>
        <v>0</v>
      </c>
      <c r="AB492" s="166">
        <f>IF(OR($I492="",$E492=0),0,IF(OR($J492&lt;AB$3,$I492&gt;AB$2),0,IF($K492=0,IF(AND($I492&gt;=AB$3,$I492&lt;=AB$2),$E492,0),$E492*NETWORKDAYS(MAX($I492,AB$3),MIN($J492,AB$2),Data!$K$4:$K$203)/$K492)))</f>
        <v>0</v>
      </c>
      <c r="AC492" s="166">
        <f>IF(OR($I492="",$E492=0),0,IF(OR($J492&lt;AC$3,$I492&gt;AC$2),0,IF($K492=0,IF(AND($I492&gt;=AC$3,$I492&lt;=AC$2),$E492,0),$E492*NETWORKDAYS(MAX($I492,AC$3),MIN($J492,AC$2),Data!$K$4:$K$203)/$K492)))</f>
        <v>0</v>
      </c>
      <c r="AD492" s="166">
        <f>IF(OR($I492="",$E492=0),0,IF(OR($J492&lt;AD$3,$I492&gt;AD$2),0,IF($K492=0,IF(AND($I492&gt;=AD$3,$I492&lt;=AD$2),$E492,0),$E492*NETWORKDAYS(MAX($I492,AD$3),MIN($J492,AD$2),Data!$K$4:$K$203)/$K492)))</f>
        <v>0</v>
      </c>
      <c r="AE492" s="166">
        <f>IF(OR($I492="",$E492=0),0,IF(OR($J492&lt;AE$3,$I492&gt;AE$2),0,IF($K492=0,IF(AND($I492&gt;=AE$3,$I492&lt;=AE$2),$E492,0),$E492*NETWORKDAYS(MAX($I492,AE$3),MIN($J492,AE$2),Data!$K$4:$K$203)/$K492)))</f>
        <v>0</v>
      </c>
      <c r="AF492" s="166">
        <f>IF(OR($I492="",$E492=0),0,IF(OR($J492&lt;AF$3,$I492&gt;AF$2),0,IF($K492=0,IF(AND($I492&gt;=AF$3,$I492&lt;=AF$2),$E492,0),$E492*NETWORKDAYS(MAX($I492,AF$3),MIN($J492,AF$2),Data!$K$4:$K$203)/$K492)))</f>
        <v>0</v>
      </c>
      <c r="AG492" s="166">
        <f>IF(OR($I492="",$E492=0),0,IF(OR($J492&lt;AG$3,$I492&gt;AG$2),0,IF($K492=0,IF(AND($I492&gt;=AG$3,$I492&lt;=AG$2),$E492,0),$E492*NETWORKDAYS(MAX($I492,AG$3),MIN($J492,AG$2),Data!$K$4:$K$203)/$K492)))</f>
        <v>0</v>
      </c>
      <c r="AH492" s="166">
        <f>IF(OR($I492="",$E492=0),0,IF(OR($J492&lt;AH$3,$I492&gt;AH$2),0,IF($K492=0,IF(AND($I492&gt;=AH$3,$I492&lt;=AH$2),$E492,0),$E492*NETWORKDAYS(MAX($I492,AH$3),MIN($J492,AH$2),Data!$K$4:$K$203)/$K492)))</f>
        <v>0</v>
      </c>
      <c r="AI492" s="166">
        <f>SUM(W492:AH492)</f>
        <v>0</v>
      </c>
      <c r="BZ492" t="str">
        <f>IF(D492=1,IF(TRIM(INDEX(Charge!$K:$K,ROW()))&lt;&gt;"",TRIM(INDEX(Charge!$K:$K,ROW())),IF(TRIM(INDEX(Charge!$L:$L,ROW()))&lt;&gt;"",TRIM(INDEX(Charge!$L:$L,ROW())),"(non affecté)")),"")</f>
        <v/>
      </c>
      <c r="CA492" t="str">
        <f>IF(AND($CD$4&lt;&gt;"",BZ492=$CD$4),COUNTIFS($BZ$4:$BZ$503,$CD$4,$L$4:$L$503,"&lt;"&amp;L492)+1,"")</f>
        <v/>
      </c>
      <c r="EM492" t="str">
        <f>IF(D492=1,IF(TRIM(INDEX(Charge!$K:$K,ROW()))&lt;&gt;"","Interne",IF(TRIM(INDEX(Charge!$L:$L,ROW()))&lt;&gt;"","Externe","Non affecté")),"")</f>
        <v/>
      </c>
      <c r="EN492" t="str">
        <f>IF(D492=1,LEFT(SUBSTITUTE(SUBSTITUTE(SUBSTITUTE(TRIM(SUBSTITUTE(INDEX(Charge!$B:$B,ROW()),CHAR(160)," "))&amp;" | "&amp;TRIM(SUBSTITUTE(INDEX(Charge!$C:$C,ROW()),CHAR(160)," "))&amp;" | "&amp;TRIM(SUBSTITUTE(INDEX(Charge!$D:$D,ROW()),CHAR(160)," ")),"~","-"),"*","+"),"?","!"),240),"")</f>
        <v/>
      </c>
      <c r="EO492">
        <f>IF(EN492="",0,IF(COUNTIF($EN$4:EN492,EN492)=1,1,0))</f>
        <v>0</v>
      </c>
      <c r="EP492" s="166" t="str">
        <f>IF(EO492=1,ROUND(SUMIF($EN$4:$EN$503,EN492,$E$4:$E$503),2),"")</f>
        <v/>
      </c>
      <c r="EQ492" t="str">
        <f>IF(EO492=1,COUNTIFS($EO$4:$EO$503,1,$EP$4:$EP$503,"&gt;"&amp;EP492)+COUNTIFS($EO$4:EO492,1,$EP$4:EP492,EP492),"")</f>
        <v/>
      </c>
      <c r="ER492" t="str">
        <f>IF(EO492=1,COUNTIFS($EN$4:$EN$503,EN492,$EM$4:$EM$503,"Interne",$FE$4:$FE$503,1),"")</f>
        <v/>
      </c>
      <c r="ES492" t="str">
        <f>IF(EO492=1,COUNTIFS($EN$4:$EN$503,EN492,$EM$4:$EM$503,"Externe",$FE$4:$FE$503,1),"")</f>
        <v/>
      </c>
      <c r="ET492" t="str">
        <f>IF(EO492=1,IF(ER492+ES492=0,"à affecter",IF(ER492=0,ES492&amp;" ext.",(ER492+ES492)&amp;IF(ES492&gt;0," dont "&amp;ES492&amp;" ext.",""))&amp;IF(COUNTIFS($EN$4:$EN$503,EN492,$EM$4:$EM$503,"Non affecté")&gt;0," + à affecter","")),"")</f>
        <v/>
      </c>
      <c r="EU492" s="170" t="str">
        <f>IF(EO492=1,IF(EP492&gt;0,SUMPRODUCT(($EN$4:$EN$503=EN492)*$E$4:$E$503*$C$4:$C$503)/EP492,AVERAGEIF($EN$4:$EN$503,EN492,$C$4:$C$503)),"")</f>
        <v/>
      </c>
      <c r="EV492" s="165">
        <f>IF(ISNUMBER(I492),I492,2958465)</f>
        <v>2958465.0</v>
      </c>
      <c r="EW492" s="165" t="str">
        <f>IF(EO492=1,SUMPRODUCT(MIN(($EN$4:$EN$503=EN492)*$EV$4:$EV$503+($EN$4:$EN$503&lt;&gt;EN492)*2958465)),"")</f>
        <v/>
      </c>
      <c r="EX492" s="165">
        <f>IF(AND(D492=1,ISNUMBER(INDEX(Charge!$F:$F,ROW()))),INDEX(Charge!$F:$F,ROW()),0)</f>
        <v>0.0</v>
      </c>
      <c r="EY492" s="165" t="str">
        <f>IF(EO492=1,SUMPRODUCT(MAX(($EN$4:$EN$503=EN492)*$EX$4:$EX$503)),"")</f>
        <v/>
      </c>
      <c r="FD492">
        <f>IF(AND(B492=1,TRIM(INDEX(Charge!$K:$K,ROW()))&lt;&gt;"",TRIM(INDEX(Charge!$L:$L,ROW()))&lt;&gt;""),1,0)</f>
        <v>0</v>
      </c>
      <c r="FE492">
        <f>IF(OR(EN492="",BZ492="(non affecté)"),0,IF(COUNTIFS($EN$4:EN492,EN492,$BZ$4:BZ492,BZ492)=1,1,0))</f>
        <v>0</v>
      </c>
    </row>
    <row r="493">
      <c r="A493">
        <f>ROW()</f>
        <v>493</v>
      </c>
      <c r="B493">
        <f>IF(TRIM(INDEX(Charge!$B:$B,ROW()))&lt;&gt;"",1,0)</f>
        <v>0</v>
      </c>
      <c r="C493">
        <f>IF(B493=1,MIN(1,MAX(0,N(INDEX(Charge!$O:$O,ROW())))),0)</f>
        <v>0</v>
      </c>
      <c r="D493">
        <f>IF(B493=1,IF(OR(p_Perimetre="Tous les projets",C493&lt;1),1,0),0)</f>
        <v>0</v>
      </c>
      <c r="E493">
        <f>IF(D493=1,MAX(0,N(INDEX(Charge!$M:$M,ROW()))),0)</f>
        <v>0</v>
      </c>
      <c r="F493" t="str">
        <f>IF(D493=1,IF(TRIM(INDEX(Charge!$A:$A,ROW()))="","(non renseigné)",TRIM(INDEX(Charge!$A:$A,ROW()))),"")</f>
        <v/>
      </c>
      <c r="G493" t="str">
        <f>IF(D493=1,TRIM(INDEX(Charge!$B:$B,ROW())),"")</f>
        <v/>
      </c>
      <c r="H493" t="str">
        <f>IF(D493=1,IF(TRIM(INDEX(Charge!$E:$E,ROW()))="","(non renseigné)",TRIM(INDEX(Charge!$E:$E,ROW()))),"")</f>
        <v/>
      </c>
      <c r="I493" s="165" t="str">
        <f>IF(AND(D493=1,ISNUMBER(INDEX(Charge!$N:$N,ROW()))),INDEX(Charge!$N:$N,ROW()),"")</f>
        <v/>
      </c>
      <c r="J493" s="165" t="str">
        <f>IF(I493="","",IF(AND(p_Repartition="Lissée jusqu'à la date de besoin",ISNUMBER(INDEX(Charge!$F:$F,ROW()))),IF(INDEX(Charge!$F:$F,ROW())&gt;=I493,INDEX(Charge!$F:$F,ROW()),I493),I493))</f>
        <v/>
      </c>
      <c r="K493" t="str">
        <f>IF(I493="","",NETWORKDAYS(I493,J493,Data!$K$4:$K$203))</f>
        <v/>
      </c>
      <c r="L493" t="str">
        <f>IF(D493=1,COUNTIFS($D$4:$D$503,1,$E$4:$E$503,"&gt;"&amp;E493)+COUNTIFS($D$4:$D493,1,$E$4:$E493,E493),"")</f>
        <v/>
      </c>
      <c r="M493">
        <f>IF(F493="",0,IF(COUNTIF($F$4:F493,F493)=1,1,0))</f>
        <v>0</v>
      </c>
      <c r="N493" t="str">
        <f>IF(M493=1,ROUND(SUMIF($F$4:$F$503,F493,$E$4:$E$503),2),"")</f>
        <v/>
      </c>
      <c r="O493" t="str">
        <f>IF(M493=1,COUNTIFS($M$4:$M$503,1,$N$4:$N$503,"&gt;"&amp;N493)+COUNTIFS($M$4:M493,1,$N$4:N493,N493),"")</f>
        <v/>
      </c>
      <c r="P493">
        <f>IF(G493="",0,IF(COUNTIF($G$4:G493,G493)=1,1,0))</f>
        <v>0</v>
      </c>
      <c r="Q493" t="str">
        <f>IF(P493=1,ROUND(SUMIF($G$4:$G$503,G493,$E$4:$E$503),2),"")</f>
        <v/>
      </c>
      <c r="R493" t="str">
        <f>IF(P493=1,COUNTIFS($P$4:$P$503,1,$Q$4:$Q$503,"&gt;"&amp;Q493)+COUNTIFS($P$4:P493,1,$Q$4:Q493,Q493),"")</f>
        <v/>
      </c>
      <c r="S493">
        <f>IF(H493="",0,IF(COUNTIF($H$4:H493,H493)=1,1,0))</f>
        <v>0</v>
      </c>
      <c r="T493" t="str">
        <f>IF(S493=1,ROUND(SUMIF($H$4:$H$503,H493,$E$4:$E$503),2),"")</f>
        <v/>
      </c>
      <c r="U493" t="str">
        <f>IF(S493=1,COUNTIFS($S$4:$S$503,1,$T$4:$T$503,"&gt;"&amp;T493)+COUNTIFS($S$4:S493,1,$T$4:T493,T493),"")</f>
        <v/>
      </c>
      <c r="V493" t="str">
        <f>IF(D493=1,MIN(INDEX($R$4:$R$503,MATCH(G493,$G$4:$G$503,0)),IF($AL$7&gt;9,9,999)),"")</f>
        <v/>
      </c>
      <c r="W493" s="166">
        <f>IF(OR($I493="",$E493=0),0,IF(OR($J493&lt;W$3,$I493&gt;W$2),0,IF($K493=0,IF(AND($I493&gt;=W$3,$I493&lt;=W$2),$E493,0),$E493*NETWORKDAYS(MAX($I493,W$3),MIN($J493,W$2),Data!$K$4:$K$203)/$K493)))</f>
        <v>0</v>
      </c>
      <c r="X493" s="166">
        <f>IF(OR($I493="",$E493=0),0,IF(OR($J493&lt;X$3,$I493&gt;X$2),0,IF($K493=0,IF(AND($I493&gt;=X$3,$I493&lt;=X$2),$E493,0),$E493*NETWORKDAYS(MAX($I493,X$3),MIN($J493,X$2),Data!$K$4:$K$203)/$K493)))</f>
        <v>0</v>
      </c>
      <c r="Y493" s="166">
        <f>IF(OR($I493="",$E493=0),0,IF(OR($J493&lt;Y$3,$I493&gt;Y$2),0,IF($K493=0,IF(AND($I493&gt;=Y$3,$I493&lt;=Y$2),$E493,0),$E493*NETWORKDAYS(MAX($I493,Y$3),MIN($J493,Y$2),Data!$K$4:$K$203)/$K493)))</f>
        <v>0</v>
      </c>
      <c r="Z493" s="166">
        <f>IF(OR($I493="",$E493=0),0,IF(OR($J493&lt;Z$3,$I493&gt;Z$2),0,IF($K493=0,IF(AND($I493&gt;=Z$3,$I493&lt;=Z$2),$E493,0),$E493*NETWORKDAYS(MAX($I493,Z$3),MIN($J493,Z$2),Data!$K$4:$K$203)/$K493)))</f>
        <v>0</v>
      </c>
      <c r="AA493" s="166">
        <f>IF(OR($I493="",$E493=0),0,IF(OR($J493&lt;AA$3,$I493&gt;AA$2),0,IF($K493=0,IF(AND($I493&gt;=AA$3,$I493&lt;=AA$2),$E493,0),$E493*NETWORKDAYS(MAX($I493,AA$3),MIN($J493,AA$2),Data!$K$4:$K$203)/$K493)))</f>
        <v>0</v>
      </c>
      <c r="AB493" s="166">
        <f>IF(OR($I493="",$E493=0),0,IF(OR($J493&lt;AB$3,$I493&gt;AB$2),0,IF($K493=0,IF(AND($I493&gt;=AB$3,$I493&lt;=AB$2),$E493,0),$E493*NETWORKDAYS(MAX($I493,AB$3),MIN($J493,AB$2),Data!$K$4:$K$203)/$K493)))</f>
        <v>0</v>
      </c>
      <c r="AC493" s="166">
        <f>IF(OR($I493="",$E493=0),0,IF(OR($J493&lt;AC$3,$I493&gt;AC$2),0,IF($K493=0,IF(AND($I493&gt;=AC$3,$I493&lt;=AC$2),$E493,0),$E493*NETWORKDAYS(MAX($I493,AC$3),MIN($J493,AC$2),Data!$K$4:$K$203)/$K493)))</f>
        <v>0</v>
      </c>
      <c r="AD493" s="166">
        <f>IF(OR($I493="",$E493=0),0,IF(OR($J493&lt;AD$3,$I493&gt;AD$2),0,IF($K493=0,IF(AND($I493&gt;=AD$3,$I493&lt;=AD$2),$E493,0),$E493*NETWORKDAYS(MAX($I493,AD$3),MIN($J493,AD$2),Data!$K$4:$K$203)/$K493)))</f>
        <v>0</v>
      </c>
      <c r="AE493" s="166">
        <f>IF(OR($I493="",$E493=0),0,IF(OR($J493&lt;AE$3,$I493&gt;AE$2),0,IF($K493=0,IF(AND($I493&gt;=AE$3,$I493&lt;=AE$2),$E493,0),$E493*NETWORKDAYS(MAX($I493,AE$3),MIN($J493,AE$2),Data!$K$4:$K$203)/$K493)))</f>
        <v>0</v>
      </c>
      <c r="AF493" s="166">
        <f>IF(OR($I493="",$E493=0),0,IF(OR($J493&lt;AF$3,$I493&gt;AF$2),0,IF($K493=0,IF(AND($I493&gt;=AF$3,$I493&lt;=AF$2),$E493,0),$E493*NETWORKDAYS(MAX($I493,AF$3),MIN($J493,AF$2),Data!$K$4:$K$203)/$K493)))</f>
        <v>0</v>
      </c>
      <c r="AG493" s="166">
        <f>IF(OR($I493="",$E493=0),0,IF(OR($J493&lt;AG$3,$I493&gt;AG$2),0,IF($K493=0,IF(AND($I493&gt;=AG$3,$I493&lt;=AG$2),$E493,0),$E493*NETWORKDAYS(MAX($I493,AG$3),MIN($J493,AG$2),Data!$K$4:$K$203)/$K493)))</f>
        <v>0</v>
      </c>
      <c r="AH493" s="166">
        <f>IF(OR($I493="",$E493=0),0,IF(OR($J493&lt;AH$3,$I493&gt;AH$2),0,IF($K493=0,IF(AND($I493&gt;=AH$3,$I493&lt;=AH$2),$E493,0),$E493*NETWORKDAYS(MAX($I493,AH$3),MIN($J493,AH$2),Data!$K$4:$K$203)/$K493)))</f>
        <v>0</v>
      </c>
      <c r="AI493" s="166">
        <f>SUM(W493:AH493)</f>
        <v>0</v>
      </c>
      <c r="BZ493" t="str">
        <f>IF(D493=1,IF(TRIM(INDEX(Charge!$K:$K,ROW()))&lt;&gt;"",TRIM(INDEX(Charge!$K:$K,ROW())),IF(TRIM(INDEX(Charge!$L:$L,ROW()))&lt;&gt;"",TRIM(INDEX(Charge!$L:$L,ROW())),"(non affecté)")),"")</f>
        <v/>
      </c>
      <c r="CA493" t="str">
        <f>IF(AND($CD$4&lt;&gt;"",BZ493=$CD$4),COUNTIFS($BZ$4:$BZ$503,$CD$4,$L$4:$L$503,"&lt;"&amp;L493)+1,"")</f>
        <v/>
      </c>
      <c r="EM493" t="str">
        <f>IF(D493=1,IF(TRIM(INDEX(Charge!$K:$K,ROW()))&lt;&gt;"","Interne",IF(TRIM(INDEX(Charge!$L:$L,ROW()))&lt;&gt;"","Externe","Non affecté")),"")</f>
        <v/>
      </c>
      <c r="EN493" t="str">
        <f>IF(D493=1,LEFT(SUBSTITUTE(SUBSTITUTE(SUBSTITUTE(TRIM(SUBSTITUTE(INDEX(Charge!$B:$B,ROW()),CHAR(160)," "))&amp;" | "&amp;TRIM(SUBSTITUTE(INDEX(Charge!$C:$C,ROW()),CHAR(160)," "))&amp;" | "&amp;TRIM(SUBSTITUTE(INDEX(Charge!$D:$D,ROW()),CHAR(160)," ")),"~","-"),"*","+"),"?","!"),240),"")</f>
        <v/>
      </c>
      <c r="EO493">
        <f>IF(EN493="",0,IF(COUNTIF($EN$4:EN493,EN493)=1,1,0))</f>
        <v>0</v>
      </c>
      <c r="EP493" s="166" t="str">
        <f>IF(EO493=1,ROUND(SUMIF($EN$4:$EN$503,EN493,$E$4:$E$503),2),"")</f>
        <v/>
      </c>
      <c r="EQ493" t="str">
        <f>IF(EO493=1,COUNTIFS($EO$4:$EO$503,1,$EP$4:$EP$503,"&gt;"&amp;EP493)+COUNTIFS($EO$4:EO493,1,$EP$4:EP493,EP493),"")</f>
        <v/>
      </c>
      <c r="ER493" t="str">
        <f>IF(EO493=1,COUNTIFS($EN$4:$EN$503,EN493,$EM$4:$EM$503,"Interne",$FE$4:$FE$503,1),"")</f>
        <v/>
      </c>
      <c r="ES493" t="str">
        <f>IF(EO493=1,COUNTIFS($EN$4:$EN$503,EN493,$EM$4:$EM$503,"Externe",$FE$4:$FE$503,1),"")</f>
        <v/>
      </c>
      <c r="ET493" t="str">
        <f>IF(EO493=1,IF(ER493+ES493=0,"à affecter",IF(ER493=0,ES493&amp;" ext.",(ER493+ES493)&amp;IF(ES493&gt;0," dont "&amp;ES493&amp;" ext.",""))&amp;IF(COUNTIFS($EN$4:$EN$503,EN493,$EM$4:$EM$503,"Non affecté")&gt;0," + à affecter","")),"")</f>
        <v/>
      </c>
      <c r="EU493" s="170" t="str">
        <f>IF(EO493=1,IF(EP493&gt;0,SUMPRODUCT(($EN$4:$EN$503=EN493)*$E$4:$E$503*$C$4:$C$503)/EP493,AVERAGEIF($EN$4:$EN$503,EN493,$C$4:$C$503)),"")</f>
        <v/>
      </c>
      <c r="EV493" s="165">
        <f>IF(ISNUMBER(I493),I493,2958465)</f>
        <v>2958465.0</v>
      </c>
      <c r="EW493" s="165" t="str">
        <f>IF(EO493=1,SUMPRODUCT(MIN(($EN$4:$EN$503=EN493)*$EV$4:$EV$503+($EN$4:$EN$503&lt;&gt;EN493)*2958465)),"")</f>
        <v/>
      </c>
      <c r="EX493" s="165">
        <f>IF(AND(D493=1,ISNUMBER(INDEX(Charge!$F:$F,ROW()))),INDEX(Charge!$F:$F,ROW()),0)</f>
        <v>0.0</v>
      </c>
      <c r="EY493" s="165" t="str">
        <f>IF(EO493=1,SUMPRODUCT(MAX(($EN$4:$EN$503=EN493)*$EX$4:$EX$503)),"")</f>
        <v/>
      </c>
      <c r="FD493">
        <f>IF(AND(B493=1,TRIM(INDEX(Charge!$K:$K,ROW()))&lt;&gt;"",TRIM(INDEX(Charge!$L:$L,ROW()))&lt;&gt;""),1,0)</f>
        <v>0</v>
      </c>
      <c r="FE493">
        <f>IF(OR(EN493="",BZ493="(non affecté)"),0,IF(COUNTIFS($EN$4:EN493,EN493,$BZ$4:BZ493,BZ493)=1,1,0))</f>
        <v>0</v>
      </c>
    </row>
    <row r="494">
      <c r="A494">
        <f>ROW()</f>
        <v>494</v>
      </c>
      <c r="B494">
        <f>IF(TRIM(INDEX(Charge!$B:$B,ROW()))&lt;&gt;"",1,0)</f>
        <v>0</v>
      </c>
      <c r="C494">
        <f>IF(B494=1,MIN(1,MAX(0,N(INDEX(Charge!$O:$O,ROW())))),0)</f>
        <v>0</v>
      </c>
      <c r="D494">
        <f>IF(B494=1,IF(OR(p_Perimetre="Tous les projets",C494&lt;1),1,0),0)</f>
        <v>0</v>
      </c>
      <c r="E494">
        <f>IF(D494=1,MAX(0,N(INDEX(Charge!$M:$M,ROW()))),0)</f>
        <v>0</v>
      </c>
      <c r="F494" t="str">
        <f>IF(D494=1,IF(TRIM(INDEX(Charge!$A:$A,ROW()))="","(non renseigné)",TRIM(INDEX(Charge!$A:$A,ROW()))),"")</f>
        <v/>
      </c>
      <c r="G494" t="str">
        <f>IF(D494=1,TRIM(INDEX(Charge!$B:$B,ROW())),"")</f>
        <v/>
      </c>
      <c r="H494" t="str">
        <f>IF(D494=1,IF(TRIM(INDEX(Charge!$E:$E,ROW()))="","(non renseigné)",TRIM(INDEX(Charge!$E:$E,ROW()))),"")</f>
        <v/>
      </c>
      <c r="I494" s="165" t="str">
        <f>IF(AND(D494=1,ISNUMBER(INDEX(Charge!$N:$N,ROW()))),INDEX(Charge!$N:$N,ROW()),"")</f>
        <v/>
      </c>
      <c r="J494" s="165" t="str">
        <f>IF(I494="","",IF(AND(p_Repartition="Lissée jusqu'à la date de besoin",ISNUMBER(INDEX(Charge!$F:$F,ROW()))),IF(INDEX(Charge!$F:$F,ROW())&gt;=I494,INDEX(Charge!$F:$F,ROW()),I494),I494))</f>
        <v/>
      </c>
      <c r="K494" t="str">
        <f>IF(I494="","",NETWORKDAYS(I494,J494,Data!$K$4:$K$203))</f>
        <v/>
      </c>
      <c r="L494" t="str">
        <f>IF(D494=1,COUNTIFS($D$4:$D$503,1,$E$4:$E$503,"&gt;"&amp;E494)+COUNTIFS($D$4:$D494,1,$E$4:$E494,E494),"")</f>
        <v/>
      </c>
      <c r="M494">
        <f>IF(F494="",0,IF(COUNTIF($F$4:F494,F494)=1,1,0))</f>
        <v>0</v>
      </c>
      <c r="N494" t="str">
        <f>IF(M494=1,ROUND(SUMIF($F$4:$F$503,F494,$E$4:$E$503),2),"")</f>
        <v/>
      </c>
      <c r="O494" t="str">
        <f>IF(M494=1,COUNTIFS($M$4:$M$503,1,$N$4:$N$503,"&gt;"&amp;N494)+COUNTIFS($M$4:M494,1,$N$4:N494,N494),"")</f>
        <v/>
      </c>
      <c r="P494">
        <f>IF(G494="",0,IF(COUNTIF($G$4:G494,G494)=1,1,0))</f>
        <v>0</v>
      </c>
      <c r="Q494" t="str">
        <f>IF(P494=1,ROUND(SUMIF($G$4:$G$503,G494,$E$4:$E$503),2),"")</f>
        <v/>
      </c>
      <c r="R494" t="str">
        <f>IF(P494=1,COUNTIFS($P$4:$P$503,1,$Q$4:$Q$503,"&gt;"&amp;Q494)+COUNTIFS($P$4:P494,1,$Q$4:Q494,Q494),"")</f>
        <v/>
      </c>
      <c r="S494">
        <f>IF(H494="",0,IF(COUNTIF($H$4:H494,H494)=1,1,0))</f>
        <v>0</v>
      </c>
      <c r="T494" t="str">
        <f>IF(S494=1,ROUND(SUMIF($H$4:$H$503,H494,$E$4:$E$503),2),"")</f>
        <v/>
      </c>
      <c r="U494" t="str">
        <f>IF(S494=1,COUNTIFS($S$4:$S$503,1,$T$4:$T$503,"&gt;"&amp;T494)+COUNTIFS($S$4:S494,1,$T$4:T494,T494),"")</f>
        <v/>
      </c>
      <c r="V494" t="str">
        <f>IF(D494=1,MIN(INDEX($R$4:$R$503,MATCH(G494,$G$4:$G$503,0)),IF($AL$7&gt;9,9,999)),"")</f>
        <v/>
      </c>
      <c r="W494" s="166">
        <f>IF(OR($I494="",$E494=0),0,IF(OR($J494&lt;W$3,$I494&gt;W$2),0,IF($K494=0,IF(AND($I494&gt;=W$3,$I494&lt;=W$2),$E494,0),$E494*NETWORKDAYS(MAX($I494,W$3),MIN($J494,W$2),Data!$K$4:$K$203)/$K494)))</f>
        <v>0</v>
      </c>
      <c r="X494" s="166">
        <f>IF(OR($I494="",$E494=0),0,IF(OR($J494&lt;X$3,$I494&gt;X$2),0,IF($K494=0,IF(AND($I494&gt;=X$3,$I494&lt;=X$2),$E494,0),$E494*NETWORKDAYS(MAX($I494,X$3),MIN($J494,X$2),Data!$K$4:$K$203)/$K494)))</f>
        <v>0</v>
      </c>
      <c r="Y494" s="166">
        <f>IF(OR($I494="",$E494=0),0,IF(OR($J494&lt;Y$3,$I494&gt;Y$2),0,IF($K494=0,IF(AND($I494&gt;=Y$3,$I494&lt;=Y$2),$E494,0),$E494*NETWORKDAYS(MAX($I494,Y$3),MIN($J494,Y$2),Data!$K$4:$K$203)/$K494)))</f>
        <v>0</v>
      </c>
      <c r="Z494" s="166">
        <f>IF(OR($I494="",$E494=0),0,IF(OR($J494&lt;Z$3,$I494&gt;Z$2),0,IF($K494=0,IF(AND($I494&gt;=Z$3,$I494&lt;=Z$2),$E494,0),$E494*NETWORKDAYS(MAX($I494,Z$3),MIN($J494,Z$2),Data!$K$4:$K$203)/$K494)))</f>
        <v>0</v>
      </c>
      <c r="AA494" s="166">
        <f>IF(OR($I494="",$E494=0),0,IF(OR($J494&lt;AA$3,$I494&gt;AA$2),0,IF($K494=0,IF(AND($I494&gt;=AA$3,$I494&lt;=AA$2),$E494,0),$E494*NETWORKDAYS(MAX($I494,AA$3),MIN($J494,AA$2),Data!$K$4:$K$203)/$K494)))</f>
        <v>0</v>
      </c>
      <c r="AB494" s="166">
        <f>IF(OR($I494="",$E494=0),0,IF(OR($J494&lt;AB$3,$I494&gt;AB$2),0,IF($K494=0,IF(AND($I494&gt;=AB$3,$I494&lt;=AB$2),$E494,0),$E494*NETWORKDAYS(MAX($I494,AB$3),MIN($J494,AB$2),Data!$K$4:$K$203)/$K494)))</f>
        <v>0</v>
      </c>
      <c r="AC494" s="166">
        <f>IF(OR($I494="",$E494=0),0,IF(OR($J494&lt;AC$3,$I494&gt;AC$2),0,IF($K494=0,IF(AND($I494&gt;=AC$3,$I494&lt;=AC$2),$E494,0),$E494*NETWORKDAYS(MAX($I494,AC$3),MIN($J494,AC$2),Data!$K$4:$K$203)/$K494)))</f>
        <v>0</v>
      </c>
      <c r="AD494" s="166">
        <f>IF(OR($I494="",$E494=0),0,IF(OR($J494&lt;AD$3,$I494&gt;AD$2),0,IF($K494=0,IF(AND($I494&gt;=AD$3,$I494&lt;=AD$2),$E494,0),$E494*NETWORKDAYS(MAX($I494,AD$3),MIN($J494,AD$2),Data!$K$4:$K$203)/$K494)))</f>
        <v>0</v>
      </c>
      <c r="AE494" s="166">
        <f>IF(OR($I494="",$E494=0),0,IF(OR($J494&lt;AE$3,$I494&gt;AE$2),0,IF($K494=0,IF(AND($I494&gt;=AE$3,$I494&lt;=AE$2),$E494,0),$E494*NETWORKDAYS(MAX($I494,AE$3),MIN($J494,AE$2),Data!$K$4:$K$203)/$K494)))</f>
        <v>0</v>
      </c>
      <c r="AF494" s="166">
        <f>IF(OR($I494="",$E494=0),0,IF(OR($J494&lt;AF$3,$I494&gt;AF$2),0,IF($K494=0,IF(AND($I494&gt;=AF$3,$I494&lt;=AF$2),$E494,0),$E494*NETWORKDAYS(MAX($I494,AF$3),MIN($J494,AF$2),Data!$K$4:$K$203)/$K494)))</f>
        <v>0</v>
      </c>
      <c r="AG494" s="166">
        <f>IF(OR($I494="",$E494=0),0,IF(OR($J494&lt;AG$3,$I494&gt;AG$2),0,IF($K494=0,IF(AND($I494&gt;=AG$3,$I494&lt;=AG$2),$E494,0),$E494*NETWORKDAYS(MAX($I494,AG$3),MIN($J494,AG$2),Data!$K$4:$K$203)/$K494)))</f>
        <v>0</v>
      </c>
      <c r="AH494" s="166">
        <f>IF(OR($I494="",$E494=0),0,IF(OR($J494&lt;AH$3,$I494&gt;AH$2),0,IF($K494=0,IF(AND($I494&gt;=AH$3,$I494&lt;=AH$2),$E494,0),$E494*NETWORKDAYS(MAX($I494,AH$3),MIN($J494,AH$2),Data!$K$4:$K$203)/$K494)))</f>
        <v>0</v>
      </c>
      <c r="AI494" s="166">
        <f>SUM(W494:AH494)</f>
        <v>0</v>
      </c>
      <c r="BZ494" t="str">
        <f>IF(D494=1,IF(TRIM(INDEX(Charge!$K:$K,ROW()))&lt;&gt;"",TRIM(INDEX(Charge!$K:$K,ROW())),IF(TRIM(INDEX(Charge!$L:$L,ROW()))&lt;&gt;"",TRIM(INDEX(Charge!$L:$L,ROW())),"(non affecté)")),"")</f>
        <v/>
      </c>
      <c r="CA494" t="str">
        <f>IF(AND($CD$4&lt;&gt;"",BZ494=$CD$4),COUNTIFS($BZ$4:$BZ$503,$CD$4,$L$4:$L$503,"&lt;"&amp;L494)+1,"")</f>
        <v/>
      </c>
      <c r="EM494" t="str">
        <f>IF(D494=1,IF(TRIM(INDEX(Charge!$K:$K,ROW()))&lt;&gt;"","Interne",IF(TRIM(INDEX(Charge!$L:$L,ROW()))&lt;&gt;"","Externe","Non affecté")),"")</f>
        <v/>
      </c>
      <c r="EN494" t="str">
        <f>IF(D494=1,LEFT(SUBSTITUTE(SUBSTITUTE(SUBSTITUTE(TRIM(SUBSTITUTE(INDEX(Charge!$B:$B,ROW()),CHAR(160)," "))&amp;" | "&amp;TRIM(SUBSTITUTE(INDEX(Charge!$C:$C,ROW()),CHAR(160)," "))&amp;" | "&amp;TRIM(SUBSTITUTE(INDEX(Charge!$D:$D,ROW()),CHAR(160)," ")),"~","-"),"*","+"),"?","!"),240),"")</f>
        <v/>
      </c>
      <c r="EO494">
        <f>IF(EN494="",0,IF(COUNTIF($EN$4:EN494,EN494)=1,1,0))</f>
        <v>0</v>
      </c>
      <c r="EP494" s="166" t="str">
        <f>IF(EO494=1,ROUND(SUMIF($EN$4:$EN$503,EN494,$E$4:$E$503),2),"")</f>
        <v/>
      </c>
      <c r="EQ494" t="str">
        <f>IF(EO494=1,COUNTIFS($EO$4:$EO$503,1,$EP$4:$EP$503,"&gt;"&amp;EP494)+COUNTIFS($EO$4:EO494,1,$EP$4:EP494,EP494),"")</f>
        <v/>
      </c>
      <c r="ER494" t="str">
        <f>IF(EO494=1,COUNTIFS($EN$4:$EN$503,EN494,$EM$4:$EM$503,"Interne",$FE$4:$FE$503,1),"")</f>
        <v/>
      </c>
      <c r="ES494" t="str">
        <f>IF(EO494=1,COUNTIFS($EN$4:$EN$503,EN494,$EM$4:$EM$503,"Externe",$FE$4:$FE$503,1),"")</f>
        <v/>
      </c>
      <c r="ET494" t="str">
        <f>IF(EO494=1,IF(ER494+ES494=0,"à affecter",IF(ER494=0,ES494&amp;" ext.",(ER494+ES494)&amp;IF(ES494&gt;0," dont "&amp;ES494&amp;" ext.",""))&amp;IF(COUNTIFS($EN$4:$EN$503,EN494,$EM$4:$EM$503,"Non affecté")&gt;0," + à affecter","")),"")</f>
        <v/>
      </c>
      <c r="EU494" s="170" t="str">
        <f>IF(EO494=1,IF(EP494&gt;0,SUMPRODUCT(($EN$4:$EN$503=EN494)*$E$4:$E$503*$C$4:$C$503)/EP494,AVERAGEIF($EN$4:$EN$503,EN494,$C$4:$C$503)),"")</f>
        <v/>
      </c>
      <c r="EV494" s="165">
        <f>IF(ISNUMBER(I494),I494,2958465)</f>
        <v>2958465.0</v>
      </c>
      <c r="EW494" s="165" t="str">
        <f>IF(EO494=1,SUMPRODUCT(MIN(($EN$4:$EN$503=EN494)*$EV$4:$EV$503+($EN$4:$EN$503&lt;&gt;EN494)*2958465)),"")</f>
        <v/>
      </c>
      <c r="EX494" s="165">
        <f>IF(AND(D494=1,ISNUMBER(INDEX(Charge!$F:$F,ROW()))),INDEX(Charge!$F:$F,ROW()),0)</f>
        <v>0.0</v>
      </c>
      <c r="EY494" s="165" t="str">
        <f>IF(EO494=1,SUMPRODUCT(MAX(($EN$4:$EN$503=EN494)*$EX$4:$EX$503)),"")</f>
        <v/>
      </c>
      <c r="FD494">
        <f>IF(AND(B494=1,TRIM(INDEX(Charge!$K:$K,ROW()))&lt;&gt;"",TRIM(INDEX(Charge!$L:$L,ROW()))&lt;&gt;""),1,0)</f>
        <v>0</v>
      </c>
      <c r="FE494">
        <f>IF(OR(EN494="",BZ494="(non affecté)"),0,IF(COUNTIFS($EN$4:EN494,EN494,$BZ$4:BZ494,BZ494)=1,1,0))</f>
        <v>0</v>
      </c>
    </row>
    <row r="495">
      <c r="A495">
        <f>ROW()</f>
        <v>495</v>
      </c>
      <c r="B495">
        <f>IF(TRIM(INDEX(Charge!$B:$B,ROW()))&lt;&gt;"",1,0)</f>
        <v>0</v>
      </c>
      <c r="C495">
        <f>IF(B495=1,MIN(1,MAX(0,N(INDEX(Charge!$O:$O,ROW())))),0)</f>
        <v>0</v>
      </c>
      <c r="D495">
        <f>IF(B495=1,IF(OR(p_Perimetre="Tous les projets",C495&lt;1),1,0),0)</f>
        <v>0</v>
      </c>
      <c r="E495">
        <f>IF(D495=1,MAX(0,N(INDEX(Charge!$M:$M,ROW()))),0)</f>
        <v>0</v>
      </c>
      <c r="F495" t="str">
        <f>IF(D495=1,IF(TRIM(INDEX(Charge!$A:$A,ROW()))="","(non renseigné)",TRIM(INDEX(Charge!$A:$A,ROW()))),"")</f>
        <v/>
      </c>
      <c r="G495" t="str">
        <f>IF(D495=1,TRIM(INDEX(Charge!$B:$B,ROW())),"")</f>
        <v/>
      </c>
      <c r="H495" t="str">
        <f>IF(D495=1,IF(TRIM(INDEX(Charge!$E:$E,ROW()))="","(non renseigné)",TRIM(INDEX(Charge!$E:$E,ROW()))),"")</f>
        <v/>
      </c>
      <c r="I495" s="165" t="str">
        <f>IF(AND(D495=1,ISNUMBER(INDEX(Charge!$N:$N,ROW()))),INDEX(Charge!$N:$N,ROW()),"")</f>
        <v/>
      </c>
      <c r="J495" s="165" t="str">
        <f>IF(I495="","",IF(AND(p_Repartition="Lissée jusqu'à la date de besoin",ISNUMBER(INDEX(Charge!$F:$F,ROW()))),IF(INDEX(Charge!$F:$F,ROW())&gt;=I495,INDEX(Charge!$F:$F,ROW()),I495),I495))</f>
        <v/>
      </c>
      <c r="K495" t="str">
        <f>IF(I495="","",NETWORKDAYS(I495,J495,Data!$K$4:$K$203))</f>
        <v/>
      </c>
      <c r="L495" t="str">
        <f>IF(D495=1,COUNTIFS($D$4:$D$503,1,$E$4:$E$503,"&gt;"&amp;E495)+COUNTIFS($D$4:$D495,1,$E$4:$E495,E495),"")</f>
        <v/>
      </c>
      <c r="M495">
        <f>IF(F495="",0,IF(COUNTIF($F$4:F495,F495)=1,1,0))</f>
        <v>0</v>
      </c>
      <c r="N495" t="str">
        <f>IF(M495=1,ROUND(SUMIF($F$4:$F$503,F495,$E$4:$E$503),2),"")</f>
        <v/>
      </c>
      <c r="O495" t="str">
        <f>IF(M495=1,COUNTIFS($M$4:$M$503,1,$N$4:$N$503,"&gt;"&amp;N495)+COUNTIFS($M$4:M495,1,$N$4:N495,N495),"")</f>
        <v/>
      </c>
      <c r="P495">
        <f>IF(G495="",0,IF(COUNTIF($G$4:G495,G495)=1,1,0))</f>
        <v>0</v>
      </c>
      <c r="Q495" t="str">
        <f>IF(P495=1,ROUND(SUMIF($G$4:$G$503,G495,$E$4:$E$503),2),"")</f>
        <v/>
      </c>
      <c r="R495" t="str">
        <f>IF(P495=1,COUNTIFS($P$4:$P$503,1,$Q$4:$Q$503,"&gt;"&amp;Q495)+COUNTIFS($P$4:P495,1,$Q$4:Q495,Q495),"")</f>
        <v/>
      </c>
      <c r="S495">
        <f>IF(H495="",0,IF(COUNTIF($H$4:H495,H495)=1,1,0))</f>
        <v>0</v>
      </c>
      <c r="T495" t="str">
        <f>IF(S495=1,ROUND(SUMIF($H$4:$H$503,H495,$E$4:$E$503),2),"")</f>
        <v/>
      </c>
      <c r="U495" t="str">
        <f>IF(S495=1,COUNTIFS($S$4:$S$503,1,$T$4:$T$503,"&gt;"&amp;T495)+COUNTIFS($S$4:S495,1,$T$4:T495,T495),"")</f>
        <v/>
      </c>
      <c r="V495" t="str">
        <f>IF(D495=1,MIN(INDEX($R$4:$R$503,MATCH(G495,$G$4:$G$503,0)),IF($AL$7&gt;9,9,999)),"")</f>
        <v/>
      </c>
      <c r="W495" s="166">
        <f>IF(OR($I495="",$E495=0),0,IF(OR($J495&lt;W$3,$I495&gt;W$2),0,IF($K495=0,IF(AND($I495&gt;=W$3,$I495&lt;=W$2),$E495,0),$E495*NETWORKDAYS(MAX($I495,W$3),MIN($J495,W$2),Data!$K$4:$K$203)/$K495)))</f>
        <v>0</v>
      </c>
      <c r="X495" s="166">
        <f>IF(OR($I495="",$E495=0),0,IF(OR($J495&lt;X$3,$I495&gt;X$2),0,IF($K495=0,IF(AND($I495&gt;=X$3,$I495&lt;=X$2),$E495,0),$E495*NETWORKDAYS(MAX($I495,X$3),MIN($J495,X$2),Data!$K$4:$K$203)/$K495)))</f>
        <v>0</v>
      </c>
      <c r="Y495" s="166">
        <f>IF(OR($I495="",$E495=0),0,IF(OR($J495&lt;Y$3,$I495&gt;Y$2),0,IF($K495=0,IF(AND($I495&gt;=Y$3,$I495&lt;=Y$2),$E495,0),$E495*NETWORKDAYS(MAX($I495,Y$3),MIN($J495,Y$2),Data!$K$4:$K$203)/$K495)))</f>
        <v>0</v>
      </c>
      <c r="Z495" s="166">
        <f>IF(OR($I495="",$E495=0),0,IF(OR($J495&lt;Z$3,$I495&gt;Z$2),0,IF($K495=0,IF(AND($I495&gt;=Z$3,$I495&lt;=Z$2),$E495,0),$E495*NETWORKDAYS(MAX($I495,Z$3),MIN($J495,Z$2),Data!$K$4:$K$203)/$K495)))</f>
        <v>0</v>
      </c>
      <c r="AA495" s="166">
        <f>IF(OR($I495="",$E495=0),0,IF(OR($J495&lt;AA$3,$I495&gt;AA$2),0,IF($K495=0,IF(AND($I495&gt;=AA$3,$I495&lt;=AA$2),$E495,0),$E495*NETWORKDAYS(MAX($I495,AA$3),MIN($J495,AA$2),Data!$K$4:$K$203)/$K495)))</f>
        <v>0</v>
      </c>
      <c r="AB495" s="166">
        <f>IF(OR($I495="",$E495=0),0,IF(OR($J495&lt;AB$3,$I495&gt;AB$2),0,IF($K495=0,IF(AND($I495&gt;=AB$3,$I495&lt;=AB$2),$E495,0),$E495*NETWORKDAYS(MAX($I495,AB$3),MIN($J495,AB$2),Data!$K$4:$K$203)/$K495)))</f>
        <v>0</v>
      </c>
      <c r="AC495" s="166">
        <f>IF(OR($I495="",$E495=0),0,IF(OR($J495&lt;AC$3,$I495&gt;AC$2),0,IF($K495=0,IF(AND($I495&gt;=AC$3,$I495&lt;=AC$2),$E495,0),$E495*NETWORKDAYS(MAX($I495,AC$3),MIN($J495,AC$2),Data!$K$4:$K$203)/$K495)))</f>
        <v>0</v>
      </c>
      <c r="AD495" s="166">
        <f>IF(OR($I495="",$E495=0),0,IF(OR($J495&lt;AD$3,$I495&gt;AD$2),0,IF($K495=0,IF(AND($I495&gt;=AD$3,$I495&lt;=AD$2),$E495,0),$E495*NETWORKDAYS(MAX($I495,AD$3),MIN($J495,AD$2),Data!$K$4:$K$203)/$K495)))</f>
        <v>0</v>
      </c>
      <c r="AE495" s="166">
        <f>IF(OR($I495="",$E495=0),0,IF(OR($J495&lt;AE$3,$I495&gt;AE$2),0,IF($K495=0,IF(AND($I495&gt;=AE$3,$I495&lt;=AE$2),$E495,0),$E495*NETWORKDAYS(MAX($I495,AE$3),MIN($J495,AE$2),Data!$K$4:$K$203)/$K495)))</f>
        <v>0</v>
      </c>
      <c r="AF495" s="166">
        <f>IF(OR($I495="",$E495=0),0,IF(OR($J495&lt;AF$3,$I495&gt;AF$2),0,IF($K495=0,IF(AND($I495&gt;=AF$3,$I495&lt;=AF$2),$E495,0),$E495*NETWORKDAYS(MAX($I495,AF$3),MIN($J495,AF$2),Data!$K$4:$K$203)/$K495)))</f>
        <v>0</v>
      </c>
      <c r="AG495" s="166">
        <f>IF(OR($I495="",$E495=0),0,IF(OR($J495&lt;AG$3,$I495&gt;AG$2),0,IF($K495=0,IF(AND($I495&gt;=AG$3,$I495&lt;=AG$2),$E495,0),$E495*NETWORKDAYS(MAX($I495,AG$3),MIN($J495,AG$2),Data!$K$4:$K$203)/$K495)))</f>
        <v>0</v>
      </c>
      <c r="AH495" s="166">
        <f>IF(OR($I495="",$E495=0),0,IF(OR($J495&lt;AH$3,$I495&gt;AH$2),0,IF($K495=0,IF(AND($I495&gt;=AH$3,$I495&lt;=AH$2),$E495,0),$E495*NETWORKDAYS(MAX($I495,AH$3),MIN($J495,AH$2),Data!$K$4:$K$203)/$K495)))</f>
        <v>0</v>
      </c>
      <c r="AI495" s="166">
        <f>SUM(W495:AH495)</f>
        <v>0</v>
      </c>
      <c r="BZ495" t="str">
        <f>IF(D495=1,IF(TRIM(INDEX(Charge!$K:$K,ROW()))&lt;&gt;"",TRIM(INDEX(Charge!$K:$K,ROW())),IF(TRIM(INDEX(Charge!$L:$L,ROW()))&lt;&gt;"",TRIM(INDEX(Charge!$L:$L,ROW())),"(non affecté)")),"")</f>
        <v/>
      </c>
      <c r="CA495" t="str">
        <f>IF(AND($CD$4&lt;&gt;"",BZ495=$CD$4),COUNTIFS($BZ$4:$BZ$503,$CD$4,$L$4:$L$503,"&lt;"&amp;L495)+1,"")</f>
        <v/>
      </c>
      <c r="EM495" t="str">
        <f>IF(D495=1,IF(TRIM(INDEX(Charge!$K:$K,ROW()))&lt;&gt;"","Interne",IF(TRIM(INDEX(Charge!$L:$L,ROW()))&lt;&gt;"","Externe","Non affecté")),"")</f>
        <v/>
      </c>
      <c r="EN495" t="str">
        <f>IF(D495=1,LEFT(SUBSTITUTE(SUBSTITUTE(SUBSTITUTE(TRIM(SUBSTITUTE(INDEX(Charge!$B:$B,ROW()),CHAR(160)," "))&amp;" | "&amp;TRIM(SUBSTITUTE(INDEX(Charge!$C:$C,ROW()),CHAR(160)," "))&amp;" | "&amp;TRIM(SUBSTITUTE(INDEX(Charge!$D:$D,ROW()),CHAR(160)," ")),"~","-"),"*","+"),"?","!"),240),"")</f>
        <v/>
      </c>
      <c r="EO495">
        <f>IF(EN495="",0,IF(COUNTIF($EN$4:EN495,EN495)=1,1,0))</f>
        <v>0</v>
      </c>
      <c r="EP495" s="166" t="str">
        <f>IF(EO495=1,ROUND(SUMIF($EN$4:$EN$503,EN495,$E$4:$E$503),2),"")</f>
        <v/>
      </c>
      <c r="EQ495" t="str">
        <f>IF(EO495=1,COUNTIFS($EO$4:$EO$503,1,$EP$4:$EP$503,"&gt;"&amp;EP495)+COUNTIFS($EO$4:EO495,1,$EP$4:EP495,EP495),"")</f>
        <v/>
      </c>
      <c r="ER495" t="str">
        <f>IF(EO495=1,COUNTIFS($EN$4:$EN$503,EN495,$EM$4:$EM$503,"Interne",$FE$4:$FE$503,1),"")</f>
        <v/>
      </c>
      <c r="ES495" t="str">
        <f>IF(EO495=1,COUNTIFS($EN$4:$EN$503,EN495,$EM$4:$EM$503,"Externe",$FE$4:$FE$503,1),"")</f>
        <v/>
      </c>
      <c r="ET495" t="str">
        <f>IF(EO495=1,IF(ER495+ES495=0,"à affecter",IF(ER495=0,ES495&amp;" ext.",(ER495+ES495)&amp;IF(ES495&gt;0," dont "&amp;ES495&amp;" ext.",""))&amp;IF(COUNTIFS($EN$4:$EN$503,EN495,$EM$4:$EM$503,"Non affecté")&gt;0," + à affecter","")),"")</f>
        <v/>
      </c>
      <c r="EU495" s="170" t="str">
        <f>IF(EO495=1,IF(EP495&gt;0,SUMPRODUCT(($EN$4:$EN$503=EN495)*$E$4:$E$503*$C$4:$C$503)/EP495,AVERAGEIF($EN$4:$EN$503,EN495,$C$4:$C$503)),"")</f>
        <v/>
      </c>
      <c r="EV495" s="165">
        <f>IF(ISNUMBER(I495),I495,2958465)</f>
        <v>2958465.0</v>
      </c>
      <c r="EW495" s="165" t="str">
        <f>IF(EO495=1,SUMPRODUCT(MIN(($EN$4:$EN$503=EN495)*$EV$4:$EV$503+($EN$4:$EN$503&lt;&gt;EN495)*2958465)),"")</f>
        <v/>
      </c>
      <c r="EX495" s="165">
        <f>IF(AND(D495=1,ISNUMBER(INDEX(Charge!$F:$F,ROW()))),INDEX(Charge!$F:$F,ROW()),0)</f>
        <v>0.0</v>
      </c>
      <c r="EY495" s="165" t="str">
        <f>IF(EO495=1,SUMPRODUCT(MAX(($EN$4:$EN$503=EN495)*$EX$4:$EX$503)),"")</f>
        <v/>
      </c>
      <c r="FD495">
        <f>IF(AND(B495=1,TRIM(INDEX(Charge!$K:$K,ROW()))&lt;&gt;"",TRIM(INDEX(Charge!$L:$L,ROW()))&lt;&gt;""),1,0)</f>
        <v>0</v>
      </c>
      <c r="FE495">
        <f>IF(OR(EN495="",BZ495="(non affecté)"),0,IF(COUNTIFS($EN$4:EN495,EN495,$BZ$4:BZ495,BZ495)=1,1,0))</f>
        <v>0</v>
      </c>
    </row>
    <row r="496">
      <c r="A496">
        <f>ROW()</f>
        <v>496</v>
      </c>
      <c r="B496">
        <f>IF(TRIM(INDEX(Charge!$B:$B,ROW()))&lt;&gt;"",1,0)</f>
        <v>0</v>
      </c>
      <c r="C496">
        <f>IF(B496=1,MIN(1,MAX(0,N(INDEX(Charge!$O:$O,ROW())))),0)</f>
        <v>0</v>
      </c>
      <c r="D496">
        <f>IF(B496=1,IF(OR(p_Perimetre="Tous les projets",C496&lt;1),1,0),0)</f>
        <v>0</v>
      </c>
      <c r="E496">
        <f>IF(D496=1,MAX(0,N(INDEX(Charge!$M:$M,ROW()))),0)</f>
        <v>0</v>
      </c>
      <c r="F496" t="str">
        <f>IF(D496=1,IF(TRIM(INDEX(Charge!$A:$A,ROW()))="","(non renseigné)",TRIM(INDEX(Charge!$A:$A,ROW()))),"")</f>
        <v/>
      </c>
      <c r="G496" t="str">
        <f>IF(D496=1,TRIM(INDEX(Charge!$B:$B,ROW())),"")</f>
        <v/>
      </c>
      <c r="H496" t="str">
        <f>IF(D496=1,IF(TRIM(INDEX(Charge!$E:$E,ROW()))="","(non renseigné)",TRIM(INDEX(Charge!$E:$E,ROW()))),"")</f>
        <v/>
      </c>
      <c r="I496" s="165" t="str">
        <f>IF(AND(D496=1,ISNUMBER(INDEX(Charge!$N:$N,ROW()))),INDEX(Charge!$N:$N,ROW()),"")</f>
        <v/>
      </c>
      <c r="J496" s="165" t="str">
        <f>IF(I496="","",IF(AND(p_Repartition="Lissée jusqu'à la date de besoin",ISNUMBER(INDEX(Charge!$F:$F,ROW()))),IF(INDEX(Charge!$F:$F,ROW())&gt;=I496,INDEX(Charge!$F:$F,ROW()),I496),I496))</f>
        <v/>
      </c>
      <c r="K496" t="str">
        <f>IF(I496="","",NETWORKDAYS(I496,J496,Data!$K$4:$K$203))</f>
        <v/>
      </c>
      <c r="L496" t="str">
        <f>IF(D496=1,COUNTIFS($D$4:$D$503,1,$E$4:$E$503,"&gt;"&amp;E496)+COUNTIFS($D$4:$D496,1,$E$4:$E496,E496),"")</f>
        <v/>
      </c>
      <c r="M496">
        <f>IF(F496="",0,IF(COUNTIF($F$4:F496,F496)=1,1,0))</f>
        <v>0</v>
      </c>
      <c r="N496" t="str">
        <f>IF(M496=1,ROUND(SUMIF($F$4:$F$503,F496,$E$4:$E$503),2),"")</f>
        <v/>
      </c>
      <c r="O496" t="str">
        <f>IF(M496=1,COUNTIFS($M$4:$M$503,1,$N$4:$N$503,"&gt;"&amp;N496)+COUNTIFS($M$4:M496,1,$N$4:N496,N496),"")</f>
        <v/>
      </c>
      <c r="P496">
        <f>IF(G496="",0,IF(COUNTIF($G$4:G496,G496)=1,1,0))</f>
        <v>0</v>
      </c>
      <c r="Q496" t="str">
        <f>IF(P496=1,ROUND(SUMIF($G$4:$G$503,G496,$E$4:$E$503),2),"")</f>
        <v/>
      </c>
      <c r="R496" t="str">
        <f>IF(P496=1,COUNTIFS($P$4:$P$503,1,$Q$4:$Q$503,"&gt;"&amp;Q496)+COUNTIFS($P$4:P496,1,$Q$4:Q496,Q496),"")</f>
        <v/>
      </c>
      <c r="S496">
        <f>IF(H496="",0,IF(COUNTIF($H$4:H496,H496)=1,1,0))</f>
        <v>0</v>
      </c>
      <c r="T496" t="str">
        <f>IF(S496=1,ROUND(SUMIF($H$4:$H$503,H496,$E$4:$E$503),2),"")</f>
        <v/>
      </c>
      <c r="U496" t="str">
        <f>IF(S496=1,COUNTIFS($S$4:$S$503,1,$T$4:$T$503,"&gt;"&amp;T496)+COUNTIFS($S$4:S496,1,$T$4:T496,T496),"")</f>
        <v/>
      </c>
      <c r="V496" t="str">
        <f>IF(D496=1,MIN(INDEX($R$4:$R$503,MATCH(G496,$G$4:$G$503,0)),IF($AL$7&gt;9,9,999)),"")</f>
        <v/>
      </c>
      <c r="W496" s="166">
        <f>IF(OR($I496="",$E496=0),0,IF(OR($J496&lt;W$3,$I496&gt;W$2),0,IF($K496=0,IF(AND($I496&gt;=W$3,$I496&lt;=W$2),$E496,0),$E496*NETWORKDAYS(MAX($I496,W$3),MIN($J496,W$2),Data!$K$4:$K$203)/$K496)))</f>
        <v>0</v>
      </c>
      <c r="X496" s="166">
        <f>IF(OR($I496="",$E496=0),0,IF(OR($J496&lt;X$3,$I496&gt;X$2),0,IF($K496=0,IF(AND($I496&gt;=X$3,$I496&lt;=X$2),$E496,0),$E496*NETWORKDAYS(MAX($I496,X$3),MIN($J496,X$2),Data!$K$4:$K$203)/$K496)))</f>
        <v>0</v>
      </c>
      <c r="Y496" s="166">
        <f>IF(OR($I496="",$E496=0),0,IF(OR($J496&lt;Y$3,$I496&gt;Y$2),0,IF($K496=0,IF(AND($I496&gt;=Y$3,$I496&lt;=Y$2),$E496,0),$E496*NETWORKDAYS(MAX($I496,Y$3),MIN($J496,Y$2),Data!$K$4:$K$203)/$K496)))</f>
        <v>0</v>
      </c>
      <c r="Z496" s="166">
        <f>IF(OR($I496="",$E496=0),0,IF(OR($J496&lt;Z$3,$I496&gt;Z$2),0,IF($K496=0,IF(AND($I496&gt;=Z$3,$I496&lt;=Z$2),$E496,0),$E496*NETWORKDAYS(MAX($I496,Z$3),MIN($J496,Z$2),Data!$K$4:$K$203)/$K496)))</f>
        <v>0</v>
      </c>
      <c r="AA496" s="166">
        <f>IF(OR($I496="",$E496=0),0,IF(OR($J496&lt;AA$3,$I496&gt;AA$2),0,IF($K496=0,IF(AND($I496&gt;=AA$3,$I496&lt;=AA$2),$E496,0),$E496*NETWORKDAYS(MAX($I496,AA$3),MIN($J496,AA$2),Data!$K$4:$K$203)/$K496)))</f>
        <v>0</v>
      </c>
      <c r="AB496" s="166">
        <f>IF(OR($I496="",$E496=0),0,IF(OR($J496&lt;AB$3,$I496&gt;AB$2),0,IF($K496=0,IF(AND($I496&gt;=AB$3,$I496&lt;=AB$2),$E496,0),$E496*NETWORKDAYS(MAX($I496,AB$3),MIN($J496,AB$2),Data!$K$4:$K$203)/$K496)))</f>
        <v>0</v>
      </c>
      <c r="AC496" s="166">
        <f>IF(OR($I496="",$E496=0),0,IF(OR($J496&lt;AC$3,$I496&gt;AC$2),0,IF($K496=0,IF(AND($I496&gt;=AC$3,$I496&lt;=AC$2),$E496,0),$E496*NETWORKDAYS(MAX($I496,AC$3),MIN($J496,AC$2),Data!$K$4:$K$203)/$K496)))</f>
        <v>0</v>
      </c>
      <c r="AD496" s="166">
        <f>IF(OR($I496="",$E496=0),0,IF(OR($J496&lt;AD$3,$I496&gt;AD$2),0,IF($K496=0,IF(AND($I496&gt;=AD$3,$I496&lt;=AD$2),$E496,0),$E496*NETWORKDAYS(MAX($I496,AD$3),MIN($J496,AD$2),Data!$K$4:$K$203)/$K496)))</f>
        <v>0</v>
      </c>
      <c r="AE496" s="166">
        <f>IF(OR($I496="",$E496=0),0,IF(OR($J496&lt;AE$3,$I496&gt;AE$2),0,IF($K496=0,IF(AND($I496&gt;=AE$3,$I496&lt;=AE$2),$E496,0),$E496*NETWORKDAYS(MAX($I496,AE$3),MIN($J496,AE$2),Data!$K$4:$K$203)/$K496)))</f>
        <v>0</v>
      </c>
      <c r="AF496" s="166">
        <f>IF(OR($I496="",$E496=0),0,IF(OR($J496&lt;AF$3,$I496&gt;AF$2),0,IF($K496=0,IF(AND($I496&gt;=AF$3,$I496&lt;=AF$2),$E496,0),$E496*NETWORKDAYS(MAX($I496,AF$3),MIN($J496,AF$2),Data!$K$4:$K$203)/$K496)))</f>
        <v>0</v>
      </c>
      <c r="AG496" s="166">
        <f>IF(OR($I496="",$E496=0),0,IF(OR($J496&lt;AG$3,$I496&gt;AG$2),0,IF($K496=0,IF(AND($I496&gt;=AG$3,$I496&lt;=AG$2),$E496,0),$E496*NETWORKDAYS(MAX($I496,AG$3),MIN($J496,AG$2),Data!$K$4:$K$203)/$K496)))</f>
        <v>0</v>
      </c>
      <c r="AH496" s="166">
        <f>IF(OR($I496="",$E496=0),0,IF(OR($J496&lt;AH$3,$I496&gt;AH$2),0,IF($K496=0,IF(AND($I496&gt;=AH$3,$I496&lt;=AH$2),$E496,0),$E496*NETWORKDAYS(MAX($I496,AH$3),MIN($J496,AH$2),Data!$K$4:$K$203)/$K496)))</f>
        <v>0</v>
      </c>
      <c r="AI496" s="166">
        <f>SUM(W496:AH496)</f>
        <v>0</v>
      </c>
      <c r="BZ496" t="str">
        <f>IF(D496=1,IF(TRIM(INDEX(Charge!$K:$K,ROW()))&lt;&gt;"",TRIM(INDEX(Charge!$K:$K,ROW())),IF(TRIM(INDEX(Charge!$L:$L,ROW()))&lt;&gt;"",TRIM(INDEX(Charge!$L:$L,ROW())),"(non affecté)")),"")</f>
        <v/>
      </c>
      <c r="CA496" t="str">
        <f>IF(AND($CD$4&lt;&gt;"",BZ496=$CD$4),COUNTIFS($BZ$4:$BZ$503,$CD$4,$L$4:$L$503,"&lt;"&amp;L496)+1,"")</f>
        <v/>
      </c>
      <c r="EM496" t="str">
        <f>IF(D496=1,IF(TRIM(INDEX(Charge!$K:$K,ROW()))&lt;&gt;"","Interne",IF(TRIM(INDEX(Charge!$L:$L,ROW()))&lt;&gt;"","Externe","Non affecté")),"")</f>
        <v/>
      </c>
      <c r="EN496" t="str">
        <f>IF(D496=1,LEFT(SUBSTITUTE(SUBSTITUTE(SUBSTITUTE(TRIM(SUBSTITUTE(INDEX(Charge!$B:$B,ROW()),CHAR(160)," "))&amp;" | "&amp;TRIM(SUBSTITUTE(INDEX(Charge!$C:$C,ROW()),CHAR(160)," "))&amp;" | "&amp;TRIM(SUBSTITUTE(INDEX(Charge!$D:$D,ROW()),CHAR(160)," ")),"~","-"),"*","+"),"?","!"),240),"")</f>
        <v/>
      </c>
      <c r="EO496">
        <f>IF(EN496="",0,IF(COUNTIF($EN$4:EN496,EN496)=1,1,0))</f>
        <v>0</v>
      </c>
      <c r="EP496" s="166" t="str">
        <f>IF(EO496=1,ROUND(SUMIF($EN$4:$EN$503,EN496,$E$4:$E$503),2),"")</f>
        <v/>
      </c>
      <c r="EQ496" t="str">
        <f>IF(EO496=1,COUNTIFS($EO$4:$EO$503,1,$EP$4:$EP$503,"&gt;"&amp;EP496)+COUNTIFS($EO$4:EO496,1,$EP$4:EP496,EP496),"")</f>
        <v/>
      </c>
      <c r="ER496" t="str">
        <f>IF(EO496=1,COUNTIFS($EN$4:$EN$503,EN496,$EM$4:$EM$503,"Interne",$FE$4:$FE$503,1),"")</f>
        <v/>
      </c>
      <c r="ES496" t="str">
        <f>IF(EO496=1,COUNTIFS($EN$4:$EN$503,EN496,$EM$4:$EM$503,"Externe",$FE$4:$FE$503,1),"")</f>
        <v/>
      </c>
      <c r="ET496" t="str">
        <f>IF(EO496=1,IF(ER496+ES496=0,"à affecter",IF(ER496=0,ES496&amp;" ext.",(ER496+ES496)&amp;IF(ES496&gt;0," dont "&amp;ES496&amp;" ext.",""))&amp;IF(COUNTIFS($EN$4:$EN$503,EN496,$EM$4:$EM$503,"Non affecté")&gt;0," + à affecter","")),"")</f>
        <v/>
      </c>
      <c r="EU496" s="170" t="str">
        <f>IF(EO496=1,IF(EP496&gt;0,SUMPRODUCT(($EN$4:$EN$503=EN496)*$E$4:$E$503*$C$4:$C$503)/EP496,AVERAGEIF($EN$4:$EN$503,EN496,$C$4:$C$503)),"")</f>
        <v/>
      </c>
      <c r="EV496" s="165">
        <f>IF(ISNUMBER(I496),I496,2958465)</f>
        <v>2958465.0</v>
      </c>
      <c r="EW496" s="165" t="str">
        <f>IF(EO496=1,SUMPRODUCT(MIN(($EN$4:$EN$503=EN496)*$EV$4:$EV$503+($EN$4:$EN$503&lt;&gt;EN496)*2958465)),"")</f>
        <v/>
      </c>
      <c r="EX496" s="165">
        <f>IF(AND(D496=1,ISNUMBER(INDEX(Charge!$F:$F,ROW()))),INDEX(Charge!$F:$F,ROW()),0)</f>
        <v>0.0</v>
      </c>
      <c r="EY496" s="165" t="str">
        <f>IF(EO496=1,SUMPRODUCT(MAX(($EN$4:$EN$503=EN496)*$EX$4:$EX$503)),"")</f>
        <v/>
      </c>
      <c r="FD496">
        <f>IF(AND(B496=1,TRIM(INDEX(Charge!$K:$K,ROW()))&lt;&gt;"",TRIM(INDEX(Charge!$L:$L,ROW()))&lt;&gt;""),1,0)</f>
        <v>0</v>
      </c>
      <c r="FE496">
        <f>IF(OR(EN496="",BZ496="(non affecté)"),0,IF(COUNTIFS($EN$4:EN496,EN496,$BZ$4:BZ496,BZ496)=1,1,0))</f>
        <v>0</v>
      </c>
    </row>
    <row r="497">
      <c r="A497">
        <f>ROW()</f>
        <v>497</v>
      </c>
      <c r="B497">
        <f>IF(TRIM(INDEX(Charge!$B:$B,ROW()))&lt;&gt;"",1,0)</f>
        <v>0</v>
      </c>
      <c r="C497">
        <f>IF(B497=1,MIN(1,MAX(0,N(INDEX(Charge!$O:$O,ROW())))),0)</f>
        <v>0</v>
      </c>
      <c r="D497">
        <f>IF(B497=1,IF(OR(p_Perimetre="Tous les projets",C497&lt;1),1,0),0)</f>
        <v>0</v>
      </c>
      <c r="E497">
        <f>IF(D497=1,MAX(0,N(INDEX(Charge!$M:$M,ROW()))),0)</f>
        <v>0</v>
      </c>
      <c r="F497" t="str">
        <f>IF(D497=1,IF(TRIM(INDEX(Charge!$A:$A,ROW()))="","(non renseigné)",TRIM(INDEX(Charge!$A:$A,ROW()))),"")</f>
        <v/>
      </c>
      <c r="G497" t="str">
        <f>IF(D497=1,TRIM(INDEX(Charge!$B:$B,ROW())),"")</f>
        <v/>
      </c>
      <c r="H497" t="str">
        <f>IF(D497=1,IF(TRIM(INDEX(Charge!$E:$E,ROW()))="","(non renseigné)",TRIM(INDEX(Charge!$E:$E,ROW()))),"")</f>
        <v/>
      </c>
      <c r="I497" s="165" t="str">
        <f>IF(AND(D497=1,ISNUMBER(INDEX(Charge!$N:$N,ROW()))),INDEX(Charge!$N:$N,ROW()),"")</f>
        <v/>
      </c>
      <c r="J497" s="165" t="str">
        <f>IF(I497="","",IF(AND(p_Repartition="Lissée jusqu'à la date de besoin",ISNUMBER(INDEX(Charge!$F:$F,ROW()))),IF(INDEX(Charge!$F:$F,ROW())&gt;=I497,INDEX(Charge!$F:$F,ROW()),I497),I497))</f>
        <v/>
      </c>
      <c r="K497" t="str">
        <f>IF(I497="","",NETWORKDAYS(I497,J497,Data!$K$4:$K$203))</f>
        <v/>
      </c>
      <c r="L497" t="str">
        <f>IF(D497=1,COUNTIFS($D$4:$D$503,1,$E$4:$E$503,"&gt;"&amp;E497)+COUNTIFS($D$4:$D497,1,$E$4:$E497,E497),"")</f>
        <v/>
      </c>
      <c r="M497">
        <f>IF(F497="",0,IF(COUNTIF($F$4:F497,F497)=1,1,0))</f>
        <v>0</v>
      </c>
      <c r="N497" t="str">
        <f>IF(M497=1,ROUND(SUMIF($F$4:$F$503,F497,$E$4:$E$503),2),"")</f>
        <v/>
      </c>
      <c r="O497" t="str">
        <f>IF(M497=1,COUNTIFS($M$4:$M$503,1,$N$4:$N$503,"&gt;"&amp;N497)+COUNTIFS($M$4:M497,1,$N$4:N497,N497),"")</f>
        <v/>
      </c>
      <c r="P497">
        <f>IF(G497="",0,IF(COUNTIF($G$4:G497,G497)=1,1,0))</f>
        <v>0</v>
      </c>
      <c r="Q497" t="str">
        <f>IF(P497=1,ROUND(SUMIF($G$4:$G$503,G497,$E$4:$E$503),2),"")</f>
        <v/>
      </c>
      <c r="R497" t="str">
        <f>IF(P497=1,COUNTIFS($P$4:$P$503,1,$Q$4:$Q$503,"&gt;"&amp;Q497)+COUNTIFS($P$4:P497,1,$Q$4:Q497,Q497),"")</f>
        <v/>
      </c>
      <c r="S497">
        <f>IF(H497="",0,IF(COUNTIF($H$4:H497,H497)=1,1,0))</f>
        <v>0</v>
      </c>
      <c r="T497" t="str">
        <f>IF(S497=1,ROUND(SUMIF($H$4:$H$503,H497,$E$4:$E$503),2),"")</f>
        <v/>
      </c>
      <c r="U497" t="str">
        <f>IF(S497=1,COUNTIFS($S$4:$S$503,1,$T$4:$T$503,"&gt;"&amp;T497)+COUNTIFS($S$4:S497,1,$T$4:T497,T497),"")</f>
        <v/>
      </c>
      <c r="V497" t="str">
        <f>IF(D497=1,MIN(INDEX($R$4:$R$503,MATCH(G497,$G$4:$G$503,0)),IF($AL$7&gt;9,9,999)),"")</f>
        <v/>
      </c>
      <c r="W497" s="166">
        <f>IF(OR($I497="",$E497=0),0,IF(OR($J497&lt;W$3,$I497&gt;W$2),0,IF($K497=0,IF(AND($I497&gt;=W$3,$I497&lt;=W$2),$E497,0),$E497*NETWORKDAYS(MAX($I497,W$3),MIN($J497,W$2),Data!$K$4:$K$203)/$K497)))</f>
        <v>0</v>
      </c>
      <c r="X497" s="166">
        <f>IF(OR($I497="",$E497=0),0,IF(OR($J497&lt;X$3,$I497&gt;X$2),0,IF($K497=0,IF(AND($I497&gt;=X$3,$I497&lt;=X$2),$E497,0),$E497*NETWORKDAYS(MAX($I497,X$3),MIN($J497,X$2),Data!$K$4:$K$203)/$K497)))</f>
        <v>0</v>
      </c>
      <c r="Y497" s="166">
        <f>IF(OR($I497="",$E497=0),0,IF(OR($J497&lt;Y$3,$I497&gt;Y$2),0,IF($K497=0,IF(AND($I497&gt;=Y$3,$I497&lt;=Y$2),$E497,0),$E497*NETWORKDAYS(MAX($I497,Y$3),MIN($J497,Y$2),Data!$K$4:$K$203)/$K497)))</f>
        <v>0</v>
      </c>
      <c r="Z497" s="166">
        <f>IF(OR($I497="",$E497=0),0,IF(OR($J497&lt;Z$3,$I497&gt;Z$2),0,IF($K497=0,IF(AND($I497&gt;=Z$3,$I497&lt;=Z$2),$E497,0),$E497*NETWORKDAYS(MAX($I497,Z$3),MIN($J497,Z$2),Data!$K$4:$K$203)/$K497)))</f>
        <v>0</v>
      </c>
      <c r="AA497" s="166">
        <f>IF(OR($I497="",$E497=0),0,IF(OR($J497&lt;AA$3,$I497&gt;AA$2),0,IF($K497=0,IF(AND($I497&gt;=AA$3,$I497&lt;=AA$2),$E497,0),$E497*NETWORKDAYS(MAX($I497,AA$3),MIN($J497,AA$2),Data!$K$4:$K$203)/$K497)))</f>
        <v>0</v>
      </c>
      <c r="AB497" s="166">
        <f>IF(OR($I497="",$E497=0),0,IF(OR($J497&lt;AB$3,$I497&gt;AB$2),0,IF($K497=0,IF(AND($I497&gt;=AB$3,$I497&lt;=AB$2),$E497,0),$E497*NETWORKDAYS(MAX($I497,AB$3),MIN($J497,AB$2),Data!$K$4:$K$203)/$K497)))</f>
        <v>0</v>
      </c>
      <c r="AC497" s="166">
        <f>IF(OR($I497="",$E497=0),0,IF(OR($J497&lt;AC$3,$I497&gt;AC$2),0,IF($K497=0,IF(AND($I497&gt;=AC$3,$I497&lt;=AC$2),$E497,0),$E497*NETWORKDAYS(MAX($I497,AC$3),MIN($J497,AC$2),Data!$K$4:$K$203)/$K497)))</f>
        <v>0</v>
      </c>
      <c r="AD497" s="166">
        <f>IF(OR($I497="",$E497=0),0,IF(OR($J497&lt;AD$3,$I497&gt;AD$2),0,IF($K497=0,IF(AND($I497&gt;=AD$3,$I497&lt;=AD$2),$E497,0),$E497*NETWORKDAYS(MAX($I497,AD$3),MIN($J497,AD$2),Data!$K$4:$K$203)/$K497)))</f>
        <v>0</v>
      </c>
      <c r="AE497" s="166">
        <f>IF(OR($I497="",$E497=0),0,IF(OR($J497&lt;AE$3,$I497&gt;AE$2),0,IF($K497=0,IF(AND($I497&gt;=AE$3,$I497&lt;=AE$2),$E497,0),$E497*NETWORKDAYS(MAX($I497,AE$3),MIN($J497,AE$2),Data!$K$4:$K$203)/$K497)))</f>
        <v>0</v>
      </c>
      <c r="AF497" s="166">
        <f>IF(OR($I497="",$E497=0),0,IF(OR($J497&lt;AF$3,$I497&gt;AF$2),0,IF($K497=0,IF(AND($I497&gt;=AF$3,$I497&lt;=AF$2),$E497,0),$E497*NETWORKDAYS(MAX($I497,AF$3),MIN($J497,AF$2),Data!$K$4:$K$203)/$K497)))</f>
        <v>0</v>
      </c>
      <c r="AG497" s="166">
        <f>IF(OR($I497="",$E497=0),0,IF(OR($J497&lt;AG$3,$I497&gt;AG$2),0,IF($K497=0,IF(AND($I497&gt;=AG$3,$I497&lt;=AG$2),$E497,0),$E497*NETWORKDAYS(MAX($I497,AG$3),MIN($J497,AG$2),Data!$K$4:$K$203)/$K497)))</f>
        <v>0</v>
      </c>
      <c r="AH497" s="166">
        <f>IF(OR($I497="",$E497=0),0,IF(OR($J497&lt;AH$3,$I497&gt;AH$2),0,IF($K497=0,IF(AND($I497&gt;=AH$3,$I497&lt;=AH$2),$E497,0),$E497*NETWORKDAYS(MAX($I497,AH$3),MIN($J497,AH$2),Data!$K$4:$K$203)/$K497)))</f>
        <v>0</v>
      </c>
      <c r="AI497" s="166">
        <f>SUM(W497:AH497)</f>
        <v>0</v>
      </c>
      <c r="BZ497" t="str">
        <f>IF(D497=1,IF(TRIM(INDEX(Charge!$K:$K,ROW()))&lt;&gt;"",TRIM(INDEX(Charge!$K:$K,ROW())),IF(TRIM(INDEX(Charge!$L:$L,ROW()))&lt;&gt;"",TRIM(INDEX(Charge!$L:$L,ROW())),"(non affecté)")),"")</f>
        <v/>
      </c>
      <c r="CA497" t="str">
        <f>IF(AND($CD$4&lt;&gt;"",BZ497=$CD$4),COUNTIFS($BZ$4:$BZ$503,$CD$4,$L$4:$L$503,"&lt;"&amp;L497)+1,"")</f>
        <v/>
      </c>
      <c r="EM497" t="str">
        <f>IF(D497=1,IF(TRIM(INDEX(Charge!$K:$K,ROW()))&lt;&gt;"","Interne",IF(TRIM(INDEX(Charge!$L:$L,ROW()))&lt;&gt;"","Externe","Non affecté")),"")</f>
        <v/>
      </c>
      <c r="EN497" t="str">
        <f>IF(D497=1,LEFT(SUBSTITUTE(SUBSTITUTE(SUBSTITUTE(TRIM(SUBSTITUTE(INDEX(Charge!$B:$B,ROW()),CHAR(160)," "))&amp;" | "&amp;TRIM(SUBSTITUTE(INDEX(Charge!$C:$C,ROW()),CHAR(160)," "))&amp;" | "&amp;TRIM(SUBSTITUTE(INDEX(Charge!$D:$D,ROW()),CHAR(160)," ")),"~","-"),"*","+"),"?","!"),240),"")</f>
        <v/>
      </c>
      <c r="EO497">
        <f>IF(EN497="",0,IF(COUNTIF($EN$4:EN497,EN497)=1,1,0))</f>
        <v>0</v>
      </c>
      <c r="EP497" s="166" t="str">
        <f>IF(EO497=1,ROUND(SUMIF($EN$4:$EN$503,EN497,$E$4:$E$503),2),"")</f>
        <v/>
      </c>
      <c r="EQ497" t="str">
        <f>IF(EO497=1,COUNTIFS($EO$4:$EO$503,1,$EP$4:$EP$503,"&gt;"&amp;EP497)+COUNTIFS($EO$4:EO497,1,$EP$4:EP497,EP497),"")</f>
        <v/>
      </c>
      <c r="ER497" t="str">
        <f>IF(EO497=1,COUNTIFS($EN$4:$EN$503,EN497,$EM$4:$EM$503,"Interne",$FE$4:$FE$503,1),"")</f>
        <v/>
      </c>
      <c r="ES497" t="str">
        <f>IF(EO497=1,COUNTIFS($EN$4:$EN$503,EN497,$EM$4:$EM$503,"Externe",$FE$4:$FE$503,1),"")</f>
        <v/>
      </c>
      <c r="ET497" t="str">
        <f>IF(EO497=1,IF(ER497+ES497=0,"à affecter",IF(ER497=0,ES497&amp;" ext.",(ER497+ES497)&amp;IF(ES497&gt;0," dont "&amp;ES497&amp;" ext.",""))&amp;IF(COUNTIFS($EN$4:$EN$503,EN497,$EM$4:$EM$503,"Non affecté")&gt;0," + à affecter","")),"")</f>
        <v/>
      </c>
      <c r="EU497" s="170" t="str">
        <f>IF(EO497=1,IF(EP497&gt;0,SUMPRODUCT(($EN$4:$EN$503=EN497)*$E$4:$E$503*$C$4:$C$503)/EP497,AVERAGEIF($EN$4:$EN$503,EN497,$C$4:$C$503)),"")</f>
        <v/>
      </c>
      <c r="EV497" s="165">
        <f>IF(ISNUMBER(I497),I497,2958465)</f>
        <v>2958465.0</v>
      </c>
      <c r="EW497" s="165" t="str">
        <f>IF(EO497=1,SUMPRODUCT(MIN(($EN$4:$EN$503=EN497)*$EV$4:$EV$503+($EN$4:$EN$503&lt;&gt;EN497)*2958465)),"")</f>
        <v/>
      </c>
      <c r="EX497" s="165">
        <f>IF(AND(D497=1,ISNUMBER(INDEX(Charge!$F:$F,ROW()))),INDEX(Charge!$F:$F,ROW()),0)</f>
        <v>0.0</v>
      </c>
      <c r="EY497" s="165" t="str">
        <f>IF(EO497=1,SUMPRODUCT(MAX(($EN$4:$EN$503=EN497)*$EX$4:$EX$503)),"")</f>
        <v/>
      </c>
      <c r="FD497">
        <f>IF(AND(B497=1,TRIM(INDEX(Charge!$K:$K,ROW()))&lt;&gt;"",TRIM(INDEX(Charge!$L:$L,ROW()))&lt;&gt;""),1,0)</f>
        <v>0</v>
      </c>
      <c r="FE497">
        <f>IF(OR(EN497="",BZ497="(non affecté)"),0,IF(COUNTIFS($EN$4:EN497,EN497,$BZ$4:BZ497,BZ497)=1,1,0))</f>
        <v>0</v>
      </c>
    </row>
    <row r="498">
      <c r="A498">
        <f>ROW()</f>
        <v>498</v>
      </c>
      <c r="B498">
        <f>IF(TRIM(INDEX(Charge!$B:$B,ROW()))&lt;&gt;"",1,0)</f>
        <v>0</v>
      </c>
      <c r="C498">
        <f>IF(B498=1,MIN(1,MAX(0,N(INDEX(Charge!$O:$O,ROW())))),0)</f>
        <v>0</v>
      </c>
      <c r="D498">
        <f>IF(B498=1,IF(OR(p_Perimetre="Tous les projets",C498&lt;1),1,0),0)</f>
        <v>0</v>
      </c>
      <c r="E498">
        <f>IF(D498=1,MAX(0,N(INDEX(Charge!$M:$M,ROW()))),0)</f>
        <v>0</v>
      </c>
      <c r="F498" t="str">
        <f>IF(D498=1,IF(TRIM(INDEX(Charge!$A:$A,ROW()))="","(non renseigné)",TRIM(INDEX(Charge!$A:$A,ROW()))),"")</f>
        <v/>
      </c>
      <c r="G498" t="str">
        <f>IF(D498=1,TRIM(INDEX(Charge!$B:$B,ROW())),"")</f>
        <v/>
      </c>
      <c r="H498" t="str">
        <f>IF(D498=1,IF(TRIM(INDEX(Charge!$E:$E,ROW()))="","(non renseigné)",TRIM(INDEX(Charge!$E:$E,ROW()))),"")</f>
        <v/>
      </c>
      <c r="I498" s="165" t="str">
        <f>IF(AND(D498=1,ISNUMBER(INDEX(Charge!$N:$N,ROW()))),INDEX(Charge!$N:$N,ROW()),"")</f>
        <v/>
      </c>
      <c r="J498" s="165" t="str">
        <f>IF(I498="","",IF(AND(p_Repartition="Lissée jusqu'à la date de besoin",ISNUMBER(INDEX(Charge!$F:$F,ROW()))),IF(INDEX(Charge!$F:$F,ROW())&gt;=I498,INDEX(Charge!$F:$F,ROW()),I498),I498))</f>
        <v/>
      </c>
      <c r="K498" t="str">
        <f>IF(I498="","",NETWORKDAYS(I498,J498,Data!$K$4:$K$203))</f>
        <v/>
      </c>
      <c r="L498" t="str">
        <f>IF(D498=1,COUNTIFS($D$4:$D$503,1,$E$4:$E$503,"&gt;"&amp;E498)+COUNTIFS($D$4:$D498,1,$E$4:$E498,E498),"")</f>
        <v/>
      </c>
      <c r="M498">
        <f>IF(F498="",0,IF(COUNTIF($F$4:F498,F498)=1,1,0))</f>
        <v>0</v>
      </c>
      <c r="N498" t="str">
        <f>IF(M498=1,ROUND(SUMIF($F$4:$F$503,F498,$E$4:$E$503),2),"")</f>
        <v/>
      </c>
      <c r="O498" t="str">
        <f>IF(M498=1,COUNTIFS($M$4:$M$503,1,$N$4:$N$503,"&gt;"&amp;N498)+COUNTIFS($M$4:M498,1,$N$4:N498,N498),"")</f>
        <v/>
      </c>
      <c r="P498">
        <f>IF(G498="",0,IF(COUNTIF($G$4:G498,G498)=1,1,0))</f>
        <v>0</v>
      </c>
      <c r="Q498" t="str">
        <f>IF(P498=1,ROUND(SUMIF($G$4:$G$503,G498,$E$4:$E$503),2),"")</f>
        <v/>
      </c>
      <c r="R498" t="str">
        <f>IF(P498=1,COUNTIFS($P$4:$P$503,1,$Q$4:$Q$503,"&gt;"&amp;Q498)+COUNTIFS($P$4:P498,1,$Q$4:Q498,Q498),"")</f>
        <v/>
      </c>
      <c r="S498">
        <f>IF(H498="",0,IF(COUNTIF($H$4:H498,H498)=1,1,0))</f>
        <v>0</v>
      </c>
      <c r="T498" t="str">
        <f>IF(S498=1,ROUND(SUMIF($H$4:$H$503,H498,$E$4:$E$503),2),"")</f>
        <v/>
      </c>
      <c r="U498" t="str">
        <f>IF(S498=1,COUNTIFS($S$4:$S$503,1,$T$4:$T$503,"&gt;"&amp;T498)+COUNTIFS($S$4:S498,1,$T$4:T498,T498),"")</f>
        <v/>
      </c>
      <c r="V498" t="str">
        <f>IF(D498=1,MIN(INDEX($R$4:$R$503,MATCH(G498,$G$4:$G$503,0)),IF($AL$7&gt;9,9,999)),"")</f>
        <v/>
      </c>
      <c r="W498" s="166">
        <f>IF(OR($I498="",$E498=0),0,IF(OR($J498&lt;W$3,$I498&gt;W$2),0,IF($K498=0,IF(AND($I498&gt;=W$3,$I498&lt;=W$2),$E498,0),$E498*NETWORKDAYS(MAX($I498,W$3),MIN($J498,W$2),Data!$K$4:$K$203)/$K498)))</f>
        <v>0</v>
      </c>
      <c r="X498" s="166">
        <f>IF(OR($I498="",$E498=0),0,IF(OR($J498&lt;X$3,$I498&gt;X$2),0,IF($K498=0,IF(AND($I498&gt;=X$3,$I498&lt;=X$2),$E498,0),$E498*NETWORKDAYS(MAX($I498,X$3),MIN($J498,X$2),Data!$K$4:$K$203)/$K498)))</f>
        <v>0</v>
      </c>
      <c r="Y498" s="166">
        <f>IF(OR($I498="",$E498=0),0,IF(OR($J498&lt;Y$3,$I498&gt;Y$2),0,IF($K498=0,IF(AND($I498&gt;=Y$3,$I498&lt;=Y$2),$E498,0),$E498*NETWORKDAYS(MAX($I498,Y$3),MIN($J498,Y$2),Data!$K$4:$K$203)/$K498)))</f>
        <v>0</v>
      </c>
      <c r="Z498" s="166">
        <f>IF(OR($I498="",$E498=0),0,IF(OR($J498&lt;Z$3,$I498&gt;Z$2),0,IF($K498=0,IF(AND($I498&gt;=Z$3,$I498&lt;=Z$2),$E498,0),$E498*NETWORKDAYS(MAX($I498,Z$3),MIN($J498,Z$2),Data!$K$4:$K$203)/$K498)))</f>
        <v>0</v>
      </c>
      <c r="AA498" s="166">
        <f>IF(OR($I498="",$E498=0),0,IF(OR($J498&lt;AA$3,$I498&gt;AA$2),0,IF($K498=0,IF(AND($I498&gt;=AA$3,$I498&lt;=AA$2),$E498,0),$E498*NETWORKDAYS(MAX($I498,AA$3),MIN($J498,AA$2),Data!$K$4:$K$203)/$K498)))</f>
        <v>0</v>
      </c>
      <c r="AB498" s="166">
        <f>IF(OR($I498="",$E498=0),0,IF(OR($J498&lt;AB$3,$I498&gt;AB$2),0,IF($K498=0,IF(AND($I498&gt;=AB$3,$I498&lt;=AB$2),$E498,0),$E498*NETWORKDAYS(MAX($I498,AB$3),MIN($J498,AB$2),Data!$K$4:$K$203)/$K498)))</f>
        <v>0</v>
      </c>
      <c r="AC498" s="166">
        <f>IF(OR($I498="",$E498=0),0,IF(OR($J498&lt;AC$3,$I498&gt;AC$2),0,IF($K498=0,IF(AND($I498&gt;=AC$3,$I498&lt;=AC$2),$E498,0),$E498*NETWORKDAYS(MAX($I498,AC$3),MIN($J498,AC$2),Data!$K$4:$K$203)/$K498)))</f>
        <v>0</v>
      </c>
      <c r="AD498" s="166">
        <f>IF(OR($I498="",$E498=0),0,IF(OR($J498&lt;AD$3,$I498&gt;AD$2),0,IF($K498=0,IF(AND($I498&gt;=AD$3,$I498&lt;=AD$2),$E498,0),$E498*NETWORKDAYS(MAX($I498,AD$3),MIN($J498,AD$2),Data!$K$4:$K$203)/$K498)))</f>
        <v>0</v>
      </c>
      <c r="AE498" s="166">
        <f>IF(OR($I498="",$E498=0),0,IF(OR($J498&lt;AE$3,$I498&gt;AE$2),0,IF($K498=0,IF(AND($I498&gt;=AE$3,$I498&lt;=AE$2),$E498,0),$E498*NETWORKDAYS(MAX($I498,AE$3),MIN($J498,AE$2),Data!$K$4:$K$203)/$K498)))</f>
        <v>0</v>
      </c>
      <c r="AF498" s="166">
        <f>IF(OR($I498="",$E498=0),0,IF(OR($J498&lt;AF$3,$I498&gt;AF$2),0,IF($K498=0,IF(AND($I498&gt;=AF$3,$I498&lt;=AF$2),$E498,0),$E498*NETWORKDAYS(MAX($I498,AF$3),MIN($J498,AF$2),Data!$K$4:$K$203)/$K498)))</f>
        <v>0</v>
      </c>
      <c r="AG498" s="166">
        <f>IF(OR($I498="",$E498=0),0,IF(OR($J498&lt;AG$3,$I498&gt;AG$2),0,IF($K498=0,IF(AND($I498&gt;=AG$3,$I498&lt;=AG$2),$E498,0),$E498*NETWORKDAYS(MAX($I498,AG$3),MIN($J498,AG$2),Data!$K$4:$K$203)/$K498)))</f>
        <v>0</v>
      </c>
      <c r="AH498" s="166">
        <f>IF(OR($I498="",$E498=0),0,IF(OR($J498&lt;AH$3,$I498&gt;AH$2),0,IF($K498=0,IF(AND($I498&gt;=AH$3,$I498&lt;=AH$2),$E498,0),$E498*NETWORKDAYS(MAX($I498,AH$3),MIN($J498,AH$2),Data!$K$4:$K$203)/$K498)))</f>
        <v>0</v>
      </c>
      <c r="AI498" s="166">
        <f>SUM(W498:AH498)</f>
        <v>0</v>
      </c>
      <c r="BZ498" t="str">
        <f>IF(D498=1,IF(TRIM(INDEX(Charge!$K:$K,ROW()))&lt;&gt;"",TRIM(INDEX(Charge!$K:$K,ROW())),IF(TRIM(INDEX(Charge!$L:$L,ROW()))&lt;&gt;"",TRIM(INDEX(Charge!$L:$L,ROW())),"(non affecté)")),"")</f>
        <v/>
      </c>
      <c r="CA498" t="str">
        <f>IF(AND($CD$4&lt;&gt;"",BZ498=$CD$4),COUNTIFS($BZ$4:$BZ$503,$CD$4,$L$4:$L$503,"&lt;"&amp;L498)+1,"")</f>
        <v/>
      </c>
      <c r="EM498" t="str">
        <f>IF(D498=1,IF(TRIM(INDEX(Charge!$K:$K,ROW()))&lt;&gt;"","Interne",IF(TRIM(INDEX(Charge!$L:$L,ROW()))&lt;&gt;"","Externe","Non affecté")),"")</f>
        <v/>
      </c>
      <c r="EN498" t="str">
        <f>IF(D498=1,LEFT(SUBSTITUTE(SUBSTITUTE(SUBSTITUTE(TRIM(SUBSTITUTE(INDEX(Charge!$B:$B,ROW()),CHAR(160)," "))&amp;" | "&amp;TRIM(SUBSTITUTE(INDEX(Charge!$C:$C,ROW()),CHAR(160)," "))&amp;" | "&amp;TRIM(SUBSTITUTE(INDEX(Charge!$D:$D,ROW()),CHAR(160)," ")),"~","-"),"*","+"),"?","!"),240),"")</f>
        <v/>
      </c>
      <c r="EO498">
        <f>IF(EN498="",0,IF(COUNTIF($EN$4:EN498,EN498)=1,1,0))</f>
        <v>0</v>
      </c>
      <c r="EP498" s="166" t="str">
        <f>IF(EO498=1,ROUND(SUMIF($EN$4:$EN$503,EN498,$E$4:$E$503),2),"")</f>
        <v/>
      </c>
      <c r="EQ498" t="str">
        <f>IF(EO498=1,COUNTIFS($EO$4:$EO$503,1,$EP$4:$EP$503,"&gt;"&amp;EP498)+COUNTIFS($EO$4:EO498,1,$EP$4:EP498,EP498),"")</f>
        <v/>
      </c>
      <c r="ER498" t="str">
        <f>IF(EO498=1,COUNTIFS($EN$4:$EN$503,EN498,$EM$4:$EM$503,"Interne",$FE$4:$FE$503,1),"")</f>
        <v/>
      </c>
      <c r="ES498" t="str">
        <f>IF(EO498=1,COUNTIFS($EN$4:$EN$503,EN498,$EM$4:$EM$503,"Externe",$FE$4:$FE$503,1),"")</f>
        <v/>
      </c>
      <c r="ET498" t="str">
        <f>IF(EO498=1,IF(ER498+ES498=0,"à affecter",IF(ER498=0,ES498&amp;" ext.",(ER498+ES498)&amp;IF(ES498&gt;0," dont "&amp;ES498&amp;" ext.",""))&amp;IF(COUNTIFS($EN$4:$EN$503,EN498,$EM$4:$EM$503,"Non affecté")&gt;0," + à affecter","")),"")</f>
        <v/>
      </c>
      <c r="EU498" s="170" t="str">
        <f>IF(EO498=1,IF(EP498&gt;0,SUMPRODUCT(($EN$4:$EN$503=EN498)*$E$4:$E$503*$C$4:$C$503)/EP498,AVERAGEIF($EN$4:$EN$503,EN498,$C$4:$C$503)),"")</f>
        <v/>
      </c>
      <c r="EV498" s="165">
        <f>IF(ISNUMBER(I498),I498,2958465)</f>
        <v>2958465.0</v>
      </c>
      <c r="EW498" s="165" t="str">
        <f>IF(EO498=1,SUMPRODUCT(MIN(($EN$4:$EN$503=EN498)*$EV$4:$EV$503+($EN$4:$EN$503&lt;&gt;EN498)*2958465)),"")</f>
        <v/>
      </c>
      <c r="EX498" s="165">
        <f>IF(AND(D498=1,ISNUMBER(INDEX(Charge!$F:$F,ROW()))),INDEX(Charge!$F:$F,ROW()),0)</f>
        <v>0.0</v>
      </c>
      <c r="EY498" s="165" t="str">
        <f>IF(EO498=1,SUMPRODUCT(MAX(($EN$4:$EN$503=EN498)*$EX$4:$EX$503)),"")</f>
        <v/>
      </c>
      <c r="FD498">
        <f>IF(AND(B498=1,TRIM(INDEX(Charge!$K:$K,ROW()))&lt;&gt;"",TRIM(INDEX(Charge!$L:$L,ROW()))&lt;&gt;""),1,0)</f>
        <v>0</v>
      </c>
      <c r="FE498">
        <f>IF(OR(EN498="",BZ498="(non affecté)"),0,IF(COUNTIFS($EN$4:EN498,EN498,$BZ$4:BZ498,BZ498)=1,1,0))</f>
        <v>0</v>
      </c>
    </row>
    <row r="499">
      <c r="A499">
        <f>ROW()</f>
        <v>499</v>
      </c>
      <c r="B499">
        <f>IF(TRIM(INDEX(Charge!$B:$B,ROW()))&lt;&gt;"",1,0)</f>
        <v>0</v>
      </c>
      <c r="C499">
        <f>IF(B499=1,MIN(1,MAX(0,N(INDEX(Charge!$O:$O,ROW())))),0)</f>
        <v>0</v>
      </c>
      <c r="D499">
        <f>IF(B499=1,IF(OR(p_Perimetre="Tous les projets",C499&lt;1),1,0),0)</f>
        <v>0</v>
      </c>
      <c r="E499">
        <f>IF(D499=1,MAX(0,N(INDEX(Charge!$M:$M,ROW()))),0)</f>
        <v>0</v>
      </c>
      <c r="F499" t="str">
        <f>IF(D499=1,IF(TRIM(INDEX(Charge!$A:$A,ROW()))="","(non renseigné)",TRIM(INDEX(Charge!$A:$A,ROW()))),"")</f>
        <v/>
      </c>
      <c r="G499" t="str">
        <f>IF(D499=1,TRIM(INDEX(Charge!$B:$B,ROW())),"")</f>
        <v/>
      </c>
      <c r="H499" t="str">
        <f>IF(D499=1,IF(TRIM(INDEX(Charge!$E:$E,ROW()))="","(non renseigné)",TRIM(INDEX(Charge!$E:$E,ROW()))),"")</f>
        <v/>
      </c>
      <c r="I499" s="165" t="str">
        <f>IF(AND(D499=1,ISNUMBER(INDEX(Charge!$N:$N,ROW()))),INDEX(Charge!$N:$N,ROW()),"")</f>
        <v/>
      </c>
      <c r="J499" s="165" t="str">
        <f>IF(I499="","",IF(AND(p_Repartition="Lissée jusqu'à la date de besoin",ISNUMBER(INDEX(Charge!$F:$F,ROW()))),IF(INDEX(Charge!$F:$F,ROW())&gt;=I499,INDEX(Charge!$F:$F,ROW()),I499),I499))</f>
        <v/>
      </c>
      <c r="K499" t="str">
        <f>IF(I499="","",NETWORKDAYS(I499,J499,Data!$K$4:$K$203))</f>
        <v/>
      </c>
      <c r="L499" t="str">
        <f>IF(D499=1,COUNTIFS($D$4:$D$503,1,$E$4:$E$503,"&gt;"&amp;E499)+COUNTIFS($D$4:$D499,1,$E$4:$E499,E499),"")</f>
        <v/>
      </c>
      <c r="M499">
        <f>IF(F499="",0,IF(COUNTIF($F$4:F499,F499)=1,1,0))</f>
        <v>0</v>
      </c>
      <c r="N499" t="str">
        <f>IF(M499=1,ROUND(SUMIF($F$4:$F$503,F499,$E$4:$E$503),2),"")</f>
        <v/>
      </c>
      <c r="O499" t="str">
        <f>IF(M499=1,COUNTIFS($M$4:$M$503,1,$N$4:$N$503,"&gt;"&amp;N499)+COUNTIFS($M$4:M499,1,$N$4:N499,N499),"")</f>
        <v/>
      </c>
      <c r="P499">
        <f>IF(G499="",0,IF(COUNTIF($G$4:G499,G499)=1,1,0))</f>
        <v>0</v>
      </c>
      <c r="Q499" t="str">
        <f>IF(P499=1,ROUND(SUMIF($G$4:$G$503,G499,$E$4:$E$503),2),"")</f>
        <v/>
      </c>
      <c r="R499" t="str">
        <f>IF(P499=1,COUNTIFS($P$4:$P$503,1,$Q$4:$Q$503,"&gt;"&amp;Q499)+COUNTIFS($P$4:P499,1,$Q$4:Q499,Q499),"")</f>
        <v/>
      </c>
      <c r="S499">
        <f>IF(H499="",0,IF(COUNTIF($H$4:H499,H499)=1,1,0))</f>
        <v>0</v>
      </c>
      <c r="T499" t="str">
        <f>IF(S499=1,ROUND(SUMIF($H$4:$H$503,H499,$E$4:$E$503),2),"")</f>
        <v/>
      </c>
      <c r="U499" t="str">
        <f>IF(S499=1,COUNTIFS($S$4:$S$503,1,$T$4:$T$503,"&gt;"&amp;T499)+COUNTIFS($S$4:S499,1,$T$4:T499,T499),"")</f>
        <v/>
      </c>
      <c r="V499" t="str">
        <f>IF(D499=1,MIN(INDEX($R$4:$R$503,MATCH(G499,$G$4:$G$503,0)),IF($AL$7&gt;9,9,999)),"")</f>
        <v/>
      </c>
      <c r="W499" s="166">
        <f>IF(OR($I499="",$E499=0),0,IF(OR($J499&lt;W$3,$I499&gt;W$2),0,IF($K499=0,IF(AND($I499&gt;=W$3,$I499&lt;=W$2),$E499,0),$E499*NETWORKDAYS(MAX($I499,W$3),MIN($J499,W$2),Data!$K$4:$K$203)/$K499)))</f>
        <v>0</v>
      </c>
      <c r="X499" s="166">
        <f>IF(OR($I499="",$E499=0),0,IF(OR($J499&lt;X$3,$I499&gt;X$2),0,IF($K499=0,IF(AND($I499&gt;=X$3,$I499&lt;=X$2),$E499,0),$E499*NETWORKDAYS(MAX($I499,X$3),MIN($J499,X$2),Data!$K$4:$K$203)/$K499)))</f>
        <v>0</v>
      </c>
      <c r="Y499" s="166">
        <f>IF(OR($I499="",$E499=0),0,IF(OR($J499&lt;Y$3,$I499&gt;Y$2),0,IF($K499=0,IF(AND($I499&gt;=Y$3,$I499&lt;=Y$2),$E499,0),$E499*NETWORKDAYS(MAX($I499,Y$3),MIN($J499,Y$2),Data!$K$4:$K$203)/$K499)))</f>
        <v>0</v>
      </c>
      <c r="Z499" s="166">
        <f>IF(OR($I499="",$E499=0),0,IF(OR($J499&lt;Z$3,$I499&gt;Z$2),0,IF($K499=0,IF(AND($I499&gt;=Z$3,$I499&lt;=Z$2),$E499,0),$E499*NETWORKDAYS(MAX($I499,Z$3),MIN($J499,Z$2),Data!$K$4:$K$203)/$K499)))</f>
        <v>0</v>
      </c>
      <c r="AA499" s="166">
        <f>IF(OR($I499="",$E499=0),0,IF(OR($J499&lt;AA$3,$I499&gt;AA$2),0,IF($K499=0,IF(AND($I499&gt;=AA$3,$I499&lt;=AA$2),$E499,0),$E499*NETWORKDAYS(MAX($I499,AA$3),MIN($J499,AA$2),Data!$K$4:$K$203)/$K499)))</f>
        <v>0</v>
      </c>
      <c r="AB499" s="166">
        <f>IF(OR($I499="",$E499=0),0,IF(OR($J499&lt;AB$3,$I499&gt;AB$2),0,IF($K499=0,IF(AND($I499&gt;=AB$3,$I499&lt;=AB$2),$E499,0),$E499*NETWORKDAYS(MAX($I499,AB$3),MIN($J499,AB$2),Data!$K$4:$K$203)/$K499)))</f>
        <v>0</v>
      </c>
      <c r="AC499" s="166">
        <f>IF(OR($I499="",$E499=0),0,IF(OR($J499&lt;AC$3,$I499&gt;AC$2),0,IF($K499=0,IF(AND($I499&gt;=AC$3,$I499&lt;=AC$2),$E499,0),$E499*NETWORKDAYS(MAX($I499,AC$3),MIN($J499,AC$2),Data!$K$4:$K$203)/$K499)))</f>
        <v>0</v>
      </c>
      <c r="AD499" s="166">
        <f>IF(OR($I499="",$E499=0),0,IF(OR($J499&lt;AD$3,$I499&gt;AD$2),0,IF($K499=0,IF(AND($I499&gt;=AD$3,$I499&lt;=AD$2),$E499,0),$E499*NETWORKDAYS(MAX($I499,AD$3),MIN($J499,AD$2),Data!$K$4:$K$203)/$K499)))</f>
        <v>0</v>
      </c>
      <c r="AE499" s="166">
        <f>IF(OR($I499="",$E499=0),0,IF(OR($J499&lt;AE$3,$I499&gt;AE$2),0,IF($K499=0,IF(AND($I499&gt;=AE$3,$I499&lt;=AE$2),$E499,0),$E499*NETWORKDAYS(MAX($I499,AE$3),MIN($J499,AE$2),Data!$K$4:$K$203)/$K499)))</f>
        <v>0</v>
      </c>
      <c r="AF499" s="166">
        <f>IF(OR($I499="",$E499=0),0,IF(OR($J499&lt;AF$3,$I499&gt;AF$2),0,IF($K499=0,IF(AND($I499&gt;=AF$3,$I499&lt;=AF$2),$E499,0),$E499*NETWORKDAYS(MAX($I499,AF$3),MIN($J499,AF$2),Data!$K$4:$K$203)/$K499)))</f>
        <v>0</v>
      </c>
      <c r="AG499" s="166">
        <f>IF(OR($I499="",$E499=0),0,IF(OR($J499&lt;AG$3,$I499&gt;AG$2),0,IF($K499=0,IF(AND($I499&gt;=AG$3,$I499&lt;=AG$2),$E499,0),$E499*NETWORKDAYS(MAX($I499,AG$3),MIN($J499,AG$2),Data!$K$4:$K$203)/$K499)))</f>
        <v>0</v>
      </c>
      <c r="AH499" s="166">
        <f>IF(OR($I499="",$E499=0),0,IF(OR($J499&lt;AH$3,$I499&gt;AH$2),0,IF($K499=0,IF(AND($I499&gt;=AH$3,$I499&lt;=AH$2),$E499,0),$E499*NETWORKDAYS(MAX($I499,AH$3),MIN($J499,AH$2),Data!$K$4:$K$203)/$K499)))</f>
        <v>0</v>
      </c>
      <c r="AI499" s="166">
        <f>SUM(W499:AH499)</f>
        <v>0</v>
      </c>
      <c r="BZ499" t="str">
        <f>IF(D499=1,IF(TRIM(INDEX(Charge!$K:$K,ROW()))&lt;&gt;"",TRIM(INDEX(Charge!$K:$K,ROW())),IF(TRIM(INDEX(Charge!$L:$L,ROW()))&lt;&gt;"",TRIM(INDEX(Charge!$L:$L,ROW())),"(non affecté)")),"")</f>
        <v/>
      </c>
      <c r="CA499" t="str">
        <f>IF(AND($CD$4&lt;&gt;"",BZ499=$CD$4),COUNTIFS($BZ$4:$BZ$503,$CD$4,$L$4:$L$503,"&lt;"&amp;L499)+1,"")</f>
        <v/>
      </c>
      <c r="EM499" t="str">
        <f>IF(D499=1,IF(TRIM(INDEX(Charge!$K:$K,ROW()))&lt;&gt;"","Interne",IF(TRIM(INDEX(Charge!$L:$L,ROW()))&lt;&gt;"","Externe","Non affecté")),"")</f>
        <v/>
      </c>
      <c r="EN499" t="str">
        <f>IF(D499=1,LEFT(SUBSTITUTE(SUBSTITUTE(SUBSTITUTE(TRIM(SUBSTITUTE(INDEX(Charge!$B:$B,ROW()),CHAR(160)," "))&amp;" | "&amp;TRIM(SUBSTITUTE(INDEX(Charge!$C:$C,ROW()),CHAR(160)," "))&amp;" | "&amp;TRIM(SUBSTITUTE(INDEX(Charge!$D:$D,ROW()),CHAR(160)," ")),"~","-"),"*","+"),"?","!"),240),"")</f>
        <v/>
      </c>
      <c r="EO499">
        <f>IF(EN499="",0,IF(COUNTIF($EN$4:EN499,EN499)=1,1,0))</f>
        <v>0</v>
      </c>
      <c r="EP499" s="166" t="str">
        <f>IF(EO499=1,ROUND(SUMIF($EN$4:$EN$503,EN499,$E$4:$E$503),2),"")</f>
        <v/>
      </c>
      <c r="EQ499" t="str">
        <f>IF(EO499=1,COUNTIFS($EO$4:$EO$503,1,$EP$4:$EP$503,"&gt;"&amp;EP499)+COUNTIFS($EO$4:EO499,1,$EP$4:EP499,EP499),"")</f>
        <v/>
      </c>
      <c r="ER499" t="str">
        <f>IF(EO499=1,COUNTIFS($EN$4:$EN$503,EN499,$EM$4:$EM$503,"Interne",$FE$4:$FE$503,1),"")</f>
        <v/>
      </c>
      <c r="ES499" t="str">
        <f>IF(EO499=1,COUNTIFS($EN$4:$EN$503,EN499,$EM$4:$EM$503,"Externe",$FE$4:$FE$503,1),"")</f>
        <v/>
      </c>
      <c r="ET499" t="str">
        <f>IF(EO499=1,IF(ER499+ES499=0,"à affecter",IF(ER499=0,ES499&amp;" ext.",(ER499+ES499)&amp;IF(ES499&gt;0," dont "&amp;ES499&amp;" ext.",""))&amp;IF(COUNTIFS($EN$4:$EN$503,EN499,$EM$4:$EM$503,"Non affecté")&gt;0," + à affecter","")),"")</f>
        <v/>
      </c>
      <c r="EU499" s="170" t="str">
        <f>IF(EO499=1,IF(EP499&gt;0,SUMPRODUCT(($EN$4:$EN$503=EN499)*$E$4:$E$503*$C$4:$C$503)/EP499,AVERAGEIF($EN$4:$EN$503,EN499,$C$4:$C$503)),"")</f>
        <v/>
      </c>
      <c r="EV499" s="165">
        <f>IF(ISNUMBER(I499),I499,2958465)</f>
        <v>2958465.0</v>
      </c>
      <c r="EW499" s="165" t="str">
        <f>IF(EO499=1,SUMPRODUCT(MIN(($EN$4:$EN$503=EN499)*$EV$4:$EV$503+($EN$4:$EN$503&lt;&gt;EN499)*2958465)),"")</f>
        <v/>
      </c>
      <c r="EX499" s="165">
        <f>IF(AND(D499=1,ISNUMBER(INDEX(Charge!$F:$F,ROW()))),INDEX(Charge!$F:$F,ROW()),0)</f>
        <v>0.0</v>
      </c>
      <c r="EY499" s="165" t="str">
        <f>IF(EO499=1,SUMPRODUCT(MAX(($EN$4:$EN$503=EN499)*$EX$4:$EX$503)),"")</f>
        <v/>
      </c>
      <c r="FD499">
        <f>IF(AND(B499=1,TRIM(INDEX(Charge!$K:$K,ROW()))&lt;&gt;"",TRIM(INDEX(Charge!$L:$L,ROW()))&lt;&gt;""),1,0)</f>
        <v>0</v>
      </c>
      <c r="FE499">
        <f>IF(OR(EN499="",BZ499="(non affecté)"),0,IF(COUNTIFS($EN$4:EN499,EN499,$BZ$4:BZ499,BZ499)=1,1,0))</f>
        <v>0</v>
      </c>
    </row>
    <row r="500">
      <c r="A500">
        <f>ROW()</f>
        <v>500</v>
      </c>
      <c r="B500">
        <f>IF(TRIM(INDEX(Charge!$B:$B,ROW()))&lt;&gt;"",1,0)</f>
        <v>0</v>
      </c>
      <c r="C500">
        <f>IF(B500=1,MIN(1,MAX(0,N(INDEX(Charge!$O:$O,ROW())))),0)</f>
        <v>0</v>
      </c>
      <c r="D500">
        <f>IF(B500=1,IF(OR(p_Perimetre="Tous les projets",C500&lt;1),1,0),0)</f>
        <v>0</v>
      </c>
      <c r="E500">
        <f>IF(D500=1,MAX(0,N(INDEX(Charge!$M:$M,ROW()))),0)</f>
        <v>0</v>
      </c>
      <c r="F500" t="str">
        <f>IF(D500=1,IF(TRIM(INDEX(Charge!$A:$A,ROW()))="","(non renseigné)",TRIM(INDEX(Charge!$A:$A,ROW()))),"")</f>
        <v/>
      </c>
      <c r="G500" t="str">
        <f>IF(D500=1,TRIM(INDEX(Charge!$B:$B,ROW())),"")</f>
        <v/>
      </c>
      <c r="H500" t="str">
        <f>IF(D500=1,IF(TRIM(INDEX(Charge!$E:$E,ROW()))="","(non renseigné)",TRIM(INDEX(Charge!$E:$E,ROW()))),"")</f>
        <v/>
      </c>
      <c r="I500" s="165" t="str">
        <f>IF(AND(D500=1,ISNUMBER(INDEX(Charge!$N:$N,ROW()))),INDEX(Charge!$N:$N,ROW()),"")</f>
        <v/>
      </c>
      <c r="J500" s="165" t="str">
        <f>IF(I500="","",IF(AND(p_Repartition="Lissée jusqu'à la date de besoin",ISNUMBER(INDEX(Charge!$F:$F,ROW()))),IF(INDEX(Charge!$F:$F,ROW())&gt;=I500,INDEX(Charge!$F:$F,ROW()),I500),I500))</f>
        <v/>
      </c>
      <c r="K500" t="str">
        <f>IF(I500="","",NETWORKDAYS(I500,J500,Data!$K$4:$K$203))</f>
        <v/>
      </c>
      <c r="L500" t="str">
        <f>IF(D500=1,COUNTIFS($D$4:$D$503,1,$E$4:$E$503,"&gt;"&amp;E500)+COUNTIFS($D$4:$D500,1,$E$4:$E500,E500),"")</f>
        <v/>
      </c>
      <c r="M500">
        <f>IF(F500="",0,IF(COUNTIF($F$4:F500,F500)=1,1,0))</f>
        <v>0</v>
      </c>
      <c r="N500" t="str">
        <f>IF(M500=1,ROUND(SUMIF($F$4:$F$503,F500,$E$4:$E$503),2),"")</f>
        <v/>
      </c>
      <c r="O500" t="str">
        <f>IF(M500=1,COUNTIFS($M$4:$M$503,1,$N$4:$N$503,"&gt;"&amp;N500)+COUNTIFS($M$4:M500,1,$N$4:N500,N500),"")</f>
        <v/>
      </c>
      <c r="P500">
        <f>IF(G500="",0,IF(COUNTIF($G$4:G500,G500)=1,1,0))</f>
        <v>0</v>
      </c>
      <c r="Q500" t="str">
        <f>IF(P500=1,ROUND(SUMIF($G$4:$G$503,G500,$E$4:$E$503),2),"")</f>
        <v/>
      </c>
      <c r="R500" t="str">
        <f>IF(P500=1,COUNTIFS($P$4:$P$503,1,$Q$4:$Q$503,"&gt;"&amp;Q500)+COUNTIFS($P$4:P500,1,$Q$4:Q500,Q500),"")</f>
        <v/>
      </c>
      <c r="S500">
        <f>IF(H500="",0,IF(COUNTIF($H$4:H500,H500)=1,1,0))</f>
        <v>0</v>
      </c>
      <c r="T500" t="str">
        <f>IF(S500=1,ROUND(SUMIF($H$4:$H$503,H500,$E$4:$E$503),2),"")</f>
        <v/>
      </c>
      <c r="U500" t="str">
        <f>IF(S500=1,COUNTIFS($S$4:$S$503,1,$T$4:$T$503,"&gt;"&amp;T500)+COUNTIFS($S$4:S500,1,$T$4:T500,T500),"")</f>
        <v/>
      </c>
      <c r="V500" t="str">
        <f>IF(D500=1,MIN(INDEX($R$4:$R$503,MATCH(G500,$G$4:$G$503,0)),IF($AL$7&gt;9,9,999)),"")</f>
        <v/>
      </c>
      <c r="W500" s="166">
        <f>IF(OR($I500="",$E500=0),0,IF(OR($J500&lt;W$3,$I500&gt;W$2),0,IF($K500=0,IF(AND($I500&gt;=W$3,$I500&lt;=W$2),$E500,0),$E500*NETWORKDAYS(MAX($I500,W$3),MIN($J500,W$2),Data!$K$4:$K$203)/$K500)))</f>
        <v>0</v>
      </c>
      <c r="X500" s="166">
        <f>IF(OR($I500="",$E500=0),0,IF(OR($J500&lt;X$3,$I500&gt;X$2),0,IF($K500=0,IF(AND($I500&gt;=X$3,$I500&lt;=X$2),$E500,0),$E500*NETWORKDAYS(MAX($I500,X$3),MIN($J500,X$2),Data!$K$4:$K$203)/$K500)))</f>
        <v>0</v>
      </c>
      <c r="Y500" s="166">
        <f>IF(OR($I500="",$E500=0),0,IF(OR($J500&lt;Y$3,$I500&gt;Y$2),0,IF($K500=0,IF(AND($I500&gt;=Y$3,$I500&lt;=Y$2),$E500,0),$E500*NETWORKDAYS(MAX($I500,Y$3),MIN($J500,Y$2),Data!$K$4:$K$203)/$K500)))</f>
        <v>0</v>
      </c>
      <c r="Z500" s="166">
        <f>IF(OR($I500="",$E500=0),0,IF(OR($J500&lt;Z$3,$I500&gt;Z$2),0,IF($K500=0,IF(AND($I500&gt;=Z$3,$I500&lt;=Z$2),$E500,0),$E500*NETWORKDAYS(MAX($I500,Z$3),MIN($J500,Z$2),Data!$K$4:$K$203)/$K500)))</f>
        <v>0</v>
      </c>
      <c r="AA500" s="166">
        <f>IF(OR($I500="",$E500=0),0,IF(OR($J500&lt;AA$3,$I500&gt;AA$2),0,IF($K500=0,IF(AND($I500&gt;=AA$3,$I500&lt;=AA$2),$E500,0),$E500*NETWORKDAYS(MAX($I500,AA$3),MIN($J500,AA$2),Data!$K$4:$K$203)/$K500)))</f>
        <v>0</v>
      </c>
      <c r="AB500" s="166">
        <f>IF(OR($I500="",$E500=0),0,IF(OR($J500&lt;AB$3,$I500&gt;AB$2),0,IF($K500=0,IF(AND($I500&gt;=AB$3,$I500&lt;=AB$2),$E500,0),$E500*NETWORKDAYS(MAX($I500,AB$3),MIN($J500,AB$2),Data!$K$4:$K$203)/$K500)))</f>
        <v>0</v>
      </c>
      <c r="AC500" s="166">
        <f>IF(OR($I500="",$E500=0),0,IF(OR($J500&lt;AC$3,$I500&gt;AC$2),0,IF($K500=0,IF(AND($I500&gt;=AC$3,$I500&lt;=AC$2),$E500,0),$E500*NETWORKDAYS(MAX($I500,AC$3),MIN($J500,AC$2),Data!$K$4:$K$203)/$K500)))</f>
        <v>0</v>
      </c>
      <c r="AD500" s="166">
        <f>IF(OR($I500="",$E500=0),0,IF(OR($J500&lt;AD$3,$I500&gt;AD$2),0,IF($K500=0,IF(AND($I500&gt;=AD$3,$I500&lt;=AD$2),$E500,0),$E500*NETWORKDAYS(MAX($I500,AD$3),MIN($J500,AD$2),Data!$K$4:$K$203)/$K500)))</f>
        <v>0</v>
      </c>
      <c r="AE500" s="166">
        <f>IF(OR($I500="",$E500=0),0,IF(OR($J500&lt;AE$3,$I500&gt;AE$2),0,IF($K500=0,IF(AND($I500&gt;=AE$3,$I500&lt;=AE$2),$E500,0),$E500*NETWORKDAYS(MAX($I500,AE$3),MIN($J500,AE$2),Data!$K$4:$K$203)/$K500)))</f>
        <v>0</v>
      </c>
      <c r="AF500" s="166">
        <f>IF(OR($I500="",$E500=0),0,IF(OR($J500&lt;AF$3,$I500&gt;AF$2),0,IF($K500=0,IF(AND($I500&gt;=AF$3,$I500&lt;=AF$2),$E500,0),$E500*NETWORKDAYS(MAX($I500,AF$3),MIN($J500,AF$2),Data!$K$4:$K$203)/$K500)))</f>
        <v>0</v>
      </c>
      <c r="AG500" s="166">
        <f>IF(OR($I500="",$E500=0),0,IF(OR($J500&lt;AG$3,$I500&gt;AG$2),0,IF($K500=0,IF(AND($I500&gt;=AG$3,$I500&lt;=AG$2),$E500,0),$E500*NETWORKDAYS(MAX($I500,AG$3),MIN($J500,AG$2),Data!$K$4:$K$203)/$K500)))</f>
        <v>0</v>
      </c>
      <c r="AH500" s="166">
        <f>IF(OR($I500="",$E500=0),0,IF(OR($J500&lt;AH$3,$I500&gt;AH$2),0,IF($K500=0,IF(AND($I500&gt;=AH$3,$I500&lt;=AH$2),$E500,0),$E500*NETWORKDAYS(MAX($I500,AH$3),MIN($J500,AH$2),Data!$K$4:$K$203)/$K500)))</f>
        <v>0</v>
      </c>
      <c r="AI500" s="166">
        <f>SUM(W500:AH500)</f>
        <v>0</v>
      </c>
      <c r="BZ500" t="str">
        <f>IF(D500=1,IF(TRIM(INDEX(Charge!$K:$K,ROW()))&lt;&gt;"",TRIM(INDEX(Charge!$K:$K,ROW())),IF(TRIM(INDEX(Charge!$L:$L,ROW()))&lt;&gt;"",TRIM(INDEX(Charge!$L:$L,ROW())),"(non affecté)")),"")</f>
        <v/>
      </c>
      <c r="CA500" t="str">
        <f>IF(AND($CD$4&lt;&gt;"",BZ500=$CD$4),COUNTIFS($BZ$4:$BZ$503,$CD$4,$L$4:$L$503,"&lt;"&amp;L500)+1,"")</f>
        <v/>
      </c>
      <c r="EM500" t="str">
        <f>IF(D500=1,IF(TRIM(INDEX(Charge!$K:$K,ROW()))&lt;&gt;"","Interne",IF(TRIM(INDEX(Charge!$L:$L,ROW()))&lt;&gt;"","Externe","Non affecté")),"")</f>
        <v/>
      </c>
      <c r="EN500" t="str">
        <f>IF(D500=1,LEFT(SUBSTITUTE(SUBSTITUTE(SUBSTITUTE(TRIM(SUBSTITUTE(INDEX(Charge!$B:$B,ROW()),CHAR(160)," "))&amp;" | "&amp;TRIM(SUBSTITUTE(INDEX(Charge!$C:$C,ROW()),CHAR(160)," "))&amp;" | "&amp;TRIM(SUBSTITUTE(INDEX(Charge!$D:$D,ROW()),CHAR(160)," ")),"~","-"),"*","+"),"?","!"),240),"")</f>
        <v/>
      </c>
      <c r="EO500">
        <f>IF(EN500="",0,IF(COUNTIF($EN$4:EN500,EN500)=1,1,0))</f>
        <v>0</v>
      </c>
      <c r="EP500" s="166" t="str">
        <f>IF(EO500=1,ROUND(SUMIF($EN$4:$EN$503,EN500,$E$4:$E$503),2),"")</f>
        <v/>
      </c>
      <c r="EQ500" t="str">
        <f>IF(EO500=1,COUNTIFS($EO$4:$EO$503,1,$EP$4:$EP$503,"&gt;"&amp;EP500)+COUNTIFS($EO$4:EO500,1,$EP$4:EP500,EP500),"")</f>
        <v/>
      </c>
      <c r="ER500" t="str">
        <f>IF(EO500=1,COUNTIFS($EN$4:$EN$503,EN500,$EM$4:$EM$503,"Interne",$FE$4:$FE$503,1),"")</f>
        <v/>
      </c>
      <c r="ES500" t="str">
        <f>IF(EO500=1,COUNTIFS($EN$4:$EN$503,EN500,$EM$4:$EM$503,"Externe",$FE$4:$FE$503,1),"")</f>
        <v/>
      </c>
      <c r="ET500" t="str">
        <f>IF(EO500=1,IF(ER500+ES500=0,"à affecter",IF(ER500=0,ES500&amp;" ext.",(ER500+ES500)&amp;IF(ES500&gt;0," dont "&amp;ES500&amp;" ext.",""))&amp;IF(COUNTIFS($EN$4:$EN$503,EN500,$EM$4:$EM$503,"Non affecté")&gt;0," + à affecter","")),"")</f>
        <v/>
      </c>
      <c r="EU500" s="170" t="str">
        <f>IF(EO500=1,IF(EP500&gt;0,SUMPRODUCT(($EN$4:$EN$503=EN500)*$E$4:$E$503*$C$4:$C$503)/EP500,AVERAGEIF($EN$4:$EN$503,EN500,$C$4:$C$503)),"")</f>
        <v/>
      </c>
      <c r="EV500" s="165">
        <f>IF(ISNUMBER(I500),I500,2958465)</f>
        <v>2958465.0</v>
      </c>
      <c r="EW500" s="165" t="str">
        <f>IF(EO500=1,SUMPRODUCT(MIN(($EN$4:$EN$503=EN500)*$EV$4:$EV$503+($EN$4:$EN$503&lt;&gt;EN500)*2958465)),"")</f>
        <v/>
      </c>
      <c r="EX500" s="165">
        <f>IF(AND(D500=1,ISNUMBER(INDEX(Charge!$F:$F,ROW()))),INDEX(Charge!$F:$F,ROW()),0)</f>
        <v>0.0</v>
      </c>
      <c r="EY500" s="165" t="str">
        <f>IF(EO500=1,SUMPRODUCT(MAX(($EN$4:$EN$503=EN500)*$EX$4:$EX$503)),"")</f>
        <v/>
      </c>
      <c r="FD500">
        <f>IF(AND(B500=1,TRIM(INDEX(Charge!$K:$K,ROW()))&lt;&gt;"",TRIM(INDEX(Charge!$L:$L,ROW()))&lt;&gt;""),1,0)</f>
        <v>0</v>
      </c>
      <c r="FE500">
        <f>IF(OR(EN500="",BZ500="(non affecté)"),0,IF(COUNTIFS($EN$4:EN500,EN500,$BZ$4:BZ500,BZ500)=1,1,0))</f>
        <v>0</v>
      </c>
    </row>
    <row r="501">
      <c r="A501">
        <f>ROW()</f>
        <v>501</v>
      </c>
      <c r="B501">
        <f>IF(TRIM(INDEX(Charge!$B:$B,ROW()))&lt;&gt;"",1,0)</f>
        <v>0</v>
      </c>
      <c r="C501">
        <f>IF(B501=1,MIN(1,MAX(0,N(INDEX(Charge!$O:$O,ROW())))),0)</f>
        <v>0</v>
      </c>
      <c r="D501">
        <f>IF(B501=1,IF(OR(p_Perimetre="Tous les projets",C501&lt;1),1,0),0)</f>
        <v>0</v>
      </c>
      <c r="E501">
        <f>IF(D501=1,MAX(0,N(INDEX(Charge!$M:$M,ROW()))),0)</f>
        <v>0</v>
      </c>
      <c r="F501" t="str">
        <f>IF(D501=1,IF(TRIM(INDEX(Charge!$A:$A,ROW()))="","(non renseigné)",TRIM(INDEX(Charge!$A:$A,ROW()))),"")</f>
        <v/>
      </c>
      <c r="G501" t="str">
        <f>IF(D501=1,TRIM(INDEX(Charge!$B:$B,ROW())),"")</f>
        <v/>
      </c>
      <c r="H501" t="str">
        <f>IF(D501=1,IF(TRIM(INDEX(Charge!$E:$E,ROW()))="","(non renseigné)",TRIM(INDEX(Charge!$E:$E,ROW()))),"")</f>
        <v/>
      </c>
      <c r="I501" s="165" t="str">
        <f>IF(AND(D501=1,ISNUMBER(INDEX(Charge!$N:$N,ROW()))),INDEX(Charge!$N:$N,ROW()),"")</f>
        <v/>
      </c>
      <c r="J501" s="165" t="str">
        <f>IF(I501="","",IF(AND(p_Repartition="Lissée jusqu'à la date de besoin",ISNUMBER(INDEX(Charge!$F:$F,ROW()))),IF(INDEX(Charge!$F:$F,ROW())&gt;=I501,INDEX(Charge!$F:$F,ROW()),I501),I501))</f>
        <v/>
      </c>
      <c r="K501" t="str">
        <f>IF(I501="","",NETWORKDAYS(I501,J501,Data!$K$4:$K$203))</f>
        <v/>
      </c>
      <c r="L501" t="str">
        <f>IF(D501=1,COUNTIFS($D$4:$D$503,1,$E$4:$E$503,"&gt;"&amp;E501)+COUNTIFS($D$4:$D501,1,$E$4:$E501,E501),"")</f>
        <v/>
      </c>
      <c r="M501">
        <f>IF(F501="",0,IF(COUNTIF($F$4:F501,F501)=1,1,0))</f>
        <v>0</v>
      </c>
      <c r="N501" t="str">
        <f>IF(M501=1,ROUND(SUMIF($F$4:$F$503,F501,$E$4:$E$503),2),"")</f>
        <v/>
      </c>
      <c r="O501" t="str">
        <f>IF(M501=1,COUNTIFS($M$4:$M$503,1,$N$4:$N$503,"&gt;"&amp;N501)+COUNTIFS($M$4:M501,1,$N$4:N501,N501),"")</f>
        <v/>
      </c>
      <c r="P501">
        <f>IF(G501="",0,IF(COUNTIF($G$4:G501,G501)=1,1,0))</f>
        <v>0</v>
      </c>
      <c r="Q501" t="str">
        <f>IF(P501=1,ROUND(SUMIF($G$4:$G$503,G501,$E$4:$E$503),2),"")</f>
        <v/>
      </c>
      <c r="R501" t="str">
        <f>IF(P501=1,COUNTIFS($P$4:$P$503,1,$Q$4:$Q$503,"&gt;"&amp;Q501)+COUNTIFS($P$4:P501,1,$Q$4:Q501,Q501),"")</f>
        <v/>
      </c>
      <c r="S501">
        <f>IF(H501="",0,IF(COUNTIF($H$4:H501,H501)=1,1,0))</f>
        <v>0</v>
      </c>
      <c r="T501" t="str">
        <f>IF(S501=1,ROUND(SUMIF($H$4:$H$503,H501,$E$4:$E$503),2),"")</f>
        <v/>
      </c>
      <c r="U501" t="str">
        <f>IF(S501=1,COUNTIFS($S$4:$S$503,1,$T$4:$T$503,"&gt;"&amp;T501)+COUNTIFS($S$4:S501,1,$T$4:T501,T501),"")</f>
        <v/>
      </c>
      <c r="V501" t="str">
        <f>IF(D501=1,MIN(INDEX($R$4:$R$503,MATCH(G501,$G$4:$G$503,0)),IF($AL$7&gt;9,9,999)),"")</f>
        <v/>
      </c>
      <c r="W501" s="166">
        <f>IF(OR($I501="",$E501=0),0,IF(OR($J501&lt;W$3,$I501&gt;W$2),0,IF($K501=0,IF(AND($I501&gt;=W$3,$I501&lt;=W$2),$E501,0),$E501*NETWORKDAYS(MAX($I501,W$3),MIN($J501,W$2),Data!$K$4:$K$203)/$K501)))</f>
        <v>0</v>
      </c>
      <c r="X501" s="166">
        <f>IF(OR($I501="",$E501=0),0,IF(OR($J501&lt;X$3,$I501&gt;X$2),0,IF($K501=0,IF(AND($I501&gt;=X$3,$I501&lt;=X$2),$E501,0),$E501*NETWORKDAYS(MAX($I501,X$3),MIN($J501,X$2),Data!$K$4:$K$203)/$K501)))</f>
        <v>0</v>
      </c>
      <c r="Y501" s="166">
        <f>IF(OR($I501="",$E501=0),0,IF(OR($J501&lt;Y$3,$I501&gt;Y$2),0,IF($K501=0,IF(AND($I501&gt;=Y$3,$I501&lt;=Y$2),$E501,0),$E501*NETWORKDAYS(MAX($I501,Y$3),MIN($J501,Y$2),Data!$K$4:$K$203)/$K501)))</f>
        <v>0</v>
      </c>
      <c r="Z501" s="166">
        <f>IF(OR($I501="",$E501=0),0,IF(OR($J501&lt;Z$3,$I501&gt;Z$2),0,IF($K501=0,IF(AND($I501&gt;=Z$3,$I501&lt;=Z$2),$E501,0),$E501*NETWORKDAYS(MAX($I501,Z$3),MIN($J501,Z$2),Data!$K$4:$K$203)/$K501)))</f>
        <v>0</v>
      </c>
      <c r="AA501" s="166">
        <f>IF(OR($I501="",$E501=0),0,IF(OR($J501&lt;AA$3,$I501&gt;AA$2),0,IF($K501=0,IF(AND($I501&gt;=AA$3,$I501&lt;=AA$2),$E501,0),$E501*NETWORKDAYS(MAX($I501,AA$3),MIN($J501,AA$2),Data!$K$4:$K$203)/$K501)))</f>
        <v>0</v>
      </c>
      <c r="AB501" s="166">
        <f>IF(OR($I501="",$E501=0),0,IF(OR($J501&lt;AB$3,$I501&gt;AB$2),0,IF($K501=0,IF(AND($I501&gt;=AB$3,$I501&lt;=AB$2),$E501,0),$E501*NETWORKDAYS(MAX($I501,AB$3),MIN($J501,AB$2),Data!$K$4:$K$203)/$K501)))</f>
        <v>0</v>
      </c>
      <c r="AC501" s="166">
        <f>IF(OR($I501="",$E501=0),0,IF(OR($J501&lt;AC$3,$I501&gt;AC$2),0,IF($K501=0,IF(AND($I501&gt;=AC$3,$I501&lt;=AC$2),$E501,0),$E501*NETWORKDAYS(MAX($I501,AC$3),MIN($J501,AC$2),Data!$K$4:$K$203)/$K501)))</f>
        <v>0</v>
      </c>
      <c r="AD501" s="166">
        <f>IF(OR($I501="",$E501=0),0,IF(OR($J501&lt;AD$3,$I501&gt;AD$2),0,IF($K501=0,IF(AND($I501&gt;=AD$3,$I501&lt;=AD$2),$E501,0),$E501*NETWORKDAYS(MAX($I501,AD$3),MIN($J501,AD$2),Data!$K$4:$K$203)/$K501)))</f>
        <v>0</v>
      </c>
      <c r="AE501" s="166">
        <f>IF(OR($I501="",$E501=0),0,IF(OR($J501&lt;AE$3,$I501&gt;AE$2),0,IF($K501=0,IF(AND($I501&gt;=AE$3,$I501&lt;=AE$2),$E501,0),$E501*NETWORKDAYS(MAX($I501,AE$3),MIN($J501,AE$2),Data!$K$4:$K$203)/$K501)))</f>
        <v>0</v>
      </c>
      <c r="AF501" s="166">
        <f>IF(OR($I501="",$E501=0),0,IF(OR($J501&lt;AF$3,$I501&gt;AF$2),0,IF($K501=0,IF(AND($I501&gt;=AF$3,$I501&lt;=AF$2),$E501,0),$E501*NETWORKDAYS(MAX($I501,AF$3),MIN($J501,AF$2),Data!$K$4:$K$203)/$K501)))</f>
        <v>0</v>
      </c>
      <c r="AG501" s="166">
        <f>IF(OR($I501="",$E501=0),0,IF(OR($J501&lt;AG$3,$I501&gt;AG$2),0,IF($K501=0,IF(AND($I501&gt;=AG$3,$I501&lt;=AG$2),$E501,0),$E501*NETWORKDAYS(MAX($I501,AG$3),MIN($J501,AG$2),Data!$K$4:$K$203)/$K501)))</f>
        <v>0</v>
      </c>
      <c r="AH501" s="166">
        <f>IF(OR($I501="",$E501=0),0,IF(OR($J501&lt;AH$3,$I501&gt;AH$2),0,IF($K501=0,IF(AND($I501&gt;=AH$3,$I501&lt;=AH$2),$E501,0),$E501*NETWORKDAYS(MAX($I501,AH$3),MIN($J501,AH$2),Data!$K$4:$K$203)/$K501)))</f>
        <v>0</v>
      </c>
      <c r="AI501" s="166">
        <f>SUM(W501:AH501)</f>
        <v>0</v>
      </c>
      <c r="BZ501" t="str">
        <f>IF(D501=1,IF(TRIM(INDEX(Charge!$K:$K,ROW()))&lt;&gt;"",TRIM(INDEX(Charge!$K:$K,ROW())),IF(TRIM(INDEX(Charge!$L:$L,ROW()))&lt;&gt;"",TRIM(INDEX(Charge!$L:$L,ROW())),"(non affecté)")),"")</f>
        <v/>
      </c>
      <c r="CA501" t="str">
        <f>IF(AND($CD$4&lt;&gt;"",BZ501=$CD$4),COUNTIFS($BZ$4:$BZ$503,$CD$4,$L$4:$L$503,"&lt;"&amp;L501)+1,"")</f>
        <v/>
      </c>
      <c r="EM501" t="str">
        <f>IF(D501=1,IF(TRIM(INDEX(Charge!$K:$K,ROW()))&lt;&gt;"","Interne",IF(TRIM(INDEX(Charge!$L:$L,ROW()))&lt;&gt;"","Externe","Non affecté")),"")</f>
        <v/>
      </c>
      <c r="EN501" t="str">
        <f>IF(D501=1,LEFT(SUBSTITUTE(SUBSTITUTE(SUBSTITUTE(TRIM(SUBSTITUTE(INDEX(Charge!$B:$B,ROW()),CHAR(160)," "))&amp;" | "&amp;TRIM(SUBSTITUTE(INDEX(Charge!$C:$C,ROW()),CHAR(160)," "))&amp;" | "&amp;TRIM(SUBSTITUTE(INDEX(Charge!$D:$D,ROW()),CHAR(160)," ")),"~","-"),"*","+"),"?","!"),240),"")</f>
        <v/>
      </c>
      <c r="EO501">
        <f>IF(EN501="",0,IF(COUNTIF($EN$4:EN501,EN501)=1,1,0))</f>
        <v>0</v>
      </c>
      <c r="EP501" s="166" t="str">
        <f>IF(EO501=1,ROUND(SUMIF($EN$4:$EN$503,EN501,$E$4:$E$503),2),"")</f>
        <v/>
      </c>
      <c r="EQ501" t="str">
        <f>IF(EO501=1,COUNTIFS($EO$4:$EO$503,1,$EP$4:$EP$503,"&gt;"&amp;EP501)+COUNTIFS($EO$4:EO501,1,$EP$4:EP501,EP501),"")</f>
        <v/>
      </c>
      <c r="ER501" t="str">
        <f>IF(EO501=1,COUNTIFS($EN$4:$EN$503,EN501,$EM$4:$EM$503,"Interne",$FE$4:$FE$503,1),"")</f>
        <v/>
      </c>
      <c r="ES501" t="str">
        <f>IF(EO501=1,COUNTIFS($EN$4:$EN$503,EN501,$EM$4:$EM$503,"Externe",$FE$4:$FE$503,1),"")</f>
        <v/>
      </c>
      <c r="ET501" t="str">
        <f>IF(EO501=1,IF(ER501+ES501=0,"à affecter",IF(ER501=0,ES501&amp;" ext.",(ER501+ES501)&amp;IF(ES501&gt;0," dont "&amp;ES501&amp;" ext.",""))&amp;IF(COUNTIFS($EN$4:$EN$503,EN501,$EM$4:$EM$503,"Non affecté")&gt;0," + à affecter","")),"")</f>
        <v/>
      </c>
      <c r="EU501" s="170" t="str">
        <f>IF(EO501=1,IF(EP501&gt;0,SUMPRODUCT(($EN$4:$EN$503=EN501)*$E$4:$E$503*$C$4:$C$503)/EP501,AVERAGEIF($EN$4:$EN$503,EN501,$C$4:$C$503)),"")</f>
        <v/>
      </c>
      <c r="EV501" s="165">
        <f>IF(ISNUMBER(I501),I501,2958465)</f>
        <v>2958465.0</v>
      </c>
      <c r="EW501" s="165" t="str">
        <f>IF(EO501=1,SUMPRODUCT(MIN(($EN$4:$EN$503=EN501)*$EV$4:$EV$503+($EN$4:$EN$503&lt;&gt;EN501)*2958465)),"")</f>
        <v/>
      </c>
      <c r="EX501" s="165">
        <f>IF(AND(D501=1,ISNUMBER(INDEX(Charge!$F:$F,ROW()))),INDEX(Charge!$F:$F,ROW()),0)</f>
        <v>0.0</v>
      </c>
      <c r="EY501" s="165" t="str">
        <f>IF(EO501=1,SUMPRODUCT(MAX(($EN$4:$EN$503=EN501)*$EX$4:$EX$503)),"")</f>
        <v/>
      </c>
      <c r="FD501">
        <f>IF(AND(B501=1,TRIM(INDEX(Charge!$K:$K,ROW()))&lt;&gt;"",TRIM(INDEX(Charge!$L:$L,ROW()))&lt;&gt;""),1,0)</f>
        <v>0</v>
      </c>
      <c r="FE501">
        <f>IF(OR(EN501="",BZ501="(non affecté)"),0,IF(COUNTIFS($EN$4:EN501,EN501,$BZ$4:BZ501,BZ501)=1,1,0))</f>
        <v>0</v>
      </c>
    </row>
    <row r="502">
      <c r="A502">
        <f>ROW()</f>
        <v>502</v>
      </c>
      <c r="B502">
        <f>IF(TRIM(INDEX(Charge!$B:$B,ROW()))&lt;&gt;"",1,0)</f>
        <v>0</v>
      </c>
      <c r="C502">
        <f>IF(B502=1,MIN(1,MAX(0,N(INDEX(Charge!$O:$O,ROW())))),0)</f>
        <v>0</v>
      </c>
      <c r="D502">
        <f>IF(B502=1,IF(OR(p_Perimetre="Tous les projets",C502&lt;1),1,0),0)</f>
        <v>0</v>
      </c>
      <c r="E502">
        <f>IF(D502=1,MAX(0,N(INDEX(Charge!$M:$M,ROW()))),0)</f>
        <v>0</v>
      </c>
      <c r="F502" t="str">
        <f>IF(D502=1,IF(TRIM(INDEX(Charge!$A:$A,ROW()))="","(non renseigné)",TRIM(INDEX(Charge!$A:$A,ROW()))),"")</f>
        <v/>
      </c>
      <c r="G502" t="str">
        <f>IF(D502=1,TRIM(INDEX(Charge!$B:$B,ROW())),"")</f>
        <v/>
      </c>
      <c r="H502" t="str">
        <f>IF(D502=1,IF(TRIM(INDEX(Charge!$E:$E,ROW()))="","(non renseigné)",TRIM(INDEX(Charge!$E:$E,ROW()))),"")</f>
        <v/>
      </c>
      <c r="I502" s="165" t="str">
        <f>IF(AND(D502=1,ISNUMBER(INDEX(Charge!$N:$N,ROW()))),INDEX(Charge!$N:$N,ROW()),"")</f>
        <v/>
      </c>
      <c r="J502" s="165" t="str">
        <f>IF(I502="","",IF(AND(p_Repartition="Lissée jusqu'à la date de besoin",ISNUMBER(INDEX(Charge!$F:$F,ROW()))),IF(INDEX(Charge!$F:$F,ROW())&gt;=I502,INDEX(Charge!$F:$F,ROW()),I502),I502))</f>
        <v/>
      </c>
      <c r="K502" t="str">
        <f>IF(I502="","",NETWORKDAYS(I502,J502,Data!$K$4:$K$203))</f>
        <v/>
      </c>
      <c r="L502" t="str">
        <f>IF(D502=1,COUNTIFS($D$4:$D$503,1,$E$4:$E$503,"&gt;"&amp;E502)+COUNTIFS($D$4:$D502,1,$E$4:$E502,E502),"")</f>
        <v/>
      </c>
      <c r="M502">
        <f>IF(F502="",0,IF(COUNTIF($F$4:F502,F502)=1,1,0))</f>
        <v>0</v>
      </c>
      <c r="N502" t="str">
        <f>IF(M502=1,ROUND(SUMIF($F$4:$F$503,F502,$E$4:$E$503),2),"")</f>
        <v/>
      </c>
      <c r="O502" t="str">
        <f>IF(M502=1,COUNTIFS($M$4:$M$503,1,$N$4:$N$503,"&gt;"&amp;N502)+COUNTIFS($M$4:M502,1,$N$4:N502,N502),"")</f>
        <v/>
      </c>
      <c r="P502">
        <f>IF(G502="",0,IF(COUNTIF($G$4:G502,G502)=1,1,0))</f>
        <v>0</v>
      </c>
      <c r="Q502" t="str">
        <f>IF(P502=1,ROUND(SUMIF($G$4:$G$503,G502,$E$4:$E$503),2),"")</f>
        <v/>
      </c>
      <c r="R502" t="str">
        <f>IF(P502=1,COUNTIFS($P$4:$P$503,1,$Q$4:$Q$503,"&gt;"&amp;Q502)+COUNTIFS($P$4:P502,1,$Q$4:Q502,Q502),"")</f>
        <v/>
      </c>
      <c r="S502">
        <f>IF(H502="",0,IF(COUNTIF($H$4:H502,H502)=1,1,0))</f>
        <v>0</v>
      </c>
      <c r="T502" t="str">
        <f>IF(S502=1,ROUND(SUMIF($H$4:$H$503,H502,$E$4:$E$503),2),"")</f>
        <v/>
      </c>
      <c r="U502" t="str">
        <f>IF(S502=1,COUNTIFS($S$4:$S$503,1,$T$4:$T$503,"&gt;"&amp;T502)+COUNTIFS($S$4:S502,1,$T$4:T502,T502),"")</f>
        <v/>
      </c>
      <c r="V502" t="str">
        <f>IF(D502=1,MIN(INDEX($R$4:$R$503,MATCH(G502,$G$4:$G$503,0)),IF($AL$7&gt;9,9,999)),"")</f>
        <v/>
      </c>
      <c r="W502" s="166">
        <f>IF(OR($I502="",$E502=0),0,IF(OR($J502&lt;W$3,$I502&gt;W$2),0,IF($K502=0,IF(AND($I502&gt;=W$3,$I502&lt;=W$2),$E502,0),$E502*NETWORKDAYS(MAX($I502,W$3),MIN($J502,W$2),Data!$K$4:$K$203)/$K502)))</f>
        <v>0</v>
      </c>
      <c r="X502" s="166">
        <f>IF(OR($I502="",$E502=0),0,IF(OR($J502&lt;X$3,$I502&gt;X$2),0,IF($K502=0,IF(AND($I502&gt;=X$3,$I502&lt;=X$2),$E502,0),$E502*NETWORKDAYS(MAX($I502,X$3),MIN($J502,X$2),Data!$K$4:$K$203)/$K502)))</f>
        <v>0</v>
      </c>
      <c r="Y502" s="166">
        <f>IF(OR($I502="",$E502=0),0,IF(OR($J502&lt;Y$3,$I502&gt;Y$2),0,IF($K502=0,IF(AND($I502&gt;=Y$3,$I502&lt;=Y$2),$E502,0),$E502*NETWORKDAYS(MAX($I502,Y$3),MIN($J502,Y$2),Data!$K$4:$K$203)/$K502)))</f>
        <v>0</v>
      </c>
      <c r="Z502" s="166">
        <f>IF(OR($I502="",$E502=0),0,IF(OR($J502&lt;Z$3,$I502&gt;Z$2),0,IF($K502=0,IF(AND($I502&gt;=Z$3,$I502&lt;=Z$2),$E502,0),$E502*NETWORKDAYS(MAX($I502,Z$3),MIN($J502,Z$2),Data!$K$4:$K$203)/$K502)))</f>
        <v>0</v>
      </c>
      <c r="AA502" s="166">
        <f>IF(OR($I502="",$E502=0),0,IF(OR($J502&lt;AA$3,$I502&gt;AA$2),0,IF($K502=0,IF(AND($I502&gt;=AA$3,$I502&lt;=AA$2),$E502,0),$E502*NETWORKDAYS(MAX($I502,AA$3),MIN($J502,AA$2),Data!$K$4:$K$203)/$K502)))</f>
        <v>0</v>
      </c>
      <c r="AB502" s="166">
        <f>IF(OR($I502="",$E502=0),0,IF(OR($J502&lt;AB$3,$I502&gt;AB$2),0,IF($K502=0,IF(AND($I502&gt;=AB$3,$I502&lt;=AB$2),$E502,0),$E502*NETWORKDAYS(MAX($I502,AB$3),MIN($J502,AB$2),Data!$K$4:$K$203)/$K502)))</f>
        <v>0</v>
      </c>
      <c r="AC502" s="166">
        <f>IF(OR($I502="",$E502=0),0,IF(OR($J502&lt;AC$3,$I502&gt;AC$2),0,IF($K502=0,IF(AND($I502&gt;=AC$3,$I502&lt;=AC$2),$E502,0),$E502*NETWORKDAYS(MAX($I502,AC$3),MIN($J502,AC$2),Data!$K$4:$K$203)/$K502)))</f>
        <v>0</v>
      </c>
      <c r="AD502" s="166">
        <f>IF(OR($I502="",$E502=0),0,IF(OR($J502&lt;AD$3,$I502&gt;AD$2),0,IF($K502=0,IF(AND($I502&gt;=AD$3,$I502&lt;=AD$2),$E502,0),$E502*NETWORKDAYS(MAX($I502,AD$3),MIN($J502,AD$2),Data!$K$4:$K$203)/$K502)))</f>
        <v>0</v>
      </c>
      <c r="AE502" s="166">
        <f>IF(OR($I502="",$E502=0),0,IF(OR($J502&lt;AE$3,$I502&gt;AE$2),0,IF($K502=0,IF(AND($I502&gt;=AE$3,$I502&lt;=AE$2),$E502,0),$E502*NETWORKDAYS(MAX($I502,AE$3),MIN($J502,AE$2),Data!$K$4:$K$203)/$K502)))</f>
        <v>0</v>
      </c>
      <c r="AF502" s="166">
        <f>IF(OR($I502="",$E502=0),0,IF(OR($J502&lt;AF$3,$I502&gt;AF$2),0,IF($K502=0,IF(AND($I502&gt;=AF$3,$I502&lt;=AF$2),$E502,0),$E502*NETWORKDAYS(MAX($I502,AF$3),MIN($J502,AF$2),Data!$K$4:$K$203)/$K502)))</f>
        <v>0</v>
      </c>
      <c r="AG502" s="166">
        <f>IF(OR($I502="",$E502=0),0,IF(OR($J502&lt;AG$3,$I502&gt;AG$2),0,IF($K502=0,IF(AND($I502&gt;=AG$3,$I502&lt;=AG$2),$E502,0),$E502*NETWORKDAYS(MAX($I502,AG$3),MIN($J502,AG$2),Data!$K$4:$K$203)/$K502)))</f>
        <v>0</v>
      </c>
      <c r="AH502" s="166">
        <f>IF(OR($I502="",$E502=0),0,IF(OR($J502&lt;AH$3,$I502&gt;AH$2),0,IF($K502=0,IF(AND($I502&gt;=AH$3,$I502&lt;=AH$2),$E502,0),$E502*NETWORKDAYS(MAX($I502,AH$3),MIN($J502,AH$2),Data!$K$4:$K$203)/$K502)))</f>
        <v>0</v>
      </c>
      <c r="AI502" s="166">
        <f>SUM(W502:AH502)</f>
        <v>0</v>
      </c>
      <c r="BZ502" t="str">
        <f>IF(D502=1,IF(TRIM(INDEX(Charge!$K:$K,ROW()))&lt;&gt;"",TRIM(INDEX(Charge!$K:$K,ROW())),IF(TRIM(INDEX(Charge!$L:$L,ROW()))&lt;&gt;"",TRIM(INDEX(Charge!$L:$L,ROW())),"(non affecté)")),"")</f>
        <v/>
      </c>
      <c r="CA502" t="str">
        <f>IF(AND($CD$4&lt;&gt;"",BZ502=$CD$4),COUNTIFS($BZ$4:$BZ$503,$CD$4,$L$4:$L$503,"&lt;"&amp;L502)+1,"")</f>
        <v/>
      </c>
      <c r="EM502" t="str">
        <f>IF(D502=1,IF(TRIM(INDEX(Charge!$K:$K,ROW()))&lt;&gt;"","Interne",IF(TRIM(INDEX(Charge!$L:$L,ROW()))&lt;&gt;"","Externe","Non affecté")),"")</f>
        <v/>
      </c>
      <c r="EN502" t="str">
        <f>IF(D502=1,LEFT(SUBSTITUTE(SUBSTITUTE(SUBSTITUTE(TRIM(SUBSTITUTE(INDEX(Charge!$B:$B,ROW()),CHAR(160)," "))&amp;" | "&amp;TRIM(SUBSTITUTE(INDEX(Charge!$C:$C,ROW()),CHAR(160)," "))&amp;" | "&amp;TRIM(SUBSTITUTE(INDEX(Charge!$D:$D,ROW()),CHAR(160)," ")),"~","-"),"*","+"),"?","!"),240),"")</f>
        <v/>
      </c>
      <c r="EO502">
        <f>IF(EN502="",0,IF(COUNTIF($EN$4:EN502,EN502)=1,1,0))</f>
        <v>0</v>
      </c>
      <c r="EP502" s="166" t="str">
        <f>IF(EO502=1,ROUND(SUMIF($EN$4:$EN$503,EN502,$E$4:$E$503),2),"")</f>
        <v/>
      </c>
      <c r="EQ502" t="str">
        <f>IF(EO502=1,COUNTIFS($EO$4:$EO$503,1,$EP$4:$EP$503,"&gt;"&amp;EP502)+COUNTIFS($EO$4:EO502,1,$EP$4:EP502,EP502),"")</f>
        <v/>
      </c>
      <c r="ER502" t="str">
        <f>IF(EO502=1,COUNTIFS($EN$4:$EN$503,EN502,$EM$4:$EM$503,"Interne",$FE$4:$FE$503,1),"")</f>
        <v/>
      </c>
      <c r="ES502" t="str">
        <f>IF(EO502=1,COUNTIFS($EN$4:$EN$503,EN502,$EM$4:$EM$503,"Externe",$FE$4:$FE$503,1),"")</f>
        <v/>
      </c>
      <c r="ET502" t="str">
        <f>IF(EO502=1,IF(ER502+ES502=0,"à affecter",IF(ER502=0,ES502&amp;" ext.",(ER502+ES502)&amp;IF(ES502&gt;0," dont "&amp;ES502&amp;" ext.",""))&amp;IF(COUNTIFS($EN$4:$EN$503,EN502,$EM$4:$EM$503,"Non affecté")&gt;0," + à affecter","")),"")</f>
        <v/>
      </c>
      <c r="EU502" s="170" t="str">
        <f>IF(EO502=1,IF(EP502&gt;0,SUMPRODUCT(($EN$4:$EN$503=EN502)*$E$4:$E$503*$C$4:$C$503)/EP502,AVERAGEIF($EN$4:$EN$503,EN502,$C$4:$C$503)),"")</f>
        <v/>
      </c>
      <c r="EV502" s="165">
        <f>IF(ISNUMBER(I502),I502,2958465)</f>
        <v>2958465.0</v>
      </c>
      <c r="EW502" s="165" t="str">
        <f>IF(EO502=1,SUMPRODUCT(MIN(($EN$4:$EN$503=EN502)*$EV$4:$EV$503+($EN$4:$EN$503&lt;&gt;EN502)*2958465)),"")</f>
        <v/>
      </c>
      <c r="EX502" s="165">
        <f>IF(AND(D502=1,ISNUMBER(INDEX(Charge!$F:$F,ROW()))),INDEX(Charge!$F:$F,ROW()),0)</f>
        <v>0.0</v>
      </c>
      <c r="EY502" s="165" t="str">
        <f>IF(EO502=1,SUMPRODUCT(MAX(($EN$4:$EN$503=EN502)*$EX$4:$EX$503)),"")</f>
        <v/>
      </c>
      <c r="FD502">
        <f>IF(AND(B502=1,TRIM(INDEX(Charge!$K:$K,ROW()))&lt;&gt;"",TRIM(INDEX(Charge!$L:$L,ROW()))&lt;&gt;""),1,0)</f>
        <v>0</v>
      </c>
      <c r="FE502">
        <f>IF(OR(EN502="",BZ502="(non affecté)"),0,IF(COUNTIFS($EN$4:EN502,EN502,$BZ$4:BZ502,BZ502)=1,1,0))</f>
        <v>0</v>
      </c>
    </row>
    <row r="503">
      <c r="A503">
        <f>ROW()</f>
        <v>503</v>
      </c>
      <c r="B503">
        <f>IF(TRIM(INDEX(Charge!$B:$B,ROW()))&lt;&gt;"",1,0)</f>
        <v>0</v>
      </c>
      <c r="C503">
        <f>IF(B503=1,MIN(1,MAX(0,N(INDEX(Charge!$O:$O,ROW())))),0)</f>
        <v>0</v>
      </c>
      <c r="D503">
        <f>IF(B503=1,IF(OR(p_Perimetre="Tous les projets",C503&lt;1),1,0),0)</f>
        <v>0</v>
      </c>
      <c r="E503">
        <f>IF(D503=1,MAX(0,N(INDEX(Charge!$M:$M,ROW()))),0)</f>
        <v>0</v>
      </c>
      <c r="F503" t="str">
        <f>IF(D503=1,IF(TRIM(INDEX(Charge!$A:$A,ROW()))="","(non renseigné)",TRIM(INDEX(Charge!$A:$A,ROW()))),"")</f>
        <v/>
      </c>
      <c r="G503" t="str">
        <f>IF(D503=1,TRIM(INDEX(Charge!$B:$B,ROW())),"")</f>
        <v/>
      </c>
      <c r="H503" t="str">
        <f>IF(D503=1,IF(TRIM(INDEX(Charge!$E:$E,ROW()))="","(non renseigné)",TRIM(INDEX(Charge!$E:$E,ROW()))),"")</f>
        <v/>
      </c>
      <c r="I503" s="165" t="str">
        <f>IF(AND(D503=1,ISNUMBER(INDEX(Charge!$N:$N,ROW()))),INDEX(Charge!$N:$N,ROW()),"")</f>
        <v/>
      </c>
      <c r="J503" s="165" t="str">
        <f>IF(I503="","",IF(AND(p_Repartition="Lissée jusqu'à la date de besoin",ISNUMBER(INDEX(Charge!$F:$F,ROW()))),IF(INDEX(Charge!$F:$F,ROW())&gt;=I503,INDEX(Charge!$F:$F,ROW()),I503),I503))</f>
        <v/>
      </c>
      <c r="K503" t="str">
        <f>IF(I503="","",NETWORKDAYS(I503,J503,Data!$K$4:$K$203))</f>
        <v/>
      </c>
      <c r="L503" t="str">
        <f>IF(D503=1,COUNTIFS($D$4:$D$503,1,$E$4:$E$503,"&gt;"&amp;E503)+COUNTIFS($D$4:$D503,1,$E$4:$E503,E503),"")</f>
        <v/>
      </c>
      <c r="M503">
        <f>IF(F503="",0,IF(COUNTIF($F$4:F503,F503)=1,1,0))</f>
        <v>0</v>
      </c>
      <c r="N503" t="str">
        <f>IF(M503=1,ROUND(SUMIF($F$4:$F$503,F503,$E$4:$E$503),2),"")</f>
        <v/>
      </c>
      <c r="O503" t="str">
        <f>IF(M503=1,COUNTIFS($M$4:$M$503,1,$N$4:$N$503,"&gt;"&amp;N503)+COUNTIFS($M$4:M503,1,$N$4:N503,N503),"")</f>
        <v/>
      </c>
      <c r="P503">
        <f>IF(G503="",0,IF(COUNTIF($G$4:G503,G503)=1,1,0))</f>
        <v>0</v>
      </c>
      <c r="Q503" t="str">
        <f>IF(P503=1,ROUND(SUMIF($G$4:$G$503,G503,$E$4:$E$503),2),"")</f>
        <v/>
      </c>
      <c r="R503" t="str">
        <f>IF(P503=1,COUNTIFS($P$4:$P$503,1,$Q$4:$Q$503,"&gt;"&amp;Q503)+COUNTIFS($P$4:P503,1,$Q$4:Q503,Q503),"")</f>
        <v/>
      </c>
      <c r="S503">
        <f>IF(H503="",0,IF(COUNTIF($H$4:H503,H503)=1,1,0))</f>
        <v>0</v>
      </c>
      <c r="T503" t="str">
        <f>IF(S503=1,ROUND(SUMIF($H$4:$H$503,H503,$E$4:$E$503),2),"")</f>
        <v/>
      </c>
      <c r="U503" t="str">
        <f>IF(S503=1,COUNTIFS($S$4:$S$503,1,$T$4:$T$503,"&gt;"&amp;T503)+COUNTIFS($S$4:S503,1,$T$4:T503,T503),"")</f>
        <v/>
      </c>
      <c r="V503" t="str">
        <f>IF(D503=1,MIN(INDEX($R$4:$R$503,MATCH(G503,$G$4:$G$503,0)),IF($AL$7&gt;9,9,999)),"")</f>
        <v/>
      </c>
      <c r="W503" s="166">
        <f>IF(OR($I503="",$E503=0),0,IF(OR($J503&lt;W$3,$I503&gt;W$2),0,IF($K503=0,IF(AND($I503&gt;=W$3,$I503&lt;=W$2),$E503,0),$E503*NETWORKDAYS(MAX($I503,W$3),MIN($J503,W$2),Data!$K$4:$K$203)/$K503)))</f>
        <v>0</v>
      </c>
      <c r="X503" s="166">
        <f>IF(OR($I503="",$E503=0),0,IF(OR($J503&lt;X$3,$I503&gt;X$2),0,IF($K503=0,IF(AND($I503&gt;=X$3,$I503&lt;=X$2),$E503,0),$E503*NETWORKDAYS(MAX($I503,X$3),MIN($J503,X$2),Data!$K$4:$K$203)/$K503)))</f>
        <v>0</v>
      </c>
      <c r="Y503" s="166">
        <f>IF(OR($I503="",$E503=0),0,IF(OR($J503&lt;Y$3,$I503&gt;Y$2),0,IF($K503=0,IF(AND($I503&gt;=Y$3,$I503&lt;=Y$2),$E503,0),$E503*NETWORKDAYS(MAX($I503,Y$3),MIN($J503,Y$2),Data!$K$4:$K$203)/$K503)))</f>
        <v>0</v>
      </c>
      <c r="Z503" s="166">
        <f>IF(OR($I503="",$E503=0),0,IF(OR($J503&lt;Z$3,$I503&gt;Z$2),0,IF($K503=0,IF(AND($I503&gt;=Z$3,$I503&lt;=Z$2),$E503,0),$E503*NETWORKDAYS(MAX($I503,Z$3),MIN($J503,Z$2),Data!$K$4:$K$203)/$K503)))</f>
        <v>0</v>
      </c>
      <c r="AA503" s="166">
        <f>IF(OR($I503="",$E503=0),0,IF(OR($J503&lt;AA$3,$I503&gt;AA$2),0,IF($K503=0,IF(AND($I503&gt;=AA$3,$I503&lt;=AA$2),$E503,0),$E503*NETWORKDAYS(MAX($I503,AA$3),MIN($J503,AA$2),Data!$K$4:$K$203)/$K503)))</f>
        <v>0</v>
      </c>
      <c r="AB503" s="166">
        <f>IF(OR($I503="",$E503=0),0,IF(OR($J503&lt;AB$3,$I503&gt;AB$2),0,IF($K503=0,IF(AND($I503&gt;=AB$3,$I503&lt;=AB$2),$E503,0),$E503*NETWORKDAYS(MAX($I503,AB$3),MIN($J503,AB$2),Data!$K$4:$K$203)/$K503)))</f>
        <v>0</v>
      </c>
      <c r="AC503" s="166">
        <f>IF(OR($I503="",$E503=0),0,IF(OR($J503&lt;AC$3,$I503&gt;AC$2),0,IF($K503=0,IF(AND($I503&gt;=AC$3,$I503&lt;=AC$2),$E503,0),$E503*NETWORKDAYS(MAX($I503,AC$3),MIN($J503,AC$2),Data!$K$4:$K$203)/$K503)))</f>
        <v>0</v>
      </c>
      <c r="AD503" s="166">
        <f>IF(OR($I503="",$E503=0),0,IF(OR($J503&lt;AD$3,$I503&gt;AD$2),0,IF($K503=0,IF(AND($I503&gt;=AD$3,$I503&lt;=AD$2),$E503,0),$E503*NETWORKDAYS(MAX($I503,AD$3),MIN($J503,AD$2),Data!$K$4:$K$203)/$K503)))</f>
        <v>0</v>
      </c>
      <c r="AE503" s="166">
        <f>IF(OR($I503="",$E503=0),0,IF(OR($J503&lt;AE$3,$I503&gt;AE$2),0,IF($K503=0,IF(AND($I503&gt;=AE$3,$I503&lt;=AE$2),$E503,0),$E503*NETWORKDAYS(MAX($I503,AE$3),MIN($J503,AE$2),Data!$K$4:$K$203)/$K503)))</f>
        <v>0</v>
      </c>
      <c r="AF503" s="166">
        <f>IF(OR($I503="",$E503=0),0,IF(OR($J503&lt;AF$3,$I503&gt;AF$2),0,IF($K503=0,IF(AND($I503&gt;=AF$3,$I503&lt;=AF$2),$E503,0),$E503*NETWORKDAYS(MAX($I503,AF$3),MIN($J503,AF$2),Data!$K$4:$K$203)/$K503)))</f>
        <v>0</v>
      </c>
      <c r="AG503" s="166">
        <f>IF(OR($I503="",$E503=0),0,IF(OR($J503&lt;AG$3,$I503&gt;AG$2),0,IF($K503=0,IF(AND($I503&gt;=AG$3,$I503&lt;=AG$2),$E503,0),$E503*NETWORKDAYS(MAX($I503,AG$3),MIN($J503,AG$2),Data!$K$4:$K$203)/$K503)))</f>
        <v>0</v>
      </c>
      <c r="AH503" s="166">
        <f>IF(OR($I503="",$E503=0),0,IF(OR($J503&lt;AH$3,$I503&gt;AH$2),0,IF($K503=0,IF(AND($I503&gt;=AH$3,$I503&lt;=AH$2),$E503,0),$E503*NETWORKDAYS(MAX($I503,AH$3),MIN($J503,AH$2),Data!$K$4:$K$203)/$K503)))</f>
        <v>0</v>
      </c>
      <c r="AI503" s="166">
        <f>SUM(W503:AH503)</f>
        <v>0</v>
      </c>
      <c r="BZ503" t="str">
        <f>IF(D503=1,IF(TRIM(INDEX(Charge!$K:$K,ROW()))&lt;&gt;"",TRIM(INDEX(Charge!$K:$K,ROW())),IF(TRIM(INDEX(Charge!$L:$L,ROW()))&lt;&gt;"",TRIM(INDEX(Charge!$L:$L,ROW())),"(non affecté)")),"")</f>
        <v/>
      </c>
      <c r="CA503" t="str">
        <f>IF(AND($CD$4&lt;&gt;"",BZ503=$CD$4),COUNTIFS($BZ$4:$BZ$503,$CD$4,$L$4:$L$503,"&lt;"&amp;L503)+1,"")</f>
        <v/>
      </c>
      <c r="EM503" t="str">
        <f>IF(D503=1,IF(TRIM(INDEX(Charge!$K:$K,ROW()))&lt;&gt;"","Interne",IF(TRIM(INDEX(Charge!$L:$L,ROW()))&lt;&gt;"","Externe","Non affecté")),"")</f>
        <v/>
      </c>
      <c r="EN503" t="str">
        <f>IF(D503=1,LEFT(SUBSTITUTE(SUBSTITUTE(SUBSTITUTE(TRIM(SUBSTITUTE(INDEX(Charge!$B:$B,ROW()),CHAR(160)," "))&amp;" | "&amp;TRIM(SUBSTITUTE(INDEX(Charge!$C:$C,ROW()),CHAR(160)," "))&amp;" | "&amp;TRIM(SUBSTITUTE(INDEX(Charge!$D:$D,ROW()),CHAR(160)," ")),"~","-"),"*","+"),"?","!"),240),"")</f>
        <v/>
      </c>
      <c r="EO503">
        <f>IF(EN503="",0,IF(COUNTIF($EN$4:EN503,EN503)=1,1,0))</f>
        <v>0</v>
      </c>
      <c r="EP503" s="166" t="str">
        <f>IF(EO503=1,ROUND(SUMIF($EN$4:$EN$503,EN503,$E$4:$E$503),2),"")</f>
        <v/>
      </c>
      <c r="EQ503" t="str">
        <f>IF(EO503=1,COUNTIFS($EO$4:$EO$503,1,$EP$4:$EP$503,"&gt;"&amp;EP503)+COUNTIFS($EO$4:EO503,1,$EP$4:EP503,EP503),"")</f>
        <v/>
      </c>
      <c r="ER503" t="str">
        <f>IF(EO503=1,COUNTIFS($EN$4:$EN$503,EN503,$EM$4:$EM$503,"Interne",$FE$4:$FE$503,1),"")</f>
        <v/>
      </c>
      <c r="ES503" t="str">
        <f>IF(EO503=1,COUNTIFS($EN$4:$EN$503,EN503,$EM$4:$EM$503,"Externe",$FE$4:$FE$503,1),"")</f>
        <v/>
      </c>
      <c r="ET503" t="str">
        <f>IF(EO503=1,IF(ER503+ES503=0,"à affecter",IF(ER503=0,ES503&amp;" ext.",(ER503+ES503)&amp;IF(ES503&gt;0," dont "&amp;ES503&amp;" ext.",""))&amp;IF(COUNTIFS($EN$4:$EN$503,EN503,$EM$4:$EM$503,"Non affecté")&gt;0," + à affecter","")),"")</f>
        <v/>
      </c>
      <c r="EU503" s="170" t="str">
        <f>IF(EO503=1,IF(EP503&gt;0,SUMPRODUCT(($EN$4:$EN$503=EN503)*$E$4:$E$503*$C$4:$C$503)/EP503,AVERAGEIF($EN$4:$EN$503,EN503,$C$4:$C$503)),"")</f>
        <v/>
      </c>
      <c r="EV503" s="165">
        <f>IF(ISNUMBER(I503),I503,2958465)</f>
        <v>2958465.0</v>
      </c>
      <c r="EW503" s="165" t="str">
        <f>IF(EO503=1,SUMPRODUCT(MIN(($EN$4:$EN$503=EN503)*$EV$4:$EV$503+($EN$4:$EN$503&lt;&gt;EN503)*2958465)),"")</f>
        <v/>
      </c>
      <c r="EX503" s="165">
        <f>IF(AND(D503=1,ISNUMBER(INDEX(Charge!$F:$F,ROW()))),INDEX(Charge!$F:$F,ROW()),0)</f>
        <v>0.0</v>
      </c>
      <c r="EY503" s="165" t="str">
        <f>IF(EO503=1,SUMPRODUCT(MAX(($EN$4:$EN$503=EN503)*$EX$4:$EX$503)),"")</f>
        <v/>
      </c>
      <c r="FD503">
        <f>IF(AND(B503=1,TRIM(INDEX(Charge!$K:$K,ROW()))&lt;&gt;"",TRIM(INDEX(Charge!$L:$L,ROW()))&lt;&gt;""),1,0)</f>
        <v>0</v>
      </c>
      <c r="FE503">
        <f>IF(OR(EN503="",BZ503="(non affecté)"),0,IF(COUNTIFS($EN$4:EN503,EN503,$BZ$4:BZ503,BZ503)=1,1,0))</f>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2026-10-18T20:31:53Z</dcterms:created>
  <dcterms:modified xmlns:dcterms="http://purl.org/dc/terms/" xmlns:xsi="http://www.w3.org/2001/XMLSchema-instance" xsi:type="dcterms:W3CDTF">2026-10-18T20:31:59Z</dcterms:modified>
</cp:coreProperties>
</file>