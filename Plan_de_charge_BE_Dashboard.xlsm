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drawings/drawing3.xml" ContentType="application/vnd.openxmlformats-officedocument.drawing+xml"/>
  <Override PartName="/xl/drawings/drawing4.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aide_Dashboard">Calculs!$AL$28</definedName>
    <definedName name="aide_Dessinateurs">Calculs!$AL$29</definedName>
    <definedName name="aide_Charge">Calculs!$AL$30</definedName>
    <definedName name="aide_Data">Calculs!$AL$31</definedName>
    <definedName name="macros_actives">Calculs!$AL$32</definedName>
    <definedName name="lst_Ressources">OFFSET(Calculs!$FA$4,0,0,MAX(1,Calculs!$CD$23+Calculs!$CD$26),1)</definedName>
    <definedName name="edite_Dashboard">Dashboard!$AT$3</definedName>
    <definedName name="lignes_pdf_Dashboard">Dashboard!$A$5:$A$7</definedName>
    <definedName name="lignes_masquables_Dashboard_1">Dashboard!$B$60:$B$159</definedName>
    <definedName name="lignes_masquables_Dashboard_2">Dashboard!$B$161:$B$166</definedName>
    <definedName name="edite_Dessinateurs">Dessinateurs!$AT$3</definedName>
    <definedName name="lignes_pdf_Dessinateurs">Dessinateurs!$A$5:$A$7</definedName>
    <definedName name="p_Dessinateur">Dessinateurs!$G$6</definedName>
    <definedName name="lignes_masquables_Dessinateurs_1">Dessinateurs!$B$51:$B$66</definedName>
    <definedName name="lignes_masquables_Dessinateurs_2">Dessinateurs!$C$73:$C$88</definedName>
    <definedName name="lignes_masquables_Dessinateurs_3">Dessinateurs!$B$93:$B$96</definedName>
    <definedName name="lignes_masquables_Charge_1">Charge!$A$2</definedName>
    <definedName name="lignes_masquables_Data_1">Data!$A$2</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Titles" localSheetId="2">'Dashboard'!$1:$1</definedName>
    <definedName name="_xlnm.Print_Area" localSheetId="2">'Dashboard'!$A$1:$BI$167</definedName>
    <definedName name="_xlnm.Print_Titles" localSheetId="3">'Dessinateurs'!$1:$1</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ur &quot;#,##0&quot; h au total pour cette affaire&quot;"/>
    <numFmt numFmtId="177" formatCode="0&quot; mois&quot;"/>
    <numFmt numFmtId="178" formatCode="&quot;Capacité projets : &quot;#,##0&quot; h/mois&quot;"/>
    <numFmt numFmtId="179" formatCode="[&gt;2]&quot;Dès &quot;MMMM YYYY;&quot;Pic à &quot;0%&quot; de la capacité&quot;"/>
    <numFmt numFmtId="180" formatCode="&quot;en &quot;MMMM YYYY"/>
    <numFmt numFmtId="181" formatCode="&quot;dont &quot;0&quot; hors délai (besoin dépassé)&quot;"/>
    <numFmt numFmtId="182" formatCode="0&quot; en retard de plus de 15 pts&quot;"/>
    <numFmt numFmtId="183" formatCode="&quot;réparties sur &quot;0&quot; projet(s)&quot;"/>
    <numFmt numFmtId="184" formatCode="&quot;Moyenne simple par affaire : &quot;0%"/>
    <numFmt numFmtId="185" formatCode="&quot;Capacité projets de l'équipe : &quot;#,##0&quot; h/mois&quot;"/>
    <numFmt numFmtId="186" formatCode="&quot;12 mois à partir de &quot;MMMM YYYY"/>
    <numFmt numFmtId="187" formatCode="&quot;Hors période ou sans date de début : &quot;#,##0&quot; h&quot;;;&quot;Toute la charge est visible sur la période&quot;"/>
    <numFmt numFmtId="188" formatCode="#,##0&quot; h/mois&quot;"/>
    <numFmt numFmtId="189" formatCode="&quot;12 mois dès &quot;MMMM YYYY"/>
    <numFmt numFmtId="190" formatCode="&quot;dont &quot;#,##0&quot; h de charge fixe&quot;"/>
    <numFmt numFmtId="191" formatCode="&quot;soit &quot;#,##0&quot; h/mois pour les projets&quot;"/>
    <numFmt numFmtId="192" formatCode="&quot;sur &quot;0&quot; affaire(s)&quot;"/>
    <numFmt numFmtId="193" formatCode="&quot;dont &quot;#,##0&quot; h sur 12 mois&quot;"/>
    <numFmt numFmtId="194" formatCode="#,##0&quot; h au total (fixe + projets)&quot;"/>
    <numFmt numFmtId="195" formatCode="0%&quot; de la capacité&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B42318"/>
      <sz val="9"/>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b val="1"/>
      <color rgb="006B7280"/>
      <sz val="9"/>
    </font>
    <font>
      <name val="Arial"/>
      <b val="1"/>
      <color rgb="001F4E9A"/>
      <sz val="10"/>
    </font>
    <font>
      <name val="Arial"/>
      <i val="1"/>
      <color rgb="009CA3AF"/>
      <sz val="7"/>
    </font>
    <font>
      <name val="Arial"/>
      <b val="1"/>
      <color rgb="001F2A44"/>
      <sz val="11"/>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color rgb="001F2937"/>
      <sz val="8.5"/>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b val="1"/>
      <color rgb="001F2A44"/>
      <sz val="16"/>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EF1F5"/>
        <bgColor rgb="00EEF1F5"/>
      </patternFill>
    </fill>
    <fill>
      <patternFill patternType="solid">
        <fgColor rgb="00FFFFFF"/>
        <bgColor rgb="00FFFFFF"/>
      </patternFill>
    </fill>
    <fill>
      <patternFill patternType="solid">
        <fgColor rgb="00EAF2FD"/>
        <bgColor rgb="00EAF2FD"/>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style="thin">
        <color rgb="008FB3E6"/>
      </left>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7">
    <xf numFmtId="0" fontId="0" fillId="0" borderId="0" pivotButton="0" quotePrefix="0" xfId="0"/>
    <xf numFmtId="0" fontId="1" fillId="0" borderId="0" pivotButton="0" quotePrefix="0" xfId="0"/>
    <xf numFmtId="0" fontId="7" fillId="0" borderId="0" applyAlignment="1" pivotButton="0" quotePrefix="0" xfId="0">
      <alignment horizontal="left" vertical="center" wrapText="1"/>
    </xf>
    <xf numFmtId="0" fontId="2" fillId="0" borderId="0" applyAlignment="1" pivotButton="0" quotePrefix="0" xfId="0">
      <alignment vertical="top" wrapText="1"/>
    </xf>
    <xf numFmtId="0" fontId="5" fillId="4" borderId="2" applyAlignment="1" pivotButton="0" quotePrefix="0" xfId="0">
      <alignment horizontal="center" vertical="center" wrapText="1"/>
    </xf>
    <xf numFmtId="0" fontId="5" fillId="2" borderId="2" applyAlignment="1" pivotButton="0" quotePrefix="0" xfId="0">
      <alignment horizontal="center" vertical="center" wrapText="1"/>
    </xf>
    <xf numFmtId="0" fontId="6" fillId="0" borderId="3" applyAlignment="1" pivotButton="0" quotePrefix="0" xfId="0">
      <alignment vertical="top"/>
    </xf>
    <xf numFmtId="165" fontId="6" fillId="0" borderId="3" applyAlignment="1" pivotButton="0" quotePrefix="0" xfId="0">
      <alignment horizontal="center" vertical="top"/>
    </xf>
    <xf numFmtId="0" fontId="6" fillId="0" borderId="3" applyAlignment="1" pivotButton="0" quotePrefix="0" xfId="0">
      <alignment vertical="top" wrapText="1"/>
    </xf>
    <xf numFmtId="0" fontId="6" fillId="0" borderId="3" applyAlignment="1" pivotButton="0" quotePrefix="0" xfId="0">
      <alignment horizontal="center" vertical="top"/>
    </xf>
    <xf numFmtId="9" fontId="6" fillId="0" borderId="3"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6" borderId="0" pivotButton="0" quotePrefix="0" xfId="0"/>
    <xf numFmtId="0" fontId="0" fillId="4" borderId="0" pivotButton="0" quotePrefix="0" xfId="0"/>
    <xf numFmtId="0" fontId="10" fillId="4" borderId="0" applyAlignment="1" pivotButton="0" quotePrefix="0" xfId="0">
      <alignment horizontal="left" vertical="center"/>
    </xf>
    <xf numFmtId="0" fontId="6" fillId="4" borderId="0" applyAlignment="1" pivotButton="0" quotePrefix="0" xfId="0">
      <alignment horizontal="left" vertical="center"/>
    </xf>
    <xf numFmtId="0" fontId="11" fillId="4" borderId="0" applyAlignment="1" pivotButton="0" quotePrefix="0" xfId="0">
      <alignment horizontal="left" vertical="center"/>
    </xf>
    <xf numFmtId="171" fontId="12" fillId="4" borderId="0" applyAlignment="1" pivotButton="0" quotePrefix="0" xfId="0">
      <alignment horizontal="right" vertical="center"/>
    </xf>
    <xf numFmtId="0" fontId="11" fillId="4" borderId="0" applyAlignment="1" pivotButton="0" quotePrefix="0" xfId="0">
      <alignment horizontal="left" vertical="center" shrinkToFit="1"/>
    </xf>
    <xf numFmtId="0" fontId="5" fillId="4" borderId="0" applyAlignment="1" pivotButton="0" quotePrefix="0" xfId="0">
      <alignment horizontal="right" vertical="center"/>
    </xf>
    <xf numFmtId="0" fontId="13" fillId="7" borderId="4" applyAlignment="1" pivotButton="0" quotePrefix="0" xfId="0">
      <alignment horizontal="right" vertical="center" indent="1"/>
    </xf>
    <xf numFmtId="0" fontId="0" fillId="0" borderId="10" pivotButton="0" quotePrefix="0" xfId="0"/>
    <xf numFmtId="0" fontId="14" fillId="8" borderId="14" applyAlignment="1" pivotButton="0" quotePrefix="0" xfId="0">
      <alignment horizontal="center" vertical="center"/>
    </xf>
    <xf numFmtId="0" fontId="0" fillId="0" borderId="17" pivotButton="0" quotePrefix="0" xfId="0"/>
    <xf numFmtId="0" fontId="0" fillId="0" borderId="18" pivotButton="0" quotePrefix="0" xfId="0"/>
    <xf numFmtId="0" fontId="0" fillId="7" borderId="5" pivotButton="0" quotePrefix="0" xfId="0"/>
    <xf numFmtId="0" fontId="13" fillId="7" borderId="5" applyAlignment="1" pivotButton="0" quotePrefix="0" xfId="0">
      <alignment horizontal="right" vertical="center" indent="1"/>
    </xf>
    <xf numFmtId="172" fontId="14" fillId="8" borderId="14" applyAlignment="1" pivotButton="0" quotePrefix="0" xfId="0">
      <alignment horizontal="center" vertical="center"/>
    </xf>
    <xf numFmtId="174" fontId="14" fillId="8" borderId="14" applyAlignment="1" pivotButton="0" quotePrefix="0" xfId="0">
      <alignment horizontal="center" vertical="center"/>
    </xf>
    <xf numFmtId="0" fontId="0" fillId="7" borderId="7" pivotButton="0" quotePrefix="0" xfId="0"/>
    <xf numFmtId="0" fontId="0" fillId="7" borderId="8" pivotButton="0" quotePrefix="0" xfId="0"/>
    <xf numFmtId="0" fontId="15" fillId="7" borderId="8" applyAlignment="1" pivotButton="0" quotePrefix="0" xfId="0">
      <alignment horizontal="center" vertical="top" shrinkToFit="1"/>
    </xf>
    <xf numFmtId="0" fontId="0" fillId="0" borderId="19" pivotButton="0" quotePrefix="0" xfId="0"/>
    <xf numFmtId="173" fontId="15" fillId="7" borderId="8" applyAlignment="1" pivotButton="0" quotePrefix="0" xfId="0">
      <alignment horizontal="center" vertical="top" shrinkToFit="1"/>
    </xf>
    <xf numFmtId="0" fontId="15" fillId="7" borderId="9" applyAlignment="1" pivotButton="0" quotePrefix="0" xfId="0">
      <alignment horizontal="center" vertical="top" shrinkToFit="1"/>
    </xf>
    <xf numFmtId="0" fontId="0" fillId="0" borderId="21" pivotButton="0" quotePrefix="0" xfId="0"/>
    <xf numFmtId="0" fontId="16" fillId="6" borderId="22" applyAlignment="1" pivotButton="0" quotePrefix="0" xfId="0">
      <alignment vertical="bottom"/>
    </xf>
    <xf numFmtId="0" fontId="0" fillId="6" borderId="22" pivotButton="0" quotePrefix="0" xfId="0"/>
    <xf numFmtId="0" fontId="7" fillId="6" borderId="22" applyAlignment="1" pivotButton="0" quotePrefix="0" xfId="0">
      <alignment horizontal="right" vertical="bottom" shrinkToFit="1"/>
    </xf>
    <xf numFmtId="0" fontId="0" fillId="0" borderId="23" pivotButton="0" quotePrefix="0" xfId="0"/>
    <xf numFmtId="0" fontId="0" fillId="7" borderId="4" pivotButton="0" quotePrefix="0" xfId="0"/>
    <xf numFmtId="0" fontId="0" fillId="7" borderId="6" pivotButton="0" quotePrefix="0" xfId="0"/>
    <xf numFmtId="0" fontId="0" fillId="4" borderId="28" pivotButton="0" quotePrefix="0" xfId="0"/>
    <xf numFmtId="0" fontId="0" fillId="4" borderId="29" pivotButton="0" quotePrefix="0" xfId="0"/>
    <xf numFmtId="0" fontId="0" fillId="4" borderId="30" pivotButton="0" quotePrefix="0" xfId="0"/>
    <xf numFmtId="0" fontId="0" fillId="7" borderId="24" pivotButton="0" quotePrefix="0" xfId="0"/>
    <xf numFmtId="0" fontId="13" fillId="7" borderId="25" applyAlignment="1" pivotButton="0" quotePrefix="0" xfId="0">
      <alignment horizontal="left" vertical="center"/>
    </xf>
    <xf numFmtId="0" fontId="0" fillId="7"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7" borderId="25" applyAlignment="1" pivotButton="0" quotePrefix="0" xfId="0">
      <alignment horizontal="left" vertical="center"/>
    </xf>
    <xf numFmtId="174" fontId="17" fillId="7" borderId="25" applyAlignment="1" pivotButton="0" quotePrefix="0" xfId="0">
      <alignment horizontal="left" vertical="center"/>
    </xf>
    <xf numFmtId="174" fontId="23" fillId="4" borderId="25" applyAlignment="1" pivotButton="0" quotePrefix="0" xfId="0">
      <alignment horizontal="left" vertical="center"/>
    </xf>
    <xf numFmtId="0" fontId="18" fillId="7" borderId="25" applyAlignment="1" pivotButton="0" quotePrefix="0" xfId="0">
      <alignment horizontal="left" vertical="center"/>
    </xf>
    <xf numFmtId="175" fontId="18" fillId="7" borderId="25" applyAlignment="1" pivotButton="0" quotePrefix="0" xfId="0">
      <alignment horizontal="left" vertical="center"/>
    </xf>
    <xf numFmtId="176" fontId="24" fillId="4" borderId="25" applyAlignment="1" pivotButton="0" quotePrefix="0" xfId="0">
      <alignment horizontal="left" vertical="center"/>
    </xf>
    <xf numFmtId="0" fontId="0" fillId="7" borderId="27" pivotButton="0" quotePrefix="0" xfId="0"/>
    <xf numFmtId="0" fontId="0" fillId="4" borderId="37" pivotButton="0" quotePrefix="0" xfId="0"/>
    <xf numFmtId="0" fontId="19" fillId="7" borderId="25" applyAlignment="1" pivotButton="0" quotePrefix="0" xfId="0">
      <alignment horizontal="left" vertical="center"/>
    </xf>
    <xf numFmtId="174" fontId="9" fillId="7" borderId="25" applyAlignment="1" pivotButton="0" quotePrefix="0" xfId="0">
      <alignment horizontal="right" vertical="center"/>
    </xf>
    <xf numFmtId="0" fontId="0" fillId="9" borderId="36" pivotButton="0" quotePrefix="0" xfId="0"/>
    <xf numFmtId="174" fontId="20" fillId="7"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7" borderId="25" pivotButton="0" quotePrefix="0" xfId="0"/>
    <xf numFmtId="0" fontId="0" fillId="12" borderId="36" pivotButton="0" quotePrefix="0" xfId="0"/>
    <xf numFmtId="0" fontId="21" fillId="7"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7" borderId="9" pivotButton="0" quotePrefix="0" xfId="0"/>
    <xf numFmtId="0" fontId="0" fillId="4" borderId="33" pivotButton="0" quotePrefix="0" xfId="0"/>
    <xf numFmtId="0" fontId="0" fillId="4" borderId="34" pivotButton="0" quotePrefix="0" xfId="0"/>
    <xf numFmtId="0" fontId="0" fillId="4" borderId="35" pivotButton="0" quotePrefix="0" xfId="0"/>
    <xf numFmtId="0" fontId="0" fillId="7" borderId="38" pivotButton="0" quotePrefix="0" xfId="0"/>
    <xf numFmtId="0" fontId="0" fillId="7" borderId="39" pivotButton="0" quotePrefix="0" xfId="0"/>
    <xf numFmtId="0" fontId="0" fillId="7" borderId="40" pivotButton="0" quotePrefix="0" xfId="0"/>
    <xf numFmtId="177" fontId="27" fillId="7" borderId="25" applyAlignment="1" pivotButton="0" quotePrefix="0" xfId="0">
      <alignment horizontal="left" vertical="center" shrinkToFit="1"/>
    </xf>
    <xf numFmtId="174" fontId="27" fillId="7" borderId="25" applyAlignment="1" pivotButton="0" quotePrefix="0" xfId="0">
      <alignment horizontal="left" vertical="center" shrinkToFit="1"/>
    </xf>
    <xf numFmtId="1" fontId="27" fillId="7" borderId="25" applyAlignment="1" pivotButton="0" quotePrefix="0" xfId="0">
      <alignment horizontal="left" vertical="center" shrinkToFit="1"/>
    </xf>
    <xf numFmtId="9" fontId="27" fillId="7" borderId="25" applyAlignment="1" pivotButton="0" quotePrefix="0" xfId="0">
      <alignment horizontal="left" vertical="center" shrinkToFit="1"/>
    </xf>
    <xf numFmtId="178" fontId="18" fillId="7" borderId="25" applyAlignment="1" pivotButton="0" quotePrefix="0" xfId="0">
      <alignment horizontal="left" vertical="center" shrinkToFit="1"/>
    </xf>
    <xf numFmtId="180" fontId="18" fillId="7" borderId="25" applyAlignment="1" pivotButton="0" quotePrefix="0" xfId="0">
      <alignment horizontal="left" vertical="center" shrinkToFit="1"/>
    </xf>
    <xf numFmtId="181" fontId="18" fillId="7" borderId="25" applyAlignment="1" pivotButton="0" quotePrefix="0" xfId="0">
      <alignment horizontal="left" vertical="center" shrinkToFit="1"/>
    </xf>
    <xf numFmtId="183" fontId="18" fillId="7" borderId="25" applyAlignment="1" pivotButton="0" quotePrefix="0" xfId="0">
      <alignment horizontal="left" vertical="center" shrinkToFit="1"/>
    </xf>
    <xf numFmtId="0" fontId="18" fillId="7" borderId="25" applyAlignment="1" pivotButton="0" quotePrefix="0" xfId="0">
      <alignment horizontal="left" vertical="center" shrinkToFit="1"/>
    </xf>
    <xf numFmtId="179" fontId="18" fillId="7" borderId="25" applyAlignment="1" pivotButton="0" quotePrefix="0" xfId="0">
      <alignment horizontal="left" vertical="center" shrinkToFit="1"/>
    </xf>
    <xf numFmtId="182" fontId="18" fillId="7" borderId="25" applyAlignment="1" pivotButton="0" quotePrefix="0" xfId="0">
      <alignment horizontal="left" vertical="center" shrinkToFit="1"/>
    </xf>
    <xf numFmtId="184" fontId="18" fillId="7" borderId="25" applyAlignment="1" pivotButton="0" quotePrefix="0" xfId="0">
      <alignment horizontal="left" vertical="center" shrinkToFit="1"/>
    </xf>
    <xf numFmtId="0" fontId="0" fillId="7" borderId="41" pivotButton="0" quotePrefix="0" xfId="0"/>
    <xf numFmtId="185" fontId="28" fillId="7" borderId="25" applyAlignment="1" pivotButton="0" quotePrefix="0" xfId="0">
      <alignment horizontal="right" vertical="center" shrinkToFit="1"/>
    </xf>
    <xf numFmtId="186" fontId="18" fillId="7" borderId="25" applyAlignment="1" pivotButton="0" quotePrefix="0" xfId="0">
      <alignment horizontal="left" vertical="center"/>
    </xf>
    <xf numFmtId="187" fontId="18" fillId="7" borderId="25" applyAlignment="1" pivotButton="0" quotePrefix="0" xfId="0">
      <alignment horizontal="right" vertical="center"/>
    </xf>
    <xf numFmtId="0" fontId="21" fillId="7" borderId="25" applyAlignment="1" pivotButton="0" quotePrefix="0" xfId="0">
      <alignment horizontal="right" vertical="center"/>
    </xf>
    <xf numFmtId="0" fontId="30" fillId="7" borderId="25" applyAlignment="1" pivotButton="0" quotePrefix="0" xfId="0">
      <alignment horizontal="left" vertical="center"/>
    </xf>
    <xf numFmtId="3" fontId="9" fillId="7" borderId="25" applyAlignment="1" pivotButton="0" quotePrefix="0" xfId="0">
      <alignment horizontal="right" vertical="center"/>
    </xf>
    <xf numFmtId="9" fontId="9" fillId="7" borderId="25" applyAlignment="1" pivotButton="0" quotePrefix="0" xfId="0">
      <alignment horizontal="right" vertical="center"/>
    </xf>
    <xf numFmtId="174" fontId="29" fillId="7" borderId="25" applyAlignment="1" pivotButton="0" quotePrefix="0" xfId="0">
      <alignment horizontal="center" vertical="bottom"/>
    </xf>
    <xf numFmtId="0" fontId="9" fillId="7"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9" fillId="6" borderId="0" applyAlignment="1" pivotButton="0" quotePrefix="0" xfId="0">
      <alignment horizontal="center" vertical="center"/>
    </xf>
    <xf numFmtId="0" fontId="31" fillId="6" borderId="0" applyAlignment="1" pivotButton="0" quotePrefix="0" xfId="0">
      <alignment horizontal="left" vertical="center" indent="1"/>
    </xf>
    <xf numFmtId="0" fontId="30" fillId="6" borderId="0" applyAlignment="1" pivotButton="0" quotePrefix="0" xfId="0">
      <alignment horizontal="left" vertical="center" indent="1"/>
    </xf>
    <xf numFmtId="0" fontId="30" fillId="6" borderId="0" applyAlignment="1" pivotButton="0" quotePrefix="0" xfId="0">
      <alignment horizontal="center" vertical="center" shrinkToFit="1"/>
    </xf>
    <xf numFmtId="3" fontId="30" fillId="6" borderId="0" applyAlignment="1" pivotButton="0" quotePrefix="0" xfId="0">
      <alignment horizontal="right" vertical="center" indent="1"/>
    </xf>
    <xf numFmtId="169" fontId="30" fillId="6" borderId="0" applyAlignment="1" pivotButton="0" quotePrefix="0" xfId="0">
      <alignment horizontal="right" vertical="center" indent="1"/>
    </xf>
    <xf numFmtId="9" fontId="30" fillId="6" borderId="0" applyAlignment="1" pivotButton="0" quotePrefix="0" xfId="0">
      <alignment horizontal="right" vertical="center" indent="1"/>
    </xf>
    <xf numFmtId="165" fontId="30" fillId="6" borderId="0" applyAlignment="1" pivotButton="0" quotePrefix="0" xfId="0">
      <alignment horizontal="center" vertical="center"/>
    </xf>
    <xf numFmtId="0" fontId="32" fillId="6" borderId="0" applyAlignment="1" pivotButton="0" quotePrefix="0" xfId="0">
      <alignment horizontal="left" vertical="center"/>
    </xf>
    <xf numFmtId="0" fontId="33" fillId="6" borderId="0" applyAlignment="1" pivotButton="0" quotePrefix="0" xfId="0">
      <alignment horizontal="left" vertical="center"/>
    </xf>
    <xf numFmtId="0" fontId="34" fillId="8" borderId="14" applyAlignment="1" pivotButton="0" quotePrefix="0" xfId="0">
      <alignment horizontal="center" vertical="center"/>
    </xf>
    <xf numFmtId="174" fontId="35" fillId="7" borderId="5" applyAlignment="1" pivotButton="0" quotePrefix="0" xfId="0">
      <alignment horizontal="left" vertical="center"/>
    </xf>
    <xf numFmtId="188" fontId="35" fillId="7" borderId="5" applyAlignment="1" pivotButton="0" quotePrefix="0" xfId="0">
      <alignment horizontal="left" vertical="center"/>
    </xf>
    <xf numFmtId="189" fontId="13" fillId="7" borderId="5" applyAlignment="1" pivotButton="0" quotePrefix="0" xfId="0">
      <alignment horizontal="right" vertical="center"/>
    </xf>
    <xf numFmtId="0" fontId="15" fillId="7" borderId="8" applyAlignment="1" pivotButton="0" quotePrefix="0" xfId="0">
      <alignment horizontal="right" vertical="top"/>
    </xf>
    <xf numFmtId="172" fontId="36" fillId="7" borderId="25" applyAlignment="1" pivotButton="0" quotePrefix="0" xfId="0">
      <alignment horizontal="left" vertical="center" shrinkToFit="1"/>
    </xf>
    <xf numFmtId="190" fontId="18" fillId="7" borderId="25" applyAlignment="1" pivotButton="0" quotePrefix="0" xfId="0">
      <alignment horizontal="left" vertical="center" shrinkToFit="1"/>
    </xf>
    <xf numFmtId="192" fontId="18" fillId="7" borderId="25" applyAlignment="1" pivotButton="0" quotePrefix="0" xfId="0">
      <alignment horizontal="left" vertical="center" shrinkToFit="1"/>
    </xf>
    <xf numFmtId="194" fontId="18" fillId="7" borderId="25" applyAlignment="1" pivotButton="0" quotePrefix="0" xfId="0">
      <alignment horizontal="left" vertical="center" shrinkToFit="1"/>
    </xf>
    <xf numFmtId="196" fontId="18" fillId="7" borderId="25" applyAlignment="1" pivotButton="0" quotePrefix="0" xfId="0">
      <alignment horizontal="left" vertical="center" shrinkToFit="1"/>
    </xf>
    <xf numFmtId="198" fontId="18" fillId="7" borderId="25" applyAlignment="1" pivotButton="0" quotePrefix="0" xfId="0">
      <alignment horizontal="left" vertical="center" shrinkToFit="1"/>
    </xf>
    <xf numFmtId="191" fontId="18" fillId="7" borderId="25" applyAlignment="1" pivotButton="0" quotePrefix="0" xfId="0">
      <alignment horizontal="left" vertical="center" shrinkToFit="1"/>
    </xf>
    <xf numFmtId="193" fontId="18" fillId="7" borderId="25" applyAlignment="1" pivotButton="0" quotePrefix="0" xfId="0">
      <alignment horizontal="left" vertical="center" shrinkToFit="1"/>
    </xf>
    <xf numFmtId="195" fontId="18" fillId="7" borderId="25" applyAlignment="1" pivotButton="0" quotePrefix="0" xfId="0">
      <alignment horizontal="left" vertical="center" shrinkToFit="1"/>
    </xf>
    <xf numFmtId="197" fontId="18" fillId="7" borderId="25" applyAlignment="1" pivotButton="0" quotePrefix="0" xfId="0">
      <alignment horizontal="left" vertical="center" shrinkToFit="1"/>
    </xf>
    <xf numFmtId="0" fontId="0" fillId="18" borderId="36" pivotButton="0" quotePrefix="0" xfId="0"/>
    <xf numFmtId="0" fontId="28" fillId="7" borderId="25" applyAlignment="1" pivotButton="0" quotePrefix="0" xfId="0">
      <alignment horizontal="left" vertical="center"/>
    </xf>
    <xf numFmtId="0" fontId="0" fillId="19" borderId="36" pivotButton="0" quotePrefix="0" xfId="0"/>
    <xf numFmtId="0" fontId="21" fillId="7" borderId="22" applyAlignment="1" pivotButton="0" quotePrefix="0" xfId="0">
      <alignment horizontal="left" vertical="center"/>
    </xf>
    <xf numFmtId="199" fontId="37" fillId="7" borderId="22" applyAlignment="1" pivotButton="0" quotePrefix="0" xfId="0">
      <alignment horizontal="right" vertical="center"/>
    </xf>
    <xf numFmtId="3" fontId="30" fillId="7" borderId="25" applyAlignment="1" pivotButton="0" quotePrefix="0" xfId="0">
      <alignment horizontal="right" vertical="center"/>
    </xf>
    <xf numFmtId="0" fontId="31" fillId="7" borderId="5" applyAlignment="1" pivotButton="0" quotePrefix="0" xfId="0">
      <alignment horizontal="left" vertical="center"/>
    </xf>
    <xf numFmtId="0" fontId="0" fillId="0" borderId="5" pivotButton="0" quotePrefix="0" xfId="0"/>
    <xf numFmtId="3" fontId="31" fillId="7" borderId="5" applyAlignment="1" pivotButton="0" quotePrefix="0" xfId="0">
      <alignment horizontal="right" vertical="center"/>
    </xf>
    <xf numFmtId="200" fontId="30" fillId="7" borderId="25" applyAlignment="1" pivotButton="0" quotePrefix="0" xfId="0">
      <alignment horizontal="right" vertical="center"/>
    </xf>
    <xf numFmtId="0" fontId="31" fillId="7" borderId="25" applyAlignment="1" pivotButton="0" quotePrefix="0" xfId="0">
      <alignment horizontal="left" vertical="center"/>
    </xf>
    <xf numFmtId="9" fontId="31" fillId="7" borderId="25" applyAlignment="1" pivotButton="0" quotePrefix="0" xfId="0">
      <alignment horizontal="right" vertical="center"/>
    </xf>
    <xf numFmtId="201" fontId="30" fillId="6" borderId="0" applyAlignment="1" pivotButton="0" quotePrefix="0" xfId="0">
      <alignment horizontal="center" vertical="center"/>
    </xf>
    <xf numFmtId="0" fontId="33" fillId="7" borderId="25" applyAlignment="1" pivotButton="0" quotePrefix="0" xfId="0">
      <alignment horizontal="left" vertical="center"/>
    </xf>
    <xf numFmtId="0" fontId="0" fillId="7" borderId="22" pivotButton="0" quotePrefix="0" xfId="0"/>
    <xf numFmtId="199" fontId="37" fillId="7" borderId="22" applyAlignment="1" pivotButton="0" quotePrefix="0" xfId="0">
      <alignment horizontal="center" vertical="center"/>
    </xf>
    <xf numFmtId="0" fontId="30" fillId="7" borderId="25" applyAlignment="1" pivotButton="0" quotePrefix="0" xfId="0">
      <alignment horizontal="left" vertical="center" shrinkToFit="1"/>
    </xf>
    <xf numFmtId="0" fontId="38" fillId="7" borderId="25" applyAlignment="1" pivotButton="0" quotePrefix="0" xfId="0">
      <alignment horizontal="center" vertical="center"/>
    </xf>
    <xf numFmtId="9" fontId="31" fillId="7" borderId="25" applyAlignment="1" pivotButton="0" quotePrefix="0" xfId="0">
      <alignment horizontal="center" vertical="center"/>
    </xf>
    <xf numFmtId="0" fontId="39" fillId="7" borderId="5" applyAlignment="1" pivotButton="0" quotePrefix="0" xfId="0">
      <alignment horizontal="left" vertical="center"/>
    </xf>
    <xf numFmtId="202" fontId="18" fillId="7" borderId="5" applyAlignment="1" pivotButton="0" quotePrefix="0" xfId="0">
      <alignment horizontal="center" vertical="center"/>
    </xf>
    <xf numFmtId="0" fontId="39" fillId="7" borderId="25" applyAlignment="1" pivotButton="0" quotePrefix="0" xfId="0">
      <alignment horizontal="left" vertical="center"/>
    </xf>
    <xf numFmtId="202" fontId="18" fillId="7" borderId="25" applyAlignment="1" pivotButton="0" quotePrefix="0" xfId="0">
      <alignment horizontal="center" vertical="center"/>
    </xf>
    <xf numFmtId="0" fontId="40" fillId="6" borderId="0" applyAlignment="1" pivotButton="0" quotePrefix="0" xfId="0">
      <alignment horizontal="left" vertical="center"/>
    </xf>
    <xf numFmtId="0" fontId="8" fillId="0" borderId="0" pivotButton="0" quotePrefix="0" xfId="0"/>
    <xf numFmtId="0" fontId="2" fillId="0" borderId="0" pivotButton="0" quotePrefix="0" xfId="0"/>
    <xf numFmtId="165" fontId="9"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ont>
        <b val="1"/>
        <color rgb="00B42318"/>
      </font>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ser>
          <idx val="10"/>
          <order val="10"/>
          <tx>
            <strRef>
              <f>Calculs!$AT$14</f>
            </strRef>
          </tx>
          <spPr>
            <a:ln xmlns:a="http://schemas.openxmlformats.org/drawingml/2006/main" w="19050">
              <a:solidFill>
                <a:srgbClr val="1F2937"/>
              </a:solidFill>
              <a:prstDash val="dash"/>
            </a:ln>
          </spPr>
          <marker>
            <symbol val="none"/>
            <spPr>
              <a:ln xmlns:a="http://schemas.openxmlformats.org/drawingml/2006/main">
                <a:prstDash val="solid"/>
              </a:ln>
            </spPr>
          </marker>
          <cat>
            <numRef>
              <f>'Calculs'!$AW$3:$BH$3</f>
            </numRef>
          </cat>
          <val>
            <numRef>
              <f>'Calculs'!$AW$14:$BH$14</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PDF"/>
        <cNvSpPr/>
      </nvSpPr>
      <spPr>
        <a:xfrm>
          <a:off x="115824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15824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3.xml><?xml version="1.0" encoding="utf-8"?>
<xdr:wsDr xmlns:xdr="http://schemas.openxmlformats.org/drawingml/2006/spreadsheetDrawing" xmlns:a="http://schemas.openxmlformats.org/drawingml/2006/main">
  <xdr:twoCellAnchor editAs="oneCell">
    <xdr:from>
      <xdr:col>3</xdr:col>
      <xdr:colOff>28575</xdr:colOff>
      <xdr:row>0</xdr:row>
      <xdr:rowOff>28575</xdr:rowOff>
    </xdr:from>
    <xdr:to>
      <xdr:col>4</xdr:col>
      <xdr:colOff>1304925</xdr:colOff>
      <xdr:row>0</xdr:row>
      <xdr:rowOff>301625</xdr:rowOff>
    </xdr:to>
    <xdr:sp xmlns:a="http://schemas.openxmlformats.org/drawingml/2006/main" macro="[0]!Charge_Aide" textlink="">
      <xdr:nvSpPr>
        <xdr:cNvPr id="2" name="Bouton Charge Aide" descr="Afficher / masquer l'aide"/>
        <xdr:cNvSpPr/>
      </xdr:nvSpPr>
      <xdr:spPr>
        <a:xfrm>
          <a:off x="4029075" y="28575"/>
          <a:ext cx="27432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0</xdr:row>
      <xdr:rowOff>28575</xdr:rowOff>
    </xdr:from>
    <xdr:to>
      <xdr:col>1</xdr:col>
      <xdr:colOff>1971675</xdr:colOff>
      <xdr:row>0</xdr:row>
      <xdr:rowOff>301625</xdr:rowOff>
    </xdr:to>
    <xdr:sp xmlns:a="http://schemas.openxmlformats.org/drawingml/2006/main" macro="[0]!Data_Aide" textlink="">
      <xdr:nvSpPr>
        <xdr:cNvPr id="2" name="Bouton Data Aide" descr="Afficher / masquer l'aide"/>
        <xdr:cNvSpPr/>
      </xdr:nvSpPr>
      <xdr:spPr>
        <a:xfrm>
          <a:off x="2028825" y="28575"/>
          <a:ext cx="19431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6" customHeight="1">
      <c r="A1" s="1" t="inlineStr">
        <is>
          <t>PLAN DE CHARGE — BUREAU D'ÉTUDES</t>
        </is>
      </c>
      <c r="F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8" customHeight="1">
      <c r="A2" s="3"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4" t="inlineStr">
        <is>
          <t>Chef de projet</t>
        </is>
      </c>
      <c r="B3" s="4" t="inlineStr">
        <is>
          <t>Nom du projet</t>
        </is>
      </c>
      <c r="C3" s="4" t="inlineStr">
        <is>
          <t>Sous-projet</t>
        </is>
      </c>
      <c r="D3" s="4" t="inlineStr">
        <is>
          <t>Produit</t>
        </is>
      </c>
      <c r="E3" s="4" t="inlineStr">
        <is>
          <t>Type</t>
        </is>
      </c>
      <c r="F3" s="4" t="inlineStr">
        <is>
          <t>Date de besoin</t>
        </is>
      </c>
      <c r="G3" s="4" t="inlineStr">
        <is>
          <t>Description du projet</t>
        </is>
      </c>
      <c r="H3" s="4" t="inlineStr">
        <is>
          <t>Contraintes, spécifications, délais, budget</t>
        </is>
      </c>
      <c r="I3" s="4" t="inlineStr">
        <is>
          <t>Autres informations pertinentes / suggestions d'optimisation des ressources</t>
        </is>
      </c>
      <c r="J3" s="5" t="inlineStr">
        <is>
          <t>Coordinateur</t>
        </is>
      </c>
      <c r="K3" s="5" t="inlineStr">
        <is>
          <t>Dessinateur projeteur (interne)</t>
        </is>
      </c>
      <c r="L3" s="5" t="inlineStr">
        <is>
          <t>OU ressource externe</t>
        </is>
      </c>
      <c r="M3" s="5" t="inlineStr">
        <is>
          <t>Heures de cette ressource (h)</t>
        </is>
      </c>
      <c r="N3" s="5" t="inlineStr">
        <is>
          <t>Date de début planifiée</t>
        </is>
      </c>
      <c r="O3" s="5" t="inlineStr">
        <is>
          <t>Taux d'avancement</t>
        </is>
      </c>
    </row>
    <row r="4">
      <c r="A4" s="6" t="inlineStr">
        <is>
          <t>Julie Martin</t>
        </is>
      </c>
      <c r="B4" s="6" t="inlineStr">
        <is>
          <t>ATLAS</t>
        </is>
      </c>
      <c r="C4" s="6" t="inlineStr">
        <is>
          <t>Lot 1 – Structure</t>
        </is>
      </c>
      <c r="D4" s="6" t="inlineStr">
        <is>
          <t>Châssis principal</t>
        </is>
      </c>
      <c r="E4" s="6" t="inlineStr">
        <is>
          <t>Étude de conception</t>
        </is>
      </c>
      <c r="F4" s="7" t="n">
        <v>46477</v>
      </c>
      <c r="G4" s="8" t="inlineStr">
        <is>
          <t>Conception du châssis mécano-soudé de la nouvelle gamme</t>
        </is>
      </c>
      <c r="H4" s="8" t="inlineStr">
        <is>
          <t>Masse &lt; 450 kg ; budget étude 60 k€</t>
        </is>
      </c>
      <c r="I4" s="8" t="inlineStr">
        <is>
          <t>Mutualiser les calculs RDM avec le lot 2</t>
        </is>
      </c>
      <c r="J4" s="6" t="inlineStr">
        <is>
          <t>Marc Dubois</t>
        </is>
      </c>
      <c r="K4" s="6" t="inlineStr">
        <is>
          <t>Lucas Garnier</t>
        </is>
      </c>
      <c r="L4" s="6" t="n"/>
      <c r="M4" s="9" t="n">
        <v>300</v>
      </c>
      <c r="N4" s="7" t="n">
        <v>46328</v>
      </c>
      <c r="O4" s="10" t="n">
        <v>0.15</v>
      </c>
    </row>
    <row r="5">
      <c r="A5" s="6" t="inlineStr">
        <is>
          <t>Julie Martin</t>
        </is>
      </c>
      <c r="B5" s="6" t="inlineStr">
        <is>
          <t>ATLAS</t>
        </is>
      </c>
      <c r="C5" s="6" t="inlineStr">
        <is>
          <t>Lot 1 – Structure</t>
        </is>
      </c>
      <c r="D5" s="6" t="inlineStr">
        <is>
          <t>Châssis principal</t>
        </is>
      </c>
      <c r="E5" s="6" t="inlineStr">
        <is>
          <t>Étude de conception</t>
        </is>
      </c>
      <c r="F5" s="7" t="n">
        <v>46477</v>
      </c>
      <c r="G5" s="8" t="inlineStr">
        <is>
          <t>Conception du châssis mécano-soudé de la nouvelle gamme</t>
        </is>
      </c>
      <c r="H5" s="8" t="inlineStr">
        <is>
          <t>Masse &lt; 450 kg ; budget étude 60 k€</t>
        </is>
      </c>
      <c r="I5" s="8" t="inlineStr">
        <is>
          <t>Mutualiser les calculs RDM avec le lot 2</t>
        </is>
      </c>
      <c r="J5" s="6" t="inlineStr">
        <is>
          <t>Marc Dubois</t>
        </is>
      </c>
      <c r="K5" s="6" t="n"/>
      <c r="L5" s="6" t="inlineStr">
        <is>
          <t>Paul Girard</t>
        </is>
      </c>
      <c r="M5" s="9" t="n">
        <v>120</v>
      </c>
      <c r="N5" s="7" t="n">
        <v>46328</v>
      </c>
      <c r="O5" s="10" t="n">
        <v>0</v>
      </c>
    </row>
    <row r="6">
      <c r="A6" s="6" t="inlineStr">
        <is>
          <t>Julie Martin</t>
        </is>
      </c>
      <c r="B6" s="6" t="inlineStr">
        <is>
          <t>ATLAS</t>
        </is>
      </c>
      <c r="C6" s="6" t="inlineStr">
        <is>
          <t>Lot 2 – Carénage</t>
        </is>
      </c>
      <c r="D6" s="6" t="inlineStr">
        <is>
          <t>Capots latéraux</t>
        </is>
      </c>
      <c r="E6" s="6" t="inlineStr">
        <is>
          <t>Étude de conception</t>
        </is>
      </c>
      <c r="F6" s="7" t="n">
        <v>46535</v>
      </c>
      <c r="G6" s="8" t="inlineStr">
        <is>
          <t>Dessin des capots et de leurs fixations</t>
        </is>
      </c>
      <c r="H6" s="8" t="inlineStr">
        <is>
          <t>Matière ABS, outillage existant</t>
        </is>
      </c>
      <c r="I6" s="8" t="n"/>
      <c r="J6" s="6" t="inlineStr">
        <is>
          <t>Marc Dubois</t>
        </is>
      </c>
      <c r="K6" s="6" t="inlineStr">
        <is>
          <t>Emma Faure</t>
        </is>
      </c>
      <c r="L6" s="6" t="n"/>
      <c r="M6" s="9" t="n">
        <v>260</v>
      </c>
      <c r="N6" s="7" t="n">
        <v>46398</v>
      </c>
      <c r="O6" s="10" t="n">
        <v>0</v>
      </c>
    </row>
    <row r="7">
      <c r="A7" s="6" t="inlineStr">
        <is>
          <t>Julie Martin</t>
        </is>
      </c>
      <c r="B7" s="6" t="inlineStr">
        <is>
          <t>ATLAS</t>
        </is>
      </c>
      <c r="C7" s="6" t="inlineStr">
        <is>
          <t>Lot 3 – Intégration</t>
        </is>
      </c>
      <c r="D7" s="6" t="inlineStr">
        <is>
          <t>Faisceau électrique</t>
        </is>
      </c>
      <c r="E7" s="6" t="inlineStr">
        <is>
          <t>Industrialisation</t>
        </is>
      </c>
      <c r="F7" s="7" t="n">
        <v>46598</v>
      </c>
      <c r="G7" s="8" t="inlineStr">
        <is>
          <t>Routage des faisceaux et supports</t>
        </is>
      </c>
      <c r="H7" s="8" t="inlineStr">
        <is>
          <t>Normes NF C 15-100</t>
        </is>
      </c>
      <c r="I7" s="8" t="n"/>
      <c r="J7" s="6" t="inlineStr">
        <is>
          <t>Marc Dubois</t>
        </is>
      </c>
      <c r="K7" s="6" t="n"/>
      <c r="L7" s="6" t="inlineStr">
        <is>
          <t>Inès Morel</t>
        </is>
      </c>
      <c r="M7" s="9" t="n">
        <v>180</v>
      </c>
      <c r="N7" s="7" t="n">
        <v>46482</v>
      </c>
      <c r="O7" s="10" t="n">
        <v>0</v>
      </c>
    </row>
    <row r="8">
      <c r="A8" s="6" t="inlineStr">
        <is>
          <t>Thomas Bernard</t>
        </is>
      </c>
      <c r="B8" s="6" t="inlineStr">
        <is>
          <t>BORÉAL</t>
        </is>
      </c>
      <c r="C8" s="6" t="inlineStr">
        <is>
          <t>Phase APD</t>
        </is>
      </c>
      <c r="D8" s="6" t="inlineStr">
        <is>
          <t>Groupe froid</t>
        </is>
      </c>
      <c r="E8" s="6" t="inlineStr">
        <is>
          <t>Étude de conception</t>
        </is>
      </c>
      <c r="F8" s="7" t="n">
        <v>46416</v>
      </c>
      <c r="G8" s="8" t="inlineStr">
        <is>
          <t>Avant-projet détaillé du groupe froid</t>
        </is>
      </c>
      <c r="H8" s="8" t="inlineStr">
        <is>
          <t>Délai client ferme</t>
        </is>
      </c>
      <c r="I8" s="8" t="n"/>
      <c r="J8" s="6" t="inlineStr">
        <is>
          <t>Isabelle Roux</t>
        </is>
      </c>
      <c r="K8" s="6" t="inlineStr">
        <is>
          <t>Léa Chevalier</t>
        </is>
      </c>
      <c r="L8" s="6" t="n"/>
      <c r="M8" s="9" t="n">
        <v>310</v>
      </c>
      <c r="N8" s="7" t="n">
        <v>46300</v>
      </c>
      <c r="O8" s="10" t="n">
        <v>0.35</v>
      </c>
    </row>
    <row r="9">
      <c r="A9" s="6" t="inlineStr">
        <is>
          <t>Thomas Bernard</t>
        </is>
      </c>
      <c r="B9" s="6" t="inlineStr">
        <is>
          <t>BORÉAL</t>
        </is>
      </c>
      <c r="C9" s="6" t="inlineStr">
        <is>
          <t>Phase EXE</t>
        </is>
      </c>
      <c r="D9" s="6" t="inlineStr">
        <is>
          <t>Groupe froid</t>
        </is>
      </c>
      <c r="E9" s="6" t="inlineStr">
        <is>
          <t>Mise à jour de plans</t>
        </is>
      </c>
      <c r="F9" s="7" t="n">
        <v>46507</v>
      </c>
      <c r="G9" s="8" t="inlineStr">
        <is>
          <t>Plans d'exécution</t>
        </is>
      </c>
      <c r="H9" s="8" t="inlineStr">
        <is>
          <t>Budget 25 k€</t>
        </is>
      </c>
      <c r="I9" s="8" t="n"/>
      <c r="J9" s="6" t="inlineStr">
        <is>
          <t>Isabelle Roux</t>
        </is>
      </c>
      <c r="K9" s="6" t="inlineStr">
        <is>
          <t>Léa Chevalier</t>
        </is>
      </c>
      <c r="L9" s="6" t="n"/>
      <c r="M9" s="9" t="n">
        <v>220</v>
      </c>
      <c r="N9" s="7" t="n">
        <v>46419</v>
      </c>
      <c r="O9" s="10" t="n">
        <v>0</v>
      </c>
    </row>
    <row r="10">
      <c r="A10" s="6" t="inlineStr">
        <is>
          <t>Thomas Bernard</t>
        </is>
      </c>
      <c r="B10" s="6" t="inlineStr">
        <is>
          <t>BORÉAL</t>
        </is>
      </c>
      <c r="C10" s="6" t="inlineStr">
        <is>
          <t>Phase EXE</t>
        </is>
      </c>
      <c r="D10" s="6" t="inlineStr">
        <is>
          <t>Armoire de commande</t>
        </is>
      </c>
      <c r="E10" s="6" t="inlineStr">
        <is>
          <t>Modification</t>
        </is>
      </c>
      <c r="F10" s="7" t="n">
        <v>46461</v>
      </c>
      <c r="G10" s="8" t="inlineStr">
        <is>
          <t>Reprise de l'armoire existante</t>
        </is>
      </c>
      <c r="H10" s="8" t="n"/>
      <c r="I10" s="8" t="n"/>
      <c r="J10" s="6" t="inlineStr">
        <is>
          <t>Isabelle Roux</t>
        </is>
      </c>
      <c r="K10" s="6" t="n"/>
      <c r="L10" s="6" t="inlineStr">
        <is>
          <t>Karim Haddad</t>
        </is>
      </c>
      <c r="M10" s="9" t="n">
        <v>90</v>
      </c>
      <c r="N10" s="7" t="n">
        <v>46405</v>
      </c>
      <c r="O10" s="10" t="n">
        <v>0</v>
      </c>
    </row>
    <row r="11">
      <c r="A11" s="6" t="inlineStr">
        <is>
          <t>Sophie Lefèvre</t>
        </is>
      </c>
      <c r="B11" s="6" t="inlineStr">
        <is>
          <t>CASSIOPÉE</t>
        </is>
      </c>
      <c r="C11" s="6" t="inlineStr">
        <is>
          <t>Rétrofit ligne 2</t>
        </is>
      </c>
      <c r="D11" s="6" t="inlineStr">
        <is>
          <t>Convoyeur</t>
        </is>
      </c>
      <c r="E11" s="6" t="inlineStr">
        <is>
          <t>Modification</t>
        </is>
      </c>
      <c r="F11" s="7" t="n">
        <v>46374</v>
      </c>
      <c r="G11" s="8" t="inlineStr">
        <is>
          <t>Adaptation du convoyeur au nouveau format</t>
        </is>
      </c>
      <c r="H11" s="8" t="inlineStr">
        <is>
          <t>Arrêt de ligne limité à 2 semaines</t>
        </is>
      </c>
      <c r="I11" s="8" t="inlineStr">
        <is>
          <t>Réutiliser les plans de la ligne 1</t>
        </is>
      </c>
      <c r="J11" s="6" t="inlineStr">
        <is>
          <t>Marc Dubois</t>
        </is>
      </c>
      <c r="K11" s="6" t="inlineStr">
        <is>
          <t>Hugo Mercier</t>
        </is>
      </c>
      <c r="L11" s="6" t="n"/>
      <c r="M11" s="9" t="n">
        <v>150</v>
      </c>
      <c r="N11" s="7" t="n">
        <v>46307</v>
      </c>
      <c r="O11" s="10" t="n">
        <v>0.5</v>
      </c>
    </row>
    <row r="12">
      <c r="A12" s="6" t="inlineStr">
        <is>
          <t>Sophie Lefèvre</t>
        </is>
      </c>
      <c r="B12" s="6" t="inlineStr">
        <is>
          <t>CASSIOPÉE</t>
        </is>
      </c>
      <c r="C12" s="6" t="inlineStr">
        <is>
          <t>Rétrofit ligne 2</t>
        </is>
      </c>
      <c r="D12" s="6" t="inlineStr">
        <is>
          <t>Poste de contrôle</t>
        </is>
      </c>
      <c r="E12" s="6" t="inlineStr">
        <is>
          <t>Étude de conception</t>
        </is>
      </c>
      <c r="F12" s="7" t="n">
        <v>46444</v>
      </c>
      <c r="G12" s="8" t="inlineStr">
        <is>
          <t>Nouveau poste de contrôle vision</t>
        </is>
      </c>
      <c r="H12" s="8" t="n"/>
      <c r="I12" s="8" t="n"/>
      <c r="J12" s="6" t="inlineStr">
        <is>
          <t>Marc Dubois</t>
        </is>
      </c>
      <c r="K12" s="6" t="inlineStr">
        <is>
          <t>Emma Faure</t>
        </is>
      </c>
      <c r="L12" s="6" t="n"/>
      <c r="M12" s="9" t="n">
        <v>160</v>
      </c>
      <c r="N12" s="7" t="n">
        <v>46357</v>
      </c>
      <c r="O12" s="10" t="n">
        <v>0.05</v>
      </c>
    </row>
    <row r="13">
      <c r="A13" s="6" t="inlineStr">
        <is>
          <t>Sophie Lefèvre</t>
        </is>
      </c>
      <c r="B13" s="6" t="inlineStr">
        <is>
          <t>CASSIOPÉE</t>
        </is>
      </c>
      <c r="C13" s="6" t="inlineStr">
        <is>
          <t>Rétrofit ligne 2</t>
        </is>
      </c>
      <c r="D13" s="6" t="inlineStr">
        <is>
          <t>Poste de contrôle</t>
        </is>
      </c>
      <c r="E13" s="6" t="inlineStr">
        <is>
          <t>Étude de conception</t>
        </is>
      </c>
      <c r="F13" s="7" t="n">
        <v>46444</v>
      </c>
      <c r="G13" s="8" t="inlineStr">
        <is>
          <t>Nouveau poste de contrôle vision</t>
        </is>
      </c>
      <c r="H13" s="8" t="n"/>
      <c r="I13" s="8" t="n"/>
      <c r="J13" s="6" t="inlineStr">
        <is>
          <t>Marc Dubois</t>
        </is>
      </c>
      <c r="K13" s="6" t="n"/>
      <c r="L13" s="6" t="inlineStr">
        <is>
          <t>Paul Girard</t>
        </is>
      </c>
      <c r="M13" s="9" t="n">
        <v>80</v>
      </c>
      <c r="N13" s="7" t="n">
        <v>46357</v>
      </c>
      <c r="O13" s="10" t="n">
        <v>0</v>
      </c>
    </row>
    <row r="14">
      <c r="A14" s="6" t="inlineStr">
        <is>
          <t>Sophie Lefèvre</t>
        </is>
      </c>
      <c r="B14" s="6" t="inlineStr">
        <is>
          <t>DELTA</t>
        </is>
      </c>
      <c r="C14" s="6" t="inlineStr">
        <is>
          <t>Lot unique</t>
        </is>
      </c>
      <c r="D14" s="6" t="inlineStr">
        <is>
          <t>Bâti machine</t>
        </is>
      </c>
      <c r="E14" s="6" t="inlineStr">
        <is>
          <t>Industrialisation</t>
        </is>
      </c>
      <c r="F14" s="7" t="n">
        <v>46568</v>
      </c>
      <c r="G14" s="8" t="inlineStr">
        <is>
          <t>Industrialisation du bâti</t>
        </is>
      </c>
      <c r="H14" s="8" t="inlineStr">
        <is>
          <t>Cible coût -10 %</t>
        </is>
      </c>
      <c r="I14" s="8" t="n"/>
      <c r="J14" s="6" t="inlineStr">
        <is>
          <t>Isabelle Roux</t>
        </is>
      </c>
      <c r="K14" s="6" t="inlineStr">
        <is>
          <t>Antoine Blanc</t>
        </is>
      </c>
      <c r="L14" s="6" t="n"/>
      <c r="M14" s="9" t="n">
        <v>240</v>
      </c>
      <c r="N14" s="7" t="n">
        <v>46433</v>
      </c>
      <c r="O14" s="10" t="n">
        <v>0</v>
      </c>
    </row>
    <row r="15">
      <c r="A15" s="6" t="inlineStr">
        <is>
          <t>Sophie Lefèvre</t>
        </is>
      </c>
      <c r="B15" s="6" t="inlineStr">
        <is>
          <t>DELTA</t>
        </is>
      </c>
      <c r="C15" s="6" t="inlineStr">
        <is>
          <t>Lot unique</t>
        </is>
      </c>
      <c r="D15" s="6" t="inlineStr">
        <is>
          <t>Bâti machine</t>
        </is>
      </c>
      <c r="E15" s="6" t="inlineStr">
        <is>
          <t>Industrialisation</t>
        </is>
      </c>
      <c r="F15" s="7" t="n">
        <v>46568</v>
      </c>
      <c r="G15" s="8" t="inlineStr">
        <is>
          <t>Industrialisation du bâti</t>
        </is>
      </c>
      <c r="H15" s="8" t="inlineStr">
        <is>
          <t>Cible coût -10 %</t>
        </is>
      </c>
      <c r="I15" s="8" t="n"/>
      <c r="J15" s="6" t="inlineStr">
        <is>
          <t>Isabelle Roux</t>
        </is>
      </c>
      <c r="K15" s="6" t="inlineStr">
        <is>
          <t>Hugo Mercier</t>
        </is>
      </c>
      <c r="L15" s="6" t="n"/>
      <c r="M15" s="9" t="n">
        <v>120</v>
      </c>
      <c r="N15" s="7" t="n">
        <v>46433</v>
      </c>
      <c r="O15" s="10" t="n">
        <v>0</v>
      </c>
    </row>
    <row r="16">
      <c r="A16" s="6" t="inlineStr">
        <is>
          <t>Nicolas Moreau</t>
        </is>
      </c>
      <c r="B16" s="6" t="inlineStr">
        <is>
          <t>ORION</t>
        </is>
      </c>
      <c r="C16" s="6" t="inlineStr">
        <is>
          <t>Tranche 1</t>
        </is>
      </c>
      <c r="D16" s="6" t="inlineStr">
        <is>
          <t>Support moteur</t>
        </is>
      </c>
      <c r="E16" s="6" t="inlineStr">
        <is>
          <t>Étude de conception</t>
        </is>
      </c>
      <c r="F16" s="7" t="n">
        <v>46353</v>
      </c>
      <c r="G16" s="8" t="inlineStr">
        <is>
          <t>Conception du support moteur</t>
        </is>
      </c>
      <c r="H16" s="8" t="n"/>
      <c r="I16" s="8" t="n"/>
      <c r="J16" s="6" t="inlineStr">
        <is>
          <t>Isabelle Roux</t>
        </is>
      </c>
      <c r="K16" s="6" t="inlineStr">
        <is>
          <t>Lucas Garnier</t>
        </is>
      </c>
      <c r="L16" s="6" t="n"/>
      <c r="M16" s="9" t="n">
        <v>120</v>
      </c>
      <c r="N16" s="7" t="n">
        <v>46279</v>
      </c>
      <c r="O16" s="10" t="n">
        <v>0.8</v>
      </c>
    </row>
    <row r="17">
      <c r="A17" s="6" t="inlineStr">
        <is>
          <t>Nicolas Moreau</t>
        </is>
      </c>
      <c r="B17" s="6" t="inlineStr">
        <is>
          <t>ORION</t>
        </is>
      </c>
      <c r="C17" s="6" t="inlineStr">
        <is>
          <t>Tranche 1</t>
        </is>
      </c>
      <c r="D17" s="6" t="inlineStr">
        <is>
          <t>Carter de protection</t>
        </is>
      </c>
      <c r="E17" s="6" t="inlineStr">
        <is>
          <t>Mise à jour de plans</t>
        </is>
      </c>
      <c r="F17" s="7" t="n">
        <v>46304</v>
      </c>
      <c r="G17" s="8" t="inlineStr">
        <is>
          <t>Mise à jour indice C</t>
        </is>
      </c>
      <c r="H17" s="8" t="n"/>
      <c r="I17" s="8" t="n"/>
      <c r="J17" s="6" t="inlineStr">
        <is>
          <t>Isabelle Roux</t>
        </is>
      </c>
      <c r="K17" s="6" t="inlineStr">
        <is>
          <t>Lucas Garnier</t>
        </is>
      </c>
      <c r="L17" s="6" t="n"/>
      <c r="M17" s="9" t="n">
        <v>40</v>
      </c>
      <c r="N17" s="7" t="n">
        <v>46286</v>
      </c>
      <c r="O17" s="10" t="n">
        <v>1</v>
      </c>
    </row>
    <row r="18">
      <c r="A18" s="6" t="inlineStr">
        <is>
          <t>Nicolas Moreau</t>
        </is>
      </c>
      <c r="B18" s="6" t="inlineStr">
        <is>
          <t>ORION</t>
        </is>
      </c>
      <c r="C18" s="6" t="inlineStr">
        <is>
          <t>Tranche 2</t>
        </is>
      </c>
      <c r="D18" s="6" t="inlineStr">
        <is>
          <t>Support moteur</t>
        </is>
      </c>
      <c r="E18" s="6" t="inlineStr">
        <is>
          <t>Modification</t>
        </is>
      </c>
      <c r="F18" s="7" t="n">
        <v>46521</v>
      </c>
      <c r="G18" s="8" t="inlineStr">
        <is>
          <t>Évolution pour moteur 30 kW</t>
        </is>
      </c>
      <c r="H18" s="8" t="n"/>
      <c r="I18" s="8" t="n"/>
      <c r="J18" s="6" t="inlineStr">
        <is>
          <t>Isabelle Roux</t>
        </is>
      </c>
      <c r="K18" s="6" t="inlineStr">
        <is>
          <t>Emma Faure</t>
        </is>
      </c>
      <c r="L18" s="6" t="n"/>
      <c r="M18" s="9" t="n">
        <v>160</v>
      </c>
      <c r="N18" s="7" t="n">
        <v>46447</v>
      </c>
      <c r="O18" s="10" t="n">
        <v>0</v>
      </c>
    </row>
    <row r="19">
      <c r="A19" s="6" t="inlineStr">
        <is>
          <t>Nicolas Moreau</t>
        </is>
      </c>
      <c r="B19" s="6" t="inlineStr">
        <is>
          <t>PÉGASE</t>
        </is>
      </c>
      <c r="C19" s="6" t="inlineStr">
        <is>
          <t>Avant-projet</t>
        </is>
      </c>
      <c r="D19" s="6" t="inlineStr">
        <is>
          <t>Ensemble complet</t>
        </is>
      </c>
      <c r="E19" s="6" t="inlineStr">
        <is>
          <t>Chiffrage / avant-projet</t>
        </is>
      </c>
      <c r="F19" s="7" t="n">
        <v>46367</v>
      </c>
      <c r="G19" s="8" t="inlineStr">
        <is>
          <t>Chiffrage et esquisses pour l'appel d'offres</t>
        </is>
      </c>
      <c r="H19" s="8" t="inlineStr">
        <is>
          <t>Remise d'offre le 15/12</t>
        </is>
      </c>
      <c r="I19" s="8" t="n"/>
      <c r="J19" s="6" t="inlineStr">
        <is>
          <t>Marc Dubois</t>
        </is>
      </c>
      <c r="K19" s="6" t="inlineStr">
        <is>
          <t>Léa Chevalier</t>
        </is>
      </c>
      <c r="L19" s="6" t="n"/>
      <c r="M19" s="9" t="n">
        <v>70</v>
      </c>
      <c r="N19" s="7" t="n">
        <v>46342</v>
      </c>
      <c r="O19" s="10" t="n">
        <v>0.1</v>
      </c>
    </row>
    <row r="20">
      <c r="A20" s="6" t="inlineStr">
        <is>
          <t>Camille Laurent</t>
        </is>
      </c>
      <c r="B20" s="6" t="inlineStr">
        <is>
          <t>PÉGASE</t>
        </is>
      </c>
      <c r="C20" s="6" t="inlineStr">
        <is>
          <t>Lot 1</t>
        </is>
      </c>
      <c r="D20" s="6" t="inlineStr">
        <is>
          <t>Ensemble complet</t>
        </is>
      </c>
      <c r="E20" s="6" t="inlineStr">
        <is>
          <t>Étude de conception</t>
        </is>
      </c>
      <c r="F20" s="7" t="n">
        <v>46660</v>
      </c>
      <c r="G20" s="8" t="inlineStr">
        <is>
          <t>Étude complète si commande</t>
        </is>
      </c>
      <c r="H20" s="8" t="inlineStr">
        <is>
          <t>Sous réserve de commande</t>
        </is>
      </c>
      <c r="I20" s="8" t="inlineStr">
        <is>
          <t>Renfort externe prévu</t>
        </is>
      </c>
      <c r="J20" s="6" t="inlineStr">
        <is>
          <t>Marc Dubois</t>
        </is>
      </c>
      <c r="K20" s="6" t="inlineStr">
        <is>
          <t>Hugo Mercier</t>
        </is>
      </c>
      <c r="L20" s="6" t="n"/>
      <c r="M20" s="9" t="n">
        <v>300</v>
      </c>
      <c r="N20" s="7" t="n">
        <v>46461</v>
      </c>
      <c r="O20" s="10" t="n">
        <v>0</v>
      </c>
    </row>
    <row r="21">
      <c r="A21" s="6" t="inlineStr">
        <is>
          <t>Camille Laurent</t>
        </is>
      </c>
      <c r="B21" s="6" t="inlineStr">
        <is>
          <t>PÉGASE</t>
        </is>
      </c>
      <c r="C21" s="6" t="inlineStr">
        <is>
          <t>Lot 1</t>
        </is>
      </c>
      <c r="D21" s="6" t="inlineStr">
        <is>
          <t>Ensemble complet</t>
        </is>
      </c>
      <c r="E21" s="6" t="inlineStr">
        <is>
          <t>Étude de conception</t>
        </is>
      </c>
      <c r="F21" s="7" t="n">
        <v>46660</v>
      </c>
      <c r="G21" s="8" t="inlineStr">
        <is>
          <t>Étude complète si commande</t>
        </is>
      </c>
      <c r="H21" s="8" t="inlineStr">
        <is>
          <t>Sous réserve de commande</t>
        </is>
      </c>
      <c r="I21" s="8" t="inlineStr">
        <is>
          <t>Renfort externe prévu</t>
        </is>
      </c>
      <c r="J21" s="6" t="inlineStr">
        <is>
          <t>Marc Dubois</t>
        </is>
      </c>
      <c r="K21" s="6" t="n"/>
      <c r="L21" s="6" t="inlineStr">
        <is>
          <t>Karim Haddad</t>
        </is>
      </c>
      <c r="M21" s="9" t="n">
        <v>180</v>
      </c>
      <c r="N21" s="7" t="n">
        <v>46461</v>
      </c>
      <c r="O21" s="10" t="n">
        <v>0</v>
      </c>
    </row>
    <row r="22">
      <c r="A22" s="6" t="inlineStr">
        <is>
          <t>Camille Laurent</t>
        </is>
      </c>
      <c r="B22" s="6" t="inlineStr">
        <is>
          <t>VEGA</t>
        </is>
      </c>
      <c r="C22" s="6" t="inlineStr">
        <is>
          <t>Mise en conformité</t>
        </is>
      </c>
      <c r="D22" s="6" t="inlineStr">
        <is>
          <t>Garde-corps</t>
        </is>
      </c>
      <c r="E22" s="6" t="inlineStr">
        <is>
          <t>Modification</t>
        </is>
      </c>
      <c r="F22" s="7" t="n">
        <v>46402</v>
      </c>
      <c r="G22" s="8" t="inlineStr">
        <is>
          <t>Mise en conformité des garde-corps</t>
        </is>
      </c>
      <c r="H22" s="8" t="inlineStr">
        <is>
          <t>Norme NF E 85-015</t>
        </is>
      </c>
      <c r="I22" s="8" t="n"/>
      <c r="J22" s="6" t="inlineStr">
        <is>
          <t>Isabelle Roux</t>
        </is>
      </c>
      <c r="K22" s="6" t="inlineStr">
        <is>
          <t>Antoine Blanc</t>
        </is>
      </c>
      <c r="L22" s="6" t="n"/>
      <c r="M22" s="9" t="n">
        <v>85</v>
      </c>
      <c r="N22" s="7" t="n">
        <v>46349</v>
      </c>
      <c r="O22" s="10" t="n">
        <v>0</v>
      </c>
    </row>
    <row r="23">
      <c r="A23" s="6" t="inlineStr">
        <is>
          <t>Camille Laurent</t>
        </is>
      </c>
      <c r="B23" s="6" t="inlineStr">
        <is>
          <t>VEGA</t>
        </is>
      </c>
      <c r="C23" s="6" t="inlineStr">
        <is>
          <t>Mise en conformité</t>
        </is>
      </c>
      <c r="D23" s="6" t="inlineStr">
        <is>
          <t>Passerelle</t>
        </is>
      </c>
      <c r="E23" s="6" t="inlineStr">
        <is>
          <t>Mise à jour de plans</t>
        </is>
      </c>
      <c r="F23" s="7" t="n">
        <v>46477</v>
      </c>
      <c r="G23" s="8" t="inlineStr">
        <is>
          <t>Plans de recollement</t>
        </is>
      </c>
      <c r="H23" s="8" t="n"/>
      <c r="I23" s="8" t="n"/>
      <c r="J23" s="6" t="inlineStr">
        <is>
          <t>Isabelle Roux</t>
        </is>
      </c>
      <c r="K23" s="6" t="inlineStr">
        <is>
          <t>Antoine Blanc</t>
        </is>
      </c>
      <c r="L23" s="6" t="n"/>
      <c r="M23" s="9" t="n">
        <v>60</v>
      </c>
      <c r="N23" s="7" t="n">
        <v>46426</v>
      </c>
      <c r="O23" s="10" t="n">
        <v>0</v>
      </c>
    </row>
    <row r="24">
      <c r="A24" s="6" t="inlineStr">
        <is>
          <t>Camille Laurent</t>
        </is>
      </c>
      <c r="B24" s="6" t="inlineStr">
        <is>
          <t>VEGA</t>
        </is>
      </c>
      <c r="C24" s="6" t="inlineStr">
        <is>
          <t>Mise en conformité</t>
        </is>
      </c>
      <c r="D24" s="6" t="inlineStr">
        <is>
          <t>Escalier d'accès</t>
        </is>
      </c>
      <c r="E24" s="6" t="inlineStr">
        <is>
          <t>Modification</t>
        </is>
      </c>
      <c r="F24" s="7" t="n">
        <v>46507</v>
      </c>
      <c r="G24" s="8" t="inlineStr">
        <is>
          <t>Mise en conformité de l'escalier d'accès</t>
        </is>
      </c>
      <c r="H24" s="8" t="n"/>
      <c r="I24" s="8" t="inlineStr">
        <is>
          <t>Ressource à définir</t>
        </is>
      </c>
      <c r="J24" s="6" t="inlineStr">
        <is>
          <t>Isabelle Roux</t>
        </is>
      </c>
      <c r="K24" s="6" t="n"/>
      <c r="L24" s="6" t="n"/>
      <c r="M24" s="9" t="n">
        <v>50</v>
      </c>
      <c r="N24" s="7" t="n">
        <v>46447</v>
      </c>
      <c r="O24" s="10" t="n">
        <v>0</v>
      </c>
    </row>
    <row r="25">
      <c r="A25" s="6" t="inlineStr">
        <is>
          <t>Julie Martin</t>
        </is>
      </c>
      <c r="B25" s="6" t="inlineStr">
        <is>
          <t>TITAN</t>
        </is>
      </c>
      <c r="C25" s="6" t="inlineStr">
        <is>
          <t>Lot 1</t>
        </is>
      </c>
      <c r="D25" s="6" t="inlineStr">
        <is>
          <t>Poutre de levage</t>
        </is>
      </c>
      <c r="E25" s="6" t="inlineStr">
        <is>
          <t>Étude de conception</t>
        </is>
      </c>
      <c r="F25" s="7" t="n">
        <v>46295</v>
      </c>
      <c r="G25" s="8" t="inlineStr">
        <is>
          <t>Note de calcul et plans</t>
        </is>
      </c>
      <c r="H25" s="8" t="n"/>
      <c r="I25" s="8" t="n"/>
      <c r="J25" s="6" t="inlineStr">
        <is>
          <t>Marc Dubois</t>
        </is>
      </c>
      <c r="K25" s="6" t="inlineStr">
        <is>
          <t>Lucas Garnier</t>
        </is>
      </c>
      <c r="L25" s="6" t="n"/>
      <c r="M25" s="9" t="n">
        <v>95</v>
      </c>
      <c r="N25" s="7" t="n">
        <v>46258</v>
      </c>
      <c r="O25" s="10" t="n">
        <v>1</v>
      </c>
    </row>
    <row r="26">
      <c r="A26" s="6" t="inlineStr">
        <is>
          <t>Thomas Bernard</t>
        </is>
      </c>
      <c r="B26" s="6" t="inlineStr">
        <is>
          <t>DELTA</t>
        </is>
      </c>
      <c r="C26" s="6" t="inlineStr">
        <is>
          <t>Lot unique</t>
        </is>
      </c>
      <c r="D26" s="6" t="inlineStr">
        <is>
          <t>Habillage</t>
        </is>
      </c>
      <c r="E26" s="6" t="inlineStr">
        <is>
          <t>Étude de conception</t>
        </is>
      </c>
      <c r="F26" s="7" t="n">
        <v>46626</v>
      </c>
      <c r="G26" s="8" t="inlineStr">
        <is>
          <t>Habillage design</t>
        </is>
      </c>
      <c r="H26" s="8" t="n"/>
      <c r="I26" s="8" t="n"/>
      <c r="J26" s="6" t="inlineStr">
        <is>
          <t>Isabelle Roux</t>
        </is>
      </c>
      <c r="K26" s="6" t="inlineStr">
        <is>
          <t>Emma Faure</t>
        </is>
      </c>
      <c r="L26" s="6" t="n"/>
      <c r="M26" s="9" t="n">
        <v>120</v>
      </c>
      <c r="N26" s="7" t="n">
        <v>46510</v>
      </c>
      <c r="O26" s="10" t="n">
        <v>0</v>
      </c>
    </row>
    <row r="27">
      <c r="A27" s="6" t="inlineStr">
        <is>
          <t>Thomas Bernard</t>
        </is>
      </c>
      <c r="B27" s="6" t="inlineStr">
        <is>
          <t>DELTA</t>
        </is>
      </c>
      <c r="C27" s="6" t="inlineStr">
        <is>
          <t>Lot unique</t>
        </is>
      </c>
      <c r="D27" s="6" t="inlineStr">
        <is>
          <t>Habillage</t>
        </is>
      </c>
      <c r="E27" s="6" t="inlineStr">
        <is>
          <t>Étude de conception</t>
        </is>
      </c>
      <c r="F27" s="7" t="n">
        <v>46626</v>
      </c>
      <c r="G27" s="8" t="inlineStr">
        <is>
          <t>Habillage design</t>
        </is>
      </c>
      <c r="H27" s="8" t="n"/>
      <c r="I27" s="8" t="n"/>
      <c r="J27" s="6" t="inlineStr">
        <is>
          <t>Isabelle Roux</t>
        </is>
      </c>
      <c r="K27" s="6" t="n"/>
      <c r="L27" s="6" t="inlineStr">
        <is>
          <t>Inès Morel</t>
        </is>
      </c>
      <c r="M27" s="9" t="n">
        <v>80</v>
      </c>
      <c r="N27" s="7" t="n">
        <v>46510</v>
      </c>
      <c r="O27" s="10" t="n">
        <v>0</v>
      </c>
    </row>
    <row r="28">
      <c r="A28" s="6" t="n"/>
      <c r="B28" s="6" t="n"/>
      <c r="C28" s="6" t="n"/>
      <c r="D28" s="6" t="n"/>
      <c r="E28" s="6" t="n"/>
      <c r="F28" s="7" t="n"/>
      <c r="G28" s="8" t="n"/>
      <c r="H28" s="8" t="n"/>
      <c r="I28" s="8" t="n"/>
      <c r="J28" s="6" t="n"/>
      <c r="K28" s="6" t="n"/>
      <c r="L28" s="6" t="n"/>
      <c r="M28" s="9" t="n"/>
      <c r="N28" s="7" t="n"/>
      <c r="O28" s="10" t="n"/>
    </row>
    <row r="29">
      <c r="A29" s="6" t="n"/>
      <c r="B29" s="6" t="n"/>
      <c r="C29" s="6" t="n"/>
      <c r="D29" s="6" t="n"/>
      <c r="E29" s="6" t="n"/>
      <c r="F29" s="7" t="n"/>
      <c r="G29" s="8" t="n"/>
      <c r="H29" s="8" t="n"/>
      <c r="I29" s="8" t="n"/>
      <c r="J29" s="6" t="n"/>
      <c r="K29" s="6" t="n"/>
      <c r="L29" s="6" t="n"/>
      <c r="M29" s="9" t="n"/>
      <c r="N29" s="7" t="n"/>
      <c r="O29" s="10" t="n"/>
    </row>
    <row r="30">
      <c r="A30" s="6" t="n"/>
      <c r="B30" s="6" t="n"/>
      <c r="C30" s="6" t="n"/>
      <c r="D30" s="6" t="n"/>
      <c r="E30" s="6" t="n"/>
      <c r="F30" s="7" t="n"/>
      <c r="G30" s="8" t="n"/>
      <c r="H30" s="8" t="n"/>
      <c r="I30" s="8" t="n"/>
      <c r="J30" s="6" t="n"/>
      <c r="K30" s="6" t="n"/>
      <c r="L30" s="6" t="n"/>
      <c r="M30" s="9" t="n"/>
      <c r="N30" s="7" t="n"/>
      <c r="O30" s="10" t="n"/>
    </row>
    <row r="31">
      <c r="A31" s="6" t="n"/>
      <c r="B31" s="6" t="n"/>
      <c r="C31" s="6" t="n"/>
      <c r="D31" s="6" t="n"/>
      <c r="E31" s="6" t="n"/>
      <c r="F31" s="7" t="n"/>
      <c r="G31" s="8" t="n"/>
      <c r="H31" s="8" t="n"/>
      <c r="I31" s="8" t="n"/>
      <c r="J31" s="6" t="n"/>
      <c r="K31" s="6" t="n"/>
      <c r="L31" s="6" t="n"/>
      <c r="M31" s="9" t="n"/>
      <c r="N31" s="7" t="n"/>
      <c r="O31" s="10" t="n"/>
    </row>
    <row r="32">
      <c r="A32" s="6" t="n"/>
      <c r="B32" s="6" t="n"/>
      <c r="C32" s="6" t="n"/>
      <c r="D32" s="6" t="n"/>
      <c r="E32" s="6" t="n"/>
      <c r="F32" s="7" t="n"/>
      <c r="G32" s="8" t="n"/>
      <c r="H32" s="8" t="n"/>
      <c r="I32" s="8" t="n"/>
      <c r="J32" s="6" t="n"/>
      <c r="K32" s="6" t="n"/>
      <c r="L32" s="6" t="n"/>
      <c r="M32" s="9" t="n"/>
      <c r="N32" s="7" t="n"/>
      <c r="O32" s="10" t="n"/>
    </row>
    <row r="33">
      <c r="A33" s="6" t="n"/>
      <c r="B33" s="6" t="n"/>
      <c r="C33" s="6" t="n"/>
      <c r="D33" s="6" t="n"/>
      <c r="E33" s="6" t="n"/>
      <c r="F33" s="7" t="n"/>
      <c r="G33" s="8" t="n"/>
      <c r="H33" s="8" t="n"/>
      <c r="I33" s="8" t="n"/>
      <c r="J33" s="6" t="n"/>
      <c r="K33" s="6" t="n"/>
      <c r="L33" s="6" t="n"/>
      <c r="M33" s="9" t="n"/>
      <c r="N33" s="7" t="n"/>
      <c r="O33" s="10" t="n"/>
    </row>
    <row r="34">
      <c r="A34" s="6" t="n"/>
      <c r="B34" s="6" t="n"/>
      <c r="C34" s="6" t="n"/>
      <c r="D34" s="6" t="n"/>
      <c r="E34" s="6" t="n"/>
      <c r="F34" s="7" t="n"/>
      <c r="G34" s="8" t="n"/>
      <c r="H34" s="8" t="n"/>
      <c r="I34" s="8" t="n"/>
      <c r="J34" s="6" t="n"/>
      <c r="K34" s="6" t="n"/>
      <c r="L34" s="6" t="n"/>
      <c r="M34" s="9" t="n"/>
      <c r="N34" s="7" t="n"/>
      <c r="O34" s="10" t="n"/>
    </row>
    <row r="35">
      <c r="A35" s="6" t="n"/>
      <c r="B35" s="6" t="n"/>
      <c r="C35" s="6" t="n"/>
      <c r="D35" s="6" t="n"/>
      <c r="E35" s="6" t="n"/>
      <c r="F35" s="7" t="n"/>
      <c r="G35" s="8" t="n"/>
      <c r="H35" s="8" t="n"/>
      <c r="I35" s="8" t="n"/>
      <c r="J35" s="6" t="n"/>
      <c r="K35" s="6" t="n"/>
      <c r="L35" s="6" t="n"/>
      <c r="M35" s="9" t="n"/>
      <c r="N35" s="7" t="n"/>
      <c r="O35" s="10" t="n"/>
    </row>
    <row r="36">
      <c r="A36" s="6" t="n"/>
      <c r="B36" s="6" t="n"/>
      <c r="C36" s="6" t="n"/>
      <c r="D36" s="6" t="n"/>
      <c r="E36" s="6" t="n"/>
      <c r="F36" s="7" t="n"/>
      <c r="G36" s="8" t="n"/>
      <c r="H36" s="8" t="n"/>
      <c r="I36" s="8" t="n"/>
      <c r="J36" s="6" t="n"/>
      <c r="K36" s="6" t="n"/>
      <c r="L36" s="6" t="n"/>
      <c r="M36" s="9" t="n"/>
      <c r="N36" s="7" t="n"/>
      <c r="O36" s="10" t="n"/>
    </row>
    <row r="37">
      <c r="A37" s="6" t="n"/>
      <c r="B37" s="6" t="n"/>
      <c r="C37" s="6" t="n"/>
      <c r="D37" s="6" t="n"/>
      <c r="E37" s="6" t="n"/>
      <c r="F37" s="7" t="n"/>
      <c r="G37" s="8" t="n"/>
      <c r="H37" s="8" t="n"/>
      <c r="I37" s="8" t="n"/>
      <c r="J37" s="6" t="n"/>
      <c r="K37" s="6" t="n"/>
      <c r="L37" s="6" t="n"/>
      <c r="M37" s="9" t="n"/>
      <c r="N37" s="7" t="n"/>
      <c r="O37" s="10" t="n"/>
    </row>
    <row r="38">
      <c r="A38" s="6" t="n"/>
      <c r="B38" s="6" t="n"/>
      <c r="C38" s="6" t="n"/>
      <c r="D38" s="6" t="n"/>
      <c r="E38" s="6" t="n"/>
      <c r="F38" s="7" t="n"/>
      <c r="G38" s="8" t="n"/>
      <c r="H38" s="8" t="n"/>
      <c r="I38" s="8" t="n"/>
      <c r="J38" s="6" t="n"/>
      <c r="K38" s="6" t="n"/>
      <c r="L38" s="6" t="n"/>
      <c r="M38" s="9" t="n"/>
      <c r="N38" s="7" t="n"/>
      <c r="O38" s="10" t="n"/>
    </row>
    <row r="39">
      <c r="A39" s="6" t="n"/>
      <c r="B39" s="6" t="n"/>
      <c r="C39" s="6" t="n"/>
      <c r="D39" s="6" t="n"/>
      <c r="E39" s="6" t="n"/>
      <c r="F39" s="7" t="n"/>
      <c r="G39" s="8" t="n"/>
      <c r="H39" s="8" t="n"/>
      <c r="I39" s="8" t="n"/>
      <c r="J39" s="6" t="n"/>
      <c r="K39" s="6" t="n"/>
      <c r="L39" s="6" t="n"/>
      <c r="M39" s="9" t="n"/>
      <c r="N39" s="7" t="n"/>
      <c r="O39" s="10" t="n"/>
    </row>
    <row r="40">
      <c r="A40" s="6" t="n"/>
      <c r="B40" s="6" t="n"/>
      <c r="C40" s="6" t="n"/>
      <c r="D40" s="6" t="n"/>
      <c r="E40" s="6" t="n"/>
      <c r="F40" s="7" t="n"/>
      <c r="G40" s="8" t="n"/>
      <c r="H40" s="8" t="n"/>
      <c r="I40" s="8" t="n"/>
      <c r="J40" s="6" t="n"/>
      <c r="K40" s="6" t="n"/>
      <c r="L40" s="6" t="n"/>
      <c r="M40" s="9" t="n"/>
      <c r="N40" s="7" t="n"/>
      <c r="O40" s="10" t="n"/>
    </row>
    <row r="41">
      <c r="A41" s="6" t="n"/>
      <c r="B41" s="6" t="n"/>
      <c r="C41" s="6" t="n"/>
      <c r="D41" s="6" t="n"/>
      <c r="E41" s="6" t="n"/>
      <c r="F41" s="7" t="n"/>
      <c r="G41" s="8" t="n"/>
      <c r="H41" s="8" t="n"/>
      <c r="I41" s="8" t="n"/>
      <c r="J41" s="6" t="n"/>
      <c r="K41" s="6" t="n"/>
      <c r="L41" s="6" t="n"/>
      <c r="M41" s="9" t="n"/>
      <c r="N41" s="7" t="n"/>
      <c r="O41" s="10" t="n"/>
    </row>
    <row r="42">
      <c r="A42" s="6" t="n"/>
      <c r="B42" s="6" t="n"/>
      <c r="C42" s="6" t="n"/>
      <c r="D42" s="6" t="n"/>
      <c r="E42" s="6" t="n"/>
      <c r="F42" s="7" t="n"/>
      <c r="G42" s="8" t="n"/>
      <c r="H42" s="8" t="n"/>
      <c r="I42" s="8" t="n"/>
      <c r="J42" s="6" t="n"/>
      <c r="K42" s="6" t="n"/>
      <c r="L42" s="6" t="n"/>
      <c r="M42" s="9" t="n"/>
      <c r="N42" s="7" t="n"/>
      <c r="O42" s="10" t="n"/>
    </row>
    <row r="43">
      <c r="A43" s="6" t="n"/>
      <c r="B43" s="6" t="n"/>
      <c r="C43" s="6" t="n"/>
      <c r="D43" s="6" t="n"/>
      <c r="E43" s="6" t="n"/>
      <c r="F43" s="7" t="n"/>
      <c r="G43" s="8" t="n"/>
      <c r="H43" s="8" t="n"/>
      <c r="I43" s="8" t="n"/>
      <c r="J43" s="6" t="n"/>
      <c r="K43" s="6" t="n"/>
      <c r="L43" s="6" t="n"/>
      <c r="M43" s="9" t="n"/>
      <c r="N43" s="7" t="n"/>
      <c r="O43" s="10" t="n"/>
    </row>
    <row r="44">
      <c r="A44" s="6" t="n"/>
      <c r="B44" s="6" t="n"/>
      <c r="C44" s="6" t="n"/>
      <c r="D44" s="6" t="n"/>
      <c r="E44" s="6" t="n"/>
      <c r="F44" s="7" t="n"/>
      <c r="G44" s="8" t="n"/>
      <c r="H44" s="8" t="n"/>
      <c r="I44" s="8" t="n"/>
      <c r="J44" s="6" t="n"/>
      <c r="K44" s="6" t="n"/>
      <c r="L44" s="6" t="n"/>
      <c r="M44" s="9" t="n"/>
      <c r="N44" s="7" t="n"/>
      <c r="O44" s="10" t="n"/>
    </row>
    <row r="45">
      <c r="A45" s="6" t="n"/>
      <c r="B45" s="6" t="n"/>
      <c r="C45" s="6" t="n"/>
      <c r="D45" s="6" t="n"/>
      <c r="E45" s="6" t="n"/>
      <c r="F45" s="7" t="n"/>
      <c r="G45" s="8" t="n"/>
      <c r="H45" s="8" t="n"/>
      <c r="I45" s="8" t="n"/>
      <c r="J45" s="6" t="n"/>
      <c r="K45" s="6" t="n"/>
      <c r="L45" s="6" t="n"/>
      <c r="M45" s="9" t="n"/>
      <c r="N45" s="7" t="n"/>
      <c r="O45" s="10" t="n"/>
    </row>
    <row r="46">
      <c r="A46" s="6" t="n"/>
      <c r="B46" s="6" t="n"/>
      <c r="C46" s="6" t="n"/>
      <c r="D46" s="6" t="n"/>
      <c r="E46" s="6" t="n"/>
      <c r="F46" s="7" t="n"/>
      <c r="G46" s="8" t="n"/>
      <c r="H46" s="8" t="n"/>
      <c r="I46" s="8" t="n"/>
      <c r="J46" s="6" t="n"/>
      <c r="K46" s="6" t="n"/>
      <c r="L46" s="6" t="n"/>
      <c r="M46" s="9" t="n"/>
      <c r="N46" s="7" t="n"/>
      <c r="O46" s="10" t="n"/>
    </row>
    <row r="47">
      <c r="A47" s="6" t="n"/>
      <c r="B47" s="6" t="n"/>
      <c r="C47" s="6" t="n"/>
      <c r="D47" s="6" t="n"/>
      <c r="E47" s="6" t="n"/>
      <c r="F47" s="7" t="n"/>
      <c r="G47" s="8" t="n"/>
      <c r="H47" s="8" t="n"/>
      <c r="I47" s="8" t="n"/>
      <c r="J47" s="6" t="n"/>
      <c r="K47" s="6" t="n"/>
      <c r="L47" s="6" t="n"/>
      <c r="M47" s="9" t="n"/>
      <c r="N47" s="7" t="n"/>
      <c r="O47" s="10" t="n"/>
    </row>
    <row r="48">
      <c r="A48" s="6" t="n"/>
      <c r="B48" s="6" t="n"/>
      <c r="C48" s="6" t="n"/>
      <c r="D48" s="6" t="n"/>
      <c r="E48" s="6" t="n"/>
      <c r="F48" s="7" t="n"/>
      <c r="G48" s="8" t="n"/>
      <c r="H48" s="8" t="n"/>
      <c r="I48" s="8" t="n"/>
      <c r="J48" s="6" t="n"/>
      <c r="K48" s="6" t="n"/>
      <c r="L48" s="6" t="n"/>
      <c r="M48" s="9" t="n"/>
      <c r="N48" s="7" t="n"/>
      <c r="O48" s="10" t="n"/>
    </row>
    <row r="49">
      <c r="A49" s="6" t="n"/>
      <c r="B49" s="6" t="n"/>
      <c r="C49" s="6" t="n"/>
      <c r="D49" s="6" t="n"/>
      <c r="E49" s="6" t="n"/>
      <c r="F49" s="7" t="n"/>
      <c r="G49" s="8" t="n"/>
      <c r="H49" s="8" t="n"/>
      <c r="I49" s="8" t="n"/>
      <c r="J49" s="6" t="n"/>
      <c r="K49" s="6" t="n"/>
      <c r="L49" s="6" t="n"/>
      <c r="M49" s="9" t="n"/>
      <c r="N49" s="7" t="n"/>
      <c r="O49" s="10" t="n"/>
    </row>
    <row r="50">
      <c r="A50" s="6" t="n"/>
      <c r="B50" s="6" t="n"/>
      <c r="C50" s="6" t="n"/>
      <c r="D50" s="6" t="n"/>
      <c r="E50" s="6" t="n"/>
      <c r="F50" s="7" t="n"/>
      <c r="G50" s="8" t="n"/>
      <c r="H50" s="8" t="n"/>
      <c r="I50" s="8" t="n"/>
      <c r="J50" s="6" t="n"/>
      <c r="K50" s="6" t="n"/>
      <c r="L50" s="6" t="n"/>
      <c r="M50" s="9" t="n"/>
      <c r="N50" s="7" t="n"/>
      <c r="O50" s="10" t="n"/>
    </row>
    <row r="51">
      <c r="A51" s="6" t="n"/>
      <c r="B51" s="6" t="n"/>
      <c r="C51" s="6" t="n"/>
      <c r="D51" s="6" t="n"/>
      <c r="E51" s="6" t="n"/>
      <c r="F51" s="7" t="n"/>
      <c r="G51" s="8" t="n"/>
      <c r="H51" s="8" t="n"/>
      <c r="I51" s="8" t="n"/>
      <c r="J51" s="6" t="n"/>
      <c r="K51" s="6" t="n"/>
      <c r="L51" s="6" t="n"/>
      <c r="M51" s="9" t="n"/>
      <c r="N51" s="7" t="n"/>
      <c r="O51" s="10" t="n"/>
    </row>
    <row r="52">
      <c r="A52" s="6" t="n"/>
      <c r="B52" s="6" t="n"/>
      <c r="C52" s="6" t="n"/>
      <c r="D52" s="6" t="n"/>
      <c r="E52" s="6" t="n"/>
      <c r="F52" s="7" t="n"/>
      <c r="G52" s="8" t="n"/>
      <c r="H52" s="8" t="n"/>
      <c r="I52" s="8" t="n"/>
      <c r="J52" s="6" t="n"/>
      <c r="K52" s="6" t="n"/>
      <c r="L52" s="6" t="n"/>
      <c r="M52" s="9" t="n"/>
      <c r="N52" s="7" t="n"/>
      <c r="O52" s="10" t="n"/>
    </row>
    <row r="53">
      <c r="A53" s="6" t="n"/>
      <c r="B53" s="6" t="n"/>
      <c r="C53" s="6" t="n"/>
      <c r="D53" s="6" t="n"/>
      <c r="E53" s="6" t="n"/>
      <c r="F53" s="7" t="n"/>
      <c r="G53" s="8" t="n"/>
      <c r="H53" s="8" t="n"/>
      <c r="I53" s="8" t="n"/>
      <c r="J53" s="6" t="n"/>
      <c r="K53" s="6" t="n"/>
      <c r="L53" s="6" t="n"/>
      <c r="M53" s="9" t="n"/>
      <c r="N53" s="7" t="n"/>
      <c r="O53" s="10" t="n"/>
    </row>
    <row r="54">
      <c r="A54" s="6" t="n"/>
      <c r="B54" s="6" t="n"/>
      <c r="C54" s="6" t="n"/>
      <c r="D54" s="6" t="n"/>
      <c r="E54" s="6" t="n"/>
      <c r="F54" s="7" t="n"/>
      <c r="G54" s="8" t="n"/>
      <c r="H54" s="8" t="n"/>
      <c r="I54" s="8" t="n"/>
      <c r="J54" s="6" t="n"/>
      <c r="K54" s="6" t="n"/>
      <c r="L54" s="6" t="n"/>
      <c r="M54" s="9" t="n"/>
      <c r="N54" s="7" t="n"/>
      <c r="O54" s="10" t="n"/>
    </row>
    <row r="55">
      <c r="A55" s="6" t="n"/>
      <c r="B55" s="6" t="n"/>
      <c r="C55" s="6" t="n"/>
      <c r="D55" s="6" t="n"/>
      <c r="E55" s="6" t="n"/>
      <c r="F55" s="7" t="n"/>
      <c r="G55" s="8" t="n"/>
      <c r="H55" s="8" t="n"/>
      <c r="I55" s="8" t="n"/>
      <c r="J55" s="6" t="n"/>
      <c r="K55" s="6" t="n"/>
      <c r="L55" s="6" t="n"/>
      <c r="M55" s="9" t="n"/>
      <c r="N55" s="7" t="n"/>
      <c r="O55" s="10" t="n"/>
    </row>
    <row r="56">
      <c r="A56" s="6" t="n"/>
      <c r="B56" s="6" t="n"/>
      <c r="C56" s="6" t="n"/>
      <c r="D56" s="6" t="n"/>
      <c r="E56" s="6" t="n"/>
      <c r="F56" s="7" t="n"/>
      <c r="G56" s="8" t="n"/>
      <c r="H56" s="8" t="n"/>
      <c r="I56" s="8" t="n"/>
      <c r="J56" s="6" t="n"/>
      <c r="K56" s="6" t="n"/>
      <c r="L56" s="6" t="n"/>
      <c r="M56" s="9" t="n"/>
      <c r="N56" s="7" t="n"/>
      <c r="O56" s="10" t="n"/>
    </row>
    <row r="57">
      <c r="A57" s="6" t="n"/>
      <c r="B57" s="6" t="n"/>
      <c r="C57" s="6" t="n"/>
      <c r="D57" s="6" t="n"/>
      <c r="E57" s="6" t="n"/>
      <c r="F57" s="7" t="n"/>
      <c r="G57" s="8" t="n"/>
      <c r="H57" s="8" t="n"/>
      <c r="I57" s="8" t="n"/>
      <c r="J57" s="6" t="n"/>
      <c r="K57" s="6" t="n"/>
      <c r="L57" s="6" t="n"/>
      <c r="M57" s="9" t="n"/>
      <c r="N57" s="7" t="n"/>
      <c r="O57" s="10" t="n"/>
    </row>
    <row r="58">
      <c r="A58" s="6" t="n"/>
      <c r="B58" s="6" t="n"/>
      <c r="C58" s="6" t="n"/>
      <c r="D58" s="6" t="n"/>
      <c r="E58" s="6" t="n"/>
      <c r="F58" s="7" t="n"/>
      <c r="G58" s="8" t="n"/>
      <c r="H58" s="8" t="n"/>
      <c r="I58" s="8" t="n"/>
      <c r="J58" s="6" t="n"/>
      <c r="K58" s="6" t="n"/>
      <c r="L58" s="6" t="n"/>
      <c r="M58" s="9" t="n"/>
      <c r="N58" s="7" t="n"/>
      <c r="O58" s="10" t="n"/>
    </row>
    <row r="59">
      <c r="A59" s="6" t="n"/>
      <c r="B59" s="6" t="n"/>
      <c r="C59" s="6" t="n"/>
      <c r="D59" s="6" t="n"/>
      <c r="E59" s="6" t="n"/>
      <c r="F59" s="7" t="n"/>
      <c r="G59" s="8" t="n"/>
      <c r="H59" s="8" t="n"/>
      <c r="I59" s="8" t="n"/>
      <c r="J59" s="6" t="n"/>
      <c r="K59" s="6" t="n"/>
      <c r="L59" s="6" t="n"/>
      <c r="M59" s="9" t="n"/>
      <c r="N59" s="7" t="n"/>
      <c r="O59" s="10" t="n"/>
    </row>
    <row r="60">
      <c r="A60" s="6" t="n"/>
      <c r="B60" s="6" t="n"/>
      <c r="C60" s="6" t="n"/>
      <c r="D60" s="6" t="n"/>
      <c r="E60" s="6" t="n"/>
      <c r="F60" s="7" t="n"/>
      <c r="G60" s="8" t="n"/>
      <c r="H60" s="8" t="n"/>
      <c r="I60" s="8" t="n"/>
      <c r="J60" s="6" t="n"/>
      <c r="K60" s="6" t="n"/>
      <c r="L60" s="6" t="n"/>
      <c r="M60" s="9" t="n"/>
      <c r="N60" s="7" t="n"/>
      <c r="O60" s="10" t="n"/>
    </row>
    <row r="61">
      <c r="A61" s="6" t="n"/>
      <c r="B61" s="6" t="n"/>
      <c r="C61" s="6" t="n"/>
      <c r="D61" s="6" t="n"/>
      <c r="E61" s="6" t="n"/>
      <c r="F61" s="7" t="n"/>
      <c r="G61" s="8" t="n"/>
      <c r="H61" s="8" t="n"/>
      <c r="I61" s="8" t="n"/>
      <c r="J61" s="6" t="n"/>
      <c r="K61" s="6" t="n"/>
      <c r="L61" s="6" t="n"/>
      <c r="M61" s="9" t="n"/>
      <c r="N61" s="7" t="n"/>
      <c r="O61" s="10" t="n"/>
    </row>
    <row r="62">
      <c r="A62" s="6" t="n"/>
      <c r="B62" s="6" t="n"/>
      <c r="C62" s="6" t="n"/>
      <c r="D62" s="6" t="n"/>
      <c r="E62" s="6" t="n"/>
      <c r="F62" s="7" t="n"/>
      <c r="G62" s="8" t="n"/>
      <c r="H62" s="8" t="n"/>
      <c r="I62" s="8" t="n"/>
      <c r="J62" s="6" t="n"/>
      <c r="K62" s="6" t="n"/>
      <c r="L62" s="6" t="n"/>
      <c r="M62" s="9" t="n"/>
      <c r="N62" s="7" t="n"/>
      <c r="O62" s="10" t="n"/>
    </row>
    <row r="63">
      <c r="A63" s="6" t="n"/>
      <c r="B63" s="6" t="n"/>
      <c r="C63" s="6" t="n"/>
      <c r="D63" s="6" t="n"/>
      <c r="E63" s="6" t="n"/>
      <c r="F63" s="7" t="n"/>
      <c r="G63" s="8" t="n"/>
      <c r="H63" s="8" t="n"/>
      <c r="I63" s="8" t="n"/>
      <c r="J63" s="6" t="n"/>
      <c r="K63" s="6" t="n"/>
      <c r="L63" s="6" t="n"/>
      <c r="M63" s="9" t="n"/>
      <c r="N63" s="7" t="n"/>
      <c r="O63" s="10" t="n"/>
    </row>
    <row r="64">
      <c r="A64" s="6" t="n"/>
      <c r="B64" s="6" t="n"/>
      <c r="C64" s="6" t="n"/>
      <c r="D64" s="6" t="n"/>
      <c r="E64" s="6" t="n"/>
      <c r="F64" s="7" t="n"/>
      <c r="G64" s="8" t="n"/>
      <c r="H64" s="8" t="n"/>
      <c r="I64" s="8" t="n"/>
      <c r="J64" s="6" t="n"/>
      <c r="K64" s="6" t="n"/>
      <c r="L64" s="6" t="n"/>
      <c r="M64" s="9" t="n"/>
      <c r="N64" s="7" t="n"/>
      <c r="O64" s="10" t="n"/>
    </row>
    <row r="65">
      <c r="A65" s="6" t="n"/>
      <c r="B65" s="6" t="n"/>
      <c r="C65" s="6" t="n"/>
      <c r="D65" s="6" t="n"/>
      <c r="E65" s="6" t="n"/>
      <c r="F65" s="7" t="n"/>
      <c r="G65" s="8" t="n"/>
      <c r="H65" s="8" t="n"/>
      <c r="I65" s="8" t="n"/>
      <c r="J65" s="6" t="n"/>
      <c r="K65" s="6" t="n"/>
      <c r="L65" s="6" t="n"/>
      <c r="M65" s="9" t="n"/>
      <c r="N65" s="7" t="n"/>
      <c r="O65" s="10" t="n"/>
    </row>
    <row r="66">
      <c r="A66" s="6" t="n"/>
      <c r="B66" s="6" t="n"/>
      <c r="C66" s="6" t="n"/>
      <c r="D66" s="6" t="n"/>
      <c r="E66" s="6" t="n"/>
      <c r="F66" s="7" t="n"/>
      <c r="G66" s="8" t="n"/>
      <c r="H66" s="8" t="n"/>
      <c r="I66" s="8" t="n"/>
      <c r="J66" s="6" t="n"/>
      <c r="K66" s="6" t="n"/>
      <c r="L66" s="6" t="n"/>
      <c r="M66" s="9" t="n"/>
      <c r="N66" s="7" t="n"/>
      <c r="O66" s="10" t="n"/>
    </row>
    <row r="67">
      <c r="A67" s="6" t="n"/>
      <c r="B67" s="6" t="n"/>
      <c r="C67" s="6" t="n"/>
      <c r="D67" s="6" t="n"/>
      <c r="E67" s="6" t="n"/>
      <c r="F67" s="7" t="n"/>
      <c r="G67" s="8" t="n"/>
      <c r="H67" s="8" t="n"/>
      <c r="I67" s="8" t="n"/>
      <c r="J67" s="6" t="n"/>
      <c r="K67" s="6" t="n"/>
      <c r="L67" s="6" t="n"/>
      <c r="M67" s="9" t="n"/>
      <c r="N67" s="7" t="n"/>
      <c r="O67" s="10" t="n"/>
    </row>
    <row r="68">
      <c r="A68" s="6" t="n"/>
      <c r="B68" s="6" t="n"/>
      <c r="C68" s="6" t="n"/>
      <c r="D68" s="6" t="n"/>
      <c r="E68" s="6" t="n"/>
      <c r="F68" s="7" t="n"/>
      <c r="G68" s="8" t="n"/>
      <c r="H68" s="8" t="n"/>
      <c r="I68" s="8" t="n"/>
      <c r="J68" s="6" t="n"/>
      <c r="K68" s="6" t="n"/>
      <c r="L68" s="6" t="n"/>
      <c r="M68" s="9" t="n"/>
      <c r="N68" s="7" t="n"/>
      <c r="O68" s="10" t="n"/>
    </row>
    <row r="69">
      <c r="A69" s="6" t="n"/>
      <c r="B69" s="6" t="n"/>
      <c r="C69" s="6" t="n"/>
      <c r="D69" s="6" t="n"/>
      <c r="E69" s="6" t="n"/>
      <c r="F69" s="7" t="n"/>
      <c r="G69" s="8" t="n"/>
      <c r="H69" s="8" t="n"/>
      <c r="I69" s="8" t="n"/>
      <c r="J69" s="6" t="n"/>
      <c r="K69" s="6" t="n"/>
      <c r="L69" s="6" t="n"/>
      <c r="M69" s="9" t="n"/>
      <c r="N69" s="7" t="n"/>
      <c r="O69" s="10" t="n"/>
    </row>
    <row r="70">
      <c r="A70" s="6" t="n"/>
      <c r="B70" s="6" t="n"/>
      <c r="C70" s="6" t="n"/>
      <c r="D70" s="6" t="n"/>
      <c r="E70" s="6" t="n"/>
      <c r="F70" s="7" t="n"/>
      <c r="G70" s="8" t="n"/>
      <c r="H70" s="8" t="n"/>
      <c r="I70" s="8" t="n"/>
      <c r="J70" s="6" t="n"/>
      <c r="K70" s="6" t="n"/>
      <c r="L70" s="6" t="n"/>
      <c r="M70" s="9" t="n"/>
      <c r="N70" s="7" t="n"/>
      <c r="O70" s="10" t="n"/>
    </row>
    <row r="71">
      <c r="A71" s="6" t="n"/>
      <c r="B71" s="6" t="n"/>
      <c r="C71" s="6" t="n"/>
      <c r="D71" s="6" t="n"/>
      <c r="E71" s="6" t="n"/>
      <c r="F71" s="7" t="n"/>
      <c r="G71" s="8" t="n"/>
      <c r="H71" s="8" t="n"/>
      <c r="I71" s="8" t="n"/>
      <c r="J71" s="6" t="n"/>
      <c r="K71" s="6" t="n"/>
      <c r="L71" s="6" t="n"/>
      <c r="M71" s="9" t="n"/>
      <c r="N71" s="7" t="n"/>
      <c r="O71" s="10" t="n"/>
    </row>
    <row r="72">
      <c r="A72" s="6" t="n"/>
      <c r="B72" s="6" t="n"/>
      <c r="C72" s="6" t="n"/>
      <c r="D72" s="6" t="n"/>
      <c r="E72" s="6" t="n"/>
      <c r="F72" s="7" t="n"/>
      <c r="G72" s="8" t="n"/>
      <c r="H72" s="8" t="n"/>
      <c r="I72" s="8" t="n"/>
      <c r="J72" s="6" t="n"/>
      <c r="K72" s="6" t="n"/>
      <c r="L72" s="6" t="n"/>
      <c r="M72" s="9" t="n"/>
      <c r="N72" s="7" t="n"/>
      <c r="O72" s="10" t="n"/>
    </row>
    <row r="73">
      <c r="A73" s="6" t="n"/>
      <c r="B73" s="6" t="n"/>
      <c r="C73" s="6" t="n"/>
      <c r="D73" s="6" t="n"/>
      <c r="E73" s="6" t="n"/>
      <c r="F73" s="7" t="n"/>
      <c r="G73" s="8" t="n"/>
      <c r="H73" s="8" t="n"/>
      <c r="I73" s="8" t="n"/>
      <c r="J73" s="6" t="n"/>
      <c r="K73" s="6" t="n"/>
      <c r="L73" s="6" t="n"/>
      <c r="M73" s="9" t="n"/>
      <c r="N73" s="7" t="n"/>
      <c r="O73" s="10" t="n"/>
    </row>
    <row r="74">
      <c r="A74" s="6" t="n"/>
      <c r="B74" s="6" t="n"/>
      <c r="C74" s="6" t="n"/>
      <c r="D74" s="6" t="n"/>
      <c r="E74" s="6" t="n"/>
      <c r="F74" s="7" t="n"/>
      <c r="G74" s="8" t="n"/>
      <c r="H74" s="8" t="n"/>
      <c r="I74" s="8" t="n"/>
      <c r="J74" s="6" t="n"/>
      <c r="K74" s="6" t="n"/>
      <c r="L74" s="6" t="n"/>
      <c r="M74" s="9" t="n"/>
      <c r="N74" s="7" t="n"/>
      <c r="O74" s="10" t="n"/>
    </row>
    <row r="75">
      <c r="A75" s="6" t="n"/>
      <c r="B75" s="6" t="n"/>
      <c r="C75" s="6" t="n"/>
      <c r="D75" s="6" t="n"/>
      <c r="E75" s="6" t="n"/>
      <c r="F75" s="7" t="n"/>
      <c r="G75" s="8" t="n"/>
      <c r="H75" s="8" t="n"/>
      <c r="I75" s="8" t="n"/>
      <c r="J75" s="6" t="n"/>
      <c r="K75" s="6" t="n"/>
      <c r="L75" s="6" t="n"/>
      <c r="M75" s="9" t="n"/>
      <c r="N75" s="7" t="n"/>
      <c r="O75" s="10" t="n"/>
    </row>
    <row r="76">
      <c r="A76" s="6" t="n"/>
      <c r="B76" s="6" t="n"/>
      <c r="C76" s="6" t="n"/>
      <c r="D76" s="6" t="n"/>
      <c r="E76" s="6" t="n"/>
      <c r="F76" s="7" t="n"/>
      <c r="G76" s="8" t="n"/>
      <c r="H76" s="8" t="n"/>
      <c r="I76" s="8" t="n"/>
      <c r="J76" s="6" t="n"/>
      <c r="K76" s="6" t="n"/>
      <c r="L76" s="6" t="n"/>
      <c r="M76" s="9" t="n"/>
      <c r="N76" s="7" t="n"/>
      <c r="O76" s="10" t="n"/>
    </row>
    <row r="77">
      <c r="A77" s="6" t="n"/>
      <c r="B77" s="6" t="n"/>
      <c r="C77" s="6" t="n"/>
      <c r="D77" s="6" t="n"/>
      <c r="E77" s="6" t="n"/>
      <c r="F77" s="7" t="n"/>
      <c r="G77" s="8" t="n"/>
      <c r="H77" s="8" t="n"/>
      <c r="I77" s="8" t="n"/>
      <c r="J77" s="6" t="n"/>
      <c r="K77" s="6" t="n"/>
      <c r="L77" s="6" t="n"/>
      <c r="M77" s="9" t="n"/>
      <c r="N77" s="7" t="n"/>
      <c r="O77" s="10" t="n"/>
    </row>
    <row r="78">
      <c r="A78" s="6" t="n"/>
      <c r="B78" s="6" t="n"/>
      <c r="C78" s="6" t="n"/>
      <c r="D78" s="6" t="n"/>
      <c r="E78" s="6" t="n"/>
      <c r="F78" s="7" t="n"/>
      <c r="G78" s="8" t="n"/>
      <c r="H78" s="8" t="n"/>
      <c r="I78" s="8" t="n"/>
      <c r="J78" s="6" t="n"/>
      <c r="K78" s="6" t="n"/>
      <c r="L78" s="6" t="n"/>
      <c r="M78" s="9" t="n"/>
      <c r="N78" s="7" t="n"/>
      <c r="O78" s="10" t="n"/>
    </row>
    <row r="79">
      <c r="A79" s="6" t="n"/>
      <c r="B79" s="6" t="n"/>
      <c r="C79" s="6" t="n"/>
      <c r="D79" s="6" t="n"/>
      <c r="E79" s="6" t="n"/>
      <c r="F79" s="7" t="n"/>
      <c r="G79" s="8" t="n"/>
      <c r="H79" s="8" t="n"/>
      <c r="I79" s="8" t="n"/>
      <c r="J79" s="6" t="n"/>
      <c r="K79" s="6" t="n"/>
      <c r="L79" s="6" t="n"/>
      <c r="M79" s="9" t="n"/>
      <c r="N79" s="7" t="n"/>
      <c r="O79" s="10" t="n"/>
    </row>
    <row r="80">
      <c r="A80" s="6" t="n"/>
      <c r="B80" s="6" t="n"/>
      <c r="C80" s="6" t="n"/>
      <c r="D80" s="6" t="n"/>
      <c r="E80" s="6" t="n"/>
      <c r="F80" s="7" t="n"/>
      <c r="G80" s="8" t="n"/>
      <c r="H80" s="8" t="n"/>
      <c r="I80" s="8" t="n"/>
      <c r="J80" s="6" t="n"/>
      <c r="K80" s="6" t="n"/>
      <c r="L80" s="6" t="n"/>
      <c r="M80" s="9" t="n"/>
      <c r="N80" s="7" t="n"/>
      <c r="O80" s="10" t="n"/>
    </row>
    <row r="81">
      <c r="A81" s="6" t="n"/>
      <c r="B81" s="6" t="n"/>
      <c r="C81" s="6" t="n"/>
      <c r="D81" s="6" t="n"/>
      <c r="E81" s="6" t="n"/>
      <c r="F81" s="7" t="n"/>
      <c r="G81" s="8" t="n"/>
      <c r="H81" s="8" t="n"/>
      <c r="I81" s="8" t="n"/>
      <c r="J81" s="6" t="n"/>
      <c r="K81" s="6" t="n"/>
      <c r="L81" s="6" t="n"/>
      <c r="M81" s="9" t="n"/>
      <c r="N81" s="7" t="n"/>
      <c r="O81" s="10" t="n"/>
    </row>
    <row r="82">
      <c r="A82" s="6" t="n"/>
      <c r="B82" s="6" t="n"/>
      <c r="C82" s="6" t="n"/>
      <c r="D82" s="6" t="n"/>
      <c r="E82" s="6" t="n"/>
      <c r="F82" s="7" t="n"/>
      <c r="G82" s="8" t="n"/>
      <c r="H82" s="8" t="n"/>
      <c r="I82" s="8" t="n"/>
      <c r="J82" s="6" t="n"/>
      <c r="K82" s="6" t="n"/>
      <c r="L82" s="6" t="n"/>
      <c r="M82" s="9" t="n"/>
      <c r="N82" s="7" t="n"/>
      <c r="O82" s="10" t="n"/>
    </row>
    <row r="83">
      <c r="A83" s="6" t="n"/>
      <c r="B83" s="6" t="n"/>
      <c r="C83" s="6" t="n"/>
      <c r="D83" s="6" t="n"/>
      <c r="E83" s="6" t="n"/>
      <c r="F83" s="7" t="n"/>
      <c r="G83" s="8" t="n"/>
      <c r="H83" s="8" t="n"/>
      <c r="I83" s="8" t="n"/>
      <c r="J83" s="6" t="n"/>
      <c r="K83" s="6" t="n"/>
      <c r="L83" s="6" t="n"/>
      <c r="M83" s="9" t="n"/>
      <c r="N83" s="7" t="n"/>
      <c r="O83" s="10" t="n"/>
    </row>
    <row r="84">
      <c r="A84" s="6" t="n"/>
      <c r="B84" s="6" t="n"/>
      <c r="C84" s="6" t="n"/>
      <c r="D84" s="6" t="n"/>
      <c r="E84" s="6" t="n"/>
      <c r="F84" s="7" t="n"/>
      <c r="G84" s="8" t="n"/>
      <c r="H84" s="8" t="n"/>
      <c r="I84" s="8" t="n"/>
      <c r="J84" s="6" t="n"/>
      <c r="K84" s="6" t="n"/>
      <c r="L84" s="6" t="n"/>
      <c r="M84" s="9" t="n"/>
      <c r="N84" s="7" t="n"/>
      <c r="O84" s="10" t="n"/>
    </row>
    <row r="85">
      <c r="A85" s="6" t="n"/>
      <c r="B85" s="6" t="n"/>
      <c r="C85" s="6" t="n"/>
      <c r="D85" s="6" t="n"/>
      <c r="E85" s="6" t="n"/>
      <c r="F85" s="7" t="n"/>
      <c r="G85" s="8" t="n"/>
      <c r="H85" s="8" t="n"/>
      <c r="I85" s="8" t="n"/>
      <c r="J85" s="6" t="n"/>
      <c r="K85" s="6" t="n"/>
      <c r="L85" s="6" t="n"/>
      <c r="M85" s="9" t="n"/>
      <c r="N85" s="7" t="n"/>
      <c r="O85" s="10" t="n"/>
    </row>
    <row r="86">
      <c r="A86" s="6" t="n"/>
      <c r="B86" s="6" t="n"/>
      <c r="C86" s="6" t="n"/>
      <c r="D86" s="6" t="n"/>
      <c r="E86" s="6" t="n"/>
      <c r="F86" s="7" t="n"/>
      <c r="G86" s="8" t="n"/>
      <c r="H86" s="8" t="n"/>
      <c r="I86" s="8" t="n"/>
      <c r="J86" s="6" t="n"/>
      <c r="K86" s="6" t="n"/>
      <c r="L86" s="6" t="n"/>
      <c r="M86" s="9" t="n"/>
      <c r="N86" s="7" t="n"/>
      <c r="O86" s="10" t="n"/>
    </row>
    <row r="87">
      <c r="A87" s="6" t="n"/>
      <c r="B87" s="6" t="n"/>
      <c r="C87" s="6" t="n"/>
      <c r="D87" s="6" t="n"/>
      <c r="E87" s="6" t="n"/>
      <c r="F87" s="7" t="n"/>
      <c r="G87" s="8" t="n"/>
      <c r="H87" s="8" t="n"/>
      <c r="I87" s="8" t="n"/>
      <c r="J87" s="6" t="n"/>
      <c r="K87" s="6" t="n"/>
      <c r="L87" s="6" t="n"/>
      <c r="M87" s="9" t="n"/>
      <c r="N87" s="7" t="n"/>
      <c r="O87" s="10" t="n"/>
    </row>
    <row r="88">
      <c r="A88" s="6" t="n"/>
      <c r="B88" s="6" t="n"/>
      <c r="C88" s="6" t="n"/>
      <c r="D88" s="6" t="n"/>
      <c r="E88" s="6" t="n"/>
      <c r="F88" s="7" t="n"/>
      <c r="G88" s="8" t="n"/>
      <c r="H88" s="8" t="n"/>
      <c r="I88" s="8" t="n"/>
      <c r="J88" s="6" t="n"/>
      <c r="K88" s="6" t="n"/>
      <c r="L88" s="6" t="n"/>
      <c r="M88" s="9" t="n"/>
      <c r="N88" s="7" t="n"/>
      <c r="O88" s="10" t="n"/>
    </row>
    <row r="89">
      <c r="A89" s="6" t="n"/>
      <c r="B89" s="6" t="n"/>
      <c r="C89" s="6" t="n"/>
      <c r="D89" s="6" t="n"/>
      <c r="E89" s="6" t="n"/>
      <c r="F89" s="7" t="n"/>
      <c r="G89" s="8" t="n"/>
      <c r="H89" s="8" t="n"/>
      <c r="I89" s="8" t="n"/>
      <c r="J89" s="6" t="n"/>
      <c r="K89" s="6" t="n"/>
      <c r="L89" s="6" t="n"/>
      <c r="M89" s="9" t="n"/>
      <c r="N89" s="7" t="n"/>
      <c r="O89" s="10" t="n"/>
    </row>
    <row r="90">
      <c r="A90" s="6" t="n"/>
      <c r="B90" s="6" t="n"/>
      <c r="C90" s="6" t="n"/>
      <c r="D90" s="6" t="n"/>
      <c r="E90" s="6" t="n"/>
      <c r="F90" s="7" t="n"/>
      <c r="G90" s="8" t="n"/>
      <c r="H90" s="8" t="n"/>
      <c r="I90" s="8" t="n"/>
      <c r="J90" s="6" t="n"/>
      <c r="K90" s="6" t="n"/>
      <c r="L90" s="6" t="n"/>
      <c r="M90" s="9" t="n"/>
      <c r="N90" s="7" t="n"/>
      <c r="O90" s="10" t="n"/>
    </row>
    <row r="91">
      <c r="A91" s="6" t="n"/>
      <c r="B91" s="6" t="n"/>
      <c r="C91" s="6" t="n"/>
      <c r="D91" s="6" t="n"/>
      <c r="E91" s="6" t="n"/>
      <c r="F91" s="7" t="n"/>
      <c r="G91" s="8" t="n"/>
      <c r="H91" s="8" t="n"/>
      <c r="I91" s="8" t="n"/>
      <c r="J91" s="6" t="n"/>
      <c r="K91" s="6" t="n"/>
      <c r="L91" s="6" t="n"/>
      <c r="M91" s="9" t="n"/>
      <c r="N91" s="7" t="n"/>
      <c r="O91" s="10" t="n"/>
    </row>
    <row r="92">
      <c r="A92" s="6" t="n"/>
      <c r="B92" s="6" t="n"/>
      <c r="C92" s="6" t="n"/>
      <c r="D92" s="6" t="n"/>
      <c r="E92" s="6" t="n"/>
      <c r="F92" s="7" t="n"/>
      <c r="G92" s="8" t="n"/>
      <c r="H92" s="8" t="n"/>
      <c r="I92" s="8" t="n"/>
      <c r="J92" s="6" t="n"/>
      <c r="K92" s="6" t="n"/>
      <c r="L92" s="6" t="n"/>
      <c r="M92" s="9" t="n"/>
      <c r="N92" s="7" t="n"/>
      <c r="O92" s="10" t="n"/>
    </row>
    <row r="93">
      <c r="A93" s="6" t="n"/>
      <c r="B93" s="6" t="n"/>
      <c r="C93" s="6" t="n"/>
      <c r="D93" s="6" t="n"/>
      <c r="E93" s="6" t="n"/>
      <c r="F93" s="7" t="n"/>
      <c r="G93" s="8" t="n"/>
      <c r="H93" s="8" t="n"/>
      <c r="I93" s="8" t="n"/>
      <c r="J93" s="6" t="n"/>
      <c r="K93" s="6" t="n"/>
      <c r="L93" s="6" t="n"/>
      <c r="M93" s="9" t="n"/>
      <c r="N93" s="7" t="n"/>
      <c r="O93" s="10" t="n"/>
    </row>
    <row r="94">
      <c r="A94" s="6" t="n"/>
      <c r="B94" s="6" t="n"/>
      <c r="C94" s="6" t="n"/>
      <c r="D94" s="6" t="n"/>
      <c r="E94" s="6" t="n"/>
      <c r="F94" s="7" t="n"/>
      <c r="G94" s="8" t="n"/>
      <c r="H94" s="8" t="n"/>
      <c r="I94" s="8" t="n"/>
      <c r="J94" s="6" t="n"/>
      <c r="K94" s="6" t="n"/>
      <c r="L94" s="6" t="n"/>
      <c r="M94" s="9" t="n"/>
      <c r="N94" s="7" t="n"/>
      <c r="O94" s="10" t="n"/>
    </row>
    <row r="95">
      <c r="A95" s="6" t="n"/>
      <c r="B95" s="6" t="n"/>
      <c r="C95" s="6" t="n"/>
      <c r="D95" s="6" t="n"/>
      <c r="E95" s="6" t="n"/>
      <c r="F95" s="7" t="n"/>
      <c r="G95" s="8" t="n"/>
      <c r="H95" s="8" t="n"/>
      <c r="I95" s="8" t="n"/>
      <c r="J95" s="6" t="n"/>
      <c r="K95" s="6" t="n"/>
      <c r="L95" s="6" t="n"/>
      <c r="M95" s="9" t="n"/>
      <c r="N95" s="7" t="n"/>
      <c r="O95" s="10" t="n"/>
    </row>
    <row r="96">
      <c r="A96" s="6" t="n"/>
      <c r="B96" s="6" t="n"/>
      <c r="C96" s="6" t="n"/>
      <c r="D96" s="6" t="n"/>
      <c r="E96" s="6" t="n"/>
      <c r="F96" s="7" t="n"/>
      <c r="G96" s="8" t="n"/>
      <c r="H96" s="8" t="n"/>
      <c r="I96" s="8" t="n"/>
      <c r="J96" s="6" t="n"/>
      <c r="K96" s="6" t="n"/>
      <c r="L96" s="6" t="n"/>
      <c r="M96" s="9" t="n"/>
      <c r="N96" s="7" t="n"/>
      <c r="O96" s="10" t="n"/>
    </row>
    <row r="97">
      <c r="A97" s="6" t="n"/>
      <c r="B97" s="6" t="n"/>
      <c r="C97" s="6" t="n"/>
      <c r="D97" s="6" t="n"/>
      <c r="E97" s="6" t="n"/>
      <c r="F97" s="7" t="n"/>
      <c r="G97" s="8" t="n"/>
      <c r="H97" s="8" t="n"/>
      <c r="I97" s="8" t="n"/>
      <c r="J97" s="6" t="n"/>
      <c r="K97" s="6" t="n"/>
      <c r="L97" s="6" t="n"/>
      <c r="M97" s="9" t="n"/>
      <c r="N97" s="7" t="n"/>
      <c r="O97" s="10" t="n"/>
    </row>
    <row r="98">
      <c r="A98" s="6" t="n"/>
      <c r="B98" s="6" t="n"/>
      <c r="C98" s="6" t="n"/>
      <c r="D98" s="6" t="n"/>
      <c r="E98" s="6" t="n"/>
      <c r="F98" s="7" t="n"/>
      <c r="G98" s="8" t="n"/>
      <c r="H98" s="8" t="n"/>
      <c r="I98" s="8" t="n"/>
      <c r="J98" s="6" t="n"/>
      <c r="K98" s="6" t="n"/>
      <c r="L98" s="6" t="n"/>
      <c r="M98" s="9" t="n"/>
      <c r="N98" s="7" t="n"/>
      <c r="O98" s="10" t="n"/>
    </row>
    <row r="99">
      <c r="A99" s="6" t="n"/>
      <c r="B99" s="6" t="n"/>
      <c r="C99" s="6" t="n"/>
      <c r="D99" s="6" t="n"/>
      <c r="E99" s="6" t="n"/>
      <c r="F99" s="7" t="n"/>
      <c r="G99" s="8" t="n"/>
      <c r="H99" s="8" t="n"/>
      <c r="I99" s="8" t="n"/>
      <c r="J99" s="6" t="n"/>
      <c r="K99" s="6" t="n"/>
      <c r="L99" s="6" t="n"/>
      <c r="M99" s="9" t="n"/>
      <c r="N99" s="7" t="n"/>
      <c r="O99" s="10" t="n"/>
    </row>
    <row r="100">
      <c r="A100" s="6" t="n"/>
      <c r="B100" s="6" t="n"/>
      <c r="C100" s="6" t="n"/>
      <c r="D100" s="6" t="n"/>
      <c r="E100" s="6" t="n"/>
      <c r="F100" s="7" t="n"/>
      <c r="G100" s="8" t="n"/>
      <c r="H100" s="8" t="n"/>
      <c r="I100" s="8" t="n"/>
      <c r="J100" s="6" t="n"/>
      <c r="K100" s="6" t="n"/>
      <c r="L100" s="6" t="n"/>
      <c r="M100" s="9" t="n"/>
      <c r="N100" s="7" t="n"/>
      <c r="O100" s="10" t="n"/>
    </row>
    <row r="101">
      <c r="A101" s="6" t="n"/>
      <c r="B101" s="6" t="n"/>
      <c r="C101" s="6" t="n"/>
      <c r="D101" s="6" t="n"/>
      <c r="E101" s="6" t="n"/>
      <c r="F101" s="7" t="n"/>
      <c r="G101" s="8" t="n"/>
      <c r="H101" s="8" t="n"/>
      <c r="I101" s="8" t="n"/>
      <c r="J101" s="6" t="n"/>
      <c r="K101" s="6" t="n"/>
      <c r="L101" s="6" t="n"/>
      <c r="M101" s="9" t="n"/>
      <c r="N101" s="7" t="n"/>
      <c r="O101" s="10" t="n"/>
    </row>
    <row r="102">
      <c r="A102" s="6" t="n"/>
      <c r="B102" s="6" t="n"/>
      <c r="C102" s="6" t="n"/>
      <c r="D102" s="6" t="n"/>
      <c r="E102" s="6" t="n"/>
      <c r="F102" s="7" t="n"/>
      <c r="G102" s="8" t="n"/>
      <c r="H102" s="8" t="n"/>
      <c r="I102" s="8" t="n"/>
      <c r="J102" s="6" t="n"/>
      <c r="K102" s="6" t="n"/>
      <c r="L102" s="6" t="n"/>
      <c r="M102" s="9" t="n"/>
      <c r="N102" s="7" t="n"/>
      <c r="O102" s="10" t="n"/>
    </row>
    <row r="103">
      <c r="A103" s="6" t="n"/>
      <c r="B103" s="6" t="n"/>
      <c r="C103" s="6" t="n"/>
      <c r="D103" s="6" t="n"/>
      <c r="E103" s="6" t="n"/>
      <c r="F103" s="7" t="n"/>
      <c r="G103" s="8" t="n"/>
      <c r="H103" s="8" t="n"/>
      <c r="I103" s="8" t="n"/>
      <c r="J103" s="6" t="n"/>
      <c r="K103" s="6" t="n"/>
      <c r="L103" s="6" t="n"/>
      <c r="M103" s="9" t="n"/>
      <c r="N103" s="7" t="n"/>
      <c r="O103" s="10" t="n"/>
    </row>
    <row r="104">
      <c r="A104" s="6" t="n"/>
      <c r="B104" s="6" t="n"/>
      <c r="C104" s="6" t="n"/>
      <c r="D104" s="6" t="n"/>
      <c r="E104" s="6" t="n"/>
      <c r="F104" s="7" t="n"/>
      <c r="G104" s="8" t="n"/>
      <c r="H104" s="8" t="n"/>
      <c r="I104" s="8" t="n"/>
      <c r="J104" s="6" t="n"/>
      <c r="K104" s="6" t="n"/>
      <c r="L104" s="6" t="n"/>
      <c r="M104" s="9" t="n"/>
      <c r="N104" s="7" t="n"/>
      <c r="O104" s="10" t="n"/>
    </row>
    <row r="105">
      <c r="A105" s="6" t="n"/>
      <c r="B105" s="6" t="n"/>
      <c r="C105" s="6" t="n"/>
      <c r="D105" s="6" t="n"/>
      <c r="E105" s="6" t="n"/>
      <c r="F105" s="7" t="n"/>
      <c r="G105" s="8" t="n"/>
      <c r="H105" s="8" t="n"/>
      <c r="I105" s="8" t="n"/>
      <c r="J105" s="6" t="n"/>
      <c r="K105" s="6" t="n"/>
      <c r="L105" s="6" t="n"/>
      <c r="M105" s="9" t="n"/>
      <c r="N105" s="7" t="n"/>
      <c r="O105" s="10" t="n"/>
    </row>
    <row r="106">
      <c r="A106" s="6" t="n"/>
      <c r="B106" s="6" t="n"/>
      <c r="C106" s="6" t="n"/>
      <c r="D106" s="6" t="n"/>
      <c r="E106" s="6" t="n"/>
      <c r="F106" s="7" t="n"/>
      <c r="G106" s="8" t="n"/>
      <c r="H106" s="8" t="n"/>
      <c r="I106" s="8" t="n"/>
      <c r="J106" s="6" t="n"/>
      <c r="K106" s="6" t="n"/>
      <c r="L106" s="6" t="n"/>
      <c r="M106" s="9" t="n"/>
      <c r="N106" s="7" t="n"/>
      <c r="O106" s="10" t="n"/>
    </row>
    <row r="107">
      <c r="A107" s="6" t="n"/>
      <c r="B107" s="6" t="n"/>
      <c r="C107" s="6" t="n"/>
      <c r="D107" s="6" t="n"/>
      <c r="E107" s="6" t="n"/>
      <c r="F107" s="7" t="n"/>
      <c r="G107" s="8" t="n"/>
      <c r="H107" s="8" t="n"/>
      <c r="I107" s="8" t="n"/>
      <c r="J107" s="6" t="n"/>
      <c r="K107" s="6" t="n"/>
      <c r="L107" s="6" t="n"/>
      <c r="M107" s="9" t="n"/>
      <c r="N107" s="7" t="n"/>
      <c r="O107" s="10" t="n"/>
    </row>
    <row r="108">
      <c r="A108" s="6" t="n"/>
      <c r="B108" s="6" t="n"/>
      <c r="C108" s="6" t="n"/>
      <c r="D108" s="6" t="n"/>
      <c r="E108" s="6" t="n"/>
      <c r="F108" s="7" t="n"/>
      <c r="G108" s="8" t="n"/>
      <c r="H108" s="8" t="n"/>
      <c r="I108" s="8" t="n"/>
      <c r="J108" s="6" t="n"/>
      <c r="K108" s="6" t="n"/>
      <c r="L108" s="6" t="n"/>
      <c r="M108" s="9" t="n"/>
      <c r="N108" s="7" t="n"/>
      <c r="O108" s="10" t="n"/>
    </row>
    <row r="109">
      <c r="A109" s="6" t="n"/>
      <c r="B109" s="6" t="n"/>
      <c r="C109" s="6" t="n"/>
      <c r="D109" s="6" t="n"/>
      <c r="E109" s="6" t="n"/>
      <c r="F109" s="7" t="n"/>
      <c r="G109" s="8" t="n"/>
      <c r="H109" s="8" t="n"/>
      <c r="I109" s="8" t="n"/>
      <c r="J109" s="6" t="n"/>
      <c r="K109" s="6" t="n"/>
      <c r="L109" s="6" t="n"/>
      <c r="M109" s="9" t="n"/>
      <c r="N109" s="7" t="n"/>
      <c r="O109" s="10" t="n"/>
    </row>
    <row r="110">
      <c r="A110" s="6" t="n"/>
      <c r="B110" s="6" t="n"/>
      <c r="C110" s="6" t="n"/>
      <c r="D110" s="6" t="n"/>
      <c r="E110" s="6" t="n"/>
      <c r="F110" s="7" t="n"/>
      <c r="G110" s="8" t="n"/>
      <c r="H110" s="8" t="n"/>
      <c r="I110" s="8" t="n"/>
      <c r="J110" s="6" t="n"/>
      <c r="K110" s="6" t="n"/>
      <c r="L110" s="6" t="n"/>
      <c r="M110" s="9" t="n"/>
      <c r="N110" s="7" t="n"/>
      <c r="O110" s="10" t="n"/>
    </row>
    <row r="111">
      <c r="A111" s="6" t="n"/>
      <c r="B111" s="6" t="n"/>
      <c r="C111" s="6" t="n"/>
      <c r="D111" s="6" t="n"/>
      <c r="E111" s="6" t="n"/>
      <c r="F111" s="7" t="n"/>
      <c r="G111" s="8" t="n"/>
      <c r="H111" s="8" t="n"/>
      <c r="I111" s="8" t="n"/>
      <c r="J111" s="6" t="n"/>
      <c r="K111" s="6" t="n"/>
      <c r="L111" s="6" t="n"/>
      <c r="M111" s="9" t="n"/>
      <c r="N111" s="7" t="n"/>
      <c r="O111" s="10" t="n"/>
    </row>
    <row r="112">
      <c r="A112" s="6" t="n"/>
      <c r="B112" s="6" t="n"/>
      <c r="C112" s="6" t="n"/>
      <c r="D112" s="6" t="n"/>
      <c r="E112" s="6" t="n"/>
      <c r="F112" s="7" t="n"/>
      <c r="G112" s="8" t="n"/>
      <c r="H112" s="8" t="n"/>
      <c r="I112" s="8" t="n"/>
      <c r="J112" s="6" t="n"/>
      <c r="K112" s="6" t="n"/>
      <c r="L112" s="6" t="n"/>
      <c r="M112" s="9" t="n"/>
      <c r="N112" s="7" t="n"/>
      <c r="O112" s="10" t="n"/>
    </row>
    <row r="113">
      <c r="A113" s="6" t="n"/>
      <c r="B113" s="6" t="n"/>
      <c r="C113" s="6" t="n"/>
      <c r="D113" s="6" t="n"/>
      <c r="E113" s="6" t="n"/>
      <c r="F113" s="7" t="n"/>
      <c r="G113" s="8" t="n"/>
      <c r="H113" s="8" t="n"/>
      <c r="I113" s="8" t="n"/>
      <c r="J113" s="6" t="n"/>
      <c r="K113" s="6" t="n"/>
      <c r="L113" s="6" t="n"/>
      <c r="M113" s="9" t="n"/>
      <c r="N113" s="7" t="n"/>
      <c r="O113" s="10" t="n"/>
    </row>
    <row r="114">
      <c r="A114" s="6" t="n"/>
      <c r="B114" s="6" t="n"/>
      <c r="C114" s="6" t="n"/>
      <c r="D114" s="6" t="n"/>
      <c r="E114" s="6" t="n"/>
      <c r="F114" s="7" t="n"/>
      <c r="G114" s="8" t="n"/>
      <c r="H114" s="8" t="n"/>
      <c r="I114" s="8" t="n"/>
      <c r="J114" s="6" t="n"/>
      <c r="K114" s="6" t="n"/>
      <c r="L114" s="6" t="n"/>
      <c r="M114" s="9" t="n"/>
      <c r="N114" s="7" t="n"/>
      <c r="O114" s="10" t="n"/>
    </row>
    <row r="115">
      <c r="A115" s="6" t="n"/>
      <c r="B115" s="6" t="n"/>
      <c r="C115" s="6" t="n"/>
      <c r="D115" s="6" t="n"/>
      <c r="E115" s="6" t="n"/>
      <c r="F115" s="7" t="n"/>
      <c r="G115" s="8" t="n"/>
      <c r="H115" s="8" t="n"/>
      <c r="I115" s="8" t="n"/>
      <c r="J115" s="6" t="n"/>
      <c r="K115" s="6" t="n"/>
      <c r="L115" s="6" t="n"/>
      <c r="M115" s="9" t="n"/>
      <c r="N115" s="7" t="n"/>
      <c r="O115" s="10" t="n"/>
    </row>
    <row r="116">
      <c r="A116" s="6" t="n"/>
      <c r="B116" s="6" t="n"/>
      <c r="C116" s="6" t="n"/>
      <c r="D116" s="6" t="n"/>
      <c r="E116" s="6" t="n"/>
      <c r="F116" s="7" t="n"/>
      <c r="G116" s="8" t="n"/>
      <c r="H116" s="8" t="n"/>
      <c r="I116" s="8" t="n"/>
      <c r="J116" s="6" t="n"/>
      <c r="K116" s="6" t="n"/>
      <c r="L116" s="6" t="n"/>
      <c r="M116" s="9" t="n"/>
      <c r="N116" s="7" t="n"/>
      <c r="O116" s="10" t="n"/>
    </row>
    <row r="117">
      <c r="A117" s="6" t="n"/>
      <c r="B117" s="6" t="n"/>
      <c r="C117" s="6" t="n"/>
      <c r="D117" s="6" t="n"/>
      <c r="E117" s="6" t="n"/>
      <c r="F117" s="7" t="n"/>
      <c r="G117" s="8" t="n"/>
      <c r="H117" s="8" t="n"/>
      <c r="I117" s="8" t="n"/>
      <c r="J117" s="6" t="n"/>
      <c r="K117" s="6" t="n"/>
      <c r="L117" s="6" t="n"/>
      <c r="M117" s="9" t="n"/>
      <c r="N117" s="7" t="n"/>
      <c r="O117" s="10" t="n"/>
    </row>
    <row r="118">
      <c r="A118" s="6" t="n"/>
      <c r="B118" s="6" t="n"/>
      <c r="C118" s="6" t="n"/>
      <c r="D118" s="6" t="n"/>
      <c r="E118" s="6" t="n"/>
      <c r="F118" s="7" t="n"/>
      <c r="G118" s="8" t="n"/>
      <c r="H118" s="8" t="n"/>
      <c r="I118" s="8" t="n"/>
      <c r="J118" s="6" t="n"/>
      <c r="K118" s="6" t="n"/>
      <c r="L118" s="6" t="n"/>
      <c r="M118" s="9" t="n"/>
      <c r="N118" s="7" t="n"/>
      <c r="O118" s="10" t="n"/>
    </row>
    <row r="119">
      <c r="A119" s="6" t="n"/>
      <c r="B119" s="6" t="n"/>
      <c r="C119" s="6" t="n"/>
      <c r="D119" s="6" t="n"/>
      <c r="E119" s="6" t="n"/>
      <c r="F119" s="7" t="n"/>
      <c r="G119" s="8" t="n"/>
      <c r="H119" s="8" t="n"/>
      <c r="I119" s="8" t="n"/>
      <c r="J119" s="6" t="n"/>
      <c r="K119" s="6" t="n"/>
      <c r="L119" s="6" t="n"/>
      <c r="M119" s="9" t="n"/>
      <c r="N119" s="7" t="n"/>
      <c r="O119" s="10" t="n"/>
    </row>
    <row r="120">
      <c r="A120" s="6" t="n"/>
      <c r="B120" s="6" t="n"/>
      <c r="C120" s="6" t="n"/>
      <c r="D120" s="6" t="n"/>
      <c r="E120" s="6" t="n"/>
      <c r="F120" s="7" t="n"/>
      <c r="G120" s="8" t="n"/>
      <c r="H120" s="8" t="n"/>
      <c r="I120" s="8" t="n"/>
      <c r="J120" s="6" t="n"/>
      <c r="K120" s="6" t="n"/>
      <c r="L120" s="6" t="n"/>
      <c r="M120" s="9" t="n"/>
      <c r="N120" s="7" t="n"/>
      <c r="O120" s="10" t="n"/>
    </row>
    <row r="121">
      <c r="A121" s="6" t="n"/>
      <c r="B121" s="6" t="n"/>
      <c r="C121" s="6" t="n"/>
      <c r="D121" s="6" t="n"/>
      <c r="E121" s="6" t="n"/>
      <c r="F121" s="7" t="n"/>
      <c r="G121" s="8" t="n"/>
      <c r="H121" s="8" t="n"/>
      <c r="I121" s="8" t="n"/>
      <c r="J121" s="6" t="n"/>
      <c r="K121" s="6" t="n"/>
      <c r="L121" s="6" t="n"/>
      <c r="M121" s="9" t="n"/>
      <c r="N121" s="7" t="n"/>
      <c r="O121" s="10" t="n"/>
    </row>
    <row r="122">
      <c r="A122" s="6" t="n"/>
      <c r="B122" s="6" t="n"/>
      <c r="C122" s="6" t="n"/>
      <c r="D122" s="6" t="n"/>
      <c r="E122" s="6" t="n"/>
      <c r="F122" s="7" t="n"/>
      <c r="G122" s="8" t="n"/>
      <c r="H122" s="8" t="n"/>
      <c r="I122" s="8" t="n"/>
      <c r="J122" s="6" t="n"/>
      <c r="K122" s="6" t="n"/>
      <c r="L122" s="6" t="n"/>
      <c r="M122" s="9" t="n"/>
      <c r="N122" s="7" t="n"/>
      <c r="O122" s="10" t="n"/>
    </row>
    <row r="123">
      <c r="A123" s="6" t="n"/>
      <c r="B123" s="6" t="n"/>
      <c r="C123" s="6" t="n"/>
      <c r="D123" s="6" t="n"/>
      <c r="E123" s="6" t="n"/>
      <c r="F123" s="7" t="n"/>
      <c r="G123" s="8" t="n"/>
      <c r="H123" s="8" t="n"/>
      <c r="I123" s="8" t="n"/>
      <c r="J123" s="6" t="n"/>
      <c r="K123" s="6" t="n"/>
      <c r="L123" s="6" t="n"/>
      <c r="M123" s="9" t="n"/>
      <c r="N123" s="7" t="n"/>
      <c r="O123" s="10" t="n"/>
    </row>
    <row r="124">
      <c r="A124" s="6" t="n"/>
      <c r="B124" s="6" t="n"/>
      <c r="C124" s="6" t="n"/>
      <c r="D124" s="6" t="n"/>
      <c r="E124" s="6" t="n"/>
      <c r="F124" s="7" t="n"/>
      <c r="G124" s="8" t="n"/>
      <c r="H124" s="8" t="n"/>
      <c r="I124" s="8" t="n"/>
      <c r="J124" s="6" t="n"/>
      <c r="K124" s="6" t="n"/>
      <c r="L124" s="6" t="n"/>
      <c r="M124" s="9" t="n"/>
      <c r="N124" s="7" t="n"/>
      <c r="O124" s="10" t="n"/>
    </row>
    <row r="125">
      <c r="A125" s="6" t="n"/>
      <c r="B125" s="6" t="n"/>
      <c r="C125" s="6" t="n"/>
      <c r="D125" s="6" t="n"/>
      <c r="E125" s="6" t="n"/>
      <c r="F125" s="7" t="n"/>
      <c r="G125" s="8" t="n"/>
      <c r="H125" s="8" t="n"/>
      <c r="I125" s="8" t="n"/>
      <c r="J125" s="6" t="n"/>
      <c r="K125" s="6" t="n"/>
      <c r="L125" s="6" t="n"/>
      <c r="M125" s="9" t="n"/>
      <c r="N125" s="7" t="n"/>
      <c r="O125" s="10" t="n"/>
    </row>
    <row r="126">
      <c r="A126" s="6" t="n"/>
      <c r="B126" s="6" t="n"/>
      <c r="C126" s="6" t="n"/>
      <c r="D126" s="6" t="n"/>
      <c r="E126" s="6" t="n"/>
      <c r="F126" s="7" t="n"/>
      <c r="G126" s="8" t="n"/>
      <c r="H126" s="8" t="n"/>
      <c r="I126" s="8" t="n"/>
      <c r="J126" s="6" t="n"/>
      <c r="K126" s="6" t="n"/>
      <c r="L126" s="6" t="n"/>
      <c r="M126" s="9" t="n"/>
      <c r="N126" s="7" t="n"/>
      <c r="O126" s="10" t="n"/>
    </row>
    <row r="127">
      <c r="A127" s="6" t="n"/>
      <c r="B127" s="6" t="n"/>
      <c r="C127" s="6" t="n"/>
      <c r="D127" s="6" t="n"/>
      <c r="E127" s="6" t="n"/>
      <c r="F127" s="7" t="n"/>
      <c r="G127" s="8" t="n"/>
      <c r="H127" s="8" t="n"/>
      <c r="I127" s="8" t="n"/>
      <c r="J127" s="6" t="n"/>
      <c r="K127" s="6" t="n"/>
      <c r="L127" s="6" t="n"/>
      <c r="M127" s="9" t="n"/>
      <c r="N127" s="7" t="n"/>
      <c r="O127" s="10" t="n"/>
    </row>
    <row r="128">
      <c r="A128" s="6" t="n"/>
      <c r="B128" s="6" t="n"/>
      <c r="C128" s="6" t="n"/>
      <c r="D128" s="6" t="n"/>
      <c r="E128" s="6" t="n"/>
      <c r="F128" s="7" t="n"/>
      <c r="G128" s="8" t="n"/>
      <c r="H128" s="8" t="n"/>
      <c r="I128" s="8" t="n"/>
      <c r="J128" s="6" t="n"/>
      <c r="K128" s="6" t="n"/>
      <c r="L128" s="6" t="n"/>
      <c r="M128" s="9" t="n"/>
      <c r="N128" s="7" t="n"/>
      <c r="O128" s="10" t="n"/>
    </row>
    <row r="129">
      <c r="A129" s="6" t="n"/>
      <c r="B129" s="6" t="n"/>
      <c r="C129" s="6" t="n"/>
      <c r="D129" s="6" t="n"/>
      <c r="E129" s="6" t="n"/>
      <c r="F129" s="7" t="n"/>
      <c r="G129" s="8" t="n"/>
      <c r="H129" s="8" t="n"/>
      <c r="I129" s="8" t="n"/>
      <c r="J129" s="6" t="n"/>
      <c r="K129" s="6" t="n"/>
      <c r="L129" s="6" t="n"/>
      <c r="M129" s="9" t="n"/>
      <c r="N129" s="7" t="n"/>
      <c r="O129" s="10" t="n"/>
    </row>
    <row r="130">
      <c r="A130" s="6" t="n"/>
      <c r="B130" s="6" t="n"/>
      <c r="C130" s="6" t="n"/>
      <c r="D130" s="6" t="n"/>
      <c r="E130" s="6" t="n"/>
      <c r="F130" s="7" t="n"/>
      <c r="G130" s="8" t="n"/>
      <c r="H130" s="8" t="n"/>
      <c r="I130" s="8" t="n"/>
      <c r="J130" s="6" t="n"/>
      <c r="K130" s="6" t="n"/>
      <c r="L130" s="6" t="n"/>
      <c r="M130" s="9" t="n"/>
      <c r="N130" s="7" t="n"/>
      <c r="O130" s="10" t="n"/>
    </row>
    <row r="131">
      <c r="A131" s="6" t="n"/>
      <c r="B131" s="6" t="n"/>
      <c r="C131" s="6" t="n"/>
      <c r="D131" s="6" t="n"/>
      <c r="E131" s="6" t="n"/>
      <c r="F131" s="7" t="n"/>
      <c r="G131" s="8" t="n"/>
      <c r="H131" s="8" t="n"/>
      <c r="I131" s="8" t="n"/>
      <c r="J131" s="6" t="n"/>
      <c r="K131" s="6" t="n"/>
      <c r="L131" s="6" t="n"/>
      <c r="M131" s="9" t="n"/>
      <c r="N131" s="7" t="n"/>
      <c r="O131" s="10" t="n"/>
    </row>
    <row r="132">
      <c r="A132" s="6" t="n"/>
      <c r="B132" s="6" t="n"/>
      <c r="C132" s="6" t="n"/>
      <c r="D132" s="6" t="n"/>
      <c r="E132" s="6" t="n"/>
      <c r="F132" s="7" t="n"/>
      <c r="G132" s="8" t="n"/>
      <c r="H132" s="8" t="n"/>
      <c r="I132" s="8" t="n"/>
      <c r="J132" s="6" t="n"/>
      <c r="K132" s="6" t="n"/>
      <c r="L132" s="6" t="n"/>
      <c r="M132" s="9" t="n"/>
      <c r="N132" s="7" t="n"/>
      <c r="O132" s="10" t="n"/>
    </row>
    <row r="133">
      <c r="A133" s="6" t="n"/>
      <c r="B133" s="6" t="n"/>
      <c r="C133" s="6" t="n"/>
      <c r="D133" s="6" t="n"/>
      <c r="E133" s="6" t="n"/>
      <c r="F133" s="7" t="n"/>
      <c r="G133" s="8" t="n"/>
      <c r="H133" s="8" t="n"/>
      <c r="I133" s="8" t="n"/>
      <c r="J133" s="6" t="n"/>
      <c r="K133" s="6" t="n"/>
      <c r="L133" s="6" t="n"/>
      <c r="M133" s="9" t="n"/>
      <c r="N133" s="7" t="n"/>
      <c r="O133" s="10" t="n"/>
    </row>
    <row r="134">
      <c r="A134" s="6" t="n"/>
      <c r="B134" s="6" t="n"/>
      <c r="C134" s="6" t="n"/>
      <c r="D134" s="6" t="n"/>
      <c r="E134" s="6" t="n"/>
      <c r="F134" s="7" t="n"/>
      <c r="G134" s="8" t="n"/>
      <c r="H134" s="8" t="n"/>
      <c r="I134" s="8" t="n"/>
      <c r="J134" s="6" t="n"/>
      <c r="K134" s="6" t="n"/>
      <c r="L134" s="6" t="n"/>
      <c r="M134" s="9" t="n"/>
      <c r="N134" s="7" t="n"/>
      <c r="O134" s="10" t="n"/>
    </row>
    <row r="135">
      <c r="A135" s="6" t="n"/>
      <c r="B135" s="6" t="n"/>
      <c r="C135" s="6" t="n"/>
      <c r="D135" s="6" t="n"/>
      <c r="E135" s="6" t="n"/>
      <c r="F135" s="7" t="n"/>
      <c r="G135" s="8" t="n"/>
      <c r="H135" s="8" t="n"/>
      <c r="I135" s="8" t="n"/>
      <c r="J135" s="6" t="n"/>
      <c r="K135" s="6" t="n"/>
      <c r="L135" s="6" t="n"/>
      <c r="M135" s="9" t="n"/>
      <c r="N135" s="7" t="n"/>
      <c r="O135" s="10" t="n"/>
    </row>
    <row r="136">
      <c r="A136" s="6" t="n"/>
      <c r="B136" s="6" t="n"/>
      <c r="C136" s="6" t="n"/>
      <c r="D136" s="6" t="n"/>
      <c r="E136" s="6" t="n"/>
      <c r="F136" s="7" t="n"/>
      <c r="G136" s="8" t="n"/>
      <c r="H136" s="8" t="n"/>
      <c r="I136" s="8" t="n"/>
      <c r="J136" s="6" t="n"/>
      <c r="K136" s="6" t="n"/>
      <c r="L136" s="6" t="n"/>
      <c r="M136" s="9" t="n"/>
      <c r="N136" s="7" t="n"/>
      <c r="O136" s="10" t="n"/>
    </row>
    <row r="137">
      <c r="A137" s="6" t="n"/>
      <c r="B137" s="6" t="n"/>
      <c r="C137" s="6" t="n"/>
      <c r="D137" s="6" t="n"/>
      <c r="E137" s="6" t="n"/>
      <c r="F137" s="7" t="n"/>
      <c r="G137" s="8" t="n"/>
      <c r="H137" s="8" t="n"/>
      <c r="I137" s="8" t="n"/>
      <c r="J137" s="6" t="n"/>
      <c r="K137" s="6" t="n"/>
      <c r="L137" s="6" t="n"/>
      <c r="M137" s="9" t="n"/>
      <c r="N137" s="7" t="n"/>
      <c r="O137" s="10" t="n"/>
    </row>
    <row r="138">
      <c r="A138" s="6" t="n"/>
      <c r="B138" s="6" t="n"/>
      <c r="C138" s="6" t="n"/>
      <c r="D138" s="6" t="n"/>
      <c r="E138" s="6" t="n"/>
      <c r="F138" s="7" t="n"/>
      <c r="G138" s="8" t="n"/>
      <c r="H138" s="8" t="n"/>
      <c r="I138" s="8" t="n"/>
      <c r="J138" s="6" t="n"/>
      <c r="K138" s="6" t="n"/>
      <c r="L138" s="6" t="n"/>
      <c r="M138" s="9" t="n"/>
      <c r="N138" s="7" t="n"/>
      <c r="O138" s="10" t="n"/>
    </row>
    <row r="139">
      <c r="A139" s="6" t="n"/>
      <c r="B139" s="6" t="n"/>
      <c r="C139" s="6" t="n"/>
      <c r="D139" s="6" t="n"/>
      <c r="E139" s="6" t="n"/>
      <c r="F139" s="7" t="n"/>
      <c r="G139" s="8" t="n"/>
      <c r="H139" s="8" t="n"/>
      <c r="I139" s="8" t="n"/>
      <c r="J139" s="6" t="n"/>
      <c r="K139" s="6" t="n"/>
      <c r="L139" s="6" t="n"/>
      <c r="M139" s="9" t="n"/>
      <c r="N139" s="7" t="n"/>
      <c r="O139" s="10" t="n"/>
    </row>
    <row r="140">
      <c r="A140" s="6" t="n"/>
      <c r="B140" s="6" t="n"/>
      <c r="C140" s="6" t="n"/>
      <c r="D140" s="6" t="n"/>
      <c r="E140" s="6" t="n"/>
      <c r="F140" s="7" t="n"/>
      <c r="G140" s="8" t="n"/>
      <c r="H140" s="8" t="n"/>
      <c r="I140" s="8" t="n"/>
      <c r="J140" s="6" t="n"/>
      <c r="K140" s="6" t="n"/>
      <c r="L140" s="6" t="n"/>
      <c r="M140" s="9" t="n"/>
      <c r="N140" s="7" t="n"/>
      <c r="O140" s="10" t="n"/>
    </row>
    <row r="141">
      <c r="A141" s="6" t="n"/>
      <c r="B141" s="6" t="n"/>
      <c r="C141" s="6" t="n"/>
      <c r="D141" s="6" t="n"/>
      <c r="E141" s="6" t="n"/>
      <c r="F141" s="7" t="n"/>
      <c r="G141" s="8" t="n"/>
      <c r="H141" s="8" t="n"/>
      <c r="I141" s="8" t="n"/>
      <c r="J141" s="6" t="n"/>
      <c r="K141" s="6" t="n"/>
      <c r="L141" s="6" t="n"/>
      <c r="M141" s="9" t="n"/>
      <c r="N141" s="7" t="n"/>
      <c r="O141" s="10" t="n"/>
    </row>
    <row r="142">
      <c r="A142" s="6" t="n"/>
      <c r="B142" s="6" t="n"/>
      <c r="C142" s="6" t="n"/>
      <c r="D142" s="6" t="n"/>
      <c r="E142" s="6" t="n"/>
      <c r="F142" s="7" t="n"/>
      <c r="G142" s="8" t="n"/>
      <c r="H142" s="8" t="n"/>
      <c r="I142" s="8" t="n"/>
      <c r="J142" s="6" t="n"/>
      <c r="K142" s="6" t="n"/>
      <c r="L142" s="6" t="n"/>
      <c r="M142" s="9" t="n"/>
      <c r="N142" s="7" t="n"/>
      <c r="O142" s="10" t="n"/>
    </row>
    <row r="143">
      <c r="A143" s="6" t="n"/>
      <c r="B143" s="6" t="n"/>
      <c r="C143" s="6" t="n"/>
      <c r="D143" s="6" t="n"/>
      <c r="E143" s="6" t="n"/>
      <c r="F143" s="7" t="n"/>
      <c r="G143" s="8" t="n"/>
      <c r="H143" s="8" t="n"/>
      <c r="I143" s="8" t="n"/>
      <c r="J143" s="6" t="n"/>
      <c r="K143" s="6" t="n"/>
      <c r="L143" s="6" t="n"/>
      <c r="M143" s="9" t="n"/>
      <c r="N143" s="7" t="n"/>
      <c r="O143" s="10" t="n"/>
    </row>
    <row r="144">
      <c r="A144" s="6" t="n"/>
      <c r="B144" s="6" t="n"/>
      <c r="C144" s="6" t="n"/>
      <c r="D144" s="6" t="n"/>
      <c r="E144" s="6" t="n"/>
      <c r="F144" s="7" t="n"/>
      <c r="G144" s="8" t="n"/>
      <c r="H144" s="8" t="n"/>
      <c r="I144" s="8" t="n"/>
      <c r="J144" s="6" t="n"/>
      <c r="K144" s="6" t="n"/>
      <c r="L144" s="6" t="n"/>
      <c r="M144" s="9" t="n"/>
      <c r="N144" s="7" t="n"/>
      <c r="O144" s="10" t="n"/>
    </row>
    <row r="145">
      <c r="A145" s="6" t="n"/>
      <c r="B145" s="6" t="n"/>
      <c r="C145" s="6" t="n"/>
      <c r="D145" s="6" t="n"/>
      <c r="E145" s="6" t="n"/>
      <c r="F145" s="7" t="n"/>
      <c r="G145" s="8" t="n"/>
      <c r="H145" s="8" t="n"/>
      <c r="I145" s="8" t="n"/>
      <c r="J145" s="6" t="n"/>
      <c r="K145" s="6" t="n"/>
      <c r="L145" s="6" t="n"/>
      <c r="M145" s="9" t="n"/>
      <c r="N145" s="7" t="n"/>
      <c r="O145" s="10" t="n"/>
    </row>
    <row r="146">
      <c r="A146" s="6" t="n"/>
      <c r="B146" s="6" t="n"/>
      <c r="C146" s="6" t="n"/>
      <c r="D146" s="6" t="n"/>
      <c r="E146" s="6" t="n"/>
      <c r="F146" s="7" t="n"/>
      <c r="G146" s="8" t="n"/>
      <c r="H146" s="8" t="n"/>
      <c r="I146" s="8" t="n"/>
      <c r="J146" s="6" t="n"/>
      <c r="K146" s="6" t="n"/>
      <c r="L146" s="6" t="n"/>
      <c r="M146" s="9" t="n"/>
      <c r="N146" s="7" t="n"/>
      <c r="O146" s="10" t="n"/>
    </row>
    <row r="147">
      <c r="A147" s="6" t="n"/>
      <c r="B147" s="6" t="n"/>
      <c r="C147" s="6" t="n"/>
      <c r="D147" s="6" t="n"/>
      <c r="E147" s="6" t="n"/>
      <c r="F147" s="7" t="n"/>
      <c r="G147" s="8" t="n"/>
      <c r="H147" s="8" t="n"/>
      <c r="I147" s="8" t="n"/>
      <c r="J147" s="6" t="n"/>
      <c r="K147" s="6" t="n"/>
      <c r="L147" s="6" t="n"/>
      <c r="M147" s="9" t="n"/>
      <c r="N147" s="7" t="n"/>
      <c r="O147" s="10" t="n"/>
    </row>
    <row r="148">
      <c r="A148" s="6" t="n"/>
      <c r="B148" s="6" t="n"/>
      <c r="C148" s="6" t="n"/>
      <c r="D148" s="6" t="n"/>
      <c r="E148" s="6" t="n"/>
      <c r="F148" s="7" t="n"/>
      <c r="G148" s="8" t="n"/>
      <c r="H148" s="8" t="n"/>
      <c r="I148" s="8" t="n"/>
      <c r="J148" s="6" t="n"/>
      <c r="K148" s="6" t="n"/>
      <c r="L148" s="6" t="n"/>
      <c r="M148" s="9" t="n"/>
      <c r="N148" s="7" t="n"/>
      <c r="O148" s="10" t="n"/>
    </row>
    <row r="149">
      <c r="A149" s="6" t="n"/>
      <c r="B149" s="6" t="n"/>
      <c r="C149" s="6" t="n"/>
      <c r="D149" s="6" t="n"/>
      <c r="E149" s="6" t="n"/>
      <c r="F149" s="7" t="n"/>
      <c r="G149" s="8" t="n"/>
      <c r="H149" s="8" t="n"/>
      <c r="I149" s="8" t="n"/>
      <c r="J149" s="6" t="n"/>
      <c r="K149" s="6" t="n"/>
      <c r="L149" s="6" t="n"/>
      <c r="M149" s="9" t="n"/>
      <c r="N149" s="7" t="n"/>
      <c r="O149" s="10" t="n"/>
    </row>
    <row r="150">
      <c r="A150" s="6" t="n"/>
      <c r="B150" s="6" t="n"/>
      <c r="C150" s="6" t="n"/>
      <c r="D150" s="6" t="n"/>
      <c r="E150" s="6" t="n"/>
      <c r="F150" s="7" t="n"/>
      <c r="G150" s="8" t="n"/>
      <c r="H150" s="8" t="n"/>
      <c r="I150" s="8" t="n"/>
      <c r="J150" s="6" t="n"/>
      <c r="K150" s="6" t="n"/>
      <c r="L150" s="6" t="n"/>
      <c r="M150" s="9" t="n"/>
      <c r="N150" s="7" t="n"/>
      <c r="O150" s="10" t="n"/>
    </row>
    <row r="151">
      <c r="A151" s="6" t="n"/>
      <c r="B151" s="6" t="n"/>
      <c r="C151" s="6" t="n"/>
      <c r="D151" s="6" t="n"/>
      <c r="E151" s="6" t="n"/>
      <c r="F151" s="7" t="n"/>
      <c r="G151" s="8" t="n"/>
      <c r="H151" s="8" t="n"/>
      <c r="I151" s="8" t="n"/>
      <c r="J151" s="6" t="n"/>
      <c r="K151" s="6" t="n"/>
      <c r="L151" s="6" t="n"/>
      <c r="M151" s="9" t="n"/>
      <c r="N151" s="7" t="n"/>
      <c r="O151" s="10" t="n"/>
    </row>
    <row r="152">
      <c r="A152" s="6" t="n"/>
      <c r="B152" s="6" t="n"/>
      <c r="C152" s="6" t="n"/>
      <c r="D152" s="6" t="n"/>
      <c r="E152" s="6" t="n"/>
      <c r="F152" s="7" t="n"/>
      <c r="G152" s="8" t="n"/>
      <c r="H152" s="8" t="n"/>
      <c r="I152" s="8" t="n"/>
      <c r="J152" s="6" t="n"/>
      <c r="K152" s="6" t="n"/>
      <c r="L152" s="6" t="n"/>
      <c r="M152" s="9" t="n"/>
      <c r="N152" s="7" t="n"/>
      <c r="O152" s="10" t="n"/>
    </row>
    <row r="153">
      <c r="A153" s="6" t="n"/>
      <c r="B153" s="6" t="n"/>
      <c r="C153" s="6" t="n"/>
      <c r="D153" s="6" t="n"/>
      <c r="E153" s="6" t="n"/>
      <c r="F153" s="7" t="n"/>
      <c r="G153" s="8" t="n"/>
      <c r="H153" s="8" t="n"/>
      <c r="I153" s="8" t="n"/>
      <c r="J153" s="6" t="n"/>
      <c r="K153" s="6" t="n"/>
      <c r="L153" s="6" t="n"/>
      <c r="M153" s="9" t="n"/>
      <c r="N153" s="7" t="n"/>
      <c r="O153" s="10" t="n"/>
    </row>
    <row r="154">
      <c r="A154" s="6" t="n"/>
      <c r="B154" s="6" t="n"/>
      <c r="C154" s="6" t="n"/>
      <c r="D154" s="6" t="n"/>
      <c r="E154" s="6" t="n"/>
      <c r="F154" s="7" t="n"/>
      <c r="G154" s="8" t="n"/>
      <c r="H154" s="8" t="n"/>
      <c r="I154" s="8" t="n"/>
      <c r="J154" s="6" t="n"/>
      <c r="K154" s="6" t="n"/>
      <c r="L154" s="6" t="n"/>
      <c r="M154" s="9" t="n"/>
      <c r="N154" s="7" t="n"/>
      <c r="O154" s="10" t="n"/>
    </row>
    <row r="155">
      <c r="A155" s="6" t="n"/>
      <c r="B155" s="6" t="n"/>
      <c r="C155" s="6" t="n"/>
      <c r="D155" s="6" t="n"/>
      <c r="E155" s="6" t="n"/>
      <c r="F155" s="7" t="n"/>
      <c r="G155" s="8" t="n"/>
      <c r="H155" s="8" t="n"/>
      <c r="I155" s="8" t="n"/>
      <c r="J155" s="6" t="n"/>
      <c r="K155" s="6" t="n"/>
      <c r="L155" s="6" t="n"/>
      <c r="M155" s="9" t="n"/>
      <c r="N155" s="7" t="n"/>
      <c r="O155" s="10" t="n"/>
    </row>
    <row r="156">
      <c r="A156" s="6" t="n"/>
      <c r="B156" s="6" t="n"/>
      <c r="C156" s="6" t="n"/>
      <c r="D156" s="6" t="n"/>
      <c r="E156" s="6" t="n"/>
      <c r="F156" s="7" t="n"/>
      <c r="G156" s="8" t="n"/>
      <c r="H156" s="8" t="n"/>
      <c r="I156" s="8" t="n"/>
      <c r="J156" s="6" t="n"/>
      <c r="K156" s="6" t="n"/>
      <c r="L156" s="6" t="n"/>
      <c r="M156" s="9" t="n"/>
      <c r="N156" s="7" t="n"/>
      <c r="O156" s="10" t="n"/>
    </row>
    <row r="157">
      <c r="A157" s="6" t="n"/>
      <c r="B157" s="6" t="n"/>
      <c r="C157" s="6" t="n"/>
      <c r="D157" s="6" t="n"/>
      <c r="E157" s="6" t="n"/>
      <c r="F157" s="7" t="n"/>
      <c r="G157" s="8" t="n"/>
      <c r="H157" s="8" t="n"/>
      <c r="I157" s="8" t="n"/>
      <c r="J157" s="6" t="n"/>
      <c r="K157" s="6" t="n"/>
      <c r="L157" s="6" t="n"/>
      <c r="M157" s="9" t="n"/>
      <c r="N157" s="7" t="n"/>
      <c r="O157" s="10" t="n"/>
    </row>
    <row r="158">
      <c r="A158" s="6" t="n"/>
      <c r="B158" s="6" t="n"/>
      <c r="C158" s="6" t="n"/>
      <c r="D158" s="6" t="n"/>
      <c r="E158" s="6" t="n"/>
      <c r="F158" s="7" t="n"/>
      <c r="G158" s="8" t="n"/>
      <c r="H158" s="8" t="n"/>
      <c r="I158" s="8" t="n"/>
      <c r="J158" s="6" t="n"/>
      <c r="K158" s="6" t="n"/>
      <c r="L158" s="6" t="n"/>
      <c r="M158" s="9" t="n"/>
      <c r="N158" s="7" t="n"/>
      <c r="O158" s="10" t="n"/>
    </row>
    <row r="159">
      <c r="A159" s="6" t="n"/>
      <c r="B159" s="6" t="n"/>
      <c r="C159" s="6" t="n"/>
      <c r="D159" s="6" t="n"/>
      <c r="E159" s="6" t="n"/>
      <c r="F159" s="7" t="n"/>
      <c r="G159" s="8" t="n"/>
      <c r="H159" s="8" t="n"/>
      <c r="I159" s="8" t="n"/>
      <c r="J159" s="6" t="n"/>
      <c r="K159" s="6" t="n"/>
      <c r="L159" s="6" t="n"/>
      <c r="M159" s="9" t="n"/>
      <c r="N159" s="7" t="n"/>
      <c r="O159" s="10" t="n"/>
    </row>
    <row r="160">
      <c r="A160" s="6" t="n"/>
      <c r="B160" s="6" t="n"/>
      <c r="C160" s="6" t="n"/>
      <c r="D160" s="6" t="n"/>
      <c r="E160" s="6" t="n"/>
      <c r="F160" s="7" t="n"/>
      <c r="G160" s="8" t="n"/>
      <c r="H160" s="8" t="n"/>
      <c r="I160" s="8" t="n"/>
      <c r="J160" s="6" t="n"/>
      <c r="K160" s="6" t="n"/>
      <c r="L160" s="6" t="n"/>
      <c r="M160" s="9" t="n"/>
      <c r="N160" s="7" t="n"/>
      <c r="O160" s="10" t="n"/>
    </row>
    <row r="161">
      <c r="A161" s="6" t="n"/>
      <c r="B161" s="6" t="n"/>
      <c r="C161" s="6" t="n"/>
      <c r="D161" s="6" t="n"/>
      <c r="E161" s="6" t="n"/>
      <c r="F161" s="7" t="n"/>
      <c r="G161" s="8" t="n"/>
      <c r="H161" s="8" t="n"/>
      <c r="I161" s="8" t="n"/>
      <c r="J161" s="6" t="n"/>
      <c r="K161" s="6" t="n"/>
      <c r="L161" s="6" t="n"/>
      <c r="M161" s="9" t="n"/>
      <c r="N161" s="7" t="n"/>
      <c r="O161" s="10" t="n"/>
    </row>
    <row r="162">
      <c r="A162" s="6" t="n"/>
      <c r="B162" s="6" t="n"/>
      <c r="C162" s="6" t="n"/>
      <c r="D162" s="6" t="n"/>
      <c r="E162" s="6" t="n"/>
      <c r="F162" s="7" t="n"/>
      <c r="G162" s="8" t="n"/>
      <c r="H162" s="8" t="n"/>
      <c r="I162" s="8" t="n"/>
      <c r="J162" s="6" t="n"/>
      <c r="K162" s="6" t="n"/>
      <c r="L162" s="6" t="n"/>
      <c r="M162" s="9" t="n"/>
      <c r="N162" s="7" t="n"/>
      <c r="O162" s="10" t="n"/>
    </row>
    <row r="163">
      <c r="A163" s="6" t="n"/>
      <c r="B163" s="6" t="n"/>
      <c r="C163" s="6" t="n"/>
      <c r="D163" s="6" t="n"/>
      <c r="E163" s="6" t="n"/>
      <c r="F163" s="7" t="n"/>
      <c r="G163" s="8" t="n"/>
      <c r="H163" s="8" t="n"/>
      <c r="I163" s="8" t="n"/>
      <c r="J163" s="6" t="n"/>
      <c r="K163" s="6" t="n"/>
      <c r="L163" s="6" t="n"/>
      <c r="M163" s="9" t="n"/>
      <c r="N163" s="7" t="n"/>
      <c r="O163" s="10" t="n"/>
    </row>
    <row r="164">
      <c r="A164" s="6" t="n"/>
      <c r="B164" s="6" t="n"/>
      <c r="C164" s="6" t="n"/>
      <c r="D164" s="6" t="n"/>
      <c r="E164" s="6" t="n"/>
      <c r="F164" s="7" t="n"/>
      <c r="G164" s="8" t="n"/>
      <c r="H164" s="8" t="n"/>
      <c r="I164" s="8" t="n"/>
      <c r="J164" s="6" t="n"/>
      <c r="K164" s="6" t="n"/>
      <c r="L164" s="6" t="n"/>
      <c r="M164" s="9" t="n"/>
      <c r="N164" s="7" t="n"/>
      <c r="O164" s="10" t="n"/>
    </row>
    <row r="165">
      <c r="A165" s="6" t="n"/>
      <c r="B165" s="6" t="n"/>
      <c r="C165" s="6" t="n"/>
      <c r="D165" s="6" t="n"/>
      <c r="E165" s="6" t="n"/>
      <c r="F165" s="7" t="n"/>
      <c r="G165" s="8" t="n"/>
      <c r="H165" s="8" t="n"/>
      <c r="I165" s="8" t="n"/>
      <c r="J165" s="6" t="n"/>
      <c r="K165" s="6" t="n"/>
      <c r="L165" s="6" t="n"/>
      <c r="M165" s="9" t="n"/>
      <c r="N165" s="7" t="n"/>
      <c r="O165" s="10" t="n"/>
    </row>
    <row r="166">
      <c r="A166" s="6" t="n"/>
      <c r="B166" s="6" t="n"/>
      <c r="C166" s="6" t="n"/>
      <c r="D166" s="6" t="n"/>
      <c r="E166" s="6" t="n"/>
      <c r="F166" s="7" t="n"/>
      <c r="G166" s="8" t="n"/>
      <c r="H166" s="8" t="n"/>
      <c r="I166" s="8" t="n"/>
      <c r="J166" s="6" t="n"/>
      <c r="K166" s="6" t="n"/>
      <c r="L166" s="6" t="n"/>
      <c r="M166" s="9" t="n"/>
      <c r="N166" s="7" t="n"/>
      <c r="O166" s="10" t="n"/>
    </row>
    <row r="167">
      <c r="A167" s="6" t="n"/>
      <c r="B167" s="6" t="n"/>
      <c r="C167" s="6" t="n"/>
      <c r="D167" s="6" t="n"/>
      <c r="E167" s="6" t="n"/>
      <c r="F167" s="7" t="n"/>
      <c r="G167" s="8" t="n"/>
      <c r="H167" s="8" t="n"/>
      <c r="I167" s="8" t="n"/>
      <c r="J167" s="6" t="n"/>
      <c r="K167" s="6" t="n"/>
      <c r="L167" s="6" t="n"/>
      <c r="M167" s="9" t="n"/>
      <c r="N167" s="7" t="n"/>
      <c r="O167" s="10" t="n"/>
    </row>
    <row r="168">
      <c r="A168" s="6" t="n"/>
      <c r="B168" s="6" t="n"/>
      <c r="C168" s="6" t="n"/>
      <c r="D168" s="6" t="n"/>
      <c r="E168" s="6" t="n"/>
      <c r="F168" s="7" t="n"/>
      <c r="G168" s="8" t="n"/>
      <c r="H168" s="8" t="n"/>
      <c r="I168" s="8" t="n"/>
      <c r="J168" s="6" t="n"/>
      <c r="K168" s="6" t="n"/>
      <c r="L168" s="6" t="n"/>
      <c r="M168" s="9" t="n"/>
      <c r="N168" s="7" t="n"/>
      <c r="O168" s="10" t="n"/>
    </row>
    <row r="169">
      <c r="A169" s="6" t="n"/>
      <c r="B169" s="6" t="n"/>
      <c r="C169" s="6" t="n"/>
      <c r="D169" s="6" t="n"/>
      <c r="E169" s="6" t="n"/>
      <c r="F169" s="7" t="n"/>
      <c r="G169" s="8" t="n"/>
      <c r="H169" s="8" t="n"/>
      <c r="I169" s="8" t="n"/>
      <c r="J169" s="6" t="n"/>
      <c r="K169" s="6" t="n"/>
      <c r="L169" s="6" t="n"/>
      <c r="M169" s="9" t="n"/>
      <c r="N169" s="7" t="n"/>
      <c r="O169" s="10" t="n"/>
    </row>
    <row r="170">
      <c r="A170" s="6" t="n"/>
      <c r="B170" s="6" t="n"/>
      <c r="C170" s="6" t="n"/>
      <c r="D170" s="6" t="n"/>
      <c r="E170" s="6" t="n"/>
      <c r="F170" s="7" t="n"/>
      <c r="G170" s="8" t="n"/>
      <c r="H170" s="8" t="n"/>
      <c r="I170" s="8" t="n"/>
      <c r="J170" s="6" t="n"/>
      <c r="K170" s="6" t="n"/>
      <c r="L170" s="6" t="n"/>
      <c r="M170" s="9" t="n"/>
      <c r="N170" s="7" t="n"/>
      <c r="O170" s="10" t="n"/>
    </row>
    <row r="171">
      <c r="A171" s="6" t="n"/>
      <c r="B171" s="6" t="n"/>
      <c r="C171" s="6" t="n"/>
      <c r="D171" s="6" t="n"/>
      <c r="E171" s="6" t="n"/>
      <c r="F171" s="7" t="n"/>
      <c r="G171" s="8" t="n"/>
      <c r="H171" s="8" t="n"/>
      <c r="I171" s="8" t="n"/>
      <c r="J171" s="6" t="n"/>
      <c r="K171" s="6" t="n"/>
      <c r="L171" s="6" t="n"/>
      <c r="M171" s="9" t="n"/>
      <c r="N171" s="7" t="n"/>
      <c r="O171" s="10" t="n"/>
    </row>
    <row r="172">
      <c r="A172" s="6" t="n"/>
      <c r="B172" s="6" t="n"/>
      <c r="C172" s="6" t="n"/>
      <c r="D172" s="6" t="n"/>
      <c r="E172" s="6" t="n"/>
      <c r="F172" s="7" t="n"/>
      <c r="G172" s="8" t="n"/>
      <c r="H172" s="8" t="n"/>
      <c r="I172" s="8" t="n"/>
      <c r="J172" s="6" t="n"/>
      <c r="K172" s="6" t="n"/>
      <c r="L172" s="6" t="n"/>
      <c r="M172" s="9" t="n"/>
      <c r="N172" s="7" t="n"/>
      <c r="O172" s="10" t="n"/>
    </row>
    <row r="173">
      <c r="A173" s="6" t="n"/>
      <c r="B173" s="6" t="n"/>
      <c r="C173" s="6" t="n"/>
      <c r="D173" s="6" t="n"/>
      <c r="E173" s="6" t="n"/>
      <c r="F173" s="7" t="n"/>
      <c r="G173" s="8" t="n"/>
      <c r="H173" s="8" t="n"/>
      <c r="I173" s="8" t="n"/>
      <c r="J173" s="6" t="n"/>
      <c r="K173" s="6" t="n"/>
      <c r="L173" s="6" t="n"/>
      <c r="M173" s="9" t="n"/>
      <c r="N173" s="7" t="n"/>
      <c r="O173" s="10" t="n"/>
    </row>
    <row r="174">
      <c r="A174" s="6" t="n"/>
      <c r="B174" s="6" t="n"/>
      <c r="C174" s="6" t="n"/>
      <c r="D174" s="6" t="n"/>
      <c r="E174" s="6" t="n"/>
      <c r="F174" s="7" t="n"/>
      <c r="G174" s="8" t="n"/>
      <c r="H174" s="8" t="n"/>
      <c r="I174" s="8" t="n"/>
      <c r="J174" s="6" t="n"/>
      <c r="K174" s="6" t="n"/>
      <c r="L174" s="6" t="n"/>
      <c r="M174" s="9" t="n"/>
      <c r="N174" s="7" t="n"/>
      <c r="O174" s="10" t="n"/>
    </row>
    <row r="175">
      <c r="A175" s="6" t="n"/>
      <c r="B175" s="6" t="n"/>
      <c r="C175" s="6" t="n"/>
      <c r="D175" s="6" t="n"/>
      <c r="E175" s="6" t="n"/>
      <c r="F175" s="7" t="n"/>
      <c r="G175" s="8" t="n"/>
      <c r="H175" s="8" t="n"/>
      <c r="I175" s="8" t="n"/>
      <c r="J175" s="6" t="n"/>
      <c r="K175" s="6" t="n"/>
      <c r="L175" s="6" t="n"/>
      <c r="M175" s="9" t="n"/>
      <c r="N175" s="7" t="n"/>
      <c r="O175" s="10" t="n"/>
    </row>
    <row r="176">
      <c r="A176" s="6" t="n"/>
      <c r="B176" s="6" t="n"/>
      <c r="C176" s="6" t="n"/>
      <c r="D176" s="6" t="n"/>
      <c r="E176" s="6" t="n"/>
      <c r="F176" s="7" t="n"/>
      <c r="G176" s="8" t="n"/>
      <c r="H176" s="8" t="n"/>
      <c r="I176" s="8" t="n"/>
      <c r="J176" s="6" t="n"/>
      <c r="K176" s="6" t="n"/>
      <c r="L176" s="6" t="n"/>
      <c r="M176" s="9" t="n"/>
      <c r="N176" s="7" t="n"/>
      <c r="O176" s="10" t="n"/>
    </row>
    <row r="177">
      <c r="A177" s="6" t="n"/>
      <c r="B177" s="6" t="n"/>
      <c r="C177" s="6" t="n"/>
      <c r="D177" s="6" t="n"/>
      <c r="E177" s="6" t="n"/>
      <c r="F177" s="7" t="n"/>
      <c r="G177" s="8" t="n"/>
      <c r="H177" s="8" t="n"/>
      <c r="I177" s="8" t="n"/>
      <c r="J177" s="6" t="n"/>
      <c r="K177" s="6" t="n"/>
      <c r="L177" s="6" t="n"/>
      <c r="M177" s="9" t="n"/>
      <c r="N177" s="7" t="n"/>
      <c r="O177" s="10" t="n"/>
    </row>
    <row r="178">
      <c r="A178" s="6" t="n"/>
      <c r="B178" s="6" t="n"/>
      <c r="C178" s="6" t="n"/>
      <c r="D178" s="6" t="n"/>
      <c r="E178" s="6" t="n"/>
      <c r="F178" s="7" t="n"/>
      <c r="G178" s="8" t="n"/>
      <c r="H178" s="8" t="n"/>
      <c r="I178" s="8" t="n"/>
      <c r="J178" s="6" t="n"/>
      <c r="K178" s="6" t="n"/>
      <c r="L178" s="6" t="n"/>
      <c r="M178" s="9" t="n"/>
      <c r="N178" s="7" t="n"/>
      <c r="O178" s="10" t="n"/>
    </row>
    <row r="179">
      <c r="A179" s="6" t="n"/>
      <c r="B179" s="6" t="n"/>
      <c r="C179" s="6" t="n"/>
      <c r="D179" s="6" t="n"/>
      <c r="E179" s="6" t="n"/>
      <c r="F179" s="7" t="n"/>
      <c r="G179" s="8" t="n"/>
      <c r="H179" s="8" t="n"/>
      <c r="I179" s="8" t="n"/>
      <c r="J179" s="6" t="n"/>
      <c r="K179" s="6" t="n"/>
      <c r="L179" s="6" t="n"/>
      <c r="M179" s="9" t="n"/>
      <c r="N179" s="7" t="n"/>
      <c r="O179" s="10" t="n"/>
    </row>
    <row r="180">
      <c r="A180" s="6" t="n"/>
      <c r="B180" s="6" t="n"/>
      <c r="C180" s="6" t="n"/>
      <c r="D180" s="6" t="n"/>
      <c r="E180" s="6" t="n"/>
      <c r="F180" s="7" t="n"/>
      <c r="G180" s="8" t="n"/>
      <c r="H180" s="8" t="n"/>
      <c r="I180" s="8" t="n"/>
      <c r="J180" s="6" t="n"/>
      <c r="K180" s="6" t="n"/>
      <c r="L180" s="6" t="n"/>
      <c r="M180" s="9" t="n"/>
      <c r="N180" s="7" t="n"/>
      <c r="O180" s="10" t="n"/>
    </row>
    <row r="181">
      <c r="A181" s="6" t="n"/>
      <c r="B181" s="6" t="n"/>
      <c r="C181" s="6" t="n"/>
      <c r="D181" s="6" t="n"/>
      <c r="E181" s="6" t="n"/>
      <c r="F181" s="7" t="n"/>
      <c r="G181" s="8" t="n"/>
      <c r="H181" s="8" t="n"/>
      <c r="I181" s="8" t="n"/>
      <c r="J181" s="6" t="n"/>
      <c r="K181" s="6" t="n"/>
      <c r="L181" s="6" t="n"/>
      <c r="M181" s="9" t="n"/>
      <c r="N181" s="7" t="n"/>
      <c r="O181" s="10" t="n"/>
    </row>
    <row r="182">
      <c r="A182" s="6" t="n"/>
      <c r="B182" s="6" t="n"/>
      <c r="C182" s="6" t="n"/>
      <c r="D182" s="6" t="n"/>
      <c r="E182" s="6" t="n"/>
      <c r="F182" s="7" t="n"/>
      <c r="G182" s="8" t="n"/>
      <c r="H182" s="8" t="n"/>
      <c r="I182" s="8" t="n"/>
      <c r="J182" s="6" t="n"/>
      <c r="K182" s="6" t="n"/>
      <c r="L182" s="6" t="n"/>
      <c r="M182" s="9" t="n"/>
      <c r="N182" s="7" t="n"/>
      <c r="O182" s="10" t="n"/>
    </row>
    <row r="183">
      <c r="A183" s="6" t="n"/>
      <c r="B183" s="6" t="n"/>
      <c r="C183" s="6" t="n"/>
      <c r="D183" s="6" t="n"/>
      <c r="E183" s="6" t="n"/>
      <c r="F183" s="7" t="n"/>
      <c r="G183" s="8" t="n"/>
      <c r="H183" s="8" t="n"/>
      <c r="I183" s="8" t="n"/>
      <c r="J183" s="6" t="n"/>
      <c r="K183" s="6" t="n"/>
      <c r="L183" s="6" t="n"/>
      <c r="M183" s="9" t="n"/>
      <c r="N183" s="7" t="n"/>
      <c r="O183" s="10" t="n"/>
    </row>
    <row r="184">
      <c r="A184" s="6" t="n"/>
      <c r="B184" s="6" t="n"/>
      <c r="C184" s="6" t="n"/>
      <c r="D184" s="6" t="n"/>
      <c r="E184" s="6" t="n"/>
      <c r="F184" s="7" t="n"/>
      <c r="G184" s="8" t="n"/>
      <c r="H184" s="8" t="n"/>
      <c r="I184" s="8" t="n"/>
      <c r="J184" s="6" t="n"/>
      <c r="K184" s="6" t="n"/>
      <c r="L184" s="6" t="n"/>
      <c r="M184" s="9" t="n"/>
      <c r="N184" s="7" t="n"/>
      <c r="O184" s="10" t="n"/>
    </row>
    <row r="185">
      <c r="A185" s="6" t="n"/>
      <c r="B185" s="6" t="n"/>
      <c r="C185" s="6" t="n"/>
      <c r="D185" s="6" t="n"/>
      <c r="E185" s="6" t="n"/>
      <c r="F185" s="7" t="n"/>
      <c r="G185" s="8" t="n"/>
      <c r="H185" s="8" t="n"/>
      <c r="I185" s="8" t="n"/>
      <c r="J185" s="6" t="n"/>
      <c r="K185" s="6" t="n"/>
      <c r="L185" s="6" t="n"/>
      <c r="M185" s="9" t="n"/>
      <c r="N185" s="7" t="n"/>
      <c r="O185" s="10" t="n"/>
    </row>
    <row r="186">
      <c r="A186" s="6" t="n"/>
      <c r="B186" s="6" t="n"/>
      <c r="C186" s="6" t="n"/>
      <c r="D186" s="6" t="n"/>
      <c r="E186" s="6" t="n"/>
      <c r="F186" s="7" t="n"/>
      <c r="G186" s="8" t="n"/>
      <c r="H186" s="8" t="n"/>
      <c r="I186" s="8" t="n"/>
      <c r="J186" s="6" t="n"/>
      <c r="K186" s="6" t="n"/>
      <c r="L186" s="6" t="n"/>
      <c r="M186" s="9" t="n"/>
      <c r="N186" s="7" t="n"/>
      <c r="O186" s="10" t="n"/>
    </row>
    <row r="187">
      <c r="A187" s="6" t="n"/>
      <c r="B187" s="6" t="n"/>
      <c r="C187" s="6" t="n"/>
      <c r="D187" s="6" t="n"/>
      <c r="E187" s="6" t="n"/>
      <c r="F187" s="7" t="n"/>
      <c r="G187" s="8" t="n"/>
      <c r="H187" s="8" t="n"/>
      <c r="I187" s="8" t="n"/>
      <c r="J187" s="6" t="n"/>
      <c r="K187" s="6" t="n"/>
      <c r="L187" s="6" t="n"/>
      <c r="M187" s="9" t="n"/>
      <c r="N187" s="7" t="n"/>
      <c r="O187" s="10" t="n"/>
    </row>
    <row r="188">
      <c r="A188" s="6" t="n"/>
      <c r="B188" s="6" t="n"/>
      <c r="C188" s="6" t="n"/>
      <c r="D188" s="6" t="n"/>
      <c r="E188" s="6" t="n"/>
      <c r="F188" s="7" t="n"/>
      <c r="G188" s="8" t="n"/>
      <c r="H188" s="8" t="n"/>
      <c r="I188" s="8" t="n"/>
      <c r="J188" s="6" t="n"/>
      <c r="K188" s="6" t="n"/>
      <c r="L188" s="6" t="n"/>
      <c r="M188" s="9" t="n"/>
      <c r="N188" s="7" t="n"/>
      <c r="O188" s="10" t="n"/>
    </row>
    <row r="189">
      <c r="A189" s="6" t="n"/>
      <c r="B189" s="6" t="n"/>
      <c r="C189" s="6" t="n"/>
      <c r="D189" s="6" t="n"/>
      <c r="E189" s="6" t="n"/>
      <c r="F189" s="7" t="n"/>
      <c r="G189" s="8" t="n"/>
      <c r="H189" s="8" t="n"/>
      <c r="I189" s="8" t="n"/>
      <c r="J189" s="6" t="n"/>
      <c r="K189" s="6" t="n"/>
      <c r="L189" s="6" t="n"/>
      <c r="M189" s="9" t="n"/>
      <c r="N189" s="7" t="n"/>
      <c r="O189" s="10" t="n"/>
    </row>
    <row r="190">
      <c r="A190" s="6" t="n"/>
      <c r="B190" s="6" t="n"/>
      <c r="C190" s="6" t="n"/>
      <c r="D190" s="6" t="n"/>
      <c r="E190" s="6" t="n"/>
      <c r="F190" s="7" t="n"/>
      <c r="G190" s="8" t="n"/>
      <c r="H190" s="8" t="n"/>
      <c r="I190" s="8" t="n"/>
      <c r="J190" s="6" t="n"/>
      <c r="K190" s="6" t="n"/>
      <c r="L190" s="6" t="n"/>
      <c r="M190" s="9" t="n"/>
      <c r="N190" s="7" t="n"/>
      <c r="O190" s="10" t="n"/>
    </row>
    <row r="191">
      <c r="A191" s="6" t="n"/>
      <c r="B191" s="6" t="n"/>
      <c r="C191" s="6" t="n"/>
      <c r="D191" s="6" t="n"/>
      <c r="E191" s="6" t="n"/>
      <c r="F191" s="7" t="n"/>
      <c r="G191" s="8" t="n"/>
      <c r="H191" s="8" t="n"/>
      <c r="I191" s="8" t="n"/>
      <c r="J191" s="6" t="n"/>
      <c r="K191" s="6" t="n"/>
      <c r="L191" s="6" t="n"/>
      <c r="M191" s="9" t="n"/>
      <c r="N191" s="7" t="n"/>
      <c r="O191" s="10" t="n"/>
    </row>
    <row r="192">
      <c r="A192" s="6" t="n"/>
      <c r="B192" s="6" t="n"/>
      <c r="C192" s="6" t="n"/>
      <c r="D192" s="6" t="n"/>
      <c r="E192" s="6" t="n"/>
      <c r="F192" s="7" t="n"/>
      <c r="G192" s="8" t="n"/>
      <c r="H192" s="8" t="n"/>
      <c r="I192" s="8" t="n"/>
      <c r="J192" s="6" t="n"/>
      <c r="K192" s="6" t="n"/>
      <c r="L192" s="6" t="n"/>
      <c r="M192" s="9" t="n"/>
      <c r="N192" s="7" t="n"/>
      <c r="O192" s="10" t="n"/>
    </row>
    <row r="193">
      <c r="A193" s="6" t="n"/>
      <c r="B193" s="6" t="n"/>
      <c r="C193" s="6" t="n"/>
      <c r="D193" s="6" t="n"/>
      <c r="E193" s="6" t="n"/>
      <c r="F193" s="7" t="n"/>
      <c r="G193" s="8" t="n"/>
      <c r="H193" s="8" t="n"/>
      <c r="I193" s="8" t="n"/>
      <c r="J193" s="6" t="n"/>
      <c r="K193" s="6" t="n"/>
      <c r="L193" s="6" t="n"/>
      <c r="M193" s="9" t="n"/>
      <c r="N193" s="7" t="n"/>
      <c r="O193" s="10" t="n"/>
    </row>
    <row r="194">
      <c r="A194" s="6" t="n"/>
      <c r="B194" s="6" t="n"/>
      <c r="C194" s="6" t="n"/>
      <c r="D194" s="6" t="n"/>
      <c r="E194" s="6" t="n"/>
      <c r="F194" s="7" t="n"/>
      <c r="G194" s="8" t="n"/>
      <c r="H194" s="8" t="n"/>
      <c r="I194" s="8" t="n"/>
      <c r="J194" s="6" t="n"/>
      <c r="K194" s="6" t="n"/>
      <c r="L194" s="6" t="n"/>
      <c r="M194" s="9" t="n"/>
      <c r="N194" s="7" t="n"/>
      <c r="O194" s="10" t="n"/>
    </row>
    <row r="195">
      <c r="A195" s="6" t="n"/>
      <c r="B195" s="6" t="n"/>
      <c r="C195" s="6" t="n"/>
      <c r="D195" s="6" t="n"/>
      <c r="E195" s="6" t="n"/>
      <c r="F195" s="7" t="n"/>
      <c r="G195" s="8" t="n"/>
      <c r="H195" s="8" t="n"/>
      <c r="I195" s="8" t="n"/>
      <c r="J195" s="6" t="n"/>
      <c r="K195" s="6" t="n"/>
      <c r="L195" s="6" t="n"/>
      <c r="M195" s="9" t="n"/>
      <c r="N195" s="7" t="n"/>
      <c r="O195" s="10" t="n"/>
    </row>
    <row r="196">
      <c r="A196" s="6" t="n"/>
      <c r="B196" s="6" t="n"/>
      <c r="C196" s="6" t="n"/>
      <c r="D196" s="6" t="n"/>
      <c r="E196" s="6" t="n"/>
      <c r="F196" s="7" t="n"/>
      <c r="G196" s="8" t="n"/>
      <c r="H196" s="8" t="n"/>
      <c r="I196" s="8" t="n"/>
      <c r="J196" s="6" t="n"/>
      <c r="K196" s="6" t="n"/>
      <c r="L196" s="6" t="n"/>
      <c r="M196" s="9" t="n"/>
      <c r="N196" s="7" t="n"/>
      <c r="O196" s="10" t="n"/>
    </row>
    <row r="197">
      <c r="A197" s="6" t="n"/>
      <c r="B197" s="6" t="n"/>
      <c r="C197" s="6" t="n"/>
      <c r="D197" s="6" t="n"/>
      <c r="E197" s="6" t="n"/>
      <c r="F197" s="7" t="n"/>
      <c r="G197" s="8" t="n"/>
      <c r="H197" s="8" t="n"/>
      <c r="I197" s="8" t="n"/>
      <c r="J197" s="6" t="n"/>
      <c r="K197" s="6" t="n"/>
      <c r="L197" s="6" t="n"/>
      <c r="M197" s="9" t="n"/>
      <c r="N197" s="7" t="n"/>
      <c r="O197" s="10" t="n"/>
    </row>
    <row r="198">
      <c r="A198" s="6" t="n"/>
      <c r="B198" s="6" t="n"/>
      <c r="C198" s="6" t="n"/>
      <c r="D198" s="6" t="n"/>
      <c r="E198" s="6" t="n"/>
      <c r="F198" s="7" t="n"/>
      <c r="G198" s="8" t="n"/>
      <c r="H198" s="8" t="n"/>
      <c r="I198" s="8" t="n"/>
      <c r="J198" s="6" t="n"/>
      <c r="K198" s="6" t="n"/>
      <c r="L198" s="6" t="n"/>
      <c r="M198" s="9" t="n"/>
      <c r="N198" s="7" t="n"/>
      <c r="O198" s="10" t="n"/>
    </row>
    <row r="199">
      <c r="A199" s="6" t="n"/>
      <c r="B199" s="6" t="n"/>
      <c r="C199" s="6" t="n"/>
      <c r="D199" s="6" t="n"/>
      <c r="E199" s="6" t="n"/>
      <c r="F199" s="7" t="n"/>
      <c r="G199" s="8" t="n"/>
      <c r="H199" s="8" t="n"/>
      <c r="I199" s="8" t="n"/>
      <c r="J199" s="6" t="n"/>
      <c r="K199" s="6" t="n"/>
      <c r="L199" s="6" t="n"/>
      <c r="M199" s="9" t="n"/>
      <c r="N199" s="7" t="n"/>
      <c r="O199" s="10" t="n"/>
    </row>
    <row r="200">
      <c r="A200" s="6" t="n"/>
      <c r="B200" s="6" t="n"/>
      <c r="C200" s="6" t="n"/>
      <c r="D200" s="6" t="n"/>
      <c r="E200" s="6" t="n"/>
      <c r="F200" s="7" t="n"/>
      <c r="G200" s="8" t="n"/>
      <c r="H200" s="8" t="n"/>
      <c r="I200" s="8" t="n"/>
      <c r="J200" s="6" t="n"/>
      <c r="K200" s="6" t="n"/>
      <c r="L200" s="6" t="n"/>
      <c r="M200" s="9" t="n"/>
      <c r="N200" s="7" t="n"/>
      <c r="O200" s="10" t="n"/>
    </row>
    <row r="201">
      <c r="A201" s="6" t="n"/>
      <c r="B201" s="6" t="n"/>
      <c r="C201" s="6" t="n"/>
      <c r="D201" s="6" t="n"/>
      <c r="E201" s="6" t="n"/>
      <c r="F201" s="7" t="n"/>
      <c r="G201" s="8" t="n"/>
      <c r="H201" s="8" t="n"/>
      <c r="I201" s="8" t="n"/>
      <c r="J201" s="6" t="n"/>
      <c r="K201" s="6" t="n"/>
      <c r="L201" s="6" t="n"/>
      <c r="M201" s="9" t="n"/>
      <c r="N201" s="7" t="n"/>
      <c r="O201" s="10" t="n"/>
    </row>
    <row r="202">
      <c r="A202" s="6" t="n"/>
      <c r="B202" s="6" t="n"/>
      <c r="C202" s="6" t="n"/>
      <c r="D202" s="6" t="n"/>
      <c r="E202" s="6" t="n"/>
      <c r="F202" s="7" t="n"/>
      <c r="G202" s="8" t="n"/>
      <c r="H202" s="8" t="n"/>
      <c r="I202" s="8" t="n"/>
      <c r="J202" s="6" t="n"/>
      <c r="K202" s="6" t="n"/>
      <c r="L202" s="6" t="n"/>
      <c r="M202" s="9" t="n"/>
      <c r="N202" s="7" t="n"/>
      <c r="O202" s="10" t="n"/>
    </row>
    <row r="203">
      <c r="A203" s="6" t="n"/>
      <c r="B203" s="6" t="n"/>
      <c r="C203" s="6" t="n"/>
      <c r="D203" s="6" t="n"/>
      <c r="E203" s="6" t="n"/>
      <c r="F203" s="7" t="n"/>
      <c r="G203" s="8" t="n"/>
      <c r="H203" s="8" t="n"/>
      <c r="I203" s="8" t="n"/>
      <c r="J203" s="6" t="n"/>
      <c r="K203" s="6" t="n"/>
      <c r="L203" s="6" t="n"/>
      <c r="M203" s="9" t="n"/>
      <c r="N203" s="7" t="n"/>
      <c r="O203" s="10" t="n"/>
    </row>
    <row r="204">
      <c r="A204" s="6" t="n"/>
      <c r="B204" s="6" t="n"/>
      <c r="C204" s="6" t="n"/>
      <c r="D204" s="6" t="n"/>
      <c r="E204" s="6" t="n"/>
      <c r="F204" s="7" t="n"/>
      <c r="G204" s="8" t="n"/>
      <c r="H204" s="8" t="n"/>
      <c r="I204" s="8" t="n"/>
      <c r="J204" s="6" t="n"/>
      <c r="K204" s="6" t="n"/>
      <c r="L204" s="6" t="n"/>
      <c r="M204" s="9" t="n"/>
      <c r="N204" s="7" t="n"/>
      <c r="O204" s="10" t="n"/>
    </row>
    <row r="205">
      <c r="A205" s="6" t="n"/>
      <c r="B205" s="6" t="n"/>
      <c r="C205" s="6" t="n"/>
      <c r="D205" s="6" t="n"/>
      <c r="E205" s="6" t="n"/>
      <c r="F205" s="7" t="n"/>
      <c r="G205" s="8" t="n"/>
      <c r="H205" s="8" t="n"/>
      <c r="I205" s="8" t="n"/>
      <c r="J205" s="6" t="n"/>
      <c r="K205" s="6" t="n"/>
      <c r="L205" s="6" t="n"/>
      <c r="M205" s="9" t="n"/>
      <c r="N205" s="7" t="n"/>
      <c r="O205" s="10" t="n"/>
    </row>
    <row r="206">
      <c r="A206" s="6" t="n"/>
      <c r="B206" s="6" t="n"/>
      <c r="C206" s="6" t="n"/>
      <c r="D206" s="6" t="n"/>
      <c r="E206" s="6" t="n"/>
      <c r="F206" s="7" t="n"/>
      <c r="G206" s="8" t="n"/>
      <c r="H206" s="8" t="n"/>
      <c r="I206" s="8" t="n"/>
      <c r="J206" s="6" t="n"/>
      <c r="K206" s="6" t="n"/>
      <c r="L206" s="6" t="n"/>
      <c r="M206" s="9" t="n"/>
      <c r="N206" s="7" t="n"/>
      <c r="O206" s="10" t="n"/>
    </row>
    <row r="207">
      <c r="A207" s="6" t="n"/>
      <c r="B207" s="6" t="n"/>
      <c r="C207" s="6" t="n"/>
      <c r="D207" s="6" t="n"/>
      <c r="E207" s="6" t="n"/>
      <c r="F207" s="7" t="n"/>
      <c r="G207" s="8" t="n"/>
      <c r="H207" s="8" t="n"/>
      <c r="I207" s="8" t="n"/>
      <c r="J207" s="6" t="n"/>
      <c r="K207" s="6" t="n"/>
      <c r="L207" s="6" t="n"/>
      <c r="M207" s="9" t="n"/>
      <c r="N207" s="7" t="n"/>
      <c r="O207" s="10" t="n"/>
    </row>
    <row r="208">
      <c r="A208" s="6" t="n"/>
      <c r="B208" s="6" t="n"/>
      <c r="C208" s="6" t="n"/>
      <c r="D208" s="6" t="n"/>
      <c r="E208" s="6" t="n"/>
      <c r="F208" s="7" t="n"/>
      <c r="G208" s="8" t="n"/>
      <c r="H208" s="8" t="n"/>
      <c r="I208" s="8" t="n"/>
      <c r="J208" s="6" t="n"/>
      <c r="K208" s="6" t="n"/>
      <c r="L208" s="6" t="n"/>
      <c r="M208" s="9" t="n"/>
      <c r="N208" s="7" t="n"/>
      <c r="O208" s="10" t="n"/>
    </row>
    <row r="209">
      <c r="A209" s="6" t="n"/>
      <c r="B209" s="6" t="n"/>
      <c r="C209" s="6" t="n"/>
      <c r="D209" s="6" t="n"/>
      <c r="E209" s="6" t="n"/>
      <c r="F209" s="7" t="n"/>
      <c r="G209" s="8" t="n"/>
      <c r="H209" s="8" t="n"/>
      <c r="I209" s="8" t="n"/>
      <c r="J209" s="6" t="n"/>
      <c r="K209" s="6" t="n"/>
      <c r="L209" s="6" t="n"/>
      <c r="M209" s="9" t="n"/>
      <c r="N209" s="7" t="n"/>
      <c r="O209" s="10" t="n"/>
    </row>
    <row r="210">
      <c r="A210" s="6" t="n"/>
      <c r="B210" s="6" t="n"/>
      <c r="C210" s="6" t="n"/>
      <c r="D210" s="6" t="n"/>
      <c r="E210" s="6" t="n"/>
      <c r="F210" s="7" t="n"/>
      <c r="G210" s="8" t="n"/>
      <c r="H210" s="8" t="n"/>
      <c r="I210" s="8" t="n"/>
      <c r="J210" s="6" t="n"/>
      <c r="K210" s="6" t="n"/>
      <c r="L210" s="6" t="n"/>
      <c r="M210" s="9" t="n"/>
      <c r="N210" s="7" t="n"/>
      <c r="O210" s="10" t="n"/>
    </row>
    <row r="211">
      <c r="A211" s="6" t="n"/>
      <c r="B211" s="6" t="n"/>
      <c r="C211" s="6" t="n"/>
      <c r="D211" s="6" t="n"/>
      <c r="E211" s="6" t="n"/>
      <c r="F211" s="7" t="n"/>
      <c r="G211" s="8" t="n"/>
      <c r="H211" s="8" t="n"/>
      <c r="I211" s="8" t="n"/>
      <c r="J211" s="6" t="n"/>
      <c r="K211" s="6" t="n"/>
      <c r="L211" s="6" t="n"/>
      <c r="M211" s="9" t="n"/>
      <c r="N211" s="7" t="n"/>
      <c r="O211" s="10" t="n"/>
    </row>
    <row r="212">
      <c r="A212" s="6" t="n"/>
      <c r="B212" s="6" t="n"/>
      <c r="C212" s="6" t="n"/>
      <c r="D212" s="6" t="n"/>
      <c r="E212" s="6" t="n"/>
      <c r="F212" s="7" t="n"/>
      <c r="G212" s="8" t="n"/>
      <c r="H212" s="8" t="n"/>
      <c r="I212" s="8" t="n"/>
      <c r="J212" s="6" t="n"/>
      <c r="K212" s="6" t="n"/>
      <c r="L212" s="6" t="n"/>
      <c r="M212" s="9" t="n"/>
      <c r="N212" s="7" t="n"/>
      <c r="O212" s="10" t="n"/>
    </row>
    <row r="213">
      <c r="A213" s="6" t="n"/>
      <c r="B213" s="6" t="n"/>
      <c r="C213" s="6" t="n"/>
      <c r="D213" s="6" t="n"/>
      <c r="E213" s="6" t="n"/>
      <c r="F213" s="7" t="n"/>
      <c r="G213" s="8" t="n"/>
      <c r="H213" s="8" t="n"/>
      <c r="I213" s="8" t="n"/>
      <c r="J213" s="6" t="n"/>
      <c r="K213" s="6" t="n"/>
      <c r="L213" s="6" t="n"/>
      <c r="M213" s="9" t="n"/>
      <c r="N213" s="7" t="n"/>
      <c r="O213" s="10" t="n"/>
    </row>
    <row r="214">
      <c r="A214" s="6" t="n"/>
      <c r="B214" s="6" t="n"/>
      <c r="C214" s="6" t="n"/>
      <c r="D214" s="6" t="n"/>
      <c r="E214" s="6" t="n"/>
      <c r="F214" s="7" t="n"/>
      <c r="G214" s="8" t="n"/>
      <c r="H214" s="8" t="n"/>
      <c r="I214" s="8" t="n"/>
      <c r="J214" s="6" t="n"/>
      <c r="K214" s="6" t="n"/>
      <c r="L214" s="6" t="n"/>
      <c r="M214" s="9" t="n"/>
      <c r="N214" s="7" t="n"/>
      <c r="O214" s="10" t="n"/>
    </row>
    <row r="215">
      <c r="A215" s="6" t="n"/>
      <c r="B215" s="6" t="n"/>
      <c r="C215" s="6" t="n"/>
      <c r="D215" s="6" t="n"/>
      <c r="E215" s="6" t="n"/>
      <c r="F215" s="7" t="n"/>
      <c r="G215" s="8" t="n"/>
      <c r="H215" s="8" t="n"/>
      <c r="I215" s="8" t="n"/>
      <c r="J215" s="6" t="n"/>
      <c r="K215" s="6" t="n"/>
      <c r="L215" s="6" t="n"/>
      <c r="M215" s="9" t="n"/>
      <c r="N215" s="7" t="n"/>
      <c r="O215" s="10" t="n"/>
    </row>
    <row r="216">
      <c r="A216" s="6" t="n"/>
      <c r="B216" s="6" t="n"/>
      <c r="C216" s="6" t="n"/>
      <c r="D216" s="6" t="n"/>
      <c r="E216" s="6" t="n"/>
      <c r="F216" s="7" t="n"/>
      <c r="G216" s="8" t="n"/>
      <c r="H216" s="8" t="n"/>
      <c r="I216" s="8" t="n"/>
      <c r="J216" s="6" t="n"/>
      <c r="K216" s="6" t="n"/>
      <c r="L216" s="6" t="n"/>
      <c r="M216" s="9" t="n"/>
      <c r="N216" s="7" t="n"/>
      <c r="O216" s="10" t="n"/>
    </row>
    <row r="217">
      <c r="A217" s="6" t="n"/>
      <c r="B217" s="6" t="n"/>
      <c r="C217" s="6" t="n"/>
      <c r="D217" s="6" t="n"/>
      <c r="E217" s="6" t="n"/>
      <c r="F217" s="7" t="n"/>
      <c r="G217" s="8" t="n"/>
      <c r="H217" s="8" t="n"/>
      <c r="I217" s="8" t="n"/>
      <c r="J217" s="6" t="n"/>
      <c r="K217" s="6" t="n"/>
      <c r="L217" s="6" t="n"/>
      <c r="M217" s="9" t="n"/>
      <c r="N217" s="7" t="n"/>
      <c r="O217" s="10" t="n"/>
    </row>
    <row r="218">
      <c r="A218" s="6" t="n"/>
      <c r="B218" s="6" t="n"/>
      <c r="C218" s="6" t="n"/>
      <c r="D218" s="6" t="n"/>
      <c r="E218" s="6" t="n"/>
      <c r="F218" s="7" t="n"/>
      <c r="G218" s="8" t="n"/>
      <c r="H218" s="8" t="n"/>
      <c r="I218" s="8" t="n"/>
      <c r="J218" s="6" t="n"/>
      <c r="K218" s="6" t="n"/>
      <c r="L218" s="6" t="n"/>
      <c r="M218" s="9" t="n"/>
      <c r="N218" s="7" t="n"/>
      <c r="O218" s="10" t="n"/>
    </row>
    <row r="219">
      <c r="A219" s="6" t="n"/>
      <c r="B219" s="6" t="n"/>
      <c r="C219" s="6" t="n"/>
      <c r="D219" s="6" t="n"/>
      <c r="E219" s="6" t="n"/>
      <c r="F219" s="7" t="n"/>
      <c r="G219" s="8" t="n"/>
      <c r="H219" s="8" t="n"/>
      <c r="I219" s="8" t="n"/>
      <c r="J219" s="6" t="n"/>
      <c r="K219" s="6" t="n"/>
      <c r="L219" s="6" t="n"/>
      <c r="M219" s="9" t="n"/>
      <c r="N219" s="7" t="n"/>
      <c r="O219" s="10" t="n"/>
    </row>
    <row r="220">
      <c r="A220" s="6" t="n"/>
      <c r="B220" s="6" t="n"/>
      <c r="C220" s="6" t="n"/>
      <c r="D220" s="6" t="n"/>
      <c r="E220" s="6" t="n"/>
      <c r="F220" s="7" t="n"/>
      <c r="G220" s="8" t="n"/>
      <c r="H220" s="8" t="n"/>
      <c r="I220" s="8" t="n"/>
      <c r="J220" s="6" t="n"/>
      <c r="K220" s="6" t="n"/>
      <c r="L220" s="6" t="n"/>
      <c r="M220" s="9" t="n"/>
      <c r="N220" s="7" t="n"/>
      <c r="O220" s="10" t="n"/>
    </row>
    <row r="221">
      <c r="A221" s="6" t="n"/>
      <c r="B221" s="6" t="n"/>
      <c r="C221" s="6" t="n"/>
      <c r="D221" s="6" t="n"/>
      <c r="E221" s="6" t="n"/>
      <c r="F221" s="7" t="n"/>
      <c r="G221" s="8" t="n"/>
      <c r="H221" s="8" t="n"/>
      <c r="I221" s="8" t="n"/>
      <c r="J221" s="6" t="n"/>
      <c r="K221" s="6" t="n"/>
      <c r="L221" s="6" t="n"/>
      <c r="M221" s="9" t="n"/>
      <c r="N221" s="7" t="n"/>
      <c r="O221" s="10" t="n"/>
    </row>
    <row r="222">
      <c r="A222" s="6" t="n"/>
      <c r="B222" s="6" t="n"/>
      <c r="C222" s="6" t="n"/>
      <c r="D222" s="6" t="n"/>
      <c r="E222" s="6" t="n"/>
      <c r="F222" s="7" t="n"/>
      <c r="G222" s="8" t="n"/>
      <c r="H222" s="8" t="n"/>
      <c r="I222" s="8" t="n"/>
      <c r="J222" s="6" t="n"/>
      <c r="K222" s="6" t="n"/>
      <c r="L222" s="6" t="n"/>
      <c r="M222" s="9" t="n"/>
      <c r="N222" s="7" t="n"/>
      <c r="O222" s="10" t="n"/>
    </row>
    <row r="223">
      <c r="A223" s="6" t="n"/>
      <c r="B223" s="6" t="n"/>
      <c r="C223" s="6" t="n"/>
      <c r="D223" s="6" t="n"/>
      <c r="E223" s="6" t="n"/>
      <c r="F223" s="7" t="n"/>
      <c r="G223" s="8" t="n"/>
      <c r="H223" s="8" t="n"/>
      <c r="I223" s="8" t="n"/>
      <c r="J223" s="6" t="n"/>
      <c r="K223" s="6" t="n"/>
      <c r="L223" s="6" t="n"/>
      <c r="M223" s="9" t="n"/>
      <c r="N223" s="7" t="n"/>
      <c r="O223" s="10" t="n"/>
    </row>
    <row r="224">
      <c r="A224" s="6" t="n"/>
      <c r="B224" s="6" t="n"/>
      <c r="C224" s="6" t="n"/>
      <c r="D224" s="6" t="n"/>
      <c r="E224" s="6" t="n"/>
      <c r="F224" s="7" t="n"/>
      <c r="G224" s="8" t="n"/>
      <c r="H224" s="8" t="n"/>
      <c r="I224" s="8" t="n"/>
      <c r="J224" s="6" t="n"/>
      <c r="K224" s="6" t="n"/>
      <c r="L224" s="6" t="n"/>
      <c r="M224" s="9" t="n"/>
      <c r="N224" s="7" t="n"/>
      <c r="O224" s="10" t="n"/>
    </row>
    <row r="225">
      <c r="A225" s="6" t="n"/>
      <c r="B225" s="6" t="n"/>
      <c r="C225" s="6" t="n"/>
      <c r="D225" s="6" t="n"/>
      <c r="E225" s="6" t="n"/>
      <c r="F225" s="7" t="n"/>
      <c r="G225" s="8" t="n"/>
      <c r="H225" s="8" t="n"/>
      <c r="I225" s="8" t="n"/>
      <c r="J225" s="6" t="n"/>
      <c r="K225" s="6" t="n"/>
      <c r="L225" s="6" t="n"/>
      <c r="M225" s="9" t="n"/>
      <c r="N225" s="7" t="n"/>
      <c r="O225" s="10" t="n"/>
    </row>
    <row r="226">
      <c r="A226" s="6" t="n"/>
      <c r="B226" s="6" t="n"/>
      <c r="C226" s="6" t="n"/>
      <c r="D226" s="6" t="n"/>
      <c r="E226" s="6" t="n"/>
      <c r="F226" s="7" t="n"/>
      <c r="G226" s="8" t="n"/>
      <c r="H226" s="8" t="n"/>
      <c r="I226" s="8" t="n"/>
      <c r="J226" s="6" t="n"/>
      <c r="K226" s="6" t="n"/>
      <c r="L226" s="6" t="n"/>
      <c r="M226" s="9" t="n"/>
      <c r="N226" s="7" t="n"/>
      <c r="O226" s="10" t="n"/>
    </row>
    <row r="227">
      <c r="A227" s="6" t="n"/>
      <c r="B227" s="6" t="n"/>
      <c r="C227" s="6" t="n"/>
      <c r="D227" s="6" t="n"/>
      <c r="E227" s="6" t="n"/>
      <c r="F227" s="7" t="n"/>
      <c r="G227" s="8" t="n"/>
      <c r="H227" s="8" t="n"/>
      <c r="I227" s="8" t="n"/>
      <c r="J227" s="6" t="n"/>
      <c r="K227" s="6" t="n"/>
      <c r="L227" s="6" t="n"/>
      <c r="M227" s="9" t="n"/>
      <c r="N227" s="7" t="n"/>
      <c r="O227" s="10" t="n"/>
    </row>
    <row r="228">
      <c r="A228" s="6" t="n"/>
      <c r="B228" s="6" t="n"/>
      <c r="C228" s="6" t="n"/>
      <c r="D228" s="6" t="n"/>
      <c r="E228" s="6" t="n"/>
      <c r="F228" s="7" t="n"/>
      <c r="G228" s="8" t="n"/>
      <c r="H228" s="8" t="n"/>
      <c r="I228" s="8" t="n"/>
      <c r="J228" s="6" t="n"/>
      <c r="K228" s="6" t="n"/>
      <c r="L228" s="6" t="n"/>
      <c r="M228" s="9" t="n"/>
      <c r="N228" s="7" t="n"/>
      <c r="O228" s="10" t="n"/>
    </row>
    <row r="229">
      <c r="A229" s="6" t="n"/>
      <c r="B229" s="6" t="n"/>
      <c r="C229" s="6" t="n"/>
      <c r="D229" s="6" t="n"/>
      <c r="E229" s="6" t="n"/>
      <c r="F229" s="7" t="n"/>
      <c r="G229" s="8" t="n"/>
      <c r="H229" s="8" t="n"/>
      <c r="I229" s="8" t="n"/>
      <c r="J229" s="6" t="n"/>
      <c r="K229" s="6" t="n"/>
      <c r="L229" s="6" t="n"/>
      <c r="M229" s="9" t="n"/>
      <c r="N229" s="7" t="n"/>
      <c r="O229" s="10" t="n"/>
    </row>
    <row r="230">
      <c r="A230" s="6" t="n"/>
      <c r="B230" s="6" t="n"/>
      <c r="C230" s="6" t="n"/>
      <c r="D230" s="6" t="n"/>
      <c r="E230" s="6" t="n"/>
      <c r="F230" s="7" t="n"/>
      <c r="G230" s="8" t="n"/>
      <c r="H230" s="8" t="n"/>
      <c r="I230" s="8" t="n"/>
      <c r="J230" s="6" t="n"/>
      <c r="K230" s="6" t="n"/>
      <c r="L230" s="6" t="n"/>
      <c r="M230" s="9" t="n"/>
      <c r="N230" s="7" t="n"/>
      <c r="O230" s="10" t="n"/>
    </row>
    <row r="231">
      <c r="A231" s="6" t="n"/>
      <c r="B231" s="6" t="n"/>
      <c r="C231" s="6" t="n"/>
      <c r="D231" s="6" t="n"/>
      <c r="E231" s="6" t="n"/>
      <c r="F231" s="7" t="n"/>
      <c r="G231" s="8" t="n"/>
      <c r="H231" s="8" t="n"/>
      <c r="I231" s="8" t="n"/>
      <c r="J231" s="6" t="n"/>
      <c r="K231" s="6" t="n"/>
      <c r="L231" s="6" t="n"/>
      <c r="M231" s="9" t="n"/>
      <c r="N231" s="7" t="n"/>
      <c r="O231" s="10" t="n"/>
    </row>
    <row r="232">
      <c r="A232" s="6" t="n"/>
      <c r="B232" s="6" t="n"/>
      <c r="C232" s="6" t="n"/>
      <c r="D232" s="6" t="n"/>
      <c r="E232" s="6" t="n"/>
      <c r="F232" s="7" t="n"/>
      <c r="G232" s="8" t="n"/>
      <c r="H232" s="8" t="n"/>
      <c r="I232" s="8" t="n"/>
      <c r="J232" s="6" t="n"/>
      <c r="K232" s="6" t="n"/>
      <c r="L232" s="6" t="n"/>
      <c r="M232" s="9" t="n"/>
      <c r="N232" s="7" t="n"/>
      <c r="O232" s="10" t="n"/>
    </row>
    <row r="233">
      <c r="A233" s="6" t="n"/>
      <c r="B233" s="6" t="n"/>
      <c r="C233" s="6" t="n"/>
      <c r="D233" s="6" t="n"/>
      <c r="E233" s="6" t="n"/>
      <c r="F233" s="7" t="n"/>
      <c r="G233" s="8" t="n"/>
      <c r="H233" s="8" t="n"/>
      <c r="I233" s="8" t="n"/>
      <c r="J233" s="6" t="n"/>
      <c r="K233" s="6" t="n"/>
      <c r="L233" s="6" t="n"/>
      <c r="M233" s="9" t="n"/>
      <c r="N233" s="7" t="n"/>
      <c r="O233" s="10" t="n"/>
    </row>
    <row r="234">
      <c r="A234" s="6" t="n"/>
      <c r="B234" s="6" t="n"/>
      <c r="C234" s="6" t="n"/>
      <c r="D234" s="6" t="n"/>
      <c r="E234" s="6" t="n"/>
      <c r="F234" s="7" t="n"/>
      <c r="G234" s="8" t="n"/>
      <c r="H234" s="8" t="n"/>
      <c r="I234" s="8" t="n"/>
      <c r="J234" s="6" t="n"/>
      <c r="K234" s="6" t="n"/>
      <c r="L234" s="6" t="n"/>
      <c r="M234" s="9" t="n"/>
      <c r="N234" s="7" t="n"/>
      <c r="O234" s="10" t="n"/>
    </row>
    <row r="235">
      <c r="A235" s="6" t="n"/>
      <c r="B235" s="6" t="n"/>
      <c r="C235" s="6" t="n"/>
      <c r="D235" s="6" t="n"/>
      <c r="E235" s="6" t="n"/>
      <c r="F235" s="7" t="n"/>
      <c r="G235" s="8" t="n"/>
      <c r="H235" s="8" t="n"/>
      <c r="I235" s="8" t="n"/>
      <c r="J235" s="6" t="n"/>
      <c r="K235" s="6" t="n"/>
      <c r="L235" s="6" t="n"/>
      <c r="M235" s="9" t="n"/>
      <c r="N235" s="7" t="n"/>
      <c r="O235" s="10" t="n"/>
    </row>
    <row r="236">
      <c r="A236" s="6" t="n"/>
      <c r="B236" s="6" t="n"/>
      <c r="C236" s="6" t="n"/>
      <c r="D236" s="6" t="n"/>
      <c r="E236" s="6" t="n"/>
      <c r="F236" s="7" t="n"/>
      <c r="G236" s="8" t="n"/>
      <c r="H236" s="8" t="n"/>
      <c r="I236" s="8" t="n"/>
      <c r="J236" s="6" t="n"/>
      <c r="K236" s="6" t="n"/>
      <c r="L236" s="6" t="n"/>
      <c r="M236" s="9" t="n"/>
      <c r="N236" s="7" t="n"/>
      <c r="O236" s="10" t="n"/>
    </row>
    <row r="237">
      <c r="A237" s="6" t="n"/>
      <c r="B237" s="6" t="n"/>
      <c r="C237" s="6" t="n"/>
      <c r="D237" s="6" t="n"/>
      <c r="E237" s="6" t="n"/>
      <c r="F237" s="7" t="n"/>
      <c r="G237" s="8" t="n"/>
      <c r="H237" s="8" t="n"/>
      <c r="I237" s="8" t="n"/>
      <c r="J237" s="6" t="n"/>
      <c r="K237" s="6" t="n"/>
      <c r="L237" s="6" t="n"/>
      <c r="M237" s="9" t="n"/>
      <c r="N237" s="7" t="n"/>
      <c r="O237" s="10" t="n"/>
    </row>
    <row r="238">
      <c r="A238" s="6" t="n"/>
      <c r="B238" s="6" t="n"/>
      <c r="C238" s="6" t="n"/>
      <c r="D238" s="6" t="n"/>
      <c r="E238" s="6" t="n"/>
      <c r="F238" s="7" t="n"/>
      <c r="G238" s="8" t="n"/>
      <c r="H238" s="8" t="n"/>
      <c r="I238" s="8" t="n"/>
      <c r="J238" s="6" t="n"/>
      <c r="K238" s="6" t="n"/>
      <c r="L238" s="6" t="n"/>
      <c r="M238" s="9" t="n"/>
      <c r="N238" s="7" t="n"/>
      <c r="O238" s="10" t="n"/>
    </row>
    <row r="239">
      <c r="A239" s="6" t="n"/>
      <c r="B239" s="6" t="n"/>
      <c r="C239" s="6" t="n"/>
      <c r="D239" s="6" t="n"/>
      <c r="E239" s="6" t="n"/>
      <c r="F239" s="7" t="n"/>
      <c r="G239" s="8" t="n"/>
      <c r="H239" s="8" t="n"/>
      <c r="I239" s="8" t="n"/>
      <c r="J239" s="6" t="n"/>
      <c r="K239" s="6" t="n"/>
      <c r="L239" s="6" t="n"/>
      <c r="M239" s="9" t="n"/>
      <c r="N239" s="7" t="n"/>
      <c r="O239" s="10" t="n"/>
    </row>
    <row r="240">
      <c r="A240" s="6" t="n"/>
      <c r="B240" s="6" t="n"/>
      <c r="C240" s="6" t="n"/>
      <c r="D240" s="6" t="n"/>
      <c r="E240" s="6" t="n"/>
      <c r="F240" s="7" t="n"/>
      <c r="G240" s="8" t="n"/>
      <c r="H240" s="8" t="n"/>
      <c r="I240" s="8" t="n"/>
      <c r="J240" s="6" t="n"/>
      <c r="K240" s="6" t="n"/>
      <c r="L240" s="6" t="n"/>
      <c r="M240" s="9" t="n"/>
      <c r="N240" s="7" t="n"/>
      <c r="O240" s="10" t="n"/>
    </row>
    <row r="241">
      <c r="A241" s="6" t="n"/>
      <c r="B241" s="6" t="n"/>
      <c r="C241" s="6" t="n"/>
      <c r="D241" s="6" t="n"/>
      <c r="E241" s="6" t="n"/>
      <c r="F241" s="7" t="n"/>
      <c r="G241" s="8" t="n"/>
      <c r="H241" s="8" t="n"/>
      <c r="I241" s="8" t="n"/>
      <c r="J241" s="6" t="n"/>
      <c r="K241" s="6" t="n"/>
      <c r="L241" s="6" t="n"/>
      <c r="M241" s="9" t="n"/>
      <c r="N241" s="7" t="n"/>
      <c r="O241" s="10" t="n"/>
    </row>
    <row r="242">
      <c r="A242" s="6" t="n"/>
      <c r="B242" s="6" t="n"/>
      <c r="C242" s="6" t="n"/>
      <c r="D242" s="6" t="n"/>
      <c r="E242" s="6" t="n"/>
      <c r="F242" s="7" t="n"/>
      <c r="G242" s="8" t="n"/>
      <c r="H242" s="8" t="n"/>
      <c r="I242" s="8" t="n"/>
      <c r="J242" s="6" t="n"/>
      <c r="K242" s="6" t="n"/>
      <c r="L242" s="6" t="n"/>
      <c r="M242" s="9" t="n"/>
      <c r="N242" s="7" t="n"/>
      <c r="O242" s="10" t="n"/>
    </row>
    <row r="243">
      <c r="A243" s="6" t="n"/>
      <c r="B243" s="6" t="n"/>
      <c r="C243" s="6" t="n"/>
      <c r="D243" s="6" t="n"/>
      <c r="E243" s="6" t="n"/>
      <c r="F243" s="7" t="n"/>
      <c r="G243" s="8" t="n"/>
      <c r="H243" s="8" t="n"/>
      <c r="I243" s="8" t="n"/>
      <c r="J243" s="6" t="n"/>
      <c r="K243" s="6" t="n"/>
      <c r="L243" s="6" t="n"/>
      <c r="M243" s="9" t="n"/>
      <c r="N243" s="7" t="n"/>
      <c r="O243" s="10" t="n"/>
    </row>
    <row r="244">
      <c r="A244" s="6" t="n"/>
      <c r="B244" s="6" t="n"/>
      <c r="C244" s="6" t="n"/>
      <c r="D244" s="6" t="n"/>
      <c r="E244" s="6" t="n"/>
      <c r="F244" s="7" t="n"/>
      <c r="G244" s="8" t="n"/>
      <c r="H244" s="8" t="n"/>
      <c r="I244" s="8" t="n"/>
      <c r="J244" s="6" t="n"/>
      <c r="K244" s="6" t="n"/>
      <c r="L244" s="6" t="n"/>
      <c r="M244" s="9" t="n"/>
      <c r="N244" s="7" t="n"/>
      <c r="O244" s="10" t="n"/>
    </row>
    <row r="245">
      <c r="A245" s="6" t="n"/>
      <c r="B245" s="6" t="n"/>
      <c r="C245" s="6" t="n"/>
      <c r="D245" s="6" t="n"/>
      <c r="E245" s="6" t="n"/>
      <c r="F245" s="7" t="n"/>
      <c r="G245" s="8" t="n"/>
      <c r="H245" s="8" t="n"/>
      <c r="I245" s="8" t="n"/>
      <c r="J245" s="6" t="n"/>
      <c r="K245" s="6" t="n"/>
      <c r="L245" s="6" t="n"/>
      <c r="M245" s="9" t="n"/>
      <c r="N245" s="7" t="n"/>
      <c r="O245" s="10" t="n"/>
    </row>
    <row r="246">
      <c r="A246" s="6" t="n"/>
      <c r="B246" s="6" t="n"/>
      <c r="C246" s="6" t="n"/>
      <c r="D246" s="6" t="n"/>
      <c r="E246" s="6" t="n"/>
      <c r="F246" s="7" t="n"/>
      <c r="G246" s="8" t="n"/>
      <c r="H246" s="8" t="n"/>
      <c r="I246" s="8" t="n"/>
      <c r="J246" s="6" t="n"/>
      <c r="K246" s="6" t="n"/>
      <c r="L246" s="6" t="n"/>
      <c r="M246" s="9" t="n"/>
      <c r="N246" s="7" t="n"/>
      <c r="O246" s="10" t="n"/>
    </row>
    <row r="247">
      <c r="A247" s="6" t="n"/>
      <c r="B247" s="6" t="n"/>
      <c r="C247" s="6" t="n"/>
      <c r="D247" s="6" t="n"/>
      <c r="E247" s="6" t="n"/>
      <c r="F247" s="7" t="n"/>
      <c r="G247" s="8" t="n"/>
      <c r="H247" s="8" t="n"/>
      <c r="I247" s="8" t="n"/>
      <c r="J247" s="6" t="n"/>
      <c r="K247" s="6" t="n"/>
      <c r="L247" s="6" t="n"/>
      <c r="M247" s="9" t="n"/>
      <c r="N247" s="7" t="n"/>
      <c r="O247" s="10" t="n"/>
    </row>
    <row r="248">
      <c r="A248" s="6" t="n"/>
      <c r="B248" s="6" t="n"/>
      <c r="C248" s="6" t="n"/>
      <c r="D248" s="6" t="n"/>
      <c r="E248" s="6" t="n"/>
      <c r="F248" s="7" t="n"/>
      <c r="G248" s="8" t="n"/>
      <c r="H248" s="8" t="n"/>
      <c r="I248" s="8" t="n"/>
      <c r="J248" s="6" t="n"/>
      <c r="K248" s="6" t="n"/>
      <c r="L248" s="6" t="n"/>
      <c r="M248" s="9" t="n"/>
      <c r="N248" s="7" t="n"/>
      <c r="O248" s="10" t="n"/>
    </row>
    <row r="249">
      <c r="A249" s="6" t="n"/>
      <c r="B249" s="6" t="n"/>
      <c r="C249" s="6" t="n"/>
      <c r="D249" s="6" t="n"/>
      <c r="E249" s="6" t="n"/>
      <c r="F249" s="7" t="n"/>
      <c r="G249" s="8" t="n"/>
      <c r="H249" s="8" t="n"/>
      <c r="I249" s="8" t="n"/>
      <c r="J249" s="6" t="n"/>
      <c r="K249" s="6" t="n"/>
      <c r="L249" s="6" t="n"/>
      <c r="M249" s="9" t="n"/>
      <c r="N249" s="7" t="n"/>
      <c r="O249" s="10" t="n"/>
    </row>
    <row r="250">
      <c r="A250" s="6" t="n"/>
      <c r="B250" s="6" t="n"/>
      <c r="C250" s="6" t="n"/>
      <c r="D250" s="6" t="n"/>
      <c r="E250" s="6" t="n"/>
      <c r="F250" s="7" t="n"/>
      <c r="G250" s="8" t="n"/>
      <c r="H250" s="8" t="n"/>
      <c r="I250" s="8" t="n"/>
      <c r="J250" s="6" t="n"/>
      <c r="K250" s="6" t="n"/>
      <c r="L250" s="6" t="n"/>
      <c r="M250" s="9" t="n"/>
      <c r="N250" s="7" t="n"/>
      <c r="O250" s="10" t="n"/>
    </row>
    <row r="251">
      <c r="A251" s="6" t="n"/>
      <c r="B251" s="6" t="n"/>
      <c r="C251" s="6" t="n"/>
      <c r="D251" s="6" t="n"/>
      <c r="E251" s="6" t="n"/>
      <c r="F251" s="7" t="n"/>
      <c r="G251" s="8" t="n"/>
      <c r="H251" s="8" t="n"/>
      <c r="I251" s="8" t="n"/>
      <c r="J251" s="6" t="n"/>
      <c r="K251" s="6" t="n"/>
      <c r="L251" s="6" t="n"/>
      <c r="M251" s="9" t="n"/>
      <c r="N251" s="7" t="n"/>
      <c r="O251" s="10" t="n"/>
    </row>
    <row r="252">
      <c r="A252" s="6" t="n"/>
      <c r="B252" s="6" t="n"/>
      <c r="C252" s="6" t="n"/>
      <c r="D252" s="6" t="n"/>
      <c r="E252" s="6" t="n"/>
      <c r="F252" s="7" t="n"/>
      <c r="G252" s="8" t="n"/>
      <c r="H252" s="8" t="n"/>
      <c r="I252" s="8" t="n"/>
      <c r="J252" s="6" t="n"/>
      <c r="K252" s="6" t="n"/>
      <c r="L252" s="6" t="n"/>
      <c r="M252" s="9" t="n"/>
      <c r="N252" s="7" t="n"/>
      <c r="O252" s="10" t="n"/>
    </row>
    <row r="253">
      <c r="A253" s="6" t="n"/>
      <c r="B253" s="6" t="n"/>
      <c r="C253" s="6" t="n"/>
      <c r="D253" s="6" t="n"/>
      <c r="E253" s="6" t="n"/>
      <c r="F253" s="7" t="n"/>
      <c r="G253" s="8" t="n"/>
      <c r="H253" s="8" t="n"/>
      <c r="I253" s="8" t="n"/>
      <c r="J253" s="6" t="n"/>
      <c r="K253" s="6" t="n"/>
      <c r="L253" s="6" t="n"/>
      <c r="M253" s="9" t="n"/>
      <c r="N253" s="7" t="n"/>
      <c r="O253" s="10" t="n"/>
    </row>
    <row r="254">
      <c r="A254" s="6" t="n"/>
      <c r="B254" s="6" t="n"/>
      <c r="C254" s="6" t="n"/>
      <c r="D254" s="6" t="n"/>
      <c r="E254" s="6" t="n"/>
      <c r="F254" s="7" t="n"/>
      <c r="G254" s="8" t="n"/>
      <c r="H254" s="8" t="n"/>
      <c r="I254" s="8" t="n"/>
      <c r="J254" s="6" t="n"/>
      <c r="K254" s="6" t="n"/>
      <c r="L254" s="6" t="n"/>
      <c r="M254" s="9" t="n"/>
      <c r="N254" s="7" t="n"/>
      <c r="O254" s="10" t="n"/>
    </row>
    <row r="255">
      <c r="A255" s="6" t="n"/>
      <c r="B255" s="6" t="n"/>
      <c r="C255" s="6" t="n"/>
      <c r="D255" s="6" t="n"/>
      <c r="E255" s="6" t="n"/>
      <c r="F255" s="7" t="n"/>
      <c r="G255" s="8" t="n"/>
      <c r="H255" s="8" t="n"/>
      <c r="I255" s="8" t="n"/>
      <c r="J255" s="6" t="n"/>
      <c r="K255" s="6" t="n"/>
      <c r="L255" s="6" t="n"/>
      <c r="M255" s="9" t="n"/>
      <c r="N255" s="7" t="n"/>
      <c r="O255" s="10" t="n"/>
    </row>
    <row r="256">
      <c r="A256" s="6" t="n"/>
      <c r="B256" s="6" t="n"/>
      <c r="C256" s="6" t="n"/>
      <c r="D256" s="6" t="n"/>
      <c r="E256" s="6" t="n"/>
      <c r="F256" s="7" t="n"/>
      <c r="G256" s="8" t="n"/>
      <c r="H256" s="8" t="n"/>
      <c r="I256" s="8" t="n"/>
      <c r="J256" s="6" t="n"/>
      <c r="K256" s="6" t="n"/>
      <c r="L256" s="6" t="n"/>
      <c r="M256" s="9" t="n"/>
      <c r="N256" s="7" t="n"/>
      <c r="O256" s="10" t="n"/>
    </row>
    <row r="257">
      <c r="A257" s="6" t="n"/>
      <c r="B257" s="6" t="n"/>
      <c r="C257" s="6" t="n"/>
      <c r="D257" s="6" t="n"/>
      <c r="E257" s="6" t="n"/>
      <c r="F257" s="7" t="n"/>
      <c r="G257" s="8" t="n"/>
      <c r="H257" s="8" t="n"/>
      <c r="I257" s="8" t="n"/>
      <c r="J257" s="6" t="n"/>
      <c r="K257" s="6" t="n"/>
      <c r="L257" s="6" t="n"/>
      <c r="M257" s="9" t="n"/>
      <c r="N257" s="7" t="n"/>
      <c r="O257" s="10" t="n"/>
    </row>
    <row r="258">
      <c r="A258" s="6" t="n"/>
      <c r="B258" s="6" t="n"/>
      <c r="C258" s="6" t="n"/>
      <c r="D258" s="6" t="n"/>
      <c r="E258" s="6" t="n"/>
      <c r="F258" s="7" t="n"/>
      <c r="G258" s="8" t="n"/>
      <c r="H258" s="8" t="n"/>
      <c r="I258" s="8" t="n"/>
      <c r="J258" s="6" t="n"/>
      <c r="K258" s="6" t="n"/>
      <c r="L258" s="6" t="n"/>
      <c r="M258" s="9" t="n"/>
      <c r="N258" s="7" t="n"/>
      <c r="O258" s="10" t="n"/>
    </row>
    <row r="259">
      <c r="A259" s="6" t="n"/>
      <c r="B259" s="6" t="n"/>
      <c r="C259" s="6" t="n"/>
      <c r="D259" s="6" t="n"/>
      <c r="E259" s="6" t="n"/>
      <c r="F259" s="7" t="n"/>
      <c r="G259" s="8" t="n"/>
      <c r="H259" s="8" t="n"/>
      <c r="I259" s="8" t="n"/>
      <c r="J259" s="6" t="n"/>
      <c r="K259" s="6" t="n"/>
      <c r="L259" s="6" t="n"/>
      <c r="M259" s="9" t="n"/>
      <c r="N259" s="7" t="n"/>
      <c r="O259" s="10" t="n"/>
    </row>
    <row r="260">
      <c r="A260" s="6" t="n"/>
      <c r="B260" s="6" t="n"/>
      <c r="C260" s="6" t="n"/>
      <c r="D260" s="6" t="n"/>
      <c r="E260" s="6" t="n"/>
      <c r="F260" s="7" t="n"/>
      <c r="G260" s="8" t="n"/>
      <c r="H260" s="8" t="n"/>
      <c r="I260" s="8" t="n"/>
      <c r="J260" s="6" t="n"/>
      <c r="K260" s="6" t="n"/>
      <c r="L260" s="6" t="n"/>
      <c r="M260" s="9" t="n"/>
      <c r="N260" s="7" t="n"/>
      <c r="O260" s="10" t="n"/>
    </row>
    <row r="261">
      <c r="A261" s="6" t="n"/>
      <c r="B261" s="6" t="n"/>
      <c r="C261" s="6" t="n"/>
      <c r="D261" s="6" t="n"/>
      <c r="E261" s="6" t="n"/>
      <c r="F261" s="7" t="n"/>
      <c r="G261" s="8" t="n"/>
      <c r="H261" s="8" t="n"/>
      <c r="I261" s="8" t="n"/>
      <c r="J261" s="6" t="n"/>
      <c r="K261" s="6" t="n"/>
      <c r="L261" s="6" t="n"/>
      <c r="M261" s="9" t="n"/>
      <c r="N261" s="7" t="n"/>
      <c r="O261" s="10" t="n"/>
    </row>
    <row r="262">
      <c r="A262" s="6" t="n"/>
      <c r="B262" s="6" t="n"/>
      <c r="C262" s="6" t="n"/>
      <c r="D262" s="6" t="n"/>
      <c r="E262" s="6" t="n"/>
      <c r="F262" s="7" t="n"/>
      <c r="G262" s="8" t="n"/>
      <c r="H262" s="8" t="n"/>
      <c r="I262" s="8" t="n"/>
      <c r="J262" s="6" t="n"/>
      <c r="K262" s="6" t="n"/>
      <c r="L262" s="6" t="n"/>
      <c r="M262" s="9" t="n"/>
      <c r="N262" s="7" t="n"/>
      <c r="O262" s="10" t="n"/>
    </row>
    <row r="263">
      <c r="A263" s="6" t="n"/>
      <c r="B263" s="6" t="n"/>
      <c r="C263" s="6" t="n"/>
      <c r="D263" s="6" t="n"/>
      <c r="E263" s="6" t="n"/>
      <c r="F263" s="7" t="n"/>
      <c r="G263" s="8" t="n"/>
      <c r="H263" s="8" t="n"/>
      <c r="I263" s="8" t="n"/>
      <c r="J263" s="6" t="n"/>
      <c r="K263" s="6" t="n"/>
      <c r="L263" s="6" t="n"/>
      <c r="M263" s="9" t="n"/>
      <c r="N263" s="7" t="n"/>
      <c r="O263" s="10" t="n"/>
    </row>
    <row r="264">
      <c r="A264" s="6" t="n"/>
      <c r="B264" s="6" t="n"/>
      <c r="C264" s="6" t="n"/>
      <c r="D264" s="6" t="n"/>
      <c r="E264" s="6" t="n"/>
      <c r="F264" s="7" t="n"/>
      <c r="G264" s="8" t="n"/>
      <c r="H264" s="8" t="n"/>
      <c r="I264" s="8" t="n"/>
      <c r="J264" s="6" t="n"/>
      <c r="K264" s="6" t="n"/>
      <c r="L264" s="6" t="n"/>
      <c r="M264" s="9" t="n"/>
      <c r="N264" s="7" t="n"/>
      <c r="O264" s="10" t="n"/>
    </row>
    <row r="265">
      <c r="A265" s="6" t="n"/>
      <c r="B265" s="6" t="n"/>
      <c r="C265" s="6" t="n"/>
      <c r="D265" s="6" t="n"/>
      <c r="E265" s="6" t="n"/>
      <c r="F265" s="7" t="n"/>
      <c r="G265" s="8" t="n"/>
      <c r="H265" s="8" t="n"/>
      <c r="I265" s="8" t="n"/>
      <c r="J265" s="6" t="n"/>
      <c r="K265" s="6" t="n"/>
      <c r="L265" s="6" t="n"/>
      <c r="M265" s="9" t="n"/>
      <c r="N265" s="7" t="n"/>
      <c r="O265" s="10" t="n"/>
    </row>
    <row r="266">
      <c r="A266" s="6" t="n"/>
      <c r="B266" s="6" t="n"/>
      <c r="C266" s="6" t="n"/>
      <c r="D266" s="6" t="n"/>
      <c r="E266" s="6" t="n"/>
      <c r="F266" s="7" t="n"/>
      <c r="G266" s="8" t="n"/>
      <c r="H266" s="8" t="n"/>
      <c r="I266" s="8" t="n"/>
      <c r="J266" s="6" t="n"/>
      <c r="K266" s="6" t="n"/>
      <c r="L266" s="6" t="n"/>
      <c r="M266" s="9" t="n"/>
      <c r="N266" s="7" t="n"/>
      <c r="O266" s="10" t="n"/>
    </row>
    <row r="267">
      <c r="A267" s="6" t="n"/>
      <c r="B267" s="6" t="n"/>
      <c r="C267" s="6" t="n"/>
      <c r="D267" s="6" t="n"/>
      <c r="E267" s="6" t="n"/>
      <c r="F267" s="7" t="n"/>
      <c r="G267" s="8" t="n"/>
      <c r="H267" s="8" t="n"/>
      <c r="I267" s="8" t="n"/>
      <c r="J267" s="6" t="n"/>
      <c r="K267" s="6" t="n"/>
      <c r="L267" s="6" t="n"/>
      <c r="M267" s="9" t="n"/>
      <c r="N267" s="7" t="n"/>
      <c r="O267" s="10" t="n"/>
    </row>
    <row r="268">
      <c r="A268" s="6" t="n"/>
      <c r="B268" s="6" t="n"/>
      <c r="C268" s="6" t="n"/>
      <c r="D268" s="6" t="n"/>
      <c r="E268" s="6" t="n"/>
      <c r="F268" s="7" t="n"/>
      <c r="G268" s="8" t="n"/>
      <c r="H268" s="8" t="n"/>
      <c r="I268" s="8" t="n"/>
      <c r="J268" s="6" t="n"/>
      <c r="K268" s="6" t="n"/>
      <c r="L268" s="6" t="n"/>
      <c r="M268" s="9" t="n"/>
      <c r="N268" s="7" t="n"/>
      <c r="O268" s="10" t="n"/>
    </row>
    <row r="269">
      <c r="A269" s="6" t="n"/>
      <c r="B269" s="6" t="n"/>
      <c r="C269" s="6" t="n"/>
      <c r="D269" s="6" t="n"/>
      <c r="E269" s="6" t="n"/>
      <c r="F269" s="7" t="n"/>
      <c r="G269" s="8" t="n"/>
      <c r="H269" s="8" t="n"/>
      <c r="I269" s="8" t="n"/>
      <c r="J269" s="6" t="n"/>
      <c r="K269" s="6" t="n"/>
      <c r="L269" s="6" t="n"/>
      <c r="M269" s="9" t="n"/>
      <c r="N269" s="7" t="n"/>
      <c r="O269" s="10" t="n"/>
    </row>
    <row r="270">
      <c r="A270" s="6" t="n"/>
      <c r="B270" s="6" t="n"/>
      <c r="C270" s="6" t="n"/>
      <c r="D270" s="6" t="n"/>
      <c r="E270" s="6" t="n"/>
      <c r="F270" s="7" t="n"/>
      <c r="G270" s="8" t="n"/>
      <c r="H270" s="8" t="n"/>
      <c r="I270" s="8" t="n"/>
      <c r="J270" s="6" t="n"/>
      <c r="K270" s="6" t="n"/>
      <c r="L270" s="6" t="n"/>
      <c r="M270" s="9" t="n"/>
      <c r="N270" s="7" t="n"/>
      <c r="O270" s="10" t="n"/>
    </row>
    <row r="271">
      <c r="A271" s="6" t="n"/>
      <c r="B271" s="6" t="n"/>
      <c r="C271" s="6" t="n"/>
      <c r="D271" s="6" t="n"/>
      <c r="E271" s="6" t="n"/>
      <c r="F271" s="7" t="n"/>
      <c r="G271" s="8" t="n"/>
      <c r="H271" s="8" t="n"/>
      <c r="I271" s="8" t="n"/>
      <c r="J271" s="6" t="n"/>
      <c r="K271" s="6" t="n"/>
      <c r="L271" s="6" t="n"/>
      <c r="M271" s="9" t="n"/>
      <c r="N271" s="7" t="n"/>
      <c r="O271" s="10" t="n"/>
    </row>
    <row r="272">
      <c r="A272" s="6" t="n"/>
      <c r="B272" s="6" t="n"/>
      <c r="C272" s="6" t="n"/>
      <c r="D272" s="6" t="n"/>
      <c r="E272" s="6" t="n"/>
      <c r="F272" s="7" t="n"/>
      <c r="G272" s="8" t="n"/>
      <c r="H272" s="8" t="n"/>
      <c r="I272" s="8" t="n"/>
      <c r="J272" s="6" t="n"/>
      <c r="K272" s="6" t="n"/>
      <c r="L272" s="6" t="n"/>
      <c r="M272" s="9" t="n"/>
      <c r="N272" s="7" t="n"/>
      <c r="O272" s="10" t="n"/>
    </row>
    <row r="273">
      <c r="A273" s="6" t="n"/>
      <c r="B273" s="6" t="n"/>
      <c r="C273" s="6" t="n"/>
      <c r="D273" s="6" t="n"/>
      <c r="E273" s="6" t="n"/>
      <c r="F273" s="7" t="n"/>
      <c r="G273" s="8" t="n"/>
      <c r="H273" s="8" t="n"/>
      <c r="I273" s="8" t="n"/>
      <c r="J273" s="6" t="n"/>
      <c r="K273" s="6" t="n"/>
      <c r="L273" s="6" t="n"/>
      <c r="M273" s="9" t="n"/>
      <c r="N273" s="7" t="n"/>
      <c r="O273" s="10" t="n"/>
    </row>
    <row r="274">
      <c r="A274" s="6" t="n"/>
      <c r="B274" s="6" t="n"/>
      <c r="C274" s="6" t="n"/>
      <c r="D274" s="6" t="n"/>
      <c r="E274" s="6" t="n"/>
      <c r="F274" s="7" t="n"/>
      <c r="G274" s="8" t="n"/>
      <c r="H274" s="8" t="n"/>
      <c r="I274" s="8" t="n"/>
      <c r="J274" s="6" t="n"/>
      <c r="K274" s="6" t="n"/>
      <c r="L274" s="6" t="n"/>
      <c r="M274" s="9" t="n"/>
      <c r="N274" s="7" t="n"/>
      <c r="O274" s="10" t="n"/>
    </row>
    <row r="275">
      <c r="A275" s="6" t="n"/>
      <c r="B275" s="6" t="n"/>
      <c r="C275" s="6" t="n"/>
      <c r="D275" s="6" t="n"/>
      <c r="E275" s="6" t="n"/>
      <c r="F275" s="7" t="n"/>
      <c r="G275" s="8" t="n"/>
      <c r="H275" s="8" t="n"/>
      <c r="I275" s="8" t="n"/>
      <c r="J275" s="6" t="n"/>
      <c r="K275" s="6" t="n"/>
      <c r="L275" s="6" t="n"/>
      <c r="M275" s="9" t="n"/>
      <c r="N275" s="7" t="n"/>
      <c r="O275" s="10" t="n"/>
    </row>
    <row r="276">
      <c r="A276" s="6" t="n"/>
      <c r="B276" s="6" t="n"/>
      <c r="C276" s="6" t="n"/>
      <c r="D276" s="6" t="n"/>
      <c r="E276" s="6" t="n"/>
      <c r="F276" s="7" t="n"/>
      <c r="G276" s="8" t="n"/>
      <c r="H276" s="8" t="n"/>
      <c r="I276" s="8" t="n"/>
      <c r="J276" s="6" t="n"/>
      <c r="K276" s="6" t="n"/>
      <c r="L276" s="6" t="n"/>
      <c r="M276" s="9" t="n"/>
      <c r="N276" s="7" t="n"/>
      <c r="O276" s="10" t="n"/>
    </row>
    <row r="277">
      <c r="A277" s="6" t="n"/>
      <c r="B277" s="6" t="n"/>
      <c r="C277" s="6" t="n"/>
      <c r="D277" s="6" t="n"/>
      <c r="E277" s="6" t="n"/>
      <c r="F277" s="7" t="n"/>
      <c r="G277" s="8" t="n"/>
      <c r="H277" s="8" t="n"/>
      <c r="I277" s="8" t="n"/>
      <c r="J277" s="6" t="n"/>
      <c r="K277" s="6" t="n"/>
      <c r="L277" s="6" t="n"/>
      <c r="M277" s="9" t="n"/>
      <c r="N277" s="7" t="n"/>
      <c r="O277" s="10" t="n"/>
    </row>
    <row r="278">
      <c r="A278" s="6" t="n"/>
      <c r="B278" s="6" t="n"/>
      <c r="C278" s="6" t="n"/>
      <c r="D278" s="6" t="n"/>
      <c r="E278" s="6" t="n"/>
      <c r="F278" s="7" t="n"/>
      <c r="G278" s="8" t="n"/>
      <c r="H278" s="8" t="n"/>
      <c r="I278" s="8" t="n"/>
      <c r="J278" s="6" t="n"/>
      <c r="K278" s="6" t="n"/>
      <c r="L278" s="6" t="n"/>
      <c r="M278" s="9" t="n"/>
      <c r="N278" s="7" t="n"/>
      <c r="O278" s="10" t="n"/>
    </row>
    <row r="279">
      <c r="A279" s="6" t="n"/>
      <c r="B279" s="6" t="n"/>
      <c r="C279" s="6" t="n"/>
      <c r="D279" s="6" t="n"/>
      <c r="E279" s="6" t="n"/>
      <c r="F279" s="7" t="n"/>
      <c r="G279" s="8" t="n"/>
      <c r="H279" s="8" t="n"/>
      <c r="I279" s="8" t="n"/>
      <c r="J279" s="6" t="n"/>
      <c r="K279" s="6" t="n"/>
      <c r="L279" s="6" t="n"/>
      <c r="M279" s="9" t="n"/>
      <c r="N279" s="7" t="n"/>
      <c r="O279" s="10" t="n"/>
    </row>
    <row r="280">
      <c r="A280" s="6" t="n"/>
      <c r="B280" s="6" t="n"/>
      <c r="C280" s="6" t="n"/>
      <c r="D280" s="6" t="n"/>
      <c r="E280" s="6" t="n"/>
      <c r="F280" s="7" t="n"/>
      <c r="G280" s="8" t="n"/>
      <c r="H280" s="8" t="n"/>
      <c r="I280" s="8" t="n"/>
      <c r="J280" s="6" t="n"/>
      <c r="K280" s="6" t="n"/>
      <c r="L280" s="6" t="n"/>
      <c r="M280" s="9" t="n"/>
      <c r="N280" s="7" t="n"/>
      <c r="O280" s="10" t="n"/>
    </row>
    <row r="281">
      <c r="A281" s="6" t="n"/>
      <c r="B281" s="6" t="n"/>
      <c r="C281" s="6" t="n"/>
      <c r="D281" s="6" t="n"/>
      <c r="E281" s="6" t="n"/>
      <c r="F281" s="7" t="n"/>
      <c r="G281" s="8" t="n"/>
      <c r="H281" s="8" t="n"/>
      <c r="I281" s="8" t="n"/>
      <c r="J281" s="6" t="n"/>
      <c r="K281" s="6" t="n"/>
      <c r="L281" s="6" t="n"/>
      <c r="M281" s="9" t="n"/>
      <c r="N281" s="7" t="n"/>
      <c r="O281" s="10" t="n"/>
    </row>
    <row r="282">
      <c r="A282" s="6" t="n"/>
      <c r="B282" s="6" t="n"/>
      <c r="C282" s="6" t="n"/>
      <c r="D282" s="6" t="n"/>
      <c r="E282" s="6" t="n"/>
      <c r="F282" s="7" t="n"/>
      <c r="G282" s="8" t="n"/>
      <c r="H282" s="8" t="n"/>
      <c r="I282" s="8" t="n"/>
      <c r="J282" s="6" t="n"/>
      <c r="K282" s="6" t="n"/>
      <c r="L282" s="6" t="n"/>
      <c r="M282" s="9" t="n"/>
      <c r="N282" s="7" t="n"/>
      <c r="O282" s="10" t="n"/>
    </row>
    <row r="283">
      <c r="A283" s="6" t="n"/>
      <c r="B283" s="6" t="n"/>
      <c r="C283" s="6" t="n"/>
      <c r="D283" s="6" t="n"/>
      <c r="E283" s="6" t="n"/>
      <c r="F283" s="7" t="n"/>
      <c r="G283" s="8" t="n"/>
      <c r="H283" s="8" t="n"/>
      <c r="I283" s="8" t="n"/>
      <c r="J283" s="6" t="n"/>
      <c r="K283" s="6" t="n"/>
      <c r="L283" s="6" t="n"/>
      <c r="M283" s="9" t="n"/>
      <c r="N283" s="7" t="n"/>
      <c r="O283" s="10" t="n"/>
    </row>
    <row r="284">
      <c r="A284" s="6" t="n"/>
      <c r="B284" s="6" t="n"/>
      <c r="C284" s="6" t="n"/>
      <c r="D284" s="6" t="n"/>
      <c r="E284" s="6" t="n"/>
      <c r="F284" s="7" t="n"/>
      <c r="G284" s="8" t="n"/>
      <c r="H284" s="8" t="n"/>
      <c r="I284" s="8" t="n"/>
      <c r="J284" s="6" t="n"/>
      <c r="K284" s="6" t="n"/>
      <c r="L284" s="6" t="n"/>
      <c r="M284" s="9" t="n"/>
      <c r="N284" s="7" t="n"/>
      <c r="O284" s="10" t="n"/>
    </row>
    <row r="285">
      <c r="A285" s="6" t="n"/>
      <c r="B285" s="6" t="n"/>
      <c r="C285" s="6" t="n"/>
      <c r="D285" s="6" t="n"/>
      <c r="E285" s="6" t="n"/>
      <c r="F285" s="7" t="n"/>
      <c r="G285" s="8" t="n"/>
      <c r="H285" s="8" t="n"/>
      <c r="I285" s="8" t="n"/>
      <c r="J285" s="6" t="n"/>
      <c r="K285" s="6" t="n"/>
      <c r="L285" s="6" t="n"/>
      <c r="M285" s="9" t="n"/>
      <c r="N285" s="7" t="n"/>
      <c r="O285" s="10" t="n"/>
    </row>
    <row r="286">
      <c r="A286" s="6" t="n"/>
      <c r="B286" s="6" t="n"/>
      <c r="C286" s="6" t="n"/>
      <c r="D286" s="6" t="n"/>
      <c r="E286" s="6" t="n"/>
      <c r="F286" s="7" t="n"/>
      <c r="G286" s="8" t="n"/>
      <c r="H286" s="8" t="n"/>
      <c r="I286" s="8" t="n"/>
      <c r="J286" s="6" t="n"/>
      <c r="K286" s="6" t="n"/>
      <c r="L286" s="6" t="n"/>
      <c r="M286" s="9" t="n"/>
      <c r="N286" s="7" t="n"/>
      <c r="O286" s="10" t="n"/>
    </row>
    <row r="287">
      <c r="A287" s="6" t="n"/>
      <c r="B287" s="6" t="n"/>
      <c r="C287" s="6" t="n"/>
      <c r="D287" s="6" t="n"/>
      <c r="E287" s="6" t="n"/>
      <c r="F287" s="7" t="n"/>
      <c r="G287" s="8" t="n"/>
      <c r="H287" s="8" t="n"/>
      <c r="I287" s="8" t="n"/>
      <c r="J287" s="6" t="n"/>
      <c r="K287" s="6" t="n"/>
      <c r="L287" s="6" t="n"/>
      <c r="M287" s="9" t="n"/>
      <c r="N287" s="7" t="n"/>
      <c r="O287" s="10" t="n"/>
    </row>
    <row r="288">
      <c r="A288" s="6" t="n"/>
      <c r="B288" s="6" t="n"/>
      <c r="C288" s="6" t="n"/>
      <c r="D288" s="6" t="n"/>
      <c r="E288" s="6" t="n"/>
      <c r="F288" s="7" t="n"/>
      <c r="G288" s="8" t="n"/>
      <c r="H288" s="8" t="n"/>
      <c r="I288" s="8" t="n"/>
      <c r="J288" s="6" t="n"/>
      <c r="K288" s="6" t="n"/>
      <c r="L288" s="6" t="n"/>
      <c r="M288" s="9" t="n"/>
      <c r="N288" s="7" t="n"/>
      <c r="O288" s="10" t="n"/>
    </row>
    <row r="289">
      <c r="A289" s="6" t="n"/>
      <c r="B289" s="6" t="n"/>
      <c r="C289" s="6" t="n"/>
      <c r="D289" s="6" t="n"/>
      <c r="E289" s="6" t="n"/>
      <c r="F289" s="7" t="n"/>
      <c r="G289" s="8" t="n"/>
      <c r="H289" s="8" t="n"/>
      <c r="I289" s="8" t="n"/>
      <c r="J289" s="6" t="n"/>
      <c r="K289" s="6" t="n"/>
      <c r="L289" s="6" t="n"/>
      <c r="M289" s="9" t="n"/>
      <c r="N289" s="7" t="n"/>
      <c r="O289" s="10" t="n"/>
    </row>
    <row r="290">
      <c r="A290" s="6" t="n"/>
      <c r="B290" s="6" t="n"/>
      <c r="C290" s="6" t="n"/>
      <c r="D290" s="6" t="n"/>
      <c r="E290" s="6" t="n"/>
      <c r="F290" s="7" t="n"/>
      <c r="G290" s="8" t="n"/>
      <c r="H290" s="8" t="n"/>
      <c r="I290" s="8" t="n"/>
      <c r="J290" s="6" t="n"/>
      <c r="K290" s="6" t="n"/>
      <c r="L290" s="6" t="n"/>
      <c r="M290" s="9" t="n"/>
      <c r="N290" s="7" t="n"/>
      <c r="O290" s="10" t="n"/>
    </row>
    <row r="291">
      <c r="A291" s="6" t="n"/>
      <c r="B291" s="6" t="n"/>
      <c r="C291" s="6" t="n"/>
      <c r="D291" s="6" t="n"/>
      <c r="E291" s="6" t="n"/>
      <c r="F291" s="7" t="n"/>
      <c r="G291" s="8" t="n"/>
      <c r="H291" s="8" t="n"/>
      <c r="I291" s="8" t="n"/>
      <c r="J291" s="6" t="n"/>
      <c r="K291" s="6" t="n"/>
      <c r="L291" s="6" t="n"/>
      <c r="M291" s="9" t="n"/>
      <c r="N291" s="7" t="n"/>
      <c r="O291" s="10" t="n"/>
    </row>
    <row r="292">
      <c r="A292" s="6" t="n"/>
      <c r="B292" s="6" t="n"/>
      <c r="C292" s="6" t="n"/>
      <c r="D292" s="6" t="n"/>
      <c r="E292" s="6" t="n"/>
      <c r="F292" s="7" t="n"/>
      <c r="G292" s="8" t="n"/>
      <c r="H292" s="8" t="n"/>
      <c r="I292" s="8" t="n"/>
      <c r="J292" s="6" t="n"/>
      <c r="K292" s="6" t="n"/>
      <c r="L292" s="6" t="n"/>
      <c r="M292" s="9" t="n"/>
      <c r="N292" s="7" t="n"/>
      <c r="O292" s="10" t="n"/>
    </row>
    <row r="293">
      <c r="A293" s="6" t="n"/>
      <c r="B293" s="6" t="n"/>
      <c r="C293" s="6" t="n"/>
      <c r="D293" s="6" t="n"/>
      <c r="E293" s="6" t="n"/>
      <c r="F293" s="7" t="n"/>
      <c r="G293" s="8" t="n"/>
      <c r="H293" s="8" t="n"/>
      <c r="I293" s="8" t="n"/>
      <c r="J293" s="6" t="n"/>
      <c r="K293" s="6" t="n"/>
      <c r="L293" s="6" t="n"/>
      <c r="M293" s="9" t="n"/>
      <c r="N293" s="7" t="n"/>
      <c r="O293" s="10" t="n"/>
    </row>
    <row r="294">
      <c r="A294" s="6" t="n"/>
      <c r="B294" s="6" t="n"/>
      <c r="C294" s="6" t="n"/>
      <c r="D294" s="6" t="n"/>
      <c r="E294" s="6" t="n"/>
      <c r="F294" s="7" t="n"/>
      <c r="G294" s="8" t="n"/>
      <c r="H294" s="8" t="n"/>
      <c r="I294" s="8" t="n"/>
      <c r="J294" s="6" t="n"/>
      <c r="K294" s="6" t="n"/>
      <c r="L294" s="6" t="n"/>
      <c r="M294" s="9" t="n"/>
      <c r="N294" s="7" t="n"/>
      <c r="O294" s="10" t="n"/>
    </row>
    <row r="295">
      <c r="A295" s="6" t="n"/>
      <c r="B295" s="6" t="n"/>
      <c r="C295" s="6" t="n"/>
      <c r="D295" s="6" t="n"/>
      <c r="E295" s="6" t="n"/>
      <c r="F295" s="7" t="n"/>
      <c r="G295" s="8" t="n"/>
      <c r="H295" s="8" t="n"/>
      <c r="I295" s="8" t="n"/>
      <c r="J295" s="6" t="n"/>
      <c r="K295" s="6" t="n"/>
      <c r="L295" s="6" t="n"/>
      <c r="M295" s="9" t="n"/>
      <c r="N295" s="7" t="n"/>
      <c r="O295" s="10" t="n"/>
    </row>
    <row r="296">
      <c r="A296" s="6" t="n"/>
      <c r="B296" s="6" t="n"/>
      <c r="C296" s="6" t="n"/>
      <c r="D296" s="6" t="n"/>
      <c r="E296" s="6" t="n"/>
      <c r="F296" s="7" t="n"/>
      <c r="G296" s="8" t="n"/>
      <c r="H296" s="8" t="n"/>
      <c r="I296" s="8" t="n"/>
      <c r="J296" s="6" t="n"/>
      <c r="K296" s="6" t="n"/>
      <c r="L296" s="6" t="n"/>
      <c r="M296" s="9" t="n"/>
      <c r="N296" s="7" t="n"/>
      <c r="O296" s="10" t="n"/>
    </row>
    <row r="297">
      <c r="A297" s="6" t="n"/>
      <c r="B297" s="6" t="n"/>
      <c r="C297" s="6" t="n"/>
      <c r="D297" s="6" t="n"/>
      <c r="E297" s="6" t="n"/>
      <c r="F297" s="7" t="n"/>
      <c r="G297" s="8" t="n"/>
      <c r="H297" s="8" t="n"/>
      <c r="I297" s="8" t="n"/>
      <c r="J297" s="6" t="n"/>
      <c r="K297" s="6" t="n"/>
      <c r="L297" s="6" t="n"/>
      <c r="M297" s="9" t="n"/>
      <c r="N297" s="7" t="n"/>
      <c r="O297" s="10" t="n"/>
    </row>
    <row r="298">
      <c r="A298" s="6" t="n"/>
      <c r="B298" s="6" t="n"/>
      <c r="C298" s="6" t="n"/>
      <c r="D298" s="6" t="n"/>
      <c r="E298" s="6" t="n"/>
      <c r="F298" s="7" t="n"/>
      <c r="G298" s="8" t="n"/>
      <c r="H298" s="8" t="n"/>
      <c r="I298" s="8" t="n"/>
      <c r="J298" s="6" t="n"/>
      <c r="K298" s="6" t="n"/>
      <c r="L298" s="6" t="n"/>
      <c r="M298" s="9" t="n"/>
      <c r="N298" s="7" t="n"/>
      <c r="O298" s="10" t="n"/>
    </row>
    <row r="299">
      <c r="A299" s="6" t="n"/>
      <c r="B299" s="6" t="n"/>
      <c r="C299" s="6" t="n"/>
      <c r="D299" s="6" t="n"/>
      <c r="E299" s="6" t="n"/>
      <c r="F299" s="7" t="n"/>
      <c r="G299" s="8" t="n"/>
      <c r="H299" s="8" t="n"/>
      <c r="I299" s="8" t="n"/>
      <c r="J299" s="6" t="n"/>
      <c r="K299" s="6" t="n"/>
      <c r="L299" s="6" t="n"/>
      <c r="M299" s="9" t="n"/>
      <c r="N299" s="7" t="n"/>
      <c r="O299" s="10" t="n"/>
    </row>
    <row r="300">
      <c r="A300" s="6" t="n"/>
      <c r="B300" s="6" t="n"/>
      <c r="C300" s="6" t="n"/>
      <c r="D300" s="6" t="n"/>
      <c r="E300" s="6" t="n"/>
      <c r="F300" s="7" t="n"/>
      <c r="G300" s="8" t="n"/>
      <c r="H300" s="8" t="n"/>
      <c r="I300" s="8" t="n"/>
      <c r="J300" s="6" t="n"/>
      <c r="K300" s="6" t="n"/>
      <c r="L300" s="6" t="n"/>
      <c r="M300" s="9" t="n"/>
      <c r="N300" s="7" t="n"/>
      <c r="O300" s="10" t="n"/>
    </row>
    <row r="301">
      <c r="A301" s="6" t="n"/>
      <c r="B301" s="6" t="n"/>
      <c r="C301" s="6" t="n"/>
      <c r="D301" s="6" t="n"/>
      <c r="E301" s="6" t="n"/>
      <c r="F301" s="7" t="n"/>
      <c r="G301" s="8" t="n"/>
      <c r="H301" s="8" t="n"/>
      <c r="I301" s="8" t="n"/>
      <c r="J301" s="6" t="n"/>
      <c r="K301" s="6" t="n"/>
      <c r="L301" s="6" t="n"/>
      <c r="M301" s="9" t="n"/>
      <c r="N301" s="7" t="n"/>
      <c r="O301" s="10" t="n"/>
    </row>
    <row r="302">
      <c r="A302" s="6" t="n"/>
      <c r="B302" s="6" t="n"/>
      <c r="C302" s="6" t="n"/>
      <c r="D302" s="6" t="n"/>
      <c r="E302" s="6" t="n"/>
      <c r="F302" s="7" t="n"/>
      <c r="G302" s="8" t="n"/>
      <c r="H302" s="8" t="n"/>
      <c r="I302" s="8" t="n"/>
      <c r="J302" s="6" t="n"/>
      <c r="K302" s="6" t="n"/>
      <c r="L302" s="6" t="n"/>
      <c r="M302" s="9" t="n"/>
      <c r="N302" s="7" t="n"/>
      <c r="O302" s="10" t="n"/>
    </row>
    <row r="303">
      <c r="A303" s="6" t="n"/>
      <c r="B303" s="6" t="n"/>
      <c r="C303" s="6" t="n"/>
      <c r="D303" s="6" t="n"/>
      <c r="E303" s="6" t="n"/>
      <c r="F303" s="7" t="n"/>
      <c r="G303" s="8" t="n"/>
      <c r="H303" s="8" t="n"/>
      <c r="I303" s="8" t="n"/>
      <c r="J303" s="6" t="n"/>
      <c r="K303" s="6" t="n"/>
      <c r="L303" s="6" t="n"/>
      <c r="M303" s="9" t="n"/>
      <c r="N303" s="7" t="n"/>
      <c r="O303" s="10" t="n"/>
    </row>
    <row r="304">
      <c r="A304" s="6" t="n"/>
      <c r="B304" s="6" t="n"/>
      <c r="C304" s="6" t="n"/>
      <c r="D304" s="6" t="n"/>
      <c r="E304" s="6" t="n"/>
      <c r="F304" s="7" t="n"/>
      <c r="G304" s="8" t="n"/>
      <c r="H304" s="8" t="n"/>
      <c r="I304" s="8" t="n"/>
      <c r="J304" s="6" t="n"/>
      <c r="K304" s="6" t="n"/>
      <c r="L304" s="6" t="n"/>
      <c r="M304" s="9" t="n"/>
      <c r="N304" s="7" t="n"/>
      <c r="O304" s="10" t="n"/>
    </row>
    <row r="305">
      <c r="A305" s="6" t="n"/>
      <c r="B305" s="6" t="n"/>
      <c r="C305" s="6" t="n"/>
      <c r="D305" s="6" t="n"/>
      <c r="E305" s="6" t="n"/>
      <c r="F305" s="7" t="n"/>
      <c r="G305" s="8" t="n"/>
      <c r="H305" s="8" t="n"/>
      <c r="I305" s="8" t="n"/>
      <c r="J305" s="6" t="n"/>
      <c r="K305" s="6" t="n"/>
      <c r="L305" s="6" t="n"/>
      <c r="M305" s="9" t="n"/>
      <c r="N305" s="7" t="n"/>
      <c r="O305" s="10" t="n"/>
    </row>
    <row r="306">
      <c r="A306" s="6" t="n"/>
      <c r="B306" s="6" t="n"/>
      <c r="C306" s="6" t="n"/>
      <c r="D306" s="6" t="n"/>
      <c r="E306" s="6" t="n"/>
      <c r="F306" s="7" t="n"/>
      <c r="G306" s="8" t="n"/>
      <c r="H306" s="8" t="n"/>
      <c r="I306" s="8" t="n"/>
      <c r="J306" s="6" t="n"/>
      <c r="K306" s="6" t="n"/>
      <c r="L306" s="6" t="n"/>
      <c r="M306" s="9" t="n"/>
      <c r="N306" s="7" t="n"/>
      <c r="O306" s="10" t="n"/>
    </row>
    <row r="307">
      <c r="A307" s="6" t="n"/>
      <c r="B307" s="6" t="n"/>
      <c r="C307" s="6" t="n"/>
      <c r="D307" s="6" t="n"/>
      <c r="E307" s="6" t="n"/>
      <c r="F307" s="7" t="n"/>
      <c r="G307" s="8" t="n"/>
      <c r="H307" s="8" t="n"/>
      <c r="I307" s="8" t="n"/>
      <c r="J307" s="6" t="n"/>
      <c r="K307" s="6" t="n"/>
      <c r="L307" s="6" t="n"/>
      <c r="M307" s="9" t="n"/>
      <c r="N307" s="7" t="n"/>
      <c r="O307" s="10" t="n"/>
    </row>
    <row r="308">
      <c r="A308" s="6" t="n"/>
      <c r="B308" s="6" t="n"/>
      <c r="C308" s="6" t="n"/>
      <c r="D308" s="6" t="n"/>
      <c r="E308" s="6" t="n"/>
      <c r="F308" s="7" t="n"/>
      <c r="G308" s="8" t="n"/>
      <c r="H308" s="8" t="n"/>
      <c r="I308" s="8" t="n"/>
      <c r="J308" s="6" t="n"/>
      <c r="K308" s="6" t="n"/>
      <c r="L308" s="6" t="n"/>
      <c r="M308" s="9" t="n"/>
      <c r="N308" s="7" t="n"/>
      <c r="O308" s="10" t="n"/>
    </row>
    <row r="309">
      <c r="A309" s="6" t="n"/>
      <c r="B309" s="6" t="n"/>
      <c r="C309" s="6" t="n"/>
      <c r="D309" s="6" t="n"/>
      <c r="E309" s="6" t="n"/>
      <c r="F309" s="7" t="n"/>
      <c r="G309" s="8" t="n"/>
      <c r="H309" s="8" t="n"/>
      <c r="I309" s="8" t="n"/>
      <c r="J309" s="6" t="n"/>
      <c r="K309" s="6" t="n"/>
      <c r="L309" s="6" t="n"/>
      <c r="M309" s="9" t="n"/>
      <c r="N309" s="7" t="n"/>
      <c r="O309" s="10" t="n"/>
    </row>
    <row r="310">
      <c r="A310" s="6" t="n"/>
      <c r="B310" s="6" t="n"/>
      <c r="C310" s="6" t="n"/>
      <c r="D310" s="6" t="n"/>
      <c r="E310" s="6" t="n"/>
      <c r="F310" s="7" t="n"/>
      <c r="G310" s="8" t="n"/>
      <c r="H310" s="8" t="n"/>
      <c r="I310" s="8" t="n"/>
      <c r="J310" s="6" t="n"/>
      <c r="K310" s="6" t="n"/>
      <c r="L310" s="6" t="n"/>
      <c r="M310" s="9" t="n"/>
      <c r="N310" s="7" t="n"/>
      <c r="O310" s="10" t="n"/>
    </row>
    <row r="311">
      <c r="A311" s="6" t="n"/>
      <c r="B311" s="6" t="n"/>
      <c r="C311" s="6" t="n"/>
      <c r="D311" s="6" t="n"/>
      <c r="E311" s="6" t="n"/>
      <c r="F311" s="7" t="n"/>
      <c r="G311" s="8" t="n"/>
      <c r="H311" s="8" t="n"/>
      <c r="I311" s="8" t="n"/>
      <c r="J311" s="6" t="n"/>
      <c r="K311" s="6" t="n"/>
      <c r="L311" s="6" t="n"/>
      <c r="M311" s="9" t="n"/>
      <c r="N311" s="7" t="n"/>
      <c r="O311" s="10" t="n"/>
    </row>
    <row r="312">
      <c r="A312" s="6" t="n"/>
      <c r="B312" s="6" t="n"/>
      <c r="C312" s="6" t="n"/>
      <c r="D312" s="6" t="n"/>
      <c r="E312" s="6" t="n"/>
      <c r="F312" s="7" t="n"/>
      <c r="G312" s="8" t="n"/>
      <c r="H312" s="8" t="n"/>
      <c r="I312" s="8" t="n"/>
      <c r="J312" s="6" t="n"/>
      <c r="K312" s="6" t="n"/>
      <c r="L312" s="6" t="n"/>
      <c r="M312" s="9" t="n"/>
      <c r="N312" s="7" t="n"/>
      <c r="O312" s="10" t="n"/>
    </row>
    <row r="313">
      <c r="A313" s="6" t="n"/>
      <c r="B313" s="6" t="n"/>
      <c r="C313" s="6" t="n"/>
      <c r="D313" s="6" t="n"/>
      <c r="E313" s="6" t="n"/>
      <c r="F313" s="7" t="n"/>
      <c r="G313" s="8" t="n"/>
      <c r="H313" s="8" t="n"/>
      <c r="I313" s="8" t="n"/>
      <c r="J313" s="6" t="n"/>
      <c r="K313" s="6" t="n"/>
      <c r="L313" s="6" t="n"/>
      <c r="M313" s="9" t="n"/>
      <c r="N313" s="7" t="n"/>
      <c r="O313" s="10" t="n"/>
    </row>
    <row r="314">
      <c r="A314" s="6" t="n"/>
      <c r="B314" s="6" t="n"/>
      <c r="C314" s="6" t="n"/>
      <c r="D314" s="6" t="n"/>
      <c r="E314" s="6" t="n"/>
      <c r="F314" s="7" t="n"/>
      <c r="G314" s="8" t="n"/>
      <c r="H314" s="8" t="n"/>
      <c r="I314" s="8" t="n"/>
      <c r="J314" s="6" t="n"/>
      <c r="K314" s="6" t="n"/>
      <c r="L314" s="6" t="n"/>
      <c r="M314" s="9" t="n"/>
      <c r="N314" s="7" t="n"/>
      <c r="O314" s="10" t="n"/>
    </row>
    <row r="315">
      <c r="A315" s="6" t="n"/>
      <c r="B315" s="6" t="n"/>
      <c r="C315" s="6" t="n"/>
      <c r="D315" s="6" t="n"/>
      <c r="E315" s="6" t="n"/>
      <c r="F315" s="7" t="n"/>
      <c r="G315" s="8" t="n"/>
      <c r="H315" s="8" t="n"/>
      <c r="I315" s="8" t="n"/>
      <c r="J315" s="6" t="n"/>
      <c r="K315" s="6" t="n"/>
      <c r="L315" s="6" t="n"/>
      <c r="M315" s="9" t="n"/>
      <c r="N315" s="7" t="n"/>
      <c r="O315" s="10" t="n"/>
    </row>
    <row r="316">
      <c r="A316" s="6" t="n"/>
      <c r="B316" s="6" t="n"/>
      <c r="C316" s="6" t="n"/>
      <c r="D316" s="6" t="n"/>
      <c r="E316" s="6" t="n"/>
      <c r="F316" s="7" t="n"/>
      <c r="G316" s="8" t="n"/>
      <c r="H316" s="8" t="n"/>
      <c r="I316" s="8" t="n"/>
      <c r="J316" s="6" t="n"/>
      <c r="K316" s="6" t="n"/>
      <c r="L316" s="6" t="n"/>
      <c r="M316" s="9" t="n"/>
      <c r="N316" s="7" t="n"/>
      <c r="O316" s="10" t="n"/>
    </row>
    <row r="317">
      <c r="A317" s="6" t="n"/>
      <c r="B317" s="6" t="n"/>
      <c r="C317" s="6" t="n"/>
      <c r="D317" s="6" t="n"/>
      <c r="E317" s="6" t="n"/>
      <c r="F317" s="7" t="n"/>
      <c r="G317" s="8" t="n"/>
      <c r="H317" s="8" t="n"/>
      <c r="I317" s="8" t="n"/>
      <c r="J317" s="6" t="n"/>
      <c r="K317" s="6" t="n"/>
      <c r="L317" s="6" t="n"/>
      <c r="M317" s="9" t="n"/>
      <c r="N317" s="7" t="n"/>
      <c r="O317" s="10" t="n"/>
    </row>
    <row r="318">
      <c r="A318" s="6" t="n"/>
      <c r="B318" s="6" t="n"/>
      <c r="C318" s="6" t="n"/>
      <c r="D318" s="6" t="n"/>
      <c r="E318" s="6" t="n"/>
      <c r="F318" s="7" t="n"/>
      <c r="G318" s="8" t="n"/>
      <c r="H318" s="8" t="n"/>
      <c r="I318" s="8" t="n"/>
      <c r="J318" s="6" t="n"/>
      <c r="K318" s="6" t="n"/>
      <c r="L318" s="6" t="n"/>
      <c r="M318" s="9" t="n"/>
      <c r="N318" s="7" t="n"/>
      <c r="O318" s="10" t="n"/>
    </row>
    <row r="319">
      <c r="A319" s="6" t="n"/>
      <c r="B319" s="6" t="n"/>
      <c r="C319" s="6" t="n"/>
      <c r="D319" s="6" t="n"/>
      <c r="E319" s="6" t="n"/>
      <c r="F319" s="7" t="n"/>
      <c r="G319" s="8" t="n"/>
      <c r="H319" s="8" t="n"/>
      <c r="I319" s="8" t="n"/>
      <c r="J319" s="6" t="n"/>
      <c r="K319" s="6" t="n"/>
      <c r="L319" s="6" t="n"/>
      <c r="M319" s="9" t="n"/>
      <c r="N319" s="7" t="n"/>
      <c r="O319" s="10" t="n"/>
    </row>
    <row r="320">
      <c r="A320" s="6" t="n"/>
      <c r="B320" s="6" t="n"/>
      <c r="C320" s="6" t="n"/>
      <c r="D320" s="6" t="n"/>
      <c r="E320" s="6" t="n"/>
      <c r="F320" s="7" t="n"/>
      <c r="G320" s="8" t="n"/>
      <c r="H320" s="8" t="n"/>
      <c r="I320" s="8" t="n"/>
      <c r="J320" s="6" t="n"/>
      <c r="K320" s="6" t="n"/>
      <c r="L320" s="6" t="n"/>
      <c r="M320" s="9" t="n"/>
      <c r="N320" s="7" t="n"/>
      <c r="O320" s="10" t="n"/>
    </row>
    <row r="321">
      <c r="A321" s="6" t="n"/>
      <c r="B321" s="6" t="n"/>
      <c r="C321" s="6" t="n"/>
      <c r="D321" s="6" t="n"/>
      <c r="E321" s="6" t="n"/>
      <c r="F321" s="7" t="n"/>
      <c r="G321" s="8" t="n"/>
      <c r="H321" s="8" t="n"/>
      <c r="I321" s="8" t="n"/>
      <c r="J321" s="6" t="n"/>
      <c r="K321" s="6" t="n"/>
      <c r="L321" s="6" t="n"/>
      <c r="M321" s="9" t="n"/>
      <c r="N321" s="7" t="n"/>
      <c r="O321" s="10" t="n"/>
    </row>
    <row r="322">
      <c r="A322" s="6" t="n"/>
      <c r="B322" s="6" t="n"/>
      <c r="C322" s="6" t="n"/>
      <c r="D322" s="6" t="n"/>
      <c r="E322" s="6" t="n"/>
      <c r="F322" s="7" t="n"/>
      <c r="G322" s="8" t="n"/>
      <c r="H322" s="8" t="n"/>
      <c r="I322" s="8" t="n"/>
      <c r="J322" s="6" t="n"/>
      <c r="K322" s="6" t="n"/>
      <c r="L322" s="6" t="n"/>
      <c r="M322" s="9" t="n"/>
      <c r="N322" s="7" t="n"/>
      <c r="O322" s="10" t="n"/>
    </row>
    <row r="323">
      <c r="A323" s="6" t="n"/>
      <c r="B323" s="6" t="n"/>
      <c r="C323" s="6" t="n"/>
      <c r="D323" s="6" t="n"/>
      <c r="E323" s="6" t="n"/>
      <c r="F323" s="7" t="n"/>
      <c r="G323" s="8" t="n"/>
      <c r="H323" s="8" t="n"/>
      <c r="I323" s="8" t="n"/>
      <c r="J323" s="6" t="n"/>
      <c r="K323" s="6" t="n"/>
      <c r="L323" s="6" t="n"/>
      <c r="M323" s="9" t="n"/>
      <c r="N323" s="7" t="n"/>
      <c r="O323" s="10" t="n"/>
    </row>
    <row r="324">
      <c r="A324" s="6" t="n"/>
      <c r="B324" s="6" t="n"/>
      <c r="C324" s="6" t="n"/>
      <c r="D324" s="6" t="n"/>
      <c r="E324" s="6" t="n"/>
      <c r="F324" s="7" t="n"/>
      <c r="G324" s="8" t="n"/>
      <c r="H324" s="8" t="n"/>
      <c r="I324" s="8" t="n"/>
      <c r="J324" s="6" t="n"/>
      <c r="K324" s="6" t="n"/>
      <c r="L324" s="6" t="n"/>
      <c r="M324" s="9" t="n"/>
      <c r="N324" s="7" t="n"/>
      <c r="O324" s="10" t="n"/>
    </row>
    <row r="325">
      <c r="A325" s="6" t="n"/>
      <c r="B325" s="6" t="n"/>
      <c r="C325" s="6" t="n"/>
      <c r="D325" s="6" t="n"/>
      <c r="E325" s="6" t="n"/>
      <c r="F325" s="7" t="n"/>
      <c r="G325" s="8" t="n"/>
      <c r="H325" s="8" t="n"/>
      <c r="I325" s="8" t="n"/>
      <c r="J325" s="6" t="n"/>
      <c r="K325" s="6" t="n"/>
      <c r="L325" s="6" t="n"/>
      <c r="M325" s="9" t="n"/>
      <c r="N325" s="7" t="n"/>
      <c r="O325" s="10" t="n"/>
    </row>
    <row r="326">
      <c r="A326" s="6" t="n"/>
      <c r="B326" s="6" t="n"/>
      <c r="C326" s="6" t="n"/>
      <c r="D326" s="6" t="n"/>
      <c r="E326" s="6" t="n"/>
      <c r="F326" s="7" t="n"/>
      <c r="G326" s="8" t="n"/>
      <c r="H326" s="8" t="n"/>
      <c r="I326" s="8" t="n"/>
      <c r="J326" s="6" t="n"/>
      <c r="K326" s="6" t="n"/>
      <c r="L326" s="6" t="n"/>
      <c r="M326" s="9" t="n"/>
      <c r="N326" s="7" t="n"/>
      <c r="O326" s="10" t="n"/>
    </row>
    <row r="327">
      <c r="A327" s="6" t="n"/>
      <c r="B327" s="6" t="n"/>
      <c r="C327" s="6" t="n"/>
      <c r="D327" s="6" t="n"/>
      <c r="E327" s="6" t="n"/>
      <c r="F327" s="7" t="n"/>
      <c r="G327" s="8" t="n"/>
      <c r="H327" s="8" t="n"/>
      <c r="I327" s="8" t="n"/>
      <c r="J327" s="6" t="n"/>
      <c r="K327" s="6" t="n"/>
      <c r="L327" s="6" t="n"/>
      <c r="M327" s="9" t="n"/>
      <c r="N327" s="7" t="n"/>
      <c r="O327" s="10" t="n"/>
    </row>
    <row r="328">
      <c r="A328" s="6" t="n"/>
      <c r="B328" s="6" t="n"/>
      <c r="C328" s="6" t="n"/>
      <c r="D328" s="6" t="n"/>
      <c r="E328" s="6" t="n"/>
      <c r="F328" s="7" t="n"/>
      <c r="G328" s="8" t="n"/>
      <c r="H328" s="8" t="n"/>
      <c r="I328" s="8" t="n"/>
      <c r="J328" s="6" t="n"/>
      <c r="K328" s="6" t="n"/>
      <c r="L328" s="6" t="n"/>
      <c r="M328" s="9" t="n"/>
      <c r="N328" s="7" t="n"/>
      <c r="O328" s="10" t="n"/>
    </row>
    <row r="329">
      <c r="A329" s="6" t="n"/>
      <c r="B329" s="6" t="n"/>
      <c r="C329" s="6" t="n"/>
      <c r="D329" s="6" t="n"/>
      <c r="E329" s="6" t="n"/>
      <c r="F329" s="7" t="n"/>
      <c r="G329" s="8" t="n"/>
      <c r="H329" s="8" t="n"/>
      <c r="I329" s="8" t="n"/>
      <c r="J329" s="6" t="n"/>
      <c r="K329" s="6" t="n"/>
      <c r="L329" s="6" t="n"/>
      <c r="M329" s="9" t="n"/>
      <c r="N329" s="7" t="n"/>
      <c r="O329" s="10" t="n"/>
    </row>
    <row r="330">
      <c r="A330" s="6" t="n"/>
      <c r="B330" s="6" t="n"/>
      <c r="C330" s="6" t="n"/>
      <c r="D330" s="6" t="n"/>
      <c r="E330" s="6" t="n"/>
      <c r="F330" s="7" t="n"/>
      <c r="G330" s="8" t="n"/>
      <c r="H330" s="8" t="n"/>
      <c r="I330" s="8" t="n"/>
      <c r="J330" s="6" t="n"/>
      <c r="K330" s="6" t="n"/>
      <c r="L330" s="6" t="n"/>
      <c r="M330" s="9" t="n"/>
      <c r="N330" s="7" t="n"/>
      <c r="O330" s="10" t="n"/>
    </row>
    <row r="331">
      <c r="A331" s="6" t="n"/>
      <c r="B331" s="6" t="n"/>
      <c r="C331" s="6" t="n"/>
      <c r="D331" s="6" t="n"/>
      <c r="E331" s="6" t="n"/>
      <c r="F331" s="7" t="n"/>
      <c r="G331" s="8" t="n"/>
      <c r="H331" s="8" t="n"/>
      <c r="I331" s="8" t="n"/>
      <c r="J331" s="6" t="n"/>
      <c r="K331" s="6" t="n"/>
      <c r="L331" s="6" t="n"/>
      <c r="M331" s="9" t="n"/>
      <c r="N331" s="7" t="n"/>
      <c r="O331" s="10" t="n"/>
    </row>
    <row r="332">
      <c r="A332" s="6" t="n"/>
      <c r="B332" s="6" t="n"/>
      <c r="C332" s="6" t="n"/>
      <c r="D332" s="6" t="n"/>
      <c r="E332" s="6" t="n"/>
      <c r="F332" s="7" t="n"/>
      <c r="G332" s="8" t="n"/>
      <c r="H332" s="8" t="n"/>
      <c r="I332" s="8" t="n"/>
      <c r="J332" s="6" t="n"/>
      <c r="K332" s="6" t="n"/>
      <c r="L332" s="6" t="n"/>
      <c r="M332" s="9" t="n"/>
      <c r="N332" s="7" t="n"/>
      <c r="O332" s="10" t="n"/>
    </row>
    <row r="333">
      <c r="A333" s="6" t="n"/>
      <c r="B333" s="6" t="n"/>
      <c r="C333" s="6" t="n"/>
      <c r="D333" s="6" t="n"/>
      <c r="E333" s="6" t="n"/>
      <c r="F333" s="7" t="n"/>
      <c r="G333" s="8" t="n"/>
      <c r="H333" s="8" t="n"/>
      <c r="I333" s="8" t="n"/>
      <c r="J333" s="6" t="n"/>
      <c r="K333" s="6" t="n"/>
      <c r="L333" s="6" t="n"/>
      <c r="M333" s="9" t="n"/>
      <c r="N333" s="7" t="n"/>
      <c r="O333" s="10" t="n"/>
    </row>
    <row r="334">
      <c r="A334" s="6" t="n"/>
      <c r="B334" s="6" t="n"/>
      <c r="C334" s="6" t="n"/>
      <c r="D334" s="6" t="n"/>
      <c r="E334" s="6" t="n"/>
      <c r="F334" s="7" t="n"/>
      <c r="G334" s="8" t="n"/>
      <c r="H334" s="8" t="n"/>
      <c r="I334" s="8" t="n"/>
      <c r="J334" s="6" t="n"/>
      <c r="K334" s="6" t="n"/>
      <c r="L334" s="6" t="n"/>
      <c r="M334" s="9" t="n"/>
      <c r="N334" s="7" t="n"/>
      <c r="O334" s="10" t="n"/>
    </row>
    <row r="335">
      <c r="A335" s="6" t="n"/>
      <c r="B335" s="6" t="n"/>
      <c r="C335" s="6" t="n"/>
      <c r="D335" s="6" t="n"/>
      <c r="E335" s="6" t="n"/>
      <c r="F335" s="7" t="n"/>
      <c r="G335" s="8" t="n"/>
      <c r="H335" s="8" t="n"/>
      <c r="I335" s="8" t="n"/>
      <c r="J335" s="6" t="n"/>
      <c r="K335" s="6" t="n"/>
      <c r="L335" s="6" t="n"/>
      <c r="M335" s="9" t="n"/>
      <c r="N335" s="7" t="n"/>
      <c r="O335" s="10" t="n"/>
    </row>
    <row r="336">
      <c r="A336" s="6" t="n"/>
      <c r="B336" s="6" t="n"/>
      <c r="C336" s="6" t="n"/>
      <c r="D336" s="6" t="n"/>
      <c r="E336" s="6" t="n"/>
      <c r="F336" s="7" t="n"/>
      <c r="G336" s="8" t="n"/>
      <c r="H336" s="8" t="n"/>
      <c r="I336" s="8" t="n"/>
      <c r="J336" s="6" t="n"/>
      <c r="K336" s="6" t="n"/>
      <c r="L336" s="6" t="n"/>
      <c r="M336" s="9" t="n"/>
      <c r="N336" s="7" t="n"/>
      <c r="O336" s="10" t="n"/>
    </row>
    <row r="337">
      <c r="A337" s="6" t="n"/>
      <c r="B337" s="6" t="n"/>
      <c r="C337" s="6" t="n"/>
      <c r="D337" s="6" t="n"/>
      <c r="E337" s="6" t="n"/>
      <c r="F337" s="7" t="n"/>
      <c r="G337" s="8" t="n"/>
      <c r="H337" s="8" t="n"/>
      <c r="I337" s="8" t="n"/>
      <c r="J337" s="6" t="n"/>
      <c r="K337" s="6" t="n"/>
      <c r="L337" s="6" t="n"/>
      <c r="M337" s="9" t="n"/>
      <c r="N337" s="7" t="n"/>
      <c r="O337" s="10" t="n"/>
    </row>
    <row r="338">
      <c r="A338" s="6" t="n"/>
      <c r="B338" s="6" t="n"/>
      <c r="C338" s="6" t="n"/>
      <c r="D338" s="6" t="n"/>
      <c r="E338" s="6" t="n"/>
      <c r="F338" s="7" t="n"/>
      <c r="G338" s="8" t="n"/>
      <c r="H338" s="8" t="n"/>
      <c r="I338" s="8" t="n"/>
      <c r="J338" s="6" t="n"/>
      <c r="K338" s="6" t="n"/>
      <c r="L338" s="6" t="n"/>
      <c r="M338" s="9" t="n"/>
      <c r="N338" s="7" t="n"/>
      <c r="O338" s="10" t="n"/>
    </row>
    <row r="339">
      <c r="A339" s="6" t="n"/>
      <c r="B339" s="6" t="n"/>
      <c r="C339" s="6" t="n"/>
      <c r="D339" s="6" t="n"/>
      <c r="E339" s="6" t="n"/>
      <c r="F339" s="7" t="n"/>
      <c r="G339" s="8" t="n"/>
      <c r="H339" s="8" t="n"/>
      <c r="I339" s="8" t="n"/>
      <c r="J339" s="6" t="n"/>
      <c r="K339" s="6" t="n"/>
      <c r="L339" s="6" t="n"/>
      <c r="M339" s="9" t="n"/>
      <c r="N339" s="7" t="n"/>
      <c r="O339" s="10" t="n"/>
    </row>
    <row r="340">
      <c r="A340" s="6" t="n"/>
      <c r="B340" s="6" t="n"/>
      <c r="C340" s="6" t="n"/>
      <c r="D340" s="6" t="n"/>
      <c r="E340" s="6" t="n"/>
      <c r="F340" s="7" t="n"/>
      <c r="G340" s="8" t="n"/>
      <c r="H340" s="8" t="n"/>
      <c r="I340" s="8" t="n"/>
      <c r="J340" s="6" t="n"/>
      <c r="K340" s="6" t="n"/>
      <c r="L340" s="6" t="n"/>
      <c r="M340" s="9" t="n"/>
      <c r="N340" s="7" t="n"/>
      <c r="O340" s="10" t="n"/>
    </row>
    <row r="341">
      <c r="A341" s="6" t="n"/>
      <c r="B341" s="6" t="n"/>
      <c r="C341" s="6" t="n"/>
      <c r="D341" s="6" t="n"/>
      <c r="E341" s="6" t="n"/>
      <c r="F341" s="7" t="n"/>
      <c r="G341" s="8" t="n"/>
      <c r="H341" s="8" t="n"/>
      <c r="I341" s="8" t="n"/>
      <c r="J341" s="6" t="n"/>
      <c r="K341" s="6" t="n"/>
      <c r="L341" s="6" t="n"/>
      <c r="M341" s="9" t="n"/>
      <c r="N341" s="7" t="n"/>
      <c r="O341" s="10" t="n"/>
    </row>
    <row r="342">
      <c r="A342" s="6" t="n"/>
      <c r="B342" s="6" t="n"/>
      <c r="C342" s="6" t="n"/>
      <c r="D342" s="6" t="n"/>
      <c r="E342" s="6" t="n"/>
      <c r="F342" s="7" t="n"/>
      <c r="G342" s="8" t="n"/>
      <c r="H342" s="8" t="n"/>
      <c r="I342" s="8" t="n"/>
      <c r="J342" s="6" t="n"/>
      <c r="K342" s="6" t="n"/>
      <c r="L342" s="6" t="n"/>
      <c r="M342" s="9" t="n"/>
      <c r="N342" s="7" t="n"/>
      <c r="O342" s="10" t="n"/>
    </row>
    <row r="343">
      <c r="A343" s="6" t="n"/>
      <c r="B343" s="6" t="n"/>
      <c r="C343" s="6" t="n"/>
      <c r="D343" s="6" t="n"/>
      <c r="E343" s="6" t="n"/>
      <c r="F343" s="7" t="n"/>
      <c r="G343" s="8" t="n"/>
      <c r="H343" s="8" t="n"/>
      <c r="I343" s="8" t="n"/>
      <c r="J343" s="6" t="n"/>
      <c r="K343" s="6" t="n"/>
      <c r="L343" s="6" t="n"/>
      <c r="M343" s="9" t="n"/>
      <c r="N343" s="7" t="n"/>
      <c r="O343" s="10" t="n"/>
    </row>
    <row r="344">
      <c r="A344" s="6" t="n"/>
      <c r="B344" s="6" t="n"/>
      <c r="C344" s="6" t="n"/>
      <c r="D344" s="6" t="n"/>
      <c r="E344" s="6" t="n"/>
      <c r="F344" s="7" t="n"/>
      <c r="G344" s="8" t="n"/>
      <c r="H344" s="8" t="n"/>
      <c r="I344" s="8" t="n"/>
      <c r="J344" s="6" t="n"/>
      <c r="K344" s="6" t="n"/>
      <c r="L344" s="6" t="n"/>
      <c r="M344" s="9" t="n"/>
      <c r="N344" s="7" t="n"/>
      <c r="O344" s="10" t="n"/>
    </row>
    <row r="345">
      <c r="A345" s="6" t="n"/>
      <c r="B345" s="6" t="n"/>
      <c r="C345" s="6" t="n"/>
      <c r="D345" s="6" t="n"/>
      <c r="E345" s="6" t="n"/>
      <c r="F345" s="7" t="n"/>
      <c r="G345" s="8" t="n"/>
      <c r="H345" s="8" t="n"/>
      <c r="I345" s="8" t="n"/>
      <c r="J345" s="6" t="n"/>
      <c r="K345" s="6" t="n"/>
      <c r="L345" s="6" t="n"/>
      <c r="M345" s="9" t="n"/>
      <c r="N345" s="7" t="n"/>
      <c r="O345" s="10" t="n"/>
    </row>
    <row r="346">
      <c r="A346" s="6" t="n"/>
      <c r="B346" s="6" t="n"/>
      <c r="C346" s="6" t="n"/>
      <c r="D346" s="6" t="n"/>
      <c r="E346" s="6" t="n"/>
      <c r="F346" s="7" t="n"/>
      <c r="G346" s="8" t="n"/>
      <c r="H346" s="8" t="n"/>
      <c r="I346" s="8" t="n"/>
      <c r="J346" s="6" t="n"/>
      <c r="K346" s="6" t="n"/>
      <c r="L346" s="6" t="n"/>
      <c r="M346" s="9" t="n"/>
      <c r="N346" s="7" t="n"/>
      <c r="O346" s="10" t="n"/>
    </row>
    <row r="347">
      <c r="A347" s="6" t="n"/>
      <c r="B347" s="6" t="n"/>
      <c r="C347" s="6" t="n"/>
      <c r="D347" s="6" t="n"/>
      <c r="E347" s="6" t="n"/>
      <c r="F347" s="7" t="n"/>
      <c r="G347" s="8" t="n"/>
      <c r="H347" s="8" t="n"/>
      <c r="I347" s="8" t="n"/>
      <c r="J347" s="6" t="n"/>
      <c r="K347" s="6" t="n"/>
      <c r="L347" s="6" t="n"/>
      <c r="M347" s="9" t="n"/>
      <c r="N347" s="7" t="n"/>
      <c r="O347" s="10" t="n"/>
    </row>
    <row r="348">
      <c r="A348" s="6" t="n"/>
      <c r="B348" s="6" t="n"/>
      <c r="C348" s="6" t="n"/>
      <c r="D348" s="6" t="n"/>
      <c r="E348" s="6" t="n"/>
      <c r="F348" s="7" t="n"/>
      <c r="G348" s="8" t="n"/>
      <c r="H348" s="8" t="n"/>
      <c r="I348" s="8" t="n"/>
      <c r="J348" s="6" t="n"/>
      <c r="K348" s="6" t="n"/>
      <c r="L348" s="6" t="n"/>
      <c r="M348" s="9" t="n"/>
      <c r="N348" s="7" t="n"/>
      <c r="O348" s="10" t="n"/>
    </row>
    <row r="349">
      <c r="A349" s="6" t="n"/>
      <c r="B349" s="6" t="n"/>
      <c r="C349" s="6" t="n"/>
      <c r="D349" s="6" t="n"/>
      <c r="E349" s="6" t="n"/>
      <c r="F349" s="7" t="n"/>
      <c r="G349" s="8" t="n"/>
      <c r="H349" s="8" t="n"/>
      <c r="I349" s="8" t="n"/>
      <c r="J349" s="6" t="n"/>
      <c r="K349" s="6" t="n"/>
      <c r="L349" s="6" t="n"/>
      <c r="M349" s="9" t="n"/>
      <c r="N349" s="7" t="n"/>
      <c r="O349" s="10" t="n"/>
    </row>
    <row r="350">
      <c r="A350" s="6" t="n"/>
      <c r="B350" s="6" t="n"/>
      <c r="C350" s="6" t="n"/>
      <c r="D350" s="6" t="n"/>
      <c r="E350" s="6" t="n"/>
      <c r="F350" s="7" t="n"/>
      <c r="G350" s="8" t="n"/>
      <c r="H350" s="8" t="n"/>
      <c r="I350" s="8" t="n"/>
      <c r="J350" s="6" t="n"/>
      <c r="K350" s="6" t="n"/>
      <c r="L350" s="6" t="n"/>
      <c r="M350" s="9" t="n"/>
      <c r="N350" s="7" t="n"/>
      <c r="O350" s="10" t="n"/>
    </row>
    <row r="351">
      <c r="A351" s="6" t="n"/>
      <c r="B351" s="6" t="n"/>
      <c r="C351" s="6" t="n"/>
      <c r="D351" s="6" t="n"/>
      <c r="E351" s="6" t="n"/>
      <c r="F351" s="7" t="n"/>
      <c r="G351" s="8" t="n"/>
      <c r="H351" s="8" t="n"/>
      <c r="I351" s="8" t="n"/>
      <c r="J351" s="6" t="n"/>
      <c r="K351" s="6" t="n"/>
      <c r="L351" s="6" t="n"/>
      <c r="M351" s="9" t="n"/>
      <c r="N351" s="7" t="n"/>
      <c r="O351" s="10" t="n"/>
    </row>
    <row r="352">
      <c r="A352" s="6" t="n"/>
      <c r="B352" s="6" t="n"/>
      <c r="C352" s="6" t="n"/>
      <c r="D352" s="6" t="n"/>
      <c r="E352" s="6" t="n"/>
      <c r="F352" s="7" t="n"/>
      <c r="G352" s="8" t="n"/>
      <c r="H352" s="8" t="n"/>
      <c r="I352" s="8" t="n"/>
      <c r="J352" s="6" t="n"/>
      <c r="K352" s="6" t="n"/>
      <c r="L352" s="6" t="n"/>
      <c r="M352" s="9" t="n"/>
      <c r="N352" s="7" t="n"/>
      <c r="O352" s="10" t="n"/>
    </row>
    <row r="353">
      <c r="A353" s="6" t="n"/>
      <c r="B353" s="6" t="n"/>
      <c r="C353" s="6" t="n"/>
      <c r="D353" s="6" t="n"/>
      <c r="E353" s="6" t="n"/>
      <c r="F353" s="7" t="n"/>
      <c r="G353" s="8" t="n"/>
      <c r="H353" s="8" t="n"/>
      <c r="I353" s="8" t="n"/>
      <c r="J353" s="6" t="n"/>
      <c r="K353" s="6" t="n"/>
      <c r="L353" s="6" t="n"/>
      <c r="M353" s="9" t="n"/>
      <c r="N353" s="7" t="n"/>
      <c r="O353" s="10" t="n"/>
    </row>
    <row r="354">
      <c r="A354" s="6" t="n"/>
      <c r="B354" s="6" t="n"/>
      <c r="C354" s="6" t="n"/>
      <c r="D354" s="6" t="n"/>
      <c r="E354" s="6" t="n"/>
      <c r="F354" s="7" t="n"/>
      <c r="G354" s="8" t="n"/>
      <c r="H354" s="8" t="n"/>
      <c r="I354" s="8" t="n"/>
      <c r="J354" s="6" t="n"/>
      <c r="K354" s="6" t="n"/>
      <c r="L354" s="6" t="n"/>
      <c r="M354" s="9" t="n"/>
      <c r="N354" s="7" t="n"/>
      <c r="O354" s="10" t="n"/>
    </row>
    <row r="355">
      <c r="A355" s="6" t="n"/>
      <c r="B355" s="6" t="n"/>
      <c r="C355" s="6" t="n"/>
      <c r="D355" s="6" t="n"/>
      <c r="E355" s="6" t="n"/>
      <c r="F355" s="7" t="n"/>
      <c r="G355" s="8" t="n"/>
      <c r="H355" s="8" t="n"/>
      <c r="I355" s="8" t="n"/>
      <c r="J355" s="6" t="n"/>
      <c r="K355" s="6" t="n"/>
      <c r="L355" s="6" t="n"/>
      <c r="M355" s="9" t="n"/>
      <c r="N355" s="7" t="n"/>
      <c r="O355" s="10" t="n"/>
    </row>
    <row r="356">
      <c r="A356" s="6" t="n"/>
      <c r="B356" s="6" t="n"/>
      <c r="C356" s="6" t="n"/>
      <c r="D356" s="6" t="n"/>
      <c r="E356" s="6" t="n"/>
      <c r="F356" s="7" t="n"/>
      <c r="G356" s="8" t="n"/>
      <c r="H356" s="8" t="n"/>
      <c r="I356" s="8" t="n"/>
      <c r="J356" s="6" t="n"/>
      <c r="K356" s="6" t="n"/>
      <c r="L356" s="6" t="n"/>
      <c r="M356" s="9" t="n"/>
      <c r="N356" s="7" t="n"/>
      <c r="O356" s="10" t="n"/>
    </row>
    <row r="357">
      <c r="A357" s="6" t="n"/>
      <c r="B357" s="6" t="n"/>
      <c r="C357" s="6" t="n"/>
      <c r="D357" s="6" t="n"/>
      <c r="E357" s="6" t="n"/>
      <c r="F357" s="7" t="n"/>
      <c r="G357" s="8" t="n"/>
      <c r="H357" s="8" t="n"/>
      <c r="I357" s="8" t="n"/>
      <c r="J357" s="6" t="n"/>
      <c r="K357" s="6" t="n"/>
      <c r="L357" s="6" t="n"/>
      <c r="M357" s="9" t="n"/>
      <c r="N357" s="7" t="n"/>
      <c r="O357" s="10" t="n"/>
    </row>
    <row r="358">
      <c r="A358" s="6" t="n"/>
      <c r="B358" s="6" t="n"/>
      <c r="C358" s="6" t="n"/>
      <c r="D358" s="6" t="n"/>
      <c r="E358" s="6" t="n"/>
      <c r="F358" s="7" t="n"/>
      <c r="G358" s="8" t="n"/>
      <c r="H358" s="8" t="n"/>
      <c r="I358" s="8" t="n"/>
      <c r="J358" s="6" t="n"/>
      <c r="K358" s="6" t="n"/>
      <c r="L358" s="6" t="n"/>
      <c r="M358" s="9" t="n"/>
      <c r="N358" s="7" t="n"/>
      <c r="O358" s="10" t="n"/>
    </row>
    <row r="359">
      <c r="A359" s="6" t="n"/>
      <c r="B359" s="6" t="n"/>
      <c r="C359" s="6" t="n"/>
      <c r="D359" s="6" t="n"/>
      <c r="E359" s="6" t="n"/>
      <c r="F359" s="7" t="n"/>
      <c r="G359" s="8" t="n"/>
      <c r="H359" s="8" t="n"/>
      <c r="I359" s="8" t="n"/>
      <c r="J359" s="6" t="n"/>
      <c r="K359" s="6" t="n"/>
      <c r="L359" s="6" t="n"/>
      <c r="M359" s="9" t="n"/>
      <c r="N359" s="7" t="n"/>
      <c r="O359" s="10" t="n"/>
    </row>
    <row r="360">
      <c r="A360" s="6" t="n"/>
      <c r="B360" s="6" t="n"/>
      <c r="C360" s="6" t="n"/>
      <c r="D360" s="6" t="n"/>
      <c r="E360" s="6" t="n"/>
      <c r="F360" s="7" t="n"/>
      <c r="G360" s="8" t="n"/>
      <c r="H360" s="8" t="n"/>
      <c r="I360" s="8" t="n"/>
      <c r="J360" s="6" t="n"/>
      <c r="K360" s="6" t="n"/>
      <c r="L360" s="6" t="n"/>
      <c r="M360" s="9" t="n"/>
      <c r="N360" s="7" t="n"/>
      <c r="O360" s="10" t="n"/>
    </row>
    <row r="361">
      <c r="A361" s="6" t="n"/>
      <c r="B361" s="6" t="n"/>
      <c r="C361" s="6" t="n"/>
      <c r="D361" s="6" t="n"/>
      <c r="E361" s="6" t="n"/>
      <c r="F361" s="7" t="n"/>
      <c r="G361" s="8" t="n"/>
      <c r="H361" s="8" t="n"/>
      <c r="I361" s="8" t="n"/>
      <c r="J361" s="6" t="n"/>
      <c r="K361" s="6" t="n"/>
      <c r="L361" s="6" t="n"/>
      <c r="M361" s="9" t="n"/>
      <c r="N361" s="7" t="n"/>
      <c r="O361" s="10" t="n"/>
    </row>
    <row r="362">
      <c r="A362" s="6" t="n"/>
      <c r="B362" s="6" t="n"/>
      <c r="C362" s="6" t="n"/>
      <c r="D362" s="6" t="n"/>
      <c r="E362" s="6" t="n"/>
      <c r="F362" s="7" t="n"/>
      <c r="G362" s="8" t="n"/>
      <c r="H362" s="8" t="n"/>
      <c r="I362" s="8" t="n"/>
      <c r="J362" s="6" t="n"/>
      <c r="K362" s="6" t="n"/>
      <c r="L362" s="6" t="n"/>
      <c r="M362" s="9" t="n"/>
      <c r="N362" s="7" t="n"/>
      <c r="O362" s="10" t="n"/>
    </row>
    <row r="363">
      <c r="A363" s="6" t="n"/>
      <c r="B363" s="6" t="n"/>
      <c r="C363" s="6" t="n"/>
      <c r="D363" s="6" t="n"/>
      <c r="E363" s="6" t="n"/>
      <c r="F363" s="7" t="n"/>
      <c r="G363" s="8" t="n"/>
      <c r="H363" s="8" t="n"/>
      <c r="I363" s="8" t="n"/>
      <c r="J363" s="6" t="n"/>
      <c r="K363" s="6" t="n"/>
      <c r="L363" s="6" t="n"/>
      <c r="M363" s="9" t="n"/>
      <c r="N363" s="7" t="n"/>
      <c r="O363" s="10" t="n"/>
    </row>
    <row r="364">
      <c r="A364" s="6" t="n"/>
      <c r="B364" s="6" t="n"/>
      <c r="C364" s="6" t="n"/>
      <c r="D364" s="6" t="n"/>
      <c r="E364" s="6" t="n"/>
      <c r="F364" s="7" t="n"/>
      <c r="G364" s="8" t="n"/>
      <c r="H364" s="8" t="n"/>
      <c r="I364" s="8" t="n"/>
      <c r="J364" s="6" t="n"/>
      <c r="K364" s="6" t="n"/>
      <c r="L364" s="6" t="n"/>
      <c r="M364" s="9" t="n"/>
      <c r="N364" s="7" t="n"/>
      <c r="O364" s="10" t="n"/>
    </row>
    <row r="365">
      <c r="A365" s="6" t="n"/>
      <c r="B365" s="6" t="n"/>
      <c r="C365" s="6" t="n"/>
      <c r="D365" s="6" t="n"/>
      <c r="E365" s="6" t="n"/>
      <c r="F365" s="7" t="n"/>
      <c r="G365" s="8" t="n"/>
      <c r="H365" s="8" t="n"/>
      <c r="I365" s="8" t="n"/>
      <c r="J365" s="6" t="n"/>
      <c r="K365" s="6" t="n"/>
      <c r="L365" s="6" t="n"/>
      <c r="M365" s="9" t="n"/>
      <c r="N365" s="7" t="n"/>
      <c r="O365" s="10" t="n"/>
    </row>
    <row r="366">
      <c r="A366" s="6" t="n"/>
      <c r="B366" s="6" t="n"/>
      <c r="C366" s="6" t="n"/>
      <c r="D366" s="6" t="n"/>
      <c r="E366" s="6" t="n"/>
      <c r="F366" s="7" t="n"/>
      <c r="G366" s="8" t="n"/>
      <c r="H366" s="8" t="n"/>
      <c r="I366" s="8" t="n"/>
      <c r="J366" s="6" t="n"/>
      <c r="K366" s="6" t="n"/>
      <c r="L366" s="6" t="n"/>
      <c r="M366" s="9" t="n"/>
      <c r="N366" s="7" t="n"/>
      <c r="O366" s="10" t="n"/>
    </row>
    <row r="367">
      <c r="A367" s="6" t="n"/>
      <c r="B367" s="6" t="n"/>
      <c r="C367" s="6" t="n"/>
      <c r="D367" s="6" t="n"/>
      <c r="E367" s="6" t="n"/>
      <c r="F367" s="7" t="n"/>
      <c r="G367" s="8" t="n"/>
      <c r="H367" s="8" t="n"/>
      <c r="I367" s="8" t="n"/>
      <c r="J367" s="6" t="n"/>
      <c r="K367" s="6" t="n"/>
      <c r="L367" s="6" t="n"/>
      <c r="M367" s="9" t="n"/>
      <c r="N367" s="7" t="n"/>
      <c r="O367" s="10" t="n"/>
    </row>
    <row r="368">
      <c r="A368" s="6" t="n"/>
      <c r="B368" s="6" t="n"/>
      <c r="C368" s="6" t="n"/>
      <c r="D368" s="6" t="n"/>
      <c r="E368" s="6" t="n"/>
      <c r="F368" s="7" t="n"/>
      <c r="G368" s="8" t="n"/>
      <c r="H368" s="8" t="n"/>
      <c r="I368" s="8" t="n"/>
      <c r="J368" s="6" t="n"/>
      <c r="K368" s="6" t="n"/>
      <c r="L368" s="6" t="n"/>
      <c r="M368" s="9" t="n"/>
      <c r="N368" s="7" t="n"/>
      <c r="O368" s="10" t="n"/>
    </row>
    <row r="369">
      <c r="A369" s="6" t="n"/>
      <c r="B369" s="6" t="n"/>
      <c r="C369" s="6" t="n"/>
      <c r="D369" s="6" t="n"/>
      <c r="E369" s="6" t="n"/>
      <c r="F369" s="7" t="n"/>
      <c r="G369" s="8" t="n"/>
      <c r="H369" s="8" t="n"/>
      <c r="I369" s="8" t="n"/>
      <c r="J369" s="6" t="n"/>
      <c r="K369" s="6" t="n"/>
      <c r="L369" s="6" t="n"/>
      <c r="M369" s="9" t="n"/>
      <c r="N369" s="7" t="n"/>
      <c r="O369" s="10" t="n"/>
    </row>
    <row r="370">
      <c r="A370" s="6" t="n"/>
      <c r="B370" s="6" t="n"/>
      <c r="C370" s="6" t="n"/>
      <c r="D370" s="6" t="n"/>
      <c r="E370" s="6" t="n"/>
      <c r="F370" s="7" t="n"/>
      <c r="G370" s="8" t="n"/>
      <c r="H370" s="8" t="n"/>
      <c r="I370" s="8" t="n"/>
      <c r="J370" s="6" t="n"/>
      <c r="K370" s="6" t="n"/>
      <c r="L370" s="6" t="n"/>
      <c r="M370" s="9" t="n"/>
      <c r="N370" s="7" t="n"/>
      <c r="O370" s="10" t="n"/>
    </row>
    <row r="371">
      <c r="A371" s="6" t="n"/>
      <c r="B371" s="6" t="n"/>
      <c r="C371" s="6" t="n"/>
      <c r="D371" s="6" t="n"/>
      <c r="E371" s="6" t="n"/>
      <c r="F371" s="7" t="n"/>
      <c r="G371" s="8" t="n"/>
      <c r="H371" s="8" t="n"/>
      <c r="I371" s="8" t="n"/>
      <c r="J371" s="6" t="n"/>
      <c r="K371" s="6" t="n"/>
      <c r="L371" s="6" t="n"/>
      <c r="M371" s="9" t="n"/>
      <c r="N371" s="7" t="n"/>
      <c r="O371" s="10" t="n"/>
    </row>
    <row r="372">
      <c r="A372" s="6" t="n"/>
      <c r="B372" s="6" t="n"/>
      <c r="C372" s="6" t="n"/>
      <c r="D372" s="6" t="n"/>
      <c r="E372" s="6" t="n"/>
      <c r="F372" s="7" t="n"/>
      <c r="G372" s="8" t="n"/>
      <c r="H372" s="8" t="n"/>
      <c r="I372" s="8" t="n"/>
      <c r="J372" s="6" t="n"/>
      <c r="K372" s="6" t="n"/>
      <c r="L372" s="6" t="n"/>
      <c r="M372" s="9" t="n"/>
      <c r="N372" s="7" t="n"/>
      <c r="O372" s="10" t="n"/>
    </row>
    <row r="373">
      <c r="A373" s="6" t="n"/>
      <c r="B373" s="6" t="n"/>
      <c r="C373" s="6" t="n"/>
      <c r="D373" s="6" t="n"/>
      <c r="E373" s="6" t="n"/>
      <c r="F373" s="7" t="n"/>
      <c r="G373" s="8" t="n"/>
      <c r="H373" s="8" t="n"/>
      <c r="I373" s="8" t="n"/>
      <c r="J373" s="6" t="n"/>
      <c r="K373" s="6" t="n"/>
      <c r="L373" s="6" t="n"/>
      <c r="M373" s="9" t="n"/>
      <c r="N373" s="7" t="n"/>
      <c r="O373" s="10" t="n"/>
    </row>
    <row r="374">
      <c r="A374" s="6" t="n"/>
      <c r="B374" s="6" t="n"/>
      <c r="C374" s="6" t="n"/>
      <c r="D374" s="6" t="n"/>
      <c r="E374" s="6" t="n"/>
      <c r="F374" s="7" t="n"/>
      <c r="G374" s="8" t="n"/>
      <c r="H374" s="8" t="n"/>
      <c r="I374" s="8" t="n"/>
      <c r="J374" s="6" t="n"/>
      <c r="K374" s="6" t="n"/>
      <c r="L374" s="6" t="n"/>
      <c r="M374" s="9" t="n"/>
      <c r="N374" s="7" t="n"/>
      <c r="O374" s="10" t="n"/>
    </row>
    <row r="375">
      <c r="A375" s="6" t="n"/>
      <c r="B375" s="6" t="n"/>
      <c r="C375" s="6" t="n"/>
      <c r="D375" s="6" t="n"/>
      <c r="E375" s="6" t="n"/>
      <c r="F375" s="7" t="n"/>
      <c r="G375" s="8" t="n"/>
      <c r="H375" s="8" t="n"/>
      <c r="I375" s="8" t="n"/>
      <c r="J375" s="6" t="n"/>
      <c r="K375" s="6" t="n"/>
      <c r="L375" s="6" t="n"/>
      <c r="M375" s="9" t="n"/>
      <c r="N375" s="7" t="n"/>
      <c r="O375" s="10" t="n"/>
    </row>
    <row r="376">
      <c r="A376" s="6" t="n"/>
      <c r="B376" s="6" t="n"/>
      <c r="C376" s="6" t="n"/>
      <c r="D376" s="6" t="n"/>
      <c r="E376" s="6" t="n"/>
      <c r="F376" s="7" t="n"/>
      <c r="G376" s="8" t="n"/>
      <c r="H376" s="8" t="n"/>
      <c r="I376" s="8" t="n"/>
      <c r="J376" s="6" t="n"/>
      <c r="K376" s="6" t="n"/>
      <c r="L376" s="6" t="n"/>
      <c r="M376" s="9" t="n"/>
      <c r="N376" s="7" t="n"/>
      <c r="O376" s="10" t="n"/>
    </row>
    <row r="377">
      <c r="A377" s="6" t="n"/>
      <c r="B377" s="6" t="n"/>
      <c r="C377" s="6" t="n"/>
      <c r="D377" s="6" t="n"/>
      <c r="E377" s="6" t="n"/>
      <c r="F377" s="7" t="n"/>
      <c r="G377" s="8" t="n"/>
      <c r="H377" s="8" t="n"/>
      <c r="I377" s="8" t="n"/>
      <c r="J377" s="6" t="n"/>
      <c r="K377" s="6" t="n"/>
      <c r="L377" s="6" t="n"/>
      <c r="M377" s="9" t="n"/>
      <c r="N377" s="7" t="n"/>
      <c r="O377" s="10" t="n"/>
    </row>
    <row r="378">
      <c r="A378" s="6" t="n"/>
      <c r="B378" s="6" t="n"/>
      <c r="C378" s="6" t="n"/>
      <c r="D378" s="6" t="n"/>
      <c r="E378" s="6" t="n"/>
      <c r="F378" s="7" t="n"/>
      <c r="G378" s="8" t="n"/>
      <c r="H378" s="8" t="n"/>
      <c r="I378" s="8" t="n"/>
      <c r="J378" s="6" t="n"/>
      <c r="K378" s="6" t="n"/>
      <c r="L378" s="6" t="n"/>
      <c r="M378" s="9" t="n"/>
      <c r="N378" s="7" t="n"/>
      <c r="O378" s="10" t="n"/>
    </row>
    <row r="379">
      <c r="A379" s="6" t="n"/>
      <c r="B379" s="6" t="n"/>
      <c r="C379" s="6" t="n"/>
      <c r="D379" s="6" t="n"/>
      <c r="E379" s="6" t="n"/>
      <c r="F379" s="7" t="n"/>
      <c r="G379" s="8" t="n"/>
      <c r="H379" s="8" t="n"/>
      <c r="I379" s="8" t="n"/>
      <c r="J379" s="6" t="n"/>
      <c r="K379" s="6" t="n"/>
      <c r="L379" s="6" t="n"/>
      <c r="M379" s="9" t="n"/>
      <c r="N379" s="7" t="n"/>
      <c r="O379" s="10" t="n"/>
    </row>
    <row r="380">
      <c r="A380" s="6" t="n"/>
      <c r="B380" s="6" t="n"/>
      <c r="C380" s="6" t="n"/>
      <c r="D380" s="6" t="n"/>
      <c r="E380" s="6" t="n"/>
      <c r="F380" s="7" t="n"/>
      <c r="G380" s="8" t="n"/>
      <c r="H380" s="8" t="n"/>
      <c r="I380" s="8" t="n"/>
      <c r="J380" s="6" t="n"/>
      <c r="K380" s="6" t="n"/>
      <c r="L380" s="6" t="n"/>
      <c r="M380" s="9" t="n"/>
      <c r="N380" s="7" t="n"/>
      <c r="O380" s="10" t="n"/>
    </row>
    <row r="381">
      <c r="A381" s="6" t="n"/>
      <c r="B381" s="6" t="n"/>
      <c r="C381" s="6" t="n"/>
      <c r="D381" s="6" t="n"/>
      <c r="E381" s="6" t="n"/>
      <c r="F381" s="7" t="n"/>
      <c r="G381" s="8" t="n"/>
      <c r="H381" s="8" t="n"/>
      <c r="I381" s="8" t="n"/>
      <c r="J381" s="6" t="n"/>
      <c r="K381" s="6" t="n"/>
      <c r="L381" s="6" t="n"/>
      <c r="M381" s="9" t="n"/>
      <c r="N381" s="7" t="n"/>
      <c r="O381" s="10" t="n"/>
    </row>
    <row r="382">
      <c r="A382" s="6" t="n"/>
      <c r="B382" s="6" t="n"/>
      <c r="C382" s="6" t="n"/>
      <c r="D382" s="6" t="n"/>
      <c r="E382" s="6" t="n"/>
      <c r="F382" s="7" t="n"/>
      <c r="G382" s="8" t="n"/>
      <c r="H382" s="8" t="n"/>
      <c r="I382" s="8" t="n"/>
      <c r="J382" s="6" t="n"/>
      <c r="K382" s="6" t="n"/>
      <c r="L382" s="6" t="n"/>
      <c r="M382" s="9" t="n"/>
      <c r="N382" s="7" t="n"/>
      <c r="O382" s="10" t="n"/>
    </row>
    <row r="383">
      <c r="A383" s="6" t="n"/>
      <c r="B383" s="6" t="n"/>
      <c r="C383" s="6" t="n"/>
      <c r="D383" s="6" t="n"/>
      <c r="E383" s="6" t="n"/>
      <c r="F383" s="7" t="n"/>
      <c r="G383" s="8" t="n"/>
      <c r="H383" s="8" t="n"/>
      <c r="I383" s="8" t="n"/>
      <c r="J383" s="6" t="n"/>
      <c r="K383" s="6" t="n"/>
      <c r="L383" s="6" t="n"/>
      <c r="M383" s="9" t="n"/>
      <c r="N383" s="7" t="n"/>
      <c r="O383" s="10" t="n"/>
    </row>
    <row r="384">
      <c r="A384" s="6" t="n"/>
      <c r="B384" s="6" t="n"/>
      <c r="C384" s="6" t="n"/>
      <c r="D384" s="6" t="n"/>
      <c r="E384" s="6" t="n"/>
      <c r="F384" s="7" t="n"/>
      <c r="G384" s="8" t="n"/>
      <c r="H384" s="8" t="n"/>
      <c r="I384" s="8" t="n"/>
      <c r="J384" s="6" t="n"/>
      <c r="K384" s="6" t="n"/>
      <c r="L384" s="6" t="n"/>
      <c r="M384" s="9" t="n"/>
      <c r="N384" s="7" t="n"/>
      <c r="O384" s="10" t="n"/>
    </row>
    <row r="385">
      <c r="A385" s="6" t="n"/>
      <c r="B385" s="6" t="n"/>
      <c r="C385" s="6" t="n"/>
      <c r="D385" s="6" t="n"/>
      <c r="E385" s="6" t="n"/>
      <c r="F385" s="7" t="n"/>
      <c r="G385" s="8" t="n"/>
      <c r="H385" s="8" t="n"/>
      <c r="I385" s="8" t="n"/>
      <c r="J385" s="6" t="n"/>
      <c r="K385" s="6" t="n"/>
      <c r="L385" s="6" t="n"/>
      <c r="M385" s="9" t="n"/>
      <c r="N385" s="7" t="n"/>
      <c r="O385" s="10" t="n"/>
    </row>
    <row r="386">
      <c r="A386" s="6" t="n"/>
      <c r="B386" s="6" t="n"/>
      <c r="C386" s="6" t="n"/>
      <c r="D386" s="6" t="n"/>
      <c r="E386" s="6" t="n"/>
      <c r="F386" s="7" t="n"/>
      <c r="G386" s="8" t="n"/>
      <c r="H386" s="8" t="n"/>
      <c r="I386" s="8" t="n"/>
      <c r="J386" s="6" t="n"/>
      <c r="K386" s="6" t="n"/>
      <c r="L386" s="6" t="n"/>
      <c r="M386" s="9" t="n"/>
      <c r="N386" s="7" t="n"/>
      <c r="O386" s="10" t="n"/>
    </row>
    <row r="387">
      <c r="A387" s="6" t="n"/>
      <c r="B387" s="6" t="n"/>
      <c r="C387" s="6" t="n"/>
      <c r="D387" s="6" t="n"/>
      <c r="E387" s="6" t="n"/>
      <c r="F387" s="7" t="n"/>
      <c r="G387" s="8" t="n"/>
      <c r="H387" s="8" t="n"/>
      <c r="I387" s="8" t="n"/>
      <c r="J387" s="6" t="n"/>
      <c r="K387" s="6" t="n"/>
      <c r="L387" s="6" t="n"/>
      <c r="M387" s="9" t="n"/>
      <c r="N387" s="7" t="n"/>
      <c r="O387" s="10" t="n"/>
    </row>
    <row r="388">
      <c r="A388" s="6" t="n"/>
      <c r="B388" s="6" t="n"/>
      <c r="C388" s="6" t="n"/>
      <c r="D388" s="6" t="n"/>
      <c r="E388" s="6" t="n"/>
      <c r="F388" s="7" t="n"/>
      <c r="G388" s="8" t="n"/>
      <c r="H388" s="8" t="n"/>
      <c r="I388" s="8" t="n"/>
      <c r="J388" s="6" t="n"/>
      <c r="K388" s="6" t="n"/>
      <c r="L388" s="6" t="n"/>
      <c r="M388" s="9" t="n"/>
      <c r="N388" s="7" t="n"/>
      <c r="O388" s="10" t="n"/>
    </row>
    <row r="389">
      <c r="A389" s="6" t="n"/>
      <c r="B389" s="6" t="n"/>
      <c r="C389" s="6" t="n"/>
      <c r="D389" s="6" t="n"/>
      <c r="E389" s="6" t="n"/>
      <c r="F389" s="7" t="n"/>
      <c r="G389" s="8" t="n"/>
      <c r="H389" s="8" t="n"/>
      <c r="I389" s="8" t="n"/>
      <c r="J389" s="6" t="n"/>
      <c r="K389" s="6" t="n"/>
      <c r="L389" s="6" t="n"/>
      <c r="M389" s="9" t="n"/>
      <c r="N389" s="7" t="n"/>
      <c r="O389" s="10" t="n"/>
    </row>
    <row r="390">
      <c r="A390" s="6" t="n"/>
      <c r="B390" s="6" t="n"/>
      <c r="C390" s="6" t="n"/>
      <c r="D390" s="6" t="n"/>
      <c r="E390" s="6" t="n"/>
      <c r="F390" s="7" t="n"/>
      <c r="G390" s="8" t="n"/>
      <c r="H390" s="8" t="n"/>
      <c r="I390" s="8" t="n"/>
      <c r="J390" s="6" t="n"/>
      <c r="K390" s="6" t="n"/>
      <c r="L390" s="6" t="n"/>
      <c r="M390" s="9" t="n"/>
      <c r="N390" s="7" t="n"/>
      <c r="O390" s="10" t="n"/>
    </row>
    <row r="391">
      <c r="A391" s="6" t="n"/>
      <c r="B391" s="6" t="n"/>
      <c r="C391" s="6" t="n"/>
      <c r="D391" s="6" t="n"/>
      <c r="E391" s="6" t="n"/>
      <c r="F391" s="7" t="n"/>
      <c r="G391" s="8" t="n"/>
      <c r="H391" s="8" t="n"/>
      <c r="I391" s="8" t="n"/>
      <c r="J391" s="6" t="n"/>
      <c r="K391" s="6" t="n"/>
      <c r="L391" s="6" t="n"/>
      <c r="M391" s="9" t="n"/>
      <c r="N391" s="7" t="n"/>
      <c r="O391" s="10" t="n"/>
    </row>
    <row r="392">
      <c r="A392" s="6" t="n"/>
      <c r="B392" s="6" t="n"/>
      <c r="C392" s="6" t="n"/>
      <c r="D392" s="6" t="n"/>
      <c r="E392" s="6" t="n"/>
      <c r="F392" s="7" t="n"/>
      <c r="G392" s="8" t="n"/>
      <c r="H392" s="8" t="n"/>
      <c r="I392" s="8" t="n"/>
      <c r="J392" s="6" t="n"/>
      <c r="K392" s="6" t="n"/>
      <c r="L392" s="6" t="n"/>
      <c r="M392" s="9" t="n"/>
      <c r="N392" s="7" t="n"/>
      <c r="O392" s="10" t="n"/>
    </row>
    <row r="393">
      <c r="A393" s="6" t="n"/>
      <c r="B393" s="6" t="n"/>
      <c r="C393" s="6" t="n"/>
      <c r="D393" s="6" t="n"/>
      <c r="E393" s="6" t="n"/>
      <c r="F393" s="7" t="n"/>
      <c r="G393" s="8" t="n"/>
      <c r="H393" s="8" t="n"/>
      <c r="I393" s="8" t="n"/>
      <c r="J393" s="6" t="n"/>
      <c r="K393" s="6" t="n"/>
      <c r="L393" s="6" t="n"/>
      <c r="M393" s="9" t="n"/>
      <c r="N393" s="7" t="n"/>
      <c r="O393" s="10" t="n"/>
    </row>
    <row r="394">
      <c r="A394" s="6" t="n"/>
      <c r="B394" s="6" t="n"/>
      <c r="C394" s="6" t="n"/>
      <c r="D394" s="6" t="n"/>
      <c r="E394" s="6" t="n"/>
      <c r="F394" s="7" t="n"/>
      <c r="G394" s="8" t="n"/>
      <c r="H394" s="8" t="n"/>
      <c r="I394" s="8" t="n"/>
      <c r="J394" s="6" t="n"/>
      <c r="K394" s="6" t="n"/>
      <c r="L394" s="6" t="n"/>
      <c r="M394" s="9" t="n"/>
      <c r="N394" s="7" t="n"/>
      <c r="O394" s="10" t="n"/>
    </row>
    <row r="395">
      <c r="A395" s="6" t="n"/>
      <c r="B395" s="6" t="n"/>
      <c r="C395" s="6" t="n"/>
      <c r="D395" s="6" t="n"/>
      <c r="E395" s="6" t="n"/>
      <c r="F395" s="7" t="n"/>
      <c r="G395" s="8" t="n"/>
      <c r="H395" s="8" t="n"/>
      <c r="I395" s="8" t="n"/>
      <c r="J395" s="6" t="n"/>
      <c r="K395" s="6" t="n"/>
      <c r="L395" s="6" t="n"/>
      <c r="M395" s="9" t="n"/>
      <c r="N395" s="7" t="n"/>
      <c r="O395" s="10" t="n"/>
    </row>
    <row r="396">
      <c r="A396" s="6" t="n"/>
      <c r="B396" s="6" t="n"/>
      <c r="C396" s="6" t="n"/>
      <c r="D396" s="6" t="n"/>
      <c r="E396" s="6" t="n"/>
      <c r="F396" s="7" t="n"/>
      <c r="G396" s="8" t="n"/>
      <c r="H396" s="8" t="n"/>
      <c r="I396" s="8" t="n"/>
      <c r="J396" s="6" t="n"/>
      <c r="K396" s="6" t="n"/>
      <c r="L396" s="6" t="n"/>
      <c r="M396" s="9" t="n"/>
      <c r="N396" s="7" t="n"/>
      <c r="O396" s="10" t="n"/>
    </row>
    <row r="397">
      <c r="A397" s="6" t="n"/>
      <c r="B397" s="6" t="n"/>
      <c r="C397" s="6" t="n"/>
      <c r="D397" s="6" t="n"/>
      <c r="E397" s="6" t="n"/>
      <c r="F397" s="7" t="n"/>
      <c r="G397" s="8" t="n"/>
      <c r="H397" s="8" t="n"/>
      <c r="I397" s="8" t="n"/>
      <c r="J397" s="6" t="n"/>
      <c r="K397" s="6" t="n"/>
      <c r="L397" s="6" t="n"/>
      <c r="M397" s="9" t="n"/>
      <c r="N397" s="7" t="n"/>
      <c r="O397" s="10" t="n"/>
    </row>
    <row r="398">
      <c r="A398" s="6" t="n"/>
      <c r="B398" s="6" t="n"/>
      <c r="C398" s="6" t="n"/>
      <c r="D398" s="6" t="n"/>
      <c r="E398" s="6" t="n"/>
      <c r="F398" s="7" t="n"/>
      <c r="G398" s="8" t="n"/>
      <c r="H398" s="8" t="n"/>
      <c r="I398" s="8" t="n"/>
      <c r="J398" s="6" t="n"/>
      <c r="K398" s="6" t="n"/>
      <c r="L398" s="6" t="n"/>
      <c r="M398" s="9" t="n"/>
      <c r="N398" s="7" t="n"/>
      <c r="O398" s="10" t="n"/>
    </row>
    <row r="399">
      <c r="A399" s="6" t="n"/>
      <c r="B399" s="6" t="n"/>
      <c r="C399" s="6" t="n"/>
      <c r="D399" s="6" t="n"/>
      <c r="E399" s="6" t="n"/>
      <c r="F399" s="7" t="n"/>
      <c r="G399" s="8" t="n"/>
      <c r="H399" s="8" t="n"/>
      <c r="I399" s="8" t="n"/>
      <c r="J399" s="6" t="n"/>
      <c r="K399" s="6" t="n"/>
      <c r="L399" s="6" t="n"/>
      <c r="M399" s="9" t="n"/>
      <c r="N399" s="7" t="n"/>
      <c r="O399" s="10" t="n"/>
    </row>
    <row r="400">
      <c r="A400" s="6" t="n"/>
      <c r="B400" s="6" t="n"/>
      <c r="C400" s="6" t="n"/>
      <c r="D400" s="6" t="n"/>
      <c r="E400" s="6" t="n"/>
      <c r="F400" s="7" t="n"/>
      <c r="G400" s="8" t="n"/>
      <c r="H400" s="8" t="n"/>
      <c r="I400" s="8" t="n"/>
      <c r="J400" s="6" t="n"/>
      <c r="K400" s="6" t="n"/>
      <c r="L400" s="6" t="n"/>
      <c r="M400" s="9" t="n"/>
      <c r="N400" s="7" t="n"/>
      <c r="O400" s="10" t="n"/>
    </row>
    <row r="401">
      <c r="A401" s="6" t="n"/>
      <c r="B401" s="6" t="n"/>
      <c r="C401" s="6" t="n"/>
      <c r="D401" s="6" t="n"/>
      <c r="E401" s="6" t="n"/>
      <c r="F401" s="7" t="n"/>
      <c r="G401" s="8" t="n"/>
      <c r="H401" s="8" t="n"/>
      <c r="I401" s="8" t="n"/>
      <c r="J401" s="6" t="n"/>
      <c r="K401" s="6" t="n"/>
      <c r="L401" s="6" t="n"/>
      <c r="M401" s="9" t="n"/>
      <c r="N401" s="7" t="n"/>
      <c r="O401" s="10" t="n"/>
    </row>
    <row r="402">
      <c r="A402" s="6" t="n"/>
      <c r="B402" s="6" t="n"/>
      <c r="C402" s="6" t="n"/>
      <c r="D402" s="6" t="n"/>
      <c r="E402" s="6" t="n"/>
      <c r="F402" s="7" t="n"/>
      <c r="G402" s="8" t="n"/>
      <c r="H402" s="8" t="n"/>
      <c r="I402" s="8" t="n"/>
      <c r="J402" s="6" t="n"/>
      <c r="K402" s="6" t="n"/>
      <c r="L402" s="6" t="n"/>
      <c r="M402" s="9" t="n"/>
      <c r="N402" s="7" t="n"/>
      <c r="O402" s="10" t="n"/>
    </row>
    <row r="403">
      <c r="A403" s="6" t="n"/>
      <c r="B403" s="6" t="n"/>
      <c r="C403" s="6" t="n"/>
      <c r="D403" s="6" t="n"/>
      <c r="E403" s="6" t="n"/>
      <c r="F403" s="7" t="n"/>
      <c r="G403" s="8" t="n"/>
      <c r="H403" s="8" t="n"/>
      <c r="I403" s="8" t="n"/>
      <c r="J403" s="6" t="n"/>
      <c r="K403" s="6" t="n"/>
      <c r="L403" s="6" t="n"/>
      <c r="M403" s="9" t="n"/>
      <c r="N403" s="7" t="n"/>
      <c r="O403" s="10" t="n"/>
    </row>
    <row r="404">
      <c r="A404" s="6" t="n"/>
      <c r="B404" s="6" t="n"/>
      <c r="C404" s="6" t="n"/>
      <c r="D404" s="6" t="n"/>
      <c r="E404" s="6" t="n"/>
      <c r="F404" s="7" t="n"/>
      <c r="G404" s="8" t="n"/>
      <c r="H404" s="8" t="n"/>
      <c r="I404" s="8" t="n"/>
      <c r="J404" s="6" t="n"/>
      <c r="K404" s="6" t="n"/>
      <c r="L404" s="6" t="n"/>
      <c r="M404" s="9" t="n"/>
      <c r="N404" s="7" t="n"/>
      <c r="O404" s="10" t="n"/>
    </row>
    <row r="405">
      <c r="A405" s="6" t="n"/>
      <c r="B405" s="6" t="n"/>
      <c r="C405" s="6" t="n"/>
      <c r="D405" s="6" t="n"/>
      <c r="E405" s="6" t="n"/>
      <c r="F405" s="7" t="n"/>
      <c r="G405" s="8" t="n"/>
      <c r="H405" s="8" t="n"/>
      <c r="I405" s="8" t="n"/>
      <c r="J405" s="6" t="n"/>
      <c r="K405" s="6" t="n"/>
      <c r="L405" s="6" t="n"/>
      <c r="M405" s="9" t="n"/>
      <c r="N405" s="7" t="n"/>
      <c r="O405" s="10" t="n"/>
    </row>
    <row r="406">
      <c r="A406" s="6" t="n"/>
      <c r="B406" s="6" t="n"/>
      <c r="C406" s="6" t="n"/>
      <c r="D406" s="6" t="n"/>
      <c r="E406" s="6" t="n"/>
      <c r="F406" s="7" t="n"/>
      <c r="G406" s="8" t="n"/>
      <c r="H406" s="8" t="n"/>
      <c r="I406" s="8" t="n"/>
      <c r="J406" s="6" t="n"/>
      <c r="K406" s="6" t="n"/>
      <c r="L406" s="6" t="n"/>
      <c r="M406" s="9" t="n"/>
      <c r="N406" s="7" t="n"/>
      <c r="O406" s="10" t="n"/>
    </row>
    <row r="407">
      <c r="A407" s="6" t="n"/>
      <c r="B407" s="6" t="n"/>
      <c r="C407" s="6" t="n"/>
      <c r="D407" s="6" t="n"/>
      <c r="E407" s="6" t="n"/>
      <c r="F407" s="7" t="n"/>
      <c r="G407" s="8" t="n"/>
      <c r="H407" s="8" t="n"/>
      <c r="I407" s="8" t="n"/>
      <c r="J407" s="6" t="n"/>
      <c r="K407" s="6" t="n"/>
      <c r="L407" s="6" t="n"/>
      <c r="M407" s="9" t="n"/>
      <c r="N407" s="7" t="n"/>
      <c r="O407" s="10" t="n"/>
    </row>
    <row r="408">
      <c r="A408" s="6" t="n"/>
      <c r="B408" s="6" t="n"/>
      <c r="C408" s="6" t="n"/>
      <c r="D408" s="6" t="n"/>
      <c r="E408" s="6" t="n"/>
      <c r="F408" s="7" t="n"/>
      <c r="G408" s="8" t="n"/>
      <c r="H408" s="8" t="n"/>
      <c r="I408" s="8" t="n"/>
      <c r="J408" s="6" t="n"/>
      <c r="K408" s="6" t="n"/>
      <c r="L408" s="6" t="n"/>
      <c r="M408" s="9" t="n"/>
      <c r="N408" s="7" t="n"/>
      <c r="O408" s="10" t="n"/>
    </row>
    <row r="409">
      <c r="A409" s="6" t="n"/>
      <c r="B409" s="6" t="n"/>
      <c r="C409" s="6" t="n"/>
      <c r="D409" s="6" t="n"/>
      <c r="E409" s="6" t="n"/>
      <c r="F409" s="7" t="n"/>
      <c r="G409" s="8" t="n"/>
      <c r="H409" s="8" t="n"/>
      <c r="I409" s="8" t="n"/>
      <c r="J409" s="6" t="n"/>
      <c r="K409" s="6" t="n"/>
      <c r="L409" s="6" t="n"/>
      <c r="M409" s="9" t="n"/>
      <c r="N409" s="7" t="n"/>
      <c r="O409" s="10" t="n"/>
    </row>
    <row r="410">
      <c r="A410" s="6" t="n"/>
      <c r="B410" s="6" t="n"/>
      <c r="C410" s="6" t="n"/>
      <c r="D410" s="6" t="n"/>
      <c r="E410" s="6" t="n"/>
      <c r="F410" s="7" t="n"/>
      <c r="G410" s="8" t="n"/>
      <c r="H410" s="8" t="n"/>
      <c r="I410" s="8" t="n"/>
      <c r="J410" s="6" t="n"/>
      <c r="K410" s="6" t="n"/>
      <c r="L410" s="6" t="n"/>
      <c r="M410" s="9" t="n"/>
      <c r="N410" s="7" t="n"/>
      <c r="O410" s="10" t="n"/>
    </row>
    <row r="411">
      <c r="A411" s="6" t="n"/>
      <c r="B411" s="6" t="n"/>
      <c r="C411" s="6" t="n"/>
      <c r="D411" s="6" t="n"/>
      <c r="E411" s="6" t="n"/>
      <c r="F411" s="7" t="n"/>
      <c r="G411" s="8" t="n"/>
      <c r="H411" s="8" t="n"/>
      <c r="I411" s="8" t="n"/>
      <c r="J411" s="6" t="n"/>
      <c r="K411" s="6" t="n"/>
      <c r="L411" s="6" t="n"/>
      <c r="M411" s="9" t="n"/>
      <c r="N411" s="7" t="n"/>
      <c r="O411" s="10" t="n"/>
    </row>
    <row r="412">
      <c r="A412" s="6" t="n"/>
      <c r="B412" s="6" t="n"/>
      <c r="C412" s="6" t="n"/>
      <c r="D412" s="6" t="n"/>
      <c r="E412" s="6" t="n"/>
      <c r="F412" s="7" t="n"/>
      <c r="G412" s="8" t="n"/>
      <c r="H412" s="8" t="n"/>
      <c r="I412" s="8" t="n"/>
      <c r="J412" s="6" t="n"/>
      <c r="K412" s="6" t="n"/>
      <c r="L412" s="6" t="n"/>
      <c r="M412" s="9" t="n"/>
      <c r="N412" s="7" t="n"/>
      <c r="O412" s="10" t="n"/>
    </row>
    <row r="413">
      <c r="A413" s="6" t="n"/>
      <c r="B413" s="6" t="n"/>
      <c r="C413" s="6" t="n"/>
      <c r="D413" s="6" t="n"/>
      <c r="E413" s="6" t="n"/>
      <c r="F413" s="7" t="n"/>
      <c r="G413" s="8" t="n"/>
      <c r="H413" s="8" t="n"/>
      <c r="I413" s="8" t="n"/>
      <c r="J413" s="6" t="n"/>
      <c r="K413" s="6" t="n"/>
      <c r="L413" s="6" t="n"/>
      <c r="M413" s="9" t="n"/>
      <c r="N413" s="7" t="n"/>
      <c r="O413" s="10" t="n"/>
    </row>
    <row r="414">
      <c r="A414" s="6" t="n"/>
      <c r="B414" s="6" t="n"/>
      <c r="C414" s="6" t="n"/>
      <c r="D414" s="6" t="n"/>
      <c r="E414" s="6" t="n"/>
      <c r="F414" s="7" t="n"/>
      <c r="G414" s="8" t="n"/>
      <c r="H414" s="8" t="n"/>
      <c r="I414" s="8" t="n"/>
      <c r="J414" s="6" t="n"/>
      <c r="K414" s="6" t="n"/>
      <c r="L414" s="6" t="n"/>
      <c r="M414" s="9" t="n"/>
      <c r="N414" s="7" t="n"/>
      <c r="O414" s="10" t="n"/>
    </row>
    <row r="415">
      <c r="A415" s="6" t="n"/>
      <c r="B415" s="6" t="n"/>
      <c r="C415" s="6" t="n"/>
      <c r="D415" s="6" t="n"/>
      <c r="E415" s="6" t="n"/>
      <c r="F415" s="7" t="n"/>
      <c r="G415" s="8" t="n"/>
      <c r="H415" s="8" t="n"/>
      <c r="I415" s="8" t="n"/>
      <c r="J415" s="6" t="n"/>
      <c r="K415" s="6" t="n"/>
      <c r="L415" s="6" t="n"/>
      <c r="M415" s="9" t="n"/>
      <c r="N415" s="7" t="n"/>
      <c r="O415" s="10" t="n"/>
    </row>
    <row r="416">
      <c r="A416" s="6" t="n"/>
      <c r="B416" s="6" t="n"/>
      <c r="C416" s="6" t="n"/>
      <c r="D416" s="6" t="n"/>
      <c r="E416" s="6" t="n"/>
      <c r="F416" s="7" t="n"/>
      <c r="G416" s="8" t="n"/>
      <c r="H416" s="8" t="n"/>
      <c r="I416" s="8" t="n"/>
      <c r="J416" s="6" t="n"/>
      <c r="K416" s="6" t="n"/>
      <c r="L416" s="6" t="n"/>
      <c r="M416" s="9" t="n"/>
      <c r="N416" s="7" t="n"/>
      <c r="O416" s="10" t="n"/>
    </row>
    <row r="417">
      <c r="A417" s="6" t="n"/>
      <c r="B417" s="6" t="n"/>
      <c r="C417" s="6" t="n"/>
      <c r="D417" s="6" t="n"/>
      <c r="E417" s="6" t="n"/>
      <c r="F417" s="7" t="n"/>
      <c r="G417" s="8" t="n"/>
      <c r="H417" s="8" t="n"/>
      <c r="I417" s="8" t="n"/>
      <c r="J417" s="6" t="n"/>
      <c r="K417" s="6" t="n"/>
      <c r="L417" s="6" t="n"/>
      <c r="M417" s="9" t="n"/>
      <c r="N417" s="7" t="n"/>
      <c r="O417" s="10" t="n"/>
    </row>
    <row r="418">
      <c r="A418" s="6" t="n"/>
      <c r="B418" s="6" t="n"/>
      <c r="C418" s="6" t="n"/>
      <c r="D418" s="6" t="n"/>
      <c r="E418" s="6" t="n"/>
      <c r="F418" s="7" t="n"/>
      <c r="G418" s="8" t="n"/>
      <c r="H418" s="8" t="n"/>
      <c r="I418" s="8" t="n"/>
      <c r="J418" s="6" t="n"/>
      <c r="K418" s="6" t="n"/>
      <c r="L418" s="6" t="n"/>
      <c r="M418" s="9" t="n"/>
      <c r="N418" s="7" t="n"/>
      <c r="O418" s="10" t="n"/>
    </row>
    <row r="419">
      <c r="A419" s="6" t="n"/>
      <c r="B419" s="6" t="n"/>
      <c r="C419" s="6" t="n"/>
      <c r="D419" s="6" t="n"/>
      <c r="E419" s="6" t="n"/>
      <c r="F419" s="7" t="n"/>
      <c r="G419" s="8" t="n"/>
      <c r="H419" s="8" t="n"/>
      <c r="I419" s="8" t="n"/>
      <c r="J419" s="6" t="n"/>
      <c r="K419" s="6" t="n"/>
      <c r="L419" s="6" t="n"/>
      <c r="M419" s="9" t="n"/>
      <c r="N419" s="7" t="n"/>
      <c r="O419" s="10" t="n"/>
    </row>
    <row r="420">
      <c r="A420" s="6" t="n"/>
      <c r="B420" s="6" t="n"/>
      <c r="C420" s="6" t="n"/>
      <c r="D420" s="6" t="n"/>
      <c r="E420" s="6" t="n"/>
      <c r="F420" s="7" t="n"/>
      <c r="G420" s="8" t="n"/>
      <c r="H420" s="8" t="n"/>
      <c r="I420" s="8" t="n"/>
      <c r="J420" s="6" t="n"/>
      <c r="K420" s="6" t="n"/>
      <c r="L420" s="6" t="n"/>
      <c r="M420" s="9" t="n"/>
      <c r="N420" s="7" t="n"/>
      <c r="O420" s="10" t="n"/>
    </row>
    <row r="421">
      <c r="A421" s="6" t="n"/>
      <c r="B421" s="6" t="n"/>
      <c r="C421" s="6" t="n"/>
      <c r="D421" s="6" t="n"/>
      <c r="E421" s="6" t="n"/>
      <c r="F421" s="7" t="n"/>
      <c r="G421" s="8" t="n"/>
      <c r="H421" s="8" t="n"/>
      <c r="I421" s="8" t="n"/>
      <c r="J421" s="6" t="n"/>
      <c r="K421" s="6" t="n"/>
      <c r="L421" s="6" t="n"/>
      <c r="M421" s="9" t="n"/>
      <c r="N421" s="7" t="n"/>
      <c r="O421" s="10" t="n"/>
    </row>
    <row r="422">
      <c r="A422" s="6" t="n"/>
      <c r="B422" s="6" t="n"/>
      <c r="C422" s="6" t="n"/>
      <c r="D422" s="6" t="n"/>
      <c r="E422" s="6" t="n"/>
      <c r="F422" s="7" t="n"/>
      <c r="G422" s="8" t="n"/>
      <c r="H422" s="8" t="n"/>
      <c r="I422" s="8" t="n"/>
      <c r="J422" s="6" t="n"/>
      <c r="K422" s="6" t="n"/>
      <c r="L422" s="6" t="n"/>
      <c r="M422" s="9" t="n"/>
      <c r="N422" s="7" t="n"/>
      <c r="O422" s="10" t="n"/>
    </row>
    <row r="423">
      <c r="A423" s="6" t="n"/>
      <c r="B423" s="6" t="n"/>
      <c r="C423" s="6" t="n"/>
      <c r="D423" s="6" t="n"/>
      <c r="E423" s="6" t="n"/>
      <c r="F423" s="7" t="n"/>
      <c r="G423" s="8" t="n"/>
      <c r="H423" s="8" t="n"/>
      <c r="I423" s="8" t="n"/>
      <c r="J423" s="6" t="n"/>
      <c r="K423" s="6" t="n"/>
      <c r="L423" s="6" t="n"/>
      <c r="M423" s="9" t="n"/>
      <c r="N423" s="7" t="n"/>
      <c r="O423" s="10" t="n"/>
    </row>
    <row r="424">
      <c r="A424" s="6" t="n"/>
      <c r="B424" s="6" t="n"/>
      <c r="C424" s="6" t="n"/>
      <c r="D424" s="6" t="n"/>
      <c r="E424" s="6" t="n"/>
      <c r="F424" s="7" t="n"/>
      <c r="G424" s="8" t="n"/>
      <c r="H424" s="8" t="n"/>
      <c r="I424" s="8" t="n"/>
      <c r="J424" s="6" t="n"/>
      <c r="K424" s="6" t="n"/>
      <c r="L424" s="6" t="n"/>
      <c r="M424" s="9" t="n"/>
      <c r="N424" s="7" t="n"/>
      <c r="O424" s="10" t="n"/>
    </row>
    <row r="425">
      <c r="A425" s="6" t="n"/>
      <c r="B425" s="6" t="n"/>
      <c r="C425" s="6" t="n"/>
      <c r="D425" s="6" t="n"/>
      <c r="E425" s="6" t="n"/>
      <c r="F425" s="7" t="n"/>
      <c r="G425" s="8" t="n"/>
      <c r="H425" s="8" t="n"/>
      <c r="I425" s="8" t="n"/>
      <c r="J425" s="6" t="n"/>
      <c r="K425" s="6" t="n"/>
      <c r="L425" s="6" t="n"/>
      <c r="M425" s="9" t="n"/>
      <c r="N425" s="7" t="n"/>
      <c r="O425" s="10" t="n"/>
    </row>
    <row r="426">
      <c r="A426" s="6" t="n"/>
      <c r="B426" s="6" t="n"/>
      <c r="C426" s="6" t="n"/>
      <c r="D426" s="6" t="n"/>
      <c r="E426" s="6" t="n"/>
      <c r="F426" s="7" t="n"/>
      <c r="G426" s="8" t="n"/>
      <c r="H426" s="8" t="n"/>
      <c r="I426" s="8" t="n"/>
      <c r="J426" s="6" t="n"/>
      <c r="K426" s="6" t="n"/>
      <c r="L426" s="6" t="n"/>
      <c r="M426" s="9" t="n"/>
      <c r="N426" s="7" t="n"/>
      <c r="O426" s="10" t="n"/>
    </row>
    <row r="427">
      <c r="A427" s="6" t="n"/>
      <c r="B427" s="6" t="n"/>
      <c r="C427" s="6" t="n"/>
      <c r="D427" s="6" t="n"/>
      <c r="E427" s="6" t="n"/>
      <c r="F427" s="7" t="n"/>
      <c r="G427" s="8" t="n"/>
      <c r="H427" s="8" t="n"/>
      <c r="I427" s="8" t="n"/>
      <c r="J427" s="6" t="n"/>
      <c r="K427" s="6" t="n"/>
      <c r="L427" s="6" t="n"/>
      <c r="M427" s="9" t="n"/>
      <c r="N427" s="7" t="n"/>
      <c r="O427" s="10" t="n"/>
    </row>
    <row r="428">
      <c r="A428" s="6" t="n"/>
      <c r="B428" s="6" t="n"/>
      <c r="C428" s="6" t="n"/>
      <c r="D428" s="6" t="n"/>
      <c r="E428" s="6" t="n"/>
      <c r="F428" s="7" t="n"/>
      <c r="G428" s="8" t="n"/>
      <c r="H428" s="8" t="n"/>
      <c r="I428" s="8" t="n"/>
      <c r="J428" s="6" t="n"/>
      <c r="K428" s="6" t="n"/>
      <c r="L428" s="6" t="n"/>
      <c r="M428" s="9" t="n"/>
      <c r="N428" s="7" t="n"/>
      <c r="O428" s="10" t="n"/>
    </row>
    <row r="429">
      <c r="A429" s="6" t="n"/>
      <c r="B429" s="6" t="n"/>
      <c r="C429" s="6" t="n"/>
      <c r="D429" s="6" t="n"/>
      <c r="E429" s="6" t="n"/>
      <c r="F429" s="7" t="n"/>
      <c r="G429" s="8" t="n"/>
      <c r="H429" s="8" t="n"/>
      <c r="I429" s="8" t="n"/>
      <c r="J429" s="6" t="n"/>
      <c r="K429" s="6" t="n"/>
      <c r="L429" s="6" t="n"/>
      <c r="M429" s="9" t="n"/>
      <c r="N429" s="7" t="n"/>
      <c r="O429" s="10" t="n"/>
    </row>
    <row r="430">
      <c r="A430" s="6" t="n"/>
      <c r="B430" s="6" t="n"/>
      <c r="C430" s="6" t="n"/>
      <c r="D430" s="6" t="n"/>
      <c r="E430" s="6" t="n"/>
      <c r="F430" s="7" t="n"/>
      <c r="G430" s="8" t="n"/>
      <c r="H430" s="8" t="n"/>
      <c r="I430" s="8" t="n"/>
      <c r="J430" s="6" t="n"/>
      <c r="K430" s="6" t="n"/>
      <c r="L430" s="6" t="n"/>
      <c r="M430" s="9" t="n"/>
      <c r="N430" s="7" t="n"/>
      <c r="O430" s="10" t="n"/>
    </row>
    <row r="431">
      <c r="A431" s="6" t="n"/>
      <c r="B431" s="6" t="n"/>
      <c r="C431" s="6" t="n"/>
      <c r="D431" s="6" t="n"/>
      <c r="E431" s="6" t="n"/>
      <c r="F431" s="7" t="n"/>
      <c r="G431" s="8" t="n"/>
      <c r="H431" s="8" t="n"/>
      <c r="I431" s="8" t="n"/>
      <c r="J431" s="6" t="n"/>
      <c r="K431" s="6" t="n"/>
      <c r="L431" s="6" t="n"/>
      <c r="M431" s="9" t="n"/>
      <c r="N431" s="7" t="n"/>
      <c r="O431" s="10" t="n"/>
    </row>
    <row r="432">
      <c r="A432" s="6" t="n"/>
      <c r="B432" s="6" t="n"/>
      <c r="C432" s="6" t="n"/>
      <c r="D432" s="6" t="n"/>
      <c r="E432" s="6" t="n"/>
      <c r="F432" s="7" t="n"/>
      <c r="G432" s="8" t="n"/>
      <c r="H432" s="8" t="n"/>
      <c r="I432" s="8" t="n"/>
      <c r="J432" s="6" t="n"/>
      <c r="K432" s="6" t="n"/>
      <c r="L432" s="6" t="n"/>
      <c r="M432" s="9" t="n"/>
      <c r="N432" s="7" t="n"/>
      <c r="O432" s="10" t="n"/>
    </row>
    <row r="433">
      <c r="A433" s="6" t="n"/>
      <c r="B433" s="6" t="n"/>
      <c r="C433" s="6" t="n"/>
      <c r="D433" s="6" t="n"/>
      <c r="E433" s="6" t="n"/>
      <c r="F433" s="7" t="n"/>
      <c r="G433" s="8" t="n"/>
      <c r="H433" s="8" t="n"/>
      <c r="I433" s="8" t="n"/>
      <c r="J433" s="6" t="n"/>
      <c r="K433" s="6" t="n"/>
      <c r="L433" s="6" t="n"/>
      <c r="M433" s="9" t="n"/>
      <c r="N433" s="7" t="n"/>
      <c r="O433" s="10" t="n"/>
    </row>
    <row r="434">
      <c r="A434" s="6" t="n"/>
      <c r="B434" s="6" t="n"/>
      <c r="C434" s="6" t="n"/>
      <c r="D434" s="6" t="n"/>
      <c r="E434" s="6" t="n"/>
      <c r="F434" s="7" t="n"/>
      <c r="G434" s="8" t="n"/>
      <c r="H434" s="8" t="n"/>
      <c r="I434" s="8" t="n"/>
      <c r="J434" s="6" t="n"/>
      <c r="K434" s="6" t="n"/>
      <c r="L434" s="6" t="n"/>
      <c r="M434" s="9" t="n"/>
      <c r="N434" s="7" t="n"/>
      <c r="O434" s="10" t="n"/>
    </row>
    <row r="435">
      <c r="A435" s="6" t="n"/>
      <c r="B435" s="6" t="n"/>
      <c r="C435" s="6" t="n"/>
      <c r="D435" s="6" t="n"/>
      <c r="E435" s="6" t="n"/>
      <c r="F435" s="7" t="n"/>
      <c r="G435" s="8" t="n"/>
      <c r="H435" s="8" t="n"/>
      <c r="I435" s="8" t="n"/>
      <c r="J435" s="6" t="n"/>
      <c r="K435" s="6" t="n"/>
      <c r="L435" s="6" t="n"/>
      <c r="M435" s="9" t="n"/>
      <c r="N435" s="7" t="n"/>
      <c r="O435" s="10" t="n"/>
    </row>
    <row r="436">
      <c r="A436" s="6" t="n"/>
      <c r="B436" s="6" t="n"/>
      <c r="C436" s="6" t="n"/>
      <c r="D436" s="6" t="n"/>
      <c r="E436" s="6" t="n"/>
      <c r="F436" s="7" t="n"/>
      <c r="G436" s="8" t="n"/>
      <c r="H436" s="8" t="n"/>
      <c r="I436" s="8" t="n"/>
      <c r="J436" s="6" t="n"/>
      <c r="K436" s="6" t="n"/>
      <c r="L436" s="6" t="n"/>
      <c r="M436" s="9" t="n"/>
      <c r="N436" s="7" t="n"/>
      <c r="O436" s="10" t="n"/>
    </row>
    <row r="437">
      <c r="A437" s="6" t="n"/>
      <c r="B437" s="6" t="n"/>
      <c r="C437" s="6" t="n"/>
      <c r="D437" s="6" t="n"/>
      <c r="E437" s="6" t="n"/>
      <c r="F437" s="7" t="n"/>
      <c r="G437" s="8" t="n"/>
      <c r="H437" s="8" t="n"/>
      <c r="I437" s="8" t="n"/>
      <c r="J437" s="6" t="n"/>
      <c r="K437" s="6" t="n"/>
      <c r="L437" s="6" t="n"/>
      <c r="M437" s="9" t="n"/>
      <c r="N437" s="7" t="n"/>
      <c r="O437" s="10" t="n"/>
    </row>
    <row r="438">
      <c r="A438" s="6" t="n"/>
      <c r="B438" s="6" t="n"/>
      <c r="C438" s="6" t="n"/>
      <c r="D438" s="6" t="n"/>
      <c r="E438" s="6" t="n"/>
      <c r="F438" s="7" t="n"/>
      <c r="G438" s="8" t="n"/>
      <c r="H438" s="8" t="n"/>
      <c r="I438" s="8" t="n"/>
      <c r="J438" s="6" t="n"/>
      <c r="K438" s="6" t="n"/>
      <c r="L438" s="6" t="n"/>
      <c r="M438" s="9" t="n"/>
      <c r="N438" s="7" t="n"/>
      <c r="O438" s="10" t="n"/>
    </row>
    <row r="439">
      <c r="A439" s="6" t="n"/>
      <c r="B439" s="6" t="n"/>
      <c r="C439" s="6" t="n"/>
      <c r="D439" s="6" t="n"/>
      <c r="E439" s="6" t="n"/>
      <c r="F439" s="7" t="n"/>
      <c r="G439" s="8" t="n"/>
      <c r="H439" s="8" t="n"/>
      <c r="I439" s="8" t="n"/>
      <c r="J439" s="6" t="n"/>
      <c r="K439" s="6" t="n"/>
      <c r="L439" s="6" t="n"/>
      <c r="M439" s="9" t="n"/>
      <c r="N439" s="7" t="n"/>
      <c r="O439" s="10" t="n"/>
    </row>
    <row r="440">
      <c r="A440" s="6" t="n"/>
      <c r="B440" s="6" t="n"/>
      <c r="C440" s="6" t="n"/>
      <c r="D440" s="6" t="n"/>
      <c r="E440" s="6" t="n"/>
      <c r="F440" s="7" t="n"/>
      <c r="G440" s="8" t="n"/>
      <c r="H440" s="8" t="n"/>
      <c r="I440" s="8" t="n"/>
      <c r="J440" s="6" t="n"/>
      <c r="K440" s="6" t="n"/>
      <c r="L440" s="6" t="n"/>
      <c r="M440" s="9" t="n"/>
      <c r="N440" s="7" t="n"/>
      <c r="O440" s="10" t="n"/>
    </row>
    <row r="441">
      <c r="A441" s="6" t="n"/>
      <c r="B441" s="6" t="n"/>
      <c r="C441" s="6" t="n"/>
      <c r="D441" s="6" t="n"/>
      <c r="E441" s="6" t="n"/>
      <c r="F441" s="7" t="n"/>
      <c r="G441" s="8" t="n"/>
      <c r="H441" s="8" t="n"/>
      <c r="I441" s="8" t="n"/>
      <c r="J441" s="6" t="n"/>
      <c r="K441" s="6" t="n"/>
      <c r="L441" s="6" t="n"/>
      <c r="M441" s="9" t="n"/>
      <c r="N441" s="7" t="n"/>
      <c r="O441" s="10" t="n"/>
    </row>
    <row r="442">
      <c r="A442" s="6" t="n"/>
      <c r="B442" s="6" t="n"/>
      <c r="C442" s="6" t="n"/>
      <c r="D442" s="6" t="n"/>
      <c r="E442" s="6" t="n"/>
      <c r="F442" s="7" t="n"/>
      <c r="G442" s="8" t="n"/>
      <c r="H442" s="8" t="n"/>
      <c r="I442" s="8" t="n"/>
      <c r="J442" s="6" t="n"/>
      <c r="K442" s="6" t="n"/>
      <c r="L442" s="6" t="n"/>
      <c r="M442" s="9" t="n"/>
      <c r="N442" s="7" t="n"/>
      <c r="O442" s="10" t="n"/>
    </row>
    <row r="443">
      <c r="A443" s="6" t="n"/>
      <c r="B443" s="6" t="n"/>
      <c r="C443" s="6" t="n"/>
      <c r="D443" s="6" t="n"/>
      <c r="E443" s="6" t="n"/>
      <c r="F443" s="7" t="n"/>
      <c r="G443" s="8" t="n"/>
      <c r="H443" s="8" t="n"/>
      <c r="I443" s="8" t="n"/>
      <c r="J443" s="6" t="n"/>
      <c r="K443" s="6" t="n"/>
      <c r="L443" s="6" t="n"/>
      <c r="M443" s="9" t="n"/>
      <c r="N443" s="7" t="n"/>
      <c r="O443" s="10" t="n"/>
    </row>
    <row r="444">
      <c r="A444" s="6" t="n"/>
      <c r="B444" s="6" t="n"/>
      <c r="C444" s="6" t="n"/>
      <c r="D444" s="6" t="n"/>
      <c r="E444" s="6" t="n"/>
      <c r="F444" s="7" t="n"/>
      <c r="G444" s="8" t="n"/>
      <c r="H444" s="8" t="n"/>
      <c r="I444" s="8" t="n"/>
      <c r="J444" s="6" t="n"/>
      <c r="K444" s="6" t="n"/>
      <c r="L444" s="6" t="n"/>
      <c r="M444" s="9" t="n"/>
      <c r="N444" s="7" t="n"/>
      <c r="O444" s="10" t="n"/>
    </row>
    <row r="445">
      <c r="A445" s="6" t="n"/>
      <c r="B445" s="6" t="n"/>
      <c r="C445" s="6" t="n"/>
      <c r="D445" s="6" t="n"/>
      <c r="E445" s="6" t="n"/>
      <c r="F445" s="7" t="n"/>
      <c r="G445" s="8" t="n"/>
      <c r="H445" s="8" t="n"/>
      <c r="I445" s="8" t="n"/>
      <c r="J445" s="6" t="n"/>
      <c r="K445" s="6" t="n"/>
      <c r="L445" s="6" t="n"/>
      <c r="M445" s="9" t="n"/>
      <c r="N445" s="7" t="n"/>
      <c r="O445" s="10" t="n"/>
    </row>
    <row r="446">
      <c r="A446" s="6" t="n"/>
      <c r="B446" s="6" t="n"/>
      <c r="C446" s="6" t="n"/>
      <c r="D446" s="6" t="n"/>
      <c r="E446" s="6" t="n"/>
      <c r="F446" s="7" t="n"/>
      <c r="G446" s="8" t="n"/>
      <c r="H446" s="8" t="n"/>
      <c r="I446" s="8" t="n"/>
      <c r="J446" s="6" t="n"/>
      <c r="K446" s="6" t="n"/>
      <c r="L446" s="6" t="n"/>
      <c r="M446" s="9" t="n"/>
      <c r="N446" s="7" t="n"/>
      <c r="O446" s="10" t="n"/>
    </row>
    <row r="447">
      <c r="A447" s="6" t="n"/>
      <c r="B447" s="6" t="n"/>
      <c r="C447" s="6" t="n"/>
      <c r="D447" s="6" t="n"/>
      <c r="E447" s="6" t="n"/>
      <c r="F447" s="7" t="n"/>
      <c r="G447" s="8" t="n"/>
      <c r="H447" s="8" t="n"/>
      <c r="I447" s="8" t="n"/>
      <c r="J447" s="6" t="n"/>
      <c r="K447" s="6" t="n"/>
      <c r="L447" s="6" t="n"/>
      <c r="M447" s="9" t="n"/>
      <c r="N447" s="7" t="n"/>
      <c r="O447" s="10" t="n"/>
    </row>
    <row r="448">
      <c r="A448" s="6" t="n"/>
      <c r="B448" s="6" t="n"/>
      <c r="C448" s="6" t="n"/>
      <c r="D448" s="6" t="n"/>
      <c r="E448" s="6" t="n"/>
      <c r="F448" s="7" t="n"/>
      <c r="G448" s="8" t="n"/>
      <c r="H448" s="8" t="n"/>
      <c r="I448" s="8" t="n"/>
      <c r="J448" s="6" t="n"/>
      <c r="K448" s="6" t="n"/>
      <c r="L448" s="6" t="n"/>
      <c r="M448" s="9" t="n"/>
      <c r="N448" s="7" t="n"/>
      <c r="O448" s="10" t="n"/>
    </row>
    <row r="449">
      <c r="A449" s="6" t="n"/>
      <c r="B449" s="6" t="n"/>
      <c r="C449" s="6" t="n"/>
      <c r="D449" s="6" t="n"/>
      <c r="E449" s="6" t="n"/>
      <c r="F449" s="7" t="n"/>
      <c r="G449" s="8" t="n"/>
      <c r="H449" s="8" t="n"/>
      <c r="I449" s="8" t="n"/>
      <c r="J449" s="6" t="n"/>
      <c r="K449" s="6" t="n"/>
      <c r="L449" s="6" t="n"/>
      <c r="M449" s="9" t="n"/>
      <c r="N449" s="7" t="n"/>
      <c r="O449" s="10" t="n"/>
    </row>
    <row r="450">
      <c r="A450" s="6" t="n"/>
      <c r="B450" s="6" t="n"/>
      <c r="C450" s="6" t="n"/>
      <c r="D450" s="6" t="n"/>
      <c r="E450" s="6" t="n"/>
      <c r="F450" s="7" t="n"/>
      <c r="G450" s="8" t="n"/>
      <c r="H450" s="8" t="n"/>
      <c r="I450" s="8" t="n"/>
      <c r="J450" s="6" t="n"/>
      <c r="K450" s="6" t="n"/>
      <c r="L450" s="6" t="n"/>
      <c r="M450" s="9" t="n"/>
      <c r="N450" s="7" t="n"/>
      <c r="O450" s="10" t="n"/>
    </row>
    <row r="451">
      <c r="A451" s="6" t="n"/>
      <c r="B451" s="6" t="n"/>
      <c r="C451" s="6" t="n"/>
      <c r="D451" s="6" t="n"/>
      <c r="E451" s="6" t="n"/>
      <c r="F451" s="7" t="n"/>
      <c r="G451" s="8" t="n"/>
      <c r="H451" s="8" t="n"/>
      <c r="I451" s="8" t="n"/>
      <c r="J451" s="6" t="n"/>
      <c r="K451" s="6" t="n"/>
      <c r="L451" s="6" t="n"/>
      <c r="M451" s="9" t="n"/>
      <c r="N451" s="7" t="n"/>
      <c r="O451" s="10" t="n"/>
    </row>
    <row r="452">
      <c r="A452" s="6" t="n"/>
      <c r="B452" s="6" t="n"/>
      <c r="C452" s="6" t="n"/>
      <c r="D452" s="6" t="n"/>
      <c r="E452" s="6" t="n"/>
      <c r="F452" s="7" t="n"/>
      <c r="G452" s="8" t="n"/>
      <c r="H452" s="8" t="n"/>
      <c r="I452" s="8" t="n"/>
      <c r="J452" s="6" t="n"/>
      <c r="K452" s="6" t="n"/>
      <c r="L452" s="6" t="n"/>
      <c r="M452" s="9" t="n"/>
      <c r="N452" s="7" t="n"/>
      <c r="O452" s="10" t="n"/>
    </row>
    <row r="453">
      <c r="A453" s="6" t="n"/>
      <c r="B453" s="6" t="n"/>
      <c r="C453" s="6" t="n"/>
      <c r="D453" s="6" t="n"/>
      <c r="E453" s="6" t="n"/>
      <c r="F453" s="7" t="n"/>
      <c r="G453" s="8" t="n"/>
      <c r="H453" s="8" t="n"/>
      <c r="I453" s="8" t="n"/>
      <c r="J453" s="6" t="n"/>
      <c r="K453" s="6" t="n"/>
      <c r="L453" s="6" t="n"/>
      <c r="M453" s="9" t="n"/>
      <c r="N453" s="7" t="n"/>
      <c r="O453" s="10" t="n"/>
    </row>
    <row r="454">
      <c r="A454" s="6" t="n"/>
      <c r="B454" s="6" t="n"/>
      <c r="C454" s="6" t="n"/>
      <c r="D454" s="6" t="n"/>
      <c r="E454" s="6" t="n"/>
      <c r="F454" s="7" t="n"/>
      <c r="G454" s="8" t="n"/>
      <c r="H454" s="8" t="n"/>
      <c r="I454" s="8" t="n"/>
      <c r="J454" s="6" t="n"/>
      <c r="K454" s="6" t="n"/>
      <c r="L454" s="6" t="n"/>
      <c r="M454" s="9" t="n"/>
      <c r="N454" s="7" t="n"/>
      <c r="O454" s="10" t="n"/>
    </row>
    <row r="455">
      <c r="A455" s="6" t="n"/>
      <c r="B455" s="6" t="n"/>
      <c r="C455" s="6" t="n"/>
      <c r="D455" s="6" t="n"/>
      <c r="E455" s="6" t="n"/>
      <c r="F455" s="7" t="n"/>
      <c r="G455" s="8" t="n"/>
      <c r="H455" s="8" t="n"/>
      <c r="I455" s="8" t="n"/>
      <c r="J455" s="6" t="n"/>
      <c r="K455" s="6" t="n"/>
      <c r="L455" s="6" t="n"/>
      <c r="M455" s="9" t="n"/>
      <c r="N455" s="7" t="n"/>
      <c r="O455" s="10" t="n"/>
    </row>
    <row r="456">
      <c r="A456" s="6" t="n"/>
      <c r="B456" s="6" t="n"/>
      <c r="C456" s="6" t="n"/>
      <c r="D456" s="6" t="n"/>
      <c r="E456" s="6" t="n"/>
      <c r="F456" s="7" t="n"/>
      <c r="G456" s="8" t="n"/>
      <c r="H456" s="8" t="n"/>
      <c r="I456" s="8" t="n"/>
      <c r="J456" s="6" t="n"/>
      <c r="K456" s="6" t="n"/>
      <c r="L456" s="6" t="n"/>
      <c r="M456" s="9" t="n"/>
      <c r="N456" s="7" t="n"/>
      <c r="O456" s="10" t="n"/>
    </row>
    <row r="457">
      <c r="A457" s="6" t="n"/>
      <c r="B457" s="6" t="n"/>
      <c r="C457" s="6" t="n"/>
      <c r="D457" s="6" t="n"/>
      <c r="E457" s="6" t="n"/>
      <c r="F457" s="7" t="n"/>
      <c r="G457" s="8" t="n"/>
      <c r="H457" s="8" t="n"/>
      <c r="I457" s="8" t="n"/>
      <c r="J457" s="6" t="n"/>
      <c r="K457" s="6" t="n"/>
      <c r="L457" s="6" t="n"/>
      <c r="M457" s="9" t="n"/>
      <c r="N457" s="7" t="n"/>
      <c r="O457" s="10" t="n"/>
    </row>
    <row r="458">
      <c r="A458" s="6" t="n"/>
      <c r="B458" s="6" t="n"/>
      <c r="C458" s="6" t="n"/>
      <c r="D458" s="6" t="n"/>
      <c r="E458" s="6" t="n"/>
      <c r="F458" s="7" t="n"/>
      <c r="G458" s="8" t="n"/>
      <c r="H458" s="8" t="n"/>
      <c r="I458" s="8" t="n"/>
      <c r="J458" s="6" t="n"/>
      <c r="K458" s="6" t="n"/>
      <c r="L458" s="6" t="n"/>
      <c r="M458" s="9" t="n"/>
      <c r="N458" s="7" t="n"/>
      <c r="O458" s="10" t="n"/>
    </row>
    <row r="459">
      <c r="A459" s="6" t="n"/>
      <c r="B459" s="6" t="n"/>
      <c r="C459" s="6" t="n"/>
      <c r="D459" s="6" t="n"/>
      <c r="E459" s="6" t="n"/>
      <c r="F459" s="7" t="n"/>
      <c r="G459" s="8" t="n"/>
      <c r="H459" s="8" t="n"/>
      <c r="I459" s="8" t="n"/>
      <c r="J459" s="6" t="n"/>
      <c r="K459" s="6" t="n"/>
      <c r="L459" s="6" t="n"/>
      <c r="M459" s="9" t="n"/>
      <c r="N459" s="7" t="n"/>
      <c r="O459" s="10" t="n"/>
    </row>
    <row r="460">
      <c r="A460" s="6" t="n"/>
      <c r="B460" s="6" t="n"/>
      <c r="C460" s="6" t="n"/>
      <c r="D460" s="6" t="n"/>
      <c r="E460" s="6" t="n"/>
      <c r="F460" s="7" t="n"/>
      <c r="G460" s="8" t="n"/>
      <c r="H460" s="8" t="n"/>
      <c r="I460" s="8" t="n"/>
      <c r="J460" s="6" t="n"/>
      <c r="K460" s="6" t="n"/>
      <c r="L460" s="6" t="n"/>
      <c r="M460" s="9" t="n"/>
      <c r="N460" s="7" t="n"/>
      <c r="O460" s="10" t="n"/>
    </row>
    <row r="461">
      <c r="A461" s="6" t="n"/>
      <c r="B461" s="6" t="n"/>
      <c r="C461" s="6" t="n"/>
      <c r="D461" s="6" t="n"/>
      <c r="E461" s="6" t="n"/>
      <c r="F461" s="7" t="n"/>
      <c r="G461" s="8" t="n"/>
      <c r="H461" s="8" t="n"/>
      <c r="I461" s="8" t="n"/>
      <c r="J461" s="6" t="n"/>
      <c r="K461" s="6" t="n"/>
      <c r="L461" s="6" t="n"/>
      <c r="M461" s="9" t="n"/>
      <c r="N461" s="7" t="n"/>
      <c r="O461" s="10" t="n"/>
    </row>
    <row r="462">
      <c r="A462" s="6" t="n"/>
      <c r="B462" s="6" t="n"/>
      <c r="C462" s="6" t="n"/>
      <c r="D462" s="6" t="n"/>
      <c r="E462" s="6" t="n"/>
      <c r="F462" s="7" t="n"/>
      <c r="G462" s="8" t="n"/>
      <c r="H462" s="8" t="n"/>
      <c r="I462" s="8" t="n"/>
      <c r="J462" s="6" t="n"/>
      <c r="K462" s="6" t="n"/>
      <c r="L462" s="6" t="n"/>
      <c r="M462" s="9" t="n"/>
      <c r="N462" s="7" t="n"/>
      <c r="O462" s="10" t="n"/>
    </row>
    <row r="463">
      <c r="A463" s="6" t="n"/>
      <c r="B463" s="6" t="n"/>
      <c r="C463" s="6" t="n"/>
      <c r="D463" s="6" t="n"/>
      <c r="E463" s="6" t="n"/>
      <c r="F463" s="7" t="n"/>
      <c r="G463" s="8" t="n"/>
      <c r="H463" s="8" t="n"/>
      <c r="I463" s="8" t="n"/>
      <c r="J463" s="6" t="n"/>
      <c r="K463" s="6" t="n"/>
      <c r="L463" s="6" t="n"/>
      <c r="M463" s="9" t="n"/>
      <c r="N463" s="7" t="n"/>
      <c r="O463" s="10" t="n"/>
    </row>
    <row r="464">
      <c r="A464" s="6" t="n"/>
      <c r="B464" s="6" t="n"/>
      <c r="C464" s="6" t="n"/>
      <c r="D464" s="6" t="n"/>
      <c r="E464" s="6" t="n"/>
      <c r="F464" s="7" t="n"/>
      <c r="G464" s="8" t="n"/>
      <c r="H464" s="8" t="n"/>
      <c r="I464" s="8" t="n"/>
      <c r="J464" s="6" t="n"/>
      <c r="K464" s="6" t="n"/>
      <c r="L464" s="6" t="n"/>
      <c r="M464" s="9" t="n"/>
      <c r="N464" s="7" t="n"/>
      <c r="O464" s="10" t="n"/>
    </row>
    <row r="465">
      <c r="A465" s="6" t="n"/>
      <c r="B465" s="6" t="n"/>
      <c r="C465" s="6" t="n"/>
      <c r="D465" s="6" t="n"/>
      <c r="E465" s="6" t="n"/>
      <c r="F465" s="7" t="n"/>
      <c r="G465" s="8" t="n"/>
      <c r="H465" s="8" t="n"/>
      <c r="I465" s="8" t="n"/>
      <c r="J465" s="6" t="n"/>
      <c r="K465" s="6" t="n"/>
      <c r="L465" s="6" t="n"/>
      <c r="M465" s="9" t="n"/>
      <c r="N465" s="7" t="n"/>
      <c r="O465" s="10" t="n"/>
    </row>
    <row r="466">
      <c r="A466" s="6" t="n"/>
      <c r="B466" s="6" t="n"/>
      <c r="C466" s="6" t="n"/>
      <c r="D466" s="6" t="n"/>
      <c r="E466" s="6" t="n"/>
      <c r="F466" s="7" t="n"/>
      <c r="G466" s="8" t="n"/>
      <c r="H466" s="8" t="n"/>
      <c r="I466" s="8" t="n"/>
      <c r="J466" s="6" t="n"/>
      <c r="K466" s="6" t="n"/>
      <c r="L466" s="6" t="n"/>
      <c r="M466" s="9" t="n"/>
      <c r="N466" s="7" t="n"/>
      <c r="O466" s="10" t="n"/>
    </row>
    <row r="467">
      <c r="A467" s="6" t="n"/>
      <c r="B467" s="6" t="n"/>
      <c r="C467" s="6" t="n"/>
      <c r="D467" s="6" t="n"/>
      <c r="E467" s="6" t="n"/>
      <c r="F467" s="7" t="n"/>
      <c r="G467" s="8" t="n"/>
      <c r="H467" s="8" t="n"/>
      <c r="I467" s="8" t="n"/>
      <c r="J467" s="6" t="n"/>
      <c r="K467" s="6" t="n"/>
      <c r="L467" s="6" t="n"/>
      <c r="M467" s="9" t="n"/>
      <c r="N467" s="7" t="n"/>
      <c r="O467" s="10" t="n"/>
    </row>
    <row r="468">
      <c r="A468" s="6" t="n"/>
      <c r="B468" s="6" t="n"/>
      <c r="C468" s="6" t="n"/>
      <c r="D468" s="6" t="n"/>
      <c r="E468" s="6" t="n"/>
      <c r="F468" s="7" t="n"/>
      <c r="G468" s="8" t="n"/>
      <c r="H468" s="8" t="n"/>
      <c r="I468" s="8" t="n"/>
      <c r="J468" s="6" t="n"/>
      <c r="K468" s="6" t="n"/>
      <c r="L468" s="6" t="n"/>
      <c r="M468" s="9" t="n"/>
      <c r="N468" s="7" t="n"/>
      <c r="O468" s="10" t="n"/>
    </row>
    <row r="469">
      <c r="A469" s="6" t="n"/>
      <c r="B469" s="6" t="n"/>
      <c r="C469" s="6" t="n"/>
      <c r="D469" s="6" t="n"/>
      <c r="E469" s="6" t="n"/>
      <c r="F469" s="7" t="n"/>
      <c r="G469" s="8" t="n"/>
      <c r="H469" s="8" t="n"/>
      <c r="I469" s="8" t="n"/>
      <c r="J469" s="6" t="n"/>
      <c r="K469" s="6" t="n"/>
      <c r="L469" s="6" t="n"/>
      <c r="M469" s="9" t="n"/>
      <c r="N469" s="7" t="n"/>
      <c r="O469" s="10" t="n"/>
    </row>
    <row r="470">
      <c r="A470" s="6" t="n"/>
      <c r="B470" s="6" t="n"/>
      <c r="C470" s="6" t="n"/>
      <c r="D470" s="6" t="n"/>
      <c r="E470" s="6" t="n"/>
      <c r="F470" s="7" t="n"/>
      <c r="G470" s="8" t="n"/>
      <c r="H470" s="8" t="n"/>
      <c r="I470" s="8" t="n"/>
      <c r="J470" s="6" t="n"/>
      <c r="K470" s="6" t="n"/>
      <c r="L470" s="6" t="n"/>
      <c r="M470" s="9" t="n"/>
      <c r="N470" s="7" t="n"/>
      <c r="O470" s="10" t="n"/>
    </row>
    <row r="471">
      <c r="A471" s="6" t="n"/>
      <c r="B471" s="6" t="n"/>
      <c r="C471" s="6" t="n"/>
      <c r="D471" s="6" t="n"/>
      <c r="E471" s="6" t="n"/>
      <c r="F471" s="7" t="n"/>
      <c r="G471" s="8" t="n"/>
      <c r="H471" s="8" t="n"/>
      <c r="I471" s="8" t="n"/>
      <c r="J471" s="6" t="n"/>
      <c r="K471" s="6" t="n"/>
      <c r="L471" s="6" t="n"/>
      <c r="M471" s="9" t="n"/>
      <c r="N471" s="7" t="n"/>
      <c r="O471" s="10" t="n"/>
    </row>
    <row r="472">
      <c r="A472" s="6" t="n"/>
      <c r="B472" s="6" t="n"/>
      <c r="C472" s="6" t="n"/>
      <c r="D472" s="6" t="n"/>
      <c r="E472" s="6" t="n"/>
      <c r="F472" s="7" t="n"/>
      <c r="G472" s="8" t="n"/>
      <c r="H472" s="8" t="n"/>
      <c r="I472" s="8" t="n"/>
      <c r="J472" s="6" t="n"/>
      <c r="K472" s="6" t="n"/>
      <c r="L472" s="6" t="n"/>
      <c r="M472" s="9" t="n"/>
      <c r="N472" s="7" t="n"/>
      <c r="O472" s="10" t="n"/>
    </row>
    <row r="473">
      <c r="A473" s="6" t="n"/>
      <c r="B473" s="6" t="n"/>
      <c r="C473" s="6" t="n"/>
      <c r="D473" s="6" t="n"/>
      <c r="E473" s="6" t="n"/>
      <c r="F473" s="7" t="n"/>
      <c r="G473" s="8" t="n"/>
      <c r="H473" s="8" t="n"/>
      <c r="I473" s="8" t="n"/>
      <c r="J473" s="6" t="n"/>
      <c r="K473" s="6" t="n"/>
      <c r="L473" s="6" t="n"/>
      <c r="M473" s="9" t="n"/>
      <c r="N473" s="7" t="n"/>
      <c r="O473" s="10" t="n"/>
    </row>
    <row r="474">
      <c r="A474" s="6" t="n"/>
      <c r="B474" s="6" t="n"/>
      <c r="C474" s="6" t="n"/>
      <c r="D474" s="6" t="n"/>
      <c r="E474" s="6" t="n"/>
      <c r="F474" s="7" t="n"/>
      <c r="G474" s="8" t="n"/>
      <c r="H474" s="8" t="n"/>
      <c r="I474" s="8" t="n"/>
      <c r="J474" s="6" t="n"/>
      <c r="K474" s="6" t="n"/>
      <c r="L474" s="6" t="n"/>
      <c r="M474" s="9" t="n"/>
      <c r="N474" s="7" t="n"/>
      <c r="O474" s="10" t="n"/>
    </row>
    <row r="475">
      <c r="A475" s="6" t="n"/>
      <c r="B475" s="6" t="n"/>
      <c r="C475" s="6" t="n"/>
      <c r="D475" s="6" t="n"/>
      <c r="E475" s="6" t="n"/>
      <c r="F475" s="7" t="n"/>
      <c r="G475" s="8" t="n"/>
      <c r="H475" s="8" t="n"/>
      <c r="I475" s="8" t="n"/>
      <c r="J475" s="6" t="n"/>
      <c r="K475" s="6" t="n"/>
      <c r="L475" s="6" t="n"/>
      <c r="M475" s="9" t="n"/>
      <c r="N475" s="7" t="n"/>
      <c r="O475" s="10" t="n"/>
    </row>
    <row r="476">
      <c r="A476" s="6" t="n"/>
      <c r="B476" s="6" t="n"/>
      <c r="C476" s="6" t="n"/>
      <c r="D476" s="6" t="n"/>
      <c r="E476" s="6" t="n"/>
      <c r="F476" s="7" t="n"/>
      <c r="G476" s="8" t="n"/>
      <c r="H476" s="8" t="n"/>
      <c r="I476" s="8" t="n"/>
      <c r="J476" s="6" t="n"/>
      <c r="K476" s="6" t="n"/>
      <c r="L476" s="6" t="n"/>
      <c r="M476" s="9" t="n"/>
      <c r="N476" s="7" t="n"/>
      <c r="O476" s="10" t="n"/>
    </row>
    <row r="477">
      <c r="A477" s="6" t="n"/>
      <c r="B477" s="6" t="n"/>
      <c r="C477" s="6" t="n"/>
      <c r="D477" s="6" t="n"/>
      <c r="E477" s="6" t="n"/>
      <c r="F477" s="7" t="n"/>
      <c r="G477" s="8" t="n"/>
      <c r="H477" s="8" t="n"/>
      <c r="I477" s="8" t="n"/>
      <c r="J477" s="6" t="n"/>
      <c r="K477" s="6" t="n"/>
      <c r="L477" s="6" t="n"/>
      <c r="M477" s="9" t="n"/>
      <c r="N477" s="7" t="n"/>
      <c r="O477" s="10" t="n"/>
    </row>
    <row r="478">
      <c r="A478" s="6" t="n"/>
      <c r="B478" s="6" t="n"/>
      <c r="C478" s="6" t="n"/>
      <c r="D478" s="6" t="n"/>
      <c r="E478" s="6" t="n"/>
      <c r="F478" s="7" t="n"/>
      <c r="G478" s="8" t="n"/>
      <c r="H478" s="8" t="n"/>
      <c r="I478" s="8" t="n"/>
      <c r="J478" s="6" t="n"/>
      <c r="K478" s="6" t="n"/>
      <c r="L478" s="6" t="n"/>
      <c r="M478" s="9" t="n"/>
      <c r="N478" s="7" t="n"/>
      <c r="O478" s="10" t="n"/>
    </row>
    <row r="479">
      <c r="A479" s="6" t="n"/>
      <c r="B479" s="6" t="n"/>
      <c r="C479" s="6" t="n"/>
      <c r="D479" s="6" t="n"/>
      <c r="E479" s="6" t="n"/>
      <c r="F479" s="7" t="n"/>
      <c r="G479" s="8" t="n"/>
      <c r="H479" s="8" t="n"/>
      <c r="I479" s="8" t="n"/>
      <c r="J479" s="6" t="n"/>
      <c r="K479" s="6" t="n"/>
      <c r="L479" s="6" t="n"/>
      <c r="M479" s="9" t="n"/>
      <c r="N479" s="7" t="n"/>
      <c r="O479" s="10" t="n"/>
    </row>
    <row r="480">
      <c r="A480" s="6" t="n"/>
      <c r="B480" s="6" t="n"/>
      <c r="C480" s="6" t="n"/>
      <c r="D480" s="6" t="n"/>
      <c r="E480" s="6" t="n"/>
      <c r="F480" s="7" t="n"/>
      <c r="G480" s="8" t="n"/>
      <c r="H480" s="8" t="n"/>
      <c r="I480" s="8" t="n"/>
      <c r="J480" s="6" t="n"/>
      <c r="K480" s="6" t="n"/>
      <c r="L480" s="6" t="n"/>
      <c r="M480" s="9" t="n"/>
      <c r="N480" s="7" t="n"/>
      <c r="O480" s="10" t="n"/>
    </row>
    <row r="481">
      <c r="A481" s="6" t="n"/>
      <c r="B481" s="6" t="n"/>
      <c r="C481" s="6" t="n"/>
      <c r="D481" s="6" t="n"/>
      <c r="E481" s="6" t="n"/>
      <c r="F481" s="7" t="n"/>
      <c r="G481" s="8" t="n"/>
      <c r="H481" s="8" t="n"/>
      <c r="I481" s="8" t="n"/>
      <c r="J481" s="6" t="n"/>
      <c r="K481" s="6" t="n"/>
      <c r="L481" s="6" t="n"/>
      <c r="M481" s="9" t="n"/>
      <c r="N481" s="7" t="n"/>
      <c r="O481" s="10" t="n"/>
    </row>
    <row r="482">
      <c r="A482" s="6" t="n"/>
      <c r="B482" s="6" t="n"/>
      <c r="C482" s="6" t="n"/>
      <c r="D482" s="6" t="n"/>
      <c r="E482" s="6" t="n"/>
      <c r="F482" s="7" t="n"/>
      <c r="G482" s="8" t="n"/>
      <c r="H482" s="8" t="n"/>
      <c r="I482" s="8" t="n"/>
      <c r="J482" s="6" t="n"/>
      <c r="K482" s="6" t="n"/>
      <c r="L482" s="6" t="n"/>
      <c r="M482" s="9" t="n"/>
      <c r="N482" s="7" t="n"/>
      <c r="O482" s="10" t="n"/>
    </row>
    <row r="483">
      <c r="A483" s="6" t="n"/>
      <c r="B483" s="6" t="n"/>
      <c r="C483" s="6" t="n"/>
      <c r="D483" s="6" t="n"/>
      <c r="E483" s="6" t="n"/>
      <c r="F483" s="7" t="n"/>
      <c r="G483" s="8" t="n"/>
      <c r="H483" s="8" t="n"/>
      <c r="I483" s="8" t="n"/>
      <c r="J483" s="6" t="n"/>
      <c r="K483" s="6" t="n"/>
      <c r="L483" s="6" t="n"/>
      <c r="M483" s="9" t="n"/>
      <c r="N483" s="7" t="n"/>
      <c r="O483" s="10" t="n"/>
    </row>
    <row r="484">
      <c r="A484" s="6" t="n"/>
      <c r="B484" s="6" t="n"/>
      <c r="C484" s="6" t="n"/>
      <c r="D484" s="6" t="n"/>
      <c r="E484" s="6" t="n"/>
      <c r="F484" s="7" t="n"/>
      <c r="G484" s="8" t="n"/>
      <c r="H484" s="8" t="n"/>
      <c r="I484" s="8" t="n"/>
      <c r="J484" s="6" t="n"/>
      <c r="K484" s="6" t="n"/>
      <c r="L484" s="6" t="n"/>
      <c r="M484" s="9" t="n"/>
      <c r="N484" s="7" t="n"/>
      <c r="O484" s="10" t="n"/>
    </row>
    <row r="485">
      <c r="A485" s="6" t="n"/>
      <c r="B485" s="6" t="n"/>
      <c r="C485" s="6" t="n"/>
      <c r="D485" s="6" t="n"/>
      <c r="E485" s="6" t="n"/>
      <c r="F485" s="7" t="n"/>
      <c r="G485" s="8" t="n"/>
      <c r="H485" s="8" t="n"/>
      <c r="I485" s="8" t="n"/>
      <c r="J485" s="6" t="n"/>
      <c r="K485" s="6" t="n"/>
      <c r="L485" s="6" t="n"/>
      <c r="M485" s="9" t="n"/>
      <c r="N485" s="7" t="n"/>
      <c r="O485" s="10" t="n"/>
    </row>
    <row r="486">
      <c r="A486" s="6" t="n"/>
      <c r="B486" s="6" t="n"/>
      <c r="C486" s="6" t="n"/>
      <c r="D486" s="6" t="n"/>
      <c r="E486" s="6" t="n"/>
      <c r="F486" s="7" t="n"/>
      <c r="G486" s="8" t="n"/>
      <c r="H486" s="8" t="n"/>
      <c r="I486" s="8" t="n"/>
      <c r="J486" s="6" t="n"/>
      <c r="K486" s="6" t="n"/>
      <c r="L486" s="6" t="n"/>
      <c r="M486" s="9" t="n"/>
      <c r="N486" s="7" t="n"/>
      <c r="O486" s="10" t="n"/>
    </row>
    <row r="487">
      <c r="A487" s="6" t="n"/>
      <c r="B487" s="6" t="n"/>
      <c r="C487" s="6" t="n"/>
      <c r="D487" s="6" t="n"/>
      <c r="E487" s="6" t="n"/>
      <c r="F487" s="7" t="n"/>
      <c r="G487" s="8" t="n"/>
      <c r="H487" s="8" t="n"/>
      <c r="I487" s="8" t="n"/>
      <c r="J487" s="6" t="n"/>
      <c r="K487" s="6" t="n"/>
      <c r="L487" s="6" t="n"/>
      <c r="M487" s="9" t="n"/>
      <c r="N487" s="7" t="n"/>
      <c r="O487" s="10" t="n"/>
    </row>
    <row r="488">
      <c r="A488" s="6" t="n"/>
      <c r="B488" s="6" t="n"/>
      <c r="C488" s="6" t="n"/>
      <c r="D488" s="6" t="n"/>
      <c r="E488" s="6" t="n"/>
      <c r="F488" s="7" t="n"/>
      <c r="G488" s="8" t="n"/>
      <c r="H488" s="8" t="n"/>
      <c r="I488" s="8" t="n"/>
      <c r="J488" s="6" t="n"/>
      <c r="K488" s="6" t="n"/>
      <c r="L488" s="6" t="n"/>
      <c r="M488" s="9" t="n"/>
      <c r="N488" s="7" t="n"/>
      <c r="O488" s="10" t="n"/>
    </row>
    <row r="489">
      <c r="A489" s="6" t="n"/>
      <c r="B489" s="6" t="n"/>
      <c r="C489" s="6" t="n"/>
      <c r="D489" s="6" t="n"/>
      <c r="E489" s="6" t="n"/>
      <c r="F489" s="7" t="n"/>
      <c r="G489" s="8" t="n"/>
      <c r="H489" s="8" t="n"/>
      <c r="I489" s="8" t="n"/>
      <c r="J489" s="6" t="n"/>
      <c r="K489" s="6" t="n"/>
      <c r="L489" s="6" t="n"/>
      <c r="M489" s="9" t="n"/>
      <c r="N489" s="7" t="n"/>
      <c r="O489" s="10" t="n"/>
    </row>
    <row r="490">
      <c r="A490" s="6" t="n"/>
      <c r="B490" s="6" t="n"/>
      <c r="C490" s="6" t="n"/>
      <c r="D490" s="6" t="n"/>
      <c r="E490" s="6" t="n"/>
      <c r="F490" s="7" t="n"/>
      <c r="G490" s="8" t="n"/>
      <c r="H490" s="8" t="n"/>
      <c r="I490" s="8" t="n"/>
      <c r="J490" s="6" t="n"/>
      <c r="K490" s="6" t="n"/>
      <c r="L490" s="6" t="n"/>
      <c r="M490" s="9" t="n"/>
      <c r="N490" s="7" t="n"/>
      <c r="O490" s="10" t="n"/>
    </row>
    <row r="491">
      <c r="A491" s="6" t="n"/>
      <c r="B491" s="6" t="n"/>
      <c r="C491" s="6" t="n"/>
      <c r="D491" s="6" t="n"/>
      <c r="E491" s="6" t="n"/>
      <c r="F491" s="7" t="n"/>
      <c r="G491" s="8" t="n"/>
      <c r="H491" s="8" t="n"/>
      <c r="I491" s="8" t="n"/>
      <c r="J491" s="6" t="n"/>
      <c r="K491" s="6" t="n"/>
      <c r="L491" s="6" t="n"/>
      <c r="M491" s="9" t="n"/>
      <c r="N491" s="7" t="n"/>
      <c r="O491" s="10" t="n"/>
    </row>
    <row r="492">
      <c r="A492" s="6" t="n"/>
      <c r="B492" s="6" t="n"/>
      <c r="C492" s="6" t="n"/>
      <c r="D492" s="6" t="n"/>
      <c r="E492" s="6" t="n"/>
      <c r="F492" s="7" t="n"/>
      <c r="G492" s="8" t="n"/>
      <c r="H492" s="8" t="n"/>
      <c r="I492" s="8" t="n"/>
      <c r="J492" s="6" t="n"/>
      <c r="K492" s="6" t="n"/>
      <c r="L492" s="6" t="n"/>
      <c r="M492" s="9" t="n"/>
      <c r="N492" s="7" t="n"/>
      <c r="O492" s="10" t="n"/>
    </row>
    <row r="493">
      <c r="A493" s="6" t="n"/>
      <c r="B493" s="6" t="n"/>
      <c r="C493" s="6" t="n"/>
      <c r="D493" s="6" t="n"/>
      <c r="E493" s="6" t="n"/>
      <c r="F493" s="7" t="n"/>
      <c r="G493" s="8" t="n"/>
      <c r="H493" s="8" t="n"/>
      <c r="I493" s="8" t="n"/>
      <c r="J493" s="6" t="n"/>
      <c r="K493" s="6" t="n"/>
      <c r="L493" s="6" t="n"/>
      <c r="M493" s="9" t="n"/>
      <c r="N493" s="7" t="n"/>
      <c r="O493" s="10" t="n"/>
    </row>
    <row r="494">
      <c r="A494" s="6" t="n"/>
      <c r="B494" s="6" t="n"/>
      <c r="C494" s="6" t="n"/>
      <c r="D494" s="6" t="n"/>
      <c r="E494" s="6" t="n"/>
      <c r="F494" s="7" t="n"/>
      <c r="G494" s="8" t="n"/>
      <c r="H494" s="8" t="n"/>
      <c r="I494" s="8" t="n"/>
      <c r="J494" s="6" t="n"/>
      <c r="K494" s="6" t="n"/>
      <c r="L494" s="6" t="n"/>
      <c r="M494" s="9" t="n"/>
      <c r="N494" s="7" t="n"/>
      <c r="O494" s="10" t="n"/>
    </row>
    <row r="495">
      <c r="A495" s="6" t="n"/>
      <c r="B495" s="6" t="n"/>
      <c r="C495" s="6" t="n"/>
      <c r="D495" s="6" t="n"/>
      <c r="E495" s="6" t="n"/>
      <c r="F495" s="7" t="n"/>
      <c r="G495" s="8" t="n"/>
      <c r="H495" s="8" t="n"/>
      <c r="I495" s="8" t="n"/>
      <c r="J495" s="6" t="n"/>
      <c r="K495" s="6" t="n"/>
      <c r="L495" s="6" t="n"/>
      <c r="M495" s="9" t="n"/>
      <c r="N495" s="7" t="n"/>
      <c r="O495" s="10" t="n"/>
    </row>
    <row r="496">
      <c r="A496" s="6" t="n"/>
      <c r="B496" s="6" t="n"/>
      <c r="C496" s="6" t="n"/>
      <c r="D496" s="6" t="n"/>
      <c r="E496" s="6" t="n"/>
      <c r="F496" s="7" t="n"/>
      <c r="G496" s="8" t="n"/>
      <c r="H496" s="8" t="n"/>
      <c r="I496" s="8" t="n"/>
      <c r="J496" s="6" t="n"/>
      <c r="K496" s="6" t="n"/>
      <c r="L496" s="6" t="n"/>
      <c r="M496" s="9" t="n"/>
      <c r="N496" s="7" t="n"/>
      <c r="O496" s="10" t="n"/>
    </row>
    <row r="497">
      <c r="A497" s="6" t="n"/>
      <c r="B497" s="6" t="n"/>
      <c r="C497" s="6" t="n"/>
      <c r="D497" s="6" t="n"/>
      <c r="E497" s="6" t="n"/>
      <c r="F497" s="7" t="n"/>
      <c r="G497" s="8" t="n"/>
      <c r="H497" s="8" t="n"/>
      <c r="I497" s="8" t="n"/>
      <c r="J497" s="6" t="n"/>
      <c r="K497" s="6" t="n"/>
      <c r="L497" s="6" t="n"/>
      <c r="M497" s="9" t="n"/>
      <c r="N497" s="7" t="n"/>
      <c r="O497" s="10" t="n"/>
    </row>
    <row r="498">
      <c r="A498" s="6" t="n"/>
      <c r="B498" s="6" t="n"/>
      <c r="C498" s="6" t="n"/>
      <c r="D498" s="6" t="n"/>
      <c r="E498" s="6" t="n"/>
      <c r="F498" s="7" t="n"/>
      <c r="G498" s="8" t="n"/>
      <c r="H498" s="8" t="n"/>
      <c r="I498" s="8" t="n"/>
      <c r="J498" s="6" t="n"/>
      <c r="K498" s="6" t="n"/>
      <c r="L498" s="6" t="n"/>
      <c r="M498" s="9" t="n"/>
      <c r="N498" s="7" t="n"/>
      <c r="O498" s="10" t="n"/>
    </row>
    <row r="499">
      <c r="A499" s="6" t="n"/>
      <c r="B499" s="6" t="n"/>
      <c r="C499" s="6" t="n"/>
      <c r="D499" s="6" t="n"/>
      <c r="E499" s="6" t="n"/>
      <c r="F499" s="7" t="n"/>
      <c r="G499" s="8" t="n"/>
      <c r="H499" s="8" t="n"/>
      <c r="I499" s="8" t="n"/>
      <c r="J499" s="6" t="n"/>
      <c r="K499" s="6" t="n"/>
      <c r="L499" s="6" t="n"/>
      <c r="M499" s="9" t="n"/>
      <c r="N499" s="7" t="n"/>
      <c r="O499" s="10" t="n"/>
    </row>
    <row r="500">
      <c r="A500" s="6" t="n"/>
      <c r="B500" s="6" t="n"/>
      <c r="C500" s="6" t="n"/>
      <c r="D500" s="6" t="n"/>
      <c r="E500" s="6" t="n"/>
      <c r="F500" s="7" t="n"/>
      <c r="G500" s="8" t="n"/>
      <c r="H500" s="8" t="n"/>
      <c r="I500" s="8" t="n"/>
      <c r="J500" s="6" t="n"/>
      <c r="K500" s="6" t="n"/>
      <c r="L500" s="6" t="n"/>
      <c r="M500" s="9" t="n"/>
      <c r="N500" s="7" t="n"/>
      <c r="O500" s="10" t="n"/>
    </row>
    <row r="501">
      <c r="A501" s="6" t="n"/>
      <c r="B501" s="6" t="n"/>
      <c r="C501" s="6" t="n"/>
      <c r="D501" s="6" t="n"/>
      <c r="E501" s="6" t="n"/>
      <c r="F501" s="7" t="n"/>
      <c r="G501" s="8" t="n"/>
      <c r="H501" s="8" t="n"/>
      <c r="I501" s="8" t="n"/>
      <c r="J501" s="6" t="n"/>
      <c r="K501" s="6" t="n"/>
      <c r="L501" s="6" t="n"/>
      <c r="M501" s="9" t="n"/>
      <c r="N501" s="7" t="n"/>
      <c r="O501" s="10" t="n"/>
    </row>
    <row r="502">
      <c r="A502" s="6" t="n"/>
      <c r="B502" s="6" t="n"/>
      <c r="C502" s="6" t="n"/>
      <c r="D502" s="6" t="n"/>
      <c r="E502" s="6" t="n"/>
      <c r="F502" s="7" t="n"/>
      <c r="G502" s="8" t="n"/>
      <c r="H502" s="8" t="n"/>
      <c r="I502" s="8" t="n"/>
      <c r="J502" s="6" t="n"/>
      <c r="K502" s="6" t="n"/>
      <c r="L502" s="6" t="n"/>
      <c r="M502" s="9" t="n"/>
      <c r="N502" s="7" t="n"/>
      <c r="O502" s="10" t="n"/>
    </row>
    <row r="503">
      <c r="A503" s="6" t="n"/>
      <c r="B503" s="6" t="n"/>
      <c r="C503" s="6" t="n"/>
      <c r="D503" s="6" t="n"/>
      <c r="E503" s="6" t="n"/>
      <c r="F503" s="7" t="n"/>
      <c r="G503" s="8" t="n"/>
      <c r="H503" s="8" t="n"/>
      <c r="I503" s="8" t="n"/>
      <c r="J503" s="6" t="n"/>
      <c r="K503" s="6" t="n"/>
      <c r="L503" s="6" t="n"/>
      <c r="M503" s="9" t="n"/>
      <c r="N503" s="7" t="n"/>
      <c r="O503" s="10" t="n"/>
    </row>
  </sheetData>
  <autoFilter ref="A3:O503"/>
  <mergeCells count="2">
    <mergeCell ref="A2:I2"/>
    <mergeCell ref="F1:I1"/>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0">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drawing xmlns:r="http://schemas.openxmlformats.org/officeDocument/2006/relationships" r:id="rId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ht="26" customHeight="1">
      <c r="A1" s="1" t="inlineStr">
        <is>
          <t>LISTES DE RÉFÉRENCE</t>
        </is>
      </c>
      <c r="D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6" customHeight="1">
      <c r="A2" s="3"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1" t="inlineStr">
        <is>
          <t>Chefs de projet</t>
        </is>
      </c>
      <c r="B3" s="11" t="inlineStr">
        <is>
          <t>Noms de projet</t>
        </is>
      </c>
      <c r="C3" s="11" t="inlineStr">
        <is>
          <t>Types</t>
        </is>
      </c>
      <c r="D3" s="11" t="inlineStr">
        <is>
          <t>Coordinateurs</t>
        </is>
      </c>
      <c r="E3" s="11" t="inlineStr">
        <is>
          <t>Dessinateurs projeteurs</t>
        </is>
      </c>
      <c r="F3" s="12" t="inlineStr">
        <is>
          <t>Capacité mensuelle (h)
vide = défaut</t>
        </is>
      </c>
      <c r="G3" s="12" t="inlineStr">
        <is>
          <t>Charge fixe hors projet (h/mois)
vide = défaut</t>
        </is>
      </c>
      <c r="H3" s="11" t="inlineStr">
        <is>
          <t>Ressources externes (personnes)</t>
        </is>
      </c>
      <c r="I3" s="12" t="inlineStr">
        <is>
          <t>Capacité mensuelle (h)
vide = défaut</t>
        </is>
      </c>
      <c r="J3" s="12" t="inlineStr">
        <is>
          <t>Charge fixe hors projet (h/mois)
vide = défaut</t>
        </is>
      </c>
      <c r="K3" s="13" t="inlineStr">
        <is>
          <t>Jours non travaillés
(fériés, fermetures)
facultatif</t>
        </is>
      </c>
    </row>
    <row r="4">
      <c r="A4" s="14" t="inlineStr">
        <is>
          <t>Julie Martin</t>
        </is>
      </c>
      <c r="B4" s="14" t="inlineStr">
        <is>
          <t>ATLAS</t>
        </is>
      </c>
      <c r="C4" s="14" t="inlineStr">
        <is>
          <t>Étude de conception</t>
        </is>
      </c>
      <c r="D4" s="14" t="inlineStr">
        <is>
          <t>Marc Dubois</t>
        </is>
      </c>
      <c r="E4" s="14" t="inlineStr">
        <is>
          <t>Lucas Garnier</t>
        </is>
      </c>
      <c r="F4" s="15" t="n"/>
      <c r="G4" s="15" t="n"/>
      <c r="H4" s="14" t="inlineStr">
        <is>
          <t>Paul Girard</t>
        </is>
      </c>
      <c r="I4" s="15" t="n"/>
      <c r="J4" s="15" t="n"/>
      <c r="K4" s="16" t="n"/>
    </row>
    <row r="5">
      <c r="A5" s="14" t="inlineStr">
        <is>
          <t>Thomas Bernard</t>
        </is>
      </c>
      <c r="B5" s="14" t="inlineStr">
        <is>
          <t>BORÉAL</t>
        </is>
      </c>
      <c r="C5" s="14" t="inlineStr">
        <is>
          <t>Modification</t>
        </is>
      </c>
      <c r="D5" s="14" t="inlineStr">
        <is>
          <t>Isabelle Roux</t>
        </is>
      </c>
      <c r="E5" s="14" t="inlineStr">
        <is>
          <t>Emma Faure</t>
        </is>
      </c>
      <c r="F5" s="15" t="n"/>
      <c r="G5" s="15" t="n"/>
      <c r="H5" s="14" t="inlineStr">
        <is>
          <t>Inès Morel</t>
        </is>
      </c>
      <c r="I5" s="15" t="n"/>
      <c r="J5" s="15" t="n"/>
      <c r="K5" s="16" t="n"/>
    </row>
    <row r="6">
      <c r="A6" s="14" t="inlineStr">
        <is>
          <t>Sophie Lefèvre</t>
        </is>
      </c>
      <c r="B6" s="14" t="inlineStr">
        <is>
          <t>CASSIOPÉE</t>
        </is>
      </c>
      <c r="C6" s="14" t="inlineStr">
        <is>
          <t>Mise à jour de plans</t>
        </is>
      </c>
      <c r="D6" s="14" t="n"/>
      <c r="E6" s="14" t="inlineStr">
        <is>
          <t>Hugo Mercier</t>
        </is>
      </c>
      <c r="F6" s="15" t="n"/>
      <c r="G6" s="15" t="n"/>
      <c r="H6" s="14" t="inlineStr">
        <is>
          <t>Karim Haddad</t>
        </is>
      </c>
      <c r="I6" s="15" t="n"/>
      <c r="J6" s="15" t="n"/>
      <c r="K6" s="16" t="n"/>
    </row>
    <row r="7">
      <c r="A7" s="14" t="inlineStr">
        <is>
          <t>Nicolas Moreau</t>
        </is>
      </c>
      <c r="B7" s="14" t="inlineStr">
        <is>
          <t>DELTA</t>
        </is>
      </c>
      <c r="C7" s="14" t="inlineStr">
        <is>
          <t>Industrialisation</t>
        </is>
      </c>
      <c r="D7" s="14" t="n"/>
      <c r="E7" s="14" t="inlineStr">
        <is>
          <t>Léa Chevalier</t>
        </is>
      </c>
      <c r="F7" s="15" t="n">
        <v>96</v>
      </c>
      <c r="G7" s="15" t="n"/>
      <c r="H7" s="14" t="n"/>
      <c r="I7" s="15" t="n"/>
      <c r="J7" s="15" t="n"/>
      <c r="K7" s="16" t="n"/>
    </row>
    <row r="8">
      <c r="A8" s="14" t="inlineStr">
        <is>
          <t>Camille Laurent</t>
        </is>
      </c>
      <c r="B8" s="14" t="inlineStr">
        <is>
          <t>ORION</t>
        </is>
      </c>
      <c r="C8" s="14" t="inlineStr">
        <is>
          <t>Chiffrage / avant-projet</t>
        </is>
      </c>
      <c r="D8" s="14" t="n"/>
      <c r="E8" s="14" t="inlineStr">
        <is>
          <t>Antoine Blanc</t>
        </is>
      </c>
      <c r="F8" s="15" t="n"/>
      <c r="G8" s="15" t="n"/>
      <c r="H8" s="14" t="n"/>
      <c r="I8" s="15" t="n"/>
      <c r="J8" s="15" t="n"/>
      <c r="K8" s="16" t="n"/>
    </row>
    <row r="9">
      <c r="A9" s="14" t="n"/>
      <c r="B9" s="14" t="inlineStr">
        <is>
          <t>PÉGASE</t>
        </is>
      </c>
      <c r="C9" s="14" t="n"/>
      <c r="D9" s="14" t="n"/>
      <c r="E9" s="14" t="n"/>
      <c r="F9" s="15" t="n"/>
      <c r="G9" s="15" t="n"/>
      <c r="H9" s="14" t="n"/>
      <c r="I9" s="15" t="n"/>
      <c r="J9" s="15" t="n"/>
      <c r="K9" s="16" t="n"/>
    </row>
    <row r="10">
      <c r="A10" s="14" t="n"/>
      <c r="B10" s="14" t="inlineStr">
        <is>
          <t>VEGA</t>
        </is>
      </c>
      <c r="C10" s="14" t="n"/>
      <c r="D10" s="14" t="n"/>
      <c r="E10" s="14" t="n"/>
      <c r="F10" s="15" t="n"/>
      <c r="G10" s="15" t="n"/>
      <c r="H10" s="14" t="n"/>
      <c r="I10" s="15" t="n"/>
      <c r="J10" s="15" t="n"/>
      <c r="K10" s="16" t="n"/>
    </row>
    <row r="11">
      <c r="A11" s="14" t="n"/>
      <c r="B11" s="14" t="inlineStr">
        <is>
          <t>TITAN</t>
        </is>
      </c>
      <c r="C11" s="14" t="n"/>
      <c r="D11" s="14" t="n"/>
      <c r="E11" s="14" t="n"/>
      <c r="F11" s="15" t="n"/>
      <c r="G11" s="15" t="n"/>
      <c r="H11" s="14" t="n"/>
      <c r="I11" s="15" t="n"/>
      <c r="J11" s="15" t="n"/>
      <c r="K11" s="16" t="n"/>
    </row>
    <row r="12">
      <c r="A12" s="14" t="n"/>
      <c r="B12" s="14" t="n"/>
      <c r="C12" s="14" t="n"/>
      <c r="D12" s="14" t="n"/>
      <c r="E12" s="14" t="n"/>
      <c r="F12" s="15" t="n"/>
      <c r="G12" s="15" t="n"/>
      <c r="H12" s="14" t="n"/>
      <c r="I12" s="15" t="n"/>
      <c r="J12" s="15" t="n"/>
      <c r="K12" s="16" t="n"/>
    </row>
    <row r="13">
      <c r="A13" s="14" t="n"/>
      <c r="B13" s="14" t="n"/>
      <c r="C13" s="14" t="n"/>
      <c r="D13" s="14" t="n"/>
      <c r="E13" s="14" t="n"/>
      <c r="F13" s="15" t="n"/>
      <c r="G13" s="15" t="n"/>
      <c r="H13" s="14" t="n"/>
      <c r="I13" s="15" t="n"/>
      <c r="J13" s="15" t="n"/>
      <c r="K13" s="16" t="n"/>
    </row>
    <row r="14">
      <c r="A14" s="14" t="n"/>
      <c r="B14" s="14" t="n"/>
      <c r="C14" s="14" t="n"/>
      <c r="D14" s="14" t="n"/>
      <c r="E14" s="14" t="n"/>
      <c r="F14" s="15" t="n"/>
      <c r="G14" s="15" t="n"/>
      <c r="H14" s="14" t="n"/>
      <c r="I14" s="15" t="n"/>
      <c r="J14" s="15" t="n"/>
      <c r="K14" s="16" t="n"/>
    </row>
    <row r="15">
      <c r="A15" s="14" t="n"/>
      <c r="B15" s="14" t="n"/>
      <c r="C15" s="14" t="n"/>
      <c r="D15" s="14" t="n"/>
      <c r="E15" s="14" t="n"/>
      <c r="F15" s="15" t="n"/>
      <c r="G15" s="15" t="n"/>
      <c r="H15" s="14" t="n"/>
      <c r="I15" s="15" t="n"/>
      <c r="J15" s="15" t="n"/>
      <c r="K15" s="16" t="n"/>
    </row>
    <row r="16">
      <c r="A16" s="14" t="n"/>
      <c r="B16" s="14" t="n"/>
      <c r="C16" s="14" t="n"/>
      <c r="D16" s="14" t="n"/>
      <c r="E16" s="14" t="n"/>
      <c r="F16" s="15" t="n"/>
      <c r="G16" s="15" t="n"/>
      <c r="H16" s="14" t="n"/>
      <c r="I16" s="15" t="n"/>
      <c r="J16" s="15" t="n"/>
      <c r="K16" s="16" t="n"/>
    </row>
    <row r="17">
      <c r="A17" s="14" t="n"/>
      <c r="B17" s="14" t="n"/>
      <c r="C17" s="14" t="n"/>
      <c r="D17" s="14" t="n"/>
      <c r="E17" s="14" t="n"/>
      <c r="F17" s="15" t="n"/>
      <c r="G17" s="15" t="n"/>
      <c r="H17" s="14" t="n"/>
      <c r="I17" s="15" t="n"/>
      <c r="J17" s="15" t="n"/>
      <c r="K17" s="16" t="n"/>
    </row>
    <row r="18">
      <c r="A18" s="14" t="n"/>
      <c r="B18" s="14" t="n"/>
      <c r="C18" s="14" t="n"/>
      <c r="D18" s="14" t="n"/>
      <c r="E18" s="14" t="n"/>
      <c r="F18" s="15" t="n"/>
      <c r="G18" s="15" t="n"/>
      <c r="H18" s="14" t="n"/>
      <c r="I18" s="15" t="n"/>
      <c r="J18" s="15" t="n"/>
      <c r="K18" s="16" t="n"/>
    </row>
    <row r="19">
      <c r="A19" s="14" t="n"/>
      <c r="B19" s="14" t="n"/>
      <c r="C19" s="14" t="n"/>
      <c r="D19" s="14" t="n"/>
      <c r="E19" s="14" t="n"/>
      <c r="F19" s="15" t="n"/>
      <c r="G19" s="15" t="n"/>
      <c r="H19" s="14" t="n"/>
      <c r="I19" s="15" t="n"/>
      <c r="J19" s="15" t="n"/>
      <c r="K19" s="16" t="n"/>
    </row>
    <row r="20">
      <c r="A20" s="14" t="n"/>
      <c r="B20" s="14" t="n"/>
      <c r="C20" s="14" t="n"/>
      <c r="D20" s="14" t="n"/>
      <c r="E20" s="14" t="n"/>
      <c r="F20" s="15" t="n"/>
      <c r="G20" s="15" t="n"/>
      <c r="H20" s="14" t="n"/>
      <c r="I20" s="15" t="n"/>
      <c r="J20" s="15" t="n"/>
      <c r="K20" s="16" t="n"/>
    </row>
    <row r="21">
      <c r="A21" s="14" t="n"/>
      <c r="B21" s="14" t="n"/>
      <c r="C21" s="14" t="n"/>
      <c r="D21" s="14" t="n"/>
      <c r="E21" s="14" t="n"/>
      <c r="F21" s="15" t="n"/>
      <c r="G21" s="15" t="n"/>
      <c r="H21" s="14" t="n"/>
      <c r="I21" s="15" t="n"/>
      <c r="J21" s="15" t="n"/>
      <c r="K21" s="16" t="n"/>
    </row>
    <row r="22">
      <c r="A22" s="14" t="n"/>
      <c r="B22" s="14" t="n"/>
      <c r="C22" s="14" t="n"/>
      <c r="D22" s="14" t="n"/>
      <c r="E22" s="14" t="n"/>
      <c r="F22" s="15" t="n"/>
      <c r="G22" s="15" t="n"/>
      <c r="H22" s="14" t="n"/>
      <c r="I22" s="15" t="n"/>
      <c r="J22" s="15" t="n"/>
      <c r="K22" s="16" t="n"/>
    </row>
    <row r="23">
      <c r="A23" s="14" t="n"/>
      <c r="B23" s="14" t="n"/>
      <c r="C23" s="14" t="n"/>
      <c r="D23" s="14" t="n"/>
      <c r="E23" s="14" t="n"/>
      <c r="F23" s="15" t="n"/>
      <c r="G23" s="15" t="n"/>
      <c r="H23" s="14" t="n"/>
      <c r="I23" s="15" t="n"/>
      <c r="J23" s="15" t="n"/>
      <c r="K23" s="16" t="n"/>
    </row>
    <row r="24">
      <c r="A24" s="14" t="n"/>
      <c r="B24" s="14" t="n"/>
      <c r="C24" s="14" t="n"/>
      <c r="D24" s="14" t="n"/>
      <c r="E24" s="14" t="n"/>
      <c r="F24" s="15" t="n"/>
      <c r="G24" s="15" t="n"/>
      <c r="H24" s="14" t="n"/>
      <c r="I24" s="15" t="n"/>
      <c r="J24" s="15" t="n"/>
      <c r="K24" s="16" t="n"/>
    </row>
    <row r="25">
      <c r="A25" s="14" t="n"/>
      <c r="B25" s="14" t="n"/>
      <c r="C25" s="14" t="n"/>
      <c r="D25" s="14" t="n"/>
      <c r="E25" s="14" t="n"/>
      <c r="F25" s="15" t="n"/>
      <c r="G25" s="15" t="n"/>
      <c r="H25" s="14" t="n"/>
      <c r="I25" s="15" t="n"/>
      <c r="J25" s="15" t="n"/>
      <c r="K25" s="16" t="n"/>
    </row>
    <row r="26">
      <c r="A26" s="14" t="n"/>
      <c r="B26" s="14" t="n"/>
      <c r="C26" s="14" t="n"/>
      <c r="D26" s="14" t="n"/>
      <c r="E26" s="14" t="n"/>
      <c r="F26" s="15" t="n"/>
      <c r="G26" s="15" t="n"/>
      <c r="H26" s="14" t="n"/>
      <c r="I26" s="15" t="n"/>
      <c r="J26" s="15" t="n"/>
      <c r="K26" s="16" t="n"/>
    </row>
    <row r="27">
      <c r="A27" s="14" t="n"/>
      <c r="B27" s="14" t="n"/>
      <c r="C27" s="14" t="n"/>
      <c r="D27" s="14" t="n"/>
      <c r="E27" s="14" t="n"/>
      <c r="F27" s="15" t="n"/>
      <c r="G27" s="15" t="n"/>
      <c r="H27" s="14" t="n"/>
      <c r="I27" s="15" t="n"/>
      <c r="J27" s="15" t="n"/>
      <c r="K27" s="16" t="n"/>
    </row>
    <row r="28">
      <c r="A28" s="14" t="n"/>
      <c r="B28" s="14" t="n"/>
      <c r="C28" s="14" t="n"/>
      <c r="D28" s="14" t="n"/>
      <c r="E28" s="14" t="n"/>
      <c r="F28" s="15" t="n"/>
      <c r="G28" s="15" t="n"/>
      <c r="H28" s="14" t="n"/>
      <c r="I28" s="15" t="n"/>
      <c r="J28" s="15" t="n"/>
      <c r="K28" s="16" t="n"/>
    </row>
    <row r="29">
      <c r="A29" s="14" t="n"/>
      <c r="B29" s="14" t="n"/>
      <c r="C29" s="14" t="n"/>
      <c r="D29" s="14" t="n"/>
      <c r="E29" s="14" t="n"/>
      <c r="F29" s="15" t="n"/>
      <c r="G29" s="15" t="n"/>
      <c r="H29" s="14" t="n"/>
      <c r="I29" s="15" t="n"/>
      <c r="J29" s="15" t="n"/>
      <c r="K29" s="16" t="n"/>
    </row>
    <row r="30">
      <c r="A30" s="14" t="n"/>
      <c r="B30" s="14" t="n"/>
      <c r="C30" s="14" t="n"/>
      <c r="D30" s="14" t="n"/>
      <c r="E30" s="14" t="n"/>
      <c r="F30" s="15" t="n"/>
      <c r="G30" s="15" t="n"/>
      <c r="H30" s="14" t="n"/>
      <c r="I30" s="15" t="n"/>
      <c r="J30" s="15" t="n"/>
      <c r="K30" s="16" t="n"/>
    </row>
    <row r="31">
      <c r="A31" s="14" t="n"/>
      <c r="B31" s="14" t="n"/>
      <c r="C31" s="14" t="n"/>
      <c r="D31" s="14" t="n"/>
      <c r="E31" s="14" t="n"/>
      <c r="F31" s="15" t="n"/>
      <c r="G31" s="15" t="n"/>
      <c r="H31" s="14" t="n"/>
      <c r="I31" s="15" t="n"/>
      <c r="J31" s="15" t="n"/>
      <c r="K31" s="16" t="n"/>
    </row>
    <row r="32">
      <c r="A32" s="14" t="n"/>
      <c r="B32" s="14" t="n"/>
      <c r="C32" s="14" t="n"/>
      <c r="D32" s="14" t="n"/>
      <c r="E32" s="14" t="n"/>
      <c r="F32" s="15" t="n"/>
      <c r="G32" s="15" t="n"/>
      <c r="H32" s="14" t="n"/>
      <c r="I32" s="15" t="n"/>
      <c r="J32" s="15" t="n"/>
      <c r="K32" s="16" t="n"/>
    </row>
    <row r="33">
      <c r="A33" s="14" t="n"/>
      <c r="B33" s="14" t="n"/>
      <c r="C33" s="14" t="n"/>
      <c r="D33" s="14" t="n"/>
      <c r="E33" s="14" t="n"/>
      <c r="F33" s="15" t="n"/>
      <c r="G33" s="15" t="n"/>
      <c r="H33" s="14" t="n"/>
      <c r="I33" s="15" t="n"/>
      <c r="J33" s="15" t="n"/>
      <c r="K33" s="16" t="n"/>
    </row>
    <row r="34">
      <c r="A34" s="14" t="n"/>
      <c r="B34" s="14" t="n"/>
      <c r="C34" s="14" t="n"/>
      <c r="D34" s="14" t="n"/>
      <c r="E34" s="14" t="n"/>
      <c r="F34" s="15" t="n"/>
      <c r="G34" s="15" t="n"/>
      <c r="H34" s="14" t="n"/>
      <c r="I34" s="15" t="n"/>
      <c r="J34" s="15" t="n"/>
      <c r="K34" s="16" t="n"/>
    </row>
    <row r="35">
      <c r="A35" s="14" t="n"/>
      <c r="B35" s="14" t="n"/>
      <c r="C35" s="14" t="n"/>
      <c r="D35" s="14" t="n"/>
      <c r="E35" s="14" t="n"/>
      <c r="F35" s="15" t="n"/>
      <c r="G35" s="15" t="n"/>
      <c r="H35" s="14" t="n"/>
      <c r="I35" s="15" t="n"/>
      <c r="J35" s="15" t="n"/>
      <c r="K35" s="16" t="n"/>
    </row>
    <row r="36">
      <c r="A36" s="14" t="n"/>
      <c r="B36" s="14" t="n"/>
      <c r="C36" s="14" t="n"/>
      <c r="D36" s="14" t="n"/>
      <c r="E36" s="14" t="n"/>
      <c r="F36" s="15" t="n"/>
      <c r="G36" s="15" t="n"/>
      <c r="H36" s="14" t="n"/>
      <c r="I36" s="15" t="n"/>
      <c r="J36" s="15" t="n"/>
      <c r="K36" s="16" t="n"/>
    </row>
    <row r="37">
      <c r="A37" s="14" t="n"/>
      <c r="B37" s="14" t="n"/>
      <c r="C37" s="14" t="n"/>
      <c r="D37" s="14" t="n"/>
      <c r="E37" s="14" t="n"/>
      <c r="F37" s="15" t="n"/>
      <c r="G37" s="15" t="n"/>
      <c r="H37" s="14" t="n"/>
      <c r="I37" s="15" t="n"/>
      <c r="J37" s="15" t="n"/>
      <c r="K37" s="16" t="n"/>
    </row>
    <row r="38">
      <c r="A38" s="14" t="n"/>
      <c r="B38" s="14" t="n"/>
      <c r="C38" s="14" t="n"/>
      <c r="D38" s="14" t="n"/>
      <c r="E38" s="14" t="n"/>
      <c r="F38" s="15" t="n"/>
      <c r="G38" s="15" t="n"/>
      <c r="H38" s="14" t="n"/>
      <c r="I38" s="15" t="n"/>
      <c r="J38" s="15" t="n"/>
      <c r="K38" s="16" t="n"/>
    </row>
    <row r="39">
      <c r="A39" s="14" t="n"/>
      <c r="B39" s="14" t="n"/>
      <c r="C39" s="14" t="n"/>
      <c r="D39" s="14" t="n"/>
      <c r="E39" s="14" t="n"/>
      <c r="F39" s="15" t="n"/>
      <c r="G39" s="15" t="n"/>
      <c r="H39" s="14" t="n"/>
      <c r="I39" s="15" t="n"/>
      <c r="J39" s="15" t="n"/>
      <c r="K39" s="16" t="n"/>
    </row>
    <row r="40">
      <c r="A40" s="14" t="n"/>
      <c r="B40" s="14" t="n"/>
      <c r="C40" s="14" t="n"/>
      <c r="D40" s="14" t="n"/>
      <c r="E40" s="14" t="n"/>
      <c r="F40" s="15" t="n"/>
      <c r="G40" s="15" t="n"/>
      <c r="H40" s="14" t="n"/>
      <c r="I40" s="15" t="n"/>
      <c r="J40" s="15" t="n"/>
      <c r="K40" s="16" t="n"/>
    </row>
    <row r="41">
      <c r="A41" s="14" t="n"/>
      <c r="B41" s="14" t="n"/>
      <c r="C41" s="14" t="n"/>
      <c r="D41" s="14" t="n"/>
      <c r="E41" s="14" t="n"/>
      <c r="F41" s="15" t="n"/>
      <c r="G41" s="15" t="n"/>
      <c r="H41" s="14" t="n"/>
      <c r="I41" s="15" t="n"/>
      <c r="J41" s="15" t="n"/>
      <c r="K41" s="16" t="n"/>
    </row>
    <row r="42">
      <c r="A42" s="14" t="n"/>
      <c r="B42" s="14" t="n"/>
      <c r="C42" s="14" t="n"/>
      <c r="D42" s="14" t="n"/>
      <c r="E42" s="14" t="n"/>
      <c r="F42" s="15" t="n"/>
      <c r="G42" s="15" t="n"/>
      <c r="H42" s="14" t="n"/>
      <c r="I42" s="15" t="n"/>
      <c r="J42" s="15" t="n"/>
      <c r="K42" s="16" t="n"/>
    </row>
    <row r="43">
      <c r="A43" s="14" t="n"/>
      <c r="B43" s="14" t="n"/>
      <c r="C43" s="14" t="n"/>
      <c r="D43" s="14" t="n"/>
      <c r="E43" s="14" t="n"/>
      <c r="F43" s="15" t="n"/>
      <c r="G43" s="15" t="n"/>
      <c r="H43" s="14" t="n"/>
      <c r="I43" s="15" t="n"/>
      <c r="J43" s="15" t="n"/>
      <c r="K43" s="16" t="n"/>
    </row>
    <row r="44">
      <c r="A44" s="14" t="n"/>
      <c r="B44" s="14" t="n"/>
      <c r="C44" s="14" t="n"/>
      <c r="D44" s="14" t="n"/>
      <c r="E44" s="14" t="n"/>
      <c r="F44" s="15" t="n"/>
      <c r="G44" s="15" t="n"/>
      <c r="H44" s="14" t="n"/>
      <c r="I44" s="15" t="n"/>
      <c r="J44" s="15" t="n"/>
      <c r="K44" s="16" t="n"/>
    </row>
    <row r="45">
      <c r="A45" s="14" t="n"/>
      <c r="B45" s="14" t="n"/>
      <c r="C45" s="14" t="n"/>
      <c r="D45" s="14" t="n"/>
      <c r="E45" s="14" t="n"/>
      <c r="F45" s="15" t="n"/>
      <c r="G45" s="15" t="n"/>
      <c r="H45" s="14" t="n"/>
      <c r="I45" s="15" t="n"/>
      <c r="J45" s="15" t="n"/>
      <c r="K45" s="16" t="n"/>
    </row>
    <row r="46">
      <c r="A46" s="14" t="n"/>
      <c r="B46" s="14" t="n"/>
      <c r="C46" s="14" t="n"/>
      <c r="D46" s="14" t="n"/>
      <c r="E46" s="14" t="n"/>
      <c r="F46" s="15" t="n"/>
      <c r="G46" s="15" t="n"/>
      <c r="H46" s="14" t="n"/>
      <c r="I46" s="15" t="n"/>
      <c r="J46" s="15" t="n"/>
      <c r="K46" s="16" t="n"/>
    </row>
    <row r="47">
      <c r="A47" s="14" t="n"/>
      <c r="B47" s="14" t="n"/>
      <c r="C47" s="14" t="n"/>
      <c r="D47" s="14" t="n"/>
      <c r="E47" s="14" t="n"/>
      <c r="F47" s="15" t="n"/>
      <c r="G47" s="15" t="n"/>
      <c r="H47" s="14" t="n"/>
      <c r="I47" s="15" t="n"/>
      <c r="J47" s="15" t="n"/>
      <c r="K47" s="16" t="n"/>
    </row>
    <row r="48">
      <c r="A48" s="14" t="n"/>
      <c r="B48" s="14" t="n"/>
      <c r="C48" s="14" t="n"/>
      <c r="D48" s="14" t="n"/>
      <c r="E48" s="14" t="n"/>
      <c r="F48" s="15" t="n"/>
      <c r="G48" s="15" t="n"/>
      <c r="H48" s="14" t="n"/>
      <c r="I48" s="15" t="n"/>
      <c r="J48" s="15" t="n"/>
      <c r="K48" s="16" t="n"/>
    </row>
    <row r="49">
      <c r="A49" s="14" t="n"/>
      <c r="B49" s="14" t="n"/>
      <c r="C49" s="14" t="n"/>
      <c r="D49" s="14" t="n"/>
      <c r="E49" s="14" t="n"/>
      <c r="F49" s="15" t="n"/>
      <c r="G49" s="15" t="n"/>
      <c r="H49" s="14" t="n"/>
      <c r="I49" s="15" t="n"/>
      <c r="J49" s="15" t="n"/>
      <c r="K49" s="16" t="n"/>
    </row>
    <row r="50">
      <c r="A50" s="14" t="n"/>
      <c r="B50" s="14" t="n"/>
      <c r="C50" s="14" t="n"/>
      <c r="D50" s="14" t="n"/>
      <c r="E50" s="14" t="n"/>
      <c r="F50" s="15" t="n"/>
      <c r="G50" s="15" t="n"/>
      <c r="H50" s="14" t="n"/>
      <c r="I50" s="15" t="n"/>
      <c r="J50" s="15" t="n"/>
      <c r="K50" s="16" t="n"/>
    </row>
    <row r="51">
      <c r="A51" s="14" t="n"/>
      <c r="B51" s="14" t="n"/>
      <c r="C51" s="14" t="n"/>
      <c r="D51" s="14" t="n"/>
      <c r="E51" s="14" t="n"/>
      <c r="F51" s="15" t="n"/>
      <c r="G51" s="15" t="n"/>
      <c r="H51" s="14" t="n"/>
      <c r="I51" s="15" t="n"/>
      <c r="J51" s="15" t="n"/>
      <c r="K51" s="16" t="n"/>
    </row>
    <row r="52">
      <c r="A52" s="14" t="n"/>
      <c r="B52" s="14" t="n"/>
      <c r="C52" s="14" t="n"/>
      <c r="D52" s="14" t="n"/>
      <c r="E52" s="14" t="n"/>
      <c r="F52" s="15" t="n"/>
      <c r="G52" s="15" t="n"/>
      <c r="H52" s="14" t="n"/>
      <c r="I52" s="15" t="n"/>
      <c r="J52" s="15" t="n"/>
      <c r="K52" s="16" t="n"/>
    </row>
    <row r="53">
      <c r="A53" s="14" t="n"/>
      <c r="B53" s="14" t="n"/>
      <c r="C53" s="14" t="n"/>
      <c r="D53" s="14" t="n"/>
      <c r="E53" s="14" t="n"/>
      <c r="F53" s="15" t="n"/>
      <c r="G53" s="15" t="n"/>
      <c r="H53" s="14" t="n"/>
      <c r="I53" s="15" t="n"/>
      <c r="J53" s="15" t="n"/>
      <c r="K53" s="16" t="n"/>
    </row>
    <row r="54">
      <c r="A54" s="14" t="n"/>
      <c r="B54" s="14" t="n"/>
      <c r="C54" s="14" t="n"/>
      <c r="D54" s="14" t="n"/>
      <c r="E54" s="14" t="n"/>
      <c r="F54" s="15" t="n"/>
      <c r="G54" s="15" t="n"/>
      <c r="H54" s="14" t="n"/>
      <c r="I54" s="15" t="n"/>
      <c r="J54" s="15" t="n"/>
      <c r="K54" s="16" t="n"/>
    </row>
    <row r="55">
      <c r="A55" s="14" t="n"/>
      <c r="B55" s="14" t="n"/>
      <c r="C55" s="14" t="n"/>
      <c r="D55" s="14" t="n"/>
      <c r="E55" s="14" t="n"/>
      <c r="F55" s="15" t="n"/>
      <c r="G55" s="15" t="n"/>
      <c r="H55" s="14" t="n"/>
      <c r="I55" s="15" t="n"/>
      <c r="J55" s="15" t="n"/>
      <c r="K55" s="16" t="n"/>
    </row>
    <row r="56">
      <c r="A56" s="14" t="n"/>
      <c r="B56" s="14" t="n"/>
      <c r="C56" s="14" t="n"/>
      <c r="D56" s="14" t="n"/>
      <c r="E56" s="14" t="n"/>
      <c r="F56" s="15" t="n"/>
      <c r="G56" s="15" t="n"/>
      <c r="H56" s="14" t="n"/>
      <c r="I56" s="15" t="n"/>
      <c r="J56" s="15" t="n"/>
      <c r="K56" s="16" t="n"/>
    </row>
    <row r="57">
      <c r="A57" s="14" t="n"/>
      <c r="B57" s="14" t="n"/>
      <c r="C57" s="14" t="n"/>
      <c r="D57" s="14" t="n"/>
      <c r="E57" s="14" t="n"/>
      <c r="F57" s="15" t="n"/>
      <c r="G57" s="15" t="n"/>
      <c r="H57" s="14" t="n"/>
      <c r="I57" s="15" t="n"/>
      <c r="J57" s="15" t="n"/>
      <c r="K57" s="16" t="n"/>
    </row>
    <row r="58">
      <c r="A58" s="14" t="n"/>
      <c r="B58" s="14" t="n"/>
      <c r="C58" s="14" t="n"/>
      <c r="D58" s="14" t="n"/>
      <c r="E58" s="14" t="n"/>
      <c r="F58" s="15" t="n"/>
      <c r="G58" s="15" t="n"/>
      <c r="H58" s="14" t="n"/>
      <c r="I58" s="15" t="n"/>
      <c r="J58" s="15" t="n"/>
      <c r="K58" s="16" t="n"/>
    </row>
    <row r="59">
      <c r="A59" s="14" t="n"/>
      <c r="B59" s="14" t="n"/>
      <c r="C59" s="14" t="n"/>
      <c r="D59" s="14" t="n"/>
      <c r="E59" s="14" t="n"/>
      <c r="F59" s="15" t="n"/>
      <c r="G59" s="15" t="n"/>
      <c r="H59" s="14" t="n"/>
      <c r="I59" s="15" t="n"/>
      <c r="J59" s="15" t="n"/>
      <c r="K59" s="16" t="n"/>
    </row>
    <row r="60">
      <c r="A60" s="14" t="n"/>
      <c r="B60" s="14" t="n"/>
      <c r="C60" s="14" t="n"/>
      <c r="D60" s="14" t="n"/>
      <c r="E60" s="14" t="n"/>
      <c r="F60" s="15" t="n"/>
      <c r="G60" s="15" t="n"/>
      <c r="H60" s="14" t="n"/>
      <c r="I60" s="15" t="n"/>
      <c r="J60" s="15" t="n"/>
      <c r="K60" s="16" t="n"/>
    </row>
    <row r="61">
      <c r="A61" s="14" t="n"/>
      <c r="B61" s="14" t="n"/>
      <c r="C61" s="14" t="n"/>
      <c r="D61" s="14" t="n"/>
      <c r="E61" s="14" t="n"/>
      <c r="F61" s="15" t="n"/>
      <c r="G61" s="15" t="n"/>
      <c r="H61" s="14" t="n"/>
      <c r="I61" s="15" t="n"/>
      <c r="J61" s="15" t="n"/>
      <c r="K61" s="16" t="n"/>
    </row>
    <row r="62">
      <c r="A62" s="14" t="n"/>
      <c r="B62" s="14" t="n"/>
      <c r="C62" s="14" t="n"/>
      <c r="D62" s="14" t="n"/>
      <c r="E62" s="14" t="n"/>
      <c r="F62" s="15" t="n"/>
      <c r="G62" s="15" t="n"/>
      <c r="H62" s="14" t="n"/>
      <c r="I62" s="15" t="n"/>
      <c r="J62" s="15" t="n"/>
      <c r="K62" s="16" t="n"/>
    </row>
    <row r="63">
      <c r="A63" s="14" t="n"/>
      <c r="B63" s="14" t="n"/>
      <c r="C63" s="14" t="n"/>
      <c r="D63" s="14" t="n"/>
      <c r="E63" s="14" t="n"/>
      <c r="F63" s="15" t="n"/>
      <c r="G63" s="15" t="n"/>
      <c r="H63" s="14" t="n"/>
      <c r="I63" s="15" t="n"/>
      <c r="J63" s="15" t="n"/>
      <c r="K63" s="16" t="n"/>
    </row>
    <row r="64">
      <c r="A64" s="14" t="n"/>
      <c r="B64" s="14" t="n"/>
      <c r="C64" s="14" t="n"/>
      <c r="D64" s="14" t="n"/>
      <c r="E64" s="14" t="n"/>
      <c r="F64" s="15" t="n"/>
      <c r="G64" s="15" t="n"/>
      <c r="H64" s="14" t="n"/>
      <c r="I64" s="15" t="n"/>
      <c r="J64" s="15" t="n"/>
      <c r="K64" s="16" t="n"/>
    </row>
    <row r="65">
      <c r="A65" s="14" t="n"/>
      <c r="B65" s="14" t="n"/>
      <c r="C65" s="14" t="n"/>
      <c r="D65" s="14" t="n"/>
      <c r="E65" s="14" t="n"/>
      <c r="F65" s="15" t="n"/>
      <c r="G65" s="15" t="n"/>
      <c r="H65" s="14" t="n"/>
      <c r="I65" s="15" t="n"/>
      <c r="J65" s="15" t="n"/>
      <c r="K65" s="16" t="n"/>
    </row>
    <row r="66">
      <c r="A66" s="14" t="n"/>
      <c r="B66" s="14" t="n"/>
      <c r="C66" s="14" t="n"/>
      <c r="D66" s="14" t="n"/>
      <c r="E66" s="14" t="n"/>
      <c r="F66" s="15" t="n"/>
      <c r="G66" s="15" t="n"/>
      <c r="H66" s="14" t="n"/>
      <c r="I66" s="15" t="n"/>
      <c r="J66" s="15" t="n"/>
      <c r="K66" s="16" t="n"/>
    </row>
    <row r="67">
      <c r="A67" s="14" t="n"/>
      <c r="B67" s="14" t="n"/>
      <c r="C67" s="14" t="n"/>
      <c r="D67" s="14" t="n"/>
      <c r="E67" s="14" t="n"/>
      <c r="F67" s="15" t="n"/>
      <c r="G67" s="15" t="n"/>
      <c r="H67" s="14" t="n"/>
      <c r="I67" s="15" t="n"/>
      <c r="J67" s="15" t="n"/>
      <c r="K67" s="16" t="n"/>
    </row>
    <row r="68">
      <c r="A68" s="14" t="n"/>
      <c r="B68" s="14" t="n"/>
      <c r="C68" s="14" t="n"/>
      <c r="D68" s="14" t="n"/>
      <c r="E68" s="14" t="n"/>
      <c r="F68" s="15" t="n"/>
      <c r="G68" s="15" t="n"/>
      <c r="H68" s="14" t="n"/>
      <c r="I68" s="15" t="n"/>
      <c r="J68" s="15" t="n"/>
      <c r="K68" s="16" t="n"/>
    </row>
    <row r="69">
      <c r="A69" s="14" t="n"/>
      <c r="B69" s="14" t="n"/>
      <c r="C69" s="14" t="n"/>
      <c r="D69" s="14" t="n"/>
      <c r="E69" s="14" t="n"/>
      <c r="F69" s="15" t="n"/>
      <c r="G69" s="15" t="n"/>
      <c r="H69" s="14" t="n"/>
      <c r="I69" s="15" t="n"/>
      <c r="J69" s="15" t="n"/>
      <c r="K69" s="16" t="n"/>
    </row>
    <row r="70">
      <c r="A70" s="14" t="n"/>
      <c r="B70" s="14" t="n"/>
      <c r="C70" s="14" t="n"/>
      <c r="D70" s="14" t="n"/>
      <c r="E70" s="14" t="n"/>
      <c r="F70" s="15" t="n"/>
      <c r="G70" s="15" t="n"/>
      <c r="H70" s="14" t="n"/>
      <c r="I70" s="15" t="n"/>
      <c r="J70" s="15" t="n"/>
      <c r="K70" s="16" t="n"/>
    </row>
    <row r="71">
      <c r="A71" s="14" t="n"/>
      <c r="B71" s="14" t="n"/>
      <c r="C71" s="14" t="n"/>
      <c r="D71" s="14" t="n"/>
      <c r="E71" s="14" t="n"/>
      <c r="F71" s="15" t="n"/>
      <c r="G71" s="15" t="n"/>
      <c r="H71" s="14" t="n"/>
      <c r="I71" s="15" t="n"/>
      <c r="J71" s="15" t="n"/>
      <c r="K71" s="16" t="n"/>
    </row>
    <row r="72">
      <c r="A72" s="14" t="n"/>
      <c r="B72" s="14" t="n"/>
      <c r="C72" s="14" t="n"/>
      <c r="D72" s="14" t="n"/>
      <c r="E72" s="14" t="n"/>
      <c r="F72" s="15" t="n"/>
      <c r="G72" s="15" t="n"/>
      <c r="H72" s="14" t="n"/>
      <c r="I72" s="15" t="n"/>
      <c r="J72" s="15" t="n"/>
      <c r="K72" s="16" t="n"/>
    </row>
    <row r="73">
      <c r="A73" s="14" t="n"/>
      <c r="B73" s="14" t="n"/>
      <c r="C73" s="14" t="n"/>
      <c r="D73" s="14" t="n"/>
      <c r="E73" s="14" t="n"/>
      <c r="F73" s="15" t="n"/>
      <c r="G73" s="15" t="n"/>
      <c r="H73" s="14" t="n"/>
      <c r="I73" s="15" t="n"/>
      <c r="J73" s="15" t="n"/>
      <c r="K73" s="16" t="n"/>
    </row>
    <row r="74">
      <c r="A74" s="14" t="n"/>
      <c r="B74" s="14" t="n"/>
      <c r="C74" s="14" t="n"/>
      <c r="D74" s="14" t="n"/>
      <c r="E74" s="14" t="n"/>
      <c r="F74" s="15" t="n"/>
      <c r="G74" s="15" t="n"/>
      <c r="H74" s="14" t="n"/>
      <c r="I74" s="15" t="n"/>
      <c r="J74" s="15" t="n"/>
      <c r="K74" s="16" t="n"/>
    </row>
    <row r="75">
      <c r="A75" s="14" t="n"/>
      <c r="B75" s="14" t="n"/>
      <c r="C75" s="14" t="n"/>
      <c r="D75" s="14" t="n"/>
      <c r="E75" s="14" t="n"/>
      <c r="F75" s="15" t="n"/>
      <c r="G75" s="15" t="n"/>
      <c r="H75" s="14" t="n"/>
      <c r="I75" s="15" t="n"/>
      <c r="J75" s="15" t="n"/>
      <c r="K75" s="16" t="n"/>
    </row>
    <row r="76">
      <c r="A76" s="14" t="n"/>
      <c r="B76" s="14" t="n"/>
      <c r="C76" s="14" t="n"/>
      <c r="D76" s="14" t="n"/>
      <c r="E76" s="14" t="n"/>
      <c r="F76" s="15" t="n"/>
      <c r="G76" s="15" t="n"/>
      <c r="H76" s="14" t="n"/>
      <c r="I76" s="15" t="n"/>
      <c r="J76" s="15" t="n"/>
      <c r="K76" s="16" t="n"/>
    </row>
    <row r="77">
      <c r="A77" s="14" t="n"/>
      <c r="B77" s="14" t="n"/>
      <c r="C77" s="14" t="n"/>
      <c r="D77" s="14" t="n"/>
      <c r="E77" s="14" t="n"/>
      <c r="F77" s="15" t="n"/>
      <c r="G77" s="15" t="n"/>
      <c r="H77" s="14" t="n"/>
      <c r="I77" s="15" t="n"/>
      <c r="J77" s="15" t="n"/>
      <c r="K77" s="16" t="n"/>
    </row>
    <row r="78">
      <c r="A78" s="14" t="n"/>
      <c r="B78" s="14" t="n"/>
      <c r="C78" s="14" t="n"/>
      <c r="D78" s="14" t="n"/>
      <c r="E78" s="14" t="n"/>
      <c r="F78" s="15" t="n"/>
      <c r="G78" s="15" t="n"/>
      <c r="H78" s="14" t="n"/>
      <c r="I78" s="15" t="n"/>
      <c r="J78" s="15" t="n"/>
      <c r="K78" s="16" t="n"/>
    </row>
    <row r="79">
      <c r="A79" s="14" t="n"/>
      <c r="B79" s="14" t="n"/>
      <c r="C79" s="14" t="n"/>
      <c r="D79" s="14" t="n"/>
      <c r="E79" s="14" t="n"/>
      <c r="F79" s="15" t="n"/>
      <c r="G79" s="15" t="n"/>
      <c r="H79" s="14" t="n"/>
      <c r="I79" s="15" t="n"/>
      <c r="J79" s="15" t="n"/>
      <c r="K79" s="16" t="n"/>
    </row>
    <row r="80">
      <c r="A80" s="14" t="n"/>
      <c r="B80" s="14" t="n"/>
      <c r="C80" s="14" t="n"/>
      <c r="D80" s="14" t="n"/>
      <c r="E80" s="14" t="n"/>
      <c r="F80" s="15" t="n"/>
      <c r="G80" s="15" t="n"/>
      <c r="H80" s="14" t="n"/>
      <c r="I80" s="15" t="n"/>
      <c r="J80" s="15" t="n"/>
      <c r="K80" s="16" t="n"/>
    </row>
    <row r="81">
      <c r="A81" s="14" t="n"/>
      <c r="B81" s="14" t="n"/>
      <c r="C81" s="14" t="n"/>
      <c r="D81" s="14" t="n"/>
      <c r="E81" s="14" t="n"/>
      <c r="F81" s="15" t="n"/>
      <c r="G81" s="15" t="n"/>
      <c r="H81" s="14" t="n"/>
      <c r="I81" s="15" t="n"/>
      <c r="J81" s="15" t="n"/>
      <c r="K81" s="16" t="n"/>
    </row>
    <row r="82">
      <c r="A82" s="14" t="n"/>
      <c r="B82" s="14" t="n"/>
      <c r="C82" s="14" t="n"/>
      <c r="D82" s="14" t="n"/>
      <c r="E82" s="14" t="n"/>
      <c r="F82" s="15" t="n"/>
      <c r="G82" s="15" t="n"/>
      <c r="H82" s="14" t="n"/>
      <c r="I82" s="15" t="n"/>
      <c r="J82" s="15" t="n"/>
      <c r="K82" s="16" t="n"/>
    </row>
    <row r="83">
      <c r="A83" s="14" t="n"/>
      <c r="B83" s="14" t="n"/>
      <c r="C83" s="14" t="n"/>
      <c r="D83" s="14" t="n"/>
      <c r="E83" s="14" t="n"/>
      <c r="F83" s="15" t="n"/>
      <c r="G83" s="15" t="n"/>
      <c r="H83" s="14" t="n"/>
      <c r="I83" s="15" t="n"/>
      <c r="J83" s="15" t="n"/>
      <c r="K83" s="16" t="n"/>
    </row>
    <row r="84">
      <c r="A84" s="14" t="n"/>
      <c r="B84" s="14" t="n"/>
      <c r="C84" s="14" t="n"/>
      <c r="D84" s="14" t="n"/>
      <c r="E84" s="14" t="n"/>
      <c r="F84" s="15" t="n"/>
      <c r="G84" s="15" t="n"/>
      <c r="H84" s="14" t="n"/>
      <c r="I84" s="15" t="n"/>
      <c r="J84" s="15" t="n"/>
      <c r="K84" s="16" t="n"/>
    </row>
    <row r="85">
      <c r="A85" s="14" t="n"/>
      <c r="B85" s="14" t="n"/>
      <c r="C85" s="14" t="n"/>
      <c r="D85" s="14" t="n"/>
      <c r="E85" s="14" t="n"/>
      <c r="F85" s="15" t="n"/>
      <c r="G85" s="15" t="n"/>
      <c r="H85" s="14" t="n"/>
      <c r="I85" s="15" t="n"/>
      <c r="J85" s="15" t="n"/>
      <c r="K85" s="16" t="n"/>
    </row>
    <row r="86">
      <c r="A86" s="14" t="n"/>
      <c r="B86" s="14" t="n"/>
      <c r="C86" s="14" t="n"/>
      <c r="D86" s="14" t="n"/>
      <c r="E86" s="14" t="n"/>
      <c r="F86" s="15" t="n"/>
      <c r="G86" s="15" t="n"/>
      <c r="H86" s="14" t="n"/>
      <c r="I86" s="15" t="n"/>
      <c r="J86" s="15" t="n"/>
      <c r="K86" s="16" t="n"/>
    </row>
    <row r="87">
      <c r="A87" s="14" t="n"/>
      <c r="B87" s="14" t="n"/>
      <c r="C87" s="14" t="n"/>
      <c r="D87" s="14" t="n"/>
      <c r="E87" s="14" t="n"/>
      <c r="F87" s="15" t="n"/>
      <c r="G87" s="15" t="n"/>
      <c r="H87" s="14" t="n"/>
      <c r="I87" s="15" t="n"/>
      <c r="J87" s="15" t="n"/>
      <c r="K87" s="16" t="n"/>
    </row>
    <row r="88">
      <c r="A88" s="14" t="n"/>
      <c r="B88" s="14" t="n"/>
      <c r="C88" s="14" t="n"/>
      <c r="D88" s="14" t="n"/>
      <c r="E88" s="14" t="n"/>
      <c r="F88" s="15" t="n"/>
      <c r="G88" s="15" t="n"/>
      <c r="H88" s="14" t="n"/>
      <c r="I88" s="15" t="n"/>
      <c r="J88" s="15" t="n"/>
      <c r="K88" s="16" t="n"/>
    </row>
    <row r="89">
      <c r="A89" s="14" t="n"/>
      <c r="B89" s="14" t="n"/>
      <c r="C89" s="14" t="n"/>
      <c r="D89" s="14" t="n"/>
      <c r="E89" s="14" t="n"/>
      <c r="F89" s="15" t="n"/>
      <c r="G89" s="15" t="n"/>
      <c r="H89" s="14" t="n"/>
      <c r="I89" s="15" t="n"/>
      <c r="J89" s="15" t="n"/>
      <c r="K89" s="16" t="n"/>
    </row>
    <row r="90">
      <c r="A90" s="14" t="n"/>
      <c r="B90" s="14" t="n"/>
      <c r="C90" s="14" t="n"/>
      <c r="D90" s="14" t="n"/>
      <c r="E90" s="14" t="n"/>
      <c r="F90" s="15" t="n"/>
      <c r="G90" s="15" t="n"/>
      <c r="H90" s="14" t="n"/>
      <c r="I90" s="15" t="n"/>
      <c r="J90" s="15" t="n"/>
      <c r="K90" s="16" t="n"/>
    </row>
    <row r="91">
      <c r="A91" s="14" t="n"/>
      <c r="B91" s="14" t="n"/>
      <c r="C91" s="14" t="n"/>
      <c r="D91" s="14" t="n"/>
      <c r="E91" s="14" t="n"/>
      <c r="F91" s="15" t="n"/>
      <c r="G91" s="15" t="n"/>
      <c r="H91" s="14" t="n"/>
      <c r="I91" s="15" t="n"/>
      <c r="J91" s="15" t="n"/>
      <c r="K91" s="16" t="n"/>
    </row>
    <row r="92">
      <c r="A92" s="14" t="n"/>
      <c r="B92" s="14" t="n"/>
      <c r="C92" s="14" t="n"/>
      <c r="D92" s="14" t="n"/>
      <c r="E92" s="14" t="n"/>
      <c r="F92" s="15" t="n"/>
      <c r="G92" s="15" t="n"/>
      <c r="H92" s="14" t="n"/>
      <c r="I92" s="15" t="n"/>
      <c r="J92" s="15" t="n"/>
      <c r="K92" s="16" t="n"/>
    </row>
    <row r="93">
      <c r="A93" s="14" t="n"/>
      <c r="B93" s="14" t="n"/>
      <c r="C93" s="14" t="n"/>
      <c r="D93" s="14" t="n"/>
      <c r="E93" s="14" t="n"/>
      <c r="F93" s="15" t="n"/>
      <c r="G93" s="15" t="n"/>
      <c r="H93" s="14" t="n"/>
      <c r="I93" s="15" t="n"/>
      <c r="J93" s="15" t="n"/>
      <c r="K93" s="16" t="n"/>
    </row>
    <row r="94">
      <c r="A94" s="14" t="n"/>
      <c r="B94" s="14" t="n"/>
      <c r="C94" s="14" t="n"/>
      <c r="D94" s="14" t="n"/>
      <c r="E94" s="14" t="n"/>
      <c r="F94" s="15" t="n"/>
      <c r="G94" s="15" t="n"/>
      <c r="H94" s="14" t="n"/>
      <c r="I94" s="15" t="n"/>
      <c r="J94" s="15" t="n"/>
      <c r="K94" s="16" t="n"/>
    </row>
    <row r="95">
      <c r="A95" s="14" t="n"/>
      <c r="B95" s="14" t="n"/>
      <c r="C95" s="14" t="n"/>
      <c r="D95" s="14" t="n"/>
      <c r="E95" s="14" t="n"/>
      <c r="F95" s="15" t="n"/>
      <c r="G95" s="15" t="n"/>
      <c r="H95" s="14" t="n"/>
      <c r="I95" s="15" t="n"/>
      <c r="J95" s="15" t="n"/>
      <c r="K95" s="16" t="n"/>
    </row>
    <row r="96">
      <c r="A96" s="14" t="n"/>
      <c r="B96" s="14" t="n"/>
      <c r="C96" s="14" t="n"/>
      <c r="D96" s="14" t="n"/>
      <c r="E96" s="14" t="n"/>
      <c r="F96" s="15" t="n"/>
      <c r="G96" s="15" t="n"/>
      <c r="H96" s="14" t="n"/>
      <c r="I96" s="15" t="n"/>
      <c r="J96" s="15" t="n"/>
      <c r="K96" s="16" t="n"/>
    </row>
    <row r="97">
      <c r="A97" s="14" t="n"/>
      <c r="B97" s="14" t="n"/>
      <c r="C97" s="14" t="n"/>
      <c r="D97" s="14" t="n"/>
      <c r="E97" s="14" t="n"/>
      <c r="F97" s="15" t="n"/>
      <c r="G97" s="15" t="n"/>
      <c r="H97" s="14" t="n"/>
      <c r="I97" s="15" t="n"/>
      <c r="J97" s="15" t="n"/>
      <c r="K97" s="16" t="n"/>
    </row>
    <row r="98">
      <c r="A98" s="14" t="n"/>
      <c r="B98" s="14" t="n"/>
      <c r="C98" s="14" t="n"/>
      <c r="D98" s="14" t="n"/>
      <c r="E98" s="14" t="n"/>
      <c r="F98" s="15" t="n"/>
      <c r="G98" s="15" t="n"/>
      <c r="H98" s="14" t="n"/>
      <c r="I98" s="15" t="n"/>
      <c r="J98" s="15" t="n"/>
      <c r="K98" s="16" t="n"/>
    </row>
    <row r="99">
      <c r="A99" s="14" t="n"/>
      <c r="B99" s="14" t="n"/>
      <c r="C99" s="14" t="n"/>
      <c r="D99" s="14" t="n"/>
      <c r="E99" s="14" t="n"/>
      <c r="F99" s="15" t="n"/>
      <c r="G99" s="15" t="n"/>
      <c r="H99" s="14" t="n"/>
      <c r="I99" s="15" t="n"/>
      <c r="J99" s="15" t="n"/>
      <c r="K99" s="16" t="n"/>
    </row>
    <row r="100">
      <c r="A100" s="14" t="n"/>
      <c r="B100" s="14" t="n"/>
      <c r="C100" s="14" t="n"/>
      <c r="D100" s="14" t="n"/>
      <c r="E100" s="14" t="n"/>
      <c r="F100" s="15" t="n"/>
      <c r="G100" s="15" t="n"/>
      <c r="H100" s="14" t="n"/>
      <c r="I100" s="15" t="n"/>
      <c r="J100" s="15" t="n"/>
      <c r="K100" s="16" t="n"/>
    </row>
    <row r="101">
      <c r="A101" s="14" t="n"/>
      <c r="B101" s="14" t="n"/>
      <c r="C101" s="14" t="n"/>
      <c r="D101" s="14" t="n"/>
      <c r="E101" s="14" t="n"/>
      <c r="F101" s="15" t="n"/>
      <c r="G101" s="15" t="n"/>
      <c r="H101" s="14" t="n"/>
      <c r="I101" s="15" t="n"/>
      <c r="J101" s="15" t="n"/>
      <c r="K101" s="16" t="n"/>
    </row>
    <row r="102">
      <c r="A102" s="14" t="n"/>
      <c r="B102" s="14" t="n"/>
      <c r="C102" s="14" t="n"/>
      <c r="D102" s="14" t="n"/>
      <c r="E102" s="14" t="n"/>
      <c r="F102" s="15" t="n"/>
      <c r="G102" s="15" t="n"/>
      <c r="H102" s="14" t="n"/>
      <c r="I102" s="15" t="n"/>
      <c r="J102" s="15" t="n"/>
      <c r="K102" s="16" t="n"/>
    </row>
    <row r="103">
      <c r="A103" s="14" t="n"/>
      <c r="B103" s="14" t="n"/>
      <c r="C103" s="14" t="n"/>
      <c r="D103" s="14" t="n"/>
      <c r="E103" s="14" t="n"/>
      <c r="F103" s="15" t="n"/>
      <c r="G103" s="15" t="n"/>
      <c r="H103" s="14" t="n"/>
      <c r="I103" s="15" t="n"/>
      <c r="J103" s="15" t="n"/>
      <c r="K103" s="16" t="n"/>
    </row>
    <row r="104">
      <c r="A104" s="14" t="n"/>
      <c r="B104" s="14" t="n"/>
      <c r="C104" s="14" t="n"/>
      <c r="D104" s="14" t="n"/>
      <c r="E104" s="14" t="n"/>
      <c r="F104" s="15" t="n"/>
      <c r="G104" s="15" t="n"/>
      <c r="H104" s="14" t="n"/>
      <c r="I104" s="15" t="n"/>
      <c r="J104" s="15" t="n"/>
      <c r="K104" s="16" t="n"/>
    </row>
    <row r="105">
      <c r="A105" s="14" t="n"/>
      <c r="B105" s="14" t="n"/>
      <c r="C105" s="14" t="n"/>
      <c r="D105" s="14" t="n"/>
      <c r="E105" s="14" t="n"/>
      <c r="F105" s="15" t="n"/>
      <c r="G105" s="15" t="n"/>
      <c r="H105" s="14" t="n"/>
      <c r="I105" s="15" t="n"/>
      <c r="J105" s="15" t="n"/>
      <c r="K105" s="16" t="n"/>
    </row>
    <row r="106">
      <c r="A106" s="14" t="n"/>
      <c r="B106" s="14" t="n"/>
      <c r="C106" s="14" t="n"/>
      <c r="D106" s="14" t="n"/>
      <c r="E106" s="14" t="n"/>
      <c r="F106" s="15" t="n"/>
      <c r="G106" s="15" t="n"/>
      <c r="H106" s="14" t="n"/>
      <c r="I106" s="15" t="n"/>
      <c r="J106" s="15" t="n"/>
      <c r="K106" s="16" t="n"/>
    </row>
    <row r="107">
      <c r="A107" s="14" t="n"/>
      <c r="B107" s="14" t="n"/>
      <c r="C107" s="14" t="n"/>
      <c r="D107" s="14" t="n"/>
      <c r="E107" s="14" t="n"/>
      <c r="F107" s="15" t="n"/>
      <c r="G107" s="15" t="n"/>
      <c r="H107" s="14" t="n"/>
      <c r="I107" s="15" t="n"/>
      <c r="J107" s="15" t="n"/>
      <c r="K107" s="16" t="n"/>
    </row>
    <row r="108">
      <c r="A108" s="14" t="n"/>
      <c r="B108" s="14" t="n"/>
      <c r="C108" s="14" t="n"/>
      <c r="D108" s="14" t="n"/>
      <c r="E108" s="14" t="n"/>
      <c r="F108" s="15" t="n"/>
      <c r="G108" s="15" t="n"/>
      <c r="H108" s="14" t="n"/>
      <c r="I108" s="15" t="n"/>
      <c r="J108" s="15" t="n"/>
      <c r="K108" s="16" t="n"/>
    </row>
    <row r="109">
      <c r="A109" s="14" t="n"/>
      <c r="B109" s="14" t="n"/>
      <c r="C109" s="14" t="n"/>
      <c r="D109" s="14" t="n"/>
      <c r="E109" s="14" t="n"/>
      <c r="F109" s="15" t="n"/>
      <c r="G109" s="15" t="n"/>
      <c r="H109" s="14" t="n"/>
      <c r="I109" s="15" t="n"/>
      <c r="J109" s="15" t="n"/>
      <c r="K109" s="16" t="n"/>
    </row>
    <row r="110">
      <c r="A110" s="14" t="n"/>
      <c r="B110" s="14" t="n"/>
      <c r="C110" s="14" t="n"/>
      <c r="D110" s="14" t="n"/>
      <c r="E110" s="14" t="n"/>
      <c r="F110" s="15" t="n"/>
      <c r="G110" s="15" t="n"/>
      <c r="H110" s="14" t="n"/>
      <c r="I110" s="15" t="n"/>
      <c r="J110" s="15" t="n"/>
      <c r="K110" s="16" t="n"/>
    </row>
    <row r="111">
      <c r="A111" s="14" t="n"/>
      <c r="B111" s="14" t="n"/>
      <c r="C111" s="14" t="n"/>
      <c r="D111" s="14" t="n"/>
      <c r="E111" s="14" t="n"/>
      <c r="F111" s="15" t="n"/>
      <c r="G111" s="15" t="n"/>
      <c r="H111" s="14" t="n"/>
      <c r="I111" s="15" t="n"/>
      <c r="J111" s="15" t="n"/>
      <c r="K111" s="16" t="n"/>
    </row>
    <row r="112">
      <c r="A112" s="14" t="n"/>
      <c r="B112" s="14" t="n"/>
      <c r="C112" s="14" t="n"/>
      <c r="D112" s="14" t="n"/>
      <c r="E112" s="14" t="n"/>
      <c r="F112" s="15" t="n"/>
      <c r="G112" s="15" t="n"/>
      <c r="H112" s="14" t="n"/>
      <c r="I112" s="15" t="n"/>
      <c r="J112" s="15" t="n"/>
      <c r="K112" s="16" t="n"/>
    </row>
    <row r="113">
      <c r="A113" s="14" t="n"/>
      <c r="B113" s="14" t="n"/>
      <c r="C113" s="14" t="n"/>
      <c r="D113" s="14" t="n"/>
      <c r="E113" s="14" t="n"/>
      <c r="F113" s="15" t="n"/>
      <c r="G113" s="15" t="n"/>
      <c r="H113" s="14" t="n"/>
      <c r="I113" s="15" t="n"/>
      <c r="J113" s="15" t="n"/>
      <c r="K113" s="16" t="n"/>
    </row>
    <row r="114">
      <c r="A114" s="14" t="n"/>
      <c r="B114" s="14" t="n"/>
      <c r="C114" s="14" t="n"/>
      <c r="D114" s="14" t="n"/>
      <c r="E114" s="14" t="n"/>
      <c r="F114" s="15" t="n"/>
      <c r="G114" s="15" t="n"/>
      <c r="H114" s="14" t="n"/>
      <c r="I114" s="15" t="n"/>
      <c r="J114" s="15" t="n"/>
      <c r="K114" s="16" t="n"/>
    </row>
    <row r="115">
      <c r="A115" s="14" t="n"/>
      <c r="B115" s="14" t="n"/>
      <c r="C115" s="14" t="n"/>
      <c r="D115" s="14" t="n"/>
      <c r="E115" s="14" t="n"/>
      <c r="F115" s="15" t="n"/>
      <c r="G115" s="15" t="n"/>
      <c r="H115" s="14" t="n"/>
      <c r="I115" s="15" t="n"/>
      <c r="J115" s="15" t="n"/>
      <c r="K115" s="16" t="n"/>
    </row>
    <row r="116">
      <c r="A116" s="14" t="n"/>
      <c r="B116" s="14" t="n"/>
      <c r="C116" s="14" t="n"/>
      <c r="D116" s="14" t="n"/>
      <c r="E116" s="14" t="n"/>
      <c r="F116" s="15" t="n"/>
      <c r="G116" s="15" t="n"/>
      <c r="H116" s="14" t="n"/>
      <c r="I116" s="15" t="n"/>
      <c r="J116" s="15" t="n"/>
      <c r="K116" s="16" t="n"/>
    </row>
    <row r="117">
      <c r="A117" s="14" t="n"/>
      <c r="B117" s="14" t="n"/>
      <c r="C117" s="14" t="n"/>
      <c r="D117" s="14" t="n"/>
      <c r="E117" s="14" t="n"/>
      <c r="F117" s="15" t="n"/>
      <c r="G117" s="15" t="n"/>
      <c r="H117" s="14" t="n"/>
      <c r="I117" s="15" t="n"/>
      <c r="J117" s="15" t="n"/>
      <c r="K117" s="16" t="n"/>
    </row>
    <row r="118">
      <c r="A118" s="14" t="n"/>
      <c r="B118" s="14" t="n"/>
      <c r="C118" s="14" t="n"/>
      <c r="D118" s="14" t="n"/>
      <c r="E118" s="14" t="n"/>
      <c r="F118" s="15" t="n"/>
      <c r="G118" s="15" t="n"/>
      <c r="H118" s="14" t="n"/>
      <c r="I118" s="15" t="n"/>
      <c r="J118" s="15" t="n"/>
      <c r="K118" s="16" t="n"/>
    </row>
    <row r="119">
      <c r="A119" s="14" t="n"/>
      <c r="B119" s="14" t="n"/>
      <c r="C119" s="14" t="n"/>
      <c r="D119" s="14" t="n"/>
      <c r="E119" s="14" t="n"/>
      <c r="F119" s="15" t="n"/>
      <c r="G119" s="15" t="n"/>
      <c r="H119" s="14" t="n"/>
      <c r="I119" s="15" t="n"/>
      <c r="J119" s="15" t="n"/>
      <c r="K119" s="16" t="n"/>
    </row>
    <row r="120">
      <c r="A120" s="14" t="n"/>
      <c r="B120" s="14" t="n"/>
      <c r="C120" s="14" t="n"/>
      <c r="D120" s="14" t="n"/>
      <c r="E120" s="14" t="n"/>
      <c r="F120" s="15" t="n"/>
      <c r="G120" s="15" t="n"/>
      <c r="H120" s="14" t="n"/>
      <c r="I120" s="15" t="n"/>
      <c r="J120" s="15" t="n"/>
      <c r="K120" s="16" t="n"/>
    </row>
    <row r="121">
      <c r="A121" s="14" t="n"/>
      <c r="B121" s="14" t="n"/>
      <c r="C121" s="14" t="n"/>
      <c r="D121" s="14" t="n"/>
      <c r="E121" s="14" t="n"/>
      <c r="F121" s="15" t="n"/>
      <c r="G121" s="15" t="n"/>
      <c r="H121" s="14" t="n"/>
      <c r="I121" s="15" t="n"/>
      <c r="J121" s="15" t="n"/>
      <c r="K121" s="16" t="n"/>
    </row>
    <row r="122">
      <c r="A122" s="14" t="n"/>
      <c r="B122" s="14" t="n"/>
      <c r="C122" s="14" t="n"/>
      <c r="D122" s="14" t="n"/>
      <c r="E122" s="14" t="n"/>
      <c r="F122" s="15" t="n"/>
      <c r="G122" s="15" t="n"/>
      <c r="H122" s="14" t="n"/>
      <c r="I122" s="15" t="n"/>
      <c r="J122" s="15" t="n"/>
      <c r="K122" s="16" t="n"/>
    </row>
    <row r="123">
      <c r="A123" s="14" t="n"/>
      <c r="B123" s="14" t="n"/>
      <c r="C123" s="14" t="n"/>
      <c r="D123" s="14" t="n"/>
      <c r="E123" s="14" t="n"/>
      <c r="F123" s="15" t="n"/>
      <c r="G123" s="15" t="n"/>
      <c r="H123" s="14" t="n"/>
      <c r="I123" s="15" t="n"/>
      <c r="J123" s="15" t="n"/>
      <c r="K123" s="16" t="n"/>
    </row>
    <row r="124">
      <c r="A124" s="14" t="n"/>
      <c r="B124" s="14" t="n"/>
      <c r="C124" s="14" t="n"/>
      <c r="D124" s="14" t="n"/>
      <c r="E124" s="14" t="n"/>
      <c r="F124" s="15" t="n"/>
      <c r="G124" s="15" t="n"/>
      <c r="H124" s="14" t="n"/>
      <c r="I124" s="15" t="n"/>
      <c r="J124" s="15" t="n"/>
      <c r="K124" s="16" t="n"/>
    </row>
    <row r="125">
      <c r="A125" s="14" t="n"/>
      <c r="B125" s="14" t="n"/>
      <c r="C125" s="14" t="n"/>
      <c r="D125" s="14" t="n"/>
      <c r="E125" s="14" t="n"/>
      <c r="F125" s="15" t="n"/>
      <c r="G125" s="15" t="n"/>
      <c r="H125" s="14" t="n"/>
      <c r="I125" s="15" t="n"/>
      <c r="J125" s="15" t="n"/>
      <c r="K125" s="16" t="n"/>
    </row>
    <row r="126">
      <c r="A126" s="14" t="n"/>
      <c r="B126" s="14" t="n"/>
      <c r="C126" s="14" t="n"/>
      <c r="D126" s="14" t="n"/>
      <c r="E126" s="14" t="n"/>
      <c r="F126" s="15" t="n"/>
      <c r="G126" s="15" t="n"/>
      <c r="H126" s="14" t="n"/>
      <c r="I126" s="15" t="n"/>
      <c r="J126" s="15" t="n"/>
      <c r="K126" s="16" t="n"/>
    </row>
    <row r="127">
      <c r="A127" s="14" t="n"/>
      <c r="B127" s="14" t="n"/>
      <c r="C127" s="14" t="n"/>
      <c r="D127" s="14" t="n"/>
      <c r="E127" s="14" t="n"/>
      <c r="F127" s="15" t="n"/>
      <c r="G127" s="15" t="n"/>
      <c r="H127" s="14" t="n"/>
      <c r="I127" s="15" t="n"/>
      <c r="J127" s="15" t="n"/>
      <c r="K127" s="16" t="n"/>
    </row>
    <row r="128">
      <c r="A128" s="14" t="n"/>
      <c r="B128" s="14" t="n"/>
      <c r="C128" s="14" t="n"/>
      <c r="D128" s="14" t="n"/>
      <c r="E128" s="14" t="n"/>
      <c r="F128" s="15" t="n"/>
      <c r="G128" s="15" t="n"/>
      <c r="H128" s="14" t="n"/>
      <c r="I128" s="15" t="n"/>
      <c r="J128" s="15" t="n"/>
      <c r="K128" s="16" t="n"/>
    </row>
    <row r="129">
      <c r="A129" s="14" t="n"/>
      <c r="B129" s="14" t="n"/>
      <c r="C129" s="14" t="n"/>
      <c r="D129" s="14" t="n"/>
      <c r="E129" s="14" t="n"/>
      <c r="F129" s="15" t="n"/>
      <c r="G129" s="15" t="n"/>
      <c r="H129" s="14" t="n"/>
      <c r="I129" s="15" t="n"/>
      <c r="J129" s="15" t="n"/>
      <c r="K129" s="16" t="n"/>
    </row>
    <row r="130">
      <c r="A130" s="14" t="n"/>
      <c r="B130" s="14" t="n"/>
      <c r="C130" s="14" t="n"/>
      <c r="D130" s="14" t="n"/>
      <c r="E130" s="14" t="n"/>
      <c r="F130" s="15" t="n"/>
      <c r="G130" s="15" t="n"/>
      <c r="H130" s="14" t="n"/>
      <c r="I130" s="15" t="n"/>
      <c r="J130" s="15" t="n"/>
      <c r="K130" s="16" t="n"/>
    </row>
    <row r="131">
      <c r="A131" s="14" t="n"/>
      <c r="B131" s="14" t="n"/>
      <c r="C131" s="14" t="n"/>
      <c r="D131" s="14" t="n"/>
      <c r="E131" s="14" t="n"/>
      <c r="F131" s="15" t="n"/>
      <c r="G131" s="15" t="n"/>
      <c r="H131" s="14" t="n"/>
      <c r="I131" s="15" t="n"/>
      <c r="J131" s="15" t="n"/>
      <c r="K131" s="16" t="n"/>
    </row>
    <row r="132">
      <c r="A132" s="14" t="n"/>
      <c r="B132" s="14" t="n"/>
      <c r="C132" s="14" t="n"/>
      <c r="D132" s="14" t="n"/>
      <c r="E132" s="14" t="n"/>
      <c r="F132" s="15" t="n"/>
      <c r="G132" s="15" t="n"/>
      <c r="H132" s="14" t="n"/>
      <c r="I132" s="15" t="n"/>
      <c r="J132" s="15" t="n"/>
      <c r="K132" s="16" t="n"/>
    </row>
    <row r="133">
      <c r="A133" s="14" t="n"/>
      <c r="B133" s="14" t="n"/>
      <c r="C133" s="14" t="n"/>
      <c r="D133" s="14" t="n"/>
      <c r="E133" s="14" t="n"/>
      <c r="F133" s="15" t="n"/>
      <c r="G133" s="15" t="n"/>
      <c r="H133" s="14" t="n"/>
      <c r="I133" s="15" t="n"/>
      <c r="J133" s="15" t="n"/>
      <c r="K133" s="16" t="n"/>
    </row>
    <row r="134">
      <c r="A134" s="14" t="n"/>
      <c r="B134" s="14" t="n"/>
      <c r="C134" s="14" t="n"/>
      <c r="D134" s="14" t="n"/>
      <c r="E134" s="14" t="n"/>
      <c r="F134" s="15" t="n"/>
      <c r="G134" s="15" t="n"/>
      <c r="H134" s="14" t="n"/>
      <c r="I134" s="15" t="n"/>
      <c r="J134" s="15" t="n"/>
      <c r="K134" s="16" t="n"/>
    </row>
    <row r="135">
      <c r="A135" s="14" t="n"/>
      <c r="B135" s="14" t="n"/>
      <c r="C135" s="14" t="n"/>
      <c r="D135" s="14" t="n"/>
      <c r="E135" s="14" t="n"/>
      <c r="F135" s="15" t="n"/>
      <c r="G135" s="15" t="n"/>
      <c r="H135" s="14" t="n"/>
      <c r="I135" s="15" t="n"/>
      <c r="J135" s="15" t="n"/>
      <c r="K135" s="16" t="n"/>
    </row>
    <row r="136">
      <c r="A136" s="14" t="n"/>
      <c r="B136" s="14" t="n"/>
      <c r="C136" s="14" t="n"/>
      <c r="D136" s="14" t="n"/>
      <c r="E136" s="14" t="n"/>
      <c r="F136" s="15" t="n"/>
      <c r="G136" s="15" t="n"/>
      <c r="H136" s="14" t="n"/>
      <c r="I136" s="15" t="n"/>
      <c r="J136" s="15" t="n"/>
      <c r="K136" s="16" t="n"/>
    </row>
    <row r="137">
      <c r="A137" s="14" t="n"/>
      <c r="B137" s="14" t="n"/>
      <c r="C137" s="14" t="n"/>
      <c r="D137" s="14" t="n"/>
      <c r="E137" s="14" t="n"/>
      <c r="F137" s="15" t="n"/>
      <c r="G137" s="15" t="n"/>
      <c r="H137" s="14" t="n"/>
      <c r="I137" s="15" t="n"/>
      <c r="J137" s="15" t="n"/>
      <c r="K137" s="16" t="n"/>
    </row>
    <row r="138">
      <c r="A138" s="14" t="n"/>
      <c r="B138" s="14" t="n"/>
      <c r="C138" s="14" t="n"/>
      <c r="D138" s="14" t="n"/>
      <c r="E138" s="14" t="n"/>
      <c r="F138" s="15" t="n"/>
      <c r="G138" s="15" t="n"/>
      <c r="H138" s="14" t="n"/>
      <c r="I138" s="15" t="n"/>
      <c r="J138" s="15" t="n"/>
      <c r="K138" s="16" t="n"/>
    </row>
    <row r="139">
      <c r="A139" s="14" t="n"/>
      <c r="B139" s="14" t="n"/>
      <c r="C139" s="14" t="n"/>
      <c r="D139" s="14" t="n"/>
      <c r="E139" s="14" t="n"/>
      <c r="F139" s="15" t="n"/>
      <c r="G139" s="15" t="n"/>
      <c r="H139" s="14" t="n"/>
      <c r="I139" s="15" t="n"/>
      <c r="J139" s="15" t="n"/>
      <c r="K139" s="16" t="n"/>
    </row>
    <row r="140">
      <c r="A140" s="14" t="n"/>
      <c r="B140" s="14" t="n"/>
      <c r="C140" s="14" t="n"/>
      <c r="D140" s="14" t="n"/>
      <c r="E140" s="14" t="n"/>
      <c r="F140" s="15" t="n"/>
      <c r="G140" s="15" t="n"/>
      <c r="H140" s="14" t="n"/>
      <c r="I140" s="15" t="n"/>
      <c r="J140" s="15" t="n"/>
      <c r="K140" s="16" t="n"/>
    </row>
    <row r="141">
      <c r="A141" s="14" t="n"/>
      <c r="B141" s="14" t="n"/>
      <c r="C141" s="14" t="n"/>
      <c r="D141" s="14" t="n"/>
      <c r="E141" s="14" t="n"/>
      <c r="F141" s="15" t="n"/>
      <c r="G141" s="15" t="n"/>
      <c r="H141" s="14" t="n"/>
      <c r="I141" s="15" t="n"/>
      <c r="J141" s="15" t="n"/>
      <c r="K141" s="16" t="n"/>
    </row>
    <row r="142">
      <c r="A142" s="14" t="n"/>
      <c r="B142" s="14" t="n"/>
      <c r="C142" s="14" t="n"/>
      <c r="D142" s="14" t="n"/>
      <c r="E142" s="14" t="n"/>
      <c r="F142" s="15" t="n"/>
      <c r="G142" s="15" t="n"/>
      <c r="H142" s="14" t="n"/>
      <c r="I142" s="15" t="n"/>
      <c r="J142" s="15" t="n"/>
      <c r="K142" s="16" t="n"/>
    </row>
    <row r="143">
      <c r="A143" s="14" t="n"/>
      <c r="B143" s="14" t="n"/>
      <c r="C143" s="14" t="n"/>
      <c r="D143" s="14" t="n"/>
      <c r="E143" s="14" t="n"/>
      <c r="F143" s="15" t="n"/>
      <c r="G143" s="15" t="n"/>
      <c r="H143" s="14" t="n"/>
      <c r="I143" s="15" t="n"/>
      <c r="J143" s="15" t="n"/>
      <c r="K143" s="16" t="n"/>
    </row>
    <row r="144">
      <c r="A144" s="14" t="n"/>
      <c r="B144" s="14" t="n"/>
      <c r="C144" s="14" t="n"/>
      <c r="D144" s="14" t="n"/>
      <c r="E144" s="14" t="n"/>
      <c r="F144" s="15" t="n"/>
      <c r="G144" s="15" t="n"/>
      <c r="H144" s="14" t="n"/>
      <c r="I144" s="15" t="n"/>
      <c r="J144" s="15" t="n"/>
      <c r="K144" s="16" t="n"/>
    </row>
    <row r="145">
      <c r="A145" s="14" t="n"/>
      <c r="B145" s="14" t="n"/>
      <c r="C145" s="14" t="n"/>
      <c r="D145" s="14" t="n"/>
      <c r="E145" s="14" t="n"/>
      <c r="F145" s="15" t="n"/>
      <c r="G145" s="15" t="n"/>
      <c r="H145" s="14" t="n"/>
      <c r="I145" s="15" t="n"/>
      <c r="J145" s="15" t="n"/>
      <c r="K145" s="16" t="n"/>
    </row>
    <row r="146">
      <c r="A146" s="14" t="n"/>
      <c r="B146" s="14" t="n"/>
      <c r="C146" s="14" t="n"/>
      <c r="D146" s="14" t="n"/>
      <c r="E146" s="14" t="n"/>
      <c r="F146" s="15" t="n"/>
      <c r="G146" s="15" t="n"/>
      <c r="H146" s="14" t="n"/>
      <c r="I146" s="15" t="n"/>
      <c r="J146" s="15" t="n"/>
      <c r="K146" s="16" t="n"/>
    </row>
    <row r="147">
      <c r="A147" s="14" t="n"/>
      <c r="B147" s="14" t="n"/>
      <c r="C147" s="14" t="n"/>
      <c r="D147" s="14" t="n"/>
      <c r="E147" s="14" t="n"/>
      <c r="F147" s="15" t="n"/>
      <c r="G147" s="15" t="n"/>
      <c r="H147" s="14" t="n"/>
      <c r="I147" s="15" t="n"/>
      <c r="J147" s="15" t="n"/>
      <c r="K147" s="16" t="n"/>
    </row>
    <row r="148">
      <c r="A148" s="14" t="n"/>
      <c r="B148" s="14" t="n"/>
      <c r="C148" s="14" t="n"/>
      <c r="D148" s="14" t="n"/>
      <c r="E148" s="14" t="n"/>
      <c r="F148" s="15" t="n"/>
      <c r="G148" s="15" t="n"/>
      <c r="H148" s="14" t="n"/>
      <c r="I148" s="15" t="n"/>
      <c r="J148" s="15" t="n"/>
      <c r="K148" s="16" t="n"/>
    </row>
    <row r="149">
      <c r="A149" s="14" t="n"/>
      <c r="B149" s="14" t="n"/>
      <c r="C149" s="14" t="n"/>
      <c r="D149" s="14" t="n"/>
      <c r="E149" s="14" t="n"/>
      <c r="F149" s="15" t="n"/>
      <c r="G149" s="15" t="n"/>
      <c r="H149" s="14" t="n"/>
      <c r="I149" s="15" t="n"/>
      <c r="J149" s="15" t="n"/>
      <c r="K149" s="16" t="n"/>
    </row>
    <row r="150">
      <c r="A150" s="14" t="n"/>
      <c r="B150" s="14" t="n"/>
      <c r="C150" s="14" t="n"/>
      <c r="D150" s="14" t="n"/>
      <c r="E150" s="14" t="n"/>
      <c r="F150" s="15" t="n"/>
      <c r="G150" s="15" t="n"/>
      <c r="H150" s="14" t="n"/>
      <c r="I150" s="15" t="n"/>
      <c r="J150" s="15" t="n"/>
      <c r="K150" s="16" t="n"/>
    </row>
    <row r="151">
      <c r="A151" s="14" t="n"/>
      <c r="B151" s="14" t="n"/>
      <c r="C151" s="14" t="n"/>
      <c r="D151" s="14" t="n"/>
      <c r="E151" s="14" t="n"/>
      <c r="F151" s="15" t="n"/>
      <c r="G151" s="15" t="n"/>
      <c r="H151" s="14" t="n"/>
      <c r="I151" s="15" t="n"/>
      <c r="J151" s="15" t="n"/>
      <c r="K151" s="16" t="n"/>
    </row>
    <row r="152">
      <c r="A152" s="14" t="n"/>
      <c r="B152" s="14" t="n"/>
      <c r="C152" s="14" t="n"/>
      <c r="D152" s="14" t="n"/>
      <c r="E152" s="14" t="n"/>
      <c r="F152" s="15" t="n"/>
      <c r="G152" s="15" t="n"/>
      <c r="H152" s="14" t="n"/>
      <c r="I152" s="15" t="n"/>
      <c r="J152" s="15" t="n"/>
      <c r="K152" s="16" t="n"/>
    </row>
    <row r="153">
      <c r="A153" s="14" t="n"/>
      <c r="B153" s="14" t="n"/>
      <c r="C153" s="14" t="n"/>
      <c r="D153" s="14" t="n"/>
      <c r="E153" s="14" t="n"/>
      <c r="F153" s="15" t="n"/>
      <c r="G153" s="15" t="n"/>
      <c r="H153" s="14" t="n"/>
      <c r="I153" s="15" t="n"/>
      <c r="J153" s="15" t="n"/>
      <c r="K153" s="16" t="n"/>
    </row>
    <row r="154">
      <c r="A154" s="14" t="n"/>
      <c r="B154" s="14" t="n"/>
      <c r="C154" s="14" t="n"/>
      <c r="D154" s="14" t="n"/>
      <c r="E154" s="14" t="n"/>
      <c r="F154" s="15" t="n"/>
      <c r="G154" s="15" t="n"/>
      <c r="H154" s="14" t="n"/>
      <c r="I154" s="15" t="n"/>
      <c r="J154" s="15" t="n"/>
      <c r="K154" s="16" t="n"/>
    </row>
    <row r="155">
      <c r="A155" s="14" t="n"/>
      <c r="B155" s="14" t="n"/>
      <c r="C155" s="14" t="n"/>
      <c r="D155" s="14" t="n"/>
      <c r="E155" s="14" t="n"/>
      <c r="F155" s="15" t="n"/>
      <c r="G155" s="15" t="n"/>
      <c r="H155" s="14" t="n"/>
      <c r="I155" s="15" t="n"/>
      <c r="J155" s="15" t="n"/>
      <c r="K155" s="16" t="n"/>
    </row>
    <row r="156">
      <c r="A156" s="14" t="n"/>
      <c r="B156" s="14" t="n"/>
      <c r="C156" s="14" t="n"/>
      <c r="D156" s="14" t="n"/>
      <c r="E156" s="14" t="n"/>
      <c r="F156" s="15" t="n"/>
      <c r="G156" s="15" t="n"/>
      <c r="H156" s="14" t="n"/>
      <c r="I156" s="15" t="n"/>
      <c r="J156" s="15" t="n"/>
      <c r="K156" s="16" t="n"/>
    </row>
    <row r="157">
      <c r="A157" s="14" t="n"/>
      <c r="B157" s="14" t="n"/>
      <c r="C157" s="14" t="n"/>
      <c r="D157" s="14" t="n"/>
      <c r="E157" s="14" t="n"/>
      <c r="F157" s="15" t="n"/>
      <c r="G157" s="15" t="n"/>
      <c r="H157" s="14" t="n"/>
      <c r="I157" s="15" t="n"/>
      <c r="J157" s="15" t="n"/>
      <c r="K157" s="16" t="n"/>
    </row>
    <row r="158">
      <c r="A158" s="14" t="n"/>
      <c r="B158" s="14" t="n"/>
      <c r="C158" s="14" t="n"/>
      <c r="D158" s="14" t="n"/>
      <c r="E158" s="14" t="n"/>
      <c r="F158" s="15" t="n"/>
      <c r="G158" s="15" t="n"/>
      <c r="H158" s="14" t="n"/>
      <c r="I158" s="15" t="n"/>
      <c r="J158" s="15" t="n"/>
      <c r="K158" s="16" t="n"/>
    </row>
    <row r="159">
      <c r="A159" s="14" t="n"/>
      <c r="B159" s="14" t="n"/>
      <c r="C159" s="14" t="n"/>
      <c r="D159" s="14" t="n"/>
      <c r="E159" s="14" t="n"/>
      <c r="F159" s="15" t="n"/>
      <c r="G159" s="15" t="n"/>
      <c r="H159" s="14" t="n"/>
      <c r="I159" s="15" t="n"/>
      <c r="J159" s="15" t="n"/>
      <c r="K159" s="16" t="n"/>
    </row>
    <row r="160">
      <c r="A160" s="14" t="n"/>
      <c r="B160" s="14" t="n"/>
      <c r="C160" s="14" t="n"/>
      <c r="D160" s="14" t="n"/>
      <c r="E160" s="14" t="n"/>
      <c r="F160" s="15" t="n"/>
      <c r="G160" s="15" t="n"/>
      <c r="H160" s="14" t="n"/>
      <c r="I160" s="15" t="n"/>
      <c r="J160" s="15" t="n"/>
      <c r="K160" s="16" t="n"/>
    </row>
    <row r="161">
      <c r="A161" s="14" t="n"/>
      <c r="B161" s="14" t="n"/>
      <c r="C161" s="14" t="n"/>
      <c r="D161" s="14" t="n"/>
      <c r="E161" s="14" t="n"/>
      <c r="F161" s="15" t="n"/>
      <c r="G161" s="15" t="n"/>
      <c r="H161" s="14" t="n"/>
      <c r="I161" s="15" t="n"/>
      <c r="J161" s="15" t="n"/>
      <c r="K161" s="16" t="n"/>
    </row>
    <row r="162">
      <c r="A162" s="14" t="n"/>
      <c r="B162" s="14" t="n"/>
      <c r="C162" s="14" t="n"/>
      <c r="D162" s="14" t="n"/>
      <c r="E162" s="14" t="n"/>
      <c r="F162" s="15" t="n"/>
      <c r="G162" s="15" t="n"/>
      <c r="H162" s="14" t="n"/>
      <c r="I162" s="15" t="n"/>
      <c r="J162" s="15" t="n"/>
      <c r="K162" s="16" t="n"/>
    </row>
    <row r="163">
      <c r="A163" s="14" t="n"/>
      <c r="B163" s="14" t="n"/>
      <c r="C163" s="14" t="n"/>
      <c r="D163" s="14" t="n"/>
      <c r="E163" s="14" t="n"/>
      <c r="F163" s="15" t="n"/>
      <c r="G163" s="15" t="n"/>
      <c r="H163" s="14" t="n"/>
      <c r="I163" s="15" t="n"/>
      <c r="J163" s="15" t="n"/>
      <c r="K163" s="16" t="n"/>
    </row>
    <row r="164">
      <c r="A164" s="14" t="n"/>
      <c r="B164" s="14" t="n"/>
      <c r="C164" s="14" t="n"/>
      <c r="D164" s="14" t="n"/>
      <c r="E164" s="14" t="n"/>
      <c r="F164" s="15" t="n"/>
      <c r="G164" s="15" t="n"/>
      <c r="H164" s="14" t="n"/>
      <c r="I164" s="15" t="n"/>
      <c r="J164" s="15" t="n"/>
      <c r="K164" s="16" t="n"/>
    </row>
    <row r="165">
      <c r="A165" s="14" t="n"/>
      <c r="B165" s="14" t="n"/>
      <c r="C165" s="14" t="n"/>
      <c r="D165" s="14" t="n"/>
      <c r="E165" s="14" t="n"/>
      <c r="F165" s="15" t="n"/>
      <c r="G165" s="15" t="n"/>
      <c r="H165" s="14" t="n"/>
      <c r="I165" s="15" t="n"/>
      <c r="J165" s="15" t="n"/>
      <c r="K165" s="16" t="n"/>
    </row>
    <row r="166">
      <c r="A166" s="14" t="n"/>
      <c r="B166" s="14" t="n"/>
      <c r="C166" s="14" t="n"/>
      <c r="D166" s="14" t="n"/>
      <c r="E166" s="14" t="n"/>
      <c r="F166" s="15" t="n"/>
      <c r="G166" s="15" t="n"/>
      <c r="H166" s="14" t="n"/>
      <c r="I166" s="15" t="n"/>
      <c r="J166" s="15" t="n"/>
      <c r="K166" s="16" t="n"/>
    </row>
    <row r="167">
      <c r="A167" s="14" t="n"/>
      <c r="B167" s="14" t="n"/>
      <c r="C167" s="14" t="n"/>
      <c r="D167" s="14" t="n"/>
      <c r="E167" s="14" t="n"/>
      <c r="F167" s="15" t="n"/>
      <c r="G167" s="15" t="n"/>
      <c r="H167" s="14" t="n"/>
      <c r="I167" s="15" t="n"/>
      <c r="J167" s="15" t="n"/>
      <c r="K167" s="16" t="n"/>
    </row>
    <row r="168">
      <c r="A168" s="14" t="n"/>
      <c r="B168" s="14" t="n"/>
      <c r="C168" s="14" t="n"/>
      <c r="D168" s="14" t="n"/>
      <c r="E168" s="14" t="n"/>
      <c r="F168" s="15" t="n"/>
      <c r="G168" s="15" t="n"/>
      <c r="H168" s="14" t="n"/>
      <c r="I168" s="15" t="n"/>
      <c r="J168" s="15" t="n"/>
      <c r="K168" s="16" t="n"/>
    </row>
    <row r="169">
      <c r="A169" s="14" t="n"/>
      <c r="B169" s="14" t="n"/>
      <c r="C169" s="14" t="n"/>
      <c r="D169" s="14" t="n"/>
      <c r="E169" s="14" t="n"/>
      <c r="F169" s="15" t="n"/>
      <c r="G169" s="15" t="n"/>
      <c r="H169" s="14" t="n"/>
      <c r="I169" s="15" t="n"/>
      <c r="J169" s="15" t="n"/>
      <c r="K169" s="16" t="n"/>
    </row>
    <row r="170">
      <c r="A170" s="14" t="n"/>
      <c r="B170" s="14" t="n"/>
      <c r="C170" s="14" t="n"/>
      <c r="D170" s="14" t="n"/>
      <c r="E170" s="14" t="n"/>
      <c r="F170" s="15" t="n"/>
      <c r="G170" s="15" t="n"/>
      <c r="H170" s="14" t="n"/>
      <c r="I170" s="15" t="n"/>
      <c r="J170" s="15" t="n"/>
      <c r="K170" s="16" t="n"/>
    </row>
    <row r="171">
      <c r="A171" s="14" t="n"/>
      <c r="B171" s="14" t="n"/>
      <c r="C171" s="14" t="n"/>
      <c r="D171" s="14" t="n"/>
      <c r="E171" s="14" t="n"/>
      <c r="F171" s="15" t="n"/>
      <c r="G171" s="15" t="n"/>
      <c r="H171" s="14" t="n"/>
      <c r="I171" s="15" t="n"/>
      <c r="J171" s="15" t="n"/>
      <c r="K171" s="16" t="n"/>
    </row>
    <row r="172">
      <c r="A172" s="14" t="n"/>
      <c r="B172" s="14" t="n"/>
      <c r="C172" s="14" t="n"/>
      <c r="D172" s="14" t="n"/>
      <c r="E172" s="14" t="n"/>
      <c r="F172" s="15" t="n"/>
      <c r="G172" s="15" t="n"/>
      <c r="H172" s="14" t="n"/>
      <c r="I172" s="15" t="n"/>
      <c r="J172" s="15" t="n"/>
      <c r="K172" s="16" t="n"/>
    </row>
    <row r="173">
      <c r="A173" s="14" t="n"/>
      <c r="B173" s="14" t="n"/>
      <c r="C173" s="14" t="n"/>
      <c r="D173" s="14" t="n"/>
      <c r="E173" s="14" t="n"/>
      <c r="F173" s="15" t="n"/>
      <c r="G173" s="15" t="n"/>
      <c r="H173" s="14" t="n"/>
      <c r="I173" s="15" t="n"/>
      <c r="J173" s="15" t="n"/>
      <c r="K173" s="16" t="n"/>
    </row>
    <row r="174">
      <c r="A174" s="14" t="n"/>
      <c r="B174" s="14" t="n"/>
      <c r="C174" s="14" t="n"/>
      <c r="D174" s="14" t="n"/>
      <c r="E174" s="14" t="n"/>
      <c r="F174" s="15" t="n"/>
      <c r="G174" s="15" t="n"/>
      <c r="H174" s="14" t="n"/>
      <c r="I174" s="15" t="n"/>
      <c r="J174" s="15" t="n"/>
      <c r="K174" s="16" t="n"/>
    </row>
    <row r="175">
      <c r="A175" s="14" t="n"/>
      <c r="B175" s="14" t="n"/>
      <c r="C175" s="14" t="n"/>
      <c r="D175" s="14" t="n"/>
      <c r="E175" s="14" t="n"/>
      <c r="F175" s="15" t="n"/>
      <c r="G175" s="15" t="n"/>
      <c r="H175" s="14" t="n"/>
      <c r="I175" s="15" t="n"/>
      <c r="J175" s="15" t="n"/>
      <c r="K175" s="16" t="n"/>
    </row>
    <row r="176">
      <c r="A176" s="14" t="n"/>
      <c r="B176" s="14" t="n"/>
      <c r="C176" s="14" t="n"/>
      <c r="D176" s="14" t="n"/>
      <c r="E176" s="14" t="n"/>
      <c r="F176" s="15" t="n"/>
      <c r="G176" s="15" t="n"/>
      <c r="H176" s="14" t="n"/>
      <c r="I176" s="15" t="n"/>
      <c r="J176" s="15" t="n"/>
      <c r="K176" s="16" t="n"/>
    </row>
    <row r="177">
      <c r="A177" s="14" t="n"/>
      <c r="B177" s="14" t="n"/>
      <c r="C177" s="14" t="n"/>
      <c r="D177" s="14" t="n"/>
      <c r="E177" s="14" t="n"/>
      <c r="F177" s="15" t="n"/>
      <c r="G177" s="15" t="n"/>
      <c r="H177" s="14" t="n"/>
      <c r="I177" s="15" t="n"/>
      <c r="J177" s="15" t="n"/>
      <c r="K177" s="16" t="n"/>
    </row>
    <row r="178">
      <c r="A178" s="14" t="n"/>
      <c r="B178" s="14" t="n"/>
      <c r="C178" s="14" t="n"/>
      <c r="D178" s="14" t="n"/>
      <c r="E178" s="14" t="n"/>
      <c r="F178" s="15" t="n"/>
      <c r="G178" s="15" t="n"/>
      <c r="H178" s="14" t="n"/>
      <c r="I178" s="15" t="n"/>
      <c r="J178" s="15" t="n"/>
      <c r="K178" s="16" t="n"/>
    </row>
    <row r="179">
      <c r="A179" s="14" t="n"/>
      <c r="B179" s="14" t="n"/>
      <c r="C179" s="14" t="n"/>
      <c r="D179" s="14" t="n"/>
      <c r="E179" s="14" t="n"/>
      <c r="F179" s="15" t="n"/>
      <c r="G179" s="15" t="n"/>
      <c r="H179" s="14" t="n"/>
      <c r="I179" s="15" t="n"/>
      <c r="J179" s="15" t="n"/>
      <c r="K179" s="16" t="n"/>
    </row>
    <row r="180">
      <c r="A180" s="14" t="n"/>
      <c r="B180" s="14" t="n"/>
      <c r="C180" s="14" t="n"/>
      <c r="D180" s="14" t="n"/>
      <c r="E180" s="14" t="n"/>
      <c r="F180" s="15" t="n"/>
      <c r="G180" s="15" t="n"/>
      <c r="H180" s="14" t="n"/>
      <c r="I180" s="15" t="n"/>
      <c r="J180" s="15" t="n"/>
      <c r="K180" s="16" t="n"/>
    </row>
    <row r="181">
      <c r="A181" s="14" t="n"/>
      <c r="B181" s="14" t="n"/>
      <c r="C181" s="14" t="n"/>
      <c r="D181" s="14" t="n"/>
      <c r="E181" s="14" t="n"/>
      <c r="F181" s="15" t="n"/>
      <c r="G181" s="15" t="n"/>
      <c r="H181" s="14" t="n"/>
      <c r="I181" s="15" t="n"/>
      <c r="J181" s="15" t="n"/>
      <c r="K181" s="16" t="n"/>
    </row>
    <row r="182">
      <c r="A182" s="14" t="n"/>
      <c r="B182" s="14" t="n"/>
      <c r="C182" s="14" t="n"/>
      <c r="D182" s="14" t="n"/>
      <c r="E182" s="14" t="n"/>
      <c r="F182" s="15" t="n"/>
      <c r="G182" s="15" t="n"/>
      <c r="H182" s="14" t="n"/>
      <c r="I182" s="15" t="n"/>
      <c r="J182" s="15" t="n"/>
      <c r="K182" s="16" t="n"/>
    </row>
    <row r="183">
      <c r="A183" s="14" t="n"/>
      <c r="B183" s="14" t="n"/>
      <c r="C183" s="14" t="n"/>
      <c r="D183" s="14" t="n"/>
      <c r="E183" s="14" t="n"/>
      <c r="F183" s="15" t="n"/>
      <c r="G183" s="15" t="n"/>
      <c r="H183" s="14" t="n"/>
      <c r="I183" s="15" t="n"/>
      <c r="J183" s="15" t="n"/>
      <c r="K183" s="16" t="n"/>
    </row>
    <row r="184">
      <c r="A184" s="14" t="n"/>
      <c r="B184" s="14" t="n"/>
      <c r="C184" s="14" t="n"/>
      <c r="D184" s="14" t="n"/>
      <c r="E184" s="14" t="n"/>
      <c r="F184" s="15" t="n"/>
      <c r="G184" s="15" t="n"/>
      <c r="H184" s="14" t="n"/>
      <c r="I184" s="15" t="n"/>
      <c r="J184" s="15" t="n"/>
      <c r="K184" s="16" t="n"/>
    </row>
    <row r="185">
      <c r="A185" s="14" t="n"/>
      <c r="B185" s="14" t="n"/>
      <c r="C185" s="14" t="n"/>
      <c r="D185" s="14" t="n"/>
      <c r="E185" s="14" t="n"/>
      <c r="F185" s="15" t="n"/>
      <c r="G185" s="15" t="n"/>
      <c r="H185" s="14" t="n"/>
      <c r="I185" s="15" t="n"/>
      <c r="J185" s="15" t="n"/>
      <c r="K185" s="16" t="n"/>
    </row>
    <row r="186">
      <c r="A186" s="14" t="n"/>
      <c r="B186" s="14" t="n"/>
      <c r="C186" s="14" t="n"/>
      <c r="D186" s="14" t="n"/>
      <c r="E186" s="14" t="n"/>
      <c r="F186" s="15" t="n"/>
      <c r="G186" s="15" t="n"/>
      <c r="H186" s="14" t="n"/>
      <c r="I186" s="15" t="n"/>
      <c r="J186" s="15" t="n"/>
      <c r="K186" s="16" t="n"/>
    </row>
    <row r="187">
      <c r="A187" s="14" t="n"/>
      <c r="B187" s="14" t="n"/>
      <c r="C187" s="14" t="n"/>
      <c r="D187" s="14" t="n"/>
      <c r="E187" s="14" t="n"/>
      <c r="F187" s="15" t="n"/>
      <c r="G187" s="15" t="n"/>
      <c r="H187" s="14" t="n"/>
      <c r="I187" s="15" t="n"/>
      <c r="J187" s="15" t="n"/>
      <c r="K187" s="16" t="n"/>
    </row>
    <row r="188">
      <c r="A188" s="14" t="n"/>
      <c r="B188" s="14" t="n"/>
      <c r="C188" s="14" t="n"/>
      <c r="D188" s="14" t="n"/>
      <c r="E188" s="14" t="n"/>
      <c r="F188" s="15" t="n"/>
      <c r="G188" s="15" t="n"/>
      <c r="H188" s="14" t="n"/>
      <c r="I188" s="15" t="n"/>
      <c r="J188" s="15" t="n"/>
      <c r="K188" s="16" t="n"/>
    </row>
    <row r="189">
      <c r="A189" s="14" t="n"/>
      <c r="B189" s="14" t="n"/>
      <c r="C189" s="14" t="n"/>
      <c r="D189" s="14" t="n"/>
      <c r="E189" s="14" t="n"/>
      <c r="F189" s="15" t="n"/>
      <c r="G189" s="15" t="n"/>
      <c r="H189" s="14" t="n"/>
      <c r="I189" s="15" t="n"/>
      <c r="J189" s="15" t="n"/>
      <c r="K189" s="16" t="n"/>
    </row>
    <row r="190">
      <c r="A190" s="14" t="n"/>
      <c r="B190" s="14" t="n"/>
      <c r="C190" s="14" t="n"/>
      <c r="D190" s="14" t="n"/>
      <c r="E190" s="14" t="n"/>
      <c r="F190" s="15" t="n"/>
      <c r="G190" s="15" t="n"/>
      <c r="H190" s="14" t="n"/>
      <c r="I190" s="15" t="n"/>
      <c r="J190" s="15" t="n"/>
      <c r="K190" s="16" t="n"/>
    </row>
    <row r="191">
      <c r="A191" s="14" t="n"/>
      <c r="B191" s="14" t="n"/>
      <c r="C191" s="14" t="n"/>
      <c r="D191" s="14" t="n"/>
      <c r="E191" s="14" t="n"/>
      <c r="F191" s="15" t="n"/>
      <c r="G191" s="15" t="n"/>
      <c r="H191" s="14" t="n"/>
      <c r="I191" s="15" t="n"/>
      <c r="J191" s="15" t="n"/>
      <c r="K191" s="16" t="n"/>
    </row>
    <row r="192">
      <c r="A192" s="14" t="n"/>
      <c r="B192" s="14" t="n"/>
      <c r="C192" s="14" t="n"/>
      <c r="D192" s="14" t="n"/>
      <c r="E192" s="14" t="n"/>
      <c r="F192" s="15" t="n"/>
      <c r="G192" s="15" t="n"/>
      <c r="H192" s="14" t="n"/>
      <c r="I192" s="15" t="n"/>
      <c r="J192" s="15" t="n"/>
      <c r="K192" s="16" t="n"/>
    </row>
    <row r="193">
      <c r="A193" s="14" t="n"/>
      <c r="B193" s="14" t="n"/>
      <c r="C193" s="14" t="n"/>
      <c r="D193" s="14" t="n"/>
      <c r="E193" s="14" t="n"/>
      <c r="F193" s="15" t="n"/>
      <c r="G193" s="15" t="n"/>
      <c r="H193" s="14" t="n"/>
      <c r="I193" s="15" t="n"/>
      <c r="J193" s="15" t="n"/>
      <c r="K193" s="16" t="n"/>
    </row>
    <row r="194">
      <c r="A194" s="14" t="n"/>
      <c r="B194" s="14" t="n"/>
      <c r="C194" s="14" t="n"/>
      <c r="D194" s="14" t="n"/>
      <c r="E194" s="14" t="n"/>
      <c r="F194" s="15" t="n"/>
      <c r="G194" s="15" t="n"/>
      <c r="H194" s="14" t="n"/>
      <c r="I194" s="15" t="n"/>
      <c r="J194" s="15" t="n"/>
      <c r="K194" s="16" t="n"/>
    </row>
    <row r="195">
      <c r="A195" s="14" t="n"/>
      <c r="B195" s="14" t="n"/>
      <c r="C195" s="14" t="n"/>
      <c r="D195" s="14" t="n"/>
      <c r="E195" s="14" t="n"/>
      <c r="F195" s="15" t="n"/>
      <c r="G195" s="15" t="n"/>
      <c r="H195" s="14" t="n"/>
      <c r="I195" s="15" t="n"/>
      <c r="J195" s="15" t="n"/>
      <c r="K195" s="16" t="n"/>
    </row>
    <row r="196">
      <c r="A196" s="14" t="n"/>
      <c r="B196" s="14" t="n"/>
      <c r="C196" s="14" t="n"/>
      <c r="D196" s="14" t="n"/>
      <c r="E196" s="14" t="n"/>
      <c r="F196" s="15" t="n"/>
      <c r="G196" s="15" t="n"/>
      <c r="H196" s="14" t="n"/>
      <c r="I196" s="15" t="n"/>
      <c r="J196" s="15" t="n"/>
      <c r="K196" s="16" t="n"/>
    </row>
    <row r="197">
      <c r="A197" s="14" t="n"/>
      <c r="B197" s="14" t="n"/>
      <c r="C197" s="14" t="n"/>
      <c r="D197" s="14" t="n"/>
      <c r="E197" s="14" t="n"/>
      <c r="F197" s="15" t="n"/>
      <c r="G197" s="15" t="n"/>
      <c r="H197" s="14" t="n"/>
      <c r="I197" s="15" t="n"/>
      <c r="J197" s="15" t="n"/>
      <c r="K197" s="16" t="n"/>
    </row>
    <row r="198">
      <c r="A198" s="14" t="n"/>
      <c r="B198" s="14" t="n"/>
      <c r="C198" s="14" t="n"/>
      <c r="D198" s="14" t="n"/>
      <c r="E198" s="14" t="n"/>
      <c r="F198" s="15" t="n"/>
      <c r="G198" s="15" t="n"/>
      <c r="H198" s="14" t="n"/>
      <c r="I198" s="15" t="n"/>
      <c r="J198" s="15" t="n"/>
      <c r="K198" s="16" t="n"/>
    </row>
    <row r="199">
      <c r="A199" s="14" t="n"/>
      <c r="B199" s="14" t="n"/>
      <c r="C199" s="14" t="n"/>
      <c r="D199" s="14" t="n"/>
      <c r="E199" s="14" t="n"/>
      <c r="F199" s="15" t="n"/>
      <c r="G199" s="15" t="n"/>
      <c r="H199" s="14" t="n"/>
      <c r="I199" s="15" t="n"/>
      <c r="J199" s="15" t="n"/>
      <c r="K199" s="16" t="n"/>
    </row>
    <row r="200">
      <c r="A200" s="14" t="n"/>
      <c r="B200" s="14" t="n"/>
      <c r="C200" s="14" t="n"/>
      <c r="D200" s="14" t="n"/>
      <c r="E200" s="14" t="n"/>
      <c r="F200" s="15" t="n"/>
      <c r="G200" s="15" t="n"/>
      <c r="H200" s="14" t="n"/>
      <c r="I200" s="15" t="n"/>
      <c r="J200" s="15" t="n"/>
      <c r="K200" s="16" t="n"/>
    </row>
    <row r="201">
      <c r="A201" s="14" t="n"/>
      <c r="B201" s="14" t="n"/>
      <c r="C201" s="14" t="n"/>
      <c r="D201" s="14" t="n"/>
      <c r="E201" s="14" t="n"/>
      <c r="F201" s="15" t="n"/>
      <c r="G201" s="15" t="n"/>
      <c r="H201" s="14" t="n"/>
      <c r="I201" s="15" t="n"/>
      <c r="J201" s="15" t="n"/>
      <c r="K201" s="16" t="n"/>
    </row>
    <row r="202">
      <c r="A202" s="14" t="n"/>
      <c r="B202" s="14" t="n"/>
      <c r="C202" s="14" t="n"/>
      <c r="D202" s="14" t="n"/>
      <c r="E202" s="14" t="n"/>
      <c r="F202" s="15" t="n"/>
      <c r="G202" s="15" t="n"/>
      <c r="H202" s="14" t="n"/>
      <c r="I202" s="15" t="n"/>
      <c r="J202" s="15" t="n"/>
      <c r="K202" s="16" t="n"/>
    </row>
    <row r="203">
      <c r="A203" s="14" t="n"/>
      <c r="B203" s="14" t="n"/>
      <c r="C203" s="14" t="n"/>
      <c r="D203" s="14" t="n"/>
      <c r="E203" s="14" t="n"/>
      <c r="F203" s="15" t="n"/>
      <c r="G203" s="15" t="n"/>
      <c r="H203" s="14" t="n"/>
      <c r="I203" s="15" t="n"/>
      <c r="J203" s="15" t="n"/>
      <c r="K203" s="16" t="n"/>
    </row>
  </sheetData>
  <mergeCells count="2">
    <mergeCell ref="A2:K2"/>
    <mergeCell ref="D1:H1"/>
  </mergeCells>
  <dataValidations count="5">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s>
  <pageMargins left="0.75" right="0.75" top="1" bottom="1" header="0.5" footer="0.5"/>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sheetPr>
  <dimension ref="A1:BQ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 hidden="1" width="13" customWidth="1" min="62" max="62"/>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TABLEAU DE BORD — PLAN DE CHARGE DU BUREAU D'ÉTUDES</t>
        </is>
      </c>
      <c r="AQ2" s="18" t="n"/>
      <c r="AR2" s="18" t="n"/>
      <c r="AS2" s="18" t="n"/>
      <c r="AT2" s="18" t="n"/>
      <c r="AU2" s="18" t="n"/>
      <c r="AV2" s="18" t="n"/>
      <c r="AW2" s="18" t="n"/>
      <c r="AX2" s="18" t="n"/>
      <c r="AY2" s="18" t="n"/>
      <c r="AZ2" s="18" t="n"/>
      <c r="BA2" s="20" t="n"/>
      <c r="BH2" s="18" t="n"/>
      <c r="BI2" s="17" t="n"/>
    </row>
    <row r="3" ht="16" customHeight="1">
      <c r="A3" s="17" t="n"/>
      <c r="B3" s="18" t="n"/>
      <c r="C3" s="21" t="inlineStr">
        <is>
          <t>Synthèse automatique de l'onglet Charge : mettre à jour Charge et Data, le tableau de bord se recalcule seul.</t>
        </is>
      </c>
      <c r="AS3" s="18" t="n"/>
      <c r="AT3" s="22" t="n"/>
      <c r="BH3" s="18" t="n"/>
      <c r="BI3" s="17" t="n"/>
    </row>
    <row r="4" ht="16" customHeight="1">
      <c r="A4" s="17" t="n"/>
      <c r="B4" s="18" t="n"/>
      <c r="C4" s="23" t="str">
        <f>Calculs!$AL$40</f>
        <v>Projets en cours  ·  lissage en jours ouvrés jusqu'au besoin  ·  120 h/pers. dont 20 h hors projet</v>
      </c>
      <c r="AE4" s="18" t="n"/>
      <c r="AF4" s="24"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5" t="inlineStr">
        <is>
          <t>Périmètre</t>
        </is>
      </c>
      <c r="C6" s="26" t="n"/>
      <c r="D6" s="26" t="n"/>
      <c r="E6" s="26" t="n"/>
      <c r="F6" s="27" t="inlineStr">
        <is>
          <t>Projets en cours</t>
        </is>
      </c>
      <c r="G6" s="28" t="n"/>
      <c r="H6" s="28" t="n"/>
      <c r="I6" s="28" t="n"/>
      <c r="J6" s="28" t="n"/>
      <c r="K6" s="28" t="n"/>
      <c r="L6" s="29" t="n"/>
      <c r="M6" s="30" t="n"/>
      <c r="N6" s="31" t="inlineStr">
        <is>
          <t>Répartition</t>
        </is>
      </c>
      <c r="O6" s="26" t="n"/>
      <c r="P6" s="26" t="n"/>
      <c r="Q6" s="26" t="n"/>
      <c r="R6" s="27" t="inlineStr">
        <is>
          <t>Lissée jusqu'à la date de besoin</t>
        </is>
      </c>
      <c r="S6" s="28" t="n"/>
      <c r="T6" s="28" t="n"/>
      <c r="U6" s="28" t="n"/>
      <c r="V6" s="28" t="n"/>
      <c r="W6" s="28" t="n"/>
      <c r="X6" s="28" t="n"/>
      <c r="Y6" s="28" t="n"/>
      <c r="Z6" s="28" t="n"/>
      <c r="AA6" s="28" t="n"/>
      <c r="AB6" s="28" t="n"/>
      <c r="AC6" s="28" t="n"/>
      <c r="AD6" s="29" t="n"/>
      <c r="AE6" s="31" t="inlineStr">
        <is>
          <t>1er mois affiché</t>
        </is>
      </c>
      <c r="AF6" s="26" t="n"/>
      <c r="AG6" s="26" t="n"/>
      <c r="AH6" s="26" t="n"/>
      <c r="AI6" s="26" t="n"/>
      <c r="AJ6" s="26" t="n"/>
      <c r="AK6" s="32" t="n"/>
      <c r="AL6" s="28" t="n"/>
      <c r="AM6" s="28" t="n"/>
      <c r="AN6" s="28" t="n"/>
      <c r="AO6" s="29" t="n"/>
      <c r="AP6" s="30" t="n"/>
      <c r="AQ6" s="31" t="inlineStr">
        <is>
          <t>Capacité</t>
        </is>
      </c>
      <c r="AR6" s="26" t="n"/>
      <c r="AS6" s="26" t="n"/>
      <c r="AT6" s="26" t="n"/>
      <c r="AU6" s="33" t="n">
        <v>120</v>
      </c>
      <c r="AV6" s="28" t="n"/>
      <c r="AW6" s="28" t="n"/>
      <c r="AX6" s="29" t="n"/>
      <c r="AY6" s="30" t="n"/>
      <c r="AZ6" s="31" t="inlineStr">
        <is>
          <t>Charge fixe</t>
        </is>
      </c>
      <c r="BA6" s="26" t="n"/>
      <c r="BB6" s="26" t="n"/>
      <c r="BC6" s="26" t="n"/>
      <c r="BD6" s="33" t="n">
        <v>20</v>
      </c>
      <c r="BE6" s="28" t="n"/>
      <c r="BF6" s="28" t="n"/>
      <c r="BG6" s="28" t="n"/>
      <c r="BH6" s="29" t="n"/>
      <c r="BI6" s="17" t="n"/>
    </row>
    <row r="7" ht="14" customHeight="1">
      <c r="A7" s="17" t="n"/>
      <c r="B7" s="34" t="n"/>
      <c r="C7" s="35" t="n"/>
      <c r="D7" s="35" t="n"/>
      <c r="E7" s="35" t="n"/>
      <c r="F7" s="36" t="str">
        <f>IF(aide_Dashboard="Oui","En cours = avancement &lt; 100 %","")</f>
        <v>En cours = avancement &lt; 100 %</v>
      </c>
      <c r="G7" s="37" t="n"/>
      <c r="H7" s="37" t="n"/>
      <c r="I7" s="37" t="n"/>
      <c r="J7" s="37" t="n"/>
      <c r="K7" s="37" t="n"/>
      <c r="L7" s="37" t="n"/>
      <c r="M7" s="35" t="n"/>
      <c r="N7" s="35" t="n"/>
      <c r="O7" s="35" t="n"/>
      <c r="P7" s="35" t="n"/>
      <c r="Q7" s="35" t="n"/>
      <c r="R7" s="36" t="str">
        <f>IF(aide_Dashboard="Oui",IF(p_Repartition="Tout sur le mois de début","Toute la charge sur le mois de début planifié","Prorata des jours ouvrés entre début planifié et date de besoin"),"")</f>
        <v>Prorata des jours ouvrés entre début planifié et date de besoin</v>
      </c>
      <c r="S7" s="37" t="n"/>
      <c r="T7" s="37" t="n"/>
      <c r="U7" s="37" t="n"/>
      <c r="V7" s="37" t="n"/>
      <c r="W7" s="37" t="n"/>
      <c r="X7" s="37" t="n"/>
      <c r="Y7" s="37" t="n"/>
      <c r="Z7" s="37" t="n"/>
      <c r="AA7" s="37" t="n"/>
      <c r="AB7" s="37" t="n"/>
      <c r="AC7" s="37" t="n"/>
      <c r="AD7" s="37" t="n"/>
      <c r="AE7" s="35" t="n"/>
      <c r="AF7" s="35" t="n"/>
      <c r="AG7" s="35" t="n"/>
      <c r="AH7" s="35" t="n"/>
      <c r="AI7" s="35" t="n"/>
      <c r="AJ7" s="35" t="n"/>
      <c r="AK7" s="38">
        <f>IF(aide_Dashboard="Oui",IF(ISNUMBER(p_PremierMois),"Saisi manuellement",Calculs!$AL$13),"")</f>
        <v>46266.0</v>
      </c>
      <c r="AL7" s="37" t="n"/>
      <c r="AM7" s="37" t="n"/>
      <c r="AN7" s="37" t="n"/>
      <c r="AO7" s="37" t="n"/>
      <c r="AP7" s="35" t="n"/>
      <c r="AQ7" s="35" t="n"/>
      <c r="AR7" s="35" t="n"/>
      <c r="AS7" s="35" t="n"/>
      <c r="AT7" s="35" t="n"/>
      <c r="AU7" s="36" t="str">
        <f>IF(aide_Dashboard="Oui","par personne · propre : Data F / I","")</f>
        <v>par personne · propre : Data F / I</v>
      </c>
      <c r="AV7" s="37" t="n"/>
      <c r="AW7" s="37" t="n"/>
      <c r="AX7" s="37" t="n"/>
      <c r="AY7" s="35" t="n"/>
      <c r="AZ7" s="35" t="n"/>
      <c r="BA7" s="35" t="n"/>
      <c r="BB7" s="35" t="n"/>
      <c r="BC7" s="35" t="n"/>
      <c r="BD7" s="39" t="str">
        <f>IF(aide_Dashboard="Oui","hors projet · propre : Data G / J","")</f>
        <v>hors projet · propre : Data G / J</v>
      </c>
      <c r="BE7" s="37" t="n"/>
      <c r="BF7" s="37" t="n"/>
      <c r="BG7" s="37" t="n"/>
      <c r="BH7" s="40" t="n"/>
      <c r="BI7" s="17" t="n"/>
    </row>
    <row r="8" ht="24" customHeight="1">
      <c r="A8" s="17" t="n"/>
      <c r="B8" s="41" t="str">
        <f>IF(p_Perimetre="Tous les projets","TOUS LES PROJETS","PROJETS EN COURS")</f>
        <v>PROJETS EN COURS</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3" t="str">
        <f>IF(Calculs!$CD$27&gt;0,"Attention : "&amp;Calculs!$CD$27&amp;" ligne(s) de Charge ont un dessinateur ET une ressource externe (en rouge dans Charge)","")</f>
        <v/>
      </c>
      <c r="AA8" s="44" t="n"/>
      <c r="AB8" s="44" t="n"/>
      <c r="AC8" s="44" t="n"/>
      <c r="AD8" s="44" t="n"/>
      <c r="AE8" s="44" t="n"/>
      <c r="AF8" s="44" t="n"/>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45" t="n"/>
      <c r="C10" s="30" t="n"/>
      <c r="D10" s="30" t="n"/>
      <c r="E10" s="30" t="n"/>
      <c r="F10" s="30" t="n"/>
      <c r="G10" s="30" t="n"/>
      <c r="H10" s="30" t="n"/>
      <c r="I10" s="30" t="n"/>
      <c r="J10" s="30" t="n"/>
      <c r="K10" s="30" t="n"/>
      <c r="L10" s="30" t="n"/>
      <c r="M10" s="30" t="n"/>
      <c r="N10" s="30" t="n"/>
      <c r="O10" s="46" t="n"/>
      <c r="P10" s="17" t="n"/>
      <c r="Q10" s="45" t="n"/>
      <c r="R10" s="30" t="n"/>
      <c r="S10" s="30" t="n"/>
      <c r="T10" s="30" t="n"/>
      <c r="U10" s="30" t="n"/>
      <c r="V10" s="30" t="n"/>
      <c r="W10" s="30" t="n"/>
      <c r="X10" s="30" t="n"/>
      <c r="Y10" s="30" t="n"/>
      <c r="Z10" s="30" t="n"/>
      <c r="AA10" s="30" t="n"/>
      <c r="AB10" s="30" t="n"/>
      <c r="AC10" s="30" t="n"/>
      <c r="AD10" s="46" t="n"/>
      <c r="AE10" s="17" t="n"/>
      <c r="AF10" s="45" t="n"/>
      <c r="AG10" s="30" t="n"/>
      <c r="AH10" s="30" t="n"/>
      <c r="AI10" s="30" t="n"/>
      <c r="AJ10" s="30" t="n"/>
      <c r="AK10" s="30" t="n"/>
      <c r="AL10" s="30" t="n"/>
      <c r="AM10" s="30" t="n"/>
      <c r="AN10" s="30" t="n"/>
      <c r="AO10" s="30" t="n"/>
      <c r="AP10" s="30" t="n"/>
      <c r="AQ10" s="30" t="n"/>
      <c r="AR10" s="30" t="n"/>
      <c r="AS10" s="46" t="n"/>
      <c r="AT10" s="17" t="n"/>
      <c r="AU10" s="47" t="n"/>
      <c r="AV10" s="48" t="n"/>
      <c r="AW10" s="48" t="n"/>
      <c r="AX10" s="48" t="n"/>
      <c r="AY10" s="48" t="n"/>
      <c r="AZ10" s="48" t="n"/>
      <c r="BA10" s="48" t="n"/>
      <c r="BB10" s="48" t="n"/>
      <c r="BC10" s="48" t="n"/>
      <c r="BD10" s="48" t="n"/>
      <c r="BE10" s="48" t="n"/>
      <c r="BF10" s="48" t="n"/>
      <c r="BG10" s="48" t="n"/>
      <c r="BH10" s="49" t="n"/>
      <c r="BI10" s="17" t="n"/>
    </row>
    <row r="11" ht="18" customHeight="1">
      <c r="A11" s="17" t="n"/>
      <c r="B11" s="50" t="n"/>
      <c r="C11" s="51" t="inlineStr">
        <is>
          <t>CHEFS DE PROJET</t>
        </is>
      </c>
      <c r="O11" s="52" t="n"/>
      <c r="P11" s="17" t="n"/>
      <c r="Q11" s="50" t="n"/>
      <c r="R11" s="51" t="inlineStr">
        <is>
          <t>PROGRAMMES SUIVIS</t>
        </is>
      </c>
      <c r="AD11" s="52" t="n"/>
      <c r="AE11" s="17" t="n"/>
      <c r="AF11" s="50" t="n"/>
      <c r="AG11" s="51" t="inlineStr">
        <is>
          <t>CHARGE IDENTIFIÉE</t>
        </is>
      </c>
      <c r="AS11" s="52" t="n"/>
      <c r="AT11" s="17" t="n"/>
      <c r="AU11" s="53" t="n"/>
      <c r="AV11" s="54" t="inlineStr">
        <is>
          <t>★  PLUS GROS RESTE À FAIRE</t>
        </is>
      </c>
      <c r="BH11" s="55" t="n"/>
      <c r="BI11" s="17" t="n"/>
    </row>
    <row r="12" ht="34" customHeight="1">
      <c r="A12" s="17" t="n"/>
      <c r="B12" s="50" t="n"/>
      <c r="C12" s="56">
        <f>Calculs!$AL$6</f>
        <v>5</v>
      </c>
      <c r="O12" s="52" t="n"/>
      <c r="P12" s="17" t="n"/>
      <c r="Q12" s="50" t="n"/>
      <c r="R12" s="56">
        <f>Calculs!$AL$7</f>
        <v>7</v>
      </c>
      <c r="AD12" s="52" t="n"/>
      <c r="AE12" s="17" t="n"/>
      <c r="AF12" s="50" t="n"/>
      <c r="AG12" s="57">
        <f>Calculs!$AL$4</f>
        <v>3455</v>
      </c>
      <c r="AS12" s="52" t="n"/>
      <c r="AT12" s="17" t="n"/>
      <c r="AU12" s="53" t="n"/>
      <c r="AV12" s="58">
        <f>IF(Calculs!$AL$23="",0,INDEX(Calculs!$FJ$4:$FJ$503,Calculs!$AL$23))</f>
        <v>480</v>
      </c>
      <c r="BH12" s="55" t="n"/>
      <c r="BI12" s="17" t="n"/>
    </row>
    <row r="13" ht="15" customHeight="1">
      <c r="A13" s="17" t="n"/>
      <c r="B13" s="50" t="n"/>
      <c r="C13" s="59" t="str">
        <f>IF(p_Perimetre="Tous les projets","sur l'ensemble des projets","sur les projets en cours")</f>
        <v>sur les projets en cours</v>
      </c>
      <c r="O13" s="52" t="n"/>
      <c r="P13" s="17" t="n"/>
      <c r="Q13" s="50" t="n"/>
      <c r="R13" s="59" t="inlineStr">
        <is>
          <t>projets distincts · classés par charge</t>
        </is>
      </c>
      <c r="AD13" s="52" t="n"/>
      <c r="AE13" s="17" t="n"/>
      <c r="AF13" s="50" t="n"/>
      <c r="AG13" s="60">
        <f>Calculs!$AL$22</f>
        <v>34.55</v>
      </c>
      <c r="AS13" s="52" t="n"/>
      <c r="AT13" s="17" t="n"/>
      <c r="AU13" s="53" t="n"/>
      <c r="AV13" s="61">
        <f>IF(Calculs!$AL$23="",0,INDEX(Calculs!$FH$4:$FH$503,Calculs!$AL$23))</f>
        <v>480</v>
      </c>
      <c r="BH13" s="55" t="n"/>
      <c r="BI13" s="17" t="n"/>
    </row>
    <row r="14" ht="6" customHeight="1">
      <c r="A14" s="17" t="n"/>
      <c r="B14" s="50" t="n"/>
      <c r="C14" s="62" t="n"/>
      <c r="D14" s="62" t="n"/>
      <c r="E14" s="62" t="n"/>
      <c r="F14" s="62" t="n"/>
      <c r="G14" s="62" t="n"/>
      <c r="H14" s="62" t="n"/>
      <c r="I14" s="62" t="n"/>
      <c r="J14" s="62" t="n"/>
      <c r="K14" s="62" t="n"/>
      <c r="L14" s="62" t="n"/>
      <c r="M14" s="62" t="n"/>
      <c r="N14" s="62" t="n"/>
      <c r="O14" s="52" t="n"/>
      <c r="P14" s="17" t="n"/>
      <c r="Q14" s="50" t="n"/>
      <c r="R14" s="62" t="n"/>
      <c r="S14" s="62" t="n"/>
      <c r="T14" s="62" t="n"/>
      <c r="U14" s="62" t="n"/>
      <c r="V14" s="62" t="n"/>
      <c r="W14" s="62" t="n"/>
      <c r="X14" s="62" t="n"/>
      <c r="Y14" s="62" t="n"/>
      <c r="Z14" s="62" t="n"/>
      <c r="AA14" s="62" t="n"/>
      <c r="AB14" s="62" t="n"/>
      <c r="AC14" s="62" t="n"/>
      <c r="AD14" s="52" t="n"/>
      <c r="AE14" s="17" t="n"/>
      <c r="AF14" s="50" t="n"/>
      <c r="AG14" s="62" t="n"/>
      <c r="AH14" s="62" t="n"/>
      <c r="AI14" s="62" t="n"/>
      <c r="AJ14" s="62" t="n"/>
      <c r="AK14" s="62" t="n"/>
      <c r="AL14" s="62" t="n"/>
      <c r="AM14" s="62" t="n"/>
      <c r="AN14" s="62" t="n"/>
      <c r="AO14" s="62" t="n"/>
      <c r="AP14" s="62" t="n"/>
      <c r="AQ14" s="62" t="n"/>
      <c r="AR14" s="62" t="n"/>
      <c r="AS14" s="52" t="n"/>
      <c r="AT14" s="17" t="n"/>
      <c r="AU14" s="53" t="n"/>
      <c r="AV14" s="63" t="n"/>
      <c r="AW14" s="63" t="n"/>
      <c r="AX14" s="63" t="n"/>
      <c r="AY14" s="63" t="n"/>
      <c r="AZ14" s="63" t="n"/>
      <c r="BA14" s="63" t="n"/>
      <c r="BB14" s="63" t="n"/>
      <c r="BC14" s="63" t="n"/>
      <c r="BD14" s="63" t="n"/>
      <c r="BE14" s="63" t="n"/>
      <c r="BF14" s="63" t="n"/>
      <c r="BG14" s="63" t="n"/>
      <c r="BH14" s="55" t="n"/>
      <c r="BI14" s="17" t="n"/>
    </row>
    <row r="15" ht="16" customHeight="1">
      <c r="A15" s="17" t="n"/>
      <c r="B15" s="50" t="n"/>
      <c r="C15" s="64" t="str">
        <f>Calculs!BL4</f>
        <v>Julie Martin</v>
      </c>
      <c r="L15" s="65">
        <f>Calculs!BM4</f>
        <v>860</v>
      </c>
      <c r="O15" s="52" t="n"/>
      <c r="P15" s="17" t="n"/>
      <c r="Q15" s="50" t="n"/>
      <c r="R15" s="66" t="n"/>
      <c r="S15" s="64" t="str">
        <f>Calculs!BP4</f>
        <v>ATLAS</v>
      </c>
      <c r="AA15" s="65">
        <f>Calculs!BQ4</f>
        <v>860</v>
      </c>
      <c r="AD15" s="52" t="n"/>
      <c r="AE15" s="17" t="n"/>
      <c r="AF15" s="50" t="n"/>
      <c r="AG15" s="64" t="inlineStr">
        <is>
          <t>Réalisé (selon avancement)</t>
        </is>
      </c>
      <c r="AP15" s="67">
        <f>Calculs!$AL$9</f>
        <v>339.5</v>
      </c>
      <c r="AS15" s="52" t="n"/>
      <c r="AT15" s="17" t="n"/>
      <c r="AU15" s="53" t="n"/>
      <c r="AV15" s="68" t="inlineStr">
        <is>
          <t>Projet</t>
        </is>
      </c>
      <c r="BA15" s="69" t="str">
        <f>IF(Calculs!$AL$23="","—",INDEX(Charge!$B:$B,Calculs!$AL$23+3)&amp;"")</f>
        <v>PÉGASE</v>
      </c>
      <c r="BH15" s="55" t="n"/>
      <c r="BI15" s="17" t="n"/>
    </row>
    <row r="16" ht="16" customHeight="1">
      <c r="A16" s="17" t="n"/>
      <c r="B16" s="50" t="n"/>
      <c r="C16" s="64" t="str">
        <f>Calculs!BL5</f>
        <v>Thomas Bernard</v>
      </c>
      <c r="L16" s="65">
        <f>Calculs!BM5</f>
        <v>820</v>
      </c>
      <c r="O16" s="52" t="n"/>
      <c r="P16" s="17" t="n"/>
      <c r="Q16" s="50" t="n"/>
      <c r="R16" s="70" t="n"/>
      <c r="S16" s="64" t="str">
        <f>Calculs!BP5</f>
        <v>BORÉAL</v>
      </c>
      <c r="AA16" s="65">
        <f>Calculs!BQ5</f>
        <v>620</v>
      </c>
      <c r="AD16" s="52" t="n"/>
      <c r="AE16" s="17" t="n"/>
      <c r="AF16" s="50" t="n"/>
      <c r="AG16" s="64" t="inlineStr">
        <is>
          <t>Reste à faire</t>
        </is>
      </c>
      <c r="AP16" s="67">
        <f>Calculs!$AL$10</f>
        <v>3115.5</v>
      </c>
      <c r="AS16" s="52" t="n"/>
      <c r="AT16" s="17" t="n"/>
      <c r="AU16" s="53" t="n"/>
      <c r="AV16" s="68" t="inlineStr">
        <is>
          <t>Sous-projet</t>
        </is>
      </c>
      <c r="BA16" s="69" t="str">
        <f>IF(Calculs!$AL$23="","—",INDEX(Charge!$C:$C,Calculs!$AL$23+3)&amp;"")</f>
        <v>Lot 1</v>
      </c>
      <c r="BH16" s="55" t="n"/>
      <c r="BI16" s="17" t="n"/>
    </row>
    <row r="17" ht="16" customHeight="1">
      <c r="A17" s="17" t="n"/>
      <c r="B17" s="50" t="n"/>
      <c r="C17" s="64" t="str">
        <f>Calculs!BL6</f>
        <v>Sophie Lefèvre</v>
      </c>
      <c r="L17" s="65">
        <f>Calculs!BM6</f>
        <v>750</v>
      </c>
      <c r="O17" s="52" t="n"/>
      <c r="P17" s="17" t="n"/>
      <c r="Q17" s="50" t="n"/>
      <c r="R17" s="71" t="n"/>
      <c r="S17" s="64" t="str">
        <f>Calculs!BP6</f>
        <v>DELTA</v>
      </c>
      <c r="AA17" s="65">
        <f>Calculs!BQ6</f>
        <v>560</v>
      </c>
      <c r="AD17" s="52" t="n"/>
      <c r="AE17" s="17" t="n"/>
      <c r="AF17" s="50" t="n"/>
      <c r="AG17" s="72" t="n"/>
      <c r="AH17" s="72" t="n"/>
      <c r="AI17" s="72" t="n"/>
      <c r="AJ17" s="72" t="n"/>
      <c r="AK17" s="72" t="n"/>
      <c r="AL17" s="72" t="n"/>
      <c r="AM17" s="72" t="n"/>
      <c r="AN17" s="72" t="n"/>
      <c r="AO17" s="72" t="n"/>
      <c r="AP17" s="72" t="n"/>
      <c r="AQ17" s="72" t="n"/>
      <c r="AR17" s="72" t="n"/>
      <c r="AS17" s="52" t="n"/>
      <c r="AT17" s="17" t="n"/>
      <c r="AU17" s="53" t="n"/>
      <c r="AV17" s="68" t="inlineStr">
        <is>
          <t>Produit</t>
        </is>
      </c>
      <c r="BA17" s="69" t="str">
        <f>IF(Calculs!$AL$23="","—",INDEX(Charge!$D:$D,Calculs!$AL$23+3)&amp;"")</f>
        <v>Ensemble complet</v>
      </c>
      <c r="BH17" s="55" t="n"/>
      <c r="BI17" s="17" t="n"/>
    </row>
    <row r="18" ht="16" customHeight="1">
      <c r="A18" s="17" t="n"/>
      <c r="B18" s="50" t="n"/>
      <c r="C18" s="64" t="str">
        <f>Calculs!BL7</f>
        <v>Camille Laurent</v>
      </c>
      <c r="L18" s="65">
        <f>Calculs!BM7</f>
        <v>675</v>
      </c>
      <c r="O18" s="52" t="n"/>
      <c r="P18" s="17" t="n"/>
      <c r="Q18" s="50" t="n"/>
      <c r="R18" s="73" t="n"/>
      <c r="S18" s="64" t="str">
        <f>Calculs!BP7</f>
        <v>PÉGASE</v>
      </c>
      <c r="AA18" s="65">
        <f>Calculs!BQ7</f>
        <v>550</v>
      </c>
      <c r="AD18" s="52" t="n"/>
      <c r="AE18" s="17" t="n"/>
      <c r="AF18" s="50" t="n"/>
      <c r="AG18" s="74" t="inlineStr">
        <is>
          <t>PAR TYPE D'AFFAIRE</t>
        </is>
      </c>
      <c r="AS18" s="52" t="n"/>
      <c r="AT18" s="17" t="n"/>
      <c r="AU18" s="53" t="n"/>
      <c r="AV18" s="68" t="inlineStr">
        <is>
          <t>Chef de projet</t>
        </is>
      </c>
      <c r="BA18" s="69" t="str">
        <f>IF(Calculs!$AL$23="","—",INDEX(Charge!$A:$A,Calculs!$AL$23+3)&amp;"")</f>
        <v>Camille Laurent</v>
      </c>
      <c r="BH18" s="55" t="n"/>
      <c r="BI18" s="17" t="n"/>
    </row>
    <row r="19" ht="16" customHeight="1">
      <c r="A19" s="17" t="n"/>
      <c r="B19" s="50" t="n"/>
      <c r="C19" s="64" t="str">
        <f>Calculs!BL8</f>
        <v>Nicolas Moreau</v>
      </c>
      <c r="L19" s="65">
        <f>Calculs!BM8</f>
        <v>350</v>
      </c>
      <c r="O19" s="52" t="n"/>
      <c r="P19" s="17" t="n"/>
      <c r="Q19" s="50" t="n"/>
      <c r="R19" s="75" t="n"/>
      <c r="S19" s="64" t="str">
        <f>Calculs!BP8</f>
        <v>CASSIOPÉE</v>
      </c>
      <c r="AA19" s="65">
        <f>Calculs!BQ8</f>
        <v>390</v>
      </c>
      <c r="AD19" s="52" t="n"/>
      <c r="AE19" s="17" t="n"/>
      <c r="AF19" s="50" t="n"/>
      <c r="AG19" s="64" t="str">
        <f>Calculs!BT4</f>
        <v>Étude de conception</v>
      </c>
      <c r="AP19" s="65">
        <f>Calculs!BU4</f>
        <v>2030</v>
      </c>
      <c r="AS19" s="52" t="n"/>
      <c r="AT19" s="17" t="n"/>
      <c r="AU19" s="53" t="n"/>
      <c r="AV19" s="68" t="inlineStr">
        <is>
          <t>Ressources</t>
        </is>
      </c>
      <c r="BA19" s="69" t="str">
        <f>IF(Calculs!$AL$23="","—",INDEX(Calculs!$ET$4:$ET$503,Calculs!$AL$23)&amp;"")</f>
        <v>2 dont 1 ext.</v>
      </c>
      <c r="BH19" s="55" t="n"/>
      <c r="BI19" s="17" t="n"/>
    </row>
    <row r="20" ht="16" customHeight="1">
      <c r="A20" s="17" t="n"/>
      <c r="B20" s="50" t="n"/>
      <c r="C20" s="64" t="str">
        <f>Calculs!BL9</f>
        <v/>
      </c>
      <c r="L20" s="65" t="str">
        <f>Calculs!BM9</f>
        <v/>
      </c>
      <c r="O20" s="52" t="n"/>
      <c r="P20" s="17" t="n"/>
      <c r="Q20" s="50" t="n"/>
      <c r="R20" s="76" t="n"/>
      <c r="S20" s="64" t="str">
        <f>Calculs!BP9</f>
        <v>ORION</v>
      </c>
      <c r="AA20" s="65">
        <f>Calculs!BQ9</f>
        <v>280</v>
      </c>
      <c r="AD20" s="52" t="n"/>
      <c r="AE20" s="17" t="n"/>
      <c r="AF20" s="50" t="n"/>
      <c r="AG20" s="64" t="str">
        <f>Calculs!BT5</f>
        <v>Industrialisation</v>
      </c>
      <c r="AP20" s="65">
        <f>Calculs!BU5</f>
        <v>540</v>
      </c>
      <c r="AS20" s="52" t="n"/>
      <c r="AT20" s="17" t="n"/>
      <c r="AU20" s="53" t="n"/>
      <c r="AV20" s="68" t="inlineStr">
        <is>
          <t>Début planifié</t>
        </is>
      </c>
      <c r="BA20" s="77">
        <f>IF(Calculs!$AL$23="","",IF(INDEX(Calculs!$EW$4:$EW$503,Calculs!$AL$23)&gt;=2958465,"—",INDEX(Calculs!$EW$4:$EW$503,Calculs!$AL$23)))</f>
        <v>46461.0</v>
      </c>
      <c r="BH20" s="55" t="n"/>
      <c r="BI20" s="17" t="n"/>
    </row>
    <row r="21" ht="16" customHeight="1">
      <c r="A21" s="17" t="n"/>
      <c r="B21" s="50" t="n"/>
      <c r="C21" s="64" t="str">
        <f>Calculs!BL10</f>
        <v/>
      </c>
      <c r="L21" s="65" t="str">
        <f>Calculs!BM10</f>
        <v/>
      </c>
      <c r="O21" s="52" t="n"/>
      <c r="P21" s="17" t="n"/>
      <c r="Q21" s="50" t="n"/>
      <c r="R21" s="78" t="n"/>
      <c r="S21" s="64" t="str">
        <f>Calculs!BP10</f>
        <v>VEGA</v>
      </c>
      <c r="AA21" s="65">
        <f>Calculs!BQ10</f>
        <v>195</v>
      </c>
      <c r="AD21" s="52" t="n"/>
      <c r="AE21" s="17" t="n"/>
      <c r="AF21" s="50" t="n"/>
      <c r="AG21" s="64" t="str">
        <f>Calculs!BT6</f>
        <v>Modification</v>
      </c>
      <c r="AP21" s="65">
        <f>Calculs!BU6</f>
        <v>535</v>
      </c>
      <c r="AS21" s="52" t="n"/>
      <c r="AT21" s="17" t="n"/>
      <c r="AU21" s="53" t="n"/>
      <c r="AV21" s="68" t="inlineStr">
        <is>
          <t>Date de besoin</t>
        </is>
      </c>
      <c r="BA21" s="77">
        <f>IF(Calculs!$AL$23="","",IF(INDEX(Calculs!$EY$4:$EY$503,Calculs!$AL$23)=0,"—",INDEX(Calculs!$EY$4:$EY$503,Calculs!$AL$23)))</f>
        <v>46660.0</v>
      </c>
      <c r="BH21" s="55" t="n"/>
      <c r="BI21" s="17" t="n"/>
    </row>
    <row r="22" ht="16" customHeight="1">
      <c r="A22" s="17" t="n"/>
      <c r="B22" s="50" t="n"/>
      <c r="C22" s="64" t="str">
        <f>Calculs!BL11</f>
        <v/>
      </c>
      <c r="L22" s="65" t="str">
        <f>Calculs!BM11</f>
        <v/>
      </c>
      <c r="O22" s="52" t="n"/>
      <c r="P22" s="17" t="n"/>
      <c r="Q22" s="50" t="n"/>
      <c r="R22" s="79" t="n"/>
      <c r="S22" s="64" t="str">
        <f>Calculs!BP11</f>
        <v/>
      </c>
      <c r="AA22" s="65" t="str">
        <f>Calculs!BQ11</f>
        <v/>
      </c>
      <c r="AD22" s="52" t="n"/>
      <c r="AE22" s="17" t="n"/>
      <c r="AF22" s="50" t="n"/>
      <c r="AG22" s="64" t="str">
        <f>Calculs!BT7</f>
        <v>+ 2 autres types</v>
      </c>
      <c r="AP22" s="65">
        <f>Calculs!BU7</f>
        <v>350</v>
      </c>
      <c r="AS22" s="52" t="n"/>
      <c r="AT22" s="17" t="n"/>
      <c r="AU22" s="53" t="n"/>
      <c r="AV22" s="68" t="inlineStr">
        <is>
          <t>Avancement</t>
        </is>
      </c>
      <c r="BA22" s="80">
        <f>IF(Calculs!$AL$23="","",INDEX(Calculs!$EU$4:$EU$503,Calculs!$AL$23))</f>
        <v>0</v>
      </c>
      <c r="BH22" s="55" t="n"/>
      <c r="BI22" s="17" t="n"/>
    </row>
    <row r="23" ht="8" customHeight="1">
      <c r="A23" s="17" t="n"/>
      <c r="B23" s="34" t="n"/>
      <c r="C23" s="35" t="n"/>
      <c r="D23" s="35" t="n"/>
      <c r="E23" s="35" t="n"/>
      <c r="F23" s="35" t="n"/>
      <c r="G23" s="35" t="n"/>
      <c r="H23" s="35" t="n"/>
      <c r="I23" s="35" t="n"/>
      <c r="J23" s="35" t="n"/>
      <c r="K23" s="35" t="n"/>
      <c r="L23" s="35" t="n"/>
      <c r="M23" s="35" t="n"/>
      <c r="N23" s="35" t="n"/>
      <c r="O23" s="81" t="n"/>
      <c r="P23" s="17" t="n"/>
      <c r="Q23" s="34" t="n"/>
      <c r="R23" s="35" t="n"/>
      <c r="S23" s="35" t="n"/>
      <c r="T23" s="35" t="n"/>
      <c r="U23" s="35" t="n"/>
      <c r="V23" s="35" t="n"/>
      <c r="W23" s="35" t="n"/>
      <c r="X23" s="35" t="n"/>
      <c r="Y23" s="35" t="n"/>
      <c r="Z23" s="35" t="n"/>
      <c r="AA23" s="35" t="n"/>
      <c r="AB23" s="35" t="n"/>
      <c r="AC23" s="35" t="n"/>
      <c r="AD23" s="81" t="n"/>
      <c r="AE23" s="17" t="n"/>
      <c r="AF23" s="34" t="n"/>
      <c r="AG23" s="35" t="n"/>
      <c r="AH23" s="35" t="n"/>
      <c r="AI23" s="35" t="n"/>
      <c r="AJ23" s="35" t="n"/>
      <c r="AK23" s="35" t="n"/>
      <c r="AL23" s="35" t="n"/>
      <c r="AM23" s="35" t="n"/>
      <c r="AN23" s="35" t="n"/>
      <c r="AO23" s="35" t="n"/>
      <c r="AP23" s="35" t="n"/>
      <c r="AQ23" s="35" t="n"/>
      <c r="AR23" s="35" t="n"/>
      <c r="AS23" s="81" t="n"/>
      <c r="AT23" s="17" t="n"/>
      <c r="AU23" s="82" t="n"/>
      <c r="AV23" s="83" t="n"/>
      <c r="AW23" s="83" t="n"/>
      <c r="AX23" s="83" t="n"/>
      <c r="AY23" s="83" t="n"/>
      <c r="AZ23" s="83" t="n"/>
      <c r="BA23" s="83" t="n"/>
      <c r="BB23" s="83" t="n"/>
      <c r="BC23" s="83" t="n"/>
      <c r="BD23" s="83" t="n"/>
      <c r="BE23" s="83" t="n"/>
      <c r="BF23" s="83" t="n"/>
      <c r="BG23" s="83" t="n"/>
      <c r="BH23" s="84" t="n"/>
      <c r="BI23" s="17" t="n"/>
    </row>
    <row r="24" ht="14" customHeight="1">
      <c r="A24" s="17" t="n"/>
      <c r="B24" s="17" t="n"/>
      <c r="C24" s="17" t="n"/>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c r="AA24" s="17" t="n"/>
      <c r="AB24" s="17" t="n"/>
      <c r="AC24" s="17" t="n"/>
      <c r="AD24" s="17" t="n"/>
      <c r="AE24" s="17" t="n"/>
      <c r="AF24" s="17" t="n"/>
      <c r="AG24" s="17" t="n"/>
      <c r="AH24" s="17" t="n"/>
      <c r="AI24" s="17" t="n"/>
      <c r="AJ24" s="17" t="n"/>
      <c r="AK24" s="17" t="n"/>
      <c r="AL24" s="17" t="n"/>
      <c r="AM24" s="17" t="n"/>
      <c r="AN24" s="17" t="n"/>
      <c r="AO24" s="17" t="n"/>
      <c r="AP24" s="17" t="n"/>
      <c r="AQ24" s="17" t="n"/>
      <c r="AR24" s="17" t="n"/>
      <c r="AS24" s="17" t="n"/>
      <c r="AT24" s="17" t="n"/>
      <c r="AU24" s="17" t="n"/>
      <c r="AV24" s="17" t="n"/>
      <c r="AW24" s="17" t="n"/>
      <c r="AX24" s="17" t="n"/>
      <c r="AY24" s="17" t="n"/>
      <c r="AZ24" s="17" t="n"/>
      <c r="BA24" s="17" t="n"/>
      <c r="BB24" s="17" t="n"/>
      <c r="BC24" s="17" t="n"/>
      <c r="BD24" s="17" t="n"/>
      <c r="BE24" s="17" t="n"/>
      <c r="BF24" s="17" t="n"/>
      <c r="BG24" s="17" t="n"/>
      <c r="BH24" s="17" t="n"/>
      <c r="BI24" s="17" t="n"/>
    </row>
    <row r="25" ht="20" customHeight="1">
      <c r="A25" s="17" t="n"/>
      <c r="B25" s="41" t="inlineStr">
        <is>
          <t>INDICATEURS CLÉS</t>
        </is>
      </c>
      <c r="C25" s="42" t="n"/>
      <c r="D25" s="42" t="n"/>
      <c r="E25" s="42" t="n"/>
      <c r="F25" s="42" t="n"/>
      <c r="G25" s="42" t="n"/>
      <c r="H25" s="42" t="n"/>
      <c r="I25" s="42" t="n"/>
      <c r="J25" s="42" t="n"/>
      <c r="K25" s="42" t="n"/>
      <c r="L25" s="42" t="n"/>
      <c r="M25" s="42" t="n"/>
      <c r="N25" s="42" t="n"/>
      <c r="O25" s="42" t="n"/>
      <c r="P25" s="42" t="n"/>
      <c r="Q25" s="42" t="n"/>
      <c r="R25" s="42" t="n"/>
      <c r="S25" s="42" t="n"/>
      <c r="T25" s="42" t="n"/>
      <c r="U25" s="42" t="n"/>
      <c r="V25" s="42" t="n"/>
      <c r="W25" s="42" t="n"/>
      <c r="X25" s="42" t="n"/>
      <c r="Y25" s="42" t="n"/>
      <c r="Z25" s="42" t="n"/>
      <c r="AA25" s="42" t="n"/>
      <c r="AB25" s="42" t="n"/>
      <c r="AC25" s="42" t="n"/>
      <c r="AD25" s="42" t="n"/>
      <c r="AE25" s="42" t="n"/>
      <c r="AF25" s="42" t="n"/>
      <c r="AG25" s="42" t="n"/>
      <c r="AH25" s="42" t="n"/>
      <c r="AI25" s="42" t="n"/>
      <c r="AJ25" s="42" t="n"/>
      <c r="AK25" s="42" t="n"/>
      <c r="AL25" s="42" t="n"/>
      <c r="AM25" s="42" t="n"/>
      <c r="AN25" s="42" t="n"/>
      <c r="AO25" s="42" t="n"/>
      <c r="AP25" s="42" t="n"/>
      <c r="AQ25" s="42" t="n"/>
      <c r="AR25" s="42" t="n"/>
      <c r="AS25" s="42" t="n"/>
      <c r="AT25" s="42" t="n"/>
      <c r="AU25" s="42" t="n"/>
      <c r="AV25" s="42" t="n"/>
      <c r="AW25" s="42" t="n"/>
      <c r="AX25" s="42" t="n"/>
      <c r="AY25" s="42" t="n"/>
      <c r="AZ25" s="42" t="n"/>
      <c r="BA25" s="42" t="n"/>
      <c r="BB25" s="42" t="n"/>
      <c r="BC25" s="42" t="n"/>
      <c r="BD25" s="42" t="n"/>
      <c r="BE25" s="42" t="n"/>
      <c r="BF25" s="42" t="n"/>
      <c r="BG25" s="42" t="n"/>
      <c r="BH25" s="42" t="n"/>
      <c r="BI25" s="17" t="n"/>
    </row>
    <row r="26" ht="6" customHeight="1">
      <c r="A26" s="17" t="n"/>
      <c r="B26" s="17" t="n"/>
      <c r="C26" s="17" t="n"/>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c r="AA26" s="17" t="n"/>
      <c r="AB26" s="17" t="n"/>
      <c r="AC26" s="17" t="n"/>
      <c r="AD26" s="17" t="n"/>
      <c r="AE26" s="17" t="n"/>
      <c r="AF26" s="17" t="n"/>
      <c r="AG26" s="17" t="n"/>
      <c r="AH26" s="17" t="n"/>
      <c r="AI26" s="17" t="n"/>
      <c r="AJ26" s="17" t="n"/>
      <c r="AK26" s="17" t="n"/>
      <c r="AL26" s="17" t="n"/>
      <c r="AM26" s="17" t="n"/>
      <c r="AN26" s="17" t="n"/>
      <c r="AO26" s="17" t="n"/>
      <c r="AP26" s="17" t="n"/>
      <c r="AQ26" s="17" t="n"/>
      <c r="AR26" s="17" t="n"/>
      <c r="AS26" s="17" t="n"/>
      <c r="AT26" s="17" t="n"/>
      <c r="AU26" s="17" t="n"/>
      <c r="AV26" s="17" t="n"/>
      <c r="AW26" s="17" t="n"/>
      <c r="AX26" s="17" t="n"/>
      <c r="AY26" s="17" t="n"/>
      <c r="AZ26" s="17" t="n"/>
      <c r="BA26" s="17" t="n"/>
      <c r="BB26" s="17" t="n"/>
      <c r="BC26" s="17" t="n"/>
      <c r="BD26" s="17" t="n"/>
      <c r="BE26" s="17" t="n"/>
      <c r="BF26" s="17" t="n"/>
      <c r="BG26" s="17" t="n"/>
      <c r="BH26" s="17" t="n"/>
      <c r="BI26" s="17" t="n"/>
    </row>
    <row r="27" ht="6" customHeight="1">
      <c r="A27" s="17" t="n"/>
      <c r="B27" s="85" t="n"/>
      <c r="C27" s="86" t="n"/>
      <c r="D27" s="86" t="n"/>
      <c r="E27" s="86" t="n"/>
      <c r="F27" s="86" t="n"/>
      <c r="G27" s="86" t="n"/>
      <c r="H27" s="86" t="n"/>
      <c r="I27" s="86" t="n"/>
      <c r="J27" s="86" t="n"/>
      <c r="K27" s="86" t="n"/>
      <c r="L27" s="87" t="n"/>
      <c r="M27" s="17" t="n"/>
      <c r="N27" s="85" t="n"/>
      <c r="O27" s="86" t="n"/>
      <c r="P27" s="86" t="n"/>
      <c r="Q27" s="86" t="n"/>
      <c r="R27" s="86" t="n"/>
      <c r="S27" s="86" t="n"/>
      <c r="T27" s="86" t="n"/>
      <c r="U27" s="86" t="n"/>
      <c r="V27" s="86" t="n"/>
      <c r="W27" s="86" t="n"/>
      <c r="X27" s="87" t="n"/>
      <c r="Y27" s="17" t="n"/>
      <c r="Z27" s="85" t="n"/>
      <c r="AA27" s="86" t="n"/>
      <c r="AB27" s="86" t="n"/>
      <c r="AC27" s="86" t="n"/>
      <c r="AD27" s="86" t="n"/>
      <c r="AE27" s="86" t="n"/>
      <c r="AF27" s="86" t="n"/>
      <c r="AG27" s="86" t="n"/>
      <c r="AH27" s="86" t="n"/>
      <c r="AI27" s="86" t="n"/>
      <c r="AJ27" s="87" t="n"/>
      <c r="AK27" s="17" t="n"/>
      <c r="AL27" s="85" t="n"/>
      <c r="AM27" s="86" t="n"/>
      <c r="AN27" s="86" t="n"/>
      <c r="AO27" s="86" t="n"/>
      <c r="AP27" s="86" t="n"/>
      <c r="AQ27" s="86" t="n"/>
      <c r="AR27" s="86" t="n"/>
      <c r="AS27" s="86" t="n"/>
      <c r="AT27" s="86" t="n"/>
      <c r="AU27" s="86" t="n"/>
      <c r="AV27" s="87" t="n"/>
      <c r="AW27" s="17" t="n"/>
      <c r="AX27" s="85" t="n"/>
      <c r="AY27" s="86" t="n"/>
      <c r="AZ27" s="86" t="n"/>
      <c r="BA27" s="86" t="n"/>
      <c r="BB27" s="86" t="n"/>
      <c r="BC27" s="86" t="n"/>
      <c r="BD27" s="86" t="n"/>
      <c r="BE27" s="86" t="n"/>
      <c r="BF27" s="86" t="n"/>
      <c r="BG27" s="86" t="n"/>
      <c r="BH27" s="87" t="n"/>
      <c r="BI27" s="17" t="n"/>
    </row>
    <row r="28" ht="18" customHeight="1">
      <c r="A28" s="17" t="n"/>
      <c r="B28" s="50" t="n"/>
      <c r="C28" s="51" t="inlineStr">
        <is>
          <t>MOIS EN SURCHARGE</t>
        </is>
      </c>
      <c r="L28" s="52" t="n"/>
      <c r="M28" s="17" t="n"/>
      <c r="N28" s="50" t="n"/>
      <c r="O28" s="51" t="inlineStr">
        <is>
          <t>PIC DE CHARGE</t>
        </is>
      </c>
      <c r="X28" s="52" t="n"/>
      <c r="Y28" s="17" t="n"/>
      <c r="Z28" s="50" t="n"/>
      <c r="AA28" s="51" t="inlineStr">
        <is>
          <t>AFFAIRES EN RETARD</t>
        </is>
      </c>
      <c r="AJ28" s="52" t="n"/>
      <c r="AK28" s="17" t="n"/>
      <c r="AL28" s="50" t="n"/>
      <c r="AM28" s="51" t="inlineStr">
        <is>
          <t>NOMBRE D'AFFAIRES</t>
        </is>
      </c>
      <c r="AV28" s="52" t="n"/>
      <c r="AW28" s="17" t="n"/>
      <c r="AX28" s="50" t="n"/>
      <c r="AY28" s="51" t="inlineStr">
        <is>
          <t>TAUX D'AVANCEMENT MOYEN</t>
        </is>
      </c>
      <c r="BH28" s="52" t="n"/>
      <c r="BI28" s="17" t="n"/>
    </row>
    <row r="29" ht="34" customHeight="1">
      <c r="A29" s="17" t="n"/>
      <c r="B29" s="50" t="n"/>
      <c r="C29" s="88">
        <f>Calculs!$AL$34</f>
        <v>0</v>
      </c>
      <c r="L29" s="52" t="n"/>
      <c r="M29" s="17" t="n"/>
      <c r="N29" s="50" t="n"/>
      <c r="O29" s="89">
        <f>Calculs!$AL$17</f>
        <v>507.840504944044</v>
      </c>
      <c r="X29" s="52" t="n"/>
      <c r="Y29" s="17" t="n"/>
      <c r="Z29" s="50" t="n"/>
      <c r="AA29" s="90">
        <f>Calculs!$AL$37</f>
        <v>0</v>
      </c>
      <c r="AJ29" s="52" t="n"/>
      <c r="AK29" s="17" t="n"/>
      <c r="AL29" s="50" t="n"/>
      <c r="AM29" s="90">
        <f>Calculs!$AL$5</f>
        <v>17</v>
      </c>
      <c r="AV29" s="52" t="n"/>
      <c r="AW29" s="17" t="n"/>
      <c r="AX29" s="50" t="n"/>
      <c r="AY29" s="91">
        <f>Calculs!$AL$12</f>
        <v>0.0982633863965268</v>
      </c>
      <c r="BH29" s="52" t="n"/>
      <c r="BI29" s="17" t="n"/>
    </row>
    <row r="30" ht="15" customHeight="1">
      <c r="A30" s="17" t="n"/>
      <c r="B30" s="50" t="n"/>
      <c r="C30" s="92">
        <f>Calculs!$AL$33</f>
        <v>776</v>
      </c>
      <c r="L30" s="52" t="n"/>
      <c r="M30" s="17" t="n"/>
      <c r="N30" s="50" t="n"/>
      <c r="O30" s="93">
        <f>Calculs!$AL$19</f>
        <v>46447.0</v>
      </c>
      <c r="X30" s="52" t="n"/>
      <c r="Y30" s="17" t="n"/>
      <c r="Z30" s="50" t="n"/>
      <c r="AA30" s="94">
        <f>Calculs!$AL$38</f>
        <v>0</v>
      </c>
      <c r="AJ30" s="52" t="n"/>
      <c r="AK30" s="17" t="n"/>
      <c r="AL30" s="50" t="n"/>
      <c r="AM30" s="95">
        <f>Calculs!$AL$7</f>
        <v>7</v>
      </c>
      <c r="AV30" s="52" t="n"/>
      <c r="AW30" s="17" t="n"/>
      <c r="AX30" s="50" t="n"/>
      <c r="AY30" s="96" t="inlineStr">
        <is>
          <t>pondéré par les heures des affaires</t>
        </is>
      </c>
      <c r="BH30" s="52" t="n"/>
      <c r="BI30" s="17" t="n"/>
    </row>
    <row r="31" ht="15" customHeight="1">
      <c r="A31" s="17" t="n"/>
      <c r="B31" s="50" t="n"/>
      <c r="C31" s="97">
        <f>IF(Calculs!$AL$34&gt;0,Calculs!$AL$35,Calculs!$AL$36)</f>
        <v>0.6544328703703703</v>
      </c>
      <c r="L31" s="52" t="n"/>
      <c r="M31" s="17" t="n"/>
      <c r="N31" s="50" t="n"/>
      <c r="O31" s="96" t="str">
        <f>Calculs!$AL$20&amp;" affaire(s) active(s)  ·  ≈ "&amp;ROUND(Calculs!$AL$21,1)&amp;" ETP"</f>
        <v>9 affaire(s) active(s)  ·  ≈ 5,1 ETP</v>
      </c>
      <c r="X31" s="52" t="n"/>
      <c r="Y31" s="17" t="n"/>
      <c r="Z31" s="50" t="n"/>
      <c r="AA31" s="98">
        <f>Calculs!$AL$39</f>
        <v>0</v>
      </c>
      <c r="AJ31" s="52" t="n"/>
      <c r="AK31" s="17" t="n"/>
      <c r="AL31" s="50" t="n"/>
      <c r="AM31" s="96" t="str">
        <f>IF(p_Perimetre="Tous les projets","dont "&amp;Calculs!$AL$24&amp;" ligne(s) terminée(s)",Calculs!$AL$24&amp;" ligne(s) terminée(s) non comptée(s)")</f>
        <v>2 ligne(s) terminée(s) non comptée(s)</v>
      </c>
      <c r="AV31" s="52" t="n"/>
      <c r="AW31" s="17" t="n"/>
      <c r="AX31" s="50" t="n"/>
      <c r="AY31" s="99">
        <f>Calculs!$AL$11</f>
        <v>0.111204481792717</v>
      </c>
      <c r="BH31" s="52" t="n"/>
      <c r="BI31" s="17" t="n"/>
    </row>
    <row r="32" ht="8" customHeight="1">
      <c r="A32" s="17" t="n"/>
      <c r="B32" s="34" t="n"/>
      <c r="C32" s="35" t="n"/>
      <c r="D32" s="35" t="n"/>
      <c r="E32" s="35" t="n"/>
      <c r="F32" s="35" t="n"/>
      <c r="G32" s="35" t="n"/>
      <c r="H32" s="35" t="n"/>
      <c r="I32" s="35" t="n"/>
      <c r="J32" s="35" t="n"/>
      <c r="K32" s="35" t="n"/>
      <c r="L32" s="81" t="n"/>
      <c r="M32" s="17" t="n"/>
      <c r="N32" s="34" t="n"/>
      <c r="O32" s="35" t="n"/>
      <c r="P32" s="35" t="n"/>
      <c r="Q32" s="35" t="n"/>
      <c r="R32" s="35" t="n"/>
      <c r="S32" s="35" t="n"/>
      <c r="T32" s="35" t="n"/>
      <c r="U32" s="35" t="n"/>
      <c r="V32" s="35" t="n"/>
      <c r="W32" s="35" t="n"/>
      <c r="X32" s="81" t="n"/>
      <c r="Y32" s="17" t="n"/>
      <c r="Z32" s="34" t="n"/>
      <c r="AA32" s="35" t="n"/>
      <c r="AB32" s="35" t="n"/>
      <c r="AC32" s="35" t="n"/>
      <c r="AD32" s="35" t="n"/>
      <c r="AE32" s="35" t="n"/>
      <c r="AF32" s="35" t="n"/>
      <c r="AG32" s="35" t="n"/>
      <c r="AH32" s="35" t="n"/>
      <c r="AI32" s="35" t="n"/>
      <c r="AJ32" s="81" t="n"/>
      <c r="AK32" s="17" t="n"/>
      <c r="AL32" s="34" t="n"/>
      <c r="AM32" s="35" t="n"/>
      <c r="AN32" s="35" t="n"/>
      <c r="AO32" s="35" t="n"/>
      <c r="AP32" s="35" t="n"/>
      <c r="AQ32" s="35" t="n"/>
      <c r="AR32" s="35" t="n"/>
      <c r="AS32" s="35" t="n"/>
      <c r="AT32" s="35" t="n"/>
      <c r="AU32" s="35" t="n"/>
      <c r="AV32" s="81" t="n"/>
      <c r="AW32" s="17" t="n"/>
      <c r="AX32" s="34" t="n"/>
      <c r="AY32" s="35" t="n"/>
      <c r="AZ32" s="35" t="n"/>
      <c r="BA32" s="35" t="n"/>
      <c r="BB32" s="35" t="n"/>
      <c r="BC32" s="35" t="n"/>
      <c r="BD32" s="35" t="n"/>
      <c r="BE32" s="35" t="n"/>
      <c r="BF32" s="35" t="n"/>
      <c r="BG32" s="35" t="n"/>
      <c r="BH32" s="81" t="n"/>
      <c r="BI32" s="17" t="n"/>
    </row>
    <row r="33" ht="14" customHeight="1">
      <c r="A33" s="17" t="n"/>
      <c r="B33" s="17" t="n"/>
      <c r="C33" s="17" t="n"/>
      <c r="D33" s="17" t="n"/>
      <c r="E33" s="17" t="n"/>
      <c r="F33" s="17" t="n"/>
      <c r="G33" s="17" t="n"/>
      <c r="H33" s="17" t="n"/>
      <c r="I33" s="17" t="n"/>
      <c r="J33" s="17" t="n"/>
      <c r="K33" s="17" t="n"/>
      <c r="L33" s="17" t="n"/>
      <c r="M33" s="17" t="n"/>
      <c r="N33" s="17" t="n"/>
      <c r="O33" s="17" t="n"/>
      <c r="P33" s="17" t="n"/>
      <c r="Q33" s="17" t="n"/>
      <c r="R33" s="17" t="n"/>
      <c r="S33" s="17" t="n"/>
      <c r="T33" s="17" t="n"/>
      <c r="U33" s="17" t="n"/>
      <c r="V33" s="17" t="n"/>
      <c r="W33" s="17" t="n"/>
      <c r="X33" s="17" t="n"/>
      <c r="Y33" s="17" t="n"/>
      <c r="Z33" s="17" t="n"/>
      <c r="AA33" s="17" t="n"/>
      <c r="AB33" s="17" t="n"/>
      <c r="AC33" s="17" t="n"/>
      <c r="AD33" s="17" t="n"/>
      <c r="AE33" s="17" t="n"/>
      <c r="AF33" s="17" t="n"/>
      <c r="AG33" s="17" t="n"/>
      <c r="AH33" s="17" t="n"/>
      <c r="AI33" s="17" t="n"/>
      <c r="AJ33" s="17" t="n"/>
      <c r="AK33" s="17" t="n"/>
      <c r="AL33" s="17" t="n"/>
      <c r="AM33" s="17" t="n"/>
      <c r="AN33" s="17" t="n"/>
      <c r="AO33" s="17" t="n"/>
      <c r="AP33" s="17" t="n"/>
      <c r="AQ33" s="17" t="n"/>
      <c r="AR33" s="17" t="n"/>
      <c r="AS33" s="17" t="n"/>
      <c r="AT33" s="17" t="n"/>
      <c r="AU33" s="17" t="n"/>
      <c r="AV33" s="17" t="n"/>
      <c r="AW33" s="17" t="n"/>
      <c r="AX33" s="17" t="n"/>
      <c r="AY33" s="17" t="n"/>
      <c r="AZ33" s="17" t="n"/>
      <c r="BA33" s="17" t="n"/>
      <c r="BB33" s="17" t="n"/>
      <c r="BC33" s="17" t="n"/>
      <c r="BD33" s="17" t="n"/>
      <c r="BE33" s="17" t="n"/>
      <c r="BF33" s="17" t="n"/>
      <c r="BG33" s="17" t="n"/>
      <c r="BH33" s="17" t="n"/>
      <c r="BI33" s="17" t="n"/>
    </row>
    <row r="34" ht="20" customHeight="1">
      <c r="A34" s="17" t="n"/>
      <c r="B34" s="41" t="inlineStr">
        <is>
          <t>RÉPARTITION DE LA CHARGE</t>
        </is>
      </c>
      <c r="C34" s="42" t="n"/>
      <c r="D34" s="42" t="n"/>
      <c r="E34" s="42" t="n"/>
      <c r="F34" s="42" t="n"/>
      <c r="G34" s="42" t="n"/>
      <c r="H34" s="42" t="n"/>
      <c r="I34" s="42" t="n"/>
      <c r="J34" s="42" t="n"/>
      <c r="K34" s="42" t="n"/>
      <c r="L34" s="42" t="n"/>
      <c r="M34" s="42" t="n"/>
      <c r="N34" s="42" t="n"/>
      <c r="O34" s="42" t="n"/>
      <c r="P34" s="42" t="n"/>
      <c r="Q34" s="42" t="n"/>
      <c r="R34" s="42" t="n"/>
      <c r="S34" s="42" t="n"/>
      <c r="T34" s="42" t="n"/>
      <c r="U34" s="42" t="n"/>
      <c r="V34" s="42" t="n"/>
      <c r="W34" s="42" t="n"/>
      <c r="X34" s="42" t="n"/>
      <c r="Y34" s="42" t="n"/>
      <c r="Z34" s="42" t="n"/>
      <c r="AA34" s="42" t="n"/>
      <c r="AB34" s="42" t="n"/>
      <c r="AC34" s="42" t="n"/>
      <c r="AD34" s="42" t="n"/>
      <c r="AE34" s="42" t="n"/>
      <c r="AF34" s="42" t="n"/>
      <c r="AG34" s="42" t="n"/>
      <c r="AH34" s="42" t="n"/>
      <c r="AI34" s="42" t="n"/>
      <c r="AJ34" s="42" t="n"/>
      <c r="AK34" s="42" t="n"/>
      <c r="AL34" s="42" t="n"/>
      <c r="AM34" s="42" t="n"/>
      <c r="AN34" s="42" t="n"/>
      <c r="AO34" s="42" t="n"/>
      <c r="AP34" s="42" t="n"/>
      <c r="AQ34" s="42" t="n"/>
      <c r="AR34" s="42" t="n"/>
      <c r="AS34" s="42" t="n"/>
      <c r="AT34" s="42" t="n"/>
      <c r="AU34" s="42" t="n"/>
      <c r="AV34" s="42" t="n"/>
      <c r="AW34" s="42" t="n"/>
      <c r="AX34" s="42" t="n"/>
      <c r="AY34" s="42" t="n"/>
      <c r="AZ34" s="42" t="n"/>
      <c r="BA34" s="42" t="n"/>
      <c r="BB34" s="42" t="n"/>
      <c r="BC34" s="42" t="n"/>
      <c r="BD34" s="42" t="n"/>
      <c r="BE34" s="42" t="n"/>
      <c r="BF34" s="42" t="n"/>
      <c r="BG34" s="42" t="n"/>
      <c r="BH34" s="42" t="n"/>
      <c r="BI34" s="17" t="n"/>
    </row>
    <row r="35" ht="6" customHeight="1">
      <c r="A35" s="17" t="n"/>
      <c r="B35" s="17" t="n"/>
      <c r="C35" s="17" t="n"/>
      <c r="D35" s="17" t="n"/>
      <c r="E35" s="17" t="n"/>
      <c r="F35" s="17" t="n"/>
      <c r="G35" s="17" t="n"/>
      <c r="H35" s="17" t="n"/>
      <c r="I35" s="17" t="n"/>
      <c r="J35" s="17" t="n"/>
      <c r="K35" s="17" t="n"/>
      <c r="L35" s="17" t="n"/>
      <c r="M35" s="17" t="n"/>
      <c r="N35" s="17" t="n"/>
      <c r="O35" s="17" t="n"/>
      <c r="P35" s="17" t="n"/>
      <c r="Q35" s="17" t="n"/>
      <c r="R35" s="17" t="n"/>
      <c r="S35" s="17" t="n"/>
      <c r="T35" s="17" t="n"/>
      <c r="U35" s="17" t="n"/>
      <c r="V35" s="17" t="n"/>
      <c r="W35" s="17" t="n"/>
      <c r="X35" s="17" t="n"/>
      <c r="Y35" s="17" t="n"/>
      <c r="Z35" s="17" t="n"/>
      <c r="AA35" s="17" t="n"/>
      <c r="AB35" s="17" t="n"/>
      <c r="AC35" s="17" t="n"/>
      <c r="AD35" s="17" t="n"/>
      <c r="AE35" s="17" t="n"/>
      <c r="AF35" s="17" t="n"/>
      <c r="AG35" s="17" t="n"/>
      <c r="AH35" s="17" t="n"/>
      <c r="AI35" s="17" t="n"/>
      <c r="AJ35" s="17" t="n"/>
      <c r="AK35" s="17" t="n"/>
      <c r="AL35" s="17" t="n"/>
      <c r="AM35" s="17" t="n"/>
      <c r="AN35" s="17" t="n"/>
      <c r="AO35" s="17" t="n"/>
      <c r="AP35" s="17" t="n"/>
      <c r="AQ35" s="17" t="n"/>
      <c r="AR35" s="17" t="n"/>
      <c r="AS35" s="17" t="n"/>
      <c r="AT35" s="17" t="n"/>
      <c r="AU35" s="17" t="n"/>
      <c r="AV35" s="17" t="n"/>
      <c r="AW35" s="17" t="n"/>
      <c r="AX35" s="17" t="n"/>
      <c r="AY35" s="17" t="n"/>
      <c r="AZ35" s="17" t="n"/>
      <c r="BA35" s="17" t="n"/>
      <c r="BB35" s="17" t="n"/>
      <c r="BC35" s="17" t="n"/>
      <c r="BD35" s="17" t="n"/>
      <c r="BE35" s="17" t="n"/>
      <c r="BF35" s="17" t="n"/>
      <c r="BG35" s="17" t="n"/>
      <c r="BH35" s="17" t="n"/>
      <c r="BI35" s="17" t="n"/>
    </row>
    <row r="36" ht="6" customHeight="1">
      <c r="A36" s="17" t="n"/>
      <c r="B36" s="45" t="n"/>
      <c r="C36" s="30" t="n"/>
      <c r="D36" s="30" t="n"/>
      <c r="E36" s="30" t="n"/>
      <c r="F36" s="30" t="n"/>
      <c r="G36" s="30" t="n"/>
      <c r="H36" s="30" t="n"/>
      <c r="I36" s="30" t="n"/>
      <c r="J36" s="30" t="n"/>
      <c r="K36" s="30" t="n"/>
      <c r="L36" s="30" t="n"/>
      <c r="M36" s="30" t="n"/>
      <c r="N36" s="30" t="n"/>
      <c r="O36" s="30" t="n"/>
      <c r="P36" s="30" t="n"/>
      <c r="Q36" s="30" t="n"/>
      <c r="R36" s="30" t="n"/>
      <c r="S36" s="30" t="n"/>
      <c r="T36" s="30" t="n"/>
      <c r="U36" s="30" t="n"/>
      <c r="V36" s="30" t="n"/>
      <c r="W36" s="30" t="n"/>
      <c r="X36" s="30" t="n"/>
      <c r="Y36" s="30" t="n"/>
      <c r="Z36" s="30" t="n"/>
      <c r="AA36" s="30" t="n"/>
      <c r="AB36" s="30" t="n"/>
      <c r="AC36" s="30" t="n"/>
      <c r="AD36" s="30" t="n"/>
      <c r="AE36" s="30" t="n"/>
      <c r="AF36" s="46" t="n"/>
      <c r="AG36" s="17" t="n"/>
      <c r="AH36" s="45" t="n"/>
      <c r="AI36" s="30" t="n"/>
      <c r="AJ36" s="30" t="n"/>
      <c r="AK36" s="30" t="n"/>
      <c r="AL36" s="30" t="n"/>
      <c r="AM36" s="30" t="n"/>
      <c r="AN36" s="30" t="n"/>
      <c r="AO36" s="30" t="n"/>
      <c r="AP36" s="30" t="n"/>
      <c r="AQ36" s="30" t="n"/>
      <c r="AR36" s="30" t="n"/>
      <c r="AS36" s="30" t="n"/>
      <c r="AT36" s="30" t="n"/>
      <c r="AU36" s="30" t="n"/>
      <c r="AV36" s="30" t="n"/>
      <c r="AW36" s="30" t="n"/>
      <c r="AX36" s="30" t="n"/>
      <c r="AY36" s="30" t="n"/>
      <c r="AZ36" s="30" t="n"/>
      <c r="BA36" s="30" t="n"/>
      <c r="BB36" s="30" t="n"/>
      <c r="BC36" s="30" t="n"/>
      <c r="BD36" s="30" t="n"/>
      <c r="BE36" s="30" t="n"/>
      <c r="BF36" s="30" t="n"/>
      <c r="BG36" s="30" t="n"/>
      <c r="BH36" s="46" t="n"/>
      <c r="BI36" s="17" t="n"/>
    </row>
    <row r="37" ht="18" customHeight="1">
      <c r="A37" s="17" t="n"/>
      <c r="B37" s="50" t="n"/>
      <c r="C37" s="51" t="inlineStr">
        <is>
          <t>CHARGE EN HEURES PAR MOIS ET PAR PROJET</t>
        </is>
      </c>
      <c r="S37" s="100" t="n"/>
      <c r="T37" s="100" t="n"/>
      <c r="U37" s="101">
        <f>Calculs!$AL$33</f>
        <v>776</v>
      </c>
      <c r="AF37" s="52" t="n"/>
      <c r="AG37" s="17" t="n"/>
      <c r="AH37" s="50" t="n"/>
      <c r="AI37" s="51" t="inlineStr">
        <is>
          <t>RÉPARTITION DE LA CHARGE PAR PROJET</t>
        </is>
      </c>
      <c r="BH37" s="52" t="n"/>
      <c r="BI37" s="17" t="n"/>
    </row>
    <row r="38" ht="15" customHeight="1">
      <c r="A38" s="17" t="n"/>
      <c r="B38" s="50" t="n"/>
      <c r="C38" s="102">
        <f>Calculs!$AL$14</f>
        <v>46266.0</v>
      </c>
      <c r="Q38" s="103">
        <f>Calculs!$AL$16</f>
        <v>73.3</v>
      </c>
      <c r="AF38" s="52" t="n"/>
      <c r="AG38" s="17" t="n"/>
      <c r="AH38" s="50" t="n"/>
      <c r="AI38" s="59" t="str">
        <f>IF(aide_Dashboard="Oui","Total au centre · une couleur par projet, commune aux deux graphiques","")</f>
        <v>Total au centre · une couleur par projet, commune aux deux graphiques</v>
      </c>
      <c r="BH38" s="52" t="n"/>
      <c r="BI38" s="17" t="n"/>
    </row>
    <row r="39" ht="15" customHeight="1">
      <c r="A39" s="17" t="n"/>
      <c r="B39" s="50" t="n"/>
      <c r="C39" s="72" t="n"/>
      <c r="D39" s="72" t="n"/>
      <c r="E39" s="72" t="n"/>
      <c r="F39" s="72" t="n"/>
      <c r="G39" s="72" t="n"/>
      <c r="H39" s="72" t="n"/>
      <c r="I39" s="72" t="n"/>
      <c r="J39" s="72" t="n"/>
      <c r="K39" s="72" t="n"/>
      <c r="L39" s="72" t="n"/>
      <c r="M39" s="72" t="n"/>
      <c r="N39" s="72" t="n"/>
      <c r="O39" s="72" t="n"/>
      <c r="P39" s="72" t="n"/>
      <c r="Q39" s="72" t="n"/>
      <c r="R39" s="72" t="n"/>
      <c r="S39" s="72" t="n"/>
      <c r="T39" s="72" t="n"/>
      <c r="U39" s="72" t="n"/>
      <c r="V39" s="72" t="n"/>
      <c r="W39" s="72" t="n"/>
      <c r="X39" s="72" t="n"/>
      <c r="Y39" s="72" t="n"/>
      <c r="Z39" s="72" t="n"/>
      <c r="AA39" s="72" t="n"/>
      <c r="AB39" s="72" t="n"/>
      <c r="AC39" s="72" t="n"/>
      <c r="AD39" s="72" t="n"/>
      <c r="AE39" s="72" t="n"/>
      <c r="AF39" s="52" t="n"/>
      <c r="AG39" s="17" t="n"/>
      <c r="AH39" s="50" t="n"/>
      <c r="AI39" s="72" t="n"/>
      <c r="AJ39" s="72" t="n"/>
      <c r="AK39" s="72" t="n"/>
      <c r="AL39" s="72" t="n"/>
      <c r="AM39" s="72" t="n"/>
      <c r="AN39" s="72" t="n"/>
      <c r="AO39" s="72" t="n"/>
      <c r="AP39" s="72" t="n"/>
      <c r="AQ39" s="72" t="n"/>
      <c r="AR39" s="72" t="n"/>
      <c r="AS39" s="72" t="n"/>
      <c r="AT39" s="72" t="n"/>
      <c r="AU39" s="72" t="n"/>
      <c r="AV39" s="72" t="n"/>
      <c r="AW39" s="72" t="n"/>
      <c r="AX39" s="72" t="n"/>
      <c r="AY39" s="72" t="n"/>
      <c r="AZ39" s="72" t="n"/>
      <c r="BA39" s="72" t="n"/>
      <c r="BB39" s="72" t="n"/>
      <c r="BC39" s="72" t="n"/>
      <c r="BD39" s="72" t="n"/>
      <c r="BE39" s="72" t="n"/>
      <c r="BF39" s="72" t="n"/>
      <c r="BG39" s="72" t="n"/>
      <c r="BH39" s="52" t="n"/>
      <c r="BI39" s="17" t="n"/>
    </row>
    <row r="40" ht="15" customHeight="1">
      <c r="A40" s="17" t="n"/>
      <c r="B40" s="50" t="n"/>
      <c r="C40" s="72" t="n"/>
      <c r="D40" s="72" t="n"/>
      <c r="E40" s="72" t="n"/>
      <c r="F40" s="72" t="n"/>
      <c r="G40" s="72" t="n"/>
      <c r="H40" s="72" t="n"/>
      <c r="I40" s="72" t="n"/>
      <c r="J40" s="72" t="n"/>
      <c r="K40" s="72" t="n"/>
      <c r="L40" s="72" t="n"/>
      <c r="M40" s="72" t="n"/>
      <c r="N40" s="72" t="n"/>
      <c r="O40" s="72" t="n"/>
      <c r="P40" s="72" t="n"/>
      <c r="Q40" s="72" t="n"/>
      <c r="R40" s="72" t="n"/>
      <c r="S40" s="72" t="n"/>
      <c r="T40" s="72" t="n"/>
      <c r="U40" s="72" t="n"/>
      <c r="V40" s="72" t="n"/>
      <c r="W40" s="72" t="n"/>
      <c r="X40" s="72" t="n"/>
      <c r="Y40" s="72" t="n"/>
      <c r="Z40" s="72" t="n"/>
      <c r="AA40" s="72" t="n"/>
      <c r="AB40" s="72" t="n"/>
      <c r="AC40" s="72" t="n"/>
      <c r="AD40" s="72" t="n"/>
      <c r="AE40" s="72" t="n"/>
      <c r="AF40" s="52" t="n"/>
      <c r="AG40" s="17" t="n"/>
      <c r="AH40" s="50" t="n"/>
      <c r="AI40" s="72" t="n"/>
      <c r="AJ40" s="72" t="n"/>
      <c r="AK40" s="72" t="n"/>
      <c r="AL40" s="72" t="n"/>
      <c r="AM40" s="72" t="n"/>
      <c r="AN40" s="72" t="n"/>
      <c r="AO40" s="72" t="n"/>
      <c r="AP40" s="72" t="n"/>
      <c r="AQ40" s="72" t="n"/>
      <c r="AR40" s="72" t="n"/>
      <c r="AS40" s="72" t="n"/>
      <c r="AT40" s="72" t="n"/>
      <c r="AU40" s="72" t="n"/>
      <c r="AV40" s="72" t="n"/>
      <c r="AW40" s="72" t="n"/>
      <c r="AX40" s="72" t="n"/>
      <c r="AY40" s="72" t="n"/>
      <c r="AZ40" s="72" t="n"/>
      <c r="BA40" s="72" t="n"/>
      <c r="BB40" s="72" t="n"/>
      <c r="BC40" s="72" t="n"/>
      <c r="BD40" s="72" t="n"/>
      <c r="BE40" s="72" t="n"/>
      <c r="BF40" s="72" t="n"/>
      <c r="BG40" s="72" t="n"/>
      <c r="BH40" s="52" t="n"/>
      <c r="BI40" s="17" t="n"/>
    </row>
    <row r="41" ht="15" customHeight="1">
      <c r="A41" s="17" t="n"/>
      <c r="B41" s="50" t="n"/>
      <c r="C41" s="72" t="n"/>
      <c r="D41" s="72" t="n"/>
      <c r="E41" s="72" t="n"/>
      <c r="F41" s="72" t="n"/>
      <c r="G41" s="72" t="n"/>
      <c r="H41" s="72" t="n"/>
      <c r="I41" s="72" t="n"/>
      <c r="J41" s="72" t="n"/>
      <c r="K41" s="72" t="n"/>
      <c r="L41" s="72" t="n"/>
      <c r="M41" s="72" t="n"/>
      <c r="N41" s="72" t="n"/>
      <c r="O41" s="72" t="n"/>
      <c r="P41" s="72" t="n"/>
      <c r="Q41" s="72" t="n"/>
      <c r="R41" s="72" t="n"/>
      <c r="S41" s="72" t="n"/>
      <c r="T41" s="72" t="n"/>
      <c r="U41" s="72" t="n"/>
      <c r="V41" s="72" t="n"/>
      <c r="W41" s="72" t="n"/>
      <c r="X41" s="72" t="n"/>
      <c r="Y41" s="72" t="n"/>
      <c r="Z41" s="72" t="n"/>
      <c r="AA41" s="72" t="n"/>
      <c r="AB41" s="72" t="n"/>
      <c r="AC41" s="72" t="n"/>
      <c r="AD41" s="72" t="n"/>
      <c r="AE41" s="72" t="n"/>
      <c r="AF41" s="52" t="n"/>
      <c r="AG41" s="17" t="n"/>
      <c r="AH41" s="50" t="n"/>
      <c r="AI41" s="72" t="n"/>
      <c r="AJ41" s="72" t="n"/>
      <c r="AK41" s="72" t="n"/>
      <c r="AL41" s="72" t="n"/>
      <c r="AM41" s="72" t="n"/>
      <c r="AN41" s="72" t="n"/>
      <c r="AO41" s="72" t="n"/>
      <c r="AP41" s="72" t="n"/>
      <c r="AQ41" s="72" t="n"/>
      <c r="AR41" s="72" t="n"/>
      <c r="AS41" s="72" t="n"/>
      <c r="AT41" s="72" t="n"/>
      <c r="AU41" s="72" t="n"/>
      <c r="AV41" s="72" t="n"/>
      <c r="AW41" s="72" t="n"/>
      <c r="AX41" s="72" t="n"/>
      <c r="AY41" s="72" t="n"/>
      <c r="AZ41" s="72" t="n"/>
      <c r="BA41" s="72" t="n"/>
      <c r="BB41" s="72" t="n"/>
      <c r="BC41" s="72" t="n"/>
      <c r="BD41" s="72" t="n"/>
      <c r="BE41" s="72" t="n"/>
      <c r="BF41" s="72" t="n"/>
      <c r="BG41" s="72" t="n"/>
      <c r="BH41" s="52" t="n"/>
      <c r="BI41" s="17" t="n"/>
    </row>
    <row r="42" ht="15" customHeight="1">
      <c r="A42" s="17" t="n"/>
      <c r="B42" s="50" t="n"/>
      <c r="C42" s="72" t="n"/>
      <c r="D42" s="72" t="n"/>
      <c r="E42" s="72" t="n"/>
      <c r="F42" s="72" t="n"/>
      <c r="G42" s="72" t="n"/>
      <c r="H42" s="72" t="n"/>
      <c r="I42" s="72" t="n"/>
      <c r="J42" s="72" t="n"/>
      <c r="K42" s="72" t="n"/>
      <c r="L42" s="72" t="n"/>
      <c r="M42" s="72" t="n"/>
      <c r="N42" s="72" t="n"/>
      <c r="O42" s="72" t="n"/>
      <c r="P42" s="72" t="n"/>
      <c r="Q42" s="72" t="n"/>
      <c r="R42" s="72" t="n"/>
      <c r="S42" s="72" t="n"/>
      <c r="T42" s="72" t="n"/>
      <c r="U42" s="72" t="n"/>
      <c r="V42" s="72" t="n"/>
      <c r="W42" s="72" t="n"/>
      <c r="X42" s="72" t="n"/>
      <c r="Y42" s="72" t="n"/>
      <c r="Z42" s="72" t="n"/>
      <c r="AA42" s="72" t="n"/>
      <c r="AB42" s="72" t="n"/>
      <c r="AC42" s="72" t="n"/>
      <c r="AD42" s="72" t="n"/>
      <c r="AE42" s="72" t="n"/>
      <c r="AF42" s="52" t="n"/>
      <c r="AG42" s="17" t="n"/>
      <c r="AH42" s="50" t="n"/>
      <c r="AI42" s="72" t="n"/>
      <c r="AJ42" s="72" t="n"/>
      <c r="AK42" s="72" t="n"/>
      <c r="AL42" s="72" t="n"/>
      <c r="AM42" s="72" t="n"/>
      <c r="AN42" s="72" t="n"/>
      <c r="AO42" s="72" t="n"/>
      <c r="AP42" s="72" t="n"/>
      <c r="AQ42" s="72" t="n"/>
      <c r="AR42" s="72" t="n"/>
      <c r="AS42" s="72" t="n"/>
      <c r="AT42" s="72" t="n"/>
      <c r="AU42" s="72" t="n"/>
      <c r="AV42" s="72" t="n"/>
      <c r="AW42" s="72" t="n"/>
      <c r="AX42" s="74" t="inlineStr">
        <is>
          <t>Projet</t>
        </is>
      </c>
      <c r="BC42" s="104" t="inlineStr">
        <is>
          <t>Heures</t>
        </is>
      </c>
      <c r="BF42" s="104" t="inlineStr">
        <is>
          <t>Part</t>
        </is>
      </c>
      <c r="BH42" s="52" t="n"/>
      <c r="BI42" s="17" t="n"/>
    </row>
    <row r="43" ht="15" customHeight="1">
      <c r="A43" s="17" t="n"/>
      <c r="B43" s="50" t="n"/>
      <c r="C43" s="72" t="n"/>
      <c r="D43" s="72" t="n"/>
      <c r="E43" s="72" t="n"/>
      <c r="F43" s="72" t="n"/>
      <c r="G43" s="72" t="n"/>
      <c r="H43" s="72" t="n"/>
      <c r="I43" s="72" t="n"/>
      <c r="J43" s="72" t="n"/>
      <c r="K43" s="72" t="n"/>
      <c r="L43" s="72" t="n"/>
      <c r="M43" s="72" t="n"/>
      <c r="N43" s="72" t="n"/>
      <c r="O43" s="72" t="n"/>
      <c r="P43" s="72" t="n"/>
      <c r="Q43" s="72" t="n"/>
      <c r="R43" s="72" t="n"/>
      <c r="S43" s="72" t="n"/>
      <c r="T43" s="72" t="n"/>
      <c r="U43" s="72" t="n"/>
      <c r="V43" s="72" t="n"/>
      <c r="W43" s="72" t="n"/>
      <c r="X43" s="72" t="n"/>
      <c r="Y43" s="72" t="n"/>
      <c r="Z43" s="72" t="n"/>
      <c r="AA43" s="72" t="n"/>
      <c r="AB43" s="72" t="n"/>
      <c r="AC43" s="72" t="n"/>
      <c r="AD43" s="72" t="n"/>
      <c r="AE43" s="72" t="n"/>
      <c r="AF43" s="52" t="n"/>
      <c r="AG43" s="17" t="n"/>
      <c r="AH43" s="50" t="n"/>
      <c r="AI43" s="72" t="n"/>
      <c r="AJ43" s="72" t="n"/>
      <c r="AK43" s="72" t="n"/>
      <c r="AL43" s="72" t="n"/>
      <c r="AM43" s="72" t="n"/>
      <c r="AN43" s="72" t="n"/>
      <c r="AO43" s="72" t="n"/>
      <c r="AP43" s="72" t="n"/>
      <c r="AQ43" s="72" t="n"/>
      <c r="AR43" s="72" t="n"/>
      <c r="AS43" s="72" t="n"/>
      <c r="AT43" s="72" t="n"/>
      <c r="AU43" s="72" t="n"/>
      <c r="AV43" s="72" t="n"/>
      <c r="AW43" s="66" t="n"/>
      <c r="AX43" s="105" t="str">
        <f>Calculs!AT4</f>
        <v>ATLAS</v>
      </c>
      <c r="BC43" s="106">
        <f>IF(Calculs!AT4="","",Calculs!AU4)</f>
        <v>860</v>
      </c>
      <c r="BF43" s="107">
        <f>IF(Calculs!AT4="","",Calculs!AV4)</f>
        <v>0.248914616497829</v>
      </c>
      <c r="BH43" s="52" t="n"/>
      <c r="BI43" s="17" t="n"/>
    </row>
    <row r="44" ht="15" customHeight="1">
      <c r="A44" s="17" t="n"/>
      <c r="B44" s="50" t="n"/>
      <c r="C44" s="72" t="n"/>
      <c r="D44" s="72" t="n"/>
      <c r="E44" s="72" t="n"/>
      <c r="F44" s="72" t="n"/>
      <c r="G44" s="72" t="n"/>
      <c r="H44" s="72" t="n"/>
      <c r="I44" s="72" t="n"/>
      <c r="J44" s="72" t="n"/>
      <c r="K44" s="72" t="n"/>
      <c r="L44" s="72" t="n"/>
      <c r="M44" s="72" t="n"/>
      <c r="N44" s="72" t="n"/>
      <c r="O44" s="72" t="n"/>
      <c r="P44" s="72" t="n"/>
      <c r="Q44" s="72" t="n"/>
      <c r="R44" s="72" t="n"/>
      <c r="S44" s="72" t="n"/>
      <c r="T44" s="72" t="n"/>
      <c r="U44" s="72" t="n"/>
      <c r="V44" s="72" t="n"/>
      <c r="W44" s="72" t="n"/>
      <c r="X44" s="72" t="n"/>
      <c r="Y44" s="72" t="n"/>
      <c r="Z44" s="72" t="n"/>
      <c r="AA44" s="72" t="n"/>
      <c r="AB44" s="72" t="n"/>
      <c r="AC44" s="72" t="n"/>
      <c r="AD44" s="72" t="n"/>
      <c r="AE44" s="72" t="n"/>
      <c r="AF44" s="52" t="n"/>
      <c r="AG44" s="17" t="n"/>
      <c r="AH44" s="50" t="n"/>
      <c r="AI44" s="72" t="n"/>
      <c r="AJ44" s="72" t="n"/>
      <c r="AK44" s="72" t="n"/>
      <c r="AL44" s="72" t="n"/>
      <c r="AM44" s="72" t="n"/>
      <c r="AN44" s="72" t="n"/>
      <c r="AO44" s="72" t="n"/>
      <c r="AP44" s="72" t="n"/>
      <c r="AQ44" s="72" t="n"/>
      <c r="AR44" s="72" t="n"/>
      <c r="AS44" s="72" t="n"/>
      <c r="AT44" s="72" t="n"/>
      <c r="AU44" s="72" t="n"/>
      <c r="AV44" s="72" t="n"/>
      <c r="AW44" s="70" t="n"/>
      <c r="AX44" s="105" t="str">
        <f>Calculs!AT5</f>
        <v>BORÉAL</v>
      </c>
      <c r="BC44" s="106">
        <f>IF(Calculs!AT5="","",Calculs!AU5)</f>
        <v>620</v>
      </c>
      <c r="BF44" s="107">
        <f>IF(Calculs!AT5="","",Calculs!AV5)</f>
        <v>0.1794500723589</v>
      </c>
      <c r="BH44" s="52" t="n"/>
      <c r="BI44" s="17" t="n"/>
    </row>
    <row r="45" ht="15" customHeight="1">
      <c r="A45" s="17" t="n"/>
      <c r="B45" s="50" t="n"/>
      <c r="C45" s="72" t="n"/>
      <c r="D45" s="72" t="n"/>
      <c r="E45" s="72" t="n"/>
      <c r="F45" s="72" t="n"/>
      <c r="G45" s="72" t="n"/>
      <c r="H45" s="72" t="n"/>
      <c r="I45" s="72" t="n"/>
      <c r="J45" s="72" t="n"/>
      <c r="K45" s="72" t="n"/>
      <c r="L45" s="72" t="n"/>
      <c r="M45" s="72" t="n"/>
      <c r="N45" s="72" t="n"/>
      <c r="O45" s="72" t="n"/>
      <c r="P45" s="72" t="n"/>
      <c r="Q45" s="72" t="n"/>
      <c r="R45" s="72" t="n"/>
      <c r="S45" s="72" t="n"/>
      <c r="T45" s="72" t="n"/>
      <c r="U45" s="72" t="n"/>
      <c r="V45" s="72" t="n"/>
      <c r="W45" s="72" t="n"/>
      <c r="X45" s="72" t="n"/>
      <c r="Y45" s="72" t="n"/>
      <c r="Z45" s="72" t="n"/>
      <c r="AA45" s="72" t="n"/>
      <c r="AB45" s="72" t="n"/>
      <c r="AC45" s="72" t="n"/>
      <c r="AD45" s="72" t="n"/>
      <c r="AE45" s="72" t="n"/>
      <c r="AF45" s="52" t="n"/>
      <c r="AG45" s="17" t="n"/>
      <c r="AH45" s="50" t="n"/>
      <c r="AI45" s="108">
        <f>Calculs!$AL$4</f>
        <v>3455</v>
      </c>
      <c r="AV45" s="72" t="n"/>
      <c r="AW45" s="71" t="n"/>
      <c r="AX45" s="105" t="str">
        <f>Calculs!AT6</f>
        <v>DELTA</v>
      </c>
      <c r="BC45" s="106">
        <f>IF(Calculs!AT6="","",Calculs!AU6)</f>
        <v>560</v>
      </c>
      <c r="BF45" s="107">
        <f>IF(Calculs!AT6="","",Calculs!AV6)</f>
        <v>0.162083936324168</v>
      </c>
      <c r="BH45" s="52" t="n"/>
      <c r="BI45" s="17" t="n"/>
    </row>
    <row r="46" ht="15" customHeight="1">
      <c r="A46" s="17" t="n"/>
      <c r="B46" s="50" t="n"/>
      <c r="C46" s="72" t="n"/>
      <c r="D46" s="72" t="n"/>
      <c r="E46" s="72" t="n"/>
      <c r="F46" s="72" t="n"/>
      <c r="G46" s="72" t="n"/>
      <c r="H46" s="72" t="n"/>
      <c r="I46" s="72" t="n"/>
      <c r="J46" s="72" t="n"/>
      <c r="K46" s="72" t="n"/>
      <c r="L46" s="72" t="n"/>
      <c r="M46" s="72" t="n"/>
      <c r="N46" s="72" t="n"/>
      <c r="O46" s="72" t="n"/>
      <c r="P46" s="72" t="n"/>
      <c r="Q46" s="72" t="n"/>
      <c r="R46" s="72" t="n"/>
      <c r="S46" s="72" t="n"/>
      <c r="T46" s="72" t="n"/>
      <c r="U46" s="72" t="n"/>
      <c r="V46" s="72" t="n"/>
      <c r="W46" s="72" t="n"/>
      <c r="X46" s="72" t="n"/>
      <c r="Y46" s="72" t="n"/>
      <c r="Z46" s="72" t="n"/>
      <c r="AA46" s="72" t="n"/>
      <c r="AB46" s="72" t="n"/>
      <c r="AC46" s="72" t="n"/>
      <c r="AD46" s="72" t="n"/>
      <c r="AE46" s="72" t="n"/>
      <c r="AF46" s="52" t="n"/>
      <c r="AG46" s="17" t="n"/>
      <c r="AH46" s="50" t="n"/>
      <c r="AV46" s="72" t="n"/>
      <c r="AW46" s="73" t="n"/>
      <c r="AX46" s="105" t="str">
        <f>Calculs!AT7</f>
        <v>PÉGASE</v>
      </c>
      <c r="BC46" s="106">
        <f>IF(Calculs!AT7="","",Calculs!AU7)</f>
        <v>550</v>
      </c>
      <c r="BF46" s="107">
        <f>IF(Calculs!AT7="","",Calculs!AV7)</f>
        <v>0.159189580318379</v>
      </c>
      <c r="BH46" s="52" t="n"/>
      <c r="BI46" s="17" t="n"/>
    </row>
    <row r="47" ht="15" customHeight="1">
      <c r="A47" s="17" t="n"/>
      <c r="B47" s="50" t="n"/>
      <c r="C47" s="72" t="n"/>
      <c r="D47" s="72" t="n"/>
      <c r="E47" s="72" t="n"/>
      <c r="F47" s="72" t="n"/>
      <c r="G47" s="72" t="n"/>
      <c r="H47" s="72" t="n"/>
      <c r="I47" s="72" t="n"/>
      <c r="J47" s="72" t="n"/>
      <c r="K47" s="72" t="n"/>
      <c r="L47" s="72" t="n"/>
      <c r="M47" s="72" t="n"/>
      <c r="N47" s="72" t="n"/>
      <c r="O47" s="72" t="n"/>
      <c r="P47" s="72" t="n"/>
      <c r="Q47" s="72" t="n"/>
      <c r="R47" s="72" t="n"/>
      <c r="S47" s="72" t="n"/>
      <c r="T47" s="72" t="n"/>
      <c r="U47" s="72" t="n"/>
      <c r="V47" s="72" t="n"/>
      <c r="W47" s="72" t="n"/>
      <c r="X47" s="72" t="n"/>
      <c r="Y47" s="72" t="n"/>
      <c r="Z47" s="72" t="n"/>
      <c r="AA47" s="72" t="n"/>
      <c r="AB47" s="72" t="n"/>
      <c r="AC47" s="72" t="n"/>
      <c r="AD47" s="72" t="n"/>
      <c r="AE47" s="72" t="n"/>
      <c r="AF47" s="52" t="n"/>
      <c r="AG47" s="17" t="n"/>
      <c r="AH47" s="50" t="n"/>
      <c r="AI47" s="109" t="inlineStr">
        <is>
          <t>au total</t>
        </is>
      </c>
      <c r="AV47" s="72" t="n"/>
      <c r="AW47" s="75" t="n"/>
      <c r="AX47" s="105" t="str">
        <f>Calculs!AT8</f>
        <v>CASSIOPÉE</v>
      </c>
      <c r="BC47" s="106">
        <f>IF(Calculs!AT8="","",Calculs!AU8)</f>
        <v>390</v>
      </c>
      <c r="BF47" s="107">
        <f>IF(Calculs!AT8="","",Calculs!AV8)</f>
        <v>0.11287988422576</v>
      </c>
      <c r="BH47" s="52" t="n"/>
      <c r="BI47" s="17" t="n"/>
    </row>
    <row r="48" ht="15" customHeight="1">
      <c r="A48" s="17" t="n"/>
      <c r="B48" s="50" t="n"/>
      <c r="C48" s="72" t="n"/>
      <c r="D48" s="72" t="n"/>
      <c r="E48" s="72" t="n"/>
      <c r="F48" s="72" t="n"/>
      <c r="G48" s="72" t="n"/>
      <c r="H48" s="72" t="n"/>
      <c r="I48" s="72" t="n"/>
      <c r="J48" s="72" t="n"/>
      <c r="K48" s="72" t="n"/>
      <c r="L48" s="72" t="n"/>
      <c r="M48" s="72" t="n"/>
      <c r="N48" s="72" t="n"/>
      <c r="O48" s="72" t="n"/>
      <c r="P48" s="72" t="n"/>
      <c r="Q48" s="72" t="n"/>
      <c r="R48" s="72" t="n"/>
      <c r="S48" s="72" t="n"/>
      <c r="T48" s="72" t="n"/>
      <c r="U48" s="72" t="n"/>
      <c r="V48" s="72" t="n"/>
      <c r="W48" s="72" t="n"/>
      <c r="X48" s="72" t="n"/>
      <c r="Y48" s="72" t="n"/>
      <c r="Z48" s="72" t="n"/>
      <c r="AA48" s="72" t="n"/>
      <c r="AB48" s="72" t="n"/>
      <c r="AC48" s="72" t="n"/>
      <c r="AD48" s="72" t="n"/>
      <c r="AE48" s="72" t="n"/>
      <c r="AF48" s="52" t="n"/>
      <c r="AG48" s="17" t="n"/>
      <c r="AH48" s="50" t="n"/>
      <c r="AV48" s="72" t="n"/>
      <c r="AW48" s="76" t="n"/>
      <c r="AX48" s="105" t="str">
        <f>Calculs!AT9</f>
        <v>ORION</v>
      </c>
      <c r="BC48" s="106">
        <f>IF(Calculs!AT9="","",Calculs!AU9)</f>
        <v>280</v>
      </c>
      <c r="BF48" s="107">
        <f>IF(Calculs!AT9="","",Calculs!AV9)</f>
        <v>0.0810419681620839</v>
      </c>
      <c r="BH48" s="52" t="n"/>
      <c r="BI48" s="17" t="n"/>
    </row>
    <row r="49" ht="15" customHeight="1">
      <c r="A49" s="17" t="n"/>
      <c r="B49" s="50" t="n"/>
      <c r="C49" s="72" t="n"/>
      <c r="D49" s="72" t="n"/>
      <c r="E49" s="72" t="n"/>
      <c r="F49" s="72" t="n"/>
      <c r="G49" s="72" t="n"/>
      <c r="H49" s="72" t="n"/>
      <c r="I49" s="72" t="n"/>
      <c r="J49" s="72" t="n"/>
      <c r="K49" s="72" t="n"/>
      <c r="L49" s="72" t="n"/>
      <c r="M49" s="72" t="n"/>
      <c r="N49" s="72" t="n"/>
      <c r="O49" s="72" t="n"/>
      <c r="P49" s="72" t="n"/>
      <c r="Q49" s="72" t="n"/>
      <c r="R49" s="72" t="n"/>
      <c r="S49" s="72" t="n"/>
      <c r="T49" s="72" t="n"/>
      <c r="U49" s="72" t="n"/>
      <c r="V49" s="72" t="n"/>
      <c r="W49" s="72" t="n"/>
      <c r="X49" s="72" t="n"/>
      <c r="Y49" s="72" t="n"/>
      <c r="Z49" s="72" t="n"/>
      <c r="AA49" s="72" t="n"/>
      <c r="AB49" s="72" t="n"/>
      <c r="AC49" s="72" t="n"/>
      <c r="AD49" s="72" t="n"/>
      <c r="AE49" s="72" t="n"/>
      <c r="AF49" s="52" t="n"/>
      <c r="AG49" s="17" t="n"/>
      <c r="AH49" s="50" t="n"/>
      <c r="AI49" s="72" t="n"/>
      <c r="AJ49" s="72" t="n"/>
      <c r="AK49" s="72" t="n"/>
      <c r="AL49" s="72" t="n"/>
      <c r="AM49" s="72" t="n"/>
      <c r="AN49" s="72" t="n"/>
      <c r="AO49" s="72" t="n"/>
      <c r="AP49" s="72" t="n"/>
      <c r="AQ49" s="72" t="n"/>
      <c r="AR49" s="72" t="n"/>
      <c r="AS49" s="72" t="n"/>
      <c r="AT49" s="72" t="n"/>
      <c r="AU49" s="72" t="n"/>
      <c r="AV49" s="72" t="n"/>
      <c r="AW49" s="78" t="n"/>
      <c r="AX49" s="105" t="str">
        <f>Calculs!AT10</f>
        <v>VEGA</v>
      </c>
      <c r="BC49" s="106">
        <f>IF(Calculs!AT10="","",Calculs!AU10)</f>
        <v>195</v>
      </c>
      <c r="BF49" s="107">
        <f>IF(Calculs!AT10="","",Calculs!AV10)</f>
        <v>0.0564399421128799</v>
      </c>
      <c r="BH49" s="52" t="n"/>
      <c r="BI49" s="17" t="n"/>
    </row>
    <row r="50" ht="15" customHeight="1">
      <c r="A50" s="17" t="n"/>
      <c r="B50" s="50" t="n"/>
      <c r="C50" s="72" t="n"/>
      <c r="D50" s="72" t="n"/>
      <c r="E50" s="72" t="n"/>
      <c r="F50" s="72" t="n"/>
      <c r="G50" s="72" t="n"/>
      <c r="H50" s="72" t="n"/>
      <c r="I50" s="72" t="n"/>
      <c r="J50" s="72" t="n"/>
      <c r="K50" s="72" t="n"/>
      <c r="L50" s="72" t="n"/>
      <c r="M50" s="72" t="n"/>
      <c r="N50" s="72" t="n"/>
      <c r="O50" s="72" t="n"/>
      <c r="P50" s="72" t="n"/>
      <c r="Q50" s="72" t="n"/>
      <c r="R50" s="72" t="n"/>
      <c r="S50" s="72" t="n"/>
      <c r="T50" s="72" t="n"/>
      <c r="U50" s="72" t="n"/>
      <c r="V50" s="72" t="n"/>
      <c r="W50" s="72" t="n"/>
      <c r="X50" s="72" t="n"/>
      <c r="Y50" s="72" t="n"/>
      <c r="Z50" s="72" t="n"/>
      <c r="AA50" s="72" t="n"/>
      <c r="AB50" s="72" t="n"/>
      <c r="AC50" s="72" t="n"/>
      <c r="AD50" s="72" t="n"/>
      <c r="AE50" s="72" t="n"/>
      <c r="AF50" s="52" t="n"/>
      <c r="AG50" s="17" t="n"/>
      <c r="AH50" s="50" t="n"/>
      <c r="AI50" s="72" t="n"/>
      <c r="AJ50" s="72" t="n"/>
      <c r="AK50" s="72" t="n"/>
      <c r="AL50" s="72" t="n"/>
      <c r="AM50" s="72" t="n"/>
      <c r="AN50" s="72" t="n"/>
      <c r="AO50" s="72" t="n"/>
      <c r="AP50" s="72" t="n"/>
      <c r="AQ50" s="72" t="n"/>
      <c r="AR50" s="72" t="n"/>
      <c r="AS50" s="72" t="n"/>
      <c r="AT50" s="72" t="n"/>
      <c r="AU50" s="72" t="n"/>
      <c r="AV50" s="72" t="n"/>
      <c r="AW50" s="79" t="n"/>
      <c r="AX50" s="105" t="str">
        <f>Calculs!AT11</f>
        <v/>
      </c>
      <c r="BC50" s="106" t="str">
        <f>IF(Calculs!AT11="","",Calculs!AU11)</f>
        <v/>
      </c>
      <c r="BF50" s="107" t="str">
        <f>IF(Calculs!AT11="","",Calculs!AV11)</f>
        <v/>
      </c>
      <c r="BH50" s="52" t="n"/>
      <c r="BI50" s="17" t="n"/>
    </row>
    <row r="51" ht="15" customHeight="1">
      <c r="A51" s="17" t="n"/>
      <c r="B51" s="50" t="n"/>
      <c r="C51" s="72" t="n"/>
      <c r="D51" s="72" t="n"/>
      <c r="E51" s="72" t="n"/>
      <c r="F51" s="72" t="n"/>
      <c r="G51" s="72" t="n"/>
      <c r="H51" s="72" t="n"/>
      <c r="I51" s="72" t="n"/>
      <c r="J51" s="72" t="n"/>
      <c r="K51" s="72" t="n"/>
      <c r="L51" s="72" t="n"/>
      <c r="M51" s="72" t="n"/>
      <c r="N51" s="72" t="n"/>
      <c r="O51" s="72" t="n"/>
      <c r="P51" s="72" t="n"/>
      <c r="Q51" s="72" t="n"/>
      <c r="R51" s="72" t="n"/>
      <c r="S51" s="72" t="n"/>
      <c r="T51" s="72" t="n"/>
      <c r="U51" s="72" t="n"/>
      <c r="V51" s="72" t="n"/>
      <c r="W51" s="72" t="n"/>
      <c r="X51" s="72" t="n"/>
      <c r="Y51" s="72" t="n"/>
      <c r="Z51" s="72" t="n"/>
      <c r="AA51" s="72" t="n"/>
      <c r="AB51" s="72" t="n"/>
      <c r="AC51" s="72" t="n"/>
      <c r="AD51" s="72" t="n"/>
      <c r="AE51" s="72" t="n"/>
      <c r="AF51" s="52" t="n"/>
      <c r="AG51" s="17" t="n"/>
      <c r="AH51" s="50" t="n"/>
      <c r="AI51" s="72" t="n"/>
      <c r="AJ51" s="72" t="n"/>
      <c r="AK51" s="72" t="n"/>
      <c r="AL51" s="72" t="n"/>
      <c r="AM51" s="72" t="n"/>
      <c r="AN51" s="72" t="n"/>
      <c r="AO51" s="72" t="n"/>
      <c r="AP51" s="72" t="n"/>
      <c r="AQ51" s="72" t="n"/>
      <c r="AR51" s="72" t="n"/>
      <c r="AS51" s="72" t="n"/>
      <c r="AT51" s="72" t="n"/>
      <c r="AU51" s="72" t="n"/>
      <c r="AV51" s="72" t="n"/>
      <c r="AW51" s="110" t="n"/>
      <c r="AX51" s="105" t="str">
        <f>Calculs!AT12</f>
        <v/>
      </c>
      <c r="BC51" s="106" t="str">
        <f>IF(Calculs!AT12="","",Calculs!AU12)</f>
        <v/>
      </c>
      <c r="BF51" s="107" t="str">
        <f>IF(Calculs!AT12="","",Calculs!AV12)</f>
        <v/>
      </c>
      <c r="BH51" s="52" t="n"/>
      <c r="BI51" s="17" t="n"/>
    </row>
    <row r="52" ht="15" customHeight="1">
      <c r="A52" s="17" t="n"/>
      <c r="B52" s="50" t="n"/>
      <c r="C52" s="72" t="n"/>
      <c r="D52" s="72" t="n"/>
      <c r="E52" s="72" t="n"/>
      <c r="F52" s="72" t="n"/>
      <c r="G52" s="72" t="n"/>
      <c r="H52" s="72" t="n"/>
      <c r="I52" s="72" t="n"/>
      <c r="J52" s="72" t="n"/>
      <c r="K52" s="72" t="n"/>
      <c r="L52" s="72" t="n"/>
      <c r="M52" s="72" t="n"/>
      <c r="N52" s="72" t="n"/>
      <c r="O52" s="72" t="n"/>
      <c r="P52" s="72" t="n"/>
      <c r="Q52" s="72" t="n"/>
      <c r="R52" s="72" t="n"/>
      <c r="S52" s="72" t="n"/>
      <c r="T52" s="72" t="n"/>
      <c r="U52" s="72" t="n"/>
      <c r="V52" s="72" t="n"/>
      <c r="W52" s="72" t="n"/>
      <c r="X52" s="72" t="n"/>
      <c r="Y52" s="72" t="n"/>
      <c r="Z52" s="72" t="n"/>
      <c r="AA52" s="72" t="n"/>
      <c r="AB52" s="72" t="n"/>
      <c r="AC52" s="72" t="n"/>
      <c r="AD52" s="72" t="n"/>
      <c r="AE52" s="72" t="n"/>
      <c r="AF52" s="52" t="n"/>
      <c r="AG52" s="17" t="n"/>
      <c r="AH52" s="50" t="n"/>
      <c r="AI52" s="72" t="n"/>
      <c r="AJ52" s="72" t="n"/>
      <c r="AK52" s="72" t="n"/>
      <c r="AL52" s="72" t="n"/>
      <c r="AM52" s="72" t="n"/>
      <c r="AN52" s="72" t="n"/>
      <c r="AO52" s="72" t="n"/>
      <c r="AP52" s="72" t="n"/>
      <c r="AQ52" s="72" t="n"/>
      <c r="AR52" s="72" t="n"/>
      <c r="AS52" s="72" t="n"/>
      <c r="AT52" s="72" t="n"/>
      <c r="AU52" s="72" t="n"/>
      <c r="AV52" s="72" t="n"/>
      <c r="AW52" s="72" t="n"/>
      <c r="AX52" s="72" t="n"/>
      <c r="AY52" s="72" t="n"/>
      <c r="AZ52" s="72" t="n"/>
      <c r="BA52" s="72" t="n"/>
      <c r="BB52" s="72" t="n"/>
      <c r="BC52" s="72" t="n"/>
      <c r="BD52" s="72" t="n"/>
      <c r="BE52" s="72" t="n"/>
      <c r="BF52" s="72" t="n"/>
      <c r="BG52" s="72" t="n"/>
      <c r="BH52" s="52" t="n"/>
      <c r="BI52" s="17" t="n"/>
    </row>
    <row r="53" ht="15" customHeight="1">
      <c r="A53" s="17" t="n"/>
      <c r="B53" s="50" t="n"/>
      <c r="C53" s="72" t="n"/>
      <c r="D53" s="72" t="n"/>
      <c r="E53" s="72" t="n"/>
      <c r="F53" s="72" t="n"/>
      <c r="G53" s="72" t="n"/>
      <c r="H53" s="72" t="n"/>
      <c r="I53" s="72" t="n"/>
      <c r="J53" s="72" t="n"/>
      <c r="K53" s="72" t="n"/>
      <c r="L53" s="72" t="n"/>
      <c r="M53" s="72" t="n"/>
      <c r="N53" s="72" t="n"/>
      <c r="O53" s="72" t="n"/>
      <c r="P53" s="72" t="n"/>
      <c r="Q53" s="72" t="n"/>
      <c r="R53" s="72" t="n"/>
      <c r="S53" s="72" t="n"/>
      <c r="T53" s="72" t="n"/>
      <c r="U53" s="72" t="n"/>
      <c r="V53" s="72" t="n"/>
      <c r="W53" s="72" t="n"/>
      <c r="X53" s="72" t="n"/>
      <c r="Y53" s="72" t="n"/>
      <c r="Z53" s="72" t="n"/>
      <c r="AA53" s="72" t="n"/>
      <c r="AB53" s="72" t="n"/>
      <c r="AC53" s="72" t="n"/>
      <c r="AD53" s="72" t="n"/>
      <c r="AE53" s="72" t="n"/>
      <c r="AF53" s="52" t="n"/>
      <c r="AG53" s="17" t="n"/>
      <c r="AH53" s="50" t="n"/>
      <c r="AI53" s="72" t="n"/>
      <c r="AJ53" s="72" t="n"/>
      <c r="AK53" s="72" t="n"/>
      <c r="AL53" s="72" t="n"/>
      <c r="AM53" s="72" t="n"/>
      <c r="AN53" s="72" t="n"/>
      <c r="AO53" s="72" t="n"/>
      <c r="AP53" s="72" t="n"/>
      <c r="AQ53" s="72" t="n"/>
      <c r="AR53" s="72" t="n"/>
      <c r="AS53" s="72" t="n"/>
      <c r="AT53" s="72" t="n"/>
      <c r="AU53" s="72" t="n"/>
      <c r="AV53" s="72" t="n"/>
      <c r="AW53" s="72" t="n"/>
      <c r="AX53" s="72" t="n"/>
      <c r="AY53" s="72" t="n"/>
      <c r="AZ53" s="72" t="n"/>
      <c r="BA53" s="72" t="n"/>
      <c r="BB53" s="72" t="n"/>
      <c r="BC53" s="72" t="n"/>
      <c r="BD53" s="72" t="n"/>
      <c r="BE53" s="72" t="n"/>
      <c r="BF53" s="72" t="n"/>
      <c r="BG53" s="72" t="n"/>
      <c r="BH53" s="52" t="n"/>
      <c r="BI53" s="17" t="n"/>
    </row>
    <row r="54" ht="15" customHeight="1">
      <c r="A54" s="17" t="n"/>
      <c r="B54" s="50" t="n"/>
      <c r="C54" s="72" t="n"/>
      <c r="D54" s="72" t="n"/>
      <c r="E54" s="72" t="n"/>
      <c r="F54" s="72" t="n"/>
      <c r="G54" s="72" t="n"/>
      <c r="H54" s="72" t="n"/>
      <c r="I54" s="72" t="n"/>
      <c r="J54" s="72" t="n"/>
      <c r="K54" s="72" t="n"/>
      <c r="L54" s="72" t="n"/>
      <c r="M54" s="72" t="n"/>
      <c r="N54" s="72" t="n"/>
      <c r="O54" s="72" t="n"/>
      <c r="P54" s="72" t="n"/>
      <c r="Q54" s="72" t="n"/>
      <c r="R54" s="72" t="n"/>
      <c r="S54" s="72" t="n"/>
      <c r="T54" s="72" t="n"/>
      <c r="U54" s="72" t="n"/>
      <c r="V54" s="72" t="n"/>
      <c r="W54" s="72" t="n"/>
      <c r="X54" s="72" t="n"/>
      <c r="Y54" s="72" t="n"/>
      <c r="Z54" s="72" t="n"/>
      <c r="AA54" s="72" t="n"/>
      <c r="AB54" s="72" t="n"/>
      <c r="AC54" s="72" t="n"/>
      <c r="AD54" s="72" t="n"/>
      <c r="AE54" s="72" t="n"/>
      <c r="AF54" s="52" t="n"/>
      <c r="AG54" s="17" t="n"/>
      <c r="AH54" s="50"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52" t="n"/>
      <c r="BI54" s="17" t="n"/>
    </row>
    <row r="55" ht="8" customHeight="1">
      <c r="A55" s="17" t="n"/>
      <c r="B55" s="34" t="n"/>
      <c r="C55" s="35" t="n"/>
      <c r="D55" s="35" t="n"/>
      <c r="E55" s="35" t="n"/>
      <c r="F55" s="35" t="n"/>
      <c r="G55" s="35" t="n"/>
      <c r="H55" s="35" t="n"/>
      <c r="I55" s="35" t="n"/>
      <c r="J55" s="35" t="n"/>
      <c r="K55" s="35" t="n"/>
      <c r="L55" s="35" t="n"/>
      <c r="M55" s="35" t="n"/>
      <c r="N55" s="35" t="n"/>
      <c r="O55" s="35" t="n"/>
      <c r="P55" s="35" t="n"/>
      <c r="Q55" s="35" t="n"/>
      <c r="R55" s="35" t="n"/>
      <c r="S55" s="35" t="n"/>
      <c r="T55" s="35" t="n"/>
      <c r="U55" s="35" t="n"/>
      <c r="V55" s="35" t="n"/>
      <c r="W55" s="35" t="n"/>
      <c r="X55" s="35" t="n"/>
      <c r="Y55" s="35" t="n"/>
      <c r="Z55" s="35" t="n"/>
      <c r="AA55" s="35" t="n"/>
      <c r="AB55" s="35" t="n"/>
      <c r="AC55" s="35" t="n"/>
      <c r="AD55" s="35" t="n"/>
      <c r="AE55" s="35" t="n"/>
      <c r="AF55" s="81" t="n"/>
      <c r="AG55" s="17" t="n"/>
      <c r="AH55" s="34" t="n"/>
      <c r="AI55" s="35" t="n"/>
      <c r="AJ55" s="35" t="n"/>
      <c r="AK55" s="35" t="n"/>
      <c r="AL55" s="35" t="n"/>
      <c r="AM55" s="35" t="n"/>
      <c r="AN55" s="35" t="n"/>
      <c r="AO55" s="35" t="n"/>
      <c r="AP55" s="35" t="n"/>
      <c r="AQ55" s="35" t="n"/>
      <c r="AR55" s="35" t="n"/>
      <c r="AS55" s="35" t="n"/>
      <c r="AT55" s="35" t="n"/>
      <c r="AU55" s="35" t="n"/>
      <c r="AV55" s="35" t="n"/>
      <c r="AW55" s="35" t="n"/>
      <c r="AX55" s="35" t="n"/>
      <c r="AY55" s="35" t="n"/>
      <c r="AZ55" s="35" t="n"/>
      <c r="BA55" s="35" t="n"/>
      <c r="BB55" s="35" t="n"/>
      <c r="BC55" s="35" t="n"/>
      <c r="BD55" s="35" t="n"/>
      <c r="BE55" s="35" t="n"/>
      <c r="BF55" s="35" t="n"/>
      <c r="BG55" s="35" t="n"/>
      <c r="BH55" s="81" t="n"/>
      <c r="BI55" s="17" t="n"/>
    </row>
    <row r="56" ht="14" customHeight="1">
      <c r="A56" s="17" t="n"/>
      <c r="B56" s="17" t="n"/>
      <c r="C56" s="17" t="n"/>
      <c r="D56" s="17" t="n"/>
      <c r="E56" s="17" t="n"/>
      <c r="F56" s="17" t="n"/>
      <c r="G56" s="17" t="n"/>
      <c r="H56" s="17" t="n"/>
      <c r="I56" s="17" t="n"/>
      <c r="J56" s="17" t="n"/>
      <c r="K56" s="17" t="n"/>
      <c r="L56" s="17" t="n"/>
      <c r="M56" s="17" t="n"/>
      <c r="N56" s="17" t="n"/>
      <c r="O56" s="17" t="n"/>
      <c r="P56" s="17" t="n"/>
      <c r="Q56" s="17" t="n"/>
      <c r="R56" s="17" t="n"/>
      <c r="S56" s="17" t="n"/>
      <c r="T56" s="17" t="n"/>
      <c r="U56" s="17" t="n"/>
      <c r="V56" s="17" t="n"/>
      <c r="W56" s="17" t="n"/>
      <c r="X56" s="17" t="n"/>
      <c r="Y56" s="17" t="n"/>
      <c r="Z56" s="17" t="n"/>
      <c r="AA56" s="17" t="n"/>
      <c r="AB56" s="17" t="n"/>
      <c r="AC56" s="17" t="n"/>
      <c r="AD56" s="17" t="n"/>
      <c r="AE56" s="17" t="n"/>
      <c r="AF56" s="17" t="n"/>
      <c r="AG56" s="17" t="n"/>
      <c r="AH56" s="17" t="n"/>
      <c r="AI56" s="17" t="n"/>
      <c r="AJ56" s="17" t="n"/>
      <c r="AK56" s="17" t="n"/>
      <c r="AL56" s="17" t="n"/>
      <c r="AM56" s="17" t="n"/>
      <c r="AN56" s="17" t="n"/>
      <c r="AO56" s="17" t="n"/>
      <c r="AP56" s="17" t="n"/>
      <c r="AQ56" s="17" t="n"/>
      <c r="AR56" s="17" t="n"/>
      <c r="AS56" s="17" t="n"/>
      <c r="AT56" s="17" t="n"/>
      <c r="AU56" s="17" t="n"/>
      <c r="AV56" s="17" t="n"/>
      <c r="AW56" s="17" t="n"/>
      <c r="AX56" s="17" t="n"/>
      <c r="AY56" s="17" t="n"/>
      <c r="AZ56" s="17" t="n"/>
      <c r="BA56" s="17" t="n"/>
      <c r="BB56" s="17" t="n"/>
      <c r="BC56" s="17" t="n"/>
      <c r="BD56" s="17" t="n"/>
      <c r="BE56" s="17" t="n"/>
      <c r="BF56" s="17" t="n"/>
      <c r="BG56" s="17" t="n"/>
      <c r="BH56" s="17" t="n"/>
      <c r="BI56" s="17" t="n"/>
    </row>
    <row r="57" ht="20" customHeight="1">
      <c r="A57" s="17" t="n"/>
      <c r="B57" s="41" t="inlineStr">
        <is>
          <t>LISTE DES AFFAIRES (un sous-projet par ligne, toutes ressources regroupées, par charge décroissante)</t>
        </is>
      </c>
      <c r="C57" s="42" t="n"/>
      <c r="D57" s="42" t="n"/>
      <c r="E57" s="42" t="n"/>
      <c r="F57" s="42" t="n"/>
      <c r="G57" s="42" t="n"/>
      <c r="H57" s="42" t="n"/>
      <c r="I57" s="42" t="n"/>
      <c r="J57" s="42" t="n"/>
      <c r="K57" s="42" t="n"/>
      <c r="L57" s="42" t="n"/>
      <c r="M57" s="42" t="n"/>
      <c r="N57" s="42" t="n"/>
      <c r="O57" s="42" t="n"/>
      <c r="P57" s="42" t="n"/>
      <c r="Q57" s="42" t="n"/>
      <c r="R57" s="42" t="n"/>
      <c r="S57" s="42" t="n"/>
      <c r="T57" s="42" t="n"/>
      <c r="U57" s="42" t="n"/>
      <c r="V57" s="42" t="n"/>
      <c r="W57" s="42" t="n"/>
      <c r="X57" s="42" t="n"/>
      <c r="Y57" s="42" t="n"/>
      <c r="Z57" s="42" t="n"/>
      <c r="AA57" s="42" t="n"/>
      <c r="AB57" s="42" t="n"/>
      <c r="AC57" s="42" t="n"/>
      <c r="AD57" s="42" t="n"/>
      <c r="AE57" s="42" t="n"/>
      <c r="AF57" s="42" t="n"/>
      <c r="AG57" s="42" t="n"/>
      <c r="AH57" s="42" t="n"/>
      <c r="AI57" s="42" t="n"/>
      <c r="AJ57" s="42" t="n"/>
      <c r="AK57" s="42" t="n"/>
      <c r="AL57" s="42" t="n"/>
      <c r="AM57" s="42" t="n"/>
      <c r="AN57" s="42" t="n"/>
      <c r="AO57" s="42" t="n"/>
      <c r="AP57" s="42" t="n"/>
      <c r="AQ57" s="42" t="n"/>
      <c r="AR57" s="42" t="n"/>
      <c r="AS57" s="42" t="n"/>
      <c r="AT57" s="42" t="n"/>
      <c r="AU57" s="42" t="n"/>
      <c r="AV57" s="42" t="n"/>
      <c r="AW57" s="42" t="n"/>
      <c r="AX57" s="42" t="n"/>
      <c r="AY57" s="42" t="n"/>
      <c r="AZ57" s="42" t="n"/>
      <c r="BA57" s="42" t="n"/>
      <c r="BB57" s="42" t="n"/>
      <c r="BC57" s="42" t="n"/>
      <c r="BD57" s="42" t="n"/>
      <c r="BE57" s="42" t="n"/>
      <c r="BF57" s="42" t="n"/>
      <c r="BG57" s="42" t="n"/>
      <c r="BH57" s="42" t="n"/>
      <c r="BI57" s="17" t="n"/>
    </row>
    <row r="58" ht="6" customHeight="1">
      <c r="A58" s="17" t="n"/>
      <c r="B58" s="17" t="n"/>
      <c r="C58" s="17" t="n"/>
      <c r="D58" s="17" t="n"/>
      <c r="E58" s="17" t="n"/>
      <c r="F58" s="17" t="n"/>
      <c r="G58" s="17" t="n"/>
      <c r="H58" s="17" t="n"/>
      <c r="I58" s="17" t="n"/>
      <c r="J58" s="17" t="n"/>
      <c r="K58" s="17" t="n"/>
      <c r="L58" s="17" t="n"/>
      <c r="M58" s="17" t="n"/>
      <c r="N58" s="17" t="n"/>
      <c r="O58" s="17" t="n"/>
      <c r="P58" s="17" t="n"/>
      <c r="Q58" s="17" t="n"/>
      <c r="R58" s="17" t="n"/>
      <c r="S58" s="17" t="n"/>
      <c r="T58" s="17" t="n"/>
      <c r="U58" s="17" t="n"/>
      <c r="V58" s="17" t="n"/>
      <c r="W58" s="17" t="n"/>
      <c r="X58" s="17" t="n"/>
      <c r="Y58" s="17" t="n"/>
      <c r="Z58" s="17" t="n"/>
      <c r="AA58" s="17" t="n"/>
      <c r="AB58" s="17" t="n"/>
      <c r="AC58" s="17" t="n"/>
      <c r="AD58" s="17" t="n"/>
      <c r="AE58" s="17" t="n"/>
      <c r="AF58" s="17" t="n"/>
      <c r="AG58" s="17" t="n"/>
      <c r="AH58" s="17" t="n"/>
      <c r="AI58" s="17" t="n"/>
      <c r="AJ58" s="17" t="n"/>
      <c r="AK58" s="17" t="n"/>
      <c r="AL58" s="17" t="n"/>
      <c r="AM58" s="17" t="n"/>
      <c r="AN58" s="17" t="n"/>
      <c r="AO58" s="17" t="n"/>
      <c r="AP58" s="17" t="n"/>
      <c r="AQ58" s="17" t="n"/>
      <c r="AR58" s="17" t="n"/>
      <c r="AS58" s="17" t="n"/>
      <c r="AT58" s="17" t="n"/>
      <c r="AU58" s="17" t="n"/>
      <c r="AV58" s="17" t="n"/>
      <c r="AW58" s="17" t="n"/>
      <c r="AX58" s="17" t="n"/>
      <c r="AY58" s="17" t="n"/>
      <c r="AZ58" s="17" t="n"/>
      <c r="BA58" s="17" t="n"/>
      <c r="BB58" s="17" t="n"/>
      <c r="BC58" s="17" t="n"/>
      <c r="BD58" s="17" t="n"/>
      <c r="BE58" s="17" t="n"/>
      <c r="BF58" s="17" t="n"/>
      <c r="BG58" s="17" t="n"/>
      <c r="BH58" s="17" t="n"/>
      <c r="BI58" s="17" t="n"/>
    </row>
    <row r="59" ht="30" customHeight="1">
      <c r="A59" s="17" t="n"/>
      <c r="B59" s="111" t="inlineStr">
        <is>
          <t>N°</t>
        </is>
      </c>
      <c r="C59" s="18" t="n"/>
      <c r="D59" s="111" t="inlineStr">
        <is>
          <t>Projet</t>
        </is>
      </c>
      <c r="E59" s="18" t="n"/>
      <c r="F59" s="18" t="n"/>
      <c r="G59" s="18" t="n"/>
      <c r="H59" s="18" t="n"/>
      <c r="I59" s="18" t="n"/>
      <c r="J59" s="18" t="n"/>
      <c r="K59" s="18" t="n"/>
      <c r="L59" s="111" t="inlineStr">
        <is>
          <t>Sous-projet</t>
        </is>
      </c>
      <c r="M59" s="18" t="n"/>
      <c r="N59" s="18" t="n"/>
      <c r="O59" s="18" t="n"/>
      <c r="P59" s="18" t="n"/>
      <c r="Q59" s="18" t="n"/>
      <c r="R59" s="18" t="n"/>
      <c r="S59" s="18" t="n"/>
      <c r="T59" s="111" t="inlineStr">
        <is>
          <t>Produit</t>
        </is>
      </c>
      <c r="U59" s="18" t="n"/>
      <c r="V59" s="18" t="n"/>
      <c r="W59" s="18" t="n"/>
      <c r="X59" s="18" t="n"/>
      <c r="Y59" s="18" t="n"/>
      <c r="Z59" s="18" t="n"/>
      <c r="AA59" s="18" t="n"/>
      <c r="AB59" s="111" t="inlineStr">
        <is>
          <t>Chef de projet</t>
        </is>
      </c>
      <c r="AC59" s="18" t="n"/>
      <c r="AD59" s="18" t="n"/>
      <c r="AE59" s="18" t="n"/>
      <c r="AF59" s="18" t="n"/>
      <c r="AG59" s="18" t="n"/>
      <c r="AH59" s="18" t="n"/>
      <c r="AI59" s="111" t="inlineStr">
        <is>
          <t>Ressources</t>
        </is>
      </c>
      <c r="AJ59" s="18" t="n"/>
      <c r="AK59" s="18" t="n"/>
      <c r="AL59" s="18" t="n"/>
      <c r="AM59" s="111" t="inlineStr">
        <is>
          <t>Charge (h)</t>
        </is>
      </c>
      <c r="AN59" s="18" t="n"/>
      <c r="AO59" s="18" t="n"/>
      <c r="AP59" s="18" t="n"/>
      <c r="AQ59" s="18" t="n"/>
      <c r="AR59" s="111" t="inlineStr">
        <is>
          <t>% de la charge totale</t>
        </is>
      </c>
      <c r="AS59" s="18" t="n"/>
      <c r="AT59" s="18" t="n"/>
      <c r="AU59" s="18" t="n"/>
      <c r="AV59" s="18" t="n"/>
      <c r="AW59" s="18" t="n"/>
      <c r="AX59" s="111" t="inlineStr">
        <is>
          <t>Avancement</t>
        </is>
      </c>
      <c r="AY59" s="18" t="n"/>
      <c r="AZ59" s="18" t="n"/>
      <c r="BA59" s="18" t="n"/>
      <c r="BB59" s="18" t="n"/>
      <c r="BC59" s="18" t="n"/>
      <c r="BD59" s="111" t="inlineStr">
        <is>
          <t>Date de début planifiée</t>
        </is>
      </c>
      <c r="BE59" s="18" t="n"/>
      <c r="BF59" s="18" t="n"/>
      <c r="BG59" s="18" t="n"/>
      <c r="BH59" s="18" t="n"/>
      <c r="BI59" s="17" t="n"/>
    </row>
    <row r="60" ht="16.5" customHeight="1">
      <c r="A60" s="17" t="n"/>
      <c r="B60" s="112">
        <f>IF(Calculs!$BX$4="","",Calculs!$BW$4)</f>
        <v>1</v>
      </c>
      <c r="D60" s="113" t="str">
        <f>IF(Calculs!$BX$4="","",INDEX(Charge!$B:$B,Calculs!$BX$4+3)&amp;"")</f>
        <v>PÉGASE</v>
      </c>
      <c r="L60" s="114" t="str">
        <f>IF(Calculs!$BX$4="","",INDEX(Charge!$C:$C,Calculs!$BX$4+3)&amp;"")</f>
        <v>Lot 1</v>
      </c>
      <c r="T60" s="114" t="str">
        <f>IF(Calculs!$BX$4="","",INDEX(Charge!$D:$D,Calculs!$BX$4+3)&amp;"")</f>
        <v>Ensemble complet</v>
      </c>
      <c r="AB60" s="114" t="str">
        <f>IF(Calculs!$BX$4="","",INDEX(Charge!$A:$A,Calculs!$BX$4+3)&amp;"")</f>
        <v>Camille Laurent</v>
      </c>
      <c r="AI60" s="115" t="str">
        <f>IF(Calculs!$BX$4="","",INDEX(Calculs!$ET$4:$ET$503,Calculs!$BX$4))</f>
        <v>2 dont 1 ext.</v>
      </c>
      <c r="AM60" s="116">
        <f>IF(Calculs!$BX$4="","",INDEX(Calculs!$EP$4:$EP$503,Calculs!$BX$4))</f>
        <v>480</v>
      </c>
      <c r="AR60" s="117">
        <f>IF(Calculs!$BX$4="","",IF(Calculs!$AL$4=0,0,INDEX(Calculs!$EP$4:$EP$503,Calculs!$BX$4)/Calculs!$AL$4))</f>
        <v>0.138929088277858</v>
      </c>
      <c r="AX60" s="118">
        <f>IF(Calculs!$BX$4="","",INDEX(Calculs!$EU$4:$EU$503,Calculs!$BX$4))</f>
        <v>0</v>
      </c>
      <c r="BD60" s="119">
        <f>IF(Calculs!$BX$4="","",IF(INDEX(Calculs!$EW$4:$EW$503,Calculs!$BX$4)&gt;=2958465,"à planifier",INDEX(Calculs!$EW$4:$EW$503,Calculs!$BX$4)))</f>
        <v>46461.0</v>
      </c>
      <c r="BI60" s="17" t="n"/>
      <c r="BJ60">
        <f>Calculs!BY4</f>
        <v>0</v>
      </c>
    </row>
    <row r="61" ht="16.5" customHeight="1">
      <c r="A61" s="17" t="n"/>
      <c r="B61" s="112">
        <f>IF(Calculs!$BX$5="","",Calculs!$BW$5)</f>
        <v>2</v>
      </c>
      <c r="D61" s="113" t="str">
        <f>IF(Calculs!$BX$5="","",INDEX(Charge!$B:$B,Calculs!$BX$5+3)&amp;"")</f>
        <v>ATLAS</v>
      </c>
      <c r="L61" s="114" t="str">
        <f>IF(Calculs!$BX$5="","",INDEX(Charge!$C:$C,Calculs!$BX$5+3)&amp;"")</f>
        <v>Lot 1 – Structure</v>
      </c>
      <c r="T61" s="114" t="str">
        <f>IF(Calculs!$BX$5="","",INDEX(Charge!$D:$D,Calculs!$BX$5+3)&amp;"")</f>
        <v>Châssis principal</v>
      </c>
      <c r="AB61" s="114" t="str">
        <f>IF(Calculs!$BX$5="","",INDEX(Charge!$A:$A,Calculs!$BX$5+3)&amp;"")</f>
        <v>Julie Martin</v>
      </c>
      <c r="AI61" s="115" t="str">
        <f>IF(Calculs!$BX$5="","",INDEX(Calculs!$ET$4:$ET$503,Calculs!$BX$5))</f>
        <v>2 dont 1 ext.</v>
      </c>
      <c r="AM61" s="116">
        <f>IF(Calculs!$BX$5="","",INDEX(Calculs!$EP$4:$EP$503,Calculs!$BX$5))</f>
        <v>420</v>
      </c>
      <c r="AR61" s="117">
        <f>IF(Calculs!$BX$5="","",IF(Calculs!$AL$4=0,0,INDEX(Calculs!$EP$4:$EP$503,Calculs!$BX$5)/Calculs!$AL$4))</f>
        <v>0.121562952243126</v>
      </c>
      <c r="AX61" s="118">
        <f>IF(Calculs!$BX$5="","",INDEX(Calculs!$EU$4:$EU$503,Calculs!$BX$5))</f>
        <v>0.107142857142857</v>
      </c>
      <c r="BD61" s="119">
        <f>IF(Calculs!$BX$5="","",IF(INDEX(Calculs!$EW$4:$EW$503,Calculs!$BX$5)&gt;=2958465,"à planifier",INDEX(Calculs!$EW$4:$EW$503,Calculs!$BX$5)))</f>
        <v>46328.0</v>
      </c>
      <c r="BI61" s="17" t="n"/>
      <c r="BJ61">
        <f>Calculs!BY5</f>
        <v>0</v>
      </c>
    </row>
    <row r="62" ht="16.5" customHeight="1">
      <c r="A62" s="17" t="n"/>
      <c r="B62" s="112">
        <f>IF(Calculs!$BX$6="","",Calculs!$BW$6)</f>
        <v>3</v>
      </c>
      <c r="D62" s="113" t="str">
        <f>IF(Calculs!$BX$6="","",INDEX(Charge!$B:$B,Calculs!$BX$6+3)&amp;"")</f>
        <v>DELTA</v>
      </c>
      <c r="L62" s="114" t="str">
        <f>IF(Calculs!$BX$6="","",INDEX(Charge!$C:$C,Calculs!$BX$6+3)&amp;"")</f>
        <v>Lot unique</v>
      </c>
      <c r="T62" s="114" t="str">
        <f>IF(Calculs!$BX$6="","",INDEX(Charge!$D:$D,Calculs!$BX$6+3)&amp;"")</f>
        <v>Bâti machine</v>
      </c>
      <c r="AB62" s="114" t="str">
        <f>IF(Calculs!$BX$6="","",INDEX(Charge!$A:$A,Calculs!$BX$6+3)&amp;"")</f>
        <v>Sophie Lefèvre</v>
      </c>
      <c r="AI62" s="115" t="str">
        <f>IF(Calculs!$BX$6="","",INDEX(Calculs!$ET$4:$ET$503,Calculs!$BX$6))</f>
        <v>2</v>
      </c>
      <c r="AM62" s="116">
        <f>IF(Calculs!$BX$6="","",INDEX(Calculs!$EP$4:$EP$503,Calculs!$BX$6))</f>
        <v>360</v>
      </c>
      <c r="AR62" s="117">
        <f>IF(Calculs!$BX$6="","",IF(Calculs!$AL$4=0,0,INDEX(Calculs!$EP$4:$EP$503,Calculs!$BX$6)/Calculs!$AL$4))</f>
        <v>0.104196816208394</v>
      </c>
      <c r="AX62" s="118">
        <f>IF(Calculs!$BX$6="","",INDEX(Calculs!$EU$4:$EU$503,Calculs!$BX$6))</f>
        <v>0</v>
      </c>
      <c r="BD62" s="119">
        <f>IF(Calculs!$BX$6="","",IF(INDEX(Calculs!$EW$4:$EW$503,Calculs!$BX$6)&gt;=2958465,"à planifier",INDEX(Calculs!$EW$4:$EW$503,Calculs!$BX$6)))</f>
        <v>46433.0</v>
      </c>
      <c r="BI62" s="17" t="n"/>
      <c r="BJ62">
        <f>Calculs!BY6</f>
        <v>0</v>
      </c>
    </row>
    <row r="63" ht="16.5" customHeight="1">
      <c r="A63" s="17" t="n"/>
      <c r="B63" s="112">
        <f>IF(Calculs!$BX$7="","",Calculs!$BW$7)</f>
        <v>4</v>
      </c>
      <c r="D63" s="113" t="str">
        <f>IF(Calculs!$BX$7="","",INDEX(Charge!$B:$B,Calculs!$BX$7+3)&amp;"")</f>
        <v>BORÉAL</v>
      </c>
      <c r="L63" s="114" t="str">
        <f>IF(Calculs!$BX$7="","",INDEX(Charge!$C:$C,Calculs!$BX$7+3)&amp;"")</f>
        <v>Phase APD</v>
      </c>
      <c r="T63" s="114" t="str">
        <f>IF(Calculs!$BX$7="","",INDEX(Charge!$D:$D,Calculs!$BX$7+3)&amp;"")</f>
        <v>Groupe froid</v>
      </c>
      <c r="AB63" s="114" t="str">
        <f>IF(Calculs!$BX$7="","",INDEX(Charge!$A:$A,Calculs!$BX$7+3)&amp;"")</f>
        <v>Thomas Bernard</v>
      </c>
      <c r="AI63" s="115" t="str">
        <f>IF(Calculs!$BX$7="","",INDEX(Calculs!$ET$4:$ET$503,Calculs!$BX$7))</f>
        <v>1</v>
      </c>
      <c r="AM63" s="116">
        <f>IF(Calculs!$BX$7="","",INDEX(Calculs!$EP$4:$EP$503,Calculs!$BX$7))</f>
        <v>310</v>
      </c>
      <c r="AR63" s="117">
        <f>IF(Calculs!$BX$7="","",IF(Calculs!$AL$4=0,0,INDEX(Calculs!$EP$4:$EP$503,Calculs!$BX$7)/Calculs!$AL$4))</f>
        <v>0.0897250361794501</v>
      </c>
      <c r="AX63" s="118">
        <f>IF(Calculs!$BX$7="","",INDEX(Calculs!$EU$4:$EU$503,Calculs!$BX$7))</f>
        <v>0.35</v>
      </c>
      <c r="BD63" s="119">
        <f>IF(Calculs!$BX$7="","",IF(INDEX(Calculs!$EW$4:$EW$503,Calculs!$BX$7)&gt;=2958465,"à planifier",INDEX(Calculs!$EW$4:$EW$503,Calculs!$BX$7)))</f>
        <v>46300.0</v>
      </c>
      <c r="BI63" s="17" t="n"/>
      <c r="BJ63">
        <f>Calculs!BY7</f>
        <v>0</v>
      </c>
    </row>
    <row r="64" ht="16.5" customHeight="1">
      <c r="A64" s="17" t="n"/>
      <c r="B64" s="112">
        <f>IF(Calculs!$BX$8="","",Calculs!$BW$8)</f>
        <v>5</v>
      </c>
      <c r="D64" s="113" t="str">
        <f>IF(Calculs!$BX$8="","",INDEX(Charge!$B:$B,Calculs!$BX$8+3)&amp;"")</f>
        <v>ATLAS</v>
      </c>
      <c r="L64" s="114" t="str">
        <f>IF(Calculs!$BX$8="","",INDEX(Charge!$C:$C,Calculs!$BX$8+3)&amp;"")</f>
        <v>Lot 2 – Carénage</v>
      </c>
      <c r="T64" s="114" t="str">
        <f>IF(Calculs!$BX$8="","",INDEX(Charge!$D:$D,Calculs!$BX$8+3)&amp;"")</f>
        <v>Capots latéraux</v>
      </c>
      <c r="AB64" s="114" t="str">
        <f>IF(Calculs!$BX$8="","",INDEX(Charge!$A:$A,Calculs!$BX$8+3)&amp;"")</f>
        <v>Julie Martin</v>
      </c>
      <c r="AI64" s="115" t="str">
        <f>IF(Calculs!$BX$8="","",INDEX(Calculs!$ET$4:$ET$503,Calculs!$BX$8))</f>
        <v>1</v>
      </c>
      <c r="AM64" s="116">
        <f>IF(Calculs!$BX$8="","",INDEX(Calculs!$EP$4:$EP$503,Calculs!$BX$8))</f>
        <v>260</v>
      </c>
      <c r="AR64" s="117">
        <f>IF(Calculs!$BX$8="","",IF(Calculs!$AL$4=0,0,INDEX(Calculs!$EP$4:$EP$503,Calculs!$BX$8)/Calculs!$AL$4))</f>
        <v>0.0752532561505065</v>
      </c>
      <c r="AX64" s="118">
        <f>IF(Calculs!$BX$8="","",INDEX(Calculs!$EU$4:$EU$503,Calculs!$BX$8))</f>
        <v>0</v>
      </c>
      <c r="BD64" s="119">
        <f>IF(Calculs!$BX$8="","",IF(INDEX(Calculs!$EW$4:$EW$503,Calculs!$BX$8)&gt;=2958465,"à planifier",INDEX(Calculs!$EW$4:$EW$503,Calculs!$BX$8)))</f>
        <v>46398.0</v>
      </c>
      <c r="BI64" s="17" t="n"/>
      <c r="BJ64">
        <f>Calculs!BY8</f>
        <v>0</v>
      </c>
    </row>
    <row r="65" ht="16.5" customHeight="1">
      <c r="A65" s="17" t="n"/>
      <c r="B65" s="112">
        <f>IF(Calculs!$BX$9="","",Calculs!$BW$9)</f>
        <v>6</v>
      </c>
      <c r="D65" s="113" t="str">
        <f>IF(Calculs!$BX$9="","",INDEX(Charge!$B:$B,Calculs!$BX$9+3)&amp;"")</f>
        <v>CASSIOPÉE</v>
      </c>
      <c r="L65" s="114" t="str">
        <f>IF(Calculs!$BX$9="","",INDEX(Charge!$C:$C,Calculs!$BX$9+3)&amp;"")</f>
        <v>Rétrofit ligne 2</v>
      </c>
      <c r="T65" s="114" t="str">
        <f>IF(Calculs!$BX$9="","",INDEX(Charge!$D:$D,Calculs!$BX$9+3)&amp;"")</f>
        <v>Poste de contrôle</v>
      </c>
      <c r="AB65" s="114" t="str">
        <f>IF(Calculs!$BX$9="","",INDEX(Charge!$A:$A,Calculs!$BX$9+3)&amp;"")</f>
        <v>Sophie Lefèvre</v>
      </c>
      <c r="AI65" s="115" t="str">
        <f>IF(Calculs!$BX$9="","",INDEX(Calculs!$ET$4:$ET$503,Calculs!$BX$9))</f>
        <v>2 dont 1 ext.</v>
      </c>
      <c r="AM65" s="116">
        <f>IF(Calculs!$BX$9="","",INDEX(Calculs!$EP$4:$EP$503,Calculs!$BX$9))</f>
        <v>240</v>
      </c>
      <c r="AR65" s="117">
        <f>IF(Calculs!$BX$9="","",IF(Calculs!$AL$4=0,0,INDEX(Calculs!$EP$4:$EP$503,Calculs!$BX$9)/Calculs!$AL$4))</f>
        <v>0.0694645441389291</v>
      </c>
      <c r="AX65" s="118">
        <f>IF(Calculs!$BX$9="","",INDEX(Calculs!$EU$4:$EU$503,Calculs!$BX$9))</f>
        <v>0.0333333333333333</v>
      </c>
      <c r="BD65" s="119">
        <f>IF(Calculs!$BX$9="","",IF(INDEX(Calculs!$EW$4:$EW$503,Calculs!$BX$9)&gt;=2958465,"à planifier",INDEX(Calculs!$EW$4:$EW$503,Calculs!$BX$9)))</f>
        <v>46357.0</v>
      </c>
      <c r="BI65" s="17" t="n"/>
      <c r="BJ65">
        <f>Calculs!BY9</f>
        <v>0</v>
      </c>
    </row>
    <row r="66" ht="16.5" customHeight="1">
      <c r="A66" s="17" t="n"/>
      <c r="B66" s="112">
        <f>IF(Calculs!$BX$10="","",Calculs!$BW$10)</f>
        <v>7</v>
      </c>
      <c r="D66" s="113" t="str">
        <f>IF(Calculs!$BX$10="","",INDEX(Charge!$B:$B,Calculs!$BX$10+3)&amp;"")</f>
        <v>BORÉAL</v>
      </c>
      <c r="L66" s="114" t="str">
        <f>IF(Calculs!$BX$10="","",INDEX(Charge!$C:$C,Calculs!$BX$10+3)&amp;"")</f>
        <v>Phase EXE</v>
      </c>
      <c r="T66" s="114" t="str">
        <f>IF(Calculs!$BX$10="","",INDEX(Charge!$D:$D,Calculs!$BX$10+3)&amp;"")</f>
        <v>Groupe froid</v>
      </c>
      <c r="AB66" s="114" t="str">
        <f>IF(Calculs!$BX$10="","",INDEX(Charge!$A:$A,Calculs!$BX$10+3)&amp;"")</f>
        <v>Thomas Bernard</v>
      </c>
      <c r="AI66" s="115" t="str">
        <f>IF(Calculs!$BX$10="","",INDEX(Calculs!$ET$4:$ET$503,Calculs!$BX$10))</f>
        <v>1</v>
      </c>
      <c r="AM66" s="116">
        <f>IF(Calculs!$BX$10="","",INDEX(Calculs!$EP$4:$EP$503,Calculs!$BX$10))</f>
        <v>220</v>
      </c>
      <c r="AR66" s="117">
        <f>IF(Calculs!$BX$10="","",IF(Calculs!$AL$4=0,0,INDEX(Calculs!$EP$4:$EP$503,Calculs!$BX$10)/Calculs!$AL$4))</f>
        <v>0.0636758321273517</v>
      </c>
      <c r="AX66" s="118">
        <f>IF(Calculs!$BX$10="","",INDEX(Calculs!$EU$4:$EU$503,Calculs!$BX$10))</f>
        <v>0</v>
      </c>
      <c r="BD66" s="119">
        <f>IF(Calculs!$BX$10="","",IF(INDEX(Calculs!$EW$4:$EW$503,Calculs!$BX$10)&gt;=2958465,"à planifier",INDEX(Calculs!$EW$4:$EW$503,Calculs!$BX$10)))</f>
        <v>46419.0</v>
      </c>
      <c r="BI66" s="17" t="n"/>
      <c r="BJ66">
        <f>Calculs!BY10</f>
        <v>0</v>
      </c>
    </row>
    <row r="67" ht="16.5" customHeight="1">
      <c r="A67" s="17" t="n"/>
      <c r="B67" s="112">
        <f>IF(Calculs!$BX$11="","",Calculs!$BW$11)</f>
        <v>8</v>
      </c>
      <c r="D67" s="113" t="str">
        <f>IF(Calculs!$BX$11="","",INDEX(Charge!$B:$B,Calculs!$BX$11+3)&amp;"")</f>
        <v>DELTA</v>
      </c>
      <c r="L67" s="114" t="str">
        <f>IF(Calculs!$BX$11="","",INDEX(Charge!$C:$C,Calculs!$BX$11+3)&amp;"")</f>
        <v>Lot unique</v>
      </c>
      <c r="T67" s="114" t="str">
        <f>IF(Calculs!$BX$11="","",INDEX(Charge!$D:$D,Calculs!$BX$11+3)&amp;"")</f>
        <v>Habillage</v>
      </c>
      <c r="AB67" s="114" t="str">
        <f>IF(Calculs!$BX$11="","",INDEX(Charge!$A:$A,Calculs!$BX$11+3)&amp;"")</f>
        <v>Thomas Bernard</v>
      </c>
      <c r="AI67" s="115" t="str">
        <f>IF(Calculs!$BX$11="","",INDEX(Calculs!$ET$4:$ET$503,Calculs!$BX$11))</f>
        <v>2 dont 1 ext.</v>
      </c>
      <c r="AM67" s="116">
        <f>IF(Calculs!$BX$11="","",INDEX(Calculs!$EP$4:$EP$503,Calculs!$BX$11))</f>
        <v>200</v>
      </c>
      <c r="AR67" s="117">
        <f>IF(Calculs!$BX$11="","",IF(Calculs!$AL$4=0,0,INDEX(Calculs!$EP$4:$EP$503,Calculs!$BX$11)/Calculs!$AL$4))</f>
        <v>0.0578871201157742</v>
      </c>
      <c r="AX67" s="118">
        <f>IF(Calculs!$BX$11="","",INDEX(Calculs!$EU$4:$EU$503,Calculs!$BX$11))</f>
        <v>0</v>
      </c>
      <c r="BD67" s="119">
        <f>IF(Calculs!$BX$11="","",IF(INDEX(Calculs!$EW$4:$EW$503,Calculs!$BX$11)&gt;=2958465,"à planifier",INDEX(Calculs!$EW$4:$EW$503,Calculs!$BX$11)))</f>
        <v>46510.0</v>
      </c>
      <c r="BI67" s="17" t="n"/>
      <c r="BJ67">
        <f>Calculs!BY11</f>
        <v>0</v>
      </c>
    </row>
    <row r="68" ht="16.5" customHeight="1">
      <c r="A68" s="17" t="n"/>
      <c r="B68" s="112">
        <f>IF(Calculs!$BX$12="","",Calculs!$BW$12)</f>
        <v>9</v>
      </c>
      <c r="D68" s="113" t="str">
        <f>IF(Calculs!$BX$12="","",INDEX(Charge!$B:$B,Calculs!$BX$12+3)&amp;"")</f>
        <v>ATLAS</v>
      </c>
      <c r="L68" s="114" t="str">
        <f>IF(Calculs!$BX$12="","",INDEX(Charge!$C:$C,Calculs!$BX$12+3)&amp;"")</f>
        <v>Lot 3 – Intégration</v>
      </c>
      <c r="T68" s="114" t="str">
        <f>IF(Calculs!$BX$12="","",INDEX(Charge!$D:$D,Calculs!$BX$12+3)&amp;"")</f>
        <v>Faisceau électrique</v>
      </c>
      <c r="AB68" s="114" t="str">
        <f>IF(Calculs!$BX$12="","",INDEX(Charge!$A:$A,Calculs!$BX$12+3)&amp;"")</f>
        <v>Julie Martin</v>
      </c>
      <c r="AI68" s="115" t="str">
        <f>IF(Calculs!$BX$12="","",INDEX(Calculs!$ET$4:$ET$503,Calculs!$BX$12))</f>
        <v>1 ext.</v>
      </c>
      <c r="AM68" s="116">
        <f>IF(Calculs!$BX$12="","",INDEX(Calculs!$EP$4:$EP$503,Calculs!$BX$12))</f>
        <v>180</v>
      </c>
      <c r="AR68" s="117">
        <f>IF(Calculs!$BX$12="","",IF(Calculs!$AL$4=0,0,INDEX(Calculs!$EP$4:$EP$503,Calculs!$BX$12)/Calculs!$AL$4))</f>
        <v>0.0520984081041968</v>
      </c>
      <c r="AX68" s="118">
        <f>IF(Calculs!$BX$12="","",INDEX(Calculs!$EU$4:$EU$503,Calculs!$BX$12))</f>
        <v>0</v>
      </c>
      <c r="BD68" s="119">
        <f>IF(Calculs!$BX$12="","",IF(INDEX(Calculs!$EW$4:$EW$503,Calculs!$BX$12)&gt;=2958465,"à planifier",INDEX(Calculs!$EW$4:$EW$503,Calculs!$BX$12)))</f>
        <v>46482.0</v>
      </c>
      <c r="BI68" s="17" t="n"/>
      <c r="BJ68">
        <f>Calculs!BY12</f>
        <v>0</v>
      </c>
    </row>
    <row r="69" ht="16.5" customHeight="1">
      <c r="A69" s="17" t="n"/>
      <c r="B69" s="112">
        <f>IF(Calculs!$BX$13="","",Calculs!$BW$13)</f>
        <v>10</v>
      </c>
      <c r="D69" s="113" t="str">
        <f>IF(Calculs!$BX$13="","",INDEX(Charge!$B:$B,Calculs!$BX$13+3)&amp;"")</f>
        <v>ORION</v>
      </c>
      <c r="L69" s="114" t="str">
        <f>IF(Calculs!$BX$13="","",INDEX(Charge!$C:$C,Calculs!$BX$13+3)&amp;"")</f>
        <v>Tranche 2</v>
      </c>
      <c r="T69" s="114" t="str">
        <f>IF(Calculs!$BX$13="","",INDEX(Charge!$D:$D,Calculs!$BX$13+3)&amp;"")</f>
        <v>Support moteur</v>
      </c>
      <c r="AB69" s="114" t="str">
        <f>IF(Calculs!$BX$13="","",INDEX(Charge!$A:$A,Calculs!$BX$13+3)&amp;"")</f>
        <v>Nicolas Moreau</v>
      </c>
      <c r="AI69" s="115" t="str">
        <f>IF(Calculs!$BX$13="","",INDEX(Calculs!$ET$4:$ET$503,Calculs!$BX$13))</f>
        <v>1</v>
      </c>
      <c r="AM69" s="116">
        <f>IF(Calculs!$BX$13="","",INDEX(Calculs!$EP$4:$EP$503,Calculs!$BX$13))</f>
        <v>160</v>
      </c>
      <c r="AR69" s="117">
        <f>IF(Calculs!$BX$13="","",IF(Calculs!$AL$4=0,0,INDEX(Calculs!$EP$4:$EP$503,Calculs!$BX$13)/Calculs!$AL$4))</f>
        <v>0.0463096960926194</v>
      </c>
      <c r="AX69" s="118">
        <f>IF(Calculs!$BX$13="","",INDEX(Calculs!$EU$4:$EU$503,Calculs!$BX$13))</f>
        <v>0</v>
      </c>
      <c r="BD69" s="119">
        <f>IF(Calculs!$BX$13="","",IF(INDEX(Calculs!$EW$4:$EW$503,Calculs!$BX$13)&gt;=2958465,"à planifier",INDEX(Calculs!$EW$4:$EW$503,Calculs!$BX$13)))</f>
        <v>46447.0</v>
      </c>
      <c r="BI69" s="17" t="n"/>
      <c r="BJ69">
        <f>Calculs!BY13</f>
        <v>0</v>
      </c>
    </row>
    <row r="70" ht="16.5" customHeight="1">
      <c r="A70" s="17" t="n"/>
      <c r="B70" s="112">
        <f>IF(Calculs!$BX$14="","",Calculs!$BW$14)</f>
        <v>11</v>
      </c>
      <c r="D70" s="113" t="str">
        <f>IF(Calculs!$BX$14="","",INDEX(Charge!$B:$B,Calculs!$BX$14+3)&amp;"")</f>
        <v>CASSIOPÉE</v>
      </c>
      <c r="L70" s="114" t="str">
        <f>IF(Calculs!$BX$14="","",INDEX(Charge!$C:$C,Calculs!$BX$14+3)&amp;"")</f>
        <v>Rétrofit ligne 2</v>
      </c>
      <c r="T70" s="114" t="str">
        <f>IF(Calculs!$BX$14="","",INDEX(Charge!$D:$D,Calculs!$BX$14+3)&amp;"")</f>
        <v>Convoyeur</v>
      </c>
      <c r="AB70" s="114" t="str">
        <f>IF(Calculs!$BX$14="","",INDEX(Charge!$A:$A,Calculs!$BX$14+3)&amp;"")</f>
        <v>Sophie Lefèvre</v>
      </c>
      <c r="AI70" s="115" t="str">
        <f>IF(Calculs!$BX$14="","",INDEX(Calculs!$ET$4:$ET$503,Calculs!$BX$14))</f>
        <v>1</v>
      </c>
      <c r="AM70" s="116">
        <f>IF(Calculs!$BX$14="","",INDEX(Calculs!$EP$4:$EP$503,Calculs!$BX$14))</f>
        <v>150</v>
      </c>
      <c r="AR70" s="117">
        <f>IF(Calculs!$BX$14="","",IF(Calculs!$AL$4=0,0,INDEX(Calculs!$EP$4:$EP$503,Calculs!$BX$14)/Calculs!$AL$4))</f>
        <v>0.0434153400868307</v>
      </c>
      <c r="AX70" s="118">
        <f>IF(Calculs!$BX$14="","",INDEX(Calculs!$EU$4:$EU$503,Calculs!$BX$14))</f>
        <v>0.5</v>
      </c>
      <c r="BD70" s="119">
        <f>IF(Calculs!$BX$14="","",IF(INDEX(Calculs!$EW$4:$EW$503,Calculs!$BX$14)&gt;=2958465,"à planifier",INDEX(Calculs!$EW$4:$EW$503,Calculs!$BX$14)))</f>
        <v>46307.0</v>
      </c>
      <c r="BI70" s="17" t="n"/>
      <c r="BJ70">
        <f>Calculs!BY14</f>
        <v>0</v>
      </c>
    </row>
    <row r="71" ht="16.5" customHeight="1">
      <c r="A71" s="17" t="n"/>
      <c r="B71" s="112">
        <f>IF(Calculs!$BX$15="","",Calculs!$BW$15)</f>
        <v>12</v>
      </c>
      <c r="D71" s="113" t="str">
        <f>IF(Calculs!$BX$15="","",INDEX(Charge!$B:$B,Calculs!$BX$15+3)&amp;"")</f>
        <v>ORION</v>
      </c>
      <c r="L71" s="114" t="str">
        <f>IF(Calculs!$BX$15="","",INDEX(Charge!$C:$C,Calculs!$BX$15+3)&amp;"")</f>
        <v>Tranche 1</v>
      </c>
      <c r="T71" s="114" t="str">
        <f>IF(Calculs!$BX$15="","",INDEX(Charge!$D:$D,Calculs!$BX$15+3)&amp;"")</f>
        <v>Support moteur</v>
      </c>
      <c r="AB71" s="114" t="str">
        <f>IF(Calculs!$BX$15="","",INDEX(Charge!$A:$A,Calculs!$BX$15+3)&amp;"")</f>
        <v>Nicolas Moreau</v>
      </c>
      <c r="AI71" s="115" t="str">
        <f>IF(Calculs!$BX$15="","",INDEX(Calculs!$ET$4:$ET$503,Calculs!$BX$15))</f>
        <v>1</v>
      </c>
      <c r="AM71" s="116">
        <f>IF(Calculs!$BX$15="","",INDEX(Calculs!$EP$4:$EP$503,Calculs!$BX$15))</f>
        <v>120</v>
      </c>
      <c r="AR71" s="117">
        <f>IF(Calculs!$BX$15="","",IF(Calculs!$AL$4=0,0,INDEX(Calculs!$EP$4:$EP$503,Calculs!$BX$15)/Calculs!$AL$4))</f>
        <v>0.0347322720694646</v>
      </c>
      <c r="AX71" s="118">
        <f>IF(Calculs!$BX$15="","",INDEX(Calculs!$EU$4:$EU$503,Calculs!$BX$15))</f>
        <v>0.8</v>
      </c>
      <c r="BD71" s="119">
        <f>IF(Calculs!$BX$15="","",IF(INDEX(Calculs!$EW$4:$EW$503,Calculs!$BX$15)&gt;=2958465,"à planifier",INDEX(Calculs!$EW$4:$EW$503,Calculs!$BX$15)))</f>
        <v>46279.0</v>
      </c>
      <c r="BI71" s="17" t="n"/>
      <c r="BJ71">
        <f>Calculs!BY15</f>
        <v>0</v>
      </c>
    </row>
    <row r="72" ht="16.5" customHeight="1">
      <c r="A72" s="17" t="n"/>
      <c r="B72" s="112">
        <f>IF(Calculs!$BX$16="","",Calculs!$BW$16)</f>
        <v>13</v>
      </c>
      <c r="D72" s="113" t="str">
        <f>IF(Calculs!$BX$16="","",INDEX(Charge!$B:$B,Calculs!$BX$16+3)&amp;"")</f>
        <v>BORÉAL</v>
      </c>
      <c r="L72" s="114" t="str">
        <f>IF(Calculs!$BX$16="","",INDEX(Charge!$C:$C,Calculs!$BX$16+3)&amp;"")</f>
        <v>Phase EXE</v>
      </c>
      <c r="T72" s="114" t="str">
        <f>IF(Calculs!$BX$16="","",INDEX(Charge!$D:$D,Calculs!$BX$16+3)&amp;"")</f>
        <v>Armoire de commande</v>
      </c>
      <c r="AB72" s="114" t="str">
        <f>IF(Calculs!$BX$16="","",INDEX(Charge!$A:$A,Calculs!$BX$16+3)&amp;"")</f>
        <v>Thomas Bernard</v>
      </c>
      <c r="AI72" s="115" t="str">
        <f>IF(Calculs!$BX$16="","",INDEX(Calculs!$ET$4:$ET$503,Calculs!$BX$16))</f>
        <v>1 ext.</v>
      </c>
      <c r="AM72" s="116">
        <f>IF(Calculs!$BX$16="","",INDEX(Calculs!$EP$4:$EP$503,Calculs!$BX$16))</f>
        <v>90</v>
      </c>
      <c r="AR72" s="117">
        <f>IF(Calculs!$BX$16="","",IF(Calculs!$AL$4=0,0,INDEX(Calculs!$EP$4:$EP$503,Calculs!$BX$16)/Calculs!$AL$4))</f>
        <v>0.0260492040520984</v>
      </c>
      <c r="AX72" s="118">
        <f>IF(Calculs!$BX$16="","",INDEX(Calculs!$EU$4:$EU$503,Calculs!$BX$16))</f>
        <v>0</v>
      </c>
      <c r="BD72" s="119">
        <f>IF(Calculs!$BX$16="","",IF(INDEX(Calculs!$EW$4:$EW$503,Calculs!$BX$16)&gt;=2958465,"à planifier",INDEX(Calculs!$EW$4:$EW$503,Calculs!$BX$16)))</f>
        <v>46405.0</v>
      </c>
      <c r="BI72" s="17" t="n"/>
      <c r="BJ72">
        <f>Calculs!BY16</f>
        <v>0</v>
      </c>
    </row>
    <row r="73" ht="16.5" customHeight="1">
      <c r="A73" s="17" t="n"/>
      <c r="B73" s="112">
        <f>IF(Calculs!$BX$17="","",Calculs!$BW$17)</f>
        <v>14</v>
      </c>
      <c r="D73" s="113" t="str">
        <f>IF(Calculs!$BX$17="","",INDEX(Charge!$B:$B,Calculs!$BX$17+3)&amp;"")</f>
        <v>VEGA</v>
      </c>
      <c r="L73" s="114" t="str">
        <f>IF(Calculs!$BX$17="","",INDEX(Charge!$C:$C,Calculs!$BX$17+3)&amp;"")</f>
        <v>Mise en conformité</v>
      </c>
      <c r="T73" s="114" t="str">
        <f>IF(Calculs!$BX$17="","",INDEX(Charge!$D:$D,Calculs!$BX$17+3)&amp;"")</f>
        <v>Garde-corps</v>
      </c>
      <c r="AB73" s="114" t="str">
        <f>IF(Calculs!$BX$17="","",INDEX(Charge!$A:$A,Calculs!$BX$17+3)&amp;"")</f>
        <v>Camille Laurent</v>
      </c>
      <c r="AI73" s="115" t="str">
        <f>IF(Calculs!$BX$17="","",INDEX(Calculs!$ET$4:$ET$503,Calculs!$BX$17))</f>
        <v>1</v>
      </c>
      <c r="AM73" s="116">
        <f>IF(Calculs!$BX$17="","",INDEX(Calculs!$EP$4:$EP$503,Calculs!$BX$17))</f>
        <v>85</v>
      </c>
      <c r="AR73" s="117">
        <f>IF(Calculs!$BX$17="","",IF(Calculs!$AL$4=0,0,INDEX(Calculs!$EP$4:$EP$503,Calculs!$BX$17)/Calculs!$AL$4))</f>
        <v>0.0246020260492041</v>
      </c>
      <c r="AX73" s="118">
        <f>IF(Calculs!$BX$17="","",INDEX(Calculs!$EU$4:$EU$503,Calculs!$BX$17))</f>
        <v>0</v>
      </c>
      <c r="BD73" s="119">
        <f>IF(Calculs!$BX$17="","",IF(INDEX(Calculs!$EW$4:$EW$503,Calculs!$BX$17)&gt;=2958465,"à planifier",INDEX(Calculs!$EW$4:$EW$503,Calculs!$BX$17)))</f>
        <v>46349.0</v>
      </c>
      <c r="BI73" s="17" t="n"/>
      <c r="BJ73">
        <f>Calculs!BY17</f>
        <v>0</v>
      </c>
    </row>
    <row r="74" ht="16.5" customHeight="1">
      <c r="A74" s="17" t="n"/>
      <c r="B74" s="112">
        <f>IF(Calculs!$BX$18="","",Calculs!$BW$18)</f>
        <v>15</v>
      </c>
      <c r="D74" s="113" t="str">
        <f>IF(Calculs!$BX$18="","",INDEX(Charge!$B:$B,Calculs!$BX$18+3)&amp;"")</f>
        <v>PÉGASE</v>
      </c>
      <c r="L74" s="114" t="str">
        <f>IF(Calculs!$BX$18="","",INDEX(Charge!$C:$C,Calculs!$BX$18+3)&amp;"")</f>
        <v>Avant-projet</v>
      </c>
      <c r="T74" s="114" t="str">
        <f>IF(Calculs!$BX$18="","",INDEX(Charge!$D:$D,Calculs!$BX$18+3)&amp;"")</f>
        <v>Ensemble complet</v>
      </c>
      <c r="AB74" s="114" t="str">
        <f>IF(Calculs!$BX$18="","",INDEX(Charge!$A:$A,Calculs!$BX$18+3)&amp;"")</f>
        <v>Nicolas Moreau</v>
      </c>
      <c r="AI74" s="115" t="str">
        <f>IF(Calculs!$BX$18="","",INDEX(Calculs!$ET$4:$ET$503,Calculs!$BX$18))</f>
        <v>1</v>
      </c>
      <c r="AM74" s="116">
        <f>IF(Calculs!$BX$18="","",INDEX(Calculs!$EP$4:$EP$503,Calculs!$BX$18))</f>
        <v>70</v>
      </c>
      <c r="AR74" s="117">
        <f>IF(Calculs!$BX$18="","",IF(Calculs!$AL$4=0,0,INDEX(Calculs!$EP$4:$EP$503,Calculs!$BX$18)/Calculs!$AL$4))</f>
        <v>0.020260492040521</v>
      </c>
      <c r="AX74" s="118">
        <f>IF(Calculs!$BX$18="","",INDEX(Calculs!$EU$4:$EU$503,Calculs!$BX$18))</f>
        <v>0.1</v>
      </c>
      <c r="BD74" s="119">
        <f>IF(Calculs!$BX$18="","",IF(INDEX(Calculs!$EW$4:$EW$503,Calculs!$BX$18)&gt;=2958465,"à planifier",INDEX(Calculs!$EW$4:$EW$503,Calculs!$BX$18)))</f>
        <v>46342.0</v>
      </c>
      <c r="BI74" s="17" t="n"/>
      <c r="BJ74">
        <f>Calculs!BY18</f>
        <v>0</v>
      </c>
    </row>
    <row r="75" ht="16.5" customHeight="1">
      <c r="A75" s="17" t="n"/>
      <c r="B75" s="112">
        <f>IF(Calculs!$BX$19="","",Calculs!$BW$19)</f>
        <v>16</v>
      </c>
      <c r="D75" s="113" t="str">
        <f>IF(Calculs!$BX$19="","",INDEX(Charge!$B:$B,Calculs!$BX$19+3)&amp;"")</f>
        <v>VEGA</v>
      </c>
      <c r="L75" s="114" t="str">
        <f>IF(Calculs!$BX$19="","",INDEX(Charge!$C:$C,Calculs!$BX$19+3)&amp;"")</f>
        <v>Mise en conformité</v>
      </c>
      <c r="T75" s="114" t="str">
        <f>IF(Calculs!$BX$19="","",INDEX(Charge!$D:$D,Calculs!$BX$19+3)&amp;"")</f>
        <v>Passerelle</v>
      </c>
      <c r="AB75" s="114" t="str">
        <f>IF(Calculs!$BX$19="","",INDEX(Charge!$A:$A,Calculs!$BX$19+3)&amp;"")</f>
        <v>Camille Laurent</v>
      </c>
      <c r="AI75" s="115" t="str">
        <f>IF(Calculs!$BX$19="","",INDEX(Calculs!$ET$4:$ET$503,Calculs!$BX$19))</f>
        <v>1</v>
      </c>
      <c r="AM75" s="116">
        <f>IF(Calculs!$BX$19="","",INDEX(Calculs!$EP$4:$EP$503,Calculs!$BX$19))</f>
        <v>60</v>
      </c>
      <c r="AR75" s="117">
        <f>IF(Calculs!$BX$19="","",IF(Calculs!$AL$4=0,0,INDEX(Calculs!$EP$4:$EP$503,Calculs!$BX$19)/Calculs!$AL$4))</f>
        <v>0.0173661360347323</v>
      </c>
      <c r="AX75" s="118">
        <f>IF(Calculs!$BX$19="","",INDEX(Calculs!$EU$4:$EU$503,Calculs!$BX$19))</f>
        <v>0</v>
      </c>
      <c r="BD75" s="119">
        <f>IF(Calculs!$BX$19="","",IF(INDEX(Calculs!$EW$4:$EW$503,Calculs!$BX$19)&gt;=2958465,"à planifier",INDEX(Calculs!$EW$4:$EW$503,Calculs!$BX$19)))</f>
        <v>46426.0</v>
      </c>
      <c r="BI75" s="17" t="n"/>
      <c r="BJ75">
        <f>Calculs!BY19</f>
        <v>0</v>
      </c>
    </row>
    <row r="76" ht="16.5" customHeight="1">
      <c r="A76" s="17" t="n"/>
      <c r="B76" s="112">
        <f>IF(Calculs!$BX$20="","",Calculs!$BW$20)</f>
        <v>17</v>
      </c>
      <c r="D76" s="113" t="str">
        <f>IF(Calculs!$BX$20="","",INDEX(Charge!$B:$B,Calculs!$BX$20+3)&amp;"")</f>
        <v>VEGA</v>
      </c>
      <c r="L76" s="114" t="str">
        <f>IF(Calculs!$BX$20="","",INDEX(Charge!$C:$C,Calculs!$BX$20+3)&amp;"")</f>
        <v>Mise en conformité</v>
      </c>
      <c r="T76" s="114" t="str">
        <f>IF(Calculs!$BX$20="","",INDEX(Charge!$D:$D,Calculs!$BX$20+3)&amp;"")</f>
        <v>Escalier d'accès</v>
      </c>
      <c r="AB76" s="114" t="str">
        <f>IF(Calculs!$BX$20="","",INDEX(Charge!$A:$A,Calculs!$BX$20+3)&amp;"")</f>
        <v>Camille Laurent</v>
      </c>
      <c r="AI76" s="115" t="str">
        <f>IF(Calculs!$BX$20="","",INDEX(Calculs!$ET$4:$ET$503,Calculs!$BX$20))</f>
        <v>à affecter</v>
      </c>
      <c r="AM76" s="116">
        <f>IF(Calculs!$BX$20="","",INDEX(Calculs!$EP$4:$EP$503,Calculs!$BX$20))</f>
        <v>50</v>
      </c>
      <c r="AR76" s="117">
        <f>IF(Calculs!$BX$20="","",IF(Calculs!$AL$4=0,0,INDEX(Calculs!$EP$4:$EP$503,Calculs!$BX$20)/Calculs!$AL$4))</f>
        <v>0.0144717800289436</v>
      </c>
      <c r="AX76" s="118">
        <f>IF(Calculs!$BX$20="","",INDEX(Calculs!$EU$4:$EU$503,Calculs!$BX$20))</f>
        <v>0</v>
      </c>
      <c r="BD76" s="119">
        <f>IF(Calculs!$BX$20="","",IF(INDEX(Calculs!$EW$4:$EW$503,Calculs!$BX$20)&gt;=2958465,"à planifier",INDEX(Calculs!$EW$4:$EW$503,Calculs!$BX$20)))</f>
        <v>46447.0</v>
      </c>
      <c r="BI76" s="17" t="n"/>
      <c r="BJ76">
        <f>Calculs!BY20</f>
        <v>0</v>
      </c>
    </row>
    <row r="77" ht="16.5" customHeight="1">
      <c r="A77" s="17" t="n"/>
      <c r="B77" s="112" t="str">
        <f>IF(Calculs!$BX$21="","",Calculs!$BW$21)</f>
        <v/>
      </c>
      <c r="D77" s="113" t="str">
        <f>IF(Calculs!$BX$21="","",INDEX(Charge!$B:$B,Calculs!$BX$21+3)&amp;"")</f>
        <v/>
      </c>
      <c r="L77" s="114" t="str">
        <f>IF(Calculs!$BX$21="","",INDEX(Charge!$C:$C,Calculs!$BX$21+3)&amp;"")</f>
        <v/>
      </c>
      <c r="T77" s="114" t="str">
        <f>IF(Calculs!$BX$21="","",INDEX(Charge!$D:$D,Calculs!$BX$21+3)&amp;"")</f>
        <v/>
      </c>
      <c r="AB77" s="114" t="str">
        <f>IF(Calculs!$BX$21="","",INDEX(Charge!$A:$A,Calculs!$BX$21+3)&amp;"")</f>
        <v/>
      </c>
      <c r="AI77" s="115" t="str">
        <f>IF(Calculs!$BX$21="","",INDEX(Calculs!$ET$4:$ET$503,Calculs!$BX$21))</f>
        <v/>
      </c>
      <c r="AM77" s="116" t="str">
        <f>IF(Calculs!$BX$21="","",INDEX(Calculs!$EP$4:$EP$503,Calculs!$BX$21))</f>
        <v/>
      </c>
      <c r="AR77" s="117" t="str">
        <f>IF(Calculs!$BX$21="","",IF(Calculs!$AL$4=0,0,INDEX(Calculs!$EP$4:$EP$503,Calculs!$BX$21)/Calculs!$AL$4))</f>
        <v/>
      </c>
      <c r="AX77" s="118" t="str">
        <f>IF(Calculs!$BX$21="","",INDEX(Calculs!$EU$4:$EU$503,Calculs!$BX$21))</f>
        <v/>
      </c>
      <c r="BD77" s="119" t="str">
        <f>IF(Calculs!$BX$21="","",IF(INDEX(Calculs!$EW$4:$EW$503,Calculs!$BX$21)&gt;=2958465,"à planifier",INDEX(Calculs!$EW$4:$EW$503,Calculs!$BX$21)))</f>
        <v/>
      </c>
      <c r="BI77" s="17" t="n"/>
      <c r="BJ77" t="str">
        <f>Calculs!BY21</f>
        <v/>
      </c>
    </row>
    <row r="78" ht="16.5" customHeight="1">
      <c r="A78" s="17" t="n"/>
      <c r="B78" s="112" t="str">
        <f>IF(Calculs!$BX$22="","",Calculs!$BW$22)</f>
        <v/>
      </c>
      <c r="D78" s="113" t="str">
        <f>IF(Calculs!$BX$22="","",INDEX(Charge!$B:$B,Calculs!$BX$22+3)&amp;"")</f>
        <v/>
      </c>
      <c r="L78" s="114" t="str">
        <f>IF(Calculs!$BX$22="","",INDEX(Charge!$C:$C,Calculs!$BX$22+3)&amp;"")</f>
        <v/>
      </c>
      <c r="T78" s="114" t="str">
        <f>IF(Calculs!$BX$22="","",INDEX(Charge!$D:$D,Calculs!$BX$22+3)&amp;"")</f>
        <v/>
      </c>
      <c r="AB78" s="114" t="str">
        <f>IF(Calculs!$BX$22="","",INDEX(Charge!$A:$A,Calculs!$BX$22+3)&amp;"")</f>
        <v/>
      </c>
      <c r="AI78" s="115" t="str">
        <f>IF(Calculs!$BX$22="","",INDEX(Calculs!$ET$4:$ET$503,Calculs!$BX$22))</f>
        <v/>
      </c>
      <c r="AM78" s="116" t="str">
        <f>IF(Calculs!$BX$22="","",INDEX(Calculs!$EP$4:$EP$503,Calculs!$BX$22))</f>
        <v/>
      </c>
      <c r="AR78" s="117" t="str">
        <f>IF(Calculs!$BX$22="","",IF(Calculs!$AL$4=0,0,INDEX(Calculs!$EP$4:$EP$503,Calculs!$BX$22)/Calculs!$AL$4))</f>
        <v/>
      </c>
      <c r="AX78" s="118" t="str">
        <f>IF(Calculs!$BX$22="","",INDEX(Calculs!$EU$4:$EU$503,Calculs!$BX$22))</f>
        <v/>
      </c>
      <c r="BD78" s="119" t="str">
        <f>IF(Calculs!$BX$22="","",IF(INDEX(Calculs!$EW$4:$EW$503,Calculs!$BX$22)&gt;=2958465,"à planifier",INDEX(Calculs!$EW$4:$EW$503,Calculs!$BX$22)))</f>
        <v/>
      </c>
      <c r="BI78" s="17" t="n"/>
      <c r="BJ78" t="str">
        <f>Calculs!BY22</f>
        <v/>
      </c>
    </row>
    <row r="79" ht="16.5" customHeight="1">
      <c r="A79" s="17" t="n"/>
      <c r="B79" s="112" t="str">
        <f>IF(Calculs!$BX$23="","",Calculs!$BW$23)</f>
        <v/>
      </c>
      <c r="D79" s="113" t="str">
        <f>IF(Calculs!$BX$23="","",INDEX(Charge!$B:$B,Calculs!$BX$23+3)&amp;"")</f>
        <v/>
      </c>
      <c r="L79" s="114" t="str">
        <f>IF(Calculs!$BX$23="","",INDEX(Charge!$C:$C,Calculs!$BX$23+3)&amp;"")</f>
        <v/>
      </c>
      <c r="T79" s="114" t="str">
        <f>IF(Calculs!$BX$23="","",INDEX(Charge!$D:$D,Calculs!$BX$23+3)&amp;"")</f>
        <v/>
      </c>
      <c r="AB79" s="114" t="str">
        <f>IF(Calculs!$BX$23="","",INDEX(Charge!$A:$A,Calculs!$BX$23+3)&amp;"")</f>
        <v/>
      </c>
      <c r="AI79" s="115" t="str">
        <f>IF(Calculs!$BX$23="","",INDEX(Calculs!$ET$4:$ET$503,Calculs!$BX$23))</f>
        <v/>
      </c>
      <c r="AM79" s="116" t="str">
        <f>IF(Calculs!$BX$23="","",INDEX(Calculs!$EP$4:$EP$503,Calculs!$BX$23))</f>
        <v/>
      </c>
      <c r="AR79" s="117" t="str">
        <f>IF(Calculs!$BX$23="","",IF(Calculs!$AL$4=0,0,INDEX(Calculs!$EP$4:$EP$503,Calculs!$BX$23)/Calculs!$AL$4))</f>
        <v/>
      </c>
      <c r="AX79" s="118" t="str">
        <f>IF(Calculs!$BX$23="","",INDEX(Calculs!$EU$4:$EU$503,Calculs!$BX$23))</f>
        <v/>
      </c>
      <c r="BD79" s="119" t="str">
        <f>IF(Calculs!$BX$23="","",IF(INDEX(Calculs!$EW$4:$EW$503,Calculs!$BX$23)&gt;=2958465,"à planifier",INDEX(Calculs!$EW$4:$EW$503,Calculs!$BX$23)))</f>
        <v/>
      </c>
      <c r="BI79" s="17" t="n"/>
      <c r="BJ79" t="str">
        <f>Calculs!BY23</f>
        <v/>
      </c>
    </row>
    <row r="80" ht="16.5" customHeight="1">
      <c r="A80" s="17" t="n"/>
      <c r="B80" s="112" t="str">
        <f>IF(Calculs!$BX$24="","",Calculs!$BW$24)</f>
        <v/>
      </c>
      <c r="D80" s="113" t="str">
        <f>IF(Calculs!$BX$24="","",INDEX(Charge!$B:$B,Calculs!$BX$24+3)&amp;"")</f>
        <v/>
      </c>
      <c r="L80" s="114" t="str">
        <f>IF(Calculs!$BX$24="","",INDEX(Charge!$C:$C,Calculs!$BX$24+3)&amp;"")</f>
        <v/>
      </c>
      <c r="T80" s="114" t="str">
        <f>IF(Calculs!$BX$24="","",INDEX(Charge!$D:$D,Calculs!$BX$24+3)&amp;"")</f>
        <v/>
      </c>
      <c r="AB80" s="114" t="str">
        <f>IF(Calculs!$BX$24="","",INDEX(Charge!$A:$A,Calculs!$BX$24+3)&amp;"")</f>
        <v/>
      </c>
      <c r="AI80" s="115" t="str">
        <f>IF(Calculs!$BX$24="","",INDEX(Calculs!$ET$4:$ET$503,Calculs!$BX$24))</f>
        <v/>
      </c>
      <c r="AM80" s="116" t="str">
        <f>IF(Calculs!$BX$24="","",INDEX(Calculs!$EP$4:$EP$503,Calculs!$BX$24))</f>
        <v/>
      </c>
      <c r="AR80" s="117" t="str">
        <f>IF(Calculs!$BX$24="","",IF(Calculs!$AL$4=0,0,INDEX(Calculs!$EP$4:$EP$503,Calculs!$BX$24)/Calculs!$AL$4))</f>
        <v/>
      </c>
      <c r="AX80" s="118" t="str">
        <f>IF(Calculs!$BX$24="","",INDEX(Calculs!$EU$4:$EU$503,Calculs!$BX$24))</f>
        <v/>
      </c>
      <c r="BD80" s="119" t="str">
        <f>IF(Calculs!$BX$24="","",IF(INDEX(Calculs!$EW$4:$EW$503,Calculs!$BX$24)&gt;=2958465,"à planifier",INDEX(Calculs!$EW$4:$EW$503,Calculs!$BX$24)))</f>
        <v/>
      </c>
      <c r="BI80" s="17" t="n"/>
      <c r="BJ80" t="str">
        <f>Calculs!BY24</f>
        <v/>
      </c>
    </row>
    <row r="81" ht="16.5" customHeight="1">
      <c r="A81" s="17" t="n"/>
      <c r="B81" s="112" t="str">
        <f>IF(Calculs!$BX$25="","",Calculs!$BW$25)</f>
        <v/>
      </c>
      <c r="D81" s="113" t="str">
        <f>IF(Calculs!$BX$25="","",INDEX(Charge!$B:$B,Calculs!$BX$25+3)&amp;"")</f>
        <v/>
      </c>
      <c r="L81" s="114" t="str">
        <f>IF(Calculs!$BX$25="","",INDEX(Charge!$C:$C,Calculs!$BX$25+3)&amp;"")</f>
        <v/>
      </c>
      <c r="T81" s="114" t="str">
        <f>IF(Calculs!$BX$25="","",INDEX(Charge!$D:$D,Calculs!$BX$25+3)&amp;"")</f>
        <v/>
      </c>
      <c r="AB81" s="114" t="str">
        <f>IF(Calculs!$BX$25="","",INDEX(Charge!$A:$A,Calculs!$BX$25+3)&amp;"")</f>
        <v/>
      </c>
      <c r="AI81" s="115" t="str">
        <f>IF(Calculs!$BX$25="","",INDEX(Calculs!$ET$4:$ET$503,Calculs!$BX$25))</f>
        <v/>
      </c>
      <c r="AM81" s="116" t="str">
        <f>IF(Calculs!$BX$25="","",INDEX(Calculs!$EP$4:$EP$503,Calculs!$BX$25))</f>
        <v/>
      </c>
      <c r="AR81" s="117" t="str">
        <f>IF(Calculs!$BX$25="","",IF(Calculs!$AL$4=0,0,INDEX(Calculs!$EP$4:$EP$503,Calculs!$BX$25)/Calculs!$AL$4))</f>
        <v/>
      </c>
      <c r="AX81" s="118" t="str">
        <f>IF(Calculs!$BX$25="","",INDEX(Calculs!$EU$4:$EU$503,Calculs!$BX$25))</f>
        <v/>
      </c>
      <c r="BD81" s="119" t="str">
        <f>IF(Calculs!$BX$25="","",IF(INDEX(Calculs!$EW$4:$EW$503,Calculs!$BX$25)&gt;=2958465,"à planifier",INDEX(Calculs!$EW$4:$EW$503,Calculs!$BX$25)))</f>
        <v/>
      </c>
      <c r="BI81" s="17" t="n"/>
      <c r="BJ81" t="str">
        <f>Calculs!BY25</f>
        <v/>
      </c>
    </row>
    <row r="82" ht="16.5" customHeight="1">
      <c r="A82" s="17" t="n"/>
      <c r="B82" s="112" t="str">
        <f>IF(Calculs!$BX$26="","",Calculs!$BW$26)</f>
        <v/>
      </c>
      <c r="D82" s="113" t="str">
        <f>IF(Calculs!$BX$26="","",INDEX(Charge!$B:$B,Calculs!$BX$26+3)&amp;"")</f>
        <v/>
      </c>
      <c r="L82" s="114" t="str">
        <f>IF(Calculs!$BX$26="","",INDEX(Charge!$C:$C,Calculs!$BX$26+3)&amp;"")</f>
        <v/>
      </c>
      <c r="T82" s="114" t="str">
        <f>IF(Calculs!$BX$26="","",INDEX(Charge!$D:$D,Calculs!$BX$26+3)&amp;"")</f>
        <v/>
      </c>
      <c r="AB82" s="114" t="str">
        <f>IF(Calculs!$BX$26="","",INDEX(Charge!$A:$A,Calculs!$BX$26+3)&amp;"")</f>
        <v/>
      </c>
      <c r="AI82" s="115" t="str">
        <f>IF(Calculs!$BX$26="","",INDEX(Calculs!$ET$4:$ET$503,Calculs!$BX$26))</f>
        <v/>
      </c>
      <c r="AM82" s="116" t="str">
        <f>IF(Calculs!$BX$26="","",INDEX(Calculs!$EP$4:$EP$503,Calculs!$BX$26))</f>
        <v/>
      </c>
      <c r="AR82" s="117" t="str">
        <f>IF(Calculs!$BX$26="","",IF(Calculs!$AL$4=0,0,INDEX(Calculs!$EP$4:$EP$503,Calculs!$BX$26)/Calculs!$AL$4))</f>
        <v/>
      </c>
      <c r="AX82" s="118" t="str">
        <f>IF(Calculs!$BX$26="","",INDEX(Calculs!$EU$4:$EU$503,Calculs!$BX$26))</f>
        <v/>
      </c>
      <c r="BD82" s="119" t="str">
        <f>IF(Calculs!$BX$26="","",IF(INDEX(Calculs!$EW$4:$EW$503,Calculs!$BX$26)&gt;=2958465,"à planifier",INDEX(Calculs!$EW$4:$EW$503,Calculs!$BX$26)))</f>
        <v/>
      </c>
      <c r="BI82" s="17" t="n"/>
      <c r="BJ82" t="str">
        <f>Calculs!BY26</f>
        <v/>
      </c>
    </row>
    <row r="83" ht="16.5" customHeight="1">
      <c r="A83" s="17" t="n"/>
      <c r="B83" s="112" t="str">
        <f>IF(Calculs!$BX$27="","",Calculs!$BW$27)</f>
        <v/>
      </c>
      <c r="D83" s="113" t="str">
        <f>IF(Calculs!$BX$27="","",INDEX(Charge!$B:$B,Calculs!$BX$27+3)&amp;"")</f>
        <v/>
      </c>
      <c r="L83" s="114" t="str">
        <f>IF(Calculs!$BX$27="","",INDEX(Charge!$C:$C,Calculs!$BX$27+3)&amp;"")</f>
        <v/>
      </c>
      <c r="T83" s="114" t="str">
        <f>IF(Calculs!$BX$27="","",INDEX(Charge!$D:$D,Calculs!$BX$27+3)&amp;"")</f>
        <v/>
      </c>
      <c r="AB83" s="114" t="str">
        <f>IF(Calculs!$BX$27="","",INDEX(Charge!$A:$A,Calculs!$BX$27+3)&amp;"")</f>
        <v/>
      </c>
      <c r="AI83" s="115" t="str">
        <f>IF(Calculs!$BX$27="","",INDEX(Calculs!$ET$4:$ET$503,Calculs!$BX$27))</f>
        <v/>
      </c>
      <c r="AM83" s="116" t="str">
        <f>IF(Calculs!$BX$27="","",INDEX(Calculs!$EP$4:$EP$503,Calculs!$BX$27))</f>
        <v/>
      </c>
      <c r="AR83" s="117" t="str">
        <f>IF(Calculs!$BX$27="","",IF(Calculs!$AL$4=0,0,INDEX(Calculs!$EP$4:$EP$503,Calculs!$BX$27)/Calculs!$AL$4))</f>
        <v/>
      </c>
      <c r="AX83" s="118" t="str">
        <f>IF(Calculs!$BX$27="","",INDEX(Calculs!$EU$4:$EU$503,Calculs!$BX$27))</f>
        <v/>
      </c>
      <c r="BD83" s="119" t="str">
        <f>IF(Calculs!$BX$27="","",IF(INDEX(Calculs!$EW$4:$EW$503,Calculs!$BX$27)&gt;=2958465,"à planifier",INDEX(Calculs!$EW$4:$EW$503,Calculs!$BX$27)))</f>
        <v/>
      </c>
      <c r="BI83" s="17" t="n"/>
      <c r="BJ83" t="str">
        <f>Calculs!BY27</f>
        <v/>
      </c>
    </row>
    <row r="84" ht="16.5" customHeight="1">
      <c r="A84" s="17" t="n"/>
      <c r="B84" s="112" t="str">
        <f>IF(Calculs!$BX$28="","",Calculs!$BW$28)</f>
        <v/>
      </c>
      <c r="D84" s="113" t="str">
        <f>IF(Calculs!$BX$28="","",INDEX(Charge!$B:$B,Calculs!$BX$28+3)&amp;"")</f>
        <v/>
      </c>
      <c r="L84" s="114" t="str">
        <f>IF(Calculs!$BX$28="","",INDEX(Charge!$C:$C,Calculs!$BX$28+3)&amp;"")</f>
        <v/>
      </c>
      <c r="T84" s="114" t="str">
        <f>IF(Calculs!$BX$28="","",INDEX(Charge!$D:$D,Calculs!$BX$28+3)&amp;"")</f>
        <v/>
      </c>
      <c r="AB84" s="114" t="str">
        <f>IF(Calculs!$BX$28="","",INDEX(Charge!$A:$A,Calculs!$BX$28+3)&amp;"")</f>
        <v/>
      </c>
      <c r="AI84" s="115" t="str">
        <f>IF(Calculs!$BX$28="","",INDEX(Calculs!$ET$4:$ET$503,Calculs!$BX$28))</f>
        <v/>
      </c>
      <c r="AM84" s="116" t="str">
        <f>IF(Calculs!$BX$28="","",INDEX(Calculs!$EP$4:$EP$503,Calculs!$BX$28))</f>
        <v/>
      </c>
      <c r="AR84" s="117" t="str">
        <f>IF(Calculs!$BX$28="","",IF(Calculs!$AL$4=0,0,INDEX(Calculs!$EP$4:$EP$503,Calculs!$BX$28)/Calculs!$AL$4))</f>
        <v/>
      </c>
      <c r="AX84" s="118" t="str">
        <f>IF(Calculs!$BX$28="","",INDEX(Calculs!$EU$4:$EU$503,Calculs!$BX$28))</f>
        <v/>
      </c>
      <c r="BD84" s="119" t="str">
        <f>IF(Calculs!$BX$28="","",IF(INDEX(Calculs!$EW$4:$EW$503,Calculs!$BX$28)&gt;=2958465,"à planifier",INDEX(Calculs!$EW$4:$EW$503,Calculs!$BX$28)))</f>
        <v/>
      </c>
      <c r="BI84" s="17" t="n"/>
      <c r="BJ84" t="str">
        <f>Calculs!BY28</f>
        <v/>
      </c>
    </row>
    <row r="85" ht="16.5" customHeight="1">
      <c r="A85" s="17" t="n"/>
      <c r="B85" s="112" t="str">
        <f>IF(Calculs!$BX$29="","",Calculs!$BW$29)</f>
        <v/>
      </c>
      <c r="D85" s="113" t="str">
        <f>IF(Calculs!$BX$29="","",INDEX(Charge!$B:$B,Calculs!$BX$29+3)&amp;"")</f>
        <v/>
      </c>
      <c r="L85" s="114" t="str">
        <f>IF(Calculs!$BX$29="","",INDEX(Charge!$C:$C,Calculs!$BX$29+3)&amp;"")</f>
        <v/>
      </c>
      <c r="T85" s="114" t="str">
        <f>IF(Calculs!$BX$29="","",INDEX(Charge!$D:$D,Calculs!$BX$29+3)&amp;"")</f>
        <v/>
      </c>
      <c r="AB85" s="114" t="str">
        <f>IF(Calculs!$BX$29="","",INDEX(Charge!$A:$A,Calculs!$BX$29+3)&amp;"")</f>
        <v/>
      </c>
      <c r="AI85" s="115" t="str">
        <f>IF(Calculs!$BX$29="","",INDEX(Calculs!$ET$4:$ET$503,Calculs!$BX$29))</f>
        <v/>
      </c>
      <c r="AM85" s="116" t="str">
        <f>IF(Calculs!$BX$29="","",INDEX(Calculs!$EP$4:$EP$503,Calculs!$BX$29))</f>
        <v/>
      </c>
      <c r="AR85" s="117" t="str">
        <f>IF(Calculs!$BX$29="","",IF(Calculs!$AL$4=0,0,INDEX(Calculs!$EP$4:$EP$503,Calculs!$BX$29)/Calculs!$AL$4))</f>
        <v/>
      </c>
      <c r="AX85" s="118" t="str">
        <f>IF(Calculs!$BX$29="","",INDEX(Calculs!$EU$4:$EU$503,Calculs!$BX$29))</f>
        <v/>
      </c>
      <c r="BD85" s="119" t="str">
        <f>IF(Calculs!$BX$29="","",IF(INDEX(Calculs!$EW$4:$EW$503,Calculs!$BX$29)&gt;=2958465,"à planifier",INDEX(Calculs!$EW$4:$EW$503,Calculs!$BX$29)))</f>
        <v/>
      </c>
      <c r="BI85" s="17" t="n"/>
      <c r="BJ85" t="str">
        <f>Calculs!BY29</f>
        <v/>
      </c>
    </row>
    <row r="86" ht="16.5" customHeight="1">
      <c r="A86" s="17" t="n"/>
      <c r="B86" s="112" t="str">
        <f>IF(Calculs!$BX$30="","",Calculs!$BW$30)</f>
        <v/>
      </c>
      <c r="D86" s="113" t="str">
        <f>IF(Calculs!$BX$30="","",INDEX(Charge!$B:$B,Calculs!$BX$30+3)&amp;"")</f>
        <v/>
      </c>
      <c r="L86" s="114" t="str">
        <f>IF(Calculs!$BX$30="","",INDEX(Charge!$C:$C,Calculs!$BX$30+3)&amp;"")</f>
        <v/>
      </c>
      <c r="T86" s="114" t="str">
        <f>IF(Calculs!$BX$30="","",INDEX(Charge!$D:$D,Calculs!$BX$30+3)&amp;"")</f>
        <v/>
      </c>
      <c r="AB86" s="114" t="str">
        <f>IF(Calculs!$BX$30="","",INDEX(Charge!$A:$A,Calculs!$BX$30+3)&amp;"")</f>
        <v/>
      </c>
      <c r="AI86" s="115" t="str">
        <f>IF(Calculs!$BX$30="","",INDEX(Calculs!$ET$4:$ET$503,Calculs!$BX$30))</f>
        <v/>
      </c>
      <c r="AM86" s="116" t="str">
        <f>IF(Calculs!$BX$30="","",INDEX(Calculs!$EP$4:$EP$503,Calculs!$BX$30))</f>
        <v/>
      </c>
      <c r="AR86" s="117" t="str">
        <f>IF(Calculs!$BX$30="","",IF(Calculs!$AL$4=0,0,INDEX(Calculs!$EP$4:$EP$503,Calculs!$BX$30)/Calculs!$AL$4))</f>
        <v/>
      </c>
      <c r="AX86" s="118" t="str">
        <f>IF(Calculs!$BX$30="","",INDEX(Calculs!$EU$4:$EU$503,Calculs!$BX$30))</f>
        <v/>
      </c>
      <c r="BD86" s="119" t="str">
        <f>IF(Calculs!$BX$30="","",IF(INDEX(Calculs!$EW$4:$EW$503,Calculs!$BX$30)&gt;=2958465,"à planifier",INDEX(Calculs!$EW$4:$EW$503,Calculs!$BX$30)))</f>
        <v/>
      </c>
      <c r="BI86" s="17" t="n"/>
      <c r="BJ86" t="str">
        <f>Calculs!BY30</f>
        <v/>
      </c>
    </row>
    <row r="87" ht="16.5" customHeight="1">
      <c r="A87" s="17" t="n"/>
      <c r="B87" s="112" t="str">
        <f>IF(Calculs!$BX$31="","",Calculs!$BW$31)</f>
        <v/>
      </c>
      <c r="D87" s="113" t="str">
        <f>IF(Calculs!$BX$31="","",INDEX(Charge!$B:$B,Calculs!$BX$31+3)&amp;"")</f>
        <v/>
      </c>
      <c r="L87" s="114" t="str">
        <f>IF(Calculs!$BX$31="","",INDEX(Charge!$C:$C,Calculs!$BX$31+3)&amp;"")</f>
        <v/>
      </c>
      <c r="T87" s="114" t="str">
        <f>IF(Calculs!$BX$31="","",INDEX(Charge!$D:$D,Calculs!$BX$31+3)&amp;"")</f>
        <v/>
      </c>
      <c r="AB87" s="114" t="str">
        <f>IF(Calculs!$BX$31="","",INDEX(Charge!$A:$A,Calculs!$BX$31+3)&amp;"")</f>
        <v/>
      </c>
      <c r="AI87" s="115" t="str">
        <f>IF(Calculs!$BX$31="","",INDEX(Calculs!$ET$4:$ET$503,Calculs!$BX$31))</f>
        <v/>
      </c>
      <c r="AM87" s="116" t="str">
        <f>IF(Calculs!$BX$31="","",INDEX(Calculs!$EP$4:$EP$503,Calculs!$BX$31))</f>
        <v/>
      </c>
      <c r="AR87" s="117" t="str">
        <f>IF(Calculs!$BX$31="","",IF(Calculs!$AL$4=0,0,INDEX(Calculs!$EP$4:$EP$503,Calculs!$BX$31)/Calculs!$AL$4))</f>
        <v/>
      </c>
      <c r="AX87" s="118" t="str">
        <f>IF(Calculs!$BX$31="","",INDEX(Calculs!$EU$4:$EU$503,Calculs!$BX$31))</f>
        <v/>
      </c>
      <c r="BD87" s="119" t="str">
        <f>IF(Calculs!$BX$31="","",IF(INDEX(Calculs!$EW$4:$EW$503,Calculs!$BX$31)&gt;=2958465,"à planifier",INDEX(Calculs!$EW$4:$EW$503,Calculs!$BX$31)))</f>
        <v/>
      </c>
      <c r="BI87" s="17" t="n"/>
      <c r="BJ87" t="str">
        <f>Calculs!BY31</f>
        <v/>
      </c>
    </row>
    <row r="88" ht="16.5" customHeight="1">
      <c r="A88" s="17" t="n"/>
      <c r="B88" s="112" t="str">
        <f>IF(Calculs!$BX$32="","",Calculs!$BW$32)</f>
        <v/>
      </c>
      <c r="D88" s="113" t="str">
        <f>IF(Calculs!$BX$32="","",INDEX(Charge!$B:$B,Calculs!$BX$32+3)&amp;"")</f>
        <v/>
      </c>
      <c r="L88" s="114" t="str">
        <f>IF(Calculs!$BX$32="","",INDEX(Charge!$C:$C,Calculs!$BX$32+3)&amp;"")</f>
        <v/>
      </c>
      <c r="T88" s="114" t="str">
        <f>IF(Calculs!$BX$32="","",INDEX(Charge!$D:$D,Calculs!$BX$32+3)&amp;"")</f>
        <v/>
      </c>
      <c r="AB88" s="114" t="str">
        <f>IF(Calculs!$BX$32="","",INDEX(Charge!$A:$A,Calculs!$BX$32+3)&amp;"")</f>
        <v/>
      </c>
      <c r="AI88" s="115" t="str">
        <f>IF(Calculs!$BX$32="","",INDEX(Calculs!$ET$4:$ET$503,Calculs!$BX$32))</f>
        <v/>
      </c>
      <c r="AM88" s="116" t="str">
        <f>IF(Calculs!$BX$32="","",INDEX(Calculs!$EP$4:$EP$503,Calculs!$BX$32))</f>
        <v/>
      </c>
      <c r="AR88" s="117" t="str">
        <f>IF(Calculs!$BX$32="","",IF(Calculs!$AL$4=0,0,INDEX(Calculs!$EP$4:$EP$503,Calculs!$BX$32)/Calculs!$AL$4))</f>
        <v/>
      </c>
      <c r="AX88" s="118" t="str">
        <f>IF(Calculs!$BX$32="","",INDEX(Calculs!$EU$4:$EU$503,Calculs!$BX$32))</f>
        <v/>
      </c>
      <c r="BD88" s="119" t="str">
        <f>IF(Calculs!$BX$32="","",IF(INDEX(Calculs!$EW$4:$EW$503,Calculs!$BX$32)&gt;=2958465,"à planifier",INDEX(Calculs!$EW$4:$EW$503,Calculs!$BX$32)))</f>
        <v/>
      </c>
      <c r="BI88" s="17" t="n"/>
      <c r="BJ88" t="str">
        <f>Calculs!BY32</f>
        <v/>
      </c>
    </row>
    <row r="89" ht="16.5" customHeight="1">
      <c r="A89" s="17" t="n"/>
      <c r="B89" s="112" t="str">
        <f>IF(Calculs!$BX$33="","",Calculs!$BW$33)</f>
        <v/>
      </c>
      <c r="D89" s="113" t="str">
        <f>IF(Calculs!$BX$33="","",INDEX(Charge!$B:$B,Calculs!$BX$33+3)&amp;"")</f>
        <v/>
      </c>
      <c r="L89" s="114" t="str">
        <f>IF(Calculs!$BX$33="","",INDEX(Charge!$C:$C,Calculs!$BX$33+3)&amp;"")</f>
        <v/>
      </c>
      <c r="T89" s="114" t="str">
        <f>IF(Calculs!$BX$33="","",INDEX(Charge!$D:$D,Calculs!$BX$33+3)&amp;"")</f>
        <v/>
      </c>
      <c r="AB89" s="114" t="str">
        <f>IF(Calculs!$BX$33="","",INDEX(Charge!$A:$A,Calculs!$BX$33+3)&amp;"")</f>
        <v/>
      </c>
      <c r="AI89" s="115" t="str">
        <f>IF(Calculs!$BX$33="","",INDEX(Calculs!$ET$4:$ET$503,Calculs!$BX$33))</f>
        <v/>
      </c>
      <c r="AM89" s="116" t="str">
        <f>IF(Calculs!$BX$33="","",INDEX(Calculs!$EP$4:$EP$503,Calculs!$BX$33))</f>
        <v/>
      </c>
      <c r="AR89" s="117" t="str">
        <f>IF(Calculs!$BX$33="","",IF(Calculs!$AL$4=0,0,INDEX(Calculs!$EP$4:$EP$503,Calculs!$BX$33)/Calculs!$AL$4))</f>
        <v/>
      </c>
      <c r="AX89" s="118" t="str">
        <f>IF(Calculs!$BX$33="","",INDEX(Calculs!$EU$4:$EU$503,Calculs!$BX$33))</f>
        <v/>
      </c>
      <c r="BD89" s="119" t="str">
        <f>IF(Calculs!$BX$33="","",IF(INDEX(Calculs!$EW$4:$EW$503,Calculs!$BX$33)&gt;=2958465,"à planifier",INDEX(Calculs!$EW$4:$EW$503,Calculs!$BX$33)))</f>
        <v/>
      </c>
      <c r="BI89" s="17" t="n"/>
      <c r="BJ89" t="str">
        <f>Calculs!BY33</f>
        <v/>
      </c>
    </row>
    <row r="90" ht="16.5" customHeight="1">
      <c r="A90" s="17" t="n"/>
      <c r="B90" s="112" t="str">
        <f>IF(Calculs!$BX$34="","",Calculs!$BW$34)</f>
        <v/>
      </c>
      <c r="D90" s="113" t="str">
        <f>IF(Calculs!$BX$34="","",INDEX(Charge!$B:$B,Calculs!$BX$34+3)&amp;"")</f>
        <v/>
      </c>
      <c r="L90" s="114" t="str">
        <f>IF(Calculs!$BX$34="","",INDEX(Charge!$C:$C,Calculs!$BX$34+3)&amp;"")</f>
        <v/>
      </c>
      <c r="T90" s="114" t="str">
        <f>IF(Calculs!$BX$34="","",INDEX(Charge!$D:$D,Calculs!$BX$34+3)&amp;"")</f>
        <v/>
      </c>
      <c r="AB90" s="114" t="str">
        <f>IF(Calculs!$BX$34="","",INDEX(Charge!$A:$A,Calculs!$BX$34+3)&amp;"")</f>
        <v/>
      </c>
      <c r="AI90" s="115" t="str">
        <f>IF(Calculs!$BX$34="","",INDEX(Calculs!$ET$4:$ET$503,Calculs!$BX$34))</f>
        <v/>
      </c>
      <c r="AM90" s="116" t="str">
        <f>IF(Calculs!$BX$34="","",INDEX(Calculs!$EP$4:$EP$503,Calculs!$BX$34))</f>
        <v/>
      </c>
      <c r="AR90" s="117" t="str">
        <f>IF(Calculs!$BX$34="","",IF(Calculs!$AL$4=0,0,INDEX(Calculs!$EP$4:$EP$503,Calculs!$BX$34)/Calculs!$AL$4))</f>
        <v/>
      </c>
      <c r="AX90" s="118" t="str">
        <f>IF(Calculs!$BX$34="","",INDEX(Calculs!$EU$4:$EU$503,Calculs!$BX$34))</f>
        <v/>
      </c>
      <c r="BD90" s="119" t="str">
        <f>IF(Calculs!$BX$34="","",IF(INDEX(Calculs!$EW$4:$EW$503,Calculs!$BX$34)&gt;=2958465,"à planifier",INDEX(Calculs!$EW$4:$EW$503,Calculs!$BX$34)))</f>
        <v/>
      </c>
      <c r="BI90" s="17" t="n"/>
      <c r="BJ90" t="str">
        <f>Calculs!BY34</f>
        <v/>
      </c>
    </row>
    <row r="91" ht="16.5" customHeight="1">
      <c r="A91" s="17" t="n"/>
      <c r="B91" s="112" t="str">
        <f>IF(Calculs!$BX$35="","",Calculs!$BW$35)</f>
        <v/>
      </c>
      <c r="D91" s="113" t="str">
        <f>IF(Calculs!$BX$35="","",INDEX(Charge!$B:$B,Calculs!$BX$35+3)&amp;"")</f>
        <v/>
      </c>
      <c r="L91" s="114" t="str">
        <f>IF(Calculs!$BX$35="","",INDEX(Charge!$C:$C,Calculs!$BX$35+3)&amp;"")</f>
        <v/>
      </c>
      <c r="T91" s="114" t="str">
        <f>IF(Calculs!$BX$35="","",INDEX(Charge!$D:$D,Calculs!$BX$35+3)&amp;"")</f>
        <v/>
      </c>
      <c r="AB91" s="114" t="str">
        <f>IF(Calculs!$BX$35="","",INDEX(Charge!$A:$A,Calculs!$BX$35+3)&amp;"")</f>
        <v/>
      </c>
      <c r="AI91" s="115" t="str">
        <f>IF(Calculs!$BX$35="","",INDEX(Calculs!$ET$4:$ET$503,Calculs!$BX$35))</f>
        <v/>
      </c>
      <c r="AM91" s="116" t="str">
        <f>IF(Calculs!$BX$35="","",INDEX(Calculs!$EP$4:$EP$503,Calculs!$BX$35))</f>
        <v/>
      </c>
      <c r="AR91" s="117" t="str">
        <f>IF(Calculs!$BX$35="","",IF(Calculs!$AL$4=0,0,INDEX(Calculs!$EP$4:$EP$503,Calculs!$BX$35)/Calculs!$AL$4))</f>
        <v/>
      </c>
      <c r="AX91" s="118" t="str">
        <f>IF(Calculs!$BX$35="","",INDEX(Calculs!$EU$4:$EU$503,Calculs!$BX$35))</f>
        <v/>
      </c>
      <c r="BD91" s="119" t="str">
        <f>IF(Calculs!$BX$35="","",IF(INDEX(Calculs!$EW$4:$EW$503,Calculs!$BX$35)&gt;=2958465,"à planifier",INDEX(Calculs!$EW$4:$EW$503,Calculs!$BX$35)))</f>
        <v/>
      </c>
      <c r="BI91" s="17" t="n"/>
      <c r="BJ91" t="str">
        <f>Calculs!BY35</f>
        <v/>
      </c>
    </row>
    <row r="92" ht="16.5" customHeight="1">
      <c r="A92" s="17" t="n"/>
      <c r="B92" s="112" t="str">
        <f>IF(Calculs!$BX$36="","",Calculs!$BW$36)</f>
        <v/>
      </c>
      <c r="D92" s="113" t="str">
        <f>IF(Calculs!$BX$36="","",INDEX(Charge!$B:$B,Calculs!$BX$36+3)&amp;"")</f>
        <v/>
      </c>
      <c r="L92" s="114" t="str">
        <f>IF(Calculs!$BX$36="","",INDEX(Charge!$C:$C,Calculs!$BX$36+3)&amp;"")</f>
        <v/>
      </c>
      <c r="T92" s="114" t="str">
        <f>IF(Calculs!$BX$36="","",INDEX(Charge!$D:$D,Calculs!$BX$36+3)&amp;"")</f>
        <v/>
      </c>
      <c r="AB92" s="114" t="str">
        <f>IF(Calculs!$BX$36="","",INDEX(Charge!$A:$A,Calculs!$BX$36+3)&amp;"")</f>
        <v/>
      </c>
      <c r="AI92" s="115" t="str">
        <f>IF(Calculs!$BX$36="","",INDEX(Calculs!$ET$4:$ET$503,Calculs!$BX$36))</f>
        <v/>
      </c>
      <c r="AM92" s="116" t="str">
        <f>IF(Calculs!$BX$36="","",INDEX(Calculs!$EP$4:$EP$503,Calculs!$BX$36))</f>
        <v/>
      </c>
      <c r="AR92" s="117" t="str">
        <f>IF(Calculs!$BX$36="","",IF(Calculs!$AL$4=0,0,INDEX(Calculs!$EP$4:$EP$503,Calculs!$BX$36)/Calculs!$AL$4))</f>
        <v/>
      </c>
      <c r="AX92" s="118" t="str">
        <f>IF(Calculs!$BX$36="","",INDEX(Calculs!$EU$4:$EU$503,Calculs!$BX$36))</f>
        <v/>
      </c>
      <c r="BD92" s="119" t="str">
        <f>IF(Calculs!$BX$36="","",IF(INDEX(Calculs!$EW$4:$EW$503,Calculs!$BX$36)&gt;=2958465,"à planifier",INDEX(Calculs!$EW$4:$EW$503,Calculs!$BX$36)))</f>
        <v/>
      </c>
      <c r="BI92" s="17" t="n"/>
      <c r="BJ92" t="str">
        <f>Calculs!BY36</f>
        <v/>
      </c>
    </row>
    <row r="93" ht="16.5" customHeight="1">
      <c r="A93" s="17" t="n"/>
      <c r="B93" s="112" t="str">
        <f>IF(Calculs!$BX$37="","",Calculs!$BW$37)</f>
        <v/>
      </c>
      <c r="D93" s="113" t="str">
        <f>IF(Calculs!$BX$37="","",INDEX(Charge!$B:$B,Calculs!$BX$37+3)&amp;"")</f>
        <v/>
      </c>
      <c r="L93" s="114" t="str">
        <f>IF(Calculs!$BX$37="","",INDEX(Charge!$C:$C,Calculs!$BX$37+3)&amp;"")</f>
        <v/>
      </c>
      <c r="T93" s="114" t="str">
        <f>IF(Calculs!$BX$37="","",INDEX(Charge!$D:$D,Calculs!$BX$37+3)&amp;"")</f>
        <v/>
      </c>
      <c r="AB93" s="114" t="str">
        <f>IF(Calculs!$BX$37="","",INDEX(Charge!$A:$A,Calculs!$BX$37+3)&amp;"")</f>
        <v/>
      </c>
      <c r="AI93" s="115" t="str">
        <f>IF(Calculs!$BX$37="","",INDEX(Calculs!$ET$4:$ET$503,Calculs!$BX$37))</f>
        <v/>
      </c>
      <c r="AM93" s="116" t="str">
        <f>IF(Calculs!$BX$37="","",INDEX(Calculs!$EP$4:$EP$503,Calculs!$BX$37))</f>
        <v/>
      </c>
      <c r="AR93" s="117" t="str">
        <f>IF(Calculs!$BX$37="","",IF(Calculs!$AL$4=0,0,INDEX(Calculs!$EP$4:$EP$503,Calculs!$BX$37)/Calculs!$AL$4))</f>
        <v/>
      </c>
      <c r="AX93" s="118" t="str">
        <f>IF(Calculs!$BX$37="","",INDEX(Calculs!$EU$4:$EU$503,Calculs!$BX$37))</f>
        <v/>
      </c>
      <c r="BD93" s="119" t="str">
        <f>IF(Calculs!$BX$37="","",IF(INDEX(Calculs!$EW$4:$EW$503,Calculs!$BX$37)&gt;=2958465,"à planifier",INDEX(Calculs!$EW$4:$EW$503,Calculs!$BX$37)))</f>
        <v/>
      </c>
      <c r="BI93" s="17" t="n"/>
      <c r="BJ93" t="str">
        <f>Calculs!BY37</f>
        <v/>
      </c>
    </row>
    <row r="94" ht="16.5" customHeight="1">
      <c r="A94" s="17" t="n"/>
      <c r="B94" s="112" t="str">
        <f>IF(Calculs!$BX$38="","",Calculs!$BW$38)</f>
        <v/>
      </c>
      <c r="D94" s="113" t="str">
        <f>IF(Calculs!$BX$38="","",INDEX(Charge!$B:$B,Calculs!$BX$38+3)&amp;"")</f>
        <v/>
      </c>
      <c r="L94" s="114" t="str">
        <f>IF(Calculs!$BX$38="","",INDEX(Charge!$C:$C,Calculs!$BX$38+3)&amp;"")</f>
        <v/>
      </c>
      <c r="T94" s="114" t="str">
        <f>IF(Calculs!$BX$38="","",INDEX(Charge!$D:$D,Calculs!$BX$38+3)&amp;"")</f>
        <v/>
      </c>
      <c r="AB94" s="114" t="str">
        <f>IF(Calculs!$BX$38="","",INDEX(Charge!$A:$A,Calculs!$BX$38+3)&amp;"")</f>
        <v/>
      </c>
      <c r="AI94" s="115" t="str">
        <f>IF(Calculs!$BX$38="","",INDEX(Calculs!$ET$4:$ET$503,Calculs!$BX$38))</f>
        <v/>
      </c>
      <c r="AM94" s="116" t="str">
        <f>IF(Calculs!$BX$38="","",INDEX(Calculs!$EP$4:$EP$503,Calculs!$BX$38))</f>
        <v/>
      </c>
      <c r="AR94" s="117" t="str">
        <f>IF(Calculs!$BX$38="","",IF(Calculs!$AL$4=0,0,INDEX(Calculs!$EP$4:$EP$503,Calculs!$BX$38)/Calculs!$AL$4))</f>
        <v/>
      </c>
      <c r="AX94" s="118" t="str">
        <f>IF(Calculs!$BX$38="","",INDEX(Calculs!$EU$4:$EU$503,Calculs!$BX$38))</f>
        <v/>
      </c>
      <c r="BD94" s="119" t="str">
        <f>IF(Calculs!$BX$38="","",IF(INDEX(Calculs!$EW$4:$EW$503,Calculs!$BX$38)&gt;=2958465,"à planifier",INDEX(Calculs!$EW$4:$EW$503,Calculs!$BX$38)))</f>
        <v/>
      </c>
      <c r="BI94" s="17" t="n"/>
      <c r="BJ94" t="str">
        <f>Calculs!BY38</f>
        <v/>
      </c>
    </row>
    <row r="95" ht="16.5" customHeight="1">
      <c r="A95" s="17" t="n"/>
      <c r="B95" s="112" t="str">
        <f>IF(Calculs!$BX$39="","",Calculs!$BW$39)</f>
        <v/>
      </c>
      <c r="D95" s="113" t="str">
        <f>IF(Calculs!$BX$39="","",INDEX(Charge!$B:$B,Calculs!$BX$39+3)&amp;"")</f>
        <v/>
      </c>
      <c r="L95" s="114" t="str">
        <f>IF(Calculs!$BX$39="","",INDEX(Charge!$C:$C,Calculs!$BX$39+3)&amp;"")</f>
        <v/>
      </c>
      <c r="T95" s="114" t="str">
        <f>IF(Calculs!$BX$39="","",INDEX(Charge!$D:$D,Calculs!$BX$39+3)&amp;"")</f>
        <v/>
      </c>
      <c r="AB95" s="114" t="str">
        <f>IF(Calculs!$BX$39="","",INDEX(Charge!$A:$A,Calculs!$BX$39+3)&amp;"")</f>
        <v/>
      </c>
      <c r="AI95" s="115" t="str">
        <f>IF(Calculs!$BX$39="","",INDEX(Calculs!$ET$4:$ET$503,Calculs!$BX$39))</f>
        <v/>
      </c>
      <c r="AM95" s="116" t="str">
        <f>IF(Calculs!$BX$39="","",INDEX(Calculs!$EP$4:$EP$503,Calculs!$BX$39))</f>
        <v/>
      </c>
      <c r="AR95" s="117" t="str">
        <f>IF(Calculs!$BX$39="","",IF(Calculs!$AL$4=0,0,INDEX(Calculs!$EP$4:$EP$503,Calculs!$BX$39)/Calculs!$AL$4))</f>
        <v/>
      </c>
      <c r="AX95" s="118" t="str">
        <f>IF(Calculs!$BX$39="","",INDEX(Calculs!$EU$4:$EU$503,Calculs!$BX$39))</f>
        <v/>
      </c>
      <c r="BD95" s="119" t="str">
        <f>IF(Calculs!$BX$39="","",IF(INDEX(Calculs!$EW$4:$EW$503,Calculs!$BX$39)&gt;=2958465,"à planifier",INDEX(Calculs!$EW$4:$EW$503,Calculs!$BX$39)))</f>
        <v/>
      </c>
      <c r="BI95" s="17" t="n"/>
      <c r="BJ95" t="str">
        <f>Calculs!BY39</f>
        <v/>
      </c>
    </row>
    <row r="96" ht="16.5" customHeight="1">
      <c r="A96" s="17" t="n"/>
      <c r="B96" s="112" t="str">
        <f>IF(Calculs!$BX$40="","",Calculs!$BW$40)</f>
        <v/>
      </c>
      <c r="D96" s="113" t="str">
        <f>IF(Calculs!$BX$40="","",INDEX(Charge!$B:$B,Calculs!$BX$40+3)&amp;"")</f>
        <v/>
      </c>
      <c r="L96" s="114" t="str">
        <f>IF(Calculs!$BX$40="","",INDEX(Charge!$C:$C,Calculs!$BX$40+3)&amp;"")</f>
        <v/>
      </c>
      <c r="T96" s="114" t="str">
        <f>IF(Calculs!$BX$40="","",INDEX(Charge!$D:$D,Calculs!$BX$40+3)&amp;"")</f>
        <v/>
      </c>
      <c r="AB96" s="114" t="str">
        <f>IF(Calculs!$BX$40="","",INDEX(Charge!$A:$A,Calculs!$BX$40+3)&amp;"")</f>
        <v/>
      </c>
      <c r="AI96" s="115" t="str">
        <f>IF(Calculs!$BX$40="","",INDEX(Calculs!$ET$4:$ET$503,Calculs!$BX$40))</f>
        <v/>
      </c>
      <c r="AM96" s="116" t="str">
        <f>IF(Calculs!$BX$40="","",INDEX(Calculs!$EP$4:$EP$503,Calculs!$BX$40))</f>
        <v/>
      </c>
      <c r="AR96" s="117" t="str">
        <f>IF(Calculs!$BX$40="","",IF(Calculs!$AL$4=0,0,INDEX(Calculs!$EP$4:$EP$503,Calculs!$BX$40)/Calculs!$AL$4))</f>
        <v/>
      </c>
      <c r="AX96" s="118" t="str">
        <f>IF(Calculs!$BX$40="","",INDEX(Calculs!$EU$4:$EU$503,Calculs!$BX$40))</f>
        <v/>
      </c>
      <c r="BD96" s="119" t="str">
        <f>IF(Calculs!$BX$40="","",IF(INDEX(Calculs!$EW$4:$EW$503,Calculs!$BX$40)&gt;=2958465,"à planifier",INDEX(Calculs!$EW$4:$EW$503,Calculs!$BX$40)))</f>
        <v/>
      </c>
      <c r="BI96" s="17" t="n"/>
      <c r="BJ96" t="str">
        <f>Calculs!BY40</f>
        <v/>
      </c>
    </row>
    <row r="97" ht="16.5" customHeight="1">
      <c r="A97" s="17" t="n"/>
      <c r="B97" s="112" t="str">
        <f>IF(Calculs!$BX$41="","",Calculs!$BW$41)</f>
        <v/>
      </c>
      <c r="D97" s="113" t="str">
        <f>IF(Calculs!$BX$41="","",INDEX(Charge!$B:$B,Calculs!$BX$41+3)&amp;"")</f>
        <v/>
      </c>
      <c r="L97" s="114" t="str">
        <f>IF(Calculs!$BX$41="","",INDEX(Charge!$C:$C,Calculs!$BX$41+3)&amp;"")</f>
        <v/>
      </c>
      <c r="T97" s="114" t="str">
        <f>IF(Calculs!$BX$41="","",INDEX(Charge!$D:$D,Calculs!$BX$41+3)&amp;"")</f>
        <v/>
      </c>
      <c r="AB97" s="114" t="str">
        <f>IF(Calculs!$BX$41="","",INDEX(Charge!$A:$A,Calculs!$BX$41+3)&amp;"")</f>
        <v/>
      </c>
      <c r="AI97" s="115" t="str">
        <f>IF(Calculs!$BX$41="","",INDEX(Calculs!$ET$4:$ET$503,Calculs!$BX$41))</f>
        <v/>
      </c>
      <c r="AM97" s="116" t="str">
        <f>IF(Calculs!$BX$41="","",INDEX(Calculs!$EP$4:$EP$503,Calculs!$BX$41))</f>
        <v/>
      </c>
      <c r="AR97" s="117" t="str">
        <f>IF(Calculs!$BX$41="","",IF(Calculs!$AL$4=0,0,INDEX(Calculs!$EP$4:$EP$503,Calculs!$BX$41)/Calculs!$AL$4))</f>
        <v/>
      </c>
      <c r="AX97" s="118" t="str">
        <f>IF(Calculs!$BX$41="","",INDEX(Calculs!$EU$4:$EU$503,Calculs!$BX$41))</f>
        <v/>
      </c>
      <c r="BD97" s="119" t="str">
        <f>IF(Calculs!$BX$41="","",IF(INDEX(Calculs!$EW$4:$EW$503,Calculs!$BX$41)&gt;=2958465,"à planifier",INDEX(Calculs!$EW$4:$EW$503,Calculs!$BX$41)))</f>
        <v/>
      </c>
      <c r="BI97" s="17" t="n"/>
      <c r="BJ97" t="str">
        <f>Calculs!BY41</f>
        <v/>
      </c>
    </row>
    <row r="98" ht="16.5" customHeight="1">
      <c r="A98" s="17" t="n"/>
      <c r="B98" s="112" t="str">
        <f>IF(Calculs!$BX$42="","",Calculs!$BW$42)</f>
        <v/>
      </c>
      <c r="D98" s="113" t="str">
        <f>IF(Calculs!$BX$42="","",INDEX(Charge!$B:$B,Calculs!$BX$42+3)&amp;"")</f>
        <v/>
      </c>
      <c r="L98" s="114" t="str">
        <f>IF(Calculs!$BX$42="","",INDEX(Charge!$C:$C,Calculs!$BX$42+3)&amp;"")</f>
        <v/>
      </c>
      <c r="T98" s="114" t="str">
        <f>IF(Calculs!$BX$42="","",INDEX(Charge!$D:$D,Calculs!$BX$42+3)&amp;"")</f>
        <v/>
      </c>
      <c r="AB98" s="114" t="str">
        <f>IF(Calculs!$BX$42="","",INDEX(Charge!$A:$A,Calculs!$BX$42+3)&amp;"")</f>
        <v/>
      </c>
      <c r="AI98" s="115" t="str">
        <f>IF(Calculs!$BX$42="","",INDEX(Calculs!$ET$4:$ET$503,Calculs!$BX$42))</f>
        <v/>
      </c>
      <c r="AM98" s="116" t="str">
        <f>IF(Calculs!$BX$42="","",INDEX(Calculs!$EP$4:$EP$503,Calculs!$BX$42))</f>
        <v/>
      </c>
      <c r="AR98" s="117" t="str">
        <f>IF(Calculs!$BX$42="","",IF(Calculs!$AL$4=0,0,INDEX(Calculs!$EP$4:$EP$503,Calculs!$BX$42)/Calculs!$AL$4))</f>
        <v/>
      </c>
      <c r="AX98" s="118" t="str">
        <f>IF(Calculs!$BX$42="","",INDEX(Calculs!$EU$4:$EU$503,Calculs!$BX$42))</f>
        <v/>
      </c>
      <c r="BD98" s="119" t="str">
        <f>IF(Calculs!$BX$42="","",IF(INDEX(Calculs!$EW$4:$EW$503,Calculs!$BX$42)&gt;=2958465,"à planifier",INDEX(Calculs!$EW$4:$EW$503,Calculs!$BX$42)))</f>
        <v/>
      </c>
      <c r="BI98" s="17" t="n"/>
      <c r="BJ98" t="str">
        <f>Calculs!BY42</f>
        <v/>
      </c>
    </row>
    <row r="99" ht="16.5" customHeight="1">
      <c r="A99" s="17" t="n"/>
      <c r="B99" s="112" t="str">
        <f>IF(Calculs!$BX$43="","",Calculs!$BW$43)</f>
        <v/>
      </c>
      <c r="D99" s="113" t="str">
        <f>IF(Calculs!$BX$43="","",INDEX(Charge!$B:$B,Calculs!$BX$43+3)&amp;"")</f>
        <v/>
      </c>
      <c r="L99" s="114" t="str">
        <f>IF(Calculs!$BX$43="","",INDEX(Charge!$C:$C,Calculs!$BX$43+3)&amp;"")</f>
        <v/>
      </c>
      <c r="T99" s="114" t="str">
        <f>IF(Calculs!$BX$43="","",INDEX(Charge!$D:$D,Calculs!$BX$43+3)&amp;"")</f>
        <v/>
      </c>
      <c r="AB99" s="114" t="str">
        <f>IF(Calculs!$BX$43="","",INDEX(Charge!$A:$A,Calculs!$BX$43+3)&amp;"")</f>
        <v/>
      </c>
      <c r="AI99" s="115" t="str">
        <f>IF(Calculs!$BX$43="","",INDEX(Calculs!$ET$4:$ET$503,Calculs!$BX$43))</f>
        <v/>
      </c>
      <c r="AM99" s="116" t="str">
        <f>IF(Calculs!$BX$43="","",INDEX(Calculs!$EP$4:$EP$503,Calculs!$BX$43))</f>
        <v/>
      </c>
      <c r="AR99" s="117" t="str">
        <f>IF(Calculs!$BX$43="","",IF(Calculs!$AL$4=0,0,INDEX(Calculs!$EP$4:$EP$503,Calculs!$BX$43)/Calculs!$AL$4))</f>
        <v/>
      </c>
      <c r="AX99" s="118" t="str">
        <f>IF(Calculs!$BX$43="","",INDEX(Calculs!$EU$4:$EU$503,Calculs!$BX$43))</f>
        <v/>
      </c>
      <c r="BD99" s="119" t="str">
        <f>IF(Calculs!$BX$43="","",IF(INDEX(Calculs!$EW$4:$EW$503,Calculs!$BX$43)&gt;=2958465,"à planifier",INDEX(Calculs!$EW$4:$EW$503,Calculs!$BX$43)))</f>
        <v/>
      </c>
      <c r="BI99" s="17" t="n"/>
      <c r="BJ99" t="str">
        <f>Calculs!BY43</f>
        <v/>
      </c>
    </row>
    <row r="100" ht="16.5" customHeight="1">
      <c r="A100" s="17" t="n"/>
      <c r="B100" s="112" t="str">
        <f>IF(Calculs!$BX$44="","",Calculs!$BW$44)</f>
        <v/>
      </c>
      <c r="D100" s="113" t="str">
        <f>IF(Calculs!$BX$44="","",INDEX(Charge!$B:$B,Calculs!$BX$44+3)&amp;"")</f>
        <v/>
      </c>
      <c r="L100" s="114" t="str">
        <f>IF(Calculs!$BX$44="","",INDEX(Charge!$C:$C,Calculs!$BX$44+3)&amp;"")</f>
        <v/>
      </c>
      <c r="T100" s="114" t="str">
        <f>IF(Calculs!$BX$44="","",INDEX(Charge!$D:$D,Calculs!$BX$44+3)&amp;"")</f>
        <v/>
      </c>
      <c r="AB100" s="114" t="str">
        <f>IF(Calculs!$BX$44="","",INDEX(Charge!$A:$A,Calculs!$BX$44+3)&amp;"")</f>
        <v/>
      </c>
      <c r="AI100" s="115" t="str">
        <f>IF(Calculs!$BX$44="","",INDEX(Calculs!$ET$4:$ET$503,Calculs!$BX$44))</f>
        <v/>
      </c>
      <c r="AM100" s="116" t="str">
        <f>IF(Calculs!$BX$44="","",INDEX(Calculs!$EP$4:$EP$503,Calculs!$BX$44))</f>
        <v/>
      </c>
      <c r="AR100" s="117" t="str">
        <f>IF(Calculs!$BX$44="","",IF(Calculs!$AL$4=0,0,INDEX(Calculs!$EP$4:$EP$503,Calculs!$BX$44)/Calculs!$AL$4))</f>
        <v/>
      </c>
      <c r="AX100" s="118" t="str">
        <f>IF(Calculs!$BX$44="","",INDEX(Calculs!$EU$4:$EU$503,Calculs!$BX$44))</f>
        <v/>
      </c>
      <c r="BD100" s="119" t="str">
        <f>IF(Calculs!$BX$44="","",IF(INDEX(Calculs!$EW$4:$EW$503,Calculs!$BX$44)&gt;=2958465,"à planifier",INDEX(Calculs!$EW$4:$EW$503,Calculs!$BX$44)))</f>
        <v/>
      </c>
      <c r="BI100" s="17" t="n"/>
      <c r="BJ100" t="str">
        <f>Calculs!BY44</f>
        <v/>
      </c>
    </row>
    <row r="101" ht="16.5" customHeight="1">
      <c r="A101" s="17" t="n"/>
      <c r="B101" s="112" t="str">
        <f>IF(Calculs!$BX$45="","",Calculs!$BW$45)</f>
        <v/>
      </c>
      <c r="D101" s="113" t="str">
        <f>IF(Calculs!$BX$45="","",INDEX(Charge!$B:$B,Calculs!$BX$45+3)&amp;"")</f>
        <v/>
      </c>
      <c r="L101" s="114" t="str">
        <f>IF(Calculs!$BX$45="","",INDEX(Charge!$C:$C,Calculs!$BX$45+3)&amp;"")</f>
        <v/>
      </c>
      <c r="T101" s="114" t="str">
        <f>IF(Calculs!$BX$45="","",INDEX(Charge!$D:$D,Calculs!$BX$45+3)&amp;"")</f>
        <v/>
      </c>
      <c r="AB101" s="114" t="str">
        <f>IF(Calculs!$BX$45="","",INDEX(Charge!$A:$A,Calculs!$BX$45+3)&amp;"")</f>
        <v/>
      </c>
      <c r="AI101" s="115" t="str">
        <f>IF(Calculs!$BX$45="","",INDEX(Calculs!$ET$4:$ET$503,Calculs!$BX$45))</f>
        <v/>
      </c>
      <c r="AM101" s="116" t="str">
        <f>IF(Calculs!$BX$45="","",INDEX(Calculs!$EP$4:$EP$503,Calculs!$BX$45))</f>
        <v/>
      </c>
      <c r="AR101" s="117" t="str">
        <f>IF(Calculs!$BX$45="","",IF(Calculs!$AL$4=0,0,INDEX(Calculs!$EP$4:$EP$503,Calculs!$BX$45)/Calculs!$AL$4))</f>
        <v/>
      </c>
      <c r="AX101" s="118" t="str">
        <f>IF(Calculs!$BX$45="","",INDEX(Calculs!$EU$4:$EU$503,Calculs!$BX$45))</f>
        <v/>
      </c>
      <c r="BD101" s="119" t="str">
        <f>IF(Calculs!$BX$45="","",IF(INDEX(Calculs!$EW$4:$EW$503,Calculs!$BX$45)&gt;=2958465,"à planifier",INDEX(Calculs!$EW$4:$EW$503,Calculs!$BX$45)))</f>
        <v/>
      </c>
      <c r="BI101" s="17" t="n"/>
      <c r="BJ101" t="str">
        <f>Calculs!BY45</f>
        <v/>
      </c>
    </row>
    <row r="102" ht="16.5" customHeight="1">
      <c r="A102" s="17" t="n"/>
      <c r="B102" s="112" t="str">
        <f>IF(Calculs!$BX$46="","",Calculs!$BW$46)</f>
        <v/>
      </c>
      <c r="D102" s="113" t="str">
        <f>IF(Calculs!$BX$46="","",INDEX(Charge!$B:$B,Calculs!$BX$46+3)&amp;"")</f>
        <v/>
      </c>
      <c r="L102" s="114" t="str">
        <f>IF(Calculs!$BX$46="","",INDEX(Charge!$C:$C,Calculs!$BX$46+3)&amp;"")</f>
        <v/>
      </c>
      <c r="T102" s="114" t="str">
        <f>IF(Calculs!$BX$46="","",INDEX(Charge!$D:$D,Calculs!$BX$46+3)&amp;"")</f>
        <v/>
      </c>
      <c r="AB102" s="114" t="str">
        <f>IF(Calculs!$BX$46="","",INDEX(Charge!$A:$A,Calculs!$BX$46+3)&amp;"")</f>
        <v/>
      </c>
      <c r="AI102" s="115" t="str">
        <f>IF(Calculs!$BX$46="","",INDEX(Calculs!$ET$4:$ET$503,Calculs!$BX$46))</f>
        <v/>
      </c>
      <c r="AM102" s="116" t="str">
        <f>IF(Calculs!$BX$46="","",INDEX(Calculs!$EP$4:$EP$503,Calculs!$BX$46))</f>
        <v/>
      </c>
      <c r="AR102" s="117" t="str">
        <f>IF(Calculs!$BX$46="","",IF(Calculs!$AL$4=0,0,INDEX(Calculs!$EP$4:$EP$503,Calculs!$BX$46)/Calculs!$AL$4))</f>
        <v/>
      </c>
      <c r="AX102" s="118" t="str">
        <f>IF(Calculs!$BX$46="","",INDEX(Calculs!$EU$4:$EU$503,Calculs!$BX$46))</f>
        <v/>
      </c>
      <c r="BD102" s="119" t="str">
        <f>IF(Calculs!$BX$46="","",IF(INDEX(Calculs!$EW$4:$EW$503,Calculs!$BX$46)&gt;=2958465,"à planifier",INDEX(Calculs!$EW$4:$EW$503,Calculs!$BX$46)))</f>
        <v/>
      </c>
      <c r="BI102" s="17" t="n"/>
      <c r="BJ102" t="str">
        <f>Calculs!BY46</f>
        <v/>
      </c>
    </row>
    <row r="103" ht="16.5" customHeight="1">
      <c r="A103" s="17" t="n"/>
      <c r="B103" s="112" t="str">
        <f>IF(Calculs!$BX$47="","",Calculs!$BW$47)</f>
        <v/>
      </c>
      <c r="D103" s="113" t="str">
        <f>IF(Calculs!$BX$47="","",INDEX(Charge!$B:$B,Calculs!$BX$47+3)&amp;"")</f>
        <v/>
      </c>
      <c r="L103" s="114" t="str">
        <f>IF(Calculs!$BX$47="","",INDEX(Charge!$C:$C,Calculs!$BX$47+3)&amp;"")</f>
        <v/>
      </c>
      <c r="T103" s="114" t="str">
        <f>IF(Calculs!$BX$47="","",INDEX(Charge!$D:$D,Calculs!$BX$47+3)&amp;"")</f>
        <v/>
      </c>
      <c r="AB103" s="114" t="str">
        <f>IF(Calculs!$BX$47="","",INDEX(Charge!$A:$A,Calculs!$BX$47+3)&amp;"")</f>
        <v/>
      </c>
      <c r="AI103" s="115" t="str">
        <f>IF(Calculs!$BX$47="","",INDEX(Calculs!$ET$4:$ET$503,Calculs!$BX$47))</f>
        <v/>
      </c>
      <c r="AM103" s="116" t="str">
        <f>IF(Calculs!$BX$47="","",INDEX(Calculs!$EP$4:$EP$503,Calculs!$BX$47))</f>
        <v/>
      </c>
      <c r="AR103" s="117" t="str">
        <f>IF(Calculs!$BX$47="","",IF(Calculs!$AL$4=0,0,INDEX(Calculs!$EP$4:$EP$503,Calculs!$BX$47)/Calculs!$AL$4))</f>
        <v/>
      </c>
      <c r="AX103" s="118" t="str">
        <f>IF(Calculs!$BX$47="","",INDEX(Calculs!$EU$4:$EU$503,Calculs!$BX$47))</f>
        <v/>
      </c>
      <c r="BD103" s="119" t="str">
        <f>IF(Calculs!$BX$47="","",IF(INDEX(Calculs!$EW$4:$EW$503,Calculs!$BX$47)&gt;=2958465,"à planifier",INDEX(Calculs!$EW$4:$EW$503,Calculs!$BX$47)))</f>
        <v/>
      </c>
      <c r="BI103" s="17" t="n"/>
      <c r="BJ103" t="str">
        <f>Calculs!BY47</f>
        <v/>
      </c>
    </row>
    <row r="104" ht="16.5" customHeight="1">
      <c r="A104" s="17" t="n"/>
      <c r="B104" s="112" t="str">
        <f>IF(Calculs!$BX$48="","",Calculs!$BW$48)</f>
        <v/>
      </c>
      <c r="D104" s="113" t="str">
        <f>IF(Calculs!$BX$48="","",INDEX(Charge!$B:$B,Calculs!$BX$48+3)&amp;"")</f>
        <v/>
      </c>
      <c r="L104" s="114" t="str">
        <f>IF(Calculs!$BX$48="","",INDEX(Charge!$C:$C,Calculs!$BX$48+3)&amp;"")</f>
        <v/>
      </c>
      <c r="T104" s="114" t="str">
        <f>IF(Calculs!$BX$48="","",INDEX(Charge!$D:$D,Calculs!$BX$48+3)&amp;"")</f>
        <v/>
      </c>
      <c r="AB104" s="114" t="str">
        <f>IF(Calculs!$BX$48="","",INDEX(Charge!$A:$A,Calculs!$BX$48+3)&amp;"")</f>
        <v/>
      </c>
      <c r="AI104" s="115" t="str">
        <f>IF(Calculs!$BX$48="","",INDEX(Calculs!$ET$4:$ET$503,Calculs!$BX$48))</f>
        <v/>
      </c>
      <c r="AM104" s="116" t="str">
        <f>IF(Calculs!$BX$48="","",INDEX(Calculs!$EP$4:$EP$503,Calculs!$BX$48))</f>
        <v/>
      </c>
      <c r="AR104" s="117" t="str">
        <f>IF(Calculs!$BX$48="","",IF(Calculs!$AL$4=0,0,INDEX(Calculs!$EP$4:$EP$503,Calculs!$BX$48)/Calculs!$AL$4))</f>
        <v/>
      </c>
      <c r="AX104" s="118" t="str">
        <f>IF(Calculs!$BX$48="","",INDEX(Calculs!$EU$4:$EU$503,Calculs!$BX$48))</f>
        <v/>
      </c>
      <c r="BD104" s="119" t="str">
        <f>IF(Calculs!$BX$48="","",IF(INDEX(Calculs!$EW$4:$EW$503,Calculs!$BX$48)&gt;=2958465,"à planifier",INDEX(Calculs!$EW$4:$EW$503,Calculs!$BX$48)))</f>
        <v/>
      </c>
      <c r="BI104" s="17" t="n"/>
      <c r="BJ104" t="str">
        <f>Calculs!BY48</f>
        <v/>
      </c>
    </row>
    <row r="105" ht="16.5" customHeight="1">
      <c r="A105" s="17" t="n"/>
      <c r="B105" s="112" t="str">
        <f>IF(Calculs!$BX$49="","",Calculs!$BW$49)</f>
        <v/>
      </c>
      <c r="D105" s="113" t="str">
        <f>IF(Calculs!$BX$49="","",INDEX(Charge!$B:$B,Calculs!$BX$49+3)&amp;"")</f>
        <v/>
      </c>
      <c r="L105" s="114" t="str">
        <f>IF(Calculs!$BX$49="","",INDEX(Charge!$C:$C,Calculs!$BX$49+3)&amp;"")</f>
        <v/>
      </c>
      <c r="T105" s="114" t="str">
        <f>IF(Calculs!$BX$49="","",INDEX(Charge!$D:$D,Calculs!$BX$49+3)&amp;"")</f>
        <v/>
      </c>
      <c r="AB105" s="114" t="str">
        <f>IF(Calculs!$BX$49="","",INDEX(Charge!$A:$A,Calculs!$BX$49+3)&amp;"")</f>
        <v/>
      </c>
      <c r="AI105" s="115" t="str">
        <f>IF(Calculs!$BX$49="","",INDEX(Calculs!$ET$4:$ET$503,Calculs!$BX$49))</f>
        <v/>
      </c>
      <c r="AM105" s="116" t="str">
        <f>IF(Calculs!$BX$49="","",INDEX(Calculs!$EP$4:$EP$503,Calculs!$BX$49))</f>
        <v/>
      </c>
      <c r="AR105" s="117" t="str">
        <f>IF(Calculs!$BX$49="","",IF(Calculs!$AL$4=0,0,INDEX(Calculs!$EP$4:$EP$503,Calculs!$BX$49)/Calculs!$AL$4))</f>
        <v/>
      </c>
      <c r="AX105" s="118" t="str">
        <f>IF(Calculs!$BX$49="","",INDEX(Calculs!$EU$4:$EU$503,Calculs!$BX$49))</f>
        <v/>
      </c>
      <c r="BD105" s="119" t="str">
        <f>IF(Calculs!$BX$49="","",IF(INDEX(Calculs!$EW$4:$EW$503,Calculs!$BX$49)&gt;=2958465,"à planifier",INDEX(Calculs!$EW$4:$EW$503,Calculs!$BX$49)))</f>
        <v/>
      </c>
      <c r="BI105" s="17" t="n"/>
      <c r="BJ105" t="str">
        <f>Calculs!BY49</f>
        <v/>
      </c>
    </row>
    <row r="106" ht="16.5" customHeight="1">
      <c r="A106" s="17" t="n"/>
      <c r="B106" s="112" t="str">
        <f>IF(Calculs!$BX$50="","",Calculs!$BW$50)</f>
        <v/>
      </c>
      <c r="D106" s="113" t="str">
        <f>IF(Calculs!$BX$50="","",INDEX(Charge!$B:$B,Calculs!$BX$50+3)&amp;"")</f>
        <v/>
      </c>
      <c r="L106" s="114" t="str">
        <f>IF(Calculs!$BX$50="","",INDEX(Charge!$C:$C,Calculs!$BX$50+3)&amp;"")</f>
        <v/>
      </c>
      <c r="T106" s="114" t="str">
        <f>IF(Calculs!$BX$50="","",INDEX(Charge!$D:$D,Calculs!$BX$50+3)&amp;"")</f>
        <v/>
      </c>
      <c r="AB106" s="114" t="str">
        <f>IF(Calculs!$BX$50="","",INDEX(Charge!$A:$A,Calculs!$BX$50+3)&amp;"")</f>
        <v/>
      </c>
      <c r="AI106" s="115" t="str">
        <f>IF(Calculs!$BX$50="","",INDEX(Calculs!$ET$4:$ET$503,Calculs!$BX$50))</f>
        <v/>
      </c>
      <c r="AM106" s="116" t="str">
        <f>IF(Calculs!$BX$50="","",INDEX(Calculs!$EP$4:$EP$503,Calculs!$BX$50))</f>
        <v/>
      </c>
      <c r="AR106" s="117" t="str">
        <f>IF(Calculs!$BX$50="","",IF(Calculs!$AL$4=0,0,INDEX(Calculs!$EP$4:$EP$503,Calculs!$BX$50)/Calculs!$AL$4))</f>
        <v/>
      </c>
      <c r="AX106" s="118" t="str">
        <f>IF(Calculs!$BX$50="","",INDEX(Calculs!$EU$4:$EU$503,Calculs!$BX$50))</f>
        <v/>
      </c>
      <c r="BD106" s="119" t="str">
        <f>IF(Calculs!$BX$50="","",IF(INDEX(Calculs!$EW$4:$EW$503,Calculs!$BX$50)&gt;=2958465,"à planifier",INDEX(Calculs!$EW$4:$EW$503,Calculs!$BX$50)))</f>
        <v/>
      </c>
      <c r="BI106" s="17" t="n"/>
      <c r="BJ106" t="str">
        <f>Calculs!BY50</f>
        <v/>
      </c>
    </row>
    <row r="107" ht="16.5" customHeight="1">
      <c r="A107" s="17" t="n"/>
      <c r="B107" s="112" t="str">
        <f>IF(Calculs!$BX$51="","",Calculs!$BW$51)</f>
        <v/>
      </c>
      <c r="D107" s="113" t="str">
        <f>IF(Calculs!$BX$51="","",INDEX(Charge!$B:$B,Calculs!$BX$51+3)&amp;"")</f>
        <v/>
      </c>
      <c r="L107" s="114" t="str">
        <f>IF(Calculs!$BX$51="","",INDEX(Charge!$C:$C,Calculs!$BX$51+3)&amp;"")</f>
        <v/>
      </c>
      <c r="T107" s="114" t="str">
        <f>IF(Calculs!$BX$51="","",INDEX(Charge!$D:$D,Calculs!$BX$51+3)&amp;"")</f>
        <v/>
      </c>
      <c r="AB107" s="114" t="str">
        <f>IF(Calculs!$BX$51="","",INDEX(Charge!$A:$A,Calculs!$BX$51+3)&amp;"")</f>
        <v/>
      </c>
      <c r="AI107" s="115" t="str">
        <f>IF(Calculs!$BX$51="","",INDEX(Calculs!$ET$4:$ET$503,Calculs!$BX$51))</f>
        <v/>
      </c>
      <c r="AM107" s="116" t="str">
        <f>IF(Calculs!$BX$51="","",INDEX(Calculs!$EP$4:$EP$503,Calculs!$BX$51))</f>
        <v/>
      </c>
      <c r="AR107" s="117" t="str">
        <f>IF(Calculs!$BX$51="","",IF(Calculs!$AL$4=0,0,INDEX(Calculs!$EP$4:$EP$503,Calculs!$BX$51)/Calculs!$AL$4))</f>
        <v/>
      </c>
      <c r="AX107" s="118" t="str">
        <f>IF(Calculs!$BX$51="","",INDEX(Calculs!$EU$4:$EU$503,Calculs!$BX$51))</f>
        <v/>
      </c>
      <c r="BD107" s="119" t="str">
        <f>IF(Calculs!$BX$51="","",IF(INDEX(Calculs!$EW$4:$EW$503,Calculs!$BX$51)&gt;=2958465,"à planifier",INDEX(Calculs!$EW$4:$EW$503,Calculs!$BX$51)))</f>
        <v/>
      </c>
      <c r="BI107" s="17" t="n"/>
      <c r="BJ107" t="str">
        <f>Calculs!BY51</f>
        <v/>
      </c>
    </row>
    <row r="108" ht="16.5" customHeight="1">
      <c r="A108" s="17" t="n"/>
      <c r="B108" s="112" t="str">
        <f>IF(Calculs!$BX$52="","",Calculs!$BW$52)</f>
        <v/>
      </c>
      <c r="D108" s="113" t="str">
        <f>IF(Calculs!$BX$52="","",INDEX(Charge!$B:$B,Calculs!$BX$52+3)&amp;"")</f>
        <v/>
      </c>
      <c r="L108" s="114" t="str">
        <f>IF(Calculs!$BX$52="","",INDEX(Charge!$C:$C,Calculs!$BX$52+3)&amp;"")</f>
        <v/>
      </c>
      <c r="T108" s="114" t="str">
        <f>IF(Calculs!$BX$52="","",INDEX(Charge!$D:$D,Calculs!$BX$52+3)&amp;"")</f>
        <v/>
      </c>
      <c r="AB108" s="114" t="str">
        <f>IF(Calculs!$BX$52="","",INDEX(Charge!$A:$A,Calculs!$BX$52+3)&amp;"")</f>
        <v/>
      </c>
      <c r="AI108" s="115" t="str">
        <f>IF(Calculs!$BX$52="","",INDEX(Calculs!$ET$4:$ET$503,Calculs!$BX$52))</f>
        <v/>
      </c>
      <c r="AM108" s="116" t="str">
        <f>IF(Calculs!$BX$52="","",INDEX(Calculs!$EP$4:$EP$503,Calculs!$BX$52))</f>
        <v/>
      </c>
      <c r="AR108" s="117" t="str">
        <f>IF(Calculs!$BX$52="","",IF(Calculs!$AL$4=0,0,INDEX(Calculs!$EP$4:$EP$503,Calculs!$BX$52)/Calculs!$AL$4))</f>
        <v/>
      </c>
      <c r="AX108" s="118" t="str">
        <f>IF(Calculs!$BX$52="","",INDEX(Calculs!$EU$4:$EU$503,Calculs!$BX$52))</f>
        <v/>
      </c>
      <c r="BD108" s="119" t="str">
        <f>IF(Calculs!$BX$52="","",IF(INDEX(Calculs!$EW$4:$EW$503,Calculs!$BX$52)&gt;=2958465,"à planifier",INDEX(Calculs!$EW$4:$EW$503,Calculs!$BX$52)))</f>
        <v/>
      </c>
      <c r="BI108" s="17" t="n"/>
      <c r="BJ108" t="str">
        <f>Calculs!BY52</f>
        <v/>
      </c>
    </row>
    <row r="109" ht="16.5" customHeight="1">
      <c r="A109" s="17" t="n"/>
      <c r="B109" s="112" t="str">
        <f>IF(Calculs!$BX$53="","",Calculs!$BW$53)</f>
        <v/>
      </c>
      <c r="D109" s="113" t="str">
        <f>IF(Calculs!$BX$53="","",INDEX(Charge!$B:$B,Calculs!$BX$53+3)&amp;"")</f>
        <v/>
      </c>
      <c r="L109" s="114" t="str">
        <f>IF(Calculs!$BX$53="","",INDEX(Charge!$C:$C,Calculs!$BX$53+3)&amp;"")</f>
        <v/>
      </c>
      <c r="T109" s="114" t="str">
        <f>IF(Calculs!$BX$53="","",INDEX(Charge!$D:$D,Calculs!$BX$53+3)&amp;"")</f>
        <v/>
      </c>
      <c r="AB109" s="114" t="str">
        <f>IF(Calculs!$BX$53="","",INDEX(Charge!$A:$A,Calculs!$BX$53+3)&amp;"")</f>
        <v/>
      </c>
      <c r="AI109" s="115" t="str">
        <f>IF(Calculs!$BX$53="","",INDEX(Calculs!$ET$4:$ET$503,Calculs!$BX$53))</f>
        <v/>
      </c>
      <c r="AM109" s="116" t="str">
        <f>IF(Calculs!$BX$53="","",INDEX(Calculs!$EP$4:$EP$503,Calculs!$BX$53))</f>
        <v/>
      </c>
      <c r="AR109" s="117" t="str">
        <f>IF(Calculs!$BX$53="","",IF(Calculs!$AL$4=0,0,INDEX(Calculs!$EP$4:$EP$503,Calculs!$BX$53)/Calculs!$AL$4))</f>
        <v/>
      </c>
      <c r="AX109" s="118" t="str">
        <f>IF(Calculs!$BX$53="","",INDEX(Calculs!$EU$4:$EU$503,Calculs!$BX$53))</f>
        <v/>
      </c>
      <c r="BD109" s="119" t="str">
        <f>IF(Calculs!$BX$53="","",IF(INDEX(Calculs!$EW$4:$EW$503,Calculs!$BX$53)&gt;=2958465,"à planifier",INDEX(Calculs!$EW$4:$EW$503,Calculs!$BX$53)))</f>
        <v/>
      </c>
      <c r="BI109" s="17" t="n"/>
      <c r="BJ109" t="str">
        <f>Calculs!BY53</f>
        <v/>
      </c>
    </row>
    <row r="110" ht="16.5" customHeight="1">
      <c r="A110" s="17" t="n"/>
      <c r="B110" s="112" t="str">
        <f>IF(Calculs!$BX$54="","",Calculs!$BW$54)</f>
        <v/>
      </c>
      <c r="D110" s="113" t="str">
        <f>IF(Calculs!$BX$54="","",INDEX(Charge!$B:$B,Calculs!$BX$54+3)&amp;"")</f>
        <v/>
      </c>
      <c r="L110" s="114" t="str">
        <f>IF(Calculs!$BX$54="","",INDEX(Charge!$C:$C,Calculs!$BX$54+3)&amp;"")</f>
        <v/>
      </c>
      <c r="T110" s="114" t="str">
        <f>IF(Calculs!$BX$54="","",INDEX(Charge!$D:$D,Calculs!$BX$54+3)&amp;"")</f>
        <v/>
      </c>
      <c r="AB110" s="114" t="str">
        <f>IF(Calculs!$BX$54="","",INDEX(Charge!$A:$A,Calculs!$BX$54+3)&amp;"")</f>
        <v/>
      </c>
      <c r="AI110" s="115" t="str">
        <f>IF(Calculs!$BX$54="","",INDEX(Calculs!$ET$4:$ET$503,Calculs!$BX$54))</f>
        <v/>
      </c>
      <c r="AM110" s="116" t="str">
        <f>IF(Calculs!$BX$54="","",INDEX(Calculs!$EP$4:$EP$503,Calculs!$BX$54))</f>
        <v/>
      </c>
      <c r="AR110" s="117" t="str">
        <f>IF(Calculs!$BX$54="","",IF(Calculs!$AL$4=0,0,INDEX(Calculs!$EP$4:$EP$503,Calculs!$BX$54)/Calculs!$AL$4))</f>
        <v/>
      </c>
      <c r="AX110" s="118" t="str">
        <f>IF(Calculs!$BX$54="","",INDEX(Calculs!$EU$4:$EU$503,Calculs!$BX$54))</f>
        <v/>
      </c>
      <c r="BD110" s="119" t="str">
        <f>IF(Calculs!$BX$54="","",IF(INDEX(Calculs!$EW$4:$EW$503,Calculs!$BX$54)&gt;=2958465,"à planifier",INDEX(Calculs!$EW$4:$EW$503,Calculs!$BX$54)))</f>
        <v/>
      </c>
      <c r="BI110" s="17" t="n"/>
      <c r="BJ110" t="str">
        <f>Calculs!BY54</f>
        <v/>
      </c>
    </row>
    <row r="111" ht="16.5" customHeight="1">
      <c r="A111" s="17" t="n"/>
      <c r="B111" s="112" t="str">
        <f>IF(Calculs!$BX$55="","",Calculs!$BW$55)</f>
        <v/>
      </c>
      <c r="D111" s="113" t="str">
        <f>IF(Calculs!$BX$55="","",INDEX(Charge!$B:$B,Calculs!$BX$55+3)&amp;"")</f>
        <v/>
      </c>
      <c r="L111" s="114" t="str">
        <f>IF(Calculs!$BX$55="","",INDEX(Charge!$C:$C,Calculs!$BX$55+3)&amp;"")</f>
        <v/>
      </c>
      <c r="T111" s="114" t="str">
        <f>IF(Calculs!$BX$55="","",INDEX(Charge!$D:$D,Calculs!$BX$55+3)&amp;"")</f>
        <v/>
      </c>
      <c r="AB111" s="114" t="str">
        <f>IF(Calculs!$BX$55="","",INDEX(Charge!$A:$A,Calculs!$BX$55+3)&amp;"")</f>
        <v/>
      </c>
      <c r="AI111" s="115" t="str">
        <f>IF(Calculs!$BX$55="","",INDEX(Calculs!$ET$4:$ET$503,Calculs!$BX$55))</f>
        <v/>
      </c>
      <c r="AM111" s="116" t="str">
        <f>IF(Calculs!$BX$55="","",INDEX(Calculs!$EP$4:$EP$503,Calculs!$BX$55))</f>
        <v/>
      </c>
      <c r="AR111" s="117" t="str">
        <f>IF(Calculs!$BX$55="","",IF(Calculs!$AL$4=0,0,INDEX(Calculs!$EP$4:$EP$503,Calculs!$BX$55)/Calculs!$AL$4))</f>
        <v/>
      </c>
      <c r="AX111" s="118" t="str">
        <f>IF(Calculs!$BX$55="","",INDEX(Calculs!$EU$4:$EU$503,Calculs!$BX$55))</f>
        <v/>
      </c>
      <c r="BD111" s="119" t="str">
        <f>IF(Calculs!$BX$55="","",IF(INDEX(Calculs!$EW$4:$EW$503,Calculs!$BX$55)&gt;=2958465,"à planifier",INDEX(Calculs!$EW$4:$EW$503,Calculs!$BX$55)))</f>
        <v/>
      </c>
      <c r="BI111" s="17" t="n"/>
      <c r="BJ111" t="str">
        <f>Calculs!BY55</f>
        <v/>
      </c>
    </row>
    <row r="112" ht="16.5" customHeight="1">
      <c r="A112" s="17" t="n"/>
      <c r="B112" s="112" t="str">
        <f>IF(Calculs!$BX$56="","",Calculs!$BW$56)</f>
        <v/>
      </c>
      <c r="D112" s="113" t="str">
        <f>IF(Calculs!$BX$56="","",INDEX(Charge!$B:$B,Calculs!$BX$56+3)&amp;"")</f>
        <v/>
      </c>
      <c r="L112" s="114" t="str">
        <f>IF(Calculs!$BX$56="","",INDEX(Charge!$C:$C,Calculs!$BX$56+3)&amp;"")</f>
        <v/>
      </c>
      <c r="T112" s="114" t="str">
        <f>IF(Calculs!$BX$56="","",INDEX(Charge!$D:$D,Calculs!$BX$56+3)&amp;"")</f>
        <v/>
      </c>
      <c r="AB112" s="114" t="str">
        <f>IF(Calculs!$BX$56="","",INDEX(Charge!$A:$A,Calculs!$BX$56+3)&amp;"")</f>
        <v/>
      </c>
      <c r="AI112" s="115" t="str">
        <f>IF(Calculs!$BX$56="","",INDEX(Calculs!$ET$4:$ET$503,Calculs!$BX$56))</f>
        <v/>
      </c>
      <c r="AM112" s="116" t="str">
        <f>IF(Calculs!$BX$56="","",INDEX(Calculs!$EP$4:$EP$503,Calculs!$BX$56))</f>
        <v/>
      </c>
      <c r="AR112" s="117" t="str">
        <f>IF(Calculs!$BX$56="","",IF(Calculs!$AL$4=0,0,INDEX(Calculs!$EP$4:$EP$503,Calculs!$BX$56)/Calculs!$AL$4))</f>
        <v/>
      </c>
      <c r="AX112" s="118" t="str">
        <f>IF(Calculs!$BX$56="","",INDEX(Calculs!$EU$4:$EU$503,Calculs!$BX$56))</f>
        <v/>
      </c>
      <c r="BD112" s="119" t="str">
        <f>IF(Calculs!$BX$56="","",IF(INDEX(Calculs!$EW$4:$EW$503,Calculs!$BX$56)&gt;=2958465,"à planifier",INDEX(Calculs!$EW$4:$EW$503,Calculs!$BX$56)))</f>
        <v/>
      </c>
      <c r="BI112" s="17" t="n"/>
      <c r="BJ112" t="str">
        <f>Calculs!BY56</f>
        <v/>
      </c>
    </row>
    <row r="113" ht="16.5" customHeight="1">
      <c r="A113" s="17" t="n"/>
      <c r="B113" s="112" t="str">
        <f>IF(Calculs!$BX$57="","",Calculs!$BW$57)</f>
        <v/>
      </c>
      <c r="D113" s="113" t="str">
        <f>IF(Calculs!$BX$57="","",INDEX(Charge!$B:$B,Calculs!$BX$57+3)&amp;"")</f>
        <v/>
      </c>
      <c r="L113" s="114" t="str">
        <f>IF(Calculs!$BX$57="","",INDEX(Charge!$C:$C,Calculs!$BX$57+3)&amp;"")</f>
        <v/>
      </c>
      <c r="T113" s="114" t="str">
        <f>IF(Calculs!$BX$57="","",INDEX(Charge!$D:$D,Calculs!$BX$57+3)&amp;"")</f>
        <v/>
      </c>
      <c r="AB113" s="114" t="str">
        <f>IF(Calculs!$BX$57="","",INDEX(Charge!$A:$A,Calculs!$BX$57+3)&amp;"")</f>
        <v/>
      </c>
      <c r="AI113" s="115" t="str">
        <f>IF(Calculs!$BX$57="","",INDEX(Calculs!$ET$4:$ET$503,Calculs!$BX$57))</f>
        <v/>
      </c>
      <c r="AM113" s="116" t="str">
        <f>IF(Calculs!$BX$57="","",INDEX(Calculs!$EP$4:$EP$503,Calculs!$BX$57))</f>
        <v/>
      </c>
      <c r="AR113" s="117" t="str">
        <f>IF(Calculs!$BX$57="","",IF(Calculs!$AL$4=0,0,INDEX(Calculs!$EP$4:$EP$503,Calculs!$BX$57)/Calculs!$AL$4))</f>
        <v/>
      </c>
      <c r="AX113" s="118" t="str">
        <f>IF(Calculs!$BX$57="","",INDEX(Calculs!$EU$4:$EU$503,Calculs!$BX$57))</f>
        <v/>
      </c>
      <c r="BD113" s="119" t="str">
        <f>IF(Calculs!$BX$57="","",IF(INDEX(Calculs!$EW$4:$EW$503,Calculs!$BX$57)&gt;=2958465,"à planifier",INDEX(Calculs!$EW$4:$EW$503,Calculs!$BX$57)))</f>
        <v/>
      </c>
      <c r="BI113" s="17" t="n"/>
      <c r="BJ113" t="str">
        <f>Calculs!BY57</f>
        <v/>
      </c>
    </row>
    <row r="114" ht="16.5" customHeight="1">
      <c r="A114" s="17" t="n"/>
      <c r="B114" s="112" t="str">
        <f>IF(Calculs!$BX$58="","",Calculs!$BW$58)</f>
        <v/>
      </c>
      <c r="D114" s="113" t="str">
        <f>IF(Calculs!$BX$58="","",INDEX(Charge!$B:$B,Calculs!$BX$58+3)&amp;"")</f>
        <v/>
      </c>
      <c r="L114" s="114" t="str">
        <f>IF(Calculs!$BX$58="","",INDEX(Charge!$C:$C,Calculs!$BX$58+3)&amp;"")</f>
        <v/>
      </c>
      <c r="T114" s="114" t="str">
        <f>IF(Calculs!$BX$58="","",INDEX(Charge!$D:$D,Calculs!$BX$58+3)&amp;"")</f>
        <v/>
      </c>
      <c r="AB114" s="114" t="str">
        <f>IF(Calculs!$BX$58="","",INDEX(Charge!$A:$A,Calculs!$BX$58+3)&amp;"")</f>
        <v/>
      </c>
      <c r="AI114" s="115" t="str">
        <f>IF(Calculs!$BX$58="","",INDEX(Calculs!$ET$4:$ET$503,Calculs!$BX$58))</f>
        <v/>
      </c>
      <c r="AM114" s="116" t="str">
        <f>IF(Calculs!$BX$58="","",INDEX(Calculs!$EP$4:$EP$503,Calculs!$BX$58))</f>
        <v/>
      </c>
      <c r="AR114" s="117" t="str">
        <f>IF(Calculs!$BX$58="","",IF(Calculs!$AL$4=0,0,INDEX(Calculs!$EP$4:$EP$503,Calculs!$BX$58)/Calculs!$AL$4))</f>
        <v/>
      </c>
      <c r="AX114" s="118" t="str">
        <f>IF(Calculs!$BX$58="","",INDEX(Calculs!$EU$4:$EU$503,Calculs!$BX$58))</f>
        <v/>
      </c>
      <c r="BD114" s="119" t="str">
        <f>IF(Calculs!$BX$58="","",IF(INDEX(Calculs!$EW$4:$EW$503,Calculs!$BX$58)&gt;=2958465,"à planifier",INDEX(Calculs!$EW$4:$EW$503,Calculs!$BX$58)))</f>
        <v/>
      </c>
      <c r="BI114" s="17" t="n"/>
      <c r="BJ114" t="str">
        <f>Calculs!BY58</f>
        <v/>
      </c>
    </row>
    <row r="115" ht="16.5" customHeight="1">
      <c r="A115" s="17" t="n"/>
      <c r="B115" s="112" t="str">
        <f>IF(Calculs!$BX$59="","",Calculs!$BW$59)</f>
        <v/>
      </c>
      <c r="D115" s="113" t="str">
        <f>IF(Calculs!$BX$59="","",INDEX(Charge!$B:$B,Calculs!$BX$59+3)&amp;"")</f>
        <v/>
      </c>
      <c r="L115" s="114" t="str">
        <f>IF(Calculs!$BX$59="","",INDEX(Charge!$C:$C,Calculs!$BX$59+3)&amp;"")</f>
        <v/>
      </c>
      <c r="T115" s="114" t="str">
        <f>IF(Calculs!$BX$59="","",INDEX(Charge!$D:$D,Calculs!$BX$59+3)&amp;"")</f>
        <v/>
      </c>
      <c r="AB115" s="114" t="str">
        <f>IF(Calculs!$BX$59="","",INDEX(Charge!$A:$A,Calculs!$BX$59+3)&amp;"")</f>
        <v/>
      </c>
      <c r="AI115" s="115" t="str">
        <f>IF(Calculs!$BX$59="","",INDEX(Calculs!$ET$4:$ET$503,Calculs!$BX$59))</f>
        <v/>
      </c>
      <c r="AM115" s="116" t="str">
        <f>IF(Calculs!$BX$59="","",INDEX(Calculs!$EP$4:$EP$503,Calculs!$BX$59))</f>
        <v/>
      </c>
      <c r="AR115" s="117" t="str">
        <f>IF(Calculs!$BX$59="","",IF(Calculs!$AL$4=0,0,INDEX(Calculs!$EP$4:$EP$503,Calculs!$BX$59)/Calculs!$AL$4))</f>
        <v/>
      </c>
      <c r="AX115" s="118" t="str">
        <f>IF(Calculs!$BX$59="","",INDEX(Calculs!$EU$4:$EU$503,Calculs!$BX$59))</f>
        <v/>
      </c>
      <c r="BD115" s="119" t="str">
        <f>IF(Calculs!$BX$59="","",IF(INDEX(Calculs!$EW$4:$EW$503,Calculs!$BX$59)&gt;=2958465,"à planifier",INDEX(Calculs!$EW$4:$EW$503,Calculs!$BX$59)))</f>
        <v/>
      </c>
      <c r="BI115" s="17" t="n"/>
      <c r="BJ115" t="str">
        <f>Calculs!BY59</f>
        <v/>
      </c>
    </row>
    <row r="116" ht="16.5" customHeight="1">
      <c r="A116" s="17" t="n"/>
      <c r="B116" s="112" t="str">
        <f>IF(Calculs!$BX$60="","",Calculs!$BW$60)</f>
        <v/>
      </c>
      <c r="D116" s="113" t="str">
        <f>IF(Calculs!$BX$60="","",INDEX(Charge!$B:$B,Calculs!$BX$60+3)&amp;"")</f>
        <v/>
      </c>
      <c r="L116" s="114" t="str">
        <f>IF(Calculs!$BX$60="","",INDEX(Charge!$C:$C,Calculs!$BX$60+3)&amp;"")</f>
        <v/>
      </c>
      <c r="T116" s="114" t="str">
        <f>IF(Calculs!$BX$60="","",INDEX(Charge!$D:$D,Calculs!$BX$60+3)&amp;"")</f>
        <v/>
      </c>
      <c r="AB116" s="114" t="str">
        <f>IF(Calculs!$BX$60="","",INDEX(Charge!$A:$A,Calculs!$BX$60+3)&amp;"")</f>
        <v/>
      </c>
      <c r="AI116" s="115" t="str">
        <f>IF(Calculs!$BX$60="","",INDEX(Calculs!$ET$4:$ET$503,Calculs!$BX$60))</f>
        <v/>
      </c>
      <c r="AM116" s="116" t="str">
        <f>IF(Calculs!$BX$60="","",INDEX(Calculs!$EP$4:$EP$503,Calculs!$BX$60))</f>
        <v/>
      </c>
      <c r="AR116" s="117" t="str">
        <f>IF(Calculs!$BX$60="","",IF(Calculs!$AL$4=0,0,INDEX(Calculs!$EP$4:$EP$503,Calculs!$BX$60)/Calculs!$AL$4))</f>
        <v/>
      </c>
      <c r="AX116" s="118" t="str">
        <f>IF(Calculs!$BX$60="","",INDEX(Calculs!$EU$4:$EU$503,Calculs!$BX$60))</f>
        <v/>
      </c>
      <c r="BD116" s="119" t="str">
        <f>IF(Calculs!$BX$60="","",IF(INDEX(Calculs!$EW$4:$EW$503,Calculs!$BX$60)&gt;=2958465,"à planifier",INDEX(Calculs!$EW$4:$EW$503,Calculs!$BX$60)))</f>
        <v/>
      </c>
      <c r="BI116" s="17" t="n"/>
      <c r="BJ116" t="str">
        <f>Calculs!BY60</f>
        <v/>
      </c>
    </row>
    <row r="117" ht="16.5" customHeight="1">
      <c r="A117" s="17" t="n"/>
      <c r="B117" s="112" t="str">
        <f>IF(Calculs!$BX$61="","",Calculs!$BW$61)</f>
        <v/>
      </c>
      <c r="D117" s="113" t="str">
        <f>IF(Calculs!$BX$61="","",INDEX(Charge!$B:$B,Calculs!$BX$61+3)&amp;"")</f>
        <v/>
      </c>
      <c r="L117" s="114" t="str">
        <f>IF(Calculs!$BX$61="","",INDEX(Charge!$C:$C,Calculs!$BX$61+3)&amp;"")</f>
        <v/>
      </c>
      <c r="T117" s="114" t="str">
        <f>IF(Calculs!$BX$61="","",INDEX(Charge!$D:$D,Calculs!$BX$61+3)&amp;"")</f>
        <v/>
      </c>
      <c r="AB117" s="114" t="str">
        <f>IF(Calculs!$BX$61="","",INDEX(Charge!$A:$A,Calculs!$BX$61+3)&amp;"")</f>
        <v/>
      </c>
      <c r="AI117" s="115" t="str">
        <f>IF(Calculs!$BX$61="","",INDEX(Calculs!$ET$4:$ET$503,Calculs!$BX$61))</f>
        <v/>
      </c>
      <c r="AM117" s="116" t="str">
        <f>IF(Calculs!$BX$61="","",INDEX(Calculs!$EP$4:$EP$503,Calculs!$BX$61))</f>
        <v/>
      </c>
      <c r="AR117" s="117" t="str">
        <f>IF(Calculs!$BX$61="","",IF(Calculs!$AL$4=0,0,INDEX(Calculs!$EP$4:$EP$503,Calculs!$BX$61)/Calculs!$AL$4))</f>
        <v/>
      </c>
      <c r="AX117" s="118" t="str">
        <f>IF(Calculs!$BX$61="","",INDEX(Calculs!$EU$4:$EU$503,Calculs!$BX$61))</f>
        <v/>
      </c>
      <c r="BD117" s="119" t="str">
        <f>IF(Calculs!$BX$61="","",IF(INDEX(Calculs!$EW$4:$EW$503,Calculs!$BX$61)&gt;=2958465,"à planifier",INDEX(Calculs!$EW$4:$EW$503,Calculs!$BX$61)))</f>
        <v/>
      </c>
      <c r="BI117" s="17" t="n"/>
      <c r="BJ117" t="str">
        <f>Calculs!BY61</f>
        <v/>
      </c>
    </row>
    <row r="118" ht="16.5" customHeight="1">
      <c r="A118" s="17" t="n"/>
      <c r="B118" s="112" t="str">
        <f>IF(Calculs!$BX$62="","",Calculs!$BW$62)</f>
        <v/>
      </c>
      <c r="D118" s="113" t="str">
        <f>IF(Calculs!$BX$62="","",INDEX(Charge!$B:$B,Calculs!$BX$62+3)&amp;"")</f>
        <v/>
      </c>
      <c r="L118" s="114" t="str">
        <f>IF(Calculs!$BX$62="","",INDEX(Charge!$C:$C,Calculs!$BX$62+3)&amp;"")</f>
        <v/>
      </c>
      <c r="T118" s="114" t="str">
        <f>IF(Calculs!$BX$62="","",INDEX(Charge!$D:$D,Calculs!$BX$62+3)&amp;"")</f>
        <v/>
      </c>
      <c r="AB118" s="114" t="str">
        <f>IF(Calculs!$BX$62="","",INDEX(Charge!$A:$A,Calculs!$BX$62+3)&amp;"")</f>
        <v/>
      </c>
      <c r="AI118" s="115" t="str">
        <f>IF(Calculs!$BX$62="","",INDEX(Calculs!$ET$4:$ET$503,Calculs!$BX$62))</f>
        <v/>
      </c>
      <c r="AM118" s="116" t="str">
        <f>IF(Calculs!$BX$62="","",INDEX(Calculs!$EP$4:$EP$503,Calculs!$BX$62))</f>
        <v/>
      </c>
      <c r="AR118" s="117" t="str">
        <f>IF(Calculs!$BX$62="","",IF(Calculs!$AL$4=0,0,INDEX(Calculs!$EP$4:$EP$503,Calculs!$BX$62)/Calculs!$AL$4))</f>
        <v/>
      </c>
      <c r="AX118" s="118" t="str">
        <f>IF(Calculs!$BX$62="","",INDEX(Calculs!$EU$4:$EU$503,Calculs!$BX$62))</f>
        <v/>
      </c>
      <c r="BD118" s="119" t="str">
        <f>IF(Calculs!$BX$62="","",IF(INDEX(Calculs!$EW$4:$EW$503,Calculs!$BX$62)&gt;=2958465,"à planifier",INDEX(Calculs!$EW$4:$EW$503,Calculs!$BX$62)))</f>
        <v/>
      </c>
      <c r="BI118" s="17" t="n"/>
      <c r="BJ118" t="str">
        <f>Calculs!BY62</f>
        <v/>
      </c>
    </row>
    <row r="119" ht="16.5" customHeight="1">
      <c r="A119" s="17" t="n"/>
      <c r="B119" s="112" t="str">
        <f>IF(Calculs!$BX$63="","",Calculs!$BW$63)</f>
        <v/>
      </c>
      <c r="D119" s="113" t="str">
        <f>IF(Calculs!$BX$63="","",INDEX(Charge!$B:$B,Calculs!$BX$63+3)&amp;"")</f>
        <v/>
      </c>
      <c r="L119" s="114" t="str">
        <f>IF(Calculs!$BX$63="","",INDEX(Charge!$C:$C,Calculs!$BX$63+3)&amp;"")</f>
        <v/>
      </c>
      <c r="T119" s="114" t="str">
        <f>IF(Calculs!$BX$63="","",INDEX(Charge!$D:$D,Calculs!$BX$63+3)&amp;"")</f>
        <v/>
      </c>
      <c r="AB119" s="114" t="str">
        <f>IF(Calculs!$BX$63="","",INDEX(Charge!$A:$A,Calculs!$BX$63+3)&amp;"")</f>
        <v/>
      </c>
      <c r="AI119" s="115" t="str">
        <f>IF(Calculs!$BX$63="","",INDEX(Calculs!$ET$4:$ET$503,Calculs!$BX$63))</f>
        <v/>
      </c>
      <c r="AM119" s="116" t="str">
        <f>IF(Calculs!$BX$63="","",INDEX(Calculs!$EP$4:$EP$503,Calculs!$BX$63))</f>
        <v/>
      </c>
      <c r="AR119" s="117" t="str">
        <f>IF(Calculs!$BX$63="","",IF(Calculs!$AL$4=0,0,INDEX(Calculs!$EP$4:$EP$503,Calculs!$BX$63)/Calculs!$AL$4))</f>
        <v/>
      </c>
      <c r="AX119" s="118" t="str">
        <f>IF(Calculs!$BX$63="","",INDEX(Calculs!$EU$4:$EU$503,Calculs!$BX$63))</f>
        <v/>
      </c>
      <c r="BD119" s="119" t="str">
        <f>IF(Calculs!$BX$63="","",IF(INDEX(Calculs!$EW$4:$EW$503,Calculs!$BX$63)&gt;=2958465,"à planifier",INDEX(Calculs!$EW$4:$EW$503,Calculs!$BX$63)))</f>
        <v/>
      </c>
      <c r="BI119" s="17" t="n"/>
      <c r="BJ119" t="str">
        <f>Calculs!BY63</f>
        <v/>
      </c>
    </row>
    <row r="120" ht="16.5" customHeight="1">
      <c r="A120" s="17" t="n"/>
      <c r="B120" s="112" t="str">
        <f>IF(Calculs!$BX$64="","",Calculs!$BW$64)</f>
        <v/>
      </c>
      <c r="D120" s="113" t="str">
        <f>IF(Calculs!$BX$64="","",INDEX(Charge!$B:$B,Calculs!$BX$64+3)&amp;"")</f>
        <v/>
      </c>
      <c r="L120" s="114" t="str">
        <f>IF(Calculs!$BX$64="","",INDEX(Charge!$C:$C,Calculs!$BX$64+3)&amp;"")</f>
        <v/>
      </c>
      <c r="T120" s="114" t="str">
        <f>IF(Calculs!$BX$64="","",INDEX(Charge!$D:$D,Calculs!$BX$64+3)&amp;"")</f>
        <v/>
      </c>
      <c r="AB120" s="114" t="str">
        <f>IF(Calculs!$BX$64="","",INDEX(Charge!$A:$A,Calculs!$BX$64+3)&amp;"")</f>
        <v/>
      </c>
      <c r="AI120" s="115" t="str">
        <f>IF(Calculs!$BX$64="","",INDEX(Calculs!$ET$4:$ET$503,Calculs!$BX$64))</f>
        <v/>
      </c>
      <c r="AM120" s="116" t="str">
        <f>IF(Calculs!$BX$64="","",INDEX(Calculs!$EP$4:$EP$503,Calculs!$BX$64))</f>
        <v/>
      </c>
      <c r="AR120" s="117" t="str">
        <f>IF(Calculs!$BX$64="","",IF(Calculs!$AL$4=0,0,INDEX(Calculs!$EP$4:$EP$503,Calculs!$BX$64)/Calculs!$AL$4))</f>
        <v/>
      </c>
      <c r="AX120" s="118" t="str">
        <f>IF(Calculs!$BX$64="","",INDEX(Calculs!$EU$4:$EU$503,Calculs!$BX$64))</f>
        <v/>
      </c>
      <c r="BD120" s="119" t="str">
        <f>IF(Calculs!$BX$64="","",IF(INDEX(Calculs!$EW$4:$EW$503,Calculs!$BX$64)&gt;=2958465,"à planifier",INDEX(Calculs!$EW$4:$EW$503,Calculs!$BX$64)))</f>
        <v/>
      </c>
      <c r="BI120" s="17" t="n"/>
      <c r="BJ120" t="str">
        <f>Calculs!BY64</f>
        <v/>
      </c>
    </row>
    <row r="121" ht="16.5" customHeight="1">
      <c r="A121" s="17" t="n"/>
      <c r="B121" s="112" t="str">
        <f>IF(Calculs!$BX$65="","",Calculs!$BW$65)</f>
        <v/>
      </c>
      <c r="D121" s="113" t="str">
        <f>IF(Calculs!$BX$65="","",INDEX(Charge!$B:$B,Calculs!$BX$65+3)&amp;"")</f>
        <v/>
      </c>
      <c r="L121" s="114" t="str">
        <f>IF(Calculs!$BX$65="","",INDEX(Charge!$C:$C,Calculs!$BX$65+3)&amp;"")</f>
        <v/>
      </c>
      <c r="T121" s="114" t="str">
        <f>IF(Calculs!$BX$65="","",INDEX(Charge!$D:$D,Calculs!$BX$65+3)&amp;"")</f>
        <v/>
      </c>
      <c r="AB121" s="114" t="str">
        <f>IF(Calculs!$BX$65="","",INDEX(Charge!$A:$A,Calculs!$BX$65+3)&amp;"")</f>
        <v/>
      </c>
      <c r="AI121" s="115" t="str">
        <f>IF(Calculs!$BX$65="","",INDEX(Calculs!$ET$4:$ET$503,Calculs!$BX$65))</f>
        <v/>
      </c>
      <c r="AM121" s="116" t="str">
        <f>IF(Calculs!$BX$65="","",INDEX(Calculs!$EP$4:$EP$503,Calculs!$BX$65))</f>
        <v/>
      </c>
      <c r="AR121" s="117" t="str">
        <f>IF(Calculs!$BX$65="","",IF(Calculs!$AL$4=0,0,INDEX(Calculs!$EP$4:$EP$503,Calculs!$BX$65)/Calculs!$AL$4))</f>
        <v/>
      </c>
      <c r="AX121" s="118" t="str">
        <f>IF(Calculs!$BX$65="","",INDEX(Calculs!$EU$4:$EU$503,Calculs!$BX$65))</f>
        <v/>
      </c>
      <c r="BD121" s="119" t="str">
        <f>IF(Calculs!$BX$65="","",IF(INDEX(Calculs!$EW$4:$EW$503,Calculs!$BX$65)&gt;=2958465,"à planifier",INDEX(Calculs!$EW$4:$EW$503,Calculs!$BX$65)))</f>
        <v/>
      </c>
      <c r="BI121" s="17" t="n"/>
      <c r="BJ121" t="str">
        <f>Calculs!BY65</f>
        <v/>
      </c>
    </row>
    <row r="122" ht="16.5" customHeight="1">
      <c r="A122" s="17" t="n"/>
      <c r="B122" s="112" t="str">
        <f>IF(Calculs!$BX$66="","",Calculs!$BW$66)</f>
        <v/>
      </c>
      <c r="D122" s="113" t="str">
        <f>IF(Calculs!$BX$66="","",INDEX(Charge!$B:$B,Calculs!$BX$66+3)&amp;"")</f>
        <v/>
      </c>
      <c r="L122" s="114" t="str">
        <f>IF(Calculs!$BX$66="","",INDEX(Charge!$C:$C,Calculs!$BX$66+3)&amp;"")</f>
        <v/>
      </c>
      <c r="T122" s="114" t="str">
        <f>IF(Calculs!$BX$66="","",INDEX(Charge!$D:$D,Calculs!$BX$66+3)&amp;"")</f>
        <v/>
      </c>
      <c r="AB122" s="114" t="str">
        <f>IF(Calculs!$BX$66="","",INDEX(Charge!$A:$A,Calculs!$BX$66+3)&amp;"")</f>
        <v/>
      </c>
      <c r="AI122" s="115" t="str">
        <f>IF(Calculs!$BX$66="","",INDEX(Calculs!$ET$4:$ET$503,Calculs!$BX$66))</f>
        <v/>
      </c>
      <c r="AM122" s="116" t="str">
        <f>IF(Calculs!$BX$66="","",INDEX(Calculs!$EP$4:$EP$503,Calculs!$BX$66))</f>
        <v/>
      </c>
      <c r="AR122" s="117" t="str">
        <f>IF(Calculs!$BX$66="","",IF(Calculs!$AL$4=0,0,INDEX(Calculs!$EP$4:$EP$503,Calculs!$BX$66)/Calculs!$AL$4))</f>
        <v/>
      </c>
      <c r="AX122" s="118" t="str">
        <f>IF(Calculs!$BX$66="","",INDEX(Calculs!$EU$4:$EU$503,Calculs!$BX$66))</f>
        <v/>
      </c>
      <c r="BD122" s="119" t="str">
        <f>IF(Calculs!$BX$66="","",IF(INDEX(Calculs!$EW$4:$EW$503,Calculs!$BX$66)&gt;=2958465,"à planifier",INDEX(Calculs!$EW$4:$EW$503,Calculs!$BX$66)))</f>
        <v/>
      </c>
      <c r="BI122" s="17" t="n"/>
      <c r="BJ122" t="str">
        <f>Calculs!BY66</f>
        <v/>
      </c>
    </row>
    <row r="123" ht="16.5" customHeight="1">
      <c r="A123" s="17" t="n"/>
      <c r="B123" s="112" t="str">
        <f>IF(Calculs!$BX$67="","",Calculs!$BW$67)</f>
        <v/>
      </c>
      <c r="D123" s="113" t="str">
        <f>IF(Calculs!$BX$67="","",INDEX(Charge!$B:$B,Calculs!$BX$67+3)&amp;"")</f>
        <v/>
      </c>
      <c r="L123" s="114" t="str">
        <f>IF(Calculs!$BX$67="","",INDEX(Charge!$C:$C,Calculs!$BX$67+3)&amp;"")</f>
        <v/>
      </c>
      <c r="T123" s="114" t="str">
        <f>IF(Calculs!$BX$67="","",INDEX(Charge!$D:$D,Calculs!$BX$67+3)&amp;"")</f>
        <v/>
      </c>
      <c r="AB123" s="114" t="str">
        <f>IF(Calculs!$BX$67="","",INDEX(Charge!$A:$A,Calculs!$BX$67+3)&amp;"")</f>
        <v/>
      </c>
      <c r="AI123" s="115" t="str">
        <f>IF(Calculs!$BX$67="","",INDEX(Calculs!$ET$4:$ET$503,Calculs!$BX$67))</f>
        <v/>
      </c>
      <c r="AM123" s="116" t="str">
        <f>IF(Calculs!$BX$67="","",INDEX(Calculs!$EP$4:$EP$503,Calculs!$BX$67))</f>
        <v/>
      </c>
      <c r="AR123" s="117" t="str">
        <f>IF(Calculs!$BX$67="","",IF(Calculs!$AL$4=0,0,INDEX(Calculs!$EP$4:$EP$503,Calculs!$BX$67)/Calculs!$AL$4))</f>
        <v/>
      </c>
      <c r="AX123" s="118" t="str">
        <f>IF(Calculs!$BX$67="","",INDEX(Calculs!$EU$4:$EU$503,Calculs!$BX$67))</f>
        <v/>
      </c>
      <c r="BD123" s="119" t="str">
        <f>IF(Calculs!$BX$67="","",IF(INDEX(Calculs!$EW$4:$EW$503,Calculs!$BX$67)&gt;=2958465,"à planifier",INDEX(Calculs!$EW$4:$EW$503,Calculs!$BX$67)))</f>
        <v/>
      </c>
      <c r="BI123" s="17" t="n"/>
      <c r="BJ123" t="str">
        <f>Calculs!BY67</f>
        <v/>
      </c>
    </row>
    <row r="124" ht="16.5" customHeight="1">
      <c r="A124" s="17" t="n"/>
      <c r="B124" s="112" t="str">
        <f>IF(Calculs!$BX$68="","",Calculs!$BW$68)</f>
        <v/>
      </c>
      <c r="D124" s="113" t="str">
        <f>IF(Calculs!$BX$68="","",INDEX(Charge!$B:$B,Calculs!$BX$68+3)&amp;"")</f>
        <v/>
      </c>
      <c r="L124" s="114" t="str">
        <f>IF(Calculs!$BX$68="","",INDEX(Charge!$C:$C,Calculs!$BX$68+3)&amp;"")</f>
        <v/>
      </c>
      <c r="T124" s="114" t="str">
        <f>IF(Calculs!$BX$68="","",INDEX(Charge!$D:$D,Calculs!$BX$68+3)&amp;"")</f>
        <v/>
      </c>
      <c r="AB124" s="114" t="str">
        <f>IF(Calculs!$BX$68="","",INDEX(Charge!$A:$A,Calculs!$BX$68+3)&amp;"")</f>
        <v/>
      </c>
      <c r="AI124" s="115" t="str">
        <f>IF(Calculs!$BX$68="","",INDEX(Calculs!$ET$4:$ET$503,Calculs!$BX$68))</f>
        <v/>
      </c>
      <c r="AM124" s="116" t="str">
        <f>IF(Calculs!$BX$68="","",INDEX(Calculs!$EP$4:$EP$503,Calculs!$BX$68))</f>
        <v/>
      </c>
      <c r="AR124" s="117" t="str">
        <f>IF(Calculs!$BX$68="","",IF(Calculs!$AL$4=0,0,INDEX(Calculs!$EP$4:$EP$503,Calculs!$BX$68)/Calculs!$AL$4))</f>
        <v/>
      </c>
      <c r="AX124" s="118" t="str">
        <f>IF(Calculs!$BX$68="","",INDEX(Calculs!$EU$4:$EU$503,Calculs!$BX$68))</f>
        <v/>
      </c>
      <c r="BD124" s="119" t="str">
        <f>IF(Calculs!$BX$68="","",IF(INDEX(Calculs!$EW$4:$EW$503,Calculs!$BX$68)&gt;=2958465,"à planifier",INDEX(Calculs!$EW$4:$EW$503,Calculs!$BX$68)))</f>
        <v/>
      </c>
      <c r="BI124" s="17" t="n"/>
      <c r="BJ124" t="str">
        <f>Calculs!BY68</f>
        <v/>
      </c>
    </row>
    <row r="125" ht="16.5" customHeight="1">
      <c r="A125" s="17" t="n"/>
      <c r="B125" s="112" t="str">
        <f>IF(Calculs!$BX$69="","",Calculs!$BW$69)</f>
        <v/>
      </c>
      <c r="D125" s="113" t="str">
        <f>IF(Calculs!$BX$69="","",INDEX(Charge!$B:$B,Calculs!$BX$69+3)&amp;"")</f>
        <v/>
      </c>
      <c r="L125" s="114" t="str">
        <f>IF(Calculs!$BX$69="","",INDEX(Charge!$C:$C,Calculs!$BX$69+3)&amp;"")</f>
        <v/>
      </c>
      <c r="T125" s="114" t="str">
        <f>IF(Calculs!$BX$69="","",INDEX(Charge!$D:$D,Calculs!$BX$69+3)&amp;"")</f>
        <v/>
      </c>
      <c r="AB125" s="114" t="str">
        <f>IF(Calculs!$BX$69="","",INDEX(Charge!$A:$A,Calculs!$BX$69+3)&amp;"")</f>
        <v/>
      </c>
      <c r="AI125" s="115" t="str">
        <f>IF(Calculs!$BX$69="","",INDEX(Calculs!$ET$4:$ET$503,Calculs!$BX$69))</f>
        <v/>
      </c>
      <c r="AM125" s="116" t="str">
        <f>IF(Calculs!$BX$69="","",INDEX(Calculs!$EP$4:$EP$503,Calculs!$BX$69))</f>
        <v/>
      </c>
      <c r="AR125" s="117" t="str">
        <f>IF(Calculs!$BX$69="","",IF(Calculs!$AL$4=0,0,INDEX(Calculs!$EP$4:$EP$503,Calculs!$BX$69)/Calculs!$AL$4))</f>
        <v/>
      </c>
      <c r="AX125" s="118" t="str">
        <f>IF(Calculs!$BX$69="","",INDEX(Calculs!$EU$4:$EU$503,Calculs!$BX$69))</f>
        <v/>
      </c>
      <c r="BD125" s="119" t="str">
        <f>IF(Calculs!$BX$69="","",IF(INDEX(Calculs!$EW$4:$EW$503,Calculs!$BX$69)&gt;=2958465,"à planifier",INDEX(Calculs!$EW$4:$EW$503,Calculs!$BX$69)))</f>
        <v/>
      </c>
      <c r="BI125" s="17" t="n"/>
      <c r="BJ125" t="str">
        <f>Calculs!BY69</f>
        <v/>
      </c>
    </row>
    <row r="126" ht="16.5" customHeight="1">
      <c r="A126" s="17" t="n"/>
      <c r="B126" s="112" t="str">
        <f>IF(Calculs!$BX$70="","",Calculs!$BW$70)</f>
        <v/>
      </c>
      <c r="D126" s="113" t="str">
        <f>IF(Calculs!$BX$70="","",INDEX(Charge!$B:$B,Calculs!$BX$70+3)&amp;"")</f>
        <v/>
      </c>
      <c r="L126" s="114" t="str">
        <f>IF(Calculs!$BX$70="","",INDEX(Charge!$C:$C,Calculs!$BX$70+3)&amp;"")</f>
        <v/>
      </c>
      <c r="T126" s="114" t="str">
        <f>IF(Calculs!$BX$70="","",INDEX(Charge!$D:$D,Calculs!$BX$70+3)&amp;"")</f>
        <v/>
      </c>
      <c r="AB126" s="114" t="str">
        <f>IF(Calculs!$BX$70="","",INDEX(Charge!$A:$A,Calculs!$BX$70+3)&amp;"")</f>
        <v/>
      </c>
      <c r="AI126" s="115" t="str">
        <f>IF(Calculs!$BX$70="","",INDEX(Calculs!$ET$4:$ET$503,Calculs!$BX$70))</f>
        <v/>
      </c>
      <c r="AM126" s="116" t="str">
        <f>IF(Calculs!$BX$70="","",INDEX(Calculs!$EP$4:$EP$503,Calculs!$BX$70))</f>
        <v/>
      </c>
      <c r="AR126" s="117" t="str">
        <f>IF(Calculs!$BX$70="","",IF(Calculs!$AL$4=0,0,INDEX(Calculs!$EP$4:$EP$503,Calculs!$BX$70)/Calculs!$AL$4))</f>
        <v/>
      </c>
      <c r="AX126" s="118" t="str">
        <f>IF(Calculs!$BX$70="","",INDEX(Calculs!$EU$4:$EU$503,Calculs!$BX$70))</f>
        <v/>
      </c>
      <c r="BD126" s="119" t="str">
        <f>IF(Calculs!$BX$70="","",IF(INDEX(Calculs!$EW$4:$EW$503,Calculs!$BX$70)&gt;=2958465,"à planifier",INDEX(Calculs!$EW$4:$EW$503,Calculs!$BX$70)))</f>
        <v/>
      </c>
      <c r="BI126" s="17" t="n"/>
      <c r="BJ126" t="str">
        <f>Calculs!BY70</f>
        <v/>
      </c>
    </row>
    <row r="127" ht="16.5" customHeight="1">
      <c r="A127" s="17" t="n"/>
      <c r="B127" s="112" t="str">
        <f>IF(Calculs!$BX$71="","",Calculs!$BW$71)</f>
        <v/>
      </c>
      <c r="D127" s="113" t="str">
        <f>IF(Calculs!$BX$71="","",INDEX(Charge!$B:$B,Calculs!$BX$71+3)&amp;"")</f>
        <v/>
      </c>
      <c r="L127" s="114" t="str">
        <f>IF(Calculs!$BX$71="","",INDEX(Charge!$C:$C,Calculs!$BX$71+3)&amp;"")</f>
        <v/>
      </c>
      <c r="T127" s="114" t="str">
        <f>IF(Calculs!$BX$71="","",INDEX(Charge!$D:$D,Calculs!$BX$71+3)&amp;"")</f>
        <v/>
      </c>
      <c r="AB127" s="114" t="str">
        <f>IF(Calculs!$BX$71="","",INDEX(Charge!$A:$A,Calculs!$BX$71+3)&amp;"")</f>
        <v/>
      </c>
      <c r="AI127" s="115" t="str">
        <f>IF(Calculs!$BX$71="","",INDEX(Calculs!$ET$4:$ET$503,Calculs!$BX$71))</f>
        <v/>
      </c>
      <c r="AM127" s="116" t="str">
        <f>IF(Calculs!$BX$71="","",INDEX(Calculs!$EP$4:$EP$503,Calculs!$BX$71))</f>
        <v/>
      </c>
      <c r="AR127" s="117" t="str">
        <f>IF(Calculs!$BX$71="","",IF(Calculs!$AL$4=0,0,INDEX(Calculs!$EP$4:$EP$503,Calculs!$BX$71)/Calculs!$AL$4))</f>
        <v/>
      </c>
      <c r="AX127" s="118" t="str">
        <f>IF(Calculs!$BX$71="","",INDEX(Calculs!$EU$4:$EU$503,Calculs!$BX$71))</f>
        <v/>
      </c>
      <c r="BD127" s="119" t="str">
        <f>IF(Calculs!$BX$71="","",IF(INDEX(Calculs!$EW$4:$EW$503,Calculs!$BX$71)&gt;=2958465,"à planifier",INDEX(Calculs!$EW$4:$EW$503,Calculs!$BX$71)))</f>
        <v/>
      </c>
      <c r="BI127" s="17" t="n"/>
      <c r="BJ127" t="str">
        <f>Calculs!BY71</f>
        <v/>
      </c>
    </row>
    <row r="128" ht="16.5" customHeight="1">
      <c r="A128" s="17" t="n"/>
      <c r="B128" s="112" t="str">
        <f>IF(Calculs!$BX$72="","",Calculs!$BW$72)</f>
        <v/>
      </c>
      <c r="D128" s="113" t="str">
        <f>IF(Calculs!$BX$72="","",INDEX(Charge!$B:$B,Calculs!$BX$72+3)&amp;"")</f>
        <v/>
      </c>
      <c r="L128" s="114" t="str">
        <f>IF(Calculs!$BX$72="","",INDEX(Charge!$C:$C,Calculs!$BX$72+3)&amp;"")</f>
        <v/>
      </c>
      <c r="T128" s="114" t="str">
        <f>IF(Calculs!$BX$72="","",INDEX(Charge!$D:$D,Calculs!$BX$72+3)&amp;"")</f>
        <v/>
      </c>
      <c r="AB128" s="114" t="str">
        <f>IF(Calculs!$BX$72="","",INDEX(Charge!$A:$A,Calculs!$BX$72+3)&amp;"")</f>
        <v/>
      </c>
      <c r="AI128" s="115" t="str">
        <f>IF(Calculs!$BX$72="","",INDEX(Calculs!$ET$4:$ET$503,Calculs!$BX$72))</f>
        <v/>
      </c>
      <c r="AM128" s="116" t="str">
        <f>IF(Calculs!$BX$72="","",INDEX(Calculs!$EP$4:$EP$503,Calculs!$BX$72))</f>
        <v/>
      </c>
      <c r="AR128" s="117" t="str">
        <f>IF(Calculs!$BX$72="","",IF(Calculs!$AL$4=0,0,INDEX(Calculs!$EP$4:$EP$503,Calculs!$BX$72)/Calculs!$AL$4))</f>
        <v/>
      </c>
      <c r="AX128" s="118" t="str">
        <f>IF(Calculs!$BX$72="","",INDEX(Calculs!$EU$4:$EU$503,Calculs!$BX$72))</f>
        <v/>
      </c>
      <c r="BD128" s="119" t="str">
        <f>IF(Calculs!$BX$72="","",IF(INDEX(Calculs!$EW$4:$EW$503,Calculs!$BX$72)&gt;=2958465,"à planifier",INDEX(Calculs!$EW$4:$EW$503,Calculs!$BX$72)))</f>
        <v/>
      </c>
      <c r="BI128" s="17" t="n"/>
      <c r="BJ128" t="str">
        <f>Calculs!BY72</f>
        <v/>
      </c>
    </row>
    <row r="129" ht="16.5" customHeight="1">
      <c r="A129" s="17" t="n"/>
      <c r="B129" s="112" t="str">
        <f>IF(Calculs!$BX$73="","",Calculs!$BW$73)</f>
        <v/>
      </c>
      <c r="D129" s="113" t="str">
        <f>IF(Calculs!$BX$73="","",INDEX(Charge!$B:$B,Calculs!$BX$73+3)&amp;"")</f>
        <v/>
      </c>
      <c r="L129" s="114" t="str">
        <f>IF(Calculs!$BX$73="","",INDEX(Charge!$C:$C,Calculs!$BX$73+3)&amp;"")</f>
        <v/>
      </c>
      <c r="T129" s="114" t="str">
        <f>IF(Calculs!$BX$73="","",INDEX(Charge!$D:$D,Calculs!$BX$73+3)&amp;"")</f>
        <v/>
      </c>
      <c r="AB129" s="114" t="str">
        <f>IF(Calculs!$BX$73="","",INDEX(Charge!$A:$A,Calculs!$BX$73+3)&amp;"")</f>
        <v/>
      </c>
      <c r="AI129" s="115" t="str">
        <f>IF(Calculs!$BX$73="","",INDEX(Calculs!$ET$4:$ET$503,Calculs!$BX$73))</f>
        <v/>
      </c>
      <c r="AM129" s="116" t="str">
        <f>IF(Calculs!$BX$73="","",INDEX(Calculs!$EP$4:$EP$503,Calculs!$BX$73))</f>
        <v/>
      </c>
      <c r="AR129" s="117" t="str">
        <f>IF(Calculs!$BX$73="","",IF(Calculs!$AL$4=0,0,INDEX(Calculs!$EP$4:$EP$503,Calculs!$BX$73)/Calculs!$AL$4))</f>
        <v/>
      </c>
      <c r="AX129" s="118" t="str">
        <f>IF(Calculs!$BX$73="","",INDEX(Calculs!$EU$4:$EU$503,Calculs!$BX$73))</f>
        <v/>
      </c>
      <c r="BD129" s="119" t="str">
        <f>IF(Calculs!$BX$73="","",IF(INDEX(Calculs!$EW$4:$EW$503,Calculs!$BX$73)&gt;=2958465,"à planifier",INDEX(Calculs!$EW$4:$EW$503,Calculs!$BX$73)))</f>
        <v/>
      </c>
      <c r="BI129" s="17" t="n"/>
      <c r="BJ129" t="str">
        <f>Calculs!BY73</f>
        <v/>
      </c>
    </row>
    <row r="130" ht="16.5" customHeight="1">
      <c r="A130" s="17" t="n"/>
      <c r="B130" s="112" t="str">
        <f>IF(Calculs!$BX$74="","",Calculs!$BW$74)</f>
        <v/>
      </c>
      <c r="D130" s="113" t="str">
        <f>IF(Calculs!$BX$74="","",INDEX(Charge!$B:$B,Calculs!$BX$74+3)&amp;"")</f>
        <v/>
      </c>
      <c r="L130" s="114" t="str">
        <f>IF(Calculs!$BX$74="","",INDEX(Charge!$C:$C,Calculs!$BX$74+3)&amp;"")</f>
        <v/>
      </c>
      <c r="T130" s="114" t="str">
        <f>IF(Calculs!$BX$74="","",INDEX(Charge!$D:$D,Calculs!$BX$74+3)&amp;"")</f>
        <v/>
      </c>
      <c r="AB130" s="114" t="str">
        <f>IF(Calculs!$BX$74="","",INDEX(Charge!$A:$A,Calculs!$BX$74+3)&amp;"")</f>
        <v/>
      </c>
      <c r="AI130" s="115" t="str">
        <f>IF(Calculs!$BX$74="","",INDEX(Calculs!$ET$4:$ET$503,Calculs!$BX$74))</f>
        <v/>
      </c>
      <c r="AM130" s="116" t="str">
        <f>IF(Calculs!$BX$74="","",INDEX(Calculs!$EP$4:$EP$503,Calculs!$BX$74))</f>
        <v/>
      </c>
      <c r="AR130" s="117" t="str">
        <f>IF(Calculs!$BX$74="","",IF(Calculs!$AL$4=0,0,INDEX(Calculs!$EP$4:$EP$503,Calculs!$BX$74)/Calculs!$AL$4))</f>
        <v/>
      </c>
      <c r="AX130" s="118" t="str">
        <f>IF(Calculs!$BX$74="","",INDEX(Calculs!$EU$4:$EU$503,Calculs!$BX$74))</f>
        <v/>
      </c>
      <c r="BD130" s="119" t="str">
        <f>IF(Calculs!$BX$74="","",IF(INDEX(Calculs!$EW$4:$EW$503,Calculs!$BX$74)&gt;=2958465,"à planifier",INDEX(Calculs!$EW$4:$EW$503,Calculs!$BX$74)))</f>
        <v/>
      </c>
      <c r="BI130" s="17" t="n"/>
      <c r="BJ130" t="str">
        <f>Calculs!BY74</f>
        <v/>
      </c>
    </row>
    <row r="131" ht="16.5" customHeight="1">
      <c r="A131" s="17" t="n"/>
      <c r="B131" s="112" t="str">
        <f>IF(Calculs!$BX$75="","",Calculs!$BW$75)</f>
        <v/>
      </c>
      <c r="D131" s="113" t="str">
        <f>IF(Calculs!$BX$75="","",INDEX(Charge!$B:$B,Calculs!$BX$75+3)&amp;"")</f>
        <v/>
      </c>
      <c r="L131" s="114" t="str">
        <f>IF(Calculs!$BX$75="","",INDEX(Charge!$C:$C,Calculs!$BX$75+3)&amp;"")</f>
        <v/>
      </c>
      <c r="T131" s="114" t="str">
        <f>IF(Calculs!$BX$75="","",INDEX(Charge!$D:$D,Calculs!$BX$75+3)&amp;"")</f>
        <v/>
      </c>
      <c r="AB131" s="114" t="str">
        <f>IF(Calculs!$BX$75="","",INDEX(Charge!$A:$A,Calculs!$BX$75+3)&amp;"")</f>
        <v/>
      </c>
      <c r="AI131" s="115" t="str">
        <f>IF(Calculs!$BX$75="","",INDEX(Calculs!$ET$4:$ET$503,Calculs!$BX$75))</f>
        <v/>
      </c>
      <c r="AM131" s="116" t="str">
        <f>IF(Calculs!$BX$75="","",INDEX(Calculs!$EP$4:$EP$503,Calculs!$BX$75))</f>
        <v/>
      </c>
      <c r="AR131" s="117" t="str">
        <f>IF(Calculs!$BX$75="","",IF(Calculs!$AL$4=0,0,INDEX(Calculs!$EP$4:$EP$503,Calculs!$BX$75)/Calculs!$AL$4))</f>
        <v/>
      </c>
      <c r="AX131" s="118" t="str">
        <f>IF(Calculs!$BX$75="","",INDEX(Calculs!$EU$4:$EU$503,Calculs!$BX$75))</f>
        <v/>
      </c>
      <c r="BD131" s="119" t="str">
        <f>IF(Calculs!$BX$75="","",IF(INDEX(Calculs!$EW$4:$EW$503,Calculs!$BX$75)&gt;=2958465,"à planifier",INDEX(Calculs!$EW$4:$EW$503,Calculs!$BX$75)))</f>
        <v/>
      </c>
      <c r="BI131" s="17" t="n"/>
      <c r="BJ131" t="str">
        <f>Calculs!BY75</f>
        <v/>
      </c>
    </row>
    <row r="132" ht="16.5" customHeight="1">
      <c r="A132" s="17" t="n"/>
      <c r="B132" s="112" t="str">
        <f>IF(Calculs!$BX$76="","",Calculs!$BW$76)</f>
        <v/>
      </c>
      <c r="D132" s="113" t="str">
        <f>IF(Calculs!$BX$76="","",INDEX(Charge!$B:$B,Calculs!$BX$76+3)&amp;"")</f>
        <v/>
      </c>
      <c r="L132" s="114" t="str">
        <f>IF(Calculs!$BX$76="","",INDEX(Charge!$C:$C,Calculs!$BX$76+3)&amp;"")</f>
        <v/>
      </c>
      <c r="T132" s="114" t="str">
        <f>IF(Calculs!$BX$76="","",INDEX(Charge!$D:$D,Calculs!$BX$76+3)&amp;"")</f>
        <v/>
      </c>
      <c r="AB132" s="114" t="str">
        <f>IF(Calculs!$BX$76="","",INDEX(Charge!$A:$A,Calculs!$BX$76+3)&amp;"")</f>
        <v/>
      </c>
      <c r="AI132" s="115" t="str">
        <f>IF(Calculs!$BX$76="","",INDEX(Calculs!$ET$4:$ET$503,Calculs!$BX$76))</f>
        <v/>
      </c>
      <c r="AM132" s="116" t="str">
        <f>IF(Calculs!$BX$76="","",INDEX(Calculs!$EP$4:$EP$503,Calculs!$BX$76))</f>
        <v/>
      </c>
      <c r="AR132" s="117" t="str">
        <f>IF(Calculs!$BX$76="","",IF(Calculs!$AL$4=0,0,INDEX(Calculs!$EP$4:$EP$503,Calculs!$BX$76)/Calculs!$AL$4))</f>
        <v/>
      </c>
      <c r="AX132" s="118" t="str">
        <f>IF(Calculs!$BX$76="","",INDEX(Calculs!$EU$4:$EU$503,Calculs!$BX$76))</f>
        <v/>
      </c>
      <c r="BD132" s="119" t="str">
        <f>IF(Calculs!$BX$76="","",IF(INDEX(Calculs!$EW$4:$EW$503,Calculs!$BX$76)&gt;=2958465,"à planifier",INDEX(Calculs!$EW$4:$EW$503,Calculs!$BX$76)))</f>
        <v/>
      </c>
      <c r="BI132" s="17" t="n"/>
      <c r="BJ132" t="str">
        <f>Calculs!BY76</f>
        <v/>
      </c>
    </row>
    <row r="133" ht="16.5" customHeight="1">
      <c r="A133" s="17" t="n"/>
      <c r="B133" s="112" t="str">
        <f>IF(Calculs!$BX$77="","",Calculs!$BW$77)</f>
        <v/>
      </c>
      <c r="D133" s="113" t="str">
        <f>IF(Calculs!$BX$77="","",INDEX(Charge!$B:$B,Calculs!$BX$77+3)&amp;"")</f>
        <v/>
      </c>
      <c r="L133" s="114" t="str">
        <f>IF(Calculs!$BX$77="","",INDEX(Charge!$C:$C,Calculs!$BX$77+3)&amp;"")</f>
        <v/>
      </c>
      <c r="T133" s="114" t="str">
        <f>IF(Calculs!$BX$77="","",INDEX(Charge!$D:$D,Calculs!$BX$77+3)&amp;"")</f>
        <v/>
      </c>
      <c r="AB133" s="114" t="str">
        <f>IF(Calculs!$BX$77="","",INDEX(Charge!$A:$A,Calculs!$BX$77+3)&amp;"")</f>
        <v/>
      </c>
      <c r="AI133" s="115" t="str">
        <f>IF(Calculs!$BX$77="","",INDEX(Calculs!$ET$4:$ET$503,Calculs!$BX$77))</f>
        <v/>
      </c>
      <c r="AM133" s="116" t="str">
        <f>IF(Calculs!$BX$77="","",INDEX(Calculs!$EP$4:$EP$503,Calculs!$BX$77))</f>
        <v/>
      </c>
      <c r="AR133" s="117" t="str">
        <f>IF(Calculs!$BX$77="","",IF(Calculs!$AL$4=0,0,INDEX(Calculs!$EP$4:$EP$503,Calculs!$BX$77)/Calculs!$AL$4))</f>
        <v/>
      </c>
      <c r="AX133" s="118" t="str">
        <f>IF(Calculs!$BX$77="","",INDEX(Calculs!$EU$4:$EU$503,Calculs!$BX$77))</f>
        <v/>
      </c>
      <c r="BD133" s="119" t="str">
        <f>IF(Calculs!$BX$77="","",IF(INDEX(Calculs!$EW$4:$EW$503,Calculs!$BX$77)&gt;=2958465,"à planifier",INDEX(Calculs!$EW$4:$EW$503,Calculs!$BX$77)))</f>
        <v/>
      </c>
      <c r="BI133" s="17" t="n"/>
      <c r="BJ133" t="str">
        <f>Calculs!BY77</f>
        <v/>
      </c>
    </row>
    <row r="134" ht="16.5" customHeight="1">
      <c r="A134" s="17" t="n"/>
      <c r="B134" s="112" t="str">
        <f>IF(Calculs!$BX$78="","",Calculs!$BW$78)</f>
        <v/>
      </c>
      <c r="D134" s="113" t="str">
        <f>IF(Calculs!$BX$78="","",INDEX(Charge!$B:$B,Calculs!$BX$78+3)&amp;"")</f>
        <v/>
      </c>
      <c r="L134" s="114" t="str">
        <f>IF(Calculs!$BX$78="","",INDEX(Charge!$C:$C,Calculs!$BX$78+3)&amp;"")</f>
        <v/>
      </c>
      <c r="T134" s="114" t="str">
        <f>IF(Calculs!$BX$78="","",INDEX(Charge!$D:$D,Calculs!$BX$78+3)&amp;"")</f>
        <v/>
      </c>
      <c r="AB134" s="114" t="str">
        <f>IF(Calculs!$BX$78="","",INDEX(Charge!$A:$A,Calculs!$BX$78+3)&amp;"")</f>
        <v/>
      </c>
      <c r="AI134" s="115" t="str">
        <f>IF(Calculs!$BX$78="","",INDEX(Calculs!$ET$4:$ET$503,Calculs!$BX$78))</f>
        <v/>
      </c>
      <c r="AM134" s="116" t="str">
        <f>IF(Calculs!$BX$78="","",INDEX(Calculs!$EP$4:$EP$503,Calculs!$BX$78))</f>
        <v/>
      </c>
      <c r="AR134" s="117" t="str">
        <f>IF(Calculs!$BX$78="","",IF(Calculs!$AL$4=0,0,INDEX(Calculs!$EP$4:$EP$503,Calculs!$BX$78)/Calculs!$AL$4))</f>
        <v/>
      </c>
      <c r="AX134" s="118" t="str">
        <f>IF(Calculs!$BX$78="","",INDEX(Calculs!$EU$4:$EU$503,Calculs!$BX$78))</f>
        <v/>
      </c>
      <c r="BD134" s="119" t="str">
        <f>IF(Calculs!$BX$78="","",IF(INDEX(Calculs!$EW$4:$EW$503,Calculs!$BX$78)&gt;=2958465,"à planifier",INDEX(Calculs!$EW$4:$EW$503,Calculs!$BX$78)))</f>
        <v/>
      </c>
      <c r="BI134" s="17" t="n"/>
      <c r="BJ134" t="str">
        <f>Calculs!BY78</f>
        <v/>
      </c>
    </row>
    <row r="135" ht="16.5" customHeight="1">
      <c r="A135" s="17" t="n"/>
      <c r="B135" s="112" t="str">
        <f>IF(Calculs!$BX$79="","",Calculs!$BW$79)</f>
        <v/>
      </c>
      <c r="D135" s="113" t="str">
        <f>IF(Calculs!$BX$79="","",INDEX(Charge!$B:$B,Calculs!$BX$79+3)&amp;"")</f>
        <v/>
      </c>
      <c r="L135" s="114" t="str">
        <f>IF(Calculs!$BX$79="","",INDEX(Charge!$C:$C,Calculs!$BX$79+3)&amp;"")</f>
        <v/>
      </c>
      <c r="T135" s="114" t="str">
        <f>IF(Calculs!$BX$79="","",INDEX(Charge!$D:$D,Calculs!$BX$79+3)&amp;"")</f>
        <v/>
      </c>
      <c r="AB135" s="114" t="str">
        <f>IF(Calculs!$BX$79="","",INDEX(Charge!$A:$A,Calculs!$BX$79+3)&amp;"")</f>
        <v/>
      </c>
      <c r="AI135" s="115" t="str">
        <f>IF(Calculs!$BX$79="","",INDEX(Calculs!$ET$4:$ET$503,Calculs!$BX$79))</f>
        <v/>
      </c>
      <c r="AM135" s="116" t="str">
        <f>IF(Calculs!$BX$79="","",INDEX(Calculs!$EP$4:$EP$503,Calculs!$BX$79))</f>
        <v/>
      </c>
      <c r="AR135" s="117" t="str">
        <f>IF(Calculs!$BX$79="","",IF(Calculs!$AL$4=0,0,INDEX(Calculs!$EP$4:$EP$503,Calculs!$BX$79)/Calculs!$AL$4))</f>
        <v/>
      </c>
      <c r="AX135" s="118" t="str">
        <f>IF(Calculs!$BX$79="","",INDEX(Calculs!$EU$4:$EU$503,Calculs!$BX$79))</f>
        <v/>
      </c>
      <c r="BD135" s="119" t="str">
        <f>IF(Calculs!$BX$79="","",IF(INDEX(Calculs!$EW$4:$EW$503,Calculs!$BX$79)&gt;=2958465,"à planifier",INDEX(Calculs!$EW$4:$EW$503,Calculs!$BX$79)))</f>
        <v/>
      </c>
      <c r="BI135" s="17" t="n"/>
      <c r="BJ135" t="str">
        <f>Calculs!BY79</f>
        <v/>
      </c>
    </row>
    <row r="136" ht="16.5" customHeight="1">
      <c r="A136" s="17" t="n"/>
      <c r="B136" s="112" t="str">
        <f>IF(Calculs!$BX$80="","",Calculs!$BW$80)</f>
        <v/>
      </c>
      <c r="D136" s="113" t="str">
        <f>IF(Calculs!$BX$80="","",INDEX(Charge!$B:$B,Calculs!$BX$80+3)&amp;"")</f>
        <v/>
      </c>
      <c r="L136" s="114" t="str">
        <f>IF(Calculs!$BX$80="","",INDEX(Charge!$C:$C,Calculs!$BX$80+3)&amp;"")</f>
        <v/>
      </c>
      <c r="T136" s="114" t="str">
        <f>IF(Calculs!$BX$80="","",INDEX(Charge!$D:$D,Calculs!$BX$80+3)&amp;"")</f>
        <v/>
      </c>
      <c r="AB136" s="114" t="str">
        <f>IF(Calculs!$BX$80="","",INDEX(Charge!$A:$A,Calculs!$BX$80+3)&amp;"")</f>
        <v/>
      </c>
      <c r="AI136" s="115" t="str">
        <f>IF(Calculs!$BX$80="","",INDEX(Calculs!$ET$4:$ET$503,Calculs!$BX$80))</f>
        <v/>
      </c>
      <c r="AM136" s="116" t="str">
        <f>IF(Calculs!$BX$80="","",INDEX(Calculs!$EP$4:$EP$503,Calculs!$BX$80))</f>
        <v/>
      </c>
      <c r="AR136" s="117" t="str">
        <f>IF(Calculs!$BX$80="","",IF(Calculs!$AL$4=0,0,INDEX(Calculs!$EP$4:$EP$503,Calculs!$BX$80)/Calculs!$AL$4))</f>
        <v/>
      </c>
      <c r="AX136" s="118" t="str">
        <f>IF(Calculs!$BX$80="","",INDEX(Calculs!$EU$4:$EU$503,Calculs!$BX$80))</f>
        <v/>
      </c>
      <c r="BD136" s="119" t="str">
        <f>IF(Calculs!$BX$80="","",IF(INDEX(Calculs!$EW$4:$EW$503,Calculs!$BX$80)&gt;=2958465,"à planifier",INDEX(Calculs!$EW$4:$EW$503,Calculs!$BX$80)))</f>
        <v/>
      </c>
      <c r="BI136" s="17" t="n"/>
      <c r="BJ136" t="str">
        <f>Calculs!BY80</f>
        <v/>
      </c>
    </row>
    <row r="137" ht="16.5" customHeight="1">
      <c r="A137" s="17" t="n"/>
      <c r="B137" s="112" t="str">
        <f>IF(Calculs!$BX$81="","",Calculs!$BW$81)</f>
        <v/>
      </c>
      <c r="D137" s="113" t="str">
        <f>IF(Calculs!$BX$81="","",INDEX(Charge!$B:$B,Calculs!$BX$81+3)&amp;"")</f>
        <v/>
      </c>
      <c r="L137" s="114" t="str">
        <f>IF(Calculs!$BX$81="","",INDEX(Charge!$C:$C,Calculs!$BX$81+3)&amp;"")</f>
        <v/>
      </c>
      <c r="T137" s="114" t="str">
        <f>IF(Calculs!$BX$81="","",INDEX(Charge!$D:$D,Calculs!$BX$81+3)&amp;"")</f>
        <v/>
      </c>
      <c r="AB137" s="114" t="str">
        <f>IF(Calculs!$BX$81="","",INDEX(Charge!$A:$A,Calculs!$BX$81+3)&amp;"")</f>
        <v/>
      </c>
      <c r="AI137" s="115" t="str">
        <f>IF(Calculs!$BX$81="","",INDEX(Calculs!$ET$4:$ET$503,Calculs!$BX$81))</f>
        <v/>
      </c>
      <c r="AM137" s="116" t="str">
        <f>IF(Calculs!$BX$81="","",INDEX(Calculs!$EP$4:$EP$503,Calculs!$BX$81))</f>
        <v/>
      </c>
      <c r="AR137" s="117" t="str">
        <f>IF(Calculs!$BX$81="","",IF(Calculs!$AL$4=0,0,INDEX(Calculs!$EP$4:$EP$503,Calculs!$BX$81)/Calculs!$AL$4))</f>
        <v/>
      </c>
      <c r="AX137" s="118" t="str">
        <f>IF(Calculs!$BX$81="","",INDEX(Calculs!$EU$4:$EU$503,Calculs!$BX$81))</f>
        <v/>
      </c>
      <c r="BD137" s="119" t="str">
        <f>IF(Calculs!$BX$81="","",IF(INDEX(Calculs!$EW$4:$EW$503,Calculs!$BX$81)&gt;=2958465,"à planifier",INDEX(Calculs!$EW$4:$EW$503,Calculs!$BX$81)))</f>
        <v/>
      </c>
      <c r="BI137" s="17" t="n"/>
      <c r="BJ137" t="str">
        <f>Calculs!BY81</f>
        <v/>
      </c>
    </row>
    <row r="138" ht="16.5" customHeight="1">
      <c r="A138" s="17" t="n"/>
      <c r="B138" s="112" t="str">
        <f>IF(Calculs!$BX$82="","",Calculs!$BW$82)</f>
        <v/>
      </c>
      <c r="D138" s="113" t="str">
        <f>IF(Calculs!$BX$82="","",INDEX(Charge!$B:$B,Calculs!$BX$82+3)&amp;"")</f>
        <v/>
      </c>
      <c r="L138" s="114" t="str">
        <f>IF(Calculs!$BX$82="","",INDEX(Charge!$C:$C,Calculs!$BX$82+3)&amp;"")</f>
        <v/>
      </c>
      <c r="T138" s="114" t="str">
        <f>IF(Calculs!$BX$82="","",INDEX(Charge!$D:$D,Calculs!$BX$82+3)&amp;"")</f>
        <v/>
      </c>
      <c r="AB138" s="114" t="str">
        <f>IF(Calculs!$BX$82="","",INDEX(Charge!$A:$A,Calculs!$BX$82+3)&amp;"")</f>
        <v/>
      </c>
      <c r="AI138" s="115" t="str">
        <f>IF(Calculs!$BX$82="","",INDEX(Calculs!$ET$4:$ET$503,Calculs!$BX$82))</f>
        <v/>
      </c>
      <c r="AM138" s="116" t="str">
        <f>IF(Calculs!$BX$82="","",INDEX(Calculs!$EP$4:$EP$503,Calculs!$BX$82))</f>
        <v/>
      </c>
      <c r="AR138" s="117" t="str">
        <f>IF(Calculs!$BX$82="","",IF(Calculs!$AL$4=0,0,INDEX(Calculs!$EP$4:$EP$503,Calculs!$BX$82)/Calculs!$AL$4))</f>
        <v/>
      </c>
      <c r="AX138" s="118" t="str">
        <f>IF(Calculs!$BX$82="","",INDEX(Calculs!$EU$4:$EU$503,Calculs!$BX$82))</f>
        <v/>
      </c>
      <c r="BD138" s="119" t="str">
        <f>IF(Calculs!$BX$82="","",IF(INDEX(Calculs!$EW$4:$EW$503,Calculs!$BX$82)&gt;=2958465,"à planifier",INDEX(Calculs!$EW$4:$EW$503,Calculs!$BX$82)))</f>
        <v/>
      </c>
      <c r="BI138" s="17" t="n"/>
      <c r="BJ138" t="str">
        <f>Calculs!BY82</f>
        <v/>
      </c>
    </row>
    <row r="139" ht="16.5" customHeight="1">
      <c r="A139" s="17" t="n"/>
      <c r="B139" s="112" t="str">
        <f>IF(Calculs!$BX$83="","",Calculs!$BW$83)</f>
        <v/>
      </c>
      <c r="D139" s="113" t="str">
        <f>IF(Calculs!$BX$83="","",INDEX(Charge!$B:$B,Calculs!$BX$83+3)&amp;"")</f>
        <v/>
      </c>
      <c r="L139" s="114" t="str">
        <f>IF(Calculs!$BX$83="","",INDEX(Charge!$C:$C,Calculs!$BX$83+3)&amp;"")</f>
        <v/>
      </c>
      <c r="T139" s="114" t="str">
        <f>IF(Calculs!$BX$83="","",INDEX(Charge!$D:$D,Calculs!$BX$83+3)&amp;"")</f>
        <v/>
      </c>
      <c r="AB139" s="114" t="str">
        <f>IF(Calculs!$BX$83="","",INDEX(Charge!$A:$A,Calculs!$BX$83+3)&amp;"")</f>
        <v/>
      </c>
      <c r="AI139" s="115" t="str">
        <f>IF(Calculs!$BX$83="","",INDEX(Calculs!$ET$4:$ET$503,Calculs!$BX$83))</f>
        <v/>
      </c>
      <c r="AM139" s="116" t="str">
        <f>IF(Calculs!$BX$83="","",INDEX(Calculs!$EP$4:$EP$503,Calculs!$BX$83))</f>
        <v/>
      </c>
      <c r="AR139" s="117" t="str">
        <f>IF(Calculs!$BX$83="","",IF(Calculs!$AL$4=0,0,INDEX(Calculs!$EP$4:$EP$503,Calculs!$BX$83)/Calculs!$AL$4))</f>
        <v/>
      </c>
      <c r="AX139" s="118" t="str">
        <f>IF(Calculs!$BX$83="","",INDEX(Calculs!$EU$4:$EU$503,Calculs!$BX$83))</f>
        <v/>
      </c>
      <c r="BD139" s="119" t="str">
        <f>IF(Calculs!$BX$83="","",IF(INDEX(Calculs!$EW$4:$EW$503,Calculs!$BX$83)&gt;=2958465,"à planifier",INDEX(Calculs!$EW$4:$EW$503,Calculs!$BX$83)))</f>
        <v/>
      </c>
      <c r="BI139" s="17" t="n"/>
      <c r="BJ139" t="str">
        <f>Calculs!BY83</f>
        <v/>
      </c>
    </row>
    <row r="140" ht="16.5" customHeight="1">
      <c r="A140" s="17" t="n"/>
      <c r="B140" s="112" t="str">
        <f>IF(Calculs!$BX$84="","",Calculs!$BW$84)</f>
        <v/>
      </c>
      <c r="D140" s="113" t="str">
        <f>IF(Calculs!$BX$84="","",INDEX(Charge!$B:$B,Calculs!$BX$84+3)&amp;"")</f>
        <v/>
      </c>
      <c r="L140" s="114" t="str">
        <f>IF(Calculs!$BX$84="","",INDEX(Charge!$C:$C,Calculs!$BX$84+3)&amp;"")</f>
        <v/>
      </c>
      <c r="T140" s="114" t="str">
        <f>IF(Calculs!$BX$84="","",INDEX(Charge!$D:$D,Calculs!$BX$84+3)&amp;"")</f>
        <v/>
      </c>
      <c r="AB140" s="114" t="str">
        <f>IF(Calculs!$BX$84="","",INDEX(Charge!$A:$A,Calculs!$BX$84+3)&amp;"")</f>
        <v/>
      </c>
      <c r="AI140" s="115" t="str">
        <f>IF(Calculs!$BX$84="","",INDEX(Calculs!$ET$4:$ET$503,Calculs!$BX$84))</f>
        <v/>
      </c>
      <c r="AM140" s="116" t="str">
        <f>IF(Calculs!$BX$84="","",INDEX(Calculs!$EP$4:$EP$503,Calculs!$BX$84))</f>
        <v/>
      </c>
      <c r="AR140" s="117" t="str">
        <f>IF(Calculs!$BX$84="","",IF(Calculs!$AL$4=0,0,INDEX(Calculs!$EP$4:$EP$503,Calculs!$BX$84)/Calculs!$AL$4))</f>
        <v/>
      </c>
      <c r="AX140" s="118" t="str">
        <f>IF(Calculs!$BX$84="","",INDEX(Calculs!$EU$4:$EU$503,Calculs!$BX$84))</f>
        <v/>
      </c>
      <c r="BD140" s="119" t="str">
        <f>IF(Calculs!$BX$84="","",IF(INDEX(Calculs!$EW$4:$EW$503,Calculs!$BX$84)&gt;=2958465,"à planifier",INDEX(Calculs!$EW$4:$EW$503,Calculs!$BX$84)))</f>
        <v/>
      </c>
      <c r="BI140" s="17" t="n"/>
      <c r="BJ140" t="str">
        <f>Calculs!BY84</f>
        <v/>
      </c>
    </row>
    <row r="141" ht="16.5" customHeight="1">
      <c r="A141" s="17" t="n"/>
      <c r="B141" s="112" t="str">
        <f>IF(Calculs!$BX$85="","",Calculs!$BW$85)</f>
        <v/>
      </c>
      <c r="D141" s="113" t="str">
        <f>IF(Calculs!$BX$85="","",INDEX(Charge!$B:$B,Calculs!$BX$85+3)&amp;"")</f>
        <v/>
      </c>
      <c r="L141" s="114" t="str">
        <f>IF(Calculs!$BX$85="","",INDEX(Charge!$C:$C,Calculs!$BX$85+3)&amp;"")</f>
        <v/>
      </c>
      <c r="T141" s="114" t="str">
        <f>IF(Calculs!$BX$85="","",INDEX(Charge!$D:$D,Calculs!$BX$85+3)&amp;"")</f>
        <v/>
      </c>
      <c r="AB141" s="114" t="str">
        <f>IF(Calculs!$BX$85="","",INDEX(Charge!$A:$A,Calculs!$BX$85+3)&amp;"")</f>
        <v/>
      </c>
      <c r="AI141" s="115" t="str">
        <f>IF(Calculs!$BX$85="","",INDEX(Calculs!$ET$4:$ET$503,Calculs!$BX$85))</f>
        <v/>
      </c>
      <c r="AM141" s="116" t="str">
        <f>IF(Calculs!$BX$85="","",INDEX(Calculs!$EP$4:$EP$503,Calculs!$BX$85))</f>
        <v/>
      </c>
      <c r="AR141" s="117" t="str">
        <f>IF(Calculs!$BX$85="","",IF(Calculs!$AL$4=0,0,INDEX(Calculs!$EP$4:$EP$503,Calculs!$BX$85)/Calculs!$AL$4))</f>
        <v/>
      </c>
      <c r="AX141" s="118" t="str">
        <f>IF(Calculs!$BX$85="","",INDEX(Calculs!$EU$4:$EU$503,Calculs!$BX$85))</f>
        <v/>
      </c>
      <c r="BD141" s="119" t="str">
        <f>IF(Calculs!$BX$85="","",IF(INDEX(Calculs!$EW$4:$EW$503,Calculs!$BX$85)&gt;=2958465,"à planifier",INDEX(Calculs!$EW$4:$EW$503,Calculs!$BX$85)))</f>
        <v/>
      </c>
      <c r="BI141" s="17" t="n"/>
      <c r="BJ141" t="str">
        <f>Calculs!BY85</f>
        <v/>
      </c>
    </row>
    <row r="142" ht="16.5" customHeight="1">
      <c r="A142" s="17" t="n"/>
      <c r="B142" s="112" t="str">
        <f>IF(Calculs!$BX$86="","",Calculs!$BW$86)</f>
        <v/>
      </c>
      <c r="D142" s="113" t="str">
        <f>IF(Calculs!$BX$86="","",INDEX(Charge!$B:$B,Calculs!$BX$86+3)&amp;"")</f>
        <v/>
      </c>
      <c r="L142" s="114" t="str">
        <f>IF(Calculs!$BX$86="","",INDEX(Charge!$C:$C,Calculs!$BX$86+3)&amp;"")</f>
        <v/>
      </c>
      <c r="T142" s="114" t="str">
        <f>IF(Calculs!$BX$86="","",INDEX(Charge!$D:$D,Calculs!$BX$86+3)&amp;"")</f>
        <v/>
      </c>
      <c r="AB142" s="114" t="str">
        <f>IF(Calculs!$BX$86="","",INDEX(Charge!$A:$A,Calculs!$BX$86+3)&amp;"")</f>
        <v/>
      </c>
      <c r="AI142" s="115" t="str">
        <f>IF(Calculs!$BX$86="","",INDEX(Calculs!$ET$4:$ET$503,Calculs!$BX$86))</f>
        <v/>
      </c>
      <c r="AM142" s="116" t="str">
        <f>IF(Calculs!$BX$86="","",INDEX(Calculs!$EP$4:$EP$503,Calculs!$BX$86))</f>
        <v/>
      </c>
      <c r="AR142" s="117" t="str">
        <f>IF(Calculs!$BX$86="","",IF(Calculs!$AL$4=0,0,INDEX(Calculs!$EP$4:$EP$503,Calculs!$BX$86)/Calculs!$AL$4))</f>
        <v/>
      </c>
      <c r="AX142" s="118" t="str">
        <f>IF(Calculs!$BX$86="","",INDEX(Calculs!$EU$4:$EU$503,Calculs!$BX$86))</f>
        <v/>
      </c>
      <c r="BD142" s="119" t="str">
        <f>IF(Calculs!$BX$86="","",IF(INDEX(Calculs!$EW$4:$EW$503,Calculs!$BX$86)&gt;=2958465,"à planifier",INDEX(Calculs!$EW$4:$EW$503,Calculs!$BX$86)))</f>
        <v/>
      </c>
      <c r="BI142" s="17" t="n"/>
      <c r="BJ142" t="str">
        <f>Calculs!BY86</f>
        <v/>
      </c>
    </row>
    <row r="143" ht="16.5" customHeight="1">
      <c r="A143" s="17" t="n"/>
      <c r="B143" s="112" t="str">
        <f>IF(Calculs!$BX$87="","",Calculs!$BW$87)</f>
        <v/>
      </c>
      <c r="D143" s="113" t="str">
        <f>IF(Calculs!$BX$87="","",INDEX(Charge!$B:$B,Calculs!$BX$87+3)&amp;"")</f>
        <v/>
      </c>
      <c r="L143" s="114" t="str">
        <f>IF(Calculs!$BX$87="","",INDEX(Charge!$C:$C,Calculs!$BX$87+3)&amp;"")</f>
        <v/>
      </c>
      <c r="T143" s="114" t="str">
        <f>IF(Calculs!$BX$87="","",INDEX(Charge!$D:$D,Calculs!$BX$87+3)&amp;"")</f>
        <v/>
      </c>
      <c r="AB143" s="114" t="str">
        <f>IF(Calculs!$BX$87="","",INDEX(Charge!$A:$A,Calculs!$BX$87+3)&amp;"")</f>
        <v/>
      </c>
      <c r="AI143" s="115" t="str">
        <f>IF(Calculs!$BX$87="","",INDEX(Calculs!$ET$4:$ET$503,Calculs!$BX$87))</f>
        <v/>
      </c>
      <c r="AM143" s="116" t="str">
        <f>IF(Calculs!$BX$87="","",INDEX(Calculs!$EP$4:$EP$503,Calculs!$BX$87))</f>
        <v/>
      </c>
      <c r="AR143" s="117" t="str">
        <f>IF(Calculs!$BX$87="","",IF(Calculs!$AL$4=0,0,INDEX(Calculs!$EP$4:$EP$503,Calculs!$BX$87)/Calculs!$AL$4))</f>
        <v/>
      </c>
      <c r="AX143" s="118" t="str">
        <f>IF(Calculs!$BX$87="","",INDEX(Calculs!$EU$4:$EU$503,Calculs!$BX$87))</f>
        <v/>
      </c>
      <c r="BD143" s="119" t="str">
        <f>IF(Calculs!$BX$87="","",IF(INDEX(Calculs!$EW$4:$EW$503,Calculs!$BX$87)&gt;=2958465,"à planifier",INDEX(Calculs!$EW$4:$EW$503,Calculs!$BX$87)))</f>
        <v/>
      </c>
      <c r="BI143" s="17" t="n"/>
      <c r="BJ143" t="str">
        <f>Calculs!BY87</f>
        <v/>
      </c>
    </row>
    <row r="144" ht="16.5" customHeight="1">
      <c r="A144" s="17" t="n"/>
      <c r="B144" s="112" t="str">
        <f>IF(Calculs!$BX$88="","",Calculs!$BW$88)</f>
        <v/>
      </c>
      <c r="D144" s="113" t="str">
        <f>IF(Calculs!$BX$88="","",INDEX(Charge!$B:$B,Calculs!$BX$88+3)&amp;"")</f>
        <v/>
      </c>
      <c r="L144" s="114" t="str">
        <f>IF(Calculs!$BX$88="","",INDEX(Charge!$C:$C,Calculs!$BX$88+3)&amp;"")</f>
        <v/>
      </c>
      <c r="T144" s="114" t="str">
        <f>IF(Calculs!$BX$88="","",INDEX(Charge!$D:$D,Calculs!$BX$88+3)&amp;"")</f>
        <v/>
      </c>
      <c r="AB144" s="114" t="str">
        <f>IF(Calculs!$BX$88="","",INDEX(Charge!$A:$A,Calculs!$BX$88+3)&amp;"")</f>
        <v/>
      </c>
      <c r="AI144" s="115" t="str">
        <f>IF(Calculs!$BX$88="","",INDEX(Calculs!$ET$4:$ET$503,Calculs!$BX$88))</f>
        <v/>
      </c>
      <c r="AM144" s="116" t="str">
        <f>IF(Calculs!$BX$88="","",INDEX(Calculs!$EP$4:$EP$503,Calculs!$BX$88))</f>
        <v/>
      </c>
      <c r="AR144" s="117" t="str">
        <f>IF(Calculs!$BX$88="","",IF(Calculs!$AL$4=0,0,INDEX(Calculs!$EP$4:$EP$503,Calculs!$BX$88)/Calculs!$AL$4))</f>
        <v/>
      </c>
      <c r="AX144" s="118" t="str">
        <f>IF(Calculs!$BX$88="","",INDEX(Calculs!$EU$4:$EU$503,Calculs!$BX$88))</f>
        <v/>
      </c>
      <c r="BD144" s="119" t="str">
        <f>IF(Calculs!$BX$88="","",IF(INDEX(Calculs!$EW$4:$EW$503,Calculs!$BX$88)&gt;=2958465,"à planifier",INDEX(Calculs!$EW$4:$EW$503,Calculs!$BX$88)))</f>
        <v/>
      </c>
      <c r="BI144" s="17" t="n"/>
      <c r="BJ144" t="str">
        <f>Calculs!BY88</f>
        <v/>
      </c>
    </row>
    <row r="145" ht="16.5" customHeight="1">
      <c r="A145" s="17" t="n"/>
      <c r="B145" s="112" t="str">
        <f>IF(Calculs!$BX$89="","",Calculs!$BW$89)</f>
        <v/>
      </c>
      <c r="D145" s="113" t="str">
        <f>IF(Calculs!$BX$89="","",INDEX(Charge!$B:$B,Calculs!$BX$89+3)&amp;"")</f>
        <v/>
      </c>
      <c r="L145" s="114" t="str">
        <f>IF(Calculs!$BX$89="","",INDEX(Charge!$C:$C,Calculs!$BX$89+3)&amp;"")</f>
        <v/>
      </c>
      <c r="T145" s="114" t="str">
        <f>IF(Calculs!$BX$89="","",INDEX(Charge!$D:$D,Calculs!$BX$89+3)&amp;"")</f>
        <v/>
      </c>
      <c r="AB145" s="114" t="str">
        <f>IF(Calculs!$BX$89="","",INDEX(Charge!$A:$A,Calculs!$BX$89+3)&amp;"")</f>
        <v/>
      </c>
      <c r="AI145" s="115" t="str">
        <f>IF(Calculs!$BX$89="","",INDEX(Calculs!$ET$4:$ET$503,Calculs!$BX$89))</f>
        <v/>
      </c>
      <c r="AM145" s="116" t="str">
        <f>IF(Calculs!$BX$89="","",INDEX(Calculs!$EP$4:$EP$503,Calculs!$BX$89))</f>
        <v/>
      </c>
      <c r="AR145" s="117" t="str">
        <f>IF(Calculs!$BX$89="","",IF(Calculs!$AL$4=0,0,INDEX(Calculs!$EP$4:$EP$503,Calculs!$BX$89)/Calculs!$AL$4))</f>
        <v/>
      </c>
      <c r="AX145" s="118" t="str">
        <f>IF(Calculs!$BX$89="","",INDEX(Calculs!$EU$4:$EU$503,Calculs!$BX$89))</f>
        <v/>
      </c>
      <c r="BD145" s="119" t="str">
        <f>IF(Calculs!$BX$89="","",IF(INDEX(Calculs!$EW$4:$EW$503,Calculs!$BX$89)&gt;=2958465,"à planifier",INDEX(Calculs!$EW$4:$EW$503,Calculs!$BX$89)))</f>
        <v/>
      </c>
      <c r="BI145" s="17" t="n"/>
      <c r="BJ145" t="str">
        <f>Calculs!BY89</f>
        <v/>
      </c>
    </row>
    <row r="146" ht="16.5" customHeight="1">
      <c r="A146" s="17" t="n"/>
      <c r="B146" s="112" t="str">
        <f>IF(Calculs!$BX$90="","",Calculs!$BW$90)</f>
        <v/>
      </c>
      <c r="D146" s="113" t="str">
        <f>IF(Calculs!$BX$90="","",INDEX(Charge!$B:$B,Calculs!$BX$90+3)&amp;"")</f>
        <v/>
      </c>
      <c r="L146" s="114" t="str">
        <f>IF(Calculs!$BX$90="","",INDEX(Charge!$C:$C,Calculs!$BX$90+3)&amp;"")</f>
        <v/>
      </c>
      <c r="T146" s="114" t="str">
        <f>IF(Calculs!$BX$90="","",INDEX(Charge!$D:$D,Calculs!$BX$90+3)&amp;"")</f>
        <v/>
      </c>
      <c r="AB146" s="114" t="str">
        <f>IF(Calculs!$BX$90="","",INDEX(Charge!$A:$A,Calculs!$BX$90+3)&amp;"")</f>
        <v/>
      </c>
      <c r="AI146" s="115" t="str">
        <f>IF(Calculs!$BX$90="","",INDEX(Calculs!$ET$4:$ET$503,Calculs!$BX$90))</f>
        <v/>
      </c>
      <c r="AM146" s="116" t="str">
        <f>IF(Calculs!$BX$90="","",INDEX(Calculs!$EP$4:$EP$503,Calculs!$BX$90))</f>
        <v/>
      </c>
      <c r="AR146" s="117" t="str">
        <f>IF(Calculs!$BX$90="","",IF(Calculs!$AL$4=0,0,INDEX(Calculs!$EP$4:$EP$503,Calculs!$BX$90)/Calculs!$AL$4))</f>
        <v/>
      </c>
      <c r="AX146" s="118" t="str">
        <f>IF(Calculs!$BX$90="","",INDEX(Calculs!$EU$4:$EU$503,Calculs!$BX$90))</f>
        <v/>
      </c>
      <c r="BD146" s="119" t="str">
        <f>IF(Calculs!$BX$90="","",IF(INDEX(Calculs!$EW$4:$EW$503,Calculs!$BX$90)&gt;=2958465,"à planifier",INDEX(Calculs!$EW$4:$EW$503,Calculs!$BX$90)))</f>
        <v/>
      </c>
      <c r="BI146" s="17" t="n"/>
      <c r="BJ146" t="str">
        <f>Calculs!BY90</f>
        <v/>
      </c>
    </row>
    <row r="147" ht="16.5" customHeight="1">
      <c r="A147" s="17" t="n"/>
      <c r="B147" s="112" t="str">
        <f>IF(Calculs!$BX$91="","",Calculs!$BW$91)</f>
        <v/>
      </c>
      <c r="D147" s="113" t="str">
        <f>IF(Calculs!$BX$91="","",INDEX(Charge!$B:$B,Calculs!$BX$91+3)&amp;"")</f>
        <v/>
      </c>
      <c r="L147" s="114" t="str">
        <f>IF(Calculs!$BX$91="","",INDEX(Charge!$C:$C,Calculs!$BX$91+3)&amp;"")</f>
        <v/>
      </c>
      <c r="T147" s="114" t="str">
        <f>IF(Calculs!$BX$91="","",INDEX(Charge!$D:$D,Calculs!$BX$91+3)&amp;"")</f>
        <v/>
      </c>
      <c r="AB147" s="114" t="str">
        <f>IF(Calculs!$BX$91="","",INDEX(Charge!$A:$A,Calculs!$BX$91+3)&amp;"")</f>
        <v/>
      </c>
      <c r="AI147" s="115" t="str">
        <f>IF(Calculs!$BX$91="","",INDEX(Calculs!$ET$4:$ET$503,Calculs!$BX$91))</f>
        <v/>
      </c>
      <c r="AM147" s="116" t="str">
        <f>IF(Calculs!$BX$91="","",INDEX(Calculs!$EP$4:$EP$503,Calculs!$BX$91))</f>
        <v/>
      </c>
      <c r="AR147" s="117" t="str">
        <f>IF(Calculs!$BX$91="","",IF(Calculs!$AL$4=0,0,INDEX(Calculs!$EP$4:$EP$503,Calculs!$BX$91)/Calculs!$AL$4))</f>
        <v/>
      </c>
      <c r="AX147" s="118" t="str">
        <f>IF(Calculs!$BX$91="","",INDEX(Calculs!$EU$4:$EU$503,Calculs!$BX$91))</f>
        <v/>
      </c>
      <c r="BD147" s="119" t="str">
        <f>IF(Calculs!$BX$91="","",IF(INDEX(Calculs!$EW$4:$EW$503,Calculs!$BX$91)&gt;=2958465,"à planifier",INDEX(Calculs!$EW$4:$EW$503,Calculs!$BX$91)))</f>
        <v/>
      </c>
      <c r="BI147" s="17" t="n"/>
      <c r="BJ147" t="str">
        <f>Calculs!BY91</f>
        <v/>
      </c>
    </row>
    <row r="148" ht="16.5" customHeight="1">
      <c r="A148" s="17" t="n"/>
      <c r="B148" s="112" t="str">
        <f>IF(Calculs!$BX$92="","",Calculs!$BW$92)</f>
        <v/>
      </c>
      <c r="D148" s="113" t="str">
        <f>IF(Calculs!$BX$92="","",INDEX(Charge!$B:$B,Calculs!$BX$92+3)&amp;"")</f>
        <v/>
      </c>
      <c r="L148" s="114" t="str">
        <f>IF(Calculs!$BX$92="","",INDEX(Charge!$C:$C,Calculs!$BX$92+3)&amp;"")</f>
        <v/>
      </c>
      <c r="T148" s="114" t="str">
        <f>IF(Calculs!$BX$92="","",INDEX(Charge!$D:$D,Calculs!$BX$92+3)&amp;"")</f>
        <v/>
      </c>
      <c r="AB148" s="114" t="str">
        <f>IF(Calculs!$BX$92="","",INDEX(Charge!$A:$A,Calculs!$BX$92+3)&amp;"")</f>
        <v/>
      </c>
      <c r="AI148" s="115" t="str">
        <f>IF(Calculs!$BX$92="","",INDEX(Calculs!$ET$4:$ET$503,Calculs!$BX$92))</f>
        <v/>
      </c>
      <c r="AM148" s="116" t="str">
        <f>IF(Calculs!$BX$92="","",INDEX(Calculs!$EP$4:$EP$503,Calculs!$BX$92))</f>
        <v/>
      </c>
      <c r="AR148" s="117" t="str">
        <f>IF(Calculs!$BX$92="","",IF(Calculs!$AL$4=0,0,INDEX(Calculs!$EP$4:$EP$503,Calculs!$BX$92)/Calculs!$AL$4))</f>
        <v/>
      </c>
      <c r="AX148" s="118" t="str">
        <f>IF(Calculs!$BX$92="","",INDEX(Calculs!$EU$4:$EU$503,Calculs!$BX$92))</f>
        <v/>
      </c>
      <c r="BD148" s="119" t="str">
        <f>IF(Calculs!$BX$92="","",IF(INDEX(Calculs!$EW$4:$EW$503,Calculs!$BX$92)&gt;=2958465,"à planifier",INDEX(Calculs!$EW$4:$EW$503,Calculs!$BX$92)))</f>
        <v/>
      </c>
      <c r="BI148" s="17" t="n"/>
      <c r="BJ148" t="str">
        <f>Calculs!BY92</f>
        <v/>
      </c>
    </row>
    <row r="149" ht="16.5" customHeight="1">
      <c r="A149" s="17" t="n"/>
      <c r="B149" s="112" t="str">
        <f>IF(Calculs!$BX$93="","",Calculs!$BW$93)</f>
        <v/>
      </c>
      <c r="D149" s="113" t="str">
        <f>IF(Calculs!$BX$93="","",INDEX(Charge!$B:$B,Calculs!$BX$93+3)&amp;"")</f>
        <v/>
      </c>
      <c r="L149" s="114" t="str">
        <f>IF(Calculs!$BX$93="","",INDEX(Charge!$C:$C,Calculs!$BX$93+3)&amp;"")</f>
        <v/>
      </c>
      <c r="T149" s="114" t="str">
        <f>IF(Calculs!$BX$93="","",INDEX(Charge!$D:$D,Calculs!$BX$93+3)&amp;"")</f>
        <v/>
      </c>
      <c r="AB149" s="114" t="str">
        <f>IF(Calculs!$BX$93="","",INDEX(Charge!$A:$A,Calculs!$BX$93+3)&amp;"")</f>
        <v/>
      </c>
      <c r="AI149" s="115" t="str">
        <f>IF(Calculs!$BX$93="","",INDEX(Calculs!$ET$4:$ET$503,Calculs!$BX$93))</f>
        <v/>
      </c>
      <c r="AM149" s="116" t="str">
        <f>IF(Calculs!$BX$93="","",INDEX(Calculs!$EP$4:$EP$503,Calculs!$BX$93))</f>
        <v/>
      </c>
      <c r="AR149" s="117" t="str">
        <f>IF(Calculs!$BX$93="","",IF(Calculs!$AL$4=0,0,INDEX(Calculs!$EP$4:$EP$503,Calculs!$BX$93)/Calculs!$AL$4))</f>
        <v/>
      </c>
      <c r="AX149" s="118" t="str">
        <f>IF(Calculs!$BX$93="","",INDEX(Calculs!$EU$4:$EU$503,Calculs!$BX$93))</f>
        <v/>
      </c>
      <c r="BD149" s="119" t="str">
        <f>IF(Calculs!$BX$93="","",IF(INDEX(Calculs!$EW$4:$EW$503,Calculs!$BX$93)&gt;=2958465,"à planifier",INDEX(Calculs!$EW$4:$EW$503,Calculs!$BX$93)))</f>
        <v/>
      </c>
      <c r="BI149" s="17" t="n"/>
      <c r="BJ149" t="str">
        <f>Calculs!BY93</f>
        <v/>
      </c>
    </row>
    <row r="150" ht="16.5" customHeight="1">
      <c r="A150" s="17" t="n"/>
      <c r="B150" s="112" t="str">
        <f>IF(Calculs!$BX$94="","",Calculs!$BW$94)</f>
        <v/>
      </c>
      <c r="D150" s="113" t="str">
        <f>IF(Calculs!$BX$94="","",INDEX(Charge!$B:$B,Calculs!$BX$94+3)&amp;"")</f>
        <v/>
      </c>
      <c r="L150" s="114" t="str">
        <f>IF(Calculs!$BX$94="","",INDEX(Charge!$C:$C,Calculs!$BX$94+3)&amp;"")</f>
        <v/>
      </c>
      <c r="T150" s="114" t="str">
        <f>IF(Calculs!$BX$94="","",INDEX(Charge!$D:$D,Calculs!$BX$94+3)&amp;"")</f>
        <v/>
      </c>
      <c r="AB150" s="114" t="str">
        <f>IF(Calculs!$BX$94="","",INDEX(Charge!$A:$A,Calculs!$BX$94+3)&amp;"")</f>
        <v/>
      </c>
      <c r="AI150" s="115" t="str">
        <f>IF(Calculs!$BX$94="","",INDEX(Calculs!$ET$4:$ET$503,Calculs!$BX$94))</f>
        <v/>
      </c>
      <c r="AM150" s="116" t="str">
        <f>IF(Calculs!$BX$94="","",INDEX(Calculs!$EP$4:$EP$503,Calculs!$BX$94))</f>
        <v/>
      </c>
      <c r="AR150" s="117" t="str">
        <f>IF(Calculs!$BX$94="","",IF(Calculs!$AL$4=0,0,INDEX(Calculs!$EP$4:$EP$503,Calculs!$BX$94)/Calculs!$AL$4))</f>
        <v/>
      </c>
      <c r="AX150" s="118" t="str">
        <f>IF(Calculs!$BX$94="","",INDEX(Calculs!$EU$4:$EU$503,Calculs!$BX$94))</f>
        <v/>
      </c>
      <c r="BD150" s="119" t="str">
        <f>IF(Calculs!$BX$94="","",IF(INDEX(Calculs!$EW$4:$EW$503,Calculs!$BX$94)&gt;=2958465,"à planifier",INDEX(Calculs!$EW$4:$EW$503,Calculs!$BX$94)))</f>
        <v/>
      </c>
      <c r="BI150" s="17" t="n"/>
      <c r="BJ150" t="str">
        <f>Calculs!BY94</f>
        <v/>
      </c>
    </row>
    <row r="151" ht="16.5" customHeight="1">
      <c r="A151" s="17" t="n"/>
      <c r="B151" s="112" t="str">
        <f>IF(Calculs!$BX$95="","",Calculs!$BW$95)</f>
        <v/>
      </c>
      <c r="D151" s="113" t="str">
        <f>IF(Calculs!$BX$95="","",INDEX(Charge!$B:$B,Calculs!$BX$95+3)&amp;"")</f>
        <v/>
      </c>
      <c r="L151" s="114" t="str">
        <f>IF(Calculs!$BX$95="","",INDEX(Charge!$C:$C,Calculs!$BX$95+3)&amp;"")</f>
        <v/>
      </c>
      <c r="T151" s="114" t="str">
        <f>IF(Calculs!$BX$95="","",INDEX(Charge!$D:$D,Calculs!$BX$95+3)&amp;"")</f>
        <v/>
      </c>
      <c r="AB151" s="114" t="str">
        <f>IF(Calculs!$BX$95="","",INDEX(Charge!$A:$A,Calculs!$BX$95+3)&amp;"")</f>
        <v/>
      </c>
      <c r="AI151" s="115" t="str">
        <f>IF(Calculs!$BX$95="","",INDEX(Calculs!$ET$4:$ET$503,Calculs!$BX$95))</f>
        <v/>
      </c>
      <c r="AM151" s="116" t="str">
        <f>IF(Calculs!$BX$95="","",INDEX(Calculs!$EP$4:$EP$503,Calculs!$BX$95))</f>
        <v/>
      </c>
      <c r="AR151" s="117" t="str">
        <f>IF(Calculs!$BX$95="","",IF(Calculs!$AL$4=0,0,INDEX(Calculs!$EP$4:$EP$503,Calculs!$BX$95)/Calculs!$AL$4))</f>
        <v/>
      </c>
      <c r="AX151" s="118" t="str">
        <f>IF(Calculs!$BX$95="","",INDEX(Calculs!$EU$4:$EU$503,Calculs!$BX$95))</f>
        <v/>
      </c>
      <c r="BD151" s="119" t="str">
        <f>IF(Calculs!$BX$95="","",IF(INDEX(Calculs!$EW$4:$EW$503,Calculs!$BX$95)&gt;=2958465,"à planifier",INDEX(Calculs!$EW$4:$EW$503,Calculs!$BX$95)))</f>
        <v/>
      </c>
      <c r="BI151" s="17" t="n"/>
      <c r="BJ151" t="str">
        <f>Calculs!BY95</f>
        <v/>
      </c>
    </row>
    <row r="152" ht="16.5" customHeight="1">
      <c r="A152" s="17" t="n"/>
      <c r="B152" s="112" t="str">
        <f>IF(Calculs!$BX$96="","",Calculs!$BW$96)</f>
        <v/>
      </c>
      <c r="D152" s="113" t="str">
        <f>IF(Calculs!$BX$96="","",INDEX(Charge!$B:$B,Calculs!$BX$96+3)&amp;"")</f>
        <v/>
      </c>
      <c r="L152" s="114" t="str">
        <f>IF(Calculs!$BX$96="","",INDEX(Charge!$C:$C,Calculs!$BX$96+3)&amp;"")</f>
        <v/>
      </c>
      <c r="T152" s="114" t="str">
        <f>IF(Calculs!$BX$96="","",INDEX(Charge!$D:$D,Calculs!$BX$96+3)&amp;"")</f>
        <v/>
      </c>
      <c r="AB152" s="114" t="str">
        <f>IF(Calculs!$BX$96="","",INDEX(Charge!$A:$A,Calculs!$BX$96+3)&amp;"")</f>
        <v/>
      </c>
      <c r="AI152" s="115" t="str">
        <f>IF(Calculs!$BX$96="","",INDEX(Calculs!$ET$4:$ET$503,Calculs!$BX$96))</f>
        <v/>
      </c>
      <c r="AM152" s="116" t="str">
        <f>IF(Calculs!$BX$96="","",INDEX(Calculs!$EP$4:$EP$503,Calculs!$BX$96))</f>
        <v/>
      </c>
      <c r="AR152" s="117" t="str">
        <f>IF(Calculs!$BX$96="","",IF(Calculs!$AL$4=0,0,INDEX(Calculs!$EP$4:$EP$503,Calculs!$BX$96)/Calculs!$AL$4))</f>
        <v/>
      </c>
      <c r="AX152" s="118" t="str">
        <f>IF(Calculs!$BX$96="","",INDEX(Calculs!$EU$4:$EU$503,Calculs!$BX$96))</f>
        <v/>
      </c>
      <c r="BD152" s="119" t="str">
        <f>IF(Calculs!$BX$96="","",IF(INDEX(Calculs!$EW$4:$EW$503,Calculs!$BX$96)&gt;=2958465,"à planifier",INDEX(Calculs!$EW$4:$EW$503,Calculs!$BX$96)))</f>
        <v/>
      </c>
      <c r="BI152" s="17" t="n"/>
      <c r="BJ152" t="str">
        <f>Calculs!BY96</f>
        <v/>
      </c>
    </row>
    <row r="153" ht="16.5" customHeight="1">
      <c r="A153" s="17" t="n"/>
      <c r="B153" s="112" t="str">
        <f>IF(Calculs!$BX$97="","",Calculs!$BW$97)</f>
        <v/>
      </c>
      <c r="D153" s="113" t="str">
        <f>IF(Calculs!$BX$97="","",INDEX(Charge!$B:$B,Calculs!$BX$97+3)&amp;"")</f>
        <v/>
      </c>
      <c r="L153" s="114" t="str">
        <f>IF(Calculs!$BX$97="","",INDEX(Charge!$C:$C,Calculs!$BX$97+3)&amp;"")</f>
        <v/>
      </c>
      <c r="T153" s="114" t="str">
        <f>IF(Calculs!$BX$97="","",INDEX(Charge!$D:$D,Calculs!$BX$97+3)&amp;"")</f>
        <v/>
      </c>
      <c r="AB153" s="114" t="str">
        <f>IF(Calculs!$BX$97="","",INDEX(Charge!$A:$A,Calculs!$BX$97+3)&amp;"")</f>
        <v/>
      </c>
      <c r="AI153" s="115" t="str">
        <f>IF(Calculs!$BX$97="","",INDEX(Calculs!$ET$4:$ET$503,Calculs!$BX$97))</f>
        <v/>
      </c>
      <c r="AM153" s="116" t="str">
        <f>IF(Calculs!$BX$97="","",INDEX(Calculs!$EP$4:$EP$503,Calculs!$BX$97))</f>
        <v/>
      </c>
      <c r="AR153" s="117" t="str">
        <f>IF(Calculs!$BX$97="","",IF(Calculs!$AL$4=0,0,INDEX(Calculs!$EP$4:$EP$503,Calculs!$BX$97)/Calculs!$AL$4))</f>
        <v/>
      </c>
      <c r="AX153" s="118" t="str">
        <f>IF(Calculs!$BX$97="","",INDEX(Calculs!$EU$4:$EU$503,Calculs!$BX$97))</f>
        <v/>
      </c>
      <c r="BD153" s="119" t="str">
        <f>IF(Calculs!$BX$97="","",IF(INDEX(Calculs!$EW$4:$EW$503,Calculs!$BX$97)&gt;=2958465,"à planifier",INDEX(Calculs!$EW$4:$EW$503,Calculs!$BX$97)))</f>
        <v/>
      </c>
      <c r="BI153" s="17" t="n"/>
      <c r="BJ153" t="str">
        <f>Calculs!BY97</f>
        <v/>
      </c>
    </row>
    <row r="154" ht="16.5" customHeight="1">
      <c r="A154" s="17" t="n"/>
      <c r="B154" s="112" t="str">
        <f>IF(Calculs!$BX$98="","",Calculs!$BW$98)</f>
        <v/>
      </c>
      <c r="D154" s="113" t="str">
        <f>IF(Calculs!$BX$98="","",INDEX(Charge!$B:$B,Calculs!$BX$98+3)&amp;"")</f>
        <v/>
      </c>
      <c r="L154" s="114" t="str">
        <f>IF(Calculs!$BX$98="","",INDEX(Charge!$C:$C,Calculs!$BX$98+3)&amp;"")</f>
        <v/>
      </c>
      <c r="T154" s="114" t="str">
        <f>IF(Calculs!$BX$98="","",INDEX(Charge!$D:$D,Calculs!$BX$98+3)&amp;"")</f>
        <v/>
      </c>
      <c r="AB154" s="114" t="str">
        <f>IF(Calculs!$BX$98="","",INDEX(Charge!$A:$A,Calculs!$BX$98+3)&amp;"")</f>
        <v/>
      </c>
      <c r="AI154" s="115" t="str">
        <f>IF(Calculs!$BX$98="","",INDEX(Calculs!$ET$4:$ET$503,Calculs!$BX$98))</f>
        <v/>
      </c>
      <c r="AM154" s="116" t="str">
        <f>IF(Calculs!$BX$98="","",INDEX(Calculs!$EP$4:$EP$503,Calculs!$BX$98))</f>
        <v/>
      </c>
      <c r="AR154" s="117" t="str">
        <f>IF(Calculs!$BX$98="","",IF(Calculs!$AL$4=0,0,INDEX(Calculs!$EP$4:$EP$503,Calculs!$BX$98)/Calculs!$AL$4))</f>
        <v/>
      </c>
      <c r="AX154" s="118" t="str">
        <f>IF(Calculs!$BX$98="","",INDEX(Calculs!$EU$4:$EU$503,Calculs!$BX$98))</f>
        <v/>
      </c>
      <c r="BD154" s="119" t="str">
        <f>IF(Calculs!$BX$98="","",IF(INDEX(Calculs!$EW$4:$EW$503,Calculs!$BX$98)&gt;=2958465,"à planifier",INDEX(Calculs!$EW$4:$EW$503,Calculs!$BX$98)))</f>
        <v/>
      </c>
      <c r="BI154" s="17" t="n"/>
      <c r="BJ154" t="str">
        <f>Calculs!BY98</f>
        <v/>
      </c>
    </row>
    <row r="155" ht="16.5" customHeight="1">
      <c r="A155" s="17" t="n"/>
      <c r="B155" s="112" t="str">
        <f>IF(Calculs!$BX$99="","",Calculs!$BW$99)</f>
        <v/>
      </c>
      <c r="D155" s="113" t="str">
        <f>IF(Calculs!$BX$99="","",INDEX(Charge!$B:$B,Calculs!$BX$99+3)&amp;"")</f>
        <v/>
      </c>
      <c r="L155" s="114" t="str">
        <f>IF(Calculs!$BX$99="","",INDEX(Charge!$C:$C,Calculs!$BX$99+3)&amp;"")</f>
        <v/>
      </c>
      <c r="T155" s="114" t="str">
        <f>IF(Calculs!$BX$99="","",INDEX(Charge!$D:$D,Calculs!$BX$99+3)&amp;"")</f>
        <v/>
      </c>
      <c r="AB155" s="114" t="str">
        <f>IF(Calculs!$BX$99="","",INDEX(Charge!$A:$A,Calculs!$BX$99+3)&amp;"")</f>
        <v/>
      </c>
      <c r="AI155" s="115" t="str">
        <f>IF(Calculs!$BX$99="","",INDEX(Calculs!$ET$4:$ET$503,Calculs!$BX$99))</f>
        <v/>
      </c>
      <c r="AM155" s="116" t="str">
        <f>IF(Calculs!$BX$99="","",INDEX(Calculs!$EP$4:$EP$503,Calculs!$BX$99))</f>
        <v/>
      </c>
      <c r="AR155" s="117" t="str">
        <f>IF(Calculs!$BX$99="","",IF(Calculs!$AL$4=0,0,INDEX(Calculs!$EP$4:$EP$503,Calculs!$BX$99)/Calculs!$AL$4))</f>
        <v/>
      </c>
      <c r="AX155" s="118" t="str">
        <f>IF(Calculs!$BX$99="","",INDEX(Calculs!$EU$4:$EU$503,Calculs!$BX$99))</f>
        <v/>
      </c>
      <c r="BD155" s="119" t="str">
        <f>IF(Calculs!$BX$99="","",IF(INDEX(Calculs!$EW$4:$EW$503,Calculs!$BX$99)&gt;=2958465,"à planifier",INDEX(Calculs!$EW$4:$EW$503,Calculs!$BX$99)))</f>
        <v/>
      </c>
      <c r="BI155" s="17" t="n"/>
      <c r="BJ155" t="str">
        <f>Calculs!BY99</f>
        <v/>
      </c>
    </row>
    <row r="156" ht="16.5" customHeight="1">
      <c r="A156" s="17" t="n"/>
      <c r="B156" s="112" t="str">
        <f>IF(Calculs!$BX$100="","",Calculs!$BW$100)</f>
        <v/>
      </c>
      <c r="D156" s="113" t="str">
        <f>IF(Calculs!$BX$100="","",INDEX(Charge!$B:$B,Calculs!$BX$100+3)&amp;"")</f>
        <v/>
      </c>
      <c r="L156" s="114" t="str">
        <f>IF(Calculs!$BX$100="","",INDEX(Charge!$C:$C,Calculs!$BX$100+3)&amp;"")</f>
        <v/>
      </c>
      <c r="T156" s="114" t="str">
        <f>IF(Calculs!$BX$100="","",INDEX(Charge!$D:$D,Calculs!$BX$100+3)&amp;"")</f>
        <v/>
      </c>
      <c r="AB156" s="114" t="str">
        <f>IF(Calculs!$BX$100="","",INDEX(Charge!$A:$A,Calculs!$BX$100+3)&amp;"")</f>
        <v/>
      </c>
      <c r="AI156" s="115" t="str">
        <f>IF(Calculs!$BX$100="","",INDEX(Calculs!$ET$4:$ET$503,Calculs!$BX$100))</f>
        <v/>
      </c>
      <c r="AM156" s="116" t="str">
        <f>IF(Calculs!$BX$100="","",INDEX(Calculs!$EP$4:$EP$503,Calculs!$BX$100))</f>
        <v/>
      </c>
      <c r="AR156" s="117" t="str">
        <f>IF(Calculs!$BX$100="","",IF(Calculs!$AL$4=0,0,INDEX(Calculs!$EP$4:$EP$503,Calculs!$BX$100)/Calculs!$AL$4))</f>
        <v/>
      </c>
      <c r="AX156" s="118" t="str">
        <f>IF(Calculs!$BX$100="","",INDEX(Calculs!$EU$4:$EU$503,Calculs!$BX$100))</f>
        <v/>
      </c>
      <c r="BD156" s="119" t="str">
        <f>IF(Calculs!$BX$100="","",IF(INDEX(Calculs!$EW$4:$EW$503,Calculs!$BX$100)&gt;=2958465,"à planifier",INDEX(Calculs!$EW$4:$EW$503,Calculs!$BX$100)))</f>
        <v/>
      </c>
      <c r="BI156" s="17" t="n"/>
      <c r="BJ156" t="str">
        <f>Calculs!BY100</f>
        <v/>
      </c>
    </row>
    <row r="157" ht="16.5" customHeight="1">
      <c r="A157" s="17" t="n"/>
      <c r="B157" s="112" t="str">
        <f>IF(Calculs!$BX$101="","",Calculs!$BW$101)</f>
        <v/>
      </c>
      <c r="D157" s="113" t="str">
        <f>IF(Calculs!$BX$101="","",INDEX(Charge!$B:$B,Calculs!$BX$101+3)&amp;"")</f>
        <v/>
      </c>
      <c r="L157" s="114" t="str">
        <f>IF(Calculs!$BX$101="","",INDEX(Charge!$C:$C,Calculs!$BX$101+3)&amp;"")</f>
        <v/>
      </c>
      <c r="T157" s="114" t="str">
        <f>IF(Calculs!$BX$101="","",INDEX(Charge!$D:$D,Calculs!$BX$101+3)&amp;"")</f>
        <v/>
      </c>
      <c r="AB157" s="114" t="str">
        <f>IF(Calculs!$BX$101="","",INDEX(Charge!$A:$A,Calculs!$BX$101+3)&amp;"")</f>
        <v/>
      </c>
      <c r="AI157" s="115" t="str">
        <f>IF(Calculs!$BX$101="","",INDEX(Calculs!$ET$4:$ET$503,Calculs!$BX$101))</f>
        <v/>
      </c>
      <c r="AM157" s="116" t="str">
        <f>IF(Calculs!$BX$101="","",INDEX(Calculs!$EP$4:$EP$503,Calculs!$BX$101))</f>
        <v/>
      </c>
      <c r="AR157" s="117" t="str">
        <f>IF(Calculs!$BX$101="","",IF(Calculs!$AL$4=0,0,INDEX(Calculs!$EP$4:$EP$503,Calculs!$BX$101)/Calculs!$AL$4))</f>
        <v/>
      </c>
      <c r="AX157" s="118" t="str">
        <f>IF(Calculs!$BX$101="","",INDEX(Calculs!$EU$4:$EU$503,Calculs!$BX$101))</f>
        <v/>
      </c>
      <c r="BD157" s="119" t="str">
        <f>IF(Calculs!$BX$101="","",IF(INDEX(Calculs!$EW$4:$EW$503,Calculs!$BX$101)&gt;=2958465,"à planifier",INDEX(Calculs!$EW$4:$EW$503,Calculs!$BX$101)))</f>
        <v/>
      </c>
      <c r="BI157" s="17" t="n"/>
      <c r="BJ157" t="str">
        <f>Calculs!BY101</f>
        <v/>
      </c>
    </row>
    <row r="158" ht="16.5" customHeight="1">
      <c r="A158" s="17" t="n"/>
      <c r="B158" s="112" t="str">
        <f>IF(Calculs!$BX$102="","",Calculs!$BW$102)</f>
        <v/>
      </c>
      <c r="D158" s="113" t="str">
        <f>IF(Calculs!$BX$102="","",INDEX(Charge!$B:$B,Calculs!$BX$102+3)&amp;"")</f>
        <v/>
      </c>
      <c r="L158" s="114" t="str">
        <f>IF(Calculs!$BX$102="","",INDEX(Charge!$C:$C,Calculs!$BX$102+3)&amp;"")</f>
        <v/>
      </c>
      <c r="T158" s="114" t="str">
        <f>IF(Calculs!$BX$102="","",INDEX(Charge!$D:$D,Calculs!$BX$102+3)&amp;"")</f>
        <v/>
      </c>
      <c r="AB158" s="114" t="str">
        <f>IF(Calculs!$BX$102="","",INDEX(Charge!$A:$A,Calculs!$BX$102+3)&amp;"")</f>
        <v/>
      </c>
      <c r="AI158" s="115" t="str">
        <f>IF(Calculs!$BX$102="","",INDEX(Calculs!$ET$4:$ET$503,Calculs!$BX$102))</f>
        <v/>
      </c>
      <c r="AM158" s="116" t="str">
        <f>IF(Calculs!$BX$102="","",INDEX(Calculs!$EP$4:$EP$503,Calculs!$BX$102))</f>
        <v/>
      </c>
      <c r="AR158" s="117" t="str">
        <f>IF(Calculs!$BX$102="","",IF(Calculs!$AL$4=0,0,INDEX(Calculs!$EP$4:$EP$503,Calculs!$BX$102)/Calculs!$AL$4))</f>
        <v/>
      </c>
      <c r="AX158" s="118" t="str">
        <f>IF(Calculs!$BX$102="","",INDEX(Calculs!$EU$4:$EU$503,Calculs!$BX$102))</f>
        <v/>
      </c>
      <c r="BD158" s="119" t="str">
        <f>IF(Calculs!$BX$102="","",IF(INDEX(Calculs!$EW$4:$EW$503,Calculs!$BX$102)&gt;=2958465,"à planifier",INDEX(Calculs!$EW$4:$EW$503,Calculs!$BX$102)))</f>
        <v/>
      </c>
      <c r="BI158" s="17" t="n"/>
      <c r="BJ158" t="str">
        <f>Calculs!BY102</f>
        <v/>
      </c>
    </row>
    <row r="159" ht="16.5" customHeight="1">
      <c r="A159" s="17" t="n"/>
      <c r="B159" s="112" t="str">
        <f>IF(Calculs!$BX$103="","",Calculs!$BW$103)</f>
        <v/>
      </c>
      <c r="D159" s="113" t="str">
        <f>IF(Calculs!$BX$103="","",INDEX(Charge!$B:$B,Calculs!$BX$103+3)&amp;"")</f>
        <v/>
      </c>
      <c r="L159" s="114" t="str">
        <f>IF(Calculs!$BX$103="","",INDEX(Charge!$C:$C,Calculs!$BX$103+3)&amp;"")</f>
        <v/>
      </c>
      <c r="T159" s="114" t="str">
        <f>IF(Calculs!$BX$103="","",INDEX(Charge!$D:$D,Calculs!$BX$103+3)&amp;"")</f>
        <v/>
      </c>
      <c r="AB159" s="114" t="str">
        <f>IF(Calculs!$BX$103="","",INDEX(Charge!$A:$A,Calculs!$BX$103+3)&amp;"")</f>
        <v/>
      </c>
      <c r="AI159" s="115" t="str">
        <f>IF(Calculs!$BX$103="","",INDEX(Calculs!$ET$4:$ET$503,Calculs!$BX$103))</f>
        <v/>
      </c>
      <c r="AM159" s="116" t="str">
        <f>IF(Calculs!$BX$103="","",INDEX(Calculs!$EP$4:$EP$503,Calculs!$BX$103))</f>
        <v/>
      </c>
      <c r="AR159" s="117" t="str">
        <f>IF(Calculs!$BX$103="","",IF(Calculs!$AL$4=0,0,INDEX(Calculs!$EP$4:$EP$503,Calculs!$BX$103)/Calculs!$AL$4))</f>
        <v/>
      </c>
      <c r="AX159" s="118" t="str">
        <f>IF(Calculs!$BX$103="","",INDEX(Calculs!$EU$4:$EU$503,Calculs!$BX$103))</f>
        <v/>
      </c>
      <c r="BD159" s="119" t="str">
        <f>IF(Calculs!$BX$103="","",IF(INDEX(Calculs!$EW$4:$EW$503,Calculs!$BX$103)&gt;=2958465,"à planifier",INDEX(Calculs!$EW$4:$EW$503,Calculs!$BX$103)))</f>
        <v/>
      </c>
      <c r="BI159" s="17" t="n"/>
      <c r="BJ159" t="str">
        <f>Calculs!BY103</f>
        <v/>
      </c>
    </row>
    <row r="160">
      <c r="A160" s="17" t="n"/>
      <c r="B160" s="17" t="n"/>
      <c r="C160" s="17" t="n"/>
      <c r="D160" s="17" t="n"/>
      <c r="E160" s="17" t="n"/>
      <c r="F160" s="17" t="n"/>
      <c r="G160" s="17" t="n"/>
      <c r="H160" s="17" t="n"/>
      <c r="I160" s="17" t="n"/>
      <c r="J160" s="17" t="n"/>
      <c r="K160" s="17" t="n"/>
      <c r="L160" s="17" t="n"/>
      <c r="M160" s="17" t="n"/>
      <c r="N160" s="17" t="n"/>
      <c r="O160" s="17" t="n"/>
      <c r="P160" s="17" t="n"/>
      <c r="Q160" s="17" t="n"/>
      <c r="R160" s="17" t="n"/>
      <c r="S160" s="17" t="n"/>
      <c r="T160" s="17" t="n"/>
      <c r="U160" s="17" t="n"/>
      <c r="V160" s="17" t="n"/>
      <c r="W160" s="17" t="n"/>
      <c r="X160" s="17" t="n"/>
      <c r="Y160" s="17" t="n"/>
      <c r="Z160" s="17" t="n"/>
      <c r="AA160" s="17" t="n"/>
      <c r="AB160" s="17" t="n"/>
      <c r="AC160" s="17" t="n"/>
      <c r="AD160" s="17" t="n"/>
      <c r="AE160" s="17" t="n"/>
      <c r="AF160" s="17" t="n"/>
      <c r="AG160" s="17" t="n"/>
      <c r="AH160" s="17" t="n"/>
      <c r="AI160" s="17" t="n"/>
      <c r="AJ160" s="17" t="n"/>
      <c r="AK160" s="17" t="n"/>
      <c r="AL160" s="17" t="n"/>
      <c r="AM160" s="17" t="n"/>
      <c r="AN160" s="17" t="n"/>
      <c r="AO160" s="17" t="n"/>
      <c r="AP160" s="17" t="n"/>
      <c r="AQ160" s="17" t="n"/>
      <c r="AR160" s="17" t="n"/>
      <c r="AS160" s="17" t="n"/>
      <c r="AT160" s="17" t="n"/>
      <c r="AU160" s="17" t="n"/>
      <c r="AV160" s="17" t="n"/>
      <c r="AW160" s="17" t="n"/>
      <c r="AX160" s="17" t="n"/>
      <c r="AY160" s="17" t="n"/>
      <c r="AZ160" s="17" t="n"/>
      <c r="BA160" s="17" t="n"/>
      <c r="BB160" s="17" t="n"/>
      <c r="BC160" s="17" t="n"/>
      <c r="BD160" s="17" t="n"/>
      <c r="BE160" s="17" t="n"/>
      <c r="BF160" s="17" t="n"/>
      <c r="BG160" s="17" t="n"/>
      <c r="BH160" s="17" t="n"/>
      <c r="BI160" s="17" t="n"/>
    </row>
    <row r="161">
      <c r="A161" s="17" t="n"/>
      <c r="B161" s="120"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7" t="n"/>
    </row>
    <row r="162">
      <c r="A162" s="17" t="n"/>
      <c r="B162" s="121" t="str">
        <f>IF(aide_Dashboard="Oui","Affaire = un sous-projet (projet + sous-projet + produit) : ses lignes sont additionnées ; chef = celui de sa 1re ligne ; avancement = toutes ses lignes pondérées par leurs heures ; reste à faire = heures × (1 − avancement).","")</f>
        <v>Affaire = un sous-projet (projet + sous-projet + produit) : ses lignes sont additionnées ; chef = celui de sa 1re ligne ; avancement = toutes ses lignes pondérées par leurs heures ; reste à faire = heures × (1 − avancement).</v>
      </c>
      <c r="BI162" s="17" t="n"/>
    </row>
    <row r="163">
      <c r="A163" s="17" t="n"/>
      <c r="B163" s="121"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7" t="n"/>
    </row>
    <row r="164">
      <c r="A164" s="17" t="n"/>
      <c r="B164" s="121"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7" t="n"/>
    </row>
    <row r="165">
      <c r="A165" s="17" t="n"/>
      <c r="B165" s="121" t="str">
        <f>IF(aide_Dashboard="Oui","Affaire en retard (avancement en rouge) : date de besoin dépassée sans être à 100 %, ou avancement inférieur de plus de 15 points à l'avancement attendu au prorata des jours ouvrés écoulés depuis le début planifié.","")</f>
        <v>Affaire en retard (avancement en rouge) : date de besoin dépassée sans être à 100 %, ou avancement inférieur de plus de 15 points à l'avancement attendu au prorata des jours ouvrés écoulés depuis le début planifié.</v>
      </c>
      <c r="BI165" s="17" t="n"/>
    </row>
    <row r="166">
      <c r="A166" s="17" t="n"/>
      <c r="B166" s="121" t="str">
        <f>IF(aide_Dashboard="Oui","Pointillés : capacité projets de l'équipe = somme des (capacité − charge fixe) des ressources des listes Data.  ETP = heures ÷ (capacité − charge fixe) d'une personne.  Au-delà de 9 projets : « Autres projets » (gris).","")</f>
        <v>Pointillés : capacité projets de l'équipe = somme des (capacité − charge fixe) des ressources des listes Data.  ETP = heures ÷ (capacité − charge fixe) d'une personne.  Au-delà de 9 projets : « Autres projets » (gris).</v>
      </c>
      <c r="BI166" s="17" t="n"/>
    </row>
    <row r="167" ht="10.5" customHeight="1">
      <c r="A167" s="17" t="n"/>
      <c r="B167" s="17" t="n"/>
      <c r="C167" s="17" t="n"/>
      <c r="D167" s="17" t="n"/>
      <c r="E167" s="17" t="n"/>
      <c r="F167" s="17" t="n"/>
      <c r="G167" s="17" t="n"/>
      <c r="H167" s="17" t="n"/>
      <c r="I167" s="17" t="n"/>
      <c r="J167" s="17" t="n"/>
      <c r="K167" s="17" t="n"/>
      <c r="L167" s="17" t="n"/>
      <c r="M167" s="17" t="n"/>
      <c r="N167" s="17" t="n"/>
      <c r="O167" s="17" t="n"/>
      <c r="P167" s="17" t="n"/>
      <c r="Q167" s="17" t="n"/>
      <c r="R167" s="17" t="n"/>
      <c r="S167" s="17" t="n"/>
      <c r="T167" s="17" t="n"/>
      <c r="U167" s="17" t="n"/>
      <c r="V167" s="17" t="n"/>
      <c r="W167" s="17" t="n"/>
      <c r="X167" s="17" t="n"/>
      <c r="Y167" s="17" t="n"/>
      <c r="Z167" s="17" t="n"/>
      <c r="AA167" s="17" t="n"/>
      <c r="AB167" s="17" t="n"/>
      <c r="AC167" s="17" t="n"/>
      <c r="AD167" s="17" t="n"/>
      <c r="AE167" s="17" t="n"/>
      <c r="AF167" s="17" t="n"/>
      <c r="AG167" s="17" t="n"/>
      <c r="AH167" s="17" t="n"/>
      <c r="AI167" s="17" t="n"/>
      <c r="AJ167" s="17" t="n"/>
      <c r="AK167" s="17" t="n"/>
      <c r="AL167" s="17" t="n"/>
      <c r="AM167" s="17" t="n"/>
      <c r="AN167" s="17" t="n"/>
      <c r="AO167" s="17" t="n"/>
      <c r="AP167" s="17" t="n"/>
      <c r="AQ167" s="17" t="n"/>
      <c r="AR167" s="17" t="n"/>
      <c r="AS167" s="17" t="n"/>
      <c r="AT167" s="17" t="n"/>
      <c r="AU167" s="17" t="n"/>
      <c r="AV167" s="17" t="n"/>
      <c r="AW167" s="17" t="n"/>
      <c r="AX167" s="17" t="n"/>
      <c r="AY167" s="17" t="n"/>
      <c r="AZ167" s="17" t="n"/>
      <c r="BA167" s="17" t="n"/>
      <c r="BB167" s="17" t="n"/>
      <c r="BC167" s="17" t="n"/>
      <c r="BD167" s="17" t="n"/>
      <c r="BE167" s="17" t="n"/>
      <c r="BF167" s="17" t="n"/>
      <c r="BG167" s="17" t="n"/>
      <c r="BH167" s="17" t="n"/>
      <c r="BI167" s="17" t="n"/>
    </row>
  </sheetData>
  <mergeCells count="1170">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C37:R37"/>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C4:AD4"/>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BL9:BQ14"/>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U37:AE37"/>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AE6:AJ6"/>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C29">
    <cfRule type="expression" priority="9" dxfId="4">
      <formula>AND(ISNUMBER($C$29),$C$29&gt;0)</formula>
    </cfRule>
  </conditionalFormatting>
  <conditionalFormatting sqref="AA29">
    <cfRule type="expression" priority="10" dxfId="4">
      <formula>AND(ISNUMBER($AA$29),$AA$29&gt;0)</formula>
    </cfRule>
  </conditionalFormatting>
  <conditionalFormatting sqref="AW43">
    <cfRule type="expression" priority="11" dxfId="3">
      <formula>AX43=""</formula>
    </cfRule>
  </conditionalFormatting>
  <conditionalFormatting sqref="AW44">
    <cfRule type="expression" priority="12" dxfId="3">
      <formula>AX44=""</formula>
    </cfRule>
  </conditionalFormatting>
  <conditionalFormatting sqref="AW45">
    <cfRule type="expression" priority="13" dxfId="3">
      <formula>AX45=""</formula>
    </cfRule>
  </conditionalFormatting>
  <conditionalFormatting sqref="AW46">
    <cfRule type="expression" priority="14" dxfId="3">
      <formula>AX46=""</formula>
    </cfRule>
  </conditionalFormatting>
  <conditionalFormatting sqref="AW47">
    <cfRule type="expression" priority="15" dxfId="3">
      <formula>AX47=""</formula>
    </cfRule>
  </conditionalFormatting>
  <conditionalFormatting sqref="AW48">
    <cfRule type="expression" priority="16" dxfId="3">
      <formula>AX48=""</formula>
    </cfRule>
  </conditionalFormatting>
  <conditionalFormatting sqref="AW49">
    <cfRule type="expression" priority="17" dxfId="3">
      <formula>AX49=""</formula>
    </cfRule>
  </conditionalFormatting>
  <conditionalFormatting sqref="AW50">
    <cfRule type="expression" priority="18" dxfId="3">
      <formula>AX50=""</formula>
    </cfRule>
  </conditionalFormatting>
  <conditionalFormatting sqref="AW51">
    <cfRule type="expression" priority="19" dxfId="3">
      <formula>AX51=""</formula>
    </cfRule>
  </conditionalFormatting>
  <conditionalFormatting sqref="B60:BH159">
    <cfRule type="expression" priority="20" dxfId="5">
      <formula>AND($B60&lt;&gt;"",MOD(ROW(),2)=0)</formula>
    </cfRule>
    <cfRule type="expression" priority="21" dxfId="6">
      <formula>$B60&lt;&gt;""</formula>
    </cfRule>
  </conditionalFormatting>
  <conditionalFormatting sqref="AR60:AR159">
    <cfRule type="dataBar" priority="22">
      <dataBar showValue="1">
        <cfvo type="num" val="0"/>
        <cfvo type="max"/>
        <color rgb="0086B6EF"/>
      </dataBar>
    </cfRule>
  </conditionalFormatting>
  <conditionalFormatting sqref="AX60:AX159">
    <cfRule type="dataBar" priority="23">
      <dataBar showValue="1">
        <cfvo type="num" val="0"/>
        <cfvo type="num" val="1"/>
        <color rgb="007FD1AE"/>
      </dataBar>
    </cfRule>
    <cfRule type="expression" priority="24" dxfId="4">
      <formula>AND(ISNUMBER($BJ60),$BJ60&gt;0)</formula>
    </cfRule>
  </conditionalFormatting>
  <dataValidations count="5">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s>
  <printOptions horizontalCentered="1"/>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Q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CHARGE PAR RESSOURCE (DESSINATEURS ET EXTERNES)</t>
        </is>
      </c>
      <c r="AQ2" s="18" t="n"/>
      <c r="AR2" s="18" t="n"/>
      <c r="AS2" s="18" t="n"/>
      <c r="AT2" s="18" t="n"/>
      <c r="AU2" s="18" t="n"/>
      <c r="AV2" s="18" t="n"/>
      <c r="AW2" s="18" t="n"/>
      <c r="AX2" s="18" t="n"/>
      <c r="AY2" s="18" t="n"/>
      <c r="AZ2" s="18" t="n"/>
      <c r="BA2" s="20" t="n"/>
      <c r="BH2" s="18" t="n"/>
      <c r="BI2" s="17" t="n"/>
    </row>
    <row r="3" ht="16" customHeight="1">
      <c r="A3" s="17" t="n"/>
      <c r="B3" s="18" t="n"/>
      <c r="C3" s="21" t="inlineStr">
        <is>
          <t>Charge fixe hors projet + heures de ses lignes dans l'onglet Charge, comparées à la capacité mensuelle de la personne.</t>
        </is>
      </c>
      <c r="AS3" s="18" t="n"/>
      <c r="AT3" s="22" t="n"/>
      <c r="BH3" s="18" t="n"/>
      <c r="BI3" s="17" t="n"/>
    </row>
    <row r="4" ht="16" customHeight="1">
      <c r="A4" s="17" t="n"/>
      <c r="B4" s="18" t="n"/>
      <c r="C4" s="23" t="str">
        <f>IF(Calculs!$CD$4="","",Calculs!$CD$4&amp;IF(Calculs!$CD$25="Externe"," (ressource externe)","")&amp;"  ·  ")&amp;"Périmètre : "&amp;Calculs!$CD$21</f>
        <v>Lucas Garnier  ·  Périmètre : Projets en cours</v>
      </c>
      <c r="AE4" s="18" t="n"/>
      <c r="AF4" s="24"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5" t="inlineStr">
        <is>
          <t>Ressource</t>
        </is>
      </c>
      <c r="C6" s="26" t="n"/>
      <c r="D6" s="26" t="n"/>
      <c r="E6" s="26" t="n"/>
      <c r="F6" s="26" t="n"/>
      <c r="G6" s="122" t="inlineStr">
        <is>
          <t>Lucas Garnier</t>
        </is>
      </c>
      <c r="H6" s="28" t="n"/>
      <c r="I6" s="28" t="n"/>
      <c r="J6" s="28" t="n"/>
      <c r="K6" s="28" t="n"/>
      <c r="L6" s="28" t="n"/>
      <c r="M6" s="28" t="n"/>
      <c r="N6" s="28" t="n"/>
      <c r="O6" s="28" t="n"/>
      <c r="P6" s="28" t="n"/>
      <c r="Q6" s="28" t="n"/>
      <c r="R6" s="29" t="n"/>
      <c r="S6" s="30" t="n"/>
      <c r="T6" s="31" t="inlineStr">
        <is>
          <t>Capacité</t>
        </is>
      </c>
      <c r="U6" s="26" t="n"/>
      <c r="V6" s="26" t="n"/>
      <c r="W6" s="26" t="n"/>
      <c r="X6" s="123">
        <f>Calculs!$CD$6</f>
        <v>120</v>
      </c>
      <c r="Y6" s="26" t="n"/>
      <c r="Z6" s="26" t="n"/>
      <c r="AA6" s="26" t="n"/>
      <c r="AB6" s="30" t="n"/>
      <c r="AC6" s="31" t="inlineStr">
        <is>
          <t>Charge fixe</t>
        </is>
      </c>
      <c r="AD6" s="26" t="n"/>
      <c r="AE6" s="26" t="n"/>
      <c r="AF6" s="26" t="n"/>
      <c r="AG6" s="26" t="n"/>
      <c r="AH6" s="123">
        <f>Calculs!$CD$7</f>
        <v>20</v>
      </c>
      <c r="AI6" s="26" t="n"/>
      <c r="AJ6" s="26" t="n"/>
      <c r="AK6" s="30" t="n"/>
      <c r="AL6" s="31" t="inlineStr">
        <is>
          <t>Dispo. projets</t>
        </is>
      </c>
      <c r="AM6" s="26" t="n"/>
      <c r="AN6" s="26" t="n"/>
      <c r="AO6" s="26" t="n"/>
      <c r="AP6" s="26" t="n"/>
      <c r="AQ6" s="26" t="n"/>
      <c r="AR6" s="26" t="n"/>
      <c r="AS6" s="124">
        <f>Calculs!$CD$8</f>
        <v>100</v>
      </c>
      <c r="AT6" s="26" t="n"/>
      <c r="AU6" s="26" t="n"/>
      <c r="AV6" s="26" t="n"/>
      <c r="AW6" s="30" t="n"/>
      <c r="AX6" s="125">
        <f>Calculs!$CD$22</f>
        <v>46266.0</v>
      </c>
      <c r="AY6" s="26" t="n"/>
      <c r="AZ6" s="26" t="n"/>
      <c r="BA6" s="26" t="n"/>
      <c r="BB6" s="26" t="n"/>
      <c r="BC6" s="26" t="n"/>
      <c r="BD6" s="26" t="n"/>
      <c r="BE6" s="26" t="n"/>
      <c r="BF6" s="26" t="n"/>
      <c r="BG6" s="26" t="n"/>
      <c r="BH6" s="46" t="n"/>
      <c r="BI6" s="17" t="n"/>
    </row>
    <row r="7" ht="14" customHeight="1">
      <c r="A7" s="17" t="n"/>
      <c r="B7" s="34" t="n"/>
      <c r="C7" s="35" t="n"/>
      <c r="D7" s="35" t="n"/>
      <c r="E7" s="35" t="n"/>
      <c r="F7" s="35" t="n"/>
      <c r="G7" s="36" t="str">
        <f>IF(Calculs!$CD$25="Hors liste","Absent des listes Data : réglages par défaut",IF(aide_Dessinateurs&lt;&gt;"Oui","",IF(Calculs!$CD$25="Externe","Ressource externe (Data, colonne H)","Dessinateur interne (Data, colonne E)")))</f>
        <v>Dessinateur interne (Data, colonne E)</v>
      </c>
      <c r="H7" s="37" t="n"/>
      <c r="I7" s="37" t="n"/>
      <c r="J7" s="37" t="n"/>
      <c r="K7" s="37" t="n"/>
      <c r="L7" s="37" t="n"/>
      <c r="M7" s="37" t="n"/>
      <c r="N7" s="37" t="n"/>
      <c r="O7" s="37" t="n"/>
      <c r="P7" s="37" t="n"/>
      <c r="Q7" s="37" t="n"/>
      <c r="R7" s="37" t="n"/>
      <c r="S7" s="35" t="n"/>
      <c r="T7" s="36" t="str">
        <f>IF(aide_Dessinateurs="Oui","par mois · valeurs propres à la personne (Data, colonnes F-G ou I-J) ou valeurs par défaut du Dashboard","")</f>
        <v>par mois · valeurs propres à la personne (Data, colonnes F-G ou I-J) ou valeurs par défaut du Dashboard</v>
      </c>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T7" s="37" t="n"/>
      <c r="AU7" s="37" t="n"/>
      <c r="AV7" s="37" t="n"/>
      <c r="AW7" s="35" t="n"/>
      <c r="AX7" s="126" t="str">
        <f>"Périmètre : "&amp;Calculs!$CD$21</f>
        <v>Périmètre : Projets en cours</v>
      </c>
      <c r="AY7" s="37" t="n"/>
      <c r="AZ7" s="37" t="n"/>
      <c r="BA7" s="37" t="n"/>
      <c r="BB7" s="37" t="n"/>
      <c r="BC7" s="37" t="n"/>
      <c r="BD7" s="37" t="n"/>
      <c r="BE7" s="37" t="n"/>
      <c r="BF7" s="37" t="n"/>
      <c r="BG7" s="37" t="n"/>
      <c r="BH7" s="81" t="n"/>
      <c r="BI7" s="17" t="n"/>
    </row>
    <row r="8" ht="24" customHeight="1">
      <c r="A8" s="17" t="n"/>
      <c r="B8" s="41" t="str">
        <f>IF(Calculs!$CD$4="","SYNTHÈSE — choisir une ressource","SYNTHÈSE — "&amp;UPPER(Calculs!$CD$4)&amp;IF(Calculs!$CD$25="Externe","  (RESSOURCE EXTERNE)",""))</f>
        <v>SYNTHÈSE — LUCAS GARNIER</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2" t="n"/>
      <c r="AA8" s="42" t="n"/>
      <c r="AB8" s="42" t="n"/>
      <c r="AC8" s="42" t="n"/>
      <c r="AD8" s="42" t="n"/>
      <c r="AE8" s="42" t="n"/>
      <c r="AF8" s="43" t="str">
        <f>IF(Calculs!$CD$27&gt;0,"Attention : "&amp;Calculs!$CD$27&amp;" ligne(s) de Charge ont un dessinateur ET une ressource externe (en rouge dans Charge)","")</f>
        <v/>
      </c>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85" t="n"/>
      <c r="C10" s="86" t="n"/>
      <c r="D10" s="86" t="n"/>
      <c r="E10" s="86" t="n"/>
      <c r="F10" s="86" t="n"/>
      <c r="G10" s="86" t="n"/>
      <c r="H10" s="86" t="n"/>
      <c r="I10" s="86" t="n"/>
      <c r="J10" s="86" t="n"/>
      <c r="K10" s="86" t="n"/>
      <c r="L10" s="87" t="n"/>
      <c r="M10" s="17" t="n"/>
      <c r="N10" s="85" t="n"/>
      <c r="O10" s="86" t="n"/>
      <c r="P10" s="86" t="n"/>
      <c r="Q10" s="86" t="n"/>
      <c r="R10" s="86" t="n"/>
      <c r="S10" s="86" t="n"/>
      <c r="T10" s="86" t="n"/>
      <c r="U10" s="86" t="n"/>
      <c r="V10" s="86" t="n"/>
      <c r="W10" s="86" t="n"/>
      <c r="X10" s="87" t="n"/>
      <c r="Y10" s="17" t="n"/>
      <c r="Z10" s="85" t="n"/>
      <c r="AA10" s="86" t="n"/>
      <c r="AB10" s="86" t="n"/>
      <c r="AC10" s="86" t="n"/>
      <c r="AD10" s="86" t="n"/>
      <c r="AE10" s="86" t="n"/>
      <c r="AF10" s="86" t="n"/>
      <c r="AG10" s="86" t="n"/>
      <c r="AH10" s="86" t="n"/>
      <c r="AI10" s="86" t="n"/>
      <c r="AJ10" s="87" t="n"/>
      <c r="AK10" s="17" t="n"/>
      <c r="AL10" s="85" t="n"/>
      <c r="AM10" s="86" t="n"/>
      <c r="AN10" s="86" t="n"/>
      <c r="AO10" s="86" t="n"/>
      <c r="AP10" s="86" t="n"/>
      <c r="AQ10" s="86" t="n"/>
      <c r="AR10" s="86" t="n"/>
      <c r="AS10" s="86" t="n"/>
      <c r="AT10" s="86" t="n"/>
      <c r="AU10" s="86" t="n"/>
      <c r="AV10" s="87" t="n"/>
      <c r="AW10" s="17" t="n"/>
      <c r="AX10" s="85" t="n"/>
      <c r="AY10" s="86" t="n"/>
      <c r="AZ10" s="86" t="n"/>
      <c r="BA10" s="86" t="n"/>
      <c r="BB10" s="86" t="n"/>
      <c r="BC10" s="86" t="n"/>
      <c r="BD10" s="86" t="n"/>
      <c r="BE10" s="86" t="n"/>
      <c r="BF10" s="86" t="n"/>
      <c r="BG10" s="86" t="n"/>
      <c r="BH10" s="87" t="n"/>
      <c r="BI10" s="17" t="n"/>
    </row>
    <row r="11" ht="18" customHeight="1">
      <c r="A11" s="17" t="n"/>
      <c r="B11" s="50" t="n"/>
      <c r="C11" s="51" t="inlineStr">
        <is>
          <t>CAPACITÉ MENSUELLE</t>
        </is>
      </c>
      <c r="L11" s="52" t="n"/>
      <c r="M11" s="17" t="n"/>
      <c r="N11" s="50" t="n"/>
      <c r="O11" s="51" t="inlineStr">
        <is>
          <t>CHARGE PROJETS AFFECTÉE</t>
        </is>
      </c>
      <c r="X11" s="52" t="n"/>
      <c r="Y11" s="17" t="n"/>
      <c r="Z11" s="50" t="n"/>
      <c r="AA11" s="51" t="inlineStr">
        <is>
          <t>MOIS LE PLUS CHARGÉ</t>
        </is>
      </c>
      <c r="AJ11" s="52" t="n"/>
      <c r="AK11" s="17" t="n"/>
      <c r="AL11" s="50" t="n"/>
      <c r="AM11" s="51" t="inlineStr">
        <is>
          <t>MOIS EN SURCHARGE</t>
        </is>
      </c>
      <c r="AV11" s="52" t="n"/>
      <c r="AW11" s="17" t="n"/>
      <c r="AX11" s="50" t="n"/>
      <c r="AY11" s="51" t="inlineStr">
        <is>
          <t>OCCUPATION MOYENNE</t>
        </is>
      </c>
      <c r="BH11" s="52" t="n"/>
      <c r="BI11" s="17" t="n"/>
    </row>
    <row r="12" ht="34" customHeight="1">
      <c r="A12" s="17" t="n"/>
      <c r="B12" s="50" t="n"/>
      <c r="C12" s="89">
        <f>Calculs!$CD$6</f>
        <v>120</v>
      </c>
      <c r="L12" s="52" t="n"/>
      <c r="M12" s="17" t="n"/>
      <c r="N12" s="50" t="n"/>
      <c r="O12" s="89">
        <f>Calculs!$CD$9</f>
        <v>420</v>
      </c>
      <c r="X12" s="52" t="n"/>
      <c r="Y12" s="17" t="n"/>
      <c r="Z12" s="50" t="n"/>
      <c r="AA12" s="127">
        <f>IF(OR(Calculs!$CD$4="",Calculs!$CD$11=0),"—",Calculs!$CD$14)</f>
        <v>46327.0</v>
      </c>
      <c r="AJ12" s="52" t="n"/>
      <c r="AK12" s="17" t="n"/>
      <c r="AL12" s="50" t="n"/>
      <c r="AM12" s="88">
        <f>Calculs!$CD$16</f>
        <v>1</v>
      </c>
      <c r="AV12" s="52" t="n"/>
      <c r="AW12" s="17" t="n"/>
      <c r="AX12" s="50" t="n"/>
      <c r="AY12" s="91">
        <f>Calculs!$CD$19</f>
        <v>0.458333333333333</v>
      </c>
      <c r="BH12" s="52" t="n"/>
      <c r="BI12" s="17" t="n"/>
    </row>
    <row r="13" ht="15" customHeight="1">
      <c r="A13" s="17" t="n"/>
      <c r="B13" s="50" t="n"/>
      <c r="C13" s="128">
        <f>Calculs!$CD$7</f>
        <v>20</v>
      </c>
      <c r="L13" s="52" t="n"/>
      <c r="M13" s="17" t="n"/>
      <c r="N13" s="50" t="n"/>
      <c r="O13" s="129">
        <f>Calculs!$CD$10</f>
        <v>2</v>
      </c>
      <c r="X13" s="52" t="n"/>
      <c r="Y13" s="17" t="n"/>
      <c r="Z13" s="50" t="n"/>
      <c r="AA13" s="130">
        <f>Calculs!$CD$12</f>
        <v>121.969696969697</v>
      </c>
      <c r="AJ13" s="52" t="n"/>
      <c r="AK13" s="17" t="n"/>
      <c r="AL13" s="50" t="n"/>
      <c r="AM13" s="131">
        <f>Calculs!$CD$17</f>
        <v>2</v>
      </c>
      <c r="AV13" s="52" t="n"/>
      <c r="AW13" s="17" t="n"/>
      <c r="AX13" s="50" t="n"/>
      <c r="AY13" s="132">
        <f>Calculs!$CD$18</f>
        <v>782</v>
      </c>
      <c r="BH13" s="52" t="n"/>
      <c r="BI13" s="17" t="n"/>
    </row>
    <row r="14" ht="15" customHeight="1">
      <c r="A14" s="17" t="n"/>
      <c r="B14" s="50" t="n"/>
      <c r="C14" s="133">
        <f>IF(AND(Calculs!$CD$4&lt;&gt;"",Calculs!$CD$7&gt;=Calculs!$CD$6),"Attention : charge fixe ≥ capacité",Calculs!$CD$8)</f>
        <v>100</v>
      </c>
      <c r="L14" s="52" t="n"/>
      <c r="M14" s="17" t="n"/>
      <c r="N14" s="50" t="n"/>
      <c r="O14" s="134">
        <f>Calculs!$CD$11</f>
        <v>420</v>
      </c>
      <c r="X14" s="52" t="n"/>
      <c r="Y14" s="17" t="n"/>
      <c r="Z14" s="50" t="n"/>
      <c r="AA14" s="135">
        <f>Calculs!$CD$15</f>
        <v>1.01666666666667</v>
      </c>
      <c r="AJ14" s="52" t="n"/>
      <c r="AK14" s="17" t="n"/>
      <c r="AL14" s="50" t="n"/>
      <c r="AM14" s="136">
        <f>IF(Calculs!$CD$16=0,"Aucun dépassement prévu",Calculs!$CD$20)</f>
        <v>46327.0</v>
      </c>
      <c r="AV14" s="52" t="n"/>
      <c r="AW14" s="17" t="n"/>
      <c r="AX14" s="50" t="n"/>
      <c r="AY14" s="96" t="inlineStr">
        <is>
          <t>sur les 12 mois affichés</t>
        </is>
      </c>
      <c r="BH14" s="52" t="n"/>
      <c r="BI14" s="17" t="n"/>
    </row>
    <row r="15" ht="8" customHeight="1">
      <c r="A15" s="17" t="n"/>
      <c r="B15" s="34" t="n"/>
      <c r="C15" s="35" t="n"/>
      <c r="D15" s="35" t="n"/>
      <c r="E15" s="35" t="n"/>
      <c r="F15" s="35" t="n"/>
      <c r="G15" s="35" t="n"/>
      <c r="H15" s="35" t="n"/>
      <c r="I15" s="35" t="n"/>
      <c r="J15" s="35" t="n"/>
      <c r="K15" s="35" t="n"/>
      <c r="L15" s="81" t="n"/>
      <c r="M15" s="17" t="n"/>
      <c r="N15" s="34" t="n"/>
      <c r="O15" s="35" t="n"/>
      <c r="P15" s="35" t="n"/>
      <c r="Q15" s="35" t="n"/>
      <c r="R15" s="35" t="n"/>
      <c r="S15" s="35" t="n"/>
      <c r="T15" s="35" t="n"/>
      <c r="U15" s="35" t="n"/>
      <c r="V15" s="35" t="n"/>
      <c r="W15" s="35" t="n"/>
      <c r="X15" s="81" t="n"/>
      <c r="Y15" s="17" t="n"/>
      <c r="Z15" s="34" t="n"/>
      <c r="AA15" s="35" t="n"/>
      <c r="AB15" s="35" t="n"/>
      <c r="AC15" s="35" t="n"/>
      <c r="AD15" s="35" t="n"/>
      <c r="AE15" s="35" t="n"/>
      <c r="AF15" s="35" t="n"/>
      <c r="AG15" s="35" t="n"/>
      <c r="AH15" s="35" t="n"/>
      <c r="AI15" s="35" t="n"/>
      <c r="AJ15" s="81" t="n"/>
      <c r="AK15" s="17" t="n"/>
      <c r="AL15" s="34" t="n"/>
      <c r="AM15" s="35" t="n"/>
      <c r="AN15" s="35" t="n"/>
      <c r="AO15" s="35" t="n"/>
      <c r="AP15" s="35" t="n"/>
      <c r="AQ15" s="35" t="n"/>
      <c r="AR15" s="35" t="n"/>
      <c r="AS15" s="35" t="n"/>
      <c r="AT15" s="35" t="n"/>
      <c r="AU15" s="35" t="n"/>
      <c r="AV15" s="81" t="n"/>
      <c r="AW15" s="17" t="n"/>
      <c r="AX15" s="34" t="n"/>
      <c r="AY15" s="35" t="n"/>
      <c r="AZ15" s="35" t="n"/>
      <c r="BA15" s="35" t="n"/>
      <c r="BB15" s="35" t="n"/>
      <c r="BC15" s="35" t="n"/>
      <c r="BD15" s="35" t="n"/>
      <c r="BE15" s="35" t="n"/>
      <c r="BF15" s="35" t="n"/>
      <c r="BG15" s="35" t="n"/>
      <c r="BH15" s="81" t="n"/>
      <c r="BI15" s="17" t="n"/>
    </row>
    <row r="16" ht="14" customHeight="1">
      <c r="A16" s="17" t="n"/>
      <c r="B16" s="17" t="n"/>
      <c r="C16" s="17" t="n"/>
      <c r="D16" s="17" t="n"/>
      <c r="E16" s="17" t="n"/>
      <c r="F16" s="17" t="n"/>
      <c r="G16" s="17" t="n"/>
      <c r="H16" s="17" t="n"/>
      <c r="I16" s="17" t="n"/>
      <c r="J16" s="17" t="n"/>
      <c r="K16" s="17" t="n"/>
      <c r="L16" s="17" t="n"/>
      <c r="M16" s="17" t="n"/>
      <c r="N16" s="17" t="n"/>
      <c r="O16" s="17" t="n"/>
      <c r="P16" s="17" t="n"/>
      <c r="Q16" s="17" t="n"/>
      <c r="R16" s="17" t="n"/>
      <c r="S16" s="17" t="n"/>
      <c r="T16" s="17" t="n"/>
      <c r="U16" s="17" t="n"/>
      <c r="V16" s="17" t="n"/>
      <c r="W16" s="17" t="n"/>
      <c r="X16" s="17" t="n"/>
      <c r="Y16" s="17" t="n"/>
      <c r="Z16" s="17" t="n"/>
      <c r="AA16" s="17" t="n"/>
      <c r="AB16" s="17" t="n"/>
      <c r="AC16" s="17" t="n"/>
      <c r="AD16" s="17" t="n"/>
      <c r="AE16" s="17" t="n"/>
      <c r="AF16" s="17" t="n"/>
      <c r="AG16" s="17" t="n"/>
      <c r="AH16" s="17" t="n"/>
      <c r="AI16" s="17" t="n"/>
      <c r="AJ16" s="17" t="n"/>
      <c r="AK16" s="17" t="n"/>
      <c r="AL16" s="17" t="n"/>
      <c r="AM16" s="17" t="n"/>
      <c r="AN16" s="17" t="n"/>
      <c r="AO16" s="17" t="n"/>
      <c r="AP16" s="17" t="n"/>
      <c r="AQ16" s="17" t="n"/>
      <c r="AR16" s="17" t="n"/>
      <c r="AS16" s="17" t="n"/>
      <c r="AT16" s="17" t="n"/>
      <c r="AU16" s="17" t="n"/>
      <c r="AV16" s="17" t="n"/>
      <c r="AW16" s="17" t="n"/>
      <c r="AX16" s="17" t="n"/>
      <c r="AY16" s="17" t="n"/>
      <c r="AZ16" s="17" t="n"/>
      <c r="BA16" s="17" t="n"/>
      <c r="BB16" s="17" t="n"/>
      <c r="BC16" s="17" t="n"/>
      <c r="BD16" s="17" t="n"/>
      <c r="BE16" s="17" t="n"/>
      <c r="BF16" s="17" t="n"/>
      <c r="BG16" s="17" t="n"/>
      <c r="BH16" s="17" t="n"/>
      <c r="BI16" s="17" t="n"/>
    </row>
    <row r="17" ht="20" customHeight="1">
      <c r="A17" s="17" t="n"/>
      <c r="B17" s="41" t="inlineStr">
        <is>
          <t>CHARGE MENSUELLE</t>
        </is>
      </c>
      <c r="C17" s="42" t="n"/>
      <c r="D17" s="42" t="n"/>
      <c r="E17" s="42" t="n"/>
      <c r="F17" s="42" t="n"/>
      <c r="G17" s="42" t="n"/>
      <c r="H17" s="42" t="n"/>
      <c r="I17" s="42" t="n"/>
      <c r="J17" s="42" t="n"/>
      <c r="K17" s="42" t="n"/>
      <c r="L17" s="42" t="n"/>
      <c r="M17" s="42" t="n"/>
      <c r="N17" s="42" t="n"/>
      <c r="O17" s="42" t="n"/>
      <c r="P17" s="42" t="n"/>
      <c r="Q17" s="42" t="n"/>
      <c r="R17" s="42" t="n"/>
      <c r="S17" s="42" t="n"/>
      <c r="T17" s="42" t="n"/>
      <c r="U17" s="42" t="n"/>
      <c r="V17" s="42" t="n"/>
      <c r="W17" s="42" t="n"/>
      <c r="X17" s="42" t="n"/>
      <c r="Y17" s="42" t="n"/>
      <c r="Z17" s="42" t="n"/>
      <c r="AA17" s="42" t="n"/>
      <c r="AB17" s="42" t="n"/>
      <c r="AC17" s="42" t="n"/>
      <c r="AD17" s="42" t="n"/>
      <c r="AE17" s="42" t="n"/>
      <c r="AF17" s="42" t="n"/>
      <c r="AG17" s="42" t="n"/>
      <c r="AH17" s="42" t="n"/>
      <c r="AI17" s="42" t="n"/>
      <c r="AJ17" s="42" t="n"/>
      <c r="AK17" s="42" t="n"/>
      <c r="AL17" s="42" t="n"/>
      <c r="AM17" s="42" t="n"/>
      <c r="AN17" s="42" t="n"/>
      <c r="AO17" s="42" t="n"/>
      <c r="AP17" s="42" t="n"/>
      <c r="AQ17" s="42" t="n"/>
      <c r="AR17" s="42" t="n"/>
      <c r="AS17" s="42" t="n"/>
      <c r="AT17" s="42" t="n"/>
      <c r="AU17" s="42" t="n"/>
      <c r="AV17" s="42" t="n"/>
      <c r="AW17" s="42" t="n"/>
      <c r="AX17" s="42" t="n"/>
      <c r="AY17" s="42" t="n"/>
      <c r="AZ17" s="42" t="n"/>
      <c r="BA17" s="42" t="n"/>
      <c r="BB17" s="42" t="n"/>
      <c r="BC17" s="42" t="n"/>
      <c r="BD17" s="42" t="n"/>
      <c r="BE17" s="42" t="n"/>
      <c r="BF17" s="42" t="n"/>
      <c r="BG17" s="42" t="n"/>
      <c r="BH17" s="42" t="n"/>
      <c r="BI17" s="17" t="n"/>
    </row>
    <row r="18" ht="6" customHeight="1">
      <c r="A18" s="17" t="n"/>
      <c r="B18" s="17" t="n"/>
      <c r="C18" s="17" t="n"/>
      <c r="D18" s="17" t="n"/>
      <c r="E18" s="17" t="n"/>
      <c r="F18" s="17" t="n"/>
      <c r="G18" s="17" t="n"/>
      <c r="H18" s="17" t="n"/>
      <c r="I18" s="17" t="n"/>
      <c r="J18" s="17" t="n"/>
      <c r="K18" s="17" t="n"/>
      <c r="L18" s="17" t="n"/>
      <c r="M18" s="17" t="n"/>
      <c r="N18" s="17" t="n"/>
      <c r="O18" s="17" t="n"/>
      <c r="P18" s="17" t="n"/>
      <c r="Q18" s="17" t="n"/>
      <c r="R18" s="17" t="n"/>
      <c r="S18" s="17" t="n"/>
      <c r="T18" s="17" t="n"/>
      <c r="U18" s="17" t="n"/>
      <c r="V18" s="17" t="n"/>
      <c r="W18" s="17" t="n"/>
      <c r="X18" s="17" t="n"/>
      <c r="Y18" s="17" t="n"/>
      <c r="Z18" s="17" t="n"/>
      <c r="AA18" s="17" t="n"/>
      <c r="AB18" s="17" t="n"/>
      <c r="AC18" s="17" t="n"/>
      <c r="AD18" s="17" t="n"/>
      <c r="AE18" s="17" t="n"/>
      <c r="AF18" s="17" t="n"/>
      <c r="AG18" s="17" t="n"/>
      <c r="AH18" s="17" t="n"/>
      <c r="AI18" s="17" t="n"/>
      <c r="AJ18" s="17" t="n"/>
      <c r="AK18" s="17" t="n"/>
      <c r="AL18" s="17" t="n"/>
      <c r="AM18" s="17" t="n"/>
      <c r="AN18" s="17" t="n"/>
      <c r="AO18" s="17" t="n"/>
      <c r="AP18" s="17" t="n"/>
      <c r="AQ18" s="17" t="n"/>
      <c r="AR18" s="17" t="n"/>
      <c r="AS18" s="17" t="n"/>
      <c r="AT18" s="17" t="n"/>
      <c r="AU18" s="17" t="n"/>
      <c r="AV18" s="17" t="n"/>
      <c r="AW18" s="17" t="n"/>
      <c r="AX18" s="17" t="n"/>
      <c r="AY18" s="17" t="n"/>
      <c r="AZ18" s="17" t="n"/>
      <c r="BA18" s="17" t="n"/>
      <c r="BB18" s="17" t="n"/>
      <c r="BC18" s="17" t="n"/>
      <c r="BD18" s="17" t="n"/>
      <c r="BE18" s="17" t="n"/>
      <c r="BF18" s="17" t="n"/>
      <c r="BG18" s="17" t="n"/>
      <c r="BH18" s="17" t="n"/>
      <c r="BI18" s="17" t="n"/>
    </row>
    <row r="19" ht="6" customHeight="1">
      <c r="A19" s="17" t="n"/>
      <c r="B19" s="45" t="n"/>
      <c r="C19" s="30" t="n"/>
      <c r="D19" s="30" t="n"/>
      <c r="E19" s="30" t="n"/>
      <c r="F19" s="30" t="n"/>
      <c r="G19" s="30" t="n"/>
      <c r="H19" s="30" t="n"/>
      <c r="I19" s="30" t="n"/>
      <c r="J19" s="30" t="n"/>
      <c r="K19" s="30" t="n"/>
      <c r="L19" s="30" t="n"/>
      <c r="M19" s="30" t="n"/>
      <c r="N19" s="30" t="n"/>
      <c r="O19" s="30" t="n"/>
      <c r="P19" s="30" t="n"/>
      <c r="Q19" s="30" t="n"/>
      <c r="R19" s="30" t="n"/>
      <c r="S19" s="30" t="n"/>
      <c r="T19" s="30" t="n"/>
      <c r="U19" s="30" t="n"/>
      <c r="V19" s="30" t="n"/>
      <c r="W19" s="30" t="n"/>
      <c r="X19" s="30" t="n"/>
      <c r="Y19" s="30" t="n"/>
      <c r="Z19" s="30" t="n"/>
      <c r="AA19" s="30" t="n"/>
      <c r="AB19" s="30" t="n"/>
      <c r="AC19" s="30" t="n"/>
      <c r="AD19" s="30" t="n"/>
      <c r="AE19" s="30" t="n"/>
      <c r="AF19" s="30" t="n"/>
      <c r="AG19" s="30" t="n"/>
      <c r="AH19" s="30" t="n"/>
      <c r="AI19" s="30" t="n"/>
      <c r="AJ19" s="30" t="n"/>
      <c r="AK19" s="30" t="n"/>
      <c r="AL19" s="30" t="n"/>
      <c r="AM19" s="30" t="n"/>
      <c r="AN19" s="30" t="n"/>
      <c r="AO19" s="30" t="n"/>
      <c r="AP19" s="30" t="n"/>
      <c r="AQ19" s="30" t="n"/>
      <c r="AR19" s="30" t="n"/>
      <c r="AS19" s="30" t="n"/>
      <c r="AT19" s="30" t="n"/>
      <c r="AU19" s="30" t="n"/>
      <c r="AV19" s="30" t="n"/>
      <c r="AW19" s="30" t="n"/>
      <c r="AX19" s="30" t="n"/>
      <c r="AY19" s="30" t="n"/>
      <c r="AZ19" s="30" t="n"/>
      <c r="BA19" s="30" t="n"/>
      <c r="BB19" s="30" t="n"/>
      <c r="BC19" s="30" t="n"/>
      <c r="BD19" s="30" t="n"/>
      <c r="BE19" s="30" t="n"/>
      <c r="BF19" s="30" t="n"/>
      <c r="BG19" s="30" t="n"/>
      <c r="BH19" s="46" t="n"/>
      <c r="BI19" s="17" t="n"/>
    </row>
    <row r="20" ht="18" customHeight="1">
      <c r="A20" s="17" t="n"/>
      <c r="B20" s="50" t="n"/>
      <c r="C20" s="51" t="str">
        <f>IF(Calculs!$CD$4="","CHARGE MENSUELLE (HEURES)","CHARGE MENSUELLE DE "&amp;UPPER(Calculs!$CD$4)&amp;" (HEURES)")</f>
        <v>CHARGE MENSUELLE DE LUCAS GARNIER (HEURES)</v>
      </c>
      <c r="AQ20" s="72" t="n"/>
      <c r="AR20" s="72" t="n"/>
      <c r="AS20" s="72" t="n"/>
      <c r="AT20" s="72" t="n"/>
      <c r="AU20" s="72" t="n"/>
      <c r="AV20" s="72" t="n"/>
      <c r="AW20" s="72" t="n"/>
      <c r="AX20" s="72" t="n"/>
      <c r="AY20" s="72" t="n"/>
      <c r="AZ20" s="72" t="n"/>
      <c r="BA20" s="72" t="n"/>
      <c r="BB20" s="72" t="n"/>
      <c r="BC20" s="72" t="n"/>
      <c r="BD20" s="72" t="n"/>
      <c r="BE20" s="72" t="n"/>
      <c r="BF20" s="72" t="n"/>
      <c r="BG20" s="72" t="n"/>
      <c r="BH20" s="52" t="n"/>
      <c r="BI20" s="17" t="n"/>
    </row>
    <row r="21" ht="16" customHeight="1">
      <c r="A21" s="17" t="n"/>
      <c r="B21" s="50" t="n"/>
      <c r="C21" s="137" t="n"/>
      <c r="D21" s="138" t="inlineStr">
        <is>
          <t>Charge fixe hors projet</t>
        </is>
      </c>
      <c r="M21" s="72" t="n"/>
      <c r="N21" s="66" t="n"/>
      <c r="O21" s="138" t="inlineStr">
        <is>
          <t>Charge projets</t>
        </is>
      </c>
      <c r="X21" s="72" t="n"/>
      <c r="Y21" s="139" t="n"/>
      <c r="Z21" s="138" t="inlineStr">
        <is>
          <t>Dépassement de capacité</t>
        </is>
      </c>
      <c r="AI21" s="72" t="n"/>
      <c r="AJ21" s="72" t="n"/>
      <c r="AK21" s="100" t="n"/>
      <c r="AL21" s="100" t="n"/>
      <c r="AM21" s="138" t="inlineStr">
        <is>
          <t>Capacité mensuelle</t>
        </is>
      </c>
      <c r="AX21" s="72" t="n"/>
      <c r="AY21" s="72" t="n"/>
      <c r="AZ21" s="72" t="n"/>
      <c r="BA21" s="72" t="n"/>
      <c r="BB21" s="72" t="n"/>
      <c r="BC21" s="72" t="n"/>
      <c r="BD21" s="72" t="n"/>
      <c r="BE21" s="72" t="n"/>
      <c r="BF21" s="72" t="n"/>
      <c r="BG21" s="72" t="n"/>
      <c r="BH21" s="52" t="n"/>
      <c r="BI21" s="17" t="n"/>
    </row>
    <row r="22" ht="15" customHeight="1">
      <c r="A22" s="17" t="n"/>
      <c r="B22" s="50" t="n"/>
      <c r="C22" s="72" t="n"/>
      <c r="D22" s="72" t="n"/>
      <c r="E22" s="72" t="n"/>
      <c r="F22" s="72" t="n"/>
      <c r="G22" s="72" t="n"/>
      <c r="H22" s="72" t="n"/>
      <c r="I22" s="72" t="n"/>
      <c r="J22" s="72" t="n"/>
      <c r="K22" s="72" t="n"/>
      <c r="L22" s="72" t="n"/>
      <c r="M22" s="72" t="n"/>
      <c r="N22" s="72" t="n"/>
      <c r="O22" s="72" t="n"/>
      <c r="P22" s="72" t="n"/>
      <c r="Q22" s="72" t="n"/>
      <c r="R22" s="72" t="n"/>
      <c r="S22" s="72" t="n"/>
      <c r="T22" s="72" t="n"/>
      <c r="U22" s="72" t="n"/>
      <c r="V22" s="72" t="n"/>
      <c r="W22" s="72" t="n"/>
      <c r="X22" s="72" t="n"/>
      <c r="Y22" s="72" t="n"/>
      <c r="Z22" s="72" t="n"/>
      <c r="AA22" s="72" t="n"/>
      <c r="AB22" s="72" t="n"/>
      <c r="AC22" s="72" t="n"/>
      <c r="AD22" s="72" t="n"/>
      <c r="AE22" s="72" t="n"/>
      <c r="AF22" s="72" t="n"/>
      <c r="AG22" s="72" t="n"/>
      <c r="AH22" s="72" t="n"/>
      <c r="AI22" s="72" t="n"/>
      <c r="AJ22" s="72" t="n"/>
      <c r="AK22" s="72" t="n"/>
      <c r="AL22" s="72" t="n"/>
      <c r="AM22" s="72" t="n"/>
      <c r="AN22" s="72" t="n"/>
      <c r="AO22" s="72" t="n"/>
      <c r="AP22" s="72" t="n"/>
      <c r="AQ22" s="72" t="n"/>
      <c r="AR22" s="72" t="n"/>
      <c r="AS22" s="72" t="n"/>
      <c r="AT22" s="72" t="n"/>
      <c r="AU22" s="72" t="n"/>
      <c r="AV22" s="72" t="n"/>
      <c r="AW22" s="72" t="n"/>
      <c r="AX22" s="72" t="n"/>
      <c r="AY22" s="72" t="n"/>
      <c r="AZ22" s="72" t="n"/>
      <c r="BA22" s="72" t="n"/>
      <c r="BB22" s="72" t="n"/>
      <c r="BC22" s="72" t="n"/>
      <c r="BD22" s="72" t="n"/>
      <c r="BE22" s="72" t="n"/>
      <c r="BF22" s="72" t="n"/>
      <c r="BG22" s="72" t="n"/>
      <c r="BH22" s="52" t="n"/>
      <c r="BI22" s="17" t="n"/>
    </row>
    <row r="23" ht="15" customHeight="1">
      <c r="A23" s="17" t="n"/>
      <c r="B23" s="50" t="n"/>
      <c r="C23" s="72" t="n"/>
      <c r="D23" s="72" t="n"/>
      <c r="E23" s="72" t="n"/>
      <c r="F23" s="72" t="n"/>
      <c r="G23" s="72" t="n"/>
      <c r="H23" s="72" t="n"/>
      <c r="I23" s="72" t="n"/>
      <c r="J23" s="72" t="n"/>
      <c r="K23" s="72" t="n"/>
      <c r="L23" s="72" t="n"/>
      <c r="M23" s="72" t="n"/>
      <c r="N23" s="72" t="n"/>
      <c r="O23" s="72" t="n"/>
      <c r="P23" s="72" t="n"/>
      <c r="Q23" s="72" t="n"/>
      <c r="R23" s="72" t="n"/>
      <c r="S23" s="72" t="n"/>
      <c r="T23" s="72" t="n"/>
      <c r="U23" s="72" t="n"/>
      <c r="V23" s="72" t="n"/>
      <c r="W23" s="72" t="n"/>
      <c r="X23" s="72" t="n"/>
      <c r="Y23" s="72" t="n"/>
      <c r="Z23" s="72" t="n"/>
      <c r="AA23" s="72" t="n"/>
      <c r="AB23" s="72" t="n"/>
      <c r="AC23" s="72" t="n"/>
      <c r="AD23" s="72" t="n"/>
      <c r="AE23" s="72" t="n"/>
      <c r="AF23" s="72" t="n"/>
      <c r="AG23" s="72" t="n"/>
      <c r="AH23" s="72" t="n"/>
      <c r="AI23" s="72" t="n"/>
      <c r="AJ23" s="72" t="n"/>
      <c r="AK23" s="72" t="n"/>
      <c r="AL23" s="72" t="n"/>
      <c r="AM23" s="72" t="n"/>
      <c r="AN23" s="72" t="n"/>
      <c r="AO23" s="72" t="n"/>
      <c r="AP23" s="72" t="n"/>
      <c r="AQ23" s="72" t="n"/>
      <c r="AR23" s="72" t="n"/>
      <c r="AS23" s="72" t="n"/>
      <c r="AT23" s="72" t="n"/>
      <c r="AU23" s="72" t="n"/>
      <c r="AV23" s="72" t="n"/>
      <c r="AW23" s="72" t="n"/>
      <c r="AX23" s="72" t="n"/>
      <c r="AY23" s="72" t="n"/>
      <c r="AZ23" s="72" t="n"/>
      <c r="BA23" s="72" t="n"/>
      <c r="BB23" s="72" t="n"/>
      <c r="BC23" s="72" t="n"/>
      <c r="BD23" s="72" t="n"/>
      <c r="BE23" s="72" t="n"/>
      <c r="BF23" s="72" t="n"/>
      <c r="BG23" s="72" t="n"/>
      <c r="BH23" s="52" t="n"/>
      <c r="BI23" s="17" t="n"/>
    </row>
    <row r="24" ht="15" customHeight="1">
      <c r="A24" s="17" t="n"/>
      <c r="B24" s="50" t="n"/>
      <c r="C24" s="72" t="n"/>
      <c r="D24" s="72" t="n"/>
      <c r="E24" s="72" t="n"/>
      <c r="F24" s="72" t="n"/>
      <c r="G24" s="72" t="n"/>
      <c r="H24" s="72" t="n"/>
      <c r="I24" s="72" t="n"/>
      <c r="J24" s="72" t="n"/>
      <c r="K24" s="72" t="n"/>
      <c r="L24" s="72" t="n"/>
      <c r="M24" s="72" t="n"/>
      <c r="N24" s="72" t="n"/>
      <c r="O24" s="72" t="n"/>
      <c r="P24" s="72" t="n"/>
      <c r="Q24" s="72" t="n"/>
      <c r="R24" s="72" t="n"/>
      <c r="S24" s="72" t="n"/>
      <c r="T24" s="72" t="n"/>
      <c r="U24" s="72" t="n"/>
      <c r="V24" s="72" t="n"/>
      <c r="W24" s="72" t="n"/>
      <c r="X24" s="72" t="n"/>
      <c r="Y24" s="72" t="n"/>
      <c r="Z24" s="72" t="n"/>
      <c r="AA24" s="72" t="n"/>
      <c r="AB24" s="72" t="n"/>
      <c r="AC24" s="72" t="n"/>
      <c r="AD24" s="72" t="n"/>
      <c r="AE24" s="72" t="n"/>
      <c r="AF24" s="72" t="n"/>
      <c r="AG24" s="72" t="n"/>
      <c r="AH24" s="72" t="n"/>
      <c r="AI24" s="72" t="n"/>
      <c r="AJ24" s="72" t="n"/>
      <c r="AK24" s="72" t="n"/>
      <c r="AL24" s="72" t="n"/>
      <c r="AM24" s="72" t="n"/>
      <c r="AN24" s="72" t="n"/>
      <c r="AO24" s="72" t="n"/>
      <c r="AP24" s="72" t="n"/>
      <c r="AQ24" s="72" t="n"/>
      <c r="AR24" s="72" t="n"/>
      <c r="AS24" s="72" t="n"/>
      <c r="AT24" s="72" t="n"/>
      <c r="AU24" s="72" t="n"/>
      <c r="AV24" s="72" t="n"/>
      <c r="AW24" s="72" t="n"/>
      <c r="AX24" s="72" t="n"/>
      <c r="AY24" s="72" t="n"/>
      <c r="AZ24" s="72" t="n"/>
      <c r="BA24" s="72" t="n"/>
      <c r="BB24" s="72" t="n"/>
      <c r="BC24" s="72" t="n"/>
      <c r="BD24" s="72" t="n"/>
      <c r="BE24" s="72" t="n"/>
      <c r="BF24" s="72" t="n"/>
      <c r="BG24" s="72" t="n"/>
      <c r="BH24" s="52" t="n"/>
      <c r="BI24" s="17" t="n"/>
    </row>
    <row r="25" ht="15" customHeight="1">
      <c r="A25" s="17" t="n"/>
      <c r="B25" s="50" t="n"/>
      <c r="C25" s="72" t="n"/>
      <c r="D25" s="72" t="n"/>
      <c r="E25" s="72" t="n"/>
      <c r="F25" s="72" t="n"/>
      <c r="G25" s="72" t="n"/>
      <c r="H25" s="72" t="n"/>
      <c r="I25" s="72" t="n"/>
      <c r="J25" s="72" t="n"/>
      <c r="K25" s="72" t="n"/>
      <c r="L25" s="72" t="n"/>
      <c r="M25" s="72" t="n"/>
      <c r="N25" s="72" t="n"/>
      <c r="O25" s="72" t="n"/>
      <c r="P25" s="72" t="n"/>
      <c r="Q25" s="72" t="n"/>
      <c r="R25" s="72" t="n"/>
      <c r="S25" s="72" t="n"/>
      <c r="T25" s="72" t="n"/>
      <c r="U25" s="72" t="n"/>
      <c r="V25" s="72" t="n"/>
      <c r="W25" s="72" t="n"/>
      <c r="X25" s="72" t="n"/>
      <c r="Y25" s="72" t="n"/>
      <c r="Z25" s="72" t="n"/>
      <c r="AA25" s="72" t="n"/>
      <c r="AB25" s="72" t="n"/>
      <c r="AC25" s="72" t="n"/>
      <c r="AD25" s="72" t="n"/>
      <c r="AE25" s="72" t="n"/>
      <c r="AF25" s="72" t="n"/>
      <c r="AG25" s="72" t="n"/>
      <c r="AH25" s="72" t="n"/>
      <c r="AI25" s="72" t="n"/>
      <c r="AJ25" s="72" t="n"/>
      <c r="AK25" s="72" t="n"/>
      <c r="AL25" s="72" t="n"/>
      <c r="AM25" s="72" t="n"/>
      <c r="AN25" s="72" t="n"/>
      <c r="AO25" s="72" t="n"/>
      <c r="AP25" s="72" t="n"/>
      <c r="AQ25" s="72" t="n"/>
      <c r="AR25" s="72" t="n"/>
      <c r="AS25" s="72" t="n"/>
      <c r="AT25" s="72" t="n"/>
      <c r="AU25" s="72" t="n"/>
      <c r="AV25" s="72" t="n"/>
      <c r="AW25" s="72" t="n"/>
      <c r="AX25" s="72" t="n"/>
      <c r="AY25" s="72" t="n"/>
      <c r="AZ25" s="72" t="n"/>
      <c r="BA25" s="72" t="n"/>
      <c r="BB25" s="72" t="n"/>
      <c r="BC25" s="72" t="n"/>
      <c r="BD25" s="72" t="n"/>
      <c r="BE25" s="72" t="n"/>
      <c r="BF25" s="72" t="n"/>
      <c r="BG25" s="72" t="n"/>
      <c r="BH25" s="52" t="n"/>
      <c r="BI25" s="17" t="n"/>
    </row>
    <row r="26" ht="15" customHeight="1">
      <c r="A26" s="17" t="n"/>
      <c r="B26" s="50" t="n"/>
      <c r="C26" s="72" t="n"/>
      <c r="D26" s="72" t="n"/>
      <c r="E26" s="72" t="n"/>
      <c r="F26" s="72" t="n"/>
      <c r="G26" s="72" t="n"/>
      <c r="H26" s="72" t="n"/>
      <c r="I26" s="72" t="n"/>
      <c r="J26" s="72" t="n"/>
      <c r="K26" s="72" t="n"/>
      <c r="L26" s="72" t="n"/>
      <c r="M26" s="72" t="n"/>
      <c r="N26" s="72" t="n"/>
      <c r="O26" s="72" t="n"/>
      <c r="P26" s="72" t="n"/>
      <c r="Q26" s="72" t="n"/>
      <c r="R26" s="72" t="n"/>
      <c r="S26" s="72" t="n"/>
      <c r="T26" s="72" t="n"/>
      <c r="U26" s="72" t="n"/>
      <c r="V26" s="72" t="n"/>
      <c r="W26" s="72" t="n"/>
      <c r="X26" s="72" t="n"/>
      <c r="Y26" s="72" t="n"/>
      <c r="Z26" s="72" t="n"/>
      <c r="AA26" s="72" t="n"/>
      <c r="AB26" s="72" t="n"/>
      <c r="AC26" s="72" t="n"/>
      <c r="AD26" s="72" t="n"/>
      <c r="AE26" s="72" t="n"/>
      <c r="AF26" s="72" t="n"/>
      <c r="AG26" s="72" t="n"/>
      <c r="AH26" s="72" t="n"/>
      <c r="AI26" s="72" t="n"/>
      <c r="AJ26" s="72" t="n"/>
      <c r="AK26" s="72" t="n"/>
      <c r="AL26" s="72" t="n"/>
      <c r="AM26" s="72" t="n"/>
      <c r="AN26" s="72" t="n"/>
      <c r="AO26" s="72" t="n"/>
      <c r="AP26" s="72" t="n"/>
      <c r="AQ26" s="72" t="n"/>
      <c r="AR26" s="72" t="n"/>
      <c r="AS26" s="72" t="n"/>
      <c r="AT26" s="72" t="n"/>
      <c r="AU26" s="72" t="n"/>
      <c r="AV26" s="72" t="n"/>
      <c r="AW26" s="72" t="n"/>
      <c r="AX26" s="72" t="n"/>
      <c r="AY26" s="72" t="n"/>
      <c r="AZ26" s="72" t="n"/>
      <c r="BA26" s="72" t="n"/>
      <c r="BB26" s="72" t="n"/>
      <c r="BC26" s="72" t="n"/>
      <c r="BD26" s="72" t="n"/>
      <c r="BE26" s="72" t="n"/>
      <c r="BF26" s="72" t="n"/>
      <c r="BG26" s="72" t="n"/>
      <c r="BH26" s="52" t="n"/>
      <c r="BI26" s="17" t="n"/>
    </row>
    <row r="27" ht="15" customHeight="1">
      <c r="A27" s="17" t="n"/>
      <c r="B27" s="50" t="n"/>
      <c r="C27" s="72" t="n"/>
      <c r="D27" s="72" t="n"/>
      <c r="E27" s="72" t="n"/>
      <c r="F27" s="72" t="n"/>
      <c r="G27" s="72" t="n"/>
      <c r="H27" s="72" t="n"/>
      <c r="I27" s="72" t="n"/>
      <c r="J27" s="72" t="n"/>
      <c r="K27" s="72" t="n"/>
      <c r="L27" s="72" t="n"/>
      <c r="M27" s="72" t="n"/>
      <c r="N27" s="72" t="n"/>
      <c r="O27" s="72" t="n"/>
      <c r="P27" s="72" t="n"/>
      <c r="Q27" s="72" t="n"/>
      <c r="R27" s="72" t="n"/>
      <c r="S27" s="72" t="n"/>
      <c r="T27" s="72" t="n"/>
      <c r="U27" s="72" t="n"/>
      <c r="V27" s="72" t="n"/>
      <c r="W27" s="72" t="n"/>
      <c r="X27" s="72" t="n"/>
      <c r="Y27" s="72" t="n"/>
      <c r="Z27" s="72" t="n"/>
      <c r="AA27" s="72" t="n"/>
      <c r="AB27" s="72" t="n"/>
      <c r="AC27" s="72" t="n"/>
      <c r="AD27" s="72" t="n"/>
      <c r="AE27" s="72" t="n"/>
      <c r="AF27" s="72" t="n"/>
      <c r="AG27" s="72" t="n"/>
      <c r="AH27" s="72" t="n"/>
      <c r="AI27" s="72" t="n"/>
      <c r="AJ27" s="72" t="n"/>
      <c r="AK27" s="72" t="n"/>
      <c r="AL27" s="72" t="n"/>
      <c r="AM27" s="72" t="n"/>
      <c r="AN27" s="72" t="n"/>
      <c r="AO27" s="72" t="n"/>
      <c r="AP27" s="72" t="n"/>
      <c r="AQ27" s="72" t="n"/>
      <c r="AR27" s="72" t="n"/>
      <c r="AS27" s="72" t="n"/>
      <c r="AT27" s="72" t="n"/>
      <c r="AU27" s="72" t="n"/>
      <c r="AV27" s="72" t="n"/>
      <c r="AW27" s="72" t="n"/>
      <c r="AX27" s="72" t="n"/>
      <c r="AY27" s="72" t="n"/>
      <c r="AZ27" s="72" t="n"/>
      <c r="BA27" s="72" t="n"/>
      <c r="BB27" s="72" t="n"/>
      <c r="BC27" s="72" t="n"/>
      <c r="BD27" s="72" t="n"/>
      <c r="BE27" s="72" t="n"/>
      <c r="BF27" s="72" t="n"/>
      <c r="BG27" s="72" t="n"/>
      <c r="BH27" s="52" t="n"/>
      <c r="BI27" s="17" t="n"/>
    </row>
    <row r="28" ht="15" customHeight="1">
      <c r="A28" s="17" t="n"/>
      <c r="B28" s="50" t="n"/>
      <c r="C28" s="72" t="n"/>
      <c r="D28" s="72" t="n"/>
      <c r="E28" s="72" t="n"/>
      <c r="F28" s="72" t="n"/>
      <c r="G28" s="72" t="n"/>
      <c r="H28" s="72" t="n"/>
      <c r="I28" s="72" t="n"/>
      <c r="J28" s="72" t="n"/>
      <c r="K28" s="72" t="n"/>
      <c r="L28" s="72" t="n"/>
      <c r="M28" s="72" t="n"/>
      <c r="N28" s="72" t="n"/>
      <c r="O28" s="72" t="n"/>
      <c r="P28" s="72" t="n"/>
      <c r="Q28" s="72" t="n"/>
      <c r="R28" s="72" t="n"/>
      <c r="S28" s="72" t="n"/>
      <c r="T28" s="72" t="n"/>
      <c r="U28" s="72" t="n"/>
      <c r="V28" s="72" t="n"/>
      <c r="W28" s="72" t="n"/>
      <c r="X28" s="72" t="n"/>
      <c r="Y28" s="72" t="n"/>
      <c r="Z28" s="72" t="n"/>
      <c r="AA28" s="72" t="n"/>
      <c r="AB28" s="72" t="n"/>
      <c r="AC28" s="72" t="n"/>
      <c r="AD28" s="72" t="n"/>
      <c r="AE28" s="72" t="n"/>
      <c r="AF28" s="72" t="n"/>
      <c r="AG28" s="72" t="n"/>
      <c r="AH28" s="72" t="n"/>
      <c r="AI28" s="72" t="n"/>
      <c r="AJ28" s="72" t="n"/>
      <c r="AK28" s="72" t="n"/>
      <c r="AL28" s="72" t="n"/>
      <c r="AM28" s="72" t="n"/>
      <c r="AN28" s="72" t="n"/>
      <c r="AO28" s="72" t="n"/>
      <c r="AP28" s="72" t="n"/>
      <c r="AQ28" s="72" t="n"/>
      <c r="AR28" s="72" t="n"/>
      <c r="AS28" s="72" t="n"/>
      <c r="AT28" s="72" t="n"/>
      <c r="AU28" s="72" t="n"/>
      <c r="AV28" s="72" t="n"/>
      <c r="AW28" s="72" t="n"/>
      <c r="AX28" s="72" t="n"/>
      <c r="AY28" s="72" t="n"/>
      <c r="AZ28" s="72" t="n"/>
      <c r="BA28" s="72" t="n"/>
      <c r="BB28" s="72" t="n"/>
      <c r="BC28" s="72" t="n"/>
      <c r="BD28" s="72" t="n"/>
      <c r="BE28" s="72" t="n"/>
      <c r="BF28" s="72" t="n"/>
      <c r="BG28" s="72" t="n"/>
      <c r="BH28" s="52" t="n"/>
      <c r="BI28" s="17" t="n"/>
    </row>
    <row r="29" ht="15" customHeight="1">
      <c r="A29" s="17" t="n"/>
      <c r="B29" s="50" t="n"/>
      <c r="C29" s="72" t="n"/>
      <c r="D29" s="72" t="n"/>
      <c r="E29" s="72" t="n"/>
      <c r="F29" s="72" t="n"/>
      <c r="G29" s="72" t="n"/>
      <c r="H29" s="72" t="n"/>
      <c r="I29" s="72" t="n"/>
      <c r="J29" s="72" t="n"/>
      <c r="K29" s="72" t="n"/>
      <c r="L29" s="72" t="n"/>
      <c r="M29" s="72" t="n"/>
      <c r="N29" s="72" t="n"/>
      <c r="O29" s="72" t="n"/>
      <c r="P29" s="72" t="n"/>
      <c r="Q29" s="72" t="n"/>
      <c r="R29" s="72" t="n"/>
      <c r="S29" s="72" t="n"/>
      <c r="T29" s="72" t="n"/>
      <c r="U29" s="72" t="n"/>
      <c r="V29" s="72" t="n"/>
      <c r="W29" s="72" t="n"/>
      <c r="X29" s="72" t="n"/>
      <c r="Y29" s="72" t="n"/>
      <c r="Z29" s="72" t="n"/>
      <c r="AA29" s="72" t="n"/>
      <c r="AB29" s="72" t="n"/>
      <c r="AC29" s="72" t="n"/>
      <c r="AD29" s="72" t="n"/>
      <c r="AE29" s="72" t="n"/>
      <c r="AF29" s="72" t="n"/>
      <c r="AG29" s="72" t="n"/>
      <c r="AH29" s="72" t="n"/>
      <c r="AI29" s="72" t="n"/>
      <c r="AJ29" s="72" t="n"/>
      <c r="AK29" s="72" t="n"/>
      <c r="AL29" s="72" t="n"/>
      <c r="AM29" s="72" t="n"/>
      <c r="AN29" s="72" t="n"/>
      <c r="AO29" s="72" t="n"/>
      <c r="AP29" s="72" t="n"/>
      <c r="AQ29" s="72" t="n"/>
      <c r="AR29" s="72" t="n"/>
      <c r="AS29" s="72" t="n"/>
      <c r="AT29" s="72" t="n"/>
      <c r="AU29" s="72" t="n"/>
      <c r="AV29" s="72" t="n"/>
      <c r="AW29" s="72" t="n"/>
      <c r="AX29" s="72" t="n"/>
      <c r="AY29" s="72" t="n"/>
      <c r="AZ29" s="72" t="n"/>
      <c r="BA29" s="72" t="n"/>
      <c r="BB29" s="72" t="n"/>
      <c r="BC29" s="72" t="n"/>
      <c r="BD29" s="72" t="n"/>
      <c r="BE29" s="72" t="n"/>
      <c r="BF29" s="72" t="n"/>
      <c r="BG29" s="72" t="n"/>
      <c r="BH29" s="52" t="n"/>
      <c r="BI29" s="17" t="n"/>
    </row>
    <row r="30" ht="15" customHeight="1">
      <c r="A30" s="17" t="n"/>
      <c r="B30" s="50" t="n"/>
      <c r="C30" s="72" t="n"/>
      <c r="D30" s="72" t="n"/>
      <c r="E30" s="72" t="n"/>
      <c r="F30" s="72" t="n"/>
      <c r="G30" s="72" t="n"/>
      <c r="H30" s="72" t="n"/>
      <c r="I30" s="72" t="n"/>
      <c r="J30" s="72" t="n"/>
      <c r="K30" s="72" t="n"/>
      <c r="L30" s="72" t="n"/>
      <c r="M30" s="72" t="n"/>
      <c r="N30" s="72" t="n"/>
      <c r="O30" s="72" t="n"/>
      <c r="P30" s="72" t="n"/>
      <c r="Q30" s="72" t="n"/>
      <c r="R30" s="72" t="n"/>
      <c r="S30" s="72" t="n"/>
      <c r="T30" s="72" t="n"/>
      <c r="U30" s="72" t="n"/>
      <c r="V30" s="72" t="n"/>
      <c r="W30" s="72" t="n"/>
      <c r="X30" s="72" t="n"/>
      <c r="Y30" s="72" t="n"/>
      <c r="Z30" s="72" t="n"/>
      <c r="AA30" s="72" t="n"/>
      <c r="AB30" s="72" t="n"/>
      <c r="AC30" s="72" t="n"/>
      <c r="AD30" s="72" t="n"/>
      <c r="AE30" s="72" t="n"/>
      <c r="AF30" s="72" t="n"/>
      <c r="AG30" s="72" t="n"/>
      <c r="AH30" s="72" t="n"/>
      <c r="AI30" s="72" t="n"/>
      <c r="AJ30" s="72" t="n"/>
      <c r="AK30" s="72" t="n"/>
      <c r="AL30" s="72" t="n"/>
      <c r="AM30" s="72" t="n"/>
      <c r="AN30" s="72" t="n"/>
      <c r="AO30" s="72" t="n"/>
      <c r="AP30" s="72" t="n"/>
      <c r="AQ30" s="72" t="n"/>
      <c r="AR30" s="72" t="n"/>
      <c r="AS30" s="72" t="n"/>
      <c r="AT30" s="72" t="n"/>
      <c r="AU30" s="72" t="n"/>
      <c r="AV30" s="72" t="n"/>
      <c r="AW30" s="72" t="n"/>
      <c r="AX30" s="72" t="n"/>
      <c r="AY30" s="72" t="n"/>
      <c r="AZ30" s="72" t="n"/>
      <c r="BA30" s="72" t="n"/>
      <c r="BB30" s="72" t="n"/>
      <c r="BC30" s="72" t="n"/>
      <c r="BD30" s="72" t="n"/>
      <c r="BE30" s="72" t="n"/>
      <c r="BF30" s="72" t="n"/>
      <c r="BG30" s="72" t="n"/>
      <c r="BH30" s="52" t="n"/>
      <c r="BI30" s="17" t="n"/>
    </row>
    <row r="31" ht="15" customHeight="1">
      <c r="A31" s="17" t="n"/>
      <c r="B31" s="50" t="n"/>
      <c r="C31" s="72" t="n"/>
      <c r="D31" s="72" t="n"/>
      <c r="E31" s="72" t="n"/>
      <c r="F31" s="72" t="n"/>
      <c r="G31" s="72" t="n"/>
      <c r="H31" s="72" t="n"/>
      <c r="I31" s="72" t="n"/>
      <c r="J31" s="72" t="n"/>
      <c r="K31" s="72" t="n"/>
      <c r="L31" s="72" t="n"/>
      <c r="M31" s="72" t="n"/>
      <c r="N31" s="72" t="n"/>
      <c r="O31" s="72" t="n"/>
      <c r="P31" s="72" t="n"/>
      <c r="Q31" s="72" t="n"/>
      <c r="R31" s="72" t="n"/>
      <c r="S31" s="72" t="n"/>
      <c r="T31" s="72" t="n"/>
      <c r="U31" s="72" t="n"/>
      <c r="V31" s="72" t="n"/>
      <c r="W31" s="72" t="n"/>
      <c r="X31" s="72" t="n"/>
      <c r="Y31" s="72" t="n"/>
      <c r="Z31" s="72" t="n"/>
      <c r="AA31" s="72" t="n"/>
      <c r="AB31" s="72" t="n"/>
      <c r="AC31" s="72" t="n"/>
      <c r="AD31" s="72" t="n"/>
      <c r="AE31" s="72" t="n"/>
      <c r="AF31" s="72" t="n"/>
      <c r="AG31" s="72" t="n"/>
      <c r="AH31" s="72" t="n"/>
      <c r="AI31" s="72" t="n"/>
      <c r="AJ31" s="72" t="n"/>
      <c r="AK31" s="72" t="n"/>
      <c r="AL31" s="72" t="n"/>
      <c r="AM31" s="72" t="n"/>
      <c r="AN31" s="72" t="n"/>
      <c r="AO31" s="72" t="n"/>
      <c r="AP31" s="72" t="n"/>
      <c r="AQ31" s="72" t="n"/>
      <c r="AR31" s="72" t="n"/>
      <c r="AS31" s="72" t="n"/>
      <c r="AT31" s="72" t="n"/>
      <c r="AU31" s="72" t="n"/>
      <c r="AV31" s="72" t="n"/>
      <c r="AW31" s="72" t="n"/>
      <c r="AX31" s="72" t="n"/>
      <c r="AY31" s="72" t="n"/>
      <c r="AZ31" s="72" t="n"/>
      <c r="BA31" s="72" t="n"/>
      <c r="BB31" s="72" t="n"/>
      <c r="BC31" s="72" t="n"/>
      <c r="BD31" s="72" t="n"/>
      <c r="BE31" s="72" t="n"/>
      <c r="BF31" s="72" t="n"/>
      <c r="BG31" s="72" t="n"/>
      <c r="BH31" s="52" t="n"/>
      <c r="BI31" s="17" t="n"/>
    </row>
    <row r="32" ht="15" customHeight="1">
      <c r="A32" s="17" t="n"/>
      <c r="B32" s="50" t="n"/>
      <c r="C32" s="72" t="n"/>
      <c r="D32" s="72" t="n"/>
      <c r="E32" s="72" t="n"/>
      <c r="F32" s="72" t="n"/>
      <c r="G32" s="72" t="n"/>
      <c r="H32" s="72" t="n"/>
      <c r="I32" s="72" t="n"/>
      <c r="J32" s="72" t="n"/>
      <c r="K32" s="72" t="n"/>
      <c r="L32" s="72" t="n"/>
      <c r="M32" s="72" t="n"/>
      <c r="N32" s="72" t="n"/>
      <c r="O32" s="72" t="n"/>
      <c r="P32" s="72" t="n"/>
      <c r="Q32" s="72" t="n"/>
      <c r="R32" s="72" t="n"/>
      <c r="S32" s="72" t="n"/>
      <c r="T32" s="72" t="n"/>
      <c r="U32" s="72" t="n"/>
      <c r="V32" s="72" t="n"/>
      <c r="W32" s="72" t="n"/>
      <c r="X32" s="72" t="n"/>
      <c r="Y32" s="72" t="n"/>
      <c r="Z32" s="72" t="n"/>
      <c r="AA32" s="72" t="n"/>
      <c r="AB32" s="72" t="n"/>
      <c r="AC32" s="72" t="n"/>
      <c r="AD32" s="72" t="n"/>
      <c r="AE32" s="72" t="n"/>
      <c r="AF32" s="72" t="n"/>
      <c r="AG32" s="72" t="n"/>
      <c r="AH32" s="72" t="n"/>
      <c r="AI32" s="72" t="n"/>
      <c r="AJ32" s="72" t="n"/>
      <c r="AK32" s="72" t="n"/>
      <c r="AL32" s="72" t="n"/>
      <c r="AM32" s="72" t="n"/>
      <c r="AN32" s="72" t="n"/>
      <c r="AO32" s="72" t="n"/>
      <c r="AP32" s="72" t="n"/>
      <c r="AQ32" s="72" t="n"/>
      <c r="AR32" s="72" t="n"/>
      <c r="AS32" s="72" t="n"/>
      <c r="AT32" s="72" t="n"/>
      <c r="AU32" s="72" t="n"/>
      <c r="AV32" s="72" t="n"/>
      <c r="AW32" s="72" t="n"/>
      <c r="AX32" s="72" t="n"/>
      <c r="AY32" s="72" t="n"/>
      <c r="AZ32" s="72" t="n"/>
      <c r="BA32" s="72" t="n"/>
      <c r="BB32" s="72" t="n"/>
      <c r="BC32" s="72" t="n"/>
      <c r="BD32" s="72" t="n"/>
      <c r="BE32" s="72" t="n"/>
      <c r="BF32" s="72" t="n"/>
      <c r="BG32" s="72" t="n"/>
      <c r="BH32" s="52" t="n"/>
      <c r="BI32" s="17" t="n"/>
    </row>
    <row r="33" ht="15" customHeight="1">
      <c r="A33" s="17" t="n"/>
      <c r="B33" s="50" t="n"/>
      <c r="C33" s="72" t="n"/>
      <c r="D33" s="72" t="n"/>
      <c r="E33" s="72" t="n"/>
      <c r="F33" s="72" t="n"/>
      <c r="G33" s="72" t="n"/>
      <c r="H33" s="72" t="n"/>
      <c r="I33" s="72" t="n"/>
      <c r="J33" s="72" t="n"/>
      <c r="K33" s="72" t="n"/>
      <c r="L33" s="72" t="n"/>
      <c r="M33" s="72" t="n"/>
      <c r="N33" s="72" t="n"/>
      <c r="O33" s="72" t="n"/>
      <c r="P33" s="72" t="n"/>
      <c r="Q33" s="72" t="n"/>
      <c r="R33" s="72" t="n"/>
      <c r="S33" s="72" t="n"/>
      <c r="T33" s="72" t="n"/>
      <c r="U33" s="72" t="n"/>
      <c r="V33" s="72" t="n"/>
      <c r="W33" s="72" t="n"/>
      <c r="X33" s="72" t="n"/>
      <c r="Y33" s="72" t="n"/>
      <c r="Z33" s="72" t="n"/>
      <c r="AA33" s="72" t="n"/>
      <c r="AB33" s="72" t="n"/>
      <c r="AC33" s="72" t="n"/>
      <c r="AD33" s="72" t="n"/>
      <c r="AE33" s="72" t="n"/>
      <c r="AF33" s="72" t="n"/>
      <c r="AG33" s="72" t="n"/>
      <c r="AH33" s="72" t="n"/>
      <c r="AI33" s="72" t="n"/>
      <c r="AJ33" s="72" t="n"/>
      <c r="AK33" s="72" t="n"/>
      <c r="AL33" s="72" t="n"/>
      <c r="AM33" s="72" t="n"/>
      <c r="AN33" s="72" t="n"/>
      <c r="AO33" s="72" t="n"/>
      <c r="AP33" s="72" t="n"/>
      <c r="AQ33" s="72" t="n"/>
      <c r="AR33" s="72" t="n"/>
      <c r="AS33" s="72" t="n"/>
      <c r="AT33" s="72" t="n"/>
      <c r="AU33" s="72" t="n"/>
      <c r="AV33" s="72" t="n"/>
      <c r="AW33" s="72" t="n"/>
      <c r="AX33" s="72" t="n"/>
      <c r="AY33" s="72" t="n"/>
      <c r="AZ33" s="72" t="n"/>
      <c r="BA33" s="72" t="n"/>
      <c r="BB33" s="72" t="n"/>
      <c r="BC33" s="72" t="n"/>
      <c r="BD33" s="72" t="n"/>
      <c r="BE33" s="72" t="n"/>
      <c r="BF33" s="72" t="n"/>
      <c r="BG33" s="72" t="n"/>
      <c r="BH33" s="52" t="n"/>
      <c r="BI33" s="17" t="n"/>
    </row>
    <row r="34" ht="15" customHeight="1">
      <c r="A34" s="17" t="n"/>
      <c r="B34" s="50" t="n"/>
      <c r="C34" s="72" t="n"/>
      <c r="D34" s="72" t="n"/>
      <c r="E34" s="72" t="n"/>
      <c r="F34" s="72" t="n"/>
      <c r="G34" s="72" t="n"/>
      <c r="H34" s="72" t="n"/>
      <c r="I34" s="72" t="n"/>
      <c r="J34" s="72" t="n"/>
      <c r="K34" s="72" t="n"/>
      <c r="L34" s="72" t="n"/>
      <c r="M34" s="72" t="n"/>
      <c r="N34" s="72" t="n"/>
      <c r="O34" s="72" t="n"/>
      <c r="P34" s="72" t="n"/>
      <c r="Q34" s="72" t="n"/>
      <c r="R34" s="72" t="n"/>
      <c r="S34" s="72" t="n"/>
      <c r="T34" s="72" t="n"/>
      <c r="U34" s="72" t="n"/>
      <c r="V34" s="72" t="n"/>
      <c r="W34" s="72" t="n"/>
      <c r="X34" s="72" t="n"/>
      <c r="Y34" s="72" t="n"/>
      <c r="Z34" s="72" t="n"/>
      <c r="AA34" s="72" t="n"/>
      <c r="AB34" s="72" t="n"/>
      <c r="AC34" s="72" t="n"/>
      <c r="AD34" s="72" t="n"/>
      <c r="AE34" s="72" t="n"/>
      <c r="AF34" s="72" t="n"/>
      <c r="AG34" s="72" t="n"/>
      <c r="AH34" s="72" t="n"/>
      <c r="AI34" s="72" t="n"/>
      <c r="AJ34" s="72" t="n"/>
      <c r="AK34" s="72" t="n"/>
      <c r="AL34" s="72" t="n"/>
      <c r="AM34" s="72" t="n"/>
      <c r="AN34" s="72" t="n"/>
      <c r="AO34" s="72" t="n"/>
      <c r="AP34" s="72" t="n"/>
      <c r="AQ34" s="72" t="n"/>
      <c r="AR34" s="72" t="n"/>
      <c r="AS34" s="72" t="n"/>
      <c r="AT34" s="72" t="n"/>
      <c r="AU34" s="72" t="n"/>
      <c r="AV34" s="72" t="n"/>
      <c r="AW34" s="72" t="n"/>
      <c r="AX34" s="72" t="n"/>
      <c r="AY34" s="72" t="n"/>
      <c r="AZ34" s="72" t="n"/>
      <c r="BA34" s="72" t="n"/>
      <c r="BB34" s="72" t="n"/>
      <c r="BC34" s="72" t="n"/>
      <c r="BD34" s="72" t="n"/>
      <c r="BE34" s="72" t="n"/>
      <c r="BF34" s="72" t="n"/>
      <c r="BG34" s="72" t="n"/>
      <c r="BH34" s="52" t="n"/>
      <c r="BI34" s="17" t="n"/>
    </row>
    <row r="35" ht="15" customHeight="1">
      <c r="A35" s="17" t="n"/>
      <c r="B35" s="50" t="n"/>
      <c r="C35" s="72" t="n"/>
      <c r="D35" s="72" t="n"/>
      <c r="E35" s="72" t="n"/>
      <c r="F35" s="72" t="n"/>
      <c r="G35" s="72" t="n"/>
      <c r="H35" s="72" t="n"/>
      <c r="I35" s="72" t="n"/>
      <c r="J35" s="72" t="n"/>
      <c r="K35" s="72" t="n"/>
      <c r="L35" s="72" t="n"/>
      <c r="M35" s="72" t="n"/>
      <c r="N35" s="72" t="n"/>
      <c r="O35" s="72" t="n"/>
      <c r="P35" s="72" t="n"/>
      <c r="Q35" s="72" t="n"/>
      <c r="R35" s="72" t="n"/>
      <c r="S35" s="72" t="n"/>
      <c r="T35" s="72" t="n"/>
      <c r="U35" s="72" t="n"/>
      <c r="V35" s="72" t="n"/>
      <c r="W35" s="72" t="n"/>
      <c r="X35" s="72" t="n"/>
      <c r="Y35" s="72" t="n"/>
      <c r="Z35" s="72" t="n"/>
      <c r="AA35" s="72" t="n"/>
      <c r="AB35" s="72" t="n"/>
      <c r="AC35" s="72" t="n"/>
      <c r="AD35" s="72" t="n"/>
      <c r="AE35" s="72" t="n"/>
      <c r="AF35" s="72" t="n"/>
      <c r="AG35" s="72" t="n"/>
      <c r="AH35" s="72" t="n"/>
      <c r="AI35" s="72" t="n"/>
      <c r="AJ35" s="72" t="n"/>
      <c r="AK35" s="72" t="n"/>
      <c r="AL35" s="72" t="n"/>
      <c r="AM35" s="72" t="n"/>
      <c r="AN35" s="72" t="n"/>
      <c r="AO35" s="72" t="n"/>
      <c r="AP35" s="72" t="n"/>
      <c r="AQ35" s="72" t="n"/>
      <c r="AR35" s="72" t="n"/>
      <c r="AS35" s="72" t="n"/>
      <c r="AT35" s="72" t="n"/>
      <c r="AU35" s="72" t="n"/>
      <c r="AV35" s="72" t="n"/>
      <c r="AW35" s="72" t="n"/>
      <c r="AX35" s="72" t="n"/>
      <c r="AY35" s="72" t="n"/>
      <c r="AZ35" s="72" t="n"/>
      <c r="BA35" s="72" t="n"/>
      <c r="BB35" s="72" t="n"/>
      <c r="BC35" s="72" t="n"/>
      <c r="BD35" s="72" t="n"/>
      <c r="BE35" s="72" t="n"/>
      <c r="BF35" s="72" t="n"/>
      <c r="BG35" s="72" t="n"/>
      <c r="BH35" s="52" t="n"/>
      <c r="BI35" s="17" t="n"/>
    </row>
    <row r="36" ht="15" customHeight="1">
      <c r="A36" s="17" t="n"/>
      <c r="B36" s="50" t="n"/>
      <c r="C36" s="72" t="n"/>
      <c r="D36" s="72" t="n"/>
      <c r="E36" s="72" t="n"/>
      <c r="F36" s="72" t="n"/>
      <c r="G36" s="72" t="n"/>
      <c r="H36" s="72" t="n"/>
      <c r="I36" s="72" t="n"/>
      <c r="J36" s="72" t="n"/>
      <c r="K36" s="72" t="n"/>
      <c r="L36" s="72" t="n"/>
      <c r="M36" s="72" t="n"/>
      <c r="N36" s="72" t="n"/>
      <c r="O36" s="72" t="n"/>
      <c r="P36" s="72" t="n"/>
      <c r="Q36" s="72" t="n"/>
      <c r="R36" s="72" t="n"/>
      <c r="S36" s="72" t="n"/>
      <c r="T36" s="72" t="n"/>
      <c r="U36" s="72" t="n"/>
      <c r="V36" s="72" t="n"/>
      <c r="W36" s="72" t="n"/>
      <c r="X36" s="72" t="n"/>
      <c r="Y36" s="72" t="n"/>
      <c r="Z36" s="72" t="n"/>
      <c r="AA36" s="72" t="n"/>
      <c r="AB36" s="72" t="n"/>
      <c r="AC36" s="72" t="n"/>
      <c r="AD36" s="72" t="n"/>
      <c r="AE36" s="72" t="n"/>
      <c r="AF36" s="72" t="n"/>
      <c r="AG36" s="72" t="n"/>
      <c r="AH36" s="72" t="n"/>
      <c r="AI36" s="72" t="n"/>
      <c r="AJ36" s="72" t="n"/>
      <c r="AK36" s="72" t="n"/>
      <c r="AL36" s="72" t="n"/>
      <c r="AM36" s="72" t="n"/>
      <c r="AN36" s="72" t="n"/>
      <c r="AO36" s="72" t="n"/>
      <c r="AP36" s="72" t="n"/>
      <c r="AQ36" s="72" t="n"/>
      <c r="AR36" s="72" t="n"/>
      <c r="AS36" s="72" t="n"/>
      <c r="AT36" s="72" t="n"/>
      <c r="AU36" s="72" t="n"/>
      <c r="AV36" s="72" t="n"/>
      <c r="AW36" s="72" t="n"/>
      <c r="AX36" s="72" t="n"/>
      <c r="AY36" s="72" t="n"/>
      <c r="AZ36" s="72" t="n"/>
      <c r="BA36" s="72" t="n"/>
      <c r="BB36" s="72" t="n"/>
      <c r="BC36" s="72" t="n"/>
      <c r="BD36" s="72" t="n"/>
      <c r="BE36" s="72" t="n"/>
      <c r="BF36" s="72" t="n"/>
      <c r="BG36" s="72" t="n"/>
      <c r="BH36" s="52" t="n"/>
      <c r="BI36" s="17" t="n"/>
    </row>
    <row r="37" ht="15" customHeight="1">
      <c r="A37" s="17" t="n"/>
      <c r="B37" s="50" t="n"/>
      <c r="C37" s="72" t="n"/>
      <c r="D37" s="72" t="n"/>
      <c r="E37" s="72" t="n"/>
      <c r="F37" s="72" t="n"/>
      <c r="G37" s="72" t="n"/>
      <c r="H37" s="72" t="n"/>
      <c r="I37" s="72" t="n"/>
      <c r="J37" s="72" t="n"/>
      <c r="K37" s="72" t="n"/>
      <c r="L37" s="72" t="n"/>
      <c r="M37" s="72" t="n"/>
      <c r="N37" s="72" t="n"/>
      <c r="O37" s="72" t="n"/>
      <c r="P37" s="72" t="n"/>
      <c r="Q37" s="72" t="n"/>
      <c r="R37" s="72" t="n"/>
      <c r="S37" s="72" t="n"/>
      <c r="T37" s="72" t="n"/>
      <c r="U37" s="72" t="n"/>
      <c r="V37" s="72" t="n"/>
      <c r="W37" s="72" t="n"/>
      <c r="X37" s="72" t="n"/>
      <c r="Y37" s="72" t="n"/>
      <c r="Z37" s="72" t="n"/>
      <c r="AA37" s="72" t="n"/>
      <c r="AB37" s="72" t="n"/>
      <c r="AC37" s="72" t="n"/>
      <c r="AD37" s="72" t="n"/>
      <c r="AE37" s="72" t="n"/>
      <c r="AF37" s="72" t="n"/>
      <c r="AG37" s="72" t="n"/>
      <c r="AH37" s="72" t="n"/>
      <c r="AI37" s="72" t="n"/>
      <c r="AJ37" s="72" t="n"/>
      <c r="AK37" s="72" t="n"/>
      <c r="AL37" s="72" t="n"/>
      <c r="AM37" s="72" t="n"/>
      <c r="AN37" s="72" t="n"/>
      <c r="AO37" s="72" t="n"/>
      <c r="AP37" s="72" t="n"/>
      <c r="AQ37" s="72" t="n"/>
      <c r="AR37" s="72" t="n"/>
      <c r="AS37" s="72" t="n"/>
      <c r="AT37" s="72" t="n"/>
      <c r="AU37" s="72" t="n"/>
      <c r="AV37" s="72" t="n"/>
      <c r="AW37" s="72" t="n"/>
      <c r="AX37" s="72" t="n"/>
      <c r="AY37" s="72" t="n"/>
      <c r="AZ37" s="72" t="n"/>
      <c r="BA37" s="72" t="n"/>
      <c r="BB37" s="72" t="n"/>
      <c r="BC37" s="72" t="n"/>
      <c r="BD37" s="72" t="n"/>
      <c r="BE37" s="72" t="n"/>
      <c r="BF37" s="72" t="n"/>
      <c r="BG37" s="72" t="n"/>
      <c r="BH37" s="52" t="n"/>
      <c r="BI37" s="17" t="n"/>
    </row>
    <row r="38" ht="6" customHeight="1">
      <c r="A38" s="17" t="n"/>
      <c r="B38" s="50" t="n"/>
      <c r="C38" s="72" t="n"/>
      <c r="D38" s="72" t="n"/>
      <c r="E38" s="72" t="n"/>
      <c r="F38" s="72" t="n"/>
      <c r="G38" s="72" t="n"/>
      <c r="H38" s="72" t="n"/>
      <c r="I38" s="72" t="n"/>
      <c r="J38" s="72" t="n"/>
      <c r="K38" s="72" t="n"/>
      <c r="L38" s="72" t="n"/>
      <c r="M38" s="72" t="n"/>
      <c r="N38" s="72" t="n"/>
      <c r="O38" s="72" t="n"/>
      <c r="P38" s="72" t="n"/>
      <c r="Q38" s="72" t="n"/>
      <c r="R38" s="72" t="n"/>
      <c r="S38" s="72" t="n"/>
      <c r="T38" s="72" t="n"/>
      <c r="U38" s="72" t="n"/>
      <c r="V38" s="72" t="n"/>
      <c r="W38" s="72" t="n"/>
      <c r="X38" s="72" t="n"/>
      <c r="Y38" s="72" t="n"/>
      <c r="Z38" s="72" t="n"/>
      <c r="AA38" s="72" t="n"/>
      <c r="AB38" s="72" t="n"/>
      <c r="AC38" s="72" t="n"/>
      <c r="AD38" s="72" t="n"/>
      <c r="AE38" s="72" t="n"/>
      <c r="AF38" s="72" t="n"/>
      <c r="AG38" s="72" t="n"/>
      <c r="AH38" s="72" t="n"/>
      <c r="AI38" s="72" t="n"/>
      <c r="AJ38" s="72" t="n"/>
      <c r="AK38" s="72" t="n"/>
      <c r="AL38" s="72" t="n"/>
      <c r="AM38" s="72" t="n"/>
      <c r="AN38" s="72" t="n"/>
      <c r="AO38" s="72" t="n"/>
      <c r="AP38" s="72" t="n"/>
      <c r="AQ38" s="72" t="n"/>
      <c r="AR38" s="72" t="n"/>
      <c r="AS38" s="72" t="n"/>
      <c r="AT38" s="72" t="n"/>
      <c r="AU38" s="72" t="n"/>
      <c r="AV38" s="72" t="n"/>
      <c r="AW38" s="72" t="n"/>
      <c r="AX38" s="72" t="n"/>
      <c r="AY38" s="72" t="n"/>
      <c r="AZ38" s="72" t="n"/>
      <c r="BA38" s="72" t="n"/>
      <c r="BB38" s="72" t="n"/>
      <c r="BC38" s="72" t="n"/>
      <c r="BD38" s="72" t="n"/>
      <c r="BE38" s="72" t="n"/>
      <c r="BF38" s="72" t="n"/>
      <c r="BG38" s="72" t="n"/>
      <c r="BH38" s="52" t="n"/>
      <c r="BI38" s="17" t="n"/>
    </row>
    <row r="39" ht="18" customHeight="1">
      <c r="A39" s="17" t="n"/>
      <c r="B39" s="50" t="n"/>
      <c r="C39" s="140" t="inlineStr">
        <is>
          <t>Heures par mois</t>
        </is>
      </c>
      <c r="D39" s="44" t="n"/>
      <c r="E39" s="44" t="n"/>
      <c r="F39" s="44" t="n"/>
      <c r="G39" s="44" t="n"/>
      <c r="H39" s="44" t="n"/>
      <c r="I39" s="44" t="n"/>
      <c r="J39" s="44" t="n"/>
      <c r="K39" s="44" t="n"/>
      <c r="L39" s="141">
        <f>Calculs!CG4</f>
        <v>46266.0</v>
      </c>
      <c r="M39" s="44" t="n"/>
      <c r="N39" s="44" t="n"/>
      <c r="O39" s="44" t="n"/>
      <c r="P39" s="141">
        <f>Calculs!CG5</f>
        <v>46296.0</v>
      </c>
      <c r="Q39" s="44" t="n"/>
      <c r="R39" s="44" t="n"/>
      <c r="S39" s="44" t="n"/>
      <c r="T39" s="141">
        <f>Calculs!CG6</f>
        <v>46327.0</v>
      </c>
      <c r="U39" s="44" t="n"/>
      <c r="V39" s="44" t="n"/>
      <c r="W39" s="44" t="n"/>
      <c r="X39" s="141">
        <f>Calculs!CG7</f>
        <v>46357.0</v>
      </c>
      <c r="Y39" s="44" t="n"/>
      <c r="Z39" s="44" t="n"/>
      <c r="AA39" s="44" t="n"/>
      <c r="AB39" s="141">
        <f>Calculs!CG8</f>
        <v>46388.0</v>
      </c>
      <c r="AC39" s="44" t="n"/>
      <c r="AD39" s="44" t="n"/>
      <c r="AE39" s="44" t="n"/>
      <c r="AF39" s="141">
        <f>Calculs!CG9</f>
        <v>46419.0</v>
      </c>
      <c r="AG39" s="44" t="n"/>
      <c r="AH39" s="44" t="n"/>
      <c r="AI39" s="44" t="n"/>
      <c r="AJ39" s="141">
        <f>Calculs!CG10</f>
        <v>46447.0</v>
      </c>
      <c r="AK39" s="44" t="n"/>
      <c r="AL39" s="44" t="n"/>
      <c r="AM39" s="44" t="n"/>
      <c r="AN39" s="141">
        <f>Calculs!CG11</f>
        <v>46478.0</v>
      </c>
      <c r="AO39" s="44" t="n"/>
      <c r="AP39" s="44" t="n"/>
      <c r="AQ39" s="44" t="n"/>
      <c r="AR39" s="141">
        <f>Calculs!CG12</f>
        <v>46508.0</v>
      </c>
      <c r="AS39" s="44" t="n"/>
      <c r="AT39" s="44" t="n"/>
      <c r="AU39" s="44" t="n"/>
      <c r="AV39" s="141">
        <f>Calculs!CG13</f>
        <v>46539.0</v>
      </c>
      <c r="AW39" s="44" t="n"/>
      <c r="AX39" s="44" t="n"/>
      <c r="AY39" s="44" t="n"/>
      <c r="AZ39" s="141">
        <f>Calculs!CG14</f>
        <v>46569.0</v>
      </c>
      <c r="BA39" s="44" t="n"/>
      <c r="BB39" s="44" t="n"/>
      <c r="BC39" s="44" t="n"/>
      <c r="BD39" s="141">
        <f>Calculs!CG15</f>
        <v>46600.0</v>
      </c>
      <c r="BE39" s="44" t="n"/>
      <c r="BF39" s="44" t="n"/>
      <c r="BG39" s="44" t="n"/>
      <c r="BH39" s="52" t="n"/>
      <c r="BI39" s="17" t="n"/>
    </row>
    <row r="40" ht="16" customHeight="1">
      <c r="A40" s="17" t="n"/>
      <c r="B40" s="50" t="n"/>
      <c r="C40" s="105" t="inlineStr">
        <is>
          <t>Charge fixe hors projet</t>
        </is>
      </c>
      <c r="L40" s="142">
        <f>Calculs!CH4</f>
        <v>20</v>
      </c>
      <c r="P40" s="142">
        <f>Calculs!CH5</f>
        <v>20</v>
      </c>
      <c r="T40" s="142">
        <f>Calculs!CH6</f>
        <v>20</v>
      </c>
      <c r="X40" s="142">
        <f>Calculs!CH7</f>
        <v>20</v>
      </c>
      <c r="AB40" s="142">
        <f>Calculs!CH8</f>
        <v>20</v>
      </c>
      <c r="AF40" s="142">
        <f>Calculs!CH9</f>
        <v>20</v>
      </c>
      <c r="AJ40" s="142">
        <f>Calculs!CH10</f>
        <v>20</v>
      </c>
      <c r="AN40" s="142">
        <f>Calculs!CH11</f>
        <v>20</v>
      </c>
      <c r="AR40" s="142">
        <f>Calculs!CH12</f>
        <v>20</v>
      </c>
      <c r="AV40" s="142">
        <f>Calculs!CH13</f>
        <v>20</v>
      </c>
      <c r="AZ40" s="142">
        <f>Calculs!CH14</f>
        <v>20</v>
      </c>
      <c r="BD40" s="142">
        <f>Calculs!CH15</f>
        <v>20</v>
      </c>
      <c r="BH40" s="52" t="n"/>
      <c r="BI40" s="17" t="n"/>
    </row>
    <row r="41" ht="16" customHeight="1">
      <c r="A41" s="17" t="n"/>
      <c r="B41" s="50" t="n"/>
      <c r="C41" s="105" t="inlineStr">
        <is>
          <t>Charge projets</t>
        </is>
      </c>
      <c r="L41" s="142">
        <f>Calculs!CI4</f>
        <v>28.3636363636364</v>
      </c>
      <c r="P41" s="142">
        <f>Calculs!CI5</f>
        <v>48</v>
      </c>
      <c r="T41" s="142">
        <f>Calculs!CI6</f>
        <v>101.969696969697</v>
      </c>
      <c r="X41" s="142">
        <f>Calculs!CI7</f>
        <v>63.8888888888889</v>
      </c>
      <c r="AB41" s="142">
        <f>Calculs!CI8</f>
        <v>58.3333333333333</v>
      </c>
      <c r="AF41" s="142">
        <f>Calculs!CI9</f>
        <v>55.5555555555556</v>
      </c>
      <c r="AJ41" s="142">
        <f>Calculs!CI10</f>
        <v>63.8888888888889</v>
      </c>
      <c r="AN41" s="142">
        <f>Calculs!CI11</f>
        <v>0</v>
      </c>
      <c r="AR41" s="142">
        <f>Calculs!CI12</f>
        <v>0</v>
      </c>
      <c r="AV41" s="142">
        <f>Calculs!CI13</f>
        <v>0</v>
      </c>
      <c r="AZ41" s="142">
        <f>Calculs!CI14</f>
        <v>0</v>
      </c>
      <c r="BD41" s="142">
        <f>Calculs!CI15</f>
        <v>0</v>
      </c>
      <c r="BH41" s="52" t="n"/>
      <c r="BI41" s="17" t="n"/>
    </row>
    <row r="42" ht="16" customHeight="1">
      <c r="A42" s="17" t="n"/>
      <c r="B42" s="50" t="n"/>
      <c r="C42" s="143" t="inlineStr">
        <is>
          <t>Charge totale</t>
        </is>
      </c>
      <c r="D42" s="144" t="n"/>
      <c r="E42" s="144" t="n"/>
      <c r="F42" s="144" t="n"/>
      <c r="G42" s="144" t="n"/>
      <c r="H42" s="144" t="n"/>
      <c r="I42" s="144" t="n"/>
      <c r="J42" s="144" t="n"/>
      <c r="K42" s="144" t="n"/>
      <c r="L42" s="145">
        <f>Calculs!CJ4</f>
        <v>48.3636363636364</v>
      </c>
      <c r="M42" s="144" t="n"/>
      <c r="N42" s="144" t="n"/>
      <c r="O42" s="144" t="n"/>
      <c r="P42" s="145">
        <f>Calculs!CJ5</f>
        <v>68</v>
      </c>
      <c r="Q42" s="144" t="n"/>
      <c r="R42" s="144" t="n"/>
      <c r="S42" s="144" t="n"/>
      <c r="T42" s="145">
        <f>Calculs!CJ6</f>
        <v>121.969696969697</v>
      </c>
      <c r="U42" s="144" t="n"/>
      <c r="V42" s="144" t="n"/>
      <c r="W42" s="144" t="n"/>
      <c r="X42" s="145">
        <f>Calculs!CJ7</f>
        <v>83.8888888888889</v>
      </c>
      <c r="Y42" s="144" t="n"/>
      <c r="Z42" s="144" t="n"/>
      <c r="AA42" s="144" t="n"/>
      <c r="AB42" s="145">
        <f>Calculs!CJ8</f>
        <v>78.3333333333333</v>
      </c>
      <c r="AC42" s="144" t="n"/>
      <c r="AD42" s="144" t="n"/>
      <c r="AE42" s="144" t="n"/>
      <c r="AF42" s="145">
        <f>Calculs!CJ9</f>
        <v>75.5555555555556</v>
      </c>
      <c r="AG42" s="144" t="n"/>
      <c r="AH42" s="144" t="n"/>
      <c r="AI42" s="144" t="n"/>
      <c r="AJ42" s="145">
        <f>Calculs!CJ10</f>
        <v>83.8888888888889</v>
      </c>
      <c r="AK42" s="144" t="n"/>
      <c r="AL42" s="144" t="n"/>
      <c r="AM42" s="144" t="n"/>
      <c r="AN42" s="145">
        <f>Calculs!CJ11</f>
        <v>20</v>
      </c>
      <c r="AO42" s="144" t="n"/>
      <c r="AP42" s="144" t="n"/>
      <c r="AQ42" s="144" t="n"/>
      <c r="AR42" s="145">
        <f>Calculs!CJ12</f>
        <v>20</v>
      </c>
      <c r="AS42" s="144" t="n"/>
      <c r="AT42" s="144" t="n"/>
      <c r="AU42" s="144" t="n"/>
      <c r="AV42" s="145">
        <f>Calculs!CJ13</f>
        <v>20</v>
      </c>
      <c r="AW42" s="144" t="n"/>
      <c r="AX42" s="144" t="n"/>
      <c r="AY42" s="144" t="n"/>
      <c r="AZ42" s="145">
        <f>Calculs!CJ14</f>
        <v>20</v>
      </c>
      <c r="BA42" s="144" t="n"/>
      <c r="BB42" s="144" t="n"/>
      <c r="BC42" s="144" t="n"/>
      <c r="BD42" s="145">
        <f>Calculs!CJ15</f>
        <v>20</v>
      </c>
      <c r="BE42" s="144" t="n"/>
      <c r="BF42" s="144" t="n"/>
      <c r="BG42" s="144" t="n"/>
      <c r="BH42" s="52" t="n"/>
      <c r="BI42" s="17" t="n"/>
    </row>
    <row r="43" ht="16" customHeight="1">
      <c r="A43" s="17" t="n"/>
      <c r="B43" s="50" t="n"/>
      <c r="C43" s="105" t="inlineStr">
        <is>
          <t>Capacité</t>
        </is>
      </c>
      <c r="L43" s="106">
        <f>Calculs!CK4</f>
        <v>120</v>
      </c>
      <c r="P43" s="106">
        <f>Calculs!CK5</f>
        <v>120</v>
      </c>
      <c r="T43" s="106">
        <f>Calculs!CK6</f>
        <v>120</v>
      </c>
      <c r="X43" s="106">
        <f>Calculs!CK7</f>
        <v>120</v>
      </c>
      <c r="AB43" s="106">
        <f>Calculs!CK8</f>
        <v>120</v>
      </c>
      <c r="AF43" s="106">
        <f>Calculs!CK9</f>
        <v>120</v>
      </c>
      <c r="AJ43" s="106">
        <f>Calculs!CK10</f>
        <v>120</v>
      </c>
      <c r="AN43" s="106">
        <f>Calculs!CK11</f>
        <v>120</v>
      </c>
      <c r="AR43" s="106">
        <f>Calculs!CK12</f>
        <v>120</v>
      </c>
      <c r="AV43" s="106">
        <f>Calculs!CK13</f>
        <v>120</v>
      </c>
      <c r="AZ43" s="106">
        <f>Calculs!CK14</f>
        <v>120</v>
      </c>
      <c r="BD43" s="106">
        <f>Calculs!CK15</f>
        <v>120</v>
      </c>
      <c r="BH43" s="52" t="n"/>
      <c r="BI43" s="17" t="n"/>
    </row>
    <row r="44" ht="16" customHeight="1">
      <c r="A44" s="17" t="n"/>
      <c r="B44" s="50" t="n"/>
      <c r="C44" s="105" t="inlineStr">
        <is>
          <t>Marge (+) / dépassement (−)</t>
        </is>
      </c>
      <c r="L44" s="146">
        <f>Calculs!CN4</f>
        <v>72</v>
      </c>
      <c r="P44" s="146">
        <f>Calculs!CN5</f>
        <v>52</v>
      </c>
      <c r="T44" s="146">
        <f>Calculs!CN6</f>
        <v>-2</v>
      </c>
      <c r="X44" s="146">
        <f>Calculs!CN7</f>
        <v>36</v>
      </c>
      <c r="AB44" s="146">
        <f>Calculs!CN8</f>
        <v>42</v>
      </c>
      <c r="AF44" s="146">
        <f>Calculs!CN9</f>
        <v>44</v>
      </c>
      <c r="AJ44" s="146">
        <f>Calculs!CN10</f>
        <v>36</v>
      </c>
      <c r="AN44" s="146">
        <f>Calculs!CN11</f>
        <v>100</v>
      </c>
      <c r="AR44" s="146">
        <f>Calculs!CN12</f>
        <v>100</v>
      </c>
      <c r="AV44" s="146">
        <f>Calculs!CN13</f>
        <v>100</v>
      </c>
      <c r="AZ44" s="146">
        <f>Calculs!CN14</f>
        <v>100</v>
      </c>
      <c r="BD44" s="146">
        <f>Calculs!CN15</f>
        <v>100</v>
      </c>
      <c r="BH44" s="52" t="n"/>
      <c r="BI44" s="17" t="n"/>
    </row>
    <row r="45" ht="16" customHeight="1">
      <c r="A45" s="17" t="n"/>
      <c r="B45" s="50" t="n"/>
      <c r="C45" s="147" t="inlineStr">
        <is>
          <t>Occupation</t>
        </is>
      </c>
      <c r="L45" s="148">
        <f>Calculs!CO4</f>
        <v>0.4</v>
      </c>
      <c r="P45" s="148">
        <f>Calculs!CO5</f>
        <v>0.566666666666667</v>
      </c>
      <c r="T45" s="148">
        <f>Calculs!CO6</f>
        <v>1.01666666666667</v>
      </c>
      <c r="X45" s="148">
        <f>Calculs!CO7</f>
        <v>0.7</v>
      </c>
      <c r="AB45" s="148">
        <f>Calculs!CO8</f>
        <v>0.65</v>
      </c>
      <c r="AF45" s="148">
        <f>Calculs!CO9</f>
        <v>0.633333333333333</v>
      </c>
      <c r="AJ45" s="148">
        <f>Calculs!CO10</f>
        <v>0.7</v>
      </c>
      <c r="AN45" s="148">
        <f>Calculs!CO11</f>
        <v>0.166666666666667</v>
      </c>
      <c r="AR45" s="148">
        <f>Calculs!CO12</f>
        <v>0.166666666666667</v>
      </c>
      <c r="AV45" s="148">
        <f>Calculs!CO13</f>
        <v>0.166666666666667</v>
      </c>
      <c r="AZ45" s="148">
        <f>Calculs!CO14</f>
        <v>0.166666666666667</v>
      </c>
      <c r="BD45" s="148">
        <f>Calculs!CO15</f>
        <v>0.166666666666667</v>
      </c>
      <c r="BH45" s="52" t="n"/>
      <c r="BI45" s="17" t="n"/>
    </row>
    <row r="46" ht="8" customHeight="1">
      <c r="A46" s="17" t="n"/>
      <c r="B46" s="34" t="n"/>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c r="AL46" s="35" t="n"/>
      <c r="AM46" s="35" t="n"/>
      <c r="AN46" s="35" t="n"/>
      <c r="AO46" s="35" t="n"/>
      <c r="AP46" s="35" t="n"/>
      <c r="AQ46" s="35" t="n"/>
      <c r="AR46" s="35" t="n"/>
      <c r="AS46" s="35" t="n"/>
      <c r="AT46" s="35" t="n"/>
      <c r="AU46" s="35" t="n"/>
      <c r="AV46" s="35" t="n"/>
      <c r="AW46" s="35" t="n"/>
      <c r="AX46" s="35" t="n"/>
      <c r="AY46" s="35" t="n"/>
      <c r="AZ46" s="35" t="n"/>
      <c r="BA46" s="35" t="n"/>
      <c r="BB46" s="35" t="n"/>
      <c r="BC46" s="35" t="n"/>
      <c r="BD46" s="35" t="n"/>
      <c r="BE46" s="35" t="n"/>
      <c r="BF46" s="35" t="n"/>
      <c r="BG46" s="35" t="n"/>
      <c r="BH46" s="81" t="n"/>
      <c r="BI46" s="17" t="n"/>
    </row>
    <row r="47" ht="14" customHeight="1">
      <c r="A47" s="17" t="n"/>
      <c r="B47" s="17" t="n"/>
      <c r="C47" s="17" t="n"/>
      <c r="D47" s="17" t="n"/>
      <c r="E47" s="17" t="n"/>
      <c r="F47" s="17" t="n"/>
      <c r="G47" s="17" t="n"/>
      <c r="H47" s="17" t="n"/>
      <c r="I47" s="17" t="n"/>
      <c r="J47" s="17" t="n"/>
      <c r="K47" s="17" t="n"/>
      <c r="L47" s="17" t="n"/>
      <c r="M47" s="17" t="n"/>
      <c r="N47" s="17" t="n"/>
      <c r="O47" s="17" t="n"/>
      <c r="P47" s="17" t="n"/>
      <c r="Q47" s="17" t="n"/>
      <c r="R47" s="17" t="n"/>
      <c r="S47" s="17" t="n"/>
      <c r="T47" s="17" t="n"/>
      <c r="U47" s="17" t="n"/>
      <c r="V47" s="17" t="n"/>
      <c r="W47" s="17" t="n"/>
      <c r="X47" s="17" t="n"/>
      <c r="Y47" s="17" t="n"/>
      <c r="Z47" s="17" t="n"/>
      <c r="AA47" s="17" t="n"/>
      <c r="AB47" s="17" t="n"/>
      <c r="AC47" s="17" t="n"/>
      <c r="AD47" s="17" t="n"/>
      <c r="AE47" s="17" t="n"/>
      <c r="AF47" s="17" t="n"/>
      <c r="AG47" s="17" t="n"/>
      <c r="AH47" s="17" t="n"/>
      <c r="AI47" s="17" t="n"/>
      <c r="AJ47" s="17" t="n"/>
      <c r="AK47" s="17" t="n"/>
      <c r="AL47" s="17" t="n"/>
      <c r="AM47" s="17" t="n"/>
      <c r="AN47" s="17" t="n"/>
      <c r="AO47" s="17" t="n"/>
      <c r="AP47" s="17" t="n"/>
      <c r="AQ47" s="17" t="n"/>
      <c r="AR47" s="17" t="n"/>
      <c r="AS47" s="17" t="n"/>
      <c r="AT47" s="17" t="n"/>
      <c r="AU47" s="17" t="n"/>
      <c r="AV47" s="17" t="n"/>
      <c r="AW47" s="17" t="n"/>
      <c r="AX47" s="17" t="n"/>
      <c r="AY47" s="17" t="n"/>
      <c r="AZ47" s="17" t="n"/>
      <c r="BA47" s="17" t="n"/>
      <c r="BB47" s="17" t="n"/>
      <c r="BC47" s="17" t="n"/>
      <c r="BD47" s="17" t="n"/>
      <c r="BE47" s="17" t="n"/>
      <c r="BF47" s="17" t="n"/>
      <c r="BG47" s="17" t="n"/>
      <c r="BH47" s="17" t="n"/>
      <c r="BI47" s="17" t="n"/>
    </row>
    <row r="48" ht="20" customHeight="1">
      <c r="A48" s="17" t="n"/>
      <c r="B48" s="41" t="str">
        <f>IF(Calculs!$CD$4="","AFFAIRES DE LA RESSOURCE","AFFAIRES DE "&amp;UPPER(Calculs!$CD$4)&amp;" (par charge décroissante)")</f>
        <v>AFFAIRES DE LUCAS GARNIER (par charge décroissante)</v>
      </c>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17" t="n"/>
    </row>
    <row r="49" ht="6" customHeight="1">
      <c r="A49" s="17" t="n"/>
      <c r="B49" s="17" t="n"/>
      <c r="C49" s="17" t="n"/>
      <c r="D49" s="17" t="n"/>
      <c r="E49" s="17" t="n"/>
      <c r="F49" s="17" t="n"/>
      <c r="G49" s="17" t="n"/>
      <c r="H49" s="17" t="n"/>
      <c r="I49" s="17" t="n"/>
      <c r="J49" s="17" t="n"/>
      <c r="K49" s="17" t="n"/>
      <c r="L49" s="17" t="n"/>
      <c r="M49" s="17" t="n"/>
      <c r="N49" s="17" t="n"/>
      <c r="O49" s="17" t="n"/>
      <c r="P49" s="17" t="n"/>
      <c r="Q49" s="17" t="n"/>
      <c r="R49" s="17" t="n"/>
      <c r="S49" s="17" t="n"/>
      <c r="T49" s="17" t="n"/>
      <c r="U49" s="17" t="n"/>
      <c r="V49" s="17" t="n"/>
      <c r="W49" s="17" t="n"/>
      <c r="X49" s="17" t="n"/>
      <c r="Y49" s="17" t="n"/>
      <c r="Z49" s="17" t="n"/>
      <c r="AA49" s="17" t="n"/>
      <c r="AB49" s="17" t="n"/>
      <c r="AC49" s="17" t="n"/>
      <c r="AD49" s="17" t="n"/>
      <c r="AE49" s="17" t="n"/>
      <c r="AF49" s="17" t="n"/>
      <c r="AG49" s="17" t="n"/>
      <c r="AH49" s="17" t="n"/>
      <c r="AI49" s="17" t="n"/>
      <c r="AJ49" s="17" t="n"/>
      <c r="AK49" s="17" t="n"/>
      <c r="AL49" s="17" t="n"/>
      <c r="AM49" s="17" t="n"/>
      <c r="AN49" s="17" t="n"/>
      <c r="AO49" s="17" t="n"/>
      <c r="AP49" s="17" t="n"/>
      <c r="AQ49" s="17" t="n"/>
      <c r="AR49" s="17" t="n"/>
      <c r="AS49" s="17" t="n"/>
      <c r="AT49" s="17" t="n"/>
      <c r="AU49" s="17" t="n"/>
      <c r="AV49" s="17" t="n"/>
      <c r="AW49" s="17" t="n"/>
      <c r="AX49" s="17" t="n"/>
      <c r="AY49" s="17" t="n"/>
      <c r="AZ49" s="17" t="n"/>
      <c r="BA49" s="17" t="n"/>
      <c r="BB49" s="17" t="n"/>
      <c r="BC49" s="17" t="n"/>
      <c r="BD49" s="17" t="n"/>
      <c r="BE49" s="17" t="n"/>
      <c r="BF49" s="17" t="n"/>
      <c r="BG49" s="17" t="n"/>
      <c r="BH49" s="17" t="n"/>
      <c r="BI49" s="17" t="n"/>
    </row>
    <row r="50" ht="30" customHeight="1">
      <c r="A50" s="17" t="n"/>
      <c r="B50" s="111" t="inlineStr">
        <is>
          <t>N°</t>
        </is>
      </c>
      <c r="D50" s="111" t="inlineStr">
        <is>
          <t>Projet</t>
        </is>
      </c>
      <c r="M50" s="111" t="inlineStr">
        <is>
          <t>Sous-projet</t>
        </is>
      </c>
      <c r="V50" s="111" t="inlineStr">
        <is>
          <t>Produit</t>
        </is>
      </c>
      <c r="AE50" s="111" t="inlineStr">
        <is>
          <t>Chef de projet</t>
        </is>
      </c>
      <c r="AL50" s="111" t="inlineStr">
        <is>
          <t>Charge (h)</t>
        </is>
      </c>
      <c r="AQ50" s="111" t="inlineStr">
        <is>
          <t>Heures sur la période</t>
        </is>
      </c>
      <c r="AW50" s="111" t="inlineStr">
        <is>
          <t>Début planifié</t>
        </is>
      </c>
      <c r="BA50" s="111" t="inlineStr">
        <is>
          <t>Date de besoin</t>
        </is>
      </c>
      <c r="BE50" s="111" t="inlineStr">
        <is>
          <t>Avancement</t>
        </is>
      </c>
      <c r="BI50" s="17" t="n"/>
    </row>
    <row r="51" ht="16.5" customHeight="1">
      <c r="A51" s="17" t="n"/>
      <c r="B51" s="112">
        <f>IF(Calculs!$DY$4="","",Calculs!DX4)</f>
        <v>1</v>
      </c>
      <c r="D51" s="113" t="str">
        <f>IF(Calculs!$DY$4="","",Calculs!DZ4)</f>
        <v>ATLAS</v>
      </c>
      <c r="M51" s="114" t="str">
        <f>IF(Calculs!$DY$4="","",Calculs!EA4)</f>
        <v>Lot 1 – Structure</v>
      </c>
      <c r="V51" s="114" t="str">
        <f>IF(Calculs!$DY$4="","",Calculs!EB4)</f>
        <v>Châssis principal</v>
      </c>
      <c r="AE51" s="114" t="str">
        <f>IF(Calculs!$DY$4="","",Calculs!EC4)</f>
        <v>Julie Martin</v>
      </c>
      <c r="AL51" s="116">
        <f>IF(Calculs!$DY$4="","",Calculs!ED4)</f>
        <v>300</v>
      </c>
      <c r="AQ51" s="116">
        <f>IF(Calculs!$DY$4="","",Calculs!EE4)</f>
        <v>300</v>
      </c>
      <c r="AW51" s="149">
        <f>IF(Calculs!$DY$4="","",Calculs!EF4)</f>
        <v>46328.0</v>
      </c>
      <c r="BA51" s="149">
        <f>IF(Calculs!$DY$4="","",Calculs!EG4)</f>
        <v>46477.0</v>
      </c>
      <c r="BE51" s="118">
        <f>IF(Calculs!$DY$4="","",Calculs!EH4)</f>
        <v>0.15</v>
      </c>
      <c r="BI51" s="17" t="n"/>
    </row>
    <row r="52" ht="16.5" customHeight="1">
      <c r="A52" s="17" t="n"/>
      <c r="B52" s="112">
        <f>IF(Calculs!$DY$5="","",Calculs!DX5)</f>
        <v>2</v>
      </c>
      <c r="D52" s="113" t="str">
        <f>IF(Calculs!$DY$5="","",Calculs!DZ5)</f>
        <v>ORION</v>
      </c>
      <c r="M52" s="114" t="str">
        <f>IF(Calculs!$DY$5="","",Calculs!EA5)</f>
        <v>Tranche 1</v>
      </c>
      <c r="V52" s="114" t="str">
        <f>IF(Calculs!$DY$5="","",Calculs!EB5)</f>
        <v>Support moteur</v>
      </c>
      <c r="AE52" s="114" t="str">
        <f>IF(Calculs!$DY$5="","",Calculs!EC5)</f>
        <v>Nicolas Moreau</v>
      </c>
      <c r="AL52" s="116">
        <f>IF(Calculs!$DY$5="","",Calculs!ED5)</f>
        <v>120</v>
      </c>
      <c r="AQ52" s="116">
        <f>IF(Calculs!$DY$5="","",Calculs!EE5)</f>
        <v>120</v>
      </c>
      <c r="AW52" s="149">
        <f>IF(Calculs!$DY$5="","",Calculs!EF5)</f>
        <v>46279.0</v>
      </c>
      <c r="BA52" s="149">
        <f>IF(Calculs!$DY$5="","",Calculs!EG5)</f>
        <v>46353.0</v>
      </c>
      <c r="BE52" s="118">
        <f>IF(Calculs!$DY$5="","",Calculs!EH5)</f>
        <v>0.8</v>
      </c>
      <c r="BI52" s="17" t="n"/>
    </row>
    <row r="53" ht="16.5" customHeight="1">
      <c r="A53" s="17" t="n"/>
      <c r="B53" s="112" t="str">
        <f>IF(Calculs!$DY$6="","",Calculs!DX6)</f>
        <v/>
      </c>
      <c r="D53" s="113" t="str">
        <f>IF(Calculs!$DY$6="","",Calculs!DZ6)</f>
        <v/>
      </c>
      <c r="M53" s="114" t="str">
        <f>IF(Calculs!$DY$6="","",Calculs!EA6)</f>
        <v/>
      </c>
      <c r="V53" s="114" t="str">
        <f>IF(Calculs!$DY$6="","",Calculs!EB6)</f>
        <v/>
      </c>
      <c r="AE53" s="114" t="str">
        <f>IF(Calculs!$DY$6="","",Calculs!EC6)</f>
        <v/>
      </c>
      <c r="AL53" s="116" t="str">
        <f>IF(Calculs!$DY$6="","",Calculs!ED6)</f>
        <v/>
      </c>
      <c r="AQ53" s="116" t="str">
        <f>IF(Calculs!$DY$6="","",Calculs!EE6)</f>
        <v/>
      </c>
      <c r="AW53" s="149" t="str">
        <f>IF(Calculs!$DY$6="","",Calculs!EF6)</f>
        <v/>
      </c>
      <c r="BA53" s="149" t="str">
        <f>IF(Calculs!$DY$6="","",Calculs!EG6)</f>
        <v/>
      </c>
      <c r="BE53" s="118" t="str">
        <f>IF(Calculs!$DY$6="","",Calculs!EH6)</f>
        <v/>
      </c>
      <c r="BI53" s="17" t="n"/>
    </row>
    <row r="54" ht="16.5" customHeight="1">
      <c r="A54" s="17" t="n"/>
      <c r="B54" s="112" t="str">
        <f>IF(Calculs!$DY$7="","",Calculs!DX7)</f>
        <v/>
      </c>
      <c r="D54" s="113" t="str">
        <f>IF(Calculs!$DY$7="","",Calculs!DZ7)</f>
        <v/>
      </c>
      <c r="M54" s="114" t="str">
        <f>IF(Calculs!$DY$7="","",Calculs!EA7)</f>
        <v/>
      </c>
      <c r="V54" s="114" t="str">
        <f>IF(Calculs!$DY$7="","",Calculs!EB7)</f>
        <v/>
      </c>
      <c r="AE54" s="114" t="str">
        <f>IF(Calculs!$DY$7="","",Calculs!EC7)</f>
        <v/>
      </c>
      <c r="AL54" s="116" t="str">
        <f>IF(Calculs!$DY$7="","",Calculs!ED7)</f>
        <v/>
      </c>
      <c r="AQ54" s="116" t="str">
        <f>IF(Calculs!$DY$7="","",Calculs!EE7)</f>
        <v/>
      </c>
      <c r="AW54" s="149" t="str">
        <f>IF(Calculs!$DY$7="","",Calculs!EF7)</f>
        <v/>
      </c>
      <c r="BA54" s="149" t="str">
        <f>IF(Calculs!$DY$7="","",Calculs!EG7)</f>
        <v/>
      </c>
      <c r="BE54" s="118" t="str">
        <f>IF(Calculs!$DY$7="","",Calculs!EH7)</f>
        <v/>
      </c>
      <c r="BI54" s="17" t="n"/>
    </row>
    <row r="55" ht="16.5" customHeight="1">
      <c r="A55" s="17" t="n"/>
      <c r="B55" s="112" t="str">
        <f>IF(Calculs!$DY$8="","",Calculs!DX8)</f>
        <v/>
      </c>
      <c r="D55" s="113" t="str">
        <f>IF(Calculs!$DY$8="","",Calculs!DZ8)</f>
        <v/>
      </c>
      <c r="M55" s="114" t="str">
        <f>IF(Calculs!$DY$8="","",Calculs!EA8)</f>
        <v/>
      </c>
      <c r="V55" s="114" t="str">
        <f>IF(Calculs!$DY$8="","",Calculs!EB8)</f>
        <v/>
      </c>
      <c r="AE55" s="114" t="str">
        <f>IF(Calculs!$DY$8="","",Calculs!EC8)</f>
        <v/>
      </c>
      <c r="AL55" s="116" t="str">
        <f>IF(Calculs!$DY$8="","",Calculs!ED8)</f>
        <v/>
      </c>
      <c r="AQ55" s="116" t="str">
        <f>IF(Calculs!$DY$8="","",Calculs!EE8)</f>
        <v/>
      </c>
      <c r="AW55" s="149" t="str">
        <f>IF(Calculs!$DY$8="","",Calculs!EF8)</f>
        <v/>
      </c>
      <c r="BA55" s="149" t="str">
        <f>IF(Calculs!$DY$8="","",Calculs!EG8)</f>
        <v/>
      </c>
      <c r="BE55" s="118" t="str">
        <f>IF(Calculs!$DY$8="","",Calculs!EH8)</f>
        <v/>
      </c>
      <c r="BI55" s="17" t="n"/>
    </row>
    <row r="56" ht="16.5" customHeight="1">
      <c r="A56" s="17" t="n"/>
      <c r="B56" s="112" t="str">
        <f>IF(Calculs!$DY$9="","",Calculs!DX9)</f>
        <v/>
      </c>
      <c r="D56" s="113" t="str">
        <f>IF(Calculs!$DY$9="","",Calculs!DZ9)</f>
        <v/>
      </c>
      <c r="M56" s="114" t="str">
        <f>IF(Calculs!$DY$9="","",Calculs!EA9)</f>
        <v/>
      </c>
      <c r="V56" s="114" t="str">
        <f>IF(Calculs!$DY$9="","",Calculs!EB9)</f>
        <v/>
      </c>
      <c r="AE56" s="114" t="str">
        <f>IF(Calculs!$DY$9="","",Calculs!EC9)</f>
        <v/>
      </c>
      <c r="AL56" s="116" t="str">
        <f>IF(Calculs!$DY$9="","",Calculs!ED9)</f>
        <v/>
      </c>
      <c r="AQ56" s="116" t="str">
        <f>IF(Calculs!$DY$9="","",Calculs!EE9)</f>
        <v/>
      </c>
      <c r="AW56" s="149" t="str">
        <f>IF(Calculs!$DY$9="","",Calculs!EF9)</f>
        <v/>
      </c>
      <c r="BA56" s="149" t="str">
        <f>IF(Calculs!$DY$9="","",Calculs!EG9)</f>
        <v/>
      </c>
      <c r="BE56" s="118" t="str">
        <f>IF(Calculs!$DY$9="","",Calculs!EH9)</f>
        <v/>
      </c>
      <c r="BI56" s="17" t="n"/>
    </row>
    <row r="57" ht="16.5" customHeight="1">
      <c r="A57" s="17" t="n"/>
      <c r="B57" s="112" t="str">
        <f>IF(Calculs!$DY$10="","",Calculs!DX10)</f>
        <v/>
      </c>
      <c r="D57" s="113" t="str">
        <f>IF(Calculs!$DY$10="","",Calculs!DZ10)</f>
        <v/>
      </c>
      <c r="M57" s="114" t="str">
        <f>IF(Calculs!$DY$10="","",Calculs!EA10)</f>
        <v/>
      </c>
      <c r="V57" s="114" t="str">
        <f>IF(Calculs!$DY$10="","",Calculs!EB10)</f>
        <v/>
      </c>
      <c r="AE57" s="114" t="str">
        <f>IF(Calculs!$DY$10="","",Calculs!EC10)</f>
        <v/>
      </c>
      <c r="AL57" s="116" t="str">
        <f>IF(Calculs!$DY$10="","",Calculs!ED10)</f>
        <v/>
      </c>
      <c r="AQ57" s="116" t="str">
        <f>IF(Calculs!$DY$10="","",Calculs!EE10)</f>
        <v/>
      </c>
      <c r="AW57" s="149" t="str">
        <f>IF(Calculs!$DY$10="","",Calculs!EF10)</f>
        <v/>
      </c>
      <c r="BA57" s="149" t="str">
        <f>IF(Calculs!$DY$10="","",Calculs!EG10)</f>
        <v/>
      </c>
      <c r="BE57" s="118" t="str">
        <f>IF(Calculs!$DY$10="","",Calculs!EH10)</f>
        <v/>
      </c>
      <c r="BI57" s="17" t="n"/>
    </row>
    <row r="58" ht="16.5" customHeight="1">
      <c r="A58" s="17" t="n"/>
      <c r="B58" s="112" t="str">
        <f>IF(Calculs!$DY$11="","",Calculs!DX11)</f>
        <v/>
      </c>
      <c r="D58" s="113" t="str">
        <f>IF(Calculs!$DY$11="","",Calculs!DZ11)</f>
        <v/>
      </c>
      <c r="M58" s="114" t="str">
        <f>IF(Calculs!$DY$11="","",Calculs!EA11)</f>
        <v/>
      </c>
      <c r="V58" s="114" t="str">
        <f>IF(Calculs!$DY$11="","",Calculs!EB11)</f>
        <v/>
      </c>
      <c r="AE58" s="114" t="str">
        <f>IF(Calculs!$DY$11="","",Calculs!EC11)</f>
        <v/>
      </c>
      <c r="AL58" s="116" t="str">
        <f>IF(Calculs!$DY$11="","",Calculs!ED11)</f>
        <v/>
      </c>
      <c r="AQ58" s="116" t="str">
        <f>IF(Calculs!$DY$11="","",Calculs!EE11)</f>
        <v/>
      </c>
      <c r="AW58" s="149" t="str">
        <f>IF(Calculs!$DY$11="","",Calculs!EF11)</f>
        <v/>
      </c>
      <c r="BA58" s="149" t="str">
        <f>IF(Calculs!$DY$11="","",Calculs!EG11)</f>
        <v/>
      </c>
      <c r="BE58" s="118" t="str">
        <f>IF(Calculs!$DY$11="","",Calculs!EH11)</f>
        <v/>
      </c>
      <c r="BI58" s="17" t="n"/>
    </row>
    <row r="59" ht="16.5" customHeight="1">
      <c r="A59" s="17" t="n"/>
      <c r="B59" s="112" t="str">
        <f>IF(Calculs!$DY$12="","",Calculs!DX12)</f>
        <v/>
      </c>
      <c r="D59" s="113" t="str">
        <f>IF(Calculs!$DY$12="","",Calculs!DZ12)</f>
        <v/>
      </c>
      <c r="M59" s="114" t="str">
        <f>IF(Calculs!$DY$12="","",Calculs!EA12)</f>
        <v/>
      </c>
      <c r="V59" s="114" t="str">
        <f>IF(Calculs!$DY$12="","",Calculs!EB12)</f>
        <v/>
      </c>
      <c r="AE59" s="114" t="str">
        <f>IF(Calculs!$DY$12="","",Calculs!EC12)</f>
        <v/>
      </c>
      <c r="AL59" s="116" t="str">
        <f>IF(Calculs!$DY$12="","",Calculs!ED12)</f>
        <v/>
      </c>
      <c r="AQ59" s="116" t="str">
        <f>IF(Calculs!$DY$12="","",Calculs!EE12)</f>
        <v/>
      </c>
      <c r="AW59" s="149" t="str">
        <f>IF(Calculs!$DY$12="","",Calculs!EF12)</f>
        <v/>
      </c>
      <c r="BA59" s="149" t="str">
        <f>IF(Calculs!$DY$12="","",Calculs!EG12)</f>
        <v/>
      </c>
      <c r="BE59" s="118" t="str">
        <f>IF(Calculs!$DY$12="","",Calculs!EH12)</f>
        <v/>
      </c>
      <c r="BI59" s="17" t="n"/>
    </row>
    <row r="60" ht="16.5" customHeight="1">
      <c r="A60" s="17" t="n"/>
      <c r="B60" s="112" t="str">
        <f>IF(Calculs!$DY$13="","",Calculs!DX13)</f>
        <v/>
      </c>
      <c r="D60" s="113" t="str">
        <f>IF(Calculs!$DY$13="","",Calculs!DZ13)</f>
        <v/>
      </c>
      <c r="M60" s="114" t="str">
        <f>IF(Calculs!$DY$13="","",Calculs!EA13)</f>
        <v/>
      </c>
      <c r="V60" s="114" t="str">
        <f>IF(Calculs!$DY$13="","",Calculs!EB13)</f>
        <v/>
      </c>
      <c r="AE60" s="114" t="str">
        <f>IF(Calculs!$DY$13="","",Calculs!EC13)</f>
        <v/>
      </c>
      <c r="AL60" s="116" t="str">
        <f>IF(Calculs!$DY$13="","",Calculs!ED13)</f>
        <v/>
      </c>
      <c r="AQ60" s="116" t="str">
        <f>IF(Calculs!$DY$13="","",Calculs!EE13)</f>
        <v/>
      </c>
      <c r="AW60" s="149" t="str">
        <f>IF(Calculs!$DY$13="","",Calculs!EF13)</f>
        <v/>
      </c>
      <c r="BA60" s="149" t="str">
        <f>IF(Calculs!$DY$13="","",Calculs!EG13)</f>
        <v/>
      </c>
      <c r="BE60" s="118" t="str">
        <f>IF(Calculs!$DY$13="","",Calculs!EH13)</f>
        <v/>
      </c>
      <c r="BI60" s="17" t="n"/>
    </row>
    <row r="61" ht="16.5" customHeight="1">
      <c r="A61" s="17" t="n"/>
      <c r="B61" s="112" t="str">
        <f>IF(Calculs!$DY$14="","",Calculs!DX14)</f>
        <v/>
      </c>
      <c r="D61" s="113" t="str">
        <f>IF(Calculs!$DY$14="","",Calculs!DZ14)</f>
        <v/>
      </c>
      <c r="M61" s="114" t="str">
        <f>IF(Calculs!$DY$14="","",Calculs!EA14)</f>
        <v/>
      </c>
      <c r="V61" s="114" t="str">
        <f>IF(Calculs!$DY$14="","",Calculs!EB14)</f>
        <v/>
      </c>
      <c r="AE61" s="114" t="str">
        <f>IF(Calculs!$DY$14="","",Calculs!EC14)</f>
        <v/>
      </c>
      <c r="AL61" s="116" t="str">
        <f>IF(Calculs!$DY$14="","",Calculs!ED14)</f>
        <v/>
      </c>
      <c r="AQ61" s="116" t="str">
        <f>IF(Calculs!$DY$14="","",Calculs!EE14)</f>
        <v/>
      </c>
      <c r="AW61" s="149" t="str">
        <f>IF(Calculs!$DY$14="","",Calculs!EF14)</f>
        <v/>
      </c>
      <c r="BA61" s="149" t="str">
        <f>IF(Calculs!$DY$14="","",Calculs!EG14)</f>
        <v/>
      </c>
      <c r="BE61" s="118" t="str">
        <f>IF(Calculs!$DY$14="","",Calculs!EH14)</f>
        <v/>
      </c>
      <c r="BI61" s="17" t="n"/>
    </row>
    <row r="62" ht="16.5" customHeight="1">
      <c r="A62" s="17" t="n"/>
      <c r="B62" s="112" t="str">
        <f>IF(Calculs!$DY$15="","",Calculs!DX15)</f>
        <v/>
      </c>
      <c r="D62" s="113" t="str">
        <f>IF(Calculs!$DY$15="","",Calculs!DZ15)</f>
        <v/>
      </c>
      <c r="M62" s="114" t="str">
        <f>IF(Calculs!$DY$15="","",Calculs!EA15)</f>
        <v/>
      </c>
      <c r="V62" s="114" t="str">
        <f>IF(Calculs!$DY$15="","",Calculs!EB15)</f>
        <v/>
      </c>
      <c r="AE62" s="114" t="str">
        <f>IF(Calculs!$DY$15="","",Calculs!EC15)</f>
        <v/>
      </c>
      <c r="AL62" s="116" t="str">
        <f>IF(Calculs!$DY$15="","",Calculs!ED15)</f>
        <v/>
      </c>
      <c r="AQ62" s="116" t="str">
        <f>IF(Calculs!$DY$15="","",Calculs!EE15)</f>
        <v/>
      </c>
      <c r="AW62" s="149" t="str">
        <f>IF(Calculs!$DY$15="","",Calculs!EF15)</f>
        <v/>
      </c>
      <c r="BA62" s="149" t="str">
        <f>IF(Calculs!$DY$15="","",Calculs!EG15)</f>
        <v/>
      </c>
      <c r="BE62" s="118" t="str">
        <f>IF(Calculs!$DY$15="","",Calculs!EH15)</f>
        <v/>
      </c>
      <c r="BI62" s="17" t="n"/>
    </row>
    <row r="63" ht="16.5" customHeight="1">
      <c r="A63" s="17" t="n"/>
      <c r="B63" s="112" t="str">
        <f>IF(Calculs!$DY$16="","",Calculs!DX16)</f>
        <v/>
      </c>
      <c r="D63" s="113" t="str">
        <f>IF(Calculs!$DY$16="","",Calculs!DZ16)</f>
        <v/>
      </c>
      <c r="M63" s="114" t="str">
        <f>IF(Calculs!$DY$16="","",Calculs!EA16)</f>
        <v/>
      </c>
      <c r="V63" s="114" t="str">
        <f>IF(Calculs!$DY$16="","",Calculs!EB16)</f>
        <v/>
      </c>
      <c r="AE63" s="114" t="str">
        <f>IF(Calculs!$DY$16="","",Calculs!EC16)</f>
        <v/>
      </c>
      <c r="AL63" s="116" t="str">
        <f>IF(Calculs!$DY$16="","",Calculs!ED16)</f>
        <v/>
      </c>
      <c r="AQ63" s="116" t="str">
        <f>IF(Calculs!$DY$16="","",Calculs!EE16)</f>
        <v/>
      </c>
      <c r="AW63" s="149" t="str">
        <f>IF(Calculs!$DY$16="","",Calculs!EF16)</f>
        <v/>
      </c>
      <c r="BA63" s="149" t="str">
        <f>IF(Calculs!$DY$16="","",Calculs!EG16)</f>
        <v/>
      </c>
      <c r="BE63" s="118" t="str">
        <f>IF(Calculs!$DY$16="","",Calculs!EH16)</f>
        <v/>
      </c>
      <c r="BI63" s="17" t="n"/>
    </row>
    <row r="64" ht="16.5" customHeight="1">
      <c r="A64" s="17" t="n"/>
      <c r="B64" s="112" t="str">
        <f>IF(Calculs!$DY$17="","",Calculs!DX17)</f>
        <v/>
      </c>
      <c r="D64" s="113" t="str">
        <f>IF(Calculs!$DY$17="","",Calculs!DZ17)</f>
        <v/>
      </c>
      <c r="M64" s="114" t="str">
        <f>IF(Calculs!$DY$17="","",Calculs!EA17)</f>
        <v/>
      </c>
      <c r="V64" s="114" t="str">
        <f>IF(Calculs!$DY$17="","",Calculs!EB17)</f>
        <v/>
      </c>
      <c r="AE64" s="114" t="str">
        <f>IF(Calculs!$DY$17="","",Calculs!EC17)</f>
        <v/>
      </c>
      <c r="AL64" s="116" t="str">
        <f>IF(Calculs!$DY$17="","",Calculs!ED17)</f>
        <v/>
      </c>
      <c r="AQ64" s="116" t="str">
        <f>IF(Calculs!$DY$17="","",Calculs!EE17)</f>
        <v/>
      </c>
      <c r="AW64" s="149" t="str">
        <f>IF(Calculs!$DY$17="","",Calculs!EF17)</f>
        <v/>
      </c>
      <c r="BA64" s="149" t="str">
        <f>IF(Calculs!$DY$17="","",Calculs!EG17)</f>
        <v/>
      </c>
      <c r="BE64" s="118" t="str">
        <f>IF(Calculs!$DY$17="","",Calculs!EH17)</f>
        <v/>
      </c>
      <c r="BI64" s="17" t="n"/>
    </row>
    <row r="65" ht="16.5" customHeight="1">
      <c r="A65" s="17" t="n"/>
      <c r="B65" s="112" t="str">
        <f>IF(Calculs!$DY$18="","",Calculs!DX18)</f>
        <v/>
      </c>
      <c r="D65" s="113" t="str">
        <f>IF(Calculs!$DY$18="","",Calculs!DZ18)</f>
        <v/>
      </c>
      <c r="M65" s="114" t="str">
        <f>IF(Calculs!$DY$18="","",Calculs!EA18)</f>
        <v/>
      </c>
      <c r="V65" s="114" t="str">
        <f>IF(Calculs!$DY$18="","",Calculs!EB18)</f>
        <v/>
      </c>
      <c r="AE65" s="114" t="str">
        <f>IF(Calculs!$DY$18="","",Calculs!EC18)</f>
        <v/>
      </c>
      <c r="AL65" s="116" t="str">
        <f>IF(Calculs!$DY$18="","",Calculs!ED18)</f>
        <v/>
      </c>
      <c r="AQ65" s="116" t="str">
        <f>IF(Calculs!$DY$18="","",Calculs!EE18)</f>
        <v/>
      </c>
      <c r="AW65" s="149" t="str">
        <f>IF(Calculs!$DY$18="","",Calculs!EF18)</f>
        <v/>
      </c>
      <c r="BA65" s="149" t="str">
        <f>IF(Calculs!$DY$18="","",Calculs!EG18)</f>
        <v/>
      </c>
      <c r="BE65" s="118" t="str">
        <f>IF(Calculs!$DY$18="","",Calculs!EH18)</f>
        <v/>
      </c>
      <c r="BI65" s="17" t="n"/>
    </row>
    <row r="66" ht="14" customHeight="1">
      <c r="A66" s="17" t="n"/>
      <c r="B66" s="120" t="str">
        <f>IF(Calculs!$CD$28&gt;15,"Seules les 15 plus grosses lignes sont listées sur "&amp;Calculs!$CD$28&amp;".",IF(AND(Calculs!$CD$4&lt;&gt;"",Calculs!$CD$28=0),"Aucune affaire affectée à cette ressource dans le périmètre.",""))</f>
        <v/>
      </c>
      <c r="BI66" s="17" t="n"/>
    </row>
    <row r="67" ht="14" customHeight="1">
      <c r="A67" s="17" t="n"/>
      <c r="B67" s="17" t="n"/>
      <c r="C67" s="17" t="n"/>
      <c r="D67" s="17" t="n"/>
      <c r="E67" s="17" t="n"/>
      <c r="F67" s="17" t="n"/>
      <c r="G67" s="17" t="n"/>
      <c r="H67" s="17" t="n"/>
      <c r="I67" s="17" t="n"/>
      <c r="J67" s="17" t="n"/>
      <c r="K67" s="17" t="n"/>
      <c r="L67" s="17" t="n"/>
      <c r="M67" s="17" t="n"/>
      <c r="N67" s="17" t="n"/>
      <c r="O67" s="17" t="n"/>
      <c r="P67" s="17" t="n"/>
      <c r="Q67" s="17" t="n"/>
      <c r="R67" s="17" t="n"/>
      <c r="S67" s="17" t="n"/>
      <c r="T67" s="17" t="n"/>
      <c r="U67" s="17" t="n"/>
      <c r="V67" s="17" t="n"/>
      <c r="W67" s="17" t="n"/>
      <c r="X67" s="17" t="n"/>
      <c r="Y67" s="17" t="n"/>
      <c r="Z67" s="17" t="n"/>
      <c r="AA67" s="17" t="n"/>
      <c r="AB67" s="17" t="n"/>
      <c r="AC67" s="17" t="n"/>
      <c r="AD67" s="17" t="n"/>
      <c r="AE67" s="17" t="n"/>
      <c r="AF67" s="17" t="n"/>
      <c r="AG67" s="17" t="n"/>
      <c r="AH67" s="17" t="n"/>
      <c r="AI67" s="17" t="n"/>
      <c r="AJ67" s="17" t="n"/>
      <c r="AK67" s="17" t="n"/>
      <c r="AL67" s="17" t="n"/>
      <c r="AM67" s="17" t="n"/>
      <c r="AN67" s="17" t="n"/>
      <c r="AO67" s="17" t="n"/>
      <c r="AP67" s="17" t="n"/>
      <c r="AQ67" s="17" t="n"/>
      <c r="AR67" s="17" t="n"/>
      <c r="AS67" s="17" t="n"/>
      <c r="AT67" s="17" t="n"/>
      <c r="AU67" s="17" t="n"/>
      <c r="AV67" s="17" t="n"/>
      <c r="AW67" s="17" t="n"/>
      <c r="AX67" s="17" t="n"/>
      <c r="AY67" s="17" t="n"/>
      <c r="AZ67" s="17" t="n"/>
      <c r="BA67" s="17" t="n"/>
      <c r="BB67" s="17" t="n"/>
      <c r="BC67" s="17" t="n"/>
      <c r="BD67" s="17" t="n"/>
      <c r="BE67" s="17" t="n"/>
      <c r="BF67" s="17" t="n"/>
      <c r="BG67" s="17" t="n"/>
      <c r="BH67" s="17" t="n"/>
      <c r="BI67" s="17" t="n"/>
    </row>
    <row r="68" ht="20" customHeight="1">
      <c r="A68" s="17" t="n"/>
      <c r="B68" s="41" t="inlineStr">
        <is>
          <t>OCCUPATION DE L'ÉQUIPE (charge fixe + projets, en % de la capacité)</t>
        </is>
      </c>
      <c r="C68" s="42" t="n"/>
      <c r="D68" s="42" t="n"/>
      <c r="E68" s="42" t="n"/>
      <c r="F68" s="42" t="n"/>
      <c r="G68" s="42" t="n"/>
      <c r="H68" s="42" t="n"/>
      <c r="I68" s="42" t="n"/>
      <c r="J68" s="42" t="n"/>
      <c r="K68" s="42" t="n"/>
      <c r="L68" s="42" t="n"/>
      <c r="M68" s="42" t="n"/>
      <c r="N68" s="42" t="n"/>
      <c r="O68" s="42" t="n"/>
      <c r="P68" s="42" t="n"/>
      <c r="Q68" s="42" t="n"/>
      <c r="R68" s="42" t="n"/>
      <c r="S68" s="42" t="n"/>
      <c r="T68" s="42" t="n"/>
      <c r="U68" s="42" t="n"/>
      <c r="V68" s="42" t="n"/>
      <c r="W68" s="42" t="n"/>
      <c r="X68" s="42" t="n"/>
      <c r="Y68" s="42" t="n"/>
      <c r="Z68" s="42" t="n"/>
      <c r="AA68" s="42" t="n"/>
      <c r="AB68" s="42" t="n"/>
      <c r="AC68" s="42" t="n"/>
      <c r="AD68" s="42" t="n"/>
      <c r="AE68" s="42" t="n"/>
      <c r="AF68" s="42" t="n"/>
      <c r="AG68" s="42" t="n"/>
      <c r="AH68" s="42" t="n"/>
      <c r="AI68" s="42" t="n"/>
      <c r="AJ68" s="42" t="n"/>
      <c r="AK68" s="42" t="n"/>
      <c r="AL68" s="42" t="n"/>
      <c r="AM68" s="42" t="n"/>
      <c r="AN68" s="42" t="n"/>
      <c r="AO68" s="42" t="n"/>
      <c r="AP68" s="42" t="n"/>
      <c r="AQ68" s="42" t="n"/>
      <c r="AR68" s="42" t="n"/>
      <c r="AS68" s="42" t="n"/>
      <c r="AT68" s="42" t="n"/>
      <c r="AU68" s="42" t="n"/>
      <c r="AV68" s="42" t="n"/>
      <c r="AW68" s="42" t="n"/>
      <c r="AX68" s="42" t="n"/>
      <c r="AY68" s="42" t="n"/>
      <c r="AZ68" s="42" t="n"/>
      <c r="BA68" s="42" t="n"/>
      <c r="BB68" s="42" t="n"/>
      <c r="BC68" s="42" t="n"/>
      <c r="BD68" s="42" t="n"/>
      <c r="BE68" s="42" t="n"/>
      <c r="BF68" s="42" t="n"/>
      <c r="BG68" s="42" t="n"/>
      <c r="BH68" s="42" t="n"/>
      <c r="BI68" s="17" t="n"/>
    </row>
    <row r="69" ht="6" customHeight="1">
      <c r="A69" s="17" t="n"/>
      <c r="B69" s="17" t="n"/>
      <c r="C69" s="17" t="n"/>
      <c r="D69" s="17" t="n"/>
      <c r="E69" s="17" t="n"/>
      <c r="F69" s="17" t="n"/>
      <c r="G69" s="17" t="n"/>
      <c r="H69" s="17" t="n"/>
      <c r="I69" s="17" t="n"/>
      <c r="J69" s="17" t="n"/>
      <c r="K69" s="17" t="n"/>
      <c r="L69" s="17" t="n"/>
      <c r="M69" s="17" t="n"/>
      <c r="N69" s="17" t="n"/>
      <c r="O69" s="17" t="n"/>
      <c r="P69" s="17" t="n"/>
      <c r="Q69" s="17" t="n"/>
      <c r="R69" s="17" t="n"/>
      <c r="S69" s="17" t="n"/>
      <c r="T69" s="17" t="n"/>
      <c r="U69" s="17" t="n"/>
      <c r="V69" s="17" t="n"/>
      <c r="W69" s="17" t="n"/>
      <c r="X69" s="17" t="n"/>
      <c r="Y69" s="17" t="n"/>
      <c r="Z69" s="17" t="n"/>
      <c r="AA69" s="17" t="n"/>
      <c r="AB69" s="17" t="n"/>
      <c r="AC69" s="17" t="n"/>
      <c r="AD69" s="17" t="n"/>
      <c r="AE69" s="17" t="n"/>
      <c r="AF69" s="17" t="n"/>
      <c r="AG69" s="17" t="n"/>
      <c r="AH69" s="17" t="n"/>
      <c r="AI69" s="17" t="n"/>
      <c r="AJ69" s="17" t="n"/>
      <c r="AK69" s="17" t="n"/>
      <c r="AL69" s="17" t="n"/>
      <c r="AM69" s="17" t="n"/>
      <c r="AN69" s="17" t="n"/>
      <c r="AO69" s="17" t="n"/>
      <c r="AP69" s="17" t="n"/>
      <c r="AQ69" s="17" t="n"/>
      <c r="AR69" s="17" t="n"/>
      <c r="AS69" s="17" t="n"/>
      <c r="AT69" s="17" t="n"/>
      <c r="AU69" s="17" t="n"/>
      <c r="AV69" s="17" t="n"/>
      <c r="AW69" s="17" t="n"/>
      <c r="AX69" s="17" t="n"/>
      <c r="AY69" s="17" t="n"/>
      <c r="AZ69" s="17" t="n"/>
      <c r="BA69" s="17" t="n"/>
      <c r="BB69" s="17" t="n"/>
      <c r="BC69" s="17" t="n"/>
      <c r="BD69" s="17" t="n"/>
      <c r="BE69" s="17" t="n"/>
      <c r="BF69" s="17" t="n"/>
      <c r="BG69" s="17" t="n"/>
      <c r="BH69" s="17" t="n"/>
      <c r="BI69" s="17" t="n"/>
    </row>
    <row r="70" ht="6" customHeight="1">
      <c r="A70" s="17" t="n"/>
      <c r="B70" s="45" t="n"/>
      <c r="C70" s="30" t="n"/>
      <c r="D70" s="30" t="n"/>
      <c r="E70" s="30" t="n"/>
      <c r="F70" s="30" t="n"/>
      <c r="G70" s="30" t="n"/>
      <c r="H70" s="30" t="n"/>
      <c r="I70" s="30" t="n"/>
      <c r="J70" s="30" t="n"/>
      <c r="K70" s="30" t="n"/>
      <c r="L70" s="30" t="n"/>
      <c r="M70" s="30" t="n"/>
      <c r="N70" s="30" t="n"/>
      <c r="O70" s="30" t="n"/>
      <c r="P70" s="30" t="n"/>
      <c r="Q70" s="30" t="n"/>
      <c r="R70" s="30" t="n"/>
      <c r="S70" s="30" t="n"/>
      <c r="T70" s="30" t="n"/>
      <c r="U70" s="30" t="n"/>
      <c r="V70" s="30" t="n"/>
      <c r="W70" s="30" t="n"/>
      <c r="X70" s="30" t="n"/>
      <c r="Y70" s="30" t="n"/>
      <c r="Z70" s="30" t="n"/>
      <c r="AA70" s="30" t="n"/>
      <c r="AB70" s="30" t="n"/>
      <c r="AC70" s="30" t="n"/>
      <c r="AD70" s="30" t="n"/>
      <c r="AE70" s="30" t="n"/>
      <c r="AF70" s="30" t="n"/>
      <c r="AG70" s="30" t="n"/>
      <c r="AH70" s="30" t="n"/>
      <c r="AI70" s="30" t="n"/>
      <c r="AJ70" s="30" t="n"/>
      <c r="AK70" s="30" t="n"/>
      <c r="AL70" s="30" t="n"/>
      <c r="AM70" s="30" t="n"/>
      <c r="AN70" s="30" t="n"/>
      <c r="AO70" s="30" t="n"/>
      <c r="AP70" s="30" t="n"/>
      <c r="AQ70" s="30" t="n"/>
      <c r="AR70" s="30" t="n"/>
      <c r="AS70" s="30" t="n"/>
      <c r="AT70" s="30" t="n"/>
      <c r="AU70" s="30" t="n"/>
      <c r="AV70" s="30" t="n"/>
      <c r="AW70" s="30" t="n"/>
      <c r="AX70" s="30" t="n"/>
      <c r="AY70" s="30" t="n"/>
      <c r="AZ70" s="30" t="n"/>
      <c r="BA70" s="30" t="n"/>
      <c r="BB70" s="30" t="n"/>
      <c r="BC70" s="30" t="n"/>
      <c r="BD70" s="30" t="n"/>
      <c r="BE70" s="30" t="n"/>
      <c r="BF70" s="30" t="n"/>
      <c r="BG70" s="30" t="n"/>
      <c r="BH70" s="46" t="n"/>
      <c r="BI70" s="17" t="n"/>
    </row>
    <row r="71" ht="15" customHeight="1">
      <c r="A71" s="17" t="n"/>
      <c r="B71" s="50" t="n"/>
      <c r="C71" s="150" t="inlineStr">
        <is>
          <t>Vert : moins de 90 %   ·   Orange : de 90 à 100 %   ·   Rouge : au-delà de 100 % (surcharge)   ·   les 16 premières ressources des listes Data (dessinateurs puis externes)</t>
        </is>
      </c>
      <c r="BH71" s="52" t="n"/>
      <c r="BI71" s="17" t="n"/>
    </row>
    <row r="72" ht="18" customHeight="1">
      <c r="A72" s="17" t="n"/>
      <c r="B72" s="50" t="n"/>
      <c r="C72" s="140" t="inlineStr">
        <is>
          <t>Ressource</t>
        </is>
      </c>
      <c r="D72" s="44" t="n"/>
      <c r="E72" s="44" t="n"/>
      <c r="F72" s="44" t="n"/>
      <c r="G72" s="44" t="n"/>
      <c r="H72" s="44" t="n"/>
      <c r="I72" s="44" t="n"/>
      <c r="J72" s="151" t="n"/>
      <c r="K72" s="151" t="n"/>
      <c r="L72" s="152">
        <f>Calculs!CW3</f>
        <v>46266.0</v>
      </c>
      <c r="M72" s="44" t="n"/>
      <c r="N72" s="44" t="n"/>
      <c r="O72" s="44" t="n"/>
      <c r="P72" s="152">
        <f>Calculs!CX3</f>
        <v>46296.0</v>
      </c>
      <c r="Q72" s="44" t="n"/>
      <c r="R72" s="44" t="n"/>
      <c r="S72" s="44" t="n"/>
      <c r="T72" s="152">
        <f>Calculs!CY3</f>
        <v>46327.0</v>
      </c>
      <c r="U72" s="44" t="n"/>
      <c r="V72" s="44" t="n"/>
      <c r="W72" s="44" t="n"/>
      <c r="X72" s="152">
        <f>Calculs!CZ3</f>
        <v>46357.0</v>
      </c>
      <c r="Y72" s="44" t="n"/>
      <c r="Z72" s="44" t="n"/>
      <c r="AA72" s="44" t="n"/>
      <c r="AB72" s="152">
        <f>Calculs!DA3</f>
        <v>46388.0</v>
      </c>
      <c r="AC72" s="44" t="n"/>
      <c r="AD72" s="44" t="n"/>
      <c r="AE72" s="44" t="n"/>
      <c r="AF72" s="152">
        <f>Calculs!DB3</f>
        <v>46419.0</v>
      </c>
      <c r="AG72" s="44" t="n"/>
      <c r="AH72" s="44" t="n"/>
      <c r="AI72" s="44" t="n"/>
      <c r="AJ72" s="152">
        <f>Calculs!DC3</f>
        <v>46447.0</v>
      </c>
      <c r="AK72" s="44" t="n"/>
      <c r="AL72" s="44" t="n"/>
      <c r="AM72" s="44" t="n"/>
      <c r="AN72" s="152">
        <f>Calculs!DD3</f>
        <v>46478.0</v>
      </c>
      <c r="AO72" s="44" t="n"/>
      <c r="AP72" s="44" t="n"/>
      <c r="AQ72" s="44" t="n"/>
      <c r="AR72" s="152">
        <f>Calculs!DE3</f>
        <v>46508.0</v>
      </c>
      <c r="AS72" s="44" t="n"/>
      <c r="AT72" s="44" t="n"/>
      <c r="AU72" s="44" t="n"/>
      <c r="AV72" s="152">
        <f>Calculs!DF3</f>
        <v>46539.0</v>
      </c>
      <c r="AW72" s="44" t="n"/>
      <c r="AX72" s="44" t="n"/>
      <c r="AY72" s="44" t="n"/>
      <c r="AZ72" s="152">
        <f>Calculs!DG3</f>
        <v>46569.0</v>
      </c>
      <c r="BA72" s="44" t="n"/>
      <c r="BB72" s="44" t="n"/>
      <c r="BC72" s="44" t="n"/>
      <c r="BD72" s="152">
        <f>Calculs!DH3</f>
        <v>46600.0</v>
      </c>
      <c r="BE72" s="44" t="n"/>
      <c r="BF72" s="44" t="n"/>
      <c r="BG72" s="44" t="n"/>
      <c r="BH72" s="52" t="n"/>
      <c r="BI72" s="17" t="n"/>
    </row>
    <row r="73" ht="16" customHeight="1">
      <c r="A73" s="17" t="n"/>
      <c r="B73" s="50" t="n"/>
      <c r="C73" s="153" t="str">
        <f>Calculs!CT4</f>
        <v>Lucas Garnier</v>
      </c>
      <c r="J73" s="154" t="str">
        <f>IF(Calculs!CT4="","",IF(Calculs!FB4="Externe","ext.",""))</f>
        <v/>
      </c>
      <c r="L73" s="155">
        <f>Calculs!DI4</f>
        <v>0.4</v>
      </c>
      <c r="P73" s="155">
        <f>Calculs!DJ4</f>
        <v>0.566666666666667</v>
      </c>
      <c r="T73" s="155">
        <f>Calculs!DK4</f>
        <v>1.01666666666667</v>
      </c>
      <c r="X73" s="155">
        <f>Calculs!DL4</f>
        <v>0.7</v>
      </c>
      <c r="AB73" s="155">
        <f>Calculs!DM4</f>
        <v>0.65</v>
      </c>
      <c r="AF73" s="155">
        <f>Calculs!DN4</f>
        <v>0.633333333333333</v>
      </c>
      <c r="AJ73" s="155">
        <f>Calculs!DO4</f>
        <v>0.7</v>
      </c>
      <c r="AN73" s="155">
        <f>Calculs!DP4</f>
        <v>0.166666666666667</v>
      </c>
      <c r="AR73" s="155">
        <f>Calculs!DQ4</f>
        <v>0.166666666666667</v>
      </c>
      <c r="AV73" s="155">
        <f>Calculs!DR4</f>
        <v>0.166666666666667</v>
      </c>
      <c r="AZ73" s="155">
        <f>Calculs!DS4</f>
        <v>0.166666666666667</v>
      </c>
      <c r="BD73" s="155">
        <f>Calculs!DT4</f>
        <v>0.166666666666667</v>
      </c>
      <c r="BH73" s="52" t="n"/>
      <c r="BI73" s="17" t="n"/>
    </row>
    <row r="74" ht="16" customHeight="1">
      <c r="A74" s="17" t="n"/>
      <c r="B74" s="50" t="n"/>
      <c r="C74" s="153" t="str">
        <f>Calculs!CT5</f>
        <v>Emma Faure</v>
      </c>
      <c r="J74" s="154" t="str">
        <f>IF(Calculs!CT5="","",IF(Calculs!FB5="Externe","ext.",""))</f>
        <v/>
      </c>
      <c r="L74" s="155">
        <f>Calculs!DI5</f>
        <v>0.166666666666667</v>
      </c>
      <c r="P74" s="155">
        <f>Calculs!DJ5</f>
        <v>0.166666666666667</v>
      </c>
      <c r="T74" s="155">
        <f>Calculs!DK5</f>
        <v>0.166666666666667</v>
      </c>
      <c r="X74" s="155">
        <f>Calculs!DL5</f>
        <v>0.65</v>
      </c>
      <c r="AB74" s="155">
        <f>Calculs!DM5</f>
        <v>0.933333333333333</v>
      </c>
      <c r="AF74" s="155">
        <f>Calculs!DN5</f>
        <v>1.01666666666667</v>
      </c>
      <c r="AJ74" s="155">
        <f>Calculs!DO5</f>
        <v>1.225</v>
      </c>
      <c r="AN74" s="155">
        <f>Calculs!DP5</f>
        <v>1.175</v>
      </c>
      <c r="AR74" s="155">
        <f>Calculs!DQ5</f>
        <v>1.09166666666667</v>
      </c>
      <c r="AV74" s="155">
        <f>Calculs!DR5</f>
        <v>0.425</v>
      </c>
      <c r="AZ74" s="155">
        <f>Calculs!DS5</f>
        <v>0.425</v>
      </c>
      <c r="BD74" s="155">
        <f>Calculs!DT5</f>
        <v>0.4</v>
      </c>
      <c r="BH74" s="52" t="n"/>
      <c r="BI74" s="17" t="n"/>
    </row>
    <row r="75" ht="16" customHeight="1">
      <c r="A75" s="17" t="n"/>
      <c r="B75" s="50" t="n"/>
      <c r="C75" s="153" t="str">
        <f>Calculs!CT6</f>
        <v>Hugo Mercier</v>
      </c>
      <c r="J75" s="154" t="str">
        <f>IF(Calculs!CT6="","",IF(Calculs!FB6="Externe","ext.",""))</f>
        <v/>
      </c>
      <c r="L75" s="155">
        <f>Calculs!DI6</f>
        <v>0.166666666666667</v>
      </c>
      <c r="P75" s="155">
        <f>Calculs!DJ6</f>
        <v>0.541666666666667</v>
      </c>
      <c r="T75" s="155">
        <f>Calculs!DK6</f>
        <v>0.691666666666667</v>
      </c>
      <c r="X75" s="155">
        <f>Calculs!DL6</f>
        <v>0.516666666666667</v>
      </c>
      <c r="AB75" s="155">
        <f>Calculs!DM6</f>
        <v>0.166666666666667</v>
      </c>
      <c r="AF75" s="155">
        <f>Calculs!DN6</f>
        <v>0.266666666666667</v>
      </c>
      <c r="AJ75" s="155">
        <f>Calculs!DO6</f>
        <v>0.625</v>
      </c>
      <c r="AN75" s="155">
        <f>Calculs!DP6</f>
        <v>0.775</v>
      </c>
      <c r="AR75" s="155">
        <f>Calculs!DQ6</f>
        <v>0.741666666666667</v>
      </c>
      <c r="AV75" s="155">
        <f>Calculs!DR6</f>
        <v>0.775</v>
      </c>
      <c r="AZ75" s="155">
        <f>Calculs!DS6</f>
        <v>0.55</v>
      </c>
      <c r="BD75" s="155">
        <f>Calculs!DT6</f>
        <v>0.55</v>
      </c>
      <c r="BH75" s="52" t="n"/>
      <c r="BI75" s="17" t="n"/>
    </row>
    <row r="76" ht="16" customHeight="1">
      <c r="A76" s="17" t="n"/>
      <c r="B76" s="50" t="n"/>
      <c r="C76" s="153" t="str">
        <f>Calculs!CT7</f>
        <v>Léa Chevalier</v>
      </c>
      <c r="J76" s="154" t="str">
        <f>IF(Calculs!CT7="","",IF(Calculs!FB7="Externe","ext.",""))</f>
        <v/>
      </c>
      <c r="L76" s="155">
        <f>Calculs!DI7</f>
        <v>0.208333333333333</v>
      </c>
      <c r="P76" s="155">
        <f>Calculs!DJ7</f>
        <v>0.96875</v>
      </c>
      <c r="T76" s="155">
        <f>Calculs!DK7</f>
        <v>1.40625</v>
      </c>
      <c r="X76" s="155">
        <f>Calculs!DL7</f>
        <v>1.40625</v>
      </c>
      <c r="AB76" s="155">
        <f>Calculs!DM7</f>
        <v>1.01041666666667</v>
      </c>
      <c r="AF76" s="155">
        <f>Calculs!DN7</f>
        <v>0.916666666666667</v>
      </c>
      <c r="AJ76" s="155">
        <f>Calculs!DO7</f>
        <v>1.02083333333333</v>
      </c>
      <c r="AN76" s="155">
        <f>Calculs!DP7</f>
        <v>0.979166666666667</v>
      </c>
      <c r="AR76" s="155">
        <f>Calculs!DQ7</f>
        <v>0.208333333333333</v>
      </c>
      <c r="AV76" s="155">
        <f>Calculs!DR7</f>
        <v>0.208333333333333</v>
      </c>
      <c r="AZ76" s="155">
        <f>Calculs!DS7</f>
        <v>0.208333333333333</v>
      </c>
      <c r="BD76" s="155">
        <f>Calculs!DT7</f>
        <v>0.208333333333333</v>
      </c>
      <c r="BH76" s="52" t="n"/>
      <c r="BI76" s="17" t="n"/>
    </row>
    <row r="77" ht="16" customHeight="1">
      <c r="A77" s="17" t="n"/>
      <c r="B77" s="50" t="n"/>
      <c r="C77" s="153" t="str">
        <f>Calculs!CT8</f>
        <v>Antoine Blanc</v>
      </c>
      <c r="J77" s="154" t="str">
        <f>IF(Calculs!CT8="","",IF(Calculs!FB8="Externe","ext.",""))</f>
        <v/>
      </c>
      <c r="L77" s="155">
        <f>Calculs!DI8</f>
        <v>0.166666666666667</v>
      </c>
      <c r="P77" s="155">
        <f>Calculs!DJ8</f>
        <v>0.166666666666667</v>
      </c>
      <c r="T77" s="155">
        <f>Calculs!DK8</f>
        <v>0.275</v>
      </c>
      <c r="X77" s="155">
        <f>Calculs!DL8</f>
        <v>0.575</v>
      </c>
      <c r="AB77" s="155">
        <f>Calculs!DM8</f>
        <v>0.358333333333333</v>
      </c>
      <c r="AF77" s="155">
        <f>Calculs!DN8</f>
        <v>0.566666666666667</v>
      </c>
      <c r="AJ77" s="155">
        <f>Calculs!DO8</f>
        <v>0.941666666666667</v>
      </c>
      <c r="AN77" s="155">
        <f>Calculs!DP8</f>
        <v>0.616666666666667</v>
      </c>
      <c r="AR77" s="155">
        <f>Calculs!DQ8</f>
        <v>0.591666666666667</v>
      </c>
      <c r="AV77" s="155">
        <f>Calculs!DR8</f>
        <v>0.616666666666667</v>
      </c>
      <c r="AZ77" s="155">
        <f>Calculs!DS8</f>
        <v>0.166666666666667</v>
      </c>
      <c r="BD77" s="155">
        <f>Calculs!DT8</f>
        <v>0.166666666666667</v>
      </c>
      <c r="BH77" s="52" t="n"/>
      <c r="BI77" s="17" t="n"/>
    </row>
    <row r="78" ht="16" customHeight="1">
      <c r="A78" s="17" t="n"/>
      <c r="B78" s="50" t="n"/>
      <c r="C78" s="153" t="str">
        <f>Calculs!CT9</f>
        <v>Paul Girard</v>
      </c>
      <c r="J78" s="154" t="str">
        <f>IF(Calculs!CT9="","",IF(Calculs!FB9="Externe","ext.",""))</f>
        <v>ext.</v>
      </c>
      <c r="L78" s="155">
        <f>Calculs!DI9</f>
        <v>0.166666666666667</v>
      </c>
      <c r="P78" s="155">
        <f>Calculs!DJ9</f>
        <v>0.166666666666667</v>
      </c>
      <c r="T78" s="155">
        <f>Calculs!DK9</f>
        <v>0.358333333333333</v>
      </c>
      <c r="X78" s="155">
        <f>Calculs!DL9</f>
        <v>0.616666666666667</v>
      </c>
      <c r="AB78" s="155">
        <f>Calculs!DM9</f>
        <v>0.583333333333333</v>
      </c>
      <c r="AF78" s="155">
        <f>Calculs!DN9</f>
        <v>0.558333333333333</v>
      </c>
      <c r="AJ78" s="155">
        <f>Calculs!DO9</f>
        <v>0.383333333333333</v>
      </c>
      <c r="AN78" s="155">
        <f>Calculs!DP9</f>
        <v>0.166666666666667</v>
      </c>
      <c r="AR78" s="155">
        <f>Calculs!DQ9</f>
        <v>0.166666666666667</v>
      </c>
      <c r="AV78" s="155">
        <f>Calculs!DR9</f>
        <v>0.166666666666667</v>
      </c>
      <c r="AZ78" s="155">
        <f>Calculs!DS9</f>
        <v>0.166666666666667</v>
      </c>
      <c r="BD78" s="155">
        <f>Calculs!DT9</f>
        <v>0.166666666666667</v>
      </c>
      <c r="BH78" s="52" t="n"/>
      <c r="BI78" s="17" t="n"/>
    </row>
    <row r="79" ht="16" customHeight="1">
      <c r="A79" s="17" t="n"/>
      <c r="B79" s="50" t="n"/>
      <c r="C79" s="153" t="str">
        <f>Calculs!CT10</f>
        <v>Inès Morel</v>
      </c>
      <c r="J79" s="154" t="str">
        <f>IF(Calculs!CT10="","",IF(Calculs!FB10="Externe","ext.",""))</f>
        <v>ext.</v>
      </c>
      <c r="L79" s="155">
        <f>Calculs!DI10</f>
        <v>0.166666666666667</v>
      </c>
      <c r="P79" s="155">
        <f>Calculs!DJ10</f>
        <v>0.166666666666667</v>
      </c>
      <c r="T79" s="155">
        <f>Calculs!DK10</f>
        <v>0.166666666666667</v>
      </c>
      <c r="X79" s="155">
        <f>Calculs!DL10</f>
        <v>0.166666666666667</v>
      </c>
      <c r="AB79" s="155">
        <f>Calculs!DM10</f>
        <v>0.166666666666667</v>
      </c>
      <c r="AF79" s="155">
        <f>Calculs!DN10</f>
        <v>0.166666666666667</v>
      </c>
      <c r="AJ79" s="155">
        <f>Calculs!DO10</f>
        <v>0.166666666666667</v>
      </c>
      <c r="AN79" s="155">
        <f>Calculs!DP10</f>
        <v>0.516666666666667</v>
      </c>
      <c r="AR79" s="155">
        <f>Calculs!DQ10</f>
        <v>0.7</v>
      </c>
      <c r="AV79" s="155">
        <f>Calculs!DR10</f>
        <v>0.725</v>
      </c>
      <c r="AZ79" s="155">
        <f>Calculs!DS10</f>
        <v>0.725</v>
      </c>
      <c r="BD79" s="155">
        <f>Calculs!DT10</f>
        <v>0.325</v>
      </c>
      <c r="BH79" s="52" t="n"/>
      <c r="BI79" s="17" t="n"/>
    </row>
    <row r="80" ht="16" customHeight="1">
      <c r="A80" s="17" t="n"/>
      <c r="B80" s="50" t="n"/>
      <c r="C80" s="153" t="str">
        <f>Calculs!CT11</f>
        <v>Karim Haddad</v>
      </c>
      <c r="J80" s="154" t="str">
        <f>IF(Calculs!CT11="","",IF(Calculs!FB11="Externe","ext.",""))</f>
        <v>ext.</v>
      </c>
      <c r="L80" s="155">
        <f>Calculs!DI11</f>
        <v>0.166666666666667</v>
      </c>
      <c r="P80" s="155">
        <f>Calculs!DJ11</f>
        <v>0.166666666666667</v>
      </c>
      <c r="T80" s="155">
        <f>Calculs!DK11</f>
        <v>0.166666666666667</v>
      </c>
      <c r="X80" s="155">
        <f>Calculs!DL11</f>
        <v>0.166666666666667</v>
      </c>
      <c r="AB80" s="155">
        <f>Calculs!DM11</f>
        <v>0.35</v>
      </c>
      <c r="AF80" s="155">
        <f>Calculs!DN11</f>
        <v>0.533333333333333</v>
      </c>
      <c r="AJ80" s="155">
        <f>Calculs!DO11</f>
        <v>0.5</v>
      </c>
      <c r="AN80" s="155">
        <f>Calculs!DP11</f>
        <v>0.4</v>
      </c>
      <c r="AR80" s="155">
        <f>Calculs!DQ11</f>
        <v>0.383333333333333</v>
      </c>
      <c r="AV80" s="155">
        <f>Calculs!DR11</f>
        <v>0.4</v>
      </c>
      <c r="AZ80" s="155">
        <f>Calculs!DS11</f>
        <v>0.4</v>
      </c>
      <c r="BD80" s="155">
        <f>Calculs!DT11</f>
        <v>0.4</v>
      </c>
      <c r="BH80" s="52" t="n"/>
      <c r="BI80" s="17" t="n"/>
    </row>
    <row r="81" ht="16" customHeight="1">
      <c r="A81" s="17" t="n"/>
      <c r="B81" s="50" t="n"/>
      <c r="C81" s="153" t="str">
        <f>Calculs!CT12</f>
        <v/>
      </c>
      <c r="J81" s="154" t="str">
        <f>IF(Calculs!CT12="","",IF(Calculs!FB12="Externe","ext.",""))</f>
        <v/>
      </c>
      <c r="L81" s="155" t="str">
        <f>Calculs!DI12</f>
        <v/>
      </c>
      <c r="P81" s="155" t="str">
        <f>Calculs!DJ12</f>
        <v/>
      </c>
      <c r="T81" s="155" t="str">
        <f>Calculs!DK12</f>
        <v/>
      </c>
      <c r="X81" s="155" t="str">
        <f>Calculs!DL12</f>
        <v/>
      </c>
      <c r="AB81" s="155" t="str">
        <f>Calculs!DM12</f>
        <v/>
      </c>
      <c r="AF81" s="155" t="str">
        <f>Calculs!DN12</f>
        <v/>
      </c>
      <c r="AJ81" s="155" t="str">
        <f>Calculs!DO12</f>
        <v/>
      </c>
      <c r="AN81" s="155" t="str">
        <f>Calculs!DP12</f>
        <v/>
      </c>
      <c r="AR81" s="155" t="str">
        <f>Calculs!DQ12</f>
        <v/>
      </c>
      <c r="AV81" s="155" t="str">
        <f>Calculs!DR12</f>
        <v/>
      </c>
      <c r="AZ81" s="155" t="str">
        <f>Calculs!DS12</f>
        <v/>
      </c>
      <c r="BD81" s="155" t="str">
        <f>Calculs!DT12</f>
        <v/>
      </c>
      <c r="BH81" s="52" t="n"/>
      <c r="BI81" s="17" t="n"/>
    </row>
    <row r="82" ht="16" customHeight="1">
      <c r="A82" s="17" t="n"/>
      <c r="B82" s="50" t="n"/>
      <c r="C82" s="153" t="str">
        <f>Calculs!CT13</f>
        <v/>
      </c>
      <c r="J82" s="154" t="str">
        <f>IF(Calculs!CT13="","",IF(Calculs!FB13="Externe","ext.",""))</f>
        <v/>
      </c>
      <c r="L82" s="155" t="str">
        <f>Calculs!DI13</f>
        <v/>
      </c>
      <c r="P82" s="155" t="str">
        <f>Calculs!DJ13</f>
        <v/>
      </c>
      <c r="T82" s="155" t="str">
        <f>Calculs!DK13</f>
        <v/>
      </c>
      <c r="X82" s="155" t="str">
        <f>Calculs!DL13</f>
        <v/>
      </c>
      <c r="AB82" s="155" t="str">
        <f>Calculs!DM13</f>
        <v/>
      </c>
      <c r="AF82" s="155" t="str">
        <f>Calculs!DN13</f>
        <v/>
      </c>
      <c r="AJ82" s="155" t="str">
        <f>Calculs!DO13</f>
        <v/>
      </c>
      <c r="AN82" s="155" t="str">
        <f>Calculs!DP13</f>
        <v/>
      </c>
      <c r="AR82" s="155" t="str">
        <f>Calculs!DQ13</f>
        <v/>
      </c>
      <c r="AV82" s="155" t="str">
        <f>Calculs!DR13</f>
        <v/>
      </c>
      <c r="AZ82" s="155" t="str">
        <f>Calculs!DS13</f>
        <v/>
      </c>
      <c r="BD82" s="155" t="str">
        <f>Calculs!DT13</f>
        <v/>
      </c>
      <c r="BH82" s="52" t="n"/>
      <c r="BI82" s="17" t="n"/>
    </row>
    <row r="83" ht="16" customHeight="1">
      <c r="A83" s="17" t="n"/>
      <c r="B83" s="50" t="n"/>
      <c r="C83" s="153" t="str">
        <f>Calculs!CT14</f>
        <v/>
      </c>
      <c r="J83" s="154" t="str">
        <f>IF(Calculs!CT14="","",IF(Calculs!FB14="Externe","ext.",""))</f>
        <v/>
      </c>
      <c r="L83" s="155" t="str">
        <f>Calculs!DI14</f>
        <v/>
      </c>
      <c r="P83" s="155" t="str">
        <f>Calculs!DJ14</f>
        <v/>
      </c>
      <c r="T83" s="155" t="str">
        <f>Calculs!DK14</f>
        <v/>
      </c>
      <c r="X83" s="155" t="str">
        <f>Calculs!DL14</f>
        <v/>
      </c>
      <c r="AB83" s="155" t="str">
        <f>Calculs!DM14</f>
        <v/>
      </c>
      <c r="AF83" s="155" t="str">
        <f>Calculs!DN14</f>
        <v/>
      </c>
      <c r="AJ83" s="155" t="str">
        <f>Calculs!DO14</f>
        <v/>
      </c>
      <c r="AN83" s="155" t="str">
        <f>Calculs!DP14</f>
        <v/>
      </c>
      <c r="AR83" s="155" t="str">
        <f>Calculs!DQ14</f>
        <v/>
      </c>
      <c r="AV83" s="155" t="str">
        <f>Calculs!DR14</f>
        <v/>
      </c>
      <c r="AZ83" s="155" t="str">
        <f>Calculs!DS14</f>
        <v/>
      </c>
      <c r="BD83" s="155" t="str">
        <f>Calculs!DT14</f>
        <v/>
      </c>
      <c r="BH83" s="52" t="n"/>
      <c r="BI83" s="17" t="n"/>
    </row>
    <row r="84" ht="16" customHeight="1">
      <c r="A84" s="17" t="n"/>
      <c r="B84" s="50" t="n"/>
      <c r="C84" s="153" t="str">
        <f>Calculs!CT15</f>
        <v/>
      </c>
      <c r="J84" s="154" t="str">
        <f>IF(Calculs!CT15="","",IF(Calculs!FB15="Externe","ext.",""))</f>
        <v/>
      </c>
      <c r="L84" s="155" t="str">
        <f>Calculs!DI15</f>
        <v/>
      </c>
      <c r="P84" s="155" t="str">
        <f>Calculs!DJ15</f>
        <v/>
      </c>
      <c r="T84" s="155" t="str">
        <f>Calculs!DK15</f>
        <v/>
      </c>
      <c r="X84" s="155" t="str">
        <f>Calculs!DL15</f>
        <v/>
      </c>
      <c r="AB84" s="155" t="str">
        <f>Calculs!DM15</f>
        <v/>
      </c>
      <c r="AF84" s="155" t="str">
        <f>Calculs!DN15</f>
        <v/>
      </c>
      <c r="AJ84" s="155" t="str">
        <f>Calculs!DO15</f>
        <v/>
      </c>
      <c r="AN84" s="155" t="str">
        <f>Calculs!DP15</f>
        <v/>
      </c>
      <c r="AR84" s="155" t="str">
        <f>Calculs!DQ15</f>
        <v/>
      </c>
      <c r="AV84" s="155" t="str">
        <f>Calculs!DR15</f>
        <v/>
      </c>
      <c r="AZ84" s="155" t="str">
        <f>Calculs!DS15</f>
        <v/>
      </c>
      <c r="BD84" s="155" t="str">
        <f>Calculs!DT15</f>
        <v/>
      </c>
      <c r="BH84" s="52" t="n"/>
      <c r="BI84" s="17" t="n"/>
    </row>
    <row r="85" ht="16" customHeight="1">
      <c r="A85" s="17" t="n"/>
      <c r="B85" s="50" t="n"/>
      <c r="C85" s="153" t="str">
        <f>Calculs!CT16</f>
        <v/>
      </c>
      <c r="J85" s="154" t="str">
        <f>IF(Calculs!CT16="","",IF(Calculs!FB16="Externe","ext.",""))</f>
        <v/>
      </c>
      <c r="L85" s="155" t="str">
        <f>Calculs!DI16</f>
        <v/>
      </c>
      <c r="P85" s="155" t="str">
        <f>Calculs!DJ16</f>
        <v/>
      </c>
      <c r="T85" s="155" t="str">
        <f>Calculs!DK16</f>
        <v/>
      </c>
      <c r="X85" s="155" t="str">
        <f>Calculs!DL16</f>
        <v/>
      </c>
      <c r="AB85" s="155" t="str">
        <f>Calculs!DM16</f>
        <v/>
      </c>
      <c r="AF85" s="155" t="str">
        <f>Calculs!DN16</f>
        <v/>
      </c>
      <c r="AJ85" s="155" t="str">
        <f>Calculs!DO16</f>
        <v/>
      </c>
      <c r="AN85" s="155" t="str">
        <f>Calculs!DP16</f>
        <v/>
      </c>
      <c r="AR85" s="155" t="str">
        <f>Calculs!DQ16</f>
        <v/>
      </c>
      <c r="AV85" s="155" t="str">
        <f>Calculs!DR16</f>
        <v/>
      </c>
      <c r="AZ85" s="155" t="str">
        <f>Calculs!DS16</f>
        <v/>
      </c>
      <c r="BD85" s="155" t="str">
        <f>Calculs!DT16</f>
        <v/>
      </c>
      <c r="BH85" s="52" t="n"/>
      <c r="BI85" s="17" t="n"/>
    </row>
    <row r="86" ht="16" customHeight="1">
      <c r="A86" s="17" t="n"/>
      <c r="B86" s="50" t="n"/>
      <c r="C86" s="153" t="str">
        <f>Calculs!CT17</f>
        <v/>
      </c>
      <c r="J86" s="154" t="str">
        <f>IF(Calculs!CT17="","",IF(Calculs!FB17="Externe","ext.",""))</f>
        <v/>
      </c>
      <c r="L86" s="155" t="str">
        <f>Calculs!DI17</f>
        <v/>
      </c>
      <c r="P86" s="155" t="str">
        <f>Calculs!DJ17</f>
        <v/>
      </c>
      <c r="T86" s="155" t="str">
        <f>Calculs!DK17</f>
        <v/>
      </c>
      <c r="X86" s="155" t="str">
        <f>Calculs!DL17</f>
        <v/>
      </c>
      <c r="AB86" s="155" t="str">
        <f>Calculs!DM17</f>
        <v/>
      </c>
      <c r="AF86" s="155" t="str">
        <f>Calculs!DN17</f>
        <v/>
      </c>
      <c r="AJ86" s="155" t="str">
        <f>Calculs!DO17</f>
        <v/>
      </c>
      <c r="AN86" s="155" t="str">
        <f>Calculs!DP17</f>
        <v/>
      </c>
      <c r="AR86" s="155" t="str">
        <f>Calculs!DQ17</f>
        <v/>
      </c>
      <c r="AV86" s="155" t="str">
        <f>Calculs!DR17</f>
        <v/>
      </c>
      <c r="AZ86" s="155" t="str">
        <f>Calculs!DS17</f>
        <v/>
      </c>
      <c r="BD86" s="155" t="str">
        <f>Calculs!DT17</f>
        <v/>
      </c>
      <c r="BH86" s="52" t="n"/>
      <c r="BI86" s="17" t="n"/>
    </row>
    <row r="87" ht="16" customHeight="1">
      <c r="A87" s="17" t="n"/>
      <c r="B87" s="50" t="n"/>
      <c r="C87" s="153" t="str">
        <f>Calculs!CT18</f>
        <v/>
      </c>
      <c r="J87" s="154" t="str">
        <f>IF(Calculs!CT18="","",IF(Calculs!FB18="Externe","ext.",""))</f>
        <v/>
      </c>
      <c r="L87" s="155" t="str">
        <f>Calculs!DI18</f>
        <v/>
      </c>
      <c r="P87" s="155" t="str">
        <f>Calculs!DJ18</f>
        <v/>
      </c>
      <c r="T87" s="155" t="str">
        <f>Calculs!DK18</f>
        <v/>
      </c>
      <c r="X87" s="155" t="str">
        <f>Calculs!DL18</f>
        <v/>
      </c>
      <c r="AB87" s="155" t="str">
        <f>Calculs!DM18</f>
        <v/>
      </c>
      <c r="AF87" s="155" t="str">
        <f>Calculs!DN18</f>
        <v/>
      </c>
      <c r="AJ87" s="155" t="str">
        <f>Calculs!DO18</f>
        <v/>
      </c>
      <c r="AN87" s="155" t="str">
        <f>Calculs!DP18</f>
        <v/>
      </c>
      <c r="AR87" s="155" t="str">
        <f>Calculs!DQ18</f>
        <v/>
      </c>
      <c r="AV87" s="155" t="str">
        <f>Calculs!DR18</f>
        <v/>
      </c>
      <c r="AZ87" s="155" t="str">
        <f>Calculs!DS18</f>
        <v/>
      </c>
      <c r="BD87" s="155" t="str">
        <f>Calculs!DT18</f>
        <v/>
      </c>
      <c r="BH87" s="52" t="n"/>
      <c r="BI87" s="17" t="n"/>
    </row>
    <row r="88" ht="16" customHeight="1">
      <c r="A88" s="17" t="n"/>
      <c r="B88" s="50" t="n"/>
      <c r="C88" s="153" t="str">
        <f>Calculs!CT19</f>
        <v/>
      </c>
      <c r="J88" s="154" t="str">
        <f>IF(Calculs!CT19="","",IF(Calculs!FB19="Externe","ext.",""))</f>
        <v/>
      </c>
      <c r="L88" s="155" t="str">
        <f>Calculs!DI19</f>
        <v/>
      </c>
      <c r="P88" s="155" t="str">
        <f>Calculs!DJ19</f>
        <v/>
      </c>
      <c r="T88" s="155" t="str">
        <f>Calculs!DK19</f>
        <v/>
      </c>
      <c r="X88" s="155" t="str">
        <f>Calculs!DL19</f>
        <v/>
      </c>
      <c r="AB88" s="155" t="str">
        <f>Calculs!DM19</f>
        <v/>
      </c>
      <c r="AF88" s="155" t="str">
        <f>Calculs!DN19</f>
        <v/>
      </c>
      <c r="AJ88" s="155" t="str">
        <f>Calculs!DO19</f>
        <v/>
      </c>
      <c r="AN88" s="155" t="str">
        <f>Calculs!DP19</f>
        <v/>
      </c>
      <c r="AR88" s="155" t="str">
        <f>Calculs!DQ19</f>
        <v/>
      </c>
      <c r="AV88" s="155" t="str">
        <f>Calculs!DR19</f>
        <v/>
      </c>
      <c r="AZ88" s="155" t="str">
        <f>Calculs!DS19</f>
        <v/>
      </c>
      <c r="BD88" s="155" t="str">
        <f>Calculs!DT19</f>
        <v/>
      </c>
      <c r="BH88" s="52" t="n"/>
      <c r="BI88" s="17" t="n"/>
    </row>
    <row r="89" ht="16" customHeight="1">
      <c r="A89" s="17" t="n"/>
      <c r="B89" s="50" t="n"/>
      <c r="C89" s="156" t="inlineStr">
        <is>
          <t>Charge non affectée (h)</t>
        </is>
      </c>
      <c r="D89" s="144" t="n"/>
      <c r="E89" s="144" t="n"/>
      <c r="F89" s="144" t="n"/>
      <c r="G89" s="144" t="n"/>
      <c r="H89" s="144" t="n"/>
      <c r="I89" s="144" t="n"/>
      <c r="J89" s="144" t="n"/>
      <c r="K89" s="144" t="n"/>
      <c r="L89" s="157">
        <f>Calculs!CW20</f>
        <v>0</v>
      </c>
      <c r="M89" s="144" t="n"/>
      <c r="N89" s="144" t="n"/>
      <c r="O89" s="144" t="n"/>
      <c r="P89" s="157">
        <f>Calculs!CX20</f>
        <v>0</v>
      </c>
      <c r="Q89" s="144" t="n"/>
      <c r="R89" s="144" t="n"/>
      <c r="S89" s="144" t="n"/>
      <c r="T89" s="157">
        <f>Calculs!CY20</f>
        <v>0</v>
      </c>
      <c r="U89" s="144" t="n"/>
      <c r="V89" s="144" t="n"/>
      <c r="W89" s="144" t="n"/>
      <c r="X89" s="157">
        <f>Calculs!CZ20</f>
        <v>0</v>
      </c>
      <c r="Y89" s="144" t="n"/>
      <c r="Z89" s="144" t="n"/>
      <c r="AA89" s="144" t="n"/>
      <c r="AB89" s="157">
        <f>Calculs!DA20</f>
        <v>0</v>
      </c>
      <c r="AC89" s="144" t="n"/>
      <c r="AD89" s="144" t="n"/>
      <c r="AE89" s="144" t="n"/>
      <c r="AF89" s="157">
        <f>Calculs!DB20</f>
        <v>0</v>
      </c>
      <c r="AG89" s="144" t="n"/>
      <c r="AH89" s="144" t="n"/>
      <c r="AI89" s="144" t="n"/>
      <c r="AJ89" s="157">
        <f>Calculs!DC20</f>
        <v>25.5555555555556</v>
      </c>
      <c r="AK89" s="144" t="n"/>
      <c r="AL89" s="144" t="n"/>
      <c r="AM89" s="144" t="n"/>
      <c r="AN89" s="157">
        <f>Calculs!DD20</f>
        <v>24.4444444444444</v>
      </c>
      <c r="AO89" s="144" t="n"/>
      <c r="AP89" s="144" t="n"/>
      <c r="AQ89" s="144" t="n"/>
      <c r="AR89" s="157">
        <f>Calculs!DE20</f>
        <v>0</v>
      </c>
      <c r="AS89" s="144" t="n"/>
      <c r="AT89" s="144" t="n"/>
      <c r="AU89" s="144" t="n"/>
      <c r="AV89" s="157">
        <f>Calculs!DF20</f>
        <v>0</v>
      </c>
      <c r="AW89" s="144" t="n"/>
      <c r="AX89" s="144" t="n"/>
      <c r="AY89" s="144" t="n"/>
      <c r="AZ89" s="157">
        <f>Calculs!DG20</f>
        <v>0</v>
      </c>
      <c r="BA89" s="144" t="n"/>
      <c r="BB89" s="144" t="n"/>
      <c r="BC89" s="144" t="n"/>
      <c r="BD89" s="157">
        <f>Calculs!DH20</f>
        <v>0</v>
      </c>
      <c r="BE89" s="144" t="n"/>
      <c r="BF89" s="144" t="n"/>
      <c r="BG89" s="144" t="n"/>
      <c r="BH89" s="52" t="n"/>
      <c r="BI89" s="17" t="n"/>
    </row>
    <row r="90" ht="16" customHeight="1">
      <c r="A90" s="17" t="n"/>
      <c r="B90" s="50" t="n"/>
      <c r="C90" s="158" t="inlineStr">
        <is>
          <t>Autres ressources (h)</t>
        </is>
      </c>
      <c r="L90" s="159">
        <f>Calculs!CW21</f>
        <v>0</v>
      </c>
      <c r="P90" s="159">
        <f>Calculs!CX21</f>
        <v>0</v>
      </c>
      <c r="T90" s="159">
        <f>Calculs!CY21</f>
        <v>0</v>
      </c>
      <c r="X90" s="159">
        <f>Calculs!CZ21</f>
        <v>0</v>
      </c>
      <c r="AB90" s="159">
        <f>Calculs!DA21</f>
        <v>0</v>
      </c>
      <c r="AF90" s="159">
        <f>Calculs!DB21</f>
        <v>0</v>
      </c>
      <c r="AJ90" s="159">
        <f>Calculs!DC21</f>
        <v>0</v>
      </c>
      <c r="AN90" s="159">
        <f>Calculs!DD21</f>
        <v>0</v>
      </c>
      <c r="AR90" s="159">
        <f>Calculs!DE21</f>
        <v>0</v>
      </c>
      <c r="AV90" s="159">
        <f>Calculs!DF21</f>
        <v>0</v>
      </c>
      <c r="AZ90" s="159">
        <f>Calculs!DG21</f>
        <v>0</v>
      </c>
      <c r="BD90" s="159">
        <f>Calculs!DH21</f>
        <v>0</v>
      </c>
      <c r="BH90" s="52" t="n"/>
      <c r="BI90" s="17" t="n"/>
    </row>
    <row r="91" ht="8" customHeight="1">
      <c r="A91" s="17" t="n"/>
      <c r="B91" s="34" t="n"/>
      <c r="C91" s="35" t="n"/>
      <c r="D91" s="35" t="n"/>
      <c r="E91" s="35" t="n"/>
      <c r="F91" s="35" t="n"/>
      <c r="G91" s="35" t="n"/>
      <c r="H91" s="35" t="n"/>
      <c r="I91" s="35" t="n"/>
      <c r="J91" s="35" t="n"/>
      <c r="K91" s="35" t="n"/>
      <c r="L91" s="35" t="n"/>
      <c r="M91" s="35" t="n"/>
      <c r="N91" s="35" t="n"/>
      <c r="O91" s="35" t="n"/>
      <c r="P91" s="35" t="n"/>
      <c r="Q91" s="35" t="n"/>
      <c r="R91" s="35" t="n"/>
      <c r="S91" s="35" t="n"/>
      <c r="T91" s="35" t="n"/>
      <c r="U91" s="35" t="n"/>
      <c r="V91" s="35" t="n"/>
      <c r="W91" s="35" t="n"/>
      <c r="X91" s="35" t="n"/>
      <c r="Y91" s="35" t="n"/>
      <c r="Z91" s="35" t="n"/>
      <c r="AA91" s="35" t="n"/>
      <c r="AB91" s="35" t="n"/>
      <c r="AC91" s="35" t="n"/>
      <c r="AD91" s="35" t="n"/>
      <c r="AE91" s="35" t="n"/>
      <c r="AF91" s="35" t="n"/>
      <c r="AG91" s="35" t="n"/>
      <c r="AH91" s="35" t="n"/>
      <c r="AI91" s="35" t="n"/>
      <c r="AJ91" s="35" t="n"/>
      <c r="AK91" s="35" t="n"/>
      <c r="AL91" s="35" t="n"/>
      <c r="AM91" s="35" t="n"/>
      <c r="AN91" s="35" t="n"/>
      <c r="AO91" s="35" t="n"/>
      <c r="AP91" s="35" t="n"/>
      <c r="AQ91" s="35" t="n"/>
      <c r="AR91" s="35" t="n"/>
      <c r="AS91" s="35" t="n"/>
      <c r="AT91" s="35" t="n"/>
      <c r="AU91" s="35" t="n"/>
      <c r="AV91" s="35" t="n"/>
      <c r="AW91" s="35" t="n"/>
      <c r="AX91" s="35" t="n"/>
      <c r="AY91" s="35" t="n"/>
      <c r="AZ91" s="35" t="n"/>
      <c r="BA91" s="35" t="n"/>
      <c r="BB91" s="35" t="n"/>
      <c r="BC91" s="35" t="n"/>
      <c r="BD91" s="35" t="n"/>
      <c r="BE91" s="35" t="n"/>
      <c r="BF91" s="35" t="n"/>
      <c r="BG91" s="35" t="n"/>
      <c r="BH91" s="81" t="n"/>
      <c r="BI91" s="17" t="n"/>
    </row>
    <row r="92" ht="14" customHeight="1">
      <c r="A92" s="17" t="n"/>
      <c r="B92" s="17" t="n"/>
      <c r="C92" s="17" t="n"/>
      <c r="D92" s="17" t="n"/>
      <c r="E92" s="17" t="n"/>
      <c r="F92" s="17" t="n"/>
      <c r="G92" s="17" t="n"/>
      <c r="H92" s="17" t="n"/>
      <c r="I92" s="17" t="n"/>
      <c r="J92" s="17" t="n"/>
      <c r="K92" s="17" t="n"/>
      <c r="L92" s="17" t="n"/>
      <c r="M92" s="17" t="n"/>
      <c r="N92" s="17" t="n"/>
      <c r="O92" s="17" t="n"/>
      <c r="P92" s="17" t="n"/>
      <c r="Q92" s="17" t="n"/>
      <c r="R92" s="17" t="n"/>
      <c r="S92" s="17" t="n"/>
      <c r="T92" s="17" t="n"/>
      <c r="U92" s="17" t="n"/>
      <c r="V92" s="17" t="n"/>
      <c r="W92" s="17" t="n"/>
      <c r="X92" s="17" t="n"/>
      <c r="Y92" s="17" t="n"/>
      <c r="Z92" s="17" t="n"/>
      <c r="AA92" s="17" t="n"/>
      <c r="AB92" s="17" t="n"/>
      <c r="AC92" s="17" t="n"/>
      <c r="AD92" s="17" t="n"/>
      <c r="AE92" s="17" t="n"/>
      <c r="AF92" s="17" t="n"/>
      <c r="AG92" s="17" t="n"/>
      <c r="AH92" s="17" t="n"/>
      <c r="AI92" s="17" t="n"/>
      <c r="AJ92" s="17" t="n"/>
      <c r="AK92" s="17" t="n"/>
      <c r="AL92" s="17" t="n"/>
      <c r="AM92" s="17" t="n"/>
      <c r="AN92" s="17" t="n"/>
      <c r="AO92" s="17" t="n"/>
      <c r="AP92" s="17" t="n"/>
      <c r="AQ92" s="17" t="n"/>
      <c r="AR92" s="17" t="n"/>
      <c r="AS92" s="17" t="n"/>
      <c r="AT92" s="17" t="n"/>
      <c r="AU92" s="17" t="n"/>
      <c r="AV92" s="17" t="n"/>
      <c r="AW92" s="17" t="n"/>
      <c r="AX92" s="17" t="n"/>
      <c r="AY92" s="17" t="n"/>
      <c r="AZ92" s="17" t="n"/>
      <c r="BA92" s="17" t="n"/>
      <c r="BB92" s="17" t="n"/>
      <c r="BC92" s="17" t="n"/>
      <c r="BD92" s="17" t="n"/>
      <c r="BE92" s="17" t="n"/>
      <c r="BF92" s="17" t="n"/>
      <c r="BG92" s="17" t="n"/>
      <c r="BH92" s="17" t="n"/>
      <c r="BI92" s="17" t="n"/>
    </row>
    <row r="93">
      <c r="A93" s="17" t="n"/>
      <c r="B93" s="121"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7" t="n"/>
    </row>
    <row r="94">
      <c r="A94" s="17" t="n"/>
      <c r="B94" s="121"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7" t="n"/>
    </row>
    <row r="95">
      <c r="A95" s="17" t="n"/>
      <c r="B95" s="160" t="str">
        <f>IF(Calculs!$CD$27&gt;0,"Attention : "&amp;Calculs!$CD$27&amp;" ligne(s) de l'onglet Charge ont à la fois un dessinateur (K) et une ressource externe (L) : seule la colonne K est comptée. Faire une ligne par ressource.","")</f>
        <v/>
      </c>
      <c r="BI95" s="17" t="n"/>
    </row>
    <row r="96">
      <c r="A96" s="17" t="n"/>
      <c r="B96" s="160" t="str">
        <f>IF(Calculs!$CD$23+Calculs!$CD$26&gt;16,"Attention : les listes Data contiennent "&amp;(Calculs!$CD$23+Calculs!$CD$26)&amp;" ressources, seules les 16 premières apparaissent dans le tableau d'occupation (le choix en haut de page fonctionne pour toutes).","")</f>
        <v/>
      </c>
      <c r="BI96" s="17" t="n"/>
    </row>
    <row r="97" ht="10.5" customHeight="1">
      <c r="A97" s="17" t="n"/>
      <c r="B97" s="17" t="n"/>
      <c r="C97" s="17" t="n"/>
      <c r="D97" s="17" t="n"/>
      <c r="E97" s="17" t="n"/>
      <c r="F97" s="17" t="n"/>
      <c r="G97" s="17" t="n"/>
      <c r="H97" s="17" t="n"/>
      <c r="I97" s="17" t="n"/>
      <c r="J97" s="17" t="n"/>
      <c r="K97" s="17" t="n"/>
      <c r="L97" s="17" t="n"/>
      <c r="M97" s="17" t="n"/>
      <c r="N97" s="17" t="n"/>
      <c r="O97" s="17" t="n"/>
      <c r="P97" s="17" t="n"/>
      <c r="Q97" s="17" t="n"/>
      <c r="R97" s="17" t="n"/>
      <c r="S97" s="17" t="n"/>
      <c r="T97" s="17" t="n"/>
      <c r="U97" s="17" t="n"/>
      <c r="V97" s="17" t="n"/>
      <c r="W97" s="17" t="n"/>
      <c r="X97" s="17" t="n"/>
      <c r="Y97" s="17" t="n"/>
      <c r="Z97" s="17" t="n"/>
      <c r="AA97" s="17" t="n"/>
      <c r="AB97" s="17" t="n"/>
      <c r="AC97" s="17" t="n"/>
      <c r="AD97" s="17" t="n"/>
      <c r="AE97" s="17" t="n"/>
      <c r="AF97" s="17" t="n"/>
      <c r="AG97" s="17" t="n"/>
      <c r="AH97" s="17" t="n"/>
      <c r="AI97" s="17" t="n"/>
      <c r="AJ97" s="17" t="n"/>
      <c r="AK97" s="17" t="n"/>
      <c r="AL97" s="17" t="n"/>
      <c r="AM97" s="17" t="n"/>
      <c r="AN97" s="17" t="n"/>
      <c r="AO97" s="17" t="n"/>
      <c r="AP97" s="17" t="n"/>
      <c r="AQ97" s="17" t="n"/>
      <c r="AR97" s="17" t="n"/>
      <c r="AS97" s="17" t="n"/>
      <c r="AT97" s="17" t="n"/>
      <c r="AU97" s="17" t="n"/>
      <c r="AV97" s="17" t="n"/>
      <c r="AW97" s="17" t="n"/>
      <c r="AX97" s="17" t="n"/>
      <c r="AY97" s="17" t="n"/>
      <c r="AZ97" s="17" t="n"/>
      <c r="BA97" s="17" t="n"/>
      <c r="BB97" s="17" t="n"/>
      <c r="BC97" s="17" t="n"/>
      <c r="BD97" s="17" t="n"/>
      <c r="BE97" s="17" t="n"/>
      <c r="BF97" s="17" t="n"/>
      <c r="BG97" s="17" t="n"/>
      <c r="BH97" s="17" t="n"/>
      <c r="BI97" s="17" t="n"/>
    </row>
  </sheetData>
  <mergeCells count="565">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C4:AD4"/>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BL9:BQ14"/>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4">
      <formula>LEFT($G$7,7)="Absent "</formula>
    </cfRule>
  </conditionalFormatting>
  <conditionalFormatting sqref="AA12">
    <cfRule type="expression" priority="2" dxfId="4">
      <formula>AND(ISNUMBER($AA$14),$AA$14&gt;1)</formula>
    </cfRule>
  </conditionalFormatting>
  <conditionalFormatting sqref="AA14">
    <cfRule type="expression" priority="3" dxfId="4">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4">
      <formula>LEFT($C$14,9)="Attention"</formula>
    </cfRule>
  </conditionalFormatting>
  <conditionalFormatting sqref="L44:BG44">
    <cfRule type="expression" priority="7" dxfId="4">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5">
      <formula>AND($B51&lt;&gt;"",MOD(ROW(),2)=0)</formula>
    </cfRule>
    <cfRule type="expression" priority="13" dxfId="6">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1">
    <dataValidation sqref="G6" showDropDown="0" showInputMessage="0" showErrorMessage="1" allowBlank="1" errorTitle="Ressource inconnue" error="Choisir un nom de la liste (onglet Data : dessinateurs colonne E, externes colonne H)." type="list">
      <formula1>lst_Ressources</formula1>
    </dataValidation>
  </dataValidations>
  <printOptions horizontalCentered="1"/>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M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 width="13" customWidth="1" min="162" max="162"/>
    <col width="13" customWidth="1" min="163" max="163"/>
    <col width="13" customWidth="1" min="164" max="164"/>
    <col width="13" customWidth="1" min="165" max="165"/>
    <col width="13" customWidth="1" min="166" max="166"/>
    <col width="13" customWidth="1" min="167" max="167"/>
    <col width="13" customWidth="1" min="168" max="168"/>
    <col width="14" customWidth="1" min="169" max="169"/>
  </cols>
  <sheetData>
    <row r="1">
      <c r="A1" s="161" t="inlineStr">
        <is>
          <t>CALCULS INTERMÉDIAIRES — alimentent le Dashboard, ne pas modifier</t>
        </is>
      </c>
    </row>
    <row r="2">
      <c r="V2" s="162" t="inlineStr">
        <is>
          <t>Fin de mois →</t>
        </is>
      </c>
      <c r="W2" s="163">
        <f>EOMONTH(W3,0)</f>
        <v>46295.0</v>
      </c>
      <c r="X2" s="163">
        <f>EOMONTH(X3,0)</f>
        <v>46326.0</v>
      </c>
      <c r="Y2" s="163">
        <f>EOMONTH(Y3,0)</f>
        <v>46356.0</v>
      </c>
      <c r="Z2" s="163">
        <f>EOMONTH(Z3,0)</f>
        <v>46387.0</v>
      </c>
      <c r="AA2" s="163">
        <f>EOMONTH(AA3,0)</f>
        <v>46418.0</v>
      </c>
      <c r="AB2" s="163">
        <f>EOMONTH(AB3,0)</f>
        <v>46446.0</v>
      </c>
      <c r="AC2" s="163">
        <f>EOMONTH(AC3,0)</f>
        <v>46477.0</v>
      </c>
      <c r="AD2" s="163">
        <f>EOMONTH(AD3,0)</f>
        <v>46507.0</v>
      </c>
      <c r="AE2" s="163">
        <f>EOMONTH(AE3,0)</f>
        <v>46538.0</v>
      </c>
      <c r="AF2" s="163">
        <f>EOMONTH(AF3,0)</f>
        <v>46568.0</v>
      </c>
      <c r="AG2" s="163">
        <f>EOMONTH(AG3,0)</f>
        <v>46599.0</v>
      </c>
      <c r="AH2" s="163">
        <f>EOMONTH(AH3,0)</f>
        <v>46630.0</v>
      </c>
      <c r="CW2" t="inlineStr">
        <is>
          <t>Heures projets par mois →</t>
        </is>
      </c>
      <c r="DI2" t="inlineStr">
        <is>
          <t>Occupation (charge fixe + projets) / capacité →</t>
        </is>
      </c>
    </row>
    <row r="3" ht="54" customHeight="1">
      <c r="A3" s="164" t="inlineStr">
        <is>
          <t>Ligne (onglet Charge)</t>
        </is>
      </c>
      <c r="B3" s="164" t="inlineStr">
        <is>
          <t>Affaire valide (projet renseigné)</t>
        </is>
      </c>
      <c r="C3" s="164" t="inlineStr">
        <is>
          <t>Avancement (0-1)</t>
        </is>
      </c>
      <c r="D3" s="164" t="inlineStr">
        <is>
          <t>Incluse dans le périmètre</t>
        </is>
      </c>
      <c r="E3" s="164" t="inlineStr">
        <is>
          <t>Charge incluse (h)</t>
        </is>
      </c>
      <c r="F3" s="164" t="inlineStr">
        <is>
          <t>Chef de projet</t>
        </is>
      </c>
      <c r="G3" s="164" t="inlineStr">
        <is>
          <t>Projet</t>
        </is>
      </c>
      <c r="H3" s="164" t="inlineStr">
        <is>
          <t>Type</t>
        </is>
      </c>
      <c r="I3" s="164" t="inlineStr">
        <is>
          <t>Début planifié</t>
        </is>
      </c>
      <c r="J3" s="164" t="inlineStr">
        <is>
          <t>Fin de répartition</t>
        </is>
      </c>
      <c r="K3" s="164" t="inlineStr">
        <is>
          <t>Jours ouvrés de la période</t>
        </is>
      </c>
      <c r="L3" s="164" t="inlineStr">
        <is>
          <t>Rang affaire (charge décroissante)</t>
        </is>
      </c>
      <c r="M3" s="164" t="inlineStr">
        <is>
          <t>1re occurrence chef</t>
        </is>
      </c>
      <c r="N3" s="164" t="inlineStr">
        <is>
          <t>Charge du chef</t>
        </is>
      </c>
      <c r="O3" s="164" t="inlineStr">
        <is>
          <t>Rang chef</t>
        </is>
      </c>
      <c r="P3" s="164" t="inlineStr">
        <is>
          <t>1re occurrence projet</t>
        </is>
      </c>
      <c r="Q3" s="164" t="inlineStr">
        <is>
          <t>Charge du projet</t>
        </is>
      </c>
      <c r="R3" s="164" t="inlineStr">
        <is>
          <t>Rang projet</t>
        </is>
      </c>
      <c r="S3" s="164" t="inlineStr">
        <is>
          <t>1re occurrence type</t>
        </is>
      </c>
      <c r="T3" s="164" t="inlineStr">
        <is>
          <t>Charge du type</t>
        </is>
      </c>
      <c r="U3" s="164" t="inlineStr">
        <is>
          <t>Rang type</t>
        </is>
      </c>
      <c r="V3" s="164" t="inlineStr">
        <is>
          <t>Groupe couleur (projet)</t>
        </is>
      </c>
      <c r="W3" s="165">
        <f>$AL$14</f>
        <v>46266.0</v>
      </c>
      <c r="X3" s="165">
        <f>EDATE(W3,1)</f>
        <v>46296.0</v>
      </c>
      <c r="Y3" s="165">
        <f>EDATE(X3,1)</f>
        <v>46327.0</v>
      </c>
      <c r="Z3" s="165">
        <f>EDATE(Y3,1)</f>
        <v>46357.0</v>
      </c>
      <c r="AA3" s="165">
        <f>EDATE(Z3,1)</f>
        <v>46388.0</v>
      </c>
      <c r="AB3" s="165">
        <f>EDATE(AA3,1)</f>
        <v>46419.0</v>
      </c>
      <c r="AC3" s="165">
        <f>EDATE(AB3,1)</f>
        <v>46447.0</v>
      </c>
      <c r="AD3" s="165">
        <f>EDATE(AC3,1)</f>
        <v>46478.0</v>
      </c>
      <c r="AE3" s="165">
        <f>EDATE(AD3,1)</f>
        <v>46508.0</v>
      </c>
      <c r="AF3" s="165">
        <f>EDATE(AE3,1)</f>
        <v>46539.0</v>
      </c>
      <c r="AG3" s="165">
        <f>EDATE(AF3,1)</f>
        <v>46569.0</v>
      </c>
      <c r="AH3" s="165">
        <f>EDATE(AG3,1)</f>
        <v>46600.0</v>
      </c>
      <c r="AI3" s="164" t="inlineStr">
        <is>
          <t>Charge sur la période (h)</t>
        </is>
      </c>
      <c r="AK3" s="166" t="inlineStr">
        <is>
          <t>Indicateur</t>
        </is>
      </c>
      <c r="AL3" s="166" t="inlineStr">
        <is>
          <t>Valeur</t>
        </is>
      </c>
      <c r="AN3" s="166" t="inlineStr">
        <is>
          <t>N° mois</t>
        </is>
      </c>
      <c r="AO3" s="166" t="inlineStr">
        <is>
          <t>Mois</t>
        </is>
      </c>
      <c r="AP3" s="166" t="inlineStr">
        <is>
          <t>Charge (h)</t>
        </is>
      </c>
      <c r="AQ3" s="166" t="inlineStr">
        <is>
          <t>Affaires actives</t>
        </is>
      </c>
      <c r="AS3" s="166" t="inlineStr">
        <is>
          <t>Groupe</t>
        </is>
      </c>
      <c r="AT3" s="166" t="inlineStr">
        <is>
          <t>Projet</t>
        </is>
      </c>
      <c r="AU3" s="166" t="inlineStr">
        <is>
          <t>Charge (h)</t>
        </is>
      </c>
      <c r="AV3" s="166" t="inlineStr">
        <is>
          <t>Part</t>
        </is>
      </c>
      <c r="AW3" s="167">
        <f>W$3</f>
        <v>46266.0</v>
      </c>
      <c r="AX3" s="167">
        <f>X$3</f>
        <v>46296.0</v>
      </c>
      <c r="AY3" s="167">
        <f>Y$3</f>
        <v>46327.0</v>
      </c>
      <c r="AZ3" s="167">
        <f>Z$3</f>
        <v>46357.0</v>
      </c>
      <c r="BA3" s="167">
        <f>AA$3</f>
        <v>46388.0</v>
      </c>
      <c r="BB3" s="167">
        <f>AB$3</f>
        <v>46419.0</v>
      </c>
      <c r="BC3" s="167">
        <f>AC$3</f>
        <v>46447.0</v>
      </c>
      <c r="BD3" s="167">
        <f>AD$3</f>
        <v>46478.0</v>
      </c>
      <c r="BE3" s="167">
        <f>AE$3</f>
        <v>46508.0</v>
      </c>
      <c r="BF3" s="167">
        <f>AF$3</f>
        <v>46539.0</v>
      </c>
      <c r="BG3" s="167">
        <f>AG$3</f>
        <v>46569.0</v>
      </c>
      <c r="BH3" s="167">
        <f>AH$3</f>
        <v>46600.0</v>
      </c>
      <c r="BK3" s="166" t="inlineStr">
        <is>
          <t>Rang</t>
        </is>
      </c>
      <c r="BL3" s="166" t="inlineStr">
        <is>
          <t>Chef de projet</t>
        </is>
      </c>
      <c r="BM3" s="166" t="inlineStr">
        <is>
          <t>Charge (h)</t>
        </is>
      </c>
      <c r="BO3" s="166" t="inlineStr">
        <is>
          <t>Rang</t>
        </is>
      </c>
      <c r="BP3" s="166" t="inlineStr">
        <is>
          <t>Projet</t>
        </is>
      </c>
      <c r="BQ3" s="166" t="inlineStr">
        <is>
          <t>Charge (h)</t>
        </is>
      </c>
      <c r="BS3" s="166" t="inlineStr">
        <is>
          <t>Rang</t>
        </is>
      </c>
      <c r="BT3" s="166" t="inlineStr">
        <is>
          <t>Type</t>
        </is>
      </c>
      <c r="BU3" s="166" t="inlineStr">
        <is>
          <t>Charge (h)</t>
        </is>
      </c>
      <c r="BW3" s="166" t="inlineStr">
        <is>
          <t>Rang</t>
        </is>
      </c>
      <c r="BX3" s="166" t="inlineStr">
        <is>
          <t>Position dans Charge</t>
        </is>
      </c>
      <c r="BY3" s="166" t="inlineStr">
        <is>
          <t>Retard (2 date dépassée, 1 écart)</t>
        </is>
      </c>
      <c r="BZ3" s="12" t="inlineStr">
        <is>
          <t>Ressource de la ligne (K sinon L)</t>
        </is>
      </c>
      <c r="CA3" s="12" t="inlineStr">
        <is>
          <t>Rang affaire du dessinateur sélectionné</t>
        </is>
      </c>
      <c r="CC3" s="12" t="inlineStr">
        <is>
          <t>Dessinateur sélectionné</t>
        </is>
      </c>
      <c r="CD3" s="12" t="inlineStr">
        <is>
          <t>Valeur</t>
        </is>
      </c>
      <c r="CF3" s="12" t="inlineStr">
        <is>
          <t>N° mois</t>
        </is>
      </c>
      <c r="CG3" s="12" t="inlineStr">
        <is>
          <t>Mois</t>
        </is>
      </c>
      <c r="CH3" s="12" t="inlineStr">
        <is>
          <t>Charge fixe (h)</t>
        </is>
      </c>
      <c r="CI3" s="12" t="inlineStr">
        <is>
          <t>Charge projets (h)</t>
        </is>
      </c>
      <c r="CJ3" s="12" t="inlineStr">
        <is>
          <t>Charge totale (h)</t>
        </is>
      </c>
      <c r="CK3" s="12" t="inlineStr">
        <is>
          <t>Capacité (h)</t>
        </is>
      </c>
      <c r="CL3" s="12" t="inlineStr">
        <is>
          <t>Projets dans la capacité (h)</t>
        </is>
      </c>
      <c r="CM3" s="12" t="inlineStr">
        <is>
          <t>Dépassement (h)</t>
        </is>
      </c>
      <c r="CN3" s="12" t="inlineStr">
        <is>
          <t>Marge (+) / dépassement (-) (h, total arrondi)</t>
        </is>
      </c>
      <c r="CO3" s="12" t="inlineStr">
        <is>
          <t>Occupation (total arrondi)</t>
        </is>
      </c>
      <c r="CP3" s="12" t="inlineStr">
        <is>
          <t>Charge totale arrondie (h)</t>
        </is>
      </c>
      <c r="CQ3" s="12" t="inlineStr">
        <is>
          <t>N° mois si surcharge</t>
        </is>
      </c>
      <c r="CS3" s="12" t="inlineStr">
        <is>
          <t>N°</t>
        </is>
      </c>
      <c r="CT3" s="12" t="inlineStr">
        <is>
          <t>Ressource</t>
        </is>
      </c>
      <c r="CU3" s="12" t="inlineStr">
        <is>
          <t>Capacité (h)</t>
        </is>
      </c>
      <c r="CV3" s="12" t="inlineStr">
        <is>
          <t>Charge fixe (h)</t>
        </is>
      </c>
      <c r="CW3" s="168">
        <f>W$3</f>
        <v>46266.0</v>
      </c>
      <c r="CX3" s="168">
        <f>X$3</f>
        <v>46296.0</v>
      </c>
      <c r="CY3" s="168">
        <f>Y$3</f>
        <v>46327.0</v>
      </c>
      <c r="CZ3" s="168">
        <f>Z$3</f>
        <v>46357.0</v>
      </c>
      <c r="DA3" s="168">
        <f>AA$3</f>
        <v>46388.0</v>
      </c>
      <c r="DB3" s="168">
        <f>AB$3</f>
        <v>46419.0</v>
      </c>
      <c r="DC3" s="168">
        <f>AC$3</f>
        <v>46447.0</v>
      </c>
      <c r="DD3" s="168">
        <f>AD$3</f>
        <v>46478.0</v>
      </c>
      <c r="DE3" s="168">
        <f>AE$3</f>
        <v>46508.0</v>
      </c>
      <c r="DF3" s="168">
        <f>AF$3</f>
        <v>46539.0</v>
      </c>
      <c r="DG3" s="168">
        <f>AG$3</f>
        <v>46569.0</v>
      </c>
      <c r="DH3" s="168">
        <f>AH$3</f>
        <v>46600.0</v>
      </c>
      <c r="DI3" s="168">
        <f>W$3</f>
        <v>46266.0</v>
      </c>
      <c r="DJ3" s="168">
        <f>X$3</f>
        <v>46296.0</v>
      </c>
      <c r="DK3" s="168">
        <f>Y$3</f>
        <v>46327.0</v>
      </c>
      <c r="DL3" s="168">
        <f>Z$3</f>
        <v>46357.0</v>
      </c>
      <c r="DM3" s="168">
        <f>AA$3</f>
        <v>46388.0</v>
      </c>
      <c r="DN3" s="168">
        <f>AB$3</f>
        <v>46419.0</v>
      </c>
      <c r="DO3" s="168">
        <f>AC$3</f>
        <v>46447.0</v>
      </c>
      <c r="DP3" s="168">
        <f>AD$3</f>
        <v>46478.0</v>
      </c>
      <c r="DQ3" s="168">
        <f>AE$3</f>
        <v>46508.0</v>
      </c>
      <c r="DR3" s="168">
        <f>AF$3</f>
        <v>46539.0</v>
      </c>
      <c r="DS3" s="168">
        <f>AG$3</f>
        <v>46569.0</v>
      </c>
      <c r="DT3" s="168">
        <f>AH$3</f>
        <v>46600.0</v>
      </c>
      <c r="DU3" s="12" t="inlineStr">
        <is>
          <t>Occupation maximale</t>
        </is>
      </c>
      <c r="DV3" s="12" t="inlineStr">
        <is>
          <t>Charge projets sur la période (h)</t>
        </is>
      </c>
      <c r="DX3" s="12" t="inlineStr">
        <is>
          <t>Rang</t>
        </is>
      </c>
      <c r="DY3" s="12" t="inlineStr">
        <is>
          <t>Position dans Charge</t>
        </is>
      </c>
      <c r="DZ3" s="12" t="inlineStr">
        <is>
          <t>Projet</t>
        </is>
      </c>
      <c r="EA3" s="12" t="inlineStr">
        <is>
          <t>Sous-projet</t>
        </is>
      </c>
      <c r="EB3" s="12" t="inlineStr">
        <is>
          <t>Produit</t>
        </is>
      </c>
      <c r="EC3" s="12" t="inlineStr">
        <is>
          <t>Chef de projet</t>
        </is>
      </c>
      <c r="ED3" s="12" t="inlineStr">
        <is>
          <t>Charge (h)</t>
        </is>
      </c>
      <c r="EE3" s="12" t="inlineStr">
        <is>
          <t>Heures sur la période</t>
        </is>
      </c>
      <c r="EF3" s="12" t="inlineStr">
        <is>
          <t>Début planifié</t>
        </is>
      </c>
      <c r="EG3" s="12" t="inlineStr">
        <is>
          <t>Date de besoin</t>
        </is>
      </c>
      <c r="EH3" s="12" t="inlineStr">
        <is>
          <t>Avancement</t>
        </is>
      </c>
      <c r="EJ3" s="12" t="inlineStr">
        <is>
          <t>Dessinateurs Data (nettoyés)</t>
        </is>
      </c>
      <c r="EK3" s="12" t="inlineStr">
        <is>
          <t>Ressources externes Data (nettoyées)</t>
        </is>
      </c>
      <c r="EM3" s="164" t="inlineStr">
        <is>
          <t>Type de ressource de la ligne</t>
        </is>
      </c>
      <c r="EN3" s="164" t="inlineStr">
        <is>
          <t>Clé affaire (projet | sous-projet | produit)</t>
        </is>
      </c>
      <c r="EO3" s="164" t="inlineStr">
        <is>
          <t>1re ligne de l'affaire</t>
        </is>
      </c>
      <c r="EP3" s="164" t="inlineStr">
        <is>
          <t>Charge de l'affaire (h)</t>
        </is>
      </c>
      <c r="EQ3" s="164" t="inlineStr">
        <is>
          <t>Rang de l'affaire</t>
        </is>
      </c>
      <c r="ER3" s="164" t="inlineStr">
        <is>
          <t>Personnes internes (distinctes)</t>
        </is>
      </c>
      <c r="ES3" s="164" t="inlineStr">
        <is>
          <t>Personnes externes (distinctes)</t>
        </is>
      </c>
      <c r="ET3" s="164" t="inlineStr">
        <is>
          <t>Ressources (texte)</t>
        </is>
      </c>
      <c r="EU3" s="164" t="inlineStr">
        <is>
          <t>Avancement de l'affaire (pondéré par les heures)</t>
        </is>
      </c>
      <c r="EV3" s="164" t="inlineStr">
        <is>
          <t>Début de la ligne (31/12/9999 = vide)</t>
        </is>
      </c>
      <c r="EW3" s="164" t="inlineStr">
        <is>
          <t>Début de l'affaire (le plus tôt)</t>
        </is>
      </c>
      <c r="EX3" s="164" t="inlineStr">
        <is>
          <t>Besoin de la ligne (0 = vide)</t>
        </is>
      </c>
      <c r="EY3" s="164" t="inlineStr">
        <is>
          <t>Besoin de l'affaire (le plus tard)</t>
        </is>
      </c>
      <c r="FA3" s="12" t="inlineStr">
        <is>
          <t>Ressources : dessinateurs puis externes (liste déroulante)</t>
        </is>
      </c>
      <c r="FB3" s="12" t="inlineStr">
        <is>
          <t>Type</t>
        </is>
      </c>
      <c r="FD3" s="164" t="inlineStr">
        <is>
          <t>Ligne avec dessinateur ET externe (1 = à corriger)</t>
        </is>
      </c>
      <c r="FE3" s="164" t="inlineStr">
        <is>
          <t>1re ligne de cette ressource sur l'affaire</t>
        </is>
      </c>
      <c r="FF3" s="164" t="inlineStr">
        <is>
          <t>Clé affaire, toutes lignes valides (périmètre ignoré)</t>
        </is>
      </c>
      <c r="FG3" s="164" t="inlineStr">
        <is>
          <t>Heures de la ligne (périmètre ignoré)</t>
        </is>
      </c>
      <c r="FH3" s="164" t="inlineStr">
        <is>
          <t>Heures de l'affaire (toutes ses lignes)</t>
        </is>
      </c>
      <c r="FI3" s="164" t="inlineStr">
        <is>
          <t>Heures réalisées de l'affaire (selon avancement)</t>
        </is>
      </c>
      <c r="FJ3" s="164" t="inlineStr">
        <is>
          <t>Reste à faire de l'affaire (h)</t>
        </is>
      </c>
      <c r="FK3" s="164" t="inlineStr">
        <is>
          <t>Avancement attendu (prorata des jours ouvrés écoulés)</t>
        </is>
      </c>
      <c r="FL3" s="164" t="inlineStr">
        <is>
          <t>Retard : 2 = besoin dépassé, 1 = écart &gt; 15 pts, 0 = à l'heure</t>
        </is>
      </c>
      <c r="FM3" s="12" t="inlineStr">
        <is>
          <t>Capacité projets (capacité - charge fixe, h/mois)</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9">
        <f>IF(AND(D4=1,ISNUMBER(INDEX(Charge!$N:$N,ROW()))),INDEX(Charge!$N:$N,ROW()),"")</f>
        <v>46328.0</v>
      </c>
      <c r="J4" s="169">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70">
        <f>IF(OR($I4="",$E4=0),0,IF(OR($J4&lt;W$3,$I4&gt;W$2),0,IF($K4=0,IF(AND($I4&gt;=W$3,$I4&lt;=W$2),$E4,0),$E4*NETWORKDAYS(MAX($I4,W$3),MIN($J4,W$2),Data!$K$4:$K$203)/$K4)))</f>
        <v>0</v>
      </c>
      <c r="X4" s="170">
        <f>IF(OR($I4="",$E4=0),0,IF(OR($J4&lt;X$3,$I4&gt;X$2),0,IF($K4=0,IF(AND($I4&gt;=X$3,$I4&lt;=X$2),$E4,0),$E4*NETWORKDAYS(MAX($I4,X$3),MIN($J4,X$2),Data!$K$4:$K$203)/$K4)))</f>
        <v>0</v>
      </c>
      <c r="Y4" s="170">
        <f>IF(OR($I4="",$E4=0),0,IF(OR($J4&lt;Y$3,$I4&gt;Y$2),0,IF($K4=0,IF(AND($I4&gt;=Y$3,$I4&lt;=Y$2),$E4,0),$E4*NETWORKDAYS(MAX($I4,Y$3),MIN($J4,Y$2),Data!$K$4:$K$203)/$K4)))</f>
        <v>58.3333333333333</v>
      </c>
      <c r="Z4" s="170">
        <f>IF(OR($I4="",$E4=0),0,IF(OR($J4&lt;Z$3,$I4&gt;Z$2),0,IF($K4=0,IF(AND($I4&gt;=Z$3,$I4&lt;=Z$2),$E4,0),$E4*NETWORKDAYS(MAX($I4,Z$3),MIN($J4,Z$2),Data!$K$4:$K$203)/$K4)))</f>
        <v>63.8888888888889</v>
      </c>
      <c r="AA4" s="170">
        <f>IF(OR($I4="",$E4=0),0,IF(OR($J4&lt;AA$3,$I4&gt;AA$2),0,IF($K4=0,IF(AND($I4&gt;=AA$3,$I4&lt;=AA$2),$E4,0),$E4*NETWORKDAYS(MAX($I4,AA$3),MIN($J4,AA$2),Data!$K$4:$K$203)/$K4)))</f>
        <v>58.3333333333333</v>
      </c>
      <c r="AB4" s="170">
        <f>IF(OR($I4="",$E4=0),0,IF(OR($J4&lt;AB$3,$I4&gt;AB$2),0,IF($K4=0,IF(AND($I4&gt;=AB$3,$I4&lt;=AB$2),$E4,0),$E4*NETWORKDAYS(MAX($I4,AB$3),MIN($J4,AB$2),Data!$K$4:$K$203)/$K4)))</f>
        <v>55.5555555555556</v>
      </c>
      <c r="AC4" s="170">
        <f>IF(OR($I4="",$E4=0),0,IF(OR($J4&lt;AC$3,$I4&gt;AC$2),0,IF($K4=0,IF(AND($I4&gt;=AC$3,$I4&lt;=AC$2),$E4,0),$E4*NETWORKDAYS(MAX($I4,AC$3),MIN($J4,AC$2),Data!$K$4:$K$203)/$K4)))</f>
        <v>63.8888888888889</v>
      </c>
      <c r="AD4" s="170">
        <f>IF(OR($I4="",$E4=0),0,IF(OR($J4&lt;AD$3,$I4&gt;AD$2),0,IF($K4=0,IF(AND($I4&gt;=AD$3,$I4&lt;=AD$2),$E4,0),$E4*NETWORKDAYS(MAX($I4,AD$3),MIN($J4,AD$2),Data!$K$4:$K$203)/$K4)))</f>
        <v>0</v>
      </c>
      <c r="AE4" s="170">
        <f>IF(OR($I4="",$E4=0),0,IF(OR($J4&lt;AE$3,$I4&gt;AE$2),0,IF($K4=0,IF(AND($I4&gt;=AE$3,$I4&lt;=AE$2),$E4,0),$E4*NETWORKDAYS(MAX($I4,AE$3),MIN($J4,AE$2),Data!$K$4:$K$203)/$K4)))</f>
        <v>0</v>
      </c>
      <c r="AF4" s="170">
        <f>IF(OR($I4="",$E4=0),0,IF(OR($J4&lt;AF$3,$I4&gt;AF$2),0,IF($K4=0,IF(AND($I4&gt;=AF$3,$I4&lt;=AF$2),$E4,0),$E4*NETWORKDAYS(MAX($I4,AF$3),MIN($J4,AF$2),Data!$K$4:$K$203)/$K4)))</f>
        <v>0</v>
      </c>
      <c r="AG4" s="170">
        <f>IF(OR($I4="",$E4=0),0,IF(OR($J4&lt;AG$3,$I4&gt;AG$2),0,IF($K4=0,IF(AND($I4&gt;=AG$3,$I4&lt;=AG$2),$E4,0),$E4*NETWORKDAYS(MAX($I4,AG$3),MIN($J4,AG$2),Data!$K$4:$K$203)/$K4)))</f>
        <v>0</v>
      </c>
      <c r="AH4" s="170">
        <f>IF(OR($I4="",$E4=0),0,IF(OR($J4&lt;AH$3,$I4&gt;AH$2),0,IF($K4=0,IF(AND($I4&gt;=AH$3,$I4&lt;=AH$2),$E4,0),$E4*NETWORKDAYS(MAX($I4,AH$3),MIN($J4,AH$2),Data!$K$4:$K$203)/$K4)))</f>
        <v>0</v>
      </c>
      <c r="AI4" s="170">
        <f>SUM(W4:AH4)</f>
        <v>300</v>
      </c>
      <c r="AK4" t="inlineStr">
        <is>
          <t>Charge totale identifiée (h)</t>
        </is>
      </c>
      <c r="AL4" s="171">
        <f>SUM(E4:E503)</f>
        <v>3455</v>
      </c>
      <c r="AN4" t="n">
        <v>1</v>
      </c>
      <c r="AO4" s="165">
        <f>W$3</f>
        <v>46266.0</v>
      </c>
      <c r="AP4" s="171">
        <f>SUM(W4:W503)</f>
        <v>28.3636363636364</v>
      </c>
      <c r="AQ4">
        <f>SUMPRODUCT((W4:W503&gt;0)/(COUNTIFS($EN$4:$EN$503,$EN$4:$EN$503,W4:W503,"&gt;0")+(W4:W503&lt;=0)))</f>
        <v>1</v>
      </c>
      <c r="AS4" t="n">
        <v>1</v>
      </c>
      <c r="AT4" t="str">
        <f>IF(AS4&gt;$AL$7,"",INDEX($G$4:$G$503,MATCH(AS4,$R$4:$R$503,0)))</f>
        <v>ATLAS</v>
      </c>
      <c r="AU4">
        <f>SUMIF($V$4:$V$503,AS4,$E$4:$E$503)</f>
        <v>860</v>
      </c>
      <c r="AV4" s="172">
        <f>IF($AL$4=0,0,AU4/$AL$4)</f>
        <v>0.248914616497829</v>
      </c>
      <c r="AW4" s="170">
        <f>SUMIF($V$4:$V$503,$AS4,W$4:W$503)</f>
        <v>0</v>
      </c>
      <c r="AX4" s="170">
        <f>SUMIF($V$4:$V$503,$AS4,X$4:X$503)</f>
        <v>0</v>
      </c>
      <c r="AY4" s="170">
        <f>SUMIF($V$4:$V$503,$AS4,Y$4:Y$503)</f>
        <v>81.6666666666667</v>
      </c>
      <c r="AZ4" s="170">
        <f>SUMIF($V$4:$V$503,$AS4,Z$4:Z$503)</f>
        <v>89.4444444444444</v>
      </c>
      <c r="BA4" s="170">
        <f>SUMIF($V$4:$V$503,$AS4,AA$4:AA$503)</f>
        <v>120.666666666667</v>
      </c>
      <c r="BB4" s="170">
        <f>SUMIF($V$4:$V$503,$AS4,AB$4:AB$503)</f>
        <v>129.777777777778</v>
      </c>
      <c r="BC4" s="170">
        <f>SUMIF($V$4:$V$503,$AS4,AC$4:AC$503)</f>
        <v>149.244444444444</v>
      </c>
      <c r="BD4" s="170">
        <f>SUMIF($V$4:$V$503,$AS4,AD$4:AD$503)</f>
        <v>99.5529411764706</v>
      </c>
      <c r="BE4" s="170">
        <f>SUMIF($V$4:$V$503,$AS4,AE$4:AE$503)</f>
        <v>96.4705882352941</v>
      </c>
      <c r="BF4" s="170">
        <f>SUMIF($V$4:$V$503,$AS4,AF$4:AF$503)</f>
        <v>46.5882352941176</v>
      </c>
      <c r="BG4" s="170">
        <f>SUMIF($V$4:$V$503,$AS4,AG$4:AG$503)</f>
        <v>46.5882352941176</v>
      </c>
      <c r="BH4" s="170">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Y4">
        <f>IF(BX4="","",INDEX($FL$4:$FL$503,BX4))</f>
        <v>0</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3">
        <f>W$3</f>
        <v>46266.0</v>
      </c>
      <c r="CH4" s="170">
        <f>IF($CD$4="",0,$CD$7)</f>
        <v>20</v>
      </c>
      <c r="CI4" s="170">
        <f>IF($CD$4="",0,SUMIF($BZ$4:$BZ$503,$CD$4,W$4:W$503))</f>
        <v>28.3636363636364</v>
      </c>
      <c r="CJ4" s="170">
        <f>CH4+CI4</f>
        <v>48.3636363636364</v>
      </c>
      <c r="CK4" s="170">
        <f>IF($CD$4="",0,$CD$6)</f>
        <v>120</v>
      </c>
      <c r="CL4" s="170">
        <f>IF(CN4&lt;0,MAX(0,MIN(CI4,CK4-CH4)),CI4)</f>
        <v>28.3636363636364</v>
      </c>
      <c r="CM4" s="170">
        <f>CI4-CL4</f>
        <v>0</v>
      </c>
      <c r="CN4" s="170">
        <f>CK4-CP4</f>
        <v>72</v>
      </c>
      <c r="CO4" s="174">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70">
        <f>IF($CT4="","",SUMIF($BZ$4:$BZ$503,$CT4,W$4:W$503))</f>
        <v>28.3636363636364</v>
      </c>
      <c r="CX4" s="170">
        <f>IF($CT4="","",SUMIF($BZ$4:$BZ$503,$CT4,X$4:X$503))</f>
        <v>48</v>
      </c>
      <c r="CY4" s="170">
        <f>IF($CT4="","",SUMIF($BZ$4:$BZ$503,$CT4,Y$4:Y$503))</f>
        <v>101.969696969697</v>
      </c>
      <c r="CZ4" s="170">
        <f>IF($CT4="","",SUMIF($BZ$4:$BZ$503,$CT4,Z$4:Z$503))</f>
        <v>63.8888888888889</v>
      </c>
      <c r="DA4" s="170">
        <f>IF($CT4="","",SUMIF($BZ$4:$BZ$503,$CT4,AA$4:AA$503))</f>
        <v>58.3333333333333</v>
      </c>
      <c r="DB4" s="170">
        <f>IF($CT4="","",SUMIF($BZ$4:$BZ$503,$CT4,AB$4:AB$503))</f>
        <v>55.5555555555556</v>
      </c>
      <c r="DC4" s="170">
        <f>IF($CT4="","",SUMIF($BZ$4:$BZ$503,$CT4,AC$4:AC$503))</f>
        <v>63.8888888888889</v>
      </c>
      <c r="DD4" s="170">
        <f>IF($CT4="","",SUMIF($BZ$4:$BZ$503,$CT4,AD$4:AD$503))</f>
        <v>0</v>
      </c>
      <c r="DE4" s="170">
        <f>IF($CT4="","",SUMIF($BZ$4:$BZ$503,$CT4,AE$4:AE$503))</f>
        <v>0</v>
      </c>
      <c r="DF4" s="170">
        <f>IF($CT4="","",SUMIF($BZ$4:$BZ$503,$CT4,AF$4:AF$503))</f>
        <v>0</v>
      </c>
      <c r="DG4" s="170">
        <f>IF($CT4="","",SUMIF($BZ$4:$BZ$503,$CT4,AG$4:AG$503))</f>
        <v>0</v>
      </c>
      <c r="DH4" s="170">
        <f>IF($CT4="","",SUMIF($BZ$4:$BZ$503,$CT4,AH$4:AH$503))</f>
        <v>0</v>
      </c>
      <c r="DI4" s="174">
        <f>IF($CT4="","",IF($CU4&lt;=0,IF(ROUND($CV4+CW4,0)&gt;0,9.99,0),ROUND($CV4+CW4,0)/$CU4))</f>
        <v>0.4</v>
      </c>
      <c r="DJ4" s="174">
        <f>IF($CT4="","",IF($CU4&lt;=0,IF(ROUND($CV4+CX4,0)&gt;0,9.99,0),ROUND($CV4+CX4,0)/$CU4))</f>
        <v>0.566666666666667</v>
      </c>
      <c r="DK4" s="174">
        <f>IF($CT4="","",IF($CU4&lt;=0,IF(ROUND($CV4+CY4,0)&gt;0,9.99,0),ROUND($CV4+CY4,0)/$CU4))</f>
        <v>1.01666666666667</v>
      </c>
      <c r="DL4" s="174">
        <f>IF($CT4="","",IF($CU4&lt;=0,IF(ROUND($CV4+CZ4,0)&gt;0,9.99,0),ROUND($CV4+CZ4,0)/$CU4))</f>
        <v>0.7</v>
      </c>
      <c r="DM4" s="174">
        <f>IF($CT4="","",IF($CU4&lt;=0,IF(ROUND($CV4+DA4,0)&gt;0,9.99,0),ROUND($CV4+DA4,0)/$CU4))</f>
        <v>0.65</v>
      </c>
      <c r="DN4" s="174">
        <f>IF($CT4="","",IF($CU4&lt;=0,IF(ROUND($CV4+DB4,0)&gt;0,9.99,0),ROUND($CV4+DB4,0)/$CU4))</f>
        <v>0.633333333333333</v>
      </c>
      <c r="DO4" s="174">
        <f>IF($CT4="","",IF($CU4&lt;=0,IF(ROUND($CV4+DC4,0)&gt;0,9.99,0),ROUND($CV4+DC4,0)/$CU4))</f>
        <v>0.7</v>
      </c>
      <c r="DP4" s="174">
        <f>IF($CT4="","",IF($CU4&lt;=0,IF(ROUND($CV4+DD4,0)&gt;0,9.99,0),ROUND($CV4+DD4,0)/$CU4))</f>
        <v>0.166666666666667</v>
      </c>
      <c r="DQ4" s="174">
        <f>IF($CT4="","",IF($CU4&lt;=0,IF(ROUND($CV4+DE4,0)&gt;0,9.99,0),ROUND($CV4+DE4,0)/$CU4))</f>
        <v>0.166666666666667</v>
      </c>
      <c r="DR4" s="174">
        <f>IF($CT4="","",IF($CU4&lt;=0,IF(ROUND($CV4+DF4,0)&gt;0,9.99,0),ROUND($CV4+DF4,0)/$CU4))</f>
        <v>0.166666666666667</v>
      </c>
      <c r="DS4" s="174">
        <f>IF($CT4="","",IF($CU4&lt;=0,IF(ROUND($CV4+DG4,0)&gt;0,9.99,0),ROUND($CV4+DG4,0)/$CU4))</f>
        <v>0.166666666666667</v>
      </c>
      <c r="DT4" s="174">
        <f>IF($CT4="","",IF($CU4&lt;=0,IF(ROUND($CV4+DH4,0)&gt;0,9.99,0),ROUND($CV4+DH4,0)/$CU4))</f>
        <v>0.166666666666667</v>
      </c>
      <c r="DU4" s="174">
        <f>IF(CT4="","",MAX(DI4:DT4))</f>
        <v>1.01666666666667</v>
      </c>
      <c r="DV4" s="171">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9">
        <f>IF(DY4="","",IF(ISNUMBER(INDEX(Charge!$N:$N,DY4+3)),INDEX(Charge!$N:$N,DY4+3),"—"))</f>
        <v>46328.0</v>
      </c>
      <c r="EG4" s="169">
        <f>IF(DY4="","",IF(ISNUMBER(INDEX(Charge!$F:$F,DY4+3)),INDEX(Charge!$F:$F,DY4+3),"—"))</f>
        <v>46477.0</v>
      </c>
      <c r="EH4" s="174">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70">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4">
        <f>IF(EO4=1,IF(FH4&gt;0,FI4/FH4,AVERAGEIF($FF$4:$FF$503,EN4,$C$4:$C$503)),"")</f>
        <v>0.107142857142857</v>
      </c>
      <c r="EV4" s="169">
        <f>IF(ISNUMBER(I4),I4,2958465)</f>
        <v>46328.0</v>
      </c>
      <c r="EW4" s="169">
        <f>IF(EO4=1,SUMPRODUCT(MIN(($EN$4:$EN$503=EN4)*$EV$4:$EV$503+($EN$4:$EN$503&lt;&gt;EN4)*2958465)),"")</f>
        <v>46328.0</v>
      </c>
      <c r="EX4" s="169">
        <f>IF(AND(D4=1,ISNUMBER(INDEX(Charge!$F:$F,ROW()))),INDEX(Charge!$F:$F,ROW()),0)</f>
        <v>46477.0</v>
      </c>
      <c r="EY4" s="169">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c r="FF4" t="str">
        <f>IF(B4=1,LEFT(SUBSTITUTE(SUBSTITUTE(SUBSTITUTE(TRIM(SUBSTITUTE(INDEX(Charge!$B:$B,ROW()),CHAR(160)," "))&amp;" | "&amp;TRIM(SUBSTITUTE(INDEX(Charge!$C:$C,ROW()),CHAR(160)," "))&amp;" | "&amp;TRIM(SUBSTITUTE(INDEX(Charge!$D:$D,ROW()),CHAR(160)," ")),"~","-"),"*","+"),"?","!"),240),"")</f>
        <v>ATLAS | Lot 1 – Structure | Châssis principal</v>
      </c>
      <c r="FG4">
        <f>IF(B4=1,MAX(0,N(INDEX(Charge!$M:$M,ROW()))),0)</f>
        <v>300</v>
      </c>
      <c r="FH4" s="170">
        <f>IF(EO4=1,ROUND(SUMIF($FF$4:$FF$503,EN4,$FG$4:$FG$503),2),"")</f>
        <v>420</v>
      </c>
      <c r="FI4" s="170">
        <f>IF(EO4=1,ROUND(SUMPRODUCT(($FF$4:$FF$503=EN4)*$FG$4:$FG$503*$C$4:$C$503),2),"")</f>
        <v>45</v>
      </c>
      <c r="FJ4" s="170">
        <f>IF(EO4=1,MAX(0,ROUND(FH4-FI4,2)),"")</f>
        <v>375</v>
      </c>
      <c r="FK4" s="174">
        <f>IF(EO4=1,IF(OR(EW4&gt;=2958465,EY4=0,EY4&lt;=EW4),"",IF(TODAY()&lt;=EW4,0,IF(TODAY()&gt;EY4,1,IFERROR(NETWORKDAYS(EW4,TODAY()-1,Data!$K$4:$K$203)/NETWORKDAYS(EW4,EY4,Data!$K$4:$K$203),"")))),"")</f>
        <v>0</v>
      </c>
      <c r="FL4">
        <f>IF(EO4=1,IF(AND(EY4&gt;0,EY4&lt;TODAY(),ROUND(EU4,4)&lt;1),2,IF(FK4="",0,IF(ROUND(EU4-FK4,4)&lt;-0.15,1,0))),"")</f>
        <v>0</v>
      </c>
      <c r="FM4">
        <f>IF(OR(FA4="",FALSE),0,MAX(0,IF(FB4="Interne",IF(ISNUMBER(INDEX(Data!$F:$F,4)),INDEX(Data!$F:$F,4),p_HeuresETP),IF(ISNUMBER(INDEX(Data!$I:$I,4-$CD$23)),INDEX(Data!$I:$I,4-$CD$23),p_HeuresETP))-IF(FB4="Interne",IF(ISNUMBER(INDEX(Data!$G:$G,4)),INDEX(Data!$G:$G,4),p_ChargeFixe),IF(ISNUMBER(INDEX(Data!$J:$J,4-$CD$23)),INDEX(Data!$J:$J,4-$CD$23),p_ChargeFixe))))</f>
        <v>100</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9">
        <f>IF(AND(D5=1,ISNUMBER(INDEX(Charge!$N:$N,ROW()))),INDEX(Charge!$N:$N,ROW()),"")</f>
        <v>46328.0</v>
      </c>
      <c r="J5" s="169">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70">
        <f>IF(OR($I5="",$E5=0),0,IF(OR($J5&lt;W$3,$I5&gt;W$2),0,IF($K5=0,IF(AND($I5&gt;=W$3,$I5&lt;=W$2),$E5,0),$E5*NETWORKDAYS(MAX($I5,W$3),MIN($J5,W$2),Data!$K$4:$K$203)/$K5)))</f>
        <v>0</v>
      </c>
      <c r="X5" s="170">
        <f>IF(OR($I5="",$E5=0),0,IF(OR($J5&lt;X$3,$I5&gt;X$2),0,IF($K5=0,IF(AND($I5&gt;=X$3,$I5&lt;=X$2),$E5,0),$E5*NETWORKDAYS(MAX($I5,X$3),MIN($J5,X$2),Data!$K$4:$K$203)/$K5)))</f>
        <v>0</v>
      </c>
      <c r="Y5" s="170">
        <f>IF(OR($I5="",$E5=0),0,IF(OR($J5&lt;Y$3,$I5&gt;Y$2),0,IF($K5=0,IF(AND($I5&gt;=Y$3,$I5&lt;=Y$2),$E5,0),$E5*NETWORKDAYS(MAX($I5,Y$3),MIN($J5,Y$2),Data!$K$4:$K$203)/$K5)))</f>
        <v>23.3333333333333</v>
      </c>
      <c r="Z5" s="170">
        <f>IF(OR($I5="",$E5=0),0,IF(OR($J5&lt;Z$3,$I5&gt;Z$2),0,IF($K5=0,IF(AND($I5&gt;=Z$3,$I5&lt;=Z$2),$E5,0),$E5*NETWORKDAYS(MAX($I5,Z$3),MIN($J5,Z$2),Data!$K$4:$K$203)/$K5)))</f>
        <v>25.5555555555556</v>
      </c>
      <c r="AA5" s="170">
        <f>IF(OR($I5="",$E5=0),0,IF(OR($J5&lt;AA$3,$I5&gt;AA$2),0,IF($K5=0,IF(AND($I5&gt;=AA$3,$I5&lt;=AA$2),$E5,0),$E5*NETWORKDAYS(MAX($I5,AA$3),MIN($J5,AA$2),Data!$K$4:$K$203)/$K5)))</f>
        <v>23.3333333333333</v>
      </c>
      <c r="AB5" s="170">
        <f>IF(OR($I5="",$E5=0),0,IF(OR($J5&lt;AB$3,$I5&gt;AB$2),0,IF($K5=0,IF(AND($I5&gt;=AB$3,$I5&lt;=AB$2),$E5,0),$E5*NETWORKDAYS(MAX($I5,AB$3),MIN($J5,AB$2),Data!$K$4:$K$203)/$K5)))</f>
        <v>22.2222222222222</v>
      </c>
      <c r="AC5" s="170">
        <f>IF(OR($I5="",$E5=0),0,IF(OR($J5&lt;AC$3,$I5&gt;AC$2),0,IF($K5=0,IF(AND($I5&gt;=AC$3,$I5&lt;=AC$2),$E5,0),$E5*NETWORKDAYS(MAX($I5,AC$3),MIN($J5,AC$2),Data!$K$4:$K$203)/$K5)))</f>
        <v>25.5555555555556</v>
      </c>
      <c r="AD5" s="170">
        <f>IF(OR($I5="",$E5=0),0,IF(OR($J5&lt;AD$3,$I5&gt;AD$2),0,IF($K5=0,IF(AND($I5&gt;=AD$3,$I5&lt;=AD$2),$E5,0),$E5*NETWORKDAYS(MAX($I5,AD$3),MIN($J5,AD$2),Data!$K$4:$K$203)/$K5)))</f>
        <v>0</v>
      </c>
      <c r="AE5" s="170">
        <f>IF(OR($I5="",$E5=0),0,IF(OR($J5&lt;AE$3,$I5&gt;AE$2),0,IF($K5=0,IF(AND($I5&gt;=AE$3,$I5&lt;=AE$2),$E5,0),$E5*NETWORKDAYS(MAX($I5,AE$3),MIN($J5,AE$2),Data!$K$4:$K$203)/$K5)))</f>
        <v>0</v>
      </c>
      <c r="AF5" s="170">
        <f>IF(OR($I5="",$E5=0),0,IF(OR($J5&lt;AF$3,$I5&gt;AF$2),0,IF($K5=0,IF(AND($I5&gt;=AF$3,$I5&lt;=AF$2),$E5,0),$E5*NETWORKDAYS(MAX($I5,AF$3),MIN($J5,AF$2),Data!$K$4:$K$203)/$K5)))</f>
        <v>0</v>
      </c>
      <c r="AG5" s="170">
        <f>IF(OR($I5="",$E5=0),0,IF(OR($J5&lt;AG$3,$I5&gt;AG$2),0,IF($K5=0,IF(AND($I5&gt;=AG$3,$I5&lt;=AG$2),$E5,0),$E5*NETWORKDAYS(MAX($I5,AG$3),MIN($J5,AG$2),Data!$K$4:$K$203)/$K5)))</f>
        <v>0</v>
      </c>
      <c r="AH5" s="170">
        <f>IF(OR($I5="",$E5=0),0,IF(OR($J5&lt;AH$3,$I5&gt;AH$2),0,IF($K5=0,IF(AND($I5&gt;=AH$3,$I5&lt;=AH$2),$E5,0),$E5*NETWORKDAYS(MAX($I5,AH$3),MIN($J5,AH$2),Data!$K$4:$K$203)/$K5)))</f>
        <v>0</v>
      </c>
      <c r="AI5" s="170">
        <f>SUM(W5:AH5)</f>
        <v>120</v>
      </c>
      <c r="AK5" t="inlineStr">
        <is>
          <t>Nombre d'affaires (sous-projets regroupés)</t>
        </is>
      </c>
      <c r="AL5" s="175">
        <f>SUM(EO4:EO503)</f>
        <v>17</v>
      </c>
      <c r="AN5" t="n">
        <v>2</v>
      </c>
      <c r="AO5" s="165">
        <f>X$3</f>
        <v>46296.0</v>
      </c>
      <c r="AP5" s="171">
        <f>SUM(X4:X503)</f>
        <v>165.941176470588</v>
      </c>
      <c r="AQ5">
        <f>SUMPRODUCT((X4:X503&gt;0)/(COUNTIFS($EN$4:$EN$503,$EN$4:$EN$503,X4:X503,"&gt;0")+(X4:X503&lt;=0)))</f>
        <v>3</v>
      </c>
      <c r="AS5" t="n">
        <v>2</v>
      </c>
      <c r="AT5" t="str">
        <f>IF(AS5&gt;$AL$7,"",INDEX($G$4:$G$503,MATCH(AS5,$R$4:$R$503,0)))</f>
        <v>BORÉAL</v>
      </c>
      <c r="AU5">
        <f>SUMIF($V$4:$V$503,AS5,$E$4:$E$503)</f>
        <v>620</v>
      </c>
      <c r="AV5" s="172">
        <f>IF($AL$4=0,0,AU5/$AL$4)</f>
        <v>0.1794500723589</v>
      </c>
      <c r="AW5" s="170">
        <f>SUMIF($V$4:$V$503,$AS5,W$4:W$503)</f>
        <v>0</v>
      </c>
      <c r="AX5" s="170">
        <f>SUMIF($V$4:$V$503,$AS5,X$4:X$503)</f>
        <v>72.9411764705882</v>
      </c>
      <c r="AY5" s="170">
        <f>SUMIF($V$4:$V$503,$AS5,Y$4:Y$503)</f>
        <v>76.5882352941177</v>
      </c>
      <c r="AZ5" s="170">
        <f>SUMIF($V$4:$V$503,$AS5,Z$4:Z$503)</f>
        <v>83.8823529411765</v>
      </c>
      <c r="BA5" s="170">
        <f>SUMIF($V$4:$V$503,$AS5,AA$4:AA$503)</f>
        <v>98.5394548063128</v>
      </c>
      <c r="BB5" s="170">
        <f>SUMIF($V$4:$V$503,$AS5,AB$4:AB$503)</f>
        <v>111.594746716698</v>
      </c>
      <c r="BC5" s="170">
        <f>SUMIF($V$4:$V$503,$AS5,AC$4:AC$503)</f>
        <v>101.992495309568</v>
      </c>
      <c r="BD5" s="170">
        <f>SUMIF($V$4:$V$503,$AS5,AD$4:AD$503)</f>
        <v>74.4615384615385</v>
      </c>
      <c r="BE5" s="170">
        <f>SUMIF($V$4:$V$503,$AS5,AE$4:AE$503)</f>
        <v>0</v>
      </c>
      <c r="BF5" s="170">
        <f>SUMIF($V$4:$V$503,$AS5,AF$4:AF$503)</f>
        <v>0</v>
      </c>
      <c r="BG5" s="170">
        <f>SUMIF($V$4:$V$503,$AS5,AG$4:AG$503)</f>
        <v>0</v>
      </c>
      <c r="BH5" s="170">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Y5">
        <f>IF(BX5="","",INDEX($FL$4:$FL$503,BX5))</f>
        <v>0</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5">
        <f>IF(CD4="",0,IFERROR(MATCH(CD4,$EJ$4:$EJ$203,0),0))</f>
        <v>1</v>
      </c>
      <c r="CF5" t="n">
        <v>2</v>
      </c>
      <c r="CG5" s="173">
        <f>X$3</f>
        <v>46296.0</v>
      </c>
      <c r="CH5" s="170">
        <f>IF($CD$4="",0,$CD$7)</f>
        <v>20</v>
      </c>
      <c r="CI5" s="170">
        <f>IF($CD$4="",0,SUMIF($BZ$4:$BZ$503,$CD$4,X$4:X$503))</f>
        <v>48</v>
      </c>
      <c r="CJ5" s="170">
        <f>CH5+CI5</f>
        <v>68</v>
      </c>
      <c r="CK5" s="170">
        <f>IF($CD$4="",0,$CD$6)</f>
        <v>120</v>
      </c>
      <c r="CL5" s="170">
        <f>IF(CN5&lt;0,MAX(0,MIN(CI5,CK5-CH5)),CI5)</f>
        <v>48</v>
      </c>
      <c r="CM5" s="170">
        <f>CI5-CL5</f>
        <v>0</v>
      </c>
      <c r="CN5" s="170">
        <f>CK5-CP5</f>
        <v>52</v>
      </c>
      <c r="CO5" s="174">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70">
        <f>IF($CT5="","",SUMIF($BZ$4:$BZ$503,$CT5,W$4:W$503))</f>
        <v>0</v>
      </c>
      <c r="CX5" s="170">
        <f>IF($CT5="","",SUMIF($BZ$4:$BZ$503,$CT5,X$4:X$503))</f>
        <v>0</v>
      </c>
      <c r="CY5" s="170">
        <f>IF($CT5="","",SUMIF($BZ$4:$BZ$503,$CT5,Y$4:Y$503))</f>
        <v>0</v>
      </c>
      <c r="CZ5" s="170">
        <f>IF($CT5="","",SUMIF($BZ$4:$BZ$503,$CT5,Z$4:Z$503))</f>
        <v>57.5</v>
      </c>
      <c r="DA5" s="170">
        <f>IF($CT5="","",SUMIF($BZ$4:$BZ$503,$CT5,AA$4:AA$503))</f>
        <v>91.5</v>
      </c>
      <c r="DB5" s="170">
        <f>IF($CT5="","",SUMIF($BZ$4:$BZ$503,$CT5,AB$4:AB$503))</f>
        <v>102</v>
      </c>
      <c r="DC5" s="170">
        <f>IF($CT5="","",SUMIF($BZ$4:$BZ$503,$CT5,AC$4:AC$503))</f>
        <v>126.709090909091</v>
      </c>
      <c r="DD5" s="170">
        <f>IF($CT5="","",SUMIF($BZ$4:$BZ$503,$CT5,AD$4:AD$503))</f>
        <v>121.2</v>
      </c>
      <c r="DE5" s="170">
        <f>IF($CT5="","",SUMIF($BZ$4:$BZ$503,$CT5,AE$4:AE$503))</f>
        <v>110.737967914439</v>
      </c>
      <c r="DF5" s="170">
        <f>IF($CT5="","",SUMIF($BZ$4:$BZ$503,$CT5,AF$4:AF$503))</f>
        <v>31.0588235294118</v>
      </c>
      <c r="DG5" s="170">
        <f>IF($CT5="","",SUMIF($BZ$4:$BZ$503,$CT5,AG$4:AG$503))</f>
        <v>31.0588235294118</v>
      </c>
      <c r="DH5" s="170">
        <f>IF($CT5="","",SUMIF($BZ$4:$BZ$503,$CT5,AH$4:AH$503))</f>
        <v>28.2352941176471</v>
      </c>
      <c r="DI5" s="174">
        <f>IF($CT5="","",IF($CU5&lt;=0,IF(ROUND($CV5+CW5,0)&gt;0,9.99,0),ROUND($CV5+CW5,0)/$CU5))</f>
        <v>0.166666666666667</v>
      </c>
      <c r="DJ5" s="174">
        <f>IF($CT5="","",IF($CU5&lt;=0,IF(ROUND($CV5+CX5,0)&gt;0,9.99,0),ROUND($CV5+CX5,0)/$CU5))</f>
        <v>0.166666666666667</v>
      </c>
      <c r="DK5" s="174">
        <f>IF($CT5="","",IF($CU5&lt;=0,IF(ROUND($CV5+CY5,0)&gt;0,9.99,0),ROUND($CV5+CY5,0)/$CU5))</f>
        <v>0.166666666666667</v>
      </c>
      <c r="DL5" s="174">
        <f>IF($CT5="","",IF($CU5&lt;=0,IF(ROUND($CV5+CZ5,0)&gt;0,9.99,0),ROUND($CV5+CZ5,0)/$CU5))</f>
        <v>0.65</v>
      </c>
      <c r="DM5" s="174">
        <f>IF($CT5="","",IF($CU5&lt;=0,IF(ROUND($CV5+DA5,0)&gt;0,9.99,0),ROUND($CV5+DA5,0)/$CU5))</f>
        <v>0.933333333333333</v>
      </c>
      <c r="DN5" s="174">
        <f>IF($CT5="","",IF($CU5&lt;=0,IF(ROUND($CV5+DB5,0)&gt;0,9.99,0),ROUND($CV5+DB5,0)/$CU5))</f>
        <v>1.01666666666667</v>
      </c>
      <c r="DO5" s="174">
        <f>IF($CT5="","",IF($CU5&lt;=0,IF(ROUND($CV5+DC5,0)&gt;0,9.99,0),ROUND($CV5+DC5,0)/$CU5))</f>
        <v>1.225</v>
      </c>
      <c r="DP5" s="174">
        <f>IF($CT5="","",IF($CU5&lt;=0,IF(ROUND($CV5+DD5,0)&gt;0,9.99,0),ROUND($CV5+DD5,0)/$CU5))</f>
        <v>1.175</v>
      </c>
      <c r="DQ5" s="174">
        <f>IF($CT5="","",IF($CU5&lt;=0,IF(ROUND($CV5+DE5,0)&gt;0,9.99,0),ROUND($CV5+DE5,0)/$CU5))</f>
        <v>1.09166666666667</v>
      </c>
      <c r="DR5" s="174">
        <f>IF($CT5="","",IF($CU5&lt;=0,IF(ROUND($CV5+DF5,0)&gt;0,9.99,0),ROUND($CV5+DF5,0)/$CU5))</f>
        <v>0.425</v>
      </c>
      <c r="DS5" s="174">
        <f>IF($CT5="","",IF($CU5&lt;=0,IF(ROUND($CV5+DG5,0)&gt;0,9.99,0),ROUND($CV5+DG5,0)/$CU5))</f>
        <v>0.425</v>
      </c>
      <c r="DT5" s="174">
        <f>IF($CT5="","",IF($CU5&lt;=0,IF(ROUND($CV5+DH5,0)&gt;0,9.99,0),ROUND($CV5+DH5,0)/$CU5))</f>
        <v>0.4</v>
      </c>
      <c r="DU5" s="174">
        <f>IF(CT5="","",MAX(DI5:DT5))</f>
        <v>1.225</v>
      </c>
      <c r="DV5" s="171">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9">
        <f>IF(DY5="","",IF(ISNUMBER(INDEX(Charge!$N:$N,DY5+3)),INDEX(Charge!$N:$N,DY5+3),"—"))</f>
        <v>46279.0</v>
      </c>
      <c r="EG5" s="169">
        <f>IF(DY5="","",IF(ISNUMBER(INDEX(Charge!$F:$F,DY5+3)),INDEX(Charge!$F:$F,DY5+3),"—"))</f>
        <v>46353.0</v>
      </c>
      <c r="EH5" s="174">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70"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4" t="str">
        <f>IF(EO5=1,IF(FH5&gt;0,FI5/FH5,AVERAGEIF($FF$4:$FF$503,EN5,$C$4:$C$503)),"")</f>
        <v/>
      </c>
      <c r="EV5" s="169">
        <f>IF(ISNUMBER(I5),I5,2958465)</f>
        <v>46328.0</v>
      </c>
      <c r="EW5" s="169" t="str">
        <f>IF(EO5=1,SUMPRODUCT(MIN(($EN$4:$EN$503=EN5)*$EV$4:$EV$503+($EN$4:$EN$503&lt;&gt;EN5)*2958465)),"")</f>
        <v/>
      </c>
      <c r="EX5" s="169">
        <f>IF(AND(D5=1,ISNUMBER(INDEX(Charge!$F:$F,ROW()))),INDEX(Charge!$F:$F,ROW()),0)</f>
        <v>46477.0</v>
      </c>
      <c r="EY5" s="169"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c r="FF5" t="str">
        <f>IF(B5=1,LEFT(SUBSTITUTE(SUBSTITUTE(SUBSTITUTE(TRIM(SUBSTITUTE(INDEX(Charge!$B:$B,ROW()),CHAR(160)," "))&amp;" | "&amp;TRIM(SUBSTITUTE(INDEX(Charge!$C:$C,ROW()),CHAR(160)," "))&amp;" | "&amp;TRIM(SUBSTITUTE(INDEX(Charge!$D:$D,ROW()),CHAR(160)," ")),"~","-"),"*","+"),"?","!"),240),"")</f>
        <v>ATLAS | Lot 1 – Structure | Châssis principal</v>
      </c>
      <c r="FG5">
        <f>IF(B5=1,MAX(0,N(INDEX(Charge!$M:$M,ROW()))),0)</f>
        <v>120</v>
      </c>
      <c r="FH5" s="170" t="str">
        <f>IF(EO5=1,ROUND(SUMIF($FF$4:$FF$503,EN5,$FG$4:$FG$503),2),"")</f>
        <v/>
      </c>
      <c r="FI5" s="170" t="str">
        <f>IF(EO5=1,ROUND(SUMPRODUCT(($FF$4:$FF$503=EN5)*$FG$4:$FG$503*$C$4:$C$503),2),"")</f>
        <v/>
      </c>
      <c r="FJ5" s="170" t="str">
        <f>IF(EO5=1,MAX(0,ROUND(FH5-FI5,2)),"")</f>
        <v/>
      </c>
      <c r="FK5" s="174" t="str">
        <f>IF(EO5=1,IF(OR(EW5&gt;=2958465,EY5=0,EY5&lt;=EW5),"",IF(TODAY()&lt;=EW5,0,IF(TODAY()&gt;EY5,1,IFERROR(NETWORKDAYS(EW5,TODAY()-1,Data!$K$4:$K$203)/NETWORKDAYS(EW5,EY5,Data!$K$4:$K$203),"")))),"")</f>
        <v/>
      </c>
      <c r="FL5" t="str">
        <f>IF(EO5=1,IF(AND(EY5&gt;0,EY5&lt;TODAY(),ROUND(EU5,4)&lt;1),2,IF(FK5="",0,IF(ROUND(EU5-FK5,4)&lt;-0.15,1,0))),"")</f>
        <v/>
      </c>
      <c r="FM5">
        <f>IF(OR(FA5="",COUNTIF($FA$4:FA4,FA5)&gt;0),0,MAX(0,IF(FB5="Interne",IF(ISNUMBER(INDEX(Data!$F:$F,5)),INDEX(Data!$F:$F,5),p_HeuresETP),IF(ISNUMBER(INDEX(Data!$I:$I,5-$CD$23)),INDEX(Data!$I:$I,5-$CD$23),p_HeuresETP))-IF(FB5="Interne",IF(ISNUMBER(INDEX(Data!$G:$G,5)),INDEX(Data!$G:$G,5),p_ChargeFixe),IF(ISNUMBER(INDEX(Data!$J:$J,5-$CD$23)),INDEX(Data!$J:$J,5-$CD$23),p_ChargeFixe))))</f>
        <v>100</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9">
        <f>IF(AND(D6=1,ISNUMBER(INDEX(Charge!$N:$N,ROW()))),INDEX(Charge!$N:$N,ROW()),"")</f>
        <v>46398.0</v>
      </c>
      <c r="J6" s="169">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70">
        <f>IF(OR($I6="",$E6=0),0,IF(OR($J6&lt;W$3,$I6&gt;W$2),0,IF($K6=0,IF(AND($I6&gt;=W$3,$I6&lt;=W$2),$E6,0),$E6*NETWORKDAYS(MAX($I6,W$3),MIN($J6,W$2),Data!$K$4:$K$203)/$K6)))</f>
        <v>0</v>
      </c>
      <c r="X6" s="170">
        <f>IF(OR($I6="",$E6=0),0,IF(OR($J6&lt;X$3,$I6&gt;X$2),0,IF($K6=0,IF(AND($I6&gt;=X$3,$I6&lt;=X$2),$E6,0),$E6*NETWORKDAYS(MAX($I6,X$3),MIN($J6,X$2),Data!$K$4:$K$203)/$K6)))</f>
        <v>0</v>
      </c>
      <c r="Y6" s="170">
        <f>IF(OR($I6="",$E6=0),0,IF(OR($J6&lt;Y$3,$I6&gt;Y$2),0,IF($K6=0,IF(AND($I6&gt;=Y$3,$I6&lt;=Y$2),$E6,0),$E6*NETWORKDAYS(MAX($I6,Y$3),MIN($J6,Y$2),Data!$K$4:$K$203)/$K6)))</f>
        <v>0</v>
      </c>
      <c r="Z6" s="170">
        <f>IF(OR($I6="",$E6=0),0,IF(OR($J6&lt;Z$3,$I6&gt;Z$2),0,IF($K6=0,IF(AND($I6&gt;=Z$3,$I6&lt;=Z$2),$E6,0),$E6*NETWORKDAYS(MAX($I6,Z$3),MIN($J6,Z$2),Data!$K$4:$K$203)/$K6)))</f>
        <v>0</v>
      </c>
      <c r="AA6" s="170">
        <f>IF(OR($I6="",$E6=0),0,IF(OR($J6&lt;AA$3,$I6&gt;AA$2),0,IF($K6=0,IF(AND($I6&gt;=AA$3,$I6&lt;=AA$2),$E6,0),$E6*NETWORKDAYS(MAX($I6,AA$3),MIN($J6,AA$2),Data!$K$4:$K$203)/$K6)))</f>
        <v>39</v>
      </c>
      <c r="AB6" s="170">
        <f>IF(OR($I6="",$E6=0),0,IF(OR($J6&lt;AB$3,$I6&gt;AB$2),0,IF($K6=0,IF(AND($I6&gt;=AB$3,$I6&lt;=AB$2),$E6,0),$E6*NETWORKDAYS(MAX($I6,AB$3),MIN($J6,AB$2),Data!$K$4:$K$203)/$K6)))</f>
        <v>52</v>
      </c>
      <c r="AC6" s="170">
        <f>IF(OR($I6="",$E6=0),0,IF(OR($J6&lt;AC$3,$I6&gt;AC$2),0,IF($K6=0,IF(AND($I6&gt;=AC$3,$I6&lt;=AC$2),$E6,0),$E6*NETWORKDAYS(MAX($I6,AC$3),MIN($J6,AC$2),Data!$K$4:$K$203)/$K6)))</f>
        <v>59.8</v>
      </c>
      <c r="AD6" s="170">
        <f>IF(OR($I6="",$E6=0),0,IF(OR($J6&lt;AD$3,$I6&gt;AD$2),0,IF($K6=0,IF(AND($I6&gt;=AD$3,$I6&lt;=AD$2),$E6,0),$E6*NETWORKDAYS(MAX($I6,AD$3),MIN($J6,AD$2),Data!$K$4:$K$203)/$K6)))</f>
        <v>57.2</v>
      </c>
      <c r="AE6" s="170">
        <f>IF(OR($I6="",$E6=0),0,IF(OR($J6&lt;AE$3,$I6&gt;AE$2),0,IF($K6=0,IF(AND($I6&gt;=AE$3,$I6&lt;=AE$2),$E6,0),$E6*NETWORKDAYS(MAX($I6,AE$3),MIN($J6,AE$2),Data!$K$4:$K$203)/$K6)))</f>
        <v>52</v>
      </c>
      <c r="AF6" s="170">
        <f>IF(OR($I6="",$E6=0),0,IF(OR($J6&lt;AF$3,$I6&gt;AF$2),0,IF($K6=0,IF(AND($I6&gt;=AF$3,$I6&lt;=AF$2),$E6,0),$E6*NETWORKDAYS(MAX($I6,AF$3),MIN($J6,AF$2),Data!$K$4:$K$203)/$K6)))</f>
        <v>0</v>
      </c>
      <c r="AG6" s="170">
        <f>IF(OR($I6="",$E6=0),0,IF(OR($J6&lt;AG$3,$I6&gt;AG$2),0,IF($K6=0,IF(AND($I6&gt;=AG$3,$I6&lt;=AG$2),$E6,0),$E6*NETWORKDAYS(MAX($I6,AG$3),MIN($J6,AG$2),Data!$K$4:$K$203)/$K6)))</f>
        <v>0</v>
      </c>
      <c r="AH6" s="170">
        <f>IF(OR($I6="",$E6=0),0,IF(OR($J6&lt;AH$3,$I6&gt;AH$2),0,IF($K6=0,IF(AND($I6&gt;=AH$3,$I6&lt;=AH$2),$E6,0),$E6*NETWORKDAYS(MAX($I6,AH$3),MIN($J6,AH$2),Data!$K$4:$K$203)/$K6)))</f>
        <v>0</v>
      </c>
      <c r="AI6" s="170">
        <f>SUM(W6:AH6)</f>
        <v>260</v>
      </c>
      <c r="AK6" t="inlineStr">
        <is>
          <t>Nombre de chefs de projet</t>
        </is>
      </c>
      <c r="AL6" s="175">
        <f>SUM(M4:M503)</f>
        <v>5</v>
      </c>
      <c r="AN6" t="n">
        <v>3</v>
      </c>
      <c r="AO6" s="165">
        <f>Y$3</f>
        <v>46327.0</v>
      </c>
      <c r="AP6" s="171">
        <f>SUM(Y4:Y503)</f>
        <v>316.141265597148</v>
      </c>
      <c r="AQ6">
        <f>SUMPRODUCT((Y4:Y503&gt;0)/(COUNTIFS($EN$4:$EN$503,$EN$4:$EN$503,Y4:Y503,"&gt;0")+(Y4:Y503&lt;=0)))</f>
        <v>6</v>
      </c>
      <c r="AS6" t="n">
        <v>3</v>
      </c>
      <c r="AT6" t="str">
        <f>IF(AS6&gt;$AL$7,"",INDEX($G$4:$G$503,MATCH(AS6,$R$4:$R$503,0)))</f>
        <v>DELTA</v>
      </c>
      <c r="AU6">
        <f>SUMIF($V$4:$V$503,AS6,$E$4:$E$503)</f>
        <v>560</v>
      </c>
      <c r="AV6" s="172">
        <f>IF($AL$4=0,0,AU6/$AL$4)</f>
        <v>0.162083936324168</v>
      </c>
      <c r="AW6" s="170">
        <f>SUMIF($V$4:$V$503,$AS6,W$4:W$503)</f>
        <v>0</v>
      </c>
      <c r="AX6" s="170">
        <f>SUMIF($V$4:$V$503,$AS6,X$4:X$503)</f>
        <v>0</v>
      </c>
      <c r="AY6" s="170">
        <f>SUMIF($V$4:$V$503,$AS6,Y$4:Y$503)</f>
        <v>0</v>
      </c>
      <c r="AZ6" s="170">
        <f>SUMIF($V$4:$V$503,$AS6,Z$4:Z$503)</f>
        <v>0</v>
      </c>
      <c r="BA6" s="170">
        <f>SUMIF($V$4:$V$503,$AS6,AA$4:AA$503)</f>
        <v>0</v>
      </c>
      <c r="BB6" s="170">
        <f>SUMIF($V$4:$V$503,$AS6,AB$4:AB$503)</f>
        <v>36.734693877551</v>
      </c>
      <c r="BC6" s="170">
        <f>SUMIF($V$4:$V$503,$AS6,AC$4:AC$503)</f>
        <v>84.4897959183674</v>
      </c>
      <c r="BD6" s="170">
        <f>SUMIF($V$4:$V$503,$AS6,AD$4:AD$503)</f>
        <v>80.8163265306122</v>
      </c>
      <c r="BE6" s="170">
        <f>SUMIF($V$4:$V$503,$AS6,AE$4:AE$503)</f>
        <v>126.55462184874</v>
      </c>
      <c r="BF6" s="170">
        <f>SUMIF($V$4:$V$503,$AS6,AF$4:AF$503)</f>
        <v>132.581032412965</v>
      </c>
      <c r="BG6" s="170">
        <f>SUMIF($V$4:$V$503,$AS6,AG$4:AG$503)</f>
        <v>51.7647058823529</v>
      </c>
      <c r="BH6" s="170">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Y6">
        <f>IF(BX6="","",INDEX($FL$4:$FL$503,BX6))</f>
        <v>0</v>
      </c>
      <c r="BZ6" t="str">
        <f>IF(D6=1,IF(TRIM(INDEX(Charge!$K:$K,ROW()))&lt;&gt;"",TRIM(INDEX(Charge!$K:$K,ROW())),IF(TRIM(INDEX(Charge!$L:$L,ROW()))&lt;&gt;"",TRIM(INDEX(Charge!$L:$L,ROW())),"(non affecté)")),"")</f>
        <v>Emma Faure</v>
      </c>
      <c r="CA6" t="str">
        <f>IF(AND($CD$4&lt;&gt;"",BZ6=$CD$4),COUNTIFS($BZ$4:$BZ$503,$CD$4,$L$4:$L$503,"&lt;"&amp;L6)+1,"")</f>
        <v/>
      </c>
      <c r="CC6" t="inlineStr">
        <is>
          <t>Capacité mensuelle (h)</t>
        </is>
      </c>
      <c r="CD6" s="171">
        <f>IF(CD4="",0,IF(CD5&gt;0,IF(ISNUMBER(INDEX(Data!$F:$F,CD5+3)),INDEX(Data!$F:$F,CD5+3),p_HeuresETP),IF(CD24&gt;0,IF(ISNUMBER(INDEX(Data!$I:$I,CD24+3)),INDEX(Data!$I:$I,CD24+3),p_HeuresETP),p_HeuresETP)))</f>
        <v>120</v>
      </c>
      <c r="CF6" t="n">
        <v>3</v>
      </c>
      <c r="CG6" s="173">
        <f>Y$3</f>
        <v>46327.0</v>
      </c>
      <c r="CH6" s="170">
        <f>IF($CD$4="",0,$CD$7)</f>
        <v>20</v>
      </c>
      <c r="CI6" s="170">
        <f>IF($CD$4="",0,SUMIF($BZ$4:$BZ$503,$CD$4,Y$4:Y$503))</f>
        <v>101.969696969697</v>
      </c>
      <c r="CJ6" s="170">
        <f>CH6+CI6</f>
        <v>121.969696969697</v>
      </c>
      <c r="CK6" s="170">
        <f>IF($CD$4="",0,$CD$6)</f>
        <v>120</v>
      </c>
      <c r="CL6" s="170">
        <f>IF(CN6&lt;0,MAX(0,MIN(CI6,CK6-CH6)),CI6)</f>
        <v>100</v>
      </c>
      <c r="CM6" s="170">
        <f>CI6-CL6</f>
        <v>1.96969696969697</v>
      </c>
      <c r="CN6" s="170">
        <f>CK6-CP6</f>
        <v>-2</v>
      </c>
      <c r="CO6" s="174">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70">
        <f>IF($CT6="","",SUMIF($BZ$4:$BZ$503,$CT6,W$4:W$503))</f>
        <v>0</v>
      </c>
      <c r="CX6" s="170">
        <f>IF($CT6="","",SUMIF($BZ$4:$BZ$503,$CT6,X$4:X$503))</f>
        <v>45</v>
      </c>
      <c r="CY6" s="170">
        <f>IF($CT6="","",SUMIF($BZ$4:$BZ$503,$CT6,Y$4:Y$503))</f>
        <v>63</v>
      </c>
      <c r="CZ6" s="170">
        <f>IF($CT6="","",SUMIF($BZ$4:$BZ$503,$CT6,Z$4:Z$503))</f>
        <v>42</v>
      </c>
      <c r="DA6" s="170">
        <f>IF($CT6="","",SUMIF($BZ$4:$BZ$503,$CT6,AA$4:AA$503))</f>
        <v>0</v>
      </c>
      <c r="DB6" s="170">
        <f>IF($CT6="","",SUMIF($BZ$4:$BZ$503,$CT6,AB$4:AB$503))</f>
        <v>12.2448979591837</v>
      </c>
      <c r="DC6" s="170">
        <f>IF($CT6="","",SUMIF($BZ$4:$BZ$503,$CT6,AC$4:AC$503))</f>
        <v>55.2465986394558</v>
      </c>
      <c r="DD6" s="170">
        <f>IF($CT6="","",SUMIF($BZ$4:$BZ$503,$CT6,AD$4:AD$503))</f>
        <v>72.7721088435374</v>
      </c>
      <c r="DE6" s="170">
        <f>IF($CT6="","",SUMIF($BZ$4:$BZ$503,$CT6,AE$4:AE$503))</f>
        <v>69.4642857142857</v>
      </c>
      <c r="DF6" s="170">
        <f>IF($CT6="","",SUMIF($BZ$4:$BZ$503,$CT6,AF$4:AF$503))</f>
        <v>72.7721088435374</v>
      </c>
      <c r="DG6" s="170">
        <f>IF($CT6="","",SUMIF($BZ$4:$BZ$503,$CT6,AG$4:AG$503))</f>
        <v>45.8333333333333</v>
      </c>
      <c r="DH6" s="170">
        <f>IF($CT6="","",SUMIF($BZ$4:$BZ$503,$CT6,AH$4:AH$503))</f>
        <v>45.8333333333333</v>
      </c>
      <c r="DI6" s="174">
        <f>IF($CT6="","",IF($CU6&lt;=0,IF(ROUND($CV6+CW6,0)&gt;0,9.99,0),ROUND($CV6+CW6,0)/$CU6))</f>
        <v>0.166666666666667</v>
      </c>
      <c r="DJ6" s="174">
        <f>IF($CT6="","",IF($CU6&lt;=0,IF(ROUND($CV6+CX6,0)&gt;0,9.99,0),ROUND($CV6+CX6,0)/$CU6))</f>
        <v>0.541666666666667</v>
      </c>
      <c r="DK6" s="174">
        <f>IF($CT6="","",IF($CU6&lt;=0,IF(ROUND($CV6+CY6,0)&gt;0,9.99,0),ROUND($CV6+CY6,0)/$CU6))</f>
        <v>0.691666666666667</v>
      </c>
      <c r="DL6" s="174">
        <f>IF($CT6="","",IF($CU6&lt;=0,IF(ROUND($CV6+CZ6,0)&gt;0,9.99,0),ROUND($CV6+CZ6,0)/$CU6))</f>
        <v>0.516666666666667</v>
      </c>
      <c r="DM6" s="174">
        <f>IF($CT6="","",IF($CU6&lt;=0,IF(ROUND($CV6+DA6,0)&gt;0,9.99,0),ROUND($CV6+DA6,0)/$CU6))</f>
        <v>0.166666666666667</v>
      </c>
      <c r="DN6" s="174">
        <f>IF($CT6="","",IF($CU6&lt;=0,IF(ROUND($CV6+DB6,0)&gt;0,9.99,0),ROUND($CV6+DB6,0)/$CU6))</f>
        <v>0.266666666666667</v>
      </c>
      <c r="DO6" s="174">
        <f>IF($CT6="","",IF($CU6&lt;=0,IF(ROUND($CV6+DC6,0)&gt;0,9.99,0),ROUND($CV6+DC6,0)/$CU6))</f>
        <v>0.625</v>
      </c>
      <c r="DP6" s="174">
        <f>IF($CT6="","",IF($CU6&lt;=0,IF(ROUND($CV6+DD6,0)&gt;0,9.99,0),ROUND($CV6+DD6,0)/$CU6))</f>
        <v>0.775</v>
      </c>
      <c r="DQ6" s="174">
        <f>IF($CT6="","",IF($CU6&lt;=0,IF(ROUND($CV6+DE6,0)&gt;0,9.99,0),ROUND($CV6+DE6,0)/$CU6))</f>
        <v>0.741666666666667</v>
      </c>
      <c r="DR6" s="174">
        <f>IF($CT6="","",IF($CU6&lt;=0,IF(ROUND($CV6+DF6,0)&gt;0,9.99,0),ROUND($CV6+DF6,0)/$CU6))</f>
        <v>0.775</v>
      </c>
      <c r="DS6" s="174">
        <f>IF($CT6="","",IF($CU6&lt;=0,IF(ROUND($CV6+DG6,0)&gt;0,9.99,0),ROUND($CV6+DG6,0)/$CU6))</f>
        <v>0.55</v>
      </c>
      <c r="DT6" s="174">
        <f>IF($CT6="","",IF($CU6&lt;=0,IF(ROUND($CV6+DH6,0)&gt;0,9.99,0),ROUND($CV6+DH6,0)/$CU6))</f>
        <v>0.55</v>
      </c>
      <c r="DU6" s="174">
        <f>IF(CT6="","",MAX(DI6:DT6))</f>
        <v>0.775</v>
      </c>
      <c r="DV6" s="171">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9" t="str">
        <f>IF(DY6="","",IF(ISNUMBER(INDEX(Charge!$N:$N,DY6+3)),INDEX(Charge!$N:$N,DY6+3),"—"))</f>
        <v/>
      </c>
      <c r="EG6" s="169" t="str">
        <f>IF(DY6="","",IF(ISNUMBER(INDEX(Charge!$F:$F,DY6+3)),INDEX(Charge!$F:$F,DY6+3),"—"))</f>
        <v/>
      </c>
      <c r="EH6" s="174"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70">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4">
        <f>IF(EO6=1,IF(FH6&gt;0,FI6/FH6,AVERAGEIF($FF$4:$FF$503,EN6,$C$4:$C$503)),"")</f>
        <v>0</v>
      </c>
      <c r="EV6" s="169">
        <f>IF(ISNUMBER(I6),I6,2958465)</f>
        <v>46398.0</v>
      </c>
      <c r="EW6" s="169">
        <f>IF(EO6=1,SUMPRODUCT(MIN(($EN$4:$EN$503=EN6)*$EV$4:$EV$503+($EN$4:$EN$503&lt;&gt;EN6)*2958465)),"")</f>
        <v>46398.0</v>
      </c>
      <c r="EX6" s="169">
        <f>IF(AND(D6=1,ISNUMBER(INDEX(Charge!$F:$F,ROW()))),INDEX(Charge!$F:$F,ROW()),0)</f>
        <v>46535.0</v>
      </c>
      <c r="EY6" s="169">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c r="FF6" t="str">
        <f>IF(B6=1,LEFT(SUBSTITUTE(SUBSTITUTE(SUBSTITUTE(TRIM(SUBSTITUTE(INDEX(Charge!$B:$B,ROW()),CHAR(160)," "))&amp;" | "&amp;TRIM(SUBSTITUTE(INDEX(Charge!$C:$C,ROW()),CHAR(160)," "))&amp;" | "&amp;TRIM(SUBSTITUTE(INDEX(Charge!$D:$D,ROW()),CHAR(160)," ")),"~","-"),"*","+"),"?","!"),240),"")</f>
        <v>ATLAS | Lot 2 – Carénage | Capots latéraux</v>
      </c>
      <c r="FG6">
        <f>IF(B6=1,MAX(0,N(INDEX(Charge!$M:$M,ROW()))),0)</f>
        <v>260</v>
      </c>
      <c r="FH6" s="170">
        <f>IF(EO6=1,ROUND(SUMIF($FF$4:$FF$503,EN6,$FG$4:$FG$503),2),"")</f>
        <v>260</v>
      </c>
      <c r="FI6" s="170">
        <f>IF(EO6=1,ROUND(SUMPRODUCT(($FF$4:$FF$503=EN6)*$FG$4:$FG$503*$C$4:$C$503),2),"")</f>
        <v>0</v>
      </c>
      <c r="FJ6" s="170">
        <f>IF(EO6=1,MAX(0,ROUND(FH6-FI6,2)),"")</f>
        <v>260</v>
      </c>
      <c r="FK6" s="174">
        <f>IF(EO6=1,IF(OR(EW6&gt;=2958465,EY6=0,EY6&lt;=EW6),"",IF(TODAY()&lt;=EW6,0,IF(TODAY()&gt;EY6,1,IFERROR(NETWORKDAYS(EW6,TODAY()-1,Data!$K$4:$K$203)/NETWORKDAYS(EW6,EY6,Data!$K$4:$K$203),"")))),"")</f>
        <v>0</v>
      </c>
      <c r="FL6">
        <f>IF(EO6=1,IF(AND(EY6&gt;0,EY6&lt;TODAY(),ROUND(EU6,4)&lt;1),2,IF(FK6="",0,IF(ROUND(EU6-FK6,4)&lt;-0.15,1,0))),"")</f>
        <v>0</v>
      </c>
      <c r="FM6">
        <f>IF(OR(FA6="",COUNTIF($FA$4:FA5,FA6)&gt;0),0,MAX(0,IF(FB6="Interne",IF(ISNUMBER(INDEX(Data!$F:$F,6)),INDEX(Data!$F:$F,6),p_HeuresETP),IF(ISNUMBER(INDEX(Data!$I:$I,6-$CD$23)),INDEX(Data!$I:$I,6-$CD$23),p_HeuresETP))-IF(FB6="Interne",IF(ISNUMBER(INDEX(Data!$G:$G,6)),INDEX(Data!$G:$G,6),p_ChargeFixe),IF(ISNUMBER(INDEX(Data!$J:$J,6-$CD$23)),INDEX(Data!$J:$J,6-$CD$23),p_ChargeFixe))))</f>
        <v>100</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9">
        <f>IF(AND(D7=1,ISNUMBER(INDEX(Charge!$N:$N,ROW()))),INDEX(Charge!$N:$N,ROW()),"")</f>
        <v>46482.0</v>
      </c>
      <c r="J7" s="169">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70">
        <f>IF(OR($I7="",$E7=0),0,IF(OR($J7&lt;W$3,$I7&gt;W$2),0,IF($K7=0,IF(AND($I7&gt;=W$3,$I7&lt;=W$2),$E7,0),$E7*NETWORKDAYS(MAX($I7,W$3),MIN($J7,W$2),Data!$K$4:$K$203)/$K7)))</f>
        <v>0</v>
      </c>
      <c r="X7" s="170">
        <f>IF(OR($I7="",$E7=0),0,IF(OR($J7&lt;X$3,$I7&gt;X$2),0,IF($K7=0,IF(AND($I7&gt;=X$3,$I7&lt;=X$2),$E7,0),$E7*NETWORKDAYS(MAX($I7,X$3),MIN($J7,X$2),Data!$K$4:$K$203)/$K7)))</f>
        <v>0</v>
      </c>
      <c r="Y7" s="170">
        <f>IF(OR($I7="",$E7=0),0,IF(OR($J7&lt;Y$3,$I7&gt;Y$2),0,IF($K7=0,IF(AND($I7&gt;=Y$3,$I7&lt;=Y$2),$E7,0),$E7*NETWORKDAYS(MAX($I7,Y$3),MIN($J7,Y$2),Data!$K$4:$K$203)/$K7)))</f>
        <v>0</v>
      </c>
      <c r="Z7" s="170">
        <f>IF(OR($I7="",$E7=0),0,IF(OR($J7&lt;Z$3,$I7&gt;Z$2),0,IF($K7=0,IF(AND($I7&gt;=Z$3,$I7&lt;=Z$2),$E7,0),$E7*NETWORKDAYS(MAX($I7,Z$3),MIN($J7,Z$2),Data!$K$4:$K$203)/$K7)))</f>
        <v>0</v>
      </c>
      <c r="AA7" s="170">
        <f>IF(OR($I7="",$E7=0),0,IF(OR($J7&lt;AA$3,$I7&gt;AA$2),0,IF($K7=0,IF(AND($I7&gt;=AA$3,$I7&lt;=AA$2),$E7,0),$E7*NETWORKDAYS(MAX($I7,AA$3),MIN($J7,AA$2),Data!$K$4:$K$203)/$K7)))</f>
        <v>0</v>
      </c>
      <c r="AB7" s="170">
        <f>IF(OR($I7="",$E7=0),0,IF(OR($J7&lt;AB$3,$I7&gt;AB$2),0,IF($K7=0,IF(AND($I7&gt;=AB$3,$I7&lt;=AB$2),$E7,0),$E7*NETWORKDAYS(MAX($I7,AB$3),MIN($J7,AB$2),Data!$K$4:$K$203)/$K7)))</f>
        <v>0</v>
      </c>
      <c r="AC7" s="170">
        <f>IF(OR($I7="",$E7=0),0,IF(OR($J7&lt;AC$3,$I7&gt;AC$2),0,IF($K7=0,IF(AND($I7&gt;=AC$3,$I7&lt;=AC$2),$E7,0),$E7*NETWORKDAYS(MAX($I7,AC$3),MIN($J7,AC$2),Data!$K$4:$K$203)/$K7)))</f>
        <v>0</v>
      </c>
      <c r="AD7" s="170">
        <f>IF(OR($I7="",$E7=0),0,IF(OR($J7&lt;AD$3,$I7&gt;AD$2),0,IF($K7=0,IF(AND($I7&gt;=AD$3,$I7&lt;=AD$2),$E7,0),$E7*NETWORKDAYS(MAX($I7,AD$3),MIN($J7,AD$2),Data!$K$4:$K$203)/$K7)))</f>
        <v>42.3529411764706</v>
      </c>
      <c r="AE7" s="170">
        <f>IF(OR($I7="",$E7=0),0,IF(OR($J7&lt;AE$3,$I7&gt;AE$2),0,IF($K7=0,IF(AND($I7&gt;=AE$3,$I7&lt;=AE$2),$E7,0),$E7*NETWORKDAYS(MAX($I7,AE$3),MIN($J7,AE$2),Data!$K$4:$K$203)/$K7)))</f>
        <v>44.4705882352941</v>
      </c>
      <c r="AF7" s="170">
        <f>IF(OR($I7="",$E7=0),0,IF(OR($J7&lt;AF$3,$I7&gt;AF$2),0,IF($K7=0,IF(AND($I7&gt;=AF$3,$I7&lt;=AF$2),$E7,0),$E7*NETWORKDAYS(MAX($I7,AF$3),MIN($J7,AF$2),Data!$K$4:$K$203)/$K7)))</f>
        <v>46.5882352941176</v>
      </c>
      <c r="AG7" s="170">
        <f>IF(OR($I7="",$E7=0),0,IF(OR($J7&lt;AG$3,$I7&gt;AG$2),0,IF($K7=0,IF(AND($I7&gt;=AG$3,$I7&lt;=AG$2),$E7,0),$E7*NETWORKDAYS(MAX($I7,AG$3),MIN($J7,AG$2),Data!$K$4:$K$203)/$K7)))</f>
        <v>46.5882352941176</v>
      </c>
      <c r="AH7" s="170">
        <f>IF(OR($I7="",$E7=0),0,IF(OR($J7&lt;AH$3,$I7&gt;AH$2),0,IF($K7=0,IF(AND($I7&gt;=AH$3,$I7&lt;=AH$2),$E7,0),$E7*NETWORKDAYS(MAX($I7,AH$3),MIN($J7,AH$2),Data!$K$4:$K$203)/$K7)))</f>
        <v>0</v>
      </c>
      <c r="AI7" s="170">
        <f>SUM(W7:AH7)</f>
        <v>180</v>
      </c>
      <c r="AK7" t="inlineStr">
        <is>
          <t>Nombre de projets</t>
        </is>
      </c>
      <c r="AL7" s="175">
        <f>SUM(P4:P503)</f>
        <v>7</v>
      </c>
      <c r="AN7" t="n">
        <v>4</v>
      </c>
      <c r="AO7" s="165">
        <f>Z$3</f>
        <v>46357.0</v>
      </c>
      <c r="AP7" s="171">
        <f>SUM(Z4:Z503)</f>
        <v>381.951797385621</v>
      </c>
      <c r="AQ7">
        <f>SUMPRODUCT((Z4:Z503&gt;0)/(COUNTIFS($EN$4:$EN$503,$EN$4:$EN$503,Z4:Z503,"&gt;0")+(Z4:Z503&lt;=0)))</f>
        <v>6</v>
      </c>
      <c r="AS7" t="n">
        <v>4</v>
      </c>
      <c r="AT7" t="str">
        <f>IF(AS7&gt;$AL$7,"",INDEX($G$4:$G$503,MATCH(AS7,$R$4:$R$503,0)))</f>
        <v>PÉGASE</v>
      </c>
      <c r="AU7">
        <f>SUMIF($V$4:$V$503,AS7,$E$4:$E$503)</f>
        <v>550</v>
      </c>
      <c r="AV7" s="172">
        <f>IF($AL$4=0,0,AU7/$AL$4)</f>
        <v>0.159189580318379</v>
      </c>
      <c r="AW7" s="170">
        <f>SUMIF($V$4:$V$503,$AS7,W$4:W$503)</f>
        <v>0</v>
      </c>
      <c r="AX7" s="170">
        <f>SUMIF($V$4:$V$503,$AS7,X$4:X$503)</f>
        <v>0</v>
      </c>
      <c r="AY7" s="170">
        <f>SUMIF($V$4:$V$503,$AS7,Y$4:Y$503)</f>
        <v>38.5</v>
      </c>
      <c r="AZ7" s="170">
        <f>SUMIF($V$4:$V$503,$AS7,Z$4:Z$503)</f>
        <v>31.5</v>
      </c>
      <c r="BA7" s="170">
        <f>SUMIF($V$4:$V$503,$AS7,AA$4:AA$503)</f>
        <v>0</v>
      </c>
      <c r="BB7" s="170">
        <f>SUMIF($V$4:$V$503,$AS7,AB$4:AB$503)</f>
        <v>0</v>
      </c>
      <c r="BC7" s="170">
        <f>SUMIF($V$4:$V$503,$AS7,AC$4:AC$503)</f>
        <v>43.3333333333333</v>
      </c>
      <c r="BD7" s="170">
        <f>SUMIF($V$4:$V$503,$AS7,AD$4:AD$503)</f>
        <v>73.3333333333333</v>
      </c>
      <c r="BE7" s="170">
        <f>SUMIF($V$4:$V$503,$AS7,AE$4:AE$503)</f>
        <v>70</v>
      </c>
      <c r="BF7" s="170">
        <f>SUMIF($V$4:$V$503,$AS7,AF$4:AF$503)</f>
        <v>73.3333333333333</v>
      </c>
      <c r="BG7" s="170">
        <f>SUMIF($V$4:$V$503,$AS7,AG$4:AG$503)</f>
        <v>73.3333333333333</v>
      </c>
      <c r="BH7" s="170">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Y7">
        <f>IF(BX7="","",INDEX($FL$4:$FL$503,BX7))</f>
        <v>0</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1">
        <f>IF(CD4="",0,IF(CD5&gt;0,IF(ISNUMBER(INDEX(Data!$G:$G,CD5+3)),INDEX(Data!$G:$G,CD5+3),p_ChargeFixe),IF(CD24&gt;0,IF(ISNUMBER(INDEX(Data!$J:$J,CD24+3)),INDEX(Data!$J:$J,CD24+3),p_ChargeFixe),p_ChargeFixe)))</f>
        <v>20</v>
      </c>
      <c r="CF7" t="n">
        <v>4</v>
      </c>
      <c r="CG7" s="173">
        <f>Z$3</f>
        <v>46357.0</v>
      </c>
      <c r="CH7" s="170">
        <f>IF($CD$4="",0,$CD$7)</f>
        <v>20</v>
      </c>
      <c r="CI7" s="170">
        <f>IF($CD$4="",0,SUMIF($BZ$4:$BZ$503,$CD$4,Z$4:Z$503))</f>
        <v>63.8888888888889</v>
      </c>
      <c r="CJ7" s="170">
        <f>CH7+CI7</f>
        <v>83.8888888888889</v>
      </c>
      <c r="CK7" s="170">
        <f>IF($CD$4="",0,$CD$6)</f>
        <v>120</v>
      </c>
      <c r="CL7" s="170">
        <f>IF(CN7&lt;0,MAX(0,MIN(CI7,CK7-CH7)),CI7)</f>
        <v>63.8888888888889</v>
      </c>
      <c r="CM7" s="170">
        <f>CI7-CL7</f>
        <v>0</v>
      </c>
      <c r="CN7" s="170">
        <f>CK7-CP7</f>
        <v>36</v>
      </c>
      <c r="CO7" s="174">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70">
        <f>IF($CT7="","",SUMIF($BZ$4:$BZ$503,$CT7,W$4:W$503))</f>
        <v>0</v>
      </c>
      <c r="CX7" s="170">
        <f>IF($CT7="","",SUMIF($BZ$4:$BZ$503,$CT7,X$4:X$503))</f>
        <v>72.9411764705882</v>
      </c>
      <c r="CY7" s="170">
        <f>IF($CT7="","",SUMIF($BZ$4:$BZ$503,$CT7,Y$4:Y$503))</f>
        <v>115.088235294118</v>
      </c>
      <c r="CZ7" s="170">
        <f>IF($CT7="","",SUMIF($BZ$4:$BZ$503,$CT7,Z$4:Z$503))</f>
        <v>115.382352941176</v>
      </c>
      <c r="DA7" s="170">
        <f>IF($CT7="","",SUMIF($BZ$4:$BZ$503,$CT7,AA$4:AA$503))</f>
        <v>76.5882352941177</v>
      </c>
      <c r="DB7" s="170">
        <f>IF($CT7="","",SUMIF($BZ$4:$BZ$503,$CT7,AB$4:AB$503))</f>
        <v>67.6923076923077</v>
      </c>
      <c r="DC7" s="170">
        <f>IF($CT7="","",SUMIF($BZ$4:$BZ$503,$CT7,AC$4:AC$503))</f>
        <v>77.8461538461538</v>
      </c>
      <c r="DD7" s="170">
        <f>IF($CT7="","",SUMIF($BZ$4:$BZ$503,$CT7,AD$4:AD$503))</f>
        <v>74.4615384615385</v>
      </c>
      <c r="DE7" s="170">
        <f>IF($CT7="","",SUMIF($BZ$4:$BZ$503,$CT7,AE$4:AE$503))</f>
        <v>0</v>
      </c>
      <c r="DF7" s="170">
        <f>IF($CT7="","",SUMIF($BZ$4:$BZ$503,$CT7,AF$4:AF$503))</f>
        <v>0</v>
      </c>
      <c r="DG7" s="170">
        <f>IF($CT7="","",SUMIF($BZ$4:$BZ$503,$CT7,AG$4:AG$503))</f>
        <v>0</v>
      </c>
      <c r="DH7" s="170">
        <f>IF($CT7="","",SUMIF($BZ$4:$BZ$503,$CT7,AH$4:AH$503))</f>
        <v>0</v>
      </c>
      <c r="DI7" s="174">
        <f>IF($CT7="","",IF($CU7&lt;=0,IF(ROUND($CV7+CW7,0)&gt;0,9.99,0),ROUND($CV7+CW7,0)/$CU7))</f>
        <v>0.208333333333333</v>
      </c>
      <c r="DJ7" s="174">
        <f>IF($CT7="","",IF($CU7&lt;=0,IF(ROUND($CV7+CX7,0)&gt;0,9.99,0),ROUND($CV7+CX7,0)/$CU7))</f>
        <v>0.96875</v>
      </c>
      <c r="DK7" s="174">
        <f>IF($CT7="","",IF($CU7&lt;=0,IF(ROUND($CV7+CY7,0)&gt;0,9.99,0),ROUND($CV7+CY7,0)/$CU7))</f>
        <v>1.40625</v>
      </c>
      <c r="DL7" s="174">
        <f>IF($CT7="","",IF($CU7&lt;=0,IF(ROUND($CV7+CZ7,0)&gt;0,9.99,0),ROUND($CV7+CZ7,0)/$CU7))</f>
        <v>1.40625</v>
      </c>
      <c r="DM7" s="174">
        <f>IF($CT7="","",IF($CU7&lt;=0,IF(ROUND($CV7+DA7,0)&gt;0,9.99,0),ROUND($CV7+DA7,0)/$CU7))</f>
        <v>1.01041666666667</v>
      </c>
      <c r="DN7" s="174">
        <f>IF($CT7="","",IF($CU7&lt;=0,IF(ROUND($CV7+DB7,0)&gt;0,9.99,0),ROUND($CV7+DB7,0)/$CU7))</f>
        <v>0.916666666666667</v>
      </c>
      <c r="DO7" s="174">
        <f>IF($CT7="","",IF($CU7&lt;=0,IF(ROUND($CV7+DC7,0)&gt;0,9.99,0),ROUND($CV7+DC7,0)/$CU7))</f>
        <v>1.02083333333333</v>
      </c>
      <c r="DP7" s="174">
        <f>IF($CT7="","",IF($CU7&lt;=0,IF(ROUND($CV7+DD7,0)&gt;0,9.99,0),ROUND($CV7+DD7,0)/$CU7))</f>
        <v>0.979166666666667</v>
      </c>
      <c r="DQ7" s="174">
        <f>IF($CT7="","",IF($CU7&lt;=0,IF(ROUND($CV7+DE7,0)&gt;0,9.99,0),ROUND($CV7+DE7,0)/$CU7))</f>
        <v>0.208333333333333</v>
      </c>
      <c r="DR7" s="174">
        <f>IF($CT7="","",IF($CU7&lt;=0,IF(ROUND($CV7+DF7,0)&gt;0,9.99,0),ROUND($CV7+DF7,0)/$CU7))</f>
        <v>0.208333333333333</v>
      </c>
      <c r="DS7" s="174">
        <f>IF($CT7="","",IF($CU7&lt;=0,IF(ROUND($CV7+DG7,0)&gt;0,9.99,0),ROUND($CV7+DG7,0)/$CU7))</f>
        <v>0.208333333333333</v>
      </c>
      <c r="DT7" s="174">
        <f>IF($CT7="","",IF($CU7&lt;=0,IF(ROUND($CV7+DH7,0)&gt;0,9.99,0),ROUND($CV7+DH7,0)/$CU7))</f>
        <v>0.208333333333333</v>
      </c>
      <c r="DU7" s="174">
        <f>IF(CT7="","",MAX(DI7:DT7))</f>
        <v>1.40625</v>
      </c>
      <c r="DV7" s="171">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9" t="str">
        <f>IF(DY7="","",IF(ISNUMBER(INDEX(Charge!$N:$N,DY7+3)),INDEX(Charge!$N:$N,DY7+3),"—"))</f>
        <v/>
      </c>
      <c r="EG7" s="169" t="str">
        <f>IF(DY7="","",IF(ISNUMBER(INDEX(Charge!$F:$F,DY7+3)),INDEX(Charge!$F:$F,DY7+3),"—"))</f>
        <v/>
      </c>
      <c r="EH7" s="174"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70">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4">
        <f>IF(EO7=1,IF(FH7&gt;0,FI7/FH7,AVERAGEIF($FF$4:$FF$503,EN7,$C$4:$C$503)),"")</f>
        <v>0</v>
      </c>
      <c r="EV7" s="169">
        <f>IF(ISNUMBER(I7),I7,2958465)</f>
        <v>46482.0</v>
      </c>
      <c r="EW7" s="169">
        <f>IF(EO7=1,SUMPRODUCT(MIN(($EN$4:$EN$503=EN7)*$EV$4:$EV$503+($EN$4:$EN$503&lt;&gt;EN7)*2958465)),"")</f>
        <v>46482.0</v>
      </c>
      <c r="EX7" s="169">
        <f>IF(AND(D7=1,ISNUMBER(INDEX(Charge!$F:$F,ROW()))),INDEX(Charge!$F:$F,ROW()),0)</f>
        <v>46598.0</v>
      </c>
      <c r="EY7" s="169">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c r="FF7" t="str">
        <f>IF(B7=1,LEFT(SUBSTITUTE(SUBSTITUTE(SUBSTITUTE(TRIM(SUBSTITUTE(INDEX(Charge!$B:$B,ROW()),CHAR(160)," "))&amp;" | "&amp;TRIM(SUBSTITUTE(INDEX(Charge!$C:$C,ROW()),CHAR(160)," "))&amp;" | "&amp;TRIM(SUBSTITUTE(INDEX(Charge!$D:$D,ROW()),CHAR(160)," ")),"~","-"),"*","+"),"?","!"),240),"")</f>
        <v>ATLAS | Lot 3 – Intégration | Faisceau électrique</v>
      </c>
      <c r="FG7">
        <f>IF(B7=1,MAX(0,N(INDEX(Charge!$M:$M,ROW()))),0)</f>
        <v>180</v>
      </c>
      <c r="FH7" s="170">
        <f>IF(EO7=1,ROUND(SUMIF($FF$4:$FF$503,EN7,$FG$4:$FG$503),2),"")</f>
        <v>180</v>
      </c>
      <c r="FI7" s="170">
        <f>IF(EO7=1,ROUND(SUMPRODUCT(($FF$4:$FF$503=EN7)*$FG$4:$FG$503*$C$4:$C$503),2),"")</f>
        <v>0</v>
      </c>
      <c r="FJ7" s="170">
        <f>IF(EO7=1,MAX(0,ROUND(FH7-FI7,2)),"")</f>
        <v>180</v>
      </c>
      <c r="FK7" s="174">
        <f>IF(EO7=1,IF(OR(EW7&gt;=2958465,EY7=0,EY7&lt;=EW7),"",IF(TODAY()&lt;=EW7,0,IF(TODAY()&gt;EY7,1,IFERROR(NETWORKDAYS(EW7,TODAY()-1,Data!$K$4:$K$203)/NETWORKDAYS(EW7,EY7,Data!$K$4:$K$203),"")))),"")</f>
        <v>0</v>
      </c>
      <c r="FL7">
        <f>IF(EO7=1,IF(AND(EY7&gt;0,EY7&lt;TODAY(),ROUND(EU7,4)&lt;1),2,IF(FK7="",0,IF(ROUND(EU7-FK7,4)&lt;-0.15,1,0))),"")</f>
        <v>0</v>
      </c>
      <c r="FM7">
        <f>IF(OR(FA7="",COUNTIF($FA$4:FA6,FA7)&gt;0),0,MAX(0,IF(FB7="Interne",IF(ISNUMBER(INDEX(Data!$F:$F,7)),INDEX(Data!$F:$F,7),p_HeuresETP),IF(ISNUMBER(INDEX(Data!$I:$I,7-$CD$23)),INDEX(Data!$I:$I,7-$CD$23),p_HeuresETP))-IF(FB7="Interne",IF(ISNUMBER(INDEX(Data!$G:$G,7)),INDEX(Data!$G:$G,7),p_ChargeFixe),IF(ISNUMBER(INDEX(Data!$J:$J,7-$CD$23)),INDEX(Data!$J:$J,7-$CD$23),p_ChargeFixe))))</f>
        <v>76</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9">
        <f>IF(AND(D8=1,ISNUMBER(INDEX(Charge!$N:$N,ROW()))),INDEX(Charge!$N:$N,ROW()),"")</f>
        <v>46300.0</v>
      </c>
      <c r="J8" s="169">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70">
        <f>IF(OR($I8="",$E8=0),0,IF(OR($J8&lt;W$3,$I8&gt;W$2),0,IF($K8=0,IF(AND($I8&gt;=W$3,$I8&lt;=W$2),$E8,0),$E8*NETWORKDAYS(MAX($I8,W$3),MIN($J8,W$2),Data!$K$4:$K$203)/$K8)))</f>
        <v>0</v>
      </c>
      <c r="X8" s="170">
        <f>IF(OR($I8="",$E8=0),0,IF(OR($J8&lt;X$3,$I8&gt;X$2),0,IF($K8=0,IF(AND($I8&gt;=X$3,$I8&lt;=X$2),$E8,0),$E8*NETWORKDAYS(MAX($I8,X$3),MIN($J8,X$2),Data!$K$4:$K$203)/$K8)))</f>
        <v>72.9411764705882</v>
      </c>
      <c r="Y8" s="170">
        <f>IF(OR($I8="",$E8=0),0,IF(OR($J8&lt;Y$3,$I8&gt;Y$2),0,IF($K8=0,IF(AND($I8&gt;=Y$3,$I8&lt;=Y$2),$E8,0),$E8*NETWORKDAYS(MAX($I8,Y$3),MIN($J8,Y$2),Data!$K$4:$K$203)/$K8)))</f>
        <v>76.5882352941177</v>
      </c>
      <c r="Z8" s="170">
        <f>IF(OR($I8="",$E8=0),0,IF(OR($J8&lt;Z$3,$I8&gt;Z$2),0,IF($K8=0,IF(AND($I8&gt;=Z$3,$I8&lt;=Z$2),$E8,0),$E8*NETWORKDAYS(MAX($I8,Z$3),MIN($J8,Z$2),Data!$K$4:$K$203)/$K8)))</f>
        <v>83.8823529411765</v>
      </c>
      <c r="AA8" s="170">
        <f>IF(OR($I8="",$E8=0),0,IF(OR($J8&lt;AA$3,$I8&gt;AA$2),0,IF($K8=0,IF(AND($I8&gt;=AA$3,$I8&lt;=AA$2),$E8,0),$E8*NETWORKDAYS(MAX($I8,AA$3),MIN($J8,AA$2),Data!$K$4:$K$203)/$K8)))</f>
        <v>76.5882352941177</v>
      </c>
      <c r="AB8" s="170">
        <f>IF(OR($I8="",$E8=0),0,IF(OR($J8&lt;AB$3,$I8&gt;AB$2),0,IF($K8=0,IF(AND($I8&gt;=AB$3,$I8&lt;=AB$2),$E8,0),$E8*NETWORKDAYS(MAX($I8,AB$3),MIN($J8,AB$2),Data!$K$4:$K$203)/$K8)))</f>
        <v>0</v>
      </c>
      <c r="AC8" s="170">
        <f>IF(OR($I8="",$E8=0),0,IF(OR($J8&lt;AC$3,$I8&gt;AC$2),0,IF($K8=0,IF(AND($I8&gt;=AC$3,$I8&lt;=AC$2),$E8,0),$E8*NETWORKDAYS(MAX($I8,AC$3),MIN($J8,AC$2),Data!$K$4:$K$203)/$K8)))</f>
        <v>0</v>
      </c>
      <c r="AD8" s="170">
        <f>IF(OR($I8="",$E8=0),0,IF(OR($J8&lt;AD$3,$I8&gt;AD$2),0,IF($K8=0,IF(AND($I8&gt;=AD$3,$I8&lt;=AD$2),$E8,0),$E8*NETWORKDAYS(MAX($I8,AD$3),MIN($J8,AD$2),Data!$K$4:$K$203)/$K8)))</f>
        <v>0</v>
      </c>
      <c r="AE8" s="170">
        <f>IF(OR($I8="",$E8=0),0,IF(OR($J8&lt;AE$3,$I8&gt;AE$2),0,IF($K8=0,IF(AND($I8&gt;=AE$3,$I8&lt;=AE$2),$E8,0),$E8*NETWORKDAYS(MAX($I8,AE$3),MIN($J8,AE$2),Data!$K$4:$K$203)/$K8)))</f>
        <v>0</v>
      </c>
      <c r="AF8" s="170">
        <f>IF(OR($I8="",$E8=0),0,IF(OR($J8&lt;AF$3,$I8&gt;AF$2),0,IF($K8=0,IF(AND($I8&gt;=AF$3,$I8&lt;=AF$2),$E8,0),$E8*NETWORKDAYS(MAX($I8,AF$3),MIN($J8,AF$2),Data!$K$4:$K$203)/$K8)))</f>
        <v>0</v>
      </c>
      <c r="AG8" s="170">
        <f>IF(OR($I8="",$E8=0),0,IF(OR($J8&lt;AG$3,$I8&gt;AG$2),0,IF($K8=0,IF(AND($I8&gt;=AG$3,$I8&lt;=AG$2),$E8,0),$E8*NETWORKDAYS(MAX($I8,AG$3),MIN($J8,AG$2),Data!$K$4:$K$203)/$K8)))</f>
        <v>0</v>
      </c>
      <c r="AH8" s="170">
        <f>IF(OR($I8="",$E8=0),0,IF(OR($J8&lt;AH$3,$I8&gt;AH$2),0,IF($K8=0,IF(AND($I8&gt;=AH$3,$I8&lt;=AH$2),$E8,0),$E8*NETWORKDAYS(MAX($I8,AH$3),MIN($J8,AH$2),Data!$K$4:$K$203)/$K8)))</f>
        <v>0</v>
      </c>
      <c r="AI8" s="170">
        <f>SUM(W8:AH8)</f>
        <v>310</v>
      </c>
      <c r="AK8" t="inlineStr">
        <is>
          <t>Nombre de types</t>
        </is>
      </c>
      <c r="AL8" s="175">
        <f>SUM(S4:S503)</f>
        <v>5</v>
      </c>
      <c r="AN8" t="n">
        <v>5</v>
      </c>
      <c r="AO8" s="165">
        <f>AA$3</f>
        <v>46388.0</v>
      </c>
      <c r="AP8" s="171">
        <f>SUM(AA4:AA503)</f>
        <v>321.331121472979</v>
      </c>
      <c r="AQ8">
        <f>SUMPRODUCT((AA4:AA503&gt;0)/(COUNTIFS($EN$4:$EN$503,$EN$4:$EN$503,AA4:AA503,"&gt;0")+(AA4:AA503&lt;=0)))</f>
        <v>6</v>
      </c>
      <c r="AS8" t="n">
        <v>5</v>
      </c>
      <c r="AT8" t="str">
        <f>IF(AS8&gt;$AL$7,"",INDEX($G$4:$G$503,MATCH(AS8,$R$4:$R$503,0)))</f>
        <v>CASSIOPÉE</v>
      </c>
      <c r="AU8">
        <f>SUMIF($V$4:$V$503,AS8,$E$4:$E$503)</f>
        <v>390</v>
      </c>
      <c r="AV8" s="172">
        <f>IF($AL$4=0,0,AU8/$AL$4)</f>
        <v>0.11287988422576</v>
      </c>
      <c r="AW8" s="170">
        <f>SUMIF($V$4:$V$503,$AS8,W$4:W$503)</f>
        <v>0</v>
      </c>
      <c r="AX8" s="170">
        <f>SUMIF($V$4:$V$503,$AS8,X$4:X$503)</f>
        <v>45</v>
      </c>
      <c r="AY8" s="170">
        <f>SUMIF($V$4:$V$503,$AS8,Y$4:Y$503)</f>
        <v>63</v>
      </c>
      <c r="AZ8" s="170">
        <f>SUMIF($V$4:$V$503,$AS8,Z$4:Z$503)</f>
        <v>128.25</v>
      </c>
      <c r="BA8" s="170">
        <f>SUMIF($V$4:$V$503,$AS8,AA$4:AA$503)</f>
        <v>78.75</v>
      </c>
      <c r="BB8" s="170">
        <f>SUMIF($V$4:$V$503,$AS8,AB$4:AB$503)</f>
        <v>75</v>
      </c>
      <c r="BC8" s="170">
        <f>SUMIF($V$4:$V$503,$AS8,AC$4:AC$503)</f>
        <v>0</v>
      </c>
      <c r="BD8" s="170">
        <f>SUMIF($V$4:$V$503,$AS8,AD$4:AD$503)</f>
        <v>0</v>
      </c>
      <c r="BE8" s="170">
        <f>SUMIF($V$4:$V$503,$AS8,AE$4:AE$503)</f>
        <v>0</v>
      </c>
      <c r="BF8" s="170">
        <f>SUMIF($V$4:$V$503,$AS8,AF$4:AF$503)</f>
        <v>0</v>
      </c>
      <c r="BG8" s="170">
        <f>SUMIF($V$4:$V$503,$AS8,AG$4:AG$503)</f>
        <v>0</v>
      </c>
      <c r="BH8" s="170">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Y8">
        <f>IF(BX8="","",INDEX($FL$4:$FL$503,BX8))</f>
        <v>0</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1">
        <f>MAX(0,CD6-CD7)</f>
        <v>100</v>
      </c>
      <c r="CF8" t="n">
        <v>5</v>
      </c>
      <c r="CG8" s="173">
        <f>AA$3</f>
        <v>46388.0</v>
      </c>
      <c r="CH8" s="170">
        <f>IF($CD$4="",0,$CD$7)</f>
        <v>20</v>
      </c>
      <c r="CI8" s="170">
        <f>IF($CD$4="",0,SUMIF($BZ$4:$BZ$503,$CD$4,AA$4:AA$503))</f>
        <v>58.3333333333333</v>
      </c>
      <c r="CJ8" s="170">
        <f>CH8+CI8</f>
        <v>78.3333333333333</v>
      </c>
      <c r="CK8" s="170">
        <f>IF($CD$4="",0,$CD$6)</f>
        <v>120</v>
      </c>
      <c r="CL8" s="170">
        <f>IF(CN8&lt;0,MAX(0,MIN(CI8,CK8-CH8)),CI8)</f>
        <v>58.3333333333333</v>
      </c>
      <c r="CM8" s="170">
        <f>CI8-CL8</f>
        <v>0</v>
      </c>
      <c r="CN8" s="170">
        <f>CK8-CP8</f>
        <v>42</v>
      </c>
      <c r="CO8" s="174">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70">
        <f>IF($CT8="","",SUMIF($BZ$4:$BZ$503,$CT8,W$4:W$503))</f>
        <v>0</v>
      </c>
      <c r="CX8" s="170">
        <f>IF($CT8="","",SUMIF($BZ$4:$BZ$503,$CT8,X$4:X$503))</f>
        <v>0</v>
      </c>
      <c r="CY8" s="170">
        <f>IF($CT8="","",SUMIF($BZ$4:$BZ$503,$CT8,Y$4:Y$503))</f>
        <v>12.75</v>
      </c>
      <c r="CZ8" s="170">
        <f>IF($CT8="","",SUMIF($BZ$4:$BZ$503,$CT8,Z$4:Z$503))</f>
        <v>48.875</v>
      </c>
      <c r="DA8" s="170">
        <f>IF($CT8="","",SUMIF($BZ$4:$BZ$503,$CT8,AA$4:AA$503))</f>
        <v>23.375</v>
      </c>
      <c r="DB8" s="170">
        <f>IF($CT8="","",SUMIF($BZ$4:$BZ$503,$CT8,AB$4:AB$503))</f>
        <v>48.1740064446831</v>
      </c>
      <c r="DC8" s="170">
        <f>IF($CT8="","",SUMIF($BZ$4:$BZ$503,$CT8,AC$4:AC$503))</f>
        <v>92.6423200859291</v>
      </c>
      <c r="DD8" s="170">
        <f>IF($CT8="","",SUMIF($BZ$4:$BZ$503,$CT8,AD$4:AD$503))</f>
        <v>53.8775510204082</v>
      </c>
      <c r="DE8" s="170">
        <f>IF($CT8="","",SUMIF($BZ$4:$BZ$503,$CT8,AE$4:AE$503))</f>
        <v>51.4285714285714</v>
      </c>
      <c r="DF8" s="170">
        <f>IF($CT8="","",SUMIF($BZ$4:$BZ$503,$CT8,AF$4:AF$503))</f>
        <v>53.8775510204082</v>
      </c>
      <c r="DG8" s="170">
        <f>IF($CT8="","",SUMIF($BZ$4:$BZ$503,$CT8,AG$4:AG$503))</f>
        <v>0</v>
      </c>
      <c r="DH8" s="170">
        <f>IF($CT8="","",SUMIF($BZ$4:$BZ$503,$CT8,AH$4:AH$503))</f>
        <v>0</v>
      </c>
      <c r="DI8" s="174">
        <f>IF($CT8="","",IF($CU8&lt;=0,IF(ROUND($CV8+CW8,0)&gt;0,9.99,0),ROUND($CV8+CW8,0)/$CU8))</f>
        <v>0.166666666666667</v>
      </c>
      <c r="DJ8" s="174">
        <f>IF($CT8="","",IF($CU8&lt;=0,IF(ROUND($CV8+CX8,0)&gt;0,9.99,0),ROUND($CV8+CX8,0)/$CU8))</f>
        <v>0.166666666666667</v>
      </c>
      <c r="DK8" s="174">
        <f>IF($CT8="","",IF($CU8&lt;=0,IF(ROUND($CV8+CY8,0)&gt;0,9.99,0),ROUND($CV8+CY8,0)/$CU8))</f>
        <v>0.275</v>
      </c>
      <c r="DL8" s="174">
        <f>IF($CT8="","",IF($CU8&lt;=0,IF(ROUND($CV8+CZ8,0)&gt;0,9.99,0),ROUND($CV8+CZ8,0)/$CU8))</f>
        <v>0.575</v>
      </c>
      <c r="DM8" s="174">
        <f>IF($CT8="","",IF($CU8&lt;=0,IF(ROUND($CV8+DA8,0)&gt;0,9.99,0),ROUND($CV8+DA8,0)/$CU8))</f>
        <v>0.358333333333333</v>
      </c>
      <c r="DN8" s="174">
        <f>IF($CT8="","",IF($CU8&lt;=0,IF(ROUND($CV8+DB8,0)&gt;0,9.99,0),ROUND($CV8+DB8,0)/$CU8))</f>
        <v>0.566666666666667</v>
      </c>
      <c r="DO8" s="174">
        <f>IF($CT8="","",IF($CU8&lt;=0,IF(ROUND($CV8+DC8,0)&gt;0,9.99,0),ROUND($CV8+DC8,0)/$CU8))</f>
        <v>0.941666666666667</v>
      </c>
      <c r="DP8" s="174">
        <f>IF($CT8="","",IF($CU8&lt;=0,IF(ROUND($CV8+DD8,0)&gt;0,9.99,0),ROUND($CV8+DD8,0)/$CU8))</f>
        <v>0.616666666666667</v>
      </c>
      <c r="DQ8" s="174">
        <f>IF($CT8="","",IF($CU8&lt;=0,IF(ROUND($CV8+DE8,0)&gt;0,9.99,0),ROUND($CV8+DE8,0)/$CU8))</f>
        <v>0.591666666666667</v>
      </c>
      <c r="DR8" s="174">
        <f>IF($CT8="","",IF($CU8&lt;=0,IF(ROUND($CV8+DF8,0)&gt;0,9.99,0),ROUND($CV8+DF8,0)/$CU8))</f>
        <v>0.616666666666667</v>
      </c>
      <c r="DS8" s="174">
        <f>IF($CT8="","",IF($CU8&lt;=0,IF(ROUND($CV8+DG8,0)&gt;0,9.99,0),ROUND($CV8+DG8,0)/$CU8))</f>
        <v>0.166666666666667</v>
      </c>
      <c r="DT8" s="174">
        <f>IF($CT8="","",IF($CU8&lt;=0,IF(ROUND($CV8+DH8,0)&gt;0,9.99,0),ROUND($CV8+DH8,0)/$CU8))</f>
        <v>0.166666666666667</v>
      </c>
      <c r="DU8" s="174">
        <f>IF(CT8="","",MAX(DI8:DT8))</f>
        <v>0.941666666666667</v>
      </c>
      <c r="DV8" s="171">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9" t="str">
        <f>IF(DY8="","",IF(ISNUMBER(INDEX(Charge!$N:$N,DY8+3)),INDEX(Charge!$N:$N,DY8+3),"—"))</f>
        <v/>
      </c>
      <c r="EG8" s="169" t="str">
        <f>IF(DY8="","",IF(ISNUMBER(INDEX(Charge!$F:$F,DY8+3)),INDEX(Charge!$F:$F,DY8+3),"—"))</f>
        <v/>
      </c>
      <c r="EH8" s="174"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70">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4">
        <f>IF(EO8=1,IF(FH8&gt;0,FI8/FH8,AVERAGEIF($FF$4:$FF$503,EN8,$C$4:$C$503)),"")</f>
        <v>0.35</v>
      </c>
      <c r="EV8" s="169">
        <f>IF(ISNUMBER(I8),I8,2958465)</f>
        <v>46300.0</v>
      </c>
      <c r="EW8" s="169">
        <f>IF(EO8=1,SUMPRODUCT(MIN(($EN$4:$EN$503=EN8)*$EV$4:$EV$503+($EN$4:$EN$503&lt;&gt;EN8)*2958465)),"")</f>
        <v>46300.0</v>
      </c>
      <c r="EX8" s="169">
        <f>IF(AND(D8=1,ISNUMBER(INDEX(Charge!$F:$F,ROW()))),INDEX(Charge!$F:$F,ROW()),0)</f>
        <v>46416.0</v>
      </c>
      <c r="EY8" s="169">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c r="FF8" t="str">
        <f>IF(B8=1,LEFT(SUBSTITUTE(SUBSTITUTE(SUBSTITUTE(TRIM(SUBSTITUTE(INDEX(Charge!$B:$B,ROW()),CHAR(160)," "))&amp;" | "&amp;TRIM(SUBSTITUTE(INDEX(Charge!$C:$C,ROW()),CHAR(160)," "))&amp;" | "&amp;TRIM(SUBSTITUTE(INDEX(Charge!$D:$D,ROW()),CHAR(160)," ")),"~","-"),"*","+"),"?","!"),240),"")</f>
        <v>BORÉAL | Phase APD | Groupe froid</v>
      </c>
      <c r="FG8">
        <f>IF(B8=1,MAX(0,N(INDEX(Charge!$M:$M,ROW()))),0)</f>
        <v>310</v>
      </c>
      <c r="FH8" s="170">
        <f>IF(EO8=1,ROUND(SUMIF($FF$4:$FF$503,EN8,$FG$4:$FG$503),2),"")</f>
        <v>310</v>
      </c>
      <c r="FI8" s="170">
        <f>IF(EO8=1,ROUND(SUMPRODUCT(($FF$4:$FF$503=EN8)*$FG$4:$FG$503*$C$4:$C$503),2),"")</f>
        <v>108.5</v>
      </c>
      <c r="FJ8" s="170">
        <f>IF(EO8=1,MAX(0,ROUND(FH8-FI8,2)),"")</f>
        <v>201.5</v>
      </c>
      <c r="FK8" s="174">
        <f>IF(EO8=1,IF(OR(EW8&gt;=2958465,EY8=0,EY8&lt;=EW8),"",IF(TODAY()&lt;=EW8,0,IF(TODAY()&gt;EY8,1,IFERROR(NETWORKDAYS(EW8,TODAY()-1,Data!$K$4:$K$203)/NETWORKDAYS(EW8,EY8,Data!$K$4:$K$203),"")))),"")</f>
        <v>0.117647058823529</v>
      </c>
      <c r="FL8">
        <f>IF(EO8=1,IF(AND(EY8&gt;0,EY8&lt;TODAY(),ROUND(EU8,4)&lt;1),2,IF(FK8="",0,IF(ROUND(EU8-FK8,4)&lt;-0.15,1,0))),"")</f>
        <v>0</v>
      </c>
      <c r="FM8">
        <f>IF(OR(FA8="",COUNTIF($FA$4:FA7,FA8)&gt;0),0,MAX(0,IF(FB8="Interne",IF(ISNUMBER(INDEX(Data!$F:$F,8)),INDEX(Data!$F:$F,8),p_HeuresETP),IF(ISNUMBER(INDEX(Data!$I:$I,8-$CD$23)),INDEX(Data!$I:$I,8-$CD$23),p_HeuresETP))-IF(FB8="Interne",IF(ISNUMBER(INDEX(Data!$G:$G,8)),INDEX(Data!$G:$G,8),p_ChargeFixe),IF(ISNUMBER(INDEX(Data!$J:$J,8-$CD$23)),INDEX(Data!$J:$J,8-$CD$23),p_ChargeFixe))))</f>
        <v>100</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9">
        <f>IF(AND(D9=1,ISNUMBER(INDEX(Charge!$N:$N,ROW()))),INDEX(Charge!$N:$N,ROW()),"")</f>
        <v>46419.0</v>
      </c>
      <c r="J9" s="169">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70">
        <f>IF(OR($I9="",$E9=0),0,IF(OR($J9&lt;W$3,$I9&gt;W$2),0,IF($K9=0,IF(AND($I9&gt;=W$3,$I9&lt;=W$2),$E9,0),$E9*NETWORKDAYS(MAX($I9,W$3),MIN($J9,W$2),Data!$K$4:$K$203)/$K9)))</f>
        <v>0</v>
      </c>
      <c r="X9" s="170">
        <f>IF(OR($I9="",$E9=0),0,IF(OR($J9&lt;X$3,$I9&gt;X$2),0,IF($K9=0,IF(AND($I9&gt;=X$3,$I9&lt;=X$2),$E9,0),$E9*NETWORKDAYS(MAX($I9,X$3),MIN($J9,X$2),Data!$K$4:$K$203)/$K9)))</f>
        <v>0</v>
      </c>
      <c r="Y9" s="170">
        <f>IF(OR($I9="",$E9=0),0,IF(OR($J9&lt;Y$3,$I9&gt;Y$2),0,IF($K9=0,IF(AND($I9&gt;=Y$3,$I9&lt;=Y$2),$E9,0),$E9*NETWORKDAYS(MAX($I9,Y$3),MIN($J9,Y$2),Data!$K$4:$K$203)/$K9)))</f>
        <v>0</v>
      </c>
      <c r="Z9" s="170">
        <f>IF(OR($I9="",$E9=0),0,IF(OR($J9&lt;Z$3,$I9&gt;Z$2),0,IF($K9=0,IF(AND($I9&gt;=Z$3,$I9&lt;=Z$2),$E9,0),$E9*NETWORKDAYS(MAX($I9,Z$3),MIN($J9,Z$2),Data!$K$4:$K$203)/$K9)))</f>
        <v>0</v>
      </c>
      <c r="AA9" s="170">
        <f>IF(OR($I9="",$E9=0),0,IF(OR($J9&lt;AA$3,$I9&gt;AA$2),0,IF($K9=0,IF(AND($I9&gt;=AA$3,$I9&lt;=AA$2),$E9,0),$E9*NETWORKDAYS(MAX($I9,AA$3),MIN($J9,AA$2),Data!$K$4:$K$203)/$K9)))</f>
        <v>0</v>
      </c>
      <c r="AB9" s="170">
        <f>IF(OR($I9="",$E9=0),0,IF(OR($J9&lt;AB$3,$I9&gt;AB$2),0,IF($K9=0,IF(AND($I9&gt;=AB$3,$I9&lt;=AB$2),$E9,0),$E9*NETWORKDAYS(MAX($I9,AB$3),MIN($J9,AB$2),Data!$K$4:$K$203)/$K9)))</f>
        <v>67.6923076923077</v>
      </c>
      <c r="AC9" s="170">
        <f>IF(OR($I9="",$E9=0),0,IF(OR($J9&lt;AC$3,$I9&gt;AC$2),0,IF($K9=0,IF(AND($I9&gt;=AC$3,$I9&lt;=AC$2),$E9,0),$E9*NETWORKDAYS(MAX($I9,AC$3),MIN($J9,AC$2),Data!$K$4:$K$203)/$K9)))</f>
        <v>77.8461538461538</v>
      </c>
      <c r="AD9" s="170">
        <f>IF(OR($I9="",$E9=0),0,IF(OR($J9&lt;AD$3,$I9&gt;AD$2),0,IF($K9=0,IF(AND($I9&gt;=AD$3,$I9&lt;=AD$2),$E9,0),$E9*NETWORKDAYS(MAX($I9,AD$3),MIN($J9,AD$2),Data!$K$4:$K$203)/$K9)))</f>
        <v>74.4615384615385</v>
      </c>
      <c r="AE9" s="170">
        <f>IF(OR($I9="",$E9=0),0,IF(OR($J9&lt;AE$3,$I9&gt;AE$2),0,IF($K9=0,IF(AND($I9&gt;=AE$3,$I9&lt;=AE$2),$E9,0),$E9*NETWORKDAYS(MAX($I9,AE$3),MIN($J9,AE$2),Data!$K$4:$K$203)/$K9)))</f>
        <v>0</v>
      </c>
      <c r="AF9" s="170">
        <f>IF(OR($I9="",$E9=0),0,IF(OR($J9&lt;AF$3,$I9&gt;AF$2),0,IF($K9=0,IF(AND($I9&gt;=AF$3,$I9&lt;=AF$2),$E9,0),$E9*NETWORKDAYS(MAX($I9,AF$3),MIN($J9,AF$2),Data!$K$4:$K$203)/$K9)))</f>
        <v>0</v>
      </c>
      <c r="AG9" s="170">
        <f>IF(OR($I9="",$E9=0),0,IF(OR($J9&lt;AG$3,$I9&gt;AG$2),0,IF($K9=0,IF(AND($I9&gt;=AG$3,$I9&lt;=AG$2),$E9,0),$E9*NETWORKDAYS(MAX($I9,AG$3),MIN($J9,AG$2),Data!$K$4:$K$203)/$K9)))</f>
        <v>0</v>
      </c>
      <c r="AH9" s="170">
        <f>IF(OR($I9="",$E9=0),0,IF(OR($J9&lt;AH$3,$I9&gt;AH$2),0,IF($K9=0,IF(AND($I9&gt;=AH$3,$I9&lt;=AH$2),$E9,0),$E9*NETWORKDAYS(MAX($I9,AH$3),MIN($J9,AH$2),Data!$K$4:$K$203)/$K9)))</f>
        <v>0</v>
      </c>
      <c r="AI9" s="170">
        <f>SUM(W9:AH9)</f>
        <v>220</v>
      </c>
      <c r="AK9" t="inlineStr">
        <is>
          <t>Charge réalisée (selon avancement)</t>
        </is>
      </c>
      <c r="AL9" s="171">
        <f>SUMPRODUCT(E4:E503,C4:C503)</f>
        <v>339.5</v>
      </c>
      <c r="AN9" t="n">
        <v>6</v>
      </c>
      <c r="AO9" s="165">
        <f>AB$3</f>
        <v>46419.0</v>
      </c>
      <c r="AP9" s="171">
        <f>SUM(AB4:AB503)</f>
        <v>376.791428898343</v>
      </c>
      <c r="AQ9">
        <f>SUMPRODUCT((AB4:AB503&gt;0)/(COUNTIFS($EN$4:$EN$503,$EN$4:$EN$503,AB4:AB503,"&gt;0")+(AB4:AB503&lt;=0)))</f>
        <v>7</v>
      </c>
      <c r="AS9" t="n">
        <v>6</v>
      </c>
      <c r="AT9" t="str">
        <f>IF(AS9&gt;$AL$7,"",INDEX($G$4:$G$503,MATCH(AS9,$R$4:$R$503,0)))</f>
        <v>ORION</v>
      </c>
      <c r="AU9">
        <f>SUMIF($V$4:$V$503,AS9,$E$4:$E$503)</f>
        <v>280</v>
      </c>
      <c r="AV9" s="172">
        <f>IF($AL$4=0,0,AU9/$AL$4)</f>
        <v>0.0810419681620839</v>
      </c>
      <c r="AW9" s="170">
        <f>SUMIF($V$4:$V$503,$AS9,W$4:W$503)</f>
        <v>28.3636363636364</v>
      </c>
      <c r="AX9" s="170">
        <f>SUMIF($V$4:$V$503,$AS9,X$4:X$503)</f>
        <v>48</v>
      </c>
      <c r="AY9" s="170">
        <f>SUMIF($V$4:$V$503,$AS9,Y$4:Y$503)</f>
        <v>43.6363636363636</v>
      </c>
      <c r="AZ9" s="170">
        <f>SUMIF($V$4:$V$503,$AS9,Z$4:Z$503)</f>
        <v>0</v>
      </c>
      <c r="BA9" s="170">
        <f>SUMIF($V$4:$V$503,$AS9,AA$4:AA$503)</f>
        <v>0</v>
      </c>
      <c r="BB9" s="170">
        <f>SUMIF($V$4:$V$503,$AS9,AB$4:AB$503)</f>
        <v>0</v>
      </c>
      <c r="BC9" s="170">
        <f>SUMIF($V$4:$V$503,$AS9,AC$4:AC$503)</f>
        <v>66.9090909090909</v>
      </c>
      <c r="BD9" s="170">
        <f>SUMIF($V$4:$V$503,$AS9,AD$4:AD$503)</f>
        <v>64</v>
      </c>
      <c r="BE9" s="170">
        <f>SUMIF($V$4:$V$503,$AS9,AE$4:AE$503)</f>
        <v>29.0909090909091</v>
      </c>
      <c r="BF9" s="170">
        <f>SUMIF($V$4:$V$503,$AS9,AF$4:AF$503)</f>
        <v>0</v>
      </c>
      <c r="BG9" s="170">
        <f>SUMIF($V$4:$V$503,$AS9,AG$4:AG$503)</f>
        <v>0</v>
      </c>
      <c r="BH9" s="170">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Y9">
        <f>IF(BX9="","",INDEX($FL$4:$FL$503,BX9))</f>
        <v>0</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1">
        <f>IF(CD4="",0,SUMIF($BZ$4:$BZ$503,CD4,$E$4:$E$503))</f>
        <v>420</v>
      </c>
      <c r="CF9" t="n">
        <v>6</v>
      </c>
      <c r="CG9" s="173">
        <f>AB$3</f>
        <v>46419.0</v>
      </c>
      <c r="CH9" s="170">
        <f>IF($CD$4="",0,$CD$7)</f>
        <v>20</v>
      </c>
      <c r="CI9" s="170">
        <f>IF($CD$4="",0,SUMIF($BZ$4:$BZ$503,$CD$4,AB$4:AB$503))</f>
        <v>55.5555555555556</v>
      </c>
      <c r="CJ9" s="170">
        <f>CH9+CI9</f>
        <v>75.5555555555556</v>
      </c>
      <c r="CK9" s="170">
        <f>IF($CD$4="",0,$CD$6)</f>
        <v>120</v>
      </c>
      <c r="CL9" s="170">
        <f>IF(CN9&lt;0,MAX(0,MIN(CI9,CK9-CH9)),CI9)</f>
        <v>55.5555555555556</v>
      </c>
      <c r="CM9" s="170">
        <f>CI9-CL9</f>
        <v>0</v>
      </c>
      <c r="CN9" s="170">
        <f>CK9-CP9</f>
        <v>44</v>
      </c>
      <c r="CO9" s="174">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70">
        <f>IF($CT9="","",SUMIF($BZ$4:$BZ$503,$CT9,W$4:W$503))</f>
        <v>0</v>
      </c>
      <c r="CX9" s="170">
        <f>IF($CT9="","",SUMIF($BZ$4:$BZ$503,$CT9,X$4:X$503))</f>
        <v>0</v>
      </c>
      <c r="CY9" s="170">
        <f>IF($CT9="","",SUMIF($BZ$4:$BZ$503,$CT9,Y$4:Y$503))</f>
        <v>23.3333333333333</v>
      </c>
      <c r="CZ9" s="170">
        <f>IF($CT9="","",SUMIF($BZ$4:$BZ$503,$CT9,Z$4:Z$503))</f>
        <v>54.3055555555556</v>
      </c>
      <c r="DA9" s="170">
        <f>IF($CT9="","",SUMIF($BZ$4:$BZ$503,$CT9,AA$4:AA$503))</f>
        <v>49.5833333333333</v>
      </c>
      <c r="DB9" s="170">
        <f>IF($CT9="","",SUMIF($BZ$4:$BZ$503,$CT9,AB$4:AB$503))</f>
        <v>47.2222222222222</v>
      </c>
      <c r="DC9" s="170">
        <f>IF($CT9="","",SUMIF($BZ$4:$BZ$503,$CT9,AC$4:AC$503))</f>
        <v>25.5555555555556</v>
      </c>
      <c r="DD9" s="170">
        <f>IF($CT9="","",SUMIF($BZ$4:$BZ$503,$CT9,AD$4:AD$503))</f>
        <v>0</v>
      </c>
      <c r="DE9" s="170">
        <f>IF($CT9="","",SUMIF($BZ$4:$BZ$503,$CT9,AE$4:AE$503))</f>
        <v>0</v>
      </c>
      <c r="DF9" s="170">
        <f>IF($CT9="","",SUMIF($BZ$4:$BZ$503,$CT9,AF$4:AF$503))</f>
        <v>0</v>
      </c>
      <c r="DG9" s="170">
        <f>IF($CT9="","",SUMIF($BZ$4:$BZ$503,$CT9,AG$4:AG$503))</f>
        <v>0</v>
      </c>
      <c r="DH9" s="170">
        <f>IF($CT9="","",SUMIF($BZ$4:$BZ$503,$CT9,AH$4:AH$503))</f>
        <v>0</v>
      </c>
      <c r="DI9" s="174">
        <f>IF($CT9="","",IF($CU9&lt;=0,IF(ROUND($CV9+CW9,0)&gt;0,9.99,0),ROUND($CV9+CW9,0)/$CU9))</f>
        <v>0.166666666666667</v>
      </c>
      <c r="DJ9" s="174">
        <f>IF($CT9="","",IF($CU9&lt;=0,IF(ROUND($CV9+CX9,0)&gt;0,9.99,0),ROUND($CV9+CX9,0)/$CU9))</f>
        <v>0.166666666666667</v>
      </c>
      <c r="DK9" s="174">
        <f>IF($CT9="","",IF($CU9&lt;=0,IF(ROUND($CV9+CY9,0)&gt;0,9.99,0),ROUND($CV9+CY9,0)/$CU9))</f>
        <v>0.358333333333333</v>
      </c>
      <c r="DL9" s="174">
        <f>IF($CT9="","",IF($CU9&lt;=0,IF(ROUND($CV9+CZ9,0)&gt;0,9.99,0),ROUND($CV9+CZ9,0)/$CU9))</f>
        <v>0.616666666666667</v>
      </c>
      <c r="DM9" s="174">
        <f>IF($CT9="","",IF($CU9&lt;=0,IF(ROUND($CV9+DA9,0)&gt;0,9.99,0),ROUND($CV9+DA9,0)/$CU9))</f>
        <v>0.583333333333333</v>
      </c>
      <c r="DN9" s="174">
        <f>IF($CT9="","",IF($CU9&lt;=0,IF(ROUND($CV9+DB9,0)&gt;0,9.99,0),ROUND($CV9+DB9,0)/$CU9))</f>
        <v>0.558333333333333</v>
      </c>
      <c r="DO9" s="174">
        <f>IF($CT9="","",IF($CU9&lt;=0,IF(ROUND($CV9+DC9,0)&gt;0,9.99,0),ROUND($CV9+DC9,0)/$CU9))</f>
        <v>0.383333333333333</v>
      </c>
      <c r="DP9" s="174">
        <f>IF($CT9="","",IF($CU9&lt;=0,IF(ROUND($CV9+DD9,0)&gt;0,9.99,0),ROUND($CV9+DD9,0)/$CU9))</f>
        <v>0.166666666666667</v>
      </c>
      <c r="DQ9" s="174">
        <f>IF($CT9="","",IF($CU9&lt;=0,IF(ROUND($CV9+DE9,0)&gt;0,9.99,0),ROUND($CV9+DE9,0)/$CU9))</f>
        <v>0.166666666666667</v>
      </c>
      <c r="DR9" s="174">
        <f>IF($CT9="","",IF($CU9&lt;=0,IF(ROUND($CV9+DF9,0)&gt;0,9.99,0),ROUND($CV9+DF9,0)/$CU9))</f>
        <v>0.166666666666667</v>
      </c>
      <c r="DS9" s="174">
        <f>IF($CT9="","",IF($CU9&lt;=0,IF(ROUND($CV9+DG9,0)&gt;0,9.99,0),ROUND($CV9+DG9,0)/$CU9))</f>
        <v>0.166666666666667</v>
      </c>
      <c r="DT9" s="174">
        <f>IF($CT9="","",IF($CU9&lt;=0,IF(ROUND($CV9+DH9,0)&gt;0,9.99,0),ROUND($CV9+DH9,0)/$CU9))</f>
        <v>0.166666666666667</v>
      </c>
      <c r="DU9" s="174">
        <f>IF(CT9="","",MAX(DI9:DT9))</f>
        <v>0.616666666666667</v>
      </c>
      <c r="DV9" s="171">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9" t="str">
        <f>IF(DY9="","",IF(ISNUMBER(INDEX(Charge!$N:$N,DY9+3)),INDEX(Charge!$N:$N,DY9+3),"—"))</f>
        <v/>
      </c>
      <c r="EG9" s="169" t="str">
        <f>IF(DY9="","",IF(ISNUMBER(INDEX(Charge!$F:$F,DY9+3)),INDEX(Charge!$F:$F,DY9+3),"—"))</f>
        <v/>
      </c>
      <c r="EH9" s="174"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70">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4">
        <f>IF(EO9=1,IF(FH9&gt;0,FI9/FH9,AVERAGEIF($FF$4:$FF$503,EN9,$C$4:$C$503)),"")</f>
        <v>0</v>
      </c>
      <c r="EV9" s="169">
        <f>IF(ISNUMBER(I9),I9,2958465)</f>
        <v>46419.0</v>
      </c>
      <c r="EW9" s="169">
        <f>IF(EO9=1,SUMPRODUCT(MIN(($EN$4:$EN$503=EN9)*$EV$4:$EV$503+($EN$4:$EN$503&lt;&gt;EN9)*2958465)),"")</f>
        <v>46419.0</v>
      </c>
      <c r="EX9" s="169">
        <f>IF(AND(D9=1,ISNUMBER(INDEX(Charge!$F:$F,ROW()))),INDEX(Charge!$F:$F,ROW()),0)</f>
        <v>46507.0</v>
      </c>
      <c r="EY9" s="169">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c r="FF9" t="str">
        <f>IF(B9=1,LEFT(SUBSTITUTE(SUBSTITUTE(SUBSTITUTE(TRIM(SUBSTITUTE(INDEX(Charge!$B:$B,ROW()),CHAR(160)," "))&amp;" | "&amp;TRIM(SUBSTITUTE(INDEX(Charge!$C:$C,ROW()),CHAR(160)," "))&amp;" | "&amp;TRIM(SUBSTITUTE(INDEX(Charge!$D:$D,ROW()),CHAR(160)," ")),"~","-"),"*","+"),"?","!"),240),"")</f>
        <v>BORÉAL | Phase EXE | Groupe froid</v>
      </c>
      <c r="FG9">
        <f>IF(B9=1,MAX(0,N(INDEX(Charge!$M:$M,ROW()))),0)</f>
        <v>220</v>
      </c>
      <c r="FH9" s="170">
        <f>IF(EO9=1,ROUND(SUMIF($FF$4:$FF$503,EN9,$FG$4:$FG$503),2),"")</f>
        <v>220</v>
      </c>
      <c r="FI9" s="170">
        <f>IF(EO9=1,ROUND(SUMPRODUCT(($FF$4:$FF$503=EN9)*$FG$4:$FG$503*$C$4:$C$503),2),"")</f>
        <v>0</v>
      </c>
      <c r="FJ9" s="170">
        <f>IF(EO9=1,MAX(0,ROUND(FH9-FI9,2)),"")</f>
        <v>220</v>
      </c>
      <c r="FK9" s="174">
        <f>IF(EO9=1,IF(OR(EW9&gt;=2958465,EY9=0,EY9&lt;=EW9),"",IF(TODAY()&lt;=EW9,0,IF(TODAY()&gt;EY9,1,IFERROR(NETWORKDAYS(EW9,TODAY()-1,Data!$K$4:$K$203)/NETWORKDAYS(EW9,EY9,Data!$K$4:$K$203),"")))),"")</f>
        <v>0</v>
      </c>
      <c r="FL9">
        <f>IF(EO9=1,IF(AND(EY9&gt;0,EY9&lt;TODAY(),ROUND(EU9,4)&lt;1),2,IF(FK9="",0,IF(ROUND(EU9-FK9,4)&lt;-0.15,1,0))),"")</f>
        <v>0</v>
      </c>
      <c r="FM9">
        <f>IF(OR(FA9="",COUNTIF($FA$4:FA8,FA9)&gt;0),0,MAX(0,IF(FB9="Interne",IF(ISNUMBER(INDEX(Data!$F:$F,9)),INDEX(Data!$F:$F,9),p_HeuresETP),IF(ISNUMBER(INDEX(Data!$I:$I,9-$CD$23)),INDEX(Data!$I:$I,9-$CD$23),p_HeuresETP))-IF(FB9="Interne",IF(ISNUMBER(INDEX(Data!$G:$G,9)),INDEX(Data!$G:$G,9),p_ChargeFixe),IF(ISNUMBER(INDEX(Data!$J:$J,9-$CD$23)),INDEX(Data!$J:$J,9-$CD$23),p_ChargeFixe))))</f>
        <v>100</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9">
        <f>IF(AND(D10=1,ISNUMBER(INDEX(Charge!$N:$N,ROW()))),INDEX(Charge!$N:$N,ROW()),"")</f>
        <v>46405.0</v>
      </c>
      <c r="J10" s="169">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70">
        <f>IF(OR($I10="",$E10=0),0,IF(OR($J10&lt;W$3,$I10&gt;W$2),0,IF($K10=0,IF(AND($I10&gt;=W$3,$I10&lt;=W$2),$E10,0),$E10*NETWORKDAYS(MAX($I10,W$3),MIN($J10,W$2),Data!$K$4:$K$203)/$K10)))</f>
        <v>0</v>
      </c>
      <c r="X10" s="170">
        <f>IF(OR($I10="",$E10=0),0,IF(OR($J10&lt;X$3,$I10&gt;X$2),0,IF($K10=0,IF(AND($I10&gt;=X$3,$I10&lt;=X$2),$E10,0),$E10*NETWORKDAYS(MAX($I10,X$3),MIN($J10,X$2),Data!$K$4:$K$203)/$K10)))</f>
        <v>0</v>
      </c>
      <c r="Y10" s="170">
        <f>IF(OR($I10="",$E10=0),0,IF(OR($J10&lt;Y$3,$I10&gt;Y$2),0,IF($K10=0,IF(AND($I10&gt;=Y$3,$I10&lt;=Y$2),$E10,0),$E10*NETWORKDAYS(MAX($I10,Y$3),MIN($J10,Y$2),Data!$K$4:$K$203)/$K10)))</f>
        <v>0</v>
      </c>
      <c r="Z10" s="170">
        <f>IF(OR($I10="",$E10=0),0,IF(OR($J10&lt;Z$3,$I10&gt;Z$2),0,IF($K10=0,IF(AND($I10&gt;=Z$3,$I10&lt;=Z$2),$E10,0),$E10*NETWORKDAYS(MAX($I10,Z$3),MIN($J10,Z$2),Data!$K$4:$K$203)/$K10)))</f>
        <v>0</v>
      </c>
      <c r="AA10" s="170">
        <f>IF(OR($I10="",$E10=0),0,IF(OR($J10&lt;AA$3,$I10&gt;AA$2),0,IF($K10=0,IF(AND($I10&gt;=AA$3,$I10&lt;=AA$2),$E10,0),$E10*NETWORKDAYS(MAX($I10,AA$3),MIN($J10,AA$2),Data!$K$4:$K$203)/$K10)))</f>
        <v>21.9512195121951</v>
      </c>
      <c r="AB10" s="170">
        <f>IF(OR($I10="",$E10=0),0,IF(OR($J10&lt;AB$3,$I10&gt;AB$2),0,IF($K10=0,IF(AND($I10&gt;=AB$3,$I10&lt;=AB$2),$E10,0),$E10*NETWORKDAYS(MAX($I10,AB$3),MIN($J10,AB$2),Data!$K$4:$K$203)/$K10)))</f>
        <v>43.9024390243903</v>
      </c>
      <c r="AC10" s="170">
        <f>IF(OR($I10="",$E10=0),0,IF(OR($J10&lt;AC$3,$I10&gt;AC$2),0,IF($K10=0,IF(AND($I10&gt;=AC$3,$I10&lt;=AC$2),$E10,0),$E10*NETWORKDAYS(MAX($I10,AC$3),MIN($J10,AC$2),Data!$K$4:$K$203)/$K10)))</f>
        <v>24.1463414634146</v>
      </c>
      <c r="AD10" s="170">
        <f>IF(OR($I10="",$E10=0),0,IF(OR($J10&lt;AD$3,$I10&gt;AD$2),0,IF($K10=0,IF(AND($I10&gt;=AD$3,$I10&lt;=AD$2),$E10,0),$E10*NETWORKDAYS(MAX($I10,AD$3),MIN($J10,AD$2),Data!$K$4:$K$203)/$K10)))</f>
        <v>0</v>
      </c>
      <c r="AE10" s="170">
        <f>IF(OR($I10="",$E10=0),0,IF(OR($J10&lt;AE$3,$I10&gt;AE$2),0,IF($K10=0,IF(AND($I10&gt;=AE$3,$I10&lt;=AE$2),$E10,0),$E10*NETWORKDAYS(MAX($I10,AE$3),MIN($J10,AE$2),Data!$K$4:$K$203)/$K10)))</f>
        <v>0</v>
      </c>
      <c r="AF10" s="170">
        <f>IF(OR($I10="",$E10=0),0,IF(OR($J10&lt;AF$3,$I10&gt;AF$2),0,IF($K10=0,IF(AND($I10&gt;=AF$3,$I10&lt;=AF$2),$E10,0),$E10*NETWORKDAYS(MAX($I10,AF$3),MIN($J10,AF$2),Data!$K$4:$K$203)/$K10)))</f>
        <v>0</v>
      </c>
      <c r="AG10" s="170">
        <f>IF(OR($I10="",$E10=0),0,IF(OR($J10&lt;AG$3,$I10&gt;AG$2),0,IF($K10=0,IF(AND($I10&gt;=AG$3,$I10&lt;=AG$2),$E10,0),$E10*NETWORKDAYS(MAX($I10,AG$3),MIN($J10,AG$2),Data!$K$4:$K$203)/$K10)))</f>
        <v>0</v>
      </c>
      <c r="AH10" s="170">
        <f>IF(OR($I10="",$E10=0),0,IF(OR($J10&lt;AH$3,$I10&gt;AH$2),0,IF($K10=0,IF(AND($I10&gt;=AH$3,$I10&lt;=AH$2),$E10,0),$E10*NETWORKDAYS(MAX($I10,AH$3),MIN($J10,AH$2),Data!$K$4:$K$203)/$K10)))</f>
        <v>0</v>
      </c>
      <c r="AI10" s="170">
        <f>SUM(W10:AH10)</f>
        <v>90</v>
      </c>
      <c r="AK10" t="inlineStr">
        <is>
          <t>Reste à faire (h)</t>
        </is>
      </c>
      <c r="AL10" s="171">
        <f>AL4-AL9</f>
        <v>3115.5</v>
      </c>
      <c r="AN10" t="n">
        <v>7</v>
      </c>
      <c r="AO10" s="165">
        <f>AC$3</f>
        <v>46447.0</v>
      </c>
      <c r="AP10" s="171">
        <f>SUM(AC4:AC503)</f>
        <v>507.840504944044</v>
      </c>
      <c r="AQ10">
        <f>SUMPRODUCT((AC4:AC503&gt;0)/(COUNTIFS($EN$4:$EN$503,$EN$4:$EN$503,AC4:AC503,"&gt;0")+(AC4:AC503&lt;=0)))</f>
        <v>9</v>
      </c>
      <c r="AS10" t="n">
        <v>7</v>
      </c>
      <c r="AT10" t="str">
        <f>IF(AS10&gt;$AL$7,"",INDEX($G$4:$G$503,MATCH(AS10,$R$4:$R$503,0)))</f>
        <v>VEGA</v>
      </c>
      <c r="AU10">
        <f>SUMIF($V$4:$V$503,AS10,$E$4:$E$503)</f>
        <v>195</v>
      </c>
      <c r="AV10" s="172">
        <f>IF($AL$4=0,0,AU10/$AL$4)</f>
        <v>0.0564399421128799</v>
      </c>
      <c r="AW10" s="170">
        <f>SUMIF($V$4:$V$503,$AS10,W$4:W$503)</f>
        <v>0</v>
      </c>
      <c r="AX10" s="170">
        <f>SUMIF($V$4:$V$503,$AS10,X$4:X$503)</f>
        <v>0</v>
      </c>
      <c r="AY10" s="170">
        <f>SUMIF($V$4:$V$503,$AS10,Y$4:Y$503)</f>
        <v>12.75</v>
      </c>
      <c r="AZ10" s="170">
        <f>SUMIF($V$4:$V$503,$AS10,Z$4:Z$503)</f>
        <v>48.875</v>
      </c>
      <c r="BA10" s="170">
        <f>SUMIF($V$4:$V$503,$AS10,AA$4:AA$503)</f>
        <v>23.375</v>
      </c>
      <c r="BB10" s="170">
        <f>SUMIF($V$4:$V$503,$AS10,AB$4:AB$503)</f>
        <v>23.6842105263158</v>
      </c>
      <c r="BC10" s="170">
        <f>SUMIF($V$4:$V$503,$AS10,AC$4:AC$503)</f>
        <v>61.8713450292398</v>
      </c>
      <c r="BD10" s="170">
        <f>SUMIF($V$4:$V$503,$AS10,AD$4:AD$503)</f>
        <v>24.4444444444444</v>
      </c>
      <c r="BE10" s="170">
        <f>SUMIF($V$4:$V$503,$AS10,AE$4:AE$503)</f>
        <v>0</v>
      </c>
      <c r="BF10" s="170">
        <f>SUMIF($V$4:$V$503,$AS10,AF$4:AF$503)</f>
        <v>0</v>
      </c>
      <c r="BG10" s="170">
        <f>SUMIF($V$4:$V$503,$AS10,AG$4:AG$503)</f>
        <v>0</v>
      </c>
      <c r="BH10" s="170">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Y10">
        <f>IF(BX10="","",INDEX($FL$4:$FL$503,BX10))</f>
        <v>0</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5">
        <f>IF(CD4="",0,COUNTIFS($BZ$4:$BZ$503,CD4,$FE$4:$FE$503,1))</f>
        <v>2</v>
      </c>
      <c r="CF10" t="n">
        <v>7</v>
      </c>
      <c r="CG10" s="173">
        <f>AC$3</f>
        <v>46447.0</v>
      </c>
      <c r="CH10" s="170">
        <f>IF($CD$4="",0,$CD$7)</f>
        <v>20</v>
      </c>
      <c r="CI10" s="170">
        <f>IF($CD$4="",0,SUMIF($BZ$4:$BZ$503,$CD$4,AC$4:AC$503))</f>
        <v>63.8888888888889</v>
      </c>
      <c r="CJ10" s="170">
        <f>CH10+CI10</f>
        <v>83.8888888888889</v>
      </c>
      <c r="CK10" s="170">
        <f>IF($CD$4="",0,$CD$6)</f>
        <v>120</v>
      </c>
      <c r="CL10" s="170">
        <f>IF(CN10&lt;0,MAX(0,MIN(CI10,CK10-CH10)),CI10)</f>
        <v>63.8888888888889</v>
      </c>
      <c r="CM10" s="170">
        <f>CI10-CL10</f>
        <v>0</v>
      </c>
      <c r="CN10" s="170">
        <f>CK10-CP10</f>
        <v>36</v>
      </c>
      <c r="CO10" s="174">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70">
        <f>IF($CT10="","",SUMIF($BZ$4:$BZ$503,$CT10,W$4:W$503))</f>
        <v>0</v>
      </c>
      <c r="CX10" s="170">
        <f>IF($CT10="","",SUMIF($BZ$4:$BZ$503,$CT10,X$4:X$503))</f>
        <v>0</v>
      </c>
      <c r="CY10" s="170">
        <f>IF($CT10="","",SUMIF($BZ$4:$BZ$503,$CT10,Y$4:Y$503))</f>
        <v>0</v>
      </c>
      <c r="CZ10" s="170">
        <f>IF($CT10="","",SUMIF($BZ$4:$BZ$503,$CT10,Z$4:Z$503))</f>
        <v>0</v>
      </c>
      <c r="DA10" s="170">
        <f>IF($CT10="","",SUMIF($BZ$4:$BZ$503,$CT10,AA$4:AA$503))</f>
        <v>0</v>
      </c>
      <c r="DB10" s="170">
        <f>IF($CT10="","",SUMIF($BZ$4:$BZ$503,$CT10,AB$4:AB$503))</f>
        <v>0</v>
      </c>
      <c r="DC10" s="170">
        <f>IF($CT10="","",SUMIF($BZ$4:$BZ$503,$CT10,AC$4:AC$503))</f>
        <v>0</v>
      </c>
      <c r="DD10" s="170">
        <f>IF($CT10="","",SUMIF($BZ$4:$BZ$503,$CT10,AD$4:AD$503))</f>
        <v>42.3529411764706</v>
      </c>
      <c r="DE10" s="170">
        <f>IF($CT10="","",SUMIF($BZ$4:$BZ$503,$CT10,AE$4:AE$503))</f>
        <v>64.2352941176471</v>
      </c>
      <c r="DF10" s="170">
        <f>IF($CT10="","",SUMIF($BZ$4:$BZ$503,$CT10,AF$4:AF$503))</f>
        <v>67.2941176470588</v>
      </c>
      <c r="DG10" s="170">
        <f>IF($CT10="","",SUMIF($BZ$4:$BZ$503,$CT10,AG$4:AG$503))</f>
        <v>67.2941176470588</v>
      </c>
      <c r="DH10" s="170">
        <f>IF($CT10="","",SUMIF($BZ$4:$BZ$503,$CT10,AH$4:AH$503))</f>
        <v>18.8235294117647</v>
      </c>
      <c r="DI10" s="174">
        <f>IF($CT10="","",IF($CU10&lt;=0,IF(ROUND($CV10+CW10,0)&gt;0,9.99,0),ROUND($CV10+CW10,0)/$CU10))</f>
        <v>0.166666666666667</v>
      </c>
      <c r="DJ10" s="174">
        <f>IF($CT10="","",IF($CU10&lt;=0,IF(ROUND($CV10+CX10,0)&gt;0,9.99,0),ROUND($CV10+CX10,0)/$CU10))</f>
        <v>0.166666666666667</v>
      </c>
      <c r="DK10" s="174">
        <f>IF($CT10="","",IF($CU10&lt;=0,IF(ROUND($CV10+CY10,0)&gt;0,9.99,0),ROUND($CV10+CY10,0)/$CU10))</f>
        <v>0.166666666666667</v>
      </c>
      <c r="DL10" s="174">
        <f>IF($CT10="","",IF($CU10&lt;=0,IF(ROUND($CV10+CZ10,0)&gt;0,9.99,0),ROUND($CV10+CZ10,0)/$CU10))</f>
        <v>0.166666666666667</v>
      </c>
      <c r="DM10" s="174">
        <f>IF($CT10="","",IF($CU10&lt;=0,IF(ROUND($CV10+DA10,0)&gt;0,9.99,0),ROUND($CV10+DA10,0)/$CU10))</f>
        <v>0.166666666666667</v>
      </c>
      <c r="DN10" s="174">
        <f>IF($CT10="","",IF($CU10&lt;=0,IF(ROUND($CV10+DB10,0)&gt;0,9.99,0),ROUND($CV10+DB10,0)/$CU10))</f>
        <v>0.166666666666667</v>
      </c>
      <c r="DO10" s="174">
        <f>IF($CT10="","",IF($CU10&lt;=0,IF(ROUND($CV10+DC10,0)&gt;0,9.99,0),ROUND($CV10+DC10,0)/$CU10))</f>
        <v>0.166666666666667</v>
      </c>
      <c r="DP10" s="174">
        <f>IF($CT10="","",IF($CU10&lt;=0,IF(ROUND($CV10+DD10,0)&gt;0,9.99,0),ROUND($CV10+DD10,0)/$CU10))</f>
        <v>0.516666666666667</v>
      </c>
      <c r="DQ10" s="174">
        <f>IF($CT10="","",IF($CU10&lt;=0,IF(ROUND($CV10+DE10,0)&gt;0,9.99,0),ROUND($CV10+DE10,0)/$CU10))</f>
        <v>0.7</v>
      </c>
      <c r="DR10" s="174">
        <f>IF($CT10="","",IF($CU10&lt;=0,IF(ROUND($CV10+DF10,0)&gt;0,9.99,0),ROUND($CV10+DF10,0)/$CU10))</f>
        <v>0.725</v>
      </c>
      <c r="DS10" s="174">
        <f>IF($CT10="","",IF($CU10&lt;=0,IF(ROUND($CV10+DG10,0)&gt;0,9.99,0),ROUND($CV10+DG10,0)/$CU10))</f>
        <v>0.725</v>
      </c>
      <c r="DT10" s="174">
        <f>IF($CT10="","",IF($CU10&lt;=0,IF(ROUND($CV10+DH10,0)&gt;0,9.99,0),ROUND($CV10+DH10,0)/$CU10))</f>
        <v>0.325</v>
      </c>
      <c r="DU10" s="174">
        <f>IF(CT10="","",MAX(DI10:DT10))</f>
        <v>0.725</v>
      </c>
      <c r="DV10" s="171">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9" t="str">
        <f>IF(DY10="","",IF(ISNUMBER(INDEX(Charge!$N:$N,DY10+3)),INDEX(Charge!$N:$N,DY10+3),"—"))</f>
        <v/>
      </c>
      <c r="EG10" s="169" t="str">
        <f>IF(DY10="","",IF(ISNUMBER(INDEX(Charge!$F:$F,DY10+3)),INDEX(Charge!$F:$F,DY10+3),"—"))</f>
        <v/>
      </c>
      <c r="EH10" s="174"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70">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4">
        <f>IF(EO10=1,IF(FH10&gt;0,FI10/FH10,AVERAGEIF($FF$4:$FF$503,EN10,$C$4:$C$503)),"")</f>
        <v>0</v>
      </c>
      <c r="EV10" s="169">
        <f>IF(ISNUMBER(I10),I10,2958465)</f>
        <v>46405.0</v>
      </c>
      <c r="EW10" s="169">
        <f>IF(EO10=1,SUMPRODUCT(MIN(($EN$4:$EN$503=EN10)*$EV$4:$EV$503+($EN$4:$EN$503&lt;&gt;EN10)*2958465)),"")</f>
        <v>46405.0</v>
      </c>
      <c r="EX10" s="169">
        <f>IF(AND(D10=1,ISNUMBER(INDEX(Charge!$F:$F,ROW()))),INDEX(Charge!$F:$F,ROW()),0)</f>
        <v>46461.0</v>
      </c>
      <c r="EY10" s="169">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c r="FF10" t="str">
        <f>IF(B10=1,LEFT(SUBSTITUTE(SUBSTITUTE(SUBSTITUTE(TRIM(SUBSTITUTE(INDEX(Charge!$B:$B,ROW()),CHAR(160)," "))&amp;" | "&amp;TRIM(SUBSTITUTE(INDEX(Charge!$C:$C,ROW()),CHAR(160)," "))&amp;" | "&amp;TRIM(SUBSTITUTE(INDEX(Charge!$D:$D,ROW()),CHAR(160)," ")),"~","-"),"*","+"),"?","!"),240),"")</f>
        <v>BORÉAL | Phase EXE | Armoire de commande</v>
      </c>
      <c r="FG10">
        <f>IF(B10=1,MAX(0,N(INDEX(Charge!$M:$M,ROW()))),0)</f>
        <v>90</v>
      </c>
      <c r="FH10" s="170">
        <f>IF(EO10=1,ROUND(SUMIF($FF$4:$FF$503,EN10,$FG$4:$FG$503),2),"")</f>
        <v>90</v>
      </c>
      <c r="FI10" s="170">
        <f>IF(EO10=1,ROUND(SUMPRODUCT(($FF$4:$FF$503=EN10)*$FG$4:$FG$503*$C$4:$C$503),2),"")</f>
        <v>0</v>
      </c>
      <c r="FJ10" s="170">
        <f>IF(EO10=1,MAX(0,ROUND(FH10-FI10,2)),"")</f>
        <v>90</v>
      </c>
      <c r="FK10" s="174">
        <f>IF(EO10=1,IF(OR(EW10&gt;=2958465,EY10=0,EY10&lt;=EW10),"",IF(TODAY()&lt;=EW10,0,IF(TODAY()&gt;EY10,1,IFERROR(NETWORKDAYS(EW10,TODAY()-1,Data!$K$4:$K$203)/NETWORKDAYS(EW10,EY10,Data!$K$4:$K$203),"")))),"")</f>
        <v>0</v>
      </c>
      <c r="FL10">
        <f>IF(EO10=1,IF(AND(EY10&gt;0,EY10&lt;TODAY(),ROUND(EU10,4)&lt;1),2,IF(FK10="",0,IF(ROUND(EU10-FK10,4)&lt;-0.15,1,0))),"")</f>
        <v>0</v>
      </c>
      <c r="FM10">
        <f>IF(OR(FA10="",COUNTIF($FA$4:FA9,FA10)&gt;0),0,MAX(0,IF(FB10="Interne",IF(ISNUMBER(INDEX(Data!$F:$F,10)),INDEX(Data!$F:$F,10),p_HeuresETP),IF(ISNUMBER(INDEX(Data!$I:$I,10-$CD$23)),INDEX(Data!$I:$I,10-$CD$23),p_HeuresETP))-IF(FB10="Interne",IF(ISNUMBER(INDEX(Data!$G:$G,10)),INDEX(Data!$G:$G,10),p_ChargeFixe),IF(ISNUMBER(INDEX(Data!$J:$J,10-$CD$23)),INDEX(Data!$J:$J,10-$CD$23),p_ChargeFixe))))</f>
        <v>100</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9">
        <f>IF(AND(D11=1,ISNUMBER(INDEX(Charge!$N:$N,ROW()))),INDEX(Charge!$N:$N,ROW()),"")</f>
        <v>46307.0</v>
      </c>
      <c r="J11" s="169">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70">
        <f>IF(OR($I11="",$E11=0),0,IF(OR($J11&lt;W$3,$I11&gt;W$2),0,IF($K11=0,IF(AND($I11&gt;=W$3,$I11&lt;=W$2),$E11,0),$E11*NETWORKDAYS(MAX($I11,W$3),MIN($J11,W$2),Data!$K$4:$K$203)/$K11)))</f>
        <v>0</v>
      </c>
      <c r="X11" s="170">
        <f>IF(OR($I11="",$E11=0),0,IF(OR($J11&lt;X$3,$I11&gt;X$2),0,IF($K11=0,IF(AND($I11&gt;=X$3,$I11&lt;=X$2),$E11,0),$E11*NETWORKDAYS(MAX($I11,X$3),MIN($J11,X$2),Data!$K$4:$K$203)/$K11)))</f>
        <v>45</v>
      </c>
      <c r="Y11" s="170">
        <f>IF(OR($I11="",$E11=0),0,IF(OR($J11&lt;Y$3,$I11&gt;Y$2),0,IF($K11=0,IF(AND($I11&gt;=Y$3,$I11&lt;=Y$2),$E11,0),$E11*NETWORKDAYS(MAX($I11,Y$3),MIN($J11,Y$2),Data!$K$4:$K$203)/$K11)))</f>
        <v>63</v>
      </c>
      <c r="Z11" s="170">
        <f>IF(OR($I11="",$E11=0),0,IF(OR($J11&lt;Z$3,$I11&gt;Z$2),0,IF($K11=0,IF(AND($I11&gt;=Z$3,$I11&lt;=Z$2),$E11,0),$E11*NETWORKDAYS(MAX($I11,Z$3),MIN($J11,Z$2),Data!$K$4:$K$203)/$K11)))</f>
        <v>42</v>
      </c>
      <c r="AA11" s="170">
        <f>IF(OR($I11="",$E11=0),0,IF(OR($J11&lt;AA$3,$I11&gt;AA$2),0,IF($K11=0,IF(AND($I11&gt;=AA$3,$I11&lt;=AA$2),$E11,0),$E11*NETWORKDAYS(MAX($I11,AA$3),MIN($J11,AA$2),Data!$K$4:$K$203)/$K11)))</f>
        <v>0</v>
      </c>
      <c r="AB11" s="170">
        <f>IF(OR($I11="",$E11=0),0,IF(OR($J11&lt;AB$3,$I11&gt;AB$2),0,IF($K11=0,IF(AND($I11&gt;=AB$3,$I11&lt;=AB$2),$E11,0),$E11*NETWORKDAYS(MAX($I11,AB$3),MIN($J11,AB$2),Data!$K$4:$K$203)/$K11)))</f>
        <v>0</v>
      </c>
      <c r="AC11" s="170">
        <f>IF(OR($I11="",$E11=0),0,IF(OR($J11&lt;AC$3,$I11&gt;AC$2),0,IF($K11=0,IF(AND($I11&gt;=AC$3,$I11&lt;=AC$2),$E11,0),$E11*NETWORKDAYS(MAX($I11,AC$3),MIN($J11,AC$2),Data!$K$4:$K$203)/$K11)))</f>
        <v>0</v>
      </c>
      <c r="AD11" s="170">
        <f>IF(OR($I11="",$E11=0),0,IF(OR($J11&lt;AD$3,$I11&gt;AD$2),0,IF($K11=0,IF(AND($I11&gt;=AD$3,$I11&lt;=AD$2),$E11,0),$E11*NETWORKDAYS(MAX($I11,AD$3),MIN($J11,AD$2),Data!$K$4:$K$203)/$K11)))</f>
        <v>0</v>
      </c>
      <c r="AE11" s="170">
        <f>IF(OR($I11="",$E11=0),0,IF(OR($J11&lt;AE$3,$I11&gt;AE$2),0,IF($K11=0,IF(AND($I11&gt;=AE$3,$I11&lt;=AE$2),$E11,0),$E11*NETWORKDAYS(MAX($I11,AE$3),MIN($J11,AE$2),Data!$K$4:$K$203)/$K11)))</f>
        <v>0</v>
      </c>
      <c r="AF11" s="170">
        <f>IF(OR($I11="",$E11=0),0,IF(OR($J11&lt;AF$3,$I11&gt;AF$2),0,IF($K11=0,IF(AND($I11&gt;=AF$3,$I11&lt;=AF$2),$E11,0),$E11*NETWORKDAYS(MAX($I11,AF$3),MIN($J11,AF$2),Data!$K$4:$K$203)/$K11)))</f>
        <v>0</v>
      </c>
      <c r="AG11" s="170">
        <f>IF(OR($I11="",$E11=0),0,IF(OR($J11&lt;AG$3,$I11&gt;AG$2),0,IF($K11=0,IF(AND($I11&gt;=AG$3,$I11&lt;=AG$2),$E11,0),$E11*NETWORKDAYS(MAX($I11,AG$3),MIN($J11,AG$2),Data!$K$4:$K$203)/$K11)))</f>
        <v>0</v>
      </c>
      <c r="AH11" s="170">
        <f>IF(OR($I11="",$E11=0),0,IF(OR($J11&lt;AH$3,$I11&gt;AH$2),0,IF($K11=0,IF(AND($I11&gt;=AH$3,$I11&lt;=AH$2),$E11,0),$E11*NETWORKDAYS(MAX($I11,AH$3),MIN($J11,AH$2),Data!$K$4:$K$203)/$K11)))</f>
        <v>0</v>
      </c>
      <c r="AI11" s="170">
        <f>SUM(W11:AH11)</f>
        <v>150</v>
      </c>
      <c r="AK11" t="inlineStr">
        <is>
          <t>Avancement moyen (moyenne simple des affaires)</t>
        </is>
      </c>
      <c r="AL11" s="172">
        <f>IF(AL5=0,0,SUM(EU4:EU503)/AL5)</f>
        <v>0.111204481792717</v>
      </c>
      <c r="AN11" t="n">
        <v>8</v>
      </c>
      <c r="AO11" s="165">
        <f>AD$3</f>
        <v>46478.0</v>
      </c>
      <c r="AP11" s="171">
        <f>SUM(AD4:AD503)</f>
        <v>416.608583946399</v>
      </c>
      <c r="AQ11">
        <f>SUMPRODUCT((AD4:AD503&gt;0)/(COUNTIFS($EN$4:$EN$503,$EN$4:$EN$503,AD4:AD503,"&gt;0")+(AD4:AD503&lt;=0)))</f>
        <v>7</v>
      </c>
      <c r="AS11" t="n">
        <v>8</v>
      </c>
      <c r="AT11" t="str">
        <f>IF(AS11&gt;$AL$7,"",INDEX($G$4:$G$503,MATCH(AS11,$R$4:$R$503,0)))</f>
        <v/>
      </c>
      <c r="AU11">
        <f>SUMIF($V$4:$V$503,AS11,$E$4:$E$503)</f>
        <v>0</v>
      </c>
      <c r="AV11" s="172">
        <f>IF($AL$4=0,0,AU11/$AL$4)</f>
        <v>0</v>
      </c>
      <c r="AW11" s="170">
        <f>SUMIF($V$4:$V$503,$AS11,W$4:W$503)</f>
        <v>0</v>
      </c>
      <c r="AX11" s="170">
        <f>SUMIF($V$4:$V$503,$AS11,X$4:X$503)</f>
        <v>0</v>
      </c>
      <c r="AY11" s="170">
        <f>SUMIF($V$4:$V$503,$AS11,Y$4:Y$503)</f>
        <v>0</v>
      </c>
      <c r="AZ11" s="170">
        <f>SUMIF($V$4:$V$503,$AS11,Z$4:Z$503)</f>
        <v>0</v>
      </c>
      <c r="BA11" s="170">
        <f>SUMIF($V$4:$V$503,$AS11,AA$4:AA$503)</f>
        <v>0</v>
      </c>
      <c r="BB11" s="170">
        <f>SUMIF($V$4:$V$503,$AS11,AB$4:AB$503)</f>
        <v>0</v>
      </c>
      <c r="BC11" s="170">
        <f>SUMIF($V$4:$V$503,$AS11,AC$4:AC$503)</f>
        <v>0</v>
      </c>
      <c r="BD11" s="170">
        <f>SUMIF($V$4:$V$503,$AS11,AD$4:AD$503)</f>
        <v>0</v>
      </c>
      <c r="BE11" s="170">
        <f>SUMIF($V$4:$V$503,$AS11,AE$4:AE$503)</f>
        <v>0</v>
      </c>
      <c r="BF11" s="170">
        <f>SUMIF($V$4:$V$503,$AS11,AF$4:AF$503)</f>
        <v>0</v>
      </c>
      <c r="BG11" s="170">
        <f>SUMIF($V$4:$V$503,$AS11,AG$4:AG$503)</f>
        <v>0</v>
      </c>
      <c r="BH11" s="170">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Y11">
        <f>IF(BX11="","",INDEX($FL$4:$FL$503,BX11))</f>
        <v>0</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1">
        <f>SUM(CI4:CI15)</f>
        <v>420</v>
      </c>
      <c r="CF11" t="n">
        <v>8</v>
      </c>
      <c r="CG11" s="173">
        <f>AD$3</f>
        <v>46478.0</v>
      </c>
      <c r="CH11" s="170">
        <f>IF($CD$4="",0,$CD$7)</f>
        <v>20</v>
      </c>
      <c r="CI11" s="170">
        <f>IF($CD$4="",0,SUMIF($BZ$4:$BZ$503,$CD$4,AD$4:AD$503))</f>
        <v>0</v>
      </c>
      <c r="CJ11" s="170">
        <f>CH11+CI11</f>
        <v>20</v>
      </c>
      <c r="CK11" s="170">
        <f>IF($CD$4="",0,$CD$6)</f>
        <v>120</v>
      </c>
      <c r="CL11" s="170">
        <f>IF(CN11&lt;0,MAX(0,MIN(CI11,CK11-CH11)),CI11)</f>
        <v>0</v>
      </c>
      <c r="CM11" s="170">
        <f>CI11-CL11</f>
        <v>0</v>
      </c>
      <c r="CN11" s="170">
        <f>CK11-CP11</f>
        <v>100</v>
      </c>
      <c r="CO11" s="174">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70">
        <f>IF($CT11="","",SUMIF($BZ$4:$BZ$503,$CT11,W$4:W$503))</f>
        <v>0</v>
      </c>
      <c r="CX11" s="170">
        <f>IF($CT11="","",SUMIF($BZ$4:$BZ$503,$CT11,X$4:X$503))</f>
        <v>0</v>
      </c>
      <c r="CY11" s="170">
        <f>IF($CT11="","",SUMIF($BZ$4:$BZ$503,$CT11,Y$4:Y$503))</f>
        <v>0</v>
      </c>
      <c r="CZ11" s="170">
        <f>IF($CT11="","",SUMIF($BZ$4:$BZ$503,$CT11,Z$4:Z$503))</f>
        <v>0</v>
      </c>
      <c r="DA11" s="170">
        <f>IF($CT11="","",SUMIF($BZ$4:$BZ$503,$CT11,AA$4:AA$503))</f>
        <v>21.9512195121951</v>
      </c>
      <c r="DB11" s="170">
        <f>IF($CT11="","",SUMIF($BZ$4:$BZ$503,$CT11,AB$4:AB$503))</f>
        <v>43.9024390243903</v>
      </c>
      <c r="DC11" s="170">
        <f>IF($CT11="","",SUMIF($BZ$4:$BZ$503,$CT11,AC$4:AC$503))</f>
        <v>40.3963414634146</v>
      </c>
      <c r="DD11" s="170">
        <f>IF($CT11="","",SUMIF($BZ$4:$BZ$503,$CT11,AD$4:AD$503))</f>
        <v>27.5</v>
      </c>
      <c r="DE11" s="170">
        <f>IF($CT11="","",SUMIF($BZ$4:$BZ$503,$CT11,AE$4:AE$503))</f>
        <v>26.25</v>
      </c>
      <c r="DF11" s="170">
        <f>IF($CT11="","",SUMIF($BZ$4:$BZ$503,$CT11,AF$4:AF$503))</f>
        <v>27.5</v>
      </c>
      <c r="DG11" s="170">
        <f>IF($CT11="","",SUMIF($BZ$4:$BZ$503,$CT11,AG$4:AG$503))</f>
        <v>27.5</v>
      </c>
      <c r="DH11" s="170">
        <f>IF($CT11="","",SUMIF($BZ$4:$BZ$503,$CT11,AH$4:AH$503))</f>
        <v>27.5</v>
      </c>
      <c r="DI11" s="174">
        <f>IF($CT11="","",IF($CU11&lt;=0,IF(ROUND($CV11+CW11,0)&gt;0,9.99,0),ROUND($CV11+CW11,0)/$CU11))</f>
        <v>0.166666666666667</v>
      </c>
      <c r="DJ11" s="174">
        <f>IF($CT11="","",IF($CU11&lt;=0,IF(ROUND($CV11+CX11,0)&gt;0,9.99,0),ROUND($CV11+CX11,0)/$CU11))</f>
        <v>0.166666666666667</v>
      </c>
      <c r="DK11" s="174">
        <f>IF($CT11="","",IF($CU11&lt;=0,IF(ROUND($CV11+CY11,0)&gt;0,9.99,0),ROUND($CV11+CY11,0)/$CU11))</f>
        <v>0.166666666666667</v>
      </c>
      <c r="DL11" s="174">
        <f>IF($CT11="","",IF($CU11&lt;=0,IF(ROUND($CV11+CZ11,0)&gt;0,9.99,0),ROUND($CV11+CZ11,0)/$CU11))</f>
        <v>0.166666666666667</v>
      </c>
      <c r="DM11" s="174">
        <f>IF($CT11="","",IF($CU11&lt;=0,IF(ROUND($CV11+DA11,0)&gt;0,9.99,0),ROUND($CV11+DA11,0)/$CU11))</f>
        <v>0.35</v>
      </c>
      <c r="DN11" s="174">
        <f>IF($CT11="","",IF($CU11&lt;=0,IF(ROUND($CV11+DB11,0)&gt;0,9.99,0),ROUND($CV11+DB11,0)/$CU11))</f>
        <v>0.533333333333333</v>
      </c>
      <c r="DO11" s="174">
        <f>IF($CT11="","",IF($CU11&lt;=0,IF(ROUND($CV11+DC11,0)&gt;0,9.99,0),ROUND($CV11+DC11,0)/$CU11))</f>
        <v>0.5</v>
      </c>
      <c r="DP11" s="174">
        <f>IF($CT11="","",IF($CU11&lt;=0,IF(ROUND($CV11+DD11,0)&gt;0,9.99,0),ROUND($CV11+DD11,0)/$CU11))</f>
        <v>0.4</v>
      </c>
      <c r="DQ11" s="174">
        <f>IF($CT11="","",IF($CU11&lt;=0,IF(ROUND($CV11+DE11,0)&gt;0,9.99,0),ROUND($CV11+DE11,0)/$CU11))</f>
        <v>0.383333333333333</v>
      </c>
      <c r="DR11" s="174">
        <f>IF($CT11="","",IF($CU11&lt;=0,IF(ROUND($CV11+DF11,0)&gt;0,9.99,0),ROUND($CV11+DF11,0)/$CU11))</f>
        <v>0.4</v>
      </c>
      <c r="DS11" s="174">
        <f>IF($CT11="","",IF($CU11&lt;=0,IF(ROUND($CV11+DG11,0)&gt;0,9.99,0),ROUND($CV11+DG11,0)/$CU11))</f>
        <v>0.4</v>
      </c>
      <c r="DT11" s="174">
        <f>IF($CT11="","",IF($CU11&lt;=0,IF(ROUND($CV11+DH11,0)&gt;0,9.99,0),ROUND($CV11+DH11,0)/$CU11))</f>
        <v>0.4</v>
      </c>
      <c r="DU11" s="174">
        <f>IF(CT11="","",MAX(DI11:DT11))</f>
        <v>0.533333333333333</v>
      </c>
      <c r="DV11" s="171">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9" t="str">
        <f>IF(DY11="","",IF(ISNUMBER(INDEX(Charge!$N:$N,DY11+3)),INDEX(Charge!$N:$N,DY11+3),"—"))</f>
        <v/>
      </c>
      <c r="EG11" s="169" t="str">
        <f>IF(DY11="","",IF(ISNUMBER(INDEX(Charge!$F:$F,DY11+3)),INDEX(Charge!$F:$F,DY11+3),"—"))</f>
        <v/>
      </c>
      <c r="EH11" s="174"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70">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4">
        <f>IF(EO11=1,IF(FH11&gt;0,FI11/FH11,AVERAGEIF($FF$4:$FF$503,EN11,$C$4:$C$503)),"")</f>
        <v>0.5</v>
      </c>
      <c r="EV11" s="169">
        <f>IF(ISNUMBER(I11),I11,2958465)</f>
        <v>46307.0</v>
      </c>
      <c r="EW11" s="169">
        <f>IF(EO11=1,SUMPRODUCT(MIN(($EN$4:$EN$503=EN11)*$EV$4:$EV$503+($EN$4:$EN$503&lt;&gt;EN11)*2958465)),"")</f>
        <v>46307.0</v>
      </c>
      <c r="EX11" s="169">
        <f>IF(AND(D11=1,ISNUMBER(INDEX(Charge!$F:$F,ROW()))),INDEX(Charge!$F:$F,ROW()),0)</f>
        <v>46374.0</v>
      </c>
      <c r="EY11" s="169">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c r="FF11" t="str">
        <f>IF(B11=1,LEFT(SUBSTITUTE(SUBSTITUTE(SUBSTITUTE(TRIM(SUBSTITUTE(INDEX(Charge!$B:$B,ROW()),CHAR(160)," "))&amp;" | "&amp;TRIM(SUBSTITUTE(INDEX(Charge!$C:$C,ROW()),CHAR(160)," "))&amp;" | "&amp;TRIM(SUBSTITUTE(INDEX(Charge!$D:$D,ROW()),CHAR(160)," ")),"~","-"),"*","+"),"?","!"),240),"")</f>
        <v>CASSIOPÉE | Rétrofit ligne 2 | Convoyeur</v>
      </c>
      <c r="FG11">
        <f>IF(B11=1,MAX(0,N(INDEX(Charge!$M:$M,ROW()))),0)</f>
        <v>150</v>
      </c>
      <c r="FH11" s="170">
        <f>IF(EO11=1,ROUND(SUMIF($FF$4:$FF$503,EN11,$FG$4:$FG$503),2),"")</f>
        <v>150</v>
      </c>
      <c r="FI11" s="170">
        <f>IF(EO11=1,ROUND(SUMPRODUCT(($FF$4:$FF$503=EN11)*$FG$4:$FG$503*$C$4:$C$503),2),"")</f>
        <v>75</v>
      </c>
      <c r="FJ11" s="170">
        <f>IF(EO11=1,MAX(0,ROUND(FH11-FI11,2)),"")</f>
        <v>75</v>
      </c>
      <c r="FK11" s="174">
        <f>IF(EO11=1,IF(OR(EW11&gt;=2958465,EY11=0,EY11&lt;=EW11),"",IF(TODAY()&lt;=EW11,0,IF(TODAY()&gt;EY11,1,IFERROR(NETWORKDAYS(EW11,TODAY()-1,Data!$K$4:$K$203)/NETWORKDAYS(EW11,EY11,Data!$K$4:$K$203),"")))),"")</f>
        <v>0.1</v>
      </c>
      <c r="FL11">
        <f>IF(EO11=1,IF(AND(EY11&gt;0,EY11&lt;TODAY(),ROUND(EU11,4)&lt;1),2,IF(FK11="",0,IF(ROUND(EU11-FK11,4)&lt;-0.15,1,0))),"")</f>
        <v>0</v>
      </c>
      <c r="FM11">
        <f>IF(OR(FA11="",COUNTIF($FA$4:FA10,FA11)&gt;0),0,MAX(0,IF(FB11="Interne",IF(ISNUMBER(INDEX(Data!$F:$F,11)),INDEX(Data!$F:$F,11),p_HeuresETP),IF(ISNUMBER(INDEX(Data!$I:$I,11-$CD$23)),INDEX(Data!$I:$I,11-$CD$23),p_HeuresETP))-IF(FB11="Interne",IF(ISNUMBER(INDEX(Data!$G:$G,11)),INDEX(Data!$G:$G,11),p_ChargeFixe),IF(ISNUMBER(INDEX(Data!$J:$J,11-$CD$23)),INDEX(Data!$J:$J,11-$CD$23),p_ChargeFixe))))</f>
        <v>100</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9">
        <f>IF(AND(D12=1,ISNUMBER(INDEX(Charge!$N:$N,ROW()))),INDEX(Charge!$N:$N,ROW()),"")</f>
        <v>46357.0</v>
      </c>
      <c r="J12" s="169">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70">
        <f>IF(OR($I12="",$E12=0),0,IF(OR($J12&lt;W$3,$I12&gt;W$2),0,IF($K12=0,IF(AND($I12&gt;=W$3,$I12&lt;=W$2),$E12,0),$E12*NETWORKDAYS(MAX($I12,W$3),MIN($J12,W$2),Data!$K$4:$K$203)/$K12)))</f>
        <v>0</v>
      </c>
      <c r="X12" s="170">
        <f>IF(OR($I12="",$E12=0),0,IF(OR($J12&lt;X$3,$I12&gt;X$2),0,IF($K12=0,IF(AND($I12&gt;=X$3,$I12&lt;=X$2),$E12,0),$E12*NETWORKDAYS(MAX($I12,X$3),MIN($J12,X$2),Data!$K$4:$K$203)/$K12)))</f>
        <v>0</v>
      </c>
      <c r="Y12" s="170">
        <f>IF(OR($I12="",$E12=0),0,IF(OR($J12&lt;Y$3,$I12&gt;Y$2),0,IF($K12=0,IF(AND($I12&gt;=Y$3,$I12&lt;=Y$2),$E12,0),$E12*NETWORKDAYS(MAX($I12,Y$3),MIN($J12,Y$2),Data!$K$4:$K$203)/$K12)))</f>
        <v>0</v>
      </c>
      <c r="Z12" s="170">
        <f>IF(OR($I12="",$E12=0),0,IF(OR($J12&lt;Z$3,$I12&gt;Z$2),0,IF($K12=0,IF(AND($I12&gt;=Z$3,$I12&lt;=Z$2),$E12,0),$E12*NETWORKDAYS(MAX($I12,Z$3),MIN($J12,Z$2),Data!$K$4:$K$203)/$K12)))</f>
        <v>57.5</v>
      </c>
      <c r="AA12" s="170">
        <f>IF(OR($I12="",$E12=0),0,IF(OR($J12&lt;AA$3,$I12&gt;AA$2),0,IF($K12=0,IF(AND($I12&gt;=AA$3,$I12&lt;=AA$2),$E12,0),$E12*NETWORKDAYS(MAX($I12,AA$3),MIN($J12,AA$2),Data!$K$4:$K$203)/$K12)))</f>
        <v>52.5</v>
      </c>
      <c r="AB12" s="170">
        <f>IF(OR($I12="",$E12=0),0,IF(OR($J12&lt;AB$3,$I12&gt;AB$2),0,IF($K12=0,IF(AND($I12&gt;=AB$3,$I12&lt;=AB$2),$E12,0),$E12*NETWORKDAYS(MAX($I12,AB$3),MIN($J12,AB$2),Data!$K$4:$K$203)/$K12)))</f>
        <v>50</v>
      </c>
      <c r="AC12" s="170">
        <f>IF(OR($I12="",$E12=0),0,IF(OR($J12&lt;AC$3,$I12&gt;AC$2),0,IF($K12=0,IF(AND($I12&gt;=AC$3,$I12&lt;=AC$2),$E12,0),$E12*NETWORKDAYS(MAX($I12,AC$3),MIN($J12,AC$2),Data!$K$4:$K$203)/$K12)))</f>
        <v>0</v>
      </c>
      <c r="AD12" s="170">
        <f>IF(OR($I12="",$E12=0),0,IF(OR($J12&lt;AD$3,$I12&gt;AD$2),0,IF($K12=0,IF(AND($I12&gt;=AD$3,$I12&lt;=AD$2),$E12,0),$E12*NETWORKDAYS(MAX($I12,AD$3),MIN($J12,AD$2),Data!$K$4:$K$203)/$K12)))</f>
        <v>0</v>
      </c>
      <c r="AE12" s="170">
        <f>IF(OR($I12="",$E12=0),0,IF(OR($J12&lt;AE$3,$I12&gt;AE$2),0,IF($K12=0,IF(AND($I12&gt;=AE$3,$I12&lt;=AE$2),$E12,0),$E12*NETWORKDAYS(MAX($I12,AE$3),MIN($J12,AE$2),Data!$K$4:$K$203)/$K12)))</f>
        <v>0</v>
      </c>
      <c r="AF12" s="170">
        <f>IF(OR($I12="",$E12=0),0,IF(OR($J12&lt;AF$3,$I12&gt;AF$2),0,IF($K12=0,IF(AND($I12&gt;=AF$3,$I12&lt;=AF$2),$E12,0),$E12*NETWORKDAYS(MAX($I12,AF$3),MIN($J12,AF$2),Data!$K$4:$K$203)/$K12)))</f>
        <v>0</v>
      </c>
      <c r="AG12" s="170">
        <f>IF(OR($I12="",$E12=0),0,IF(OR($J12&lt;AG$3,$I12&gt;AG$2),0,IF($K12=0,IF(AND($I12&gt;=AG$3,$I12&lt;=AG$2),$E12,0),$E12*NETWORKDAYS(MAX($I12,AG$3),MIN($J12,AG$2),Data!$K$4:$K$203)/$K12)))</f>
        <v>0</v>
      </c>
      <c r="AH12" s="170">
        <f>IF(OR($I12="",$E12=0),0,IF(OR($J12&lt;AH$3,$I12&gt;AH$2),0,IF($K12=0,IF(AND($I12&gt;=AH$3,$I12&lt;=AH$2),$E12,0),$E12*NETWORKDAYS(MAX($I12,AH$3),MIN($J12,AH$2),Data!$K$4:$K$203)/$K12)))</f>
        <v>0</v>
      </c>
      <c r="AI12" s="170">
        <f>SUM(W12:AH12)</f>
        <v>160</v>
      </c>
      <c r="AK12" t="inlineStr">
        <is>
          <t>Avancement moyen pondéré par les heures (toutes les lignes des affaires du périmètre)</t>
        </is>
      </c>
      <c r="AL12" s="172">
        <f>IF(SUM(FH4:FH503)=0,AL11,SUM(FI4:FI503)/SUM(FH4:FH503))</f>
        <v>0.0982633863965268</v>
      </c>
      <c r="AN12" t="n">
        <v>9</v>
      </c>
      <c r="AO12" s="165">
        <f>AE$3</f>
        <v>46508.0</v>
      </c>
      <c r="AP12" s="171">
        <f>SUM(AE4:AE503)</f>
        <v>322.116119174943</v>
      </c>
      <c r="AQ12">
        <f>SUMPRODUCT((AE4:AE503&gt;0)/(COUNTIFS($EN$4:$EN$503,$EN$4:$EN$503,AE4:AE503,"&gt;0")+(AE4:AE503&lt;=0)))</f>
        <v>6</v>
      </c>
      <c r="AS12" t="n">
        <v>9</v>
      </c>
      <c r="AT12" t="str">
        <f>IF(AS12&gt;$AL$7,"",IF($AL$7&gt;9,"Autres projets ("&amp;($AL$7-8)&amp;")",INDEX($G$4:$G$503,MATCH(AS12,$R$4:$R$503,0))))</f>
        <v/>
      </c>
      <c r="AU12">
        <f>SUMIF($V$4:$V$503,AS12,$E$4:$E$503)</f>
        <v>0</v>
      </c>
      <c r="AV12" s="172">
        <f>IF($AL$4=0,0,AU12/$AL$4)</f>
        <v>0</v>
      </c>
      <c r="AW12" s="170">
        <f>SUMIF($V$4:$V$503,$AS12,W$4:W$503)</f>
        <v>0</v>
      </c>
      <c r="AX12" s="170">
        <f>SUMIF($V$4:$V$503,$AS12,X$4:X$503)</f>
        <v>0</v>
      </c>
      <c r="AY12" s="170">
        <f>SUMIF($V$4:$V$503,$AS12,Y$4:Y$503)</f>
        <v>0</v>
      </c>
      <c r="AZ12" s="170">
        <f>SUMIF($V$4:$V$503,$AS12,Z$4:Z$503)</f>
        <v>0</v>
      </c>
      <c r="BA12" s="170">
        <f>SUMIF($V$4:$V$503,$AS12,AA$4:AA$503)</f>
        <v>0</v>
      </c>
      <c r="BB12" s="170">
        <f>SUMIF($V$4:$V$503,$AS12,AB$4:AB$503)</f>
        <v>0</v>
      </c>
      <c r="BC12" s="170">
        <f>SUMIF($V$4:$V$503,$AS12,AC$4:AC$503)</f>
        <v>0</v>
      </c>
      <c r="BD12" s="170">
        <f>SUMIF($V$4:$V$503,$AS12,AD$4:AD$503)</f>
        <v>0</v>
      </c>
      <c r="BE12" s="170">
        <f>SUMIF($V$4:$V$503,$AS12,AE$4:AE$503)</f>
        <v>0</v>
      </c>
      <c r="BF12" s="170">
        <f>SUMIF($V$4:$V$503,$AS12,AF$4:AF$503)</f>
        <v>0</v>
      </c>
      <c r="BG12" s="170">
        <f>SUMIF($V$4:$V$503,$AS12,AG$4:AG$503)</f>
        <v>0</v>
      </c>
      <c r="BH12" s="170">
        <f>SUMIF($V$4:$V$503,$AS12,AH$4:AH$503)</f>
        <v>0</v>
      </c>
      <c r="BW12" t="n">
        <v>9</v>
      </c>
      <c r="BX12">
        <f>IFERROR(MATCH(BW12,$EQ$4:$EQ$503,0),"")</f>
        <v>4</v>
      </c>
      <c r="BY12">
        <f>IF(BX12="","",INDEX($FL$4:$FL$503,BX12))</f>
        <v>0</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1">
        <f>MAX(CJ4:CJ15)</f>
        <v>121.969696969697</v>
      </c>
      <c r="CF12" t="n">
        <v>9</v>
      </c>
      <c r="CG12" s="173">
        <f>AE$3</f>
        <v>46508.0</v>
      </c>
      <c r="CH12" s="170">
        <f>IF($CD$4="",0,$CD$7)</f>
        <v>20</v>
      </c>
      <c r="CI12" s="170">
        <f>IF($CD$4="",0,SUMIF($BZ$4:$BZ$503,$CD$4,AE$4:AE$503))</f>
        <v>0</v>
      </c>
      <c r="CJ12" s="170">
        <f>CH12+CI12</f>
        <v>20</v>
      </c>
      <c r="CK12" s="170">
        <f>IF($CD$4="",0,$CD$6)</f>
        <v>120</v>
      </c>
      <c r="CL12" s="170">
        <f>IF(CN12&lt;0,MAX(0,MIN(CI12,CK12-CH12)),CI12)</f>
        <v>0</v>
      </c>
      <c r="CM12" s="170">
        <f>CI12-CL12</f>
        <v>0</v>
      </c>
      <c r="CN12" s="170">
        <f>CK12-CP12</f>
        <v>100</v>
      </c>
      <c r="CO12" s="174">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70" t="str">
        <f>IF($CT12="","",SUMIF($BZ$4:$BZ$503,$CT12,W$4:W$503))</f>
        <v/>
      </c>
      <c r="CX12" s="170" t="str">
        <f>IF($CT12="","",SUMIF($BZ$4:$BZ$503,$CT12,X$4:X$503))</f>
        <v/>
      </c>
      <c r="CY12" s="170" t="str">
        <f>IF($CT12="","",SUMIF($BZ$4:$BZ$503,$CT12,Y$4:Y$503))</f>
        <v/>
      </c>
      <c r="CZ12" s="170" t="str">
        <f>IF($CT12="","",SUMIF($BZ$4:$BZ$503,$CT12,Z$4:Z$503))</f>
        <v/>
      </c>
      <c r="DA12" s="170" t="str">
        <f>IF($CT12="","",SUMIF($BZ$4:$BZ$503,$CT12,AA$4:AA$503))</f>
        <v/>
      </c>
      <c r="DB12" s="170" t="str">
        <f>IF($CT12="","",SUMIF($BZ$4:$BZ$503,$CT12,AB$4:AB$503))</f>
        <v/>
      </c>
      <c r="DC12" s="170" t="str">
        <f>IF($CT12="","",SUMIF($BZ$4:$BZ$503,$CT12,AC$4:AC$503))</f>
        <v/>
      </c>
      <c r="DD12" s="170" t="str">
        <f>IF($CT12="","",SUMIF($BZ$4:$BZ$503,$CT12,AD$4:AD$503))</f>
        <v/>
      </c>
      <c r="DE12" s="170" t="str">
        <f>IF($CT12="","",SUMIF($BZ$4:$BZ$503,$CT12,AE$4:AE$503))</f>
        <v/>
      </c>
      <c r="DF12" s="170" t="str">
        <f>IF($CT12="","",SUMIF($BZ$4:$BZ$503,$CT12,AF$4:AF$503))</f>
        <v/>
      </c>
      <c r="DG12" s="170" t="str">
        <f>IF($CT12="","",SUMIF($BZ$4:$BZ$503,$CT12,AG$4:AG$503))</f>
        <v/>
      </c>
      <c r="DH12" s="170" t="str">
        <f>IF($CT12="","",SUMIF($BZ$4:$BZ$503,$CT12,AH$4:AH$503))</f>
        <v/>
      </c>
      <c r="DI12" s="174" t="str">
        <f>IF($CT12="","",IF($CU12&lt;=0,IF(ROUND($CV12+CW12,0)&gt;0,9.99,0),ROUND($CV12+CW12,0)/$CU12))</f>
        <v/>
      </c>
      <c r="DJ12" s="174" t="str">
        <f>IF($CT12="","",IF($CU12&lt;=0,IF(ROUND($CV12+CX12,0)&gt;0,9.99,0),ROUND($CV12+CX12,0)/$CU12))</f>
        <v/>
      </c>
      <c r="DK12" s="174" t="str">
        <f>IF($CT12="","",IF($CU12&lt;=0,IF(ROUND($CV12+CY12,0)&gt;0,9.99,0),ROUND($CV12+CY12,0)/$CU12))</f>
        <v/>
      </c>
      <c r="DL12" s="174" t="str">
        <f>IF($CT12="","",IF($CU12&lt;=0,IF(ROUND($CV12+CZ12,0)&gt;0,9.99,0),ROUND($CV12+CZ12,0)/$CU12))</f>
        <v/>
      </c>
      <c r="DM12" s="174" t="str">
        <f>IF($CT12="","",IF($CU12&lt;=0,IF(ROUND($CV12+DA12,0)&gt;0,9.99,0),ROUND($CV12+DA12,0)/$CU12))</f>
        <v/>
      </c>
      <c r="DN12" s="174" t="str">
        <f>IF($CT12="","",IF($CU12&lt;=0,IF(ROUND($CV12+DB12,0)&gt;0,9.99,0),ROUND($CV12+DB12,0)/$CU12))</f>
        <v/>
      </c>
      <c r="DO12" s="174" t="str">
        <f>IF($CT12="","",IF($CU12&lt;=0,IF(ROUND($CV12+DC12,0)&gt;0,9.99,0),ROUND($CV12+DC12,0)/$CU12))</f>
        <v/>
      </c>
      <c r="DP12" s="174" t="str">
        <f>IF($CT12="","",IF($CU12&lt;=0,IF(ROUND($CV12+DD12,0)&gt;0,9.99,0),ROUND($CV12+DD12,0)/$CU12))</f>
        <v/>
      </c>
      <c r="DQ12" s="174" t="str">
        <f>IF($CT12="","",IF($CU12&lt;=0,IF(ROUND($CV12+DE12,0)&gt;0,9.99,0),ROUND($CV12+DE12,0)/$CU12))</f>
        <v/>
      </c>
      <c r="DR12" s="174" t="str">
        <f>IF($CT12="","",IF($CU12&lt;=0,IF(ROUND($CV12+DF12,0)&gt;0,9.99,0),ROUND($CV12+DF12,0)/$CU12))</f>
        <v/>
      </c>
      <c r="DS12" s="174" t="str">
        <f>IF($CT12="","",IF($CU12&lt;=0,IF(ROUND($CV12+DG12,0)&gt;0,9.99,0),ROUND($CV12+DG12,0)/$CU12))</f>
        <v/>
      </c>
      <c r="DT12" s="174" t="str">
        <f>IF($CT12="","",IF($CU12&lt;=0,IF(ROUND($CV12+DH12,0)&gt;0,9.99,0),ROUND($CV12+DH12,0)/$CU12))</f>
        <v/>
      </c>
      <c r="DU12" s="174" t="str">
        <f>IF(CT12="","",MAX(DI12:DT12))</f>
        <v/>
      </c>
      <c r="DV12" s="171"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9" t="str">
        <f>IF(DY12="","",IF(ISNUMBER(INDEX(Charge!$N:$N,DY12+3)),INDEX(Charge!$N:$N,DY12+3),"—"))</f>
        <v/>
      </c>
      <c r="EG12" s="169" t="str">
        <f>IF(DY12="","",IF(ISNUMBER(INDEX(Charge!$F:$F,DY12+3)),INDEX(Charge!$F:$F,DY12+3),"—"))</f>
        <v/>
      </c>
      <c r="EH12" s="174"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70">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4">
        <f>IF(EO12=1,IF(FH12&gt;0,FI12/FH12,AVERAGEIF($FF$4:$FF$503,EN12,$C$4:$C$503)),"")</f>
        <v>0.0333333333333333</v>
      </c>
      <c r="EV12" s="169">
        <f>IF(ISNUMBER(I12),I12,2958465)</f>
        <v>46357.0</v>
      </c>
      <c r="EW12" s="169">
        <f>IF(EO12=1,SUMPRODUCT(MIN(($EN$4:$EN$503=EN12)*$EV$4:$EV$503+($EN$4:$EN$503&lt;&gt;EN12)*2958465)),"")</f>
        <v>46357.0</v>
      </c>
      <c r="EX12" s="169">
        <f>IF(AND(D12=1,ISNUMBER(INDEX(Charge!$F:$F,ROW()))),INDEX(Charge!$F:$F,ROW()),0)</f>
        <v>46444.0</v>
      </c>
      <c r="EY12" s="169">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c r="FF12" t="str">
        <f>IF(B12=1,LEFT(SUBSTITUTE(SUBSTITUTE(SUBSTITUTE(TRIM(SUBSTITUTE(INDEX(Charge!$B:$B,ROW()),CHAR(160)," "))&amp;" | "&amp;TRIM(SUBSTITUTE(INDEX(Charge!$C:$C,ROW()),CHAR(160)," "))&amp;" | "&amp;TRIM(SUBSTITUTE(INDEX(Charge!$D:$D,ROW()),CHAR(160)," ")),"~","-"),"*","+"),"?","!"),240),"")</f>
        <v>CASSIOPÉE | Rétrofit ligne 2 | Poste de contrôle</v>
      </c>
      <c r="FG12">
        <f>IF(B12=1,MAX(0,N(INDEX(Charge!$M:$M,ROW()))),0)</f>
        <v>160</v>
      </c>
      <c r="FH12" s="170">
        <f>IF(EO12=1,ROUND(SUMIF($FF$4:$FF$503,EN12,$FG$4:$FG$503),2),"")</f>
        <v>240</v>
      </c>
      <c r="FI12" s="170">
        <f>IF(EO12=1,ROUND(SUMPRODUCT(($FF$4:$FF$503=EN12)*$FG$4:$FG$503*$C$4:$C$503),2),"")</f>
        <v>8</v>
      </c>
      <c r="FJ12" s="170">
        <f>IF(EO12=1,MAX(0,ROUND(FH12-FI12,2)),"")</f>
        <v>232</v>
      </c>
      <c r="FK12" s="174">
        <f>IF(EO12=1,IF(OR(EW12&gt;=2958465,EY12=0,EY12&lt;=EW12),"",IF(TODAY()&lt;=EW12,0,IF(TODAY()&gt;EY12,1,IFERROR(NETWORKDAYS(EW12,TODAY()-1,Data!$K$4:$K$203)/NETWORKDAYS(EW12,EY12,Data!$K$4:$K$203),"")))),"")</f>
        <v>0</v>
      </c>
      <c r="FL12">
        <f>IF(EO12=1,IF(AND(EY12&gt;0,EY12&lt;TODAY(),ROUND(EU12,4)&lt;1),2,IF(FK12="",0,IF(ROUND(EU12-FK12,4)&lt;-0.15,1,0))),"")</f>
        <v>0</v>
      </c>
      <c r="FM12">
        <f>IF(OR(FA12="",COUNTIF($FA$4:FA11,FA12)&gt;0),0,MAX(0,IF(FB12="Interne",IF(ISNUMBER(INDEX(Data!$F:$F,12)),INDEX(Data!$F:$F,12),p_HeuresETP),IF(ISNUMBER(INDEX(Data!$I:$I,12-$CD$23)),INDEX(Data!$I:$I,12-$CD$23),p_HeuresETP))-IF(FB12="Interne",IF(ISNUMBER(INDEX(Data!$G:$G,12)),INDEX(Data!$G:$G,12),p_ChargeFixe),IF(ISNUMBER(INDEX(Data!$J:$J,12-$CD$23)),INDEX(Data!$J:$J,12-$CD$23),p_ChargeFixe))))</f>
        <v>0</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9">
        <f>IF(AND(D13=1,ISNUMBER(INDEX(Charge!$N:$N,ROW()))),INDEX(Charge!$N:$N,ROW()),"")</f>
        <v>46357.0</v>
      </c>
      <c r="J13" s="169">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70">
        <f>IF(OR($I13="",$E13=0),0,IF(OR($J13&lt;W$3,$I13&gt;W$2),0,IF($K13=0,IF(AND($I13&gt;=W$3,$I13&lt;=W$2),$E13,0),$E13*NETWORKDAYS(MAX($I13,W$3),MIN($J13,W$2),Data!$K$4:$K$203)/$K13)))</f>
        <v>0</v>
      </c>
      <c r="X13" s="170">
        <f>IF(OR($I13="",$E13=0),0,IF(OR($J13&lt;X$3,$I13&gt;X$2),0,IF($K13=0,IF(AND($I13&gt;=X$3,$I13&lt;=X$2),$E13,0),$E13*NETWORKDAYS(MAX($I13,X$3),MIN($J13,X$2),Data!$K$4:$K$203)/$K13)))</f>
        <v>0</v>
      </c>
      <c r="Y13" s="170">
        <f>IF(OR($I13="",$E13=0),0,IF(OR($J13&lt;Y$3,$I13&gt;Y$2),0,IF($K13=0,IF(AND($I13&gt;=Y$3,$I13&lt;=Y$2),$E13,0),$E13*NETWORKDAYS(MAX($I13,Y$3),MIN($J13,Y$2),Data!$K$4:$K$203)/$K13)))</f>
        <v>0</v>
      </c>
      <c r="Z13" s="170">
        <f>IF(OR($I13="",$E13=0),0,IF(OR($J13&lt;Z$3,$I13&gt;Z$2),0,IF($K13=0,IF(AND($I13&gt;=Z$3,$I13&lt;=Z$2),$E13,0),$E13*NETWORKDAYS(MAX($I13,Z$3),MIN($J13,Z$2),Data!$K$4:$K$203)/$K13)))</f>
        <v>28.75</v>
      </c>
      <c r="AA13" s="170">
        <f>IF(OR($I13="",$E13=0),0,IF(OR($J13&lt;AA$3,$I13&gt;AA$2),0,IF($K13=0,IF(AND($I13&gt;=AA$3,$I13&lt;=AA$2),$E13,0),$E13*NETWORKDAYS(MAX($I13,AA$3),MIN($J13,AA$2),Data!$K$4:$K$203)/$K13)))</f>
        <v>26.25</v>
      </c>
      <c r="AB13" s="170">
        <f>IF(OR($I13="",$E13=0),0,IF(OR($J13&lt;AB$3,$I13&gt;AB$2),0,IF($K13=0,IF(AND($I13&gt;=AB$3,$I13&lt;=AB$2),$E13,0),$E13*NETWORKDAYS(MAX($I13,AB$3),MIN($J13,AB$2),Data!$K$4:$K$203)/$K13)))</f>
        <v>25</v>
      </c>
      <c r="AC13" s="170">
        <f>IF(OR($I13="",$E13=0),0,IF(OR($J13&lt;AC$3,$I13&gt;AC$2),0,IF($K13=0,IF(AND($I13&gt;=AC$3,$I13&lt;=AC$2),$E13,0),$E13*NETWORKDAYS(MAX($I13,AC$3),MIN($J13,AC$2),Data!$K$4:$K$203)/$K13)))</f>
        <v>0</v>
      </c>
      <c r="AD13" s="170">
        <f>IF(OR($I13="",$E13=0),0,IF(OR($J13&lt;AD$3,$I13&gt;AD$2),0,IF($K13=0,IF(AND($I13&gt;=AD$3,$I13&lt;=AD$2),$E13,0),$E13*NETWORKDAYS(MAX($I13,AD$3),MIN($J13,AD$2),Data!$K$4:$K$203)/$K13)))</f>
        <v>0</v>
      </c>
      <c r="AE13" s="170">
        <f>IF(OR($I13="",$E13=0),0,IF(OR($J13&lt;AE$3,$I13&gt;AE$2),0,IF($K13=0,IF(AND($I13&gt;=AE$3,$I13&lt;=AE$2),$E13,0),$E13*NETWORKDAYS(MAX($I13,AE$3),MIN($J13,AE$2),Data!$K$4:$K$203)/$K13)))</f>
        <v>0</v>
      </c>
      <c r="AF13" s="170">
        <f>IF(OR($I13="",$E13=0),0,IF(OR($J13&lt;AF$3,$I13&gt;AF$2),0,IF($K13=0,IF(AND($I13&gt;=AF$3,$I13&lt;=AF$2),$E13,0),$E13*NETWORKDAYS(MAX($I13,AF$3),MIN($J13,AF$2),Data!$K$4:$K$203)/$K13)))</f>
        <v>0</v>
      </c>
      <c r="AG13" s="170">
        <f>IF(OR($I13="",$E13=0),0,IF(OR($J13&lt;AG$3,$I13&gt;AG$2),0,IF($K13=0,IF(AND($I13&gt;=AG$3,$I13&lt;=AG$2),$E13,0),$E13*NETWORKDAYS(MAX($I13,AG$3),MIN($J13,AG$2),Data!$K$4:$K$203)/$K13)))</f>
        <v>0</v>
      </c>
      <c r="AH13" s="170">
        <f>IF(OR($I13="",$E13=0),0,IF(OR($J13&lt;AH$3,$I13&gt;AH$2),0,IF($K13=0,IF(AND($I13&gt;=AH$3,$I13&lt;=AH$2),$E13,0),$E13*NETWORKDAYS(MAX($I13,AH$3),MIN($J13,AH$2),Data!$K$4:$K$203)/$K13)))</f>
        <v>0</v>
      </c>
      <c r="AI13" s="170">
        <f>SUM(W13:AH13)</f>
        <v>80</v>
      </c>
      <c r="AK13" t="inlineStr">
        <is>
          <t>1er mois automatique (1er début planifié)</t>
        </is>
      </c>
      <c r="AL13" s="165">
        <f>IF(COUNT(I4:I503)=0,DATE(YEAR(TODAY()),MONTH(TODAY()),1),DATE(YEAR(MIN(I4:I503)),MONTH(MIN(I4:I503)),1))</f>
        <v>46266.0</v>
      </c>
      <c r="AN13" t="n">
        <v>10</v>
      </c>
      <c r="AO13" s="165">
        <f>AF$3</f>
        <v>46539.0</v>
      </c>
      <c r="AP13" s="171">
        <f>SUM(AF4:AF503)</f>
        <v>252.502601040416</v>
      </c>
      <c r="AQ13">
        <f>SUMPRODUCT((AF4:AF503&gt;0)/(COUNTIFS($EN$4:$EN$503,$EN$4:$EN$503,AF4:AF503,"&gt;0")+(AF4:AF503&lt;=0)))</f>
        <v>4</v>
      </c>
      <c r="AT13" t="inlineStr">
        <is>
          <t>Total</t>
        </is>
      </c>
      <c r="AU13">
        <f>SUM(AU4:AU12)</f>
        <v>3455</v>
      </c>
      <c r="AW13" s="176">
        <f>ROUND(SUM(AW4:AW12),0)</f>
        <v>28</v>
      </c>
      <c r="AX13" s="176">
        <f>ROUND(SUM(AX4:AX12),0)</f>
        <v>166</v>
      </c>
      <c r="AY13" s="176">
        <f>ROUND(SUM(AY4:AY12),0)</f>
        <v>316</v>
      </c>
      <c r="AZ13" s="176">
        <f>ROUND(SUM(AZ4:AZ12),0)</f>
        <v>382</v>
      </c>
      <c r="BA13" s="176">
        <f>ROUND(SUM(BA4:BA12),0)</f>
        <v>321</v>
      </c>
      <c r="BB13" s="176">
        <f>ROUND(SUM(BB4:BB12),0)</f>
        <v>377</v>
      </c>
      <c r="BC13" s="176">
        <f>ROUND(SUM(BC4:BC12),0)</f>
        <v>508</v>
      </c>
      <c r="BD13" s="176">
        <f>ROUND(SUM(BD4:BD12),0)</f>
        <v>417</v>
      </c>
      <c r="BE13" s="176">
        <f>ROUND(SUM(BE4:BE12),0)</f>
        <v>322</v>
      </c>
      <c r="BF13" s="176">
        <f>ROUND(SUM(BF4:BF12),0)</f>
        <v>253</v>
      </c>
      <c r="BG13" s="176">
        <f>ROUND(SUM(BG4:BG12),0)</f>
        <v>172</v>
      </c>
      <c r="BH13" s="176">
        <f>ROUND(SUM(BH4:BH12),0)</f>
        <v>120</v>
      </c>
      <c r="BW13" t="n">
        <v>10</v>
      </c>
      <c r="BX13">
        <f>IFERROR(MATCH(BW13,$EQ$4:$EQ$503,0),"")</f>
        <v>15</v>
      </c>
      <c r="BY13">
        <f>IF(BX13="","",INDEX($FL$4:$FL$503,BX13))</f>
        <v>0</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5">
        <f>MATCH(CD12,CJ4:CJ15,0)</f>
        <v>3</v>
      </c>
      <c r="CF13" t="n">
        <v>10</v>
      </c>
      <c r="CG13" s="173">
        <f>AF$3</f>
        <v>46539.0</v>
      </c>
      <c r="CH13" s="170">
        <f>IF($CD$4="",0,$CD$7)</f>
        <v>20</v>
      </c>
      <c r="CI13" s="170">
        <f>IF($CD$4="",0,SUMIF($BZ$4:$BZ$503,$CD$4,AF$4:AF$503))</f>
        <v>0</v>
      </c>
      <c r="CJ13" s="170">
        <f>CH13+CI13</f>
        <v>20</v>
      </c>
      <c r="CK13" s="170">
        <f>IF($CD$4="",0,$CD$6)</f>
        <v>120</v>
      </c>
      <c r="CL13" s="170">
        <f>IF(CN13&lt;0,MAX(0,MIN(CI13,CK13-CH13)),CI13)</f>
        <v>0</v>
      </c>
      <c r="CM13" s="170">
        <f>CI13-CL13</f>
        <v>0</v>
      </c>
      <c r="CN13" s="170">
        <f>CK13-CP13</f>
        <v>100</v>
      </c>
      <c r="CO13" s="174">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70" t="str">
        <f>IF($CT13="","",SUMIF($BZ$4:$BZ$503,$CT13,W$4:W$503))</f>
        <v/>
      </c>
      <c r="CX13" s="170" t="str">
        <f>IF($CT13="","",SUMIF($BZ$4:$BZ$503,$CT13,X$4:X$503))</f>
        <v/>
      </c>
      <c r="CY13" s="170" t="str">
        <f>IF($CT13="","",SUMIF($BZ$4:$BZ$503,$CT13,Y$4:Y$503))</f>
        <v/>
      </c>
      <c r="CZ13" s="170" t="str">
        <f>IF($CT13="","",SUMIF($BZ$4:$BZ$503,$CT13,Z$4:Z$503))</f>
        <v/>
      </c>
      <c r="DA13" s="170" t="str">
        <f>IF($CT13="","",SUMIF($BZ$4:$BZ$503,$CT13,AA$4:AA$503))</f>
        <v/>
      </c>
      <c r="DB13" s="170" t="str">
        <f>IF($CT13="","",SUMIF($BZ$4:$BZ$503,$CT13,AB$4:AB$503))</f>
        <v/>
      </c>
      <c r="DC13" s="170" t="str">
        <f>IF($CT13="","",SUMIF($BZ$4:$BZ$503,$CT13,AC$4:AC$503))</f>
        <v/>
      </c>
      <c r="DD13" s="170" t="str">
        <f>IF($CT13="","",SUMIF($BZ$4:$BZ$503,$CT13,AD$4:AD$503))</f>
        <v/>
      </c>
      <c r="DE13" s="170" t="str">
        <f>IF($CT13="","",SUMIF($BZ$4:$BZ$503,$CT13,AE$4:AE$503))</f>
        <v/>
      </c>
      <c r="DF13" s="170" t="str">
        <f>IF($CT13="","",SUMIF($BZ$4:$BZ$503,$CT13,AF$4:AF$503))</f>
        <v/>
      </c>
      <c r="DG13" s="170" t="str">
        <f>IF($CT13="","",SUMIF($BZ$4:$BZ$503,$CT13,AG$4:AG$503))</f>
        <v/>
      </c>
      <c r="DH13" s="170" t="str">
        <f>IF($CT13="","",SUMIF($BZ$4:$BZ$503,$CT13,AH$4:AH$503))</f>
        <v/>
      </c>
      <c r="DI13" s="174" t="str">
        <f>IF($CT13="","",IF($CU13&lt;=0,IF(ROUND($CV13+CW13,0)&gt;0,9.99,0),ROUND($CV13+CW13,0)/$CU13))</f>
        <v/>
      </c>
      <c r="DJ13" s="174" t="str">
        <f>IF($CT13="","",IF($CU13&lt;=0,IF(ROUND($CV13+CX13,0)&gt;0,9.99,0),ROUND($CV13+CX13,0)/$CU13))</f>
        <v/>
      </c>
      <c r="DK13" s="174" t="str">
        <f>IF($CT13="","",IF($CU13&lt;=0,IF(ROUND($CV13+CY13,0)&gt;0,9.99,0),ROUND($CV13+CY13,0)/$CU13))</f>
        <v/>
      </c>
      <c r="DL13" s="174" t="str">
        <f>IF($CT13="","",IF($CU13&lt;=0,IF(ROUND($CV13+CZ13,0)&gt;0,9.99,0),ROUND($CV13+CZ13,0)/$CU13))</f>
        <v/>
      </c>
      <c r="DM13" s="174" t="str">
        <f>IF($CT13="","",IF($CU13&lt;=0,IF(ROUND($CV13+DA13,0)&gt;0,9.99,0),ROUND($CV13+DA13,0)/$CU13))</f>
        <v/>
      </c>
      <c r="DN13" s="174" t="str">
        <f>IF($CT13="","",IF($CU13&lt;=0,IF(ROUND($CV13+DB13,0)&gt;0,9.99,0),ROUND($CV13+DB13,0)/$CU13))</f>
        <v/>
      </c>
      <c r="DO13" s="174" t="str">
        <f>IF($CT13="","",IF($CU13&lt;=0,IF(ROUND($CV13+DC13,0)&gt;0,9.99,0),ROUND($CV13+DC13,0)/$CU13))</f>
        <v/>
      </c>
      <c r="DP13" s="174" t="str">
        <f>IF($CT13="","",IF($CU13&lt;=0,IF(ROUND($CV13+DD13,0)&gt;0,9.99,0),ROUND($CV13+DD13,0)/$CU13))</f>
        <v/>
      </c>
      <c r="DQ13" s="174" t="str">
        <f>IF($CT13="","",IF($CU13&lt;=0,IF(ROUND($CV13+DE13,0)&gt;0,9.99,0),ROUND($CV13+DE13,0)/$CU13))</f>
        <v/>
      </c>
      <c r="DR13" s="174" t="str">
        <f>IF($CT13="","",IF($CU13&lt;=0,IF(ROUND($CV13+DF13,0)&gt;0,9.99,0),ROUND($CV13+DF13,0)/$CU13))</f>
        <v/>
      </c>
      <c r="DS13" s="174" t="str">
        <f>IF($CT13="","",IF($CU13&lt;=0,IF(ROUND($CV13+DG13,0)&gt;0,9.99,0),ROUND($CV13+DG13,0)/$CU13))</f>
        <v/>
      </c>
      <c r="DT13" s="174" t="str">
        <f>IF($CT13="","",IF($CU13&lt;=0,IF(ROUND($CV13+DH13,0)&gt;0,9.99,0),ROUND($CV13+DH13,0)/$CU13))</f>
        <v/>
      </c>
      <c r="DU13" s="174" t="str">
        <f>IF(CT13="","",MAX(DI13:DT13))</f>
        <v/>
      </c>
      <c r="DV13" s="171"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9" t="str">
        <f>IF(DY13="","",IF(ISNUMBER(INDEX(Charge!$N:$N,DY13+3)),INDEX(Charge!$N:$N,DY13+3),"—"))</f>
        <v/>
      </c>
      <c r="EG13" s="169" t="str">
        <f>IF(DY13="","",IF(ISNUMBER(INDEX(Charge!$F:$F,DY13+3)),INDEX(Charge!$F:$F,DY13+3),"—"))</f>
        <v/>
      </c>
      <c r="EH13" s="174"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70"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4" t="str">
        <f>IF(EO13=1,IF(FH13&gt;0,FI13/FH13,AVERAGEIF($FF$4:$FF$503,EN13,$C$4:$C$503)),"")</f>
        <v/>
      </c>
      <c r="EV13" s="169">
        <f>IF(ISNUMBER(I13),I13,2958465)</f>
        <v>46357.0</v>
      </c>
      <c r="EW13" s="169" t="str">
        <f>IF(EO13=1,SUMPRODUCT(MIN(($EN$4:$EN$503=EN13)*$EV$4:$EV$503+($EN$4:$EN$503&lt;&gt;EN13)*2958465)),"")</f>
        <v/>
      </c>
      <c r="EX13" s="169">
        <f>IF(AND(D13=1,ISNUMBER(INDEX(Charge!$F:$F,ROW()))),INDEX(Charge!$F:$F,ROW()),0)</f>
        <v>46444.0</v>
      </c>
      <c r="EY13" s="169"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c r="FF13" t="str">
        <f>IF(B13=1,LEFT(SUBSTITUTE(SUBSTITUTE(SUBSTITUTE(TRIM(SUBSTITUTE(INDEX(Charge!$B:$B,ROW()),CHAR(160)," "))&amp;" | "&amp;TRIM(SUBSTITUTE(INDEX(Charge!$C:$C,ROW()),CHAR(160)," "))&amp;" | "&amp;TRIM(SUBSTITUTE(INDEX(Charge!$D:$D,ROW()),CHAR(160)," ")),"~","-"),"*","+"),"?","!"),240),"")</f>
        <v>CASSIOPÉE | Rétrofit ligne 2 | Poste de contrôle</v>
      </c>
      <c r="FG13">
        <f>IF(B13=1,MAX(0,N(INDEX(Charge!$M:$M,ROW()))),0)</f>
        <v>80</v>
      </c>
      <c r="FH13" s="170" t="str">
        <f>IF(EO13=1,ROUND(SUMIF($FF$4:$FF$503,EN13,$FG$4:$FG$503),2),"")</f>
        <v/>
      </c>
      <c r="FI13" s="170" t="str">
        <f>IF(EO13=1,ROUND(SUMPRODUCT(($FF$4:$FF$503=EN13)*$FG$4:$FG$503*$C$4:$C$503),2),"")</f>
        <v/>
      </c>
      <c r="FJ13" s="170" t="str">
        <f>IF(EO13=1,MAX(0,ROUND(FH13-FI13,2)),"")</f>
        <v/>
      </c>
      <c r="FK13" s="174" t="str">
        <f>IF(EO13=1,IF(OR(EW13&gt;=2958465,EY13=0,EY13&lt;=EW13),"",IF(TODAY()&lt;=EW13,0,IF(TODAY()&gt;EY13,1,IFERROR(NETWORKDAYS(EW13,TODAY()-1,Data!$K$4:$K$203)/NETWORKDAYS(EW13,EY13,Data!$K$4:$K$203),"")))),"")</f>
        <v/>
      </c>
      <c r="FL13" t="str">
        <f>IF(EO13=1,IF(AND(EY13&gt;0,EY13&lt;TODAY(),ROUND(EU13,4)&lt;1),2,IF(FK13="",0,IF(ROUND(EU13-FK13,4)&lt;-0.15,1,0))),"")</f>
        <v/>
      </c>
      <c r="FM13">
        <f>IF(OR(FA13="",COUNTIF($FA$4:FA12,FA13)&gt;0),0,MAX(0,IF(FB13="Interne",IF(ISNUMBER(INDEX(Data!$F:$F,13)),INDEX(Data!$F:$F,13),p_HeuresETP),IF(ISNUMBER(INDEX(Data!$I:$I,13-$CD$23)),INDEX(Data!$I:$I,13-$CD$23),p_HeuresETP))-IF(FB13="Interne",IF(ISNUMBER(INDEX(Data!$G:$G,13)),INDEX(Data!$G:$G,13),p_ChargeFixe),IF(ISNUMBER(INDEX(Data!$J:$J,13-$CD$23)),INDEX(Data!$J:$J,13-$CD$23),p_ChargeFixe))))</f>
        <v>0</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9">
        <f>IF(AND(D14=1,ISNUMBER(INDEX(Charge!$N:$N,ROW()))),INDEX(Charge!$N:$N,ROW()),"")</f>
        <v>46433.0</v>
      </c>
      <c r="J14" s="169">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70">
        <f>IF(OR($I14="",$E14=0),0,IF(OR($J14&lt;W$3,$I14&gt;W$2),0,IF($K14=0,IF(AND($I14&gt;=W$3,$I14&lt;=W$2),$E14,0),$E14*NETWORKDAYS(MAX($I14,W$3),MIN($J14,W$2),Data!$K$4:$K$203)/$K14)))</f>
        <v>0</v>
      </c>
      <c r="X14" s="170">
        <f>IF(OR($I14="",$E14=0),0,IF(OR($J14&lt;X$3,$I14&gt;X$2),0,IF($K14=0,IF(AND($I14&gt;=X$3,$I14&lt;=X$2),$E14,0),$E14*NETWORKDAYS(MAX($I14,X$3),MIN($J14,X$2),Data!$K$4:$K$203)/$K14)))</f>
        <v>0</v>
      </c>
      <c r="Y14" s="170">
        <f>IF(OR($I14="",$E14=0),0,IF(OR($J14&lt;Y$3,$I14&gt;Y$2),0,IF($K14=0,IF(AND($I14&gt;=Y$3,$I14&lt;=Y$2),$E14,0),$E14*NETWORKDAYS(MAX($I14,Y$3),MIN($J14,Y$2),Data!$K$4:$K$203)/$K14)))</f>
        <v>0</v>
      </c>
      <c r="Z14" s="170">
        <f>IF(OR($I14="",$E14=0),0,IF(OR($J14&lt;Z$3,$I14&gt;Z$2),0,IF($K14=0,IF(AND($I14&gt;=Z$3,$I14&lt;=Z$2),$E14,0),$E14*NETWORKDAYS(MAX($I14,Z$3),MIN($J14,Z$2),Data!$K$4:$K$203)/$K14)))</f>
        <v>0</v>
      </c>
      <c r="AA14" s="170">
        <f>IF(OR($I14="",$E14=0),0,IF(OR($J14&lt;AA$3,$I14&gt;AA$2),0,IF($K14=0,IF(AND($I14&gt;=AA$3,$I14&lt;=AA$2),$E14,0),$E14*NETWORKDAYS(MAX($I14,AA$3),MIN($J14,AA$2),Data!$K$4:$K$203)/$K14)))</f>
        <v>0</v>
      </c>
      <c r="AB14" s="170">
        <f>IF(OR($I14="",$E14=0),0,IF(OR($J14&lt;AB$3,$I14&gt;AB$2),0,IF($K14=0,IF(AND($I14&gt;=AB$3,$I14&lt;=AB$2),$E14,0),$E14*NETWORKDAYS(MAX($I14,AB$3),MIN($J14,AB$2),Data!$K$4:$K$203)/$K14)))</f>
        <v>24.4897959183673</v>
      </c>
      <c r="AC14" s="170">
        <f>IF(OR($I14="",$E14=0),0,IF(OR($J14&lt;AC$3,$I14&gt;AC$2),0,IF($K14=0,IF(AND($I14&gt;=AC$3,$I14&lt;=AC$2),$E14,0),$E14*NETWORKDAYS(MAX($I14,AC$3),MIN($J14,AC$2),Data!$K$4:$K$203)/$K14)))</f>
        <v>56.3265306122449</v>
      </c>
      <c r="AD14" s="170">
        <f>IF(OR($I14="",$E14=0),0,IF(OR($J14&lt;AD$3,$I14&gt;AD$2),0,IF($K14=0,IF(AND($I14&gt;=AD$3,$I14&lt;=AD$2),$E14,0),$E14*NETWORKDAYS(MAX($I14,AD$3),MIN($J14,AD$2),Data!$K$4:$K$203)/$K14)))</f>
        <v>53.8775510204082</v>
      </c>
      <c r="AE14" s="170">
        <f>IF(OR($I14="",$E14=0),0,IF(OR($J14&lt;AE$3,$I14&gt;AE$2),0,IF($K14=0,IF(AND($I14&gt;=AE$3,$I14&lt;=AE$2),$E14,0),$E14*NETWORKDAYS(MAX($I14,AE$3),MIN($J14,AE$2),Data!$K$4:$K$203)/$K14)))</f>
        <v>51.4285714285714</v>
      </c>
      <c r="AF14" s="170">
        <f>IF(OR($I14="",$E14=0),0,IF(OR($J14&lt;AF$3,$I14&gt;AF$2),0,IF($K14=0,IF(AND($I14&gt;=AF$3,$I14&lt;=AF$2),$E14,0),$E14*NETWORKDAYS(MAX($I14,AF$3),MIN($J14,AF$2),Data!$K$4:$K$203)/$K14)))</f>
        <v>53.8775510204082</v>
      </c>
      <c r="AG14" s="170">
        <f>IF(OR($I14="",$E14=0),0,IF(OR($J14&lt;AG$3,$I14&gt;AG$2),0,IF($K14=0,IF(AND($I14&gt;=AG$3,$I14&lt;=AG$2),$E14,0),$E14*NETWORKDAYS(MAX($I14,AG$3),MIN($J14,AG$2),Data!$K$4:$K$203)/$K14)))</f>
        <v>0</v>
      </c>
      <c r="AH14" s="170">
        <f>IF(OR($I14="",$E14=0),0,IF(OR($J14&lt;AH$3,$I14&gt;AH$2),0,IF($K14=0,IF(AND($I14&gt;=AH$3,$I14&lt;=AH$2),$E14,0),$E14*NETWORKDAYS(MAX($I14,AH$3),MIN($J14,AH$2),Data!$K$4:$K$203)/$K14)))</f>
        <v>0</v>
      </c>
      <c r="AI14" s="170">
        <f>SUM(W14:AH14)</f>
        <v>240</v>
      </c>
      <c r="AK14" t="inlineStr">
        <is>
          <t>1er mois affiché</t>
        </is>
      </c>
      <c r="AL14" s="165">
        <f>IF(ISNUMBER(p_PremierMois),DATE(YEAR(p_PremierMois),MONTH(p_PremierMois),1),AL13)</f>
        <v>46266.0</v>
      </c>
      <c r="AN14" t="n">
        <v>11</v>
      </c>
      <c r="AO14" s="165">
        <f>AG$3</f>
        <v>46569.0</v>
      </c>
      <c r="AP14" s="171">
        <f>SUM(AG4:AG503)</f>
        <v>171.686274509804</v>
      </c>
      <c r="AQ14">
        <f>SUMPRODUCT((AG4:AG503&gt;0)/(COUNTIFS($EN$4:$EN$503,$EN$4:$EN$503,AG4:AG503,"&gt;0")+(AG4:AG503&lt;=0)))</f>
        <v>3</v>
      </c>
      <c r="AT14" t="inlineStr">
        <is>
          <t>Capacité projets de l'équipe</t>
        </is>
      </c>
      <c r="AW14" s="176">
        <f>$AL$33</f>
        <v>776</v>
      </c>
      <c r="AX14" s="176">
        <f>$AL$33</f>
        <v>776</v>
      </c>
      <c r="AY14" s="176">
        <f>$AL$33</f>
        <v>776</v>
      </c>
      <c r="AZ14" s="176">
        <f>$AL$33</f>
        <v>776</v>
      </c>
      <c r="BA14" s="176">
        <f>$AL$33</f>
        <v>776</v>
      </c>
      <c r="BB14" s="176">
        <f>$AL$33</f>
        <v>776</v>
      </c>
      <c r="BC14" s="176">
        <f>$AL$33</f>
        <v>776</v>
      </c>
      <c r="BD14" s="176">
        <f>$AL$33</f>
        <v>776</v>
      </c>
      <c r="BE14" s="176">
        <f>$AL$33</f>
        <v>776</v>
      </c>
      <c r="BF14" s="176">
        <f>$AL$33</f>
        <v>776</v>
      </c>
      <c r="BG14" s="176">
        <f>$AL$33</f>
        <v>776</v>
      </c>
      <c r="BH14" s="176">
        <f>$AL$33</f>
        <v>776</v>
      </c>
      <c r="BW14" t="n">
        <v>11</v>
      </c>
      <c r="BX14">
        <f>IFERROR(MATCH(BW14,$EQ$4:$EQ$503,0),"")</f>
        <v>8</v>
      </c>
      <c r="BY14">
        <f>IF(BX14="","",INDEX($FL$4:$FL$503,BX14))</f>
        <v>0</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5">
        <f>INDEX(CG4:CG15,CD13)</f>
        <v>46327.0</v>
      </c>
      <c r="CF14" t="n">
        <v>11</v>
      </c>
      <c r="CG14" s="173">
        <f>AG$3</f>
        <v>46569.0</v>
      </c>
      <c r="CH14" s="170">
        <f>IF($CD$4="",0,$CD$7)</f>
        <v>20</v>
      </c>
      <c r="CI14" s="170">
        <f>IF($CD$4="",0,SUMIF($BZ$4:$BZ$503,$CD$4,AG$4:AG$503))</f>
        <v>0</v>
      </c>
      <c r="CJ14" s="170">
        <f>CH14+CI14</f>
        <v>20</v>
      </c>
      <c r="CK14" s="170">
        <f>IF($CD$4="",0,$CD$6)</f>
        <v>120</v>
      </c>
      <c r="CL14" s="170">
        <f>IF(CN14&lt;0,MAX(0,MIN(CI14,CK14-CH14)),CI14)</f>
        <v>0</v>
      </c>
      <c r="CM14" s="170">
        <f>CI14-CL14</f>
        <v>0</v>
      </c>
      <c r="CN14" s="170">
        <f>CK14-CP14</f>
        <v>100</v>
      </c>
      <c r="CO14" s="174">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70" t="str">
        <f>IF($CT14="","",SUMIF($BZ$4:$BZ$503,$CT14,W$4:W$503))</f>
        <v/>
      </c>
      <c r="CX14" s="170" t="str">
        <f>IF($CT14="","",SUMIF($BZ$4:$BZ$503,$CT14,X$4:X$503))</f>
        <v/>
      </c>
      <c r="CY14" s="170" t="str">
        <f>IF($CT14="","",SUMIF($BZ$4:$BZ$503,$CT14,Y$4:Y$503))</f>
        <v/>
      </c>
      <c r="CZ14" s="170" t="str">
        <f>IF($CT14="","",SUMIF($BZ$4:$BZ$503,$CT14,Z$4:Z$503))</f>
        <v/>
      </c>
      <c r="DA14" s="170" t="str">
        <f>IF($CT14="","",SUMIF($BZ$4:$BZ$503,$CT14,AA$4:AA$503))</f>
        <v/>
      </c>
      <c r="DB14" s="170" t="str">
        <f>IF($CT14="","",SUMIF($BZ$4:$BZ$503,$CT14,AB$4:AB$503))</f>
        <v/>
      </c>
      <c r="DC14" s="170" t="str">
        <f>IF($CT14="","",SUMIF($BZ$4:$BZ$503,$CT14,AC$4:AC$503))</f>
        <v/>
      </c>
      <c r="DD14" s="170" t="str">
        <f>IF($CT14="","",SUMIF($BZ$4:$BZ$503,$CT14,AD$4:AD$503))</f>
        <v/>
      </c>
      <c r="DE14" s="170" t="str">
        <f>IF($CT14="","",SUMIF($BZ$4:$BZ$503,$CT14,AE$4:AE$503))</f>
        <v/>
      </c>
      <c r="DF14" s="170" t="str">
        <f>IF($CT14="","",SUMIF($BZ$4:$BZ$503,$CT14,AF$4:AF$503))</f>
        <v/>
      </c>
      <c r="DG14" s="170" t="str">
        <f>IF($CT14="","",SUMIF($BZ$4:$BZ$503,$CT14,AG$4:AG$503))</f>
        <v/>
      </c>
      <c r="DH14" s="170" t="str">
        <f>IF($CT14="","",SUMIF($BZ$4:$BZ$503,$CT14,AH$4:AH$503))</f>
        <v/>
      </c>
      <c r="DI14" s="174" t="str">
        <f>IF($CT14="","",IF($CU14&lt;=0,IF(ROUND($CV14+CW14,0)&gt;0,9.99,0),ROUND($CV14+CW14,0)/$CU14))</f>
        <v/>
      </c>
      <c r="DJ14" s="174" t="str">
        <f>IF($CT14="","",IF($CU14&lt;=0,IF(ROUND($CV14+CX14,0)&gt;0,9.99,0),ROUND($CV14+CX14,0)/$CU14))</f>
        <v/>
      </c>
      <c r="DK14" s="174" t="str">
        <f>IF($CT14="","",IF($CU14&lt;=0,IF(ROUND($CV14+CY14,0)&gt;0,9.99,0),ROUND($CV14+CY14,0)/$CU14))</f>
        <v/>
      </c>
      <c r="DL14" s="174" t="str">
        <f>IF($CT14="","",IF($CU14&lt;=0,IF(ROUND($CV14+CZ14,0)&gt;0,9.99,0),ROUND($CV14+CZ14,0)/$CU14))</f>
        <v/>
      </c>
      <c r="DM14" s="174" t="str">
        <f>IF($CT14="","",IF($CU14&lt;=0,IF(ROUND($CV14+DA14,0)&gt;0,9.99,0),ROUND($CV14+DA14,0)/$CU14))</f>
        <v/>
      </c>
      <c r="DN14" s="174" t="str">
        <f>IF($CT14="","",IF($CU14&lt;=0,IF(ROUND($CV14+DB14,0)&gt;0,9.99,0),ROUND($CV14+DB14,0)/$CU14))</f>
        <v/>
      </c>
      <c r="DO14" s="174" t="str">
        <f>IF($CT14="","",IF($CU14&lt;=0,IF(ROUND($CV14+DC14,0)&gt;0,9.99,0),ROUND($CV14+DC14,0)/$CU14))</f>
        <v/>
      </c>
      <c r="DP14" s="174" t="str">
        <f>IF($CT14="","",IF($CU14&lt;=0,IF(ROUND($CV14+DD14,0)&gt;0,9.99,0),ROUND($CV14+DD14,0)/$CU14))</f>
        <v/>
      </c>
      <c r="DQ14" s="174" t="str">
        <f>IF($CT14="","",IF($CU14&lt;=0,IF(ROUND($CV14+DE14,0)&gt;0,9.99,0),ROUND($CV14+DE14,0)/$CU14))</f>
        <v/>
      </c>
      <c r="DR14" s="174" t="str">
        <f>IF($CT14="","",IF($CU14&lt;=0,IF(ROUND($CV14+DF14,0)&gt;0,9.99,0),ROUND($CV14+DF14,0)/$CU14))</f>
        <v/>
      </c>
      <c r="DS14" s="174" t="str">
        <f>IF($CT14="","",IF($CU14&lt;=0,IF(ROUND($CV14+DG14,0)&gt;0,9.99,0),ROUND($CV14+DG14,0)/$CU14))</f>
        <v/>
      </c>
      <c r="DT14" s="174" t="str">
        <f>IF($CT14="","",IF($CU14&lt;=0,IF(ROUND($CV14+DH14,0)&gt;0,9.99,0),ROUND($CV14+DH14,0)/$CU14))</f>
        <v/>
      </c>
      <c r="DU14" s="174" t="str">
        <f>IF(CT14="","",MAX(DI14:DT14))</f>
        <v/>
      </c>
      <c r="DV14" s="171"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9" t="str">
        <f>IF(DY14="","",IF(ISNUMBER(INDEX(Charge!$N:$N,DY14+3)),INDEX(Charge!$N:$N,DY14+3),"—"))</f>
        <v/>
      </c>
      <c r="EG14" s="169" t="str">
        <f>IF(DY14="","",IF(ISNUMBER(INDEX(Charge!$F:$F,DY14+3)),INDEX(Charge!$F:$F,DY14+3),"—"))</f>
        <v/>
      </c>
      <c r="EH14" s="174"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70">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4">
        <f>IF(EO14=1,IF(FH14&gt;0,FI14/FH14,AVERAGEIF($FF$4:$FF$503,EN14,$C$4:$C$503)),"")</f>
        <v>0</v>
      </c>
      <c r="EV14" s="169">
        <f>IF(ISNUMBER(I14),I14,2958465)</f>
        <v>46433.0</v>
      </c>
      <c r="EW14" s="169">
        <f>IF(EO14=1,SUMPRODUCT(MIN(($EN$4:$EN$503=EN14)*$EV$4:$EV$503+($EN$4:$EN$503&lt;&gt;EN14)*2958465)),"")</f>
        <v>46433.0</v>
      </c>
      <c r="EX14" s="169">
        <f>IF(AND(D14=1,ISNUMBER(INDEX(Charge!$F:$F,ROW()))),INDEX(Charge!$F:$F,ROW()),0)</f>
        <v>46568.0</v>
      </c>
      <c r="EY14" s="169">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c r="FF14" t="str">
        <f>IF(B14=1,LEFT(SUBSTITUTE(SUBSTITUTE(SUBSTITUTE(TRIM(SUBSTITUTE(INDEX(Charge!$B:$B,ROW()),CHAR(160)," "))&amp;" | "&amp;TRIM(SUBSTITUTE(INDEX(Charge!$C:$C,ROW()),CHAR(160)," "))&amp;" | "&amp;TRIM(SUBSTITUTE(INDEX(Charge!$D:$D,ROW()),CHAR(160)," ")),"~","-"),"*","+"),"?","!"),240),"")</f>
        <v>DELTA | Lot unique | Bâti machine</v>
      </c>
      <c r="FG14">
        <f>IF(B14=1,MAX(0,N(INDEX(Charge!$M:$M,ROW()))),0)</f>
        <v>240</v>
      </c>
      <c r="FH14" s="170">
        <f>IF(EO14=1,ROUND(SUMIF($FF$4:$FF$503,EN14,$FG$4:$FG$503),2),"")</f>
        <v>360</v>
      </c>
      <c r="FI14" s="170">
        <f>IF(EO14=1,ROUND(SUMPRODUCT(($FF$4:$FF$503=EN14)*$FG$4:$FG$503*$C$4:$C$503),2),"")</f>
        <v>0</v>
      </c>
      <c r="FJ14" s="170">
        <f>IF(EO14=1,MAX(0,ROUND(FH14-FI14,2)),"")</f>
        <v>360</v>
      </c>
      <c r="FK14" s="174">
        <f>IF(EO14=1,IF(OR(EW14&gt;=2958465,EY14=0,EY14&lt;=EW14),"",IF(TODAY()&lt;=EW14,0,IF(TODAY()&gt;EY14,1,IFERROR(NETWORKDAYS(EW14,TODAY()-1,Data!$K$4:$K$203)/NETWORKDAYS(EW14,EY14,Data!$K$4:$K$203),"")))),"")</f>
        <v>0</v>
      </c>
      <c r="FL14">
        <f>IF(EO14=1,IF(AND(EY14&gt;0,EY14&lt;TODAY(),ROUND(EU14,4)&lt;1),2,IF(FK14="",0,IF(ROUND(EU14-FK14,4)&lt;-0.15,1,0))),"")</f>
        <v>0</v>
      </c>
      <c r="FM14">
        <f>IF(OR(FA14="",COUNTIF($FA$4:FA13,FA14)&gt;0),0,MAX(0,IF(FB14="Interne",IF(ISNUMBER(INDEX(Data!$F:$F,14)),INDEX(Data!$F:$F,14),p_HeuresETP),IF(ISNUMBER(INDEX(Data!$I:$I,14-$CD$23)),INDEX(Data!$I:$I,14-$CD$23),p_HeuresETP))-IF(FB14="Interne",IF(ISNUMBER(INDEX(Data!$G:$G,14)),INDEX(Data!$G:$G,14),p_ChargeFixe),IF(ISNUMBER(INDEX(Data!$J:$J,14-$CD$23)),INDEX(Data!$J:$J,14-$CD$23),p_ChargeFixe))))</f>
        <v>0</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9">
        <f>IF(AND(D15=1,ISNUMBER(INDEX(Charge!$N:$N,ROW()))),INDEX(Charge!$N:$N,ROW()),"")</f>
        <v>46433.0</v>
      </c>
      <c r="J15" s="169">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70">
        <f>IF(OR($I15="",$E15=0),0,IF(OR($J15&lt;W$3,$I15&gt;W$2),0,IF($K15=0,IF(AND($I15&gt;=W$3,$I15&lt;=W$2),$E15,0),$E15*NETWORKDAYS(MAX($I15,W$3),MIN($J15,W$2),Data!$K$4:$K$203)/$K15)))</f>
        <v>0</v>
      </c>
      <c r="X15" s="170">
        <f>IF(OR($I15="",$E15=0),0,IF(OR($J15&lt;X$3,$I15&gt;X$2),0,IF($K15=0,IF(AND($I15&gt;=X$3,$I15&lt;=X$2),$E15,0),$E15*NETWORKDAYS(MAX($I15,X$3),MIN($J15,X$2),Data!$K$4:$K$203)/$K15)))</f>
        <v>0</v>
      </c>
      <c r="Y15" s="170">
        <f>IF(OR($I15="",$E15=0),0,IF(OR($J15&lt;Y$3,$I15&gt;Y$2),0,IF($K15=0,IF(AND($I15&gt;=Y$3,$I15&lt;=Y$2),$E15,0),$E15*NETWORKDAYS(MAX($I15,Y$3),MIN($J15,Y$2),Data!$K$4:$K$203)/$K15)))</f>
        <v>0</v>
      </c>
      <c r="Z15" s="170">
        <f>IF(OR($I15="",$E15=0),0,IF(OR($J15&lt;Z$3,$I15&gt;Z$2),0,IF($K15=0,IF(AND($I15&gt;=Z$3,$I15&lt;=Z$2),$E15,0),$E15*NETWORKDAYS(MAX($I15,Z$3),MIN($J15,Z$2),Data!$K$4:$K$203)/$K15)))</f>
        <v>0</v>
      </c>
      <c r="AA15" s="170">
        <f>IF(OR($I15="",$E15=0),0,IF(OR($J15&lt;AA$3,$I15&gt;AA$2),0,IF($K15=0,IF(AND($I15&gt;=AA$3,$I15&lt;=AA$2),$E15,0),$E15*NETWORKDAYS(MAX($I15,AA$3),MIN($J15,AA$2),Data!$K$4:$K$203)/$K15)))</f>
        <v>0</v>
      </c>
      <c r="AB15" s="170">
        <f>IF(OR($I15="",$E15=0),0,IF(OR($J15&lt;AB$3,$I15&gt;AB$2),0,IF($K15=0,IF(AND($I15&gt;=AB$3,$I15&lt;=AB$2),$E15,0),$E15*NETWORKDAYS(MAX($I15,AB$3),MIN($J15,AB$2),Data!$K$4:$K$203)/$K15)))</f>
        <v>12.2448979591837</v>
      </c>
      <c r="AC15" s="170">
        <f>IF(OR($I15="",$E15=0),0,IF(OR($J15&lt;AC$3,$I15&gt;AC$2),0,IF($K15=0,IF(AND($I15&gt;=AC$3,$I15&lt;=AC$2),$E15,0),$E15*NETWORKDAYS(MAX($I15,AC$3),MIN($J15,AC$2),Data!$K$4:$K$203)/$K15)))</f>
        <v>28.1632653061224</v>
      </c>
      <c r="AD15" s="170">
        <f>IF(OR($I15="",$E15=0),0,IF(OR($J15&lt;AD$3,$I15&gt;AD$2),0,IF($K15=0,IF(AND($I15&gt;=AD$3,$I15&lt;=AD$2),$E15,0),$E15*NETWORKDAYS(MAX($I15,AD$3),MIN($J15,AD$2),Data!$K$4:$K$203)/$K15)))</f>
        <v>26.9387755102041</v>
      </c>
      <c r="AE15" s="170">
        <f>IF(OR($I15="",$E15=0),0,IF(OR($J15&lt;AE$3,$I15&gt;AE$2),0,IF($K15=0,IF(AND($I15&gt;=AE$3,$I15&lt;=AE$2),$E15,0),$E15*NETWORKDAYS(MAX($I15,AE$3),MIN($J15,AE$2),Data!$K$4:$K$203)/$K15)))</f>
        <v>25.7142857142857</v>
      </c>
      <c r="AF15" s="170">
        <f>IF(OR($I15="",$E15=0),0,IF(OR($J15&lt;AF$3,$I15&gt;AF$2),0,IF($K15=0,IF(AND($I15&gt;=AF$3,$I15&lt;=AF$2),$E15,0),$E15*NETWORKDAYS(MAX($I15,AF$3),MIN($J15,AF$2),Data!$K$4:$K$203)/$K15)))</f>
        <v>26.9387755102041</v>
      </c>
      <c r="AG15" s="170">
        <f>IF(OR($I15="",$E15=0),0,IF(OR($J15&lt;AG$3,$I15&gt;AG$2),0,IF($K15=0,IF(AND($I15&gt;=AG$3,$I15&lt;=AG$2),$E15,0),$E15*NETWORKDAYS(MAX($I15,AG$3),MIN($J15,AG$2),Data!$K$4:$K$203)/$K15)))</f>
        <v>0</v>
      </c>
      <c r="AH15" s="170">
        <f>IF(OR($I15="",$E15=0),0,IF(OR($J15&lt;AH$3,$I15&gt;AH$2),0,IF($K15=0,IF(AND($I15&gt;=AH$3,$I15&lt;=AH$2),$E15,0),$E15*NETWORKDAYS(MAX($I15,AH$3),MIN($J15,AH$2),Data!$K$4:$K$203)/$K15)))</f>
        <v>0</v>
      </c>
      <c r="AI15" s="170">
        <f>SUM(W15:AH15)</f>
        <v>120</v>
      </c>
      <c r="AK15" t="inlineStr">
        <is>
          <t>Charge répartie sur la période affichée (h)</t>
        </is>
      </c>
      <c r="AL15" s="171">
        <f>SUM(AP4:AP15)</f>
        <v>3381.66666666667</v>
      </c>
      <c r="AN15" t="n">
        <v>12</v>
      </c>
      <c r="AO15" s="165">
        <f>AH$3</f>
        <v>46600.0</v>
      </c>
      <c r="AP15" s="171">
        <f>SUM(AH4:AH503)</f>
        <v>120.392156862745</v>
      </c>
      <c r="AQ15">
        <f>SUMPRODUCT((AH4:AH503&gt;0)/(COUNTIFS($EN$4:$EN$503,$EN$4:$EN$503,AH4:AH503,"&gt;0")+(AH4:AH503&lt;=0)))</f>
        <v>2</v>
      </c>
      <c r="BW15" t="n">
        <v>12</v>
      </c>
      <c r="BX15">
        <f>IFERROR(MATCH(BW15,$EQ$4:$EQ$503,0),"")</f>
        <v>13</v>
      </c>
      <c r="BY15">
        <f>IF(BX15="","",INDEX($FL$4:$FL$503,BX15))</f>
        <v>0</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4">
        <f>INDEX(CO4:CO15,CD13)</f>
        <v>1.01666666666667</v>
      </c>
      <c r="CF15" t="n">
        <v>12</v>
      </c>
      <c r="CG15" s="173">
        <f>AH$3</f>
        <v>46600.0</v>
      </c>
      <c r="CH15" s="170">
        <f>IF($CD$4="",0,$CD$7)</f>
        <v>20</v>
      </c>
      <c r="CI15" s="170">
        <f>IF($CD$4="",0,SUMIF($BZ$4:$BZ$503,$CD$4,AH$4:AH$503))</f>
        <v>0</v>
      </c>
      <c r="CJ15" s="170">
        <f>CH15+CI15</f>
        <v>20</v>
      </c>
      <c r="CK15" s="170">
        <f>IF($CD$4="",0,$CD$6)</f>
        <v>120</v>
      </c>
      <c r="CL15" s="170">
        <f>IF(CN15&lt;0,MAX(0,MIN(CI15,CK15-CH15)),CI15)</f>
        <v>0</v>
      </c>
      <c r="CM15" s="170">
        <f>CI15-CL15</f>
        <v>0</v>
      </c>
      <c r="CN15" s="170">
        <f>CK15-CP15</f>
        <v>100</v>
      </c>
      <c r="CO15" s="174">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70" t="str">
        <f>IF($CT15="","",SUMIF($BZ$4:$BZ$503,$CT15,W$4:W$503))</f>
        <v/>
      </c>
      <c r="CX15" s="170" t="str">
        <f>IF($CT15="","",SUMIF($BZ$4:$BZ$503,$CT15,X$4:X$503))</f>
        <v/>
      </c>
      <c r="CY15" s="170" t="str">
        <f>IF($CT15="","",SUMIF($BZ$4:$BZ$503,$CT15,Y$4:Y$503))</f>
        <v/>
      </c>
      <c r="CZ15" s="170" t="str">
        <f>IF($CT15="","",SUMIF($BZ$4:$BZ$503,$CT15,Z$4:Z$503))</f>
        <v/>
      </c>
      <c r="DA15" s="170" t="str">
        <f>IF($CT15="","",SUMIF($BZ$4:$BZ$503,$CT15,AA$4:AA$503))</f>
        <v/>
      </c>
      <c r="DB15" s="170" t="str">
        <f>IF($CT15="","",SUMIF($BZ$4:$BZ$503,$CT15,AB$4:AB$503))</f>
        <v/>
      </c>
      <c r="DC15" s="170" t="str">
        <f>IF($CT15="","",SUMIF($BZ$4:$BZ$503,$CT15,AC$4:AC$503))</f>
        <v/>
      </c>
      <c r="DD15" s="170" t="str">
        <f>IF($CT15="","",SUMIF($BZ$4:$BZ$503,$CT15,AD$4:AD$503))</f>
        <v/>
      </c>
      <c r="DE15" s="170" t="str">
        <f>IF($CT15="","",SUMIF($BZ$4:$BZ$503,$CT15,AE$4:AE$503))</f>
        <v/>
      </c>
      <c r="DF15" s="170" t="str">
        <f>IF($CT15="","",SUMIF($BZ$4:$BZ$503,$CT15,AF$4:AF$503))</f>
        <v/>
      </c>
      <c r="DG15" s="170" t="str">
        <f>IF($CT15="","",SUMIF($BZ$4:$BZ$503,$CT15,AG$4:AG$503))</f>
        <v/>
      </c>
      <c r="DH15" s="170" t="str">
        <f>IF($CT15="","",SUMIF($BZ$4:$BZ$503,$CT15,AH$4:AH$503))</f>
        <v/>
      </c>
      <c r="DI15" s="174" t="str">
        <f>IF($CT15="","",IF($CU15&lt;=0,IF(ROUND($CV15+CW15,0)&gt;0,9.99,0),ROUND($CV15+CW15,0)/$CU15))</f>
        <v/>
      </c>
      <c r="DJ15" s="174" t="str">
        <f>IF($CT15="","",IF($CU15&lt;=0,IF(ROUND($CV15+CX15,0)&gt;0,9.99,0),ROUND($CV15+CX15,0)/$CU15))</f>
        <v/>
      </c>
      <c r="DK15" s="174" t="str">
        <f>IF($CT15="","",IF($CU15&lt;=0,IF(ROUND($CV15+CY15,0)&gt;0,9.99,0),ROUND($CV15+CY15,0)/$CU15))</f>
        <v/>
      </c>
      <c r="DL15" s="174" t="str">
        <f>IF($CT15="","",IF($CU15&lt;=0,IF(ROUND($CV15+CZ15,0)&gt;0,9.99,0),ROUND($CV15+CZ15,0)/$CU15))</f>
        <v/>
      </c>
      <c r="DM15" s="174" t="str">
        <f>IF($CT15="","",IF($CU15&lt;=0,IF(ROUND($CV15+DA15,0)&gt;0,9.99,0),ROUND($CV15+DA15,0)/$CU15))</f>
        <v/>
      </c>
      <c r="DN15" s="174" t="str">
        <f>IF($CT15="","",IF($CU15&lt;=0,IF(ROUND($CV15+DB15,0)&gt;0,9.99,0),ROUND($CV15+DB15,0)/$CU15))</f>
        <v/>
      </c>
      <c r="DO15" s="174" t="str">
        <f>IF($CT15="","",IF($CU15&lt;=0,IF(ROUND($CV15+DC15,0)&gt;0,9.99,0),ROUND($CV15+DC15,0)/$CU15))</f>
        <v/>
      </c>
      <c r="DP15" s="174" t="str">
        <f>IF($CT15="","",IF($CU15&lt;=0,IF(ROUND($CV15+DD15,0)&gt;0,9.99,0),ROUND($CV15+DD15,0)/$CU15))</f>
        <v/>
      </c>
      <c r="DQ15" s="174" t="str">
        <f>IF($CT15="","",IF($CU15&lt;=0,IF(ROUND($CV15+DE15,0)&gt;0,9.99,0),ROUND($CV15+DE15,0)/$CU15))</f>
        <v/>
      </c>
      <c r="DR15" s="174" t="str">
        <f>IF($CT15="","",IF($CU15&lt;=0,IF(ROUND($CV15+DF15,0)&gt;0,9.99,0),ROUND($CV15+DF15,0)/$CU15))</f>
        <v/>
      </c>
      <c r="DS15" s="174" t="str">
        <f>IF($CT15="","",IF($CU15&lt;=0,IF(ROUND($CV15+DG15,0)&gt;0,9.99,0),ROUND($CV15+DG15,0)/$CU15))</f>
        <v/>
      </c>
      <c r="DT15" s="174" t="str">
        <f>IF($CT15="","",IF($CU15&lt;=0,IF(ROUND($CV15+DH15,0)&gt;0,9.99,0),ROUND($CV15+DH15,0)/$CU15))</f>
        <v/>
      </c>
      <c r="DU15" s="174" t="str">
        <f>IF(CT15="","",MAX(DI15:DT15))</f>
        <v/>
      </c>
      <c r="DV15" s="171"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9" t="str">
        <f>IF(DY15="","",IF(ISNUMBER(INDEX(Charge!$N:$N,DY15+3)),INDEX(Charge!$N:$N,DY15+3),"—"))</f>
        <v/>
      </c>
      <c r="EG15" s="169" t="str">
        <f>IF(DY15="","",IF(ISNUMBER(INDEX(Charge!$F:$F,DY15+3)),INDEX(Charge!$F:$F,DY15+3),"—"))</f>
        <v/>
      </c>
      <c r="EH15" s="174"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70"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4" t="str">
        <f>IF(EO15=1,IF(FH15&gt;0,FI15/FH15,AVERAGEIF($FF$4:$FF$503,EN15,$C$4:$C$503)),"")</f>
        <v/>
      </c>
      <c r="EV15" s="169">
        <f>IF(ISNUMBER(I15),I15,2958465)</f>
        <v>46433.0</v>
      </c>
      <c r="EW15" s="169" t="str">
        <f>IF(EO15=1,SUMPRODUCT(MIN(($EN$4:$EN$503=EN15)*$EV$4:$EV$503+($EN$4:$EN$503&lt;&gt;EN15)*2958465)),"")</f>
        <v/>
      </c>
      <c r="EX15" s="169">
        <f>IF(AND(D15=1,ISNUMBER(INDEX(Charge!$F:$F,ROW()))),INDEX(Charge!$F:$F,ROW()),0)</f>
        <v>46568.0</v>
      </c>
      <c r="EY15" s="169"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c r="FF15" t="str">
        <f>IF(B15=1,LEFT(SUBSTITUTE(SUBSTITUTE(SUBSTITUTE(TRIM(SUBSTITUTE(INDEX(Charge!$B:$B,ROW()),CHAR(160)," "))&amp;" | "&amp;TRIM(SUBSTITUTE(INDEX(Charge!$C:$C,ROW()),CHAR(160)," "))&amp;" | "&amp;TRIM(SUBSTITUTE(INDEX(Charge!$D:$D,ROW()),CHAR(160)," ")),"~","-"),"*","+"),"?","!"),240),"")</f>
        <v>DELTA | Lot unique | Bâti machine</v>
      </c>
      <c r="FG15">
        <f>IF(B15=1,MAX(0,N(INDEX(Charge!$M:$M,ROW()))),0)</f>
        <v>120</v>
      </c>
      <c r="FH15" s="170" t="str">
        <f>IF(EO15=1,ROUND(SUMIF($FF$4:$FF$503,EN15,$FG$4:$FG$503),2),"")</f>
        <v/>
      </c>
      <c r="FI15" s="170" t="str">
        <f>IF(EO15=1,ROUND(SUMPRODUCT(($FF$4:$FF$503=EN15)*$FG$4:$FG$503*$C$4:$C$503),2),"")</f>
        <v/>
      </c>
      <c r="FJ15" s="170" t="str">
        <f>IF(EO15=1,MAX(0,ROUND(FH15-FI15,2)),"")</f>
        <v/>
      </c>
      <c r="FK15" s="174" t="str">
        <f>IF(EO15=1,IF(OR(EW15&gt;=2958465,EY15=0,EY15&lt;=EW15),"",IF(TODAY()&lt;=EW15,0,IF(TODAY()&gt;EY15,1,IFERROR(NETWORKDAYS(EW15,TODAY()-1,Data!$K$4:$K$203)/NETWORKDAYS(EW15,EY15,Data!$K$4:$K$203),"")))),"")</f>
        <v/>
      </c>
      <c r="FL15" t="str">
        <f>IF(EO15=1,IF(AND(EY15&gt;0,EY15&lt;TODAY(),ROUND(EU15,4)&lt;1),2,IF(FK15="",0,IF(ROUND(EU15-FK15,4)&lt;-0.15,1,0))),"")</f>
        <v/>
      </c>
      <c r="FM15">
        <f>IF(OR(FA15="",COUNTIF($FA$4:FA14,FA15)&gt;0),0,MAX(0,IF(FB15="Interne",IF(ISNUMBER(INDEX(Data!$F:$F,15)),INDEX(Data!$F:$F,15),p_HeuresETP),IF(ISNUMBER(INDEX(Data!$I:$I,15-$CD$23)),INDEX(Data!$I:$I,15-$CD$23),p_HeuresETP))-IF(FB15="Interne",IF(ISNUMBER(INDEX(Data!$G:$G,15)),INDEX(Data!$G:$G,15),p_ChargeFixe),IF(ISNUMBER(INDEX(Data!$J:$J,15-$CD$23)),INDEX(Data!$J:$J,15-$CD$23),p_ChargeFixe))))</f>
        <v>0</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9">
        <f>IF(AND(D16=1,ISNUMBER(INDEX(Charge!$N:$N,ROW()))),INDEX(Charge!$N:$N,ROW()),"")</f>
        <v>46279.0</v>
      </c>
      <c r="J16" s="169">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70">
        <f>IF(OR($I16="",$E16=0),0,IF(OR($J16&lt;W$3,$I16&gt;W$2),0,IF($K16=0,IF(AND($I16&gt;=W$3,$I16&lt;=W$2),$E16,0),$E16*NETWORKDAYS(MAX($I16,W$3),MIN($J16,W$2),Data!$K$4:$K$203)/$K16)))</f>
        <v>28.3636363636364</v>
      </c>
      <c r="X16" s="170">
        <f>IF(OR($I16="",$E16=0),0,IF(OR($J16&lt;X$3,$I16&gt;X$2),0,IF($K16=0,IF(AND($I16&gt;=X$3,$I16&lt;=X$2),$E16,0),$E16*NETWORKDAYS(MAX($I16,X$3),MIN($J16,X$2),Data!$K$4:$K$203)/$K16)))</f>
        <v>48</v>
      </c>
      <c r="Y16" s="170">
        <f>IF(OR($I16="",$E16=0),0,IF(OR($J16&lt;Y$3,$I16&gt;Y$2),0,IF($K16=0,IF(AND($I16&gt;=Y$3,$I16&lt;=Y$2),$E16,0),$E16*NETWORKDAYS(MAX($I16,Y$3),MIN($J16,Y$2),Data!$K$4:$K$203)/$K16)))</f>
        <v>43.6363636363636</v>
      </c>
      <c r="Z16" s="170">
        <f>IF(OR($I16="",$E16=0),0,IF(OR($J16&lt;Z$3,$I16&gt;Z$2),0,IF($K16=0,IF(AND($I16&gt;=Z$3,$I16&lt;=Z$2),$E16,0),$E16*NETWORKDAYS(MAX($I16,Z$3),MIN($J16,Z$2),Data!$K$4:$K$203)/$K16)))</f>
        <v>0</v>
      </c>
      <c r="AA16" s="170">
        <f>IF(OR($I16="",$E16=0),0,IF(OR($J16&lt;AA$3,$I16&gt;AA$2),0,IF($K16=0,IF(AND($I16&gt;=AA$3,$I16&lt;=AA$2),$E16,0),$E16*NETWORKDAYS(MAX($I16,AA$3),MIN($J16,AA$2),Data!$K$4:$K$203)/$K16)))</f>
        <v>0</v>
      </c>
      <c r="AB16" s="170">
        <f>IF(OR($I16="",$E16=0),0,IF(OR($J16&lt;AB$3,$I16&gt;AB$2),0,IF($K16=0,IF(AND($I16&gt;=AB$3,$I16&lt;=AB$2),$E16,0),$E16*NETWORKDAYS(MAX($I16,AB$3),MIN($J16,AB$2),Data!$K$4:$K$203)/$K16)))</f>
        <v>0</v>
      </c>
      <c r="AC16" s="170">
        <f>IF(OR($I16="",$E16=0),0,IF(OR($J16&lt;AC$3,$I16&gt;AC$2),0,IF($K16=0,IF(AND($I16&gt;=AC$3,$I16&lt;=AC$2),$E16,0),$E16*NETWORKDAYS(MAX($I16,AC$3),MIN($J16,AC$2),Data!$K$4:$K$203)/$K16)))</f>
        <v>0</v>
      </c>
      <c r="AD16" s="170">
        <f>IF(OR($I16="",$E16=0),0,IF(OR($J16&lt;AD$3,$I16&gt;AD$2),0,IF($K16=0,IF(AND($I16&gt;=AD$3,$I16&lt;=AD$2),$E16,0),$E16*NETWORKDAYS(MAX($I16,AD$3),MIN($J16,AD$2),Data!$K$4:$K$203)/$K16)))</f>
        <v>0</v>
      </c>
      <c r="AE16" s="170">
        <f>IF(OR($I16="",$E16=0),0,IF(OR($J16&lt;AE$3,$I16&gt;AE$2),0,IF($K16=0,IF(AND($I16&gt;=AE$3,$I16&lt;=AE$2),$E16,0),$E16*NETWORKDAYS(MAX($I16,AE$3),MIN($J16,AE$2),Data!$K$4:$K$203)/$K16)))</f>
        <v>0</v>
      </c>
      <c r="AF16" s="170">
        <f>IF(OR($I16="",$E16=0),0,IF(OR($J16&lt;AF$3,$I16&gt;AF$2),0,IF($K16=0,IF(AND($I16&gt;=AF$3,$I16&lt;=AF$2),$E16,0),$E16*NETWORKDAYS(MAX($I16,AF$3),MIN($J16,AF$2),Data!$K$4:$K$203)/$K16)))</f>
        <v>0</v>
      </c>
      <c r="AG16" s="170">
        <f>IF(OR($I16="",$E16=0),0,IF(OR($J16&lt;AG$3,$I16&gt;AG$2),0,IF($K16=0,IF(AND($I16&gt;=AG$3,$I16&lt;=AG$2),$E16,0),$E16*NETWORKDAYS(MAX($I16,AG$3),MIN($J16,AG$2),Data!$K$4:$K$203)/$K16)))</f>
        <v>0</v>
      </c>
      <c r="AH16" s="170">
        <f>IF(OR($I16="",$E16=0),0,IF(OR($J16&lt;AH$3,$I16&gt;AH$2),0,IF($K16=0,IF(AND($I16&gt;=AH$3,$I16&lt;=AH$2),$E16,0),$E16*NETWORKDAYS(MAX($I16,AH$3),MIN($J16,AH$2),Data!$K$4:$K$203)/$K16)))</f>
        <v>0</v>
      </c>
      <c r="AI16" s="170">
        <f>SUM(W16:AH16)</f>
        <v>120</v>
      </c>
      <c r="AK16" t="inlineStr">
        <is>
          <t>Charge hors période ou sans date de début (h)</t>
        </is>
      </c>
      <c r="AL16" s="171">
        <f>MAX(0,ROUND(AL4-AL15,1))</f>
        <v>73.3</v>
      </c>
      <c r="BW16" t="n">
        <v>13</v>
      </c>
      <c r="BX16">
        <f>IFERROR(MATCH(BW16,$EQ$4:$EQ$503,0),"")</f>
        <v>7</v>
      </c>
      <c r="BY16">
        <f>IF(BX16="","",INDEX($FL$4:$FL$503,BX16))</f>
        <v>0</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5">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70" t="str">
        <f>IF($CT16="","",SUMIF($BZ$4:$BZ$503,$CT16,W$4:W$503))</f>
        <v/>
      </c>
      <c r="CX16" s="170" t="str">
        <f>IF($CT16="","",SUMIF($BZ$4:$BZ$503,$CT16,X$4:X$503))</f>
        <v/>
      </c>
      <c r="CY16" s="170" t="str">
        <f>IF($CT16="","",SUMIF($BZ$4:$BZ$503,$CT16,Y$4:Y$503))</f>
        <v/>
      </c>
      <c r="CZ16" s="170" t="str">
        <f>IF($CT16="","",SUMIF($BZ$4:$BZ$503,$CT16,Z$4:Z$503))</f>
        <v/>
      </c>
      <c r="DA16" s="170" t="str">
        <f>IF($CT16="","",SUMIF($BZ$4:$BZ$503,$CT16,AA$4:AA$503))</f>
        <v/>
      </c>
      <c r="DB16" s="170" t="str">
        <f>IF($CT16="","",SUMIF($BZ$4:$BZ$503,$CT16,AB$4:AB$503))</f>
        <v/>
      </c>
      <c r="DC16" s="170" t="str">
        <f>IF($CT16="","",SUMIF($BZ$4:$BZ$503,$CT16,AC$4:AC$503))</f>
        <v/>
      </c>
      <c r="DD16" s="170" t="str">
        <f>IF($CT16="","",SUMIF($BZ$4:$BZ$503,$CT16,AD$4:AD$503))</f>
        <v/>
      </c>
      <c r="DE16" s="170" t="str">
        <f>IF($CT16="","",SUMIF($BZ$4:$BZ$503,$CT16,AE$4:AE$503))</f>
        <v/>
      </c>
      <c r="DF16" s="170" t="str">
        <f>IF($CT16="","",SUMIF($BZ$4:$BZ$503,$CT16,AF$4:AF$503))</f>
        <v/>
      </c>
      <c r="DG16" s="170" t="str">
        <f>IF($CT16="","",SUMIF($BZ$4:$BZ$503,$CT16,AG$4:AG$503))</f>
        <v/>
      </c>
      <c r="DH16" s="170" t="str">
        <f>IF($CT16="","",SUMIF($BZ$4:$BZ$503,$CT16,AH$4:AH$503))</f>
        <v/>
      </c>
      <c r="DI16" s="174" t="str">
        <f>IF($CT16="","",IF($CU16&lt;=0,IF(ROUND($CV16+CW16,0)&gt;0,9.99,0),ROUND($CV16+CW16,0)/$CU16))</f>
        <v/>
      </c>
      <c r="DJ16" s="174" t="str">
        <f>IF($CT16="","",IF($CU16&lt;=0,IF(ROUND($CV16+CX16,0)&gt;0,9.99,0),ROUND($CV16+CX16,0)/$CU16))</f>
        <v/>
      </c>
      <c r="DK16" s="174" t="str">
        <f>IF($CT16="","",IF($CU16&lt;=0,IF(ROUND($CV16+CY16,0)&gt;0,9.99,0),ROUND($CV16+CY16,0)/$CU16))</f>
        <v/>
      </c>
      <c r="DL16" s="174" t="str">
        <f>IF($CT16="","",IF($CU16&lt;=0,IF(ROUND($CV16+CZ16,0)&gt;0,9.99,0),ROUND($CV16+CZ16,0)/$CU16))</f>
        <v/>
      </c>
      <c r="DM16" s="174" t="str">
        <f>IF($CT16="","",IF($CU16&lt;=0,IF(ROUND($CV16+DA16,0)&gt;0,9.99,0),ROUND($CV16+DA16,0)/$CU16))</f>
        <v/>
      </c>
      <c r="DN16" s="174" t="str">
        <f>IF($CT16="","",IF($CU16&lt;=0,IF(ROUND($CV16+DB16,0)&gt;0,9.99,0),ROUND($CV16+DB16,0)/$CU16))</f>
        <v/>
      </c>
      <c r="DO16" s="174" t="str">
        <f>IF($CT16="","",IF($CU16&lt;=0,IF(ROUND($CV16+DC16,0)&gt;0,9.99,0),ROUND($CV16+DC16,0)/$CU16))</f>
        <v/>
      </c>
      <c r="DP16" s="174" t="str">
        <f>IF($CT16="","",IF($CU16&lt;=0,IF(ROUND($CV16+DD16,0)&gt;0,9.99,0),ROUND($CV16+DD16,0)/$CU16))</f>
        <v/>
      </c>
      <c r="DQ16" s="174" t="str">
        <f>IF($CT16="","",IF($CU16&lt;=0,IF(ROUND($CV16+DE16,0)&gt;0,9.99,0),ROUND($CV16+DE16,0)/$CU16))</f>
        <v/>
      </c>
      <c r="DR16" s="174" t="str">
        <f>IF($CT16="","",IF($CU16&lt;=0,IF(ROUND($CV16+DF16,0)&gt;0,9.99,0),ROUND($CV16+DF16,0)/$CU16))</f>
        <v/>
      </c>
      <c r="DS16" s="174" t="str">
        <f>IF($CT16="","",IF($CU16&lt;=0,IF(ROUND($CV16+DG16,0)&gt;0,9.99,0),ROUND($CV16+DG16,0)/$CU16))</f>
        <v/>
      </c>
      <c r="DT16" s="174" t="str">
        <f>IF($CT16="","",IF($CU16&lt;=0,IF(ROUND($CV16+DH16,0)&gt;0,9.99,0),ROUND($CV16+DH16,0)/$CU16))</f>
        <v/>
      </c>
      <c r="DU16" s="174" t="str">
        <f>IF(CT16="","",MAX(DI16:DT16))</f>
        <v/>
      </c>
      <c r="DV16" s="171"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9" t="str">
        <f>IF(DY16="","",IF(ISNUMBER(INDEX(Charge!$N:$N,DY16+3)),INDEX(Charge!$N:$N,DY16+3),"—"))</f>
        <v/>
      </c>
      <c r="EG16" s="169" t="str">
        <f>IF(DY16="","",IF(ISNUMBER(INDEX(Charge!$F:$F,DY16+3)),INDEX(Charge!$F:$F,DY16+3),"—"))</f>
        <v/>
      </c>
      <c r="EH16" s="174"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70">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4">
        <f>IF(EO16=1,IF(FH16&gt;0,FI16/FH16,AVERAGEIF($FF$4:$FF$503,EN16,$C$4:$C$503)),"")</f>
        <v>0.8</v>
      </c>
      <c r="EV16" s="169">
        <f>IF(ISNUMBER(I16),I16,2958465)</f>
        <v>46279.0</v>
      </c>
      <c r="EW16" s="169">
        <f>IF(EO16=1,SUMPRODUCT(MIN(($EN$4:$EN$503=EN16)*$EV$4:$EV$503+($EN$4:$EN$503&lt;&gt;EN16)*2958465)),"")</f>
        <v>46279.0</v>
      </c>
      <c r="EX16" s="169">
        <f>IF(AND(D16=1,ISNUMBER(INDEX(Charge!$F:$F,ROW()))),INDEX(Charge!$F:$F,ROW()),0)</f>
        <v>46353.0</v>
      </c>
      <c r="EY16" s="169">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c r="FF16" t="str">
        <f>IF(B16=1,LEFT(SUBSTITUTE(SUBSTITUTE(SUBSTITUTE(TRIM(SUBSTITUTE(INDEX(Charge!$B:$B,ROW()),CHAR(160)," "))&amp;" | "&amp;TRIM(SUBSTITUTE(INDEX(Charge!$C:$C,ROW()),CHAR(160)," "))&amp;" | "&amp;TRIM(SUBSTITUTE(INDEX(Charge!$D:$D,ROW()),CHAR(160)," ")),"~","-"),"*","+"),"?","!"),240),"")</f>
        <v>ORION | Tranche 1 | Support moteur</v>
      </c>
      <c r="FG16">
        <f>IF(B16=1,MAX(0,N(INDEX(Charge!$M:$M,ROW()))),0)</f>
        <v>120</v>
      </c>
      <c r="FH16" s="170">
        <f>IF(EO16=1,ROUND(SUMIF($FF$4:$FF$503,EN16,$FG$4:$FG$503),2),"")</f>
        <v>120</v>
      </c>
      <c r="FI16" s="170">
        <f>IF(EO16=1,ROUND(SUMPRODUCT(($FF$4:$FF$503=EN16)*$FG$4:$FG$503*$C$4:$C$503),2),"")</f>
        <v>96</v>
      </c>
      <c r="FJ16" s="170">
        <f>IF(EO16=1,MAX(0,ROUND(FH16-FI16,2)),"")</f>
        <v>24</v>
      </c>
      <c r="FK16" s="174">
        <f>IF(EO16=1,IF(OR(EW16&gt;=2958465,EY16=0,EY16&lt;=EW16),"",IF(TODAY()&lt;=EW16,0,IF(TODAY()&gt;EY16,1,IFERROR(NETWORKDAYS(EW16,TODAY()-1,Data!$K$4:$K$203)/NETWORKDAYS(EW16,EY16,Data!$K$4:$K$203),"")))),"")</f>
        <v>0.454545454545455</v>
      </c>
      <c r="FL16">
        <f>IF(EO16=1,IF(AND(EY16&gt;0,EY16&lt;TODAY(),ROUND(EU16,4)&lt;1),2,IF(FK16="",0,IF(ROUND(EU16-FK16,4)&lt;-0.15,1,0))),"")</f>
        <v>0</v>
      </c>
      <c r="FM16">
        <f>IF(OR(FA16="",COUNTIF($FA$4:FA15,FA16)&gt;0),0,MAX(0,IF(FB16="Interne",IF(ISNUMBER(INDEX(Data!$F:$F,16)),INDEX(Data!$F:$F,16),p_HeuresETP),IF(ISNUMBER(INDEX(Data!$I:$I,16-$CD$23)),INDEX(Data!$I:$I,16-$CD$23),p_HeuresETP))-IF(FB16="Interne",IF(ISNUMBER(INDEX(Data!$G:$G,16)),INDEX(Data!$G:$G,16),p_ChargeFixe),IF(ISNUMBER(INDEX(Data!$J:$J,16-$CD$23)),INDEX(Data!$J:$J,16-$CD$23),p_ChargeFixe))))</f>
        <v>0</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9" t="str">
        <f>IF(AND(D17=1,ISNUMBER(INDEX(Charge!$N:$N,ROW()))),INDEX(Charge!$N:$N,ROW()),"")</f>
        <v/>
      </c>
      <c r="J17" s="169"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70">
        <f>IF(OR($I17="",$E17=0),0,IF(OR($J17&lt;W$3,$I17&gt;W$2),0,IF($K17=0,IF(AND($I17&gt;=W$3,$I17&lt;=W$2),$E17,0),$E17*NETWORKDAYS(MAX($I17,W$3),MIN($J17,W$2),Data!$K$4:$K$203)/$K17)))</f>
        <v>0</v>
      </c>
      <c r="X17" s="170">
        <f>IF(OR($I17="",$E17=0),0,IF(OR($J17&lt;X$3,$I17&gt;X$2),0,IF($K17=0,IF(AND($I17&gt;=X$3,$I17&lt;=X$2),$E17,0),$E17*NETWORKDAYS(MAX($I17,X$3),MIN($J17,X$2),Data!$K$4:$K$203)/$K17)))</f>
        <v>0</v>
      </c>
      <c r="Y17" s="170">
        <f>IF(OR($I17="",$E17=0),0,IF(OR($J17&lt;Y$3,$I17&gt;Y$2),0,IF($K17=0,IF(AND($I17&gt;=Y$3,$I17&lt;=Y$2),$E17,0),$E17*NETWORKDAYS(MAX($I17,Y$3),MIN($J17,Y$2),Data!$K$4:$K$203)/$K17)))</f>
        <v>0</v>
      </c>
      <c r="Z17" s="170">
        <f>IF(OR($I17="",$E17=0),0,IF(OR($J17&lt;Z$3,$I17&gt;Z$2),0,IF($K17=0,IF(AND($I17&gt;=Z$3,$I17&lt;=Z$2),$E17,0),$E17*NETWORKDAYS(MAX($I17,Z$3),MIN($J17,Z$2),Data!$K$4:$K$203)/$K17)))</f>
        <v>0</v>
      </c>
      <c r="AA17" s="170">
        <f>IF(OR($I17="",$E17=0),0,IF(OR($J17&lt;AA$3,$I17&gt;AA$2),0,IF($K17=0,IF(AND($I17&gt;=AA$3,$I17&lt;=AA$2),$E17,0),$E17*NETWORKDAYS(MAX($I17,AA$3),MIN($J17,AA$2),Data!$K$4:$K$203)/$K17)))</f>
        <v>0</v>
      </c>
      <c r="AB17" s="170">
        <f>IF(OR($I17="",$E17=0),0,IF(OR($J17&lt;AB$3,$I17&gt;AB$2),0,IF($K17=0,IF(AND($I17&gt;=AB$3,$I17&lt;=AB$2),$E17,0),$E17*NETWORKDAYS(MAX($I17,AB$3),MIN($J17,AB$2),Data!$K$4:$K$203)/$K17)))</f>
        <v>0</v>
      </c>
      <c r="AC17" s="170">
        <f>IF(OR($I17="",$E17=0),0,IF(OR($J17&lt;AC$3,$I17&gt;AC$2),0,IF($K17=0,IF(AND($I17&gt;=AC$3,$I17&lt;=AC$2),$E17,0),$E17*NETWORKDAYS(MAX($I17,AC$3),MIN($J17,AC$2),Data!$K$4:$K$203)/$K17)))</f>
        <v>0</v>
      </c>
      <c r="AD17" s="170">
        <f>IF(OR($I17="",$E17=0),0,IF(OR($J17&lt;AD$3,$I17&gt;AD$2),0,IF($K17=0,IF(AND($I17&gt;=AD$3,$I17&lt;=AD$2),$E17,0),$E17*NETWORKDAYS(MAX($I17,AD$3),MIN($J17,AD$2),Data!$K$4:$K$203)/$K17)))</f>
        <v>0</v>
      </c>
      <c r="AE17" s="170">
        <f>IF(OR($I17="",$E17=0),0,IF(OR($J17&lt;AE$3,$I17&gt;AE$2),0,IF($K17=0,IF(AND($I17&gt;=AE$3,$I17&lt;=AE$2),$E17,0),$E17*NETWORKDAYS(MAX($I17,AE$3),MIN($J17,AE$2),Data!$K$4:$K$203)/$K17)))</f>
        <v>0</v>
      </c>
      <c r="AF17" s="170">
        <f>IF(OR($I17="",$E17=0),0,IF(OR($J17&lt;AF$3,$I17&gt;AF$2),0,IF($K17=0,IF(AND($I17&gt;=AF$3,$I17&lt;=AF$2),$E17,0),$E17*NETWORKDAYS(MAX($I17,AF$3),MIN($J17,AF$2),Data!$K$4:$K$203)/$K17)))</f>
        <v>0</v>
      </c>
      <c r="AG17" s="170">
        <f>IF(OR($I17="",$E17=0),0,IF(OR($J17&lt;AG$3,$I17&gt;AG$2),0,IF($K17=0,IF(AND($I17&gt;=AG$3,$I17&lt;=AG$2),$E17,0),$E17*NETWORKDAYS(MAX($I17,AG$3),MIN($J17,AG$2),Data!$K$4:$K$203)/$K17)))</f>
        <v>0</v>
      </c>
      <c r="AH17" s="170">
        <f>IF(OR($I17="",$E17=0),0,IF(OR($J17&lt;AH$3,$I17&gt;AH$2),0,IF($K17=0,IF(AND($I17&gt;=AH$3,$I17&lt;=AH$2),$E17,0),$E17*NETWORKDAYS(MAX($I17,AH$3),MIN($J17,AH$2),Data!$K$4:$K$203)/$K17)))</f>
        <v>0</v>
      </c>
      <c r="AI17" s="170">
        <f>SUM(W17:AH17)</f>
        <v>0</v>
      </c>
      <c r="AK17" t="inlineStr">
        <is>
          <t>Pic de charge mensuel (h)</t>
        </is>
      </c>
      <c r="AL17" s="171">
        <f>MAX(AP4:AP15)</f>
        <v>507.840504944044</v>
      </c>
      <c r="BW17" t="n">
        <v>14</v>
      </c>
      <c r="BX17">
        <f>IFERROR(MATCH(BW17,$EQ$4:$EQ$503,0),"")</f>
        <v>19</v>
      </c>
      <c r="BY17">
        <f>IF(BX17="","",INDEX($FL$4:$FL$503,BX17))</f>
        <v>0</v>
      </c>
      <c r="BZ17" t="str">
        <f>IF(D17=1,IF(TRIM(INDEX(Charge!$K:$K,ROW()))&lt;&gt;"",TRIM(INDEX(Charge!$K:$K,ROW())),IF(TRIM(INDEX(Charge!$L:$L,ROW()))&lt;&gt;"",TRIM(INDEX(Charge!$L:$L,ROW())),"(non affecté)")),"")</f>
        <v/>
      </c>
      <c r="CA17" t="str">
        <f>IF(AND($CD$4&lt;&gt;"",BZ17=$CD$4),COUNTIFS($BZ$4:$BZ$503,$CD$4,$L$4:$L$503,"&lt;"&amp;L17)+1,"")</f>
        <v/>
      </c>
      <c r="CC17" t="inlineStr">
        <is>
          <t>Dépassement cumulé (h)</t>
        </is>
      </c>
      <c r="CD17" s="176">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70" t="str">
        <f>IF($CT17="","",SUMIF($BZ$4:$BZ$503,$CT17,W$4:W$503))</f>
        <v/>
      </c>
      <c r="CX17" s="170" t="str">
        <f>IF($CT17="","",SUMIF($BZ$4:$BZ$503,$CT17,X$4:X$503))</f>
        <v/>
      </c>
      <c r="CY17" s="170" t="str">
        <f>IF($CT17="","",SUMIF($BZ$4:$BZ$503,$CT17,Y$4:Y$503))</f>
        <v/>
      </c>
      <c r="CZ17" s="170" t="str">
        <f>IF($CT17="","",SUMIF($BZ$4:$BZ$503,$CT17,Z$4:Z$503))</f>
        <v/>
      </c>
      <c r="DA17" s="170" t="str">
        <f>IF($CT17="","",SUMIF($BZ$4:$BZ$503,$CT17,AA$4:AA$503))</f>
        <v/>
      </c>
      <c r="DB17" s="170" t="str">
        <f>IF($CT17="","",SUMIF($BZ$4:$BZ$503,$CT17,AB$4:AB$503))</f>
        <v/>
      </c>
      <c r="DC17" s="170" t="str">
        <f>IF($CT17="","",SUMIF($BZ$4:$BZ$503,$CT17,AC$4:AC$503))</f>
        <v/>
      </c>
      <c r="DD17" s="170" t="str">
        <f>IF($CT17="","",SUMIF($BZ$4:$BZ$503,$CT17,AD$4:AD$503))</f>
        <v/>
      </c>
      <c r="DE17" s="170" t="str">
        <f>IF($CT17="","",SUMIF($BZ$4:$BZ$503,$CT17,AE$4:AE$503))</f>
        <v/>
      </c>
      <c r="DF17" s="170" t="str">
        <f>IF($CT17="","",SUMIF($BZ$4:$BZ$503,$CT17,AF$4:AF$503))</f>
        <v/>
      </c>
      <c r="DG17" s="170" t="str">
        <f>IF($CT17="","",SUMIF($BZ$4:$BZ$503,$CT17,AG$4:AG$503))</f>
        <v/>
      </c>
      <c r="DH17" s="170" t="str">
        <f>IF($CT17="","",SUMIF($BZ$4:$BZ$503,$CT17,AH$4:AH$503))</f>
        <v/>
      </c>
      <c r="DI17" s="174" t="str">
        <f>IF($CT17="","",IF($CU17&lt;=0,IF(ROUND($CV17+CW17,0)&gt;0,9.99,0),ROUND($CV17+CW17,0)/$CU17))</f>
        <v/>
      </c>
      <c r="DJ17" s="174" t="str">
        <f>IF($CT17="","",IF($CU17&lt;=0,IF(ROUND($CV17+CX17,0)&gt;0,9.99,0),ROUND($CV17+CX17,0)/$CU17))</f>
        <v/>
      </c>
      <c r="DK17" s="174" t="str">
        <f>IF($CT17="","",IF($CU17&lt;=0,IF(ROUND($CV17+CY17,0)&gt;0,9.99,0),ROUND($CV17+CY17,0)/$CU17))</f>
        <v/>
      </c>
      <c r="DL17" s="174" t="str">
        <f>IF($CT17="","",IF($CU17&lt;=0,IF(ROUND($CV17+CZ17,0)&gt;0,9.99,0),ROUND($CV17+CZ17,0)/$CU17))</f>
        <v/>
      </c>
      <c r="DM17" s="174" t="str">
        <f>IF($CT17="","",IF($CU17&lt;=0,IF(ROUND($CV17+DA17,0)&gt;0,9.99,0),ROUND($CV17+DA17,0)/$CU17))</f>
        <v/>
      </c>
      <c r="DN17" s="174" t="str">
        <f>IF($CT17="","",IF($CU17&lt;=0,IF(ROUND($CV17+DB17,0)&gt;0,9.99,0),ROUND($CV17+DB17,0)/$CU17))</f>
        <v/>
      </c>
      <c r="DO17" s="174" t="str">
        <f>IF($CT17="","",IF($CU17&lt;=0,IF(ROUND($CV17+DC17,0)&gt;0,9.99,0),ROUND($CV17+DC17,0)/$CU17))</f>
        <v/>
      </c>
      <c r="DP17" s="174" t="str">
        <f>IF($CT17="","",IF($CU17&lt;=0,IF(ROUND($CV17+DD17,0)&gt;0,9.99,0),ROUND($CV17+DD17,0)/$CU17))</f>
        <v/>
      </c>
      <c r="DQ17" s="174" t="str">
        <f>IF($CT17="","",IF($CU17&lt;=0,IF(ROUND($CV17+DE17,0)&gt;0,9.99,0),ROUND($CV17+DE17,0)/$CU17))</f>
        <v/>
      </c>
      <c r="DR17" s="174" t="str">
        <f>IF($CT17="","",IF($CU17&lt;=0,IF(ROUND($CV17+DF17,0)&gt;0,9.99,0),ROUND($CV17+DF17,0)/$CU17))</f>
        <v/>
      </c>
      <c r="DS17" s="174" t="str">
        <f>IF($CT17="","",IF($CU17&lt;=0,IF(ROUND($CV17+DG17,0)&gt;0,9.99,0),ROUND($CV17+DG17,0)/$CU17))</f>
        <v/>
      </c>
      <c r="DT17" s="174" t="str">
        <f>IF($CT17="","",IF($CU17&lt;=0,IF(ROUND($CV17+DH17,0)&gt;0,9.99,0),ROUND($CV17+DH17,0)/$CU17))</f>
        <v/>
      </c>
      <c r="DU17" s="174" t="str">
        <f>IF(CT17="","",MAX(DI17:DT17))</f>
        <v/>
      </c>
      <c r="DV17" s="171"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9" t="str">
        <f>IF(DY17="","",IF(ISNUMBER(INDEX(Charge!$N:$N,DY17+3)),INDEX(Charge!$N:$N,DY17+3),"—"))</f>
        <v/>
      </c>
      <c r="EG17" s="169" t="str">
        <f>IF(DY17="","",IF(ISNUMBER(INDEX(Charge!$F:$F,DY17+3)),INDEX(Charge!$F:$F,DY17+3),"—"))</f>
        <v/>
      </c>
      <c r="EH17" s="174"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70"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4" t="str">
        <f>IF(EO17=1,IF(FH17&gt;0,FI17/FH17,AVERAGEIF($FF$4:$FF$503,EN17,$C$4:$C$503)),"")</f>
        <v/>
      </c>
      <c r="EV17" s="169">
        <f>IF(ISNUMBER(I17),I17,2958465)</f>
        <v>2958465.0</v>
      </c>
      <c r="EW17" s="169" t="str">
        <f>IF(EO17=1,SUMPRODUCT(MIN(($EN$4:$EN$503=EN17)*$EV$4:$EV$503+($EN$4:$EN$503&lt;&gt;EN17)*2958465)),"")</f>
        <v/>
      </c>
      <c r="EX17" s="169">
        <f>IF(AND(D17=1,ISNUMBER(INDEX(Charge!$F:$F,ROW()))),INDEX(Charge!$F:$F,ROW()),0)</f>
        <v>0.0</v>
      </c>
      <c r="EY17" s="169"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c r="FF17" t="str">
        <f>IF(B17=1,LEFT(SUBSTITUTE(SUBSTITUTE(SUBSTITUTE(TRIM(SUBSTITUTE(INDEX(Charge!$B:$B,ROW()),CHAR(160)," "))&amp;" | "&amp;TRIM(SUBSTITUTE(INDEX(Charge!$C:$C,ROW()),CHAR(160)," "))&amp;" | "&amp;TRIM(SUBSTITUTE(INDEX(Charge!$D:$D,ROW()),CHAR(160)," ")),"~","-"),"*","+"),"?","!"),240),"")</f>
        <v>ORION | Tranche 1 | Carter de protection</v>
      </c>
      <c r="FG17">
        <f>IF(B17=1,MAX(0,N(INDEX(Charge!$M:$M,ROW()))),0)</f>
        <v>40</v>
      </c>
      <c r="FH17" s="170" t="str">
        <f>IF(EO17=1,ROUND(SUMIF($FF$4:$FF$503,EN17,$FG$4:$FG$503),2),"")</f>
        <v/>
      </c>
      <c r="FI17" s="170" t="str">
        <f>IF(EO17=1,ROUND(SUMPRODUCT(($FF$4:$FF$503=EN17)*$FG$4:$FG$503*$C$4:$C$503),2),"")</f>
        <v/>
      </c>
      <c r="FJ17" s="170" t="str">
        <f>IF(EO17=1,MAX(0,ROUND(FH17-FI17,2)),"")</f>
        <v/>
      </c>
      <c r="FK17" s="174" t="str">
        <f>IF(EO17=1,IF(OR(EW17&gt;=2958465,EY17=0,EY17&lt;=EW17),"",IF(TODAY()&lt;=EW17,0,IF(TODAY()&gt;EY17,1,IFERROR(NETWORKDAYS(EW17,TODAY()-1,Data!$K$4:$K$203)/NETWORKDAYS(EW17,EY17,Data!$K$4:$K$203),"")))),"")</f>
        <v/>
      </c>
      <c r="FL17" t="str">
        <f>IF(EO17=1,IF(AND(EY17&gt;0,EY17&lt;TODAY(),ROUND(EU17,4)&lt;1),2,IF(FK17="",0,IF(ROUND(EU17-FK17,4)&lt;-0.15,1,0))),"")</f>
        <v/>
      </c>
      <c r="FM17">
        <f>IF(OR(FA17="",COUNTIF($FA$4:FA16,FA17)&gt;0),0,MAX(0,IF(FB17="Interne",IF(ISNUMBER(INDEX(Data!$F:$F,17)),INDEX(Data!$F:$F,17),p_HeuresETP),IF(ISNUMBER(INDEX(Data!$I:$I,17-$CD$23)),INDEX(Data!$I:$I,17-$CD$23),p_HeuresETP))-IF(FB17="Interne",IF(ISNUMBER(INDEX(Data!$G:$G,17)),INDEX(Data!$G:$G,17),p_ChargeFixe),IF(ISNUMBER(INDEX(Data!$J:$J,17-$CD$23)),INDEX(Data!$J:$J,17-$CD$23),p_ChargeFixe))))</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9">
        <f>IF(AND(D18=1,ISNUMBER(INDEX(Charge!$N:$N,ROW()))),INDEX(Charge!$N:$N,ROW()),"")</f>
        <v>46447.0</v>
      </c>
      <c r="J18" s="169">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70">
        <f>IF(OR($I18="",$E18=0),0,IF(OR($J18&lt;W$3,$I18&gt;W$2),0,IF($K18=0,IF(AND($I18&gt;=W$3,$I18&lt;=W$2),$E18,0),$E18*NETWORKDAYS(MAX($I18,W$3),MIN($J18,W$2),Data!$K$4:$K$203)/$K18)))</f>
        <v>0</v>
      </c>
      <c r="X18" s="170">
        <f>IF(OR($I18="",$E18=0),0,IF(OR($J18&lt;X$3,$I18&gt;X$2),0,IF($K18=0,IF(AND($I18&gt;=X$3,$I18&lt;=X$2),$E18,0),$E18*NETWORKDAYS(MAX($I18,X$3),MIN($J18,X$2),Data!$K$4:$K$203)/$K18)))</f>
        <v>0</v>
      </c>
      <c r="Y18" s="170">
        <f>IF(OR($I18="",$E18=0),0,IF(OR($J18&lt;Y$3,$I18&gt;Y$2),0,IF($K18=0,IF(AND($I18&gt;=Y$3,$I18&lt;=Y$2),$E18,0),$E18*NETWORKDAYS(MAX($I18,Y$3),MIN($J18,Y$2),Data!$K$4:$K$203)/$K18)))</f>
        <v>0</v>
      </c>
      <c r="Z18" s="170">
        <f>IF(OR($I18="",$E18=0),0,IF(OR($J18&lt;Z$3,$I18&gt;Z$2),0,IF($K18=0,IF(AND($I18&gt;=Z$3,$I18&lt;=Z$2),$E18,0),$E18*NETWORKDAYS(MAX($I18,Z$3),MIN($J18,Z$2),Data!$K$4:$K$203)/$K18)))</f>
        <v>0</v>
      </c>
      <c r="AA18" s="170">
        <f>IF(OR($I18="",$E18=0),0,IF(OR($J18&lt;AA$3,$I18&gt;AA$2),0,IF($K18=0,IF(AND($I18&gt;=AA$3,$I18&lt;=AA$2),$E18,0),$E18*NETWORKDAYS(MAX($I18,AA$3),MIN($J18,AA$2),Data!$K$4:$K$203)/$K18)))</f>
        <v>0</v>
      </c>
      <c r="AB18" s="170">
        <f>IF(OR($I18="",$E18=0),0,IF(OR($J18&lt;AB$3,$I18&gt;AB$2),0,IF($K18=0,IF(AND($I18&gt;=AB$3,$I18&lt;=AB$2),$E18,0),$E18*NETWORKDAYS(MAX($I18,AB$3),MIN($J18,AB$2),Data!$K$4:$K$203)/$K18)))</f>
        <v>0</v>
      </c>
      <c r="AC18" s="170">
        <f>IF(OR($I18="",$E18=0),0,IF(OR($J18&lt;AC$3,$I18&gt;AC$2),0,IF($K18=0,IF(AND($I18&gt;=AC$3,$I18&lt;=AC$2),$E18,0),$E18*NETWORKDAYS(MAX($I18,AC$3),MIN($J18,AC$2),Data!$K$4:$K$203)/$K18)))</f>
        <v>66.9090909090909</v>
      </c>
      <c r="AD18" s="170">
        <f>IF(OR($I18="",$E18=0),0,IF(OR($J18&lt;AD$3,$I18&gt;AD$2),0,IF($K18=0,IF(AND($I18&gt;=AD$3,$I18&lt;=AD$2),$E18,0),$E18*NETWORKDAYS(MAX($I18,AD$3),MIN($J18,AD$2),Data!$K$4:$K$203)/$K18)))</f>
        <v>64</v>
      </c>
      <c r="AE18" s="170">
        <f>IF(OR($I18="",$E18=0),0,IF(OR($J18&lt;AE$3,$I18&gt;AE$2),0,IF($K18=0,IF(AND($I18&gt;=AE$3,$I18&lt;=AE$2),$E18,0),$E18*NETWORKDAYS(MAX($I18,AE$3),MIN($J18,AE$2),Data!$K$4:$K$203)/$K18)))</f>
        <v>29.0909090909091</v>
      </c>
      <c r="AF18" s="170">
        <f>IF(OR($I18="",$E18=0),0,IF(OR($J18&lt;AF$3,$I18&gt;AF$2),0,IF($K18=0,IF(AND($I18&gt;=AF$3,$I18&lt;=AF$2),$E18,0),$E18*NETWORKDAYS(MAX($I18,AF$3),MIN($J18,AF$2),Data!$K$4:$K$203)/$K18)))</f>
        <v>0</v>
      </c>
      <c r="AG18" s="170">
        <f>IF(OR($I18="",$E18=0),0,IF(OR($J18&lt;AG$3,$I18&gt;AG$2),0,IF($K18=0,IF(AND($I18&gt;=AG$3,$I18&lt;=AG$2),$E18,0),$E18*NETWORKDAYS(MAX($I18,AG$3),MIN($J18,AG$2),Data!$K$4:$K$203)/$K18)))</f>
        <v>0</v>
      </c>
      <c r="AH18" s="170">
        <f>IF(OR($I18="",$E18=0),0,IF(OR($J18&lt;AH$3,$I18&gt;AH$2),0,IF($K18=0,IF(AND($I18&gt;=AH$3,$I18&lt;=AH$2),$E18,0),$E18*NETWORKDAYS(MAX($I18,AH$3),MIN($J18,AH$2),Data!$K$4:$K$203)/$K18)))</f>
        <v>0</v>
      </c>
      <c r="AI18" s="170">
        <f>SUM(W18:AH18)</f>
        <v>160</v>
      </c>
      <c r="AK18" t="inlineStr">
        <is>
          <t>Rang du mois de pic</t>
        </is>
      </c>
      <c r="AL18" s="175">
        <f>MATCH(AL17,AP4:AP15,0)</f>
        <v>7</v>
      </c>
      <c r="BW18" t="n">
        <v>15</v>
      </c>
      <c r="BX18">
        <f>IFERROR(MATCH(BW18,$EQ$4:$EQ$503,0),"")</f>
        <v>16</v>
      </c>
      <c r="BY18">
        <f>IF(BX18="","",INDEX($FL$4:$FL$503,BX18))</f>
        <v>0</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6">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70" t="str">
        <f>IF($CT18="","",SUMIF($BZ$4:$BZ$503,$CT18,W$4:W$503))</f>
        <v/>
      </c>
      <c r="CX18" s="170" t="str">
        <f>IF($CT18="","",SUMIF($BZ$4:$BZ$503,$CT18,X$4:X$503))</f>
        <v/>
      </c>
      <c r="CY18" s="170" t="str">
        <f>IF($CT18="","",SUMIF($BZ$4:$BZ$503,$CT18,Y$4:Y$503))</f>
        <v/>
      </c>
      <c r="CZ18" s="170" t="str">
        <f>IF($CT18="","",SUMIF($BZ$4:$BZ$503,$CT18,Z$4:Z$503))</f>
        <v/>
      </c>
      <c r="DA18" s="170" t="str">
        <f>IF($CT18="","",SUMIF($BZ$4:$BZ$503,$CT18,AA$4:AA$503))</f>
        <v/>
      </c>
      <c r="DB18" s="170" t="str">
        <f>IF($CT18="","",SUMIF($BZ$4:$BZ$503,$CT18,AB$4:AB$503))</f>
        <v/>
      </c>
      <c r="DC18" s="170" t="str">
        <f>IF($CT18="","",SUMIF($BZ$4:$BZ$503,$CT18,AC$4:AC$503))</f>
        <v/>
      </c>
      <c r="DD18" s="170" t="str">
        <f>IF($CT18="","",SUMIF($BZ$4:$BZ$503,$CT18,AD$4:AD$503))</f>
        <v/>
      </c>
      <c r="DE18" s="170" t="str">
        <f>IF($CT18="","",SUMIF($BZ$4:$BZ$503,$CT18,AE$4:AE$503))</f>
        <v/>
      </c>
      <c r="DF18" s="170" t="str">
        <f>IF($CT18="","",SUMIF($BZ$4:$BZ$503,$CT18,AF$4:AF$503))</f>
        <v/>
      </c>
      <c r="DG18" s="170" t="str">
        <f>IF($CT18="","",SUMIF($BZ$4:$BZ$503,$CT18,AG$4:AG$503))</f>
        <v/>
      </c>
      <c r="DH18" s="170" t="str">
        <f>IF($CT18="","",SUMIF($BZ$4:$BZ$503,$CT18,AH$4:AH$503))</f>
        <v/>
      </c>
      <c r="DI18" s="174" t="str">
        <f>IF($CT18="","",IF($CU18&lt;=0,IF(ROUND($CV18+CW18,0)&gt;0,9.99,0),ROUND($CV18+CW18,0)/$CU18))</f>
        <v/>
      </c>
      <c r="DJ18" s="174" t="str">
        <f>IF($CT18="","",IF($CU18&lt;=0,IF(ROUND($CV18+CX18,0)&gt;0,9.99,0),ROUND($CV18+CX18,0)/$CU18))</f>
        <v/>
      </c>
      <c r="DK18" s="174" t="str">
        <f>IF($CT18="","",IF($CU18&lt;=0,IF(ROUND($CV18+CY18,0)&gt;0,9.99,0),ROUND($CV18+CY18,0)/$CU18))</f>
        <v/>
      </c>
      <c r="DL18" s="174" t="str">
        <f>IF($CT18="","",IF($CU18&lt;=0,IF(ROUND($CV18+CZ18,0)&gt;0,9.99,0),ROUND($CV18+CZ18,0)/$CU18))</f>
        <v/>
      </c>
      <c r="DM18" s="174" t="str">
        <f>IF($CT18="","",IF($CU18&lt;=0,IF(ROUND($CV18+DA18,0)&gt;0,9.99,0),ROUND($CV18+DA18,0)/$CU18))</f>
        <v/>
      </c>
      <c r="DN18" s="174" t="str">
        <f>IF($CT18="","",IF($CU18&lt;=0,IF(ROUND($CV18+DB18,0)&gt;0,9.99,0),ROUND($CV18+DB18,0)/$CU18))</f>
        <v/>
      </c>
      <c r="DO18" s="174" t="str">
        <f>IF($CT18="","",IF($CU18&lt;=0,IF(ROUND($CV18+DC18,0)&gt;0,9.99,0),ROUND($CV18+DC18,0)/$CU18))</f>
        <v/>
      </c>
      <c r="DP18" s="174" t="str">
        <f>IF($CT18="","",IF($CU18&lt;=0,IF(ROUND($CV18+DD18,0)&gt;0,9.99,0),ROUND($CV18+DD18,0)/$CU18))</f>
        <v/>
      </c>
      <c r="DQ18" s="174" t="str">
        <f>IF($CT18="","",IF($CU18&lt;=0,IF(ROUND($CV18+DE18,0)&gt;0,9.99,0),ROUND($CV18+DE18,0)/$CU18))</f>
        <v/>
      </c>
      <c r="DR18" s="174" t="str">
        <f>IF($CT18="","",IF($CU18&lt;=0,IF(ROUND($CV18+DF18,0)&gt;0,9.99,0),ROUND($CV18+DF18,0)/$CU18))</f>
        <v/>
      </c>
      <c r="DS18" s="174" t="str">
        <f>IF($CT18="","",IF($CU18&lt;=0,IF(ROUND($CV18+DG18,0)&gt;0,9.99,0),ROUND($CV18+DG18,0)/$CU18))</f>
        <v/>
      </c>
      <c r="DT18" s="174" t="str">
        <f>IF($CT18="","",IF($CU18&lt;=0,IF(ROUND($CV18+DH18,0)&gt;0,9.99,0),ROUND($CV18+DH18,0)/$CU18))</f>
        <v/>
      </c>
      <c r="DU18" s="174" t="str">
        <f>IF(CT18="","",MAX(DI18:DT18))</f>
        <v/>
      </c>
      <c r="DV18" s="171"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9" t="str">
        <f>IF(DY18="","",IF(ISNUMBER(INDEX(Charge!$N:$N,DY18+3)),INDEX(Charge!$N:$N,DY18+3),"—"))</f>
        <v/>
      </c>
      <c r="EG18" s="169" t="str">
        <f>IF(DY18="","",IF(ISNUMBER(INDEX(Charge!$F:$F,DY18+3)),INDEX(Charge!$F:$F,DY18+3),"—"))</f>
        <v/>
      </c>
      <c r="EH18" s="174"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70">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4">
        <f>IF(EO18=1,IF(FH18&gt;0,FI18/FH18,AVERAGEIF($FF$4:$FF$503,EN18,$C$4:$C$503)),"")</f>
        <v>0</v>
      </c>
      <c r="EV18" s="169">
        <f>IF(ISNUMBER(I18),I18,2958465)</f>
        <v>46447.0</v>
      </c>
      <c r="EW18" s="169">
        <f>IF(EO18=1,SUMPRODUCT(MIN(($EN$4:$EN$503=EN18)*$EV$4:$EV$503+($EN$4:$EN$503&lt;&gt;EN18)*2958465)),"")</f>
        <v>46447.0</v>
      </c>
      <c r="EX18" s="169">
        <f>IF(AND(D18=1,ISNUMBER(INDEX(Charge!$F:$F,ROW()))),INDEX(Charge!$F:$F,ROW()),0)</f>
        <v>46521.0</v>
      </c>
      <c r="EY18" s="169">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c r="FF18" t="str">
        <f>IF(B18=1,LEFT(SUBSTITUTE(SUBSTITUTE(SUBSTITUTE(TRIM(SUBSTITUTE(INDEX(Charge!$B:$B,ROW()),CHAR(160)," "))&amp;" | "&amp;TRIM(SUBSTITUTE(INDEX(Charge!$C:$C,ROW()),CHAR(160)," "))&amp;" | "&amp;TRIM(SUBSTITUTE(INDEX(Charge!$D:$D,ROW()),CHAR(160)," ")),"~","-"),"*","+"),"?","!"),240),"")</f>
        <v>ORION | Tranche 2 | Support moteur</v>
      </c>
      <c r="FG18">
        <f>IF(B18=1,MAX(0,N(INDEX(Charge!$M:$M,ROW()))),0)</f>
        <v>160</v>
      </c>
      <c r="FH18" s="170">
        <f>IF(EO18=1,ROUND(SUMIF($FF$4:$FF$503,EN18,$FG$4:$FG$503),2),"")</f>
        <v>160</v>
      </c>
      <c r="FI18" s="170">
        <f>IF(EO18=1,ROUND(SUMPRODUCT(($FF$4:$FF$503=EN18)*$FG$4:$FG$503*$C$4:$C$503),2),"")</f>
        <v>0</v>
      </c>
      <c r="FJ18" s="170">
        <f>IF(EO18=1,MAX(0,ROUND(FH18-FI18,2)),"")</f>
        <v>160</v>
      </c>
      <c r="FK18" s="174">
        <f>IF(EO18=1,IF(OR(EW18&gt;=2958465,EY18=0,EY18&lt;=EW18),"",IF(TODAY()&lt;=EW18,0,IF(TODAY()&gt;EY18,1,IFERROR(NETWORKDAYS(EW18,TODAY()-1,Data!$K$4:$K$203)/NETWORKDAYS(EW18,EY18,Data!$K$4:$K$203),"")))),"")</f>
        <v>0</v>
      </c>
      <c r="FL18">
        <f>IF(EO18=1,IF(AND(EY18&gt;0,EY18&lt;TODAY(),ROUND(EU18,4)&lt;1),2,IF(FK18="",0,IF(ROUND(EU18-FK18,4)&lt;-0.15,1,0))),"")</f>
        <v>0</v>
      </c>
      <c r="FM18">
        <f>IF(OR(FA18="",COUNTIF($FA$4:FA17,FA18)&gt;0),0,MAX(0,IF(FB18="Interne",IF(ISNUMBER(INDEX(Data!$F:$F,18)),INDEX(Data!$F:$F,18),p_HeuresETP),IF(ISNUMBER(INDEX(Data!$I:$I,18-$CD$23)),INDEX(Data!$I:$I,18-$CD$23),p_HeuresETP))-IF(FB18="Interne",IF(ISNUMBER(INDEX(Data!$G:$G,18)),INDEX(Data!$G:$G,18),p_ChargeFixe),IF(ISNUMBER(INDEX(Data!$J:$J,18-$CD$23)),INDEX(Data!$J:$J,18-$CD$23),p_ChargeFixe))))</f>
        <v>0</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9">
        <f>IF(AND(D19=1,ISNUMBER(INDEX(Charge!$N:$N,ROW()))),INDEX(Charge!$N:$N,ROW()),"")</f>
        <v>46342.0</v>
      </c>
      <c r="J19" s="169">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70">
        <f>IF(OR($I19="",$E19=0),0,IF(OR($J19&lt;W$3,$I19&gt;W$2),0,IF($K19=0,IF(AND($I19&gt;=W$3,$I19&lt;=W$2),$E19,0),$E19*NETWORKDAYS(MAX($I19,W$3),MIN($J19,W$2),Data!$K$4:$K$203)/$K19)))</f>
        <v>0</v>
      </c>
      <c r="X19" s="170">
        <f>IF(OR($I19="",$E19=0),0,IF(OR($J19&lt;X$3,$I19&gt;X$2),0,IF($K19=0,IF(AND($I19&gt;=X$3,$I19&lt;=X$2),$E19,0),$E19*NETWORKDAYS(MAX($I19,X$3),MIN($J19,X$2),Data!$K$4:$K$203)/$K19)))</f>
        <v>0</v>
      </c>
      <c r="Y19" s="170">
        <f>IF(OR($I19="",$E19=0),0,IF(OR($J19&lt;Y$3,$I19&gt;Y$2),0,IF($K19=0,IF(AND($I19&gt;=Y$3,$I19&lt;=Y$2),$E19,0),$E19*NETWORKDAYS(MAX($I19,Y$3),MIN($J19,Y$2),Data!$K$4:$K$203)/$K19)))</f>
        <v>38.5</v>
      </c>
      <c r="Z19" s="170">
        <f>IF(OR($I19="",$E19=0),0,IF(OR($J19&lt;Z$3,$I19&gt;Z$2),0,IF($K19=0,IF(AND($I19&gt;=Z$3,$I19&lt;=Z$2),$E19,0),$E19*NETWORKDAYS(MAX($I19,Z$3),MIN($J19,Z$2),Data!$K$4:$K$203)/$K19)))</f>
        <v>31.5</v>
      </c>
      <c r="AA19" s="170">
        <f>IF(OR($I19="",$E19=0),0,IF(OR($J19&lt;AA$3,$I19&gt;AA$2),0,IF($K19=0,IF(AND($I19&gt;=AA$3,$I19&lt;=AA$2),$E19,0),$E19*NETWORKDAYS(MAX($I19,AA$3),MIN($J19,AA$2),Data!$K$4:$K$203)/$K19)))</f>
        <v>0</v>
      </c>
      <c r="AB19" s="170">
        <f>IF(OR($I19="",$E19=0),0,IF(OR($J19&lt;AB$3,$I19&gt;AB$2),0,IF($K19=0,IF(AND($I19&gt;=AB$3,$I19&lt;=AB$2),$E19,0),$E19*NETWORKDAYS(MAX($I19,AB$3),MIN($J19,AB$2),Data!$K$4:$K$203)/$K19)))</f>
        <v>0</v>
      </c>
      <c r="AC19" s="170">
        <f>IF(OR($I19="",$E19=0),0,IF(OR($J19&lt;AC$3,$I19&gt;AC$2),0,IF($K19=0,IF(AND($I19&gt;=AC$3,$I19&lt;=AC$2),$E19,0),$E19*NETWORKDAYS(MAX($I19,AC$3),MIN($J19,AC$2),Data!$K$4:$K$203)/$K19)))</f>
        <v>0</v>
      </c>
      <c r="AD19" s="170">
        <f>IF(OR($I19="",$E19=0),0,IF(OR($J19&lt;AD$3,$I19&gt;AD$2),0,IF($K19=0,IF(AND($I19&gt;=AD$3,$I19&lt;=AD$2),$E19,0),$E19*NETWORKDAYS(MAX($I19,AD$3),MIN($J19,AD$2),Data!$K$4:$K$203)/$K19)))</f>
        <v>0</v>
      </c>
      <c r="AE19" s="170">
        <f>IF(OR($I19="",$E19=0),0,IF(OR($J19&lt;AE$3,$I19&gt;AE$2),0,IF($K19=0,IF(AND($I19&gt;=AE$3,$I19&lt;=AE$2),$E19,0),$E19*NETWORKDAYS(MAX($I19,AE$3),MIN($J19,AE$2),Data!$K$4:$K$203)/$K19)))</f>
        <v>0</v>
      </c>
      <c r="AF19" s="170">
        <f>IF(OR($I19="",$E19=0),0,IF(OR($J19&lt;AF$3,$I19&gt;AF$2),0,IF($K19=0,IF(AND($I19&gt;=AF$3,$I19&lt;=AF$2),$E19,0),$E19*NETWORKDAYS(MAX($I19,AF$3),MIN($J19,AF$2),Data!$K$4:$K$203)/$K19)))</f>
        <v>0</v>
      </c>
      <c r="AG19" s="170">
        <f>IF(OR($I19="",$E19=0),0,IF(OR($J19&lt;AG$3,$I19&gt;AG$2),0,IF($K19=0,IF(AND($I19&gt;=AG$3,$I19&lt;=AG$2),$E19,0),$E19*NETWORKDAYS(MAX($I19,AG$3),MIN($J19,AG$2),Data!$K$4:$K$203)/$K19)))</f>
        <v>0</v>
      </c>
      <c r="AH19" s="170">
        <f>IF(OR($I19="",$E19=0),0,IF(OR($J19&lt;AH$3,$I19&gt;AH$2),0,IF($K19=0,IF(AND($I19&gt;=AH$3,$I19&lt;=AH$2),$E19,0),$E19*NETWORKDAYS(MAX($I19,AH$3),MIN($J19,AH$2),Data!$K$4:$K$203)/$K19)))</f>
        <v>0</v>
      </c>
      <c r="AI19" s="170">
        <f>SUM(W19:AH19)</f>
        <v>70</v>
      </c>
      <c r="AK19" t="inlineStr">
        <is>
          <t>Mois le plus chargé</t>
        </is>
      </c>
      <c r="AL19" s="165">
        <f>INDEX(AO4:AO15,AL18)</f>
        <v>46447.0</v>
      </c>
      <c r="BW19" t="n">
        <v>16</v>
      </c>
      <c r="BX19">
        <f>IFERROR(MATCH(BW19,$EQ$4:$EQ$503,0),"")</f>
        <v>20</v>
      </c>
      <c r="BY19">
        <f>IF(BX19="","",INDEX($FL$4:$FL$503,BX19))</f>
        <v>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4">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70" t="str">
        <f>IF($CT19="","",SUMIF($BZ$4:$BZ$503,$CT19,W$4:W$503))</f>
        <v/>
      </c>
      <c r="CX19" s="170" t="str">
        <f>IF($CT19="","",SUMIF($BZ$4:$BZ$503,$CT19,X$4:X$503))</f>
        <v/>
      </c>
      <c r="CY19" s="170" t="str">
        <f>IF($CT19="","",SUMIF($BZ$4:$BZ$503,$CT19,Y$4:Y$503))</f>
        <v/>
      </c>
      <c r="CZ19" s="170" t="str">
        <f>IF($CT19="","",SUMIF($BZ$4:$BZ$503,$CT19,Z$4:Z$503))</f>
        <v/>
      </c>
      <c r="DA19" s="170" t="str">
        <f>IF($CT19="","",SUMIF($BZ$4:$BZ$503,$CT19,AA$4:AA$503))</f>
        <v/>
      </c>
      <c r="DB19" s="170" t="str">
        <f>IF($CT19="","",SUMIF($BZ$4:$BZ$503,$CT19,AB$4:AB$503))</f>
        <v/>
      </c>
      <c r="DC19" s="170" t="str">
        <f>IF($CT19="","",SUMIF($BZ$4:$BZ$503,$CT19,AC$4:AC$503))</f>
        <v/>
      </c>
      <c r="DD19" s="170" t="str">
        <f>IF($CT19="","",SUMIF($BZ$4:$BZ$503,$CT19,AD$4:AD$503))</f>
        <v/>
      </c>
      <c r="DE19" s="170" t="str">
        <f>IF($CT19="","",SUMIF($BZ$4:$BZ$503,$CT19,AE$4:AE$503))</f>
        <v/>
      </c>
      <c r="DF19" s="170" t="str">
        <f>IF($CT19="","",SUMIF($BZ$4:$BZ$503,$CT19,AF$4:AF$503))</f>
        <v/>
      </c>
      <c r="DG19" s="170" t="str">
        <f>IF($CT19="","",SUMIF($BZ$4:$BZ$503,$CT19,AG$4:AG$503))</f>
        <v/>
      </c>
      <c r="DH19" s="170" t="str">
        <f>IF($CT19="","",SUMIF($BZ$4:$BZ$503,$CT19,AH$4:AH$503))</f>
        <v/>
      </c>
      <c r="DI19" s="174" t="str">
        <f>IF($CT19="","",IF($CU19&lt;=0,IF(ROUND($CV19+CW19,0)&gt;0,9.99,0),ROUND($CV19+CW19,0)/$CU19))</f>
        <v/>
      </c>
      <c r="DJ19" s="174" t="str">
        <f>IF($CT19="","",IF($CU19&lt;=0,IF(ROUND($CV19+CX19,0)&gt;0,9.99,0),ROUND($CV19+CX19,0)/$CU19))</f>
        <v/>
      </c>
      <c r="DK19" s="174" t="str">
        <f>IF($CT19="","",IF($CU19&lt;=0,IF(ROUND($CV19+CY19,0)&gt;0,9.99,0),ROUND($CV19+CY19,0)/$CU19))</f>
        <v/>
      </c>
      <c r="DL19" s="174" t="str">
        <f>IF($CT19="","",IF($CU19&lt;=0,IF(ROUND($CV19+CZ19,0)&gt;0,9.99,0),ROUND($CV19+CZ19,0)/$CU19))</f>
        <v/>
      </c>
      <c r="DM19" s="174" t="str">
        <f>IF($CT19="","",IF($CU19&lt;=0,IF(ROUND($CV19+DA19,0)&gt;0,9.99,0),ROUND($CV19+DA19,0)/$CU19))</f>
        <v/>
      </c>
      <c r="DN19" s="174" t="str">
        <f>IF($CT19="","",IF($CU19&lt;=0,IF(ROUND($CV19+DB19,0)&gt;0,9.99,0),ROUND($CV19+DB19,0)/$CU19))</f>
        <v/>
      </c>
      <c r="DO19" s="174" t="str">
        <f>IF($CT19="","",IF($CU19&lt;=0,IF(ROUND($CV19+DC19,0)&gt;0,9.99,0),ROUND($CV19+DC19,0)/$CU19))</f>
        <v/>
      </c>
      <c r="DP19" s="174" t="str">
        <f>IF($CT19="","",IF($CU19&lt;=0,IF(ROUND($CV19+DD19,0)&gt;0,9.99,0),ROUND($CV19+DD19,0)/$CU19))</f>
        <v/>
      </c>
      <c r="DQ19" s="174" t="str">
        <f>IF($CT19="","",IF($CU19&lt;=0,IF(ROUND($CV19+DE19,0)&gt;0,9.99,0),ROUND($CV19+DE19,0)/$CU19))</f>
        <v/>
      </c>
      <c r="DR19" s="174" t="str">
        <f>IF($CT19="","",IF($CU19&lt;=0,IF(ROUND($CV19+DF19,0)&gt;0,9.99,0),ROUND($CV19+DF19,0)/$CU19))</f>
        <v/>
      </c>
      <c r="DS19" s="174" t="str">
        <f>IF($CT19="","",IF($CU19&lt;=0,IF(ROUND($CV19+DG19,0)&gt;0,9.99,0),ROUND($CV19+DG19,0)/$CU19))</f>
        <v/>
      </c>
      <c r="DT19" s="174" t="str">
        <f>IF($CT19="","",IF($CU19&lt;=0,IF(ROUND($CV19+DH19,0)&gt;0,9.99,0),ROUND($CV19+DH19,0)/$CU19))</f>
        <v/>
      </c>
      <c r="DU19" s="174" t="str">
        <f>IF(CT19="","",MAX(DI19:DT19))</f>
        <v/>
      </c>
      <c r="DV19" s="171"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70">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4">
        <f>IF(EO19=1,IF(FH19&gt;0,FI19/FH19,AVERAGEIF($FF$4:$FF$503,EN19,$C$4:$C$503)),"")</f>
        <v>0.1</v>
      </c>
      <c r="EV19" s="169">
        <f>IF(ISNUMBER(I19),I19,2958465)</f>
        <v>46342.0</v>
      </c>
      <c r="EW19" s="169">
        <f>IF(EO19=1,SUMPRODUCT(MIN(($EN$4:$EN$503=EN19)*$EV$4:$EV$503+($EN$4:$EN$503&lt;&gt;EN19)*2958465)),"")</f>
        <v>46342.0</v>
      </c>
      <c r="EX19" s="169">
        <f>IF(AND(D19=1,ISNUMBER(INDEX(Charge!$F:$F,ROW()))),INDEX(Charge!$F:$F,ROW()),0)</f>
        <v>46367.0</v>
      </c>
      <c r="EY19" s="169">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c r="FF19" t="str">
        <f>IF(B19=1,LEFT(SUBSTITUTE(SUBSTITUTE(SUBSTITUTE(TRIM(SUBSTITUTE(INDEX(Charge!$B:$B,ROW()),CHAR(160)," "))&amp;" | "&amp;TRIM(SUBSTITUTE(INDEX(Charge!$C:$C,ROW()),CHAR(160)," "))&amp;" | "&amp;TRIM(SUBSTITUTE(INDEX(Charge!$D:$D,ROW()),CHAR(160)," ")),"~","-"),"*","+"),"?","!"),240),"")</f>
        <v>PÉGASE | Avant-projet | Ensemble complet</v>
      </c>
      <c r="FG19">
        <f>IF(B19=1,MAX(0,N(INDEX(Charge!$M:$M,ROW()))),0)</f>
        <v>70</v>
      </c>
      <c r="FH19" s="170">
        <f>IF(EO19=1,ROUND(SUMIF($FF$4:$FF$503,EN19,$FG$4:$FG$503),2),"")</f>
        <v>70</v>
      </c>
      <c r="FI19" s="170">
        <f>IF(EO19=1,ROUND(SUMPRODUCT(($FF$4:$FF$503=EN19)*$FG$4:$FG$503*$C$4:$C$503),2),"")</f>
        <v>7</v>
      </c>
      <c r="FJ19" s="170">
        <f>IF(EO19=1,MAX(0,ROUND(FH19-FI19,2)),"")</f>
        <v>63</v>
      </c>
      <c r="FK19" s="174">
        <f>IF(EO19=1,IF(OR(EW19&gt;=2958465,EY19=0,EY19&lt;=EW19),"",IF(TODAY()&lt;=EW19,0,IF(TODAY()&gt;EY19,1,IFERROR(NETWORKDAYS(EW19,TODAY()-1,Data!$K$4:$K$203)/NETWORKDAYS(EW19,EY19,Data!$K$4:$K$203),"")))),"")</f>
        <v>0</v>
      </c>
      <c r="FL19">
        <f>IF(EO19=1,IF(AND(EY19&gt;0,EY19&lt;TODAY(),ROUND(EU19,4)&lt;1),2,IF(FK19="",0,IF(ROUND(EU19-FK19,4)&lt;-0.15,1,0))),"")</f>
        <v>0</v>
      </c>
      <c r="FM19">
        <f>IF(OR(FA19="",COUNTIF($FA$4:FA18,FA19)&gt;0),0,MAX(0,IF(FB19="Interne",IF(ISNUMBER(INDEX(Data!$F:$F,19)),INDEX(Data!$F:$F,19),p_HeuresETP),IF(ISNUMBER(INDEX(Data!$I:$I,19-$CD$23)),INDEX(Data!$I:$I,19-$CD$23),p_HeuresETP))-IF(FB19="Interne",IF(ISNUMBER(INDEX(Data!$G:$G,19)),INDEX(Data!$G:$G,19),p_ChargeFixe),IF(ISNUMBER(INDEX(Data!$J:$J,19-$CD$23)),INDEX(Data!$J:$J,19-$CD$23),p_ChargeFixe))))</f>
        <v>0</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9">
        <f>IF(AND(D20=1,ISNUMBER(INDEX(Charge!$N:$N,ROW()))),INDEX(Charge!$N:$N,ROW()),"")</f>
        <v>46461.0</v>
      </c>
      <c r="J20" s="169">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70">
        <f>IF(OR($I20="",$E20=0),0,IF(OR($J20&lt;W$3,$I20&gt;W$2),0,IF($K20=0,IF(AND($I20&gt;=W$3,$I20&lt;=W$2),$E20,0),$E20*NETWORKDAYS(MAX($I20,W$3),MIN($J20,W$2),Data!$K$4:$K$203)/$K20)))</f>
        <v>0</v>
      </c>
      <c r="X20" s="170">
        <f>IF(OR($I20="",$E20=0),0,IF(OR($J20&lt;X$3,$I20&gt;X$2),0,IF($K20=0,IF(AND($I20&gt;=X$3,$I20&lt;=X$2),$E20,0),$E20*NETWORKDAYS(MAX($I20,X$3),MIN($J20,X$2),Data!$K$4:$K$203)/$K20)))</f>
        <v>0</v>
      </c>
      <c r="Y20" s="170">
        <f>IF(OR($I20="",$E20=0),0,IF(OR($J20&lt;Y$3,$I20&gt;Y$2),0,IF($K20=0,IF(AND($I20&gt;=Y$3,$I20&lt;=Y$2),$E20,0),$E20*NETWORKDAYS(MAX($I20,Y$3),MIN($J20,Y$2),Data!$K$4:$K$203)/$K20)))</f>
        <v>0</v>
      </c>
      <c r="Z20" s="170">
        <f>IF(OR($I20="",$E20=0),0,IF(OR($J20&lt;Z$3,$I20&gt;Z$2),0,IF($K20=0,IF(AND($I20&gt;=Z$3,$I20&lt;=Z$2),$E20,0),$E20*NETWORKDAYS(MAX($I20,Z$3),MIN($J20,Z$2),Data!$K$4:$K$203)/$K20)))</f>
        <v>0</v>
      </c>
      <c r="AA20" s="170">
        <f>IF(OR($I20="",$E20=0),0,IF(OR($J20&lt;AA$3,$I20&gt;AA$2),0,IF($K20=0,IF(AND($I20&gt;=AA$3,$I20&lt;=AA$2),$E20,0),$E20*NETWORKDAYS(MAX($I20,AA$3),MIN($J20,AA$2),Data!$K$4:$K$203)/$K20)))</f>
        <v>0</v>
      </c>
      <c r="AB20" s="170">
        <f>IF(OR($I20="",$E20=0),0,IF(OR($J20&lt;AB$3,$I20&gt;AB$2),0,IF($K20=0,IF(AND($I20&gt;=AB$3,$I20&lt;=AB$2),$E20,0),$E20*NETWORKDAYS(MAX($I20,AB$3),MIN($J20,AB$2),Data!$K$4:$K$203)/$K20)))</f>
        <v>0</v>
      </c>
      <c r="AC20" s="170">
        <f>IF(OR($I20="",$E20=0),0,IF(OR($J20&lt;AC$3,$I20&gt;AC$2),0,IF($K20=0,IF(AND($I20&gt;=AC$3,$I20&lt;=AC$2),$E20,0),$E20*NETWORKDAYS(MAX($I20,AC$3),MIN($J20,AC$2),Data!$K$4:$K$203)/$K20)))</f>
        <v>27.0833333333333</v>
      </c>
      <c r="AD20" s="170">
        <f>IF(OR($I20="",$E20=0),0,IF(OR($J20&lt;AD$3,$I20&gt;AD$2),0,IF($K20=0,IF(AND($I20&gt;=AD$3,$I20&lt;=AD$2),$E20,0),$E20*NETWORKDAYS(MAX($I20,AD$3),MIN($J20,AD$2),Data!$K$4:$K$203)/$K20)))</f>
        <v>45.8333333333333</v>
      </c>
      <c r="AE20" s="170">
        <f>IF(OR($I20="",$E20=0),0,IF(OR($J20&lt;AE$3,$I20&gt;AE$2),0,IF($K20=0,IF(AND($I20&gt;=AE$3,$I20&lt;=AE$2),$E20,0),$E20*NETWORKDAYS(MAX($I20,AE$3),MIN($J20,AE$2),Data!$K$4:$K$203)/$K20)))</f>
        <v>43.75</v>
      </c>
      <c r="AF20" s="170">
        <f>IF(OR($I20="",$E20=0),0,IF(OR($J20&lt;AF$3,$I20&gt;AF$2),0,IF($K20=0,IF(AND($I20&gt;=AF$3,$I20&lt;=AF$2),$E20,0),$E20*NETWORKDAYS(MAX($I20,AF$3),MIN($J20,AF$2),Data!$K$4:$K$203)/$K20)))</f>
        <v>45.8333333333333</v>
      </c>
      <c r="AG20" s="170">
        <f>IF(OR($I20="",$E20=0),0,IF(OR($J20&lt;AG$3,$I20&gt;AG$2),0,IF($K20=0,IF(AND($I20&gt;=AG$3,$I20&lt;=AG$2),$E20,0),$E20*NETWORKDAYS(MAX($I20,AG$3),MIN($J20,AG$2),Data!$K$4:$K$203)/$K20)))</f>
        <v>45.8333333333333</v>
      </c>
      <c r="AH20" s="170">
        <f>IF(OR($I20="",$E20=0),0,IF(OR($J20&lt;AH$3,$I20&gt;AH$2),0,IF($K20=0,IF(AND($I20&gt;=AH$3,$I20&lt;=AH$2),$E20,0),$E20*NETWORKDAYS(MAX($I20,AH$3),MIN($J20,AH$2),Data!$K$4:$K$203)/$K20)))</f>
        <v>45.8333333333333</v>
      </c>
      <c r="AI20" s="170">
        <f>SUM(W20:AH20)</f>
        <v>254.166666666667</v>
      </c>
      <c r="AK20" t="inlineStr">
        <is>
          <t>Affaires actives sur le mois de pic</t>
        </is>
      </c>
      <c r="AL20" s="175">
        <f>INDEX(AQ4:AQ15,AL18)</f>
        <v>9</v>
      </c>
      <c r="BW20" t="n">
        <v>17</v>
      </c>
      <c r="BX20">
        <f>IFERROR(MATCH(BW20,$EQ$4:$EQ$503,0),"")</f>
        <v>21</v>
      </c>
      <c r="BY20">
        <f>IF(BX20="","",INDEX($FL$4:$FL$503,BX20))</f>
        <v>0</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5">
        <f>IF(CD16=0,"",INDEX(CG4:CG15,MIN(CQ4:CQ15)))</f>
        <v>46327.0</v>
      </c>
      <c r="CT20" t="inlineStr">
        <is>
          <t>(non affecté)</t>
        </is>
      </c>
      <c r="CW20" s="170">
        <f>SUMIF($BZ$4:$BZ$503,"(non affecté)",W$4:W$503)</f>
        <v>0</v>
      </c>
      <c r="CX20" s="170">
        <f>SUMIF($BZ$4:$BZ$503,"(non affecté)",X$4:X$503)</f>
        <v>0</v>
      </c>
      <c r="CY20" s="170">
        <f>SUMIF($BZ$4:$BZ$503,"(non affecté)",Y$4:Y$503)</f>
        <v>0</v>
      </c>
      <c r="CZ20" s="170">
        <f>SUMIF($BZ$4:$BZ$503,"(non affecté)",Z$4:Z$503)</f>
        <v>0</v>
      </c>
      <c r="DA20" s="170">
        <f>SUMIF($BZ$4:$BZ$503,"(non affecté)",AA$4:AA$503)</f>
        <v>0</v>
      </c>
      <c r="DB20" s="170">
        <f>SUMIF($BZ$4:$BZ$503,"(non affecté)",AB$4:AB$503)</f>
        <v>0</v>
      </c>
      <c r="DC20" s="170">
        <f>SUMIF($BZ$4:$BZ$503,"(non affecté)",AC$4:AC$503)</f>
        <v>25.5555555555556</v>
      </c>
      <c r="DD20" s="170">
        <f>SUMIF($BZ$4:$BZ$503,"(non affecté)",AD$4:AD$503)</f>
        <v>24.4444444444444</v>
      </c>
      <c r="DE20" s="170">
        <f>SUMIF($BZ$4:$BZ$503,"(non affecté)",AE$4:AE$503)</f>
        <v>0</v>
      </c>
      <c r="DF20" s="170">
        <f>SUMIF($BZ$4:$BZ$503,"(non affecté)",AF$4:AF$503)</f>
        <v>0</v>
      </c>
      <c r="DG20" s="170">
        <f>SUMIF($BZ$4:$BZ$503,"(non affecté)",AG$4:AG$503)</f>
        <v>0</v>
      </c>
      <c r="DH20" s="170">
        <f>SUMIF($BZ$4:$BZ$503,"(non affecté)",AH$4:AH$503)</f>
        <v>0</v>
      </c>
      <c r="DV20" s="171">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70">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4">
        <f>IF(EO20=1,IF(FH20&gt;0,FI20/FH20,AVERAGEIF($FF$4:$FF$503,EN20,$C$4:$C$503)),"")</f>
        <v>0</v>
      </c>
      <c r="EV20" s="169">
        <f>IF(ISNUMBER(I20),I20,2958465)</f>
        <v>46461.0</v>
      </c>
      <c r="EW20" s="169">
        <f>IF(EO20=1,SUMPRODUCT(MIN(($EN$4:$EN$503=EN20)*$EV$4:$EV$503+($EN$4:$EN$503&lt;&gt;EN20)*2958465)),"")</f>
        <v>46461.0</v>
      </c>
      <c r="EX20" s="169">
        <f>IF(AND(D20=1,ISNUMBER(INDEX(Charge!$F:$F,ROW()))),INDEX(Charge!$F:$F,ROW()),0)</f>
        <v>46660.0</v>
      </c>
      <c r="EY20" s="169">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c r="FF20" t="str">
        <f>IF(B20=1,LEFT(SUBSTITUTE(SUBSTITUTE(SUBSTITUTE(TRIM(SUBSTITUTE(INDEX(Charge!$B:$B,ROW()),CHAR(160)," "))&amp;" | "&amp;TRIM(SUBSTITUTE(INDEX(Charge!$C:$C,ROW()),CHAR(160)," "))&amp;" | "&amp;TRIM(SUBSTITUTE(INDEX(Charge!$D:$D,ROW()),CHAR(160)," ")),"~","-"),"*","+"),"?","!"),240),"")</f>
        <v>PÉGASE | Lot 1 | Ensemble complet</v>
      </c>
      <c r="FG20">
        <f>IF(B20=1,MAX(0,N(INDEX(Charge!$M:$M,ROW()))),0)</f>
        <v>300</v>
      </c>
      <c r="FH20" s="170">
        <f>IF(EO20=1,ROUND(SUMIF($FF$4:$FF$503,EN20,$FG$4:$FG$503),2),"")</f>
        <v>480</v>
      </c>
      <c r="FI20" s="170">
        <f>IF(EO20=1,ROUND(SUMPRODUCT(($FF$4:$FF$503=EN20)*$FG$4:$FG$503*$C$4:$C$503),2),"")</f>
        <v>0</v>
      </c>
      <c r="FJ20" s="170">
        <f>IF(EO20=1,MAX(0,ROUND(FH20-FI20,2)),"")</f>
        <v>480</v>
      </c>
      <c r="FK20" s="174">
        <f>IF(EO20=1,IF(OR(EW20&gt;=2958465,EY20=0,EY20&lt;=EW20),"",IF(TODAY()&lt;=EW20,0,IF(TODAY()&gt;EY20,1,IFERROR(NETWORKDAYS(EW20,TODAY()-1,Data!$K$4:$K$203)/NETWORKDAYS(EW20,EY20,Data!$K$4:$K$203),"")))),"")</f>
        <v>0</v>
      </c>
      <c r="FL20">
        <f>IF(EO20=1,IF(AND(EY20&gt;0,EY20&lt;TODAY(),ROUND(EU20,4)&lt;1),2,IF(FK20="",0,IF(ROUND(EU20-FK20,4)&lt;-0.15,1,0))),"")</f>
        <v>0</v>
      </c>
      <c r="FM20">
        <f>IF(OR(FA20="",COUNTIF($FA$4:FA19,FA20)&gt;0),0,MAX(0,IF(FB20="Interne",IF(ISNUMBER(INDEX(Data!$F:$F,20)),INDEX(Data!$F:$F,20),p_HeuresETP),IF(ISNUMBER(INDEX(Data!$I:$I,20-$CD$23)),INDEX(Data!$I:$I,20-$CD$23),p_HeuresETP))-IF(FB20="Interne",IF(ISNUMBER(INDEX(Data!$G:$G,20)),INDEX(Data!$G:$G,20),p_ChargeFixe),IF(ISNUMBER(INDEX(Data!$J:$J,20-$CD$23)),INDEX(Data!$J:$J,20-$CD$23),p_ChargeFixe))))</f>
        <v>0</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9">
        <f>IF(AND(D21=1,ISNUMBER(INDEX(Charge!$N:$N,ROW()))),INDEX(Charge!$N:$N,ROW()),"")</f>
        <v>46461.0</v>
      </c>
      <c r="J21" s="169">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70">
        <f>IF(OR($I21="",$E21=0),0,IF(OR($J21&lt;W$3,$I21&gt;W$2),0,IF($K21=0,IF(AND($I21&gt;=W$3,$I21&lt;=W$2),$E21,0),$E21*NETWORKDAYS(MAX($I21,W$3),MIN($J21,W$2),Data!$K$4:$K$203)/$K21)))</f>
        <v>0</v>
      </c>
      <c r="X21" s="170">
        <f>IF(OR($I21="",$E21=0),0,IF(OR($J21&lt;X$3,$I21&gt;X$2),0,IF($K21=0,IF(AND($I21&gt;=X$3,$I21&lt;=X$2),$E21,0),$E21*NETWORKDAYS(MAX($I21,X$3),MIN($J21,X$2),Data!$K$4:$K$203)/$K21)))</f>
        <v>0</v>
      </c>
      <c r="Y21" s="170">
        <f>IF(OR($I21="",$E21=0),0,IF(OR($J21&lt;Y$3,$I21&gt;Y$2),0,IF($K21=0,IF(AND($I21&gt;=Y$3,$I21&lt;=Y$2),$E21,0),$E21*NETWORKDAYS(MAX($I21,Y$3),MIN($J21,Y$2),Data!$K$4:$K$203)/$K21)))</f>
        <v>0</v>
      </c>
      <c r="Z21" s="170">
        <f>IF(OR($I21="",$E21=0),0,IF(OR($J21&lt;Z$3,$I21&gt;Z$2),0,IF($K21=0,IF(AND($I21&gt;=Z$3,$I21&lt;=Z$2),$E21,0),$E21*NETWORKDAYS(MAX($I21,Z$3),MIN($J21,Z$2),Data!$K$4:$K$203)/$K21)))</f>
        <v>0</v>
      </c>
      <c r="AA21" s="170">
        <f>IF(OR($I21="",$E21=0),0,IF(OR($J21&lt;AA$3,$I21&gt;AA$2),0,IF($K21=0,IF(AND($I21&gt;=AA$3,$I21&lt;=AA$2),$E21,0),$E21*NETWORKDAYS(MAX($I21,AA$3),MIN($J21,AA$2),Data!$K$4:$K$203)/$K21)))</f>
        <v>0</v>
      </c>
      <c r="AB21" s="170">
        <f>IF(OR($I21="",$E21=0),0,IF(OR($J21&lt;AB$3,$I21&gt;AB$2),0,IF($K21=0,IF(AND($I21&gt;=AB$3,$I21&lt;=AB$2),$E21,0),$E21*NETWORKDAYS(MAX($I21,AB$3),MIN($J21,AB$2),Data!$K$4:$K$203)/$K21)))</f>
        <v>0</v>
      </c>
      <c r="AC21" s="170">
        <f>IF(OR($I21="",$E21=0),0,IF(OR($J21&lt;AC$3,$I21&gt;AC$2),0,IF($K21=0,IF(AND($I21&gt;=AC$3,$I21&lt;=AC$2),$E21,0),$E21*NETWORKDAYS(MAX($I21,AC$3),MIN($J21,AC$2),Data!$K$4:$K$203)/$K21)))</f>
        <v>16.25</v>
      </c>
      <c r="AD21" s="170">
        <f>IF(OR($I21="",$E21=0),0,IF(OR($J21&lt;AD$3,$I21&gt;AD$2),0,IF($K21=0,IF(AND($I21&gt;=AD$3,$I21&lt;=AD$2),$E21,0),$E21*NETWORKDAYS(MAX($I21,AD$3),MIN($J21,AD$2),Data!$K$4:$K$203)/$K21)))</f>
        <v>27.5</v>
      </c>
      <c r="AE21" s="170">
        <f>IF(OR($I21="",$E21=0),0,IF(OR($J21&lt;AE$3,$I21&gt;AE$2),0,IF($K21=0,IF(AND($I21&gt;=AE$3,$I21&lt;=AE$2),$E21,0),$E21*NETWORKDAYS(MAX($I21,AE$3),MIN($J21,AE$2),Data!$K$4:$K$203)/$K21)))</f>
        <v>26.25</v>
      </c>
      <c r="AF21" s="170">
        <f>IF(OR($I21="",$E21=0),0,IF(OR($J21&lt;AF$3,$I21&gt;AF$2),0,IF($K21=0,IF(AND($I21&gt;=AF$3,$I21&lt;=AF$2),$E21,0),$E21*NETWORKDAYS(MAX($I21,AF$3),MIN($J21,AF$2),Data!$K$4:$K$203)/$K21)))</f>
        <v>27.5</v>
      </c>
      <c r="AG21" s="170">
        <f>IF(OR($I21="",$E21=0),0,IF(OR($J21&lt;AG$3,$I21&gt;AG$2),0,IF($K21=0,IF(AND($I21&gt;=AG$3,$I21&lt;=AG$2),$E21,0),$E21*NETWORKDAYS(MAX($I21,AG$3),MIN($J21,AG$2),Data!$K$4:$K$203)/$K21)))</f>
        <v>27.5</v>
      </c>
      <c r="AH21" s="170">
        <f>IF(OR($I21="",$E21=0),0,IF(OR($J21&lt;AH$3,$I21&gt;AH$2),0,IF($K21=0,IF(AND($I21&gt;=AH$3,$I21&lt;=AH$2),$E21,0),$E21*NETWORKDAYS(MAX($I21,AH$3),MIN($J21,AH$2),Data!$K$4:$K$203)/$K21)))</f>
        <v>27.5</v>
      </c>
      <c r="AI21" s="170">
        <f>SUM(W21:AH21)</f>
        <v>152.5</v>
      </c>
      <c r="AK21" t="inlineStr">
        <is>
          <t>ETP nécessaires au pic (capacité projet = capacité - charge fixe)</t>
        </is>
      </c>
      <c r="AL21" s="170">
        <f>IF(N(p_HeuresETP)-N(p_ChargeFixe)&lt;=0,0,AL17/(p_HeuresETP-p_ChargeFixe))</f>
        <v>5.07840504944044</v>
      </c>
      <c r="BW21" t="n">
        <v>18</v>
      </c>
      <c r="BX21" t="str">
        <f>IFERROR(MATCH(BW21,$EQ$4:$EQ$503,0),"")</f>
        <v/>
      </c>
      <c r="BY21" t="str">
        <f>IF(BX21="","",INDEX($FL$4:$FL$503,BX21))</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70">
        <f>MAX(0,ROUND(AP4-SUM(CW4:CW20),1))</f>
        <v>0</v>
      </c>
      <c r="CX21" s="170">
        <f>MAX(0,ROUND(AP5-SUM(CX4:CX20),1))</f>
        <v>0</v>
      </c>
      <c r="CY21" s="170">
        <f>MAX(0,ROUND(AP6-SUM(CY4:CY20),1))</f>
        <v>0</v>
      </c>
      <c r="CZ21" s="170">
        <f>MAX(0,ROUND(AP7-SUM(CZ4:CZ20),1))</f>
        <v>0</v>
      </c>
      <c r="DA21" s="170">
        <f>MAX(0,ROUND(AP8-SUM(DA4:DA20),1))</f>
        <v>0</v>
      </c>
      <c r="DB21" s="170">
        <f>MAX(0,ROUND(AP9-SUM(DB4:DB20),1))</f>
        <v>0</v>
      </c>
      <c r="DC21" s="170">
        <f>MAX(0,ROUND(AP10-SUM(DC4:DC20),1))</f>
        <v>0</v>
      </c>
      <c r="DD21" s="170">
        <f>MAX(0,ROUND(AP11-SUM(DD4:DD20),1))</f>
        <v>0</v>
      </c>
      <c r="DE21" s="170">
        <f>MAX(0,ROUND(AP12-SUM(DE4:DE20),1))</f>
        <v>0</v>
      </c>
      <c r="DF21" s="170">
        <f>MAX(0,ROUND(AP13-SUM(DF4:DF20),1))</f>
        <v>0</v>
      </c>
      <c r="DG21" s="170">
        <f>MAX(0,ROUND(AP14-SUM(DG4:DG20),1))</f>
        <v>0</v>
      </c>
      <c r="DH21" s="170">
        <f>MAX(0,ROUND(AP15-SUM(DH4:DH20),1))</f>
        <v>0</v>
      </c>
      <c r="DV21" s="171">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70"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4" t="str">
        <f>IF(EO21=1,IF(FH21&gt;0,FI21/FH21,AVERAGEIF($FF$4:$FF$503,EN21,$C$4:$C$503)),"")</f>
        <v/>
      </c>
      <c r="EV21" s="169">
        <f>IF(ISNUMBER(I21),I21,2958465)</f>
        <v>46461.0</v>
      </c>
      <c r="EW21" s="169" t="str">
        <f>IF(EO21=1,SUMPRODUCT(MIN(($EN$4:$EN$503=EN21)*$EV$4:$EV$503+($EN$4:$EN$503&lt;&gt;EN21)*2958465)),"")</f>
        <v/>
      </c>
      <c r="EX21" s="169">
        <f>IF(AND(D21=1,ISNUMBER(INDEX(Charge!$F:$F,ROW()))),INDEX(Charge!$F:$F,ROW()),0)</f>
        <v>46660.0</v>
      </c>
      <c r="EY21" s="169"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c r="FF21" t="str">
        <f>IF(B21=1,LEFT(SUBSTITUTE(SUBSTITUTE(SUBSTITUTE(TRIM(SUBSTITUTE(INDEX(Charge!$B:$B,ROW()),CHAR(160)," "))&amp;" | "&amp;TRIM(SUBSTITUTE(INDEX(Charge!$C:$C,ROW()),CHAR(160)," "))&amp;" | "&amp;TRIM(SUBSTITUTE(INDEX(Charge!$D:$D,ROW()),CHAR(160)," ")),"~","-"),"*","+"),"?","!"),240),"")</f>
        <v>PÉGASE | Lot 1 | Ensemble complet</v>
      </c>
      <c r="FG21">
        <f>IF(B21=1,MAX(0,N(INDEX(Charge!$M:$M,ROW()))),0)</f>
        <v>180</v>
      </c>
      <c r="FH21" s="170" t="str">
        <f>IF(EO21=1,ROUND(SUMIF($FF$4:$FF$503,EN21,$FG$4:$FG$503),2),"")</f>
        <v/>
      </c>
      <c r="FI21" s="170" t="str">
        <f>IF(EO21=1,ROUND(SUMPRODUCT(($FF$4:$FF$503=EN21)*$FG$4:$FG$503*$C$4:$C$503),2),"")</f>
        <v/>
      </c>
      <c r="FJ21" s="170" t="str">
        <f>IF(EO21=1,MAX(0,ROUND(FH21-FI21,2)),"")</f>
        <v/>
      </c>
      <c r="FK21" s="174" t="str">
        <f>IF(EO21=1,IF(OR(EW21&gt;=2958465,EY21=0,EY21&lt;=EW21),"",IF(TODAY()&lt;=EW21,0,IF(TODAY()&gt;EY21,1,IFERROR(NETWORKDAYS(EW21,TODAY()-1,Data!$K$4:$K$203)/NETWORKDAYS(EW21,EY21,Data!$K$4:$K$203),"")))),"")</f>
        <v/>
      </c>
      <c r="FL21" t="str">
        <f>IF(EO21=1,IF(AND(EY21&gt;0,EY21&lt;TODAY(),ROUND(EU21,4)&lt;1),2,IF(FK21="",0,IF(ROUND(EU21-FK21,4)&lt;-0.15,1,0))),"")</f>
        <v/>
      </c>
      <c r="FM21">
        <f>IF(OR(FA21="",COUNTIF($FA$4:FA20,FA21)&gt;0),0,MAX(0,IF(FB21="Interne",IF(ISNUMBER(INDEX(Data!$F:$F,21)),INDEX(Data!$F:$F,21),p_HeuresETP),IF(ISNUMBER(INDEX(Data!$I:$I,21-$CD$23)),INDEX(Data!$I:$I,21-$CD$23),p_HeuresETP))-IF(FB21="Interne",IF(ISNUMBER(INDEX(Data!$G:$G,21)),INDEX(Data!$G:$G,21),p_ChargeFixe),IF(ISNUMBER(INDEX(Data!$J:$J,21-$CD$23)),INDEX(Data!$J:$J,21-$CD$23),p_ChargeFixe))))</f>
        <v>0</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9">
        <f>IF(AND(D22=1,ISNUMBER(INDEX(Charge!$N:$N,ROW()))),INDEX(Charge!$N:$N,ROW()),"")</f>
        <v>46349.0</v>
      </c>
      <c r="J22" s="169">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70">
        <f>IF(OR($I22="",$E22=0),0,IF(OR($J22&lt;W$3,$I22&gt;W$2),0,IF($K22=0,IF(AND($I22&gt;=W$3,$I22&lt;=W$2),$E22,0),$E22*NETWORKDAYS(MAX($I22,W$3),MIN($J22,W$2),Data!$K$4:$K$203)/$K22)))</f>
        <v>0</v>
      </c>
      <c r="X22" s="170">
        <f>IF(OR($I22="",$E22=0),0,IF(OR($J22&lt;X$3,$I22&gt;X$2),0,IF($K22=0,IF(AND($I22&gt;=X$3,$I22&lt;=X$2),$E22,0),$E22*NETWORKDAYS(MAX($I22,X$3),MIN($J22,X$2),Data!$K$4:$K$203)/$K22)))</f>
        <v>0</v>
      </c>
      <c r="Y22" s="170">
        <f>IF(OR($I22="",$E22=0),0,IF(OR($J22&lt;Y$3,$I22&gt;Y$2),0,IF($K22=0,IF(AND($I22&gt;=Y$3,$I22&lt;=Y$2),$E22,0),$E22*NETWORKDAYS(MAX($I22,Y$3),MIN($J22,Y$2),Data!$K$4:$K$203)/$K22)))</f>
        <v>12.75</v>
      </c>
      <c r="Z22" s="170">
        <f>IF(OR($I22="",$E22=0),0,IF(OR($J22&lt;Z$3,$I22&gt;Z$2),0,IF($K22=0,IF(AND($I22&gt;=Z$3,$I22&lt;=Z$2),$E22,0),$E22*NETWORKDAYS(MAX($I22,Z$3),MIN($J22,Z$2),Data!$K$4:$K$203)/$K22)))</f>
        <v>48.875</v>
      </c>
      <c r="AA22" s="170">
        <f>IF(OR($I22="",$E22=0),0,IF(OR($J22&lt;AA$3,$I22&gt;AA$2),0,IF($K22=0,IF(AND($I22&gt;=AA$3,$I22&lt;=AA$2),$E22,0),$E22*NETWORKDAYS(MAX($I22,AA$3),MIN($J22,AA$2),Data!$K$4:$K$203)/$K22)))</f>
        <v>23.375</v>
      </c>
      <c r="AB22" s="170">
        <f>IF(OR($I22="",$E22=0),0,IF(OR($J22&lt;AB$3,$I22&gt;AB$2),0,IF($K22=0,IF(AND($I22&gt;=AB$3,$I22&lt;=AB$2),$E22,0),$E22*NETWORKDAYS(MAX($I22,AB$3),MIN($J22,AB$2),Data!$K$4:$K$203)/$K22)))</f>
        <v>0</v>
      </c>
      <c r="AC22" s="170">
        <f>IF(OR($I22="",$E22=0),0,IF(OR($J22&lt;AC$3,$I22&gt;AC$2),0,IF($K22=0,IF(AND($I22&gt;=AC$3,$I22&lt;=AC$2),$E22,0),$E22*NETWORKDAYS(MAX($I22,AC$3),MIN($J22,AC$2),Data!$K$4:$K$203)/$K22)))</f>
        <v>0</v>
      </c>
      <c r="AD22" s="170">
        <f>IF(OR($I22="",$E22=0),0,IF(OR($J22&lt;AD$3,$I22&gt;AD$2),0,IF($K22=0,IF(AND($I22&gt;=AD$3,$I22&lt;=AD$2),$E22,0),$E22*NETWORKDAYS(MAX($I22,AD$3),MIN($J22,AD$2),Data!$K$4:$K$203)/$K22)))</f>
        <v>0</v>
      </c>
      <c r="AE22" s="170">
        <f>IF(OR($I22="",$E22=0),0,IF(OR($J22&lt;AE$3,$I22&gt;AE$2),0,IF($K22=0,IF(AND($I22&gt;=AE$3,$I22&lt;=AE$2),$E22,0),$E22*NETWORKDAYS(MAX($I22,AE$3),MIN($J22,AE$2),Data!$K$4:$K$203)/$K22)))</f>
        <v>0</v>
      </c>
      <c r="AF22" s="170">
        <f>IF(OR($I22="",$E22=0),0,IF(OR($J22&lt;AF$3,$I22&gt;AF$2),0,IF($K22=0,IF(AND($I22&gt;=AF$3,$I22&lt;=AF$2),$E22,0),$E22*NETWORKDAYS(MAX($I22,AF$3),MIN($J22,AF$2),Data!$K$4:$K$203)/$K22)))</f>
        <v>0</v>
      </c>
      <c r="AG22" s="170">
        <f>IF(OR($I22="",$E22=0),0,IF(OR($J22&lt;AG$3,$I22&gt;AG$2),0,IF($K22=0,IF(AND($I22&gt;=AG$3,$I22&lt;=AG$2),$E22,0),$E22*NETWORKDAYS(MAX($I22,AG$3),MIN($J22,AG$2),Data!$K$4:$K$203)/$K22)))</f>
        <v>0</v>
      </c>
      <c r="AH22" s="170">
        <f>IF(OR($I22="",$E22=0),0,IF(OR($J22&lt;AH$3,$I22&gt;AH$2),0,IF($K22=0,IF(AND($I22&gt;=AH$3,$I22&lt;=AH$2),$E22,0),$E22*NETWORKDAYS(MAX($I22,AH$3),MIN($J22,AH$2),Data!$K$4:$K$203)/$K22)))</f>
        <v>0</v>
      </c>
      <c r="AI22" s="170">
        <f>SUM(W22:AH22)</f>
        <v>85</v>
      </c>
      <c r="AK22" t="inlineStr">
        <is>
          <t>Charge totale en ETP-mois</t>
        </is>
      </c>
      <c r="AL22" s="170">
        <f>IF(N(p_HeuresETP)-N(p_ChargeFixe)&lt;=0,0,AL4/(p_HeuresETP-p_ChargeFixe))</f>
        <v>34.55</v>
      </c>
      <c r="BW22" t="n">
        <v>19</v>
      </c>
      <c r="BX22" t="str">
        <f>IFERROR(MATCH(BW22,$EQ$4:$EQ$503,0),"")</f>
        <v/>
      </c>
      <c r="BY22" t="str">
        <f>IF(BX22="","",INDEX($FL$4:$FL$503,BX22))</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5">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70">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4">
        <f>IF(EO22=1,IF(FH22&gt;0,FI22/FH22,AVERAGEIF($FF$4:$FF$503,EN22,$C$4:$C$503)),"")</f>
        <v>0</v>
      </c>
      <c r="EV22" s="169">
        <f>IF(ISNUMBER(I22),I22,2958465)</f>
        <v>46349.0</v>
      </c>
      <c r="EW22" s="169">
        <f>IF(EO22=1,SUMPRODUCT(MIN(($EN$4:$EN$503=EN22)*$EV$4:$EV$503+($EN$4:$EN$503&lt;&gt;EN22)*2958465)),"")</f>
        <v>46349.0</v>
      </c>
      <c r="EX22" s="169">
        <f>IF(AND(D22=1,ISNUMBER(INDEX(Charge!$F:$F,ROW()))),INDEX(Charge!$F:$F,ROW()),0)</f>
        <v>46402.0</v>
      </c>
      <c r="EY22" s="169">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c r="FF22" t="str">
        <f>IF(B22=1,LEFT(SUBSTITUTE(SUBSTITUTE(SUBSTITUTE(TRIM(SUBSTITUTE(INDEX(Charge!$B:$B,ROW()),CHAR(160)," "))&amp;" | "&amp;TRIM(SUBSTITUTE(INDEX(Charge!$C:$C,ROW()),CHAR(160)," "))&amp;" | "&amp;TRIM(SUBSTITUTE(INDEX(Charge!$D:$D,ROW()),CHAR(160)," ")),"~","-"),"*","+"),"?","!"),240),"")</f>
        <v>VEGA | Mise en conformité | Garde-corps</v>
      </c>
      <c r="FG22">
        <f>IF(B22=1,MAX(0,N(INDEX(Charge!$M:$M,ROW()))),0)</f>
        <v>85</v>
      </c>
      <c r="FH22" s="170">
        <f>IF(EO22=1,ROUND(SUMIF($FF$4:$FF$503,EN22,$FG$4:$FG$503),2),"")</f>
        <v>85</v>
      </c>
      <c r="FI22" s="170">
        <f>IF(EO22=1,ROUND(SUMPRODUCT(($FF$4:$FF$503=EN22)*$FG$4:$FG$503*$C$4:$C$503),2),"")</f>
        <v>0</v>
      </c>
      <c r="FJ22" s="170">
        <f>IF(EO22=1,MAX(0,ROUND(FH22-FI22,2)),"")</f>
        <v>85</v>
      </c>
      <c r="FK22" s="174">
        <f>IF(EO22=1,IF(OR(EW22&gt;=2958465,EY22=0,EY22&lt;=EW22),"",IF(TODAY()&lt;=EW22,0,IF(TODAY()&gt;EY22,1,IFERROR(NETWORKDAYS(EW22,TODAY()-1,Data!$K$4:$K$203)/NETWORKDAYS(EW22,EY22,Data!$K$4:$K$203),"")))),"")</f>
        <v>0</v>
      </c>
      <c r="FL22">
        <f>IF(EO22=1,IF(AND(EY22&gt;0,EY22&lt;TODAY(),ROUND(EU22,4)&lt;1),2,IF(FK22="",0,IF(ROUND(EU22-FK22,4)&lt;-0.15,1,0))),"")</f>
        <v>0</v>
      </c>
      <c r="FM22">
        <f>IF(OR(FA22="",COUNTIF($FA$4:FA21,FA22)&gt;0),0,MAX(0,IF(FB22="Interne",IF(ISNUMBER(INDEX(Data!$F:$F,22)),INDEX(Data!$F:$F,22),p_HeuresETP),IF(ISNUMBER(INDEX(Data!$I:$I,22-$CD$23)),INDEX(Data!$I:$I,22-$CD$23),p_HeuresETP))-IF(FB22="Interne",IF(ISNUMBER(INDEX(Data!$G:$G,22)),INDEX(Data!$G:$G,22),p_ChargeFixe),IF(ISNUMBER(INDEX(Data!$J:$J,22-$CD$23)),INDEX(Data!$J:$J,22-$CD$23),p_ChargeFixe))))</f>
        <v>0</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9">
        <f>IF(AND(D23=1,ISNUMBER(INDEX(Charge!$N:$N,ROW()))),INDEX(Charge!$N:$N,ROW()),"")</f>
        <v>46426.0</v>
      </c>
      <c r="J23" s="169">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70">
        <f>IF(OR($I23="",$E23=0),0,IF(OR($J23&lt;W$3,$I23&gt;W$2),0,IF($K23=0,IF(AND($I23&gt;=W$3,$I23&lt;=W$2),$E23,0),$E23*NETWORKDAYS(MAX($I23,W$3),MIN($J23,W$2),Data!$K$4:$K$203)/$K23)))</f>
        <v>0</v>
      </c>
      <c r="X23" s="170">
        <f>IF(OR($I23="",$E23=0),0,IF(OR($J23&lt;X$3,$I23&gt;X$2),0,IF($K23=0,IF(AND($I23&gt;=X$3,$I23&lt;=X$2),$E23,0),$E23*NETWORKDAYS(MAX($I23,X$3),MIN($J23,X$2),Data!$K$4:$K$203)/$K23)))</f>
        <v>0</v>
      </c>
      <c r="Y23" s="170">
        <f>IF(OR($I23="",$E23=0),0,IF(OR($J23&lt;Y$3,$I23&gt;Y$2),0,IF($K23=0,IF(AND($I23&gt;=Y$3,$I23&lt;=Y$2),$E23,0),$E23*NETWORKDAYS(MAX($I23,Y$3),MIN($J23,Y$2),Data!$K$4:$K$203)/$K23)))</f>
        <v>0</v>
      </c>
      <c r="Z23" s="170">
        <f>IF(OR($I23="",$E23=0),0,IF(OR($J23&lt;Z$3,$I23&gt;Z$2),0,IF($K23=0,IF(AND($I23&gt;=Z$3,$I23&lt;=Z$2),$E23,0),$E23*NETWORKDAYS(MAX($I23,Z$3),MIN($J23,Z$2),Data!$K$4:$K$203)/$K23)))</f>
        <v>0</v>
      </c>
      <c r="AA23" s="170">
        <f>IF(OR($I23="",$E23=0),0,IF(OR($J23&lt;AA$3,$I23&gt;AA$2),0,IF($K23=0,IF(AND($I23&gt;=AA$3,$I23&lt;=AA$2),$E23,0),$E23*NETWORKDAYS(MAX($I23,AA$3),MIN($J23,AA$2),Data!$K$4:$K$203)/$K23)))</f>
        <v>0</v>
      </c>
      <c r="AB23" s="170">
        <f>IF(OR($I23="",$E23=0),0,IF(OR($J23&lt;AB$3,$I23&gt;AB$2),0,IF($K23=0,IF(AND($I23&gt;=AB$3,$I23&lt;=AB$2),$E23,0),$E23*NETWORKDAYS(MAX($I23,AB$3),MIN($J23,AB$2),Data!$K$4:$K$203)/$K23)))</f>
        <v>23.6842105263158</v>
      </c>
      <c r="AC23" s="170">
        <f>IF(OR($I23="",$E23=0),0,IF(OR($J23&lt;AC$3,$I23&gt;AC$2),0,IF($K23=0,IF(AND($I23&gt;=AC$3,$I23&lt;=AC$2),$E23,0),$E23*NETWORKDAYS(MAX($I23,AC$3),MIN($J23,AC$2),Data!$K$4:$K$203)/$K23)))</f>
        <v>36.3157894736842</v>
      </c>
      <c r="AD23" s="170">
        <f>IF(OR($I23="",$E23=0),0,IF(OR($J23&lt;AD$3,$I23&gt;AD$2),0,IF($K23=0,IF(AND($I23&gt;=AD$3,$I23&lt;=AD$2),$E23,0),$E23*NETWORKDAYS(MAX($I23,AD$3),MIN($J23,AD$2),Data!$K$4:$K$203)/$K23)))</f>
        <v>0</v>
      </c>
      <c r="AE23" s="170">
        <f>IF(OR($I23="",$E23=0),0,IF(OR($J23&lt;AE$3,$I23&gt;AE$2),0,IF($K23=0,IF(AND($I23&gt;=AE$3,$I23&lt;=AE$2),$E23,0),$E23*NETWORKDAYS(MAX($I23,AE$3),MIN($J23,AE$2),Data!$K$4:$K$203)/$K23)))</f>
        <v>0</v>
      </c>
      <c r="AF23" s="170">
        <f>IF(OR($I23="",$E23=0),0,IF(OR($J23&lt;AF$3,$I23&gt;AF$2),0,IF($K23=0,IF(AND($I23&gt;=AF$3,$I23&lt;=AF$2),$E23,0),$E23*NETWORKDAYS(MAX($I23,AF$3),MIN($J23,AF$2),Data!$K$4:$K$203)/$K23)))</f>
        <v>0</v>
      </c>
      <c r="AG23" s="170">
        <f>IF(OR($I23="",$E23=0),0,IF(OR($J23&lt;AG$3,$I23&gt;AG$2),0,IF($K23=0,IF(AND($I23&gt;=AG$3,$I23&lt;=AG$2),$E23,0),$E23*NETWORKDAYS(MAX($I23,AG$3),MIN($J23,AG$2),Data!$K$4:$K$203)/$K23)))</f>
        <v>0</v>
      </c>
      <c r="AH23" s="170">
        <f>IF(OR($I23="",$E23=0),0,IF(OR($J23&lt;AH$3,$I23&gt;AH$2),0,IF($K23=0,IF(AND($I23&gt;=AH$3,$I23&lt;=AH$2),$E23,0),$E23*NETWORKDAYS(MAX($I23,AH$3),MIN($J23,AH$2),Data!$K$4:$K$203)/$K23)))</f>
        <v>0</v>
      </c>
      <c r="AI23" s="170">
        <f>SUM(W23:AH23)</f>
        <v>60</v>
      </c>
      <c r="AK23" t="inlineStr">
        <is>
          <t>Position de l'affaire au plus gros reste à faire</t>
        </is>
      </c>
      <c r="AL23" s="175">
        <f>IFERROR(MATCH(MAX(FJ4:FJ503),FJ4:FJ503,0),"")</f>
        <v>17</v>
      </c>
      <c r="BW23" t="n">
        <v>20</v>
      </c>
      <c r="BX23" t="str">
        <f>IFERROR(MATCH(BW23,$EQ$4:$EQ$503,0),"")</f>
        <v/>
      </c>
      <c r="BY23" t="str">
        <f>IF(BX23="","",INDEX($FL$4:$FL$503,BX23))</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5">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70">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4">
        <f>IF(EO23=1,IF(FH23&gt;0,FI23/FH23,AVERAGEIF($FF$4:$FF$503,EN23,$C$4:$C$503)),"")</f>
        <v>0</v>
      </c>
      <c r="EV23" s="169">
        <f>IF(ISNUMBER(I23),I23,2958465)</f>
        <v>46426.0</v>
      </c>
      <c r="EW23" s="169">
        <f>IF(EO23=1,SUMPRODUCT(MIN(($EN$4:$EN$503=EN23)*$EV$4:$EV$503+($EN$4:$EN$503&lt;&gt;EN23)*2958465)),"")</f>
        <v>46426.0</v>
      </c>
      <c r="EX23" s="169">
        <f>IF(AND(D23=1,ISNUMBER(INDEX(Charge!$F:$F,ROW()))),INDEX(Charge!$F:$F,ROW()),0)</f>
        <v>46477.0</v>
      </c>
      <c r="EY23" s="169">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c r="FF23" t="str">
        <f>IF(B23=1,LEFT(SUBSTITUTE(SUBSTITUTE(SUBSTITUTE(TRIM(SUBSTITUTE(INDEX(Charge!$B:$B,ROW()),CHAR(160)," "))&amp;" | "&amp;TRIM(SUBSTITUTE(INDEX(Charge!$C:$C,ROW()),CHAR(160)," "))&amp;" | "&amp;TRIM(SUBSTITUTE(INDEX(Charge!$D:$D,ROW()),CHAR(160)," ")),"~","-"),"*","+"),"?","!"),240),"")</f>
        <v>VEGA | Mise en conformité | Passerelle</v>
      </c>
      <c r="FG23">
        <f>IF(B23=1,MAX(0,N(INDEX(Charge!$M:$M,ROW()))),0)</f>
        <v>60</v>
      </c>
      <c r="FH23" s="170">
        <f>IF(EO23=1,ROUND(SUMIF($FF$4:$FF$503,EN23,$FG$4:$FG$503),2),"")</f>
        <v>60</v>
      </c>
      <c r="FI23" s="170">
        <f>IF(EO23=1,ROUND(SUMPRODUCT(($FF$4:$FF$503=EN23)*$FG$4:$FG$503*$C$4:$C$503),2),"")</f>
        <v>0</v>
      </c>
      <c r="FJ23" s="170">
        <f>IF(EO23=1,MAX(0,ROUND(FH23-FI23,2)),"")</f>
        <v>60</v>
      </c>
      <c r="FK23" s="174">
        <f>IF(EO23=1,IF(OR(EW23&gt;=2958465,EY23=0,EY23&lt;=EW23),"",IF(TODAY()&lt;=EW23,0,IF(TODAY()&gt;EY23,1,IFERROR(NETWORKDAYS(EW23,TODAY()-1,Data!$K$4:$K$203)/NETWORKDAYS(EW23,EY23,Data!$K$4:$K$203),"")))),"")</f>
        <v>0</v>
      </c>
      <c r="FL23">
        <f>IF(EO23=1,IF(AND(EY23&gt;0,EY23&lt;TODAY(),ROUND(EU23,4)&lt;1),2,IF(FK23="",0,IF(ROUND(EU23-FK23,4)&lt;-0.15,1,0))),"")</f>
        <v>0</v>
      </c>
      <c r="FM23">
        <f>IF(OR(FA23="",COUNTIF($FA$4:FA22,FA23)&gt;0),0,MAX(0,IF(FB23="Interne",IF(ISNUMBER(INDEX(Data!$F:$F,23)),INDEX(Data!$F:$F,23),p_HeuresETP),IF(ISNUMBER(INDEX(Data!$I:$I,23-$CD$23)),INDEX(Data!$I:$I,23-$CD$23),p_HeuresETP))-IF(FB23="Interne",IF(ISNUMBER(INDEX(Data!$G:$G,23)),INDEX(Data!$G:$G,23),p_ChargeFixe),IF(ISNUMBER(INDEX(Data!$J:$J,23-$CD$23)),INDEX(Data!$J:$J,23-$CD$23),p_ChargeFixe))))</f>
        <v>0</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9">
        <f>IF(AND(D24=1,ISNUMBER(INDEX(Charge!$N:$N,ROW()))),INDEX(Charge!$N:$N,ROW()),"")</f>
        <v>46447.0</v>
      </c>
      <c r="J24" s="169">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70">
        <f>IF(OR($I24="",$E24=0),0,IF(OR($J24&lt;W$3,$I24&gt;W$2),0,IF($K24=0,IF(AND($I24&gt;=W$3,$I24&lt;=W$2),$E24,0),$E24*NETWORKDAYS(MAX($I24,W$3),MIN($J24,W$2),Data!$K$4:$K$203)/$K24)))</f>
        <v>0</v>
      </c>
      <c r="X24" s="170">
        <f>IF(OR($I24="",$E24=0),0,IF(OR($J24&lt;X$3,$I24&gt;X$2),0,IF($K24=0,IF(AND($I24&gt;=X$3,$I24&lt;=X$2),$E24,0),$E24*NETWORKDAYS(MAX($I24,X$3),MIN($J24,X$2),Data!$K$4:$K$203)/$K24)))</f>
        <v>0</v>
      </c>
      <c r="Y24" s="170">
        <f>IF(OR($I24="",$E24=0),0,IF(OR($J24&lt;Y$3,$I24&gt;Y$2),0,IF($K24=0,IF(AND($I24&gt;=Y$3,$I24&lt;=Y$2),$E24,0),$E24*NETWORKDAYS(MAX($I24,Y$3),MIN($J24,Y$2),Data!$K$4:$K$203)/$K24)))</f>
        <v>0</v>
      </c>
      <c r="Z24" s="170">
        <f>IF(OR($I24="",$E24=0),0,IF(OR($J24&lt;Z$3,$I24&gt;Z$2),0,IF($K24=0,IF(AND($I24&gt;=Z$3,$I24&lt;=Z$2),$E24,0),$E24*NETWORKDAYS(MAX($I24,Z$3),MIN($J24,Z$2),Data!$K$4:$K$203)/$K24)))</f>
        <v>0</v>
      </c>
      <c r="AA24" s="170">
        <f>IF(OR($I24="",$E24=0),0,IF(OR($J24&lt;AA$3,$I24&gt;AA$2),0,IF($K24=0,IF(AND($I24&gt;=AA$3,$I24&lt;=AA$2),$E24,0),$E24*NETWORKDAYS(MAX($I24,AA$3),MIN($J24,AA$2),Data!$K$4:$K$203)/$K24)))</f>
        <v>0</v>
      </c>
      <c r="AB24" s="170">
        <f>IF(OR($I24="",$E24=0),0,IF(OR($J24&lt;AB$3,$I24&gt;AB$2),0,IF($K24=0,IF(AND($I24&gt;=AB$3,$I24&lt;=AB$2),$E24,0),$E24*NETWORKDAYS(MAX($I24,AB$3),MIN($J24,AB$2),Data!$K$4:$K$203)/$K24)))</f>
        <v>0</v>
      </c>
      <c r="AC24" s="170">
        <f>IF(OR($I24="",$E24=0),0,IF(OR($J24&lt;AC$3,$I24&gt;AC$2),0,IF($K24=0,IF(AND($I24&gt;=AC$3,$I24&lt;=AC$2),$E24,0),$E24*NETWORKDAYS(MAX($I24,AC$3),MIN($J24,AC$2),Data!$K$4:$K$203)/$K24)))</f>
        <v>25.5555555555556</v>
      </c>
      <c r="AD24" s="170">
        <f>IF(OR($I24="",$E24=0),0,IF(OR($J24&lt;AD$3,$I24&gt;AD$2),0,IF($K24=0,IF(AND($I24&gt;=AD$3,$I24&lt;=AD$2),$E24,0),$E24*NETWORKDAYS(MAX($I24,AD$3),MIN($J24,AD$2),Data!$K$4:$K$203)/$K24)))</f>
        <v>24.4444444444444</v>
      </c>
      <c r="AE24" s="170">
        <f>IF(OR($I24="",$E24=0),0,IF(OR($J24&lt;AE$3,$I24&gt;AE$2),0,IF($K24=0,IF(AND($I24&gt;=AE$3,$I24&lt;=AE$2),$E24,0),$E24*NETWORKDAYS(MAX($I24,AE$3),MIN($J24,AE$2),Data!$K$4:$K$203)/$K24)))</f>
        <v>0</v>
      </c>
      <c r="AF24" s="170">
        <f>IF(OR($I24="",$E24=0),0,IF(OR($J24&lt;AF$3,$I24&gt;AF$2),0,IF($K24=0,IF(AND($I24&gt;=AF$3,$I24&lt;=AF$2),$E24,0),$E24*NETWORKDAYS(MAX($I24,AF$3),MIN($J24,AF$2),Data!$K$4:$K$203)/$K24)))</f>
        <v>0</v>
      </c>
      <c r="AG24" s="170">
        <f>IF(OR($I24="",$E24=0),0,IF(OR($J24&lt;AG$3,$I24&gt;AG$2),0,IF($K24=0,IF(AND($I24&gt;=AG$3,$I24&lt;=AG$2),$E24,0),$E24*NETWORKDAYS(MAX($I24,AG$3),MIN($J24,AG$2),Data!$K$4:$K$203)/$K24)))</f>
        <v>0</v>
      </c>
      <c r="AH24" s="170">
        <f>IF(OR($I24="",$E24=0),0,IF(OR($J24&lt;AH$3,$I24&gt;AH$2),0,IF($K24=0,IF(AND($I24&gt;=AH$3,$I24&lt;=AH$2),$E24,0),$E24*NETWORKDAYS(MAX($I24,AH$3),MIN($J24,AH$2),Data!$K$4:$K$203)/$K24)))</f>
        <v>0</v>
      </c>
      <c r="AI24" s="170">
        <f>SUM(W24:AH24)</f>
        <v>50</v>
      </c>
      <c r="AK24" t="inlineStr">
        <is>
          <t>Lignes terminées (avancement 100 %)</t>
        </is>
      </c>
      <c r="AL24" s="175">
        <f>COUNTIFS(B4:B503,1,C4:C503,"&gt;=1")</f>
        <v>2</v>
      </c>
      <c r="BW24" t="n">
        <v>21</v>
      </c>
      <c r="BX24" t="str">
        <f>IFERROR(MATCH(BW24,$EQ$4:$EQ$503,0),"")</f>
        <v/>
      </c>
      <c r="BY24" t="str">
        <f>IF(BX24="","",INDEX($FL$4:$FL$503,BX24))</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5">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70">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4">
        <f>IF(EO24=1,IF(FH24&gt;0,FI24/FH24,AVERAGEIF($FF$4:$FF$503,EN24,$C$4:$C$503)),"")</f>
        <v>0</v>
      </c>
      <c r="EV24" s="169">
        <f>IF(ISNUMBER(I24),I24,2958465)</f>
        <v>46447.0</v>
      </c>
      <c r="EW24" s="169">
        <f>IF(EO24=1,SUMPRODUCT(MIN(($EN$4:$EN$503=EN24)*$EV$4:$EV$503+($EN$4:$EN$503&lt;&gt;EN24)*2958465)),"")</f>
        <v>46447.0</v>
      </c>
      <c r="EX24" s="169">
        <f>IF(AND(D24=1,ISNUMBER(INDEX(Charge!$F:$F,ROW()))),INDEX(Charge!$F:$F,ROW()),0)</f>
        <v>46507.0</v>
      </c>
      <c r="EY24" s="169">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c r="FF24" t="str">
        <f>IF(B24=1,LEFT(SUBSTITUTE(SUBSTITUTE(SUBSTITUTE(TRIM(SUBSTITUTE(INDEX(Charge!$B:$B,ROW()),CHAR(160)," "))&amp;" | "&amp;TRIM(SUBSTITUTE(INDEX(Charge!$C:$C,ROW()),CHAR(160)," "))&amp;" | "&amp;TRIM(SUBSTITUTE(INDEX(Charge!$D:$D,ROW()),CHAR(160)," ")),"~","-"),"*","+"),"?","!"),240),"")</f>
        <v>VEGA | Mise en conformité | Escalier d'accès</v>
      </c>
      <c r="FG24">
        <f>IF(B24=1,MAX(0,N(INDEX(Charge!$M:$M,ROW()))),0)</f>
        <v>50</v>
      </c>
      <c r="FH24" s="170">
        <f>IF(EO24=1,ROUND(SUMIF($FF$4:$FF$503,EN24,$FG$4:$FG$503),2),"")</f>
        <v>50</v>
      </c>
      <c r="FI24" s="170">
        <f>IF(EO24=1,ROUND(SUMPRODUCT(($FF$4:$FF$503=EN24)*$FG$4:$FG$503*$C$4:$C$503),2),"")</f>
        <v>0</v>
      </c>
      <c r="FJ24" s="170">
        <f>IF(EO24=1,MAX(0,ROUND(FH24-FI24,2)),"")</f>
        <v>50</v>
      </c>
      <c r="FK24" s="174">
        <f>IF(EO24=1,IF(OR(EW24&gt;=2958465,EY24=0,EY24&lt;=EW24),"",IF(TODAY()&lt;=EW24,0,IF(TODAY()&gt;EY24,1,IFERROR(NETWORKDAYS(EW24,TODAY()-1,Data!$K$4:$K$203)/NETWORKDAYS(EW24,EY24,Data!$K$4:$K$203),"")))),"")</f>
        <v>0</v>
      </c>
      <c r="FL24">
        <f>IF(EO24=1,IF(AND(EY24&gt;0,EY24&lt;TODAY(),ROUND(EU24,4)&lt;1),2,IF(FK24="",0,IF(ROUND(EU24-FK24,4)&lt;-0.15,1,0))),"")</f>
        <v>0</v>
      </c>
      <c r="FM24">
        <f>IF(OR(FA24="",COUNTIF($FA$4:FA23,FA24)&gt;0),0,MAX(0,IF(FB24="Interne",IF(ISNUMBER(INDEX(Data!$F:$F,24)),INDEX(Data!$F:$F,24),p_HeuresETP),IF(ISNUMBER(INDEX(Data!$I:$I,24-$CD$23)),INDEX(Data!$I:$I,24-$CD$23),p_HeuresETP))-IF(FB24="Interne",IF(ISNUMBER(INDEX(Data!$G:$G,24)),INDEX(Data!$G:$G,24),p_ChargeFixe),IF(ISNUMBER(INDEX(Data!$J:$J,24-$CD$23)),INDEX(Data!$J:$J,24-$CD$23),p_ChargeFixe))))</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9" t="str">
        <f>IF(AND(D25=1,ISNUMBER(INDEX(Charge!$N:$N,ROW()))),INDEX(Charge!$N:$N,ROW()),"")</f>
        <v/>
      </c>
      <c r="J25" s="169"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70">
        <f>IF(OR($I25="",$E25=0),0,IF(OR($J25&lt;W$3,$I25&gt;W$2),0,IF($K25=0,IF(AND($I25&gt;=W$3,$I25&lt;=W$2),$E25,0),$E25*NETWORKDAYS(MAX($I25,W$3),MIN($J25,W$2),Data!$K$4:$K$203)/$K25)))</f>
        <v>0</v>
      </c>
      <c r="X25" s="170">
        <f>IF(OR($I25="",$E25=0),0,IF(OR($J25&lt;X$3,$I25&gt;X$2),0,IF($K25=0,IF(AND($I25&gt;=X$3,$I25&lt;=X$2),$E25,0),$E25*NETWORKDAYS(MAX($I25,X$3),MIN($J25,X$2),Data!$K$4:$K$203)/$K25)))</f>
        <v>0</v>
      </c>
      <c r="Y25" s="170">
        <f>IF(OR($I25="",$E25=0),0,IF(OR($J25&lt;Y$3,$I25&gt;Y$2),0,IF($K25=0,IF(AND($I25&gt;=Y$3,$I25&lt;=Y$2),$E25,0),$E25*NETWORKDAYS(MAX($I25,Y$3),MIN($J25,Y$2),Data!$K$4:$K$203)/$K25)))</f>
        <v>0</v>
      </c>
      <c r="Z25" s="170">
        <f>IF(OR($I25="",$E25=0),0,IF(OR($J25&lt;Z$3,$I25&gt;Z$2),0,IF($K25=0,IF(AND($I25&gt;=Z$3,$I25&lt;=Z$2),$E25,0),$E25*NETWORKDAYS(MAX($I25,Z$3),MIN($J25,Z$2),Data!$K$4:$K$203)/$K25)))</f>
        <v>0</v>
      </c>
      <c r="AA25" s="170">
        <f>IF(OR($I25="",$E25=0),0,IF(OR($J25&lt;AA$3,$I25&gt;AA$2),0,IF($K25=0,IF(AND($I25&gt;=AA$3,$I25&lt;=AA$2),$E25,0),$E25*NETWORKDAYS(MAX($I25,AA$3),MIN($J25,AA$2),Data!$K$4:$K$203)/$K25)))</f>
        <v>0</v>
      </c>
      <c r="AB25" s="170">
        <f>IF(OR($I25="",$E25=0),0,IF(OR($J25&lt;AB$3,$I25&gt;AB$2),0,IF($K25=0,IF(AND($I25&gt;=AB$3,$I25&lt;=AB$2),$E25,0),$E25*NETWORKDAYS(MAX($I25,AB$3),MIN($J25,AB$2),Data!$K$4:$K$203)/$K25)))</f>
        <v>0</v>
      </c>
      <c r="AC25" s="170">
        <f>IF(OR($I25="",$E25=0),0,IF(OR($J25&lt;AC$3,$I25&gt;AC$2),0,IF($K25=0,IF(AND($I25&gt;=AC$3,$I25&lt;=AC$2),$E25,0),$E25*NETWORKDAYS(MAX($I25,AC$3),MIN($J25,AC$2),Data!$K$4:$K$203)/$K25)))</f>
        <v>0</v>
      </c>
      <c r="AD25" s="170">
        <f>IF(OR($I25="",$E25=0),0,IF(OR($J25&lt;AD$3,$I25&gt;AD$2),0,IF($K25=0,IF(AND($I25&gt;=AD$3,$I25&lt;=AD$2),$E25,0),$E25*NETWORKDAYS(MAX($I25,AD$3),MIN($J25,AD$2),Data!$K$4:$K$203)/$K25)))</f>
        <v>0</v>
      </c>
      <c r="AE25" s="170">
        <f>IF(OR($I25="",$E25=0),0,IF(OR($J25&lt;AE$3,$I25&gt;AE$2),0,IF($K25=0,IF(AND($I25&gt;=AE$3,$I25&lt;=AE$2),$E25,0),$E25*NETWORKDAYS(MAX($I25,AE$3),MIN($J25,AE$2),Data!$K$4:$K$203)/$K25)))</f>
        <v>0</v>
      </c>
      <c r="AF25" s="170">
        <f>IF(OR($I25="",$E25=0),0,IF(OR($J25&lt;AF$3,$I25&gt;AF$2),0,IF($K25=0,IF(AND($I25&gt;=AF$3,$I25&lt;=AF$2),$E25,0),$E25*NETWORKDAYS(MAX($I25,AF$3),MIN($J25,AF$2),Data!$K$4:$K$203)/$K25)))</f>
        <v>0</v>
      </c>
      <c r="AG25" s="170">
        <f>IF(OR($I25="",$E25=0),0,IF(OR($J25&lt;AG$3,$I25&gt;AG$2),0,IF($K25=0,IF(AND($I25&gt;=AG$3,$I25&lt;=AG$2),$E25,0),$E25*NETWORKDAYS(MAX($I25,AG$3),MIN($J25,AG$2),Data!$K$4:$K$203)/$K25)))</f>
        <v>0</v>
      </c>
      <c r="AH25" s="170">
        <f>IF(OR($I25="",$E25=0),0,IF(OR($J25&lt;AH$3,$I25&gt;AH$2),0,IF($K25=0,IF(AND($I25&gt;=AH$3,$I25&lt;=AH$2),$E25,0),$E25*NETWORKDAYS(MAX($I25,AH$3),MIN($J25,AH$2),Data!$K$4:$K$203)/$K25)))</f>
        <v>0</v>
      </c>
      <c r="AI25" s="170">
        <f>SUM(W25:AH25)</f>
        <v>0</v>
      </c>
      <c r="AK25" t="inlineStr">
        <is>
          <t>Dernier mois affiché</t>
        </is>
      </c>
      <c r="AL25" s="165">
        <f>EDATE(AL14,11)</f>
        <v>46600.0</v>
      </c>
      <c r="BW25" t="n">
        <v>22</v>
      </c>
      <c r="BX25" t="str">
        <f>IFERROR(MATCH(BW25,$EQ$4:$EQ$503,0),"")</f>
        <v/>
      </c>
      <c r="BY25" t="str">
        <f>IF(BX25="","",INDEX($FL$4:$FL$503,BX25))</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70"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4" t="str">
        <f>IF(EO25=1,IF(FH25&gt;0,FI25/FH25,AVERAGEIF($FF$4:$FF$503,EN25,$C$4:$C$503)),"")</f>
        <v/>
      </c>
      <c r="EV25" s="169">
        <f>IF(ISNUMBER(I25),I25,2958465)</f>
        <v>2958465.0</v>
      </c>
      <c r="EW25" s="169" t="str">
        <f>IF(EO25=1,SUMPRODUCT(MIN(($EN$4:$EN$503=EN25)*$EV$4:$EV$503+($EN$4:$EN$503&lt;&gt;EN25)*2958465)),"")</f>
        <v/>
      </c>
      <c r="EX25" s="169">
        <f>IF(AND(D25=1,ISNUMBER(INDEX(Charge!$F:$F,ROW()))),INDEX(Charge!$F:$F,ROW()),0)</f>
        <v>0.0</v>
      </c>
      <c r="EY25" s="169"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c r="FF25" t="str">
        <f>IF(B25=1,LEFT(SUBSTITUTE(SUBSTITUTE(SUBSTITUTE(TRIM(SUBSTITUTE(INDEX(Charge!$B:$B,ROW()),CHAR(160)," "))&amp;" | "&amp;TRIM(SUBSTITUTE(INDEX(Charge!$C:$C,ROW()),CHAR(160)," "))&amp;" | "&amp;TRIM(SUBSTITUTE(INDEX(Charge!$D:$D,ROW()),CHAR(160)," ")),"~","-"),"*","+"),"?","!"),240),"")</f>
        <v>TITAN | Lot 1 | Poutre de levage</v>
      </c>
      <c r="FG25">
        <f>IF(B25=1,MAX(0,N(INDEX(Charge!$M:$M,ROW()))),0)</f>
        <v>95</v>
      </c>
      <c r="FH25" s="170" t="str">
        <f>IF(EO25=1,ROUND(SUMIF($FF$4:$FF$503,EN25,$FG$4:$FG$503),2),"")</f>
        <v/>
      </c>
      <c r="FI25" s="170" t="str">
        <f>IF(EO25=1,ROUND(SUMPRODUCT(($FF$4:$FF$503=EN25)*$FG$4:$FG$503*$C$4:$C$503),2),"")</f>
        <v/>
      </c>
      <c r="FJ25" s="170" t="str">
        <f>IF(EO25=1,MAX(0,ROUND(FH25-FI25,2)),"")</f>
        <v/>
      </c>
      <c r="FK25" s="174" t="str">
        <f>IF(EO25=1,IF(OR(EW25&gt;=2958465,EY25=0,EY25&lt;=EW25),"",IF(TODAY()&lt;=EW25,0,IF(TODAY()&gt;EY25,1,IFERROR(NETWORKDAYS(EW25,TODAY()-1,Data!$K$4:$K$203)/NETWORKDAYS(EW25,EY25,Data!$K$4:$K$203),"")))),"")</f>
        <v/>
      </c>
      <c r="FL25" t="str">
        <f>IF(EO25=1,IF(AND(EY25&gt;0,EY25&lt;TODAY(),ROUND(EU25,4)&lt;1),2,IF(FK25="",0,IF(ROUND(EU25-FK25,4)&lt;-0.15,1,0))),"")</f>
        <v/>
      </c>
      <c r="FM25">
        <f>IF(OR(FA25="",COUNTIF($FA$4:FA24,FA25)&gt;0),0,MAX(0,IF(FB25="Interne",IF(ISNUMBER(INDEX(Data!$F:$F,25)),INDEX(Data!$F:$F,25),p_HeuresETP),IF(ISNUMBER(INDEX(Data!$I:$I,25-$CD$23)),INDEX(Data!$I:$I,25-$CD$23),p_HeuresETP))-IF(FB25="Interne",IF(ISNUMBER(INDEX(Data!$G:$G,25)),INDEX(Data!$G:$G,25),p_ChargeFixe),IF(ISNUMBER(INDEX(Data!$J:$J,25-$CD$23)),INDEX(Data!$J:$J,25-$CD$23),p_ChargeFixe))))</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9">
        <f>IF(AND(D26=1,ISNUMBER(INDEX(Charge!$N:$N,ROW()))),INDEX(Charge!$N:$N,ROW()),"")</f>
        <v>46510.0</v>
      </c>
      <c r="J26" s="169">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70">
        <f>IF(OR($I26="",$E26=0),0,IF(OR($J26&lt;W$3,$I26&gt;W$2),0,IF($K26=0,IF(AND($I26&gt;=W$3,$I26&lt;=W$2),$E26,0),$E26*NETWORKDAYS(MAX($I26,W$3),MIN($J26,W$2),Data!$K$4:$K$203)/$K26)))</f>
        <v>0</v>
      </c>
      <c r="X26" s="170">
        <f>IF(OR($I26="",$E26=0),0,IF(OR($J26&lt;X$3,$I26&gt;X$2),0,IF($K26=0,IF(AND($I26&gt;=X$3,$I26&lt;=X$2),$E26,0),$E26*NETWORKDAYS(MAX($I26,X$3),MIN($J26,X$2),Data!$K$4:$K$203)/$K26)))</f>
        <v>0</v>
      </c>
      <c r="Y26" s="170">
        <f>IF(OR($I26="",$E26=0),0,IF(OR($J26&lt;Y$3,$I26&gt;Y$2),0,IF($K26=0,IF(AND($I26&gt;=Y$3,$I26&lt;=Y$2),$E26,0),$E26*NETWORKDAYS(MAX($I26,Y$3),MIN($J26,Y$2),Data!$K$4:$K$203)/$K26)))</f>
        <v>0</v>
      </c>
      <c r="Z26" s="170">
        <f>IF(OR($I26="",$E26=0),0,IF(OR($J26&lt;Z$3,$I26&gt;Z$2),0,IF($K26=0,IF(AND($I26&gt;=Z$3,$I26&lt;=Z$2),$E26,0),$E26*NETWORKDAYS(MAX($I26,Z$3),MIN($J26,Z$2),Data!$K$4:$K$203)/$K26)))</f>
        <v>0</v>
      </c>
      <c r="AA26" s="170">
        <f>IF(OR($I26="",$E26=0),0,IF(OR($J26&lt;AA$3,$I26&gt;AA$2),0,IF($K26=0,IF(AND($I26&gt;=AA$3,$I26&lt;=AA$2),$E26,0),$E26*NETWORKDAYS(MAX($I26,AA$3),MIN($J26,AA$2),Data!$K$4:$K$203)/$K26)))</f>
        <v>0</v>
      </c>
      <c r="AB26" s="170">
        <f>IF(OR($I26="",$E26=0),0,IF(OR($J26&lt;AB$3,$I26&gt;AB$2),0,IF($K26=0,IF(AND($I26&gt;=AB$3,$I26&lt;=AB$2),$E26,0),$E26*NETWORKDAYS(MAX($I26,AB$3),MIN($J26,AB$2),Data!$K$4:$K$203)/$K26)))</f>
        <v>0</v>
      </c>
      <c r="AC26" s="170">
        <f>IF(OR($I26="",$E26=0),0,IF(OR($J26&lt;AC$3,$I26&gt;AC$2),0,IF($K26=0,IF(AND($I26&gt;=AC$3,$I26&lt;=AC$2),$E26,0),$E26*NETWORKDAYS(MAX($I26,AC$3),MIN($J26,AC$2),Data!$K$4:$K$203)/$K26)))</f>
        <v>0</v>
      </c>
      <c r="AD26" s="170">
        <f>IF(OR($I26="",$E26=0),0,IF(OR($J26&lt;AD$3,$I26&gt;AD$2),0,IF($K26=0,IF(AND($I26&gt;=AD$3,$I26&lt;=AD$2),$E26,0),$E26*NETWORKDAYS(MAX($I26,AD$3),MIN($J26,AD$2),Data!$K$4:$K$203)/$K26)))</f>
        <v>0</v>
      </c>
      <c r="AE26" s="170">
        <f>IF(OR($I26="",$E26=0),0,IF(OR($J26&lt;AE$3,$I26&gt;AE$2),0,IF($K26=0,IF(AND($I26&gt;=AE$3,$I26&lt;=AE$2),$E26,0),$E26*NETWORKDAYS(MAX($I26,AE$3),MIN($J26,AE$2),Data!$K$4:$K$203)/$K26)))</f>
        <v>29.6470588235294</v>
      </c>
      <c r="AF26" s="170">
        <f>IF(OR($I26="",$E26=0),0,IF(OR($J26&lt;AF$3,$I26&gt;AF$2),0,IF($K26=0,IF(AND($I26&gt;=AF$3,$I26&lt;=AF$2),$E26,0),$E26*NETWORKDAYS(MAX($I26,AF$3),MIN($J26,AF$2),Data!$K$4:$K$203)/$K26)))</f>
        <v>31.0588235294118</v>
      </c>
      <c r="AG26" s="170">
        <f>IF(OR($I26="",$E26=0),0,IF(OR($J26&lt;AG$3,$I26&gt;AG$2),0,IF($K26=0,IF(AND($I26&gt;=AG$3,$I26&lt;=AG$2),$E26,0),$E26*NETWORKDAYS(MAX($I26,AG$3),MIN($J26,AG$2),Data!$K$4:$K$203)/$K26)))</f>
        <v>31.0588235294118</v>
      </c>
      <c r="AH26" s="170">
        <f>IF(OR($I26="",$E26=0),0,IF(OR($J26&lt;AH$3,$I26&gt;AH$2),0,IF($K26=0,IF(AND($I26&gt;=AH$3,$I26&lt;=AH$2),$E26,0),$E26*NETWORKDAYS(MAX($I26,AH$3),MIN($J26,AH$2),Data!$K$4:$K$203)/$K26)))</f>
        <v>28.2352941176471</v>
      </c>
      <c r="AI26" s="170">
        <f>SUM(W26:AH26)</f>
        <v>120</v>
      </c>
      <c r="AK26" t="inlineStr">
        <is>
          <t>Part du mois de pic dans la charge de la période</t>
        </is>
      </c>
      <c r="AL26" s="174">
        <f>IF(AL15=0,0,AL17/AL15)</f>
        <v>0.150174619500457</v>
      </c>
      <c r="BW26" t="n">
        <v>23</v>
      </c>
      <c r="BX26" t="str">
        <f>IFERROR(MATCH(BW26,$EQ$4:$EQ$503,0),"")</f>
        <v/>
      </c>
      <c r="BY26" t="str">
        <f>IF(BX26="","",INDEX($FL$4:$FL$503,BX26))</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5">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70">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4">
        <f>IF(EO26=1,IF(FH26&gt;0,FI26/FH26,AVERAGEIF($FF$4:$FF$503,EN26,$C$4:$C$503)),"")</f>
        <v>0</v>
      </c>
      <c r="EV26" s="169">
        <f>IF(ISNUMBER(I26),I26,2958465)</f>
        <v>46510.0</v>
      </c>
      <c r="EW26" s="169">
        <f>IF(EO26=1,SUMPRODUCT(MIN(($EN$4:$EN$503=EN26)*$EV$4:$EV$503+($EN$4:$EN$503&lt;&gt;EN26)*2958465)),"")</f>
        <v>46510.0</v>
      </c>
      <c r="EX26" s="169">
        <f>IF(AND(D26=1,ISNUMBER(INDEX(Charge!$F:$F,ROW()))),INDEX(Charge!$F:$F,ROW()),0)</f>
        <v>46626.0</v>
      </c>
      <c r="EY26" s="169">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c r="FF26" t="str">
        <f>IF(B26=1,LEFT(SUBSTITUTE(SUBSTITUTE(SUBSTITUTE(TRIM(SUBSTITUTE(INDEX(Charge!$B:$B,ROW()),CHAR(160)," "))&amp;" | "&amp;TRIM(SUBSTITUTE(INDEX(Charge!$C:$C,ROW()),CHAR(160)," "))&amp;" | "&amp;TRIM(SUBSTITUTE(INDEX(Charge!$D:$D,ROW()),CHAR(160)," ")),"~","-"),"*","+"),"?","!"),240),"")</f>
        <v>DELTA | Lot unique | Habillage</v>
      </c>
      <c r="FG26">
        <f>IF(B26=1,MAX(0,N(INDEX(Charge!$M:$M,ROW()))),0)</f>
        <v>120</v>
      </c>
      <c r="FH26" s="170">
        <f>IF(EO26=1,ROUND(SUMIF($FF$4:$FF$503,EN26,$FG$4:$FG$503),2),"")</f>
        <v>200</v>
      </c>
      <c r="FI26" s="170">
        <f>IF(EO26=1,ROUND(SUMPRODUCT(($FF$4:$FF$503=EN26)*$FG$4:$FG$503*$C$4:$C$503),2),"")</f>
        <v>0</v>
      </c>
      <c r="FJ26" s="170">
        <f>IF(EO26=1,MAX(0,ROUND(FH26-FI26,2)),"")</f>
        <v>200</v>
      </c>
      <c r="FK26" s="174">
        <f>IF(EO26=1,IF(OR(EW26&gt;=2958465,EY26=0,EY26&lt;=EW26),"",IF(TODAY()&lt;=EW26,0,IF(TODAY()&gt;EY26,1,IFERROR(NETWORKDAYS(EW26,TODAY()-1,Data!$K$4:$K$203)/NETWORKDAYS(EW26,EY26,Data!$K$4:$K$203),"")))),"")</f>
        <v>0</v>
      </c>
      <c r="FL26">
        <f>IF(EO26=1,IF(AND(EY26&gt;0,EY26&lt;TODAY(),ROUND(EU26,4)&lt;1),2,IF(FK26="",0,IF(ROUND(EU26-FK26,4)&lt;-0.15,1,0))),"")</f>
        <v>0</v>
      </c>
      <c r="FM26">
        <f>IF(OR(FA26="",COUNTIF($FA$4:FA25,FA26)&gt;0),0,MAX(0,IF(FB26="Interne",IF(ISNUMBER(INDEX(Data!$F:$F,26)),INDEX(Data!$F:$F,26),p_HeuresETP),IF(ISNUMBER(INDEX(Data!$I:$I,26-$CD$23)),INDEX(Data!$I:$I,26-$CD$23),p_HeuresETP))-IF(FB26="Interne",IF(ISNUMBER(INDEX(Data!$G:$G,26)),INDEX(Data!$G:$G,26),p_ChargeFixe),IF(ISNUMBER(INDEX(Data!$J:$J,26-$CD$23)),INDEX(Data!$J:$J,26-$CD$23),p_ChargeFixe))))</f>
        <v>0</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9">
        <f>IF(AND(D27=1,ISNUMBER(INDEX(Charge!$N:$N,ROW()))),INDEX(Charge!$N:$N,ROW()),"")</f>
        <v>46510.0</v>
      </c>
      <c r="J27" s="169">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70">
        <f>IF(OR($I27="",$E27=0),0,IF(OR($J27&lt;W$3,$I27&gt;W$2),0,IF($K27=0,IF(AND($I27&gt;=W$3,$I27&lt;=W$2),$E27,0),$E27*NETWORKDAYS(MAX($I27,W$3),MIN($J27,W$2),Data!$K$4:$K$203)/$K27)))</f>
        <v>0</v>
      </c>
      <c r="X27" s="170">
        <f>IF(OR($I27="",$E27=0),0,IF(OR($J27&lt;X$3,$I27&gt;X$2),0,IF($K27=0,IF(AND($I27&gt;=X$3,$I27&lt;=X$2),$E27,0),$E27*NETWORKDAYS(MAX($I27,X$3),MIN($J27,X$2),Data!$K$4:$K$203)/$K27)))</f>
        <v>0</v>
      </c>
      <c r="Y27" s="170">
        <f>IF(OR($I27="",$E27=0),0,IF(OR($J27&lt;Y$3,$I27&gt;Y$2),0,IF($K27=0,IF(AND($I27&gt;=Y$3,$I27&lt;=Y$2),$E27,0),$E27*NETWORKDAYS(MAX($I27,Y$3),MIN($J27,Y$2),Data!$K$4:$K$203)/$K27)))</f>
        <v>0</v>
      </c>
      <c r="Z27" s="170">
        <f>IF(OR($I27="",$E27=0),0,IF(OR($J27&lt;Z$3,$I27&gt;Z$2),0,IF($K27=0,IF(AND($I27&gt;=Z$3,$I27&lt;=Z$2),$E27,0),$E27*NETWORKDAYS(MAX($I27,Z$3),MIN($J27,Z$2),Data!$K$4:$K$203)/$K27)))</f>
        <v>0</v>
      </c>
      <c r="AA27" s="170">
        <f>IF(OR($I27="",$E27=0),0,IF(OR($J27&lt;AA$3,$I27&gt;AA$2),0,IF($K27=0,IF(AND($I27&gt;=AA$3,$I27&lt;=AA$2),$E27,0),$E27*NETWORKDAYS(MAX($I27,AA$3),MIN($J27,AA$2),Data!$K$4:$K$203)/$K27)))</f>
        <v>0</v>
      </c>
      <c r="AB27" s="170">
        <f>IF(OR($I27="",$E27=0),0,IF(OR($J27&lt;AB$3,$I27&gt;AB$2),0,IF($K27=0,IF(AND($I27&gt;=AB$3,$I27&lt;=AB$2),$E27,0),$E27*NETWORKDAYS(MAX($I27,AB$3),MIN($J27,AB$2),Data!$K$4:$K$203)/$K27)))</f>
        <v>0</v>
      </c>
      <c r="AC27" s="170">
        <f>IF(OR($I27="",$E27=0),0,IF(OR($J27&lt;AC$3,$I27&gt;AC$2),0,IF($K27=0,IF(AND($I27&gt;=AC$3,$I27&lt;=AC$2),$E27,0),$E27*NETWORKDAYS(MAX($I27,AC$3),MIN($J27,AC$2),Data!$K$4:$K$203)/$K27)))</f>
        <v>0</v>
      </c>
      <c r="AD27" s="170">
        <f>IF(OR($I27="",$E27=0),0,IF(OR($J27&lt;AD$3,$I27&gt;AD$2),0,IF($K27=0,IF(AND($I27&gt;=AD$3,$I27&lt;=AD$2),$E27,0),$E27*NETWORKDAYS(MAX($I27,AD$3),MIN($J27,AD$2),Data!$K$4:$K$203)/$K27)))</f>
        <v>0</v>
      </c>
      <c r="AE27" s="170">
        <f>IF(OR($I27="",$E27=0),0,IF(OR($J27&lt;AE$3,$I27&gt;AE$2),0,IF($K27=0,IF(AND($I27&gt;=AE$3,$I27&lt;=AE$2),$E27,0),$E27*NETWORKDAYS(MAX($I27,AE$3),MIN($J27,AE$2),Data!$K$4:$K$203)/$K27)))</f>
        <v>19.7647058823529</v>
      </c>
      <c r="AF27" s="170">
        <f>IF(OR($I27="",$E27=0),0,IF(OR($J27&lt;AF$3,$I27&gt;AF$2),0,IF($K27=0,IF(AND($I27&gt;=AF$3,$I27&lt;=AF$2),$E27,0),$E27*NETWORKDAYS(MAX($I27,AF$3),MIN($J27,AF$2),Data!$K$4:$K$203)/$K27)))</f>
        <v>20.7058823529412</v>
      </c>
      <c r="AG27" s="170">
        <f>IF(OR($I27="",$E27=0),0,IF(OR($J27&lt;AG$3,$I27&gt;AG$2),0,IF($K27=0,IF(AND($I27&gt;=AG$3,$I27&lt;=AG$2),$E27,0),$E27*NETWORKDAYS(MAX($I27,AG$3),MIN($J27,AG$2),Data!$K$4:$K$203)/$K27)))</f>
        <v>20.7058823529412</v>
      </c>
      <c r="AH27" s="170">
        <f>IF(OR($I27="",$E27=0),0,IF(OR($J27&lt;AH$3,$I27&gt;AH$2),0,IF($K27=0,IF(AND($I27&gt;=AH$3,$I27&lt;=AH$2),$E27,0),$E27*NETWORKDAYS(MAX($I27,AH$3),MIN($J27,AH$2),Data!$K$4:$K$203)/$K27)))</f>
        <v>18.8235294117647</v>
      </c>
      <c r="AI27" s="170">
        <f>SUM(W27:AH27)</f>
        <v>80</v>
      </c>
      <c r="AK27" t="inlineStr">
        <is>
          <t>Période affichée (bandeau des onglets Dashboard et Dessinateurs)</t>
        </is>
      </c>
      <c r="AL27" t="str">
        <f>"Période "&amp;CHOOSE(MONTH(AL14),"janvier","février","mars","avril","mai","juin","juillet","août","septembre","octobre","novembre","décembre")&amp;" "&amp;YEAR(AL14)&amp;" – "&amp;CHOOSE(MONTH(AL25),"janvier","février","mars","avril","mai","juin","juillet","août","septembre","octobre","novembre","décembre")&amp;" "&amp;YEAR(AL25)</f>
        <v>Période septembre 2026 – août 2027</v>
      </c>
      <c r="BW27" t="n">
        <v>24</v>
      </c>
      <c r="BX27" t="str">
        <f>IFERROR(MATCH(BW27,$EQ$4:$EQ$503,0),"")</f>
        <v/>
      </c>
      <c r="BY27" t="str">
        <f>IF(BX27="","",INDEX($FL$4:$FL$503,BX27))</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5">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70"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4" t="str">
        <f>IF(EO27=1,IF(FH27&gt;0,FI27/FH27,AVERAGEIF($FF$4:$FF$503,EN27,$C$4:$C$503)),"")</f>
        <v/>
      </c>
      <c r="EV27" s="169">
        <f>IF(ISNUMBER(I27),I27,2958465)</f>
        <v>46510.0</v>
      </c>
      <c r="EW27" s="169" t="str">
        <f>IF(EO27=1,SUMPRODUCT(MIN(($EN$4:$EN$503=EN27)*$EV$4:$EV$503+($EN$4:$EN$503&lt;&gt;EN27)*2958465)),"")</f>
        <v/>
      </c>
      <c r="EX27" s="169">
        <f>IF(AND(D27=1,ISNUMBER(INDEX(Charge!$F:$F,ROW()))),INDEX(Charge!$F:$F,ROW()),0)</f>
        <v>46626.0</v>
      </c>
      <c r="EY27" s="169"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c r="FF27" t="str">
        <f>IF(B27=1,LEFT(SUBSTITUTE(SUBSTITUTE(SUBSTITUTE(TRIM(SUBSTITUTE(INDEX(Charge!$B:$B,ROW()),CHAR(160)," "))&amp;" | "&amp;TRIM(SUBSTITUTE(INDEX(Charge!$C:$C,ROW()),CHAR(160)," "))&amp;" | "&amp;TRIM(SUBSTITUTE(INDEX(Charge!$D:$D,ROW()),CHAR(160)," ")),"~","-"),"*","+"),"?","!"),240),"")</f>
        <v>DELTA | Lot unique | Habillage</v>
      </c>
      <c r="FG27">
        <f>IF(B27=1,MAX(0,N(INDEX(Charge!$M:$M,ROW()))),0)</f>
        <v>80</v>
      </c>
      <c r="FH27" s="170" t="str">
        <f>IF(EO27=1,ROUND(SUMIF($FF$4:$FF$503,EN27,$FG$4:$FG$503),2),"")</f>
        <v/>
      </c>
      <c r="FI27" s="170" t="str">
        <f>IF(EO27=1,ROUND(SUMPRODUCT(($FF$4:$FF$503=EN27)*$FG$4:$FG$503*$C$4:$C$503),2),"")</f>
        <v/>
      </c>
      <c r="FJ27" s="170" t="str">
        <f>IF(EO27=1,MAX(0,ROUND(FH27-FI27,2)),"")</f>
        <v/>
      </c>
      <c r="FK27" s="174" t="str">
        <f>IF(EO27=1,IF(OR(EW27&gt;=2958465,EY27=0,EY27&lt;=EW27),"",IF(TODAY()&lt;=EW27,0,IF(TODAY()&gt;EY27,1,IFERROR(NETWORKDAYS(EW27,TODAY()-1,Data!$K$4:$K$203)/NETWORKDAYS(EW27,EY27,Data!$K$4:$K$203),"")))),"")</f>
        <v/>
      </c>
      <c r="FL27" t="str">
        <f>IF(EO27=1,IF(AND(EY27&gt;0,EY27&lt;TODAY(),ROUND(EU27,4)&lt;1),2,IF(FK27="",0,IF(ROUND(EU27-FK27,4)&lt;-0.15,1,0))),"")</f>
        <v/>
      </c>
      <c r="FM27">
        <f>IF(OR(FA27="",COUNTIF($FA$4:FA26,FA27)&gt;0),0,MAX(0,IF(FB27="Interne",IF(ISNUMBER(INDEX(Data!$F:$F,27)),INDEX(Data!$F:$F,27),p_HeuresETP),IF(ISNUMBER(INDEX(Data!$I:$I,27-$CD$23)),INDEX(Data!$I:$I,27-$CD$23),p_HeuresETP))-IF(FB27="Interne",IF(ISNUMBER(INDEX(Data!$G:$G,27)),INDEX(Data!$G:$G,27),p_ChargeFixe),IF(ISNUMBER(INDEX(Data!$J:$J,27-$CD$23)),INDEX(Data!$J:$J,27-$CD$23),p_ChargeFixe))))</f>
        <v>0</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9" t="str">
        <f>IF(AND(D28=1,ISNUMBER(INDEX(Charge!$N:$N,ROW()))),INDEX(Charge!$N:$N,ROW()),"")</f>
        <v/>
      </c>
      <c r="J28" s="169"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70">
        <f>IF(OR($I28="",$E28=0),0,IF(OR($J28&lt;W$3,$I28&gt;W$2),0,IF($K28=0,IF(AND($I28&gt;=W$3,$I28&lt;=W$2),$E28,0),$E28*NETWORKDAYS(MAX($I28,W$3),MIN($J28,W$2),Data!$K$4:$K$203)/$K28)))</f>
        <v>0</v>
      </c>
      <c r="X28" s="170">
        <f>IF(OR($I28="",$E28=0),0,IF(OR($J28&lt;X$3,$I28&gt;X$2),0,IF($K28=0,IF(AND($I28&gt;=X$3,$I28&lt;=X$2),$E28,0),$E28*NETWORKDAYS(MAX($I28,X$3),MIN($J28,X$2),Data!$K$4:$K$203)/$K28)))</f>
        <v>0</v>
      </c>
      <c r="Y28" s="170">
        <f>IF(OR($I28="",$E28=0),0,IF(OR($J28&lt;Y$3,$I28&gt;Y$2),0,IF($K28=0,IF(AND($I28&gt;=Y$3,$I28&lt;=Y$2),$E28,0),$E28*NETWORKDAYS(MAX($I28,Y$3),MIN($J28,Y$2),Data!$K$4:$K$203)/$K28)))</f>
        <v>0</v>
      </c>
      <c r="Z28" s="170">
        <f>IF(OR($I28="",$E28=0),0,IF(OR($J28&lt;Z$3,$I28&gt;Z$2),0,IF($K28=0,IF(AND($I28&gt;=Z$3,$I28&lt;=Z$2),$E28,0),$E28*NETWORKDAYS(MAX($I28,Z$3),MIN($J28,Z$2),Data!$K$4:$K$203)/$K28)))</f>
        <v>0</v>
      </c>
      <c r="AA28" s="170">
        <f>IF(OR($I28="",$E28=0),0,IF(OR($J28&lt;AA$3,$I28&gt;AA$2),0,IF($K28=0,IF(AND($I28&gt;=AA$3,$I28&lt;=AA$2),$E28,0),$E28*NETWORKDAYS(MAX($I28,AA$3),MIN($J28,AA$2),Data!$K$4:$K$203)/$K28)))</f>
        <v>0</v>
      </c>
      <c r="AB28" s="170">
        <f>IF(OR($I28="",$E28=0),0,IF(OR($J28&lt;AB$3,$I28&gt;AB$2),0,IF($K28=0,IF(AND($I28&gt;=AB$3,$I28&lt;=AB$2),$E28,0),$E28*NETWORKDAYS(MAX($I28,AB$3),MIN($J28,AB$2),Data!$K$4:$K$203)/$K28)))</f>
        <v>0</v>
      </c>
      <c r="AC28" s="170">
        <f>IF(OR($I28="",$E28=0),0,IF(OR($J28&lt;AC$3,$I28&gt;AC$2),0,IF($K28=0,IF(AND($I28&gt;=AC$3,$I28&lt;=AC$2),$E28,0),$E28*NETWORKDAYS(MAX($I28,AC$3),MIN($J28,AC$2),Data!$K$4:$K$203)/$K28)))</f>
        <v>0</v>
      </c>
      <c r="AD28" s="170">
        <f>IF(OR($I28="",$E28=0),0,IF(OR($J28&lt;AD$3,$I28&gt;AD$2),0,IF($K28=0,IF(AND($I28&gt;=AD$3,$I28&lt;=AD$2),$E28,0),$E28*NETWORKDAYS(MAX($I28,AD$3),MIN($J28,AD$2),Data!$K$4:$K$203)/$K28)))</f>
        <v>0</v>
      </c>
      <c r="AE28" s="170">
        <f>IF(OR($I28="",$E28=0),0,IF(OR($J28&lt;AE$3,$I28&gt;AE$2),0,IF($K28=0,IF(AND($I28&gt;=AE$3,$I28&lt;=AE$2),$E28,0),$E28*NETWORKDAYS(MAX($I28,AE$3),MIN($J28,AE$2),Data!$K$4:$K$203)/$K28)))</f>
        <v>0</v>
      </c>
      <c r="AF28" s="170">
        <f>IF(OR($I28="",$E28=0),0,IF(OR($J28&lt;AF$3,$I28&gt;AF$2),0,IF($K28=0,IF(AND($I28&gt;=AF$3,$I28&lt;=AF$2),$E28,0),$E28*NETWORKDAYS(MAX($I28,AF$3),MIN($J28,AF$2),Data!$K$4:$K$203)/$K28)))</f>
        <v>0</v>
      </c>
      <c r="AG28" s="170">
        <f>IF(OR($I28="",$E28=0),0,IF(OR($J28&lt;AG$3,$I28&gt;AG$2),0,IF($K28=0,IF(AND($I28&gt;=AG$3,$I28&lt;=AG$2),$E28,0),$E28*NETWORKDAYS(MAX($I28,AG$3),MIN($J28,AG$2),Data!$K$4:$K$203)/$K28)))</f>
        <v>0</v>
      </c>
      <c r="AH28" s="170">
        <f>IF(OR($I28="",$E28=0),0,IF(OR($J28&lt;AH$3,$I28&gt;AH$2),0,IF($K28=0,IF(AND($I28&gt;=AH$3,$I28&lt;=AH$2),$E28,0),$E28*NETWORKDAYS(MAX($I28,AH$3),MIN($J28,AH$2),Data!$K$4:$K$203)/$K28)))</f>
        <v>0</v>
      </c>
      <c r="AI28" s="170">
        <f>SUM(W28:AH28)</f>
        <v>0</v>
      </c>
      <c r="AK28" t="inlineStr">
        <is>
          <t>Aide affichée sur le Dashboard (Oui / Non, bouton « Afficher / masquer l'aide »)</t>
        </is>
      </c>
      <c r="AL28" t="inlineStr">
        <is>
          <t>Oui</t>
        </is>
      </c>
      <c r="BW28" t="n">
        <v>25</v>
      </c>
      <c r="BX28" t="str">
        <f>IFERROR(MATCH(BW28,$EQ$4:$EQ$503,0),"")</f>
        <v/>
      </c>
      <c r="BY28" t="str">
        <f>IF(BX28="","",INDEX($FL$4:$FL$503,BX28))</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5">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70"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4" t="str">
        <f>IF(EO28=1,IF(FH28&gt;0,FI28/FH28,AVERAGEIF($FF$4:$FF$503,EN28,$C$4:$C$503)),"")</f>
        <v/>
      </c>
      <c r="EV28" s="169">
        <f>IF(ISNUMBER(I28),I28,2958465)</f>
        <v>2958465.0</v>
      </c>
      <c r="EW28" s="169" t="str">
        <f>IF(EO28=1,SUMPRODUCT(MIN(($EN$4:$EN$503=EN28)*$EV$4:$EV$503+($EN$4:$EN$503&lt;&gt;EN28)*2958465)),"")</f>
        <v/>
      </c>
      <c r="EX28" s="169">
        <f>IF(AND(D28=1,ISNUMBER(INDEX(Charge!$F:$F,ROW()))),INDEX(Charge!$F:$F,ROW()),0)</f>
        <v>0.0</v>
      </c>
      <c r="EY28" s="169"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c r="FF28" t="str">
        <f>IF(B28=1,LEFT(SUBSTITUTE(SUBSTITUTE(SUBSTITUTE(TRIM(SUBSTITUTE(INDEX(Charge!$B:$B,ROW()),CHAR(160)," "))&amp;" | "&amp;TRIM(SUBSTITUTE(INDEX(Charge!$C:$C,ROW()),CHAR(160)," "))&amp;" | "&amp;TRIM(SUBSTITUTE(INDEX(Charge!$D:$D,ROW()),CHAR(160)," ")),"~","-"),"*","+"),"?","!"),240),"")</f>
        <v/>
      </c>
      <c r="FG28">
        <f>IF(B28=1,MAX(0,N(INDEX(Charge!$M:$M,ROW()))),0)</f>
        <v>0</v>
      </c>
      <c r="FH28" s="170" t="str">
        <f>IF(EO28=1,ROUND(SUMIF($FF$4:$FF$503,EN28,$FG$4:$FG$503),2),"")</f>
        <v/>
      </c>
      <c r="FI28" s="170" t="str">
        <f>IF(EO28=1,ROUND(SUMPRODUCT(($FF$4:$FF$503=EN28)*$FG$4:$FG$503*$C$4:$C$503),2),"")</f>
        <v/>
      </c>
      <c r="FJ28" s="170" t="str">
        <f>IF(EO28=1,MAX(0,ROUND(FH28-FI28,2)),"")</f>
        <v/>
      </c>
      <c r="FK28" s="174" t="str">
        <f>IF(EO28=1,IF(OR(EW28&gt;=2958465,EY28=0,EY28&lt;=EW28),"",IF(TODAY()&lt;=EW28,0,IF(TODAY()&gt;EY28,1,IFERROR(NETWORKDAYS(EW28,TODAY()-1,Data!$K$4:$K$203)/NETWORKDAYS(EW28,EY28,Data!$K$4:$K$203),"")))),"")</f>
        <v/>
      </c>
      <c r="FL28" t="str">
        <f>IF(EO28=1,IF(AND(EY28&gt;0,EY28&lt;TODAY(),ROUND(EU28,4)&lt;1),2,IF(FK28="",0,IF(ROUND(EU28-FK28,4)&lt;-0.15,1,0))),"")</f>
        <v/>
      </c>
      <c r="FM28">
        <f>IF(OR(FA28="",COUNTIF($FA$4:FA27,FA28)&gt;0),0,MAX(0,IF(FB28="Interne",IF(ISNUMBER(INDEX(Data!$F:$F,28)),INDEX(Data!$F:$F,28),p_HeuresETP),IF(ISNUMBER(INDEX(Data!$I:$I,28-$CD$23)),INDEX(Data!$I:$I,28-$CD$23),p_HeuresETP))-IF(FB28="Interne",IF(ISNUMBER(INDEX(Data!$G:$G,28)),INDEX(Data!$G:$G,28),p_ChargeFixe),IF(ISNUMBER(INDEX(Data!$J:$J,28-$CD$23)),INDEX(Data!$J:$J,28-$CD$23),p_ChargeFixe))))</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9" t="str">
        <f>IF(AND(D29=1,ISNUMBER(INDEX(Charge!$N:$N,ROW()))),INDEX(Charge!$N:$N,ROW()),"")</f>
        <v/>
      </c>
      <c r="J29" s="169"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70">
        <f>IF(OR($I29="",$E29=0),0,IF(OR($J29&lt;W$3,$I29&gt;W$2),0,IF($K29=0,IF(AND($I29&gt;=W$3,$I29&lt;=W$2),$E29,0),$E29*NETWORKDAYS(MAX($I29,W$3),MIN($J29,W$2),Data!$K$4:$K$203)/$K29)))</f>
        <v>0</v>
      </c>
      <c r="X29" s="170">
        <f>IF(OR($I29="",$E29=0),0,IF(OR($J29&lt;X$3,$I29&gt;X$2),0,IF($K29=0,IF(AND($I29&gt;=X$3,$I29&lt;=X$2),$E29,0),$E29*NETWORKDAYS(MAX($I29,X$3),MIN($J29,X$2),Data!$K$4:$K$203)/$K29)))</f>
        <v>0</v>
      </c>
      <c r="Y29" s="170">
        <f>IF(OR($I29="",$E29=0),0,IF(OR($J29&lt;Y$3,$I29&gt;Y$2),0,IF($K29=0,IF(AND($I29&gt;=Y$3,$I29&lt;=Y$2),$E29,0),$E29*NETWORKDAYS(MAX($I29,Y$3),MIN($J29,Y$2),Data!$K$4:$K$203)/$K29)))</f>
        <v>0</v>
      </c>
      <c r="Z29" s="170">
        <f>IF(OR($I29="",$E29=0),0,IF(OR($J29&lt;Z$3,$I29&gt;Z$2),0,IF($K29=0,IF(AND($I29&gt;=Z$3,$I29&lt;=Z$2),$E29,0),$E29*NETWORKDAYS(MAX($I29,Z$3),MIN($J29,Z$2),Data!$K$4:$K$203)/$K29)))</f>
        <v>0</v>
      </c>
      <c r="AA29" s="170">
        <f>IF(OR($I29="",$E29=0),0,IF(OR($J29&lt;AA$3,$I29&gt;AA$2),0,IF($K29=0,IF(AND($I29&gt;=AA$3,$I29&lt;=AA$2),$E29,0),$E29*NETWORKDAYS(MAX($I29,AA$3),MIN($J29,AA$2),Data!$K$4:$K$203)/$K29)))</f>
        <v>0</v>
      </c>
      <c r="AB29" s="170">
        <f>IF(OR($I29="",$E29=0),0,IF(OR($J29&lt;AB$3,$I29&gt;AB$2),0,IF($K29=0,IF(AND($I29&gt;=AB$3,$I29&lt;=AB$2),$E29,0),$E29*NETWORKDAYS(MAX($I29,AB$3),MIN($J29,AB$2),Data!$K$4:$K$203)/$K29)))</f>
        <v>0</v>
      </c>
      <c r="AC29" s="170">
        <f>IF(OR($I29="",$E29=0),0,IF(OR($J29&lt;AC$3,$I29&gt;AC$2),0,IF($K29=0,IF(AND($I29&gt;=AC$3,$I29&lt;=AC$2),$E29,0),$E29*NETWORKDAYS(MAX($I29,AC$3),MIN($J29,AC$2),Data!$K$4:$K$203)/$K29)))</f>
        <v>0</v>
      </c>
      <c r="AD29" s="170">
        <f>IF(OR($I29="",$E29=0),0,IF(OR($J29&lt;AD$3,$I29&gt;AD$2),0,IF($K29=0,IF(AND($I29&gt;=AD$3,$I29&lt;=AD$2),$E29,0),$E29*NETWORKDAYS(MAX($I29,AD$3),MIN($J29,AD$2),Data!$K$4:$K$203)/$K29)))</f>
        <v>0</v>
      </c>
      <c r="AE29" s="170">
        <f>IF(OR($I29="",$E29=0),0,IF(OR($J29&lt;AE$3,$I29&gt;AE$2),0,IF($K29=0,IF(AND($I29&gt;=AE$3,$I29&lt;=AE$2),$E29,0),$E29*NETWORKDAYS(MAX($I29,AE$3),MIN($J29,AE$2),Data!$K$4:$K$203)/$K29)))</f>
        <v>0</v>
      </c>
      <c r="AF29" s="170">
        <f>IF(OR($I29="",$E29=0),0,IF(OR($J29&lt;AF$3,$I29&gt;AF$2),0,IF($K29=0,IF(AND($I29&gt;=AF$3,$I29&lt;=AF$2),$E29,0),$E29*NETWORKDAYS(MAX($I29,AF$3),MIN($J29,AF$2),Data!$K$4:$K$203)/$K29)))</f>
        <v>0</v>
      </c>
      <c r="AG29" s="170">
        <f>IF(OR($I29="",$E29=0),0,IF(OR($J29&lt;AG$3,$I29&gt;AG$2),0,IF($K29=0,IF(AND($I29&gt;=AG$3,$I29&lt;=AG$2),$E29,0),$E29*NETWORKDAYS(MAX($I29,AG$3),MIN($J29,AG$2),Data!$K$4:$K$203)/$K29)))</f>
        <v>0</v>
      </c>
      <c r="AH29" s="170">
        <f>IF(OR($I29="",$E29=0),0,IF(OR($J29&lt;AH$3,$I29&gt;AH$2),0,IF($K29=0,IF(AND($I29&gt;=AH$3,$I29&lt;=AH$2),$E29,0),$E29*NETWORKDAYS(MAX($I29,AH$3),MIN($J29,AH$2),Data!$K$4:$K$203)/$K29)))</f>
        <v>0</v>
      </c>
      <c r="AI29" s="170">
        <f>SUM(W29:AH29)</f>
        <v>0</v>
      </c>
      <c r="AK29" t="inlineStr">
        <is>
          <t>Aide affichée sur Dessinateurs (Oui / Non, bouton « Afficher / masquer l'aide »)</t>
        </is>
      </c>
      <c r="AL29" t="inlineStr">
        <is>
          <t>Oui</t>
        </is>
      </c>
      <c r="BW29" t="n">
        <v>26</v>
      </c>
      <c r="BX29" t="str">
        <f>IFERROR(MATCH(BW29,$EQ$4:$EQ$503,0),"")</f>
        <v/>
      </c>
      <c r="BY29" t="str">
        <f>IF(BX29="","",INDEX($FL$4:$FL$503,BX29))</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70"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4" t="str">
        <f>IF(EO29=1,IF(FH29&gt;0,FI29/FH29,AVERAGEIF($FF$4:$FF$503,EN29,$C$4:$C$503)),"")</f>
        <v/>
      </c>
      <c r="EV29" s="169">
        <f>IF(ISNUMBER(I29),I29,2958465)</f>
        <v>2958465.0</v>
      </c>
      <c r="EW29" s="169" t="str">
        <f>IF(EO29=1,SUMPRODUCT(MIN(($EN$4:$EN$503=EN29)*$EV$4:$EV$503+($EN$4:$EN$503&lt;&gt;EN29)*2958465)),"")</f>
        <v/>
      </c>
      <c r="EX29" s="169">
        <f>IF(AND(D29=1,ISNUMBER(INDEX(Charge!$F:$F,ROW()))),INDEX(Charge!$F:$F,ROW()),0)</f>
        <v>0.0</v>
      </c>
      <c r="EY29" s="169"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c r="FF29" t="str">
        <f>IF(B29=1,LEFT(SUBSTITUTE(SUBSTITUTE(SUBSTITUTE(TRIM(SUBSTITUTE(INDEX(Charge!$B:$B,ROW()),CHAR(160)," "))&amp;" | "&amp;TRIM(SUBSTITUTE(INDEX(Charge!$C:$C,ROW()),CHAR(160)," "))&amp;" | "&amp;TRIM(SUBSTITUTE(INDEX(Charge!$D:$D,ROW()),CHAR(160)," ")),"~","-"),"*","+"),"?","!"),240),"")</f>
        <v/>
      </c>
      <c r="FG29">
        <f>IF(B29=1,MAX(0,N(INDEX(Charge!$M:$M,ROW()))),0)</f>
        <v>0</v>
      </c>
      <c r="FH29" s="170" t="str">
        <f>IF(EO29=1,ROUND(SUMIF($FF$4:$FF$503,EN29,$FG$4:$FG$503),2),"")</f>
        <v/>
      </c>
      <c r="FI29" s="170" t="str">
        <f>IF(EO29=1,ROUND(SUMPRODUCT(($FF$4:$FF$503=EN29)*$FG$4:$FG$503*$C$4:$C$503),2),"")</f>
        <v/>
      </c>
      <c r="FJ29" s="170" t="str">
        <f>IF(EO29=1,MAX(0,ROUND(FH29-FI29,2)),"")</f>
        <v/>
      </c>
      <c r="FK29" s="174" t="str">
        <f>IF(EO29=1,IF(OR(EW29&gt;=2958465,EY29=0,EY29&lt;=EW29),"",IF(TODAY()&lt;=EW29,0,IF(TODAY()&gt;EY29,1,IFERROR(NETWORKDAYS(EW29,TODAY()-1,Data!$K$4:$K$203)/NETWORKDAYS(EW29,EY29,Data!$K$4:$K$203),"")))),"")</f>
        <v/>
      </c>
      <c r="FL29" t="str">
        <f>IF(EO29=1,IF(AND(EY29&gt;0,EY29&lt;TODAY(),ROUND(EU29,4)&lt;1),2,IF(FK29="",0,IF(ROUND(EU29-FK29,4)&lt;-0.15,1,0))),"")</f>
        <v/>
      </c>
      <c r="FM29">
        <f>IF(OR(FA29="",COUNTIF($FA$4:FA28,FA29)&gt;0),0,MAX(0,IF(FB29="Interne",IF(ISNUMBER(INDEX(Data!$F:$F,29)),INDEX(Data!$F:$F,29),p_HeuresETP),IF(ISNUMBER(INDEX(Data!$I:$I,29-$CD$23)),INDEX(Data!$I:$I,29-$CD$23),p_HeuresETP))-IF(FB29="Interne",IF(ISNUMBER(INDEX(Data!$G:$G,29)),INDEX(Data!$G:$G,29),p_ChargeFixe),IF(ISNUMBER(INDEX(Data!$J:$J,29-$CD$23)),INDEX(Data!$J:$J,29-$CD$23),p_ChargeFixe))))</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9" t="str">
        <f>IF(AND(D30=1,ISNUMBER(INDEX(Charge!$N:$N,ROW()))),INDEX(Charge!$N:$N,ROW()),"")</f>
        <v/>
      </c>
      <c r="J30" s="169"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70">
        <f>IF(OR($I30="",$E30=0),0,IF(OR($J30&lt;W$3,$I30&gt;W$2),0,IF($K30=0,IF(AND($I30&gt;=W$3,$I30&lt;=W$2),$E30,0),$E30*NETWORKDAYS(MAX($I30,W$3),MIN($J30,W$2),Data!$K$4:$K$203)/$K30)))</f>
        <v>0</v>
      </c>
      <c r="X30" s="170">
        <f>IF(OR($I30="",$E30=0),0,IF(OR($J30&lt;X$3,$I30&gt;X$2),0,IF($K30=0,IF(AND($I30&gt;=X$3,$I30&lt;=X$2),$E30,0),$E30*NETWORKDAYS(MAX($I30,X$3),MIN($J30,X$2),Data!$K$4:$K$203)/$K30)))</f>
        <v>0</v>
      </c>
      <c r="Y30" s="170">
        <f>IF(OR($I30="",$E30=0),0,IF(OR($J30&lt;Y$3,$I30&gt;Y$2),0,IF($K30=0,IF(AND($I30&gt;=Y$3,$I30&lt;=Y$2),$E30,0),$E30*NETWORKDAYS(MAX($I30,Y$3),MIN($J30,Y$2),Data!$K$4:$K$203)/$K30)))</f>
        <v>0</v>
      </c>
      <c r="Z30" s="170">
        <f>IF(OR($I30="",$E30=0),0,IF(OR($J30&lt;Z$3,$I30&gt;Z$2),0,IF($K30=0,IF(AND($I30&gt;=Z$3,$I30&lt;=Z$2),$E30,0),$E30*NETWORKDAYS(MAX($I30,Z$3),MIN($J30,Z$2),Data!$K$4:$K$203)/$K30)))</f>
        <v>0</v>
      </c>
      <c r="AA30" s="170">
        <f>IF(OR($I30="",$E30=0),0,IF(OR($J30&lt;AA$3,$I30&gt;AA$2),0,IF($K30=0,IF(AND($I30&gt;=AA$3,$I30&lt;=AA$2),$E30,0),$E30*NETWORKDAYS(MAX($I30,AA$3),MIN($J30,AA$2),Data!$K$4:$K$203)/$K30)))</f>
        <v>0</v>
      </c>
      <c r="AB30" s="170">
        <f>IF(OR($I30="",$E30=0),0,IF(OR($J30&lt;AB$3,$I30&gt;AB$2),0,IF($K30=0,IF(AND($I30&gt;=AB$3,$I30&lt;=AB$2),$E30,0),$E30*NETWORKDAYS(MAX($I30,AB$3),MIN($J30,AB$2),Data!$K$4:$K$203)/$K30)))</f>
        <v>0</v>
      </c>
      <c r="AC30" s="170">
        <f>IF(OR($I30="",$E30=0),0,IF(OR($J30&lt;AC$3,$I30&gt;AC$2),0,IF($K30=0,IF(AND($I30&gt;=AC$3,$I30&lt;=AC$2),$E30,0),$E30*NETWORKDAYS(MAX($I30,AC$3),MIN($J30,AC$2),Data!$K$4:$K$203)/$K30)))</f>
        <v>0</v>
      </c>
      <c r="AD30" s="170">
        <f>IF(OR($I30="",$E30=0),0,IF(OR($J30&lt;AD$3,$I30&gt;AD$2),0,IF($K30=0,IF(AND($I30&gt;=AD$3,$I30&lt;=AD$2),$E30,0),$E30*NETWORKDAYS(MAX($I30,AD$3),MIN($J30,AD$2),Data!$K$4:$K$203)/$K30)))</f>
        <v>0</v>
      </c>
      <c r="AE30" s="170">
        <f>IF(OR($I30="",$E30=0),0,IF(OR($J30&lt;AE$3,$I30&gt;AE$2),0,IF($K30=0,IF(AND($I30&gt;=AE$3,$I30&lt;=AE$2),$E30,0),$E30*NETWORKDAYS(MAX($I30,AE$3),MIN($J30,AE$2),Data!$K$4:$K$203)/$K30)))</f>
        <v>0</v>
      </c>
      <c r="AF30" s="170">
        <f>IF(OR($I30="",$E30=0),0,IF(OR($J30&lt;AF$3,$I30&gt;AF$2),0,IF($K30=0,IF(AND($I30&gt;=AF$3,$I30&lt;=AF$2),$E30,0),$E30*NETWORKDAYS(MAX($I30,AF$3),MIN($J30,AF$2),Data!$K$4:$K$203)/$K30)))</f>
        <v>0</v>
      </c>
      <c r="AG30" s="170">
        <f>IF(OR($I30="",$E30=0),0,IF(OR($J30&lt;AG$3,$I30&gt;AG$2),0,IF($K30=0,IF(AND($I30&gt;=AG$3,$I30&lt;=AG$2),$E30,0),$E30*NETWORKDAYS(MAX($I30,AG$3),MIN($J30,AG$2),Data!$K$4:$K$203)/$K30)))</f>
        <v>0</v>
      </c>
      <c r="AH30" s="170">
        <f>IF(OR($I30="",$E30=0),0,IF(OR($J30&lt;AH$3,$I30&gt;AH$2),0,IF($K30=0,IF(AND($I30&gt;=AH$3,$I30&lt;=AH$2),$E30,0),$E30*NETWORKDAYS(MAX($I30,AH$3),MIN($J30,AH$2),Data!$K$4:$K$203)/$K30)))</f>
        <v>0</v>
      </c>
      <c r="AI30" s="170">
        <f>SUM(W30:AH30)</f>
        <v>0</v>
      </c>
      <c r="AK30" t="inlineStr">
        <is>
          <t>Aide affichée sur Charge (Oui / Non, bouton « Afficher / masquer l'aide »)</t>
        </is>
      </c>
      <c r="AL30" t="inlineStr">
        <is>
          <t>Oui</t>
        </is>
      </c>
      <c r="BW30" t="n">
        <v>27</v>
      </c>
      <c r="BX30" t="str">
        <f>IFERROR(MATCH(BW30,$EQ$4:$EQ$503,0),"")</f>
        <v/>
      </c>
      <c r="BY30" t="str">
        <f>IF(BX30="","",INDEX($FL$4:$FL$503,BX30))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70"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4" t="str">
        <f>IF(EO30=1,IF(FH30&gt;0,FI30/FH30,AVERAGEIF($FF$4:$FF$503,EN30,$C$4:$C$503)),"")</f>
        <v/>
      </c>
      <c r="EV30" s="169">
        <f>IF(ISNUMBER(I30),I30,2958465)</f>
        <v>2958465.0</v>
      </c>
      <c r="EW30" s="169" t="str">
        <f>IF(EO30=1,SUMPRODUCT(MIN(($EN$4:$EN$503=EN30)*$EV$4:$EV$503+($EN$4:$EN$503&lt;&gt;EN30)*2958465)),"")</f>
        <v/>
      </c>
      <c r="EX30" s="169">
        <f>IF(AND(D30=1,ISNUMBER(INDEX(Charge!$F:$F,ROW()))),INDEX(Charge!$F:$F,ROW()),0)</f>
        <v>0.0</v>
      </c>
      <c r="EY30" s="169"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c r="FF30" t="str">
        <f>IF(B30=1,LEFT(SUBSTITUTE(SUBSTITUTE(SUBSTITUTE(TRIM(SUBSTITUTE(INDEX(Charge!$B:$B,ROW()),CHAR(160)," "))&amp;" | "&amp;TRIM(SUBSTITUTE(INDEX(Charge!$C:$C,ROW()),CHAR(160)," "))&amp;" | "&amp;TRIM(SUBSTITUTE(INDEX(Charge!$D:$D,ROW()),CHAR(160)," ")),"~","-"),"*","+"),"?","!"),240),"")</f>
        <v/>
      </c>
      <c r="FG30">
        <f>IF(B30=1,MAX(0,N(INDEX(Charge!$M:$M,ROW()))),0)</f>
        <v>0</v>
      </c>
      <c r="FH30" s="170" t="str">
        <f>IF(EO30=1,ROUND(SUMIF($FF$4:$FF$503,EN30,$FG$4:$FG$503),2),"")</f>
        <v/>
      </c>
      <c r="FI30" s="170" t="str">
        <f>IF(EO30=1,ROUND(SUMPRODUCT(($FF$4:$FF$503=EN30)*$FG$4:$FG$503*$C$4:$C$503),2),"")</f>
        <v/>
      </c>
      <c r="FJ30" s="170" t="str">
        <f>IF(EO30=1,MAX(0,ROUND(FH30-FI30,2)),"")</f>
        <v/>
      </c>
      <c r="FK30" s="174" t="str">
        <f>IF(EO30=1,IF(OR(EW30&gt;=2958465,EY30=0,EY30&lt;=EW30),"",IF(TODAY()&lt;=EW30,0,IF(TODAY()&gt;EY30,1,IFERROR(NETWORKDAYS(EW30,TODAY()-1,Data!$K$4:$K$203)/NETWORKDAYS(EW30,EY30,Data!$K$4:$K$203),"")))),"")</f>
        <v/>
      </c>
      <c r="FL30" t="str">
        <f>IF(EO30=1,IF(AND(EY30&gt;0,EY30&lt;TODAY(),ROUND(EU30,4)&lt;1),2,IF(FK30="",0,IF(ROUND(EU30-FK30,4)&lt;-0.15,1,0))),"")</f>
        <v/>
      </c>
      <c r="FM30">
        <f>IF(OR(FA30="",COUNTIF($FA$4:FA29,FA30)&gt;0),0,MAX(0,IF(FB30="Interne",IF(ISNUMBER(INDEX(Data!$F:$F,30)),INDEX(Data!$F:$F,30),p_HeuresETP),IF(ISNUMBER(INDEX(Data!$I:$I,30-$CD$23)),INDEX(Data!$I:$I,30-$CD$23),p_HeuresETP))-IF(FB30="Interne",IF(ISNUMBER(INDEX(Data!$G:$G,30)),INDEX(Data!$G:$G,30),p_ChargeFixe),IF(ISNUMBER(INDEX(Data!$J:$J,30-$CD$23)),INDEX(Data!$J:$J,30-$CD$23),p_ChargeFixe))))</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9" t="str">
        <f>IF(AND(D31=1,ISNUMBER(INDEX(Charge!$N:$N,ROW()))),INDEX(Charge!$N:$N,ROW()),"")</f>
        <v/>
      </c>
      <c r="J31" s="169"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70">
        <f>IF(OR($I31="",$E31=0),0,IF(OR($J31&lt;W$3,$I31&gt;W$2),0,IF($K31=0,IF(AND($I31&gt;=W$3,$I31&lt;=W$2),$E31,0),$E31*NETWORKDAYS(MAX($I31,W$3),MIN($J31,W$2),Data!$K$4:$K$203)/$K31)))</f>
        <v>0</v>
      </c>
      <c r="X31" s="170">
        <f>IF(OR($I31="",$E31=0),0,IF(OR($J31&lt;X$3,$I31&gt;X$2),0,IF($K31=0,IF(AND($I31&gt;=X$3,$I31&lt;=X$2),$E31,0),$E31*NETWORKDAYS(MAX($I31,X$3),MIN($J31,X$2),Data!$K$4:$K$203)/$K31)))</f>
        <v>0</v>
      </c>
      <c r="Y31" s="170">
        <f>IF(OR($I31="",$E31=0),0,IF(OR($J31&lt;Y$3,$I31&gt;Y$2),0,IF($K31=0,IF(AND($I31&gt;=Y$3,$I31&lt;=Y$2),$E31,0),$E31*NETWORKDAYS(MAX($I31,Y$3),MIN($J31,Y$2),Data!$K$4:$K$203)/$K31)))</f>
        <v>0</v>
      </c>
      <c r="Z31" s="170">
        <f>IF(OR($I31="",$E31=0),0,IF(OR($J31&lt;Z$3,$I31&gt;Z$2),0,IF($K31=0,IF(AND($I31&gt;=Z$3,$I31&lt;=Z$2),$E31,0),$E31*NETWORKDAYS(MAX($I31,Z$3),MIN($J31,Z$2),Data!$K$4:$K$203)/$K31)))</f>
        <v>0</v>
      </c>
      <c r="AA31" s="170">
        <f>IF(OR($I31="",$E31=0),0,IF(OR($J31&lt;AA$3,$I31&gt;AA$2),0,IF($K31=0,IF(AND($I31&gt;=AA$3,$I31&lt;=AA$2),$E31,0),$E31*NETWORKDAYS(MAX($I31,AA$3),MIN($J31,AA$2),Data!$K$4:$K$203)/$K31)))</f>
        <v>0</v>
      </c>
      <c r="AB31" s="170">
        <f>IF(OR($I31="",$E31=0),0,IF(OR($J31&lt;AB$3,$I31&gt;AB$2),0,IF($K31=0,IF(AND($I31&gt;=AB$3,$I31&lt;=AB$2),$E31,0),$E31*NETWORKDAYS(MAX($I31,AB$3),MIN($J31,AB$2),Data!$K$4:$K$203)/$K31)))</f>
        <v>0</v>
      </c>
      <c r="AC31" s="170">
        <f>IF(OR($I31="",$E31=0),0,IF(OR($J31&lt;AC$3,$I31&gt;AC$2),0,IF($K31=0,IF(AND($I31&gt;=AC$3,$I31&lt;=AC$2),$E31,0),$E31*NETWORKDAYS(MAX($I31,AC$3),MIN($J31,AC$2),Data!$K$4:$K$203)/$K31)))</f>
        <v>0</v>
      </c>
      <c r="AD31" s="170">
        <f>IF(OR($I31="",$E31=0),0,IF(OR($J31&lt;AD$3,$I31&gt;AD$2),0,IF($K31=0,IF(AND($I31&gt;=AD$3,$I31&lt;=AD$2),$E31,0),$E31*NETWORKDAYS(MAX($I31,AD$3),MIN($J31,AD$2),Data!$K$4:$K$203)/$K31)))</f>
        <v>0</v>
      </c>
      <c r="AE31" s="170">
        <f>IF(OR($I31="",$E31=0),0,IF(OR($J31&lt;AE$3,$I31&gt;AE$2),0,IF($K31=0,IF(AND($I31&gt;=AE$3,$I31&lt;=AE$2),$E31,0),$E31*NETWORKDAYS(MAX($I31,AE$3),MIN($J31,AE$2),Data!$K$4:$K$203)/$K31)))</f>
        <v>0</v>
      </c>
      <c r="AF31" s="170">
        <f>IF(OR($I31="",$E31=0),0,IF(OR($J31&lt;AF$3,$I31&gt;AF$2),0,IF($K31=0,IF(AND($I31&gt;=AF$3,$I31&lt;=AF$2),$E31,0),$E31*NETWORKDAYS(MAX($I31,AF$3),MIN($J31,AF$2),Data!$K$4:$K$203)/$K31)))</f>
        <v>0</v>
      </c>
      <c r="AG31" s="170">
        <f>IF(OR($I31="",$E31=0),0,IF(OR($J31&lt;AG$3,$I31&gt;AG$2),0,IF($K31=0,IF(AND($I31&gt;=AG$3,$I31&lt;=AG$2),$E31,0),$E31*NETWORKDAYS(MAX($I31,AG$3),MIN($J31,AG$2),Data!$K$4:$K$203)/$K31)))</f>
        <v>0</v>
      </c>
      <c r="AH31" s="170">
        <f>IF(OR($I31="",$E31=0),0,IF(OR($J31&lt;AH$3,$I31&gt;AH$2),0,IF($K31=0,IF(AND($I31&gt;=AH$3,$I31&lt;=AH$2),$E31,0),$E31*NETWORKDAYS(MAX($I31,AH$3),MIN($J31,AH$2),Data!$K$4:$K$203)/$K31)))</f>
        <v>0</v>
      </c>
      <c r="AI31" s="170">
        <f>SUM(W31:AH31)</f>
        <v>0</v>
      </c>
      <c r="AK31" t="inlineStr">
        <is>
          <t>Aide affichée sur Data (Oui / Non, bouton « Afficher / masquer l'aide »)</t>
        </is>
      </c>
      <c r="AL31" t="inlineStr">
        <is>
          <t>Oui</t>
        </is>
      </c>
      <c r="BW31" t="n">
        <v>28</v>
      </c>
      <c r="BX31" t="str">
        <f>IFERROR(MATCH(BW31,$EQ$4:$EQ$503,0),"")</f>
        <v/>
      </c>
      <c r="BY31" t="str">
        <f>IF(BX31="","",INDEX($FL$4:$FL$503,BX31))</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70"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4" t="str">
        <f>IF(EO31=1,IF(FH31&gt;0,FI31/FH31,AVERAGEIF($FF$4:$FF$503,EN31,$C$4:$C$503)),"")</f>
        <v/>
      </c>
      <c r="EV31" s="169">
        <f>IF(ISNUMBER(I31),I31,2958465)</f>
        <v>2958465.0</v>
      </c>
      <c r="EW31" s="169" t="str">
        <f>IF(EO31=1,SUMPRODUCT(MIN(($EN$4:$EN$503=EN31)*$EV$4:$EV$503+($EN$4:$EN$503&lt;&gt;EN31)*2958465)),"")</f>
        <v/>
      </c>
      <c r="EX31" s="169">
        <f>IF(AND(D31=1,ISNUMBER(INDEX(Charge!$F:$F,ROW()))),INDEX(Charge!$F:$F,ROW()),0)</f>
        <v>0.0</v>
      </c>
      <c r="EY31" s="169"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c r="FF31" t="str">
        <f>IF(B31=1,LEFT(SUBSTITUTE(SUBSTITUTE(SUBSTITUTE(TRIM(SUBSTITUTE(INDEX(Charge!$B:$B,ROW()),CHAR(160)," "))&amp;" | "&amp;TRIM(SUBSTITUTE(INDEX(Charge!$C:$C,ROW()),CHAR(160)," "))&amp;" | "&amp;TRIM(SUBSTITUTE(INDEX(Charge!$D:$D,ROW()),CHAR(160)," ")),"~","-"),"*","+"),"?","!"),240),"")</f>
        <v/>
      </c>
      <c r="FG31">
        <f>IF(B31=1,MAX(0,N(INDEX(Charge!$M:$M,ROW()))),0)</f>
        <v>0</v>
      </c>
      <c r="FH31" s="170" t="str">
        <f>IF(EO31=1,ROUND(SUMIF($FF$4:$FF$503,EN31,$FG$4:$FG$503),2),"")</f>
        <v/>
      </c>
      <c r="FI31" s="170" t="str">
        <f>IF(EO31=1,ROUND(SUMPRODUCT(($FF$4:$FF$503=EN31)*$FG$4:$FG$503*$C$4:$C$503),2),"")</f>
        <v/>
      </c>
      <c r="FJ31" s="170" t="str">
        <f>IF(EO31=1,MAX(0,ROUND(FH31-FI31,2)),"")</f>
        <v/>
      </c>
      <c r="FK31" s="174" t="str">
        <f>IF(EO31=1,IF(OR(EW31&gt;=2958465,EY31=0,EY31&lt;=EW31),"",IF(TODAY()&lt;=EW31,0,IF(TODAY()&gt;EY31,1,IFERROR(NETWORKDAYS(EW31,TODAY()-1,Data!$K$4:$K$203)/NETWORKDAYS(EW31,EY31,Data!$K$4:$K$203),"")))),"")</f>
        <v/>
      </c>
      <c r="FL31" t="str">
        <f>IF(EO31=1,IF(AND(EY31&gt;0,EY31&lt;TODAY(),ROUND(EU31,4)&lt;1),2,IF(FK31="",0,IF(ROUND(EU31-FK31,4)&lt;-0.15,1,0))),"")</f>
        <v/>
      </c>
      <c r="FM31">
        <f>IF(OR(FA31="",COUNTIF($FA$4:FA30,FA31)&gt;0),0,MAX(0,IF(FB31="Interne",IF(ISNUMBER(INDEX(Data!$F:$F,31)),INDEX(Data!$F:$F,31),p_HeuresETP),IF(ISNUMBER(INDEX(Data!$I:$I,31-$CD$23)),INDEX(Data!$I:$I,31-$CD$23),p_HeuresETP))-IF(FB31="Interne",IF(ISNUMBER(INDEX(Data!$G:$G,31)),INDEX(Data!$G:$G,31),p_ChargeFixe),IF(ISNUMBER(INDEX(Data!$J:$J,31-$CD$23)),INDEX(Data!$J:$J,31-$CD$23),p_ChargeFixe))))</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9" t="str">
        <f>IF(AND(D32=1,ISNUMBER(INDEX(Charge!$N:$N,ROW()))),INDEX(Charge!$N:$N,ROW()),"")</f>
        <v/>
      </c>
      <c r="J32" s="169"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70">
        <f>IF(OR($I32="",$E32=0),0,IF(OR($J32&lt;W$3,$I32&gt;W$2),0,IF($K32=0,IF(AND($I32&gt;=W$3,$I32&lt;=W$2),$E32,0),$E32*NETWORKDAYS(MAX($I32,W$3),MIN($J32,W$2),Data!$K$4:$K$203)/$K32)))</f>
        <v>0</v>
      </c>
      <c r="X32" s="170">
        <f>IF(OR($I32="",$E32=0),0,IF(OR($J32&lt;X$3,$I32&gt;X$2),0,IF($K32=0,IF(AND($I32&gt;=X$3,$I32&lt;=X$2),$E32,0),$E32*NETWORKDAYS(MAX($I32,X$3),MIN($J32,X$2),Data!$K$4:$K$203)/$K32)))</f>
        <v>0</v>
      </c>
      <c r="Y32" s="170">
        <f>IF(OR($I32="",$E32=0),0,IF(OR($J32&lt;Y$3,$I32&gt;Y$2),0,IF($K32=0,IF(AND($I32&gt;=Y$3,$I32&lt;=Y$2),$E32,0),$E32*NETWORKDAYS(MAX($I32,Y$3),MIN($J32,Y$2),Data!$K$4:$K$203)/$K32)))</f>
        <v>0</v>
      </c>
      <c r="Z32" s="170">
        <f>IF(OR($I32="",$E32=0),0,IF(OR($J32&lt;Z$3,$I32&gt;Z$2),0,IF($K32=0,IF(AND($I32&gt;=Z$3,$I32&lt;=Z$2),$E32,0),$E32*NETWORKDAYS(MAX($I32,Z$3),MIN($J32,Z$2),Data!$K$4:$K$203)/$K32)))</f>
        <v>0</v>
      </c>
      <c r="AA32" s="170">
        <f>IF(OR($I32="",$E32=0),0,IF(OR($J32&lt;AA$3,$I32&gt;AA$2),0,IF($K32=0,IF(AND($I32&gt;=AA$3,$I32&lt;=AA$2),$E32,0),$E32*NETWORKDAYS(MAX($I32,AA$3),MIN($J32,AA$2),Data!$K$4:$K$203)/$K32)))</f>
        <v>0</v>
      </c>
      <c r="AB32" s="170">
        <f>IF(OR($I32="",$E32=0),0,IF(OR($J32&lt;AB$3,$I32&gt;AB$2),0,IF($K32=0,IF(AND($I32&gt;=AB$3,$I32&lt;=AB$2),$E32,0),$E32*NETWORKDAYS(MAX($I32,AB$3),MIN($J32,AB$2),Data!$K$4:$K$203)/$K32)))</f>
        <v>0</v>
      </c>
      <c r="AC32" s="170">
        <f>IF(OR($I32="",$E32=0),0,IF(OR($J32&lt;AC$3,$I32&gt;AC$2),0,IF($K32=0,IF(AND($I32&gt;=AC$3,$I32&lt;=AC$2),$E32,0),$E32*NETWORKDAYS(MAX($I32,AC$3),MIN($J32,AC$2),Data!$K$4:$K$203)/$K32)))</f>
        <v>0</v>
      </c>
      <c r="AD32" s="170">
        <f>IF(OR($I32="",$E32=0),0,IF(OR($J32&lt;AD$3,$I32&gt;AD$2),0,IF($K32=0,IF(AND($I32&gt;=AD$3,$I32&lt;=AD$2),$E32,0),$E32*NETWORKDAYS(MAX($I32,AD$3),MIN($J32,AD$2),Data!$K$4:$K$203)/$K32)))</f>
        <v>0</v>
      </c>
      <c r="AE32" s="170">
        <f>IF(OR($I32="",$E32=0),0,IF(OR($J32&lt;AE$3,$I32&gt;AE$2),0,IF($K32=0,IF(AND($I32&gt;=AE$3,$I32&lt;=AE$2),$E32,0),$E32*NETWORKDAYS(MAX($I32,AE$3),MIN($J32,AE$2),Data!$K$4:$K$203)/$K32)))</f>
        <v>0</v>
      </c>
      <c r="AF32" s="170">
        <f>IF(OR($I32="",$E32=0),0,IF(OR($J32&lt;AF$3,$I32&gt;AF$2),0,IF($K32=0,IF(AND($I32&gt;=AF$3,$I32&lt;=AF$2),$E32,0),$E32*NETWORKDAYS(MAX($I32,AF$3),MIN($J32,AF$2),Data!$K$4:$K$203)/$K32)))</f>
        <v>0</v>
      </c>
      <c r="AG32" s="170">
        <f>IF(OR($I32="",$E32=0),0,IF(OR($J32&lt;AG$3,$I32&gt;AG$2),0,IF($K32=0,IF(AND($I32&gt;=AG$3,$I32&lt;=AG$2),$E32,0),$E32*NETWORKDAYS(MAX($I32,AG$3),MIN($J32,AG$2),Data!$K$4:$K$203)/$K32)))</f>
        <v>0</v>
      </c>
      <c r="AH32" s="170">
        <f>IF(OR($I32="",$E32=0),0,IF(OR($J32&lt;AH$3,$I32&gt;AH$2),0,IF($K32=0,IF(AND($I32&gt;=AH$3,$I32&lt;=AH$2),$E32,0),$E32*NETWORKDAYS(MAX($I32,AH$3),MIN($J32,AH$2),Data!$K$4:$K$203)/$K32)))</f>
        <v>0</v>
      </c>
      <c r="AI32" s="170">
        <f>SUM(W32:AH32)</f>
        <v>0</v>
      </c>
      <c r="AK32" t="inlineStr">
        <is>
          <t>Macros actives (Oui écrit à l'ouverture par la macro ; Non dans le fichier enregistré)</t>
        </is>
      </c>
      <c r="AL32" t="inlineStr">
        <is>
          <t>Non</t>
        </is>
      </c>
      <c r="BW32" t="n">
        <v>29</v>
      </c>
      <c r="BX32" t="str">
        <f>IFERROR(MATCH(BW32,$EQ$4:$EQ$503,0),"")</f>
        <v/>
      </c>
      <c r="BY32" t="str">
        <f>IF(BX32="","",INDEX($FL$4:$FL$503,BX32))</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70"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4" t="str">
        <f>IF(EO32=1,IF(FH32&gt;0,FI32/FH32,AVERAGEIF($FF$4:$FF$503,EN32,$C$4:$C$503)),"")</f>
        <v/>
      </c>
      <c r="EV32" s="169">
        <f>IF(ISNUMBER(I32),I32,2958465)</f>
        <v>2958465.0</v>
      </c>
      <c r="EW32" s="169" t="str">
        <f>IF(EO32=1,SUMPRODUCT(MIN(($EN$4:$EN$503=EN32)*$EV$4:$EV$503+($EN$4:$EN$503&lt;&gt;EN32)*2958465)),"")</f>
        <v/>
      </c>
      <c r="EX32" s="169">
        <f>IF(AND(D32=1,ISNUMBER(INDEX(Charge!$F:$F,ROW()))),INDEX(Charge!$F:$F,ROW()),0)</f>
        <v>0.0</v>
      </c>
      <c r="EY32" s="169"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c r="FF32" t="str">
        <f>IF(B32=1,LEFT(SUBSTITUTE(SUBSTITUTE(SUBSTITUTE(TRIM(SUBSTITUTE(INDEX(Charge!$B:$B,ROW()),CHAR(160)," "))&amp;" | "&amp;TRIM(SUBSTITUTE(INDEX(Charge!$C:$C,ROW()),CHAR(160)," "))&amp;" | "&amp;TRIM(SUBSTITUTE(INDEX(Charge!$D:$D,ROW()),CHAR(160)," ")),"~","-"),"*","+"),"?","!"),240),"")</f>
        <v/>
      </c>
      <c r="FG32">
        <f>IF(B32=1,MAX(0,N(INDEX(Charge!$M:$M,ROW()))),0)</f>
        <v>0</v>
      </c>
      <c r="FH32" s="170" t="str">
        <f>IF(EO32=1,ROUND(SUMIF($FF$4:$FF$503,EN32,$FG$4:$FG$503),2),"")</f>
        <v/>
      </c>
      <c r="FI32" s="170" t="str">
        <f>IF(EO32=1,ROUND(SUMPRODUCT(($FF$4:$FF$503=EN32)*$FG$4:$FG$503*$C$4:$C$503),2),"")</f>
        <v/>
      </c>
      <c r="FJ32" s="170" t="str">
        <f>IF(EO32=1,MAX(0,ROUND(FH32-FI32,2)),"")</f>
        <v/>
      </c>
      <c r="FK32" s="174" t="str">
        <f>IF(EO32=1,IF(OR(EW32&gt;=2958465,EY32=0,EY32&lt;=EW32),"",IF(TODAY()&lt;=EW32,0,IF(TODAY()&gt;EY32,1,IFERROR(NETWORKDAYS(EW32,TODAY()-1,Data!$K$4:$K$203)/NETWORKDAYS(EW32,EY32,Data!$K$4:$K$203),"")))),"")</f>
        <v/>
      </c>
      <c r="FL32" t="str">
        <f>IF(EO32=1,IF(AND(EY32&gt;0,EY32&lt;TODAY(),ROUND(EU32,4)&lt;1),2,IF(FK32="",0,IF(ROUND(EU32-FK32,4)&lt;-0.15,1,0))),"")</f>
        <v/>
      </c>
      <c r="FM32">
        <f>IF(OR(FA32="",COUNTIF($FA$4:FA31,FA32)&gt;0),0,MAX(0,IF(FB32="Interne",IF(ISNUMBER(INDEX(Data!$F:$F,32)),INDEX(Data!$F:$F,32),p_HeuresETP),IF(ISNUMBER(INDEX(Data!$I:$I,32-$CD$23)),INDEX(Data!$I:$I,32-$CD$23),p_HeuresETP))-IF(FB32="Interne",IF(ISNUMBER(INDEX(Data!$G:$G,32)),INDEX(Data!$G:$G,32),p_ChargeFixe),IF(ISNUMBER(INDEX(Data!$J:$J,32-$CD$23)),INDEX(Data!$J:$J,32-$CD$23),p_ChargeFixe))))</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9" t="str">
        <f>IF(AND(D33=1,ISNUMBER(INDEX(Charge!$N:$N,ROW()))),INDEX(Charge!$N:$N,ROW()),"")</f>
        <v/>
      </c>
      <c r="J33" s="169"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70">
        <f>IF(OR($I33="",$E33=0),0,IF(OR($J33&lt;W$3,$I33&gt;W$2),0,IF($K33=0,IF(AND($I33&gt;=W$3,$I33&lt;=W$2),$E33,0),$E33*NETWORKDAYS(MAX($I33,W$3),MIN($J33,W$2),Data!$K$4:$K$203)/$K33)))</f>
        <v>0</v>
      </c>
      <c r="X33" s="170">
        <f>IF(OR($I33="",$E33=0),0,IF(OR($J33&lt;X$3,$I33&gt;X$2),0,IF($K33=0,IF(AND($I33&gt;=X$3,$I33&lt;=X$2),$E33,0),$E33*NETWORKDAYS(MAX($I33,X$3),MIN($J33,X$2),Data!$K$4:$K$203)/$K33)))</f>
        <v>0</v>
      </c>
      <c r="Y33" s="170">
        <f>IF(OR($I33="",$E33=0),0,IF(OR($J33&lt;Y$3,$I33&gt;Y$2),0,IF($K33=0,IF(AND($I33&gt;=Y$3,$I33&lt;=Y$2),$E33,0),$E33*NETWORKDAYS(MAX($I33,Y$3),MIN($J33,Y$2),Data!$K$4:$K$203)/$K33)))</f>
        <v>0</v>
      </c>
      <c r="Z33" s="170">
        <f>IF(OR($I33="",$E33=0),0,IF(OR($J33&lt;Z$3,$I33&gt;Z$2),0,IF($K33=0,IF(AND($I33&gt;=Z$3,$I33&lt;=Z$2),$E33,0),$E33*NETWORKDAYS(MAX($I33,Z$3),MIN($J33,Z$2),Data!$K$4:$K$203)/$K33)))</f>
        <v>0</v>
      </c>
      <c r="AA33" s="170">
        <f>IF(OR($I33="",$E33=0),0,IF(OR($J33&lt;AA$3,$I33&gt;AA$2),0,IF($K33=0,IF(AND($I33&gt;=AA$3,$I33&lt;=AA$2),$E33,0),$E33*NETWORKDAYS(MAX($I33,AA$3),MIN($J33,AA$2),Data!$K$4:$K$203)/$K33)))</f>
        <v>0</v>
      </c>
      <c r="AB33" s="170">
        <f>IF(OR($I33="",$E33=0),0,IF(OR($J33&lt;AB$3,$I33&gt;AB$2),0,IF($K33=0,IF(AND($I33&gt;=AB$3,$I33&lt;=AB$2),$E33,0),$E33*NETWORKDAYS(MAX($I33,AB$3),MIN($J33,AB$2),Data!$K$4:$K$203)/$K33)))</f>
        <v>0</v>
      </c>
      <c r="AC33" s="170">
        <f>IF(OR($I33="",$E33=0),0,IF(OR($J33&lt;AC$3,$I33&gt;AC$2),0,IF($K33=0,IF(AND($I33&gt;=AC$3,$I33&lt;=AC$2),$E33,0),$E33*NETWORKDAYS(MAX($I33,AC$3),MIN($J33,AC$2),Data!$K$4:$K$203)/$K33)))</f>
        <v>0</v>
      </c>
      <c r="AD33" s="170">
        <f>IF(OR($I33="",$E33=0),0,IF(OR($J33&lt;AD$3,$I33&gt;AD$2),0,IF($K33=0,IF(AND($I33&gt;=AD$3,$I33&lt;=AD$2),$E33,0),$E33*NETWORKDAYS(MAX($I33,AD$3),MIN($J33,AD$2),Data!$K$4:$K$203)/$K33)))</f>
        <v>0</v>
      </c>
      <c r="AE33" s="170">
        <f>IF(OR($I33="",$E33=0),0,IF(OR($J33&lt;AE$3,$I33&gt;AE$2),0,IF($K33=0,IF(AND($I33&gt;=AE$3,$I33&lt;=AE$2),$E33,0),$E33*NETWORKDAYS(MAX($I33,AE$3),MIN($J33,AE$2),Data!$K$4:$K$203)/$K33)))</f>
        <v>0</v>
      </c>
      <c r="AF33" s="170">
        <f>IF(OR($I33="",$E33=0),0,IF(OR($J33&lt;AF$3,$I33&gt;AF$2),0,IF($K33=0,IF(AND($I33&gt;=AF$3,$I33&lt;=AF$2),$E33,0),$E33*NETWORKDAYS(MAX($I33,AF$3),MIN($J33,AF$2),Data!$K$4:$K$203)/$K33)))</f>
        <v>0</v>
      </c>
      <c r="AG33" s="170">
        <f>IF(OR($I33="",$E33=0),0,IF(OR($J33&lt;AG$3,$I33&gt;AG$2),0,IF($K33=0,IF(AND($I33&gt;=AG$3,$I33&lt;=AG$2),$E33,0),$E33*NETWORKDAYS(MAX($I33,AG$3),MIN($J33,AG$2),Data!$K$4:$K$203)/$K33)))</f>
        <v>0</v>
      </c>
      <c r="AH33" s="170">
        <f>IF(OR($I33="",$E33=0),0,IF(OR($J33&lt;AH$3,$I33&gt;AH$2),0,IF($K33=0,IF(AND($I33&gt;=AH$3,$I33&lt;=AH$2),$E33,0),$E33*NETWORKDAYS(MAX($I33,AH$3),MIN($J33,AH$2),Data!$K$4:$K$203)/$K33)))</f>
        <v>0</v>
      </c>
      <c r="AI33" s="170">
        <f>SUM(W33:AH33)</f>
        <v>0</v>
      </c>
      <c r="AK33" t="inlineStr">
        <is>
          <t>Capacité projets de l'équipe (h/mois) : somme des (capacité - charge fixe) des ressources Data</t>
        </is>
      </c>
      <c r="AL33" s="176">
        <f>SUM(FM4:FM403)</f>
        <v>776</v>
      </c>
      <c r="BW33" t="n">
        <v>30</v>
      </c>
      <c r="BX33" t="str">
        <f>IFERROR(MATCH(BW33,$EQ$4:$EQ$503,0),"")</f>
        <v/>
      </c>
      <c r="BY33" t="str">
        <f>IF(BX33="","",INDEX($FL$4:$FL$503,BX33))</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70"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4" t="str">
        <f>IF(EO33=1,IF(FH33&gt;0,FI33/FH33,AVERAGEIF($FF$4:$FF$503,EN33,$C$4:$C$503)),"")</f>
        <v/>
      </c>
      <c r="EV33" s="169">
        <f>IF(ISNUMBER(I33),I33,2958465)</f>
        <v>2958465.0</v>
      </c>
      <c r="EW33" s="169" t="str">
        <f>IF(EO33=1,SUMPRODUCT(MIN(($EN$4:$EN$503=EN33)*$EV$4:$EV$503+($EN$4:$EN$503&lt;&gt;EN33)*2958465)),"")</f>
        <v/>
      </c>
      <c r="EX33" s="169">
        <f>IF(AND(D33=1,ISNUMBER(INDEX(Charge!$F:$F,ROW()))),INDEX(Charge!$F:$F,ROW()),0)</f>
        <v>0.0</v>
      </c>
      <c r="EY33" s="169"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c r="FF33" t="str">
        <f>IF(B33=1,LEFT(SUBSTITUTE(SUBSTITUTE(SUBSTITUTE(TRIM(SUBSTITUTE(INDEX(Charge!$B:$B,ROW()),CHAR(160)," "))&amp;" | "&amp;TRIM(SUBSTITUTE(INDEX(Charge!$C:$C,ROW()),CHAR(160)," "))&amp;" | "&amp;TRIM(SUBSTITUTE(INDEX(Charge!$D:$D,ROW()),CHAR(160)," ")),"~","-"),"*","+"),"?","!"),240),"")</f>
        <v/>
      </c>
      <c r="FG33">
        <f>IF(B33=1,MAX(0,N(INDEX(Charge!$M:$M,ROW()))),0)</f>
        <v>0</v>
      </c>
      <c r="FH33" s="170" t="str">
        <f>IF(EO33=1,ROUND(SUMIF($FF$4:$FF$503,EN33,$FG$4:$FG$503),2),"")</f>
        <v/>
      </c>
      <c r="FI33" s="170" t="str">
        <f>IF(EO33=1,ROUND(SUMPRODUCT(($FF$4:$FF$503=EN33)*$FG$4:$FG$503*$C$4:$C$503),2),"")</f>
        <v/>
      </c>
      <c r="FJ33" s="170" t="str">
        <f>IF(EO33=1,MAX(0,ROUND(FH33-FI33,2)),"")</f>
        <v/>
      </c>
      <c r="FK33" s="174" t="str">
        <f>IF(EO33=1,IF(OR(EW33&gt;=2958465,EY33=0,EY33&lt;=EW33),"",IF(TODAY()&lt;=EW33,0,IF(TODAY()&gt;EY33,1,IFERROR(NETWORKDAYS(EW33,TODAY()-1,Data!$K$4:$K$203)/NETWORKDAYS(EW33,EY33,Data!$K$4:$K$203),"")))),"")</f>
        <v/>
      </c>
      <c r="FL33" t="str">
        <f>IF(EO33=1,IF(AND(EY33&gt;0,EY33&lt;TODAY(),ROUND(EU33,4)&lt;1),2,IF(FK33="",0,IF(ROUND(EU33-FK33,4)&lt;-0.15,1,0))),"")</f>
        <v/>
      </c>
      <c r="FM33">
        <f>IF(OR(FA33="",COUNTIF($FA$4:FA32,FA33)&gt;0),0,MAX(0,IF(FB33="Interne",IF(ISNUMBER(INDEX(Data!$F:$F,33)),INDEX(Data!$F:$F,33),p_HeuresETP),IF(ISNUMBER(INDEX(Data!$I:$I,33-$CD$23)),INDEX(Data!$I:$I,33-$CD$23),p_HeuresETP))-IF(FB33="Interne",IF(ISNUMBER(INDEX(Data!$G:$G,33)),INDEX(Data!$G:$G,33),p_ChargeFixe),IF(ISNUMBER(INDEX(Data!$J:$J,33-$CD$23)),INDEX(Data!$J:$J,33-$CD$23),p_ChargeFixe))))</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9" t="str">
        <f>IF(AND(D34=1,ISNUMBER(INDEX(Charge!$N:$N,ROW()))),INDEX(Charge!$N:$N,ROW()),"")</f>
        <v/>
      </c>
      <c r="J34" s="169"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70">
        <f>IF(OR($I34="",$E34=0),0,IF(OR($J34&lt;W$3,$I34&gt;W$2),0,IF($K34=0,IF(AND($I34&gt;=W$3,$I34&lt;=W$2),$E34,0),$E34*NETWORKDAYS(MAX($I34,W$3),MIN($J34,W$2),Data!$K$4:$K$203)/$K34)))</f>
        <v>0</v>
      </c>
      <c r="X34" s="170">
        <f>IF(OR($I34="",$E34=0),0,IF(OR($J34&lt;X$3,$I34&gt;X$2),0,IF($K34=0,IF(AND($I34&gt;=X$3,$I34&lt;=X$2),$E34,0),$E34*NETWORKDAYS(MAX($I34,X$3),MIN($J34,X$2),Data!$K$4:$K$203)/$K34)))</f>
        <v>0</v>
      </c>
      <c r="Y34" s="170">
        <f>IF(OR($I34="",$E34=0),0,IF(OR($J34&lt;Y$3,$I34&gt;Y$2),0,IF($K34=0,IF(AND($I34&gt;=Y$3,$I34&lt;=Y$2),$E34,0),$E34*NETWORKDAYS(MAX($I34,Y$3),MIN($J34,Y$2),Data!$K$4:$K$203)/$K34)))</f>
        <v>0</v>
      </c>
      <c r="Z34" s="170">
        <f>IF(OR($I34="",$E34=0),0,IF(OR($J34&lt;Z$3,$I34&gt;Z$2),0,IF($K34=0,IF(AND($I34&gt;=Z$3,$I34&lt;=Z$2),$E34,0),$E34*NETWORKDAYS(MAX($I34,Z$3),MIN($J34,Z$2),Data!$K$4:$K$203)/$K34)))</f>
        <v>0</v>
      </c>
      <c r="AA34" s="170">
        <f>IF(OR($I34="",$E34=0),0,IF(OR($J34&lt;AA$3,$I34&gt;AA$2),0,IF($K34=0,IF(AND($I34&gt;=AA$3,$I34&lt;=AA$2),$E34,0),$E34*NETWORKDAYS(MAX($I34,AA$3),MIN($J34,AA$2),Data!$K$4:$K$203)/$K34)))</f>
        <v>0</v>
      </c>
      <c r="AB34" s="170">
        <f>IF(OR($I34="",$E34=0),0,IF(OR($J34&lt;AB$3,$I34&gt;AB$2),0,IF($K34=0,IF(AND($I34&gt;=AB$3,$I34&lt;=AB$2),$E34,0),$E34*NETWORKDAYS(MAX($I34,AB$3),MIN($J34,AB$2),Data!$K$4:$K$203)/$K34)))</f>
        <v>0</v>
      </c>
      <c r="AC34" s="170">
        <f>IF(OR($I34="",$E34=0),0,IF(OR($J34&lt;AC$3,$I34&gt;AC$2),0,IF($K34=0,IF(AND($I34&gt;=AC$3,$I34&lt;=AC$2),$E34,0),$E34*NETWORKDAYS(MAX($I34,AC$3),MIN($J34,AC$2),Data!$K$4:$K$203)/$K34)))</f>
        <v>0</v>
      </c>
      <c r="AD34" s="170">
        <f>IF(OR($I34="",$E34=0),0,IF(OR($J34&lt;AD$3,$I34&gt;AD$2),0,IF($K34=0,IF(AND($I34&gt;=AD$3,$I34&lt;=AD$2),$E34,0),$E34*NETWORKDAYS(MAX($I34,AD$3),MIN($J34,AD$2),Data!$K$4:$K$203)/$K34)))</f>
        <v>0</v>
      </c>
      <c r="AE34" s="170">
        <f>IF(OR($I34="",$E34=0),0,IF(OR($J34&lt;AE$3,$I34&gt;AE$2),0,IF($K34=0,IF(AND($I34&gt;=AE$3,$I34&lt;=AE$2),$E34,0),$E34*NETWORKDAYS(MAX($I34,AE$3),MIN($J34,AE$2),Data!$K$4:$K$203)/$K34)))</f>
        <v>0</v>
      </c>
      <c r="AF34" s="170">
        <f>IF(OR($I34="",$E34=0),0,IF(OR($J34&lt;AF$3,$I34&gt;AF$2),0,IF($K34=0,IF(AND($I34&gt;=AF$3,$I34&lt;=AF$2),$E34,0),$E34*NETWORKDAYS(MAX($I34,AF$3),MIN($J34,AF$2),Data!$K$4:$K$203)/$K34)))</f>
        <v>0</v>
      </c>
      <c r="AG34" s="170">
        <f>IF(OR($I34="",$E34=0),0,IF(OR($J34&lt;AG$3,$I34&gt;AG$2),0,IF($K34=0,IF(AND($I34&gt;=AG$3,$I34&lt;=AG$2),$E34,0),$E34*NETWORKDAYS(MAX($I34,AG$3),MIN($J34,AG$2),Data!$K$4:$K$203)/$K34)))</f>
        <v>0</v>
      </c>
      <c r="AH34" s="170">
        <f>IF(OR($I34="",$E34=0),0,IF(OR($J34&lt;AH$3,$I34&gt;AH$2),0,IF($K34=0,IF(AND($I34&gt;=AH$3,$I34&lt;=AH$2),$E34,0),$E34*NETWORKDAYS(MAX($I34,AH$3),MIN($J34,AH$2),Data!$K$4:$K$203)/$K34)))</f>
        <v>0</v>
      </c>
      <c r="AI34" s="170">
        <f>SUM(W34:AH34)</f>
        <v>0</v>
      </c>
      <c r="AK34" t="inlineStr">
        <is>
          <t>Mois où la charge dépasse la capacité projets de l'équipe</t>
        </is>
      </c>
      <c r="AL34" s="175">
        <f>SUMPRODUCT(--(ROUND(AP4:AP15,0)&gt;ROUND(AL33,0)))</f>
        <v>0</v>
      </c>
      <c r="BW34" t="n">
        <v>31</v>
      </c>
      <c r="BX34" t="str">
        <f>IFERROR(MATCH(BW34,$EQ$4:$EQ$503,0),"")</f>
        <v/>
      </c>
      <c r="BY34" t="str">
        <f>IF(BX34="","",INDEX($FL$4:$FL$503,BX34))</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70"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4" t="str">
        <f>IF(EO34=1,IF(FH34&gt;0,FI34/FH34,AVERAGEIF($FF$4:$FF$503,EN34,$C$4:$C$503)),"")</f>
        <v/>
      </c>
      <c r="EV34" s="169">
        <f>IF(ISNUMBER(I34),I34,2958465)</f>
        <v>2958465.0</v>
      </c>
      <c r="EW34" s="169" t="str">
        <f>IF(EO34=1,SUMPRODUCT(MIN(($EN$4:$EN$503=EN34)*$EV$4:$EV$503+($EN$4:$EN$503&lt;&gt;EN34)*2958465)),"")</f>
        <v/>
      </c>
      <c r="EX34" s="169">
        <f>IF(AND(D34=1,ISNUMBER(INDEX(Charge!$F:$F,ROW()))),INDEX(Charge!$F:$F,ROW()),0)</f>
        <v>0.0</v>
      </c>
      <c r="EY34" s="169"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c r="FF34" t="str">
        <f>IF(B34=1,LEFT(SUBSTITUTE(SUBSTITUTE(SUBSTITUTE(TRIM(SUBSTITUTE(INDEX(Charge!$B:$B,ROW()),CHAR(160)," "))&amp;" | "&amp;TRIM(SUBSTITUTE(INDEX(Charge!$C:$C,ROW()),CHAR(160)," "))&amp;" | "&amp;TRIM(SUBSTITUTE(INDEX(Charge!$D:$D,ROW()),CHAR(160)," ")),"~","-"),"*","+"),"?","!"),240),"")</f>
        <v/>
      </c>
      <c r="FG34">
        <f>IF(B34=1,MAX(0,N(INDEX(Charge!$M:$M,ROW()))),0)</f>
        <v>0</v>
      </c>
      <c r="FH34" s="170" t="str">
        <f>IF(EO34=1,ROUND(SUMIF($FF$4:$FF$503,EN34,$FG$4:$FG$503),2),"")</f>
        <v/>
      </c>
      <c r="FI34" s="170" t="str">
        <f>IF(EO34=1,ROUND(SUMPRODUCT(($FF$4:$FF$503=EN34)*$FG$4:$FG$503*$C$4:$C$503),2),"")</f>
        <v/>
      </c>
      <c r="FJ34" s="170" t="str">
        <f>IF(EO34=1,MAX(0,ROUND(FH34-FI34,2)),"")</f>
        <v/>
      </c>
      <c r="FK34" s="174" t="str">
        <f>IF(EO34=1,IF(OR(EW34&gt;=2958465,EY34=0,EY34&lt;=EW34),"",IF(TODAY()&lt;=EW34,0,IF(TODAY()&gt;EY34,1,IFERROR(NETWORKDAYS(EW34,TODAY()-1,Data!$K$4:$K$203)/NETWORKDAYS(EW34,EY34,Data!$K$4:$K$203),"")))),"")</f>
        <v/>
      </c>
      <c r="FL34" t="str">
        <f>IF(EO34=1,IF(AND(EY34&gt;0,EY34&lt;TODAY(),ROUND(EU34,4)&lt;1),2,IF(FK34="",0,IF(ROUND(EU34-FK34,4)&lt;-0.15,1,0))),"")</f>
        <v/>
      </c>
      <c r="FM34">
        <f>IF(OR(FA34="",COUNTIF($FA$4:FA33,FA34)&gt;0),0,MAX(0,IF(FB34="Interne",IF(ISNUMBER(INDEX(Data!$F:$F,34)),INDEX(Data!$F:$F,34),p_HeuresETP),IF(ISNUMBER(INDEX(Data!$I:$I,34-$CD$23)),INDEX(Data!$I:$I,34-$CD$23),p_HeuresETP))-IF(FB34="Interne",IF(ISNUMBER(INDEX(Data!$G:$G,34)),INDEX(Data!$G:$G,34),p_ChargeFixe),IF(ISNUMBER(INDEX(Data!$J:$J,34-$CD$23)),INDEX(Data!$J:$J,34-$CD$23),p_ChargeFixe))))</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9" t="str">
        <f>IF(AND(D35=1,ISNUMBER(INDEX(Charge!$N:$N,ROW()))),INDEX(Charge!$N:$N,ROW()),"")</f>
        <v/>
      </c>
      <c r="J35" s="169"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70">
        <f>IF(OR($I35="",$E35=0),0,IF(OR($J35&lt;W$3,$I35&gt;W$2),0,IF($K35=0,IF(AND($I35&gt;=W$3,$I35&lt;=W$2),$E35,0),$E35*NETWORKDAYS(MAX($I35,W$3),MIN($J35,W$2),Data!$K$4:$K$203)/$K35)))</f>
        <v>0</v>
      </c>
      <c r="X35" s="170">
        <f>IF(OR($I35="",$E35=0),0,IF(OR($J35&lt;X$3,$I35&gt;X$2),0,IF($K35=0,IF(AND($I35&gt;=X$3,$I35&lt;=X$2),$E35,0),$E35*NETWORKDAYS(MAX($I35,X$3),MIN($J35,X$2),Data!$K$4:$K$203)/$K35)))</f>
        <v>0</v>
      </c>
      <c r="Y35" s="170">
        <f>IF(OR($I35="",$E35=0),0,IF(OR($J35&lt;Y$3,$I35&gt;Y$2),0,IF($K35=0,IF(AND($I35&gt;=Y$3,$I35&lt;=Y$2),$E35,0),$E35*NETWORKDAYS(MAX($I35,Y$3),MIN($J35,Y$2),Data!$K$4:$K$203)/$K35)))</f>
        <v>0</v>
      </c>
      <c r="Z35" s="170">
        <f>IF(OR($I35="",$E35=0),0,IF(OR($J35&lt;Z$3,$I35&gt;Z$2),0,IF($K35=0,IF(AND($I35&gt;=Z$3,$I35&lt;=Z$2),$E35,0),$E35*NETWORKDAYS(MAX($I35,Z$3),MIN($J35,Z$2),Data!$K$4:$K$203)/$K35)))</f>
        <v>0</v>
      </c>
      <c r="AA35" s="170">
        <f>IF(OR($I35="",$E35=0),0,IF(OR($J35&lt;AA$3,$I35&gt;AA$2),0,IF($K35=0,IF(AND($I35&gt;=AA$3,$I35&lt;=AA$2),$E35,0),$E35*NETWORKDAYS(MAX($I35,AA$3),MIN($J35,AA$2),Data!$K$4:$K$203)/$K35)))</f>
        <v>0</v>
      </c>
      <c r="AB35" s="170">
        <f>IF(OR($I35="",$E35=0),0,IF(OR($J35&lt;AB$3,$I35&gt;AB$2),0,IF($K35=0,IF(AND($I35&gt;=AB$3,$I35&lt;=AB$2),$E35,0),$E35*NETWORKDAYS(MAX($I35,AB$3),MIN($J35,AB$2),Data!$K$4:$K$203)/$K35)))</f>
        <v>0</v>
      </c>
      <c r="AC35" s="170">
        <f>IF(OR($I35="",$E35=0),0,IF(OR($J35&lt;AC$3,$I35&gt;AC$2),0,IF($K35=0,IF(AND($I35&gt;=AC$3,$I35&lt;=AC$2),$E35,0),$E35*NETWORKDAYS(MAX($I35,AC$3),MIN($J35,AC$2),Data!$K$4:$K$203)/$K35)))</f>
        <v>0</v>
      </c>
      <c r="AD35" s="170">
        <f>IF(OR($I35="",$E35=0),0,IF(OR($J35&lt;AD$3,$I35&gt;AD$2),0,IF($K35=0,IF(AND($I35&gt;=AD$3,$I35&lt;=AD$2),$E35,0),$E35*NETWORKDAYS(MAX($I35,AD$3),MIN($J35,AD$2),Data!$K$4:$K$203)/$K35)))</f>
        <v>0</v>
      </c>
      <c r="AE35" s="170">
        <f>IF(OR($I35="",$E35=0),0,IF(OR($J35&lt;AE$3,$I35&gt;AE$2),0,IF($K35=0,IF(AND($I35&gt;=AE$3,$I35&lt;=AE$2),$E35,0),$E35*NETWORKDAYS(MAX($I35,AE$3),MIN($J35,AE$2),Data!$K$4:$K$203)/$K35)))</f>
        <v>0</v>
      </c>
      <c r="AF35" s="170">
        <f>IF(OR($I35="",$E35=0),0,IF(OR($J35&lt;AF$3,$I35&gt;AF$2),0,IF($K35=0,IF(AND($I35&gt;=AF$3,$I35&lt;=AF$2),$E35,0),$E35*NETWORKDAYS(MAX($I35,AF$3),MIN($J35,AF$2),Data!$K$4:$K$203)/$K35)))</f>
        <v>0</v>
      </c>
      <c r="AG35" s="170">
        <f>IF(OR($I35="",$E35=0),0,IF(OR($J35&lt;AG$3,$I35&gt;AG$2),0,IF($K35=0,IF(AND($I35&gt;=AG$3,$I35&lt;=AG$2),$E35,0),$E35*NETWORKDAYS(MAX($I35,AG$3),MIN($J35,AG$2),Data!$K$4:$K$203)/$K35)))</f>
        <v>0</v>
      </c>
      <c r="AH35" s="170">
        <f>IF(OR($I35="",$E35=0),0,IF(OR($J35&lt;AH$3,$I35&gt;AH$2),0,IF($K35=0,IF(AND($I35&gt;=AH$3,$I35&lt;=AH$2),$E35,0),$E35*NETWORKDAYS(MAX($I35,AH$3),MIN($J35,AH$2),Data!$K$4:$K$203)/$K35)))</f>
        <v>0</v>
      </c>
      <c r="AI35" s="170">
        <f>SUM(W35:AH35)</f>
        <v>0</v>
      </c>
      <c r="AK35" t="inlineStr">
        <is>
          <t>Premier mois en surcharge</t>
        </is>
      </c>
      <c r="AL35" s="165" t="str">
        <f>IF(AL34=0,"",INDEX(AO4:AO15,MATCH(1,INDEX(--(ROUND(AP4:AP15,0)&gt;ROUND(AL33,0)),0),0)))</f>
        <v/>
      </c>
      <c r="BW35" t="n">
        <v>32</v>
      </c>
      <c r="BX35" t="str">
        <f>IFERROR(MATCH(BW35,$EQ$4:$EQ$503,0),"")</f>
        <v/>
      </c>
      <c r="BY35" t="str">
        <f>IF(BX35="","",INDEX($FL$4:$FL$503,BX35))</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70"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4" t="str">
        <f>IF(EO35=1,IF(FH35&gt;0,FI35/FH35,AVERAGEIF($FF$4:$FF$503,EN35,$C$4:$C$503)),"")</f>
        <v/>
      </c>
      <c r="EV35" s="169">
        <f>IF(ISNUMBER(I35),I35,2958465)</f>
        <v>2958465.0</v>
      </c>
      <c r="EW35" s="169" t="str">
        <f>IF(EO35=1,SUMPRODUCT(MIN(($EN$4:$EN$503=EN35)*$EV$4:$EV$503+($EN$4:$EN$503&lt;&gt;EN35)*2958465)),"")</f>
        <v/>
      </c>
      <c r="EX35" s="169">
        <f>IF(AND(D35=1,ISNUMBER(INDEX(Charge!$F:$F,ROW()))),INDEX(Charge!$F:$F,ROW()),0)</f>
        <v>0.0</v>
      </c>
      <c r="EY35" s="169"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c r="FF35" t="str">
        <f>IF(B35=1,LEFT(SUBSTITUTE(SUBSTITUTE(SUBSTITUTE(TRIM(SUBSTITUTE(INDEX(Charge!$B:$B,ROW()),CHAR(160)," "))&amp;" | "&amp;TRIM(SUBSTITUTE(INDEX(Charge!$C:$C,ROW()),CHAR(160)," "))&amp;" | "&amp;TRIM(SUBSTITUTE(INDEX(Charge!$D:$D,ROW()),CHAR(160)," ")),"~","-"),"*","+"),"?","!"),240),"")</f>
        <v/>
      </c>
      <c r="FG35">
        <f>IF(B35=1,MAX(0,N(INDEX(Charge!$M:$M,ROW()))),0)</f>
        <v>0</v>
      </c>
      <c r="FH35" s="170" t="str">
        <f>IF(EO35=1,ROUND(SUMIF($FF$4:$FF$503,EN35,$FG$4:$FG$503),2),"")</f>
        <v/>
      </c>
      <c r="FI35" s="170" t="str">
        <f>IF(EO35=1,ROUND(SUMPRODUCT(($FF$4:$FF$503=EN35)*$FG$4:$FG$503*$C$4:$C$503),2),"")</f>
        <v/>
      </c>
      <c r="FJ35" s="170" t="str">
        <f>IF(EO35=1,MAX(0,ROUND(FH35-FI35,2)),"")</f>
        <v/>
      </c>
      <c r="FK35" s="174" t="str">
        <f>IF(EO35=1,IF(OR(EW35&gt;=2958465,EY35=0,EY35&lt;=EW35),"",IF(TODAY()&lt;=EW35,0,IF(TODAY()&gt;EY35,1,IFERROR(NETWORKDAYS(EW35,TODAY()-1,Data!$K$4:$K$203)/NETWORKDAYS(EW35,EY35,Data!$K$4:$K$203),"")))),"")</f>
        <v/>
      </c>
      <c r="FL35" t="str">
        <f>IF(EO35=1,IF(AND(EY35&gt;0,EY35&lt;TODAY(),ROUND(EU35,4)&lt;1),2,IF(FK35="",0,IF(ROUND(EU35-FK35,4)&lt;-0.15,1,0))),"")</f>
        <v/>
      </c>
      <c r="FM35">
        <f>IF(OR(FA35="",COUNTIF($FA$4:FA34,FA35)&gt;0),0,MAX(0,IF(FB35="Interne",IF(ISNUMBER(INDEX(Data!$F:$F,35)),INDEX(Data!$F:$F,35),p_HeuresETP),IF(ISNUMBER(INDEX(Data!$I:$I,35-$CD$23)),INDEX(Data!$I:$I,35-$CD$23),p_HeuresETP))-IF(FB35="Interne",IF(ISNUMBER(INDEX(Data!$G:$G,35)),INDEX(Data!$G:$G,35),p_ChargeFixe),IF(ISNUMBER(INDEX(Data!$J:$J,35-$CD$23)),INDEX(Data!$J:$J,35-$CD$23),p_ChargeFixe))))</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9" t="str">
        <f>IF(AND(D36=1,ISNUMBER(INDEX(Charge!$N:$N,ROW()))),INDEX(Charge!$N:$N,ROW()),"")</f>
        <v/>
      </c>
      <c r="J36" s="169"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70">
        <f>IF(OR($I36="",$E36=0),0,IF(OR($J36&lt;W$3,$I36&gt;W$2),0,IF($K36=0,IF(AND($I36&gt;=W$3,$I36&lt;=W$2),$E36,0),$E36*NETWORKDAYS(MAX($I36,W$3),MIN($J36,W$2),Data!$K$4:$K$203)/$K36)))</f>
        <v>0</v>
      </c>
      <c r="X36" s="170">
        <f>IF(OR($I36="",$E36=0),0,IF(OR($J36&lt;X$3,$I36&gt;X$2),0,IF($K36=0,IF(AND($I36&gt;=X$3,$I36&lt;=X$2),$E36,0),$E36*NETWORKDAYS(MAX($I36,X$3),MIN($J36,X$2),Data!$K$4:$K$203)/$K36)))</f>
        <v>0</v>
      </c>
      <c r="Y36" s="170">
        <f>IF(OR($I36="",$E36=0),0,IF(OR($J36&lt;Y$3,$I36&gt;Y$2),0,IF($K36=0,IF(AND($I36&gt;=Y$3,$I36&lt;=Y$2),$E36,0),$E36*NETWORKDAYS(MAX($I36,Y$3),MIN($J36,Y$2),Data!$K$4:$K$203)/$K36)))</f>
        <v>0</v>
      </c>
      <c r="Z36" s="170">
        <f>IF(OR($I36="",$E36=0),0,IF(OR($J36&lt;Z$3,$I36&gt;Z$2),0,IF($K36=0,IF(AND($I36&gt;=Z$3,$I36&lt;=Z$2),$E36,0),$E36*NETWORKDAYS(MAX($I36,Z$3),MIN($J36,Z$2),Data!$K$4:$K$203)/$K36)))</f>
        <v>0</v>
      </c>
      <c r="AA36" s="170">
        <f>IF(OR($I36="",$E36=0),0,IF(OR($J36&lt;AA$3,$I36&gt;AA$2),0,IF($K36=0,IF(AND($I36&gt;=AA$3,$I36&lt;=AA$2),$E36,0),$E36*NETWORKDAYS(MAX($I36,AA$3),MIN($J36,AA$2),Data!$K$4:$K$203)/$K36)))</f>
        <v>0</v>
      </c>
      <c r="AB36" s="170">
        <f>IF(OR($I36="",$E36=0),0,IF(OR($J36&lt;AB$3,$I36&gt;AB$2),0,IF($K36=0,IF(AND($I36&gt;=AB$3,$I36&lt;=AB$2),$E36,0),$E36*NETWORKDAYS(MAX($I36,AB$3),MIN($J36,AB$2),Data!$K$4:$K$203)/$K36)))</f>
        <v>0</v>
      </c>
      <c r="AC36" s="170">
        <f>IF(OR($I36="",$E36=0),0,IF(OR($J36&lt;AC$3,$I36&gt;AC$2),0,IF($K36=0,IF(AND($I36&gt;=AC$3,$I36&lt;=AC$2),$E36,0),$E36*NETWORKDAYS(MAX($I36,AC$3),MIN($J36,AC$2),Data!$K$4:$K$203)/$K36)))</f>
        <v>0</v>
      </c>
      <c r="AD36" s="170">
        <f>IF(OR($I36="",$E36=0),0,IF(OR($J36&lt;AD$3,$I36&gt;AD$2),0,IF($K36=0,IF(AND($I36&gt;=AD$3,$I36&lt;=AD$2),$E36,0),$E36*NETWORKDAYS(MAX($I36,AD$3),MIN($J36,AD$2),Data!$K$4:$K$203)/$K36)))</f>
        <v>0</v>
      </c>
      <c r="AE36" s="170">
        <f>IF(OR($I36="",$E36=0),0,IF(OR($J36&lt;AE$3,$I36&gt;AE$2),0,IF($K36=0,IF(AND($I36&gt;=AE$3,$I36&lt;=AE$2),$E36,0),$E36*NETWORKDAYS(MAX($I36,AE$3),MIN($J36,AE$2),Data!$K$4:$K$203)/$K36)))</f>
        <v>0</v>
      </c>
      <c r="AF36" s="170">
        <f>IF(OR($I36="",$E36=0),0,IF(OR($J36&lt;AF$3,$I36&gt;AF$2),0,IF($K36=0,IF(AND($I36&gt;=AF$3,$I36&lt;=AF$2),$E36,0),$E36*NETWORKDAYS(MAX($I36,AF$3),MIN($J36,AF$2),Data!$K$4:$K$203)/$K36)))</f>
        <v>0</v>
      </c>
      <c r="AG36" s="170">
        <f>IF(OR($I36="",$E36=0),0,IF(OR($J36&lt;AG$3,$I36&gt;AG$2),0,IF($K36=0,IF(AND($I36&gt;=AG$3,$I36&lt;=AG$2),$E36,0),$E36*NETWORKDAYS(MAX($I36,AG$3),MIN($J36,AG$2),Data!$K$4:$K$203)/$K36)))</f>
        <v>0</v>
      </c>
      <c r="AH36" s="170">
        <f>IF(OR($I36="",$E36=0),0,IF(OR($J36&lt;AH$3,$I36&gt;AH$2),0,IF($K36=0,IF(AND($I36&gt;=AH$3,$I36&lt;=AH$2),$E36,0),$E36*NETWORKDAYS(MAX($I36,AH$3),MIN($J36,AH$2),Data!$K$4:$K$203)/$K36)))</f>
        <v>0</v>
      </c>
      <c r="AI36" s="170">
        <f>SUM(W36:AH36)</f>
        <v>0</v>
      </c>
      <c r="AK36" t="inlineStr">
        <is>
          <t>Pic de charge rapporté à la capacité de l'équipe</t>
        </is>
      </c>
      <c r="AL36" s="174">
        <f>IF(AL33&lt;=0,"",AL17/AL33)</f>
        <v>0.65443364039181</v>
      </c>
      <c r="BW36" t="n">
        <v>33</v>
      </c>
      <c r="BX36" t="str">
        <f>IFERROR(MATCH(BW36,$EQ$4:$EQ$503,0),"")</f>
        <v/>
      </c>
      <c r="BY36" t="str">
        <f>IF(BX36="","",INDEX($FL$4:$FL$503,BX36))</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70"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4" t="str">
        <f>IF(EO36=1,IF(FH36&gt;0,FI36/FH36,AVERAGEIF($FF$4:$FF$503,EN36,$C$4:$C$503)),"")</f>
        <v/>
      </c>
      <c r="EV36" s="169">
        <f>IF(ISNUMBER(I36),I36,2958465)</f>
        <v>2958465.0</v>
      </c>
      <c r="EW36" s="169" t="str">
        <f>IF(EO36=1,SUMPRODUCT(MIN(($EN$4:$EN$503=EN36)*$EV$4:$EV$503+($EN$4:$EN$503&lt;&gt;EN36)*2958465)),"")</f>
        <v/>
      </c>
      <c r="EX36" s="169">
        <f>IF(AND(D36=1,ISNUMBER(INDEX(Charge!$F:$F,ROW()))),INDEX(Charge!$F:$F,ROW()),0)</f>
        <v>0.0</v>
      </c>
      <c r="EY36" s="169"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c r="FF36" t="str">
        <f>IF(B36=1,LEFT(SUBSTITUTE(SUBSTITUTE(SUBSTITUTE(TRIM(SUBSTITUTE(INDEX(Charge!$B:$B,ROW()),CHAR(160)," "))&amp;" | "&amp;TRIM(SUBSTITUTE(INDEX(Charge!$C:$C,ROW()),CHAR(160)," "))&amp;" | "&amp;TRIM(SUBSTITUTE(INDEX(Charge!$D:$D,ROW()),CHAR(160)," ")),"~","-"),"*","+"),"?","!"),240),"")</f>
        <v/>
      </c>
      <c r="FG36">
        <f>IF(B36=1,MAX(0,N(INDEX(Charge!$M:$M,ROW()))),0)</f>
        <v>0</v>
      </c>
      <c r="FH36" s="170" t="str">
        <f>IF(EO36=1,ROUND(SUMIF($FF$4:$FF$503,EN36,$FG$4:$FG$503),2),"")</f>
        <v/>
      </c>
      <c r="FI36" s="170" t="str">
        <f>IF(EO36=1,ROUND(SUMPRODUCT(($FF$4:$FF$503=EN36)*$FG$4:$FG$503*$C$4:$C$503),2),"")</f>
        <v/>
      </c>
      <c r="FJ36" s="170" t="str">
        <f>IF(EO36=1,MAX(0,ROUND(FH36-FI36,2)),"")</f>
        <v/>
      </c>
      <c r="FK36" s="174" t="str">
        <f>IF(EO36=1,IF(OR(EW36&gt;=2958465,EY36=0,EY36&lt;=EW36),"",IF(TODAY()&lt;=EW36,0,IF(TODAY()&gt;EY36,1,IFERROR(NETWORKDAYS(EW36,TODAY()-1,Data!$K$4:$K$203)/NETWORKDAYS(EW36,EY36,Data!$K$4:$K$203),"")))),"")</f>
        <v/>
      </c>
      <c r="FL36" t="str">
        <f>IF(EO36=1,IF(AND(EY36&gt;0,EY36&lt;TODAY(),ROUND(EU36,4)&lt;1),2,IF(FK36="",0,IF(ROUND(EU36-FK36,4)&lt;-0.15,1,0))),"")</f>
        <v/>
      </c>
      <c r="FM36">
        <f>IF(OR(FA36="",COUNTIF($FA$4:FA35,FA36)&gt;0),0,MAX(0,IF(FB36="Interne",IF(ISNUMBER(INDEX(Data!$F:$F,36)),INDEX(Data!$F:$F,36),p_HeuresETP),IF(ISNUMBER(INDEX(Data!$I:$I,36-$CD$23)),INDEX(Data!$I:$I,36-$CD$23),p_HeuresETP))-IF(FB36="Interne",IF(ISNUMBER(INDEX(Data!$G:$G,36)),INDEX(Data!$G:$G,36),p_ChargeFixe),IF(ISNUMBER(INDEX(Data!$J:$J,36-$CD$23)),INDEX(Data!$J:$J,36-$CD$23),p_ChargeFixe))))</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9" t="str">
        <f>IF(AND(D37=1,ISNUMBER(INDEX(Charge!$N:$N,ROW()))),INDEX(Charge!$N:$N,ROW()),"")</f>
        <v/>
      </c>
      <c r="J37" s="169"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70">
        <f>IF(OR($I37="",$E37=0),0,IF(OR($J37&lt;W$3,$I37&gt;W$2),0,IF($K37=0,IF(AND($I37&gt;=W$3,$I37&lt;=W$2),$E37,0),$E37*NETWORKDAYS(MAX($I37,W$3),MIN($J37,W$2),Data!$K$4:$K$203)/$K37)))</f>
        <v>0</v>
      </c>
      <c r="X37" s="170">
        <f>IF(OR($I37="",$E37=0),0,IF(OR($J37&lt;X$3,$I37&gt;X$2),0,IF($K37=0,IF(AND($I37&gt;=X$3,$I37&lt;=X$2),$E37,0),$E37*NETWORKDAYS(MAX($I37,X$3),MIN($J37,X$2),Data!$K$4:$K$203)/$K37)))</f>
        <v>0</v>
      </c>
      <c r="Y37" s="170">
        <f>IF(OR($I37="",$E37=0),0,IF(OR($J37&lt;Y$3,$I37&gt;Y$2),0,IF($K37=0,IF(AND($I37&gt;=Y$3,$I37&lt;=Y$2),$E37,0),$E37*NETWORKDAYS(MAX($I37,Y$3),MIN($J37,Y$2),Data!$K$4:$K$203)/$K37)))</f>
        <v>0</v>
      </c>
      <c r="Z37" s="170">
        <f>IF(OR($I37="",$E37=0),0,IF(OR($J37&lt;Z$3,$I37&gt;Z$2),0,IF($K37=0,IF(AND($I37&gt;=Z$3,$I37&lt;=Z$2),$E37,0),$E37*NETWORKDAYS(MAX($I37,Z$3),MIN($J37,Z$2),Data!$K$4:$K$203)/$K37)))</f>
        <v>0</v>
      </c>
      <c r="AA37" s="170">
        <f>IF(OR($I37="",$E37=0),0,IF(OR($J37&lt;AA$3,$I37&gt;AA$2),0,IF($K37=0,IF(AND($I37&gt;=AA$3,$I37&lt;=AA$2),$E37,0),$E37*NETWORKDAYS(MAX($I37,AA$3),MIN($J37,AA$2),Data!$K$4:$K$203)/$K37)))</f>
        <v>0</v>
      </c>
      <c r="AB37" s="170">
        <f>IF(OR($I37="",$E37=0),0,IF(OR($J37&lt;AB$3,$I37&gt;AB$2),0,IF($K37=0,IF(AND($I37&gt;=AB$3,$I37&lt;=AB$2),$E37,0),$E37*NETWORKDAYS(MAX($I37,AB$3),MIN($J37,AB$2),Data!$K$4:$K$203)/$K37)))</f>
        <v>0</v>
      </c>
      <c r="AC37" s="170">
        <f>IF(OR($I37="",$E37=0),0,IF(OR($J37&lt;AC$3,$I37&gt;AC$2),0,IF($K37=0,IF(AND($I37&gt;=AC$3,$I37&lt;=AC$2),$E37,0),$E37*NETWORKDAYS(MAX($I37,AC$3),MIN($J37,AC$2),Data!$K$4:$K$203)/$K37)))</f>
        <v>0</v>
      </c>
      <c r="AD37" s="170">
        <f>IF(OR($I37="",$E37=0),0,IF(OR($J37&lt;AD$3,$I37&gt;AD$2),0,IF($K37=0,IF(AND($I37&gt;=AD$3,$I37&lt;=AD$2),$E37,0),$E37*NETWORKDAYS(MAX($I37,AD$3),MIN($J37,AD$2),Data!$K$4:$K$203)/$K37)))</f>
        <v>0</v>
      </c>
      <c r="AE37" s="170">
        <f>IF(OR($I37="",$E37=0),0,IF(OR($J37&lt;AE$3,$I37&gt;AE$2),0,IF($K37=0,IF(AND($I37&gt;=AE$3,$I37&lt;=AE$2),$E37,0),$E37*NETWORKDAYS(MAX($I37,AE$3),MIN($J37,AE$2),Data!$K$4:$K$203)/$K37)))</f>
        <v>0</v>
      </c>
      <c r="AF37" s="170">
        <f>IF(OR($I37="",$E37=0),0,IF(OR($J37&lt;AF$3,$I37&gt;AF$2),0,IF($K37=0,IF(AND($I37&gt;=AF$3,$I37&lt;=AF$2),$E37,0),$E37*NETWORKDAYS(MAX($I37,AF$3),MIN($J37,AF$2),Data!$K$4:$K$203)/$K37)))</f>
        <v>0</v>
      </c>
      <c r="AG37" s="170">
        <f>IF(OR($I37="",$E37=0),0,IF(OR($J37&lt;AG$3,$I37&gt;AG$2),0,IF($K37=0,IF(AND($I37&gt;=AG$3,$I37&lt;=AG$2),$E37,0),$E37*NETWORKDAYS(MAX($I37,AG$3),MIN($J37,AG$2),Data!$K$4:$K$203)/$K37)))</f>
        <v>0</v>
      </c>
      <c r="AH37" s="170">
        <f>IF(OR($I37="",$E37=0),0,IF(OR($J37&lt;AH$3,$I37&gt;AH$2),0,IF($K37=0,IF(AND($I37&gt;=AH$3,$I37&lt;=AH$2),$E37,0),$E37*NETWORKDAYS(MAX($I37,AH$3),MIN($J37,AH$2),Data!$K$4:$K$203)/$K37)))</f>
        <v>0</v>
      </c>
      <c r="AI37" s="170">
        <f>SUM(W37:AH37)</f>
        <v>0</v>
      </c>
      <c r="AK37" t="inlineStr">
        <is>
          <t>Affaires en retard</t>
        </is>
      </c>
      <c r="AL37" s="175">
        <f>COUNTIF(FL4:FL503,"&gt;0")</f>
        <v>0</v>
      </c>
      <c r="BW37" t="n">
        <v>34</v>
      </c>
      <c r="BX37" t="str">
        <f>IFERROR(MATCH(BW37,$EQ$4:$EQ$503,0),"")</f>
        <v/>
      </c>
      <c r="BY37" t="str">
        <f>IF(BX37="","",INDEX($FL$4:$FL$503,BX37))</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70"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4" t="str">
        <f>IF(EO37=1,IF(FH37&gt;0,FI37/FH37,AVERAGEIF($FF$4:$FF$503,EN37,$C$4:$C$503)),"")</f>
        <v/>
      </c>
      <c r="EV37" s="169">
        <f>IF(ISNUMBER(I37),I37,2958465)</f>
        <v>2958465.0</v>
      </c>
      <c r="EW37" s="169" t="str">
        <f>IF(EO37=1,SUMPRODUCT(MIN(($EN$4:$EN$503=EN37)*$EV$4:$EV$503+($EN$4:$EN$503&lt;&gt;EN37)*2958465)),"")</f>
        <v/>
      </c>
      <c r="EX37" s="169">
        <f>IF(AND(D37=1,ISNUMBER(INDEX(Charge!$F:$F,ROW()))),INDEX(Charge!$F:$F,ROW()),0)</f>
        <v>0.0</v>
      </c>
      <c r="EY37" s="169"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c r="FF37" t="str">
        <f>IF(B37=1,LEFT(SUBSTITUTE(SUBSTITUTE(SUBSTITUTE(TRIM(SUBSTITUTE(INDEX(Charge!$B:$B,ROW()),CHAR(160)," "))&amp;" | "&amp;TRIM(SUBSTITUTE(INDEX(Charge!$C:$C,ROW()),CHAR(160)," "))&amp;" | "&amp;TRIM(SUBSTITUTE(INDEX(Charge!$D:$D,ROW()),CHAR(160)," ")),"~","-"),"*","+"),"?","!"),240),"")</f>
        <v/>
      </c>
      <c r="FG37">
        <f>IF(B37=1,MAX(0,N(INDEX(Charge!$M:$M,ROW()))),0)</f>
        <v>0</v>
      </c>
      <c r="FH37" s="170" t="str">
        <f>IF(EO37=1,ROUND(SUMIF($FF$4:$FF$503,EN37,$FG$4:$FG$503),2),"")</f>
        <v/>
      </c>
      <c r="FI37" s="170" t="str">
        <f>IF(EO37=1,ROUND(SUMPRODUCT(($FF$4:$FF$503=EN37)*$FG$4:$FG$503*$C$4:$C$503),2),"")</f>
        <v/>
      </c>
      <c r="FJ37" s="170" t="str">
        <f>IF(EO37=1,MAX(0,ROUND(FH37-FI37,2)),"")</f>
        <v/>
      </c>
      <c r="FK37" s="174" t="str">
        <f>IF(EO37=1,IF(OR(EW37&gt;=2958465,EY37=0,EY37&lt;=EW37),"",IF(TODAY()&lt;=EW37,0,IF(TODAY()&gt;EY37,1,IFERROR(NETWORKDAYS(EW37,TODAY()-1,Data!$K$4:$K$203)/NETWORKDAYS(EW37,EY37,Data!$K$4:$K$203),"")))),"")</f>
        <v/>
      </c>
      <c r="FL37" t="str">
        <f>IF(EO37=1,IF(AND(EY37&gt;0,EY37&lt;TODAY(),ROUND(EU37,4)&lt;1),2,IF(FK37="",0,IF(ROUND(EU37-FK37,4)&lt;-0.15,1,0))),"")</f>
        <v/>
      </c>
      <c r="FM37">
        <f>IF(OR(FA37="",COUNTIF($FA$4:FA36,FA37)&gt;0),0,MAX(0,IF(FB37="Interne",IF(ISNUMBER(INDEX(Data!$F:$F,37)),INDEX(Data!$F:$F,37),p_HeuresETP),IF(ISNUMBER(INDEX(Data!$I:$I,37-$CD$23)),INDEX(Data!$I:$I,37-$CD$23),p_HeuresETP))-IF(FB37="Interne",IF(ISNUMBER(INDEX(Data!$G:$G,37)),INDEX(Data!$G:$G,37),p_ChargeFixe),IF(ISNUMBER(INDEX(Data!$J:$J,37-$CD$23)),INDEX(Data!$J:$J,37-$CD$23),p_ChargeFixe))))</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9" t="str">
        <f>IF(AND(D38=1,ISNUMBER(INDEX(Charge!$N:$N,ROW()))),INDEX(Charge!$N:$N,ROW()),"")</f>
        <v/>
      </c>
      <c r="J38" s="169"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70">
        <f>IF(OR($I38="",$E38=0),0,IF(OR($J38&lt;W$3,$I38&gt;W$2),0,IF($K38=0,IF(AND($I38&gt;=W$3,$I38&lt;=W$2),$E38,0),$E38*NETWORKDAYS(MAX($I38,W$3),MIN($J38,W$2),Data!$K$4:$K$203)/$K38)))</f>
        <v>0</v>
      </c>
      <c r="X38" s="170">
        <f>IF(OR($I38="",$E38=0),0,IF(OR($J38&lt;X$3,$I38&gt;X$2),0,IF($K38=0,IF(AND($I38&gt;=X$3,$I38&lt;=X$2),$E38,0),$E38*NETWORKDAYS(MAX($I38,X$3),MIN($J38,X$2),Data!$K$4:$K$203)/$K38)))</f>
        <v>0</v>
      </c>
      <c r="Y38" s="170">
        <f>IF(OR($I38="",$E38=0),0,IF(OR($J38&lt;Y$3,$I38&gt;Y$2),0,IF($K38=0,IF(AND($I38&gt;=Y$3,$I38&lt;=Y$2),$E38,0),$E38*NETWORKDAYS(MAX($I38,Y$3),MIN($J38,Y$2),Data!$K$4:$K$203)/$K38)))</f>
        <v>0</v>
      </c>
      <c r="Z38" s="170">
        <f>IF(OR($I38="",$E38=0),0,IF(OR($J38&lt;Z$3,$I38&gt;Z$2),0,IF($K38=0,IF(AND($I38&gt;=Z$3,$I38&lt;=Z$2),$E38,0),$E38*NETWORKDAYS(MAX($I38,Z$3),MIN($J38,Z$2),Data!$K$4:$K$203)/$K38)))</f>
        <v>0</v>
      </c>
      <c r="AA38" s="170">
        <f>IF(OR($I38="",$E38=0),0,IF(OR($J38&lt;AA$3,$I38&gt;AA$2),0,IF($K38=0,IF(AND($I38&gt;=AA$3,$I38&lt;=AA$2),$E38,0),$E38*NETWORKDAYS(MAX($I38,AA$3),MIN($J38,AA$2),Data!$K$4:$K$203)/$K38)))</f>
        <v>0</v>
      </c>
      <c r="AB38" s="170">
        <f>IF(OR($I38="",$E38=0),0,IF(OR($J38&lt;AB$3,$I38&gt;AB$2),0,IF($K38=0,IF(AND($I38&gt;=AB$3,$I38&lt;=AB$2),$E38,0),$E38*NETWORKDAYS(MAX($I38,AB$3),MIN($J38,AB$2),Data!$K$4:$K$203)/$K38)))</f>
        <v>0</v>
      </c>
      <c r="AC38" s="170">
        <f>IF(OR($I38="",$E38=0),0,IF(OR($J38&lt;AC$3,$I38&gt;AC$2),0,IF($K38=0,IF(AND($I38&gt;=AC$3,$I38&lt;=AC$2),$E38,0),$E38*NETWORKDAYS(MAX($I38,AC$3),MIN($J38,AC$2),Data!$K$4:$K$203)/$K38)))</f>
        <v>0</v>
      </c>
      <c r="AD38" s="170">
        <f>IF(OR($I38="",$E38=0),0,IF(OR($J38&lt;AD$3,$I38&gt;AD$2),0,IF($K38=0,IF(AND($I38&gt;=AD$3,$I38&lt;=AD$2),$E38,0),$E38*NETWORKDAYS(MAX($I38,AD$3),MIN($J38,AD$2),Data!$K$4:$K$203)/$K38)))</f>
        <v>0</v>
      </c>
      <c r="AE38" s="170">
        <f>IF(OR($I38="",$E38=0),0,IF(OR($J38&lt;AE$3,$I38&gt;AE$2),0,IF($K38=0,IF(AND($I38&gt;=AE$3,$I38&lt;=AE$2),$E38,0),$E38*NETWORKDAYS(MAX($I38,AE$3),MIN($J38,AE$2),Data!$K$4:$K$203)/$K38)))</f>
        <v>0</v>
      </c>
      <c r="AF38" s="170">
        <f>IF(OR($I38="",$E38=0),0,IF(OR($J38&lt;AF$3,$I38&gt;AF$2),0,IF($K38=0,IF(AND($I38&gt;=AF$3,$I38&lt;=AF$2),$E38,0),$E38*NETWORKDAYS(MAX($I38,AF$3),MIN($J38,AF$2),Data!$K$4:$K$203)/$K38)))</f>
        <v>0</v>
      </c>
      <c r="AG38" s="170">
        <f>IF(OR($I38="",$E38=0),0,IF(OR($J38&lt;AG$3,$I38&gt;AG$2),0,IF($K38=0,IF(AND($I38&gt;=AG$3,$I38&lt;=AG$2),$E38,0),$E38*NETWORKDAYS(MAX($I38,AG$3),MIN($J38,AG$2),Data!$K$4:$K$203)/$K38)))</f>
        <v>0</v>
      </c>
      <c r="AH38" s="170">
        <f>IF(OR($I38="",$E38=0),0,IF(OR($J38&lt;AH$3,$I38&gt;AH$2),0,IF($K38=0,IF(AND($I38&gt;=AH$3,$I38&lt;=AH$2),$E38,0),$E38*NETWORKDAYS(MAX($I38,AH$3),MIN($J38,AH$2),Data!$K$4:$K$203)/$K38)))</f>
        <v>0</v>
      </c>
      <c r="AI38" s="170">
        <f>SUM(W38:AH38)</f>
        <v>0</v>
      </c>
      <c r="AK38" t="inlineStr">
        <is>
          <t>dont date de besoin dépassée sans être à 100 %</t>
        </is>
      </c>
      <c r="AL38" s="175">
        <f>COUNTIF(FL4:FL503,2)</f>
        <v>0</v>
      </c>
      <c r="BW38" t="n">
        <v>35</v>
      </c>
      <c r="BX38" t="str">
        <f>IFERROR(MATCH(BW38,$EQ$4:$EQ$503,0),"")</f>
        <v/>
      </c>
      <c r="BY38" t="str">
        <f>IF(BX38="","",INDEX($FL$4:$FL$503,BX38))</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70"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4" t="str">
        <f>IF(EO38=1,IF(FH38&gt;0,FI38/FH38,AVERAGEIF($FF$4:$FF$503,EN38,$C$4:$C$503)),"")</f>
        <v/>
      </c>
      <c r="EV38" s="169">
        <f>IF(ISNUMBER(I38),I38,2958465)</f>
        <v>2958465.0</v>
      </c>
      <c r="EW38" s="169" t="str">
        <f>IF(EO38=1,SUMPRODUCT(MIN(($EN$4:$EN$503=EN38)*$EV$4:$EV$503+($EN$4:$EN$503&lt;&gt;EN38)*2958465)),"")</f>
        <v/>
      </c>
      <c r="EX38" s="169">
        <f>IF(AND(D38=1,ISNUMBER(INDEX(Charge!$F:$F,ROW()))),INDEX(Charge!$F:$F,ROW()),0)</f>
        <v>0.0</v>
      </c>
      <c r="EY38" s="169"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c r="FF38" t="str">
        <f>IF(B38=1,LEFT(SUBSTITUTE(SUBSTITUTE(SUBSTITUTE(TRIM(SUBSTITUTE(INDEX(Charge!$B:$B,ROW()),CHAR(160)," "))&amp;" | "&amp;TRIM(SUBSTITUTE(INDEX(Charge!$C:$C,ROW()),CHAR(160)," "))&amp;" | "&amp;TRIM(SUBSTITUTE(INDEX(Charge!$D:$D,ROW()),CHAR(160)," ")),"~","-"),"*","+"),"?","!"),240),"")</f>
        <v/>
      </c>
      <c r="FG38">
        <f>IF(B38=1,MAX(0,N(INDEX(Charge!$M:$M,ROW()))),0)</f>
        <v>0</v>
      </c>
      <c r="FH38" s="170" t="str">
        <f>IF(EO38=1,ROUND(SUMIF($FF$4:$FF$503,EN38,$FG$4:$FG$503),2),"")</f>
        <v/>
      </c>
      <c r="FI38" s="170" t="str">
        <f>IF(EO38=1,ROUND(SUMPRODUCT(($FF$4:$FF$503=EN38)*$FG$4:$FG$503*$C$4:$C$503),2),"")</f>
        <v/>
      </c>
      <c r="FJ38" s="170" t="str">
        <f>IF(EO38=1,MAX(0,ROUND(FH38-FI38,2)),"")</f>
        <v/>
      </c>
      <c r="FK38" s="174" t="str">
        <f>IF(EO38=1,IF(OR(EW38&gt;=2958465,EY38=0,EY38&lt;=EW38),"",IF(TODAY()&lt;=EW38,0,IF(TODAY()&gt;EY38,1,IFERROR(NETWORKDAYS(EW38,TODAY()-1,Data!$K$4:$K$203)/NETWORKDAYS(EW38,EY38,Data!$K$4:$K$203),"")))),"")</f>
        <v/>
      </c>
      <c r="FL38" t="str">
        <f>IF(EO38=1,IF(AND(EY38&gt;0,EY38&lt;TODAY(),ROUND(EU38,4)&lt;1),2,IF(FK38="",0,IF(ROUND(EU38-FK38,4)&lt;-0.15,1,0))),"")</f>
        <v/>
      </c>
      <c r="FM38">
        <f>IF(OR(FA38="",COUNTIF($FA$4:FA37,FA38)&gt;0),0,MAX(0,IF(FB38="Interne",IF(ISNUMBER(INDEX(Data!$F:$F,38)),INDEX(Data!$F:$F,38),p_HeuresETP),IF(ISNUMBER(INDEX(Data!$I:$I,38-$CD$23)),INDEX(Data!$I:$I,38-$CD$23),p_HeuresETP))-IF(FB38="Interne",IF(ISNUMBER(INDEX(Data!$G:$G,38)),INDEX(Data!$G:$G,38),p_ChargeFixe),IF(ISNUMBER(INDEX(Data!$J:$J,38-$CD$23)),INDEX(Data!$J:$J,38-$CD$23),p_ChargeFixe))))</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9" t="str">
        <f>IF(AND(D39=1,ISNUMBER(INDEX(Charge!$N:$N,ROW()))),INDEX(Charge!$N:$N,ROW()),"")</f>
        <v/>
      </c>
      <c r="J39" s="169"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70">
        <f>IF(OR($I39="",$E39=0),0,IF(OR($J39&lt;W$3,$I39&gt;W$2),0,IF($K39=0,IF(AND($I39&gt;=W$3,$I39&lt;=W$2),$E39,0),$E39*NETWORKDAYS(MAX($I39,W$3),MIN($J39,W$2),Data!$K$4:$K$203)/$K39)))</f>
        <v>0</v>
      </c>
      <c r="X39" s="170">
        <f>IF(OR($I39="",$E39=0),0,IF(OR($J39&lt;X$3,$I39&gt;X$2),0,IF($K39=0,IF(AND($I39&gt;=X$3,$I39&lt;=X$2),$E39,0),$E39*NETWORKDAYS(MAX($I39,X$3),MIN($J39,X$2),Data!$K$4:$K$203)/$K39)))</f>
        <v>0</v>
      </c>
      <c r="Y39" s="170">
        <f>IF(OR($I39="",$E39=0),0,IF(OR($J39&lt;Y$3,$I39&gt;Y$2),0,IF($K39=0,IF(AND($I39&gt;=Y$3,$I39&lt;=Y$2),$E39,0),$E39*NETWORKDAYS(MAX($I39,Y$3),MIN($J39,Y$2),Data!$K$4:$K$203)/$K39)))</f>
        <v>0</v>
      </c>
      <c r="Z39" s="170">
        <f>IF(OR($I39="",$E39=0),0,IF(OR($J39&lt;Z$3,$I39&gt;Z$2),0,IF($K39=0,IF(AND($I39&gt;=Z$3,$I39&lt;=Z$2),$E39,0),$E39*NETWORKDAYS(MAX($I39,Z$3),MIN($J39,Z$2),Data!$K$4:$K$203)/$K39)))</f>
        <v>0</v>
      </c>
      <c r="AA39" s="170">
        <f>IF(OR($I39="",$E39=0),0,IF(OR($J39&lt;AA$3,$I39&gt;AA$2),0,IF($K39=0,IF(AND($I39&gt;=AA$3,$I39&lt;=AA$2),$E39,0),$E39*NETWORKDAYS(MAX($I39,AA$3),MIN($J39,AA$2),Data!$K$4:$K$203)/$K39)))</f>
        <v>0</v>
      </c>
      <c r="AB39" s="170">
        <f>IF(OR($I39="",$E39=0),0,IF(OR($J39&lt;AB$3,$I39&gt;AB$2),0,IF($K39=0,IF(AND($I39&gt;=AB$3,$I39&lt;=AB$2),$E39,0),$E39*NETWORKDAYS(MAX($I39,AB$3),MIN($J39,AB$2),Data!$K$4:$K$203)/$K39)))</f>
        <v>0</v>
      </c>
      <c r="AC39" s="170">
        <f>IF(OR($I39="",$E39=0),0,IF(OR($J39&lt;AC$3,$I39&gt;AC$2),0,IF($K39=0,IF(AND($I39&gt;=AC$3,$I39&lt;=AC$2),$E39,0),$E39*NETWORKDAYS(MAX($I39,AC$3),MIN($J39,AC$2),Data!$K$4:$K$203)/$K39)))</f>
        <v>0</v>
      </c>
      <c r="AD39" s="170">
        <f>IF(OR($I39="",$E39=0),0,IF(OR($J39&lt;AD$3,$I39&gt;AD$2),0,IF($K39=0,IF(AND($I39&gt;=AD$3,$I39&lt;=AD$2),$E39,0),$E39*NETWORKDAYS(MAX($I39,AD$3),MIN($J39,AD$2),Data!$K$4:$K$203)/$K39)))</f>
        <v>0</v>
      </c>
      <c r="AE39" s="170">
        <f>IF(OR($I39="",$E39=0),0,IF(OR($J39&lt;AE$3,$I39&gt;AE$2),0,IF($K39=0,IF(AND($I39&gt;=AE$3,$I39&lt;=AE$2),$E39,0),$E39*NETWORKDAYS(MAX($I39,AE$3),MIN($J39,AE$2),Data!$K$4:$K$203)/$K39)))</f>
        <v>0</v>
      </c>
      <c r="AF39" s="170">
        <f>IF(OR($I39="",$E39=0),0,IF(OR($J39&lt;AF$3,$I39&gt;AF$2),0,IF($K39=0,IF(AND($I39&gt;=AF$3,$I39&lt;=AF$2),$E39,0),$E39*NETWORKDAYS(MAX($I39,AF$3),MIN($J39,AF$2),Data!$K$4:$K$203)/$K39)))</f>
        <v>0</v>
      </c>
      <c r="AG39" s="170">
        <f>IF(OR($I39="",$E39=0),0,IF(OR($J39&lt;AG$3,$I39&gt;AG$2),0,IF($K39=0,IF(AND($I39&gt;=AG$3,$I39&lt;=AG$2),$E39,0),$E39*NETWORKDAYS(MAX($I39,AG$3),MIN($J39,AG$2),Data!$K$4:$K$203)/$K39)))</f>
        <v>0</v>
      </c>
      <c r="AH39" s="170">
        <f>IF(OR($I39="",$E39=0),0,IF(OR($J39&lt;AH$3,$I39&gt;AH$2),0,IF($K39=0,IF(AND($I39&gt;=AH$3,$I39&lt;=AH$2),$E39,0),$E39*NETWORKDAYS(MAX($I39,AH$3),MIN($J39,AH$2),Data!$K$4:$K$203)/$K39)))</f>
        <v>0</v>
      </c>
      <c r="AI39" s="170">
        <f>SUM(W39:AH39)</f>
        <v>0</v>
      </c>
      <c r="AK39" t="inlineStr">
        <is>
          <t>dont avancement inférieur de plus de 15 points à l'attendu</t>
        </is>
      </c>
      <c r="AL39" s="175">
        <f>COUNTIF(FL4:FL503,1)</f>
        <v>0</v>
      </c>
      <c r="BW39" t="n">
        <v>36</v>
      </c>
      <c r="BX39" t="str">
        <f>IFERROR(MATCH(BW39,$EQ$4:$EQ$503,0),"")</f>
        <v/>
      </c>
      <c r="BY39" t="str">
        <f>IF(BX39="","",INDEX($FL$4:$FL$503,BX39))</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70"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4" t="str">
        <f>IF(EO39=1,IF(FH39&gt;0,FI39/FH39,AVERAGEIF($FF$4:$FF$503,EN39,$C$4:$C$503)),"")</f>
        <v/>
      </c>
      <c r="EV39" s="169">
        <f>IF(ISNUMBER(I39),I39,2958465)</f>
        <v>2958465.0</v>
      </c>
      <c r="EW39" s="169" t="str">
        <f>IF(EO39=1,SUMPRODUCT(MIN(($EN$4:$EN$503=EN39)*$EV$4:$EV$503+($EN$4:$EN$503&lt;&gt;EN39)*2958465)),"")</f>
        <v/>
      </c>
      <c r="EX39" s="169">
        <f>IF(AND(D39=1,ISNUMBER(INDEX(Charge!$F:$F,ROW()))),INDEX(Charge!$F:$F,ROW()),0)</f>
        <v>0.0</v>
      </c>
      <c r="EY39" s="169"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c r="FF39" t="str">
        <f>IF(B39=1,LEFT(SUBSTITUTE(SUBSTITUTE(SUBSTITUTE(TRIM(SUBSTITUTE(INDEX(Charge!$B:$B,ROW()),CHAR(160)," "))&amp;" | "&amp;TRIM(SUBSTITUTE(INDEX(Charge!$C:$C,ROW()),CHAR(160)," "))&amp;" | "&amp;TRIM(SUBSTITUTE(INDEX(Charge!$D:$D,ROW()),CHAR(160)," ")),"~","-"),"*","+"),"?","!"),240),"")</f>
        <v/>
      </c>
      <c r="FG39">
        <f>IF(B39=1,MAX(0,N(INDEX(Charge!$M:$M,ROW()))),0)</f>
        <v>0</v>
      </c>
      <c r="FH39" s="170" t="str">
        <f>IF(EO39=1,ROUND(SUMIF($FF$4:$FF$503,EN39,$FG$4:$FG$503),2),"")</f>
        <v/>
      </c>
      <c r="FI39" s="170" t="str">
        <f>IF(EO39=1,ROUND(SUMPRODUCT(($FF$4:$FF$503=EN39)*$FG$4:$FG$503*$C$4:$C$503),2),"")</f>
        <v/>
      </c>
      <c r="FJ39" s="170" t="str">
        <f>IF(EO39=1,MAX(0,ROUND(FH39-FI39,2)),"")</f>
        <v/>
      </c>
      <c r="FK39" s="174" t="str">
        <f>IF(EO39=1,IF(OR(EW39&gt;=2958465,EY39=0,EY39&lt;=EW39),"",IF(TODAY()&lt;=EW39,0,IF(TODAY()&gt;EY39,1,IFERROR(NETWORKDAYS(EW39,TODAY()-1,Data!$K$4:$K$203)/NETWORKDAYS(EW39,EY39,Data!$K$4:$K$203),"")))),"")</f>
        <v/>
      </c>
      <c r="FL39" t="str">
        <f>IF(EO39=1,IF(AND(EY39&gt;0,EY39&lt;TODAY(),ROUND(EU39,4)&lt;1),2,IF(FK39="",0,IF(ROUND(EU39-FK39,4)&lt;-0.15,1,0))),"")</f>
        <v/>
      </c>
      <c r="FM39">
        <f>IF(OR(FA39="",COUNTIF($FA$4:FA38,FA39)&gt;0),0,MAX(0,IF(FB39="Interne",IF(ISNUMBER(INDEX(Data!$F:$F,39)),INDEX(Data!$F:$F,39),p_HeuresETP),IF(ISNUMBER(INDEX(Data!$I:$I,39-$CD$23)),INDEX(Data!$I:$I,39-$CD$23),p_HeuresETP))-IF(FB39="Interne",IF(ISNUMBER(INDEX(Data!$G:$G,39)),INDEX(Data!$G:$G,39),p_ChargeFixe),IF(ISNUMBER(INDEX(Data!$J:$J,39-$CD$23)),INDEX(Data!$J:$J,39-$CD$23),p_ChargeFixe))))</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9" t="str">
        <f>IF(AND(D40=1,ISNUMBER(INDEX(Charge!$N:$N,ROW()))),INDEX(Charge!$N:$N,ROW()),"")</f>
        <v/>
      </c>
      <c r="J40" s="169"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70">
        <f>IF(OR($I40="",$E40=0),0,IF(OR($J40&lt;W$3,$I40&gt;W$2),0,IF($K40=0,IF(AND($I40&gt;=W$3,$I40&lt;=W$2),$E40,0),$E40*NETWORKDAYS(MAX($I40,W$3),MIN($J40,W$2),Data!$K$4:$K$203)/$K40)))</f>
        <v>0</v>
      </c>
      <c r="X40" s="170">
        <f>IF(OR($I40="",$E40=0),0,IF(OR($J40&lt;X$3,$I40&gt;X$2),0,IF($K40=0,IF(AND($I40&gt;=X$3,$I40&lt;=X$2),$E40,0),$E40*NETWORKDAYS(MAX($I40,X$3),MIN($J40,X$2),Data!$K$4:$K$203)/$K40)))</f>
        <v>0</v>
      </c>
      <c r="Y40" s="170">
        <f>IF(OR($I40="",$E40=0),0,IF(OR($J40&lt;Y$3,$I40&gt;Y$2),0,IF($K40=0,IF(AND($I40&gt;=Y$3,$I40&lt;=Y$2),$E40,0),$E40*NETWORKDAYS(MAX($I40,Y$3),MIN($J40,Y$2),Data!$K$4:$K$203)/$K40)))</f>
        <v>0</v>
      </c>
      <c r="Z40" s="170">
        <f>IF(OR($I40="",$E40=0),0,IF(OR($J40&lt;Z$3,$I40&gt;Z$2),0,IF($K40=0,IF(AND($I40&gt;=Z$3,$I40&lt;=Z$2),$E40,0),$E40*NETWORKDAYS(MAX($I40,Z$3),MIN($J40,Z$2),Data!$K$4:$K$203)/$K40)))</f>
        <v>0</v>
      </c>
      <c r="AA40" s="170">
        <f>IF(OR($I40="",$E40=0),0,IF(OR($J40&lt;AA$3,$I40&gt;AA$2),0,IF($K40=0,IF(AND($I40&gt;=AA$3,$I40&lt;=AA$2),$E40,0),$E40*NETWORKDAYS(MAX($I40,AA$3),MIN($J40,AA$2),Data!$K$4:$K$203)/$K40)))</f>
        <v>0</v>
      </c>
      <c r="AB40" s="170">
        <f>IF(OR($I40="",$E40=0),0,IF(OR($J40&lt;AB$3,$I40&gt;AB$2),0,IF($K40=0,IF(AND($I40&gt;=AB$3,$I40&lt;=AB$2),$E40,0),$E40*NETWORKDAYS(MAX($I40,AB$3),MIN($J40,AB$2),Data!$K$4:$K$203)/$K40)))</f>
        <v>0</v>
      </c>
      <c r="AC40" s="170">
        <f>IF(OR($I40="",$E40=0),0,IF(OR($J40&lt;AC$3,$I40&gt;AC$2),0,IF($K40=0,IF(AND($I40&gt;=AC$3,$I40&lt;=AC$2),$E40,0),$E40*NETWORKDAYS(MAX($I40,AC$3),MIN($J40,AC$2),Data!$K$4:$K$203)/$K40)))</f>
        <v>0</v>
      </c>
      <c r="AD40" s="170">
        <f>IF(OR($I40="",$E40=0),0,IF(OR($J40&lt;AD$3,$I40&gt;AD$2),0,IF($K40=0,IF(AND($I40&gt;=AD$3,$I40&lt;=AD$2),$E40,0),$E40*NETWORKDAYS(MAX($I40,AD$3),MIN($J40,AD$2),Data!$K$4:$K$203)/$K40)))</f>
        <v>0</v>
      </c>
      <c r="AE40" s="170">
        <f>IF(OR($I40="",$E40=0),0,IF(OR($J40&lt;AE$3,$I40&gt;AE$2),0,IF($K40=0,IF(AND($I40&gt;=AE$3,$I40&lt;=AE$2),$E40,0),$E40*NETWORKDAYS(MAX($I40,AE$3),MIN($J40,AE$2),Data!$K$4:$K$203)/$K40)))</f>
        <v>0</v>
      </c>
      <c r="AF40" s="170">
        <f>IF(OR($I40="",$E40=0),0,IF(OR($J40&lt;AF$3,$I40&gt;AF$2),0,IF($K40=0,IF(AND($I40&gt;=AF$3,$I40&lt;=AF$2),$E40,0),$E40*NETWORKDAYS(MAX($I40,AF$3),MIN($J40,AF$2),Data!$K$4:$K$203)/$K40)))</f>
        <v>0</v>
      </c>
      <c r="AG40" s="170">
        <f>IF(OR($I40="",$E40=0),0,IF(OR($J40&lt;AG$3,$I40&gt;AG$2),0,IF($K40=0,IF(AND($I40&gt;=AG$3,$I40&lt;=AG$2),$E40,0),$E40*NETWORKDAYS(MAX($I40,AG$3),MIN($J40,AG$2),Data!$K$4:$K$203)/$K40)))</f>
        <v>0</v>
      </c>
      <c r="AH40" s="170">
        <f>IF(OR($I40="",$E40=0),0,IF(OR($J40&lt;AH$3,$I40&gt;AH$2),0,IF($K40=0,IF(AND($I40&gt;=AH$3,$I40&lt;=AH$2),$E40,0),$E40*NETWORKDAYS(MAX($I40,AH$3),MIN($J40,AH$2),Data!$K$4:$K$203)/$K40)))</f>
        <v>0</v>
      </c>
      <c r="AI40" s="170">
        <f>SUM(W40:AH40)</f>
        <v>0</v>
      </c>
      <c r="AK40" t="inlineStr">
        <is>
          <t>Rappel des réglages (bandeau du Dashboard)</t>
        </is>
      </c>
      <c r="AL40" t="str">
        <f>p_Perimetre&amp;"  ·  "&amp;IF(p_Repartition="Lissée jusqu'à la date de besoin","lissage en jours ouvrés jusqu'au besoin","tout sur le mois de début")&amp;"  ·  "&amp;p_HeuresETP&amp;" h/pers. dont "&amp;p_ChargeFixe&amp;" h hors projet"</f>
        <v>Projets en cours  ·  lissage en jours ouvrés jusqu'au besoin  ·  120 h/pers. dont 20 h hors projet</v>
      </c>
      <c r="BW40" t="n">
        <v>37</v>
      </c>
      <c r="BX40" t="str">
        <f>IFERROR(MATCH(BW40,$EQ$4:$EQ$503,0),"")</f>
        <v/>
      </c>
      <c r="BY40" t="str">
        <f>IF(BX40="","",INDEX($FL$4:$FL$503,BX40))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70"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4" t="str">
        <f>IF(EO40=1,IF(FH40&gt;0,FI40/FH40,AVERAGEIF($FF$4:$FF$503,EN40,$C$4:$C$503)),"")</f>
        <v/>
      </c>
      <c r="EV40" s="169">
        <f>IF(ISNUMBER(I40),I40,2958465)</f>
        <v>2958465.0</v>
      </c>
      <c r="EW40" s="169" t="str">
        <f>IF(EO40=1,SUMPRODUCT(MIN(($EN$4:$EN$503=EN40)*$EV$4:$EV$503+($EN$4:$EN$503&lt;&gt;EN40)*2958465)),"")</f>
        <v/>
      </c>
      <c r="EX40" s="169">
        <f>IF(AND(D40=1,ISNUMBER(INDEX(Charge!$F:$F,ROW()))),INDEX(Charge!$F:$F,ROW()),0)</f>
        <v>0.0</v>
      </c>
      <c r="EY40" s="169"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c r="FF40" t="str">
        <f>IF(B40=1,LEFT(SUBSTITUTE(SUBSTITUTE(SUBSTITUTE(TRIM(SUBSTITUTE(INDEX(Charge!$B:$B,ROW()),CHAR(160)," "))&amp;" | "&amp;TRIM(SUBSTITUTE(INDEX(Charge!$C:$C,ROW()),CHAR(160)," "))&amp;" | "&amp;TRIM(SUBSTITUTE(INDEX(Charge!$D:$D,ROW()),CHAR(160)," ")),"~","-"),"*","+"),"?","!"),240),"")</f>
        <v/>
      </c>
      <c r="FG40">
        <f>IF(B40=1,MAX(0,N(INDEX(Charge!$M:$M,ROW()))),0)</f>
        <v>0</v>
      </c>
      <c r="FH40" s="170" t="str">
        <f>IF(EO40=1,ROUND(SUMIF($FF$4:$FF$503,EN40,$FG$4:$FG$503),2),"")</f>
        <v/>
      </c>
      <c r="FI40" s="170" t="str">
        <f>IF(EO40=1,ROUND(SUMPRODUCT(($FF$4:$FF$503=EN40)*$FG$4:$FG$503*$C$4:$C$503),2),"")</f>
        <v/>
      </c>
      <c r="FJ40" s="170" t="str">
        <f>IF(EO40=1,MAX(0,ROUND(FH40-FI40,2)),"")</f>
        <v/>
      </c>
      <c r="FK40" s="174" t="str">
        <f>IF(EO40=1,IF(OR(EW40&gt;=2958465,EY40=0,EY40&lt;=EW40),"",IF(TODAY()&lt;=EW40,0,IF(TODAY()&gt;EY40,1,IFERROR(NETWORKDAYS(EW40,TODAY()-1,Data!$K$4:$K$203)/NETWORKDAYS(EW40,EY40,Data!$K$4:$K$203),"")))),"")</f>
        <v/>
      </c>
      <c r="FL40" t="str">
        <f>IF(EO40=1,IF(AND(EY40&gt;0,EY40&lt;TODAY(),ROUND(EU40,4)&lt;1),2,IF(FK40="",0,IF(ROUND(EU40-FK40,4)&lt;-0.15,1,0))),"")</f>
        <v/>
      </c>
      <c r="FM40">
        <f>IF(OR(FA40="",COUNTIF($FA$4:FA39,FA40)&gt;0),0,MAX(0,IF(FB40="Interne",IF(ISNUMBER(INDEX(Data!$F:$F,40)),INDEX(Data!$F:$F,40),p_HeuresETP),IF(ISNUMBER(INDEX(Data!$I:$I,40-$CD$23)),INDEX(Data!$I:$I,40-$CD$23),p_HeuresETP))-IF(FB40="Interne",IF(ISNUMBER(INDEX(Data!$G:$G,40)),INDEX(Data!$G:$G,40),p_ChargeFixe),IF(ISNUMBER(INDEX(Data!$J:$J,40-$CD$23)),INDEX(Data!$J:$J,40-$CD$23),p_ChargeFixe))))</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9" t="str">
        <f>IF(AND(D41=1,ISNUMBER(INDEX(Charge!$N:$N,ROW()))),INDEX(Charge!$N:$N,ROW()),"")</f>
        <v/>
      </c>
      <c r="J41" s="169"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70">
        <f>IF(OR($I41="",$E41=0),0,IF(OR($J41&lt;W$3,$I41&gt;W$2),0,IF($K41=0,IF(AND($I41&gt;=W$3,$I41&lt;=W$2),$E41,0),$E41*NETWORKDAYS(MAX($I41,W$3),MIN($J41,W$2),Data!$K$4:$K$203)/$K41)))</f>
        <v>0</v>
      </c>
      <c r="X41" s="170">
        <f>IF(OR($I41="",$E41=0),0,IF(OR($J41&lt;X$3,$I41&gt;X$2),0,IF($K41=0,IF(AND($I41&gt;=X$3,$I41&lt;=X$2),$E41,0),$E41*NETWORKDAYS(MAX($I41,X$3),MIN($J41,X$2),Data!$K$4:$K$203)/$K41)))</f>
        <v>0</v>
      </c>
      <c r="Y41" s="170">
        <f>IF(OR($I41="",$E41=0),0,IF(OR($J41&lt;Y$3,$I41&gt;Y$2),0,IF($K41=0,IF(AND($I41&gt;=Y$3,$I41&lt;=Y$2),$E41,0),$E41*NETWORKDAYS(MAX($I41,Y$3),MIN($J41,Y$2),Data!$K$4:$K$203)/$K41)))</f>
        <v>0</v>
      </c>
      <c r="Z41" s="170">
        <f>IF(OR($I41="",$E41=0),0,IF(OR($J41&lt;Z$3,$I41&gt;Z$2),0,IF($K41=0,IF(AND($I41&gt;=Z$3,$I41&lt;=Z$2),$E41,0),$E41*NETWORKDAYS(MAX($I41,Z$3),MIN($J41,Z$2),Data!$K$4:$K$203)/$K41)))</f>
        <v>0</v>
      </c>
      <c r="AA41" s="170">
        <f>IF(OR($I41="",$E41=0),0,IF(OR($J41&lt;AA$3,$I41&gt;AA$2),0,IF($K41=0,IF(AND($I41&gt;=AA$3,$I41&lt;=AA$2),$E41,0),$E41*NETWORKDAYS(MAX($I41,AA$3),MIN($J41,AA$2),Data!$K$4:$K$203)/$K41)))</f>
        <v>0</v>
      </c>
      <c r="AB41" s="170">
        <f>IF(OR($I41="",$E41=0),0,IF(OR($J41&lt;AB$3,$I41&gt;AB$2),0,IF($K41=0,IF(AND($I41&gt;=AB$3,$I41&lt;=AB$2),$E41,0),$E41*NETWORKDAYS(MAX($I41,AB$3),MIN($J41,AB$2),Data!$K$4:$K$203)/$K41)))</f>
        <v>0</v>
      </c>
      <c r="AC41" s="170">
        <f>IF(OR($I41="",$E41=0),0,IF(OR($J41&lt;AC$3,$I41&gt;AC$2),0,IF($K41=0,IF(AND($I41&gt;=AC$3,$I41&lt;=AC$2),$E41,0),$E41*NETWORKDAYS(MAX($I41,AC$3),MIN($J41,AC$2),Data!$K$4:$K$203)/$K41)))</f>
        <v>0</v>
      </c>
      <c r="AD41" s="170">
        <f>IF(OR($I41="",$E41=0),0,IF(OR($J41&lt;AD$3,$I41&gt;AD$2),0,IF($K41=0,IF(AND($I41&gt;=AD$3,$I41&lt;=AD$2),$E41,0),$E41*NETWORKDAYS(MAX($I41,AD$3),MIN($J41,AD$2),Data!$K$4:$K$203)/$K41)))</f>
        <v>0</v>
      </c>
      <c r="AE41" s="170">
        <f>IF(OR($I41="",$E41=0),0,IF(OR($J41&lt;AE$3,$I41&gt;AE$2),0,IF($K41=0,IF(AND($I41&gt;=AE$3,$I41&lt;=AE$2),$E41,0),$E41*NETWORKDAYS(MAX($I41,AE$3),MIN($J41,AE$2),Data!$K$4:$K$203)/$K41)))</f>
        <v>0</v>
      </c>
      <c r="AF41" s="170">
        <f>IF(OR($I41="",$E41=0),0,IF(OR($J41&lt;AF$3,$I41&gt;AF$2),0,IF($K41=0,IF(AND($I41&gt;=AF$3,$I41&lt;=AF$2),$E41,0),$E41*NETWORKDAYS(MAX($I41,AF$3),MIN($J41,AF$2),Data!$K$4:$K$203)/$K41)))</f>
        <v>0</v>
      </c>
      <c r="AG41" s="170">
        <f>IF(OR($I41="",$E41=0),0,IF(OR($J41&lt;AG$3,$I41&gt;AG$2),0,IF($K41=0,IF(AND($I41&gt;=AG$3,$I41&lt;=AG$2),$E41,0),$E41*NETWORKDAYS(MAX($I41,AG$3),MIN($J41,AG$2),Data!$K$4:$K$203)/$K41)))</f>
        <v>0</v>
      </c>
      <c r="AH41" s="170">
        <f>IF(OR($I41="",$E41=0),0,IF(OR($J41&lt;AH$3,$I41&gt;AH$2),0,IF($K41=0,IF(AND($I41&gt;=AH$3,$I41&lt;=AH$2),$E41,0),$E41*NETWORKDAYS(MAX($I41,AH$3),MIN($J41,AH$2),Data!$K$4:$K$203)/$K41)))</f>
        <v>0</v>
      </c>
      <c r="AI41" s="170">
        <f>SUM(W41:AH41)</f>
        <v>0</v>
      </c>
      <c r="BW41" t="n">
        <v>38</v>
      </c>
      <c r="BX41" t="str">
        <f>IFERROR(MATCH(BW41,$EQ$4:$EQ$503,0),"")</f>
        <v/>
      </c>
      <c r="BY41" t="str">
        <f>IF(BX41="","",INDEX($FL$4:$FL$503,BX41))</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70"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4" t="str">
        <f>IF(EO41=1,IF(FH41&gt;0,FI41/FH41,AVERAGEIF($FF$4:$FF$503,EN41,$C$4:$C$503)),"")</f>
        <v/>
      </c>
      <c r="EV41" s="169">
        <f>IF(ISNUMBER(I41),I41,2958465)</f>
        <v>2958465.0</v>
      </c>
      <c r="EW41" s="169" t="str">
        <f>IF(EO41=1,SUMPRODUCT(MIN(($EN$4:$EN$503=EN41)*$EV$4:$EV$503+($EN$4:$EN$503&lt;&gt;EN41)*2958465)),"")</f>
        <v/>
      </c>
      <c r="EX41" s="169">
        <f>IF(AND(D41=1,ISNUMBER(INDEX(Charge!$F:$F,ROW()))),INDEX(Charge!$F:$F,ROW()),0)</f>
        <v>0.0</v>
      </c>
      <c r="EY41" s="169"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c r="FF41" t="str">
        <f>IF(B41=1,LEFT(SUBSTITUTE(SUBSTITUTE(SUBSTITUTE(TRIM(SUBSTITUTE(INDEX(Charge!$B:$B,ROW()),CHAR(160)," "))&amp;" | "&amp;TRIM(SUBSTITUTE(INDEX(Charge!$C:$C,ROW()),CHAR(160)," "))&amp;" | "&amp;TRIM(SUBSTITUTE(INDEX(Charge!$D:$D,ROW()),CHAR(160)," ")),"~","-"),"*","+"),"?","!"),240),"")</f>
        <v/>
      </c>
      <c r="FG41">
        <f>IF(B41=1,MAX(0,N(INDEX(Charge!$M:$M,ROW()))),0)</f>
        <v>0</v>
      </c>
      <c r="FH41" s="170" t="str">
        <f>IF(EO41=1,ROUND(SUMIF($FF$4:$FF$503,EN41,$FG$4:$FG$503),2),"")</f>
        <v/>
      </c>
      <c r="FI41" s="170" t="str">
        <f>IF(EO41=1,ROUND(SUMPRODUCT(($FF$4:$FF$503=EN41)*$FG$4:$FG$503*$C$4:$C$503),2),"")</f>
        <v/>
      </c>
      <c r="FJ41" s="170" t="str">
        <f>IF(EO41=1,MAX(0,ROUND(FH41-FI41,2)),"")</f>
        <v/>
      </c>
      <c r="FK41" s="174" t="str">
        <f>IF(EO41=1,IF(OR(EW41&gt;=2958465,EY41=0,EY41&lt;=EW41),"",IF(TODAY()&lt;=EW41,0,IF(TODAY()&gt;EY41,1,IFERROR(NETWORKDAYS(EW41,TODAY()-1,Data!$K$4:$K$203)/NETWORKDAYS(EW41,EY41,Data!$K$4:$K$203),"")))),"")</f>
        <v/>
      </c>
      <c r="FL41" t="str">
        <f>IF(EO41=1,IF(AND(EY41&gt;0,EY41&lt;TODAY(),ROUND(EU41,4)&lt;1),2,IF(FK41="",0,IF(ROUND(EU41-FK41,4)&lt;-0.15,1,0))),"")</f>
        <v/>
      </c>
      <c r="FM41">
        <f>IF(OR(FA41="",COUNTIF($FA$4:FA40,FA41)&gt;0),0,MAX(0,IF(FB41="Interne",IF(ISNUMBER(INDEX(Data!$F:$F,41)),INDEX(Data!$F:$F,41),p_HeuresETP),IF(ISNUMBER(INDEX(Data!$I:$I,41-$CD$23)),INDEX(Data!$I:$I,41-$CD$23),p_HeuresETP))-IF(FB41="Interne",IF(ISNUMBER(INDEX(Data!$G:$G,41)),INDEX(Data!$G:$G,41),p_ChargeFixe),IF(ISNUMBER(INDEX(Data!$J:$J,41-$CD$23)),INDEX(Data!$J:$J,41-$CD$23),p_ChargeFixe))))</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9" t="str">
        <f>IF(AND(D42=1,ISNUMBER(INDEX(Charge!$N:$N,ROW()))),INDEX(Charge!$N:$N,ROW()),"")</f>
        <v/>
      </c>
      <c r="J42" s="169"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70">
        <f>IF(OR($I42="",$E42=0),0,IF(OR($J42&lt;W$3,$I42&gt;W$2),0,IF($K42=0,IF(AND($I42&gt;=W$3,$I42&lt;=W$2),$E42,0),$E42*NETWORKDAYS(MAX($I42,W$3),MIN($J42,W$2),Data!$K$4:$K$203)/$K42)))</f>
        <v>0</v>
      </c>
      <c r="X42" s="170">
        <f>IF(OR($I42="",$E42=0),0,IF(OR($J42&lt;X$3,$I42&gt;X$2),0,IF($K42=0,IF(AND($I42&gt;=X$3,$I42&lt;=X$2),$E42,0),$E42*NETWORKDAYS(MAX($I42,X$3),MIN($J42,X$2),Data!$K$4:$K$203)/$K42)))</f>
        <v>0</v>
      </c>
      <c r="Y42" s="170">
        <f>IF(OR($I42="",$E42=0),0,IF(OR($J42&lt;Y$3,$I42&gt;Y$2),0,IF($K42=0,IF(AND($I42&gt;=Y$3,$I42&lt;=Y$2),$E42,0),$E42*NETWORKDAYS(MAX($I42,Y$3),MIN($J42,Y$2),Data!$K$4:$K$203)/$K42)))</f>
        <v>0</v>
      </c>
      <c r="Z42" s="170">
        <f>IF(OR($I42="",$E42=0),0,IF(OR($J42&lt;Z$3,$I42&gt;Z$2),0,IF($K42=0,IF(AND($I42&gt;=Z$3,$I42&lt;=Z$2),$E42,0),$E42*NETWORKDAYS(MAX($I42,Z$3),MIN($J42,Z$2),Data!$K$4:$K$203)/$K42)))</f>
        <v>0</v>
      </c>
      <c r="AA42" s="170">
        <f>IF(OR($I42="",$E42=0),0,IF(OR($J42&lt;AA$3,$I42&gt;AA$2),0,IF($K42=0,IF(AND($I42&gt;=AA$3,$I42&lt;=AA$2),$E42,0),$E42*NETWORKDAYS(MAX($I42,AA$3),MIN($J42,AA$2),Data!$K$4:$K$203)/$K42)))</f>
        <v>0</v>
      </c>
      <c r="AB42" s="170">
        <f>IF(OR($I42="",$E42=0),0,IF(OR($J42&lt;AB$3,$I42&gt;AB$2),0,IF($K42=0,IF(AND($I42&gt;=AB$3,$I42&lt;=AB$2),$E42,0),$E42*NETWORKDAYS(MAX($I42,AB$3),MIN($J42,AB$2),Data!$K$4:$K$203)/$K42)))</f>
        <v>0</v>
      </c>
      <c r="AC42" s="170">
        <f>IF(OR($I42="",$E42=0),0,IF(OR($J42&lt;AC$3,$I42&gt;AC$2),0,IF($K42=0,IF(AND($I42&gt;=AC$3,$I42&lt;=AC$2),$E42,0),$E42*NETWORKDAYS(MAX($I42,AC$3),MIN($J42,AC$2),Data!$K$4:$K$203)/$K42)))</f>
        <v>0</v>
      </c>
      <c r="AD42" s="170">
        <f>IF(OR($I42="",$E42=0),0,IF(OR($J42&lt;AD$3,$I42&gt;AD$2),0,IF($K42=0,IF(AND($I42&gt;=AD$3,$I42&lt;=AD$2),$E42,0),$E42*NETWORKDAYS(MAX($I42,AD$3),MIN($J42,AD$2),Data!$K$4:$K$203)/$K42)))</f>
        <v>0</v>
      </c>
      <c r="AE42" s="170">
        <f>IF(OR($I42="",$E42=0),0,IF(OR($J42&lt;AE$3,$I42&gt;AE$2),0,IF($K42=0,IF(AND($I42&gt;=AE$3,$I42&lt;=AE$2),$E42,0),$E42*NETWORKDAYS(MAX($I42,AE$3),MIN($J42,AE$2),Data!$K$4:$K$203)/$K42)))</f>
        <v>0</v>
      </c>
      <c r="AF42" s="170">
        <f>IF(OR($I42="",$E42=0),0,IF(OR($J42&lt;AF$3,$I42&gt;AF$2),0,IF($K42=0,IF(AND($I42&gt;=AF$3,$I42&lt;=AF$2),$E42,0),$E42*NETWORKDAYS(MAX($I42,AF$3),MIN($J42,AF$2),Data!$K$4:$K$203)/$K42)))</f>
        <v>0</v>
      </c>
      <c r="AG42" s="170">
        <f>IF(OR($I42="",$E42=0),0,IF(OR($J42&lt;AG$3,$I42&gt;AG$2),0,IF($K42=0,IF(AND($I42&gt;=AG$3,$I42&lt;=AG$2),$E42,0),$E42*NETWORKDAYS(MAX($I42,AG$3),MIN($J42,AG$2),Data!$K$4:$K$203)/$K42)))</f>
        <v>0</v>
      </c>
      <c r="AH42" s="170">
        <f>IF(OR($I42="",$E42=0),0,IF(OR($J42&lt;AH$3,$I42&gt;AH$2),0,IF($K42=0,IF(AND($I42&gt;=AH$3,$I42&lt;=AH$2),$E42,0),$E42*NETWORKDAYS(MAX($I42,AH$3),MIN($J42,AH$2),Data!$K$4:$K$203)/$K42)))</f>
        <v>0</v>
      </c>
      <c r="AI42" s="170">
        <f>SUM(W42:AH42)</f>
        <v>0</v>
      </c>
      <c r="BW42" t="n">
        <v>39</v>
      </c>
      <c r="BX42" t="str">
        <f>IFERROR(MATCH(BW42,$EQ$4:$EQ$503,0),"")</f>
        <v/>
      </c>
      <c r="BY42" t="str">
        <f>IF(BX42="","",INDEX($FL$4:$FL$503,BX42))</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70"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4" t="str">
        <f>IF(EO42=1,IF(FH42&gt;0,FI42/FH42,AVERAGEIF($FF$4:$FF$503,EN42,$C$4:$C$503)),"")</f>
        <v/>
      </c>
      <c r="EV42" s="169">
        <f>IF(ISNUMBER(I42),I42,2958465)</f>
        <v>2958465.0</v>
      </c>
      <c r="EW42" s="169" t="str">
        <f>IF(EO42=1,SUMPRODUCT(MIN(($EN$4:$EN$503=EN42)*$EV$4:$EV$503+($EN$4:$EN$503&lt;&gt;EN42)*2958465)),"")</f>
        <v/>
      </c>
      <c r="EX42" s="169">
        <f>IF(AND(D42=1,ISNUMBER(INDEX(Charge!$F:$F,ROW()))),INDEX(Charge!$F:$F,ROW()),0)</f>
        <v>0.0</v>
      </c>
      <c r="EY42" s="169"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c r="FF42" t="str">
        <f>IF(B42=1,LEFT(SUBSTITUTE(SUBSTITUTE(SUBSTITUTE(TRIM(SUBSTITUTE(INDEX(Charge!$B:$B,ROW()),CHAR(160)," "))&amp;" | "&amp;TRIM(SUBSTITUTE(INDEX(Charge!$C:$C,ROW()),CHAR(160)," "))&amp;" | "&amp;TRIM(SUBSTITUTE(INDEX(Charge!$D:$D,ROW()),CHAR(160)," ")),"~","-"),"*","+"),"?","!"),240),"")</f>
        <v/>
      </c>
      <c r="FG42">
        <f>IF(B42=1,MAX(0,N(INDEX(Charge!$M:$M,ROW()))),0)</f>
        <v>0</v>
      </c>
      <c r="FH42" s="170" t="str">
        <f>IF(EO42=1,ROUND(SUMIF($FF$4:$FF$503,EN42,$FG$4:$FG$503),2),"")</f>
        <v/>
      </c>
      <c r="FI42" s="170" t="str">
        <f>IF(EO42=1,ROUND(SUMPRODUCT(($FF$4:$FF$503=EN42)*$FG$4:$FG$503*$C$4:$C$503),2),"")</f>
        <v/>
      </c>
      <c r="FJ42" s="170" t="str">
        <f>IF(EO42=1,MAX(0,ROUND(FH42-FI42,2)),"")</f>
        <v/>
      </c>
      <c r="FK42" s="174" t="str">
        <f>IF(EO42=1,IF(OR(EW42&gt;=2958465,EY42=0,EY42&lt;=EW42),"",IF(TODAY()&lt;=EW42,0,IF(TODAY()&gt;EY42,1,IFERROR(NETWORKDAYS(EW42,TODAY()-1,Data!$K$4:$K$203)/NETWORKDAYS(EW42,EY42,Data!$K$4:$K$203),"")))),"")</f>
        <v/>
      </c>
      <c r="FL42" t="str">
        <f>IF(EO42=1,IF(AND(EY42&gt;0,EY42&lt;TODAY(),ROUND(EU42,4)&lt;1),2,IF(FK42="",0,IF(ROUND(EU42-FK42,4)&lt;-0.15,1,0))),"")</f>
        <v/>
      </c>
      <c r="FM42">
        <f>IF(OR(FA42="",COUNTIF($FA$4:FA41,FA42)&gt;0),0,MAX(0,IF(FB42="Interne",IF(ISNUMBER(INDEX(Data!$F:$F,42)),INDEX(Data!$F:$F,42),p_HeuresETP),IF(ISNUMBER(INDEX(Data!$I:$I,42-$CD$23)),INDEX(Data!$I:$I,42-$CD$23),p_HeuresETP))-IF(FB42="Interne",IF(ISNUMBER(INDEX(Data!$G:$G,42)),INDEX(Data!$G:$G,42),p_ChargeFixe),IF(ISNUMBER(INDEX(Data!$J:$J,42-$CD$23)),INDEX(Data!$J:$J,42-$CD$23),p_ChargeFixe))))</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9" t="str">
        <f>IF(AND(D43=1,ISNUMBER(INDEX(Charge!$N:$N,ROW()))),INDEX(Charge!$N:$N,ROW()),"")</f>
        <v/>
      </c>
      <c r="J43" s="169"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70">
        <f>IF(OR($I43="",$E43=0),0,IF(OR($J43&lt;W$3,$I43&gt;W$2),0,IF($K43=0,IF(AND($I43&gt;=W$3,$I43&lt;=W$2),$E43,0),$E43*NETWORKDAYS(MAX($I43,W$3),MIN($J43,W$2),Data!$K$4:$K$203)/$K43)))</f>
        <v>0</v>
      </c>
      <c r="X43" s="170">
        <f>IF(OR($I43="",$E43=0),0,IF(OR($J43&lt;X$3,$I43&gt;X$2),0,IF($K43=0,IF(AND($I43&gt;=X$3,$I43&lt;=X$2),$E43,0),$E43*NETWORKDAYS(MAX($I43,X$3),MIN($J43,X$2),Data!$K$4:$K$203)/$K43)))</f>
        <v>0</v>
      </c>
      <c r="Y43" s="170">
        <f>IF(OR($I43="",$E43=0),0,IF(OR($J43&lt;Y$3,$I43&gt;Y$2),0,IF($K43=0,IF(AND($I43&gt;=Y$3,$I43&lt;=Y$2),$E43,0),$E43*NETWORKDAYS(MAX($I43,Y$3),MIN($J43,Y$2),Data!$K$4:$K$203)/$K43)))</f>
        <v>0</v>
      </c>
      <c r="Z43" s="170">
        <f>IF(OR($I43="",$E43=0),0,IF(OR($J43&lt;Z$3,$I43&gt;Z$2),0,IF($K43=0,IF(AND($I43&gt;=Z$3,$I43&lt;=Z$2),$E43,0),$E43*NETWORKDAYS(MAX($I43,Z$3),MIN($J43,Z$2),Data!$K$4:$K$203)/$K43)))</f>
        <v>0</v>
      </c>
      <c r="AA43" s="170">
        <f>IF(OR($I43="",$E43=0),0,IF(OR($J43&lt;AA$3,$I43&gt;AA$2),0,IF($K43=0,IF(AND($I43&gt;=AA$3,$I43&lt;=AA$2),$E43,0),$E43*NETWORKDAYS(MAX($I43,AA$3),MIN($J43,AA$2),Data!$K$4:$K$203)/$K43)))</f>
        <v>0</v>
      </c>
      <c r="AB43" s="170">
        <f>IF(OR($I43="",$E43=0),0,IF(OR($J43&lt;AB$3,$I43&gt;AB$2),0,IF($K43=0,IF(AND($I43&gt;=AB$3,$I43&lt;=AB$2),$E43,0),$E43*NETWORKDAYS(MAX($I43,AB$3),MIN($J43,AB$2),Data!$K$4:$K$203)/$K43)))</f>
        <v>0</v>
      </c>
      <c r="AC43" s="170">
        <f>IF(OR($I43="",$E43=0),0,IF(OR($J43&lt;AC$3,$I43&gt;AC$2),0,IF($K43=0,IF(AND($I43&gt;=AC$3,$I43&lt;=AC$2),$E43,0),$E43*NETWORKDAYS(MAX($I43,AC$3),MIN($J43,AC$2),Data!$K$4:$K$203)/$K43)))</f>
        <v>0</v>
      </c>
      <c r="AD43" s="170">
        <f>IF(OR($I43="",$E43=0),0,IF(OR($J43&lt;AD$3,$I43&gt;AD$2),0,IF($K43=0,IF(AND($I43&gt;=AD$3,$I43&lt;=AD$2),$E43,0),$E43*NETWORKDAYS(MAX($I43,AD$3),MIN($J43,AD$2),Data!$K$4:$K$203)/$K43)))</f>
        <v>0</v>
      </c>
      <c r="AE43" s="170">
        <f>IF(OR($I43="",$E43=0),0,IF(OR($J43&lt;AE$3,$I43&gt;AE$2),0,IF($K43=0,IF(AND($I43&gt;=AE$3,$I43&lt;=AE$2),$E43,0),$E43*NETWORKDAYS(MAX($I43,AE$3),MIN($J43,AE$2),Data!$K$4:$K$203)/$K43)))</f>
        <v>0</v>
      </c>
      <c r="AF43" s="170">
        <f>IF(OR($I43="",$E43=0),0,IF(OR($J43&lt;AF$3,$I43&gt;AF$2),0,IF($K43=0,IF(AND($I43&gt;=AF$3,$I43&lt;=AF$2),$E43,0),$E43*NETWORKDAYS(MAX($I43,AF$3),MIN($J43,AF$2),Data!$K$4:$K$203)/$K43)))</f>
        <v>0</v>
      </c>
      <c r="AG43" s="170">
        <f>IF(OR($I43="",$E43=0),0,IF(OR($J43&lt;AG$3,$I43&gt;AG$2),0,IF($K43=0,IF(AND($I43&gt;=AG$3,$I43&lt;=AG$2),$E43,0),$E43*NETWORKDAYS(MAX($I43,AG$3),MIN($J43,AG$2),Data!$K$4:$K$203)/$K43)))</f>
        <v>0</v>
      </c>
      <c r="AH43" s="170">
        <f>IF(OR($I43="",$E43=0),0,IF(OR($J43&lt;AH$3,$I43&gt;AH$2),0,IF($K43=0,IF(AND($I43&gt;=AH$3,$I43&lt;=AH$2),$E43,0),$E43*NETWORKDAYS(MAX($I43,AH$3),MIN($J43,AH$2),Data!$K$4:$K$203)/$K43)))</f>
        <v>0</v>
      </c>
      <c r="AI43" s="170">
        <f>SUM(W43:AH43)</f>
        <v>0</v>
      </c>
      <c r="BW43" t="n">
        <v>40</v>
      </c>
      <c r="BX43" t="str">
        <f>IFERROR(MATCH(BW43,$EQ$4:$EQ$503,0),"")</f>
        <v/>
      </c>
      <c r="BY43" t="str">
        <f>IF(BX43="","",INDEX($FL$4:$FL$503,BX43))</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70"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4" t="str">
        <f>IF(EO43=1,IF(FH43&gt;0,FI43/FH43,AVERAGEIF($FF$4:$FF$503,EN43,$C$4:$C$503)),"")</f>
        <v/>
      </c>
      <c r="EV43" s="169">
        <f>IF(ISNUMBER(I43),I43,2958465)</f>
        <v>2958465.0</v>
      </c>
      <c r="EW43" s="169" t="str">
        <f>IF(EO43=1,SUMPRODUCT(MIN(($EN$4:$EN$503=EN43)*$EV$4:$EV$503+($EN$4:$EN$503&lt;&gt;EN43)*2958465)),"")</f>
        <v/>
      </c>
      <c r="EX43" s="169">
        <f>IF(AND(D43=1,ISNUMBER(INDEX(Charge!$F:$F,ROW()))),INDEX(Charge!$F:$F,ROW()),0)</f>
        <v>0.0</v>
      </c>
      <c r="EY43" s="169"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c r="FF43" t="str">
        <f>IF(B43=1,LEFT(SUBSTITUTE(SUBSTITUTE(SUBSTITUTE(TRIM(SUBSTITUTE(INDEX(Charge!$B:$B,ROW()),CHAR(160)," "))&amp;" | "&amp;TRIM(SUBSTITUTE(INDEX(Charge!$C:$C,ROW()),CHAR(160)," "))&amp;" | "&amp;TRIM(SUBSTITUTE(INDEX(Charge!$D:$D,ROW()),CHAR(160)," ")),"~","-"),"*","+"),"?","!"),240),"")</f>
        <v/>
      </c>
      <c r="FG43">
        <f>IF(B43=1,MAX(0,N(INDEX(Charge!$M:$M,ROW()))),0)</f>
        <v>0</v>
      </c>
      <c r="FH43" s="170" t="str">
        <f>IF(EO43=1,ROUND(SUMIF($FF$4:$FF$503,EN43,$FG$4:$FG$503),2),"")</f>
        <v/>
      </c>
      <c r="FI43" s="170" t="str">
        <f>IF(EO43=1,ROUND(SUMPRODUCT(($FF$4:$FF$503=EN43)*$FG$4:$FG$503*$C$4:$C$503),2),"")</f>
        <v/>
      </c>
      <c r="FJ43" s="170" t="str">
        <f>IF(EO43=1,MAX(0,ROUND(FH43-FI43,2)),"")</f>
        <v/>
      </c>
      <c r="FK43" s="174" t="str">
        <f>IF(EO43=1,IF(OR(EW43&gt;=2958465,EY43=0,EY43&lt;=EW43),"",IF(TODAY()&lt;=EW43,0,IF(TODAY()&gt;EY43,1,IFERROR(NETWORKDAYS(EW43,TODAY()-1,Data!$K$4:$K$203)/NETWORKDAYS(EW43,EY43,Data!$K$4:$K$203),"")))),"")</f>
        <v/>
      </c>
      <c r="FL43" t="str">
        <f>IF(EO43=1,IF(AND(EY43&gt;0,EY43&lt;TODAY(),ROUND(EU43,4)&lt;1),2,IF(FK43="",0,IF(ROUND(EU43-FK43,4)&lt;-0.15,1,0))),"")</f>
        <v/>
      </c>
      <c r="FM43">
        <f>IF(OR(FA43="",COUNTIF($FA$4:FA42,FA43)&gt;0),0,MAX(0,IF(FB43="Interne",IF(ISNUMBER(INDEX(Data!$F:$F,43)),INDEX(Data!$F:$F,43),p_HeuresETP),IF(ISNUMBER(INDEX(Data!$I:$I,43-$CD$23)),INDEX(Data!$I:$I,43-$CD$23),p_HeuresETP))-IF(FB43="Interne",IF(ISNUMBER(INDEX(Data!$G:$G,43)),INDEX(Data!$G:$G,43),p_ChargeFixe),IF(ISNUMBER(INDEX(Data!$J:$J,43-$CD$23)),INDEX(Data!$J:$J,43-$CD$23),p_ChargeFixe))))</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9" t="str">
        <f>IF(AND(D44=1,ISNUMBER(INDEX(Charge!$N:$N,ROW()))),INDEX(Charge!$N:$N,ROW()),"")</f>
        <v/>
      </c>
      <c r="J44" s="169"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70">
        <f>IF(OR($I44="",$E44=0),0,IF(OR($J44&lt;W$3,$I44&gt;W$2),0,IF($K44=0,IF(AND($I44&gt;=W$3,$I44&lt;=W$2),$E44,0),$E44*NETWORKDAYS(MAX($I44,W$3),MIN($J44,W$2),Data!$K$4:$K$203)/$K44)))</f>
        <v>0</v>
      </c>
      <c r="X44" s="170">
        <f>IF(OR($I44="",$E44=0),0,IF(OR($J44&lt;X$3,$I44&gt;X$2),0,IF($K44=0,IF(AND($I44&gt;=X$3,$I44&lt;=X$2),$E44,0),$E44*NETWORKDAYS(MAX($I44,X$3),MIN($J44,X$2),Data!$K$4:$K$203)/$K44)))</f>
        <v>0</v>
      </c>
      <c r="Y44" s="170">
        <f>IF(OR($I44="",$E44=0),0,IF(OR($J44&lt;Y$3,$I44&gt;Y$2),0,IF($K44=0,IF(AND($I44&gt;=Y$3,$I44&lt;=Y$2),$E44,0),$E44*NETWORKDAYS(MAX($I44,Y$3),MIN($J44,Y$2),Data!$K$4:$K$203)/$K44)))</f>
        <v>0</v>
      </c>
      <c r="Z44" s="170">
        <f>IF(OR($I44="",$E44=0),0,IF(OR($J44&lt;Z$3,$I44&gt;Z$2),0,IF($K44=0,IF(AND($I44&gt;=Z$3,$I44&lt;=Z$2),$E44,0),$E44*NETWORKDAYS(MAX($I44,Z$3),MIN($J44,Z$2),Data!$K$4:$K$203)/$K44)))</f>
        <v>0</v>
      </c>
      <c r="AA44" s="170">
        <f>IF(OR($I44="",$E44=0),0,IF(OR($J44&lt;AA$3,$I44&gt;AA$2),0,IF($K44=0,IF(AND($I44&gt;=AA$3,$I44&lt;=AA$2),$E44,0),$E44*NETWORKDAYS(MAX($I44,AA$3),MIN($J44,AA$2),Data!$K$4:$K$203)/$K44)))</f>
        <v>0</v>
      </c>
      <c r="AB44" s="170">
        <f>IF(OR($I44="",$E44=0),0,IF(OR($J44&lt;AB$3,$I44&gt;AB$2),0,IF($K44=0,IF(AND($I44&gt;=AB$3,$I44&lt;=AB$2),$E44,0),$E44*NETWORKDAYS(MAX($I44,AB$3),MIN($J44,AB$2),Data!$K$4:$K$203)/$K44)))</f>
        <v>0</v>
      </c>
      <c r="AC44" s="170">
        <f>IF(OR($I44="",$E44=0),0,IF(OR($J44&lt;AC$3,$I44&gt;AC$2),0,IF($K44=0,IF(AND($I44&gt;=AC$3,$I44&lt;=AC$2),$E44,0),$E44*NETWORKDAYS(MAX($I44,AC$3),MIN($J44,AC$2),Data!$K$4:$K$203)/$K44)))</f>
        <v>0</v>
      </c>
      <c r="AD44" s="170">
        <f>IF(OR($I44="",$E44=0),0,IF(OR($J44&lt;AD$3,$I44&gt;AD$2),0,IF($K44=0,IF(AND($I44&gt;=AD$3,$I44&lt;=AD$2),$E44,0),$E44*NETWORKDAYS(MAX($I44,AD$3),MIN($J44,AD$2),Data!$K$4:$K$203)/$K44)))</f>
        <v>0</v>
      </c>
      <c r="AE44" s="170">
        <f>IF(OR($I44="",$E44=0),0,IF(OR($J44&lt;AE$3,$I44&gt;AE$2),0,IF($K44=0,IF(AND($I44&gt;=AE$3,$I44&lt;=AE$2),$E44,0),$E44*NETWORKDAYS(MAX($I44,AE$3),MIN($J44,AE$2),Data!$K$4:$K$203)/$K44)))</f>
        <v>0</v>
      </c>
      <c r="AF44" s="170">
        <f>IF(OR($I44="",$E44=0),0,IF(OR($J44&lt;AF$3,$I44&gt;AF$2),0,IF($K44=0,IF(AND($I44&gt;=AF$3,$I44&lt;=AF$2),$E44,0),$E44*NETWORKDAYS(MAX($I44,AF$3),MIN($J44,AF$2),Data!$K$4:$K$203)/$K44)))</f>
        <v>0</v>
      </c>
      <c r="AG44" s="170">
        <f>IF(OR($I44="",$E44=0),0,IF(OR($J44&lt;AG$3,$I44&gt;AG$2),0,IF($K44=0,IF(AND($I44&gt;=AG$3,$I44&lt;=AG$2),$E44,0),$E44*NETWORKDAYS(MAX($I44,AG$3),MIN($J44,AG$2),Data!$K$4:$K$203)/$K44)))</f>
        <v>0</v>
      </c>
      <c r="AH44" s="170">
        <f>IF(OR($I44="",$E44=0),0,IF(OR($J44&lt;AH$3,$I44&gt;AH$2),0,IF($K44=0,IF(AND($I44&gt;=AH$3,$I44&lt;=AH$2),$E44,0),$E44*NETWORKDAYS(MAX($I44,AH$3),MIN($J44,AH$2),Data!$K$4:$K$203)/$K44)))</f>
        <v>0</v>
      </c>
      <c r="AI44" s="170">
        <f>SUM(W44:AH44)</f>
        <v>0</v>
      </c>
      <c r="BW44" t="n">
        <v>41</v>
      </c>
      <c r="BX44" t="str">
        <f>IFERROR(MATCH(BW44,$EQ$4:$EQ$503,0),"")</f>
        <v/>
      </c>
      <c r="BY44" t="str">
        <f>IF(BX44="","",INDEX($FL$4:$FL$503,BX44))</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70"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4" t="str">
        <f>IF(EO44=1,IF(FH44&gt;0,FI44/FH44,AVERAGEIF($FF$4:$FF$503,EN44,$C$4:$C$503)),"")</f>
        <v/>
      </c>
      <c r="EV44" s="169">
        <f>IF(ISNUMBER(I44),I44,2958465)</f>
        <v>2958465.0</v>
      </c>
      <c r="EW44" s="169" t="str">
        <f>IF(EO44=1,SUMPRODUCT(MIN(($EN$4:$EN$503=EN44)*$EV$4:$EV$503+($EN$4:$EN$503&lt;&gt;EN44)*2958465)),"")</f>
        <v/>
      </c>
      <c r="EX44" s="169">
        <f>IF(AND(D44=1,ISNUMBER(INDEX(Charge!$F:$F,ROW()))),INDEX(Charge!$F:$F,ROW()),0)</f>
        <v>0.0</v>
      </c>
      <c r="EY44" s="169"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c r="FF44" t="str">
        <f>IF(B44=1,LEFT(SUBSTITUTE(SUBSTITUTE(SUBSTITUTE(TRIM(SUBSTITUTE(INDEX(Charge!$B:$B,ROW()),CHAR(160)," "))&amp;" | "&amp;TRIM(SUBSTITUTE(INDEX(Charge!$C:$C,ROW()),CHAR(160)," "))&amp;" | "&amp;TRIM(SUBSTITUTE(INDEX(Charge!$D:$D,ROW()),CHAR(160)," ")),"~","-"),"*","+"),"?","!"),240),"")</f>
        <v/>
      </c>
      <c r="FG44">
        <f>IF(B44=1,MAX(0,N(INDEX(Charge!$M:$M,ROW()))),0)</f>
        <v>0</v>
      </c>
      <c r="FH44" s="170" t="str">
        <f>IF(EO44=1,ROUND(SUMIF($FF$4:$FF$503,EN44,$FG$4:$FG$503),2),"")</f>
        <v/>
      </c>
      <c r="FI44" s="170" t="str">
        <f>IF(EO44=1,ROUND(SUMPRODUCT(($FF$4:$FF$503=EN44)*$FG$4:$FG$503*$C$4:$C$503),2),"")</f>
        <v/>
      </c>
      <c r="FJ44" s="170" t="str">
        <f>IF(EO44=1,MAX(0,ROUND(FH44-FI44,2)),"")</f>
        <v/>
      </c>
      <c r="FK44" s="174" t="str">
        <f>IF(EO44=1,IF(OR(EW44&gt;=2958465,EY44=0,EY44&lt;=EW44),"",IF(TODAY()&lt;=EW44,0,IF(TODAY()&gt;EY44,1,IFERROR(NETWORKDAYS(EW44,TODAY()-1,Data!$K$4:$K$203)/NETWORKDAYS(EW44,EY44,Data!$K$4:$K$203),"")))),"")</f>
        <v/>
      </c>
      <c r="FL44" t="str">
        <f>IF(EO44=1,IF(AND(EY44&gt;0,EY44&lt;TODAY(),ROUND(EU44,4)&lt;1),2,IF(FK44="",0,IF(ROUND(EU44-FK44,4)&lt;-0.15,1,0))),"")</f>
        <v/>
      </c>
      <c r="FM44">
        <f>IF(OR(FA44="",COUNTIF($FA$4:FA43,FA44)&gt;0),0,MAX(0,IF(FB44="Interne",IF(ISNUMBER(INDEX(Data!$F:$F,44)),INDEX(Data!$F:$F,44),p_HeuresETP),IF(ISNUMBER(INDEX(Data!$I:$I,44-$CD$23)),INDEX(Data!$I:$I,44-$CD$23),p_HeuresETP))-IF(FB44="Interne",IF(ISNUMBER(INDEX(Data!$G:$G,44)),INDEX(Data!$G:$G,44),p_ChargeFixe),IF(ISNUMBER(INDEX(Data!$J:$J,44-$CD$23)),INDEX(Data!$J:$J,44-$CD$23),p_ChargeFixe))))</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9" t="str">
        <f>IF(AND(D45=1,ISNUMBER(INDEX(Charge!$N:$N,ROW()))),INDEX(Charge!$N:$N,ROW()),"")</f>
        <v/>
      </c>
      <c r="J45" s="169"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70">
        <f>IF(OR($I45="",$E45=0),0,IF(OR($J45&lt;W$3,$I45&gt;W$2),0,IF($K45=0,IF(AND($I45&gt;=W$3,$I45&lt;=W$2),$E45,0),$E45*NETWORKDAYS(MAX($I45,W$3),MIN($J45,W$2),Data!$K$4:$K$203)/$K45)))</f>
        <v>0</v>
      </c>
      <c r="X45" s="170">
        <f>IF(OR($I45="",$E45=0),0,IF(OR($J45&lt;X$3,$I45&gt;X$2),0,IF($K45=0,IF(AND($I45&gt;=X$3,$I45&lt;=X$2),$E45,0),$E45*NETWORKDAYS(MAX($I45,X$3),MIN($J45,X$2),Data!$K$4:$K$203)/$K45)))</f>
        <v>0</v>
      </c>
      <c r="Y45" s="170">
        <f>IF(OR($I45="",$E45=0),0,IF(OR($J45&lt;Y$3,$I45&gt;Y$2),0,IF($K45=0,IF(AND($I45&gt;=Y$3,$I45&lt;=Y$2),$E45,0),$E45*NETWORKDAYS(MAX($I45,Y$3),MIN($J45,Y$2),Data!$K$4:$K$203)/$K45)))</f>
        <v>0</v>
      </c>
      <c r="Z45" s="170">
        <f>IF(OR($I45="",$E45=0),0,IF(OR($J45&lt;Z$3,$I45&gt;Z$2),0,IF($K45=0,IF(AND($I45&gt;=Z$3,$I45&lt;=Z$2),$E45,0),$E45*NETWORKDAYS(MAX($I45,Z$3),MIN($J45,Z$2),Data!$K$4:$K$203)/$K45)))</f>
        <v>0</v>
      </c>
      <c r="AA45" s="170">
        <f>IF(OR($I45="",$E45=0),0,IF(OR($J45&lt;AA$3,$I45&gt;AA$2),0,IF($K45=0,IF(AND($I45&gt;=AA$3,$I45&lt;=AA$2),$E45,0),$E45*NETWORKDAYS(MAX($I45,AA$3),MIN($J45,AA$2),Data!$K$4:$K$203)/$K45)))</f>
        <v>0</v>
      </c>
      <c r="AB45" s="170">
        <f>IF(OR($I45="",$E45=0),0,IF(OR($J45&lt;AB$3,$I45&gt;AB$2),0,IF($K45=0,IF(AND($I45&gt;=AB$3,$I45&lt;=AB$2),$E45,0),$E45*NETWORKDAYS(MAX($I45,AB$3),MIN($J45,AB$2),Data!$K$4:$K$203)/$K45)))</f>
        <v>0</v>
      </c>
      <c r="AC45" s="170">
        <f>IF(OR($I45="",$E45=0),0,IF(OR($J45&lt;AC$3,$I45&gt;AC$2),0,IF($K45=0,IF(AND($I45&gt;=AC$3,$I45&lt;=AC$2),$E45,0),$E45*NETWORKDAYS(MAX($I45,AC$3),MIN($J45,AC$2),Data!$K$4:$K$203)/$K45)))</f>
        <v>0</v>
      </c>
      <c r="AD45" s="170">
        <f>IF(OR($I45="",$E45=0),0,IF(OR($J45&lt;AD$3,$I45&gt;AD$2),0,IF($K45=0,IF(AND($I45&gt;=AD$3,$I45&lt;=AD$2),$E45,0),$E45*NETWORKDAYS(MAX($I45,AD$3),MIN($J45,AD$2),Data!$K$4:$K$203)/$K45)))</f>
        <v>0</v>
      </c>
      <c r="AE45" s="170">
        <f>IF(OR($I45="",$E45=0),0,IF(OR($J45&lt;AE$3,$I45&gt;AE$2),0,IF($K45=0,IF(AND($I45&gt;=AE$3,$I45&lt;=AE$2),$E45,0),$E45*NETWORKDAYS(MAX($I45,AE$3),MIN($J45,AE$2),Data!$K$4:$K$203)/$K45)))</f>
        <v>0</v>
      </c>
      <c r="AF45" s="170">
        <f>IF(OR($I45="",$E45=0),0,IF(OR($J45&lt;AF$3,$I45&gt;AF$2),0,IF($K45=0,IF(AND($I45&gt;=AF$3,$I45&lt;=AF$2),$E45,0),$E45*NETWORKDAYS(MAX($I45,AF$3),MIN($J45,AF$2),Data!$K$4:$K$203)/$K45)))</f>
        <v>0</v>
      </c>
      <c r="AG45" s="170">
        <f>IF(OR($I45="",$E45=0),0,IF(OR($J45&lt;AG$3,$I45&gt;AG$2),0,IF($K45=0,IF(AND($I45&gt;=AG$3,$I45&lt;=AG$2),$E45,0),$E45*NETWORKDAYS(MAX($I45,AG$3),MIN($J45,AG$2),Data!$K$4:$K$203)/$K45)))</f>
        <v>0</v>
      </c>
      <c r="AH45" s="170">
        <f>IF(OR($I45="",$E45=0),0,IF(OR($J45&lt;AH$3,$I45&gt;AH$2),0,IF($K45=0,IF(AND($I45&gt;=AH$3,$I45&lt;=AH$2),$E45,0),$E45*NETWORKDAYS(MAX($I45,AH$3),MIN($J45,AH$2),Data!$K$4:$K$203)/$K45)))</f>
        <v>0</v>
      </c>
      <c r="AI45" s="170">
        <f>SUM(W45:AH45)</f>
        <v>0</v>
      </c>
      <c r="BW45" t="n">
        <v>42</v>
      </c>
      <c r="BX45" t="str">
        <f>IFERROR(MATCH(BW45,$EQ$4:$EQ$503,0),"")</f>
        <v/>
      </c>
      <c r="BY45" t="str">
        <f>IF(BX45="","",INDEX($FL$4:$FL$503,BX45))</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70"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4" t="str">
        <f>IF(EO45=1,IF(FH45&gt;0,FI45/FH45,AVERAGEIF($FF$4:$FF$503,EN45,$C$4:$C$503)),"")</f>
        <v/>
      </c>
      <c r="EV45" s="169">
        <f>IF(ISNUMBER(I45),I45,2958465)</f>
        <v>2958465.0</v>
      </c>
      <c r="EW45" s="169" t="str">
        <f>IF(EO45=1,SUMPRODUCT(MIN(($EN$4:$EN$503=EN45)*$EV$4:$EV$503+($EN$4:$EN$503&lt;&gt;EN45)*2958465)),"")</f>
        <v/>
      </c>
      <c r="EX45" s="169">
        <f>IF(AND(D45=1,ISNUMBER(INDEX(Charge!$F:$F,ROW()))),INDEX(Charge!$F:$F,ROW()),0)</f>
        <v>0.0</v>
      </c>
      <c r="EY45" s="169"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c r="FF45" t="str">
        <f>IF(B45=1,LEFT(SUBSTITUTE(SUBSTITUTE(SUBSTITUTE(TRIM(SUBSTITUTE(INDEX(Charge!$B:$B,ROW()),CHAR(160)," "))&amp;" | "&amp;TRIM(SUBSTITUTE(INDEX(Charge!$C:$C,ROW()),CHAR(160)," "))&amp;" | "&amp;TRIM(SUBSTITUTE(INDEX(Charge!$D:$D,ROW()),CHAR(160)," ")),"~","-"),"*","+"),"?","!"),240),"")</f>
        <v/>
      </c>
      <c r="FG45">
        <f>IF(B45=1,MAX(0,N(INDEX(Charge!$M:$M,ROW()))),0)</f>
        <v>0</v>
      </c>
      <c r="FH45" s="170" t="str">
        <f>IF(EO45=1,ROUND(SUMIF($FF$4:$FF$503,EN45,$FG$4:$FG$503),2),"")</f>
        <v/>
      </c>
      <c r="FI45" s="170" t="str">
        <f>IF(EO45=1,ROUND(SUMPRODUCT(($FF$4:$FF$503=EN45)*$FG$4:$FG$503*$C$4:$C$503),2),"")</f>
        <v/>
      </c>
      <c r="FJ45" s="170" t="str">
        <f>IF(EO45=1,MAX(0,ROUND(FH45-FI45,2)),"")</f>
        <v/>
      </c>
      <c r="FK45" s="174" t="str">
        <f>IF(EO45=1,IF(OR(EW45&gt;=2958465,EY45=0,EY45&lt;=EW45),"",IF(TODAY()&lt;=EW45,0,IF(TODAY()&gt;EY45,1,IFERROR(NETWORKDAYS(EW45,TODAY()-1,Data!$K$4:$K$203)/NETWORKDAYS(EW45,EY45,Data!$K$4:$K$203),"")))),"")</f>
        <v/>
      </c>
      <c r="FL45" t="str">
        <f>IF(EO45=1,IF(AND(EY45&gt;0,EY45&lt;TODAY(),ROUND(EU45,4)&lt;1),2,IF(FK45="",0,IF(ROUND(EU45-FK45,4)&lt;-0.15,1,0))),"")</f>
        <v/>
      </c>
      <c r="FM45">
        <f>IF(OR(FA45="",COUNTIF($FA$4:FA44,FA45)&gt;0),0,MAX(0,IF(FB45="Interne",IF(ISNUMBER(INDEX(Data!$F:$F,45)),INDEX(Data!$F:$F,45),p_HeuresETP),IF(ISNUMBER(INDEX(Data!$I:$I,45-$CD$23)),INDEX(Data!$I:$I,45-$CD$23),p_HeuresETP))-IF(FB45="Interne",IF(ISNUMBER(INDEX(Data!$G:$G,45)),INDEX(Data!$G:$G,45),p_ChargeFixe),IF(ISNUMBER(INDEX(Data!$J:$J,45-$CD$23)),INDEX(Data!$J:$J,45-$CD$23),p_ChargeFixe))))</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9" t="str">
        <f>IF(AND(D46=1,ISNUMBER(INDEX(Charge!$N:$N,ROW()))),INDEX(Charge!$N:$N,ROW()),"")</f>
        <v/>
      </c>
      <c r="J46" s="169"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70">
        <f>IF(OR($I46="",$E46=0),0,IF(OR($J46&lt;W$3,$I46&gt;W$2),0,IF($K46=0,IF(AND($I46&gt;=W$3,$I46&lt;=W$2),$E46,0),$E46*NETWORKDAYS(MAX($I46,W$3),MIN($J46,W$2),Data!$K$4:$K$203)/$K46)))</f>
        <v>0</v>
      </c>
      <c r="X46" s="170">
        <f>IF(OR($I46="",$E46=0),0,IF(OR($J46&lt;X$3,$I46&gt;X$2),0,IF($K46=0,IF(AND($I46&gt;=X$3,$I46&lt;=X$2),$E46,0),$E46*NETWORKDAYS(MAX($I46,X$3),MIN($J46,X$2),Data!$K$4:$K$203)/$K46)))</f>
        <v>0</v>
      </c>
      <c r="Y46" s="170">
        <f>IF(OR($I46="",$E46=0),0,IF(OR($J46&lt;Y$3,$I46&gt;Y$2),0,IF($K46=0,IF(AND($I46&gt;=Y$3,$I46&lt;=Y$2),$E46,0),$E46*NETWORKDAYS(MAX($I46,Y$3),MIN($J46,Y$2),Data!$K$4:$K$203)/$K46)))</f>
        <v>0</v>
      </c>
      <c r="Z46" s="170">
        <f>IF(OR($I46="",$E46=0),0,IF(OR($J46&lt;Z$3,$I46&gt;Z$2),0,IF($K46=0,IF(AND($I46&gt;=Z$3,$I46&lt;=Z$2),$E46,0),$E46*NETWORKDAYS(MAX($I46,Z$3),MIN($J46,Z$2),Data!$K$4:$K$203)/$K46)))</f>
        <v>0</v>
      </c>
      <c r="AA46" s="170">
        <f>IF(OR($I46="",$E46=0),0,IF(OR($J46&lt;AA$3,$I46&gt;AA$2),0,IF($K46=0,IF(AND($I46&gt;=AA$3,$I46&lt;=AA$2),$E46,0),$E46*NETWORKDAYS(MAX($I46,AA$3),MIN($J46,AA$2),Data!$K$4:$K$203)/$K46)))</f>
        <v>0</v>
      </c>
      <c r="AB46" s="170">
        <f>IF(OR($I46="",$E46=0),0,IF(OR($J46&lt;AB$3,$I46&gt;AB$2),0,IF($K46=0,IF(AND($I46&gt;=AB$3,$I46&lt;=AB$2),$E46,0),$E46*NETWORKDAYS(MAX($I46,AB$3),MIN($J46,AB$2),Data!$K$4:$K$203)/$K46)))</f>
        <v>0</v>
      </c>
      <c r="AC46" s="170">
        <f>IF(OR($I46="",$E46=0),0,IF(OR($J46&lt;AC$3,$I46&gt;AC$2),0,IF($K46=0,IF(AND($I46&gt;=AC$3,$I46&lt;=AC$2),$E46,0),$E46*NETWORKDAYS(MAX($I46,AC$3),MIN($J46,AC$2),Data!$K$4:$K$203)/$K46)))</f>
        <v>0</v>
      </c>
      <c r="AD46" s="170">
        <f>IF(OR($I46="",$E46=0),0,IF(OR($J46&lt;AD$3,$I46&gt;AD$2),0,IF($K46=0,IF(AND($I46&gt;=AD$3,$I46&lt;=AD$2),$E46,0),$E46*NETWORKDAYS(MAX($I46,AD$3),MIN($J46,AD$2),Data!$K$4:$K$203)/$K46)))</f>
        <v>0</v>
      </c>
      <c r="AE46" s="170">
        <f>IF(OR($I46="",$E46=0),0,IF(OR($J46&lt;AE$3,$I46&gt;AE$2),0,IF($K46=0,IF(AND($I46&gt;=AE$3,$I46&lt;=AE$2),$E46,0),$E46*NETWORKDAYS(MAX($I46,AE$3),MIN($J46,AE$2),Data!$K$4:$K$203)/$K46)))</f>
        <v>0</v>
      </c>
      <c r="AF46" s="170">
        <f>IF(OR($I46="",$E46=0),0,IF(OR($J46&lt;AF$3,$I46&gt;AF$2),0,IF($K46=0,IF(AND($I46&gt;=AF$3,$I46&lt;=AF$2),$E46,0),$E46*NETWORKDAYS(MAX($I46,AF$3),MIN($J46,AF$2),Data!$K$4:$K$203)/$K46)))</f>
        <v>0</v>
      </c>
      <c r="AG46" s="170">
        <f>IF(OR($I46="",$E46=0),0,IF(OR($J46&lt;AG$3,$I46&gt;AG$2),0,IF($K46=0,IF(AND($I46&gt;=AG$3,$I46&lt;=AG$2),$E46,0),$E46*NETWORKDAYS(MAX($I46,AG$3),MIN($J46,AG$2),Data!$K$4:$K$203)/$K46)))</f>
        <v>0</v>
      </c>
      <c r="AH46" s="170">
        <f>IF(OR($I46="",$E46=0),0,IF(OR($J46&lt;AH$3,$I46&gt;AH$2),0,IF($K46=0,IF(AND($I46&gt;=AH$3,$I46&lt;=AH$2),$E46,0),$E46*NETWORKDAYS(MAX($I46,AH$3),MIN($J46,AH$2),Data!$K$4:$K$203)/$K46)))</f>
        <v>0</v>
      </c>
      <c r="AI46" s="170">
        <f>SUM(W46:AH46)</f>
        <v>0</v>
      </c>
      <c r="BW46" t="n">
        <v>43</v>
      </c>
      <c r="BX46" t="str">
        <f>IFERROR(MATCH(BW46,$EQ$4:$EQ$503,0),"")</f>
        <v/>
      </c>
      <c r="BY46" t="str">
        <f>IF(BX46="","",INDEX($FL$4:$FL$503,BX46))</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70"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4" t="str">
        <f>IF(EO46=1,IF(FH46&gt;0,FI46/FH46,AVERAGEIF($FF$4:$FF$503,EN46,$C$4:$C$503)),"")</f>
        <v/>
      </c>
      <c r="EV46" s="169">
        <f>IF(ISNUMBER(I46),I46,2958465)</f>
        <v>2958465.0</v>
      </c>
      <c r="EW46" s="169" t="str">
        <f>IF(EO46=1,SUMPRODUCT(MIN(($EN$4:$EN$503=EN46)*$EV$4:$EV$503+($EN$4:$EN$503&lt;&gt;EN46)*2958465)),"")</f>
        <v/>
      </c>
      <c r="EX46" s="169">
        <f>IF(AND(D46=1,ISNUMBER(INDEX(Charge!$F:$F,ROW()))),INDEX(Charge!$F:$F,ROW()),0)</f>
        <v>0.0</v>
      </c>
      <c r="EY46" s="169"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c r="FF46" t="str">
        <f>IF(B46=1,LEFT(SUBSTITUTE(SUBSTITUTE(SUBSTITUTE(TRIM(SUBSTITUTE(INDEX(Charge!$B:$B,ROW()),CHAR(160)," "))&amp;" | "&amp;TRIM(SUBSTITUTE(INDEX(Charge!$C:$C,ROW()),CHAR(160)," "))&amp;" | "&amp;TRIM(SUBSTITUTE(INDEX(Charge!$D:$D,ROW()),CHAR(160)," ")),"~","-"),"*","+"),"?","!"),240),"")</f>
        <v/>
      </c>
      <c r="FG46">
        <f>IF(B46=1,MAX(0,N(INDEX(Charge!$M:$M,ROW()))),0)</f>
        <v>0</v>
      </c>
      <c r="FH46" s="170" t="str">
        <f>IF(EO46=1,ROUND(SUMIF($FF$4:$FF$503,EN46,$FG$4:$FG$503),2),"")</f>
        <v/>
      </c>
      <c r="FI46" s="170" t="str">
        <f>IF(EO46=1,ROUND(SUMPRODUCT(($FF$4:$FF$503=EN46)*$FG$4:$FG$503*$C$4:$C$503),2),"")</f>
        <v/>
      </c>
      <c r="FJ46" s="170" t="str">
        <f>IF(EO46=1,MAX(0,ROUND(FH46-FI46,2)),"")</f>
        <v/>
      </c>
      <c r="FK46" s="174" t="str">
        <f>IF(EO46=1,IF(OR(EW46&gt;=2958465,EY46=0,EY46&lt;=EW46),"",IF(TODAY()&lt;=EW46,0,IF(TODAY()&gt;EY46,1,IFERROR(NETWORKDAYS(EW46,TODAY()-1,Data!$K$4:$K$203)/NETWORKDAYS(EW46,EY46,Data!$K$4:$K$203),"")))),"")</f>
        <v/>
      </c>
      <c r="FL46" t="str">
        <f>IF(EO46=1,IF(AND(EY46&gt;0,EY46&lt;TODAY(),ROUND(EU46,4)&lt;1),2,IF(FK46="",0,IF(ROUND(EU46-FK46,4)&lt;-0.15,1,0))),"")</f>
        <v/>
      </c>
      <c r="FM46">
        <f>IF(OR(FA46="",COUNTIF($FA$4:FA45,FA46)&gt;0),0,MAX(0,IF(FB46="Interne",IF(ISNUMBER(INDEX(Data!$F:$F,46)),INDEX(Data!$F:$F,46),p_HeuresETP),IF(ISNUMBER(INDEX(Data!$I:$I,46-$CD$23)),INDEX(Data!$I:$I,46-$CD$23),p_HeuresETP))-IF(FB46="Interne",IF(ISNUMBER(INDEX(Data!$G:$G,46)),INDEX(Data!$G:$G,46),p_ChargeFixe),IF(ISNUMBER(INDEX(Data!$J:$J,46-$CD$23)),INDEX(Data!$J:$J,46-$CD$23),p_ChargeFixe))))</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9" t="str">
        <f>IF(AND(D47=1,ISNUMBER(INDEX(Charge!$N:$N,ROW()))),INDEX(Charge!$N:$N,ROW()),"")</f>
        <v/>
      </c>
      <c r="J47" s="169"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70">
        <f>IF(OR($I47="",$E47=0),0,IF(OR($J47&lt;W$3,$I47&gt;W$2),0,IF($K47=0,IF(AND($I47&gt;=W$3,$I47&lt;=W$2),$E47,0),$E47*NETWORKDAYS(MAX($I47,W$3),MIN($J47,W$2),Data!$K$4:$K$203)/$K47)))</f>
        <v>0</v>
      </c>
      <c r="X47" s="170">
        <f>IF(OR($I47="",$E47=0),0,IF(OR($J47&lt;X$3,$I47&gt;X$2),0,IF($K47=0,IF(AND($I47&gt;=X$3,$I47&lt;=X$2),$E47,0),$E47*NETWORKDAYS(MAX($I47,X$3),MIN($J47,X$2),Data!$K$4:$K$203)/$K47)))</f>
        <v>0</v>
      </c>
      <c r="Y47" s="170">
        <f>IF(OR($I47="",$E47=0),0,IF(OR($J47&lt;Y$3,$I47&gt;Y$2),0,IF($K47=0,IF(AND($I47&gt;=Y$3,$I47&lt;=Y$2),$E47,0),$E47*NETWORKDAYS(MAX($I47,Y$3),MIN($J47,Y$2),Data!$K$4:$K$203)/$K47)))</f>
        <v>0</v>
      </c>
      <c r="Z47" s="170">
        <f>IF(OR($I47="",$E47=0),0,IF(OR($J47&lt;Z$3,$I47&gt;Z$2),0,IF($K47=0,IF(AND($I47&gt;=Z$3,$I47&lt;=Z$2),$E47,0),$E47*NETWORKDAYS(MAX($I47,Z$3),MIN($J47,Z$2),Data!$K$4:$K$203)/$K47)))</f>
        <v>0</v>
      </c>
      <c r="AA47" s="170">
        <f>IF(OR($I47="",$E47=0),0,IF(OR($J47&lt;AA$3,$I47&gt;AA$2),0,IF($K47=0,IF(AND($I47&gt;=AA$3,$I47&lt;=AA$2),$E47,0),$E47*NETWORKDAYS(MAX($I47,AA$3),MIN($J47,AA$2),Data!$K$4:$K$203)/$K47)))</f>
        <v>0</v>
      </c>
      <c r="AB47" s="170">
        <f>IF(OR($I47="",$E47=0),0,IF(OR($J47&lt;AB$3,$I47&gt;AB$2),0,IF($K47=0,IF(AND($I47&gt;=AB$3,$I47&lt;=AB$2),$E47,0),$E47*NETWORKDAYS(MAX($I47,AB$3),MIN($J47,AB$2),Data!$K$4:$K$203)/$K47)))</f>
        <v>0</v>
      </c>
      <c r="AC47" s="170">
        <f>IF(OR($I47="",$E47=0),0,IF(OR($J47&lt;AC$3,$I47&gt;AC$2),0,IF($K47=0,IF(AND($I47&gt;=AC$3,$I47&lt;=AC$2),$E47,0),$E47*NETWORKDAYS(MAX($I47,AC$3),MIN($J47,AC$2),Data!$K$4:$K$203)/$K47)))</f>
        <v>0</v>
      </c>
      <c r="AD47" s="170">
        <f>IF(OR($I47="",$E47=0),0,IF(OR($J47&lt;AD$3,$I47&gt;AD$2),0,IF($K47=0,IF(AND($I47&gt;=AD$3,$I47&lt;=AD$2),$E47,0),$E47*NETWORKDAYS(MAX($I47,AD$3),MIN($J47,AD$2),Data!$K$4:$K$203)/$K47)))</f>
        <v>0</v>
      </c>
      <c r="AE47" s="170">
        <f>IF(OR($I47="",$E47=0),0,IF(OR($J47&lt;AE$3,$I47&gt;AE$2),0,IF($K47=0,IF(AND($I47&gt;=AE$3,$I47&lt;=AE$2),$E47,0),$E47*NETWORKDAYS(MAX($I47,AE$3),MIN($J47,AE$2),Data!$K$4:$K$203)/$K47)))</f>
        <v>0</v>
      </c>
      <c r="AF47" s="170">
        <f>IF(OR($I47="",$E47=0),0,IF(OR($J47&lt;AF$3,$I47&gt;AF$2),0,IF($K47=0,IF(AND($I47&gt;=AF$3,$I47&lt;=AF$2),$E47,0),$E47*NETWORKDAYS(MAX($I47,AF$3),MIN($J47,AF$2),Data!$K$4:$K$203)/$K47)))</f>
        <v>0</v>
      </c>
      <c r="AG47" s="170">
        <f>IF(OR($I47="",$E47=0),0,IF(OR($J47&lt;AG$3,$I47&gt;AG$2),0,IF($K47=0,IF(AND($I47&gt;=AG$3,$I47&lt;=AG$2),$E47,0),$E47*NETWORKDAYS(MAX($I47,AG$3),MIN($J47,AG$2),Data!$K$4:$K$203)/$K47)))</f>
        <v>0</v>
      </c>
      <c r="AH47" s="170">
        <f>IF(OR($I47="",$E47=0),0,IF(OR($J47&lt;AH$3,$I47&gt;AH$2),0,IF($K47=0,IF(AND($I47&gt;=AH$3,$I47&lt;=AH$2),$E47,0),$E47*NETWORKDAYS(MAX($I47,AH$3),MIN($J47,AH$2),Data!$K$4:$K$203)/$K47)))</f>
        <v>0</v>
      </c>
      <c r="AI47" s="170">
        <f>SUM(W47:AH47)</f>
        <v>0</v>
      </c>
      <c r="BW47" t="n">
        <v>44</v>
      </c>
      <c r="BX47" t="str">
        <f>IFERROR(MATCH(BW47,$EQ$4:$EQ$503,0),"")</f>
        <v/>
      </c>
      <c r="BY47" t="str">
        <f>IF(BX47="","",INDEX($FL$4:$FL$503,BX47))</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70"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4" t="str">
        <f>IF(EO47=1,IF(FH47&gt;0,FI47/FH47,AVERAGEIF($FF$4:$FF$503,EN47,$C$4:$C$503)),"")</f>
        <v/>
      </c>
      <c r="EV47" s="169">
        <f>IF(ISNUMBER(I47),I47,2958465)</f>
        <v>2958465.0</v>
      </c>
      <c r="EW47" s="169" t="str">
        <f>IF(EO47=1,SUMPRODUCT(MIN(($EN$4:$EN$503=EN47)*$EV$4:$EV$503+($EN$4:$EN$503&lt;&gt;EN47)*2958465)),"")</f>
        <v/>
      </c>
      <c r="EX47" s="169">
        <f>IF(AND(D47=1,ISNUMBER(INDEX(Charge!$F:$F,ROW()))),INDEX(Charge!$F:$F,ROW()),0)</f>
        <v>0.0</v>
      </c>
      <c r="EY47" s="169"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c r="FF47" t="str">
        <f>IF(B47=1,LEFT(SUBSTITUTE(SUBSTITUTE(SUBSTITUTE(TRIM(SUBSTITUTE(INDEX(Charge!$B:$B,ROW()),CHAR(160)," "))&amp;" | "&amp;TRIM(SUBSTITUTE(INDEX(Charge!$C:$C,ROW()),CHAR(160)," "))&amp;" | "&amp;TRIM(SUBSTITUTE(INDEX(Charge!$D:$D,ROW()),CHAR(160)," ")),"~","-"),"*","+"),"?","!"),240),"")</f>
        <v/>
      </c>
      <c r="FG47">
        <f>IF(B47=1,MAX(0,N(INDEX(Charge!$M:$M,ROW()))),0)</f>
        <v>0</v>
      </c>
      <c r="FH47" s="170" t="str">
        <f>IF(EO47=1,ROUND(SUMIF($FF$4:$FF$503,EN47,$FG$4:$FG$503),2),"")</f>
        <v/>
      </c>
      <c r="FI47" s="170" t="str">
        <f>IF(EO47=1,ROUND(SUMPRODUCT(($FF$4:$FF$503=EN47)*$FG$4:$FG$503*$C$4:$C$503),2),"")</f>
        <v/>
      </c>
      <c r="FJ47" s="170" t="str">
        <f>IF(EO47=1,MAX(0,ROUND(FH47-FI47,2)),"")</f>
        <v/>
      </c>
      <c r="FK47" s="174" t="str">
        <f>IF(EO47=1,IF(OR(EW47&gt;=2958465,EY47=0,EY47&lt;=EW47),"",IF(TODAY()&lt;=EW47,0,IF(TODAY()&gt;EY47,1,IFERROR(NETWORKDAYS(EW47,TODAY()-1,Data!$K$4:$K$203)/NETWORKDAYS(EW47,EY47,Data!$K$4:$K$203),"")))),"")</f>
        <v/>
      </c>
      <c r="FL47" t="str">
        <f>IF(EO47=1,IF(AND(EY47&gt;0,EY47&lt;TODAY(),ROUND(EU47,4)&lt;1),2,IF(FK47="",0,IF(ROUND(EU47-FK47,4)&lt;-0.15,1,0))),"")</f>
        <v/>
      </c>
      <c r="FM47">
        <f>IF(OR(FA47="",COUNTIF($FA$4:FA46,FA47)&gt;0),0,MAX(0,IF(FB47="Interne",IF(ISNUMBER(INDEX(Data!$F:$F,47)),INDEX(Data!$F:$F,47),p_HeuresETP),IF(ISNUMBER(INDEX(Data!$I:$I,47-$CD$23)),INDEX(Data!$I:$I,47-$CD$23),p_HeuresETP))-IF(FB47="Interne",IF(ISNUMBER(INDEX(Data!$G:$G,47)),INDEX(Data!$G:$G,47),p_ChargeFixe),IF(ISNUMBER(INDEX(Data!$J:$J,47-$CD$23)),INDEX(Data!$J:$J,47-$CD$23),p_ChargeFixe))))</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9" t="str">
        <f>IF(AND(D48=1,ISNUMBER(INDEX(Charge!$N:$N,ROW()))),INDEX(Charge!$N:$N,ROW()),"")</f>
        <v/>
      </c>
      <c r="J48" s="169"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70">
        <f>IF(OR($I48="",$E48=0),0,IF(OR($J48&lt;W$3,$I48&gt;W$2),0,IF($K48=0,IF(AND($I48&gt;=W$3,$I48&lt;=W$2),$E48,0),$E48*NETWORKDAYS(MAX($I48,W$3),MIN($J48,W$2),Data!$K$4:$K$203)/$K48)))</f>
        <v>0</v>
      </c>
      <c r="X48" s="170">
        <f>IF(OR($I48="",$E48=0),0,IF(OR($J48&lt;X$3,$I48&gt;X$2),0,IF($K48=0,IF(AND($I48&gt;=X$3,$I48&lt;=X$2),$E48,0),$E48*NETWORKDAYS(MAX($I48,X$3),MIN($J48,X$2),Data!$K$4:$K$203)/$K48)))</f>
        <v>0</v>
      </c>
      <c r="Y48" s="170">
        <f>IF(OR($I48="",$E48=0),0,IF(OR($J48&lt;Y$3,$I48&gt;Y$2),0,IF($K48=0,IF(AND($I48&gt;=Y$3,$I48&lt;=Y$2),$E48,0),$E48*NETWORKDAYS(MAX($I48,Y$3),MIN($J48,Y$2),Data!$K$4:$K$203)/$K48)))</f>
        <v>0</v>
      </c>
      <c r="Z48" s="170">
        <f>IF(OR($I48="",$E48=0),0,IF(OR($J48&lt;Z$3,$I48&gt;Z$2),0,IF($K48=0,IF(AND($I48&gt;=Z$3,$I48&lt;=Z$2),$E48,0),$E48*NETWORKDAYS(MAX($I48,Z$3),MIN($J48,Z$2),Data!$K$4:$K$203)/$K48)))</f>
        <v>0</v>
      </c>
      <c r="AA48" s="170">
        <f>IF(OR($I48="",$E48=0),0,IF(OR($J48&lt;AA$3,$I48&gt;AA$2),0,IF($K48=0,IF(AND($I48&gt;=AA$3,$I48&lt;=AA$2),$E48,0),$E48*NETWORKDAYS(MAX($I48,AA$3),MIN($J48,AA$2),Data!$K$4:$K$203)/$K48)))</f>
        <v>0</v>
      </c>
      <c r="AB48" s="170">
        <f>IF(OR($I48="",$E48=0),0,IF(OR($J48&lt;AB$3,$I48&gt;AB$2),0,IF($K48=0,IF(AND($I48&gt;=AB$3,$I48&lt;=AB$2),$E48,0),$E48*NETWORKDAYS(MAX($I48,AB$3),MIN($J48,AB$2),Data!$K$4:$K$203)/$K48)))</f>
        <v>0</v>
      </c>
      <c r="AC48" s="170">
        <f>IF(OR($I48="",$E48=0),0,IF(OR($J48&lt;AC$3,$I48&gt;AC$2),0,IF($K48=0,IF(AND($I48&gt;=AC$3,$I48&lt;=AC$2),$E48,0),$E48*NETWORKDAYS(MAX($I48,AC$3),MIN($J48,AC$2),Data!$K$4:$K$203)/$K48)))</f>
        <v>0</v>
      </c>
      <c r="AD48" s="170">
        <f>IF(OR($I48="",$E48=0),0,IF(OR($J48&lt;AD$3,$I48&gt;AD$2),0,IF($K48=0,IF(AND($I48&gt;=AD$3,$I48&lt;=AD$2),$E48,0),$E48*NETWORKDAYS(MAX($I48,AD$3),MIN($J48,AD$2),Data!$K$4:$K$203)/$K48)))</f>
        <v>0</v>
      </c>
      <c r="AE48" s="170">
        <f>IF(OR($I48="",$E48=0),0,IF(OR($J48&lt;AE$3,$I48&gt;AE$2),0,IF($K48=0,IF(AND($I48&gt;=AE$3,$I48&lt;=AE$2),$E48,0),$E48*NETWORKDAYS(MAX($I48,AE$3),MIN($J48,AE$2),Data!$K$4:$K$203)/$K48)))</f>
        <v>0</v>
      </c>
      <c r="AF48" s="170">
        <f>IF(OR($I48="",$E48=0),0,IF(OR($J48&lt;AF$3,$I48&gt;AF$2),0,IF($K48=0,IF(AND($I48&gt;=AF$3,$I48&lt;=AF$2),$E48,0),$E48*NETWORKDAYS(MAX($I48,AF$3),MIN($J48,AF$2),Data!$K$4:$K$203)/$K48)))</f>
        <v>0</v>
      </c>
      <c r="AG48" s="170">
        <f>IF(OR($I48="",$E48=0),0,IF(OR($J48&lt;AG$3,$I48&gt;AG$2),0,IF($K48=0,IF(AND($I48&gt;=AG$3,$I48&lt;=AG$2),$E48,0),$E48*NETWORKDAYS(MAX($I48,AG$3),MIN($J48,AG$2),Data!$K$4:$K$203)/$K48)))</f>
        <v>0</v>
      </c>
      <c r="AH48" s="170">
        <f>IF(OR($I48="",$E48=0),0,IF(OR($J48&lt;AH$3,$I48&gt;AH$2),0,IF($K48=0,IF(AND($I48&gt;=AH$3,$I48&lt;=AH$2),$E48,0),$E48*NETWORKDAYS(MAX($I48,AH$3),MIN($J48,AH$2),Data!$K$4:$K$203)/$K48)))</f>
        <v>0</v>
      </c>
      <c r="AI48" s="170">
        <f>SUM(W48:AH48)</f>
        <v>0</v>
      </c>
      <c r="BW48" t="n">
        <v>45</v>
      </c>
      <c r="BX48" t="str">
        <f>IFERROR(MATCH(BW48,$EQ$4:$EQ$503,0),"")</f>
        <v/>
      </c>
      <c r="BY48" t="str">
        <f>IF(BX48="","",INDEX($FL$4:$FL$503,BX48))</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70"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4" t="str">
        <f>IF(EO48=1,IF(FH48&gt;0,FI48/FH48,AVERAGEIF($FF$4:$FF$503,EN48,$C$4:$C$503)),"")</f>
        <v/>
      </c>
      <c r="EV48" s="169">
        <f>IF(ISNUMBER(I48),I48,2958465)</f>
        <v>2958465.0</v>
      </c>
      <c r="EW48" s="169" t="str">
        <f>IF(EO48=1,SUMPRODUCT(MIN(($EN$4:$EN$503=EN48)*$EV$4:$EV$503+($EN$4:$EN$503&lt;&gt;EN48)*2958465)),"")</f>
        <v/>
      </c>
      <c r="EX48" s="169">
        <f>IF(AND(D48=1,ISNUMBER(INDEX(Charge!$F:$F,ROW()))),INDEX(Charge!$F:$F,ROW()),0)</f>
        <v>0.0</v>
      </c>
      <c r="EY48" s="169"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c r="FF48" t="str">
        <f>IF(B48=1,LEFT(SUBSTITUTE(SUBSTITUTE(SUBSTITUTE(TRIM(SUBSTITUTE(INDEX(Charge!$B:$B,ROW()),CHAR(160)," "))&amp;" | "&amp;TRIM(SUBSTITUTE(INDEX(Charge!$C:$C,ROW()),CHAR(160)," "))&amp;" | "&amp;TRIM(SUBSTITUTE(INDEX(Charge!$D:$D,ROW()),CHAR(160)," ")),"~","-"),"*","+"),"?","!"),240),"")</f>
        <v/>
      </c>
      <c r="FG48">
        <f>IF(B48=1,MAX(0,N(INDEX(Charge!$M:$M,ROW()))),0)</f>
        <v>0</v>
      </c>
      <c r="FH48" s="170" t="str">
        <f>IF(EO48=1,ROUND(SUMIF($FF$4:$FF$503,EN48,$FG$4:$FG$503),2),"")</f>
        <v/>
      </c>
      <c r="FI48" s="170" t="str">
        <f>IF(EO48=1,ROUND(SUMPRODUCT(($FF$4:$FF$503=EN48)*$FG$4:$FG$503*$C$4:$C$503),2),"")</f>
        <v/>
      </c>
      <c r="FJ48" s="170" t="str">
        <f>IF(EO48=1,MAX(0,ROUND(FH48-FI48,2)),"")</f>
        <v/>
      </c>
      <c r="FK48" s="174" t="str">
        <f>IF(EO48=1,IF(OR(EW48&gt;=2958465,EY48=0,EY48&lt;=EW48),"",IF(TODAY()&lt;=EW48,0,IF(TODAY()&gt;EY48,1,IFERROR(NETWORKDAYS(EW48,TODAY()-1,Data!$K$4:$K$203)/NETWORKDAYS(EW48,EY48,Data!$K$4:$K$203),"")))),"")</f>
        <v/>
      </c>
      <c r="FL48" t="str">
        <f>IF(EO48=1,IF(AND(EY48&gt;0,EY48&lt;TODAY(),ROUND(EU48,4)&lt;1),2,IF(FK48="",0,IF(ROUND(EU48-FK48,4)&lt;-0.15,1,0))),"")</f>
        <v/>
      </c>
      <c r="FM48">
        <f>IF(OR(FA48="",COUNTIF($FA$4:FA47,FA48)&gt;0),0,MAX(0,IF(FB48="Interne",IF(ISNUMBER(INDEX(Data!$F:$F,48)),INDEX(Data!$F:$F,48),p_HeuresETP),IF(ISNUMBER(INDEX(Data!$I:$I,48-$CD$23)),INDEX(Data!$I:$I,48-$CD$23),p_HeuresETP))-IF(FB48="Interne",IF(ISNUMBER(INDEX(Data!$G:$G,48)),INDEX(Data!$G:$G,48),p_ChargeFixe),IF(ISNUMBER(INDEX(Data!$J:$J,48-$CD$23)),INDEX(Data!$J:$J,48-$CD$23),p_ChargeFixe))))</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9" t="str">
        <f>IF(AND(D49=1,ISNUMBER(INDEX(Charge!$N:$N,ROW()))),INDEX(Charge!$N:$N,ROW()),"")</f>
        <v/>
      </c>
      <c r="J49" s="169"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70">
        <f>IF(OR($I49="",$E49=0),0,IF(OR($J49&lt;W$3,$I49&gt;W$2),0,IF($K49=0,IF(AND($I49&gt;=W$3,$I49&lt;=W$2),$E49,0),$E49*NETWORKDAYS(MAX($I49,W$3),MIN($J49,W$2),Data!$K$4:$K$203)/$K49)))</f>
        <v>0</v>
      </c>
      <c r="X49" s="170">
        <f>IF(OR($I49="",$E49=0),0,IF(OR($J49&lt;X$3,$I49&gt;X$2),0,IF($K49=0,IF(AND($I49&gt;=X$3,$I49&lt;=X$2),$E49,0),$E49*NETWORKDAYS(MAX($I49,X$3),MIN($J49,X$2),Data!$K$4:$K$203)/$K49)))</f>
        <v>0</v>
      </c>
      <c r="Y49" s="170">
        <f>IF(OR($I49="",$E49=0),0,IF(OR($J49&lt;Y$3,$I49&gt;Y$2),0,IF($K49=0,IF(AND($I49&gt;=Y$3,$I49&lt;=Y$2),$E49,0),$E49*NETWORKDAYS(MAX($I49,Y$3),MIN($J49,Y$2),Data!$K$4:$K$203)/$K49)))</f>
        <v>0</v>
      </c>
      <c r="Z49" s="170">
        <f>IF(OR($I49="",$E49=0),0,IF(OR($J49&lt;Z$3,$I49&gt;Z$2),0,IF($K49=0,IF(AND($I49&gt;=Z$3,$I49&lt;=Z$2),$E49,0),$E49*NETWORKDAYS(MAX($I49,Z$3),MIN($J49,Z$2),Data!$K$4:$K$203)/$K49)))</f>
        <v>0</v>
      </c>
      <c r="AA49" s="170">
        <f>IF(OR($I49="",$E49=0),0,IF(OR($J49&lt;AA$3,$I49&gt;AA$2),0,IF($K49=0,IF(AND($I49&gt;=AA$3,$I49&lt;=AA$2),$E49,0),$E49*NETWORKDAYS(MAX($I49,AA$3),MIN($J49,AA$2),Data!$K$4:$K$203)/$K49)))</f>
        <v>0</v>
      </c>
      <c r="AB49" s="170">
        <f>IF(OR($I49="",$E49=0),0,IF(OR($J49&lt;AB$3,$I49&gt;AB$2),0,IF($K49=0,IF(AND($I49&gt;=AB$3,$I49&lt;=AB$2),$E49,0),$E49*NETWORKDAYS(MAX($I49,AB$3),MIN($J49,AB$2),Data!$K$4:$K$203)/$K49)))</f>
        <v>0</v>
      </c>
      <c r="AC49" s="170">
        <f>IF(OR($I49="",$E49=0),0,IF(OR($J49&lt;AC$3,$I49&gt;AC$2),0,IF($K49=0,IF(AND($I49&gt;=AC$3,$I49&lt;=AC$2),$E49,0),$E49*NETWORKDAYS(MAX($I49,AC$3),MIN($J49,AC$2),Data!$K$4:$K$203)/$K49)))</f>
        <v>0</v>
      </c>
      <c r="AD49" s="170">
        <f>IF(OR($I49="",$E49=0),0,IF(OR($J49&lt;AD$3,$I49&gt;AD$2),0,IF($K49=0,IF(AND($I49&gt;=AD$3,$I49&lt;=AD$2),$E49,0),$E49*NETWORKDAYS(MAX($I49,AD$3),MIN($J49,AD$2),Data!$K$4:$K$203)/$K49)))</f>
        <v>0</v>
      </c>
      <c r="AE49" s="170">
        <f>IF(OR($I49="",$E49=0),0,IF(OR($J49&lt;AE$3,$I49&gt;AE$2),0,IF($K49=0,IF(AND($I49&gt;=AE$3,$I49&lt;=AE$2),$E49,0),$E49*NETWORKDAYS(MAX($I49,AE$3),MIN($J49,AE$2),Data!$K$4:$K$203)/$K49)))</f>
        <v>0</v>
      </c>
      <c r="AF49" s="170">
        <f>IF(OR($I49="",$E49=0),0,IF(OR($J49&lt;AF$3,$I49&gt;AF$2),0,IF($K49=0,IF(AND($I49&gt;=AF$3,$I49&lt;=AF$2),$E49,0),$E49*NETWORKDAYS(MAX($I49,AF$3),MIN($J49,AF$2),Data!$K$4:$K$203)/$K49)))</f>
        <v>0</v>
      </c>
      <c r="AG49" s="170">
        <f>IF(OR($I49="",$E49=0),0,IF(OR($J49&lt;AG$3,$I49&gt;AG$2),0,IF($K49=0,IF(AND($I49&gt;=AG$3,$I49&lt;=AG$2),$E49,0),$E49*NETWORKDAYS(MAX($I49,AG$3),MIN($J49,AG$2),Data!$K$4:$K$203)/$K49)))</f>
        <v>0</v>
      </c>
      <c r="AH49" s="170">
        <f>IF(OR($I49="",$E49=0),0,IF(OR($J49&lt;AH$3,$I49&gt;AH$2),0,IF($K49=0,IF(AND($I49&gt;=AH$3,$I49&lt;=AH$2),$E49,0),$E49*NETWORKDAYS(MAX($I49,AH$3),MIN($J49,AH$2),Data!$K$4:$K$203)/$K49)))</f>
        <v>0</v>
      </c>
      <c r="AI49" s="170">
        <f>SUM(W49:AH49)</f>
        <v>0</v>
      </c>
      <c r="BW49" t="n">
        <v>46</v>
      </c>
      <c r="BX49" t="str">
        <f>IFERROR(MATCH(BW49,$EQ$4:$EQ$503,0),"")</f>
        <v/>
      </c>
      <c r="BY49" t="str">
        <f>IF(BX49="","",INDEX($FL$4:$FL$503,BX49))</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70"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4" t="str">
        <f>IF(EO49=1,IF(FH49&gt;0,FI49/FH49,AVERAGEIF($FF$4:$FF$503,EN49,$C$4:$C$503)),"")</f>
        <v/>
      </c>
      <c r="EV49" s="169">
        <f>IF(ISNUMBER(I49),I49,2958465)</f>
        <v>2958465.0</v>
      </c>
      <c r="EW49" s="169" t="str">
        <f>IF(EO49=1,SUMPRODUCT(MIN(($EN$4:$EN$503=EN49)*$EV$4:$EV$503+($EN$4:$EN$503&lt;&gt;EN49)*2958465)),"")</f>
        <v/>
      </c>
      <c r="EX49" s="169">
        <f>IF(AND(D49=1,ISNUMBER(INDEX(Charge!$F:$F,ROW()))),INDEX(Charge!$F:$F,ROW()),0)</f>
        <v>0.0</v>
      </c>
      <c r="EY49" s="169"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c r="FF49" t="str">
        <f>IF(B49=1,LEFT(SUBSTITUTE(SUBSTITUTE(SUBSTITUTE(TRIM(SUBSTITUTE(INDEX(Charge!$B:$B,ROW()),CHAR(160)," "))&amp;" | "&amp;TRIM(SUBSTITUTE(INDEX(Charge!$C:$C,ROW()),CHAR(160)," "))&amp;" | "&amp;TRIM(SUBSTITUTE(INDEX(Charge!$D:$D,ROW()),CHAR(160)," ")),"~","-"),"*","+"),"?","!"),240),"")</f>
        <v/>
      </c>
      <c r="FG49">
        <f>IF(B49=1,MAX(0,N(INDEX(Charge!$M:$M,ROW()))),0)</f>
        <v>0</v>
      </c>
      <c r="FH49" s="170" t="str">
        <f>IF(EO49=1,ROUND(SUMIF($FF$4:$FF$503,EN49,$FG$4:$FG$503),2),"")</f>
        <v/>
      </c>
      <c r="FI49" s="170" t="str">
        <f>IF(EO49=1,ROUND(SUMPRODUCT(($FF$4:$FF$503=EN49)*$FG$4:$FG$503*$C$4:$C$503),2),"")</f>
        <v/>
      </c>
      <c r="FJ49" s="170" t="str">
        <f>IF(EO49=1,MAX(0,ROUND(FH49-FI49,2)),"")</f>
        <v/>
      </c>
      <c r="FK49" s="174" t="str">
        <f>IF(EO49=1,IF(OR(EW49&gt;=2958465,EY49=0,EY49&lt;=EW49),"",IF(TODAY()&lt;=EW49,0,IF(TODAY()&gt;EY49,1,IFERROR(NETWORKDAYS(EW49,TODAY()-1,Data!$K$4:$K$203)/NETWORKDAYS(EW49,EY49,Data!$K$4:$K$203),"")))),"")</f>
        <v/>
      </c>
      <c r="FL49" t="str">
        <f>IF(EO49=1,IF(AND(EY49&gt;0,EY49&lt;TODAY(),ROUND(EU49,4)&lt;1),2,IF(FK49="",0,IF(ROUND(EU49-FK49,4)&lt;-0.15,1,0))),"")</f>
        <v/>
      </c>
      <c r="FM49">
        <f>IF(OR(FA49="",COUNTIF($FA$4:FA48,FA49)&gt;0),0,MAX(0,IF(FB49="Interne",IF(ISNUMBER(INDEX(Data!$F:$F,49)),INDEX(Data!$F:$F,49),p_HeuresETP),IF(ISNUMBER(INDEX(Data!$I:$I,49-$CD$23)),INDEX(Data!$I:$I,49-$CD$23),p_HeuresETP))-IF(FB49="Interne",IF(ISNUMBER(INDEX(Data!$G:$G,49)),INDEX(Data!$G:$G,49),p_ChargeFixe),IF(ISNUMBER(INDEX(Data!$J:$J,49-$CD$23)),INDEX(Data!$J:$J,49-$CD$23),p_ChargeFixe))))</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9" t="str">
        <f>IF(AND(D50=1,ISNUMBER(INDEX(Charge!$N:$N,ROW()))),INDEX(Charge!$N:$N,ROW()),"")</f>
        <v/>
      </c>
      <c r="J50" s="169"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70">
        <f>IF(OR($I50="",$E50=0),0,IF(OR($J50&lt;W$3,$I50&gt;W$2),0,IF($K50=0,IF(AND($I50&gt;=W$3,$I50&lt;=W$2),$E50,0),$E50*NETWORKDAYS(MAX($I50,W$3),MIN($J50,W$2),Data!$K$4:$K$203)/$K50)))</f>
        <v>0</v>
      </c>
      <c r="X50" s="170">
        <f>IF(OR($I50="",$E50=0),0,IF(OR($J50&lt;X$3,$I50&gt;X$2),0,IF($K50=0,IF(AND($I50&gt;=X$3,$I50&lt;=X$2),$E50,0),$E50*NETWORKDAYS(MAX($I50,X$3),MIN($J50,X$2),Data!$K$4:$K$203)/$K50)))</f>
        <v>0</v>
      </c>
      <c r="Y50" s="170">
        <f>IF(OR($I50="",$E50=0),0,IF(OR($J50&lt;Y$3,$I50&gt;Y$2),0,IF($K50=0,IF(AND($I50&gt;=Y$3,$I50&lt;=Y$2),$E50,0),$E50*NETWORKDAYS(MAX($I50,Y$3),MIN($J50,Y$2),Data!$K$4:$K$203)/$K50)))</f>
        <v>0</v>
      </c>
      <c r="Z50" s="170">
        <f>IF(OR($I50="",$E50=0),0,IF(OR($J50&lt;Z$3,$I50&gt;Z$2),0,IF($K50=0,IF(AND($I50&gt;=Z$3,$I50&lt;=Z$2),$E50,0),$E50*NETWORKDAYS(MAX($I50,Z$3),MIN($J50,Z$2),Data!$K$4:$K$203)/$K50)))</f>
        <v>0</v>
      </c>
      <c r="AA50" s="170">
        <f>IF(OR($I50="",$E50=0),0,IF(OR($J50&lt;AA$3,$I50&gt;AA$2),0,IF($K50=0,IF(AND($I50&gt;=AA$3,$I50&lt;=AA$2),$E50,0),$E50*NETWORKDAYS(MAX($I50,AA$3),MIN($J50,AA$2),Data!$K$4:$K$203)/$K50)))</f>
        <v>0</v>
      </c>
      <c r="AB50" s="170">
        <f>IF(OR($I50="",$E50=0),0,IF(OR($J50&lt;AB$3,$I50&gt;AB$2),0,IF($K50=0,IF(AND($I50&gt;=AB$3,$I50&lt;=AB$2),$E50,0),$E50*NETWORKDAYS(MAX($I50,AB$3),MIN($J50,AB$2),Data!$K$4:$K$203)/$K50)))</f>
        <v>0</v>
      </c>
      <c r="AC50" s="170">
        <f>IF(OR($I50="",$E50=0),0,IF(OR($J50&lt;AC$3,$I50&gt;AC$2),0,IF($K50=0,IF(AND($I50&gt;=AC$3,$I50&lt;=AC$2),$E50,0),$E50*NETWORKDAYS(MAX($I50,AC$3),MIN($J50,AC$2),Data!$K$4:$K$203)/$K50)))</f>
        <v>0</v>
      </c>
      <c r="AD50" s="170">
        <f>IF(OR($I50="",$E50=0),0,IF(OR($J50&lt;AD$3,$I50&gt;AD$2),0,IF($K50=0,IF(AND($I50&gt;=AD$3,$I50&lt;=AD$2),$E50,0),$E50*NETWORKDAYS(MAX($I50,AD$3),MIN($J50,AD$2),Data!$K$4:$K$203)/$K50)))</f>
        <v>0</v>
      </c>
      <c r="AE50" s="170">
        <f>IF(OR($I50="",$E50=0),0,IF(OR($J50&lt;AE$3,$I50&gt;AE$2),0,IF($K50=0,IF(AND($I50&gt;=AE$3,$I50&lt;=AE$2),$E50,0),$E50*NETWORKDAYS(MAX($I50,AE$3),MIN($J50,AE$2),Data!$K$4:$K$203)/$K50)))</f>
        <v>0</v>
      </c>
      <c r="AF50" s="170">
        <f>IF(OR($I50="",$E50=0),0,IF(OR($J50&lt;AF$3,$I50&gt;AF$2),0,IF($K50=0,IF(AND($I50&gt;=AF$3,$I50&lt;=AF$2),$E50,0),$E50*NETWORKDAYS(MAX($I50,AF$3),MIN($J50,AF$2),Data!$K$4:$K$203)/$K50)))</f>
        <v>0</v>
      </c>
      <c r="AG50" s="170">
        <f>IF(OR($I50="",$E50=0),0,IF(OR($J50&lt;AG$3,$I50&gt;AG$2),0,IF($K50=0,IF(AND($I50&gt;=AG$3,$I50&lt;=AG$2),$E50,0),$E50*NETWORKDAYS(MAX($I50,AG$3),MIN($J50,AG$2),Data!$K$4:$K$203)/$K50)))</f>
        <v>0</v>
      </c>
      <c r="AH50" s="170">
        <f>IF(OR($I50="",$E50=0),0,IF(OR($J50&lt;AH$3,$I50&gt;AH$2),0,IF($K50=0,IF(AND($I50&gt;=AH$3,$I50&lt;=AH$2),$E50,0),$E50*NETWORKDAYS(MAX($I50,AH$3),MIN($J50,AH$2),Data!$K$4:$K$203)/$K50)))</f>
        <v>0</v>
      </c>
      <c r="AI50" s="170">
        <f>SUM(W50:AH50)</f>
        <v>0</v>
      </c>
      <c r="BW50" t="n">
        <v>47</v>
      </c>
      <c r="BX50" t="str">
        <f>IFERROR(MATCH(BW50,$EQ$4:$EQ$503,0),"")</f>
        <v/>
      </c>
      <c r="BY50" t="str">
        <f>IF(BX50="","",INDEX($FL$4:$FL$503,BX50))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70"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4" t="str">
        <f>IF(EO50=1,IF(FH50&gt;0,FI50/FH50,AVERAGEIF($FF$4:$FF$503,EN50,$C$4:$C$503)),"")</f>
        <v/>
      </c>
      <c r="EV50" s="169">
        <f>IF(ISNUMBER(I50),I50,2958465)</f>
        <v>2958465.0</v>
      </c>
      <c r="EW50" s="169" t="str">
        <f>IF(EO50=1,SUMPRODUCT(MIN(($EN$4:$EN$503=EN50)*$EV$4:$EV$503+($EN$4:$EN$503&lt;&gt;EN50)*2958465)),"")</f>
        <v/>
      </c>
      <c r="EX50" s="169">
        <f>IF(AND(D50=1,ISNUMBER(INDEX(Charge!$F:$F,ROW()))),INDEX(Charge!$F:$F,ROW()),0)</f>
        <v>0.0</v>
      </c>
      <c r="EY50" s="169"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c r="FF50" t="str">
        <f>IF(B50=1,LEFT(SUBSTITUTE(SUBSTITUTE(SUBSTITUTE(TRIM(SUBSTITUTE(INDEX(Charge!$B:$B,ROW()),CHAR(160)," "))&amp;" | "&amp;TRIM(SUBSTITUTE(INDEX(Charge!$C:$C,ROW()),CHAR(160)," "))&amp;" | "&amp;TRIM(SUBSTITUTE(INDEX(Charge!$D:$D,ROW()),CHAR(160)," ")),"~","-"),"*","+"),"?","!"),240),"")</f>
        <v/>
      </c>
      <c r="FG50">
        <f>IF(B50=1,MAX(0,N(INDEX(Charge!$M:$M,ROW()))),0)</f>
        <v>0</v>
      </c>
      <c r="FH50" s="170" t="str">
        <f>IF(EO50=1,ROUND(SUMIF($FF$4:$FF$503,EN50,$FG$4:$FG$503),2),"")</f>
        <v/>
      </c>
      <c r="FI50" s="170" t="str">
        <f>IF(EO50=1,ROUND(SUMPRODUCT(($FF$4:$FF$503=EN50)*$FG$4:$FG$503*$C$4:$C$503),2),"")</f>
        <v/>
      </c>
      <c r="FJ50" s="170" t="str">
        <f>IF(EO50=1,MAX(0,ROUND(FH50-FI50,2)),"")</f>
        <v/>
      </c>
      <c r="FK50" s="174" t="str">
        <f>IF(EO50=1,IF(OR(EW50&gt;=2958465,EY50=0,EY50&lt;=EW50),"",IF(TODAY()&lt;=EW50,0,IF(TODAY()&gt;EY50,1,IFERROR(NETWORKDAYS(EW50,TODAY()-1,Data!$K$4:$K$203)/NETWORKDAYS(EW50,EY50,Data!$K$4:$K$203),"")))),"")</f>
        <v/>
      </c>
      <c r="FL50" t="str">
        <f>IF(EO50=1,IF(AND(EY50&gt;0,EY50&lt;TODAY(),ROUND(EU50,4)&lt;1),2,IF(FK50="",0,IF(ROUND(EU50-FK50,4)&lt;-0.15,1,0))),"")</f>
        <v/>
      </c>
      <c r="FM50">
        <f>IF(OR(FA50="",COUNTIF($FA$4:FA49,FA50)&gt;0),0,MAX(0,IF(FB50="Interne",IF(ISNUMBER(INDEX(Data!$F:$F,50)),INDEX(Data!$F:$F,50),p_HeuresETP),IF(ISNUMBER(INDEX(Data!$I:$I,50-$CD$23)),INDEX(Data!$I:$I,50-$CD$23),p_HeuresETP))-IF(FB50="Interne",IF(ISNUMBER(INDEX(Data!$G:$G,50)),INDEX(Data!$G:$G,50),p_ChargeFixe),IF(ISNUMBER(INDEX(Data!$J:$J,50-$CD$23)),INDEX(Data!$J:$J,50-$CD$23),p_ChargeFixe))))</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9" t="str">
        <f>IF(AND(D51=1,ISNUMBER(INDEX(Charge!$N:$N,ROW()))),INDEX(Charge!$N:$N,ROW()),"")</f>
        <v/>
      </c>
      <c r="J51" s="169"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70">
        <f>IF(OR($I51="",$E51=0),0,IF(OR($J51&lt;W$3,$I51&gt;W$2),0,IF($K51=0,IF(AND($I51&gt;=W$3,$I51&lt;=W$2),$E51,0),$E51*NETWORKDAYS(MAX($I51,W$3),MIN($J51,W$2),Data!$K$4:$K$203)/$K51)))</f>
        <v>0</v>
      </c>
      <c r="X51" s="170">
        <f>IF(OR($I51="",$E51=0),0,IF(OR($J51&lt;X$3,$I51&gt;X$2),0,IF($K51=0,IF(AND($I51&gt;=X$3,$I51&lt;=X$2),$E51,0),$E51*NETWORKDAYS(MAX($I51,X$3),MIN($J51,X$2),Data!$K$4:$K$203)/$K51)))</f>
        <v>0</v>
      </c>
      <c r="Y51" s="170">
        <f>IF(OR($I51="",$E51=0),0,IF(OR($J51&lt;Y$3,$I51&gt;Y$2),0,IF($K51=0,IF(AND($I51&gt;=Y$3,$I51&lt;=Y$2),$E51,0),$E51*NETWORKDAYS(MAX($I51,Y$3),MIN($J51,Y$2),Data!$K$4:$K$203)/$K51)))</f>
        <v>0</v>
      </c>
      <c r="Z51" s="170">
        <f>IF(OR($I51="",$E51=0),0,IF(OR($J51&lt;Z$3,$I51&gt;Z$2),0,IF($K51=0,IF(AND($I51&gt;=Z$3,$I51&lt;=Z$2),$E51,0),$E51*NETWORKDAYS(MAX($I51,Z$3),MIN($J51,Z$2),Data!$K$4:$K$203)/$K51)))</f>
        <v>0</v>
      </c>
      <c r="AA51" s="170">
        <f>IF(OR($I51="",$E51=0),0,IF(OR($J51&lt;AA$3,$I51&gt;AA$2),0,IF($K51=0,IF(AND($I51&gt;=AA$3,$I51&lt;=AA$2),$E51,0),$E51*NETWORKDAYS(MAX($I51,AA$3),MIN($J51,AA$2),Data!$K$4:$K$203)/$K51)))</f>
        <v>0</v>
      </c>
      <c r="AB51" s="170">
        <f>IF(OR($I51="",$E51=0),0,IF(OR($J51&lt;AB$3,$I51&gt;AB$2),0,IF($K51=0,IF(AND($I51&gt;=AB$3,$I51&lt;=AB$2),$E51,0),$E51*NETWORKDAYS(MAX($I51,AB$3),MIN($J51,AB$2),Data!$K$4:$K$203)/$K51)))</f>
        <v>0</v>
      </c>
      <c r="AC51" s="170">
        <f>IF(OR($I51="",$E51=0),0,IF(OR($J51&lt;AC$3,$I51&gt;AC$2),0,IF($K51=0,IF(AND($I51&gt;=AC$3,$I51&lt;=AC$2),$E51,0),$E51*NETWORKDAYS(MAX($I51,AC$3),MIN($J51,AC$2),Data!$K$4:$K$203)/$K51)))</f>
        <v>0</v>
      </c>
      <c r="AD51" s="170">
        <f>IF(OR($I51="",$E51=0),0,IF(OR($J51&lt;AD$3,$I51&gt;AD$2),0,IF($K51=0,IF(AND($I51&gt;=AD$3,$I51&lt;=AD$2),$E51,0),$E51*NETWORKDAYS(MAX($I51,AD$3),MIN($J51,AD$2),Data!$K$4:$K$203)/$K51)))</f>
        <v>0</v>
      </c>
      <c r="AE51" s="170">
        <f>IF(OR($I51="",$E51=0),0,IF(OR($J51&lt;AE$3,$I51&gt;AE$2),0,IF($K51=0,IF(AND($I51&gt;=AE$3,$I51&lt;=AE$2),$E51,0),$E51*NETWORKDAYS(MAX($I51,AE$3),MIN($J51,AE$2),Data!$K$4:$K$203)/$K51)))</f>
        <v>0</v>
      </c>
      <c r="AF51" s="170">
        <f>IF(OR($I51="",$E51=0),0,IF(OR($J51&lt;AF$3,$I51&gt;AF$2),0,IF($K51=0,IF(AND($I51&gt;=AF$3,$I51&lt;=AF$2),$E51,0),$E51*NETWORKDAYS(MAX($I51,AF$3),MIN($J51,AF$2),Data!$K$4:$K$203)/$K51)))</f>
        <v>0</v>
      </c>
      <c r="AG51" s="170">
        <f>IF(OR($I51="",$E51=0),0,IF(OR($J51&lt;AG$3,$I51&gt;AG$2),0,IF($K51=0,IF(AND($I51&gt;=AG$3,$I51&lt;=AG$2),$E51,0),$E51*NETWORKDAYS(MAX($I51,AG$3),MIN($J51,AG$2),Data!$K$4:$K$203)/$K51)))</f>
        <v>0</v>
      </c>
      <c r="AH51" s="170">
        <f>IF(OR($I51="",$E51=0),0,IF(OR($J51&lt;AH$3,$I51&gt;AH$2),0,IF($K51=0,IF(AND($I51&gt;=AH$3,$I51&lt;=AH$2),$E51,0),$E51*NETWORKDAYS(MAX($I51,AH$3),MIN($J51,AH$2),Data!$K$4:$K$203)/$K51)))</f>
        <v>0</v>
      </c>
      <c r="AI51" s="170">
        <f>SUM(W51:AH51)</f>
        <v>0</v>
      </c>
      <c r="BW51" t="n">
        <v>48</v>
      </c>
      <c r="BX51" t="str">
        <f>IFERROR(MATCH(BW51,$EQ$4:$EQ$503,0),"")</f>
        <v/>
      </c>
      <c r="BY51" t="str">
        <f>IF(BX51="","",INDEX($FL$4:$FL$503,BX51))</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70"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4" t="str">
        <f>IF(EO51=1,IF(FH51&gt;0,FI51/FH51,AVERAGEIF($FF$4:$FF$503,EN51,$C$4:$C$503)),"")</f>
        <v/>
      </c>
      <c r="EV51" s="169">
        <f>IF(ISNUMBER(I51),I51,2958465)</f>
        <v>2958465.0</v>
      </c>
      <c r="EW51" s="169" t="str">
        <f>IF(EO51=1,SUMPRODUCT(MIN(($EN$4:$EN$503=EN51)*$EV$4:$EV$503+($EN$4:$EN$503&lt;&gt;EN51)*2958465)),"")</f>
        <v/>
      </c>
      <c r="EX51" s="169">
        <f>IF(AND(D51=1,ISNUMBER(INDEX(Charge!$F:$F,ROW()))),INDEX(Charge!$F:$F,ROW()),0)</f>
        <v>0.0</v>
      </c>
      <c r="EY51" s="169"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c r="FF51" t="str">
        <f>IF(B51=1,LEFT(SUBSTITUTE(SUBSTITUTE(SUBSTITUTE(TRIM(SUBSTITUTE(INDEX(Charge!$B:$B,ROW()),CHAR(160)," "))&amp;" | "&amp;TRIM(SUBSTITUTE(INDEX(Charge!$C:$C,ROW()),CHAR(160)," "))&amp;" | "&amp;TRIM(SUBSTITUTE(INDEX(Charge!$D:$D,ROW()),CHAR(160)," ")),"~","-"),"*","+"),"?","!"),240),"")</f>
        <v/>
      </c>
      <c r="FG51">
        <f>IF(B51=1,MAX(0,N(INDEX(Charge!$M:$M,ROW()))),0)</f>
        <v>0</v>
      </c>
      <c r="FH51" s="170" t="str">
        <f>IF(EO51=1,ROUND(SUMIF($FF$4:$FF$503,EN51,$FG$4:$FG$503),2),"")</f>
        <v/>
      </c>
      <c r="FI51" s="170" t="str">
        <f>IF(EO51=1,ROUND(SUMPRODUCT(($FF$4:$FF$503=EN51)*$FG$4:$FG$503*$C$4:$C$503),2),"")</f>
        <v/>
      </c>
      <c r="FJ51" s="170" t="str">
        <f>IF(EO51=1,MAX(0,ROUND(FH51-FI51,2)),"")</f>
        <v/>
      </c>
      <c r="FK51" s="174" t="str">
        <f>IF(EO51=1,IF(OR(EW51&gt;=2958465,EY51=0,EY51&lt;=EW51),"",IF(TODAY()&lt;=EW51,0,IF(TODAY()&gt;EY51,1,IFERROR(NETWORKDAYS(EW51,TODAY()-1,Data!$K$4:$K$203)/NETWORKDAYS(EW51,EY51,Data!$K$4:$K$203),"")))),"")</f>
        <v/>
      </c>
      <c r="FL51" t="str">
        <f>IF(EO51=1,IF(AND(EY51&gt;0,EY51&lt;TODAY(),ROUND(EU51,4)&lt;1),2,IF(FK51="",0,IF(ROUND(EU51-FK51,4)&lt;-0.15,1,0))),"")</f>
        <v/>
      </c>
      <c r="FM51">
        <f>IF(OR(FA51="",COUNTIF($FA$4:FA50,FA51)&gt;0),0,MAX(0,IF(FB51="Interne",IF(ISNUMBER(INDEX(Data!$F:$F,51)),INDEX(Data!$F:$F,51),p_HeuresETP),IF(ISNUMBER(INDEX(Data!$I:$I,51-$CD$23)),INDEX(Data!$I:$I,51-$CD$23),p_HeuresETP))-IF(FB51="Interne",IF(ISNUMBER(INDEX(Data!$G:$G,51)),INDEX(Data!$G:$G,51),p_ChargeFixe),IF(ISNUMBER(INDEX(Data!$J:$J,51-$CD$23)),INDEX(Data!$J:$J,51-$CD$23),p_ChargeFixe))))</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9" t="str">
        <f>IF(AND(D52=1,ISNUMBER(INDEX(Charge!$N:$N,ROW()))),INDEX(Charge!$N:$N,ROW()),"")</f>
        <v/>
      </c>
      <c r="J52" s="169"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70">
        <f>IF(OR($I52="",$E52=0),0,IF(OR($J52&lt;W$3,$I52&gt;W$2),0,IF($K52=0,IF(AND($I52&gt;=W$3,$I52&lt;=W$2),$E52,0),$E52*NETWORKDAYS(MAX($I52,W$3),MIN($J52,W$2),Data!$K$4:$K$203)/$K52)))</f>
        <v>0</v>
      </c>
      <c r="X52" s="170">
        <f>IF(OR($I52="",$E52=0),0,IF(OR($J52&lt;X$3,$I52&gt;X$2),0,IF($K52=0,IF(AND($I52&gt;=X$3,$I52&lt;=X$2),$E52,0),$E52*NETWORKDAYS(MAX($I52,X$3),MIN($J52,X$2),Data!$K$4:$K$203)/$K52)))</f>
        <v>0</v>
      </c>
      <c r="Y52" s="170">
        <f>IF(OR($I52="",$E52=0),0,IF(OR($J52&lt;Y$3,$I52&gt;Y$2),0,IF($K52=0,IF(AND($I52&gt;=Y$3,$I52&lt;=Y$2),$E52,0),$E52*NETWORKDAYS(MAX($I52,Y$3),MIN($J52,Y$2),Data!$K$4:$K$203)/$K52)))</f>
        <v>0</v>
      </c>
      <c r="Z52" s="170">
        <f>IF(OR($I52="",$E52=0),0,IF(OR($J52&lt;Z$3,$I52&gt;Z$2),0,IF($K52=0,IF(AND($I52&gt;=Z$3,$I52&lt;=Z$2),$E52,0),$E52*NETWORKDAYS(MAX($I52,Z$3),MIN($J52,Z$2),Data!$K$4:$K$203)/$K52)))</f>
        <v>0</v>
      </c>
      <c r="AA52" s="170">
        <f>IF(OR($I52="",$E52=0),0,IF(OR($J52&lt;AA$3,$I52&gt;AA$2),0,IF($K52=0,IF(AND($I52&gt;=AA$3,$I52&lt;=AA$2),$E52,0),$E52*NETWORKDAYS(MAX($I52,AA$3),MIN($J52,AA$2),Data!$K$4:$K$203)/$K52)))</f>
        <v>0</v>
      </c>
      <c r="AB52" s="170">
        <f>IF(OR($I52="",$E52=0),0,IF(OR($J52&lt;AB$3,$I52&gt;AB$2),0,IF($K52=0,IF(AND($I52&gt;=AB$3,$I52&lt;=AB$2),$E52,0),$E52*NETWORKDAYS(MAX($I52,AB$3),MIN($J52,AB$2),Data!$K$4:$K$203)/$K52)))</f>
        <v>0</v>
      </c>
      <c r="AC52" s="170">
        <f>IF(OR($I52="",$E52=0),0,IF(OR($J52&lt;AC$3,$I52&gt;AC$2),0,IF($K52=0,IF(AND($I52&gt;=AC$3,$I52&lt;=AC$2),$E52,0),$E52*NETWORKDAYS(MAX($I52,AC$3),MIN($J52,AC$2),Data!$K$4:$K$203)/$K52)))</f>
        <v>0</v>
      </c>
      <c r="AD52" s="170">
        <f>IF(OR($I52="",$E52=0),0,IF(OR($J52&lt;AD$3,$I52&gt;AD$2),0,IF($K52=0,IF(AND($I52&gt;=AD$3,$I52&lt;=AD$2),$E52,0),$E52*NETWORKDAYS(MAX($I52,AD$3),MIN($J52,AD$2),Data!$K$4:$K$203)/$K52)))</f>
        <v>0</v>
      </c>
      <c r="AE52" s="170">
        <f>IF(OR($I52="",$E52=0),0,IF(OR($J52&lt;AE$3,$I52&gt;AE$2),0,IF($K52=0,IF(AND($I52&gt;=AE$3,$I52&lt;=AE$2),$E52,0),$E52*NETWORKDAYS(MAX($I52,AE$3),MIN($J52,AE$2),Data!$K$4:$K$203)/$K52)))</f>
        <v>0</v>
      </c>
      <c r="AF52" s="170">
        <f>IF(OR($I52="",$E52=0),0,IF(OR($J52&lt;AF$3,$I52&gt;AF$2),0,IF($K52=0,IF(AND($I52&gt;=AF$3,$I52&lt;=AF$2),$E52,0),$E52*NETWORKDAYS(MAX($I52,AF$3),MIN($J52,AF$2),Data!$K$4:$K$203)/$K52)))</f>
        <v>0</v>
      </c>
      <c r="AG52" s="170">
        <f>IF(OR($I52="",$E52=0),0,IF(OR($J52&lt;AG$3,$I52&gt;AG$2),0,IF($K52=0,IF(AND($I52&gt;=AG$3,$I52&lt;=AG$2),$E52,0),$E52*NETWORKDAYS(MAX($I52,AG$3),MIN($J52,AG$2),Data!$K$4:$K$203)/$K52)))</f>
        <v>0</v>
      </c>
      <c r="AH52" s="170">
        <f>IF(OR($I52="",$E52=0),0,IF(OR($J52&lt;AH$3,$I52&gt;AH$2),0,IF($K52=0,IF(AND($I52&gt;=AH$3,$I52&lt;=AH$2),$E52,0),$E52*NETWORKDAYS(MAX($I52,AH$3),MIN($J52,AH$2),Data!$K$4:$K$203)/$K52)))</f>
        <v>0</v>
      </c>
      <c r="AI52" s="170">
        <f>SUM(W52:AH52)</f>
        <v>0</v>
      </c>
      <c r="BW52" t="n">
        <v>49</v>
      </c>
      <c r="BX52" t="str">
        <f>IFERROR(MATCH(BW52,$EQ$4:$EQ$503,0),"")</f>
        <v/>
      </c>
      <c r="BY52" t="str">
        <f>IF(BX52="","",INDEX($FL$4:$FL$503,BX52))</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70"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4" t="str">
        <f>IF(EO52=1,IF(FH52&gt;0,FI52/FH52,AVERAGEIF($FF$4:$FF$503,EN52,$C$4:$C$503)),"")</f>
        <v/>
      </c>
      <c r="EV52" s="169">
        <f>IF(ISNUMBER(I52),I52,2958465)</f>
        <v>2958465.0</v>
      </c>
      <c r="EW52" s="169" t="str">
        <f>IF(EO52=1,SUMPRODUCT(MIN(($EN$4:$EN$503=EN52)*$EV$4:$EV$503+($EN$4:$EN$503&lt;&gt;EN52)*2958465)),"")</f>
        <v/>
      </c>
      <c r="EX52" s="169">
        <f>IF(AND(D52=1,ISNUMBER(INDEX(Charge!$F:$F,ROW()))),INDEX(Charge!$F:$F,ROW()),0)</f>
        <v>0.0</v>
      </c>
      <c r="EY52" s="169"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c r="FF52" t="str">
        <f>IF(B52=1,LEFT(SUBSTITUTE(SUBSTITUTE(SUBSTITUTE(TRIM(SUBSTITUTE(INDEX(Charge!$B:$B,ROW()),CHAR(160)," "))&amp;" | "&amp;TRIM(SUBSTITUTE(INDEX(Charge!$C:$C,ROW()),CHAR(160)," "))&amp;" | "&amp;TRIM(SUBSTITUTE(INDEX(Charge!$D:$D,ROW()),CHAR(160)," ")),"~","-"),"*","+"),"?","!"),240),"")</f>
        <v/>
      </c>
      <c r="FG52">
        <f>IF(B52=1,MAX(0,N(INDEX(Charge!$M:$M,ROW()))),0)</f>
        <v>0</v>
      </c>
      <c r="FH52" s="170" t="str">
        <f>IF(EO52=1,ROUND(SUMIF($FF$4:$FF$503,EN52,$FG$4:$FG$503),2),"")</f>
        <v/>
      </c>
      <c r="FI52" s="170" t="str">
        <f>IF(EO52=1,ROUND(SUMPRODUCT(($FF$4:$FF$503=EN52)*$FG$4:$FG$503*$C$4:$C$503),2),"")</f>
        <v/>
      </c>
      <c r="FJ52" s="170" t="str">
        <f>IF(EO52=1,MAX(0,ROUND(FH52-FI52,2)),"")</f>
        <v/>
      </c>
      <c r="FK52" s="174" t="str">
        <f>IF(EO52=1,IF(OR(EW52&gt;=2958465,EY52=0,EY52&lt;=EW52),"",IF(TODAY()&lt;=EW52,0,IF(TODAY()&gt;EY52,1,IFERROR(NETWORKDAYS(EW52,TODAY()-1,Data!$K$4:$K$203)/NETWORKDAYS(EW52,EY52,Data!$K$4:$K$203),"")))),"")</f>
        <v/>
      </c>
      <c r="FL52" t="str">
        <f>IF(EO52=1,IF(AND(EY52&gt;0,EY52&lt;TODAY(),ROUND(EU52,4)&lt;1),2,IF(FK52="",0,IF(ROUND(EU52-FK52,4)&lt;-0.15,1,0))),"")</f>
        <v/>
      </c>
      <c r="FM52">
        <f>IF(OR(FA52="",COUNTIF($FA$4:FA51,FA52)&gt;0),0,MAX(0,IF(FB52="Interne",IF(ISNUMBER(INDEX(Data!$F:$F,52)),INDEX(Data!$F:$F,52),p_HeuresETP),IF(ISNUMBER(INDEX(Data!$I:$I,52-$CD$23)),INDEX(Data!$I:$I,52-$CD$23),p_HeuresETP))-IF(FB52="Interne",IF(ISNUMBER(INDEX(Data!$G:$G,52)),INDEX(Data!$G:$G,52),p_ChargeFixe),IF(ISNUMBER(INDEX(Data!$J:$J,52-$CD$23)),INDEX(Data!$J:$J,52-$CD$23),p_ChargeFixe))))</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9" t="str">
        <f>IF(AND(D53=1,ISNUMBER(INDEX(Charge!$N:$N,ROW()))),INDEX(Charge!$N:$N,ROW()),"")</f>
        <v/>
      </c>
      <c r="J53" s="169"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70">
        <f>IF(OR($I53="",$E53=0),0,IF(OR($J53&lt;W$3,$I53&gt;W$2),0,IF($K53=0,IF(AND($I53&gt;=W$3,$I53&lt;=W$2),$E53,0),$E53*NETWORKDAYS(MAX($I53,W$3),MIN($J53,W$2),Data!$K$4:$K$203)/$K53)))</f>
        <v>0</v>
      </c>
      <c r="X53" s="170">
        <f>IF(OR($I53="",$E53=0),0,IF(OR($J53&lt;X$3,$I53&gt;X$2),0,IF($K53=0,IF(AND($I53&gt;=X$3,$I53&lt;=X$2),$E53,0),$E53*NETWORKDAYS(MAX($I53,X$3),MIN($J53,X$2),Data!$K$4:$K$203)/$K53)))</f>
        <v>0</v>
      </c>
      <c r="Y53" s="170">
        <f>IF(OR($I53="",$E53=0),0,IF(OR($J53&lt;Y$3,$I53&gt;Y$2),0,IF($K53=0,IF(AND($I53&gt;=Y$3,$I53&lt;=Y$2),$E53,0),$E53*NETWORKDAYS(MAX($I53,Y$3),MIN($J53,Y$2),Data!$K$4:$K$203)/$K53)))</f>
        <v>0</v>
      </c>
      <c r="Z53" s="170">
        <f>IF(OR($I53="",$E53=0),0,IF(OR($J53&lt;Z$3,$I53&gt;Z$2),0,IF($K53=0,IF(AND($I53&gt;=Z$3,$I53&lt;=Z$2),$E53,0),$E53*NETWORKDAYS(MAX($I53,Z$3),MIN($J53,Z$2),Data!$K$4:$K$203)/$K53)))</f>
        <v>0</v>
      </c>
      <c r="AA53" s="170">
        <f>IF(OR($I53="",$E53=0),0,IF(OR($J53&lt;AA$3,$I53&gt;AA$2),0,IF($K53=0,IF(AND($I53&gt;=AA$3,$I53&lt;=AA$2),$E53,0),$E53*NETWORKDAYS(MAX($I53,AA$3),MIN($J53,AA$2),Data!$K$4:$K$203)/$K53)))</f>
        <v>0</v>
      </c>
      <c r="AB53" s="170">
        <f>IF(OR($I53="",$E53=0),0,IF(OR($J53&lt;AB$3,$I53&gt;AB$2),0,IF($K53=0,IF(AND($I53&gt;=AB$3,$I53&lt;=AB$2),$E53,0),$E53*NETWORKDAYS(MAX($I53,AB$3),MIN($J53,AB$2),Data!$K$4:$K$203)/$K53)))</f>
        <v>0</v>
      </c>
      <c r="AC53" s="170">
        <f>IF(OR($I53="",$E53=0),0,IF(OR($J53&lt;AC$3,$I53&gt;AC$2),0,IF($K53=0,IF(AND($I53&gt;=AC$3,$I53&lt;=AC$2),$E53,0),$E53*NETWORKDAYS(MAX($I53,AC$3),MIN($J53,AC$2),Data!$K$4:$K$203)/$K53)))</f>
        <v>0</v>
      </c>
      <c r="AD53" s="170">
        <f>IF(OR($I53="",$E53=0),0,IF(OR($J53&lt;AD$3,$I53&gt;AD$2),0,IF($K53=0,IF(AND($I53&gt;=AD$3,$I53&lt;=AD$2),$E53,0),$E53*NETWORKDAYS(MAX($I53,AD$3),MIN($J53,AD$2),Data!$K$4:$K$203)/$K53)))</f>
        <v>0</v>
      </c>
      <c r="AE53" s="170">
        <f>IF(OR($I53="",$E53=0),0,IF(OR($J53&lt;AE$3,$I53&gt;AE$2),0,IF($K53=0,IF(AND($I53&gt;=AE$3,$I53&lt;=AE$2),$E53,0),$E53*NETWORKDAYS(MAX($I53,AE$3),MIN($J53,AE$2),Data!$K$4:$K$203)/$K53)))</f>
        <v>0</v>
      </c>
      <c r="AF53" s="170">
        <f>IF(OR($I53="",$E53=0),0,IF(OR($J53&lt;AF$3,$I53&gt;AF$2),0,IF($K53=0,IF(AND($I53&gt;=AF$3,$I53&lt;=AF$2),$E53,0),$E53*NETWORKDAYS(MAX($I53,AF$3),MIN($J53,AF$2),Data!$K$4:$K$203)/$K53)))</f>
        <v>0</v>
      </c>
      <c r="AG53" s="170">
        <f>IF(OR($I53="",$E53=0),0,IF(OR($J53&lt;AG$3,$I53&gt;AG$2),0,IF($K53=0,IF(AND($I53&gt;=AG$3,$I53&lt;=AG$2),$E53,0),$E53*NETWORKDAYS(MAX($I53,AG$3),MIN($J53,AG$2),Data!$K$4:$K$203)/$K53)))</f>
        <v>0</v>
      </c>
      <c r="AH53" s="170">
        <f>IF(OR($I53="",$E53=0),0,IF(OR($J53&lt;AH$3,$I53&gt;AH$2),0,IF($K53=0,IF(AND($I53&gt;=AH$3,$I53&lt;=AH$2),$E53,0),$E53*NETWORKDAYS(MAX($I53,AH$3),MIN($J53,AH$2),Data!$K$4:$K$203)/$K53)))</f>
        <v>0</v>
      </c>
      <c r="AI53" s="170">
        <f>SUM(W53:AH53)</f>
        <v>0</v>
      </c>
      <c r="BW53" t="n">
        <v>50</v>
      </c>
      <c r="BX53" t="str">
        <f>IFERROR(MATCH(BW53,$EQ$4:$EQ$503,0),"")</f>
        <v/>
      </c>
      <c r="BY53" t="str">
        <f>IF(BX53="","",INDEX($FL$4:$FL$503,BX53))</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70"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4" t="str">
        <f>IF(EO53=1,IF(FH53&gt;0,FI53/FH53,AVERAGEIF($FF$4:$FF$503,EN53,$C$4:$C$503)),"")</f>
        <v/>
      </c>
      <c r="EV53" s="169">
        <f>IF(ISNUMBER(I53),I53,2958465)</f>
        <v>2958465.0</v>
      </c>
      <c r="EW53" s="169" t="str">
        <f>IF(EO53=1,SUMPRODUCT(MIN(($EN$4:$EN$503=EN53)*$EV$4:$EV$503+($EN$4:$EN$503&lt;&gt;EN53)*2958465)),"")</f>
        <v/>
      </c>
      <c r="EX53" s="169">
        <f>IF(AND(D53=1,ISNUMBER(INDEX(Charge!$F:$F,ROW()))),INDEX(Charge!$F:$F,ROW()),0)</f>
        <v>0.0</v>
      </c>
      <c r="EY53" s="169"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c r="FF53" t="str">
        <f>IF(B53=1,LEFT(SUBSTITUTE(SUBSTITUTE(SUBSTITUTE(TRIM(SUBSTITUTE(INDEX(Charge!$B:$B,ROW()),CHAR(160)," "))&amp;" | "&amp;TRIM(SUBSTITUTE(INDEX(Charge!$C:$C,ROW()),CHAR(160)," "))&amp;" | "&amp;TRIM(SUBSTITUTE(INDEX(Charge!$D:$D,ROW()),CHAR(160)," ")),"~","-"),"*","+"),"?","!"),240),"")</f>
        <v/>
      </c>
      <c r="FG53">
        <f>IF(B53=1,MAX(0,N(INDEX(Charge!$M:$M,ROW()))),0)</f>
        <v>0</v>
      </c>
      <c r="FH53" s="170" t="str">
        <f>IF(EO53=1,ROUND(SUMIF($FF$4:$FF$503,EN53,$FG$4:$FG$503),2),"")</f>
        <v/>
      </c>
      <c r="FI53" s="170" t="str">
        <f>IF(EO53=1,ROUND(SUMPRODUCT(($FF$4:$FF$503=EN53)*$FG$4:$FG$503*$C$4:$C$503),2),"")</f>
        <v/>
      </c>
      <c r="FJ53" s="170" t="str">
        <f>IF(EO53=1,MAX(0,ROUND(FH53-FI53,2)),"")</f>
        <v/>
      </c>
      <c r="FK53" s="174" t="str">
        <f>IF(EO53=1,IF(OR(EW53&gt;=2958465,EY53=0,EY53&lt;=EW53),"",IF(TODAY()&lt;=EW53,0,IF(TODAY()&gt;EY53,1,IFERROR(NETWORKDAYS(EW53,TODAY()-1,Data!$K$4:$K$203)/NETWORKDAYS(EW53,EY53,Data!$K$4:$K$203),"")))),"")</f>
        <v/>
      </c>
      <c r="FL53" t="str">
        <f>IF(EO53=1,IF(AND(EY53&gt;0,EY53&lt;TODAY(),ROUND(EU53,4)&lt;1),2,IF(FK53="",0,IF(ROUND(EU53-FK53,4)&lt;-0.15,1,0))),"")</f>
        <v/>
      </c>
      <c r="FM53">
        <f>IF(OR(FA53="",COUNTIF($FA$4:FA52,FA53)&gt;0),0,MAX(0,IF(FB53="Interne",IF(ISNUMBER(INDEX(Data!$F:$F,53)),INDEX(Data!$F:$F,53),p_HeuresETP),IF(ISNUMBER(INDEX(Data!$I:$I,53-$CD$23)),INDEX(Data!$I:$I,53-$CD$23),p_HeuresETP))-IF(FB53="Interne",IF(ISNUMBER(INDEX(Data!$G:$G,53)),INDEX(Data!$G:$G,53),p_ChargeFixe),IF(ISNUMBER(INDEX(Data!$J:$J,53-$CD$23)),INDEX(Data!$J:$J,53-$CD$23),p_ChargeFixe))))</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9" t="str">
        <f>IF(AND(D54=1,ISNUMBER(INDEX(Charge!$N:$N,ROW()))),INDEX(Charge!$N:$N,ROW()),"")</f>
        <v/>
      </c>
      <c r="J54" s="169"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70">
        <f>IF(OR($I54="",$E54=0),0,IF(OR($J54&lt;W$3,$I54&gt;W$2),0,IF($K54=0,IF(AND($I54&gt;=W$3,$I54&lt;=W$2),$E54,0),$E54*NETWORKDAYS(MAX($I54,W$3),MIN($J54,W$2),Data!$K$4:$K$203)/$K54)))</f>
        <v>0</v>
      </c>
      <c r="X54" s="170">
        <f>IF(OR($I54="",$E54=0),0,IF(OR($J54&lt;X$3,$I54&gt;X$2),0,IF($K54=0,IF(AND($I54&gt;=X$3,$I54&lt;=X$2),$E54,0),$E54*NETWORKDAYS(MAX($I54,X$3),MIN($J54,X$2),Data!$K$4:$K$203)/$K54)))</f>
        <v>0</v>
      </c>
      <c r="Y54" s="170">
        <f>IF(OR($I54="",$E54=0),0,IF(OR($J54&lt;Y$3,$I54&gt;Y$2),0,IF($K54=0,IF(AND($I54&gt;=Y$3,$I54&lt;=Y$2),$E54,0),$E54*NETWORKDAYS(MAX($I54,Y$3),MIN($J54,Y$2),Data!$K$4:$K$203)/$K54)))</f>
        <v>0</v>
      </c>
      <c r="Z54" s="170">
        <f>IF(OR($I54="",$E54=0),0,IF(OR($J54&lt;Z$3,$I54&gt;Z$2),0,IF($K54=0,IF(AND($I54&gt;=Z$3,$I54&lt;=Z$2),$E54,0),$E54*NETWORKDAYS(MAX($I54,Z$3),MIN($J54,Z$2),Data!$K$4:$K$203)/$K54)))</f>
        <v>0</v>
      </c>
      <c r="AA54" s="170">
        <f>IF(OR($I54="",$E54=0),0,IF(OR($J54&lt;AA$3,$I54&gt;AA$2),0,IF($K54=0,IF(AND($I54&gt;=AA$3,$I54&lt;=AA$2),$E54,0),$E54*NETWORKDAYS(MAX($I54,AA$3),MIN($J54,AA$2),Data!$K$4:$K$203)/$K54)))</f>
        <v>0</v>
      </c>
      <c r="AB54" s="170">
        <f>IF(OR($I54="",$E54=0),0,IF(OR($J54&lt;AB$3,$I54&gt;AB$2),0,IF($K54=0,IF(AND($I54&gt;=AB$3,$I54&lt;=AB$2),$E54,0),$E54*NETWORKDAYS(MAX($I54,AB$3),MIN($J54,AB$2),Data!$K$4:$K$203)/$K54)))</f>
        <v>0</v>
      </c>
      <c r="AC54" s="170">
        <f>IF(OR($I54="",$E54=0),0,IF(OR($J54&lt;AC$3,$I54&gt;AC$2),0,IF($K54=0,IF(AND($I54&gt;=AC$3,$I54&lt;=AC$2),$E54,0),$E54*NETWORKDAYS(MAX($I54,AC$3),MIN($J54,AC$2),Data!$K$4:$K$203)/$K54)))</f>
        <v>0</v>
      </c>
      <c r="AD54" s="170">
        <f>IF(OR($I54="",$E54=0),0,IF(OR($J54&lt;AD$3,$I54&gt;AD$2),0,IF($K54=0,IF(AND($I54&gt;=AD$3,$I54&lt;=AD$2),$E54,0),$E54*NETWORKDAYS(MAX($I54,AD$3),MIN($J54,AD$2),Data!$K$4:$K$203)/$K54)))</f>
        <v>0</v>
      </c>
      <c r="AE54" s="170">
        <f>IF(OR($I54="",$E54=0),0,IF(OR($J54&lt;AE$3,$I54&gt;AE$2),0,IF($K54=0,IF(AND($I54&gt;=AE$3,$I54&lt;=AE$2),$E54,0),$E54*NETWORKDAYS(MAX($I54,AE$3),MIN($J54,AE$2),Data!$K$4:$K$203)/$K54)))</f>
        <v>0</v>
      </c>
      <c r="AF54" s="170">
        <f>IF(OR($I54="",$E54=0),0,IF(OR($J54&lt;AF$3,$I54&gt;AF$2),0,IF($K54=0,IF(AND($I54&gt;=AF$3,$I54&lt;=AF$2),$E54,0),$E54*NETWORKDAYS(MAX($I54,AF$3),MIN($J54,AF$2),Data!$K$4:$K$203)/$K54)))</f>
        <v>0</v>
      </c>
      <c r="AG54" s="170">
        <f>IF(OR($I54="",$E54=0),0,IF(OR($J54&lt;AG$3,$I54&gt;AG$2),0,IF($K54=0,IF(AND($I54&gt;=AG$3,$I54&lt;=AG$2),$E54,0),$E54*NETWORKDAYS(MAX($I54,AG$3),MIN($J54,AG$2),Data!$K$4:$K$203)/$K54)))</f>
        <v>0</v>
      </c>
      <c r="AH54" s="170">
        <f>IF(OR($I54="",$E54=0),0,IF(OR($J54&lt;AH$3,$I54&gt;AH$2),0,IF($K54=0,IF(AND($I54&gt;=AH$3,$I54&lt;=AH$2),$E54,0),$E54*NETWORKDAYS(MAX($I54,AH$3),MIN($J54,AH$2),Data!$K$4:$K$203)/$K54)))</f>
        <v>0</v>
      </c>
      <c r="AI54" s="170">
        <f>SUM(W54:AH54)</f>
        <v>0</v>
      </c>
      <c r="BW54" t="n">
        <v>51</v>
      </c>
      <c r="BX54" t="str">
        <f>IFERROR(MATCH(BW54,$EQ$4:$EQ$503,0),"")</f>
        <v/>
      </c>
      <c r="BY54" t="str">
        <f>IF(BX54="","",INDEX($FL$4:$FL$503,BX54))</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70"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4" t="str">
        <f>IF(EO54=1,IF(FH54&gt;0,FI54/FH54,AVERAGEIF($FF$4:$FF$503,EN54,$C$4:$C$503)),"")</f>
        <v/>
      </c>
      <c r="EV54" s="169">
        <f>IF(ISNUMBER(I54),I54,2958465)</f>
        <v>2958465.0</v>
      </c>
      <c r="EW54" s="169" t="str">
        <f>IF(EO54=1,SUMPRODUCT(MIN(($EN$4:$EN$503=EN54)*$EV$4:$EV$503+($EN$4:$EN$503&lt;&gt;EN54)*2958465)),"")</f>
        <v/>
      </c>
      <c r="EX54" s="169">
        <f>IF(AND(D54=1,ISNUMBER(INDEX(Charge!$F:$F,ROW()))),INDEX(Charge!$F:$F,ROW()),0)</f>
        <v>0.0</v>
      </c>
      <c r="EY54" s="169"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c r="FF54" t="str">
        <f>IF(B54=1,LEFT(SUBSTITUTE(SUBSTITUTE(SUBSTITUTE(TRIM(SUBSTITUTE(INDEX(Charge!$B:$B,ROW()),CHAR(160)," "))&amp;" | "&amp;TRIM(SUBSTITUTE(INDEX(Charge!$C:$C,ROW()),CHAR(160)," "))&amp;" | "&amp;TRIM(SUBSTITUTE(INDEX(Charge!$D:$D,ROW()),CHAR(160)," ")),"~","-"),"*","+"),"?","!"),240),"")</f>
        <v/>
      </c>
      <c r="FG54">
        <f>IF(B54=1,MAX(0,N(INDEX(Charge!$M:$M,ROW()))),0)</f>
        <v>0</v>
      </c>
      <c r="FH54" s="170" t="str">
        <f>IF(EO54=1,ROUND(SUMIF($FF$4:$FF$503,EN54,$FG$4:$FG$503),2),"")</f>
        <v/>
      </c>
      <c r="FI54" s="170" t="str">
        <f>IF(EO54=1,ROUND(SUMPRODUCT(($FF$4:$FF$503=EN54)*$FG$4:$FG$503*$C$4:$C$503),2),"")</f>
        <v/>
      </c>
      <c r="FJ54" s="170" t="str">
        <f>IF(EO54=1,MAX(0,ROUND(FH54-FI54,2)),"")</f>
        <v/>
      </c>
      <c r="FK54" s="174" t="str">
        <f>IF(EO54=1,IF(OR(EW54&gt;=2958465,EY54=0,EY54&lt;=EW54),"",IF(TODAY()&lt;=EW54,0,IF(TODAY()&gt;EY54,1,IFERROR(NETWORKDAYS(EW54,TODAY()-1,Data!$K$4:$K$203)/NETWORKDAYS(EW54,EY54,Data!$K$4:$K$203),"")))),"")</f>
        <v/>
      </c>
      <c r="FL54" t="str">
        <f>IF(EO54=1,IF(AND(EY54&gt;0,EY54&lt;TODAY(),ROUND(EU54,4)&lt;1),2,IF(FK54="",0,IF(ROUND(EU54-FK54,4)&lt;-0.15,1,0))),"")</f>
        <v/>
      </c>
      <c r="FM54">
        <f>IF(OR(FA54="",COUNTIF($FA$4:FA53,FA54)&gt;0),0,MAX(0,IF(FB54="Interne",IF(ISNUMBER(INDEX(Data!$F:$F,54)),INDEX(Data!$F:$F,54),p_HeuresETP),IF(ISNUMBER(INDEX(Data!$I:$I,54-$CD$23)),INDEX(Data!$I:$I,54-$CD$23),p_HeuresETP))-IF(FB54="Interne",IF(ISNUMBER(INDEX(Data!$G:$G,54)),INDEX(Data!$G:$G,54),p_ChargeFixe),IF(ISNUMBER(INDEX(Data!$J:$J,54-$CD$23)),INDEX(Data!$J:$J,54-$CD$23),p_ChargeFixe))))</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9" t="str">
        <f>IF(AND(D55=1,ISNUMBER(INDEX(Charge!$N:$N,ROW()))),INDEX(Charge!$N:$N,ROW()),"")</f>
        <v/>
      </c>
      <c r="J55" s="169"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70">
        <f>IF(OR($I55="",$E55=0),0,IF(OR($J55&lt;W$3,$I55&gt;W$2),0,IF($K55=0,IF(AND($I55&gt;=W$3,$I55&lt;=W$2),$E55,0),$E55*NETWORKDAYS(MAX($I55,W$3),MIN($J55,W$2),Data!$K$4:$K$203)/$K55)))</f>
        <v>0</v>
      </c>
      <c r="X55" s="170">
        <f>IF(OR($I55="",$E55=0),0,IF(OR($J55&lt;X$3,$I55&gt;X$2),0,IF($K55=0,IF(AND($I55&gt;=X$3,$I55&lt;=X$2),$E55,0),$E55*NETWORKDAYS(MAX($I55,X$3),MIN($J55,X$2),Data!$K$4:$K$203)/$K55)))</f>
        <v>0</v>
      </c>
      <c r="Y55" s="170">
        <f>IF(OR($I55="",$E55=0),0,IF(OR($J55&lt;Y$3,$I55&gt;Y$2),0,IF($K55=0,IF(AND($I55&gt;=Y$3,$I55&lt;=Y$2),$E55,0),$E55*NETWORKDAYS(MAX($I55,Y$3),MIN($J55,Y$2),Data!$K$4:$K$203)/$K55)))</f>
        <v>0</v>
      </c>
      <c r="Z55" s="170">
        <f>IF(OR($I55="",$E55=0),0,IF(OR($J55&lt;Z$3,$I55&gt;Z$2),0,IF($K55=0,IF(AND($I55&gt;=Z$3,$I55&lt;=Z$2),$E55,0),$E55*NETWORKDAYS(MAX($I55,Z$3),MIN($J55,Z$2),Data!$K$4:$K$203)/$K55)))</f>
        <v>0</v>
      </c>
      <c r="AA55" s="170">
        <f>IF(OR($I55="",$E55=0),0,IF(OR($J55&lt;AA$3,$I55&gt;AA$2),0,IF($K55=0,IF(AND($I55&gt;=AA$3,$I55&lt;=AA$2),$E55,0),$E55*NETWORKDAYS(MAX($I55,AA$3),MIN($J55,AA$2),Data!$K$4:$K$203)/$K55)))</f>
        <v>0</v>
      </c>
      <c r="AB55" s="170">
        <f>IF(OR($I55="",$E55=0),0,IF(OR($J55&lt;AB$3,$I55&gt;AB$2),0,IF($K55=0,IF(AND($I55&gt;=AB$3,$I55&lt;=AB$2),$E55,0),$E55*NETWORKDAYS(MAX($I55,AB$3),MIN($J55,AB$2),Data!$K$4:$K$203)/$K55)))</f>
        <v>0</v>
      </c>
      <c r="AC55" s="170">
        <f>IF(OR($I55="",$E55=0),0,IF(OR($J55&lt;AC$3,$I55&gt;AC$2),0,IF($K55=0,IF(AND($I55&gt;=AC$3,$I55&lt;=AC$2),$E55,0),$E55*NETWORKDAYS(MAX($I55,AC$3),MIN($J55,AC$2),Data!$K$4:$K$203)/$K55)))</f>
        <v>0</v>
      </c>
      <c r="AD55" s="170">
        <f>IF(OR($I55="",$E55=0),0,IF(OR($J55&lt;AD$3,$I55&gt;AD$2),0,IF($K55=0,IF(AND($I55&gt;=AD$3,$I55&lt;=AD$2),$E55,0),$E55*NETWORKDAYS(MAX($I55,AD$3),MIN($J55,AD$2),Data!$K$4:$K$203)/$K55)))</f>
        <v>0</v>
      </c>
      <c r="AE55" s="170">
        <f>IF(OR($I55="",$E55=0),0,IF(OR($J55&lt;AE$3,$I55&gt;AE$2),0,IF($K55=0,IF(AND($I55&gt;=AE$3,$I55&lt;=AE$2),$E55,0),$E55*NETWORKDAYS(MAX($I55,AE$3),MIN($J55,AE$2),Data!$K$4:$K$203)/$K55)))</f>
        <v>0</v>
      </c>
      <c r="AF55" s="170">
        <f>IF(OR($I55="",$E55=0),0,IF(OR($J55&lt;AF$3,$I55&gt;AF$2),0,IF($K55=0,IF(AND($I55&gt;=AF$3,$I55&lt;=AF$2),$E55,0),$E55*NETWORKDAYS(MAX($I55,AF$3),MIN($J55,AF$2),Data!$K$4:$K$203)/$K55)))</f>
        <v>0</v>
      </c>
      <c r="AG55" s="170">
        <f>IF(OR($I55="",$E55=0),0,IF(OR($J55&lt;AG$3,$I55&gt;AG$2),0,IF($K55=0,IF(AND($I55&gt;=AG$3,$I55&lt;=AG$2),$E55,0),$E55*NETWORKDAYS(MAX($I55,AG$3),MIN($J55,AG$2),Data!$K$4:$K$203)/$K55)))</f>
        <v>0</v>
      </c>
      <c r="AH55" s="170">
        <f>IF(OR($I55="",$E55=0),0,IF(OR($J55&lt;AH$3,$I55&gt;AH$2),0,IF($K55=0,IF(AND($I55&gt;=AH$3,$I55&lt;=AH$2),$E55,0),$E55*NETWORKDAYS(MAX($I55,AH$3),MIN($J55,AH$2),Data!$K$4:$K$203)/$K55)))</f>
        <v>0</v>
      </c>
      <c r="AI55" s="170">
        <f>SUM(W55:AH55)</f>
        <v>0</v>
      </c>
      <c r="BW55" t="n">
        <v>52</v>
      </c>
      <c r="BX55" t="str">
        <f>IFERROR(MATCH(BW55,$EQ$4:$EQ$503,0),"")</f>
        <v/>
      </c>
      <c r="BY55" t="str">
        <f>IF(BX55="","",INDEX($FL$4:$FL$503,BX55))</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70"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4" t="str">
        <f>IF(EO55=1,IF(FH55&gt;0,FI55/FH55,AVERAGEIF($FF$4:$FF$503,EN55,$C$4:$C$503)),"")</f>
        <v/>
      </c>
      <c r="EV55" s="169">
        <f>IF(ISNUMBER(I55),I55,2958465)</f>
        <v>2958465.0</v>
      </c>
      <c r="EW55" s="169" t="str">
        <f>IF(EO55=1,SUMPRODUCT(MIN(($EN$4:$EN$503=EN55)*$EV$4:$EV$503+($EN$4:$EN$503&lt;&gt;EN55)*2958465)),"")</f>
        <v/>
      </c>
      <c r="EX55" s="169">
        <f>IF(AND(D55=1,ISNUMBER(INDEX(Charge!$F:$F,ROW()))),INDEX(Charge!$F:$F,ROW()),0)</f>
        <v>0.0</v>
      </c>
      <c r="EY55" s="169"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c r="FF55" t="str">
        <f>IF(B55=1,LEFT(SUBSTITUTE(SUBSTITUTE(SUBSTITUTE(TRIM(SUBSTITUTE(INDEX(Charge!$B:$B,ROW()),CHAR(160)," "))&amp;" | "&amp;TRIM(SUBSTITUTE(INDEX(Charge!$C:$C,ROW()),CHAR(160)," "))&amp;" | "&amp;TRIM(SUBSTITUTE(INDEX(Charge!$D:$D,ROW()),CHAR(160)," ")),"~","-"),"*","+"),"?","!"),240),"")</f>
        <v/>
      </c>
      <c r="FG55">
        <f>IF(B55=1,MAX(0,N(INDEX(Charge!$M:$M,ROW()))),0)</f>
        <v>0</v>
      </c>
      <c r="FH55" s="170" t="str">
        <f>IF(EO55=1,ROUND(SUMIF($FF$4:$FF$503,EN55,$FG$4:$FG$503),2),"")</f>
        <v/>
      </c>
      <c r="FI55" s="170" t="str">
        <f>IF(EO55=1,ROUND(SUMPRODUCT(($FF$4:$FF$503=EN55)*$FG$4:$FG$503*$C$4:$C$503),2),"")</f>
        <v/>
      </c>
      <c r="FJ55" s="170" t="str">
        <f>IF(EO55=1,MAX(0,ROUND(FH55-FI55,2)),"")</f>
        <v/>
      </c>
      <c r="FK55" s="174" t="str">
        <f>IF(EO55=1,IF(OR(EW55&gt;=2958465,EY55=0,EY55&lt;=EW55),"",IF(TODAY()&lt;=EW55,0,IF(TODAY()&gt;EY55,1,IFERROR(NETWORKDAYS(EW55,TODAY()-1,Data!$K$4:$K$203)/NETWORKDAYS(EW55,EY55,Data!$K$4:$K$203),"")))),"")</f>
        <v/>
      </c>
      <c r="FL55" t="str">
        <f>IF(EO55=1,IF(AND(EY55&gt;0,EY55&lt;TODAY(),ROUND(EU55,4)&lt;1),2,IF(FK55="",0,IF(ROUND(EU55-FK55,4)&lt;-0.15,1,0))),"")</f>
        <v/>
      </c>
      <c r="FM55">
        <f>IF(OR(FA55="",COUNTIF($FA$4:FA54,FA55)&gt;0),0,MAX(0,IF(FB55="Interne",IF(ISNUMBER(INDEX(Data!$F:$F,55)),INDEX(Data!$F:$F,55),p_HeuresETP),IF(ISNUMBER(INDEX(Data!$I:$I,55-$CD$23)),INDEX(Data!$I:$I,55-$CD$23),p_HeuresETP))-IF(FB55="Interne",IF(ISNUMBER(INDEX(Data!$G:$G,55)),INDEX(Data!$G:$G,55),p_ChargeFixe),IF(ISNUMBER(INDEX(Data!$J:$J,55-$CD$23)),INDEX(Data!$J:$J,55-$CD$23),p_ChargeFixe))))</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9" t="str">
        <f>IF(AND(D56=1,ISNUMBER(INDEX(Charge!$N:$N,ROW()))),INDEX(Charge!$N:$N,ROW()),"")</f>
        <v/>
      </c>
      <c r="J56" s="169"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70">
        <f>IF(OR($I56="",$E56=0),0,IF(OR($J56&lt;W$3,$I56&gt;W$2),0,IF($K56=0,IF(AND($I56&gt;=W$3,$I56&lt;=W$2),$E56,0),$E56*NETWORKDAYS(MAX($I56,W$3),MIN($J56,W$2),Data!$K$4:$K$203)/$K56)))</f>
        <v>0</v>
      </c>
      <c r="X56" s="170">
        <f>IF(OR($I56="",$E56=0),0,IF(OR($J56&lt;X$3,$I56&gt;X$2),0,IF($K56=0,IF(AND($I56&gt;=X$3,$I56&lt;=X$2),$E56,0),$E56*NETWORKDAYS(MAX($I56,X$3),MIN($J56,X$2),Data!$K$4:$K$203)/$K56)))</f>
        <v>0</v>
      </c>
      <c r="Y56" s="170">
        <f>IF(OR($I56="",$E56=0),0,IF(OR($J56&lt;Y$3,$I56&gt;Y$2),0,IF($K56=0,IF(AND($I56&gt;=Y$3,$I56&lt;=Y$2),$E56,0),$E56*NETWORKDAYS(MAX($I56,Y$3),MIN($J56,Y$2),Data!$K$4:$K$203)/$K56)))</f>
        <v>0</v>
      </c>
      <c r="Z56" s="170">
        <f>IF(OR($I56="",$E56=0),0,IF(OR($J56&lt;Z$3,$I56&gt;Z$2),0,IF($K56=0,IF(AND($I56&gt;=Z$3,$I56&lt;=Z$2),$E56,0),$E56*NETWORKDAYS(MAX($I56,Z$3),MIN($J56,Z$2),Data!$K$4:$K$203)/$K56)))</f>
        <v>0</v>
      </c>
      <c r="AA56" s="170">
        <f>IF(OR($I56="",$E56=0),0,IF(OR($J56&lt;AA$3,$I56&gt;AA$2),0,IF($K56=0,IF(AND($I56&gt;=AA$3,$I56&lt;=AA$2),$E56,0),$E56*NETWORKDAYS(MAX($I56,AA$3),MIN($J56,AA$2),Data!$K$4:$K$203)/$K56)))</f>
        <v>0</v>
      </c>
      <c r="AB56" s="170">
        <f>IF(OR($I56="",$E56=0),0,IF(OR($J56&lt;AB$3,$I56&gt;AB$2),0,IF($K56=0,IF(AND($I56&gt;=AB$3,$I56&lt;=AB$2),$E56,0),$E56*NETWORKDAYS(MAX($I56,AB$3),MIN($J56,AB$2),Data!$K$4:$K$203)/$K56)))</f>
        <v>0</v>
      </c>
      <c r="AC56" s="170">
        <f>IF(OR($I56="",$E56=0),0,IF(OR($J56&lt;AC$3,$I56&gt;AC$2),0,IF($K56=0,IF(AND($I56&gt;=AC$3,$I56&lt;=AC$2),$E56,0),$E56*NETWORKDAYS(MAX($I56,AC$3),MIN($J56,AC$2),Data!$K$4:$K$203)/$K56)))</f>
        <v>0</v>
      </c>
      <c r="AD56" s="170">
        <f>IF(OR($I56="",$E56=0),0,IF(OR($J56&lt;AD$3,$I56&gt;AD$2),0,IF($K56=0,IF(AND($I56&gt;=AD$3,$I56&lt;=AD$2),$E56,0),$E56*NETWORKDAYS(MAX($I56,AD$3),MIN($J56,AD$2),Data!$K$4:$K$203)/$K56)))</f>
        <v>0</v>
      </c>
      <c r="AE56" s="170">
        <f>IF(OR($I56="",$E56=0),0,IF(OR($J56&lt;AE$3,$I56&gt;AE$2),0,IF($K56=0,IF(AND($I56&gt;=AE$3,$I56&lt;=AE$2),$E56,0),$E56*NETWORKDAYS(MAX($I56,AE$3),MIN($J56,AE$2),Data!$K$4:$K$203)/$K56)))</f>
        <v>0</v>
      </c>
      <c r="AF56" s="170">
        <f>IF(OR($I56="",$E56=0),0,IF(OR($J56&lt;AF$3,$I56&gt;AF$2),0,IF($K56=0,IF(AND($I56&gt;=AF$3,$I56&lt;=AF$2),$E56,0),$E56*NETWORKDAYS(MAX($I56,AF$3),MIN($J56,AF$2),Data!$K$4:$K$203)/$K56)))</f>
        <v>0</v>
      </c>
      <c r="AG56" s="170">
        <f>IF(OR($I56="",$E56=0),0,IF(OR($J56&lt;AG$3,$I56&gt;AG$2),0,IF($K56=0,IF(AND($I56&gt;=AG$3,$I56&lt;=AG$2),$E56,0),$E56*NETWORKDAYS(MAX($I56,AG$3),MIN($J56,AG$2),Data!$K$4:$K$203)/$K56)))</f>
        <v>0</v>
      </c>
      <c r="AH56" s="170">
        <f>IF(OR($I56="",$E56=0),0,IF(OR($J56&lt;AH$3,$I56&gt;AH$2),0,IF($K56=0,IF(AND($I56&gt;=AH$3,$I56&lt;=AH$2),$E56,0),$E56*NETWORKDAYS(MAX($I56,AH$3),MIN($J56,AH$2),Data!$K$4:$K$203)/$K56)))</f>
        <v>0</v>
      </c>
      <c r="AI56" s="170">
        <f>SUM(W56:AH56)</f>
        <v>0</v>
      </c>
      <c r="BW56" t="n">
        <v>53</v>
      </c>
      <c r="BX56" t="str">
        <f>IFERROR(MATCH(BW56,$EQ$4:$EQ$503,0),"")</f>
        <v/>
      </c>
      <c r="BY56" t="str">
        <f>IF(BX56="","",INDEX($FL$4:$FL$503,BX56))</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70"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4" t="str">
        <f>IF(EO56=1,IF(FH56&gt;0,FI56/FH56,AVERAGEIF($FF$4:$FF$503,EN56,$C$4:$C$503)),"")</f>
        <v/>
      </c>
      <c r="EV56" s="169">
        <f>IF(ISNUMBER(I56),I56,2958465)</f>
        <v>2958465.0</v>
      </c>
      <c r="EW56" s="169" t="str">
        <f>IF(EO56=1,SUMPRODUCT(MIN(($EN$4:$EN$503=EN56)*$EV$4:$EV$503+($EN$4:$EN$503&lt;&gt;EN56)*2958465)),"")</f>
        <v/>
      </c>
      <c r="EX56" s="169">
        <f>IF(AND(D56=1,ISNUMBER(INDEX(Charge!$F:$F,ROW()))),INDEX(Charge!$F:$F,ROW()),0)</f>
        <v>0.0</v>
      </c>
      <c r="EY56" s="169"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c r="FF56" t="str">
        <f>IF(B56=1,LEFT(SUBSTITUTE(SUBSTITUTE(SUBSTITUTE(TRIM(SUBSTITUTE(INDEX(Charge!$B:$B,ROW()),CHAR(160)," "))&amp;" | "&amp;TRIM(SUBSTITUTE(INDEX(Charge!$C:$C,ROW()),CHAR(160)," "))&amp;" | "&amp;TRIM(SUBSTITUTE(INDEX(Charge!$D:$D,ROW()),CHAR(160)," ")),"~","-"),"*","+"),"?","!"),240),"")</f>
        <v/>
      </c>
      <c r="FG56">
        <f>IF(B56=1,MAX(0,N(INDEX(Charge!$M:$M,ROW()))),0)</f>
        <v>0</v>
      </c>
      <c r="FH56" s="170" t="str">
        <f>IF(EO56=1,ROUND(SUMIF($FF$4:$FF$503,EN56,$FG$4:$FG$503),2),"")</f>
        <v/>
      </c>
      <c r="FI56" s="170" t="str">
        <f>IF(EO56=1,ROUND(SUMPRODUCT(($FF$4:$FF$503=EN56)*$FG$4:$FG$503*$C$4:$C$503),2),"")</f>
        <v/>
      </c>
      <c r="FJ56" s="170" t="str">
        <f>IF(EO56=1,MAX(0,ROUND(FH56-FI56,2)),"")</f>
        <v/>
      </c>
      <c r="FK56" s="174" t="str">
        <f>IF(EO56=1,IF(OR(EW56&gt;=2958465,EY56=0,EY56&lt;=EW56),"",IF(TODAY()&lt;=EW56,0,IF(TODAY()&gt;EY56,1,IFERROR(NETWORKDAYS(EW56,TODAY()-1,Data!$K$4:$K$203)/NETWORKDAYS(EW56,EY56,Data!$K$4:$K$203),"")))),"")</f>
        <v/>
      </c>
      <c r="FL56" t="str">
        <f>IF(EO56=1,IF(AND(EY56&gt;0,EY56&lt;TODAY(),ROUND(EU56,4)&lt;1),2,IF(FK56="",0,IF(ROUND(EU56-FK56,4)&lt;-0.15,1,0))),"")</f>
        <v/>
      </c>
      <c r="FM56">
        <f>IF(OR(FA56="",COUNTIF($FA$4:FA55,FA56)&gt;0),0,MAX(0,IF(FB56="Interne",IF(ISNUMBER(INDEX(Data!$F:$F,56)),INDEX(Data!$F:$F,56),p_HeuresETP),IF(ISNUMBER(INDEX(Data!$I:$I,56-$CD$23)),INDEX(Data!$I:$I,56-$CD$23),p_HeuresETP))-IF(FB56="Interne",IF(ISNUMBER(INDEX(Data!$G:$G,56)),INDEX(Data!$G:$G,56),p_ChargeFixe),IF(ISNUMBER(INDEX(Data!$J:$J,56-$CD$23)),INDEX(Data!$J:$J,56-$CD$23),p_ChargeFixe))))</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9" t="str">
        <f>IF(AND(D57=1,ISNUMBER(INDEX(Charge!$N:$N,ROW()))),INDEX(Charge!$N:$N,ROW()),"")</f>
        <v/>
      </c>
      <c r="J57" s="169"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70">
        <f>IF(OR($I57="",$E57=0),0,IF(OR($J57&lt;W$3,$I57&gt;W$2),0,IF($K57=0,IF(AND($I57&gt;=W$3,$I57&lt;=W$2),$E57,0),$E57*NETWORKDAYS(MAX($I57,W$3),MIN($J57,W$2),Data!$K$4:$K$203)/$K57)))</f>
        <v>0</v>
      </c>
      <c r="X57" s="170">
        <f>IF(OR($I57="",$E57=0),0,IF(OR($J57&lt;X$3,$I57&gt;X$2),0,IF($K57=0,IF(AND($I57&gt;=X$3,$I57&lt;=X$2),$E57,0),$E57*NETWORKDAYS(MAX($I57,X$3),MIN($J57,X$2),Data!$K$4:$K$203)/$K57)))</f>
        <v>0</v>
      </c>
      <c r="Y57" s="170">
        <f>IF(OR($I57="",$E57=0),0,IF(OR($J57&lt;Y$3,$I57&gt;Y$2),0,IF($K57=0,IF(AND($I57&gt;=Y$3,$I57&lt;=Y$2),$E57,0),$E57*NETWORKDAYS(MAX($I57,Y$3),MIN($J57,Y$2),Data!$K$4:$K$203)/$K57)))</f>
        <v>0</v>
      </c>
      <c r="Z57" s="170">
        <f>IF(OR($I57="",$E57=0),0,IF(OR($J57&lt;Z$3,$I57&gt;Z$2),0,IF($K57=0,IF(AND($I57&gt;=Z$3,$I57&lt;=Z$2),$E57,0),$E57*NETWORKDAYS(MAX($I57,Z$3),MIN($J57,Z$2),Data!$K$4:$K$203)/$K57)))</f>
        <v>0</v>
      </c>
      <c r="AA57" s="170">
        <f>IF(OR($I57="",$E57=0),0,IF(OR($J57&lt;AA$3,$I57&gt;AA$2),0,IF($K57=0,IF(AND($I57&gt;=AA$3,$I57&lt;=AA$2),$E57,0),$E57*NETWORKDAYS(MAX($I57,AA$3),MIN($J57,AA$2),Data!$K$4:$K$203)/$K57)))</f>
        <v>0</v>
      </c>
      <c r="AB57" s="170">
        <f>IF(OR($I57="",$E57=0),0,IF(OR($J57&lt;AB$3,$I57&gt;AB$2),0,IF($K57=0,IF(AND($I57&gt;=AB$3,$I57&lt;=AB$2),$E57,0),$E57*NETWORKDAYS(MAX($I57,AB$3),MIN($J57,AB$2),Data!$K$4:$K$203)/$K57)))</f>
        <v>0</v>
      </c>
      <c r="AC57" s="170">
        <f>IF(OR($I57="",$E57=0),0,IF(OR($J57&lt;AC$3,$I57&gt;AC$2),0,IF($K57=0,IF(AND($I57&gt;=AC$3,$I57&lt;=AC$2),$E57,0),$E57*NETWORKDAYS(MAX($I57,AC$3),MIN($J57,AC$2),Data!$K$4:$K$203)/$K57)))</f>
        <v>0</v>
      </c>
      <c r="AD57" s="170">
        <f>IF(OR($I57="",$E57=0),0,IF(OR($J57&lt;AD$3,$I57&gt;AD$2),0,IF($K57=0,IF(AND($I57&gt;=AD$3,$I57&lt;=AD$2),$E57,0),$E57*NETWORKDAYS(MAX($I57,AD$3),MIN($J57,AD$2),Data!$K$4:$K$203)/$K57)))</f>
        <v>0</v>
      </c>
      <c r="AE57" s="170">
        <f>IF(OR($I57="",$E57=0),0,IF(OR($J57&lt;AE$3,$I57&gt;AE$2),0,IF($K57=0,IF(AND($I57&gt;=AE$3,$I57&lt;=AE$2),$E57,0),$E57*NETWORKDAYS(MAX($I57,AE$3),MIN($J57,AE$2),Data!$K$4:$K$203)/$K57)))</f>
        <v>0</v>
      </c>
      <c r="AF57" s="170">
        <f>IF(OR($I57="",$E57=0),0,IF(OR($J57&lt;AF$3,$I57&gt;AF$2),0,IF($K57=0,IF(AND($I57&gt;=AF$3,$I57&lt;=AF$2),$E57,0),$E57*NETWORKDAYS(MAX($I57,AF$3),MIN($J57,AF$2),Data!$K$4:$K$203)/$K57)))</f>
        <v>0</v>
      </c>
      <c r="AG57" s="170">
        <f>IF(OR($I57="",$E57=0),0,IF(OR($J57&lt;AG$3,$I57&gt;AG$2),0,IF($K57=0,IF(AND($I57&gt;=AG$3,$I57&lt;=AG$2),$E57,0),$E57*NETWORKDAYS(MAX($I57,AG$3),MIN($J57,AG$2),Data!$K$4:$K$203)/$K57)))</f>
        <v>0</v>
      </c>
      <c r="AH57" s="170">
        <f>IF(OR($I57="",$E57=0),0,IF(OR($J57&lt;AH$3,$I57&gt;AH$2),0,IF($K57=0,IF(AND($I57&gt;=AH$3,$I57&lt;=AH$2),$E57,0),$E57*NETWORKDAYS(MAX($I57,AH$3),MIN($J57,AH$2),Data!$K$4:$K$203)/$K57)))</f>
        <v>0</v>
      </c>
      <c r="AI57" s="170">
        <f>SUM(W57:AH57)</f>
        <v>0</v>
      </c>
      <c r="BW57" t="n">
        <v>54</v>
      </c>
      <c r="BX57" t="str">
        <f>IFERROR(MATCH(BW57,$EQ$4:$EQ$503,0),"")</f>
        <v/>
      </c>
      <c r="BY57" t="str">
        <f>IF(BX57="","",INDEX($FL$4:$FL$503,BX57))</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70"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4" t="str">
        <f>IF(EO57=1,IF(FH57&gt;0,FI57/FH57,AVERAGEIF($FF$4:$FF$503,EN57,$C$4:$C$503)),"")</f>
        <v/>
      </c>
      <c r="EV57" s="169">
        <f>IF(ISNUMBER(I57),I57,2958465)</f>
        <v>2958465.0</v>
      </c>
      <c r="EW57" s="169" t="str">
        <f>IF(EO57=1,SUMPRODUCT(MIN(($EN$4:$EN$503=EN57)*$EV$4:$EV$503+($EN$4:$EN$503&lt;&gt;EN57)*2958465)),"")</f>
        <v/>
      </c>
      <c r="EX57" s="169">
        <f>IF(AND(D57=1,ISNUMBER(INDEX(Charge!$F:$F,ROW()))),INDEX(Charge!$F:$F,ROW()),0)</f>
        <v>0.0</v>
      </c>
      <c r="EY57" s="169"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c r="FF57" t="str">
        <f>IF(B57=1,LEFT(SUBSTITUTE(SUBSTITUTE(SUBSTITUTE(TRIM(SUBSTITUTE(INDEX(Charge!$B:$B,ROW()),CHAR(160)," "))&amp;" | "&amp;TRIM(SUBSTITUTE(INDEX(Charge!$C:$C,ROW()),CHAR(160)," "))&amp;" | "&amp;TRIM(SUBSTITUTE(INDEX(Charge!$D:$D,ROW()),CHAR(160)," ")),"~","-"),"*","+"),"?","!"),240),"")</f>
        <v/>
      </c>
      <c r="FG57">
        <f>IF(B57=1,MAX(0,N(INDEX(Charge!$M:$M,ROW()))),0)</f>
        <v>0</v>
      </c>
      <c r="FH57" s="170" t="str">
        <f>IF(EO57=1,ROUND(SUMIF($FF$4:$FF$503,EN57,$FG$4:$FG$503),2),"")</f>
        <v/>
      </c>
      <c r="FI57" s="170" t="str">
        <f>IF(EO57=1,ROUND(SUMPRODUCT(($FF$4:$FF$503=EN57)*$FG$4:$FG$503*$C$4:$C$503),2),"")</f>
        <v/>
      </c>
      <c r="FJ57" s="170" t="str">
        <f>IF(EO57=1,MAX(0,ROUND(FH57-FI57,2)),"")</f>
        <v/>
      </c>
      <c r="FK57" s="174" t="str">
        <f>IF(EO57=1,IF(OR(EW57&gt;=2958465,EY57=0,EY57&lt;=EW57),"",IF(TODAY()&lt;=EW57,0,IF(TODAY()&gt;EY57,1,IFERROR(NETWORKDAYS(EW57,TODAY()-1,Data!$K$4:$K$203)/NETWORKDAYS(EW57,EY57,Data!$K$4:$K$203),"")))),"")</f>
        <v/>
      </c>
      <c r="FL57" t="str">
        <f>IF(EO57=1,IF(AND(EY57&gt;0,EY57&lt;TODAY(),ROUND(EU57,4)&lt;1),2,IF(FK57="",0,IF(ROUND(EU57-FK57,4)&lt;-0.15,1,0))),"")</f>
        <v/>
      </c>
      <c r="FM57">
        <f>IF(OR(FA57="",COUNTIF($FA$4:FA56,FA57)&gt;0),0,MAX(0,IF(FB57="Interne",IF(ISNUMBER(INDEX(Data!$F:$F,57)),INDEX(Data!$F:$F,57),p_HeuresETP),IF(ISNUMBER(INDEX(Data!$I:$I,57-$CD$23)),INDEX(Data!$I:$I,57-$CD$23),p_HeuresETP))-IF(FB57="Interne",IF(ISNUMBER(INDEX(Data!$G:$G,57)),INDEX(Data!$G:$G,57),p_ChargeFixe),IF(ISNUMBER(INDEX(Data!$J:$J,57-$CD$23)),INDEX(Data!$J:$J,57-$CD$23),p_ChargeFixe))))</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9" t="str">
        <f>IF(AND(D58=1,ISNUMBER(INDEX(Charge!$N:$N,ROW()))),INDEX(Charge!$N:$N,ROW()),"")</f>
        <v/>
      </c>
      <c r="J58" s="169"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70">
        <f>IF(OR($I58="",$E58=0),0,IF(OR($J58&lt;W$3,$I58&gt;W$2),0,IF($K58=0,IF(AND($I58&gt;=W$3,$I58&lt;=W$2),$E58,0),$E58*NETWORKDAYS(MAX($I58,W$3),MIN($J58,W$2),Data!$K$4:$K$203)/$K58)))</f>
        <v>0</v>
      </c>
      <c r="X58" s="170">
        <f>IF(OR($I58="",$E58=0),0,IF(OR($J58&lt;X$3,$I58&gt;X$2),0,IF($K58=0,IF(AND($I58&gt;=X$3,$I58&lt;=X$2),$E58,0),$E58*NETWORKDAYS(MAX($I58,X$3),MIN($J58,X$2),Data!$K$4:$K$203)/$K58)))</f>
        <v>0</v>
      </c>
      <c r="Y58" s="170">
        <f>IF(OR($I58="",$E58=0),0,IF(OR($J58&lt;Y$3,$I58&gt;Y$2),0,IF($K58=0,IF(AND($I58&gt;=Y$3,$I58&lt;=Y$2),$E58,0),$E58*NETWORKDAYS(MAX($I58,Y$3),MIN($J58,Y$2),Data!$K$4:$K$203)/$K58)))</f>
        <v>0</v>
      </c>
      <c r="Z58" s="170">
        <f>IF(OR($I58="",$E58=0),0,IF(OR($J58&lt;Z$3,$I58&gt;Z$2),0,IF($K58=0,IF(AND($I58&gt;=Z$3,$I58&lt;=Z$2),$E58,0),$E58*NETWORKDAYS(MAX($I58,Z$3),MIN($J58,Z$2),Data!$K$4:$K$203)/$K58)))</f>
        <v>0</v>
      </c>
      <c r="AA58" s="170">
        <f>IF(OR($I58="",$E58=0),0,IF(OR($J58&lt;AA$3,$I58&gt;AA$2),0,IF($K58=0,IF(AND($I58&gt;=AA$3,$I58&lt;=AA$2),$E58,0),$E58*NETWORKDAYS(MAX($I58,AA$3),MIN($J58,AA$2),Data!$K$4:$K$203)/$K58)))</f>
        <v>0</v>
      </c>
      <c r="AB58" s="170">
        <f>IF(OR($I58="",$E58=0),0,IF(OR($J58&lt;AB$3,$I58&gt;AB$2),0,IF($K58=0,IF(AND($I58&gt;=AB$3,$I58&lt;=AB$2),$E58,0),$E58*NETWORKDAYS(MAX($I58,AB$3),MIN($J58,AB$2),Data!$K$4:$K$203)/$K58)))</f>
        <v>0</v>
      </c>
      <c r="AC58" s="170">
        <f>IF(OR($I58="",$E58=0),0,IF(OR($J58&lt;AC$3,$I58&gt;AC$2),0,IF($K58=0,IF(AND($I58&gt;=AC$3,$I58&lt;=AC$2),$E58,0),$E58*NETWORKDAYS(MAX($I58,AC$3),MIN($J58,AC$2),Data!$K$4:$K$203)/$K58)))</f>
        <v>0</v>
      </c>
      <c r="AD58" s="170">
        <f>IF(OR($I58="",$E58=0),0,IF(OR($J58&lt;AD$3,$I58&gt;AD$2),0,IF($K58=0,IF(AND($I58&gt;=AD$3,$I58&lt;=AD$2),$E58,0),$E58*NETWORKDAYS(MAX($I58,AD$3),MIN($J58,AD$2),Data!$K$4:$K$203)/$K58)))</f>
        <v>0</v>
      </c>
      <c r="AE58" s="170">
        <f>IF(OR($I58="",$E58=0),0,IF(OR($J58&lt;AE$3,$I58&gt;AE$2),0,IF($K58=0,IF(AND($I58&gt;=AE$3,$I58&lt;=AE$2),$E58,0),$E58*NETWORKDAYS(MAX($I58,AE$3),MIN($J58,AE$2),Data!$K$4:$K$203)/$K58)))</f>
        <v>0</v>
      </c>
      <c r="AF58" s="170">
        <f>IF(OR($I58="",$E58=0),0,IF(OR($J58&lt;AF$3,$I58&gt;AF$2),0,IF($K58=0,IF(AND($I58&gt;=AF$3,$I58&lt;=AF$2),$E58,0),$E58*NETWORKDAYS(MAX($I58,AF$3),MIN($J58,AF$2),Data!$K$4:$K$203)/$K58)))</f>
        <v>0</v>
      </c>
      <c r="AG58" s="170">
        <f>IF(OR($I58="",$E58=0),0,IF(OR($J58&lt;AG$3,$I58&gt;AG$2),0,IF($K58=0,IF(AND($I58&gt;=AG$3,$I58&lt;=AG$2),$E58,0),$E58*NETWORKDAYS(MAX($I58,AG$3),MIN($J58,AG$2),Data!$K$4:$K$203)/$K58)))</f>
        <v>0</v>
      </c>
      <c r="AH58" s="170">
        <f>IF(OR($I58="",$E58=0),0,IF(OR($J58&lt;AH$3,$I58&gt;AH$2),0,IF($K58=0,IF(AND($I58&gt;=AH$3,$I58&lt;=AH$2),$E58,0),$E58*NETWORKDAYS(MAX($I58,AH$3),MIN($J58,AH$2),Data!$K$4:$K$203)/$K58)))</f>
        <v>0</v>
      </c>
      <c r="AI58" s="170">
        <f>SUM(W58:AH58)</f>
        <v>0</v>
      </c>
      <c r="BW58" t="n">
        <v>55</v>
      </c>
      <c r="BX58" t="str">
        <f>IFERROR(MATCH(BW58,$EQ$4:$EQ$503,0),"")</f>
        <v/>
      </c>
      <c r="BY58" t="str">
        <f>IF(BX58="","",INDEX($FL$4:$FL$503,BX58))</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70"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4" t="str">
        <f>IF(EO58=1,IF(FH58&gt;0,FI58/FH58,AVERAGEIF($FF$4:$FF$503,EN58,$C$4:$C$503)),"")</f>
        <v/>
      </c>
      <c r="EV58" s="169">
        <f>IF(ISNUMBER(I58),I58,2958465)</f>
        <v>2958465.0</v>
      </c>
      <c r="EW58" s="169" t="str">
        <f>IF(EO58=1,SUMPRODUCT(MIN(($EN$4:$EN$503=EN58)*$EV$4:$EV$503+($EN$4:$EN$503&lt;&gt;EN58)*2958465)),"")</f>
        <v/>
      </c>
      <c r="EX58" s="169">
        <f>IF(AND(D58=1,ISNUMBER(INDEX(Charge!$F:$F,ROW()))),INDEX(Charge!$F:$F,ROW()),0)</f>
        <v>0.0</v>
      </c>
      <c r="EY58" s="169"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c r="FF58" t="str">
        <f>IF(B58=1,LEFT(SUBSTITUTE(SUBSTITUTE(SUBSTITUTE(TRIM(SUBSTITUTE(INDEX(Charge!$B:$B,ROW()),CHAR(160)," "))&amp;" | "&amp;TRIM(SUBSTITUTE(INDEX(Charge!$C:$C,ROW()),CHAR(160)," "))&amp;" | "&amp;TRIM(SUBSTITUTE(INDEX(Charge!$D:$D,ROW()),CHAR(160)," ")),"~","-"),"*","+"),"?","!"),240),"")</f>
        <v/>
      </c>
      <c r="FG58">
        <f>IF(B58=1,MAX(0,N(INDEX(Charge!$M:$M,ROW()))),0)</f>
        <v>0</v>
      </c>
      <c r="FH58" s="170" t="str">
        <f>IF(EO58=1,ROUND(SUMIF($FF$4:$FF$503,EN58,$FG$4:$FG$503),2),"")</f>
        <v/>
      </c>
      <c r="FI58" s="170" t="str">
        <f>IF(EO58=1,ROUND(SUMPRODUCT(($FF$4:$FF$503=EN58)*$FG$4:$FG$503*$C$4:$C$503),2),"")</f>
        <v/>
      </c>
      <c r="FJ58" s="170" t="str">
        <f>IF(EO58=1,MAX(0,ROUND(FH58-FI58,2)),"")</f>
        <v/>
      </c>
      <c r="FK58" s="174" t="str">
        <f>IF(EO58=1,IF(OR(EW58&gt;=2958465,EY58=0,EY58&lt;=EW58),"",IF(TODAY()&lt;=EW58,0,IF(TODAY()&gt;EY58,1,IFERROR(NETWORKDAYS(EW58,TODAY()-1,Data!$K$4:$K$203)/NETWORKDAYS(EW58,EY58,Data!$K$4:$K$203),"")))),"")</f>
        <v/>
      </c>
      <c r="FL58" t="str">
        <f>IF(EO58=1,IF(AND(EY58&gt;0,EY58&lt;TODAY(),ROUND(EU58,4)&lt;1),2,IF(FK58="",0,IF(ROUND(EU58-FK58,4)&lt;-0.15,1,0))),"")</f>
        <v/>
      </c>
      <c r="FM58">
        <f>IF(OR(FA58="",COUNTIF($FA$4:FA57,FA58)&gt;0),0,MAX(0,IF(FB58="Interne",IF(ISNUMBER(INDEX(Data!$F:$F,58)),INDEX(Data!$F:$F,58),p_HeuresETP),IF(ISNUMBER(INDEX(Data!$I:$I,58-$CD$23)),INDEX(Data!$I:$I,58-$CD$23),p_HeuresETP))-IF(FB58="Interne",IF(ISNUMBER(INDEX(Data!$G:$G,58)),INDEX(Data!$G:$G,58),p_ChargeFixe),IF(ISNUMBER(INDEX(Data!$J:$J,58-$CD$23)),INDEX(Data!$J:$J,58-$CD$23),p_ChargeFixe))))</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9" t="str">
        <f>IF(AND(D59=1,ISNUMBER(INDEX(Charge!$N:$N,ROW()))),INDEX(Charge!$N:$N,ROW()),"")</f>
        <v/>
      </c>
      <c r="J59" s="169"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70">
        <f>IF(OR($I59="",$E59=0),0,IF(OR($J59&lt;W$3,$I59&gt;W$2),0,IF($K59=0,IF(AND($I59&gt;=W$3,$I59&lt;=W$2),$E59,0),$E59*NETWORKDAYS(MAX($I59,W$3),MIN($J59,W$2),Data!$K$4:$K$203)/$K59)))</f>
        <v>0</v>
      </c>
      <c r="X59" s="170">
        <f>IF(OR($I59="",$E59=0),0,IF(OR($J59&lt;X$3,$I59&gt;X$2),0,IF($K59=0,IF(AND($I59&gt;=X$3,$I59&lt;=X$2),$E59,0),$E59*NETWORKDAYS(MAX($I59,X$3),MIN($J59,X$2),Data!$K$4:$K$203)/$K59)))</f>
        <v>0</v>
      </c>
      <c r="Y59" s="170">
        <f>IF(OR($I59="",$E59=0),0,IF(OR($J59&lt;Y$3,$I59&gt;Y$2),0,IF($K59=0,IF(AND($I59&gt;=Y$3,$I59&lt;=Y$2),$E59,0),$E59*NETWORKDAYS(MAX($I59,Y$3),MIN($J59,Y$2),Data!$K$4:$K$203)/$K59)))</f>
        <v>0</v>
      </c>
      <c r="Z59" s="170">
        <f>IF(OR($I59="",$E59=0),0,IF(OR($J59&lt;Z$3,$I59&gt;Z$2),0,IF($K59=0,IF(AND($I59&gt;=Z$3,$I59&lt;=Z$2),$E59,0),$E59*NETWORKDAYS(MAX($I59,Z$3),MIN($J59,Z$2),Data!$K$4:$K$203)/$K59)))</f>
        <v>0</v>
      </c>
      <c r="AA59" s="170">
        <f>IF(OR($I59="",$E59=0),0,IF(OR($J59&lt;AA$3,$I59&gt;AA$2),0,IF($K59=0,IF(AND($I59&gt;=AA$3,$I59&lt;=AA$2),$E59,0),$E59*NETWORKDAYS(MAX($I59,AA$3),MIN($J59,AA$2),Data!$K$4:$K$203)/$K59)))</f>
        <v>0</v>
      </c>
      <c r="AB59" s="170">
        <f>IF(OR($I59="",$E59=0),0,IF(OR($J59&lt;AB$3,$I59&gt;AB$2),0,IF($K59=0,IF(AND($I59&gt;=AB$3,$I59&lt;=AB$2),$E59,0),$E59*NETWORKDAYS(MAX($I59,AB$3),MIN($J59,AB$2),Data!$K$4:$K$203)/$K59)))</f>
        <v>0</v>
      </c>
      <c r="AC59" s="170">
        <f>IF(OR($I59="",$E59=0),0,IF(OR($J59&lt;AC$3,$I59&gt;AC$2),0,IF($K59=0,IF(AND($I59&gt;=AC$3,$I59&lt;=AC$2),$E59,0),$E59*NETWORKDAYS(MAX($I59,AC$3),MIN($J59,AC$2),Data!$K$4:$K$203)/$K59)))</f>
        <v>0</v>
      </c>
      <c r="AD59" s="170">
        <f>IF(OR($I59="",$E59=0),0,IF(OR($J59&lt;AD$3,$I59&gt;AD$2),0,IF($K59=0,IF(AND($I59&gt;=AD$3,$I59&lt;=AD$2),$E59,0),$E59*NETWORKDAYS(MAX($I59,AD$3),MIN($J59,AD$2),Data!$K$4:$K$203)/$K59)))</f>
        <v>0</v>
      </c>
      <c r="AE59" s="170">
        <f>IF(OR($I59="",$E59=0),0,IF(OR($J59&lt;AE$3,$I59&gt;AE$2),0,IF($K59=0,IF(AND($I59&gt;=AE$3,$I59&lt;=AE$2),$E59,0),$E59*NETWORKDAYS(MAX($I59,AE$3),MIN($J59,AE$2),Data!$K$4:$K$203)/$K59)))</f>
        <v>0</v>
      </c>
      <c r="AF59" s="170">
        <f>IF(OR($I59="",$E59=0),0,IF(OR($J59&lt;AF$3,$I59&gt;AF$2),0,IF($K59=0,IF(AND($I59&gt;=AF$3,$I59&lt;=AF$2),$E59,0),$E59*NETWORKDAYS(MAX($I59,AF$3),MIN($J59,AF$2),Data!$K$4:$K$203)/$K59)))</f>
        <v>0</v>
      </c>
      <c r="AG59" s="170">
        <f>IF(OR($I59="",$E59=0),0,IF(OR($J59&lt;AG$3,$I59&gt;AG$2),0,IF($K59=0,IF(AND($I59&gt;=AG$3,$I59&lt;=AG$2),$E59,0),$E59*NETWORKDAYS(MAX($I59,AG$3),MIN($J59,AG$2),Data!$K$4:$K$203)/$K59)))</f>
        <v>0</v>
      </c>
      <c r="AH59" s="170">
        <f>IF(OR($I59="",$E59=0),0,IF(OR($J59&lt;AH$3,$I59&gt;AH$2),0,IF($K59=0,IF(AND($I59&gt;=AH$3,$I59&lt;=AH$2),$E59,0),$E59*NETWORKDAYS(MAX($I59,AH$3),MIN($J59,AH$2),Data!$K$4:$K$203)/$K59)))</f>
        <v>0</v>
      </c>
      <c r="AI59" s="170">
        <f>SUM(W59:AH59)</f>
        <v>0</v>
      </c>
      <c r="BW59" t="n">
        <v>56</v>
      </c>
      <c r="BX59" t="str">
        <f>IFERROR(MATCH(BW59,$EQ$4:$EQ$503,0),"")</f>
        <v/>
      </c>
      <c r="BY59" t="str">
        <f>IF(BX59="","",INDEX($FL$4:$FL$503,BX59))</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70"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4" t="str">
        <f>IF(EO59=1,IF(FH59&gt;0,FI59/FH59,AVERAGEIF($FF$4:$FF$503,EN59,$C$4:$C$503)),"")</f>
        <v/>
      </c>
      <c r="EV59" s="169">
        <f>IF(ISNUMBER(I59),I59,2958465)</f>
        <v>2958465.0</v>
      </c>
      <c r="EW59" s="169" t="str">
        <f>IF(EO59=1,SUMPRODUCT(MIN(($EN$4:$EN$503=EN59)*$EV$4:$EV$503+($EN$4:$EN$503&lt;&gt;EN59)*2958465)),"")</f>
        <v/>
      </c>
      <c r="EX59" s="169">
        <f>IF(AND(D59=1,ISNUMBER(INDEX(Charge!$F:$F,ROW()))),INDEX(Charge!$F:$F,ROW()),0)</f>
        <v>0.0</v>
      </c>
      <c r="EY59" s="169"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c r="FF59" t="str">
        <f>IF(B59=1,LEFT(SUBSTITUTE(SUBSTITUTE(SUBSTITUTE(TRIM(SUBSTITUTE(INDEX(Charge!$B:$B,ROW()),CHAR(160)," "))&amp;" | "&amp;TRIM(SUBSTITUTE(INDEX(Charge!$C:$C,ROW()),CHAR(160)," "))&amp;" | "&amp;TRIM(SUBSTITUTE(INDEX(Charge!$D:$D,ROW()),CHAR(160)," ")),"~","-"),"*","+"),"?","!"),240),"")</f>
        <v/>
      </c>
      <c r="FG59">
        <f>IF(B59=1,MAX(0,N(INDEX(Charge!$M:$M,ROW()))),0)</f>
        <v>0</v>
      </c>
      <c r="FH59" s="170" t="str">
        <f>IF(EO59=1,ROUND(SUMIF($FF$4:$FF$503,EN59,$FG$4:$FG$503),2),"")</f>
        <v/>
      </c>
      <c r="FI59" s="170" t="str">
        <f>IF(EO59=1,ROUND(SUMPRODUCT(($FF$4:$FF$503=EN59)*$FG$4:$FG$503*$C$4:$C$503),2),"")</f>
        <v/>
      </c>
      <c r="FJ59" s="170" t="str">
        <f>IF(EO59=1,MAX(0,ROUND(FH59-FI59,2)),"")</f>
        <v/>
      </c>
      <c r="FK59" s="174" t="str">
        <f>IF(EO59=1,IF(OR(EW59&gt;=2958465,EY59=0,EY59&lt;=EW59),"",IF(TODAY()&lt;=EW59,0,IF(TODAY()&gt;EY59,1,IFERROR(NETWORKDAYS(EW59,TODAY()-1,Data!$K$4:$K$203)/NETWORKDAYS(EW59,EY59,Data!$K$4:$K$203),"")))),"")</f>
        <v/>
      </c>
      <c r="FL59" t="str">
        <f>IF(EO59=1,IF(AND(EY59&gt;0,EY59&lt;TODAY(),ROUND(EU59,4)&lt;1),2,IF(FK59="",0,IF(ROUND(EU59-FK59,4)&lt;-0.15,1,0))),"")</f>
        <v/>
      </c>
      <c r="FM59">
        <f>IF(OR(FA59="",COUNTIF($FA$4:FA58,FA59)&gt;0),0,MAX(0,IF(FB59="Interne",IF(ISNUMBER(INDEX(Data!$F:$F,59)),INDEX(Data!$F:$F,59),p_HeuresETP),IF(ISNUMBER(INDEX(Data!$I:$I,59-$CD$23)),INDEX(Data!$I:$I,59-$CD$23),p_HeuresETP))-IF(FB59="Interne",IF(ISNUMBER(INDEX(Data!$G:$G,59)),INDEX(Data!$G:$G,59),p_ChargeFixe),IF(ISNUMBER(INDEX(Data!$J:$J,59-$CD$23)),INDEX(Data!$J:$J,59-$CD$23),p_ChargeFixe))))</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9" t="str">
        <f>IF(AND(D60=1,ISNUMBER(INDEX(Charge!$N:$N,ROW()))),INDEX(Charge!$N:$N,ROW()),"")</f>
        <v/>
      </c>
      <c r="J60" s="169"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70">
        <f>IF(OR($I60="",$E60=0),0,IF(OR($J60&lt;W$3,$I60&gt;W$2),0,IF($K60=0,IF(AND($I60&gt;=W$3,$I60&lt;=W$2),$E60,0),$E60*NETWORKDAYS(MAX($I60,W$3),MIN($J60,W$2),Data!$K$4:$K$203)/$K60)))</f>
        <v>0</v>
      </c>
      <c r="X60" s="170">
        <f>IF(OR($I60="",$E60=0),0,IF(OR($J60&lt;X$3,$I60&gt;X$2),0,IF($K60=0,IF(AND($I60&gt;=X$3,$I60&lt;=X$2),$E60,0),$E60*NETWORKDAYS(MAX($I60,X$3),MIN($J60,X$2),Data!$K$4:$K$203)/$K60)))</f>
        <v>0</v>
      </c>
      <c r="Y60" s="170">
        <f>IF(OR($I60="",$E60=0),0,IF(OR($J60&lt;Y$3,$I60&gt;Y$2),0,IF($K60=0,IF(AND($I60&gt;=Y$3,$I60&lt;=Y$2),$E60,0),$E60*NETWORKDAYS(MAX($I60,Y$3),MIN($J60,Y$2),Data!$K$4:$K$203)/$K60)))</f>
        <v>0</v>
      </c>
      <c r="Z60" s="170">
        <f>IF(OR($I60="",$E60=0),0,IF(OR($J60&lt;Z$3,$I60&gt;Z$2),0,IF($K60=0,IF(AND($I60&gt;=Z$3,$I60&lt;=Z$2),$E60,0),$E60*NETWORKDAYS(MAX($I60,Z$3),MIN($J60,Z$2),Data!$K$4:$K$203)/$K60)))</f>
        <v>0</v>
      </c>
      <c r="AA60" s="170">
        <f>IF(OR($I60="",$E60=0),0,IF(OR($J60&lt;AA$3,$I60&gt;AA$2),0,IF($K60=0,IF(AND($I60&gt;=AA$3,$I60&lt;=AA$2),$E60,0),$E60*NETWORKDAYS(MAX($I60,AA$3),MIN($J60,AA$2),Data!$K$4:$K$203)/$K60)))</f>
        <v>0</v>
      </c>
      <c r="AB60" s="170">
        <f>IF(OR($I60="",$E60=0),0,IF(OR($J60&lt;AB$3,$I60&gt;AB$2),0,IF($K60=0,IF(AND($I60&gt;=AB$3,$I60&lt;=AB$2),$E60,0),$E60*NETWORKDAYS(MAX($I60,AB$3),MIN($J60,AB$2),Data!$K$4:$K$203)/$K60)))</f>
        <v>0</v>
      </c>
      <c r="AC60" s="170">
        <f>IF(OR($I60="",$E60=0),0,IF(OR($J60&lt;AC$3,$I60&gt;AC$2),0,IF($K60=0,IF(AND($I60&gt;=AC$3,$I60&lt;=AC$2),$E60,0),$E60*NETWORKDAYS(MAX($I60,AC$3),MIN($J60,AC$2),Data!$K$4:$K$203)/$K60)))</f>
        <v>0</v>
      </c>
      <c r="AD60" s="170">
        <f>IF(OR($I60="",$E60=0),0,IF(OR($J60&lt;AD$3,$I60&gt;AD$2),0,IF($K60=0,IF(AND($I60&gt;=AD$3,$I60&lt;=AD$2),$E60,0),$E60*NETWORKDAYS(MAX($I60,AD$3),MIN($J60,AD$2),Data!$K$4:$K$203)/$K60)))</f>
        <v>0</v>
      </c>
      <c r="AE60" s="170">
        <f>IF(OR($I60="",$E60=0),0,IF(OR($J60&lt;AE$3,$I60&gt;AE$2),0,IF($K60=0,IF(AND($I60&gt;=AE$3,$I60&lt;=AE$2),$E60,0),$E60*NETWORKDAYS(MAX($I60,AE$3),MIN($J60,AE$2),Data!$K$4:$K$203)/$K60)))</f>
        <v>0</v>
      </c>
      <c r="AF60" s="170">
        <f>IF(OR($I60="",$E60=0),0,IF(OR($J60&lt;AF$3,$I60&gt;AF$2),0,IF($K60=0,IF(AND($I60&gt;=AF$3,$I60&lt;=AF$2),$E60,0),$E60*NETWORKDAYS(MAX($I60,AF$3),MIN($J60,AF$2),Data!$K$4:$K$203)/$K60)))</f>
        <v>0</v>
      </c>
      <c r="AG60" s="170">
        <f>IF(OR($I60="",$E60=0),0,IF(OR($J60&lt;AG$3,$I60&gt;AG$2),0,IF($K60=0,IF(AND($I60&gt;=AG$3,$I60&lt;=AG$2),$E60,0),$E60*NETWORKDAYS(MAX($I60,AG$3),MIN($J60,AG$2),Data!$K$4:$K$203)/$K60)))</f>
        <v>0</v>
      </c>
      <c r="AH60" s="170">
        <f>IF(OR($I60="",$E60=0),0,IF(OR($J60&lt;AH$3,$I60&gt;AH$2),0,IF($K60=0,IF(AND($I60&gt;=AH$3,$I60&lt;=AH$2),$E60,0),$E60*NETWORKDAYS(MAX($I60,AH$3),MIN($J60,AH$2),Data!$K$4:$K$203)/$K60)))</f>
        <v>0</v>
      </c>
      <c r="AI60" s="170">
        <f>SUM(W60:AH60)</f>
        <v>0</v>
      </c>
      <c r="BW60" t="n">
        <v>57</v>
      </c>
      <c r="BX60" t="str">
        <f>IFERROR(MATCH(BW60,$EQ$4:$EQ$503,0),"")</f>
        <v/>
      </c>
      <c r="BY60" t="str">
        <f>IF(BX60="","",INDEX($FL$4:$FL$503,BX60))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70"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4" t="str">
        <f>IF(EO60=1,IF(FH60&gt;0,FI60/FH60,AVERAGEIF($FF$4:$FF$503,EN60,$C$4:$C$503)),"")</f>
        <v/>
      </c>
      <c r="EV60" s="169">
        <f>IF(ISNUMBER(I60),I60,2958465)</f>
        <v>2958465.0</v>
      </c>
      <c r="EW60" s="169" t="str">
        <f>IF(EO60=1,SUMPRODUCT(MIN(($EN$4:$EN$503=EN60)*$EV$4:$EV$503+($EN$4:$EN$503&lt;&gt;EN60)*2958465)),"")</f>
        <v/>
      </c>
      <c r="EX60" s="169">
        <f>IF(AND(D60=1,ISNUMBER(INDEX(Charge!$F:$F,ROW()))),INDEX(Charge!$F:$F,ROW()),0)</f>
        <v>0.0</v>
      </c>
      <c r="EY60" s="169"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c r="FF60" t="str">
        <f>IF(B60=1,LEFT(SUBSTITUTE(SUBSTITUTE(SUBSTITUTE(TRIM(SUBSTITUTE(INDEX(Charge!$B:$B,ROW()),CHAR(160)," "))&amp;" | "&amp;TRIM(SUBSTITUTE(INDEX(Charge!$C:$C,ROW()),CHAR(160)," "))&amp;" | "&amp;TRIM(SUBSTITUTE(INDEX(Charge!$D:$D,ROW()),CHAR(160)," ")),"~","-"),"*","+"),"?","!"),240),"")</f>
        <v/>
      </c>
      <c r="FG60">
        <f>IF(B60=1,MAX(0,N(INDEX(Charge!$M:$M,ROW()))),0)</f>
        <v>0</v>
      </c>
      <c r="FH60" s="170" t="str">
        <f>IF(EO60=1,ROUND(SUMIF($FF$4:$FF$503,EN60,$FG$4:$FG$503),2),"")</f>
        <v/>
      </c>
      <c r="FI60" s="170" t="str">
        <f>IF(EO60=1,ROUND(SUMPRODUCT(($FF$4:$FF$503=EN60)*$FG$4:$FG$503*$C$4:$C$503),2),"")</f>
        <v/>
      </c>
      <c r="FJ60" s="170" t="str">
        <f>IF(EO60=1,MAX(0,ROUND(FH60-FI60,2)),"")</f>
        <v/>
      </c>
      <c r="FK60" s="174" t="str">
        <f>IF(EO60=1,IF(OR(EW60&gt;=2958465,EY60=0,EY60&lt;=EW60),"",IF(TODAY()&lt;=EW60,0,IF(TODAY()&gt;EY60,1,IFERROR(NETWORKDAYS(EW60,TODAY()-1,Data!$K$4:$K$203)/NETWORKDAYS(EW60,EY60,Data!$K$4:$K$203),"")))),"")</f>
        <v/>
      </c>
      <c r="FL60" t="str">
        <f>IF(EO60=1,IF(AND(EY60&gt;0,EY60&lt;TODAY(),ROUND(EU60,4)&lt;1),2,IF(FK60="",0,IF(ROUND(EU60-FK60,4)&lt;-0.15,1,0))),"")</f>
        <v/>
      </c>
      <c r="FM60">
        <f>IF(OR(FA60="",COUNTIF($FA$4:FA59,FA60)&gt;0),0,MAX(0,IF(FB60="Interne",IF(ISNUMBER(INDEX(Data!$F:$F,60)),INDEX(Data!$F:$F,60),p_HeuresETP),IF(ISNUMBER(INDEX(Data!$I:$I,60-$CD$23)),INDEX(Data!$I:$I,60-$CD$23),p_HeuresETP))-IF(FB60="Interne",IF(ISNUMBER(INDEX(Data!$G:$G,60)),INDEX(Data!$G:$G,60),p_ChargeFixe),IF(ISNUMBER(INDEX(Data!$J:$J,60-$CD$23)),INDEX(Data!$J:$J,60-$CD$23),p_ChargeFixe))))</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9" t="str">
        <f>IF(AND(D61=1,ISNUMBER(INDEX(Charge!$N:$N,ROW()))),INDEX(Charge!$N:$N,ROW()),"")</f>
        <v/>
      </c>
      <c r="J61" s="169"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70">
        <f>IF(OR($I61="",$E61=0),0,IF(OR($J61&lt;W$3,$I61&gt;W$2),0,IF($K61=0,IF(AND($I61&gt;=W$3,$I61&lt;=W$2),$E61,0),$E61*NETWORKDAYS(MAX($I61,W$3),MIN($J61,W$2),Data!$K$4:$K$203)/$K61)))</f>
        <v>0</v>
      </c>
      <c r="X61" s="170">
        <f>IF(OR($I61="",$E61=0),0,IF(OR($J61&lt;X$3,$I61&gt;X$2),0,IF($K61=0,IF(AND($I61&gt;=X$3,$I61&lt;=X$2),$E61,0),$E61*NETWORKDAYS(MAX($I61,X$3),MIN($J61,X$2),Data!$K$4:$K$203)/$K61)))</f>
        <v>0</v>
      </c>
      <c r="Y61" s="170">
        <f>IF(OR($I61="",$E61=0),0,IF(OR($J61&lt;Y$3,$I61&gt;Y$2),0,IF($K61=0,IF(AND($I61&gt;=Y$3,$I61&lt;=Y$2),$E61,0),$E61*NETWORKDAYS(MAX($I61,Y$3),MIN($J61,Y$2),Data!$K$4:$K$203)/$K61)))</f>
        <v>0</v>
      </c>
      <c r="Z61" s="170">
        <f>IF(OR($I61="",$E61=0),0,IF(OR($J61&lt;Z$3,$I61&gt;Z$2),0,IF($K61=0,IF(AND($I61&gt;=Z$3,$I61&lt;=Z$2),$E61,0),$E61*NETWORKDAYS(MAX($I61,Z$3),MIN($J61,Z$2),Data!$K$4:$K$203)/$K61)))</f>
        <v>0</v>
      </c>
      <c r="AA61" s="170">
        <f>IF(OR($I61="",$E61=0),0,IF(OR($J61&lt;AA$3,$I61&gt;AA$2),0,IF($K61=0,IF(AND($I61&gt;=AA$3,$I61&lt;=AA$2),$E61,0),$E61*NETWORKDAYS(MAX($I61,AA$3),MIN($J61,AA$2),Data!$K$4:$K$203)/$K61)))</f>
        <v>0</v>
      </c>
      <c r="AB61" s="170">
        <f>IF(OR($I61="",$E61=0),0,IF(OR($J61&lt;AB$3,$I61&gt;AB$2),0,IF($K61=0,IF(AND($I61&gt;=AB$3,$I61&lt;=AB$2),$E61,0),$E61*NETWORKDAYS(MAX($I61,AB$3),MIN($J61,AB$2),Data!$K$4:$K$203)/$K61)))</f>
        <v>0</v>
      </c>
      <c r="AC61" s="170">
        <f>IF(OR($I61="",$E61=0),0,IF(OR($J61&lt;AC$3,$I61&gt;AC$2),0,IF($K61=0,IF(AND($I61&gt;=AC$3,$I61&lt;=AC$2),$E61,0),$E61*NETWORKDAYS(MAX($I61,AC$3),MIN($J61,AC$2),Data!$K$4:$K$203)/$K61)))</f>
        <v>0</v>
      </c>
      <c r="AD61" s="170">
        <f>IF(OR($I61="",$E61=0),0,IF(OR($J61&lt;AD$3,$I61&gt;AD$2),0,IF($K61=0,IF(AND($I61&gt;=AD$3,$I61&lt;=AD$2),$E61,0),$E61*NETWORKDAYS(MAX($I61,AD$3),MIN($J61,AD$2),Data!$K$4:$K$203)/$K61)))</f>
        <v>0</v>
      </c>
      <c r="AE61" s="170">
        <f>IF(OR($I61="",$E61=0),0,IF(OR($J61&lt;AE$3,$I61&gt;AE$2),0,IF($K61=0,IF(AND($I61&gt;=AE$3,$I61&lt;=AE$2),$E61,0),$E61*NETWORKDAYS(MAX($I61,AE$3),MIN($J61,AE$2),Data!$K$4:$K$203)/$K61)))</f>
        <v>0</v>
      </c>
      <c r="AF61" s="170">
        <f>IF(OR($I61="",$E61=0),0,IF(OR($J61&lt;AF$3,$I61&gt;AF$2),0,IF($K61=0,IF(AND($I61&gt;=AF$3,$I61&lt;=AF$2),$E61,0),$E61*NETWORKDAYS(MAX($I61,AF$3),MIN($J61,AF$2),Data!$K$4:$K$203)/$K61)))</f>
        <v>0</v>
      </c>
      <c r="AG61" s="170">
        <f>IF(OR($I61="",$E61=0),0,IF(OR($J61&lt;AG$3,$I61&gt;AG$2),0,IF($K61=0,IF(AND($I61&gt;=AG$3,$I61&lt;=AG$2),$E61,0),$E61*NETWORKDAYS(MAX($I61,AG$3),MIN($J61,AG$2),Data!$K$4:$K$203)/$K61)))</f>
        <v>0</v>
      </c>
      <c r="AH61" s="170">
        <f>IF(OR($I61="",$E61=0),0,IF(OR($J61&lt;AH$3,$I61&gt;AH$2),0,IF($K61=0,IF(AND($I61&gt;=AH$3,$I61&lt;=AH$2),$E61,0),$E61*NETWORKDAYS(MAX($I61,AH$3),MIN($J61,AH$2),Data!$K$4:$K$203)/$K61)))</f>
        <v>0</v>
      </c>
      <c r="AI61" s="170">
        <f>SUM(W61:AH61)</f>
        <v>0</v>
      </c>
      <c r="BW61" t="n">
        <v>58</v>
      </c>
      <c r="BX61" t="str">
        <f>IFERROR(MATCH(BW61,$EQ$4:$EQ$503,0),"")</f>
        <v/>
      </c>
      <c r="BY61" t="str">
        <f>IF(BX61="","",INDEX($FL$4:$FL$503,BX61))</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70"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4" t="str">
        <f>IF(EO61=1,IF(FH61&gt;0,FI61/FH61,AVERAGEIF($FF$4:$FF$503,EN61,$C$4:$C$503)),"")</f>
        <v/>
      </c>
      <c r="EV61" s="169">
        <f>IF(ISNUMBER(I61),I61,2958465)</f>
        <v>2958465.0</v>
      </c>
      <c r="EW61" s="169" t="str">
        <f>IF(EO61=1,SUMPRODUCT(MIN(($EN$4:$EN$503=EN61)*$EV$4:$EV$503+($EN$4:$EN$503&lt;&gt;EN61)*2958465)),"")</f>
        <v/>
      </c>
      <c r="EX61" s="169">
        <f>IF(AND(D61=1,ISNUMBER(INDEX(Charge!$F:$F,ROW()))),INDEX(Charge!$F:$F,ROW()),0)</f>
        <v>0.0</v>
      </c>
      <c r="EY61" s="169"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c r="FF61" t="str">
        <f>IF(B61=1,LEFT(SUBSTITUTE(SUBSTITUTE(SUBSTITUTE(TRIM(SUBSTITUTE(INDEX(Charge!$B:$B,ROW()),CHAR(160)," "))&amp;" | "&amp;TRIM(SUBSTITUTE(INDEX(Charge!$C:$C,ROW()),CHAR(160)," "))&amp;" | "&amp;TRIM(SUBSTITUTE(INDEX(Charge!$D:$D,ROW()),CHAR(160)," ")),"~","-"),"*","+"),"?","!"),240),"")</f>
        <v/>
      </c>
      <c r="FG61">
        <f>IF(B61=1,MAX(0,N(INDEX(Charge!$M:$M,ROW()))),0)</f>
        <v>0</v>
      </c>
      <c r="FH61" s="170" t="str">
        <f>IF(EO61=1,ROUND(SUMIF($FF$4:$FF$503,EN61,$FG$4:$FG$503),2),"")</f>
        <v/>
      </c>
      <c r="FI61" s="170" t="str">
        <f>IF(EO61=1,ROUND(SUMPRODUCT(($FF$4:$FF$503=EN61)*$FG$4:$FG$503*$C$4:$C$503),2),"")</f>
        <v/>
      </c>
      <c r="FJ61" s="170" t="str">
        <f>IF(EO61=1,MAX(0,ROUND(FH61-FI61,2)),"")</f>
        <v/>
      </c>
      <c r="FK61" s="174" t="str">
        <f>IF(EO61=1,IF(OR(EW61&gt;=2958465,EY61=0,EY61&lt;=EW61),"",IF(TODAY()&lt;=EW61,0,IF(TODAY()&gt;EY61,1,IFERROR(NETWORKDAYS(EW61,TODAY()-1,Data!$K$4:$K$203)/NETWORKDAYS(EW61,EY61,Data!$K$4:$K$203),"")))),"")</f>
        <v/>
      </c>
      <c r="FL61" t="str">
        <f>IF(EO61=1,IF(AND(EY61&gt;0,EY61&lt;TODAY(),ROUND(EU61,4)&lt;1),2,IF(FK61="",0,IF(ROUND(EU61-FK61,4)&lt;-0.15,1,0))),"")</f>
        <v/>
      </c>
      <c r="FM61">
        <f>IF(OR(FA61="",COUNTIF($FA$4:FA60,FA61)&gt;0),0,MAX(0,IF(FB61="Interne",IF(ISNUMBER(INDEX(Data!$F:$F,61)),INDEX(Data!$F:$F,61),p_HeuresETP),IF(ISNUMBER(INDEX(Data!$I:$I,61-$CD$23)),INDEX(Data!$I:$I,61-$CD$23),p_HeuresETP))-IF(FB61="Interne",IF(ISNUMBER(INDEX(Data!$G:$G,61)),INDEX(Data!$G:$G,61),p_ChargeFixe),IF(ISNUMBER(INDEX(Data!$J:$J,61-$CD$23)),INDEX(Data!$J:$J,61-$CD$23),p_ChargeFixe))))</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9" t="str">
        <f>IF(AND(D62=1,ISNUMBER(INDEX(Charge!$N:$N,ROW()))),INDEX(Charge!$N:$N,ROW()),"")</f>
        <v/>
      </c>
      <c r="J62" s="169"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70">
        <f>IF(OR($I62="",$E62=0),0,IF(OR($J62&lt;W$3,$I62&gt;W$2),0,IF($K62=0,IF(AND($I62&gt;=W$3,$I62&lt;=W$2),$E62,0),$E62*NETWORKDAYS(MAX($I62,W$3),MIN($J62,W$2),Data!$K$4:$K$203)/$K62)))</f>
        <v>0</v>
      </c>
      <c r="X62" s="170">
        <f>IF(OR($I62="",$E62=0),0,IF(OR($J62&lt;X$3,$I62&gt;X$2),0,IF($K62=0,IF(AND($I62&gt;=X$3,$I62&lt;=X$2),$E62,0),$E62*NETWORKDAYS(MAX($I62,X$3),MIN($J62,X$2),Data!$K$4:$K$203)/$K62)))</f>
        <v>0</v>
      </c>
      <c r="Y62" s="170">
        <f>IF(OR($I62="",$E62=0),0,IF(OR($J62&lt;Y$3,$I62&gt;Y$2),0,IF($K62=0,IF(AND($I62&gt;=Y$3,$I62&lt;=Y$2),$E62,0),$E62*NETWORKDAYS(MAX($I62,Y$3),MIN($J62,Y$2),Data!$K$4:$K$203)/$K62)))</f>
        <v>0</v>
      </c>
      <c r="Z62" s="170">
        <f>IF(OR($I62="",$E62=0),0,IF(OR($J62&lt;Z$3,$I62&gt;Z$2),0,IF($K62=0,IF(AND($I62&gt;=Z$3,$I62&lt;=Z$2),$E62,0),$E62*NETWORKDAYS(MAX($I62,Z$3),MIN($J62,Z$2),Data!$K$4:$K$203)/$K62)))</f>
        <v>0</v>
      </c>
      <c r="AA62" s="170">
        <f>IF(OR($I62="",$E62=0),0,IF(OR($J62&lt;AA$3,$I62&gt;AA$2),0,IF($K62=0,IF(AND($I62&gt;=AA$3,$I62&lt;=AA$2),$E62,0),$E62*NETWORKDAYS(MAX($I62,AA$3),MIN($J62,AA$2),Data!$K$4:$K$203)/$K62)))</f>
        <v>0</v>
      </c>
      <c r="AB62" s="170">
        <f>IF(OR($I62="",$E62=0),0,IF(OR($J62&lt;AB$3,$I62&gt;AB$2),0,IF($K62=0,IF(AND($I62&gt;=AB$3,$I62&lt;=AB$2),$E62,0),$E62*NETWORKDAYS(MAX($I62,AB$3),MIN($J62,AB$2),Data!$K$4:$K$203)/$K62)))</f>
        <v>0</v>
      </c>
      <c r="AC62" s="170">
        <f>IF(OR($I62="",$E62=0),0,IF(OR($J62&lt;AC$3,$I62&gt;AC$2),0,IF($K62=0,IF(AND($I62&gt;=AC$3,$I62&lt;=AC$2),$E62,0),$E62*NETWORKDAYS(MAX($I62,AC$3),MIN($J62,AC$2),Data!$K$4:$K$203)/$K62)))</f>
        <v>0</v>
      </c>
      <c r="AD62" s="170">
        <f>IF(OR($I62="",$E62=0),0,IF(OR($J62&lt;AD$3,$I62&gt;AD$2),0,IF($K62=0,IF(AND($I62&gt;=AD$3,$I62&lt;=AD$2),$E62,0),$E62*NETWORKDAYS(MAX($I62,AD$3),MIN($J62,AD$2),Data!$K$4:$K$203)/$K62)))</f>
        <v>0</v>
      </c>
      <c r="AE62" s="170">
        <f>IF(OR($I62="",$E62=0),0,IF(OR($J62&lt;AE$3,$I62&gt;AE$2),0,IF($K62=0,IF(AND($I62&gt;=AE$3,$I62&lt;=AE$2),$E62,0),$E62*NETWORKDAYS(MAX($I62,AE$3),MIN($J62,AE$2),Data!$K$4:$K$203)/$K62)))</f>
        <v>0</v>
      </c>
      <c r="AF62" s="170">
        <f>IF(OR($I62="",$E62=0),0,IF(OR($J62&lt;AF$3,$I62&gt;AF$2),0,IF($K62=0,IF(AND($I62&gt;=AF$3,$I62&lt;=AF$2),$E62,0),$E62*NETWORKDAYS(MAX($I62,AF$3),MIN($J62,AF$2),Data!$K$4:$K$203)/$K62)))</f>
        <v>0</v>
      </c>
      <c r="AG62" s="170">
        <f>IF(OR($I62="",$E62=0),0,IF(OR($J62&lt;AG$3,$I62&gt;AG$2),0,IF($K62=0,IF(AND($I62&gt;=AG$3,$I62&lt;=AG$2),$E62,0),$E62*NETWORKDAYS(MAX($I62,AG$3),MIN($J62,AG$2),Data!$K$4:$K$203)/$K62)))</f>
        <v>0</v>
      </c>
      <c r="AH62" s="170">
        <f>IF(OR($I62="",$E62=0),0,IF(OR($J62&lt;AH$3,$I62&gt;AH$2),0,IF($K62=0,IF(AND($I62&gt;=AH$3,$I62&lt;=AH$2),$E62,0),$E62*NETWORKDAYS(MAX($I62,AH$3),MIN($J62,AH$2),Data!$K$4:$K$203)/$K62)))</f>
        <v>0</v>
      </c>
      <c r="AI62" s="170">
        <f>SUM(W62:AH62)</f>
        <v>0</v>
      </c>
      <c r="BW62" t="n">
        <v>59</v>
      </c>
      <c r="BX62" t="str">
        <f>IFERROR(MATCH(BW62,$EQ$4:$EQ$503,0),"")</f>
        <v/>
      </c>
      <c r="BY62" t="str">
        <f>IF(BX62="","",INDEX($FL$4:$FL$503,BX62))</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70"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4" t="str">
        <f>IF(EO62=1,IF(FH62&gt;0,FI62/FH62,AVERAGEIF($FF$4:$FF$503,EN62,$C$4:$C$503)),"")</f>
        <v/>
      </c>
      <c r="EV62" s="169">
        <f>IF(ISNUMBER(I62),I62,2958465)</f>
        <v>2958465.0</v>
      </c>
      <c r="EW62" s="169" t="str">
        <f>IF(EO62=1,SUMPRODUCT(MIN(($EN$4:$EN$503=EN62)*$EV$4:$EV$503+($EN$4:$EN$503&lt;&gt;EN62)*2958465)),"")</f>
        <v/>
      </c>
      <c r="EX62" s="169">
        <f>IF(AND(D62=1,ISNUMBER(INDEX(Charge!$F:$F,ROW()))),INDEX(Charge!$F:$F,ROW()),0)</f>
        <v>0.0</v>
      </c>
      <c r="EY62" s="169"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c r="FF62" t="str">
        <f>IF(B62=1,LEFT(SUBSTITUTE(SUBSTITUTE(SUBSTITUTE(TRIM(SUBSTITUTE(INDEX(Charge!$B:$B,ROW()),CHAR(160)," "))&amp;" | "&amp;TRIM(SUBSTITUTE(INDEX(Charge!$C:$C,ROW()),CHAR(160)," "))&amp;" | "&amp;TRIM(SUBSTITUTE(INDEX(Charge!$D:$D,ROW()),CHAR(160)," ")),"~","-"),"*","+"),"?","!"),240),"")</f>
        <v/>
      </c>
      <c r="FG62">
        <f>IF(B62=1,MAX(0,N(INDEX(Charge!$M:$M,ROW()))),0)</f>
        <v>0</v>
      </c>
      <c r="FH62" s="170" t="str">
        <f>IF(EO62=1,ROUND(SUMIF($FF$4:$FF$503,EN62,$FG$4:$FG$503),2),"")</f>
        <v/>
      </c>
      <c r="FI62" s="170" t="str">
        <f>IF(EO62=1,ROUND(SUMPRODUCT(($FF$4:$FF$503=EN62)*$FG$4:$FG$503*$C$4:$C$503),2),"")</f>
        <v/>
      </c>
      <c r="FJ62" s="170" t="str">
        <f>IF(EO62=1,MAX(0,ROUND(FH62-FI62,2)),"")</f>
        <v/>
      </c>
      <c r="FK62" s="174" t="str">
        <f>IF(EO62=1,IF(OR(EW62&gt;=2958465,EY62=0,EY62&lt;=EW62),"",IF(TODAY()&lt;=EW62,0,IF(TODAY()&gt;EY62,1,IFERROR(NETWORKDAYS(EW62,TODAY()-1,Data!$K$4:$K$203)/NETWORKDAYS(EW62,EY62,Data!$K$4:$K$203),"")))),"")</f>
        <v/>
      </c>
      <c r="FL62" t="str">
        <f>IF(EO62=1,IF(AND(EY62&gt;0,EY62&lt;TODAY(),ROUND(EU62,4)&lt;1),2,IF(FK62="",0,IF(ROUND(EU62-FK62,4)&lt;-0.15,1,0))),"")</f>
        <v/>
      </c>
      <c r="FM62">
        <f>IF(OR(FA62="",COUNTIF($FA$4:FA61,FA62)&gt;0),0,MAX(0,IF(FB62="Interne",IF(ISNUMBER(INDEX(Data!$F:$F,62)),INDEX(Data!$F:$F,62),p_HeuresETP),IF(ISNUMBER(INDEX(Data!$I:$I,62-$CD$23)),INDEX(Data!$I:$I,62-$CD$23),p_HeuresETP))-IF(FB62="Interne",IF(ISNUMBER(INDEX(Data!$G:$G,62)),INDEX(Data!$G:$G,62),p_ChargeFixe),IF(ISNUMBER(INDEX(Data!$J:$J,62-$CD$23)),INDEX(Data!$J:$J,62-$CD$23),p_ChargeFixe))))</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9" t="str">
        <f>IF(AND(D63=1,ISNUMBER(INDEX(Charge!$N:$N,ROW()))),INDEX(Charge!$N:$N,ROW()),"")</f>
        <v/>
      </c>
      <c r="J63" s="169"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70">
        <f>IF(OR($I63="",$E63=0),0,IF(OR($J63&lt;W$3,$I63&gt;W$2),0,IF($K63=0,IF(AND($I63&gt;=W$3,$I63&lt;=W$2),$E63,0),$E63*NETWORKDAYS(MAX($I63,W$3),MIN($J63,W$2),Data!$K$4:$K$203)/$K63)))</f>
        <v>0</v>
      </c>
      <c r="X63" s="170">
        <f>IF(OR($I63="",$E63=0),0,IF(OR($J63&lt;X$3,$I63&gt;X$2),0,IF($K63=0,IF(AND($I63&gt;=X$3,$I63&lt;=X$2),$E63,0),$E63*NETWORKDAYS(MAX($I63,X$3),MIN($J63,X$2),Data!$K$4:$K$203)/$K63)))</f>
        <v>0</v>
      </c>
      <c r="Y63" s="170">
        <f>IF(OR($I63="",$E63=0),0,IF(OR($J63&lt;Y$3,$I63&gt;Y$2),0,IF($K63=0,IF(AND($I63&gt;=Y$3,$I63&lt;=Y$2),$E63,0),$E63*NETWORKDAYS(MAX($I63,Y$3),MIN($J63,Y$2),Data!$K$4:$K$203)/$K63)))</f>
        <v>0</v>
      </c>
      <c r="Z63" s="170">
        <f>IF(OR($I63="",$E63=0),0,IF(OR($J63&lt;Z$3,$I63&gt;Z$2),0,IF($K63=0,IF(AND($I63&gt;=Z$3,$I63&lt;=Z$2),$E63,0),$E63*NETWORKDAYS(MAX($I63,Z$3),MIN($J63,Z$2),Data!$K$4:$K$203)/$K63)))</f>
        <v>0</v>
      </c>
      <c r="AA63" s="170">
        <f>IF(OR($I63="",$E63=0),0,IF(OR($J63&lt;AA$3,$I63&gt;AA$2),0,IF($K63=0,IF(AND($I63&gt;=AA$3,$I63&lt;=AA$2),$E63,0),$E63*NETWORKDAYS(MAX($I63,AA$3),MIN($J63,AA$2),Data!$K$4:$K$203)/$K63)))</f>
        <v>0</v>
      </c>
      <c r="AB63" s="170">
        <f>IF(OR($I63="",$E63=0),0,IF(OR($J63&lt;AB$3,$I63&gt;AB$2),0,IF($K63=0,IF(AND($I63&gt;=AB$3,$I63&lt;=AB$2),$E63,0),$E63*NETWORKDAYS(MAX($I63,AB$3),MIN($J63,AB$2),Data!$K$4:$K$203)/$K63)))</f>
        <v>0</v>
      </c>
      <c r="AC63" s="170">
        <f>IF(OR($I63="",$E63=0),0,IF(OR($J63&lt;AC$3,$I63&gt;AC$2),0,IF($K63=0,IF(AND($I63&gt;=AC$3,$I63&lt;=AC$2),$E63,0),$E63*NETWORKDAYS(MAX($I63,AC$3),MIN($J63,AC$2),Data!$K$4:$K$203)/$K63)))</f>
        <v>0</v>
      </c>
      <c r="AD63" s="170">
        <f>IF(OR($I63="",$E63=0),0,IF(OR($J63&lt;AD$3,$I63&gt;AD$2),0,IF($K63=0,IF(AND($I63&gt;=AD$3,$I63&lt;=AD$2),$E63,0),$E63*NETWORKDAYS(MAX($I63,AD$3),MIN($J63,AD$2),Data!$K$4:$K$203)/$K63)))</f>
        <v>0</v>
      </c>
      <c r="AE63" s="170">
        <f>IF(OR($I63="",$E63=0),0,IF(OR($J63&lt;AE$3,$I63&gt;AE$2),0,IF($K63=0,IF(AND($I63&gt;=AE$3,$I63&lt;=AE$2),$E63,0),$E63*NETWORKDAYS(MAX($I63,AE$3),MIN($J63,AE$2),Data!$K$4:$K$203)/$K63)))</f>
        <v>0</v>
      </c>
      <c r="AF63" s="170">
        <f>IF(OR($I63="",$E63=0),0,IF(OR($J63&lt;AF$3,$I63&gt;AF$2),0,IF($K63=0,IF(AND($I63&gt;=AF$3,$I63&lt;=AF$2),$E63,0),$E63*NETWORKDAYS(MAX($I63,AF$3),MIN($J63,AF$2),Data!$K$4:$K$203)/$K63)))</f>
        <v>0</v>
      </c>
      <c r="AG63" s="170">
        <f>IF(OR($I63="",$E63=0),0,IF(OR($J63&lt;AG$3,$I63&gt;AG$2),0,IF($K63=0,IF(AND($I63&gt;=AG$3,$I63&lt;=AG$2),$E63,0),$E63*NETWORKDAYS(MAX($I63,AG$3),MIN($J63,AG$2),Data!$K$4:$K$203)/$K63)))</f>
        <v>0</v>
      </c>
      <c r="AH63" s="170">
        <f>IF(OR($I63="",$E63=0),0,IF(OR($J63&lt;AH$3,$I63&gt;AH$2),0,IF($K63=0,IF(AND($I63&gt;=AH$3,$I63&lt;=AH$2),$E63,0),$E63*NETWORKDAYS(MAX($I63,AH$3),MIN($J63,AH$2),Data!$K$4:$K$203)/$K63)))</f>
        <v>0</v>
      </c>
      <c r="AI63" s="170">
        <f>SUM(W63:AH63)</f>
        <v>0</v>
      </c>
      <c r="BW63" t="n">
        <v>60</v>
      </c>
      <c r="BX63" t="str">
        <f>IFERROR(MATCH(BW63,$EQ$4:$EQ$503,0),"")</f>
        <v/>
      </c>
      <c r="BY63" t="str">
        <f>IF(BX63="","",INDEX($FL$4:$FL$503,BX63))</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70"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4" t="str">
        <f>IF(EO63=1,IF(FH63&gt;0,FI63/FH63,AVERAGEIF($FF$4:$FF$503,EN63,$C$4:$C$503)),"")</f>
        <v/>
      </c>
      <c r="EV63" s="169">
        <f>IF(ISNUMBER(I63),I63,2958465)</f>
        <v>2958465.0</v>
      </c>
      <c r="EW63" s="169" t="str">
        <f>IF(EO63=1,SUMPRODUCT(MIN(($EN$4:$EN$503=EN63)*$EV$4:$EV$503+($EN$4:$EN$503&lt;&gt;EN63)*2958465)),"")</f>
        <v/>
      </c>
      <c r="EX63" s="169">
        <f>IF(AND(D63=1,ISNUMBER(INDEX(Charge!$F:$F,ROW()))),INDEX(Charge!$F:$F,ROW()),0)</f>
        <v>0.0</v>
      </c>
      <c r="EY63" s="169"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c r="FF63" t="str">
        <f>IF(B63=1,LEFT(SUBSTITUTE(SUBSTITUTE(SUBSTITUTE(TRIM(SUBSTITUTE(INDEX(Charge!$B:$B,ROW()),CHAR(160)," "))&amp;" | "&amp;TRIM(SUBSTITUTE(INDEX(Charge!$C:$C,ROW()),CHAR(160)," "))&amp;" | "&amp;TRIM(SUBSTITUTE(INDEX(Charge!$D:$D,ROW()),CHAR(160)," ")),"~","-"),"*","+"),"?","!"),240),"")</f>
        <v/>
      </c>
      <c r="FG63">
        <f>IF(B63=1,MAX(0,N(INDEX(Charge!$M:$M,ROW()))),0)</f>
        <v>0</v>
      </c>
      <c r="FH63" s="170" t="str">
        <f>IF(EO63=1,ROUND(SUMIF($FF$4:$FF$503,EN63,$FG$4:$FG$503),2),"")</f>
        <v/>
      </c>
      <c r="FI63" s="170" t="str">
        <f>IF(EO63=1,ROUND(SUMPRODUCT(($FF$4:$FF$503=EN63)*$FG$4:$FG$503*$C$4:$C$503),2),"")</f>
        <v/>
      </c>
      <c r="FJ63" s="170" t="str">
        <f>IF(EO63=1,MAX(0,ROUND(FH63-FI63,2)),"")</f>
        <v/>
      </c>
      <c r="FK63" s="174" t="str">
        <f>IF(EO63=1,IF(OR(EW63&gt;=2958465,EY63=0,EY63&lt;=EW63),"",IF(TODAY()&lt;=EW63,0,IF(TODAY()&gt;EY63,1,IFERROR(NETWORKDAYS(EW63,TODAY()-1,Data!$K$4:$K$203)/NETWORKDAYS(EW63,EY63,Data!$K$4:$K$203),"")))),"")</f>
        <v/>
      </c>
      <c r="FL63" t="str">
        <f>IF(EO63=1,IF(AND(EY63&gt;0,EY63&lt;TODAY(),ROUND(EU63,4)&lt;1),2,IF(FK63="",0,IF(ROUND(EU63-FK63,4)&lt;-0.15,1,0))),"")</f>
        <v/>
      </c>
      <c r="FM63">
        <f>IF(OR(FA63="",COUNTIF($FA$4:FA62,FA63)&gt;0),0,MAX(0,IF(FB63="Interne",IF(ISNUMBER(INDEX(Data!$F:$F,63)),INDEX(Data!$F:$F,63),p_HeuresETP),IF(ISNUMBER(INDEX(Data!$I:$I,63-$CD$23)),INDEX(Data!$I:$I,63-$CD$23),p_HeuresETP))-IF(FB63="Interne",IF(ISNUMBER(INDEX(Data!$G:$G,63)),INDEX(Data!$G:$G,63),p_ChargeFixe),IF(ISNUMBER(INDEX(Data!$J:$J,63-$CD$23)),INDEX(Data!$J:$J,63-$CD$23),p_ChargeFixe))))</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9" t="str">
        <f>IF(AND(D64=1,ISNUMBER(INDEX(Charge!$N:$N,ROW()))),INDEX(Charge!$N:$N,ROW()),"")</f>
        <v/>
      </c>
      <c r="J64" s="169"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70">
        <f>IF(OR($I64="",$E64=0),0,IF(OR($J64&lt;W$3,$I64&gt;W$2),0,IF($K64=0,IF(AND($I64&gt;=W$3,$I64&lt;=W$2),$E64,0),$E64*NETWORKDAYS(MAX($I64,W$3),MIN($J64,W$2),Data!$K$4:$K$203)/$K64)))</f>
        <v>0</v>
      </c>
      <c r="X64" s="170">
        <f>IF(OR($I64="",$E64=0),0,IF(OR($J64&lt;X$3,$I64&gt;X$2),0,IF($K64=0,IF(AND($I64&gt;=X$3,$I64&lt;=X$2),$E64,0),$E64*NETWORKDAYS(MAX($I64,X$3),MIN($J64,X$2),Data!$K$4:$K$203)/$K64)))</f>
        <v>0</v>
      </c>
      <c r="Y64" s="170">
        <f>IF(OR($I64="",$E64=0),0,IF(OR($J64&lt;Y$3,$I64&gt;Y$2),0,IF($K64=0,IF(AND($I64&gt;=Y$3,$I64&lt;=Y$2),$E64,0),$E64*NETWORKDAYS(MAX($I64,Y$3),MIN($J64,Y$2),Data!$K$4:$K$203)/$K64)))</f>
        <v>0</v>
      </c>
      <c r="Z64" s="170">
        <f>IF(OR($I64="",$E64=0),0,IF(OR($J64&lt;Z$3,$I64&gt;Z$2),0,IF($K64=0,IF(AND($I64&gt;=Z$3,$I64&lt;=Z$2),$E64,0),$E64*NETWORKDAYS(MAX($I64,Z$3),MIN($J64,Z$2),Data!$K$4:$K$203)/$K64)))</f>
        <v>0</v>
      </c>
      <c r="AA64" s="170">
        <f>IF(OR($I64="",$E64=0),0,IF(OR($J64&lt;AA$3,$I64&gt;AA$2),0,IF($K64=0,IF(AND($I64&gt;=AA$3,$I64&lt;=AA$2),$E64,0),$E64*NETWORKDAYS(MAX($I64,AA$3),MIN($J64,AA$2),Data!$K$4:$K$203)/$K64)))</f>
        <v>0</v>
      </c>
      <c r="AB64" s="170">
        <f>IF(OR($I64="",$E64=0),0,IF(OR($J64&lt;AB$3,$I64&gt;AB$2),0,IF($K64=0,IF(AND($I64&gt;=AB$3,$I64&lt;=AB$2),$E64,0),$E64*NETWORKDAYS(MAX($I64,AB$3),MIN($J64,AB$2),Data!$K$4:$K$203)/$K64)))</f>
        <v>0</v>
      </c>
      <c r="AC64" s="170">
        <f>IF(OR($I64="",$E64=0),0,IF(OR($J64&lt;AC$3,$I64&gt;AC$2),0,IF($K64=0,IF(AND($I64&gt;=AC$3,$I64&lt;=AC$2),$E64,0),$E64*NETWORKDAYS(MAX($I64,AC$3),MIN($J64,AC$2),Data!$K$4:$K$203)/$K64)))</f>
        <v>0</v>
      </c>
      <c r="AD64" s="170">
        <f>IF(OR($I64="",$E64=0),0,IF(OR($J64&lt;AD$3,$I64&gt;AD$2),0,IF($K64=0,IF(AND($I64&gt;=AD$3,$I64&lt;=AD$2),$E64,0),$E64*NETWORKDAYS(MAX($I64,AD$3),MIN($J64,AD$2),Data!$K$4:$K$203)/$K64)))</f>
        <v>0</v>
      </c>
      <c r="AE64" s="170">
        <f>IF(OR($I64="",$E64=0),0,IF(OR($J64&lt;AE$3,$I64&gt;AE$2),0,IF($K64=0,IF(AND($I64&gt;=AE$3,$I64&lt;=AE$2),$E64,0),$E64*NETWORKDAYS(MAX($I64,AE$3),MIN($J64,AE$2),Data!$K$4:$K$203)/$K64)))</f>
        <v>0</v>
      </c>
      <c r="AF64" s="170">
        <f>IF(OR($I64="",$E64=0),0,IF(OR($J64&lt;AF$3,$I64&gt;AF$2),0,IF($K64=0,IF(AND($I64&gt;=AF$3,$I64&lt;=AF$2),$E64,0),$E64*NETWORKDAYS(MAX($I64,AF$3),MIN($J64,AF$2),Data!$K$4:$K$203)/$K64)))</f>
        <v>0</v>
      </c>
      <c r="AG64" s="170">
        <f>IF(OR($I64="",$E64=0),0,IF(OR($J64&lt;AG$3,$I64&gt;AG$2),0,IF($K64=0,IF(AND($I64&gt;=AG$3,$I64&lt;=AG$2),$E64,0),$E64*NETWORKDAYS(MAX($I64,AG$3),MIN($J64,AG$2),Data!$K$4:$K$203)/$K64)))</f>
        <v>0</v>
      </c>
      <c r="AH64" s="170">
        <f>IF(OR($I64="",$E64=0),0,IF(OR($J64&lt;AH$3,$I64&gt;AH$2),0,IF($K64=0,IF(AND($I64&gt;=AH$3,$I64&lt;=AH$2),$E64,0),$E64*NETWORKDAYS(MAX($I64,AH$3),MIN($J64,AH$2),Data!$K$4:$K$203)/$K64)))</f>
        <v>0</v>
      </c>
      <c r="AI64" s="170">
        <f>SUM(W64:AH64)</f>
        <v>0</v>
      </c>
      <c r="BW64" t="n">
        <v>61</v>
      </c>
      <c r="BX64" t="str">
        <f>IFERROR(MATCH(BW64,$EQ$4:$EQ$503,0),"")</f>
        <v/>
      </c>
      <c r="BY64" t="str">
        <f>IF(BX64="","",INDEX($FL$4:$FL$503,BX64))</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70"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4" t="str">
        <f>IF(EO64=1,IF(FH64&gt;0,FI64/FH64,AVERAGEIF($FF$4:$FF$503,EN64,$C$4:$C$503)),"")</f>
        <v/>
      </c>
      <c r="EV64" s="169">
        <f>IF(ISNUMBER(I64),I64,2958465)</f>
        <v>2958465.0</v>
      </c>
      <c r="EW64" s="169" t="str">
        <f>IF(EO64=1,SUMPRODUCT(MIN(($EN$4:$EN$503=EN64)*$EV$4:$EV$503+($EN$4:$EN$503&lt;&gt;EN64)*2958465)),"")</f>
        <v/>
      </c>
      <c r="EX64" s="169">
        <f>IF(AND(D64=1,ISNUMBER(INDEX(Charge!$F:$F,ROW()))),INDEX(Charge!$F:$F,ROW()),0)</f>
        <v>0.0</v>
      </c>
      <c r="EY64" s="169"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c r="FF64" t="str">
        <f>IF(B64=1,LEFT(SUBSTITUTE(SUBSTITUTE(SUBSTITUTE(TRIM(SUBSTITUTE(INDEX(Charge!$B:$B,ROW()),CHAR(160)," "))&amp;" | "&amp;TRIM(SUBSTITUTE(INDEX(Charge!$C:$C,ROW()),CHAR(160)," "))&amp;" | "&amp;TRIM(SUBSTITUTE(INDEX(Charge!$D:$D,ROW()),CHAR(160)," ")),"~","-"),"*","+"),"?","!"),240),"")</f>
        <v/>
      </c>
      <c r="FG64">
        <f>IF(B64=1,MAX(0,N(INDEX(Charge!$M:$M,ROW()))),0)</f>
        <v>0</v>
      </c>
      <c r="FH64" s="170" t="str">
        <f>IF(EO64=1,ROUND(SUMIF($FF$4:$FF$503,EN64,$FG$4:$FG$503),2),"")</f>
        <v/>
      </c>
      <c r="FI64" s="170" t="str">
        <f>IF(EO64=1,ROUND(SUMPRODUCT(($FF$4:$FF$503=EN64)*$FG$4:$FG$503*$C$4:$C$503),2),"")</f>
        <v/>
      </c>
      <c r="FJ64" s="170" t="str">
        <f>IF(EO64=1,MAX(0,ROUND(FH64-FI64,2)),"")</f>
        <v/>
      </c>
      <c r="FK64" s="174" t="str">
        <f>IF(EO64=1,IF(OR(EW64&gt;=2958465,EY64=0,EY64&lt;=EW64),"",IF(TODAY()&lt;=EW64,0,IF(TODAY()&gt;EY64,1,IFERROR(NETWORKDAYS(EW64,TODAY()-1,Data!$K$4:$K$203)/NETWORKDAYS(EW64,EY64,Data!$K$4:$K$203),"")))),"")</f>
        <v/>
      </c>
      <c r="FL64" t="str">
        <f>IF(EO64=1,IF(AND(EY64&gt;0,EY64&lt;TODAY(),ROUND(EU64,4)&lt;1),2,IF(FK64="",0,IF(ROUND(EU64-FK64,4)&lt;-0.15,1,0))),"")</f>
        <v/>
      </c>
      <c r="FM64">
        <f>IF(OR(FA64="",COUNTIF($FA$4:FA63,FA64)&gt;0),0,MAX(0,IF(FB64="Interne",IF(ISNUMBER(INDEX(Data!$F:$F,64)),INDEX(Data!$F:$F,64),p_HeuresETP),IF(ISNUMBER(INDEX(Data!$I:$I,64-$CD$23)),INDEX(Data!$I:$I,64-$CD$23),p_HeuresETP))-IF(FB64="Interne",IF(ISNUMBER(INDEX(Data!$G:$G,64)),INDEX(Data!$G:$G,64),p_ChargeFixe),IF(ISNUMBER(INDEX(Data!$J:$J,64-$CD$23)),INDEX(Data!$J:$J,64-$CD$23),p_ChargeFixe))))</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9" t="str">
        <f>IF(AND(D65=1,ISNUMBER(INDEX(Charge!$N:$N,ROW()))),INDEX(Charge!$N:$N,ROW()),"")</f>
        <v/>
      </c>
      <c r="J65" s="169"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70">
        <f>IF(OR($I65="",$E65=0),0,IF(OR($J65&lt;W$3,$I65&gt;W$2),0,IF($K65=0,IF(AND($I65&gt;=W$3,$I65&lt;=W$2),$E65,0),$E65*NETWORKDAYS(MAX($I65,W$3),MIN($J65,W$2),Data!$K$4:$K$203)/$K65)))</f>
        <v>0</v>
      </c>
      <c r="X65" s="170">
        <f>IF(OR($I65="",$E65=0),0,IF(OR($J65&lt;X$3,$I65&gt;X$2),0,IF($K65=0,IF(AND($I65&gt;=X$3,$I65&lt;=X$2),$E65,0),$E65*NETWORKDAYS(MAX($I65,X$3),MIN($J65,X$2),Data!$K$4:$K$203)/$K65)))</f>
        <v>0</v>
      </c>
      <c r="Y65" s="170">
        <f>IF(OR($I65="",$E65=0),0,IF(OR($J65&lt;Y$3,$I65&gt;Y$2),0,IF($K65=0,IF(AND($I65&gt;=Y$3,$I65&lt;=Y$2),$E65,0),$E65*NETWORKDAYS(MAX($I65,Y$3),MIN($J65,Y$2),Data!$K$4:$K$203)/$K65)))</f>
        <v>0</v>
      </c>
      <c r="Z65" s="170">
        <f>IF(OR($I65="",$E65=0),0,IF(OR($J65&lt;Z$3,$I65&gt;Z$2),0,IF($K65=0,IF(AND($I65&gt;=Z$3,$I65&lt;=Z$2),$E65,0),$E65*NETWORKDAYS(MAX($I65,Z$3),MIN($J65,Z$2),Data!$K$4:$K$203)/$K65)))</f>
        <v>0</v>
      </c>
      <c r="AA65" s="170">
        <f>IF(OR($I65="",$E65=0),0,IF(OR($J65&lt;AA$3,$I65&gt;AA$2),0,IF($K65=0,IF(AND($I65&gt;=AA$3,$I65&lt;=AA$2),$E65,0),$E65*NETWORKDAYS(MAX($I65,AA$3),MIN($J65,AA$2),Data!$K$4:$K$203)/$K65)))</f>
        <v>0</v>
      </c>
      <c r="AB65" s="170">
        <f>IF(OR($I65="",$E65=0),0,IF(OR($J65&lt;AB$3,$I65&gt;AB$2),0,IF($K65=0,IF(AND($I65&gt;=AB$3,$I65&lt;=AB$2),$E65,0),$E65*NETWORKDAYS(MAX($I65,AB$3),MIN($J65,AB$2),Data!$K$4:$K$203)/$K65)))</f>
        <v>0</v>
      </c>
      <c r="AC65" s="170">
        <f>IF(OR($I65="",$E65=0),0,IF(OR($J65&lt;AC$3,$I65&gt;AC$2),0,IF($K65=0,IF(AND($I65&gt;=AC$3,$I65&lt;=AC$2),$E65,0),$E65*NETWORKDAYS(MAX($I65,AC$3),MIN($J65,AC$2),Data!$K$4:$K$203)/$K65)))</f>
        <v>0</v>
      </c>
      <c r="AD65" s="170">
        <f>IF(OR($I65="",$E65=0),0,IF(OR($J65&lt;AD$3,$I65&gt;AD$2),0,IF($K65=0,IF(AND($I65&gt;=AD$3,$I65&lt;=AD$2),$E65,0),$E65*NETWORKDAYS(MAX($I65,AD$3),MIN($J65,AD$2),Data!$K$4:$K$203)/$K65)))</f>
        <v>0</v>
      </c>
      <c r="AE65" s="170">
        <f>IF(OR($I65="",$E65=0),0,IF(OR($J65&lt;AE$3,$I65&gt;AE$2),0,IF($K65=0,IF(AND($I65&gt;=AE$3,$I65&lt;=AE$2),$E65,0),$E65*NETWORKDAYS(MAX($I65,AE$3),MIN($J65,AE$2),Data!$K$4:$K$203)/$K65)))</f>
        <v>0</v>
      </c>
      <c r="AF65" s="170">
        <f>IF(OR($I65="",$E65=0),0,IF(OR($J65&lt;AF$3,$I65&gt;AF$2),0,IF($K65=0,IF(AND($I65&gt;=AF$3,$I65&lt;=AF$2),$E65,0),$E65*NETWORKDAYS(MAX($I65,AF$3),MIN($J65,AF$2),Data!$K$4:$K$203)/$K65)))</f>
        <v>0</v>
      </c>
      <c r="AG65" s="170">
        <f>IF(OR($I65="",$E65=0),0,IF(OR($J65&lt;AG$3,$I65&gt;AG$2),0,IF($K65=0,IF(AND($I65&gt;=AG$3,$I65&lt;=AG$2),$E65,0),$E65*NETWORKDAYS(MAX($I65,AG$3),MIN($J65,AG$2),Data!$K$4:$K$203)/$K65)))</f>
        <v>0</v>
      </c>
      <c r="AH65" s="170">
        <f>IF(OR($I65="",$E65=0),0,IF(OR($J65&lt;AH$3,$I65&gt;AH$2),0,IF($K65=0,IF(AND($I65&gt;=AH$3,$I65&lt;=AH$2),$E65,0),$E65*NETWORKDAYS(MAX($I65,AH$3),MIN($J65,AH$2),Data!$K$4:$K$203)/$K65)))</f>
        <v>0</v>
      </c>
      <c r="AI65" s="170">
        <f>SUM(W65:AH65)</f>
        <v>0</v>
      </c>
      <c r="BW65" t="n">
        <v>62</v>
      </c>
      <c r="BX65" t="str">
        <f>IFERROR(MATCH(BW65,$EQ$4:$EQ$503,0),"")</f>
        <v/>
      </c>
      <c r="BY65" t="str">
        <f>IF(BX65="","",INDEX($FL$4:$FL$503,BX65))</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70"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4" t="str">
        <f>IF(EO65=1,IF(FH65&gt;0,FI65/FH65,AVERAGEIF($FF$4:$FF$503,EN65,$C$4:$C$503)),"")</f>
        <v/>
      </c>
      <c r="EV65" s="169">
        <f>IF(ISNUMBER(I65),I65,2958465)</f>
        <v>2958465.0</v>
      </c>
      <c r="EW65" s="169" t="str">
        <f>IF(EO65=1,SUMPRODUCT(MIN(($EN$4:$EN$503=EN65)*$EV$4:$EV$503+($EN$4:$EN$503&lt;&gt;EN65)*2958465)),"")</f>
        <v/>
      </c>
      <c r="EX65" s="169">
        <f>IF(AND(D65=1,ISNUMBER(INDEX(Charge!$F:$F,ROW()))),INDEX(Charge!$F:$F,ROW()),0)</f>
        <v>0.0</v>
      </c>
      <c r="EY65" s="169"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c r="FF65" t="str">
        <f>IF(B65=1,LEFT(SUBSTITUTE(SUBSTITUTE(SUBSTITUTE(TRIM(SUBSTITUTE(INDEX(Charge!$B:$B,ROW()),CHAR(160)," "))&amp;" | "&amp;TRIM(SUBSTITUTE(INDEX(Charge!$C:$C,ROW()),CHAR(160)," "))&amp;" | "&amp;TRIM(SUBSTITUTE(INDEX(Charge!$D:$D,ROW()),CHAR(160)," ")),"~","-"),"*","+"),"?","!"),240),"")</f>
        <v/>
      </c>
      <c r="FG65">
        <f>IF(B65=1,MAX(0,N(INDEX(Charge!$M:$M,ROW()))),0)</f>
        <v>0</v>
      </c>
      <c r="FH65" s="170" t="str">
        <f>IF(EO65=1,ROUND(SUMIF($FF$4:$FF$503,EN65,$FG$4:$FG$503),2),"")</f>
        <v/>
      </c>
      <c r="FI65" s="170" t="str">
        <f>IF(EO65=1,ROUND(SUMPRODUCT(($FF$4:$FF$503=EN65)*$FG$4:$FG$503*$C$4:$C$503),2),"")</f>
        <v/>
      </c>
      <c r="FJ65" s="170" t="str">
        <f>IF(EO65=1,MAX(0,ROUND(FH65-FI65,2)),"")</f>
        <v/>
      </c>
      <c r="FK65" s="174" t="str">
        <f>IF(EO65=1,IF(OR(EW65&gt;=2958465,EY65=0,EY65&lt;=EW65),"",IF(TODAY()&lt;=EW65,0,IF(TODAY()&gt;EY65,1,IFERROR(NETWORKDAYS(EW65,TODAY()-1,Data!$K$4:$K$203)/NETWORKDAYS(EW65,EY65,Data!$K$4:$K$203),"")))),"")</f>
        <v/>
      </c>
      <c r="FL65" t="str">
        <f>IF(EO65=1,IF(AND(EY65&gt;0,EY65&lt;TODAY(),ROUND(EU65,4)&lt;1),2,IF(FK65="",0,IF(ROUND(EU65-FK65,4)&lt;-0.15,1,0))),"")</f>
        <v/>
      </c>
      <c r="FM65">
        <f>IF(OR(FA65="",COUNTIF($FA$4:FA64,FA65)&gt;0),0,MAX(0,IF(FB65="Interne",IF(ISNUMBER(INDEX(Data!$F:$F,65)),INDEX(Data!$F:$F,65),p_HeuresETP),IF(ISNUMBER(INDEX(Data!$I:$I,65-$CD$23)),INDEX(Data!$I:$I,65-$CD$23),p_HeuresETP))-IF(FB65="Interne",IF(ISNUMBER(INDEX(Data!$G:$G,65)),INDEX(Data!$G:$G,65),p_ChargeFixe),IF(ISNUMBER(INDEX(Data!$J:$J,65-$CD$23)),INDEX(Data!$J:$J,65-$CD$23),p_ChargeFixe))))</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9" t="str">
        <f>IF(AND(D66=1,ISNUMBER(INDEX(Charge!$N:$N,ROW()))),INDEX(Charge!$N:$N,ROW()),"")</f>
        <v/>
      </c>
      <c r="J66" s="169"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70">
        <f>IF(OR($I66="",$E66=0),0,IF(OR($J66&lt;W$3,$I66&gt;W$2),0,IF($K66=0,IF(AND($I66&gt;=W$3,$I66&lt;=W$2),$E66,0),$E66*NETWORKDAYS(MAX($I66,W$3),MIN($J66,W$2),Data!$K$4:$K$203)/$K66)))</f>
        <v>0</v>
      </c>
      <c r="X66" s="170">
        <f>IF(OR($I66="",$E66=0),0,IF(OR($J66&lt;X$3,$I66&gt;X$2),0,IF($K66=0,IF(AND($I66&gt;=X$3,$I66&lt;=X$2),$E66,0),$E66*NETWORKDAYS(MAX($I66,X$3),MIN($J66,X$2),Data!$K$4:$K$203)/$K66)))</f>
        <v>0</v>
      </c>
      <c r="Y66" s="170">
        <f>IF(OR($I66="",$E66=0),0,IF(OR($J66&lt;Y$3,$I66&gt;Y$2),0,IF($K66=0,IF(AND($I66&gt;=Y$3,$I66&lt;=Y$2),$E66,0),$E66*NETWORKDAYS(MAX($I66,Y$3),MIN($J66,Y$2),Data!$K$4:$K$203)/$K66)))</f>
        <v>0</v>
      </c>
      <c r="Z66" s="170">
        <f>IF(OR($I66="",$E66=0),0,IF(OR($J66&lt;Z$3,$I66&gt;Z$2),0,IF($K66=0,IF(AND($I66&gt;=Z$3,$I66&lt;=Z$2),$E66,0),$E66*NETWORKDAYS(MAX($I66,Z$3),MIN($J66,Z$2),Data!$K$4:$K$203)/$K66)))</f>
        <v>0</v>
      </c>
      <c r="AA66" s="170">
        <f>IF(OR($I66="",$E66=0),0,IF(OR($J66&lt;AA$3,$I66&gt;AA$2),0,IF($K66=0,IF(AND($I66&gt;=AA$3,$I66&lt;=AA$2),$E66,0),$E66*NETWORKDAYS(MAX($I66,AA$3),MIN($J66,AA$2),Data!$K$4:$K$203)/$K66)))</f>
        <v>0</v>
      </c>
      <c r="AB66" s="170">
        <f>IF(OR($I66="",$E66=0),0,IF(OR($J66&lt;AB$3,$I66&gt;AB$2),0,IF($K66=0,IF(AND($I66&gt;=AB$3,$I66&lt;=AB$2),$E66,0),$E66*NETWORKDAYS(MAX($I66,AB$3),MIN($J66,AB$2),Data!$K$4:$K$203)/$K66)))</f>
        <v>0</v>
      </c>
      <c r="AC66" s="170">
        <f>IF(OR($I66="",$E66=0),0,IF(OR($J66&lt;AC$3,$I66&gt;AC$2),0,IF($K66=0,IF(AND($I66&gt;=AC$3,$I66&lt;=AC$2),$E66,0),$E66*NETWORKDAYS(MAX($I66,AC$3),MIN($J66,AC$2),Data!$K$4:$K$203)/$K66)))</f>
        <v>0</v>
      </c>
      <c r="AD66" s="170">
        <f>IF(OR($I66="",$E66=0),0,IF(OR($J66&lt;AD$3,$I66&gt;AD$2),0,IF($K66=0,IF(AND($I66&gt;=AD$3,$I66&lt;=AD$2),$E66,0),$E66*NETWORKDAYS(MAX($I66,AD$3),MIN($J66,AD$2),Data!$K$4:$K$203)/$K66)))</f>
        <v>0</v>
      </c>
      <c r="AE66" s="170">
        <f>IF(OR($I66="",$E66=0),0,IF(OR($J66&lt;AE$3,$I66&gt;AE$2),0,IF($K66=0,IF(AND($I66&gt;=AE$3,$I66&lt;=AE$2),$E66,0),$E66*NETWORKDAYS(MAX($I66,AE$3),MIN($J66,AE$2),Data!$K$4:$K$203)/$K66)))</f>
        <v>0</v>
      </c>
      <c r="AF66" s="170">
        <f>IF(OR($I66="",$E66=0),0,IF(OR($J66&lt;AF$3,$I66&gt;AF$2),0,IF($K66=0,IF(AND($I66&gt;=AF$3,$I66&lt;=AF$2),$E66,0),$E66*NETWORKDAYS(MAX($I66,AF$3),MIN($J66,AF$2),Data!$K$4:$K$203)/$K66)))</f>
        <v>0</v>
      </c>
      <c r="AG66" s="170">
        <f>IF(OR($I66="",$E66=0),0,IF(OR($J66&lt;AG$3,$I66&gt;AG$2),0,IF($K66=0,IF(AND($I66&gt;=AG$3,$I66&lt;=AG$2),$E66,0),$E66*NETWORKDAYS(MAX($I66,AG$3),MIN($J66,AG$2),Data!$K$4:$K$203)/$K66)))</f>
        <v>0</v>
      </c>
      <c r="AH66" s="170">
        <f>IF(OR($I66="",$E66=0),0,IF(OR($J66&lt;AH$3,$I66&gt;AH$2),0,IF($K66=0,IF(AND($I66&gt;=AH$3,$I66&lt;=AH$2),$E66,0),$E66*NETWORKDAYS(MAX($I66,AH$3),MIN($J66,AH$2),Data!$K$4:$K$203)/$K66)))</f>
        <v>0</v>
      </c>
      <c r="AI66" s="170">
        <f>SUM(W66:AH66)</f>
        <v>0</v>
      </c>
      <c r="BW66" t="n">
        <v>63</v>
      </c>
      <c r="BX66" t="str">
        <f>IFERROR(MATCH(BW66,$EQ$4:$EQ$503,0),"")</f>
        <v/>
      </c>
      <c r="BY66" t="str">
        <f>IF(BX66="","",INDEX($FL$4:$FL$503,BX66))</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70"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4" t="str">
        <f>IF(EO66=1,IF(FH66&gt;0,FI66/FH66,AVERAGEIF($FF$4:$FF$503,EN66,$C$4:$C$503)),"")</f>
        <v/>
      </c>
      <c r="EV66" s="169">
        <f>IF(ISNUMBER(I66),I66,2958465)</f>
        <v>2958465.0</v>
      </c>
      <c r="EW66" s="169" t="str">
        <f>IF(EO66=1,SUMPRODUCT(MIN(($EN$4:$EN$503=EN66)*$EV$4:$EV$503+($EN$4:$EN$503&lt;&gt;EN66)*2958465)),"")</f>
        <v/>
      </c>
      <c r="EX66" s="169">
        <f>IF(AND(D66=1,ISNUMBER(INDEX(Charge!$F:$F,ROW()))),INDEX(Charge!$F:$F,ROW()),0)</f>
        <v>0.0</v>
      </c>
      <c r="EY66" s="169"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c r="FF66" t="str">
        <f>IF(B66=1,LEFT(SUBSTITUTE(SUBSTITUTE(SUBSTITUTE(TRIM(SUBSTITUTE(INDEX(Charge!$B:$B,ROW()),CHAR(160)," "))&amp;" | "&amp;TRIM(SUBSTITUTE(INDEX(Charge!$C:$C,ROW()),CHAR(160)," "))&amp;" | "&amp;TRIM(SUBSTITUTE(INDEX(Charge!$D:$D,ROW()),CHAR(160)," ")),"~","-"),"*","+"),"?","!"),240),"")</f>
        <v/>
      </c>
      <c r="FG66">
        <f>IF(B66=1,MAX(0,N(INDEX(Charge!$M:$M,ROW()))),0)</f>
        <v>0</v>
      </c>
      <c r="FH66" s="170" t="str">
        <f>IF(EO66=1,ROUND(SUMIF($FF$4:$FF$503,EN66,$FG$4:$FG$503),2),"")</f>
        <v/>
      </c>
      <c r="FI66" s="170" t="str">
        <f>IF(EO66=1,ROUND(SUMPRODUCT(($FF$4:$FF$503=EN66)*$FG$4:$FG$503*$C$4:$C$503),2),"")</f>
        <v/>
      </c>
      <c r="FJ66" s="170" t="str">
        <f>IF(EO66=1,MAX(0,ROUND(FH66-FI66,2)),"")</f>
        <v/>
      </c>
      <c r="FK66" s="174" t="str">
        <f>IF(EO66=1,IF(OR(EW66&gt;=2958465,EY66=0,EY66&lt;=EW66),"",IF(TODAY()&lt;=EW66,0,IF(TODAY()&gt;EY66,1,IFERROR(NETWORKDAYS(EW66,TODAY()-1,Data!$K$4:$K$203)/NETWORKDAYS(EW66,EY66,Data!$K$4:$K$203),"")))),"")</f>
        <v/>
      </c>
      <c r="FL66" t="str">
        <f>IF(EO66=1,IF(AND(EY66&gt;0,EY66&lt;TODAY(),ROUND(EU66,4)&lt;1),2,IF(FK66="",0,IF(ROUND(EU66-FK66,4)&lt;-0.15,1,0))),"")</f>
        <v/>
      </c>
      <c r="FM66">
        <f>IF(OR(FA66="",COUNTIF($FA$4:FA65,FA66)&gt;0),0,MAX(0,IF(FB66="Interne",IF(ISNUMBER(INDEX(Data!$F:$F,66)),INDEX(Data!$F:$F,66),p_HeuresETP),IF(ISNUMBER(INDEX(Data!$I:$I,66-$CD$23)),INDEX(Data!$I:$I,66-$CD$23),p_HeuresETP))-IF(FB66="Interne",IF(ISNUMBER(INDEX(Data!$G:$G,66)),INDEX(Data!$G:$G,66),p_ChargeFixe),IF(ISNUMBER(INDEX(Data!$J:$J,66-$CD$23)),INDEX(Data!$J:$J,66-$CD$23),p_ChargeFixe))))</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9" t="str">
        <f>IF(AND(D67=1,ISNUMBER(INDEX(Charge!$N:$N,ROW()))),INDEX(Charge!$N:$N,ROW()),"")</f>
        <v/>
      </c>
      <c r="J67" s="169"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70">
        <f>IF(OR($I67="",$E67=0),0,IF(OR($J67&lt;W$3,$I67&gt;W$2),0,IF($K67=0,IF(AND($I67&gt;=W$3,$I67&lt;=W$2),$E67,0),$E67*NETWORKDAYS(MAX($I67,W$3),MIN($J67,W$2),Data!$K$4:$K$203)/$K67)))</f>
        <v>0</v>
      </c>
      <c r="X67" s="170">
        <f>IF(OR($I67="",$E67=0),0,IF(OR($J67&lt;X$3,$I67&gt;X$2),0,IF($K67=0,IF(AND($I67&gt;=X$3,$I67&lt;=X$2),$E67,0),$E67*NETWORKDAYS(MAX($I67,X$3),MIN($J67,X$2),Data!$K$4:$K$203)/$K67)))</f>
        <v>0</v>
      </c>
      <c r="Y67" s="170">
        <f>IF(OR($I67="",$E67=0),0,IF(OR($J67&lt;Y$3,$I67&gt;Y$2),0,IF($K67=0,IF(AND($I67&gt;=Y$3,$I67&lt;=Y$2),$E67,0),$E67*NETWORKDAYS(MAX($I67,Y$3),MIN($J67,Y$2),Data!$K$4:$K$203)/$K67)))</f>
        <v>0</v>
      </c>
      <c r="Z67" s="170">
        <f>IF(OR($I67="",$E67=0),0,IF(OR($J67&lt;Z$3,$I67&gt;Z$2),0,IF($K67=0,IF(AND($I67&gt;=Z$3,$I67&lt;=Z$2),$E67,0),$E67*NETWORKDAYS(MAX($I67,Z$3),MIN($J67,Z$2),Data!$K$4:$K$203)/$K67)))</f>
        <v>0</v>
      </c>
      <c r="AA67" s="170">
        <f>IF(OR($I67="",$E67=0),0,IF(OR($J67&lt;AA$3,$I67&gt;AA$2),0,IF($K67=0,IF(AND($I67&gt;=AA$3,$I67&lt;=AA$2),$E67,0),$E67*NETWORKDAYS(MAX($I67,AA$3),MIN($J67,AA$2),Data!$K$4:$K$203)/$K67)))</f>
        <v>0</v>
      </c>
      <c r="AB67" s="170">
        <f>IF(OR($I67="",$E67=0),0,IF(OR($J67&lt;AB$3,$I67&gt;AB$2),0,IF($K67=0,IF(AND($I67&gt;=AB$3,$I67&lt;=AB$2),$E67,0),$E67*NETWORKDAYS(MAX($I67,AB$3),MIN($J67,AB$2),Data!$K$4:$K$203)/$K67)))</f>
        <v>0</v>
      </c>
      <c r="AC67" s="170">
        <f>IF(OR($I67="",$E67=0),0,IF(OR($J67&lt;AC$3,$I67&gt;AC$2),0,IF($K67=0,IF(AND($I67&gt;=AC$3,$I67&lt;=AC$2),$E67,0),$E67*NETWORKDAYS(MAX($I67,AC$3),MIN($J67,AC$2),Data!$K$4:$K$203)/$K67)))</f>
        <v>0</v>
      </c>
      <c r="AD67" s="170">
        <f>IF(OR($I67="",$E67=0),0,IF(OR($J67&lt;AD$3,$I67&gt;AD$2),0,IF($K67=0,IF(AND($I67&gt;=AD$3,$I67&lt;=AD$2),$E67,0),$E67*NETWORKDAYS(MAX($I67,AD$3),MIN($J67,AD$2),Data!$K$4:$K$203)/$K67)))</f>
        <v>0</v>
      </c>
      <c r="AE67" s="170">
        <f>IF(OR($I67="",$E67=0),0,IF(OR($J67&lt;AE$3,$I67&gt;AE$2),0,IF($K67=0,IF(AND($I67&gt;=AE$3,$I67&lt;=AE$2),$E67,0),$E67*NETWORKDAYS(MAX($I67,AE$3),MIN($J67,AE$2),Data!$K$4:$K$203)/$K67)))</f>
        <v>0</v>
      </c>
      <c r="AF67" s="170">
        <f>IF(OR($I67="",$E67=0),0,IF(OR($J67&lt;AF$3,$I67&gt;AF$2),0,IF($K67=0,IF(AND($I67&gt;=AF$3,$I67&lt;=AF$2),$E67,0),$E67*NETWORKDAYS(MAX($I67,AF$3),MIN($J67,AF$2),Data!$K$4:$K$203)/$K67)))</f>
        <v>0</v>
      </c>
      <c r="AG67" s="170">
        <f>IF(OR($I67="",$E67=0),0,IF(OR($J67&lt;AG$3,$I67&gt;AG$2),0,IF($K67=0,IF(AND($I67&gt;=AG$3,$I67&lt;=AG$2),$E67,0),$E67*NETWORKDAYS(MAX($I67,AG$3),MIN($J67,AG$2),Data!$K$4:$K$203)/$K67)))</f>
        <v>0</v>
      </c>
      <c r="AH67" s="170">
        <f>IF(OR($I67="",$E67=0),0,IF(OR($J67&lt;AH$3,$I67&gt;AH$2),0,IF($K67=0,IF(AND($I67&gt;=AH$3,$I67&lt;=AH$2),$E67,0),$E67*NETWORKDAYS(MAX($I67,AH$3),MIN($J67,AH$2),Data!$K$4:$K$203)/$K67)))</f>
        <v>0</v>
      </c>
      <c r="AI67" s="170">
        <f>SUM(W67:AH67)</f>
        <v>0</v>
      </c>
      <c r="BW67" t="n">
        <v>64</v>
      </c>
      <c r="BX67" t="str">
        <f>IFERROR(MATCH(BW67,$EQ$4:$EQ$503,0),"")</f>
        <v/>
      </c>
      <c r="BY67" t="str">
        <f>IF(BX67="","",INDEX($FL$4:$FL$503,BX67))</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70"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4" t="str">
        <f>IF(EO67=1,IF(FH67&gt;0,FI67/FH67,AVERAGEIF($FF$4:$FF$503,EN67,$C$4:$C$503)),"")</f>
        <v/>
      </c>
      <c r="EV67" s="169">
        <f>IF(ISNUMBER(I67),I67,2958465)</f>
        <v>2958465.0</v>
      </c>
      <c r="EW67" s="169" t="str">
        <f>IF(EO67=1,SUMPRODUCT(MIN(($EN$4:$EN$503=EN67)*$EV$4:$EV$503+($EN$4:$EN$503&lt;&gt;EN67)*2958465)),"")</f>
        <v/>
      </c>
      <c r="EX67" s="169">
        <f>IF(AND(D67=1,ISNUMBER(INDEX(Charge!$F:$F,ROW()))),INDEX(Charge!$F:$F,ROW()),0)</f>
        <v>0.0</v>
      </c>
      <c r="EY67" s="169"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c r="FF67" t="str">
        <f>IF(B67=1,LEFT(SUBSTITUTE(SUBSTITUTE(SUBSTITUTE(TRIM(SUBSTITUTE(INDEX(Charge!$B:$B,ROW()),CHAR(160)," "))&amp;" | "&amp;TRIM(SUBSTITUTE(INDEX(Charge!$C:$C,ROW()),CHAR(160)," "))&amp;" | "&amp;TRIM(SUBSTITUTE(INDEX(Charge!$D:$D,ROW()),CHAR(160)," ")),"~","-"),"*","+"),"?","!"),240),"")</f>
        <v/>
      </c>
      <c r="FG67">
        <f>IF(B67=1,MAX(0,N(INDEX(Charge!$M:$M,ROW()))),0)</f>
        <v>0</v>
      </c>
      <c r="FH67" s="170" t="str">
        <f>IF(EO67=1,ROUND(SUMIF($FF$4:$FF$503,EN67,$FG$4:$FG$503),2),"")</f>
        <v/>
      </c>
      <c r="FI67" s="170" t="str">
        <f>IF(EO67=1,ROUND(SUMPRODUCT(($FF$4:$FF$503=EN67)*$FG$4:$FG$503*$C$4:$C$503),2),"")</f>
        <v/>
      </c>
      <c r="FJ67" s="170" t="str">
        <f>IF(EO67=1,MAX(0,ROUND(FH67-FI67,2)),"")</f>
        <v/>
      </c>
      <c r="FK67" s="174" t="str">
        <f>IF(EO67=1,IF(OR(EW67&gt;=2958465,EY67=0,EY67&lt;=EW67),"",IF(TODAY()&lt;=EW67,0,IF(TODAY()&gt;EY67,1,IFERROR(NETWORKDAYS(EW67,TODAY()-1,Data!$K$4:$K$203)/NETWORKDAYS(EW67,EY67,Data!$K$4:$K$203),"")))),"")</f>
        <v/>
      </c>
      <c r="FL67" t="str">
        <f>IF(EO67=1,IF(AND(EY67&gt;0,EY67&lt;TODAY(),ROUND(EU67,4)&lt;1),2,IF(FK67="",0,IF(ROUND(EU67-FK67,4)&lt;-0.15,1,0))),"")</f>
        <v/>
      </c>
      <c r="FM67">
        <f>IF(OR(FA67="",COUNTIF($FA$4:FA66,FA67)&gt;0),0,MAX(0,IF(FB67="Interne",IF(ISNUMBER(INDEX(Data!$F:$F,67)),INDEX(Data!$F:$F,67),p_HeuresETP),IF(ISNUMBER(INDEX(Data!$I:$I,67-$CD$23)),INDEX(Data!$I:$I,67-$CD$23),p_HeuresETP))-IF(FB67="Interne",IF(ISNUMBER(INDEX(Data!$G:$G,67)),INDEX(Data!$G:$G,67),p_ChargeFixe),IF(ISNUMBER(INDEX(Data!$J:$J,67-$CD$23)),INDEX(Data!$J:$J,67-$CD$23),p_ChargeFixe))))</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9" t="str">
        <f>IF(AND(D68=1,ISNUMBER(INDEX(Charge!$N:$N,ROW()))),INDEX(Charge!$N:$N,ROW()),"")</f>
        <v/>
      </c>
      <c r="J68" s="169"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70">
        <f>IF(OR($I68="",$E68=0),0,IF(OR($J68&lt;W$3,$I68&gt;W$2),0,IF($K68=0,IF(AND($I68&gt;=W$3,$I68&lt;=W$2),$E68,0),$E68*NETWORKDAYS(MAX($I68,W$3),MIN($J68,W$2),Data!$K$4:$K$203)/$K68)))</f>
        <v>0</v>
      </c>
      <c r="X68" s="170">
        <f>IF(OR($I68="",$E68=0),0,IF(OR($J68&lt;X$3,$I68&gt;X$2),0,IF($K68=0,IF(AND($I68&gt;=X$3,$I68&lt;=X$2),$E68,0),$E68*NETWORKDAYS(MAX($I68,X$3),MIN($J68,X$2),Data!$K$4:$K$203)/$K68)))</f>
        <v>0</v>
      </c>
      <c r="Y68" s="170">
        <f>IF(OR($I68="",$E68=0),0,IF(OR($J68&lt;Y$3,$I68&gt;Y$2),0,IF($K68=0,IF(AND($I68&gt;=Y$3,$I68&lt;=Y$2),$E68,0),$E68*NETWORKDAYS(MAX($I68,Y$3),MIN($J68,Y$2),Data!$K$4:$K$203)/$K68)))</f>
        <v>0</v>
      </c>
      <c r="Z68" s="170">
        <f>IF(OR($I68="",$E68=0),0,IF(OR($J68&lt;Z$3,$I68&gt;Z$2),0,IF($K68=0,IF(AND($I68&gt;=Z$3,$I68&lt;=Z$2),$E68,0),$E68*NETWORKDAYS(MAX($I68,Z$3),MIN($J68,Z$2),Data!$K$4:$K$203)/$K68)))</f>
        <v>0</v>
      </c>
      <c r="AA68" s="170">
        <f>IF(OR($I68="",$E68=0),0,IF(OR($J68&lt;AA$3,$I68&gt;AA$2),0,IF($K68=0,IF(AND($I68&gt;=AA$3,$I68&lt;=AA$2),$E68,0),$E68*NETWORKDAYS(MAX($I68,AA$3),MIN($J68,AA$2),Data!$K$4:$K$203)/$K68)))</f>
        <v>0</v>
      </c>
      <c r="AB68" s="170">
        <f>IF(OR($I68="",$E68=0),0,IF(OR($J68&lt;AB$3,$I68&gt;AB$2),0,IF($K68=0,IF(AND($I68&gt;=AB$3,$I68&lt;=AB$2),$E68,0),$E68*NETWORKDAYS(MAX($I68,AB$3),MIN($J68,AB$2),Data!$K$4:$K$203)/$K68)))</f>
        <v>0</v>
      </c>
      <c r="AC68" s="170">
        <f>IF(OR($I68="",$E68=0),0,IF(OR($J68&lt;AC$3,$I68&gt;AC$2),0,IF($K68=0,IF(AND($I68&gt;=AC$3,$I68&lt;=AC$2),$E68,0),$E68*NETWORKDAYS(MAX($I68,AC$3),MIN($J68,AC$2),Data!$K$4:$K$203)/$K68)))</f>
        <v>0</v>
      </c>
      <c r="AD68" s="170">
        <f>IF(OR($I68="",$E68=0),0,IF(OR($J68&lt;AD$3,$I68&gt;AD$2),0,IF($K68=0,IF(AND($I68&gt;=AD$3,$I68&lt;=AD$2),$E68,0),$E68*NETWORKDAYS(MAX($I68,AD$3),MIN($J68,AD$2),Data!$K$4:$K$203)/$K68)))</f>
        <v>0</v>
      </c>
      <c r="AE68" s="170">
        <f>IF(OR($I68="",$E68=0),0,IF(OR($J68&lt;AE$3,$I68&gt;AE$2),0,IF($K68=0,IF(AND($I68&gt;=AE$3,$I68&lt;=AE$2),$E68,0),$E68*NETWORKDAYS(MAX($I68,AE$3),MIN($J68,AE$2),Data!$K$4:$K$203)/$K68)))</f>
        <v>0</v>
      </c>
      <c r="AF68" s="170">
        <f>IF(OR($I68="",$E68=0),0,IF(OR($J68&lt;AF$3,$I68&gt;AF$2),0,IF($K68=0,IF(AND($I68&gt;=AF$3,$I68&lt;=AF$2),$E68,0),$E68*NETWORKDAYS(MAX($I68,AF$3),MIN($J68,AF$2),Data!$K$4:$K$203)/$K68)))</f>
        <v>0</v>
      </c>
      <c r="AG68" s="170">
        <f>IF(OR($I68="",$E68=0),0,IF(OR($J68&lt;AG$3,$I68&gt;AG$2),0,IF($K68=0,IF(AND($I68&gt;=AG$3,$I68&lt;=AG$2),$E68,0),$E68*NETWORKDAYS(MAX($I68,AG$3),MIN($J68,AG$2),Data!$K$4:$K$203)/$K68)))</f>
        <v>0</v>
      </c>
      <c r="AH68" s="170">
        <f>IF(OR($I68="",$E68=0),0,IF(OR($J68&lt;AH$3,$I68&gt;AH$2),0,IF($K68=0,IF(AND($I68&gt;=AH$3,$I68&lt;=AH$2),$E68,0),$E68*NETWORKDAYS(MAX($I68,AH$3),MIN($J68,AH$2),Data!$K$4:$K$203)/$K68)))</f>
        <v>0</v>
      </c>
      <c r="AI68" s="170">
        <f>SUM(W68:AH68)</f>
        <v>0</v>
      </c>
      <c r="BW68" t="n">
        <v>65</v>
      </c>
      <c r="BX68" t="str">
        <f>IFERROR(MATCH(BW68,$EQ$4:$EQ$503,0),"")</f>
        <v/>
      </c>
      <c r="BY68" t="str">
        <f>IF(BX68="","",INDEX($FL$4:$FL$503,BX68))</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70"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4" t="str">
        <f>IF(EO68=1,IF(FH68&gt;0,FI68/FH68,AVERAGEIF($FF$4:$FF$503,EN68,$C$4:$C$503)),"")</f>
        <v/>
      </c>
      <c r="EV68" s="169">
        <f>IF(ISNUMBER(I68),I68,2958465)</f>
        <v>2958465.0</v>
      </c>
      <c r="EW68" s="169" t="str">
        <f>IF(EO68=1,SUMPRODUCT(MIN(($EN$4:$EN$503=EN68)*$EV$4:$EV$503+($EN$4:$EN$503&lt;&gt;EN68)*2958465)),"")</f>
        <v/>
      </c>
      <c r="EX68" s="169">
        <f>IF(AND(D68=1,ISNUMBER(INDEX(Charge!$F:$F,ROW()))),INDEX(Charge!$F:$F,ROW()),0)</f>
        <v>0.0</v>
      </c>
      <c r="EY68" s="169"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c r="FF68" t="str">
        <f>IF(B68=1,LEFT(SUBSTITUTE(SUBSTITUTE(SUBSTITUTE(TRIM(SUBSTITUTE(INDEX(Charge!$B:$B,ROW()),CHAR(160)," "))&amp;" | "&amp;TRIM(SUBSTITUTE(INDEX(Charge!$C:$C,ROW()),CHAR(160)," "))&amp;" | "&amp;TRIM(SUBSTITUTE(INDEX(Charge!$D:$D,ROW()),CHAR(160)," ")),"~","-"),"*","+"),"?","!"),240),"")</f>
        <v/>
      </c>
      <c r="FG68">
        <f>IF(B68=1,MAX(0,N(INDEX(Charge!$M:$M,ROW()))),0)</f>
        <v>0</v>
      </c>
      <c r="FH68" s="170" t="str">
        <f>IF(EO68=1,ROUND(SUMIF($FF$4:$FF$503,EN68,$FG$4:$FG$503),2),"")</f>
        <v/>
      </c>
      <c r="FI68" s="170" t="str">
        <f>IF(EO68=1,ROUND(SUMPRODUCT(($FF$4:$FF$503=EN68)*$FG$4:$FG$503*$C$4:$C$503),2),"")</f>
        <v/>
      </c>
      <c r="FJ68" s="170" t="str">
        <f>IF(EO68=1,MAX(0,ROUND(FH68-FI68,2)),"")</f>
        <v/>
      </c>
      <c r="FK68" s="174" t="str">
        <f>IF(EO68=1,IF(OR(EW68&gt;=2958465,EY68=0,EY68&lt;=EW68),"",IF(TODAY()&lt;=EW68,0,IF(TODAY()&gt;EY68,1,IFERROR(NETWORKDAYS(EW68,TODAY()-1,Data!$K$4:$K$203)/NETWORKDAYS(EW68,EY68,Data!$K$4:$K$203),"")))),"")</f>
        <v/>
      </c>
      <c r="FL68" t="str">
        <f>IF(EO68=1,IF(AND(EY68&gt;0,EY68&lt;TODAY(),ROUND(EU68,4)&lt;1),2,IF(FK68="",0,IF(ROUND(EU68-FK68,4)&lt;-0.15,1,0))),"")</f>
        <v/>
      </c>
      <c r="FM68">
        <f>IF(OR(FA68="",COUNTIF($FA$4:FA67,FA68)&gt;0),0,MAX(0,IF(FB68="Interne",IF(ISNUMBER(INDEX(Data!$F:$F,68)),INDEX(Data!$F:$F,68),p_HeuresETP),IF(ISNUMBER(INDEX(Data!$I:$I,68-$CD$23)),INDEX(Data!$I:$I,68-$CD$23),p_HeuresETP))-IF(FB68="Interne",IF(ISNUMBER(INDEX(Data!$G:$G,68)),INDEX(Data!$G:$G,68),p_ChargeFixe),IF(ISNUMBER(INDEX(Data!$J:$J,68-$CD$23)),INDEX(Data!$J:$J,68-$CD$23),p_ChargeFixe))))</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9" t="str">
        <f>IF(AND(D69=1,ISNUMBER(INDEX(Charge!$N:$N,ROW()))),INDEX(Charge!$N:$N,ROW()),"")</f>
        <v/>
      </c>
      <c r="J69" s="169"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70">
        <f>IF(OR($I69="",$E69=0),0,IF(OR($J69&lt;W$3,$I69&gt;W$2),0,IF($K69=0,IF(AND($I69&gt;=W$3,$I69&lt;=W$2),$E69,0),$E69*NETWORKDAYS(MAX($I69,W$3),MIN($J69,W$2),Data!$K$4:$K$203)/$K69)))</f>
        <v>0</v>
      </c>
      <c r="X69" s="170">
        <f>IF(OR($I69="",$E69=0),0,IF(OR($J69&lt;X$3,$I69&gt;X$2),0,IF($K69=0,IF(AND($I69&gt;=X$3,$I69&lt;=X$2),$E69,0),$E69*NETWORKDAYS(MAX($I69,X$3),MIN($J69,X$2),Data!$K$4:$K$203)/$K69)))</f>
        <v>0</v>
      </c>
      <c r="Y69" s="170">
        <f>IF(OR($I69="",$E69=0),0,IF(OR($J69&lt;Y$3,$I69&gt;Y$2),0,IF($K69=0,IF(AND($I69&gt;=Y$3,$I69&lt;=Y$2),$E69,0),$E69*NETWORKDAYS(MAX($I69,Y$3),MIN($J69,Y$2),Data!$K$4:$K$203)/$K69)))</f>
        <v>0</v>
      </c>
      <c r="Z69" s="170">
        <f>IF(OR($I69="",$E69=0),0,IF(OR($J69&lt;Z$3,$I69&gt;Z$2),0,IF($K69=0,IF(AND($I69&gt;=Z$3,$I69&lt;=Z$2),$E69,0),$E69*NETWORKDAYS(MAX($I69,Z$3),MIN($J69,Z$2),Data!$K$4:$K$203)/$K69)))</f>
        <v>0</v>
      </c>
      <c r="AA69" s="170">
        <f>IF(OR($I69="",$E69=0),0,IF(OR($J69&lt;AA$3,$I69&gt;AA$2),0,IF($K69=0,IF(AND($I69&gt;=AA$3,$I69&lt;=AA$2),$E69,0),$E69*NETWORKDAYS(MAX($I69,AA$3),MIN($J69,AA$2),Data!$K$4:$K$203)/$K69)))</f>
        <v>0</v>
      </c>
      <c r="AB69" s="170">
        <f>IF(OR($I69="",$E69=0),0,IF(OR($J69&lt;AB$3,$I69&gt;AB$2),0,IF($K69=0,IF(AND($I69&gt;=AB$3,$I69&lt;=AB$2),$E69,0),$E69*NETWORKDAYS(MAX($I69,AB$3),MIN($J69,AB$2),Data!$K$4:$K$203)/$K69)))</f>
        <v>0</v>
      </c>
      <c r="AC69" s="170">
        <f>IF(OR($I69="",$E69=0),0,IF(OR($J69&lt;AC$3,$I69&gt;AC$2),0,IF($K69=0,IF(AND($I69&gt;=AC$3,$I69&lt;=AC$2),$E69,0),$E69*NETWORKDAYS(MAX($I69,AC$3),MIN($J69,AC$2),Data!$K$4:$K$203)/$K69)))</f>
        <v>0</v>
      </c>
      <c r="AD69" s="170">
        <f>IF(OR($I69="",$E69=0),0,IF(OR($J69&lt;AD$3,$I69&gt;AD$2),0,IF($K69=0,IF(AND($I69&gt;=AD$3,$I69&lt;=AD$2),$E69,0),$E69*NETWORKDAYS(MAX($I69,AD$3),MIN($J69,AD$2),Data!$K$4:$K$203)/$K69)))</f>
        <v>0</v>
      </c>
      <c r="AE69" s="170">
        <f>IF(OR($I69="",$E69=0),0,IF(OR($J69&lt;AE$3,$I69&gt;AE$2),0,IF($K69=0,IF(AND($I69&gt;=AE$3,$I69&lt;=AE$2),$E69,0),$E69*NETWORKDAYS(MAX($I69,AE$3),MIN($J69,AE$2),Data!$K$4:$K$203)/$K69)))</f>
        <v>0</v>
      </c>
      <c r="AF69" s="170">
        <f>IF(OR($I69="",$E69=0),0,IF(OR($J69&lt;AF$3,$I69&gt;AF$2),0,IF($K69=0,IF(AND($I69&gt;=AF$3,$I69&lt;=AF$2),$E69,0),$E69*NETWORKDAYS(MAX($I69,AF$3),MIN($J69,AF$2),Data!$K$4:$K$203)/$K69)))</f>
        <v>0</v>
      </c>
      <c r="AG69" s="170">
        <f>IF(OR($I69="",$E69=0),0,IF(OR($J69&lt;AG$3,$I69&gt;AG$2),0,IF($K69=0,IF(AND($I69&gt;=AG$3,$I69&lt;=AG$2),$E69,0),$E69*NETWORKDAYS(MAX($I69,AG$3),MIN($J69,AG$2),Data!$K$4:$K$203)/$K69)))</f>
        <v>0</v>
      </c>
      <c r="AH69" s="170">
        <f>IF(OR($I69="",$E69=0),0,IF(OR($J69&lt;AH$3,$I69&gt;AH$2),0,IF($K69=0,IF(AND($I69&gt;=AH$3,$I69&lt;=AH$2),$E69,0),$E69*NETWORKDAYS(MAX($I69,AH$3),MIN($J69,AH$2),Data!$K$4:$K$203)/$K69)))</f>
        <v>0</v>
      </c>
      <c r="AI69" s="170">
        <f>SUM(W69:AH69)</f>
        <v>0</v>
      </c>
      <c r="BW69" t="n">
        <v>66</v>
      </c>
      <c r="BX69" t="str">
        <f>IFERROR(MATCH(BW69,$EQ$4:$EQ$503,0),"")</f>
        <v/>
      </c>
      <c r="BY69" t="str">
        <f>IF(BX69="","",INDEX($FL$4:$FL$503,BX69))</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70"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4" t="str">
        <f>IF(EO69=1,IF(FH69&gt;0,FI69/FH69,AVERAGEIF($FF$4:$FF$503,EN69,$C$4:$C$503)),"")</f>
        <v/>
      </c>
      <c r="EV69" s="169">
        <f>IF(ISNUMBER(I69),I69,2958465)</f>
        <v>2958465.0</v>
      </c>
      <c r="EW69" s="169" t="str">
        <f>IF(EO69=1,SUMPRODUCT(MIN(($EN$4:$EN$503=EN69)*$EV$4:$EV$503+($EN$4:$EN$503&lt;&gt;EN69)*2958465)),"")</f>
        <v/>
      </c>
      <c r="EX69" s="169">
        <f>IF(AND(D69=1,ISNUMBER(INDEX(Charge!$F:$F,ROW()))),INDEX(Charge!$F:$F,ROW()),0)</f>
        <v>0.0</v>
      </c>
      <c r="EY69" s="169"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c r="FF69" t="str">
        <f>IF(B69=1,LEFT(SUBSTITUTE(SUBSTITUTE(SUBSTITUTE(TRIM(SUBSTITUTE(INDEX(Charge!$B:$B,ROW()),CHAR(160)," "))&amp;" | "&amp;TRIM(SUBSTITUTE(INDEX(Charge!$C:$C,ROW()),CHAR(160)," "))&amp;" | "&amp;TRIM(SUBSTITUTE(INDEX(Charge!$D:$D,ROW()),CHAR(160)," ")),"~","-"),"*","+"),"?","!"),240),"")</f>
        <v/>
      </c>
      <c r="FG69">
        <f>IF(B69=1,MAX(0,N(INDEX(Charge!$M:$M,ROW()))),0)</f>
        <v>0</v>
      </c>
      <c r="FH69" s="170" t="str">
        <f>IF(EO69=1,ROUND(SUMIF($FF$4:$FF$503,EN69,$FG$4:$FG$503),2),"")</f>
        <v/>
      </c>
      <c r="FI69" s="170" t="str">
        <f>IF(EO69=1,ROUND(SUMPRODUCT(($FF$4:$FF$503=EN69)*$FG$4:$FG$503*$C$4:$C$503),2),"")</f>
        <v/>
      </c>
      <c r="FJ69" s="170" t="str">
        <f>IF(EO69=1,MAX(0,ROUND(FH69-FI69,2)),"")</f>
        <v/>
      </c>
      <c r="FK69" s="174" t="str">
        <f>IF(EO69=1,IF(OR(EW69&gt;=2958465,EY69=0,EY69&lt;=EW69),"",IF(TODAY()&lt;=EW69,0,IF(TODAY()&gt;EY69,1,IFERROR(NETWORKDAYS(EW69,TODAY()-1,Data!$K$4:$K$203)/NETWORKDAYS(EW69,EY69,Data!$K$4:$K$203),"")))),"")</f>
        <v/>
      </c>
      <c r="FL69" t="str">
        <f>IF(EO69=1,IF(AND(EY69&gt;0,EY69&lt;TODAY(),ROUND(EU69,4)&lt;1),2,IF(FK69="",0,IF(ROUND(EU69-FK69,4)&lt;-0.15,1,0))),"")</f>
        <v/>
      </c>
      <c r="FM69">
        <f>IF(OR(FA69="",COUNTIF($FA$4:FA68,FA69)&gt;0),0,MAX(0,IF(FB69="Interne",IF(ISNUMBER(INDEX(Data!$F:$F,69)),INDEX(Data!$F:$F,69),p_HeuresETP),IF(ISNUMBER(INDEX(Data!$I:$I,69-$CD$23)),INDEX(Data!$I:$I,69-$CD$23),p_HeuresETP))-IF(FB69="Interne",IF(ISNUMBER(INDEX(Data!$G:$G,69)),INDEX(Data!$G:$G,69),p_ChargeFixe),IF(ISNUMBER(INDEX(Data!$J:$J,69-$CD$23)),INDEX(Data!$J:$J,69-$CD$23),p_ChargeFixe))))</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9" t="str">
        <f>IF(AND(D70=1,ISNUMBER(INDEX(Charge!$N:$N,ROW()))),INDEX(Charge!$N:$N,ROW()),"")</f>
        <v/>
      </c>
      <c r="J70" s="169"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70">
        <f>IF(OR($I70="",$E70=0),0,IF(OR($J70&lt;W$3,$I70&gt;W$2),0,IF($K70=0,IF(AND($I70&gt;=W$3,$I70&lt;=W$2),$E70,0),$E70*NETWORKDAYS(MAX($I70,W$3),MIN($J70,W$2),Data!$K$4:$K$203)/$K70)))</f>
        <v>0</v>
      </c>
      <c r="X70" s="170">
        <f>IF(OR($I70="",$E70=0),0,IF(OR($J70&lt;X$3,$I70&gt;X$2),0,IF($K70=0,IF(AND($I70&gt;=X$3,$I70&lt;=X$2),$E70,0),$E70*NETWORKDAYS(MAX($I70,X$3),MIN($J70,X$2),Data!$K$4:$K$203)/$K70)))</f>
        <v>0</v>
      </c>
      <c r="Y70" s="170">
        <f>IF(OR($I70="",$E70=0),0,IF(OR($J70&lt;Y$3,$I70&gt;Y$2),0,IF($K70=0,IF(AND($I70&gt;=Y$3,$I70&lt;=Y$2),$E70,0),$E70*NETWORKDAYS(MAX($I70,Y$3),MIN($J70,Y$2),Data!$K$4:$K$203)/$K70)))</f>
        <v>0</v>
      </c>
      <c r="Z70" s="170">
        <f>IF(OR($I70="",$E70=0),0,IF(OR($J70&lt;Z$3,$I70&gt;Z$2),0,IF($K70=0,IF(AND($I70&gt;=Z$3,$I70&lt;=Z$2),$E70,0),$E70*NETWORKDAYS(MAX($I70,Z$3),MIN($J70,Z$2),Data!$K$4:$K$203)/$K70)))</f>
        <v>0</v>
      </c>
      <c r="AA70" s="170">
        <f>IF(OR($I70="",$E70=0),0,IF(OR($J70&lt;AA$3,$I70&gt;AA$2),0,IF($K70=0,IF(AND($I70&gt;=AA$3,$I70&lt;=AA$2),$E70,0),$E70*NETWORKDAYS(MAX($I70,AA$3),MIN($J70,AA$2),Data!$K$4:$K$203)/$K70)))</f>
        <v>0</v>
      </c>
      <c r="AB70" s="170">
        <f>IF(OR($I70="",$E70=0),0,IF(OR($J70&lt;AB$3,$I70&gt;AB$2),0,IF($K70=0,IF(AND($I70&gt;=AB$3,$I70&lt;=AB$2),$E70,0),$E70*NETWORKDAYS(MAX($I70,AB$3),MIN($J70,AB$2),Data!$K$4:$K$203)/$K70)))</f>
        <v>0</v>
      </c>
      <c r="AC70" s="170">
        <f>IF(OR($I70="",$E70=0),0,IF(OR($J70&lt;AC$3,$I70&gt;AC$2),0,IF($K70=0,IF(AND($I70&gt;=AC$3,$I70&lt;=AC$2),$E70,0),$E70*NETWORKDAYS(MAX($I70,AC$3),MIN($J70,AC$2),Data!$K$4:$K$203)/$K70)))</f>
        <v>0</v>
      </c>
      <c r="AD70" s="170">
        <f>IF(OR($I70="",$E70=0),0,IF(OR($J70&lt;AD$3,$I70&gt;AD$2),0,IF($K70=0,IF(AND($I70&gt;=AD$3,$I70&lt;=AD$2),$E70,0),$E70*NETWORKDAYS(MAX($I70,AD$3),MIN($J70,AD$2),Data!$K$4:$K$203)/$K70)))</f>
        <v>0</v>
      </c>
      <c r="AE70" s="170">
        <f>IF(OR($I70="",$E70=0),0,IF(OR($J70&lt;AE$3,$I70&gt;AE$2),0,IF($K70=0,IF(AND($I70&gt;=AE$3,$I70&lt;=AE$2),$E70,0),$E70*NETWORKDAYS(MAX($I70,AE$3),MIN($J70,AE$2),Data!$K$4:$K$203)/$K70)))</f>
        <v>0</v>
      </c>
      <c r="AF70" s="170">
        <f>IF(OR($I70="",$E70=0),0,IF(OR($J70&lt;AF$3,$I70&gt;AF$2),0,IF($K70=0,IF(AND($I70&gt;=AF$3,$I70&lt;=AF$2),$E70,0),$E70*NETWORKDAYS(MAX($I70,AF$3),MIN($J70,AF$2),Data!$K$4:$K$203)/$K70)))</f>
        <v>0</v>
      </c>
      <c r="AG70" s="170">
        <f>IF(OR($I70="",$E70=0),0,IF(OR($J70&lt;AG$3,$I70&gt;AG$2),0,IF($K70=0,IF(AND($I70&gt;=AG$3,$I70&lt;=AG$2),$E70,0),$E70*NETWORKDAYS(MAX($I70,AG$3),MIN($J70,AG$2),Data!$K$4:$K$203)/$K70)))</f>
        <v>0</v>
      </c>
      <c r="AH70" s="170">
        <f>IF(OR($I70="",$E70=0),0,IF(OR($J70&lt;AH$3,$I70&gt;AH$2),0,IF($K70=0,IF(AND($I70&gt;=AH$3,$I70&lt;=AH$2),$E70,0),$E70*NETWORKDAYS(MAX($I70,AH$3),MIN($J70,AH$2),Data!$K$4:$K$203)/$K70)))</f>
        <v>0</v>
      </c>
      <c r="AI70" s="170">
        <f>SUM(W70:AH70)</f>
        <v>0</v>
      </c>
      <c r="BW70" t="n">
        <v>67</v>
      </c>
      <c r="BX70" t="str">
        <f>IFERROR(MATCH(BW70,$EQ$4:$EQ$503,0),"")</f>
        <v/>
      </c>
      <c r="BY70" t="str">
        <f>IF(BX70="","",INDEX($FL$4:$FL$503,BX70))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70"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4" t="str">
        <f>IF(EO70=1,IF(FH70&gt;0,FI70/FH70,AVERAGEIF($FF$4:$FF$503,EN70,$C$4:$C$503)),"")</f>
        <v/>
      </c>
      <c r="EV70" s="169">
        <f>IF(ISNUMBER(I70),I70,2958465)</f>
        <v>2958465.0</v>
      </c>
      <c r="EW70" s="169" t="str">
        <f>IF(EO70=1,SUMPRODUCT(MIN(($EN$4:$EN$503=EN70)*$EV$4:$EV$503+($EN$4:$EN$503&lt;&gt;EN70)*2958465)),"")</f>
        <v/>
      </c>
      <c r="EX70" s="169">
        <f>IF(AND(D70=1,ISNUMBER(INDEX(Charge!$F:$F,ROW()))),INDEX(Charge!$F:$F,ROW()),0)</f>
        <v>0.0</v>
      </c>
      <c r="EY70" s="169"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c r="FF70" t="str">
        <f>IF(B70=1,LEFT(SUBSTITUTE(SUBSTITUTE(SUBSTITUTE(TRIM(SUBSTITUTE(INDEX(Charge!$B:$B,ROW()),CHAR(160)," "))&amp;" | "&amp;TRIM(SUBSTITUTE(INDEX(Charge!$C:$C,ROW()),CHAR(160)," "))&amp;" | "&amp;TRIM(SUBSTITUTE(INDEX(Charge!$D:$D,ROW()),CHAR(160)," ")),"~","-"),"*","+"),"?","!"),240),"")</f>
        <v/>
      </c>
      <c r="FG70">
        <f>IF(B70=1,MAX(0,N(INDEX(Charge!$M:$M,ROW()))),0)</f>
        <v>0</v>
      </c>
      <c r="FH70" s="170" t="str">
        <f>IF(EO70=1,ROUND(SUMIF($FF$4:$FF$503,EN70,$FG$4:$FG$503),2),"")</f>
        <v/>
      </c>
      <c r="FI70" s="170" t="str">
        <f>IF(EO70=1,ROUND(SUMPRODUCT(($FF$4:$FF$503=EN70)*$FG$4:$FG$503*$C$4:$C$503),2),"")</f>
        <v/>
      </c>
      <c r="FJ70" s="170" t="str">
        <f>IF(EO70=1,MAX(0,ROUND(FH70-FI70,2)),"")</f>
        <v/>
      </c>
      <c r="FK70" s="174" t="str">
        <f>IF(EO70=1,IF(OR(EW70&gt;=2958465,EY70=0,EY70&lt;=EW70),"",IF(TODAY()&lt;=EW70,0,IF(TODAY()&gt;EY70,1,IFERROR(NETWORKDAYS(EW70,TODAY()-1,Data!$K$4:$K$203)/NETWORKDAYS(EW70,EY70,Data!$K$4:$K$203),"")))),"")</f>
        <v/>
      </c>
      <c r="FL70" t="str">
        <f>IF(EO70=1,IF(AND(EY70&gt;0,EY70&lt;TODAY(),ROUND(EU70,4)&lt;1),2,IF(FK70="",0,IF(ROUND(EU70-FK70,4)&lt;-0.15,1,0))),"")</f>
        <v/>
      </c>
      <c r="FM70">
        <f>IF(OR(FA70="",COUNTIF($FA$4:FA69,FA70)&gt;0),0,MAX(0,IF(FB70="Interne",IF(ISNUMBER(INDEX(Data!$F:$F,70)),INDEX(Data!$F:$F,70),p_HeuresETP),IF(ISNUMBER(INDEX(Data!$I:$I,70-$CD$23)),INDEX(Data!$I:$I,70-$CD$23),p_HeuresETP))-IF(FB70="Interne",IF(ISNUMBER(INDEX(Data!$G:$G,70)),INDEX(Data!$G:$G,70),p_ChargeFixe),IF(ISNUMBER(INDEX(Data!$J:$J,70-$CD$23)),INDEX(Data!$J:$J,70-$CD$23),p_ChargeFixe))))</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9" t="str">
        <f>IF(AND(D71=1,ISNUMBER(INDEX(Charge!$N:$N,ROW()))),INDEX(Charge!$N:$N,ROW()),"")</f>
        <v/>
      </c>
      <c r="J71" s="169"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70">
        <f>IF(OR($I71="",$E71=0),0,IF(OR($J71&lt;W$3,$I71&gt;W$2),0,IF($K71=0,IF(AND($I71&gt;=W$3,$I71&lt;=W$2),$E71,0),$E71*NETWORKDAYS(MAX($I71,W$3),MIN($J71,W$2),Data!$K$4:$K$203)/$K71)))</f>
        <v>0</v>
      </c>
      <c r="X71" s="170">
        <f>IF(OR($I71="",$E71=0),0,IF(OR($J71&lt;X$3,$I71&gt;X$2),0,IF($K71=0,IF(AND($I71&gt;=X$3,$I71&lt;=X$2),$E71,0),$E71*NETWORKDAYS(MAX($I71,X$3),MIN($J71,X$2),Data!$K$4:$K$203)/$K71)))</f>
        <v>0</v>
      </c>
      <c r="Y71" s="170">
        <f>IF(OR($I71="",$E71=0),0,IF(OR($J71&lt;Y$3,$I71&gt;Y$2),0,IF($K71=0,IF(AND($I71&gt;=Y$3,$I71&lt;=Y$2),$E71,0),$E71*NETWORKDAYS(MAX($I71,Y$3),MIN($J71,Y$2),Data!$K$4:$K$203)/$K71)))</f>
        <v>0</v>
      </c>
      <c r="Z71" s="170">
        <f>IF(OR($I71="",$E71=0),0,IF(OR($J71&lt;Z$3,$I71&gt;Z$2),0,IF($K71=0,IF(AND($I71&gt;=Z$3,$I71&lt;=Z$2),$E71,0),$E71*NETWORKDAYS(MAX($I71,Z$3),MIN($J71,Z$2),Data!$K$4:$K$203)/$K71)))</f>
        <v>0</v>
      </c>
      <c r="AA71" s="170">
        <f>IF(OR($I71="",$E71=0),0,IF(OR($J71&lt;AA$3,$I71&gt;AA$2),0,IF($K71=0,IF(AND($I71&gt;=AA$3,$I71&lt;=AA$2),$E71,0),$E71*NETWORKDAYS(MAX($I71,AA$3),MIN($J71,AA$2),Data!$K$4:$K$203)/$K71)))</f>
        <v>0</v>
      </c>
      <c r="AB71" s="170">
        <f>IF(OR($I71="",$E71=0),0,IF(OR($J71&lt;AB$3,$I71&gt;AB$2),0,IF($K71=0,IF(AND($I71&gt;=AB$3,$I71&lt;=AB$2),$E71,0),$E71*NETWORKDAYS(MAX($I71,AB$3),MIN($J71,AB$2),Data!$K$4:$K$203)/$K71)))</f>
        <v>0</v>
      </c>
      <c r="AC71" s="170">
        <f>IF(OR($I71="",$E71=0),0,IF(OR($J71&lt;AC$3,$I71&gt;AC$2),0,IF($K71=0,IF(AND($I71&gt;=AC$3,$I71&lt;=AC$2),$E71,0),$E71*NETWORKDAYS(MAX($I71,AC$3),MIN($J71,AC$2),Data!$K$4:$K$203)/$K71)))</f>
        <v>0</v>
      </c>
      <c r="AD71" s="170">
        <f>IF(OR($I71="",$E71=0),0,IF(OR($J71&lt;AD$3,$I71&gt;AD$2),0,IF($K71=0,IF(AND($I71&gt;=AD$3,$I71&lt;=AD$2),$E71,0),$E71*NETWORKDAYS(MAX($I71,AD$3),MIN($J71,AD$2),Data!$K$4:$K$203)/$K71)))</f>
        <v>0</v>
      </c>
      <c r="AE71" s="170">
        <f>IF(OR($I71="",$E71=0),0,IF(OR($J71&lt;AE$3,$I71&gt;AE$2),0,IF($K71=0,IF(AND($I71&gt;=AE$3,$I71&lt;=AE$2),$E71,0),$E71*NETWORKDAYS(MAX($I71,AE$3),MIN($J71,AE$2),Data!$K$4:$K$203)/$K71)))</f>
        <v>0</v>
      </c>
      <c r="AF71" s="170">
        <f>IF(OR($I71="",$E71=0),0,IF(OR($J71&lt;AF$3,$I71&gt;AF$2),0,IF($K71=0,IF(AND($I71&gt;=AF$3,$I71&lt;=AF$2),$E71,0),$E71*NETWORKDAYS(MAX($I71,AF$3),MIN($J71,AF$2),Data!$K$4:$K$203)/$K71)))</f>
        <v>0</v>
      </c>
      <c r="AG71" s="170">
        <f>IF(OR($I71="",$E71=0),0,IF(OR($J71&lt;AG$3,$I71&gt;AG$2),0,IF($K71=0,IF(AND($I71&gt;=AG$3,$I71&lt;=AG$2),$E71,0),$E71*NETWORKDAYS(MAX($I71,AG$3),MIN($J71,AG$2),Data!$K$4:$K$203)/$K71)))</f>
        <v>0</v>
      </c>
      <c r="AH71" s="170">
        <f>IF(OR($I71="",$E71=0),0,IF(OR($J71&lt;AH$3,$I71&gt;AH$2),0,IF($K71=0,IF(AND($I71&gt;=AH$3,$I71&lt;=AH$2),$E71,0),$E71*NETWORKDAYS(MAX($I71,AH$3),MIN($J71,AH$2),Data!$K$4:$K$203)/$K71)))</f>
        <v>0</v>
      </c>
      <c r="AI71" s="170">
        <f>SUM(W71:AH71)</f>
        <v>0</v>
      </c>
      <c r="BW71" t="n">
        <v>68</v>
      </c>
      <c r="BX71" t="str">
        <f>IFERROR(MATCH(BW71,$EQ$4:$EQ$503,0),"")</f>
        <v/>
      </c>
      <c r="BY71" t="str">
        <f>IF(BX71="","",INDEX($FL$4:$FL$503,BX71))</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70"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4" t="str">
        <f>IF(EO71=1,IF(FH71&gt;0,FI71/FH71,AVERAGEIF($FF$4:$FF$503,EN71,$C$4:$C$503)),"")</f>
        <v/>
      </c>
      <c r="EV71" s="169">
        <f>IF(ISNUMBER(I71),I71,2958465)</f>
        <v>2958465.0</v>
      </c>
      <c r="EW71" s="169" t="str">
        <f>IF(EO71=1,SUMPRODUCT(MIN(($EN$4:$EN$503=EN71)*$EV$4:$EV$503+($EN$4:$EN$503&lt;&gt;EN71)*2958465)),"")</f>
        <v/>
      </c>
      <c r="EX71" s="169">
        <f>IF(AND(D71=1,ISNUMBER(INDEX(Charge!$F:$F,ROW()))),INDEX(Charge!$F:$F,ROW()),0)</f>
        <v>0.0</v>
      </c>
      <c r="EY71" s="169"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c r="FF71" t="str">
        <f>IF(B71=1,LEFT(SUBSTITUTE(SUBSTITUTE(SUBSTITUTE(TRIM(SUBSTITUTE(INDEX(Charge!$B:$B,ROW()),CHAR(160)," "))&amp;" | "&amp;TRIM(SUBSTITUTE(INDEX(Charge!$C:$C,ROW()),CHAR(160)," "))&amp;" | "&amp;TRIM(SUBSTITUTE(INDEX(Charge!$D:$D,ROW()),CHAR(160)," ")),"~","-"),"*","+"),"?","!"),240),"")</f>
        <v/>
      </c>
      <c r="FG71">
        <f>IF(B71=1,MAX(0,N(INDEX(Charge!$M:$M,ROW()))),0)</f>
        <v>0</v>
      </c>
      <c r="FH71" s="170" t="str">
        <f>IF(EO71=1,ROUND(SUMIF($FF$4:$FF$503,EN71,$FG$4:$FG$503),2),"")</f>
        <v/>
      </c>
      <c r="FI71" s="170" t="str">
        <f>IF(EO71=1,ROUND(SUMPRODUCT(($FF$4:$FF$503=EN71)*$FG$4:$FG$503*$C$4:$C$503),2),"")</f>
        <v/>
      </c>
      <c r="FJ71" s="170" t="str">
        <f>IF(EO71=1,MAX(0,ROUND(FH71-FI71,2)),"")</f>
        <v/>
      </c>
      <c r="FK71" s="174" t="str">
        <f>IF(EO71=1,IF(OR(EW71&gt;=2958465,EY71=0,EY71&lt;=EW71),"",IF(TODAY()&lt;=EW71,0,IF(TODAY()&gt;EY71,1,IFERROR(NETWORKDAYS(EW71,TODAY()-1,Data!$K$4:$K$203)/NETWORKDAYS(EW71,EY71,Data!$K$4:$K$203),"")))),"")</f>
        <v/>
      </c>
      <c r="FL71" t="str">
        <f>IF(EO71=1,IF(AND(EY71&gt;0,EY71&lt;TODAY(),ROUND(EU71,4)&lt;1),2,IF(FK71="",0,IF(ROUND(EU71-FK71,4)&lt;-0.15,1,0))),"")</f>
        <v/>
      </c>
      <c r="FM71">
        <f>IF(OR(FA71="",COUNTIF($FA$4:FA70,FA71)&gt;0),0,MAX(0,IF(FB71="Interne",IF(ISNUMBER(INDEX(Data!$F:$F,71)),INDEX(Data!$F:$F,71),p_HeuresETP),IF(ISNUMBER(INDEX(Data!$I:$I,71-$CD$23)),INDEX(Data!$I:$I,71-$CD$23),p_HeuresETP))-IF(FB71="Interne",IF(ISNUMBER(INDEX(Data!$G:$G,71)),INDEX(Data!$G:$G,71),p_ChargeFixe),IF(ISNUMBER(INDEX(Data!$J:$J,71-$CD$23)),INDEX(Data!$J:$J,71-$CD$23),p_ChargeFixe))))</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9" t="str">
        <f>IF(AND(D72=1,ISNUMBER(INDEX(Charge!$N:$N,ROW()))),INDEX(Charge!$N:$N,ROW()),"")</f>
        <v/>
      </c>
      <c r="J72" s="169"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70">
        <f>IF(OR($I72="",$E72=0),0,IF(OR($J72&lt;W$3,$I72&gt;W$2),0,IF($K72=0,IF(AND($I72&gt;=W$3,$I72&lt;=W$2),$E72,0),$E72*NETWORKDAYS(MAX($I72,W$3),MIN($J72,W$2),Data!$K$4:$K$203)/$K72)))</f>
        <v>0</v>
      </c>
      <c r="X72" s="170">
        <f>IF(OR($I72="",$E72=0),0,IF(OR($J72&lt;X$3,$I72&gt;X$2),0,IF($K72=0,IF(AND($I72&gt;=X$3,$I72&lt;=X$2),$E72,0),$E72*NETWORKDAYS(MAX($I72,X$3),MIN($J72,X$2),Data!$K$4:$K$203)/$K72)))</f>
        <v>0</v>
      </c>
      <c r="Y72" s="170">
        <f>IF(OR($I72="",$E72=0),0,IF(OR($J72&lt;Y$3,$I72&gt;Y$2),0,IF($K72=0,IF(AND($I72&gt;=Y$3,$I72&lt;=Y$2),$E72,0),$E72*NETWORKDAYS(MAX($I72,Y$3),MIN($J72,Y$2),Data!$K$4:$K$203)/$K72)))</f>
        <v>0</v>
      </c>
      <c r="Z72" s="170">
        <f>IF(OR($I72="",$E72=0),0,IF(OR($J72&lt;Z$3,$I72&gt;Z$2),0,IF($K72=0,IF(AND($I72&gt;=Z$3,$I72&lt;=Z$2),$E72,0),$E72*NETWORKDAYS(MAX($I72,Z$3),MIN($J72,Z$2),Data!$K$4:$K$203)/$K72)))</f>
        <v>0</v>
      </c>
      <c r="AA72" s="170">
        <f>IF(OR($I72="",$E72=0),0,IF(OR($J72&lt;AA$3,$I72&gt;AA$2),0,IF($K72=0,IF(AND($I72&gt;=AA$3,$I72&lt;=AA$2),$E72,0),$E72*NETWORKDAYS(MAX($I72,AA$3),MIN($J72,AA$2),Data!$K$4:$K$203)/$K72)))</f>
        <v>0</v>
      </c>
      <c r="AB72" s="170">
        <f>IF(OR($I72="",$E72=0),0,IF(OR($J72&lt;AB$3,$I72&gt;AB$2),0,IF($K72=0,IF(AND($I72&gt;=AB$3,$I72&lt;=AB$2),$E72,0),$E72*NETWORKDAYS(MAX($I72,AB$3),MIN($J72,AB$2),Data!$K$4:$K$203)/$K72)))</f>
        <v>0</v>
      </c>
      <c r="AC72" s="170">
        <f>IF(OR($I72="",$E72=0),0,IF(OR($J72&lt;AC$3,$I72&gt;AC$2),0,IF($K72=0,IF(AND($I72&gt;=AC$3,$I72&lt;=AC$2),$E72,0),$E72*NETWORKDAYS(MAX($I72,AC$3),MIN($J72,AC$2),Data!$K$4:$K$203)/$K72)))</f>
        <v>0</v>
      </c>
      <c r="AD72" s="170">
        <f>IF(OR($I72="",$E72=0),0,IF(OR($J72&lt;AD$3,$I72&gt;AD$2),0,IF($K72=0,IF(AND($I72&gt;=AD$3,$I72&lt;=AD$2),$E72,0),$E72*NETWORKDAYS(MAX($I72,AD$3),MIN($J72,AD$2),Data!$K$4:$K$203)/$K72)))</f>
        <v>0</v>
      </c>
      <c r="AE72" s="170">
        <f>IF(OR($I72="",$E72=0),0,IF(OR($J72&lt;AE$3,$I72&gt;AE$2),0,IF($K72=0,IF(AND($I72&gt;=AE$3,$I72&lt;=AE$2),$E72,0),$E72*NETWORKDAYS(MAX($I72,AE$3),MIN($J72,AE$2),Data!$K$4:$K$203)/$K72)))</f>
        <v>0</v>
      </c>
      <c r="AF72" s="170">
        <f>IF(OR($I72="",$E72=0),0,IF(OR($J72&lt;AF$3,$I72&gt;AF$2),0,IF($K72=0,IF(AND($I72&gt;=AF$3,$I72&lt;=AF$2),$E72,0),$E72*NETWORKDAYS(MAX($I72,AF$3),MIN($J72,AF$2),Data!$K$4:$K$203)/$K72)))</f>
        <v>0</v>
      </c>
      <c r="AG72" s="170">
        <f>IF(OR($I72="",$E72=0),0,IF(OR($J72&lt;AG$3,$I72&gt;AG$2),0,IF($K72=0,IF(AND($I72&gt;=AG$3,$I72&lt;=AG$2),$E72,0),$E72*NETWORKDAYS(MAX($I72,AG$3),MIN($J72,AG$2),Data!$K$4:$K$203)/$K72)))</f>
        <v>0</v>
      </c>
      <c r="AH72" s="170">
        <f>IF(OR($I72="",$E72=0),0,IF(OR($J72&lt;AH$3,$I72&gt;AH$2),0,IF($K72=0,IF(AND($I72&gt;=AH$3,$I72&lt;=AH$2),$E72,0),$E72*NETWORKDAYS(MAX($I72,AH$3),MIN($J72,AH$2),Data!$K$4:$K$203)/$K72)))</f>
        <v>0</v>
      </c>
      <c r="AI72" s="170">
        <f>SUM(W72:AH72)</f>
        <v>0</v>
      </c>
      <c r="BW72" t="n">
        <v>69</v>
      </c>
      <c r="BX72" t="str">
        <f>IFERROR(MATCH(BW72,$EQ$4:$EQ$503,0),"")</f>
        <v/>
      </c>
      <c r="BY72" t="str">
        <f>IF(BX72="","",INDEX($FL$4:$FL$503,BX72))</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70"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4" t="str">
        <f>IF(EO72=1,IF(FH72&gt;0,FI72/FH72,AVERAGEIF($FF$4:$FF$503,EN72,$C$4:$C$503)),"")</f>
        <v/>
      </c>
      <c r="EV72" s="169">
        <f>IF(ISNUMBER(I72),I72,2958465)</f>
        <v>2958465.0</v>
      </c>
      <c r="EW72" s="169" t="str">
        <f>IF(EO72=1,SUMPRODUCT(MIN(($EN$4:$EN$503=EN72)*$EV$4:$EV$503+($EN$4:$EN$503&lt;&gt;EN72)*2958465)),"")</f>
        <v/>
      </c>
      <c r="EX72" s="169">
        <f>IF(AND(D72=1,ISNUMBER(INDEX(Charge!$F:$F,ROW()))),INDEX(Charge!$F:$F,ROW()),0)</f>
        <v>0.0</v>
      </c>
      <c r="EY72" s="169"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c r="FF72" t="str">
        <f>IF(B72=1,LEFT(SUBSTITUTE(SUBSTITUTE(SUBSTITUTE(TRIM(SUBSTITUTE(INDEX(Charge!$B:$B,ROW()),CHAR(160)," "))&amp;" | "&amp;TRIM(SUBSTITUTE(INDEX(Charge!$C:$C,ROW()),CHAR(160)," "))&amp;" | "&amp;TRIM(SUBSTITUTE(INDEX(Charge!$D:$D,ROW()),CHAR(160)," ")),"~","-"),"*","+"),"?","!"),240),"")</f>
        <v/>
      </c>
      <c r="FG72">
        <f>IF(B72=1,MAX(0,N(INDEX(Charge!$M:$M,ROW()))),0)</f>
        <v>0</v>
      </c>
      <c r="FH72" s="170" t="str">
        <f>IF(EO72=1,ROUND(SUMIF($FF$4:$FF$503,EN72,$FG$4:$FG$503),2),"")</f>
        <v/>
      </c>
      <c r="FI72" s="170" t="str">
        <f>IF(EO72=1,ROUND(SUMPRODUCT(($FF$4:$FF$503=EN72)*$FG$4:$FG$503*$C$4:$C$503),2),"")</f>
        <v/>
      </c>
      <c r="FJ72" s="170" t="str">
        <f>IF(EO72=1,MAX(0,ROUND(FH72-FI72,2)),"")</f>
        <v/>
      </c>
      <c r="FK72" s="174" t="str">
        <f>IF(EO72=1,IF(OR(EW72&gt;=2958465,EY72=0,EY72&lt;=EW72),"",IF(TODAY()&lt;=EW72,0,IF(TODAY()&gt;EY72,1,IFERROR(NETWORKDAYS(EW72,TODAY()-1,Data!$K$4:$K$203)/NETWORKDAYS(EW72,EY72,Data!$K$4:$K$203),"")))),"")</f>
        <v/>
      </c>
      <c r="FL72" t="str">
        <f>IF(EO72=1,IF(AND(EY72&gt;0,EY72&lt;TODAY(),ROUND(EU72,4)&lt;1),2,IF(FK72="",0,IF(ROUND(EU72-FK72,4)&lt;-0.15,1,0))),"")</f>
        <v/>
      </c>
      <c r="FM72">
        <f>IF(OR(FA72="",COUNTIF($FA$4:FA71,FA72)&gt;0),0,MAX(0,IF(FB72="Interne",IF(ISNUMBER(INDEX(Data!$F:$F,72)),INDEX(Data!$F:$F,72),p_HeuresETP),IF(ISNUMBER(INDEX(Data!$I:$I,72-$CD$23)),INDEX(Data!$I:$I,72-$CD$23),p_HeuresETP))-IF(FB72="Interne",IF(ISNUMBER(INDEX(Data!$G:$G,72)),INDEX(Data!$G:$G,72),p_ChargeFixe),IF(ISNUMBER(INDEX(Data!$J:$J,72-$CD$23)),INDEX(Data!$J:$J,72-$CD$23),p_ChargeFixe))))</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9" t="str">
        <f>IF(AND(D73=1,ISNUMBER(INDEX(Charge!$N:$N,ROW()))),INDEX(Charge!$N:$N,ROW()),"")</f>
        <v/>
      </c>
      <c r="J73" s="169"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70">
        <f>IF(OR($I73="",$E73=0),0,IF(OR($J73&lt;W$3,$I73&gt;W$2),0,IF($K73=0,IF(AND($I73&gt;=W$3,$I73&lt;=W$2),$E73,0),$E73*NETWORKDAYS(MAX($I73,W$3),MIN($J73,W$2),Data!$K$4:$K$203)/$K73)))</f>
        <v>0</v>
      </c>
      <c r="X73" s="170">
        <f>IF(OR($I73="",$E73=0),0,IF(OR($J73&lt;X$3,$I73&gt;X$2),0,IF($K73=0,IF(AND($I73&gt;=X$3,$I73&lt;=X$2),$E73,0),$E73*NETWORKDAYS(MAX($I73,X$3),MIN($J73,X$2),Data!$K$4:$K$203)/$K73)))</f>
        <v>0</v>
      </c>
      <c r="Y73" s="170">
        <f>IF(OR($I73="",$E73=0),0,IF(OR($J73&lt;Y$3,$I73&gt;Y$2),0,IF($K73=0,IF(AND($I73&gt;=Y$3,$I73&lt;=Y$2),$E73,0),$E73*NETWORKDAYS(MAX($I73,Y$3),MIN($J73,Y$2),Data!$K$4:$K$203)/$K73)))</f>
        <v>0</v>
      </c>
      <c r="Z73" s="170">
        <f>IF(OR($I73="",$E73=0),0,IF(OR($J73&lt;Z$3,$I73&gt;Z$2),0,IF($K73=0,IF(AND($I73&gt;=Z$3,$I73&lt;=Z$2),$E73,0),$E73*NETWORKDAYS(MAX($I73,Z$3),MIN($J73,Z$2),Data!$K$4:$K$203)/$K73)))</f>
        <v>0</v>
      </c>
      <c r="AA73" s="170">
        <f>IF(OR($I73="",$E73=0),0,IF(OR($J73&lt;AA$3,$I73&gt;AA$2),0,IF($K73=0,IF(AND($I73&gt;=AA$3,$I73&lt;=AA$2),$E73,0),$E73*NETWORKDAYS(MAX($I73,AA$3),MIN($J73,AA$2),Data!$K$4:$K$203)/$K73)))</f>
        <v>0</v>
      </c>
      <c r="AB73" s="170">
        <f>IF(OR($I73="",$E73=0),0,IF(OR($J73&lt;AB$3,$I73&gt;AB$2),0,IF($K73=0,IF(AND($I73&gt;=AB$3,$I73&lt;=AB$2),$E73,0),$E73*NETWORKDAYS(MAX($I73,AB$3),MIN($J73,AB$2),Data!$K$4:$K$203)/$K73)))</f>
        <v>0</v>
      </c>
      <c r="AC73" s="170">
        <f>IF(OR($I73="",$E73=0),0,IF(OR($J73&lt;AC$3,$I73&gt;AC$2),0,IF($K73=0,IF(AND($I73&gt;=AC$3,$I73&lt;=AC$2),$E73,0),$E73*NETWORKDAYS(MAX($I73,AC$3),MIN($J73,AC$2),Data!$K$4:$K$203)/$K73)))</f>
        <v>0</v>
      </c>
      <c r="AD73" s="170">
        <f>IF(OR($I73="",$E73=0),0,IF(OR($J73&lt;AD$3,$I73&gt;AD$2),0,IF($K73=0,IF(AND($I73&gt;=AD$3,$I73&lt;=AD$2),$E73,0),$E73*NETWORKDAYS(MAX($I73,AD$3),MIN($J73,AD$2),Data!$K$4:$K$203)/$K73)))</f>
        <v>0</v>
      </c>
      <c r="AE73" s="170">
        <f>IF(OR($I73="",$E73=0),0,IF(OR($J73&lt;AE$3,$I73&gt;AE$2),0,IF($K73=0,IF(AND($I73&gt;=AE$3,$I73&lt;=AE$2),$E73,0),$E73*NETWORKDAYS(MAX($I73,AE$3),MIN($J73,AE$2),Data!$K$4:$K$203)/$K73)))</f>
        <v>0</v>
      </c>
      <c r="AF73" s="170">
        <f>IF(OR($I73="",$E73=0),0,IF(OR($J73&lt;AF$3,$I73&gt;AF$2),0,IF($K73=0,IF(AND($I73&gt;=AF$3,$I73&lt;=AF$2),$E73,0),$E73*NETWORKDAYS(MAX($I73,AF$3),MIN($J73,AF$2),Data!$K$4:$K$203)/$K73)))</f>
        <v>0</v>
      </c>
      <c r="AG73" s="170">
        <f>IF(OR($I73="",$E73=0),0,IF(OR($J73&lt;AG$3,$I73&gt;AG$2),0,IF($K73=0,IF(AND($I73&gt;=AG$3,$I73&lt;=AG$2),$E73,0),$E73*NETWORKDAYS(MAX($I73,AG$3),MIN($J73,AG$2),Data!$K$4:$K$203)/$K73)))</f>
        <v>0</v>
      </c>
      <c r="AH73" s="170">
        <f>IF(OR($I73="",$E73=0),0,IF(OR($J73&lt;AH$3,$I73&gt;AH$2),0,IF($K73=0,IF(AND($I73&gt;=AH$3,$I73&lt;=AH$2),$E73,0),$E73*NETWORKDAYS(MAX($I73,AH$3),MIN($J73,AH$2),Data!$K$4:$K$203)/$K73)))</f>
        <v>0</v>
      </c>
      <c r="AI73" s="170">
        <f>SUM(W73:AH73)</f>
        <v>0</v>
      </c>
      <c r="BW73" t="n">
        <v>70</v>
      </c>
      <c r="BX73" t="str">
        <f>IFERROR(MATCH(BW73,$EQ$4:$EQ$503,0),"")</f>
        <v/>
      </c>
      <c r="BY73" t="str">
        <f>IF(BX73="","",INDEX($FL$4:$FL$503,BX73))</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70"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4" t="str">
        <f>IF(EO73=1,IF(FH73&gt;0,FI73/FH73,AVERAGEIF($FF$4:$FF$503,EN73,$C$4:$C$503)),"")</f>
        <v/>
      </c>
      <c r="EV73" s="169">
        <f>IF(ISNUMBER(I73),I73,2958465)</f>
        <v>2958465.0</v>
      </c>
      <c r="EW73" s="169" t="str">
        <f>IF(EO73=1,SUMPRODUCT(MIN(($EN$4:$EN$503=EN73)*$EV$4:$EV$503+($EN$4:$EN$503&lt;&gt;EN73)*2958465)),"")</f>
        <v/>
      </c>
      <c r="EX73" s="169">
        <f>IF(AND(D73=1,ISNUMBER(INDEX(Charge!$F:$F,ROW()))),INDEX(Charge!$F:$F,ROW()),0)</f>
        <v>0.0</v>
      </c>
      <c r="EY73" s="169"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c r="FF73" t="str">
        <f>IF(B73=1,LEFT(SUBSTITUTE(SUBSTITUTE(SUBSTITUTE(TRIM(SUBSTITUTE(INDEX(Charge!$B:$B,ROW()),CHAR(160)," "))&amp;" | "&amp;TRIM(SUBSTITUTE(INDEX(Charge!$C:$C,ROW()),CHAR(160)," "))&amp;" | "&amp;TRIM(SUBSTITUTE(INDEX(Charge!$D:$D,ROW()),CHAR(160)," ")),"~","-"),"*","+"),"?","!"),240),"")</f>
        <v/>
      </c>
      <c r="FG73">
        <f>IF(B73=1,MAX(0,N(INDEX(Charge!$M:$M,ROW()))),0)</f>
        <v>0</v>
      </c>
      <c r="FH73" s="170" t="str">
        <f>IF(EO73=1,ROUND(SUMIF($FF$4:$FF$503,EN73,$FG$4:$FG$503),2),"")</f>
        <v/>
      </c>
      <c r="FI73" s="170" t="str">
        <f>IF(EO73=1,ROUND(SUMPRODUCT(($FF$4:$FF$503=EN73)*$FG$4:$FG$503*$C$4:$C$503),2),"")</f>
        <v/>
      </c>
      <c r="FJ73" s="170" t="str">
        <f>IF(EO73=1,MAX(0,ROUND(FH73-FI73,2)),"")</f>
        <v/>
      </c>
      <c r="FK73" s="174" t="str">
        <f>IF(EO73=1,IF(OR(EW73&gt;=2958465,EY73=0,EY73&lt;=EW73),"",IF(TODAY()&lt;=EW73,0,IF(TODAY()&gt;EY73,1,IFERROR(NETWORKDAYS(EW73,TODAY()-1,Data!$K$4:$K$203)/NETWORKDAYS(EW73,EY73,Data!$K$4:$K$203),"")))),"")</f>
        <v/>
      </c>
      <c r="FL73" t="str">
        <f>IF(EO73=1,IF(AND(EY73&gt;0,EY73&lt;TODAY(),ROUND(EU73,4)&lt;1),2,IF(FK73="",0,IF(ROUND(EU73-FK73,4)&lt;-0.15,1,0))),"")</f>
        <v/>
      </c>
      <c r="FM73">
        <f>IF(OR(FA73="",COUNTIF($FA$4:FA72,FA73)&gt;0),0,MAX(0,IF(FB73="Interne",IF(ISNUMBER(INDEX(Data!$F:$F,73)),INDEX(Data!$F:$F,73),p_HeuresETP),IF(ISNUMBER(INDEX(Data!$I:$I,73-$CD$23)),INDEX(Data!$I:$I,73-$CD$23),p_HeuresETP))-IF(FB73="Interne",IF(ISNUMBER(INDEX(Data!$G:$G,73)),INDEX(Data!$G:$G,73),p_ChargeFixe),IF(ISNUMBER(INDEX(Data!$J:$J,73-$CD$23)),INDEX(Data!$J:$J,73-$CD$23),p_ChargeFixe))))</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9" t="str">
        <f>IF(AND(D74=1,ISNUMBER(INDEX(Charge!$N:$N,ROW()))),INDEX(Charge!$N:$N,ROW()),"")</f>
        <v/>
      </c>
      <c r="J74" s="169"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70">
        <f>IF(OR($I74="",$E74=0),0,IF(OR($J74&lt;W$3,$I74&gt;W$2),0,IF($K74=0,IF(AND($I74&gt;=W$3,$I74&lt;=W$2),$E74,0),$E74*NETWORKDAYS(MAX($I74,W$3),MIN($J74,W$2),Data!$K$4:$K$203)/$K74)))</f>
        <v>0</v>
      </c>
      <c r="X74" s="170">
        <f>IF(OR($I74="",$E74=0),0,IF(OR($J74&lt;X$3,$I74&gt;X$2),0,IF($K74=0,IF(AND($I74&gt;=X$3,$I74&lt;=X$2),$E74,0),$E74*NETWORKDAYS(MAX($I74,X$3),MIN($J74,X$2),Data!$K$4:$K$203)/$K74)))</f>
        <v>0</v>
      </c>
      <c r="Y74" s="170">
        <f>IF(OR($I74="",$E74=0),0,IF(OR($J74&lt;Y$3,$I74&gt;Y$2),0,IF($K74=0,IF(AND($I74&gt;=Y$3,$I74&lt;=Y$2),$E74,0),$E74*NETWORKDAYS(MAX($I74,Y$3),MIN($J74,Y$2),Data!$K$4:$K$203)/$K74)))</f>
        <v>0</v>
      </c>
      <c r="Z74" s="170">
        <f>IF(OR($I74="",$E74=0),0,IF(OR($J74&lt;Z$3,$I74&gt;Z$2),0,IF($K74=0,IF(AND($I74&gt;=Z$3,$I74&lt;=Z$2),$E74,0),$E74*NETWORKDAYS(MAX($I74,Z$3),MIN($J74,Z$2),Data!$K$4:$K$203)/$K74)))</f>
        <v>0</v>
      </c>
      <c r="AA74" s="170">
        <f>IF(OR($I74="",$E74=0),0,IF(OR($J74&lt;AA$3,$I74&gt;AA$2),0,IF($K74=0,IF(AND($I74&gt;=AA$3,$I74&lt;=AA$2),$E74,0),$E74*NETWORKDAYS(MAX($I74,AA$3),MIN($J74,AA$2),Data!$K$4:$K$203)/$K74)))</f>
        <v>0</v>
      </c>
      <c r="AB74" s="170">
        <f>IF(OR($I74="",$E74=0),0,IF(OR($J74&lt;AB$3,$I74&gt;AB$2),0,IF($K74=0,IF(AND($I74&gt;=AB$3,$I74&lt;=AB$2),$E74,0),$E74*NETWORKDAYS(MAX($I74,AB$3),MIN($J74,AB$2),Data!$K$4:$K$203)/$K74)))</f>
        <v>0</v>
      </c>
      <c r="AC74" s="170">
        <f>IF(OR($I74="",$E74=0),0,IF(OR($J74&lt;AC$3,$I74&gt;AC$2),0,IF($K74=0,IF(AND($I74&gt;=AC$3,$I74&lt;=AC$2),$E74,0),$E74*NETWORKDAYS(MAX($I74,AC$3),MIN($J74,AC$2),Data!$K$4:$K$203)/$K74)))</f>
        <v>0</v>
      </c>
      <c r="AD74" s="170">
        <f>IF(OR($I74="",$E74=0),0,IF(OR($J74&lt;AD$3,$I74&gt;AD$2),0,IF($K74=0,IF(AND($I74&gt;=AD$3,$I74&lt;=AD$2),$E74,0),$E74*NETWORKDAYS(MAX($I74,AD$3),MIN($J74,AD$2),Data!$K$4:$K$203)/$K74)))</f>
        <v>0</v>
      </c>
      <c r="AE74" s="170">
        <f>IF(OR($I74="",$E74=0),0,IF(OR($J74&lt;AE$3,$I74&gt;AE$2),0,IF($K74=0,IF(AND($I74&gt;=AE$3,$I74&lt;=AE$2),$E74,0),$E74*NETWORKDAYS(MAX($I74,AE$3),MIN($J74,AE$2),Data!$K$4:$K$203)/$K74)))</f>
        <v>0</v>
      </c>
      <c r="AF74" s="170">
        <f>IF(OR($I74="",$E74=0),0,IF(OR($J74&lt;AF$3,$I74&gt;AF$2),0,IF($K74=0,IF(AND($I74&gt;=AF$3,$I74&lt;=AF$2),$E74,0),$E74*NETWORKDAYS(MAX($I74,AF$3),MIN($J74,AF$2),Data!$K$4:$K$203)/$K74)))</f>
        <v>0</v>
      </c>
      <c r="AG74" s="170">
        <f>IF(OR($I74="",$E74=0),0,IF(OR($J74&lt;AG$3,$I74&gt;AG$2),0,IF($K74=0,IF(AND($I74&gt;=AG$3,$I74&lt;=AG$2),$E74,0),$E74*NETWORKDAYS(MAX($I74,AG$3),MIN($J74,AG$2),Data!$K$4:$K$203)/$K74)))</f>
        <v>0</v>
      </c>
      <c r="AH74" s="170">
        <f>IF(OR($I74="",$E74=0),0,IF(OR($J74&lt;AH$3,$I74&gt;AH$2),0,IF($K74=0,IF(AND($I74&gt;=AH$3,$I74&lt;=AH$2),$E74,0),$E74*NETWORKDAYS(MAX($I74,AH$3),MIN($J74,AH$2),Data!$K$4:$K$203)/$K74)))</f>
        <v>0</v>
      </c>
      <c r="AI74" s="170">
        <f>SUM(W74:AH74)</f>
        <v>0</v>
      </c>
      <c r="BW74" t="n">
        <v>71</v>
      </c>
      <c r="BX74" t="str">
        <f>IFERROR(MATCH(BW74,$EQ$4:$EQ$503,0),"")</f>
        <v/>
      </c>
      <c r="BY74" t="str">
        <f>IF(BX74="","",INDEX($FL$4:$FL$503,BX74))</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70"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4" t="str">
        <f>IF(EO74=1,IF(FH74&gt;0,FI74/FH74,AVERAGEIF($FF$4:$FF$503,EN74,$C$4:$C$503)),"")</f>
        <v/>
      </c>
      <c r="EV74" s="169">
        <f>IF(ISNUMBER(I74),I74,2958465)</f>
        <v>2958465.0</v>
      </c>
      <c r="EW74" s="169" t="str">
        <f>IF(EO74=1,SUMPRODUCT(MIN(($EN$4:$EN$503=EN74)*$EV$4:$EV$503+($EN$4:$EN$503&lt;&gt;EN74)*2958465)),"")</f>
        <v/>
      </c>
      <c r="EX74" s="169">
        <f>IF(AND(D74=1,ISNUMBER(INDEX(Charge!$F:$F,ROW()))),INDEX(Charge!$F:$F,ROW()),0)</f>
        <v>0.0</v>
      </c>
      <c r="EY74" s="169"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c r="FF74" t="str">
        <f>IF(B74=1,LEFT(SUBSTITUTE(SUBSTITUTE(SUBSTITUTE(TRIM(SUBSTITUTE(INDEX(Charge!$B:$B,ROW()),CHAR(160)," "))&amp;" | "&amp;TRIM(SUBSTITUTE(INDEX(Charge!$C:$C,ROW()),CHAR(160)," "))&amp;" | "&amp;TRIM(SUBSTITUTE(INDEX(Charge!$D:$D,ROW()),CHAR(160)," ")),"~","-"),"*","+"),"?","!"),240),"")</f>
        <v/>
      </c>
      <c r="FG74">
        <f>IF(B74=1,MAX(0,N(INDEX(Charge!$M:$M,ROW()))),0)</f>
        <v>0</v>
      </c>
      <c r="FH74" s="170" t="str">
        <f>IF(EO74=1,ROUND(SUMIF($FF$4:$FF$503,EN74,$FG$4:$FG$503),2),"")</f>
        <v/>
      </c>
      <c r="FI74" s="170" t="str">
        <f>IF(EO74=1,ROUND(SUMPRODUCT(($FF$4:$FF$503=EN74)*$FG$4:$FG$503*$C$4:$C$503),2),"")</f>
        <v/>
      </c>
      <c r="FJ74" s="170" t="str">
        <f>IF(EO74=1,MAX(0,ROUND(FH74-FI74,2)),"")</f>
        <v/>
      </c>
      <c r="FK74" s="174" t="str">
        <f>IF(EO74=1,IF(OR(EW74&gt;=2958465,EY74=0,EY74&lt;=EW74),"",IF(TODAY()&lt;=EW74,0,IF(TODAY()&gt;EY74,1,IFERROR(NETWORKDAYS(EW74,TODAY()-1,Data!$K$4:$K$203)/NETWORKDAYS(EW74,EY74,Data!$K$4:$K$203),"")))),"")</f>
        <v/>
      </c>
      <c r="FL74" t="str">
        <f>IF(EO74=1,IF(AND(EY74&gt;0,EY74&lt;TODAY(),ROUND(EU74,4)&lt;1),2,IF(FK74="",0,IF(ROUND(EU74-FK74,4)&lt;-0.15,1,0))),"")</f>
        <v/>
      </c>
      <c r="FM74">
        <f>IF(OR(FA74="",COUNTIF($FA$4:FA73,FA74)&gt;0),0,MAX(0,IF(FB74="Interne",IF(ISNUMBER(INDEX(Data!$F:$F,74)),INDEX(Data!$F:$F,74),p_HeuresETP),IF(ISNUMBER(INDEX(Data!$I:$I,74-$CD$23)),INDEX(Data!$I:$I,74-$CD$23),p_HeuresETP))-IF(FB74="Interne",IF(ISNUMBER(INDEX(Data!$G:$G,74)),INDEX(Data!$G:$G,74),p_ChargeFixe),IF(ISNUMBER(INDEX(Data!$J:$J,74-$CD$23)),INDEX(Data!$J:$J,74-$CD$23),p_ChargeFixe))))</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9" t="str">
        <f>IF(AND(D75=1,ISNUMBER(INDEX(Charge!$N:$N,ROW()))),INDEX(Charge!$N:$N,ROW()),"")</f>
        <v/>
      </c>
      <c r="J75" s="169"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70">
        <f>IF(OR($I75="",$E75=0),0,IF(OR($J75&lt;W$3,$I75&gt;W$2),0,IF($K75=0,IF(AND($I75&gt;=W$3,$I75&lt;=W$2),$E75,0),$E75*NETWORKDAYS(MAX($I75,W$3),MIN($J75,W$2),Data!$K$4:$K$203)/$K75)))</f>
        <v>0</v>
      </c>
      <c r="X75" s="170">
        <f>IF(OR($I75="",$E75=0),0,IF(OR($J75&lt;X$3,$I75&gt;X$2),0,IF($K75=0,IF(AND($I75&gt;=X$3,$I75&lt;=X$2),$E75,0),$E75*NETWORKDAYS(MAX($I75,X$3),MIN($J75,X$2),Data!$K$4:$K$203)/$K75)))</f>
        <v>0</v>
      </c>
      <c r="Y75" s="170">
        <f>IF(OR($I75="",$E75=0),0,IF(OR($J75&lt;Y$3,$I75&gt;Y$2),0,IF($K75=0,IF(AND($I75&gt;=Y$3,$I75&lt;=Y$2),$E75,0),$E75*NETWORKDAYS(MAX($I75,Y$3),MIN($J75,Y$2),Data!$K$4:$K$203)/$K75)))</f>
        <v>0</v>
      </c>
      <c r="Z75" s="170">
        <f>IF(OR($I75="",$E75=0),0,IF(OR($J75&lt;Z$3,$I75&gt;Z$2),0,IF($K75=0,IF(AND($I75&gt;=Z$3,$I75&lt;=Z$2),$E75,0),$E75*NETWORKDAYS(MAX($I75,Z$3),MIN($J75,Z$2),Data!$K$4:$K$203)/$K75)))</f>
        <v>0</v>
      </c>
      <c r="AA75" s="170">
        <f>IF(OR($I75="",$E75=0),0,IF(OR($J75&lt;AA$3,$I75&gt;AA$2),0,IF($K75=0,IF(AND($I75&gt;=AA$3,$I75&lt;=AA$2),$E75,0),$E75*NETWORKDAYS(MAX($I75,AA$3),MIN($J75,AA$2),Data!$K$4:$K$203)/$K75)))</f>
        <v>0</v>
      </c>
      <c r="AB75" s="170">
        <f>IF(OR($I75="",$E75=0),0,IF(OR($J75&lt;AB$3,$I75&gt;AB$2),0,IF($K75=0,IF(AND($I75&gt;=AB$3,$I75&lt;=AB$2),$E75,0),$E75*NETWORKDAYS(MAX($I75,AB$3),MIN($J75,AB$2),Data!$K$4:$K$203)/$K75)))</f>
        <v>0</v>
      </c>
      <c r="AC75" s="170">
        <f>IF(OR($I75="",$E75=0),0,IF(OR($J75&lt;AC$3,$I75&gt;AC$2),0,IF($K75=0,IF(AND($I75&gt;=AC$3,$I75&lt;=AC$2),$E75,0),$E75*NETWORKDAYS(MAX($I75,AC$3),MIN($J75,AC$2),Data!$K$4:$K$203)/$K75)))</f>
        <v>0</v>
      </c>
      <c r="AD75" s="170">
        <f>IF(OR($I75="",$E75=0),0,IF(OR($J75&lt;AD$3,$I75&gt;AD$2),0,IF($K75=0,IF(AND($I75&gt;=AD$3,$I75&lt;=AD$2),$E75,0),$E75*NETWORKDAYS(MAX($I75,AD$3),MIN($J75,AD$2),Data!$K$4:$K$203)/$K75)))</f>
        <v>0</v>
      </c>
      <c r="AE75" s="170">
        <f>IF(OR($I75="",$E75=0),0,IF(OR($J75&lt;AE$3,$I75&gt;AE$2),0,IF($K75=0,IF(AND($I75&gt;=AE$3,$I75&lt;=AE$2),$E75,0),$E75*NETWORKDAYS(MAX($I75,AE$3),MIN($J75,AE$2),Data!$K$4:$K$203)/$K75)))</f>
        <v>0</v>
      </c>
      <c r="AF75" s="170">
        <f>IF(OR($I75="",$E75=0),0,IF(OR($J75&lt;AF$3,$I75&gt;AF$2),0,IF($K75=0,IF(AND($I75&gt;=AF$3,$I75&lt;=AF$2),$E75,0),$E75*NETWORKDAYS(MAX($I75,AF$3),MIN($J75,AF$2),Data!$K$4:$K$203)/$K75)))</f>
        <v>0</v>
      </c>
      <c r="AG75" s="170">
        <f>IF(OR($I75="",$E75=0),0,IF(OR($J75&lt;AG$3,$I75&gt;AG$2),0,IF($K75=0,IF(AND($I75&gt;=AG$3,$I75&lt;=AG$2),$E75,0),$E75*NETWORKDAYS(MAX($I75,AG$3),MIN($J75,AG$2),Data!$K$4:$K$203)/$K75)))</f>
        <v>0</v>
      </c>
      <c r="AH75" s="170">
        <f>IF(OR($I75="",$E75=0),0,IF(OR($J75&lt;AH$3,$I75&gt;AH$2),0,IF($K75=0,IF(AND($I75&gt;=AH$3,$I75&lt;=AH$2),$E75,0),$E75*NETWORKDAYS(MAX($I75,AH$3),MIN($J75,AH$2),Data!$K$4:$K$203)/$K75)))</f>
        <v>0</v>
      </c>
      <c r="AI75" s="170">
        <f>SUM(W75:AH75)</f>
        <v>0</v>
      </c>
      <c r="BW75" t="n">
        <v>72</v>
      </c>
      <c r="BX75" t="str">
        <f>IFERROR(MATCH(BW75,$EQ$4:$EQ$503,0),"")</f>
        <v/>
      </c>
      <c r="BY75" t="str">
        <f>IF(BX75="","",INDEX($FL$4:$FL$503,BX75))</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70"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4" t="str">
        <f>IF(EO75=1,IF(FH75&gt;0,FI75/FH75,AVERAGEIF($FF$4:$FF$503,EN75,$C$4:$C$503)),"")</f>
        <v/>
      </c>
      <c r="EV75" s="169">
        <f>IF(ISNUMBER(I75),I75,2958465)</f>
        <v>2958465.0</v>
      </c>
      <c r="EW75" s="169" t="str">
        <f>IF(EO75=1,SUMPRODUCT(MIN(($EN$4:$EN$503=EN75)*$EV$4:$EV$503+($EN$4:$EN$503&lt;&gt;EN75)*2958465)),"")</f>
        <v/>
      </c>
      <c r="EX75" s="169">
        <f>IF(AND(D75=1,ISNUMBER(INDEX(Charge!$F:$F,ROW()))),INDEX(Charge!$F:$F,ROW()),0)</f>
        <v>0.0</v>
      </c>
      <c r="EY75" s="169"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c r="FF75" t="str">
        <f>IF(B75=1,LEFT(SUBSTITUTE(SUBSTITUTE(SUBSTITUTE(TRIM(SUBSTITUTE(INDEX(Charge!$B:$B,ROW()),CHAR(160)," "))&amp;" | "&amp;TRIM(SUBSTITUTE(INDEX(Charge!$C:$C,ROW()),CHAR(160)," "))&amp;" | "&amp;TRIM(SUBSTITUTE(INDEX(Charge!$D:$D,ROW()),CHAR(160)," ")),"~","-"),"*","+"),"?","!"),240),"")</f>
        <v/>
      </c>
      <c r="FG75">
        <f>IF(B75=1,MAX(0,N(INDEX(Charge!$M:$M,ROW()))),0)</f>
        <v>0</v>
      </c>
      <c r="FH75" s="170" t="str">
        <f>IF(EO75=1,ROUND(SUMIF($FF$4:$FF$503,EN75,$FG$4:$FG$503),2),"")</f>
        <v/>
      </c>
      <c r="FI75" s="170" t="str">
        <f>IF(EO75=1,ROUND(SUMPRODUCT(($FF$4:$FF$503=EN75)*$FG$4:$FG$503*$C$4:$C$503),2),"")</f>
        <v/>
      </c>
      <c r="FJ75" s="170" t="str">
        <f>IF(EO75=1,MAX(0,ROUND(FH75-FI75,2)),"")</f>
        <v/>
      </c>
      <c r="FK75" s="174" t="str">
        <f>IF(EO75=1,IF(OR(EW75&gt;=2958465,EY75=0,EY75&lt;=EW75),"",IF(TODAY()&lt;=EW75,0,IF(TODAY()&gt;EY75,1,IFERROR(NETWORKDAYS(EW75,TODAY()-1,Data!$K$4:$K$203)/NETWORKDAYS(EW75,EY75,Data!$K$4:$K$203),"")))),"")</f>
        <v/>
      </c>
      <c r="FL75" t="str">
        <f>IF(EO75=1,IF(AND(EY75&gt;0,EY75&lt;TODAY(),ROUND(EU75,4)&lt;1),2,IF(FK75="",0,IF(ROUND(EU75-FK75,4)&lt;-0.15,1,0))),"")</f>
        <v/>
      </c>
      <c r="FM75">
        <f>IF(OR(FA75="",COUNTIF($FA$4:FA74,FA75)&gt;0),0,MAX(0,IF(FB75="Interne",IF(ISNUMBER(INDEX(Data!$F:$F,75)),INDEX(Data!$F:$F,75),p_HeuresETP),IF(ISNUMBER(INDEX(Data!$I:$I,75-$CD$23)),INDEX(Data!$I:$I,75-$CD$23),p_HeuresETP))-IF(FB75="Interne",IF(ISNUMBER(INDEX(Data!$G:$G,75)),INDEX(Data!$G:$G,75),p_ChargeFixe),IF(ISNUMBER(INDEX(Data!$J:$J,75-$CD$23)),INDEX(Data!$J:$J,75-$CD$23),p_ChargeFixe))))</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9" t="str">
        <f>IF(AND(D76=1,ISNUMBER(INDEX(Charge!$N:$N,ROW()))),INDEX(Charge!$N:$N,ROW()),"")</f>
        <v/>
      </c>
      <c r="J76" s="169"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70">
        <f>IF(OR($I76="",$E76=0),0,IF(OR($J76&lt;W$3,$I76&gt;W$2),0,IF($K76=0,IF(AND($I76&gt;=W$3,$I76&lt;=W$2),$E76,0),$E76*NETWORKDAYS(MAX($I76,W$3),MIN($J76,W$2),Data!$K$4:$K$203)/$K76)))</f>
        <v>0</v>
      </c>
      <c r="X76" s="170">
        <f>IF(OR($I76="",$E76=0),0,IF(OR($J76&lt;X$3,$I76&gt;X$2),0,IF($K76=0,IF(AND($I76&gt;=X$3,$I76&lt;=X$2),$E76,0),$E76*NETWORKDAYS(MAX($I76,X$3),MIN($J76,X$2),Data!$K$4:$K$203)/$K76)))</f>
        <v>0</v>
      </c>
      <c r="Y76" s="170">
        <f>IF(OR($I76="",$E76=0),0,IF(OR($J76&lt;Y$3,$I76&gt;Y$2),0,IF($K76=0,IF(AND($I76&gt;=Y$3,$I76&lt;=Y$2),$E76,0),$E76*NETWORKDAYS(MAX($I76,Y$3),MIN($J76,Y$2),Data!$K$4:$K$203)/$K76)))</f>
        <v>0</v>
      </c>
      <c r="Z76" s="170">
        <f>IF(OR($I76="",$E76=0),0,IF(OR($J76&lt;Z$3,$I76&gt;Z$2),0,IF($K76=0,IF(AND($I76&gt;=Z$3,$I76&lt;=Z$2),$E76,0),$E76*NETWORKDAYS(MAX($I76,Z$3),MIN($J76,Z$2),Data!$K$4:$K$203)/$K76)))</f>
        <v>0</v>
      </c>
      <c r="AA76" s="170">
        <f>IF(OR($I76="",$E76=0),0,IF(OR($J76&lt;AA$3,$I76&gt;AA$2),0,IF($K76=0,IF(AND($I76&gt;=AA$3,$I76&lt;=AA$2),$E76,0),$E76*NETWORKDAYS(MAX($I76,AA$3),MIN($J76,AA$2),Data!$K$4:$K$203)/$K76)))</f>
        <v>0</v>
      </c>
      <c r="AB76" s="170">
        <f>IF(OR($I76="",$E76=0),0,IF(OR($J76&lt;AB$3,$I76&gt;AB$2),0,IF($K76=0,IF(AND($I76&gt;=AB$3,$I76&lt;=AB$2),$E76,0),$E76*NETWORKDAYS(MAX($I76,AB$3),MIN($J76,AB$2),Data!$K$4:$K$203)/$K76)))</f>
        <v>0</v>
      </c>
      <c r="AC76" s="170">
        <f>IF(OR($I76="",$E76=0),0,IF(OR($J76&lt;AC$3,$I76&gt;AC$2),0,IF($K76=0,IF(AND($I76&gt;=AC$3,$I76&lt;=AC$2),$E76,0),$E76*NETWORKDAYS(MAX($I76,AC$3),MIN($J76,AC$2),Data!$K$4:$K$203)/$K76)))</f>
        <v>0</v>
      </c>
      <c r="AD76" s="170">
        <f>IF(OR($I76="",$E76=0),0,IF(OR($J76&lt;AD$3,$I76&gt;AD$2),0,IF($K76=0,IF(AND($I76&gt;=AD$3,$I76&lt;=AD$2),$E76,0),$E76*NETWORKDAYS(MAX($I76,AD$3),MIN($J76,AD$2),Data!$K$4:$K$203)/$K76)))</f>
        <v>0</v>
      </c>
      <c r="AE76" s="170">
        <f>IF(OR($I76="",$E76=0),0,IF(OR($J76&lt;AE$3,$I76&gt;AE$2),0,IF($K76=0,IF(AND($I76&gt;=AE$3,$I76&lt;=AE$2),$E76,0),$E76*NETWORKDAYS(MAX($I76,AE$3),MIN($J76,AE$2),Data!$K$4:$K$203)/$K76)))</f>
        <v>0</v>
      </c>
      <c r="AF76" s="170">
        <f>IF(OR($I76="",$E76=0),0,IF(OR($J76&lt;AF$3,$I76&gt;AF$2),0,IF($K76=0,IF(AND($I76&gt;=AF$3,$I76&lt;=AF$2),$E76,0),$E76*NETWORKDAYS(MAX($I76,AF$3),MIN($J76,AF$2),Data!$K$4:$K$203)/$K76)))</f>
        <v>0</v>
      </c>
      <c r="AG76" s="170">
        <f>IF(OR($I76="",$E76=0),0,IF(OR($J76&lt;AG$3,$I76&gt;AG$2),0,IF($K76=0,IF(AND($I76&gt;=AG$3,$I76&lt;=AG$2),$E76,0),$E76*NETWORKDAYS(MAX($I76,AG$3),MIN($J76,AG$2),Data!$K$4:$K$203)/$K76)))</f>
        <v>0</v>
      </c>
      <c r="AH76" s="170">
        <f>IF(OR($I76="",$E76=0),0,IF(OR($J76&lt;AH$3,$I76&gt;AH$2),0,IF($K76=0,IF(AND($I76&gt;=AH$3,$I76&lt;=AH$2),$E76,0),$E76*NETWORKDAYS(MAX($I76,AH$3),MIN($J76,AH$2),Data!$K$4:$K$203)/$K76)))</f>
        <v>0</v>
      </c>
      <c r="AI76" s="170">
        <f>SUM(W76:AH76)</f>
        <v>0</v>
      </c>
      <c r="BW76" t="n">
        <v>73</v>
      </c>
      <c r="BX76" t="str">
        <f>IFERROR(MATCH(BW76,$EQ$4:$EQ$503,0),"")</f>
        <v/>
      </c>
      <c r="BY76" t="str">
        <f>IF(BX76="","",INDEX($FL$4:$FL$503,BX76))</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70"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4" t="str">
        <f>IF(EO76=1,IF(FH76&gt;0,FI76/FH76,AVERAGEIF($FF$4:$FF$503,EN76,$C$4:$C$503)),"")</f>
        <v/>
      </c>
      <c r="EV76" s="169">
        <f>IF(ISNUMBER(I76),I76,2958465)</f>
        <v>2958465.0</v>
      </c>
      <c r="EW76" s="169" t="str">
        <f>IF(EO76=1,SUMPRODUCT(MIN(($EN$4:$EN$503=EN76)*$EV$4:$EV$503+($EN$4:$EN$503&lt;&gt;EN76)*2958465)),"")</f>
        <v/>
      </c>
      <c r="EX76" s="169">
        <f>IF(AND(D76=1,ISNUMBER(INDEX(Charge!$F:$F,ROW()))),INDEX(Charge!$F:$F,ROW()),0)</f>
        <v>0.0</v>
      </c>
      <c r="EY76" s="169"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c r="FF76" t="str">
        <f>IF(B76=1,LEFT(SUBSTITUTE(SUBSTITUTE(SUBSTITUTE(TRIM(SUBSTITUTE(INDEX(Charge!$B:$B,ROW()),CHAR(160)," "))&amp;" | "&amp;TRIM(SUBSTITUTE(INDEX(Charge!$C:$C,ROW()),CHAR(160)," "))&amp;" | "&amp;TRIM(SUBSTITUTE(INDEX(Charge!$D:$D,ROW()),CHAR(160)," ")),"~","-"),"*","+"),"?","!"),240),"")</f>
        <v/>
      </c>
      <c r="FG76">
        <f>IF(B76=1,MAX(0,N(INDEX(Charge!$M:$M,ROW()))),0)</f>
        <v>0</v>
      </c>
      <c r="FH76" s="170" t="str">
        <f>IF(EO76=1,ROUND(SUMIF($FF$4:$FF$503,EN76,$FG$4:$FG$503),2),"")</f>
        <v/>
      </c>
      <c r="FI76" s="170" t="str">
        <f>IF(EO76=1,ROUND(SUMPRODUCT(($FF$4:$FF$503=EN76)*$FG$4:$FG$503*$C$4:$C$503),2),"")</f>
        <v/>
      </c>
      <c r="FJ76" s="170" t="str">
        <f>IF(EO76=1,MAX(0,ROUND(FH76-FI76,2)),"")</f>
        <v/>
      </c>
      <c r="FK76" s="174" t="str">
        <f>IF(EO76=1,IF(OR(EW76&gt;=2958465,EY76=0,EY76&lt;=EW76),"",IF(TODAY()&lt;=EW76,0,IF(TODAY()&gt;EY76,1,IFERROR(NETWORKDAYS(EW76,TODAY()-1,Data!$K$4:$K$203)/NETWORKDAYS(EW76,EY76,Data!$K$4:$K$203),"")))),"")</f>
        <v/>
      </c>
      <c r="FL76" t="str">
        <f>IF(EO76=1,IF(AND(EY76&gt;0,EY76&lt;TODAY(),ROUND(EU76,4)&lt;1),2,IF(FK76="",0,IF(ROUND(EU76-FK76,4)&lt;-0.15,1,0))),"")</f>
        <v/>
      </c>
      <c r="FM76">
        <f>IF(OR(FA76="",COUNTIF($FA$4:FA75,FA76)&gt;0),0,MAX(0,IF(FB76="Interne",IF(ISNUMBER(INDEX(Data!$F:$F,76)),INDEX(Data!$F:$F,76),p_HeuresETP),IF(ISNUMBER(INDEX(Data!$I:$I,76-$CD$23)),INDEX(Data!$I:$I,76-$CD$23),p_HeuresETP))-IF(FB76="Interne",IF(ISNUMBER(INDEX(Data!$G:$G,76)),INDEX(Data!$G:$G,76),p_ChargeFixe),IF(ISNUMBER(INDEX(Data!$J:$J,76-$CD$23)),INDEX(Data!$J:$J,76-$CD$23),p_ChargeFixe))))</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9" t="str">
        <f>IF(AND(D77=1,ISNUMBER(INDEX(Charge!$N:$N,ROW()))),INDEX(Charge!$N:$N,ROW()),"")</f>
        <v/>
      </c>
      <c r="J77" s="169"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70">
        <f>IF(OR($I77="",$E77=0),0,IF(OR($J77&lt;W$3,$I77&gt;W$2),0,IF($K77=0,IF(AND($I77&gt;=W$3,$I77&lt;=W$2),$E77,0),$E77*NETWORKDAYS(MAX($I77,W$3),MIN($J77,W$2),Data!$K$4:$K$203)/$K77)))</f>
        <v>0</v>
      </c>
      <c r="X77" s="170">
        <f>IF(OR($I77="",$E77=0),0,IF(OR($J77&lt;X$3,$I77&gt;X$2),0,IF($K77=0,IF(AND($I77&gt;=X$3,$I77&lt;=X$2),$E77,0),$E77*NETWORKDAYS(MAX($I77,X$3),MIN($J77,X$2),Data!$K$4:$K$203)/$K77)))</f>
        <v>0</v>
      </c>
      <c r="Y77" s="170">
        <f>IF(OR($I77="",$E77=0),0,IF(OR($J77&lt;Y$3,$I77&gt;Y$2),0,IF($K77=0,IF(AND($I77&gt;=Y$3,$I77&lt;=Y$2),$E77,0),$E77*NETWORKDAYS(MAX($I77,Y$3),MIN($J77,Y$2),Data!$K$4:$K$203)/$K77)))</f>
        <v>0</v>
      </c>
      <c r="Z77" s="170">
        <f>IF(OR($I77="",$E77=0),0,IF(OR($J77&lt;Z$3,$I77&gt;Z$2),0,IF($K77=0,IF(AND($I77&gt;=Z$3,$I77&lt;=Z$2),$E77,0),$E77*NETWORKDAYS(MAX($I77,Z$3),MIN($J77,Z$2),Data!$K$4:$K$203)/$K77)))</f>
        <v>0</v>
      </c>
      <c r="AA77" s="170">
        <f>IF(OR($I77="",$E77=0),0,IF(OR($J77&lt;AA$3,$I77&gt;AA$2),0,IF($K77=0,IF(AND($I77&gt;=AA$3,$I77&lt;=AA$2),$E77,0),$E77*NETWORKDAYS(MAX($I77,AA$3),MIN($J77,AA$2),Data!$K$4:$K$203)/$K77)))</f>
        <v>0</v>
      </c>
      <c r="AB77" s="170">
        <f>IF(OR($I77="",$E77=0),0,IF(OR($J77&lt;AB$3,$I77&gt;AB$2),0,IF($K77=0,IF(AND($I77&gt;=AB$3,$I77&lt;=AB$2),$E77,0),$E77*NETWORKDAYS(MAX($I77,AB$3),MIN($J77,AB$2),Data!$K$4:$K$203)/$K77)))</f>
        <v>0</v>
      </c>
      <c r="AC77" s="170">
        <f>IF(OR($I77="",$E77=0),0,IF(OR($J77&lt;AC$3,$I77&gt;AC$2),0,IF($K77=0,IF(AND($I77&gt;=AC$3,$I77&lt;=AC$2),$E77,0),$E77*NETWORKDAYS(MAX($I77,AC$3),MIN($J77,AC$2),Data!$K$4:$K$203)/$K77)))</f>
        <v>0</v>
      </c>
      <c r="AD77" s="170">
        <f>IF(OR($I77="",$E77=0),0,IF(OR($J77&lt;AD$3,$I77&gt;AD$2),0,IF($K77=0,IF(AND($I77&gt;=AD$3,$I77&lt;=AD$2),$E77,0),$E77*NETWORKDAYS(MAX($I77,AD$3),MIN($J77,AD$2),Data!$K$4:$K$203)/$K77)))</f>
        <v>0</v>
      </c>
      <c r="AE77" s="170">
        <f>IF(OR($I77="",$E77=0),0,IF(OR($J77&lt;AE$3,$I77&gt;AE$2),0,IF($K77=0,IF(AND($I77&gt;=AE$3,$I77&lt;=AE$2),$E77,0),$E77*NETWORKDAYS(MAX($I77,AE$3),MIN($J77,AE$2),Data!$K$4:$K$203)/$K77)))</f>
        <v>0</v>
      </c>
      <c r="AF77" s="170">
        <f>IF(OR($I77="",$E77=0),0,IF(OR($J77&lt;AF$3,$I77&gt;AF$2),0,IF($K77=0,IF(AND($I77&gt;=AF$3,$I77&lt;=AF$2),$E77,0),$E77*NETWORKDAYS(MAX($I77,AF$3),MIN($J77,AF$2),Data!$K$4:$K$203)/$K77)))</f>
        <v>0</v>
      </c>
      <c r="AG77" s="170">
        <f>IF(OR($I77="",$E77=0),0,IF(OR($J77&lt;AG$3,$I77&gt;AG$2),0,IF($K77=0,IF(AND($I77&gt;=AG$3,$I77&lt;=AG$2),$E77,0),$E77*NETWORKDAYS(MAX($I77,AG$3),MIN($J77,AG$2),Data!$K$4:$K$203)/$K77)))</f>
        <v>0</v>
      </c>
      <c r="AH77" s="170">
        <f>IF(OR($I77="",$E77=0),0,IF(OR($J77&lt;AH$3,$I77&gt;AH$2),0,IF($K77=0,IF(AND($I77&gt;=AH$3,$I77&lt;=AH$2),$E77,0),$E77*NETWORKDAYS(MAX($I77,AH$3),MIN($J77,AH$2),Data!$K$4:$K$203)/$K77)))</f>
        <v>0</v>
      </c>
      <c r="AI77" s="170">
        <f>SUM(W77:AH77)</f>
        <v>0</v>
      </c>
      <c r="BW77" t="n">
        <v>74</v>
      </c>
      <c r="BX77" t="str">
        <f>IFERROR(MATCH(BW77,$EQ$4:$EQ$503,0),"")</f>
        <v/>
      </c>
      <c r="BY77" t="str">
        <f>IF(BX77="","",INDEX($FL$4:$FL$503,BX77))</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70"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4" t="str">
        <f>IF(EO77=1,IF(FH77&gt;0,FI77/FH77,AVERAGEIF($FF$4:$FF$503,EN77,$C$4:$C$503)),"")</f>
        <v/>
      </c>
      <c r="EV77" s="169">
        <f>IF(ISNUMBER(I77),I77,2958465)</f>
        <v>2958465.0</v>
      </c>
      <c r="EW77" s="169" t="str">
        <f>IF(EO77=1,SUMPRODUCT(MIN(($EN$4:$EN$503=EN77)*$EV$4:$EV$503+($EN$4:$EN$503&lt;&gt;EN77)*2958465)),"")</f>
        <v/>
      </c>
      <c r="EX77" s="169">
        <f>IF(AND(D77=1,ISNUMBER(INDEX(Charge!$F:$F,ROW()))),INDEX(Charge!$F:$F,ROW()),0)</f>
        <v>0.0</v>
      </c>
      <c r="EY77" s="169"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c r="FF77" t="str">
        <f>IF(B77=1,LEFT(SUBSTITUTE(SUBSTITUTE(SUBSTITUTE(TRIM(SUBSTITUTE(INDEX(Charge!$B:$B,ROW()),CHAR(160)," "))&amp;" | "&amp;TRIM(SUBSTITUTE(INDEX(Charge!$C:$C,ROW()),CHAR(160)," "))&amp;" | "&amp;TRIM(SUBSTITUTE(INDEX(Charge!$D:$D,ROW()),CHAR(160)," ")),"~","-"),"*","+"),"?","!"),240),"")</f>
        <v/>
      </c>
      <c r="FG77">
        <f>IF(B77=1,MAX(0,N(INDEX(Charge!$M:$M,ROW()))),0)</f>
        <v>0</v>
      </c>
      <c r="FH77" s="170" t="str">
        <f>IF(EO77=1,ROUND(SUMIF($FF$4:$FF$503,EN77,$FG$4:$FG$503),2),"")</f>
        <v/>
      </c>
      <c r="FI77" s="170" t="str">
        <f>IF(EO77=1,ROUND(SUMPRODUCT(($FF$4:$FF$503=EN77)*$FG$4:$FG$503*$C$4:$C$503),2),"")</f>
        <v/>
      </c>
      <c r="FJ77" s="170" t="str">
        <f>IF(EO77=1,MAX(0,ROUND(FH77-FI77,2)),"")</f>
        <v/>
      </c>
      <c r="FK77" s="174" t="str">
        <f>IF(EO77=1,IF(OR(EW77&gt;=2958465,EY77=0,EY77&lt;=EW77),"",IF(TODAY()&lt;=EW77,0,IF(TODAY()&gt;EY77,1,IFERROR(NETWORKDAYS(EW77,TODAY()-1,Data!$K$4:$K$203)/NETWORKDAYS(EW77,EY77,Data!$K$4:$K$203),"")))),"")</f>
        <v/>
      </c>
      <c r="FL77" t="str">
        <f>IF(EO77=1,IF(AND(EY77&gt;0,EY77&lt;TODAY(),ROUND(EU77,4)&lt;1),2,IF(FK77="",0,IF(ROUND(EU77-FK77,4)&lt;-0.15,1,0))),"")</f>
        <v/>
      </c>
      <c r="FM77">
        <f>IF(OR(FA77="",COUNTIF($FA$4:FA76,FA77)&gt;0),0,MAX(0,IF(FB77="Interne",IF(ISNUMBER(INDEX(Data!$F:$F,77)),INDEX(Data!$F:$F,77),p_HeuresETP),IF(ISNUMBER(INDEX(Data!$I:$I,77-$CD$23)),INDEX(Data!$I:$I,77-$CD$23),p_HeuresETP))-IF(FB77="Interne",IF(ISNUMBER(INDEX(Data!$G:$G,77)),INDEX(Data!$G:$G,77),p_ChargeFixe),IF(ISNUMBER(INDEX(Data!$J:$J,77-$CD$23)),INDEX(Data!$J:$J,77-$CD$23),p_ChargeFixe))))</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9" t="str">
        <f>IF(AND(D78=1,ISNUMBER(INDEX(Charge!$N:$N,ROW()))),INDEX(Charge!$N:$N,ROW()),"")</f>
        <v/>
      </c>
      <c r="J78" s="169"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70">
        <f>IF(OR($I78="",$E78=0),0,IF(OR($J78&lt;W$3,$I78&gt;W$2),0,IF($K78=0,IF(AND($I78&gt;=W$3,$I78&lt;=W$2),$E78,0),$E78*NETWORKDAYS(MAX($I78,W$3),MIN($J78,W$2),Data!$K$4:$K$203)/$K78)))</f>
        <v>0</v>
      </c>
      <c r="X78" s="170">
        <f>IF(OR($I78="",$E78=0),0,IF(OR($J78&lt;X$3,$I78&gt;X$2),0,IF($K78=0,IF(AND($I78&gt;=X$3,$I78&lt;=X$2),$E78,0),$E78*NETWORKDAYS(MAX($I78,X$3),MIN($J78,X$2),Data!$K$4:$K$203)/$K78)))</f>
        <v>0</v>
      </c>
      <c r="Y78" s="170">
        <f>IF(OR($I78="",$E78=0),0,IF(OR($J78&lt;Y$3,$I78&gt;Y$2),0,IF($K78=0,IF(AND($I78&gt;=Y$3,$I78&lt;=Y$2),$E78,0),$E78*NETWORKDAYS(MAX($I78,Y$3),MIN($J78,Y$2),Data!$K$4:$K$203)/$K78)))</f>
        <v>0</v>
      </c>
      <c r="Z78" s="170">
        <f>IF(OR($I78="",$E78=0),0,IF(OR($J78&lt;Z$3,$I78&gt;Z$2),0,IF($K78=0,IF(AND($I78&gt;=Z$3,$I78&lt;=Z$2),$E78,0),$E78*NETWORKDAYS(MAX($I78,Z$3),MIN($J78,Z$2),Data!$K$4:$K$203)/$K78)))</f>
        <v>0</v>
      </c>
      <c r="AA78" s="170">
        <f>IF(OR($I78="",$E78=0),0,IF(OR($J78&lt;AA$3,$I78&gt;AA$2),0,IF($K78=0,IF(AND($I78&gt;=AA$3,$I78&lt;=AA$2),$E78,0),$E78*NETWORKDAYS(MAX($I78,AA$3),MIN($J78,AA$2),Data!$K$4:$K$203)/$K78)))</f>
        <v>0</v>
      </c>
      <c r="AB78" s="170">
        <f>IF(OR($I78="",$E78=0),0,IF(OR($J78&lt;AB$3,$I78&gt;AB$2),0,IF($K78=0,IF(AND($I78&gt;=AB$3,$I78&lt;=AB$2),$E78,0),$E78*NETWORKDAYS(MAX($I78,AB$3),MIN($J78,AB$2),Data!$K$4:$K$203)/$K78)))</f>
        <v>0</v>
      </c>
      <c r="AC78" s="170">
        <f>IF(OR($I78="",$E78=0),0,IF(OR($J78&lt;AC$3,$I78&gt;AC$2),0,IF($K78=0,IF(AND($I78&gt;=AC$3,$I78&lt;=AC$2),$E78,0),$E78*NETWORKDAYS(MAX($I78,AC$3),MIN($J78,AC$2),Data!$K$4:$K$203)/$K78)))</f>
        <v>0</v>
      </c>
      <c r="AD78" s="170">
        <f>IF(OR($I78="",$E78=0),0,IF(OR($J78&lt;AD$3,$I78&gt;AD$2),0,IF($K78=0,IF(AND($I78&gt;=AD$3,$I78&lt;=AD$2),$E78,0),$E78*NETWORKDAYS(MAX($I78,AD$3),MIN($J78,AD$2),Data!$K$4:$K$203)/$K78)))</f>
        <v>0</v>
      </c>
      <c r="AE78" s="170">
        <f>IF(OR($I78="",$E78=0),0,IF(OR($J78&lt;AE$3,$I78&gt;AE$2),0,IF($K78=0,IF(AND($I78&gt;=AE$3,$I78&lt;=AE$2),$E78,0),$E78*NETWORKDAYS(MAX($I78,AE$3),MIN($J78,AE$2),Data!$K$4:$K$203)/$K78)))</f>
        <v>0</v>
      </c>
      <c r="AF78" s="170">
        <f>IF(OR($I78="",$E78=0),0,IF(OR($J78&lt;AF$3,$I78&gt;AF$2),0,IF($K78=0,IF(AND($I78&gt;=AF$3,$I78&lt;=AF$2),$E78,0),$E78*NETWORKDAYS(MAX($I78,AF$3),MIN($J78,AF$2),Data!$K$4:$K$203)/$K78)))</f>
        <v>0</v>
      </c>
      <c r="AG78" s="170">
        <f>IF(OR($I78="",$E78=0),0,IF(OR($J78&lt;AG$3,$I78&gt;AG$2),0,IF($K78=0,IF(AND($I78&gt;=AG$3,$I78&lt;=AG$2),$E78,0),$E78*NETWORKDAYS(MAX($I78,AG$3),MIN($J78,AG$2),Data!$K$4:$K$203)/$K78)))</f>
        <v>0</v>
      </c>
      <c r="AH78" s="170">
        <f>IF(OR($I78="",$E78=0),0,IF(OR($J78&lt;AH$3,$I78&gt;AH$2),0,IF($K78=0,IF(AND($I78&gt;=AH$3,$I78&lt;=AH$2),$E78,0),$E78*NETWORKDAYS(MAX($I78,AH$3),MIN($J78,AH$2),Data!$K$4:$K$203)/$K78)))</f>
        <v>0</v>
      </c>
      <c r="AI78" s="170">
        <f>SUM(W78:AH78)</f>
        <v>0</v>
      </c>
      <c r="BW78" t="n">
        <v>75</v>
      </c>
      <c r="BX78" t="str">
        <f>IFERROR(MATCH(BW78,$EQ$4:$EQ$503,0),"")</f>
        <v/>
      </c>
      <c r="BY78" t="str">
        <f>IF(BX78="","",INDEX($FL$4:$FL$503,BX78))</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70"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4" t="str">
        <f>IF(EO78=1,IF(FH78&gt;0,FI78/FH78,AVERAGEIF($FF$4:$FF$503,EN78,$C$4:$C$503)),"")</f>
        <v/>
      </c>
      <c r="EV78" s="169">
        <f>IF(ISNUMBER(I78),I78,2958465)</f>
        <v>2958465.0</v>
      </c>
      <c r="EW78" s="169" t="str">
        <f>IF(EO78=1,SUMPRODUCT(MIN(($EN$4:$EN$503=EN78)*$EV$4:$EV$503+($EN$4:$EN$503&lt;&gt;EN78)*2958465)),"")</f>
        <v/>
      </c>
      <c r="EX78" s="169">
        <f>IF(AND(D78=1,ISNUMBER(INDEX(Charge!$F:$F,ROW()))),INDEX(Charge!$F:$F,ROW()),0)</f>
        <v>0.0</v>
      </c>
      <c r="EY78" s="169"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c r="FF78" t="str">
        <f>IF(B78=1,LEFT(SUBSTITUTE(SUBSTITUTE(SUBSTITUTE(TRIM(SUBSTITUTE(INDEX(Charge!$B:$B,ROW()),CHAR(160)," "))&amp;" | "&amp;TRIM(SUBSTITUTE(INDEX(Charge!$C:$C,ROW()),CHAR(160)," "))&amp;" | "&amp;TRIM(SUBSTITUTE(INDEX(Charge!$D:$D,ROW()),CHAR(160)," ")),"~","-"),"*","+"),"?","!"),240),"")</f>
        <v/>
      </c>
      <c r="FG78">
        <f>IF(B78=1,MAX(0,N(INDEX(Charge!$M:$M,ROW()))),0)</f>
        <v>0</v>
      </c>
      <c r="FH78" s="170" t="str">
        <f>IF(EO78=1,ROUND(SUMIF($FF$4:$FF$503,EN78,$FG$4:$FG$503),2),"")</f>
        <v/>
      </c>
      <c r="FI78" s="170" t="str">
        <f>IF(EO78=1,ROUND(SUMPRODUCT(($FF$4:$FF$503=EN78)*$FG$4:$FG$503*$C$4:$C$503),2),"")</f>
        <v/>
      </c>
      <c r="FJ78" s="170" t="str">
        <f>IF(EO78=1,MAX(0,ROUND(FH78-FI78,2)),"")</f>
        <v/>
      </c>
      <c r="FK78" s="174" t="str">
        <f>IF(EO78=1,IF(OR(EW78&gt;=2958465,EY78=0,EY78&lt;=EW78),"",IF(TODAY()&lt;=EW78,0,IF(TODAY()&gt;EY78,1,IFERROR(NETWORKDAYS(EW78,TODAY()-1,Data!$K$4:$K$203)/NETWORKDAYS(EW78,EY78,Data!$K$4:$K$203),"")))),"")</f>
        <v/>
      </c>
      <c r="FL78" t="str">
        <f>IF(EO78=1,IF(AND(EY78&gt;0,EY78&lt;TODAY(),ROUND(EU78,4)&lt;1),2,IF(FK78="",0,IF(ROUND(EU78-FK78,4)&lt;-0.15,1,0))),"")</f>
        <v/>
      </c>
      <c r="FM78">
        <f>IF(OR(FA78="",COUNTIF($FA$4:FA77,FA78)&gt;0),0,MAX(0,IF(FB78="Interne",IF(ISNUMBER(INDEX(Data!$F:$F,78)),INDEX(Data!$F:$F,78),p_HeuresETP),IF(ISNUMBER(INDEX(Data!$I:$I,78-$CD$23)),INDEX(Data!$I:$I,78-$CD$23),p_HeuresETP))-IF(FB78="Interne",IF(ISNUMBER(INDEX(Data!$G:$G,78)),INDEX(Data!$G:$G,78),p_ChargeFixe),IF(ISNUMBER(INDEX(Data!$J:$J,78-$CD$23)),INDEX(Data!$J:$J,78-$CD$23),p_ChargeFixe))))</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9" t="str">
        <f>IF(AND(D79=1,ISNUMBER(INDEX(Charge!$N:$N,ROW()))),INDEX(Charge!$N:$N,ROW()),"")</f>
        <v/>
      </c>
      <c r="J79" s="169"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70">
        <f>IF(OR($I79="",$E79=0),0,IF(OR($J79&lt;W$3,$I79&gt;W$2),0,IF($K79=0,IF(AND($I79&gt;=W$3,$I79&lt;=W$2),$E79,0),$E79*NETWORKDAYS(MAX($I79,W$3),MIN($J79,W$2),Data!$K$4:$K$203)/$K79)))</f>
        <v>0</v>
      </c>
      <c r="X79" s="170">
        <f>IF(OR($I79="",$E79=0),0,IF(OR($J79&lt;X$3,$I79&gt;X$2),0,IF($K79=0,IF(AND($I79&gt;=X$3,$I79&lt;=X$2),$E79,0),$E79*NETWORKDAYS(MAX($I79,X$3),MIN($J79,X$2),Data!$K$4:$K$203)/$K79)))</f>
        <v>0</v>
      </c>
      <c r="Y79" s="170">
        <f>IF(OR($I79="",$E79=0),0,IF(OR($J79&lt;Y$3,$I79&gt;Y$2),0,IF($K79=0,IF(AND($I79&gt;=Y$3,$I79&lt;=Y$2),$E79,0),$E79*NETWORKDAYS(MAX($I79,Y$3),MIN($J79,Y$2),Data!$K$4:$K$203)/$K79)))</f>
        <v>0</v>
      </c>
      <c r="Z79" s="170">
        <f>IF(OR($I79="",$E79=0),0,IF(OR($J79&lt;Z$3,$I79&gt;Z$2),0,IF($K79=0,IF(AND($I79&gt;=Z$3,$I79&lt;=Z$2),$E79,0),$E79*NETWORKDAYS(MAX($I79,Z$3),MIN($J79,Z$2),Data!$K$4:$K$203)/$K79)))</f>
        <v>0</v>
      </c>
      <c r="AA79" s="170">
        <f>IF(OR($I79="",$E79=0),0,IF(OR($J79&lt;AA$3,$I79&gt;AA$2),0,IF($K79=0,IF(AND($I79&gt;=AA$3,$I79&lt;=AA$2),$E79,0),$E79*NETWORKDAYS(MAX($I79,AA$3),MIN($J79,AA$2),Data!$K$4:$K$203)/$K79)))</f>
        <v>0</v>
      </c>
      <c r="AB79" s="170">
        <f>IF(OR($I79="",$E79=0),0,IF(OR($J79&lt;AB$3,$I79&gt;AB$2),0,IF($K79=0,IF(AND($I79&gt;=AB$3,$I79&lt;=AB$2),$E79,0),$E79*NETWORKDAYS(MAX($I79,AB$3),MIN($J79,AB$2),Data!$K$4:$K$203)/$K79)))</f>
        <v>0</v>
      </c>
      <c r="AC79" s="170">
        <f>IF(OR($I79="",$E79=0),0,IF(OR($J79&lt;AC$3,$I79&gt;AC$2),0,IF($K79=0,IF(AND($I79&gt;=AC$3,$I79&lt;=AC$2),$E79,0),$E79*NETWORKDAYS(MAX($I79,AC$3),MIN($J79,AC$2),Data!$K$4:$K$203)/$K79)))</f>
        <v>0</v>
      </c>
      <c r="AD79" s="170">
        <f>IF(OR($I79="",$E79=0),0,IF(OR($J79&lt;AD$3,$I79&gt;AD$2),0,IF($K79=0,IF(AND($I79&gt;=AD$3,$I79&lt;=AD$2),$E79,0),$E79*NETWORKDAYS(MAX($I79,AD$3),MIN($J79,AD$2),Data!$K$4:$K$203)/$K79)))</f>
        <v>0</v>
      </c>
      <c r="AE79" s="170">
        <f>IF(OR($I79="",$E79=0),0,IF(OR($J79&lt;AE$3,$I79&gt;AE$2),0,IF($K79=0,IF(AND($I79&gt;=AE$3,$I79&lt;=AE$2),$E79,0),$E79*NETWORKDAYS(MAX($I79,AE$3),MIN($J79,AE$2),Data!$K$4:$K$203)/$K79)))</f>
        <v>0</v>
      </c>
      <c r="AF79" s="170">
        <f>IF(OR($I79="",$E79=0),0,IF(OR($J79&lt;AF$3,$I79&gt;AF$2),0,IF($K79=0,IF(AND($I79&gt;=AF$3,$I79&lt;=AF$2),$E79,0),$E79*NETWORKDAYS(MAX($I79,AF$3),MIN($J79,AF$2),Data!$K$4:$K$203)/$K79)))</f>
        <v>0</v>
      </c>
      <c r="AG79" s="170">
        <f>IF(OR($I79="",$E79=0),0,IF(OR($J79&lt;AG$3,$I79&gt;AG$2),0,IF($K79=0,IF(AND($I79&gt;=AG$3,$I79&lt;=AG$2),$E79,0),$E79*NETWORKDAYS(MAX($I79,AG$3),MIN($J79,AG$2),Data!$K$4:$K$203)/$K79)))</f>
        <v>0</v>
      </c>
      <c r="AH79" s="170">
        <f>IF(OR($I79="",$E79=0),0,IF(OR($J79&lt;AH$3,$I79&gt;AH$2),0,IF($K79=0,IF(AND($I79&gt;=AH$3,$I79&lt;=AH$2),$E79,0),$E79*NETWORKDAYS(MAX($I79,AH$3),MIN($J79,AH$2),Data!$K$4:$K$203)/$K79)))</f>
        <v>0</v>
      </c>
      <c r="AI79" s="170">
        <f>SUM(W79:AH79)</f>
        <v>0</v>
      </c>
      <c r="BW79" t="n">
        <v>76</v>
      </c>
      <c r="BX79" t="str">
        <f>IFERROR(MATCH(BW79,$EQ$4:$EQ$503,0),"")</f>
        <v/>
      </c>
      <c r="BY79" t="str">
        <f>IF(BX79="","",INDEX($FL$4:$FL$503,BX79))</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70"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4" t="str">
        <f>IF(EO79=1,IF(FH79&gt;0,FI79/FH79,AVERAGEIF($FF$4:$FF$503,EN79,$C$4:$C$503)),"")</f>
        <v/>
      </c>
      <c r="EV79" s="169">
        <f>IF(ISNUMBER(I79),I79,2958465)</f>
        <v>2958465.0</v>
      </c>
      <c r="EW79" s="169" t="str">
        <f>IF(EO79=1,SUMPRODUCT(MIN(($EN$4:$EN$503=EN79)*$EV$4:$EV$503+($EN$4:$EN$503&lt;&gt;EN79)*2958465)),"")</f>
        <v/>
      </c>
      <c r="EX79" s="169">
        <f>IF(AND(D79=1,ISNUMBER(INDEX(Charge!$F:$F,ROW()))),INDEX(Charge!$F:$F,ROW()),0)</f>
        <v>0.0</v>
      </c>
      <c r="EY79" s="169"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c r="FF79" t="str">
        <f>IF(B79=1,LEFT(SUBSTITUTE(SUBSTITUTE(SUBSTITUTE(TRIM(SUBSTITUTE(INDEX(Charge!$B:$B,ROW()),CHAR(160)," "))&amp;" | "&amp;TRIM(SUBSTITUTE(INDEX(Charge!$C:$C,ROW()),CHAR(160)," "))&amp;" | "&amp;TRIM(SUBSTITUTE(INDEX(Charge!$D:$D,ROW()),CHAR(160)," ")),"~","-"),"*","+"),"?","!"),240),"")</f>
        <v/>
      </c>
      <c r="FG79">
        <f>IF(B79=1,MAX(0,N(INDEX(Charge!$M:$M,ROW()))),0)</f>
        <v>0</v>
      </c>
      <c r="FH79" s="170" t="str">
        <f>IF(EO79=1,ROUND(SUMIF($FF$4:$FF$503,EN79,$FG$4:$FG$503),2),"")</f>
        <v/>
      </c>
      <c r="FI79" s="170" t="str">
        <f>IF(EO79=1,ROUND(SUMPRODUCT(($FF$4:$FF$503=EN79)*$FG$4:$FG$503*$C$4:$C$503),2),"")</f>
        <v/>
      </c>
      <c r="FJ79" s="170" t="str">
        <f>IF(EO79=1,MAX(0,ROUND(FH79-FI79,2)),"")</f>
        <v/>
      </c>
      <c r="FK79" s="174" t="str">
        <f>IF(EO79=1,IF(OR(EW79&gt;=2958465,EY79=0,EY79&lt;=EW79),"",IF(TODAY()&lt;=EW79,0,IF(TODAY()&gt;EY79,1,IFERROR(NETWORKDAYS(EW79,TODAY()-1,Data!$K$4:$K$203)/NETWORKDAYS(EW79,EY79,Data!$K$4:$K$203),"")))),"")</f>
        <v/>
      </c>
      <c r="FL79" t="str">
        <f>IF(EO79=1,IF(AND(EY79&gt;0,EY79&lt;TODAY(),ROUND(EU79,4)&lt;1),2,IF(FK79="",0,IF(ROUND(EU79-FK79,4)&lt;-0.15,1,0))),"")</f>
        <v/>
      </c>
      <c r="FM79">
        <f>IF(OR(FA79="",COUNTIF($FA$4:FA78,FA79)&gt;0),0,MAX(0,IF(FB79="Interne",IF(ISNUMBER(INDEX(Data!$F:$F,79)),INDEX(Data!$F:$F,79),p_HeuresETP),IF(ISNUMBER(INDEX(Data!$I:$I,79-$CD$23)),INDEX(Data!$I:$I,79-$CD$23),p_HeuresETP))-IF(FB79="Interne",IF(ISNUMBER(INDEX(Data!$G:$G,79)),INDEX(Data!$G:$G,79),p_ChargeFixe),IF(ISNUMBER(INDEX(Data!$J:$J,79-$CD$23)),INDEX(Data!$J:$J,79-$CD$23),p_ChargeFixe))))</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9" t="str">
        <f>IF(AND(D80=1,ISNUMBER(INDEX(Charge!$N:$N,ROW()))),INDEX(Charge!$N:$N,ROW()),"")</f>
        <v/>
      </c>
      <c r="J80" s="169"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70">
        <f>IF(OR($I80="",$E80=0),0,IF(OR($J80&lt;W$3,$I80&gt;W$2),0,IF($K80=0,IF(AND($I80&gt;=W$3,$I80&lt;=W$2),$E80,0),$E80*NETWORKDAYS(MAX($I80,W$3),MIN($J80,W$2),Data!$K$4:$K$203)/$K80)))</f>
        <v>0</v>
      </c>
      <c r="X80" s="170">
        <f>IF(OR($I80="",$E80=0),0,IF(OR($J80&lt;X$3,$I80&gt;X$2),0,IF($K80=0,IF(AND($I80&gt;=X$3,$I80&lt;=X$2),$E80,0),$E80*NETWORKDAYS(MAX($I80,X$3),MIN($J80,X$2),Data!$K$4:$K$203)/$K80)))</f>
        <v>0</v>
      </c>
      <c r="Y80" s="170">
        <f>IF(OR($I80="",$E80=0),0,IF(OR($J80&lt;Y$3,$I80&gt;Y$2),0,IF($K80=0,IF(AND($I80&gt;=Y$3,$I80&lt;=Y$2),$E80,0),$E80*NETWORKDAYS(MAX($I80,Y$3),MIN($J80,Y$2),Data!$K$4:$K$203)/$K80)))</f>
        <v>0</v>
      </c>
      <c r="Z80" s="170">
        <f>IF(OR($I80="",$E80=0),0,IF(OR($J80&lt;Z$3,$I80&gt;Z$2),0,IF($K80=0,IF(AND($I80&gt;=Z$3,$I80&lt;=Z$2),$E80,0),$E80*NETWORKDAYS(MAX($I80,Z$3),MIN($J80,Z$2),Data!$K$4:$K$203)/$K80)))</f>
        <v>0</v>
      </c>
      <c r="AA80" s="170">
        <f>IF(OR($I80="",$E80=0),0,IF(OR($J80&lt;AA$3,$I80&gt;AA$2),0,IF($K80=0,IF(AND($I80&gt;=AA$3,$I80&lt;=AA$2),$E80,0),$E80*NETWORKDAYS(MAX($I80,AA$3),MIN($J80,AA$2),Data!$K$4:$K$203)/$K80)))</f>
        <v>0</v>
      </c>
      <c r="AB80" s="170">
        <f>IF(OR($I80="",$E80=0),0,IF(OR($J80&lt;AB$3,$I80&gt;AB$2),0,IF($K80=0,IF(AND($I80&gt;=AB$3,$I80&lt;=AB$2),$E80,0),$E80*NETWORKDAYS(MAX($I80,AB$3),MIN($J80,AB$2),Data!$K$4:$K$203)/$K80)))</f>
        <v>0</v>
      </c>
      <c r="AC80" s="170">
        <f>IF(OR($I80="",$E80=0),0,IF(OR($J80&lt;AC$3,$I80&gt;AC$2),0,IF($K80=0,IF(AND($I80&gt;=AC$3,$I80&lt;=AC$2),$E80,0),$E80*NETWORKDAYS(MAX($I80,AC$3),MIN($J80,AC$2),Data!$K$4:$K$203)/$K80)))</f>
        <v>0</v>
      </c>
      <c r="AD80" s="170">
        <f>IF(OR($I80="",$E80=0),0,IF(OR($J80&lt;AD$3,$I80&gt;AD$2),0,IF($K80=0,IF(AND($I80&gt;=AD$3,$I80&lt;=AD$2),$E80,0),$E80*NETWORKDAYS(MAX($I80,AD$3),MIN($J80,AD$2),Data!$K$4:$K$203)/$K80)))</f>
        <v>0</v>
      </c>
      <c r="AE80" s="170">
        <f>IF(OR($I80="",$E80=0),0,IF(OR($J80&lt;AE$3,$I80&gt;AE$2),0,IF($K80=0,IF(AND($I80&gt;=AE$3,$I80&lt;=AE$2),$E80,0),$E80*NETWORKDAYS(MAX($I80,AE$3),MIN($J80,AE$2),Data!$K$4:$K$203)/$K80)))</f>
        <v>0</v>
      </c>
      <c r="AF80" s="170">
        <f>IF(OR($I80="",$E80=0),0,IF(OR($J80&lt;AF$3,$I80&gt;AF$2),0,IF($K80=0,IF(AND($I80&gt;=AF$3,$I80&lt;=AF$2),$E80,0),$E80*NETWORKDAYS(MAX($I80,AF$3),MIN($J80,AF$2),Data!$K$4:$K$203)/$K80)))</f>
        <v>0</v>
      </c>
      <c r="AG80" s="170">
        <f>IF(OR($I80="",$E80=0),0,IF(OR($J80&lt;AG$3,$I80&gt;AG$2),0,IF($K80=0,IF(AND($I80&gt;=AG$3,$I80&lt;=AG$2),$E80,0),$E80*NETWORKDAYS(MAX($I80,AG$3),MIN($J80,AG$2),Data!$K$4:$K$203)/$K80)))</f>
        <v>0</v>
      </c>
      <c r="AH80" s="170">
        <f>IF(OR($I80="",$E80=0),0,IF(OR($J80&lt;AH$3,$I80&gt;AH$2),0,IF($K80=0,IF(AND($I80&gt;=AH$3,$I80&lt;=AH$2),$E80,0),$E80*NETWORKDAYS(MAX($I80,AH$3),MIN($J80,AH$2),Data!$K$4:$K$203)/$K80)))</f>
        <v>0</v>
      </c>
      <c r="AI80" s="170">
        <f>SUM(W80:AH80)</f>
        <v>0</v>
      </c>
      <c r="BW80" t="n">
        <v>77</v>
      </c>
      <c r="BX80" t="str">
        <f>IFERROR(MATCH(BW80,$EQ$4:$EQ$503,0),"")</f>
        <v/>
      </c>
      <c r="BY80" t="str">
        <f>IF(BX80="","",INDEX($FL$4:$FL$503,BX80))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70"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4" t="str">
        <f>IF(EO80=1,IF(FH80&gt;0,FI80/FH80,AVERAGEIF($FF$4:$FF$503,EN80,$C$4:$C$503)),"")</f>
        <v/>
      </c>
      <c r="EV80" s="169">
        <f>IF(ISNUMBER(I80),I80,2958465)</f>
        <v>2958465.0</v>
      </c>
      <c r="EW80" s="169" t="str">
        <f>IF(EO80=1,SUMPRODUCT(MIN(($EN$4:$EN$503=EN80)*$EV$4:$EV$503+($EN$4:$EN$503&lt;&gt;EN80)*2958465)),"")</f>
        <v/>
      </c>
      <c r="EX80" s="169">
        <f>IF(AND(D80=1,ISNUMBER(INDEX(Charge!$F:$F,ROW()))),INDEX(Charge!$F:$F,ROW()),0)</f>
        <v>0.0</v>
      </c>
      <c r="EY80" s="169"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c r="FF80" t="str">
        <f>IF(B80=1,LEFT(SUBSTITUTE(SUBSTITUTE(SUBSTITUTE(TRIM(SUBSTITUTE(INDEX(Charge!$B:$B,ROW()),CHAR(160)," "))&amp;" | "&amp;TRIM(SUBSTITUTE(INDEX(Charge!$C:$C,ROW()),CHAR(160)," "))&amp;" | "&amp;TRIM(SUBSTITUTE(INDEX(Charge!$D:$D,ROW()),CHAR(160)," ")),"~","-"),"*","+"),"?","!"),240),"")</f>
        <v/>
      </c>
      <c r="FG80">
        <f>IF(B80=1,MAX(0,N(INDEX(Charge!$M:$M,ROW()))),0)</f>
        <v>0</v>
      </c>
      <c r="FH80" s="170" t="str">
        <f>IF(EO80=1,ROUND(SUMIF($FF$4:$FF$503,EN80,$FG$4:$FG$503),2),"")</f>
        <v/>
      </c>
      <c r="FI80" s="170" t="str">
        <f>IF(EO80=1,ROUND(SUMPRODUCT(($FF$4:$FF$503=EN80)*$FG$4:$FG$503*$C$4:$C$503),2),"")</f>
        <v/>
      </c>
      <c r="FJ80" s="170" t="str">
        <f>IF(EO80=1,MAX(0,ROUND(FH80-FI80,2)),"")</f>
        <v/>
      </c>
      <c r="FK80" s="174" t="str">
        <f>IF(EO80=1,IF(OR(EW80&gt;=2958465,EY80=0,EY80&lt;=EW80),"",IF(TODAY()&lt;=EW80,0,IF(TODAY()&gt;EY80,1,IFERROR(NETWORKDAYS(EW80,TODAY()-1,Data!$K$4:$K$203)/NETWORKDAYS(EW80,EY80,Data!$K$4:$K$203),"")))),"")</f>
        <v/>
      </c>
      <c r="FL80" t="str">
        <f>IF(EO80=1,IF(AND(EY80&gt;0,EY80&lt;TODAY(),ROUND(EU80,4)&lt;1),2,IF(FK80="",0,IF(ROUND(EU80-FK80,4)&lt;-0.15,1,0))),"")</f>
        <v/>
      </c>
      <c r="FM80">
        <f>IF(OR(FA80="",COUNTIF($FA$4:FA79,FA80)&gt;0),0,MAX(0,IF(FB80="Interne",IF(ISNUMBER(INDEX(Data!$F:$F,80)),INDEX(Data!$F:$F,80),p_HeuresETP),IF(ISNUMBER(INDEX(Data!$I:$I,80-$CD$23)),INDEX(Data!$I:$I,80-$CD$23),p_HeuresETP))-IF(FB80="Interne",IF(ISNUMBER(INDEX(Data!$G:$G,80)),INDEX(Data!$G:$G,80),p_ChargeFixe),IF(ISNUMBER(INDEX(Data!$J:$J,80-$CD$23)),INDEX(Data!$J:$J,80-$CD$23),p_ChargeFixe))))</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9" t="str">
        <f>IF(AND(D81=1,ISNUMBER(INDEX(Charge!$N:$N,ROW()))),INDEX(Charge!$N:$N,ROW()),"")</f>
        <v/>
      </c>
      <c r="J81" s="169"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70">
        <f>IF(OR($I81="",$E81=0),0,IF(OR($J81&lt;W$3,$I81&gt;W$2),0,IF($K81=0,IF(AND($I81&gt;=W$3,$I81&lt;=W$2),$E81,0),$E81*NETWORKDAYS(MAX($I81,W$3),MIN($J81,W$2),Data!$K$4:$K$203)/$K81)))</f>
        <v>0</v>
      </c>
      <c r="X81" s="170">
        <f>IF(OR($I81="",$E81=0),0,IF(OR($J81&lt;X$3,$I81&gt;X$2),0,IF($K81=0,IF(AND($I81&gt;=X$3,$I81&lt;=X$2),$E81,0),$E81*NETWORKDAYS(MAX($I81,X$3),MIN($J81,X$2),Data!$K$4:$K$203)/$K81)))</f>
        <v>0</v>
      </c>
      <c r="Y81" s="170">
        <f>IF(OR($I81="",$E81=0),0,IF(OR($J81&lt;Y$3,$I81&gt;Y$2),0,IF($K81=0,IF(AND($I81&gt;=Y$3,$I81&lt;=Y$2),$E81,0),$E81*NETWORKDAYS(MAX($I81,Y$3),MIN($J81,Y$2),Data!$K$4:$K$203)/$K81)))</f>
        <v>0</v>
      </c>
      <c r="Z81" s="170">
        <f>IF(OR($I81="",$E81=0),0,IF(OR($J81&lt;Z$3,$I81&gt;Z$2),0,IF($K81=0,IF(AND($I81&gt;=Z$3,$I81&lt;=Z$2),$E81,0),$E81*NETWORKDAYS(MAX($I81,Z$3),MIN($J81,Z$2),Data!$K$4:$K$203)/$K81)))</f>
        <v>0</v>
      </c>
      <c r="AA81" s="170">
        <f>IF(OR($I81="",$E81=0),0,IF(OR($J81&lt;AA$3,$I81&gt;AA$2),0,IF($K81=0,IF(AND($I81&gt;=AA$3,$I81&lt;=AA$2),$E81,0),$E81*NETWORKDAYS(MAX($I81,AA$3),MIN($J81,AA$2),Data!$K$4:$K$203)/$K81)))</f>
        <v>0</v>
      </c>
      <c r="AB81" s="170">
        <f>IF(OR($I81="",$E81=0),0,IF(OR($J81&lt;AB$3,$I81&gt;AB$2),0,IF($K81=0,IF(AND($I81&gt;=AB$3,$I81&lt;=AB$2),$E81,0),$E81*NETWORKDAYS(MAX($I81,AB$3),MIN($J81,AB$2),Data!$K$4:$K$203)/$K81)))</f>
        <v>0</v>
      </c>
      <c r="AC81" s="170">
        <f>IF(OR($I81="",$E81=0),0,IF(OR($J81&lt;AC$3,$I81&gt;AC$2),0,IF($K81=0,IF(AND($I81&gt;=AC$3,$I81&lt;=AC$2),$E81,0),$E81*NETWORKDAYS(MAX($I81,AC$3),MIN($J81,AC$2),Data!$K$4:$K$203)/$K81)))</f>
        <v>0</v>
      </c>
      <c r="AD81" s="170">
        <f>IF(OR($I81="",$E81=0),0,IF(OR($J81&lt;AD$3,$I81&gt;AD$2),0,IF($K81=0,IF(AND($I81&gt;=AD$3,$I81&lt;=AD$2),$E81,0),$E81*NETWORKDAYS(MAX($I81,AD$3),MIN($J81,AD$2),Data!$K$4:$K$203)/$K81)))</f>
        <v>0</v>
      </c>
      <c r="AE81" s="170">
        <f>IF(OR($I81="",$E81=0),0,IF(OR($J81&lt;AE$3,$I81&gt;AE$2),0,IF($K81=0,IF(AND($I81&gt;=AE$3,$I81&lt;=AE$2),$E81,0),$E81*NETWORKDAYS(MAX($I81,AE$3),MIN($J81,AE$2),Data!$K$4:$K$203)/$K81)))</f>
        <v>0</v>
      </c>
      <c r="AF81" s="170">
        <f>IF(OR($I81="",$E81=0),0,IF(OR($J81&lt;AF$3,$I81&gt;AF$2),0,IF($K81=0,IF(AND($I81&gt;=AF$3,$I81&lt;=AF$2),$E81,0),$E81*NETWORKDAYS(MAX($I81,AF$3),MIN($J81,AF$2),Data!$K$4:$K$203)/$K81)))</f>
        <v>0</v>
      </c>
      <c r="AG81" s="170">
        <f>IF(OR($I81="",$E81=0),0,IF(OR($J81&lt;AG$3,$I81&gt;AG$2),0,IF($K81=0,IF(AND($I81&gt;=AG$3,$I81&lt;=AG$2),$E81,0),$E81*NETWORKDAYS(MAX($I81,AG$3),MIN($J81,AG$2),Data!$K$4:$K$203)/$K81)))</f>
        <v>0</v>
      </c>
      <c r="AH81" s="170">
        <f>IF(OR($I81="",$E81=0),0,IF(OR($J81&lt;AH$3,$I81&gt;AH$2),0,IF($K81=0,IF(AND($I81&gt;=AH$3,$I81&lt;=AH$2),$E81,0),$E81*NETWORKDAYS(MAX($I81,AH$3),MIN($J81,AH$2),Data!$K$4:$K$203)/$K81)))</f>
        <v>0</v>
      </c>
      <c r="AI81" s="170">
        <f>SUM(W81:AH81)</f>
        <v>0</v>
      </c>
      <c r="BW81" t="n">
        <v>78</v>
      </c>
      <c r="BX81" t="str">
        <f>IFERROR(MATCH(BW81,$EQ$4:$EQ$503,0),"")</f>
        <v/>
      </c>
      <c r="BY81" t="str">
        <f>IF(BX81="","",INDEX($FL$4:$FL$503,BX81))</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70"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4" t="str">
        <f>IF(EO81=1,IF(FH81&gt;0,FI81/FH81,AVERAGEIF($FF$4:$FF$503,EN81,$C$4:$C$503)),"")</f>
        <v/>
      </c>
      <c r="EV81" s="169">
        <f>IF(ISNUMBER(I81),I81,2958465)</f>
        <v>2958465.0</v>
      </c>
      <c r="EW81" s="169" t="str">
        <f>IF(EO81=1,SUMPRODUCT(MIN(($EN$4:$EN$503=EN81)*$EV$4:$EV$503+($EN$4:$EN$503&lt;&gt;EN81)*2958465)),"")</f>
        <v/>
      </c>
      <c r="EX81" s="169">
        <f>IF(AND(D81=1,ISNUMBER(INDEX(Charge!$F:$F,ROW()))),INDEX(Charge!$F:$F,ROW()),0)</f>
        <v>0.0</v>
      </c>
      <c r="EY81" s="169"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c r="FF81" t="str">
        <f>IF(B81=1,LEFT(SUBSTITUTE(SUBSTITUTE(SUBSTITUTE(TRIM(SUBSTITUTE(INDEX(Charge!$B:$B,ROW()),CHAR(160)," "))&amp;" | "&amp;TRIM(SUBSTITUTE(INDEX(Charge!$C:$C,ROW()),CHAR(160)," "))&amp;" | "&amp;TRIM(SUBSTITUTE(INDEX(Charge!$D:$D,ROW()),CHAR(160)," ")),"~","-"),"*","+"),"?","!"),240),"")</f>
        <v/>
      </c>
      <c r="FG81">
        <f>IF(B81=1,MAX(0,N(INDEX(Charge!$M:$M,ROW()))),0)</f>
        <v>0</v>
      </c>
      <c r="FH81" s="170" t="str">
        <f>IF(EO81=1,ROUND(SUMIF($FF$4:$FF$503,EN81,$FG$4:$FG$503),2),"")</f>
        <v/>
      </c>
      <c r="FI81" s="170" t="str">
        <f>IF(EO81=1,ROUND(SUMPRODUCT(($FF$4:$FF$503=EN81)*$FG$4:$FG$503*$C$4:$C$503),2),"")</f>
        <v/>
      </c>
      <c r="FJ81" s="170" t="str">
        <f>IF(EO81=1,MAX(0,ROUND(FH81-FI81,2)),"")</f>
        <v/>
      </c>
      <c r="FK81" s="174" t="str">
        <f>IF(EO81=1,IF(OR(EW81&gt;=2958465,EY81=0,EY81&lt;=EW81),"",IF(TODAY()&lt;=EW81,0,IF(TODAY()&gt;EY81,1,IFERROR(NETWORKDAYS(EW81,TODAY()-1,Data!$K$4:$K$203)/NETWORKDAYS(EW81,EY81,Data!$K$4:$K$203),"")))),"")</f>
        <v/>
      </c>
      <c r="FL81" t="str">
        <f>IF(EO81=1,IF(AND(EY81&gt;0,EY81&lt;TODAY(),ROUND(EU81,4)&lt;1),2,IF(FK81="",0,IF(ROUND(EU81-FK81,4)&lt;-0.15,1,0))),"")</f>
        <v/>
      </c>
      <c r="FM81">
        <f>IF(OR(FA81="",COUNTIF($FA$4:FA80,FA81)&gt;0),0,MAX(0,IF(FB81="Interne",IF(ISNUMBER(INDEX(Data!$F:$F,81)),INDEX(Data!$F:$F,81),p_HeuresETP),IF(ISNUMBER(INDEX(Data!$I:$I,81-$CD$23)),INDEX(Data!$I:$I,81-$CD$23),p_HeuresETP))-IF(FB81="Interne",IF(ISNUMBER(INDEX(Data!$G:$G,81)),INDEX(Data!$G:$G,81),p_ChargeFixe),IF(ISNUMBER(INDEX(Data!$J:$J,81-$CD$23)),INDEX(Data!$J:$J,81-$CD$23),p_ChargeFixe))))</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9" t="str">
        <f>IF(AND(D82=1,ISNUMBER(INDEX(Charge!$N:$N,ROW()))),INDEX(Charge!$N:$N,ROW()),"")</f>
        <v/>
      </c>
      <c r="J82" s="169"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70">
        <f>IF(OR($I82="",$E82=0),0,IF(OR($J82&lt;W$3,$I82&gt;W$2),0,IF($K82=0,IF(AND($I82&gt;=W$3,$I82&lt;=W$2),$E82,0),$E82*NETWORKDAYS(MAX($I82,W$3),MIN($J82,W$2),Data!$K$4:$K$203)/$K82)))</f>
        <v>0</v>
      </c>
      <c r="X82" s="170">
        <f>IF(OR($I82="",$E82=0),0,IF(OR($J82&lt;X$3,$I82&gt;X$2),0,IF($K82=0,IF(AND($I82&gt;=X$3,$I82&lt;=X$2),$E82,0),$E82*NETWORKDAYS(MAX($I82,X$3),MIN($J82,X$2),Data!$K$4:$K$203)/$K82)))</f>
        <v>0</v>
      </c>
      <c r="Y82" s="170">
        <f>IF(OR($I82="",$E82=0),0,IF(OR($J82&lt;Y$3,$I82&gt;Y$2),0,IF($K82=0,IF(AND($I82&gt;=Y$3,$I82&lt;=Y$2),$E82,0),$E82*NETWORKDAYS(MAX($I82,Y$3),MIN($J82,Y$2),Data!$K$4:$K$203)/$K82)))</f>
        <v>0</v>
      </c>
      <c r="Z82" s="170">
        <f>IF(OR($I82="",$E82=0),0,IF(OR($J82&lt;Z$3,$I82&gt;Z$2),0,IF($K82=0,IF(AND($I82&gt;=Z$3,$I82&lt;=Z$2),$E82,0),$E82*NETWORKDAYS(MAX($I82,Z$3),MIN($J82,Z$2),Data!$K$4:$K$203)/$K82)))</f>
        <v>0</v>
      </c>
      <c r="AA82" s="170">
        <f>IF(OR($I82="",$E82=0),0,IF(OR($J82&lt;AA$3,$I82&gt;AA$2),0,IF($K82=0,IF(AND($I82&gt;=AA$3,$I82&lt;=AA$2),$E82,0),$E82*NETWORKDAYS(MAX($I82,AA$3),MIN($J82,AA$2),Data!$K$4:$K$203)/$K82)))</f>
        <v>0</v>
      </c>
      <c r="AB82" s="170">
        <f>IF(OR($I82="",$E82=0),0,IF(OR($J82&lt;AB$3,$I82&gt;AB$2),0,IF($K82=0,IF(AND($I82&gt;=AB$3,$I82&lt;=AB$2),$E82,0),$E82*NETWORKDAYS(MAX($I82,AB$3),MIN($J82,AB$2),Data!$K$4:$K$203)/$K82)))</f>
        <v>0</v>
      </c>
      <c r="AC82" s="170">
        <f>IF(OR($I82="",$E82=0),0,IF(OR($J82&lt;AC$3,$I82&gt;AC$2),0,IF($K82=0,IF(AND($I82&gt;=AC$3,$I82&lt;=AC$2),$E82,0),$E82*NETWORKDAYS(MAX($I82,AC$3),MIN($J82,AC$2),Data!$K$4:$K$203)/$K82)))</f>
        <v>0</v>
      </c>
      <c r="AD82" s="170">
        <f>IF(OR($I82="",$E82=0),0,IF(OR($J82&lt;AD$3,$I82&gt;AD$2),0,IF($K82=0,IF(AND($I82&gt;=AD$3,$I82&lt;=AD$2),$E82,0),$E82*NETWORKDAYS(MAX($I82,AD$3),MIN($J82,AD$2),Data!$K$4:$K$203)/$K82)))</f>
        <v>0</v>
      </c>
      <c r="AE82" s="170">
        <f>IF(OR($I82="",$E82=0),0,IF(OR($J82&lt;AE$3,$I82&gt;AE$2),0,IF($K82=0,IF(AND($I82&gt;=AE$3,$I82&lt;=AE$2),$E82,0),$E82*NETWORKDAYS(MAX($I82,AE$3),MIN($J82,AE$2),Data!$K$4:$K$203)/$K82)))</f>
        <v>0</v>
      </c>
      <c r="AF82" s="170">
        <f>IF(OR($I82="",$E82=0),0,IF(OR($J82&lt;AF$3,$I82&gt;AF$2),0,IF($K82=0,IF(AND($I82&gt;=AF$3,$I82&lt;=AF$2),$E82,0),$E82*NETWORKDAYS(MAX($I82,AF$3),MIN($J82,AF$2),Data!$K$4:$K$203)/$K82)))</f>
        <v>0</v>
      </c>
      <c r="AG82" s="170">
        <f>IF(OR($I82="",$E82=0),0,IF(OR($J82&lt;AG$3,$I82&gt;AG$2),0,IF($K82=0,IF(AND($I82&gt;=AG$3,$I82&lt;=AG$2),$E82,0),$E82*NETWORKDAYS(MAX($I82,AG$3),MIN($J82,AG$2),Data!$K$4:$K$203)/$K82)))</f>
        <v>0</v>
      </c>
      <c r="AH82" s="170">
        <f>IF(OR($I82="",$E82=0),0,IF(OR($J82&lt;AH$3,$I82&gt;AH$2),0,IF($K82=0,IF(AND($I82&gt;=AH$3,$I82&lt;=AH$2),$E82,0),$E82*NETWORKDAYS(MAX($I82,AH$3),MIN($J82,AH$2),Data!$K$4:$K$203)/$K82)))</f>
        <v>0</v>
      </c>
      <c r="AI82" s="170">
        <f>SUM(W82:AH82)</f>
        <v>0</v>
      </c>
      <c r="BW82" t="n">
        <v>79</v>
      </c>
      <c r="BX82" t="str">
        <f>IFERROR(MATCH(BW82,$EQ$4:$EQ$503,0),"")</f>
        <v/>
      </c>
      <c r="BY82" t="str">
        <f>IF(BX82="","",INDEX($FL$4:$FL$503,BX82))</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70"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4" t="str">
        <f>IF(EO82=1,IF(FH82&gt;0,FI82/FH82,AVERAGEIF($FF$4:$FF$503,EN82,$C$4:$C$503)),"")</f>
        <v/>
      </c>
      <c r="EV82" s="169">
        <f>IF(ISNUMBER(I82),I82,2958465)</f>
        <v>2958465.0</v>
      </c>
      <c r="EW82" s="169" t="str">
        <f>IF(EO82=1,SUMPRODUCT(MIN(($EN$4:$EN$503=EN82)*$EV$4:$EV$503+($EN$4:$EN$503&lt;&gt;EN82)*2958465)),"")</f>
        <v/>
      </c>
      <c r="EX82" s="169">
        <f>IF(AND(D82=1,ISNUMBER(INDEX(Charge!$F:$F,ROW()))),INDEX(Charge!$F:$F,ROW()),0)</f>
        <v>0.0</v>
      </c>
      <c r="EY82" s="169"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c r="FF82" t="str">
        <f>IF(B82=1,LEFT(SUBSTITUTE(SUBSTITUTE(SUBSTITUTE(TRIM(SUBSTITUTE(INDEX(Charge!$B:$B,ROW()),CHAR(160)," "))&amp;" | "&amp;TRIM(SUBSTITUTE(INDEX(Charge!$C:$C,ROW()),CHAR(160)," "))&amp;" | "&amp;TRIM(SUBSTITUTE(INDEX(Charge!$D:$D,ROW()),CHAR(160)," ")),"~","-"),"*","+"),"?","!"),240),"")</f>
        <v/>
      </c>
      <c r="FG82">
        <f>IF(B82=1,MAX(0,N(INDEX(Charge!$M:$M,ROW()))),0)</f>
        <v>0</v>
      </c>
      <c r="FH82" s="170" t="str">
        <f>IF(EO82=1,ROUND(SUMIF($FF$4:$FF$503,EN82,$FG$4:$FG$503),2),"")</f>
        <v/>
      </c>
      <c r="FI82" s="170" t="str">
        <f>IF(EO82=1,ROUND(SUMPRODUCT(($FF$4:$FF$503=EN82)*$FG$4:$FG$503*$C$4:$C$503),2),"")</f>
        <v/>
      </c>
      <c r="FJ82" s="170" t="str">
        <f>IF(EO82=1,MAX(0,ROUND(FH82-FI82,2)),"")</f>
        <v/>
      </c>
      <c r="FK82" s="174" t="str">
        <f>IF(EO82=1,IF(OR(EW82&gt;=2958465,EY82=0,EY82&lt;=EW82),"",IF(TODAY()&lt;=EW82,0,IF(TODAY()&gt;EY82,1,IFERROR(NETWORKDAYS(EW82,TODAY()-1,Data!$K$4:$K$203)/NETWORKDAYS(EW82,EY82,Data!$K$4:$K$203),"")))),"")</f>
        <v/>
      </c>
      <c r="FL82" t="str">
        <f>IF(EO82=1,IF(AND(EY82&gt;0,EY82&lt;TODAY(),ROUND(EU82,4)&lt;1),2,IF(FK82="",0,IF(ROUND(EU82-FK82,4)&lt;-0.15,1,0))),"")</f>
        <v/>
      </c>
      <c r="FM82">
        <f>IF(OR(FA82="",COUNTIF($FA$4:FA81,FA82)&gt;0),0,MAX(0,IF(FB82="Interne",IF(ISNUMBER(INDEX(Data!$F:$F,82)),INDEX(Data!$F:$F,82),p_HeuresETP),IF(ISNUMBER(INDEX(Data!$I:$I,82-$CD$23)),INDEX(Data!$I:$I,82-$CD$23),p_HeuresETP))-IF(FB82="Interne",IF(ISNUMBER(INDEX(Data!$G:$G,82)),INDEX(Data!$G:$G,82),p_ChargeFixe),IF(ISNUMBER(INDEX(Data!$J:$J,82-$CD$23)),INDEX(Data!$J:$J,82-$CD$23),p_ChargeFixe))))</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9" t="str">
        <f>IF(AND(D83=1,ISNUMBER(INDEX(Charge!$N:$N,ROW()))),INDEX(Charge!$N:$N,ROW()),"")</f>
        <v/>
      </c>
      <c r="J83" s="169"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70">
        <f>IF(OR($I83="",$E83=0),0,IF(OR($J83&lt;W$3,$I83&gt;W$2),0,IF($K83=0,IF(AND($I83&gt;=W$3,$I83&lt;=W$2),$E83,0),$E83*NETWORKDAYS(MAX($I83,W$3),MIN($J83,W$2),Data!$K$4:$K$203)/$K83)))</f>
        <v>0</v>
      </c>
      <c r="X83" s="170">
        <f>IF(OR($I83="",$E83=0),0,IF(OR($J83&lt;X$3,$I83&gt;X$2),0,IF($K83=0,IF(AND($I83&gt;=X$3,$I83&lt;=X$2),$E83,0),$E83*NETWORKDAYS(MAX($I83,X$3),MIN($J83,X$2),Data!$K$4:$K$203)/$K83)))</f>
        <v>0</v>
      </c>
      <c r="Y83" s="170">
        <f>IF(OR($I83="",$E83=0),0,IF(OR($J83&lt;Y$3,$I83&gt;Y$2),0,IF($K83=0,IF(AND($I83&gt;=Y$3,$I83&lt;=Y$2),$E83,0),$E83*NETWORKDAYS(MAX($I83,Y$3),MIN($J83,Y$2),Data!$K$4:$K$203)/$K83)))</f>
        <v>0</v>
      </c>
      <c r="Z83" s="170">
        <f>IF(OR($I83="",$E83=0),0,IF(OR($J83&lt;Z$3,$I83&gt;Z$2),0,IF($K83=0,IF(AND($I83&gt;=Z$3,$I83&lt;=Z$2),$E83,0),$E83*NETWORKDAYS(MAX($I83,Z$3),MIN($J83,Z$2),Data!$K$4:$K$203)/$K83)))</f>
        <v>0</v>
      </c>
      <c r="AA83" s="170">
        <f>IF(OR($I83="",$E83=0),0,IF(OR($J83&lt;AA$3,$I83&gt;AA$2),0,IF($K83=0,IF(AND($I83&gt;=AA$3,$I83&lt;=AA$2),$E83,0),$E83*NETWORKDAYS(MAX($I83,AA$3),MIN($J83,AA$2),Data!$K$4:$K$203)/$K83)))</f>
        <v>0</v>
      </c>
      <c r="AB83" s="170">
        <f>IF(OR($I83="",$E83=0),0,IF(OR($J83&lt;AB$3,$I83&gt;AB$2),0,IF($K83=0,IF(AND($I83&gt;=AB$3,$I83&lt;=AB$2),$E83,0),$E83*NETWORKDAYS(MAX($I83,AB$3),MIN($J83,AB$2),Data!$K$4:$K$203)/$K83)))</f>
        <v>0</v>
      </c>
      <c r="AC83" s="170">
        <f>IF(OR($I83="",$E83=0),0,IF(OR($J83&lt;AC$3,$I83&gt;AC$2),0,IF($K83=0,IF(AND($I83&gt;=AC$3,$I83&lt;=AC$2),$E83,0),$E83*NETWORKDAYS(MAX($I83,AC$3),MIN($J83,AC$2),Data!$K$4:$K$203)/$K83)))</f>
        <v>0</v>
      </c>
      <c r="AD83" s="170">
        <f>IF(OR($I83="",$E83=0),0,IF(OR($J83&lt;AD$3,$I83&gt;AD$2),0,IF($K83=0,IF(AND($I83&gt;=AD$3,$I83&lt;=AD$2),$E83,0),$E83*NETWORKDAYS(MAX($I83,AD$3),MIN($J83,AD$2),Data!$K$4:$K$203)/$K83)))</f>
        <v>0</v>
      </c>
      <c r="AE83" s="170">
        <f>IF(OR($I83="",$E83=0),0,IF(OR($J83&lt;AE$3,$I83&gt;AE$2),0,IF($K83=0,IF(AND($I83&gt;=AE$3,$I83&lt;=AE$2),$E83,0),$E83*NETWORKDAYS(MAX($I83,AE$3),MIN($J83,AE$2),Data!$K$4:$K$203)/$K83)))</f>
        <v>0</v>
      </c>
      <c r="AF83" s="170">
        <f>IF(OR($I83="",$E83=0),0,IF(OR($J83&lt;AF$3,$I83&gt;AF$2),0,IF($K83=0,IF(AND($I83&gt;=AF$3,$I83&lt;=AF$2),$E83,0),$E83*NETWORKDAYS(MAX($I83,AF$3),MIN($J83,AF$2),Data!$K$4:$K$203)/$K83)))</f>
        <v>0</v>
      </c>
      <c r="AG83" s="170">
        <f>IF(OR($I83="",$E83=0),0,IF(OR($J83&lt;AG$3,$I83&gt;AG$2),0,IF($K83=0,IF(AND($I83&gt;=AG$3,$I83&lt;=AG$2),$E83,0),$E83*NETWORKDAYS(MAX($I83,AG$3),MIN($J83,AG$2),Data!$K$4:$K$203)/$K83)))</f>
        <v>0</v>
      </c>
      <c r="AH83" s="170">
        <f>IF(OR($I83="",$E83=0),0,IF(OR($J83&lt;AH$3,$I83&gt;AH$2),0,IF($K83=0,IF(AND($I83&gt;=AH$3,$I83&lt;=AH$2),$E83,0),$E83*NETWORKDAYS(MAX($I83,AH$3),MIN($J83,AH$2),Data!$K$4:$K$203)/$K83)))</f>
        <v>0</v>
      </c>
      <c r="AI83" s="170">
        <f>SUM(W83:AH83)</f>
        <v>0</v>
      </c>
      <c r="BW83" t="n">
        <v>80</v>
      </c>
      <c r="BX83" t="str">
        <f>IFERROR(MATCH(BW83,$EQ$4:$EQ$503,0),"")</f>
        <v/>
      </c>
      <c r="BY83" t="str">
        <f>IF(BX83="","",INDEX($FL$4:$FL$503,BX83))</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70"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4" t="str">
        <f>IF(EO83=1,IF(FH83&gt;0,FI83/FH83,AVERAGEIF($FF$4:$FF$503,EN83,$C$4:$C$503)),"")</f>
        <v/>
      </c>
      <c r="EV83" s="169">
        <f>IF(ISNUMBER(I83),I83,2958465)</f>
        <v>2958465.0</v>
      </c>
      <c r="EW83" s="169" t="str">
        <f>IF(EO83=1,SUMPRODUCT(MIN(($EN$4:$EN$503=EN83)*$EV$4:$EV$503+($EN$4:$EN$503&lt;&gt;EN83)*2958465)),"")</f>
        <v/>
      </c>
      <c r="EX83" s="169">
        <f>IF(AND(D83=1,ISNUMBER(INDEX(Charge!$F:$F,ROW()))),INDEX(Charge!$F:$F,ROW()),0)</f>
        <v>0.0</v>
      </c>
      <c r="EY83" s="169"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c r="FF83" t="str">
        <f>IF(B83=1,LEFT(SUBSTITUTE(SUBSTITUTE(SUBSTITUTE(TRIM(SUBSTITUTE(INDEX(Charge!$B:$B,ROW()),CHAR(160)," "))&amp;" | "&amp;TRIM(SUBSTITUTE(INDEX(Charge!$C:$C,ROW()),CHAR(160)," "))&amp;" | "&amp;TRIM(SUBSTITUTE(INDEX(Charge!$D:$D,ROW()),CHAR(160)," ")),"~","-"),"*","+"),"?","!"),240),"")</f>
        <v/>
      </c>
      <c r="FG83">
        <f>IF(B83=1,MAX(0,N(INDEX(Charge!$M:$M,ROW()))),0)</f>
        <v>0</v>
      </c>
      <c r="FH83" s="170" t="str">
        <f>IF(EO83=1,ROUND(SUMIF($FF$4:$FF$503,EN83,$FG$4:$FG$503),2),"")</f>
        <v/>
      </c>
      <c r="FI83" s="170" t="str">
        <f>IF(EO83=1,ROUND(SUMPRODUCT(($FF$4:$FF$503=EN83)*$FG$4:$FG$503*$C$4:$C$503),2),"")</f>
        <v/>
      </c>
      <c r="FJ83" s="170" t="str">
        <f>IF(EO83=1,MAX(0,ROUND(FH83-FI83,2)),"")</f>
        <v/>
      </c>
      <c r="FK83" s="174" t="str">
        <f>IF(EO83=1,IF(OR(EW83&gt;=2958465,EY83=0,EY83&lt;=EW83),"",IF(TODAY()&lt;=EW83,0,IF(TODAY()&gt;EY83,1,IFERROR(NETWORKDAYS(EW83,TODAY()-1,Data!$K$4:$K$203)/NETWORKDAYS(EW83,EY83,Data!$K$4:$K$203),"")))),"")</f>
        <v/>
      </c>
      <c r="FL83" t="str">
        <f>IF(EO83=1,IF(AND(EY83&gt;0,EY83&lt;TODAY(),ROUND(EU83,4)&lt;1),2,IF(FK83="",0,IF(ROUND(EU83-FK83,4)&lt;-0.15,1,0))),"")</f>
        <v/>
      </c>
      <c r="FM83">
        <f>IF(OR(FA83="",COUNTIF($FA$4:FA82,FA83)&gt;0),0,MAX(0,IF(FB83="Interne",IF(ISNUMBER(INDEX(Data!$F:$F,83)),INDEX(Data!$F:$F,83),p_HeuresETP),IF(ISNUMBER(INDEX(Data!$I:$I,83-$CD$23)),INDEX(Data!$I:$I,83-$CD$23),p_HeuresETP))-IF(FB83="Interne",IF(ISNUMBER(INDEX(Data!$G:$G,83)),INDEX(Data!$G:$G,83),p_ChargeFixe),IF(ISNUMBER(INDEX(Data!$J:$J,83-$CD$23)),INDEX(Data!$J:$J,83-$CD$23),p_ChargeFixe))))</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9" t="str">
        <f>IF(AND(D84=1,ISNUMBER(INDEX(Charge!$N:$N,ROW()))),INDEX(Charge!$N:$N,ROW()),"")</f>
        <v/>
      </c>
      <c r="J84" s="169"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70">
        <f>IF(OR($I84="",$E84=0),0,IF(OR($J84&lt;W$3,$I84&gt;W$2),0,IF($K84=0,IF(AND($I84&gt;=W$3,$I84&lt;=W$2),$E84,0),$E84*NETWORKDAYS(MAX($I84,W$3),MIN($J84,W$2),Data!$K$4:$K$203)/$K84)))</f>
        <v>0</v>
      </c>
      <c r="X84" s="170">
        <f>IF(OR($I84="",$E84=0),0,IF(OR($J84&lt;X$3,$I84&gt;X$2),0,IF($K84=0,IF(AND($I84&gt;=X$3,$I84&lt;=X$2),$E84,0),$E84*NETWORKDAYS(MAX($I84,X$3),MIN($J84,X$2),Data!$K$4:$K$203)/$K84)))</f>
        <v>0</v>
      </c>
      <c r="Y84" s="170">
        <f>IF(OR($I84="",$E84=0),0,IF(OR($J84&lt;Y$3,$I84&gt;Y$2),0,IF($K84=0,IF(AND($I84&gt;=Y$3,$I84&lt;=Y$2),$E84,0),$E84*NETWORKDAYS(MAX($I84,Y$3),MIN($J84,Y$2),Data!$K$4:$K$203)/$K84)))</f>
        <v>0</v>
      </c>
      <c r="Z84" s="170">
        <f>IF(OR($I84="",$E84=0),0,IF(OR($J84&lt;Z$3,$I84&gt;Z$2),0,IF($K84=0,IF(AND($I84&gt;=Z$3,$I84&lt;=Z$2),$E84,0),$E84*NETWORKDAYS(MAX($I84,Z$3),MIN($J84,Z$2),Data!$K$4:$K$203)/$K84)))</f>
        <v>0</v>
      </c>
      <c r="AA84" s="170">
        <f>IF(OR($I84="",$E84=0),0,IF(OR($J84&lt;AA$3,$I84&gt;AA$2),0,IF($K84=0,IF(AND($I84&gt;=AA$3,$I84&lt;=AA$2),$E84,0),$E84*NETWORKDAYS(MAX($I84,AA$3),MIN($J84,AA$2),Data!$K$4:$K$203)/$K84)))</f>
        <v>0</v>
      </c>
      <c r="AB84" s="170">
        <f>IF(OR($I84="",$E84=0),0,IF(OR($J84&lt;AB$3,$I84&gt;AB$2),0,IF($K84=0,IF(AND($I84&gt;=AB$3,$I84&lt;=AB$2),$E84,0),$E84*NETWORKDAYS(MAX($I84,AB$3),MIN($J84,AB$2),Data!$K$4:$K$203)/$K84)))</f>
        <v>0</v>
      </c>
      <c r="AC84" s="170">
        <f>IF(OR($I84="",$E84=0),0,IF(OR($J84&lt;AC$3,$I84&gt;AC$2),0,IF($K84=0,IF(AND($I84&gt;=AC$3,$I84&lt;=AC$2),$E84,0),$E84*NETWORKDAYS(MAX($I84,AC$3),MIN($J84,AC$2),Data!$K$4:$K$203)/$K84)))</f>
        <v>0</v>
      </c>
      <c r="AD84" s="170">
        <f>IF(OR($I84="",$E84=0),0,IF(OR($J84&lt;AD$3,$I84&gt;AD$2),0,IF($K84=0,IF(AND($I84&gt;=AD$3,$I84&lt;=AD$2),$E84,0),$E84*NETWORKDAYS(MAX($I84,AD$3),MIN($J84,AD$2),Data!$K$4:$K$203)/$K84)))</f>
        <v>0</v>
      </c>
      <c r="AE84" s="170">
        <f>IF(OR($I84="",$E84=0),0,IF(OR($J84&lt;AE$3,$I84&gt;AE$2),0,IF($K84=0,IF(AND($I84&gt;=AE$3,$I84&lt;=AE$2),$E84,0),$E84*NETWORKDAYS(MAX($I84,AE$3),MIN($J84,AE$2),Data!$K$4:$K$203)/$K84)))</f>
        <v>0</v>
      </c>
      <c r="AF84" s="170">
        <f>IF(OR($I84="",$E84=0),0,IF(OR($J84&lt;AF$3,$I84&gt;AF$2),0,IF($K84=0,IF(AND($I84&gt;=AF$3,$I84&lt;=AF$2),$E84,0),$E84*NETWORKDAYS(MAX($I84,AF$3),MIN($J84,AF$2),Data!$K$4:$K$203)/$K84)))</f>
        <v>0</v>
      </c>
      <c r="AG84" s="170">
        <f>IF(OR($I84="",$E84=0),0,IF(OR($J84&lt;AG$3,$I84&gt;AG$2),0,IF($K84=0,IF(AND($I84&gt;=AG$3,$I84&lt;=AG$2),$E84,0),$E84*NETWORKDAYS(MAX($I84,AG$3),MIN($J84,AG$2),Data!$K$4:$K$203)/$K84)))</f>
        <v>0</v>
      </c>
      <c r="AH84" s="170">
        <f>IF(OR($I84="",$E84=0),0,IF(OR($J84&lt;AH$3,$I84&gt;AH$2),0,IF($K84=0,IF(AND($I84&gt;=AH$3,$I84&lt;=AH$2),$E84,0),$E84*NETWORKDAYS(MAX($I84,AH$3),MIN($J84,AH$2),Data!$K$4:$K$203)/$K84)))</f>
        <v>0</v>
      </c>
      <c r="AI84" s="170">
        <f>SUM(W84:AH84)</f>
        <v>0</v>
      </c>
      <c r="BW84" t="n">
        <v>81</v>
      </c>
      <c r="BX84" t="str">
        <f>IFERROR(MATCH(BW84,$EQ$4:$EQ$503,0),"")</f>
        <v/>
      </c>
      <c r="BY84" t="str">
        <f>IF(BX84="","",INDEX($FL$4:$FL$503,BX84))</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70"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4" t="str">
        <f>IF(EO84=1,IF(FH84&gt;0,FI84/FH84,AVERAGEIF($FF$4:$FF$503,EN84,$C$4:$C$503)),"")</f>
        <v/>
      </c>
      <c r="EV84" s="169">
        <f>IF(ISNUMBER(I84),I84,2958465)</f>
        <v>2958465.0</v>
      </c>
      <c r="EW84" s="169" t="str">
        <f>IF(EO84=1,SUMPRODUCT(MIN(($EN$4:$EN$503=EN84)*$EV$4:$EV$503+($EN$4:$EN$503&lt;&gt;EN84)*2958465)),"")</f>
        <v/>
      </c>
      <c r="EX84" s="169">
        <f>IF(AND(D84=1,ISNUMBER(INDEX(Charge!$F:$F,ROW()))),INDEX(Charge!$F:$F,ROW()),0)</f>
        <v>0.0</v>
      </c>
      <c r="EY84" s="169"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c r="FF84" t="str">
        <f>IF(B84=1,LEFT(SUBSTITUTE(SUBSTITUTE(SUBSTITUTE(TRIM(SUBSTITUTE(INDEX(Charge!$B:$B,ROW()),CHAR(160)," "))&amp;" | "&amp;TRIM(SUBSTITUTE(INDEX(Charge!$C:$C,ROW()),CHAR(160)," "))&amp;" | "&amp;TRIM(SUBSTITUTE(INDEX(Charge!$D:$D,ROW()),CHAR(160)," ")),"~","-"),"*","+"),"?","!"),240),"")</f>
        <v/>
      </c>
      <c r="FG84">
        <f>IF(B84=1,MAX(0,N(INDEX(Charge!$M:$M,ROW()))),0)</f>
        <v>0</v>
      </c>
      <c r="FH84" s="170" t="str">
        <f>IF(EO84=1,ROUND(SUMIF($FF$4:$FF$503,EN84,$FG$4:$FG$503),2),"")</f>
        <v/>
      </c>
      <c r="FI84" s="170" t="str">
        <f>IF(EO84=1,ROUND(SUMPRODUCT(($FF$4:$FF$503=EN84)*$FG$4:$FG$503*$C$4:$C$503),2),"")</f>
        <v/>
      </c>
      <c r="FJ84" s="170" t="str">
        <f>IF(EO84=1,MAX(0,ROUND(FH84-FI84,2)),"")</f>
        <v/>
      </c>
      <c r="FK84" s="174" t="str">
        <f>IF(EO84=1,IF(OR(EW84&gt;=2958465,EY84=0,EY84&lt;=EW84),"",IF(TODAY()&lt;=EW84,0,IF(TODAY()&gt;EY84,1,IFERROR(NETWORKDAYS(EW84,TODAY()-1,Data!$K$4:$K$203)/NETWORKDAYS(EW84,EY84,Data!$K$4:$K$203),"")))),"")</f>
        <v/>
      </c>
      <c r="FL84" t="str">
        <f>IF(EO84=1,IF(AND(EY84&gt;0,EY84&lt;TODAY(),ROUND(EU84,4)&lt;1),2,IF(FK84="",0,IF(ROUND(EU84-FK84,4)&lt;-0.15,1,0))),"")</f>
        <v/>
      </c>
      <c r="FM84">
        <f>IF(OR(FA84="",COUNTIF($FA$4:FA83,FA84)&gt;0),0,MAX(0,IF(FB84="Interne",IF(ISNUMBER(INDEX(Data!$F:$F,84)),INDEX(Data!$F:$F,84),p_HeuresETP),IF(ISNUMBER(INDEX(Data!$I:$I,84-$CD$23)),INDEX(Data!$I:$I,84-$CD$23),p_HeuresETP))-IF(FB84="Interne",IF(ISNUMBER(INDEX(Data!$G:$G,84)),INDEX(Data!$G:$G,84),p_ChargeFixe),IF(ISNUMBER(INDEX(Data!$J:$J,84-$CD$23)),INDEX(Data!$J:$J,84-$CD$23),p_ChargeFixe))))</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9" t="str">
        <f>IF(AND(D85=1,ISNUMBER(INDEX(Charge!$N:$N,ROW()))),INDEX(Charge!$N:$N,ROW()),"")</f>
        <v/>
      </c>
      <c r="J85" s="169"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70">
        <f>IF(OR($I85="",$E85=0),0,IF(OR($J85&lt;W$3,$I85&gt;W$2),0,IF($K85=0,IF(AND($I85&gt;=W$3,$I85&lt;=W$2),$E85,0),$E85*NETWORKDAYS(MAX($I85,W$3),MIN($J85,W$2),Data!$K$4:$K$203)/$K85)))</f>
        <v>0</v>
      </c>
      <c r="X85" s="170">
        <f>IF(OR($I85="",$E85=0),0,IF(OR($J85&lt;X$3,$I85&gt;X$2),0,IF($K85=0,IF(AND($I85&gt;=X$3,$I85&lt;=X$2),$E85,0),$E85*NETWORKDAYS(MAX($I85,X$3),MIN($J85,X$2),Data!$K$4:$K$203)/$K85)))</f>
        <v>0</v>
      </c>
      <c r="Y85" s="170">
        <f>IF(OR($I85="",$E85=0),0,IF(OR($J85&lt;Y$3,$I85&gt;Y$2),0,IF($K85=0,IF(AND($I85&gt;=Y$3,$I85&lt;=Y$2),$E85,0),$E85*NETWORKDAYS(MAX($I85,Y$3),MIN($J85,Y$2),Data!$K$4:$K$203)/$K85)))</f>
        <v>0</v>
      </c>
      <c r="Z85" s="170">
        <f>IF(OR($I85="",$E85=0),0,IF(OR($J85&lt;Z$3,$I85&gt;Z$2),0,IF($K85=0,IF(AND($I85&gt;=Z$3,$I85&lt;=Z$2),$E85,0),$E85*NETWORKDAYS(MAX($I85,Z$3),MIN($J85,Z$2),Data!$K$4:$K$203)/$K85)))</f>
        <v>0</v>
      </c>
      <c r="AA85" s="170">
        <f>IF(OR($I85="",$E85=0),0,IF(OR($J85&lt;AA$3,$I85&gt;AA$2),0,IF($K85=0,IF(AND($I85&gt;=AA$3,$I85&lt;=AA$2),$E85,0),$E85*NETWORKDAYS(MAX($I85,AA$3),MIN($J85,AA$2),Data!$K$4:$K$203)/$K85)))</f>
        <v>0</v>
      </c>
      <c r="AB85" s="170">
        <f>IF(OR($I85="",$E85=0),0,IF(OR($J85&lt;AB$3,$I85&gt;AB$2),0,IF($K85=0,IF(AND($I85&gt;=AB$3,$I85&lt;=AB$2),$E85,0),$E85*NETWORKDAYS(MAX($I85,AB$3),MIN($J85,AB$2),Data!$K$4:$K$203)/$K85)))</f>
        <v>0</v>
      </c>
      <c r="AC85" s="170">
        <f>IF(OR($I85="",$E85=0),0,IF(OR($J85&lt;AC$3,$I85&gt;AC$2),0,IF($K85=0,IF(AND($I85&gt;=AC$3,$I85&lt;=AC$2),$E85,0),$E85*NETWORKDAYS(MAX($I85,AC$3),MIN($J85,AC$2),Data!$K$4:$K$203)/$K85)))</f>
        <v>0</v>
      </c>
      <c r="AD85" s="170">
        <f>IF(OR($I85="",$E85=0),0,IF(OR($J85&lt;AD$3,$I85&gt;AD$2),0,IF($K85=0,IF(AND($I85&gt;=AD$3,$I85&lt;=AD$2),$E85,0),$E85*NETWORKDAYS(MAX($I85,AD$3),MIN($J85,AD$2),Data!$K$4:$K$203)/$K85)))</f>
        <v>0</v>
      </c>
      <c r="AE85" s="170">
        <f>IF(OR($I85="",$E85=0),0,IF(OR($J85&lt;AE$3,$I85&gt;AE$2),0,IF($K85=0,IF(AND($I85&gt;=AE$3,$I85&lt;=AE$2),$E85,0),$E85*NETWORKDAYS(MAX($I85,AE$3),MIN($J85,AE$2),Data!$K$4:$K$203)/$K85)))</f>
        <v>0</v>
      </c>
      <c r="AF85" s="170">
        <f>IF(OR($I85="",$E85=0),0,IF(OR($J85&lt;AF$3,$I85&gt;AF$2),0,IF($K85=0,IF(AND($I85&gt;=AF$3,$I85&lt;=AF$2),$E85,0),$E85*NETWORKDAYS(MAX($I85,AF$3),MIN($J85,AF$2),Data!$K$4:$K$203)/$K85)))</f>
        <v>0</v>
      </c>
      <c r="AG85" s="170">
        <f>IF(OR($I85="",$E85=0),0,IF(OR($J85&lt;AG$3,$I85&gt;AG$2),0,IF($K85=0,IF(AND($I85&gt;=AG$3,$I85&lt;=AG$2),$E85,0),$E85*NETWORKDAYS(MAX($I85,AG$3),MIN($J85,AG$2),Data!$K$4:$K$203)/$K85)))</f>
        <v>0</v>
      </c>
      <c r="AH85" s="170">
        <f>IF(OR($I85="",$E85=0),0,IF(OR($J85&lt;AH$3,$I85&gt;AH$2),0,IF($K85=0,IF(AND($I85&gt;=AH$3,$I85&lt;=AH$2),$E85,0),$E85*NETWORKDAYS(MAX($I85,AH$3),MIN($J85,AH$2),Data!$K$4:$K$203)/$K85)))</f>
        <v>0</v>
      </c>
      <c r="AI85" s="170">
        <f>SUM(W85:AH85)</f>
        <v>0</v>
      </c>
      <c r="BW85" t="n">
        <v>82</v>
      </c>
      <c r="BX85" t="str">
        <f>IFERROR(MATCH(BW85,$EQ$4:$EQ$503,0),"")</f>
        <v/>
      </c>
      <c r="BY85" t="str">
        <f>IF(BX85="","",INDEX($FL$4:$FL$503,BX85))</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70"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4" t="str">
        <f>IF(EO85=1,IF(FH85&gt;0,FI85/FH85,AVERAGEIF($FF$4:$FF$503,EN85,$C$4:$C$503)),"")</f>
        <v/>
      </c>
      <c r="EV85" s="169">
        <f>IF(ISNUMBER(I85),I85,2958465)</f>
        <v>2958465.0</v>
      </c>
      <c r="EW85" s="169" t="str">
        <f>IF(EO85=1,SUMPRODUCT(MIN(($EN$4:$EN$503=EN85)*$EV$4:$EV$503+($EN$4:$EN$503&lt;&gt;EN85)*2958465)),"")</f>
        <v/>
      </c>
      <c r="EX85" s="169">
        <f>IF(AND(D85=1,ISNUMBER(INDEX(Charge!$F:$F,ROW()))),INDEX(Charge!$F:$F,ROW()),0)</f>
        <v>0.0</v>
      </c>
      <c r="EY85" s="169"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c r="FF85" t="str">
        <f>IF(B85=1,LEFT(SUBSTITUTE(SUBSTITUTE(SUBSTITUTE(TRIM(SUBSTITUTE(INDEX(Charge!$B:$B,ROW()),CHAR(160)," "))&amp;" | "&amp;TRIM(SUBSTITUTE(INDEX(Charge!$C:$C,ROW()),CHAR(160)," "))&amp;" | "&amp;TRIM(SUBSTITUTE(INDEX(Charge!$D:$D,ROW()),CHAR(160)," ")),"~","-"),"*","+"),"?","!"),240),"")</f>
        <v/>
      </c>
      <c r="FG85">
        <f>IF(B85=1,MAX(0,N(INDEX(Charge!$M:$M,ROW()))),0)</f>
        <v>0</v>
      </c>
      <c r="FH85" s="170" t="str">
        <f>IF(EO85=1,ROUND(SUMIF($FF$4:$FF$503,EN85,$FG$4:$FG$503),2),"")</f>
        <v/>
      </c>
      <c r="FI85" s="170" t="str">
        <f>IF(EO85=1,ROUND(SUMPRODUCT(($FF$4:$FF$503=EN85)*$FG$4:$FG$503*$C$4:$C$503),2),"")</f>
        <v/>
      </c>
      <c r="FJ85" s="170" t="str">
        <f>IF(EO85=1,MAX(0,ROUND(FH85-FI85,2)),"")</f>
        <v/>
      </c>
      <c r="FK85" s="174" t="str">
        <f>IF(EO85=1,IF(OR(EW85&gt;=2958465,EY85=0,EY85&lt;=EW85),"",IF(TODAY()&lt;=EW85,0,IF(TODAY()&gt;EY85,1,IFERROR(NETWORKDAYS(EW85,TODAY()-1,Data!$K$4:$K$203)/NETWORKDAYS(EW85,EY85,Data!$K$4:$K$203),"")))),"")</f>
        <v/>
      </c>
      <c r="FL85" t="str">
        <f>IF(EO85=1,IF(AND(EY85&gt;0,EY85&lt;TODAY(),ROUND(EU85,4)&lt;1),2,IF(FK85="",0,IF(ROUND(EU85-FK85,4)&lt;-0.15,1,0))),"")</f>
        <v/>
      </c>
      <c r="FM85">
        <f>IF(OR(FA85="",COUNTIF($FA$4:FA84,FA85)&gt;0),0,MAX(0,IF(FB85="Interne",IF(ISNUMBER(INDEX(Data!$F:$F,85)),INDEX(Data!$F:$F,85),p_HeuresETP),IF(ISNUMBER(INDEX(Data!$I:$I,85-$CD$23)),INDEX(Data!$I:$I,85-$CD$23),p_HeuresETP))-IF(FB85="Interne",IF(ISNUMBER(INDEX(Data!$G:$G,85)),INDEX(Data!$G:$G,85),p_ChargeFixe),IF(ISNUMBER(INDEX(Data!$J:$J,85-$CD$23)),INDEX(Data!$J:$J,85-$CD$23),p_ChargeFixe))))</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9" t="str">
        <f>IF(AND(D86=1,ISNUMBER(INDEX(Charge!$N:$N,ROW()))),INDEX(Charge!$N:$N,ROW()),"")</f>
        <v/>
      </c>
      <c r="J86" s="169"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70">
        <f>IF(OR($I86="",$E86=0),0,IF(OR($J86&lt;W$3,$I86&gt;W$2),0,IF($K86=0,IF(AND($I86&gt;=W$3,$I86&lt;=W$2),$E86,0),$E86*NETWORKDAYS(MAX($I86,W$3),MIN($J86,W$2),Data!$K$4:$K$203)/$K86)))</f>
        <v>0</v>
      </c>
      <c r="X86" s="170">
        <f>IF(OR($I86="",$E86=0),0,IF(OR($J86&lt;X$3,$I86&gt;X$2),0,IF($K86=0,IF(AND($I86&gt;=X$3,$I86&lt;=X$2),$E86,0),$E86*NETWORKDAYS(MAX($I86,X$3),MIN($J86,X$2),Data!$K$4:$K$203)/$K86)))</f>
        <v>0</v>
      </c>
      <c r="Y86" s="170">
        <f>IF(OR($I86="",$E86=0),0,IF(OR($J86&lt;Y$3,$I86&gt;Y$2),0,IF($K86=0,IF(AND($I86&gt;=Y$3,$I86&lt;=Y$2),$E86,0),$E86*NETWORKDAYS(MAX($I86,Y$3),MIN($J86,Y$2),Data!$K$4:$K$203)/$K86)))</f>
        <v>0</v>
      </c>
      <c r="Z86" s="170">
        <f>IF(OR($I86="",$E86=0),0,IF(OR($J86&lt;Z$3,$I86&gt;Z$2),0,IF($K86=0,IF(AND($I86&gt;=Z$3,$I86&lt;=Z$2),$E86,0),$E86*NETWORKDAYS(MAX($I86,Z$3),MIN($J86,Z$2),Data!$K$4:$K$203)/$K86)))</f>
        <v>0</v>
      </c>
      <c r="AA86" s="170">
        <f>IF(OR($I86="",$E86=0),0,IF(OR($J86&lt;AA$3,$I86&gt;AA$2),0,IF($K86=0,IF(AND($I86&gt;=AA$3,$I86&lt;=AA$2),$E86,0),$E86*NETWORKDAYS(MAX($I86,AA$3),MIN($J86,AA$2),Data!$K$4:$K$203)/$K86)))</f>
        <v>0</v>
      </c>
      <c r="AB86" s="170">
        <f>IF(OR($I86="",$E86=0),0,IF(OR($J86&lt;AB$3,$I86&gt;AB$2),0,IF($K86=0,IF(AND($I86&gt;=AB$3,$I86&lt;=AB$2),$E86,0),$E86*NETWORKDAYS(MAX($I86,AB$3),MIN($J86,AB$2),Data!$K$4:$K$203)/$K86)))</f>
        <v>0</v>
      </c>
      <c r="AC86" s="170">
        <f>IF(OR($I86="",$E86=0),0,IF(OR($J86&lt;AC$3,$I86&gt;AC$2),0,IF($K86=0,IF(AND($I86&gt;=AC$3,$I86&lt;=AC$2),$E86,0),$E86*NETWORKDAYS(MAX($I86,AC$3),MIN($J86,AC$2),Data!$K$4:$K$203)/$K86)))</f>
        <v>0</v>
      </c>
      <c r="AD86" s="170">
        <f>IF(OR($I86="",$E86=0),0,IF(OR($J86&lt;AD$3,$I86&gt;AD$2),0,IF($K86=0,IF(AND($I86&gt;=AD$3,$I86&lt;=AD$2),$E86,0),$E86*NETWORKDAYS(MAX($I86,AD$3),MIN($J86,AD$2),Data!$K$4:$K$203)/$K86)))</f>
        <v>0</v>
      </c>
      <c r="AE86" s="170">
        <f>IF(OR($I86="",$E86=0),0,IF(OR($J86&lt;AE$3,$I86&gt;AE$2),0,IF($K86=0,IF(AND($I86&gt;=AE$3,$I86&lt;=AE$2),$E86,0),$E86*NETWORKDAYS(MAX($I86,AE$3),MIN($J86,AE$2),Data!$K$4:$K$203)/$K86)))</f>
        <v>0</v>
      </c>
      <c r="AF86" s="170">
        <f>IF(OR($I86="",$E86=0),0,IF(OR($J86&lt;AF$3,$I86&gt;AF$2),0,IF($K86=0,IF(AND($I86&gt;=AF$3,$I86&lt;=AF$2),$E86,0),$E86*NETWORKDAYS(MAX($I86,AF$3),MIN($J86,AF$2),Data!$K$4:$K$203)/$K86)))</f>
        <v>0</v>
      </c>
      <c r="AG86" s="170">
        <f>IF(OR($I86="",$E86=0),0,IF(OR($J86&lt;AG$3,$I86&gt;AG$2),0,IF($K86=0,IF(AND($I86&gt;=AG$3,$I86&lt;=AG$2),$E86,0),$E86*NETWORKDAYS(MAX($I86,AG$3),MIN($J86,AG$2),Data!$K$4:$K$203)/$K86)))</f>
        <v>0</v>
      </c>
      <c r="AH86" s="170">
        <f>IF(OR($I86="",$E86=0),0,IF(OR($J86&lt;AH$3,$I86&gt;AH$2),0,IF($K86=0,IF(AND($I86&gt;=AH$3,$I86&lt;=AH$2),$E86,0),$E86*NETWORKDAYS(MAX($I86,AH$3),MIN($J86,AH$2),Data!$K$4:$K$203)/$K86)))</f>
        <v>0</v>
      </c>
      <c r="AI86" s="170">
        <f>SUM(W86:AH86)</f>
        <v>0</v>
      </c>
      <c r="BW86" t="n">
        <v>83</v>
      </c>
      <c r="BX86" t="str">
        <f>IFERROR(MATCH(BW86,$EQ$4:$EQ$503,0),"")</f>
        <v/>
      </c>
      <c r="BY86" t="str">
        <f>IF(BX86="","",INDEX($FL$4:$FL$503,BX86))</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70"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4" t="str">
        <f>IF(EO86=1,IF(FH86&gt;0,FI86/FH86,AVERAGEIF($FF$4:$FF$503,EN86,$C$4:$C$503)),"")</f>
        <v/>
      </c>
      <c r="EV86" s="169">
        <f>IF(ISNUMBER(I86),I86,2958465)</f>
        <v>2958465.0</v>
      </c>
      <c r="EW86" s="169" t="str">
        <f>IF(EO86=1,SUMPRODUCT(MIN(($EN$4:$EN$503=EN86)*$EV$4:$EV$503+($EN$4:$EN$503&lt;&gt;EN86)*2958465)),"")</f>
        <v/>
      </c>
      <c r="EX86" s="169">
        <f>IF(AND(D86=1,ISNUMBER(INDEX(Charge!$F:$F,ROW()))),INDEX(Charge!$F:$F,ROW()),0)</f>
        <v>0.0</v>
      </c>
      <c r="EY86" s="169"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c r="FF86" t="str">
        <f>IF(B86=1,LEFT(SUBSTITUTE(SUBSTITUTE(SUBSTITUTE(TRIM(SUBSTITUTE(INDEX(Charge!$B:$B,ROW()),CHAR(160)," "))&amp;" | "&amp;TRIM(SUBSTITUTE(INDEX(Charge!$C:$C,ROW()),CHAR(160)," "))&amp;" | "&amp;TRIM(SUBSTITUTE(INDEX(Charge!$D:$D,ROW()),CHAR(160)," ")),"~","-"),"*","+"),"?","!"),240),"")</f>
        <v/>
      </c>
      <c r="FG86">
        <f>IF(B86=1,MAX(0,N(INDEX(Charge!$M:$M,ROW()))),0)</f>
        <v>0</v>
      </c>
      <c r="FH86" s="170" t="str">
        <f>IF(EO86=1,ROUND(SUMIF($FF$4:$FF$503,EN86,$FG$4:$FG$503),2),"")</f>
        <v/>
      </c>
      <c r="FI86" s="170" t="str">
        <f>IF(EO86=1,ROUND(SUMPRODUCT(($FF$4:$FF$503=EN86)*$FG$4:$FG$503*$C$4:$C$503),2),"")</f>
        <v/>
      </c>
      <c r="FJ86" s="170" t="str">
        <f>IF(EO86=1,MAX(0,ROUND(FH86-FI86,2)),"")</f>
        <v/>
      </c>
      <c r="FK86" s="174" t="str">
        <f>IF(EO86=1,IF(OR(EW86&gt;=2958465,EY86=0,EY86&lt;=EW86),"",IF(TODAY()&lt;=EW86,0,IF(TODAY()&gt;EY86,1,IFERROR(NETWORKDAYS(EW86,TODAY()-1,Data!$K$4:$K$203)/NETWORKDAYS(EW86,EY86,Data!$K$4:$K$203),"")))),"")</f>
        <v/>
      </c>
      <c r="FL86" t="str">
        <f>IF(EO86=1,IF(AND(EY86&gt;0,EY86&lt;TODAY(),ROUND(EU86,4)&lt;1),2,IF(FK86="",0,IF(ROUND(EU86-FK86,4)&lt;-0.15,1,0))),"")</f>
        <v/>
      </c>
      <c r="FM86">
        <f>IF(OR(FA86="",COUNTIF($FA$4:FA85,FA86)&gt;0),0,MAX(0,IF(FB86="Interne",IF(ISNUMBER(INDEX(Data!$F:$F,86)),INDEX(Data!$F:$F,86),p_HeuresETP),IF(ISNUMBER(INDEX(Data!$I:$I,86-$CD$23)),INDEX(Data!$I:$I,86-$CD$23),p_HeuresETP))-IF(FB86="Interne",IF(ISNUMBER(INDEX(Data!$G:$G,86)),INDEX(Data!$G:$G,86),p_ChargeFixe),IF(ISNUMBER(INDEX(Data!$J:$J,86-$CD$23)),INDEX(Data!$J:$J,86-$CD$23),p_ChargeFixe))))</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9" t="str">
        <f>IF(AND(D87=1,ISNUMBER(INDEX(Charge!$N:$N,ROW()))),INDEX(Charge!$N:$N,ROW()),"")</f>
        <v/>
      </c>
      <c r="J87" s="169"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70">
        <f>IF(OR($I87="",$E87=0),0,IF(OR($J87&lt;W$3,$I87&gt;W$2),0,IF($K87=0,IF(AND($I87&gt;=W$3,$I87&lt;=W$2),$E87,0),$E87*NETWORKDAYS(MAX($I87,W$3),MIN($J87,W$2),Data!$K$4:$K$203)/$K87)))</f>
        <v>0</v>
      </c>
      <c r="X87" s="170">
        <f>IF(OR($I87="",$E87=0),0,IF(OR($J87&lt;X$3,$I87&gt;X$2),0,IF($K87=0,IF(AND($I87&gt;=X$3,$I87&lt;=X$2),$E87,0),$E87*NETWORKDAYS(MAX($I87,X$3),MIN($J87,X$2),Data!$K$4:$K$203)/$K87)))</f>
        <v>0</v>
      </c>
      <c r="Y87" s="170">
        <f>IF(OR($I87="",$E87=0),0,IF(OR($J87&lt;Y$3,$I87&gt;Y$2),0,IF($K87=0,IF(AND($I87&gt;=Y$3,$I87&lt;=Y$2),$E87,0),$E87*NETWORKDAYS(MAX($I87,Y$3),MIN($J87,Y$2),Data!$K$4:$K$203)/$K87)))</f>
        <v>0</v>
      </c>
      <c r="Z87" s="170">
        <f>IF(OR($I87="",$E87=0),0,IF(OR($J87&lt;Z$3,$I87&gt;Z$2),0,IF($K87=0,IF(AND($I87&gt;=Z$3,$I87&lt;=Z$2),$E87,0),$E87*NETWORKDAYS(MAX($I87,Z$3),MIN($J87,Z$2),Data!$K$4:$K$203)/$K87)))</f>
        <v>0</v>
      </c>
      <c r="AA87" s="170">
        <f>IF(OR($I87="",$E87=0),0,IF(OR($J87&lt;AA$3,$I87&gt;AA$2),0,IF($K87=0,IF(AND($I87&gt;=AA$3,$I87&lt;=AA$2),$E87,0),$E87*NETWORKDAYS(MAX($I87,AA$3),MIN($J87,AA$2),Data!$K$4:$K$203)/$K87)))</f>
        <v>0</v>
      </c>
      <c r="AB87" s="170">
        <f>IF(OR($I87="",$E87=0),0,IF(OR($J87&lt;AB$3,$I87&gt;AB$2),0,IF($K87=0,IF(AND($I87&gt;=AB$3,$I87&lt;=AB$2),$E87,0),$E87*NETWORKDAYS(MAX($I87,AB$3),MIN($J87,AB$2),Data!$K$4:$K$203)/$K87)))</f>
        <v>0</v>
      </c>
      <c r="AC87" s="170">
        <f>IF(OR($I87="",$E87=0),0,IF(OR($J87&lt;AC$3,$I87&gt;AC$2),0,IF($K87=0,IF(AND($I87&gt;=AC$3,$I87&lt;=AC$2),$E87,0),$E87*NETWORKDAYS(MAX($I87,AC$3),MIN($J87,AC$2),Data!$K$4:$K$203)/$K87)))</f>
        <v>0</v>
      </c>
      <c r="AD87" s="170">
        <f>IF(OR($I87="",$E87=0),0,IF(OR($J87&lt;AD$3,$I87&gt;AD$2),0,IF($K87=0,IF(AND($I87&gt;=AD$3,$I87&lt;=AD$2),$E87,0),$E87*NETWORKDAYS(MAX($I87,AD$3),MIN($J87,AD$2),Data!$K$4:$K$203)/$K87)))</f>
        <v>0</v>
      </c>
      <c r="AE87" s="170">
        <f>IF(OR($I87="",$E87=0),0,IF(OR($J87&lt;AE$3,$I87&gt;AE$2),0,IF($K87=0,IF(AND($I87&gt;=AE$3,$I87&lt;=AE$2),$E87,0),$E87*NETWORKDAYS(MAX($I87,AE$3),MIN($J87,AE$2),Data!$K$4:$K$203)/$K87)))</f>
        <v>0</v>
      </c>
      <c r="AF87" s="170">
        <f>IF(OR($I87="",$E87=0),0,IF(OR($J87&lt;AF$3,$I87&gt;AF$2),0,IF($K87=0,IF(AND($I87&gt;=AF$3,$I87&lt;=AF$2),$E87,0),$E87*NETWORKDAYS(MAX($I87,AF$3),MIN($J87,AF$2),Data!$K$4:$K$203)/$K87)))</f>
        <v>0</v>
      </c>
      <c r="AG87" s="170">
        <f>IF(OR($I87="",$E87=0),0,IF(OR($J87&lt;AG$3,$I87&gt;AG$2),0,IF($K87=0,IF(AND($I87&gt;=AG$3,$I87&lt;=AG$2),$E87,0),$E87*NETWORKDAYS(MAX($I87,AG$3),MIN($J87,AG$2),Data!$K$4:$K$203)/$K87)))</f>
        <v>0</v>
      </c>
      <c r="AH87" s="170">
        <f>IF(OR($I87="",$E87=0),0,IF(OR($J87&lt;AH$3,$I87&gt;AH$2),0,IF($K87=0,IF(AND($I87&gt;=AH$3,$I87&lt;=AH$2),$E87,0),$E87*NETWORKDAYS(MAX($I87,AH$3),MIN($J87,AH$2),Data!$K$4:$K$203)/$K87)))</f>
        <v>0</v>
      </c>
      <c r="AI87" s="170">
        <f>SUM(W87:AH87)</f>
        <v>0</v>
      </c>
      <c r="BW87" t="n">
        <v>84</v>
      </c>
      <c r="BX87" t="str">
        <f>IFERROR(MATCH(BW87,$EQ$4:$EQ$503,0),"")</f>
        <v/>
      </c>
      <c r="BY87" t="str">
        <f>IF(BX87="","",INDEX($FL$4:$FL$503,BX87))</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70"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4" t="str">
        <f>IF(EO87=1,IF(FH87&gt;0,FI87/FH87,AVERAGEIF($FF$4:$FF$503,EN87,$C$4:$C$503)),"")</f>
        <v/>
      </c>
      <c r="EV87" s="169">
        <f>IF(ISNUMBER(I87),I87,2958465)</f>
        <v>2958465.0</v>
      </c>
      <c r="EW87" s="169" t="str">
        <f>IF(EO87=1,SUMPRODUCT(MIN(($EN$4:$EN$503=EN87)*$EV$4:$EV$503+($EN$4:$EN$503&lt;&gt;EN87)*2958465)),"")</f>
        <v/>
      </c>
      <c r="EX87" s="169">
        <f>IF(AND(D87=1,ISNUMBER(INDEX(Charge!$F:$F,ROW()))),INDEX(Charge!$F:$F,ROW()),0)</f>
        <v>0.0</v>
      </c>
      <c r="EY87" s="169"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c r="FF87" t="str">
        <f>IF(B87=1,LEFT(SUBSTITUTE(SUBSTITUTE(SUBSTITUTE(TRIM(SUBSTITUTE(INDEX(Charge!$B:$B,ROW()),CHAR(160)," "))&amp;" | "&amp;TRIM(SUBSTITUTE(INDEX(Charge!$C:$C,ROW()),CHAR(160)," "))&amp;" | "&amp;TRIM(SUBSTITUTE(INDEX(Charge!$D:$D,ROW()),CHAR(160)," ")),"~","-"),"*","+"),"?","!"),240),"")</f>
        <v/>
      </c>
      <c r="FG87">
        <f>IF(B87=1,MAX(0,N(INDEX(Charge!$M:$M,ROW()))),0)</f>
        <v>0</v>
      </c>
      <c r="FH87" s="170" t="str">
        <f>IF(EO87=1,ROUND(SUMIF($FF$4:$FF$503,EN87,$FG$4:$FG$503),2),"")</f>
        <v/>
      </c>
      <c r="FI87" s="170" t="str">
        <f>IF(EO87=1,ROUND(SUMPRODUCT(($FF$4:$FF$503=EN87)*$FG$4:$FG$503*$C$4:$C$503),2),"")</f>
        <v/>
      </c>
      <c r="FJ87" s="170" t="str">
        <f>IF(EO87=1,MAX(0,ROUND(FH87-FI87,2)),"")</f>
        <v/>
      </c>
      <c r="FK87" s="174" t="str">
        <f>IF(EO87=1,IF(OR(EW87&gt;=2958465,EY87=0,EY87&lt;=EW87),"",IF(TODAY()&lt;=EW87,0,IF(TODAY()&gt;EY87,1,IFERROR(NETWORKDAYS(EW87,TODAY()-1,Data!$K$4:$K$203)/NETWORKDAYS(EW87,EY87,Data!$K$4:$K$203),"")))),"")</f>
        <v/>
      </c>
      <c r="FL87" t="str">
        <f>IF(EO87=1,IF(AND(EY87&gt;0,EY87&lt;TODAY(),ROUND(EU87,4)&lt;1),2,IF(FK87="",0,IF(ROUND(EU87-FK87,4)&lt;-0.15,1,0))),"")</f>
        <v/>
      </c>
      <c r="FM87">
        <f>IF(OR(FA87="",COUNTIF($FA$4:FA86,FA87)&gt;0),0,MAX(0,IF(FB87="Interne",IF(ISNUMBER(INDEX(Data!$F:$F,87)),INDEX(Data!$F:$F,87),p_HeuresETP),IF(ISNUMBER(INDEX(Data!$I:$I,87-$CD$23)),INDEX(Data!$I:$I,87-$CD$23),p_HeuresETP))-IF(FB87="Interne",IF(ISNUMBER(INDEX(Data!$G:$G,87)),INDEX(Data!$G:$G,87),p_ChargeFixe),IF(ISNUMBER(INDEX(Data!$J:$J,87-$CD$23)),INDEX(Data!$J:$J,87-$CD$23),p_ChargeFixe))))</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9" t="str">
        <f>IF(AND(D88=1,ISNUMBER(INDEX(Charge!$N:$N,ROW()))),INDEX(Charge!$N:$N,ROW()),"")</f>
        <v/>
      </c>
      <c r="J88" s="169"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70">
        <f>IF(OR($I88="",$E88=0),0,IF(OR($J88&lt;W$3,$I88&gt;W$2),0,IF($K88=0,IF(AND($I88&gt;=W$3,$I88&lt;=W$2),$E88,0),$E88*NETWORKDAYS(MAX($I88,W$3),MIN($J88,W$2),Data!$K$4:$K$203)/$K88)))</f>
        <v>0</v>
      </c>
      <c r="X88" s="170">
        <f>IF(OR($I88="",$E88=0),0,IF(OR($J88&lt;X$3,$I88&gt;X$2),0,IF($K88=0,IF(AND($I88&gt;=X$3,$I88&lt;=X$2),$E88,0),$E88*NETWORKDAYS(MAX($I88,X$3),MIN($J88,X$2),Data!$K$4:$K$203)/$K88)))</f>
        <v>0</v>
      </c>
      <c r="Y88" s="170">
        <f>IF(OR($I88="",$E88=0),0,IF(OR($J88&lt;Y$3,$I88&gt;Y$2),0,IF($K88=0,IF(AND($I88&gt;=Y$3,$I88&lt;=Y$2),$E88,0),$E88*NETWORKDAYS(MAX($I88,Y$3),MIN($J88,Y$2),Data!$K$4:$K$203)/$K88)))</f>
        <v>0</v>
      </c>
      <c r="Z88" s="170">
        <f>IF(OR($I88="",$E88=0),0,IF(OR($J88&lt;Z$3,$I88&gt;Z$2),0,IF($K88=0,IF(AND($I88&gt;=Z$3,$I88&lt;=Z$2),$E88,0),$E88*NETWORKDAYS(MAX($I88,Z$3),MIN($J88,Z$2),Data!$K$4:$K$203)/$K88)))</f>
        <v>0</v>
      </c>
      <c r="AA88" s="170">
        <f>IF(OR($I88="",$E88=0),0,IF(OR($J88&lt;AA$3,$I88&gt;AA$2),0,IF($K88=0,IF(AND($I88&gt;=AA$3,$I88&lt;=AA$2),$E88,0),$E88*NETWORKDAYS(MAX($I88,AA$3),MIN($J88,AA$2),Data!$K$4:$K$203)/$K88)))</f>
        <v>0</v>
      </c>
      <c r="AB88" s="170">
        <f>IF(OR($I88="",$E88=0),0,IF(OR($J88&lt;AB$3,$I88&gt;AB$2),0,IF($K88=0,IF(AND($I88&gt;=AB$3,$I88&lt;=AB$2),$E88,0),$E88*NETWORKDAYS(MAX($I88,AB$3),MIN($J88,AB$2),Data!$K$4:$K$203)/$K88)))</f>
        <v>0</v>
      </c>
      <c r="AC88" s="170">
        <f>IF(OR($I88="",$E88=0),0,IF(OR($J88&lt;AC$3,$I88&gt;AC$2),0,IF($K88=0,IF(AND($I88&gt;=AC$3,$I88&lt;=AC$2),$E88,0),$E88*NETWORKDAYS(MAX($I88,AC$3),MIN($J88,AC$2),Data!$K$4:$K$203)/$K88)))</f>
        <v>0</v>
      </c>
      <c r="AD88" s="170">
        <f>IF(OR($I88="",$E88=0),0,IF(OR($J88&lt;AD$3,$I88&gt;AD$2),0,IF($K88=0,IF(AND($I88&gt;=AD$3,$I88&lt;=AD$2),$E88,0),$E88*NETWORKDAYS(MAX($I88,AD$3),MIN($J88,AD$2),Data!$K$4:$K$203)/$K88)))</f>
        <v>0</v>
      </c>
      <c r="AE88" s="170">
        <f>IF(OR($I88="",$E88=0),0,IF(OR($J88&lt;AE$3,$I88&gt;AE$2),0,IF($K88=0,IF(AND($I88&gt;=AE$3,$I88&lt;=AE$2),$E88,0),$E88*NETWORKDAYS(MAX($I88,AE$3),MIN($J88,AE$2),Data!$K$4:$K$203)/$K88)))</f>
        <v>0</v>
      </c>
      <c r="AF88" s="170">
        <f>IF(OR($I88="",$E88=0),0,IF(OR($J88&lt;AF$3,$I88&gt;AF$2),0,IF($K88=0,IF(AND($I88&gt;=AF$3,$I88&lt;=AF$2),$E88,0),$E88*NETWORKDAYS(MAX($I88,AF$3),MIN($J88,AF$2),Data!$K$4:$K$203)/$K88)))</f>
        <v>0</v>
      </c>
      <c r="AG88" s="170">
        <f>IF(OR($I88="",$E88=0),0,IF(OR($J88&lt;AG$3,$I88&gt;AG$2),0,IF($K88=0,IF(AND($I88&gt;=AG$3,$I88&lt;=AG$2),$E88,0),$E88*NETWORKDAYS(MAX($I88,AG$3),MIN($J88,AG$2),Data!$K$4:$K$203)/$K88)))</f>
        <v>0</v>
      </c>
      <c r="AH88" s="170">
        <f>IF(OR($I88="",$E88=0),0,IF(OR($J88&lt;AH$3,$I88&gt;AH$2),0,IF($K88=0,IF(AND($I88&gt;=AH$3,$I88&lt;=AH$2),$E88,0),$E88*NETWORKDAYS(MAX($I88,AH$3),MIN($J88,AH$2),Data!$K$4:$K$203)/$K88)))</f>
        <v>0</v>
      </c>
      <c r="AI88" s="170">
        <f>SUM(W88:AH88)</f>
        <v>0</v>
      </c>
      <c r="BW88" t="n">
        <v>85</v>
      </c>
      <c r="BX88" t="str">
        <f>IFERROR(MATCH(BW88,$EQ$4:$EQ$503,0),"")</f>
        <v/>
      </c>
      <c r="BY88" t="str">
        <f>IF(BX88="","",INDEX($FL$4:$FL$503,BX88))</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70"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4" t="str">
        <f>IF(EO88=1,IF(FH88&gt;0,FI88/FH88,AVERAGEIF($FF$4:$FF$503,EN88,$C$4:$C$503)),"")</f>
        <v/>
      </c>
      <c r="EV88" s="169">
        <f>IF(ISNUMBER(I88),I88,2958465)</f>
        <v>2958465.0</v>
      </c>
      <c r="EW88" s="169" t="str">
        <f>IF(EO88=1,SUMPRODUCT(MIN(($EN$4:$EN$503=EN88)*$EV$4:$EV$503+($EN$4:$EN$503&lt;&gt;EN88)*2958465)),"")</f>
        <v/>
      </c>
      <c r="EX88" s="169">
        <f>IF(AND(D88=1,ISNUMBER(INDEX(Charge!$F:$F,ROW()))),INDEX(Charge!$F:$F,ROW()),0)</f>
        <v>0.0</v>
      </c>
      <c r="EY88" s="169"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c r="FF88" t="str">
        <f>IF(B88=1,LEFT(SUBSTITUTE(SUBSTITUTE(SUBSTITUTE(TRIM(SUBSTITUTE(INDEX(Charge!$B:$B,ROW()),CHAR(160)," "))&amp;" | "&amp;TRIM(SUBSTITUTE(INDEX(Charge!$C:$C,ROW()),CHAR(160)," "))&amp;" | "&amp;TRIM(SUBSTITUTE(INDEX(Charge!$D:$D,ROW()),CHAR(160)," ")),"~","-"),"*","+"),"?","!"),240),"")</f>
        <v/>
      </c>
      <c r="FG88">
        <f>IF(B88=1,MAX(0,N(INDEX(Charge!$M:$M,ROW()))),0)</f>
        <v>0</v>
      </c>
      <c r="FH88" s="170" t="str">
        <f>IF(EO88=1,ROUND(SUMIF($FF$4:$FF$503,EN88,$FG$4:$FG$503),2),"")</f>
        <v/>
      </c>
      <c r="FI88" s="170" t="str">
        <f>IF(EO88=1,ROUND(SUMPRODUCT(($FF$4:$FF$503=EN88)*$FG$4:$FG$503*$C$4:$C$503),2),"")</f>
        <v/>
      </c>
      <c r="FJ88" s="170" t="str">
        <f>IF(EO88=1,MAX(0,ROUND(FH88-FI88,2)),"")</f>
        <v/>
      </c>
      <c r="FK88" s="174" t="str">
        <f>IF(EO88=1,IF(OR(EW88&gt;=2958465,EY88=0,EY88&lt;=EW88),"",IF(TODAY()&lt;=EW88,0,IF(TODAY()&gt;EY88,1,IFERROR(NETWORKDAYS(EW88,TODAY()-1,Data!$K$4:$K$203)/NETWORKDAYS(EW88,EY88,Data!$K$4:$K$203),"")))),"")</f>
        <v/>
      </c>
      <c r="FL88" t="str">
        <f>IF(EO88=1,IF(AND(EY88&gt;0,EY88&lt;TODAY(),ROUND(EU88,4)&lt;1),2,IF(FK88="",0,IF(ROUND(EU88-FK88,4)&lt;-0.15,1,0))),"")</f>
        <v/>
      </c>
      <c r="FM88">
        <f>IF(OR(FA88="",COUNTIF($FA$4:FA87,FA88)&gt;0),0,MAX(0,IF(FB88="Interne",IF(ISNUMBER(INDEX(Data!$F:$F,88)),INDEX(Data!$F:$F,88),p_HeuresETP),IF(ISNUMBER(INDEX(Data!$I:$I,88-$CD$23)),INDEX(Data!$I:$I,88-$CD$23),p_HeuresETP))-IF(FB88="Interne",IF(ISNUMBER(INDEX(Data!$G:$G,88)),INDEX(Data!$G:$G,88),p_ChargeFixe),IF(ISNUMBER(INDEX(Data!$J:$J,88-$CD$23)),INDEX(Data!$J:$J,88-$CD$23),p_ChargeFixe))))</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9" t="str">
        <f>IF(AND(D89=1,ISNUMBER(INDEX(Charge!$N:$N,ROW()))),INDEX(Charge!$N:$N,ROW()),"")</f>
        <v/>
      </c>
      <c r="J89" s="169"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70">
        <f>IF(OR($I89="",$E89=0),0,IF(OR($J89&lt;W$3,$I89&gt;W$2),0,IF($K89=0,IF(AND($I89&gt;=W$3,$I89&lt;=W$2),$E89,0),$E89*NETWORKDAYS(MAX($I89,W$3),MIN($J89,W$2),Data!$K$4:$K$203)/$K89)))</f>
        <v>0</v>
      </c>
      <c r="X89" s="170">
        <f>IF(OR($I89="",$E89=0),0,IF(OR($J89&lt;X$3,$I89&gt;X$2),0,IF($K89=0,IF(AND($I89&gt;=X$3,$I89&lt;=X$2),$E89,0),$E89*NETWORKDAYS(MAX($I89,X$3),MIN($J89,X$2),Data!$K$4:$K$203)/$K89)))</f>
        <v>0</v>
      </c>
      <c r="Y89" s="170">
        <f>IF(OR($I89="",$E89=0),0,IF(OR($J89&lt;Y$3,$I89&gt;Y$2),0,IF($K89=0,IF(AND($I89&gt;=Y$3,$I89&lt;=Y$2),$E89,0),$E89*NETWORKDAYS(MAX($I89,Y$3),MIN($J89,Y$2),Data!$K$4:$K$203)/$K89)))</f>
        <v>0</v>
      </c>
      <c r="Z89" s="170">
        <f>IF(OR($I89="",$E89=0),0,IF(OR($J89&lt;Z$3,$I89&gt;Z$2),0,IF($K89=0,IF(AND($I89&gt;=Z$3,$I89&lt;=Z$2),$E89,0),$E89*NETWORKDAYS(MAX($I89,Z$3),MIN($J89,Z$2),Data!$K$4:$K$203)/$K89)))</f>
        <v>0</v>
      </c>
      <c r="AA89" s="170">
        <f>IF(OR($I89="",$E89=0),0,IF(OR($J89&lt;AA$3,$I89&gt;AA$2),0,IF($K89=0,IF(AND($I89&gt;=AA$3,$I89&lt;=AA$2),$E89,0),$E89*NETWORKDAYS(MAX($I89,AA$3),MIN($J89,AA$2),Data!$K$4:$K$203)/$K89)))</f>
        <v>0</v>
      </c>
      <c r="AB89" s="170">
        <f>IF(OR($I89="",$E89=0),0,IF(OR($J89&lt;AB$3,$I89&gt;AB$2),0,IF($K89=0,IF(AND($I89&gt;=AB$3,$I89&lt;=AB$2),$E89,0),$E89*NETWORKDAYS(MAX($I89,AB$3),MIN($J89,AB$2),Data!$K$4:$K$203)/$K89)))</f>
        <v>0</v>
      </c>
      <c r="AC89" s="170">
        <f>IF(OR($I89="",$E89=0),0,IF(OR($J89&lt;AC$3,$I89&gt;AC$2),0,IF($K89=0,IF(AND($I89&gt;=AC$3,$I89&lt;=AC$2),$E89,0),$E89*NETWORKDAYS(MAX($I89,AC$3),MIN($J89,AC$2),Data!$K$4:$K$203)/$K89)))</f>
        <v>0</v>
      </c>
      <c r="AD89" s="170">
        <f>IF(OR($I89="",$E89=0),0,IF(OR($J89&lt;AD$3,$I89&gt;AD$2),0,IF($K89=0,IF(AND($I89&gt;=AD$3,$I89&lt;=AD$2),$E89,0),$E89*NETWORKDAYS(MAX($I89,AD$3),MIN($J89,AD$2),Data!$K$4:$K$203)/$K89)))</f>
        <v>0</v>
      </c>
      <c r="AE89" s="170">
        <f>IF(OR($I89="",$E89=0),0,IF(OR($J89&lt;AE$3,$I89&gt;AE$2),0,IF($K89=0,IF(AND($I89&gt;=AE$3,$I89&lt;=AE$2),$E89,0),$E89*NETWORKDAYS(MAX($I89,AE$3),MIN($J89,AE$2),Data!$K$4:$K$203)/$K89)))</f>
        <v>0</v>
      </c>
      <c r="AF89" s="170">
        <f>IF(OR($I89="",$E89=0),0,IF(OR($J89&lt;AF$3,$I89&gt;AF$2),0,IF($K89=0,IF(AND($I89&gt;=AF$3,$I89&lt;=AF$2),$E89,0),$E89*NETWORKDAYS(MAX($I89,AF$3),MIN($J89,AF$2),Data!$K$4:$K$203)/$K89)))</f>
        <v>0</v>
      </c>
      <c r="AG89" s="170">
        <f>IF(OR($I89="",$E89=0),0,IF(OR($J89&lt;AG$3,$I89&gt;AG$2),0,IF($K89=0,IF(AND($I89&gt;=AG$3,$I89&lt;=AG$2),$E89,0),$E89*NETWORKDAYS(MAX($I89,AG$3),MIN($J89,AG$2),Data!$K$4:$K$203)/$K89)))</f>
        <v>0</v>
      </c>
      <c r="AH89" s="170">
        <f>IF(OR($I89="",$E89=0),0,IF(OR($J89&lt;AH$3,$I89&gt;AH$2),0,IF($K89=0,IF(AND($I89&gt;=AH$3,$I89&lt;=AH$2),$E89,0),$E89*NETWORKDAYS(MAX($I89,AH$3),MIN($J89,AH$2),Data!$K$4:$K$203)/$K89)))</f>
        <v>0</v>
      </c>
      <c r="AI89" s="170">
        <f>SUM(W89:AH89)</f>
        <v>0</v>
      </c>
      <c r="BW89" t="n">
        <v>86</v>
      </c>
      <c r="BX89" t="str">
        <f>IFERROR(MATCH(BW89,$EQ$4:$EQ$503,0),"")</f>
        <v/>
      </c>
      <c r="BY89" t="str">
        <f>IF(BX89="","",INDEX($FL$4:$FL$503,BX89))</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70"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4" t="str">
        <f>IF(EO89=1,IF(FH89&gt;0,FI89/FH89,AVERAGEIF($FF$4:$FF$503,EN89,$C$4:$C$503)),"")</f>
        <v/>
      </c>
      <c r="EV89" s="169">
        <f>IF(ISNUMBER(I89),I89,2958465)</f>
        <v>2958465.0</v>
      </c>
      <c r="EW89" s="169" t="str">
        <f>IF(EO89=1,SUMPRODUCT(MIN(($EN$4:$EN$503=EN89)*$EV$4:$EV$503+($EN$4:$EN$503&lt;&gt;EN89)*2958465)),"")</f>
        <v/>
      </c>
      <c r="EX89" s="169">
        <f>IF(AND(D89=1,ISNUMBER(INDEX(Charge!$F:$F,ROW()))),INDEX(Charge!$F:$F,ROW()),0)</f>
        <v>0.0</v>
      </c>
      <c r="EY89" s="169"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c r="FF89" t="str">
        <f>IF(B89=1,LEFT(SUBSTITUTE(SUBSTITUTE(SUBSTITUTE(TRIM(SUBSTITUTE(INDEX(Charge!$B:$B,ROW()),CHAR(160)," "))&amp;" | "&amp;TRIM(SUBSTITUTE(INDEX(Charge!$C:$C,ROW()),CHAR(160)," "))&amp;" | "&amp;TRIM(SUBSTITUTE(INDEX(Charge!$D:$D,ROW()),CHAR(160)," ")),"~","-"),"*","+"),"?","!"),240),"")</f>
        <v/>
      </c>
      <c r="FG89">
        <f>IF(B89=1,MAX(0,N(INDEX(Charge!$M:$M,ROW()))),0)</f>
        <v>0</v>
      </c>
      <c r="FH89" s="170" t="str">
        <f>IF(EO89=1,ROUND(SUMIF($FF$4:$FF$503,EN89,$FG$4:$FG$503),2),"")</f>
        <v/>
      </c>
      <c r="FI89" s="170" t="str">
        <f>IF(EO89=1,ROUND(SUMPRODUCT(($FF$4:$FF$503=EN89)*$FG$4:$FG$503*$C$4:$C$503),2),"")</f>
        <v/>
      </c>
      <c r="FJ89" s="170" t="str">
        <f>IF(EO89=1,MAX(0,ROUND(FH89-FI89,2)),"")</f>
        <v/>
      </c>
      <c r="FK89" s="174" t="str">
        <f>IF(EO89=1,IF(OR(EW89&gt;=2958465,EY89=0,EY89&lt;=EW89),"",IF(TODAY()&lt;=EW89,0,IF(TODAY()&gt;EY89,1,IFERROR(NETWORKDAYS(EW89,TODAY()-1,Data!$K$4:$K$203)/NETWORKDAYS(EW89,EY89,Data!$K$4:$K$203),"")))),"")</f>
        <v/>
      </c>
      <c r="FL89" t="str">
        <f>IF(EO89=1,IF(AND(EY89&gt;0,EY89&lt;TODAY(),ROUND(EU89,4)&lt;1),2,IF(FK89="",0,IF(ROUND(EU89-FK89,4)&lt;-0.15,1,0))),"")</f>
        <v/>
      </c>
      <c r="FM89">
        <f>IF(OR(FA89="",COUNTIF($FA$4:FA88,FA89)&gt;0),0,MAX(0,IF(FB89="Interne",IF(ISNUMBER(INDEX(Data!$F:$F,89)),INDEX(Data!$F:$F,89),p_HeuresETP),IF(ISNUMBER(INDEX(Data!$I:$I,89-$CD$23)),INDEX(Data!$I:$I,89-$CD$23),p_HeuresETP))-IF(FB89="Interne",IF(ISNUMBER(INDEX(Data!$G:$G,89)),INDEX(Data!$G:$G,89),p_ChargeFixe),IF(ISNUMBER(INDEX(Data!$J:$J,89-$CD$23)),INDEX(Data!$J:$J,89-$CD$23),p_ChargeFixe))))</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9" t="str">
        <f>IF(AND(D90=1,ISNUMBER(INDEX(Charge!$N:$N,ROW()))),INDEX(Charge!$N:$N,ROW()),"")</f>
        <v/>
      </c>
      <c r="J90" s="169"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70">
        <f>IF(OR($I90="",$E90=0),0,IF(OR($J90&lt;W$3,$I90&gt;W$2),0,IF($K90=0,IF(AND($I90&gt;=W$3,$I90&lt;=W$2),$E90,0),$E90*NETWORKDAYS(MAX($I90,W$3),MIN($J90,W$2),Data!$K$4:$K$203)/$K90)))</f>
        <v>0</v>
      </c>
      <c r="X90" s="170">
        <f>IF(OR($I90="",$E90=0),0,IF(OR($J90&lt;X$3,$I90&gt;X$2),0,IF($K90=0,IF(AND($I90&gt;=X$3,$I90&lt;=X$2),$E90,0),$E90*NETWORKDAYS(MAX($I90,X$3),MIN($J90,X$2),Data!$K$4:$K$203)/$K90)))</f>
        <v>0</v>
      </c>
      <c r="Y90" s="170">
        <f>IF(OR($I90="",$E90=0),0,IF(OR($J90&lt;Y$3,$I90&gt;Y$2),0,IF($K90=0,IF(AND($I90&gt;=Y$3,$I90&lt;=Y$2),$E90,0),$E90*NETWORKDAYS(MAX($I90,Y$3),MIN($J90,Y$2),Data!$K$4:$K$203)/$K90)))</f>
        <v>0</v>
      </c>
      <c r="Z90" s="170">
        <f>IF(OR($I90="",$E90=0),0,IF(OR($J90&lt;Z$3,$I90&gt;Z$2),0,IF($K90=0,IF(AND($I90&gt;=Z$3,$I90&lt;=Z$2),$E90,0),$E90*NETWORKDAYS(MAX($I90,Z$3),MIN($J90,Z$2),Data!$K$4:$K$203)/$K90)))</f>
        <v>0</v>
      </c>
      <c r="AA90" s="170">
        <f>IF(OR($I90="",$E90=0),0,IF(OR($J90&lt;AA$3,$I90&gt;AA$2),0,IF($K90=0,IF(AND($I90&gt;=AA$3,$I90&lt;=AA$2),$E90,0),$E90*NETWORKDAYS(MAX($I90,AA$3),MIN($J90,AA$2),Data!$K$4:$K$203)/$K90)))</f>
        <v>0</v>
      </c>
      <c r="AB90" s="170">
        <f>IF(OR($I90="",$E90=0),0,IF(OR($J90&lt;AB$3,$I90&gt;AB$2),0,IF($K90=0,IF(AND($I90&gt;=AB$3,$I90&lt;=AB$2),$E90,0),$E90*NETWORKDAYS(MAX($I90,AB$3),MIN($J90,AB$2),Data!$K$4:$K$203)/$K90)))</f>
        <v>0</v>
      </c>
      <c r="AC90" s="170">
        <f>IF(OR($I90="",$E90=0),0,IF(OR($J90&lt;AC$3,$I90&gt;AC$2),0,IF($K90=0,IF(AND($I90&gt;=AC$3,$I90&lt;=AC$2),$E90,0),$E90*NETWORKDAYS(MAX($I90,AC$3),MIN($J90,AC$2),Data!$K$4:$K$203)/$K90)))</f>
        <v>0</v>
      </c>
      <c r="AD90" s="170">
        <f>IF(OR($I90="",$E90=0),0,IF(OR($J90&lt;AD$3,$I90&gt;AD$2),0,IF($K90=0,IF(AND($I90&gt;=AD$3,$I90&lt;=AD$2),$E90,0),$E90*NETWORKDAYS(MAX($I90,AD$3),MIN($J90,AD$2),Data!$K$4:$K$203)/$K90)))</f>
        <v>0</v>
      </c>
      <c r="AE90" s="170">
        <f>IF(OR($I90="",$E90=0),0,IF(OR($J90&lt;AE$3,$I90&gt;AE$2),0,IF($K90=0,IF(AND($I90&gt;=AE$3,$I90&lt;=AE$2),$E90,0),$E90*NETWORKDAYS(MAX($I90,AE$3),MIN($J90,AE$2),Data!$K$4:$K$203)/$K90)))</f>
        <v>0</v>
      </c>
      <c r="AF90" s="170">
        <f>IF(OR($I90="",$E90=0),0,IF(OR($J90&lt;AF$3,$I90&gt;AF$2),0,IF($K90=0,IF(AND($I90&gt;=AF$3,$I90&lt;=AF$2),$E90,0),$E90*NETWORKDAYS(MAX($I90,AF$3),MIN($J90,AF$2),Data!$K$4:$K$203)/$K90)))</f>
        <v>0</v>
      </c>
      <c r="AG90" s="170">
        <f>IF(OR($I90="",$E90=0),0,IF(OR($J90&lt;AG$3,$I90&gt;AG$2),0,IF($K90=0,IF(AND($I90&gt;=AG$3,$I90&lt;=AG$2),$E90,0),$E90*NETWORKDAYS(MAX($I90,AG$3),MIN($J90,AG$2),Data!$K$4:$K$203)/$K90)))</f>
        <v>0</v>
      </c>
      <c r="AH90" s="170">
        <f>IF(OR($I90="",$E90=0),0,IF(OR($J90&lt;AH$3,$I90&gt;AH$2),0,IF($K90=0,IF(AND($I90&gt;=AH$3,$I90&lt;=AH$2),$E90,0),$E90*NETWORKDAYS(MAX($I90,AH$3),MIN($J90,AH$2),Data!$K$4:$K$203)/$K90)))</f>
        <v>0</v>
      </c>
      <c r="AI90" s="170">
        <f>SUM(W90:AH90)</f>
        <v>0</v>
      </c>
      <c r="BW90" t="n">
        <v>87</v>
      </c>
      <c r="BX90" t="str">
        <f>IFERROR(MATCH(BW90,$EQ$4:$EQ$503,0),"")</f>
        <v/>
      </c>
      <c r="BY90" t="str">
        <f>IF(BX90="","",INDEX($FL$4:$FL$503,BX90))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70"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4" t="str">
        <f>IF(EO90=1,IF(FH90&gt;0,FI90/FH90,AVERAGEIF($FF$4:$FF$503,EN90,$C$4:$C$503)),"")</f>
        <v/>
      </c>
      <c r="EV90" s="169">
        <f>IF(ISNUMBER(I90),I90,2958465)</f>
        <v>2958465.0</v>
      </c>
      <c r="EW90" s="169" t="str">
        <f>IF(EO90=1,SUMPRODUCT(MIN(($EN$4:$EN$503=EN90)*$EV$4:$EV$503+($EN$4:$EN$503&lt;&gt;EN90)*2958465)),"")</f>
        <v/>
      </c>
      <c r="EX90" s="169">
        <f>IF(AND(D90=1,ISNUMBER(INDEX(Charge!$F:$F,ROW()))),INDEX(Charge!$F:$F,ROW()),0)</f>
        <v>0.0</v>
      </c>
      <c r="EY90" s="169"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c r="FF90" t="str">
        <f>IF(B90=1,LEFT(SUBSTITUTE(SUBSTITUTE(SUBSTITUTE(TRIM(SUBSTITUTE(INDEX(Charge!$B:$B,ROW()),CHAR(160)," "))&amp;" | "&amp;TRIM(SUBSTITUTE(INDEX(Charge!$C:$C,ROW()),CHAR(160)," "))&amp;" | "&amp;TRIM(SUBSTITUTE(INDEX(Charge!$D:$D,ROW()),CHAR(160)," ")),"~","-"),"*","+"),"?","!"),240),"")</f>
        <v/>
      </c>
      <c r="FG90">
        <f>IF(B90=1,MAX(0,N(INDEX(Charge!$M:$M,ROW()))),0)</f>
        <v>0</v>
      </c>
      <c r="FH90" s="170" t="str">
        <f>IF(EO90=1,ROUND(SUMIF($FF$4:$FF$503,EN90,$FG$4:$FG$503),2),"")</f>
        <v/>
      </c>
      <c r="FI90" s="170" t="str">
        <f>IF(EO90=1,ROUND(SUMPRODUCT(($FF$4:$FF$503=EN90)*$FG$4:$FG$503*$C$4:$C$503),2),"")</f>
        <v/>
      </c>
      <c r="FJ90" s="170" t="str">
        <f>IF(EO90=1,MAX(0,ROUND(FH90-FI90,2)),"")</f>
        <v/>
      </c>
      <c r="FK90" s="174" t="str">
        <f>IF(EO90=1,IF(OR(EW90&gt;=2958465,EY90=0,EY90&lt;=EW90),"",IF(TODAY()&lt;=EW90,0,IF(TODAY()&gt;EY90,1,IFERROR(NETWORKDAYS(EW90,TODAY()-1,Data!$K$4:$K$203)/NETWORKDAYS(EW90,EY90,Data!$K$4:$K$203),"")))),"")</f>
        <v/>
      </c>
      <c r="FL90" t="str">
        <f>IF(EO90=1,IF(AND(EY90&gt;0,EY90&lt;TODAY(),ROUND(EU90,4)&lt;1),2,IF(FK90="",0,IF(ROUND(EU90-FK90,4)&lt;-0.15,1,0))),"")</f>
        <v/>
      </c>
      <c r="FM90">
        <f>IF(OR(FA90="",COUNTIF($FA$4:FA89,FA90)&gt;0),0,MAX(0,IF(FB90="Interne",IF(ISNUMBER(INDEX(Data!$F:$F,90)),INDEX(Data!$F:$F,90),p_HeuresETP),IF(ISNUMBER(INDEX(Data!$I:$I,90-$CD$23)),INDEX(Data!$I:$I,90-$CD$23),p_HeuresETP))-IF(FB90="Interne",IF(ISNUMBER(INDEX(Data!$G:$G,90)),INDEX(Data!$G:$G,90),p_ChargeFixe),IF(ISNUMBER(INDEX(Data!$J:$J,90-$CD$23)),INDEX(Data!$J:$J,90-$CD$23),p_ChargeFixe))))</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9" t="str">
        <f>IF(AND(D91=1,ISNUMBER(INDEX(Charge!$N:$N,ROW()))),INDEX(Charge!$N:$N,ROW()),"")</f>
        <v/>
      </c>
      <c r="J91" s="169"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70">
        <f>IF(OR($I91="",$E91=0),0,IF(OR($J91&lt;W$3,$I91&gt;W$2),0,IF($K91=0,IF(AND($I91&gt;=W$3,$I91&lt;=W$2),$E91,0),$E91*NETWORKDAYS(MAX($I91,W$3),MIN($J91,W$2),Data!$K$4:$K$203)/$K91)))</f>
        <v>0</v>
      </c>
      <c r="X91" s="170">
        <f>IF(OR($I91="",$E91=0),0,IF(OR($J91&lt;X$3,$I91&gt;X$2),0,IF($K91=0,IF(AND($I91&gt;=X$3,$I91&lt;=X$2),$E91,0),$E91*NETWORKDAYS(MAX($I91,X$3),MIN($J91,X$2),Data!$K$4:$K$203)/$K91)))</f>
        <v>0</v>
      </c>
      <c r="Y91" s="170">
        <f>IF(OR($I91="",$E91=0),0,IF(OR($J91&lt;Y$3,$I91&gt;Y$2),0,IF($K91=0,IF(AND($I91&gt;=Y$3,$I91&lt;=Y$2),$E91,0),$E91*NETWORKDAYS(MAX($I91,Y$3),MIN($J91,Y$2),Data!$K$4:$K$203)/$K91)))</f>
        <v>0</v>
      </c>
      <c r="Z91" s="170">
        <f>IF(OR($I91="",$E91=0),0,IF(OR($J91&lt;Z$3,$I91&gt;Z$2),0,IF($K91=0,IF(AND($I91&gt;=Z$3,$I91&lt;=Z$2),$E91,0),$E91*NETWORKDAYS(MAX($I91,Z$3),MIN($J91,Z$2),Data!$K$4:$K$203)/$K91)))</f>
        <v>0</v>
      </c>
      <c r="AA91" s="170">
        <f>IF(OR($I91="",$E91=0),0,IF(OR($J91&lt;AA$3,$I91&gt;AA$2),0,IF($K91=0,IF(AND($I91&gt;=AA$3,$I91&lt;=AA$2),$E91,0),$E91*NETWORKDAYS(MAX($I91,AA$3),MIN($J91,AA$2),Data!$K$4:$K$203)/$K91)))</f>
        <v>0</v>
      </c>
      <c r="AB91" s="170">
        <f>IF(OR($I91="",$E91=0),0,IF(OR($J91&lt;AB$3,$I91&gt;AB$2),0,IF($K91=0,IF(AND($I91&gt;=AB$3,$I91&lt;=AB$2),$E91,0),$E91*NETWORKDAYS(MAX($I91,AB$3),MIN($J91,AB$2),Data!$K$4:$K$203)/$K91)))</f>
        <v>0</v>
      </c>
      <c r="AC91" s="170">
        <f>IF(OR($I91="",$E91=0),0,IF(OR($J91&lt;AC$3,$I91&gt;AC$2),0,IF($K91=0,IF(AND($I91&gt;=AC$3,$I91&lt;=AC$2),$E91,0),$E91*NETWORKDAYS(MAX($I91,AC$3),MIN($J91,AC$2),Data!$K$4:$K$203)/$K91)))</f>
        <v>0</v>
      </c>
      <c r="AD91" s="170">
        <f>IF(OR($I91="",$E91=0),0,IF(OR($J91&lt;AD$3,$I91&gt;AD$2),0,IF($K91=0,IF(AND($I91&gt;=AD$3,$I91&lt;=AD$2),$E91,0),$E91*NETWORKDAYS(MAX($I91,AD$3),MIN($J91,AD$2),Data!$K$4:$K$203)/$K91)))</f>
        <v>0</v>
      </c>
      <c r="AE91" s="170">
        <f>IF(OR($I91="",$E91=0),0,IF(OR($J91&lt;AE$3,$I91&gt;AE$2),0,IF($K91=0,IF(AND($I91&gt;=AE$3,$I91&lt;=AE$2),$E91,0),$E91*NETWORKDAYS(MAX($I91,AE$3),MIN($J91,AE$2),Data!$K$4:$K$203)/$K91)))</f>
        <v>0</v>
      </c>
      <c r="AF91" s="170">
        <f>IF(OR($I91="",$E91=0),0,IF(OR($J91&lt;AF$3,$I91&gt;AF$2),0,IF($K91=0,IF(AND($I91&gt;=AF$3,$I91&lt;=AF$2),$E91,0),$E91*NETWORKDAYS(MAX($I91,AF$3),MIN($J91,AF$2),Data!$K$4:$K$203)/$K91)))</f>
        <v>0</v>
      </c>
      <c r="AG91" s="170">
        <f>IF(OR($I91="",$E91=0),0,IF(OR($J91&lt;AG$3,$I91&gt;AG$2),0,IF($K91=0,IF(AND($I91&gt;=AG$3,$I91&lt;=AG$2),$E91,0),$E91*NETWORKDAYS(MAX($I91,AG$3),MIN($J91,AG$2),Data!$K$4:$K$203)/$K91)))</f>
        <v>0</v>
      </c>
      <c r="AH91" s="170">
        <f>IF(OR($I91="",$E91=0),0,IF(OR($J91&lt;AH$3,$I91&gt;AH$2),0,IF($K91=0,IF(AND($I91&gt;=AH$3,$I91&lt;=AH$2),$E91,0),$E91*NETWORKDAYS(MAX($I91,AH$3),MIN($J91,AH$2),Data!$K$4:$K$203)/$K91)))</f>
        <v>0</v>
      </c>
      <c r="AI91" s="170">
        <f>SUM(W91:AH91)</f>
        <v>0</v>
      </c>
      <c r="BW91" t="n">
        <v>88</v>
      </c>
      <c r="BX91" t="str">
        <f>IFERROR(MATCH(BW91,$EQ$4:$EQ$503,0),"")</f>
        <v/>
      </c>
      <c r="BY91" t="str">
        <f>IF(BX91="","",INDEX($FL$4:$FL$503,BX91))</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70"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4" t="str">
        <f>IF(EO91=1,IF(FH91&gt;0,FI91/FH91,AVERAGEIF($FF$4:$FF$503,EN91,$C$4:$C$503)),"")</f>
        <v/>
      </c>
      <c r="EV91" s="169">
        <f>IF(ISNUMBER(I91),I91,2958465)</f>
        <v>2958465.0</v>
      </c>
      <c r="EW91" s="169" t="str">
        <f>IF(EO91=1,SUMPRODUCT(MIN(($EN$4:$EN$503=EN91)*$EV$4:$EV$503+($EN$4:$EN$503&lt;&gt;EN91)*2958465)),"")</f>
        <v/>
      </c>
      <c r="EX91" s="169">
        <f>IF(AND(D91=1,ISNUMBER(INDEX(Charge!$F:$F,ROW()))),INDEX(Charge!$F:$F,ROW()),0)</f>
        <v>0.0</v>
      </c>
      <c r="EY91" s="169"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c r="FF91" t="str">
        <f>IF(B91=1,LEFT(SUBSTITUTE(SUBSTITUTE(SUBSTITUTE(TRIM(SUBSTITUTE(INDEX(Charge!$B:$B,ROW()),CHAR(160)," "))&amp;" | "&amp;TRIM(SUBSTITUTE(INDEX(Charge!$C:$C,ROW()),CHAR(160)," "))&amp;" | "&amp;TRIM(SUBSTITUTE(INDEX(Charge!$D:$D,ROW()),CHAR(160)," ")),"~","-"),"*","+"),"?","!"),240),"")</f>
        <v/>
      </c>
      <c r="FG91">
        <f>IF(B91=1,MAX(0,N(INDEX(Charge!$M:$M,ROW()))),0)</f>
        <v>0</v>
      </c>
      <c r="FH91" s="170" t="str">
        <f>IF(EO91=1,ROUND(SUMIF($FF$4:$FF$503,EN91,$FG$4:$FG$503),2),"")</f>
        <v/>
      </c>
      <c r="FI91" s="170" t="str">
        <f>IF(EO91=1,ROUND(SUMPRODUCT(($FF$4:$FF$503=EN91)*$FG$4:$FG$503*$C$4:$C$503),2),"")</f>
        <v/>
      </c>
      <c r="FJ91" s="170" t="str">
        <f>IF(EO91=1,MAX(0,ROUND(FH91-FI91,2)),"")</f>
        <v/>
      </c>
      <c r="FK91" s="174" t="str">
        <f>IF(EO91=1,IF(OR(EW91&gt;=2958465,EY91=0,EY91&lt;=EW91),"",IF(TODAY()&lt;=EW91,0,IF(TODAY()&gt;EY91,1,IFERROR(NETWORKDAYS(EW91,TODAY()-1,Data!$K$4:$K$203)/NETWORKDAYS(EW91,EY91,Data!$K$4:$K$203),"")))),"")</f>
        <v/>
      </c>
      <c r="FL91" t="str">
        <f>IF(EO91=1,IF(AND(EY91&gt;0,EY91&lt;TODAY(),ROUND(EU91,4)&lt;1),2,IF(FK91="",0,IF(ROUND(EU91-FK91,4)&lt;-0.15,1,0))),"")</f>
        <v/>
      </c>
      <c r="FM91">
        <f>IF(OR(FA91="",COUNTIF($FA$4:FA90,FA91)&gt;0),0,MAX(0,IF(FB91="Interne",IF(ISNUMBER(INDEX(Data!$F:$F,91)),INDEX(Data!$F:$F,91),p_HeuresETP),IF(ISNUMBER(INDEX(Data!$I:$I,91-$CD$23)),INDEX(Data!$I:$I,91-$CD$23),p_HeuresETP))-IF(FB91="Interne",IF(ISNUMBER(INDEX(Data!$G:$G,91)),INDEX(Data!$G:$G,91),p_ChargeFixe),IF(ISNUMBER(INDEX(Data!$J:$J,91-$CD$23)),INDEX(Data!$J:$J,91-$CD$23),p_ChargeFixe))))</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9" t="str">
        <f>IF(AND(D92=1,ISNUMBER(INDEX(Charge!$N:$N,ROW()))),INDEX(Charge!$N:$N,ROW()),"")</f>
        <v/>
      </c>
      <c r="J92" s="169"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70">
        <f>IF(OR($I92="",$E92=0),0,IF(OR($J92&lt;W$3,$I92&gt;W$2),0,IF($K92=0,IF(AND($I92&gt;=W$3,$I92&lt;=W$2),$E92,0),$E92*NETWORKDAYS(MAX($I92,W$3),MIN($J92,W$2),Data!$K$4:$K$203)/$K92)))</f>
        <v>0</v>
      </c>
      <c r="X92" s="170">
        <f>IF(OR($I92="",$E92=0),0,IF(OR($J92&lt;X$3,$I92&gt;X$2),0,IF($K92=0,IF(AND($I92&gt;=X$3,$I92&lt;=X$2),$E92,0),$E92*NETWORKDAYS(MAX($I92,X$3),MIN($J92,X$2),Data!$K$4:$K$203)/$K92)))</f>
        <v>0</v>
      </c>
      <c r="Y92" s="170">
        <f>IF(OR($I92="",$E92=0),0,IF(OR($J92&lt;Y$3,$I92&gt;Y$2),0,IF($K92=0,IF(AND($I92&gt;=Y$3,$I92&lt;=Y$2),$E92,0),$E92*NETWORKDAYS(MAX($I92,Y$3),MIN($J92,Y$2),Data!$K$4:$K$203)/$K92)))</f>
        <v>0</v>
      </c>
      <c r="Z92" s="170">
        <f>IF(OR($I92="",$E92=0),0,IF(OR($J92&lt;Z$3,$I92&gt;Z$2),0,IF($K92=0,IF(AND($I92&gt;=Z$3,$I92&lt;=Z$2),$E92,0),$E92*NETWORKDAYS(MAX($I92,Z$3),MIN($J92,Z$2),Data!$K$4:$K$203)/$K92)))</f>
        <v>0</v>
      </c>
      <c r="AA92" s="170">
        <f>IF(OR($I92="",$E92=0),0,IF(OR($J92&lt;AA$3,$I92&gt;AA$2),0,IF($K92=0,IF(AND($I92&gt;=AA$3,$I92&lt;=AA$2),$E92,0),$E92*NETWORKDAYS(MAX($I92,AA$3),MIN($J92,AA$2),Data!$K$4:$K$203)/$K92)))</f>
        <v>0</v>
      </c>
      <c r="AB92" s="170">
        <f>IF(OR($I92="",$E92=0),0,IF(OR($J92&lt;AB$3,$I92&gt;AB$2),0,IF($K92=0,IF(AND($I92&gt;=AB$3,$I92&lt;=AB$2),$E92,0),$E92*NETWORKDAYS(MAX($I92,AB$3),MIN($J92,AB$2),Data!$K$4:$K$203)/$K92)))</f>
        <v>0</v>
      </c>
      <c r="AC92" s="170">
        <f>IF(OR($I92="",$E92=0),0,IF(OR($J92&lt;AC$3,$I92&gt;AC$2),0,IF($K92=0,IF(AND($I92&gt;=AC$3,$I92&lt;=AC$2),$E92,0),$E92*NETWORKDAYS(MAX($I92,AC$3),MIN($J92,AC$2),Data!$K$4:$K$203)/$K92)))</f>
        <v>0</v>
      </c>
      <c r="AD92" s="170">
        <f>IF(OR($I92="",$E92=0),0,IF(OR($J92&lt;AD$3,$I92&gt;AD$2),0,IF($K92=0,IF(AND($I92&gt;=AD$3,$I92&lt;=AD$2),$E92,0),$E92*NETWORKDAYS(MAX($I92,AD$3),MIN($J92,AD$2),Data!$K$4:$K$203)/$K92)))</f>
        <v>0</v>
      </c>
      <c r="AE92" s="170">
        <f>IF(OR($I92="",$E92=0),0,IF(OR($J92&lt;AE$3,$I92&gt;AE$2),0,IF($K92=0,IF(AND($I92&gt;=AE$3,$I92&lt;=AE$2),$E92,0),$E92*NETWORKDAYS(MAX($I92,AE$3),MIN($J92,AE$2),Data!$K$4:$K$203)/$K92)))</f>
        <v>0</v>
      </c>
      <c r="AF92" s="170">
        <f>IF(OR($I92="",$E92=0),0,IF(OR($J92&lt;AF$3,$I92&gt;AF$2),0,IF($K92=0,IF(AND($I92&gt;=AF$3,$I92&lt;=AF$2),$E92,0),$E92*NETWORKDAYS(MAX($I92,AF$3),MIN($J92,AF$2),Data!$K$4:$K$203)/$K92)))</f>
        <v>0</v>
      </c>
      <c r="AG92" s="170">
        <f>IF(OR($I92="",$E92=0),0,IF(OR($J92&lt;AG$3,$I92&gt;AG$2),0,IF($K92=0,IF(AND($I92&gt;=AG$3,$I92&lt;=AG$2),$E92,0),$E92*NETWORKDAYS(MAX($I92,AG$3),MIN($J92,AG$2),Data!$K$4:$K$203)/$K92)))</f>
        <v>0</v>
      </c>
      <c r="AH92" s="170">
        <f>IF(OR($I92="",$E92=0),0,IF(OR($J92&lt;AH$3,$I92&gt;AH$2),0,IF($K92=0,IF(AND($I92&gt;=AH$3,$I92&lt;=AH$2),$E92,0),$E92*NETWORKDAYS(MAX($I92,AH$3),MIN($J92,AH$2),Data!$K$4:$K$203)/$K92)))</f>
        <v>0</v>
      </c>
      <c r="AI92" s="170">
        <f>SUM(W92:AH92)</f>
        <v>0</v>
      </c>
      <c r="BW92" t="n">
        <v>89</v>
      </c>
      <c r="BX92" t="str">
        <f>IFERROR(MATCH(BW92,$EQ$4:$EQ$503,0),"")</f>
        <v/>
      </c>
      <c r="BY92" t="str">
        <f>IF(BX92="","",INDEX($FL$4:$FL$503,BX92))</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70"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4" t="str">
        <f>IF(EO92=1,IF(FH92&gt;0,FI92/FH92,AVERAGEIF($FF$4:$FF$503,EN92,$C$4:$C$503)),"")</f>
        <v/>
      </c>
      <c r="EV92" s="169">
        <f>IF(ISNUMBER(I92),I92,2958465)</f>
        <v>2958465.0</v>
      </c>
      <c r="EW92" s="169" t="str">
        <f>IF(EO92=1,SUMPRODUCT(MIN(($EN$4:$EN$503=EN92)*$EV$4:$EV$503+($EN$4:$EN$503&lt;&gt;EN92)*2958465)),"")</f>
        <v/>
      </c>
      <c r="EX92" s="169">
        <f>IF(AND(D92=1,ISNUMBER(INDEX(Charge!$F:$F,ROW()))),INDEX(Charge!$F:$F,ROW()),0)</f>
        <v>0.0</v>
      </c>
      <c r="EY92" s="169"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c r="FF92" t="str">
        <f>IF(B92=1,LEFT(SUBSTITUTE(SUBSTITUTE(SUBSTITUTE(TRIM(SUBSTITUTE(INDEX(Charge!$B:$B,ROW()),CHAR(160)," "))&amp;" | "&amp;TRIM(SUBSTITUTE(INDEX(Charge!$C:$C,ROW()),CHAR(160)," "))&amp;" | "&amp;TRIM(SUBSTITUTE(INDEX(Charge!$D:$D,ROW()),CHAR(160)," ")),"~","-"),"*","+"),"?","!"),240),"")</f>
        <v/>
      </c>
      <c r="FG92">
        <f>IF(B92=1,MAX(0,N(INDEX(Charge!$M:$M,ROW()))),0)</f>
        <v>0</v>
      </c>
      <c r="FH92" s="170" t="str">
        <f>IF(EO92=1,ROUND(SUMIF($FF$4:$FF$503,EN92,$FG$4:$FG$503),2),"")</f>
        <v/>
      </c>
      <c r="FI92" s="170" t="str">
        <f>IF(EO92=1,ROUND(SUMPRODUCT(($FF$4:$FF$503=EN92)*$FG$4:$FG$503*$C$4:$C$503),2),"")</f>
        <v/>
      </c>
      <c r="FJ92" s="170" t="str">
        <f>IF(EO92=1,MAX(0,ROUND(FH92-FI92,2)),"")</f>
        <v/>
      </c>
      <c r="FK92" s="174" t="str">
        <f>IF(EO92=1,IF(OR(EW92&gt;=2958465,EY92=0,EY92&lt;=EW92),"",IF(TODAY()&lt;=EW92,0,IF(TODAY()&gt;EY92,1,IFERROR(NETWORKDAYS(EW92,TODAY()-1,Data!$K$4:$K$203)/NETWORKDAYS(EW92,EY92,Data!$K$4:$K$203),"")))),"")</f>
        <v/>
      </c>
      <c r="FL92" t="str">
        <f>IF(EO92=1,IF(AND(EY92&gt;0,EY92&lt;TODAY(),ROUND(EU92,4)&lt;1),2,IF(FK92="",0,IF(ROUND(EU92-FK92,4)&lt;-0.15,1,0))),"")</f>
        <v/>
      </c>
      <c r="FM92">
        <f>IF(OR(FA92="",COUNTIF($FA$4:FA91,FA92)&gt;0),0,MAX(0,IF(FB92="Interne",IF(ISNUMBER(INDEX(Data!$F:$F,92)),INDEX(Data!$F:$F,92),p_HeuresETP),IF(ISNUMBER(INDEX(Data!$I:$I,92-$CD$23)),INDEX(Data!$I:$I,92-$CD$23),p_HeuresETP))-IF(FB92="Interne",IF(ISNUMBER(INDEX(Data!$G:$G,92)),INDEX(Data!$G:$G,92),p_ChargeFixe),IF(ISNUMBER(INDEX(Data!$J:$J,92-$CD$23)),INDEX(Data!$J:$J,92-$CD$23),p_ChargeFixe))))</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9" t="str">
        <f>IF(AND(D93=1,ISNUMBER(INDEX(Charge!$N:$N,ROW()))),INDEX(Charge!$N:$N,ROW()),"")</f>
        <v/>
      </c>
      <c r="J93" s="169"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70">
        <f>IF(OR($I93="",$E93=0),0,IF(OR($J93&lt;W$3,$I93&gt;W$2),0,IF($K93=0,IF(AND($I93&gt;=W$3,$I93&lt;=W$2),$E93,0),$E93*NETWORKDAYS(MAX($I93,W$3),MIN($J93,W$2),Data!$K$4:$K$203)/$K93)))</f>
        <v>0</v>
      </c>
      <c r="X93" s="170">
        <f>IF(OR($I93="",$E93=0),0,IF(OR($J93&lt;X$3,$I93&gt;X$2),0,IF($K93=0,IF(AND($I93&gt;=X$3,$I93&lt;=X$2),$E93,0),$E93*NETWORKDAYS(MAX($I93,X$3),MIN($J93,X$2),Data!$K$4:$K$203)/$K93)))</f>
        <v>0</v>
      </c>
      <c r="Y93" s="170">
        <f>IF(OR($I93="",$E93=0),0,IF(OR($J93&lt;Y$3,$I93&gt;Y$2),0,IF($K93=0,IF(AND($I93&gt;=Y$3,$I93&lt;=Y$2),$E93,0),$E93*NETWORKDAYS(MAX($I93,Y$3),MIN($J93,Y$2),Data!$K$4:$K$203)/$K93)))</f>
        <v>0</v>
      </c>
      <c r="Z93" s="170">
        <f>IF(OR($I93="",$E93=0),0,IF(OR($J93&lt;Z$3,$I93&gt;Z$2),0,IF($K93=0,IF(AND($I93&gt;=Z$3,$I93&lt;=Z$2),$E93,0),$E93*NETWORKDAYS(MAX($I93,Z$3),MIN($J93,Z$2),Data!$K$4:$K$203)/$K93)))</f>
        <v>0</v>
      </c>
      <c r="AA93" s="170">
        <f>IF(OR($I93="",$E93=0),0,IF(OR($J93&lt;AA$3,$I93&gt;AA$2),0,IF($K93=0,IF(AND($I93&gt;=AA$3,$I93&lt;=AA$2),$E93,0),$E93*NETWORKDAYS(MAX($I93,AA$3),MIN($J93,AA$2),Data!$K$4:$K$203)/$K93)))</f>
        <v>0</v>
      </c>
      <c r="AB93" s="170">
        <f>IF(OR($I93="",$E93=0),0,IF(OR($J93&lt;AB$3,$I93&gt;AB$2),0,IF($K93=0,IF(AND($I93&gt;=AB$3,$I93&lt;=AB$2),$E93,0),$E93*NETWORKDAYS(MAX($I93,AB$3),MIN($J93,AB$2),Data!$K$4:$K$203)/$K93)))</f>
        <v>0</v>
      </c>
      <c r="AC93" s="170">
        <f>IF(OR($I93="",$E93=0),0,IF(OR($J93&lt;AC$3,$I93&gt;AC$2),0,IF($K93=0,IF(AND($I93&gt;=AC$3,$I93&lt;=AC$2),$E93,0),$E93*NETWORKDAYS(MAX($I93,AC$3),MIN($J93,AC$2),Data!$K$4:$K$203)/$K93)))</f>
        <v>0</v>
      </c>
      <c r="AD93" s="170">
        <f>IF(OR($I93="",$E93=0),0,IF(OR($J93&lt;AD$3,$I93&gt;AD$2),0,IF($K93=0,IF(AND($I93&gt;=AD$3,$I93&lt;=AD$2),$E93,0),$E93*NETWORKDAYS(MAX($I93,AD$3),MIN($J93,AD$2),Data!$K$4:$K$203)/$K93)))</f>
        <v>0</v>
      </c>
      <c r="AE93" s="170">
        <f>IF(OR($I93="",$E93=0),0,IF(OR($J93&lt;AE$3,$I93&gt;AE$2),0,IF($K93=0,IF(AND($I93&gt;=AE$3,$I93&lt;=AE$2),$E93,0),$E93*NETWORKDAYS(MAX($I93,AE$3),MIN($J93,AE$2),Data!$K$4:$K$203)/$K93)))</f>
        <v>0</v>
      </c>
      <c r="AF93" s="170">
        <f>IF(OR($I93="",$E93=0),0,IF(OR($J93&lt;AF$3,$I93&gt;AF$2),0,IF($K93=0,IF(AND($I93&gt;=AF$3,$I93&lt;=AF$2),$E93,0),$E93*NETWORKDAYS(MAX($I93,AF$3),MIN($J93,AF$2),Data!$K$4:$K$203)/$K93)))</f>
        <v>0</v>
      </c>
      <c r="AG93" s="170">
        <f>IF(OR($I93="",$E93=0),0,IF(OR($J93&lt;AG$3,$I93&gt;AG$2),0,IF($K93=0,IF(AND($I93&gt;=AG$3,$I93&lt;=AG$2),$E93,0),$E93*NETWORKDAYS(MAX($I93,AG$3),MIN($J93,AG$2),Data!$K$4:$K$203)/$K93)))</f>
        <v>0</v>
      </c>
      <c r="AH93" s="170">
        <f>IF(OR($I93="",$E93=0),0,IF(OR($J93&lt;AH$3,$I93&gt;AH$2),0,IF($K93=0,IF(AND($I93&gt;=AH$3,$I93&lt;=AH$2),$E93,0),$E93*NETWORKDAYS(MAX($I93,AH$3),MIN($J93,AH$2),Data!$K$4:$K$203)/$K93)))</f>
        <v>0</v>
      </c>
      <c r="AI93" s="170">
        <f>SUM(W93:AH93)</f>
        <v>0</v>
      </c>
      <c r="BW93" t="n">
        <v>90</v>
      </c>
      <c r="BX93" t="str">
        <f>IFERROR(MATCH(BW93,$EQ$4:$EQ$503,0),"")</f>
        <v/>
      </c>
      <c r="BY93" t="str">
        <f>IF(BX93="","",INDEX($FL$4:$FL$503,BX93))</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70"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4" t="str">
        <f>IF(EO93=1,IF(FH93&gt;0,FI93/FH93,AVERAGEIF($FF$4:$FF$503,EN93,$C$4:$C$503)),"")</f>
        <v/>
      </c>
      <c r="EV93" s="169">
        <f>IF(ISNUMBER(I93),I93,2958465)</f>
        <v>2958465.0</v>
      </c>
      <c r="EW93" s="169" t="str">
        <f>IF(EO93=1,SUMPRODUCT(MIN(($EN$4:$EN$503=EN93)*$EV$4:$EV$503+($EN$4:$EN$503&lt;&gt;EN93)*2958465)),"")</f>
        <v/>
      </c>
      <c r="EX93" s="169">
        <f>IF(AND(D93=1,ISNUMBER(INDEX(Charge!$F:$F,ROW()))),INDEX(Charge!$F:$F,ROW()),0)</f>
        <v>0.0</v>
      </c>
      <c r="EY93" s="169"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c r="FF93" t="str">
        <f>IF(B93=1,LEFT(SUBSTITUTE(SUBSTITUTE(SUBSTITUTE(TRIM(SUBSTITUTE(INDEX(Charge!$B:$B,ROW()),CHAR(160)," "))&amp;" | "&amp;TRIM(SUBSTITUTE(INDEX(Charge!$C:$C,ROW()),CHAR(160)," "))&amp;" | "&amp;TRIM(SUBSTITUTE(INDEX(Charge!$D:$D,ROW()),CHAR(160)," ")),"~","-"),"*","+"),"?","!"),240),"")</f>
        <v/>
      </c>
      <c r="FG93">
        <f>IF(B93=1,MAX(0,N(INDEX(Charge!$M:$M,ROW()))),0)</f>
        <v>0</v>
      </c>
      <c r="FH93" s="170" t="str">
        <f>IF(EO93=1,ROUND(SUMIF($FF$4:$FF$503,EN93,$FG$4:$FG$503),2),"")</f>
        <v/>
      </c>
      <c r="FI93" s="170" t="str">
        <f>IF(EO93=1,ROUND(SUMPRODUCT(($FF$4:$FF$503=EN93)*$FG$4:$FG$503*$C$4:$C$503),2),"")</f>
        <v/>
      </c>
      <c r="FJ93" s="170" t="str">
        <f>IF(EO93=1,MAX(0,ROUND(FH93-FI93,2)),"")</f>
        <v/>
      </c>
      <c r="FK93" s="174" t="str">
        <f>IF(EO93=1,IF(OR(EW93&gt;=2958465,EY93=0,EY93&lt;=EW93),"",IF(TODAY()&lt;=EW93,0,IF(TODAY()&gt;EY93,1,IFERROR(NETWORKDAYS(EW93,TODAY()-1,Data!$K$4:$K$203)/NETWORKDAYS(EW93,EY93,Data!$K$4:$K$203),"")))),"")</f>
        <v/>
      </c>
      <c r="FL93" t="str">
        <f>IF(EO93=1,IF(AND(EY93&gt;0,EY93&lt;TODAY(),ROUND(EU93,4)&lt;1),2,IF(FK93="",0,IF(ROUND(EU93-FK93,4)&lt;-0.15,1,0))),"")</f>
        <v/>
      </c>
      <c r="FM93">
        <f>IF(OR(FA93="",COUNTIF($FA$4:FA92,FA93)&gt;0),0,MAX(0,IF(FB93="Interne",IF(ISNUMBER(INDEX(Data!$F:$F,93)),INDEX(Data!$F:$F,93),p_HeuresETP),IF(ISNUMBER(INDEX(Data!$I:$I,93-$CD$23)),INDEX(Data!$I:$I,93-$CD$23),p_HeuresETP))-IF(FB93="Interne",IF(ISNUMBER(INDEX(Data!$G:$G,93)),INDEX(Data!$G:$G,93),p_ChargeFixe),IF(ISNUMBER(INDEX(Data!$J:$J,93-$CD$23)),INDEX(Data!$J:$J,93-$CD$23),p_ChargeFixe))))</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9" t="str">
        <f>IF(AND(D94=1,ISNUMBER(INDEX(Charge!$N:$N,ROW()))),INDEX(Charge!$N:$N,ROW()),"")</f>
        <v/>
      </c>
      <c r="J94" s="169"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70">
        <f>IF(OR($I94="",$E94=0),0,IF(OR($J94&lt;W$3,$I94&gt;W$2),0,IF($K94=0,IF(AND($I94&gt;=W$3,$I94&lt;=W$2),$E94,0),$E94*NETWORKDAYS(MAX($I94,W$3),MIN($J94,W$2),Data!$K$4:$K$203)/$K94)))</f>
        <v>0</v>
      </c>
      <c r="X94" s="170">
        <f>IF(OR($I94="",$E94=0),0,IF(OR($J94&lt;X$3,$I94&gt;X$2),0,IF($K94=0,IF(AND($I94&gt;=X$3,$I94&lt;=X$2),$E94,0),$E94*NETWORKDAYS(MAX($I94,X$3),MIN($J94,X$2),Data!$K$4:$K$203)/$K94)))</f>
        <v>0</v>
      </c>
      <c r="Y94" s="170">
        <f>IF(OR($I94="",$E94=0),0,IF(OR($J94&lt;Y$3,$I94&gt;Y$2),0,IF($K94=0,IF(AND($I94&gt;=Y$3,$I94&lt;=Y$2),$E94,0),$E94*NETWORKDAYS(MAX($I94,Y$3),MIN($J94,Y$2),Data!$K$4:$K$203)/$K94)))</f>
        <v>0</v>
      </c>
      <c r="Z94" s="170">
        <f>IF(OR($I94="",$E94=0),0,IF(OR($J94&lt;Z$3,$I94&gt;Z$2),0,IF($K94=0,IF(AND($I94&gt;=Z$3,$I94&lt;=Z$2),$E94,0),$E94*NETWORKDAYS(MAX($I94,Z$3),MIN($J94,Z$2),Data!$K$4:$K$203)/$K94)))</f>
        <v>0</v>
      </c>
      <c r="AA94" s="170">
        <f>IF(OR($I94="",$E94=0),0,IF(OR($J94&lt;AA$3,$I94&gt;AA$2),0,IF($K94=0,IF(AND($I94&gt;=AA$3,$I94&lt;=AA$2),$E94,0),$E94*NETWORKDAYS(MAX($I94,AA$3),MIN($J94,AA$2),Data!$K$4:$K$203)/$K94)))</f>
        <v>0</v>
      </c>
      <c r="AB94" s="170">
        <f>IF(OR($I94="",$E94=0),0,IF(OR($J94&lt;AB$3,$I94&gt;AB$2),0,IF($K94=0,IF(AND($I94&gt;=AB$3,$I94&lt;=AB$2),$E94,0),$E94*NETWORKDAYS(MAX($I94,AB$3),MIN($J94,AB$2),Data!$K$4:$K$203)/$K94)))</f>
        <v>0</v>
      </c>
      <c r="AC94" s="170">
        <f>IF(OR($I94="",$E94=0),0,IF(OR($J94&lt;AC$3,$I94&gt;AC$2),0,IF($K94=0,IF(AND($I94&gt;=AC$3,$I94&lt;=AC$2),$E94,0),$E94*NETWORKDAYS(MAX($I94,AC$3),MIN($J94,AC$2),Data!$K$4:$K$203)/$K94)))</f>
        <v>0</v>
      </c>
      <c r="AD94" s="170">
        <f>IF(OR($I94="",$E94=0),0,IF(OR($J94&lt;AD$3,$I94&gt;AD$2),0,IF($K94=0,IF(AND($I94&gt;=AD$3,$I94&lt;=AD$2),$E94,0),$E94*NETWORKDAYS(MAX($I94,AD$3),MIN($J94,AD$2),Data!$K$4:$K$203)/$K94)))</f>
        <v>0</v>
      </c>
      <c r="AE94" s="170">
        <f>IF(OR($I94="",$E94=0),0,IF(OR($J94&lt;AE$3,$I94&gt;AE$2),0,IF($K94=0,IF(AND($I94&gt;=AE$3,$I94&lt;=AE$2),$E94,0),$E94*NETWORKDAYS(MAX($I94,AE$3),MIN($J94,AE$2),Data!$K$4:$K$203)/$K94)))</f>
        <v>0</v>
      </c>
      <c r="AF94" s="170">
        <f>IF(OR($I94="",$E94=0),0,IF(OR($J94&lt;AF$3,$I94&gt;AF$2),0,IF($K94=0,IF(AND($I94&gt;=AF$3,$I94&lt;=AF$2),$E94,0),$E94*NETWORKDAYS(MAX($I94,AF$3),MIN($J94,AF$2),Data!$K$4:$K$203)/$K94)))</f>
        <v>0</v>
      </c>
      <c r="AG94" s="170">
        <f>IF(OR($I94="",$E94=0),0,IF(OR($J94&lt;AG$3,$I94&gt;AG$2),0,IF($K94=0,IF(AND($I94&gt;=AG$3,$I94&lt;=AG$2),$E94,0),$E94*NETWORKDAYS(MAX($I94,AG$3),MIN($J94,AG$2),Data!$K$4:$K$203)/$K94)))</f>
        <v>0</v>
      </c>
      <c r="AH94" s="170">
        <f>IF(OR($I94="",$E94=0),0,IF(OR($J94&lt;AH$3,$I94&gt;AH$2),0,IF($K94=0,IF(AND($I94&gt;=AH$3,$I94&lt;=AH$2),$E94,0),$E94*NETWORKDAYS(MAX($I94,AH$3),MIN($J94,AH$2),Data!$K$4:$K$203)/$K94)))</f>
        <v>0</v>
      </c>
      <c r="AI94" s="170">
        <f>SUM(W94:AH94)</f>
        <v>0</v>
      </c>
      <c r="BW94" t="n">
        <v>91</v>
      </c>
      <c r="BX94" t="str">
        <f>IFERROR(MATCH(BW94,$EQ$4:$EQ$503,0),"")</f>
        <v/>
      </c>
      <c r="BY94" t="str">
        <f>IF(BX94="","",INDEX($FL$4:$FL$503,BX94))</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70"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4" t="str">
        <f>IF(EO94=1,IF(FH94&gt;0,FI94/FH94,AVERAGEIF($FF$4:$FF$503,EN94,$C$4:$C$503)),"")</f>
        <v/>
      </c>
      <c r="EV94" s="169">
        <f>IF(ISNUMBER(I94),I94,2958465)</f>
        <v>2958465.0</v>
      </c>
      <c r="EW94" s="169" t="str">
        <f>IF(EO94=1,SUMPRODUCT(MIN(($EN$4:$EN$503=EN94)*$EV$4:$EV$503+($EN$4:$EN$503&lt;&gt;EN94)*2958465)),"")</f>
        <v/>
      </c>
      <c r="EX94" s="169">
        <f>IF(AND(D94=1,ISNUMBER(INDEX(Charge!$F:$F,ROW()))),INDEX(Charge!$F:$F,ROW()),0)</f>
        <v>0.0</v>
      </c>
      <c r="EY94" s="169"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c r="FF94" t="str">
        <f>IF(B94=1,LEFT(SUBSTITUTE(SUBSTITUTE(SUBSTITUTE(TRIM(SUBSTITUTE(INDEX(Charge!$B:$B,ROW()),CHAR(160)," "))&amp;" | "&amp;TRIM(SUBSTITUTE(INDEX(Charge!$C:$C,ROW()),CHAR(160)," "))&amp;" | "&amp;TRIM(SUBSTITUTE(INDEX(Charge!$D:$D,ROW()),CHAR(160)," ")),"~","-"),"*","+"),"?","!"),240),"")</f>
        <v/>
      </c>
      <c r="FG94">
        <f>IF(B94=1,MAX(0,N(INDEX(Charge!$M:$M,ROW()))),0)</f>
        <v>0</v>
      </c>
      <c r="FH94" s="170" t="str">
        <f>IF(EO94=1,ROUND(SUMIF($FF$4:$FF$503,EN94,$FG$4:$FG$503),2),"")</f>
        <v/>
      </c>
      <c r="FI94" s="170" t="str">
        <f>IF(EO94=1,ROUND(SUMPRODUCT(($FF$4:$FF$503=EN94)*$FG$4:$FG$503*$C$4:$C$503),2),"")</f>
        <v/>
      </c>
      <c r="FJ94" s="170" t="str">
        <f>IF(EO94=1,MAX(0,ROUND(FH94-FI94,2)),"")</f>
        <v/>
      </c>
      <c r="FK94" s="174" t="str">
        <f>IF(EO94=1,IF(OR(EW94&gt;=2958465,EY94=0,EY94&lt;=EW94),"",IF(TODAY()&lt;=EW94,0,IF(TODAY()&gt;EY94,1,IFERROR(NETWORKDAYS(EW94,TODAY()-1,Data!$K$4:$K$203)/NETWORKDAYS(EW94,EY94,Data!$K$4:$K$203),"")))),"")</f>
        <v/>
      </c>
      <c r="FL94" t="str">
        <f>IF(EO94=1,IF(AND(EY94&gt;0,EY94&lt;TODAY(),ROUND(EU94,4)&lt;1),2,IF(FK94="",0,IF(ROUND(EU94-FK94,4)&lt;-0.15,1,0))),"")</f>
        <v/>
      </c>
      <c r="FM94">
        <f>IF(OR(FA94="",COUNTIF($FA$4:FA93,FA94)&gt;0),0,MAX(0,IF(FB94="Interne",IF(ISNUMBER(INDEX(Data!$F:$F,94)),INDEX(Data!$F:$F,94),p_HeuresETP),IF(ISNUMBER(INDEX(Data!$I:$I,94-$CD$23)),INDEX(Data!$I:$I,94-$CD$23),p_HeuresETP))-IF(FB94="Interne",IF(ISNUMBER(INDEX(Data!$G:$G,94)),INDEX(Data!$G:$G,94),p_ChargeFixe),IF(ISNUMBER(INDEX(Data!$J:$J,94-$CD$23)),INDEX(Data!$J:$J,94-$CD$23),p_ChargeFixe))))</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9" t="str">
        <f>IF(AND(D95=1,ISNUMBER(INDEX(Charge!$N:$N,ROW()))),INDEX(Charge!$N:$N,ROW()),"")</f>
        <v/>
      </c>
      <c r="J95" s="169"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70">
        <f>IF(OR($I95="",$E95=0),0,IF(OR($J95&lt;W$3,$I95&gt;W$2),0,IF($K95=0,IF(AND($I95&gt;=W$3,$I95&lt;=W$2),$E95,0),$E95*NETWORKDAYS(MAX($I95,W$3),MIN($J95,W$2),Data!$K$4:$K$203)/$K95)))</f>
        <v>0</v>
      </c>
      <c r="X95" s="170">
        <f>IF(OR($I95="",$E95=0),0,IF(OR($J95&lt;X$3,$I95&gt;X$2),0,IF($K95=0,IF(AND($I95&gt;=X$3,$I95&lt;=X$2),$E95,0),$E95*NETWORKDAYS(MAX($I95,X$3),MIN($J95,X$2),Data!$K$4:$K$203)/$K95)))</f>
        <v>0</v>
      </c>
      <c r="Y95" s="170">
        <f>IF(OR($I95="",$E95=0),0,IF(OR($J95&lt;Y$3,$I95&gt;Y$2),0,IF($K95=0,IF(AND($I95&gt;=Y$3,$I95&lt;=Y$2),$E95,0),$E95*NETWORKDAYS(MAX($I95,Y$3),MIN($J95,Y$2),Data!$K$4:$K$203)/$K95)))</f>
        <v>0</v>
      </c>
      <c r="Z95" s="170">
        <f>IF(OR($I95="",$E95=0),0,IF(OR($J95&lt;Z$3,$I95&gt;Z$2),0,IF($K95=0,IF(AND($I95&gt;=Z$3,$I95&lt;=Z$2),$E95,0),$E95*NETWORKDAYS(MAX($I95,Z$3),MIN($J95,Z$2),Data!$K$4:$K$203)/$K95)))</f>
        <v>0</v>
      </c>
      <c r="AA95" s="170">
        <f>IF(OR($I95="",$E95=0),0,IF(OR($J95&lt;AA$3,$I95&gt;AA$2),0,IF($K95=0,IF(AND($I95&gt;=AA$3,$I95&lt;=AA$2),$E95,0),$E95*NETWORKDAYS(MAX($I95,AA$3),MIN($J95,AA$2),Data!$K$4:$K$203)/$K95)))</f>
        <v>0</v>
      </c>
      <c r="AB95" s="170">
        <f>IF(OR($I95="",$E95=0),0,IF(OR($J95&lt;AB$3,$I95&gt;AB$2),0,IF($K95=0,IF(AND($I95&gt;=AB$3,$I95&lt;=AB$2),$E95,0),$E95*NETWORKDAYS(MAX($I95,AB$3),MIN($J95,AB$2),Data!$K$4:$K$203)/$K95)))</f>
        <v>0</v>
      </c>
      <c r="AC95" s="170">
        <f>IF(OR($I95="",$E95=0),0,IF(OR($J95&lt;AC$3,$I95&gt;AC$2),0,IF($K95=0,IF(AND($I95&gt;=AC$3,$I95&lt;=AC$2),$E95,0),$E95*NETWORKDAYS(MAX($I95,AC$3),MIN($J95,AC$2),Data!$K$4:$K$203)/$K95)))</f>
        <v>0</v>
      </c>
      <c r="AD95" s="170">
        <f>IF(OR($I95="",$E95=0),0,IF(OR($J95&lt;AD$3,$I95&gt;AD$2),0,IF($K95=0,IF(AND($I95&gt;=AD$3,$I95&lt;=AD$2),$E95,0),$E95*NETWORKDAYS(MAX($I95,AD$3),MIN($J95,AD$2),Data!$K$4:$K$203)/$K95)))</f>
        <v>0</v>
      </c>
      <c r="AE95" s="170">
        <f>IF(OR($I95="",$E95=0),0,IF(OR($J95&lt;AE$3,$I95&gt;AE$2),0,IF($K95=0,IF(AND($I95&gt;=AE$3,$I95&lt;=AE$2),$E95,0),$E95*NETWORKDAYS(MAX($I95,AE$3),MIN($J95,AE$2),Data!$K$4:$K$203)/$K95)))</f>
        <v>0</v>
      </c>
      <c r="AF95" s="170">
        <f>IF(OR($I95="",$E95=0),0,IF(OR($J95&lt;AF$3,$I95&gt;AF$2),0,IF($K95=0,IF(AND($I95&gt;=AF$3,$I95&lt;=AF$2),$E95,0),$E95*NETWORKDAYS(MAX($I95,AF$3),MIN($J95,AF$2),Data!$K$4:$K$203)/$K95)))</f>
        <v>0</v>
      </c>
      <c r="AG95" s="170">
        <f>IF(OR($I95="",$E95=0),0,IF(OR($J95&lt;AG$3,$I95&gt;AG$2),0,IF($K95=0,IF(AND($I95&gt;=AG$3,$I95&lt;=AG$2),$E95,0),$E95*NETWORKDAYS(MAX($I95,AG$3),MIN($J95,AG$2),Data!$K$4:$K$203)/$K95)))</f>
        <v>0</v>
      </c>
      <c r="AH95" s="170">
        <f>IF(OR($I95="",$E95=0),0,IF(OR($J95&lt;AH$3,$I95&gt;AH$2),0,IF($K95=0,IF(AND($I95&gt;=AH$3,$I95&lt;=AH$2),$E95,0),$E95*NETWORKDAYS(MAX($I95,AH$3),MIN($J95,AH$2),Data!$K$4:$K$203)/$K95)))</f>
        <v>0</v>
      </c>
      <c r="AI95" s="170">
        <f>SUM(W95:AH95)</f>
        <v>0</v>
      </c>
      <c r="BW95" t="n">
        <v>92</v>
      </c>
      <c r="BX95" t="str">
        <f>IFERROR(MATCH(BW95,$EQ$4:$EQ$503,0),"")</f>
        <v/>
      </c>
      <c r="BY95" t="str">
        <f>IF(BX95="","",INDEX($FL$4:$FL$503,BX95))</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70"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4" t="str">
        <f>IF(EO95=1,IF(FH95&gt;0,FI95/FH95,AVERAGEIF($FF$4:$FF$503,EN95,$C$4:$C$503)),"")</f>
        <v/>
      </c>
      <c r="EV95" s="169">
        <f>IF(ISNUMBER(I95),I95,2958465)</f>
        <v>2958465.0</v>
      </c>
      <c r="EW95" s="169" t="str">
        <f>IF(EO95=1,SUMPRODUCT(MIN(($EN$4:$EN$503=EN95)*$EV$4:$EV$503+($EN$4:$EN$503&lt;&gt;EN95)*2958465)),"")</f>
        <v/>
      </c>
      <c r="EX95" s="169">
        <f>IF(AND(D95=1,ISNUMBER(INDEX(Charge!$F:$F,ROW()))),INDEX(Charge!$F:$F,ROW()),0)</f>
        <v>0.0</v>
      </c>
      <c r="EY95" s="169"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c r="FF95" t="str">
        <f>IF(B95=1,LEFT(SUBSTITUTE(SUBSTITUTE(SUBSTITUTE(TRIM(SUBSTITUTE(INDEX(Charge!$B:$B,ROW()),CHAR(160)," "))&amp;" | "&amp;TRIM(SUBSTITUTE(INDEX(Charge!$C:$C,ROW()),CHAR(160)," "))&amp;" | "&amp;TRIM(SUBSTITUTE(INDEX(Charge!$D:$D,ROW()),CHAR(160)," ")),"~","-"),"*","+"),"?","!"),240),"")</f>
        <v/>
      </c>
      <c r="FG95">
        <f>IF(B95=1,MAX(0,N(INDEX(Charge!$M:$M,ROW()))),0)</f>
        <v>0</v>
      </c>
      <c r="FH95" s="170" t="str">
        <f>IF(EO95=1,ROUND(SUMIF($FF$4:$FF$503,EN95,$FG$4:$FG$503),2),"")</f>
        <v/>
      </c>
      <c r="FI95" s="170" t="str">
        <f>IF(EO95=1,ROUND(SUMPRODUCT(($FF$4:$FF$503=EN95)*$FG$4:$FG$503*$C$4:$C$503),2),"")</f>
        <v/>
      </c>
      <c r="FJ95" s="170" t="str">
        <f>IF(EO95=1,MAX(0,ROUND(FH95-FI95,2)),"")</f>
        <v/>
      </c>
      <c r="FK95" s="174" t="str">
        <f>IF(EO95=1,IF(OR(EW95&gt;=2958465,EY95=0,EY95&lt;=EW95),"",IF(TODAY()&lt;=EW95,0,IF(TODAY()&gt;EY95,1,IFERROR(NETWORKDAYS(EW95,TODAY()-1,Data!$K$4:$K$203)/NETWORKDAYS(EW95,EY95,Data!$K$4:$K$203),"")))),"")</f>
        <v/>
      </c>
      <c r="FL95" t="str">
        <f>IF(EO95=1,IF(AND(EY95&gt;0,EY95&lt;TODAY(),ROUND(EU95,4)&lt;1),2,IF(FK95="",0,IF(ROUND(EU95-FK95,4)&lt;-0.15,1,0))),"")</f>
        <v/>
      </c>
      <c r="FM95">
        <f>IF(OR(FA95="",COUNTIF($FA$4:FA94,FA95)&gt;0),0,MAX(0,IF(FB95="Interne",IF(ISNUMBER(INDEX(Data!$F:$F,95)),INDEX(Data!$F:$F,95),p_HeuresETP),IF(ISNUMBER(INDEX(Data!$I:$I,95-$CD$23)),INDEX(Data!$I:$I,95-$CD$23),p_HeuresETP))-IF(FB95="Interne",IF(ISNUMBER(INDEX(Data!$G:$G,95)),INDEX(Data!$G:$G,95),p_ChargeFixe),IF(ISNUMBER(INDEX(Data!$J:$J,95-$CD$23)),INDEX(Data!$J:$J,95-$CD$23),p_ChargeFixe))))</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9" t="str">
        <f>IF(AND(D96=1,ISNUMBER(INDEX(Charge!$N:$N,ROW()))),INDEX(Charge!$N:$N,ROW()),"")</f>
        <v/>
      </c>
      <c r="J96" s="169"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70">
        <f>IF(OR($I96="",$E96=0),0,IF(OR($J96&lt;W$3,$I96&gt;W$2),0,IF($K96=0,IF(AND($I96&gt;=W$3,$I96&lt;=W$2),$E96,0),$E96*NETWORKDAYS(MAX($I96,W$3),MIN($J96,W$2),Data!$K$4:$K$203)/$K96)))</f>
        <v>0</v>
      </c>
      <c r="X96" s="170">
        <f>IF(OR($I96="",$E96=0),0,IF(OR($J96&lt;X$3,$I96&gt;X$2),0,IF($K96=0,IF(AND($I96&gt;=X$3,$I96&lt;=X$2),$E96,0),$E96*NETWORKDAYS(MAX($I96,X$3),MIN($J96,X$2),Data!$K$4:$K$203)/$K96)))</f>
        <v>0</v>
      </c>
      <c r="Y96" s="170">
        <f>IF(OR($I96="",$E96=0),0,IF(OR($J96&lt;Y$3,$I96&gt;Y$2),0,IF($K96=0,IF(AND($I96&gt;=Y$3,$I96&lt;=Y$2),$E96,0),$E96*NETWORKDAYS(MAX($I96,Y$3),MIN($J96,Y$2),Data!$K$4:$K$203)/$K96)))</f>
        <v>0</v>
      </c>
      <c r="Z96" s="170">
        <f>IF(OR($I96="",$E96=0),0,IF(OR($J96&lt;Z$3,$I96&gt;Z$2),0,IF($K96=0,IF(AND($I96&gt;=Z$3,$I96&lt;=Z$2),$E96,0),$E96*NETWORKDAYS(MAX($I96,Z$3),MIN($J96,Z$2),Data!$K$4:$K$203)/$K96)))</f>
        <v>0</v>
      </c>
      <c r="AA96" s="170">
        <f>IF(OR($I96="",$E96=0),0,IF(OR($J96&lt;AA$3,$I96&gt;AA$2),0,IF($K96=0,IF(AND($I96&gt;=AA$3,$I96&lt;=AA$2),$E96,0),$E96*NETWORKDAYS(MAX($I96,AA$3),MIN($J96,AA$2),Data!$K$4:$K$203)/$K96)))</f>
        <v>0</v>
      </c>
      <c r="AB96" s="170">
        <f>IF(OR($I96="",$E96=0),0,IF(OR($J96&lt;AB$3,$I96&gt;AB$2),0,IF($K96=0,IF(AND($I96&gt;=AB$3,$I96&lt;=AB$2),$E96,0),$E96*NETWORKDAYS(MAX($I96,AB$3),MIN($J96,AB$2),Data!$K$4:$K$203)/$K96)))</f>
        <v>0</v>
      </c>
      <c r="AC96" s="170">
        <f>IF(OR($I96="",$E96=0),0,IF(OR($J96&lt;AC$3,$I96&gt;AC$2),0,IF($K96=0,IF(AND($I96&gt;=AC$3,$I96&lt;=AC$2),$E96,0),$E96*NETWORKDAYS(MAX($I96,AC$3),MIN($J96,AC$2),Data!$K$4:$K$203)/$K96)))</f>
        <v>0</v>
      </c>
      <c r="AD96" s="170">
        <f>IF(OR($I96="",$E96=0),0,IF(OR($J96&lt;AD$3,$I96&gt;AD$2),0,IF($K96=0,IF(AND($I96&gt;=AD$3,$I96&lt;=AD$2),$E96,0),$E96*NETWORKDAYS(MAX($I96,AD$3),MIN($J96,AD$2),Data!$K$4:$K$203)/$K96)))</f>
        <v>0</v>
      </c>
      <c r="AE96" s="170">
        <f>IF(OR($I96="",$E96=0),0,IF(OR($J96&lt;AE$3,$I96&gt;AE$2),0,IF($K96=0,IF(AND($I96&gt;=AE$3,$I96&lt;=AE$2),$E96,0),$E96*NETWORKDAYS(MAX($I96,AE$3),MIN($J96,AE$2),Data!$K$4:$K$203)/$K96)))</f>
        <v>0</v>
      </c>
      <c r="AF96" s="170">
        <f>IF(OR($I96="",$E96=0),0,IF(OR($J96&lt;AF$3,$I96&gt;AF$2),0,IF($K96=0,IF(AND($I96&gt;=AF$3,$I96&lt;=AF$2),$E96,0),$E96*NETWORKDAYS(MAX($I96,AF$3),MIN($J96,AF$2),Data!$K$4:$K$203)/$K96)))</f>
        <v>0</v>
      </c>
      <c r="AG96" s="170">
        <f>IF(OR($I96="",$E96=0),0,IF(OR($J96&lt;AG$3,$I96&gt;AG$2),0,IF($K96=0,IF(AND($I96&gt;=AG$3,$I96&lt;=AG$2),$E96,0),$E96*NETWORKDAYS(MAX($I96,AG$3),MIN($J96,AG$2),Data!$K$4:$K$203)/$K96)))</f>
        <v>0</v>
      </c>
      <c r="AH96" s="170">
        <f>IF(OR($I96="",$E96=0),0,IF(OR($J96&lt;AH$3,$I96&gt;AH$2),0,IF($K96=0,IF(AND($I96&gt;=AH$3,$I96&lt;=AH$2),$E96,0),$E96*NETWORKDAYS(MAX($I96,AH$3),MIN($J96,AH$2),Data!$K$4:$K$203)/$K96)))</f>
        <v>0</v>
      </c>
      <c r="AI96" s="170">
        <f>SUM(W96:AH96)</f>
        <v>0</v>
      </c>
      <c r="BW96" t="n">
        <v>93</v>
      </c>
      <c r="BX96" t="str">
        <f>IFERROR(MATCH(BW96,$EQ$4:$EQ$503,0),"")</f>
        <v/>
      </c>
      <c r="BY96" t="str">
        <f>IF(BX96="","",INDEX($FL$4:$FL$503,BX96))</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70"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4" t="str">
        <f>IF(EO96=1,IF(FH96&gt;0,FI96/FH96,AVERAGEIF($FF$4:$FF$503,EN96,$C$4:$C$503)),"")</f>
        <v/>
      </c>
      <c r="EV96" s="169">
        <f>IF(ISNUMBER(I96),I96,2958465)</f>
        <v>2958465.0</v>
      </c>
      <c r="EW96" s="169" t="str">
        <f>IF(EO96=1,SUMPRODUCT(MIN(($EN$4:$EN$503=EN96)*$EV$4:$EV$503+($EN$4:$EN$503&lt;&gt;EN96)*2958465)),"")</f>
        <v/>
      </c>
      <c r="EX96" s="169">
        <f>IF(AND(D96=1,ISNUMBER(INDEX(Charge!$F:$F,ROW()))),INDEX(Charge!$F:$F,ROW()),0)</f>
        <v>0.0</v>
      </c>
      <c r="EY96" s="169"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c r="FF96" t="str">
        <f>IF(B96=1,LEFT(SUBSTITUTE(SUBSTITUTE(SUBSTITUTE(TRIM(SUBSTITUTE(INDEX(Charge!$B:$B,ROW()),CHAR(160)," "))&amp;" | "&amp;TRIM(SUBSTITUTE(INDEX(Charge!$C:$C,ROW()),CHAR(160)," "))&amp;" | "&amp;TRIM(SUBSTITUTE(INDEX(Charge!$D:$D,ROW()),CHAR(160)," ")),"~","-"),"*","+"),"?","!"),240),"")</f>
        <v/>
      </c>
      <c r="FG96">
        <f>IF(B96=1,MAX(0,N(INDEX(Charge!$M:$M,ROW()))),0)</f>
        <v>0</v>
      </c>
      <c r="FH96" s="170" t="str">
        <f>IF(EO96=1,ROUND(SUMIF($FF$4:$FF$503,EN96,$FG$4:$FG$503),2),"")</f>
        <v/>
      </c>
      <c r="FI96" s="170" t="str">
        <f>IF(EO96=1,ROUND(SUMPRODUCT(($FF$4:$FF$503=EN96)*$FG$4:$FG$503*$C$4:$C$503),2),"")</f>
        <v/>
      </c>
      <c r="FJ96" s="170" t="str">
        <f>IF(EO96=1,MAX(0,ROUND(FH96-FI96,2)),"")</f>
        <v/>
      </c>
      <c r="FK96" s="174" t="str">
        <f>IF(EO96=1,IF(OR(EW96&gt;=2958465,EY96=0,EY96&lt;=EW96),"",IF(TODAY()&lt;=EW96,0,IF(TODAY()&gt;EY96,1,IFERROR(NETWORKDAYS(EW96,TODAY()-1,Data!$K$4:$K$203)/NETWORKDAYS(EW96,EY96,Data!$K$4:$K$203),"")))),"")</f>
        <v/>
      </c>
      <c r="FL96" t="str">
        <f>IF(EO96=1,IF(AND(EY96&gt;0,EY96&lt;TODAY(),ROUND(EU96,4)&lt;1),2,IF(FK96="",0,IF(ROUND(EU96-FK96,4)&lt;-0.15,1,0))),"")</f>
        <v/>
      </c>
      <c r="FM96">
        <f>IF(OR(FA96="",COUNTIF($FA$4:FA95,FA96)&gt;0),0,MAX(0,IF(FB96="Interne",IF(ISNUMBER(INDEX(Data!$F:$F,96)),INDEX(Data!$F:$F,96),p_HeuresETP),IF(ISNUMBER(INDEX(Data!$I:$I,96-$CD$23)),INDEX(Data!$I:$I,96-$CD$23),p_HeuresETP))-IF(FB96="Interne",IF(ISNUMBER(INDEX(Data!$G:$G,96)),INDEX(Data!$G:$G,96),p_ChargeFixe),IF(ISNUMBER(INDEX(Data!$J:$J,96-$CD$23)),INDEX(Data!$J:$J,96-$CD$23),p_ChargeFixe))))</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9" t="str">
        <f>IF(AND(D97=1,ISNUMBER(INDEX(Charge!$N:$N,ROW()))),INDEX(Charge!$N:$N,ROW()),"")</f>
        <v/>
      </c>
      <c r="J97" s="169"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70">
        <f>IF(OR($I97="",$E97=0),0,IF(OR($J97&lt;W$3,$I97&gt;W$2),0,IF($K97=0,IF(AND($I97&gt;=W$3,$I97&lt;=W$2),$E97,0),$E97*NETWORKDAYS(MAX($I97,W$3),MIN($J97,W$2),Data!$K$4:$K$203)/$K97)))</f>
        <v>0</v>
      </c>
      <c r="X97" s="170">
        <f>IF(OR($I97="",$E97=0),0,IF(OR($J97&lt;X$3,$I97&gt;X$2),0,IF($K97=0,IF(AND($I97&gt;=X$3,$I97&lt;=X$2),$E97,0),$E97*NETWORKDAYS(MAX($I97,X$3),MIN($J97,X$2),Data!$K$4:$K$203)/$K97)))</f>
        <v>0</v>
      </c>
      <c r="Y97" s="170">
        <f>IF(OR($I97="",$E97=0),0,IF(OR($J97&lt;Y$3,$I97&gt;Y$2),0,IF($K97=0,IF(AND($I97&gt;=Y$3,$I97&lt;=Y$2),$E97,0),$E97*NETWORKDAYS(MAX($I97,Y$3),MIN($J97,Y$2),Data!$K$4:$K$203)/$K97)))</f>
        <v>0</v>
      </c>
      <c r="Z97" s="170">
        <f>IF(OR($I97="",$E97=0),0,IF(OR($J97&lt;Z$3,$I97&gt;Z$2),0,IF($K97=0,IF(AND($I97&gt;=Z$3,$I97&lt;=Z$2),$E97,0),$E97*NETWORKDAYS(MAX($I97,Z$3),MIN($J97,Z$2),Data!$K$4:$K$203)/$K97)))</f>
        <v>0</v>
      </c>
      <c r="AA97" s="170">
        <f>IF(OR($I97="",$E97=0),0,IF(OR($J97&lt;AA$3,$I97&gt;AA$2),0,IF($K97=0,IF(AND($I97&gt;=AA$3,$I97&lt;=AA$2),$E97,0),$E97*NETWORKDAYS(MAX($I97,AA$3),MIN($J97,AA$2),Data!$K$4:$K$203)/$K97)))</f>
        <v>0</v>
      </c>
      <c r="AB97" s="170">
        <f>IF(OR($I97="",$E97=0),0,IF(OR($J97&lt;AB$3,$I97&gt;AB$2),0,IF($K97=0,IF(AND($I97&gt;=AB$3,$I97&lt;=AB$2),$E97,0),$E97*NETWORKDAYS(MAX($I97,AB$3),MIN($J97,AB$2),Data!$K$4:$K$203)/$K97)))</f>
        <v>0</v>
      </c>
      <c r="AC97" s="170">
        <f>IF(OR($I97="",$E97=0),0,IF(OR($J97&lt;AC$3,$I97&gt;AC$2),0,IF($K97=0,IF(AND($I97&gt;=AC$3,$I97&lt;=AC$2),$E97,0),$E97*NETWORKDAYS(MAX($I97,AC$3),MIN($J97,AC$2),Data!$K$4:$K$203)/$K97)))</f>
        <v>0</v>
      </c>
      <c r="AD97" s="170">
        <f>IF(OR($I97="",$E97=0),0,IF(OR($J97&lt;AD$3,$I97&gt;AD$2),0,IF($K97=0,IF(AND($I97&gt;=AD$3,$I97&lt;=AD$2),$E97,0),$E97*NETWORKDAYS(MAX($I97,AD$3),MIN($J97,AD$2),Data!$K$4:$K$203)/$K97)))</f>
        <v>0</v>
      </c>
      <c r="AE97" s="170">
        <f>IF(OR($I97="",$E97=0),0,IF(OR($J97&lt;AE$3,$I97&gt;AE$2),0,IF($K97=0,IF(AND($I97&gt;=AE$3,$I97&lt;=AE$2),$E97,0),$E97*NETWORKDAYS(MAX($I97,AE$3),MIN($J97,AE$2),Data!$K$4:$K$203)/$K97)))</f>
        <v>0</v>
      </c>
      <c r="AF97" s="170">
        <f>IF(OR($I97="",$E97=0),0,IF(OR($J97&lt;AF$3,$I97&gt;AF$2),0,IF($K97=0,IF(AND($I97&gt;=AF$3,$I97&lt;=AF$2),$E97,0),$E97*NETWORKDAYS(MAX($I97,AF$3),MIN($J97,AF$2),Data!$K$4:$K$203)/$K97)))</f>
        <v>0</v>
      </c>
      <c r="AG97" s="170">
        <f>IF(OR($I97="",$E97=0),0,IF(OR($J97&lt;AG$3,$I97&gt;AG$2),0,IF($K97=0,IF(AND($I97&gt;=AG$3,$I97&lt;=AG$2),$E97,0),$E97*NETWORKDAYS(MAX($I97,AG$3),MIN($J97,AG$2),Data!$K$4:$K$203)/$K97)))</f>
        <v>0</v>
      </c>
      <c r="AH97" s="170">
        <f>IF(OR($I97="",$E97=0),0,IF(OR($J97&lt;AH$3,$I97&gt;AH$2),0,IF($K97=0,IF(AND($I97&gt;=AH$3,$I97&lt;=AH$2),$E97,0),$E97*NETWORKDAYS(MAX($I97,AH$3),MIN($J97,AH$2),Data!$K$4:$K$203)/$K97)))</f>
        <v>0</v>
      </c>
      <c r="AI97" s="170">
        <f>SUM(W97:AH97)</f>
        <v>0</v>
      </c>
      <c r="BW97" t="n">
        <v>94</v>
      </c>
      <c r="BX97" t="str">
        <f>IFERROR(MATCH(BW97,$EQ$4:$EQ$503,0),"")</f>
        <v/>
      </c>
      <c r="BY97" t="str">
        <f>IF(BX97="","",INDEX($FL$4:$FL$503,BX97))</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70"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4" t="str">
        <f>IF(EO97=1,IF(FH97&gt;0,FI97/FH97,AVERAGEIF($FF$4:$FF$503,EN97,$C$4:$C$503)),"")</f>
        <v/>
      </c>
      <c r="EV97" s="169">
        <f>IF(ISNUMBER(I97),I97,2958465)</f>
        <v>2958465.0</v>
      </c>
      <c r="EW97" s="169" t="str">
        <f>IF(EO97=1,SUMPRODUCT(MIN(($EN$4:$EN$503=EN97)*$EV$4:$EV$503+($EN$4:$EN$503&lt;&gt;EN97)*2958465)),"")</f>
        <v/>
      </c>
      <c r="EX97" s="169">
        <f>IF(AND(D97=1,ISNUMBER(INDEX(Charge!$F:$F,ROW()))),INDEX(Charge!$F:$F,ROW()),0)</f>
        <v>0.0</v>
      </c>
      <c r="EY97" s="169"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c r="FF97" t="str">
        <f>IF(B97=1,LEFT(SUBSTITUTE(SUBSTITUTE(SUBSTITUTE(TRIM(SUBSTITUTE(INDEX(Charge!$B:$B,ROW()),CHAR(160)," "))&amp;" | "&amp;TRIM(SUBSTITUTE(INDEX(Charge!$C:$C,ROW()),CHAR(160)," "))&amp;" | "&amp;TRIM(SUBSTITUTE(INDEX(Charge!$D:$D,ROW()),CHAR(160)," ")),"~","-"),"*","+"),"?","!"),240),"")</f>
        <v/>
      </c>
      <c r="FG97">
        <f>IF(B97=1,MAX(0,N(INDEX(Charge!$M:$M,ROW()))),0)</f>
        <v>0</v>
      </c>
      <c r="FH97" s="170" t="str">
        <f>IF(EO97=1,ROUND(SUMIF($FF$4:$FF$503,EN97,$FG$4:$FG$503),2),"")</f>
        <v/>
      </c>
      <c r="FI97" s="170" t="str">
        <f>IF(EO97=1,ROUND(SUMPRODUCT(($FF$4:$FF$503=EN97)*$FG$4:$FG$503*$C$4:$C$503),2),"")</f>
        <v/>
      </c>
      <c r="FJ97" s="170" t="str">
        <f>IF(EO97=1,MAX(0,ROUND(FH97-FI97,2)),"")</f>
        <v/>
      </c>
      <c r="FK97" s="174" t="str">
        <f>IF(EO97=1,IF(OR(EW97&gt;=2958465,EY97=0,EY97&lt;=EW97),"",IF(TODAY()&lt;=EW97,0,IF(TODAY()&gt;EY97,1,IFERROR(NETWORKDAYS(EW97,TODAY()-1,Data!$K$4:$K$203)/NETWORKDAYS(EW97,EY97,Data!$K$4:$K$203),"")))),"")</f>
        <v/>
      </c>
      <c r="FL97" t="str">
        <f>IF(EO97=1,IF(AND(EY97&gt;0,EY97&lt;TODAY(),ROUND(EU97,4)&lt;1),2,IF(FK97="",0,IF(ROUND(EU97-FK97,4)&lt;-0.15,1,0))),"")</f>
        <v/>
      </c>
      <c r="FM97">
        <f>IF(OR(FA97="",COUNTIF($FA$4:FA96,FA97)&gt;0),0,MAX(0,IF(FB97="Interne",IF(ISNUMBER(INDEX(Data!$F:$F,97)),INDEX(Data!$F:$F,97),p_HeuresETP),IF(ISNUMBER(INDEX(Data!$I:$I,97-$CD$23)),INDEX(Data!$I:$I,97-$CD$23),p_HeuresETP))-IF(FB97="Interne",IF(ISNUMBER(INDEX(Data!$G:$G,97)),INDEX(Data!$G:$G,97),p_ChargeFixe),IF(ISNUMBER(INDEX(Data!$J:$J,97-$CD$23)),INDEX(Data!$J:$J,97-$CD$23),p_ChargeFixe))))</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9" t="str">
        <f>IF(AND(D98=1,ISNUMBER(INDEX(Charge!$N:$N,ROW()))),INDEX(Charge!$N:$N,ROW()),"")</f>
        <v/>
      </c>
      <c r="J98" s="169"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70">
        <f>IF(OR($I98="",$E98=0),0,IF(OR($J98&lt;W$3,$I98&gt;W$2),0,IF($K98=0,IF(AND($I98&gt;=W$3,$I98&lt;=W$2),$E98,0),$E98*NETWORKDAYS(MAX($I98,W$3),MIN($J98,W$2),Data!$K$4:$K$203)/$K98)))</f>
        <v>0</v>
      </c>
      <c r="X98" s="170">
        <f>IF(OR($I98="",$E98=0),0,IF(OR($J98&lt;X$3,$I98&gt;X$2),0,IF($K98=0,IF(AND($I98&gt;=X$3,$I98&lt;=X$2),$E98,0),$E98*NETWORKDAYS(MAX($I98,X$3),MIN($J98,X$2),Data!$K$4:$K$203)/$K98)))</f>
        <v>0</v>
      </c>
      <c r="Y98" s="170">
        <f>IF(OR($I98="",$E98=0),0,IF(OR($J98&lt;Y$3,$I98&gt;Y$2),0,IF($K98=0,IF(AND($I98&gt;=Y$3,$I98&lt;=Y$2),$E98,0),$E98*NETWORKDAYS(MAX($I98,Y$3),MIN($J98,Y$2),Data!$K$4:$K$203)/$K98)))</f>
        <v>0</v>
      </c>
      <c r="Z98" s="170">
        <f>IF(OR($I98="",$E98=0),0,IF(OR($J98&lt;Z$3,$I98&gt;Z$2),0,IF($K98=0,IF(AND($I98&gt;=Z$3,$I98&lt;=Z$2),$E98,0),$E98*NETWORKDAYS(MAX($I98,Z$3),MIN($J98,Z$2),Data!$K$4:$K$203)/$K98)))</f>
        <v>0</v>
      </c>
      <c r="AA98" s="170">
        <f>IF(OR($I98="",$E98=0),0,IF(OR($J98&lt;AA$3,$I98&gt;AA$2),0,IF($K98=0,IF(AND($I98&gt;=AA$3,$I98&lt;=AA$2),$E98,0),$E98*NETWORKDAYS(MAX($I98,AA$3),MIN($J98,AA$2),Data!$K$4:$K$203)/$K98)))</f>
        <v>0</v>
      </c>
      <c r="AB98" s="170">
        <f>IF(OR($I98="",$E98=0),0,IF(OR($J98&lt;AB$3,$I98&gt;AB$2),0,IF($K98=0,IF(AND($I98&gt;=AB$3,$I98&lt;=AB$2),$E98,0),$E98*NETWORKDAYS(MAX($I98,AB$3),MIN($J98,AB$2),Data!$K$4:$K$203)/$K98)))</f>
        <v>0</v>
      </c>
      <c r="AC98" s="170">
        <f>IF(OR($I98="",$E98=0),0,IF(OR($J98&lt;AC$3,$I98&gt;AC$2),0,IF($K98=0,IF(AND($I98&gt;=AC$3,$I98&lt;=AC$2),$E98,0),$E98*NETWORKDAYS(MAX($I98,AC$3),MIN($J98,AC$2),Data!$K$4:$K$203)/$K98)))</f>
        <v>0</v>
      </c>
      <c r="AD98" s="170">
        <f>IF(OR($I98="",$E98=0),0,IF(OR($J98&lt;AD$3,$I98&gt;AD$2),0,IF($K98=0,IF(AND($I98&gt;=AD$3,$I98&lt;=AD$2),$E98,0),$E98*NETWORKDAYS(MAX($I98,AD$3),MIN($J98,AD$2),Data!$K$4:$K$203)/$K98)))</f>
        <v>0</v>
      </c>
      <c r="AE98" s="170">
        <f>IF(OR($I98="",$E98=0),0,IF(OR($J98&lt;AE$3,$I98&gt;AE$2),0,IF($K98=0,IF(AND($I98&gt;=AE$3,$I98&lt;=AE$2),$E98,0),$E98*NETWORKDAYS(MAX($I98,AE$3),MIN($J98,AE$2),Data!$K$4:$K$203)/$K98)))</f>
        <v>0</v>
      </c>
      <c r="AF98" s="170">
        <f>IF(OR($I98="",$E98=0),0,IF(OR($J98&lt;AF$3,$I98&gt;AF$2),0,IF($K98=0,IF(AND($I98&gt;=AF$3,$I98&lt;=AF$2),$E98,0),$E98*NETWORKDAYS(MAX($I98,AF$3),MIN($J98,AF$2),Data!$K$4:$K$203)/$K98)))</f>
        <v>0</v>
      </c>
      <c r="AG98" s="170">
        <f>IF(OR($I98="",$E98=0),0,IF(OR($J98&lt;AG$3,$I98&gt;AG$2),0,IF($K98=0,IF(AND($I98&gt;=AG$3,$I98&lt;=AG$2),$E98,0),$E98*NETWORKDAYS(MAX($I98,AG$3),MIN($J98,AG$2),Data!$K$4:$K$203)/$K98)))</f>
        <v>0</v>
      </c>
      <c r="AH98" s="170">
        <f>IF(OR($I98="",$E98=0),0,IF(OR($J98&lt;AH$3,$I98&gt;AH$2),0,IF($K98=0,IF(AND($I98&gt;=AH$3,$I98&lt;=AH$2),$E98,0),$E98*NETWORKDAYS(MAX($I98,AH$3),MIN($J98,AH$2),Data!$K$4:$K$203)/$K98)))</f>
        <v>0</v>
      </c>
      <c r="AI98" s="170">
        <f>SUM(W98:AH98)</f>
        <v>0</v>
      </c>
      <c r="BW98" t="n">
        <v>95</v>
      </c>
      <c r="BX98" t="str">
        <f>IFERROR(MATCH(BW98,$EQ$4:$EQ$503,0),"")</f>
        <v/>
      </c>
      <c r="BY98" t="str">
        <f>IF(BX98="","",INDEX($FL$4:$FL$503,BX98))</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70"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4" t="str">
        <f>IF(EO98=1,IF(FH98&gt;0,FI98/FH98,AVERAGEIF($FF$4:$FF$503,EN98,$C$4:$C$503)),"")</f>
        <v/>
      </c>
      <c r="EV98" s="169">
        <f>IF(ISNUMBER(I98),I98,2958465)</f>
        <v>2958465.0</v>
      </c>
      <c r="EW98" s="169" t="str">
        <f>IF(EO98=1,SUMPRODUCT(MIN(($EN$4:$EN$503=EN98)*$EV$4:$EV$503+($EN$4:$EN$503&lt;&gt;EN98)*2958465)),"")</f>
        <v/>
      </c>
      <c r="EX98" s="169">
        <f>IF(AND(D98=1,ISNUMBER(INDEX(Charge!$F:$F,ROW()))),INDEX(Charge!$F:$F,ROW()),0)</f>
        <v>0.0</v>
      </c>
      <c r="EY98" s="169"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c r="FF98" t="str">
        <f>IF(B98=1,LEFT(SUBSTITUTE(SUBSTITUTE(SUBSTITUTE(TRIM(SUBSTITUTE(INDEX(Charge!$B:$B,ROW()),CHAR(160)," "))&amp;" | "&amp;TRIM(SUBSTITUTE(INDEX(Charge!$C:$C,ROW()),CHAR(160)," "))&amp;" | "&amp;TRIM(SUBSTITUTE(INDEX(Charge!$D:$D,ROW()),CHAR(160)," ")),"~","-"),"*","+"),"?","!"),240),"")</f>
        <v/>
      </c>
      <c r="FG98">
        <f>IF(B98=1,MAX(0,N(INDEX(Charge!$M:$M,ROW()))),0)</f>
        <v>0</v>
      </c>
      <c r="FH98" s="170" t="str">
        <f>IF(EO98=1,ROUND(SUMIF($FF$4:$FF$503,EN98,$FG$4:$FG$503),2),"")</f>
        <v/>
      </c>
      <c r="FI98" s="170" t="str">
        <f>IF(EO98=1,ROUND(SUMPRODUCT(($FF$4:$FF$503=EN98)*$FG$4:$FG$503*$C$4:$C$503),2),"")</f>
        <v/>
      </c>
      <c r="FJ98" s="170" t="str">
        <f>IF(EO98=1,MAX(0,ROUND(FH98-FI98,2)),"")</f>
        <v/>
      </c>
      <c r="FK98" s="174" t="str">
        <f>IF(EO98=1,IF(OR(EW98&gt;=2958465,EY98=0,EY98&lt;=EW98),"",IF(TODAY()&lt;=EW98,0,IF(TODAY()&gt;EY98,1,IFERROR(NETWORKDAYS(EW98,TODAY()-1,Data!$K$4:$K$203)/NETWORKDAYS(EW98,EY98,Data!$K$4:$K$203),"")))),"")</f>
        <v/>
      </c>
      <c r="FL98" t="str">
        <f>IF(EO98=1,IF(AND(EY98&gt;0,EY98&lt;TODAY(),ROUND(EU98,4)&lt;1),2,IF(FK98="",0,IF(ROUND(EU98-FK98,4)&lt;-0.15,1,0))),"")</f>
        <v/>
      </c>
      <c r="FM98">
        <f>IF(OR(FA98="",COUNTIF($FA$4:FA97,FA98)&gt;0),0,MAX(0,IF(FB98="Interne",IF(ISNUMBER(INDEX(Data!$F:$F,98)),INDEX(Data!$F:$F,98),p_HeuresETP),IF(ISNUMBER(INDEX(Data!$I:$I,98-$CD$23)),INDEX(Data!$I:$I,98-$CD$23),p_HeuresETP))-IF(FB98="Interne",IF(ISNUMBER(INDEX(Data!$G:$G,98)),INDEX(Data!$G:$G,98),p_ChargeFixe),IF(ISNUMBER(INDEX(Data!$J:$J,98-$CD$23)),INDEX(Data!$J:$J,98-$CD$23),p_ChargeFixe))))</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9" t="str">
        <f>IF(AND(D99=1,ISNUMBER(INDEX(Charge!$N:$N,ROW()))),INDEX(Charge!$N:$N,ROW()),"")</f>
        <v/>
      </c>
      <c r="J99" s="169"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70">
        <f>IF(OR($I99="",$E99=0),0,IF(OR($J99&lt;W$3,$I99&gt;W$2),0,IF($K99=0,IF(AND($I99&gt;=W$3,$I99&lt;=W$2),$E99,0),$E99*NETWORKDAYS(MAX($I99,W$3),MIN($J99,W$2),Data!$K$4:$K$203)/$K99)))</f>
        <v>0</v>
      </c>
      <c r="X99" s="170">
        <f>IF(OR($I99="",$E99=0),0,IF(OR($J99&lt;X$3,$I99&gt;X$2),0,IF($K99=0,IF(AND($I99&gt;=X$3,$I99&lt;=X$2),$E99,0),$E99*NETWORKDAYS(MAX($I99,X$3),MIN($J99,X$2),Data!$K$4:$K$203)/$K99)))</f>
        <v>0</v>
      </c>
      <c r="Y99" s="170">
        <f>IF(OR($I99="",$E99=0),0,IF(OR($J99&lt;Y$3,$I99&gt;Y$2),0,IF($K99=0,IF(AND($I99&gt;=Y$3,$I99&lt;=Y$2),$E99,0),$E99*NETWORKDAYS(MAX($I99,Y$3),MIN($J99,Y$2),Data!$K$4:$K$203)/$K99)))</f>
        <v>0</v>
      </c>
      <c r="Z99" s="170">
        <f>IF(OR($I99="",$E99=0),0,IF(OR($J99&lt;Z$3,$I99&gt;Z$2),0,IF($K99=0,IF(AND($I99&gt;=Z$3,$I99&lt;=Z$2),$E99,0),$E99*NETWORKDAYS(MAX($I99,Z$3),MIN($J99,Z$2),Data!$K$4:$K$203)/$K99)))</f>
        <v>0</v>
      </c>
      <c r="AA99" s="170">
        <f>IF(OR($I99="",$E99=0),0,IF(OR($J99&lt;AA$3,$I99&gt;AA$2),0,IF($K99=0,IF(AND($I99&gt;=AA$3,$I99&lt;=AA$2),$E99,0),$E99*NETWORKDAYS(MAX($I99,AA$3),MIN($J99,AA$2),Data!$K$4:$K$203)/$K99)))</f>
        <v>0</v>
      </c>
      <c r="AB99" s="170">
        <f>IF(OR($I99="",$E99=0),0,IF(OR($J99&lt;AB$3,$I99&gt;AB$2),0,IF($K99=0,IF(AND($I99&gt;=AB$3,$I99&lt;=AB$2),$E99,0),$E99*NETWORKDAYS(MAX($I99,AB$3),MIN($J99,AB$2),Data!$K$4:$K$203)/$K99)))</f>
        <v>0</v>
      </c>
      <c r="AC99" s="170">
        <f>IF(OR($I99="",$E99=0),0,IF(OR($J99&lt;AC$3,$I99&gt;AC$2),0,IF($K99=0,IF(AND($I99&gt;=AC$3,$I99&lt;=AC$2),$E99,0),$E99*NETWORKDAYS(MAX($I99,AC$3),MIN($J99,AC$2),Data!$K$4:$K$203)/$K99)))</f>
        <v>0</v>
      </c>
      <c r="AD99" s="170">
        <f>IF(OR($I99="",$E99=0),0,IF(OR($J99&lt;AD$3,$I99&gt;AD$2),0,IF($K99=0,IF(AND($I99&gt;=AD$3,$I99&lt;=AD$2),$E99,0),$E99*NETWORKDAYS(MAX($I99,AD$3),MIN($J99,AD$2),Data!$K$4:$K$203)/$K99)))</f>
        <v>0</v>
      </c>
      <c r="AE99" s="170">
        <f>IF(OR($I99="",$E99=0),0,IF(OR($J99&lt;AE$3,$I99&gt;AE$2),0,IF($K99=0,IF(AND($I99&gt;=AE$3,$I99&lt;=AE$2),$E99,0),$E99*NETWORKDAYS(MAX($I99,AE$3),MIN($J99,AE$2),Data!$K$4:$K$203)/$K99)))</f>
        <v>0</v>
      </c>
      <c r="AF99" s="170">
        <f>IF(OR($I99="",$E99=0),0,IF(OR($J99&lt;AF$3,$I99&gt;AF$2),0,IF($K99=0,IF(AND($I99&gt;=AF$3,$I99&lt;=AF$2),$E99,0),$E99*NETWORKDAYS(MAX($I99,AF$3),MIN($J99,AF$2),Data!$K$4:$K$203)/$K99)))</f>
        <v>0</v>
      </c>
      <c r="AG99" s="170">
        <f>IF(OR($I99="",$E99=0),0,IF(OR($J99&lt;AG$3,$I99&gt;AG$2),0,IF($K99=0,IF(AND($I99&gt;=AG$3,$I99&lt;=AG$2),$E99,0),$E99*NETWORKDAYS(MAX($I99,AG$3),MIN($J99,AG$2),Data!$K$4:$K$203)/$K99)))</f>
        <v>0</v>
      </c>
      <c r="AH99" s="170">
        <f>IF(OR($I99="",$E99=0),0,IF(OR($J99&lt;AH$3,$I99&gt;AH$2),0,IF($K99=0,IF(AND($I99&gt;=AH$3,$I99&lt;=AH$2),$E99,0),$E99*NETWORKDAYS(MAX($I99,AH$3),MIN($J99,AH$2),Data!$K$4:$K$203)/$K99)))</f>
        <v>0</v>
      </c>
      <c r="AI99" s="170">
        <f>SUM(W99:AH99)</f>
        <v>0</v>
      </c>
      <c r="BW99" t="n">
        <v>96</v>
      </c>
      <c r="BX99" t="str">
        <f>IFERROR(MATCH(BW99,$EQ$4:$EQ$503,0),"")</f>
        <v/>
      </c>
      <c r="BY99" t="str">
        <f>IF(BX99="","",INDEX($FL$4:$FL$503,BX99))</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70"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4" t="str">
        <f>IF(EO99=1,IF(FH99&gt;0,FI99/FH99,AVERAGEIF($FF$4:$FF$503,EN99,$C$4:$C$503)),"")</f>
        <v/>
      </c>
      <c r="EV99" s="169">
        <f>IF(ISNUMBER(I99),I99,2958465)</f>
        <v>2958465.0</v>
      </c>
      <c r="EW99" s="169" t="str">
        <f>IF(EO99=1,SUMPRODUCT(MIN(($EN$4:$EN$503=EN99)*$EV$4:$EV$503+($EN$4:$EN$503&lt;&gt;EN99)*2958465)),"")</f>
        <v/>
      </c>
      <c r="EX99" s="169">
        <f>IF(AND(D99=1,ISNUMBER(INDEX(Charge!$F:$F,ROW()))),INDEX(Charge!$F:$F,ROW()),0)</f>
        <v>0.0</v>
      </c>
      <c r="EY99" s="169"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c r="FF99" t="str">
        <f>IF(B99=1,LEFT(SUBSTITUTE(SUBSTITUTE(SUBSTITUTE(TRIM(SUBSTITUTE(INDEX(Charge!$B:$B,ROW()),CHAR(160)," "))&amp;" | "&amp;TRIM(SUBSTITUTE(INDEX(Charge!$C:$C,ROW()),CHAR(160)," "))&amp;" | "&amp;TRIM(SUBSTITUTE(INDEX(Charge!$D:$D,ROW()),CHAR(160)," ")),"~","-"),"*","+"),"?","!"),240),"")</f>
        <v/>
      </c>
      <c r="FG99">
        <f>IF(B99=1,MAX(0,N(INDEX(Charge!$M:$M,ROW()))),0)</f>
        <v>0</v>
      </c>
      <c r="FH99" s="170" t="str">
        <f>IF(EO99=1,ROUND(SUMIF($FF$4:$FF$503,EN99,$FG$4:$FG$503),2),"")</f>
        <v/>
      </c>
      <c r="FI99" s="170" t="str">
        <f>IF(EO99=1,ROUND(SUMPRODUCT(($FF$4:$FF$503=EN99)*$FG$4:$FG$503*$C$4:$C$503),2),"")</f>
        <v/>
      </c>
      <c r="FJ99" s="170" t="str">
        <f>IF(EO99=1,MAX(0,ROUND(FH99-FI99,2)),"")</f>
        <v/>
      </c>
      <c r="FK99" s="174" t="str">
        <f>IF(EO99=1,IF(OR(EW99&gt;=2958465,EY99=0,EY99&lt;=EW99),"",IF(TODAY()&lt;=EW99,0,IF(TODAY()&gt;EY99,1,IFERROR(NETWORKDAYS(EW99,TODAY()-1,Data!$K$4:$K$203)/NETWORKDAYS(EW99,EY99,Data!$K$4:$K$203),"")))),"")</f>
        <v/>
      </c>
      <c r="FL99" t="str">
        <f>IF(EO99=1,IF(AND(EY99&gt;0,EY99&lt;TODAY(),ROUND(EU99,4)&lt;1),2,IF(FK99="",0,IF(ROUND(EU99-FK99,4)&lt;-0.15,1,0))),"")</f>
        <v/>
      </c>
      <c r="FM99">
        <f>IF(OR(FA99="",COUNTIF($FA$4:FA98,FA99)&gt;0),0,MAX(0,IF(FB99="Interne",IF(ISNUMBER(INDEX(Data!$F:$F,99)),INDEX(Data!$F:$F,99),p_HeuresETP),IF(ISNUMBER(INDEX(Data!$I:$I,99-$CD$23)),INDEX(Data!$I:$I,99-$CD$23),p_HeuresETP))-IF(FB99="Interne",IF(ISNUMBER(INDEX(Data!$G:$G,99)),INDEX(Data!$G:$G,99),p_ChargeFixe),IF(ISNUMBER(INDEX(Data!$J:$J,99-$CD$23)),INDEX(Data!$J:$J,99-$CD$23),p_ChargeFixe))))</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9" t="str">
        <f>IF(AND(D100=1,ISNUMBER(INDEX(Charge!$N:$N,ROW()))),INDEX(Charge!$N:$N,ROW()),"")</f>
        <v/>
      </c>
      <c r="J100" s="169"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70">
        <f>IF(OR($I100="",$E100=0),0,IF(OR($J100&lt;W$3,$I100&gt;W$2),0,IF($K100=0,IF(AND($I100&gt;=W$3,$I100&lt;=W$2),$E100,0),$E100*NETWORKDAYS(MAX($I100,W$3),MIN($J100,W$2),Data!$K$4:$K$203)/$K100)))</f>
        <v>0</v>
      </c>
      <c r="X100" s="170">
        <f>IF(OR($I100="",$E100=0),0,IF(OR($J100&lt;X$3,$I100&gt;X$2),0,IF($K100=0,IF(AND($I100&gt;=X$3,$I100&lt;=X$2),$E100,0),$E100*NETWORKDAYS(MAX($I100,X$3),MIN($J100,X$2),Data!$K$4:$K$203)/$K100)))</f>
        <v>0</v>
      </c>
      <c r="Y100" s="170">
        <f>IF(OR($I100="",$E100=0),0,IF(OR($J100&lt;Y$3,$I100&gt;Y$2),0,IF($K100=0,IF(AND($I100&gt;=Y$3,$I100&lt;=Y$2),$E100,0),$E100*NETWORKDAYS(MAX($I100,Y$3),MIN($J100,Y$2),Data!$K$4:$K$203)/$K100)))</f>
        <v>0</v>
      </c>
      <c r="Z100" s="170">
        <f>IF(OR($I100="",$E100=0),0,IF(OR($J100&lt;Z$3,$I100&gt;Z$2),0,IF($K100=0,IF(AND($I100&gt;=Z$3,$I100&lt;=Z$2),$E100,0),$E100*NETWORKDAYS(MAX($I100,Z$3),MIN($J100,Z$2),Data!$K$4:$K$203)/$K100)))</f>
        <v>0</v>
      </c>
      <c r="AA100" s="170">
        <f>IF(OR($I100="",$E100=0),0,IF(OR($J100&lt;AA$3,$I100&gt;AA$2),0,IF($K100=0,IF(AND($I100&gt;=AA$3,$I100&lt;=AA$2),$E100,0),$E100*NETWORKDAYS(MAX($I100,AA$3),MIN($J100,AA$2),Data!$K$4:$K$203)/$K100)))</f>
        <v>0</v>
      </c>
      <c r="AB100" s="170">
        <f>IF(OR($I100="",$E100=0),0,IF(OR($J100&lt;AB$3,$I100&gt;AB$2),0,IF($K100=0,IF(AND($I100&gt;=AB$3,$I100&lt;=AB$2),$E100,0),$E100*NETWORKDAYS(MAX($I100,AB$3),MIN($J100,AB$2),Data!$K$4:$K$203)/$K100)))</f>
        <v>0</v>
      </c>
      <c r="AC100" s="170">
        <f>IF(OR($I100="",$E100=0),0,IF(OR($J100&lt;AC$3,$I100&gt;AC$2),0,IF($K100=0,IF(AND($I100&gt;=AC$3,$I100&lt;=AC$2),$E100,0),$E100*NETWORKDAYS(MAX($I100,AC$3),MIN($J100,AC$2),Data!$K$4:$K$203)/$K100)))</f>
        <v>0</v>
      </c>
      <c r="AD100" s="170">
        <f>IF(OR($I100="",$E100=0),0,IF(OR($J100&lt;AD$3,$I100&gt;AD$2),0,IF($K100=0,IF(AND($I100&gt;=AD$3,$I100&lt;=AD$2),$E100,0),$E100*NETWORKDAYS(MAX($I100,AD$3),MIN($J100,AD$2),Data!$K$4:$K$203)/$K100)))</f>
        <v>0</v>
      </c>
      <c r="AE100" s="170">
        <f>IF(OR($I100="",$E100=0),0,IF(OR($J100&lt;AE$3,$I100&gt;AE$2),0,IF($K100=0,IF(AND($I100&gt;=AE$3,$I100&lt;=AE$2),$E100,0),$E100*NETWORKDAYS(MAX($I100,AE$3),MIN($J100,AE$2),Data!$K$4:$K$203)/$K100)))</f>
        <v>0</v>
      </c>
      <c r="AF100" s="170">
        <f>IF(OR($I100="",$E100=0),0,IF(OR($J100&lt;AF$3,$I100&gt;AF$2),0,IF($K100=0,IF(AND($I100&gt;=AF$3,$I100&lt;=AF$2),$E100,0),$E100*NETWORKDAYS(MAX($I100,AF$3),MIN($J100,AF$2),Data!$K$4:$K$203)/$K100)))</f>
        <v>0</v>
      </c>
      <c r="AG100" s="170">
        <f>IF(OR($I100="",$E100=0),0,IF(OR($J100&lt;AG$3,$I100&gt;AG$2),0,IF($K100=0,IF(AND($I100&gt;=AG$3,$I100&lt;=AG$2),$E100,0),$E100*NETWORKDAYS(MAX($I100,AG$3),MIN($J100,AG$2),Data!$K$4:$K$203)/$K100)))</f>
        <v>0</v>
      </c>
      <c r="AH100" s="170">
        <f>IF(OR($I100="",$E100=0),0,IF(OR($J100&lt;AH$3,$I100&gt;AH$2),0,IF($K100=0,IF(AND($I100&gt;=AH$3,$I100&lt;=AH$2),$E100,0),$E100*NETWORKDAYS(MAX($I100,AH$3),MIN($J100,AH$2),Data!$K$4:$K$203)/$K100)))</f>
        <v>0</v>
      </c>
      <c r="AI100" s="170">
        <f>SUM(W100:AH100)</f>
        <v>0</v>
      </c>
      <c r="BW100" t="n">
        <v>97</v>
      </c>
      <c r="BX100" t="str">
        <f>IFERROR(MATCH(BW100,$EQ$4:$EQ$503,0),"")</f>
        <v/>
      </c>
      <c r="BY100" t="str">
        <f>IF(BX100="","",INDEX($FL$4:$FL$503,BX100))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70"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4" t="str">
        <f>IF(EO100=1,IF(FH100&gt;0,FI100/FH100,AVERAGEIF($FF$4:$FF$503,EN100,$C$4:$C$503)),"")</f>
        <v/>
      </c>
      <c r="EV100" s="169">
        <f>IF(ISNUMBER(I100),I100,2958465)</f>
        <v>2958465.0</v>
      </c>
      <c r="EW100" s="169" t="str">
        <f>IF(EO100=1,SUMPRODUCT(MIN(($EN$4:$EN$503=EN100)*$EV$4:$EV$503+($EN$4:$EN$503&lt;&gt;EN100)*2958465)),"")</f>
        <v/>
      </c>
      <c r="EX100" s="169">
        <f>IF(AND(D100=1,ISNUMBER(INDEX(Charge!$F:$F,ROW()))),INDEX(Charge!$F:$F,ROW()),0)</f>
        <v>0.0</v>
      </c>
      <c r="EY100" s="169"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c r="FF100" t="str">
        <f>IF(B100=1,LEFT(SUBSTITUTE(SUBSTITUTE(SUBSTITUTE(TRIM(SUBSTITUTE(INDEX(Charge!$B:$B,ROW()),CHAR(160)," "))&amp;" | "&amp;TRIM(SUBSTITUTE(INDEX(Charge!$C:$C,ROW()),CHAR(160)," "))&amp;" | "&amp;TRIM(SUBSTITUTE(INDEX(Charge!$D:$D,ROW()),CHAR(160)," ")),"~","-"),"*","+"),"?","!"),240),"")</f>
        <v/>
      </c>
      <c r="FG100">
        <f>IF(B100=1,MAX(0,N(INDEX(Charge!$M:$M,ROW()))),0)</f>
        <v>0</v>
      </c>
      <c r="FH100" s="170" t="str">
        <f>IF(EO100=1,ROUND(SUMIF($FF$4:$FF$503,EN100,$FG$4:$FG$503),2),"")</f>
        <v/>
      </c>
      <c r="FI100" s="170" t="str">
        <f>IF(EO100=1,ROUND(SUMPRODUCT(($FF$4:$FF$503=EN100)*$FG$4:$FG$503*$C$4:$C$503),2),"")</f>
        <v/>
      </c>
      <c r="FJ100" s="170" t="str">
        <f>IF(EO100=1,MAX(0,ROUND(FH100-FI100,2)),"")</f>
        <v/>
      </c>
      <c r="FK100" s="174" t="str">
        <f>IF(EO100=1,IF(OR(EW100&gt;=2958465,EY100=0,EY100&lt;=EW100),"",IF(TODAY()&lt;=EW100,0,IF(TODAY()&gt;EY100,1,IFERROR(NETWORKDAYS(EW100,TODAY()-1,Data!$K$4:$K$203)/NETWORKDAYS(EW100,EY100,Data!$K$4:$K$203),"")))),"")</f>
        <v/>
      </c>
      <c r="FL100" t="str">
        <f>IF(EO100=1,IF(AND(EY100&gt;0,EY100&lt;TODAY(),ROUND(EU100,4)&lt;1),2,IF(FK100="",0,IF(ROUND(EU100-FK100,4)&lt;-0.15,1,0))),"")</f>
        <v/>
      </c>
      <c r="FM100">
        <f>IF(OR(FA100="",COUNTIF($FA$4:FA99,FA100)&gt;0),0,MAX(0,IF(FB100="Interne",IF(ISNUMBER(INDEX(Data!$F:$F,100)),INDEX(Data!$F:$F,100),p_HeuresETP),IF(ISNUMBER(INDEX(Data!$I:$I,100-$CD$23)),INDEX(Data!$I:$I,100-$CD$23),p_HeuresETP))-IF(FB100="Interne",IF(ISNUMBER(INDEX(Data!$G:$G,100)),INDEX(Data!$G:$G,100),p_ChargeFixe),IF(ISNUMBER(INDEX(Data!$J:$J,100-$CD$23)),INDEX(Data!$J:$J,100-$CD$23),p_ChargeFixe))))</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9" t="str">
        <f>IF(AND(D101=1,ISNUMBER(INDEX(Charge!$N:$N,ROW()))),INDEX(Charge!$N:$N,ROW()),"")</f>
        <v/>
      </c>
      <c r="J101" s="169"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70">
        <f>IF(OR($I101="",$E101=0),0,IF(OR($J101&lt;W$3,$I101&gt;W$2),0,IF($K101=0,IF(AND($I101&gt;=W$3,$I101&lt;=W$2),$E101,0),$E101*NETWORKDAYS(MAX($I101,W$3),MIN($J101,W$2),Data!$K$4:$K$203)/$K101)))</f>
        <v>0</v>
      </c>
      <c r="X101" s="170">
        <f>IF(OR($I101="",$E101=0),0,IF(OR($J101&lt;X$3,$I101&gt;X$2),0,IF($K101=0,IF(AND($I101&gt;=X$3,$I101&lt;=X$2),$E101,0),$E101*NETWORKDAYS(MAX($I101,X$3),MIN($J101,X$2),Data!$K$4:$K$203)/$K101)))</f>
        <v>0</v>
      </c>
      <c r="Y101" s="170">
        <f>IF(OR($I101="",$E101=0),0,IF(OR($J101&lt;Y$3,$I101&gt;Y$2),0,IF($K101=0,IF(AND($I101&gt;=Y$3,$I101&lt;=Y$2),$E101,0),$E101*NETWORKDAYS(MAX($I101,Y$3),MIN($J101,Y$2),Data!$K$4:$K$203)/$K101)))</f>
        <v>0</v>
      </c>
      <c r="Z101" s="170">
        <f>IF(OR($I101="",$E101=0),0,IF(OR($J101&lt;Z$3,$I101&gt;Z$2),0,IF($K101=0,IF(AND($I101&gt;=Z$3,$I101&lt;=Z$2),$E101,0),$E101*NETWORKDAYS(MAX($I101,Z$3),MIN($J101,Z$2),Data!$K$4:$K$203)/$K101)))</f>
        <v>0</v>
      </c>
      <c r="AA101" s="170">
        <f>IF(OR($I101="",$E101=0),0,IF(OR($J101&lt;AA$3,$I101&gt;AA$2),0,IF($K101=0,IF(AND($I101&gt;=AA$3,$I101&lt;=AA$2),$E101,0),$E101*NETWORKDAYS(MAX($I101,AA$3),MIN($J101,AA$2),Data!$K$4:$K$203)/$K101)))</f>
        <v>0</v>
      </c>
      <c r="AB101" s="170">
        <f>IF(OR($I101="",$E101=0),0,IF(OR($J101&lt;AB$3,$I101&gt;AB$2),0,IF($K101=0,IF(AND($I101&gt;=AB$3,$I101&lt;=AB$2),$E101,0),$E101*NETWORKDAYS(MAX($I101,AB$3),MIN($J101,AB$2),Data!$K$4:$K$203)/$K101)))</f>
        <v>0</v>
      </c>
      <c r="AC101" s="170">
        <f>IF(OR($I101="",$E101=0),0,IF(OR($J101&lt;AC$3,$I101&gt;AC$2),0,IF($K101=0,IF(AND($I101&gt;=AC$3,$I101&lt;=AC$2),$E101,0),$E101*NETWORKDAYS(MAX($I101,AC$3),MIN($J101,AC$2),Data!$K$4:$K$203)/$K101)))</f>
        <v>0</v>
      </c>
      <c r="AD101" s="170">
        <f>IF(OR($I101="",$E101=0),0,IF(OR($J101&lt;AD$3,$I101&gt;AD$2),0,IF($K101=0,IF(AND($I101&gt;=AD$3,$I101&lt;=AD$2),$E101,0),$E101*NETWORKDAYS(MAX($I101,AD$3),MIN($J101,AD$2),Data!$K$4:$K$203)/$K101)))</f>
        <v>0</v>
      </c>
      <c r="AE101" s="170">
        <f>IF(OR($I101="",$E101=0),0,IF(OR($J101&lt;AE$3,$I101&gt;AE$2),0,IF($K101=0,IF(AND($I101&gt;=AE$3,$I101&lt;=AE$2),$E101,0),$E101*NETWORKDAYS(MAX($I101,AE$3),MIN($J101,AE$2),Data!$K$4:$K$203)/$K101)))</f>
        <v>0</v>
      </c>
      <c r="AF101" s="170">
        <f>IF(OR($I101="",$E101=0),0,IF(OR($J101&lt;AF$3,$I101&gt;AF$2),0,IF($K101=0,IF(AND($I101&gt;=AF$3,$I101&lt;=AF$2),$E101,0),$E101*NETWORKDAYS(MAX($I101,AF$3),MIN($J101,AF$2),Data!$K$4:$K$203)/$K101)))</f>
        <v>0</v>
      </c>
      <c r="AG101" s="170">
        <f>IF(OR($I101="",$E101=0),0,IF(OR($J101&lt;AG$3,$I101&gt;AG$2),0,IF($K101=0,IF(AND($I101&gt;=AG$3,$I101&lt;=AG$2),$E101,0),$E101*NETWORKDAYS(MAX($I101,AG$3),MIN($J101,AG$2),Data!$K$4:$K$203)/$K101)))</f>
        <v>0</v>
      </c>
      <c r="AH101" s="170">
        <f>IF(OR($I101="",$E101=0),0,IF(OR($J101&lt;AH$3,$I101&gt;AH$2),0,IF($K101=0,IF(AND($I101&gt;=AH$3,$I101&lt;=AH$2),$E101,0),$E101*NETWORKDAYS(MAX($I101,AH$3),MIN($J101,AH$2),Data!$K$4:$K$203)/$K101)))</f>
        <v>0</v>
      </c>
      <c r="AI101" s="170">
        <f>SUM(W101:AH101)</f>
        <v>0</v>
      </c>
      <c r="BW101" t="n">
        <v>98</v>
      </c>
      <c r="BX101" t="str">
        <f>IFERROR(MATCH(BW101,$EQ$4:$EQ$503,0),"")</f>
        <v/>
      </c>
      <c r="BY101" t="str">
        <f>IF(BX101="","",INDEX($FL$4:$FL$503,BX101))</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70"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4" t="str">
        <f>IF(EO101=1,IF(FH101&gt;0,FI101/FH101,AVERAGEIF($FF$4:$FF$503,EN101,$C$4:$C$503)),"")</f>
        <v/>
      </c>
      <c r="EV101" s="169">
        <f>IF(ISNUMBER(I101),I101,2958465)</f>
        <v>2958465.0</v>
      </c>
      <c r="EW101" s="169" t="str">
        <f>IF(EO101=1,SUMPRODUCT(MIN(($EN$4:$EN$503=EN101)*$EV$4:$EV$503+($EN$4:$EN$503&lt;&gt;EN101)*2958465)),"")</f>
        <v/>
      </c>
      <c r="EX101" s="169">
        <f>IF(AND(D101=1,ISNUMBER(INDEX(Charge!$F:$F,ROW()))),INDEX(Charge!$F:$F,ROW()),0)</f>
        <v>0.0</v>
      </c>
      <c r="EY101" s="169"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c r="FF101" t="str">
        <f>IF(B101=1,LEFT(SUBSTITUTE(SUBSTITUTE(SUBSTITUTE(TRIM(SUBSTITUTE(INDEX(Charge!$B:$B,ROW()),CHAR(160)," "))&amp;" | "&amp;TRIM(SUBSTITUTE(INDEX(Charge!$C:$C,ROW()),CHAR(160)," "))&amp;" | "&amp;TRIM(SUBSTITUTE(INDEX(Charge!$D:$D,ROW()),CHAR(160)," ")),"~","-"),"*","+"),"?","!"),240),"")</f>
        <v/>
      </c>
      <c r="FG101">
        <f>IF(B101=1,MAX(0,N(INDEX(Charge!$M:$M,ROW()))),0)</f>
        <v>0</v>
      </c>
      <c r="FH101" s="170" t="str">
        <f>IF(EO101=1,ROUND(SUMIF($FF$4:$FF$503,EN101,$FG$4:$FG$503),2),"")</f>
        <v/>
      </c>
      <c r="FI101" s="170" t="str">
        <f>IF(EO101=1,ROUND(SUMPRODUCT(($FF$4:$FF$503=EN101)*$FG$4:$FG$503*$C$4:$C$503),2),"")</f>
        <v/>
      </c>
      <c r="FJ101" s="170" t="str">
        <f>IF(EO101=1,MAX(0,ROUND(FH101-FI101,2)),"")</f>
        <v/>
      </c>
      <c r="FK101" s="174" t="str">
        <f>IF(EO101=1,IF(OR(EW101&gt;=2958465,EY101=0,EY101&lt;=EW101),"",IF(TODAY()&lt;=EW101,0,IF(TODAY()&gt;EY101,1,IFERROR(NETWORKDAYS(EW101,TODAY()-1,Data!$K$4:$K$203)/NETWORKDAYS(EW101,EY101,Data!$K$4:$K$203),"")))),"")</f>
        <v/>
      </c>
      <c r="FL101" t="str">
        <f>IF(EO101=1,IF(AND(EY101&gt;0,EY101&lt;TODAY(),ROUND(EU101,4)&lt;1),2,IF(FK101="",0,IF(ROUND(EU101-FK101,4)&lt;-0.15,1,0))),"")</f>
        <v/>
      </c>
      <c r="FM101">
        <f>IF(OR(FA101="",COUNTIF($FA$4:FA100,FA101)&gt;0),0,MAX(0,IF(FB101="Interne",IF(ISNUMBER(INDEX(Data!$F:$F,101)),INDEX(Data!$F:$F,101),p_HeuresETP),IF(ISNUMBER(INDEX(Data!$I:$I,101-$CD$23)),INDEX(Data!$I:$I,101-$CD$23),p_HeuresETP))-IF(FB101="Interne",IF(ISNUMBER(INDEX(Data!$G:$G,101)),INDEX(Data!$G:$G,101),p_ChargeFixe),IF(ISNUMBER(INDEX(Data!$J:$J,101-$CD$23)),INDEX(Data!$J:$J,101-$CD$23),p_ChargeFixe))))</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9" t="str">
        <f>IF(AND(D102=1,ISNUMBER(INDEX(Charge!$N:$N,ROW()))),INDEX(Charge!$N:$N,ROW()),"")</f>
        <v/>
      </c>
      <c r="J102" s="169"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70">
        <f>IF(OR($I102="",$E102=0),0,IF(OR($J102&lt;W$3,$I102&gt;W$2),0,IF($K102=0,IF(AND($I102&gt;=W$3,$I102&lt;=W$2),$E102,0),$E102*NETWORKDAYS(MAX($I102,W$3),MIN($J102,W$2),Data!$K$4:$K$203)/$K102)))</f>
        <v>0</v>
      </c>
      <c r="X102" s="170">
        <f>IF(OR($I102="",$E102=0),0,IF(OR($J102&lt;X$3,$I102&gt;X$2),0,IF($K102=0,IF(AND($I102&gt;=X$3,$I102&lt;=X$2),$E102,0),$E102*NETWORKDAYS(MAX($I102,X$3),MIN($J102,X$2),Data!$K$4:$K$203)/$K102)))</f>
        <v>0</v>
      </c>
      <c r="Y102" s="170">
        <f>IF(OR($I102="",$E102=0),0,IF(OR($J102&lt;Y$3,$I102&gt;Y$2),0,IF($K102=0,IF(AND($I102&gt;=Y$3,$I102&lt;=Y$2),$E102,0),$E102*NETWORKDAYS(MAX($I102,Y$3),MIN($J102,Y$2),Data!$K$4:$K$203)/$K102)))</f>
        <v>0</v>
      </c>
      <c r="Z102" s="170">
        <f>IF(OR($I102="",$E102=0),0,IF(OR($J102&lt;Z$3,$I102&gt;Z$2),0,IF($K102=0,IF(AND($I102&gt;=Z$3,$I102&lt;=Z$2),$E102,0),$E102*NETWORKDAYS(MAX($I102,Z$3),MIN($J102,Z$2),Data!$K$4:$K$203)/$K102)))</f>
        <v>0</v>
      </c>
      <c r="AA102" s="170">
        <f>IF(OR($I102="",$E102=0),0,IF(OR($J102&lt;AA$3,$I102&gt;AA$2),0,IF($K102=0,IF(AND($I102&gt;=AA$3,$I102&lt;=AA$2),$E102,0),$E102*NETWORKDAYS(MAX($I102,AA$3),MIN($J102,AA$2),Data!$K$4:$K$203)/$K102)))</f>
        <v>0</v>
      </c>
      <c r="AB102" s="170">
        <f>IF(OR($I102="",$E102=0),0,IF(OR($J102&lt;AB$3,$I102&gt;AB$2),0,IF($K102=0,IF(AND($I102&gt;=AB$3,$I102&lt;=AB$2),$E102,0),$E102*NETWORKDAYS(MAX($I102,AB$3),MIN($J102,AB$2),Data!$K$4:$K$203)/$K102)))</f>
        <v>0</v>
      </c>
      <c r="AC102" s="170">
        <f>IF(OR($I102="",$E102=0),0,IF(OR($J102&lt;AC$3,$I102&gt;AC$2),0,IF($K102=0,IF(AND($I102&gt;=AC$3,$I102&lt;=AC$2),$E102,0),$E102*NETWORKDAYS(MAX($I102,AC$3),MIN($J102,AC$2),Data!$K$4:$K$203)/$K102)))</f>
        <v>0</v>
      </c>
      <c r="AD102" s="170">
        <f>IF(OR($I102="",$E102=0),0,IF(OR($J102&lt;AD$3,$I102&gt;AD$2),0,IF($K102=0,IF(AND($I102&gt;=AD$3,$I102&lt;=AD$2),$E102,0),$E102*NETWORKDAYS(MAX($I102,AD$3),MIN($J102,AD$2),Data!$K$4:$K$203)/$K102)))</f>
        <v>0</v>
      </c>
      <c r="AE102" s="170">
        <f>IF(OR($I102="",$E102=0),0,IF(OR($J102&lt;AE$3,$I102&gt;AE$2),0,IF($K102=0,IF(AND($I102&gt;=AE$3,$I102&lt;=AE$2),$E102,0),$E102*NETWORKDAYS(MAX($I102,AE$3),MIN($J102,AE$2),Data!$K$4:$K$203)/$K102)))</f>
        <v>0</v>
      </c>
      <c r="AF102" s="170">
        <f>IF(OR($I102="",$E102=0),0,IF(OR($J102&lt;AF$3,$I102&gt;AF$2),0,IF($K102=0,IF(AND($I102&gt;=AF$3,$I102&lt;=AF$2),$E102,0),$E102*NETWORKDAYS(MAX($I102,AF$3),MIN($J102,AF$2),Data!$K$4:$K$203)/$K102)))</f>
        <v>0</v>
      </c>
      <c r="AG102" s="170">
        <f>IF(OR($I102="",$E102=0),0,IF(OR($J102&lt;AG$3,$I102&gt;AG$2),0,IF($K102=0,IF(AND($I102&gt;=AG$3,$I102&lt;=AG$2),$E102,0),$E102*NETWORKDAYS(MAX($I102,AG$3),MIN($J102,AG$2),Data!$K$4:$K$203)/$K102)))</f>
        <v>0</v>
      </c>
      <c r="AH102" s="170">
        <f>IF(OR($I102="",$E102=0),0,IF(OR($J102&lt;AH$3,$I102&gt;AH$2),0,IF($K102=0,IF(AND($I102&gt;=AH$3,$I102&lt;=AH$2),$E102,0),$E102*NETWORKDAYS(MAX($I102,AH$3),MIN($J102,AH$2),Data!$K$4:$K$203)/$K102)))</f>
        <v>0</v>
      </c>
      <c r="AI102" s="170">
        <f>SUM(W102:AH102)</f>
        <v>0</v>
      </c>
      <c r="BW102" t="n">
        <v>99</v>
      </c>
      <c r="BX102" t="str">
        <f>IFERROR(MATCH(BW102,$EQ$4:$EQ$503,0),"")</f>
        <v/>
      </c>
      <c r="BY102" t="str">
        <f>IF(BX102="","",INDEX($FL$4:$FL$503,BX102))</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70"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4" t="str">
        <f>IF(EO102=1,IF(FH102&gt;0,FI102/FH102,AVERAGEIF($FF$4:$FF$503,EN102,$C$4:$C$503)),"")</f>
        <v/>
      </c>
      <c r="EV102" s="169">
        <f>IF(ISNUMBER(I102),I102,2958465)</f>
        <v>2958465.0</v>
      </c>
      <c r="EW102" s="169" t="str">
        <f>IF(EO102=1,SUMPRODUCT(MIN(($EN$4:$EN$503=EN102)*$EV$4:$EV$503+($EN$4:$EN$503&lt;&gt;EN102)*2958465)),"")</f>
        <v/>
      </c>
      <c r="EX102" s="169">
        <f>IF(AND(D102=1,ISNUMBER(INDEX(Charge!$F:$F,ROW()))),INDEX(Charge!$F:$F,ROW()),0)</f>
        <v>0.0</v>
      </c>
      <c r="EY102" s="169"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c r="FF102" t="str">
        <f>IF(B102=1,LEFT(SUBSTITUTE(SUBSTITUTE(SUBSTITUTE(TRIM(SUBSTITUTE(INDEX(Charge!$B:$B,ROW()),CHAR(160)," "))&amp;" | "&amp;TRIM(SUBSTITUTE(INDEX(Charge!$C:$C,ROW()),CHAR(160)," "))&amp;" | "&amp;TRIM(SUBSTITUTE(INDEX(Charge!$D:$D,ROW()),CHAR(160)," ")),"~","-"),"*","+"),"?","!"),240),"")</f>
        <v/>
      </c>
      <c r="FG102">
        <f>IF(B102=1,MAX(0,N(INDEX(Charge!$M:$M,ROW()))),0)</f>
        <v>0</v>
      </c>
      <c r="FH102" s="170" t="str">
        <f>IF(EO102=1,ROUND(SUMIF($FF$4:$FF$503,EN102,$FG$4:$FG$503),2),"")</f>
        <v/>
      </c>
      <c r="FI102" s="170" t="str">
        <f>IF(EO102=1,ROUND(SUMPRODUCT(($FF$4:$FF$503=EN102)*$FG$4:$FG$503*$C$4:$C$503),2),"")</f>
        <v/>
      </c>
      <c r="FJ102" s="170" t="str">
        <f>IF(EO102=1,MAX(0,ROUND(FH102-FI102,2)),"")</f>
        <v/>
      </c>
      <c r="FK102" s="174" t="str">
        <f>IF(EO102=1,IF(OR(EW102&gt;=2958465,EY102=0,EY102&lt;=EW102),"",IF(TODAY()&lt;=EW102,0,IF(TODAY()&gt;EY102,1,IFERROR(NETWORKDAYS(EW102,TODAY()-1,Data!$K$4:$K$203)/NETWORKDAYS(EW102,EY102,Data!$K$4:$K$203),"")))),"")</f>
        <v/>
      </c>
      <c r="FL102" t="str">
        <f>IF(EO102=1,IF(AND(EY102&gt;0,EY102&lt;TODAY(),ROUND(EU102,4)&lt;1),2,IF(FK102="",0,IF(ROUND(EU102-FK102,4)&lt;-0.15,1,0))),"")</f>
        <v/>
      </c>
      <c r="FM102">
        <f>IF(OR(FA102="",COUNTIF($FA$4:FA101,FA102)&gt;0),0,MAX(0,IF(FB102="Interne",IF(ISNUMBER(INDEX(Data!$F:$F,102)),INDEX(Data!$F:$F,102),p_HeuresETP),IF(ISNUMBER(INDEX(Data!$I:$I,102-$CD$23)),INDEX(Data!$I:$I,102-$CD$23),p_HeuresETP))-IF(FB102="Interne",IF(ISNUMBER(INDEX(Data!$G:$G,102)),INDEX(Data!$G:$G,102),p_ChargeFixe),IF(ISNUMBER(INDEX(Data!$J:$J,102-$CD$23)),INDEX(Data!$J:$J,102-$CD$23),p_ChargeFixe))))</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9" t="str">
        <f>IF(AND(D103=1,ISNUMBER(INDEX(Charge!$N:$N,ROW()))),INDEX(Charge!$N:$N,ROW()),"")</f>
        <v/>
      </c>
      <c r="J103" s="169"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70">
        <f>IF(OR($I103="",$E103=0),0,IF(OR($J103&lt;W$3,$I103&gt;W$2),0,IF($K103=0,IF(AND($I103&gt;=W$3,$I103&lt;=W$2),$E103,0),$E103*NETWORKDAYS(MAX($I103,W$3),MIN($J103,W$2),Data!$K$4:$K$203)/$K103)))</f>
        <v>0</v>
      </c>
      <c r="X103" s="170">
        <f>IF(OR($I103="",$E103=0),0,IF(OR($J103&lt;X$3,$I103&gt;X$2),0,IF($K103=0,IF(AND($I103&gt;=X$3,$I103&lt;=X$2),$E103,0),$E103*NETWORKDAYS(MAX($I103,X$3),MIN($J103,X$2),Data!$K$4:$K$203)/$K103)))</f>
        <v>0</v>
      </c>
      <c r="Y103" s="170">
        <f>IF(OR($I103="",$E103=0),0,IF(OR($J103&lt;Y$3,$I103&gt;Y$2),0,IF($K103=0,IF(AND($I103&gt;=Y$3,$I103&lt;=Y$2),$E103,0),$E103*NETWORKDAYS(MAX($I103,Y$3),MIN($J103,Y$2),Data!$K$4:$K$203)/$K103)))</f>
        <v>0</v>
      </c>
      <c r="Z103" s="170">
        <f>IF(OR($I103="",$E103=0),0,IF(OR($J103&lt;Z$3,$I103&gt;Z$2),0,IF($K103=0,IF(AND($I103&gt;=Z$3,$I103&lt;=Z$2),$E103,0),$E103*NETWORKDAYS(MAX($I103,Z$3),MIN($J103,Z$2),Data!$K$4:$K$203)/$K103)))</f>
        <v>0</v>
      </c>
      <c r="AA103" s="170">
        <f>IF(OR($I103="",$E103=0),0,IF(OR($J103&lt;AA$3,$I103&gt;AA$2),0,IF($K103=0,IF(AND($I103&gt;=AA$3,$I103&lt;=AA$2),$E103,0),$E103*NETWORKDAYS(MAX($I103,AA$3),MIN($J103,AA$2),Data!$K$4:$K$203)/$K103)))</f>
        <v>0</v>
      </c>
      <c r="AB103" s="170">
        <f>IF(OR($I103="",$E103=0),0,IF(OR($J103&lt;AB$3,$I103&gt;AB$2),0,IF($K103=0,IF(AND($I103&gt;=AB$3,$I103&lt;=AB$2),$E103,0),$E103*NETWORKDAYS(MAX($I103,AB$3),MIN($J103,AB$2),Data!$K$4:$K$203)/$K103)))</f>
        <v>0</v>
      </c>
      <c r="AC103" s="170">
        <f>IF(OR($I103="",$E103=0),0,IF(OR($J103&lt;AC$3,$I103&gt;AC$2),0,IF($K103=0,IF(AND($I103&gt;=AC$3,$I103&lt;=AC$2),$E103,0),$E103*NETWORKDAYS(MAX($I103,AC$3),MIN($J103,AC$2),Data!$K$4:$K$203)/$K103)))</f>
        <v>0</v>
      </c>
      <c r="AD103" s="170">
        <f>IF(OR($I103="",$E103=0),0,IF(OR($J103&lt;AD$3,$I103&gt;AD$2),0,IF($K103=0,IF(AND($I103&gt;=AD$3,$I103&lt;=AD$2),$E103,0),$E103*NETWORKDAYS(MAX($I103,AD$3),MIN($J103,AD$2),Data!$K$4:$K$203)/$K103)))</f>
        <v>0</v>
      </c>
      <c r="AE103" s="170">
        <f>IF(OR($I103="",$E103=0),0,IF(OR($J103&lt;AE$3,$I103&gt;AE$2),0,IF($K103=0,IF(AND($I103&gt;=AE$3,$I103&lt;=AE$2),$E103,0),$E103*NETWORKDAYS(MAX($I103,AE$3),MIN($J103,AE$2),Data!$K$4:$K$203)/$K103)))</f>
        <v>0</v>
      </c>
      <c r="AF103" s="170">
        <f>IF(OR($I103="",$E103=0),0,IF(OR($J103&lt;AF$3,$I103&gt;AF$2),0,IF($K103=0,IF(AND($I103&gt;=AF$3,$I103&lt;=AF$2),$E103,0),$E103*NETWORKDAYS(MAX($I103,AF$3),MIN($J103,AF$2),Data!$K$4:$K$203)/$K103)))</f>
        <v>0</v>
      </c>
      <c r="AG103" s="170">
        <f>IF(OR($I103="",$E103=0),0,IF(OR($J103&lt;AG$3,$I103&gt;AG$2),0,IF($K103=0,IF(AND($I103&gt;=AG$3,$I103&lt;=AG$2),$E103,0),$E103*NETWORKDAYS(MAX($I103,AG$3),MIN($J103,AG$2),Data!$K$4:$K$203)/$K103)))</f>
        <v>0</v>
      </c>
      <c r="AH103" s="170">
        <f>IF(OR($I103="",$E103=0),0,IF(OR($J103&lt;AH$3,$I103&gt;AH$2),0,IF($K103=0,IF(AND($I103&gt;=AH$3,$I103&lt;=AH$2),$E103,0),$E103*NETWORKDAYS(MAX($I103,AH$3),MIN($J103,AH$2),Data!$K$4:$K$203)/$K103)))</f>
        <v>0</v>
      </c>
      <c r="AI103" s="170">
        <f>SUM(W103:AH103)</f>
        <v>0</v>
      </c>
      <c r="BW103" t="n">
        <v>100</v>
      </c>
      <c r="BX103" t="str">
        <f>IFERROR(MATCH(BW103,$EQ$4:$EQ$503,0),"")</f>
        <v/>
      </c>
      <c r="BY103" t="str">
        <f>IF(BX103="","",INDEX($FL$4:$FL$503,BX103))</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70"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4" t="str">
        <f>IF(EO103=1,IF(FH103&gt;0,FI103/FH103,AVERAGEIF($FF$4:$FF$503,EN103,$C$4:$C$503)),"")</f>
        <v/>
      </c>
      <c r="EV103" s="169">
        <f>IF(ISNUMBER(I103),I103,2958465)</f>
        <v>2958465.0</v>
      </c>
      <c r="EW103" s="169" t="str">
        <f>IF(EO103=1,SUMPRODUCT(MIN(($EN$4:$EN$503=EN103)*$EV$4:$EV$503+($EN$4:$EN$503&lt;&gt;EN103)*2958465)),"")</f>
        <v/>
      </c>
      <c r="EX103" s="169">
        <f>IF(AND(D103=1,ISNUMBER(INDEX(Charge!$F:$F,ROW()))),INDEX(Charge!$F:$F,ROW()),0)</f>
        <v>0.0</v>
      </c>
      <c r="EY103" s="169"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c r="FF103" t="str">
        <f>IF(B103=1,LEFT(SUBSTITUTE(SUBSTITUTE(SUBSTITUTE(TRIM(SUBSTITUTE(INDEX(Charge!$B:$B,ROW()),CHAR(160)," "))&amp;" | "&amp;TRIM(SUBSTITUTE(INDEX(Charge!$C:$C,ROW()),CHAR(160)," "))&amp;" | "&amp;TRIM(SUBSTITUTE(INDEX(Charge!$D:$D,ROW()),CHAR(160)," ")),"~","-"),"*","+"),"?","!"),240),"")</f>
        <v/>
      </c>
      <c r="FG103">
        <f>IF(B103=1,MAX(0,N(INDEX(Charge!$M:$M,ROW()))),0)</f>
        <v>0</v>
      </c>
      <c r="FH103" s="170" t="str">
        <f>IF(EO103=1,ROUND(SUMIF($FF$4:$FF$503,EN103,$FG$4:$FG$503),2),"")</f>
        <v/>
      </c>
      <c r="FI103" s="170" t="str">
        <f>IF(EO103=1,ROUND(SUMPRODUCT(($FF$4:$FF$503=EN103)*$FG$4:$FG$503*$C$4:$C$503),2),"")</f>
        <v/>
      </c>
      <c r="FJ103" s="170" t="str">
        <f>IF(EO103=1,MAX(0,ROUND(FH103-FI103,2)),"")</f>
        <v/>
      </c>
      <c r="FK103" s="174" t="str">
        <f>IF(EO103=1,IF(OR(EW103&gt;=2958465,EY103=0,EY103&lt;=EW103),"",IF(TODAY()&lt;=EW103,0,IF(TODAY()&gt;EY103,1,IFERROR(NETWORKDAYS(EW103,TODAY()-1,Data!$K$4:$K$203)/NETWORKDAYS(EW103,EY103,Data!$K$4:$K$203),"")))),"")</f>
        <v/>
      </c>
      <c r="FL103" t="str">
        <f>IF(EO103=1,IF(AND(EY103&gt;0,EY103&lt;TODAY(),ROUND(EU103,4)&lt;1),2,IF(FK103="",0,IF(ROUND(EU103-FK103,4)&lt;-0.15,1,0))),"")</f>
        <v/>
      </c>
      <c r="FM103">
        <f>IF(OR(FA103="",COUNTIF($FA$4:FA102,FA103)&gt;0),0,MAX(0,IF(FB103="Interne",IF(ISNUMBER(INDEX(Data!$F:$F,103)),INDEX(Data!$F:$F,103),p_HeuresETP),IF(ISNUMBER(INDEX(Data!$I:$I,103-$CD$23)),INDEX(Data!$I:$I,103-$CD$23),p_HeuresETP))-IF(FB103="Interne",IF(ISNUMBER(INDEX(Data!$G:$G,103)),INDEX(Data!$G:$G,103),p_ChargeFixe),IF(ISNUMBER(INDEX(Data!$J:$J,103-$CD$23)),INDEX(Data!$J:$J,103-$CD$23),p_ChargeFixe))))</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9" t="str">
        <f>IF(AND(D104=1,ISNUMBER(INDEX(Charge!$N:$N,ROW()))),INDEX(Charge!$N:$N,ROW()),"")</f>
        <v/>
      </c>
      <c r="J104" s="169"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70">
        <f>IF(OR($I104="",$E104=0),0,IF(OR($J104&lt;W$3,$I104&gt;W$2),0,IF($K104=0,IF(AND($I104&gt;=W$3,$I104&lt;=W$2),$E104,0),$E104*NETWORKDAYS(MAX($I104,W$3),MIN($J104,W$2),Data!$K$4:$K$203)/$K104)))</f>
        <v>0</v>
      </c>
      <c r="X104" s="170">
        <f>IF(OR($I104="",$E104=0),0,IF(OR($J104&lt;X$3,$I104&gt;X$2),0,IF($K104=0,IF(AND($I104&gt;=X$3,$I104&lt;=X$2),$E104,0),$E104*NETWORKDAYS(MAX($I104,X$3),MIN($J104,X$2),Data!$K$4:$K$203)/$K104)))</f>
        <v>0</v>
      </c>
      <c r="Y104" s="170">
        <f>IF(OR($I104="",$E104=0),0,IF(OR($J104&lt;Y$3,$I104&gt;Y$2),0,IF($K104=0,IF(AND($I104&gt;=Y$3,$I104&lt;=Y$2),$E104,0),$E104*NETWORKDAYS(MAX($I104,Y$3),MIN($J104,Y$2),Data!$K$4:$K$203)/$K104)))</f>
        <v>0</v>
      </c>
      <c r="Z104" s="170">
        <f>IF(OR($I104="",$E104=0),0,IF(OR($J104&lt;Z$3,$I104&gt;Z$2),0,IF($K104=0,IF(AND($I104&gt;=Z$3,$I104&lt;=Z$2),$E104,0),$E104*NETWORKDAYS(MAX($I104,Z$3),MIN($J104,Z$2),Data!$K$4:$K$203)/$K104)))</f>
        <v>0</v>
      </c>
      <c r="AA104" s="170">
        <f>IF(OR($I104="",$E104=0),0,IF(OR($J104&lt;AA$3,$I104&gt;AA$2),0,IF($K104=0,IF(AND($I104&gt;=AA$3,$I104&lt;=AA$2),$E104,0),$E104*NETWORKDAYS(MAX($I104,AA$3),MIN($J104,AA$2),Data!$K$4:$K$203)/$K104)))</f>
        <v>0</v>
      </c>
      <c r="AB104" s="170">
        <f>IF(OR($I104="",$E104=0),0,IF(OR($J104&lt;AB$3,$I104&gt;AB$2),0,IF($K104=0,IF(AND($I104&gt;=AB$3,$I104&lt;=AB$2),$E104,0),$E104*NETWORKDAYS(MAX($I104,AB$3),MIN($J104,AB$2),Data!$K$4:$K$203)/$K104)))</f>
        <v>0</v>
      </c>
      <c r="AC104" s="170">
        <f>IF(OR($I104="",$E104=0),0,IF(OR($J104&lt;AC$3,$I104&gt;AC$2),0,IF($K104=0,IF(AND($I104&gt;=AC$3,$I104&lt;=AC$2),$E104,0),$E104*NETWORKDAYS(MAX($I104,AC$3),MIN($J104,AC$2),Data!$K$4:$K$203)/$K104)))</f>
        <v>0</v>
      </c>
      <c r="AD104" s="170">
        <f>IF(OR($I104="",$E104=0),0,IF(OR($J104&lt;AD$3,$I104&gt;AD$2),0,IF($K104=0,IF(AND($I104&gt;=AD$3,$I104&lt;=AD$2),$E104,0),$E104*NETWORKDAYS(MAX($I104,AD$3),MIN($J104,AD$2),Data!$K$4:$K$203)/$K104)))</f>
        <v>0</v>
      </c>
      <c r="AE104" s="170">
        <f>IF(OR($I104="",$E104=0),0,IF(OR($J104&lt;AE$3,$I104&gt;AE$2),0,IF($K104=0,IF(AND($I104&gt;=AE$3,$I104&lt;=AE$2),$E104,0),$E104*NETWORKDAYS(MAX($I104,AE$3),MIN($J104,AE$2),Data!$K$4:$K$203)/$K104)))</f>
        <v>0</v>
      </c>
      <c r="AF104" s="170">
        <f>IF(OR($I104="",$E104=0),0,IF(OR($J104&lt;AF$3,$I104&gt;AF$2),0,IF($K104=0,IF(AND($I104&gt;=AF$3,$I104&lt;=AF$2),$E104,0),$E104*NETWORKDAYS(MAX($I104,AF$3),MIN($J104,AF$2),Data!$K$4:$K$203)/$K104)))</f>
        <v>0</v>
      </c>
      <c r="AG104" s="170">
        <f>IF(OR($I104="",$E104=0),0,IF(OR($J104&lt;AG$3,$I104&gt;AG$2),0,IF($K104=0,IF(AND($I104&gt;=AG$3,$I104&lt;=AG$2),$E104,0),$E104*NETWORKDAYS(MAX($I104,AG$3),MIN($J104,AG$2),Data!$K$4:$K$203)/$K104)))</f>
        <v>0</v>
      </c>
      <c r="AH104" s="170">
        <f>IF(OR($I104="",$E104=0),0,IF(OR($J104&lt;AH$3,$I104&gt;AH$2),0,IF($K104=0,IF(AND($I104&gt;=AH$3,$I104&lt;=AH$2),$E104,0),$E104*NETWORKDAYS(MAX($I104,AH$3),MIN($J104,AH$2),Data!$K$4:$K$203)/$K104)))</f>
        <v>0</v>
      </c>
      <c r="AI104" s="170">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70"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4" t="str">
        <f>IF(EO104=1,IF(FH104&gt;0,FI104/FH104,AVERAGEIF($FF$4:$FF$503,EN104,$C$4:$C$503)),"")</f>
        <v/>
      </c>
      <c r="EV104" s="169">
        <f>IF(ISNUMBER(I104),I104,2958465)</f>
        <v>2958465.0</v>
      </c>
      <c r="EW104" s="169" t="str">
        <f>IF(EO104=1,SUMPRODUCT(MIN(($EN$4:$EN$503=EN104)*$EV$4:$EV$503+($EN$4:$EN$503&lt;&gt;EN104)*2958465)),"")</f>
        <v/>
      </c>
      <c r="EX104" s="169">
        <f>IF(AND(D104=1,ISNUMBER(INDEX(Charge!$F:$F,ROW()))),INDEX(Charge!$F:$F,ROW()),0)</f>
        <v>0.0</v>
      </c>
      <c r="EY104" s="169"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c r="FF104" t="str">
        <f>IF(B104=1,LEFT(SUBSTITUTE(SUBSTITUTE(SUBSTITUTE(TRIM(SUBSTITUTE(INDEX(Charge!$B:$B,ROW()),CHAR(160)," "))&amp;" | "&amp;TRIM(SUBSTITUTE(INDEX(Charge!$C:$C,ROW()),CHAR(160)," "))&amp;" | "&amp;TRIM(SUBSTITUTE(INDEX(Charge!$D:$D,ROW()),CHAR(160)," ")),"~","-"),"*","+"),"?","!"),240),"")</f>
        <v/>
      </c>
      <c r="FG104">
        <f>IF(B104=1,MAX(0,N(INDEX(Charge!$M:$M,ROW()))),0)</f>
        <v>0</v>
      </c>
      <c r="FH104" s="170" t="str">
        <f>IF(EO104=1,ROUND(SUMIF($FF$4:$FF$503,EN104,$FG$4:$FG$503),2),"")</f>
        <v/>
      </c>
      <c r="FI104" s="170" t="str">
        <f>IF(EO104=1,ROUND(SUMPRODUCT(($FF$4:$FF$503=EN104)*$FG$4:$FG$503*$C$4:$C$503),2),"")</f>
        <v/>
      </c>
      <c r="FJ104" s="170" t="str">
        <f>IF(EO104=1,MAX(0,ROUND(FH104-FI104,2)),"")</f>
        <v/>
      </c>
      <c r="FK104" s="174" t="str">
        <f>IF(EO104=1,IF(OR(EW104&gt;=2958465,EY104=0,EY104&lt;=EW104),"",IF(TODAY()&lt;=EW104,0,IF(TODAY()&gt;EY104,1,IFERROR(NETWORKDAYS(EW104,TODAY()-1,Data!$K$4:$K$203)/NETWORKDAYS(EW104,EY104,Data!$K$4:$K$203),"")))),"")</f>
        <v/>
      </c>
      <c r="FL104" t="str">
        <f>IF(EO104=1,IF(AND(EY104&gt;0,EY104&lt;TODAY(),ROUND(EU104,4)&lt;1),2,IF(FK104="",0,IF(ROUND(EU104-FK104,4)&lt;-0.15,1,0))),"")</f>
        <v/>
      </c>
      <c r="FM104">
        <f>IF(OR(FA104="",COUNTIF($FA$4:FA103,FA104)&gt;0),0,MAX(0,IF(FB104="Interne",IF(ISNUMBER(INDEX(Data!$F:$F,104)),INDEX(Data!$F:$F,104),p_HeuresETP),IF(ISNUMBER(INDEX(Data!$I:$I,104-$CD$23)),INDEX(Data!$I:$I,104-$CD$23),p_HeuresETP))-IF(FB104="Interne",IF(ISNUMBER(INDEX(Data!$G:$G,104)),INDEX(Data!$G:$G,104),p_ChargeFixe),IF(ISNUMBER(INDEX(Data!$J:$J,104-$CD$23)),INDEX(Data!$J:$J,104-$CD$23),p_ChargeFixe))))</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9" t="str">
        <f>IF(AND(D105=1,ISNUMBER(INDEX(Charge!$N:$N,ROW()))),INDEX(Charge!$N:$N,ROW()),"")</f>
        <v/>
      </c>
      <c r="J105" s="169"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70">
        <f>IF(OR($I105="",$E105=0),0,IF(OR($J105&lt;W$3,$I105&gt;W$2),0,IF($K105=0,IF(AND($I105&gt;=W$3,$I105&lt;=W$2),$E105,0),$E105*NETWORKDAYS(MAX($I105,W$3),MIN($J105,W$2),Data!$K$4:$K$203)/$K105)))</f>
        <v>0</v>
      </c>
      <c r="X105" s="170">
        <f>IF(OR($I105="",$E105=0),0,IF(OR($J105&lt;X$3,$I105&gt;X$2),0,IF($K105=0,IF(AND($I105&gt;=X$3,$I105&lt;=X$2),$E105,0),$E105*NETWORKDAYS(MAX($I105,X$3),MIN($J105,X$2),Data!$K$4:$K$203)/$K105)))</f>
        <v>0</v>
      </c>
      <c r="Y105" s="170">
        <f>IF(OR($I105="",$E105=0),0,IF(OR($J105&lt;Y$3,$I105&gt;Y$2),0,IF($K105=0,IF(AND($I105&gt;=Y$3,$I105&lt;=Y$2),$E105,0),$E105*NETWORKDAYS(MAX($I105,Y$3),MIN($J105,Y$2),Data!$K$4:$K$203)/$K105)))</f>
        <v>0</v>
      </c>
      <c r="Z105" s="170">
        <f>IF(OR($I105="",$E105=0),0,IF(OR($J105&lt;Z$3,$I105&gt;Z$2),0,IF($K105=0,IF(AND($I105&gt;=Z$3,$I105&lt;=Z$2),$E105,0),$E105*NETWORKDAYS(MAX($I105,Z$3),MIN($J105,Z$2),Data!$K$4:$K$203)/$K105)))</f>
        <v>0</v>
      </c>
      <c r="AA105" s="170">
        <f>IF(OR($I105="",$E105=0),0,IF(OR($J105&lt;AA$3,$I105&gt;AA$2),0,IF($K105=0,IF(AND($I105&gt;=AA$3,$I105&lt;=AA$2),$E105,0),$E105*NETWORKDAYS(MAX($I105,AA$3),MIN($J105,AA$2),Data!$K$4:$K$203)/$K105)))</f>
        <v>0</v>
      </c>
      <c r="AB105" s="170">
        <f>IF(OR($I105="",$E105=0),0,IF(OR($J105&lt;AB$3,$I105&gt;AB$2),0,IF($K105=0,IF(AND($I105&gt;=AB$3,$I105&lt;=AB$2),$E105,0),$E105*NETWORKDAYS(MAX($I105,AB$3),MIN($J105,AB$2),Data!$K$4:$K$203)/$K105)))</f>
        <v>0</v>
      </c>
      <c r="AC105" s="170">
        <f>IF(OR($I105="",$E105=0),0,IF(OR($J105&lt;AC$3,$I105&gt;AC$2),0,IF($K105=0,IF(AND($I105&gt;=AC$3,$I105&lt;=AC$2),$E105,0),$E105*NETWORKDAYS(MAX($I105,AC$3),MIN($J105,AC$2),Data!$K$4:$K$203)/$K105)))</f>
        <v>0</v>
      </c>
      <c r="AD105" s="170">
        <f>IF(OR($I105="",$E105=0),0,IF(OR($J105&lt;AD$3,$I105&gt;AD$2),0,IF($K105=0,IF(AND($I105&gt;=AD$3,$I105&lt;=AD$2),$E105,0),$E105*NETWORKDAYS(MAX($I105,AD$3),MIN($J105,AD$2),Data!$K$4:$K$203)/$K105)))</f>
        <v>0</v>
      </c>
      <c r="AE105" s="170">
        <f>IF(OR($I105="",$E105=0),0,IF(OR($J105&lt;AE$3,$I105&gt;AE$2),0,IF($K105=0,IF(AND($I105&gt;=AE$3,$I105&lt;=AE$2),$E105,0),$E105*NETWORKDAYS(MAX($I105,AE$3),MIN($J105,AE$2),Data!$K$4:$K$203)/$K105)))</f>
        <v>0</v>
      </c>
      <c r="AF105" s="170">
        <f>IF(OR($I105="",$E105=0),0,IF(OR($J105&lt;AF$3,$I105&gt;AF$2),0,IF($K105=0,IF(AND($I105&gt;=AF$3,$I105&lt;=AF$2),$E105,0),$E105*NETWORKDAYS(MAX($I105,AF$3),MIN($J105,AF$2),Data!$K$4:$K$203)/$K105)))</f>
        <v>0</v>
      </c>
      <c r="AG105" s="170">
        <f>IF(OR($I105="",$E105=0),0,IF(OR($J105&lt;AG$3,$I105&gt;AG$2),0,IF($K105=0,IF(AND($I105&gt;=AG$3,$I105&lt;=AG$2),$E105,0),$E105*NETWORKDAYS(MAX($I105,AG$3),MIN($J105,AG$2),Data!$K$4:$K$203)/$K105)))</f>
        <v>0</v>
      </c>
      <c r="AH105" s="170">
        <f>IF(OR($I105="",$E105=0),0,IF(OR($J105&lt;AH$3,$I105&gt;AH$2),0,IF($K105=0,IF(AND($I105&gt;=AH$3,$I105&lt;=AH$2),$E105,0),$E105*NETWORKDAYS(MAX($I105,AH$3),MIN($J105,AH$2),Data!$K$4:$K$203)/$K105)))</f>
        <v>0</v>
      </c>
      <c r="AI105" s="170">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70"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4" t="str">
        <f>IF(EO105=1,IF(FH105&gt;0,FI105/FH105,AVERAGEIF($FF$4:$FF$503,EN105,$C$4:$C$503)),"")</f>
        <v/>
      </c>
      <c r="EV105" s="169">
        <f>IF(ISNUMBER(I105),I105,2958465)</f>
        <v>2958465.0</v>
      </c>
      <c r="EW105" s="169" t="str">
        <f>IF(EO105=1,SUMPRODUCT(MIN(($EN$4:$EN$503=EN105)*$EV$4:$EV$503+($EN$4:$EN$503&lt;&gt;EN105)*2958465)),"")</f>
        <v/>
      </c>
      <c r="EX105" s="169">
        <f>IF(AND(D105=1,ISNUMBER(INDEX(Charge!$F:$F,ROW()))),INDEX(Charge!$F:$F,ROW()),0)</f>
        <v>0.0</v>
      </c>
      <c r="EY105" s="169"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c r="FF105" t="str">
        <f>IF(B105=1,LEFT(SUBSTITUTE(SUBSTITUTE(SUBSTITUTE(TRIM(SUBSTITUTE(INDEX(Charge!$B:$B,ROW()),CHAR(160)," "))&amp;" | "&amp;TRIM(SUBSTITUTE(INDEX(Charge!$C:$C,ROW()),CHAR(160)," "))&amp;" | "&amp;TRIM(SUBSTITUTE(INDEX(Charge!$D:$D,ROW()),CHAR(160)," ")),"~","-"),"*","+"),"?","!"),240),"")</f>
        <v/>
      </c>
      <c r="FG105">
        <f>IF(B105=1,MAX(0,N(INDEX(Charge!$M:$M,ROW()))),0)</f>
        <v>0</v>
      </c>
      <c r="FH105" s="170" t="str">
        <f>IF(EO105=1,ROUND(SUMIF($FF$4:$FF$503,EN105,$FG$4:$FG$503),2),"")</f>
        <v/>
      </c>
      <c r="FI105" s="170" t="str">
        <f>IF(EO105=1,ROUND(SUMPRODUCT(($FF$4:$FF$503=EN105)*$FG$4:$FG$503*$C$4:$C$503),2),"")</f>
        <v/>
      </c>
      <c r="FJ105" s="170" t="str">
        <f>IF(EO105=1,MAX(0,ROUND(FH105-FI105,2)),"")</f>
        <v/>
      </c>
      <c r="FK105" s="174" t="str">
        <f>IF(EO105=1,IF(OR(EW105&gt;=2958465,EY105=0,EY105&lt;=EW105),"",IF(TODAY()&lt;=EW105,0,IF(TODAY()&gt;EY105,1,IFERROR(NETWORKDAYS(EW105,TODAY()-1,Data!$K$4:$K$203)/NETWORKDAYS(EW105,EY105,Data!$K$4:$K$203),"")))),"")</f>
        <v/>
      </c>
      <c r="FL105" t="str">
        <f>IF(EO105=1,IF(AND(EY105&gt;0,EY105&lt;TODAY(),ROUND(EU105,4)&lt;1),2,IF(FK105="",0,IF(ROUND(EU105-FK105,4)&lt;-0.15,1,0))),"")</f>
        <v/>
      </c>
      <c r="FM105">
        <f>IF(OR(FA105="",COUNTIF($FA$4:FA104,FA105)&gt;0),0,MAX(0,IF(FB105="Interne",IF(ISNUMBER(INDEX(Data!$F:$F,105)),INDEX(Data!$F:$F,105),p_HeuresETP),IF(ISNUMBER(INDEX(Data!$I:$I,105-$CD$23)),INDEX(Data!$I:$I,105-$CD$23),p_HeuresETP))-IF(FB105="Interne",IF(ISNUMBER(INDEX(Data!$G:$G,105)),INDEX(Data!$G:$G,105),p_ChargeFixe),IF(ISNUMBER(INDEX(Data!$J:$J,105-$CD$23)),INDEX(Data!$J:$J,105-$CD$23),p_ChargeFixe))))</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9" t="str">
        <f>IF(AND(D106=1,ISNUMBER(INDEX(Charge!$N:$N,ROW()))),INDEX(Charge!$N:$N,ROW()),"")</f>
        <v/>
      </c>
      <c r="J106" s="169"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70">
        <f>IF(OR($I106="",$E106=0),0,IF(OR($J106&lt;W$3,$I106&gt;W$2),0,IF($K106=0,IF(AND($I106&gt;=W$3,$I106&lt;=W$2),$E106,0),$E106*NETWORKDAYS(MAX($I106,W$3),MIN($J106,W$2),Data!$K$4:$K$203)/$K106)))</f>
        <v>0</v>
      </c>
      <c r="X106" s="170">
        <f>IF(OR($I106="",$E106=0),0,IF(OR($J106&lt;X$3,$I106&gt;X$2),0,IF($K106=0,IF(AND($I106&gt;=X$3,$I106&lt;=X$2),$E106,0),$E106*NETWORKDAYS(MAX($I106,X$3),MIN($J106,X$2),Data!$K$4:$K$203)/$K106)))</f>
        <v>0</v>
      </c>
      <c r="Y106" s="170">
        <f>IF(OR($I106="",$E106=0),0,IF(OR($J106&lt;Y$3,$I106&gt;Y$2),0,IF($K106=0,IF(AND($I106&gt;=Y$3,$I106&lt;=Y$2),$E106,0),$E106*NETWORKDAYS(MAX($I106,Y$3),MIN($J106,Y$2),Data!$K$4:$K$203)/$K106)))</f>
        <v>0</v>
      </c>
      <c r="Z106" s="170">
        <f>IF(OR($I106="",$E106=0),0,IF(OR($J106&lt;Z$3,$I106&gt;Z$2),0,IF($K106=0,IF(AND($I106&gt;=Z$3,$I106&lt;=Z$2),$E106,0),$E106*NETWORKDAYS(MAX($I106,Z$3),MIN($J106,Z$2),Data!$K$4:$K$203)/$K106)))</f>
        <v>0</v>
      </c>
      <c r="AA106" s="170">
        <f>IF(OR($I106="",$E106=0),0,IF(OR($J106&lt;AA$3,$I106&gt;AA$2),0,IF($K106=0,IF(AND($I106&gt;=AA$3,$I106&lt;=AA$2),$E106,0),$E106*NETWORKDAYS(MAX($I106,AA$3),MIN($J106,AA$2),Data!$K$4:$K$203)/$K106)))</f>
        <v>0</v>
      </c>
      <c r="AB106" s="170">
        <f>IF(OR($I106="",$E106=0),0,IF(OR($J106&lt;AB$3,$I106&gt;AB$2),0,IF($K106=0,IF(AND($I106&gt;=AB$3,$I106&lt;=AB$2),$E106,0),$E106*NETWORKDAYS(MAX($I106,AB$3),MIN($J106,AB$2),Data!$K$4:$K$203)/$K106)))</f>
        <v>0</v>
      </c>
      <c r="AC106" s="170">
        <f>IF(OR($I106="",$E106=0),0,IF(OR($J106&lt;AC$3,$I106&gt;AC$2),0,IF($K106=0,IF(AND($I106&gt;=AC$3,$I106&lt;=AC$2),$E106,0),$E106*NETWORKDAYS(MAX($I106,AC$3),MIN($J106,AC$2),Data!$K$4:$K$203)/$K106)))</f>
        <v>0</v>
      </c>
      <c r="AD106" s="170">
        <f>IF(OR($I106="",$E106=0),0,IF(OR($J106&lt;AD$3,$I106&gt;AD$2),0,IF($K106=0,IF(AND($I106&gt;=AD$3,$I106&lt;=AD$2),$E106,0),$E106*NETWORKDAYS(MAX($I106,AD$3),MIN($J106,AD$2),Data!$K$4:$K$203)/$K106)))</f>
        <v>0</v>
      </c>
      <c r="AE106" s="170">
        <f>IF(OR($I106="",$E106=0),0,IF(OR($J106&lt;AE$3,$I106&gt;AE$2),0,IF($K106=0,IF(AND($I106&gt;=AE$3,$I106&lt;=AE$2),$E106,0),$E106*NETWORKDAYS(MAX($I106,AE$3),MIN($J106,AE$2),Data!$K$4:$K$203)/$K106)))</f>
        <v>0</v>
      </c>
      <c r="AF106" s="170">
        <f>IF(OR($I106="",$E106=0),0,IF(OR($J106&lt;AF$3,$I106&gt;AF$2),0,IF($K106=0,IF(AND($I106&gt;=AF$3,$I106&lt;=AF$2),$E106,0),$E106*NETWORKDAYS(MAX($I106,AF$3),MIN($J106,AF$2),Data!$K$4:$K$203)/$K106)))</f>
        <v>0</v>
      </c>
      <c r="AG106" s="170">
        <f>IF(OR($I106="",$E106=0),0,IF(OR($J106&lt;AG$3,$I106&gt;AG$2),0,IF($K106=0,IF(AND($I106&gt;=AG$3,$I106&lt;=AG$2),$E106,0),$E106*NETWORKDAYS(MAX($I106,AG$3),MIN($J106,AG$2),Data!$K$4:$K$203)/$K106)))</f>
        <v>0</v>
      </c>
      <c r="AH106" s="170">
        <f>IF(OR($I106="",$E106=0),0,IF(OR($J106&lt;AH$3,$I106&gt;AH$2),0,IF($K106=0,IF(AND($I106&gt;=AH$3,$I106&lt;=AH$2),$E106,0),$E106*NETWORKDAYS(MAX($I106,AH$3),MIN($J106,AH$2),Data!$K$4:$K$203)/$K106)))</f>
        <v>0</v>
      </c>
      <c r="AI106" s="170">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70"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4" t="str">
        <f>IF(EO106=1,IF(FH106&gt;0,FI106/FH106,AVERAGEIF($FF$4:$FF$503,EN106,$C$4:$C$503)),"")</f>
        <v/>
      </c>
      <c r="EV106" s="169">
        <f>IF(ISNUMBER(I106),I106,2958465)</f>
        <v>2958465.0</v>
      </c>
      <c r="EW106" s="169" t="str">
        <f>IF(EO106=1,SUMPRODUCT(MIN(($EN$4:$EN$503=EN106)*$EV$4:$EV$503+($EN$4:$EN$503&lt;&gt;EN106)*2958465)),"")</f>
        <v/>
      </c>
      <c r="EX106" s="169">
        <f>IF(AND(D106=1,ISNUMBER(INDEX(Charge!$F:$F,ROW()))),INDEX(Charge!$F:$F,ROW()),0)</f>
        <v>0.0</v>
      </c>
      <c r="EY106" s="169"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c r="FF106" t="str">
        <f>IF(B106=1,LEFT(SUBSTITUTE(SUBSTITUTE(SUBSTITUTE(TRIM(SUBSTITUTE(INDEX(Charge!$B:$B,ROW()),CHAR(160)," "))&amp;" | "&amp;TRIM(SUBSTITUTE(INDEX(Charge!$C:$C,ROW()),CHAR(160)," "))&amp;" | "&amp;TRIM(SUBSTITUTE(INDEX(Charge!$D:$D,ROW()),CHAR(160)," ")),"~","-"),"*","+"),"?","!"),240),"")</f>
        <v/>
      </c>
      <c r="FG106">
        <f>IF(B106=1,MAX(0,N(INDEX(Charge!$M:$M,ROW()))),0)</f>
        <v>0</v>
      </c>
      <c r="FH106" s="170" t="str">
        <f>IF(EO106=1,ROUND(SUMIF($FF$4:$FF$503,EN106,$FG$4:$FG$503),2),"")</f>
        <v/>
      </c>
      <c r="FI106" s="170" t="str">
        <f>IF(EO106=1,ROUND(SUMPRODUCT(($FF$4:$FF$503=EN106)*$FG$4:$FG$503*$C$4:$C$503),2),"")</f>
        <v/>
      </c>
      <c r="FJ106" s="170" t="str">
        <f>IF(EO106=1,MAX(0,ROUND(FH106-FI106,2)),"")</f>
        <v/>
      </c>
      <c r="FK106" s="174" t="str">
        <f>IF(EO106=1,IF(OR(EW106&gt;=2958465,EY106=0,EY106&lt;=EW106),"",IF(TODAY()&lt;=EW106,0,IF(TODAY()&gt;EY106,1,IFERROR(NETWORKDAYS(EW106,TODAY()-1,Data!$K$4:$K$203)/NETWORKDAYS(EW106,EY106,Data!$K$4:$K$203),"")))),"")</f>
        <v/>
      </c>
      <c r="FL106" t="str">
        <f>IF(EO106=1,IF(AND(EY106&gt;0,EY106&lt;TODAY(),ROUND(EU106,4)&lt;1),2,IF(FK106="",0,IF(ROUND(EU106-FK106,4)&lt;-0.15,1,0))),"")</f>
        <v/>
      </c>
      <c r="FM106">
        <f>IF(OR(FA106="",COUNTIF($FA$4:FA105,FA106)&gt;0),0,MAX(0,IF(FB106="Interne",IF(ISNUMBER(INDEX(Data!$F:$F,106)),INDEX(Data!$F:$F,106),p_HeuresETP),IF(ISNUMBER(INDEX(Data!$I:$I,106-$CD$23)),INDEX(Data!$I:$I,106-$CD$23),p_HeuresETP))-IF(FB106="Interne",IF(ISNUMBER(INDEX(Data!$G:$G,106)),INDEX(Data!$G:$G,106),p_ChargeFixe),IF(ISNUMBER(INDEX(Data!$J:$J,106-$CD$23)),INDEX(Data!$J:$J,106-$CD$23),p_ChargeFixe))))</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9" t="str">
        <f>IF(AND(D107=1,ISNUMBER(INDEX(Charge!$N:$N,ROW()))),INDEX(Charge!$N:$N,ROW()),"")</f>
        <v/>
      </c>
      <c r="J107" s="169"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70">
        <f>IF(OR($I107="",$E107=0),0,IF(OR($J107&lt;W$3,$I107&gt;W$2),0,IF($K107=0,IF(AND($I107&gt;=W$3,$I107&lt;=W$2),$E107,0),$E107*NETWORKDAYS(MAX($I107,W$3),MIN($J107,W$2),Data!$K$4:$K$203)/$K107)))</f>
        <v>0</v>
      </c>
      <c r="X107" s="170">
        <f>IF(OR($I107="",$E107=0),0,IF(OR($J107&lt;X$3,$I107&gt;X$2),0,IF($K107=0,IF(AND($I107&gt;=X$3,$I107&lt;=X$2),$E107,0),$E107*NETWORKDAYS(MAX($I107,X$3),MIN($J107,X$2),Data!$K$4:$K$203)/$K107)))</f>
        <v>0</v>
      </c>
      <c r="Y107" s="170">
        <f>IF(OR($I107="",$E107=0),0,IF(OR($J107&lt;Y$3,$I107&gt;Y$2),0,IF($K107=0,IF(AND($I107&gt;=Y$3,$I107&lt;=Y$2),$E107,0),$E107*NETWORKDAYS(MAX($I107,Y$3),MIN($J107,Y$2),Data!$K$4:$K$203)/$K107)))</f>
        <v>0</v>
      </c>
      <c r="Z107" s="170">
        <f>IF(OR($I107="",$E107=0),0,IF(OR($J107&lt;Z$3,$I107&gt;Z$2),0,IF($K107=0,IF(AND($I107&gt;=Z$3,$I107&lt;=Z$2),$E107,0),$E107*NETWORKDAYS(MAX($I107,Z$3),MIN($J107,Z$2),Data!$K$4:$K$203)/$K107)))</f>
        <v>0</v>
      </c>
      <c r="AA107" s="170">
        <f>IF(OR($I107="",$E107=0),0,IF(OR($J107&lt;AA$3,$I107&gt;AA$2),0,IF($K107=0,IF(AND($I107&gt;=AA$3,$I107&lt;=AA$2),$E107,0),$E107*NETWORKDAYS(MAX($I107,AA$3),MIN($J107,AA$2),Data!$K$4:$K$203)/$K107)))</f>
        <v>0</v>
      </c>
      <c r="AB107" s="170">
        <f>IF(OR($I107="",$E107=0),0,IF(OR($J107&lt;AB$3,$I107&gt;AB$2),0,IF($K107=0,IF(AND($I107&gt;=AB$3,$I107&lt;=AB$2),$E107,0),$E107*NETWORKDAYS(MAX($I107,AB$3),MIN($J107,AB$2),Data!$K$4:$K$203)/$K107)))</f>
        <v>0</v>
      </c>
      <c r="AC107" s="170">
        <f>IF(OR($I107="",$E107=0),0,IF(OR($J107&lt;AC$3,$I107&gt;AC$2),0,IF($K107=0,IF(AND($I107&gt;=AC$3,$I107&lt;=AC$2),$E107,0),$E107*NETWORKDAYS(MAX($I107,AC$3),MIN($J107,AC$2),Data!$K$4:$K$203)/$K107)))</f>
        <v>0</v>
      </c>
      <c r="AD107" s="170">
        <f>IF(OR($I107="",$E107=0),0,IF(OR($J107&lt;AD$3,$I107&gt;AD$2),0,IF($K107=0,IF(AND($I107&gt;=AD$3,$I107&lt;=AD$2),$E107,0),$E107*NETWORKDAYS(MAX($I107,AD$3),MIN($J107,AD$2),Data!$K$4:$K$203)/$K107)))</f>
        <v>0</v>
      </c>
      <c r="AE107" s="170">
        <f>IF(OR($I107="",$E107=0),0,IF(OR($J107&lt;AE$3,$I107&gt;AE$2),0,IF($K107=0,IF(AND($I107&gt;=AE$3,$I107&lt;=AE$2),$E107,0),$E107*NETWORKDAYS(MAX($I107,AE$3),MIN($J107,AE$2),Data!$K$4:$K$203)/$K107)))</f>
        <v>0</v>
      </c>
      <c r="AF107" s="170">
        <f>IF(OR($I107="",$E107=0),0,IF(OR($J107&lt;AF$3,$I107&gt;AF$2),0,IF($K107=0,IF(AND($I107&gt;=AF$3,$I107&lt;=AF$2),$E107,0),$E107*NETWORKDAYS(MAX($I107,AF$3),MIN($J107,AF$2),Data!$K$4:$K$203)/$K107)))</f>
        <v>0</v>
      </c>
      <c r="AG107" s="170">
        <f>IF(OR($I107="",$E107=0),0,IF(OR($J107&lt;AG$3,$I107&gt;AG$2),0,IF($K107=0,IF(AND($I107&gt;=AG$3,$I107&lt;=AG$2),$E107,0),$E107*NETWORKDAYS(MAX($I107,AG$3),MIN($J107,AG$2),Data!$K$4:$K$203)/$K107)))</f>
        <v>0</v>
      </c>
      <c r="AH107" s="170">
        <f>IF(OR($I107="",$E107=0),0,IF(OR($J107&lt;AH$3,$I107&gt;AH$2),0,IF($K107=0,IF(AND($I107&gt;=AH$3,$I107&lt;=AH$2),$E107,0),$E107*NETWORKDAYS(MAX($I107,AH$3),MIN($J107,AH$2),Data!$K$4:$K$203)/$K107)))</f>
        <v>0</v>
      </c>
      <c r="AI107" s="170">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70"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4" t="str">
        <f>IF(EO107=1,IF(FH107&gt;0,FI107/FH107,AVERAGEIF($FF$4:$FF$503,EN107,$C$4:$C$503)),"")</f>
        <v/>
      </c>
      <c r="EV107" s="169">
        <f>IF(ISNUMBER(I107),I107,2958465)</f>
        <v>2958465.0</v>
      </c>
      <c r="EW107" s="169" t="str">
        <f>IF(EO107=1,SUMPRODUCT(MIN(($EN$4:$EN$503=EN107)*$EV$4:$EV$503+($EN$4:$EN$503&lt;&gt;EN107)*2958465)),"")</f>
        <v/>
      </c>
      <c r="EX107" s="169">
        <f>IF(AND(D107=1,ISNUMBER(INDEX(Charge!$F:$F,ROW()))),INDEX(Charge!$F:$F,ROW()),0)</f>
        <v>0.0</v>
      </c>
      <c r="EY107" s="169"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c r="FF107" t="str">
        <f>IF(B107=1,LEFT(SUBSTITUTE(SUBSTITUTE(SUBSTITUTE(TRIM(SUBSTITUTE(INDEX(Charge!$B:$B,ROW()),CHAR(160)," "))&amp;" | "&amp;TRIM(SUBSTITUTE(INDEX(Charge!$C:$C,ROW()),CHAR(160)," "))&amp;" | "&amp;TRIM(SUBSTITUTE(INDEX(Charge!$D:$D,ROW()),CHAR(160)," ")),"~","-"),"*","+"),"?","!"),240),"")</f>
        <v/>
      </c>
      <c r="FG107">
        <f>IF(B107=1,MAX(0,N(INDEX(Charge!$M:$M,ROW()))),0)</f>
        <v>0</v>
      </c>
      <c r="FH107" s="170" t="str">
        <f>IF(EO107=1,ROUND(SUMIF($FF$4:$FF$503,EN107,$FG$4:$FG$503),2),"")</f>
        <v/>
      </c>
      <c r="FI107" s="170" t="str">
        <f>IF(EO107=1,ROUND(SUMPRODUCT(($FF$4:$FF$503=EN107)*$FG$4:$FG$503*$C$4:$C$503),2),"")</f>
        <v/>
      </c>
      <c r="FJ107" s="170" t="str">
        <f>IF(EO107=1,MAX(0,ROUND(FH107-FI107,2)),"")</f>
        <v/>
      </c>
      <c r="FK107" s="174" t="str">
        <f>IF(EO107=1,IF(OR(EW107&gt;=2958465,EY107=0,EY107&lt;=EW107),"",IF(TODAY()&lt;=EW107,0,IF(TODAY()&gt;EY107,1,IFERROR(NETWORKDAYS(EW107,TODAY()-1,Data!$K$4:$K$203)/NETWORKDAYS(EW107,EY107,Data!$K$4:$K$203),"")))),"")</f>
        <v/>
      </c>
      <c r="FL107" t="str">
        <f>IF(EO107=1,IF(AND(EY107&gt;0,EY107&lt;TODAY(),ROUND(EU107,4)&lt;1),2,IF(FK107="",0,IF(ROUND(EU107-FK107,4)&lt;-0.15,1,0))),"")</f>
        <v/>
      </c>
      <c r="FM107">
        <f>IF(OR(FA107="",COUNTIF($FA$4:FA106,FA107)&gt;0),0,MAX(0,IF(FB107="Interne",IF(ISNUMBER(INDEX(Data!$F:$F,107)),INDEX(Data!$F:$F,107),p_HeuresETP),IF(ISNUMBER(INDEX(Data!$I:$I,107-$CD$23)),INDEX(Data!$I:$I,107-$CD$23),p_HeuresETP))-IF(FB107="Interne",IF(ISNUMBER(INDEX(Data!$G:$G,107)),INDEX(Data!$G:$G,107),p_ChargeFixe),IF(ISNUMBER(INDEX(Data!$J:$J,107-$CD$23)),INDEX(Data!$J:$J,107-$CD$23),p_ChargeFixe))))</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9" t="str">
        <f>IF(AND(D108=1,ISNUMBER(INDEX(Charge!$N:$N,ROW()))),INDEX(Charge!$N:$N,ROW()),"")</f>
        <v/>
      </c>
      <c r="J108" s="169"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70">
        <f>IF(OR($I108="",$E108=0),0,IF(OR($J108&lt;W$3,$I108&gt;W$2),0,IF($K108=0,IF(AND($I108&gt;=W$3,$I108&lt;=W$2),$E108,0),$E108*NETWORKDAYS(MAX($I108,W$3),MIN($J108,W$2),Data!$K$4:$K$203)/$K108)))</f>
        <v>0</v>
      </c>
      <c r="X108" s="170">
        <f>IF(OR($I108="",$E108=0),0,IF(OR($J108&lt;X$3,$I108&gt;X$2),0,IF($K108=0,IF(AND($I108&gt;=X$3,$I108&lt;=X$2),$E108,0),$E108*NETWORKDAYS(MAX($I108,X$3),MIN($J108,X$2),Data!$K$4:$K$203)/$K108)))</f>
        <v>0</v>
      </c>
      <c r="Y108" s="170">
        <f>IF(OR($I108="",$E108=0),0,IF(OR($J108&lt;Y$3,$I108&gt;Y$2),0,IF($K108=0,IF(AND($I108&gt;=Y$3,$I108&lt;=Y$2),$E108,0),$E108*NETWORKDAYS(MAX($I108,Y$3),MIN($J108,Y$2),Data!$K$4:$K$203)/$K108)))</f>
        <v>0</v>
      </c>
      <c r="Z108" s="170">
        <f>IF(OR($I108="",$E108=0),0,IF(OR($J108&lt;Z$3,$I108&gt;Z$2),0,IF($K108=0,IF(AND($I108&gt;=Z$3,$I108&lt;=Z$2),$E108,0),$E108*NETWORKDAYS(MAX($I108,Z$3),MIN($J108,Z$2),Data!$K$4:$K$203)/$K108)))</f>
        <v>0</v>
      </c>
      <c r="AA108" s="170">
        <f>IF(OR($I108="",$E108=0),0,IF(OR($J108&lt;AA$3,$I108&gt;AA$2),0,IF($K108=0,IF(AND($I108&gt;=AA$3,$I108&lt;=AA$2),$E108,0),$E108*NETWORKDAYS(MAX($I108,AA$3),MIN($J108,AA$2),Data!$K$4:$K$203)/$K108)))</f>
        <v>0</v>
      </c>
      <c r="AB108" s="170">
        <f>IF(OR($I108="",$E108=0),0,IF(OR($J108&lt;AB$3,$I108&gt;AB$2),0,IF($K108=0,IF(AND($I108&gt;=AB$3,$I108&lt;=AB$2),$E108,0),$E108*NETWORKDAYS(MAX($I108,AB$3),MIN($J108,AB$2),Data!$K$4:$K$203)/$K108)))</f>
        <v>0</v>
      </c>
      <c r="AC108" s="170">
        <f>IF(OR($I108="",$E108=0),0,IF(OR($J108&lt;AC$3,$I108&gt;AC$2),0,IF($K108=0,IF(AND($I108&gt;=AC$3,$I108&lt;=AC$2),$E108,0),$E108*NETWORKDAYS(MAX($I108,AC$3),MIN($J108,AC$2),Data!$K$4:$K$203)/$K108)))</f>
        <v>0</v>
      </c>
      <c r="AD108" s="170">
        <f>IF(OR($I108="",$E108=0),0,IF(OR($J108&lt;AD$3,$I108&gt;AD$2),0,IF($K108=0,IF(AND($I108&gt;=AD$3,$I108&lt;=AD$2),$E108,0),$E108*NETWORKDAYS(MAX($I108,AD$3),MIN($J108,AD$2),Data!$K$4:$K$203)/$K108)))</f>
        <v>0</v>
      </c>
      <c r="AE108" s="170">
        <f>IF(OR($I108="",$E108=0),0,IF(OR($J108&lt;AE$3,$I108&gt;AE$2),0,IF($K108=0,IF(AND($I108&gt;=AE$3,$I108&lt;=AE$2),$E108,0),$E108*NETWORKDAYS(MAX($I108,AE$3),MIN($J108,AE$2),Data!$K$4:$K$203)/$K108)))</f>
        <v>0</v>
      </c>
      <c r="AF108" s="170">
        <f>IF(OR($I108="",$E108=0),0,IF(OR($J108&lt;AF$3,$I108&gt;AF$2),0,IF($K108=0,IF(AND($I108&gt;=AF$3,$I108&lt;=AF$2),$E108,0),$E108*NETWORKDAYS(MAX($I108,AF$3),MIN($J108,AF$2),Data!$K$4:$K$203)/$K108)))</f>
        <v>0</v>
      </c>
      <c r="AG108" s="170">
        <f>IF(OR($I108="",$E108=0),0,IF(OR($J108&lt;AG$3,$I108&gt;AG$2),0,IF($K108=0,IF(AND($I108&gt;=AG$3,$I108&lt;=AG$2),$E108,0),$E108*NETWORKDAYS(MAX($I108,AG$3),MIN($J108,AG$2),Data!$K$4:$K$203)/$K108)))</f>
        <v>0</v>
      </c>
      <c r="AH108" s="170">
        <f>IF(OR($I108="",$E108=0),0,IF(OR($J108&lt;AH$3,$I108&gt;AH$2),0,IF($K108=0,IF(AND($I108&gt;=AH$3,$I108&lt;=AH$2),$E108,0),$E108*NETWORKDAYS(MAX($I108,AH$3),MIN($J108,AH$2),Data!$K$4:$K$203)/$K108)))</f>
        <v>0</v>
      </c>
      <c r="AI108" s="170">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70"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4" t="str">
        <f>IF(EO108=1,IF(FH108&gt;0,FI108/FH108,AVERAGEIF($FF$4:$FF$503,EN108,$C$4:$C$503)),"")</f>
        <v/>
      </c>
      <c r="EV108" s="169">
        <f>IF(ISNUMBER(I108),I108,2958465)</f>
        <v>2958465.0</v>
      </c>
      <c r="EW108" s="169" t="str">
        <f>IF(EO108=1,SUMPRODUCT(MIN(($EN$4:$EN$503=EN108)*$EV$4:$EV$503+($EN$4:$EN$503&lt;&gt;EN108)*2958465)),"")</f>
        <v/>
      </c>
      <c r="EX108" s="169">
        <f>IF(AND(D108=1,ISNUMBER(INDEX(Charge!$F:$F,ROW()))),INDEX(Charge!$F:$F,ROW()),0)</f>
        <v>0.0</v>
      </c>
      <c r="EY108" s="169"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c r="FF108" t="str">
        <f>IF(B108=1,LEFT(SUBSTITUTE(SUBSTITUTE(SUBSTITUTE(TRIM(SUBSTITUTE(INDEX(Charge!$B:$B,ROW()),CHAR(160)," "))&amp;" | "&amp;TRIM(SUBSTITUTE(INDEX(Charge!$C:$C,ROW()),CHAR(160)," "))&amp;" | "&amp;TRIM(SUBSTITUTE(INDEX(Charge!$D:$D,ROW()),CHAR(160)," ")),"~","-"),"*","+"),"?","!"),240),"")</f>
        <v/>
      </c>
      <c r="FG108">
        <f>IF(B108=1,MAX(0,N(INDEX(Charge!$M:$M,ROW()))),0)</f>
        <v>0</v>
      </c>
      <c r="FH108" s="170" t="str">
        <f>IF(EO108=1,ROUND(SUMIF($FF$4:$FF$503,EN108,$FG$4:$FG$503),2),"")</f>
        <v/>
      </c>
      <c r="FI108" s="170" t="str">
        <f>IF(EO108=1,ROUND(SUMPRODUCT(($FF$4:$FF$503=EN108)*$FG$4:$FG$503*$C$4:$C$503),2),"")</f>
        <v/>
      </c>
      <c r="FJ108" s="170" t="str">
        <f>IF(EO108=1,MAX(0,ROUND(FH108-FI108,2)),"")</f>
        <v/>
      </c>
      <c r="FK108" s="174" t="str">
        <f>IF(EO108=1,IF(OR(EW108&gt;=2958465,EY108=0,EY108&lt;=EW108),"",IF(TODAY()&lt;=EW108,0,IF(TODAY()&gt;EY108,1,IFERROR(NETWORKDAYS(EW108,TODAY()-1,Data!$K$4:$K$203)/NETWORKDAYS(EW108,EY108,Data!$K$4:$K$203),"")))),"")</f>
        <v/>
      </c>
      <c r="FL108" t="str">
        <f>IF(EO108=1,IF(AND(EY108&gt;0,EY108&lt;TODAY(),ROUND(EU108,4)&lt;1),2,IF(FK108="",0,IF(ROUND(EU108-FK108,4)&lt;-0.15,1,0))),"")</f>
        <v/>
      </c>
      <c r="FM108">
        <f>IF(OR(FA108="",COUNTIF($FA$4:FA107,FA108)&gt;0),0,MAX(0,IF(FB108="Interne",IF(ISNUMBER(INDEX(Data!$F:$F,108)),INDEX(Data!$F:$F,108),p_HeuresETP),IF(ISNUMBER(INDEX(Data!$I:$I,108-$CD$23)),INDEX(Data!$I:$I,108-$CD$23),p_HeuresETP))-IF(FB108="Interne",IF(ISNUMBER(INDEX(Data!$G:$G,108)),INDEX(Data!$G:$G,108),p_ChargeFixe),IF(ISNUMBER(INDEX(Data!$J:$J,108-$CD$23)),INDEX(Data!$J:$J,108-$CD$23),p_ChargeFixe))))</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9" t="str">
        <f>IF(AND(D109=1,ISNUMBER(INDEX(Charge!$N:$N,ROW()))),INDEX(Charge!$N:$N,ROW()),"")</f>
        <v/>
      </c>
      <c r="J109" s="169"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70">
        <f>IF(OR($I109="",$E109=0),0,IF(OR($J109&lt;W$3,$I109&gt;W$2),0,IF($K109=0,IF(AND($I109&gt;=W$3,$I109&lt;=W$2),$E109,0),$E109*NETWORKDAYS(MAX($I109,W$3),MIN($J109,W$2),Data!$K$4:$K$203)/$K109)))</f>
        <v>0</v>
      </c>
      <c r="X109" s="170">
        <f>IF(OR($I109="",$E109=0),0,IF(OR($J109&lt;X$3,$I109&gt;X$2),0,IF($K109=0,IF(AND($I109&gt;=X$3,$I109&lt;=X$2),$E109,0),$E109*NETWORKDAYS(MAX($I109,X$3),MIN($J109,X$2),Data!$K$4:$K$203)/$K109)))</f>
        <v>0</v>
      </c>
      <c r="Y109" s="170">
        <f>IF(OR($I109="",$E109=0),0,IF(OR($J109&lt;Y$3,$I109&gt;Y$2),0,IF($K109=0,IF(AND($I109&gt;=Y$3,$I109&lt;=Y$2),$E109,0),$E109*NETWORKDAYS(MAX($I109,Y$3),MIN($J109,Y$2),Data!$K$4:$K$203)/$K109)))</f>
        <v>0</v>
      </c>
      <c r="Z109" s="170">
        <f>IF(OR($I109="",$E109=0),0,IF(OR($J109&lt;Z$3,$I109&gt;Z$2),0,IF($K109=0,IF(AND($I109&gt;=Z$3,$I109&lt;=Z$2),$E109,0),$E109*NETWORKDAYS(MAX($I109,Z$3),MIN($J109,Z$2),Data!$K$4:$K$203)/$K109)))</f>
        <v>0</v>
      </c>
      <c r="AA109" s="170">
        <f>IF(OR($I109="",$E109=0),0,IF(OR($J109&lt;AA$3,$I109&gt;AA$2),0,IF($K109=0,IF(AND($I109&gt;=AA$3,$I109&lt;=AA$2),$E109,0),$E109*NETWORKDAYS(MAX($I109,AA$3),MIN($J109,AA$2),Data!$K$4:$K$203)/$K109)))</f>
        <v>0</v>
      </c>
      <c r="AB109" s="170">
        <f>IF(OR($I109="",$E109=0),0,IF(OR($J109&lt;AB$3,$I109&gt;AB$2),0,IF($K109=0,IF(AND($I109&gt;=AB$3,$I109&lt;=AB$2),$E109,0),$E109*NETWORKDAYS(MAX($I109,AB$3),MIN($J109,AB$2),Data!$K$4:$K$203)/$K109)))</f>
        <v>0</v>
      </c>
      <c r="AC109" s="170">
        <f>IF(OR($I109="",$E109=0),0,IF(OR($J109&lt;AC$3,$I109&gt;AC$2),0,IF($K109=0,IF(AND($I109&gt;=AC$3,$I109&lt;=AC$2),$E109,0),$E109*NETWORKDAYS(MAX($I109,AC$3),MIN($J109,AC$2),Data!$K$4:$K$203)/$K109)))</f>
        <v>0</v>
      </c>
      <c r="AD109" s="170">
        <f>IF(OR($I109="",$E109=0),0,IF(OR($J109&lt;AD$3,$I109&gt;AD$2),0,IF($K109=0,IF(AND($I109&gt;=AD$3,$I109&lt;=AD$2),$E109,0),$E109*NETWORKDAYS(MAX($I109,AD$3),MIN($J109,AD$2),Data!$K$4:$K$203)/$K109)))</f>
        <v>0</v>
      </c>
      <c r="AE109" s="170">
        <f>IF(OR($I109="",$E109=0),0,IF(OR($J109&lt;AE$3,$I109&gt;AE$2),0,IF($K109=0,IF(AND($I109&gt;=AE$3,$I109&lt;=AE$2),$E109,0),$E109*NETWORKDAYS(MAX($I109,AE$3),MIN($J109,AE$2),Data!$K$4:$K$203)/$K109)))</f>
        <v>0</v>
      </c>
      <c r="AF109" s="170">
        <f>IF(OR($I109="",$E109=0),0,IF(OR($J109&lt;AF$3,$I109&gt;AF$2),0,IF($K109=0,IF(AND($I109&gt;=AF$3,$I109&lt;=AF$2),$E109,0),$E109*NETWORKDAYS(MAX($I109,AF$3),MIN($J109,AF$2),Data!$K$4:$K$203)/$K109)))</f>
        <v>0</v>
      </c>
      <c r="AG109" s="170">
        <f>IF(OR($I109="",$E109=0),0,IF(OR($J109&lt;AG$3,$I109&gt;AG$2),0,IF($K109=0,IF(AND($I109&gt;=AG$3,$I109&lt;=AG$2),$E109,0),$E109*NETWORKDAYS(MAX($I109,AG$3),MIN($J109,AG$2),Data!$K$4:$K$203)/$K109)))</f>
        <v>0</v>
      </c>
      <c r="AH109" s="170">
        <f>IF(OR($I109="",$E109=0),0,IF(OR($J109&lt;AH$3,$I109&gt;AH$2),0,IF($K109=0,IF(AND($I109&gt;=AH$3,$I109&lt;=AH$2),$E109,0),$E109*NETWORKDAYS(MAX($I109,AH$3),MIN($J109,AH$2),Data!$K$4:$K$203)/$K109)))</f>
        <v>0</v>
      </c>
      <c r="AI109" s="170">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70"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4" t="str">
        <f>IF(EO109=1,IF(FH109&gt;0,FI109/FH109,AVERAGEIF($FF$4:$FF$503,EN109,$C$4:$C$503)),"")</f>
        <v/>
      </c>
      <c r="EV109" s="169">
        <f>IF(ISNUMBER(I109),I109,2958465)</f>
        <v>2958465.0</v>
      </c>
      <c r="EW109" s="169" t="str">
        <f>IF(EO109=1,SUMPRODUCT(MIN(($EN$4:$EN$503=EN109)*$EV$4:$EV$503+($EN$4:$EN$503&lt;&gt;EN109)*2958465)),"")</f>
        <v/>
      </c>
      <c r="EX109" s="169">
        <f>IF(AND(D109=1,ISNUMBER(INDEX(Charge!$F:$F,ROW()))),INDEX(Charge!$F:$F,ROW()),0)</f>
        <v>0.0</v>
      </c>
      <c r="EY109" s="169"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c r="FF109" t="str">
        <f>IF(B109=1,LEFT(SUBSTITUTE(SUBSTITUTE(SUBSTITUTE(TRIM(SUBSTITUTE(INDEX(Charge!$B:$B,ROW()),CHAR(160)," "))&amp;" | "&amp;TRIM(SUBSTITUTE(INDEX(Charge!$C:$C,ROW()),CHAR(160)," "))&amp;" | "&amp;TRIM(SUBSTITUTE(INDEX(Charge!$D:$D,ROW()),CHAR(160)," ")),"~","-"),"*","+"),"?","!"),240),"")</f>
        <v/>
      </c>
      <c r="FG109">
        <f>IF(B109=1,MAX(0,N(INDEX(Charge!$M:$M,ROW()))),0)</f>
        <v>0</v>
      </c>
      <c r="FH109" s="170" t="str">
        <f>IF(EO109=1,ROUND(SUMIF($FF$4:$FF$503,EN109,$FG$4:$FG$503),2),"")</f>
        <v/>
      </c>
      <c r="FI109" s="170" t="str">
        <f>IF(EO109=1,ROUND(SUMPRODUCT(($FF$4:$FF$503=EN109)*$FG$4:$FG$503*$C$4:$C$503),2),"")</f>
        <v/>
      </c>
      <c r="FJ109" s="170" t="str">
        <f>IF(EO109=1,MAX(0,ROUND(FH109-FI109,2)),"")</f>
        <v/>
      </c>
      <c r="FK109" s="174" t="str">
        <f>IF(EO109=1,IF(OR(EW109&gt;=2958465,EY109=0,EY109&lt;=EW109),"",IF(TODAY()&lt;=EW109,0,IF(TODAY()&gt;EY109,1,IFERROR(NETWORKDAYS(EW109,TODAY()-1,Data!$K$4:$K$203)/NETWORKDAYS(EW109,EY109,Data!$K$4:$K$203),"")))),"")</f>
        <v/>
      </c>
      <c r="FL109" t="str">
        <f>IF(EO109=1,IF(AND(EY109&gt;0,EY109&lt;TODAY(),ROUND(EU109,4)&lt;1),2,IF(FK109="",0,IF(ROUND(EU109-FK109,4)&lt;-0.15,1,0))),"")</f>
        <v/>
      </c>
      <c r="FM109">
        <f>IF(OR(FA109="",COUNTIF($FA$4:FA108,FA109)&gt;0),0,MAX(0,IF(FB109="Interne",IF(ISNUMBER(INDEX(Data!$F:$F,109)),INDEX(Data!$F:$F,109),p_HeuresETP),IF(ISNUMBER(INDEX(Data!$I:$I,109-$CD$23)),INDEX(Data!$I:$I,109-$CD$23),p_HeuresETP))-IF(FB109="Interne",IF(ISNUMBER(INDEX(Data!$G:$G,109)),INDEX(Data!$G:$G,109),p_ChargeFixe),IF(ISNUMBER(INDEX(Data!$J:$J,109-$CD$23)),INDEX(Data!$J:$J,109-$CD$23),p_ChargeFixe))))</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9" t="str">
        <f>IF(AND(D110=1,ISNUMBER(INDEX(Charge!$N:$N,ROW()))),INDEX(Charge!$N:$N,ROW()),"")</f>
        <v/>
      </c>
      <c r="J110" s="169"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70">
        <f>IF(OR($I110="",$E110=0),0,IF(OR($J110&lt;W$3,$I110&gt;W$2),0,IF($K110=0,IF(AND($I110&gt;=W$3,$I110&lt;=W$2),$E110,0),$E110*NETWORKDAYS(MAX($I110,W$3),MIN($J110,W$2),Data!$K$4:$K$203)/$K110)))</f>
        <v>0</v>
      </c>
      <c r="X110" s="170">
        <f>IF(OR($I110="",$E110=0),0,IF(OR($J110&lt;X$3,$I110&gt;X$2),0,IF($K110=0,IF(AND($I110&gt;=X$3,$I110&lt;=X$2),$E110,0),$E110*NETWORKDAYS(MAX($I110,X$3),MIN($J110,X$2),Data!$K$4:$K$203)/$K110)))</f>
        <v>0</v>
      </c>
      <c r="Y110" s="170">
        <f>IF(OR($I110="",$E110=0),0,IF(OR($J110&lt;Y$3,$I110&gt;Y$2),0,IF($K110=0,IF(AND($I110&gt;=Y$3,$I110&lt;=Y$2),$E110,0),$E110*NETWORKDAYS(MAX($I110,Y$3),MIN($J110,Y$2),Data!$K$4:$K$203)/$K110)))</f>
        <v>0</v>
      </c>
      <c r="Z110" s="170">
        <f>IF(OR($I110="",$E110=0),0,IF(OR($J110&lt;Z$3,$I110&gt;Z$2),0,IF($K110=0,IF(AND($I110&gt;=Z$3,$I110&lt;=Z$2),$E110,0),$E110*NETWORKDAYS(MAX($I110,Z$3),MIN($J110,Z$2),Data!$K$4:$K$203)/$K110)))</f>
        <v>0</v>
      </c>
      <c r="AA110" s="170">
        <f>IF(OR($I110="",$E110=0),0,IF(OR($J110&lt;AA$3,$I110&gt;AA$2),0,IF($K110=0,IF(AND($I110&gt;=AA$3,$I110&lt;=AA$2),$E110,0),$E110*NETWORKDAYS(MAX($I110,AA$3),MIN($J110,AA$2),Data!$K$4:$K$203)/$K110)))</f>
        <v>0</v>
      </c>
      <c r="AB110" s="170">
        <f>IF(OR($I110="",$E110=0),0,IF(OR($J110&lt;AB$3,$I110&gt;AB$2),0,IF($K110=0,IF(AND($I110&gt;=AB$3,$I110&lt;=AB$2),$E110,0),$E110*NETWORKDAYS(MAX($I110,AB$3),MIN($J110,AB$2),Data!$K$4:$K$203)/$K110)))</f>
        <v>0</v>
      </c>
      <c r="AC110" s="170">
        <f>IF(OR($I110="",$E110=0),0,IF(OR($J110&lt;AC$3,$I110&gt;AC$2),0,IF($K110=0,IF(AND($I110&gt;=AC$3,$I110&lt;=AC$2),$E110,0),$E110*NETWORKDAYS(MAX($I110,AC$3),MIN($J110,AC$2),Data!$K$4:$K$203)/$K110)))</f>
        <v>0</v>
      </c>
      <c r="AD110" s="170">
        <f>IF(OR($I110="",$E110=0),0,IF(OR($J110&lt;AD$3,$I110&gt;AD$2),0,IF($K110=0,IF(AND($I110&gt;=AD$3,$I110&lt;=AD$2),$E110,0),$E110*NETWORKDAYS(MAX($I110,AD$3),MIN($J110,AD$2),Data!$K$4:$K$203)/$K110)))</f>
        <v>0</v>
      </c>
      <c r="AE110" s="170">
        <f>IF(OR($I110="",$E110=0),0,IF(OR($J110&lt;AE$3,$I110&gt;AE$2),0,IF($K110=0,IF(AND($I110&gt;=AE$3,$I110&lt;=AE$2),$E110,0),$E110*NETWORKDAYS(MAX($I110,AE$3),MIN($J110,AE$2),Data!$K$4:$K$203)/$K110)))</f>
        <v>0</v>
      </c>
      <c r="AF110" s="170">
        <f>IF(OR($I110="",$E110=0),0,IF(OR($J110&lt;AF$3,$I110&gt;AF$2),0,IF($K110=0,IF(AND($I110&gt;=AF$3,$I110&lt;=AF$2),$E110,0),$E110*NETWORKDAYS(MAX($I110,AF$3),MIN($J110,AF$2),Data!$K$4:$K$203)/$K110)))</f>
        <v>0</v>
      </c>
      <c r="AG110" s="170">
        <f>IF(OR($I110="",$E110=0),0,IF(OR($J110&lt;AG$3,$I110&gt;AG$2),0,IF($K110=0,IF(AND($I110&gt;=AG$3,$I110&lt;=AG$2),$E110,0),$E110*NETWORKDAYS(MAX($I110,AG$3),MIN($J110,AG$2),Data!$K$4:$K$203)/$K110)))</f>
        <v>0</v>
      </c>
      <c r="AH110" s="170">
        <f>IF(OR($I110="",$E110=0),0,IF(OR($J110&lt;AH$3,$I110&gt;AH$2),0,IF($K110=0,IF(AND($I110&gt;=AH$3,$I110&lt;=AH$2),$E110,0),$E110*NETWORKDAYS(MAX($I110,AH$3),MIN($J110,AH$2),Data!$K$4:$K$203)/$K110)))</f>
        <v>0</v>
      </c>
      <c r="AI110" s="170">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70"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4" t="str">
        <f>IF(EO110=1,IF(FH110&gt;0,FI110/FH110,AVERAGEIF($FF$4:$FF$503,EN110,$C$4:$C$503)),"")</f>
        <v/>
      </c>
      <c r="EV110" s="169">
        <f>IF(ISNUMBER(I110),I110,2958465)</f>
        <v>2958465.0</v>
      </c>
      <c r="EW110" s="169" t="str">
        <f>IF(EO110=1,SUMPRODUCT(MIN(($EN$4:$EN$503=EN110)*$EV$4:$EV$503+($EN$4:$EN$503&lt;&gt;EN110)*2958465)),"")</f>
        <v/>
      </c>
      <c r="EX110" s="169">
        <f>IF(AND(D110=1,ISNUMBER(INDEX(Charge!$F:$F,ROW()))),INDEX(Charge!$F:$F,ROW()),0)</f>
        <v>0.0</v>
      </c>
      <c r="EY110" s="169"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c r="FF110" t="str">
        <f>IF(B110=1,LEFT(SUBSTITUTE(SUBSTITUTE(SUBSTITUTE(TRIM(SUBSTITUTE(INDEX(Charge!$B:$B,ROW()),CHAR(160)," "))&amp;" | "&amp;TRIM(SUBSTITUTE(INDEX(Charge!$C:$C,ROW()),CHAR(160)," "))&amp;" | "&amp;TRIM(SUBSTITUTE(INDEX(Charge!$D:$D,ROW()),CHAR(160)," ")),"~","-"),"*","+"),"?","!"),240),"")</f>
        <v/>
      </c>
      <c r="FG110">
        <f>IF(B110=1,MAX(0,N(INDEX(Charge!$M:$M,ROW()))),0)</f>
        <v>0</v>
      </c>
      <c r="FH110" s="170" t="str">
        <f>IF(EO110=1,ROUND(SUMIF($FF$4:$FF$503,EN110,$FG$4:$FG$503),2),"")</f>
        <v/>
      </c>
      <c r="FI110" s="170" t="str">
        <f>IF(EO110=1,ROUND(SUMPRODUCT(($FF$4:$FF$503=EN110)*$FG$4:$FG$503*$C$4:$C$503),2),"")</f>
        <v/>
      </c>
      <c r="FJ110" s="170" t="str">
        <f>IF(EO110=1,MAX(0,ROUND(FH110-FI110,2)),"")</f>
        <v/>
      </c>
      <c r="FK110" s="174" t="str">
        <f>IF(EO110=1,IF(OR(EW110&gt;=2958465,EY110=0,EY110&lt;=EW110),"",IF(TODAY()&lt;=EW110,0,IF(TODAY()&gt;EY110,1,IFERROR(NETWORKDAYS(EW110,TODAY()-1,Data!$K$4:$K$203)/NETWORKDAYS(EW110,EY110,Data!$K$4:$K$203),"")))),"")</f>
        <v/>
      </c>
      <c r="FL110" t="str">
        <f>IF(EO110=1,IF(AND(EY110&gt;0,EY110&lt;TODAY(),ROUND(EU110,4)&lt;1),2,IF(FK110="",0,IF(ROUND(EU110-FK110,4)&lt;-0.15,1,0))),"")</f>
        <v/>
      </c>
      <c r="FM110">
        <f>IF(OR(FA110="",COUNTIF($FA$4:FA109,FA110)&gt;0),0,MAX(0,IF(FB110="Interne",IF(ISNUMBER(INDEX(Data!$F:$F,110)),INDEX(Data!$F:$F,110),p_HeuresETP),IF(ISNUMBER(INDEX(Data!$I:$I,110-$CD$23)),INDEX(Data!$I:$I,110-$CD$23),p_HeuresETP))-IF(FB110="Interne",IF(ISNUMBER(INDEX(Data!$G:$G,110)),INDEX(Data!$G:$G,110),p_ChargeFixe),IF(ISNUMBER(INDEX(Data!$J:$J,110-$CD$23)),INDEX(Data!$J:$J,110-$CD$23),p_ChargeFixe))))</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9" t="str">
        <f>IF(AND(D111=1,ISNUMBER(INDEX(Charge!$N:$N,ROW()))),INDEX(Charge!$N:$N,ROW()),"")</f>
        <v/>
      </c>
      <c r="J111" s="169"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70">
        <f>IF(OR($I111="",$E111=0),0,IF(OR($J111&lt;W$3,$I111&gt;W$2),0,IF($K111=0,IF(AND($I111&gt;=W$3,$I111&lt;=W$2),$E111,0),$E111*NETWORKDAYS(MAX($I111,W$3),MIN($J111,W$2),Data!$K$4:$K$203)/$K111)))</f>
        <v>0</v>
      </c>
      <c r="X111" s="170">
        <f>IF(OR($I111="",$E111=0),0,IF(OR($J111&lt;X$3,$I111&gt;X$2),0,IF($K111=0,IF(AND($I111&gt;=X$3,$I111&lt;=X$2),$E111,0),$E111*NETWORKDAYS(MAX($I111,X$3),MIN($J111,X$2),Data!$K$4:$K$203)/$K111)))</f>
        <v>0</v>
      </c>
      <c r="Y111" s="170">
        <f>IF(OR($I111="",$E111=0),0,IF(OR($J111&lt;Y$3,$I111&gt;Y$2),0,IF($K111=0,IF(AND($I111&gt;=Y$3,$I111&lt;=Y$2),$E111,0),$E111*NETWORKDAYS(MAX($I111,Y$3),MIN($J111,Y$2),Data!$K$4:$K$203)/$K111)))</f>
        <v>0</v>
      </c>
      <c r="Z111" s="170">
        <f>IF(OR($I111="",$E111=0),0,IF(OR($J111&lt;Z$3,$I111&gt;Z$2),0,IF($K111=0,IF(AND($I111&gt;=Z$3,$I111&lt;=Z$2),$E111,0),$E111*NETWORKDAYS(MAX($I111,Z$3),MIN($J111,Z$2),Data!$K$4:$K$203)/$K111)))</f>
        <v>0</v>
      </c>
      <c r="AA111" s="170">
        <f>IF(OR($I111="",$E111=0),0,IF(OR($J111&lt;AA$3,$I111&gt;AA$2),0,IF($K111=0,IF(AND($I111&gt;=AA$3,$I111&lt;=AA$2),$E111,0),$E111*NETWORKDAYS(MAX($I111,AA$3),MIN($J111,AA$2),Data!$K$4:$K$203)/$K111)))</f>
        <v>0</v>
      </c>
      <c r="AB111" s="170">
        <f>IF(OR($I111="",$E111=0),0,IF(OR($J111&lt;AB$3,$I111&gt;AB$2),0,IF($K111=0,IF(AND($I111&gt;=AB$3,$I111&lt;=AB$2),$E111,0),$E111*NETWORKDAYS(MAX($I111,AB$3),MIN($J111,AB$2),Data!$K$4:$K$203)/$K111)))</f>
        <v>0</v>
      </c>
      <c r="AC111" s="170">
        <f>IF(OR($I111="",$E111=0),0,IF(OR($J111&lt;AC$3,$I111&gt;AC$2),0,IF($K111=0,IF(AND($I111&gt;=AC$3,$I111&lt;=AC$2),$E111,0),$E111*NETWORKDAYS(MAX($I111,AC$3),MIN($J111,AC$2),Data!$K$4:$K$203)/$K111)))</f>
        <v>0</v>
      </c>
      <c r="AD111" s="170">
        <f>IF(OR($I111="",$E111=0),0,IF(OR($J111&lt;AD$3,$I111&gt;AD$2),0,IF($K111=0,IF(AND($I111&gt;=AD$3,$I111&lt;=AD$2),$E111,0),$E111*NETWORKDAYS(MAX($I111,AD$3),MIN($J111,AD$2),Data!$K$4:$K$203)/$K111)))</f>
        <v>0</v>
      </c>
      <c r="AE111" s="170">
        <f>IF(OR($I111="",$E111=0),0,IF(OR($J111&lt;AE$3,$I111&gt;AE$2),0,IF($K111=0,IF(AND($I111&gt;=AE$3,$I111&lt;=AE$2),$E111,0),$E111*NETWORKDAYS(MAX($I111,AE$3),MIN($J111,AE$2),Data!$K$4:$K$203)/$K111)))</f>
        <v>0</v>
      </c>
      <c r="AF111" s="170">
        <f>IF(OR($I111="",$E111=0),0,IF(OR($J111&lt;AF$3,$I111&gt;AF$2),0,IF($K111=0,IF(AND($I111&gt;=AF$3,$I111&lt;=AF$2),$E111,0),$E111*NETWORKDAYS(MAX($I111,AF$3),MIN($J111,AF$2),Data!$K$4:$K$203)/$K111)))</f>
        <v>0</v>
      </c>
      <c r="AG111" s="170">
        <f>IF(OR($I111="",$E111=0),0,IF(OR($J111&lt;AG$3,$I111&gt;AG$2),0,IF($K111=0,IF(AND($I111&gt;=AG$3,$I111&lt;=AG$2),$E111,0),$E111*NETWORKDAYS(MAX($I111,AG$3),MIN($J111,AG$2),Data!$K$4:$K$203)/$K111)))</f>
        <v>0</v>
      </c>
      <c r="AH111" s="170">
        <f>IF(OR($I111="",$E111=0),0,IF(OR($J111&lt;AH$3,$I111&gt;AH$2),0,IF($K111=0,IF(AND($I111&gt;=AH$3,$I111&lt;=AH$2),$E111,0),$E111*NETWORKDAYS(MAX($I111,AH$3),MIN($J111,AH$2),Data!$K$4:$K$203)/$K111)))</f>
        <v>0</v>
      </c>
      <c r="AI111" s="170">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70"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4" t="str">
        <f>IF(EO111=1,IF(FH111&gt;0,FI111/FH111,AVERAGEIF($FF$4:$FF$503,EN111,$C$4:$C$503)),"")</f>
        <v/>
      </c>
      <c r="EV111" s="169">
        <f>IF(ISNUMBER(I111),I111,2958465)</f>
        <v>2958465.0</v>
      </c>
      <c r="EW111" s="169" t="str">
        <f>IF(EO111=1,SUMPRODUCT(MIN(($EN$4:$EN$503=EN111)*$EV$4:$EV$503+($EN$4:$EN$503&lt;&gt;EN111)*2958465)),"")</f>
        <v/>
      </c>
      <c r="EX111" s="169">
        <f>IF(AND(D111=1,ISNUMBER(INDEX(Charge!$F:$F,ROW()))),INDEX(Charge!$F:$F,ROW()),0)</f>
        <v>0.0</v>
      </c>
      <c r="EY111" s="169"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c r="FF111" t="str">
        <f>IF(B111=1,LEFT(SUBSTITUTE(SUBSTITUTE(SUBSTITUTE(TRIM(SUBSTITUTE(INDEX(Charge!$B:$B,ROW()),CHAR(160)," "))&amp;" | "&amp;TRIM(SUBSTITUTE(INDEX(Charge!$C:$C,ROW()),CHAR(160)," "))&amp;" | "&amp;TRIM(SUBSTITUTE(INDEX(Charge!$D:$D,ROW()),CHAR(160)," ")),"~","-"),"*","+"),"?","!"),240),"")</f>
        <v/>
      </c>
      <c r="FG111">
        <f>IF(B111=1,MAX(0,N(INDEX(Charge!$M:$M,ROW()))),0)</f>
        <v>0</v>
      </c>
      <c r="FH111" s="170" t="str">
        <f>IF(EO111=1,ROUND(SUMIF($FF$4:$FF$503,EN111,$FG$4:$FG$503),2),"")</f>
        <v/>
      </c>
      <c r="FI111" s="170" t="str">
        <f>IF(EO111=1,ROUND(SUMPRODUCT(($FF$4:$FF$503=EN111)*$FG$4:$FG$503*$C$4:$C$503),2),"")</f>
        <v/>
      </c>
      <c r="FJ111" s="170" t="str">
        <f>IF(EO111=1,MAX(0,ROUND(FH111-FI111,2)),"")</f>
        <v/>
      </c>
      <c r="FK111" s="174" t="str">
        <f>IF(EO111=1,IF(OR(EW111&gt;=2958465,EY111=0,EY111&lt;=EW111),"",IF(TODAY()&lt;=EW111,0,IF(TODAY()&gt;EY111,1,IFERROR(NETWORKDAYS(EW111,TODAY()-1,Data!$K$4:$K$203)/NETWORKDAYS(EW111,EY111,Data!$K$4:$K$203),"")))),"")</f>
        <v/>
      </c>
      <c r="FL111" t="str">
        <f>IF(EO111=1,IF(AND(EY111&gt;0,EY111&lt;TODAY(),ROUND(EU111,4)&lt;1),2,IF(FK111="",0,IF(ROUND(EU111-FK111,4)&lt;-0.15,1,0))),"")</f>
        <v/>
      </c>
      <c r="FM111">
        <f>IF(OR(FA111="",COUNTIF($FA$4:FA110,FA111)&gt;0),0,MAX(0,IF(FB111="Interne",IF(ISNUMBER(INDEX(Data!$F:$F,111)),INDEX(Data!$F:$F,111),p_HeuresETP),IF(ISNUMBER(INDEX(Data!$I:$I,111-$CD$23)),INDEX(Data!$I:$I,111-$CD$23),p_HeuresETP))-IF(FB111="Interne",IF(ISNUMBER(INDEX(Data!$G:$G,111)),INDEX(Data!$G:$G,111),p_ChargeFixe),IF(ISNUMBER(INDEX(Data!$J:$J,111-$CD$23)),INDEX(Data!$J:$J,111-$CD$23),p_ChargeFixe))))</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9" t="str">
        <f>IF(AND(D112=1,ISNUMBER(INDEX(Charge!$N:$N,ROW()))),INDEX(Charge!$N:$N,ROW()),"")</f>
        <v/>
      </c>
      <c r="J112" s="169"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70">
        <f>IF(OR($I112="",$E112=0),0,IF(OR($J112&lt;W$3,$I112&gt;W$2),0,IF($K112=0,IF(AND($I112&gt;=W$3,$I112&lt;=W$2),$E112,0),$E112*NETWORKDAYS(MAX($I112,W$3),MIN($J112,W$2),Data!$K$4:$K$203)/$K112)))</f>
        <v>0</v>
      </c>
      <c r="X112" s="170">
        <f>IF(OR($I112="",$E112=0),0,IF(OR($J112&lt;X$3,$I112&gt;X$2),0,IF($K112=0,IF(AND($I112&gt;=X$3,$I112&lt;=X$2),$E112,0),$E112*NETWORKDAYS(MAX($I112,X$3),MIN($J112,X$2),Data!$K$4:$K$203)/$K112)))</f>
        <v>0</v>
      </c>
      <c r="Y112" s="170">
        <f>IF(OR($I112="",$E112=0),0,IF(OR($J112&lt;Y$3,$I112&gt;Y$2),0,IF($K112=0,IF(AND($I112&gt;=Y$3,$I112&lt;=Y$2),$E112,0),$E112*NETWORKDAYS(MAX($I112,Y$3),MIN($J112,Y$2),Data!$K$4:$K$203)/$K112)))</f>
        <v>0</v>
      </c>
      <c r="Z112" s="170">
        <f>IF(OR($I112="",$E112=0),0,IF(OR($J112&lt;Z$3,$I112&gt;Z$2),0,IF($K112=0,IF(AND($I112&gt;=Z$3,$I112&lt;=Z$2),$E112,0),$E112*NETWORKDAYS(MAX($I112,Z$3),MIN($J112,Z$2),Data!$K$4:$K$203)/$K112)))</f>
        <v>0</v>
      </c>
      <c r="AA112" s="170">
        <f>IF(OR($I112="",$E112=0),0,IF(OR($J112&lt;AA$3,$I112&gt;AA$2),0,IF($K112=0,IF(AND($I112&gt;=AA$3,$I112&lt;=AA$2),$E112,0),$E112*NETWORKDAYS(MAX($I112,AA$3),MIN($J112,AA$2),Data!$K$4:$K$203)/$K112)))</f>
        <v>0</v>
      </c>
      <c r="AB112" s="170">
        <f>IF(OR($I112="",$E112=0),0,IF(OR($J112&lt;AB$3,$I112&gt;AB$2),0,IF($K112=0,IF(AND($I112&gt;=AB$3,$I112&lt;=AB$2),$E112,0),$E112*NETWORKDAYS(MAX($I112,AB$3),MIN($J112,AB$2),Data!$K$4:$K$203)/$K112)))</f>
        <v>0</v>
      </c>
      <c r="AC112" s="170">
        <f>IF(OR($I112="",$E112=0),0,IF(OR($J112&lt;AC$3,$I112&gt;AC$2),0,IF($K112=0,IF(AND($I112&gt;=AC$3,$I112&lt;=AC$2),$E112,0),$E112*NETWORKDAYS(MAX($I112,AC$3),MIN($J112,AC$2),Data!$K$4:$K$203)/$K112)))</f>
        <v>0</v>
      </c>
      <c r="AD112" s="170">
        <f>IF(OR($I112="",$E112=0),0,IF(OR($J112&lt;AD$3,$I112&gt;AD$2),0,IF($K112=0,IF(AND($I112&gt;=AD$3,$I112&lt;=AD$2),$E112,0),$E112*NETWORKDAYS(MAX($I112,AD$3),MIN($J112,AD$2),Data!$K$4:$K$203)/$K112)))</f>
        <v>0</v>
      </c>
      <c r="AE112" s="170">
        <f>IF(OR($I112="",$E112=0),0,IF(OR($J112&lt;AE$3,$I112&gt;AE$2),0,IF($K112=0,IF(AND($I112&gt;=AE$3,$I112&lt;=AE$2),$E112,0),$E112*NETWORKDAYS(MAX($I112,AE$3),MIN($J112,AE$2),Data!$K$4:$K$203)/$K112)))</f>
        <v>0</v>
      </c>
      <c r="AF112" s="170">
        <f>IF(OR($I112="",$E112=0),0,IF(OR($J112&lt;AF$3,$I112&gt;AF$2),0,IF($K112=0,IF(AND($I112&gt;=AF$3,$I112&lt;=AF$2),$E112,0),$E112*NETWORKDAYS(MAX($I112,AF$3),MIN($J112,AF$2),Data!$K$4:$K$203)/$K112)))</f>
        <v>0</v>
      </c>
      <c r="AG112" s="170">
        <f>IF(OR($I112="",$E112=0),0,IF(OR($J112&lt;AG$3,$I112&gt;AG$2),0,IF($K112=0,IF(AND($I112&gt;=AG$3,$I112&lt;=AG$2),$E112,0),$E112*NETWORKDAYS(MAX($I112,AG$3),MIN($J112,AG$2),Data!$K$4:$K$203)/$K112)))</f>
        <v>0</v>
      </c>
      <c r="AH112" s="170">
        <f>IF(OR($I112="",$E112=0),0,IF(OR($J112&lt;AH$3,$I112&gt;AH$2),0,IF($K112=0,IF(AND($I112&gt;=AH$3,$I112&lt;=AH$2),$E112,0),$E112*NETWORKDAYS(MAX($I112,AH$3),MIN($J112,AH$2),Data!$K$4:$K$203)/$K112)))</f>
        <v>0</v>
      </c>
      <c r="AI112" s="170">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70"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4" t="str">
        <f>IF(EO112=1,IF(FH112&gt;0,FI112/FH112,AVERAGEIF($FF$4:$FF$503,EN112,$C$4:$C$503)),"")</f>
        <v/>
      </c>
      <c r="EV112" s="169">
        <f>IF(ISNUMBER(I112),I112,2958465)</f>
        <v>2958465.0</v>
      </c>
      <c r="EW112" s="169" t="str">
        <f>IF(EO112=1,SUMPRODUCT(MIN(($EN$4:$EN$503=EN112)*$EV$4:$EV$503+($EN$4:$EN$503&lt;&gt;EN112)*2958465)),"")</f>
        <v/>
      </c>
      <c r="EX112" s="169">
        <f>IF(AND(D112=1,ISNUMBER(INDEX(Charge!$F:$F,ROW()))),INDEX(Charge!$F:$F,ROW()),0)</f>
        <v>0.0</v>
      </c>
      <c r="EY112" s="169"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c r="FF112" t="str">
        <f>IF(B112=1,LEFT(SUBSTITUTE(SUBSTITUTE(SUBSTITUTE(TRIM(SUBSTITUTE(INDEX(Charge!$B:$B,ROW()),CHAR(160)," "))&amp;" | "&amp;TRIM(SUBSTITUTE(INDEX(Charge!$C:$C,ROW()),CHAR(160)," "))&amp;" | "&amp;TRIM(SUBSTITUTE(INDEX(Charge!$D:$D,ROW()),CHAR(160)," ")),"~","-"),"*","+"),"?","!"),240),"")</f>
        <v/>
      </c>
      <c r="FG112">
        <f>IF(B112=1,MAX(0,N(INDEX(Charge!$M:$M,ROW()))),0)</f>
        <v>0</v>
      </c>
      <c r="FH112" s="170" t="str">
        <f>IF(EO112=1,ROUND(SUMIF($FF$4:$FF$503,EN112,$FG$4:$FG$503),2),"")</f>
        <v/>
      </c>
      <c r="FI112" s="170" t="str">
        <f>IF(EO112=1,ROUND(SUMPRODUCT(($FF$4:$FF$503=EN112)*$FG$4:$FG$503*$C$4:$C$503),2),"")</f>
        <v/>
      </c>
      <c r="FJ112" s="170" t="str">
        <f>IF(EO112=1,MAX(0,ROUND(FH112-FI112,2)),"")</f>
        <v/>
      </c>
      <c r="FK112" s="174" t="str">
        <f>IF(EO112=1,IF(OR(EW112&gt;=2958465,EY112=0,EY112&lt;=EW112),"",IF(TODAY()&lt;=EW112,0,IF(TODAY()&gt;EY112,1,IFERROR(NETWORKDAYS(EW112,TODAY()-1,Data!$K$4:$K$203)/NETWORKDAYS(EW112,EY112,Data!$K$4:$K$203),"")))),"")</f>
        <v/>
      </c>
      <c r="FL112" t="str">
        <f>IF(EO112=1,IF(AND(EY112&gt;0,EY112&lt;TODAY(),ROUND(EU112,4)&lt;1),2,IF(FK112="",0,IF(ROUND(EU112-FK112,4)&lt;-0.15,1,0))),"")</f>
        <v/>
      </c>
      <c r="FM112">
        <f>IF(OR(FA112="",COUNTIF($FA$4:FA111,FA112)&gt;0),0,MAX(0,IF(FB112="Interne",IF(ISNUMBER(INDEX(Data!$F:$F,112)),INDEX(Data!$F:$F,112),p_HeuresETP),IF(ISNUMBER(INDEX(Data!$I:$I,112-$CD$23)),INDEX(Data!$I:$I,112-$CD$23),p_HeuresETP))-IF(FB112="Interne",IF(ISNUMBER(INDEX(Data!$G:$G,112)),INDEX(Data!$G:$G,112),p_ChargeFixe),IF(ISNUMBER(INDEX(Data!$J:$J,112-$CD$23)),INDEX(Data!$J:$J,112-$CD$23),p_ChargeFixe))))</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9" t="str">
        <f>IF(AND(D113=1,ISNUMBER(INDEX(Charge!$N:$N,ROW()))),INDEX(Charge!$N:$N,ROW()),"")</f>
        <v/>
      </c>
      <c r="J113" s="169"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70">
        <f>IF(OR($I113="",$E113=0),0,IF(OR($J113&lt;W$3,$I113&gt;W$2),0,IF($K113=0,IF(AND($I113&gt;=W$3,$I113&lt;=W$2),$E113,0),$E113*NETWORKDAYS(MAX($I113,W$3),MIN($J113,W$2),Data!$K$4:$K$203)/$K113)))</f>
        <v>0</v>
      </c>
      <c r="X113" s="170">
        <f>IF(OR($I113="",$E113=0),0,IF(OR($J113&lt;X$3,$I113&gt;X$2),0,IF($K113=0,IF(AND($I113&gt;=X$3,$I113&lt;=X$2),$E113,0),$E113*NETWORKDAYS(MAX($I113,X$3),MIN($J113,X$2),Data!$K$4:$K$203)/$K113)))</f>
        <v>0</v>
      </c>
      <c r="Y113" s="170">
        <f>IF(OR($I113="",$E113=0),0,IF(OR($J113&lt;Y$3,$I113&gt;Y$2),0,IF($K113=0,IF(AND($I113&gt;=Y$3,$I113&lt;=Y$2),$E113,0),$E113*NETWORKDAYS(MAX($I113,Y$3),MIN($J113,Y$2),Data!$K$4:$K$203)/$K113)))</f>
        <v>0</v>
      </c>
      <c r="Z113" s="170">
        <f>IF(OR($I113="",$E113=0),0,IF(OR($J113&lt;Z$3,$I113&gt;Z$2),0,IF($K113=0,IF(AND($I113&gt;=Z$3,$I113&lt;=Z$2),$E113,0),$E113*NETWORKDAYS(MAX($I113,Z$3),MIN($J113,Z$2),Data!$K$4:$K$203)/$K113)))</f>
        <v>0</v>
      </c>
      <c r="AA113" s="170">
        <f>IF(OR($I113="",$E113=0),0,IF(OR($J113&lt;AA$3,$I113&gt;AA$2),0,IF($K113=0,IF(AND($I113&gt;=AA$3,$I113&lt;=AA$2),$E113,0),$E113*NETWORKDAYS(MAX($I113,AA$3),MIN($J113,AA$2),Data!$K$4:$K$203)/$K113)))</f>
        <v>0</v>
      </c>
      <c r="AB113" s="170">
        <f>IF(OR($I113="",$E113=0),0,IF(OR($J113&lt;AB$3,$I113&gt;AB$2),0,IF($K113=0,IF(AND($I113&gt;=AB$3,$I113&lt;=AB$2),$E113,0),$E113*NETWORKDAYS(MAX($I113,AB$3),MIN($J113,AB$2),Data!$K$4:$K$203)/$K113)))</f>
        <v>0</v>
      </c>
      <c r="AC113" s="170">
        <f>IF(OR($I113="",$E113=0),0,IF(OR($J113&lt;AC$3,$I113&gt;AC$2),0,IF($K113=0,IF(AND($I113&gt;=AC$3,$I113&lt;=AC$2),$E113,0),$E113*NETWORKDAYS(MAX($I113,AC$3),MIN($J113,AC$2),Data!$K$4:$K$203)/$K113)))</f>
        <v>0</v>
      </c>
      <c r="AD113" s="170">
        <f>IF(OR($I113="",$E113=0),0,IF(OR($J113&lt;AD$3,$I113&gt;AD$2),0,IF($K113=0,IF(AND($I113&gt;=AD$3,$I113&lt;=AD$2),$E113,0),$E113*NETWORKDAYS(MAX($I113,AD$3),MIN($J113,AD$2),Data!$K$4:$K$203)/$K113)))</f>
        <v>0</v>
      </c>
      <c r="AE113" s="170">
        <f>IF(OR($I113="",$E113=0),0,IF(OR($J113&lt;AE$3,$I113&gt;AE$2),0,IF($K113=0,IF(AND($I113&gt;=AE$3,$I113&lt;=AE$2),$E113,0),$E113*NETWORKDAYS(MAX($I113,AE$3),MIN($J113,AE$2),Data!$K$4:$K$203)/$K113)))</f>
        <v>0</v>
      </c>
      <c r="AF113" s="170">
        <f>IF(OR($I113="",$E113=0),0,IF(OR($J113&lt;AF$3,$I113&gt;AF$2),0,IF($K113=0,IF(AND($I113&gt;=AF$3,$I113&lt;=AF$2),$E113,0),$E113*NETWORKDAYS(MAX($I113,AF$3),MIN($J113,AF$2),Data!$K$4:$K$203)/$K113)))</f>
        <v>0</v>
      </c>
      <c r="AG113" s="170">
        <f>IF(OR($I113="",$E113=0),0,IF(OR($J113&lt;AG$3,$I113&gt;AG$2),0,IF($K113=0,IF(AND($I113&gt;=AG$3,$I113&lt;=AG$2),$E113,0),$E113*NETWORKDAYS(MAX($I113,AG$3),MIN($J113,AG$2),Data!$K$4:$K$203)/$K113)))</f>
        <v>0</v>
      </c>
      <c r="AH113" s="170">
        <f>IF(OR($I113="",$E113=0),0,IF(OR($J113&lt;AH$3,$I113&gt;AH$2),0,IF($K113=0,IF(AND($I113&gt;=AH$3,$I113&lt;=AH$2),$E113,0),$E113*NETWORKDAYS(MAX($I113,AH$3),MIN($J113,AH$2),Data!$K$4:$K$203)/$K113)))</f>
        <v>0</v>
      </c>
      <c r="AI113" s="170">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70"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4" t="str">
        <f>IF(EO113=1,IF(FH113&gt;0,FI113/FH113,AVERAGEIF($FF$4:$FF$503,EN113,$C$4:$C$503)),"")</f>
        <v/>
      </c>
      <c r="EV113" s="169">
        <f>IF(ISNUMBER(I113),I113,2958465)</f>
        <v>2958465.0</v>
      </c>
      <c r="EW113" s="169" t="str">
        <f>IF(EO113=1,SUMPRODUCT(MIN(($EN$4:$EN$503=EN113)*$EV$4:$EV$503+($EN$4:$EN$503&lt;&gt;EN113)*2958465)),"")</f>
        <v/>
      </c>
      <c r="EX113" s="169">
        <f>IF(AND(D113=1,ISNUMBER(INDEX(Charge!$F:$F,ROW()))),INDEX(Charge!$F:$F,ROW()),0)</f>
        <v>0.0</v>
      </c>
      <c r="EY113" s="169"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c r="FF113" t="str">
        <f>IF(B113=1,LEFT(SUBSTITUTE(SUBSTITUTE(SUBSTITUTE(TRIM(SUBSTITUTE(INDEX(Charge!$B:$B,ROW()),CHAR(160)," "))&amp;" | "&amp;TRIM(SUBSTITUTE(INDEX(Charge!$C:$C,ROW()),CHAR(160)," "))&amp;" | "&amp;TRIM(SUBSTITUTE(INDEX(Charge!$D:$D,ROW()),CHAR(160)," ")),"~","-"),"*","+"),"?","!"),240),"")</f>
        <v/>
      </c>
      <c r="FG113">
        <f>IF(B113=1,MAX(0,N(INDEX(Charge!$M:$M,ROW()))),0)</f>
        <v>0</v>
      </c>
      <c r="FH113" s="170" t="str">
        <f>IF(EO113=1,ROUND(SUMIF($FF$4:$FF$503,EN113,$FG$4:$FG$503),2),"")</f>
        <v/>
      </c>
      <c r="FI113" s="170" t="str">
        <f>IF(EO113=1,ROUND(SUMPRODUCT(($FF$4:$FF$503=EN113)*$FG$4:$FG$503*$C$4:$C$503),2),"")</f>
        <v/>
      </c>
      <c r="FJ113" s="170" t="str">
        <f>IF(EO113=1,MAX(0,ROUND(FH113-FI113,2)),"")</f>
        <v/>
      </c>
      <c r="FK113" s="174" t="str">
        <f>IF(EO113=1,IF(OR(EW113&gt;=2958465,EY113=0,EY113&lt;=EW113),"",IF(TODAY()&lt;=EW113,0,IF(TODAY()&gt;EY113,1,IFERROR(NETWORKDAYS(EW113,TODAY()-1,Data!$K$4:$K$203)/NETWORKDAYS(EW113,EY113,Data!$K$4:$K$203),"")))),"")</f>
        <v/>
      </c>
      <c r="FL113" t="str">
        <f>IF(EO113=1,IF(AND(EY113&gt;0,EY113&lt;TODAY(),ROUND(EU113,4)&lt;1),2,IF(FK113="",0,IF(ROUND(EU113-FK113,4)&lt;-0.15,1,0))),"")</f>
        <v/>
      </c>
      <c r="FM113">
        <f>IF(OR(FA113="",COUNTIF($FA$4:FA112,FA113)&gt;0),0,MAX(0,IF(FB113="Interne",IF(ISNUMBER(INDEX(Data!$F:$F,113)),INDEX(Data!$F:$F,113),p_HeuresETP),IF(ISNUMBER(INDEX(Data!$I:$I,113-$CD$23)),INDEX(Data!$I:$I,113-$CD$23),p_HeuresETP))-IF(FB113="Interne",IF(ISNUMBER(INDEX(Data!$G:$G,113)),INDEX(Data!$G:$G,113),p_ChargeFixe),IF(ISNUMBER(INDEX(Data!$J:$J,113-$CD$23)),INDEX(Data!$J:$J,113-$CD$23),p_ChargeFixe))))</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9" t="str">
        <f>IF(AND(D114=1,ISNUMBER(INDEX(Charge!$N:$N,ROW()))),INDEX(Charge!$N:$N,ROW()),"")</f>
        <v/>
      </c>
      <c r="J114" s="169"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70">
        <f>IF(OR($I114="",$E114=0),0,IF(OR($J114&lt;W$3,$I114&gt;W$2),0,IF($K114=0,IF(AND($I114&gt;=W$3,$I114&lt;=W$2),$E114,0),$E114*NETWORKDAYS(MAX($I114,W$3),MIN($J114,W$2),Data!$K$4:$K$203)/$K114)))</f>
        <v>0</v>
      </c>
      <c r="X114" s="170">
        <f>IF(OR($I114="",$E114=0),0,IF(OR($J114&lt;X$3,$I114&gt;X$2),0,IF($K114=0,IF(AND($I114&gt;=X$3,$I114&lt;=X$2),$E114,0),$E114*NETWORKDAYS(MAX($I114,X$3),MIN($J114,X$2),Data!$K$4:$K$203)/$K114)))</f>
        <v>0</v>
      </c>
      <c r="Y114" s="170">
        <f>IF(OR($I114="",$E114=0),0,IF(OR($J114&lt;Y$3,$I114&gt;Y$2),0,IF($K114=0,IF(AND($I114&gt;=Y$3,$I114&lt;=Y$2),$E114,0),$E114*NETWORKDAYS(MAX($I114,Y$3),MIN($J114,Y$2),Data!$K$4:$K$203)/$K114)))</f>
        <v>0</v>
      </c>
      <c r="Z114" s="170">
        <f>IF(OR($I114="",$E114=0),0,IF(OR($J114&lt;Z$3,$I114&gt;Z$2),0,IF($K114=0,IF(AND($I114&gt;=Z$3,$I114&lt;=Z$2),$E114,0),$E114*NETWORKDAYS(MAX($I114,Z$3),MIN($J114,Z$2),Data!$K$4:$K$203)/$K114)))</f>
        <v>0</v>
      </c>
      <c r="AA114" s="170">
        <f>IF(OR($I114="",$E114=0),0,IF(OR($J114&lt;AA$3,$I114&gt;AA$2),0,IF($K114=0,IF(AND($I114&gt;=AA$3,$I114&lt;=AA$2),$E114,0),$E114*NETWORKDAYS(MAX($I114,AA$3),MIN($J114,AA$2),Data!$K$4:$K$203)/$K114)))</f>
        <v>0</v>
      </c>
      <c r="AB114" s="170">
        <f>IF(OR($I114="",$E114=0),0,IF(OR($J114&lt;AB$3,$I114&gt;AB$2),0,IF($K114=0,IF(AND($I114&gt;=AB$3,$I114&lt;=AB$2),$E114,0),$E114*NETWORKDAYS(MAX($I114,AB$3),MIN($J114,AB$2),Data!$K$4:$K$203)/$K114)))</f>
        <v>0</v>
      </c>
      <c r="AC114" s="170">
        <f>IF(OR($I114="",$E114=0),0,IF(OR($J114&lt;AC$3,$I114&gt;AC$2),0,IF($K114=0,IF(AND($I114&gt;=AC$3,$I114&lt;=AC$2),$E114,0),$E114*NETWORKDAYS(MAX($I114,AC$3),MIN($J114,AC$2),Data!$K$4:$K$203)/$K114)))</f>
        <v>0</v>
      </c>
      <c r="AD114" s="170">
        <f>IF(OR($I114="",$E114=0),0,IF(OR($J114&lt;AD$3,$I114&gt;AD$2),0,IF($K114=0,IF(AND($I114&gt;=AD$3,$I114&lt;=AD$2),$E114,0),$E114*NETWORKDAYS(MAX($I114,AD$3),MIN($J114,AD$2),Data!$K$4:$K$203)/$K114)))</f>
        <v>0</v>
      </c>
      <c r="AE114" s="170">
        <f>IF(OR($I114="",$E114=0),0,IF(OR($J114&lt;AE$3,$I114&gt;AE$2),0,IF($K114=0,IF(AND($I114&gt;=AE$3,$I114&lt;=AE$2),$E114,0),$E114*NETWORKDAYS(MAX($I114,AE$3),MIN($J114,AE$2),Data!$K$4:$K$203)/$K114)))</f>
        <v>0</v>
      </c>
      <c r="AF114" s="170">
        <f>IF(OR($I114="",$E114=0),0,IF(OR($J114&lt;AF$3,$I114&gt;AF$2),0,IF($K114=0,IF(AND($I114&gt;=AF$3,$I114&lt;=AF$2),$E114,0),$E114*NETWORKDAYS(MAX($I114,AF$3),MIN($J114,AF$2),Data!$K$4:$K$203)/$K114)))</f>
        <v>0</v>
      </c>
      <c r="AG114" s="170">
        <f>IF(OR($I114="",$E114=0),0,IF(OR($J114&lt;AG$3,$I114&gt;AG$2),0,IF($K114=0,IF(AND($I114&gt;=AG$3,$I114&lt;=AG$2),$E114,0),$E114*NETWORKDAYS(MAX($I114,AG$3),MIN($J114,AG$2),Data!$K$4:$K$203)/$K114)))</f>
        <v>0</v>
      </c>
      <c r="AH114" s="170">
        <f>IF(OR($I114="",$E114=0),0,IF(OR($J114&lt;AH$3,$I114&gt;AH$2),0,IF($K114=0,IF(AND($I114&gt;=AH$3,$I114&lt;=AH$2),$E114,0),$E114*NETWORKDAYS(MAX($I114,AH$3),MIN($J114,AH$2),Data!$K$4:$K$203)/$K114)))</f>
        <v>0</v>
      </c>
      <c r="AI114" s="170">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70"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4" t="str">
        <f>IF(EO114=1,IF(FH114&gt;0,FI114/FH114,AVERAGEIF($FF$4:$FF$503,EN114,$C$4:$C$503)),"")</f>
        <v/>
      </c>
      <c r="EV114" s="169">
        <f>IF(ISNUMBER(I114),I114,2958465)</f>
        <v>2958465.0</v>
      </c>
      <c r="EW114" s="169" t="str">
        <f>IF(EO114=1,SUMPRODUCT(MIN(($EN$4:$EN$503=EN114)*$EV$4:$EV$503+($EN$4:$EN$503&lt;&gt;EN114)*2958465)),"")</f>
        <v/>
      </c>
      <c r="EX114" s="169">
        <f>IF(AND(D114=1,ISNUMBER(INDEX(Charge!$F:$F,ROW()))),INDEX(Charge!$F:$F,ROW()),0)</f>
        <v>0.0</v>
      </c>
      <c r="EY114" s="169"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c r="FF114" t="str">
        <f>IF(B114=1,LEFT(SUBSTITUTE(SUBSTITUTE(SUBSTITUTE(TRIM(SUBSTITUTE(INDEX(Charge!$B:$B,ROW()),CHAR(160)," "))&amp;" | "&amp;TRIM(SUBSTITUTE(INDEX(Charge!$C:$C,ROW()),CHAR(160)," "))&amp;" | "&amp;TRIM(SUBSTITUTE(INDEX(Charge!$D:$D,ROW()),CHAR(160)," ")),"~","-"),"*","+"),"?","!"),240),"")</f>
        <v/>
      </c>
      <c r="FG114">
        <f>IF(B114=1,MAX(0,N(INDEX(Charge!$M:$M,ROW()))),0)</f>
        <v>0</v>
      </c>
      <c r="FH114" s="170" t="str">
        <f>IF(EO114=1,ROUND(SUMIF($FF$4:$FF$503,EN114,$FG$4:$FG$503),2),"")</f>
        <v/>
      </c>
      <c r="FI114" s="170" t="str">
        <f>IF(EO114=1,ROUND(SUMPRODUCT(($FF$4:$FF$503=EN114)*$FG$4:$FG$503*$C$4:$C$503),2),"")</f>
        <v/>
      </c>
      <c r="FJ114" s="170" t="str">
        <f>IF(EO114=1,MAX(0,ROUND(FH114-FI114,2)),"")</f>
        <v/>
      </c>
      <c r="FK114" s="174" t="str">
        <f>IF(EO114=1,IF(OR(EW114&gt;=2958465,EY114=0,EY114&lt;=EW114),"",IF(TODAY()&lt;=EW114,0,IF(TODAY()&gt;EY114,1,IFERROR(NETWORKDAYS(EW114,TODAY()-1,Data!$K$4:$K$203)/NETWORKDAYS(EW114,EY114,Data!$K$4:$K$203),"")))),"")</f>
        <v/>
      </c>
      <c r="FL114" t="str">
        <f>IF(EO114=1,IF(AND(EY114&gt;0,EY114&lt;TODAY(),ROUND(EU114,4)&lt;1),2,IF(FK114="",0,IF(ROUND(EU114-FK114,4)&lt;-0.15,1,0))),"")</f>
        <v/>
      </c>
      <c r="FM114">
        <f>IF(OR(FA114="",COUNTIF($FA$4:FA113,FA114)&gt;0),0,MAX(0,IF(FB114="Interne",IF(ISNUMBER(INDEX(Data!$F:$F,114)),INDEX(Data!$F:$F,114),p_HeuresETP),IF(ISNUMBER(INDEX(Data!$I:$I,114-$CD$23)),INDEX(Data!$I:$I,114-$CD$23),p_HeuresETP))-IF(FB114="Interne",IF(ISNUMBER(INDEX(Data!$G:$G,114)),INDEX(Data!$G:$G,114),p_ChargeFixe),IF(ISNUMBER(INDEX(Data!$J:$J,114-$CD$23)),INDEX(Data!$J:$J,114-$CD$23),p_ChargeFixe))))</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9" t="str">
        <f>IF(AND(D115=1,ISNUMBER(INDEX(Charge!$N:$N,ROW()))),INDEX(Charge!$N:$N,ROW()),"")</f>
        <v/>
      </c>
      <c r="J115" s="169"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70">
        <f>IF(OR($I115="",$E115=0),0,IF(OR($J115&lt;W$3,$I115&gt;W$2),0,IF($K115=0,IF(AND($I115&gt;=W$3,$I115&lt;=W$2),$E115,0),$E115*NETWORKDAYS(MAX($I115,W$3),MIN($J115,W$2),Data!$K$4:$K$203)/$K115)))</f>
        <v>0</v>
      </c>
      <c r="X115" s="170">
        <f>IF(OR($I115="",$E115=0),0,IF(OR($J115&lt;X$3,$I115&gt;X$2),0,IF($K115=0,IF(AND($I115&gt;=X$3,$I115&lt;=X$2),$E115,0),$E115*NETWORKDAYS(MAX($I115,X$3),MIN($J115,X$2),Data!$K$4:$K$203)/$K115)))</f>
        <v>0</v>
      </c>
      <c r="Y115" s="170">
        <f>IF(OR($I115="",$E115=0),0,IF(OR($J115&lt;Y$3,$I115&gt;Y$2),0,IF($K115=0,IF(AND($I115&gt;=Y$3,$I115&lt;=Y$2),$E115,0),$E115*NETWORKDAYS(MAX($I115,Y$3),MIN($J115,Y$2),Data!$K$4:$K$203)/$K115)))</f>
        <v>0</v>
      </c>
      <c r="Z115" s="170">
        <f>IF(OR($I115="",$E115=0),0,IF(OR($J115&lt;Z$3,$I115&gt;Z$2),0,IF($K115=0,IF(AND($I115&gt;=Z$3,$I115&lt;=Z$2),$E115,0),$E115*NETWORKDAYS(MAX($I115,Z$3),MIN($J115,Z$2),Data!$K$4:$K$203)/$K115)))</f>
        <v>0</v>
      </c>
      <c r="AA115" s="170">
        <f>IF(OR($I115="",$E115=0),0,IF(OR($J115&lt;AA$3,$I115&gt;AA$2),0,IF($K115=0,IF(AND($I115&gt;=AA$3,$I115&lt;=AA$2),$E115,0),$E115*NETWORKDAYS(MAX($I115,AA$3),MIN($J115,AA$2),Data!$K$4:$K$203)/$K115)))</f>
        <v>0</v>
      </c>
      <c r="AB115" s="170">
        <f>IF(OR($I115="",$E115=0),0,IF(OR($J115&lt;AB$3,$I115&gt;AB$2),0,IF($K115=0,IF(AND($I115&gt;=AB$3,$I115&lt;=AB$2),$E115,0),$E115*NETWORKDAYS(MAX($I115,AB$3),MIN($J115,AB$2),Data!$K$4:$K$203)/$K115)))</f>
        <v>0</v>
      </c>
      <c r="AC115" s="170">
        <f>IF(OR($I115="",$E115=0),0,IF(OR($J115&lt;AC$3,$I115&gt;AC$2),0,IF($K115=0,IF(AND($I115&gt;=AC$3,$I115&lt;=AC$2),$E115,0),$E115*NETWORKDAYS(MAX($I115,AC$3),MIN($J115,AC$2),Data!$K$4:$K$203)/$K115)))</f>
        <v>0</v>
      </c>
      <c r="AD115" s="170">
        <f>IF(OR($I115="",$E115=0),0,IF(OR($J115&lt;AD$3,$I115&gt;AD$2),0,IF($K115=0,IF(AND($I115&gt;=AD$3,$I115&lt;=AD$2),$E115,0),$E115*NETWORKDAYS(MAX($I115,AD$3),MIN($J115,AD$2),Data!$K$4:$K$203)/$K115)))</f>
        <v>0</v>
      </c>
      <c r="AE115" s="170">
        <f>IF(OR($I115="",$E115=0),0,IF(OR($J115&lt;AE$3,$I115&gt;AE$2),0,IF($K115=0,IF(AND($I115&gt;=AE$3,$I115&lt;=AE$2),$E115,0),$E115*NETWORKDAYS(MAX($I115,AE$3),MIN($J115,AE$2),Data!$K$4:$K$203)/$K115)))</f>
        <v>0</v>
      </c>
      <c r="AF115" s="170">
        <f>IF(OR($I115="",$E115=0),0,IF(OR($J115&lt;AF$3,$I115&gt;AF$2),0,IF($K115=0,IF(AND($I115&gt;=AF$3,$I115&lt;=AF$2),$E115,0),$E115*NETWORKDAYS(MAX($I115,AF$3),MIN($J115,AF$2),Data!$K$4:$K$203)/$K115)))</f>
        <v>0</v>
      </c>
      <c r="AG115" s="170">
        <f>IF(OR($I115="",$E115=0),0,IF(OR($J115&lt;AG$3,$I115&gt;AG$2),0,IF($K115=0,IF(AND($I115&gt;=AG$3,$I115&lt;=AG$2),$E115,0),$E115*NETWORKDAYS(MAX($I115,AG$3),MIN($J115,AG$2),Data!$K$4:$K$203)/$K115)))</f>
        <v>0</v>
      </c>
      <c r="AH115" s="170">
        <f>IF(OR($I115="",$E115=0),0,IF(OR($J115&lt;AH$3,$I115&gt;AH$2),0,IF($K115=0,IF(AND($I115&gt;=AH$3,$I115&lt;=AH$2),$E115,0),$E115*NETWORKDAYS(MAX($I115,AH$3),MIN($J115,AH$2),Data!$K$4:$K$203)/$K115)))</f>
        <v>0</v>
      </c>
      <c r="AI115" s="170">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70"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4" t="str">
        <f>IF(EO115=1,IF(FH115&gt;0,FI115/FH115,AVERAGEIF($FF$4:$FF$503,EN115,$C$4:$C$503)),"")</f>
        <v/>
      </c>
      <c r="EV115" s="169">
        <f>IF(ISNUMBER(I115),I115,2958465)</f>
        <v>2958465.0</v>
      </c>
      <c r="EW115" s="169" t="str">
        <f>IF(EO115=1,SUMPRODUCT(MIN(($EN$4:$EN$503=EN115)*$EV$4:$EV$503+($EN$4:$EN$503&lt;&gt;EN115)*2958465)),"")</f>
        <v/>
      </c>
      <c r="EX115" s="169">
        <f>IF(AND(D115=1,ISNUMBER(INDEX(Charge!$F:$F,ROW()))),INDEX(Charge!$F:$F,ROW()),0)</f>
        <v>0.0</v>
      </c>
      <c r="EY115" s="169"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c r="FF115" t="str">
        <f>IF(B115=1,LEFT(SUBSTITUTE(SUBSTITUTE(SUBSTITUTE(TRIM(SUBSTITUTE(INDEX(Charge!$B:$B,ROW()),CHAR(160)," "))&amp;" | "&amp;TRIM(SUBSTITUTE(INDEX(Charge!$C:$C,ROW()),CHAR(160)," "))&amp;" | "&amp;TRIM(SUBSTITUTE(INDEX(Charge!$D:$D,ROW()),CHAR(160)," ")),"~","-"),"*","+"),"?","!"),240),"")</f>
        <v/>
      </c>
      <c r="FG115">
        <f>IF(B115=1,MAX(0,N(INDEX(Charge!$M:$M,ROW()))),0)</f>
        <v>0</v>
      </c>
      <c r="FH115" s="170" t="str">
        <f>IF(EO115=1,ROUND(SUMIF($FF$4:$FF$503,EN115,$FG$4:$FG$503),2),"")</f>
        <v/>
      </c>
      <c r="FI115" s="170" t="str">
        <f>IF(EO115=1,ROUND(SUMPRODUCT(($FF$4:$FF$503=EN115)*$FG$4:$FG$503*$C$4:$C$503),2),"")</f>
        <v/>
      </c>
      <c r="FJ115" s="170" t="str">
        <f>IF(EO115=1,MAX(0,ROUND(FH115-FI115,2)),"")</f>
        <v/>
      </c>
      <c r="FK115" s="174" t="str">
        <f>IF(EO115=1,IF(OR(EW115&gt;=2958465,EY115=0,EY115&lt;=EW115),"",IF(TODAY()&lt;=EW115,0,IF(TODAY()&gt;EY115,1,IFERROR(NETWORKDAYS(EW115,TODAY()-1,Data!$K$4:$K$203)/NETWORKDAYS(EW115,EY115,Data!$K$4:$K$203),"")))),"")</f>
        <v/>
      </c>
      <c r="FL115" t="str">
        <f>IF(EO115=1,IF(AND(EY115&gt;0,EY115&lt;TODAY(),ROUND(EU115,4)&lt;1),2,IF(FK115="",0,IF(ROUND(EU115-FK115,4)&lt;-0.15,1,0))),"")</f>
        <v/>
      </c>
      <c r="FM115">
        <f>IF(OR(FA115="",COUNTIF($FA$4:FA114,FA115)&gt;0),0,MAX(0,IF(FB115="Interne",IF(ISNUMBER(INDEX(Data!$F:$F,115)),INDEX(Data!$F:$F,115),p_HeuresETP),IF(ISNUMBER(INDEX(Data!$I:$I,115-$CD$23)),INDEX(Data!$I:$I,115-$CD$23),p_HeuresETP))-IF(FB115="Interne",IF(ISNUMBER(INDEX(Data!$G:$G,115)),INDEX(Data!$G:$G,115),p_ChargeFixe),IF(ISNUMBER(INDEX(Data!$J:$J,115-$CD$23)),INDEX(Data!$J:$J,115-$CD$23),p_ChargeFixe))))</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9" t="str">
        <f>IF(AND(D116=1,ISNUMBER(INDEX(Charge!$N:$N,ROW()))),INDEX(Charge!$N:$N,ROW()),"")</f>
        <v/>
      </c>
      <c r="J116" s="169"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70">
        <f>IF(OR($I116="",$E116=0),0,IF(OR($J116&lt;W$3,$I116&gt;W$2),0,IF($K116=0,IF(AND($I116&gt;=W$3,$I116&lt;=W$2),$E116,0),$E116*NETWORKDAYS(MAX($I116,W$3),MIN($J116,W$2),Data!$K$4:$K$203)/$K116)))</f>
        <v>0</v>
      </c>
      <c r="X116" s="170">
        <f>IF(OR($I116="",$E116=0),0,IF(OR($J116&lt;X$3,$I116&gt;X$2),0,IF($K116=0,IF(AND($I116&gt;=X$3,$I116&lt;=X$2),$E116,0),$E116*NETWORKDAYS(MAX($I116,X$3),MIN($J116,X$2),Data!$K$4:$K$203)/$K116)))</f>
        <v>0</v>
      </c>
      <c r="Y116" s="170">
        <f>IF(OR($I116="",$E116=0),0,IF(OR($J116&lt;Y$3,$I116&gt;Y$2),0,IF($K116=0,IF(AND($I116&gt;=Y$3,$I116&lt;=Y$2),$E116,0),$E116*NETWORKDAYS(MAX($I116,Y$3),MIN($J116,Y$2),Data!$K$4:$K$203)/$K116)))</f>
        <v>0</v>
      </c>
      <c r="Z116" s="170">
        <f>IF(OR($I116="",$E116=0),0,IF(OR($J116&lt;Z$3,$I116&gt;Z$2),0,IF($K116=0,IF(AND($I116&gt;=Z$3,$I116&lt;=Z$2),$E116,0),$E116*NETWORKDAYS(MAX($I116,Z$3),MIN($J116,Z$2),Data!$K$4:$K$203)/$K116)))</f>
        <v>0</v>
      </c>
      <c r="AA116" s="170">
        <f>IF(OR($I116="",$E116=0),0,IF(OR($J116&lt;AA$3,$I116&gt;AA$2),0,IF($K116=0,IF(AND($I116&gt;=AA$3,$I116&lt;=AA$2),$E116,0),$E116*NETWORKDAYS(MAX($I116,AA$3),MIN($J116,AA$2),Data!$K$4:$K$203)/$K116)))</f>
        <v>0</v>
      </c>
      <c r="AB116" s="170">
        <f>IF(OR($I116="",$E116=0),0,IF(OR($J116&lt;AB$3,$I116&gt;AB$2),0,IF($K116=0,IF(AND($I116&gt;=AB$3,$I116&lt;=AB$2),$E116,0),$E116*NETWORKDAYS(MAX($I116,AB$3),MIN($J116,AB$2),Data!$K$4:$K$203)/$K116)))</f>
        <v>0</v>
      </c>
      <c r="AC116" s="170">
        <f>IF(OR($I116="",$E116=0),0,IF(OR($J116&lt;AC$3,$I116&gt;AC$2),0,IF($K116=0,IF(AND($I116&gt;=AC$3,$I116&lt;=AC$2),$E116,0),$E116*NETWORKDAYS(MAX($I116,AC$3),MIN($J116,AC$2),Data!$K$4:$K$203)/$K116)))</f>
        <v>0</v>
      </c>
      <c r="AD116" s="170">
        <f>IF(OR($I116="",$E116=0),0,IF(OR($J116&lt;AD$3,$I116&gt;AD$2),0,IF($K116=0,IF(AND($I116&gt;=AD$3,$I116&lt;=AD$2),$E116,0),$E116*NETWORKDAYS(MAX($I116,AD$3),MIN($J116,AD$2),Data!$K$4:$K$203)/$K116)))</f>
        <v>0</v>
      </c>
      <c r="AE116" s="170">
        <f>IF(OR($I116="",$E116=0),0,IF(OR($J116&lt;AE$3,$I116&gt;AE$2),0,IF($K116=0,IF(AND($I116&gt;=AE$3,$I116&lt;=AE$2),$E116,0),$E116*NETWORKDAYS(MAX($I116,AE$3),MIN($J116,AE$2),Data!$K$4:$K$203)/$K116)))</f>
        <v>0</v>
      </c>
      <c r="AF116" s="170">
        <f>IF(OR($I116="",$E116=0),0,IF(OR($J116&lt;AF$3,$I116&gt;AF$2),0,IF($K116=0,IF(AND($I116&gt;=AF$3,$I116&lt;=AF$2),$E116,0),$E116*NETWORKDAYS(MAX($I116,AF$3),MIN($J116,AF$2),Data!$K$4:$K$203)/$K116)))</f>
        <v>0</v>
      </c>
      <c r="AG116" s="170">
        <f>IF(OR($I116="",$E116=0),0,IF(OR($J116&lt;AG$3,$I116&gt;AG$2),0,IF($K116=0,IF(AND($I116&gt;=AG$3,$I116&lt;=AG$2),$E116,0),$E116*NETWORKDAYS(MAX($I116,AG$3),MIN($J116,AG$2),Data!$K$4:$K$203)/$K116)))</f>
        <v>0</v>
      </c>
      <c r="AH116" s="170">
        <f>IF(OR($I116="",$E116=0),0,IF(OR($J116&lt;AH$3,$I116&gt;AH$2),0,IF($K116=0,IF(AND($I116&gt;=AH$3,$I116&lt;=AH$2),$E116,0),$E116*NETWORKDAYS(MAX($I116,AH$3),MIN($J116,AH$2),Data!$K$4:$K$203)/$K116)))</f>
        <v>0</v>
      </c>
      <c r="AI116" s="170">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70"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4" t="str">
        <f>IF(EO116=1,IF(FH116&gt;0,FI116/FH116,AVERAGEIF($FF$4:$FF$503,EN116,$C$4:$C$503)),"")</f>
        <v/>
      </c>
      <c r="EV116" s="169">
        <f>IF(ISNUMBER(I116),I116,2958465)</f>
        <v>2958465.0</v>
      </c>
      <c r="EW116" s="169" t="str">
        <f>IF(EO116=1,SUMPRODUCT(MIN(($EN$4:$EN$503=EN116)*$EV$4:$EV$503+($EN$4:$EN$503&lt;&gt;EN116)*2958465)),"")</f>
        <v/>
      </c>
      <c r="EX116" s="169">
        <f>IF(AND(D116=1,ISNUMBER(INDEX(Charge!$F:$F,ROW()))),INDEX(Charge!$F:$F,ROW()),0)</f>
        <v>0.0</v>
      </c>
      <c r="EY116" s="169"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c r="FF116" t="str">
        <f>IF(B116=1,LEFT(SUBSTITUTE(SUBSTITUTE(SUBSTITUTE(TRIM(SUBSTITUTE(INDEX(Charge!$B:$B,ROW()),CHAR(160)," "))&amp;" | "&amp;TRIM(SUBSTITUTE(INDEX(Charge!$C:$C,ROW()),CHAR(160)," "))&amp;" | "&amp;TRIM(SUBSTITUTE(INDEX(Charge!$D:$D,ROW()),CHAR(160)," ")),"~","-"),"*","+"),"?","!"),240),"")</f>
        <v/>
      </c>
      <c r="FG116">
        <f>IF(B116=1,MAX(0,N(INDEX(Charge!$M:$M,ROW()))),0)</f>
        <v>0</v>
      </c>
      <c r="FH116" s="170" t="str">
        <f>IF(EO116=1,ROUND(SUMIF($FF$4:$FF$503,EN116,$FG$4:$FG$503),2),"")</f>
        <v/>
      </c>
      <c r="FI116" s="170" t="str">
        <f>IF(EO116=1,ROUND(SUMPRODUCT(($FF$4:$FF$503=EN116)*$FG$4:$FG$503*$C$4:$C$503),2),"")</f>
        <v/>
      </c>
      <c r="FJ116" s="170" t="str">
        <f>IF(EO116=1,MAX(0,ROUND(FH116-FI116,2)),"")</f>
        <v/>
      </c>
      <c r="FK116" s="174" t="str">
        <f>IF(EO116=1,IF(OR(EW116&gt;=2958465,EY116=0,EY116&lt;=EW116),"",IF(TODAY()&lt;=EW116,0,IF(TODAY()&gt;EY116,1,IFERROR(NETWORKDAYS(EW116,TODAY()-1,Data!$K$4:$K$203)/NETWORKDAYS(EW116,EY116,Data!$K$4:$K$203),"")))),"")</f>
        <v/>
      </c>
      <c r="FL116" t="str">
        <f>IF(EO116=1,IF(AND(EY116&gt;0,EY116&lt;TODAY(),ROUND(EU116,4)&lt;1),2,IF(FK116="",0,IF(ROUND(EU116-FK116,4)&lt;-0.15,1,0))),"")</f>
        <v/>
      </c>
      <c r="FM116">
        <f>IF(OR(FA116="",COUNTIF($FA$4:FA115,FA116)&gt;0),0,MAX(0,IF(FB116="Interne",IF(ISNUMBER(INDEX(Data!$F:$F,116)),INDEX(Data!$F:$F,116),p_HeuresETP),IF(ISNUMBER(INDEX(Data!$I:$I,116-$CD$23)),INDEX(Data!$I:$I,116-$CD$23),p_HeuresETP))-IF(FB116="Interne",IF(ISNUMBER(INDEX(Data!$G:$G,116)),INDEX(Data!$G:$G,116),p_ChargeFixe),IF(ISNUMBER(INDEX(Data!$J:$J,116-$CD$23)),INDEX(Data!$J:$J,116-$CD$23),p_ChargeFixe))))</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9" t="str">
        <f>IF(AND(D117=1,ISNUMBER(INDEX(Charge!$N:$N,ROW()))),INDEX(Charge!$N:$N,ROW()),"")</f>
        <v/>
      </c>
      <c r="J117" s="169"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70">
        <f>IF(OR($I117="",$E117=0),0,IF(OR($J117&lt;W$3,$I117&gt;W$2),0,IF($K117=0,IF(AND($I117&gt;=W$3,$I117&lt;=W$2),$E117,0),$E117*NETWORKDAYS(MAX($I117,W$3),MIN($J117,W$2),Data!$K$4:$K$203)/$K117)))</f>
        <v>0</v>
      </c>
      <c r="X117" s="170">
        <f>IF(OR($I117="",$E117=0),0,IF(OR($J117&lt;X$3,$I117&gt;X$2),0,IF($K117=0,IF(AND($I117&gt;=X$3,$I117&lt;=X$2),$E117,0),$E117*NETWORKDAYS(MAX($I117,X$3),MIN($J117,X$2),Data!$K$4:$K$203)/$K117)))</f>
        <v>0</v>
      </c>
      <c r="Y117" s="170">
        <f>IF(OR($I117="",$E117=0),0,IF(OR($J117&lt;Y$3,$I117&gt;Y$2),0,IF($K117=0,IF(AND($I117&gt;=Y$3,$I117&lt;=Y$2),$E117,0),$E117*NETWORKDAYS(MAX($I117,Y$3),MIN($J117,Y$2),Data!$K$4:$K$203)/$K117)))</f>
        <v>0</v>
      </c>
      <c r="Z117" s="170">
        <f>IF(OR($I117="",$E117=0),0,IF(OR($J117&lt;Z$3,$I117&gt;Z$2),0,IF($K117=0,IF(AND($I117&gt;=Z$3,$I117&lt;=Z$2),$E117,0),$E117*NETWORKDAYS(MAX($I117,Z$3),MIN($J117,Z$2),Data!$K$4:$K$203)/$K117)))</f>
        <v>0</v>
      </c>
      <c r="AA117" s="170">
        <f>IF(OR($I117="",$E117=0),0,IF(OR($J117&lt;AA$3,$I117&gt;AA$2),0,IF($K117=0,IF(AND($I117&gt;=AA$3,$I117&lt;=AA$2),$E117,0),$E117*NETWORKDAYS(MAX($I117,AA$3),MIN($J117,AA$2),Data!$K$4:$K$203)/$K117)))</f>
        <v>0</v>
      </c>
      <c r="AB117" s="170">
        <f>IF(OR($I117="",$E117=0),0,IF(OR($J117&lt;AB$3,$I117&gt;AB$2),0,IF($K117=0,IF(AND($I117&gt;=AB$3,$I117&lt;=AB$2),$E117,0),$E117*NETWORKDAYS(MAX($I117,AB$3),MIN($J117,AB$2),Data!$K$4:$K$203)/$K117)))</f>
        <v>0</v>
      </c>
      <c r="AC117" s="170">
        <f>IF(OR($I117="",$E117=0),0,IF(OR($J117&lt;AC$3,$I117&gt;AC$2),0,IF($K117=0,IF(AND($I117&gt;=AC$3,$I117&lt;=AC$2),$E117,0),$E117*NETWORKDAYS(MAX($I117,AC$3),MIN($J117,AC$2),Data!$K$4:$K$203)/$K117)))</f>
        <v>0</v>
      </c>
      <c r="AD117" s="170">
        <f>IF(OR($I117="",$E117=0),0,IF(OR($J117&lt;AD$3,$I117&gt;AD$2),0,IF($K117=0,IF(AND($I117&gt;=AD$3,$I117&lt;=AD$2),$E117,0),$E117*NETWORKDAYS(MAX($I117,AD$3),MIN($J117,AD$2),Data!$K$4:$K$203)/$K117)))</f>
        <v>0</v>
      </c>
      <c r="AE117" s="170">
        <f>IF(OR($I117="",$E117=0),0,IF(OR($J117&lt;AE$3,$I117&gt;AE$2),0,IF($K117=0,IF(AND($I117&gt;=AE$3,$I117&lt;=AE$2),$E117,0),$E117*NETWORKDAYS(MAX($I117,AE$3),MIN($J117,AE$2),Data!$K$4:$K$203)/$K117)))</f>
        <v>0</v>
      </c>
      <c r="AF117" s="170">
        <f>IF(OR($I117="",$E117=0),0,IF(OR($J117&lt;AF$3,$I117&gt;AF$2),0,IF($K117=0,IF(AND($I117&gt;=AF$3,$I117&lt;=AF$2),$E117,0),$E117*NETWORKDAYS(MAX($I117,AF$3),MIN($J117,AF$2),Data!$K$4:$K$203)/$K117)))</f>
        <v>0</v>
      </c>
      <c r="AG117" s="170">
        <f>IF(OR($I117="",$E117=0),0,IF(OR($J117&lt;AG$3,$I117&gt;AG$2),0,IF($K117=0,IF(AND($I117&gt;=AG$3,$I117&lt;=AG$2),$E117,0),$E117*NETWORKDAYS(MAX($I117,AG$3),MIN($J117,AG$2),Data!$K$4:$K$203)/$K117)))</f>
        <v>0</v>
      </c>
      <c r="AH117" s="170">
        <f>IF(OR($I117="",$E117=0),0,IF(OR($J117&lt;AH$3,$I117&gt;AH$2),0,IF($K117=0,IF(AND($I117&gt;=AH$3,$I117&lt;=AH$2),$E117,0),$E117*NETWORKDAYS(MAX($I117,AH$3),MIN($J117,AH$2),Data!$K$4:$K$203)/$K117)))</f>
        <v>0</v>
      </c>
      <c r="AI117" s="170">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70"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4" t="str">
        <f>IF(EO117=1,IF(FH117&gt;0,FI117/FH117,AVERAGEIF($FF$4:$FF$503,EN117,$C$4:$C$503)),"")</f>
        <v/>
      </c>
      <c r="EV117" s="169">
        <f>IF(ISNUMBER(I117),I117,2958465)</f>
        <v>2958465.0</v>
      </c>
      <c r="EW117" s="169" t="str">
        <f>IF(EO117=1,SUMPRODUCT(MIN(($EN$4:$EN$503=EN117)*$EV$4:$EV$503+($EN$4:$EN$503&lt;&gt;EN117)*2958465)),"")</f>
        <v/>
      </c>
      <c r="EX117" s="169">
        <f>IF(AND(D117=1,ISNUMBER(INDEX(Charge!$F:$F,ROW()))),INDEX(Charge!$F:$F,ROW()),0)</f>
        <v>0.0</v>
      </c>
      <c r="EY117" s="169"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c r="FF117" t="str">
        <f>IF(B117=1,LEFT(SUBSTITUTE(SUBSTITUTE(SUBSTITUTE(TRIM(SUBSTITUTE(INDEX(Charge!$B:$B,ROW()),CHAR(160)," "))&amp;" | "&amp;TRIM(SUBSTITUTE(INDEX(Charge!$C:$C,ROW()),CHAR(160)," "))&amp;" | "&amp;TRIM(SUBSTITUTE(INDEX(Charge!$D:$D,ROW()),CHAR(160)," ")),"~","-"),"*","+"),"?","!"),240),"")</f>
        <v/>
      </c>
      <c r="FG117">
        <f>IF(B117=1,MAX(0,N(INDEX(Charge!$M:$M,ROW()))),0)</f>
        <v>0</v>
      </c>
      <c r="FH117" s="170" t="str">
        <f>IF(EO117=1,ROUND(SUMIF($FF$4:$FF$503,EN117,$FG$4:$FG$503),2),"")</f>
        <v/>
      </c>
      <c r="FI117" s="170" t="str">
        <f>IF(EO117=1,ROUND(SUMPRODUCT(($FF$4:$FF$503=EN117)*$FG$4:$FG$503*$C$4:$C$503),2),"")</f>
        <v/>
      </c>
      <c r="FJ117" s="170" t="str">
        <f>IF(EO117=1,MAX(0,ROUND(FH117-FI117,2)),"")</f>
        <v/>
      </c>
      <c r="FK117" s="174" t="str">
        <f>IF(EO117=1,IF(OR(EW117&gt;=2958465,EY117=0,EY117&lt;=EW117),"",IF(TODAY()&lt;=EW117,0,IF(TODAY()&gt;EY117,1,IFERROR(NETWORKDAYS(EW117,TODAY()-1,Data!$K$4:$K$203)/NETWORKDAYS(EW117,EY117,Data!$K$4:$K$203),"")))),"")</f>
        <v/>
      </c>
      <c r="FL117" t="str">
        <f>IF(EO117=1,IF(AND(EY117&gt;0,EY117&lt;TODAY(),ROUND(EU117,4)&lt;1),2,IF(FK117="",0,IF(ROUND(EU117-FK117,4)&lt;-0.15,1,0))),"")</f>
        <v/>
      </c>
      <c r="FM117">
        <f>IF(OR(FA117="",COUNTIF($FA$4:FA116,FA117)&gt;0),0,MAX(0,IF(FB117="Interne",IF(ISNUMBER(INDEX(Data!$F:$F,117)),INDEX(Data!$F:$F,117),p_HeuresETP),IF(ISNUMBER(INDEX(Data!$I:$I,117-$CD$23)),INDEX(Data!$I:$I,117-$CD$23),p_HeuresETP))-IF(FB117="Interne",IF(ISNUMBER(INDEX(Data!$G:$G,117)),INDEX(Data!$G:$G,117),p_ChargeFixe),IF(ISNUMBER(INDEX(Data!$J:$J,117-$CD$23)),INDEX(Data!$J:$J,117-$CD$23),p_ChargeFixe))))</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9" t="str">
        <f>IF(AND(D118=1,ISNUMBER(INDEX(Charge!$N:$N,ROW()))),INDEX(Charge!$N:$N,ROW()),"")</f>
        <v/>
      </c>
      <c r="J118" s="169"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70">
        <f>IF(OR($I118="",$E118=0),0,IF(OR($J118&lt;W$3,$I118&gt;W$2),0,IF($K118=0,IF(AND($I118&gt;=W$3,$I118&lt;=W$2),$E118,0),$E118*NETWORKDAYS(MAX($I118,W$3),MIN($J118,W$2),Data!$K$4:$K$203)/$K118)))</f>
        <v>0</v>
      </c>
      <c r="X118" s="170">
        <f>IF(OR($I118="",$E118=0),0,IF(OR($J118&lt;X$3,$I118&gt;X$2),0,IF($K118=0,IF(AND($I118&gt;=X$3,$I118&lt;=X$2),$E118,0),$E118*NETWORKDAYS(MAX($I118,X$3),MIN($J118,X$2),Data!$K$4:$K$203)/$K118)))</f>
        <v>0</v>
      </c>
      <c r="Y118" s="170">
        <f>IF(OR($I118="",$E118=0),0,IF(OR($J118&lt;Y$3,$I118&gt;Y$2),0,IF($K118=0,IF(AND($I118&gt;=Y$3,$I118&lt;=Y$2),$E118,0),$E118*NETWORKDAYS(MAX($I118,Y$3),MIN($J118,Y$2),Data!$K$4:$K$203)/$K118)))</f>
        <v>0</v>
      </c>
      <c r="Z118" s="170">
        <f>IF(OR($I118="",$E118=0),0,IF(OR($J118&lt;Z$3,$I118&gt;Z$2),0,IF($K118=0,IF(AND($I118&gt;=Z$3,$I118&lt;=Z$2),$E118,0),$E118*NETWORKDAYS(MAX($I118,Z$3),MIN($J118,Z$2),Data!$K$4:$K$203)/$K118)))</f>
        <v>0</v>
      </c>
      <c r="AA118" s="170">
        <f>IF(OR($I118="",$E118=0),0,IF(OR($J118&lt;AA$3,$I118&gt;AA$2),0,IF($K118=0,IF(AND($I118&gt;=AA$3,$I118&lt;=AA$2),$E118,0),$E118*NETWORKDAYS(MAX($I118,AA$3),MIN($J118,AA$2),Data!$K$4:$K$203)/$K118)))</f>
        <v>0</v>
      </c>
      <c r="AB118" s="170">
        <f>IF(OR($I118="",$E118=0),0,IF(OR($J118&lt;AB$3,$I118&gt;AB$2),0,IF($K118=0,IF(AND($I118&gt;=AB$3,$I118&lt;=AB$2),$E118,0),$E118*NETWORKDAYS(MAX($I118,AB$3),MIN($J118,AB$2),Data!$K$4:$K$203)/$K118)))</f>
        <v>0</v>
      </c>
      <c r="AC118" s="170">
        <f>IF(OR($I118="",$E118=0),0,IF(OR($J118&lt;AC$3,$I118&gt;AC$2),0,IF($K118=0,IF(AND($I118&gt;=AC$3,$I118&lt;=AC$2),$E118,0),$E118*NETWORKDAYS(MAX($I118,AC$3),MIN($J118,AC$2),Data!$K$4:$K$203)/$K118)))</f>
        <v>0</v>
      </c>
      <c r="AD118" s="170">
        <f>IF(OR($I118="",$E118=0),0,IF(OR($J118&lt;AD$3,$I118&gt;AD$2),0,IF($K118=0,IF(AND($I118&gt;=AD$3,$I118&lt;=AD$2),$E118,0),$E118*NETWORKDAYS(MAX($I118,AD$3),MIN($J118,AD$2),Data!$K$4:$K$203)/$K118)))</f>
        <v>0</v>
      </c>
      <c r="AE118" s="170">
        <f>IF(OR($I118="",$E118=0),0,IF(OR($J118&lt;AE$3,$I118&gt;AE$2),0,IF($K118=0,IF(AND($I118&gt;=AE$3,$I118&lt;=AE$2),$E118,0),$E118*NETWORKDAYS(MAX($I118,AE$3),MIN($J118,AE$2),Data!$K$4:$K$203)/$K118)))</f>
        <v>0</v>
      </c>
      <c r="AF118" s="170">
        <f>IF(OR($I118="",$E118=0),0,IF(OR($J118&lt;AF$3,$I118&gt;AF$2),0,IF($K118=0,IF(AND($I118&gt;=AF$3,$I118&lt;=AF$2),$E118,0),$E118*NETWORKDAYS(MAX($I118,AF$3),MIN($J118,AF$2),Data!$K$4:$K$203)/$K118)))</f>
        <v>0</v>
      </c>
      <c r="AG118" s="170">
        <f>IF(OR($I118="",$E118=0),0,IF(OR($J118&lt;AG$3,$I118&gt;AG$2),0,IF($K118=0,IF(AND($I118&gt;=AG$3,$I118&lt;=AG$2),$E118,0),$E118*NETWORKDAYS(MAX($I118,AG$3),MIN($J118,AG$2),Data!$K$4:$K$203)/$K118)))</f>
        <v>0</v>
      </c>
      <c r="AH118" s="170">
        <f>IF(OR($I118="",$E118=0),0,IF(OR($J118&lt;AH$3,$I118&gt;AH$2),0,IF($K118=0,IF(AND($I118&gt;=AH$3,$I118&lt;=AH$2),$E118,0),$E118*NETWORKDAYS(MAX($I118,AH$3),MIN($J118,AH$2),Data!$K$4:$K$203)/$K118)))</f>
        <v>0</v>
      </c>
      <c r="AI118" s="170">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70"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4" t="str">
        <f>IF(EO118=1,IF(FH118&gt;0,FI118/FH118,AVERAGEIF($FF$4:$FF$503,EN118,$C$4:$C$503)),"")</f>
        <v/>
      </c>
      <c r="EV118" s="169">
        <f>IF(ISNUMBER(I118),I118,2958465)</f>
        <v>2958465.0</v>
      </c>
      <c r="EW118" s="169" t="str">
        <f>IF(EO118=1,SUMPRODUCT(MIN(($EN$4:$EN$503=EN118)*$EV$4:$EV$503+($EN$4:$EN$503&lt;&gt;EN118)*2958465)),"")</f>
        <v/>
      </c>
      <c r="EX118" s="169">
        <f>IF(AND(D118=1,ISNUMBER(INDEX(Charge!$F:$F,ROW()))),INDEX(Charge!$F:$F,ROW()),0)</f>
        <v>0.0</v>
      </c>
      <c r="EY118" s="169"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c r="FF118" t="str">
        <f>IF(B118=1,LEFT(SUBSTITUTE(SUBSTITUTE(SUBSTITUTE(TRIM(SUBSTITUTE(INDEX(Charge!$B:$B,ROW()),CHAR(160)," "))&amp;" | "&amp;TRIM(SUBSTITUTE(INDEX(Charge!$C:$C,ROW()),CHAR(160)," "))&amp;" | "&amp;TRIM(SUBSTITUTE(INDEX(Charge!$D:$D,ROW()),CHAR(160)," ")),"~","-"),"*","+"),"?","!"),240),"")</f>
        <v/>
      </c>
      <c r="FG118">
        <f>IF(B118=1,MAX(0,N(INDEX(Charge!$M:$M,ROW()))),0)</f>
        <v>0</v>
      </c>
      <c r="FH118" s="170" t="str">
        <f>IF(EO118=1,ROUND(SUMIF($FF$4:$FF$503,EN118,$FG$4:$FG$503),2),"")</f>
        <v/>
      </c>
      <c r="FI118" s="170" t="str">
        <f>IF(EO118=1,ROUND(SUMPRODUCT(($FF$4:$FF$503=EN118)*$FG$4:$FG$503*$C$4:$C$503),2),"")</f>
        <v/>
      </c>
      <c r="FJ118" s="170" t="str">
        <f>IF(EO118=1,MAX(0,ROUND(FH118-FI118,2)),"")</f>
        <v/>
      </c>
      <c r="FK118" s="174" t="str">
        <f>IF(EO118=1,IF(OR(EW118&gt;=2958465,EY118=0,EY118&lt;=EW118),"",IF(TODAY()&lt;=EW118,0,IF(TODAY()&gt;EY118,1,IFERROR(NETWORKDAYS(EW118,TODAY()-1,Data!$K$4:$K$203)/NETWORKDAYS(EW118,EY118,Data!$K$4:$K$203),"")))),"")</f>
        <v/>
      </c>
      <c r="FL118" t="str">
        <f>IF(EO118=1,IF(AND(EY118&gt;0,EY118&lt;TODAY(),ROUND(EU118,4)&lt;1),2,IF(FK118="",0,IF(ROUND(EU118-FK118,4)&lt;-0.15,1,0))),"")</f>
        <v/>
      </c>
      <c r="FM118">
        <f>IF(OR(FA118="",COUNTIF($FA$4:FA117,FA118)&gt;0),0,MAX(0,IF(FB118="Interne",IF(ISNUMBER(INDEX(Data!$F:$F,118)),INDEX(Data!$F:$F,118),p_HeuresETP),IF(ISNUMBER(INDEX(Data!$I:$I,118-$CD$23)),INDEX(Data!$I:$I,118-$CD$23),p_HeuresETP))-IF(FB118="Interne",IF(ISNUMBER(INDEX(Data!$G:$G,118)),INDEX(Data!$G:$G,118),p_ChargeFixe),IF(ISNUMBER(INDEX(Data!$J:$J,118-$CD$23)),INDEX(Data!$J:$J,118-$CD$23),p_ChargeFixe))))</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9" t="str">
        <f>IF(AND(D119=1,ISNUMBER(INDEX(Charge!$N:$N,ROW()))),INDEX(Charge!$N:$N,ROW()),"")</f>
        <v/>
      </c>
      <c r="J119" s="169"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70">
        <f>IF(OR($I119="",$E119=0),0,IF(OR($J119&lt;W$3,$I119&gt;W$2),0,IF($K119=0,IF(AND($I119&gt;=W$3,$I119&lt;=W$2),$E119,0),$E119*NETWORKDAYS(MAX($I119,W$3),MIN($J119,W$2),Data!$K$4:$K$203)/$K119)))</f>
        <v>0</v>
      </c>
      <c r="X119" s="170">
        <f>IF(OR($I119="",$E119=0),0,IF(OR($J119&lt;X$3,$I119&gt;X$2),0,IF($K119=0,IF(AND($I119&gt;=X$3,$I119&lt;=X$2),$E119,0),$E119*NETWORKDAYS(MAX($I119,X$3),MIN($J119,X$2),Data!$K$4:$K$203)/$K119)))</f>
        <v>0</v>
      </c>
      <c r="Y119" s="170">
        <f>IF(OR($I119="",$E119=0),0,IF(OR($J119&lt;Y$3,$I119&gt;Y$2),0,IF($K119=0,IF(AND($I119&gt;=Y$3,$I119&lt;=Y$2),$E119,0),$E119*NETWORKDAYS(MAX($I119,Y$3),MIN($J119,Y$2),Data!$K$4:$K$203)/$K119)))</f>
        <v>0</v>
      </c>
      <c r="Z119" s="170">
        <f>IF(OR($I119="",$E119=0),0,IF(OR($J119&lt;Z$3,$I119&gt;Z$2),0,IF($K119=0,IF(AND($I119&gt;=Z$3,$I119&lt;=Z$2),$E119,0),$E119*NETWORKDAYS(MAX($I119,Z$3),MIN($J119,Z$2),Data!$K$4:$K$203)/$K119)))</f>
        <v>0</v>
      </c>
      <c r="AA119" s="170">
        <f>IF(OR($I119="",$E119=0),0,IF(OR($J119&lt;AA$3,$I119&gt;AA$2),0,IF($K119=0,IF(AND($I119&gt;=AA$3,$I119&lt;=AA$2),$E119,0),$E119*NETWORKDAYS(MAX($I119,AA$3),MIN($J119,AA$2),Data!$K$4:$K$203)/$K119)))</f>
        <v>0</v>
      </c>
      <c r="AB119" s="170">
        <f>IF(OR($I119="",$E119=0),0,IF(OR($J119&lt;AB$3,$I119&gt;AB$2),0,IF($K119=0,IF(AND($I119&gt;=AB$3,$I119&lt;=AB$2),$E119,0),$E119*NETWORKDAYS(MAX($I119,AB$3),MIN($J119,AB$2),Data!$K$4:$K$203)/$K119)))</f>
        <v>0</v>
      </c>
      <c r="AC119" s="170">
        <f>IF(OR($I119="",$E119=0),0,IF(OR($J119&lt;AC$3,$I119&gt;AC$2),0,IF($K119=0,IF(AND($I119&gt;=AC$3,$I119&lt;=AC$2),$E119,0),$E119*NETWORKDAYS(MAX($I119,AC$3),MIN($J119,AC$2),Data!$K$4:$K$203)/$K119)))</f>
        <v>0</v>
      </c>
      <c r="AD119" s="170">
        <f>IF(OR($I119="",$E119=0),0,IF(OR($J119&lt;AD$3,$I119&gt;AD$2),0,IF($K119=0,IF(AND($I119&gt;=AD$3,$I119&lt;=AD$2),$E119,0),$E119*NETWORKDAYS(MAX($I119,AD$3),MIN($J119,AD$2),Data!$K$4:$K$203)/$K119)))</f>
        <v>0</v>
      </c>
      <c r="AE119" s="170">
        <f>IF(OR($I119="",$E119=0),0,IF(OR($J119&lt;AE$3,$I119&gt;AE$2),0,IF($K119=0,IF(AND($I119&gt;=AE$3,$I119&lt;=AE$2),$E119,0),$E119*NETWORKDAYS(MAX($I119,AE$3),MIN($J119,AE$2),Data!$K$4:$K$203)/$K119)))</f>
        <v>0</v>
      </c>
      <c r="AF119" s="170">
        <f>IF(OR($I119="",$E119=0),0,IF(OR($J119&lt;AF$3,$I119&gt;AF$2),0,IF($K119=0,IF(AND($I119&gt;=AF$3,$I119&lt;=AF$2),$E119,0),$E119*NETWORKDAYS(MAX($I119,AF$3),MIN($J119,AF$2),Data!$K$4:$K$203)/$K119)))</f>
        <v>0</v>
      </c>
      <c r="AG119" s="170">
        <f>IF(OR($I119="",$E119=0),0,IF(OR($J119&lt;AG$3,$I119&gt;AG$2),0,IF($K119=0,IF(AND($I119&gt;=AG$3,$I119&lt;=AG$2),$E119,0),$E119*NETWORKDAYS(MAX($I119,AG$3),MIN($J119,AG$2),Data!$K$4:$K$203)/$K119)))</f>
        <v>0</v>
      </c>
      <c r="AH119" s="170">
        <f>IF(OR($I119="",$E119=0),0,IF(OR($J119&lt;AH$3,$I119&gt;AH$2),0,IF($K119=0,IF(AND($I119&gt;=AH$3,$I119&lt;=AH$2),$E119,0),$E119*NETWORKDAYS(MAX($I119,AH$3),MIN($J119,AH$2),Data!$K$4:$K$203)/$K119)))</f>
        <v>0</v>
      </c>
      <c r="AI119" s="170">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70"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4" t="str">
        <f>IF(EO119=1,IF(FH119&gt;0,FI119/FH119,AVERAGEIF($FF$4:$FF$503,EN119,$C$4:$C$503)),"")</f>
        <v/>
      </c>
      <c r="EV119" s="169">
        <f>IF(ISNUMBER(I119),I119,2958465)</f>
        <v>2958465.0</v>
      </c>
      <c r="EW119" s="169" t="str">
        <f>IF(EO119=1,SUMPRODUCT(MIN(($EN$4:$EN$503=EN119)*$EV$4:$EV$503+($EN$4:$EN$503&lt;&gt;EN119)*2958465)),"")</f>
        <v/>
      </c>
      <c r="EX119" s="169">
        <f>IF(AND(D119=1,ISNUMBER(INDEX(Charge!$F:$F,ROW()))),INDEX(Charge!$F:$F,ROW()),0)</f>
        <v>0.0</v>
      </c>
      <c r="EY119" s="169"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c r="FF119" t="str">
        <f>IF(B119=1,LEFT(SUBSTITUTE(SUBSTITUTE(SUBSTITUTE(TRIM(SUBSTITUTE(INDEX(Charge!$B:$B,ROW()),CHAR(160)," "))&amp;" | "&amp;TRIM(SUBSTITUTE(INDEX(Charge!$C:$C,ROW()),CHAR(160)," "))&amp;" | "&amp;TRIM(SUBSTITUTE(INDEX(Charge!$D:$D,ROW()),CHAR(160)," ")),"~","-"),"*","+"),"?","!"),240),"")</f>
        <v/>
      </c>
      <c r="FG119">
        <f>IF(B119=1,MAX(0,N(INDEX(Charge!$M:$M,ROW()))),0)</f>
        <v>0</v>
      </c>
      <c r="FH119" s="170" t="str">
        <f>IF(EO119=1,ROUND(SUMIF($FF$4:$FF$503,EN119,$FG$4:$FG$503),2),"")</f>
        <v/>
      </c>
      <c r="FI119" s="170" t="str">
        <f>IF(EO119=1,ROUND(SUMPRODUCT(($FF$4:$FF$503=EN119)*$FG$4:$FG$503*$C$4:$C$503),2),"")</f>
        <v/>
      </c>
      <c r="FJ119" s="170" t="str">
        <f>IF(EO119=1,MAX(0,ROUND(FH119-FI119,2)),"")</f>
        <v/>
      </c>
      <c r="FK119" s="174" t="str">
        <f>IF(EO119=1,IF(OR(EW119&gt;=2958465,EY119=0,EY119&lt;=EW119),"",IF(TODAY()&lt;=EW119,0,IF(TODAY()&gt;EY119,1,IFERROR(NETWORKDAYS(EW119,TODAY()-1,Data!$K$4:$K$203)/NETWORKDAYS(EW119,EY119,Data!$K$4:$K$203),"")))),"")</f>
        <v/>
      </c>
      <c r="FL119" t="str">
        <f>IF(EO119=1,IF(AND(EY119&gt;0,EY119&lt;TODAY(),ROUND(EU119,4)&lt;1),2,IF(FK119="",0,IF(ROUND(EU119-FK119,4)&lt;-0.15,1,0))),"")</f>
        <v/>
      </c>
      <c r="FM119">
        <f>IF(OR(FA119="",COUNTIF($FA$4:FA118,FA119)&gt;0),0,MAX(0,IF(FB119="Interne",IF(ISNUMBER(INDEX(Data!$F:$F,119)),INDEX(Data!$F:$F,119),p_HeuresETP),IF(ISNUMBER(INDEX(Data!$I:$I,119-$CD$23)),INDEX(Data!$I:$I,119-$CD$23),p_HeuresETP))-IF(FB119="Interne",IF(ISNUMBER(INDEX(Data!$G:$G,119)),INDEX(Data!$G:$G,119),p_ChargeFixe),IF(ISNUMBER(INDEX(Data!$J:$J,119-$CD$23)),INDEX(Data!$J:$J,119-$CD$23),p_ChargeFixe))))</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9" t="str">
        <f>IF(AND(D120=1,ISNUMBER(INDEX(Charge!$N:$N,ROW()))),INDEX(Charge!$N:$N,ROW()),"")</f>
        <v/>
      </c>
      <c r="J120" s="169"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70">
        <f>IF(OR($I120="",$E120=0),0,IF(OR($J120&lt;W$3,$I120&gt;W$2),0,IF($K120=0,IF(AND($I120&gt;=W$3,$I120&lt;=W$2),$E120,0),$E120*NETWORKDAYS(MAX($I120,W$3),MIN($J120,W$2),Data!$K$4:$K$203)/$K120)))</f>
        <v>0</v>
      </c>
      <c r="X120" s="170">
        <f>IF(OR($I120="",$E120=0),0,IF(OR($J120&lt;X$3,$I120&gt;X$2),0,IF($K120=0,IF(AND($I120&gt;=X$3,$I120&lt;=X$2),$E120,0),$E120*NETWORKDAYS(MAX($I120,X$3),MIN($J120,X$2),Data!$K$4:$K$203)/$K120)))</f>
        <v>0</v>
      </c>
      <c r="Y120" s="170">
        <f>IF(OR($I120="",$E120=0),0,IF(OR($J120&lt;Y$3,$I120&gt;Y$2),0,IF($K120=0,IF(AND($I120&gt;=Y$3,$I120&lt;=Y$2),$E120,0),$E120*NETWORKDAYS(MAX($I120,Y$3),MIN($J120,Y$2),Data!$K$4:$K$203)/$K120)))</f>
        <v>0</v>
      </c>
      <c r="Z120" s="170">
        <f>IF(OR($I120="",$E120=0),0,IF(OR($J120&lt;Z$3,$I120&gt;Z$2),0,IF($K120=0,IF(AND($I120&gt;=Z$3,$I120&lt;=Z$2),$E120,0),$E120*NETWORKDAYS(MAX($I120,Z$3),MIN($J120,Z$2),Data!$K$4:$K$203)/$K120)))</f>
        <v>0</v>
      </c>
      <c r="AA120" s="170">
        <f>IF(OR($I120="",$E120=0),0,IF(OR($J120&lt;AA$3,$I120&gt;AA$2),0,IF($K120=0,IF(AND($I120&gt;=AA$3,$I120&lt;=AA$2),$E120,0),$E120*NETWORKDAYS(MAX($I120,AA$3),MIN($J120,AA$2),Data!$K$4:$K$203)/$K120)))</f>
        <v>0</v>
      </c>
      <c r="AB120" s="170">
        <f>IF(OR($I120="",$E120=0),0,IF(OR($J120&lt;AB$3,$I120&gt;AB$2),0,IF($K120=0,IF(AND($I120&gt;=AB$3,$I120&lt;=AB$2),$E120,0),$E120*NETWORKDAYS(MAX($I120,AB$3),MIN($J120,AB$2),Data!$K$4:$K$203)/$K120)))</f>
        <v>0</v>
      </c>
      <c r="AC120" s="170">
        <f>IF(OR($I120="",$E120=0),0,IF(OR($J120&lt;AC$3,$I120&gt;AC$2),0,IF($K120=0,IF(AND($I120&gt;=AC$3,$I120&lt;=AC$2),$E120,0),$E120*NETWORKDAYS(MAX($I120,AC$3),MIN($J120,AC$2),Data!$K$4:$K$203)/$K120)))</f>
        <v>0</v>
      </c>
      <c r="AD120" s="170">
        <f>IF(OR($I120="",$E120=0),0,IF(OR($J120&lt;AD$3,$I120&gt;AD$2),0,IF($K120=0,IF(AND($I120&gt;=AD$3,$I120&lt;=AD$2),$E120,0),$E120*NETWORKDAYS(MAX($I120,AD$3),MIN($J120,AD$2),Data!$K$4:$K$203)/$K120)))</f>
        <v>0</v>
      </c>
      <c r="AE120" s="170">
        <f>IF(OR($I120="",$E120=0),0,IF(OR($J120&lt;AE$3,$I120&gt;AE$2),0,IF($K120=0,IF(AND($I120&gt;=AE$3,$I120&lt;=AE$2),$E120,0),$E120*NETWORKDAYS(MAX($I120,AE$3),MIN($J120,AE$2),Data!$K$4:$K$203)/$K120)))</f>
        <v>0</v>
      </c>
      <c r="AF120" s="170">
        <f>IF(OR($I120="",$E120=0),0,IF(OR($J120&lt;AF$3,$I120&gt;AF$2),0,IF($K120=0,IF(AND($I120&gt;=AF$3,$I120&lt;=AF$2),$E120,0),$E120*NETWORKDAYS(MAX($I120,AF$3),MIN($J120,AF$2),Data!$K$4:$K$203)/$K120)))</f>
        <v>0</v>
      </c>
      <c r="AG120" s="170">
        <f>IF(OR($I120="",$E120=0),0,IF(OR($J120&lt;AG$3,$I120&gt;AG$2),0,IF($K120=0,IF(AND($I120&gt;=AG$3,$I120&lt;=AG$2),$E120,0),$E120*NETWORKDAYS(MAX($I120,AG$3),MIN($J120,AG$2),Data!$K$4:$K$203)/$K120)))</f>
        <v>0</v>
      </c>
      <c r="AH120" s="170">
        <f>IF(OR($I120="",$E120=0),0,IF(OR($J120&lt;AH$3,$I120&gt;AH$2),0,IF($K120=0,IF(AND($I120&gt;=AH$3,$I120&lt;=AH$2),$E120,0),$E120*NETWORKDAYS(MAX($I120,AH$3),MIN($J120,AH$2),Data!$K$4:$K$203)/$K120)))</f>
        <v>0</v>
      </c>
      <c r="AI120" s="170">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70"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4" t="str">
        <f>IF(EO120=1,IF(FH120&gt;0,FI120/FH120,AVERAGEIF($FF$4:$FF$503,EN120,$C$4:$C$503)),"")</f>
        <v/>
      </c>
      <c r="EV120" s="169">
        <f>IF(ISNUMBER(I120),I120,2958465)</f>
        <v>2958465.0</v>
      </c>
      <c r="EW120" s="169" t="str">
        <f>IF(EO120=1,SUMPRODUCT(MIN(($EN$4:$EN$503=EN120)*$EV$4:$EV$503+($EN$4:$EN$503&lt;&gt;EN120)*2958465)),"")</f>
        <v/>
      </c>
      <c r="EX120" s="169">
        <f>IF(AND(D120=1,ISNUMBER(INDEX(Charge!$F:$F,ROW()))),INDEX(Charge!$F:$F,ROW()),0)</f>
        <v>0.0</v>
      </c>
      <c r="EY120" s="169"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c r="FF120" t="str">
        <f>IF(B120=1,LEFT(SUBSTITUTE(SUBSTITUTE(SUBSTITUTE(TRIM(SUBSTITUTE(INDEX(Charge!$B:$B,ROW()),CHAR(160)," "))&amp;" | "&amp;TRIM(SUBSTITUTE(INDEX(Charge!$C:$C,ROW()),CHAR(160)," "))&amp;" | "&amp;TRIM(SUBSTITUTE(INDEX(Charge!$D:$D,ROW()),CHAR(160)," ")),"~","-"),"*","+"),"?","!"),240),"")</f>
        <v/>
      </c>
      <c r="FG120">
        <f>IF(B120=1,MAX(0,N(INDEX(Charge!$M:$M,ROW()))),0)</f>
        <v>0</v>
      </c>
      <c r="FH120" s="170" t="str">
        <f>IF(EO120=1,ROUND(SUMIF($FF$4:$FF$503,EN120,$FG$4:$FG$503),2),"")</f>
        <v/>
      </c>
      <c r="FI120" s="170" t="str">
        <f>IF(EO120=1,ROUND(SUMPRODUCT(($FF$4:$FF$503=EN120)*$FG$4:$FG$503*$C$4:$C$503),2),"")</f>
        <v/>
      </c>
      <c r="FJ120" s="170" t="str">
        <f>IF(EO120=1,MAX(0,ROUND(FH120-FI120,2)),"")</f>
        <v/>
      </c>
      <c r="FK120" s="174" t="str">
        <f>IF(EO120=1,IF(OR(EW120&gt;=2958465,EY120=0,EY120&lt;=EW120),"",IF(TODAY()&lt;=EW120,0,IF(TODAY()&gt;EY120,1,IFERROR(NETWORKDAYS(EW120,TODAY()-1,Data!$K$4:$K$203)/NETWORKDAYS(EW120,EY120,Data!$K$4:$K$203),"")))),"")</f>
        <v/>
      </c>
      <c r="FL120" t="str">
        <f>IF(EO120=1,IF(AND(EY120&gt;0,EY120&lt;TODAY(),ROUND(EU120,4)&lt;1),2,IF(FK120="",0,IF(ROUND(EU120-FK120,4)&lt;-0.15,1,0))),"")</f>
        <v/>
      </c>
      <c r="FM120">
        <f>IF(OR(FA120="",COUNTIF($FA$4:FA119,FA120)&gt;0),0,MAX(0,IF(FB120="Interne",IF(ISNUMBER(INDEX(Data!$F:$F,120)),INDEX(Data!$F:$F,120),p_HeuresETP),IF(ISNUMBER(INDEX(Data!$I:$I,120-$CD$23)),INDEX(Data!$I:$I,120-$CD$23),p_HeuresETP))-IF(FB120="Interne",IF(ISNUMBER(INDEX(Data!$G:$G,120)),INDEX(Data!$G:$G,120),p_ChargeFixe),IF(ISNUMBER(INDEX(Data!$J:$J,120-$CD$23)),INDEX(Data!$J:$J,120-$CD$23),p_ChargeFixe))))</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9" t="str">
        <f>IF(AND(D121=1,ISNUMBER(INDEX(Charge!$N:$N,ROW()))),INDEX(Charge!$N:$N,ROW()),"")</f>
        <v/>
      </c>
      <c r="J121" s="169"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70">
        <f>IF(OR($I121="",$E121=0),0,IF(OR($J121&lt;W$3,$I121&gt;W$2),0,IF($K121=0,IF(AND($I121&gt;=W$3,$I121&lt;=W$2),$E121,0),$E121*NETWORKDAYS(MAX($I121,W$3),MIN($J121,W$2),Data!$K$4:$K$203)/$K121)))</f>
        <v>0</v>
      </c>
      <c r="X121" s="170">
        <f>IF(OR($I121="",$E121=0),0,IF(OR($J121&lt;X$3,$I121&gt;X$2),0,IF($K121=0,IF(AND($I121&gt;=X$3,$I121&lt;=X$2),$E121,0),$E121*NETWORKDAYS(MAX($I121,X$3),MIN($J121,X$2),Data!$K$4:$K$203)/$K121)))</f>
        <v>0</v>
      </c>
      <c r="Y121" s="170">
        <f>IF(OR($I121="",$E121=0),0,IF(OR($J121&lt;Y$3,$I121&gt;Y$2),0,IF($K121=0,IF(AND($I121&gt;=Y$3,$I121&lt;=Y$2),$E121,0),$E121*NETWORKDAYS(MAX($I121,Y$3),MIN($J121,Y$2),Data!$K$4:$K$203)/$K121)))</f>
        <v>0</v>
      </c>
      <c r="Z121" s="170">
        <f>IF(OR($I121="",$E121=0),0,IF(OR($J121&lt;Z$3,$I121&gt;Z$2),0,IF($K121=0,IF(AND($I121&gt;=Z$3,$I121&lt;=Z$2),$E121,0),$E121*NETWORKDAYS(MAX($I121,Z$3),MIN($J121,Z$2),Data!$K$4:$K$203)/$K121)))</f>
        <v>0</v>
      </c>
      <c r="AA121" s="170">
        <f>IF(OR($I121="",$E121=0),0,IF(OR($J121&lt;AA$3,$I121&gt;AA$2),0,IF($K121=0,IF(AND($I121&gt;=AA$3,$I121&lt;=AA$2),$E121,0),$E121*NETWORKDAYS(MAX($I121,AA$3),MIN($J121,AA$2),Data!$K$4:$K$203)/$K121)))</f>
        <v>0</v>
      </c>
      <c r="AB121" s="170">
        <f>IF(OR($I121="",$E121=0),0,IF(OR($J121&lt;AB$3,$I121&gt;AB$2),0,IF($K121=0,IF(AND($I121&gt;=AB$3,$I121&lt;=AB$2),$E121,0),$E121*NETWORKDAYS(MAX($I121,AB$3),MIN($J121,AB$2),Data!$K$4:$K$203)/$K121)))</f>
        <v>0</v>
      </c>
      <c r="AC121" s="170">
        <f>IF(OR($I121="",$E121=0),0,IF(OR($J121&lt;AC$3,$I121&gt;AC$2),0,IF($K121=0,IF(AND($I121&gt;=AC$3,$I121&lt;=AC$2),$E121,0),$E121*NETWORKDAYS(MAX($I121,AC$3),MIN($J121,AC$2),Data!$K$4:$K$203)/$K121)))</f>
        <v>0</v>
      </c>
      <c r="AD121" s="170">
        <f>IF(OR($I121="",$E121=0),0,IF(OR($J121&lt;AD$3,$I121&gt;AD$2),0,IF($K121=0,IF(AND($I121&gt;=AD$3,$I121&lt;=AD$2),$E121,0),$E121*NETWORKDAYS(MAX($I121,AD$3),MIN($J121,AD$2),Data!$K$4:$K$203)/$K121)))</f>
        <v>0</v>
      </c>
      <c r="AE121" s="170">
        <f>IF(OR($I121="",$E121=0),0,IF(OR($J121&lt;AE$3,$I121&gt;AE$2),0,IF($K121=0,IF(AND($I121&gt;=AE$3,$I121&lt;=AE$2),$E121,0),$E121*NETWORKDAYS(MAX($I121,AE$3),MIN($J121,AE$2),Data!$K$4:$K$203)/$K121)))</f>
        <v>0</v>
      </c>
      <c r="AF121" s="170">
        <f>IF(OR($I121="",$E121=0),0,IF(OR($J121&lt;AF$3,$I121&gt;AF$2),0,IF($K121=0,IF(AND($I121&gt;=AF$3,$I121&lt;=AF$2),$E121,0),$E121*NETWORKDAYS(MAX($I121,AF$3),MIN($J121,AF$2),Data!$K$4:$K$203)/$K121)))</f>
        <v>0</v>
      </c>
      <c r="AG121" s="170">
        <f>IF(OR($I121="",$E121=0),0,IF(OR($J121&lt;AG$3,$I121&gt;AG$2),0,IF($K121=0,IF(AND($I121&gt;=AG$3,$I121&lt;=AG$2),$E121,0),$E121*NETWORKDAYS(MAX($I121,AG$3),MIN($J121,AG$2),Data!$K$4:$K$203)/$K121)))</f>
        <v>0</v>
      </c>
      <c r="AH121" s="170">
        <f>IF(OR($I121="",$E121=0),0,IF(OR($J121&lt;AH$3,$I121&gt;AH$2),0,IF($K121=0,IF(AND($I121&gt;=AH$3,$I121&lt;=AH$2),$E121,0),$E121*NETWORKDAYS(MAX($I121,AH$3),MIN($J121,AH$2),Data!$K$4:$K$203)/$K121)))</f>
        <v>0</v>
      </c>
      <c r="AI121" s="170">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70"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4" t="str">
        <f>IF(EO121=1,IF(FH121&gt;0,FI121/FH121,AVERAGEIF($FF$4:$FF$503,EN121,$C$4:$C$503)),"")</f>
        <v/>
      </c>
      <c r="EV121" s="169">
        <f>IF(ISNUMBER(I121),I121,2958465)</f>
        <v>2958465.0</v>
      </c>
      <c r="EW121" s="169" t="str">
        <f>IF(EO121=1,SUMPRODUCT(MIN(($EN$4:$EN$503=EN121)*$EV$4:$EV$503+($EN$4:$EN$503&lt;&gt;EN121)*2958465)),"")</f>
        <v/>
      </c>
      <c r="EX121" s="169">
        <f>IF(AND(D121=1,ISNUMBER(INDEX(Charge!$F:$F,ROW()))),INDEX(Charge!$F:$F,ROW()),0)</f>
        <v>0.0</v>
      </c>
      <c r="EY121" s="169"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c r="FF121" t="str">
        <f>IF(B121=1,LEFT(SUBSTITUTE(SUBSTITUTE(SUBSTITUTE(TRIM(SUBSTITUTE(INDEX(Charge!$B:$B,ROW()),CHAR(160)," "))&amp;" | "&amp;TRIM(SUBSTITUTE(INDEX(Charge!$C:$C,ROW()),CHAR(160)," "))&amp;" | "&amp;TRIM(SUBSTITUTE(INDEX(Charge!$D:$D,ROW()),CHAR(160)," ")),"~","-"),"*","+"),"?","!"),240),"")</f>
        <v/>
      </c>
      <c r="FG121">
        <f>IF(B121=1,MAX(0,N(INDEX(Charge!$M:$M,ROW()))),0)</f>
        <v>0</v>
      </c>
      <c r="FH121" s="170" t="str">
        <f>IF(EO121=1,ROUND(SUMIF($FF$4:$FF$503,EN121,$FG$4:$FG$503),2),"")</f>
        <v/>
      </c>
      <c r="FI121" s="170" t="str">
        <f>IF(EO121=1,ROUND(SUMPRODUCT(($FF$4:$FF$503=EN121)*$FG$4:$FG$503*$C$4:$C$503),2),"")</f>
        <v/>
      </c>
      <c r="FJ121" s="170" t="str">
        <f>IF(EO121=1,MAX(0,ROUND(FH121-FI121,2)),"")</f>
        <v/>
      </c>
      <c r="FK121" s="174" t="str">
        <f>IF(EO121=1,IF(OR(EW121&gt;=2958465,EY121=0,EY121&lt;=EW121),"",IF(TODAY()&lt;=EW121,0,IF(TODAY()&gt;EY121,1,IFERROR(NETWORKDAYS(EW121,TODAY()-1,Data!$K$4:$K$203)/NETWORKDAYS(EW121,EY121,Data!$K$4:$K$203),"")))),"")</f>
        <v/>
      </c>
      <c r="FL121" t="str">
        <f>IF(EO121=1,IF(AND(EY121&gt;0,EY121&lt;TODAY(),ROUND(EU121,4)&lt;1),2,IF(FK121="",0,IF(ROUND(EU121-FK121,4)&lt;-0.15,1,0))),"")</f>
        <v/>
      </c>
      <c r="FM121">
        <f>IF(OR(FA121="",COUNTIF($FA$4:FA120,FA121)&gt;0),0,MAX(0,IF(FB121="Interne",IF(ISNUMBER(INDEX(Data!$F:$F,121)),INDEX(Data!$F:$F,121),p_HeuresETP),IF(ISNUMBER(INDEX(Data!$I:$I,121-$CD$23)),INDEX(Data!$I:$I,121-$CD$23),p_HeuresETP))-IF(FB121="Interne",IF(ISNUMBER(INDEX(Data!$G:$G,121)),INDEX(Data!$G:$G,121),p_ChargeFixe),IF(ISNUMBER(INDEX(Data!$J:$J,121-$CD$23)),INDEX(Data!$J:$J,121-$CD$23),p_ChargeFixe))))</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9" t="str">
        <f>IF(AND(D122=1,ISNUMBER(INDEX(Charge!$N:$N,ROW()))),INDEX(Charge!$N:$N,ROW()),"")</f>
        <v/>
      </c>
      <c r="J122" s="169"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70">
        <f>IF(OR($I122="",$E122=0),0,IF(OR($J122&lt;W$3,$I122&gt;W$2),0,IF($K122=0,IF(AND($I122&gt;=W$3,$I122&lt;=W$2),$E122,0),$E122*NETWORKDAYS(MAX($I122,W$3),MIN($J122,W$2),Data!$K$4:$K$203)/$K122)))</f>
        <v>0</v>
      </c>
      <c r="X122" s="170">
        <f>IF(OR($I122="",$E122=0),0,IF(OR($J122&lt;X$3,$I122&gt;X$2),0,IF($K122=0,IF(AND($I122&gt;=X$3,$I122&lt;=X$2),$E122,0),$E122*NETWORKDAYS(MAX($I122,X$3),MIN($J122,X$2),Data!$K$4:$K$203)/$K122)))</f>
        <v>0</v>
      </c>
      <c r="Y122" s="170">
        <f>IF(OR($I122="",$E122=0),0,IF(OR($J122&lt;Y$3,$I122&gt;Y$2),0,IF($K122=0,IF(AND($I122&gt;=Y$3,$I122&lt;=Y$2),$E122,0),$E122*NETWORKDAYS(MAX($I122,Y$3),MIN($J122,Y$2),Data!$K$4:$K$203)/$K122)))</f>
        <v>0</v>
      </c>
      <c r="Z122" s="170">
        <f>IF(OR($I122="",$E122=0),0,IF(OR($J122&lt;Z$3,$I122&gt;Z$2),0,IF($K122=0,IF(AND($I122&gt;=Z$3,$I122&lt;=Z$2),$E122,0),$E122*NETWORKDAYS(MAX($I122,Z$3),MIN($J122,Z$2),Data!$K$4:$K$203)/$K122)))</f>
        <v>0</v>
      </c>
      <c r="AA122" s="170">
        <f>IF(OR($I122="",$E122=0),0,IF(OR($J122&lt;AA$3,$I122&gt;AA$2),0,IF($K122=0,IF(AND($I122&gt;=AA$3,$I122&lt;=AA$2),$E122,0),$E122*NETWORKDAYS(MAX($I122,AA$3),MIN($J122,AA$2),Data!$K$4:$K$203)/$K122)))</f>
        <v>0</v>
      </c>
      <c r="AB122" s="170">
        <f>IF(OR($I122="",$E122=0),0,IF(OR($J122&lt;AB$3,$I122&gt;AB$2),0,IF($K122=0,IF(AND($I122&gt;=AB$3,$I122&lt;=AB$2),$E122,0),$E122*NETWORKDAYS(MAX($I122,AB$3),MIN($J122,AB$2),Data!$K$4:$K$203)/$K122)))</f>
        <v>0</v>
      </c>
      <c r="AC122" s="170">
        <f>IF(OR($I122="",$E122=0),0,IF(OR($J122&lt;AC$3,$I122&gt;AC$2),0,IF($K122=0,IF(AND($I122&gt;=AC$3,$I122&lt;=AC$2),$E122,0),$E122*NETWORKDAYS(MAX($I122,AC$3),MIN($J122,AC$2),Data!$K$4:$K$203)/$K122)))</f>
        <v>0</v>
      </c>
      <c r="AD122" s="170">
        <f>IF(OR($I122="",$E122=0),0,IF(OR($J122&lt;AD$3,$I122&gt;AD$2),0,IF($K122=0,IF(AND($I122&gt;=AD$3,$I122&lt;=AD$2),$E122,0),$E122*NETWORKDAYS(MAX($I122,AD$3),MIN($J122,AD$2),Data!$K$4:$K$203)/$K122)))</f>
        <v>0</v>
      </c>
      <c r="AE122" s="170">
        <f>IF(OR($I122="",$E122=0),0,IF(OR($J122&lt;AE$3,$I122&gt;AE$2),0,IF($K122=0,IF(AND($I122&gt;=AE$3,$I122&lt;=AE$2),$E122,0),$E122*NETWORKDAYS(MAX($I122,AE$3),MIN($J122,AE$2),Data!$K$4:$K$203)/$K122)))</f>
        <v>0</v>
      </c>
      <c r="AF122" s="170">
        <f>IF(OR($I122="",$E122=0),0,IF(OR($J122&lt;AF$3,$I122&gt;AF$2),0,IF($K122=0,IF(AND($I122&gt;=AF$3,$I122&lt;=AF$2),$E122,0),$E122*NETWORKDAYS(MAX($I122,AF$3),MIN($J122,AF$2),Data!$K$4:$K$203)/$K122)))</f>
        <v>0</v>
      </c>
      <c r="AG122" s="170">
        <f>IF(OR($I122="",$E122=0),0,IF(OR($J122&lt;AG$3,$I122&gt;AG$2),0,IF($K122=0,IF(AND($I122&gt;=AG$3,$I122&lt;=AG$2),$E122,0),$E122*NETWORKDAYS(MAX($I122,AG$3),MIN($J122,AG$2),Data!$K$4:$K$203)/$K122)))</f>
        <v>0</v>
      </c>
      <c r="AH122" s="170">
        <f>IF(OR($I122="",$E122=0),0,IF(OR($J122&lt;AH$3,$I122&gt;AH$2),0,IF($K122=0,IF(AND($I122&gt;=AH$3,$I122&lt;=AH$2),$E122,0),$E122*NETWORKDAYS(MAX($I122,AH$3),MIN($J122,AH$2),Data!$K$4:$K$203)/$K122)))</f>
        <v>0</v>
      </c>
      <c r="AI122" s="170">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70"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4" t="str">
        <f>IF(EO122=1,IF(FH122&gt;0,FI122/FH122,AVERAGEIF($FF$4:$FF$503,EN122,$C$4:$C$503)),"")</f>
        <v/>
      </c>
      <c r="EV122" s="169">
        <f>IF(ISNUMBER(I122),I122,2958465)</f>
        <v>2958465.0</v>
      </c>
      <c r="EW122" s="169" t="str">
        <f>IF(EO122=1,SUMPRODUCT(MIN(($EN$4:$EN$503=EN122)*$EV$4:$EV$503+($EN$4:$EN$503&lt;&gt;EN122)*2958465)),"")</f>
        <v/>
      </c>
      <c r="EX122" s="169">
        <f>IF(AND(D122=1,ISNUMBER(INDEX(Charge!$F:$F,ROW()))),INDEX(Charge!$F:$F,ROW()),0)</f>
        <v>0.0</v>
      </c>
      <c r="EY122" s="169"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c r="FF122" t="str">
        <f>IF(B122=1,LEFT(SUBSTITUTE(SUBSTITUTE(SUBSTITUTE(TRIM(SUBSTITUTE(INDEX(Charge!$B:$B,ROW()),CHAR(160)," "))&amp;" | "&amp;TRIM(SUBSTITUTE(INDEX(Charge!$C:$C,ROW()),CHAR(160)," "))&amp;" | "&amp;TRIM(SUBSTITUTE(INDEX(Charge!$D:$D,ROW()),CHAR(160)," ")),"~","-"),"*","+"),"?","!"),240),"")</f>
        <v/>
      </c>
      <c r="FG122">
        <f>IF(B122=1,MAX(0,N(INDEX(Charge!$M:$M,ROW()))),0)</f>
        <v>0</v>
      </c>
      <c r="FH122" s="170" t="str">
        <f>IF(EO122=1,ROUND(SUMIF($FF$4:$FF$503,EN122,$FG$4:$FG$503),2),"")</f>
        <v/>
      </c>
      <c r="FI122" s="170" t="str">
        <f>IF(EO122=1,ROUND(SUMPRODUCT(($FF$4:$FF$503=EN122)*$FG$4:$FG$503*$C$4:$C$503),2),"")</f>
        <v/>
      </c>
      <c r="FJ122" s="170" t="str">
        <f>IF(EO122=1,MAX(0,ROUND(FH122-FI122,2)),"")</f>
        <v/>
      </c>
      <c r="FK122" s="174" t="str">
        <f>IF(EO122=1,IF(OR(EW122&gt;=2958465,EY122=0,EY122&lt;=EW122),"",IF(TODAY()&lt;=EW122,0,IF(TODAY()&gt;EY122,1,IFERROR(NETWORKDAYS(EW122,TODAY()-1,Data!$K$4:$K$203)/NETWORKDAYS(EW122,EY122,Data!$K$4:$K$203),"")))),"")</f>
        <v/>
      </c>
      <c r="FL122" t="str">
        <f>IF(EO122=1,IF(AND(EY122&gt;0,EY122&lt;TODAY(),ROUND(EU122,4)&lt;1),2,IF(FK122="",0,IF(ROUND(EU122-FK122,4)&lt;-0.15,1,0))),"")</f>
        <v/>
      </c>
      <c r="FM122">
        <f>IF(OR(FA122="",COUNTIF($FA$4:FA121,FA122)&gt;0),0,MAX(0,IF(FB122="Interne",IF(ISNUMBER(INDEX(Data!$F:$F,122)),INDEX(Data!$F:$F,122),p_HeuresETP),IF(ISNUMBER(INDEX(Data!$I:$I,122-$CD$23)),INDEX(Data!$I:$I,122-$CD$23),p_HeuresETP))-IF(FB122="Interne",IF(ISNUMBER(INDEX(Data!$G:$G,122)),INDEX(Data!$G:$G,122),p_ChargeFixe),IF(ISNUMBER(INDEX(Data!$J:$J,122-$CD$23)),INDEX(Data!$J:$J,122-$CD$23),p_ChargeFixe))))</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9" t="str">
        <f>IF(AND(D123=1,ISNUMBER(INDEX(Charge!$N:$N,ROW()))),INDEX(Charge!$N:$N,ROW()),"")</f>
        <v/>
      </c>
      <c r="J123" s="169"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70">
        <f>IF(OR($I123="",$E123=0),0,IF(OR($J123&lt;W$3,$I123&gt;W$2),0,IF($K123=0,IF(AND($I123&gt;=W$3,$I123&lt;=W$2),$E123,0),$E123*NETWORKDAYS(MAX($I123,W$3),MIN($J123,W$2),Data!$K$4:$K$203)/$K123)))</f>
        <v>0</v>
      </c>
      <c r="X123" s="170">
        <f>IF(OR($I123="",$E123=0),0,IF(OR($J123&lt;X$3,$I123&gt;X$2),0,IF($K123=0,IF(AND($I123&gt;=X$3,$I123&lt;=X$2),$E123,0),$E123*NETWORKDAYS(MAX($I123,X$3),MIN($J123,X$2),Data!$K$4:$K$203)/$K123)))</f>
        <v>0</v>
      </c>
      <c r="Y123" s="170">
        <f>IF(OR($I123="",$E123=0),0,IF(OR($J123&lt;Y$3,$I123&gt;Y$2),0,IF($K123=0,IF(AND($I123&gt;=Y$3,$I123&lt;=Y$2),$E123,0),$E123*NETWORKDAYS(MAX($I123,Y$3),MIN($J123,Y$2),Data!$K$4:$K$203)/$K123)))</f>
        <v>0</v>
      </c>
      <c r="Z123" s="170">
        <f>IF(OR($I123="",$E123=0),0,IF(OR($J123&lt;Z$3,$I123&gt;Z$2),0,IF($K123=0,IF(AND($I123&gt;=Z$3,$I123&lt;=Z$2),$E123,0),$E123*NETWORKDAYS(MAX($I123,Z$3),MIN($J123,Z$2),Data!$K$4:$K$203)/$K123)))</f>
        <v>0</v>
      </c>
      <c r="AA123" s="170">
        <f>IF(OR($I123="",$E123=0),0,IF(OR($J123&lt;AA$3,$I123&gt;AA$2),0,IF($K123=0,IF(AND($I123&gt;=AA$3,$I123&lt;=AA$2),$E123,0),$E123*NETWORKDAYS(MAX($I123,AA$3),MIN($J123,AA$2),Data!$K$4:$K$203)/$K123)))</f>
        <v>0</v>
      </c>
      <c r="AB123" s="170">
        <f>IF(OR($I123="",$E123=0),0,IF(OR($J123&lt;AB$3,$I123&gt;AB$2),0,IF($K123=0,IF(AND($I123&gt;=AB$3,$I123&lt;=AB$2),$E123,0),$E123*NETWORKDAYS(MAX($I123,AB$3),MIN($J123,AB$2),Data!$K$4:$K$203)/$K123)))</f>
        <v>0</v>
      </c>
      <c r="AC123" s="170">
        <f>IF(OR($I123="",$E123=0),0,IF(OR($J123&lt;AC$3,$I123&gt;AC$2),0,IF($K123=0,IF(AND($I123&gt;=AC$3,$I123&lt;=AC$2),$E123,0),$E123*NETWORKDAYS(MAX($I123,AC$3),MIN($J123,AC$2),Data!$K$4:$K$203)/$K123)))</f>
        <v>0</v>
      </c>
      <c r="AD123" s="170">
        <f>IF(OR($I123="",$E123=0),0,IF(OR($J123&lt;AD$3,$I123&gt;AD$2),0,IF($K123=0,IF(AND($I123&gt;=AD$3,$I123&lt;=AD$2),$E123,0),$E123*NETWORKDAYS(MAX($I123,AD$3),MIN($J123,AD$2),Data!$K$4:$K$203)/$K123)))</f>
        <v>0</v>
      </c>
      <c r="AE123" s="170">
        <f>IF(OR($I123="",$E123=0),0,IF(OR($J123&lt;AE$3,$I123&gt;AE$2),0,IF($K123=0,IF(AND($I123&gt;=AE$3,$I123&lt;=AE$2),$E123,0),$E123*NETWORKDAYS(MAX($I123,AE$3),MIN($J123,AE$2),Data!$K$4:$K$203)/$K123)))</f>
        <v>0</v>
      </c>
      <c r="AF123" s="170">
        <f>IF(OR($I123="",$E123=0),0,IF(OR($J123&lt;AF$3,$I123&gt;AF$2),0,IF($K123=0,IF(AND($I123&gt;=AF$3,$I123&lt;=AF$2),$E123,0),$E123*NETWORKDAYS(MAX($I123,AF$3),MIN($J123,AF$2),Data!$K$4:$K$203)/$K123)))</f>
        <v>0</v>
      </c>
      <c r="AG123" s="170">
        <f>IF(OR($I123="",$E123=0),0,IF(OR($J123&lt;AG$3,$I123&gt;AG$2),0,IF($K123=0,IF(AND($I123&gt;=AG$3,$I123&lt;=AG$2),$E123,0),$E123*NETWORKDAYS(MAX($I123,AG$3),MIN($J123,AG$2),Data!$K$4:$K$203)/$K123)))</f>
        <v>0</v>
      </c>
      <c r="AH123" s="170">
        <f>IF(OR($I123="",$E123=0),0,IF(OR($J123&lt;AH$3,$I123&gt;AH$2),0,IF($K123=0,IF(AND($I123&gt;=AH$3,$I123&lt;=AH$2),$E123,0),$E123*NETWORKDAYS(MAX($I123,AH$3),MIN($J123,AH$2),Data!$K$4:$K$203)/$K123)))</f>
        <v>0</v>
      </c>
      <c r="AI123" s="170">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70"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4" t="str">
        <f>IF(EO123=1,IF(FH123&gt;0,FI123/FH123,AVERAGEIF($FF$4:$FF$503,EN123,$C$4:$C$503)),"")</f>
        <v/>
      </c>
      <c r="EV123" s="169">
        <f>IF(ISNUMBER(I123),I123,2958465)</f>
        <v>2958465.0</v>
      </c>
      <c r="EW123" s="169" t="str">
        <f>IF(EO123=1,SUMPRODUCT(MIN(($EN$4:$EN$503=EN123)*$EV$4:$EV$503+($EN$4:$EN$503&lt;&gt;EN123)*2958465)),"")</f>
        <v/>
      </c>
      <c r="EX123" s="169">
        <f>IF(AND(D123=1,ISNUMBER(INDEX(Charge!$F:$F,ROW()))),INDEX(Charge!$F:$F,ROW()),0)</f>
        <v>0.0</v>
      </c>
      <c r="EY123" s="169"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c r="FF123" t="str">
        <f>IF(B123=1,LEFT(SUBSTITUTE(SUBSTITUTE(SUBSTITUTE(TRIM(SUBSTITUTE(INDEX(Charge!$B:$B,ROW()),CHAR(160)," "))&amp;" | "&amp;TRIM(SUBSTITUTE(INDEX(Charge!$C:$C,ROW()),CHAR(160)," "))&amp;" | "&amp;TRIM(SUBSTITUTE(INDEX(Charge!$D:$D,ROW()),CHAR(160)," ")),"~","-"),"*","+"),"?","!"),240),"")</f>
        <v/>
      </c>
      <c r="FG123">
        <f>IF(B123=1,MAX(0,N(INDEX(Charge!$M:$M,ROW()))),0)</f>
        <v>0</v>
      </c>
      <c r="FH123" s="170" t="str">
        <f>IF(EO123=1,ROUND(SUMIF($FF$4:$FF$503,EN123,$FG$4:$FG$503),2),"")</f>
        <v/>
      </c>
      <c r="FI123" s="170" t="str">
        <f>IF(EO123=1,ROUND(SUMPRODUCT(($FF$4:$FF$503=EN123)*$FG$4:$FG$503*$C$4:$C$503),2),"")</f>
        <v/>
      </c>
      <c r="FJ123" s="170" t="str">
        <f>IF(EO123=1,MAX(0,ROUND(FH123-FI123,2)),"")</f>
        <v/>
      </c>
      <c r="FK123" s="174" t="str">
        <f>IF(EO123=1,IF(OR(EW123&gt;=2958465,EY123=0,EY123&lt;=EW123),"",IF(TODAY()&lt;=EW123,0,IF(TODAY()&gt;EY123,1,IFERROR(NETWORKDAYS(EW123,TODAY()-1,Data!$K$4:$K$203)/NETWORKDAYS(EW123,EY123,Data!$K$4:$K$203),"")))),"")</f>
        <v/>
      </c>
      <c r="FL123" t="str">
        <f>IF(EO123=1,IF(AND(EY123&gt;0,EY123&lt;TODAY(),ROUND(EU123,4)&lt;1),2,IF(FK123="",0,IF(ROUND(EU123-FK123,4)&lt;-0.15,1,0))),"")</f>
        <v/>
      </c>
      <c r="FM123">
        <f>IF(OR(FA123="",COUNTIF($FA$4:FA122,FA123)&gt;0),0,MAX(0,IF(FB123="Interne",IF(ISNUMBER(INDEX(Data!$F:$F,123)),INDEX(Data!$F:$F,123),p_HeuresETP),IF(ISNUMBER(INDEX(Data!$I:$I,123-$CD$23)),INDEX(Data!$I:$I,123-$CD$23),p_HeuresETP))-IF(FB123="Interne",IF(ISNUMBER(INDEX(Data!$G:$G,123)),INDEX(Data!$G:$G,123),p_ChargeFixe),IF(ISNUMBER(INDEX(Data!$J:$J,123-$CD$23)),INDEX(Data!$J:$J,123-$CD$23),p_ChargeFixe))))</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9" t="str">
        <f>IF(AND(D124=1,ISNUMBER(INDEX(Charge!$N:$N,ROW()))),INDEX(Charge!$N:$N,ROW()),"")</f>
        <v/>
      </c>
      <c r="J124" s="169"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70">
        <f>IF(OR($I124="",$E124=0),0,IF(OR($J124&lt;W$3,$I124&gt;W$2),0,IF($K124=0,IF(AND($I124&gt;=W$3,$I124&lt;=W$2),$E124,0),$E124*NETWORKDAYS(MAX($I124,W$3),MIN($J124,W$2),Data!$K$4:$K$203)/$K124)))</f>
        <v>0</v>
      </c>
      <c r="X124" s="170">
        <f>IF(OR($I124="",$E124=0),0,IF(OR($J124&lt;X$3,$I124&gt;X$2),0,IF($K124=0,IF(AND($I124&gt;=X$3,$I124&lt;=X$2),$E124,0),$E124*NETWORKDAYS(MAX($I124,X$3),MIN($J124,X$2),Data!$K$4:$K$203)/$K124)))</f>
        <v>0</v>
      </c>
      <c r="Y124" s="170">
        <f>IF(OR($I124="",$E124=0),0,IF(OR($J124&lt;Y$3,$I124&gt;Y$2),0,IF($K124=0,IF(AND($I124&gt;=Y$3,$I124&lt;=Y$2),$E124,0),$E124*NETWORKDAYS(MAX($I124,Y$3),MIN($J124,Y$2),Data!$K$4:$K$203)/$K124)))</f>
        <v>0</v>
      </c>
      <c r="Z124" s="170">
        <f>IF(OR($I124="",$E124=0),0,IF(OR($J124&lt;Z$3,$I124&gt;Z$2),0,IF($K124=0,IF(AND($I124&gt;=Z$3,$I124&lt;=Z$2),$E124,0),$E124*NETWORKDAYS(MAX($I124,Z$3),MIN($J124,Z$2),Data!$K$4:$K$203)/$K124)))</f>
        <v>0</v>
      </c>
      <c r="AA124" s="170">
        <f>IF(OR($I124="",$E124=0),0,IF(OR($J124&lt;AA$3,$I124&gt;AA$2),0,IF($K124=0,IF(AND($I124&gt;=AA$3,$I124&lt;=AA$2),$E124,0),$E124*NETWORKDAYS(MAX($I124,AA$3),MIN($J124,AA$2),Data!$K$4:$K$203)/$K124)))</f>
        <v>0</v>
      </c>
      <c r="AB124" s="170">
        <f>IF(OR($I124="",$E124=0),0,IF(OR($J124&lt;AB$3,$I124&gt;AB$2),0,IF($K124=0,IF(AND($I124&gt;=AB$3,$I124&lt;=AB$2),$E124,0),$E124*NETWORKDAYS(MAX($I124,AB$3),MIN($J124,AB$2),Data!$K$4:$K$203)/$K124)))</f>
        <v>0</v>
      </c>
      <c r="AC124" s="170">
        <f>IF(OR($I124="",$E124=0),0,IF(OR($J124&lt;AC$3,$I124&gt;AC$2),0,IF($K124=0,IF(AND($I124&gt;=AC$3,$I124&lt;=AC$2),$E124,0),$E124*NETWORKDAYS(MAX($I124,AC$3),MIN($J124,AC$2),Data!$K$4:$K$203)/$K124)))</f>
        <v>0</v>
      </c>
      <c r="AD124" s="170">
        <f>IF(OR($I124="",$E124=0),0,IF(OR($J124&lt;AD$3,$I124&gt;AD$2),0,IF($K124=0,IF(AND($I124&gt;=AD$3,$I124&lt;=AD$2),$E124,0),$E124*NETWORKDAYS(MAX($I124,AD$3),MIN($J124,AD$2),Data!$K$4:$K$203)/$K124)))</f>
        <v>0</v>
      </c>
      <c r="AE124" s="170">
        <f>IF(OR($I124="",$E124=0),0,IF(OR($J124&lt;AE$3,$I124&gt;AE$2),0,IF($K124=0,IF(AND($I124&gt;=AE$3,$I124&lt;=AE$2),$E124,0),$E124*NETWORKDAYS(MAX($I124,AE$3),MIN($J124,AE$2),Data!$K$4:$K$203)/$K124)))</f>
        <v>0</v>
      </c>
      <c r="AF124" s="170">
        <f>IF(OR($I124="",$E124=0),0,IF(OR($J124&lt;AF$3,$I124&gt;AF$2),0,IF($K124=0,IF(AND($I124&gt;=AF$3,$I124&lt;=AF$2),$E124,0),$E124*NETWORKDAYS(MAX($I124,AF$3),MIN($J124,AF$2),Data!$K$4:$K$203)/$K124)))</f>
        <v>0</v>
      </c>
      <c r="AG124" s="170">
        <f>IF(OR($I124="",$E124=0),0,IF(OR($J124&lt;AG$3,$I124&gt;AG$2),0,IF($K124=0,IF(AND($I124&gt;=AG$3,$I124&lt;=AG$2),$E124,0),$E124*NETWORKDAYS(MAX($I124,AG$3),MIN($J124,AG$2),Data!$K$4:$K$203)/$K124)))</f>
        <v>0</v>
      </c>
      <c r="AH124" s="170">
        <f>IF(OR($I124="",$E124=0),0,IF(OR($J124&lt;AH$3,$I124&gt;AH$2),0,IF($K124=0,IF(AND($I124&gt;=AH$3,$I124&lt;=AH$2),$E124,0),$E124*NETWORKDAYS(MAX($I124,AH$3),MIN($J124,AH$2),Data!$K$4:$K$203)/$K124)))</f>
        <v>0</v>
      </c>
      <c r="AI124" s="170">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70"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4" t="str">
        <f>IF(EO124=1,IF(FH124&gt;0,FI124/FH124,AVERAGEIF($FF$4:$FF$503,EN124,$C$4:$C$503)),"")</f>
        <v/>
      </c>
      <c r="EV124" s="169">
        <f>IF(ISNUMBER(I124),I124,2958465)</f>
        <v>2958465.0</v>
      </c>
      <c r="EW124" s="169" t="str">
        <f>IF(EO124=1,SUMPRODUCT(MIN(($EN$4:$EN$503=EN124)*$EV$4:$EV$503+($EN$4:$EN$503&lt;&gt;EN124)*2958465)),"")</f>
        <v/>
      </c>
      <c r="EX124" s="169">
        <f>IF(AND(D124=1,ISNUMBER(INDEX(Charge!$F:$F,ROW()))),INDEX(Charge!$F:$F,ROW()),0)</f>
        <v>0.0</v>
      </c>
      <c r="EY124" s="169"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c r="FF124" t="str">
        <f>IF(B124=1,LEFT(SUBSTITUTE(SUBSTITUTE(SUBSTITUTE(TRIM(SUBSTITUTE(INDEX(Charge!$B:$B,ROW()),CHAR(160)," "))&amp;" | "&amp;TRIM(SUBSTITUTE(INDEX(Charge!$C:$C,ROW()),CHAR(160)," "))&amp;" | "&amp;TRIM(SUBSTITUTE(INDEX(Charge!$D:$D,ROW()),CHAR(160)," ")),"~","-"),"*","+"),"?","!"),240),"")</f>
        <v/>
      </c>
      <c r="FG124">
        <f>IF(B124=1,MAX(0,N(INDEX(Charge!$M:$M,ROW()))),0)</f>
        <v>0</v>
      </c>
      <c r="FH124" s="170" t="str">
        <f>IF(EO124=1,ROUND(SUMIF($FF$4:$FF$503,EN124,$FG$4:$FG$503),2),"")</f>
        <v/>
      </c>
      <c r="FI124" s="170" t="str">
        <f>IF(EO124=1,ROUND(SUMPRODUCT(($FF$4:$FF$503=EN124)*$FG$4:$FG$503*$C$4:$C$503),2),"")</f>
        <v/>
      </c>
      <c r="FJ124" s="170" t="str">
        <f>IF(EO124=1,MAX(0,ROUND(FH124-FI124,2)),"")</f>
        <v/>
      </c>
      <c r="FK124" s="174" t="str">
        <f>IF(EO124=1,IF(OR(EW124&gt;=2958465,EY124=0,EY124&lt;=EW124),"",IF(TODAY()&lt;=EW124,0,IF(TODAY()&gt;EY124,1,IFERROR(NETWORKDAYS(EW124,TODAY()-1,Data!$K$4:$K$203)/NETWORKDAYS(EW124,EY124,Data!$K$4:$K$203),"")))),"")</f>
        <v/>
      </c>
      <c r="FL124" t="str">
        <f>IF(EO124=1,IF(AND(EY124&gt;0,EY124&lt;TODAY(),ROUND(EU124,4)&lt;1),2,IF(FK124="",0,IF(ROUND(EU124-FK124,4)&lt;-0.15,1,0))),"")</f>
        <v/>
      </c>
      <c r="FM124">
        <f>IF(OR(FA124="",COUNTIF($FA$4:FA123,FA124)&gt;0),0,MAX(0,IF(FB124="Interne",IF(ISNUMBER(INDEX(Data!$F:$F,124)),INDEX(Data!$F:$F,124),p_HeuresETP),IF(ISNUMBER(INDEX(Data!$I:$I,124-$CD$23)),INDEX(Data!$I:$I,124-$CD$23),p_HeuresETP))-IF(FB124="Interne",IF(ISNUMBER(INDEX(Data!$G:$G,124)),INDEX(Data!$G:$G,124),p_ChargeFixe),IF(ISNUMBER(INDEX(Data!$J:$J,124-$CD$23)),INDEX(Data!$J:$J,124-$CD$23),p_ChargeFixe))))</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9" t="str">
        <f>IF(AND(D125=1,ISNUMBER(INDEX(Charge!$N:$N,ROW()))),INDEX(Charge!$N:$N,ROW()),"")</f>
        <v/>
      </c>
      <c r="J125" s="169"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70">
        <f>IF(OR($I125="",$E125=0),0,IF(OR($J125&lt;W$3,$I125&gt;W$2),0,IF($K125=0,IF(AND($I125&gt;=W$3,$I125&lt;=W$2),$E125,0),$E125*NETWORKDAYS(MAX($I125,W$3),MIN($J125,W$2),Data!$K$4:$K$203)/$K125)))</f>
        <v>0</v>
      </c>
      <c r="X125" s="170">
        <f>IF(OR($I125="",$E125=0),0,IF(OR($J125&lt;X$3,$I125&gt;X$2),0,IF($K125=0,IF(AND($I125&gt;=X$3,$I125&lt;=X$2),$E125,0),$E125*NETWORKDAYS(MAX($I125,X$3),MIN($J125,X$2),Data!$K$4:$K$203)/$K125)))</f>
        <v>0</v>
      </c>
      <c r="Y125" s="170">
        <f>IF(OR($I125="",$E125=0),0,IF(OR($J125&lt;Y$3,$I125&gt;Y$2),0,IF($K125=0,IF(AND($I125&gt;=Y$3,$I125&lt;=Y$2),$E125,0),$E125*NETWORKDAYS(MAX($I125,Y$3),MIN($J125,Y$2),Data!$K$4:$K$203)/$K125)))</f>
        <v>0</v>
      </c>
      <c r="Z125" s="170">
        <f>IF(OR($I125="",$E125=0),0,IF(OR($J125&lt;Z$3,$I125&gt;Z$2),0,IF($K125=0,IF(AND($I125&gt;=Z$3,$I125&lt;=Z$2),$E125,0),$E125*NETWORKDAYS(MAX($I125,Z$3),MIN($J125,Z$2),Data!$K$4:$K$203)/$K125)))</f>
        <v>0</v>
      </c>
      <c r="AA125" s="170">
        <f>IF(OR($I125="",$E125=0),0,IF(OR($J125&lt;AA$3,$I125&gt;AA$2),0,IF($K125=0,IF(AND($I125&gt;=AA$3,$I125&lt;=AA$2),$E125,0),$E125*NETWORKDAYS(MAX($I125,AA$3),MIN($J125,AA$2),Data!$K$4:$K$203)/$K125)))</f>
        <v>0</v>
      </c>
      <c r="AB125" s="170">
        <f>IF(OR($I125="",$E125=0),0,IF(OR($J125&lt;AB$3,$I125&gt;AB$2),0,IF($K125=0,IF(AND($I125&gt;=AB$3,$I125&lt;=AB$2),$E125,0),$E125*NETWORKDAYS(MAX($I125,AB$3),MIN($J125,AB$2),Data!$K$4:$K$203)/$K125)))</f>
        <v>0</v>
      </c>
      <c r="AC125" s="170">
        <f>IF(OR($I125="",$E125=0),0,IF(OR($J125&lt;AC$3,$I125&gt;AC$2),0,IF($K125=0,IF(AND($I125&gt;=AC$3,$I125&lt;=AC$2),$E125,0),$E125*NETWORKDAYS(MAX($I125,AC$3),MIN($J125,AC$2),Data!$K$4:$K$203)/$K125)))</f>
        <v>0</v>
      </c>
      <c r="AD125" s="170">
        <f>IF(OR($I125="",$E125=0),0,IF(OR($J125&lt;AD$3,$I125&gt;AD$2),0,IF($K125=0,IF(AND($I125&gt;=AD$3,$I125&lt;=AD$2),$E125,0),$E125*NETWORKDAYS(MAX($I125,AD$3),MIN($J125,AD$2),Data!$K$4:$K$203)/$K125)))</f>
        <v>0</v>
      </c>
      <c r="AE125" s="170">
        <f>IF(OR($I125="",$E125=0),0,IF(OR($J125&lt;AE$3,$I125&gt;AE$2),0,IF($K125=0,IF(AND($I125&gt;=AE$3,$I125&lt;=AE$2),$E125,0),$E125*NETWORKDAYS(MAX($I125,AE$3),MIN($J125,AE$2),Data!$K$4:$K$203)/$K125)))</f>
        <v>0</v>
      </c>
      <c r="AF125" s="170">
        <f>IF(OR($I125="",$E125=0),0,IF(OR($J125&lt;AF$3,$I125&gt;AF$2),0,IF($K125=0,IF(AND($I125&gt;=AF$3,$I125&lt;=AF$2),$E125,0),$E125*NETWORKDAYS(MAX($I125,AF$3),MIN($J125,AF$2),Data!$K$4:$K$203)/$K125)))</f>
        <v>0</v>
      </c>
      <c r="AG125" s="170">
        <f>IF(OR($I125="",$E125=0),0,IF(OR($J125&lt;AG$3,$I125&gt;AG$2),0,IF($K125=0,IF(AND($I125&gt;=AG$3,$I125&lt;=AG$2),$E125,0),$E125*NETWORKDAYS(MAX($I125,AG$3),MIN($J125,AG$2),Data!$K$4:$K$203)/$K125)))</f>
        <v>0</v>
      </c>
      <c r="AH125" s="170">
        <f>IF(OR($I125="",$E125=0),0,IF(OR($J125&lt;AH$3,$I125&gt;AH$2),0,IF($K125=0,IF(AND($I125&gt;=AH$3,$I125&lt;=AH$2),$E125,0),$E125*NETWORKDAYS(MAX($I125,AH$3),MIN($J125,AH$2),Data!$K$4:$K$203)/$K125)))</f>
        <v>0</v>
      </c>
      <c r="AI125" s="170">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70"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4" t="str">
        <f>IF(EO125=1,IF(FH125&gt;0,FI125/FH125,AVERAGEIF($FF$4:$FF$503,EN125,$C$4:$C$503)),"")</f>
        <v/>
      </c>
      <c r="EV125" s="169">
        <f>IF(ISNUMBER(I125),I125,2958465)</f>
        <v>2958465.0</v>
      </c>
      <c r="EW125" s="169" t="str">
        <f>IF(EO125=1,SUMPRODUCT(MIN(($EN$4:$EN$503=EN125)*$EV$4:$EV$503+($EN$4:$EN$503&lt;&gt;EN125)*2958465)),"")</f>
        <v/>
      </c>
      <c r="EX125" s="169">
        <f>IF(AND(D125=1,ISNUMBER(INDEX(Charge!$F:$F,ROW()))),INDEX(Charge!$F:$F,ROW()),0)</f>
        <v>0.0</v>
      </c>
      <c r="EY125" s="169"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c r="FF125" t="str">
        <f>IF(B125=1,LEFT(SUBSTITUTE(SUBSTITUTE(SUBSTITUTE(TRIM(SUBSTITUTE(INDEX(Charge!$B:$B,ROW()),CHAR(160)," "))&amp;" | "&amp;TRIM(SUBSTITUTE(INDEX(Charge!$C:$C,ROW()),CHAR(160)," "))&amp;" | "&amp;TRIM(SUBSTITUTE(INDEX(Charge!$D:$D,ROW()),CHAR(160)," ")),"~","-"),"*","+"),"?","!"),240),"")</f>
        <v/>
      </c>
      <c r="FG125">
        <f>IF(B125=1,MAX(0,N(INDEX(Charge!$M:$M,ROW()))),0)</f>
        <v>0</v>
      </c>
      <c r="FH125" s="170" t="str">
        <f>IF(EO125=1,ROUND(SUMIF($FF$4:$FF$503,EN125,$FG$4:$FG$503),2),"")</f>
        <v/>
      </c>
      <c r="FI125" s="170" t="str">
        <f>IF(EO125=1,ROUND(SUMPRODUCT(($FF$4:$FF$503=EN125)*$FG$4:$FG$503*$C$4:$C$503),2),"")</f>
        <v/>
      </c>
      <c r="FJ125" s="170" t="str">
        <f>IF(EO125=1,MAX(0,ROUND(FH125-FI125,2)),"")</f>
        <v/>
      </c>
      <c r="FK125" s="174" t="str">
        <f>IF(EO125=1,IF(OR(EW125&gt;=2958465,EY125=0,EY125&lt;=EW125),"",IF(TODAY()&lt;=EW125,0,IF(TODAY()&gt;EY125,1,IFERROR(NETWORKDAYS(EW125,TODAY()-1,Data!$K$4:$K$203)/NETWORKDAYS(EW125,EY125,Data!$K$4:$K$203),"")))),"")</f>
        <v/>
      </c>
      <c r="FL125" t="str">
        <f>IF(EO125=1,IF(AND(EY125&gt;0,EY125&lt;TODAY(),ROUND(EU125,4)&lt;1),2,IF(FK125="",0,IF(ROUND(EU125-FK125,4)&lt;-0.15,1,0))),"")</f>
        <v/>
      </c>
      <c r="FM125">
        <f>IF(OR(FA125="",COUNTIF($FA$4:FA124,FA125)&gt;0),0,MAX(0,IF(FB125="Interne",IF(ISNUMBER(INDEX(Data!$F:$F,125)),INDEX(Data!$F:$F,125),p_HeuresETP),IF(ISNUMBER(INDEX(Data!$I:$I,125-$CD$23)),INDEX(Data!$I:$I,125-$CD$23),p_HeuresETP))-IF(FB125="Interne",IF(ISNUMBER(INDEX(Data!$G:$G,125)),INDEX(Data!$G:$G,125),p_ChargeFixe),IF(ISNUMBER(INDEX(Data!$J:$J,125-$CD$23)),INDEX(Data!$J:$J,125-$CD$23),p_ChargeFixe))))</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9" t="str">
        <f>IF(AND(D126=1,ISNUMBER(INDEX(Charge!$N:$N,ROW()))),INDEX(Charge!$N:$N,ROW()),"")</f>
        <v/>
      </c>
      <c r="J126" s="169"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70">
        <f>IF(OR($I126="",$E126=0),0,IF(OR($J126&lt;W$3,$I126&gt;W$2),0,IF($K126=0,IF(AND($I126&gt;=W$3,$I126&lt;=W$2),$E126,0),$E126*NETWORKDAYS(MAX($I126,W$3),MIN($J126,W$2),Data!$K$4:$K$203)/$K126)))</f>
        <v>0</v>
      </c>
      <c r="X126" s="170">
        <f>IF(OR($I126="",$E126=0),0,IF(OR($J126&lt;X$3,$I126&gt;X$2),0,IF($K126=0,IF(AND($I126&gt;=X$3,$I126&lt;=X$2),$E126,0),$E126*NETWORKDAYS(MAX($I126,X$3),MIN($J126,X$2),Data!$K$4:$K$203)/$K126)))</f>
        <v>0</v>
      </c>
      <c r="Y126" s="170">
        <f>IF(OR($I126="",$E126=0),0,IF(OR($J126&lt;Y$3,$I126&gt;Y$2),0,IF($K126=0,IF(AND($I126&gt;=Y$3,$I126&lt;=Y$2),$E126,0),$E126*NETWORKDAYS(MAX($I126,Y$3),MIN($J126,Y$2),Data!$K$4:$K$203)/$K126)))</f>
        <v>0</v>
      </c>
      <c r="Z126" s="170">
        <f>IF(OR($I126="",$E126=0),0,IF(OR($J126&lt;Z$3,$I126&gt;Z$2),0,IF($K126=0,IF(AND($I126&gt;=Z$3,$I126&lt;=Z$2),$E126,0),$E126*NETWORKDAYS(MAX($I126,Z$3),MIN($J126,Z$2),Data!$K$4:$K$203)/$K126)))</f>
        <v>0</v>
      </c>
      <c r="AA126" s="170">
        <f>IF(OR($I126="",$E126=0),0,IF(OR($J126&lt;AA$3,$I126&gt;AA$2),0,IF($K126=0,IF(AND($I126&gt;=AA$3,$I126&lt;=AA$2),$E126,0),$E126*NETWORKDAYS(MAX($I126,AA$3),MIN($J126,AA$2),Data!$K$4:$K$203)/$K126)))</f>
        <v>0</v>
      </c>
      <c r="AB126" s="170">
        <f>IF(OR($I126="",$E126=0),0,IF(OR($J126&lt;AB$3,$I126&gt;AB$2),0,IF($K126=0,IF(AND($I126&gt;=AB$3,$I126&lt;=AB$2),$E126,0),$E126*NETWORKDAYS(MAX($I126,AB$3),MIN($J126,AB$2),Data!$K$4:$K$203)/$K126)))</f>
        <v>0</v>
      </c>
      <c r="AC126" s="170">
        <f>IF(OR($I126="",$E126=0),0,IF(OR($J126&lt;AC$3,$I126&gt;AC$2),0,IF($K126=0,IF(AND($I126&gt;=AC$3,$I126&lt;=AC$2),$E126,0),$E126*NETWORKDAYS(MAX($I126,AC$3),MIN($J126,AC$2),Data!$K$4:$K$203)/$K126)))</f>
        <v>0</v>
      </c>
      <c r="AD126" s="170">
        <f>IF(OR($I126="",$E126=0),0,IF(OR($J126&lt;AD$3,$I126&gt;AD$2),0,IF($K126=0,IF(AND($I126&gt;=AD$3,$I126&lt;=AD$2),$E126,0),$E126*NETWORKDAYS(MAX($I126,AD$3),MIN($J126,AD$2),Data!$K$4:$K$203)/$K126)))</f>
        <v>0</v>
      </c>
      <c r="AE126" s="170">
        <f>IF(OR($I126="",$E126=0),0,IF(OR($J126&lt;AE$3,$I126&gt;AE$2),0,IF($K126=0,IF(AND($I126&gt;=AE$3,$I126&lt;=AE$2),$E126,0),$E126*NETWORKDAYS(MAX($I126,AE$3),MIN($J126,AE$2),Data!$K$4:$K$203)/$K126)))</f>
        <v>0</v>
      </c>
      <c r="AF126" s="170">
        <f>IF(OR($I126="",$E126=0),0,IF(OR($J126&lt;AF$3,$I126&gt;AF$2),0,IF($K126=0,IF(AND($I126&gt;=AF$3,$I126&lt;=AF$2),$E126,0),$E126*NETWORKDAYS(MAX($I126,AF$3),MIN($J126,AF$2),Data!$K$4:$K$203)/$K126)))</f>
        <v>0</v>
      </c>
      <c r="AG126" s="170">
        <f>IF(OR($I126="",$E126=0),0,IF(OR($J126&lt;AG$3,$I126&gt;AG$2),0,IF($K126=0,IF(AND($I126&gt;=AG$3,$I126&lt;=AG$2),$E126,0),$E126*NETWORKDAYS(MAX($I126,AG$3),MIN($J126,AG$2),Data!$K$4:$K$203)/$K126)))</f>
        <v>0</v>
      </c>
      <c r="AH126" s="170">
        <f>IF(OR($I126="",$E126=0),0,IF(OR($J126&lt;AH$3,$I126&gt;AH$2),0,IF($K126=0,IF(AND($I126&gt;=AH$3,$I126&lt;=AH$2),$E126,0),$E126*NETWORKDAYS(MAX($I126,AH$3),MIN($J126,AH$2),Data!$K$4:$K$203)/$K126)))</f>
        <v>0</v>
      </c>
      <c r="AI126" s="170">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70"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4" t="str">
        <f>IF(EO126=1,IF(FH126&gt;0,FI126/FH126,AVERAGEIF($FF$4:$FF$503,EN126,$C$4:$C$503)),"")</f>
        <v/>
      </c>
      <c r="EV126" s="169">
        <f>IF(ISNUMBER(I126),I126,2958465)</f>
        <v>2958465.0</v>
      </c>
      <c r="EW126" s="169" t="str">
        <f>IF(EO126=1,SUMPRODUCT(MIN(($EN$4:$EN$503=EN126)*$EV$4:$EV$503+($EN$4:$EN$503&lt;&gt;EN126)*2958465)),"")</f>
        <v/>
      </c>
      <c r="EX126" s="169">
        <f>IF(AND(D126=1,ISNUMBER(INDEX(Charge!$F:$F,ROW()))),INDEX(Charge!$F:$F,ROW()),0)</f>
        <v>0.0</v>
      </c>
      <c r="EY126" s="169"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c r="FF126" t="str">
        <f>IF(B126=1,LEFT(SUBSTITUTE(SUBSTITUTE(SUBSTITUTE(TRIM(SUBSTITUTE(INDEX(Charge!$B:$B,ROW()),CHAR(160)," "))&amp;" | "&amp;TRIM(SUBSTITUTE(INDEX(Charge!$C:$C,ROW()),CHAR(160)," "))&amp;" | "&amp;TRIM(SUBSTITUTE(INDEX(Charge!$D:$D,ROW()),CHAR(160)," ")),"~","-"),"*","+"),"?","!"),240),"")</f>
        <v/>
      </c>
      <c r="FG126">
        <f>IF(B126=1,MAX(0,N(INDEX(Charge!$M:$M,ROW()))),0)</f>
        <v>0</v>
      </c>
      <c r="FH126" s="170" t="str">
        <f>IF(EO126=1,ROUND(SUMIF($FF$4:$FF$503,EN126,$FG$4:$FG$503),2),"")</f>
        <v/>
      </c>
      <c r="FI126" s="170" t="str">
        <f>IF(EO126=1,ROUND(SUMPRODUCT(($FF$4:$FF$503=EN126)*$FG$4:$FG$503*$C$4:$C$503),2),"")</f>
        <v/>
      </c>
      <c r="FJ126" s="170" t="str">
        <f>IF(EO126=1,MAX(0,ROUND(FH126-FI126,2)),"")</f>
        <v/>
      </c>
      <c r="FK126" s="174" t="str">
        <f>IF(EO126=1,IF(OR(EW126&gt;=2958465,EY126=0,EY126&lt;=EW126),"",IF(TODAY()&lt;=EW126,0,IF(TODAY()&gt;EY126,1,IFERROR(NETWORKDAYS(EW126,TODAY()-1,Data!$K$4:$K$203)/NETWORKDAYS(EW126,EY126,Data!$K$4:$K$203),"")))),"")</f>
        <v/>
      </c>
      <c r="FL126" t="str">
        <f>IF(EO126=1,IF(AND(EY126&gt;0,EY126&lt;TODAY(),ROUND(EU126,4)&lt;1),2,IF(FK126="",0,IF(ROUND(EU126-FK126,4)&lt;-0.15,1,0))),"")</f>
        <v/>
      </c>
      <c r="FM126">
        <f>IF(OR(FA126="",COUNTIF($FA$4:FA125,FA126)&gt;0),0,MAX(0,IF(FB126="Interne",IF(ISNUMBER(INDEX(Data!$F:$F,126)),INDEX(Data!$F:$F,126),p_HeuresETP),IF(ISNUMBER(INDEX(Data!$I:$I,126-$CD$23)),INDEX(Data!$I:$I,126-$CD$23),p_HeuresETP))-IF(FB126="Interne",IF(ISNUMBER(INDEX(Data!$G:$G,126)),INDEX(Data!$G:$G,126),p_ChargeFixe),IF(ISNUMBER(INDEX(Data!$J:$J,126-$CD$23)),INDEX(Data!$J:$J,126-$CD$23),p_ChargeFixe))))</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9" t="str">
        <f>IF(AND(D127=1,ISNUMBER(INDEX(Charge!$N:$N,ROW()))),INDEX(Charge!$N:$N,ROW()),"")</f>
        <v/>
      </c>
      <c r="J127" s="169"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70">
        <f>IF(OR($I127="",$E127=0),0,IF(OR($J127&lt;W$3,$I127&gt;W$2),0,IF($K127=0,IF(AND($I127&gt;=W$3,$I127&lt;=W$2),$E127,0),$E127*NETWORKDAYS(MAX($I127,W$3),MIN($J127,W$2),Data!$K$4:$K$203)/$K127)))</f>
        <v>0</v>
      </c>
      <c r="X127" s="170">
        <f>IF(OR($I127="",$E127=0),0,IF(OR($J127&lt;X$3,$I127&gt;X$2),0,IF($K127=0,IF(AND($I127&gt;=X$3,$I127&lt;=X$2),$E127,0),$E127*NETWORKDAYS(MAX($I127,X$3),MIN($J127,X$2),Data!$K$4:$K$203)/$K127)))</f>
        <v>0</v>
      </c>
      <c r="Y127" s="170">
        <f>IF(OR($I127="",$E127=0),0,IF(OR($J127&lt;Y$3,$I127&gt;Y$2),0,IF($K127=0,IF(AND($I127&gt;=Y$3,$I127&lt;=Y$2),$E127,0),$E127*NETWORKDAYS(MAX($I127,Y$3),MIN($J127,Y$2),Data!$K$4:$K$203)/$K127)))</f>
        <v>0</v>
      </c>
      <c r="Z127" s="170">
        <f>IF(OR($I127="",$E127=0),0,IF(OR($J127&lt;Z$3,$I127&gt;Z$2),0,IF($K127=0,IF(AND($I127&gt;=Z$3,$I127&lt;=Z$2),$E127,0),$E127*NETWORKDAYS(MAX($I127,Z$3),MIN($J127,Z$2),Data!$K$4:$K$203)/$K127)))</f>
        <v>0</v>
      </c>
      <c r="AA127" s="170">
        <f>IF(OR($I127="",$E127=0),0,IF(OR($J127&lt;AA$3,$I127&gt;AA$2),0,IF($K127=0,IF(AND($I127&gt;=AA$3,$I127&lt;=AA$2),$E127,0),$E127*NETWORKDAYS(MAX($I127,AA$3),MIN($J127,AA$2),Data!$K$4:$K$203)/$K127)))</f>
        <v>0</v>
      </c>
      <c r="AB127" s="170">
        <f>IF(OR($I127="",$E127=0),0,IF(OR($J127&lt;AB$3,$I127&gt;AB$2),0,IF($K127=0,IF(AND($I127&gt;=AB$3,$I127&lt;=AB$2),$E127,0),$E127*NETWORKDAYS(MAX($I127,AB$3),MIN($J127,AB$2),Data!$K$4:$K$203)/$K127)))</f>
        <v>0</v>
      </c>
      <c r="AC127" s="170">
        <f>IF(OR($I127="",$E127=0),0,IF(OR($J127&lt;AC$3,$I127&gt;AC$2),0,IF($K127=0,IF(AND($I127&gt;=AC$3,$I127&lt;=AC$2),$E127,0),$E127*NETWORKDAYS(MAX($I127,AC$3),MIN($J127,AC$2),Data!$K$4:$K$203)/$K127)))</f>
        <v>0</v>
      </c>
      <c r="AD127" s="170">
        <f>IF(OR($I127="",$E127=0),0,IF(OR($J127&lt;AD$3,$I127&gt;AD$2),0,IF($K127=0,IF(AND($I127&gt;=AD$3,$I127&lt;=AD$2),$E127,0),$E127*NETWORKDAYS(MAX($I127,AD$3),MIN($J127,AD$2),Data!$K$4:$K$203)/$K127)))</f>
        <v>0</v>
      </c>
      <c r="AE127" s="170">
        <f>IF(OR($I127="",$E127=0),0,IF(OR($J127&lt;AE$3,$I127&gt;AE$2),0,IF($K127=0,IF(AND($I127&gt;=AE$3,$I127&lt;=AE$2),$E127,0),$E127*NETWORKDAYS(MAX($I127,AE$3),MIN($J127,AE$2),Data!$K$4:$K$203)/$K127)))</f>
        <v>0</v>
      </c>
      <c r="AF127" s="170">
        <f>IF(OR($I127="",$E127=0),0,IF(OR($J127&lt;AF$3,$I127&gt;AF$2),0,IF($K127=0,IF(AND($I127&gt;=AF$3,$I127&lt;=AF$2),$E127,0),$E127*NETWORKDAYS(MAX($I127,AF$3),MIN($J127,AF$2),Data!$K$4:$K$203)/$K127)))</f>
        <v>0</v>
      </c>
      <c r="AG127" s="170">
        <f>IF(OR($I127="",$E127=0),0,IF(OR($J127&lt;AG$3,$I127&gt;AG$2),0,IF($K127=0,IF(AND($I127&gt;=AG$3,$I127&lt;=AG$2),$E127,0),$E127*NETWORKDAYS(MAX($I127,AG$3),MIN($J127,AG$2),Data!$K$4:$K$203)/$K127)))</f>
        <v>0</v>
      </c>
      <c r="AH127" s="170">
        <f>IF(OR($I127="",$E127=0),0,IF(OR($J127&lt;AH$3,$I127&gt;AH$2),0,IF($K127=0,IF(AND($I127&gt;=AH$3,$I127&lt;=AH$2),$E127,0),$E127*NETWORKDAYS(MAX($I127,AH$3),MIN($J127,AH$2),Data!$K$4:$K$203)/$K127)))</f>
        <v>0</v>
      </c>
      <c r="AI127" s="170">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70"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4" t="str">
        <f>IF(EO127=1,IF(FH127&gt;0,FI127/FH127,AVERAGEIF($FF$4:$FF$503,EN127,$C$4:$C$503)),"")</f>
        <v/>
      </c>
      <c r="EV127" s="169">
        <f>IF(ISNUMBER(I127),I127,2958465)</f>
        <v>2958465.0</v>
      </c>
      <c r="EW127" s="169" t="str">
        <f>IF(EO127=1,SUMPRODUCT(MIN(($EN$4:$EN$503=EN127)*$EV$4:$EV$503+($EN$4:$EN$503&lt;&gt;EN127)*2958465)),"")</f>
        <v/>
      </c>
      <c r="EX127" s="169">
        <f>IF(AND(D127=1,ISNUMBER(INDEX(Charge!$F:$F,ROW()))),INDEX(Charge!$F:$F,ROW()),0)</f>
        <v>0.0</v>
      </c>
      <c r="EY127" s="169"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c r="FF127" t="str">
        <f>IF(B127=1,LEFT(SUBSTITUTE(SUBSTITUTE(SUBSTITUTE(TRIM(SUBSTITUTE(INDEX(Charge!$B:$B,ROW()),CHAR(160)," "))&amp;" | "&amp;TRIM(SUBSTITUTE(INDEX(Charge!$C:$C,ROW()),CHAR(160)," "))&amp;" | "&amp;TRIM(SUBSTITUTE(INDEX(Charge!$D:$D,ROW()),CHAR(160)," ")),"~","-"),"*","+"),"?","!"),240),"")</f>
        <v/>
      </c>
      <c r="FG127">
        <f>IF(B127=1,MAX(0,N(INDEX(Charge!$M:$M,ROW()))),0)</f>
        <v>0</v>
      </c>
      <c r="FH127" s="170" t="str">
        <f>IF(EO127=1,ROUND(SUMIF($FF$4:$FF$503,EN127,$FG$4:$FG$503),2),"")</f>
        <v/>
      </c>
      <c r="FI127" s="170" t="str">
        <f>IF(EO127=1,ROUND(SUMPRODUCT(($FF$4:$FF$503=EN127)*$FG$4:$FG$503*$C$4:$C$503),2),"")</f>
        <v/>
      </c>
      <c r="FJ127" s="170" t="str">
        <f>IF(EO127=1,MAX(0,ROUND(FH127-FI127,2)),"")</f>
        <v/>
      </c>
      <c r="FK127" s="174" t="str">
        <f>IF(EO127=1,IF(OR(EW127&gt;=2958465,EY127=0,EY127&lt;=EW127),"",IF(TODAY()&lt;=EW127,0,IF(TODAY()&gt;EY127,1,IFERROR(NETWORKDAYS(EW127,TODAY()-1,Data!$K$4:$K$203)/NETWORKDAYS(EW127,EY127,Data!$K$4:$K$203),"")))),"")</f>
        <v/>
      </c>
      <c r="FL127" t="str">
        <f>IF(EO127=1,IF(AND(EY127&gt;0,EY127&lt;TODAY(),ROUND(EU127,4)&lt;1),2,IF(FK127="",0,IF(ROUND(EU127-FK127,4)&lt;-0.15,1,0))),"")</f>
        <v/>
      </c>
      <c r="FM127">
        <f>IF(OR(FA127="",COUNTIF($FA$4:FA126,FA127)&gt;0),0,MAX(0,IF(FB127="Interne",IF(ISNUMBER(INDEX(Data!$F:$F,127)),INDEX(Data!$F:$F,127),p_HeuresETP),IF(ISNUMBER(INDEX(Data!$I:$I,127-$CD$23)),INDEX(Data!$I:$I,127-$CD$23),p_HeuresETP))-IF(FB127="Interne",IF(ISNUMBER(INDEX(Data!$G:$G,127)),INDEX(Data!$G:$G,127),p_ChargeFixe),IF(ISNUMBER(INDEX(Data!$J:$J,127-$CD$23)),INDEX(Data!$J:$J,127-$CD$23),p_ChargeFixe))))</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9" t="str">
        <f>IF(AND(D128=1,ISNUMBER(INDEX(Charge!$N:$N,ROW()))),INDEX(Charge!$N:$N,ROW()),"")</f>
        <v/>
      </c>
      <c r="J128" s="169"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70">
        <f>IF(OR($I128="",$E128=0),0,IF(OR($J128&lt;W$3,$I128&gt;W$2),0,IF($K128=0,IF(AND($I128&gt;=W$3,$I128&lt;=W$2),$E128,0),$E128*NETWORKDAYS(MAX($I128,W$3),MIN($J128,W$2),Data!$K$4:$K$203)/$K128)))</f>
        <v>0</v>
      </c>
      <c r="X128" s="170">
        <f>IF(OR($I128="",$E128=0),0,IF(OR($J128&lt;X$3,$I128&gt;X$2),0,IF($K128=0,IF(AND($I128&gt;=X$3,$I128&lt;=X$2),$E128,0),$E128*NETWORKDAYS(MAX($I128,X$3),MIN($J128,X$2),Data!$K$4:$K$203)/$K128)))</f>
        <v>0</v>
      </c>
      <c r="Y128" s="170">
        <f>IF(OR($I128="",$E128=0),0,IF(OR($J128&lt;Y$3,$I128&gt;Y$2),0,IF($K128=0,IF(AND($I128&gt;=Y$3,$I128&lt;=Y$2),$E128,0),$E128*NETWORKDAYS(MAX($I128,Y$3),MIN($J128,Y$2),Data!$K$4:$K$203)/$K128)))</f>
        <v>0</v>
      </c>
      <c r="Z128" s="170">
        <f>IF(OR($I128="",$E128=0),0,IF(OR($J128&lt;Z$3,$I128&gt;Z$2),0,IF($K128=0,IF(AND($I128&gt;=Z$3,$I128&lt;=Z$2),$E128,0),$E128*NETWORKDAYS(MAX($I128,Z$3),MIN($J128,Z$2),Data!$K$4:$K$203)/$K128)))</f>
        <v>0</v>
      </c>
      <c r="AA128" s="170">
        <f>IF(OR($I128="",$E128=0),0,IF(OR($J128&lt;AA$3,$I128&gt;AA$2),0,IF($K128=0,IF(AND($I128&gt;=AA$3,$I128&lt;=AA$2),$E128,0),$E128*NETWORKDAYS(MAX($I128,AA$3),MIN($J128,AA$2),Data!$K$4:$K$203)/$K128)))</f>
        <v>0</v>
      </c>
      <c r="AB128" s="170">
        <f>IF(OR($I128="",$E128=0),0,IF(OR($J128&lt;AB$3,$I128&gt;AB$2),0,IF($K128=0,IF(AND($I128&gt;=AB$3,$I128&lt;=AB$2),$E128,0),$E128*NETWORKDAYS(MAX($I128,AB$3),MIN($J128,AB$2),Data!$K$4:$K$203)/$K128)))</f>
        <v>0</v>
      </c>
      <c r="AC128" s="170">
        <f>IF(OR($I128="",$E128=0),0,IF(OR($J128&lt;AC$3,$I128&gt;AC$2),0,IF($K128=0,IF(AND($I128&gt;=AC$3,$I128&lt;=AC$2),$E128,0),$E128*NETWORKDAYS(MAX($I128,AC$3),MIN($J128,AC$2),Data!$K$4:$K$203)/$K128)))</f>
        <v>0</v>
      </c>
      <c r="AD128" s="170">
        <f>IF(OR($I128="",$E128=0),0,IF(OR($J128&lt;AD$3,$I128&gt;AD$2),0,IF($K128=0,IF(AND($I128&gt;=AD$3,$I128&lt;=AD$2),$E128,0),$E128*NETWORKDAYS(MAX($I128,AD$3),MIN($J128,AD$2),Data!$K$4:$K$203)/$K128)))</f>
        <v>0</v>
      </c>
      <c r="AE128" s="170">
        <f>IF(OR($I128="",$E128=0),0,IF(OR($J128&lt;AE$3,$I128&gt;AE$2),0,IF($K128=0,IF(AND($I128&gt;=AE$3,$I128&lt;=AE$2),$E128,0),$E128*NETWORKDAYS(MAX($I128,AE$3),MIN($J128,AE$2),Data!$K$4:$K$203)/$K128)))</f>
        <v>0</v>
      </c>
      <c r="AF128" s="170">
        <f>IF(OR($I128="",$E128=0),0,IF(OR($J128&lt;AF$3,$I128&gt;AF$2),0,IF($K128=0,IF(AND($I128&gt;=AF$3,$I128&lt;=AF$2),$E128,0),$E128*NETWORKDAYS(MAX($I128,AF$3),MIN($J128,AF$2),Data!$K$4:$K$203)/$K128)))</f>
        <v>0</v>
      </c>
      <c r="AG128" s="170">
        <f>IF(OR($I128="",$E128=0),0,IF(OR($J128&lt;AG$3,$I128&gt;AG$2),0,IF($K128=0,IF(AND($I128&gt;=AG$3,$I128&lt;=AG$2),$E128,0),$E128*NETWORKDAYS(MAX($I128,AG$3),MIN($J128,AG$2),Data!$K$4:$K$203)/$K128)))</f>
        <v>0</v>
      </c>
      <c r="AH128" s="170">
        <f>IF(OR($I128="",$E128=0),0,IF(OR($J128&lt;AH$3,$I128&gt;AH$2),0,IF($K128=0,IF(AND($I128&gt;=AH$3,$I128&lt;=AH$2),$E128,0),$E128*NETWORKDAYS(MAX($I128,AH$3),MIN($J128,AH$2),Data!$K$4:$K$203)/$K128)))</f>
        <v>0</v>
      </c>
      <c r="AI128" s="170">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70"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4" t="str">
        <f>IF(EO128=1,IF(FH128&gt;0,FI128/FH128,AVERAGEIF($FF$4:$FF$503,EN128,$C$4:$C$503)),"")</f>
        <v/>
      </c>
      <c r="EV128" s="169">
        <f>IF(ISNUMBER(I128),I128,2958465)</f>
        <v>2958465.0</v>
      </c>
      <c r="EW128" s="169" t="str">
        <f>IF(EO128=1,SUMPRODUCT(MIN(($EN$4:$EN$503=EN128)*$EV$4:$EV$503+($EN$4:$EN$503&lt;&gt;EN128)*2958465)),"")</f>
        <v/>
      </c>
      <c r="EX128" s="169">
        <f>IF(AND(D128=1,ISNUMBER(INDEX(Charge!$F:$F,ROW()))),INDEX(Charge!$F:$F,ROW()),0)</f>
        <v>0.0</v>
      </c>
      <c r="EY128" s="169"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c r="FF128" t="str">
        <f>IF(B128=1,LEFT(SUBSTITUTE(SUBSTITUTE(SUBSTITUTE(TRIM(SUBSTITUTE(INDEX(Charge!$B:$B,ROW()),CHAR(160)," "))&amp;" | "&amp;TRIM(SUBSTITUTE(INDEX(Charge!$C:$C,ROW()),CHAR(160)," "))&amp;" | "&amp;TRIM(SUBSTITUTE(INDEX(Charge!$D:$D,ROW()),CHAR(160)," ")),"~","-"),"*","+"),"?","!"),240),"")</f>
        <v/>
      </c>
      <c r="FG128">
        <f>IF(B128=1,MAX(0,N(INDEX(Charge!$M:$M,ROW()))),0)</f>
        <v>0</v>
      </c>
      <c r="FH128" s="170" t="str">
        <f>IF(EO128=1,ROUND(SUMIF($FF$4:$FF$503,EN128,$FG$4:$FG$503),2),"")</f>
        <v/>
      </c>
      <c r="FI128" s="170" t="str">
        <f>IF(EO128=1,ROUND(SUMPRODUCT(($FF$4:$FF$503=EN128)*$FG$4:$FG$503*$C$4:$C$503),2),"")</f>
        <v/>
      </c>
      <c r="FJ128" s="170" t="str">
        <f>IF(EO128=1,MAX(0,ROUND(FH128-FI128,2)),"")</f>
        <v/>
      </c>
      <c r="FK128" s="174" t="str">
        <f>IF(EO128=1,IF(OR(EW128&gt;=2958465,EY128=0,EY128&lt;=EW128),"",IF(TODAY()&lt;=EW128,0,IF(TODAY()&gt;EY128,1,IFERROR(NETWORKDAYS(EW128,TODAY()-1,Data!$K$4:$K$203)/NETWORKDAYS(EW128,EY128,Data!$K$4:$K$203),"")))),"")</f>
        <v/>
      </c>
      <c r="FL128" t="str">
        <f>IF(EO128=1,IF(AND(EY128&gt;0,EY128&lt;TODAY(),ROUND(EU128,4)&lt;1),2,IF(FK128="",0,IF(ROUND(EU128-FK128,4)&lt;-0.15,1,0))),"")</f>
        <v/>
      </c>
      <c r="FM128">
        <f>IF(OR(FA128="",COUNTIF($FA$4:FA127,FA128)&gt;0),0,MAX(0,IF(FB128="Interne",IF(ISNUMBER(INDEX(Data!$F:$F,128)),INDEX(Data!$F:$F,128),p_HeuresETP),IF(ISNUMBER(INDEX(Data!$I:$I,128-$CD$23)),INDEX(Data!$I:$I,128-$CD$23),p_HeuresETP))-IF(FB128="Interne",IF(ISNUMBER(INDEX(Data!$G:$G,128)),INDEX(Data!$G:$G,128),p_ChargeFixe),IF(ISNUMBER(INDEX(Data!$J:$J,128-$CD$23)),INDEX(Data!$J:$J,128-$CD$23),p_ChargeFixe))))</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9" t="str">
        <f>IF(AND(D129=1,ISNUMBER(INDEX(Charge!$N:$N,ROW()))),INDEX(Charge!$N:$N,ROW()),"")</f>
        <v/>
      </c>
      <c r="J129" s="169"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70">
        <f>IF(OR($I129="",$E129=0),0,IF(OR($J129&lt;W$3,$I129&gt;W$2),0,IF($K129=0,IF(AND($I129&gt;=W$3,$I129&lt;=W$2),$E129,0),$E129*NETWORKDAYS(MAX($I129,W$3),MIN($J129,W$2),Data!$K$4:$K$203)/$K129)))</f>
        <v>0</v>
      </c>
      <c r="X129" s="170">
        <f>IF(OR($I129="",$E129=0),0,IF(OR($J129&lt;X$3,$I129&gt;X$2),0,IF($K129=0,IF(AND($I129&gt;=X$3,$I129&lt;=X$2),$E129,0),$E129*NETWORKDAYS(MAX($I129,X$3),MIN($J129,X$2),Data!$K$4:$K$203)/$K129)))</f>
        <v>0</v>
      </c>
      <c r="Y129" s="170">
        <f>IF(OR($I129="",$E129=0),0,IF(OR($J129&lt;Y$3,$I129&gt;Y$2),0,IF($K129=0,IF(AND($I129&gt;=Y$3,$I129&lt;=Y$2),$E129,0),$E129*NETWORKDAYS(MAX($I129,Y$3),MIN($J129,Y$2),Data!$K$4:$K$203)/$K129)))</f>
        <v>0</v>
      </c>
      <c r="Z129" s="170">
        <f>IF(OR($I129="",$E129=0),0,IF(OR($J129&lt;Z$3,$I129&gt;Z$2),0,IF($K129=0,IF(AND($I129&gt;=Z$3,$I129&lt;=Z$2),$E129,0),$E129*NETWORKDAYS(MAX($I129,Z$3),MIN($J129,Z$2),Data!$K$4:$K$203)/$K129)))</f>
        <v>0</v>
      </c>
      <c r="AA129" s="170">
        <f>IF(OR($I129="",$E129=0),0,IF(OR($J129&lt;AA$3,$I129&gt;AA$2),0,IF($K129=0,IF(AND($I129&gt;=AA$3,$I129&lt;=AA$2),$E129,0),$E129*NETWORKDAYS(MAX($I129,AA$3),MIN($J129,AA$2),Data!$K$4:$K$203)/$K129)))</f>
        <v>0</v>
      </c>
      <c r="AB129" s="170">
        <f>IF(OR($I129="",$E129=0),0,IF(OR($J129&lt;AB$3,$I129&gt;AB$2),0,IF($K129=0,IF(AND($I129&gt;=AB$3,$I129&lt;=AB$2),$E129,0),$E129*NETWORKDAYS(MAX($I129,AB$3),MIN($J129,AB$2),Data!$K$4:$K$203)/$K129)))</f>
        <v>0</v>
      </c>
      <c r="AC129" s="170">
        <f>IF(OR($I129="",$E129=0),0,IF(OR($J129&lt;AC$3,$I129&gt;AC$2),0,IF($K129=0,IF(AND($I129&gt;=AC$3,$I129&lt;=AC$2),$E129,0),$E129*NETWORKDAYS(MAX($I129,AC$3),MIN($J129,AC$2),Data!$K$4:$K$203)/$K129)))</f>
        <v>0</v>
      </c>
      <c r="AD129" s="170">
        <f>IF(OR($I129="",$E129=0),0,IF(OR($J129&lt;AD$3,$I129&gt;AD$2),0,IF($K129=0,IF(AND($I129&gt;=AD$3,$I129&lt;=AD$2),$E129,0),$E129*NETWORKDAYS(MAX($I129,AD$3),MIN($J129,AD$2),Data!$K$4:$K$203)/$K129)))</f>
        <v>0</v>
      </c>
      <c r="AE129" s="170">
        <f>IF(OR($I129="",$E129=0),0,IF(OR($J129&lt;AE$3,$I129&gt;AE$2),0,IF($K129=0,IF(AND($I129&gt;=AE$3,$I129&lt;=AE$2),$E129,0),$E129*NETWORKDAYS(MAX($I129,AE$3),MIN($J129,AE$2),Data!$K$4:$K$203)/$K129)))</f>
        <v>0</v>
      </c>
      <c r="AF129" s="170">
        <f>IF(OR($I129="",$E129=0),0,IF(OR($J129&lt;AF$3,$I129&gt;AF$2),0,IF($K129=0,IF(AND($I129&gt;=AF$3,$I129&lt;=AF$2),$E129,0),$E129*NETWORKDAYS(MAX($I129,AF$3),MIN($J129,AF$2),Data!$K$4:$K$203)/$K129)))</f>
        <v>0</v>
      </c>
      <c r="AG129" s="170">
        <f>IF(OR($I129="",$E129=0),0,IF(OR($J129&lt;AG$3,$I129&gt;AG$2),0,IF($K129=0,IF(AND($I129&gt;=AG$3,$I129&lt;=AG$2),$E129,0),$E129*NETWORKDAYS(MAX($I129,AG$3),MIN($J129,AG$2),Data!$K$4:$K$203)/$K129)))</f>
        <v>0</v>
      </c>
      <c r="AH129" s="170">
        <f>IF(OR($I129="",$E129=0),0,IF(OR($J129&lt;AH$3,$I129&gt;AH$2),0,IF($K129=0,IF(AND($I129&gt;=AH$3,$I129&lt;=AH$2),$E129,0),$E129*NETWORKDAYS(MAX($I129,AH$3),MIN($J129,AH$2),Data!$K$4:$K$203)/$K129)))</f>
        <v>0</v>
      </c>
      <c r="AI129" s="170">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70"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4" t="str">
        <f>IF(EO129=1,IF(FH129&gt;0,FI129/FH129,AVERAGEIF($FF$4:$FF$503,EN129,$C$4:$C$503)),"")</f>
        <v/>
      </c>
      <c r="EV129" s="169">
        <f>IF(ISNUMBER(I129),I129,2958465)</f>
        <v>2958465.0</v>
      </c>
      <c r="EW129" s="169" t="str">
        <f>IF(EO129=1,SUMPRODUCT(MIN(($EN$4:$EN$503=EN129)*$EV$4:$EV$503+($EN$4:$EN$503&lt;&gt;EN129)*2958465)),"")</f>
        <v/>
      </c>
      <c r="EX129" s="169">
        <f>IF(AND(D129=1,ISNUMBER(INDEX(Charge!$F:$F,ROW()))),INDEX(Charge!$F:$F,ROW()),0)</f>
        <v>0.0</v>
      </c>
      <c r="EY129" s="169"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c r="FF129" t="str">
        <f>IF(B129=1,LEFT(SUBSTITUTE(SUBSTITUTE(SUBSTITUTE(TRIM(SUBSTITUTE(INDEX(Charge!$B:$B,ROW()),CHAR(160)," "))&amp;" | "&amp;TRIM(SUBSTITUTE(INDEX(Charge!$C:$C,ROW()),CHAR(160)," "))&amp;" | "&amp;TRIM(SUBSTITUTE(INDEX(Charge!$D:$D,ROW()),CHAR(160)," ")),"~","-"),"*","+"),"?","!"),240),"")</f>
        <v/>
      </c>
      <c r="FG129">
        <f>IF(B129=1,MAX(0,N(INDEX(Charge!$M:$M,ROW()))),0)</f>
        <v>0</v>
      </c>
      <c r="FH129" s="170" t="str">
        <f>IF(EO129=1,ROUND(SUMIF($FF$4:$FF$503,EN129,$FG$4:$FG$503),2),"")</f>
        <v/>
      </c>
      <c r="FI129" s="170" t="str">
        <f>IF(EO129=1,ROUND(SUMPRODUCT(($FF$4:$FF$503=EN129)*$FG$4:$FG$503*$C$4:$C$503),2),"")</f>
        <v/>
      </c>
      <c r="FJ129" s="170" t="str">
        <f>IF(EO129=1,MAX(0,ROUND(FH129-FI129,2)),"")</f>
        <v/>
      </c>
      <c r="FK129" s="174" t="str">
        <f>IF(EO129=1,IF(OR(EW129&gt;=2958465,EY129=0,EY129&lt;=EW129),"",IF(TODAY()&lt;=EW129,0,IF(TODAY()&gt;EY129,1,IFERROR(NETWORKDAYS(EW129,TODAY()-1,Data!$K$4:$K$203)/NETWORKDAYS(EW129,EY129,Data!$K$4:$K$203),"")))),"")</f>
        <v/>
      </c>
      <c r="FL129" t="str">
        <f>IF(EO129=1,IF(AND(EY129&gt;0,EY129&lt;TODAY(),ROUND(EU129,4)&lt;1),2,IF(FK129="",0,IF(ROUND(EU129-FK129,4)&lt;-0.15,1,0))),"")</f>
        <v/>
      </c>
      <c r="FM129">
        <f>IF(OR(FA129="",COUNTIF($FA$4:FA128,FA129)&gt;0),0,MAX(0,IF(FB129="Interne",IF(ISNUMBER(INDEX(Data!$F:$F,129)),INDEX(Data!$F:$F,129),p_HeuresETP),IF(ISNUMBER(INDEX(Data!$I:$I,129-$CD$23)),INDEX(Data!$I:$I,129-$CD$23),p_HeuresETP))-IF(FB129="Interne",IF(ISNUMBER(INDEX(Data!$G:$G,129)),INDEX(Data!$G:$G,129),p_ChargeFixe),IF(ISNUMBER(INDEX(Data!$J:$J,129-$CD$23)),INDEX(Data!$J:$J,129-$CD$23),p_ChargeFixe))))</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9" t="str">
        <f>IF(AND(D130=1,ISNUMBER(INDEX(Charge!$N:$N,ROW()))),INDEX(Charge!$N:$N,ROW()),"")</f>
        <v/>
      </c>
      <c r="J130" s="169"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70">
        <f>IF(OR($I130="",$E130=0),0,IF(OR($J130&lt;W$3,$I130&gt;W$2),0,IF($K130=0,IF(AND($I130&gt;=W$3,$I130&lt;=W$2),$E130,0),$E130*NETWORKDAYS(MAX($I130,W$3),MIN($J130,W$2),Data!$K$4:$K$203)/$K130)))</f>
        <v>0</v>
      </c>
      <c r="X130" s="170">
        <f>IF(OR($I130="",$E130=0),0,IF(OR($J130&lt;X$3,$I130&gt;X$2),0,IF($K130=0,IF(AND($I130&gt;=X$3,$I130&lt;=X$2),$E130,0),$E130*NETWORKDAYS(MAX($I130,X$3),MIN($J130,X$2),Data!$K$4:$K$203)/$K130)))</f>
        <v>0</v>
      </c>
      <c r="Y130" s="170">
        <f>IF(OR($I130="",$E130=0),0,IF(OR($J130&lt;Y$3,$I130&gt;Y$2),0,IF($K130=0,IF(AND($I130&gt;=Y$3,$I130&lt;=Y$2),$E130,0),$E130*NETWORKDAYS(MAX($I130,Y$3),MIN($J130,Y$2),Data!$K$4:$K$203)/$K130)))</f>
        <v>0</v>
      </c>
      <c r="Z130" s="170">
        <f>IF(OR($I130="",$E130=0),0,IF(OR($J130&lt;Z$3,$I130&gt;Z$2),0,IF($K130=0,IF(AND($I130&gt;=Z$3,$I130&lt;=Z$2),$E130,0),$E130*NETWORKDAYS(MAX($I130,Z$3),MIN($J130,Z$2),Data!$K$4:$K$203)/$K130)))</f>
        <v>0</v>
      </c>
      <c r="AA130" s="170">
        <f>IF(OR($I130="",$E130=0),0,IF(OR($J130&lt;AA$3,$I130&gt;AA$2),0,IF($K130=0,IF(AND($I130&gt;=AA$3,$I130&lt;=AA$2),$E130,0),$E130*NETWORKDAYS(MAX($I130,AA$3),MIN($J130,AA$2),Data!$K$4:$K$203)/$K130)))</f>
        <v>0</v>
      </c>
      <c r="AB130" s="170">
        <f>IF(OR($I130="",$E130=0),0,IF(OR($J130&lt;AB$3,$I130&gt;AB$2),0,IF($K130=0,IF(AND($I130&gt;=AB$3,$I130&lt;=AB$2),$E130,0),$E130*NETWORKDAYS(MAX($I130,AB$3),MIN($J130,AB$2),Data!$K$4:$K$203)/$K130)))</f>
        <v>0</v>
      </c>
      <c r="AC130" s="170">
        <f>IF(OR($I130="",$E130=0),0,IF(OR($J130&lt;AC$3,$I130&gt;AC$2),0,IF($K130=0,IF(AND($I130&gt;=AC$3,$I130&lt;=AC$2),$E130,0),$E130*NETWORKDAYS(MAX($I130,AC$3),MIN($J130,AC$2),Data!$K$4:$K$203)/$K130)))</f>
        <v>0</v>
      </c>
      <c r="AD130" s="170">
        <f>IF(OR($I130="",$E130=0),0,IF(OR($J130&lt;AD$3,$I130&gt;AD$2),0,IF($K130=0,IF(AND($I130&gt;=AD$3,$I130&lt;=AD$2),$E130,0),$E130*NETWORKDAYS(MAX($I130,AD$3),MIN($J130,AD$2),Data!$K$4:$K$203)/$K130)))</f>
        <v>0</v>
      </c>
      <c r="AE130" s="170">
        <f>IF(OR($I130="",$E130=0),0,IF(OR($J130&lt;AE$3,$I130&gt;AE$2),0,IF($K130=0,IF(AND($I130&gt;=AE$3,$I130&lt;=AE$2),$E130,0),$E130*NETWORKDAYS(MAX($I130,AE$3),MIN($J130,AE$2),Data!$K$4:$K$203)/$K130)))</f>
        <v>0</v>
      </c>
      <c r="AF130" s="170">
        <f>IF(OR($I130="",$E130=0),0,IF(OR($J130&lt;AF$3,$I130&gt;AF$2),0,IF($K130=0,IF(AND($I130&gt;=AF$3,$I130&lt;=AF$2),$E130,0),$E130*NETWORKDAYS(MAX($I130,AF$3),MIN($J130,AF$2),Data!$K$4:$K$203)/$K130)))</f>
        <v>0</v>
      </c>
      <c r="AG130" s="170">
        <f>IF(OR($I130="",$E130=0),0,IF(OR($J130&lt;AG$3,$I130&gt;AG$2),0,IF($K130=0,IF(AND($I130&gt;=AG$3,$I130&lt;=AG$2),$E130,0),$E130*NETWORKDAYS(MAX($I130,AG$3),MIN($J130,AG$2),Data!$K$4:$K$203)/$K130)))</f>
        <v>0</v>
      </c>
      <c r="AH130" s="170">
        <f>IF(OR($I130="",$E130=0),0,IF(OR($J130&lt;AH$3,$I130&gt;AH$2),0,IF($K130=0,IF(AND($I130&gt;=AH$3,$I130&lt;=AH$2),$E130,0),$E130*NETWORKDAYS(MAX($I130,AH$3),MIN($J130,AH$2),Data!$K$4:$K$203)/$K130)))</f>
        <v>0</v>
      </c>
      <c r="AI130" s="170">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70"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4" t="str">
        <f>IF(EO130=1,IF(FH130&gt;0,FI130/FH130,AVERAGEIF($FF$4:$FF$503,EN130,$C$4:$C$503)),"")</f>
        <v/>
      </c>
      <c r="EV130" s="169">
        <f>IF(ISNUMBER(I130),I130,2958465)</f>
        <v>2958465.0</v>
      </c>
      <c r="EW130" s="169" t="str">
        <f>IF(EO130=1,SUMPRODUCT(MIN(($EN$4:$EN$503=EN130)*$EV$4:$EV$503+($EN$4:$EN$503&lt;&gt;EN130)*2958465)),"")</f>
        <v/>
      </c>
      <c r="EX130" s="169">
        <f>IF(AND(D130=1,ISNUMBER(INDEX(Charge!$F:$F,ROW()))),INDEX(Charge!$F:$F,ROW()),0)</f>
        <v>0.0</v>
      </c>
      <c r="EY130" s="169"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c r="FF130" t="str">
        <f>IF(B130=1,LEFT(SUBSTITUTE(SUBSTITUTE(SUBSTITUTE(TRIM(SUBSTITUTE(INDEX(Charge!$B:$B,ROW()),CHAR(160)," "))&amp;" | "&amp;TRIM(SUBSTITUTE(INDEX(Charge!$C:$C,ROW()),CHAR(160)," "))&amp;" | "&amp;TRIM(SUBSTITUTE(INDEX(Charge!$D:$D,ROW()),CHAR(160)," ")),"~","-"),"*","+"),"?","!"),240),"")</f>
        <v/>
      </c>
      <c r="FG130">
        <f>IF(B130=1,MAX(0,N(INDEX(Charge!$M:$M,ROW()))),0)</f>
        <v>0</v>
      </c>
      <c r="FH130" s="170" t="str">
        <f>IF(EO130=1,ROUND(SUMIF($FF$4:$FF$503,EN130,$FG$4:$FG$503),2),"")</f>
        <v/>
      </c>
      <c r="FI130" s="170" t="str">
        <f>IF(EO130=1,ROUND(SUMPRODUCT(($FF$4:$FF$503=EN130)*$FG$4:$FG$503*$C$4:$C$503),2),"")</f>
        <v/>
      </c>
      <c r="FJ130" s="170" t="str">
        <f>IF(EO130=1,MAX(0,ROUND(FH130-FI130,2)),"")</f>
        <v/>
      </c>
      <c r="FK130" s="174" t="str">
        <f>IF(EO130=1,IF(OR(EW130&gt;=2958465,EY130=0,EY130&lt;=EW130),"",IF(TODAY()&lt;=EW130,0,IF(TODAY()&gt;EY130,1,IFERROR(NETWORKDAYS(EW130,TODAY()-1,Data!$K$4:$K$203)/NETWORKDAYS(EW130,EY130,Data!$K$4:$K$203),"")))),"")</f>
        <v/>
      </c>
      <c r="FL130" t="str">
        <f>IF(EO130=1,IF(AND(EY130&gt;0,EY130&lt;TODAY(),ROUND(EU130,4)&lt;1),2,IF(FK130="",0,IF(ROUND(EU130-FK130,4)&lt;-0.15,1,0))),"")</f>
        <v/>
      </c>
      <c r="FM130">
        <f>IF(OR(FA130="",COUNTIF($FA$4:FA129,FA130)&gt;0),0,MAX(0,IF(FB130="Interne",IF(ISNUMBER(INDEX(Data!$F:$F,130)),INDEX(Data!$F:$F,130),p_HeuresETP),IF(ISNUMBER(INDEX(Data!$I:$I,130-$CD$23)),INDEX(Data!$I:$I,130-$CD$23),p_HeuresETP))-IF(FB130="Interne",IF(ISNUMBER(INDEX(Data!$G:$G,130)),INDEX(Data!$G:$G,130),p_ChargeFixe),IF(ISNUMBER(INDEX(Data!$J:$J,130-$CD$23)),INDEX(Data!$J:$J,130-$CD$23),p_ChargeFixe))))</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9" t="str">
        <f>IF(AND(D131=1,ISNUMBER(INDEX(Charge!$N:$N,ROW()))),INDEX(Charge!$N:$N,ROW()),"")</f>
        <v/>
      </c>
      <c r="J131" s="169"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70">
        <f>IF(OR($I131="",$E131=0),0,IF(OR($J131&lt;W$3,$I131&gt;W$2),0,IF($K131=0,IF(AND($I131&gt;=W$3,$I131&lt;=W$2),$E131,0),$E131*NETWORKDAYS(MAX($I131,W$3),MIN($J131,W$2),Data!$K$4:$K$203)/$K131)))</f>
        <v>0</v>
      </c>
      <c r="X131" s="170">
        <f>IF(OR($I131="",$E131=0),0,IF(OR($J131&lt;X$3,$I131&gt;X$2),0,IF($K131=0,IF(AND($I131&gt;=X$3,$I131&lt;=X$2),$E131,0),$E131*NETWORKDAYS(MAX($I131,X$3),MIN($J131,X$2),Data!$K$4:$K$203)/$K131)))</f>
        <v>0</v>
      </c>
      <c r="Y131" s="170">
        <f>IF(OR($I131="",$E131=0),0,IF(OR($J131&lt;Y$3,$I131&gt;Y$2),0,IF($K131=0,IF(AND($I131&gt;=Y$3,$I131&lt;=Y$2),$E131,0),$E131*NETWORKDAYS(MAX($I131,Y$3),MIN($J131,Y$2),Data!$K$4:$K$203)/$K131)))</f>
        <v>0</v>
      </c>
      <c r="Z131" s="170">
        <f>IF(OR($I131="",$E131=0),0,IF(OR($J131&lt;Z$3,$I131&gt;Z$2),0,IF($K131=0,IF(AND($I131&gt;=Z$3,$I131&lt;=Z$2),$E131,0),$E131*NETWORKDAYS(MAX($I131,Z$3),MIN($J131,Z$2),Data!$K$4:$K$203)/$K131)))</f>
        <v>0</v>
      </c>
      <c r="AA131" s="170">
        <f>IF(OR($I131="",$E131=0),0,IF(OR($J131&lt;AA$3,$I131&gt;AA$2),0,IF($K131=0,IF(AND($I131&gt;=AA$3,$I131&lt;=AA$2),$E131,0),$E131*NETWORKDAYS(MAX($I131,AA$3),MIN($J131,AA$2),Data!$K$4:$K$203)/$K131)))</f>
        <v>0</v>
      </c>
      <c r="AB131" s="170">
        <f>IF(OR($I131="",$E131=0),0,IF(OR($J131&lt;AB$3,$I131&gt;AB$2),0,IF($K131=0,IF(AND($I131&gt;=AB$3,$I131&lt;=AB$2),$E131,0),$E131*NETWORKDAYS(MAX($I131,AB$3),MIN($J131,AB$2),Data!$K$4:$K$203)/$K131)))</f>
        <v>0</v>
      </c>
      <c r="AC131" s="170">
        <f>IF(OR($I131="",$E131=0),0,IF(OR($J131&lt;AC$3,$I131&gt;AC$2),0,IF($K131=0,IF(AND($I131&gt;=AC$3,$I131&lt;=AC$2),$E131,0),$E131*NETWORKDAYS(MAX($I131,AC$3),MIN($J131,AC$2),Data!$K$4:$K$203)/$K131)))</f>
        <v>0</v>
      </c>
      <c r="AD131" s="170">
        <f>IF(OR($I131="",$E131=0),0,IF(OR($J131&lt;AD$3,$I131&gt;AD$2),0,IF($K131=0,IF(AND($I131&gt;=AD$3,$I131&lt;=AD$2),$E131,0),$E131*NETWORKDAYS(MAX($I131,AD$3),MIN($J131,AD$2),Data!$K$4:$K$203)/$K131)))</f>
        <v>0</v>
      </c>
      <c r="AE131" s="170">
        <f>IF(OR($I131="",$E131=0),0,IF(OR($J131&lt;AE$3,$I131&gt;AE$2),0,IF($K131=0,IF(AND($I131&gt;=AE$3,$I131&lt;=AE$2),$E131,0),$E131*NETWORKDAYS(MAX($I131,AE$3),MIN($J131,AE$2),Data!$K$4:$K$203)/$K131)))</f>
        <v>0</v>
      </c>
      <c r="AF131" s="170">
        <f>IF(OR($I131="",$E131=0),0,IF(OR($J131&lt;AF$3,$I131&gt;AF$2),0,IF($K131=0,IF(AND($I131&gt;=AF$3,$I131&lt;=AF$2),$E131,0),$E131*NETWORKDAYS(MAX($I131,AF$3),MIN($J131,AF$2),Data!$K$4:$K$203)/$K131)))</f>
        <v>0</v>
      </c>
      <c r="AG131" s="170">
        <f>IF(OR($I131="",$E131=0),0,IF(OR($J131&lt;AG$3,$I131&gt;AG$2),0,IF($K131=0,IF(AND($I131&gt;=AG$3,$I131&lt;=AG$2),$E131,0),$E131*NETWORKDAYS(MAX($I131,AG$3),MIN($J131,AG$2),Data!$K$4:$K$203)/$K131)))</f>
        <v>0</v>
      </c>
      <c r="AH131" s="170">
        <f>IF(OR($I131="",$E131=0),0,IF(OR($J131&lt;AH$3,$I131&gt;AH$2),0,IF($K131=0,IF(AND($I131&gt;=AH$3,$I131&lt;=AH$2),$E131,0),$E131*NETWORKDAYS(MAX($I131,AH$3),MIN($J131,AH$2),Data!$K$4:$K$203)/$K131)))</f>
        <v>0</v>
      </c>
      <c r="AI131" s="170">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70"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4" t="str">
        <f>IF(EO131=1,IF(FH131&gt;0,FI131/FH131,AVERAGEIF($FF$4:$FF$503,EN131,$C$4:$C$503)),"")</f>
        <v/>
      </c>
      <c r="EV131" s="169">
        <f>IF(ISNUMBER(I131),I131,2958465)</f>
        <v>2958465.0</v>
      </c>
      <c r="EW131" s="169" t="str">
        <f>IF(EO131=1,SUMPRODUCT(MIN(($EN$4:$EN$503=EN131)*$EV$4:$EV$503+($EN$4:$EN$503&lt;&gt;EN131)*2958465)),"")</f>
        <v/>
      </c>
      <c r="EX131" s="169">
        <f>IF(AND(D131=1,ISNUMBER(INDEX(Charge!$F:$F,ROW()))),INDEX(Charge!$F:$F,ROW()),0)</f>
        <v>0.0</v>
      </c>
      <c r="EY131" s="169"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c r="FF131" t="str">
        <f>IF(B131=1,LEFT(SUBSTITUTE(SUBSTITUTE(SUBSTITUTE(TRIM(SUBSTITUTE(INDEX(Charge!$B:$B,ROW()),CHAR(160)," "))&amp;" | "&amp;TRIM(SUBSTITUTE(INDEX(Charge!$C:$C,ROW()),CHAR(160)," "))&amp;" | "&amp;TRIM(SUBSTITUTE(INDEX(Charge!$D:$D,ROW()),CHAR(160)," ")),"~","-"),"*","+"),"?","!"),240),"")</f>
        <v/>
      </c>
      <c r="FG131">
        <f>IF(B131=1,MAX(0,N(INDEX(Charge!$M:$M,ROW()))),0)</f>
        <v>0</v>
      </c>
      <c r="FH131" s="170" t="str">
        <f>IF(EO131=1,ROUND(SUMIF($FF$4:$FF$503,EN131,$FG$4:$FG$503),2),"")</f>
        <v/>
      </c>
      <c r="FI131" s="170" t="str">
        <f>IF(EO131=1,ROUND(SUMPRODUCT(($FF$4:$FF$503=EN131)*$FG$4:$FG$503*$C$4:$C$503),2),"")</f>
        <v/>
      </c>
      <c r="FJ131" s="170" t="str">
        <f>IF(EO131=1,MAX(0,ROUND(FH131-FI131,2)),"")</f>
        <v/>
      </c>
      <c r="FK131" s="174" t="str">
        <f>IF(EO131=1,IF(OR(EW131&gt;=2958465,EY131=0,EY131&lt;=EW131),"",IF(TODAY()&lt;=EW131,0,IF(TODAY()&gt;EY131,1,IFERROR(NETWORKDAYS(EW131,TODAY()-1,Data!$K$4:$K$203)/NETWORKDAYS(EW131,EY131,Data!$K$4:$K$203),"")))),"")</f>
        <v/>
      </c>
      <c r="FL131" t="str">
        <f>IF(EO131=1,IF(AND(EY131&gt;0,EY131&lt;TODAY(),ROUND(EU131,4)&lt;1),2,IF(FK131="",0,IF(ROUND(EU131-FK131,4)&lt;-0.15,1,0))),"")</f>
        <v/>
      </c>
      <c r="FM131">
        <f>IF(OR(FA131="",COUNTIF($FA$4:FA130,FA131)&gt;0),0,MAX(0,IF(FB131="Interne",IF(ISNUMBER(INDEX(Data!$F:$F,131)),INDEX(Data!$F:$F,131),p_HeuresETP),IF(ISNUMBER(INDEX(Data!$I:$I,131-$CD$23)),INDEX(Data!$I:$I,131-$CD$23),p_HeuresETP))-IF(FB131="Interne",IF(ISNUMBER(INDEX(Data!$G:$G,131)),INDEX(Data!$G:$G,131),p_ChargeFixe),IF(ISNUMBER(INDEX(Data!$J:$J,131-$CD$23)),INDEX(Data!$J:$J,131-$CD$23),p_ChargeFixe))))</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9" t="str">
        <f>IF(AND(D132=1,ISNUMBER(INDEX(Charge!$N:$N,ROW()))),INDEX(Charge!$N:$N,ROW()),"")</f>
        <v/>
      </c>
      <c r="J132" s="169"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70">
        <f>IF(OR($I132="",$E132=0),0,IF(OR($J132&lt;W$3,$I132&gt;W$2),0,IF($K132=0,IF(AND($I132&gt;=W$3,$I132&lt;=W$2),$E132,0),$E132*NETWORKDAYS(MAX($I132,W$3),MIN($J132,W$2),Data!$K$4:$K$203)/$K132)))</f>
        <v>0</v>
      </c>
      <c r="X132" s="170">
        <f>IF(OR($I132="",$E132=0),0,IF(OR($J132&lt;X$3,$I132&gt;X$2),0,IF($K132=0,IF(AND($I132&gt;=X$3,$I132&lt;=X$2),$E132,0),$E132*NETWORKDAYS(MAX($I132,X$3),MIN($J132,X$2),Data!$K$4:$K$203)/$K132)))</f>
        <v>0</v>
      </c>
      <c r="Y132" s="170">
        <f>IF(OR($I132="",$E132=0),0,IF(OR($J132&lt;Y$3,$I132&gt;Y$2),0,IF($K132=0,IF(AND($I132&gt;=Y$3,$I132&lt;=Y$2),$E132,0),$E132*NETWORKDAYS(MAX($I132,Y$3),MIN($J132,Y$2),Data!$K$4:$K$203)/$K132)))</f>
        <v>0</v>
      </c>
      <c r="Z132" s="170">
        <f>IF(OR($I132="",$E132=0),0,IF(OR($J132&lt;Z$3,$I132&gt;Z$2),0,IF($K132=0,IF(AND($I132&gt;=Z$3,$I132&lt;=Z$2),$E132,0),$E132*NETWORKDAYS(MAX($I132,Z$3),MIN($J132,Z$2),Data!$K$4:$K$203)/$K132)))</f>
        <v>0</v>
      </c>
      <c r="AA132" s="170">
        <f>IF(OR($I132="",$E132=0),0,IF(OR($J132&lt;AA$3,$I132&gt;AA$2),0,IF($K132=0,IF(AND($I132&gt;=AA$3,$I132&lt;=AA$2),$E132,0),$E132*NETWORKDAYS(MAX($I132,AA$3),MIN($J132,AA$2),Data!$K$4:$K$203)/$K132)))</f>
        <v>0</v>
      </c>
      <c r="AB132" s="170">
        <f>IF(OR($I132="",$E132=0),0,IF(OR($J132&lt;AB$3,$I132&gt;AB$2),0,IF($K132=0,IF(AND($I132&gt;=AB$3,$I132&lt;=AB$2),$E132,0),$E132*NETWORKDAYS(MAX($I132,AB$3),MIN($J132,AB$2),Data!$K$4:$K$203)/$K132)))</f>
        <v>0</v>
      </c>
      <c r="AC132" s="170">
        <f>IF(OR($I132="",$E132=0),0,IF(OR($J132&lt;AC$3,$I132&gt;AC$2),0,IF($K132=0,IF(AND($I132&gt;=AC$3,$I132&lt;=AC$2),$E132,0),$E132*NETWORKDAYS(MAX($I132,AC$3),MIN($J132,AC$2),Data!$K$4:$K$203)/$K132)))</f>
        <v>0</v>
      </c>
      <c r="AD132" s="170">
        <f>IF(OR($I132="",$E132=0),0,IF(OR($J132&lt;AD$3,$I132&gt;AD$2),0,IF($K132=0,IF(AND($I132&gt;=AD$3,$I132&lt;=AD$2),$E132,0),$E132*NETWORKDAYS(MAX($I132,AD$3),MIN($J132,AD$2),Data!$K$4:$K$203)/$K132)))</f>
        <v>0</v>
      </c>
      <c r="AE132" s="170">
        <f>IF(OR($I132="",$E132=0),0,IF(OR($J132&lt;AE$3,$I132&gt;AE$2),0,IF($K132=0,IF(AND($I132&gt;=AE$3,$I132&lt;=AE$2),$E132,0),$E132*NETWORKDAYS(MAX($I132,AE$3),MIN($J132,AE$2),Data!$K$4:$K$203)/$K132)))</f>
        <v>0</v>
      </c>
      <c r="AF132" s="170">
        <f>IF(OR($I132="",$E132=0),0,IF(OR($J132&lt;AF$3,$I132&gt;AF$2),0,IF($K132=0,IF(AND($I132&gt;=AF$3,$I132&lt;=AF$2),$E132,0),$E132*NETWORKDAYS(MAX($I132,AF$3),MIN($J132,AF$2),Data!$K$4:$K$203)/$K132)))</f>
        <v>0</v>
      </c>
      <c r="AG132" s="170">
        <f>IF(OR($I132="",$E132=0),0,IF(OR($J132&lt;AG$3,$I132&gt;AG$2),0,IF($K132=0,IF(AND($I132&gt;=AG$3,$I132&lt;=AG$2),$E132,0),$E132*NETWORKDAYS(MAX($I132,AG$3),MIN($J132,AG$2),Data!$K$4:$K$203)/$K132)))</f>
        <v>0</v>
      </c>
      <c r="AH132" s="170">
        <f>IF(OR($I132="",$E132=0),0,IF(OR($J132&lt;AH$3,$I132&gt;AH$2),0,IF($K132=0,IF(AND($I132&gt;=AH$3,$I132&lt;=AH$2),$E132,0),$E132*NETWORKDAYS(MAX($I132,AH$3),MIN($J132,AH$2),Data!$K$4:$K$203)/$K132)))</f>
        <v>0</v>
      </c>
      <c r="AI132" s="170">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70"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4" t="str">
        <f>IF(EO132=1,IF(FH132&gt;0,FI132/FH132,AVERAGEIF($FF$4:$FF$503,EN132,$C$4:$C$503)),"")</f>
        <v/>
      </c>
      <c r="EV132" s="169">
        <f>IF(ISNUMBER(I132),I132,2958465)</f>
        <v>2958465.0</v>
      </c>
      <c r="EW132" s="169" t="str">
        <f>IF(EO132=1,SUMPRODUCT(MIN(($EN$4:$EN$503=EN132)*$EV$4:$EV$503+($EN$4:$EN$503&lt;&gt;EN132)*2958465)),"")</f>
        <v/>
      </c>
      <c r="EX132" s="169">
        <f>IF(AND(D132=1,ISNUMBER(INDEX(Charge!$F:$F,ROW()))),INDEX(Charge!$F:$F,ROW()),0)</f>
        <v>0.0</v>
      </c>
      <c r="EY132" s="169"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c r="FF132" t="str">
        <f>IF(B132=1,LEFT(SUBSTITUTE(SUBSTITUTE(SUBSTITUTE(TRIM(SUBSTITUTE(INDEX(Charge!$B:$B,ROW()),CHAR(160)," "))&amp;" | "&amp;TRIM(SUBSTITUTE(INDEX(Charge!$C:$C,ROW()),CHAR(160)," "))&amp;" | "&amp;TRIM(SUBSTITUTE(INDEX(Charge!$D:$D,ROW()),CHAR(160)," ")),"~","-"),"*","+"),"?","!"),240),"")</f>
        <v/>
      </c>
      <c r="FG132">
        <f>IF(B132=1,MAX(0,N(INDEX(Charge!$M:$M,ROW()))),0)</f>
        <v>0</v>
      </c>
      <c r="FH132" s="170" t="str">
        <f>IF(EO132=1,ROUND(SUMIF($FF$4:$FF$503,EN132,$FG$4:$FG$503),2),"")</f>
        <v/>
      </c>
      <c r="FI132" s="170" t="str">
        <f>IF(EO132=1,ROUND(SUMPRODUCT(($FF$4:$FF$503=EN132)*$FG$4:$FG$503*$C$4:$C$503),2),"")</f>
        <v/>
      </c>
      <c r="FJ132" s="170" t="str">
        <f>IF(EO132=1,MAX(0,ROUND(FH132-FI132,2)),"")</f>
        <v/>
      </c>
      <c r="FK132" s="174" t="str">
        <f>IF(EO132=1,IF(OR(EW132&gt;=2958465,EY132=0,EY132&lt;=EW132),"",IF(TODAY()&lt;=EW132,0,IF(TODAY()&gt;EY132,1,IFERROR(NETWORKDAYS(EW132,TODAY()-1,Data!$K$4:$K$203)/NETWORKDAYS(EW132,EY132,Data!$K$4:$K$203),"")))),"")</f>
        <v/>
      </c>
      <c r="FL132" t="str">
        <f>IF(EO132=1,IF(AND(EY132&gt;0,EY132&lt;TODAY(),ROUND(EU132,4)&lt;1),2,IF(FK132="",0,IF(ROUND(EU132-FK132,4)&lt;-0.15,1,0))),"")</f>
        <v/>
      </c>
      <c r="FM132">
        <f>IF(OR(FA132="",COUNTIF($FA$4:FA131,FA132)&gt;0),0,MAX(0,IF(FB132="Interne",IF(ISNUMBER(INDEX(Data!$F:$F,132)),INDEX(Data!$F:$F,132),p_HeuresETP),IF(ISNUMBER(INDEX(Data!$I:$I,132-$CD$23)),INDEX(Data!$I:$I,132-$CD$23),p_HeuresETP))-IF(FB132="Interne",IF(ISNUMBER(INDEX(Data!$G:$G,132)),INDEX(Data!$G:$G,132),p_ChargeFixe),IF(ISNUMBER(INDEX(Data!$J:$J,132-$CD$23)),INDEX(Data!$J:$J,132-$CD$23),p_ChargeFixe))))</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9" t="str">
        <f>IF(AND(D133=1,ISNUMBER(INDEX(Charge!$N:$N,ROW()))),INDEX(Charge!$N:$N,ROW()),"")</f>
        <v/>
      </c>
      <c r="J133" s="169"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70">
        <f>IF(OR($I133="",$E133=0),0,IF(OR($J133&lt;W$3,$I133&gt;W$2),0,IF($K133=0,IF(AND($I133&gt;=W$3,$I133&lt;=W$2),$E133,0),$E133*NETWORKDAYS(MAX($I133,W$3),MIN($J133,W$2),Data!$K$4:$K$203)/$K133)))</f>
        <v>0</v>
      </c>
      <c r="X133" s="170">
        <f>IF(OR($I133="",$E133=0),0,IF(OR($J133&lt;X$3,$I133&gt;X$2),0,IF($K133=0,IF(AND($I133&gt;=X$3,$I133&lt;=X$2),$E133,0),$E133*NETWORKDAYS(MAX($I133,X$3),MIN($J133,X$2),Data!$K$4:$K$203)/$K133)))</f>
        <v>0</v>
      </c>
      <c r="Y133" s="170">
        <f>IF(OR($I133="",$E133=0),0,IF(OR($J133&lt;Y$3,$I133&gt;Y$2),0,IF($K133=0,IF(AND($I133&gt;=Y$3,$I133&lt;=Y$2),$E133,0),$E133*NETWORKDAYS(MAX($I133,Y$3),MIN($J133,Y$2),Data!$K$4:$K$203)/$K133)))</f>
        <v>0</v>
      </c>
      <c r="Z133" s="170">
        <f>IF(OR($I133="",$E133=0),0,IF(OR($J133&lt;Z$3,$I133&gt;Z$2),0,IF($K133=0,IF(AND($I133&gt;=Z$3,$I133&lt;=Z$2),$E133,0),$E133*NETWORKDAYS(MAX($I133,Z$3),MIN($J133,Z$2),Data!$K$4:$K$203)/$K133)))</f>
        <v>0</v>
      </c>
      <c r="AA133" s="170">
        <f>IF(OR($I133="",$E133=0),0,IF(OR($J133&lt;AA$3,$I133&gt;AA$2),0,IF($K133=0,IF(AND($I133&gt;=AA$3,$I133&lt;=AA$2),$E133,0),$E133*NETWORKDAYS(MAX($I133,AA$3),MIN($J133,AA$2),Data!$K$4:$K$203)/$K133)))</f>
        <v>0</v>
      </c>
      <c r="AB133" s="170">
        <f>IF(OR($I133="",$E133=0),0,IF(OR($J133&lt;AB$3,$I133&gt;AB$2),0,IF($K133=0,IF(AND($I133&gt;=AB$3,$I133&lt;=AB$2),$E133,0),$E133*NETWORKDAYS(MAX($I133,AB$3),MIN($J133,AB$2),Data!$K$4:$K$203)/$K133)))</f>
        <v>0</v>
      </c>
      <c r="AC133" s="170">
        <f>IF(OR($I133="",$E133=0),0,IF(OR($J133&lt;AC$3,$I133&gt;AC$2),0,IF($K133=0,IF(AND($I133&gt;=AC$3,$I133&lt;=AC$2),$E133,0),$E133*NETWORKDAYS(MAX($I133,AC$3),MIN($J133,AC$2),Data!$K$4:$K$203)/$K133)))</f>
        <v>0</v>
      </c>
      <c r="AD133" s="170">
        <f>IF(OR($I133="",$E133=0),0,IF(OR($J133&lt;AD$3,$I133&gt;AD$2),0,IF($K133=0,IF(AND($I133&gt;=AD$3,$I133&lt;=AD$2),$E133,0),$E133*NETWORKDAYS(MAX($I133,AD$3),MIN($J133,AD$2),Data!$K$4:$K$203)/$K133)))</f>
        <v>0</v>
      </c>
      <c r="AE133" s="170">
        <f>IF(OR($I133="",$E133=0),0,IF(OR($J133&lt;AE$3,$I133&gt;AE$2),0,IF($K133=0,IF(AND($I133&gt;=AE$3,$I133&lt;=AE$2),$E133,0),$E133*NETWORKDAYS(MAX($I133,AE$3),MIN($J133,AE$2),Data!$K$4:$K$203)/$K133)))</f>
        <v>0</v>
      </c>
      <c r="AF133" s="170">
        <f>IF(OR($I133="",$E133=0),0,IF(OR($J133&lt;AF$3,$I133&gt;AF$2),0,IF($K133=0,IF(AND($I133&gt;=AF$3,$I133&lt;=AF$2),$E133,0),$E133*NETWORKDAYS(MAX($I133,AF$3),MIN($J133,AF$2),Data!$K$4:$K$203)/$K133)))</f>
        <v>0</v>
      </c>
      <c r="AG133" s="170">
        <f>IF(OR($I133="",$E133=0),0,IF(OR($J133&lt;AG$3,$I133&gt;AG$2),0,IF($K133=0,IF(AND($I133&gt;=AG$3,$I133&lt;=AG$2),$E133,0),$E133*NETWORKDAYS(MAX($I133,AG$3),MIN($J133,AG$2),Data!$K$4:$K$203)/$K133)))</f>
        <v>0</v>
      </c>
      <c r="AH133" s="170">
        <f>IF(OR($I133="",$E133=0),0,IF(OR($J133&lt;AH$3,$I133&gt;AH$2),0,IF($K133=0,IF(AND($I133&gt;=AH$3,$I133&lt;=AH$2),$E133,0),$E133*NETWORKDAYS(MAX($I133,AH$3),MIN($J133,AH$2),Data!$K$4:$K$203)/$K133)))</f>
        <v>0</v>
      </c>
      <c r="AI133" s="170">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70"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4" t="str">
        <f>IF(EO133=1,IF(FH133&gt;0,FI133/FH133,AVERAGEIF($FF$4:$FF$503,EN133,$C$4:$C$503)),"")</f>
        <v/>
      </c>
      <c r="EV133" s="169">
        <f>IF(ISNUMBER(I133),I133,2958465)</f>
        <v>2958465.0</v>
      </c>
      <c r="EW133" s="169" t="str">
        <f>IF(EO133=1,SUMPRODUCT(MIN(($EN$4:$EN$503=EN133)*$EV$4:$EV$503+($EN$4:$EN$503&lt;&gt;EN133)*2958465)),"")</f>
        <v/>
      </c>
      <c r="EX133" s="169">
        <f>IF(AND(D133=1,ISNUMBER(INDEX(Charge!$F:$F,ROW()))),INDEX(Charge!$F:$F,ROW()),0)</f>
        <v>0.0</v>
      </c>
      <c r="EY133" s="169"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c r="FF133" t="str">
        <f>IF(B133=1,LEFT(SUBSTITUTE(SUBSTITUTE(SUBSTITUTE(TRIM(SUBSTITUTE(INDEX(Charge!$B:$B,ROW()),CHAR(160)," "))&amp;" | "&amp;TRIM(SUBSTITUTE(INDEX(Charge!$C:$C,ROW()),CHAR(160)," "))&amp;" | "&amp;TRIM(SUBSTITUTE(INDEX(Charge!$D:$D,ROW()),CHAR(160)," ")),"~","-"),"*","+"),"?","!"),240),"")</f>
        <v/>
      </c>
      <c r="FG133">
        <f>IF(B133=1,MAX(0,N(INDEX(Charge!$M:$M,ROW()))),0)</f>
        <v>0</v>
      </c>
      <c r="FH133" s="170" t="str">
        <f>IF(EO133=1,ROUND(SUMIF($FF$4:$FF$503,EN133,$FG$4:$FG$503),2),"")</f>
        <v/>
      </c>
      <c r="FI133" s="170" t="str">
        <f>IF(EO133=1,ROUND(SUMPRODUCT(($FF$4:$FF$503=EN133)*$FG$4:$FG$503*$C$4:$C$503),2),"")</f>
        <v/>
      </c>
      <c r="FJ133" s="170" t="str">
        <f>IF(EO133=1,MAX(0,ROUND(FH133-FI133,2)),"")</f>
        <v/>
      </c>
      <c r="FK133" s="174" t="str">
        <f>IF(EO133=1,IF(OR(EW133&gt;=2958465,EY133=0,EY133&lt;=EW133),"",IF(TODAY()&lt;=EW133,0,IF(TODAY()&gt;EY133,1,IFERROR(NETWORKDAYS(EW133,TODAY()-1,Data!$K$4:$K$203)/NETWORKDAYS(EW133,EY133,Data!$K$4:$K$203),"")))),"")</f>
        <v/>
      </c>
      <c r="FL133" t="str">
        <f>IF(EO133=1,IF(AND(EY133&gt;0,EY133&lt;TODAY(),ROUND(EU133,4)&lt;1),2,IF(FK133="",0,IF(ROUND(EU133-FK133,4)&lt;-0.15,1,0))),"")</f>
        <v/>
      </c>
      <c r="FM133">
        <f>IF(OR(FA133="",COUNTIF($FA$4:FA132,FA133)&gt;0),0,MAX(0,IF(FB133="Interne",IF(ISNUMBER(INDEX(Data!$F:$F,133)),INDEX(Data!$F:$F,133),p_HeuresETP),IF(ISNUMBER(INDEX(Data!$I:$I,133-$CD$23)),INDEX(Data!$I:$I,133-$CD$23),p_HeuresETP))-IF(FB133="Interne",IF(ISNUMBER(INDEX(Data!$G:$G,133)),INDEX(Data!$G:$G,133),p_ChargeFixe),IF(ISNUMBER(INDEX(Data!$J:$J,133-$CD$23)),INDEX(Data!$J:$J,133-$CD$23),p_ChargeFixe))))</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9" t="str">
        <f>IF(AND(D134=1,ISNUMBER(INDEX(Charge!$N:$N,ROW()))),INDEX(Charge!$N:$N,ROW()),"")</f>
        <v/>
      </c>
      <c r="J134" s="169"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70">
        <f>IF(OR($I134="",$E134=0),0,IF(OR($J134&lt;W$3,$I134&gt;W$2),0,IF($K134=0,IF(AND($I134&gt;=W$3,$I134&lt;=W$2),$E134,0),$E134*NETWORKDAYS(MAX($I134,W$3),MIN($J134,W$2),Data!$K$4:$K$203)/$K134)))</f>
        <v>0</v>
      </c>
      <c r="X134" s="170">
        <f>IF(OR($I134="",$E134=0),0,IF(OR($J134&lt;X$3,$I134&gt;X$2),0,IF($K134=0,IF(AND($I134&gt;=X$3,$I134&lt;=X$2),$E134,0),$E134*NETWORKDAYS(MAX($I134,X$3),MIN($J134,X$2),Data!$K$4:$K$203)/$K134)))</f>
        <v>0</v>
      </c>
      <c r="Y134" s="170">
        <f>IF(OR($I134="",$E134=0),0,IF(OR($J134&lt;Y$3,$I134&gt;Y$2),0,IF($K134=0,IF(AND($I134&gt;=Y$3,$I134&lt;=Y$2),$E134,0),$E134*NETWORKDAYS(MAX($I134,Y$3),MIN($J134,Y$2),Data!$K$4:$K$203)/$K134)))</f>
        <v>0</v>
      </c>
      <c r="Z134" s="170">
        <f>IF(OR($I134="",$E134=0),0,IF(OR($J134&lt;Z$3,$I134&gt;Z$2),0,IF($K134=0,IF(AND($I134&gt;=Z$3,$I134&lt;=Z$2),$E134,0),$E134*NETWORKDAYS(MAX($I134,Z$3),MIN($J134,Z$2),Data!$K$4:$K$203)/$K134)))</f>
        <v>0</v>
      </c>
      <c r="AA134" s="170">
        <f>IF(OR($I134="",$E134=0),0,IF(OR($J134&lt;AA$3,$I134&gt;AA$2),0,IF($K134=0,IF(AND($I134&gt;=AA$3,$I134&lt;=AA$2),$E134,0),$E134*NETWORKDAYS(MAX($I134,AA$3),MIN($J134,AA$2),Data!$K$4:$K$203)/$K134)))</f>
        <v>0</v>
      </c>
      <c r="AB134" s="170">
        <f>IF(OR($I134="",$E134=0),0,IF(OR($J134&lt;AB$3,$I134&gt;AB$2),0,IF($K134=0,IF(AND($I134&gt;=AB$3,$I134&lt;=AB$2),$E134,0),$E134*NETWORKDAYS(MAX($I134,AB$3),MIN($J134,AB$2),Data!$K$4:$K$203)/$K134)))</f>
        <v>0</v>
      </c>
      <c r="AC134" s="170">
        <f>IF(OR($I134="",$E134=0),0,IF(OR($J134&lt;AC$3,$I134&gt;AC$2),0,IF($K134=0,IF(AND($I134&gt;=AC$3,$I134&lt;=AC$2),$E134,0),$E134*NETWORKDAYS(MAX($I134,AC$3),MIN($J134,AC$2),Data!$K$4:$K$203)/$K134)))</f>
        <v>0</v>
      </c>
      <c r="AD134" s="170">
        <f>IF(OR($I134="",$E134=0),0,IF(OR($J134&lt;AD$3,$I134&gt;AD$2),0,IF($K134=0,IF(AND($I134&gt;=AD$3,$I134&lt;=AD$2),$E134,0),$E134*NETWORKDAYS(MAX($I134,AD$3),MIN($J134,AD$2),Data!$K$4:$K$203)/$K134)))</f>
        <v>0</v>
      </c>
      <c r="AE134" s="170">
        <f>IF(OR($I134="",$E134=0),0,IF(OR($J134&lt;AE$3,$I134&gt;AE$2),0,IF($K134=0,IF(AND($I134&gt;=AE$3,$I134&lt;=AE$2),$E134,0),$E134*NETWORKDAYS(MAX($I134,AE$3),MIN($J134,AE$2),Data!$K$4:$K$203)/$K134)))</f>
        <v>0</v>
      </c>
      <c r="AF134" s="170">
        <f>IF(OR($I134="",$E134=0),0,IF(OR($J134&lt;AF$3,$I134&gt;AF$2),0,IF($K134=0,IF(AND($I134&gt;=AF$3,$I134&lt;=AF$2),$E134,0),$E134*NETWORKDAYS(MAX($I134,AF$3),MIN($J134,AF$2),Data!$K$4:$K$203)/$K134)))</f>
        <v>0</v>
      </c>
      <c r="AG134" s="170">
        <f>IF(OR($I134="",$E134=0),0,IF(OR($J134&lt;AG$3,$I134&gt;AG$2),0,IF($K134=0,IF(AND($I134&gt;=AG$3,$I134&lt;=AG$2),$E134,0),$E134*NETWORKDAYS(MAX($I134,AG$3),MIN($J134,AG$2),Data!$K$4:$K$203)/$K134)))</f>
        <v>0</v>
      </c>
      <c r="AH134" s="170">
        <f>IF(OR($I134="",$E134=0),0,IF(OR($J134&lt;AH$3,$I134&gt;AH$2),0,IF($K134=0,IF(AND($I134&gt;=AH$3,$I134&lt;=AH$2),$E134,0),$E134*NETWORKDAYS(MAX($I134,AH$3),MIN($J134,AH$2),Data!$K$4:$K$203)/$K134)))</f>
        <v>0</v>
      </c>
      <c r="AI134" s="170">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70"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4" t="str">
        <f>IF(EO134=1,IF(FH134&gt;0,FI134/FH134,AVERAGEIF($FF$4:$FF$503,EN134,$C$4:$C$503)),"")</f>
        <v/>
      </c>
      <c r="EV134" s="169">
        <f>IF(ISNUMBER(I134),I134,2958465)</f>
        <v>2958465.0</v>
      </c>
      <c r="EW134" s="169" t="str">
        <f>IF(EO134=1,SUMPRODUCT(MIN(($EN$4:$EN$503=EN134)*$EV$4:$EV$503+($EN$4:$EN$503&lt;&gt;EN134)*2958465)),"")</f>
        <v/>
      </c>
      <c r="EX134" s="169">
        <f>IF(AND(D134=1,ISNUMBER(INDEX(Charge!$F:$F,ROW()))),INDEX(Charge!$F:$F,ROW()),0)</f>
        <v>0.0</v>
      </c>
      <c r="EY134" s="169"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c r="FF134" t="str">
        <f>IF(B134=1,LEFT(SUBSTITUTE(SUBSTITUTE(SUBSTITUTE(TRIM(SUBSTITUTE(INDEX(Charge!$B:$B,ROW()),CHAR(160)," "))&amp;" | "&amp;TRIM(SUBSTITUTE(INDEX(Charge!$C:$C,ROW()),CHAR(160)," "))&amp;" | "&amp;TRIM(SUBSTITUTE(INDEX(Charge!$D:$D,ROW()),CHAR(160)," ")),"~","-"),"*","+"),"?","!"),240),"")</f>
        <v/>
      </c>
      <c r="FG134">
        <f>IF(B134=1,MAX(0,N(INDEX(Charge!$M:$M,ROW()))),0)</f>
        <v>0</v>
      </c>
      <c r="FH134" s="170" t="str">
        <f>IF(EO134=1,ROUND(SUMIF($FF$4:$FF$503,EN134,$FG$4:$FG$503),2),"")</f>
        <v/>
      </c>
      <c r="FI134" s="170" t="str">
        <f>IF(EO134=1,ROUND(SUMPRODUCT(($FF$4:$FF$503=EN134)*$FG$4:$FG$503*$C$4:$C$503),2),"")</f>
        <v/>
      </c>
      <c r="FJ134" s="170" t="str">
        <f>IF(EO134=1,MAX(0,ROUND(FH134-FI134,2)),"")</f>
        <v/>
      </c>
      <c r="FK134" s="174" t="str">
        <f>IF(EO134=1,IF(OR(EW134&gt;=2958465,EY134=0,EY134&lt;=EW134),"",IF(TODAY()&lt;=EW134,0,IF(TODAY()&gt;EY134,1,IFERROR(NETWORKDAYS(EW134,TODAY()-1,Data!$K$4:$K$203)/NETWORKDAYS(EW134,EY134,Data!$K$4:$K$203),"")))),"")</f>
        <v/>
      </c>
      <c r="FL134" t="str">
        <f>IF(EO134=1,IF(AND(EY134&gt;0,EY134&lt;TODAY(),ROUND(EU134,4)&lt;1),2,IF(FK134="",0,IF(ROUND(EU134-FK134,4)&lt;-0.15,1,0))),"")</f>
        <v/>
      </c>
      <c r="FM134">
        <f>IF(OR(FA134="",COUNTIF($FA$4:FA133,FA134)&gt;0),0,MAX(0,IF(FB134="Interne",IF(ISNUMBER(INDEX(Data!$F:$F,134)),INDEX(Data!$F:$F,134),p_HeuresETP),IF(ISNUMBER(INDEX(Data!$I:$I,134-$CD$23)),INDEX(Data!$I:$I,134-$CD$23),p_HeuresETP))-IF(FB134="Interne",IF(ISNUMBER(INDEX(Data!$G:$G,134)),INDEX(Data!$G:$G,134),p_ChargeFixe),IF(ISNUMBER(INDEX(Data!$J:$J,134-$CD$23)),INDEX(Data!$J:$J,134-$CD$23),p_ChargeFixe))))</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9" t="str">
        <f>IF(AND(D135=1,ISNUMBER(INDEX(Charge!$N:$N,ROW()))),INDEX(Charge!$N:$N,ROW()),"")</f>
        <v/>
      </c>
      <c r="J135" s="169"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70">
        <f>IF(OR($I135="",$E135=0),0,IF(OR($J135&lt;W$3,$I135&gt;W$2),0,IF($K135=0,IF(AND($I135&gt;=W$3,$I135&lt;=W$2),$E135,0),$E135*NETWORKDAYS(MAX($I135,W$3),MIN($J135,W$2),Data!$K$4:$K$203)/$K135)))</f>
        <v>0</v>
      </c>
      <c r="X135" s="170">
        <f>IF(OR($I135="",$E135=0),0,IF(OR($J135&lt;X$3,$I135&gt;X$2),0,IF($K135=0,IF(AND($I135&gt;=X$3,$I135&lt;=X$2),$E135,0),$E135*NETWORKDAYS(MAX($I135,X$3),MIN($J135,X$2),Data!$K$4:$K$203)/$K135)))</f>
        <v>0</v>
      </c>
      <c r="Y135" s="170">
        <f>IF(OR($I135="",$E135=0),0,IF(OR($J135&lt;Y$3,$I135&gt;Y$2),0,IF($K135=0,IF(AND($I135&gt;=Y$3,$I135&lt;=Y$2),$E135,0),$E135*NETWORKDAYS(MAX($I135,Y$3),MIN($J135,Y$2),Data!$K$4:$K$203)/$K135)))</f>
        <v>0</v>
      </c>
      <c r="Z135" s="170">
        <f>IF(OR($I135="",$E135=0),0,IF(OR($J135&lt;Z$3,$I135&gt;Z$2),0,IF($K135=0,IF(AND($I135&gt;=Z$3,$I135&lt;=Z$2),$E135,0),$E135*NETWORKDAYS(MAX($I135,Z$3),MIN($J135,Z$2),Data!$K$4:$K$203)/$K135)))</f>
        <v>0</v>
      </c>
      <c r="AA135" s="170">
        <f>IF(OR($I135="",$E135=0),0,IF(OR($J135&lt;AA$3,$I135&gt;AA$2),0,IF($K135=0,IF(AND($I135&gt;=AA$3,$I135&lt;=AA$2),$E135,0),$E135*NETWORKDAYS(MAX($I135,AA$3),MIN($J135,AA$2),Data!$K$4:$K$203)/$K135)))</f>
        <v>0</v>
      </c>
      <c r="AB135" s="170">
        <f>IF(OR($I135="",$E135=0),0,IF(OR($J135&lt;AB$3,$I135&gt;AB$2),0,IF($K135=0,IF(AND($I135&gt;=AB$3,$I135&lt;=AB$2),$E135,0),$E135*NETWORKDAYS(MAX($I135,AB$3),MIN($J135,AB$2),Data!$K$4:$K$203)/$K135)))</f>
        <v>0</v>
      </c>
      <c r="AC135" s="170">
        <f>IF(OR($I135="",$E135=0),0,IF(OR($J135&lt;AC$3,$I135&gt;AC$2),0,IF($K135=0,IF(AND($I135&gt;=AC$3,$I135&lt;=AC$2),$E135,0),$E135*NETWORKDAYS(MAX($I135,AC$3),MIN($J135,AC$2),Data!$K$4:$K$203)/$K135)))</f>
        <v>0</v>
      </c>
      <c r="AD135" s="170">
        <f>IF(OR($I135="",$E135=0),0,IF(OR($J135&lt;AD$3,$I135&gt;AD$2),0,IF($K135=0,IF(AND($I135&gt;=AD$3,$I135&lt;=AD$2),$E135,0),$E135*NETWORKDAYS(MAX($I135,AD$3),MIN($J135,AD$2),Data!$K$4:$K$203)/$K135)))</f>
        <v>0</v>
      </c>
      <c r="AE135" s="170">
        <f>IF(OR($I135="",$E135=0),0,IF(OR($J135&lt;AE$3,$I135&gt;AE$2),0,IF($K135=0,IF(AND($I135&gt;=AE$3,$I135&lt;=AE$2),$E135,0),$E135*NETWORKDAYS(MAX($I135,AE$3),MIN($J135,AE$2),Data!$K$4:$K$203)/$K135)))</f>
        <v>0</v>
      </c>
      <c r="AF135" s="170">
        <f>IF(OR($I135="",$E135=0),0,IF(OR($J135&lt;AF$3,$I135&gt;AF$2),0,IF($K135=0,IF(AND($I135&gt;=AF$3,$I135&lt;=AF$2),$E135,0),$E135*NETWORKDAYS(MAX($I135,AF$3),MIN($J135,AF$2),Data!$K$4:$K$203)/$K135)))</f>
        <v>0</v>
      </c>
      <c r="AG135" s="170">
        <f>IF(OR($I135="",$E135=0),0,IF(OR($J135&lt;AG$3,$I135&gt;AG$2),0,IF($K135=0,IF(AND($I135&gt;=AG$3,$I135&lt;=AG$2),$E135,0),$E135*NETWORKDAYS(MAX($I135,AG$3),MIN($J135,AG$2),Data!$K$4:$K$203)/$K135)))</f>
        <v>0</v>
      </c>
      <c r="AH135" s="170">
        <f>IF(OR($I135="",$E135=0),0,IF(OR($J135&lt;AH$3,$I135&gt;AH$2),0,IF($K135=0,IF(AND($I135&gt;=AH$3,$I135&lt;=AH$2),$E135,0),$E135*NETWORKDAYS(MAX($I135,AH$3),MIN($J135,AH$2),Data!$K$4:$K$203)/$K135)))</f>
        <v>0</v>
      </c>
      <c r="AI135" s="170">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70"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4" t="str">
        <f>IF(EO135=1,IF(FH135&gt;0,FI135/FH135,AVERAGEIF($FF$4:$FF$503,EN135,$C$4:$C$503)),"")</f>
        <v/>
      </c>
      <c r="EV135" s="169">
        <f>IF(ISNUMBER(I135),I135,2958465)</f>
        <v>2958465.0</v>
      </c>
      <c r="EW135" s="169" t="str">
        <f>IF(EO135=1,SUMPRODUCT(MIN(($EN$4:$EN$503=EN135)*$EV$4:$EV$503+($EN$4:$EN$503&lt;&gt;EN135)*2958465)),"")</f>
        <v/>
      </c>
      <c r="EX135" s="169">
        <f>IF(AND(D135=1,ISNUMBER(INDEX(Charge!$F:$F,ROW()))),INDEX(Charge!$F:$F,ROW()),0)</f>
        <v>0.0</v>
      </c>
      <c r="EY135" s="169"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c r="FF135" t="str">
        <f>IF(B135=1,LEFT(SUBSTITUTE(SUBSTITUTE(SUBSTITUTE(TRIM(SUBSTITUTE(INDEX(Charge!$B:$B,ROW()),CHAR(160)," "))&amp;" | "&amp;TRIM(SUBSTITUTE(INDEX(Charge!$C:$C,ROW()),CHAR(160)," "))&amp;" | "&amp;TRIM(SUBSTITUTE(INDEX(Charge!$D:$D,ROW()),CHAR(160)," ")),"~","-"),"*","+"),"?","!"),240),"")</f>
        <v/>
      </c>
      <c r="FG135">
        <f>IF(B135=1,MAX(0,N(INDEX(Charge!$M:$M,ROW()))),0)</f>
        <v>0</v>
      </c>
      <c r="FH135" s="170" t="str">
        <f>IF(EO135=1,ROUND(SUMIF($FF$4:$FF$503,EN135,$FG$4:$FG$503),2),"")</f>
        <v/>
      </c>
      <c r="FI135" s="170" t="str">
        <f>IF(EO135=1,ROUND(SUMPRODUCT(($FF$4:$FF$503=EN135)*$FG$4:$FG$503*$C$4:$C$503),2),"")</f>
        <v/>
      </c>
      <c r="FJ135" s="170" t="str">
        <f>IF(EO135=1,MAX(0,ROUND(FH135-FI135,2)),"")</f>
        <v/>
      </c>
      <c r="FK135" s="174" t="str">
        <f>IF(EO135=1,IF(OR(EW135&gt;=2958465,EY135=0,EY135&lt;=EW135),"",IF(TODAY()&lt;=EW135,0,IF(TODAY()&gt;EY135,1,IFERROR(NETWORKDAYS(EW135,TODAY()-1,Data!$K$4:$K$203)/NETWORKDAYS(EW135,EY135,Data!$K$4:$K$203),"")))),"")</f>
        <v/>
      </c>
      <c r="FL135" t="str">
        <f>IF(EO135=1,IF(AND(EY135&gt;0,EY135&lt;TODAY(),ROUND(EU135,4)&lt;1),2,IF(FK135="",0,IF(ROUND(EU135-FK135,4)&lt;-0.15,1,0))),"")</f>
        <v/>
      </c>
      <c r="FM135">
        <f>IF(OR(FA135="",COUNTIF($FA$4:FA134,FA135)&gt;0),0,MAX(0,IF(FB135="Interne",IF(ISNUMBER(INDEX(Data!$F:$F,135)),INDEX(Data!$F:$F,135),p_HeuresETP),IF(ISNUMBER(INDEX(Data!$I:$I,135-$CD$23)),INDEX(Data!$I:$I,135-$CD$23),p_HeuresETP))-IF(FB135="Interne",IF(ISNUMBER(INDEX(Data!$G:$G,135)),INDEX(Data!$G:$G,135),p_ChargeFixe),IF(ISNUMBER(INDEX(Data!$J:$J,135-$CD$23)),INDEX(Data!$J:$J,135-$CD$23),p_ChargeFixe))))</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9" t="str">
        <f>IF(AND(D136=1,ISNUMBER(INDEX(Charge!$N:$N,ROW()))),INDEX(Charge!$N:$N,ROW()),"")</f>
        <v/>
      </c>
      <c r="J136" s="169"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70">
        <f>IF(OR($I136="",$E136=0),0,IF(OR($J136&lt;W$3,$I136&gt;W$2),0,IF($K136=0,IF(AND($I136&gt;=W$3,$I136&lt;=W$2),$E136,0),$E136*NETWORKDAYS(MAX($I136,W$3),MIN($J136,W$2),Data!$K$4:$K$203)/$K136)))</f>
        <v>0</v>
      </c>
      <c r="X136" s="170">
        <f>IF(OR($I136="",$E136=0),0,IF(OR($J136&lt;X$3,$I136&gt;X$2),0,IF($K136=0,IF(AND($I136&gt;=X$3,$I136&lt;=X$2),$E136,0),$E136*NETWORKDAYS(MAX($I136,X$3),MIN($J136,X$2),Data!$K$4:$K$203)/$K136)))</f>
        <v>0</v>
      </c>
      <c r="Y136" s="170">
        <f>IF(OR($I136="",$E136=0),0,IF(OR($J136&lt;Y$3,$I136&gt;Y$2),0,IF($K136=0,IF(AND($I136&gt;=Y$3,$I136&lt;=Y$2),$E136,0),$E136*NETWORKDAYS(MAX($I136,Y$3),MIN($J136,Y$2),Data!$K$4:$K$203)/$K136)))</f>
        <v>0</v>
      </c>
      <c r="Z136" s="170">
        <f>IF(OR($I136="",$E136=0),0,IF(OR($J136&lt;Z$3,$I136&gt;Z$2),0,IF($K136=0,IF(AND($I136&gt;=Z$3,$I136&lt;=Z$2),$E136,0),$E136*NETWORKDAYS(MAX($I136,Z$3),MIN($J136,Z$2),Data!$K$4:$K$203)/$K136)))</f>
        <v>0</v>
      </c>
      <c r="AA136" s="170">
        <f>IF(OR($I136="",$E136=0),0,IF(OR($J136&lt;AA$3,$I136&gt;AA$2),0,IF($K136=0,IF(AND($I136&gt;=AA$3,$I136&lt;=AA$2),$E136,0),$E136*NETWORKDAYS(MAX($I136,AA$3),MIN($J136,AA$2),Data!$K$4:$K$203)/$K136)))</f>
        <v>0</v>
      </c>
      <c r="AB136" s="170">
        <f>IF(OR($I136="",$E136=0),0,IF(OR($J136&lt;AB$3,$I136&gt;AB$2),0,IF($K136=0,IF(AND($I136&gt;=AB$3,$I136&lt;=AB$2),$E136,0),$E136*NETWORKDAYS(MAX($I136,AB$3),MIN($J136,AB$2),Data!$K$4:$K$203)/$K136)))</f>
        <v>0</v>
      </c>
      <c r="AC136" s="170">
        <f>IF(OR($I136="",$E136=0),0,IF(OR($J136&lt;AC$3,$I136&gt;AC$2),0,IF($K136=0,IF(AND($I136&gt;=AC$3,$I136&lt;=AC$2),$E136,0),$E136*NETWORKDAYS(MAX($I136,AC$3),MIN($J136,AC$2),Data!$K$4:$K$203)/$K136)))</f>
        <v>0</v>
      </c>
      <c r="AD136" s="170">
        <f>IF(OR($I136="",$E136=0),0,IF(OR($J136&lt;AD$3,$I136&gt;AD$2),0,IF($K136=0,IF(AND($I136&gt;=AD$3,$I136&lt;=AD$2),$E136,0),$E136*NETWORKDAYS(MAX($I136,AD$3),MIN($J136,AD$2),Data!$K$4:$K$203)/$K136)))</f>
        <v>0</v>
      </c>
      <c r="AE136" s="170">
        <f>IF(OR($I136="",$E136=0),0,IF(OR($J136&lt;AE$3,$I136&gt;AE$2),0,IF($K136=0,IF(AND($I136&gt;=AE$3,$I136&lt;=AE$2),$E136,0),$E136*NETWORKDAYS(MAX($I136,AE$3),MIN($J136,AE$2),Data!$K$4:$K$203)/$K136)))</f>
        <v>0</v>
      </c>
      <c r="AF136" s="170">
        <f>IF(OR($I136="",$E136=0),0,IF(OR($J136&lt;AF$3,$I136&gt;AF$2),0,IF($K136=0,IF(AND($I136&gt;=AF$3,$I136&lt;=AF$2),$E136,0),$E136*NETWORKDAYS(MAX($I136,AF$3),MIN($J136,AF$2),Data!$K$4:$K$203)/$K136)))</f>
        <v>0</v>
      </c>
      <c r="AG136" s="170">
        <f>IF(OR($I136="",$E136=0),0,IF(OR($J136&lt;AG$3,$I136&gt;AG$2),0,IF($K136=0,IF(AND($I136&gt;=AG$3,$I136&lt;=AG$2),$E136,0),$E136*NETWORKDAYS(MAX($I136,AG$3),MIN($J136,AG$2),Data!$K$4:$K$203)/$K136)))</f>
        <v>0</v>
      </c>
      <c r="AH136" s="170">
        <f>IF(OR($I136="",$E136=0),0,IF(OR($J136&lt;AH$3,$I136&gt;AH$2),0,IF($K136=0,IF(AND($I136&gt;=AH$3,$I136&lt;=AH$2),$E136,0),$E136*NETWORKDAYS(MAX($I136,AH$3),MIN($J136,AH$2),Data!$K$4:$K$203)/$K136)))</f>
        <v>0</v>
      </c>
      <c r="AI136" s="170">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70"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4" t="str">
        <f>IF(EO136=1,IF(FH136&gt;0,FI136/FH136,AVERAGEIF($FF$4:$FF$503,EN136,$C$4:$C$503)),"")</f>
        <v/>
      </c>
      <c r="EV136" s="169">
        <f>IF(ISNUMBER(I136),I136,2958465)</f>
        <v>2958465.0</v>
      </c>
      <c r="EW136" s="169" t="str">
        <f>IF(EO136=1,SUMPRODUCT(MIN(($EN$4:$EN$503=EN136)*$EV$4:$EV$503+($EN$4:$EN$503&lt;&gt;EN136)*2958465)),"")</f>
        <v/>
      </c>
      <c r="EX136" s="169">
        <f>IF(AND(D136=1,ISNUMBER(INDEX(Charge!$F:$F,ROW()))),INDEX(Charge!$F:$F,ROW()),0)</f>
        <v>0.0</v>
      </c>
      <c r="EY136" s="169"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c r="FF136" t="str">
        <f>IF(B136=1,LEFT(SUBSTITUTE(SUBSTITUTE(SUBSTITUTE(TRIM(SUBSTITUTE(INDEX(Charge!$B:$B,ROW()),CHAR(160)," "))&amp;" | "&amp;TRIM(SUBSTITUTE(INDEX(Charge!$C:$C,ROW()),CHAR(160)," "))&amp;" | "&amp;TRIM(SUBSTITUTE(INDEX(Charge!$D:$D,ROW()),CHAR(160)," ")),"~","-"),"*","+"),"?","!"),240),"")</f>
        <v/>
      </c>
      <c r="FG136">
        <f>IF(B136=1,MAX(0,N(INDEX(Charge!$M:$M,ROW()))),0)</f>
        <v>0</v>
      </c>
      <c r="FH136" s="170" t="str">
        <f>IF(EO136=1,ROUND(SUMIF($FF$4:$FF$503,EN136,$FG$4:$FG$503),2),"")</f>
        <v/>
      </c>
      <c r="FI136" s="170" t="str">
        <f>IF(EO136=1,ROUND(SUMPRODUCT(($FF$4:$FF$503=EN136)*$FG$4:$FG$503*$C$4:$C$503),2),"")</f>
        <v/>
      </c>
      <c r="FJ136" s="170" t="str">
        <f>IF(EO136=1,MAX(0,ROUND(FH136-FI136,2)),"")</f>
        <v/>
      </c>
      <c r="FK136" s="174" t="str">
        <f>IF(EO136=1,IF(OR(EW136&gt;=2958465,EY136=0,EY136&lt;=EW136),"",IF(TODAY()&lt;=EW136,0,IF(TODAY()&gt;EY136,1,IFERROR(NETWORKDAYS(EW136,TODAY()-1,Data!$K$4:$K$203)/NETWORKDAYS(EW136,EY136,Data!$K$4:$K$203),"")))),"")</f>
        <v/>
      </c>
      <c r="FL136" t="str">
        <f>IF(EO136=1,IF(AND(EY136&gt;0,EY136&lt;TODAY(),ROUND(EU136,4)&lt;1),2,IF(FK136="",0,IF(ROUND(EU136-FK136,4)&lt;-0.15,1,0))),"")</f>
        <v/>
      </c>
      <c r="FM136">
        <f>IF(OR(FA136="",COUNTIF($FA$4:FA135,FA136)&gt;0),0,MAX(0,IF(FB136="Interne",IF(ISNUMBER(INDEX(Data!$F:$F,136)),INDEX(Data!$F:$F,136),p_HeuresETP),IF(ISNUMBER(INDEX(Data!$I:$I,136-$CD$23)),INDEX(Data!$I:$I,136-$CD$23),p_HeuresETP))-IF(FB136="Interne",IF(ISNUMBER(INDEX(Data!$G:$G,136)),INDEX(Data!$G:$G,136),p_ChargeFixe),IF(ISNUMBER(INDEX(Data!$J:$J,136-$CD$23)),INDEX(Data!$J:$J,136-$CD$23),p_ChargeFixe))))</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9" t="str">
        <f>IF(AND(D137=1,ISNUMBER(INDEX(Charge!$N:$N,ROW()))),INDEX(Charge!$N:$N,ROW()),"")</f>
        <v/>
      </c>
      <c r="J137" s="169"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70">
        <f>IF(OR($I137="",$E137=0),0,IF(OR($J137&lt;W$3,$I137&gt;W$2),0,IF($K137=0,IF(AND($I137&gt;=W$3,$I137&lt;=W$2),$E137,0),$E137*NETWORKDAYS(MAX($I137,W$3),MIN($J137,W$2),Data!$K$4:$K$203)/$K137)))</f>
        <v>0</v>
      </c>
      <c r="X137" s="170">
        <f>IF(OR($I137="",$E137=0),0,IF(OR($J137&lt;X$3,$I137&gt;X$2),0,IF($K137=0,IF(AND($I137&gt;=X$3,$I137&lt;=X$2),$E137,0),$E137*NETWORKDAYS(MAX($I137,X$3),MIN($J137,X$2),Data!$K$4:$K$203)/$K137)))</f>
        <v>0</v>
      </c>
      <c r="Y137" s="170">
        <f>IF(OR($I137="",$E137=0),0,IF(OR($J137&lt;Y$3,$I137&gt;Y$2),0,IF($K137=0,IF(AND($I137&gt;=Y$3,$I137&lt;=Y$2),$E137,0),$E137*NETWORKDAYS(MAX($I137,Y$3),MIN($J137,Y$2),Data!$K$4:$K$203)/$K137)))</f>
        <v>0</v>
      </c>
      <c r="Z137" s="170">
        <f>IF(OR($I137="",$E137=0),0,IF(OR($J137&lt;Z$3,$I137&gt;Z$2),0,IF($K137=0,IF(AND($I137&gt;=Z$3,$I137&lt;=Z$2),$E137,0),$E137*NETWORKDAYS(MAX($I137,Z$3),MIN($J137,Z$2),Data!$K$4:$K$203)/$K137)))</f>
        <v>0</v>
      </c>
      <c r="AA137" s="170">
        <f>IF(OR($I137="",$E137=0),0,IF(OR($J137&lt;AA$3,$I137&gt;AA$2),0,IF($K137=0,IF(AND($I137&gt;=AA$3,$I137&lt;=AA$2),$E137,0),$E137*NETWORKDAYS(MAX($I137,AA$3),MIN($J137,AA$2),Data!$K$4:$K$203)/$K137)))</f>
        <v>0</v>
      </c>
      <c r="AB137" s="170">
        <f>IF(OR($I137="",$E137=0),0,IF(OR($J137&lt;AB$3,$I137&gt;AB$2),0,IF($K137=0,IF(AND($I137&gt;=AB$3,$I137&lt;=AB$2),$E137,0),$E137*NETWORKDAYS(MAX($I137,AB$3),MIN($J137,AB$2),Data!$K$4:$K$203)/$K137)))</f>
        <v>0</v>
      </c>
      <c r="AC137" s="170">
        <f>IF(OR($I137="",$E137=0),0,IF(OR($J137&lt;AC$3,$I137&gt;AC$2),0,IF($K137=0,IF(AND($I137&gt;=AC$3,$I137&lt;=AC$2),$E137,0),$E137*NETWORKDAYS(MAX($I137,AC$3),MIN($J137,AC$2),Data!$K$4:$K$203)/$K137)))</f>
        <v>0</v>
      </c>
      <c r="AD137" s="170">
        <f>IF(OR($I137="",$E137=0),0,IF(OR($J137&lt;AD$3,$I137&gt;AD$2),0,IF($K137=0,IF(AND($I137&gt;=AD$3,$I137&lt;=AD$2),$E137,0),$E137*NETWORKDAYS(MAX($I137,AD$3),MIN($J137,AD$2),Data!$K$4:$K$203)/$K137)))</f>
        <v>0</v>
      </c>
      <c r="AE137" s="170">
        <f>IF(OR($I137="",$E137=0),0,IF(OR($J137&lt;AE$3,$I137&gt;AE$2),0,IF($K137=0,IF(AND($I137&gt;=AE$3,$I137&lt;=AE$2),$E137,0),$E137*NETWORKDAYS(MAX($I137,AE$3),MIN($J137,AE$2),Data!$K$4:$K$203)/$K137)))</f>
        <v>0</v>
      </c>
      <c r="AF137" s="170">
        <f>IF(OR($I137="",$E137=0),0,IF(OR($J137&lt;AF$3,$I137&gt;AF$2),0,IF($K137=0,IF(AND($I137&gt;=AF$3,$I137&lt;=AF$2),$E137,0),$E137*NETWORKDAYS(MAX($I137,AF$3),MIN($J137,AF$2),Data!$K$4:$K$203)/$K137)))</f>
        <v>0</v>
      </c>
      <c r="AG137" s="170">
        <f>IF(OR($I137="",$E137=0),0,IF(OR($J137&lt;AG$3,$I137&gt;AG$2),0,IF($K137=0,IF(AND($I137&gt;=AG$3,$I137&lt;=AG$2),$E137,0),$E137*NETWORKDAYS(MAX($I137,AG$3),MIN($J137,AG$2),Data!$K$4:$K$203)/$K137)))</f>
        <v>0</v>
      </c>
      <c r="AH137" s="170">
        <f>IF(OR($I137="",$E137=0),0,IF(OR($J137&lt;AH$3,$I137&gt;AH$2),0,IF($K137=0,IF(AND($I137&gt;=AH$3,$I137&lt;=AH$2),$E137,0),$E137*NETWORKDAYS(MAX($I137,AH$3),MIN($J137,AH$2),Data!$K$4:$K$203)/$K137)))</f>
        <v>0</v>
      </c>
      <c r="AI137" s="170">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70"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4" t="str">
        <f>IF(EO137=1,IF(FH137&gt;0,FI137/FH137,AVERAGEIF($FF$4:$FF$503,EN137,$C$4:$C$503)),"")</f>
        <v/>
      </c>
      <c r="EV137" s="169">
        <f>IF(ISNUMBER(I137),I137,2958465)</f>
        <v>2958465.0</v>
      </c>
      <c r="EW137" s="169" t="str">
        <f>IF(EO137=1,SUMPRODUCT(MIN(($EN$4:$EN$503=EN137)*$EV$4:$EV$503+($EN$4:$EN$503&lt;&gt;EN137)*2958465)),"")</f>
        <v/>
      </c>
      <c r="EX137" s="169">
        <f>IF(AND(D137=1,ISNUMBER(INDEX(Charge!$F:$F,ROW()))),INDEX(Charge!$F:$F,ROW()),0)</f>
        <v>0.0</v>
      </c>
      <c r="EY137" s="169"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c r="FF137" t="str">
        <f>IF(B137=1,LEFT(SUBSTITUTE(SUBSTITUTE(SUBSTITUTE(TRIM(SUBSTITUTE(INDEX(Charge!$B:$B,ROW()),CHAR(160)," "))&amp;" | "&amp;TRIM(SUBSTITUTE(INDEX(Charge!$C:$C,ROW()),CHAR(160)," "))&amp;" | "&amp;TRIM(SUBSTITUTE(INDEX(Charge!$D:$D,ROW()),CHAR(160)," ")),"~","-"),"*","+"),"?","!"),240),"")</f>
        <v/>
      </c>
      <c r="FG137">
        <f>IF(B137=1,MAX(0,N(INDEX(Charge!$M:$M,ROW()))),0)</f>
        <v>0</v>
      </c>
      <c r="FH137" s="170" t="str">
        <f>IF(EO137=1,ROUND(SUMIF($FF$4:$FF$503,EN137,$FG$4:$FG$503),2),"")</f>
        <v/>
      </c>
      <c r="FI137" s="170" t="str">
        <f>IF(EO137=1,ROUND(SUMPRODUCT(($FF$4:$FF$503=EN137)*$FG$4:$FG$503*$C$4:$C$503),2),"")</f>
        <v/>
      </c>
      <c r="FJ137" s="170" t="str">
        <f>IF(EO137=1,MAX(0,ROUND(FH137-FI137,2)),"")</f>
        <v/>
      </c>
      <c r="FK137" s="174" t="str">
        <f>IF(EO137=1,IF(OR(EW137&gt;=2958465,EY137=0,EY137&lt;=EW137),"",IF(TODAY()&lt;=EW137,0,IF(TODAY()&gt;EY137,1,IFERROR(NETWORKDAYS(EW137,TODAY()-1,Data!$K$4:$K$203)/NETWORKDAYS(EW137,EY137,Data!$K$4:$K$203),"")))),"")</f>
        <v/>
      </c>
      <c r="FL137" t="str">
        <f>IF(EO137=1,IF(AND(EY137&gt;0,EY137&lt;TODAY(),ROUND(EU137,4)&lt;1),2,IF(FK137="",0,IF(ROUND(EU137-FK137,4)&lt;-0.15,1,0))),"")</f>
        <v/>
      </c>
      <c r="FM137">
        <f>IF(OR(FA137="",COUNTIF($FA$4:FA136,FA137)&gt;0),0,MAX(0,IF(FB137="Interne",IF(ISNUMBER(INDEX(Data!$F:$F,137)),INDEX(Data!$F:$F,137),p_HeuresETP),IF(ISNUMBER(INDEX(Data!$I:$I,137-$CD$23)),INDEX(Data!$I:$I,137-$CD$23),p_HeuresETP))-IF(FB137="Interne",IF(ISNUMBER(INDEX(Data!$G:$G,137)),INDEX(Data!$G:$G,137),p_ChargeFixe),IF(ISNUMBER(INDEX(Data!$J:$J,137-$CD$23)),INDEX(Data!$J:$J,137-$CD$23),p_ChargeFixe))))</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9" t="str">
        <f>IF(AND(D138=1,ISNUMBER(INDEX(Charge!$N:$N,ROW()))),INDEX(Charge!$N:$N,ROW()),"")</f>
        <v/>
      </c>
      <c r="J138" s="169"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70">
        <f>IF(OR($I138="",$E138=0),0,IF(OR($J138&lt;W$3,$I138&gt;W$2),0,IF($K138=0,IF(AND($I138&gt;=W$3,$I138&lt;=W$2),$E138,0),$E138*NETWORKDAYS(MAX($I138,W$3),MIN($J138,W$2),Data!$K$4:$K$203)/$K138)))</f>
        <v>0</v>
      </c>
      <c r="X138" s="170">
        <f>IF(OR($I138="",$E138=0),0,IF(OR($J138&lt;X$3,$I138&gt;X$2),0,IF($K138=0,IF(AND($I138&gt;=X$3,$I138&lt;=X$2),$E138,0),$E138*NETWORKDAYS(MAX($I138,X$3),MIN($J138,X$2),Data!$K$4:$K$203)/$K138)))</f>
        <v>0</v>
      </c>
      <c r="Y138" s="170">
        <f>IF(OR($I138="",$E138=0),0,IF(OR($J138&lt;Y$3,$I138&gt;Y$2),0,IF($K138=0,IF(AND($I138&gt;=Y$3,$I138&lt;=Y$2),$E138,0),$E138*NETWORKDAYS(MAX($I138,Y$3),MIN($J138,Y$2),Data!$K$4:$K$203)/$K138)))</f>
        <v>0</v>
      </c>
      <c r="Z138" s="170">
        <f>IF(OR($I138="",$E138=0),0,IF(OR($J138&lt;Z$3,$I138&gt;Z$2),0,IF($K138=0,IF(AND($I138&gt;=Z$3,$I138&lt;=Z$2),$E138,0),$E138*NETWORKDAYS(MAX($I138,Z$3),MIN($J138,Z$2),Data!$K$4:$K$203)/$K138)))</f>
        <v>0</v>
      </c>
      <c r="AA138" s="170">
        <f>IF(OR($I138="",$E138=0),0,IF(OR($J138&lt;AA$3,$I138&gt;AA$2),0,IF($K138=0,IF(AND($I138&gt;=AA$3,$I138&lt;=AA$2),$E138,0),$E138*NETWORKDAYS(MAX($I138,AA$3),MIN($J138,AA$2),Data!$K$4:$K$203)/$K138)))</f>
        <v>0</v>
      </c>
      <c r="AB138" s="170">
        <f>IF(OR($I138="",$E138=0),0,IF(OR($J138&lt;AB$3,$I138&gt;AB$2),0,IF($K138=0,IF(AND($I138&gt;=AB$3,$I138&lt;=AB$2),$E138,0),$E138*NETWORKDAYS(MAX($I138,AB$3),MIN($J138,AB$2),Data!$K$4:$K$203)/$K138)))</f>
        <v>0</v>
      </c>
      <c r="AC138" s="170">
        <f>IF(OR($I138="",$E138=0),0,IF(OR($J138&lt;AC$3,$I138&gt;AC$2),0,IF($K138=0,IF(AND($I138&gt;=AC$3,$I138&lt;=AC$2),$E138,0),$E138*NETWORKDAYS(MAX($I138,AC$3),MIN($J138,AC$2),Data!$K$4:$K$203)/$K138)))</f>
        <v>0</v>
      </c>
      <c r="AD138" s="170">
        <f>IF(OR($I138="",$E138=0),0,IF(OR($J138&lt;AD$3,$I138&gt;AD$2),0,IF($K138=0,IF(AND($I138&gt;=AD$3,$I138&lt;=AD$2),$E138,0),$E138*NETWORKDAYS(MAX($I138,AD$3),MIN($J138,AD$2),Data!$K$4:$K$203)/$K138)))</f>
        <v>0</v>
      </c>
      <c r="AE138" s="170">
        <f>IF(OR($I138="",$E138=0),0,IF(OR($J138&lt;AE$3,$I138&gt;AE$2),0,IF($K138=0,IF(AND($I138&gt;=AE$3,$I138&lt;=AE$2),$E138,0),$E138*NETWORKDAYS(MAX($I138,AE$3),MIN($J138,AE$2),Data!$K$4:$K$203)/$K138)))</f>
        <v>0</v>
      </c>
      <c r="AF138" s="170">
        <f>IF(OR($I138="",$E138=0),0,IF(OR($J138&lt;AF$3,$I138&gt;AF$2),0,IF($K138=0,IF(AND($I138&gt;=AF$3,$I138&lt;=AF$2),$E138,0),$E138*NETWORKDAYS(MAX($I138,AF$3),MIN($J138,AF$2),Data!$K$4:$K$203)/$K138)))</f>
        <v>0</v>
      </c>
      <c r="AG138" s="170">
        <f>IF(OR($I138="",$E138=0),0,IF(OR($J138&lt;AG$3,$I138&gt;AG$2),0,IF($K138=0,IF(AND($I138&gt;=AG$3,$I138&lt;=AG$2),$E138,0),$E138*NETWORKDAYS(MAX($I138,AG$3),MIN($J138,AG$2),Data!$K$4:$K$203)/$K138)))</f>
        <v>0</v>
      </c>
      <c r="AH138" s="170">
        <f>IF(OR($I138="",$E138=0),0,IF(OR($J138&lt;AH$3,$I138&gt;AH$2),0,IF($K138=0,IF(AND($I138&gt;=AH$3,$I138&lt;=AH$2),$E138,0),$E138*NETWORKDAYS(MAX($I138,AH$3),MIN($J138,AH$2),Data!$K$4:$K$203)/$K138)))</f>
        <v>0</v>
      </c>
      <c r="AI138" s="170">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70"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4" t="str">
        <f>IF(EO138=1,IF(FH138&gt;0,FI138/FH138,AVERAGEIF($FF$4:$FF$503,EN138,$C$4:$C$503)),"")</f>
        <v/>
      </c>
      <c r="EV138" s="169">
        <f>IF(ISNUMBER(I138),I138,2958465)</f>
        <v>2958465.0</v>
      </c>
      <c r="EW138" s="169" t="str">
        <f>IF(EO138=1,SUMPRODUCT(MIN(($EN$4:$EN$503=EN138)*$EV$4:$EV$503+($EN$4:$EN$503&lt;&gt;EN138)*2958465)),"")</f>
        <v/>
      </c>
      <c r="EX138" s="169">
        <f>IF(AND(D138=1,ISNUMBER(INDEX(Charge!$F:$F,ROW()))),INDEX(Charge!$F:$F,ROW()),0)</f>
        <v>0.0</v>
      </c>
      <c r="EY138" s="169"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c r="FF138" t="str">
        <f>IF(B138=1,LEFT(SUBSTITUTE(SUBSTITUTE(SUBSTITUTE(TRIM(SUBSTITUTE(INDEX(Charge!$B:$B,ROW()),CHAR(160)," "))&amp;" | "&amp;TRIM(SUBSTITUTE(INDEX(Charge!$C:$C,ROW()),CHAR(160)," "))&amp;" | "&amp;TRIM(SUBSTITUTE(INDEX(Charge!$D:$D,ROW()),CHAR(160)," ")),"~","-"),"*","+"),"?","!"),240),"")</f>
        <v/>
      </c>
      <c r="FG138">
        <f>IF(B138=1,MAX(0,N(INDEX(Charge!$M:$M,ROW()))),0)</f>
        <v>0</v>
      </c>
      <c r="FH138" s="170" t="str">
        <f>IF(EO138=1,ROUND(SUMIF($FF$4:$FF$503,EN138,$FG$4:$FG$503),2),"")</f>
        <v/>
      </c>
      <c r="FI138" s="170" t="str">
        <f>IF(EO138=1,ROUND(SUMPRODUCT(($FF$4:$FF$503=EN138)*$FG$4:$FG$503*$C$4:$C$503),2),"")</f>
        <v/>
      </c>
      <c r="FJ138" s="170" t="str">
        <f>IF(EO138=1,MAX(0,ROUND(FH138-FI138,2)),"")</f>
        <v/>
      </c>
      <c r="FK138" s="174" t="str">
        <f>IF(EO138=1,IF(OR(EW138&gt;=2958465,EY138=0,EY138&lt;=EW138),"",IF(TODAY()&lt;=EW138,0,IF(TODAY()&gt;EY138,1,IFERROR(NETWORKDAYS(EW138,TODAY()-1,Data!$K$4:$K$203)/NETWORKDAYS(EW138,EY138,Data!$K$4:$K$203),"")))),"")</f>
        <v/>
      </c>
      <c r="FL138" t="str">
        <f>IF(EO138=1,IF(AND(EY138&gt;0,EY138&lt;TODAY(),ROUND(EU138,4)&lt;1),2,IF(FK138="",0,IF(ROUND(EU138-FK138,4)&lt;-0.15,1,0))),"")</f>
        <v/>
      </c>
      <c r="FM138">
        <f>IF(OR(FA138="",COUNTIF($FA$4:FA137,FA138)&gt;0),0,MAX(0,IF(FB138="Interne",IF(ISNUMBER(INDEX(Data!$F:$F,138)),INDEX(Data!$F:$F,138),p_HeuresETP),IF(ISNUMBER(INDEX(Data!$I:$I,138-$CD$23)),INDEX(Data!$I:$I,138-$CD$23),p_HeuresETP))-IF(FB138="Interne",IF(ISNUMBER(INDEX(Data!$G:$G,138)),INDEX(Data!$G:$G,138),p_ChargeFixe),IF(ISNUMBER(INDEX(Data!$J:$J,138-$CD$23)),INDEX(Data!$J:$J,138-$CD$23),p_ChargeFixe))))</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9" t="str">
        <f>IF(AND(D139=1,ISNUMBER(INDEX(Charge!$N:$N,ROW()))),INDEX(Charge!$N:$N,ROW()),"")</f>
        <v/>
      </c>
      <c r="J139" s="169"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70">
        <f>IF(OR($I139="",$E139=0),0,IF(OR($J139&lt;W$3,$I139&gt;W$2),0,IF($K139=0,IF(AND($I139&gt;=W$3,$I139&lt;=W$2),$E139,0),$E139*NETWORKDAYS(MAX($I139,W$3),MIN($J139,W$2),Data!$K$4:$K$203)/$K139)))</f>
        <v>0</v>
      </c>
      <c r="X139" s="170">
        <f>IF(OR($I139="",$E139=0),0,IF(OR($J139&lt;X$3,$I139&gt;X$2),0,IF($K139=0,IF(AND($I139&gt;=X$3,$I139&lt;=X$2),$E139,0),$E139*NETWORKDAYS(MAX($I139,X$3),MIN($J139,X$2),Data!$K$4:$K$203)/$K139)))</f>
        <v>0</v>
      </c>
      <c r="Y139" s="170">
        <f>IF(OR($I139="",$E139=0),0,IF(OR($J139&lt;Y$3,$I139&gt;Y$2),0,IF($K139=0,IF(AND($I139&gt;=Y$3,$I139&lt;=Y$2),$E139,0),$E139*NETWORKDAYS(MAX($I139,Y$3),MIN($J139,Y$2),Data!$K$4:$K$203)/$K139)))</f>
        <v>0</v>
      </c>
      <c r="Z139" s="170">
        <f>IF(OR($I139="",$E139=0),0,IF(OR($J139&lt;Z$3,$I139&gt;Z$2),0,IF($K139=0,IF(AND($I139&gt;=Z$3,$I139&lt;=Z$2),$E139,0),$E139*NETWORKDAYS(MAX($I139,Z$3),MIN($J139,Z$2),Data!$K$4:$K$203)/$K139)))</f>
        <v>0</v>
      </c>
      <c r="AA139" s="170">
        <f>IF(OR($I139="",$E139=0),0,IF(OR($J139&lt;AA$3,$I139&gt;AA$2),0,IF($K139=0,IF(AND($I139&gt;=AA$3,$I139&lt;=AA$2),$E139,0),$E139*NETWORKDAYS(MAX($I139,AA$3),MIN($J139,AA$2),Data!$K$4:$K$203)/$K139)))</f>
        <v>0</v>
      </c>
      <c r="AB139" s="170">
        <f>IF(OR($I139="",$E139=0),0,IF(OR($J139&lt;AB$3,$I139&gt;AB$2),0,IF($K139=0,IF(AND($I139&gt;=AB$3,$I139&lt;=AB$2),$E139,0),$E139*NETWORKDAYS(MAX($I139,AB$3),MIN($J139,AB$2),Data!$K$4:$K$203)/$K139)))</f>
        <v>0</v>
      </c>
      <c r="AC139" s="170">
        <f>IF(OR($I139="",$E139=0),0,IF(OR($J139&lt;AC$3,$I139&gt;AC$2),0,IF($K139=0,IF(AND($I139&gt;=AC$3,$I139&lt;=AC$2),$E139,0),$E139*NETWORKDAYS(MAX($I139,AC$3),MIN($J139,AC$2),Data!$K$4:$K$203)/$K139)))</f>
        <v>0</v>
      </c>
      <c r="AD139" s="170">
        <f>IF(OR($I139="",$E139=0),0,IF(OR($J139&lt;AD$3,$I139&gt;AD$2),0,IF($K139=0,IF(AND($I139&gt;=AD$3,$I139&lt;=AD$2),$E139,0),$E139*NETWORKDAYS(MAX($I139,AD$3),MIN($J139,AD$2),Data!$K$4:$K$203)/$K139)))</f>
        <v>0</v>
      </c>
      <c r="AE139" s="170">
        <f>IF(OR($I139="",$E139=0),0,IF(OR($J139&lt;AE$3,$I139&gt;AE$2),0,IF($K139=0,IF(AND($I139&gt;=AE$3,$I139&lt;=AE$2),$E139,0),$E139*NETWORKDAYS(MAX($I139,AE$3),MIN($J139,AE$2),Data!$K$4:$K$203)/$K139)))</f>
        <v>0</v>
      </c>
      <c r="AF139" s="170">
        <f>IF(OR($I139="",$E139=0),0,IF(OR($J139&lt;AF$3,$I139&gt;AF$2),0,IF($K139=0,IF(AND($I139&gt;=AF$3,$I139&lt;=AF$2),$E139,0),$E139*NETWORKDAYS(MAX($I139,AF$3),MIN($J139,AF$2),Data!$K$4:$K$203)/$K139)))</f>
        <v>0</v>
      </c>
      <c r="AG139" s="170">
        <f>IF(OR($I139="",$E139=0),0,IF(OR($J139&lt;AG$3,$I139&gt;AG$2),0,IF($K139=0,IF(AND($I139&gt;=AG$3,$I139&lt;=AG$2),$E139,0),$E139*NETWORKDAYS(MAX($I139,AG$3),MIN($J139,AG$2),Data!$K$4:$K$203)/$K139)))</f>
        <v>0</v>
      </c>
      <c r="AH139" s="170">
        <f>IF(OR($I139="",$E139=0),0,IF(OR($J139&lt;AH$3,$I139&gt;AH$2),0,IF($K139=0,IF(AND($I139&gt;=AH$3,$I139&lt;=AH$2),$E139,0),$E139*NETWORKDAYS(MAX($I139,AH$3),MIN($J139,AH$2),Data!$K$4:$K$203)/$K139)))</f>
        <v>0</v>
      </c>
      <c r="AI139" s="170">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70"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4" t="str">
        <f>IF(EO139=1,IF(FH139&gt;0,FI139/FH139,AVERAGEIF($FF$4:$FF$503,EN139,$C$4:$C$503)),"")</f>
        <v/>
      </c>
      <c r="EV139" s="169">
        <f>IF(ISNUMBER(I139),I139,2958465)</f>
        <v>2958465.0</v>
      </c>
      <c r="EW139" s="169" t="str">
        <f>IF(EO139=1,SUMPRODUCT(MIN(($EN$4:$EN$503=EN139)*$EV$4:$EV$503+($EN$4:$EN$503&lt;&gt;EN139)*2958465)),"")</f>
        <v/>
      </c>
      <c r="EX139" s="169">
        <f>IF(AND(D139=1,ISNUMBER(INDEX(Charge!$F:$F,ROW()))),INDEX(Charge!$F:$F,ROW()),0)</f>
        <v>0.0</v>
      </c>
      <c r="EY139" s="169"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c r="FF139" t="str">
        <f>IF(B139=1,LEFT(SUBSTITUTE(SUBSTITUTE(SUBSTITUTE(TRIM(SUBSTITUTE(INDEX(Charge!$B:$B,ROW()),CHAR(160)," "))&amp;" | "&amp;TRIM(SUBSTITUTE(INDEX(Charge!$C:$C,ROW()),CHAR(160)," "))&amp;" | "&amp;TRIM(SUBSTITUTE(INDEX(Charge!$D:$D,ROW()),CHAR(160)," ")),"~","-"),"*","+"),"?","!"),240),"")</f>
        <v/>
      </c>
      <c r="FG139">
        <f>IF(B139=1,MAX(0,N(INDEX(Charge!$M:$M,ROW()))),0)</f>
        <v>0</v>
      </c>
      <c r="FH139" s="170" t="str">
        <f>IF(EO139=1,ROUND(SUMIF($FF$4:$FF$503,EN139,$FG$4:$FG$503),2),"")</f>
        <v/>
      </c>
      <c r="FI139" s="170" t="str">
        <f>IF(EO139=1,ROUND(SUMPRODUCT(($FF$4:$FF$503=EN139)*$FG$4:$FG$503*$C$4:$C$503),2),"")</f>
        <v/>
      </c>
      <c r="FJ139" s="170" t="str">
        <f>IF(EO139=1,MAX(0,ROUND(FH139-FI139,2)),"")</f>
        <v/>
      </c>
      <c r="FK139" s="174" t="str">
        <f>IF(EO139=1,IF(OR(EW139&gt;=2958465,EY139=0,EY139&lt;=EW139),"",IF(TODAY()&lt;=EW139,0,IF(TODAY()&gt;EY139,1,IFERROR(NETWORKDAYS(EW139,TODAY()-1,Data!$K$4:$K$203)/NETWORKDAYS(EW139,EY139,Data!$K$4:$K$203),"")))),"")</f>
        <v/>
      </c>
      <c r="FL139" t="str">
        <f>IF(EO139=1,IF(AND(EY139&gt;0,EY139&lt;TODAY(),ROUND(EU139,4)&lt;1),2,IF(FK139="",0,IF(ROUND(EU139-FK139,4)&lt;-0.15,1,0))),"")</f>
        <v/>
      </c>
      <c r="FM139">
        <f>IF(OR(FA139="",COUNTIF($FA$4:FA138,FA139)&gt;0),0,MAX(0,IF(FB139="Interne",IF(ISNUMBER(INDEX(Data!$F:$F,139)),INDEX(Data!$F:$F,139),p_HeuresETP),IF(ISNUMBER(INDEX(Data!$I:$I,139-$CD$23)),INDEX(Data!$I:$I,139-$CD$23),p_HeuresETP))-IF(FB139="Interne",IF(ISNUMBER(INDEX(Data!$G:$G,139)),INDEX(Data!$G:$G,139),p_ChargeFixe),IF(ISNUMBER(INDEX(Data!$J:$J,139-$CD$23)),INDEX(Data!$J:$J,139-$CD$23),p_ChargeFixe))))</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9" t="str">
        <f>IF(AND(D140=1,ISNUMBER(INDEX(Charge!$N:$N,ROW()))),INDEX(Charge!$N:$N,ROW()),"")</f>
        <v/>
      </c>
      <c r="J140" s="169"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70">
        <f>IF(OR($I140="",$E140=0),0,IF(OR($J140&lt;W$3,$I140&gt;W$2),0,IF($K140=0,IF(AND($I140&gt;=W$3,$I140&lt;=W$2),$E140,0),$E140*NETWORKDAYS(MAX($I140,W$3),MIN($J140,W$2),Data!$K$4:$K$203)/$K140)))</f>
        <v>0</v>
      </c>
      <c r="X140" s="170">
        <f>IF(OR($I140="",$E140=0),0,IF(OR($J140&lt;X$3,$I140&gt;X$2),0,IF($K140=0,IF(AND($I140&gt;=X$3,$I140&lt;=X$2),$E140,0),$E140*NETWORKDAYS(MAX($I140,X$3),MIN($J140,X$2),Data!$K$4:$K$203)/$K140)))</f>
        <v>0</v>
      </c>
      <c r="Y140" s="170">
        <f>IF(OR($I140="",$E140=0),0,IF(OR($J140&lt;Y$3,$I140&gt;Y$2),0,IF($K140=0,IF(AND($I140&gt;=Y$3,$I140&lt;=Y$2),$E140,0),$E140*NETWORKDAYS(MAX($I140,Y$3),MIN($J140,Y$2),Data!$K$4:$K$203)/$K140)))</f>
        <v>0</v>
      </c>
      <c r="Z140" s="170">
        <f>IF(OR($I140="",$E140=0),0,IF(OR($J140&lt;Z$3,$I140&gt;Z$2),0,IF($K140=0,IF(AND($I140&gt;=Z$3,$I140&lt;=Z$2),$E140,0),$E140*NETWORKDAYS(MAX($I140,Z$3),MIN($J140,Z$2),Data!$K$4:$K$203)/$K140)))</f>
        <v>0</v>
      </c>
      <c r="AA140" s="170">
        <f>IF(OR($I140="",$E140=0),0,IF(OR($J140&lt;AA$3,$I140&gt;AA$2),0,IF($K140=0,IF(AND($I140&gt;=AA$3,$I140&lt;=AA$2),$E140,0),$E140*NETWORKDAYS(MAX($I140,AA$3),MIN($J140,AA$2),Data!$K$4:$K$203)/$K140)))</f>
        <v>0</v>
      </c>
      <c r="AB140" s="170">
        <f>IF(OR($I140="",$E140=0),0,IF(OR($J140&lt;AB$3,$I140&gt;AB$2),0,IF($K140=0,IF(AND($I140&gt;=AB$3,$I140&lt;=AB$2),$E140,0),$E140*NETWORKDAYS(MAX($I140,AB$3),MIN($J140,AB$2),Data!$K$4:$K$203)/$K140)))</f>
        <v>0</v>
      </c>
      <c r="AC140" s="170">
        <f>IF(OR($I140="",$E140=0),0,IF(OR($J140&lt;AC$3,$I140&gt;AC$2),0,IF($K140=0,IF(AND($I140&gt;=AC$3,$I140&lt;=AC$2),$E140,0),$E140*NETWORKDAYS(MAX($I140,AC$3),MIN($J140,AC$2),Data!$K$4:$K$203)/$K140)))</f>
        <v>0</v>
      </c>
      <c r="AD140" s="170">
        <f>IF(OR($I140="",$E140=0),0,IF(OR($J140&lt;AD$3,$I140&gt;AD$2),0,IF($K140=0,IF(AND($I140&gt;=AD$3,$I140&lt;=AD$2),$E140,0),$E140*NETWORKDAYS(MAX($I140,AD$3),MIN($J140,AD$2),Data!$K$4:$K$203)/$K140)))</f>
        <v>0</v>
      </c>
      <c r="AE140" s="170">
        <f>IF(OR($I140="",$E140=0),0,IF(OR($J140&lt;AE$3,$I140&gt;AE$2),0,IF($K140=0,IF(AND($I140&gt;=AE$3,$I140&lt;=AE$2),$E140,0),$E140*NETWORKDAYS(MAX($I140,AE$3),MIN($J140,AE$2),Data!$K$4:$K$203)/$K140)))</f>
        <v>0</v>
      </c>
      <c r="AF140" s="170">
        <f>IF(OR($I140="",$E140=0),0,IF(OR($J140&lt;AF$3,$I140&gt;AF$2),0,IF($K140=0,IF(AND($I140&gt;=AF$3,$I140&lt;=AF$2),$E140,0),$E140*NETWORKDAYS(MAX($I140,AF$3),MIN($J140,AF$2),Data!$K$4:$K$203)/$K140)))</f>
        <v>0</v>
      </c>
      <c r="AG140" s="170">
        <f>IF(OR($I140="",$E140=0),0,IF(OR($J140&lt;AG$3,$I140&gt;AG$2),0,IF($K140=0,IF(AND($I140&gt;=AG$3,$I140&lt;=AG$2),$E140,0),$E140*NETWORKDAYS(MAX($I140,AG$3),MIN($J140,AG$2),Data!$K$4:$K$203)/$K140)))</f>
        <v>0</v>
      </c>
      <c r="AH140" s="170">
        <f>IF(OR($I140="",$E140=0),0,IF(OR($J140&lt;AH$3,$I140&gt;AH$2),0,IF($K140=0,IF(AND($I140&gt;=AH$3,$I140&lt;=AH$2),$E140,0),$E140*NETWORKDAYS(MAX($I140,AH$3),MIN($J140,AH$2),Data!$K$4:$K$203)/$K140)))</f>
        <v>0</v>
      </c>
      <c r="AI140" s="170">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70"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4" t="str">
        <f>IF(EO140=1,IF(FH140&gt;0,FI140/FH140,AVERAGEIF($FF$4:$FF$503,EN140,$C$4:$C$503)),"")</f>
        <v/>
      </c>
      <c r="EV140" s="169">
        <f>IF(ISNUMBER(I140),I140,2958465)</f>
        <v>2958465.0</v>
      </c>
      <c r="EW140" s="169" t="str">
        <f>IF(EO140=1,SUMPRODUCT(MIN(($EN$4:$EN$503=EN140)*$EV$4:$EV$503+($EN$4:$EN$503&lt;&gt;EN140)*2958465)),"")</f>
        <v/>
      </c>
      <c r="EX140" s="169">
        <f>IF(AND(D140=1,ISNUMBER(INDEX(Charge!$F:$F,ROW()))),INDEX(Charge!$F:$F,ROW()),0)</f>
        <v>0.0</v>
      </c>
      <c r="EY140" s="169"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c r="FF140" t="str">
        <f>IF(B140=1,LEFT(SUBSTITUTE(SUBSTITUTE(SUBSTITUTE(TRIM(SUBSTITUTE(INDEX(Charge!$B:$B,ROW()),CHAR(160)," "))&amp;" | "&amp;TRIM(SUBSTITUTE(INDEX(Charge!$C:$C,ROW()),CHAR(160)," "))&amp;" | "&amp;TRIM(SUBSTITUTE(INDEX(Charge!$D:$D,ROW()),CHAR(160)," ")),"~","-"),"*","+"),"?","!"),240),"")</f>
        <v/>
      </c>
      <c r="FG140">
        <f>IF(B140=1,MAX(0,N(INDEX(Charge!$M:$M,ROW()))),0)</f>
        <v>0</v>
      </c>
      <c r="FH140" s="170" t="str">
        <f>IF(EO140=1,ROUND(SUMIF($FF$4:$FF$503,EN140,$FG$4:$FG$503),2),"")</f>
        <v/>
      </c>
      <c r="FI140" s="170" t="str">
        <f>IF(EO140=1,ROUND(SUMPRODUCT(($FF$4:$FF$503=EN140)*$FG$4:$FG$503*$C$4:$C$503),2),"")</f>
        <v/>
      </c>
      <c r="FJ140" s="170" t="str">
        <f>IF(EO140=1,MAX(0,ROUND(FH140-FI140,2)),"")</f>
        <v/>
      </c>
      <c r="FK140" s="174" t="str">
        <f>IF(EO140=1,IF(OR(EW140&gt;=2958465,EY140=0,EY140&lt;=EW140),"",IF(TODAY()&lt;=EW140,0,IF(TODAY()&gt;EY140,1,IFERROR(NETWORKDAYS(EW140,TODAY()-1,Data!$K$4:$K$203)/NETWORKDAYS(EW140,EY140,Data!$K$4:$K$203),"")))),"")</f>
        <v/>
      </c>
      <c r="FL140" t="str">
        <f>IF(EO140=1,IF(AND(EY140&gt;0,EY140&lt;TODAY(),ROUND(EU140,4)&lt;1),2,IF(FK140="",0,IF(ROUND(EU140-FK140,4)&lt;-0.15,1,0))),"")</f>
        <v/>
      </c>
      <c r="FM140">
        <f>IF(OR(FA140="",COUNTIF($FA$4:FA139,FA140)&gt;0),0,MAX(0,IF(FB140="Interne",IF(ISNUMBER(INDEX(Data!$F:$F,140)),INDEX(Data!$F:$F,140),p_HeuresETP),IF(ISNUMBER(INDEX(Data!$I:$I,140-$CD$23)),INDEX(Data!$I:$I,140-$CD$23),p_HeuresETP))-IF(FB140="Interne",IF(ISNUMBER(INDEX(Data!$G:$G,140)),INDEX(Data!$G:$G,140),p_ChargeFixe),IF(ISNUMBER(INDEX(Data!$J:$J,140-$CD$23)),INDEX(Data!$J:$J,140-$CD$23),p_ChargeFixe))))</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9" t="str">
        <f>IF(AND(D141=1,ISNUMBER(INDEX(Charge!$N:$N,ROW()))),INDEX(Charge!$N:$N,ROW()),"")</f>
        <v/>
      </c>
      <c r="J141" s="169"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70">
        <f>IF(OR($I141="",$E141=0),0,IF(OR($J141&lt;W$3,$I141&gt;W$2),0,IF($K141=0,IF(AND($I141&gt;=W$3,$I141&lt;=W$2),$E141,0),$E141*NETWORKDAYS(MAX($I141,W$3),MIN($J141,W$2),Data!$K$4:$K$203)/$K141)))</f>
        <v>0</v>
      </c>
      <c r="X141" s="170">
        <f>IF(OR($I141="",$E141=0),0,IF(OR($J141&lt;X$3,$I141&gt;X$2),0,IF($K141=0,IF(AND($I141&gt;=X$3,$I141&lt;=X$2),$E141,0),$E141*NETWORKDAYS(MAX($I141,X$3),MIN($J141,X$2),Data!$K$4:$K$203)/$K141)))</f>
        <v>0</v>
      </c>
      <c r="Y141" s="170">
        <f>IF(OR($I141="",$E141=0),0,IF(OR($J141&lt;Y$3,$I141&gt;Y$2),0,IF($K141=0,IF(AND($I141&gt;=Y$3,$I141&lt;=Y$2),$E141,0),$E141*NETWORKDAYS(MAX($I141,Y$3),MIN($J141,Y$2),Data!$K$4:$K$203)/$K141)))</f>
        <v>0</v>
      </c>
      <c r="Z141" s="170">
        <f>IF(OR($I141="",$E141=0),0,IF(OR($J141&lt;Z$3,$I141&gt;Z$2),0,IF($K141=0,IF(AND($I141&gt;=Z$3,$I141&lt;=Z$2),$E141,0),$E141*NETWORKDAYS(MAX($I141,Z$3),MIN($J141,Z$2),Data!$K$4:$K$203)/$K141)))</f>
        <v>0</v>
      </c>
      <c r="AA141" s="170">
        <f>IF(OR($I141="",$E141=0),0,IF(OR($J141&lt;AA$3,$I141&gt;AA$2),0,IF($K141=0,IF(AND($I141&gt;=AA$3,$I141&lt;=AA$2),$E141,0),$E141*NETWORKDAYS(MAX($I141,AA$3),MIN($J141,AA$2),Data!$K$4:$K$203)/$K141)))</f>
        <v>0</v>
      </c>
      <c r="AB141" s="170">
        <f>IF(OR($I141="",$E141=0),0,IF(OR($J141&lt;AB$3,$I141&gt;AB$2),0,IF($K141=0,IF(AND($I141&gt;=AB$3,$I141&lt;=AB$2),$E141,0),$E141*NETWORKDAYS(MAX($I141,AB$3),MIN($J141,AB$2),Data!$K$4:$K$203)/$K141)))</f>
        <v>0</v>
      </c>
      <c r="AC141" s="170">
        <f>IF(OR($I141="",$E141=0),0,IF(OR($J141&lt;AC$3,$I141&gt;AC$2),0,IF($K141=0,IF(AND($I141&gt;=AC$3,$I141&lt;=AC$2),$E141,0),$E141*NETWORKDAYS(MAX($I141,AC$3),MIN($J141,AC$2),Data!$K$4:$K$203)/$K141)))</f>
        <v>0</v>
      </c>
      <c r="AD141" s="170">
        <f>IF(OR($I141="",$E141=0),0,IF(OR($J141&lt;AD$3,$I141&gt;AD$2),0,IF($K141=0,IF(AND($I141&gt;=AD$3,$I141&lt;=AD$2),$E141,0),$E141*NETWORKDAYS(MAX($I141,AD$3),MIN($J141,AD$2),Data!$K$4:$K$203)/$K141)))</f>
        <v>0</v>
      </c>
      <c r="AE141" s="170">
        <f>IF(OR($I141="",$E141=0),0,IF(OR($J141&lt;AE$3,$I141&gt;AE$2),0,IF($K141=0,IF(AND($I141&gt;=AE$3,$I141&lt;=AE$2),$E141,0),$E141*NETWORKDAYS(MAX($I141,AE$3),MIN($J141,AE$2),Data!$K$4:$K$203)/$K141)))</f>
        <v>0</v>
      </c>
      <c r="AF141" s="170">
        <f>IF(OR($I141="",$E141=0),0,IF(OR($J141&lt;AF$3,$I141&gt;AF$2),0,IF($K141=0,IF(AND($I141&gt;=AF$3,$I141&lt;=AF$2),$E141,0),$E141*NETWORKDAYS(MAX($I141,AF$3),MIN($J141,AF$2),Data!$K$4:$K$203)/$K141)))</f>
        <v>0</v>
      </c>
      <c r="AG141" s="170">
        <f>IF(OR($I141="",$E141=0),0,IF(OR($J141&lt;AG$3,$I141&gt;AG$2),0,IF($K141=0,IF(AND($I141&gt;=AG$3,$I141&lt;=AG$2),$E141,0),$E141*NETWORKDAYS(MAX($I141,AG$3),MIN($J141,AG$2),Data!$K$4:$K$203)/$K141)))</f>
        <v>0</v>
      </c>
      <c r="AH141" s="170">
        <f>IF(OR($I141="",$E141=0),0,IF(OR($J141&lt;AH$3,$I141&gt;AH$2),0,IF($K141=0,IF(AND($I141&gt;=AH$3,$I141&lt;=AH$2),$E141,0),$E141*NETWORKDAYS(MAX($I141,AH$3),MIN($J141,AH$2),Data!$K$4:$K$203)/$K141)))</f>
        <v>0</v>
      </c>
      <c r="AI141" s="170">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70"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4" t="str">
        <f>IF(EO141=1,IF(FH141&gt;0,FI141/FH141,AVERAGEIF($FF$4:$FF$503,EN141,$C$4:$C$503)),"")</f>
        <v/>
      </c>
      <c r="EV141" s="169">
        <f>IF(ISNUMBER(I141),I141,2958465)</f>
        <v>2958465.0</v>
      </c>
      <c r="EW141" s="169" t="str">
        <f>IF(EO141=1,SUMPRODUCT(MIN(($EN$4:$EN$503=EN141)*$EV$4:$EV$503+($EN$4:$EN$503&lt;&gt;EN141)*2958465)),"")</f>
        <v/>
      </c>
      <c r="EX141" s="169">
        <f>IF(AND(D141=1,ISNUMBER(INDEX(Charge!$F:$F,ROW()))),INDEX(Charge!$F:$F,ROW()),0)</f>
        <v>0.0</v>
      </c>
      <c r="EY141" s="169"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c r="FF141" t="str">
        <f>IF(B141=1,LEFT(SUBSTITUTE(SUBSTITUTE(SUBSTITUTE(TRIM(SUBSTITUTE(INDEX(Charge!$B:$B,ROW()),CHAR(160)," "))&amp;" | "&amp;TRIM(SUBSTITUTE(INDEX(Charge!$C:$C,ROW()),CHAR(160)," "))&amp;" | "&amp;TRIM(SUBSTITUTE(INDEX(Charge!$D:$D,ROW()),CHAR(160)," ")),"~","-"),"*","+"),"?","!"),240),"")</f>
        <v/>
      </c>
      <c r="FG141">
        <f>IF(B141=1,MAX(0,N(INDEX(Charge!$M:$M,ROW()))),0)</f>
        <v>0</v>
      </c>
      <c r="FH141" s="170" t="str">
        <f>IF(EO141=1,ROUND(SUMIF($FF$4:$FF$503,EN141,$FG$4:$FG$503),2),"")</f>
        <v/>
      </c>
      <c r="FI141" s="170" t="str">
        <f>IF(EO141=1,ROUND(SUMPRODUCT(($FF$4:$FF$503=EN141)*$FG$4:$FG$503*$C$4:$C$503),2),"")</f>
        <v/>
      </c>
      <c r="FJ141" s="170" t="str">
        <f>IF(EO141=1,MAX(0,ROUND(FH141-FI141,2)),"")</f>
        <v/>
      </c>
      <c r="FK141" s="174" t="str">
        <f>IF(EO141=1,IF(OR(EW141&gt;=2958465,EY141=0,EY141&lt;=EW141),"",IF(TODAY()&lt;=EW141,0,IF(TODAY()&gt;EY141,1,IFERROR(NETWORKDAYS(EW141,TODAY()-1,Data!$K$4:$K$203)/NETWORKDAYS(EW141,EY141,Data!$K$4:$K$203),"")))),"")</f>
        <v/>
      </c>
      <c r="FL141" t="str">
        <f>IF(EO141=1,IF(AND(EY141&gt;0,EY141&lt;TODAY(),ROUND(EU141,4)&lt;1),2,IF(FK141="",0,IF(ROUND(EU141-FK141,4)&lt;-0.15,1,0))),"")</f>
        <v/>
      </c>
      <c r="FM141">
        <f>IF(OR(FA141="",COUNTIF($FA$4:FA140,FA141)&gt;0),0,MAX(0,IF(FB141="Interne",IF(ISNUMBER(INDEX(Data!$F:$F,141)),INDEX(Data!$F:$F,141),p_HeuresETP),IF(ISNUMBER(INDEX(Data!$I:$I,141-$CD$23)),INDEX(Data!$I:$I,141-$CD$23),p_HeuresETP))-IF(FB141="Interne",IF(ISNUMBER(INDEX(Data!$G:$G,141)),INDEX(Data!$G:$G,141),p_ChargeFixe),IF(ISNUMBER(INDEX(Data!$J:$J,141-$CD$23)),INDEX(Data!$J:$J,141-$CD$23),p_ChargeFixe))))</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9" t="str">
        <f>IF(AND(D142=1,ISNUMBER(INDEX(Charge!$N:$N,ROW()))),INDEX(Charge!$N:$N,ROW()),"")</f>
        <v/>
      </c>
      <c r="J142" s="169"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70">
        <f>IF(OR($I142="",$E142=0),0,IF(OR($J142&lt;W$3,$I142&gt;W$2),0,IF($K142=0,IF(AND($I142&gt;=W$3,$I142&lt;=W$2),$E142,0),$E142*NETWORKDAYS(MAX($I142,W$3),MIN($J142,W$2),Data!$K$4:$K$203)/$K142)))</f>
        <v>0</v>
      </c>
      <c r="X142" s="170">
        <f>IF(OR($I142="",$E142=0),0,IF(OR($J142&lt;X$3,$I142&gt;X$2),0,IF($K142=0,IF(AND($I142&gt;=X$3,$I142&lt;=X$2),$E142,0),$E142*NETWORKDAYS(MAX($I142,X$3),MIN($J142,X$2),Data!$K$4:$K$203)/$K142)))</f>
        <v>0</v>
      </c>
      <c r="Y142" s="170">
        <f>IF(OR($I142="",$E142=0),0,IF(OR($J142&lt;Y$3,$I142&gt;Y$2),0,IF($K142=0,IF(AND($I142&gt;=Y$3,$I142&lt;=Y$2),$E142,0),$E142*NETWORKDAYS(MAX($I142,Y$3),MIN($J142,Y$2),Data!$K$4:$K$203)/$K142)))</f>
        <v>0</v>
      </c>
      <c r="Z142" s="170">
        <f>IF(OR($I142="",$E142=0),0,IF(OR($J142&lt;Z$3,$I142&gt;Z$2),0,IF($K142=0,IF(AND($I142&gt;=Z$3,$I142&lt;=Z$2),$E142,0),$E142*NETWORKDAYS(MAX($I142,Z$3),MIN($J142,Z$2),Data!$K$4:$K$203)/$K142)))</f>
        <v>0</v>
      </c>
      <c r="AA142" s="170">
        <f>IF(OR($I142="",$E142=0),0,IF(OR($J142&lt;AA$3,$I142&gt;AA$2),0,IF($K142=0,IF(AND($I142&gt;=AA$3,$I142&lt;=AA$2),$E142,0),$E142*NETWORKDAYS(MAX($I142,AA$3),MIN($J142,AA$2),Data!$K$4:$K$203)/$K142)))</f>
        <v>0</v>
      </c>
      <c r="AB142" s="170">
        <f>IF(OR($I142="",$E142=0),0,IF(OR($J142&lt;AB$3,$I142&gt;AB$2),0,IF($K142=0,IF(AND($I142&gt;=AB$3,$I142&lt;=AB$2),$E142,0),$E142*NETWORKDAYS(MAX($I142,AB$3),MIN($J142,AB$2),Data!$K$4:$K$203)/$K142)))</f>
        <v>0</v>
      </c>
      <c r="AC142" s="170">
        <f>IF(OR($I142="",$E142=0),0,IF(OR($J142&lt;AC$3,$I142&gt;AC$2),0,IF($K142=0,IF(AND($I142&gt;=AC$3,$I142&lt;=AC$2),$E142,0),$E142*NETWORKDAYS(MAX($I142,AC$3),MIN($J142,AC$2),Data!$K$4:$K$203)/$K142)))</f>
        <v>0</v>
      </c>
      <c r="AD142" s="170">
        <f>IF(OR($I142="",$E142=0),0,IF(OR($J142&lt;AD$3,$I142&gt;AD$2),0,IF($K142=0,IF(AND($I142&gt;=AD$3,$I142&lt;=AD$2),$E142,0),$E142*NETWORKDAYS(MAX($I142,AD$3),MIN($J142,AD$2),Data!$K$4:$K$203)/$K142)))</f>
        <v>0</v>
      </c>
      <c r="AE142" s="170">
        <f>IF(OR($I142="",$E142=0),0,IF(OR($J142&lt;AE$3,$I142&gt;AE$2),0,IF($K142=0,IF(AND($I142&gt;=AE$3,$I142&lt;=AE$2),$E142,0),$E142*NETWORKDAYS(MAX($I142,AE$3),MIN($J142,AE$2),Data!$K$4:$K$203)/$K142)))</f>
        <v>0</v>
      </c>
      <c r="AF142" s="170">
        <f>IF(OR($I142="",$E142=0),0,IF(OR($J142&lt;AF$3,$I142&gt;AF$2),0,IF($K142=0,IF(AND($I142&gt;=AF$3,$I142&lt;=AF$2),$E142,0),$E142*NETWORKDAYS(MAX($I142,AF$3),MIN($J142,AF$2),Data!$K$4:$K$203)/$K142)))</f>
        <v>0</v>
      </c>
      <c r="AG142" s="170">
        <f>IF(OR($I142="",$E142=0),0,IF(OR($J142&lt;AG$3,$I142&gt;AG$2),0,IF($K142=0,IF(AND($I142&gt;=AG$3,$I142&lt;=AG$2),$E142,0),$E142*NETWORKDAYS(MAX($I142,AG$3),MIN($J142,AG$2),Data!$K$4:$K$203)/$K142)))</f>
        <v>0</v>
      </c>
      <c r="AH142" s="170">
        <f>IF(OR($I142="",$E142=0),0,IF(OR($J142&lt;AH$3,$I142&gt;AH$2),0,IF($K142=0,IF(AND($I142&gt;=AH$3,$I142&lt;=AH$2),$E142,0),$E142*NETWORKDAYS(MAX($I142,AH$3),MIN($J142,AH$2),Data!$K$4:$K$203)/$K142)))</f>
        <v>0</v>
      </c>
      <c r="AI142" s="170">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70"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4" t="str">
        <f>IF(EO142=1,IF(FH142&gt;0,FI142/FH142,AVERAGEIF($FF$4:$FF$503,EN142,$C$4:$C$503)),"")</f>
        <v/>
      </c>
      <c r="EV142" s="169">
        <f>IF(ISNUMBER(I142),I142,2958465)</f>
        <v>2958465.0</v>
      </c>
      <c r="EW142" s="169" t="str">
        <f>IF(EO142=1,SUMPRODUCT(MIN(($EN$4:$EN$503=EN142)*$EV$4:$EV$503+($EN$4:$EN$503&lt;&gt;EN142)*2958465)),"")</f>
        <v/>
      </c>
      <c r="EX142" s="169">
        <f>IF(AND(D142=1,ISNUMBER(INDEX(Charge!$F:$F,ROW()))),INDEX(Charge!$F:$F,ROW()),0)</f>
        <v>0.0</v>
      </c>
      <c r="EY142" s="169"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c r="FF142" t="str">
        <f>IF(B142=1,LEFT(SUBSTITUTE(SUBSTITUTE(SUBSTITUTE(TRIM(SUBSTITUTE(INDEX(Charge!$B:$B,ROW()),CHAR(160)," "))&amp;" | "&amp;TRIM(SUBSTITUTE(INDEX(Charge!$C:$C,ROW()),CHAR(160)," "))&amp;" | "&amp;TRIM(SUBSTITUTE(INDEX(Charge!$D:$D,ROW()),CHAR(160)," ")),"~","-"),"*","+"),"?","!"),240),"")</f>
        <v/>
      </c>
      <c r="FG142">
        <f>IF(B142=1,MAX(0,N(INDEX(Charge!$M:$M,ROW()))),0)</f>
        <v>0</v>
      </c>
      <c r="FH142" s="170" t="str">
        <f>IF(EO142=1,ROUND(SUMIF($FF$4:$FF$503,EN142,$FG$4:$FG$503),2),"")</f>
        <v/>
      </c>
      <c r="FI142" s="170" t="str">
        <f>IF(EO142=1,ROUND(SUMPRODUCT(($FF$4:$FF$503=EN142)*$FG$4:$FG$503*$C$4:$C$503),2),"")</f>
        <v/>
      </c>
      <c r="FJ142" s="170" t="str">
        <f>IF(EO142=1,MAX(0,ROUND(FH142-FI142,2)),"")</f>
        <v/>
      </c>
      <c r="FK142" s="174" t="str">
        <f>IF(EO142=1,IF(OR(EW142&gt;=2958465,EY142=0,EY142&lt;=EW142),"",IF(TODAY()&lt;=EW142,0,IF(TODAY()&gt;EY142,1,IFERROR(NETWORKDAYS(EW142,TODAY()-1,Data!$K$4:$K$203)/NETWORKDAYS(EW142,EY142,Data!$K$4:$K$203),"")))),"")</f>
        <v/>
      </c>
      <c r="FL142" t="str">
        <f>IF(EO142=1,IF(AND(EY142&gt;0,EY142&lt;TODAY(),ROUND(EU142,4)&lt;1),2,IF(FK142="",0,IF(ROUND(EU142-FK142,4)&lt;-0.15,1,0))),"")</f>
        <v/>
      </c>
      <c r="FM142">
        <f>IF(OR(FA142="",COUNTIF($FA$4:FA141,FA142)&gt;0),0,MAX(0,IF(FB142="Interne",IF(ISNUMBER(INDEX(Data!$F:$F,142)),INDEX(Data!$F:$F,142),p_HeuresETP),IF(ISNUMBER(INDEX(Data!$I:$I,142-$CD$23)),INDEX(Data!$I:$I,142-$CD$23),p_HeuresETP))-IF(FB142="Interne",IF(ISNUMBER(INDEX(Data!$G:$G,142)),INDEX(Data!$G:$G,142),p_ChargeFixe),IF(ISNUMBER(INDEX(Data!$J:$J,142-$CD$23)),INDEX(Data!$J:$J,142-$CD$23),p_ChargeFixe))))</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9" t="str">
        <f>IF(AND(D143=1,ISNUMBER(INDEX(Charge!$N:$N,ROW()))),INDEX(Charge!$N:$N,ROW()),"")</f>
        <v/>
      </c>
      <c r="J143" s="169"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70">
        <f>IF(OR($I143="",$E143=0),0,IF(OR($J143&lt;W$3,$I143&gt;W$2),0,IF($K143=0,IF(AND($I143&gt;=W$3,$I143&lt;=W$2),$E143,0),$E143*NETWORKDAYS(MAX($I143,W$3),MIN($J143,W$2),Data!$K$4:$K$203)/$K143)))</f>
        <v>0</v>
      </c>
      <c r="X143" s="170">
        <f>IF(OR($I143="",$E143=0),0,IF(OR($J143&lt;X$3,$I143&gt;X$2),0,IF($K143=0,IF(AND($I143&gt;=X$3,$I143&lt;=X$2),$E143,0),$E143*NETWORKDAYS(MAX($I143,X$3),MIN($J143,X$2),Data!$K$4:$K$203)/$K143)))</f>
        <v>0</v>
      </c>
      <c r="Y143" s="170">
        <f>IF(OR($I143="",$E143=0),0,IF(OR($J143&lt;Y$3,$I143&gt;Y$2),0,IF($K143=0,IF(AND($I143&gt;=Y$3,$I143&lt;=Y$2),$E143,0),$E143*NETWORKDAYS(MAX($I143,Y$3),MIN($J143,Y$2),Data!$K$4:$K$203)/$K143)))</f>
        <v>0</v>
      </c>
      <c r="Z143" s="170">
        <f>IF(OR($I143="",$E143=0),0,IF(OR($J143&lt;Z$3,$I143&gt;Z$2),0,IF($K143=0,IF(AND($I143&gt;=Z$3,$I143&lt;=Z$2),$E143,0),$E143*NETWORKDAYS(MAX($I143,Z$3),MIN($J143,Z$2),Data!$K$4:$K$203)/$K143)))</f>
        <v>0</v>
      </c>
      <c r="AA143" s="170">
        <f>IF(OR($I143="",$E143=0),0,IF(OR($J143&lt;AA$3,$I143&gt;AA$2),0,IF($K143=0,IF(AND($I143&gt;=AA$3,$I143&lt;=AA$2),$E143,0),$E143*NETWORKDAYS(MAX($I143,AA$3),MIN($J143,AA$2),Data!$K$4:$K$203)/$K143)))</f>
        <v>0</v>
      </c>
      <c r="AB143" s="170">
        <f>IF(OR($I143="",$E143=0),0,IF(OR($J143&lt;AB$3,$I143&gt;AB$2),0,IF($K143=0,IF(AND($I143&gt;=AB$3,$I143&lt;=AB$2),$E143,0),$E143*NETWORKDAYS(MAX($I143,AB$3),MIN($J143,AB$2),Data!$K$4:$K$203)/$K143)))</f>
        <v>0</v>
      </c>
      <c r="AC143" s="170">
        <f>IF(OR($I143="",$E143=0),0,IF(OR($J143&lt;AC$3,$I143&gt;AC$2),0,IF($K143=0,IF(AND($I143&gt;=AC$3,$I143&lt;=AC$2),$E143,0),$E143*NETWORKDAYS(MAX($I143,AC$3),MIN($J143,AC$2),Data!$K$4:$K$203)/$K143)))</f>
        <v>0</v>
      </c>
      <c r="AD143" s="170">
        <f>IF(OR($I143="",$E143=0),0,IF(OR($J143&lt;AD$3,$I143&gt;AD$2),0,IF($K143=0,IF(AND($I143&gt;=AD$3,$I143&lt;=AD$2),$E143,0),$E143*NETWORKDAYS(MAX($I143,AD$3),MIN($J143,AD$2),Data!$K$4:$K$203)/$K143)))</f>
        <v>0</v>
      </c>
      <c r="AE143" s="170">
        <f>IF(OR($I143="",$E143=0),0,IF(OR($J143&lt;AE$3,$I143&gt;AE$2),0,IF($K143=0,IF(AND($I143&gt;=AE$3,$I143&lt;=AE$2),$E143,0),$E143*NETWORKDAYS(MAX($I143,AE$3),MIN($J143,AE$2),Data!$K$4:$K$203)/$K143)))</f>
        <v>0</v>
      </c>
      <c r="AF143" s="170">
        <f>IF(OR($I143="",$E143=0),0,IF(OR($J143&lt;AF$3,$I143&gt;AF$2),0,IF($K143=0,IF(AND($I143&gt;=AF$3,$I143&lt;=AF$2),$E143,0),$E143*NETWORKDAYS(MAX($I143,AF$3),MIN($J143,AF$2),Data!$K$4:$K$203)/$K143)))</f>
        <v>0</v>
      </c>
      <c r="AG143" s="170">
        <f>IF(OR($I143="",$E143=0),0,IF(OR($J143&lt;AG$3,$I143&gt;AG$2),0,IF($K143=0,IF(AND($I143&gt;=AG$3,$I143&lt;=AG$2),$E143,0),$E143*NETWORKDAYS(MAX($I143,AG$3),MIN($J143,AG$2),Data!$K$4:$K$203)/$K143)))</f>
        <v>0</v>
      </c>
      <c r="AH143" s="170">
        <f>IF(OR($I143="",$E143=0),0,IF(OR($J143&lt;AH$3,$I143&gt;AH$2),0,IF($K143=0,IF(AND($I143&gt;=AH$3,$I143&lt;=AH$2),$E143,0),$E143*NETWORKDAYS(MAX($I143,AH$3),MIN($J143,AH$2),Data!$K$4:$K$203)/$K143)))</f>
        <v>0</v>
      </c>
      <c r="AI143" s="170">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70"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4" t="str">
        <f>IF(EO143=1,IF(FH143&gt;0,FI143/FH143,AVERAGEIF($FF$4:$FF$503,EN143,$C$4:$C$503)),"")</f>
        <v/>
      </c>
      <c r="EV143" s="169">
        <f>IF(ISNUMBER(I143),I143,2958465)</f>
        <v>2958465.0</v>
      </c>
      <c r="EW143" s="169" t="str">
        <f>IF(EO143=1,SUMPRODUCT(MIN(($EN$4:$EN$503=EN143)*$EV$4:$EV$503+($EN$4:$EN$503&lt;&gt;EN143)*2958465)),"")</f>
        <v/>
      </c>
      <c r="EX143" s="169">
        <f>IF(AND(D143=1,ISNUMBER(INDEX(Charge!$F:$F,ROW()))),INDEX(Charge!$F:$F,ROW()),0)</f>
        <v>0.0</v>
      </c>
      <c r="EY143" s="169"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c r="FF143" t="str">
        <f>IF(B143=1,LEFT(SUBSTITUTE(SUBSTITUTE(SUBSTITUTE(TRIM(SUBSTITUTE(INDEX(Charge!$B:$B,ROW()),CHAR(160)," "))&amp;" | "&amp;TRIM(SUBSTITUTE(INDEX(Charge!$C:$C,ROW()),CHAR(160)," "))&amp;" | "&amp;TRIM(SUBSTITUTE(INDEX(Charge!$D:$D,ROW()),CHAR(160)," ")),"~","-"),"*","+"),"?","!"),240),"")</f>
        <v/>
      </c>
      <c r="FG143">
        <f>IF(B143=1,MAX(0,N(INDEX(Charge!$M:$M,ROW()))),0)</f>
        <v>0</v>
      </c>
      <c r="FH143" s="170" t="str">
        <f>IF(EO143=1,ROUND(SUMIF($FF$4:$FF$503,EN143,$FG$4:$FG$503),2),"")</f>
        <v/>
      </c>
      <c r="FI143" s="170" t="str">
        <f>IF(EO143=1,ROUND(SUMPRODUCT(($FF$4:$FF$503=EN143)*$FG$4:$FG$503*$C$4:$C$503),2),"")</f>
        <v/>
      </c>
      <c r="FJ143" s="170" t="str">
        <f>IF(EO143=1,MAX(0,ROUND(FH143-FI143,2)),"")</f>
        <v/>
      </c>
      <c r="FK143" s="174" t="str">
        <f>IF(EO143=1,IF(OR(EW143&gt;=2958465,EY143=0,EY143&lt;=EW143),"",IF(TODAY()&lt;=EW143,0,IF(TODAY()&gt;EY143,1,IFERROR(NETWORKDAYS(EW143,TODAY()-1,Data!$K$4:$K$203)/NETWORKDAYS(EW143,EY143,Data!$K$4:$K$203),"")))),"")</f>
        <v/>
      </c>
      <c r="FL143" t="str">
        <f>IF(EO143=1,IF(AND(EY143&gt;0,EY143&lt;TODAY(),ROUND(EU143,4)&lt;1),2,IF(FK143="",0,IF(ROUND(EU143-FK143,4)&lt;-0.15,1,0))),"")</f>
        <v/>
      </c>
      <c r="FM143">
        <f>IF(OR(FA143="",COUNTIF($FA$4:FA142,FA143)&gt;0),0,MAX(0,IF(FB143="Interne",IF(ISNUMBER(INDEX(Data!$F:$F,143)),INDEX(Data!$F:$F,143),p_HeuresETP),IF(ISNUMBER(INDEX(Data!$I:$I,143-$CD$23)),INDEX(Data!$I:$I,143-$CD$23),p_HeuresETP))-IF(FB143="Interne",IF(ISNUMBER(INDEX(Data!$G:$G,143)),INDEX(Data!$G:$G,143),p_ChargeFixe),IF(ISNUMBER(INDEX(Data!$J:$J,143-$CD$23)),INDEX(Data!$J:$J,143-$CD$23),p_ChargeFixe))))</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9" t="str">
        <f>IF(AND(D144=1,ISNUMBER(INDEX(Charge!$N:$N,ROW()))),INDEX(Charge!$N:$N,ROW()),"")</f>
        <v/>
      </c>
      <c r="J144" s="169"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70">
        <f>IF(OR($I144="",$E144=0),0,IF(OR($J144&lt;W$3,$I144&gt;W$2),0,IF($K144=0,IF(AND($I144&gt;=W$3,$I144&lt;=W$2),$E144,0),$E144*NETWORKDAYS(MAX($I144,W$3),MIN($J144,W$2),Data!$K$4:$K$203)/$K144)))</f>
        <v>0</v>
      </c>
      <c r="X144" s="170">
        <f>IF(OR($I144="",$E144=0),0,IF(OR($J144&lt;X$3,$I144&gt;X$2),0,IF($K144=0,IF(AND($I144&gt;=X$3,$I144&lt;=X$2),$E144,0),$E144*NETWORKDAYS(MAX($I144,X$3),MIN($J144,X$2),Data!$K$4:$K$203)/$K144)))</f>
        <v>0</v>
      </c>
      <c r="Y144" s="170">
        <f>IF(OR($I144="",$E144=0),0,IF(OR($J144&lt;Y$3,$I144&gt;Y$2),0,IF($K144=0,IF(AND($I144&gt;=Y$3,$I144&lt;=Y$2),$E144,0),$E144*NETWORKDAYS(MAX($I144,Y$3),MIN($J144,Y$2),Data!$K$4:$K$203)/$K144)))</f>
        <v>0</v>
      </c>
      <c r="Z144" s="170">
        <f>IF(OR($I144="",$E144=0),0,IF(OR($J144&lt;Z$3,$I144&gt;Z$2),0,IF($K144=0,IF(AND($I144&gt;=Z$3,$I144&lt;=Z$2),$E144,0),$E144*NETWORKDAYS(MAX($I144,Z$3),MIN($J144,Z$2),Data!$K$4:$K$203)/$K144)))</f>
        <v>0</v>
      </c>
      <c r="AA144" s="170">
        <f>IF(OR($I144="",$E144=0),0,IF(OR($J144&lt;AA$3,$I144&gt;AA$2),0,IF($K144=0,IF(AND($I144&gt;=AA$3,$I144&lt;=AA$2),$E144,0),$E144*NETWORKDAYS(MAX($I144,AA$3),MIN($J144,AA$2),Data!$K$4:$K$203)/$K144)))</f>
        <v>0</v>
      </c>
      <c r="AB144" s="170">
        <f>IF(OR($I144="",$E144=0),0,IF(OR($J144&lt;AB$3,$I144&gt;AB$2),0,IF($K144=0,IF(AND($I144&gt;=AB$3,$I144&lt;=AB$2),$E144,0),$E144*NETWORKDAYS(MAX($I144,AB$3),MIN($J144,AB$2),Data!$K$4:$K$203)/$K144)))</f>
        <v>0</v>
      </c>
      <c r="AC144" s="170">
        <f>IF(OR($I144="",$E144=0),0,IF(OR($J144&lt;AC$3,$I144&gt;AC$2),0,IF($K144=0,IF(AND($I144&gt;=AC$3,$I144&lt;=AC$2),$E144,0),$E144*NETWORKDAYS(MAX($I144,AC$3),MIN($J144,AC$2),Data!$K$4:$K$203)/$K144)))</f>
        <v>0</v>
      </c>
      <c r="AD144" s="170">
        <f>IF(OR($I144="",$E144=0),0,IF(OR($J144&lt;AD$3,$I144&gt;AD$2),0,IF($K144=0,IF(AND($I144&gt;=AD$3,$I144&lt;=AD$2),$E144,0),$E144*NETWORKDAYS(MAX($I144,AD$3),MIN($J144,AD$2),Data!$K$4:$K$203)/$K144)))</f>
        <v>0</v>
      </c>
      <c r="AE144" s="170">
        <f>IF(OR($I144="",$E144=0),0,IF(OR($J144&lt;AE$3,$I144&gt;AE$2),0,IF($K144=0,IF(AND($I144&gt;=AE$3,$I144&lt;=AE$2),$E144,0),$E144*NETWORKDAYS(MAX($I144,AE$3),MIN($J144,AE$2),Data!$K$4:$K$203)/$K144)))</f>
        <v>0</v>
      </c>
      <c r="AF144" s="170">
        <f>IF(OR($I144="",$E144=0),0,IF(OR($J144&lt;AF$3,$I144&gt;AF$2),0,IF($K144=0,IF(AND($I144&gt;=AF$3,$I144&lt;=AF$2),$E144,0),$E144*NETWORKDAYS(MAX($I144,AF$3),MIN($J144,AF$2),Data!$K$4:$K$203)/$K144)))</f>
        <v>0</v>
      </c>
      <c r="AG144" s="170">
        <f>IF(OR($I144="",$E144=0),0,IF(OR($J144&lt;AG$3,$I144&gt;AG$2),0,IF($K144=0,IF(AND($I144&gt;=AG$3,$I144&lt;=AG$2),$E144,0),$E144*NETWORKDAYS(MAX($I144,AG$3),MIN($J144,AG$2),Data!$K$4:$K$203)/$K144)))</f>
        <v>0</v>
      </c>
      <c r="AH144" s="170">
        <f>IF(OR($I144="",$E144=0),0,IF(OR($J144&lt;AH$3,$I144&gt;AH$2),0,IF($K144=0,IF(AND($I144&gt;=AH$3,$I144&lt;=AH$2),$E144,0),$E144*NETWORKDAYS(MAX($I144,AH$3),MIN($J144,AH$2),Data!$K$4:$K$203)/$K144)))</f>
        <v>0</v>
      </c>
      <c r="AI144" s="170">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70"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4" t="str">
        <f>IF(EO144=1,IF(FH144&gt;0,FI144/FH144,AVERAGEIF($FF$4:$FF$503,EN144,$C$4:$C$503)),"")</f>
        <v/>
      </c>
      <c r="EV144" s="169">
        <f>IF(ISNUMBER(I144),I144,2958465)</f>
        <v>2958465.0</v>
      </c>
      <c r="EW144" s="169" t="str">
        <f>IF(EO144=1,SUMPRODUCT(MIN(($EN$4:$EN$503=EN144)*$EV$4:$EV$503+($EN$4:$EN$503&lt;&gt;EN144)*2958465)),"")</f>
        <v/>
      </c>
      <c r="EX144" s="169">
        <f>IF(AND(D144=1,ISNUMBER(INDEX(Charge!$F:$F,ROW()))),INDEX(Charge!$F:$F,ROW()),0)</f>
        <v>0.0</v>
      </c>
      <c r="EY144" s="169"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c r="FF144" t="str">
        <f>IF(B144=1,LEFT(SUBSTITUTE(SUBSTITUTE(SUBSTITUTE(TRIM(SUBSTITUTE(INDEX(Charge!$B:$B,ROW()),CHAR(160)," "))&amp;" | "&amp;TRIM(SUBSTITUTE(INDEX(Charge!$C:$C,ROW()),CHAR(160)," "))&amp;" | "&amp;TRIM(SUBSTITUTE(INDEX(Charge!$D:$D,ROW()),CHAR(160)," ")),"~","-"),"*","+"),"?","!"),240),"")</f>
        <v/>
      </c>
      <c r="FG144">
        <f>IF(B144=1,MAX(0,N(INDEX(Charge!$M:$M,ROW()))),0)</f>
        <v>0</v>
      </c>
      <c r="FH144" s="170" t="str">
        <f>IF(EO144=1,ROUND(SUMIF($FF$4:$FF$503,EN144,$FG$4:$FG$503),2),"")</f>
        <v/>
      </c>
      <c r="FI144" s="170" t="str">
        <f>IF(EO144=1,ROUND(SUMPRODUCT(($FF$4:$FF$503=EN144)*$FG$4:$FG$503*$C$4:$C$503),2),"")</f>
        <v/>
      </c>
      <c r="FJ144" s="170" t="str">
        <f>IF(EO144=1,MAX(0,ROUND(FH144-FI144,2)),"")</f>
        <v/>
      </c>
      <c r="FK144" s="174" t="str">
        <f>IF(EO144=1,IF(OR(EW144&gt;=2958465,EY144=0,EY144&lt;=EW144),"",IF(TODAY()&lt;=EW144,0,IF(TODAY()&gt;EY144,1,IFERROR(NETWORKDAYS(EW144,TODAY()-1,Data!$K$4:$K$203)/NETWORKDAYS(EW144,EY144,Data!$K$4:$K$203),"")))),"")</f>
        <v/>
      </c>
      <c r="FL144" t="str">
        <f>IF(EO144=1,IF(AND(EY144&gt;0,EY144&lt;TODAY(),ROUND(EU144,4)&lt;1),2,IF(FK144="",0,IF(ROUND(EU144-FK144,4)&lt;-0.15,1,0))),"")</f>
        <v/>
      </c>
      <c r="FM144">
        <f>IF(OR(FA144="",COUNTIF($FA$4:FA143,FA144)&gt;0),0,MAX(0,IF(FB144="Interne",IF(ISNUMBER(INDEX(Data!$F:$F,144)),INDEX(Data!$F:$F,144),p_HeuresETP),IF(ISNUMBER(INDEX(Data!$I:$I,144-$CD$23)),INDEX(Data!$I:$I,144-$CD$23),p_HeuresETP))-IF(FB144="Interne",IF(ISNUMBER(INDEX(Data!$G:$G,144)),INDEX(Data!$G:$G,144),p_ChargeFixe),IF(ISNUMBER(INDEX(Data!$J:$J,144-$CD$23)),INDEX(Data!$J:$J,144-$CD$23),p_ChargeFixe))))</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9" t="str">
        <f>IF(AND(D145=1,ISNUMBER(INDEX(Charge!$N:$N,ROW()))),INDEX(Charge!$N:$N,ROW()),"")</f>
        <v/>
      </c>
      <c r="J145" s="169"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70">
        <f>IF(OR($I145="",$E145=0),0,IF(OR($J145&lt;W$3,$I145&gt;W$2),0,IF($K145=0,IF(AND($I145&gt;=W$3,$I145&lt;=W$2),$E145,0),$E145*NETWORKDAYS(MAX($I145,W$3),MIN($J145,W$2),Data!$K$4:$K$203)/$K145)))</f>
        <v>0</v>
      </c>
      <c r="X145" s="170">
        <f>IF(OR($I145="",$E145=0),0,IF(OR($J145&lt;X$3,$I145&gt;X$2),0,IF($K145=0,IF(AND($I145&gt;=X$3,$I145&lt;=X$2),$E145,0),$E145*NETWORKDAYS(MAX($I145,X$3),MIN($J145,X$2),Data!$K$4:$K$203)/$K145)))</f>
        <v>0</v>
      </c>
      <c r="Y145" s="170">
        <f>IF(OR($I145="",$E145=0),0,IF(OR($J145&lt;Y$3,$I145&gt;Y$2),0,IF($K145=0,IF(AND($I145&gt;=Y$3,$I145&lt;=Y$2),$E145,0),$E145*NETWORKDAYS(MAX($I145,Y$3),MIN($J145,Y$2),Data!$K$4:$K$203)/$K145)))</f>
        <v>0</v>
      </c>
      <c r="Z145" s="170">
        <f>IF(OR($I145="",$E145=0),0,IF(OR($J145&lt;Z$3,$I145&gt;Z$2),0,IF($K145=0,IF(AND($I145&gt;=Z$3,$I145&lt;=Z$2),$E145,0),$E145*NETWORKDAYS(MAX($I145,Z$3),MIN($J145,Z$2),Data!$K$4:$K$203)/$K145)))</f>
        <v>0</v>
      </c>
      <c r="AA145" s="170">
        <f>IF(OR($I145="",$E145=0),0,IF(OR($J145&lt;AA$3,$I145&gt;AA$2),0,IF($K145=0,IF(AND($I145&gt;=AA$3,$I145&lt;=AA$2),$E145,0),$E145*NETWORKDAYS(MAX($I145,AA$3),MIN($J145,AA$2),Data!$K$4:$K$203)/$K145)))</f>
        <v>0</v>
      </c>
      <c r="AB145" s="170">
        <f>IF(OR($I145="",$E145=0),0,IF(OR($J145&lt;AB$3,$I145&gt;AB$2),0,IF($K145=0,IF(AND($I145&gt;=AB$3,$I145&lt;=AB$2),$E145,0),$E145*NETWORKDAYS(MAX($I145,AB$3),MIN($J145,AB$2),Data!$K$4:$K$203)/$K145)))</f>
        <v>0</v>
      </c>
      <c r="AC145" s="170">
        <f>IF(OR($I145="",$E145=0),0,IF(OR($J145&lt;AC$3,$I145&gt;AC$2),0,IF($K145=0,IF(AND($I145&gt;=AC$3,$I145&lt;=AC$2),$E145,0),$E145*NETWORKDAYS(MAX($I145,AC$3),MIN($J145,AC$2),Data!$K$4:$K$203)/$K145)))</f>
        <v>0</v>
      </c>
      <c r="AD145" s="170">
        <f>IF(OR($I145="",$E145=0),0,IF(OR($J145&lt;AD$3,$I145&gt;AD$2),0,IF($K145=0,IF(AND($I145&gt;=AD$3,$I145&lt;=AD$2),$E145,0),$E145*NETWORKDAYS(MAX($I145,AD$3),MIN($J145,AD$2),Data!$K$4:$K$203)/$K145)))</f>
        <v>0</v>
      </c>
      <c r="AE145" s="170">
        <f>IF(OR($I145="",$E145=0),0,IF(OR($J145&lt;AE$3,$I145&gt;AE$2),0,IF($K145=0,IF(AND($I145&gt;=AE$3,$I145&lt;=AE$2),$E145,0),$E145*NETWORKDAYS(MAX($I145,AE$3),MIN($J145,AE$2),Data!$K$4:$K$203)/$K145)))</f>
        <v>0</v>
      </c>
      <c r="AF145" s="170">
        <f>IF(OR($I145="",$E145=0),0,IF(OR($J145&lt;AF$3,$I145&gt;AF$2),0,IF($K145=0,IF(AND($I145&gt;=AF$3,$I145&lt;=AF$2),$E145,0),$E145*NETWORKDAYS(MAX($I145,AF$3),MIN($J145,AF$2),Data!$K$4:$K$203)/$K145)))</f>
        <v>0</v>
      </c>
      <c r="AG145" s="170">
        <f>IF(OR($I145="",$E145=0),0,IF(OR($J145&lt;AG$3,$I145&gt;AG$2),0,IF($K145=0,IF(AND($I145&gt;=AG$3,$I145&lt;=AG$2),$E145,0),$E145*NETWORKDAYS(MAX($I145,AG$3),MIN($J145,AG$2),Data!$K$4:$K$203)/$K145)))</f>
        <v>0</v>
      </c>
      <c r="AH145" s="170">
        <f>IF(OR($I145="",$E145=0),0,IF(OR($J145&lt;AH$3,$I145&gt;AH$2),0,IF($K145=0,IF(AND($I145&gt;=AH$3,$I145&lt;=AH$2),$E145,0),$E145*NETWORKDAYS(MAX($I145,AH$3),MIN($J145,AH$2),Data!$K$4:$K$203)/$K145)))</f>
        <v>0</v>
      </c>
      <c r="AI145" s="170">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70"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4" t="str">
        <f>IF(EO145=1,IF(FH145&gt;0,FI145/FH145,AVERAGEIF($FF$4:$FF$503,EN145,$C$4:$C$503)),"")</f>
        <v/>
      </c>
      <c r="EV145" s="169">
        <f>IF(ISNUMBER(I145),I145,2958465)</f>
        <v>2958465.0</v>
      </c>
      <c r="EW145" s="169" t="str">
        <f>IF(EO145=1,SUMPRODUCT(MIN(($EN$4:$EN$503=EN145)*$EV$4:$EV$503+($EN$4:$EN$503&lt;&gt;EN145)*2958465)),"")</f>
        <v/>
      </c>
      <c r="EX145" s="169">
        <f>IF(AND(D145=1,ISNUMBER(INDEX(Charge!$F:$F,ROW()))),INDEX(Charge!$F:$F,ROW()),0)</f>
        <v>0.0</v>
      </c>
      <c r="EY145" s="169"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c r="FF145" t="str">
        <f>IF(B145=1,LEFT(SUBSTITUTE(SUBSTITUTE(SUBSTITUTE(TRIM(SUBSTITUTE(INDEX(Charge!$B:$B,ROW()),CHAR(160)," "))&amp;" | "&amp;TRIM(SUBSTITUTE(INDEX(Charge!$C:$C,ROW()),CHAR(160)," "))&amp;" | "&amp;TRIM(SUBSTITUTE(INDEX(Charge!$D:$D,ROW()),CHAR(160)," ")),"~","-"),"*","+"),"?","!"),240),"")</f>
        <v/>
      </c>
      <c r="FG145">
        <f>IF(B145=1,MAX(0,N(INDEX(Charge!$M:$M,ROW()))),0)</f>
        <v>0</v>
      </c>
      <c r="FH145" s="170" t="str">
        <f>IF(EO145=1,ROUND(SUMIF($FF$4:$FF$503,EN145,$FG$4:$FG$503),2),"")</f>
        <v/>
      </c>
      <c r="FI145" s="170" t="str">
        <f>IF(EO145=1,ROUND(SUMPRODUCT(($FF$4:$FF$503=EN145)*$FG$4:$FG$503*$C$4:$C$503),2),"")</f>
        <v/>
      </c>
      <c r="FJ145" s="170" t="str">
        <f>IF(EO145=1,MAX(0,ROUND(FH145-FI145,2)),"")</f>
        <v/>
      </c>
      <c r="FK145" s="174" t="str">
        <f>IF(EO145=1,IF(OR(EW145&gt;=2958465,EY145=0,EY145&lt;=EW145),"",IF(TODAY()&lt;=EW145,0,IF(TODAY()&gt;EY145,1,IFERROR(NETWORKDAYS(EW145,TODAY()-1,Data!$K$4:$K$203)/NETWORKDAYS(EW145,EY145,Data!$K$4:$K$203),"")))),"")</f>
        <v/>
      </c>
      <c r="FL145" t="str">
        <f>IF(EO145=1,IF(AND(EY145&gt;0,EY145&lt;TODAY(),ROUND(EU145,4)&lt;1),2,IF(FK145="",0,IF(ROUND(EU145-FK145,4)&lt;-0.15,1,0))),"")</f>
        <v/>
      </c>
      <c r="FM145">
        <f>IF(OR(FA145="",COUNTIF($FA$4:FA144,FA145)&gt;0),0,MAX(0,IF(FB145="Interne",IF(ISNUMBER(INDEX(Data!$F:$F,145)),INDEX(Data!$F:$F,145),p_HeuresETP),IF(ISNUMBER(INDEX(Data!$I:$I,145-$CD$23)),INDEX(Data!$I:$I,145-$CD$23),p_HeuresETP))-IF(FB145="Interne",IF(ISNUMBER(INDEX(Data!$G:$G,145)),INDEX(Data!$G:$G,145),p_ChargeFixe),IF(ISNUMBER(INDEX(Data!$J:$J,145-$CD$23)),INDEX(Data!$J:$J,145-$CD$23),p_ChargeFixe))))</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9" t="str">
        <f>IF(AND(D146=1,ISNUMBER(INDEX(Charge!$N:$N,ROW()))),INDEX(Charge!$N:$N,ROW()),"")</f>
        <v/>
      </c>
      <c r="J146" s="169"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70">
        <f>IF(OR($I146="",$E146=0),0,IF(OR($J146&lt;W$3,$I146&gt;W$2),0,IF($K146=0,IF(AND($I146&gt;=W$3,$I146&lt;=W$2),$E146,0),$E146*NETWORKDAYS(MAX($I146,W$3),MIN($J146,W$2),Data!$K$4:$K$203)/$K146)))</f>
        <v>0</v>
      </c>
      <c r="X146" s="170">
        <f>IF(OR($I146="",$E146=0),0,IF(OR($J146&lt;X$3,$I146&gt;X$2),0,IF($K146=0,IF(AND($I146&gt;=X$3,$I146&lt;=X$2),$E146,0),$E146*NETWORKDAYS(MAX($I146,X$3),MIN($J146,X$2),Data!$K$4:$K$203)/$K146)))</f>
        <v>0</v>
      </c>
      <c r="Y146" s="170">
        <f>IF(OR($I146="",$E146=0),0,IF(OR($J146&lt;Y$3,$I146&gt;Y$2),0,IF($K146=0,IF(AND($I146&gt;=Y$3,$I146&lt;=Y$2),$E146,0),$E146*NETWORKDAYS(MAX($I146,Y$3),MIN($J146,Y$2),Data!$K$4:$K$203)/$K146)))</f>
        <v>0</v>
      </c>
      <c r="Z146" s="170">
        <f>IF(OR($I146="",$E146=0),0,IF(OR($J146&lt;Z$3,$I146&gt;Z$2),0,IF($K146=0,IF(AND($I146&gt;=Z$3,$I146&lt;=Z$2),$E146,0),$E146*NETWORKDAYS(MAX($I146,Z$3),MIN($J146,Z$2),Data!$K$4:$K$203)/$K146)))</f>
        <v>0</v>
      </c>
      <c r="AA146" s="170">
        <f>IF(OR($I146="",$E146=0),0,IF(OR($J146&lt;AA$3,$I146&gt;AA$2),0,IF($K146=0,IF(AND($I146&gt;=AA$3,$I146&lt;=AA$2),$E146,0),$E146*NETWORKDAYS(MAX($I146,AA$3),MIN($J146,AA$2),Data!$K$4:$K$203)/$K146)))</f>
        <v>0</v>
      </c>
      <c r="AB146" s="170">
        <f>IF(OR($I146="",$E146=0),0,IF(OR($J146&lt;AB$3,$I146&gt;AB$2),0,IF($K146=0,IF(AND($I146&gt;=AB$3,$I146&lt;=AB$2),$E146,0),$E146*NETWORKDAYS(MAX($I146,AB$3),MIN($J146,AB$2),Data!$K$4:$K$203)/$K146)))</f>
        <v>0</v>
      </c>
      <c r="AC146" s="170">
        <f>IF(OR($I146="",$E146=0),0,IF(OR($J146&lt;AC$3,$I146&gt;AC$2),0,IF($K146=0,IF(AND($I146&gt;=AC$3,$I146&lt;=AC$2),$E146,0),$E146*NETWORKDAYS(MAX($I146,AC$3),MIN($J146,AC$2),Data!$K$4:$K$203)/$K146)))</f>
        <v>0</v>
      </c>
      <c r="AD146" s="170">
        <f>IF(OR($I146="",$E146=0),0,IF(OR($J146&lt;AD$3,$I146&gt;AD$2),0,IF($K146=0,IF(AND($I146&gt;=AD$3,$I146&lt;=AD$2),$E146,0),$E146*NETWORKDAYS(MAX($I146,AD$3),MIN($J146,AD$2),Data!$K$4:$K$203)/$K146)))</f>
        <v>0</v>
      </c>
      <c r="AE146" s="170">
        <f>IF(OR($I146="",$E146=0),0,IF(OR($J146&lt;AE$3,$I146&gt;AE$2),0,IF($K146=0,IF(AND($I146&gt;=AE$3,$I146&lt;=AE$2),$E146,0),$E146*NETWORKDAYS(MAX($I146,AE$3),MIN($J146,AE$2),Data!$K$4:$K$203)/$K146)))</f>
        <v>0</v>
      </c>
      <c r="AF146" s="170">
        <f>IF(OR($I146="",$E146=0),0,IF(OR($J146&lt;AF$3,$I146&gt;AF$2),0,IF($K146=0,IF(AND($I146&gt;=AF$3,$I146&lt;=AF$2),$E146,0),$E146*NETWORKDAYS(MAX($I146,AF$3),MIN($J146,AF$2),Data!$K$4:$K$203)/$K146)))</f>
        <v>0</v>
      </c>
      <c r="AG146" s="170">
        <f>IF(OR($I146="",$E146=0),0,IF(OR($J146&lt;AG$3,$I146&gt;AG$2),0,IF($K146=0,IF(AND($I146&gt;=AG$3,$I146&lt;=AG$2),$E146,0),$E146*NETWORKDAYS(MAX($I146,AG$3),MIN($J146,AG$2),Data!$K$4:$K$203)/$K146)))</f>
        <v>0</v>
      </c>
      <c r="AH146" s="170">
        <f>IF(OR($I146="",$E146=0),0,IF(OR($J146&lt;AH$3,$I146&gt;AH$2),0,IF($K146=0,IF(AND($I146&gt;=AH$3,$I146&lt;=AH$2),$E146,0),$E146*NETWORKDAYS(MAX($I146,AH$3),MIN($J146,AH$2),Data!$K$4:$K$203)/$K146)))</f>
        <v>0</v>
      </c>
      <c r="AI146" s="170">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70"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4" t="str">
        <f>IF(EO146=1,IF(FH146&gt;0,FI146/FH146,AVERAGEIF($FF$4:$FF$503,EN146,$C$4:$C$503)),"")</f>
        <v/>
      </c>
      <c r="EV146" s="169">
        <f>IF(ISNUMBER(I146),I146,2958465)</f>
        <v>2958465.0</v>
      </c>
      <c r="EW146" s="169" t="str">
        <f>IF(EO146=1,SUMPRODUCT(MIN(($EN$4:$EN$503=EN146)*$EV$4:$EV$503+($EN$4:$EN$503&lt;&gt;EN146)*2958465)),"")</f>
        <v/>
      </c>
      <c r="EX146" s="169">
        <f>IF(AND(D146=1,ISNUMBER(INDEX(Charge!$F:$F,ROW()))),INDEX(Charge!$F:$F,ROW()),0)</f>
        <v>0.0</v>
      </c>
      <c r="EY146" s="169"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c r="FF146" t="str">
        <f>IF(B146=1,LEFT(SUBSTITUTE(SUBSTITUTE(SUBSTITUTE(TRIM(SUBSTITUTE(INDEX(Charge!$B:$B,ROW()),CHAR(160)," "))&amp;" | "&amp;TRIM(SUBSTITUTE(INDEX(Charge!$C:$C,ROW()),CHAR(160)," "))&amp;" | "&amp;TRIM(SUBSTITUTE(INDEX(Charge!$D:$D,ROW()),CHAR(160)," ")),"~","-"),"*","+"),"?","!"),240),"")</f>
        <v/>
      </c>
      <c r="FG146">
        <f>IF(B146=1,MAX(0,N(INDEX(Charge!$M:$M,ROW()))),0)</f>
        <v>0</v>
      </c>
      <c r="FH146" s="170" t="str">
        <f>IF(EO146=1,ROUND(SUMIF($FF$4:$FF$503,EN146,$FG$4:$FG$503),2),"")</f>
        <v/>
      </c>
      <c r="FI146" s="170" t="str">
        <f>IF(EO146=1,ROUND(SUMPRODUCT(($FF$4:$FF$503=EN146)*$FG$4:$FG$503*$C$4:$C$503),2),"")</f>
        <v/>
      </c>
      <c r="FJ146" s="170" t="str">
        <f>IF(EO146=1,MAX(0,ROUND(FH146-FI146,2)),"")</f>
        <v/>
      </c>
      <c r="FK146" s="174" t="str">
        <f>IF(EO146=1,IF(OR(EW146&gt;=2958465,EY146=0,EY146&lt;=EW146),"",IF(TODAY()&lt;=EW146,0,IF(TODAY()&gt;EY146,1,IFERROR(NETWORKDAYS(EW146,TODAY()-1,Data!$K$4:$K$203)/NETWORKDAYS(EW146,EY146,Data!$K$4:$K$203),"")))),"")</f>
        <v/>
      </c>
      <c r="FL146" t="str">
        <f>IF(EO146=1,IF(AND(EY146&gt;0,EY146&lt;TODAY(),ROUND(EU146,4)&lt;1),2,IF(FK146="",0,IF(ROUND(EU146-FK146,4)&lt;-0.15,1,0))),"")</f>
        <v/>
      </c>
      <c r="FM146">
        <f>IF(OR(FA146="",COUNTIF($FA$4:FA145,FA146)&gt;0),0,MAX(0,IF(FB146="Interne",IF(ISNUMBER(INDEX(Data!$F:$F,146)),INDEX(Data!$F:$F,146),p_HeuresETP),IF(ISNUMBER(INDEX(Data!$I:$I,146-$CD$23)),INDEX(Data!$I:$I,146-$CD$23),p_HeuresETP))-IF(FB146="Interne",IF(ISNUMBER(INDEX(Data!$G:$G,146)),INDEX(Data!$G:$G,146),p_ChargeFixe),IF(ISNUMBER(INDEX(Data!$J:$J,146-$CD$23)),INDEX(Data!$J:$J,146-$CD$23),p_ChargeFixe))))</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9" t="str">
        <f>IF(AND(D147=1,ISNUMBER(INDEX(Charge!$N:$N,ROW()))),INDEX(Charge!$N:$N,ROW()),"")</f>
        <v/>
      </c>
      <c r="J147" s="169"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70">
        <f>IF(OR($I147="",$E147=0),0,IF(OR($J147&lt;W$3,$I147&gt;W$2),0,IF($K147=0,IF(AND($I147&gt;=W$3,$I147&lt;=W$2),$E147,0),$E147*NETWORKDAYS(MAX($I147,W$3),MIN($J147,W$2),Data!$K$4:$K$203)/$K147)))</f>
        <v>0</v>
      </c>
      <c r="X147" s="170">
        <f>IF(OR($I147="",$E147=0),0,IF(OR($J147&lt;X$3,$I147&gt;X$2),0,IF($K147=0,IF(AND($I147&gt;=X$3,$I147&lt;=X$2),$E147,0),$E147*NETWORKDAYS(MAX($I147,X$3),MIN($J147,X$2),Data!$K$4:$K$203)/$K147)))</f>
        <v>0</v>
      </c>
      <c r="Y147" s="170">
        <f>IF(OR($I147="",$E147=0),0,IF(OR($J147&lt;Y$3,$I147&gt;Y$2),0,IF($K147=0,IF(AND($I147&gt;=Y$3,$I147&lt;=Y$2),$E147,0),$E147*NETWORKDAYS(MAX($I147,Y$3),MIN($J147,Y$2),Data!$K$4:$K$203)/$K147)))</f>
        <v>0</v>
      </c>
      <c r="Z147" s="170">
        <f>IF(OR($I147="",$E147=0),0,IF(OR($J147&lt;Z$3,$I147&gt;Z$2),0,IF($K147=0,IF(AND($I147&gt;=Z$3,$I147&lt;=Z$2),$E147,0),$E147*NETWORKDAYS(MAX($I147,Z$3),MIN($J147,Z$2),Data!$K$4:$K$203)/$K147)))</f>
        <v>0</v>
      </c>
      <c r="AA147" s="170">
        <f>IF(OR($I147="",$E147=0),0,IF(OR($J147&lt;AA$3,$I147&gt;AA$2),0,IF($K147=0,IF(AND($I147&gt;=AA$3,$I147&lt;=AA$2),$E147,0),$E147*NETWORKDAYS(MAX($I147,AA$3),MIN($J147,AA$2),Data!$K$4:$K$203)/$K147)))</f>
        <v>0</v>
      </c>
      <c r="AB147" s="170">
        <f>IF(OR($I147="",$E147=0),0,IF(OR($J147&lt;AB$3,$I147&gt;AB$2),0,IF($K147=0,IF(AND($I147&gt;=AB$3,$I147&lt;=AB$2),$E147,0),$E147*NETWORKDAYS(MAX($I147,AB$3),MIN($J147,AB$2),Data!$K$4:$K$203)/$K147)))</f>
        <v>0</v>
      </c>
      <c r="AC147" s="170">
        <f>IF(OR($I147="",$E147=0),0,IF(OR($J147&lt;AC$3,$I147&gt;AC$2),0,IF($K147=0,IF(AND($I147&gt;=AC$3,$I147&lt;=AC$2),$E147,0),$E147*NETWORKDAYS(MAX($I147,AC$3),MIN($J147,AC$2),Data!$K$4:$K$203)/$K147)))</f>
        <v>0</v>
      </c>
      <c r="AD147" s="170">
        <f>IF(OR($I147="",$E147=0),0,IF(OR($J147&lt;AD$3,$I147&gt;AD$2),0,IF($K147=0,IF(AND($I147&gt;=AD$3,$I147&lt;=AD$2),$E147,0),$E147*NETWORKDAYS(MAX($I147,AD$3),MIN($J147,AD$2),Data!$K$4:$K$203)/$K147)))</f>
        <v>0</v>
      </c>
      <c r="AE147" s="170">
        <f>IF(OR($I147="",$E147=0),0,IF(OR($J147&lt;AE$3,$I147&gt;AE$2),0,IF($K147=0,IF(AND($I147&gt;=AE$3,$I147&lt;=AE$2),$E147,0),$E147*NETWORKDAYS(MAX($I147,AE$3),MIN($J147,AE$2),Data!$K$4:$K$203)/$K147)))</f>
        <v>0</v>
      </c>
      <c r="AF147" s="170">
        <f>IF(OR($I147="",$E147=0),0,IF(OR($J147&lt;AF$3,$I147&gt;AF$2),0,IF($K147=0,IF(AND($I147&gt;=AF$3,$I147&lt;=AF$2),$E147,0),$E147*NETWORKDAYS(MAX($I147,AF$3),MIN($J147,AF$2),Data!$K$4:$K$203)/$K147)))</f>
        <v>0</v>
      </c>
      <c r="AG147" s="170">
        <f>IF(OR($I147="",$E147=0),0,IF(OR($J147&lt;AG$3,$I147&gt;AG$2),0,IF($K147=0,IF(AND($I147&gt;=AG$3,$I147&lt;=AG$2),$E147,0),$E147*NETWORKDAYS(MAX($I147,AG$3),MIN($J147,AG$2),Data!$K$4:$K$203)/$K147)))</f>
        <v>0</v>
      </c>
      <c r="AH147" s="170">
        <f>IF(OR($I147="",$E147=0),0,IF(OR($J147&lt;AH$3,$I147&gt;AH$2),0,IF($K147=0,IF(AND($I147&gt;=AH$3,$I147&lt;=AH$2),$E147,0),$E147*NETWORKDAYS(MAX($I147,AH$3),MIN($J147,AH$2),Data!$K$4:$K$203)/$K147)))</f>
        <v>0</v>
      </c>
      <c r="AI147" s="170">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70"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4" t="str">
        <f>IF(EO147=1,IF(FH147&gt;0,FI147/FH147,AVERAGEIF($FF$4:$FF$503,EN147,$C$4:$C$503)),"")</f>
        <v/>
      </c>
      <c r="EV147" s="169">
        <f>IF(ISNUMBER(I147),I147,2958465)</f>
        <v>2958465.0</v>
      </c>
      <c r="EW147" s="169" t="str">
        <f>IF(EO147=1,SUMPRODUCT(MIN(($EN$4:$EN$503=EN147)*$EV$4:$EV$503+($EN$4:$EN$503&lt;&gt;EN147)*2958465)),"")</f>
        <v/>
      </c>
      <c r="EX147" s="169">
        <f>IF(AND(D147=1,ISNUMBER(INDEX(Charge!$F:$F,ROW()))),INDEX(Charge!$F:$F,ROW()),0)</f>
        <v>0.0</v>
      </c>
      <c r="EY147" s="169"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c r="FF147" t="str">
        <f>IF(B147=1,LEFT(SUBSTITUTE(SUBSTITUTE(SUBSTITUTE(TRIM(SUBSTITUTE(INDEX(Charge!$B:$B,ROW()),CHAR(160)," "))&amp;" | "&amp;TRIM(SUBSTITUTE(INDEX(Charge!$C:$C,ROW()),CHAR(160)," "))&amp;" | "&amp;TRIM(SUBSTITUTE(INDEX(Charge!$D:$D,ROW()),CHAR(160)," ")),"~","-"),"*","+"),"?","!"),240),"")</f>
        <v/>
      </c>
      <c r="FG147">
        <f>IF(B147=1,MAX(0,N(INDEX(Charge!$M:$M,ROW()))),0)</f>
        <v>0</v>
      </c>
      <c r="FH147" s="170" t="str">
        <f>IF(EO147=1,ROUND(SUMIF($FF$4:$FF$503,EN147,$FG$4:$FG$503),2),"")</f>
        <v/>
      </c>
      <c r="FI147" s="170" t="str">
        <f>IF(EO147=1,ROUND(SUMPRODUCT(($FF$4:$FF$503=EN147)*$FG$4:$FG$503*$C$4:$C$503),2),"")</f>
        <v/>
      </c>
      <c r="FJ147" s="170" t="str">
        <f>IF(EO147=1,MAX(0,ROUND(FH147-FI147,2)),"")</f>
        <v/>
      </c>
      <c r="FK147" s="174" t="str">
        <f>IF(EO147=1,IF(OR(EW147&gt;=2958465,EY147=0,EY147&lt;=EW147),"",IF(TODAY()&lt;=EW147,0,IF(TODAY()&gt;EY147,1,IFERROR(NETWORKDAYS(EW147,TODAY()-1,Data!$K$4:$K$203)/NETWORKDAYS(EW147,EY147,Data!$K$4:$K$203),"")))),"")</f>
        <v/>
      </c>
      <c r="FL147" t="str">
        <f>IF(EO147=1,IF(AND(EY147&gt;0,EY147&lt;TODAY(),ROUND(EU147,4)&lt;1),2,IF(FK147="",0,IF(ROUND(EU147-FK147,4)&lt;-0.15,1,0))),"")</f>
        <v/>
      </c>
      <c r="FM147">
        <f>IF(OR(FA147="",COUNTIF($FA$4:FA146,FA147)&gt;0),0,MAX(0,IF(FB147="Interne",IF(ISNUMBER(INDEX(Data!$F:$F,147)),INDEX(Data!$F:$F,147),p_HeuresETP),IF(ISNUMBER(INDEX(Data!$I:$I,147-$CD$23)),INDEX(Data!$I:$I,147-$CD$23),p_HeuresETP))-IF(FB147="Interne",IF(ISNUMBER(INDEX(Data!$G:$G,147)),INDEX(Data!$G:$G,147),p_ChargeFixe),IF(ISNUMBER(INDEX(Data!$J:$J,147-$CD$23)),INDEX(Data!$J:$J,147-$CD$23),p_ChargeFixe))))</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9" t="str">
        <f>IF(AND(D148=1,ISNUMBER(INDEX(Charge!$N:$N,ROW()))),INDEX(Charge!$N:$N,ROW()),"")</f>
        <v/>
      </c>
      <c r="J148" s="169"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70">
        <f>IF(OR($I148="",$E148=0),0,IF(OR($J148&lt;W$3,$I148&gt;W$2),0,IF($K148=0,IF(AND($I148&gt;=W$3,$I148&lt;=W$2),$E148,0),$E148*NETWORKDAYS(MAX($I148,W$3),MIN($J148,W$2),Data!$K$4:$K$203)/$K148)))</f>
        <v>0</v>
      </c>
      <c r="X148" s="170">
        <f>IF(OR($I148="",$E148=0),0,IF(OR($J148&lt;X$3,$I148&gt;X$2),0,IF($K148=0,IF(AND($I148&gt;=X$3,$I148&lt;=X$2),$E148,0),$E148*NETWORKDAYS(MAX($I148,X$3),MIN($J148,X$2),Data!$K$4:$K$203)/$K148)))</f>
        <v>0</v>
      </c>
      <c r="Y148" s="170">
        <f>IF(OR($I148="",$E148=0),0,IF(OR($J148&lt;Y$3,$I148&gt;Y$2),0,IF($K148=0,IF(AND($I148&gt;=Y$3,$I148&lt;=Y$2),$E148,0),$E148*NETWORKDAYS(MAX($I148,Y$3),MIN($J148,Y$2),Data!$K$4:$K$203)/$K148)))</f>
        <v>0</v>
      </c>
      <c r="Z148" s="170">
        <f>IF(OR($I148="",$E148=0),0,IF(OR($J148&lt;Z$3,$I148&gt;Z$2),0,IF($K148=0,IF(AND($I148&gt;=Z$3,$I148&lt;=Z$2),$E148,0),$E148*NETWORKDAYS(MAX($I148,Z$3),MIN($J148,Z$2),Data!$K$4:$K$203)/$K148)))</f>
        <v>0</v>
      </c>
      <c r="AA148" s="170">
        <f>IF(OR($I148="",$E148=0),0,IF(OR($J148&lt;AA$3,$I148&gt;AA$2),0,IF($K148=0,IF(AND($I148&gt;=AA$3,$I148&lt;=AA$2),$E148,0),$E148*NETWORKDAYS(MAX($I148,AA$3),MIN($J148,AA$2),Data!$K$4:$K$203)/$K148)))</f>
        <v>0</v>
      </c>
      <c r="AB148" s="170">
        <f>IF(OR($I148="",$E148=0),0,IF(OR($J148&lt;AB$3,$I148&gt;AB$2),0,IF($K148=0,IF(AND($I148&gt;=AB$3,$I148&lt;=AB$2),$E148,0),$E148*NETWORKDAYS(MAX($I148,AB$3),MIN($J148,AB$2),Data!$K$4:$K$203)/$K148)))</f>
        <v>0</v>
      </c>
      <c r="AC148" s="170">
        <f>IF(OR($I148="",$E148=0),0,IF(OR($J148&lt;AC$3,$I148&gt;AC$2),0,IF($K148=0,IF(AND($I148&gt;=AC$3,$I148&lt;=AC$2),$E148,0),$E148*NETWORKDAYS(MAX($I148,AC$3),MIN($J148,AC$2),Data!$K$4:$K$203)/$K148)))</f>
        <v>0</v>
      </c>
      <c r="AD148" s="170">
        <f>IF(OR($I148="",$E148=0),0,IF(OR($J148&lt;AD$3,$I148&gt;AD$2),0,IF($K148=0,IF(AND($I148&gt;=AD$3,$I148&lt;=AD$2),$E148,0),$E148*NETWORKDAYS(MAX($I148,AD$3),MIN($J148,AD$2),Data!$K$4:$K$203)/$K148)))</f>
        <v>0</v>
      </c>
      <c r="AE148" s="170">
        <f>IF(OR($I148="",$E148=0),0,IF(OR($J148&lt;AE$3,$I148&gt;AE$2),0,IF($K148=0,IF(AND($I148&gt;=AE$3,$I148&lt;=AE$2),$E148,0),$E148*NETWORKDAYS(MAX($I148,AE$3),MIN($J148,AE$2),Data!$K$4:$K$203)/$K148)))</f>
        <v>0</v>
      </c>
      <c r="AF148" s="170">
        <f>IF(OR($I148="",$E148=0),0,IF(OR($J148&lt;AF$3,$I148&gt;AF$2),0,IF($K148=0,IF(AND($I148&gt;=AF$3,$I148&lt;=AF$2),$E148,0),$E148*NETWORKDAYS(MAX($I148,AF$3),MIN($J148,AF$2),Data!$K$4:$K$203)/$K148)))</f>
        <v>0</v>
      </c>
      <c r="AG148" s="170">
        <f>IF(OR($I148="",$E148=0),0,IF(OR($J148&lt;AG$3,$I148&gt;AG$2),0,IF($K148=0,IF(AND($I148&gt;=AG$3,$I148&lt;=AG$2),$E148,0),$E148*NETWORKDAYS(MAX($I148,AG$3),MIN($J148,AG$2),Data!$K$4:$K$203)/$K148)))</f>
        <v>0</v>
      </c>
      <c r="AH148" s="170">
        <f>IF(OR($I148="",$E148=0),0,IF(OR($J148&lt;AH$3,$I148&gt;AH$2),0,IF($K148=0,IF(AND($I148&gt;=AH$3,$I148&lt;=AH$2),$E148,0),$E148*NETWORKDAYS(MAX($I148,AH$3),MIN($J148,AH$2),Data!$K$4:$K$203)/$K148)))</f>
        <v>0</v>
      </c>
      <c r="AI148" s="170">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70"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4" t="str">
        <f>IF(EO148=1,IF(FH148&gt;0,FI148/FH148,AVERAGEIF($FF$4:$FF$503,EN148,$C$4:$C$503)),"")</f>
        <v/>
      </c>
      <c r="EV148" s="169">
        <f>IF(ISNUMBER(I148),I148,2958465)</f>
        <v>2958465.0</v>
      </c>
      <c r="EW148" s="169" t="str">
        <f>IF(EO148=1,SUMPRODUCT(MIN(($EN$4:$EN$503=EN148)*$EV$4:$EV$503+($EN$4:$EN$503&lt;&gt;EN148)*2958465)),"")</f>
        <v/>
      </c>
      <c r="EX148" s="169">
        <f>IF(AND(D148=1,ISNUMBER(INDEX(Charge!$F:$F,ROW()))),INDEX(Charge!$F:$F,ROW()),0)</f>
        <v>0.0</v>
      </c>
      <c r="EY148" s="169"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c r="FF148" t="str">
        <f>IF(B148=1,LEFT(SUBSTITUTE(SUBSTITUTE(SUBSTITUTE(TRIM(SUBSTITUTE(INDEX(Charge!$B:$B,ROW()),CHAR(160)," "))&amp;" | "&amp;TRIM(SUBSTITUTE(INDEX(Charge!$C:$C,ROW()),CHAR(160)," "))&amp;" | "&amp;TRIM(SUBSTITUTE(INDEX(Charge!$D:$D,ROW()),CHAR(160)," ")),"~","-"),"*","+"),"?","!"),240),"")</f>
        <v/>
      </c>
      <c r="FG148">
        <f>IF(B148=1,MAX(0,N(INDEX(Charge!$M:$M,ROW()))),0)</f>
        <v>0</v>
      </c>
      <c r="FH148" s="170" t="str">
        <f>IF(EO148=1,ROUND(SUMIF($FF$4:$FF$503,EN148,$FG$4:$FG$503),2),"")</f>
        <v/>
      </c>
      <c r="FI148" s="170" t="str">
        <f>IF(EO148=1,ROUND(SUMPRODUCT(($FF$4:$FF$503=EN148)*$FG$4:$FG$503*$C$4:$C$503),2),"")</f>
        <v/>
      </c>
      <c r="FJ148" s="170" t="str">
        <f>IF(EO148=1,MAX(0,ROUND(FH148-FI148,2)),"")</f>
        <v/>
      </c>
      <c r="FK148" s="174" t="str">
        <f>IF(EO148=1,IF(OR(EW148&gt;=2958465,EY148=0,EY148&lt;=EW148),"",IF(TODAY()&lt;=EW148,0,IF(TODAY()&gt;EY148,1,IFERROR(NETWORKDAYS(EW148,TODAY()-1,Data!$K$4:$K$203)/NETWORKDAYS(EW148,EY148,Data!$K$4:$K$203),"")))),"")</f>
        <v/>
      </c>
      <c r="FL148" t="str">
        <f>IF(EO148=1,IF(AND(EY148&gt;0,EY148&lt;TODAY(),ROUND(EU148,4)&lt;1),2,IF(FK148="",0,IF(ROUND(EU148-FK148,4)&lt;-0.15,1,0))),"")</f>
        <v/>
      </c>
      <c r="FM148">
        <f>IF(OR(FA148="",COUNTIF($FA$4:FA147,FA148)&gt;0),0,MAX(0,IF(FB148="Interne",IF(ISNUMBER(INDEX(Data!$F:$F,148)),INDEX(Data!$F:$F,148),p_HeuresETP),IF(ISNUMBER(INDEX(Data!$I:$I,148-$CD$23)),INDEX(Data!$I:$I,148-$CD$23),p_HeuresETP))-IF(FB148="Interne",IF(ISNUMBER(INDEX(Data!$G:$G,148)),INDEX(Data!$G:$G,148),p_ChargeFixe),IF(ISNUMBER(INDEX(Data!$J:$J,148-$CD$23)),INDEX(Data!$J:$J,148-$CD$23),p_ChargeFixe))))</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9" t="str">
        <f>IF(AND(D149=1,ISNUMBER(INDEX(Charge!$N:$N,ROW()))),INDEX(Charge!$N:$N,ROW()),"")</f>
        <v/>
      </c>
      <c r="J149" s="169"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70">
        <f>IF(OR($I149="",$E149=0),0,IF(OR($J149&lt;W$3,$I149&gt;W$2),0,IF($K149=0,IF(AND($I149&gt;=W$3,$I149&lt;=W$2),$E149,0),$E149*NETWORKDAYS(MAX($I149,W$3),MIN($J149,W$2),Data!$K$4:$K$203)/$K149)))</f>
        <v>0</v>
      </c>
      <c r="X149" s="170">
        <f>IF(OR($I149="",$E149=0),0,IF(OR($J149&lt;X$3,$I149&gt;X$2),0,IF($K149=0,IF(AND($I149&gt;=X$3,$I149&lt;=X$2),$E149,0),$E149*NETWORKDAYS(MAX($I149,X$3),MIN($J149,X$2),Data!$K$4:$K$203)/$K149)))</f>
        <v>0</v>
      </c>
      <c r="Y149" s="170">
        <f>IF(OR($I149="",$E149=0),0,IF(OR($J149&lt;Y$3,$I149&gt;Y$2),0,IF($K149=0,IF(AND($I149&gt;=Y$3,$I149&lt;=Y$2),$E149,0),$E149*NETWORKDAYS(MAX($I149,Y$3),MIN($J149,Y$2),Data!$K$4:$K$203)/$K149)))</f>
        <v>0</v>
      </c>
      <c r="Z149" s="170">
        <f>IF(OR($I149="",$E149=0),0,IF(OR($J149&lt;Z$3,$I149&gt;Z$2),0,IF($K149=0,IF(AND($I149&gt;=Z$3,$I149&lt;=Z$2),$E149,0),$E149*NETWORKDAYS(MAX($I149,Z$3),MIN($J149,Z$2),Data!$K$4:$K$203)/$K149)))</f>
        <v>0</v>
      </c>
      <c r="AA149" s="170">
        <f>IF(OR($I149="",$E149=0),0,IF(OR($J149&lt;AA$3,$I149&gt;AA$2),0,IF($K149=0,IF(AND($I149&gt;=AA$3,$I149&lt;=AA$2),$E149,0),$E149*NETWORKDAYS(MAX($I149,AA$3),MIN($J149,AA$2),Data!$K$4:$K$203)/$K149)))</f>
        <v>0</v>
      </c>
      <c r="AB149" s="170">
        <f>IF(OR($I149="",$E149=0),0,IF(OR($J149&lt;AB$3,$I149&gt;AB$2),0,IF($K149=0,IF(AND($I149&gt;=AB$3,$I149&lt;=AB$2),$E149,0),$E149*NETWORKDAYS(MAX($I149,AB$3),MIN($J149,AB$2),Data!$K$4:$K$203)/$K149)))</f>
        <v>0</v>
      </c>
      <c r="AC149" s="170">
        <f>IF(OR($I149="",$E149=0),0,IF(OR($J149&lt;AC$3,$I149&gt;AC$2),0,IF($K149=0,IF(AND($I149&gt;=AC$3,$I149&lt;=AC$2),$E149,0),$E149*NETWORKDAYS(MAX($I149,AC$3),MIN($J149,AC$2),Data!$K$4:$K$203)/$K149)))</f>
        <v>0</v>
      </c>
      <c r="AD149" s="170">
        <f>IF(OR($I149="",$E149=0),0,IF(OR($J149&lt;AD$3,$I149&gt;AD$2),0,IF($K149=0,IF(AND($I149&gt;=AD$3,$I149&lt;=AD$2),$E149,0),$E149*NETWORKDAYS(MAX($I149,AD$3),MIN($J149,AD$2),Data!$K$4:$K$203)/$K149)))</f>
        <v>0</v>
      </c>
      <c r="AE149" s="170">
        <f>IF(OR($I149="",$E149=0),0,IF(OR($J149&lt;AE$3,$I149&gt;AE$2),0,IF($K149=0,IF(AND($I149&gt;=AE$3,$I149&lt;=AE$2),$E149,0),$E149*NETWORKDAYS(MAX($I149,AE$3),MIN($J149,AE$2),Data!$K$4:$K$203)/$K149)))</f>
        <v>0</v>
      </c>
      <c r="AF149" s="170">
        <f>IF(OR($I149="",$E149=0),0,IF(OR($J149&lt;AF$3,$I149&gt;AF$2),0,IF($K149=0,IF(AND($I149&gt;=AF$3,$I149&lt;=AF$2),$E149,0),$E149*NETWORKDAYS(MAX($I149,AF$3),MIN($J149,AF$2),Data!$K$4:$K$203)/$K149)))</f>
        <v>0</v>
      </c>
      <c r="AG149" s="170">
        <f>IF(OR($I149="",$E149=0),0,IF(OR($J149&lt;AG$3,$I149&gt;AG$2),0,IF($K149=0,IF(AND($I149&gt;=AG$3,$I149&lt;=AG$2),$E149,0),$E149*NETWORKDAYS(MAX($I149,AG$3),MIN($J149,AG$2),Data!$K$4:$K$203)/$K149)))</f>
        <v>0</v>
      </c>
      <c r="AH149" s="170">
        <f>IF(OR($I149="",$E149=0),0,IF(OR($J149&lt;AH$3,$I149&gt;AH$2),0,IF($K149=0,IF(AND($I149&gt;=AH$3,$I149&lt;=AH$2),$E149,0),$E149*NETWORKDAYS(MAX($I149,AH$3),MIN($J149,AH$2),Data!$K$4:$K$203)/$K149)))</f>
        <v>0</v>
      </c>
      <c r="AI149" s="170">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70"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4" t="str">
        <f>IF(EO149=1,IF(FH149&gt;0,FI149/FH149,AVERAGEIF($FF$4:$FF$503,EN149,$C$4:$C$503)),"")</f>
        <v/>
      </c>
      <c r="EV149" s="169">
        <f>IF(ISNUMBER(I149),I149,2958465)</f>
        <v>2958465.0</v>
      </c>
      <c r="EW149" s="169" t="str">
        <f>IF(EO149=1,SUMPRODUCT(MIN(($EN$4:$EN$503=EN149)*$EV$4:$EV$503+($EN$4:$EN$503&lt;&gt;EN149)*2958465)),"")</f>
        <v/>
      </c>
      <c r="EX149" s="169">
        <f>IF(AND(D149=1,ISNUMBER(INDEX(Charge!$F:$F,ROW()))),INDEX(Charge!$F:$F,ROW()),0)</f>
        <v>0.0</v>
      </c>
      <c r="EY149" s="169"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c r="FF149" t="str">
        <f>IF(B149=1,LEFT(SUBSTITUTE(SUBSTITUTE(SUBSTITUTE(TRIM(SUBSTITUTE(INDEX(Charge!$B:$B,ROW()),CHAR(160)," "))&amp;" | "&amp;TRIM(SUBSTITUTE(INDEX(Charge!$C:$C,ROW()),CHAR(160)," "))&amp;" | "&amp;TRIM(SUBSTITUTE(INDEX(Charge!$D:$D,ROW()),CHAR(160)," ")),"~","-"),"*","+"),"?","!"),240),"")</f>
        <v/>
      </c>
      <c r="FG149">
        <f>IF(B149=1,MAX(0,N(INDEX(Charge!$M:$M,ROW()))),0)</f>
        <v>0</v>
      </c>
      <c r="FH149" s="170" t="str">
        <f>IF(EO149=1,ROUND(SUMIF($FF$4:$FF$503,EN149,$FG$4:$FG$503),2),"")</f>
        <v/>
      </c>
      <c r="FI149" s="170" t="str">
        <f>IF(EO149=1,ROUND(SUMPRODUCT(($FF$4:$FF$503=EN149)*$FG$4:$FG$503*$C$4:$C$503),2),"")</f>
        <v/>
      </c>
      <c r="FJ149" s="170" t="str">
        <f>IF(EO149=1,MAX(0,ROUND(FH149-FI149,2)),"")</f>
        <v/>
      </c>
      <c r="FK149" s="174" t="str">
        <f>IF(EO149=1,IF(OR(EW149&gt;=2958465,EY149=0,EY149&lt;=EW149),"",IF(TODAY()&lt;=EW149,0,IF(TODAY()&gt;EY149,1,IFERROR(NETWORKDAYS(EW149,TODAY()-1,Data!$K$4:$K$203)/NETWORKDAYS(EW149,EY149,Data!$K$4:$K$203),"")))),"")</f>
        <v/>
      </c>
      <c r="FL149" t="str">
        <f>IF(EO149=1,IF(AND(EY149&gt;0,EY149&lt;TODAY(),ROUND(EU149,4)&lt;1),2,IF(FK149="",0,IF(ROUND(EU149-FK149,4)&lt;-0.15,1,0))),"")</f>
        <v/>
      </c>
      <c r="FM149">
        <f>IF(OR(FA149="",COUNTIF($FA$4:FA148,FA149)&gt;0),0,MAX(0,IF(FB149="Interne",IF(ISNUMBER(INDEX(Data!$F:$F,149)),INDEX(Data!$F:$F,149),p_HeuresETP),IF(ISNUMBER(INDEX(Data!$I:$I,149-$CD$23)),INDEX(Data!$I:$I,149-$CD$23),p_HeuresETP))-IF(FB149="Interne",IF(ISNUMBER(INDEX(Data!$G:$G,149)),INDEX(Data!$G:$G,149),p_ChargeFixe),IF(ISNUMBER(INDEX(Data!$J:$J,149-$CD$23)),INDEX(Data!$J:$J,149-$CD$23),p_ChargeFixe))))</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9" t="str">
        <f>IF(AND(D150=1,ISNUMBER(INDEX(Charge!$N:$N,ROW()))),INDEX(Charge!$N:$N,ROW()),"")</f>
        <v/>
      </c>
      <c r="J150" s="169"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70">
        <f>IF(OR($I150="",$E150=0),0,IF(OR($J150&lt;W$3,$I150&gt;W$2),0,IF($K150=0,IF(AND($I150&gt;=W$3,$I150&lt;=W$2),$E150,0),$E150*NETWORKDAYS(MAX($I150,W$3),MIN($J150,W$2),Data!$K$4:$K$203)/$K150)))</f>
        <v>0</v>
      </c>
      <c r="X150" s="170">
        <f>IF(OR($I150="",$E150=0),0,IF(OR($J150&lt;X$3,$I150&gt;X$2),0,IF($K150=0,IF(AND($I150&gt;=X$3,$I150&lt;=X$2),$E150,0),$E150*NETWORKDAYS(MAX($I150,X$3),MIN($J150,X$2),Data!$K$4:$K$203)/$K150)))</f>
        <v>0</v>
      </c>
      <c r="Y150" s="170">
        <f>IF(OR($I150="",$E150=0),0,IF(OR($J150&lt;Y$3,$I150&gt;Y$2),0,IF($K150=0,IF(AND($I150&gt;=Y$3,$I150&lt;=Y$2),$E150,0),$E150*NETWORKDAYS(MAX($I150,Y$3),MIN($J150,Y$2),Data!$K$4:$K$203)/$K150)))</f>
        <v>0</v>
      </c>
      <c r="Z150" s="170">
        <f>IF(OR($I150="",$E150=0),0,IF(OR($J150&lt;Z$3,$I150&gt;Z$2),0,IF($K150=0,IF(AND($I150&gt;=Z$3,$I150&lt;=Z$2),$E150,0),$E150*NETWORKDAYS(MAX($I150,Z$3),MIN($J150,Z$2),Data!$K$4:$K$203)/$K150)))</f>
        <v>0</v>
      </c>
      <c r="AA150" s="170">
        <f>IF(OR($I150="",$E150=0),0,IF(OR($J150&lt;AA$3,$I150&gt;AA$2),0,IF($K150=0,IF(AND($I150&gt;=AA$3,$I150&lt;=AA$2),$E150,0),$E150*NETWORKDAYS(MAX($I150,AA$3),MIN($J150,AA$2),Data!$K$4:$K$203)/$K150)))</f>
        <v>0</v>
      </c>
      <c r="AB150" s="170">
        <f>IF(OR($I150="",$E150=0),0,IF(OR($J150&lt;AB$3,$I150&gt;AB$2),0,IF($K150=0,IF(AND($I150&gt;=AB$3,$I150&lt;=AB$2),$E150,0),$E150*NETWORKDAYS(MAX($I150,AB$3),MIN($J150,AB$2),Data!$K$4:$K$203)/$K150)))</f>
        <v>0</v>
      </c>
      <c r="AC150" s="170">
        <f>IF(OR($I150="",$E150=0),0,IF(OR($J150&lt;AC$3,$I150&gt;AC$2),0,IF($K150=0,IF(AND($I150&gt;=AC$3,$I150&lt;=AC$2),$E150,0),$E150*NETWORKDAYS(MAX($I150,AC$3),MIN($J150,AC$2),Data!$K$4:$K$203)/$K150)))</f>
        <v>0</v>
      </c>
      <c r="AD150" s="170">
        <f>IF(OR($I150="",$E150=0),0,IF(OR($J150&lt;AD$3,$I150&gt;AD$2),0,IF($K150=0,IF(AND($I150&gt;=AD$3,$I150&lt;=AD$2),$E150,0),$E150*NETWORKDAYS(MAX($I150,AD$3),MIN($J150,AD$2),Data!$K$4:$K$203)/$K150)))</f>
        <v>0</v>
      </c>
      <c r="AE150" s="170">
        <f>IF(OR($I150="",$E150=0),0,IF(OR($J150&lt;AE$3,$I150&gt;AE$2),0,IF($K150=0,IF(AND($I150&gt;=AE$3,$I150&lt;=AE$2),$E150,0),$E150*NETWORKDAYS(MAX($I150,AE$3),MIN($J150,AE$2),Data!$K$4:$K$203)/$K150)))</f>
        <v>0</v>
      </c>
      <c r="AF150" s="170">
        <f>IF(OR($I150="",$E150=0),0,IF(OR($J150&lt;AF$3,$I150&gt;AF$2),0,IF($K150=0,IF(AND($I150&gt;=AF$3,$I150&lt;=AF$2),$E150,0),$E150*NETWORKDAYS(MAX($I150,AF$3),MIN($J150,AF$2),Data!$K$4:$K$203)/$K150)))</f>
        <v>0</v>
      </c>
      <c r="AG150" s="170">
        <f>IF(OR($I150="",$E150=0),0,IF(OR($J150&lt;AG$3,$I150&gt;AG$2),0,IF($K150=0,IF(AND($I150&gt;=AG$3,$I150&lt;=AG$2),$E150,0),$E150*NETWORKDAYS(MAX($I150,AG$3),MIN($J150,AG$2),Data!$K$4:$K$203)/$K150)))</f>
        <v>0</v>
      </c>
      <c r="AH150" s="170">
        <f>IF(OR($I150="",$E150=0),0,IF(OR($J150&lt;AH$3,$I150&gt;AH$2),0,IF($K150=0,IF(AND($I150&gt;=AH$3,$I150&lt;=AH$2),$E150,0),$E150*NETWORKDAYS(MAX($I150,AH$3),MIN($J150,AH$2),Data!$K$4:$K$203)/$K150)))</f>
        <v>0</v>
      </c>
      <c r="AI150" s="170">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70"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4" t="str">
        <f>IF(EO150=1,IF(FH150&gt;0,FI150/FH150,AVERAGEIF($FF$4:$FF$503,EN150,$C$4:$C$503)),"")</f>
        <v/>
      </c>
      <c r="EV150" s="169">
        <f>IF(ISNUMBER(I150),I150,2958465)</f>
        <v>2958465.0</v>
      </c>
      <c r="EW150" s="169" t="str">
        <f>IF(EO150=1,SUMPRODUCT(MIN(($EN$4:$EN$503=EN150)*$EV$4:$EV$503+($EN$4:$EN$503&lt;&gt;EN150)*2958465)),"")</f>
        <v/>
      </c>
      <c r="EX150" s="169">
        <f>IF(AND(D150=1,ISNUMBER(INDEX(Charge!$F:$F,ROW()))),INDEX(Charge!$F:$F,ROW()),0)</f>
        <v>0.0</v>
      </c>
      <c r="EY150" s="169"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c r="FF150" t="str">
        <f>IF(B150=1,LEFT(SUBSTITUTE(SUBSTITUTE(SUBSTITUTE(TRIM(SUBSTITUTE(INDEX(Charge!$B:$B,ROW()),CHAR(160)," "))&amp;" | "&amp;TRIM(SUBSTITUTE(INDEX(Charge!$C:$C,ROW()),CHAR(160)," "))&amp;" | "&amp;TRIM(SUBSTITUTE(INDEX(Charge!$D:$D,ROW()),CHAR(160)," ")),"~","-"),"*","+"),"?","!"),240),"")</f>
        <v/>
      </c>
      <c r="FG150">
        <f>IF(B150=1,MAX(0,N(INDEX(Charge!$M:$M,ROW()))),0)</f>
        <v>0</v>
      </c>
      <c r="FH150" s="170" t="str">
        <f>IF(EO150=1,ROUND(SUMIF($FF$4:$FF$503,EN150,$FG$4:$FG$503),2),"")</f>
        <v/>
      </c>
      <c r="FI150" s="170" t="str">
        <f>IF(EO150=1,ROUND(SUMPRODUCT(($FF$4:$FF$503=EN150)*$FG$4:$FG$503*$C$4:$C$503),2),"")</f>
        <v/>
      </c>
      <c r="FJ150" s="170" t="str">
        <f>IF(EO150=1,MAX(0,ROUND(FH150-FI150,2)),"")</f>
        <v/>
      </c>
      <c r="FK150" s="174" t="str">
        <f>IF(EO150=1,IF(OR(EW150&gt;=2958465,EY150=0,EY150&lt;=EW150),"",IF(TODAY()&lt;=EW150,0,IF(TODAY()&gt;EY150,1,IFERROR(NETWORKDAYS(EW150,TODAY()-1,Data!$K$4:$K$203)/NETWORKDAYS(EW150,EY150,Data!$K$4:$K$203),"")))),"")</f>
        <v/>
      </c>
      <c r="FL150" t="str">
        <f>IF(EO150=1,IF(AND(EY150&gt;0,EY150&lt;TODAY(),ROUND(EU150,4)&lt;1),2,IF(FK150="",0,IF(ROUND(EU150-FK150,4)&lt;-0.15,1,0))),"")</f>
        <v/>
      </c>
      <c r="FM150">
        <f>IF(OR(FA150="",COUNTIF($FA$4:FA149,FA150)&gt;0),0,MAX(0,IF(FB150="Interne",IF(ISNUMBER(INDEX(Data!$F:$F,150)),INDEX(Data!$F:$F,150),p_HeuresETP),IF(ISNUMBER(INDEX(Data!$I:$I,150-$CD$23)),INDEX(Data!$I:$I,150-$CD$23),p_HeuresETP))-IF(FB150="Interne",IF(ISNUMBER(INDEX(Data!$G:$G,150)),INDEX(Data!$G:$G,150),p_ChargeFixe),IF(ISNUMBER(INDEX(Data!$J:$J,150-$CD$23)),INDEX(Data!$J:$J,150-$CD$23),p_ChargeFixe))))</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9" t="str">
        <f>IF(AND(D151=1,ISNUMBER(INDEX(Charge!$N:$N,ROW()))),INDEX(Charge!$N:$N,ROW()),"")</f>
        <v/>
      </c>
      <c r="J151" s="169"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70">
        <f>IF(OR($I151="",$E151=0),0,IF(OR($J151&lt;W$3,$I151&gt;W$2),0,IF($K151=0,IF(AND($I151&gt;=W$3,$I151&lt;=W$2),$E151,0),$E151*NETWORKDAYS(MAX($I151,W$3),MIN($J151,W$2),Data!$K$4:$K$203)/$K151)))</f>
        <v>0</v>
      </c>
      <c r="X151" s="170">
        <f>IF(OR($I151="",$E151=0),0,IF(OR($J151&lt;X$3,$I151&gt;X$2),0,IF($K151=0,IF(AND($I151&gt;=X$3,$I151&lt;=X$2),$E151,0),$E151*NETWORKDAYS(MAX($I151,X$3),MIN($J151,X$2),Data!$K$4:$K$203)/$K151)))</f>
        <v>0</v>
      </c>
      <c r="Y151" s="170">
        <f>IF(OR($I151="",$E151=0),0,IF(OR($J151&lt;Y$3,$I151&gt;Y$2),0,IF($K151=0,IF(AND($I151&gt;=Y$3,$I151&lt;=Y$2),$E151,0),$E151*NETWORKDAYS(MAX($I151,Y$3),MIN($J151,Y$2),Data!$K$4:$K$203)/$K151)))</f>
        <v>0</v>
      </c>
      <c r="Z151" s="170">
        <f>IF(OR($I151="",$E151=0),0,IF(OR($J151&lt;Z$3,$I151&gt;Z$2),0,IF($K151=0,IF(AND($I151&gt;=Z$3,$I151&lt;=Z$2),$E151,0),$E151*NETWORKDAYS(MAX($I151,Z$3),MIN($J151,Z$2),Data!$K$4:$K$203)/$K151)))</f>
        <v>0</v>
      </c>
      <c r="AA151" s="170">
        <f>IF(OR($I151="",$E151=0),0,IF(OR($J151&lt;AA$3,$I151&gt;AA$2),0,IF($K151=0,IF(AND($I151&gt;=AA$3,$I151&lt;=AA$2),$E151,0),$E151*NETWORKDAYS(MAX($I151,AA$3),MIN($J151,AA$2),Data!$K$4:$K$203)/$K151)))</f>
        <v>0</v>
      </c>
      <c r="AB151" s="170">
        <f>IF(OR($I151="",$E151=0),0,IF(OR($J151&lt;AB$3,$I151&gt;AB$2),0,IF($K151=0,IF(AND($I151&gt;=AB$3,$I151&lt;=AB$2),$E151,0),$E151*NETWORKDAYS(MAX($I151,AB$3),MIN($J151,AB$2),Data!$K$4:$K$203)/$K151)))</f>
        <v>0</v>
      </c>
      <c r="AC151" s="170">
        <f>IF(OR($I151="",$E151=0),0,IF(OR($J151&lt;AC$3,$I151&gt;AC$2),0,IF($K151=0,IF(AND($I151&gt;=AC$3,$I151&lt;=AC$2),$E151,0),$E151*NETWORKDAYS(MAX($I151,AC$3),MIN($J151,AC$2),Data!$K$4:$K$203)/$K151)))</f>
        <v>0</v>
      </c>
      <c r="AD151" s="170">
        <f>IF(OR($I151="",$E151=0),0,IF(OR($J151&lt;AD$3,$I151&gt;AD$2),0,IF($K151=0,IF(AND($I151&gt;=AD$3,$I151&lt;=AD$2),$E151,0),$E151*NETWORKDAYS(MAX($I151,AD$3),MIN($J151,AD$2),Data!$K$4:$K$203)/$K151)))</f>
        <v>0</v>
      </c>
      <c r="AE151" s="170">
        <f>IF(OR($I151="",$E151=0),0,IF(OR($J151&lt;AE$3,$I151&gt;AE$2),0,IF($K151=0,IF(AND($I151&gt;=AE$3,$I151&lt;=AE$2),$E151,0),$E151*NETWORKDAYS(MAX($I151,AE$3),MIN($J151,AE$2),Data!$K$4:$K$203)/$K151)))</f>
        <v>0</v>
      </c>
      <c r="AF151" s="170">
        <f>IF(OR($I151="",$E151=0),0,IF(OR($J151&lt;AF$3,$I151&gt;AF$2),0,IF($K151=0,IF(AND($I151&gt;=AF$3,$I151&lt;=AF$2),$E151,0),$E151*NETWORKDAYS(MAX($I151,AF$3),MIN($J151,AF$2),Data!$K$4:$K$203)/$K151)))</f>
        <v>0</v>
      </c>
      <c r="AG151" s="170">
        <f>IF(OR($I151="",$E151=0),0,IF(OR($J151&lt;AG$3,$I151&gt;AG$2),0,IF($K151=0,IF(AND($I151&gt;=AG$3,$I151&lt;=AG$2),$E151,0),$E151*NETWORKDAYS(MAX($I151,AG$3),MIN($J151,AG$2),Data!$K$4:$K$203)/$K151)))</f>
        <v>0</v>
      </c>
      <c r="AH151" s="170">
        <f>IF(OR($I151="",$E151=0),0,IF(OR($J151&lt;AH$3,$I151&gt;AH$2),0,IF($K151=0,IF(AND($I151&gt;=AH$3,$I151&lt;=AH$2),$E151,0),$E151*NETWORKDAYS(MAX($I151,AH$3),MIN($J151,AH$2),Data!$K$4:$K$203)/$K151)))</f>
        <v>0</v>
      </c>
      <c r="AI151" s="170">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70"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4" t="str">
        <f>IF(EO151=1,IF(FH151&gt;0,FI151/FH151,AVERAGEIF($FF$4:$FF$503,EN151,$C$4:$C$503)),"")</f>
        <v/>
      </c>
      <c r="EV151" s="169">
        <f>IF(ISNUMBER(I151),I151,2958465)</f>
        <v>2958465.0</v>
      </c>
      <c r="EW151" s="169" t="str">
        <f>IF(EO151=1,SUMPRODUCT(MIN(($EN$4:$EN$503=EN151)*$EV$4:$EV$503+($EN$4:$EN$503&lt;&gt;EN151)*2958465)),"")</f>
        <v/>
      </c>
      <c r="EX151" s="169">
        <f>IF(AND(D151=1,ISNUMBER(INDEX(Charge!$F:$F,ROW()))),INDEX(Charge!$F:$F,ROW()),0)</f>
        <v>0.0</v>
      </c>
      <c r="EY151" s="169"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c r="FF151" t="str">
        <f>IF(B151=1,LEFT(SUBSTITUTE(SUBSTITUTE(SUBSTITUTE(TRIM(SUBSTITUTE(INDEX(Charge!$B:$B,ROW()),CHAR(160)," "))&amp;" | "&amp;TRIM(SUBSTITUTE(INDEX(Charge!$C:$C,ROW()),CHAR(160)," "))&amp;" | "&amp;TRIM(SUBSTITUTE(INDEX(Charge!$D:$D,ROW()),CHAR(160)," ")),"~","-"),"*","+"),"?","!"),240),"")</f>
        <v/>
      </c>
      <c r="FG151">
        <f>IF(B151=1,MAX(0,N(INDEX(Charge!$M:$M,ROW()))),0)</f>
        <v>0</v>
      </c>
      <c r="FH151" s="170" t="str">
        <f>IF(EO151=1,ROUND(SUMIF($FF$4:$FF$503,EN151,$FG$4:$FG$503),2),"")</f>
        <v/>
      </c>
      <c r="FI151" s="170" t="str">
        <f>IF(EO151=1,ROUND(SUMPRODUCT(($FF$4:$FF$503=EN151)*$FG$4:$FG$503*$C$4:$C$503),2),"")</f>
        <v/>
      </c>
      <c r="FJ151" s="170" t="str">
        <f>IF(EO151=1,MAX(0,ROUND(FH151-FI151,2)),"")</f>
        <v/>
      </c>
      <c r="FK151" s="174" t="str">
        <f>IF(EO151=1,IF(OR(EW151&gt;=2958465,EY151=0,EY151&lt;=EW151),"",IF(TODAY()&lt;=EW151,0,IF(TODAY()&gt;EY151,1,IFERROR(NETWORKDAYS(EW151,TODAY()-1,Data!$K$4:$K$203)/NETWORKDAYS(EW151,EY151,Data!$K$4:$K$203),"")))),"")</f>
        <v/>
      </c>
      <c r="FL151" t="str">
        <f>IF(EO151=1,IF(AND(EY151&gt;0,EY151&lt;TODAY(),ROUND(EU151,4)&lt;1),2,IF(FK151="",0,IF(ROUND(EU151-FK151,4)&lt;-0.15,1,0))),"")</f>
        <v/>
      </c>
      <c r="FM151">
        <f>IF(OR(FA151="",COUNTIF($FA$4:FA150,FA151)&gt;0),0,MAX(0,IF(FB151="Interne",IF(ISNUMBER(INDEX(Data!$F:$F,151)),INDEX(Data!$F:$F,151),p_HeuresETP),IF(ISNUMBER(INDEX(Data!$I:$I,151-$CD$23)),INDEX(Data!$I:$I,151-$CD$23),p_HeuresETP))-IF(FB151="Interne",IF(ISNUMBER(INDEX(Data!$G:$G,151)),INDEX(Data!$G:$G,151),p_ChargeFixe),IF(ISNUMBER(INDEX(Data!$J:$J,151-$CD$23)),INDEX(Data!$J:$J,151-$CD$23),p_ChargeFixe))))</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9" t="str">
        <f>IF(AND(D152=1,ISNUMBER(INDEX(Charge!$N:$N,ROW()))),INDEX(Charge!$N:$N,ROW()),"")</f>
        <v/>
      </c>
      <c r="J152" s="169"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70">
        <f>IF(OR($I152="",$E152=0),0,IF(OR($J152&lt;W$3,$I152&gt;W$2),0,IF($K152=0,IF(AND($I152&gt;=W$3,$I152&lt;=W$2),$E152,0),$E152*NETWORKDAYS(MAX($I152,W$3),MIN($J152,W$2),Data!$K$4:$K$203)/$K152)))</f>
        <v>0</v>
      </c>
      <c r="X152" s="170">
        <f>IF(OR($I152="",$E152=0),0,IF(OR($J152&lt;X$3,$I152&gt;X$2),0,IF($K152=0,IF(AND($I152&gt;=X$3,$I152&lt;=X$2),$E152,0),$E152*NETWORKDAYS(MAX($I152,X$3),MIN($J152,X$2),Data!$K$4:$K$203)/$K152)))</f>
        <v>0</v>
      </c>
      <c r="Y152" s="170">
        <f>IF(OR($I152="",$E152=0),0,IF(OR($J152&lt;Y$3,$I152&gt;Y$2),0,IF($K152=0,IF(AND($I152&gt;=Y$3,$I152&lt;=Y$2),$E152,0),$E152*NETWORKDAYS(MAX($I152,Y$3),MIN($J152,Y$2),Data!$K$4:$K$203)/$K152)))</f>
        <v>0</v>
      </c>
      <c r="Z152" s="170">
        <f>IF(OR($I152="",$E152=0),0,IF(OR($J152&lt;Z$3,$I152&gt;Z$2),0,IF($K152=0,IF(AND($I152&gt;=Z$3,$I152&lt;=Z$2),$E152,0),$E152*NETWORKDAYS(MAX($I152,Z$3),MIN($J152,Z$2),Data!$K$4:$K$203)/$K152)))</f>
        <v>0</v>
      </c>
      <c r="AA152" s="170">
        <f>IF(OR($I152="",$E152=0),0,IF(OR($J152&lt;AA$3,$I152&gt;AA$2),0,IF($K152=0,IF(AND($I152&gt;=AA$3,$I152&lt;=AA$2),$E152,0),$E152*NETWORKDAYS(MAX($I152,AA$3),MIN($J152,AA$2),Data!$K$4:$K$203)/$K152)))</f>
        <v>0</v>
      </c>
      <c r="AB152" s="170">
        <f>IF(OR($I152="",$E152=0),0,IF(OR($J152&lt;AB$3,$I152&gt;AB$2),0,IF($K152=0,IF(AND($I152&gt;=AB$3,$I152&lt;=AB$2),$E152,0),$E152*NETWORKDAYS(MAX($I152,AB$3),MIN($J152,AB$2),Data!$K$4:$K$203)/$K152)))</f>
        <v>0</v>
      </c>
      <c r="AC152" s="170">
        <f>IF(OR($I152="",$E152=0),0,IF(OR($J152&lt;AC$3,$I152&gt;AC$2),0,IF($K152=0,IF(AND($I152&gt;=AC$3,$I152&lt;=AC$2),$E152,0),$E152*NETWORKDAYS(MAX($I152,AC$3),MIN($J152,AC$2),Data!$K$4:$K$203)/$K152)))</f>
        <v>0</v>
      </c>
      <c r="AD152" s="170">
        <f>IF(OR($I152="",$E152=0),0,IF(OR($J152&lt;AD$3,$I152&gt;AD$2),0,IF($K152=0,IF(AND($I152&gt;=AD$3,$I152&lt;=AD$2),$E152,0),$E152*NETWORKDAYS(MAX($I152,AD$3),MIN($J152,AD$2),Data!$K$4:$K$203)/$K152)))</f>
        <v>0</v>
      </c>
      <c r="AE152" s="170">
        <f>IF(OR($I152="",$E152=0),0,IF(OR($J152&lt;AE$3,$I152&gt;AE$2),0,IF($K152=0,IF(AND($I152&gt;=AE$3,$I152&lt;=AE$2),$E152,0),$E152*NETWORKDAYS(MAX($I152,AE$3),MIN($J152,AE$2),Data!$K$4:$K$203)/$K152)))</f>
        <v>0</v>
      </c>
      <c r="AF152" s="170">
        <f>IF(OR($I152="",$E152=0),0,IF(OR($J152&lt;AF$3,$I152&gt;AF$2),0,IF($K152=0,IF(AND($I152&gt;=AF$3,$I152&lt;=AF$2),$E152,0),$E152*NETWORKDAYS(MAX($I152,AF$3),MIN($J152,AF$2),Data!$K$4:$K$203)/$K152)))</f>
        <v>0</v>
      </c>
      <c r="AG152" s="170">
        <f>IF(OR($I152="",$E152=0),0,IF(OR($J152&lt;AG$3,$I152&gt;AG$2),0,IF($K152=0,IF(AND($I152&gt;=AG$3,$I152&lt;=AG$2),$E152,0),$E152*NETWORKDAYS(MAX($I152,AG$3),MIN($J152,AG$2),Data!$K$4:$K$203)/$K152)))</f>
        <v>0</v>
      </c>
      <c r="AH152" s="170">
        <f>IF(OR($I152="",$E152=0),0,IF(OR($J152&lt;AH$3,$I152&gt;AH$2),0,IF($K152=0,IF(AND($I152&gt;=AH$3,$I152&lt;=AH$2),$E152,0),$E152*NETWORKDAYS(MAX($I152,AH$3),MIN($J152,AH$2),Data!$K$4:$K$203)/$K152)))</f>
        <v>0</v>
      </c>
      <c r="AI152" s="170">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70"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4" t="str">
        <f>IF(EO152=1,IF(FH152&gt;0,FI152/FH152,AVERAGEIF($FF$4:$FF$503,EN152,$C$4:$C$503)),"")</f>
        <v/>
      </c>
      <c r="EV152" s="169">
        <f>IF(ISNUMBER(I152),I152,2958465)</f>
        <v>2958465.0</v>
      </c>
      <c r="EW152" s="169" t="str">
        <f>IF(EO152=1,SUMPRODUCT(MIN(($EN$4:$EN$503=EN152)*$EV$4:$EV$503+($EN$4:$EN$503&lt;&gt;EN152)*2958465)),"")</f>
        <v/>
      </c>
      <c r="EX152" s="169">
        <f>IF(AND(D152=1,ISNUMBER(INDEX(Charge!$F:$F,ROW()))),INDEX(Charge!$F:$F,ROW()),0)</f>
        <v>0.0</v>
      </c>
      <c r="EY152" s="169"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c r="FF152" t="str">
        <f>IF(B152=1,LEFT(SUBSTITUTE(SUBSTITUTE(SUBSTITUTE(TRIM(SUBSTITUTE(INDEX(Charge!$B:$B,ROW()),CHAR(160)," "))&amp;" | "&amp;TRIM(SUBSTITUTE(INDEX(Charge!$C:$C,ROW()),CHAR(160)," "))&amp;" | "&amp;TRIM(SUBSTITUTE(INDEX(Charge!$D:$D,ROW()),CHAR(160)," ")),"~","-"),"*","+"),"?","!"),240),"")</f>
        <v/>
      </c>
      <c r="FG152">
        <f>IF(B152=1,MAX(0,N(INDEX(Charge!$M:$M,ROW()))),0)</f>
        <v>0</v>
      </c>
      <c r="FH152" s="170" t="str">
        <f>IF(EO152=1,ROUND(SUMIF($FF$4:$FF$503,EN152,$FG$4:$FG$503),2),"")</f>
        <v/>
      </c>
      <c r="FI152" s="170" t="str">
        <f>IF(EO152=1,ROUND(SUMPRODUCT(($FF$4:$FF$503=EN152)*$FG$4:$FG$503*$C$4:$C$503),2),"")</f>
        <v/>
      </c>
      <c r="FJ152" s="170" t="str">
        <f>IF(EO152=1,MAX(0,ROUND(FH152-FI152,2)),"")</f>
        <v/>
      </c>
      <c r="FK152" s="174" t="str">
        <f>IF(EO152=1,IF(OR(EW152&gt;=2958465,EY152=0,EY152&lt;=EW152),"",IF(TODAY()&lt;=EW152,0,IF(TODAY()&gt;EY152,1,IFERROR(NETWORKDAYS(EW152,TODAY()-1,Data!$K$4:$K$203)/NETWORKDAYS(EW152,EY152,Data!$K$4:$K$203),"")))),"")</f>
        <v/>
      </c>
      <c r="FL152" t="str">
        <f>IF(EO152=1,IF(AND(EY152&gt;0,EY152&lt;TODAY(),ROUND(EU152,4)&lt;1),2,IF(FK152="",0,IF(ROUND(EU152-FK152,4)&lt;-0.15,1,0))),"")</f>
        <v/>
      </c>
      <c r="FM152">
        <f>IF(OR(FA152="",COUNTIF($FA$4:FA151,FA152)&gt;0),0,MAX(0,IF(FB152="Interne",IF(ISNUMBER(INDEX(Data!$F:$F,152)),INDEX(Data!$F:$F,152),p_HeuresETP),IF(ISNUMBER(INDEX(Data!$I:$I,152-$CD$23)),INDEX(Data!$I:$I,152-$CD$23),p_HeuresETP))-IF(FB152="Interne",IF(ISNUMBER(INDEX(Data!$G:$G,152)),INDEX(Data!$G:$G,152),p_ChargeFixe),IF(ISNUMBER(INDEX(Data!$J:$J,152-$CD$23)),INDEX(Data!$J:$J,152-$CD$23),p_ChargeFixe))))</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9" t="str">
        <f>IF(AND(D153=1,ISNUMBER(INDEX(Charge!$N:$N,ROW()))),INDEX(Charge!$N:$N,ROW()),"")</f>
        <v/>
      </c>
      <c r="J153" s="169"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70">
        <f>IF(OR($I153="",$E153=0),0,IF(OR($J153&lt;W$3,$I153&gt;W$2),0,IF($K153=0,IF(AND($I153&gt;=W$3,$I153&lt;=W$2),$E153,0),$E153*NETWORKDAYS(MAX($I153,W$3),MIN($J153,W$2),Data!$K$4:$K$203)/$K153)))</f>
        <v>0</v>
      </c>
      <c r="X153" s="170">
        <f>IF(OR($I153="",$E153=0),0,IF(OR($J153&lt;X$3,$I153&gt;X$2),0,IF($K153=0,IF(AND($I153&gt;=X$3,$I153&lt;=X$2),$E153,0),$E153*NETWORKDAYS(MAX($I153,X$3),MIN($J153,X$2),Data!$K$4:$K$203)/$K153)))</f>
        <v>0</v>
      </c>
      <c r="Y153" s="170">
        <f>IF(OR($I153="",$E153=0),0,IF(OR($J153&lt;Y$3,$I153&gt;Y$2),0,IF($K153=0,IF(AND($I153&gt;=Y$3,$I153&lt;=Y$2),$E153,0),$E153*NETWORKDAYS(MAX($I153,Y$3),MIN($J153,Y$2),Data!$K$4:$K$203)/$K153)))</f>
        <v>0</v>
      </c>
      <c r="Z153" s="170">
        <f>IF(OR($I153="",$E153=0),0,IF(OR($J153&lt;Z$3,$I153&gt;Z$2),0,IF($K153=0,IF(AND($I153&gt;=Z$3,$I153&lt;=Z$2),$E153,0),$E153*NETWORKDAYS(MAX($I153,Z$3),MIN($J153,Z$2),Data!$K$4:$K$203)/$K153)))</f>
        <v>0</v>
      </c>
      <c r="AA153" s="170">
        <f>IF(OR($I153="",$E153=0),0,IF(OR($J153&lt;AA$3,$I153&gt;AA$2),0,IF($K153=0,IF(AND($I153&gt;=AA$3,$I153&lt;=AA$2),$E153,0),$E153*NETWORKDAYS(MAX($I153,AA$3),MIN($J153,AA$2),Data!$K$4:$K$203)/$K153)))</f>
        <v>0</v>
      </c>
      <c r="AB153" s="170">
        <f>IF(OR($I153="",$E153=0),0,IF(OR($J153&lt;AB$3,$I153&gt;AB$2),0,IF($K153=0,IF(AND($I153&gt;=AB$3,$I153&lt;=AB$2),$E153,0),$E153*NETWORKDAYS(MAX($I153,AB$3),MIN($J153,AB$2),Data!$K$4:$K$203)/$K153)))</f>
        <v>0</v>
      </c>
      <c r="AC153" s="170">
        <f>IF(OR($I153="",$E153=0),0,IF(OR($J153&lt;AC$3,$I153&gt;AC$2),0,IF($K153=0,IF(AND($I153&gt;=AC$3,$I153&lt;=AC$2),$E153,0),$E153*NETWORKDAYS(MAX($I153,AC$3),MIN($J153,AC$2),Data!$K$4:$K$203)/$K153)))</f>
        <v>0</v>
      </c>
      <c r="AD153" s="170">
        <f>IF(OR($I153="",$E153=0),0,IF(OR($J153&lt;AD$3,$I153&gt;AD$2),0,IF($K153=0,IF(AND($I153&gt;=AD$3,$I153&lt;=AD$2),$E153,0),$E153*NETWORKDAYS(MAX($I153,AD$3),MIN($J153,AD$2),Data!$K$4:$K$203)/$K153)))</f>
        <v>0</v>
      </c>
      <c r="AE153" s="170">
        <f>IF(OR($I153="",$E153=0),0,IF(OR($J153&lt;AE$3,$I153&gt;AE$2),0,IF($K153=0,IF(AND($I153&gt;=AE$3,$I153&lt;=AE$2),$E153,0),$E153*NETWORKDAYS(MAX($I153,AE$3),MIN($J153,AE$2),Data!$K$4:$K$203)/$K153)))</f>
        <v>0</v>
      </c>
      <c r="AF153" s="170">
        <f>IF(OR($I153="",$E153=0),0,IF(OR($J153&lt;AF$3,$I153&gt;AF$2),0,IF($K153=0,IF(AND($I153&gt;=AF$3,$I153&lt;=AF$2),$E153,0),$E153*NETWORKDAYS(MAX($I153,AF$3),MIN($J153,AF$2),Data!$K$4:$K$203)/$K153)))</f>
        <v>0</v>
      </c>
      <c r="AG153" s="170">
        <f>IF(OR($I153="",$E153=0),0,IF(OR($J153&lt;AG$3,$I153&gt;AG$2),0,IF($K153=0,IF(AND($I153&gt;=AG$3,$I153&lt;=AG$2),$E153,0),$E153*NETWORKDAYS(MAX($I153,AG$3),MIN($J153,AG$2),Data!$K$4:$K$203)/$K153)))</f>
        <v>0</v>
      </c>
      <c r="AH153" s="170">
        <f>IF(OR($I153="",$E153=0),0,IF(OR($J153&lt;AH$3,$I153&gt;AH$2),0,IF($K153=0,IF(AND($I153&gt;=AH$3,$I153&lt;=AH$2),$E153,0),$E153*NETWORKDAYS(MAX($I153,AH$3),MIN($J153,AH$2),Data!$K$4:$K$203)/$K153)))</f>
        <v>0</v>
      </c>
      <c r="AI153" s="170">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70"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4" t="str">
        <f>IF(EO153=1,IF(FH153&gt;0,FI153/FH153,AVERAGEIF($FF$4:$FF$503,EN153,$C$4:$C$503)),"")</f>
        <v/>
      </c>
      <c r="EV153" s="169">
        <f>IF(ISNUMBER(I153),I153,2958465)</f>
        <v>2958465.0</v>
      </c>
      <c r="EW153" s="169" t="str">
        <f>IF(EO153=1,SUMPRODUCT(MIN(($EN$4:$EN$503=EN153)*$EV$4:$EV$503+($EN$4:$EN$503&lt;&gt;EN153)*2958465)),"")</f>
        <v/>
      </c>
      <c r="EX153" s="169">
        <f>IF(AND(D153=1,ISNUMBER(INDEX(Charge!$F:$F,ROW()))),INDEX(Charge!$F:$F,ROW()),0)</f>
        <v>0.0</v>
      </c>
      <c r="EY153" s="169"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c r="FF153" t="str">
        <f>IF(B153=1,LEFT(SUBSTITUTE(SUBSTITUTE(SUBSTITUTE(TRIM(SUBSTITUTE(INDEX(Charge!$B:$B,ROW()),CHAR(160)," "))&amp;" | "&amp;TRIM(SUBSTITUTE(INDEX(Charge!$C:$C,ROW()),CHAR(160)," "))&amp;" | "&amp;TRIM(SUBSTITUTE(INDEX(Charge!$D:$D,ROW()),CHAR(160)," ")),"~","-"),"*","+"),"?","!"),240),"")</f>
        <v/>
      </c>
      <c r="FG153">
        <f>IF(B153=1,MAX(0,N(INDEX(Charge!$M:$M,ROW()))),0)</f>
        <v>0</v>
      </c>
      <c r="FH153" s="170" t="str">
        <f>IF(EO153=1,ROUND(SUMIF($FF$4:$FF$503,EN153,$FG$4:$FG$503),2),"")</f>
        <v/>
      </c>
      <c r="FI153" s="170" t="str">
        <f>IF(EO153=1,ROUND(SUMPRODUCT(($FF$4:$FF$503=EN153)*$FG$4:$FG$503*$C$4:$C$503),2),"")</f>
        <v/>
      </c>
      <c r="FJ153" s="170" t="str">
        <f>IF(EO153=1,MAX(0,ROUND(FH153-FI153,2)),"")</f>
        <v/>
      </c>
      <c r="FK153" s="174" t="str">
        <f>IF(EO153=1,IF(OR(EW153&gt;=2958465,EY153=0,EY153&lt;=EW153),"",IF(TODAY()&lt;=EW153,0,IF(TODAY()&gt;EY153,1,IFERROR(NETWORKDAYS(EW153,TODAY()-1,Data!$K$4:$K$203)/NETWORKDAYS(EW153,EY153,Data!$K$4:$K$203),"")))),"")</f>
        <v/>
      </c>
      <c r="FL153" t="str">
        <f>IF(EO153=1,IF(AND(EY153&gt;0,EY153&lt;TODAY(),ROUND(EU153,4)&lt;1),2,IF(FK153="",0,IF(ROUND(EU153-FK153,4)&lt;-0.15,1,0))),"")</f>
        <v/>
      </c>
      <c r="FM153">
        <f>IF(OR(FA153="",COUNTIF($FA$4:FA152,FA153)&gt;0),0,MAX(0,IF(FB153="Interne",IF(ISNUMBER(INDEX(Data!$F:$F,153)),INDEX(Data!$F:$F,153),p_HeuresETP),IF(ISNUMBER(INDEX(Data!$I:$I,153-$CD$23)),INDEX(Data!$I:$I,153-$CD$23),p_HeuresETP))-IF(FB153="Interne",IF(ISNUMBER(INDEX(Data!$G:$G,153)),INDEX(Data!$G:$G,153),p_ChargeFixe),IF(ISNUMBER(INDEX(Data!$J:$J,153-$CD$23)),INDEX(Data!$J:$J,153-$CD$23),p_ChargeFixe))))</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9" t="str">
        <f>IF(AND(D154=1,ISNUMBER(INDEX(Charge!$N:$N,ROW()))),INDEX(Charge!$N:$N,ROW()),"")</f>
        <v/>
      </c>
      <c r="J154" s="169"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70">
        <f>IF(OR($I154="",$E154=0),0,IF(OR($J154&lt;W$3,$I154&gt;W$2),0,IF($K154=0,IF(AND($I154&gt;=W$3,$I154&lt;=W$2),$E154,0),$E154*NETWORKDAYS(MAX($I154,W$3),MIN($J154,W$2),Data!$K$4:$K$203)/$K154)))</f>
        <v>0</v>
      </c>
      <c r="X154" s="170">
        <f>IF(OR($I154="",$E154=0),0,IF(OR($J154&lt;X$3,$I154&gt;X$2),0,IF($K154=0,IF(AND($I154&gt;=X$3,$I154&lt;=X$2),$E154,0),$E154*NETWORKDAYS(MAX($I154,X$3),MIN($J154,X$2),Data!$K$4:$K$203)/$K154)))</f>
        <v>0</v>
      </c>
      <c r="Y154" s="170">
        <f>IF(OR($I154="",$E154=0),0,IF(OR($J154&lt;Y$3,$I154&gt;Y$2),0,IF($K154=0,IF(AND($I154&gt;=Y$3,$I154&lt;=Y$2),$E154,0),$E154*NETWORKDAYS(MAX($I154,Y$3),MIN($J154,Y$2),Data!$K$4:$K$203)/$K154)))</f>
        <v>0</v>
      </c>
      <c r="Z154" s="170">
        <f>IF(OR($I154="",$E154=0),0,IF(OR($J154&lt;Z$3,$I154&gt;Z$2),0,IF($K154=0,IF(AND($I154&gt;=Z$3,$I154&lt;=Z$2),$E154,0),$E154*NETWORKDAYS(MAX($I154,Z$3),MIN($J154,Z$2),Data!$K$4:$K$203)/$K154)))</f>
        <v>0</v>
      </c>
      <c r="AA154" s="170">
        <f>IF(OR($I154="",$E154=0),0,IF(OR($J154&lt;AA$3,$I154&gt;AA$2),0,IF($K154=0,IF(AND($I154&gt;=AA$3,$I154&lt;=AA$2),$E154,0),$E154*NETWORKDAYS(MAX($I154,AA$3),MIN($J154,AA$2),Data!$K$4:$K$203)/$K154)))</f>
        <v>0</v>
      </c>
      <c r="AB154" s="170">
        <f>IF(OR($I154="",$E154=0),0,IF(OR($J154&lt;AB$3,$I154&gt;AB$2),0,IF($K154=0,IF(AND($I154&gt;=AB$3,$I154&lt;=AB$2),$E154,0),$E154*NETWORKDAYS(MAX($I154,AB$3),MIN($J154,AB$2),Data!$K$4:$K$203)/$K154)))</f>
        <v>0</v>
      </c>
      <c r="AC154" s="170">
        <f>IF(OR($I154="",$E154=0),0,IF(OR($J154&lt;AC$3,$I154&gt;AC$2),0,IF($K154=0,IF(AND($I154&gt;=AC$3,$I154&lt;=AC$2),$E154,0),$E154*NETWORKDAYS(MAX($I154,AC$3),MIN($J154,AC$2),Data!$K$4:$K$203)/$K154)))</f>
        <v>0</v>
      </c>
      <c r="AD154" s="170">
        <f>IF(OR($I154="",$E154=0),0,IF(OR($J154&lt;AD$3,$I154&gt;AD$2),0,IF($K154=0,IF(AND($I154&gt;=AD$3,$I154&lt;=AD$2),$E154,0),$E154*NETWORKDAYS(MAX($I154,AD$3),MIN($J154,AD$2),Data!$K$4:$K$203)/$K154)))</f>
        <v>0</v>
      </c>
      <c r="AE154" s="170">
        <f>IF(OR($I154="",$E154=0),0,IF(OR($J154&lt;AE$3,$I154&gt;AE$2),0,IF($K154=0,IF(AND($I154&gt;=AE$3,$I154&lt;=AE$2),$E154,0),$E154*NETWORKDAYS(MAX($I154,AE$3),MIN($J154,AE$2),Data!$K$4:$K$203)/$K154)))</f>
        <v>0</v>
      </c>
      <c r="AF154" s="170">
        <f>IF(OR($I154="",$E154=0),0,IF(OR($J154&lt;AF$3,$I154&gt;AF$2),0,IF($K154=0,IF(AND($I154&gt;=AF$3,$I154&lt;=AF$2),$E154,0),$E154*NETWORKDAYS(MAX($I154,AF$3),MIN($J154,AF$2),Data!$K$4:$K$203)/$K154)))</f>
        <v>0</v>
      </c>
      <c r="AG154" s="170">
        <f>IF(OR($I154="",$E154=0),0,IF(OR($J154&lt;AG$3,$I154&gt;AG$2),0,IF($K154=0,IF(AND($I154&gt;=AG$3,$I154&lt;=AG$2),$E154,0),$E154*NETWORKDAYS(MAX($I154,AG$3),MIN($J154,AG$2),Data!$K$4:$K$203)/$K154)))</f>
        <v>0</v>
      </c>
      <c r="AH154" s="170">
        <f>IF(OR($I154="",$E154=0),0,IF(OR($J154&lt;AH$3,$I154&gt;AH$2),0,IF($K154=0,IF(AND($I154&gt;=AH$3,$I154&lt;=AH$2),$E154,0),$E154*NETWORKDAYS(MAX($I154,AH$3),MIN($J154,AH$2),Data!$K$4:$K$203)/$K154)))</f>
        <v>0</v>
      </c>
      <c r="AI154" s="170">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70"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4" t="str">
        <f>IF(EO154=1,IF(FH154&gt;0,FI154/FH154,AVERAGEIF($FF$4:$FF$503,EN154,$C$4:$C$503)),"")</f>
        <v/>
      </c>
      <c r="EV154" s="169">
        <f>IF(ISNUMBER(I154),I154,2958465)</f>
        <v>2958465.0</v>
      </c>
      <c r="EW154" s="169" t="str">
        <f>IF(EO154=1,SUMPRODUCT(MIN(($EN$4:$EN$503=EN154)*$EV$4:$EV$503+($EN$4:$EN$503&lt;&gt;EN154)*2958465)),"")</f>
        <v/>
      </c>
      <c r="EX154" s="169">
        <f>IF(AND(D154=1,ISNUMBER(INDEX(Charge!$F:$F,ROW()))),INDEX(Charge!$F:$F,ROW()),0)</f>
        <v>0.0</v>
      </c>
      <c r="EY154" s="169"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c r="FF154" t="str">
        <f>IF(B154=1,LEFT(SUBSTITUTE(SUBSTITUTE(SUBSTITUTE(TRIM(SUBSTITUTE(INDEX(Charge!$B:$B,ROW()),CHAR(160)," "))&amp;" | "&amp;TRIM(SUBSTITUTE(INDEX(Charge!$C:$C,ROW()),CHAR(160)," "))&amp;" | "&amp;TRIM(SUBSTITUTE(INDEX(Charge!$D:$D,ROW()),CHAR(160)," ")),"~","-"),"*","+"),"?","!"),240),"")</f>
        <v/>
      </c>
      <c r="FG154">
        <f>IF(B154=1,MAX(0,N(INDEX(Charge!$M:$M,ROW()))),0)</f>
        <v>0</v>
      </c>
      <c r="FH154" s="170" t="str">
        <f>IF(EO154=1,ROUND(SUMIF($FF$4:$FF$503,EN154,$FG$4:$FG$503),2),"")</f>
        <v/>
      </c>
      <c r="FI154" s="170" t="str">
        <f>IF(EO154=1,ROUND(SUMPRODUCT(($FF$4:$FF$503=EN154)*$FG$4:$FG$503*$C$4:$C$503),2),"")</f>
        <v/>
      </c>
      <c r="FJ154" s="170" t="str">
        <f>IF(EO154=1,MAX(0,ROUND(FH154-FI154,2)),"")</f>
        <v/>
      </c>
      <c r="FK154" s="174" t="str">
        <f>IF(EO154=1,IF(OR(EW154&gt;=2958465,EY154=0,EY154&lt;=EW154),"",IF(TODAY()&lt;=EW154,0,IF(TODAY()&gt;EY154,1,IFERROR(NETWORKDAYS(EW154,TODAY()-1,Data!$K$4:$K$203)/NETWORKDAYS(EW154,EY154,Data!$K$4:$K$203),"")))),"")</f>
        <v/>
      </c>
      <c r="FL154" t="str">
        <f>IF(EO154=1,IF(AND(EY154&gt;0,EY154&lt;TODAY(),ROUND(EU154,4)&lt;1),2,IF(FK154="",0,IF(ROUND(EU154-FK154,4)&lt;-0.15,1,0))),"")</f>
        <v/>
      </c>
      <c r="FM154">
        <f>IF(OR(FA154="",COUNTIF($FA$4:FA153,FA154)&gt;0),0,MAX(0,IF(FB154="Interne",IF(ISNUMBER(INDEX(Data!$F:$F,154)),INDEX(Data!$F:$F,154),p_HeuresETP),IF(ISNUMBER(INDEX(Data!$I:$I,154-$CD$23)),INDEX(Data!$I:$I,154-$CD$23),p_HeuresETP))-IF(FB154="Interne",IF(ISNUMBER(INDEX(Data!$G:$G,154)),INDEX(Data!$G:$G,154),p_ChargeFixe),IF(ISNUMBER(INDEX(Data!$J:$J,154-$CD$23)),INDEX(Data!$J:$J,154-$CD$23),p_ChargeFixe))))</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9" t="str">
        <f>IF(AND(D155=1,ISNUMBER(INDEX(Charge!$N:$N,ROW()))),INDEX(Charge!$N:$N,ROW()),"")</f>
        <v/>
      </c>
      <c r="J155" s="169"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70">
        <f>IF(OR($I155="",$E155=0),0,IF(OR($J155&lt;W$3,$I155&gt;W$2),0,IF($K155=0,IF(AND($I155&gt;=W$3,$I155&lt;=W$2),$E155,0),$E155*NETWORKDAYS(MAX($I155,W$3),MIN($J155,W$2),Data!$K$4:$K$203)/$K155)))</f>
        <v>0</v>
      </c>
      <c r="X155" s="170">
        <f>IF(OR($I155="",$E155=0),0,IF(OR($J155&lt;X$3,$I155&gt;X$2),0,IF($K155=0,IF(AND($I155&gt;=X$3,$I155&lt;=X$2),$E155,0),$E155*NETWORKDAYS(MAX($I155,X$3),MIN($J155,X$2),Data!$K$4:$K$203)/$K155)))</f>
        <v>0</v>
      </c>
      <c r="Y155" s="170">
        <f>IF(OR($I155="",$E155=0),0,IF(OR($J155&lt;Y$3,$I155&gt;Y$2),0,IF($K155=0,IF(AND($I155&gt;=Y$3,$I155&lt;=Y$2),$E155,0),$E155*NETWORKDAYS(MAX($I155,Y$3),MIN($J155,Y$2),Data!$K$4:$K$203)/$K155)))</f>
        <v>0</v>
      </c>
      <c r="Z155" s="170">
        <f>IF(OR($I155="",$E155=0),0,IF(OR($J155&lt;Z$3,$I155&gt;Z$2),0,IF($K155=0,IF(AND($I155&gt;=Z$3,$I155&lt;=Z$2),$E155,0),$E155*NETWORKDAYS(MAX($I155,Z$3),MIN($J155,Z$2),Data!$K$4:$K$203)/$K155)))</f>
        <v>0</v>
      </c>
      <c r="AA155" s="170">
        <f>IF(OR($I155="",$E155=0),0,IF(OR($J155&lt;AA$3,$I155&gt;AA$2),0,IF($K155=0,IF(AND($I155&gt;=AA$3,$I155&lt;=AA$2),$E155,0),$E155*NETWORKDAYS(MAX($I155,AA$3),MIN($J155,AA$2),Data!$K$4:$K$203)/$K155)))</f>
        <v>0</v>
      </c>
      <c r="AB155" s="170">
        <f>IF(OR($I155="",$E155=0),0,IF(OR($J155&lt;AB$3,$I155&gt;AB$2),0,IF($K155=0,IF(AND($I155&gt;=AB$3,$I155&lt;=AB$2),$E155,0),$E155*NETWORKDAYS(MAX($I155,AB$3),MIN($J155,AB$2),Data!$K$4:$K$203)/$K155)))</f>
        <v>0</v>
      </c>
      <c r="AC155" s="170">
        <f>IF(OR($I155="",$E155=0),0,IF(OR($J155&lt;AC$3,$I155&gt;AC$2),0,IF($K155=0,IF(AND($I155&gt;=AC$3,$I155&lt;=AC$2),$E155,0),$E155*NETWORKDAYS(MAX($I155,AC$3),MIN($J155,AC$2),Data!$K$4:$K$203)/$K155)))</f>
        <v>0</v>
      </c>
      <c r="AD155" s="170">
        <f>IF(OR($I155="",$E155=0),0,IF(OR($J155&lt;AD$3,$I155&gt;AD$2),0,IF($K155=0,IF(AND($I155&gt;=AD$3,$I155&lt;=AD$2),$E155,0),$E155*NETWORKDAYS(MAX($I155,AD$3),MIN($J155,AD$2),Data!$K$4:$K$203)/$K155)))</f>
        <v>0</v>
      </c>
      <c r="AE155" s="170">
        <f>IF(OR($I155="",$E155=0),0,IF(OR($J155&lt;AE$3,$I155&gt;AE$2),0,IF($K155=0,IF(AND($I155&gt;=AE$3,$I155&lt;=AE$2),$E155,0),$E155*NETWORKDAYS(MAX($I155,AE$3),MIN($J155,AE$2),Data!$K$4:$K$203)/$K155)))</f>
        <v>0</v>
      </c>
      <c r="AF155" s="170">
        <f>IF(OR($I155="",$E155=0),0,IF(OR($J155&lt;AF$3,$I155&gt;AF$2),0,IF($K155=0,IF(AND($I155&gt;=AF$3,$I155&lt;=AF$2),$E155,0),$E155*NETWORKDAYS(MAX($I155,AF$3),MIN($J155,AF$2),Data!$K$4:$K$203)/$K155)))</f>
        <v>0</v>
      </c>
      <c r="AG155" s="170">
        <f>IF(OR($I155="",$E155=0),0,IF(OR($J155&lt;AG$3,$I155&gt;AG$2),0,IF($K155=0,IF(AND($I155&gt;=AG$3,$I155&lt;=AG$2),$E155,0),$E155*NETWORKDAYS(MAX($I155,AG$3),MIN($J155,AG$2),Data!$K$4:$K$203)/$K155)))</f>
        <v>0</v>
      </c>
      <c r="AH155" s="170">
        <f>IF(OR($I155="",$E155=0),0,IF(OR($J155&lt;AH$3,$I155&gt;AH$2),0,IF($K155=0,IF(AND($I155&gt;=AH$3,$I155&lt;=AH$2),$E155,0),$E155*NETWORKDAYS(MAX($I155,AH$3),MIN($J155,AH$2),Data!$K$4:$K$203)/$K155)))</f>
        <v>0</v>
      </c>
      <c r="AI155" s="170">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70"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4" t="str">
        <f>IF(EO155=1,IF(FH155&gt;0,FI155/FH155,AVERAGEIF($FF$4:$FF$503,EN155,$C$4:$C$503)),"")</f>
        <v/>
      </c>
      <c r="EV155" s="169">
        <f>IF(ISNUMBER(I155),I155,2958465)</f>
        <v>2958465.0</v>
      </c>
      <c r="EW155" s="169" t="str">
        <f>IF(EO155=1,SUMPRODUCT(MIN(($EN$4:$EN$503=EN155)*$EV$4:$EV$503+($EN$4:$EN$503&lt;&gt;EN155)*2958465)),"")</f>
        <v/>
      </c>
      <c r="EX155" s="169">
        <f>IF(AND(D155=1,ISNUMBER(INDEX(Charge!$F:$F,ROW()))),INDEX(Charge!$F:$F,ROW()),0)</f>
        <v>0.0</v>
      </c>
      <c r="EY155" s="169"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c r="FF155" t="str">
        <f>IF(B155=1,LEFT(SUBSTITUTE(SUBSTITUTE(SUBSTITUTE(TRIM(SUBSTITUTE(INDEX(Charge!$B:$B,ROW()),CHAR(160)," "))&amp;" | "&amp;TRIM(SUBSTITUTE(INDEX(Charge!$C:$C,ROW()),CHAR(160)," "))&amp;" | "&amp;TRIM(SUBSTITUTE(INDEX(Charge!$D:$D,ROW()),CHAR(160)," ")),"~","-"),"*","+"),"?","!"),240),"")</f>
        <v/>
      </c>
      <c r="FG155">
        <f>IF(B155=1,MAX(0,N(INDEX(Charge!$M:$M,ROW()))),0)</f>
        <v>0</v>
      </c>
      <c r="FH155" s="170" t="str">
        <f>IF(EO155=1,ROUND(SUMIF($FF$4:$FF$503,EN155,$FG$4:$FG$503),2),"")</f>
        <v/>
      </c>
      <c r="FI155" s="170" t="str">
        <f>IF(EO155=1,ROUND(SUMPRODUCT(($FF$4:$FF$503=EN155)*$FG$4:$FG$503*$C$4:$C$503),2),"")</f>
        <v/>
      </c>
      <c r="FJ155" s="170" t="str">
        <f>IF(EO155=1,MAX(0,ROUND(FH155-FI155,2)),"")</f>
        <v/>
      </c>
      <c r="FK155" s="174" t="str">
        <f>IF(EO155=1,IF(OR(EW155&gt;=2958465,EY155=0,EY155&lt;=EW155),"",IF(TODAY()&lt;=EW155,0,IF(TODAY()&gt;EY155,1,IFERROR(NETWORKDAYS(EW155,TODAY()-1,Data!$K$4:$K$203)/NETWORKDAYS(EW155,EY155,Data!$K$4:$K$203),"")))),"")</f>
        <v/>
      </c>
      <c r="FL155" t="str">
        <f>IF(EO155=1,IF(AND(EY155&gt;0,EY155&lt;TODAY(),ROUND(EU155,4)&lt;1),2,IF(FK155="",0,IF(ROUND(EU155-FK155,4)&lt;-0.15,1,0))),"")</f>
        <v/>
      </c>
      <c r="FM155">
        <f>IF(OR(FA155="",COUNTIF($FA$4:FA154,FA155)&gt;0),0,MAX(0,IF(FB155="Interne",IF(ISNUMBER(INDEX(Data!$F:$F,155)),INDEX(Data!$F:$F,155),p_HeuresETP),IF(ISNUMBER(INDEX(Data!$I:$I,155-$CD$23)),INDEX(Data!$I:$I,155-$CD$23),p_HeuresETP))-IF(FB155="Interne",IF(ISNUMBER(INDEX(Data!$G:$G,155)),INDEX(Data!$G:$G,155),p_ChargeFixe),IF(ISNUMBER(INDEX(Data!$J:$J,155-$CD$23)),INDEX(Data!$J:$J,155-$CD$23),p_ChargeFixe))))</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9" t="str">
        <f>IF(AND(D156=1,ISNUMBER(INDEX(Charge!$N:$N,ROW()))),INDEX(Charge!$N:$N,ROW()),"")</f>
        <v/>
      </c>
      <c r="J156" s="169"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70">
        <f>IF(OR($I156="",$E156=0),0,IF(OR($J156&lt;W$3,$I156&gt;W$2),0,IF($K156=0,IF(AND($I156&gt;=W$3,$I156&lt;=W$2),$E156,0),$E156*NETWORKDAYS(MAX($I156,W$3),MIN($J156,W$2),Data!$K$4:$K$203)/$K156)))</f>
        <v>0</v>
      </c>
      <c r="X156" s="170">
        <f>IF(OR($I156="",$E156=0),0,IF(OR($J156&lt;X$3,$I156&gt;X$2),0,IF($K156=0,IF(AND($I156&gt;=X$3,$I156&lt;=X$2),$E156,0),$E156*NETWORKDAYS(MAX($I156,X$3),MIN($J156,X$2),Data!$K$4:$K$203)/$K156)))</f>
        <v>0</v>
      </c>
      <c r="Y156" s="170">
        <f>IF(OR($I156="",$E156=0),0,IF(OR($J156&lt;Y$3,$I156&gt;Y$2),0,IF($K156=0,IF(AND($I156&gt;=Y$3,$I156&lt;=Y$2),$E156,0),$E156*NETWORKDAYS(MAX($I156,Y$3),MIN($J156,Y$2),Data!$K$4:$K$203)/$K156)))</f>
        <v>0</v>
      </c>
      <c r="Z156" s="170">
        <f>IF(OR($I156="",$E156=0),0,IF(OR($J156&lt;Z$3,$I156&gt;Z$2),0,IF($K156=0,IF(AND($I156&gt;=Z$3,$I156&lt;=Z$2),$E156,0),$E156*NETWORKDAYS(MAX($I156,Z$3),MIN($J156,Z$2),Data!$K$4:$K$203)/$K156)))</f>
        <v>0</v>
      </c>
      <c r="AA156" s="170">
        <f>IF(OR($I156="",$E156=0),0,IF(OR($J156&lt;AA$3,$I156&gt;AA$2),0,IF($K156=0,IF(AND($I156&gt;=AA$3,$I156&lt;=AA$2),$E156,0),$E156*NETWORKDAYS(MAX($I156,AA$3),MIN($J156,AA$2),Data!$K$4:$K$203)/$K156)))</f>
        <v>0</v>
      </c>
      <c r="AB156" s="170">
        <f>IF(OR($I156="",$E156=0),0,IF(OR($J156&lt;AB$3,$I156&gt;AB$2),0,IF($K156=0,IF(AND($I156&gt;=AB$3,$I156&lt;=AB$2),$E156,0),$E156*NETWORKDAYS(MAX($I156,AB$3),MIN($J156,AB$2),Data!$K$4:$K$203)/$K156)))</f>
        <v>0</v>
      </c>
      <c r="AC156" s="170">
        <f>IF(OR($I156="",$E156=0),0,IF(OR($J156&lt;AC$3,$I156&gt;AC$2),0,IF($K156=0,IF(AND($I156&gt;=AC$3,$I156&lt;=AC$2),$E156,0),$E156*NETWORKDAYS(MAX($I156,AC$3),MIN($J156,AC$2),Data!$K$4:$K$203)/$K156)))</f>
        <v>0</v>
      </c>
      <c r="AD156" s="170">
        <f>IF(OR($I156="",$E156=0),0,IF(OR($J156&lt;AD$3,$I156&gt;AD$2),0,IF($K156=0,IF(AND($I156&gt;=AD$3,$I156&lt;=AD$2),$E156,0),$E156*NETWORKDAYS(MAX($I156,AD$3),MIN($J156,AD$2),Data!$K$4:$K$203)/$K156)))</f>
        <v>0</v>
      </c>
      <c r="AE156" s="170">
        <f>IF(OR($I156="",$E156=0),0,IF(OR($J156&lt;AE$3,$I156&gt;AE$2),0,IF($K156=0,IF(AND($I156&gt;=AE$3,$I156&lt;=AE$2),$E156,0),$E156*NETWORKDAYS(MAX($I156,AE$3),MIN($J156,AE$2),Data!$K$4:$K$203)/$K156)))</f>
        <v>0</v>
      </c>
      <c r="AF156" s="170">
        <f>IF(OR($I156="",$E156=0),0,IF(OR($J156&lt;AF$3,$I156&gt;AF$2),0,IF($K156=0,IF(AND($I156&gt;=AF$3,$I156&lt;=AF$2),$E156,0),$E156*NETWORKDAYS(MAX($I156,AF$3),MIN($J156,AF$2),Data!$K$4:$K$203)/$K156)))</f>
        <v>0</v>
      </c>
      <c r="AG156" s="170">
        <f>IF(OR($I156="",$E156=0),0,IF(OR($J156&lt;AG$3,$I156&gt;AG$2),0,IF($K156=0,IF(AND($I156&gt;=AG$3,$I156&lt;=AG$2),$E156,0),$E156*NETWORKDAYS(MAX($I156,AG$3),MIN($J156,AG$2),Data!$K$4:$K$203)/$K156)))</f>
        <v>0</v>
      </c>
      <c r="AH156" s="170">
        <f>IF(OR($I156="",$E156=0),0,IF(OR($J156&lt;AH$3,$I156&gt;AH$2),0,IF($K156=0,IF(AND($I156&gt;=AH$3,$I156&lt;=AH$2),$E156,0),$E156*NETWORKDAYS(MAX($I156,AH$3),MIN($J156,AH$2),Data!$K$4:$K$203)/$K156)))</f>
        <v>0</v>
      </c>
      <c r="AI156" s="170">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70"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4" t="str">
        <f>IF(EO156=1,IF(FH156&gt;0,FI156/FH156,AVERAGEIF($FF$4:$FF$503,EN156,$C$4:$C$503)),"")</f>
        <v/>
      </c>
      <c r="EV156" s="169">
        <f>IF(ISNUMBER(I156),I156,2958465)</f>
        <v>2958465.0</v>
      </c>
      <c r="EW156" s="169" t="str">
        <f>IF(EO156=1,SUMPRODUCT(MIN(($EN$4:$EN$503=EN156)*$EV$4:$EV$503+($EN$4:$EN$503&lt;&gt;EN156)*2958465)),"")</f>
        <v/>
      </c>
      <c r="EX156" s="169">
        <f>IF(AND(D156=1,ISNUMBER(INDEX(Charge!$F:$F,ROW()))),INDEX(Charge!$F:$F,ROW()),0)</f>
        <v>0.0</v>
      </c>
      <c r="EY156" s="169"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c r="FF156" t="str">
        <f>IF(B156=1,LEFT(SUBSTITUTE(SUBSTITUTE(SUBSTITUTE(TRIM(SUBSTITUTE(INDEX(Charge!$B:$B,ROW()),CHAR(160)," "))&amp;" | "&amp;TRIM(SUBSTITUTE(INDEX(Charge!$C:$C,ROW()),CHAR(160)," "))&amp;" | "&amp;TRIM(SUBSTITUTE(INDEX(Charge!$D:$D,ROW()),CHAR(160)," ")),"~","-"),"*","+"),"?","!"),240),"")</f>
        <v/>
      </c>
      <c r="FG156">
        <f>IF(B156=1,MAX(0,N(INDEX(Charge!$M:$M,ROW()))),0)</f>
        <v>0</v>
      </c>
      <c r="FH156" s="170" t="str">
        <f>IF(EO156=1,ROUND(SUMIF($FF$4:$FF$503,EN156,$FG$4:$FG$503),2),"")</f>
        <v/>
      </c>
      <c r="FI156" s="170" t="str">
        <f>IF(EO156=1,ROUND(SUMPRODUCT(($FF$4:$FF$503=EN156)*$FG$4:$FG$503*$C$4:$C$503),2),"")</f>
        <v/>
      </c>
      <c r="FJ156" s="170" t="str">
        <f>IF(EO156=1,MAX(0,ROUND(FH156-FI156,2)),"")</f>
        <v/>
      </c>
      <c r="FK156" s="174" t="str">
        <f>IF(EO156=1,IF(OR(EW156&gt;=2958465,EY156=0,EY156&lt;=EW156),"",IF(TODAY()&lt;=EW156,0,IF(TODAY()&gt;EY156,1,IFERROR(NETWORKDAYS(EW156,TODAY()-1,Data!$K$4:$K$203)/NETWORKDAYS(EW156,EY156,Data!$K$4:$K$203),"")))),"")</f>
        <v/>
      </c>
      <c r="FL156" t="str">
        <f>IF(EO156=1,IF(AND(EY156&gt;0,EY156&lt;TODAY(),ROUND(EU156,4)&lt;1),2,IF(FK156="",0,IF(ROUND(EU156-FK156,4)&lt;-0.15,1,0))),"")</f>
        <v/>
      </c>
      <c r="FM156">
        <f>IF(OR(FA156="",COUNTIF($FA$4:FA155,FA156)&gt;0),0,MAX(0,IF(FB156="Interne",IF(ISNUMBER(INDEX(Data!$F:$F,156)),INDEX(Data!$F:$F,156),p_HeuresETP),IF(ISNUMBER(INDEX(Data!$I:$I,156-$CD$23)),INDEX(Data!$I:$I,156-$CD$23),p_HeuresETP))-IF(FB156="Interne",IF(ISNUMBER(INDEX(Data!$G:$G,156)),INDEX(Data!$G:$G,156),p_ChargeFixe),IF(ISNUMBER(INDEX(Data!$J:$J,156-$CD$23)),INDEX(Data!$J:$J,156-$CD$23),p_ChargeFixe))))</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9" t="str">
        <f>IF(AND(D157=1,ISNUMBER(INDEX(Charge!$N:$N,ROW()))),INDEX(Charge!$N:$N,ROW()),"")</f>
        <v/>
      </c>
      <c r="J157" s="169"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70">
        <f>IF(OR($I157="",$E157=0),0,IF(OR($J157&lt;W$3,$I157&gt;W$2),0,IF($K157=0,IF(AND($I157&gt;=W$3,$I157&lt;=W$2),$E157,0),$E157*NETWORKDAYS(MAX($I157,W$3),MIN($J157,W$2),Data!$K$4:$K$203)/$K157)))</f>
        <v>0</v>
      </c>
      <c r="X157" s="170">
        <f>IF(OR($I157="",$E157=0),0,IF(OR($J157&lt;X$3,$I157&gt;X$2),0,IF($K157=0,IF(AND($I157&gt;=X$3,$I157&lt;=X$2),$E157,0),$E157*NETWORKDAYS(MAX($I157,X$3),MIN($J157,X$2),Data!$K$4:$K$203)/$K157)))</f>
        <v>0</v>
      </c>
      <c r="Y157" s="170">
        <f>IF(OR($I157="",$E157=0),0,IF(OR($J157&lt;Y$3,$I157&gt;Y$2),0,IF($K157=0,IF(AND($I157&gt;=Y$3,$I157&lt;=Y$2),$E157,0),$E157*NETWORKDAYS(MAX($I157,Y$3),MIN($J157,Y$2),Data!$K$4:$K$203)/$K157)))</f>
        <v>0</v>
      </c>
      <c r="Z157" s="170">
        <f>IF(OR($I157="",$E157=0),0,IF(OR($J157&lt;Z$3,$I157&gt;Z$2),0,IF($K157=0,IF(AND($I157&gt;=Z$3,$I157&lt;=Z$2),$E157,0),$E157*NETWORKDAYS(MAX($I157,Z$3),MIN($J157,Z$2),Data!$K$4:$K$203)/$K157)))</f>
        <v>0</v>
      </c>
      <c r="AA157" s="170">
        <f>IF(OR($I157="",$E157=0),0,IF(OR($J157&lt;AA$3,$I157&gt;AA$2),0,IF($K157=0,IF(AND($I157&gt;=AA$3,$I157&lt;=AA$2),$E157,0),$E157*NETWORKDAYS(MAX($I157,AA$3),MIN($J157,AA$2),Data!$K$4:$K$203)/$K157)))</f>
        <v>0</v>
      </c>
      <c r="AB157" s="170">
        <f>IF(OR($I157="",$E157=0),0,IF(OR($J157&lt;AB$3,$I157&gt;AB$2),0,IF($K157=0,IF(AND($I157&gt;=AB$3,$I157&lt;=AB$2),$E157,0),$E157*NETWORKDAYS(MAX($I157,AB$3),MIN($J157,AB$2),Data!$K$4:$K$203)/$K157)))</f>
        <v>0</v>
      </c>
      <c r="AC157" s="170">
        <f>IF(OR($I157="",$E157=0),0,IF(OR($J157&lt;AC$3,$I157&gt;AC$2),0,IF($K157=0,IF(AND($I157&gt;=AC$3,$I157&lt;=AC$2),$E157,0),$E157*NETWORKDAYS(MAX($I157,AC$3),MIN($J157,AC$2),Data!$K$4:$K$203)/$K157)))</f>
        <v>0</v>
      </c>
      <c r="AD157" s="170">
        <f>IF(OR($I157="",$E157=0),0,IF(OR($J157&lt;AD$3,$I157&gt;AD$2),0,IF($K157=0,IF(AND($I157&gt;=AD$3,$I157&lt;=AD$2),$E157,0),$E157*NETWORKDAYS(MAX($I157,AD$3),MIN($J157,AD$2),Data!$K$4:$K$203)/$K157)))</f>
        <v>0</v>
      </c>
      <c r="AE157" s="170">
        <f>IF(OR($I157="",$E157=0),0,IF(OR($J157&lt;AE$3,$I157&gt;AE$2),0,IF($K157=0,IF(AND($I157&gt;=AE$3,$I157&lt;=AE$2),$E157,0),$E157*NETWORKDAYS(MAX($I157,AE$3),MIN($J157,AE$2),Data!$K$4:$K$203)/$K157)))</f>
        <v>0</v>
      </c>
      <c r="AF157" s="170">
        <f>IF(OR($I157="",$E157=0),0,IF(OR($J157&lt;AF$3,$I157&gt;AF$2),0,IF($K157=0,IF(AND($I157&gt;=AF$3,$I157&lt;=AF$2),$E157,0),$E157*NETWORKDAYS(MAX($I157,AF$3),MIN($J157,AF$2),Data!$K$4:$K$203)/$K157)))</f>
        <v>0</v>
      </c>
      <c r="AG157" s="170">
        <f>IF(OR($I157="",$E157=0),0,IF(OR($J157&lt;AG$3,$I157&gt;AG$2),0,IF($K157=0,IF(AND($I157&gt;=AG$3,$I157&lt;=AG$2),$E157,0),$E157*NETWORKDAYS(MAX($I157,AG$3),MIN($J157,AG$2),Data!$K$4:$K$203)/$K157)))</f>
        <v>0</v>
      </c>
      <c r="AH157" s="170">
        <f>IF(OR($I157="",$E157=0),0,IF(OR($J157&lt;AH$3,$I157&gt;AH$2),0,IF($K157=0,IF(AND($I157&gt;=AH$3,$I157&lt;=AH$2),$E157,0),$E157*NETWORKDAYS(MAX($I157,AH$3),MIN($J157,AH$2),Data!$K$4:$K$203)/$K157)))</f>
        <v>0</v>
      </c>
      <c r="AI157" s="170">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70"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4" t="str">
        <f>IF(EO157=1,IF(FH157&gt;0,FI157/FH157,AVERAGEIF($FF$4:$FF$503,EN157,$C$4:$C$503)),"")</f>
        <v/>
      </c>
      <c r="EV157" s="169">
        <f>IF(ISNUMBER(I157),I157,2958465)</f>
        <v>2958465.0</v>
      </c>
      <c r="EW157" s="169" t="str">
        <f>IF(EO157=1,SUMPRODUCT(MIN(($EN$4:$EN$503=EN157)*$EV$4:$EV$503+($EN$4:$EN$503&lt;&gt;EN157)*2958465)),"")</f>
        <v/>
      </c>
      <c r="EX157" s="169">
        <f>IF(AND(D157=1,ISNUMBER(INDEX(Charge!$F:$F,ROW()))),INDEX(Charge!$F:$F,ROW()),0)</f>
        <v>0.0</v>
      </c>
      <c r="EY157" s="169"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c r="FF157" t="str">
        <f>IF(B157=1,LEFT(SUBSTITUTE(SUBSTITUTE(SUBSTITUTE(TRIM(SUBSTITUTE(INDEX(Charge!$B:$B,ROW()),CHAR(160)," "))&amp;" | "&amp;TRIM(SUBSTITUTE(INDEX(Charge!$C:$C,ROW()),CHAR(160)," "))&amp;" | "&amp;TRIM(SUBSTITUTE(INDEX(Charge!$D:$D,ROW()),CHAR(160)," ")),"~","-"),"*","+"),"?","!"),240),"")</f>
        <v/>
      </c>
      <c r="FG157">
        <f>IF(B157=1,MAX(0,N(INDEX(Charge!$M:$M,ROW()))),0)</f>
        <v>0</v>
      </c>
      <c r="FH157" s="170" t="str">
        <f>IF(EO157=1,ROUND(SUMIF($FF$4:$FF$503,EN157,$FG$4:$FG$503),2),"")</f>
        <v/>
      </c>
      <c r="FI157" s="170" t="str">
        <f>IF(EO157=1,ROUND(SUMPRODUCT(($FF$4:$FF$503=EN157)*$FG$4:$FG$503*$C$4:$C$503),2),"")</f>
        <v/>
      </c>
      <c r="FJ157" s="170" t="str">
        <f>IF(EO157=1,MAX(0,ROUND(FH157-FI157,2)),"")</f>
        <v/>
      </c>
      <c r="FK157" s="174" t="str">
        <f>IF(EO157=1,IF(OR(EW157&gt;=2958465,EY157=0,EY157&lt;=EW157),"",IF(TODAY()&lt;=EW157,0,IF(TODAY()&gt;EY157,1,IFERROR(NETWORKDAYS(EW157,TODAY()-1,Data!$K$4:$K$203)/NETWORKDAYS(EW157,EY157,Data!$K$4:$K$203),"")))),"")</f>
        <v/>
      </c>
      <c r="FL157" t="str">
        <f>IF(EO157=1,IF(AND(EY157&gt;0,EY157&lt;TODAY(),ROUND(EU157,4)&lt;1),2,IF(FK157="",0,IF(ROUND(EU157-FK157,4)&lt;-0.15,1,0))),"")</f>
        <v/>
      </c>
      <c r="FM157">
        <f>IF(OR(FA157="",COUNTIF($FA$4:FA156,FA157)&gt;0),0,MAX(0,IF(FB157="Interne",IF(ISNUMBER(INDEX(Data!$F:$F,157)),INDEX(Data!$F:$F,157),p_HeuresETP),IF(ISNUMBER(INDEX(Data!$I:$I,157-$CD$23)),INDEX(Data!$I:$I,157-$CD$23),p_HeuresETP))-IF(FB157="Interne",IF(ISNUMBER(INDEX(Data!$G:$G,157)),INDEX(Data!$G:$G,157),p_ChargeFixe),IF(ISNUMBER(INDEX(Data!$J:$J,157-$CD$23)),INDEX(Data!$J:$J,157-$CD$23),p_ChargeFixe))))</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9" t="str">
        <f>IF(AND(D158=1,ISNUMBER(INDEX(Charge!$N:$N,ROW()))),INDEX(Charge!$N:$N,ROW()),"")</f>
        <v/>
      </c>
      <c r="J158" s="169"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70">
        <f>IF(OR($I158="",$E158=0),0,IF(OR($J158&lt;W$3,$I158&gt;W$2),0,IF($K158=0,IF(AND($I158&gt;=W$3,$I158&lt;=W$2),$E158,0),$E158*NETWORKDAYS(MAX($I158,W$3),MIN($J158,W$2),Data!$K$4:$K$203)/$K158)))</f>
        <v>0</v>
      </c>
      <c r="X158" s="170">
        <f>IF(OR($I158="",$E158=0),0,IF(OR($J158&lt;X$3,$I158&gt;X$2),0,IF($K158=0,IF(AND($I158&gt;=X$3,$I158&lt;=X$2),$E158,0),$E158*NETWORKDAYS(MAX($I158,X$3),MIN($J158,X$2),Data!$K$4:$K$203)/$K158)))</f>
        <v>0</v>
      </c>
      <c r="Y158" s="170">
        <f>IF(OR($I158="",$E158=0),0,IF(OR($J158&lt;Y$3,$I158&gt;Y$2),0,IF($K158=0,IF(AND($I158&gt;=Y$3,$I158&lt;=Y$2),$E158,0),$E158*NETWORKDAYS(MAX($I158,Y$3),MIN($J158,Y$2),Data!$K$4:$K$203)/$K158)))</f>
        <v>0</v>
      </c>
      <c r="Z158" s="170">
        <f>IF(OR($I158="",$E158=0),0,IF(OR($J158&lt;Z$3,$I158&gt;Z$2),0,IF($K158=0,IF(AND($I158&gt;=Z$3,$I158&lt;=Z$2),$E158,0),$E158*NETWORKDAYS(MAX($I158,Z$3),MIN($J158,Z$2),Data!$K$4:$K$203)/$K158)))</f>
        <v>0</v>
      </c>
      <c r="AA158" s="170">
        <f>IF(OR($I158="",$E158=0),0,IF(OR($J158&lt;AA$3,$I158&gt;AA$2),0,IF($K158=0,IF(AND($I158&gt;=AA$3,$I158&lt;=AA$2),$E158,0),$E158*NETWORKDAYS(MAX($I158,AA$3),MIN($J158,AA$2),Data!$K$4:$K$203)/$K158)))</f>
        <v>0</v>
      </c>
      <c r="AB158" s="170">
        <f>IF(OR($I158="",$E158=0),0,IF(OR($J158&lt;AB$3,$I158&gt;AB$2),0,IF($K158=0,IF(AND($I158&gt;=AB$3,$I158&lt;=AB$2),$E158,0),$E158*NETWORKDAYS(MAX($I158,AB$3),MIN($J158,AB$2),Data!$K$4:$K$203)/$K158)))</f>
        <v>0</v>
      </c>
      <c r="AC158" s="170">
        <f>IF(OR($I158="",$E158=0),0,IF(OR($J158&lt;AC$3,$I158&gt;AC$2),0,IF($K158=0,IF(AND($I158&gt;=AC$3,$I158&lt;=AC$2),$E158,0),$E158*NETWORKDAYS(MAX($I158,AC$3),MIN($J158,AC$2),Data!$K$4:$K$203)/$K158)))</f>
        <v>0</v>
      </c>
      <c r="AD158" s="170">
        <f>IF(OR($I158="",$E158=0),0,IF(OR($J158&lt;AD$3,$I158&gt;AD$2),0,IF($K158=0,IF(AND($I158&gt;=AD$3,$I158&lt;=AD$2),$E158,0),$E158*NETWORKDAYS(MAX($I158,AD$3),MIN($J158,AD$2),Data!$K$4:$K$203)/$K158)))</f>
        <v>0</v>
      </c>
      <c r="AE158" s="170">
        <f>IF(OR($I158="",$E158=0),0,IF(OR($J158&lt;AE$3,$I158&gt;AE$2),0,IF($K158=0,IF(AND($I158&gt;=AE$3,$I158&lt;=AE$2),$E158,0),$E158*NETWORKDAYS(MAX($I158,AE$3),MIN($J158,AE$2),Data!$K$4:$K$203)/$K158)))</f>
        <v>0</v>
      </c>
      <c r="AF158" s="170">
        <f>IF(OR($I158="",$E158=0),0,IF(OR($J158&lt;AF$3,$I158&gt;AF$2),0,IF($K158=0,IF(AND($I158&gt;=AF$3,$I158&lt;=AF$2),$E158,0),$E158*NETWORKDAYS(MAX($I158,AF$3),MIN($J158,AF$2),Data!$K$4:$K$203)/$K158)))</f>
        <v>0</v>
      </c>
      <c r="AG158" s="170">
        <f>IF(OR($I158="",$E158=0),0,IF(OR($J158&lt;AG$3,$I158&gt;AG$2),0,IF($K158=0,IF(AND($I158&gt;=AG$3,$I158&lt;=AG$2),$E158,0),$E158*NETWORKDAYS(MAX($I158,AG$3),MIN($J158,AG$2),Data!$K$4:$K$203)/$K158)))</f>
        <v>0</v>
      </c>
      <c r="AH158" s="170">
        <f>IF(OR($I158="",$E158=0),0,IF(OR($J158&lt;AH$3,$I158&gt;AH$2),0,IF($K158=0,IF(AND($I158&gt;=AH$3,$I158&lt;=AH$2),$E158,0),$E158*NETWORKDAYS(MAX($I158,AH$3),MIN($J158,AH$2),Data!$K$4:$K$203)/$K158)))</f>
        <v>0</v>
      </c>
      <c r="AI158" s="170">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70"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4" t="str">
        <f>IF(EO158=1,IF(FH158&gt;0,FI158/FH158,AVERAGEIF($FF$4:$FF$503,EN158,$C$4:$C$503)),"")</f>
        <v/>
      </c>
      <c r="EV158" s="169">
        <f>IF(ISNUMBER(I158),I158,2958465)</f>
        <v>2958465.0</v>
      </c>
      <c r="EW158" s="169" t="str">
        <f>IF(EO158=1,SUMPRODUCT(MIN(($EN$4:$EN$503=EN158)*$EV$4:$EV$503+($EN$4:$EN$503&lt;&gt;EN158)*2958465)),"")</f>
        <v/>
      </c>
      <c r="EX158" s="169">
        <f>IF(AND(D158=1,ISNUMBER(INDEX(Charge!$F:$F,ROW()))),INDEX(Charge!$F:$F,ROW()),0)</f>
        <v>0.0</v>
      </c>
      <c r="EY158" s="169"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c r="FF158" t="str">
        <f>IF(B158=1,LEFT(SUBSTITUTE(SUBSTITUTE(SUBSTITUTE(TRIM(SUBSTITUTE(INDEX(Charge!$B:$B,ROW()),CHAR(160)," "))&amp;" | "&amp;TRIM(SUBSTITUTE(INDEX(Charge!$C:$C,ROW()),CHAR(160)," "))&amp;" | "&amp;TRIM(SUBSTITUTE(INDEX(Charge!$D:$D,ROW()),CHAR(160)," ")),"~","-"),"*","+"),"?","!"),240),"")</f>
        <v/>
      </c>
      <c r="FG158">
        <f>IF(B158=1,MAX(0,N(INDEX(Charge!$M:$M,ROW()))),0)</f>
        <v>0</v>
      </c>
      <c r="FH158" s="170" t="str">
        <f>IF(EO158=1,ROUND(SUMIF($FF$4:$FF$503,EN158,$FG$4:$FG$503),2),"")</f>
        <v/>
      </c>
      <c r="FI158" s="170" t="str">
        <f>IF(EO158=1,ROUND(SUMPRODUCT(($FF$4:$FF$503=EN158)*$FG$4:$FG$503*$C$4:$C$503),2),"")</f>
        <v/>
      </c>
      <c r="FJ158" s="170" t="str">
        <f>IF(EO158=1,MAX(0,ROUND(FH158-FI158,2)),"")</f>
        <v/>
      </c>
      <c r="FK158" s="174" t="str">
        <f>IF(EO158=1,IF(OR(EW158&gt;=2958465,EY158=0,EY158&lt;=EW158),"",IF(TODAY()&lt;=EW158,0,IF(TODAY()&gt;EY158,1,IFERROR(NETWORKDAYS(EW158,TODAY()-1,Data!$K$4:$K$203)/NETWORKDAYS(EW158,EY158,Data!$K$4:$K$203),"")))),"")</f>
        <v/>
      </c>
      <c r="FL158" t="str">
        <f>IF(EO158=1,IF(AND(EY158&gt;0,EY158&lt;TODAY(),ROUND(EU158,4)&lt;1),2,IF(FK158="",0,IF(ROUND(EU158-FK158,4)&lt;-0.15,1,0))),"")</f>
        <v/>
      </c>
      <c r="FM158">
        <f>IF(OR(FA158="",COUNTIF($FA$4:FA157,FA158)&gt;0),0,MAX(0,IF(FB158="Interne",IF(ISNUMBER(INDEX(Data!$F:$F,158)),INDEX(Data!$F:$F,158),p_HeuresETP),IF(ISNUMBER(INDEX(Data!$I:$I,158-$CD$23)),INDEX(Data!$I:$I,158-$CD$23),p_HeuresETP))-IF(FB158="Interne",IF(ISNUMBER(INDEX(Data!$G:$G,158)),INDEX(Data!$G:$G,158),p_ChargeFixe),IF(ISNUMBER(INDEX(Data!$J:$J,158-$CD$23)),INDEX(Data!$J:$J,158-$CD$23),p_ChargeFixe))))</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9" t="str">
        <f>IF(AND(D159=1,ISNUMBER(INDEX(Charge!$N:$N,ROW()))),INDEX(Charge!$N:$N,ROW()),"")</f>
        <v/>
      </c>
      <c r="J159" s="169"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70">
        <f>IF(OR($I159="",$E159=0),0,IF(OR($J159&lt;W$3,$I159&gt;W$2),0,IF($K159=0,IF(AND($I159&gt;=W$3,$I159&lt;=W$2),$E159,0),$E159*NETWORKDAYS(MAX($I159,W$3),MIN($J159,W$2),Data!$K$4:$K$203)/$K159)))</f>
        <v>0</v>
      </c>
      <c r="X159" s="170">
        <f>IF(OR($I159="",$E159=0),0,IF(OR($J159&lt;X$3,$I159&gt;X$2),0,IF($K159=0,IF(AND($I159&gt;=X$3,$I159&lt;=X$2),$E159,0),$E159*NETWORKDAYS(MAX($I159,X$3),MIN($J159,X$2),Data!$K$4:$K$203)/$K159)))</f>
        <v>0</v>
      </c>
      <c r="Y159" s="170">
        <f>IF(OR($I159="",$E159=0),0,IF(OR($J159&lt;Y$3,$I159&gt;Y$2),0,IF($K159=0,IF(AND($I159&gt;=Y$3,$I159&lt;=Y$2),$E159,0),$E159*NETWORKDAYS(MAX($I159,Y$3),MIN($J159,Y$2),Data!$K$4:$K$203)/$K159)))</f>
        <v>0</v>
      </c>
      <c r="Z159" s="170">
        <f>IF(OR($I159="",$E159=0),0,IF(OR($J159&lt;Z$3,$I159&gt;Z$2),0,IF($K159=0,IF(AND($I159&gt;=Z$3,$I159&lt;=Z$2),$E159,0),$E159*NETWORKDAYS(MAX($I159,Z$3),MIN($J159,Z$2),Data!$K$4:$K$203)/$K159)))</f>
        <v>0</v>
      </c>
      <c r="AA159" s="170">
        <f>IF(OR($I159="",$E159=0),0,IF(OR($J159&lt;AA$3,$I159&gt;AA$2),0,IF($K159=0,IF(AND($I159&gt;=AA$3,$I159&lt;=AA$2),$E159,0),$E159*NETWORKDAYS(MAX($I159,AA$3),MIN($J159,AA$2),Data!$K$4:$K$203)/$K159)))</f>
        <v>0</v>
      </c>
      <c r="AB159" s="170">
        <f>IF(OR($I159="",$E159=0),0,IF(OR($J159&lt;AB$3,$I159&gt;AB$2),0,IF($K159=0,IF(AND($I159&gt;=AB$3,$I159&lt;=AB$2),$E159,0),$E159*NETWORKDAYS(MAX($I159,AB$3),MIN($J159,AB$2),Data!$K$4:$K$203)/$K159)))</f>
        <v>0</v>
      </c>
      <c r="AC159" s="170">
        <f>IF(OR($I159="",$E159=0),0,IF(OR($J159&lt;AC$3,$I159&gt;AC$2),0,IF($K159=0,IF(AND($I159&gt;=AC$3,$I159&lt;=AC$2),$E159,0),$E159*NETWORKDAYS(MAX($I159,AC$3),MIN($J159,AC$2),Data!$K$4:$K$203)/$K159)))</f>
        <v>0</v>
      </c>
      <c r="AD159" s="170">
        <f>IF(OR($I159="",$E159=0),0,IF(OR($J159&lt;AD$3,$I159&gt;AD$2),0,IF($K159=0,IF(AND($I159&gt;=AD$3,$I159&lt;=AD$2),$E159,0),$E159*NETWORKDAYS(MAX($I159,AD$3),MIN($J159,AD$2),Data!$K$4:$K$203)/$K159)))</f>
        <v>0</v>
      </c>
      <c r="AE159" s="170">
        <f>IF(OR($I159="",$E159=0),0,IF(OR($J159&lt;AE$3,$I159&gt;AE$2),0,IF($K159=0,IF(AND($I159&gt;=AE$3,$I159&lt;=AE$2),$E159,0),$E159*NETWORKDAYS(MAX($I159,AE$3),MIN($J159,AE$2),Data!$K$4:$K$203)/$K159)))</f>
        <v>0</v>
      </c>
      <c r="AF159" s="170">
        <f>IF(OR($I159="",$E159=0),0,IF(OR($J159&lt;AF$3,$I159&gt;AF$2),0,IF($K159=0,IF(AND($I159&gt;=AF$3,$I159&lt;=AF$2),$E159,0),$E159*NETWORKDAYS(MAX($I159,AF$3),MIN($J159,AF$2),Data!$K$4:$K$203)/$K159)))</f>
        <v>0</v>
      </c>
      <c r="AG159" s="170">
        <f>IF(OR($I159="",$E159=0),0,IF(OR($J159&lt;AG$3,$I159&gt;AG$2),0,IF($K159=0,IF(AND($I159&gt;=AG$3,$I159&lt;=AG$2),$E159,0),$E159*NETWORKDAYS(MAX($I159,AG$3),MIN($J159,AG$2),Data!$K$4:$K$203)/$K159)))</f>
        <v>0</v>
      </c>
      <c r="AH159" s="170">
        <f>IF(OR($I159="",$E159=0),0,IF(OR($J159&lt;AH$3,$I159&gt;AH$2),0,IF($K159=0,IF(AND($I159&gt;=AH$3,$I159&lt;=AH$2),$E159,0),$E159*NETWORKDAYS(MAX($I159,AH$3),MIN($J159,AH$2),Data!$K$4:$K$203)/$K159)))</f>
        <v>0</v>
      </c>
      <c r="AI159" s="170">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70"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4" t="str">
        <f>IF(EO159=1,IF(FH159&gt;0,FI159/FH159,AVERAGEIF($FF$4:$FF$503,EN159,$C$4:$C$503)),"")</f>
        <v/>
      </c>
      <c r="EV159" s="169">
        <f>IF(ISNUMBER(I159),I159,2958465)</f>
        <v>2958465.0</v>
      </c>
      <c r="EW159" s="169" t="str">
        <f>IF(EO159=1,SUMPRODUCT(MIN(($EN$4:$EN$503=EN159)*$EV$4:$EV$503+($EN$4:$EN$503&lt;&gt;EN159)*2958465)),"")</f>
        <v/>
      </c>
      <c r="EX159" s="169">
        <f>IF(AND(D159=1,ISNUMBER(INDEX(Charge!$F:$F,ROW()))),INDEX(Charge!$F:$F,ROW()),0)</f>
        <v>0.0</v>
      </c>
      <c r="EY159" s="169"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c r="FF159" t="str">
        <f>IF(B159=1,LEFT(SUBSTITUTE(SUBSTITUTE(SUBSTITUTE(TRIM(SUBSTITUTE(INDEX(Charge!$B:$B,ROW()),CHAR(160)," "))&amp;" | "&amp;TRIM(SUBSTITUTE(INDEX(Charge!$C:$C,ROW()),CHAR(160)," "))&amp;" | "&amp;TRIM(SUBSTITUTE(INDEX(Charge!$D:$D,ROW()),CHAR(160)," ")),"~","-"),"*","+"),"?","!"),240),"")</f>
        <v/>
      </c>
      <c r="FG159">
        <f>IF(B159=1,MAX(0,N(INDEX(Charge!$M:$M,ROW()))),0)</f>
        <v>0</v>
      </c>
      <c r="FH159" s="170" t="str">
        <f>IF(EO159=1,ROUND(SUMIF($FF$4:$FF$503,EN159,$FG$4:$FG$503),2),"")</f>
        <v/>
      </c>
      <c r="FI159" s="170" t="str">
        <f>IF(EO159=1,ROUND(SUMPRODUCT(($FF$4:$FF$503=EN159)*$FG$4:$FG$503*$C$4:$C$503),2),"")</f>
        <v/>
      </c>
      <c r="FJ159" s="170" t="str">
        <f>IF(EO159=1,MAX(0,ROUND(FH159-FI159,2)),"")</f>
        <v/>
      </c>
      <c r="FK159" s="174" t="str">
        <f>IF(EO159=1,IF(OR(EW159&gt;=2958465,EY159=0,EY159&lt;=EW159),"",IF(TODAY()&lt;=EW159,0,IF(TODAY()&gt;EY159,1,IFERROR(NETWORKDAYS(EW159,TODAY()-1,Data!$K$4:$K$203)/NETWORKDAYS(EW159,EY159,Data!$K$4:$K$203),"")))),"")</f>
        <v/>
      </c>
      <c r="FL159" t="str">
        <f>IF(EO159=1,IF(AND(EY159&gt;0,EY159&lt;TODAY(),ROUND(EU159,4)&lt;1),2,IF(FK159="",0,IF(ROUND(EU159-FK159,4)&lt;-0.15,1,0))),"")</f>
        <v/>
      </c>
      <c r="FM159">
        <f>IF(OR(FA159="",COUNTIF($FA$4:FA158,FA159)&gt;0),0,MAX(0,IF(FB159="Interne",IF(ISNUMBER(INDEX(Data!$F:$F,159)),INDEX(Data!$F:$F,159),p_HeuresETP),IF(ISNUMBER(INDEX(Data!$I:$I,159-$CD$23)),INDEX(Data!$I:$I,159-$CD$23),p_HeuresETP))-IF(FB159="Interne",IF(ISNUMBER(INDEX(Data!$G:$G,159)),INDEX(Data!$G:$G,159),p_ChargeFixe),IF(ISNUMBER(INDEX(Data!$J:$J,159-$CD$23)),INDEX(Data!$J:$J,159-$CD$23),p_ChargeFixe))))</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9" t="str">
        <f>IF(AND(D160=1,ISNUMBER(INDEX(Charge!$N:$N,ROW()))),INDEX(Charge!$N:$N,ROW()),"")</f>
        <v/>
      </c>
      <c r="J160" s="169"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70">
        <f>IF(OR($I160="",$E160=0),0,IF(OR($J160&lt;W$3,$I160&gt;W$2),0,IF($K160=0,IF(AND($I160&gt;=W$3,$I160&lt;=W$2),$E160,0),$E160*NETWORKDAYS(MAX($I160,W$3),MIN($J160,W$2),Data!$K$4:$K$203)/$K160)))</f>
        <v>0</v>
      </c>
      <c r="X160" s="170">
        <f>IF(OR($I160="",$E160=0),0,IF(OR($J160&lt;X$3,$I160&gt;X$2),0,IF($K160=0,IF(AND($I160&gt;=X$3,$I160&lt;=X$2),$E160,0),$E160*NETWORKDAYS(MAX($I160,X$3),MIN($J160,X$2),Data!$K$4:$K$203)/$K160)))</f>
        <v>0</v>
      </c>
      <c r="Y160" s="170">
        <f>IF(OR($I160="",$E160=0),0,IF(OR($J160&lt;Y$3,$I160&gt;Y$2),0,IF($K160=0,IF(AND($I160&gt;=Y$3,$I160&lt;=Y$2),$E160,0),$E160*NETWORKDAYS(MAX($I160,Y$3),MIN($J160,Y$2),Data!$K$4:$K$203)/$K160)))</f>
        <v>0</v>
      </c>
      <c r="Z160" s="170">
        <f>IF(OR($I160="",$E160=0),0,IF(OR($J160&lt;Z$3,$I160&gt;Z$2),0,IF($K160=0,IF(AND($I160&gt;=Z$3,$I160&lt;=Z$2),$E160,0),$E160*NETWORKDAYS(MAX($I160,Z$3),MIN($J160,Z$2),Data!$K$4:$K$203)/$K160)))</f>
        <v>0</v>
      </c>
      <c r="AA160" s="170">
        <f>IF(OR($I160="",$E160=0),0,IF(OR($J160&lt;AA$3,$I160&gt;AA$2),0,IF($K160=0,IF(AND($I160&gt;=AA$3,$I160&lt;=AA$2),$E160,0),$E160*NETWORKDAYS(MAX($I160,AA$3),MIN($J160,AA$2),Data!$K$4:$K$203)/$K160)))</f>
        <v>0</v>
      </c>
      <c r="AB160" s="170">
        <f>IF(OR($I160="",$E160=0),0,IF(OR($J160&lt;AB$3,$I160&gt;AB$2),0,IF($K160=0,IF(AND($I160&gt;=AB$3,$I160&lt;=AB$2),$E160,0),$E160*NETWORKDAYS(MAX($I160,AB$3),MIN($J160,AB$2),Data!$K$4:$K$203)/$K160)))</f>
        <v>0</v>
      </c>
      <c r="AC160" s="170">
        <f>IF(OR($I160="",$E160=0),0,IF(OR($J160&lt;AC$3,$I160&gt;AC$2),0,IF($K160=0,IF(AND($I160&gt;=AC$3,$I160&lt;=AC$2),$E160,0),$E160*NETWORKDAYS(MAX($I160,AC$3),MIN($J160,AC$2),Data!$K$4:$K$203)/$K160)))</f>
        <v>0</v>
      </c>
      <c r="AD160" s="170">
        <f>IF(OR($I160="",$E160=0),0,IF(OR($J160&lt;AD$3,$I160&gt;AD$2),0,IF($K160=0,IF(AND($I160&gt;=AD$3,$I160&lt;=AD$2),$E160,0),$E160*NETWORKDAYS(MAX($I160,AD$3),MIN($J160,AD$2),Data!$K$4:$K$203)/$K160)))</f>
        <v>0</v>
      </c>
      <c r="AE160" s="170">
        <f>IF(OR($I160="",$E160=0),0,IF(OR($J160&lt;AE$3,$I160&gt;AE$2),0,IF($K160=0,IF(AND($I160&gt;=AE$3,$I160&lt;=AE$2),$E160,0),$E160*NETWORKDAYS(MAX($I160,AE$3),MIN($J160,AE$2),Data!$K$4:$K$203)/$K160)))</f>
        <v>0</v>
      </c>
      <c r="AF160" s="170">
        <f>IF(OR($I160="",$E160=0),0,IF(OR($J160&lt;AF$3,$I160&gt;AF$2),0,IF($K160=0,IF(AND($I160&gt;=AF$3,$I160&lt;=AF$2),$E160,0),$E160*NETWORKDAYS(MAX($I160,AF$3),MIN($J160,AF$2),Data!$K$4:$K$203)/$K160)))</f>
        <v>0</v>
      </c>
      <c r="AG160" s="170">
        <f>IF(OR($I160="",$E160=0),0,IF(OR($J160&lt;AG$3,$I160&gt;AG$2),0,IF($K160=0,IF(AND($I160&gt;=AG$3,$I160&lt;=AG$2),$E160,0),$E160*NETWORKDAYS(MAX($I160,AG$3),MIN($J160,AG$2),Data!$K$4:$K$203)/$K160)))</f>
        <v>0</v>
      </c>
      <c r="AH160" s="170">
        <f>IF(OR($I160="",$E160=0),0,IF(OR($J160&lt;AH$3,$I160&gt;AH$2),0,IF($K160=0,IF(AND($I160&gt;=AH$3,$I160&lt;=AH$2),$E160,0),$E160*NETWORKDAYS(MAX($I160,AH$3),MIN($J160,AH$2),Data!$K$4:$K$203)/$K160)))</f>
        <v>0</v>
      </c>
      <c r="AI160" s="170">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70"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4" t="str">
        <f>IF(EO160=1,IF(FH160&gt;0,FI160/FH160,AVERAGEIF($FF$4:$FF$503,EN160,$C$4:$C$503)),"")</f>
        <v/>
      </c>
      <c r="EV160" s="169">
        <f>IF(ISNUMBER(I160),I160,2958465)</f>
        <v>2958465.0</v>
      </c>
      <c r="EW160" s="169" t="str">
        <f>IF(EO160=1,SUMPRODUCT(MIN(($EN$4:$EN$503=EN160)*$EV$4:$EV$503+($EN$4:$EN$503&lt;&gt;EN160)*2958465)),"")</f>
        <v/>
      </c>
      <c r="EX160" s="169">
        <f>IF(AND(D160=1,ISNUMBER(INDEX(Charge!$F:$F,ROW()))),INDEX(Charge!$F:$F,ROW()),0)</f>
        <v>0.0</v>
      </c>
      <c r="EY160" s="169"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c r="FF160" t="str">
        <f>IF(B160=1,LEFT(SUBSTITUTE(SUBSTITUTE(SUBSTITUTE(TRIM(SUBSTITUTE(INDEX(Charge!$B:$B,ROW()),CHAR(160)," "))&amp;" | "&amp;TRIM(SUBSTITUTE(INDEX(Charge!$C:$C,ROW()),CHAR(160)," "))&amp;" | "&amp;TRIM(SUBSTITUTE(INDEX(Charge!$D:$D,ROW()),CHAR(160)," ")),"~","-"),"*","+"),"?","!"),240),"")</f>
        <v/>
      </c>
      <c r="FG160">
        <f>IF(B160=1,MAX(0,N(INDEX(Charge!$M:$M,ROW()))),0)</f>
        <v>0</v>
      </c>
      <c r="FH160" s="170" t="str">
        <f>IF(EO160=1,ROUND(SUMIF($FF$4:$FF$503,EN160,$FG$4:$FG$503),2),"")</f>
        <v/>
      </c>
      <c r="FI160" s="170" t="str">
        <f>IF(EO160=1,ROUND(SUMPRODUCT(($FF$4:$FF$503=EN160)*$FG$4:$FG$503*$C$4:$C$503),2),"")</f>
        <v/>
      </c>
      <c r="FJ160" s="170" t="str">
        <f>IF(EO160=1,MAX(0,ROUND(FH160-FI160,2)),"")</f>
        <v/>
      </c>
      <c r="FK160" s="174" t="str">
        <f>IF(EO160=1,IF(OR(EW160&gt;=2958465,EY160=0,EY160&lt;=EW160),"",IF(TODAY()&lt;=EW160,0,IF(TODAY()&gt;EY160,1,IFERROR(NETWORKDAYS(EW160,TODAY()-1,Data!$K$4:$K$203)/NETWORKDAYS(EW160,EY160,Data!$K$4:$K$203),"")))),"")</f>
        <v/>
      </c>
      <c r="FL160" t="str">
        <f>IF(EO160=1,IF(AND(EY160&gt;0,EY160&lt;TODAY(),ROUND(EU160,4)&lt;1),2,IF(FK160="",0,IF(ROUND(EU160-FK160,4)&lt;-0.15,1,0))),"")</f>
        <v/>
      </c>
      <c r="FM160">
        <f>IF(OR(FA160="",COUNTIF($FA$4:FA159,FA160)&gt;0),0,MAX(0,IF(FB160="Interne",IF(ISNUMBER(INDEX(Data!$F:$F,160)),INDEX(Data!$F:$F,160),p_HeuresETP),IF(ISNUMBER(INDEX(Data!$I:$I,160-$CD$23)),INDEX(Data!$I:$I,160-$CD$23),p_HeuresETP))-IF(FB160="Interne",IF(ISNUMBER(INDEX(Data!$G:$G,160)),INDEX(Data!$G:$G,160),p_ChargeFixe),IF(ISNUMBER(INDEX(Data!$J:$J,160-$CD$23)),INDEX(Data!$J:$J,160-$CD$23),p_ChargeFixe))))</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9" t="str">
        <f>IF(AND(D161=1,ISNUMBER(INDEX(Charge!$N:$N,ROW()))),INDEX(Charge!$N:$N,ROW()),"")</f>
        <v/>
      </c>
      <c r="J161" s="169"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70">
        <f>IF(OR($I161="",$E161=0),0,IF(OR($J161&lt;W$3,$I161&gt;W$2),0,IF($K161=0,IF(AND($I161&gt;=W$3,$I161&lt;=W$2),$E161,0),$E161*NETWORKDAYS(MAX($I161,W$3),MIN($J161,W$2),Data!$K$4:$K$203)/$K161)))</f>
        <v>0</v>
      </c>
      <c r="X161" s="170">
        <f>IF(OR($I161="",$E161=0),0,IF(OR($J161&lt;X$3,$I161&gt;X$2),0,IF($K161=0,IF(AND($I161&gt;=X$3,$I161&lt;=X$2),$E161,0),$E161*NETWORKDAYS(MAX($I161,X$3),MIN($J161,X$2),Data!$K$4:$K$203)/$K161)))</f>
        <v>0</v>
      </c>
      <c r="Y161" s="170">
        <f>IF(OR($I161="",$E161=0),0,IF(OR($J161&lt;Y$3,$I161&gt;Y$2),0,IF($K161=0,IF(AND($I161&gt;=Y$3,$I161&lt;=Y$2),$E161,0),$E161*NETWORKDAYS(MAX($I161,Y$3),MIN($J161,Y$2),Data!$K$4:$K$203)/$K161)))</f>
        <v>0</v>
      </c>
      <c r="Z161" s="170">
        <f>IF(OR($I161="",$E161=0),0,IF(OR($J161&lt;Z$3,$I161&gt;Z$2),0,IF($K161=0,IF(AND($I161&gt;=Z$3,$I161&lt;=Z$2),$E161,0),$E161*NETWORKDAYS(MAX($I161,Z$3),MIN($J161,Z$2),Data!$K$4:$K$203)/$K161)))</f>
        <v>0</v>
      </c>
      <c r="AA161" s="170">
        <f>IF(OR($I161="",$E161=0),0,IF(OR($J161&lt;AA$3,$I161&gt;AA$2),0,IF($K161=0,IF(AND($I161&gt;=AA$3,$I161&lt;=AA$2),$E161,0),$E161*NETWORKDAYS(MAX($I161,AA$3),MIN($J161,AA$2),Data!$K$4:$K$203)/$K161)))</f>
        <v>0</v>
      </c>
      <c r="AB161" s="170">
        <f>IF(OR($I161="",$E161=0),0,IF(OR($J161&lt;AB$3,$I161&gt;AB$2),0,IF($K161=0,IF(AND($I161&gt;=AB$3,$I161&lt;=AB$2),$E161,0),$E161*NETWORKDAYS(MAX($I161,AB$3),MIN($J161,AB$2),Data!$K$4:$K$203)/$K161)))</f>
        <v>0</v>
      </c>
      <c r="AC161" s="170">
        <f>IF(OR($I161="",$E161=0),0,IF(OR($J161&lt;AC$3,$I161&gt;AC$2),0,IF($K161=0,IF(AND($I161&gt;=AC$3,$I161&lt;=AC$2),$E161,0),$E161*NETWORKDAYS(MAX($I161,AC$3),MIN($J161,AC$2),Data!$K$4:$K$203)/$K161)))</f>
        <v>0</v>
      </c>
      <c r="AD161" s="170">
        <f>IF(OR($I161="",$E161=0),0,IF(OR($J161&lt;AD$3,$I161&gt;AD$2),0,IF($K161=0,IF(AND($I161&gt;=AD$3,$I161&lt;=AD$2),$E161,0),$E161*NETWORKDAYS(MAX($I161,AD$3),MIN($J161,AD$2),Data!$K$4:$K$203)/$K161)))</f>
        <v>0</v>
      </c>
      <c r="AE161" s="170">
        <f>IF(OR($I161="",$E161=0),0,IF(OR($J161&lt;AE$3,$I161&gt;AE$2),0,IF($K161=0,IF(AND($I161&gt;=AE$3,$I161&lt;=AE$2),$E161,0),$E161*NETWORKDAYS(MAX($I161,AE$3),MIN($J161,AE$2),Data!$K$4:$K$203)/$K161)))</f>
        <v>0</v>
      </c>
      <c r="AF161" s="170">
        <f>IF(OR($I161="",$E161=0),0,IF(OR($J161&lt;AF$3,$I161&gt;AF$2),0,IF($K161=0,IF(AND($I161&gt;=AF$3,$I161&lt;=AF$2),$E161,0),$E161*NETWORKDAYS(MAX($I161,AF$3),MIN($J161,AF$2),Data!$K$4:$K$203)/$K161)))</f>
        <v>0</v>
      </c>
      <c r="AG161" s="170">
        <f>IF(OR($I161="",$E161=0),0,IF(OR($J161&lt;AG$3,$I161&gt;AG$2),0,IF($K161=0,IF(AND($I161&gt;=AG$3,$I161&lt;=AG$2),$E161,0),$E161*NETWORKDAYS(MAX($I161,AG$3),MIN($J161,AG$2),Data!$K$4:$K$203)/$K161)))</f>
        <v>0</v>
      </c>
      <c r="AH161" s="170">
        <f>IF(OR($I161="",$E161=0),0,IF(OR($J161&lt;AH$3,$I161&gt;AH$2),0,IF($K161=0,IF(AND($I161&gt;=AH$3,$I161&lt;=AH$2),$E161,0),$E161*NETWORKDAYS(MAX($I161,AH$3),MIN($J161,AH$2),Data!$K$4:$K$203)/$K161)))</f>
        <v>0</v>
      </c>
      <c r="AI161" s="170">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70"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4" t="str">
        <f>IF(EO161=1,IF(FH161&gt;0,FI161/FH161,AVERAGEIF($FF$4:$FF$503,EN161,$C$4:$C$503)),"")</f>
        <v/>
      </c>
      <c r="EV161" s="169">
        <f>IF(ISNUMBER(I161),I161,2958465)</f>
        <v>2958465.0</v>
      </c>
      <c r="EW161" s="169" t="str">
        <f>IF(EO161=1,SUMPRODUCT(MIN(($EN$4:$EN$503=EN161)*$EV$4:$EV$503+($EN$4:$EN$503&lt;&gt;EN161)*2958465)),"")</f>
        <v/>
      </c>
      <c r="EX161" s="169">
        <f>IF(AND(D161=1,ISNUMBER(INDEX(Charge!$F:$F,ROW()))),INDEX(Charge!$F:$F,ROW()),0)</f>
        <v>0.0</v>
      </c>
      <c r="EY161" s="169"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c r="FF161" t="str">
        <f>IF(B161=1,LEFT(SUBSTITUTE(SUBSTITUTE(SUBSTITUTE(TRIM(SUBSTITUTE(INDEX(Charge!$B:$B,ROW()),CHAR(160)," "))&amp;" | "&amp;TRIM(SUBSTITUTE(INDEX(Charge!$C:$C,ROW()),CHAR(160)," "))&amp;" | "&amp;TRIM(SUBSTITUTE(INDEX(Charge!$D:$D,ROW()),CHAR(160)," ")),"~","-"),"*","+"),"?","!"),240),"")</f>
        <v/>
      </c>
      <c r="FG161">
        <f>IF(B161=1,MAX(0,N(INDEX(Charge!$M:$M,ROW()))),0)</f>
        <v>0</v>
      </c>
      <c r="FH161" s="170" t="str">
        <f>IF(EO161=1,ROUND(SUMIF($FF$4:$FF$503,EN161,$FG$4:$FG$503),2),"")</f>
        <v/>
      </c>
      <c r="FI161" s="170" t="str">
        <f>IF(EO161=1,ROUND(SUMPRODUCT(($FF$4:$FF$503=EN161)*$FG$4:$FG$503*$C$4:$C$503),2),"")</f>
        <v/>
      </c>
      <c r="FJ161" s="170" t="str">
        <f>IF(EO161=1,MAX(0,ROUND(FH161-FI161,2)),"")</f>
        <v/>
      </c>
      <c r="FK161" s="174" t="str">
        <f>IF(EO161=1,IF(OR(EW161&gt;=2958465,EY161=0,EY161&lt;=EW161),"",IF(TODAY()&lt;=EW161,0,IF(TODAY()&gt;EY161,1,IFERROR(NETWORKDAYS(EW161,TODAY()-1,Data!$K$4:$K$203)/NETWORKDAYS(EW161,EY161,Data!$K$4:$K$203),"")))),"")</f>
        <v/>
      </c>
      <c r="FL161" t="str">
        <f>IF(EO161=1,IF(AND(EY161&gt;0,EY161&lt;TODAY(),ROUND(EU161,4)&lt;1),2,IF(FK161="",0,IF(ROUND(EU161-FK161,4)&lt;-0.15,1,0))),"")</f>
        <v/>
      </c>
      <c r="FM161">
        <f>IF(OR(FA161="",COUNTIF($FA$4:FA160,FA161)&gt;0),0,MAX(0,IF(FB161="Interne",IF(ISNUMBER(INDEX(Data!$F:$F,161)),INDEX(Data!$F:$F,161),p_HeuresETP),IF(ISNUMBER(INDEX(Data!$I:$I,161-$CD$23)),INDEX(Data!$I:$I,161-$CD$23),p_HeuresETP))-IF(FB161="Interne",IF(ISNUMBER(INDEX(Data!$G:$G,161)),INDEX(Data!$G:$G,161),p_ChargeFixe),IF(ISNUMBER(INDEX(Data!$J:$J,161-$CD$23)),INDEX(Data!$J:$J,161-$CD$23),p_ChargeFixe))))</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9" t="str">
        <f>IF(AND(D162=1,ISNUMBER(INDEX(Charge!$N:$N,ROW()))),INDEX(Charge!$N:$N,ROW()),"")</f>
        <v/>
      </c>
      <c r="J162" s="169"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70">
        <f>IF(OR($I162="",$E162=0),0,IF(OR($J162&lt;W$3,$I162&gt;W$2),0,IF($K162=0,IF(AND($I162&gt;=W$3,$I162&lt;=W$2),$E162,0),$E162*NETWORKDAYS(MAX($I162,W$3),MIN($J162,W$2),Data!$K$4:$K$203)/$K162)))</f>
        <v>0</v>
      </c>
      <c r="X162" s="170">
        <f>IF(OR($I162="",$E162=0),0,IF(OR($J162&lt;X$3,$I162&gt;X$2),0,IF($K162=0,IF(AND($I162&gt;=X$3,$I162&lt;=X$2),$E162,0),$E162*NETWORKDAYS(MAX($I162,X$3),MIN($J162,X$2),Data!$K$4:$K$203)/$K162)))</f>
        <v>0</v>
      </c>
      <c r="Y162" s="170">
        <f>IF(OR($I162="",$E162=0),0,IF(OR($J162&lt;Y$3,$I162&gt;Y$2),0,IF($K162=0,IF(AND($I162&gt;=Y$3,$I162&lt;=Y$2),$E162,0),$E162*NETWORKDAYS(MAX($I162,Y$3),MIN($J162,Y$2),Data!$K$4:$K$203)/$K162)))</f>
        <v>0</v>
      </c>
      <c r="Z162" s="170">
        <f>IF(OR($I162="",$E162=0),0,IF(OR($J162&lt;Z$3,$I162&gt;Z$2),0,IF($K162=0,IF(AND($I162&gt;=Z$3,$I162&lt;=Z$2),$E162,0),$E162*NETWORKDAYS(MAX($I162,Z$3),MIN($J162,Z$2),Data!$K$4:$K$203)/$K162)))</f>
        <v>0</v>
      </c>
      <c r="AA162" s="170">
        <f>IF(OR($I162="",$E162=0),0,IF(OR($J162&lt;AA$3,$I162&gt;AA$2),0,IF($K162=0,IF(AND($I162&gt;=AA$3,$I162&lt;=AA$2),$E162,0),$E162*NETWORKDAYS(MAX($I162,AA$3),MIN($J162,AA$2),Data!$K$4:$K$203)/$K162)))</f>
        <v>0</v>
      </c>
      <c r="AB162" s="170">
        <f>IF(OR($I162="",$E162=0),0,IF(OR($J162&lt;AB$3,$I162&gt;AB$2),0,IF($K162=0,IF(AND($I162&gt;=AB$3,$I162&lt;=AB$2),$E162,0),$E162*NETWORKDAYS(MAX($I162,AB$3),MIN($J162,AB$2),Data!$K$4:$K$203)/$K162)))</f>
        <v>0</v>
      </c>
      <c r="AC162" s="170">
        <f>IF(OR($I162="",$E162=0),0,IF(OR($J162&lt;AC$3,$I162&gt;AC$2),0,IF($K162=0,IF(AND($I162&gt;=AC$3,$I162&lt;=AC$2),$E162,0),$E162*NETWORKDAYS(MAX($I162,AC$3),MIN($J162,AC$2),Data!$K$4:$K$203)/$K162)))</f>
        <v>0</v>
      </c>
      <c r="AD162" s="170">
        <f>IF(OR($I162="",$E162=0),0,IF(OR($J162&lt;AD$3,$I162&gt;AD$2),0,IF($K162=0,IF(AND($I162&gt;=AD$3,$I162&lt;=AD$2),$E162,0),$E162*NETWORKDAYS(MAX($I162,AD$3),MIN($J162,AD$2),Data!$K$4:$K$203)/$K162)))</f>
        <v>0</v>
      </c>
      <c r="AE162" s="170">
        <f>IF(OR($I162="",$E162=0),0,IF(OR($J162&lt;AE$3,$I162&gt;AE$2),0,IF($K162=0,IF(AND($I162&gt;=AE$3,$I162&lt;=AE$2),$E162,0),$E162*NETWORKDAYS(MAX($I162,AE$3),MIN($J162,AE$2),Data!$K$4:$K$203)/$K162)))</f>
        <v>0</v>
      </c>
      <c r="AF162" s="170">
        <f>IF(OR($I162="",$E162=0),0,IF(OR($J162&lt;AF$3,$I162&gt;AF$2),0,IF($K162=0,IF(AND($I162&gt;=AF$3,$I162&lt;=AF$2),$E162,0),$E162*NETWORKDAYS(MAX($I162,AF$3),MIN($J162,AF$2),Data!$K$4:$K$203)/$K162)))</f>
        <v>0</v>
      </c>
      <c r="AG162" s="170">
        <f>IF(OR($I162="",$E162=0),0,IF(OR($J162&lt;AG$3,$I162&gt;AG$2),0,IF($K162=0,IF(AND($I162&gt;=AG$3,$I162&lt;=AG$2),$E162,0),$E162*NETWORKDAYS(MAX($I162,AG$3),MIN($J162,AG$2),Data!$K$4:$K$203)/$K162)))</f>
        <v>0</v>
      </c>
      <c r="AH162" s="170">
        <f>IF(OR($I162="",$E162=0),0,IF(OR($J162&lt;AH$3,$I162&gt;AH$2),0,IF($K162=0,IF(AND($I162&gt;=AH$3,$I162&lt;=AH$2),$E162,0),$E162*NETWORKDAYS(MAX($I162,AH$3),MIN($J162,AH$2),Data!$K$4:$K$203)/$K162)))</f>
        <v>0</v>
      </c>
      <c r="AI162" s="170">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70"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4" t="str">
        <f>IF(EO162=1,IF(FH162&gt;0,FI162/FH162,AVERAGEIF($FF$4:$FF$503,EN162,$C$4:$C$503)),"")</f>
        <v/>
      </c>
      <c r="EV162" s="169">
        <f>IF(ISNUMBER(I162),I162,2958465)</f>
        <v>2958465.0</v>
      </c>
      <c r="EW162" s="169" t="str">
        <f>IF(EO162=1,SUMPRODUCT(MIN(($EN$4:$EN$503=EN162)*$EV$4:$EV$503+($EN$4:$EN$503&lt;&gt;EN162)*2958465)),"")</f>
        <v/>
      </c>
      <c r="EX162" s="169">
        <f>IF(AND(D162=1,ISNUMBER(INDEX(Charge!$F:$F,ROW()))),INDEX(Charge!$F:$F,ROW()),0)</f>
        <v>0.0</v>
      </c>
      <c r="EY162" s="169"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c r="FF162" t="str">
        <f>IF(B162=1,LEFT(SUBSTITUTE(SUBSTITUTE(SUBSTITUTE(TRIM(SUBSTITUTE(INDEX(Charge!$B:$B,ROW()),CHAR(160)," "))&amp;" | "&amp;TRIM(SUBSTITUTE(INDEX(Charge!$C:$C,ROW()),CHAR(160)," "))&amp;" | "&amp;TRIM(SUBSTITUTE(INDEX(Charge!$D:$D,ROW()),CHAR(160)," ")),"~","-"),"*","+"),"?","!"),240),"")</f>
        <v/>
      </c>
      <c r="FG162">
        <f>IF(B162=1,MAX(0,N(INDEX(Charge!$M:$M,ROW()))),0)</f>
        <v>0</v>
      </c>
      <c r="FH162" s="170" t="str">
        <f>IF(EO162=1,ROUND(SUMIF($FF$4:$FF$503,EN162,$FG$4:$FG$503),2),"")</f>
        <v/>
      </c>
      <c r="FI162" s="170" t="str">
        <f>IF(EO162=1,ROUND(SUMPRODUCT(($FF$4:$FF$503=EN162)*$FG$4:$FG$503*$C$4:$C$503),2),"")</f>
        <v/>
      </c>
      <c r="FJ162" s="170" t="str">
        <f>IF(EO162=1,MAX(0,ROUND(FH162-FI162,2)),"")</f>
        <v/>
      </c>
      <c r="FK162" s="174" t="str">
        <f>IF(EO162=1,IF(OR(EW162&gt;=2958465,EY162=0,EY162&lt;=EW162),"",IF(TODAY()&lt;=EW162,0,IF(TODAY()&gt;EY162,1,IFERROR(NETWORKDAYS(EW162,TODAY()-1,Data!$K$4:$K$203)/NETWORKDAYS(EW162,EY162,Data!$K$4:$K$203),"")))),"")</f>
        <v/>
      </c>
      <c r="FL162" t="str">
        <f>IF(EO162=1,IF(AND(EY162&gt;0,EY162&lt;TODAY(),ROUND(EU162,4)&lt;1),2,IF(FK162="",0,IF(ROUND(EU162-FK162,4)&lt;-0.15,1,0))),"")</f>
        <v/>
      </c>
      <c r="FM162">
        <f>IF(OR(FA162="",COUNTIF($FA$4:FA161,FA162)&gt;0),0,MAX(0,IF(FB162="Interne",IF(ISNUMBER(INDEX(Data!$F:$F,162)),INDEX(Data!$F:$F,162),p_HeuresETP),IF(ISNUMBER(INDEX(Data!$I:$I,162-$CD$23)),INDEX(Data!$I:$I,162-$CD$23),p_HeuresETP))-IF(FB162="Interne",IF(ISNUMBER(INDEX(Data!$G:$G,162)),INDEX(Data!$G:$G,162),p_ChargeFixe),IF(ISNUMBER(INDEX(Data!$J:$J,162-$CD$23)),INDEX(Data!$J:$J,162-$CD$23),p_ChargeFixe))))</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9" t="str">
        <f>IF(AND(D163=1,ISNUMBER(INDEX(Charge!$N:$N,ROW()))),INDEX(Charge!$N:$N,ROW()),"")</f>
        <v/>
      </c>
      <c r="J163" s="169"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70">
        <f>IF(OR($I163="",$E163=0),0,IF(OR($J163&lt;W$3,$I163&gt;W$2),0,IF($K163=0,IF(AND($I163&gt;=W$3,$I163&lt;=W$2),$E163,0),$E163*NETWORKDAYS(MAX($I163,W$3),MIN($J163,W$2),Data!$K$4:$K$203)/$K163)))</f>
        <v>0</v>
      </c>
      <c r="X163" s="170">
        <f>IF(OR($I163="",$E163=0),0,IF(OR($J163&lt;X$3,$I163&gt;X$2),0,IF($K163=0,IF(AND($I163&gt;=X$3,$I163&lt;=X$2),$E163,0),$E163*NETWORKDAYS(MAX($I163,X$3),MIN($J163,X$2),Data!$K$4:$K$203)/$K163)))</f>
        <v>0</v>
      </c>
      <c r="Y163" s="170">
        <f>IF(OR($I163="",$E163=0),0,IF(OR($J163&lt;Y$3,$I163&gt;Y$2),0,IF($K163=0,IF(AND($I163&gt;=Y$3,$I163&lt;=Y$2),$E163,0),$E163*NETWORKDAYS(MAX($I163,Y$3),MIN($J163,Y$2),Data!$K$4:$K$203)/$K163)))</f>
        <v>0</v>
      </c>
      <c r="Z163" s="170">
        <f>IF(OR($I163="",$E163=0),0,IF(OR($J163&lt;Z$3,$I163&gt;Z$2),0,IF($K163=0,IF(AND($I163&gt;=Z$3,$I163&lt;=Z$2),$E163,0),$E163*NETWORKDAYS(MAX($I163,Z$3),MIN($J163,Z$2),Data!$K$4:$K$203)/$K163)))</f>
        <v>0</v>
      </c>
      <c r="AA163" s="170">
        <f>IF(OR($I163="",$E163=0),0,IF(OR($J163&lt;AA$3,$I163&gt;AA$2),0,IF($K163=0,IF(AND($I163&gt;=AA$3,$I163&lt;=AA$2),$E163,0),$E163*NETWORKDAYS(MAX($I163,AA$3),MIN($J163,AA$2),Data!$K$4:$K$203)/$K163)))</f>
        <v>0</v>
      </c>
      <c r="AB163" s="170">
        <f>IF(OR($I163="",$E163=0),0,IF(OR($J163&lt;AB$3,$I163&gt;AB$2),0,IF($K163=0,IF(AND($I163&gt;=AB$3,$I163&lt;=AB$2),$E163,0),$E163*NETWORKDAYS(MAX($I163,AB$3),MIN($J163,AB$2),Data!$K$4:$K$203)/$K163)))</f>
        <v>0</v>
      </c>
      <c r="AC163" s="170">
        <f>IF(OR($I163="",$E163=0),0,IF(OR($J163&lt;AC$3,$I163&gt;AC$2),0,IF($K163=0,IF(AND($I163&gt;=AC$3,$I163&lt;=AC$2),$E163,0),$E163*NETWORKDAYS(MAX($I163,AC$3),MIN($J163,AC$2),Data!$K$4:$K$203)/$K163)))</f>
        <v>0</v>
      </c>
      <c r="AD163" s="170">
        <f>IF(OR($I163="",$E163=0),0,IF(OR($J163&lt;AD$3,$I163&gt;AD$2),0,IF($K163=0,IF(AND($I163&gt;=AD$3,$I163&lt;=AD$2),$E163,0),$E163*NETWORKDAYS(MAX($I163,AD$3),MIN($J163,AD$2),Data!$K$4:$K$203)/$K163)))</f>
        <v>0</v>
      </c>
      <c r="AE163" s="170">
        <f>IF(OR($I163="",$E163=0),0,IF(OR($J163&lt;AE$3,$I163&gt;AE$2),0,IF($K163=0,IF(AND($I163&gt;=AE$3,$I163&lt;=AE$2),$E163,0),$E163*NETWORKDAYS(MAX($I163,AE$3),MIN($J163,AE$2),Data!$K$4:$K$203)/$K163)))</f>
        <v>0</v>
      </c>
      <c r="AF163" s="170">
        <f>IF(OR($I163="",$E163=0),0,IF(OR($J163&lt;AF$3,$I163&gt;AF$2),0,IF($K163=0,IF(AND($I163&gt;=AF$3,$I163&lt;=AF$2),$E163,0),$E163*NETWORKDAYS(MAX($I163,AF$3),MIN($J163,AF$2),Data!$K$4:$K$203)/$K163)))</f>
        <v>0</v>
      </c>
      <c r="AG163" s="170">
        <f>IF(OR($I163="",$E163=0),0,IF(OR($J163&lt;AG$3,$I163&gt;AG$2),0,IF($K163=0,IF(AND($I163&gt;=AG$3,$I163&lt;=AG$2),$E163,0),$E163*NETWORKDAYS(MAX($I163,AG$3),MIN($J163,AG$2),Data!$K$4:$K$203)/$K163)))</f>
        <v>0</v>
      </c>
      <c r="AH163" s="170">
        <f>IF(OR($I163="",$E163=0),0,IF(OR($J163&lt;AH$3,$I163&gt;AH$2),0,IF($K163=0,IF(AND($I163&gt;=AH$3,$I163&lt;=AH$2),$E163,0),$E163*NETWORKDAYS(MAX($I163,AH$3),MIN($J163,AH$2),Data!$K$4:$K$203)/$K163)))</f>
        <v>0</v>
      </c>
      <c r="AI163" s="170">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70"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4" t="str">
        <f>IF(EO163=1,IF(FH163&gt;0,FI163/FH163,AVERAGEIF($FF$4:$FF$503,EN163,$C$4:$C$503)),"")</f>
        <v/>
      </c>
      <c r="EV163" s="169">
        <f>IF(ISNUMBER(I163),I163,2958465)</f>
        <v>2958465.0</v>
      </c>
      <c r="EW163" s="169" t="str">
        <f>IF(EO163=1,SUMPRODUCT(MIN(($EN$4:$EN$503=EN163)*$EV$4:$EV$503+($EN$4:$EN$503&lt;&gt;EN163)*2958465)),"")</f>
        <v/>
      </c>
      <c r="EX163" s="169">
        <f>IF(AND(D163=1,ISNUMBER(INDEX(Charge!$F:$F,ROW()))),INDEX(Charge!$F:$F,ROW()),0)</f>
        <v>0.0</v>
      </c>
      <c r="EY163" s="169"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c r="FF163" t="str">
        <f>IF(B163=1,LEFT(SUBSTITUTE(SUBSTITUTE(SUBSTITUTE(TRIM(SUBSTITUTE(INDEX(Charge!$B:$B,ROW()),CHAR(160)," "))&amp;" | "&amp;TRIM(SUBSTITUTE(INDEX(Charge!$C:$C,ROW()),CHAR(160)," "))&amp;" | "&amp;TRIM(SUBSTITUTE(INDEX(Charge!$D:$D,ROW()),CHAR(160)," ")),"~","-"),"*","+"),"?","!"),240),"")</f>
        <v/>
      </c>
      <c r="FG163">
        <f>IF(B163=1,MAX(0,N(INDEX(Charge!$M:$M,ROW()))),0)</f>
        <v>0</v>
      </c>
      <c r="FH163" s="170" t="str">
        <f>IF(EO163=1,ROUND(SUMIF($FF$4:$FF$503,EN163,$FG$4:$FG$503),2),"")</f>
        <v/>
      </c>
      <c r="FI163" s="170" t="str">
        <f>IF(EO163=1,ROUND(SUMPRODUCT(($FF$4:$FF$503=EN163)*$FG$4:$FG$503*$C$4:$C$503),2),"")</f>
        <v/>
      </c>
      <c r="FJ163" s="170" t="str">
        <f>IF(EO163=1,MAX(0,ROUND(FH163-FI163,2)),"")</f>
        <v/>
      </c>
      <c r="FK163" s="174" t="str">
        <f>IF(EO163=1,IF(OR(EW163&gt;=2958465,EY163=0,EY163&lt;=EW163),"",IF(TODAY()&lt;=EW163,0,IF(TODAY()&gt;EY163,1,IFERROR(NETWORKDAYS(EW163,TODAY()-1,Data!$K$4:$K$203)/NETWORKDAYS(EW163,EY163,Data!$K$4:$K$203),"")))),"")</f>
        <v/>
      </c>
      <c r="FL163" t="str">
        <f>IF(EO163=1,IF(AND(EY163&gt;0,EY163&lt;TODAY(),ROUND(EU163,4)&lt;1),2,IF(FK163="",0,IF(ROUND(EU163-FK163,4)&lt;-0.15,1,0))),"")</f>
        <v/>
      </c>
      <c r="FM163">
        <f>IF(OR(FA163="",COUNTIF($FA$4:FA162,FA163)&gt;0),0,MAX(0,IF(FB163="Interne",IF(ISNUMBER(INDEX(Data!$F:$F,163)),INDEX(Data!$F:$F,163),p_HeuresETP),IF(ISNUMBER(INDEX(Data!$I:$I,163-$CD$23)),INDEX(Data!$I:$I,163-$CD$23),p_HeuresETP))-IF(FB163="Interne",IF(ISNUMBER(INDEX(Data!$G:$G,163)),INDEX(Data!$G:$G,163),p_ChargeFixe),IF(ISNUMBER(INDEX(Data!$J:$J,163-$CD$23)),INDEX(Data!$J:$J,163-$CD$23),p_ChargeFixe))))</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9" t="str">
        <f>IF(AND(D164=1,ISNUMBER(INDEX(Charge!$N:$N,ROW()))),INDEX(Charge!$N:$N,ROW()),"")</f>
        <v/>
      </c>
      <c r="J164" s="169"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70">
        <f>IF(OR($I164="",$E164=0),0,IF(OR($J164&lt;W$3,$I164&gt;W$2),0,IF($K164=0,IF(AND($I164&gt;=W$3,$I164&lt;=W$2),$E164,0),$E164*NETWORKDAYS(MAX($I164,W$3),MIN($J164,W$2),Data!$K$4:$K$203)/$K164)))</f>
        <v>0</v>
      </c>
      <c r="X164" s="170">
        <f>IF(OR($I164="",$E164=0),0,IF(OR($J164&lt;X$3,$I164&gt;X$2),0,IF($K164=0,IF(AND($I164&gt;=X$3,$I164&lt;=X$2),$E164,0),$E164*NETWORKDAYS(MAX($I164,X$3),MIN($J164,X$2),Data!$K$4:$K$203)/$K164)))</f>
        <v>0</v>
      </c>
      <c r="Y164" s="170">
        <f>IF(OR($I164="",$E164=0),0,IF(OR($J164&lt;Y$3,$I164&gt;Y$2),0,IF($K164=0,IF(AND($I164&gt;=Y$3,$I164&lt;=Y$2),$E164,0),$E164*NETWORKDAYS(MAX($I164,Y$3),MIN($J164,Y$2),Data!$K$4:$K$203)/$K164)))</f>
        <v>0</v>
      </c>
      <c r="Z164" s="170">
        <f>IF(OR($I164="",$E164=0),0,IF(OR($J164&lt;Z$3,$I164&gt;Z$2),0,IF($K164=0,IF(AND($I164&gt;=Z$3,$I164&lt;=Z$2),$E164,0),$E164*NETWORKDAYS(MAX($I164,Z$3),MIN($J164,Z$2),Data!$K$4:$K$203)/$K164)))</f>
        <v>0</v>
      </c>
      <c r="AA164" s="170">
        <f>IF(OR($I164="",$E164=0),0,IF(OR($J164&lt;AA$3,$I164&gt;AA$2),0,IF($K164=0,IF(AND($I164&gt;=AA$3,$I164&lt;=AA$2),$E164,0),$E164*NETWORKDAYS(MAX($I164,AA$3),MIN($J164,AA$2),Data!$K$4:$K$203)/$K164)))</f>
        <v>0</v>
      </c>
      <c r="AB164" s="170">
        <f>IF(OR($I164="",$E164=0),0,IF(OR($J164&lt;AB$3,$I164&gt;AB$2),0,IF($K164=0,IF(AND($I164&gt;=AB$3,$I164&lt;=AB$2),$E164,0),$E164*NETWORKDAYS(MAX($I164,AB$3),MIN($J164,AB$2),Data!$K$4:$K$203)/$K164)))</f>
        <v>0</v>
      </c>
      <c r="AC164" s="170">
        <f>IF(OR($I164="",$E164=0),0,IF(OR($J164&lt;AC$3,$I164&gt;AC$2),0,IF($K164=0,IF(AND($I164&gt;=AC$3,$I164&lt;=AC$2),$E164,0),$E164*NETWORKDAYS(MAX($I164,AC$3),MIN($J164,AC$2),Data!$K$4:$K$203)/$K164)))</f>
        <v>0</v>
      </c>
      <c r="AD164" s="170">
        <f>IF(OR($I164="",$E164=0),0,IF(OR($J164&lt;AD$3,$I164&gt;AD$2),0,IF($K164=0,IF(AND($I164&gt;=AD$3,$I164&lt;=AD$2),$E164,0),$E164*NETWORKDAYS(MAX($I164,AD$3),MIN($J164,AD$2),Data!$K$4:$K$203)/$K164)))</f>
        <v>0</v>
      </c>
      <c r="AE164" s="170">
        <f>IF(OR($I164="",$E164=0),0,IF(OR($J164&lt;AE$3,$I164&gt;AE$2),0,IF($K164=0,IF(AND($I164&gt;=AE$3,$I164&lt;=AE$2),$E164,0),$E164*NETWORKDAYS(MAX($I164,AE$3),MIN($J164,AE$2),Data!$K$4:$K$203)/$K164)))</f>
        <v>0</v>
      </c>
      <c r="AF164" s="170">
        <f>IF(OR($I164="",$E164=0),0,IF(OR($J164&lt;AF$3,$I164&gt;AF$2),0,IF($K164=0,IF(AND($I164&gt;=AF$3,$I164&lt;=AF$2),$E164,0),$E164*NETWORKDAYS(MAX($I164,AF$3),MIN($J164,AF$2),Data!$K$4:$K$203)/$K164)))</f>
        <v>0</v>
      </c>
      <c r="AG164" s="170">
        <f>IF(OR($I164="",$E164=0),0,IF(OR($J164&lt;AG$3,$I164&gt;AG$2),0,IF($K164=0,IF(AND($I164&gt;=AG$3,$I164&lt;=AG$2),$E164,0),$E164*NETWORKDAYS(MAX($I164,AG$3),MIN($J164,AG$2),Data!$K$4:$K$203)/$K164)))</f>
        <v>0</v>
      </c>
      <c r="AH164" s="170">
        <f>IF(OR($I164="",$E164=0),0,IF(OR($J164&lt;AH$3,$I164&gt;AH$2),0,IF($K164=0,IF(AND($I164&gt;=AH$3,$I164&lt;=AH$2),$E164,0),$E164*NETWORKDAYS(MAX($I164,AH$3),MIN($J164,AH$2),Data!$K$4:$K$203)/$K164)))</f>
        <v>0</v>
      </c>
      <c r="AI164" s="170">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70"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4" t="str">
        <f>IF(EO164=1,IF(FH164&gt;0,FI164/FH164,AVERAGEIF($FF$4:$FF$503,EN164,$C$4:$C$503)),"")</f>
        <v/>
      </c>
      <c r="EV164" s="169">
        <f>IF(ISNUMBER(I164),I164,2958465)</f>
        <v>2958465.0</v>
      </c>
      <c r="EW164" s="169" t="str">
        <f>IF(EO164=1,SUMPRODUCT(MIN(($EN$4:$EN$503=EN164)*$EV$4:$EV$503+($EN$4:$EN$503&lt;&gt;EN164)*2958465)),"")</f>
        <v/>
      </c>
      <c r="EX164" s="169">
        <f>IF(AND(D164=1,ISNUMBER(INDEX(Charge!$F:$F,ROW()))),INDEX(Charge!$F:$F,ROW()),0)</f>
        <v>0.0</v>
      </c>
      <c r="EY164" s="169"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c r="FF164" t="str">
        <f>IF(B164=1,LEFT(SUBSTITUTE(SUBSTITUTE(SUBSTITUTE(TRIM(SUBSTITUTE(INDEX(Charge!$B:$B,ROW()),CHAR(160)," "))&amp;" | "&amp;TRIM(SUBSTITUTE(INDEX(Charge!$C:$C,ROW()),CHAR(160)," "))&amp;" | "&amp;TRIM(SUBSTITUTE(INDEX(Charge!$D:$D,ROW()),CHAR(160)," ")),"~","-"),"*","+"),"?","!"),240),"")</f>
        <v/>
      </c>
      <c r="FG164">
        <f>IF(B164=1,MAX(0,N(INDEX(Charge!$M:$M,ROW()))),0)</f>
        <v>0</v>
      </c>
      <c r="FH164" s="170" t="str">
        <f>IF(EO164=1,ROUND(SUMIF($FF$4:$FF$503,EN164,$FG$4:$FG$503),2),"")</f>
        <v/>
      </c>
      <c r="FI164" s="170" t="str">
        <f>IF(EO164=1,ROUND(SUMPRODUCT(($FF$4:$FF$503=EN164)*$FG$4:$FG$503*$C$4:$C$503),2),"")</f>
        <v/>
      </c>
      <c r="FJ164" s="170" t="str">
        <f>IF(EO164=1,MAX(0,ROUND(FH164-FI164,2)),"")</f>
        <v/>
      </c>
      <c r="FK164" s="174" t="str">
        <f>IF(EO164=1,IF(OR(EW164&gt;=2958465,EY164=0,EY164&lt;=EW164),"",IF(TODAY()&lt;=EW164,0,IF(TODAY()&gt;EY164,1,IFERROR(NETWORKDAYS(EW164,TODAY()-1,Data!$K$4:$K$203)/NETWORKDAYS(EW164,EY164,Data!$K$4:$K$203),"")))),"")</f>
        <v/>
      </c>
      <c r="FL164" t="str">
        <f>IF(EO164=1,IF(AND(EY164&gt;0,EY164&lt;TODAY(),ROUND(EU164,4)&lt;1),2,IF(FK164="",0,IF(ROUND(EU164-FK164,4)&lt;-0.15,1,0))),"")</f>
        <v/>
      </c>
      <c r="FM164">
        <f>IF(OR(FA164="",COUNTIF($FA$4:FA163,FA164)&gt;0),0,MAX(0,IF(FB164="Interne",IF(ISNUMBER(INDEX(Data!$F:$F,164)),INDEX(Data!$F:$F,164),p_HeuresETP),IF(ISNUMBER(INDEX(Data!$I:$I,164-$CD$23)),INDEX(Data!$I:$I,164-$CD$23),p_HeuresETP))-IF(FB164="Interne",IF(ISNUMBER(INDEX(Data!$G:$G,164)),INDEX(Data!$G:$G,164),p_ChargeFixe),IF(ISNUMBER(INDEX(Data!$J:$J,164-$CD$23)),INDEX(Data!$J:$J,164-$CD$23),p_ChargeFixe))))</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9" t="str">
        <f>IF(AND(D165=1,ISNUMBER(INDEX(Charge!$N:$N,ROW()))),INDEX(Charge!$N:$N,ROW()),"")</f>
        <v/>
      </c>
      <c r="J165" s="169"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70">
        <f>IF(OR($I165="",$E165=0),0,IF(OR($J165&lt;W$3,$I165&gt;W$2),0,IF($K165=0,IF(AND($I165&gt;=W$3,$I165&lt;=W$2),$E165,0),$E165*NETWORKDAYS(MAX($I165,W$3),MIN($J165,W$2),Data!$K$4:$K$203)/$K165)))</f>
        <v>0</v>
      </c>
      <c r="X165" s="170">
        <f>IF(OR($I165="",$E165=0),0,IF(OR($J165&lt;X$3,$I165&gt;X$2),0,IF($K165=0,IF(AND($I165&gt;=X$3,$I165&lt;=X$2),$E165,0),$E165*NETWORKDAYS(MAX($I165,X$3),MIN($J165,X$2),Data!$K$4:$K$203)/$K165)))</f>
        <v>0</v>
      </c>
      <c r="Y165" s="170">
        <f>IF(OR($I165="",$E165=0),0,IF(OR($J165&lt;Y$3,$I165&gt;Y$2),0,IF($K165=0,IF(AND($I165&gt;=Y$3,$I165&lt;=Y$2),$E165,0),$E165*NETWORKDAYS(MAX($I165,Y$3),MIN($J165,Y$2),Data!$K$4:$K$203)/$K165)))</f>
        <v>0</v>
      </c>
      <c r="Z165" s="170">
        <f>IF(OR($I165="",$E165=0),0,IF(OR($J165&lt;Z$3,$I165&gt;Z$2),0,IF($K165=0,IF(AND($I165&gt;=Z$3,$I165&lt;=Z$2),$E165,0),$E165*NETWORKDAYS(MAX($I165,Z$3),MIN($J165,Z$2),Data!$K$4:$K$203)/$K165)))</f>
        <v>0</v>
      </c>
      <c r="AA165" s="170">
        <f>IF(OR($I165="",$E165=0),0,IF(OR($J165&lt;AA$3,$I165&gt;AA$2),0,IF($K165=0,IF(AND($I165&gt;=AA$3,$I165&lt;=AA$2),$E165,0),$E165*NETWORKDAYS(MAX($I165,AA$3),MIN($J165,AA$2),Data!$K$4:$K$203)/$K165)))</f>
        <v>0</v>
      </c>
      <c r="AB165" s="170">
        <f>IF(OR($I165="",$E165=0),0,IF(OR($J165&lt;AB$3,$I165&gt;AB$2),0,IF($K165=0,IF(AND($I165&gt;=AB$3,$I165&lt;=AB$2),$E165,0),$E165*NETWORKDAYS(MAX($I165,AB$3),MIN($J165,AB$2),Data!$K$4:$K$203)/$K165)))</f>
        <v>0</v>
      </c>
      <c r="AC165" s="170">
        <f>IF(OR($I165="",$E165=0),0,IF(OR($J165&lt;AC$3,$I165&gt;AC$2),0,IF($K165=0,IF(AND($I165&gt;=AC$3,$I165&lt;=AC$2),$E165,0),$E165*NETWORKDAYS(MAX($I165,AC$3),MIN($J165,AC$2),Data!$K$4:$K$203)/$K165)))</f>
        <v>0</v>
      </c>
      <c r="AD165" s="170">
        <f>IF(OR($I165="",$E165=0),0,IF(OR($J165&lt;AD$3,$I165&gt;AD$2),0,IF($K165=0,IF(AND($I165&gt;=AD$3,$I165&lt;=AD$2),$E165,0),$E165*NETWORKDAYS(MAX($I165,AD$3),MIN($J165,AD$2),Data!$K$4:$K$203)/$K165)))</f>
        <v>0</v>
      </c>
      <c r="AE165" s="170">
        <f>IF(OR($I165="",$E165=0),0,IF(OR($J165&lt;AE$3,$I165&gt;AE$2),0,IF($K165=0,IF(AND($I165&gt;=AE$3,$I165&lt;=AE$2),$E165,0),$E165*NETWORKDAYS(MAX($I165,AE$3),MIN($J165,AE$2),Data!$K$4:$K$203)/$K165)))</f>
        <v>0</v>
      </c>
      <c r="AF165" s="170">
        <f>IF(OR($I165="",$E165=0),0,IF(OR($J165&lt;AF$3,$I165&gt;AF$2),0,IF($K165=0,IF(AND($I165&gt;=AF$3,$I165&lt;=AF$2),$E165,0),$E165*NETWORKDAYS(MAX($I165,AF$3),MIN($J165,AF$2),Data!$K$4:$K$203)/$K165)))</f>
        <v>0</v>
      </c>
      <c r="AG165" s="170">
        <f>IF(OR($I165="",$E165=0),0,IF(OR($J165&lt;AG$3,$I165&gt;AG$2),0,IF($K165=0,IF(AND($I165&gt;=AG$3,$I165&lt;=AG$2),$E165,0),$E165*NETWORKDAYS(MAX($I165,AG$3),MIN($J165,AG$2),Data!$K$4:$K$203)/$K165)))</f>
        <v>0</v>
      </c>
      <c r="AH165" s="170">
        <f>IF(OR($I165="",$E165=0),0,IF(OR($J165&lt;AH$3,$I165&gt;AH$2),0,IF($K165=0,IF(AND($I165&gt;=AH$3,$I165&lt;=AH$2),$E165,0),$E165*NETWORKDAYS(MAX($I165,AH$3),MIN($J165,AH$2),Data!$K$4:$K$203)/$K165)))</f>
        <v>0</v>
      </c>
      <c r="AI165" s="170">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70"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4" t="str">
        <f>IF(EO165=1,IF(FH165&gt;0,FI165/FH165,AVERAGEIF($FF$4:$FF$503,EN165,$C$4:$C$503)),"")</f>
        <v/>
      </c>
      <c r="EV165" s="169">
        <f>IF(ISNUMBER(I165),I165,2958465)</f>
        <v>2958465.0</v>
      </c>
      <c r="EW165" s="169" t="str">
        <f>IF(EO165=1,SUMPRODUCT(MIN(($EN$4:$EN$503=EN165)*$EV$4:$EV$503+($EN$4:$EN$503&lt;&gt;EN165)*2958465)),"")</f>
        <v/>
      </c>
      <c r="EX165" s="169">
        <f>IF(AND(D165=1,ISNUMBER(INDEX(Charge!$F:$F,ROW()))),INDEX(Charge!$F:$F,ROW()),0)</f>
        <v>0.0</v>
      </c>
      <c r="EY165" s="169"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c r="FF165" t="str">
        <f>IF(B165=1,LEFT(SUBSTITUTE(SUBSTITUTE(SUBSTITUTE(TRIM(SUBSTITUTE(INDEX(Charge!$B:$B,ROW()),CHAR(160)," "))&amp;" | "&amp;TRIM(SUBSTITUTE(INDEX(Charge!$C:$C,ROW()),CHAR(160)," "))&amp;" | "&amp;TRIM(SUBSTITUTE(INDEX(Charge!$D:$D,ROW()),CHAR(160)," ")),"~","-"),"*","+"),"?","!"),240),"")</f>
        <v/>
      </c>
      <c r="FG165">
        <f>IF(B165=1,MAX(0,N(INDEX(Charge!$M:$M,ROW()))),0)</f>
        <v>0</v>
      </c>
      <c r="FH165" s="170" t="str">
        <f>IF(EO165=1,ROUND(SUMIF($FF$4:$FF$503,EN165,$FG$4:$FG$503),2),"")</f>
        <v/>
      </c>
      <c r="FI165" s="170" t="str">
        <f>IF(EO165=1,ROUND(SUMPRODUCT(($FF$4:$FF$503=EN165)*$FG$4:$FG$503*$C$4:$C$503),2),"")</f>
        <v/>
      </c>
      <c r="FJ165" s="170" t="str">
        <f>IF(EO165=1,MAX(0,ROUND(FH165-FI165,2)),"")</f>
        <v/>
      </c>
      <c r="FK165" s="174" t="str">
        <f>IF(EO165=1,IF(OR(EW165&gt;=2958465,EY165=0,EY165&lt;=EW165),"",IF(TODAY()&lt;=EW165,0,IF(TODAY()&gt;EY165,1,IFERROR(NETWORKDAYS(EW165,TODAY()-1,Data!$K$4:$K$203)/NETWORKDAYS(EW165,EY165,Data!$K$4:$K$203),"")))),"")</f>
        <v/>
      </c>
      <c r="FL165" t="str">
        <f>IF(EO165=1,IF(AND(EY165&gt;0,EY165&lt;TODAY(),ROUND(EU165,4)&lt;1),2,IF(FK165="",0,IF(ROUND(EU165-FK165,4)&lt;-0.15,1,0))),"")</f>
        <v/>
      </c>
      <c r="FM165">
        <f>IF(OR(FA165="",COUNTIF($FA$4:FA164,FA165)&gt;0),0,MAX(0,IF(FB165="Interne",IF(ISNUMBER(INDEX(Data!$F:$F,165)),INDEX(Data!$F:$F,165),p_HeuresETP),IF(ISNUMBER(INDEX(Data!$I:$I,165-$CD$23)),INDEX(Data!$I:$I,165-$CD$23),p_HeuresETP))-IF(FB165="Interne",IF(ISNUMBER(INDEX(Data!$G:$G,165)),INDEX(Data!$G:$G,165),p_ChargeFixe),IF(ISNUMBER(INDEX(Data!$J:$J,165-$CD$23)),INDEX(Data!$J:$J,165-$CD$23),p_ChargeFixe))))</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9" t="str">
        <f>IF(AND(D166=1,ISNUMBER(INDEX(Charge!$N:$N,ROW()))),INDEX(Charge!$N:$N,ROW()),"")</f>
        <v/>
      </c>
      <c r="J166" s="169"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70">
        <f>IF(OR($I166="",$E166=0),0,IF(OR($J166&lt;W$3,$I166&gt;W$2),0,IF($K166=0,IF(AND($I166&gt;=W$3,$I166&lt;=W$2),$E166,0),$E166*NETWORKDAYS(MAX($I166,W$3),MIN($J166,W$2),Data!$K$4:$K$203)/$K166)))</f>
        <v>0</v>
      </c>
      <c r="X166" s="170">
        <f>IF(OR($I166="",$E166=0),0,IF(OR($J166&lt;X$3,$I166&gt;X$2),0,IF($K166=0,IF(AND($I166&gt;=X$3,$I166&lt;=X$2),$E166,0),$E166*NETWORKDAYS(MAX($I166,X$3),MIN($J166,X$2),Data!$K$4:$K$203)/$K166)))</f>
        <v>0</v>
      </c>
      <c r="Y166" s="170">
        <f>IF(OR($I166="",$E166=0),0,IF(OR($J166&lt;Y$3,$I166&gt;Y$2),0,IF($K166=0,IF(AND($I166&gt;=Y$3,$I166&lt;=Y$2),$E166,0),$E166*NETWORKDAYS(MAX($I166,Y$3),MIN($J166,Y$2),Data!$K$4:$K$203)/$K166)))</f>
        <v>0</v>
      </c>
      <c r="Z166" s="170">
        <f>IF(OR($I166="",$E166=0),0,IF(OR($J166&lt;Z$3,$I166&gt;Z$2),0,IF($K166=0,IF(AND($I166&gt;=Z$3,$I166&lt;=Z$2),$E166,0),$E166*NETWORKDAYS(MAX($I166,Z$3),MIN($J166,Z$2),Data!$K$4:$K$203)/$K166)))</f>
        <v>0</v>
      </c>
      <c r="AA166" s="170">
        <f>IF(OR($I166="",$E166=0),0,IF(OR($J166&lt;AA$3,$I166&gt;AA$2),0,IF($K166=0,IF(AND($I166&gt;=AA$3,$I166&lt;=AA$2),$E166,0),$E166*NETWORKDAYS(MAX($I166,AA$3),MIN($J166,AA$2),Data!$K$4:$K$203)/$K166)))</f>
        <v>0</v>
      </c>
      <c r="AB166" s="170">
        <f>IF(OR($I166="",$E166=0),0,IF(OR($J166&lt;AB$3,$I166&gt;AB$2),0,IF($K166=0,IF(AND($I166&gt;=AB$3,$I166&lt;=AB$2),$E166,0),$E166*NETWORKDAYS(MAX($I166,AB$3),MIN($J166,AB$2),Data!$K$4:$K$203)/$K166)))</f>
        <v>0</v>
      </c>
      <c r="AC166" s="170">
        <f>IF(OR($I166="",$E166=0),0,IF(OR($J166&lt;AC$3,$I166&gt;AC$2),0,IF($K166=0,IF(AND($I166&gt;=AC$3,$I166&lt;=AC$2),$E166,0),$E166*NETWORKDAYS(MAX($I166,AC$3),MIN($J166,AC$2),Data!$K$4:$K$203)/$K166)))</f>
        <v>0</v>
      </c>
      <c r="AD166" s="170">
        <f>IF(OR($I166="",$E166=0),0,IF(OR($J166&lt;AD$3,$I166&gt;AD$2),0,IF($K166=0,IF(AND($I166&gt;=AD$3,$I166&lt;=AD$2),$E166,0),$E166*NETWORKDAYS(MAX($I166,AD$3),MIN($J166,AD$2),Data!$K$4:$K$203)/$K166)))</f>
        <v>0</v>
      </c>
      <c r="AE166" s="170">
        <f>IF(OR($I166="",$E166=0),0,IF(OR($J166&lt;AE$3,$I166&gt;AE$2),0,IF($K166=0,IF(AND($I166&gt;=AE$3,$I166&lt;=AE$2),$E166,0),$E166*NETWORKDAYS(MAX($I166,AE$3),MIN($J166,AE$2),Data!$K$4:$K$203)/$K166)))</f>
        <v>0</v>
      </c>
      <c r="AF166" s="170">
        <f>IF(OR($I166="",$E166=0),0,IF(OR($J166&lt;AF$3,$I166&gt;AF$2),0,IF($K166=0,IF(AND($I166&gt;=AF$3,$I166&lt;=AF$2),$E166,0),$E166*NETWORKDAYS(MAX($I166,AF$3),MIN($J166,AF$2),Data!$K$4:$K$203)/$K166)))</f>
        <v>0</v>
      </c>
      <c r="AG166" s="170">
        <f>IF(OR($I166="",$E166=0),0,IF(OR($J166&lt;AG$3,$I166&gt;AG$2),0,IF($K166=0,IF(AND($I166&gt;=AG$3,$I166&lt;=AG$2),$E166,0),$E166*NETWORKDAYS(MAX($I166,AG$3),MIN($J166,AG$2),Data!$K$4:$K$203)/$K166)))</f>
        <v>0</v>
      </c>
      <c r="AH166" s="170">
        <f>IF(OR($I166="",$E166=0),0,IF(OR($J166&lt;AH$3,$I166&gt;AH$2),0,IF($K166=0,IF(AND($I166&gt;=AH$3,$I166&lt;=AH$2),$E166,0),$E166*NETWORKDAYS(MAX($I166,AH$3),MIN($J166,AH$2),Data!$K$4:$K$203)/$K166)))</f>
        <v>0</v>
      </c>
      <c r="AI166" s="170">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70"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4" t="str">
        <f>IF(EO166=1,IF(FH166&gt;0,FI166/FH166,AVERAGEIF($FF$4:$FF$503,EN166,$C$4:$C$503)),"")</f>
        <v/>
      </c>
      <c r="EV166" s="169">
        <f>IF(ISNUMBER(I166),I166,2958465)</f>
        <v>2958465.0</v>
      </c>
      <c r="EW166" s="169" t="str">
        <f>IF(EO166=1,SUMPRODUCT(MIN(($EN$4:$EN$503=EN166)*$EV$4:$EV$503+($EN$4:$EN$503&lt;&gt;EN166)*2958465)),"")</f>
        <v/>
      </c>
      <c r="EX166" s="169">
        <f>IF(AND(D166=1,ISNUMBER(INDEX(Charge!$F:$F,ROW()))),INDEX(Charge!$F:$F,ROW()),0)</f>
        <v>0.0</v>
      </c>
      <c r="EY166" s="169"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c r="FF166" t="str">
        <f>IF(B166=1,LEFT(SUBSTITUTE(SUBSTITUTE(SUBSTITUTE(TRIM(SUBSTITUTE(INDEX(Charge!$B:$B,ROW()),CHAR(160)," "))&amp;" | "&amp;TRIM(SUBSTITUTE(INDEX(Charge!$C:$C,ROW()),CHAR(160)," "))&amp;" | "&amp;TRIM(SUBSTITUTE(INDEX(Charge!$D:$D,ROW()),CHAR(160)," ")),"~","-"),"*","+"),"?","!"),240),"")</f>
        <v/>
      </c>
      <c r="FG166">
        <f>IF(B166=1,MAX(0,N(INDEX(Charge!$M:$M,ROW()))),0)</f>
        <v>0</v>
      </c>
      <c r="FH166" s="170" t="str">
        <f>IF(EO166=1,ROUND(SUMIF($FF$4:$FF$503,EN166,$FG$4:$FG$503),2),"")</f>
        <v/>
      </c>
      <c r="FI166" s="170" t="str">
        <f>IF(EO166=1,ROUND(SUMPRODUCT(($FF$4:$FF$503=EN166)*$FG$4:$FG$503*$C$4:$C$503),2),"")</f>
        <v/>
      </c>
      <c r="FJ166" s="170" t="str">
        <f>IF(EO166=1,MAX(0,ROUND(FH166-FI166,2)),"")</f>
        <v/>
      </c>
      <c r="FK166" s="174" t="str">
        <f>IF(EO166=1,IF(OR(EW166&gt;=2958465,EY166=0,EY166&lt;=EW166),"",IF(TODAY()&lt;=EW166,0,IF(TODAY()&gt;EY166,1,IFERROR(NETWORKDAYS(EW166,TODAY()-1,Data!$K$4:$K$203)/NETWORKDAYS(EW166,EY166,Data!$K$4:$K$203),"")))),"")</f>
        <v/>
      </c>
      <c r="FL166" t="str">
        <f>IF(EO166=1,IF(AND(EY166&gt;0,EY166&lt;TODAY(),ROUND(EU166,4)&lt;1),2,IF(FK166="",0,IF(ROUND(EU166-FK166,4)&lt;-0.15,1,0))),"")</f>
        <v/>
      </c>
      <c r="FM166">
        <f>IF(OR(FA166="",COUNTIF($FA$4:FA165,FA166)&gt;0),0,MAX(0,IF(FB166="Interne",IF(ISNUMBER(INDEX(Data!$F:$F,166)),INDEX(Data!$F:$F,166),p_HeuresETP),IF(ISNUMBER(INDEX(Data!$I:$I,166-$CD$23)),INDEX(Data!$I:$I,166-$CD$23),p_HeuresETP))-IF(FB166="Interne",IF(ISNUMBER(INDEX(Data!$G:$G,166)),INDEX(Data!$G:$G,166),p_ChargeFixe),IF(ISNUMBER(INDEX(Data!$J:$J,166-$CD$23)),INDEX(Data!$J:$J,166-$CD$23),p_ChargeFixe))))</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9" t="str">
        <f>IF(AND(D167=1,ISNUMBER(INDEX(Charge!$N:$N,ROW()))),INDEX(Charge!$N:$N,ROW()),"")</f>
        <v/>
      </c>
      <c r="J167" s="169"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70">
        <f>IF(OR($I167="",$E167=0),0,IF(OR($J167&lt;W$3,$I167&gt;W$2),0,IF($K167=0,IF(AND($I167&gt;=W$3,$I167&lt;=W$2),$E167,0),$E167*NETWORKDAYS(MAX($I167,W$3),MIN($J167,W$2),Data!$K$4:$K$203)/$K167)))</f>
        <v>0</v>
      </c>
      <c r="X167" s="170">
        <f>IF(OR($I167="",$E167=0),0,IF(OR($J167&lt;X$3,$I167&gt;X$2),0,IF($K167=0,IF(AND($I167&gt;=X$3,$I167&lt;=X$2),$E167,0),$E167*NETWORKDAYS(MAX($I167,X$3),MIN($J167,X$2),Data!$K$4:$K$203)/$K167)))</f>
        <v>0</v>
      </c>
      <c r="Y167" s="170">
        <f>IF(OR($I167="",$E167=0),0,IF(OR($J167&lt;Y$3,$I167&gt;Y$2),0,IF($K167=0,IF(AND($I167&gt;=Y$3,$I167&lt;=Y$2),$E167,0),$E167*NETWORKDAYS(MAX($I167,Y$3),MIN($J167,Y$2),Data!$K$4:$K$203)/$K167)))</f>
        <v>0</v>
      </c>
      <c r="Z167" s="170">
        <f>IF(OR($I167="",$E167=0),0,IF(OR($J167&lt;Z$3,$I167&gt;Z$2),0,IF($K167=0,IF(AND($I167&gt;=Z$3,$I167&lt;=Z$2),$E167,0),$E167*NETWORKDAYS(MAX($I167,Z$3),MIN($J167,Z$2),Data!$K$4:$K$203)/$K167)))</f>
        <v>0</v>
      </c>
      <c r="AA167" s="170">
        <f>IF(OR($I167="",$E167=0),0,IF(OR($J167&lt;AA$3,$I167&gt;AA$2),0,IF($K167=0,IF(AND($I167&gt;=AA$3,$I167&lt;=AA$2),$E167,0),$E167*NETWORKDAYS(MAX($I167,AA$3),MIN($J167,AA$2),Data!$K$4:$K$203)/$K167)))</f>
        <v>0</v>
      </c>
      <c r="AB167" s="170">
        <f>IF(OR($I167="",$E167=0),0,IF(OR($J167&lt;AB$3,$I167&gt;AB$2),0,IF($K167=0,IF(AND($I167&gt;=AB$3,$I167&lt;=AB$2),$E167,0),$E167*NETWORKDAYS(MAX($I167,AB$3),MIN($J167,AB$2),Data!$K$4:$K$203)/$K167)))</f>
        <v>0</v>
      </c>
      <c r="AC167" s="170">
        <f>IF(OR($I167="",$E167=0),0,IF(OR($J167&lt;AC$3,$I167&gt;AC$2),0,IF($K167=0,IF(AND($I167&gt;=AC$3,$I167&lt;=AC$2),$E167,0),$E167*NETWORKDAYS(MAX($I167,AC$3),MIN($J167,AC$2),Data!$K$4:$K$203)/$K167)))</f>
        <v>0</v>
      </c>
      <c r="AD167" s="170">
        <f>IF(OR($I167="",$E167=0),0,IF(OR($J167&lt;AD$3,$I167&gt;AD$2),0,IF($K167=0,IF(AND($I167&gt;=AD$3,$I167&lt;=AD$2),$E167,0),$E167*NETWORKDAYS(MAX($I167,AD$3),MIN($J167,AD$2),Data!$K$4:$K$203)/$K167)))</f>
        <v>0</v>
      </c>
      <c r="AE167" s="170">
        <f>IF(OR($I167="",$E167=0),0,IF(OR($J167&lt;AE$3,$I167&gt;AE$2),0,IF($K167=0,IF(AND($I167&gt;=AE$3,$I167&lt;=AE$2),$E167,0),$E167*NETWORKDAYS(MAX($I167,AE$3),MIN($J167,AE$2),Data!$K$4:$K$203)/$K167)))</f>
        <v>0</v>
      </c>
      <c r="AF167" s="170">
        <f>IF(OR($I167="",$E167=0),0,IF(OR($J167&lt;AF$3,$I167&gt;AF$2),0,IF($K167=0,IF(AND($I167&gt;=AF$3,$I167&lt;=AF$2),$E167,0),$E167*NETWORKDAYS(MAX($I167,AF$3),MIN($J167,AF$2),Data!$K$4:$K$203)/$K167)))</f>
        <v>0</v>
      </c>
      <c r="AG167" s="170">
        <f>IF(OR($I167="",$E167=0),0,IF(OR($J167&lt;AG$3,$I167&gt;AG$2),0,IF($K167=0,IF(AND($I167&gt;=AG$3,$I167&lt;=AG$2),$E167,0),$E167*NETWORKDAYS(MAX($I167,AG$3),MIN($J167,AG$2),Data!$K$4:$K$203)/$K167)))</f>
        <v>0</v>
      </c>
      <c r="AH167" s="170">
        <f>IF(OR($I167="",$E167=0),0,IF(OR($J167&lt;AH$3,$I167&gt;AH$2),0,IF($K167=0,IF(AND($I167&gt;=AH$3,$I167&lt;=AH$2),$E167,0),$E167*NETWORKDAYS(MAX($I167,AH$3),MIN($J167,AH$2),Data!$K$4:$K$203)/$K167)))</f>
        <v>0</v>
      </c>
      <c r="AI167" s="170">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70"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4" t="str">
        <f>IF(EO167=1,IF(FH167&gt;0,FI167/FH167,AVERAGEIF($FF$4:$FF$503,EN167,$C$4:$C$503)),"")</f>
        <v/>
      </c>
      <c r="EV167" s="169">
        <f>IF(ISNUMBER(I167),I167,2958465)</f>
        <v>2958465.0</v>
      </c>
      <c r="EW167" s="169" t="str">
        <f>IF(EO167=1,SUMPRODUCT(MIN(($EN$4:$EN$503=EN167)*$EV$4:$EV$503+($EN$4:$EN$503&lt;&gt;EN167)*2958465)),"")</f>
        <v/>
      </c>
      <c r="EX167" s="169">
        <f>IF(AND(D167=1,ISNUMBER(INDEX(Charge!$F:$F,ROW()))),INDEX(Charge!$F:$F,ROW()),0)</f>
        <v>0.0</v>
      </c>
      <c r="EY167" s="169"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c r="FF167" t="str">
        <f>IF(B167=1,LEFT(SUBSTITUTE(SUBSTITUTE(SUBSTITUTE(TRIM(SUBSTITUTE(INDEX(Charge!$B:$B,ROW()),CHAR(160)," "))&amp;" | "&amp;TRIM(SUBSTITUTE(INDEX(Charge!$C:$C,ROW()),CHAR(160)," "))&amp;" | "&amp;TRIM(SUBSTITUTE(INDEX(Charge!$D:$D,ROW()),CHAR(160)," ")),"~","-"),"*","+"),"?","!"),240),"")</f>
        <v/>
      </c>
      <c r="FG167">
        <f>IF(B167=1,MAX(0,N(INDEX(Charge!$M:$M,ROW()))),0)</f>
        <v>0</v>
      </c>
      <c r="FH167" s="170" t="str">
        <f>IF(EO167=1,ROUND(SUMIF($FF$4:$FF$503,EN167,$FG$4:$FG$503),2),"")</f>
        <v/>
      </c>
      <c r="FI167" s="170" t="str">
        <f>IF(EO167=1,ROUND(SUMPRODUCT(($FF$4:$FF$503=EN167)*$FG$4:$FG$503*$C$4:$C$503),2),"")</f>
        <v/>
      </c>
      <c r="FJ167" s="170" t="str">
        <f>IF(EO167=1,MAX(0,ROUND(FH167-FI167,2)),"")</f>
        <v/>
      </c>
      <c r="FK167" s="174" t="str">
        <f>IF(EO167=1,IF(OR(EW167&gt;=2958465,EY167=0,EY167&lt;=EW167),"",IF(TODAY()&lt;=EW167,0,IF(TODAY()&gt;EY167,1,IFERROR(NETWORKDAYS(EW167,TODAY()-1,Data!$K$4:$K$203)/NETWORKDAYS(EW167,EY167,Data!$K$4:$K$203),"")))),"")</f>
        <v/>
      </c>
      <c r="FL167" t="str">
        <f>IF(EO167=1,IF(AND(EY167&gt;0,EY167&lt;TODAY(),ROUND(EU167,4)&lt;1),2,IF(FK167="",0,IF(ROUND(EU167-FK167,4)&lt;-0.15,1,0))),"")</f>
        <v/>
      </c>
      <c r="FM167">
        <f>IF(OR(FA167="",COUNTIF($FA$4:FA166,FA167)&gt;0),0,MAX(0,IF(FB167="Interne",IF(ISNUMBER(INDEX(Data!$F:$F,167)),INDEX(Data!$F:$F,167),p_HeuresETP),IF(ISNUMBER(INDEX(Data!$I:$I,167-$CD$23)),INDEX(Data!$I:$I,167-$CD$23),p_HeuresETP))-IF(FB167="Interne",IF(ISNUMBER(INDEX(Data!$G:$G,167)),INDEX(Data!$G:$G,167),p_ChargeFixe),IF(ISNUMBER(INDEX(Data!$J:$J,167-$CD$23)),INDEX(Data!$J:$J,167-$CD$23),p_ChargeFixe))))</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9" t="str">
        <f>IF(AND(D168=1,ISNUMBER(INDEX(Charge!$N:$N,ROW()))),INDEX(Charge!$N:$N,ROW()),"")</f>
        <v/>
      </c>
      <c r="J168" s="169"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70">
        <f>IF(OR($I168="",$E168=0),0,IF(OR($J168&lt;W$3,$I168&gt;W$2),0,IF($K168=0,IF(AND($I168&gt;=W$3,$I168&lt;=W$2),$E168,0),$E168*NETWORKDAYS(MAX($I168,W$3),MIN($J168,W$2),Data!$K$4:$K$203)/$K168)))</f>
        <v>0</v>
      </c>
      <c r="X168" s="170">
        <f>IF(OR($I168="",$E168=0),0,IF(OR($J168&lt;X$3,$I168&gt;X$2),0,IF($K168=0,IF(AND($I168&gt;=X$3,$I168&lt;=X$2),$E168,0),$E168*NETWORKDAYS(MAX($I168,X$3),MIN($J168,X$2),Data!$K$4:$K$203)/$K168)))</f>
        <v>0</v>
      </c>
      <c r="Y168" s="170">
        <f>IF(OR($I168="",$E168=0),0,IF(OR($J168&lt;Y$3,$I168&gt;Y$2),0,IF($K168=0,IF(AND($I168&gt;=Y$3,$I168&lt;=Y$2),$E168,0),$E168*NETWORKDAYS(MAX($I168,Y$3),MIN($J168,Y$2),Data!$K$4:$K$203)/$K168)))</f>
        <v>0</v>
      </c>
      <c r="Z168" s="170">
        <f>IF(OR($I168="",$E168=0),0,IF(OR($J168&lt;Z$3,$I168&gt;Z$2),0,IF($K168=0,IF(AND($I168&gt;=Z$3,$I168&lt;=Z$2),$E168,0),$E168*NETWORKDAYS(MAX($I168,Z$3),MIN($J168,Z$2),Data!$K$4:$K$203)/$K168)))</f>
        <v>0</v>
      </c>
      <c r="AA168" s="170">
        <f>IF(OR($I168="",$E168=0),0,IF(OR($J168&lt;AA$3,$I168&gt;AA$2),0,IF($K168=0,IF(AND($I168&gt;=AA$3,$I168&lt;=AA$2),$E168,0),$E168*NETWORKDAYS(MAX($I168,AA$3),MIN($J168,AA$2),Data!$K$4:$K$203)/$K168)))</f>
        <v>0</v>
      </c>
      <c r="AB168" s="170">
        <f>IF(OR($I168="",$E168=0),0,IF(OR($J168&lt;AB$3,$I168&gt;AB$2),0,IF($K168=0,IF(AND($I168&gt;=AB$3,$I168&lt;=AB$2),$E168,0),$E168*NETWORKDAYS(MAX($I168,AB$3),MIN($J168,AB$2),Data!$K$4:$K$203)/$K168)))</f>
        <v>0</v>
      </c>
      <c r="AC168" s="170">
        <f>IF(OR($I168="",$E168=0),0,IF(OR($J168&lt;AC$3,$I168&gt;AC$2),0,IF($K168=0,IF(AND($I168&gt;=AC$3,$I168&lt;=AC$2),$E168,0),$E168*NETWORKDAYS(MAX($I168,AC$3),MIN($J168,AC$2),Data!$K$4:$K$203)/$K168)))</f>
        <v>0</v>
      </c>
      <c r="AD168" s="170">
        <f>IF(OR($I168="",$E168=0),0,IF(OR($J168&lt;AD$3,$I168&gt;AD$2),0,IF($K168=0,IF(AND($I168&gt;=AD$3,$I168&lt;=AD$2),$E168,0),$E168*NETWORKDAYS(MAX($I168,AD$3),MIN($J168,AD$2),Data!$K$4:$K$203)/$K168)))</f>
        <v>0</v>
      </c>
      <c r="AE168" s="170">
        <f>IF(OR($I168="",$E168=0),0,IF(OR($J168&lt;AE$3,$I168&gt;AE$2),0,IF($K168=0,IF(AND($I168&gt;=AE$3,$I168&lt;=AE$2),$E168,0),$E168*NETWORKDAYS(MAX($I168,AE$3),MIN($J168,AE$2),Data!$K$4:$K$203)/$K168)))</f>
        <v>0</v>
      </c>
      <c r="AF168" s="170">
        <f>IF(OR($I168="",$E168=0),0,IF(OR($J168&lt;AF$3,$I168&gt;AF$2),0,IF($K168=0,IF(AND($I168&gt;=AF$3,$I168&lt;=AF$2),$E168,0),$E168*NETWORKDAYS(MAX($I168,AF$3),MIN($J168,AF$2),Data!$K$4:$K$203)/$K168)))</f>
        <v>0</v>
      </c>
      <c r="AG168" s="170">
        <f>IF(OR($I168="",$E168=0),0,IF(OR($J168&lt;AG$3,$I168&gt;AG$2),0,IF($K168=0,IF(AND($I168&gt;=AG$3,$I168&lt;=AG$2),$E168,0),$E168*NETWORKDAYS(MAX($I168,AG$3),MIN($J168,AG$2),Data!$K$4:$K$203)/$K168)))</f>
        <v>0</v>
      </c>
      <c r="AH168" s="170">
        <f>IF(OR($I168="",$E168=0),0,IF(OR($J168&lt;AH$3,$I168&gt;AH$2),0,IF($K168=0,IF(AND($I168&gt;=AH$3,$I168&lt;=AH$2),$E168,0),$E168*NETWORKDAYS(MAX($I168,AH$3),MIN($J168,AH$2),Data!$K$4:$K$203)/$K168)))</f>
        <v>0</v>
      </c>
      <c r="AI168" s="170">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70"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4" t="str">
        <f>IF(EO168=1,IF(FH168&gt;0,FI168/FH168,AVERAGEIF($FF$4:$FF$503,EN168,$C$4:$C$503)),"")</f>
        <v/>
      </c>
      <c r="EV168" s="169">
        <f>IF(ISNUMBER(I168),I168,2958465)</f>
        <v>2958465.0</v>
      </c>
      <c r="EW168" s="169" t="str">
        <f>IF(EO168=1,SUMPRODUCT(MIN(($EN$4:$EN$503=EN168)*$EV$4:$EV$503+($EN$4:$EN$503&lt;&gt;EN168)*2958465)),"")</f>
        <v/>
      </c>
      <c r="EX168" s="169">
        <f>IF(AND(D168=1,ISNUMBER(INDEX(Charge!$F:$F,ROW()))),INDEX(Charge!$F:$F,ROW()),0)</f>
        <v>0.0</v>
      </c>
      <c r="EY168" s="169"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c r="FF168" t="str">
        <f>IF(B168=1,LEFT(SUBSTITUTE(SUBSTITUTE(SUBSTITUTE(TRIM(SUBSTITUTE(INDEX(Charge!$B:$B,ROW()),CHAR(160)," "))&amp;" | "&amp;TRIM(SUBSTITUTE(INDEX(Charge!$C:$C,ROW()),CHAR(160)," "))&amp;" | "&amp;TRIM(SUBSTITUTE(INDEX(Charge!$D:$D,ROW()),CHAR(160)," ")),"~","-"),"*","+"),"?","!"),240),"")</f>
        <v/>
      </c>
      <c r="FG168">
        <f>IF(B168=1,MAX(0,N(INDEX(Charge!$M:$M,ROW()))),0)</f>
        <v>0</v>
      </c>
      <c r="FH168" s="170" t="str">
        <f>IF(EO168=1,ROUND(SUMIF($FF$4:$FF$503,EN168,$FG$4:$FG$503),2),"")</f>
        <v/>
      </c>
      <c r="FI168" s="170" t="str">
        <f>IF(EO168=1,ROUND(SUMPRODUCT(($FF$4:$FF$503=EN168)*$FG$4:$FG$503*$C$4:$C$503),2),"")</f>
        <v/>
      </c>
      <c r="FJ168" s="170" t="str">
        <f>IF(EO168=1,MAX(0,ROUND(FH168-FI168,2)),"")</f>
        <v/>
      </c>
      <c r="FK168" s="174" t="str">
        <f>IF(EO168=1,IF(OR(EW168&gt;=2958465,EY168=0,EY168&lt;=EW168),"",IF(TODAY()&lt;=EW168,0,IF(TODAY()&gt;EY168,1,IFERROR(NETWORKDAYS(EW168,TODAY()-1,Data!$K$4:$K$203)/NETWORKDAYS(EW168,EY168,Data!$K$4:$K$203),"")))),"")</f>
        <v/>
      </c>
      <c r="FL168" t="str">
        <f>IF(EO168=1,IF(AND(EY168&gt;0,EY168&lt;TODAY(),ROUND(EU168,4)&lt;1),2,IF(FK168="",0,IF(ROUND(EU168-FK168,4)&lt;-0.15,1,0))),"")</f>
        <v/>
      </c>
      <c r="FM168">
        <f>IF(OR(FA168="",COUNTIF($FA$4:FA167,FA168)&gt;0),0,MAX(0,IF(FB168="Interne",IF(ISNUMBER(INDEX(Data!$F:$F,168)),INDEX(Data!$F:$F,168),p_HeuresETP),IF(ISNUMBER(INDEX(Data!$I:$I,168-$CD$23)),INDEX(Data!$I:$I,168-$CD$23),p_HeuresETP))-IF(FB168="Interne",IF(ISNUMBER(INDEX(Data!$G:$G,168)),INDEX(Data!$G:$G,168),p_ChargeFixe),IF(ISNUMBER(INDEX(Data!$J:$J,168-$CD$23)),INDEX(Data!$J:$J,168-$CD$23),p_ChargeFixe))))</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9" t="str">
        <f>IF(AND(D169=1,ISNUMBER(INDEX(Charge!$N:$N,ROW()))),INDEX(Charge!$N:$N,ROW()),"")</f>
        <v/>
      </c>
      <c r="J169" s="169"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70">
        <f>IF(OR($I169="",$E169=0),0,IF(OR($J169&lt;W$3,$I169&gt;W$2),0,IF($K169=0,IF(AND($I169&gt;=W$3,$I169&lt;=W$2),$E169,0),$E169*NETWORKDAYS(MAX($I169,W$3),MIN($J169,W$2),Data!$K$4:$K$203)/$K169)))</f>
        <v>0</v>
      </c>
      <c r="X169" s="170">
        <f>IF(OR($I169="",$E169=0),0,IF(OR($J169&lt;X$3,$I169&gt;X$2),0,IF($K169=0,IF(AND($I169&gt;=X$3,$I169&lt;=X$2),$E169,0),$E169*NETWORKDAYS(MAX($I169,X$3),MIN($J169,X$2),Data!$K$4:$K$203)/$K169)))</f>
        <v>0</v>
      </c>
      <c r="Y169" s="170">
        <f>IF(OR($I169="",$E169=0),0,IF(OR($J169&lt;Y$3,$I169&gt;Y$2),0,IF($K169=0,IF(AND($I169&gt;=Y$3,$I169&lt;=Y$2),$E169,0),$E169*NETWORKDAYS(MAX($I169,Y$3),MIN($J169,Y$2),Data!$K$4:$K$203)/$K169)))</f>
        <v>0</v>
      </c>
      <c r="Z169" s="170">
        <f>IF(OR($I169="",$E169=0),0,IF(OR($J169&lt;Z$3,$I169&gt;Z$2),0,IF($K169=0,IF(AND($I169&gt;=Z$3,$I169&lt;=Z$2),$E169,0),$E169*NETWORKDAYS(MAX($I169,Z$3),MIN($J169,Z$2),Data!$K$4:$K$203)/$K169)))</f>
        <v>0</v>
      </c>
      <c r="AA169" s="170">
        <f>IF(OR($I169="",$E169=0),0,IF(OR($J169&lt;AA$3,$I169&gt;AA$2),0,IF($K169=0,IF(AND($I169&gt;=AA$3,$I169&lt;=AA$2),$E169,0),$E169*NETWORKDAYS(MAX($I169,AA$3),MIN($J169,AA$2),Data!$K$4:$K$203)/$K169)))</f>
        <v>0</v>
      </c>
      <c r="AB169" s="170">
        <f>IF(OR($I169="",$E169=0),0,IF(OR($J169&lt;AB$3,$I169&gt;AB$2),0,IF($K169=0,IF(AND($I169&gt;=AB$3,$I169&lt;=AB$2),$E169,0),$E169*NETWORKDAYS(MAX($I169,AB$3),MIN($J169,AB$2),Data!$K$4:$K$203)/$K169)))</f>
        <v>0</v>
      </c>
      <c r="AC169" s="170">
        <f>IF(OR($I169="",$E169=0),0,IF(OR($J169&lt;AC$3,$I169&gt;AC$2),0,IF($K169=0,IF(AND($I169&gt;=AC$3,$I169&lt;=AC$2),$E169,0),$E169*NETWORKDAYS(MAX($I169,AC$3),MIN($J169,AC$2),Data!$K$4:$K$203)/$K169)))</f>
        <v>0</v>
      </c>
      <c r="AD169" s="170">
        <f>IF(OR($I169="",$E169=0),0,IF(OR($J169&lt;AD$3,$I169&gt;AD$2),0,IF($K169=0,IF(AND($I169&gt;=AD$3,$I169&lt;=AD$2),$E169,0),$E169*NETWORKDAYS(MAX($I169,AD$3),MIN($J169,AD$2),Data!$K$4:$K$203)/$K169)))</f>
        <v>0</v>
      </c>
      <c r="AE169" s="170">
        <f>IF(OR($I169="",$E169=0),0,IF(OR($J169&lt;AE$3,$I169&gt;AE$2),0,IF($K169=0,IF(AND($I169&gt;=AE$3,$I169&lt;=AE$2),$E169,0),$E169*NETWORKDAYS(MAX($I169,AE$3),MIN($J169,AE$2),Data!$K$4:$K$203)/$K169)))</f>
        <v>0</v>
      </c>
      <c r="AF169" s="170">
        <f>IF(OR($I169="",$E169=0),0,IF(OR($J169&lt;AF$3,$I169&gt;AF$2),0,IF($K169=0,IF(AND($I169&gt;=AF$3,$I169&lt;=AF$2),$E169,0),$E169*NETWORKDAYS(MAX($I169,AF$3),MIN($J169,AF$2),Data!$K$4:$K$203)/$K169)))</f>
        <v>0</v>
      </c>
      <c r="AG169" s="170">
        <f>IF(OR($I169="",$E169=0),0,IF(OR($J169&lt;AG$3,$I169&gt;AG$2),0,IF($K169=0,IF(AND($I169&gt;=AG$3,$I169&lt;=AG$2),$E169,0),$E169*NETWORKDAYS(MAX($I169,AG$3),MIN($J169,AG$2),Data!$K$4:$K$203)/$K169)))</f>
        <v>0</v>
      </c>
      <c r="AH169" s="170">
        <f>IF(OR($I169="",$E169=0),0,IF(OR($J169&lt;AH$3,$I169&gt;AH$2),0,IF($K169=0,IF(AND($I169&gt;=AH$3,$I169&lt;=AH$2),$E169,0),$E169*NETWORKDAYS(MAX($I169,AH$3),MIN($J169,AH$2),Data!$K$4:$K$203)/$K169)))</f>
        <v>0</v>
      </c>
      <c r="AI169" s="170">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70"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4" t="str">
        <f>IF(EO169=1,IF(FH169&gt;0,FI169/FH169,AVERAGEIF($FF$4:$FF$503,EN169,$C$4:$C$503)),"")</f>
        <v/>
      </c>
      <c r="EV169" s="169">
        <f>IF(ISNUMBER(I169),I169,2958465)</f>
        <v>2958465.0</v>
      </c>
      <c r="EW169" s="169" t="str">
        <f>IF(EO169=1,SUMPRODUCT(MIN(($EN$4:$EN$503=EN169)*$EV$4:$EV$503+($EN$4:$EN$503&lt;&gt;EN169)*2958465)),"")</f>
        <v/>
      </c>
      <c r="EX169" s="169">
        <f>IF(AND(D169=1,ISNUMBER(INDEX(Charge!$F:$F,ROW()))),INDEX(Charge!$F:$F,ROW()),0)</f>
        <v>0.0</v>
      </c>
      <c r="EY169" s="169"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c r="FF169" t="str">
        <f>IF(B169=1,LEFT(SUBSTITUTE(SUBSTITUTE(SUBSTITUTE(TRIM(SUBSTITUTE(INDEX(Charge!$B:$B,ROW()),CHAR(160)," "))&amp;" | "&amp;TRIM(SUBSTITUTE(INDEX(Charge!$C:$C,ROW()),CHAR(160)," "))&amp;" | "&amp;TRIM(SUBSTITUTE(INDEX(Charge!$D:$D,ROW()),CHAR(160)," ")),"~","-"),"*","+"),"?","!"),240),"")</f>
        <v/>
      </c>
      <c r="FG169">
        <f>IF(B169=1,MAX(0,N(INDEX(Charge!$M:$M,ROW()))),0)</f>
        <v>0</v>
      </c>
      <c r="FH169" s="170" t="str">
        <f>IF(EO169=1,ROUND(SUMIF($FF$4:$FF$503,EN169,$FG$4:$FG$503),2),"")</f>
        <v/>
      </c>
      <c r="FI169" s="170" t="str">
        <f>IF(EO169=1,ROUND(SUMPRODUCT(($FF$4:$FF$503=EN169)*$FG$4:$FG$503*$C$4:$C$503),2),"")</f>
        <v/>
      </c>
      <c r="FJ169" s="170" t="str">
        <f>IF(EO169=1,MAX(0,ROUND(FH169-FI169,2)),"")</f>
        <v/>
      </c>
      <c r="FK169" s="174" t="str">
        <f>IF(EO169=1,IF(OR(EW169&gt;=2958465,EY169=0,EY169&lt;=EW169),"",IF(TODAY()&lt;=EW169,0,IF(TODAY()&gt;EY169,1,IFERROR(NETWORKDAYS(EW169,TODAY()-1,Data!$K$4:$K$203)/NETWORKDAYS(EW169,EY169,Data!$K$4:$K$203),"")))),"")</f>
        <v/>
      </c>
      <c r="FL169" t="str">
        <f>IF(EO169=1,IF(AND(EY169&gt;0,EY169&lt;TODAY(),ROUND(EU169,4)&lt;1),2,IF(FK169="",0,IF(ROUND(EU169-FK169,4)&lt;-0.15,1,0))),"")</f>
        <v/>
      </c>
      <c r="FM169">
        <f>IF(OR(FA169="",COUNTIF($FA$4:FA168,FA169)&gt;0),0,MAX(0,IF(FB169="Interne",IF(ISNUMBER(INDEX(Data!$F:$F,169)),INDEX(Data!$F:$F,169),p_HeuresETP),IF(ISNUMBER(INDEX(Data!$I:$I,169-$CD$23)),INDEX(Data!$I:$I,169-$CD$23),p_HeuresETP))-IF(FB169="Interne",IF(ISNUMBER(INDEX(Data!$G:$G,169)),INDEX(Data!$G:$G,169),p_ChargeFixe),IF(ISNUMBER(INDEX(Data!$J:$J,169-$CD$23)),INDEX(Data!$J:$J,169-$CD$23),p_ChargeFixe))))</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9" t="str">
        <f>IF(AND(D170=1,ISNUMBER(INDEX(Charge!$N:$N,ROW()))),INDEX(Charge!$N:$N,ROW()),"")</f>
        <v/>
      </c>
      <c r="J170" s="169"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70">
        <f>IF(OR($I170="",$E170=0),0,IF(OR($J170&lt;W$3,$I170&gt;W$2),0,IF($K170=0,IF(AND($I170&gt;=W$3,$I170&lt;=W$2),$E170,0),$E170*NETWORKDAYS(MAX($I170,W$3),MIN($J170,W$2),Data!$K$4:$K$203)/$K170)))</f>
        <v>0</v>
      </c>
      <c r="X170" s="170">
        <f>IF(OR($I170="",$E170=0),0,IF(OR($J170&lt;X$3,$I170&gt;X$2),0,IF($K170=0,IF(AND($I170&gt;=X$3,$I170&lt;=X$2),$E170,0),$E170*NETWORKDAYS(MAX($I170,X$3),MIN($J170,X$2),Data!$K$4:$K$203)/$K170)))</f>
        <v>0</v>
      </c>
      <c r="Y170" s="170">
        <f>IF(OR($I170="",$E170=0),0,IF(OR($J170&lt;Y$3,$I170&gt;Y$2),0,IF($K170=0,IF(AND($I170&gt;=Y$3,$I170&lt;=Y$2),$E170,0),$E170*NETWORKDAYS(MAX($I170,Y$3),MIN($J170,Y$2),Data!$K$4:$K$203)/$K170)))</f>
        <v>0</v>
      </c>
      <c r="Z170" s="170">
        <f>IF(OR($I170="",$E170=0),0,IF(OR($J170&lt;Z$3,$I170&gt;Z$2),0,IF($K170=0,IF(AND($I170&gt;=Z$3,$I170&lt;=Z$2),$E170,0),$E170*NETWORKDAYS(MAX($I170,Z$3),MIN($J170,Z$2),Data!$K$4:$K$203)/$K170)))</f>
        <v>0</v>
      </c>
      <c r="AA170" s="170">
        <f>IF(OR($I170="",$E170=0),0,IF(OR($J170&lt;AA$3,$I170&gt;AA$2),0,IF($K170=0,IF(AND($I170&gt;=AA$3,$I170&lt;=AA$2),$E170,0),$E170*NETWORKDAYS(MAX($I170,AA$3),MIN($J170,AA$2),Data!$K$4:$K$203)/$K170)))</f>
        <v>0</v>
      </c>
      <c r="AB170" s="170">
        <f>IF(OR($I170="",$E170=0),0,IF(OR($J170&lt;AB$3,$I170&gt;AB$2),0,IF($K170=0,IF(AND($I170&gt;=AB$3,$I170&lt;=AB$2),$E170,0),$E170*NETWORKDAYS(MAX($I170,AB$3),MIN($J170,AB$2),Data!$K$4:$K$203)/$K170)))</f>
        <v>0</v>
      </c>
      <c r="AC170" s="170">
        <f>IF(OR($I170="",$E170=0),0,IF(OR($J170&lt;AC$3,$I170&gt;AC$2),0,IF($K170=0,IF(AND($I170&gt;=AC$3,$I170&lt;=AC$2),$E170,0),$E170*NETWORKDAYS(MAX($I170,AC$3),MIN($J170,AC$2),Data!$K$4:$K$203)/$K170)))</f>
        <v>0</v>
      </c>
      <c r="AD170" s="170">
        <f>IF(OR($I170="",$E170=0),0,IF(OR($J170&lt;AD$3,$I170&gt;AD$2),0,IF($K170=0,IF(AND($I170&gt;=AD$3,$I170&lt;=AD$2),$E170,0),$E170*NETWORKDAYS(MAX($I170,AD$3),MIN($J170,AD$2),Data!$K$4:$K$203)/$K170)))</f>
        <v>0</v>
      </c>
      <c r="AE170" s="170">
        <f>IF(OR($I170="",$E170=0),0,IF(OR($J170&lt;AE$3,$I170&gt;AE$2),0,IF($K170=0,IF(AND($I170&gt;=AE$3,$I170&lt;=AE$2),$E170,0),$E170*NETWORKDAYS(MAX($I170,AE$3),MIN($J170,AE$2),Data!$K$4:$K$203)/$K170)))</f>
        <v>0</v>
      </c>
      <c r="AF170" s="170">
        <f>IF(OR($I170="",$E170=0),0,IF(OR($J170&lt;AF$3,$I170&gt;AF$2),0,IF($K170=0,IF(AND($I170&gt;=AF$3,$I170&lt;=AF$2),$E170,0),$E170*NETWORKDAYS(MAX($I170,AF$3),MIN($J170,AF$2),Data!$K$4:$K$203)/$K170)))</f>
        <v>0</v>
      </c>
      <c r="AG170" s="170">
        <f>IF(OR($I170="",$E170=0),0,IF(OR($J170&lt;AG$3,$I170&gt;AG$2),0,IF($K170=0,IF(AND($I170&gt;=AG$3,$I170&lt;=AG$2),$E170,0),$E170*NETWORKDAYS(MAX($I170,AG$3),MIN($J170,AG$2),Data!$K$4:$K$203)/$K170)))</f>
        <v>0</v>
      </c>
      <c r="AH170" s="170">
        <f>IF(OR($I170="",$E170=0),0,IF(OR($J170&lt;AH$3,$I170&gt;AH$2),0,IF($K170=0,IF(AND($I170&gt;=AH$3,$I170&lt;=AH$2),$E170,0),$E170*NETWORKDAYS(MAX($I170,AH$3),MIN($J170,AH$2),Data!$K$4:$K$203)/$K170)))</f>
        <v>0</v>
      </c>
      <c r="AI170" s="170">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70"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4" t="str">
        <f>IF(EO170=1,IF(FH170&gt;0,FI170/FH170,AVERAGEIF($FF$4:$FF$503,EN170,$C$4:$C$503)),"")</f>
        <v/>
      </c>
      <c r="EV170" s="169">
        <f>IF(ISNUMBER(I170),I170,2958465)</f>
        <v>2958465.0</v>
      </c>
      <c r="EW170" s="169" t="str">
        <f>IF(EO170=1,SUMPRODUCT(MIN(($EN$4:$EN$503=EN170)*$EV$4:$EV$503+($EN$4:$EN$503&lt;&gt;EN170)*2958465)),"")</f>
        <v/>
      </c>
      <c r="EX170" s="169">
        <f>IF(AND(D170=1,ISNUMBER(INDEX(Charge!$F:$F,ROW()))),INDEX(Charge!$F:$F,ROW()),0)</f>
        <v>0.0</v>
      </c>
      <c r="EY170" s="169"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c r="FF170" t="str">
        <f>IF(B170=1,LEFT(SUBSTITUTE(SUBSTITUTE(SUBSTITUTE(TRIM(SUBSTITUTE(INDEX(Charge!$B:$B,ROW()),CHAR(160)," "))&amp;" | "&amp;TRIM(SUBSTITUTE(INDEX(Charge!$C:$C,ROW()),CHAR(160)," "))&amp;" | "&amp;TRIM(SUBSTITUTE(INDEX(Charge!$D:$D,ROW()),CHAR(160)," ")),"~","-"),"*","+"),"?","!"),240),"")</f>
        <v/>
      </c>
      <c r="FG170">
        <f>IF(B170=1,MAX(0,N(INDEX(Charge!$M:$M,ROW()))),0)</f>
        <v>0</v>
      </c>
      <c r="FH170" s="170" t="str">
        <f>IF(EO170=1,ROUND(SUMIF($FF$4:$FF$503,EN170,$FG$4:$FG$503),2),"")</f>
        <v/>
      </c>
      <c r="FI170" s="170" t="str">
        <f>IF(EO170=1,ROUND(SUMPRODUCT(($FF$4:$FF$503=EN170)*$FG$4:$FG$503*$C$4:$C$503),2),"")</f>
        <v/>
      </c>
      <c r="FJ170" s="170" t="str">
        <f>IF(EO170=1,MAX(0,ROUND(FH170-FI170,2)),"")</f>
        <v/>
      </c>
      <c r="FK170" s="174" t="str">
        <f>IF(EO170=1,IF(OR(EW170&gt;=2958465,EY170=0,EY170&lt;=EW170),"",IF(TODAY()&lt;=EW170,0,IF(TODAY()&gt;EY170,1,IFERROR(NETWORKDAYS(EW170,TODAY()-1,Data!$K$4:$K$203)/NETWORKDAYS(EW170,EY170,Data!$K$4:$K$203),"")))),"")</f>
        <v/>
      </c>
      <c r="FL170" t="str">
        <f>IF(EO170=1,IF(AND(EY170&gt;0,EY170&lt;TODAY(),ROUND(EU170,4)&lt;1),2,IF(FK170="",0,IF(ROUND(EU170-FK170,4)&lt;-0.15,1,0))),"")</f>
        <v/>
      </c>
      <c r="FM170">
        <f>IF(OR(FA170="",COUNTIF($FA$4:FA169,FA170)&gt;0),0,MAX(0,IF(FB170="Interne",IF(ISNUMBER(INDEX(Data!$F:$F,170)),INDEX(Data!$F:$F,170),p_HeuresETP),IF(ISNUMBER(INDEX(Data!$I:$I,170-$CD$23)),INDEX(Data!$I:$I,170-$CD$23),p_HeuresETP))-IF(FB170="Interne",IF(ISNUMBER(INDEX(Data!$G:$G,170)),INDEX(Data!$G:$G,170),p_ChargeFixe),IF(ISNUMBER(INDEX(Data!$J:$J,170-$CD$23)),INDEX(Data!$J:$J,170-$CD$23),p_ChargeFixe))))</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9" t="str">
        <f>IF(AND(D171=1,ISNUMBER(INDEX(Charge!$N:$N,ROW()))),INDEX(Charge!$N:$N,ROW()),"")</f>
        <v/>
      </c>
      <c r="J171" s="169"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70">
        <f>IF(OR($I171="",$E171=0),0,IF(OR($J171&lt;W$3,$I171&gt;W$2),0,IF($K171=0,IF(AND($I171&gt;=W$3,$I171&lt;=W$2),$E171,0),$E171*NETWORKDAYS(MAX($I171,W$3),MIN($J171,W$2),Data!$K$4:$K$203)/$K171)))</f>
        <v>0</v>
      </c>
      <c r="X171" s="170">
        <f>IF(OR($I171="",$E171=0),0,IF(OR($J171&lt;X$3,$I171&gt;X$2),0,IF($K171=0,IF(AND($I171&gt;=X$3,$I171&lt;=X$2),$E171,0),$E171*NETWORKDAYS(MAX($I171,X$3),MIN($J171,X$2),Data!$K$4:$K$203)/$K171)))</f>
        <v>0</v>
      </c>
      <c r="Y171" s="170">
        <f>IF(OR($I171="",$E171=0),0,IF(OR($J171&lt;Y$3,$I171&gt;Y$2),0,IF($K171=0,IF(AND($I171&gt;=Y$3,$I171&lt;=Y$2),$E171,0),$E171*NETWORKDAYS(MAX($I171,Y$3),MIN($J171,Y$2),Data!$K$4:$K$203)/$K171)))</f>
        <v>0</v>
      </c>
      <c r="Z171" s="170">
        <f>IF(OR($I171="",$E171=0),0,IF(OR($J171&lt;Z$3,$I171&gt;Z$2),0,IF($K171=0,IF(AND($I171&gt;=Z$3,$I171&lt;=Z$2),$E171,0),$E171*NETWORKDAYS(MAX($I171,Z$3),MIN($J171,Z$2),Data!$K$4:$K$203)/$K171)))</f>
        <v>0</v>
      </c>
      <c r="AA171" s="170">
        <f>IF(OR($I171="",$E171=0),0,IF(OR($J171&lt;AA$3,$I171&gt;AA$2),0,IF($K171=0,IF(AND($I171&gt;=AA$3,$I171&lt;=AA$2),$E171,0),$E171*NETWORKDAYS(MAX($I171,AA$3),MIN($J171,AA$2),Data!$K$4:$K$203)/$K171)))</f>
        <v>0</v>
      </c>
      <c r="AB171" s="170">
        <f>IF(OR($I171="",$E171=0),0,IF(OR($J171&lt;AB$3,$I171&gt;AB$2),0,IF($K171=0,IF(AND($I171&gt;=AB$3,$I171&lt;=AB$2),$E171,0),$E171*NETWORKDAYS(MAX($I171,AB$3),MIN($J171,AB$2),Data!$K$4:$K$203)/$K171)))</f>
        <v>0</v>
      </c>
      <c r="AC171" s="170">
        <f>IF(OR($I171="",$E171=0),0,IF(OR($J171&lt;AC$3,$I171&gt;AC$2),0,IF($K171=0,IF(AND($I171&gt;=AC$3,$I171&lt;=AC$2),$E171,0),$E171*NETWORKDAYS(MAX($I171,AC$3),MIN($J171,AC$2),Data!$K$4:$K$203)/$K171)))</f>
        <v>0</v>
      </c>
      <c r="AD171" s="170">
        <f>IF(OR($I171="",$E171=0),0,IF(OR($J171&lt;AD$3,$I171&gt;AD$2),0,IF($K171=0,IF(AND($I171&gt;=AD$3,$I171&lt;=AD$2),$E171,0),$E171*NETWORKDAYS(MAX($I171,AD$3),MIN($J171,AD$2),Data!$K$4:$K$203)/$K171)))</f>
        <v>0</v>
      </c>
      <c r="AE171" s="170">
        <f>IF(OR($I171="",$E171=0),0,IF(OR($J171&lt;AE$3,$I171&gt;AE$2),0,IF($K171=0,IF(AND($I171&gt;=AE$3,$I171&lt;=AE$2),$E171,0),$E171*NETWORKDAYS(MAX($I171,AE$3),MIN($J171,AE$2),Data!$K$4:$K$203)/$K171)))</f>
        <v>0</v>
      </c>
      <c r="AF171" s="170">
        <f>IF(OR($I171="",$E171=0),0,IF(OR($J171&lt;AF$3,$I171&gt;AF$2),0,IF($K171=0,IF(AND($I171&gt;=AF$3,$I171&lt;=AF$2),$E171,0),$E171*NETWORKDAYS(MAX($I171,AF$3),MIN($J171,AF$2),Data!$K$4:$K$203)/$K171)))</f>
        <v>0</v>
      </c>
      <c r="AG171" s="170">
        <f>IF(OR($I171="",$E171=0),0,IF(OR($J171&lt;AG$3,$I171&gt;AG$2),0,IF($K171=0,IF(AND($I171&gt;=AG$3,$I171&lt;=AG$2),$E171,0),$E171*NETWORKDAYS(MAX($I171,AG$3),MIN($J171,AG$2),Data!$K$4:$K$203)/$K171)))</f>
        <v>0</v>
      </c>
      <c r="AH171" s="170">
        <f>IF(OR($I171="",$E171=0),0,IF(OR($J171&lt;AH$3,$I171&gt;AH$2),0,IF($K171=0,IF(AND($I171&gt;=AH$3,$I171&lt;=AH$2),$E171,0),$E171*NETWORKDAYS(MAX($I171,AH$3),MIN($J171,AH$2),Data!$K$4:$K$203)/$K171)))</f>
        <v>0</v>
      </c>
      <c r="AI171" s="170">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70"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4" t="str">
        <f>IF(EO171=1,IF(FH171&gt;0,FI171/FH171,AVERAGEIF($FF$4:$FF$503,EN171,$C$4:$C$503)),"")</f>
        <v/>
      </c>
      <c r="EV171" s="169">
        <f>IF(ISNUMBER(I171),I171,2958465)</f>
        <v>2958465.0</v>
      </c>
      <c r="EW171" s="169" t="str">
        <f>IF(EO171=1,SUMPRODUCT(MIN(($EN$4:$EN$503=EN171)*$EV$4:$EV$503+($EN$4:$EN$503&lt;&gt;EN171)*2958465)),"")</f>
        <v/>
      </c>
      <c r="EX171" s="169">
        <f>IF(AND(D171=1,ISNUMBER(INDEX(Charge!$F:$F,ROW()))),INDEX(Charge!$F:$F,ROW()),0)</f>
        <v>0.0</v>
      </c>
      <c r="EY171" s="169"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c r="FF171" t="str">
        <f>IF(B171=1,LEFT(SUBSTITUTE(SUBSTITUTE(SUBSTITUTE(TRIM(SUBSTITUTE(INDEX(Charge!$B:$B,ROW()),CHAR(160)," "))&amp;" | "&amp;TRIM(SUBSTITUTE(INDEX(Charge!$C:$C,ROW()),CHAR(160)," "))&amp;" | "&amp;TRIM(SUBSTITUTE(INDEX(Charge!$D:$D,ROW()),CHAR(160)," ")),"~","-"),"*","+"),"?","!"),240),"")</f>
        <v/>
      </c>
      <c r="FG171">
        <f>IF(B171=1,MAX(0,N(INDEX(Charge!$M:$M,ROW()))),0)</f>
        <v>0</v>
      </c>
      <c r="FH171" s="170" t="str">
        <f>IF(EO171=1,ROUND(SUMIF($FF$4:$FF$503,EN171,$FG$4:$FG$503),2),"")</f>
        <v/>
      </c>
      <c r="FI171" s="170" t="str">
        <f>IF(EO171=1,ROUND(SUMPRODUCT(($FF$4:$FF$503=EN171)*$FG$4:$FG$503*$C$4:$C$503),2),"")</f>
        <v/>
      </c>
      <c r="FJ171" s="170" t="str">
        <f>IF(EO171=1,MAX(0,ROUND(FH171-FI171,2)),"")</f>
        <v/>
      </c>
      <c r="FK171" s="174" t="str">
        <f>IF(EO171=1,IF(OR(EW171&gt;=2958465,EY171=0,EY171&lt;=EW171),"",IF(TODAY()&lt;=EW171,0,IF(TODAY()&gt;EY171,1,IFERROR(NETWORKDAYS(EW171,TODAY()-1,Data!$K$4:$K$203)/NETWORKDAYS(EW171,EY171,Data!$K$4:$K$203),"")))),"")</f>
        <v/>
      </c>
      <c r="FL171" t="str">
        <f>IF(EO171=1,IF(AND(EY171&gt;0,EY171&lt;TODAY(),ROUND(EU171,4)&lt;1),2,IF(FK171="",0,IF(ROUND(EU171-FK171,4)&lt;-0.15,1,0))),"")</f>
        <v/>
      </c>
      <c r="FM171">
        <f>IF(OR(FA171="",COUNTIF($FA$4:FA170,FA171)&gt;0),0,MAX(0,IF(FB171="Interne",IF(ISNUMBER(INDEX(Data!$F:$F,171)),INDEX(Data!$F:$F,171),p_HeuresETP),IF(ISNUMBER(INDEX(Data!$I:$I,171-$CD$23)),INDEX(Data!$I:$I,171-$CD$23),p_HeuresETP))-IF(FB171="Interne",IF(ISNUMBER(INDEX(Data!$G:$G,171)),INDEX(Data!$G:$G,171),p_ChargeFixe),IF(ISNUMBER(INDEX(Data!$J:$J,171-$CD$23)),INDEX(Data!$J:$J,171-$CD$23),p_ChargeFixe))))</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9" t="str">
        <f>IF(AND(D172=1,ISNUMBER(INDEX(Charge!$N:$N,ROW()))),INDEX(Charge!$N:$N,ROW()),"")</f>
        <v/>
      </c>
      <c r="J172" s="169"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70">
        <f>IF(OR($I172="",$E172=0),0,IF(OR($J172&lt;W$3,$I172&gt;W$2),0,IF($K172=0,IF(AND($I172&gt;=W$3,$I172&lt;=W$2),$E172,0),$E172*NETWORKDAYS(MAX($I172,W$3),MIN($J172,W$2),Data!$K$4:$K$203)/$K172)))</f>
        <v>0</v>
      </c>
      <c r="X172" s="170">
        <f>IF(OR($I172="",$E172=0),0,IF(OR($J172&lt;X$3,$I172&gt;X$2),0,IF($K172=0,IF(AND($I172&gt;=X$3,$I172&lt;=X$2),$E172,0),$E172*NETWORKDAYS(MAX($I172,X$3),MIN($J172,X$2),Data!$K$4:$K$203)/$K172)))</f>
        <v>0</v>
      </c>
      <c r="Y172" s="170">
        <f>IF(OR($I172="",$E172=0),0,IF(OR($J172&lt;Y$3,$I172&gt;Y$2),0,IF($K172=0,IF(AND($I172&gt;=Y$3,$I172&lt;=Y$2),$E172,0),$E172*NETWORKDAYS(MAX($I172,Y$3),MIN($J172,Y$2),Data!$K$4:$K$203)/$K172)))</f>
        <v>0</v>
      </c>
      <c r="Z172" s="170">
        <f>IF(OR($I172="",$E172=0),0,IF(OR($J172&lt;Z$3,$I172&gt;Z$2),0,IF($K172=0,IF(AND($I172&gt;=Z$3,$I172&lt;=Z$2),$E172,0),$E172*NETWORKDAYS(MAX($I172,Z$3),MIN($J172,Z$2),Data!$K$4:$K$203)/$K172)))</f>
        <v>0</v>
      </c>
      <c r="AA172" s="170">
        <f>IF(OR($I172="",$E172=0),0,IF(OR($J172&lt;AA$3,$I172&gt;AA$2),0,IF($K172=0,IF(AND($I172&gt;=AA$3,$I172&lt;=AA$2),$E172,0),$E172*NETWORKDAYS(MAX($I172,AA$3),MIN($J172,AA$2),Data!$K$4:$K$203)/$K172)))</f>
        <v>0</v>
      </c>
      <c r="AB172" s="170">
        <f>IF(OR($I172="",$E172=0),0,IF(OR($J172&lt;AB$3,$I172&gt;AB$2),0,IF($K172=0,IF(AND($I172&gt;=AB$3,$I172&lt;=AB$2),$E172,0),$E172*NETWORKDAYS(MAX($I172,AB$3),MIN($J172,AB$2),Data!$K$4:$K$203)/$K172)))</f>
        <v>0</v>
      </c>
      <c r="AC172" s="170">
        <f>IF(OR($I172="",$E172=0),0,IF(OR($J172&lt;AC$3,$I172&gt;AC$2),0,IF($K172=0,IF(AND($I172&gt;=AC$3,$I172&lt;=AC$2),$E172,0),$E172*NETWORKDAYS(MAX($I172,AC$3),MIN($J172,AC$2),Data!$K$4:$K$203)/$K172)))</f>
        <v>0</v>
      </c>
      <c r="AD172" s="170">
        <f>IF(OR($I172="",$E172=0),0,IF(OR($J172&lt;AD$3,$I172&gt;AD$2),0,IF($K172=0,IF(AND($I172&gt;=AD$3,$I172&lt;=AD$2),$E172,0),$E172*NETWORKDAYS(MAX($I172,AD$3),MIN($J172,AD$2),Data!$K$4:$K$203)/$K172)))</f>
        <v>0</v>
      </c>
      <c r="AE172" s="170">
        <f>IF(OR($I172="",$E172=0),0,IF(OR($J172&lt;AE$3,$I172&gt;AE$2),0,IF($K172=0,IF(AND($I172&gt;=AE$3,$I172&lt;=AE$2),$E172,0),$E172*NETWORKDAYS(MAX($I172,AE$3),MIN($J172,AE$2),Data!$K$4:$K$203)/$K172)))</f>
        <v>0</v>
      </c>
      <c r="AF172" s="170">
        <f>IF(OR($I172="",$E172=0),0,IF(OR($J172&lt;AF$3,$I172&gt;AF$2),0,IF($K172=0,IF(AND($I172&gt;=AF$3,$I172&lt;=AF$2),$E172,0),$E172*NETWORKDAYS(MAX($I172,AF$3),MIN($J172,AF$2),Data!$K$4:$K$203)/$K172)))</f>
        <v>0</v>
      </c>
      <c r="AG172" s="170">
        <f>IF(OR($I172="",$E172=0),0,IF(OR($J172&lt;AG$3,$I172&gt;AG$2),0,IF($K172=0,IF(AND($I172&gt;=AG$3,$I172&lt;=AG$2),$E172,0),$E172*NETWORKDAYS(MAX($I172,AG$3),MIN($J172,AG$2),Data!$K$4:$K$203)/$K172)))</f>
        <v>0</v>
      </c>
      <c r="AH172" s="170">
        <f>IF(OR($I172="",$E172=0),0,IF(OR($J172&lt;AH$3,$I172&gt;AH$2),0,IF($K172=0,IF(AND($I172&gt;=AH$3,$I172&lt;=AH$2),$E172,0),$E172*NETWORKDAYS(MAX($I172,AH$3),MIN($J172,AH$2),Data!$K$4:$K$203)/$K172)))</f>
        <v>0</v>
      </c>
      <c r="AI172" s="170">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70"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4" t="str">
        <f>IF(EO172=1,IF(FH172&gt;0,FI172/FH172,AVERAGEIF($FF$4:$FF$503,EN172,$C$4:$C$503)),"")</f>
        <v/>
      </c>
      <c r="EV172" s="169">
        <f>IF(ISNUMBER(I172),I172,2958465)</f>
        <v>2958465.0</v>
      </c>
      <c r="EW172" s="169" t="str">
        <f>IF(EO172=1,SUMPRODUCT(MIN(($EN$4:$EN$503=EN172)*$EV$4:$EV$503+($EN$4:$EN$503&lt;&gt;EN172)*2958465)),"")</f>
        <v/>
      </c>
      <c r="EX172" s="169">
        <f>IF(AND(D172=1,ISNUMBER(INDEX(Charge!$F:$F,ROW()))),INDEX(Charge!$F:$F,ROW()),0)</f>
        <v>0.0</v>
      </c>
      <c r="EY172" s="169"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c r="FF172" t="str">
        <f>IF(B172=1,LEFT(SUBSTITUTE(SUBSTITUTE(SUBSTITUTE(TRIM(SUBSTITUTE(INDEX(Charge!$B:$B,ROW()),CHAR(160)," "))&amp;" | "&amp;TRIM(SUBSTITUTE(INDEX(Charge!$C:$C,ROW()),CHAR(160)," "))&amp;" | "&amp;TRIM(SUBSTITUTE(INDEX(Charge!$D:$D,ROW()),CHAR(160)," ")),"~","-"),"*","+"),"?","!"),240),"")</f>
        <v/>
      </c>
      <c r="FG172">
        <f>IF(B172=1,MAX(0,N(INDEX(Charge!$M:$M,ROW()))),0)</f>
        <v>0</v>
      </c>
      <c r="FH172" s="170" t="str">
        <f>IF(EO172=1,ROUND(SUMIF($FF$4:$FF$503,EN172,$FG$4:$FG$503),2),"")</f>
        <v/>
      </c>
      <c r="FI172" s="170" t="str">
        <f>IF(EO172=1,ROUND(SUMPRODUCT(($FF$4:$FF$503=EN172)*$FG$4:$FG$503*$C$4:$C$503),2),"")</f>
        <v/>
      </c>
      <c r="FJ172" s="170" t="str">
        <f>IF(EO172=1,MAX(0,ROUND(FH172-FI172,2)),"")</f>
        <v/>
      </c>
      <c r="FK172" s="174" t="str">
        <f>IF(EO172=1,IF(OR(EW172&gt;=2958465,EY172=0,EY172&lt;=EW172),"",IF(TODAY()&lt;=EW172,0,IF(TODAY()&gt;EY172,1,IFERROR(NETWORKDAYS(EW172,TODAY()-1,Data!$K$4:$K$203)/NETWORKDAYS(EW172,EY172,Data!$K$4:$K$203),"")))),"")</f>
        <v/>
      </c>
      <c r="FL172" t="str">
        <f>IF(EO172=1,IF(AND(EY172&gt;0,EY172&lt;TODAY(),ROUND(EU172,4)&lt;1),2,IF(FK172="",0,IF(ROUND(EU172-FK172,4)&lt;-0.15,1,0))),"")</f>
        <v/>
      </c>
      <c r="FM172">
        <f>IF(OR(FA172="",COUNTIF($FA$4:FA171,FA172)&gt;0),0,MAX(0,IF(FB172="Interne",IF(ISNUMBER(INDEX(Data!$F:$F,172)),INDEX(Data!$F:$F,172),p_HeuresETP),IF(ISNUMBER(INDEX(Data!$I:$I,172-$CD$23)),INDEX(Data!$I:$I,172-$CD$23),p_HeuresETP))-IF(FB172="Interne",IF(ISNUMBER(INDEX(Data!$G:$G,172)),INDEX(Data!$G:$G,172),p_ChargeFixe),IF(ISNUMBER(INDEX(Data!$J:$J,172-$CD$23)),INDEX(Data!$J:$J,172-$CD$23),p_ChargeFixe))))</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9" t="str">
        <f>IF(AND(D173=1,ISNUMBER(INDEX(Charge!$N:$N,ROW()))),INDEX(Charge!$N:$N,ROW()),"")</f>
        <v/>
      </c>
      <c r="J173" s="169"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70">
        <f>IF(OR($I173="",$E173=0),0,IF(OR($J173&lt;W$3,$I173&gt;W$2),0,IF($K173=0,IF(AND($I173&gt;=W$3,$I173&lt;=W$2),$E173,0),$E173*NETWORKDAYS(MAX($I173,W$3),MIN($J173,W$2),Data!$K$4:$K$203)/$K173)))</f>
        <v>0</v>
      </c>
      <c r="X173" s="170">
        <f>IF(OR($I173="",$E173=0),0,IF(OR($J173&lt;X$3,$I173&gt;X$2),0,IF($K173=0,IF(AND($I173&gt;=X$3,$I173&lt;=X$2),$E173,0),$E173*NETWORKDAYS(MAX($I173,X$3),MIN($J173,X$2),Data!$K$4:$K$203)/$K173)))</f>
        <v>0</v>
      </c>
      <c r="Y173" s="170">
        <f>IF(OR($I173="",$E173=0),0,IF(OR($J173&lt;Y$3,$I173&gt;Y$2),0,IF($K173=0,IF(AND($I173&gt;=Y$3,$I173&lt;=Y$2),$E173,0),$E173*NETWORKDAYS(MAX($I173,Y$3),MIN($J173,Y$2),Data!$K$4:$K$203)/$K173)))</f>
        <v>0</v>
      </c>
      <c r="Z173" s="170">
        <f>IF(OR($I173="",$E173=0),0,IF(OR($J173&lt;Z$3,$I173&gt;Z$2),0,IF($K173=0,IF(AND($I173&gt;=Z$3,$I173&lt;=Z$2),$E173,0),$E173*NETWORKDAYS(MAX($I173,Z$3),MIN($J173,Z$2),Data!$K$4:$K$203)/$K173)))</f>
        <v>0</v>
      </c>
      <c r="AA173" s="170">
        <f>IF(OR($I173="",$E173=0),0,IF(OR($J173&lt;AA$3,$I173&gt;AA$2),0,IF($K173=0,IF(AND($I173&gt;=AA$3,$I173&lt;=AA$2),$E173,0),$E173*NETWORKDAYS(MAX($I173,AA$3),MIN($J173,AA$2),Data!$K$4:$K$203)/$K173)))</f>
        <v>0</v>
      </c>
      <c r="AB173" s="170">
        <f>IF(OR($I173="",$E173=0),0,IF(OR($J173&lt;AB$3,$I173&gt;AB$2),0,IF($K173=0,IF(AND($I173&gt;=AB$3,$I173&lt;=AB$2),$E173,0),$E173*NETWORKDAYS(MAX($I173,AB$3),MIN($J173,AB$2),Data!$K$4:$K$203)/$K173)))</f>
        <v>0</v>
      </c>
      <c r="AC173" s="170">
        <f>IF(OR($I173="",$E173=0),0,IF(OR($J173&lt;AC$3,$I173&gt;AC$2),0,IF($K173=0,IF(AND($I173&gt;=AC$3,$I173&lt;=AC$2),$E173,0),$E173*NETWORKDAYS(MAX($I173,AC$3),MIN($J173,AC$2),Data!$K$4:$K$203)/$K173)))</f>
        <v>0</v>
      </c>
      <c r="AD173" s="170">
        <f>IF(OR($I173="",$E173=0),0,IF(OR($J173&lt;AD$3,$I173&gt;AD$2),0,IF($K173=0,IF(AND($I173&gt;=AD$3,$I173&lt;=AD$2),$E173,0),$E173*NETWORKDAYS(MAX($I173,AD$3),MIN($J173,AD$2),Data!$K$4:$K$203)/$K173)))</f>
        <v>0</v>
      </c>
      <c r="AE173" s="170">
        <f>IF(OR($I173="",$E173=0),0,IF(OR($J173&lt;AE$3,$I173&gt;AE$2),0,IF($K173=0,IF(AND($I173&gt;=AE$3,$I173&lt;=AE$2),$E173,0),$E173*NETWORKDAYS(MAX($I173,AE$3),MIN($J173,AE$2),Data!$K$4:$K$203)/$K173)))</f>
        <v>0</v>
      </c>
      <c r="AF173" s="170">
        <f>IF(OR($I173="",$E173=0),0,IF(OR($J173&lt;AF$3,$I173&gt;AF$2),0,IF($K173=0,IF(AND($I173&gt;=AF$3,$I173&lt;=AF$2),$E173,0),$E173*NETWORKDAYS(MAX($I173,AF$3),MIN($J173,AF$2),Data!$K$4:$K$203)/$K173)))</f>
        <v>0</v>
      </c>
      <c r="AG173" s="170">
        <f>IF(OR($I173="",$E173=0),0,IF(OR($J173&lt;AG$3,$I173&gt;AG$2),0,IF($K173=0,IF(AND($I173&gt;=AG$3,$I173&lt;=AG$2),$E173,0),$E173*NETWORKDAYS(MAX($I173,AG$3),MIN($J173,AG$2),Data!$K$4:$K$203)/$K173)))</f>
        <v>0</v>
      </c>
      <c r="AH173" s="170">
        <f>IF(OR($I173="",$E173=0),0,IF(OR($J173&lt;AH$3,$I173&gt;AH$2),0,IF($K173=0,IF(AND($I173&gt;=AH$3,$I173&lt;=AH$2),$E173,0),$E173*NETWORKDAYS(MAX($I173,AH$3),MIN($J173,AH$2),Data!$K$4:$K$203)/$K173)))</f>
        <v>0</v>
      </c>
      <c r="AI173" s="170">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70"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4" t="str">
        <f>IF(EO173=1,IF(FH173&gt;0,FI173/FH173,AVERAGEIF($FF$4:$FF$503,EN173,$C$4:$C$503)),"")</f>
        <v/>
      </c>
      <c r="EV173" s="169">
        <f>IF(ISNUMBER(I173),I173,2958465)</f>
        <v>2958465.0</v>
      </c>
      <c r="EW173" s="169" t="str">
        <f>IF(EO173=1,SUMPRODUCT(MIN(($EN$4:$EN$503=EN173)*$EV$4:$EV$503+($EN$4:$EN$503&lt;&gt;EN173)*2958465)),"")</f>
        <v/>
      </c>
      <c r="EX173" s="169">
        <f>IF(AND(D173=1,ISNUMBER(INDEX(Charge!$F:$F,ROW()))),INDEX(Charge!$F:$F,ROW()),0)</f>
        <v>0.0</v>
      </c>
      <c r="EY173" s="169"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c r="FF173" t="str">
        <f>IF(B173=1,LEFT(SUBSTITUTE(SUBSTITUTE(SUBSTITUTE(TRIM(SUBSTITUTE(INDEX(Charge!$B:$B,ROW()),CHAR(160)," "))&amp;" | "&amp;TRIM(SUBSTITUTE(INDEX(Charge!$C:$C,ROW()),CHAR(160)," "))&amp;" | "&amp;TRIM(SUBSTITUTE(INDEX(Charge!$D:$D,ROW()),CHAR(160)," ")),"~","-"),"*","+"),"?","!"),240),"")</f>
        <v/>
      </c>
      <c r="FG173">
        <f>IF(B173=1,MAX(0,N(INDEX(Charge!$M:$M,ROW()))),0)</f>
        <v>0</v>
      </c>
      <c r="FH173" s="170" t="str">
        <f>IF(EO173=1,ROUND(SUMIF($FF$4:$FF$503,EN173,$FG$4:$FG$503),2),"")</f>
        <v/>
      </c>
      <c r="FI173" s="170" t="str">
        <f>IF(EO173=1,ROUND(SUMPRODUCT(($FF$4:$FF$503=EN173)*$FG$4:$FG$503*$C$4:$C$503),2),"")</f>
        <v/>
      </c>
      <c r="FJ173" s="170" t="str">
        <f>IF(EO173=1,MAX(0,ROUND(FH173-FI173,2)),"")</f>
        <v/>
      </c>
      <c r="FK173" s="174" t="str">
        <f>IF(EO173=1,IF(OR(EW173&gt;=2958465,EY173=0,EY173&lt;=EW173),"",IF(TODAY()&lt;=EW173,0,IF(TODAY()&gt;EY173,1,IFERROR(NETWORKDAYS(EW173,TODAY()-1,Data!$K$4:$K$203)/NETWORKDAYS(EW173,EY173,Data!$K$4:$K$203),"")))),"")</f>
        <v/>
      </c>
      <c r="FL173" t="str">
        <f>IF(EO173=1,IF(AND(EY173&gt;0,EY173&lt;TODAY(),ROUND(EU173,4)&lt;1),2,IF(FK173="",0,IF(ROUND(EU173-FK173,4)&lt;-0.15,1,0))),"")</f>
        <v/>
      </c>
      <c r="FM173">
        <f>IF(OR(FA173="",COUNTIF($FA$4:FA172,FA173)&gt;0),0,MAX(0,IF(FB173="Interne",IF(ISNUMBER(INDEX(Data!$F:$F,173)),INDEX(Data!$F:$F,173),p_HeuresETP),IF(ISNUMBER(INDEX(Data!$I:$I,173-$CD$23)),INDEX(Data!$I:$I,173-$CD$23),p_HeuresETP))-IF(FB173="Interne",IF(ISNUMBER(INDEX(Data!$G:$G,173)),INDEX(Data!$G:$G,173),p_ChargeFixe),IF(ISNUMBER(INDEX(Data!$J:$J,173-$CD$23)),INDEX(Data!$J:$J,173-$CD$23),p_ChargeFixe))))</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9" t="str">
        <f>IF(AND(D174=1,ISNUMBER(INDEX(Charge!$N:$N,ROW()))),INDEX(Charge!$N:$N,ROW()),"")</f>
        <v/>
      </c>
      <c r="J174" s="169"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70">
        <f>IF(OR($I174="",$E174=0),0,IF(OR($J174&lt;W$3,$I174&gt;W$2),0,IF($K174=0,IF(AND($I174&gt;=W$3,$I174&lt;=W$2),$E174,0),$E174*NETWORKDAYS(MAX($I174,W$3),MIN($J174,W$2),Data!$K$4:$K$203)/$K174)))</f>
        <v>0</v>
      </c>
      <c r="X174" s="170">
        <f>IF(OR($I174="",$E174=0),0,IF(OR($J174&lt;X$3,$I174&gt;X$2),0,IF($K174=0,IF(AND($I174&gt;=X$3,$I174&lt;=X$2),$E174,0),$E174*NETWORKDAYS(MAX($I174,X$3),MIN($J174,X$2),Data!$K$4:$K$203)/$K174)))</f>
        <v>0</v>
      </c>
      <c r="Y174" s="170">
        <f>IF(OR($I174="",$E174=0),0,IF(OR($J174&lt;Y$3,$I174&gt;Y$2),0,IF($K174=0,IF(AND($I174&gt;=Y$3,$I174&lt;=Y$2),$E174,0),$E174*NETWORKDAYS(MAX($I174,Y$3),MIN($J174,Y$2),Data!$K$4:$K$203)/$K174)))</f>
        <v>0</v>
      </c>
      <c r="Z174" s="170">
        <f>IF(OR($I174="",$E174=0),0,IF(OR($J174&lt;Z$3,$I174&gt;Z$2),0,IF($K174=0,IF(AND($I174&gt;=Z$3,$I174&lt;=Z$2),$E174,0),$E174*NETWORKDAYS(MAX($I174,Z$3),MIN($J174,Z$2),Data!$K$4:$K$203)/$K174)))</f>
        <v>0</v>
      </c>
      <c r="AA174" s="170">
        <f>IF(OR($I174="",$E174=0),0,IF(OR($J174&lt;AA$3,$I174&gt;AA$2),0,IF($K174=0,IF(AND($I174&gt;=AA$3,$I174&lt;=AA$2),$E174,0),$E174*NETWORKDAYS(MAX($I174,AA$3),MIN($J174,AA$2),Data!$K$4:$K$203)/$K174)))</f>
        <v>0</v>
      </c>
      <c r="AB174" s="170">
        <f>IF(OR($I174="",$E174=0),0,IF(OR($J174&lt;AB$3,$I174&gt;AB$2),0,IF($K174=0,IF(AND($I174&gt;=AB$3,$I174&lt;=AB$2),$E174,0),$E174*NETWORKDAYS(MAX($I174,AB$3),MIN($J174,AB$2),Data!$K$4:$K$203)/$K174)))</f>
        <v>0</v>
      </c>
      <c r="AC174" s="170">
        <f>IF(OR($I174="",$E174=0),0,IF(OR($J174&lt;AC$3,$I174&gt;AC$2),0,IF($K174=0,IF(AND($I174&gt;=AC$3,$I174&lt;=AC$2),$E174,0),$E174*NETWORKDAYS(MAX($I174,AC$3),MIN($J174,AC$2),Data!$K$4:$K$203)/$K174)))</f>
        <v>0</v>
      </c>
      <c r="AD174" s="170">
        <f>IF(OR($I174="",$E174=0),0,IF(OR($J174&lt;AD$3,$I174&gt;AD$2),0,IF($K174=0,IF(AND($I174&gt;=AD$3,$I174&lt;=AD$2),$E174,0),$E174*NETWORKDAYS(MAX($I174,AD$3),MIN($J174,AD$2),Data!$K$4:$K$203)/$K174)))</f>
        <v>0</v>
      </c>
      <c r="AE174" s="170">
        <f>IF(OR($I174="",$E174=0),0,IF(OR($J174&lt;AE$3,$I174&gt;AE$2),0,IF($K174=0,IF(AND($I174&gt;=AE$3,$I174&lt;=AE$2),$E174,0),$E174*NETWORKDAYS(MAX($I174,AE$3),MIN($J174,AE$2),Data!$K$4:$K$203)/$K174)))</f>
        <v>0</v>
      </c>
      <c r="AF174" s="170">
        <f>IF(OR($I174="",$E174=0),0,IF(OR($J174&lt;AF$3,$I174&gt;AF$2),0,IF($K174=0,IF(AND($I174&gt;=AF$3,$I174&lt;=AF$2),$E174,0),$E174*NETWORKDAYS(MAX($I174,AF$3),MIN($J174,AF$2),Data!$K$4:$K$203)/$K174)))</f>
        <v>0</v>
      </c>
      <c r="AG174" s="170">
        <f>IF(OR($I174="",$E174=0),0,IF(OR($J174&lt;AG$3,$I174&gt;AG$2),0,IF($K174=0,IF(AND($I174&gt;=AG$3,$I174&lt;=AG$2),$E174,0),$E174*NETWORKDAYS(MAX($I174,AG$3),MIN($J174,AG$2),Data!$K$4:$K$203)/$K174)))</f>
        <v>0</v>
      </c>
      <c r="AH174" s="170">
        <f>IF(OR($I174="",$E174=0),0,IF(OR($J174&lt;AH$3,$I174&gt;AH$2),0,IF($K174=0,IF(AND($I174&gt;=AH$3,$I174&lt;=AH$2),$E174,0),$E174*NETWORKDAYS(MAX($I174,AH$3),MIN($J174,AH$2),Data!$K$4:$K$203)/$K174)))</f>
        <v>0</v>
      </c>
      <c r="AI174" s="170">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70"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4" t="str">
        <f>IF(EO174=1,IF(FH174&gt;0,FI174/FH174,AVERAGEIF($FF$4:$FF$503,EN174,$C$4:$C$503)),"")</f>
        <v/>
      </c>
      <c r="EV174" s="169">
        <f>IF(ISNUMBER(I174),I174,2958465)</f>
        <v>2958465.0</v>
      </c>
      <c r="EW174" s="169" t="str">
        <f>IF(EO174=1,SUMPRODUCT(MIN(($EN$4:$EN$503=EN174)*$EV$4:$EV$503+($EN$4:$EN$503&lt;&gt;EN174)*2958465)),"")</f>
        <v/>
      </c>
      <c r="EX174" s="169">
        <f>IF(AND(D174=1,ISNUMBER(INDEX(Charge!$F:$F,ROW()))),INDEX(Charge!$F:$F,ROW()),0)</f>
        <v>0.0</v>
      </c>
      <c r="EY174" s="169"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c r="FF174" t="str">
        <f>IF(B174=1,LEFT(SUBSTITUTE(SUBSTITUTE(SUBSTITUTE(TRIM(SUBSTITUTE(INDEX(Charge!$B:$B,ROW()),CHAR(160)," "))&amp;" | "&amp;TRIM(SUBSTITUTE(INDEX(Charge!$C:$C,ROW()),CHAR(160)," "))&amp;" | "&amp;TRIM(SUBSTITUTE(INDEX(Charge!$D:$D,ROW()),CHAR(160)," ")),"~","-"),"*","+"),"?","!"),240),"")</f>
        <v/>
      </c>
      <c r="FG174">
        <f>IF(B174=1,MAX(0,N(INDEX(Charge!$M:$M,ROW()))),0)</f>
        <v>0</v>
      </c>
      <c r="FH174" s="170" t="str">
        <f>IF(EO174=1,ROUND(SUMIF($FF$4:$FF$503,EN174,$FG$4:$FG$503),2),"")</f>
        <v/>
      </c>
      <c r="FI174" s="170" t="str">
        <f>IF(EO174=1,ROUND(SUMPRODUCT(($FF$4:$FF$503=EN174)*$FG$4:$FG$503*$C$4:$C$503),2),"")</f>
        <v/>
      </c>
      <c r="FJ174" s="170" t="str">
        <f>IF(EO174=1,MAX(0,ROUND(FH174-FI174,2)),"")</f>
        <v/>
      </c>
      <c r="FK174" s="174" t="str">
        <f>IF(EO174=1,IF(OR(EW174&gt;=2958465,EY174=0,EY174&lt;=EW174),"",IF(TODAY()&lt;=EW174,0,IF(TODAY()&gt;EY174,1,IFERROR(NETWORKDAYS(EW174,TODAY()-1,Data!$K$4:$K$203)/NETWORKDAYS(EW174,EY174,Data!$K$4:$K$203),"")))),"")</f>
        <v/>
      </c>
      <c r="FL174" t="str">
        <f>IF(EO174=1,IF(AND(EY174&gt;0,EY174&lt;TODAY(),ROUND(EU174,4)&lt;1),2,IF(FK174="",0,IF(ROUND(EU174-FK174,4)&lt;-0.15,1,0))),"")</f>
        <v/>
      </c>
      <c r="FM174">
        <f>IF(OR(FA174="",COUNTIF($FA$4:FA173,FA174)&gt;0),0,MAX(0,IF(FB174="Interne",IF(ISNUMBER(INDEX(Data!$F:$F,174)),INDEX(Data!$F:$F,174),p_HeuresETP),IF(ISNUMBER(INDEX(Data!$I:$I,174-$CD$23)),INDEX(Data!$I:$I,174-$CD$23),p_HeuresETP))-IF(FB174="Interne",IF(ISNUMBER(INDEX(Data!$G:$G,174)),INDEX(Data!$G:$G,174),p_ChargeFixe),IF(ISNUMBER(INDEX(Data!$J:$J,174-$CD$23)),INDEX(Data!$J:$J,174-$CD$23),p_ChargeFixe))))</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9" t="str">
        <f>IF(AND(D175=1,ISNUMBER(INDEX(Charge!$N:$N,ROW()))),INDEX(Charge!$N:$N,ROW()),"")</f>
        <v/>
      </c>
      <c r="J175" s="169"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70">
        <f>IF(OR($I175="",$E175=0),0,IF(OR($J175&lt;W$3,$I175&gt;W$2),0,IF($K175=0,IF(AND($I175&gt;=W$3,$I175&lt;=W$2),$E175,0),$E175*NETWORKDAYS(MAX($I175,W$3),MIN($J175,W$2),Data!$K$4:$K$203)/$K175)))</f>
        <v>0</v>
      </c>
      <c r="X175" s="170">
        <f>IF(OR($I175="",$E175=0),0,IF(OR($J175&lt;X$3,$I175&gt;X$2),0,IF($K175=0,IF(AND($I175&gt;=X$3,$I175&lt;=X$2),$E175,0),$E175*NETWORKDAYS(MAX($I175,X$3),MIN($J175,X$2),Data!$K$4:$K$203)/$K175)))</f>
        <v>0</v>
      </c>
      <c r="Y175" s="170">
        <f>IF(OR($I175="",$E175=0),0,IF(OR($J175&lt;Y$3,$I175&gt;Y$2),0,IF($K175=0,IF(AND($I175&gt;=Y$3,$I175&lt;=Y$2),$E175,0),$E175*NETWORKDAYS(MAX($I175,Y$3),MIN($J175,Y$2),Data!$K$4:$K$203)/$K175)))</f>
        <v>0</v>
      </c>
      <c r="Z175" s="170">
        <f>IF(OR($I175="",$E175=0),0,IF(OR($J175&lt;Z$3,$I175&gt;Z$2),0,IF($K175=0,IF(AND($I175&gt;=Z$3,$I175&lt;=Z$2),$E175,0),$E175*NETWORKDAYS(MAX($I175,Z$3),MIN($J175,Z$2),Data!$K$4:$K$203)/$K175)))</f>
        <v>0</v>
      </c>
      <c r="AA175" s="170">
        <f>IF(OR($I175="",$E175=0),0,IF(OR($J175&lt;AA$3,$I175&gt;AA$2),0,IF($K175=0,IF(AND($I175&gt;=AA$3,$I175&lt;=AA$2),$E175,0),$E175*NETWORKDAYS(MAX($I175,AA$3),MIN($J175,AA$2),Data!$K$4:$K$203)/$K175)))</f>
        <v>0</v>
      </c>
      <c r="AB175" s="170">
        <f>IF(OR($I175="",$E175=0),0,IF(OR($J175&lt;AB$3,$I175&gt;AB$2),0,IF($K175=0,IF(AND($I175&gt;=AB$3,$I175&lt;=AB$2),$E175,0),$E175*NETWORKDAYS(MAX($I175,AB$3),MIN($J175,AB$2),Data!$K$4:$K$203)/$K175)))</f>
        <v>0</v>
      </c>
      <c r="AC175" s="170">
        <f>IF(OR($I175="",$E175=0),0,IF(OR($J175&lt;AC$3,$I175&gt;AC$2),0,IF($K175=0,IF(AND($I175&gt;=AC$3,$I175&lt;=AC$2),$E175,0),$E175*NETWORKDAYS(MAX($I175,AC$3),MIN($J175,AC$2),Data!$K$4:$K$203)/$K175)))</f>
        <v>0</v>
      </c>
      <c r="AD175" s="170">
        <f>IF(OR($I175="",$E175=0),0,IF(OR($J175&lt;AD$3,$I175&gt;AD$2),0,IF($K175=0,IF(AND($I175&gt;=AD$3,$I175&lt;=AD$2),$E175,0),$E175*NETWORKDAYS(MAX($I175,AD$3),MIN($J175,AD$2),Data!$K$4:$K$203)/$K175)))</f>
        <v>0</v>
      </c>
      <c r="AE175" s="170">
        <f>IF(OR($I175="",$E175=0),0,IF(OR($J175&lt;AE$3,$I175&gt;AE$2),0,IF($K175=0,IF(AND($I175&gt;=AE$3,$I175&lt;=AE$2),$E175,0),$E175*NETWORKDAYS(MAX($I175,AE$3),MIN($J175,AE$2),Data!$K$4:$K$203)/$K175)))</f>
        <v>0</v>
      </c>
      <c r="AF175" s="170">
        <f>IF(OR($I175="",$E175=0),0,IF(OR($J175&lt;AF$3,$I175&gt;AF$2),0,IF($K175=0,IF(AND($I175&gt;=AF$3,$I175&lt;=AF$2),$E175,0),$E175*NETWORKDAYS(MAX($I175,AF$3),MIN($J175,AF$2),Data!$K$4:$K$203)/$K175)))</f>
        <v>0</v>
      </c>
      <c r="AG175" s="170">
        <f>IF(OR($I175="",$E175=0),0,IF(OR($J175&lt;AG$3,$I175&gt;AG$2),0,IF($K175=0,IF(AND($I175&gt;=AG$3,$I175&lt;=AG$2),$E175,0),$E175*NETWORKDAYS(MAX($I175,AG$3),MIN($J175,AG$2),Data!$K$4:$K$203)/$K175)))</f>
        <v>0</v>
      </c>
      <c r="AH175" s="170">
        <f>IF(OR($I175="",$E175=0),0,IF(OR($J175&lt;AH$3,$I175&gt;AH$2),0,IF($K175=0,IF(AND($I175&gt;=AH$3,$I175&lt;=AH$2),$E175,0),$E175*NETWORKDAYS(MAX($I175,AH$3),MIN($J175,AH$2),Data!$K$4:$K$203)/$K175)))</f>
        <v>0</v>
      </c>
      <c r="AI175" s="170">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70"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4" t="str">
        <f>IF(EO175=1,IF(FH175&gt;0,FI175/FH175,AVERAGEIF($FF$4:$FF$503,EN175,$C$4:$C$503)),"")</f>
        <v/>
      </c>
      <c r="EV175" s="169">
        <f>IF(ISNUMBER(I175),I175,2958465)</f>
        <v>2958465.0</v>
      </c>
      <c r="EW175" s="169" t="str">
        <f>IF(EO175=1,SUMPRODUCT(MIN(($EN$4:$EN$503=EN175)*$EV$4:$EV$503+($EN$4:$EN$503&lt;&gt;EN175)*2958465)),"")</f>
        <v/>
      </c>
      <c r="EX175" s="169">
        <f>IF(AND(D175=1,ISNUMBER(INDEX(Charge!$F:$F,ROW()))),INDEX(Charge!$F:$F,ROW()),0)</f>
        <v>0.0</v>
      </c>
      <c r="EY175" s="169"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c r="FF175" t="str">
        <f>IF(B175=1,LEFT(SUBSTITUTE(SUBSTITUTE(SUBSTITUTE(TRIM(SUBSTITUTE(INDEX(Charge!$B:$B,ROW()),CHAR(160)," "))&amp;" | "&amp;TRIM(SUBSTITUTE(INDEX(Charge!$C:$C,ROW()),CHAR(160)," "))&amp;" | "&amp;TRIM(SUBSTITUTE(INDEX(Charge!$D:$D,ROW()),CHAR(160)," ")),"~","-"),"*","+"),"?","!"),240),"")</f>
        <v/>
      </c>
      <c r="FG175">
        <f>IF(B175=1,MAX(0,N(INDEX(Charge!$M:$M,ROW()))),0)</f>
        <v>0</v>
      </c>
      <c r="FH175" s="170" t="str">
        <f>IF(EO175=1,ROUND(SUMIF($FF$4:$FF$503,EN175,$FG$4:$FG$503),2),"")</f>
        <v/>
      </c>
      <c r="FI175" s="170" t="str">
        <f>IF(EO175=1,ROUND(SUMPRODUCT(($FF$4:$FF$503=EN175)*$FG$4:$FG$503*$C$4:$C$503),2),"")</f>
        <v/>
      </c>
      <c r="FJ175" s="170" t="str">
        <f>IF(EO175=1,MAX(0,ROUND(FH175-FI175,2)),"")</f>
        <v/>
      </c>
      <c r="FK175" s="174" t="str">
        <f>IF(EO175=1,IF(OR(EW175&gt;=2958465,EY175=0,EY175&lt;=EW175),"",IF(TODAY()&lt;=EW175,0,IF(TODAY()&gt;EY175,1,IFERROR(NETWORKDAYS(EW175,TODAY()-1,Data!$K$4:$K$203)/NETWORKDAYS(EW175,EY175,Data!$K$4:$K$203),"")))),"")</f>
        <v/>
      </c>
      <c r="FL175" t="str">
        <f>IF(EO175=1,IF(AND(EY175&gt;0,EY175&lt;TODAY(),ROUND(EU175,4)&lt;1),2,IF(FK175="",0,IF(ROUND(EU175-FK175,4)&lt;-0.15,1,0))),"")</f>
        <v/>
      </c>
      <c r="FM175">
        <f>IF(OR(FA175="",COUNTIF($FA$4:FA174,FA175)&gt;0),0,MAX(0,IF(FB175="Interne",IF(ISNUMBER(INDEX(Data!$F:$F,175)),INDEX(Data!$F:$F,175),p_HeuresETP),IF(ISNUMBER(INDEX(Data!$I:$I,175-$CD$23)),INDEX(Data!$I:$I,175-$CD$23),p_HeuresETP))-IF(FB175="Interne",IF(ISNUMBER(INDEX(Data!$G:$G,175)),INDEX(Data!$G:$G,175),p_ChargeFixe),IF(ISNUMBER(INDEX(Data!$J:$J,175-$CD$23)),INDEX(Data!$J:$J,175-$CD$23),p_ChargeFixe))))</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9" t="str">
        <f>IF(AND(D176=1,ISNUMBER(INDEX(Charge!$N:$N,ROW()))),INDEX(Charge!$N:$N,ROW()),"")</f>
        <v/>
      </c>
      <c r="J176" s="169"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70">
        <f>IF(OR($I176="",$E176=0),0,IF(OR($J176&lt;W$3,$I176&gt;W$2),0,IF($K176=0,IF(AND($I176&gt;=W$3,$I176&lt;=W$2),$E176,0),$E176*NETWORKDAYS(MAX($I176,W$3),MIN($J176,W$2),Data!$K$4:$K$203)/$K176)))</f>
        <v>0</v>
      </c>
      <c r="X176" s="170">
        <f>IF(OR($I176="",$E176=0),0,IF(OR($J176&lt;X$3,$I176&gt;X$2),0,IF($K176=0,IF(AND($I176&gt;=X$3,$I176&lt;=X$2),$E176,0),$E176*NETWORKDAYS(MAX($I176,X$3),MIN($J176,X$2),Data!$K$4:$K$203)/$K176)))</f>
        <v>0</v>
      </c>
      <c r="Y176" s="170">
        <f>IF(OR($I176="",$E176=0),0,IF(OR($J176&lt;Y$3,$I176&gt;Y$2),0,IF($K176=0,IF(AND($I176&gt;=Y$3,$I176&lt;=Y$2),$E176,0),$E176*NETWORKDAYS(MAX($I176,Y$3),MIN($J176,Y$2),Data!$K$4:$K$203)/$K176)))</f>
        <v>0</v>
      </c>
      <c r="Z176" s="170">
        <f>IF(OR($I176="",$E176=0),0,IF(OR($J176&lt;Z$3,$I176&gt;Z$2),0,IF($K176=0,IF(AND($I176&gt;=Z$3,$I176&lt;=Z$2),$E176,0),$E176*NETWORKDAYS(MAX($I176,Z$3),MIN($J176,Z$2),Data!$K$4:$K$203)/$K176)))</f>
        <v>0</v>
      </c>
      <c r="AA176" s="170">
        <f>IF(OR($I176="",$E176=0),0,IF(OR($J176&lt;AA$3,$I176&gt;AA$2),0,IF($K176=0,IF(AND($I176&gt;=AA$3,$I176&lt;=AA$2),$E176,0),$E176*NETWORKDAYS(MAX($I176,AA$3),MIN($J176,AA$2),Data!$K$4:$K$203)/$K176)))</f>
        <v>0</v>
      </c>
      <c r="AB176" s="170">
        <f>IF(OR($I176="",$E176=0),0,IF(OR($J176&lt;AB$3,$I176&gt;AB$2),0,IF($K176=0,IF(AND($I176&gt;=AB$3,$I176&lt;=AB$2),$E176,0),$E176*NETWORKDAYS(MAX($I176,AB$3),MIN($J176,AB$2),Data!$K$4:$K$203)/$K176)))</f>
        <v>0</v>
      </c>
      <c r="AC176" s="170">
        <f>IF(OR($I176="",$E176=0),0,IF(OR($J176&lt;AC$3,$I176&gt;AC$2),0,IF($K176=0,IF(AND($I176&gt;=AC$3,$I176&lt;=AC$2),$E176,0),$E176*NETWORKDAYS(MAX($I176,AC$3),MIN($J176,AC$2),Data!$K$4:$K$203)/$K176)))</f>
        <v>0</v>
      </c>
      <c r="AD176" s="170">
        <f>IF(OR($I176="",$E176=0),0,IF(OR($J176&lt;AD$3,$I176&gt;AD$2),0,IF($K176=0,IF(AND($I176&gt;=AD$3,$I176&lt;=AD$2),$E176,0),$E176*NETWORKDAYS(MAX($I176,AD$3),MIN($J176,AD$2),Data!$K$4:$K$203)/$K176)))</f>
        <v>0</v>
      </c>
      <c r="AE176" s="170">
        <f>IF(OR($I176="",$E176=0),0,IF(OR($J176&lt;AE$3,$I176&gt;AE$2),0,IF($K176=0,IF(AND($I176&gt;=AE$3,$I176&lt;=AE$2),$E176,0),$E176*NETWORKDAYS(MAX($I176,AE$3),MIN($J176,AE$2),Data!$K$4:$K$203)/$K176)))</f>
        <v>0</v>
      </c>
      <c r="AF176" s="170">
        <f>IF(OR($I176="",$E176=0),0,IF(OR($J176&lt;AF$3,$I176&gt;AF$2),0,IF($K176=0,IF(AND($I176&gt;=AF$3,$I176&lt;=AF$2),$E176,0),$E176*NETWORKDAYS(MAX($I176,AF$3),MIN($J176,AF$2),Data!$K$4:$K$203)/$K176)))</f>
        <v>0</v>
      </c>
      <c r="AG176" s="170">
        <f>IF(OR($I176="",$E176=0),0,IF(OR($J176&lt;AG$3,$I176&gt;AG$2),0,IF($K176=0,IF(AND($I176&gt;=AG$3,$I176&lt;=AG$2),$E176,0),$E176*NETWORKDAYS(MAX($I176,AG$3),MIN($J176,AG$2),Data!$K$4:$K$203)/$K176)))</f>
        <v>0</v>
      </c>
      <c r="AH176" s="170">
        <f>IF(OR($I176="",$E176=0),0,IF(OR($J176&lt;AH$3,$I176&gt;AH$2),0,IF($K176=0,IF(AND($I176&gt;=AH$3,$I176&lt;=AH$2),$E176,0),$E176*NETWORKDAYS(MAX($I176,AH$3),MIN($J176,AH$2),Data!$K$4:$K$203)/$K176)))</f>
        <v>0</v>
      </c>
      <c r="AI176" s="170">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70"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4" t="str">
        <f>IF(EO176=1,IF(FH176&gt;0,FI176/FH176,AVERAGEIF($FF$4:$FF$503,EN176,$C$4:$C$503)),"")</f>
        <v/>
      </c>
      <c r="EV176" s="169">
        <f>IF(ISNUMBER(I176),I176,2958465)</f>
        <v>2958465.0</v>
      </c>
      <c r="EW176" s="169" t="str">
        <f>IF(EO176=1,SUMPRODUCT(MIN(($EN$4:$EN$503=EN176)*$EV$4:$EV$503+($EN$4:$EN$503&lt;&gt;EN176)*2958465)),"")</f>
        <v/>
      </c>
      <c r="EX176" s="169">
        <f>IF(AND(D176=1,ISNUMBER(INDEX(Charge!$F:$F,ROW()))),INDEX(Charge!$F:$F,ROW()),0)</f>
        <v>0.0</v>
      </c>
      <c r="EY176" s="169"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c r="FF176" t="str">
        <f>IF(B176=1,LEFT(SUBSTITUTE(SUBSTITUTE(SUBSTITUTE(TRIM(SUBSTITUTE(INDEX(Charge!$B:$B,ROW()),CHAR(160)," "))&amp;" | "&amp;TRIM(SUBSTITUTE(INDEX(Charge!$C:$C,ROW()),CHAR(160)," "))&amp;" | "&amp;TRIM(SUBSTITUTE(INDEX(Charge!$D:$D,ROW()),CHAR(160)," ")),"~","-"),"*","+"),"?","!"),240),"")</f>
        <v/>
      </c>
      <c r="FG176">
        <f>IF(B176=1,MAX(0,N(INDEX(Charge!$M:$M,ROW()))),0)</f>
        <v>0</v>
      </c>
      <c r="FH176" s="170" t="str">
        <f>IF(EO176=1,ROUND(SUMIF($FF$4:$FF$503,EN176,$FG$4:$FG$503),2),"")</f>
        <v/>
      </c>
      <c r="FI176" s="170" t="str">
        <f>IF(EO176=1,ROUND(SUMPRODUCT(($FF$4:$FF$503=EN176)*$FG$4:$FG$503*$C$4:$C$503),2),"")</f>
        <v/>
      </c>
      <c r="FJ176" s="170" t="str">
        <f>IF(EO176=1,MAX(0,ROUND(FH176-FI176,2)),"")</f>
        <v/>
      </c>
      <c r="FK176" s="174" t="str">
        <f>IF(EO176=1,IF(OR(EW176&gt;=2958465,EY176=0,EY176&lt;=EW176),"",IF(TODAY()&lt;=EW176,0,IF(TODAY()&gt;EY176,1,IFERROR(NETWORKDAYS(EW176,TODAY()-1,Data!$K$4:$K$203)/NETWORKDAYS(EW176,EY176,Data!$K$4:$K$203),"")))),"")</f>
        <v/>
      </c>
      <c r="FL176" t="str">
        <f>IF(EO176=1,IF(AND(EY176&gt;0,EY176&lt;TODAY(),ROUND(EU176,4)&lt;1),2,IF(FK176="",0,IF(ROUND(EU176-FK176,4)&lt;-0.15,1,0))),"")</f>
        <v/>
      </c>
      <c r="FM176">
        <f>IF(OR(FA176="",COUNTIF($FA$4:FA175,FA176)&gt;0),0,MAX(0,IF(FB176="Interne",IF(ISNUMBER(INDEX(Data!$F:$F,176)),INDEX(Data!$F:$F,176),p_HeuresETP),IF(ISNUMBER(INDEX(Data!$I:$I,176-$CD$23)),INDEX(Data!$I:$I,176-$CD$23),p_HeuresETP))-IF(FB176="Interne",IF(ISNUMBER(INDEX(Data!$G:$G,176)),INDEX(Data!$G:$G,176),p_ChargeFixe),IF(ISNUMBER(INDEX(Data!$J:$J,176-$CD$23)),INDEX(Data!$J:$J,176-$CD$23),p_ChargeFixe))))</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9" t="str">
        <f>IF(AND(D177=1,ISNUMBER(INDEX(Charge!$N:$N,ROW()))),INDEX(Charge!$N:$N,ROW()),"")</f>
        <v/>
      </c>
      <c r="J177" s="169"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70">
        <f>IF(OR($I177="",$E177=0),0,IF(OR($J177&lt;W$3,$I177&gt;W$2),0,IF($K177=0,IF(AND($I177&gt;=W$3,$I177&lt;=W$2),$E177,0),$E177*NETWORKDAYS(MAX($I177,W$3),MIN($J177,W$2),Data!$K$4:$K$203)/$K177)))</f>
        <v>0</v>
      </c>
      <c r="X177" s="170">
        <f>IF(OR($I177="",$E177=0),0,IF(OR($J177&lt;X$3,$I177&gt;X$2),0,IF($K177=0,IF(AND($I177&gt;=X$3,$I177&lt;=X$2),$E177,0),$E177*NETWORKDAYS(MAX($I177,X$3),MIN($J177,X$2),Data!$K$4:$K$203)/$K177)))</f>
        <v>0</v>
      </c>
      <c r="Y177" s="170">
        <f>IF(OR($I177="",$E177=0),0,IF(OR($J177&lt;Y$3,$I177&gt;Y$2),0,IF($K177=0,IF(AND($I177&gt;=Y$3,$I177&lt;=Y$2),$E177,0),$E177*NETWORKDAYS(MAX($I177,Y$3),MIN($J177,Y$2),Data!$K$4:$K$203)/$K177)))</f>
        <v>0</v>
      </c>
      <c r="Z177" s="170">
        <f>IF(OR($I177="",$E177=0),0,IF(OR($J177&lt;Z$3,$I177&gt;Z$2),0,IF($K177=0,IF(AND($I177&gt;=Z$3,$I177&lt;=Z$2),$E177,0),$E177*NETWORKDAYS(MAX($I177,Z$3),MIN($J177,Z$2),Data!$K$4:$K$203)/$K177)))</f>
        <v>0</v>
      </c>
      <c r="AA177" s="170">
        <f>IF(OR($I177="",$E177=0),0,IF(OR($J177&lt;AA$3,$I177&gt;AA$2),0,IF($K177=0,IF(AND($I177&gt;=AA$3,$I177&lt;=AA$2),$E177,0),$E177*NETWORKDAYS(MAX($I177,AA$3),MIN($J177,AA$2),Data!$K$4:$K$203)/$K177)))</f>
        <v>0</v>
      </c>
      <c r="AB177" s="170">
        <f>IF(OR($I177="",$E177=0),0,IF(OR($J177&lt;AB$3,$I177&gt;AB$2),0,IF($K177=0,IF(AND($I177&gt;=AB$3,$I177&lt;=AB$2),$E177,0),$E177*NETWORKDAYS(MAX($I177,AB$3),MIN($J177,AB$2),Data!$K$4:$K$203)/$K177)))</f>
        <v>0</v>
      </c>
      <c r="AC177" s="170">
        <f>IF(OR($I177="",$E177=0),0,IF(OR($J177&lt;AC$3,$I177&gt;AC$2),0,IF($K177=0,IF(AND($I177&gt;=AC$3,$I177&lt;=AC$2),$E177,0),$E177*NETWORKDAYS(MAX($I177,AC$3),MIN($J177,AC$2),Data!$K$4:$K$203)/$K177)))</f>
        <v>0</v>
      </c>
      <c r="AD177" s="170">
        <f>IF(OR($I177="",$E177=0),0,IF(OR($J177&lt;AD$3,$I177&gt;AD$2),0,IF($K177=0,IF(AND($I177&gt;=AD$3,$I177&lt;=AD$2),$E177,0),$E177*NETWORKDAYS(MAX($I177,AD$3),MIN($J177,AD$2),Data!$K$4:$K$203)/$K177)))</f>
        <v>0</v>
      </c>
      <c r="AE177" s="170">
        <f>IF(OR($I177="",$E177=0),0,IF(OR($J177&lt;AE$3,$I177&gt;AE$2),0,IF($K177=0,IF(AND($I177&gt;=AE$3,$I177&lt;=AE$2),$E177,0),$E177*NETWORKDAYS(MAX($I177,AE$3),MIN($J177,AE$2),Data!$K$4:$K$203)/$K177)))</f>
        <v>0</v>
      </c>
      <c r="AF177" s="170">
        <f>IF(OR($I177="",$E177=0),0,IF(OR($J177&lt;AF$3,$I177&gt;AF$2),0,IF($K177=0,IF(AND($I177&gt;=AF$3,$I177&lt;=AF$2),$E177,0),$E177*NETWORKDAYS(MAX($I177,AF$3),MIN($J177,AF$2),Data!$K$4:$K$203)/$K177)))</f>
        <v>0</v>
      </c>
      <c r="AG177" s="170">
        <f>IF(OR($I177="",$E177=0),0,IF(OR($J177&lt;AG$3,$I177&gt;AG$2),0,IF($K177=0,IF(AND($I177&gt;=AG$3,$I177&lt;=AG$2),$E177,0),$E177*NETWORKDAYS(MAX($I177,AG$3),MIN($J177,AG$2),Data!$K$4:$K$203)/$K177)))</f>
        <v>0</v>
      </c>
      <c r="AH177" s="170">
        <f>IF(OR($I177="",$E177=0),0,IF(OR($J177&lt;AH$3,$I177&gt;AH$2),0,IF($K177=0,IF(AND($I177&gt;=AH$3,$I177&lt;=AH$2),$E177,0),$E177*NETWORKDAYS(MAX($I177,AH$3),MIN($J177,AH$2),Data!$K$4:$K$203)/$K177)))</f>
        <v>0</v>
      </c>
      <c r="AI177" s="170">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70"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4" t="str">
        <f>IF(EO177=1,IF(FH177&gt;0,FI177/FH177,AVERAGEIF($FF$4:$FF$503,EN177,$C$4:$C$503)),"")</f>
        <v/>
      </c>
      <c r="EV177" s="169">
        <f>IF(ISNUMBER(I177),I177,2958465)</f>
        <v>2958465.0</v>
      </c>
      <c r="EW177" s="169" t="str">
        <f>IF(EO177=1,SUMPRODUCT(MIN(($EN$4:$EN$503=EN177)*$EV$4:$EV$503+($EN$4:$EN$503&lt;&gt;EN177)*2958465)),"")</f>
        <v/>
      </c>
      <c r="EX177" s="169">
        <f>IF(AND(D177=1,ISNUMBER(INDEX(Charge!$F:$F,ROW()))),INDEX(Charge!$F:$F,ROW()),0)</f>
        <v>0.0</v>
      </c>
      <c r="EY177" s="169"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c r="FF177" t="str">
        <f>IF(B177=1,LEFT(SUBSTITUTE(SUBSTITUTE(SUBSTITUTE(TRIM(SUBSTITUTE(INDEX(Charge!$B:$B,ROW()),CHAR(160)," "))&amp;" | "&amp;TRIM(SUBSTITUTE(INDEX(Charge!$C:$C,ROW()),CHAR(160)," "))&amp;" | "&amp;TRIM(SUBSTITUTE(INDEX(Charge!$D:$D,ROW()),CHAR(160)," ")),"~","-"),"*","+"),"?","!"),240),"")</f>
        <v/>
      </c>
      <c r="FG177">
        <f>IF(B177=1,MAX(0,N(INDEX(Charge!$M:$M,ROW()))),0)</f>
        <v>0</v>
      </c>
      <c r="FH177" s="170" t="str">
        <f>IF(EO177=1,ROUND(SUMIF($FF$4:$FF$503,EN177,$FG$4:$FG$503),2),"")</f>
        <v/>
      </c>
      <c r="FI177" s="170" t="str">
        <f>IF(EO177=1,ROUND(SUMPRODUCT(($FF$4:$FF$503=EN177)*$FG$4:$FG$503*$C$4:$C$503),2),"")</f>
        <v/>
      </c>
      <c r="FJ177" s="170" t="str">
        <f>IF(EO177=1,MAX(0,ROUND(FH177-FI177,2)),"")</f>
        <v/>
      </c>
      <c r="FK177" s="174" t="str">
        <f>IF(EO177=1,IF(OR(EW177&gt;=2958465,EY177=0,EY177&lt;=EW177),"",IF(TODAY()&lt;=EW177,0,IF(TODAY()&gt;EY177,1,IFERROR(NETWORKDAYS(EW177,TODAY()-1,Data!$K$4:$K$203)/NETWORKDAYS(EW177,EY177,Data!$K$4:$K$203),"")))),"")</f>
        <v/>
      </c>
      <c r="FL177" t="str">
        <f>IF(EO177=1,IF(AND(EY177&gt;0,EY177&lt;TODAY(),ROUND(EU177,4)&lt;1),2,IF(FK177="",0,IF(ROUND(EU177-FK177,4)&lt;-0.15,1,0))),"")</f>
        <v/>
      </c>
      <c r="FM177">
        <f>IF(OR(FA177="",COUNTIF($FA$4:FA176,FA177)&gt;0),0,MAX(0,IF(FB177="Interne",IF(ISNUMBER(INDEX(Data!$F:$F,177)),INDEX(Data!$F:$F,177),p_HeuresETP),IF(ISNUMBER(INDEX(Data!$I:$I,177-$CD$23)),INDEX(Data!$I:$I,177-$CD$23),p_HeuresETP))-IF(FB177="Interne",IF(ISNUMBER(INDEX(Data!$G:$G,177)),INDEX(Data!$G:$G,177),p_ChargeFixe),IF(ISNUMBER(INDEX(Data!$J:$J,177-$CD$23)),INDEX(Data!$J:$J,177-$CD$23),p_ChargeFixe))))</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9" t="str">
        <f>IF(AND(D178=1,ISNUMBER(INDEX(Charge!$N:$N,ROW()))),INDEX(Charge!$N:$N,ROW()),"")</f>
        <v/>
      </c>
      <c r="J178" s="169"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70">
        <f>IF(OR($I178="",$E178=0),0,IF(OR($J178&lt;W$3,$I178&gt;W$2),0,IF($K178=0,IF(AND($I178&gt;=W$3,$I178&lt;=W$2),$E178,0),$E178*NETWORKDAYS(MAX($I178,W$3),MIN($J178,W$2),Data!$K$4:$K$203)/$K178)))</f>
        <v>0</v>
      </c>
      <c r="X178" s="170">
        <f>IF(OR($I178="",$E178=0),0,IF(OR($J178&lt;X$3,$I178&gt;X$2),0,IF($K178=0,IF(AND($I178&gt;=X$3,$I178&lt;=X$2),$E178,0),$E178*NETWORKDAYS(MAX($I178,X$3),MIN($J178,X$2),Data!$K$4:$K$203)/$K178)))</f>
        <v>0</v>
      </c>
      <c r="Y178" s="170">
        <f>IF(OR($I178="",$E178=0),0,IF(OR($J178&lt;Y$3,$I178&gt;Y$2),0,IF($K178=0,IF(AND($I178&gt;=Y$3,$I178&lt;=Y$2),$E178,0),$E178*NETWORKDAYS(MAX($I178,Y$3),MIN($J178,Y$2),Data!$K$4:$K$203)/$K178)))</f>
        <v>0</v>
      </c>
      <c r="Z178" s="170">
        <f>IF(OR($I178="",$E178=0),0,IF(OR($J178&lt;Z$3,$I178&gt;Z$2),0,IF($K178=0,IF(AND($I178&gt;=Z$3,$I178&lt;=Z$2),$E178,0),$E178*NETWORKDAYS(MAX($I178,Z$3),MIN($J178,Z$2),Data!$K$4:$K$203)/$K178)))</f>
        <v>0</v>
      </c>
      <c r="AA178" s="170">
        <f>IF(OR($I178="",$E178=0),0,IF(OR($J178&lt;AA$3,$I178&gt;AA$2),0,IF($K178=0,IF(AND($I178&gt;=AA$3,$I178&lt;=AA$2),$E178,0),$E178*NETWORKDAYS(MAX($I178,AA$3),MIN($J178,AA$2),Data!$K$4:$K$203)/$K178)))</f>
        <v>0</v>
      </c>
      <c r="AB178" s="170">
        <f>IF(OR($I178="",$E178=0),0,IF(OR($J178&lt;AB$3,$I178&gt;AB$2),0,IF($K178=0,IF(AND($I178&gt;=AB$3,$I178&lt;=AB$2),$E178,0),$E178*NETWORKDAYS(MAX($I178,AB$3),MIN($J178,AB$2),Data!$K$4:$K$203)/$K178)))</f>
        <v>0</v>
      </c>
      <c r="AC178" s="170">
        <f>IF(OR($I178="",$E178=0),0,IF(OR($J178&lt;AC$3,$I178&gt;AC$2),0,IF($K178=0,IF(AND($I178&gt;=AC$3,$I178&lt;=AC$2),$E178,0),$E178*NETWORKDAYS(MAX($I178,AC$3),MIN($J178,AC$2),Data!$K$4:$K$203)/$K178)))</f>
        <v>0</v>
      </c>
      <c r="AD178" s="170">
        <f>IF(OR($I178="",$E178=0),0,IF(OR($J178&lt;AD$3,$I178&gt;AD$2),0,IF($K178=0,IF(AND($I178&gt;=AD$3,$I178&lt;=AD$2),$E178,0),$E178*NETWORKDAYS(MAX($I178,AD$3),MIN($J178,AD$2),Data!$K$4:$K$203)/$K178)))</f>
        <v>0</v>
      </c>
      <c r="AE178" s="170">
        <f>IF(OR($I178="",$E178=0),0,IF(OR($J178&lt;AE$3,$I178&gt;AE$2),0,IF($K178=0,IF(AND($I178&gt;=AE$3,$I178&lt;=AE$2),$E178,0),$E178*NETWORKDAYS(MAX($I178,AE$3),MIN($J178,AE$2),Data!$K$4:$K$203)/$K178)))</f>
        <v>0</v>
      </c>
      <c r="AF178" s="170">
        <f>IF(OR($I178="",$E178=0),0,IF(OR($J178&lt;AF$3,$I178&gt;AF$2),0,IF($K178=0,IF(AND($I178&gt;=AF$3,$I178&lt;=AF$2),$E178,0),$E178*NETWORKDAYS(MAX($I178,AF$3),MIN($J178,AF$2),Data!$K$4:$K$203)/$K178)))</f>
        <v>0</v>
      </c>
      <c r="AG178" s="170">
        <f>IF(OR($I178="",$E178=0),0,IF(OR($J178&lt;AG$3,$I178&gt;AG$2),0,IF($K178=0,IF(AND($I178&gt;=AG$3,$I178&lt;=AG$2),$E178,0),$E178*NETWORKDAYS(MAX($I178,AG$3),MIN($J178,AG$2),Data!$K$4:$K$203)/$K178)))</f>
        <v>0</v>
      </c>
      <c r="AH178" s="170">
        <f>IF(OR($I178="",$E178=0),0,IF(OR($J178&lt;AH$3,$I178&gt;AH$2),0,IF($K178=0,IF(AND($I178&gt;=AH$3,$I178&lt;=AH$2),$E178,0),$E178*NETWORKDAYS(MAX($I178,AH$3),MIN($J178,AH$2),Data!$K$4:$K$203)/$K178)))</f>
        <v>0</v>
      </c>
      <c r="AI178" s="170">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70"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4" t="str">
        <f>IF(EO178=1,IF(FH178&gt;0,FI178/FH178,AVERAGEIF($FF$4:$FF$503,EN178,$C$4:$C$503)),"")</f>
        <v/>
      </c>
      <c r="EV178" s="169">
        <f>IF(ISNUMBER(I178),I178,2958465)</f>
        <v>2958465.0</v>
      </c>
      <c r="EW178" s="169" t="str">
        <f>IF(EO178=1,SUMPRODUCT(MIN(($EN$4:$EN$503=EN178)*$EV$4:$EV$503+($EN$4:$EN$503&lt;&gt;EN178)*2958465)),"")</f>
        <v/>
      </c>
      <c r="EX178" s="169">
        <f>IF(AND(D178=1,ISNUMBER(INDEX(Charge!$F:$F,ROW()))),INDEX(Charge!$F:$F,ROW()),0)</f>
        <v>0.0</v>
      </c>
      <c r="EY178" s="169"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c r="FF178" t="str">
        <f>IF(B178=1,LEFT(SUBSTITUTE(SUBSTITUTE(SUBSTITUTE(TRIM(SUBSTITUTE(INDEX(Charge!$B:$B,ROW()),CHAR(160)," "))&amp;" | "&amp;TRIM(SUBSTITUTE(INDEX(Charge!$C:$C,ROW()),CHAR(160)," "))&amp;" | "&amp;TRIM(SUBSTITUTE(INDEX(Charge!$D:$D,ROW()),CHAR(160)," ")),"~","-"),"*","+"),"?","!"),240),"")</f>
        <v/>
      </c>
      <c r="FG178">
        <f>IF(B178=1,MAX(0,N(INDEX(Charge!$M:$M,ROW()))),0)</f>
        <v>0</v>
      </c>
      <c r="FH178" s="170" t="str">
        <f>IF(EO178=1,ROUND(SUMIF($FF$4:$FF$503,EN178,$FG$4:$FG$503),2),"")</f>
        <v/>
      </c>
      <c r="FI178" s="170" t="str">
        <f>IF(EO178=1,ROUND(SUMPRODUCT(($FF$4:$FF$503=EN178)*$FG$4:$FG$503*$C$4:$C$503),2),"")</f>
        <v/>
      </c>
      <c r="FJ178" s="170" t="str">
        <f>IF(EO178=1,MAX(0,ROUND(FH178-FI178,2)),"")</f>
        <v/>
      </c>
      <c r="FK178" s="174" t="str">
        <f>IF(EO178=1,IF(OR(EW178&gt;=2958465,EY178=0,EY178&lt;=EW178),"",IF(TODAY()&lt;=EW178,0,IF(TODAY()&gt;EY178,1,IFERROR(NETWORKDAYS(EW178,TODAY()-1,Data!$K$4:$K$203)/NETWORKDAYS(EW178,EY178,Data!$K$4:$K$203),"")))),"")</f>
        <v/>
      </c>
      <c r="FL178" t="str">
        <f>IF(EO178=1,IF(AND(EY178&gt;0,EY178&lt;TODAY(),ROUND(EU178,4)&lt;1),2,IF(FK178="",0,IF(ROUND(EU178-FK178,4)&lt;-0.15,1,0))),"")</f>
        <v/>
      </c>
      <c r="FM178">
        <f>IF(OR(FA178="",COUNTIF($FA$4:FA177,FA178)&gt;0),0,MAX(0,IF(FB178="Interne",IF(ISNUMBER(INDEX(Data!$F:$F,178)),INDEX(Data!$F:$F,178),p_HeuresETP),IF(ISNUMBER(INDEX(Data!$I:$I,178-$CD$23)),INDEX(Data!$I:$I,178-$CD$23),p_HeuresETP))-IF(FB178="Interne",IF(ISNUMBER(INDEX(Data!$G:$G,178)),INDEX(Data!$G:$G,178),p_ChargeFixe),IF(ISNUMBER(INDEX(Data!$J:$J,178-$CD$23)),INDEX(Data!$J:$J,178-$CD$23),p_ChargeFixe))))</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9" t="str">
        <f>IF(AND(D179=1,ISNUMBER(INDEX(Charge!$N:$N,ROW()))),INDEX(Charge!$N:$N,ROW()),"")</f>
        <v/>
      </c>
      <c r="J179" s="169"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70">
        <f>IF(OR($I179="",$E179=0),0,IF(OR($J179&lt;W$3,$I179&gt;W$2),0,IF($K179=0,IF(AND($I179&gt;=W$3,$I179&lt;=W$2),$E179,0),$E179*NETWORKDAYS(MAX($I179,W$3),MIN($J179,W$2),Data!$K$4:$K$203)/$K179)))</f>
        <v>0</v>
      </c>
      <c r="X179" s="170">
        <f>IF(OR($I179="",$E179=0),0,IF(OR($J179&lt;X$3,$I179&gt;X$2),0,IF($K179=0,IF(AND($I179&gt;=X$3,$I179&lt;=X$2),$E179,0),$E179*NETWORKDAYS(MAX($I179,X$3),MIN($J179,X$2),Data!$K$4:$K$203)/$K179)))</f>
        <v>0</v>
      </c>
      <c r="Y179" s="170">
        <f>IF(OR($I179="",$E179=0),0,IF(OR($J179&lt;Y$3,$I179&gt;Y$2),0,IF($K179=0,IF(AND($I179&gt;=Y$3,$I179&lt;=Y$2),$E179,0),$E179*NETWORKDAYS(MAX($I179,Y$3),MIN($J179,Y$2),Data!$K$4:$K$203)/$K179)))</f>
        <v>0</v>
      </c>
      <c r="Z179" s="170">
        <f>IF(OR($I179="",$E179=0),0,IF(OR($J179&lt;Z$3,$I179&gt;Z$2),0,IF($K179=0,IF(AND($I179&gt;=Z$3,$I179&lt;=Z$2),$E179,0),$E179*NETWORKDAYS(MAX($I179,Z$3),MIN($J179,Z$2),Data!$K$4:$K$203)/$K179)))</f>
        <v>0</v>
      </c>
      <c r="AA179" s="170">
        <f>IF(OR($I179="",$E179=0),0,IF(OR($J179&lt;AA$3,$I179&gt;AA$2),0,IF($K179=0,IF(AND($I179&gt;=AA$3,$I179&lt;=AA$2),$E179,0),$E179*NETWORKDAYS(MAX($I179,AA$3),MIN($J179,AA$2),Data!$K$4:$K$203)/$K179)))</f>
        <v>0</v>
      </c>
      <c r="AB179" s="170">
        <f>IF(OR($I179="",$E179=0),0,IF(OR($J179&lt;AB$3,$I179&gt;AB$2),0,IF($K179=0,IF(AND($I179&gt;=AB$3,$I179&lt;=AB$2),$E179,0),$E179*NETWORKDAYS(MAX($I179,AB$3),MIN($J179,AB$2),Data!$K$4:$K$203)/$K179)))</f>
        <v>0</v>
      </c>
      <c r="AC179" s="170">
        <f>IF(OR($I179="",$E179=0),0,IF(OR($J179&lt;AC$3,$I179&gt;AC$2),0,IF($K179=0,IF(AND($I179&gt;=AC$3,$I179&lt;=AC$2),$E179,0),$E179*NETWORKDAYS(MAX($I179,AC$3),MIN($J179,AC$2),Data!$K$4:$K$203)/$K179)))</f>
        <v>0</v>
      </c>
      <c r="AD179" s="170">
        <f>IF(OR($I179="",$E179=0),0,IF(OR($J179&lt;AD$3,$I179&gt;AD$2),0,IF($K179=0,IF(AND($I179&gt;=AD$3,$I179&lt;=AD$2),$E179,0),$E179*NETWORKDAYS(MAX($I179,AD$3),MIN($J179,AD$2),Data!$K$4:$K$203)/$K179)))</f>
        <v>0</v>
      </c>
      <c r="AE179" s="170">
        <f>IF(OR($I179="",$E179=0),0,IF(OR($J179&lt;AE$3,$I179&gt;AE$2),0,IF($K179=0,IF(AND($I179&gt;=AE$3,$I179&lt;=AE$2),$E179,0),$E179*NETWORKDAYS(MAX($I179,AE$3),MIN($J179,AE$2),Data!$K$4:$K$203)/$K179)))</f>
        <v>0</v>
      </c>
      <c r="AF179" s="170">
        <f>IF(OR($I179="",$E179=0),0,IF(OR($J179&lt;AF$3,$I179&gt;AF$2),0,IF($K179=0,IF(AND($I179&gt;=AF$3,$I179&lt;=AF$2),$E179,0),$E179*NETWORKDAYS(MAX($I179,AF$3),MIN($J179,AF$2),Data!$K$4:$K$203)/$K179)))</f>
        <v>0</v>
      </c>
      <c r="AG179" s="170">
        <f>IF(OR($I179="",$E179=0),0,IF(OR($J179&lt;AG$3,$I179&gt;AG$2),0,IF($K179=0,IF(AND($I179&gt;=AG$3,$I179&lt;=AG$2),$E179,0),$E179*NETWORKDAYS(MAX($I179,AG$3),MIN($J179,AG$2),Data!$K$4:$K$203)/$K179)))</f>
        <v>0</v>
      </c>
      <c r="AH179" s="170">
        <f>IF(OR($I179="",$E179=0),0,IF(OR($J179&lt;AH$3,$I179&gt;AH$2),0,IF($K179=0,IF(AND($I179&gt;=AH$3,$I179&lt;=AH$2),$E179,0),$E179*NETWORKDAYS(MAX($I179,AH$3),MIN($J179,AH$2),Data!$K$4:$K$203)/$K179)))</f>
        <v>0</v>
      </c>
      <c r="AI179" s="170">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70"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4" t="str">
        <f>IF(EO179=1,IF(FH179&gt;0,FI179/FH179,AVERAGEIF($FF$4:$FF$503,EN179,$C$4:$C$503)),"")</f>
        <v/>
      </c>
      <c r="EV179" s="169">
        <f>IF(ISNUMBER(I179),I179,2958465)</f>
        <v>2958465.0</v>
      </c>
      <c r="EW179" s="169" t="str">
        <f>IF(EO179=1,SUMPRODUCT(MIN(($EN$4:$EN$503=EN179)*$EV$4:$EV$503+($EN$4:$EN$503&lt;&gt;EN179)*2958465)),"")</f>
        <v/>
      </c>
      <c r="EX179" s="169">
        <f>IF(AND(D179=1,ISNUMBER(INDEX(Charge!$F:$F,ROW()))),INDEX(Charge!$F:$F,ROW()),0)</f>
        <v>0.0</v>
      </c>
      <c r="EY179" s="169"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c r="FF179" t="str">
        <f>IF(B179=1,LEFT(SUBSTITUTE(SUBSTITUTE(SUBSTITUTE(TRIM(SUBSTITUTE(INDEX(Charge!$B:$B,ROW()),CHAR(160)," "))&amp;" | "&amp;TRIM(SUBSTITUTE(INDEX(Charge!$C:$C,ROW()),CHAR(160)," "))&amp;" | "&amp;TRIM(SUBSTITUTE(INDEX(Charge!$D:$D,ROW()),CHAR(160)," ")),"~","-"),"*","+"),"?","!"),240),"")</f>
        <v/>
      </c>
      <c r="FG179">
        <f>IF(B179=1,MAX(0,N(INDEX(Charge!$M:$M,ROW()))),0)</f>
        <v>0</v>
      </c>
      <c r="FH179" s="170" t="str">
        <f>IF(EO179=1,ROUND(SUMIF($FF$4:$FF$503,EN179,$FG$4:$FG$503),2),"")</f>
        <v/>
      </c>
      <c r="FI179" s="170" t="str">
        <f>IF(EO179=1,ROUND(SUMPRODUCT(($FF$4:$FF$503=EN179)*$FG$4:$FG$503*$C$4:$C$503),2),"")</f>
        <v/>
      </c>
      <c r="FJ179" s="170" t="str">
        <f>IF(EO179=1,MAX(0,ROUND(FH179-FI179,2)),"")</f>
        <v/>
      </c>
      <c r="FK179" s="174" t="str">
        <f>IF(EO179=1,IF(OR(EW179&gt;=2958465,EY179=0,EY179&lt;=EW179),"",IF(TODAY()&lt;=EW179,0,IF(TODAY()&gt;EY179,1,IFERROR(NETWORKDAYS(EW179,TODAY()-1,Data!$K$4:$K$203)/NETWORKDAYS(EW179,EY179,Data!$K$4:$K$203),"")))),"")</f>
        <v/>
      </c>
      <c r="FL179" t="str">
        <f>IF(EO179=1,IF(AND(EY179&gt;0,EY179&lt;TODAY(),ROUND(EU179,4)&lt;1),2,IF(FK179="",0,IF(ROUND(EU179-FK179,4)&lt;-0.15,1,0))),"")</f>
        <v/>
      </c>
      <c r="FM179">
        <f>IF(OR(FA179="",COUNTIF($FA$4:FA178,FA179)&gt;0),0,MAX(0,IF(FB179="Interne",IF(ISNUMBER(INDEX(Data!$F:$F,179)),INDEX(Data!$F:$F,179),p_HeuresETP),IF(ISNUMBER(INDEX(Data!$I:$I,179-$CD$23)),INDEX(Data!$I:$I,179-$CD$23),p_HeuresETP))-IF(FB179="Interne",IF(ISNUMBER(INDEX(Data!$G:$G,179)),INDEX(Data!$G:$G,179),p_ChargeFixe),IF(ISNUMBER(INDEX(Data!$J:$J,179-$CD$23)),INDEX(Data!$J:$J,179-$CD$23),p_ChargeFixe))))</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9" t="str">
        <f>IF(AND(D180=1,ISNUMBER(INDEX(Charge!$N:$N,ROW()))),INDEX(Charge!$N:$N,ROW()),"")</f>
        <v/>
      </c>
      <c r="J180" s="169"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70">
        <f>IF(OR($I180="",$E180=0),0,IF(OR($J180&lt;W$3,$I180&gt;W$2),0,IF($K180=0,IF(AND($I180&gt;=W$3,$I180&lt;=W$2),$E180,0),$E180*NETWORKDAYS(MAX($I180,W$3),MIN($J180,W$2),Data!$K$4:$K$203)/$K180)))</f>
        <v>0</v>
      </c>
      <c r="X180" s="170">
        <f>IF(OR($I180="",$E180=0),0,IF(OR($J180&lt;X$3,$I180&gt;X$2),0,IF($K180=0,IF(AND($I180&gt;=X$3,$I180&lt;=X$2),$E180,0),$E180*NETWORKDAYS(MAX($I180,X$3),MIN($J180,X$2),Data!$K$4:$K$203)/$K180)))</f>
        <v>0</v>
      </c>
      <c r="Y180" s="170">
        <f>IF(OR($I180="",$E180=0),0,IF(OR($J180&lt;Y$3,$I180&gt;Y$2),0,IF($K180=0,IF(AND($I180&gt;=Y$3,$I180&lt;=Y$2),$E180,0),$E180*NETWORKDAYS(MAX($I180,Y$3),MIN($J180,Y$2),Data!$K$4:$K$203)/$K180)))</f>
        <v>0</v>
      </c>
      <c r="Z180" s="170">
        <f>IF(OR($I180="",$E180=0),0,IF(OR($J180&lt;Z$3,$I180&gt;Z$2),0,IF($K180=0,IF(AND($I180&gt;=Z$3,$I180&lt;=Z$2),$E180,0),$E180*NETWORKDAYS(MAX($I180,Z$3),MIN($J180,Z$2),Data!$K$4:$K$203)/$K180)))</f>
        <v>0</v>
      </c>
      <c r="AA180" s="170">
        <f>IF(OR($I180="",$E180=0),0,IF(OR($J180&lt;AA$3,$I180&gt;AA$2),0,IF($K180=0,IF(AND($I180&gt;=AA$3,$I180&lt;=AA$2),$E180,0),$E180*NETWORKDAYS(MAX($I180,AA$3),MIN($J180,AA$2),Data!$K$4:$K$203)/$K180)))</f>
        <v>0</v>
      </c>
      <c r="AB180" s="170">
        <f>IF(OR($I180="",$E180=0),0,IF(OR($J180&lt;AB$3,$I180&gt;AB$2),0,IF($K180=0,IF(AND($I180&gt;=AB$3,$I180&lt;=AB$2),$E180,0),$E180*NETWORKDAYS(MAX($I180,AB$3),MIN($J180,AB$2),Data!$K$4:$K$203)/$K180)))</f>
        <v>0</v>
      </c>
      <c r="AC180" s="170">
        <f>IF(OR($I180="",$E180=0),0,IF(OR($J180&lt;AC$3,$I180&gt;AC$2),0,IF($K180=0,IF(AND($I180&gt;=AC$3,$I180&lt;=AC$2),$E180,0),$E180*NETWORKDAYS(MAX($I180,AC$3),MIN($J180,AC$2),Data!$K$4:$K$203)/$K180)))</f>
        <v>0</v>
      </c>
      <c r="AD180" s="170">
        <f>IF(OR($I180="",$E180=0),0,IF(OR($J180&lt;AD$3,$I180&gt;AD$2),0,IF($K180=0,IF(AND($I180&gt;=AD$3,$I180&lt;=AD$2),$E180,0),$E180*NETWORKDAYS(MAX($I180,AD$3),MIN($J180,AD$2),Data!$K$4:$K$203)/$K180)))</f>
        <v>0</v>
      </c>
      <c r="AE180" s="170">
        <f>IF(OR($I180="",$E180=0),0,IF(OR($J180&lt;AE$3,$I180&gt;AE$2),0,IF($K180=0,IF(AND($I180&gt;=AE$3,$I180&lt;=AE$2),$E180,0),$E180*NETWORKDAYS(MAX($I180,AE$3),MIN($J180,AE$2),Data!$K$4:$K$203)/$K180)))</f>
        <v>0</v>
      </c>
      <c r="AF180" s="170">
        <f>IF(OR($I180="",$E180=0),0,IF(OR($J180&lt;AF$3,$I180&gt;AF$2),0,IF($K180=0,IF(AND($I180&gt;=AF$3,$I180&lt;=AF$2),$E180,0),$E180*NETWORKDAYS(MAX($I180,AF$3),MIN($J180,AF$2),Data!$K$4:$K$203)/$K180)))</f>
        <v>0</v>
      </c>
      <c r="AG180" s="170">
        <f>IF(OR($I180="",$E180=0),0,IF(OR($J180&lt;AG$3,$I180&gt;AG$2),0,IF($K180=0,IF(AND($I180&gt;=AG$3,$I180&lt;=AG$2),$E180,0),$E180*NETWORKDAYS(MAX($I180,AG$3),MIN($J180,AG$2),Data!$K$4:$K$203)/$K180)))</f>
        <v>0</v>
      </c>
      <c r="AH180" s="170">
        <f>IF(OR($I180="",$E180=0),0,IF(OR($J180&lt;AH$3,$I180&gt;AH$2),0,IF($K180=0,IF(AND($I180&gt;=AH$3,$I180&lt;=AH$2),$E180,0),$E180*NETWORKDAYS(MAX($I180,AH$3),MIN($J180,AH$2),Data!$K$4:$K$203)/$K180)))</f>
        <v>0</v>
      </c>
      <c r="AI180" s="170">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70"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4" t="str">
        <f>IF(EO180=1,IF(FH180&gt;0,FI180/FH180,AVERAGEIF($FF$4:$FF$503,EN180,$C$4:$C$503)),"")</f>
        <v/>
      </c>
      <c r="EV180" s="169">
        <f>IF(ISNUMBER(I180),I180,2958465)</f>
        <v>2958465.0</v>
      </c>
      <c r="EW180" s="169" t="str">
        <f>IF(EO180=1,SUMPRODUCT(MIN(($EN$4:$EN$503=EN180)*$EV$4:$EV$503+($EN$4:$EN$503&lt;&gt;EN180)*2958465)),"")</f>
        <v/>
      </c>
      <c r="EX180" s="169">
        <f>IF(AND(D180=1,ISNUMBER(INDEX(Charge!$F:$F,ROW()))),INDEX(Charge!$F:$F,ROW()),0)</f>
        <v>0.0</v>
      </c>
      <c r="EY180" s="169"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c r="FF180" t="str">
        <f>IF(B180=1,LEFT(SUBSTITUTE(SUBSTITUTE(SUBSTITUTE(TRIM(SUBSTITUTE(INDEX(Charge!$B:$B,ROW()),CHAR(160)," "))&amp;" | "&amp;TRIM(SUBSTITUTE(INDEX(Charge!$C:$C,ROW()),CHAR(160)," "))&amp;" | "&amp;TRIM(SUBSTITUTE(INDEX(Charge!$D:$D,ROW()),CHAR(160)," ")),"~","-"),"*","+"),"?","!"),240),"")</f>
        <v/>
      </c>
      <c r="FG180">
        <f>IF(B180=1,MAX(0,N(INDEX(Charge!$M:$M,ROW()))),0)</f>
        <v>0</v>
      </c>
      <c r="FH180" s="170" t="str">
        <f>IF(EO180=1,ROUND(SUMIF($FF$4:$FF$503,EN180,$FG$4:$FG$503),2),"")</f>
        <v/>
      </c>
      <c r="FI180" s="170" t="str">
        <f>IF(EO180=1,ROUND(SUMPRODUCT(($FF$4:$FF$503=EN180)*$FG$4:$FG$503*$C$4:$C$503),2),"")</f>
        <v/>
      </c>
      <c r="FJ180" s="170" t="str">
        <f>IF(EO180=1,MAX(0,ROUND(FH180-FI180,2)),"")</f>
        <v/>
      </c>
      <c r="FK180" s="174" t="str">
        <f>IF(EO180=1,IF(OR(EW180&gt;=2958465,EY180=0,EY180&lt;=EW180),"",IF(TODAY()&lt;=EW180,0,IF(TODAY()&gt;EY180,1,IFERROR(NETWORKDAYS(EW180,TODAY()-1,Data!$K$4:$K$203)/NETWORKDAYS(EW180,EY180,Data!$K$4:$K$203),"")))),"")</f>
        <v/>
      </c>
      <c r="FL180" t="str">
        <f>IF(EO180=1,IF(AND(EY180&gt;0,EY180&lt;TODAY(),ROUND(EU180,4)&lt;1),2,IF(FK180="",0,IF(ROUND(EU180-FK180,4)&lt;-0.15,1,0))),"")</f>
        <v/>
      </c>
      <c r="FM180">
        <f>IF(OR(FA180="",COUNTIF($FA$4:FA179,FA180)&gt;0),0,MAX(0,IF(FB180="Interne",IF(ISNUMBER(INDEX(Data!$F:$F,180)),INDEX(Data!$F:$F,180),p_HeuresETP),IF(ISNUMBER(INDEX(Data!$I:$I,180-$CD$23)),INDEX(Data!$I:$I,180-$CD$23),p_HeuresETP))-IF(FB180="Interne",IF(ISNUMBER(INDEX(Data!$G:$G,180)),INDEX(Data!$G:$G,180),p_ChargeFixe),IF(ISNUMBER(INDEX(Data!$J:$J,180-$CD$23)),INDEX(Data!$J:$J,180-$CD$23),p_ChargeFixe))))</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9" t="str">
        <f>IF(AND(D181=1,ISNUMBER(INDEX(Charge!$N:$N,ROW()))),INDEX(Charge!$N:$N,ROW()),"")</f>
        <v/>
      </c>
      <c r="J181" s="169"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70">
        <f>IF(OR($I181="",$E181=0),0,IF(OR($J181&lt;W$3,$I181&gt;W$2),0,IF($K181=0,IF(AND($I181&gt;=W$3,$I181&lt;=W$2),$E181,0),$E181*NETWORKDAYS(MAX($I181,W$3),MIN($J181,W$2),Data!$K$4:$K$203)/$K181)))</f>
        <v>0</v>
      </c>
      <c r="X181" s="170">
        <f>IF(OR($I181="",$E181=0),0,IF(OR($J181&lt;X$3,$I181&gt;X$2),0,IF($K181=0,IF(AND($I181&gt;=X$3,$I181&lt;=X$2),$E181,0),$E181*NETWORKDAYS(MAX($I181,X$3),MIN($J181,X$2),Data!$K$4:$K$203)/$K181)))</f>
        <v>0</v>
      </c>
      <c r="Y181" s="170">
        <f>IF(OR($I181="",$E181=0),0,IF(OR($J181&lt;Y$3,$I181&gt;Y$2),0,IF($K181=0,IF(AND($I181&gt;=Y$3,$I181&lt;=Y$2),$E181,0),$E181*NETWORKDAYS(MAX($I181,Y$3),MIN($J181,Y$2),Data!$K$4:$K$203)/$K181)))</f>
        <v>0</v>
      </c>
      <c r="Z181" s="170">
        <f>IF(OR($I181="",$E181=0),0,IF(OR($J181&lt;Z$3,$I181&gt;Z$2),0,IF($K181=0,IF(AND($I181&gt;=Z$3,$I181&lt;=Z$2),$E181,0),$E181*NETWORKDAYS(MAX($I181,Z$3),MIN($J181,Z$2),Data!$K$4:$K$203)/$K181)))</f>
        <v>0</v>
      </c>
      <c r="AA181" s="170">
        <f>IF(OR($I181="",$E181=0),0,IF(OR($J181&lt;AA$3,$I181&gt;AA$2),0,IF($K181=0,IF(AND($I181&gt;=AA$3,$I181&lt;=AA$2),$E181,0),$E181*NETWORKDAYS(MAX($I181,AA$3),MIN($J181,AA$2),Data!$K$4:$K$203)/$K181)))</f>
        <v>0</v>
      </c>
      <c r="AB181" s="170">
        <f>IF(OR($I181="",$E181=0),0,IF(OR($J181&lt;AB$3,$I181&gt;AB$2),0,IF($K181=0,IF(AND($I181&gt;=AB$3,$I181&lt;=AB$2),$E181,0),$E181*NETWORKDAYS(MAX($I181,AB$3),MIN($J181,AB$2),Data!$K$4:$K$203)/$K181)))</f>
        <v>0</v>
      </c>
      <c r="AC181" s="170">
        <f>IF(OR($I181="",$E181=0),0,IF(OR($J181&lt;AC$3,$I181&gt;AC$2),0,IF($K181=0,IF(AND($I181&gt;=AC$3,$I181&lt;=AC$2),$E181,0),$E181*NETWORKDAYS(MAX($I181,AC$3),MIN($J181,AC$2),Data!$K$4:$K$203)/$K181)))</f>
        <v>0</v>
      </c>
      <c r="AD181" s="170">
        <f>IF(OR($I181="",$E181=0),0,IF(OR($J181&lt;AD$3,$I181&gt;AD$2),0,IF($K181=0,IF(AND($I181&gt;=AD$3,$I181&lt;=AD$2),$E181,0),$E181*NETWORKDAYS(MAX($I181,AD$3),MIN($J181,AD$2),Data!$K$4:$K$203)/$K181)))</f>
        <v>0</v>
      </c>
      <c r="AE181" s="170">
        <f>IF(OR($I181="",$E181=0),0,IF(OR($J181&lt;AE$3,$I181&gt;AE$2),0,IF($K181=0,IF(AND($I181&gt;=AE$3,$I181&lt;=AE$2),$E181,0),$E181*NETWORKDAYS(MAX($I181,AE$3),MIN($J181,AE$2),Data!$K$4:$K$203)/$K181)))</f>
        <v>0</v>
      </c>
      <c r="AF181" s="170">
        <f>IF(OR($I181="",$E181=0),0,IF(OR($J181&lt;AF$3,$I181&gt;AF$2),0,IF($K181=0,IF(AND($I181&gt;=AF$3,$I181&lt;=AF$2),$E181,0),$E181*NETWORKDAYS(MAX($I181,AF$3),MIN($J181,AF$2),Data!$K$4:$K$203)/$K181)))</f>
        <v>0</v>
      </c>
      <c r="AG181" s="170">
        <f>IF(OR($I181="",$E181=0),0,IF(OR($J181&lt;AG$3,$I181&gt;AG$2),0,IF($K181=0,IF(AND($I181&gt;=AG$3,$I181&lt;=AG$2),$E181,0),$E181*NETWORKDAYS(MAX($I181,AG$3),MIN($J181,AG$2),Data!$K$4:$K$203)/$K181)))</f>
        <v>0</v>
      </c>
      <c r="AH181" s="170">
        <f>IF(OR($I181="",$E181=0),0,IF(OR($J181&lt;AH$3,$I181&gt;AH$2),0,IF($K181=0,IF(AND($I181&gt;=AH$3,$I181&lt;=AH$2),$E181,0),$E181*NETWORKDAYS(MAX($I181,AH$3),MIN($J181,AH$2),Data!$K$4:$K$203)/$K181)))</f>
        <v>0</v>
      </c>
      <c r="AI181" s="170">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70"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4" t="str">
        <f>IF(EO181=1,IF(FH181&gt;0,FI181/FH181,AVERAGEIF($FF$4:$FF$503,EN181,$C$4:$C$503)),"")</f>
        <v/>
      </c>
      <c r="EV181" s="169">
        <f>IF(ISNUMBER(I181),I181,2958465)</f>
        <v>2958465.0</v>
      </c>
      <c r="EW181" s="169" t="str">
        <f>IF(EO181=1,SUMPRODUCT(MIN(($EN$4:$EN$503=EN181)*$EV$4:$EV$503+($EN$4:$EN$503&lt;&gt;EN181)*2958465)),"")</f>
        <v/>
      </c>
      <c r="EX181" s="169">
        <f>IF(AND(D181=1,ISNUMBER(INDEX(Charge!$F:$F,ROW()))),INDEX(Charge!$F:$F,ROW()),0)</f>
        <v>0.0</v>
      </c>
      <c r="EY181" s="169"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c r="FF181" t="str">
        <f>IF(B181=1,LEFT(SUBSTITUTE(SUBSTITUTE(SUBSTITUTE(TRIM(SUBSTITUTE(INDEX(Charge!$B:$B,ROW()),CHAR(160)," "))&amp;" | "&amp;TRIM(SUBSTITUTE(INDEX(Charge!$C:$C,ROW()),CHAR(160)," "))&amp;" | "&amp;TRIM(SUBSTITUTE(INDEX(Charge!$D:$D,ROW()),CHAR(160)," ")),"~","-"),"*","+"),"?","!"),240),"")</f>
        <v/>
      </c>
      <c r="FG181">
        <f>IF(B181=1,MAX(0,N(INDEX(Charge!$M:$M,ROW()))),0)</f>
        <v>0</v>
      </c>
      <c r="FH181" s="170" t="str">
        <f>IF(EO181=1,ROUND(SUMIF($FF$4:$FF$503,EN181,$FG$4:$FG$503),2),"")</f>
        <v/>
      </c>
      <c r="FI181" s="170" t="str">
        <f>IF(EO181=1,ROUND(SUMPRODUCT(($FF$4:$FF$503=EN181)*$FG$4:$FG$503*$C$4:$C$503),2),"")</f>
        <v/>
      </c>
      <c r="FJ181" s="170" t="str">
        <f>IF(EO181=1,MAX(0,ROUND(FH181-FI181,2)),"")</f>
        <v/>
      </c>
      <c r="FK181" s="174" t="str">
        <f>IF(EO181=1,IF(OR(EW181&gt;=2958465,EY181=0,EY181&lt;=EW181),"",IF(TODAY()&lt;=EW181,0,IF(TODAY()&gt;EY181,1,IFERROR(NETWORKDAYS(EW181,TODAY()-1,Data!$K$4:$K$203)/NETWORKDAYS(EW181,EY181,Data!$K$4:$K$203),"")))),"")</f>
        <v/>
      </c>
      <c r="FL181" t="str">
        <f>IF(EO181=1,IF(AND(EY181&gt;0,EY181&lt;TODAY(),ROUND(EU181,4)&lt;1),2,IF(FK181="",0,IF(ROUND(EU181-FK181,4)&lt;-0.15,1,0))),"")</f>
        <v/>
      </c>
      <c r="FM181">
        <f>IF(OR(FA181="",COUNTIF($FA$4:FA180,FA181)&gt;0),0,MAX(0,IF(FB181="Interne",IF(ISNUMBER(INDEX(Data!$F:$F,181)),INDEX(Data!$F:$F,181),p_HeuresETP),IF(ISNUMBER(INDEX(Data!$I:$I,181-$CD$23)),INDEX(Data!$I:$I,181-$CD$23),p_HeuresETP))-IF(FB181="Interne",IF(ISNUMBER(INDEX(Data!$G:$G,181)),INDEX(Data!$G:$G,181),p_ChargeFixe),IF(ISNUMBER(INDEX(Data!$J:$J,181-$CD$23)),INDEX(Data!$J:$J,181-$CD$23),p_ChargeFixe))))</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9" t="str">
        <f>IF(AND(D182=1,ISNUMBER(INDEX(Charge!$N:$N,ROW()))),INDEX(Charge!$N:$N,ROW()),"")</f>
        <v/>
      </c>
      <c r="J182" s="169"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70">
        <f>IF(OR($I182="",$E182=0),0,IF(OR($J182&lt;W$3,$I182&gt;W$2),0,IF($K182=0,IF(AND($I182&gt;=W$3,$I182&lt;=W$2),$E182,0),$E182*NETWORKDAYS(MAX($I182,W$3),MIN($J182,W$2),Data!$K$4:$K$203)/$K182)))</f>
        <v>0</v>
      </c>
      <c r="X182" s="170">
        <f>IF(OR($I182="",$E182=0),0,IF(OR($J182&lt;X$3,$I182&gt;X$2),0,IF($K182=0,IF(AND($I182&gt;=X$3,$I182&lt;=X$2),$E182,0),$E182*NETWORKDAYS(MAX($I182,X$3),MIN($J182,X$2),Data!$K$4:$K$203)/$K182)))</f>
        <v>0</v>
      </c>
      <c r="Y182" s="170">
        <f>IF(OR($I182="",$E182=0),0,IF(OR($J182&lt;Y$3,$I182&gt;Y$2),0,IF($K182=0,IF(AND($I182&gt;=Y$3,$I182&lt;=Y$2),$E182,0),$E182*NETWORKDAYS(MAX($I182,Y$3),MIN($J182,Y$2),Data!$K$4:$K$203)/$K182)))</f>
        <v>0</v>
      </c>
      <c r="Z182" s="170">
        <f>IF(OR($I182="",$E182=0),0,IF(OR($J182&lt;Z$3,$I182&gt;Z$2),0,IF($K182=0,IF(AND($I182&gt;=Z$3,$I182&lt;=Z$2),$E182,0),$E182*NETWORKDAYS(MAX($I182,Z$3),MIN($J182,Z$2),Data!$K$4:$K$203)/$K182)))</f>
        <v>0</v>
      </c>
      <c r="AA182" s="170">
        <f>IF(OR($I182="",$E182=0),0,IF(OR($J182&lt;AA$3,$I182&gt;AA$2),0,IF($K182=0,IF(AND($I182&gt;=AA$3,$I182&lt;=AA$2),$E182,0),$E182*NETWORKDAYS(MAX($I182,AA$3),MIN($J182,AA$2),Data!$K$4:$K$203)/$K182)))</f>
        <v>0</v>
      </c>
      <c r="AB182" s="170">
        <f>IF(OR($I182="",$E182=0),0,IF(OR($J182&lt;AB$3,$I182&gt;AB$2),0,IF($K182=0,IF(AND($I182&gt;=AB$3,$I182&lt;=AB$2),$E182,0),$E182*NETWORKDAYS(MAX($I182,AB$3),MIN($J182,AB$2),Data!$K$4:$K$203)/$K182)))</f>
        <v>0</v>
      </c>
      <c r="AC182" s="170">
        <f>IF(OR($I182="",$E182=0),0,IF(OR($J182&lt;AC$3,$I182&gt;AC$2),0,IF($K182=0,IF(AND($I182&gt;=AC$3,$I182&lt;=AC$2),$E182,0),$E182*NETWORKDAYS(MAX($I182,AC$3),MIN($J182,AC$2),Data!$K$4:$K$203)/$K182)))</f>
        <v>0</v>
      </c>
      <c r="AD182" s="170">
        <f>IF(OR($I182="",$E182=0),0,IF(OR($J182&lt;AD$3,$I182&gt;AD$2),0,IF($K182=0,IF(AND($I182&gt;=AD$3,$I182&lt;=AD$2),$E182,0),$E182*NETWORKDAYS(MAX($I182,AD$3),MIN($J182,AD$2),Data!$K$4:$K$203)/$K182)))</f>
        <v>0</v>
      </c>
      <c r="AE182" s="170">
        <f>IF(OR($I182="",$E182=0),0,IF(OR($J182&lt;AE$3,$I182&gt;AE$2),0,IF($K182=0,IF(AND($I182&gt;=AE$3,$I182&lt;=AE$2),$E182,0),$E182*NETWORKDAYS(MAX($I182,AE$3),MIN($J182,AE$2),Data!$K$4:$K$203)/$K182)))</f>
        <v>0</v>
      </c>
      <c r="AF182" s="170">
        <f>IF(OR($I182="",$E182=0),0,IF(OR($J182&lt;AF$3,$I182&gt;AF$2),0,IF($K182=0,IF(AND($I182&gt;=AF$3,$I182&lt;=AF$2),$E182,0),$E182*NETWORKDAYS(MAX($I182,AF$3),MIN($J182,AF$2),Data!$K$4:$K$203)/$K182)))</f>
        <v>0</v>
      </c>
      <c r="AG182" s="170">
        <f>IF(OR($I182="",$E182=0),0,IF(OR($J182&lt;AG$3,$I182&gt;AG$2),0,IF($K182=0,IF(AND($I182&gt;=AG$3,$I182&lt;=AG$2),$E182,0),$E182*NETWORKDAYS(MAX($I182,AG$3),MIN($J182,AG$2),Data!$K$4:$K$203)/$K182)))</f>
        <v>0</v>
      </c>
      <c r="AH182" s="170">
        <f>IF(OR($I182="",$E182=0),0,IF(OR($J182&lt;AH$3,$I182&gt;AH$2),0,IF($K182=0,IF(AND($I182&gt;=AH$3,$I182&lt;=AH$2),$E182,0),$E182*NETWORKDAYS(MAX($I182,AH$3),MIN($J182,AH$2),Data!$K$4:$K$203)/$K182)))</f>
        <v>0</v>
      </c>
      <c r="AI182" s="170">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70"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4" t="str">
        <f>IF(EO182=1,IF(FH182&gt;0,FI182/FH182,AVERAGEIF($FF$4:$FF$503,EN182,$C$4:$C$503)),"")</f>
        <v/>
      </c>
      <c r="EV182" s="169">
        <f>IF(ISNUMBER(I182),I182,2958465)</f>
        <v>2958465.0</v>
      </c>
      <c r="EW182" s="169" t="str">
        <f>IF(EO182=1,SUMPRODUCT(MIN(($EN$4:$EN$503=EN182)*$EV$4:$EV$503+($EN$4:$EN$503&lt;&gt;EN182)*2958465)),"")</f>
        <v/>
      </c>
      <c r="EX182" s="169">
        <f>IF(AND(D182=1,ISNUMBER(INDEX(Charge!$F:$F,ROW()))),INDEX(Charge!$F:$F,ROW()),0)</f>
        <v>0.0</v>
      </c>
      <c r="EY182" s="169"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c r="FF182" t="str">
        <f>IF(B182=1,LEFT(SUBSTITUTE(SUBSTITUTE(SUBSTITUTE(TRIM(SUBSTITUTE(INDEX(Charge!$B:$B,ROW()),CHAR(160)," "))&amp;" | "&amp;TRIM(SUBSTITUTE(INDEX(Charge!$C:$C,ROW()),CHAR(160)," "))&amp;" | "&amp;TRIM(SUBSTITUTE(INDEX(Charge!$D:$D,ROW()),CHAR(160)," ")),"~","-"),"*","+"),"?","!"),240),"")</f>
        <v/>
      </c>
      <c r="FG182">
        <f>IF(B182=1,MAX(0,N(INDEX(Charge!$M:$M,ROW()))),0)</f>
        <v>0</v>
      </c>
      <c r="FH182" s="170" t="str">
        <f>IF(EO182=1,ROUND(SUMIF($FF$4:$FF$503,EN182,$FG$4:$FG$503),2),"")</f>
        <v/>
      </c>
      <c r="FI182" s="170" t="str">
        <f>IF(EO182=1,ROUND(SUMPRODUCT(($FF$4:$FF$503=EN182)*$FG$4:$FG$503*$C$4:$C$503),2),"")</f>
        <v/>
      </c>
      <c r="FJ182" s="170" t="str">
        <f>IF(EO182=1,MAX(0,ROUND(FH182-FI182,2)),"")</f>
        <v/>
      </c>
      <c r="FK182" s="174" t="str">
        <f>IF(EO182=1,IF(OR(EW182&gt;=2958465,EY182=0,EY182&lt;=EW182),"",IF(TODAY()&lt;=EW182,0,IF(TODAY()&gt;EY182,1,IFERROR(NETWORKDAYS(EW182,TODAY()-1,Data!$K$4:$K$203)/NETWORKDAYS(EW182,EY182,Data!$K$4:$K$203),"")))),"")</f>
        <v/>
      </c>
      <c r="FL182" t="str">
        <f>IF(EO182=1,IF(AND(EY182&gt;0,EY182&lt;TODAY(),ROUND(EU182,4)&lt;1),2,IF(FK182="",0,IF(ROUND(EU182-FK182,4)&lt;-0.15,1,0))),"")</f>
        <v/>
      </c>
      <c r="FM182">
        <f>IF(OR(FA182="",COUNTIF($FA$4:FA181,FA182)&gt;0),0,MAX(0,IF(FB182="Interne",IF(ISNUMBER(INDEX(Data!$F:$F,182)),INDEX(Data!$F:$F,182),p_HeuresETP),IF(ISNUMBER(INDEX(Data!$I:$I,182-$CD$23)),INDEX(Data!$I:$I,182-$CD$23),p_HeuresETP))-IF(FB182="Interne",IF(ISNUMBER(INDEX(Data!$G:$G,182)),INDEX(Data!$G:$G,182),p_ChargeFixe),IF(ISNUMBER(INDEX(Data!$J:$J,182-$CD$23)),INDEX(Data!$J:$J,182-$CD$23),p_ChargeFixe))))</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9" t="str">
        <f>IF(AND(D183=1,ISNUMBER(INDEX(Charge!$N:$N,ROW()))),INDEX(Charge!$N:$N,ROW()),"")</f>
        <v/>
      </c>
      <c r="J183" s="169"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70">
        <f>IF(OR($I183="",$E183=0),0,IF(OR($J183&lt;W$3,$I183&gt;W$2),0,IF($K183=0,IF(AND($I183&gt;=W$3,$I183&lt;=W$2),$E183,0),$E183*NETWORKDAYS(MAX($I183,W$3),MIN($J183,W$2),Data!$K$4:$K$203)/$K183)))</f>
        <v>0</v>
      </c>
      <c r="X183" s="170">
        <f>IF(OR($I183="",$E183=0),0,IF(OR($J183&lt;X$3,$I183&gt;X$2),0,IF($K183=0,IF(AND($I183&gt;=X$3,$I183&lt;=X$2),$E183,0),$E183*NETWORKDAYS(MAX($I183,X$3),MIN($J183,X$2),Data!$K$4:$K$203)/$K183)))</f>
        <v>0</v>
      </c>
      <c r="Y183" s="170">
        <f>IF(OR($I183="",$E183=0),0,IF(OR($J183&lt;Y$3,$I183&gt;Y$2),0,IF($K183=0,IF(AND($I183&gt;=Y$3,$I183&lt;=Y$2),$E183,0),$E183*NETWORKDAYS(MAX($I183,Y$3),MIN($J183,Y$2),Data!$K$4:$K$203)/$K183)))</f>
        <v>0</v>
      </c>
      <c r="Z183" s="170">
        <f>IF(OR($I183="",$E183=0),0,IF(OR($J183&lt;Z$3,$I183&gt;Z$2),0,IF($K183=0,IF(AND($I183&gt;=Z$3,$I183&lt;=Z$2),$E183,0),$E183*NETWORKDAYS(MAX($I183,Z$3),MIN($J183,Z$2),Data!$K$4:$K$203)/$K183)))</f>
        <v>0</v>
      </c>
      <c r="AA183" s="170">
        <f>IF(OR($I183="",$E183=0),0,IF(OR($J183&lt;AA$3,$I183&gt;AA$2),0,IF($K183=0,IF(AND($I183&gt;=AA$3,$I183&lt;=AA$2),$E183,0),$E183*NETWORKDAYS(MAX($I183,AA$3),MIN($J183,AA$2),Data!$K$4:$K$203)/$K183)))</f>
        <v>0</v>
      </c>
      <c r="AB183" s="170">
        <f>IF(OR($I183="",$E183=0),0,IF(OR($J183&lt;AB$3,$I183&gt;AB$2),0,IF($K183=0,IF(AND($I183&gt;=AB$3,$I183&lt;=AB$2),$E183,0),$E183*NETWORKDAYS(MAX($I183,AB$3),MIN($J183,AB$2),Data!$K$4:$K$203)/$K183)))</f>
        <v>0</v>
      </c>
      <c r="AC183" s="170">
        <f>IF(OR($I183="",$E183=0),0,IF(OR($J183&lt;AC$3,$I183&gt;AC$2),0,IF($K183=0,IF(AND($I183&gt;=AC$3,$I183&lt;=AC$2),$E183,0),$E183*NETWORKDAYS(MAX($I183,AC$3),MIN($J183,AC$2),Data!$K$4:$K$203)/$K183)))</f>
        <v>0</v>
      </c>
      <c r="AD183" s="170">
        <f>IF(OR($I183="",$E183=0),0,IF(OR($J183&lt;AD$3,$I183&gt;AD$2),0,IF($K183=0,IF(AND($I183&gt;=AD$3,$I183&lt;=AD$2),$E183,0),$E183*NETWORKDAYS(MAX($I183,AD$3),MIN($J183,AD$2),Data!$K$4:$K$203)/$K183)))</f>
        <v>0</v>
      </c>
      <c r="AE183" s="170">
        <f>IF(OR($I183="",$E183=0),0,IF(OR($J183&lt;AE$3,$I183&gt;AE$2),0,IF($K183=0,IF(AND($I183&gt;=AE$3,$I183&lt;=AE$2),$E183,0),$E183*NETWORKDAYS(MAX($I183,AE$3),MIN($J183,AE$2),Data!$K$4:$K$203)/$K183)))</f>
        <v>0</v>
      </c>
      <c r="AF183" s="170">
        <f>IF(OR($I183="",$E183=0),0,IF(OR($J183&lt;AF$3,$I183&gt;AF$2),0,IF($K183=0,IF(AND($I183&gt;=AF$3,$I183&lt;=AF$2),$E183,0),$E183*NETWORKDAYS(MAX($I183,AF$3),MIN($J183,AF$2),Data!$K$4:$K$203)/$K183)))</f>
        <v>0</v>
      </c>
      <c r="AG183" s="170">
        <f>IF(OR($I183="",$E183=0),0,IF(OR($J183&lt;AG$3,$I183&gt;AG$2),0,IF($K183=0,IF(AND($I183&gt;=AG$3,$I183&lt;=AG$2),$E183,0),$E183*NETWORKDAYS(MAX($I183,AG$3),MIN($J183,AG$2),Data!$K$4:$K$203)/$K183)))</f>
        <v>0</v>
      </c>
      <c r="AH183" s="170">
        <f>IF(OR($I183="",$E183=0),0,IF(OR($J183&lt;AH$3,$I183&gt;AH$2),0,IF($K183=0,IF(AND($I183&gt;=AH$3,$I183&lt;=AH$2),$E183,0),$E183*NETWORKDAYS(MAX($I183,AH$3),MIN($J183,AH$2),Data!$K$4:$K$203)/$K183)))</f>
        <v>0</v>
      </c>
      <c r="AI183" s="170">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70"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4" t="str">
        <f>IF(EO183=1,IF(FH183&gt;0,FI183/FH183,AVERAGEIF($FF$4:$FF$503,EN183,$C$4:$C$503)),"")</f>
        <v/>
      </c>
      <c r="EV183" s="169">
        <f>IF(ISNUMBER(I183),I183,2958465)</f>
        <v>2958465.0</v>
      </c>
      <c r="EW183" s="169" t="str">
        <f>IF(EO183=1,SUMPRODUCT(MIN(($EN$4:$EN$503=EN183)*$EV$4:$EV$503+($EN$4:$EN$503&lt;&gt;EN183)*2958465)),"")</f>
        <v/>
      </c>
      <c r="EX183" s="169">
        <f>IF(AND(D183=1,ISNUMBER(INDEX(Charge!$F:$F,ROW()))),INDEX(Charge!$F:$F,ROW()),0)</f>
        <v>0.0</v>
      </c>
      <c r="EY183" s="169"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c r="FF183" t="str">
        <f>IF(B183=1,LEFT(SUBSTITUTE(SUBSTITUTE(SUBSTITUTE(TRIM(SUBSTITUTE(INDEX(Charge!$B:$B,ROW()),CHAR(160)," "))&amp;" | "&amp;TRIM(SUBSTITUTE(INDEX(Charge!$C:$C,ROW()),CHAR(160)," "))&amp;" | "&amp;TRIM(SUBSTITUTE(INDEX(Charge!$D:$D,ROW()),CHAR(160)," ")),"~","-"),"*","+"),"?","!"),240),"")</f>
        <v/>
      </c>
      <c r="FG183">
        <f>IF(B183=1,MAX(0,N(INDEX(Charge!$M:$M,ROW()))),0)</f>
        <v>0</v>
      </c>
      <c r="FH183" s="170" t="str">
        <f>IF(EO183=1,ROUND(SUMIF($FF$4:$FF$503,EN183,$FG$4:$FG$503),2),"")</f>
        <v/>
      </c>
      <c r="FI183" s="170" t="str">
        <f>IF(EO183=1,ROUND(SUMPRODUCT(($FF$4:$FF$503=EN183)*$FG$4:$FG$503*$C$4:$C$503),2),"")</f>
        <v/>
      </c>
      <c r="FJ183" s="170" t="str">
        <f>IF(EO183=1,MAX(0,ROUND(FH183-FI183,2)),"")</f>
        <v/>
      </c>
      <c r="FK183" s="174" t="str">
        <f>IF(EO183=1,IF(OR(EW183&gt;=2958465,EY183=0,EY183&lt;=EW183),"",IF(TODAY()&lt;=EW183,0,IF(TODAY()&gt;EY183,1,IFERROR(NETWORKDAYS(EW183,TODAY()-1,Data!$K$4:$K$203)/NETWORKDAYS(EW183,EY183,Data!$K$4:$K$203),"")))),"")</f>
        <v/>
      </c>
      <c r="FL183" t="str">
        <f>IF(EO183=1,IF(AND(EY183&gt;0,EY183&lt;TODAY(),ROUND(EU183,4)&lt;1),2,IF(FK183="",0,IF(ROUND(EU183-FK183,4)&lt;-0.15,1,0))),"")</f>
        <v/>
      </c>
      <c r="FM183">
        <f>IF(OR(FA183="",COUNTIF($FA$4:FA182,FA183)&gt;0),0,MAX(0,IF(FB183="Interne",IF(ISNUMBER(INDEX(Data!$F:$F,183)),INDEX(Data!$F:$F,183),p_HeuresETP),IF(ISNUMBER(INDEX(Data!$I:$I,183-$CD$23)),INDEX(Data!$I:$I,183-$CD$23),p_HeuresETP))-IF(FB183="Interne",IF(ISNUMBER(INDEX(Data!$G:$G,183)),INDEX(Data!$G:$G,183),p_ChargeFixe),IF(ISNUMBER(INDEX(Data!$J:$J,183-$CD$23)),INDEX(Data!$J:$J,183-$CD$23),p_ChargeFixe))))</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9" t="str">
        <f>IF(AND(D184=1,ISNUMBER(INDEX(Charge!$N:$N,ROW()))),INDEX(Charge!$N:$N,ROW()),"")</f>
        <v/>
      </c>
      <c r="J184" s="169"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70">
        <f>IF(OR($I184="",$E184=0),0,IF(OR($J184&lt;W$3,$I184&gt;W$2),0,IF($K184=0,IF(AND($I184&gt;=W$3,$I184&lt;=W$2),$E184,0),$E184*NETWORKDAYS(MAX($I184,W$3),MIN($J184,W$2),Data!$K$4:$K$203)/$K184)))</f>
        <v>0</v>
      </c>
      <c r="X184" s="170">
        <f>IF(OR($I184="",$E184=0),0,IF(OR($J184&lt;X$3,$I184&gt;X$2),0,IF($K184=0,IF(AND($I184&gt;=X$3,$I184&lt;=X$2),$E184,0),$E184*NETWORKDAYS(MAX($I184,X$3),MIN($J184,X$2),Data!$K$4:$K$203)/$K184)))</f>
        <v>0</v>
      </c>
      <c r="Y184" s="170">
        <f>IF(OR($I184="",$E184=0),0,IF(OR($J184&lt;Y$3,$I184&gt;Y$2),0,IF($K184=0,IF(AND($I184&gt;=Y$3,$I184&lt;=Y$2),$E184,0),$E184*NETWORKDAYS(MAX($I184,Y$3),MIN($J184,Y$2),Data!$K$4:$K$203)/$K184)))</f>
        <v>0</v>
      </c>
      <c r="Z184" s="170">
        <f>IF(OR($I184="",$E184=0),0,IF(OR($J184&lt;Z$3,$I184&gt;Z$2),0,IF($K184=0,IF(AND($I184&gt;=Z$3,$I184&lt;=Z$2),$E184,0),$E184*NETWORKDAYS(MAX($I184,Z$3),MIN($J184,Z$2),Data!$K$4:$K$203)/$K184)))</f>
        <v>0</v>
      </c>
      <c r="AA184" s="170">
        <f>IF(OR($I184="",$E184=0),0,IF(OR($J184&lt;AA$3,$I184&gt;AA$2),0,IF($K184=0,IF(AND($I184&gt;=AA$3,$I184&lt;=AA$2),$E184,0),$E184*NETWORKDAYS(MAX($I184,AA$3),MIN($J184,AA$2),Data!$K$4:$K$203)/$K184)))</f>
        <v>0</v>
      </c>
      <c r="AB184" s="170">
        <f>IF(OR($I184="",$E184=0),0,IF(OR($J184&lt;AB$3,$I184&gt;AB$2),0,IF($K184=0,IF(AND($I184&gt;=AB$3,$I184&lt;=AB$2),$E184,0),$E184*NETWORKDAYS(MAX($I184,AB$3),MIN($J184,AB$2),Data!$K$4:$K$203)/$K184)))</f>
        <v>0</v>
      </c>
      <c r="AC184" s="170">
        <f>IF(OR($I184="",$E184=0),0,IF(OR($J184&lt;AC$3,$I184&gt;AC$2),0,IF($K184=0,IF(AND($I184&gt;=AC$3,$I184&lt;=AC$2),$E184,0),$E184*NETWORKDAYS(MAX($I184,AC$3),MIN($J184,AC$2),Data!$K$4:$K$203)/$K184)))</f>
        <v>0</v>
      </c>
      <c r="AD184" s="170">
        <f>IF(OR($I184="",$E184=0),0,IF(OR($J184&lt;AD$3,$I184&gt;AD$2),0,IF($K184=0,IF(AND($I184&gt;=AD$3,$I184&lt;=AD$2),$E184,0),$E184*NETWORKDAYS(MAX($I184,AD$3),MIN($J184,AD$2),Data!$K$4:$K$203)/$K184)))</f>
        <v>0</v>
      </c>
      <c r="AE184" s="170">
        <f>IF(OR($I184="",$E184=0),0,IF(OR($J184&lt;AE$3,$I184&gt;AE$2),0,IF($K184=0,IF(AND($I184&gt;=AE$3,$I184&lt;=AE$2),$E184,0),$E184*NETWORKDAYS(MAX($I184,AE$3),MIN($J184,AE$2),Data!$K$4:$K$203)/$K184)))</f>
        <v>0</v>
      </c>
      <c r="AF184" s="170">
        <f>IF(OR($I184="",$E184=0),0,IF(OR($J184&lt;AF$3,$I184&gt;AF$2),0,IF($K184=0,IF(AND($I184&gt;=AF$3,$I184&lt;=AF$2),$E184,0),$E184*NETWORKDAYS(MAX($I184,AF$3),MIN($J184,AF$2),Data!$K$4:$K$203)/$K184)))</f>
        <v>0</v>
      </c>
      <c r="AG184" s="170">
        <f>IF(OR($I184="",$E184=0),0,IF(OR($J184&lt;AG$3,$I184&gt;AG$2),0,IF($K184=0,IF(AND($I184&gt;=AG$3,$I184&lt;=AG$2),$E184,0),$E184*NETWORKDAYS(MAX($I184,AG$3),MIN($J184,AG$2),Data!$K$4:$K$203)/$K184)))</f>
        <v>0</v>
      </c>
      <c r="AH184" s="170">
        <f>IF(OR($I184="",$E184=0),0,IF(OR($J184&lt;AH$3,$I184&gt;AH$2),0,IF($K184=0,IF(AND($I184&gt;=AH$3,$I184&lt;=AH$2),$E184,0),$E184*NETWORKDAYS(MAX($I184,AH$3),MIN($J184,AH$2),Data!$K$4:$K$203)/$K184)))</f>
        <v>0</v>
      </c>
      <c r="AI184" s="170">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70"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4" t="str">
        <f>IF(EO184=1,IF(FH184&gt;0,FI184/FH184,AVERAGEIF($FF$4:$FF$503,EN184,$C$4:$C$503)),"")</f>
        <v/>
      </c>
      <c r="EV184" s="169">
        <f>IF(ISNUMBER(I184),I184,2958465)</f>
        <v>2958465.0</v>
      </c>
      <c r="EW184" s="169" t="str">
        <f>IF(EO184=1,SUMPRODUCT(MIN(($EN$4:$EN$503=EN184)*$EV$4:$EV$503+($EN$4:$EN$503&lt;&gt;EN184)*2958465)),"")</f>
        <v/>
      </c>
      <c r="EX184" s="169">
        <f>IF(AND(D184=1,ISNUMBER(INDEX(Charge!$F:$F,ROW()))),INDEX(Charge!$F:$F,ROW()),0)</f>
        <v>0.0</v>
      </c>
      <c r="EY184" s="169"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c r="FF184" t="str">
        <f>IF(B184=1,LEFT(SUBSTITUTE(SUBSTITUTE(SUBSTITUTE(TRIM(SUBSTITUTE(INDEX(Charge!$B:$B,ROW()),CHAR(160)," "))&amp;" | "&amp;TRIM(SUBSTITUTE(INDEX(Charge!$C:$C,ROW()),CHAR(160)," "))&amp;" | "&amp;TRIM(SUBSTITUTE(INDEX(Charge!$D:$D,ROW()),CHAR(160)," ")),"~","-"),"*","+"),"?","!"),240),"")</f>
        <v/>
      </c>
      <c r="FG184">
        <f>IF(B184=1,MAX(0,N(INDEX(Charge!$M:$M,ROW()))),0)</f>
        <v>0</v>
      </c>
      <c r="FH184" s="170" t="str">
        <f>IF(EO184=1,ROUND(SUMIF($FF$4:$FF$503,EN184,$FG$4:$FG$503),2),"")</f>
        <v/>
      </c>
      <c r="FI184" s="170" t="str">
        <f>IF(EO184=1,ROUND(SUMPRODUCT(($FF$4:$FF$503=EN184)*$FG$4:$FG$503*$C$4:$C$503),2),"")</f>
        <v/>
      </c>
      <c r="FJ184" s="170" t="str">
        <f>IF(EO184=1,MAX(0,ROUND(FH184-FI184,2)),"")</f>
        <v/>
      </c>
      <c r="FK184" s="174" t="str">
        <f>IF(EO184=1,IF(OR(EW184&gt;=2958465,EY184=0,EY184&lt;=EW184),"",IF(TODAY()&lt;=EW184,0,IF(TODAY()&gt;EY184,1,IFERROR(NETWORKDAYS(EW184,TODAY()-1,Data!$K$4:$K$203)/NETWORKDAYS(EW184,EY184,Data!$K$4:$K$203),"")))),"")</f>
        <v/>
      </c>
      <c r="FL184" t="str">
        <f>IF(EO184=1,IF(AND(EY184&gt;0,EY184&lt;TODAY(),ROUND(EU184,4)&lt;1),2,IF(FK184="",0,IF(ROUND(EU184-FK184,4)&lt;-0.15,1,0))),"")</f>
        <v/>
      </c>
      <c r="FM184">
        <f>IF(OR(FA184="",COUNTIF($FA$4:FA183,FA184)&gt;0),0,MAX(0,IF(FB184="Interne",IF(ISNUMBER(INDEX(Data!$F:$F,184)),INDEX(Data!$F:$F,184),p_HeuresETP),IF(ISNUMBER(INDEX(Data!$I:$I,184-$CD$23)),INDEX(Data!$I:$I,184-$CD$23),p_HeuresETP))-IF(FB184="Interne",IF(ISNUMBER(INDEX(Data!$G:$G,184)),INDEX(Data!$G:$G,184),p_ChargeFixe),IF(ISNUMBER(INDEX(Data!$J:$J,184-$CD$23)),INDEX(Data!$J:$J,184-$CD$23),p_ChargeFixe))))</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9" t="str">
        <f>IF(AND(D185=1,ISNUMBER(INDEX(Charge!$N:$N,ROW()))),INDEX(Charge!$N:$N,ROW()),"")</f>
        <v/>
      </c>
      <c r="J185" s="169"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70">
        <f>IF(OR($I185="",$E185=0),0,IF(OR($J185&lt;W$3,$I185&gt;W$2),0,IF($K185=0,IF(AND($I185&gt;=W$3,$I185&lt;=W$2),$E185,0),$E185*NETWORKDAYS(MAX($I185,W$3),MIN($J185,W$2),Data!$K$4:$K$203)/$K185)))</f>
        <v>0</v>
      </c>
      <c r="X185" s="170">
        <f>IF(OR($I185="",$E185=0),0,IF(OR($J185&lt;X$3,$I185&gt;X$2),0,IF($K185=0,IF(AND($I185&gt;=X$3,$I185&lt;=X$2),$E185,0),$E185*NETWORKDAYS(MAX($I185,X$3),MIN($J185,X$2),Data!$K$4:$K$203)/$K185)))</f>
        <v>0</v>
      </c>
      <c r="Y185" s="170">
        <f>IF(OR($I185="",$E185=0),0,IF(OR($J185&lt;Y$3,$I185&gt;Y$2),0,IF($K185=0,IF(AND($I185&gt;=Y$3,$I185&lt;=Y$2),$E185,0),$E185*NETWORKDAYS(MAX($I185,Y$3),MIN($J185,Y$2),Data!$K$4:$K$203)/$K185)))</f>
        <v>0</v>
      </c>
      <c r="Z185" s="170">
        <f>IF(OR($I185="",$E185=0),0,IF(OR($J185&lt;Z$3,$I185&gt;Z$2),0,IF($K185=0,IF(AND($I185&gt;=Z$3,$I185&lt;=Z$2),$E185,0),$E185*NETWORKDAYS(MAX($I185,Z$3),MIN($J185,Z$2),Data!$K$4:$K$203)/$K185)))</f>
        <v>0</v>
      </c>
      <c r="AA185" s="170">
        <f>IF(OR($I185="",$E185=0),0,IF(OR($J185&lt;AA$3,$I185&gt;AA$2),0,IF($K185=0,IF(AND($I185&gt;=AA$3,$I185&lt;=AA$2),$E185,0),$E185*NETWORKDAYS(MAX($I185,AA$3),MIN($J185,AA$2),Data!$K$4:$K$203)/$K185)))</f>
        <v>0</v>
      </c>
      <c r="AB185" s="170">
        <f>IF(OR($I185="",$E185=0),0,IF(OR($J185&lt;AB$3,$I185&gt;AB$2),0,IF($K185=0,IF(AND($I185&gt;=AB$3,$I185&lt;=AB$2),$E185,0),$E185*NETWORKDAYS(MAX($I185,AB$3),MIN($J185,AB$2),Data!$K$4:$K$203)/$K185)))</f>
        <v>0</v>
      </c>
      <c r="AC185" s="170">
        <f>IF(OR($I185="",$E185=0),0,IF(OR($J185&lt;AC$3,$I185&gt;AC$2),0,IF($K185=0,IF(AND($I185&gt;=AC$3,$I185&lt;=AC$2),$E185,0),$E185*NETWORKDAYS(MAX($I185,AC$3),MIN($J185,AC$2),Data!$K$4:$K$203)/$K185)))</f>
        <v>0</v>
      </c>
      <c r="AD185" s="170">
        <f>IF(OR($I185="",$E185=0),0,IF(OR($J185&lt;AD$3,$I185&gt;AD$2),0,IF($K185=0,IF(AND($I185&gt;=AD$3,$I185&lt;=AD$2),$E185,0),$E185*NETWORKDAYS(MAX($I185,AD$3),MIN($J185,AD$2),Data!$K$4:$K$203)/$K185)))</f>
        <v>0</v>
      </c>
      <c r="AE185" s="170">
        <f>IF(OR($I185="",$E185=0),0,IF(OR($J185&lt;AE$3,$I185&gt;AE$2),0,IF($K185=0,IF(AND($I185&gt;=AE$3,$I185&lt;=AE$2),$E185,0),$E185*NETWORKDAYS(MAX($I185,AE$3),MIN($J185,AE$2),Data!$K$4:$K$203)/$K185)))</f>
        <v>0</v>
      </c>
      <c r="AF185" s="170">
        <f>IF(OR($I185="",$E185=0),0,IF(OR($J185&lt;AF$3,$I185&gt;AF$2),0,IF($K185=0,IF(AND($I185&gt;=AF$3,$I185&lt;=AF$2),$E185,0),$E185*NETWORKDAYS(MAX($I185,AF$3),MIN($J185,AF$2),Data!$K$4:$K$203)/$K185)))</f>
        <v>0</v>
      </c>
      <c r="AG185" s="170">
        <f>IF(OR($I185="",$E185=0),0,IF(OR($J185&lt;AG$3,$I185&gt;AG$2),0,IF($K185=0,IF(AND($I185&gt;=AG$3,$I185&lt;=AG$2),$E185,0),$E185*NETWORKDAYS(MAX($I185,AG$3),MIN($J185,AG$2),Data!$K$4:$K$203)/$K185)))</f>
        <v>0</v>
      </c>
      <c r="AH185" s="170">
        <f>IF(OR($I185="",$E185=0),0,IF(OR($J185&lt;AH$3,$I185&gt;AH$2),0,IF($K185=0,IF(AND($I185&gt;=AH$3,$I185&lt;=AH$2),$E185,0),$E185*NETWORKDAYS(MAX($I185,AH$3),MIN($J185,AH$2),Data!$K$4:$K$203)/$K185)))</f>
        <v>0</v>
      </c>
      <c r="AI185" s="170">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70"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4" t="str">
        <f>IF(EO185=1,IF(FH185&gt;0,FI185/FH185,AVERAGEIF($FF$4:$FF$503,EN185,$C$4:$C$503)),"")</f>
        <v/>
      </c>
      <c r="EV185" s="169">
        <f>IF(ISNUMBER(I185),I185,2958465)</f>
        <v>2958465.0</v>
      </c>
      <c r="EW185" s="169" t="str">
        <f>IF(EO185=1,SUMPRODUCT(MIN(($EN$4:$EN$503=EN185)*$EV$4:$EV$503+($EN$4:$EN$503&lt;&gt;EN185)*2958465)),"")</f>
        <v/>
      </c>
      <c r="EX185" s="169">
        <f>IF(AND(D185=1,ISNUMBER(INDEX(Charge!$F:$F,ROW()))),INDEX(Charge!$F:$F,ROW()),0)</f>
        <v>0.0</v>
      </c>
      <c r="EY185" s="169"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c r="FF185" t="str">
        <f>IF(B185=1,LEFT(SUBSTITUTE(SUBSTITUTE(SUBSTITUTE(TRIM(SUBSTITUTE(INDEX(Charge!$B:$B,ROW()),CHAR(160)," "))&amp;" | "&amp;TRIM(SUBSTITUTE(INDEX(Charge!$C:$C,ROW()),CHAR(160)," "))&amp;" | "&amp;TRIM(SUBSTITUTE(INDEX(Charge!$D:$D,ROW()),CHAR(160)," ")),"~","-"),"*","+"),"?","!"),240),"")</f>
        <v/>
      </c>
      <c r="FG185">
        <f>IF(B185=1,MAX(0,N(INDEX(Charge!$M:$M,ROW()))),0)</f>
        <v>0</v>
      </c>
      <c r="FH185" s="170" t="str">
        <f>IF(EO185=1,ROUND(SUMIF($FF$4:$FF$503,EN185,$FG$4:$FG$503),2),"")</f>
        <v/>
      </c>
      <c r="FI185" s="170" t="str">
        <f>IF(EO185=1,ROUND(SUMPRODUCT(($FF$4:$FF$503=EN185)*$FG$4:$FG$503*$C$4:$C$503),2),"")</f>
        <v/>
      </c>
      <c r="FJ185" s="170" t="str">
        <f>IF(EO185=1,MAX(0,ROUND(FH185-FI185,2)),"")</f>
        <v/>
      </c>
      <c r="FK185" s="174" t="str">
        <f>IF(EO185=1,IF(OR(EW185&gt;=2958465,EY185=0,EY185&lt;=EW185),"",IF(TODAY()&lt;=EW185,0,IF(TODAY()&gt;EY185,1,IFERROR(NETWORKDAYS(EW185,TODAY()-1,Data!$K$4:$K$203)/NETWORKDAYS(EW185,EY185,Data!$K$4:$K$203),"")))),"")</f>
        <v/>
      </c>
      <c r="FL185" t="str">
        <f>IF(EO185=1,IF(AND(EY185&gt;0,EY185&lt;TODAY(),ROUND(EU185,4)&lt;1),2,IF(FK185="",0,IF(ROUND(EU185-FK185,4)&lt;-0.15,1,0))),"")</f>
        <v/>
      </c>
      <c r="FM185">
        <f>IF(OR(FA185="",COUNTIF($FA$4:FA184,FA185)&gt;0),0,MAX(0,IF(FB185="Interne",IF(ISNUMBER(INDEX(Data!$F:$F,185)),INDEX(Data!$F:$F,185),p_HeuresETP),IF(ISNUMBER(INDEX(Data!$I:$I,185-$CD$23)),INDEX(Data!$I:$I,185-$CD$23),p_HeuresETP))-IF(FB185="Interne",IF(ISNUMBER(INDEX(Data!$G:$G,185)),INDEX(Data!$G:$G,185),p_ChargeFixe),IF(ISNUMBER(INDEX(Data!$J:$J,185-$CD$23)),INDEX(Data!$J:$J,185-$CD$23),p_ChargeFixe))))</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9" t="str">
        <f>IF(AND(D186=1,ISNUMBER(INDEX(Charge!$N:$N,ROW()))),INDEX(Charge!$N:$N,ROW()),"")</f>
        <v/>
      </c>
      <c r="J186" s="169"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70">
        <f>IF(OR($I186="",$E186=0),0,IF(OR($J186&lt;W$3,$I186&gt;W$2),0,IF($K186=0,IF(AND($I186&gt;=W$3,$I186&lt;=W$2),$E186,0),$E186*NETWORKDAYS(MAX($I186,W$3),MIN($J186,W$2),Data!$K$4:$K$203)/$K186)))</f>
        <v>0</v>
      </c>
      <c r="X186" s="170">
        <f>IF(OR($I186="",$E186=0),0,IF(OR($J186&lt;X$3,$I186&gt;X$2),0,IF($K186=0,IF(AND($I186&gt;=X$3,$I186&lt;=X$2),$E186,0),$E186*NETWORKDAYS(MAX($I186,X$3),MIN($J186,X$2),Data!$K$4:$K$203)/$K186)))</f>
        <v>0</v>
      </c>
      <c r="Y186" s="170">
        <f>IF(OR($I186="",$E186=0),0,IF(OR($J186&lt;Y$3,$I186&gt;Y$2),0,IF($K186=0,IF(AND($I186&gt;=Y$3,$I186&lt;=Y$2),$E186,0),$E186*NETWORKDAYS(MAX($I186,Y$3),MIN($J186,Y$2),Data!$K$4:$K$203)/$K186)))</f>
        <v>0</v>
      </c>
      <c r="Z186" s="170">
        <f>IF(OR($I186="",$E186=0),0,IF(OR($J186&lt;Z$3,$I186&gt;Z$2),0,IF($K186=0,IF(AND($I186&gt;=Z$3,$I186&lt;=Z$2),$E186,0),$E186*NETWORKDAYS(MAX($I186,Z$3),MIN($J186,Z$2),Data!$K$4:$K$203)/$K186)))</f>
        <v>0</v>
      </c>
      <c r="AA186" s="170">
        <f>IF(OR($I186="",$E186=0),0,IF(OR($J186&lt;AA$3,$I186&gt;AA$2),0,IF($K186=0,IF(AND($I186&gt;=AA$3,$I186&lt;=AA$2),$E186,0),$E186*NETWORKDAYS(MAX($I186,AA$3),MIN($J186,AA$2),Data!$K$4:$K$203)/$K186)))</f>
        <v>0</v>
      </c>
      <c r="AB186" s="170">
        <f>IF(OR($I186="",$E186=0),0,IF(OR($J186&lt;AB$3,$I186&gt;AB$2),0,IF($K186=0,IF(AND($I186&gt;=AB$3,$I186&lt;=AB$2),$E186,0),$E186*NETWORKDAYS(MAX($I186,AB$3),MIN($J186,AB$2),Data!$K$4:$K$203)/$K186)))</f>
        <v>0</v>
      </c>
      <c r="AC186" s="170">
        <f>IF(OR($I186="",$E186=0),0,IF(OR($J186&lt;AC$3,$I186&gt;AC$2),0,IF($K186=0,IF(AND($I186&gt;=AC$3,$I186&lt;=AC$2),$E186,0),$E186*NETWORKDAYS(MAX($I186,AC$3),MIN($J186,AC$2),Data!$K$4:$K$203)/$K186)))</f>
        <v>0</v>
      </c>
      <c r="AD186" s="170">
        <f>IF(OR($I186="",$E186=0),0,IF(OR($J186&lt;AD$3,$I186&gt;AD$2),0,IF($K186=0,IF(AND($I186&gt;=AD$3,$I186&lt;=AD$2),$E186,0),$E186*NETWORKDAYS(MAX($I186,AD$3),MIN($J186,AD$2),Data!$K$4:$K$203)/$K186)))</f>
        <v>0</v>
      </c>
      <c r="AE186" s="170">
        <f>IF(OR($I186="",$E186=0),0,IF(OR($J186&lt;AE$3,$I186&gt;AE$2),0,IF($K186=0,IF(AND($I186&gt;=AE$3,$I186&lt;=AE$2),$E186,0),$E186*NETWORKDAYS(MAX($I186,AE$3),MIN($J186,AE$2),Data!$K$4:$K$203)/$K186)))</f>
        <v>0</v>
      </c>
      <c r="AF186" s="170">
        <f>IF(OR($I186="",$E186=0),0,IF(OR($J186&lt;AF$3,$I186&gt;AF$2),0,IF($K186=0,IF(AND($I186&gt;=AF$3,$I186&lt;=AF$2),$E186,0),$E186*NETWORKDAYS(MAX($I186,AF$3),MIN($J186,AF$2),Data!$K$4:$K$203)/$K186)))</f>
        <v>0</v>
      </c>
      <c r="AG186" s="170">
        <f>IF(OR($I186="",$E186=0),0,IF(OR($J186&lt;AG$3,$I186&gt;AG$2),0,IF($K186=0,IF(AND($I186&gt;=AG$3,$I186&lt;=AG$2),$E186,0),$E186*NETWORKDAYS(MAX($I186,AG$3),MIN($J186,AG$2),Data!$K$4:$K$203)/$K186)))</f>
        <v>0</v>
      </c>
      <c r="AH186" s="170">
        <f>IF(OR($I186="",$E186=0),0,IF(OR($J186&lt;AH$3,$I186&gt;AH$2),0,IF($K186=0,IF(AND($I186&gt;=AH$3,$I186&lt;=AH$2),$E186,0),$E186*NETWORKDAYS(MAX($I186,AH$3),MIN($J186,AH$2),Data!$K$4:$K$203)/$K186)))</f>
        <v>0</v>
      </c>
      <c r="AI186" s="170">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70"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4" t="str">
        <f>IF(EO186=1,IF(FH186&gt;0,FI186/FH186,AVERAGEIF($FF$4:$FF$503,EN186,$C$4:$C$503)),"")</f>
        <v/>
      </c>
      <c r="EV186" s="169">
        <f>IF(ISNUMBER(I186),I186,2958465)</f>
        <v>2958465.0</v>
      </c>
      <c r="EW186" s="169" t="str">
        <f>IF(EO186=1,SUMPRODUCT(MIN(($EN$4:$EN$503=EN186)*$EV$4:$EV$503+($EN$4:$EN$503&lt;&gt;EN186)*2958465)),"")</f>
        <v/>
      </c>
      <c r="EX186" s="169">
        <f>IF(AND(D186=1,ISNUMBER(INDEX(Charge!$F:$F,ROW()))),INDEX(Charge!$F:$F,ROW()),0)</f>
        <v>0.0</v>
      </c>
      <c r="EY186" s="169"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c r="FF186" t="str">
        <f>IF(B186=1,LEFT(SUBSTITUTE(SUBSTITUTE(SUBSTITUTE(TRIM(SUBSTITUTE(INDEX(Charge!$B:$B,ROW()),CHAR(160)," "))&amp;" | "&amp;TRIM(SUBSTITUTE(INDEX(Charge!$C:$C,ROW()),CHAR(160)," "))&amp;" | "&amp;TRIM(SUBSTITUTE(INDEX(Charge!$D:$D,ROW()),CHAR(160)," ")),"~","-"),"*","+"),"?","!"),240),"")</f>
        <v/>
      </c>
      <c r="FG186">
        <f>IF(B186=1,MAX(0,N(INDEX(Charge!$M:$M,ROW()))),0)</f>
        <v>0</v>
      </c>
      <c r="FH186" s="170" t="str">
        <f>IF(EO186=1,ROUND(SUMIF($FF$4:$FF$503,EN186,$FG$4:$FG$503),2),"")</f>
        <v/>
      </c>
      <c r="FI186" s="170" t="str">
        <f>IF(EO186=1,ROUND(SUMPRODUCT(($FF$4:$FF$503=EN186)*$FG$4:$FG$503*$C$4:$C$503),2),"")</f>
        <v/>
      </c>
      <c r="FJ186" s="170" t="str">
        <f>IF(EO186=1,MAX(0,ROUND(FH186-FI186,2)),"")</f>
        <v/>
      </c>
      <c r="FK186" s="174" t="str">
        <f>IF(EO186=1,IF(OR(EW186&gt;=2958465,EY186=0,EY186&lt;=EW186),"",IF(TODAY()&lt;=EW186,0,IF(TODAY()&gt;EY186,1,IFERROR(NETWORKDAYS(EW186,TODAY()-1,Data!$K$4:$K$203)/NETWORKDAYS(EW186,EY186,Data!$K$4:$K$203),"")))),"")</f>
        <v/>
      </c>
      <c r="FL186" t="str">
        <f>IF(EO186=1,IF(AND(EY186&gt;0,EY186&lt;TODAY(),ROUND(EU186,4)&lt;1),2,IF(FK186="",0,IF(ROUND(EU186-FK186,4)&lt;-0.15,1,0))),"")</f>
        <v/>
      </c>
      <c r="FM186">
        <f>IF(OR(FA186="",COUNTIF($FA$4:FA185,FA186)&gt;0),0,MAX(0,IF(FB186="Interne",IF(ISNUMBER(INDEX(Data!$F:$F,186)),INDEX(Data!$F:$F,186),p_HeuresETP),IF(ISNUMBER(INDEX(Data!$I:$I,186-$CD$23)),INDEX(Data!$I:$I,186-$CD$23),p_HeuresETP))-IF(FB186="Interne",IF(ISNUMBER(INDEX(Data!$G:$G,186)),INDEX(Data!$G:$G,186),p_ChargeFixe),IF(ISNUMBER(INDEX(Data!$J:$J,186-$CD$23)),INDEX(Data!$J:$J,186-$CD$23),p_ChargeFixe))))</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9" t="str">
        <f>IF(AND(D187=1,ISNUMBER(INDEX(Charge!$N:$N,ROW()))),INDEX(Charge!$N:$N,ROW()),"")</f>
        <v/>
      </c>
      <c r="J187" s="169"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70">
        <f>IF(OR($I187="",$E187=0),0,IF(OR($J187&lt;W$3,$I187&gt;W$2),0,IF($K187=0,IF(AND($I187&gt;=W$3,$I187&lt;=W$2),$E187,0),$E187*NETWORKDAYS(MAX($I187,W$3),MIN($J187,W$2),Data!$K$4:$K$203)/$K187)))</f>
        <v>0</v>
      </c>
      <c r="X187" s="170">
        <f>IF(OR($I187="",$E187=0),0,IF(OR($J187&lt;X$3,$I187&gt;X$2),0,IF($K187=0,IF(AND($I187&gt;=X$3,$I187&lt;=X$2),$E187,0),$E187*NETWORKDAYS(MAX($I187,X$3),MIN($J187,X$2),Data!$K$4:$K$203)/$K187)))</f>
        <v>0</v>
      </c>
      <c r="Y187" s="170">
        <f>IF(OR($I187="",$E187=0),0,IF(OR($J187&lt;Y$3,$I187&gt;Y$2),0,IF($K187=0,IF(AND($I187&gt;=Y$3,$I187&lt;=Y$2),$E187,0),$E187*NETWORKDAYS(MAX($I187,Y$3),MIN($J187,Y$2),Data!$K$4:$K$203)/$K187)))</f>
        <v>0</v>
      </c>
      <c r="Z187" s="170">
        <f>IF(OR($I187="",$E187=0),0,IF(OR($J187&lt;Z$3,$I187&gt;Z$2),0,IF($K187=0,IF(AND($I187&gt;=Z$3,$I187&lt;=Z$2),$E187,0),$E187*NETWORKDAYS(MAX($I187,Z$3),MIN($J187,Z$2),Data!$K$4:$K$203)/$K187)))</f>
        <v>0</v>
      </c>
      <c r="AA187" s="170">
        <f>IF(OR($I187="",$E187=0),0,IF(OR($J187&lt;AA$3,$I187&gt;AA$2),0,IF($K187=0,IF(AND($I187&gt;=AA$3,$I187&lt;=AA$2),$E187,0),$E187*NETWORKDAYS(MAX($I187,AA$3),MIN($J187,AA$2),Data!$K$4:$K$203)/$K187)))</f>
        <v>0</v>
      </c>
      <c r="AB187" s="170">
        <f>IF(OR($I187="",$E187=0),0,IF(OR($J187&lt;AB$3,$I187&gt;AB$2),0,IF($K187=0,IF(AND($I187&gt;=AB$3,$I187&lt;=AB$2),$E187,0),$E187*NETWORKDAYS(MAX($I187,AB$3),MIN($J187,AB$2),Data!$K$4:$K$203)/$K187)))</f>
        <v>0</v>
      </c>
      <c r="AC187" s="170">
        <f>IF(OR($I187="",$E187=0),0,IF(OR($J187&lt;AC$3,$I187&gt;AC$2),0,IF($K187=0,IF(AND($I187&gt;=AC$3,$I187&lt;=AC$2),$E187,0),$E187*NETWORKDAYS(MAX($I187,AC$3),MIN($J187,AC$2),Data!$K$4:$K$203)/$K187)))</f>
        <v>0</v>
      </c>
      <c r="AD187" s="170">
        <f>IF(OR($I187="",$E187=0),0,IF(OR($J187&lt;AD$3,$I187&gt;AD$2),0,IF($K187=0,IF(AND($I187&gt;=AD$3,$I187&lt;=AD$2),$E187,0),$E187*NETWORKDAYS(MAX($I187,AD$3),MIN($J187,AD$2),Data!$K$4:$K$203)/$K187)))</f>
        <v>0</v>
      </c>
      <c r="AE187" s="170">
        <f>IF(OR($I187="",$E187=0),0,IF(OR($J187&lt;AE$3,$I187&gt;AE$2),0,IF($K187=0,IF(AND($I187&gt;=AE$3,$I187&lt;=AE$2),$E187,0),$E187*NETWORKDAYS(MAX($I187,AE$3),MIN($J187,AE$2),Data!$K$4:$K$203)/$K187)))</f>
        <v>0</v>
      </c>
      <c r="AF187" s="170">
        <f>IF(OR($I187="",$E187=0),0,IF(OR($J187&lt;AF$3,$I187&gt;AF$2),0,IF($K187=0,IF(AND($I187&gt;=AF$3,$I187&lt;=AF$2),$E187,0),$E187*NETWORKDAYS(MAX($I187,AF$3),MIN($J187,AF$2),Data!$K$4:$K$203)/$K187)))</f>
        <v>0</v>
      </c>
      <c r="AG187" s="170">
        <f>IF(OR($I187="",$E187=0),0,IF(OR($J187&lt;AG$3,$I187&gt;AG$2),0,IF($K187=0,IF(AND($I187&gt;=AG$3,$I187&lt;=AG$2),$E187,0),$E187*NETWORKDAYS(MAX($I187,AG$3),MIN($J187,AG$2),Data!$K$4:$K$203)/$K187)))</f>
        <v>0</v>
      </c>
      <c r="AH187" s="170">
        <f>IF(OR($I187="",$E187=0),0,IF(OR($J187&lt;AH$3,$I187&gt;AH$2),0,IF($K187=0,IF(AND($I187&gt;=AH$3,$I187&lt;=AH$2),$E187,0),$E187*NETWORKDAYS(MAX($I187,AH$3),MIN($J187,AH$2),Data!$K$4:$K$203)/$K187)))</f>
        <v>0</v>
      </c>
      <c r="AI187" s="170">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70"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4" t="str">
        <f>IF(EO187=1,IF(FH187&gt;0,FI187/FH187,AVERAGEIF($FF$4:$FF$503,EN187,$C$4:$C$503)),"")</f>
        <v/>
      </c>
      <c r="EV187" s="169">
        <f>IF(ISNUMBER(I187),I187,2958465)</f>
        <v>2958465.0</v>
      </c>
      <c r="EW187" s="169" t="str">
        <f>IF(EO187=1,SUMPRODUCT(MIN(($EN$4:$EN$503=EN187)*$EV$4:$EV$503+($EN$4:$EN$503&lt;&gt;EN187)*2958465)),"")</f>
        <v/>
      </c>
      <c r="EX187" s="169">
        <f>IF(AND(D187=1,ISNUMBER(INDEX(Charge!$F:$F,ROW()))),INDEX(Charge!$F:$F,ROW()),0)</f>
        <v>0.0</v>
      </c>
      <c r="EY187" s="169"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c r="FF187" t="str">
        <f>IF(B187=1,LEFT(SUBSTITUTE(SUBSTITUTE(SUBSTITUTE(TRIM(SUBSTITUTE(INDEX(Charge!$B:$B,ROW()),CHAR(160)," "))&amp;" | "&amp;TRIM(SUBSTITUTE(INDEX(Charge!$C:$C,ROW()),CHAR(160)," "))&amp;" | "&amp;TRIM(SUBSTITUTE(INDEX(Charge!$D:$D,ROW()),CHAR(160)," ")),"~","-"),"*","+"),"?","!"),240),"")</f>
        <v/>
      </c>
      <c r="FG187">
        <f>IF(B187=1,MAX(0,N(INDEX(Charge!$M:$M,ROW()))),0)</f>
        <v>0</v>
      </c>
      <c r="FH187" s="170" t="str">
        <f>IF(EO187=1,ROUND(SUMIF($FF$4:$FF$503,EN187,$FG$4:$FG$503),2),"")</f>
        <v/>
      </c>
      <c r="FI187" s="170" t="str">
        <f>IF(EO187=1,ROUND(SUMPRODUCT(($FF$4:$FF$503=EN187)*$FG$4:$FG$503*$C$4:$C$503),2),"")</f>
        <v/>
      </c>
      <c r="FJ187" s="170" t="str">
        <f>IF(EO187=1,MAX(0,ROUND(FH187-FI187,2)),"")</f>
        <v/>
      </c>
      <c r="FK187" s="174" t="str">
        <f>IF(EO187=1,IF(OR(EW187&gt;=2958465,EY187=0,EY187&lt;=EW187),"",IF(TODAY()&lt;=EW187,0,IF(TODAY()&gt;EY187,1,IFERROR(NETWORKDAYS(EW187,TODAY()-1,Data!$K$4:$K$203)/NETWORKDAYS(EW187,EY187,Data!$K$4:$K$203),"")))),"")</f>
        <v/>
      </c>
      <c r="FL187" t="str">
        <f>IF(EO187=1,IF(AND(EY187&gt;0,EY187&lt;TODAY(),ROUND(EU187,4)&lt;1),2,IF(FK187="",0,IF(ROUND(EU187-FK187,4)&lt;-0.15,1,0))),"")</f>
        <v/>
      </c>
      <c r="FM187">
        <f>IF(OR(FA187="",COUNTIF($FA$4:FA186,FA187)&gt;0),0,MAX(0,IF(FB187="Interne",IF(ISNUMBER(INDEX(Data!$F:$F,187)),INDEX(Data!$F:$F,187),p_HeuresETP),IF(ISNUMBER(INDEX(Data!$I:$I,187-$CD$23)),INDEX(Data!$I:$I,187-$CD$23),p_HeuresETP))-IF(FB187="Interne",IF(ISNUMBER(INDEX(Data!$G:$G,187)),INDEX(Data!$G:$G,187),p_ChargeFixe),IF(ISNUMBER(INDEX(Data!$J:$J,187-$CD$23)),INDEX(Data!$J:$J,187-$CD$23),p_ChargeFixe))))</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9" t="str">
        <f>IF(AND(D188=1,ISNUMBER(INDEX(Charge!$N:$N,ROW()))),INDEX(Charge!$N:$N,ROW()),"")</f>
        <v/>
      </c>
      <c r="J188" s="169"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70">
        <f>IF(OR($I188="",$E188=0),0,IF(OR($J188&lt;W$3,$I188&gt;W$2),0,IF($K188=0,IF(AND($I188&gt;=W$3,$I188&lt;=W$2),$E188,0),$E188*NETWORKDAYS(MAX($I188,W$3),MIN($J188,W$2),Data!$K$4:$K$203)/$K188)))</f>
        <v>0</v>
      </c>
      <c r="X188" s="170">
        <f>IF(OR($I188="",$E188=0),0,IF(OR($J188&lt;X$3,$I188&gt;X$2),0,IF($K188=0,IF(AND($I188&gt;=X$3,$I188&lt;=X$2),$E188,0),$E188*NETWORKDAYS(MAX($I188,X$3),MIN($J188,X$2),Data!$K$4:$K$203)/$K188)))</f>
        <v>0</v>
      </c>
      <c r="Y188" s="170">
        <f>IF(OR($I188="",$E188=0),0,IF(OR($J188&lt;Y$3,$I188&gt;Y$2),0,IF($K188=0,IF(AND($I188&gt;=Y$3,$I188&lt;=Y$2),$E188,0),$E188*NETWORKDAYS(MAX($I188,Y$3),MIN($J188,Y$2),Data!$K$4:$K$203)/$K188)))</f>
        <v>0</v>
      </c>
      <c r="Z188" s="170">
        <f>IF(OR($I188="",$E188=0),0,IF(OR($J188&lt;Z$3,$I188&gt;Z$2),0,IF($K188=0,IF(AND($I188&gt;=Z$3,$I188&lt;=Z$2),$E188,0),$E188*NETWORKDAYS(MAX($I188,Z$3),MIN($J188,Z$2),Data!$K$4:$K$203)/$K188)))</f>
        <v>0</v>
      </c>
      <c r="AA188" s="170">
        <f>IF(OR($I188="",$E188=0),0,IF(OR($J188&lt;AA$3,$I188&gt;AA$2),0,IF($K188=0,IF(AND($I188&gt;=AA$3,$I188&lt;=AA$2),$E188,0),$E188*NETWORKDAYS(MAX($I188,AA$3),MIN($J188,AA$2),Data!$K$4:$K$203)/$K188)))</f>
        <v>0</v>
      </c>
      <c r="AB188" s="170">
        <f>IF(OR($I188="",$E188=0),0,IF(OR($J188&lt;AB$3,$I188&gt;AB$2),0,IF($K188=0,IF(AND($I188&gt;=AB$3,$I188&lt;=AB$2),$E188,0),$E188*NETWORKDAYS(MAX($I188,AB$3),MIN($J188,AB$2),Data!$K$4:$K$203)/$K188)))</f>
        <v>0</v>
      </c>
      <c r="AC188" s="170">
        <f>IF(OR($I188="",$E188=0),0,IF(OR($J188&lt;AC$3,$I188&gt;AC$2),0,IF($K188=0,IF(AND($I188&gt;=AC$3,$I188&lt;=AC$2),$E188,0),$E188*NETWORKDAYS(MAX($I188,AC$3),MIN($J188,AC$2),Data!$K$4:$K$203)/$K188)))</f>
        <v>0</v>
      </c>
      <c r="AD188" s="170">
        <f>IF(OR($I188="",$E188=0),0,IF(OR($J188&lt;AD$3,$I188&gt;AD$2),0,IF($K188=0,IF(AND($I188&gt;=AD$3,$I188&lt;=AD$2),$E188,0),$E188*NETWORKDAYS(MAX($I188,AD$3),MIN($J188,AD$2),Data!$K$4:$K$203)/$K188)))</f>
        <v>0</v>
      </c>
      <c r="AE188" s="170">
        <f>IF(OR($I188="",$E188=0),0,IF(OR($J188&lt;AE$3,$I188&gt;AE$2),0,IF($K188=0,IF(AND($I188&gt;=AE$3,$I188&lt;=AE$2),$E188,0),$E188*NETWORKDAYS(MAX($I188,AE$3),MIN($J188,AE$2),Data!$K$4:$K$203)/$K188)))</f>
        <v>0</v>
      </c>
      <c r="AF188" s="170">
        <f>IF(OR($I188="",$E188=0),0,IF(OR($J188&lt;AF$3,$I188&gt;AF$2),0,IF($K188=0,IF(AND($I188&gt;=AF$3,$I188&lt;=AF$2),$E188,0),$E188*NETWORKDAYS(MAX($I188,AF$3),MIN($J188,AF$2),Data!$K$4:$K$203)/$K188)))</f>
        <v>0</v>
      </c>
      <c r="AG188" s="170">
        <f>IF(OR($I188="",$E188=0),0,IF(OR($J188&lt;AG$3,$I188&gt;AG$2),0,IF($K188=0,IF(AND($I188&gt;=AG$3,$I188&lt;=AG$2),$E188,0),$E188*NETWORKDAYS(MAX($I188,AG$3),MIN($J188,AG$2),Data!$K$4:$K$203)/$K188)))</f>
        <v>0</v>
      </c>
      <c r="AH188" s="170">
        <f>IF(OR($I188="",$E188=0),0,IF(OR($J188&lt;AH$3,$I188&gt;AH$2),0,IF($K188=0,IF(AND($I188&gt;=AH$3,$I188&lt;=AH$2),$E188,0),$E188*NETWORKDAYS(MAX($I188,AH$3),MIN($J188,AH$2),Data!$K$4:$K$203)/$K188)))</f>
        <v>0</v>
      </c>
      <c r="AI188" s="170">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70"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4" t="str">
        <f>IF(EO188=1,IF(FH188&gt;0,FI188/FH188,AVERAGEIF($FF$4:$FF$503,EN188,$C$4:$C$503)),"")</f>
        <v/>
      </c>
      <c r="EV188" s="169">
        <f>IF(ISNUMBER(I188),I188,2958465)</f>
        <v>2958465.0</v>
      </c>
      <c r="EW188" s="169" t="str">
        <f>IF(EO188=1,SUMPRODUCT(MIN(($EN$4:$EN$503=EN188)*$EV$4:$EV$503+($EN$4:$EN$503&lt;&gt;EN188)*2958465)),"")</f>
        <v/>
      </c>
      <c r="EX188" s="169">
        <f>IF(AND(D188=1,ISNUMBER(INDEX(Charge!$F:$F,ROW()))),INDEX(Charge!$F:$F,ROW()),0)</f>
        <v>0.0</v>
      </c>
      <c r="EY188" s="169"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c r="FF188" t="str">
        <f>IF(B188=1,LEFT(SUBSTITUTE(SUBSTITUTE(SUBSTITUTE(TRIM(SUBSTITUTE(INDEX(Charge!$B:$B,ROW()),CHAR(160)," "))&amp;" | "&amp;TRIM(SUBSTITUTE(INDEX(Charge!$C:$C,ROW()),CHAR(160)," "))&amp;" | "&amp;TRIM(SUBSTITUTE(INDEX(Charge!$D:$D,ROW()),CHAR(160)," ")),"~","-"),"*","+"),"?","!"),240),"")</f>
        <v/>
      </c>
      <c r="FG188">
        <f>IF(B188=1,MAX(0,N(INDEX(Charge!$M:$M,ROW()))),0)</f>
        <v>0</v>
      </c>
      <c r="FH188" s="170" t="str">
        <f>IF(EO188=1,ROUND(SUMIF($FF$4:$FF$503,EN188,$FG$4:$FG$503),2),"")</f>
        <v/>
      </c>
      <c r="FI188" s="170" t="str">
        <f>IF(EO188=1,ROUND(SUMPRODUCT(($FF$4:$FF$503=EN188)*$FG$4:$FG$503*$C$4:$C$503),2),"")</f>
        <v/>
      </c>
      <c r="FJ188" s="170" t="str">
        <f>IF(EO188=1,MAX(0,ROUND(FH188-FI188,2)),"")</f>
        <v/>
      </c>
      <c r="FK188" s="174" t="str">
        <f>IF(EO188=1,IF(OR(EW188&gt;=2958465,EY188=0,EY188&lt;=EW188),"",IF(TODAY()&lt;=EW188,0,IF(TODAY()&gt;EY188,1,IFERROR(NETWORKDAYS(EW188,TODAY()-1,Data!$K$4:$K$203)/NETWORKDAYS(EW188,EY188,Data!$K$4:$K$203),"")))),"")</f>
        <v/>
      </c>
      <c r="FL188" t="str">
        <f>IF(EO188=1,IF(AND(EY188&gt;0,EY188&lt;TODAY(),ROUND(EU188,4)&lt;1),2,IF(FK188="",0,IF(ROUND(EU188-FK188,4)&lt;-0.15,1,0))),"")</f>
        <v/>
      </c>
      <c r="FM188">
        <f>IF(OR(FA188="",COUNTIF($FA$4:FA187,FA188)&gt;0),0,MAX(0,IF(FB188="Interne",IF(ISNUMBER(INDEX(Data!$F:$F,188)),INDEX(Data!$F:$F,188),p_HeuresETP),IF(ISNUMBER(INDEX(Data!$I:$I,188-$CD$23)),INDEX(Data!$I:$I,188-$CD$23),p_HeuresETP))-IF(FB188="Interne",IF(ISNUMBER(INDEX(Data!$G:$G,188)),INDEX(Data!$G:$G,188),p_ChargeFixe),IF(ISNUMBER(INDEX(Data!$J:$J,188-$CD$23)),INDEX(Data!$J:$J,188-$CD$23),p_ChargeFixe))))</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9" t="str">
        <f>IF(AND(D189=1,ISNUMBER(INDEX(Charge!$N:$N,ROW()))),INDEX(Charge!$N:$N,ROW()),"")</f>
        <v/>
      </c>
      <c r="J189" s="169"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70">
        <f>IF(OR($I189="",$E189=0),0,IF(OR($J189&lt;W$3,$I189&gt;W$2),0,IF($K189=0,IF(AND($I189&gt;=W$3,$I189&lt;=W$2),$E189,0),$E189*NETWORKDAYS(MAX($I189,W$3),MIN($J189,W$2),Data!$K$4:$K$203)/$K189)))</f>
        <v>0</v>
      </c>
      <c r="X189" s="170">
        <f>IF(OR($I189="",$E189=0),0,IF(OR($J189&lt;X$3,$I189&gt;X$2),0,IF($K189=0,IF(AND($I189&gt;=X$3,$I189&lt;=X$2),$E189,0),$E189*NETWORKDAYS(MAX($I189,X$3),MIN($J189,X$2),Data!$K$4:$K$203)/$K189)))</f>
        <v>0</v>
      </c>
      <c r="Y189" s="170">
        <f>IF(OR($I189="",$E189=0),0,IF(OR($J189&lt;Y$3,$I189&gt;Y$2),0,IF($K189=0,IF(AND($I189&gt;=Y$3,$I189&lt;=Y$2),$E189,0),$E189*NETWORKDAYS(MAX($I189,Y$3),MIN($J189,Y$2),Data!$K$4:$K$203)/$K189)))</f>
        <v>0</v>
      </c>
      <c r="Z189" s="170">
        <f>IF(OR($I189="",$E189=0),0,IF(OR($J189&lt;Z$3,$I189&gt;Z$2),0,IF($K189=0,IF(AND($I189&gt;=Z$3,$I189&lt;=Z$2),$E189,0),$E189*NETWORKDAYS(MAX($I189,Z$3),MIN($J189,Z$2),Data!$K$4:$K$203)/$K189)))</f>
        <v>0</v>
      </c>
      <c r="AA189" s="170">
        <f>IF(OR($I189="",$E189=0),0,IF(OR($J189&lt;AA$3,$I189&gt;AA$2),0,IF($K189=0,IF(AND($I189&gt;=AA$3,$I189&lt;=AA$2),$E189,0),$E189*NETWORKDAYS(MAX($I189,AA$3),MIN($J189,AA$2),Data!$K$4:$K$203)/$K189)))</f>
        <v>0</v>
      </c>
      <c r="AB189" s="170">
        <f>IF(OR($I189="",$E189=0),0,IF(OR($J189&lt;AB$3,$I189&gt;AB$2),0,IF($K189=0,IF(AND($I189&gt;=AB$3,$I189&lt;=AB$2),$E189,0),$E189*NETWORKDAYS(MAX($I189,AB$3),MIN($J189,AB$2),Data!$K$4:$K$203)/$K189)))</f>
        <v>0</v>
      </c>
      <c r="AC189" s="170">
        <f>IF(OR($I189="",$E189=0),0,IF(OR($J189&lt;AC$3,$I189&gt;AC$2),0,IF($K189=0,IF(AND($I189&gt;=AC$3,$I189&lt;=AC$2),$E189,0),$E189*NETWORKDAYS(MAX($I189,AC$3),MIN($J189,AC$2),Data!$K$4:$K$203)/$K189)))</f>
        <v>0</v>
      </c>
      <c r="AD189" s="170">
        <f>IF(OR($I189="",$E189=0),0,IF(OR($J189&lt;AD$3,$I189&gt;AD$2),0,IF($K189=0,IF(AND($I189&gt;=AD$3,$I189&lt;=AD$2),$E189,0),$E189*NETWORKDAYS(MAX($I189,AD$3),MIN($J189,AD$2),Data!$K$4:$K$203)/$K189)))</f>
        <v>0</v>
      </c>
      <c r="AE189" s="170">
        <f>IF(OR($I189="",$E189=0),0,IF(OR($J189&lt;AE$3,$I189&gt;AE$2),0,IF($K189=0,IF(AND($I189&gt;=AE$3,$I189&lt;=AE$2),$E189,0),$E189*NETWORKDAYS(MAX($I189,AE$3),MIN($J189,AE$2),Data!$K$4:$K$203)/$K189)))</f>
        <v>0</v>
      </c>
      <c r="AF189" s="170">
        <f>IF(OR($I189="",$E189=0),0,IF(OR($J189&lt;AF$3,$I189&gt;AF$2),0,IF($K189=0,IF(AND($I189&gt;=AF$3,$I189&lt;=AF$2),$E189,0),$E189*NETWORKDAYS(MAX($I189,AF$3),MIN($J189,AF$2),Data!$K$4:$K$203)/$K189)))</f>
        <v>0</v>
      </c>
      <c r="AG189" s="170">
        <f>IF(OR($I189="",$E189=0),0,IF(OR($J189&lt;AG$3,$I189&gt;AG$2),0,IF($K189=0,IF(AND($I189&gt;=AG$3,$I189&lt;=AG$2),$E189,0),$E189*NETWORKDAYS(MAX($I189,AG$3),MIN($J189,AG$2),Data!$K$4:$K$203)/$K189)))</f>
        <v>0</v>
      </c>
      <c r="AH189" s="170">
        <f>IF(OR($I189="",$E189=0),0,IF(OR($J189&lt;AH$3,$I189&gt;AH$2),0,IF($K189=0,IF(AND($I189&gt;=AH$3,$I189&lt;=AH$2),$E189,0),$E189*NETWORKDAYS(MAX($I189,AH$3),MIN($J189,AH$2),Data!$K$4:$K$203)/$K189)))</f>
        <v>0</v>
      </c>
      <c r="AI189" s="170">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70"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4" t="str">
        <f>IF(EO189=1,IF(FH189&gt;0,FI189/FH189,AVERAGEIF($FF$4:$FF$503,EN189,$C$4:$C$503)),"")</f>
        <v/>
      </c>
      <c r="EV189" s="169">
        <f>IF(ISNUMBER(I189),I189,2958465)</f>
        <v>2958465.0</v>
      </c>
      <c r="EW189" s="169" t="str">
        <f>IF(EO189=1,SUMPRODUCT(MIN(($EN$4:$EN$503=EN189)*$EV$4:$EV$503+($EN$4:$EN$503&lt;&gt;EN189)*2958465)),"")</f>
        <v/>
      </c>
      <c r="EX189" s="169">
        <f>IF(AND(D189=1,ISNUMBER(INDEX(Charge!$F:$F,ROW()))),INDEX(Charge!$F:$F,ROW()),0)</f>
        <v>0.0</v>
      </c>
      <c r="EY189" s="169"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c r="FF189" t="str">
        <f>IF(B189=1,LEFT(SUBSTITUTE(SUBSTITUTE(SUBSTITUTE(TRIM(SUBSTITUTE(INDEX(Charge!$B:$B,ROW()),CHAR(160)," "))&amp;" | "&amp;TRIM(SUBSTITUTE(INDEX(Charge!$C:$C,ROW()),CHAR(160)," "))&amp;" | "&amp;TRIM(SUBSTITUTE(INDEX(Charge!$D:$D,ROW()),CHAR(160)," ")),"~","-"),"*","+"),"?","!"),240),"")</f>
        <v/>
      </c>
      <c r="FG189">
        <f>IF(B189=1,MAX(0,N(INDEX(Charge!$M:$M,ROW()))),0)</f>
        <v>0</v>
      </c>
      <c r="FH189" s="170" t="str">
        <f>IF(EO189=1,ROUND(SUMIF($FF$4:$FF$503,EN189,$FG$4:$FG$503),2),"")</f>
        <v/>
      </c>
      <c r="FI189" s="170" t="str">
        <f>IF(EO189=1,ROUND(SUMPRODUCT(($FF$4:$FF$503=EN189)*$FG$4:$FG$503*$C$4:$C$503),2),"")</f>
        <v/>
      </c>
      <c r="FJ189" s="170" t="str">
        <f>IF(EO189=1,MAX(0,ROUND(FH189-FI189,2)),"")</f>
        <v/>
      </c>
      <c r="FK189" s="174" t="str">
        <f>IF(EO189=1,IF(OR(EW189&gt;=2958465,EY189=0,EY189&lt;=EW189),"",IF(TODAY()&lt;=EW189,0,IF(TODAY()&gt;EY189,1,IFERROR(NETWORKDAYS(EW189,TODAY()-1,Data!$K$4:$K$203)/NETWORKDAYS(EW189,EY189,Data!$K$4:$K$203),"")))),"")</f>
        <v/>
      </c>
      <c r="FL189" t="str">
        <f>IF(EO189=1,IF(AND(EY189&gt;0,EY189&lt;TODAY(),ROUND(EU189,4)&lt;1),2,IF(FK189="",0,IF(ROUND(EU189-FK189,4)&lt;-0.15,1,0))),"")</f>
        <v/>
      </c>
      <c r="FM189">
        <f>IF(OR(FA189="",COUNTIF($FA$4:FA188,FA189)&gt;0),0,MAX(0,IF(FB189="Interne",IF(ISNUMBER(INDEX(Data!$F:$F,189)),INDEX(Data!$F:$F,189),p_HeuresETP),IF(ISNUMBER(INDEX(Data!$I:$I,189-$CD$23)),INDEX(Data!$I:$I,189-$CD$23),p_HeuresETP))-IF(FB189="Interne",IF(ISNUMBER(INDEX(Data!$G:$G,189)),INDEX(Data!$G:$G,189),p_ChargeFixe),IF(ISNUMBER(INDEX(Data!$J:$J,189-$CD$23)),INDEX(Data!$J:$J,189-$CD$23),p_ChargeFixe))))</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9" t="str">
        <f>IF(AND(D190=1,ISNUMBER(INDEX(Charge!$N:$N,ROW()))),INDEX(Charge!$N:$N,ROW()),"")</f>
        <v/>
      </c>
      <c r="J190" s="169"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70">
        <f>IF(OR($I190="",$E190=0),0,IF(OR($J190&lt;W$3,$I190&gt;W$2),0,IF($K190=0,IF(AND($I190&gt;=W$3,$I190&lt;=W$2),$E190,0),$E190*NETWORKDAYS(MAX($I190,W$3),MIN($J190,W$2),Data!$K$4:$K$203)/$K190)))</f>
        <v>0</v>
      </c>
      <c r="X190" s="170">
        <f>IF(OR($I190="",$E190=0),0,IF(OR($J190&lt;X$3,$I190&gt;X$2),0,IF($K190=0,IF(AND($I190&gt;=X$3,$I190&lt;=X$2),$E190,0),$E190*NETWORKDAYS(MAX($I190,X$3),MIN($J190,X$2),Data!$K$4:$K$203)/$K190)))</f>
        <v>0</v>
      </c>
      <c r="Y190" s="170">
        <f>IF(OR($I190="",$E190=0),0,IF(OR($J190&lt;Y$3,$I190&gt;Y$2),0,IF($K190=0,IF(AND($I190&gt;=Y$3,$I190&lt;=Y$2),$E190,0),$E190*NETWORKDAYS(MAX($I190,Y$3),MIN($J190,Y$2),Data!$K$4:$K$203)/$K190)))</f>
        <v>0</v>
      </c>
      <c r="Z190" s="170">
        <f>IF(OR($I190="",$E190=0),0,IF(OR($J190&lt;Z$3,$I190&gt;Z$2),0,IF($K190=0,IF(AND($I190&gt;=Z$3,$I190&lt;=Z$2),$E190,0),$E190*NETWORKDAYS(MAX($I190,Z$3),MIN($J190,Z$2),Data!$K$4:$K$203)/$K190)))</f>
        <v>0</v>
      </c>
      <c r="AA190" s="170">
        <f>IF(OR($I190="",$E190=0),0,IF(OR($J190&lt;AA$3,$I190&gt;AA$2),0,IF($K190=0,IF(AND($I190&gt;=AA$3,$I190&lt;=AA$2),$E190,0),$E190*NETWORKDAYS(MAX($I190,AA$3),MIN($J190,AA$2),Data!$K$4:$K$203)/$K190)))</f>
        <v>0</v>
      </c>
      <c r="AB190" s="170">
        <f>IF(OR($I190="",$E190=0),0,IF(OR($J190&lt;AB$3,$I190&gt;AB$2),0,IF($K190=0,IF(AND($I190&gt;=AB$3,$I190&lt;=AB$2),$E190,0),$E190*NETWORKDAYS(MAX($I190,AB$3),MIN($J190,AB$2),Data!$K$4:$K$203)/$K190)))</f>
        <v>0</v>
      </c>
      <c r="AC190" s="170">
        <f>IF(OR($I190="",$E190=0),0,IF(OR($J190&lt;AC$3,$I190&gt;AC$2),0,IF($K190=0,IF(AND($I190&gt;=AC$3,$I190&lt;=AC$2),$E190,0),$E190*NETWORKDAYS(MAX($I190,AC$3),MIN($J190,AC$2),Data!$K$4:$K$203)/$K190)))</f>
        <v>0</v>
      </c>
      <c r="AD190" s="170">
        <f>IF(OR($I190="",$E190=0),0,IF(OR($J190&lt;AD$3,$I190&gt;AD$2),0,IF($K190=0,IF(AND($I190&gt;=AD$3,$I190&lt;=AD$2),$E190,0),$E190*NETWORKDAYS(MAX($I190,AD$3),MIN($J190,AD$2),Data!$K$4:$K$203)/$K190)))</f>
        <v>0</v>
      </c>
      <c r="AE190" s="170">
        <f>IF(OR($I190="",$E190=0),0,IF(OR($J190&lt;AE$3,$I190&gt;AE$2),0,IF($K190=0,IF(AND($I190&gt;=AE$3,$I190&lt;=AE$2),$E190,0),$E190*NETWORKDAYS(MAX($I190,AE$3),MIN($J190,AE$2),Data!$K$4:$K$203)/$K190)))</f>
        <v>0</v>
      </c>
      <c r="AF190" s="170">
        <f>IF(OR($I190="",$E190=0),0,IF(OR($J190&lt;AF$3,$I190&gt;AF$2),0,IF($K190=0,IF(AND($I190&gt;=AF$3,$I190&lt;=AF$2),$E190,0),$E190*NETWORKDAYS(MAX($I190,AF$3),MIN($J190,AF$2),Data!$K$4:$K$203)/$K190)))</f>
        <v>0</v>
      </c>
      <c r="AG190" s="170">
        <f>IF(OR($I190="",$E190=0),0,IF(OR($J190&lt;AG$3,$I190&gt;AG$2),0,IF($K190=0,IF(AND($I190&gt;=AG$3,$I190&lt;=AG$2),$E190,0),$E190*NETWORKDAYS(MAX($I190,AG$3),MIN($J190,AG$2),Data!$K$4:$K$203)/$K190)))</f>
        <v>0</v>
      </c>
      <c r="AH190" s="170">
        <f>IF(OR($I190="",$E190=0),0,IF(OR($J190&lt;AH$3,$I190&gt;AH$2),0,IF($K190=0,IF(AND($I190&gt;=AH$3,$I190&lt;=AH$2),$E190,0),$E190*NETWORKDAYS(MAX($I190,AH$3),MIN($J190,AH$2),Data!$K$4:$K$203)/$K190)))</f>
        <v>0</v>
      </c>
      <c r="AI190" s="170">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70"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4" t="str">
        <f>IF(EO190=1,IF(FH190&gt;0,FI190/FH190,AVERAGEIF($FF$4:$FF$503,EN190,$C$4:$C$503)),"")</f>
        <v/>
      </c>
      <c r="EV190" s="169">
        <f>IF(ISNUMBER(I190),I190,2958465)</f>
        <v>2958465.0</v>
      </c>
      <c r="EW190" s="169" t="str">
        <f>IF(EO190=1,SUMPRODUCT(MIN(($EN$4:$EN$503=EN190)*$EV$4:$EV$503+($EN$4:$EN$503&lt;&gt;EN190)*2958465)),"")</f>
        <v/>
      </c>
      <c r="EX190" s="169">
        <f>IF(AND(D190=1,ISNUMBER(INDEX(Charge!$F:$F,ROW()))),INDEX(Charge!$F:$F,ROW()),0)</f>
        <v>0.0</v>
      </c>
      <c r="EY190" s="169"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c r="FF190" t="str">
        <f>IF(B190=1,LEFT(SUBSTITUTE(SUBSTITUTE(SUBSTITUTE(TRIM(SUBSTITUTE(INDEX(Charge!$B:$B,ROW()),CHAR(160)," "))&amp;" | "&amp;TRIM(SUBSTITUTE(INDEX(Charge!$C:$C,ROW()),CHAR(160)," "))&amp;" | "&amp;TRIM(SUBSTITUTE(INDEX(Charge!$D:$D,ROW()),CHAR(160)," ")),"~","-"),"*","+"),"?","!"),240),"")</f>
        <v/>
      </c>
      <c r="FG190">
        <f>IF(B190=1,MAX(0,N(INDEX(Charge!$M:$M,ROW()))),0)</f>
        <v>0</v>
      </c>
      <c r="FH190" s="170" t="str">
        <f>IF(EO190=1,ROUND(SUMIF($FF$4:$FF$503,EN190,$FG$4:$FG$503),2),"")</f>
        <v/>
      </c>
      <c r="FI190" s="170" t="str">
        <f>IF(EO190=1,ROUND(SUMPRODUCT(($FF$4:$FF$503=EN190)*$FG$4:$FG$503*$C$4:$C$503),2),"")</f>
        <v/>
      </c>
      <c r="FJ190" s="170" t="str">
        <f>IF(EO190=1,MAX(0,ROUND(FH190-FI190,2)),"")</f>
        <v/>
      </c>
      <c r="FK190" s="174" t="str">
        <f>IF(EO190=1,IF(OR(EW190&gt;=2958465,EY190=0,EY190&lt;=EW190),"",IF(TODAY()&lt;=EW190,0,IF(TODAY()&gt;EY190,1,IFERROR(NETWORKDAYS(EW190,TODAY()-1,Data!$K$4:$K$203)/NETWORKDAYS(EW190,EY190,Data!$K$4:$K$203),"")))),"")</f>
        <v/>
      </c>
      <c r="FL190" t="str">
        <f>IF(EO190=1,IF(AND(EY190&gt;0,EY190&lt;TODAY(),ROUND(EU190,4)&lt;1),2,IF(FK190="",0,IF(ROUND(EU190-FK190,4)&lt;-0.15,1,0))),"")</f>
        <v/>
      </c>
      <c r="FM190">
        <f>IF(OR(FA190="",COUNTIF($FA$4:FA189,FA190)&gt;0),0,MAX(0,IF(FB190="Interne",IF(ISNUMBER(INDEX(Data!$F:$F,190)),INDEX(Data!$F:$F,190),p_HeuresETP),IF(ISNUMBER(INDEX(Data!$I:$I,190-$CD$23)),INDEX(Data!$I:$I,190-$CD$23),p_HeuresETP))-IF(FB190="Interne",IF(ISNUMBER(INDEX(Data!$G:$G,190)),INDEX(Data!$G:$G,190),p_ChargeFixe),IF(ISNUMBER(INDEX(Data!$J:$J,190-$CD$23)),INDEX(Data!$J:$J,190-$CD$23),p_ChargeFixe))))</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9" t="str">
        <f>IF(AND(D191=1,ISNUMBER(INDEX(Charge!$N:$N,ROW()))),INDEX(Charge!$N:$N,ROW()),"")</f>
        <v/>
      </c>
      <c r="J191" s="169"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70">
        <f>IF(OR($I191="",$E191=0),0,IF(OR($J191&lt;W$3,$I191&gt;W$2),0,IF($K191=0,IF(AND($I191&gt;=W$3,$I191&lt;=W$2),$E191,0),$E191*NETWORKDAYS(MAX($I191,W$3),MIN($J191,W$2),Data!$K$4:$K$203)/$K191)))</f>
        <v>0</v>
      </c>
      <c r="X191" s="170">
        <f>IF(OR($I191="",$E191=0),0,IF(OR($J191&lt;X$3,$I191&gt;X$2),0,IF($K191=0,IF(AND($I191&gt;=X$3,$I191&lt;=X$2),$E191,0),$E191*NETWORKDAYS(MAX($I191,X$3),MIN($J191,X$2),Data!$K$4:$K$203)/$K191)))</f>
        <v>0</v>
      </c>
      <c r="Y191" s="170">
        <f>IF(OR($I191="",$E191=0),0,IF(OR($J191&lt;Y$3,$I191&gt;Y$2),0,IF($K191=0,IF(AND($I191&gt;=Y$3,$I191&lt;=Y$2),$E191,0),$E191*NETWORKDAYS(MAX($I191,Y$3),MIN($J191,Y$2),Data!$K$4:$K$203)/$K191)))</f>
        <v>0</v>
      </c>
      <c r="Z191" s="170">
        <f>IF(OR($I191="",$E191=0),0,IF(OR($J191&lt;Z$3,$I191&gt;Z$2),0,IF($K191=0,IF(AND($I191&gt;=Z$3,$I191&lt;=Z$2),$E191,0),$E191*NETWORKDAYS(MAX($I191,Z$3),MIN($J191,Z$2),Data!$K$4:$K$203)/$K191)))</f>
        <v>0</v>
      </c>
      <c r="AA191" s="170">
        <f>IF(OR($I191="",$E191=0),0,IF(OR($J191&lt;AA$3,$I191&gt;AA$2),0,IF($K191=0,IF(AND($I191&gt;=AA$3,$I191&lt;=AA$2),$E191,0),$E191*NETWORKDAYS(MAX($I191,AA$3),MIN($J191,AA$2),Data!$K$4:$K$203)/$K191)))</f>
        <v>0</v>
      </c>
      <c r="AB191" s="170">
        <f>IF(OR($I191="",$E191=0),0,IF(OR($J191&lt;AB$3,$I191&gt;AB$2),0,IF($K191=0,IF(AND($I191&gt;=AB$3,$I191&lt;=AB$2),$E191,0),$E191*NETWORKDAYS(MAX($I191,AB$3),MIN($J191,AB$2),Data!$K$4:$K$203)/$K191)))</f>
        <v>0</v>
      </c>
      <c r="AC191" s="170">
        <f>IF(OR($I191="",$E191=0),0,IF(OR($J191&lt;AC$3,$I191&gt;AC$2),0,IF($K191=0,IF(AND($I191&gt;=AC$3,$I191&lt;=AC$2),$E191,0),$E191*NETWORKDAYS(MAX($I191,AC$3),MIN($J191,AC$2),Data!$K$4:$K$203)/$K191)))</f>
        <v>0</v>
      </c>
      <c r="AD191" s="170">
        <f>IF(OR($I191="",$E191=0),0,IF(OR($J191&lt;AD$3,$I191&gt;AD$2),0,IF($K191=0,IF(AND($I191&gt;=AD$3,$I191&lt;=AD$2),$E191,0),$E191*NETWORKDAYS(MAX($I191,AD$3),MIN($J191,AD$2),Data!$K$4:$K$203)/$K191)))</f>
        <v>0</v>
      </c>
      <c r="AE191" s="170">
        <f>IF(OR($I191="",$E191=0),0,IF(OR($J191&lt;AE$3,$I191&gt;AE$2),0,IF($K191=0,IF(AND($I191&gt;=AE$3,$I191&lt;=AE$2),$E191,0),$E191*NETWORKDAYS(MAX($I191,AE$3),MIN($J191,AE$2),Data!$K$4:$K$203)/$K191)))</f>
        <v>0</v>
      </c>
      <c r="AF191" s="170">
        <f>IF(OR($I191="",$E191=0),0,IF(OR($J191&lt;AF$3,$I191&gt;AF$2),0,IF($K191=0,IF(AND($I191&gt;=AF$3,$I191&lt;=AF$2),$E191,0),$E191*NETWORKDAYS(MAX($I191,AF$3),MIN($J191,AF$2),Data!$K$4:$K$203)/$K191)))</f>
        <v>0</v>
      </c>
      <c r="AG191" s="170">
        <f>IF(OR($I191="",$E191=0),0,IF(OR($J191&lt;AG$3,$I191&gt;AG$2),0,IF($K191=0,IF(AND($I191&gt;=AG$3,$I191&lt;=AG$2),$E191,0),$E191*NETWORKDAYS(MAX($I191,AG$3),MIN($J191,AG$2),Data!$K$4:$K$203)/$K191)))</f>
        <v>0</v>
      </c>
      <c r="AH191" s="170">
        <f>IF(OR($I191="",$E191=0),0,IF(OR($J191&lt;AH$3,$I191&gt;AH$2),0,IF($K191=0,IF(AND($I191&gt;=AH$3,$I191&lt;=AH$2),$E191,0),$E191*NETWORKDAYS(MAX($I191,AH$3),MIN($J191,AH$2),Data!$K$4:$K$203)/$K191)))</f>
        <v>0</v>
      </c>
      <c r="AI191" s="170">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70"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4" t="str">
        <f>IF(EO191=1,IF(FH191&gt;0,FI191/FH191,AVERAGEIF($FF$4:$FF$503,EN191,$C$4:$C$503)),"")</f>
        <v/>
      </c>
      <c r="EV191" s="169">
        <f>IF(ISNUMBER(I191),I191,2958465)</f>
        <v>2958465.0</v>
      </c>
      <c r="EW191" s="169" t="str">
        <f>IF(EO191=1,SUMPRODUCT(MIN(($EN$4:$EN$503=EN191)*$EV$4:$EV$503+($EN$4:$EN$503&lt;&gt;EN191)*2958465)),"")</f>
        <v/>
      </c>
      <c r="EX191" s="169">
        <f>IF(AND(D191=1,ISNUMBER(INDEX(Charge!$F:$F,ROW()))),INDEX(Charge!$F:$F,ROW()),0)</f>
        <v>0.0</v>
      </c>
      <c r="EY191" s="169"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c r="FF191" t="str">
        <f>IF(B191=1,LEFT(SUBSTITUTE(SUBSTITUTE(SUBSTITUTE(TRIM(SUBSTITUTE(INDEX(Charge!$B:$B,ROW()),CHAR(160)," "))&amp;" | "&amp;TRIM(SUBSTITUTE(INDEX(Charge!$C:$C,ROW()),CHAR(160)," "))&amp;" | "&amp;TRIM(SUBSTITUTE(INDEX(Charge!$D:$D,ROW()),CHAR(160)," ")),"~","-"),"*","+"),"?","!"),240),"")</f>
        <v/>
      </c>
      <c r="FG191">
        <f>IF(B191=1,MAX(0,N(INDEX(Charge!$M:$M,ROW()))),0)</f>
        <v>0</v>
      </c>
      <c r="FH191" s="170" t="str">
        <f>IF(EO191=1,ROUND(SUMIF($FF$4:$FF$503,EN191,$FG$4:$FG$503),2),"")</f>
        <v/>
      </c>
      <c r="FI191" s="170" t="str">
        <f>IF(EO191=1,ROUND(SUMPRODUCT(($FF$4:$FF$503=EN191)*$FG$4:$FG$503*$C$4:$C$503),2),"")</f>
        <v/>
      </c>
      <c r="FJ191" s="170" t="str">
        <f>IF(EO191=1,MAX(0,ROUND(FH191-FI191,2)),"")</f>
        <v/>
      </c>
      <c r="FK191" s="174" t="str">
        <f>IF(EO191=1,IF(OR(EW191&gt;=2958465,EY191=0,EY191&lt;=EW191),"",IF(TODAY()&lt;=EW191,0,IF(TODAY()&gt;EY191,1,IFERROR(NETWORKDAYS(EW191,TODAY()-1,Data!$K$4:$K$203)/NETWORKDAYS(EW191,EY191,Data!$K$4:$K$203),"")))),"")</f>
        <v/>
      </c>
      <c r="FL191" t="str">
        <f>IF(EO191=1,IF(AND(EY191&gt;0,EY191&lt;TODAY(),ROUND(EU191,4)&lt;1),2,IF(FK191="",0,IF(ROUND(EU191-FK191,4)&lt;-0.15,1,0))),"")</f>
        <v/>
      </c>
      <c r="FM191">
        <f>IF(OR(FA191="",COUNTIF($FA$4:FA190,FA191)&gt;0),0,MAX(0,IF(FB191="Interne",IF(ISNUMBER(INDEX(Data!$F:$F,191)),INDEX(Data!$F:$F,191),p_HeuresETP),IF(ISNUMBER(INDEX(Data!$I:$I,191-$CD$23)),INDEX(Data!$I:$I,191-$CD$23),p_HeuresETP))-IF(FB191="Interne",IF(ISNUMBER(INDEX(Data!$G:$G,191)),INDEX(Data!$G:$G,191),p_ChargeFixe),IF(ISNUMBER(INDEX(Data!$J:$J,191-$CD$23)),INDEX(Data!$J:$J,191-$CD$23),p_ChargeFixe))))</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9" t="str">
        <f>IF(AND(D192=1,ISNUMBER(INDEX(Charge!$N:$N,ROW()))),INDEX(Charge!$N:$N,ROW()),"")</f>
        <v/>
      </c>
      <c r="J192" s="169"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70">
        <f>IF(OR($I192="",$E192=0),0,IF(OR($J192&lt;W$3,$I192&gt;W$2),0,IF($K192=0,IF(AND($I192&gt;=W$3,$I192&lt;=W$2),$E192,0),$E192*NETWORKDAYS(MAX($I192,W$3),MIN($J192,W$2),Data!$K$4:$K$203)/$K192)))</f>
        <v>0</v>
      </c>
      <c r="X192" s="170">
        <f>IF(OR($I192="",$E192=0),0,IF(OR($J192&lt;X$3,$I192&gt;X$2),0,IF($K192=0,IF(AND($I192&gt;=X$3,$I192&lt;=X$2),$E192,0),$E192*NETWORKDAYS(MAX($I192,X$3),MIN($J192,X$2),Data!$K$4:$K$203)/$K192)))</f>
        <v>0</v>
      </c>
      <c r="Y192" s="170">
        <f>IF(OR($I192="",$E192=0),0,IF(OR($J192&lt;Y$3,$I192&gt;Y$2),0,IF($K192=0,IF(AND($I192&gt;=Y$3,$I192&lt;=Y$2),$E192,0),$E192*NETWORKDAYS(MAX($I192,Y$3),MIN($J192,Y$2),Data!$K$4:$K$203)/$K192)))</f>
        <v>0</v>
      </c>
      <c r="Z192" s="170">
        <f>IF(OR($I192="",$E192=0),0,IF(OR($J192&lt;Z$3,$I192&gt;Z$2),0,IF($K192=0,IF(AND($I192&gt;=Z$3,$I192&lt;=Z$2),$E192,0),$E192*NETWORKDAYS(MAX($I192,Z$3),MIN($J192,Z$2),Data!$K$4:$K$203)/$K192)))</f>
        <v>0</v>
      </c>
      <c r="AA192" s="170">
        <f>IF(OR($I192="",$E192=0),0,IF(OR($J192&lt;AA$3,$I192&gt;AA$2),0,IF($K192=0,IF(AND($I192&gt;=AA$3,$I192&lt;=AA$2),$E192,0),$E192*NETWORKDAYS(MAX($I192,AA$3),MIN($J192,AA$2),Data!$K$4:$K$203)/$K192)))</f>
        <v>0</v>
      </c>
      <c r="AB192" s="170">
        <f>IF(OR($I192="",$E192=0),0,IF(OR($J192&lt;AB$3,$I192&gt;AB$2),0,IF($K192=0,IF(AND($I192&gt;=AB$3,$I192&lt;=AB$2),$E192,0),$E192*NETWORKDAYS(MAX($I192,AB$3),MIN($J192,AB$2),Data!$K$4:$K$203)/$K192)))</f>
        <v>0</v>
      </c>
      <c r="AC192" s="170">
        <f>IF(OR($I192="",$E192=0),0,IF(OR($J192&lt;AC$3,$I192&gt;AC$2),0,IF($K192=0,IF(AND($I192&gt;=AC$3,$I192&lt;=AC$2),$E192,0),$E192*NETWORKDAYS(MAX($I192,AC$3),MIN($J192,AC$2),Data!$K$4:$K$203)/$K192)))</f>
        <v>0</v>
      </c>
      <c r="AD192" s="170">
        <f>IF(OR($I192="",$E192=0),0,IF(OR($J192&lt;AD$3,$I192&gt;AD$2),0,IF($K192=0,IF(AND($I192&gt;=AD$3,$I192&lt;=AD$2),$E192,0),$E192*NETWORKDAYS(MAX($I192,AD$3),MIN($J192,AD$2),Data!$K$4:$K$203)/$K192)))</f>
        <v>0</v>
      </c>
      <c r="AE192" s="170">
        <f>IF(OR($I192="",$E192=0),0,IF(OR($J192&lt;AE$3,$I192&gt;AE$2),0,IF($K192=0,IF(AND($I192&gt;=AE$3,$I192&lt;=AE$2),$E192,0),$E192*NETWORKDAYS(MAX($I192,AE$3),MIN($J192,AE$2),Data!$K$4:$K$203)/$K192)))</f>
        <v>0</v>
      </c>
      <c r="AF192" s="170">
        <f>IF(OR($I192="",$E192=0),0,IF(OR($J192&lt;AF$3,$I192&gt;AF$2),0,IF($K192=0,IF(AND($I192&gt;=AF$3,$I192&lt;=AF$2),$E192,0),$E192*NETWORKDAYS(MAX($I192,AF$3),MIN($J192,AF$2),Data!$K$4:$K$203)/$K192)))</f>
        <v>0</v>
      </c>
      <c r="AG192" s="170">
        <f>IF(OR($I192="",$E192=0),0,IF(OR($J192&lt;AG$3,$I192&gt;AG$2),0,IF($K192=0,IF(AND($I192&gt;=AG$3,$I192&lt;=AG$2),$E192,0),$E192*NETWORKDAYS(MAX($I192,AG$3),MIN($J192,AG$2),Data!$K$4:$K$203)/$K192)))</f>
        <v>0</v>
      </c>
      <c r="AH192" s="170">
        <f>IF(OR($I192="",$E192=0),0,IF(OR($J192&lt;AH$3,$I192&gt;AH$2),0,IF($K192=0,IF(AND($I192&gt;=AH$3,$I192&lt;=AH$2),$E192,0),$E192*NETWORKDAYS(MAX($I192,AH$3),MIN($J192,AH$2),Data!$K$4:$K$203)/$K192)))</f>
        <v>0</v>
      </c>
      <c r="AI192" s="170">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70"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4" t="str">
        <f>IF(EO192=1,IF(FH192&gt;0,FI192/FH192,AVERAGEIF($FF$4:$FF$503,EN192,$C$4:$C$503)),"")</f>
        <v/>
      </c>
      <c r="EV192" s="169">
        <f>IF(ISNUMBER(I192),I192,2958465)</f>
        <v>2958465.0</v>
      </c>
      <c r="EW192" s="169" t="str">
        <f>IF(EO192=1,SUMPRODUCT(MIN(($EN$4:$EN$503=EN192)*$EV$4:$EV$503+($EN$4:$EN$503&lt;&gt;EN192)*2958465)),"")</f>
        <v/>
      </c>
      <c r="EX192" s="169">
        <f>IF(AND(D192=1,ISNUMBER(INDEX(Charge!$F:$F,ROW()))),INDEX(Charge!$F:$F,ROW()),0)</f>
        <v>0.0</v>
      </c>
      <c r="EY192" s="169"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c r="FF192" t="str">
        <f>IF(B192=1,LEFT(SUBSTITUTE(SUBSTITUTE(SUBSTITUTE(TRIM(SUBSTITUTE(INDEX(Charge!$B:$B,ROW()),CHAR(160)," "))&amp;" | "&amp;TRIM(SUBSTITUTE(INDEX(Charge!$C:$C,ROW()),CHAR(160)," "))&amp;" | "&amp;TRIM(SUBSTITUTE(INDEX(Charge!$D:$D,ROW()),CHAR(160)," ")),"~","-"),"*","+"),"?","!"),240),"")</f>
        <v/>
      </c>
      <c r="FG192">
        <f>IF(B192=1,MAX(0,N(INDEX(Charge!$M:$M,ROW()))),0)</f>
        <v>0</v>
      </c>
      <c r="FH192" s="170" t="str">
        <f>IF(EO192=1,ROUND(SUMIF($FF$4:$FF$503,EN192,$FG$4:$FG$503),2),"")</f>
        <v/>
      </c>
      <c r="FI192" s="170" t="str">
        <f>IF(EO192=1,ROUND(SUMPRODUCT(($FF$4:$FF$503=EN192)*$FG$4:$FG$503*$C$4:$C$503),2),"")</f>
        <v/>
      </c>
      <c r="FJ192" s="170" t="str">
        <f>IF(EO192=1,MAX(0,ROUND(FH192-FI192,2)),"")</f>
        <v/>
      </c>
      <c r="FK192" s="174" t="str">
        <f>IF(EO192=1,IF(OR(EW192&gt;=2958465,EY192=0,EY192&lt;=EW192),"",IF(TODAY()&lt;=EW192,0,IF(TODAY()&gt;EY192,1,IFERROR(NETWORKDAYS(EW192,TODAY()-1,Data!$K$4:$K$203)/NETWORKDAYS(EW192,EY192,Data!$K$4:$K$203),"")))),"")</f>
        <v/>
      </c>
      <c r="FL192" t="str">
        <f>IF(EO192=1,IF(AND(EY192&gt;0,EY192&lt;TODAY(),ROUND(EU192,4)&lt;1),2,IF(FK192="",0,IF(ROUND(EU192-FK192,4)&lt;-0.15,1,0))),"")</f>
        <v/>
      </c>
      <c r="FM192">
        <f>IF(OR(FA192="",COUNTIF($FA$4:FA191,FA192)&gt;0),0,MAX(0,IF(FB192="Interne",IF(ISNUMBER(INDEX(Data!$F:$F,192)),INDEX(Data!$F:$F,192),p_HeuresETP),IF(ISNUMBER(INDEX(Data!$I:$I,192-$CD$23)),INDEX(Data!$I:$I,192-$CD$23),p_HeuresETP))-IF(FB192="Interne",IF(ISNUMBER(INDEX(Data!$G:$G,192)),INDEX(Data!$G:$G,192),p_ChargeFixe),IF(ISNUMBER(INDEX(Data!$J:$J,192-$CD$23)),INDEX(Data!$J:$J,192-$CD$23),p_ChargeFixe))))</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9" t="str">
        <f>IF(AND(D193=1,ISNUMBER(INDEX(Charge!$N:$N,ROW()))),INDEX(Charge!$N:$N,ROW()),"")</f>
        <v/>
      </c>
      <c r="J193" s="169"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70">
        <f>IF(OR($I193="",$E193=0),0,IF(OR($J193&lt;W$3,$I193&gt;W$2),0,IF($K193=0,IF(AND($I193&gt;=W$3,$I193&lt;=W$2),$E193,0),$E193*NETWORKDAYS(MAX($I193,W$3),MIN($J193,W$2),Data!$K$4:$K$203)/$K193)))</f>
        <v>0</v>
      </c>
      <c r="X193" s="170">
        <f>IF(OR($I193="",$E193=0),0,IF(OR($J193&lt;X$3,$I193&gt;X$2),0,IF($K193=0,IF(AND($I193&gt;=X$3,$I193&lt;=X$2),$E193,0),$E193*NETWORKDAYS(MAX($I193,X$3),MIN($J193,X$2),Data!$K$4:$K$203)/$K193)))</f>
        <v>0</v>
      </c>
      <c r="Y193" s="170">
        <f>IF(OR($I193="",$E193=0),0,IF(OR($J193&lt;Y$3,$I193&gt;Y$2),0,IF($K193=0,IF(AND($I193&gt;=Y$3,$I193&lt;=Y$2),$E193,0),$E193*NETWORKDAYS(MAX($I193,Y$3),MIN($J193,Y$2),Data!$K$4:$K$203)/$K193)))</f>
        <v>0</v>
      </c>
      <c r="Z193" s="170">
        <f>IF(OR($I193="",$E193=0),0,IF(OR($J193&lt;Z$3,$I193&gt;Z$2),0,IF($K193=0,IF(AND($I193&gt;=Z$3,$I193&lt;=Z$2),$E193,0),$E193*NETWORKDAYS(MAX($I193,Z$3),MIN($J193,Z$2),Data!$K$4:$K$203)/$K193)))</f>
        <v>0</v>
      </c>
      <c r="AA193" s="170">
        <f>IF(OR($I193="",$E193=0),0,IF(OR($J193&lt;AA$3,$I193&gt;AA$2),0,IF($K193=0,IF(AND($I193&gt;=AA$3,$I193&lt;=AA$2),$E193,0),$E193*NETWORKDAYS(MAX($I193,AA$3),MIN($J193,AA$2),Data!$K$4:$K$203)/$K193)))</f>
        <v>0</v>
      </c>
      <c r="AB193" s="170">
        <f>IF(OR($I193="",$E193=0),0,IF(OR($J193&lt;AB$3,$I193&gt;AB$2),0,IF($K193=0,IF(AND($I193&gt;=AB$3,$I193&lt;=AB$2),$E193,0),$E193*NETWORKDAYS(MAX($I193,AB$3),MIN($J193,AB$2),Data!$K$4:$K$203)/$K193)))</f>
        <v>0</v>
      </c>
      <c r="AC193" s="170">
        <f>IF(OR($I193="",$E193=0),0,IF(OR($J193&lt;AC$3,$I193&gt;AC$2),0,IF($K193=0,IF(AND($I193&gt;=AC$3,$I193&lt;=AC$2),$E193,0),$E193*NETWORKDAYS(MAX($I193,AC$3),MIN($J193,AC$2),Data!$K$4:$K$203)/$K193)))</f>
        <v>0</v>
      </c>
      <c r="AD193" s="170">
        <f>IF(OR($I193="",$E193=0),0,IF(OR($J193&lt;AD$3,$I193&gt;AD$2),0,IF($K193=0,IF(AND($I193&gt;=AD$3,$I193&lt;=AD$2),$E193,0),$E193*NETWORKDAYS(MAX($I193,AD$3),MIN($J193,AD$2),Data!$K$4:$K$203)/$K193)))</f>
        <v>0</v>
      </c>
      <c r="AE193" s="170">
        <f>IF(OR($I193="",$E193=0),0,IF(OR($J193&lt;AE$3,$I193&gt;AE$2),0,IF($K193=0,IF(AND($I193&gt;=AE$3,$I193&lt;=AE$2),$E193,0),$E193*NETWORKDAYS(MAX($I193,AE$3),MIN($J193,AE$2),Data!$K$4:$K$203)/$K193)))</f>
        <v>0</v>
      </c>
      <c r="AF193" s="170">
        <f>IF(OR($I193="",$E193=0),0,IF(OR($J193&lt;AF$3,$I193&gt;AF$2),0,IF($K193=0,IF(AND($I193&gt;=AF$3,$I193&lt;=AF$2),$E193,0),$E193*NETWORKDAYS(MAX($I193,AF$3),MIN($J193,AF$2),Data!$K$4:$K$203)/$K193)))</f>
        <v>0</v>
      </c>
      <c r="AG193" s="170">
        <f>IF(OR($I193="",$E193=0),0,IF(OR($J193&lt;AG$3,$I193&gt;AG$2),0,IF($K193=0,IF(AND($I193&gt;=AG$3,$I193&lt;=AG$2),$E193,0),$E193*NETWORKDAYS(MAX($I193,AG$3),MIN($J193,AG$2),Data!$K$4:$K$203)/$K193)))</f>
        <v>0</v>
      </c>
      <c r="AH193" s="170">
        <f>IF(OR($I193="",$E193=0),0,IF(OR($J193&lt;AH$3,$I193&gt;AH$2),0,IF($K193=0,IF(AND($I193&gt;=AH$3,$I193&lt;=AH$2),$E193,0),$E193*NETWORKDAYS(MAX($I193,AH$3),MIN($J193,AH$2),Data!$K$4:$K$203)/$K193)))</f>
        <v>0</v>
      </c>
      <c r="AI193" s="170">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70"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4" t="str">
        <f>IF(EO193=1,IF(FH193&gt;0,FI193/FH193,AVERAGEIF($FF$4:$FF$503,EN193,$C$4:$C$503)),"")</f>
        <v/>
      </c>
      <c r="EV193" s="169">
        <f>IF(ISNUMBER(I193),I193,2958465)</f>
        <v>2958465.0</v>
      </c>
      <c r="EW193" s="169" t="str">
        <f>IF(EO193=1,SUMPRODUCT(MIN(($EN$4:$EN$503=EN193)*$EV$4:$EV$503+($EN$4:$EN$503&lt;&gt;EN193)*2958465)),"")</f>
        <v/>
      </c>
      <c r="EX193" s="169">
        <f>IF(AND(D193=1,ISNUMBER(INDEX(Charge!$F:$F,ROW()))),INDEX(Charge!$F:$F,ROW()),0)</f>
        <v>0.0</v>
      </c>
      <c r="EY193" s="169"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c r="FF193" t="str">
        <f>IF(B193=1,LEFT(SUBSTITUTE(SUBSTITUTE(SUBSTITUTE(TRIM(SUBSTITUTE(INDEX(Charge!$B:$B,ROW()),CHAR(160)," "))&amp;" | "&amp;TRIM(SUBSTITUTE(INDEX(Charge!$C:$C,ROW()),CHAR(160)," "))&amp;" | "&amp;TRIM(SUBSTITUTE(INDEX(Charge!$D:$D,ROW()),CHAR(160)," ")),"~","-"),"*","+"),"?","!"),240),"")</f>
        <v/>
      </c>
      <c r="FG193">
        <f>IF(B193=1,MAX(0,N(INDEX(Charge!$M:$M,ROW()))),0)</f>
        <v>0</v>
      </c>
      <c r="FH193" s="170" t="str">
        <f>IF(EO193=1,ROUND(SUMIF($FF$4:$FF$503,EN193,$FG$4:$FG$503),2),"")</f>
        <v/>
      </c>
      <c r="FI193" s="170" t="str">
        <f>IF(EO193=1,ROUND(SUMPRODUCT(($FF$4:$FF$503=EN193)*$FG$4:$FG$503*$C$4:$C$503),2),"")</f>
        <v/>
      </c>
      <c r="FJ193" s="170" t="str">
        <f>IF(EO193=1,MAX(0,ROUND(FH193-FI193,2)),"")</f>
        <v/>
      </c>
      <c r="FK193" s="174" t="str">
        <f>IF(EO193=1,IF(OR(EW193&gt;=2958465,EY193=0,EY193&lt;=EW193),"",IF(TODAY()&lt;=EW193,0,IF(TODAY()&gt;EY193,1,IFERROR(NETWORKDAYS(EW193,TODAY()-1,Data!$K$4:$K$203)/NETWORKDAYS(EW193,EY193,Data!$K$4:$K$203),"")))),"")</f>
        <v/>
      </c>
      <c r="FL193" t="str">
        <f>IF(EO193=1,IF(AND(EY193&gt;0,EY193&lt;TODAY(),ROUND(EU193,4)&lt;1),2,IF(FK193="",0,IF(ROUND(EU193-FK193,4)&lt;-0.15,1,0))),"")</f>
        <v/>
      </c>
      <c r="FM193">
        <f>IF(OR(FA193="",COUNTIF($FA$4:FA192,FA193)&gt;0),0,MAX(0,IF(FB193="Interne",IF(ISNUMBER(INDEX(Data!$F:$F,193)),INDEX(Data!$F:$F,193),p_HeuresETP),IF(ISNUMBER(INDEX(Data!$I:$I,193-$CD$23)),INDEX(Data!$I:$I,193-$CD$23),p_HeuresETP))-IF(FB193="Interne",IF(ISNUMBER(INDEX(Data!$G:$G,193)),INDEX(Data!$G:$G,193),p_ChargeFixe),IF(ISNUMBER(INDEX(Data!$J:$J,193-$CD$23)),INDEX(Data!$J:$J,193-$CD$23),p_ChargeFixe))))</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9" t="str">
        <f>IF(AND(D194=1,ISNUMBER(INDEX(Charge!$N:$N,ROW()))),INDEX(Charge!$N:$N,ROW()),"")</f>
        <v/>
      </c>
      <c r="J194" s="169"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70">
        <f>IF(OR($I194="",$E194=0),0,IF(OR($J194&lt;W$3,$I194&gt;W$2),0,IF($K194=0,IF(AND($I194&gt;=W$3,$I194&lt;=W$2),$E194,0),$E194*NETWORKDAYS(MAX($I194,W$3),MIN($J194,W$2),Data!$K$4:$K$203)/$K194)))</f>
        <v>0</v>
      </c>
      <c r="X194" s="170">
        <f>IF(OR($I194="",$E194=0),0,IF(OR($J194&lt;X$3,$I194&gt;X$2),0,IF($K194=0,IF(AND($I194&gt;=X$3,$I194&lt;=X$2),$E194,0),$E194*NETWORKDAYS(MAX($I194,X$3),MIN($J194,X$2),Data!$K$4:$K$203)/$K194)))</f>
        <v>0</v>
      </c>
      <c r="Y194" s="170">
        <f>IF(OR($I194="",$E194=0),0,IF(OR($J194&lt;Y$3,$I194&gt;Y$2),0,IF($K194=0,IF(AND($I194&gt;=Y$3,$I194&lt;=Y$2),$E194,0),$E194*NETWORKDAYS(MAX($I194,Y$3),MIN($J194,Y$2),Data!$K$4:$K$203)/$K194)))</f>
        <v>0</v>
      </c>
      <c r="Z194" s="170">
        <f>IF(OR($I194="",$E194=0),0,IF(OR($J194&lt;Z$3,$I194&gt;Z$2),0,IF($K194=0,IF(AND($I194&gt;=Z$3,$I194&lt;=Z$2),$E194,0),$E194*NETWORKDAYS(MAX($I194,Z$3),MIN($J194,Z$2),Data!$K$4:$K$203)/$K194)))</f>
        <v>0</v>
      </c>
      <c r="AA194" s="170">
        <f>IF(OR($I194="",$E194=0),0,IF(OR($J194&lt;AA$3,$I194&gt;AA$2),0,IF($K194=0,IF(AND($I194&gt;=AA$3,$I194&lt;=AA$2),$E194,0),$E194*NETWORKDAYS(MAX($I194,AA$3),MIN($J194,AA$2),Data!$K$4:$K$203)/$K194)))</f>
        <v>0</v>
      </c>
      <c r="AB194" s="170">
        <f>IF(OR($I194="",$E194=0),0,IF(OR($J194&lt;AB$3,$I194&gt;AB$2),0,IF($K194=0,IF(AND($I194&gt;=AB$3,$I194&lt;=AB$2),$E194,0),$E194*NETWORKDAYS(MAX($I194,AB$3),MIN($J194,AB$2),Data!$K$4:$K$203)/$K194)))</f>
        <v>0</v>
      </c>
      <c r="AC194" s="170">
        <f>IF(OR($I194="",$E194=0),0,IF(OR($J194&lt;AC$3,$I194&gt;AC$2),0,IF($K194=0,IF(AND($I194&gt;=AC$3,$I194&lt;=AC$2),$E194,0),$E194*NETWORKDAYS(MAX($I194,AC$3),MIN($J194,AC$2),Data!$K$4:$K$203)/$K194)))</f>
        <v>0</v>
      </c>
      <c r="AD194" s="170">
        <f>IF(OR($I194="",$E194=0),0,IF(OR($J194&lt;AD$3,$I194&gt;AD$2),0,IF($K194=0,IF(AND($I194&gt;=AD$3,$I194&lt;=AD$2),$E194,0),$E194*NETWORKDAYS(MAX($I194,AD$3),MIN($J194,AD$2),Data!$K$4:$K$203)/$K194)))</f>
        <v>0</v>
      </c>
      <c r="AE194" s="170">
        <f>IF(OR($I194="",$E194=0),0,IF(OR($J194&lt;AE$3,$I194&gt;AE$2),0,IF($K194=0,IF(AND($I194&gt;=AE$3,$I194&lt;=AE$2),$E194,0),$E194*NETWORKDAYS(MAX($I194,AE$3),MIN($J194,AE$2),Data!$K$4:$K$203)/$K194)))</f>
        <v>0</v>
      </c>
      <c r="AF194" s="170">
        <f>IF(OR($I194="",$E194=0),0,IF(OR($J194&lt;AF$3,$I194&gt;AF$2),0,IF($K194=0,IF(AND($I194&gt;=AF$3,$I194&lt;=AF$2),$E194,0),$E194*NETWORKDAYS(MAX($I194,AF$3),MIN($J194,AF$2),Data!$K$4:$K$203)/$K194)))</f>
        <v>0</v>
      </c>
      <c r="AG194" s="170">
        <f>IF(OR($I194="",$E194=0),0,IF(OR($J194&lt;AG$3,$I194&gt;AG$2),0,IF($K194=0,IF(AND($I194&gt;=AG$3,$I194&lt;=AG$2),$E194,0),$E194*NETWORKDAYS(MAX($I194,AG$3),MIN($J194,AG$2),Data!$K$4:$K$203)/$K194)))</f>
        <v>0</v>
      </c>
      <c r="AH194" s="170">
        <f>IF(OR($I194="",$E194=0),0,IF(OR($J194&lt;AH$3,$I194&gt;AH$2),0,IF($K194=0,IF(AND($I194&gt;=AH$3,$I194&lt;=AH$2),$E194,0),$E194*NETWORKDAYS(MAX($I194,AH$3),MIN($J194,AH$2),Data!$K$4:$K$203)/$K194)))</f>
        <v>0</v>
      </c>
      <c r="AI194" s="170">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70"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4" t="str">
        <f>IF(EO194=1,IF(FH194&gt;0,FI194/FH194,AVERAGEIF($FF$4:$FF$503,EN194,$C$4:$C$503)),"")</f>
        <v/>
      </c>
      <c r="EV194" s="169">
        <f>IF(ISNUMBER(I194),I194,2958465)</f>
        <v>2958465.0</v>
      </c>
      <c r="EW194" s="169" t="str">
        <f>IF(EO194=1,SUMPRODUCT(MIN(($EN$4:$EN$503=EN194)*$EV$4:$EV$503+($EN$4:$EN$503&lt;&gt;EN194)*2958465)),"")</f>
        <v/>
      </c>
      <c r="EX194" s="169">
        <f>IF(AND(D194=1,ISNUMBER(INDEX(Charge!$F:$F,ROW()))),INDEX(Charge!$F:$F,ROW()),0)</f>
        <v>0.0</v>
      </c>
      <c r="EY194" s="169"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c r="FF194" t="str">
        <f>IF(B194=1,LEFT(SUBSTITUTE(SUBSTITUTE(SUBSTITUTE(TRIM(SUBSTITUTE(INDEX(Charge!$B:$B,ROW()),CHAR(160)," "))&amp;" | "&amp;TRIM(SUBSTITUTE(INDEX(Charge!$C:$C,ROW()),CHAR(160)," "))&amp;" | "&amp;TRIM(SUBSTITUTE(INDEX(Charge!$D:$D,ROW()),CHAR(160)," ")),"~","-"),"*","+"),"?","!"),240),"")</f>
        <v/>
      </c>
      <c r="FG194">
        <f>IF(B194=1,MAX(0,N(INDEX(Charge!$M:$M,ROW()))),0)</f>
        <v>0</v>
      </c>
      <c r="FH194" s="170" t="str">
        <f>IF(EO194=1,ROUND(SUMIF($FF$4:$FF$503,EN194,$FG$4:$FG$503),2),"")</f>
        <v/>
      </c>
      <c r="FI194" s="170" t="str">
        <f>IF(EO194=1,ROUND(SUMPRODUCT(($FF$4:$FF$503=EN194)*$FG$4:$FG$503*$C$4:$C$503),2),"")</f>
        <v/>
      </c>
      <c r="FJ194" s="170" t="str">
        <f>IF(EO194=1,MAX(0,ROUND(FH194-FI194,2)),"")</f>
        <v/>
      </c>
      <c r="FK194" s="174" t="str">
        <f>IF(EO194=1,IF(OR(EW194&gt;=2958465,EY194=0,EY194&lt;=EW194),"",IF(TODAY()&lt;=EW194,0,IF(TODAY()&gt;EY194,1,IFERROR(NETWORKDAYS(EW194,TODAY()-1,Data!$K$4:$K$203)/NETWORKDAYS(EW194,EY194,Data!$K$4:$K$203),"")))),"")</f>
        <v/>
      </c>
      <c r="FL194" t="str">
        <f>IF(EO194=1,IF(AND(EY194&gt;0,EY194&lt;TODAY(),ROUND(EU194,4)&lt;1),2,IF(FK194="",0,IF(ROUND(EU194-FK194,4)&lt;-0.15,1,0))),"")</f>
        <v/>
      </c>
      <c r="FM194">
        <f>IF(OR(FA194="",COUNTIF($FA$4:FA193,FA194)&gt;0),0,MAX(0,IF(FB194="Interne",IF(ISNUMBER(INDEX(Data!$F:$F,194)),INDEX(Data!$F:$F,194),p_HeuresETP),IF(ISNUMBER(INDEX(Data!$I:$I,194-$CD$23)),INDEX(Data!$I:$I,194-$CD$23),p_HeuresETP))-IF(FB194="Interne",IF(ISNUMBER(INDEX(Data!$G:$G,194)),INDEX(Data!$G:$G,194),p_ChargeFixe),IF(ISNUMBER(INDEX(Data!$J:$J,194-$CD$23)),INDEX(Data!$J:$J,194-$CD$23),p_ChargeFixe))))</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9" t="str">
        <f>IF(AND(D195=1,ISNUMBER(INDEX(Charge!$N:$N,ROW()))),INDEX(Charge!$N:$N,ROW()),"")</f>
        <v/>
      </c>
      <c r="J195" s="169"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70">
        <f>IF(OR($I195="",$E195=0),0,IF(OR($J195&lt;W$3,$I195&gt;W$2),0,IF($K195=0,IF(AND($I195&gt;=W$3,$I195&lt;=W$2),$E195,0),$E195*NETWORKDAYS(MAX($I195,W$3),MIN($J195,W$2),Data!$K$4:$K$203)/$K195)))</f>
        <v>0</v>
      </c>
      <c r="X195" s="170">
        <f>IF(OR($I195="",$E195=0),0,IF(OR($J195&lt;X$3,$I195&gt;X$2),0,IF($K195=0,IF(AND($I195&gt;=X$3,$I195&lt;=X$2),$E195,0),$E195*NETWORKDAYS(MAX($I195,X$3),MIN($J195,X$2),Data!$K$4:$K$203)/$K195)))</f>
        <v>0</v>
      </c>
      <c r="Y195" s="170">
        <f>IF(OR($I195="",$E195=0),0,IF(OR($J195&lt;Y$3,$I195&gt;Y$2),0,IF($K195=0,IF(AND($I195&gt;=Y$3,$I195&lt;=Y$2),$E195,0),$E195*NETWORKDAYS(MAX($I195,Y$3),MIN($J195,Y$2),Data!$K$4:$K$203)/$K195)))</f>
        <v>0</v>
      </c>
      <c r="Z195" s="170">
        <f>IF(OR($I195="",$E195=0),0,IF(OR($J195&lt;Z$3,$I195&gt;Z$2),0,IF($K195=0,IF(AND($I195&gt;=Z$3,$I195&lt;=Z$2),$E195,0),$E195*NETWORKDAYS(MAX($I195,Z$3),MIN($J195,Z$2),Data!$K$4:$K$203)/$K195)))</f>
        <v>0</v>
      </c>
      <c r="AA195" s="170">
        <f>IF(OR($I195="",$E195=0),0,IF(OR($J195&lt;AA$3,$I195&gt;AA$2),0,IF($K195=0,IF(AND($I195&gt;=AA$3,$I195&lt;=AA$2),$E195,0),$E195*NETWORKDAYS(MAX($I195,AA$3),MIN($J195,AA$2),Data!$K$4:$K$203)/$K195)))</f>
        <v>0</v>
      </c>
      <c r="AB195" s="170">
        <f>IF(OR($I195="",$E195=0),0,IF(OR($J195&lt;AB$3,$I195&gt;AB$2),0,IF($K195=0,IF(AND($I195&gt;=AB$3,$I195&lt;=AB$2),$E195,0),$E195*NETWORKDAYS(MAX($I195,AB$3),MIN($J195,AB$2),Data!$K$4:$K$203)/$K195)))</f>
        <v>0</v>
      </c>
      <c r="AC195" s="170">
        <f>IF(OR($I195="",$E195=0),0,IF(OR($J195&lt;AC$3,$I195&gt;AC$2),0,IF($K195=0,IF(AND($I195&gt;=AC$3,$I195&lt;=AC$2),$E195,0),$E195*NETWORKDAYS(MAX($I195,AC$3),MIN($J195,AC$2),Data!$K$4:$K$203)/$K195)))</f>
        <v>0</v>
      </c>
      <c r="AD195" s="170">
        <f>IF(OR($I195="",$E195=0),0,IF(OR($J195&lt;AD$3,$I195&gt;AD$2),0,IF($K195=0,IF(AND($I195&gt;=AD$3,$I195&lt;=AD$2),$E195,0),$E195*NETWORKDAYS(MAX($I195,AD$3),MIN($J195,AD$2),Data!$K$4:$K$203)/$K195)))</f>
        <v>0</v>
      </c>
      <c r="AE195" s="170">
        <f>IF(OR($I195="",$E195=0),0,IF(OR($J195&lt;AE$3,$I195&gt;AE$2),0,IF($K195=0,IF(AND($I195&gt;=AE$3,$I195&lt;=AE$2),$E195,0),$E195*NETWORKDAYS(MAX($I195,AE$3),MIN($J195,AE$2),Data!$K$4:$K$203)/$K195)))</f>
        <v>0</v>
      </c>
      <c r="AF195" s="170">
        <f>IF(OR($I195="",$E195=0),0,IF(OR($J195&lt;AF$3,$I195&gt;AF$2),0,IF($K195=0,IF(AND($I195&gt;=AF$3,$I195&lt;=AF$2),$E195,0),$E195*NETWORKDAYS(MAX($I195,AF$3),MIN($J195,AF$2),Data!$K$4:$K$203)/$K195)))</f>
        <v>0</v>
      </c>
      <c r="AG195" s="170">
        <f>IF(OR($I195="",$E195=0),0,IF(OR($J195&lt;AG$3,$I195&gt;AG$2),0,IF($K195=0,IF(AND($I195&gt;=AG$3,$I195&lt;=AG$2),$E195,0),$E195*NETWORKDAYS(MAX($I195,AG$3),MIN($J195,AG$2),Data!$K$4:$K$203)/$K195)))</f>
        <v>0</v>
      </c>
      <c r="AH195" s="170">
        <f>IF(OR($I195="",$E195=0),0,IF(OR($J195&lt;AH$3,$I195&gt;AH$2),0,IF($K195=0,IF(AND($I195&gt;=AH$3,$I195&lt;=AH$2),$E195,0),$E195*NETWORKDAYS(MAX($I195,AH$3),MIN($J195,AH$2),Data!$K$4:$K$203)/$K195)))</f>
        <v>0</v>
      </c>
      <c r="AI195" s="170">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70"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4" t="str">
        <f>IF(EO195=1,IF(FH195&gt;0,FI195/FH195,AVERAGEIF($FF$4:$FF$503,EN195,$C$4:$C$503)),"")</f>
        <v/>
      </c>
      <c r="EV195" s="169">
        <f>IF(ISNUMBER(I195),I195,2958465)</f>
        <v>2958465.0</v>
      </c>
      <c r="EW195" s="169" t="str">
        <f>IF(EO195=1,SUMPRODUCT(MIN(($EN$4:$EN$503=EN195)*$EV$4:$EV$503+($EN$4:$EN$503&lt;&gt;EN195)*2958465)),"")</f>
        <v/>
      </c>
      <c r="EX195" s="169">
        <f>IF(AND(D195=1,ISNUMBER(INDEX(Charge!$F:$F,ROW()))),INDEX(Charge!$F:$F,ROW()),0)</f>
        <v>0.0</v>
      </c>
      <c r="EY195" s="169"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c r="FF195" t="str">
        <f>IF(B195=1,LEFT(SUBSTITUTE(SUBSTITUTE(SUBSTITUTE(TRIM(SUBSTITUTE(INDEX(Charge!$B:$B,ROW()),CHAR(160)," "))&amp;" | "&amp;TRIM(SUBSTITUTE(INDEX(Charge!$C:$C,ROW()),CHAR(160)," "))&amp;" | "&amp;TRIM(SUBSTITUTE(INDEX(Charge!$D:$D,ROW()),CHAR(160)," ")),"~","-"),"*","+"),"?","!"),240),"")</f>
        <v/>
      </c>
      <c r="FG195">
        <f>IF(B195=1,MAX(0,N(INDEX(Charge!$M:$M,ROW()))),0)</f>
        <v>0</v>
      </c>
      <c r="FH195" s="170" t="str">
        <f>IF(EO195=1,ROUND(SUMIF($FF$4:$FF$503,EN195,$FG$4:$FG$503),2),"")</f>
        <v/>
      </c>
      <c r="FI195" s="170" t="str">
        <f>IF(EO195=1,ROUND(SUMPRODUCT(($FF$4:$FF$503=EN195)*$FG$4:$FG$503*$C$4:$C$503),2),"")</f>
        <v/>
      </c>
      <c r="FJ195" s="170" t="str">
        <f>IF(EO195=1,MAX(0,ROUND(FH195-FI195,2)),"")</f>
        <v/>
      </c>
      <c r="FK195" s="174" t="str">
        <f>IF(EO195=1,IF(OR(EW195&gt;=2958465,EY195=0,EY195&lt;=EW195),"",IF(TODAY()&lt;=EW195,0,IF(TODAY()&gt;EY195,1,IFERROR(NETWORKDAYS(EW195,TODAY()-1,Data!$K$4:$K$203)/NETWORKDAYS(EW195,EY195,Data!$K$4:$K$203),"")))),"")</f>
        <v/>
      </c>
      <c r="FL195" t="str">
        <f>IF(EO195=1,IF(AND(EY195&gt;0,EY195&lt;TODAY(),ROUND(EU195,4)&lt;1),2,IF(FK195="",0,IF(ROUND(EU195-FK195,4)&lt;-0.15,1,0))),"")</f>
        <v/>
      </c>
      <c r="FM195">
        <f>IF(OR(FA195="",COUNTIF($FA$4:FA194,FA195)&gt;0),0,MAX(0,IF(FB195="Interne",IF(ISNUMBER(INDEX(Data!$F:$F,195)),INDEX(Data!$F:$F,195),p_HeuresETP),IF(ISNUMBER(INDEX(Data!$I:$I,195-$CD$23)),INDEX(Data!$I:$I,195-$CD$23),p_HeuresETP))-IF(FB195="Interne",IF(ISNUMBER(INDEX(Data!$G:$G,195)),INDEX(Data!$G:$G,195),p_ChargeFixe),IF(ISNUMBER(INDEX(Data!$J:$J,195-$CD$23)),INDEX(Data!$J:$J,195-$CD$23),p_ChargeFixe))))</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9" t="str">
        <f>IF(AND(D196=1,ISNUMBER(INDEX(Charge!$N:$N,ROW()))),INDEX(Charge!$N:$N,ROW()),"")</f>
        <v/>
      </c>
      <c r="J196" s="169"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70">
        <f>IF(OR($I196="",$E196=0),0,IF(OR($J196&lt;W$3,$I196&gt;W$2),0,IF($K196=0,IF(AND($I196&gt;=W$3,$I196&lt;=W$2),$E196,0),$E196*NETWORKDAYS(MAX($I196,W$3),MIN($J196,W$2),Data!$K$4:$K$203)/$K196)))</f>
        <v>0</v>
      </c>
      <c r="X196" s="170">
        <f>IF(OR($I196="",$E196=0),0,IF(OR($J196&lt;X$3,$I196&gt;X$2),0,IF($K196=0,IF(AND($I196&gt;=X$3,$I196&lt;=X$2),$E196,0),$E196*NETWORKDAYS(MAX($I196,X$3),MIN($J196,X$2),Data!$K$4:$K$203)/$K196)))</f>
        <v>0</v>
      </c>
      <c r="Y196" s="170">
        <f>IF(OR($I196="",$E196=0),0,IF(OR($J196&lt;Y$3,$I196&gt;Y$2),0,IF($K196=0,IF(AND($I196&gt;=Y$3,$I196&lt;=Y$2),$E196,0),$E196*NETWORKDAYS(MAX($I196,Y$3),MIN($J196,Y$2),Data!$K$4:$K$203)/$K196)))</f>
        <v>0</v>
      </c>
      <c r="Z196" s="170">
        <f>IF(OR($I196="",$E196=0),0,IF(OR($J196&lt;Z$3,$I196&gt;Z$2),0,IF($K196=0,IF(AND($I196&gt;=Z$3,$I196&lt;=Z$2),$E196,0),$E196*NETWORKDAYS(MAX($I196,Z$3),MIN($J196,Z$2),Data!$K$4:$K$203)/$K196)))</f>
        <v>0</v>
      </c>
      <c r="AA196" s="170">
        <f>IF(OR($I196="",$E196=0),0,IF(OR($J196&lt;AA$3,$I196&gt;AA$2),0,IF($K196=0,IF(AND($I196&gt;=AA$3,$I196&lt;=AA$2),$E196,0),$E196*NETWORKDAYS(MAX($I196,AA$3),MIN($J196,AA$2),Data!$K$4:$K$203)/$K196)))</f>
        <v>0</v>
      </c>
      <c r="AB196" s="170">
        <f>IF(OR($I196="",$E196=0),0,IF(OR($J196&lt;AB$3,$I196&gt;AB$2),0,IF($K196=0,IF(AND($I196&gt;=AB$3,$I196&lt;=AB$2),$E196,0),$E196*NETWORKDAYS(MAX($I196,AB$3),MIN($J196,AB$2),Data!$K$4:$K$203)/$K196)))</f>
        <v>0</v>
      </c>
      <c r="AC196" s="170">
        <f>IF(OR($I196="",$E196=0),0,IF(OR($J196&lt;AC$3,$I196&gt;AC$2),0,IF($K196=0,IF(AND($I196&gt;=AC$3,$I196&lt;=AC$2),$E196,0),$E196*NETWORKDAYS(MAX($I196,AC$3),MIN($J196,AC$2),Data!$K$4:$K$203)/$K196)))</f>
        <v>0</v>
      </c>
      <c r="AD196" s="170">
        <f>IF(OR($I196="",$E196=0),0,IF(OR($J196&lt;AD$3,$I196&gt;AD$2),0,IF($K196=0,IF(AND($I196&gt;=AD$3,$I196&lt;=AD$2),$E196,0),$E196*NETWORKDAYS(MAX($I196,AD$3),MIN($J196,AD$2),Data!$K$4:$K$203)/$K196)))</f>
        <v>0</v>
      </c>
      <c r="AE196" s="170">
        <f>IF(OR($I196="",$E196=0),0,IF(OR($J196&lt;AE$3,$I196&gt;AE$2),0,IF($K196=0,IF(AND($I196&gt;=AE$3,$I196&lt;=AE$2),$E196,0),$E196*NETWORKDAYS(MAX($I196,AE$3),MIN($J196,AE$2),Data!$K$4:$K$203)/$K196)))</f>
        <v>0</v>
      </c>
      <c r="AF196" s="170">
        <f>IF(OR($I196="",$E196=0),0,IF(OR($J196&lt;AF$3,$I196&gt;AF$2),0,IF($K196=0,IF(AND($I196&gt;=AF$3,$I196&lt;=AF$2),$E196,0),$E196*NETWORKDAYS(MAX($I196,AF$3),MIN($J196,AF$2),Data!$K$4:$K$203)/$K196)))</f>
        <v>0</v>
      </c>
      <c r="AG196" s="170">
        <f>IF(OR($I196="",$E196=0),0,IF(OR($J196&lt;AG$3,$I196&gt;AG$2),0,IF($K196=0,IF(AND($I196&gt;=AG$3,$I196&lt;=AG$2),$E196,0),$E196*NETWORKDAYS(MAX($I196,AG$3),MIN($J196,AG$2),Data!$K$4:$K$203)/$K196)))</f>
        <v>0</v>
      </c>
      <c r="AH196" s="170">
        <f>IF(OR($I196="",$E196=0),0,IF(OR($J196&lt;AH$3,$I196&gt;AH$2),0,IF($K196=0,IF(AND($I196&gt;=AH$3,$I196&lt;=AH$2),$E196,0),$E196*NETWORKDAYS(MAX($I196,AH$3),MIN($J196,AH$2),Data!$K$4:$K$203)/$K196)))</f>
        <v>0</v>
      </c>
      <c r="AI196" s="170">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70"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4" t="str">
        <f>IF(EO196=1,IF(FH196&gt;0,FI196/FH196,AVERAGEIF($FF$4:$FF$503,EN196,$C$4:$C$503)),"")</f>
        <v/>
      </c>
      <c r="EV196" s="169">
        <f>IF(ISNUMBER(I196),I196,2958465)</f>
        <v>2958465.0</v>
      </c>
      <c r="EW196" s="169" t="str">
        <f>IF(EO196=1,SUMPRODUCT(MIN(($EN$4:$EN$503=EN196)*$EV$4:$EV$503+($EN$4:$EN$503&lt;&gt;EN196)*2958465)),"")</f>
        <v/>
      </c>
      <c r="EX196" s="169">
        <f>IF(AND(D196=1,ISNUMBER(INDEX(Charge!$F:$F,ROW()))),INDEX(Charge!$F:$F,ROW()),0)</f>
        <v>0.0</v>
      </c>
      <c r="EY196" s="169"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c r="FF196" t="str">
        <f>IF(B196=1,LEFT(SUBSTITUTE(SUBSTITUTE(SUBSTITUTE(TRIM(SUBSTITUTE(INDEX(Charge!$B:$B,ROW()),CHAR(160)," "))&amp;" | "&amp;TRIM(SUBSTITUTE(INDEX(Charge!$C:$C,ROW()),CHAR(160)," "))&amp;" | "&amp;TRIM(SUBSTITUTE(INDEX(Charge!$D:$D,ROW()),CHAR(160)," ")),"~","-"),"*","+"),"?","!"),240),"")</f>
        <v/>
      </c>
      <c r="FG196">
        <f>IF(B196=1,MAX(0,N(INDEX(Charge!$M:$M,ROW()))),0)</f>
        <v>0</v>
      </c>
      <c r="FH196" s="170" t="str">
        <f>IF(EO196=1,ROUND(SUMIF($FF$4:$FF$503,EN196,$FG$4:$FG$503),2),"")</f>
        <v/>
      </c>
      <c r="FI196" s="170" t="str">
        <f>IF(EO196=1,ROUND(SUMPRODUCT(($FF$4:$FF$503=EN196)*$FG$4:$FG$503*$C$4:$C$503),2),"")</f>
        <v/>
      </c>
      <c r="FJ196" s="170" t="str">
        <f>IF(EO196=1,MAX(0,ROUND(FH196-FI196,2)),"")</f>
        <v/>
      </c>
      <c r="FK196" s="174" t="str">
        <f>IF(EO196=1,IF(OR(EW196&gt;=2958465,EY196=0,EY196&lt;=EW196),"",IF(TODAY()&lt;=EW196,0,IF(TODAY()&gt;EY196,1,IFERROR(NETWORKDAYS(EW196,TODAY()-1,Data!$K$4:$K$203)/NETWORKDAYS(EW196,EY196,Data!$K$4:$K$203),"")))),"")</f>
        <v/>
      </c>
      <c r="FL196" t="str">
        <f>IF(EO196=1,IF(AND(EY196&gt;0,EY196&lt;TODAY(),ROUND(EU196,4)&lt;1),2,IF(FK196="",0,IF(ROUND(EU196-FK196,4)&lt;-0.15,1,0))),"")</f>
        <v/>
      </c>
      <c r="FM196">
        <f>IF(OR(FA196="",COUNTIF($FA$4:FA195,FA196)&gt;0),0,MAX(0,IF(FB196="Interne",IF(ISNUMBER(INDEX(Data!$F:$F,196)),INDEX(Data!$F:$F,196),p_HeuresETP),IF(ISNUMBER(INDEX(Data!$I:$I,196-$CD$23)),INDEX(Data!$I:$I,196-$CD$23),p_HeuresETP))-IF(FB196="Interne",IF(ISNUMBER(INDEX(Data!$G:$G,196)),INDEX(Data!$G:$G,196),p_ChargeFixe),IF(ISNUMBER(INDEX(Data!$J:$J,196-$CD$23)),INDEX(Data!$J:$J,196-$CD$23),p_ChargeFixe))))</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9" t="str">
        <f>IF(AND(D197=1,ISNUMBER(INDEX(Charge!$N:$N,ROW()))),INDEX(Charge!$N:$N,ROW()),"")</f>
        <v/>
      </c>
      <c r="J197" s="169"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70">
        <f>IF(OR($I197="",$E197=0),0,IF(OR($J197&lt;W$3,$I197&gt;W$2),0,IF($K197=0,IF(AND($I197&gt;=W$3,$I197&lt;=W$2),$E197,0),$E197*NETWORKDAYS(MAX($I197,W$3),MIN($J197,W$2),Data!$K$4:$K$203)/$K197)))</f>
        <v>0</v>
      </c>
      <c r="X197" s="170">
        <f>IF(OR($I197="",$E197=0),0,IF(OR($J197&lt;X$3,$I197&gt;X$2),0,IF($K197=0,IF(AND($I197&gt;=X$3,$I197&lt;=X$2),$E197,0),$E197*NETWORKDAYS(MAX($I197,X$3),MIN($J197,X$2),Data!$K$4:$K$203)/$K197)))</f>
        <v>0</v>
      </c>
      <c r="Y197" s="170">
        <f>IF(OR($I197="",$E197=0),0,IF(OR($J197&lt;Y$3,$I197&gt;Y$2),0,IF($K197=0,IF(AND($I197&gt;=Y$3,$I197&lt;=Y$2),$E197,0),$E197*NETWORKDAYS(MAX($I197,Y$3),MIN($J197,Y$2),Data!$K$4:$K$203)/$K197)))</f>
        <v>0</v>
      </c>
      <c r="Z197" s="170">
        <f>IF(OR($I197="",$E197=0),0,IF(OR($J197&lt;Z$3,$I197&gt;Z$2),0,IF($K197=0,IF(AND($I197&gt;=Z$3,$I197&lt;=Z$2),$E197,0),$E197*NETWORKDAYS(MAX($I197,Z$3),MIN($J197,Z$2),Data!$K$4:$K$203)/$K197)))</f>
        <v>0</v>
      </c>
      <c r="AA197" s="170">
        <f>IF(OR($I197="",$E197=0),0,IF(OR($J197&lt;AA$3,$I197&gt;AA$2),0,IF($K197=0,IF(AND($I197&gt;=AA$3,$I197&lt;=AA$2),$E197,0),$E197*NETWORKDAYS(MAX($I197,AA$3),MIN($J197,AA$2),Data!$K$4:$K$203)/$K197)))</f>
        <v>0</v>
      </c>
      <c r="AB197" s="170">
        <f>IF(OR($I197="",$E197=0),0,IF(OR($J197&lt;AB$3,$I197&gt;AB$2),0,IF($K197=0,IF(AND($I197&gt;=AB$3,$I197&lt;=AB$2),$E197,0),$E197*NETWORKDAYS(MAX($I197,AB$3),MIN($J197,AB$2),Data!$K$4:$K$203)/$K197)))</f>
        <v>0</v>
      </c>
      <c r="AC197" s="170">
        <f>IF(OR($I197="",$E197=0),0,IF(OR($J197&lt;AC$3,$I197&gt;AC$2),0,IF($K197=0,IF(AND($I197&gt;=AC$3,$I197&lt;=AC$2),$E197,0),$E197*NETWORKDAYS(MAX($I197,AC$3),MIN($J197,AC$2),Data!$K$4:$K$203)/$K197)))</f>
        <v>0</v>
      </c>
      <c r="AD197" s="170">
        <f>IF(OR($I197="",$E197=0),0,IF(OR($J197&lt;AD$3,$I197&gt;AD$2),0,IF($K197=0,IF(AND($I197&gt;=AD$3,$I197&lt;=AD$2),$E197,0),$E197*NETWORKDAYS(MAX($I197,AD$3),MIN($J197,AD$2),Data!$K$4:$K$203)/$K197)))</f>
        <v>0</v>
      </c>
      <c r="AE197" s="170">
        <f>IF(OR($I197="",$E197=0),0,IF(OR($J197&lt;AE$3,$I197&gt;AE$2),0,IF($K197=0,IF(AND($I197&gt;=AE$3,$I197&lt;=AE$2),$E197,0),$E197*NETWORKDAYS(MAX($I197,AE$3),MIN($J197,AE$2),Data!$K$4:$K$203)/$K197)))</f>
        <v>0</v>
      </c>
      <c r="AF197" s="170">
        <f>IF(OR($I197="",$E197=0),0,IF(OR($J197&lt;AF$3,$I197&gt;AF$2),0,IF($K197=0,IF(AND($I197&gt;=AF$3,$I197&lt;=AF$2),$E197,0),$E197*NETWORKDAYS(MAX($I197,AF$3),MIN($J197,AF$2),Data!$K$4:$K$203)/$K197)))</f>
        <v>0</v>
      </c>
      <c r="AG197" s="170">
        <f>IF(OR($I197="",$E197=0),0,IF(OR($J197&lt;AG$3,$I197&gt;AG$2),0,IF($K197=0,IF(AND($I197&gt;=AG$3,$I197&lt;=AG$2),$E197,0),$E197*NETWORKDAYS(MAX($I197,AG$3),MIN($J197,AG$2),Data!$K$4:$K$203)/$K197)))</f>
        <v>0</v>
      </c>
      <c r="AH197" s="170">
        <f>IF(OR($I197="",$E197=0),0,IF(OR($J197&lt;AH$3,$I197&gt;AH$2),0,IF($K197=0,IF(AND($I197&gt;=AH$3,$I197&lt;=AH$2),$E197,0),$E197*NETWORKDAYS(MAX($I197,AH$3),MIN($J197,AH$2),Data!$K$4:$K$203)/$K197)))</f>
        <v>0</v>
      </c>
      <c r="AI197" s="170">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70"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4" t="str">
        <f>IF(EO197=1,IF(FH197&gt;0,FI197/FH197,AVERAGEIF($FF$4:$FF$503,EN197,$C$4:$C$503)),"")</f>
        <v/>
      </c>
      <c r="EV197" s="169">
        <f>IF(ISNUMBER(I197),I197,2958465)</f>
        <v>2958465.0</v>
      </c>
      <c r="EW197" s="169" t="str">
        <f>IF(EO197=1,SUMPRODUCT(MIN(($EN$4:$EN$503=EN197)*$EV$4:$EV$503+($EN$4:$EN$503&lt;&gt;EN197)*2958465)),"")</f>
        <v/>
      </c>
      <c r="EX197" s="169">
        <f>IF(AND(D197=1,ISNUMBER(INDEX(Charge!$F:$F,ROW()))),INDEX(Charge!$F:$F,ROW()),0)</f>
        <v>0.0</v>
      </c>
      <c r="EY197" s="169"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c r="FF197" t="str">
        <f>IF(B197=1,LEFT(SUBSTITUTE(SUBSTITUTE(SUBSTITUTE(TRIM(SUBSTITUTE(INDEX(Charge!$B:$B,ROW()),CHAR(160)," "))&amp;" | "&amp;TRIM(SUBSTITUTE(INDEX(Charge!$C:$C,ROW()),CHAR(160)," "))&amp;" | "&amp;TRIM(SUBSTITUTE(INDEX(Charge!$D:$D,ROW()),CHAR(160)," ")),"~","-"),"*","+"),"?","!"),240),"")</f>
        <v/>
      </c>
      <c r="FG197">
        <f>IF(B197=1,MAX(0,N(INDEX(Charge!$M:$M,ROW()))),0)</f>
        <v>0</v>
      </c>
      <c r="FH197" s="170" t="str">
        <f>IF(EO197=1,ROUND(SUMIF($FF$4:$FF$503,EN197,$FG$4:$FG$503),2),"")</f>
        <v/>
      </c>
      <c r="FI197" s="170" t="str">
        <f>IF(EO197=1,ROUND(SUMPRODUCT(($FF$4:$FF$503=EN197)*$FG$4:$FG$503*$C$4:$C$503),2),"")</f>
        <v/>
      </c>
      <c r="FJ197" s="170" t="str">
        <f>IF(EO197=1,MAX(0,ROUND(FH197-FI197,2)),"")</f>
        <v/>
      </c>
      <c r="FK197" s="174" t="str">
        <f>IF(EO197=1,IF(OR(EW197&gt;=2958465,EY197=0,EY197&lt;=EW197),"",IF(TODAY()&lt;=EW197,0,IF(TODAY()&gt;EY197,1,IFERROR(NETWORKDAYS(EW197,TODAY()-1,Data!$K$4:$K$203)/NETWORKDAYS(EW197,EY197,Data!$K$4:$K$203),"")))),"")</f>
        <v/>
      </c>
      <c r="FL197" t="str">
        <f>IF(EO197=1,IF(AND(EY197&gt;0,EY197&lt;TODAY(),ROUND(EU197,4)&lt;1),2,IF(FK197="",0,IF(ROUND(EU197-FK197,4)&lt;-0.15,1,0))),"")</f>
        <v/>
      </c>
      <c r="FM197">
        <f>IF(OR(FA197="",COUNTIF($FA$4:FA196,FA197)&gt;0),0,MAX(0,IF(FB197="Interne",IF(ISNUMBER(INDEX(Data!$F:$F,197)),INDEX(Data!$F:$F,197),p_HeuresETP),IF(ISNUMBER(INDEX(Data!$I:$I,197-$CD$23)),INDEX(Data!$I:$I,197-$CD$23),p_HeuresETP))-IF(FB197="Interne",IF(ISNUMBER(INDEX(Data!$G:$G,197)),INDEX(Data!$G:$G,197),p_ChargeFixe),IF(ISNUMBER(INDEX(Data!$J:$J,197-$CD$23)),INDEX(Data!$J:$J,197-$CD$23),p_ChargeFixe))))</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9" t="str">
        <f>IF(AND(D198=1,ISNUMBER(INDEX(Charge!$N:$N,ROW()))),INDEX(Charge!$N:$N,ROW()),"")</f>
        <v/>
      </c>
      <c r="J198" s="169"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70">
        <f>IF(OR($I198="",$E198=0),0,IF(OR($J198&lt;W$3,$I198&gt;W$2),0,IF($K198=0,IF(AND($I198&gt;=W$3,$I198&lt;=W$2),$E198,0),$E198*NETWORKDAYS(MAX($I198,W$3),MIN($J198,W$2),Data!$K$4:$K$203)/$K198)))</f>
        <v>0</v>
      </c>
      <c r="X198" s="170">
        <f>IF(OR($I198="",$E198=0),0,IF(OR($J198&lt;X$3,$I198&gt;X$2),0,IF($K198=0,IF(AND($I198&gt;=X$3,$I198&lt;=X$2),$E198,0),$E198*NETWORKDAYS(MAX($I198,X$3),MIN($J198,X$2),Data!$K$4:$K$203)/$K198)))</f>
        <v>0</v>
      </c>
      <c r="Y198" s="170">
        <f>IF(OR($I198="",$E198=0),0,IF(OR($J198&lt;Y$3,$I198&gt;Y$2),0,IF($K198=0,IF(AND($I198&gt;=Y$3,$I198&lt;=Y$2),$E198,0),$E198*NETWORKDAYS(MAX($I198,Y$3),MIN($J198,Y$2),Data!$K$4:$K$203)/$K198)))</f>
        <v>0</v>
      </c>
      <c r="Z198" s="170">
        <f>IF(OR($I198="",$E198=0),0,IF(OR($J198&lt;Z$3,$I198&gt;Z$2),0,IF($K198=0,IF(AND($I198&gt;=Z$3,$I198&lt;=Z$2),$E198,0),$E198*NETWORKDAYS(MAX($I198,Z$3),MIN($J198,Z$2),Data!$K$4:$K$203)/$K198)))</f>
        <v>0</v>
      </c>
      <c r="AA198" s="170">
        <f>IF(OR($I198="",$E198=0),0,IF(OR($J198&lt;AA$3,$I198&gt;AA$2),0,IF($K198=0,IF(AND($I198&gt;=AA$3,$I198&lt;=AA$2),$E198,0),$E198*NETWORKDAYS(MAX($I198,AA$3),MIN($J198,AA$2),Data!$K$4:$K$203)/$K198)))</f>
        <v>0</v>
      </c>
      <c r="AB198" s="170">
        <f>IF(OR($I198="",$E198=0),0,IF(OR($J198&lt;AB$3,$I198&gt;AB$2),0,IF($K198=0,IF(AND($I198&gt;=AB$3,$I198&lt;=AB$2),$E198,0),$E198*NETWORKDAYS(MAX($I198,AB$3),MIN($J198,AB$2),Data!$K$4:$K$203)/$K198)))</f>
        <v>0</v>
      </c>
      <c r="AC198" s="170">
        <f>IF(OR($I198="",$E198=0),0,IF(OR($J198&lt;AC$3,$I198&gt;AC$2),0,IF($K198=0,IF(AND($I198&gt;=AC$3,$I198&lt;=AC$2),$E198,0),$E198*NETWORKDAYS(MAX($I198,AC$3),MIN($J198,AC$2),Data!$K$4:$K$203)/$K198)))</f>
        <v>0</v>
      </c>
      <c r="AD198" s="170">
        <f>IF(OR($I198="",$E198=0),0,IF(OR($J198&lt;AD$3,$I198&gt;AD$2),0,IF($K198=0,IF(AND($I198&gt;=AD$3,$I198&lt;=AD$2),$E198,0),$E198*NETWORKDAYS(MAX($I198,AD$3),MIN($J198,AD$2),Data!$K$4:$K$203)/$K198)))</f>
        <v>0</v>
      </c>
      <c r="AE198" s="170">
        <f>IF(OR($I198="",$E198=0),0,IF(OR($J198&lt;AE$3,$I198&gt;AE$2),0,IF($K198=0,IF(AND($I198&gt;=AE$3,$I198&lt;=AE$2),$E198,0),$E198*NETWORKDAYS(MAX($I198,AE$3),MIN($J198,AE$2),Data!$K$4:$K$203)/$K198)))</f>
        <v>0</v>
      </c>
      <c r="AF198" s="170">
        <f>IF(OR($I198="",$E198=0),0,IF(OR($J198&lt;AF$3,$I198&gt;AF$2),0,IF($K198=0,IF(AND($I198&gt;=AF$3,$I198&lt;=AF$2),$E198,0),$E198*NETWORKDAYS(MAX($I198,AF$3),MIN($J198,AF$2),Data!$K$4:$K$203)/$K198)))</f>
        <v>0</v>
      </c>
      <c r="AG198" s="170">
        <f>IF(OR($I198="",$E198=0),0,IF(OR($J198&lt;AG$3,$I198&gt;AG$2),0,IF($K198=0,IF(AND($I198&gt;=AG$3,$I198&lt;=AG$2),$E198,0),$E198*NETWORKDAYS(MAX($I198,AG$3),MIN($J198,AG$2),Data!$K$4:$K$203)/$K198)))</f>
        <v>0</v>
      </c>
      <c r="AH198" s="170">
        <f>IF(OR($I198="",$E198=0),0,IF(OR($J198&lt;AH$3,$I198&gt;AH$2),0,IF($K198=0,IF(AND($I198&gt;=AH$3,$I198&lt;=AH$2),$E198,0),$E198*NETWORKDAYS(MAX($I198,AH$3),MIN($J198,AH$2),Data!$K$4:$K$203)/$K198)))</f>
        <v>0</v>
      </c>
      <c r="AI198" s="170">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70"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4" t="str">
        <f>IF(EO198=1,IF(FH198&gt;0,FI198/FH198,AVERAGEIF($FF$4:$FF$503,EN198,$C$4:$C$503)),"")</f>
        <v/>
      </c>
      <c r="EV198" s="169">
        <f>IF(ISNUMBER(I198),I198,2958465)</f>
        <v>2958465.0</v>
      </c>
      <c r="EW198" s="169" t="str">
        <f>IF(EO198=1,SUMPRODUCT(MIN(($EN$4:$EN$503=EN198)*$EV$4:$EV$503+($EN$4:$EN$503&lt;&gt;EN198)*2958465)),"")</f>
        <v/>
      </c>
      <c r="EX198" s="169">
        <f>IF(AND(D198=1,ISNUMBER(INDEX(Charge!$F:$F,ROW()))),INDEX(Charge!$F:$F,ROW()),0)</f>
        <v>0.0</v>
      </c>
      <c r="EY198" s="169"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c r="FF198" t="str">
        <f>IF(B198=1,LEFT(SUBSTITUTE(SUBSTITUTE(SUBSTITUTE(TRIM(SUBSTITUTE(INDEX(Charge!$B:$B,ROW()),CHAR(160)," "))&amp;" | "&amp;TRIM(SUBSTITUTE(INDEX(Charge!$C:$C,ROW()),CHAR(160)," "))&amp;" | "&amp;TRIM(SUBSTITUTE(INDEX(Charge!$D:$D,ROW()),CHAR(160)," ")),"~","-"),"*","+"),"?","!"),240),"")</f>
        <v/>
      </c>
      <c r="FG198">
        <f>IF(B198=1,MAX(0,N(INDEX(Charge!$M:$M,ROW()))),0)</f>
        <v>0</v>
      </c>
      <c r="FH198" s="170" t="str">
        <f>IF(EO198=1,ROUND(SUMIF($FF$4:$FF$503,EN198,$FG$4:$FG$503),2),"")</f>
        <v/>
      </c>
      <c r="FI198" s="170" t="str">
        <f>IF(EO198=1,ROUND(SUMPRODUCT(($FF$4:$FF$503=EN198)*$FG$4:$FG$503*$C$4:$C$503),2),"")</f>
        <v/>
      </c>
      <c r="FJ198" s="170" t="str">
        <f>IF(EO198=1,MAX(0,ROUND(FH198-FI198,2)),"")</f>
        <v/>
      </c>
      <c r="FK198" s="174" t="str">
        <f>IF(EO198=1,IF(OR(EW198&gt;=2958465,EY198=0,EY198&lt;=EW198),"",IF(TODAY()&lt;=EW198,0,IF(TODAY()&gt;EY198,1,IFERROR(NETWORKDAYS(EW198,TODAY()-1,Data!$K$4:$K$203)/NETWORKDAYS(EW198,EY198,Data!$K$4:$K$203),"")))),"")</f>
        <v/>
      </c>
      <c r="FL198" t="str">
        <f>IF(EO198=1,IF(AND(EY198&gt;0,EY198&lt;TODAY(),ROUND(EU198,4)&lt;1),2,IF(FK198="",0,IF(ROUND(EU198-FK198,4)&lt;-0.15,1,0))),"")</f>
        <v/>
      </c>
      <c r="FM198">
        <f>IF(OR(FA198="",COUNTIF($FA$4:FA197,FA198)&gt;0),0,MAX(0,IF(FB198="Interne",IF(ISNUMBER(INDEX(Data!$F:$F,198)),INDEX(Data!$F:$F,198),p_HeuresETP),IF(ISNUMBER(INDEX(Data!$I:$I,198-$CD$23)),INDEX(Data!$I:$I,198-$CD$23),p_HeuresETP))-IF(FB198="Interne",IF(ISNUMBER(INDEX(Data!$G:$G,198)),INDEX(Data!$G:$G,198),p_ChargeFixe),IF(ISNUMBER(INDEX(Data!$J:$J,198-$CD$23)),INDEX(Data!$J:$J,198-$CD$23),p_ChargeFixe))))</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9" t="str">
        <f>IF(AND(D199=1,ISNUMBER(INDEX(Charge!$N:$N,ROW()))),INDEX(Charge!$N:$N,ROW()),"")</f>
        <v/>
      </c>
      <c r="J199" s="169"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70">
        <f>IF(OR($I199="",$E199=0),0,IF(OR($J199&lt;W$3,$I199&gt;W$2),0,IF($K199=0,IF(AND($I199&gt;=W$3,$I199&lt;=W$2),$E199,0),$E199*NETWORKDAYS(MAX($I199,W$3),MIN($J199,W$2),Data!$K$4:$K$203)/$K199)))</f>
        <v>0</v>
      </c>
      <c r="X199" s="170">
        <f>IF(OR($I199="",$E199=0),0,IF(OR($J199&lt;X$3,$I199&gt;X$2),0,IF($K199=0,IF(AND($I199&gt;=X$3,$I199&lt;=X$2),$E199,0),$E199*NETWORKDAYS(MAX($I199,X$3),MIN($J199,X$2),Data!$K$4:$K$203)/$K199)))</f>
        <v>0</v>
      </c>
      <c r="Y199" s="170">
        <f>IF(OR($I199="",$E199=0),0,IF(OR($J199&lt;Y$3,$I199&gt;Y$2),0,IF($K199=0,IF(AND($I199&gt;=Y$3,$I199&lt;=Y$2),$E199,0),$E199*NETWORKDAYS(MAX($I199,Y$3),MIN($J199,Y$2),Data!$K$4:$K$203)/$K199)))</f>
        <v>0</v>
      </c>
      <c r="Z199" s="170">
        <f>IF(OR($I199="",$E199=0),0,IF(OR($J199&lt;Z$3,$I199&gt;Z$2),0,IF($K199=0,IF(AND($I199&gt;=Z$3,$I199&lt;=Z$2),$E199,0),$E199*NETWORKDAYS(MAX($I199,Z$3),MIN($J199,Z$2),Data!$K$4:$K$203)/$K199)))</f>
        <v>0</v>
      </c>
      <c r="AA199" s="170">
        <f>IF(OR($I199="",$E199=0),0,IF(OR($J199&lt;AA$3,$I199&gt;AA$2),0,IF($K199=0,IF(AND($I199&gt;=AA$3,$I199&lt;=AA$2),$E199,0),$E199*NETWORKDAYS(MAX($I199,AA$3),MIN($J199,AA$2),Data!$K$4:$K$203)/$K199)))</f>
        <v>0</v>
      </c>
      <c r="AB199" s="170">
        <f>IF(OR($I199="",$E199=0),0,IF(OR($J199&lt;AB$3,$I199&gt;AB$2),0,IF($K199=0,IF(AND($I199&gt;=AB$3,$I199&lt;=AB$2),$E199,0),$E199*NETWORKDAYS(MAX($I199,AB$3),MIN($J199,AB$2),Data!$K$4:$K$203)/$K199)))</f>
        <v>0</v>
      </c>
      <c r="AC199" s="170">
        <f>IF(OR($I199="",$E199=0),0,IF(OR($J199&lt;AC$3,$I199&gt;AC$2),0,IF($K199=0,IF(AND($I199&gt;=AC$3,$I199&lt;=AC$2),$E199,0),$E199*NETWORKDAYS(MAX($I199,AC$3),MIN($J199,AC$2),Data!$K$4:$K$203)/$K199)))</f>
        <v>0</v>
      </c>
      <c r="AD199" s="170">
        <f>IF(OR($I199="",$E199=0),0,IF(OR($J199&lt;AD$3,$I199&gt;AD$2),0,IF($K199=0,IF(AND($I199&gt;=AD$3,$I199&lt;=AD$2),$E199,0),$E199*NETWORKDAYS(MAX($I199,AD$3),MIN($J199,AD$2),Data!$K$4:$K$203)/$K199)))</f>
        <v>0</v>
      </c>
      <c r="AE199" s="170">
        <f>IF(OR($I199="",$E199=0),0,IF(OR($J199&lt;AE$3,$I199&gt;AE$2),0,IF($K199=0,IF(AND($I199&gt;=AE$3,$I199&lt;=AE$2),$E199,0),$E199*NETWORKDAYS(MAX($I199,AE$3),MIN($J199,AE$2),Data!$K$4:$K$203)/$K199)))</f>
        <v>0</v>
      </c>
      <c r="AF199" s="170">
        <f>IF(OR($I199="",$E199=0),0,IF(OR($J199&lt;AF$3,$I199&gt;AF$2),0,IF($K199=0,IF(AND($I199&gt;=AF$3,$I199&lt;=AF$2),$E199,0),$E199*NETWORKDAYS(MAX($I199,AF$3),MIN($J199,AF$2),Data!$K$4:$K$203)/$K199)))</f>
        <v>0</v>
      </c>
      <c r="AG199" s="170">
        <f>IF(OR($I199="",$E199=0),0,IF(OR($J199&lt;AG$3,$I199&gt;AG$2),0,IF($K199=0,IF(AND($I199&gt;=AG$3,$I199&lt;=AG$2),$E199,0),$E199*NETWORKDAYS(MAX($I199,AG$3),MIN($J199,AG$2),Data!$K$4:$K$203)/$K199)))</f>
        <v>0</v>
      </c>
      <c r="AH199" s="170">
        <f>IF(OR($I199="",$E199=0),0,IF(OR($J199&lt;AH$3,$I199&gt;AH$2),0,IF($K199=0,IF(AND($I199&gt;=AH$3,$I199&lt;=AH$2),$E199,0),$E199*NETWORKDAYS(MAX($I199,AH$3),MIN($J199,AH$2),Data!$K$4:$K$203)/$K199)))</f>
        <v>0</v>
      </c>
      <c r="AI199" s="170">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70"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4" t="str">
        <f>IF(EO199=1,IF(FH199&gt;0,FI199/FH199,AVERAGEIF($FF$4:$FF$503,EN199,$C$4:$C$503)),"")</f>
        <v/>
      </c>
      <c r="EV199" s="169">
        <f>IF(ISNUMBER(I199),I199,2958465)</f>
        <v>2958465.0</v>
      </c>
      <c r="EW199" s="169" t="str">
        <f>IF(EO199=1,SUMPRODUCT(MIN(($EN$4:$EN$503=EN199)*$EV$4:$EV$503+($EN$4:$EN$503&lt;&gt;EN199)*2958465)),"")</f>
        <v/>
      </c>
      <c r="EX199" s="169">
        <f>IF(AND(D199=1,ISNUMBER(INDEX(Charge!$F:$F,ROW()))),INDEX(Charge!$F:$F,ROW()),0)</f>
        <v>0.0</v>
      </c>
      <c r="EY199" s="169"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c r="FF199" t="str">
        <f>IF(B199=1,LEFT(SUBSTITUTE(SUBSTITUTE(SUBSTITUTE(TRIM(SUBSTITUTE(INDEX(Charge!$B:$B,ROW()),CHAR(160)," "))&amp;" | "&amp;TRIM(SUBSTITUTE(INDEX(Charge!$C:$C,ROW()),CHAR(160)," "))&amp;" | "&amp;TRIM(SUBSTITUTE(INDEX(Charge!$D:$D,ROW()),CHAR(160)," ")),"~","-"),"*","+"),"?","!"),240),"")</f>
        <v/>
      </c>
      <c r="FG199">
        <f>IF(B199=1,MAX(0,N(INDEX(Charge!$M:$M,ROW()))),0)</f>
        <v>0</v>
      </c>
      <c r="FH199" s="170" t="str">
        <f>IF(EO199=1,ROUND(SUMIF($FF$4:$FF$503,EN199,$FG$4:$FG$503),2),"")</f>
        <v/>
      </c>
      <c r="FI199" s="170" t="str">
        <f>IF(EO199=1,ROUND(SUMPRODUCT(($FF$4:$FF$503=EN199)*$FG$4:$FG$503*$C$4:$C$503),2),"")</f>
        <v/>
      </c>
      <c r="FJ199" s="170" t="str">
        <f>IF(EO199=1,MAX(0,ROUND(FH199-FI199,2)),"")</f>
        <v/>
      </c>
      <c r="FK199" s="174" t="str">
        <f>IF(EO199=1,IF(OR(EW199&gt;=2958465,EY199=0,EY199&lt;=EW199),"",IF(TODAY()&lt;=EW199,0,IF(TODAY()&gt;EY199,1,IFERROR(NETWORKDAYS(EW199,TODAY()-1,Data!$K$4:$K$203)/NETWORKDAYS(EW199,EY199,Data!$K$4:$K$203),"")))),"")</f>
        <v/>
      </c>
      <c r="FL199" t="str">
        <f>IF(EO199=1,IF(AND(EY199&gt;0,EY199&lt;TODAY(),ROUND(EU199,4)&lt;1),2,IF(FK199="",0,IF(ROUND(EU199-FK199,4)&lt;-0.15,1,0))),"")</f>
        <v/>
      </c>
      <c r="FM199">
        <f>IF(OR(FA199="",COUNTIF($FA$4:FA198,FA199)&gt;0),0,MAX(0,IF(FB199="Interne",IF(ISNUMBER(INDEX(Data!$F:$F,199)),INDEX(Data!$F:$F,199),p_HeuresETP),IF(ISNUMBER(INDEX(Data!$I:$I,199-$CD$23)),INDEX(Data!$I:$I,199-$CD$23),p_HeuresETP))-IF(FB199="Interne",IF(ISNUMBER(INDEX(Data!$G:$G,199)),INDEX(Data!$G:$G,199),p_ChargeFixe),IF(ISNUMBER(INDEX(Data!$J:$J,199-$CD$23)),INDEX(Data!$J:$J,199-$CD$23),p_ChargeFixe))))</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9" t="str">
        <f>IF(AND(D200=1,ISNUMBER(INDEX(Charge!$N:$N,ROW()))),INDEX(Charge!$N:$N,ROW()),"")</f>
        <v/>
      </c>
      <c r="J200" s="169"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70">
        <f>IF(OR($I200="",$E200=0),0,IF(OR($J200&lt;W$3,$I200&gt;W$2),0,IF($K200=0,IF(AND($I200&gt;=W$3,$I200&lt;=W$2),$E200,0),$E200*NETWORKDAYS(MAX($I200,W$3),MIN($J200,W$2),Data!$K$4:$K$203)/$K200)))</f>
        <v>0</v>
      </c>
      <c r="X200" s="170">
        <f>IF(OR($I200="",$E200=0),0,IF(OR($J200&lt;X$3,$I200&gt;X$2),0,IF($K200=0,IF(AND($I200&gt;=X$3,$I200&lt;=X$2),$E200,0),$E200*NETWORKDAYS(MAX($I200,X$3),MIN($J200,X$2),Data!$K$4:$K$203)/$K200)))</f>
        <v>0</v>
      </c>
      <c r="Y200" s="170">
        <f>IF(OR($I200="",$E200=0),0,IF(OR($J200&lt;Y$3,$I200&gt;Y$2),0,IF($K200=0,IF(AND($I200&gt;=Y$3,$I200&lt;=Y$2),$E200,0),$E200*NETWORKDAYS(MAX($I200,Y$3),MIN($J200,Y$2),Data!$K$4:$K$203)/$K200)))</f>
        <v>0</v>
      </c>
      <c r="Z200" s="170">
        <f>IF(OR($I200="",$E200=0),0,IF(OR($J200&lt;Z$3,$I200&gt;Z$2),0,IF($K200=0,IF(AND($I200&gt;=Z$3,$I200&lt;=Z$2),$E200,0),$E200*NETWORKDAYS(MAX($I200,Z$3),MIN($J200,Z$2),Data!$K$4:$K$203)/$K200)))</f>
        <v>0</v>
      </c>
      <c r="AA200" s="170">
        <f>IF(OR($I200="",$E200=0),0,IF(OR($J200&lt;AA$3,$I200&gt;AA$2),0,IF($K200=0,IF(AND($I200&gt;=AA$3,$I200&lt;=AA$2),$E200,0),$E200*NETWORKDAYS(MAX($I200,AA$3),MIN($J200,AA$2),Data!$K$4:$K$203)/$K200)))</f>
        <v>0</v>
      </c>
      <c r="AB200" s="170">
        <f>IF(OR($I200="",$E200=0),0,IF(OR($J200&lt;AB$3,$I200&gt;AB$2),0,IF($K200=0,IF(AND($I200&gt;=AB$3,$I200&lt;=AB$2),$E200,0),$E200*NETWORKDAYS(MAX($I200,AB$3),MIN($J200,AB$2),Data!$K$4:$K$203)/$K200)))</f>
        <v>0</v>
      </c>
      <c r="AC200" s="170">
        <f>IF(OR($I200="",$E200=0),0,IF(OR($J200&lt;AC$3,$I200&gt;AC$2),0,IF($K200=0,IF(AND($I200&gt;=AC$3,$I200&lt;=AC$2),$E200,0),$E200*NETWORKDAYS(MAX($I200,AC$3),MIN($J200,AC$2),Data!$K$4:$K$203)/$K200)))</f>
        <v>0</v>
      </c>
      <c r="AD200" s="170">
        <f>IF(OR($I200="",$E200=0),0,IF(OR($J200&lt;AD$3,$I200&gt;AD$2),0,IF($K200=0,IF(AND($I200&gt;=AD$3,$I200&lt;=AD$2),$E200,0),$E200*NETWORKDAYS(MAX($I200,AD$3),MIN($J200,AD$2),Data!$K$4:$K$203)/$K200)))</f>
        <v>0</v>
      </c>
      <c r="AE200" s="170">
        <f>IF(OR($I200="",$E200=0),0,IF(OR($J200&lt;AE$3,$I200&gt;AE$2),0,IF($K200=0,IF(AND($I200&gt;=AE$3,$I200&lt;=AE$2),$E200,0),$E200*NETWORKDAYS(MAX($I200,AE$3),MIN($J200,AE$2),Data!$K$4:$K$203)/$K200)))</f>
        <v>0</v>
      </c>
      <c r="AF200" s="170">
        <f>IF(OR($I200="",$E200=0),0,IF(OR($J200&lt;AF$3,$I200&gt;AF$2),0,IF($K200=0,IF(AND($I200&gt;=AF$3,$I200&lt;=AF$2),$E200,0),$E200*NETWORKDAYS(MAX($I200,AF$3),MIN($J200,AF$2),Data!$K$4:$K$203)/$K200)))</f>
        <v>0</v>
      </c>
      <c r="AG200" s="170">
        <f>IF(OR($I200="",$E200=0),0,IF(OR($J200&lt;AG$3,$I200&gt;AG$2),0,IF($K200=0,IF(AND($I200&gt;=AG$3,$I200&lt;=AG$2),$E200,0),$E200*NETWORKDAYS(MAX($I200,AG$3),MIN($J200,AG$2),Data!$K$4:$K$203)/$K200)))</f>
        <v>0</v>
      </c>
      <c r="AH200" s="170">
        <f>IF(OR($I200="",$E200=0),0,IF(OR($J200&lt;AH$3,$I200&gt;AH$2),0,IF($K200=0,IF(AND($I200&gt;=AH$3,$I200&lt;=AH$2),$E200,0),$E200*NETWORKDAYS(MAX($I200,AH$3),MIN($J200,AH$2),Data!$K$4:$K$203)/$K200)))</f>
        <v>0</v>
      </c>
      <c r="AI200" s="170">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70"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4" t="str">
        <f>IF(EO200=1,IF(FH200&gt;0,FI200/FH200,AVERAGEIF($FF$4:$FF$503,EN200,$C$4:$C$503)),"")</f>
        <v/>
      </c>
      <c r="EV200" s="169">
        <f>IF(ISNUMBER(I200),I200,2958465)</f>
        <v>2958465.0</v>
      </c>
      <c r="EW200" s="169" t="str">
        <f>IF(EO200=1,SUMPRODUCT(MIN(($EN$4:$EN$503=EN200)*$EV$4:$EV$503+($EN$4:$EN$503&lt;&gt;EN200)*2958465)),"")</f>
        <v/>
      </c>
      <c r="EX200" s="169">
        <f>IF(AND(D200=1,ISNUMBER(INDEX(Charge!$F:$F,ROW()))),INDEX(Charge!$F:$F,ROW()),0)</f>
        <v>0.0</v>
      </c>
      <c r="EY200" s="169"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c r="FF200" t="str">
        <f>IF(B200=1,LEFT(SUBSTITUTE(SUBSTITUTE(SUBSTITUTE(TRIM(SUBSTITUTE(INDEX(Charge!$B:$B,ROW()),CHAR(160)," "))&amp;" | "&amp;TRIM(SUBSTITUTE(INDEX(Charge!$C:$C,ROW()),CHAR(160)," "))&amp;" | "&amp;TRIM(SUBSTITUTE(INDEX(Charge!$D:$D,ROW()),CHAR(160)," ")),"~","-"),"*","+"),"?","!"),240),"")</f>
        <v/>
      </c>
      <c r="FG200">
        <f>IF(B200=1,MAX(0,N(INDEX(Charge!$M:$M,ROW()))),0)</f>
        <v>0</v>
      </c>
      <c r="FH200" s="170" t="str">
        <f>IF(EO200=1,ROUND(SUMIF($FF$4:$FF$503,EN200,$FG$4:$FG$503),2),"")</f>
        <v/>
      </c>
      <c r="FI200" s="170" t="str">
        <f>IF(EO200=1,ROUND(SUMPRODUCT(($FF$4:$FF$503=EN200)*$FG$4:$FG$503*$C$4:$C$503),2),"")</f>
        <v/>
      </c>
      <c r="FJ200" s="170" t="str">
        <f>IF(EO200=1,MAX(0,ROUND(FH200-FI200,2)),"")</f>
        <v/>
      </c>
      <c r="FK200" s="174" t="str">
        <f>IF(EO200=1,IF(OR(EW200&gt;=2958465,EY200=0,EY200&lt;=EW200),"",IF(TODAY()&lt;=EW200,0,IF(TODAY()&gt;EY200,1,IFERROR(NETWORKDAYS(EW200,TODAY()-1,Data!$K$4:$K$203)/NETWORKDAYS(EW200,EY200,Data!$K$4:$K$203),"")))),"")</f>
        <v/>
      </c>
      <c r="FL200" t="str">
        <f>IF(EO200=1,IF(AND(EY200&gt;0,EY200&lt;TODAY(),ROUND(EU200,4)&lt;1),2,IF(FK200="",0,IF(ROUND(EU200-FK200,4)&lt;-0.15,1,0))),"")</f>
        <v/>
      </c>
      <c r="FM200">
        <f>IF(OR(FA200="",COUNTIF($FA$4:FA199,FA200)&gt;0),0,MAX(0,IF(FB200="Interne",IF(ISNUMBER(INDEX(Data!$F:$F,200)),INDEX(Data!$F:$F,200),p_HeuresETP),IF(ISNUMBER(INDEX(Data!$I:$I,200-$CD$23)),INDEX(Data!$I:$I,200-$CD$23),p_HeuresETP))-IF(FB200="Interne",IF(ISNUMBER(INDEX(Data!$G:$G,200)),INDEX(Data!$G:$G,200),p_ChargeFixe),IF(ISNUMBER(INDEX(Data!$J:$J,200-$CD$23)),INDEX(Data!$J:$J,200-$CD$23),p_ChargeFixe))))</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9" t="str">
        <f>IF(AND(D201=1,ISNUMBER(INDEX(Charge!$N:$N,ROW()))),INDEX(Charge!$N:$N,ROW()),"")</f>
        <v/>
      </c>
      <c r="J201" s="169"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70">
        <f>IF(OR($I201="",$E201=0),0,IF(OR($J201&lt;W$3,$I201&gt;W$2),0,IF($K201=0,IF(AND($I201&gt;=W$3,$I201&lt;=W$2),$E201,0),$E201*NETWORKDAYS(MAX($I201,W$3),MIN($J201,W$2),Data!$K$4:$K$203)/$K201)))</f>
        <v>0</v>
      </c>
      <c r="X201" s="170">
        <f>IF(OR($I201="",$E201=0),0,IF(OR($J201&lt;X$3,$I201&gt;X$2),0,IF($K201=0,IF(AND($I201&gt;=X$3,$I201&lt;=X$2),$E201,0),$E201*NETWORKDAYS(MAX($I201,X$3),MIN($J201,X$2),Data!$K$4:$K$203)/$K201)))</f>
        <v>0</v>
      </c>
      <c r="Y201" s="170">
        <f>IF(OR($I201="",$E201=0),0,IF(OR($J201&lt;Y$3,$I201&gt;Y$2),0,IF($K201=0,IF(AND($I201&gt;=Y$3,$I201&lt;=Y$2),$E201,0),$E201*NETWORKDAYS(MAX($I201,Y$3),MIN($J201,Y$2),Data!$K$4:$K$203)/$K201)))</f>
        <v>0</v>
      </c>
      <c r="Z201" s="170">
        <f>IF(OR($I201="",$E201=0),0,IF(OR($J201&lt;Z$3,$I201&gt;Z$2),0,IF($K201=0,IF(AND($I201&gt;=Z$3,$I201&lt;=Z$2),$E201,0),$E201*NETWORKDAYS(MAX($I201,Z$3),MIN($J201,Z$2),Data!$K$4:$K$203)/$K201)))</f>
        <v>0</v>
      </c>
      <c r="AA201" s="170">
        <f>IF(OR($I201="",$E201=0),0,IF(OR($J201&lt;AA$3,$I201&gt;AA$2),0,IF($K201=0,IF(AND($I201&gt;=AA$3,$I201&lt;=AA$2),$E201,0),$E201*NETWORKDAYS(MAX($I201,AA$3),MIN($J201,AA$2),Data!$K$4:$K$203)/$K201)))</f>
        <v>0</v>
      </c>
      <c r="AB201" s="170">
        <f>IF(OR($I201="",$E201=0),0,IF(OR($J201&lt;AB$3,$I201&gt;AB$2),0,IF($K201=0,IF(AND($I201&gt;=AB$3,$I201&lt;=AB$2),$E201,0),$E201*NETWORKDAYS(MAX($I201,AB$3),MIN($J201,AB$2),Data!$K$4:$K$203)/$K201)))</f>
        <v>0</v>
      </c>
      <c r="AC201" s="170">
        <f>IF(OR($I201="",$E201=0),0,IF(OR($J201&lt;AC$3,$I201&gt;AC$2),0,IF($K201=0,IF(AND($I201&gt;=AC$3,$I201&lt;=AC$2),$E201,0),$E201*NETWORKDAYS(MAX($I201,AC$3),MIN($J201,AC$2),Data!$K$4:$K$203)/$K201)))</f>
        <v>0</v>
      </c>
      <c r="AD201" s="170">
        <f>IF(OR($I201="",$E201=0),0,IF(OR($J201&lt;AD$3,$I201&gt;AD$2),0,IF($K201=0,IF(AND($I201&gt;=AD$3,$I201&lt;=AD$2),$E201,0),$E201*NETWORKDAYS(MAX($I201,AD$3),MIN($J201,AD$2),Data!$K$4:$K$203)/$K201)))</f>
        <v>0</v>
      </c>
      <c r="AE201" s="170">
        <f>IF(OR($I201="",$E201=0),0,IF(OR($J201&lt;AE$3,$I201&gt;AE$2),0,IF($K201=0,IF(AND($I201&gt;=AE$3,$I201&lt;=AE$2),$E201,0),$E201*NETWORKDAYS(MAX($I201,AE$3),MIN($J201,AE$2),Data!$K$4:$K$203)/$K201)))</f>
        <v>0</v>
      </c>
      <c r="AF201" s="170">
        <f>IF(OR($I201="",$E201=0),0,IF(OR($J201&lt;AF$3,$I201&gt;AF$2),0,IF($K201=0,IF(AND($I201&gt;=AF$3,$I201&lt;=AF$2),$E201,0),$E201*NETWORKDAYS(MAX($I201,AF$3),MIN($J201,AF$2),Data!$K$4:$K$203)/$K201)))</f>
        <v>0</v>
      </c>
      <c r="AG201" s="170">
        <f>IF(OR($I201="",$E201=0),0,IF(OR($J201&lt;AG$3,$I201&gt;AG$2),0,IF($K201=0,IF(AND($I201&gt;=AG$3,$I201&lt;=AG$2),$E201,0),$E201*NETWORKDAYS(MAX($I201,AG$3),MIN($J201,AG$2),Data!$K$4:$K$203)/$K201)))</f>
        <v>0</v>
      </c>
      <c r="AH201" s="170">
        <f>IF(OR($I201="",$E201=0),0,IF(OR($J201&lt;AH$3,$I201&gt;AH$2),0,IF($K201=0,IF(AND($I201&gt;=AH$3,$I201&lt;=AH$2),$E201,0),$E201*NETWORKDAYS(MAX($I201,AH$3),MIN($J201,AH$2),Data!$K$4:$K$203)/$K201)))</f>
        <v>0</v>
      </c>
      <c r="AI201" s="170">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70"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4" t="str">
        <f>IF(EO201=1,IF(FH201&gt;0,FI201/FH201,AVERAGEIF($FF$4:$FF$503,EN201,$C$4:$C$503)),"")</f>
        <v/>
      </c>
      <c r="EV201" s="169">
        <f>IF(ISNUMBER(I201),I201,2958465)</f>
        <v>2958465.0</v>
      </c>
      <c r="EW201" s="169" t="str">
        <f>IF(EO201=1,SUMPRODUCT(MIN(($EN$4:$EN$503=EN201)*$EV$4:$EV$503+($EN$4:$EN$503&lt;&gt;EN201)*2958465)),"")</f>
        <v/>
      </c>
      <c r="EX201" s="169">
        <f>IF(AND(D201=1,ISNUMBER(INDEX(Charge!$F:$F,ROW()))),INDEX(Charge!$F:$F,ROW()),0)</f>
        <v>0.0</v>
      </c>
      <c r="EY201" s="169"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c r="FF201" t="str">
        <f>IF(B201=1,LEFT(SUBSTITUTE(SUBSTITUTE(SUBSTITUTE(TRIM(SUBSTITUTE(INDEX(Charge!$B:$B,ROW()),CHAR(160)," "))&amp;" | "&amp;TRIM(SUBSTITUTE(INDEX(Charge!$C:$C,ROW()),CHAR(160)," "))&amp;" | "&amp;TRIM(SUBSTITUTE(INDEX(Charge!$D:$D,ROW()),CHAR(160)," ")),"~","-"),"*","+"),"?","!"),240),"")</f>
        <v/>
      </c>
      <c r="FG201">
        <f>IF(B201=1,MAX(0,N(INDEX(Charge!$M:$M,ROW()))),0)</f>
        <v>0</v>
      </c>
      <c r="FH201" s="170" t="str">
        <f>IF(EO201=1,ROUND(SUMIF($FF$4:$FF$503,EN201,$FG$4:$FG$503),2),"")</f>
        <v/>
      </c>
      <c r="FI201" s="170" t="str">
        <f>IF(EO201=1,ROUND(SUMPRODUCT(($FF$4:$FF$503=EN201)*$FG$4:$FG$503*$C$4:$C$503),2),"")</f>
        <v/>
      </c>
      <c r="FJ201" s="170" t="str">
        <f>IF(EO201=1,MAX(0,ROUND(FH201-FI201,2)),"")</f>
        <v/>
      </c>
      <c r="FK201" s="174" t="str">
        <f>IF(EO201=1,IF(OR(EW201&gt;=2958465,EY201=0,EY201&lt;=EW201),"",IF(TODAY()&lt;=EW201,0,IF(TODAY()&gt;EY201,1,IFERROR(NETWORKDAYS(EW201,TODAY()-1,Data!$K$4:$K$203)/NETWORKDAYS(EW201,EY201,Data!$K$4:$K$203),"")))),"")</f>
        <v/>
      </c>
      <c r="FL201" t="str">
        <f>IF(EO201=1,IF(AND(EY201&gt;0,EY201&lt;TODAY(),ROUND(EU201,4)&lt;1),2,IF(FK201="",0,IF(ROUND(EU201-FK201,4)&lt;-0.15,1,0))),"")</f>
        <v/>
      </c>
      <c r="FM201">
        <f>IF(OR(FA201="",COUNTIF($FA$4:FA200,FA201)&gt;0),0,MAX(0,IF(FB201="Interne",IF(ISNUMBER(INDEX(Data!$F:$F,201)),INDEX(Data!$F:$F,201),p_HeuresETP),IF(ISNUMBER(INDEX(Data!$I:$I,201-$CD$23)),INDEX(Data!$I:$I,201-$CD$23),p_HeuresETP))-IF(FB201="Interne",IF(ISNUMBER(INDEX(Data!$G:$G,201)),INDEX(Data!$G:$G,201),p_ChargeFixe),IF(ISNUMBER(INDEX(Data!$J:$J,201-$CD$23)),INDEX(Data!$J:$J,201-$CD$23),p_ChargeFixe))))</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9" t="str">
        <f>IF(AND(D202=1,ISNUMBER(INDEX(Charge!$N:$N,ROW()))),INDEX(Charge!$N:$N,ROW()),"")</f>
        <v/>
      </c>
      <c r="J202" s="169"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70">
        <f>IF(OR($I202="",$E202=0),0,IF(OR($J202&lt;W$3,$I202&gt;W$2),0,IF($K202=0,IF(AND($I202&gt;=W$3,$I202&lt;=W$2),$E202,0),$E202*NETWORKDAYS(MAX($I202,W$3),MIN($J202,W$2),Data!$K$4:$K$203)/$K202)))</f>
        <v>0</v>
      </c>
      <c r="X202" s="170">
        <f>IF(OR($I202="",$E202=0),0,IF(OR($J202&lt;X$3,$I202&gt;X$2),0,IF($K202=0,IF(AND($I202&gt;=X$3,$I202&lt;=X$2),$E202,0),$E202*NETWORKDAYS(MAX($I202,X$3),MIN($J202,X$2),Data!$K$4:$K$203)/$K202)))</f>
        <v>0</v>
      </c>
      <c r="Y202" s="170">
        <f>IF(OR($I202="",$E202=0),0,IF(OR($J202&lt;Y$3,$I202&gt;Y$2),0,IF($K202=0,IF(AND($I202&gt;=Y$3,$I202&lt;=Y$2),$E202,0),$E202*NETWORKDAYS(MAX($I202,Y$3),MIN($J202,Y$2),Data!$K$4:$K$203)/$K202)))</f>
        <v>0</v>
      </c>
      <c r="Z202" s="170">
        <f>IF(OR($I202="",$E202=0),0,IF(OR($J202&lt;Z$3,$I202&gt;Z$2),0,IF($K202=0,IF(AND($I202&gt;=Z$3,$I202&lt;=Z$2),$E202,0),$E202*NETWORKDAYS(MAX($I202,Z$3),MIN($J202,Z$2),Data!$K$4:$K$203)/$K202)))</f>
        <v>0</v>
      </c>
      <c r="AA202" s="170">
        <f>IF(OR($I202="",$E202=0),0,IF(OR($J202&lt;AA$3,$I202&gt;AA$2),0,IF($K202=0,IF(AND($I202&gt;=AA$3,$I202&lt;=AA$2),$E202,0),$E202*NETWORKDAYS(MAX($I202,AA$3),MIN($J202,AA$2),Data!$K$4:$K$203)/$K202)))</f>
        <v>0</v>
      </c>
      <c r="AB202" s="170">
        <f>IF(OR($I202="",$E202=0),0,IF(OR($J202&lt;AB$3,$I202&gt;AB$2),0,IF($K202=0,IF(AND($I202&gt;=AB$3,$I202&lt;=AB$2),$E202,0),$E202*NETWORKDAYS(MAX($I202,AB$3),MIN($J202,AB$2),Data!$K$4:$K$203)/$K202)))</f>
        <v>0</v>
      </c>
      <c r="AC202" s="170">
        <f>IF(OR($I202="",$E202=0),0,IF(OR($J202&lt;AC$3,$I202&gt;AC$2),0,IF($K202=0,IF(AND($I202&gt;=AC$3,$I202&lt;=AC$2),$E202,0),$E202*NETWORKDAYS(MAX($I202,AC$3),MIN($J202,AC$2),Data!$K$4:$K$203)/$K202)))</f>
        <v>0</v>
      </c>
      <c r="AD202" s="170">
        <f>IF(OR($I202="",$E202=0),0,IF(OR($J202&lt;AD$3,$I202&gt;AD$2),0,IF($K202=0,IF(AND($I202&gt;=AD$3,$I202&lt;=AD$2),$E202,0),$E202*NETWORKDAYS(MAX($I202,AD$3),MIN($J202,AD$2),Data!$K$4:$K$203)/$K202)))</f>
        <v>0</v>
      </c>
      <c r="AE202" s="170">
        <f>IF(OR($I202="",$E202=0),0,IF(OR($J202&lt;AE$3,$I202&gt;AE$2),0,IF($K202=0,IF(AND($I202&gt;=AE$3,$I202&lt;=AE$2),$E202,0),$E202*NETWORKDAYS(MAX($I202,AE$3),MIN($J202,AE$2),Data!$K$4:$K$203)/$K202)))</f>
        <v>0</v>
      </c>
      <c r="AF202" s="170">
        <f>IF(OR($I202="",$E202=0),0,IF(OR($J202&lt;AF$3,$I202&gt;AF$2),0,IF($K202=0,IF(AND($I202&gt;=AF$3,$I202&lt;=AF$2),$E202,0),$E202*NETWORKDAYS(MAX($I202,AF$3),MIN($J202,AF$2),Data!$K$4:$K$203)/$K202)))</f>
        <v>0</v>
      </c>
      <c r="AG202" s="170">
        <f>IF(OR($I202="",$E202=0),0,IF(OR($J202&lt;AG$3,$I202&gt;AG$2),0,IF($K202=0,IF(AND($I202&gt;=AG$3,$I202&lt;=AG$2),$E202,0),$E202*NETWORKDAYS(MAX($I202,AG$3),MIN($J202,AG$2),Data!$K$4:$K$203)/$K202)))</f>
        <v>0</v>
      </c>
      <c r="AH202" s="170">
        <f>IF(OR($I202="",$E202=0),0,IF(OR($J202&lt;AH$3,$I202&gt;AH$2),0,IF($K202=0,IF(AND($I202&gt;=AH$3,$I202&lt;=AH$2),$E202,0),$E202*NETWORKDAYS(MAX($I202,AH$3),MIN($J202,AH$2),Data!$K$4:$K$203)/$K202)))</f>
        <v>0</v>
      </c>
      <c r="AI202" s="170">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70"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4" t="str">
        <f>IF(EO202=1,IF(FH202&gt;0,FI202/FH202,AVERAGEIF($FF$4:$FF$503,EN202,$C$4:$C$503)),"")</f>
        <v/>
      </c>
      <c r="EV202" s="169">
        <f>IF(ISNUMBER(I202),I202,2958465)</f>
        <v>2958465.0</v>
      </c>
      <c r="EW202" s="169" t="str">
        <f>IF(EO202=1,SUMPRODUCT(MIN(($EN$4:$EN$503=EN202)*$EV$4:$EV$503+($EN$4:$EN$503&lt;&gt;EN202)*2958465)),"")</f>
        <v/>
      </c>
      <c r="EX202" s="169">
        <f>IF(AND(D202=1,ISNUMBER(INDEX(Charge!$F:$F,ROW()))),INDEX(Charge!$F:$F,ROW()),0)</f>
        <v>0.0</v>
      </c>
      <c r="EY202" s="169"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c r="FF202" t="str">
        <f>IF(B202=1,LEFT(SUBSTITUTE(SUBSTITUTE(SUBSTITUTE(TRIM(SUBSTITUTE(INDEX(Charge!$B:$B,ROW()),CHAR(160)," "))&amp;" | "&amp;TRIM(SUBSTITUTE(INDEX(Charge!$C:$C,ROW()),CHAR(160)," "))&amp;" | "&amp;TRIM(SUBSTITUTE(INDEX(Charge!$D:$D,ROW()),CHAR(160)," ")),"~","-"),"*","+"),"?","!"),240),"")</f>
        <v/>
      </c>
      <c r="FG202">
        <f>IF(B202=1,MAX(0,N(INDEX(Charge!$M:$M,ROW()))),0)</f>
        <v>0</v>
      </c>
      <c r="FH202" s="170" t="str">
        <f>IF(EO202=1,ROUND(SUMIF($FF$4:$FF$503,EN202,$FG$4:$FG$503),2),"")</f>
        <v/>
      </c>
      <c r="FI202" s="170" t="str">
        <f>IF(EO202=1,ROUND(SUMPRODUCT(($FF$4:$FF$503=EN202)*$FG$4:$FG$503*$C$4:$C$503),2),"")</f>
        <v/>
      </c>
      <c r="FJ202" s="170" t="str">
        <f>IF(EO202=1,MAX(0,ROUND(FH202-FI202,2)),"")</f>
        <v/>
      </c>
      <c r="FK202" s="174" t="str">
        <f>IF(EO202=1,IF(OR(EW202&gt;=2958465,EY202=0,EY202&lt;=EW202),"",IF(TODAY()&lt;=EW202,0,IF(TODAY()&gt;EY202,1,IFERROR(NETWORKDAYS(EW202,TODAY()-1,Data!$K$4:$K$203)/NETWORKDAYS(EW202,EY202,Data!$K$4:$K$203),"")))),"")</f>
        <v/>
      </c>
      <c r="FL202" t="str">
        <f>IF(EO202=1,IF(AND(EY202&gt;0,EY202&lt;TODAY(),ROUND(EU202,4)&lt;1),2,IF(FK202="",0,IF(ROUND(EU202-FK202,4)&lt;-0.15,1,0))),"")</f>
        <v/>
      </c>
      <c r="FM202">
        <f>IF(OR(FA202="",COUNTIF($FA$4:FA201,FA202)&gt;0),0,MAX(0,IF(FB202="Interne",IF(ISNUMBER(INDEX(Data!$F:$F,202)),INDEX(Data!$F:$F,202),p_HeuresETP),IF(ISNUMBER(INDEX(Data!$I:$I,202-$CD$23)),INDEX(Data!$I:$I,202-$CD$23),p_HeuresETP))-IF(FB202="Interne",IF(ISNUMBER(INDEX(Data!$G:$G,202)),INDEX(Data!$G:$G,202),p_ChargeFixe),IF(ISNUMBER(INDEX(Data!$J:$J,202-$CD$23)),INDEX(Data!$J:$J,202-$CD$23),p_ChargeFixe))))</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9" t="str">
        <f>IF(AND(D203=1,ISNUMBER(INDEX(Charge!$N:$N,ROW()))),INDEX(Charge!$N:$N,ROW()),"")</f>
        <v/>
      </c>
      <c r="J203" s="169"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70">
        <f>IF(OR($I203="",$E203=0),0,IF(OR($J203&lt;W$3,$I203&gt;W$2),0,IF($K203=0,IF(AND($I203&gt;=W$3,$I203&lt;=W$2),$E203,0),$E203*NETWORKDAYS(MAX($I203,W$3),MIN($J203,W$2),Data!$K$4:$K$203)/$K203)))</f>
        <v>0</v>
      </c>
      <c r="X203" s="170">
        <f>IF(OR($I203="",$E203=0),0,IF(OR($J203&lt;X$3,$I203&gt;X$2),0,IF($K203=0,IF(AND($I203&gt;=X$3,$I203&lt;=X$2),$E203,0),$E203*NETWORKDAYS(MAX($I203,X$3),MIN($J203,X$2),Data!$K$4:$K$203)/$K203)))</f>
        <v>0</v>
      </c>
      <c r="Y203" s="170">
        <f>IF(OR($I203="",$E203=0),0,IF(OR($J203&lt;Y$3,$I203&gt;Y$2),0,IF($K203=0,IF(AND($I203&gt;=Y$3,$I203&lt;=Y$2),$E203,0),$E203*NETWORKDAYS(MAX($I203,Y$3),MIN($J203,Y$2),Data!$K$4:$K$203)/$K203)))</f>
        <v>0</v>
      </c>
      <c r="Z203" s="170">
        <f>IF(OR($I203="",$E203=0),0,IF(OR($J203&lt;Z$3,$I203&gt;Z$2),0,IF($K203=0,IF(AND($I203&gt;=Z$3,$I203&lt;=Z$2),$E203,0),$E203*NETWORKDAYS(MAX($I203,Z$3),MIN($J203,Z$2),Data!$K$4:$K$203)/$K203)))</f>
        <v>0</v>
      </c>
      <c r="AA203" s="170">
        <f>IF(OR($I203="",$E203=0),0,IF(OR($J203&lt;AA$3,$I203&gt;AA$2),0,IF($K203=0,IF(AND($I203&gt;=AA$3,$I203&lt;=AA$2),$E203,0),$E203*NETWORKDAYS(MAX($I203,AA$3),MIN($J203,AA$2),Data!$K$4:$K$203)/$K203)))</f>
        <v>0</v>
      </c>
      <c r="AB203" s="170">
        <f>IF(OR($I203="",$E203=0),0,IF(OR($J203&lt;AB$3,$I203&gt;AB$2),0,IF($K203=0,IF(AND($I203&gt;=AB$3,$I203&lt;=AB$2),$E203,0),$E203*NETWORKDAYS(MAX($I203,AB$3),MIN($J203,AB$2),Data!$K$4:$K$203)/$K203)))</f>
        <v>0</v>
      </c>
      <c r="AC203" s="170">
        <f>IF(OR($I203="",$E203=0),0,IF(OR($J203&lt;AC$3,$I203&gt;AC$2),0,IF($K203=0,IF(AND($I203&gt;=AC$3,$I203&lt;=AC$2),$E203,0),$E203*NETWORKDAYS(MAX($I203,AC$3),MIN($J203,AC$2),Data!$K$4:$K$203)/$K203)))</f>
        <v>0</v>
      </c>
      <c r="AD203" s="170">
        <f>IF(OR($I203="",$E203=0),0,IF(OR($J203&lt;AD$3,$I203&gt;AD$2),0,IF($K203=0,IF(AND($I203&gt;=AD$3,$I203&lt;=AD$2),$E203,0),$E203*NETWORKDAYS(MAX($I203,AD$3),MIN($J203,AD$2),Data!$K$4:$K$203)/$K203)))</f>
        <v>0</v>
      </c>
      <c r="AE203" s="170">
        <f>IF(OR($I203="",$E203=0),0,IF(OR($J203&lt;AE$3,$I203&gt;AE$2),0,IF($K203=0,IF(AND($I203&gt;=AE$3,$I203&lt;=AE$2),$E203,0),$E203*NETWORKDAYS(MAX($I203,AE$3),MIN($J203,AE$2),Data!$K$4:$K$203)/$K203)))</f>
        <v>0</v>
      </c>
      <c r="AF203" s="170">
        <f>IF(OR($I203="",$E203=0),0,IF(OR($J203&lt;AF$3,$I203&gt;AF$2),0,IF($K203=0,IF(AND($I203&gt;=AF$3,$I203&lt;=AF$2),$E203,0),$E203*NETWORKDAYS(MAX($I203,AF$3),MIN($J203,AF$2),Data!$K$4:$K$203)/$K203)))</f>
        <v>0</v>
      </c>
      <c r="AG203" s="170">
        <f>IF(OR($I203="",$E203=0),0,IF(OR($J203&lt;AG$3,$I203&gt;AG$2),0,IF($K203=0,IF(AND($I203&gt;=AG$3,$I203&lt;=AG$2),$E203,0),$E203*NETWORKDAYS(MAX($I203,AG$3),MIN($J203,AG$2),Data!$K$4:$K$203)/$K203)))</f>
        <v>0</v>
      </c>
      <c r="AH203" s="170">
        <f>IF(OR($I203="",$E203=0),0,IF(OR($J203&lt;AH$3,$I203&gt;AH$2),0,IF($K203=0,IF(AND($I203&gt;=AH$3,$I203&lt;=AH$2),$E203,0),$E203*NETWORKDAYS(MAX($I203,AH$3),MIN($J203,AH$2),Data!$K$4:$K$203)/$K203)))</f>
        <v>0</v>
      </c>
      <c r="AI203" s="170">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70"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4" t="str">
        <f>IF(EO203=1,IF(FH203&gt;0,FI203/FH203,AVERAGEIF($FF$4:$FF$503,EN203,$C$4:$C$503)),"")</f>
        <v/>
      </c>
      <c r="EV203" s="169">
        <f>IF(ISNUMBER(I203),I203,2958465)</f>
        <v>2958465.0</v>
      </c>
      <c r="EW203" s="169" t="str">
        <f>IF(EO203=1,SUMPRODUCT(MIN(($EN$4:$EN$503=EN203)*$EV$4:$EV$503+($EN$4:$EN$503&lt;&gt;EN203)*2958465)),"")</f>
        <v/>
      </c>
      <c r="EX203" s="169">
        <f>IF(AND(D203=1,ISNUMBER(INDEX(Charge!$F:$F,ROW()))),INDEX(Charge!$F:$F,ROW()),0)</f>
        <v>0.0</v>
      </c>
      <c r="EY203" s="169"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c r="FF203" t="str">
        <f>IF(B203=1,LEFT(SUBSTITUTE(SUBSTITUTE(SUBSTITUTE(TRIM(SUBSTITUTE(INDEX(Charge!$B:$B,ROW()),CHAR(160)," "))&amp;" | "&amp;TRIM(SUBSTITUTE(INDEX(Charge!$C:$C,ROW()),CHAR(160)," "))&amp;" | "&amp;TRIM(SUBSTITUTE(INDEX(Charge!$D:$D,ROW()),CHAR(160)," ")),"~","-"),"*","+"),"?","!"),240),"")</f>
        <v/>
      </c>
      <c r="FG203">
        <f>IF(B203=1,MAX(0,N(INDEX(Charge!$M:$M,ROW()))),0)</f>
        <v>0</v>
      </c>
      <c r="FH203" s="170" t="str">
        <f>IF(EO203=1,ROUND(SUMIF($FF$4:$FF$503,EN203,$FG$4:$FG$503),2),"")</f>
        <v/>
      </c>
      <c r="FI203" s="170" t="str">
        <f>IF(EO203=1,ROUND(SUMPRODUCT(($FF$4:$FF$503=EN203)*$FG$4:$FG$503*$C$4:$C$503),2),"")</f>
        <v/>
      </c>
      <c r="FJ203" s="170" t="str">
        <f>IF(EO203=1,MAX(0,ROUND(FH203-FI203,2)),"")</f>
        <v/>
      </c>
      <c r="FK203" s="174" t="str">
        <f>IF(EO203=1,IF(OR(EW203&gt;=2958465,EY203=0,EY203&lt;=EW203),"",IF(TODAY()&lt;=EW203,0,IF(TODAY()&gt;EY203,1,IFERROR(NETWORKDAYS(EW203,TODAY()-1,Data!$K$4:$K$203)/NETWORKDAYS(EW203,EY203,Data!$K$4:$K$203),"")))),"")</f>
        <v/>
      </c>
      <c r="FL203" t="str">
        <f>IF(EO203=1,IF(AND(EY203&gt;0,EY203&lt;TODAY(),ROUND(EU203,4)&lt;1),2,IF(FK203="",0,IF(ROUND(EU203-FK203,4)&lt;-0.15,1,0))),"")</f>
        <v/>
      </c>
      <c r="FM203">
        <f>IF(OR(FA203="",COUNTIF($FA$4:FA202,FA203)&gt;0),0,MAX(0,IF(FB203="Interne",IF(ISNUMBER(INDEX(Data!$F:$F,203)),INDEX(Data!$F:$F,203),p_HeuresETP),IF(ISNUMBER(INDEX(Data!$I:$I,203-$CD$23)),INDEX(Data!$I:$I,203-$CD$23),p_HeuresETP))-IF(FB203="Interne",IF(ISNUMBER(INDEX(Data!$G:$G,203)),INDEX(Data!$G:$G,203),p_ChargeFixe),IF(ISNUMBER(INDEX(Data!$J:$J,203-$CD$23)),INDEX(Data!$J:$J,203-$CD$23),p_ChargeFixe))))</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9" t="str">
        <f>IF(AND(D204=1,ISNUMBER(INDEX(Charge!$N:$N,ROW()))),INDEX(Charge!$N:$N,ROW()),"")</f>
        <v/>
      </c>
      <c r="J204" s="169"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70">
        <f>IF(OR($I204="",$E204=0),0,IF(OR($J204&lt;W$3,$I204&gt;W$2),0,IF($K204=0,IF(AND($I204&gt;=W$3,$I204&lt;=W$2),$E204,0),$E204*NETWORKDAYS(MAX($I204,W$3),MIN($J204,W$2),Data!$K$4:$K$203)/$K204)))</f>
        <v>0</v>
      </c>
      <c r="X204" s="170">
        <f>IF(OR($I204="",$E204=0),0,IF(OR($J204&lt;X$3,$I204&gt;X$2),0,IF($K204=0,IF(AND($I204&gt;=X$3,$I204&lt;=X$2),$E204,0),$E204*NETWORKDAYS(MAX($I204,X$3),MIN($J204,X$2),Data!$K$4:$K$203)/$K204)))</f>
        <v>0</v>
      </c>
      <c r="Y204" s="170">
        <f>IF(OR($I204="",$E204=0),0,IF(OR($J204&lt;Y$3,$I204&gt;Y$2),0,IF($K204=0,IF(AND($I204&gt;=Y$3,$I204&lt;=Y$2),$E204,0),$E204*NETWORKDAYS(MAX($I204,Y$3),MIN($J204,Y$2),Data!$K$4:$K$203)/$K204)))</f>
        <v>0</v>
      </c>
      <c r="Z204" s="170">
        <f>IF(OR($I204="",$E204=0),0,IF(OR($J204&lt;Z$3,$I204&gt;Z$2),0,IF($K204=0,IF(AND($I204&gt;=Z$3,$I204&lt;=Z$2),$E204,0),$E204*NETWORKDAYS(MAX($I204,Z$3),MIN($J204,Z$2),Data!$K$4:$K$203)/$K204)))</f>
        <v>0</v>
      </c>
      <c r="AA204" s="170">
        <f>IF(OR($I204="",$E204=0),0,IF(OR($J204&lt;AA$3,$I204&gt;AA$2),0,IF($K204=0,IF(AND($I204&gt;=AA$3,$I204&lt;=AA$2),$E204,0),$E204*NETWORKDAYS(MAX($I204,AA$3),MIN($J204,AA$2),Data!$K$4:$K$203)/$K204)))</f>
        <v>0</v>
      </c>
      <c r="AB204" s="170">
        <f>IF(OR($I204="",$E204=0),0,IF(OR($J204&lt;AB$3,$I204&gt;AB$2),0,IF($K204=0,IF(AND($I204&gt;=AB$3,$I204&lt;=AB$2),$E204,0),$E204*NETWORKDAYS(MAX($I204,AB$3),MIN($J204,AB$2),Data!$K$4:$K$203)/$K204)))</f>
        <v>0</v>
      </c>
      <c r="AC204" s="170">
        <f>IF(OR($I204="",$E204=0),0,IF(OR($J204&lt;AC$3,$I204&gt;AC$2),0,IF($K204=0,IF(AND($I204&gt;=AC$3,$I204&lt;=AC$2),$E204,0),$E204*NETWORKDAYS(MAX($I204,AC$3),MIN($J204,AC$2),Data!$K$4:$K$203)/$K204)))</f>
        <v>0</v>
      </c>
      <c r="AD204" s="170">
        <f>IF(OR($I204="",$E204=0),0,IF(OR($J204&lt;AD$3,$I204&gt;AD$2),0,IF($K204=0,IF(AND($I204&gt;=AD$3,$I204&lt;=AD$2),$E204,0),$E204*NETWORKDAYS(MAX($I204,AD$3),MIN($J204,AD$2),Data!$K$4:$K$203)/$K204)))</f>
        <v>0</v>
      </c>
      <c r="AE204" s="170">
        <f>IF(OR($I204="",$E204=0),0,IF(OR($J204&lt;AE$3,$I204&gt;AE$2),0,IF($K204=0,IF(AND($I204&gt;=AE$3,$I204&lt;=AE$2),$E204,0),$E204*NETWORKDAYS(MAX($I204,AE$3),MIN($J204,AE$2),Data!$K$4:$K$203)/$K204)))</f>
        <v>0</v>
      </c>
      <c r="AF204" s="170">
        <f>IF(OR($I204="",$E204=0),0,IF(OR($J204&lt;AF$3,$I204&gt;AF$2),0,IF($K204=0,IF(AND($I204&gt;=AF$3,$I204&lt;=AF$2),$E204,0),$E204*NETWORKDAYS(MAX($I204,AF$3),MIN($J204,AF$2),Data!$K$4:$K$203)/$K204)))</f>
        <v>0</v>
      </c>
      <c r="AG204" s="170">
        <f>IF(OR($I204="",$E204=0),0,IF(OR($J204&lt;AG$3,$I204&gt;AG$2),0,IF($K204=0,IF(AND($I204&gt;=AG$3,$I204&lt;=AG$2),$E204,0),$E204*NETWORKDAYS(MAX($I204,AG$3),MIN($J204,AG$2),Data!$K$4:$K$203)/$K204)))</f>
        <v>0</v>
      </c>
      <c r="AH204" s="170">
        <f>IF(OR($I204="",$E204=0),0,IF(OR($J204&lt;AH$3,$I204&gt;AH$2),0,IF($K204=0,IF(AND($I204&gt;=AH$3,$I204&lt;=AH$2),$E204,0),$E204*NETWORKDAYS(MAX($I204,AH$3),MIN($J204,AH$2),Data!$K$4:$K$203)/$K204)))</f>
        <v>0</v>
      </c>
      <c r="AI204" s="170">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70"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4" t="str">
        <f>IF(EO204=1,IF(FH204&gt;0,FI204/FH204,AVERAGEIF($FF$4:$FF$503,EN204,$C$4:$C$503)),"")</f>
        <v/>
      </c>
      <c r="EV204" s="169">
        <f>IF(ISNUMBER(I204),I204,2958465)</f>
        <v>2958465.0</v>
      </c>
      <c r="EW204" s="169" t="str">
        <f>IF(EO204=1,SUMPRODUCT(MIN(($EN$4:$EN$503=EN204)*$EV$4:$EV$503+($EN$4:$EN$503&lt;&gt;EN204)*2958465)),"")</f>
        <v/>
      </c>
      <c r="EX204" s="169">
        <f>IF(AND(D204=1,ISNUMBER(INDEX(Charge!$F:$F,ROW()))),INDEX(Charge!$F:$F,ROW()),0)</f>
        <v>0.0</v>
      </c>
      <c r="EY204" s="169"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c r="FF204" t="str">
        <f>IF(B204=1,LEFT(SUBSTITUTE(SUBSTITUTE(SUBSTITUTE(TRIM(SUBSTITUTE(INDEX(Charge!$B:$B,ROW()),CHAR(160)," "))&amp;" | "&amp;TRIM(SUBSTITUTE(INDEX(Charge!$C:$C,ROW()),CHAR(160)," "))&amp;" | "&amp;TRIM(SUBSTITUTE(INDEX(Charge!$D:$D,ROW()),CHAR(160)," ")),"~","-"),"*","+"),"?","!"),240),"")</f>
        <v/>
      </c>
      <c r="FG204">
        <f>IF(B204=1,MAX(0,N(INDEX(Charge!$M:$M,ROW()))),0)</f>
        <v>0</v>
      </c>
      <c r="FH204" s="170" t="str">
        <f>IF(EO204=1,ROUND(SUMIF($FF$4:$FF$503,EN204,$FG$4:$FG$503),2),"")</f>
        <v/>
      </c>
      <c r="FI204" s="170" t="str">
        <f>IF(EO204=1,ROUND(SUMPRODUCT(($FF$4:$FF$503=EN204)*$FG$4:$FG$503*$C$4:$C$503),2),"")</f>
        <v/>
      </c>
      <c r="FJ204" s="170" t="str">
        <f>IF(EO204=1,MAX(0,ROUND(FH204-FI204,2)),"")</f>
        <v/>
      </c>
      <c r="FK204" s="174" t="str">
        <f>IF(EO204=1,IF(OR(EW204&gt;=2958465,EY204=0,EY204&lt;=EW204),"",IF(TODAY()&lt;=EW204,0,IF(TODAY()&gt;EY204,1,IFERROR(NETWORKDAYS(EW204,TODAY()-1,Data!$K$4:$K$203)/NETWORKDAYS(EW204,EY204,Data!$K$4:$K$203),"")))),"")</f>
        <v/>
      </c>
      <c r="FL204" t="str">
        <f>IF(EO204=1,IF(AND(EY204&gt;0,EY204&lt;TODAY(),ROUND(EU204,4)&lt;1),2,IF(FK204="",0,IF(ROUND(EU204-FK204,4)&lt;-0.15,1,0))),"")</f>
        <v/>
      </c>
      <c r="FM204">
        <f>IF(OR(FA204="",COUNTIF($FA$4:FA203,FA204)&gt;0),0,MAX(0,IF(FB204="Interne",IF(ISNUMBER(INDEX(Data!$F:$F,204)),INDEX(Data!$F:$F,204),p_HeuresETP),IF(ISNUMBER(INDEX(Data!$I:$I,204-$CD$23)),INDEX(Data!$I:$I,204-$CD$23),p_HeuresETP))-IF(FB204="Interne",IF(ISNUMBER(INDEX(Data!$G:$G,204)),INDEX(Data!$G:$G,204),p_ChargeFixe),IF(ISNUMBER(INDEX(Data!$J:$J,204-$CD$23)),INDEX(Data!$J:$J,204-$CD$23),p_ChargeFixe))))</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9" t="str">
        <f>IF(AND(D205=1,ISNUMBER(INDEX(Charge!$N:$N,ROW()))),INDEX(Charge!$N:$N,ROW()),"")</f>
        <v/>
      </c>
      <c r="J205" s="169"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70">
        <f>IF(OR($I205="",$E205=0),0,IF(OR($J205&lt;W$3,$I205&gt;W$2),0,IF($K205=0,IF(AND($I205&gt;=W$3,$I205&lt;=W$2),$E205,0),$E205*NETWORKDAYS(MAX($I205,W$3),MIN($J205,W$2),Data!$K$4:$K$203)/$K205)))</f>
        <v>0</v>
      </c>
      <c r="X205" s="170">
        <f>IF(OR($I205="",$E205=0),0,IF(OR($J205&lt;X$3,$I205&gt;X$2),0,IF($K205=0,IF(AND($I205&gt;=X$3,$I205&lt;=X$2),$E205,0),$E205*NETWORKDAYS(MAX($I205,X$3),MIN($J205,X$2),Data!$K$4:$K$203)/$K205)))</f>
        <v>0</v>
      </c>
      <c r="Y205" s="170">
        <f>IF(OR($I205="",$E205=0),0,IF(OR($J205&lt;Y$3,$I205&gt;Y$2),0,IF($K205=0,IF(AND($I205&gt;=Y$3,$I205&lt;=Y$2),$E205,0),$E205*NETWORKDAYS(MAX($I205,Y$3),MIN($J205,Y$2),Data!$K$4:$K$203)/$K205)))</f>
        <v>0</v>
      </c>
      <c r="Z205" s="170">
        <f>IF(OR($I205="",$E205=0),0,IF(OR($J205&lt;Z$3,$I205&gt;Z$2),0,IF($K205=0,IF(AND($I205&gt;=Z$3,$I205&lt;=Z$2),$E205,0),$E205*NETWORKDAYS(MAX($I205,Z$3),MIN($J205,Z$2),Data!$K$4:$K$203)/$K205)))</f>
        <v>0</v>
      </c>
      <c r="AA205" s="170">
        <f>IF(OR($I205="",$E205=0),0,IF(OR($J205&lt;AA$3,$I205&gt;AA$2),0,IF($K205=0,IF(AND($I205&gt;=AA$3,$I205&lt;=AA$2),$E205,0),$E205*NETWORKDAYS(MAX($I205,AA$3),MIN($J205,AA$2),Data!$K$4:$K$203)/$K205)))</f>
        <v>0</v>
      </c>
      <c r="AB205" s="170">
        <f>IF(OR($I205="",$E205=0),0,IF(OR($J205&lt;AB$3,$I205&gt;AB$2),0,IF($K205=0,IF(AND($I205&gt;=AB$3,$I205&lt;=AB$2),$E205,0),$E205*NETWORKDAYS(MAX($I205,AB$3),MIN($J205,AB$2),Data!$K$4:$K$203)/$K205)))</f>
        <v>0</v>
      </c>
      <c r="AC205" s="170">
        <f>IF(OR($I205="",$E205=0),0,IF(OR($J205&lt;AC$3,$I205&gt;AC$2),0,IF($K205=0,IF(AND($I205&gt;=AC$3,$I205&lt;=AC$2),$E205,0),$E205*NETWORKDAYS(MAX($I205,AC$3),MIN($J205,AC$2),Data!$K$4:$K$203)/$K205)))</f>
        <v>0</v>
      </c>
      <c r="AD205" s="170">
        <f>IF(OR($I205="",$E205=0),0,IF(OR($J205&lt;AD$3,$I205&gt;AD$2),0,IF($K205=0,IF(AND($I205&gt;=AD$3,$I205&lt;=AD$2),$E205,0),$E205*NETWORKDAYS(MAX($I205,AD$3),MIN($J205,AD$2),Data!$K$4:$K$203)/$K205)))</f>
        <v>0</v>
      </c>
      <c r="AE205" s="170">
        <f>IF(OR($I205="",$E205=0),0,IF(OR($J205&lt;AE$3,$I205&gt;AE$2),0,IF($K205=0,IF(AND($I205&gt;=AE$3,$I205&lt;=AE$2),$E205,0),$E205*NETWORKDAYS(MAX($I205,AE$3),MIN($J205,AE$2),Data!$K$4:$K$203)/$K205)))</f>
        <v>0</v>
      </c>
      <c r="AF205" s="170">
        <f>IF(OR($I205="",$E205=0),0,IF(OR($J205&lt;AF$3,$I205&gt;AF$2),0,IF($K205=0,IF(AND($I205&gt;=AF$3,$I205&lt;=AF$2),$E205,0),$E205*NETWORKDAYS(MAX($I205,AF$3),MIN($J205,AF$2),Data!$K$4:$K$203)/$K205)))</f>
        <v>0</v>
      </c>
      <c r="AG205" s="170">
        <f>IF(OR($I205="",$E205=0),0,IF(OR($J205&lt;AG$3,$I205&gt;AG$2),0,IF($K205=0,IF(AND($I205&gt;=AG$3,$I205&lt;=AG$2),$E205,0),$E205*NETWORKDAYS(MAX($I205,AG$3),MIN($J205,AG$2),Data!$K$4:$K$203)/$K205)))</f>
        <v>0</v>
      </c>
      <c r="AH205" s="170">
        <f>IF(OR($I205="",$E205=0),0,IF(OR($J205&lt;AH$3,$I205&gt;AH$2),0,IF($K205=0,IF(AND($I205&gt;=AH$3,$I205&lt;=AH$2),$E205,0),$E205*NETWORKDAYS(MAX($I205,AH$3),MIN($J205,AH$2),Data!$K$4:$K$203)/$K205)))</f>
        <v>0</v>
      </c>
      <c r="AI205" s="170">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70"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4" t="str">
        <f>IF(EO205=1,IF(FH205&gt;0,FI205/FH205,AVERAGEIF($FF$4:$FF$503,EN205,$C$4:$C$503)),"")</f>
        <v/>
      </c>
      <c r="EV205" s="169">
        <f>IF(ISNUMBER(I205),I205,2958465)</f>
        <v>2958465.0</v>
      </c>
      <c r="EW205" s="169" t="str">
        <f>IF(EO205=1,SUMPRODUCT(MIN(($EN$4:$EN$503=EN205)*$EV$4:$EV$503+($EN$4:$EN$503&lt;&gt;EN205)*2958465)),"")</f>
        <v/>
      </c>
      <c r="EX205" s="169">
        <f>IF(AND(D205=1,ISNUMBER(INDEX(Charge!$F:$F,ROW()))),INDEX(Charge!$F:$F,ROW()),0)</f>
        <v>0.0</v>
      </c>
      <c r="EY205" s="169"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c r="FF205" t="str">
        <f>IF(B205=1,LEFT(SUBSTITUTE(SUBSTITUTE(SUBSTITUTE(TRIM(SUBSTITUTE(INDEX(Charge!$B:$B,ROW()),CHAR(160)," "))&amp;" | "&amp;TRIM(SUBSTITUTE(INDEX(Charge!$C:$C,ROW()),CHAR(160)," "))&amp;" | "&amp;TRIM(SUBSTITUTE(INDEX(Charge!$D:$D,ROW()),CHAR(160)," ")),"~","-"),"*","+"),"?","!"),240),"")</f>
        <v/>
      </c>
      <c r="FG205">
        <f>IF(B205=1,MAX(0,N(INDEX(Charge!$M:$M,ROW()))),0)</f>
        <v>0</v>
      </c>
      <c r="FH205" s="170" t="str">
        <f>IF(EO205=1,ROUND(SUMIF($FF$4:$FF$503,EN205,$FG$4:$FG$503),2),"")</f>
        <v/>
      </c>
      <c r="FI205" s="170" t="str">
        <f>IF(EO205=1,ROUND(SUMPRODUCT(($FF$4:$FF$503=EN205)*$FG$4:$FG$503*$C$4:$C$503),2),"")</f>
        <v/>
      </c>
      <c r="FJ205" s="170" t="str">
        <f>IF(EO205=1,MAX(0,ROUND(FH205-FI205,2)),"")</f>
        <v/>
      </c>
      <c r="FK205" s="174" t="str">
        <f>IF(EO205=1,IF(OR(EW205&gt;=2958465,EY205=0,EY205&lt;=EW205),"",IF(TODAY()&lt;=EW205,0,IF(TODAY()&gt;EY205,1,IFERROR(NETWORKDAYS(EW205,TODAY()-1,Data!$K$4:$K$203)/NETWORKDAYS(EW205,EY205,Data!$K$4:$K$203),"")))),"")</f>
        <v/>
      </c>
      <c r="FL205" t="str">
        <f>IF(EO205=1,IF(AND(EY205&gt;0,EY205&lt;TODAY(),ROUND(EU205,4)&lt;1),2,IF(FK205="",0,IF(ROUND(EU205-FK205,4)&lt;-0.15,1,0))),"")</f>
        <v/>
      </c>
      <c r="FM205">
        <f>IF(OR(FA205="",COUNTIF($FA$4:FA204,FA205)&gt;0),0,MAX(0,IF(FB205="Interne",IF(ISNUMBER(INDEX(Data!$F:$F,205)),INDEX(Data!$F:$F,205),p_HeuresETP),IF(ISNUMBER(INDEX(Data!$I:$I,205-$CD$23)),INDEX(Data!$I:$I,205-$CD$23),p_HeuresETP))-IF(FB205="Interne",IF(ISNUMBER(INDEX(Data!$G:$G,205)),INDEX(Data!$G:$G,205),p_ChargeFixe),IF(ISNUMBER(INDEX(Data!$J:$J,205-$CD$23)),INDEX(Data!$J:$J,205-$CD$23),p_ChargeFixe))))</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9" t="str">
        <f>IF(AND(D206=1,ISNUMBER(INDEX(Charge!$N:$N,ROW()))),INDEX(Charge!$N:$N,ROW()),"")</f>
        <v/>
      </c>
      <c r="J206" s="169"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70">
        <f>IF(OR($I206="",$E206=0),0,IF(OR($J206&lt;W$3,$I206&gt;W$2),0,IF($K206=0,IF(AND($I206&gt;=W$3,$I206&lt;=W$2),$E206,0),$E206*NETWORKDAYS(MAX($I206,W$3),MIN($J206,W$2),Data!$K$4:$K$203)/$K206)))</f>
        <v>0</v>
      </c>
      <c r="X206" s="170">
        <f>IF(OR($I206="",$E206=0),0,IF(OR($J206&lt;X$3,$I206&gt;X$2),0,IF($K206=0,IF(AND($I206&gt;=X$3,$I206&lt;=X$2),$E206,0),$E206*NETWORKDAYS(MAX($I206,X$3),MIN($J206,X$2),Data!$K$4:$K$203)/$K206)))</f>
        <v>0</v>
      </c>
      <c r="Y206" s="170">
        <f>IF(OR($I206="",$E206=0),0,IF(OR($J206&lt;Y$3,$I206&gt;Y$2),0,IF($K206=0,IF(AND($I206&gt;=Y$3,$I206&lt;=Y$2),$E206,0),$E206*NETWORKDAYS(MAX($I206,Y$3),MIN($J206,Y$2),Data!$K$4:$K$203)/$K206)))</f>
        <v>0</v>
      </c>
      <c r="Z206" s="170">
        <f>IF(OR($I206="",$E206=0),0,IF(OR($J206&lt;Z$3,$I206&gt;Z$2),0,IF($K206=0,IF(AND($I206&gt;=Z$3,$I206&lt;=Z$2),$E206,0),$E206*NETWORKDAYS(MAX($I206,Z$3),MIN($J206,Z$2),Data!$K$4:$K$203)/$K206)))</f>
        <v>0</v>
      </c>
      <c r="AA206" s="170">
        <f>IF(OR($I206="",$E206=0),0,IF(OR($J206&lt;AA$3,$I206&gt;AA$2),0,IF($K206=0,IF(AND($I206&gt;=AA$3,$I206&lt;=AA$2),$E206,0),$E206*NETWORKDAYS(MAX($I206,AA$3),MIN($J206,AA$2),Data!$K$4:$K$203)/$K206)))</f>
        <v>0</v>
      </c>
      <c r="AB206" s="170">
        <f>IF(OR($I206="",$E206=0),0,IF(OR($J206&lt;AB$3,$I206&gt;AB$2),0,IF($K206=0,IF(AND($I206&gt;=AB$3,$I206&lt;=AB$2),$E206,0),$E206*NETWORKDAYS(MAX($I206,AB$3),MIN($J206,AB$2),Data!$K$4:$K$203)/$K206)))</f>
        <v>0</v>
      </c>
      <c r="AC206" s="170">
        <f>IF(OR($I206="",$E206=0),0,IF(OR($J206&lt;AC$3,$I206&gt;AC$2),0,IF($K206=0,IF(AND($I206&gt;=AC$3,$I206&lt;=AC$2),$E206,0),$E206*NETWORKDAYS(MAX($I206,AC$3),MIN($J206,AC$2),Data!$K$4:$K$203)/$K206)))</f>
        <v>0</v>
      </c>
      <c r="AD206" s="170">
        <f>IF(OR($I206="",$E206=0),0,IF(OR($J206&lt;AD$3,$I206&gt;AD$2),0,IF($K206=0,IF(AND($I206&gt;=AD$3,$I206&lt;=AD$2),$E206,0),$E206*NETWORKDAYS(MAX($I206,AD$3),MIN($J206,AD$2),Data!$K$4:$K$203)/$K206)))</f>
        <v>0</v>
      </c>
      <c r="AE206" s="170">
        <f>IF(OR($I206="",$E206=0),0,IF(OR($J206&lt;AE$3,$I206&gt;AE$2),0,IF($K206=0,IF(AND($I206&gt;=AE$3,$I206&lt;=AE$2),$E206,0),$E206*NETWORKDAYS(MAX($I206,AE$3),MIN($J206,AE$2),Data!$K$4:$K$203)/$K206)))</f>
        <v>0</v>
      </c>
      <c r="AF206" s="170">
        <f>IF(OR($I206="",$E206=0),0,IF(OR($J206&lt;AF$3,$I206&gt;AF$2),0,IF($K206=0,IF(AND($I206&gt;=AF$3,$I206&lt;=AF$2),$E206,0),$E206*NETWORKDAYS(MAX($I206,AF$3),MIN($J206,AF$2),Data!$K$4:$K$203)/$K206)))</f>
        <v>0</v>
      </c>
      <c r="AG206" s="170">
        <f>IF(OR($I206="",$E206=0),0,IF(OR($J206&lt;AG$3,$I206&gt;AG$2),0,IF($K206=0,IF(AND($I206&gt;=AG$3,$I206&lt;=AG$2),$E206,0),$E206*NETWORKDAYS(MAX($I206,AG$3),MIN($J206,AG$2),Data!$K$4:$K$203)/$K206)))</f>
        <v>0</v>
      </c>
      <c r="AH206" s="170">
        <f>IF(OR($I206="",$E206=0),0,IF(OR($J206&lt;AH$3,$I206&gt;AH$2),0,IF($K206=0,IF(AND($I206&gt;=AH$3,$I206&lt;=AH$2),$E206,0),$E206*NETWORKDAYS(MAX($I206,AH$3),MIN($J206,AH$2),Data!$K$4:$K$203)/$K206)))</f>
        <v>0</v>
      </c>
      <c r="AI206" s="170">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70"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4" t="str">
        <f>IF(EO206=1,IF(FH206&gt;0,FI206/FH206,AVERAGEIF($FF$4:$FF$503,EN206,$C$4:$C$503)),"")</f>
        <v/>
      </c>
      <c r="EV206" s="169">
        <f>IF(ISNUMBER(I206),I206,2958465)</f>
        <v>2958465.0</v>
      </c>
      <c r="EW206" s="169" t="str">
        <f>IF(EO206=1,SUMPRODUCT(MIN(($EN$4:$EN$503=EN206)*$EV$4:$EV$503+($EN$4:$EN$503&lt;&gt;EN206)*2958465)),"")</f>
        <v/>
      </c>
      <c r="EX206" s="169">
        <f>IF(AND(D206=1,ISNUMBER(INDEX(Charge!$F:$F,ROW()))),INDEX(Charge!$F:$F,ROW()),0)</f>
        <v>0.0</v>
      </c>
      <c r="EY206" s="169"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c r="FF206" t="str">
        <f>IF(B206=1,LEFT(SUBSTITUTE(SUBSTITUTE(SUBSTITUTE(TRIM(SUBSTITUTE(INDEX(Charge!$B:$B,ROW()),CHAR(160)," "))&amp;" | "&amp;TRIM(SUBSTITUTE(INDEX(Charge!$C:$C,ROW()),CHAR(160)," "))&amp;" | "&amp;TRIM(SUBSTITUTE(INDEX(Charge!$D:$D,ROW()),CHAR(160)," ")),"~","-"),"*","+"),"?","!"),240),"")</f>
        <v/>
      </c>
      <c r="FG206">
        <f>IF(B206=1,MAX(0,N(INDEX(Charge!$M:$M,ROW()))),0)</f>
        <v>0</v>
      </c>
      <c r="FH206" s="170" t="str">
        <f>IF(EO206=1,ROUND(SUMIF($FF$4:$FF$503,EN206,$FG$4:$FG$503),2),"")</f>
        <v/>
      </c>
      <c r="FI206" s="170" t="str">
        <f>IF(EO206=1,ROUND(SUMPRODUCT(($FF$4:$FF$503=EN206)*$FG$4:$FG$503*$C$4:$C$503),2),"")</f>
        <v/>
      </c>
      <c r="FJ206" s="170" t="str">
        <f>IF(EO206=1,MAX(0,ROUND(FH206-FI206,2)),"")</f>
        <v/>
      </c>
      <c r="FK206" s="174" t="str">
        <f>IF(EO206=1,IF(OR(EW206&gt;=2958465,EY206=0,EY206&lt;=EW206),"",IF(TODAY()&lt;=EW206,0,IF(TODAY()&gt;EY206,1,IFERROR(NETWORKDAYS(EW206,TODAY()-1,Data!$K$4:$K$203)/NETWORKDAYS(EW206,EY206,Data!$K$4:$K$203),"")))),"")</f>
        <v/>
      </c>
      <c r="FL206" t="str">
        <f>IF(EO206=1,IF(AND(EY206&gt;0,EY206&lt;TODAY(),ROUND(EU206,4)&lt;1),2,IF(FK206="",0,IF(ROUND(EU206-FK206,4)&lt;-0.15,1,0))),"")</f>
        <v/>
      </c>
      <c r="FM206">
        <f>IF(OR(FA206="",COUNTIF($FA$4:FA205,FA206)&gt;0),0,MAX(0,IF(FB206="Interne",IF(ISNUMBER(INDEX(Data!$F:$F,206)),INDEX(Data!$F:$F,206),p_HeuresETP),IF(ISNUMBER(INDEX(Data!$I:$I,206-$CD$23)),INDEX(Data!$I:$I,206-$CD$23),p_HeuresETP))-IF(FB206="Interne",IF(ISNUMBER(INDEX(Data!$G:$G,206)),INDEX(Data!$G:$G,206),p_ChargeFixe),IF(ISNUMBER(INDEX(Data!$J:$J,206-$CD$23)),INDEX(Data!$J:$J,206-$CD$23),p_ChargeFixe))))</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9" t="str">
        <f>IF(AND(D207=1,ISNUMBER(INDEX(Charge!$N:$N,ROW()))),INDEX(Charge!$N:$N,ROW()),"")</f>
        <v/>
      </c>
      <c r="J207" s="169"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70">
        <f>IF(OR($I207="",$E207=0),0,IF(OR($J207&lt;W$3,$I207&gt;W$2),0,IF($K207=0,IF(AND($I207&gt;=W$3,$I207&lt;=W$2),$E207,0),$E207*NETWORKDAYS(MAX($I207,W$3),MIN($J207,W$2),Data!$K$4:$K$203)/$K207)))</f>
        <v>0</v>
      </c>
      <c r="X207" s="170">
        <f>IF(OR($I207="",$E207=0),0,IF(OR($J207&lt;X$3,$I207&gt;X$2),0,IF($K207=0,IF(AND($I207&gt;=X$3,$I207&lt;=X$2),$E207,0),$E207*NETWORKDAYS(MAX($I207,X$3),MIN($J207,X$2),Data!$K$4:$K$203)/$K207)))</f>
        <v>0</v>
      </c>
      <c r="Y207" s="170">
        <f>IF(OR($I207="",$E207=0),0,IF(OR($J207&lt;Y$3,$I207&gt;Y$2),0,IF($K207=0,IF(AND($I207&gt;=Y$3,$I207&lt;=Y$2),$E207,0),$E207*NETWORKDAYS(MAX($I207,Y$3),MIN($J207,Y$2),Data!$K$4:$K$203)/$K207)))</f>
        <v>0</v>
      </c>
      <c r="Z207" s="170">
        <f>IF(OR($I207="",$E207=0),0,IF(OR($J207&lt;Z$3,$I207&gt;Z$2),0,IF($K207=0,IF(AND($I207&gt;=Z$3,$I207&lt;=Z$2),$E207,0),$E207*NETWORKDAYS(MAX($I207,Z$3),MIN($J207,Z$2),Data!$K$4:$K$203)/$K207)))</f>
        <v>0</v>
      </c>
      <c r="AA207" s="170">
        <f>IF(OR($I207="",$E207=0),0,IF(OR($J207&lt;AA$3,$I207&gt;AA$2),0,IF($K207=0,IF(AND($I207&gt;=AA$3,$I207&lt;=AA$2),$E207,0),$E207*NETWORKDAYS(MAX($I207,AA$3),MIN($J207,AA$2),Data!$K$4:$K$203)/$K207)))</f>
        <v>0</v>
      </c>
      <c r="AB207" s="170">
        <f>IF(OR($I207="",$E207=0),0,IF(OR($J207&lt;AB$3,$I207&gt;AB$2),0,IF($K207=0,IF(AND($I207&gt;=AB$3,$I207&lt;=AB$2),$E207,0),$E207*NETWORKDAYS(MAX($I207,AB$3),MIN($J207,AB$2),Data!$K$4:$K$203)/$K207)))</f>
        <v>0</v>
      </c>
      <c r="AC207" s="170">
        <f>IF(OR($I207="",$E207=0),0,IF(OR($J207&lt;AC$3,$I207&gt;AC$2),0,IF($K207=0,IF(AND($I207&gt;=AC$3,$I207&lt;=AC$2),$E207,0),$E207*NETWORKDAYS(MAX($I207,AC$3),MIN($J207,AC$2),Data!$K$4:$K$203)/$K207)))</f>
        <v>0</v>
      </c>
      <c r="AD207" s="170">
        <f>IF(OR($I207="",$E207=0),0,IF(OR($J207&lt;AD$3,$I207&gt;AD$2),0,IF($K207=0,IF(AND($I207&gt;=AD$3,$I207&lt;=AD$2),$E207,0),$E207*NETWORKDAYS(MAX($I207,AD$3),MIN($J207,AD$2),Data!$K$4:$K$203)/$K207)))</f>
        <v>0</v>
      </c>
      <c r="AE207" s="170">
        <f>IF(OR($I207="",$E207=0),0,IF(OR($J207&lt;AE$3,$I207&gt;AE$2),0,IF($K207=0,IF(AND($I207&gt;=AE$3,$I207&lt;=AE$2),$E207,0),$E207*NETWORKDAYS(MAX($I207,AE$3),MIN($J207,AE$2),Data!$K$4:$K$203)/$K207)))</f>
        <v>0</v>
      </c>
      <c r="AF207" s="170">
        <f>IF(OR($I207="",$E207=0),0,IF(OR($J207&lt;AF$3,$I207&gt;AF$2),0,IF($K207=0,IF(AND($I207&gt;=AF$3,$I207&lt;=AF$2),$E207,0),$E207*NETWORKDAYS(MAX($I207,AF$3),MIN($J207,AF$2),Data!$K$4:$K$203)/$K207)))</f>
        <v>0</v>
      </c>
      <c r="AG207" s="170">
        <f>IF(OR($I207="",$E207=0),0,IF(OR($J207&lt;AG$3,$I207&gt;AG$2),0,IF($K207=0,IF(AND($I207&gt;=AG$3,$I207&lt;=AG$2),$E207,0),$E207*NETWORKDAYS(MAX($I207,AG$3),MIN($J207,AG$2),Data!$K$4:$K$203)/$K207)))</f>
        <v>0</v>
      </c>
      <c r="AH207" s="170">
        <f>IF(OR($I207="",$E207=0),0,IF(OR($J207&lt;AH$3,$I207&gt;AH$2),0,IF($K207=0,IF(AND($I207&gt;=AH$3,$I207&lt;=AH$2),$E207,0),$E207*NETWORKDAYS(MAX($I207,AH$3),MIN($J207,AH$2),Data!$K$4:$K$203)/$K207)))</f>
        <v>0</v>
      </c>
      <c r="AI207" s="170">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70"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4" t="str">
        <f>IF(EO207=1,IF(FH207&gt;0,FI207/FH207,AVERAGEIF($FF$4:$FF$503,EN207,$C$4:$C$503)),"")</f>
        <v/>
      </c>
      <c r="EV207" s="169">
        <f>IF(ISNUMBER(I207),I207,2958465)</f>
        <v>2958465.0</v>
      </c>
      <c r="EW207" s="169" t="str">
        <f>IF(EO207=1,SUMPRODUCT(MIN(($EN$4:$EN$503=EN207)*$EV$4:$EV$503+($EN$4:$EN$503&lt;&gt;EN207)*2958465)),"")</f>
        <v/>
      </c>
      <c r="EX207" s="169">
        <f>IF(AND(D207=1,ISNUMBER(INDEX(Charge!$F:$F,ROW()))),INDEX(Charge!$F:$F,ROW()),0)</f>
        <v>0.0</v>
      </c>
      <c r="EY207" s="169"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c r="FF207" t="str">
        <f>IF(B207=1,LEFT(SUBSTITUTE(SUBSTITUTE(SUBSTITUTE(TRIM(SUBSTITUTE(INDEX(Charge!$B:$B,ROW()),CHAR(160)," "))&amp;" | "&amp;TRIM(SUBSTITUTE(INDEX(Charge!$C:$C,ROW()),CHAR(160)," "))&amp;" | "&amp;TRIM(SUBSTITUTE(INDEX(Charge!$D:$D,ROW()),CHAR(160)," ")),"~","-"),"*","+"),"?","!"),240),"")</f>
        <v/>
      </c>
      <c r="FG207">
        <f>IF(B207=1,MAX(0,N(INDEX(Charge!$M:$M,ROW()))),0)</f>
        <v>0</v>
      </c>
      <c r="FH207" s="170" t="str">
        <f>IF(EO207=1,ROUND(SUMIF($FF$4:$FF$503,EN207,$FG$4:$FG$503),2),"")</f>
        <v/>
      </c>
      <c r="FI207" s="170" t="str">
        <f>IF(EO207=1,ROUND(SUMPRODUCT(($FF$4:$FF$503=EN207)*$FG$4:$FG$503*$C$4:$C$503),2),"")</f>
        <v/>
      </c>
      <c r="FJ207" s="170" t="str">
        <f>IF(EO207=1,MAX(0,ROUND(FH207-FI207,2)),"")</f>
        <v/>
      </c>
      <c r="FK207" s="174" t="str">
        <f>IF(EO207=1,IF(OR(EW207&gt;=2958465,EY207=0,EY207&lt;=EW207),"",IF(TODAY()&lt;=EW207,0,IF(TODAY()&gt;EY207,1,IFERROR(NETWORKDAYS(EW207,TODAY()-1,Data!$K$4:$K$203)/NETWORKDAYS(EW207,EY207,Data!$K$4:$K$203),"")))),"")</f>
        <v/>
      </c>
      <c r="FL207" t="str">
        <f>IF(EO207=1,IF(AND(EY207&gt;0,EY207&lt;TODAY(),ROUND(EU207,4)&lt;1),2,IF(FK207="",0,IF(ROUND(EU207-FK207,4)&lt;-0.15,1,0))),"")</f>
        <v/>
      </c>
      <c r="FM207">
        <f>IF(OR(FA207="",COUNTIF($FA$4:FA206,FA207)&gt;0),0,MAX(0,IF(FB207="Interne",IF(ISNUMBER(INDEX(Data!$F:$F,207)),INDEX(Data!$F:$F,207),p_HeuresETP),IF(ISNUMBER(INDEX(Data!$I:$I,207-$CD$23)),INDEX(Data!$I:$I,207-$CD$23),p_HeuresETP))-IF(FB207="Interne",IF(ISNUMBER(INDEX(Data!$G:$G,207)),INDEX(Data!$G:$G,207),p_ChargeFixe),IF(ISNUMBER(INDEX(Data!$J:$J,207-$CD$23)),INDEX(Data!$J:$J,207-$CD$23),p_ChargeFixe))))</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9" t="str">
        <f>IF(AND(D208=1,ISNUMBER(INDEX(Charge!$N:$N,ROW()))),INDEX(Charge!$N:$N,ROW()),"")</f>
        <v/>
      </c>
      <c r="J208" s="169"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70">
        <f>IF(OR($I208="",$E208=0),0,IF(OR($J208&lt;W$3,$I208&gt;W$2),0,IF($K208=0,IF(AND($I208&gt;=W$3,$I208&lt;=W$2),$E208,0),$E208*NETWORKDAYS(MAX($I208,W$3),MIN($J208,W$2),Data!$K$4:$K$203)/$K208)))</f>
        <v>0</v>
      </c>
      <c r="X208" s="170">
        <f>IF(OR($I208="",$E208=0),0,IF(OR($J208&lt;X$3,$I208&gt;X$2),0,IF($K208=0,IF(AND($I208&gt;=X$3,$I208&lt;=X$2),$E208,0),$E208*NETWORKDAYS(MAX($I208,X$3),MIN($J208,X$2),Data!$K$4:$K$203)/$K208)))</f>
        <v>0</v>
      </c>
      <c r="Y208" s="170">
        <f>IF(OR($I208="",$E208=0),0,IF(OR($J208&lt;Y$3,$I208&gt;Y$2),0,IF($K208=0,IF(AND($I208&gt;=Y$3,$I208&lt;=Y$2),$E208,0),$E208*NETWORKDAYS(MAX($I208,Y$3),MIN($J208,Y$2),Data!$K$4:$K$203)/$K208)))</f>
        <v>0</v>
      </c>
      <c r="Z208" s="170">
        <f>IF(OR($I208="",$E208=0),0,IF(OR($J208&lt;Z$3,$I208&gt;Z$2),0,IF($K208=0,IF(AND($I208&gt;=Z$3,$I208&lt;=Z$2),$E208,0),$E208*NETWORKDAYS(MAX($I208,Z$3),MIN($J208,Z$2),Data!$K$4:$K$203)/$K208)))</f>
        <v>0</v>
      </c>
      <c r="AA208" s="170">
        <f>IF(OR($I208="",$E208=0),0,IF(OR($J208&lt;AA$3,$I208&gt;AA$2),0,IF($K208=0,IF(AND($I208&gt;=AA$3,$I208&lt;=AA$2),$E208,0),$E208*NETWORKDAYS(MAX($I208,AA$3),MIN($J208,AA$2),Data!$K$4:$K$203)/$K208)))</f>
        <v>0</v>
      </c>
      <c r="AB208" s="170">
        <f>IF(OR($I208="",$E208=0),0,IF(OR($J208&lt;AB$3,$I208&gt;AB$2),0,IF($K208=0,IF(AND($I208&gt;=AB$3,$I208&lt;=AB$2),$E208,0),$E208*NETWORKDAYS(MAX($I208,AB$3),MIN($J208,AB$2),Data!$K$4:$K$203)/$K208)))</f>
        <v>0</v>
      </c>
      <c r="AC208" s="170">
        <f>IF(OR($I208="",$E208=0),0,IF(OR($J208&lt;AC$3,$I208&gt;AC$2),0,IF($K208=0,IF(AND($I208&gt;=AC$3,$I208&lt;=AC$2),$E208,0),$E208*NETWORKDAYS(MAX($I208,AC$3),MIN($J208,AC$2),Data!$K$4:$K$203)/$K208)))</f>
        <v>0</v>
      </c>
      <c r="AD208" s="170">
        <f>IF(OR($I208="",$E208=0),0,IF(OR($J208&lt;AD$3,$I208&gt;AD$2),0,IF($K208=0,IF(AND($I208&gt;=AD$3,$I208&lt;=AD$2),$E208,0),$E208*NETWORKDAYS(MAX($I208,AD$3),MIN($J208,AD$2),Data!$K$4:$K$203)/$K208)))</f>
        <v>0</v>
      </c>
      <c r="AE208" s="170">
        <f>IF(OR($I208="",$E208=0),0,IF(OR($J208&lt;AE$3,$I208&gt;AE$2),0,IF($K208=0,IF(AND($I208&gt;=AE$3,$I208&lt;=AE$2),$E208,0),$E208*NETWORKDAYS(MAX($I208,AE$3),MIN($J208,AE$2),Data!$K$4:$K$203)/$K208)))</f>
        <v>0</v>
      </c>
      <c r="AF208" s="170">
        <f>IF(OR($I208="",$E208=0),0,IF(OR($J208&lt;AF$3,$I208&gt;AF$2),0,IF($K208=0,IF(AND($I208&gt;=AF$3,$I208&lt;=AF$2),$E208,0),$E208*NETWORKDAYS(MAX($I208,AF$3),MIN($J208,AF$2),Data!$K$4:$K$203)/$K208)))</f>
        <v>0</v>
      </c>
      <c r="AG208" s="170">
        <f>IF(OR($I208="",$E208=0),0,IF(OR($J208&lt;AG$3,$I208&gt;AG$2),0,IF($K208=0,IF(AND($I208&gt;=AG$3,$I208&lt;=AG$2),$E208,0),$E208*NETWORKDAYS(MAX($I208,AG$3),MIN($J208,AG$2),Data!$K$4:$K$203)/$K208)))</f>
        <v>0</v>
      </c>
      <c r="AH208" s="170">
        <f>IF(OR($I208="",$E208=0),0,IF(OR($J208&lt;AH$3,$I208&gt;AH$2),0,IF($K208=0,IF(AND($I208&gt;=AH$3,$I208&lt;=AH$2),$E208,0),$E208*NETWORKDAYS(MAX($I208,AH$3),MIN($J208,AH$2),Data!$K$4:$K$203)/$K208)))</f>
        <v>0</v>
      </c>
      <c r="AI208" s="170">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70"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4" t="str">
        <f>IF(EO208=1,IF(FH208&gt;0,FI208/FH208,AVERAGEIF($FF$4:$FF$503,EN208,$C$4:$C$503)),"")</f>
        <v/>
      </c>
      <c r="EV208" s="169">
        <f>IF(ISNUMBER(I208),I208,2958465)</f>
        <v>2958465.0</v>
      </c>
      <c r="EW208" s="169" t="str">
        <f>IF(EO208=1,SUMPRODUCT(MIN(($EN$4:$EN$503=EN208)*$EV$4:$EV$503+($EN$4:$EN$503&lt;&gt;EN208)*2958465)),"")</f>
        <v/>
      </c>
      <c r="EX208" s="169">
        <f>IF(AND(D208=1,ISNUMBER(INDEX(Charge!$F:$F,ROW()))),INDEX(Charge!$F:$F,ROW()),0)</f>
        <v>0.0</v>
      </c>
      <c r="EY208" s="169"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c r="FF208" t="str">
        <f>IF(B208=1,LEFT(SUBSTITUTE(SUBSTITUTE(SUBSTITUTE(TRIM(SUBSTITUTE(INDEX(Charge!$B:$B,ROW()),CHAR(160)," "))&amp;" | "&amp;TRIM(SUBSTITUTE(INDEX(Charge!$C:$C,ROW()),CHAR(160)," "))&amp;" | "&amp;TRIM(SUBSTITUTE(INDEX(Charge!$D:$D,ROW()),CHAR(160)," ")),"~","-"),"*","+"),"?","!"),240),"")</f>
        <v/>
      </c>
      <c r="FG208">
        <f>IF(B208=1,MAX(0,N(INDEX(Charge!$M:$M,ROW()))),0)</f>
        <v>0</v>
      </c>
      <c r="FH208" s="170" t="str">
        <f>IF(EO208=1,ROUND(SUMIF($FF$4:$FF$503,EN208,$FG$4:$FG$503),2),"")</f>
        <v/>
      </c>
      <c r="FI208" s="170" t="str">
        <f>IF(EO208=1,ROUND(SUMPRODUCT(($FF$4:$FF$503=EN208)*$FG$4:$FG$503*$C$4:$C$503),2),"")</f>
        <v/>
      </c>
      <c r="FJ208" s="170" t="str">
        <f>IF(EO208=1,MAX(0,ROUND(FH208-FI208,2)),"")</f>
        <v/>
      </c>
      <c r="FK208" s="174" t="str">
        <f>IF(EO208=1,IF(OR(EW208&gt;=2958465,EY208=0,EY208&lt;=EW208),"",IF(TODAY()&lt;=EW208,0,IF(TODAY()&gt;EY208,1,IFERROR(NETWORKDAYS(EW208,TODAY()-1,Data!$K$4:$K$203)/NETWORKDAYS(EW208,EY208,Data!$K$4:$K$203),"")))),"")</f>
        <v/>
      </c>
      <c r="FL208" t="str">
        <f>IF(EO208=1,IF(AND(EY208&gt;0,EY208&lt;TODAY(),ROUND(EU208,4)&lt;1),2,IF(FK208="",0,IF(ROUND(EU208-FK208,4)&lt;-0.15,1,0))),"")</f>
        <v/>
      </c>
      <c r="FM208">
        <f>IF(OR(FA208="",COUNTIF($FA$4:FA207,FA208)&gt;0),0,MAX(0,IF(FB208="Interne",IF(ISNUMBER(INDEX(Data!$F:$F,208)),INDEX(Data!$F:$F,208),p_HeuresETP),IF(ISNUMBER(INDEX(Data!$I:$I,208-$CD$23)),INDEX(Data!$I:$I,208-$CD$23),p_HeuresETP))-IF(FB208="Interne",IF(ISNUMBER(INDEX(Data!$G:$G,208)),INDEX(Data!$G:$G,208),p_ChargeFixe),IF(ISNUMBER(INDEX(Data!$J:$J,208-$CD$23)),INDEX(Data!$J:$J,208-$CD$23),p_ChargeFixe))))</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9" t="str">
        <f>IF(AND(D209=1,ISNUMBER(INDEX(Charge!$N:$N,ROW()))),INDEX(Charge!$N:$N,ROW()),"")</f>
        <v/>
      </c>
      <c r="J209" s="169"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70">
        <f>IF(OR($I209="",$E209=0),0,IF(OR($J209&lt;W$3,$I209&gt;W$2),0,IF($K209=0,IF(AND($I209&gt;=W$3,$I209&lt;=W$2),$E209,0),$E209*NETWORKDAYS(MAX($I209,W$3),MIN($J209,W$2),Data!$K$4:$K$203)/$K209)))</f>
        <v>0</v>
      </c>
      <c r="X209" s="170">
        <f>IF(OR($I209="",$E209=0),0,IF(OR($J209&lt;X$3,$I209&gt;X$2),0,IF($K209=0,IF(AND($I209&gt;=X$3,$I209&lt;=X$2),$E209,0),$E209*NETWORKDAYS(MAX($I209,X$3),MIN($J209,X$2),Data!$K$4:$K$203)/$K209)))</f>
        <v>0</v>
      </c>
      <c r="Y209" s="170">
        <f>IF(OR($I209="",$E209=0),0,IF(OR($J209&lt;Y$3,$I209&gt;Y$2),0,IF($K209=0,IF(AND($I209&gt;=Y$3,$I209&lt;=Y$2),$E209,0),$E209*NETWORKDAYS(MAX($I209,Y$3),MIN($J209,Y$2),Data!$K$4:$K$203)/$K209)))</f>
        <v>0</v>
      </c>
      <c r="Z209" s="170">
        <f>IF(OR($I209="",$E209=0),0,IF(OR($J209&lt;Z$3,$I209&gt;Z$2),0,IF($K209=0,IF(AND($I209&gt;=Z$3,$I209&lt;=Z$2),$E209,0),$E209*NETWORKDAYS(MAX($I209,Z$3),MIN($J209,Z$2),Data!$K$4:$K$203)/$K209)))</f>
        <v>0</v>
      </c>
      <c r="AA209" s="170">
        <f>IF(OR($I209="",$E209=0),0,IF(OR($J209&lt;AA$3,$I209&gt;AA$2),0,IF($K209=0,IF(AND($I209&gt;=AA$3,$I209&lt;=AA$2),$E209,0),$E209*NETWORKDAYS(MAX($I209,AA$3),MIN($J209,AA$2),Data!$K$4:$K$203)/$K209)))</f>
        <v>0</v>
      </c>
      <c r="AB209" s="170">
        <f>IF(OR($I209="",$E209=0),0,IF(OR($J209&lt;AB$3,$I209&gt;AB$2),0,IF($K209=0,IF(AND($I209&gt;=AB$3,$I209&lt;=AB$2),$E209,0),$E209*NETWORKDAYS(MAX($I209,AB$3),MIN($J209,AB$2),Data!$K$4:$K$203)/$K209)))</f>
        <v>0</v>
      </c>
      <c r="AC209" s="170">
        <f>IF(OR($I209="",$E209=0),0,IF(OR($J209&lt;AC$3,$I209&gt;AC$2),0,IF($K209=0,IF(AND($I209&gt;=AC$3,$I209&lt;=AC$2),$E209,0),$E209*NETWORKDAYS(MAX($I209,AC$3),MIN($J209,AC$2),Data!$K$4:$K$203)/$K209)))</f>
        <v>0</v>
      </c>
      <c r="AD209" s="170">
        <f>IF(OR($I209="",$E209=0),0,IF(OR($J209&lt;AD$3,$I209&gt;AD$2),0,IF($K209=0,IF(AND($I209&gt;=AD$3,$I209&lt;=AD$2),$E209,0),$E209*NETWORKDAYS(MAX($I209,AD$3),MIN($J209,AD$2),Data!$K$4:$K$203)/$K209)))</f>
        <v>0</v>
      </c>
      <c r="AE209" s="170">
        <f>IF(OR($I209="",$E209=0),0,IF(OR($J209&lt;AE$3,$I209&gt;AE$2),0,IF($K209=0,IF(AND($I209&gt;=AE$3,$I209&lt;=AE$2),$E209,0),$E209*NETWORKDAYS(MAX($I209,AE$3),MIN($J209,AE$2),Data!$K$4:$K$203)/$K209)))</f>
        <v>0</v>
      </c>
      <c r="AF209" s="170">
        <f>IF(OR($I209="",$E209=0),0,IF(OR($J209&lt;AF$3,$I209&gt;AF$2),0,IF($K209=0,IF(AND($I209&gt;=AF$3,$I209&lt;=AF$2),$E209,0),$E209*NETWORKDAYS(MAX($I209,AF$3),MIN($J209,AF$2),Data!$K$4:$K$203)/$K209)))</f>
        <v>0</v>
      </c>
      <c r="AG209" s="170">
        <f>IF(OR($I209="",$E209=0),0,IF(OR($J209&lt;AG$3,$I209&gt;AG$2),0,IF($K209=0,IF(AND($I209&gt;=AG$3,$I209&lt;=AG$2),$E209,0),$E209*NETWORKDAYS(MAX($I209,AG$3),MIN($J209,AG$2),Data!$K$4:$K$203)/$K209)))</f>
        <v>0</v>
      </c>
      <c r="AH209" s="170">
        <f>IF(OR($I209="",$E209=0),0,IF(OR($J209&lt;AH$3,$I209&gt;AH$2),0,IF($K209=0,IF(AND($I209&gt;=AH$3,$I209&lt;=AH$2),$E209,0),$E209*NETWORKDAYS(MAX($I209,AH$3),MIN($J209,AH$2),Data!$K$4:$K$203)/$K209)))</f>
        <v>0</v>
      </c>
      <c r="AI209" s="170">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70"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4" t="str">
        <f>IF(EO209=1,IF(FH209&gt;0,FI209/FH209,AVERAGEIF($FF$4:$FF$503,EN209,$C$4:$C$503)),"")</f>
        <v/>
      </c>
      <c r="EV209" s="169">
        <f>IF(ISNUMBER(I209),I209,2958465)</f>
        <v>2958465.0</v>
      </c>
      <c r="EW209" s="169" t="str">
        <f>IF(EO209=1,SUMPRODUCT(MIN(($EN$4:$EN$503=EN209)*$EV$4:$EV$503+($EN$4:$EN$503&lt;&gt;EN209)*2958465)),"")</f>
        <v/>
      </c>
      <c r="EX209" s="169">
        <f>IF(AND(D209=1,ISNUMBER(INDEX(Charge!$F:$F,ROW()))),INDEX(Charge!$F:$F,ROW()),0)</f>
        <v>0.0</v>
      </c>
      <c r="EY209" s="169"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c r="FF209" t="str">
        <f>IF(B209=1,LEFT(SUBSTITUTE(SUBSTITUTE(SUBSTITUTE(TRIM(SUBSTITUTE(INDEX(Charge!$B:$B,ROW()),CHAR(160)," "))&amp;" | "&amp;TRIM(SUBSTITUTE(INDEX(Charge!$C:$C,ROW()),CHAR(160)," "))&amp;" | "&amp;TRIM(SUBSTITUTE(INDEX(Charge!$D:$D,ROW()),CHAR(160)," ")),"~","-"),"*","+"),"?","!"),240),"")</f>
        <v/>
      </c>
      <c r="FG209">
        <f>IF(B209=1,MAX(0,N(INDEX(Charge!$M:$M,ROW()))),0)</f>
        <v>0</v>
      </c>
      <c r="FH209" s="170" t="str">
        <f>IF(EO209=1,ROUND(SUMIF($FF$4:$FF$503,EN209,$FG$4:$FG$503),2),"")</f>
        <v/>
      </c>
      <c r="FI209" s="170" t="str">
        <f>IF(EO209=1,ROUND(SUMPRODUCT(($FF$4:$FF$503=EN209)*$FG$4:$FG$503*$C$4:$C$503),2),"")</f>
        <v/>
      </c>
      <c r="FJ209" s="170" t="str">
        <f>IF(EO209=1,MAX(0,ROUND(FH209-FI209,2)),"")</f>
        <v/>
      </c>
      <c r="FK209" s="174" t="str">
        <f>IF(EO209=1,IF(OR(EW209&gt;=2958465,EY209=0,EY209&lt;=EW209),"",IF(TODAY()&lt;=EW209,0,IF(TODAY()&gt;EY209,1,IFERROR(NETWORKDAYS(EW209,TODAY()-1,Data!$K$4:$K$203)/NETWORKDAYS(EW209,EY209,Data!$K$4:$K$203),"")))),"")</f>
        <v/>
      </c>
      <c r="FL209" t="str">
        <f>IF(EO209=1,IF(AND(EY209&gt;0,EY209&lt;TODAY(),ROUND(EU209,4)&lt;1),2,IF(FK209="",0,IF(ROUND(EU209-FK209,4)&lt;-0.15,1,0))),"")</f>
        <v/>
      </c>
      <c r="FM209">
        <f>IF(OR(FA209="",COUNTIF($FA$4:FA208,FA209)&gt;0),0,MAX(0,IF(FB209="Interne",IF(ISNUMBER(INDEX(Data!$F:$F,209)),INDEX(Data!$F:$F,209),p_HeuresETP),IF(ISNUMBER(INDEX(Data!$I:$I,209-$CD$23)),INDEX(Data!$I:$I,209-$CD$23),p_HeuresETP))-IF(FB209="Interne",IF(ISNUMBER(INDEX(Data!$G:$G,209)),INDEX(Data!$G:$G,209),p_ChargeFixe),IF(ISNUMBER(INDEX(Data!$J:$J,209-$CD$23)),INDEX(Data!$J:$J,209-$CD$23),p_ChargeFixe))))</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9" t="str">
        <f>IF(AND(D210=1,ISNUMBER(INDEX(Charge!$N:$N,ROW()))),INDEX(Charge!$N:$N,ROW()),"")</f>
        <v/>
      </c>
      <c r="J210" s="169"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70">
        <f>IF(OR($I210="",$E210=0),0,IF(OR($J210&lt;W$3,$I210&gt;W$2),0,IF($K210=0,IF(AND($I210&gt;=W$3,$I210&lt;=W$2),$E210,0),$E210*NETWORKDAYS(MAX($I210,W$3),MIN($J210,W$2),Data!$K$4:$K$203)/$K210)))</f>
        <v>0</v>
      </c>
      <c r="X210" s="170">
        <f>IF(OR($I210="",$E210=0),0,IF(OR($J210&lt;X$3,$I210&gt;X$2),0,IF($K210=0,IF(AND($I210&gt;=X$3,$I210&lt;=X$2),$E210,0),$E210*NETWORKDAYS(MAX($I210,X$3),MIN($J210,X$2),Data!$K$4:$K$203)/$K210)))</f>
        <v>0</v>
      </c>
      <c r="Y210" s="170">
        <f>IF(OR($I210="",$E210=0),0,IF(OR($J210&lt;Y$3,$I210&gt;Y$2),0,IF($K210=0,IF(AND($I210&gt;=Y$3,$I210&lt;=Y$2),$E210,0),$E210*NETWORKDAYS(MAX($I210,Y$3),MIN($J210,Y$2),Data!$K$4:$K$203)/$K210)))</f>
        <v>0</v>
      </c>
      <c r="Z210" s="170">
        <f>IF(OR($I210="",$E210=0),0,IF(OR($J210&lt;Z$3,$I210&gt;Z$2),0,IF($K210=0,IF(AND($I210&gt;=Z$3,$I210&lt;=Z$2),$E210,0),$E210*NETWORKDAYS(MAX($I210,Z$3),MIN($J210,Z$2),Data!$K$4:$K$203)/$K210)))</f>
        <v>0</v>
      </c>
      <c r="AA210" s="170">
        <f>IF(OR($I210="",$E210=0),0,IF(OR($J210&lt;AA$3,$I210&gt;AA$2),0,IF($K210=0,IF(AND($I210&gt;=AA$3,$I210&lt;=AA$2),$E210,0),$E210*NETWORKDAYS(MAX($I210,AA$3),MIN($J210,AA$2),Data!$K$4:$K$203)/$K210)))</f>
        <v>0</v>
      </c>
      <c r="AB210" s="170">
        <f>IF(OR($I210="",$E210=0),0,IF(OR($J210&lt;AB$3,$I210&gt;AB$2),0,IF($K210=0,IF(AND($I210&gt;=AB$3,$I210&lt;=AB$2),$E210,0),$E210*NETWORKDAYS(MAX($I210,AB$3),MIN($J210,AB$2),Data!$K$4:$K$203)/$K210)))</f>
        <v>0</v>
      </c>
      <c r="AC210" s="170">
        <f>IF(OR($I210="",$E210=0),0,IF(OR($J210&lt;AC$3,$I210&gt;AC$2),0,IF($K210=0,IF(AND($I210&gt;=AC$3,$I210&lt;=AC$2),$E210,0),$E210*NETWORKDAYS(MAX($I210,AC$3),MIN($J210,AC$2),Data!$K$4:$K$203)/$K210)))</f>
        <v>0</v>
      </c>
      <c r="AD210" s="170">
        <f>IF(OR($I210="",$E210=0),0,IF(OR($J210&lt;AD$3,$I210&gt;AD$2),0,IF($K210=0,IF(AND($I210&gt;=AD$3,$I210&lt;=AD$2),$E210,0),$E210*NETWORKDAYS(MAX($I210,AD$3),MIN($J210,AD$2),Data!$K$4:$K$203)/$K210)))</f>
        <v>0</v>
      </c>
      <c r="AE210" s="170">
        <f>IF(OR($I210="",$E210=0),0,IF(OR($J210&lt;AE$3,$I210&gt;AE$2),0,IF($K210=0,IF(AND($I210&gt;=AE$3,$I210&lt;=AE$2),$E210,0),$E210*NETWORKDAYS(MAX($I210,AE$3),MIN($J210,AE$2),Data!$K$4:$K$203)/$K210)))</f>
        <v>0</v>
      </c>
      <c r="AF210" s="170">
        <f>IF(OR($I210="",$E210=0),0,IF(OR($J210&lt;AF$3,$I210&gt;AF$2),0,IF($K210=0,IF(AND($I210&gt;=AF$3,$I210&lt;=AF$2),$E210,0),$E210*NETWORKDAYS(MAX($I210,AF$3),MIN($J210,AF$2),Data!$K$4:$K$203)/$K210)))</f>
        <v>0</v>
      </c>
      <c r="AG210" s="170">
        <f>IF(OR($I210="",$E210=0),0,IF(OR($J210&lt;AG$3,$I210&gt;AG$2),0,IF($K210=0,IF(AND($I210&gt;=AG$3,$I210&lt;=AG$2),$E210,0),$E210*NETWORKDAYS(MAX($I210,AG$3),MIN($J210,AG$2),Data!$K$4:$K$203)/$K210)))</f>
        <v>0</v>
      </c>
      <c r="AH210" s="170">
        <f>IF(OR($I210="",$E210=0),0,IF(OR($J210&lt;AH$3,$I210&gt;AH$2),0,IF($K210=0,IF(AND($I210&gt;=AH$3,$I210&lt;=AH$2),$E210,0),$E210*NETWORKDAYS(MAX($I210,AH$3),MIN($J210,AH$2),Data!$K$4:$K$203)/$K210)))</f>
        <v>0</v>
      </c>
      <c r="AI210" s="170">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70"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4" t="str">
        <f>IF(EO210=1,IF(FH210&gt;0,FI210/FH210,AVERAGEIF($FF$4:$FF$503,EN210,$C$4:$C$503)),"")</f>
        <v/>
      </c>
      <c r="EV210" s="169">
        <f>IF(ISNUMBER(I210),I210,2958465)</f>
        <v>2958465.0</v>
      </c>
      <c r="EW210" s="169" t="str">
        <f>IF(EO210=1,SUMPRODUCT(MIN(($EN$4:$EN$503=EN210)*$EV$4:$EV$503+($EN$4:$EN$503&lt;&gt;EN210)*2958465)),"")</f>
        <v/>
      </c>
      <c r="EX210" s="169">
        <f>IF(AND(D210=1,ISNUMBER(INDEX(Charge!$F:$F,ROW()))),INDEX(Charge!$F:$F,ROW()),0)</f>
        <v>0.0</v>
      </c>
      <c r="EY210" s="169"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c r="FF210" t="str">
        <f>IF(B210=1,LEFT(SUBSTITUTE(SUBSTITUTE(SUBSTITUTE(TRIM(SUBSTITUTE(INDEX(Charge!$B:$B,ROW()),CHAR(160)," "))&amp;" | "&amp;TRIM(SUBSTITUTE(INDEX(Charge!$C:$C,ROW()),CHAR(160)," "))&amp;" | "&amp;TRIM(SUBSTITUTE(INDEX(Charge!$D:$D,ROW()),CHAR(160)," ")),"~","-"),"*","+"),"?","!"),240),"")</f>
        <v/>
      </c>
      <c r="FG210">
        <f>IF(B210=1,MAX(0,N(INDEX(Charge!$M:$M,ROW()))),0)</f>
        <v>0</v>
      </c>
      <c r="FH210" s="170" t="str">
        <f>IF(EO210=1,ROUND(SUMIF($FF$4:$FF$503,EN210,$FG$4:$FG$503),2),"")</f>
        <v/>
      </c>
      <c r="FI210" s="170" t="str">
        <f>IF(EO210=1,ROUND(SUMPRODUCT(($FF$4:$FF$503=EN210)*$FG$4:$FG$503*$C$4:$C$503),2),"")</f>
        <v/>
      </c>
      <c r="FJ210" s="170" t="str">
        <f>IF(EO210=1,MAX(0,ROUND(FH210-FI210,2)),"")</f>
        <v/>
      </c>
      <c r="FK210" s="174" t="str">
        <f>IF(EO210=1,IF(OR(EW210&gt;=2958465,EY210=0,EY210&lt;=EW210),"",IF(TODAY()&lt;=EW210,0,IF(TODAY()&gt;EY210,1,IFERROR(NETWORKDAYS(EW210,TODAY()-1,Data!$K$4:$K$203)/NETWORKDAYS(EW210,EY210,Data!$K$4:$K$203),"")))),"")</f>
        <v/>
      </c>
      <c r="FL210" t="str">
        <f>IF(EO210=1,IF(AND(EY210&gt;0,EY210&lt;TODAY(),ROUND(EU210,4)&lt;1),2,IF(FK210="",0,IF(ROUND(EU210-FK210,4)&lt;-0.15,1,0))),"")</f>
        <v/>
      </c>
      <c r="FM210">
        <f>IF(OR(FA210="",COUNTIF($FA$4:FA209,FA210)&gt;0),0,MAX(0,IF(FB210="Interne",IF(ISNUMBER(INDEX(Data!$F:$F,210)),INDEX(Data!$F:$F,210),p_HeuresETP),IF(ISNUMBER(INDEX(Data!$I:$I,210-$CD$23)),INDEX(Data!$I:$I,210-$CD$23),p_HeuresETP))-IF(FB210="Interne",IF(ISNUMBER(INDEX(Data!$G:$G,210)),INDEX(Data!$G:$G,210),p_ChargeFixe),IF(ISNUMBER(INDEX(Data!$J:$J,210-$CD$23)),INDEX(Data!$J:$J,210-$CD$23),p_ChargeFixe))))</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9" t="str">
        <f>IF(AND(D211=1,ISNUMBER(INDEX(Charge!$N:$N,ROW()))),INDEX(Charge!$N:$N,ROW()),"")</f>
        <v/>
      </c>
      <c r="J211" s="169"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70">
        <f>IF(OR($I211="",$E211=0),0,IF(OR($J211&lt;W$3,$I211&gt;W$2),0,IF($K211=0,IF(AND($I211&gt;=W$3,$I211&lt;=W$2),$E211,0),$E211*NETWORKDAYS(MAX($I211,W$3),MIN($J211,W$2),Data!$K$4:$K$203)/$K211)))</f>
        <v>0</v>
      </c>
      <c r="X211" s="170">
        <f>IF(OR($I211="",$E211=0),0,IF(OR($J211&lt;X$3,$I211&gt;X$2),0,IF($K211=0,IF(AND($I211&gt;=X$3,$I211&lt;=X$2),$E211,0),$E211*NETWORKDAYS(MAX($I211,X$3),MIN($J211,X$2),Data!$K$4:$K$203)/$K211)))</f>
        <v>0</v>
      </c>
      <c r="Y211" s="170">
        <f>IF(OR($I211="",$E211=0),0,IF(OR($J211&lt;Y$3,$I211&gt;Y$2),0,IF($K211=0,IF(AND($I211&gt;=Y$3,$I211&lt;=Y$2),$E211,0),$E211*NETWORKDAYS(MAX($I211,Y$3),MIN($J211,Y$2),Data!$K$4:$K$203)/$K211)))</f>
        <v>0</v>
      </c>
      <c r="Z211" s="170">
        <f>IF(OR($I211="",$E211=0),0,IF(OR($J211&lt;Z$3,$I211&gt;Z$2),0,IF($K211=0,IF(AND($I211&gt;=Z$3,$I211&lt;=Z$2),$E211,0),$E211*NETWORKDAYS(MAX($I211,Z$3),MIN($J211,Z$2),Data!$K$4:$K$203)/$K211)))</f>
        <v>0</v>
      </c>
      <c r="AA211" s="170">
        <f>IF(OR($I211="",$E211=0),0,IF(OR($J211&lt;AA$3,$I211&gt;AA$2),0,IF($K211=0,IF(AND($I211&gt;=AA$3,$I211&lt;=AA$2),$E211,0),$E211*NETWORKDAYS(MAX($I211,AA$3),MIN($J211,AA$2),Data!$K$4:$K$203)/$K211)))</f>
        <v>0</v>
      </c>
      <c r="AB211" s="170">
        <f>IF(OR($I211="",$E211=0),0,IF(OR($J211&lt;AB$3,$I211&gt;AB$2),0,IF($K211=0,IF(AND($I211&gt;=AB$3,$I211&lt;=AB$2),$E211,0),$E211*NETWORKDAYS(MAX($I211,AB$3),MIN($J211,AB$2),Data!$K$4:$K$203)/$K211)))</f>
        <v>0</v>
      </c>
      <c r="AC211" s="170">
        <f>IF(OR($I211="",$E211=0),0,IF(OR($J211&lt;AC$3,$I211&gt;AC$2),0,IF($K211=0,IF(AND($I211&gt;=AC$3,$I211&lt;=AC$2),$E211,0),$E211*NETWORKDAYS(MAX($I211,AC$3),MIN($J211,AC$2),Data!$K$4:$K$203)/$K211)))</f>
        <v>0</v>
      </c>
      <c r="AD211" s="170">
        <f>IF(OR($I211="",$E211=0),0,IF(OR($J211&lt;AD$3,$I211&gt;AD$2),0,IF($K211=0,IF(AND($I211&gt;=AD$3,$I211&lt;=AD$2),$E211,0),$E211*NETWORKDAYS(MAX($I211,AD$3),MIN($J211,AD$2),Data!$K$4:$K$203)/$K211)))</f>
        <v>0</v>
      </c>
      <c r="AE211" s="170">
        <f>IF(OR($I211="",$E211=0),0,IF(OR($J211&lt;AE$3,$I211&gt;AE$2),0,IF($K211=0,IF(AND($I211&gt;=AE$3,$I211&lt;=AE$2),$E211,0),$E211*NETWORKDAYS(MAX($I211,AE$3),MIN($J211,AE$2),Data!$K$4:$K$203)/$K211)))</f>
        <v>0</v>
      </c>
      <c r="AF211" s="170">
        <f>IF(OR($I211="",$E211=0),0,IF(OR($J211&lt;AF$3,$I211&gt;AF$2),0,IF($K211=0,IF(AND($I211&gt;=AF$3,$I211&lt;=AF$2),$E211,0),$E211*NETWORKDAYS(MAX($I211,AF$3),MIN($J211,AF$2),Data!$K$4:$K$203)/$K211)))</f>
        <v>0</v>
      </c>
      <c r="AG211" s="170">
        <f>IF(OR($I211="",$E211=0),0,IF(OR($J211&lt;AG$3,$I211&gt;AG$2),0,IF($K211=0,IF(AND($I211&gt;=AG$3,$I211&lt;=AG$2),$E211,0),$E211*NETWORKDAYS(MAX($I211,AG$3),MIN($J211,AG$2),Data!$K$4:$K$203)/$K211)))</f>
        <v>0</v>
      </c>
      <c r="AH211" s="170">
        <f>IF(OR($I211="",$E211=0),0,IF(OR($J211&lt;AH$3,$I211&gt;AH$2),0,IF($K211=0,IF(AND($I211&gt;=AH$3,$I211&lt;=AH$2),$E211,0),$E211*NETWORKDAYS(MAX($I211,AH$3),MIN($J211,AH$2),Data!$K$4:$K$203)/$K211)))</f>
        <v>0</v>
      </c>
      <c r="AI211" s="170">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70"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4" t="str">
        <f>IF(EO211=1,IF(FH211&gt;0,FI211/FH211,AVERAGEIF($FF$4:$FF$503,EN211,$C$4:$C$503)),"")</f>
        <v/>
      </c>
      <c r="EV211" s="169">
        <f>IF(ISNUMBER(I211),I211,2958465)</f>
        <v>2958465.0</v>
      </c>
      <c r="EW211" s="169" t="str">
        <f>IF(EO211=1,SUMPRODUCT(MIN(($EN$4:$EN$503=EN211)*$EV$4:$EV$503+($EN$4:$EN$503&lt;&gt;EN211)*2958465)),"")</f>
        <v/>
      </c>
      <c r="EX211" s="169">
        <f>IF(AND(D211=1,ISNUMBER(INDEX(Charge!$F:$F,ROW()))),INDEX(Charge!$F:$F,ROW()),0)</f>
        <v>0.0</v>
      </c>
      <c r="EY211" s="169"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c r="FF211" t="str">
        <f>IF(B211=1,LEFT(SUBSTITUTE(SUBSTITUTE(SUBSTITUTE(TRIM(SUBSTITUTE(INDEX(Charge!$B:$B,ROW()),CHAR(160)," "))&amp;" | "&amp;TRIM(SUBSTITUTE(INDEX(Charge!$C:$C,ROW()),CHAR(160)," "))&amp;" | "&amp;TRIM(SUBSTITUTE(INDEX(Charge!$D:$D,ROW()),CHAR(160)," ")),"~","-"),"*","+"),"?","!"),240),"")</f>
        <v/>
      </c>
      <c r="FG211">
        <f>IF(B211=1,MAX(0,N(INDEX(Charge!$M:$M,ROW()))),0)</f>
        <v>0</v>
      </c>
      <c r="FH211" s="170" t="str">
        <f>IF(EO211=1,ROUND(SUMIF($FF$4:$FF$503,EN211,$FG$4:$FG$503),2),"")</f>
        <v/>
      </c>
      <c r="FI211" s="170" t="str">
        <f>IF(EO211=1,ROUND(SUMPRODUCT(($FF$4:$FF$503=EN211)*$FG$4:$FG$503*$C$4:$C$503),2),"")</f>
        <v/>
      </c>
      <c r="FJ211" s="170" t="str">
        <f>IF(EO211=1,MAX(0,ROUND(FH211-FI211,2)),"")</f>
        <v/>
      </c>
      <c r="FK211" s="174" t="str">
        <f>IF(EO211=1,IF(OR(EW211&gt;=2958465,EY211=0,EY211&lt;=EW211),"",IF(TODAY()&lt;=EW211,0,IF(TODAY()&gt;EY211,1,IFERROR(NETWORKDAYS(EW211,TODAY()-1,Data!$K$4:$K$203)/NETWORKDAYS(EW211,EY211,Data!$K$4:$K$203),"")))),"")</f>
        <v/>
      </c>
      <c r="FL211" t="str">
        <f>IF(EO211=1,IF(AND(EY211&gt;0,EY211&lt;TODAY(),ROUND(EU211,4)&lt;1),2,IF(FK211="",0,IF(ROUND(EU211-FK211,4)&lt;-0.15,1,0))),"")</f>
        <v/>
      </c>
      <c r="FM211">
        <f>IF(OR(FA211="",COUNTIF($FA$4:FA210,FA211)&gt;0),0,MAX(0,IF(FB211="Interne",IF(ISNUMBER(INDEX(Data!$F:$F,211)),INDEX(Data!$F:$F,211),p_HeuresETP),IF(ISNUMBER(INDEX(Data!$I:$I,211-$CD$23)),INDEX(Data!$I:$I,211-$CD$23),p_HeuresETP))-IF(FB211="Interne",IF(ISNUMBER(INDEX(Data!$G:$G,211)),INDEX(Data!$G:$G,211),p_ChargeFixe),IF(ISNUMBER(INDEX(Data!$J:$J,211-$CD$23)),INDEX(Data!$J:$J,211-$CD$23),p_ChargeFixe))))</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9" t="str">
        <f>IF(AND(D212=1,ISNUMBER(INDEX(Charge!$N:$N,ROW()))),INDEX(Charge!$N:$N,ROW()),"")</f>
        <v/>
      </c>
      <c r="J212" s="169"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70">
        <f>IF(OR($I212="",$E212=0),0,IF(OR($J212&lt;W$3,$I212&gt;W$2),0,IF($K212=0,IF(AND($I212&gt;=W$3,$I212&lt;=W$2),$E212,0),$E212*NETWORKDAYS(MAX($I212,W$3),MIN($J212,W$2),Data!$K$4:$K$203)/$K212)))</f>
        <v>0</v>
      </c>
      <c r="X212" s="170">
        <f>IF(OR($I212="",$E212=0),0,IF(OR($J212&lt;X$3,$I212&gt;X$2),0,IF($K212=0,IF(AND($I212&gt;=X$3,$I212&lt;=X$2),$E212,0),$E212*NETWORKDAYS(MAX($I212,X$3),MIN($J212,X$2),Data!$K$4:$K$203)/$K212)))</f>
        <v>0</v>
      </c>
      <c r="Y212" s="170">
        <f>IF(OR($I212="",$E212=0),0,IF(OR($J212&lt;Y$3,$I212&gt;Y$2),0,IF($K212=0,IF(AND($I212&gt;=Y$3,$I212&lt;=Y$2),$E212,0),$E212*NETWORKDAYS(MAX($I212,Y$3),MIN($J212,Y$2),Data!$K$4:$K$203)/$K212)))</f>
        <v>0</v>
      </c>
      <c r="Z212" s="170">
        <f>IF(OR($I212="",$E212=0),0,IF(OR($J212&lt;Z$3,$I212&gt;Z$2),0,IF($K212=0,IF(AND($I212&gt;=Z$3,$I212&lt;=Z$2),$E212,0),$E212*NETWORKDAYS(MAX($I212,Z$3),MIN($J212,Z$2),Data!$K$4:$K$203)/$K212)))</f>
        <v>0</v>
      </c>
      <c r="AA212" s="170">
        <f>IF(OR($I212="",$E212=0),0,IF(OR($J212&lt;AA$3,$I212&gt;AA$2),0,IF($K212=0,IF(AND($I212&gt;=AA$3,$I212&lt;=AA$2),$E212,0),$E212*NETWORKDAYS(MAX($I212,AA$3),MIN($J212,AA$2),Data!$K$4:$K$203)/$K212)))</f>
        <v>0</v>
      </c>
      <c r="AB212" s="170">
        <f>IF(OR($I212="",$E212=0),0,IF(OR($J212&lt;AB$3,$I212&gt;AB$2),0,IF($K212=0,IF(AND($I212&gt;=AB$3,$I212&lt;=AB$2),$E212,0),$E212*NETWORKDAYS(MAX($I212,AB$3),MIN($J212,AB$2),Data!$K$4:$K$203)/$K212)))</f>
        <v>0</v>
      </c>
      <c r="AC212" s="170">
        <f>IF(OR($I212="",$E212=0),0,IF(OR($J212&lt;AC$3,$I212&gt;AC$2),0,IF($K212=0,IF(AND($I212&gt;=AC$3,$I212&lt;=AC$2),$E212,0),$E212*NETWORKDAYS(MAX($I212,AC$3),MIN($J212,AC$2),Data!$K$4:$K$203)/$K212)))</f>
        <v>0</v>
      </c>
      <c r="AD212" s="170">
        <f>IF(OR($I212="",$E212=0),0,IF(OR($J212&lt;AD$3,$I212&gt;AD$2),0,IF($K212=0,IF(AND($I212&gt;=AD$3,$I212&lt;=AD$2),$E212,0),$E212*NETWORKDAYS(MAX($I212,AD$3),MIN($J212,AD$2),Data!$K$4:$K$203)/$K212)))</f>
        <v>0</v>
      </c>
      <c r="AE212" s="170">
        <f>IF(OR($I212="",$E212=0),0,IF(OR($J212&lt;AE$3,$I212&gt;AE$2),0,IF($K212=0,IF(AND($I212&gt;=AE$3,$I212&lt;=AE$2),$E212,0),$E212*NETWORKDAYS(MAX($I212,AE$3),MIN($J212,AE$2),Data!$K$4:$K$203)/$K212)))</f>
        <v>0</v>
      </c>
      <c r="AF212" s="170">
        <f>IF(OR($I212="",$E212=0),0,IF(OR($J212&lt;AF$3,$I212&gt;AF$2),0,IF($K212=0,IF(AND($I212&gt;=AF$3,$I212&lt;=AF$2),$E212,0),$E212*NETWORKDAYS(MAX($I212,AF$3),MIN($J212,AF$2),Data!$K$4:$K$203)/$K212)))</f>
        <v>0</v>
      </c>
      <c r="AG212" s="170">
        <f>IF(OR($I212="",$E212=0),0,IF(OR($J212&lt;AG$3,$I212&gt;AG$2),0,IF($K212=0,IF(AND($I212&gt;=AG$3,$I212&lt;=AG$2),$E212,0),$E212*NETWORKDAYS(MAX($I212,AG$3),MIN($J212,AG$2),Data!$K$4:$K$203)/$K212)))</f>
        <v>0</v>
      </c>
      <c r="AH212" s="170">
        <f>IF(OR($I212="",$E212=0),0,IF(OR($J212&lt;AH$3,$I212&gt;AH$2),0,IF($K212=0,IF(AND($I212&gt;=AH$3,$I212&lt;=AH$2),$E212,0),$E212*NETWORKDAYS(MAX($I212,AH$3),MIN($J212,AH$2),Data!$K$4:$K$203)/$K212)))</f>
        <v>0</v>
      </c>
      <c r="AI212" s="170">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70"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4" t="str">
        <f>IF(EO212=1,IF(FH212&gt;0,FI212/FH212,AVERAGEIF($FF$4:$FF$503,EN212,$C$4:$C$503)),"")</f>
        <v/>
      </c>
      <c r="EV212" s="169">
        <f>IF(ISNUMBER(I212),I212,2958465)</f>
        <v>2958465.0</v>
      </c>
      <c r="EW212" s="169" t="str">
        <f>IF(EO212=1,SUMPRODUCT(MIN(($EN$4:$EN$503=EN212)*$EV$4:$EV$503+($EN$4:$EN$503&lt;&gt;EN212)*2958465)),"")</f>
        <v/>
      </c>
      <c r="EX212" s="169">
        <f>IF(AND(D212=1,ISNUMBER(INDEX(Charge!$F:$F,ROW()))),INDEX(Charge!$F:$F,ROW()),0)</f>
        <v>0.0</v>
      </c>
      <c r="EY212" s="169"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c r="FF212" t="str">
        <f>IF(B212=1,LEFT(SUBSTITUTE(SUBSTITUTE(SUBSTITUTE(TRIM(SUBSTITUTE(INDEX(Charge!$B:$B,ROW()),CHAR(160)," "))&amp;" | "&amp;TRIM(SUBSTITUTE(INDEX(Charge!$C:$C,ROW()),CHAR(160)," "))&amp;" | "&amp;TRIM(SUBSTITUTE(INDEX(Charge!$D:$D,ROW()),CHAR(160)," ")),"~","-"),"*","+"),"?","!"),240),"")</f>
        <v/>
      </c>
      <c r="FG212">
        <f>IF(B212=1,MAX(0,N(INDEX(Charge!$M:$M,ROW()))),0)</f>
        <v>0</v>
      </c>
      <c r="FH212" s="170" t="str">
        <f>IF(EO212=1,ROUND(SUMIF($FF$4:$FF$503,EN212,$FG$4:$FG$503),2),"")</f>
        <v/>
      </c>
      <c r="FI212" s="170" t="str">
        <f>IF(EO212=1,ROUND(SUMPRODUCT(($FF$4:$FF$503=EN212)*$FG$4:$FG$503*$C$4:$C$503),2),"")</f>
        <v/>
      </c>
      <c r="FJ212" s="170" t="str">
        <f>IF(EO212=1,MAX(0,ROUND(FH212-FI212,2)),"")</f>
        <v/>
      </c>
      <c r="FK212" s="174" t="str">
        <f>IF(EO212=1,IF(OR(EW212&gt;=2958465,EY212=0,EY212&lt;=EW212),"",IF(TODAY()&lt;=EW212,0,IF(TODAY()&gt;EY212,1,IFERROR(NETWORKDAYS(EW212,TODAY()-1,Data!$K$4:$K$203)/NETWORKDAYS(EW212,EY212,Data!$K$4:$K$203),"")))),"")</f>
        <v/>
      </c>
      <c r="FL212" t="str">
        <f>IF(EO212=1,IF(AND(EY212&gt;0,EY212&lt;TODAY(),ROUND(EU212,4)&lt;1),2,IF(FK212="",0,IF(ROUND(EU212-FK212,4)&lt;-0.15,1,0))),"")</f>
        <v/>
      </c>
      <c r="FM212">
        <f>IF(OR(FA212="",COUNTIF($FA$4:FA211,FA212)&gt;0),0,MAX(0,IF(FB212="Interne",IF(ISNUMBER(INDEX(Data!$F:$F,212)),INDEX(Data!$F:$F,212),p_HeuresETP),IF(ISNUMBER(INDEX(Data!$I:$I,212-$CD$23)),INDEX(Data!$I:$I,212-$CD$23),p_HeuresETP))-IF(FB212="Interne",IF(ISNUMBER(INDEX(Data!$G:$G,212)),INDEX(Data!$G:$G,212),p_ChargeFixe),IF(ISNUMBER(INDEX(Data!$J:$J,212-$CD$23)),INDEX(Data!$J:$J,212-$CD$23),p_ChargeFixe))))</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9" t="str">
        <f>IF(AND(D213=1,ISNUMBER(INDEX(Charge!$N:$N,ROW()))),INDEX(Charge!$N:$N,ROW()),"")</f>
        <v/>
      </c>
      <c r="J213" s="169"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70">
        <f>IF(OR($I213="",$E213=0),0,IF(OR($J213&lt;W$3,$I213&gt;W$2),0,IF($K213=0,IF(AND($I213&gt;=W$3,$I213&lt;=W$2),$E213,0),$E213*NETWORKDAYS(MAX($I213,W$3),MIN($J213,W$2),Data!$K$4:$K$203)/$K213)))</f>
        <v>0</v>
      </c>
      <c r="X213" s="170">
        <f>IF(OR($I213="",$E213=0),0,IF(OR($J213&lt;X$3,$I213&gt;X$2),0,IF($K213=0,IF(AND($I213&gt;=X$3,$I213&lt;=X$2),$E213,0),$E213*NETWORKDAYS(MAX($I213,X$3),MIN($J213,X$2),Data!$K$4:$K$203)/$K213)))</f>
        <v>0</v>
      </c>
      <c r="Y213" s="170">
        <f>IF(OR($I213="",$E213=0),0,IF(OR($J213&lt;Y$3,$I213&gt;Y$2),0,IF($K213=0,IF(AND($I213&gt;=Y$3,$I213&lt;=Y$2),$E213,0),$E213*NETWORKDAYS(MAX($I213,Y$3),MIN($J213,Y$2),Data!$K$4:$K$203)/$K213)))</f>
        <v>0</v>
      </c>
      <c r="Z213" s="170">
        <f>IF(OR($I213="",$E213=0),0,IF(OR($J213&lt;Z$3,$I213&gt;Z$2),0,IF($K213=0,IF(AND($I213&gt;=Z$3,$I213&lt;=Z$2),$E213,0),$E213*NETWORKDAYS(MAX($I213,Z$3),MIN($J213,Z$2),Data!$K$4:$K$203)/$K213)))</f>
        <v>0</v>
      </c>
      <c r="AA213" s="170">
        <f>IF(OR($I213="",$E213=0),0,IF(OR($J213&lt;AA$3,$I213&gt;AA$2),0,IF($K213=0,IF(AND($I213&gt;=AA$3,$I213&lt;=AA$2),$E213,0),$E213*NETWORKDAYS(MAX($I213,AA$3),MIN($J213,AA$2),Data!$K$4:$K$203)/$K213)))</f>
        <v>0</v>
      </c>
      <c r="AB213" s="170">
        <f>IF(OR($I213="",$E213=0),0,IF(OR($J213&lt;AB$3,$I213&gt;AB$2),0,IF($K213=0,IF(AND($I213&gt;=AB$3,$I213&lt;=AB$2),$E213,0),$E213*NETWORKDAYS(MAX($I213,AB$3),MIN($J213,AB$2),Data!$K$4:$K$203)/$K213)))</f>
        <v>0</v>
      </c>
      <c r="AC213" s="170">
        <f>IF(OR($I213="",$E213=0),0,IF(OR($J213&lt;AC$3,$I213&gt;AC$2),0,IF($K213=0,IF(AND($I213&gt;=AC$3,$I213&lt;=AC$2),$E213,0),$E213*NETWORKDAYS(MAX($I213,AC$3),MIN($J213,AC$2),Data!$K$4:$K$203)/$K213)))</f>
        <v>0</v>
      </c>
      <c r="AD213" s="170">
        <f>IF(OR($I213="",$E213=0),0,IF(OR($J213&lt;AD$3,$I213&gt;AD$2),0,IF($K213=0,IF(AND($I213&gt;=AD$3,$I213&lt;=AD$2),$E213,0),$E213*NETWORKDAYS(MAX($I213,AD$3),MIN($J213,AD$2),Data!$K$4:$K$203)/$K213)))</f>
        <v>0</v>
      </c>
      <c r="AE213" s="170">
        <f>IF(OR($I213="",$E213=0),0,IF(OR($J213&lt;AE$3,$I213&gt;AE$2),0,IF($K213=0,IF(AND($I213&gt;=AE$3,$I213&lt;=AE$2),$E213,0),$E213*NETWORKDAYS(MAX($I213,AE$3),MIN($J213,AE$2),Data!$K$4:$K$203)/$K213)))</f>
        <v>0</v>
      </c>
      <c r="AF213" s="170">
        <f>IF(OR($I213="",$E213=0),0,IF(OR($J213&lt;AF$3,$I213&gt;AF$2),0,IF($K213=0,IF(AND($I213&gt;=AF$3,$I213&lt;=AF$2),$E213,0),$E213*NETWORKDAYS(MAX($I213,AF$3),MIN($J213,AF$2),Data!$K$4:$K$203)/$K213)))</f>
        <v>0</v>
      </c>
      <c r="AG213" s="170">
        <f>IF(OR($I213="",$E213=0),0,IF(OR($J213&lt;AG$3,$I213&gt;AG$2),0,IF($K213=0,IF(AND($I213&gt;=AG$3,$I213&lt;=AG$2),$E213,0),$E213*NETWORKDAYS(MAX($I213,AG$3),MIN($J213,AG$2),Data!$K$4:$K$203)/$K213)))</f>
        <v>0</v>
      </c>
      <c r="AH213" s="170">
        <f>IF(OR($I213="",$E213=0),0,IF(OR($J213&lt;AH$3,$I213&gt;AH$2),0,IF($K213=0,IF(AND($I213&gt;=AH$3,$I213&lt;=AH$2),$E213,0),$E213*NETWORKDAYS(MAX($I213,AH$3),MIN($J213,AH$2),Data!$K$4:$K$203)/$K213)))</f>
        <v>0</v>
      </c>
      <c r="AI213" s="170">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70"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4" t="str">
        <f>IF(EO213=1,IF(FH213&gt;0,FI213/FH213,AVERAGEIF($FF$4:$FF$503,EN213,$C$4:$C$503)),"")</f>
        <v/>
      </c>
      <c r="EV213" s="169">
        <f>IF(ISNUMBER(I213),I213,2958465)</f>
        <v>2958465.0</v>
      </c>
      <c r="EW213" s="169" t="str">
        <f>IF(EO213=1,SUMPRODUCT(MIN(($EN$4:$EN$503=EN213)*$EV$4:$EV$503+($EN$4:$EN$503&lt;&gt;EN213)*2958465)),"")</f>
        <v/>
      </c>
      <c r="EX213" s="169">
        <f>IF(AND(D213=1,ISNUMBER(INDEX(Charge!$F:$F,ROW()))),INDEX(Charge!$F:$F,ROW()),0)</f>
        <v>0.0</v>
      </c>
      <c r="EY213" s="169"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c r="FF213" t="str">
        <f>IF(B213=1,LEFT(SUBSTITUTE(SUBSTITUTE(SUBSTITUTE(TRIM(SUBSTITUTE(INDEX(Charge!$B:$B,ROW()),CHAR(160)," "))&amp;" | "&amp;TRIM(SUBSTITUTE(INDEX(Charge!$C:$C,ROW()),CHAR(160)," "))&amp;" | "&amp;TRIM(SUBSTITUTE(INDEX(Charge!$D:$D,ROW()),CHAR(160)," ")),"~","-"),"*","+"),"?","!"),240),"")</f>
        <v/>
      </c>
      <c r="FG213">
        <f>IF(B213=1,MAX(0,N(INDEX(Charge!$M:$M,ROW()))),0)</f>
        <v>0</v>
      </c>
      <c r="FH213" s="170" t="str">
        <f>IF(EO213=1,ROUND(SUMIF($FF$4:$FF$503,EN213,$FG$4:$FG$503),2),"")</f>
        <v/>
      </c>
      <c r="FI213" s="170" t="str">
        <f>IF(EO213=1,ROUND(SUMPRODUCT(($FF$4:$FF$503=EN213)*$FG$4:$FG$503*$C$4:$C$503),2),"")</f>
        <v/>
      </c>
      <c r="FJ213" s="170" t="str">
        <f>IF(EO213=1,MAX(0,ROUND(FH213-FI213,2)),"")</f>
        <v/>
      </c>
      <c r="FK213" s="174" t="str">
        <f>IF(EO213=1,IF(OR(EW213&gt;=2958465,EY213=0,EY213&lt;=EW213),"",IF(TODAY()&lt;=EW213,0,IF(TODAY()&gt;EY213,1,IFERROR(NETWORKDAYS(EW213,TODAY()-1,Data!$K$4:$K$203)/NETWORKDAYS(EW213,EY213,Data!$K$4:$K$203),"")))),"")</f>
        <v/>
      </c>
      <c r="FL213" t="str">
        <f>IF(EO213=1,IF(AND(EY213&gt;0,EY213&lt;TODAY(),ROUND(EU213,4)&lt;1),2,IF(FK213="",0,IF(ROUND(EU213-FK213,4)&lt;-0.15,1,0))),"")</f>
        <v/>
      </c>
      <c r="FM213">
        <f>IF(OR(FA213="",COUNTIF($FA$4:FA212,FA213)&gt;0),0,MAX(0,IF(FB213="Interne",IF(ISNUMBER(INDEX(Data!$F:$F,213)),INDEX(Data!$F:$F,213),p_HeuresETP),IF(ISNUMBER(INDEX(Data!$I:$I,213-$CD$23)),INDEX(Data!$I:$I,213-$CD$23),p_HeuresETP))-IF(FB213="Interne",IF(ISNUMBER(INDEX(Data!$G:$G,213)),INDEX(Data!$G:$G,213),p_ChargeFixe),IF(ISNUMBER(INDEX(Data!$J:$J,213-$CD$23)),INDEX(Data!$J:$J,213-$CD$23),p_ChargeFixe))))</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9" t="str">
        <f>IF(AND(D214=1,ISNUMBER(INDEX(Charge!$N:$N,ROW()))),INDEX(Charge!$N:$N,ROW()),"")</f>
        <v/>
      </c>
      <c r="J214" s="169"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70">
        <f>IF(OR($I214="",$E214=0),0,IF(OR($J214&lt;W$3,$I214&gt;W$2),0,IF($K214=0,IF(AND($I214&gt;=W$3,$I214&lt;=W$2),$E214,0),$E214*NETWORKDAYS(MAX($I214,W$3),MIN($J214,W$2),Data!$K$4:$K$203)/$K214)))</f>
        <v>0</v>
      </c>
      <c r="X214" s="170">
        <f>IF(OR($I214="",$E214=0),0,IF(OR($J214&lt;X$3,$I214&gt;X$2),0,IF($K214=0,IF(AND($I214&gt;=X$3,$I214&lt;=X$2),$E214,0),$E214*NETWORKDAYS(MAX($I214,X$3),MIN($J214,X$2),Data!$K$4:$K$203)/$K214)))</f>
        <v>0</v>
      </c>
      <c r="Y214" s="170">
        <f>IF(OR($I214="",$E214=0),0,IF(OR($J214&lt;Y$3,$I214&gt;Y$2),0,IF($K214=0,IF(AND($I214&gt;=Y$3,$I214&lt;=Y$2),$E214,0),$E214*NETWORKDAYS(MAX($I214,Y$3),MIN($J214,Y$2),Data!$K$4:$K$203)/$K214)))</f>
        <v>0</v>
      </c>
      <c r="Z214" s="170">
        <f>IF(OR($I214="",$E214=0),0,IF(OR($J214&lt;Z$3,$I214&gt;Z$2),0,IF($K214=0,IF(AND($I214&gt;=Z$3,$I214&lt;=Z$2),$E214,0),$E214*NETWORKDAYS(MAX($I214,Z$3),MIN($J214,Z$2),Data!$K$4:$K$203)/$K214)))</f>
        <v>0</v>
      </c>
      <c r="AA214" s="170">
        <f>IF(OR($I214="",$E214=0),0,IF(OR($J214&lt;AA$3,$I214&gt;AA$2),0,IF($K214=0,IF(AND($I214&gt;=AA$3,$I214&lt;=AA$2),$E214,0),$E214*NETWORKDAYS(MAX($I214,AA$3),MIN($J214,AA$2),Data!$K$4:$K$203)/$K214)))</f>
        <v>0</v>
      </c>
      <c r="AB214" s="170">
        <f>IF(OR($I214="",$E214=0),0,IF(OR($J214&lt;AB$3,$I214&gt;AB$2),0,IF($K214=0,IF(AND($I214&gt;=AB$3,$I214&lt;=AB$2),$E214,0),$E214*NETWORKDAYS(MAX($I214,AB$3),MIN($J214,AB$2),Data!$K$4:$K$203)/$K214)))</f>
        <v>0</v>
      </c>
      <c r="AC214" s="170">
        <f>IF(OR($I214="",$E214=0),0,IF(OR($J214&lt;AC$3,$I214&gt;AC$2),0,IF($K214=0,IF(AND($I214&gt;=AC$3,$I214&lt;=AC$2),$E214,0),$E214*NETWORKDAYS(MAX($I214,AC$3),MIN($J214,AC$2),Data!$K$4:$K$203)/$K214)))</f>
        <v>0</v>
      </c>
      <c r="AD214" s="170">
        <f>IF(OR($I214="",$E214=0),0,IF(OR($J214&lt;AD$3,$I214&gt;AD$2),0,IF($K214=0,IF(AND($I214&gt;=AD$3,$I214&lt;=AD$2),$E214,0),$E214*NETWORKDAYS(MAX($I214,AD$3),MIN($J214,AD$2),Data!$K$4:$K$203)/$K214)))</f>
        <v>0</v>
      </c>
      <c r="AE214" s="170">
        <f>IF(OR($I214="",$E214=0),0,IF(OR($J214&lt;AE$3,$I214&gt;AE$2),0,IF($K214=0,IF(AND($I214&gt;=AE$3,$I214&lt;=AE$2),$E214,0),$E214*NETWORKDAYS(MAX($I214,AE$3),MIN($J214,AE$2),Data!$K$4:$K$203)/$K214)))</f>
        <v>0</v>
      </c>
      <c r="AF214" s="170">
        <f>IF(OR($I214="",$E214=0),0,IF(OR($J214&lt;AF$3,$I214&gt;AF$2),0,IF($K214=0,IF(AND($I214&gt;=AF$3,$I214&lt;=AF$2),$E214,0),$E214*NETWORKDAYS(MAX($I214,AF$3),MIN($J214,AF$2),Data!$K$4:$K$203)/$K214)))</f>
        <v>0</v>
      </c>
      <c r="AG214" s="170">
        <f>IF(OR($I214="",$E214=0),0,IF(OR($J214&lt;AG$3,$I214&gt;AG$2),0,IF($K214=0,IF(AND($I214&gt;=AG$3,$I214&lt;=AG$2),$E214,0),$E214*NETWORKDAYS(MAX($I214,AG$3),MIN($J214,AG$2),Data!$K$4:$K$203)/$K214)))</f>
        <v>0</v>
      </c>
      <c r="AH214" s="170">
        <f>IF(OR($I214="",$E214=0),0,IF(OR($J214&lt;AH$3,$I214&gt;AH$2),0,IF($K214=0,IF(AND($I214&gt;=AH$3,$I214&lt;=AH$2),$E214,0),$E214*NETWORKDAYS(MAX($I214,AH$3),MIN($J214,AH$2),Data!$K$4:$K$203)/$K214)))</f>
        <v>0</v>
      </c>
      <c r="AI214" s="170">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70"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4" t="str">
        <f>IF(EO214=1,IF(FH214&gt;0,FI214/FH214,AVERAGEIF($FF$4:$FF$503,EN214,$C$4:$C$503)),"")</f>
        <v/>
      </c>
      <c r="EV214" s="169">
        <f>IF(ISNUMBER(I214),I214,2958465)</f>
        <v>2958465.0</v>
      </c>
      <c r="EW214" s="169" t="str">
        <f>IF(EO214=1,SUMPRODUCT(MIN(($EN$4:$EN$503=EN214)*$EV$4:$EV$503+($EN$4:$EN$503&lt;&gt;EN214)*2958465)),"")</f>
        <v/>
      </c>
      <c r="EX214" s="169">
        <f>IF(AND(D214=1,ISNUMBER(INDEX(Charge!$F:$F,ROW()))),INDEX(Charge!$F:$F,ROW()),0)</f>
        <v>0.0</v>
      </c>
      <c r="EY214" s="169"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c r="FF214" t="str">
        <f>IF(B214=1,LEFT(SUBSTITUTE(SUBSTITUTE(SUBSTITUTE(TRIM(SUBSTITUTE(INDEX(Charge!$B:$B,ROW()),CHAR(160)," "))&amp;" | "&amp;TRIM(SUBSTITUTE(INDEX(Charge!$C:$C,ROW()),CHAR(160)," "))&amp;" | "&amp;TRIM(SUBSTITUTE(INDEX(Charge!$D:$D,ROW()),CHAR(160)," ")),"~","-"),"*","+"),"?","!"),240),"")</f>
        <v/>
      </c>
      <c r="FG214">
        <f>IF(B214=1,MAX(0,N(INDEX(Charge!$M:$M,ROW()))),0)</f>
        <v>0</v>
      </c>
      <c r="FH214" s="170" t="str">
        <f>IF(EO214=1,ROUND(SUMIF($FF$4:$FF$503,EN214,$FG$4:$FG$503),2),"")</f>
        <v/>
      </c>
      <c r="FI214" s="170" t="str">
        <f>IF(EO214=1,ROUND(SUMPRODUCT(($FF$4:$FF$503=EN214)*$FG$4:$FG$503*$C$4:$C$503),2),"")</f>
        <v/>
      </c>
      <c r="FJ214" s="170" t="str">
        <f>IF(EO214=1,MAX(0,ROUND(FH214-FI214,2)),"")</f>
        <v/>
      </c>
      <c r="FK214" s="174" t="str">
        <f>IF(EO214=1,IF(OR(EW214&gt;=2958465,EY214=0,EY214&lt;=EW214),"",IF(TODAY()&lt;=EW214,0,IF(TODAY()&gt;EY214,1,IFERROR(NETWORKDAYS(EW214,TODAY()-1,Data!$K$4:$K$203)/NETWORKDAYS(EW214,EY214,Data!$K$4:$K$203),"")))),"")</f>
        <v/>
      </c>
      <c r="FL214" t="str">
        <f>IF(EO214=1,IF(AND(EY214&gt;0,EY214&lt;TODAY(),ROUND(EU214,4)&lt;1),2,IF(FK214="",0,IF(ROUND(EU214-FK214,4)&lt;-0.15,1,0))),"")</f>
        <v/>
      </c>
      <c r="FM214">
        <f>IF(OR(FA214="",COUNTIF($FA$4:FA213,FA214)&gt;0),0,MAX(0,IF(FB214="Interne",IF(ISNUMBER(INDEX(Data!$F:$F,214)),INDEX(Data!$F:$F,214),p_HeuresETP),IF(ISNUMBER(INDEX(Data!$I:$I,214-$CD$23)),INDEX(Data!$I:$I,214-$CD$23),p_HeuresETP))-IF(FB214="Interne",IF(ISNUMBER(INDEX(Data!$G:$G,214)),INDEX(Data!$G:$G,214),p_ChargeFixe),IF(ISNUMBER(INDEX(Data!$J:$J,214-$CD$23)),INDEX(Data!$J:$J,214-$CD$23),p_ChargeFixe))))</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9" t="str">
        <f>IF(AND(D215=1,ISNUMBER(INDEX(Charge!$N:$N,ROW()))),INDEX(Charge!$N:$N,ROW()),"")</f>
        <v/>
      </c>
      <c r="J215" s="169"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70">
        <f>IF(OR($I215="",$E215=0),0,IF(OR($J215&lt;W$3,$I215&gt;W$2),0,IF($K215=0,IF(AND($I215&gt;=W$3,$I215&lt;=W$2),$E215,0),$E215*NETWORKDAYS(MAX($I215,W$3),MIN($J215,W$2),Data!$K$4:$K$203)/$K215)))</f>
        <v>0</v>
      </c>
      <c r="X215" s="170">
        <f>IF(OR($I215="",$E215=0),0,IF(OR($J215&lt;X$3,$I215&gt;X$2),0,IF($K215=0,IF(AND($I215&gt;=X$3,$I215&lt;=X$2),$E215,0),$E215*NETWORKDAYS(MAX($I215,X$3),MIN($J215,X$2),Data!$K$4:$K$203)/$K215)))</f>
        <v>0</v>
      </c>
      <c r="Y215" s="170">
        <f>IF(OR($I215="",$E215=0),0,IF(OR($J215&lt;Y$3,$I215&gt;Y$2),0,IF($K215=0,IF(AND($I215&gt;=Y$3,$I215&lt;=Y$2),$E215,0),$E215*NETWORKDAYS(MAX($I215,Y$3),MIN($J215,Y$2),Data!$K$4:$K$203)/$K215)))</f>
        <v>0</v>
      </c>
      <c r="Z215" s="170">
        <f>IF(OR($I215="",$E215=0),0,IF(OR($J215&lt;Z$3,$I215&gt;Z$2),0,IF($K215=0,IF(AND($I215&gt;=Z$3,$I215&lt;=Z$2),$E215,0),$E215*NETWORKDAYS(MAX($I215,Z$3),MIN($J215,Z$2),Data!$K$4:$K$203)/$K215)))</f>
        <v>0</v>
      </c>
      <c r="AA215" s="170">
        <f>IF(OR($I215="",$E215=0),0,IF(OR($J215&lt;AA$3,$I215&gt;AA$2),0,IF($K215=0,IF(AND($I215&gt;=AA$3,$I215&lt;=AA$2),$E215,0),$E215*NETWORKDAYS(MAX($I215,AA$3),MIN($J215,AA$2),Data!$K$4:$K$203)/$K215)))</f>
        <v>0</v>
      </c>
      <c r="AB215" s="170">
        <f>IF(OR($I215="",$E215=0),0,IF(OR($J215&lt;AB$3,$I215&gt;AB$2),0,IF($K215=0,IF(AND($I215&gt;=AB$3,$I215&lt;=AB$2),$E215,0),$E215*NETWORKDAYS(MAX($I215,AB$3),MIN($J215,AB$2),Data!$K$4:$K$203)/$K215)))</f>
        <v>0</v>
      </c>
      <c r="AC215" s="170">
        <f>IF(OR($I215="",$E215=0),0,IF(OR($J215&lt;AC$3,$I215&gt;AC$2),0,IF($K215=0,IF(AND($I215&gt;=AC$3,$I215&lt;=AC$2),$E215,0),$E215*NETWORKDAYS(MAX($I215,AC$3),MIN($J215,AC$2),Data!$K$4:$K$203)/$K215)))</f>
        <v>0</v>
      </c>
      <c r="AD215" s="170">
        <f>IF(OR($I215="",$E215=0),0,IF(OR($J215&lt;AD$3,$I215&gt;AD$2),0,IF($K215=0,IF(AND($I215&gt;=AD$3,$I215&lt;=AD$2),$E215,0),$E215*NETWORKDAYS(MAX($I215,AD$3),MIN($J215,AD$2),Data!$K$4:$K$203)/$K215)))</f>
        <v>0</v>
      </c>
      <c r="AE215" s="170">
        <f>IF(OR($I215="",$E215=0),0,IF(OR($J215&lt;AE$3,$I215&gt;AE$2),0,IF($K215=0,IF(AND($I215&gt;=AE$3,$I215&lt;=AE$2),$E215,0),$E215*NETWORKDAYS(MAX($I215,AE$3),MIN($J215,AE$2),Data!$K$4:$K$203)/$K215)))</f>
        <v>0</v>
      </c>
      <c r="AF215" s="170">
        <f>IF(OR($I215="",$E215=0),0,IF(OR($J215&lt;AF$3,$I215&gt;AF$2),0,IF($K215=0,IF(AND($I215&gt;=AF$3,$I215&lt;=AF$2),$E215,0),$E215*NETWORKDAYS(MAX($I215,AF$3),MIN($J215,AF$2),Data!$K$4:$K$203)/$K215)))</f>
        <v>0</v>
      </c>
      <c r="AG215" s="170">
        <f>IF(OR($I215="",$E215=0),0,IF(OR($J215&lt;AG$3,$I215&gt;AG$2),0,IF($K215=0,IF(AND($I215&gt;=AG$3,$I215&lt;=AG$2),$E215,0),$E215*NETWORKDAYS(MAX($I215,AG$3),MIN($J215,AG$2),Data!$K$4:$K$203)/$K215)))</f>
        <v>0</v>
      </c>
      <c r="AH215" s="170">
        <f>IF(OR($I215="",$E215=0),0,IF(OR($J215&lt;AH$3,$I215&gt;AH$2),0,IF($K215=0,IF(AND($I215&gt;=AH$3,$I215&lt;=AH$2),$E215,0),$E215*NETWORKDAYS(MAX($I215,AH$3),MIN($J215,AH$2),Data!$K$4:$K$203)/$K215)))</f>
        <v>0</v>
      </c>
      <c r="AI215" s="170">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70"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4" t="str">
        <f>IF(EO215=1,IF(FH215&gt;0,FI215/FH215,AVERAGEIF($FF$4:$FF$503,EN215,$C$4:$C$503)),"")</f>
        <v/>
      </c>
      <c r="EV215" s="169">
        <f>IF(ISNUMBER(I215),I215,2958465)</f>
        <v>2958465.0</v>
      </c>
      <c r="EW215" s="169" t="str">
        <f>IF(EO215=1,SUMPRODUCT(MIN(($EN$4:$EN$503=EN215)*$EV$4:$EV$503+($EN$4:$EN$503&lt;&gt;EN215)*2958465)),"")</f>
        <v/>
      </c>
      <c r="EX215" s="169">
        <f>IF(AND(D215=1,ISNUMBER(INDEX(Charge!$F:$F,ROW()))),INDEX(Charge!$F:$F,ROW()),0)</f>
        <v>0.0</v>
      </c>
      <c r="EY215" s="169"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c r="FF215" t="str">
        <f>IF(B215=1,LEFT(SUBSTITUTE(SUBSTITUTE(SUBSTITUTE(TRIM(SUBSTITUTE(INDEX(Charge!$B:$B,ROW()),CHAR(160)," "))&amp;" | "&amp;TRIM(SUBSTITUTE(INDEX(Charge!$C:$C,ROW()),CHAR(160)," "))&amp;" | "&amp;TRIM(SUBSTITUTE(INDEX(Charge!$D:$D,ROW()),CHAR(160)," ")),"~","-"),"*","+"),"?","!"),240),"")</f>
        <v/>
      </c>
      <c r="FG215">
        <f>IF(B215=1,MAX(0,N(INDEX(Charge!$M:$M,ROW()))),0)</f>
        <v>0</v>
      </c>
      <c r="FH215" s="170" t="str">
        <f>IF(EO215=1,ROUND(SUMIF($FF$4:$FF$503,EN215,$FG$4:$FG$503),2),"")</f>
        <v/>
      </c>
      <c r="FI215" s="170" t="str">
        <f>IF(EO215=1,ROUND(SUMPRODUCT(($FF$4:$FF$503=EN215)*$FG$4:$FG$503*$C$4:$C$503),2),"")</f>
        <v/>
      </c>
      <c r="FJ215" s="170" t="str">
        <f>IF(EO215=1,MAX(0,ROUND(FH215-FI215,2)),"")</f>
        <v/>
      </c>
      <c r="FK215" s="174" t="str">
        <f>IF(EO215=1,IF(OR(EW215&gt;=2958465,EY215=0,EY215&lt;=EW215),"",IF(TODAY()&lt;=EW215,0,IF(TODAY()&gt;EY215,1,IFERROR(NETWORKDAYS(EW215,TODAY()-1,Data!$K$4:$K$203)/NETWORKDAYS(EW215,EY215,Data!$K$4:$K$203),"")))),"")</f>
        <v/>
      </c>
      <c r="FL215" t="str">
        <f>IF(EO215=1,IF(AND(EY215&gt;0,EY215&lt;TODAY(),ROUND(EU215,4)&lt;1),2,IF(FK215="",0,IF(ROUND(EU215-FK215,4)&lt;-0.15,1,0))),"")</f>
        <v/>
      </c>
      <c r="FM215">
        <f>IF(OR(FA215="",COUNTIF($FA$4:FA214,FA215)&gt;0),0,MAX(0,IF(FB215="Interne",IF(ISNUMBER(INDEX(Data!$F:$F,215)),INDEX(Data!$F:$F,215),p_HeuresETP),IF(ISNUMBER(INDEX(Data!$I:$I,215-$CD$23)),INDEX(Data!$I:$I,215-$CD$23),p_HeuresETP))-IF(FB215="Interne",IF(ISNUMBER(INDEX(Data!$G:$G,215)),INDEX(Data!$G:$G,215),p_ChargeFixe),IF(ISNUMBER(INDEX(Data!$J:$J,215-$CD$23)),INDEX(Data!$J:$J,215-$CD$23),p_ChargeFixe))))</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9" t="str">
        <f>IF(AND(D216=1,ISNUMBER(INDEX(Charge!$N:$N,ROW()))),INDEX(Charge!$N:$N,ROW()),"")</f>
        <v/>
      </c>
      <c r="J216" s="169"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70">
        <f>IF(OR($I216="",$E216=0),0,IF(OR($J216&lt;W$3,$I216&gt;W$2),0,IF($K216=0,IF(AND($I216&gt;=W$3,$I216&lt;=W$2),$E216,0),$E216*NETWORKDAYS(MAX($I216,W$3),MIN($J216,W$2),Data!$K$4:$K$203)/$K216)))</f>
        <v>0</v>
      </c>
      <c r="X216" s="170">
        <f>IF(OR($I216="",$E216=0),0,IF(OR($J216&lt;X$3,$I216&gt;X$2),0,IF($K216=0,IF(AND($I216&gt;=X$3,$I216&lt;=X$2),$E216,0),$E216*NETWORKDAYS(MAX($I216,X$3),MIN($J216,X$2),Data!$K$4:$K$203)/$K216)))</f>
        <v>0</v>
      </c>
      <c r="Y216" s="170">
        <f>IF(OR($I216="",$E216=0),0,IF(OR($J216&lt;Y$3,$I216&gt;Y$2),0,IF($K216=0,IF(AND($I216&gt;=Y$3,$I216&lt;=Y$2),$E216,0),$E216*NETWORKDAYS(MAX($I216,Y$3),MIN($J216,Y$2),Data!$K$4:$K$203)/$K216)))</f>
        <v>0</v>
      </c>
      <c r="Z216" s="170">
        <f>IF(OR($I216="",$E216=0),0,IF(OR($J216&lt;Z$3,$I216&gt;Z$2),0,IF($K216=0,IF(AND($I216&gt;=Z$3,$I216&lt;=Z$2),$E216,0),$E216*NETWORKDAYS(MAX($I216,Z$3),MIN($J216,Z$2),Data!$K$4:$K$203)/$K216)))</f>
        <v>0</v>
      </c>
      <c r="AA216" s="170">
        <f>IF(OR($I216="",$E216=0),0,IF(OR($J216&lt;AA$3,$I216&gt;AA$2),0,IF($K216=0,IF(AND($I216&gt;=AA$3,$I216&lt;=AA$2),$E216,0),$E216*NETWORKDAYS(MAX($I216,AA$3),MIN($J216,AA$2),Data!$K$4:$K$203)/$K216)))</f>
        <v>0</v>
      </c>
      <c r="AB216" s="170">
        <f>IF(OR($I216="",$E216=0),0,IF(OR($J216&lt;AB$3,$I216&gt;AB$2),0,IF($K216=0,IF(AND($I216&gt;=AB$3,$I216&lt;=AB$2),$E216,0),$E216*NETWORKDAYS(MAX($I216,AB$3),MIN($J216,AB$2),Data!$K$4:$K$203)/$K216)))</f>
        <v>0</v>
      </c>
      <c r="AC216" s="170">
        <f>IF(OR($I216="",$E216=0),0,IF(OR($J216&lt;AC$3,$I216&gt;AC$2),0,IF($K216=0,IF(AND($I216&gt;=AC$3,$I216&lt;=AC$2),$E216,0),$E216*NETWORKDAYS(MAX($I216,AC$3),MIN($J216,AC$2),Data!$K$4:$K$203)/$K216)))</f>
        <v>0</v>
      </c>
      <c r="AD216" s="170">
        <f>IF(OR($I216="",$E216=0),0,IF(OR($J216&lt;AD$3,$I216&gt;AD$2),0,IF($K216=0,IF(AND($I216&gt;=AD$3,$I216&lt;=AD$2),$E216,0),$E216*NETWORKDAYS(MAX($I216,AD$3),MIN($J216,AD$2),Data!$K$4:$K$203)/$K216)))</f>
        <v>0</v>
      </c>
      <c r="AE216" s="170">
        <f>IF(OR($I216="",$E216=0),0,IF(OR($J216&lt;AE$3,$I216&gt;AE$2),0,IF($K216=0,IF(AND($I216&gt;=AE$3,$I216&lt;=AE$2),$E216,0),$E216*NETWORKDAYS(MAX($I216,AE$3),MIN($J216,AE$2),Data!$K$4:$K$203)/$K216)))</f>
        <v>0</v>
      </c>
      <c r="AF216" s="170">
        <f>IF(OR($I216="",$E216=0),0,IF(OR($J216&lt;AF$3,$I216&gt;AF$2),0,IF($K216=0,IF(AND($I216&gt;=AF$3,$I216&lt;=AF$2),$E216,0),$E216*NETWORKDAYS(MAX($I216,AF$3),MIN($J216,AF$2),Data!$K$4:$K$203)/$K216)))</f>
        <v>0</v>
      </c>
      <c r="AG216" s="170">
        <f>IF(OR($I216="",$E216=0),0,IF(OR($J216&lt;AG$3,$I216&gt;AG$2),0,IF($K216=0,IF(AND($I216&gt;=AG$3,$I216&lt;=AG$2),$E216,0),$E216*NETWORKDAYS(MAX($I216,AG$3),MIN($J216,AG$2),Data!$K$4:$K$203)/$K216)))</f>
        <v>0</v>
      </c>
      <c r="AH216" s="170">
        <f>IF(OR($I216="",$E216=0),0,IF(OR($J216&lt;AH$3,$I216&gt;AH$2),0,IF($K216=0,IF(AND($I216&gt;=AH$3,$I216&lt;=AH$2),$E216,0),$E216*NETWORKDAYS(MAX($I216,AH$3),MIN($J216,AH$2),Data!$K$4:$K$203)/$K216)))</f>
        <v>0</v>
      </c>
      <c r="AI216" s="170">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70"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4" t="str">
        <f>IF(EO216=1,IF(FH216&gt;0,FI216/FH216,AVERAGEIF($FF$4:$FF$503,EN216,$C$4:$C$503)),"")</f>
        <v/>
      </c>
      <c r="EV216" s="169">
        <f>IF(ISNUMBER(I216),I216,2958465)</f>
        <v>2958465.0</v>
      </c>
      <c r="EW216" s="169" t="str">
        <f>IF(EO216=1,SUMPRODUCT(MIN(($EN$4:$EN$503=EN216)*$EV$4:$EV$503+($EN$4:$EN$503&lt;&gt;EN216)*2958465)),"")</f>
        <v/>
      </c>
      <c r="EX216" s="169">
        <f>IF(AND(D216=1,ISNUMBER(INDEX(Charge!$F:$F,ROW()))),INDEX(Charge!$F:$F,ROW()),0)</f>
        <v>0.0</v>
      </c>
      <c r="EY216" s="169"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c r="FF216" t="str">
        <f>IF(B216=1,LEFT(SUBSTITUTE(SUBSTITUTE(SUBSTITUTE(TRIM(SUBSTITUTE(INDEX(Charge!$B:$B,ROW()),CHAR(160)," "))&amp;" | "&amp;TRIM(SUBSTITUTE(INDEX(Charge!$C:$C,ROW()),CHAR(160)," "))&amp;" | "&amp;TRIM(SUBSTITUTE(INDEX(Charge!$D:$D,ROW()),CHAR(160)," ")),"~","-"),"*","+"),"?","!"),240),"")</f>
        <v/>
      </c>
      <c r="FG216">
        <f>IF(B216=1,MAX(0,N(INDEX(Charge!$M:$M,ROW()))),0)</f>
        <v>0</v>
      </c>
      <c r="FH216" s="170" t="str">
        <f>IF(EO216=1,ROUND(SUMIF($FF$4:$FF$503,EN216,$FG$4:$FG$503),2),"")</f>
        <v/>
      </c>
      <c r="FI216" s="170" t="str">
        <f>IF(EO216=1,ROUND(SUMPRODUCT(($FF$4:$FF$503=EN216)*$FG$4:$FG$503*$C$4:$C$503),2),"")</f>
        <v/>
      </c>
      <c r="FJ216" s="170" t="str">
        <f>IF(EO216=1,MAX(0,ROUND(FH216-FI216,2)),"")</f>
        <v/>
      </c>
      <c r="FK216" s="174" t="str">
        <f>IF(EO216=1,IF(OR(EW216&gt;=2958465,EY216=0,EY216&lt;=EW216),"",IF(TODAY()&lt;=EW216,0,IF(TODAY()&gt;EY216,1,IFERROR(NETWORKDAYS(EW216,TODAY()-1,Data!$K$4:$K$203)/NETWORKDAYS(EW216,EY216,Data!$K$4:$K$203),"")))),"")</f>
        <v/>
      </c>
      <c r="FL216" t="str">
        <f>IF(EO216=1,IF(AND(EY216&gt;0,EY216&lt;TODAY(),ROUND(EU216,4)&lt;1),2,IF(FK216="",0,IF(ROUND(EU216-FK216,4)&lt;-0.15,1,0))),"")</f>
        <v/>
      </c>
      <c r="FM216">
        <f>IF(OR(FA216="",COUNTIF($FA$4:FA215,FA216)&gt;0),0,MAX(0,IF(FB216="Interne",IF(ISNUMBER(INDEX(Data!$F:$F,216)),INDEX(Data!$F:$F,216),p_HeuresETP),IF(ISNUMBER(INDEX(Data!$I:$I,216-$CD$23)),INDEX(Data!$I:$I,216-$CD$23),p_HeuresETP))-IF(FB216="Interne",IF(ISNUMBER(INDEX(Data!$G:$G,216)),INDEX(Data!$G:$G,216),p_ChargeFixe),IF(ISNUMBER(INDEX(Data!$J:$J,216-$CD$23)),INDEX(Data!$J:$J,216-$CD$23),p_ChargeFixe))))</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9" t="str">
        <f>IF(AND(D217=1,ISNUMBER(INDEX(Charge!$N:$N,ROW()))),INDEX(Charge!$N:$N,ROW()),"")</f>
        <v/>
      </c>
      <c r="J217" s="169"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70">
        <f>IF(OR($I217="",$E217=0),0,IF(OR($J217&lt;W$3,$I217&gt;W$2),0,IF($K217=0,IF(AND($I217&gt;=W$3,$I217&lt;=W$2),$E217,0),$E217*NETWORKDAYS(MAX($I217,W$3),MIN($J217,W$2),Data!$K$4:$K$203)/$K217)))</f>
        <v>0</v>
      </c>
      <c r="X217" s="170">
        <f>IF(OR($I217="",$E217=0),0,IF(OR($J217&lt;X$3,$I217&gt;X$2),0,IF($K217=0,IF(AND($I217&gt;=X$3,$I217&lt;=X$2),$E217,0),$E217*NETWORKDAYS(MAX($I217,X$3),MIN($J217,X$2),Data!$K$4:$K$203)/$K217)))</f>
        <v>0</v>
      </c>
      <c r="Y217" s="170">
        <f>IF(OR($I217="",$E217=0),0,IF(OR($J217&lt;Y$3,$I217&gt;Y$2),0,IF($K217=0,IF(AND($I217&gt;=Y$3,$I217&lt;=Y$2),$E217,0),$E217*NETWORKDAYS(MAX($I217,Y$3),MIN($J217,Y$2),Data!$K$4:$K$203)/$K217)))</f>
        <v>0</v>
      </c>
      <c r="Z217" s="170">
        <f>IF(OR($I217="",$E217=0),0,IF(OR($J217&lt;Z$3,$I217&gt;Z$2),0,IF($K217=0,IF(AND($I217&gt;=Z$3,$I217&lt;=Z$2),$E217,0),$E217*NETWORKDAYS(MAX($I217,Z$3),MIN($J217,Z$2),Data!$K$4:$K$203)/$K217)))</f>
        <v>0</v>
      </c>
      <c r="AA217" s="170">
        <f>IF(OR($I217="",$E217=0),0,IF(OR($J217&lt;AA$3,$I217&gt;AA$2),0,IF($K217=0,IF(AND($I217&gt;=AA$3,$I217&lt;=AA$2),$E217,0),$E217*NETWORKDAYS(MAX($I217,AA$3),MIN($J217,AA$2),Data!$K$4:$K$203)/$K217)))</f>
        <v>0</v>
      </c>
      <c r="AB217" s="170">
        <f>IF(OR($I217="",$E217=0),0,IF(OR($J217&lt;AB$3,$I217&gt;AB$2),0,IF($K217=0,IF(AND($I217&gt;=AB$3,$I217&lt;=AB$2),$E217,0),$E217*NETWORKDAYS(MAX($I217,AB$3),MIN($J217,AB$2),Data!$K$4:$K$203)/$K217)))</f>
        <v>0</v>
      </c>
      <c r="AC217" s="170">
        <f>IF(OR($I217="",$E217=0),0,IF(OR($J217&lt;AC$3,$I217&gt;AC$2),0,IF($K217=0,IF(AND($I217&gt;=AC$3,$I217&lt;=AC$2),$E217,0),$E217*NETWORKDAYS(MAX($I217,AC$3),MIN($J217,AC$2),Data!$K$4:$K$203)/$K217)))</f>
        <v>0</v>
      </c>
      <c r="AD217" s="170">
        <f>IF(OR($I217="",$E217=0),0,IF(OR($J217&lt;AD$3,$I217&gt;AD$2),0,IF($K217=0,IF(AND($I217&gt;=AD$3,$I217&lt;=AD$2),$E217,0),$E217*NETWORKDAYS(MAX($I217,AD$3),MIN($J217,AD$2),Data!$K$4:$K$203)/$K217)))</f>
        <v>0</v>
      </c>
      <c r="AE217" s="170">
        <f>IF(OR($I217="",$E217=0),0,IF(OR($J217&lt;AE$3,$I217&gt;AE$2),0,IF($K217=0,IF(AND($I217&gt;=AE$3,$I217&lt;=AE$2),$E217,0),$E217*NETWORKDAYS(MAX($I217,AE$3),MIN($J217,AE$2),Data!$K$4:$K$203)/$K217)))</f>
        <v>0</v>
      </c>
      <c r="AF217" s="170">
        <f>IF(OR($I217="",$E217=0),0,IF(OR($J217&lt;AF$3,$I217&gt;AF$2),0,IF($K217=0,IF(AND($I217&gt;=AF$3,$I217&lt;=AF$2),$E217,0),$E217*NETWORKDAYS(MAX($I217,AF$3),MIN($J217,AF$2),Data!$K$4:$K$203)/$K217)))</f>
        <v>0</v>
      </c>
      <c r="AG217" s="170">
        <f>IF(OR($I217="",$E217=0),0,IF(OR($J217&lt;AG$3,$I217&gt;AG$2),0,IF($K217=0,IF(AND($I217&gt;=AG$3,$I217&lt;=AG$2),$E217,0),$E217*NETWORKDAYS(MAX($I217,AG$3),MIN($J217,AG$2),Data!$K$4:$K$203)/$K217)))</f>
        <v>0</v>
      </c>
      <c r="AH217" s="170">
        <f>IF(OR($I217="",$E217=0),0,IF(OR($J217&lt;AH$3,$I217&gt;AH$2),0,IF($K217=0,IF(AND($I217&gt;=AH$3,$I217&lt;=AH$2),$E217,0),$E217*NETWORKDAYS(MAX($I217,AH$3),MIN($J217,AH$2),Data!$K$4:$K$203)/$K217)))</f>
        <v>0</v>
      </c>
      <c r="AI217" s="170">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70"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4" t="str">
        <f>IF(EO217=1,IF(FH217&gt;0,FI217/FH217,AVERAGEIF($FF$4:$FF$503,EN217,$C$4:$C$503)),"")</f>
        <v/>
      </c>
      <c r="EV217" s="169">
        <f>IF(ISNUMBER(I217),I217,2958465)</f>
        <v>2958465.0</v>
      </c>
      <c r="EW217" s="169" t="str">
        <f>IF(EO217=1,SUMPRODUCT(MIN(($EN$4:$EN$503=EN217)*$EV$4:$EV$503+($EN$4:$EN$503&lt;&gt;EN217)*2958465)),"")</f>
        <v/>
      </c>
      <c r="EX217" s="169">
        <f>IF(AND(D217=1,ISNUMBER(INDEX(Charge!$F:$F,ROW()))),INDEX(Charge!$F:$F,ROW()),0)</f>
        <v>0.0</v>
      </c>
      <c r="EY217" s="169"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c r="FF217" t="str">
        <f>IF(B217=1,LEFT(SUBSTITUTE(SUBSTITUTE(SUBSTITUTE(TRIM(SUBSTITUTE(INDEX(Charge!$B:$B,ROW()),CHAR(160)," "))&amp;" | "&amp;TRIM(SUBSTITUTE(INDEX(Charge!$C:$C,ROW()),CHAR(160)," "))&amp;" | "&amp;TRIM(SUBSTITUTE(INDEX(Charge!$D:$D,ROW()),CHAR(160)," ")),"~","-"),"*","+"),"?","!"),240),"")</f>
        <v/>
      </c>
      <c r="FG217">
        <f>IF(B217=1,MAX(0,N(INDEX(Charge!$M:$M,ROW()))),0)</f>
        <v>0</v>
      </c>
      <c r="FH217" s="170" t="str">
        <f>IF(EO217=1,ROUND(SUMIF($FF$4:$FF$503,EN217,$FG$4:$FG$503),2),"")</f>
        <v/>
      </c>
      <c r="FI217" s="170" t="str">
        <f>IF(EO217=1,ROUND(SUMPRODUCT(($FF$4:$FF$503=EN217)*$FG$4:$FG$503*$C$4:$C$503),2),"")</f>
        <v/>
      </c>
      <c r="FJ217" s="170" t="str">
        <f>IF(EO217=1,MAX(0,ROUND(FH217-FI217,2)),"")</f>
        <v/>
      </c>
      <c r="FK217" s="174" t="str">
        <f>IF(EO217=1,IF(OR(EW217&gt;=2958465,EY217=0,EY217&lt;=EW217),"",IF(TODAY()&lt;=EW217,0,IF(TODAY()&gt;EY217,1,IFERROR(NETWORKDAYS(EW217,TODAY()-1,Data!$K$4:$K$203)/NETWORKDAYS(EW217,EY217,Data!$K$4:$K$203),"")))),"")</f>
        <v/>
      </c>
      <c r="FL217" t="str">
        <f>IF(EO217=1,IF(AND(EY217&gt;0,EY217&lt;TODAY(),ROUND(EU217,4)&lt;1),2,IF(FK217="",0,IF(ROUND(EU217-FK217,4)&lt;-0.15,1,0))),"")</f>
        <v/>
      </c>
      <c r="FM217">
        <f>IF(OR(FA217="",COUNTIF($FA$4:FA216,FA217)&gt;0),0,MAX(0,IF(FB217="Interne",IF(ISNUMBER(INDEX(Data!$F:$F,217)),INDEX(Data!$F:$F,217),p_HeuresETP),IF(ISNUMBER(INDEX(Data!$I:$I,217-$CD$23)),INDEX(Data!$I:$I,217-$CD$23),p_HeuresETP))-IF(FB217="Interne",IF(ISNUMBER(INDEX(Data!$G:$G,217)),INDEX(Data!$G:$G,217),p_ChargeFixe),IF(ISNUMBER(INDEX(Data!$J:$J,217-$CD$23)),INDEX(Data!$J:$J,217-$CD$23),p_ChargeFixe))))</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9" t="str">
        <f>IF(AND(D218=1,ISNUMBER(INDEX(Charge!$N:$N,ROW()))),INDEX(Charge!$N:$N,ROW()),"")</f>
        <v/>
      </c>
      <c r="J218" s="169"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70">
        <f>IF(OR($I218="",$E218=0),0,IF(OR($J218&lt;W$3,$I218&gt;W$2),0,IF($K218=0,IF(AND($I218&gt;=W$3,$I218&lt;=W$2),$E218,0),$E218*NETWORKDAYS(MAX($I218,W$3),MIN($J218,W$2),Data!$K$4:$K$203)/$K218)))</f>
        <v>0</v>
      </c>
      <c r="X218" s="170">
        <f>IF(OR($I218="",$E218=0),0,IF(OR($J218&lt;X$3,$I218&gt;X$2),0,IF($K218=0,IF(AND($I218&gt;=X$3,$I218&lt;=X$2),$E218,0),$E218*NETWORKDAYS(MAX($I218,X$3),MIN($J218,X$2),Data!$K$4:$K$203)/$K218)))</f>
        <v>0</v>
      </c>
      <c r="Y218" s="170">
        <f>IF(OR($I218="",$E218=0),0,IF(OR($J218&lt;Y$3,$I218&gt;Y$2),0,IF($K218=0,IF(AND($I218&gt;=Y$3,$I218&lt;=Y$2),$E218,0),$E218*NETWORKDAYS(MAX($I218,Y$3),MIN($J218,Y$2),Data!$K$4:$K$203)/$K218)))</f>
        <v>0</v>
      </c>
      <c r="Z218" s="170">
        <f>IF(OR($I218="",$E218=0),0,IF(OR($J218&lt;Z$3,$I218&gt;Z$2),0,IF($K218=0,IF(AND($I218&gt;=Z$3,$I218&lt;=Z$2),$E218,0),$E218*NETWORKDAYS(MAX($I218,Z$3),MIN($J218,Z$2),Data!$K$4:$K$203)/$K218)))</f>
        <v>0</v>
      </c>
      <c r="AA218" s="170">
        <f>IF(OR($I218="",$E218=0),0,IF(OR($J218&lt;AA$3,$I218&gt;AA$2),0,IF($K218=0,IF(AND($I218&gt;=AA$3,$I218&lt;=AA$2),$E218,0),$E218*NETWORKDAYS(MAX($I218,AA$3),MIN($J218,AA$2),Data!$K$4:$K$203)/$K218)))</f>
        <v>0</v>
      </c>
      <c r="AB218" s="170">
        <f>IF(OR($I218="",$E218=0),0,IF(OR($J218&lt;AB$3,$I218&gt;AB$2),0,IF($K218=0,IF(AND($I218&gt;=AB$3,$I218&lt;=AB$2),$E218,0),$E218*NETWORKDAYS(MAX($I218,AB$3),MIN($J218,AB$2),Data!$K$4:$K$203)/$K218)))</f>
        <v>0</v>
      </c>
      <c r="AC218" s="170">
        <f>IF(OR($I218="",$E218=0),0,IF(OR($J218&lt;AC$3,$I218&gt;AC$2),0,IF($K218=0,IF(AND($I218&gt;=AC$3,$I218&lt;=AC$2),$E218,0),$E218*NETWORKDAYS(MAX($I218,AC$3),MIN($J218,AC$2),Data!$K$4:$K$203)/$K218)))</f>
        <v>0</v>
      </c>
      <c r="AD218" s="170">
        <f>IF(OR($I218="",$E218=0),0,IF(OR($J218&lt;AD$3,$I218&gt;AD$2),0,IF($K218=0,IF(AND($I218&gt;=AD$3,$I218&lt;=AD$2),$E218,0),$E218*NETWORKDAYS(MAX($I218,AD$3),MIN($J218,AD$2),Data!$K$4:$K$203)/$K218)))</f>
        <v>0</v>
      </c>
      <c r="AE218" s="170">
        <f>IF(OR($I218="",$E218=0),0,IF(OR($J218&lt;AE$3,$I218&gt;AE$2),0,IF($K218=0,IF(AND($I218&gt;=AE$3,$I218&lt;=AE$2),$E218,0),$E218*NETWORKDAYS(MAX($I218,AE$3),MIN($J218,AE$2),Data!$K$4:$K$203)/$K218)))</f>
        <v>0</v>
      </c>
      <c r="AF218" s="170">
        <f>IF(OR($I218="",$E218=0),0,IF(OR($J218&lt;AF$3,$I218&gt;AF$2),0,IF($K218=0,IF(AND($I218&gt;=AF$3,$I218&lt;=AF$2),$E218,0),$E218*NETWORKDAYS(MAX($I218,AF$3),MIN($J218,AF$2),Data!$K$4:$K$203)/$K218)))</f>
        <v>0</v>
      </c>
      <c r="AG218" s="170">
        <f>IF(OR($I218="",$E218=0),0,IF(OR($J218&lt;AG$3,$I218&gt;AG$2),0,IF($K218=0,IF(AND($I218&gt;=AG$3,$I218&lt;=AG$2),$E218,0),$E218*NETWORKDAYS(MAX($I218,AG$3),MIN($J218,AG$2),Data!$K$4:$K$203)/$K218)))</f>
        <v>0</v>
      </c>
      <c r="AH218" s="170">
        <f>IF(OR($I218="",$E218=0),0,IF(OR($J218&lt;AH$3,$I218&gt;AH$2),0,IF($K218=0,IF(AND($I218&gt;=AH$3,$I218&lt;=AH$2),$E218,0),$E218*NETWORKDAYS(MAX($I218,AH$3),MIN($J218,AH$2),Data!$K$4:$K$203)/$K218)))</f>
        <v>0</v>
      </c>
      <c r="AI218" s="170">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70"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4" t="str">
        <f>IF(EO218=1,IF(FH218&gt;0,FI218/FH218,AVERAGEIF($FF$4:$FF$503,EN218,$C$4:$C$503)),"")</f>
        <v/>
      </c>
      <c r="EV218" s="169">
        <f>IF(ISNUMBER(I218),I218,2958465)</f>
        <v>2958465.0</v>
      </c>
      <c r="EW218" s="169" t="str">
        <f>IF(EO218=1,SUMPRODUCT(MIN(($EN$4:$EN$503=EN218)*$EV$4:$EV$503+($EN$4:$EN$503&lt;&gt;EN218)*2958465)),"")</f>
        <v/>
      </c>
      <c r="EX218" s="169">
        <f>IF(AND(D218=1,ISNUMBER(INDEX(Charge!$F:$F,ROW()))),INDEX(Charge!$F:$F,ROW()),0)</f>
        <v>0.0</v>
      </c>
      <c r="EY218" s="169"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c r="FF218" t="str">
        <f>IF(B218=1,LEFT(SUBSTITUTE(SUBSTITUTE(SUBSTITUTE(TRIM(SUBSTITUTE(INDEX(Charge!$B:$B,ROW()),CHAR(160)," "))&amp;" | "&amp;TRIM(SUBSTITUTE(INDEX(Charge!$C:$C,ROW()),CHAR(160)," "))&amp;" | "&amp;TRIM(SUBSTITUTE(INDEX(Charge!$D:$D,ROW()),CHAR(160)," ")),"~","-"),"*","+"),"?","!"),240),"")</f>
        <v/>
      </c>
      <c r="FG218">
        <f>IF(B218=1,MAX(0,N(INDEX(Charge!$M:$M,ROW()))),0)</f>
        <v>0</v>
      </c>
      <c r="FH218" s="170" t="str">
        <f>IF(EO218=1,ROUND(SUMIF($FF$4:$FF$503,EN218,$FG$4:$FG$503),2),"")</f>
        <v/>
      </c>
      <c r="FI218" s="170" t="str">
        <f>IF(EO218=1,ROUND(SUMPRODUCT(($FF$4:$FF$503=EN218)*$FG$4:$FG$503*$C$4:$C$503),2),"")</f>
        <v/>
      </c>
      <c r="FJ218" s="170" t="str">
        <f>IF(EO218=1,MAX(0,ROUND(FH218-FI218,2)),"")</f>
        <v/>
      </c>
      <c r="FK218" s="174" t="str">
        <f>IF(EO218=1,IF(OR(EW218&gt;=2958465,EY218=0,EY218&lt;=EW218),"",IF(TODAY()&lt;=EW218,0,IF(TODAY()&gt;EY218,1,IFERROR(NETWORKDAYS(EW218,TODAY()-1,Data!$K$4:$K$203)/NETWORKDAYS(EW218,EY218,Data!$K$4:$K$203),"")))),"")</f>
        <v/>
      </c>
      <c r="FL218" t="str">
        <f>IF(EO218=1,IF(AND(EY218&gt;0,EY218&lt;TODAY(),ROUND(EU218,4)&lt;1),2,IF(FK218="",0,IF(ROUND(EU218-FK218,4)&lt;-0.15,1,0))),"")</f>
        <v/>
      </c>
      <c r="FM218">
        <f>IF(OR(FA218="",COUNTIF($FA$4:FA217,FA218)&gt;0),0,MAX(0,IF(FB218="Interne",IF(ISNUMBER(INDEX(Data!$F:$F,218)),INDEX(Data!$F:$F,218),p_HeuresETP),IF(ISNUMBER(INDEX(Data!$I:$I,218-$CD$23)),INDEX(Data!$I:$I,218-$CD$23),p_HeuresETP))-IF(FB218="Interne",IF(ISNUMBER(INDEX(Data!$G:$G,218)),INDEX(Data!$G:$G,218),p_ChargeFixe),IF(ISNUMBER(INDEX(Data!$J:$J,218-$CD$23)),INDEX(Data!$J:$J,218-$CD$23),p_ChargeFixe))))</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9" t="str">
        <f>IF(AND(D219=1,ISNUMBER(INDEX(Charge!$N:$N,ROW()))),INDEX(Charge!$N:$N,ROW()),"")</f>
        <v/>
      </c>
      <c r="J219" s="169"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70">
        <f>IF(OR($I219="",$E219=0),0,IF(OR($J219&lt;W$3,$I219&gt;W$2),0,IF($K219=0,IF(AND($I219&gt;=W$3,$I219&lt;=W$2),$E219,0),$E219*NETWORKDAYS(MAX($I219,W$3),MIN($J219,W$2),Data!$K$4:$K$203)/$K219)))</f>
        <v>0</v>
      </c>
      <c r="X219" s="170">
        <f>IF(OR($I219="",$E219=0),0,IF(OR($J219&lt;X$3,$I219&gt;X$2),0,IF($K219=0,IF(AND($I219&gt;=X$3,$I219&lt;=X$2),$E219,0),$E219*NETWORKDAYS(MAX($I219,X$3),MIN($J219,X$2),Data!$K$4:$K$203)/$K219)))</f>
        <v>0</v>
      </c>
      <c r="Y219" s="170">
        <f>IF(OR($I219="",$E219=0),0,IF(OR($J219&lt;Y$3,$I219&gt;Y$2),0,IF($K219=0,IF(AND($I219&gt;=Y$3,$I219&lt;=Y$2),$E219,0),$E219*NETWORKDAYS(MAX($I219,Y$3),MIN($J219,Y$2),Data!$K$4:$K$203)/$K219)))</f>
        <v>0</v>
      </c>
      <c r="Z219" s="170">
        <f>IF(OR($I219="",$E219=0),0,IF(OR($J219&lt;Z$3,$I219&gt;Z$2),0,IF($K219=0,IF(AND($I219&gt;=Z$3,$I219&lt;=Z$2),$E219,0),$E219*NETWORKDAYS(MAX($I219,Z$3),MIN($J219,Z$2),Data!$K$4:$K$203)/$K219)))</f>
        <v>0</v>
      </c>
      <c r="AA219" s="170">
        <f>IF(OR($I219="",$E219=0),0,IF(OR($J219&lt;AA$3,$I219&gt;AA$2),0,IF($K219=0,IF(AND($I219&gt;=AA$3,$I219&lt;=AA$2),$E219,0),$E219*NETWORKDAYS(MAX($I219,AA$3),MIN($J219,AA$2),Data!$K$4:$K$203)/$K219)))</f>
        <v>0</v>
      </c>
      <c r="AB219" s="170">
        <f>IF(OR($I219="",$E219=0),0,IF(OR($J219&lt;AB$3,$I219&gt;AB$2),0,IF($K219=0,IF(AND($I219&gt;=AB$3,$I219&lt;=AB$2),$E219,0),$E219*NETWORKDAYS(MAX($I219,AB$3),MIN($J219,AB$2),Data!$K$4:$K$203)/$K219)))</f>
        <v>0</v>
      </c>
      <c r="AC219" s="170">
        <f>IF(OR($I219="",$E219=0),0,IF(OR($J219&lt;AC$3,$I219&gt;AC$2),0,IF($K219=0,IF(AND($I219&gt;=AC$3,$I219&lt;=AC$2),$E219,0),$E219*NETWORKDAYS(MAX($I219,AC$3),MIN($J219,AC$2),Data!$K$4:$K$203)/$K219)))</f>
        <v>0</v>
      </c>
      <c r="AD219" s="170">
        <f>IF(OR($I219="",$E219=0),0,IF(OR($J219&lt;AD$3,$I219&gt;AD$2),0,IF($K219=0,IF(AND($I219&gt;=AD$3,$I219&lt;=AD$2),$E219,0),$E219*NETWORKDAYS(MAX($I219,AD$3),MIN($J219,AD$2),Data!$K$4:$K$203)/$K219)))</f>
        <v>0</v>
      </c>
      <c r="AE219" s="170">
        <f>IF(OR($I219="",$E219=0),0,IF(OR($J219&lt;AE$3,$I219&gt;AE$2),0,IF($K219=0,IF(AND($I219&gt;=AE$3,$I219&lt;=AE$2),$E219,0),$E219*NETWORKDAYS(MAX($I219,AE$3),MIN($J219,AE$2),Data!$K$4:$K$203)/$K219)))</f>
        <v>0</v>
      </c>
      <c r="AF219" s="170">
        <f>IF(OR($I219="",$E219=0),0,IF(OR($J219&lt;AF$3,$I219&gt;AF$2),0,IF($K219=0,IF(AND($I219&gt;=AF$3,$I219&lt;=AF$2),$E219,0),$E219*NETWORKDAYS(MAX($I219,AF$3),MIN($J219,AF$2),Data!$K$4:$K$203)/$K219)))</f>
        <v>0</v>
      </c>
      <c r="AG219" s="170">
        <f>IF(OR($I219="",$E219=0),0,IF(OR($J219&lt;AG$3,$I219&gt;AG$2),0,IF($K219=0,IF(AND($I219&gt;=AG$3,$I219&lt;=AG$2),$E219,0),$E219*NETWORKDAYS(MAX($I219,AG$3),MIN($J219,AG$2),Data!$K$4:$K$203)/$K219)))</f>
        <v>0</v>
      </c>
      <c r="AH219" s="170">
        <f>IF(OR($I219="",$E219=0),0,IF(OR($J219&lt;AH$3,$I219&gt;AH$2),0,IF($K219=0,IF(AND($I219&gt;=AH$3,$I219&lt;=AH$2),$E219,0),$E219*NETWORKDAYS(MAX($I219,AH$3),MIN($J219,AH$2),Data!$K$4:$K$203)/$K219)))</f>
        <v>0</v>
      </c>
      <c r="AI219" s="170">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70"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4" t="str">
        <f>IF(EO219=1,IF(FH219&gt;0,FI219/FH219,AVERAGEIF($FF$4:$FF$503,EN219,$C$4:$C$503)),"")</f>
        <v/>
      </c>
      <c r="EV219" s="169">
        <f>IF(ISNUMBER(I219),I219,2958465)</f>
        <v>2958465.0</v>
      </c>
      <c r="EW219" s="169" t="str">
        <f>IF(EO219=1,SUMPRODUCT(MIN(($EN$4:$EN$503=EN219)*$EV$4:$EV$503+($EN$4:$EN$503&lt;&gt;EN219)*2958465)),"")</f>
        <v/>
      </c>
      <c r="EX219" s="169">
        <f>IF(AND(D219=1,ISNUMBER(INDEX(Charge!$F:$F,ROW()))),INDEX(Charge!$F:$F,ROW()),0)</f>
        <v>0.0</v>
      </c>
      <c r="EY219" s="169"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c r="FF219" t="str">
        <f>IF(B219=1,LEFT(SUBSTITUTE(SUBSTITUTE(SUBSTITUTE(TRIM(SUBSTITUTE(INDEX(Charge!$B:$B,ROW()),CHAR(160)," "))&amp;" | "&amp;TRIM(SUBSTITUTE(INDEX(Charge!$C:$C,ROW()),CHAR(160)," "))&amp;" | "&amp;TRIM(SUBSTITUTE(INDEX(Charge!$D:$D,ROW()),CHAR(160)," ")),"~","-"),"*","+"),"?","!"),240),"")</f>
        <v/>
      </c>
      <c r="FG219">
        <f>IF(B219=1,MAX(0,N(INDEX(Charge!$M:$M,ROW()))),0)</f>
        <v>0</v>
      </c>
      <c r="FH219" s="170" t="str">
        <f>IF(EO219=1,ROUND(SUMIF($FF$4:$FF$503,EN219,$FG$4:$FG$503),2),"")</f>
        <v/>
      </c>
      <c r="FI219" s="170" t="str">
        <f>IF(EO219=1,ROUND(SUMPRODUCT(($FF$4:$FF$503=EN219)*$FG$4:$FG$503*$C$4:$C$503),2),"")</f>
        <v/>
      </c>
      <c r="FJ219" s="170" t="str">
        <f>IF(EO219=1,MAX(0,ROUND(FH219-FI219,2)),"")</f>
        <v/>
      </c>
      <c r="FK219" s="174" t="str">
        <f>IF(EO219=1,IF(OR(EW219&gt;=2958465,EY219=0,EY219&lt;=EW219),"",IF(TODAY()&lt;=EW219,0,IF(TODAY()&gt;EY219,1,IFERROR(NETWORKDAYS(EW219,TODAY()-1,Data!$K$4:$K$203)/NETWORKDAYS(EW219,EY219,Data!$K$4:$K$203),"")))),"")</f>
        <v/>
      </c>
      <c r="FL219" t="str">
        <f>IF(EO219=1,IF(AND(EY219&gt;0,EY219&lt;TODAY(),ROUND(EU219,4)&lt;1),2,IF(FK219="",0,IF(ROUND(EU219-FK219,4)&lt;-0.15,1,0))),"")</f>
        <v/>
      </c>
      <c r="FM219">
        <f>IF(OR(FA219="",COUNTIF($FA$4:FA218,FA219)&gt;0),0,MAX(0,IF(FB219="Interne",IF(ISNUMBER(INDEX(Data!$F:$F,219)),INDEX(Data!$F:$F,219),p_HeuresETP),IF(ISNUMBER(INDEX(Data!$I:$I,219-$CD$23)),INDEX(Data!$I:$I,219-$CD$23),p_HeuresETP))-IF(FB219="Interne",IF(ISNUMBER(INDEX(Data!$G:$G,219)),INDEX(Data!$G:$G,219),p_ChargeFixe),IF(ISNUMBER(INDEX(Data!$J:$J,219-$CD$23)),INDEX(Data!$J:$J,219-$CD$23),p_ChargeFixe))))</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9" t="str">
        <f>IF(AND(D220=1,ISNUMBER(INDEX(Charge!$N:$N,ROW()))),INDEX(Charge!$N:$N,ROW()),"")</f>
        <v/>
      </c>
      <c r="J220" s="169"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70">
        <f>IF(OR($I220="",$E220=0),0,IF(OR($J220&lt;W$3,$I220&gt;W$2),0,IF($K220=0,IF(AND($I220&gt;=W$3,$I220&lt;=W$2),$E220,0),$E220*NETWORKDAYS(MAX($I220,W$3),MIN($J220,W$2),Data!$K$4:$K$203)/$K220)))</f>
        <v>0</v>
      </c>
      <c r="X220" s="170">
        <f>IF(OR($I220="",$E220=0),0,IF(OR($J220&lt;X$3,$I220&gt;X$2),0,IF($K220=0,IF(AND($I220&gt;=X$3,$I220&lt;=X$2),$E220,0),$E220*NETWORKDAYS(MAX($I220,X$3),MIN($J220,X$2),Data!$K$4:$K$203)/$K220)))</f>
        <v>0</v>
      </c>
      <c r="Y220" s="170">
        <f>IF(OR($I220="",$E220=0),0,IF(OR($J220&lt;Y$3,$I220&gt;Y$2),0,IF($K220=0,IF(AND($I220&gt;=Y$3,$I220&lt;=Y$2),$E220,0),$E220*NETWORKDAYS(MAX($I220,Y$3),MIN($J220,Y$2),Data!$K$4:$K$203)/$K220)))</f>
        <v>0</v>
      </c>
      <c r="Z220" s="170">
        <f>IF(OR($I220="",$E220=0),0,IF(OR($J220&lt;Z$3,$I220&gt;Z$2),0,IF($K220=0,IF(AND($I220&gt;=Z$3,$I220&lt;=Z$2),$E220,0),$E220*NETWORKDAYS(MAX($I220,Z$3),MIN($J220,Z$2),Data!$K$4:$K$203)/$K220)))</f>
        <v>0</v>
      </c>
      <c r="AA220" s="170">
        <f>IF(OR($I220="",$E220=0),0,IF(OR($J220&lt;AA$3,$I220&gt;AA$2),0,IF($K220=0,IF(AND($I220&gt;=AA$3,$I220&lt;=AA$2),$E220,0),$E220*NETWORKDAYS(MAX($I220,AA$3),MIN($J220,AA$2),Data!$K$4:$K$203)/$K220)))</f>
        <v>0</v>
      </c>
      <c r="AB220" s="170">
        <f>IF(OR($I220="",$E220=0),0,IF(OR($J220&lt;AB$3,$I220&gt;AB$2),0,IF($K220=0,IF(AND($I220&gt;=AB$3,$I220&lt;=AB$2),$E220,0),$E220*NETWORKDAYS(MAX($I220,AB$3),MIN($J220,AB$2),Data!$K$4:$K$203)/$K220)))</f>
        <v>0</v>
      </c>
      <c r="AC220" s="170">
        <f>IF(OR($I220="",$E220=0),0,IF(OR($J220&lt;AC$3,$I220&gt;AC$2),0,IF($K220=0,IF(AND($I220&gt;=AC$3,$I220&lt;=AC$2),$E220,0),$E220*NETWORKDAYS(MAX($I220,AC$3),MIN($J220,AC$2),Data!$K$4:$K$203)/$K220)))</f>
        <v>0</v>
      </c>
      <c r="AD220" s="170">
        <f>IF(OR($I220="",$E220=0),0,IF(OR($J220&lt;AD$3,$I220&gt;AD$2),0,IF($K220=0,IF(AND($I220&gt;=AD$3,$I220&lt;=AD$2),$E220,0),$E220*NETWORKDAYS(MAX($I220,AD$3),MIN($J220,AD$2),Data!$K$4:$K$203)/$K220)))</f>
        <v>0</v>
      </c>
      <c r="AE220" s="170">
        <f>IF(OR($I220="",$E220=0),0,IF(OR($J220&lt;AE$3,$I220&gt;AE$2),0,IF($K220=0,IF(AND($I220&gt;=AE$3,$I220&lt;=AE$2),$E220,0),$E220*NETWORKDAYS(MAX($I220,AE$3),MIN($J220,AE$2),Data!$K$4:$K$203)/$K220)))</f>
        <v>0</v>
      </c>
      <c r="AF220" s="170">
        <f>IF(OR($I220="",$E220=0),0,IF(OR($J220&lt;AF$3,$I220&gt;AF$2),0,IF($K220=0,IF(AND($I220&gt;=AF$3,$I220&lt;=AF$2),$E220,0),$E220*NETWORKDAYS(MAX($I220,AF$3),MIN($J220,AF$2),Data!$K$4:$K$203)/$K220)))</f>
        <v>0</v>
      </c>
      <c r="AG220" s="170">
        <f>IF(OR($I220="",$E220=0),0,IF(OR($J220&lt;AG$3,$I220&gt;AG$2),0,IF($K220=0,IF(AND($I220&gt;=AG$3,$I220&lt;=AG$2),$E220,0),$E220*NETWORKDAYS(MAX($I220,AG$3),MIN($J220,AG$2),Data!$K$4:$K$203)/$K220)))</f>
        <v>0</v>
      </c>
      <c r="AH220" s="170">
        <f>IF(OR($I220="",$E220=0),0,IF(OR($J220&lt;AH$3,$I220&gt;AH$2),0,IF($K220=0,IF(AND($I220&gt;=AH$3,$I220&lt;=AH$2),$E220,0),$E220*NETWORKDAYS(MAX($I220,AH$3),MIN($J220,AH$2),Data!$K$4:$K$203)/$K220)))</f>
        <v>0</v>
      </c>
      <c r="AI220" s="170">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70"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4" t="str">
        <f>IF(EO220=1,IF(FH220&gt;0,FI220/FH220,AVERAGEIF($FF$4:$FF$503,EN220,$C$4:$C$503)),"")</f>
        <v/>
      </c>
      <c r="EV220" s="169">
        <f>IF(ISNUMBER(I220),I220,2958465)</f>
        <v>2958465.0</v>
      </c>
      <c r="EW220" s="169" t="str">
        <f>IF(EO220=1,SUMPRODUCT(MIN(($EN$4:$EN$503=EN220)*$EV$4:$EV$503+($EN$4:$EN$503&lt;&gt;EN220)*2958465)),"")</f>
        <v/>
      </c>
      <c r="EX220" s="169">
        <f>IF(AND(D220=1,ISNUMBER(INDEX(Charge!$F:$F,ROW()))),INDEX(Charge!$F:$F,ROW()),0)</f>
        <v>0.0</v>
      </c>
      <c r="EY220" s="169"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c r="FF220" t="str">
        <f>IF(B220=1,LEFT(SUBSTITUTE(SUBSTITUTE(SUBSTITUTE(TRIM(SUBSTITUTE(INDEX(Charge!$B:$B,ROW()),CHAR(160)," "))&amp;" | "&amp;TRIM(SUBSTITUTE(INDEX(Charge!$C:$C,ROW()),CHAR(160)," "))&amp;" | "&amp;TRIM(SUBSTITUTE(INDEX(Charge!$D:$D,ROW()),CHAR(160)," ")),"~","-"),"*","+"),"?","!"),240),"")</f>
        <v/>
      </c>
      <c r="FG220">
        <f>IF(B220=1,MAX(0,N(INDEX(Charge!$M:$M,ROW()))),0)</f>
        <v>0</v>
      </c>
      <c r="FH220" s="170" t="str">
        <f>IF(EO220=1,ROUND(SUMIF($FF$4:$FF$503,EN220,$FG$4:$FG$503),2),"")</f>
        <v/>
      </c>
      <c r="FI220" s="170" t="str">
        <f>IF(EO220=1,ROUND(SUMPRODUCT(($FF$4:$FF$503=EN220)*$FG$4:$FG$503*$C$4:$C$503),2),"")</f>
        <v/>
      </c>
      <c r="FJ220" s="170" t="str">
        <f>IF(EO220=1,MAX(0,ROUND(FH220-FI220,2)),"")</f>
        <v/>
      </c>
      <c r="FK220" s="174" t="str">
        <f>IF(EO220=1,IF(OR(EW220&gt;=2958465,EY220=0,EY220&lt;=EW220),"",IF(TODAY()&lt;=EW220,0,IF(TODAY()&gt;EY220,1,IFERROR(NETWORKDAYS(EW220,TODAY()-1,Data!$K$4:$K$203)/NETWORKDAYS(EW220,EY220,Data!$K$4:$K$203),"")))),"")</f>
        <v/>
      </c>
      <c r="FL220" t="str">
        <f>IF(EO220=1,IF(AND(EY220&gt;0,EY220&lt;TODAY(),ROUND(EU220,4)&lt;1),2,IF(FK220="",0,IF(ROUND(EU220-FK220,4)&lt;-0.15,1,0))),"")</f>
        <v/>
      </c>
      <c r="FM220">
        <f>IF(OR(FA220="",COUNTIF($FA$4:FA219,FA220)&gt;0),0,MAX(0,IF(FB220="Interne",IF(ISNUMBER(INDEX(Data!$F:$F,220)),INDEX(Data!$F:$F,220),p_HeuresETP),IF(ISNUMBER(INDEX(Data!$I:$I,220-$CD$23)),INDEX(Data!$I:$I,220-$CD$23),p_HeuresETP))-IF(FB220="Interne",IF(ISNUMBER(INDEX(Data!$G:$G,220)),INDEX(Data!$G:$G,220),p_ChargeFixe),IF(ISNUMBER(INDEX(Data!$J:$J,220-$CD$23)),INDEX(Data!$J:$J,220-$CD$23),p_ChargeFixe))))</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9" t="str">
        <f>IF(AND(D221=1,ISNUMBER(INDEX(Charge!$N:$N,ROW()))),INDEX(Charge!$N:$N,ROW()),"")</f>
        <v/>
      </c>
      <c r="J221" s="169"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70">
        <f>IF(OR($I221="",$E221=0),0,IF(OR($J221&lt;W$3,$I221&gt;W$2),0,IF($K221=0,IF(AND($I221&gt;=W$3,$I221&lt;=W$2),$E221,0),$E221*NETWORKDAYS(MAX($I221,W$3),MIN($J221,W$2),Data!$K$4:$K$203)/$K221)))</f>
        <v>0</v>
      </c>
      <c r="X221" s="170">
        <f>IF(OR($I221="",$E221=0),0,IF(OR($J221&lt;X$3,$I221&gt;X$2),0,IF($K221=0,IF(AND($I221&gt;=X$3,$I221&lt;=X$2),$E221,0),$E221*NETWORKDAYS(MAX($I221,X$3),MIN($J221,X$2),Data!$K$4:$K$203)/$K221)))</f>
        <v>0</v>
      </c>
      <c r="Y221" s="170">
        <f>IF(OR($I221="",$E221=0),0,IF(OR($J221&lt;Y$3,$I221&gt;Y$2),0,IF($K221=0,IF(AND($I221&gt;=Y$3,$I221&lt;=Y$2),$E221,0),$E221*NETWORKDAYS(MAX($I221,Y$3),MIN($J221,Y$2),Data!$K$4:$K$203)/$K221)))</f>
        <v>0</v>
      </c>
      <c r="Z221" s="170">
        <f>IF(OR($I221="",$E221=0),0,IF(OR($J221&lt;Z$3,$I221&gt;Z$2),0,IF($K221=0,IF(AND($I221&gt;=Z$3,$I221&lt;=Z$2),$E221,0),$E221*NETWORKDAYS(MAX($I221,Z$3),MIN($J221,Z$2),Data!$K$4:$K$203)/$K221)))</f>
        <v>0</v>
      </c>
      <c r="AA221" s="170">
        <f>IF(OR($I221="",$E221=0),0,IF(OR($J221&lt;AA$3,$I221&gt;AA$2),0,IF($K221=0,IF(AND($I221&gt;=AA$3,$I221&lt;=AA$2),$E221,0),$E221*NETWORKDAYS(MAX($I221,AA$3),MIN($J221,AA$2),Data!$K$4:$K$203)/$K221)))</f>
        <v>0</v>
      </c>
      <c r="AB221" s="170">
        <f>IF(OR($I221="",$E221=0),0,IF(OR($J221&lt;AB$3,$I221&gt;AB$2),0,IF($K221=0,IF(AND($I221&gt;=AB$3,$I221&lt;=AB$2),$E221,0),$E221*NETWORKDAYS(MAX($I221,AB$3),MIN($J221,AB$2),Data!$K$4:$K$203)/$K221)))</f>
        <v>0</v>
      </c>
      <c r="AC221" s="170">
        <f>IF(OR($I221="",$E221=0),0,IF(OR($J221&lt;AC$3,$I221&gt;AC$2),0,IF($K221=0,IF(AND($I221&gt;=AC$3,$I221&lt;=AC$2),$E221,0),$E221*NETWORKDAYS(MAX($I221,AC$3),MIN($J221,AC$2),Data!$K$4:$K$203)/$K221)))</f>
        <v>0</v>
      </c>
      <c r="AD221" s="170">
        <f>IF(OR($I221="",$E221=0),0,IF(OR($J221&lt;AD$3,$I221&gt;AD$2),0,IF($K221=0,IF(AND($I221&gt;=AD$3,$I221&lt;=AD$2),$E221,0),$E221*NETWORKDAYS(MAX($I221,AD$3),MIN($J221,AD$2),Data!$K$4:$K$203)/$K221)))</f>
        <v>0</v>
      </c>
      <c r="AE221" s="170">
        <f>IF(OR($I221="",$E221=0),0,IF(OR($J221&lt;AE$3,$I221&gt;AE$2),0,IF($K221=0,IF(AND($I221&gt;=AE$3,$I221&lt;=AE$2),$E221,0),$E221*NETWORKDAYS(MAX($I221,AE$3),MIN($J221,AE$2),Data!$K$4:$K$203)/$K221)))</f>
        <v>0</v>
      </c>
      <c r="AF221" s="170">
        <f>IF(OR($I221="",$E221=0),0,IF(OR($J221&lt;AF$3,$I221&gt;AF$2),0,IF($K221=0,IF(AND($I221&gt;=AF$3,$I221&lt;=AF$2),$E221,0),$E221*NETWORKDAYS(MAX($I221,AF$3),MIN($J221,AF$2),Data!$K$4:$K$203)/$K221)))</f>
        <v>0</v>
      </c>
      <c r="AG221" s="170">
        <f>IF(OR($I221="",$E221=0),0,IF(OR($J221&lt;AG$3,$I221&gt;AG$2),0,IF($K221=0,IF(AND($I221&gt;=AG$3,$I221&lt;=AG$2),$E221,0),$E221*NETWORKDAYS(MAX($I221,AG$3),MIN($J221,AG$2),Data!$K$4:$K$203)/$K221)))</f>
        <v>0</v>
      </c>
      <c r="AH221" s="170">
        <f>IF(OR($I221="",$E221=0),0,IF(OR($J221&lt;AH$3,$I221&gt;AH$2),0,IF($K221=0,IF(AND($I221&gt;=AH$3,$I221&lt;=AH$2),$E221,0),$E221*NETWORKDAYS(MAX($I221,AH$3),MIN($J221,AH$2),Data!$K$4:$K$203)/$K221)))</f>
        <v>0</v>
      </c>
      <c r="AI221" s="170">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70"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4" t="str">
        <f>IF(EO221=1,IF(FH221&gt;0,FI221/FH221,AVERAGEIF($FF$4:$FF$503,EN221,$C$4:$C$503)),"")</f>
        <v/>
      </c>
      <c r="EV221" s="169">
        <f>IF(ISNUMBER(I221),I221,2958465)</f>
        <v>2958465.0</v>
      </c>
      <c r="EW221" s="169" t="str">
        <f>IF(EO221=1,SUMPRODUCT(MIN(($EN$4:$EN$503=EN221)*$EV$4:$EV$503+($EN$4:$EN$503&lt;&gt;EN221)*2958465)),"")</f>
        <v/>
      </c>
      <c r="EX221" s="169">
        <f>IF(AND(D221=1,ISNUMBER(INDEX(Charge!$F:$F,ROW()))),INDEX(Charge!$F:$F,ROW()),0)</f>
        <v>0.0</v>
      </c>
      <c r="EY221" s="169"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c r="FF221" t="str">
        <f>IF(B221=1,LEFT(SUBSTITUTE(SUBSTITUTE(SUBSTITUTE(TRIM(SUBSTITUTE(INDEX(Charge!$B:$B,ROW()),CHAR(160)," "))&amp;" | "&amp;TRIM(SUBSTITUTE(INDEX(Charge!$C:$C,ROW()),CHAR(160)," "))&amp;" | "&amp;TRIM(SUBSTITUTE(INDEX(Charge!$D:$D,ROW()),CHAR(160)," ")),"~","-"),"*","+"),"?","!"),240),"")</f>
        <v/>
      </c>
      <c r="FG221">
        <f>IF(B221=1,MAX(0,N(INDEX(Charge!$M:$M,ROW()))),0)</f>
        <v>0</v>
      </c>
      <c r="FH221" s="170" t="str">
        <f>IF(EO221=1,ROUND(SUMIF($FF$4:$FF$503,EN221,$FG$4:$FG$503),2),"")</f>
        <v/>
      </c>
      <c r="FI221" s="170" t="str">
        <f>IF(EO221=1,ROUND(SUMPRODUCT(($FF$4:$FF$503=EN221)*$FG$4:$FG$503*$C$4:$C$503),2),"")</f>
        <v/>
      </c>
      <c r="FJ221" s="170" t="str">
        <f>IF(EO221=1,MAX(0,ROUND(FH221-FI221,2)),"")</f>
        <v/>
      </c>
      <c r="FK221" s="174" t="str">
        <f>IF(EO221=1,IF(OR(EW221&gt;=2958465,EY221=0,EY221&lt;=EW221),"",IF(TODAY()&lt;=EW221,0,IF(TODAY()&gt;EY221,1,IFERROR(NETWORKDAYS(EW221,TODAY()-1,Data!$K$4:$K$203)/NETWORKDAYS(EW221,EY221,Data!$K$4:$K$203),"")))),"")</f>
        <v/>
      </c>
      <c r="FL221" t="str">
        <f>IF(EO221=1,IF(AND(EY221&gt;0,EY221&lt;TODAY(),ROUND(EU221,4)&lt;1),2,IF(FK221="",0,IF(ROUND(EU221-FK221,4)&lt;-0.15,1,0))),"")</f>
        <v/>
      </c>
      <c r="FM221">
        <f>IF(OR(FA221="",COUNTIF($FA$4:FA220,FA221)&gt;0),0,MAX(0,IF(FB221="Interne",IF(ISNUMBER(INDEX(Data!$F:$F,221)),INDEX(Data!$F:$F,221),p_HeuresETP),IF(ISNUMBER(INDEX(Data!$I:$I,221-$CD$23)),INDEX(Data!$I:$I,221-$CD$23),p_HeuresETP))-IF(FB221="Interne",IF(ISNUMBER(INDEX(Data!$G:$G,221)),INDEX(Data!$G:$G,221),p_ChargeFixe),IF(ISNUMBER(INDEX(Data!$J:$J,221-$CD$23)),INDEX(Data!$J:$J,221-$CD$23),p_ChargeFixe))))</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9" t="str">
        <f>IF(AND(D222=1,ISNUMBER(INDEX(Charge!$N:$N,ROW()))),INDEX(Charge!$N:$N,ROW()),"")</f>
        <v/>
      </c>
      <c r="J222" s="169"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70">
        <f>IF(OR($I222="",$E222=0),0,IF(OR($J222&lt;W$3,$I222&gt;W$2),0,IF($K222=0,IF(AND($I222&gt;=W$3,$I222&lt;=W$2),$E222,0),$E222*NETWORKDAYS(MAX($I222,W$3),MIN($J222,W$2),Data!$K$4:$K$203)/$K222)))</f>
        <v>0</v>
      </c>
      <c r="X222" s="170">
        <f>IF(OR($I222="",$E222=0),0,IF(OR($J222&lt;X$3,$I222&gt;X$2),0,IF($K222=0,IF(AND($I222&gt;=X$3,$I222&lt;=X$2),$E222,0),$E222*NETWORKDAYS(MAX($I222,X$3),MIN($J222,X$2),Data!$K$4:$K$203)/$K222)))</f>
        <v>0</v>
      </c>
      <c r="Y222" s="170">
        <f>IF(OR($I222="",$E222=0),0,IF(OR($J222&lt;Y$3,$I222&gt;Y$2),0,IF($K222=0,IF(AND($I222&gt;=Y$3,$I222&lt;=Y$2),$E222,0),$E222*NETWORKDAYS(MAX($I222,Y$3),MIN($J222,Y$2),Data!$K$4:$K$203)/$K222)))</f>
        <v>0</v>
      </c>
      <c r="Z222" s="170">
        <f>IF(OR($I222="",$E222=0),0,IF(OR($J222&lt;Z$3,$I222&gt;Z$2),0,IF($K222=0,IF(AND($I222&gt;=Z$3,$I222&lt;=Z$2),$E222,0),$E222*NETWORKDAYS(MAX($I222,Z$3),MIN($J222,Z$2),Data!$K$4:$K$203)/$K222)))</f>
        <v>0</v>
      </c>
      <c r="AA222" s="170">
        <f>IF(OR($I222="",$E222=0),0,IF(OR($J222&lt;AA$3,$I222&gt;AA$2),0,IF($K222=0,IF(AND($I222&gt;=AA$3,$I222&lt;=AA$2),$E222,0),$E222*NETWORKDAYS(MAX($I222,AA$3),MIN($J222,AA$2),Data!$K$4:$K$203)/$K222)))</f>
        <v>0</v>
      </c>
      <c r="AB222" s="170">
        <f>IF(OR($I222="",$E222=0),0,IF(OR($J222&lt;AB$3,$I222&gt;AB$2),0,IF($K222=0,IF(AND($I222&gt;=AB$3,$I222&lt;=AB$2),$E222,0),$E222*NETWORKDAYS(MAX($I222,AB$3),MIN($J222,AB$2),Data!$K$4:$K$203)/$K222)))</f>
        <v>0</v>
      </c>
      <c r="AC222" s="170">
        <f>IF(OR($I222="",$E222=0),0,IF(OR($J222&lt;AC$3,$I222&gt;AC$2),0,IF($K222=0,IF(AND($I222&gt;=AC$3,$I222&lt;=AC$2),$E222,0),$E222*NETWORKDAYS(MAX($I222,AC$3),MIN($J222,AC$2),Data!$K$4:$K$203)/$K222)))</f>
        <v>0</v>
      </c>
      <c r="AD222" s="170">
        <f>IF(OR($I222="",$E222=0),0,IF(OR($J222&lt;AD$3,$I222&gt;AD$2),0,IF($K222=0,IF(AND($I222&gt;=AD$3,$I222&lt;=AD$2),$E222,0),$E222*NETWORKDAYS(MAX($I222,AD$3),MIN($J222,AD$2),Data!$K$4:$K$203)/$K222)))</f>
        <v>0</v>
      </c>
      <c r="AE222" s="170">
        <f>IF(OR($I222="",$E222=0),0,IF(OR($J222&lt;AE$3,$I222&gt;AE$2),0,IF($K222=0,IF(AND($I222&gt;=AE$3,$I222&lt;=AE$2),$E222,0),$E222*NETWORKDAYS(MAX($I222,AE$3),MIN($J222,AE$2),Data!$K$4:$K$203)/$K222)))</f>
        <v>0</v>
      </c>
      <c r="AF222" s="170">
        <f>IF(OR($I222="",$E222=0),0,IF(OR($J222&lt;AF$3,$I222&gt;AF$2),0,IF($K222=0,IF(AND($I222&gt;=AF$3,$I222&lt;=AF$2),$E222,0),$E222*NETWORKDAYS(MAX($I222,AF$3),MIN($J222,AF$2),Data!$K$4:$K$203)/$K222)))</f>
        <v>0</v>
      </c>
      <c r="AG222" s="170">
        <f>IF(OR($I222="",$E222=0),0,IF(OR($J222&lt;AG$3,$I222&gt;AG$2),0,IF($K222=0,IF(AND($I222&gt;=AG$3,$I222&lt;=AG$2),$E222,0),$E222*NETWORKDAYS(MAX($I222,AG$3),MIN($J222,AG$2),Data!$K$4:$K$203)/$K222)))</f>
        <v>0</v>
      </c>
      <c r="AH222" s="170">
        <f>IF(OR($I222="",$E222=0),0,IF(OR($J222&lt;AH$3,$I222&gt;AH$2),0,IF($K222=0,IF(AND($I222&gt;=AH$3,$I222&lt;=AH$2),$E222,0),$E222*NETWORKDAYS(MAX($I222,AH$3),MIN($J222,AH$2),Data!$K$4:$K$203)/$K222)))</f>
        <v>0</v>
      </c>
      <c r="AI222" s="170">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70"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4" t="str">
        <f>IF(EO222=1,IF(FH222&gt;0,FI222/FH222,AVERAGEIF($FF$4:$FF$503,EN222,$C$4:$C$503)),"")</f>
        <v/>
      </c>
      <c r="EV222" s="169">
        <f>IF(ISNUMBER(I222),I222,2958465)</f>
        <v>2958465.0</v>
      </c>
      <c r="EW222" s="169" t="str">
        <f>IF(EO222=1,SUMPRODUCT(MIN(($EN$4:$EN$503=EN222)*$EV$4:$EV$503+($EN$4:$EN$503&lt;&gt;EN222)*2958465)),"")</f>
        <v/>
      </c>
      <c r="EX222" s="169">
        <f>IF(AND(D222=1,ISNUMBER(INDEX(Charge!$F:$F,ROW()))),INDEX(Charge!$F:$F,ROW()),0)</f>
        <v>0.0</v>
      </c>
      <c r="EY222" s="169"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c r="FF222" t="str">
        <f>IF(B222=1,LEFT(SUBSTITUTE(SUBSTITUTE(SUBSTITUTE(TRIM(SUBSTITUTE(INDEX(Charge!$B:$B,ROW()),CHAR(160)," "))&amp;" | "&amp;TRIM(SUBSTITUTE(INDEX(Charge!$C:$C,ROW()),CHAR(160)," "))&amp;" | "&amp;TRIM(SUBSTITUTE(INDEX(Charge!$D:$D,ROW()),CHAR(160)," ")),"~","-"),"*","+"),"?","!"),240),"")</f>
        <v/>
      </c>
      <c r="FG222">
        <f>IF(B222=1,MAX(0,N(INDEX(Charge!$M:$M,ROW()))),0)</f>
        <v>0</v>
      </c>
      <c r="FH222" s="170" t="str">
        <f>IF(EO222=1,ROUND(SUMIF($FF$4:$FF$503,EN222,$FG$4:$FG$503),2),"")</f>
        <v/>
      </c>
      <c r="FI222" s="170" t="str">
        <f>IF(EO222=1,ROUND(SUMPRODUCT(($FF$4:$FF$503=EN222)*$FG$4:$FG$503*$C$4:$C$503),2),"")</f>
        <v/>
      </c>
      <c r="FJ222" s="170" t="str">
        <f>IF(EO222=1,MAX(0,ROUND(FH222-FI222,2)),"")</f>
        <v/>
      </c>
      <c r="FK222" s="174" t="str">
        <f>IF(EO222=1,IF(OR(EW222&gt;=2958465,EY222=0,EY222&lt;=EW222),"",IF(TODAY()&lt;=EW222,0,IF(TODAY()&gt;EY222,1,IFERROR(NETWORKDAYS(EW222,TODAY()-1,Data!$K$4:$K$203)/NETWORKDAYS(EW222,EY222,Data!$K$4:$K$203),"")))),"")</f>
        <v/>
      </c>
      <c r="FL222" t="str">
        <f>IF(EO222=1,IF(AND(EY222&gt;0,EY222&lt;TODAY(),ROUND(EU222,4)&lt;1),2,IF(FK222="",0,IF(ROUND(EU222-FK222,4)&lt;-0.15,1,0))),"")</f>
        <v/>
      </c>
      <c r="FM222">
        <f>IF(OR(FA222="",COUNTIF($FA$4:FA221,FA222)&gt;0),0,MAX(0,IF(FB222="Interne",IF(ISNUMBER(INDEX(Data!$F:$F,222)),INDEX(Data!$F:$F,222),p_HeuresETP),IF(ISNUMBER(INDEX(Data!$I:$I,222-$CD$23)),INDEX(Data!$I:$I,222-$CD$23),p_HeuresETP))-IF(FB222="Interne",IF(ISNUMBER(INDEX(Data!$G:$G,222)),INDEX(Data!$G:$G,222),p_ChargeFixe),IF(ISNUMBER(INDEX(Data!$J:$J,222-$CD$23)),INDEX(Data!$J:$J,222-$CD$23),p_ChargeFixe))))</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9" t="str">
        <f>IF(AND(D223=1,ISNUMBER(INDEX(Charge!$N:$N,ROW()))),INDEX(Charge!$N:$N,ROW()),"")</f>
        <v/>
      </c>
      <c r="J223" s="169"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70">
        <f>IF(OR($I223="",$E223=0),0,IF(OR($J223&lt;W$3,$I223&gt;W$2),0,IF($K223=0,IF(AND($I223&gt;=W$3,$I223&lt;=W$2),$E223,0),$E223*NETWORKDAYS(MAX($I223,W$3),MIN($J223,W$2),Data!$K$4:$K$203)/$K223)))</f>
        <v>0</v>
      </c>
      <c r="X223" s="170">
        <f>IF(OR($I223="",$E223=0),0,IF(OR($J223&lt;X$3,$I223&gt;X$2),0,IF($K223=0,IF(AND($I223&gt;=X$3,$I223&lt;=X$2),$E223,0),$E223*NETWORKDAYS(MAX($I223,X$3),MIN($J223,X$2),Data!$K$4:$K$203)/$K223)))</f>
        <v>0</v>
      </c>
      <c r="Y223" s="170">
        <f>IF(OR($I223="",$E223=0),0,IF(OR($J223&lt;Y$3,$I223&gt;Y$2),0,IF($K223=0,IF(AND($I223&gt;=Y$3,$I223&lt;=Y$2),$E223,0),$E223*NETWORKDAYS(MAX($I223,Y$3),MIN($J223,Y$2),Data!$K$4:$K$203)/$K223)))</f>
        <v>0</v>
      </c>
      <c r="Z223" s="170">
        <f>IF(OR($I223="",$E223=0),0,IF(OR($J223&lt;Z$3,$I223&gt;Z$2),0,IF($K223=0,IF(AND($I223&gt;=Z$3,$I223&lt;=Z$2),$E223,0),$E223*NETWORKDAYS(MAX($I223,Z$3),MIN($J223,Z$2),Data!$K$4:$K$203)/$K223)))</f>
        <v>0</v>
      </c>
      <c r="AA223" s="170">
        <f>IF(OR($I223="",$E223=0),0,IF(OR($J223&lt;AA$3,$I223&gt;AA$2),0,IF($K223=0,IF(AND($I223&gt;=AA$3,$I223&lt;=AA$2),$E223,0),$E223*NETWORKDAYS(MAX($I223,AA$3),MIN($J223,AA$2),Data!$K$4:$K$203)/$K223)))</f>
        <v>0</v>
      </c>
      <c r="AB223" s="170">
        <f>IF(OR($I223="",$E223=0),0,IF(OR($J223&lt;AB$3,$I223&gt;AB$2),0,IF($K223=0,IF(AND($I223&gt;=AB$3,$I223&lt;=AB$2),$E223,0),$E223*NETWORKDAYS(MAX($I223,AB$3),MIN($J223,AB$2),Data!$K$4:$K$203)/$K223)))</f>
        <v>0</v>
      </c>
      <c r="AC223" s="170">
        <f>IF(OR($I223="",$E223=0),0,IF(OR($J223&lt;AC$3,$I223&gt;AC$2),0,IF($K223=0,IF(AND($I223&gt;=AC$3,$I223&lt;=AC$2),$E223,0),$E223*NETWORKDAYS(MAX($I223,AC$3),MIN($J223,AC$2),Data!$K$4:$K$203)/$K223)))</f>
        <v>0</v>
      </c>
      <c r="AD223" s="170">
        <f>IF(OR($I223="",$E223=0),0,IF(OR($J223&lt;AD$3,$I223&gt;AD$2),0,IF($K223=0,IF(AND($I223&gt;=AD$3,$I223&lt;=AD$2),$E223,0),$E223*NETWORKDAYS(MAX($I223,AD$3),MIN($J223,AD$2),Data!$K$4:$K$203)/$K223)))</f>
        <v>0</v>
      </c>
      <c r="AE223" s="170">
        <f>IF(OR($I223="",$E223=0),0,IF(OR($J223&lt;AE$3,$I223&gt;AE$2),0,IF($K223=0,IF(AND($I223&gt;=AE$3,$I223&lt;=AE$2),$E223,0),$E223*NETWORKDAYS(MAX($I223,AE$3),MIN($J223,AE$2),Data!$K$4:$K$203)/$K223)))</f>
        <v>0</v>
      </c>
      <c r="AF223" s="170">
        <f>IF(OR($I223="",$E223=0),0,IF(OR($J223&lt;AF$3,$I223&gt;AF$2),0,IF($K223=0,IF(AND($I223&gt;=AF$3,$I223&lt;=AF$2),$E223,0),$E223*NETWORKDAYS(MAX($I223,AF$3),MIN($J223,AF$2),Data!$K$4:$K$203)/$K223)))</f>
        <v>0</v>
      </c>
      <c r="AG223" s="170">
        <f>IF(OR($I223="",$E223=0),0,IF(OR($J223&lt;AG$3,$I223&gt;AG$2),0,IF($K223=0,IF(AND($I223&gt;=AG$3,$I223&lt;=AG$2),$E223,0),$E223*NETWORKDAYS(MAX($I223,AG$3),MIN($J223,AG$2),Data!$K$4:$K$203)/$K223)))</f>
        <v>0</v>
      </c>
      <c r="AH223" s="170">
        <f>IF(OR($I223="",$E223=0),0,IF(OR($J223&lt;AH$3,$I223&gt;AH$2),0,IF($K223=0,IF(AND($I223&gt;=AH$3,$I223&lt;=AH$2),$E223,0),$E223*NETWORKDAYS(MAX($I223,AH$3),MIN($J223,AH$2),Data!$K$4:$K$203)/$K223)))</f>
        <v>0</v>
      </c>
      <c r="AI223" s="170">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70"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4" t="str">
        <f>IF(EO223=1,IF(FH223&gt;0,FI223/FH223,AVERAGEIF($FF$4:$FF$503,EN223,$C$4:$C$503)),"")</f>
        <v/>
      </c>
      <c r="EV223" s="169">
        <f>IF(ISNUMBER(I223),I223,2958465)</f>
        <v>2958465.0</v>
      </c>
      <c r="EW223" s="169" t="str">
        <f>IF(EO223=1,SUMPRODUCT(MIN(($EN$4:$EN$503=EN223)*$EV$4:$EV$503+($EN$4:$EN$503&lt;&gt;EN223)*2958465)),"")</f>
        <v/>
      </c>
      <c r="EX223" s="169">
        <f>IF(AND(D223=1,ISNUMBER(INDEX(Charge!$F:$F,ROW()))),INDEX(Charge!$F:$F,ROW()),0)</f>
        <v>0.0</v>
      </c>
      <c r="EY223" s="169"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c r="FF223" t="str">
        <f>IF(B223=1,LEFT(SUBSTITUTE(SUBSTITUTE(SUBSTITUTE(TRIM(SUBSTITUTE(INDEX(Charge!$B:$B,ROW()),CHAR(160)," "))&amp;" | "&amp;TRIM(SUBSTITUTE(INDEX(Charge!$C:$C,ROW()),CHAR(160)," "))&amp;" | "&amp;TRIM(SUBSTITUTE(INDEX(Charge!$D:$D,ROW()),CHAR(160)," ")),"~","-"),"*","+"),"?","!"),240),"")</f>
        <v/>
      </c>
      <c r="FG223">
        <f>IF(B223=1,MAX(0,N(INDEX(Charge!$M:$M,ROW()))),0)</f>
        <v>0</v>
      </c>
      <c r="FH223" s="170" t="str">
        <f>IF(EO223=1,ROUND(SUMIF($FF$4:$FF$503,EN223,$FG$4:$FG$503),2),"")</f>
        <v/>
      </c>
      <c r="FI223" s="170" t="str">
        <f>IF(EO223=1,ROUND(SUMPRODUCT(($FF$4:$FF$503=EN223)*$FG$4:$FG$503*$C$4:$C$503),2),"")</f>
        <v/>
      </c>
      <c r="FJ223" s="170" t="str">
        <f>IF(EO223=1,MAX(0,ROUND(FH223-FI223,2)),"")</f>
        <v/>
      </c>
      <c r="FK223" s="174" t="str">
        <f>IF(EO223=1,IF(OR(EW223&gt;=2958465,EY223=0,EY223&lt;=EW223),"",IF(TODAY()&lt;=EW223,0,IF(TODAY()&gt;EY223,1,IFERROR(NETWORKDAYS(EW223,TODAY()-1,Data!$K$4:$K$203)/NETWORKDAYS(EW223,EY223,Data!$K$4:$K$203),"")))),"")</f>
        <v/>
      </c>
      <c r="FL223" t="str">
        <f>IF(EO223=1,IF(AND(EY223&gt;0,EY223&lt;TODAY(),ROUND(EU223,4)&lt;1),2,IF(FK223="",0,IF(ROUND(EU223-FK223,4)&lt;-0.15,1,0))),"")</f>
        <v/>
      </c>
      <c r="FM223">
        <f>IF(OR(FA223="",COUNTIF($FA$4:FA222,FA223)&gt;0),0,MAX(0,IF(FB223="Interne",IF(ISNUMBER(INDEX(Data!$F:$F,223)),INDEX(Data!$F:$F,223),p_HeuresETP),IF(ISNUMBER(INDEX(Data!$I:$I,223-$CD$23)),INDEX(Data!$I:$I,223-$CD$23),p_HeuresETP))-IF(FB223="Interne",IF(ISNUMBER(INDEX(Data!$G:$G,223)),INDEX(Data!$G:$G,223),p_ChargeFixe),IF(ISNUMBER(INDEX(Data!$J:$J,223-$CD$23)),INDEX(Data!$J:$J,223-$CD$23),p_ChargeFixe))))</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9" t="str">
        <f>IF(AND(D224=1,ISNUMBER(INDEX(Charge!$N:$N,ROW()))),INDEX(Charge!$N:$N,ROW()),"")</f>
        <v/>
      </c>
      <c r="J224" s="169"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70">
        <f>IF(OR($I224="",$E224=0),0,IF(OR($J224&lt;W$3,$I224&gt;W$2),0,IF($K224=0,IF(AND($I224&gt;=W$3,$I224&lt;=W$2),$E224,0),$E224*NETWORKDAYS(MAX($I224,W$3),MIN($J224,W$2),Data!$K$4:$K$203)/$K224)))</f>
        <v>0</v>
      </c>
      <c r="X224" s="170">
        <f>IF(OR($I224="",$E224=0),0,IF(OR($J224&lt;X$3,$I224&gt;X$2),0,IF($K224=0,IF(AND($I224&gt;=X$3,$I224&lt;=X$2),$E224,0),$E224*NETWORKDAYS(MAX($I224,X$3),MIN($J224,X$2),Data!$K$4:$K$203)/$K224)))</f>
        <v>0</v>
      </c>
      <c r="Y224" s="170">
        <f>IF(OR($I224="",$E224=0),0,IF(OR($J224&lt;Y$3,$I224&gt;Y$2),0,IF($K224=0,IF(AND($I224&gt;=Y$3,$I224&lt;=Y$2),$E224,0),$E224*NETWORKDAYS(MAX($I224,Y$3),MIN($J224,Y$2),Data!$K$4:$K$203)/$K224)))</f>
        <v>0</v>
      </c>
      <c r="Z224" s="170">
        <f>IF(OR($I224="",$E224=0),0,IF(OR($J224&lt;Z$3,$I224&gt;Z$2),0,IF($K224=0,IF(AND($I224&gt;=Z$3,$I224&lt;=Z$2),$E224,0),$E224*NETWORKDAYS(MAX($I224,Z$3),MIN($J224,Z$2),Data!$K$4:$K$203)/$K224)))</f>
        <v>0</v>
      </c>
      <c r="AA224" s="170">
        <f>IF(OR($I224="",$E224=0),0,IF(OR($J224&lt;AA$3,$I224&gt;AA$2),0,IF($K224=0,IF(AND($I224&gt;=AA$3,$I224&lt;=AA$2),$E224,0),$E224*NETWORKDAYS(MAX($I224,AA$3),MIN($J224,AA$2),Data!$K$4:$K$203)/$K224)))</f>
        <v>0</v>
      </c>
      <c r="AB224" s="170">
        <f>IF(OR($I224="",$E224=0),0,IF(OR($J224&lt;AB$3,$I224&gt;AB$2),0,IF($K224=0,IF(AND($I224&gt;=AB$3,$I224&lt;=AB$2),$E224,0),$E224*NETWORKDAYS(MAX($I224,AB$3),MIN($J224,AB$2),Data!$K$4:$K$203)/$K224)))</f>
        <v>0</v>
      </c>
      <c r="AC224" s="170">
        <f>IF(OR($I224="",$E224=0),0,IF(OR($J224&lt;AC$3,$I224&gt;AC$2),0,IF($K224=0,IF(AND($I224&gt;=AC$3,$I224&lt;=AC$2),$E224,0),$E224*NETWORKDAYS(MAX($I224,AC$3),MIN($J224,AC$2),Data!$K$4:$K$203)/$K224)))</f>
        <v>0</v>
      </c>
      <c r="AD224" s="170">
        <f>IF(OR($I224="",$E224=0),0,IF(OR($J224&lt;AD$3,$I224&gt;AD$2),0,IF($K224=0,IF(AND($I224&gt;=AD$3,$I224&lt;=AD$2),$E224,0),$E224*NETWORKDAYS(MAX($I224,AD$3),MIN($J224,AD$2),Data!$K$4:$K$203)/$K224)))</f>
        <v>0</v>
      </c>
      <c r="AE224" s="170">
        <f>IF(OR($I224="",$E224=0),0,IF(OR($J224&lt;AE$3,$I224&gt;AE$2),0,IF($K224=0,IF(AND($I224&gt;=AE$3,$I224&lt;=AE$2),$E224,0),$E224*NETWORKDAYS(MAX($I224,AE$3),MIN($J224,AE$2),Data!$K$4:$K$203)/$K224)))</f>
        <v>0</v>
      </c>
      <c r="AF224" s="170">
        <f>IF(OR($I224="",$E224=0),0,IF(OR($J224&lt;AF$3,$I224&gt;AF$2),0,IF($K224=0,IF(AND($I224&gt;=AF$3,$I224&lt;=AF$2),$E224,0),$E224*NETWORKDAYS(MAX($I224,AF$3),MIN($J224,AF$2),Data!$K$4:$K$203)/$K224)))</f>
        <v>0</v>
      </c>
      <c r="AG224" s="170">
        <f>IF(OR($I224="",$E224=0),0,IF(OR($J224&lt;AG$3,$I224&gt;AG$2),0,IF($K224=0,IF(AND($I224&gt;=AG$3,$I224&lt;=AG$2),$E224,0),$E224*NETWORKDAYS(MAX($I224,AG$3),MIN($J224,AG$2),Data!$K$4:$K$203)/$K224)))</f>
        <v>0</v>
      </c>
      <c r="AH224" s="170">
        <f>IF(OR($I224="",$E224=0),0,IF(OR($J224&lt;AH$3,$I224&gt;AH$2),0,IF($K224=0,IF(AND($I224&gt;=AH$3,$I224&lt;=AH$2),$E224,0),$E224*NETWORKDAYS(MAX($I224,AH$3),MIN($J224,AH$2),Data!$K$4:$K$203)/$K224)))</f>
        <v>0</v>
      </c>
      <c r="AI224" s="170">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70"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4" t="str">
        <f>IF(EO224=1,IF(FH224&gt;0,FI224/FH224,AVERAGEIF($FF$4:$FF$503,EN224,$C$4:$C$503)),"")</f>
        <v/>
      </c>
      <c r="EV224" s="169">
        <f>IF(ISNUMBER(I224),I224,2958465)</f>
        <v>2958465.0</v>
      </c>
      <c r="EW224" s="169" t="str">
        <f>IF(EO224=1,SUMPRODUCT(MIN(($EN$4:$EN$503=EN224)*$EV$4:$EV$503+($EN$4:$EN$503&lt;&gt;EN224)*2958465)),"")</f>
        <v/>
      </c>
      <c r="EX224" s="169">
        <f>IF(AND(D224=1,ISNUMBER(INDEX(Charge!$F:$F,ROW()))),INDEX(Charge!$F:$F,ROW()),0)</f>
        <v>0.0</v>
      </c>
      <c r="EY224" s="169"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c r="FF224" t="str">
        <f>IF(B224=1,LEFT(SUBSTITUTE(SUBSTITUTE(SUBSTITUTE(TRIM(SUBSTITUTE(INDEX(Charge!$B:$B,ROW()),CHAR(160)," "))&amp;" | "&amp;TRIM(SUBSTITUTE(INDEX(Charge!$C:$C,ROW()),CHAR(160)," "))&amp;" | "&amp;TRIM(SUBSTITUTE(INDEX(Charge!$D:$D,ROW()),CHAR(160)," ")),"~","-"),"*","+"),"?","!"),240),"")</f>
        <v/>
      </c>
      <c r="FG224">
        <f>IF(B224=1,MAX(0,N(INDEX(Charge!$M:$M,ROW()))),0)</f>
        <v>0</v>
      </c>
      <c r="FH224" s="170" t="str">
        <f>IF(EO224=1,ROUND(SUMIF($FF$4:$FF$503,EN224,$FG$4:$FG$503),2),"")</f>
        <v/>
      </c>
      <c r="FI224" s="170" t="str">
        <f>IF(EO224=1,ROUND(SUMPRODUCT(($FF$4:$FF$503=EN224)*$FG$4:$FG$503*$C$4:$C$503),2),"")</f>
        <v/>
      </c>
      <c r="FJ224" s="170" t="str">
        <f>IF(EO224=1,MAX(0,ROUND(FH224-FI224,2)),"")</f>
        <v/>
      </c>
      <c r="FK224" s="174" t="str">
        <f>IF(EO224=1,IF(OR(EW224&gt;=2958465,EY224=0,EY224&lt;=EW224),"",IF(TODAY()&lt;=EW224,0,IF(TODAY()&gt;EY224,1,IFERROR(NETWORKDAYS(EW224,TODAY()-1,Data!$K$4:$K$203)/NETWORKDAYS(EW224,EY224,Data!$K$4:$K$203),"")))),"")</f>
        <v/>
      </c>
      <c r="FL224" t="str">
        <f>IF(EO224=1,IF(AND(EY224&gt;0,EY224&lt;TODAY(),ROUND(EU224,4)&lt;1),2,IF(FK224="",0,IF(ROUND(EU224-FK224,4)&lt;-0.15,1,0))),"")</f>
        <v/>
      </c>
      <c r="FM224">
        <f>IF(OR(FA224="",COUNTIF($FA$4:FA223,FA224)&gt;0),0,MAX(0,IF(FB224="Interne",IF(ISNUMBER(INDEX(Data!$F:$F,224)),INDEX(Data!$F:$F,224),p_HeuresETP),IF(ISNUMBER(INDEX(Data!$I:$I,224-$CD$23)),INDEX(Data!$I:$I,224-$CD$23),p_HeuresETP))-IF(FB224="Interne",IF(ISNUMBER(INDEX(Data!$G:$G,224)),INDEX(Data!$G:$G,224),p_ChargeFixe),IF(ISNUMBER(INDEX(Data!$J:$J,224-$CD$23)),INDEX(Data!$J:$J,224-$CD$23),p_ChargeFixe))))</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9" t="str">
        <f>IF(AND(D225=1,ISNUMBER(INDEX(Charge!$N:$N,ROW()))),INDEX(Charge!$N:$N,ROW()),"")</f>
        <v/>
      </c>
      <c r="J225" s="169"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70">
        <f>IF(OR($I225="",$E225=0),0,IF(OR($J225&lt;W$3,$I225&gt;W$2),0,IF($K225=0,IF(AND($I225&gt;=W$3,$I225&lt;=W$2),$E225,0),$E225*NETWORKDAYS(MAX($I225,W$3),MIN($J225,W$2),Data!$K$4:$K$203)/$K225)))</f>
        <v>0</v>
      </c>
      <c r="X225" s="170">
        <f>IF(OR($I225="",$E225=0),0,IF(OR($J225&lt;X$3,$I225&gt;X$2),0,IF($K225=0,IF(AND($I225&gt;=X$3,$I225&lt;=X$2),$E225,0),$E225*NETWORKDAYS(MAX($I225,X$3),MIN($J225,X$2),Data!$K$4:$K$203)/$K225)))</f>
        <v>0</v>
      </c>
      <c r="Y225" s="170">
        <f>IF(OR($I225="",$E225=0),0,IF(OR($J225&lt;Y$3,$I225&gt;Y$2),0,IF($K225=0,IF(AND($I225&gt;=Y$3,$I225&lt;=Y$2),$E225,0),$E225*NETWORKDAYS(MAX($I225,Y$3),MIN($J225,Y$2),Data!$K$4:$K$203)/$K225)))</f>
        <v>0</v>
      </c>
      <c r="Z225" s="170">
        <f>IF(OR($I225="",$E225=0),0,IF(OR($J225&lt;Z$3,$I225&gt;Z$2),0,IF($K225=0,IF(AND($I225&gt;=Z$3,$I225&lt;=Z$2),$E225,0),$E225*NETWORKDAYS(MAX($I225,Z$3),MIN($J225,Z$2),Data!$K$4:$K$203)/$K225)))</f>
        <v>0</v>
      </c>
      <c r="AA225" s="170">
        <f>IF(OR($I225="",$E225=0),0,IF(OR($J225&lt;AA$3,$I225&gt;AA$2),0,IF($K225=0,IF(AND($I225&gt;=AA$3,$I225&lt;=AA$2),$E225,0),$E225*NETWORKDAYS(MAX($I225,AA$3),MIN($J225,AA$2),Data!$K$4:$K$203)/$K225)))</f>
        <v>0</v>
      </c>
      <c r="AB225" s="170">
        <f>IF(OR($I225="",$E225=0),0,IF(OR($J225&lt;AB$3,$I225&gt;AB$2),0,IF($K225=0,IF(AND($I225&gt;=AB$3,$I225&lt;=AB$2),$E225,0),$E225*NETWORKDAYS(MAX($I225,AB$3),MIN($J225,AB$2),Data!$K$4:$K$203)/$K225)))</f>
        <v>0</v>
      </c>
      <c r="AC225" s="170">
        <f>IF(OR($I225="",$E225=0),0,IF(OR($J225&lt;AC$3,$I225&gt;AC$2),0,IF($K225=0,IF(AND($I225&gt;=AC$3,$I225&lt;=AC$2),$E225,0),$E225*NETWORKDAYS(MAX($I225,AC$3),MIN($J225,AC$2),Data!$K$4:$K$203)/$K225)))</f>
        <v>0</v>
      </c>
      <c r="AD225" s="170">
        <f>IF(OR($I225="",$E225=0),0,IF(OR($J225&lt;AD$3,$I225&gt;AD$2),0,IF($K225=0,IF(AND($I225&gt;=AD$3,$I225&lt;=AD$2),$E225,0),$E225*NETWORKDAYS(MAX($I225,AD$3),MIN($J225,AD$2),Data!$K$4:$K$203)/$K225)))</f>
        <v>0</v>
      </c>
      <c r="AE225" s="170">
        <f>IF(OR($I225="",$E225=0),0,IF(OR($J225&lt;AE$3,$I225&gt;AE$2),0,IF($K225=0,IF(AND($I225&gt;=AE$3,$I225&lt;=AE$2),$E225,0),$E225*NETWORKDAYS(MAX($I225,AE$3),MIN($J225,AE$2),Data!$K$4:$K$203)/$K225)))</f>
        <v>0</v>
      </c>
      <c r="AF225" s="170">
        <f>IF(OR($I225="",$E225=0),0,IF(OR($J225&lt;AF$3,$I225&gt;AF$2),0,IF($K225=0,IF(AND($I225&gt;=AF$3,$I225&lt;=AF$2),$E225,0),$E225*NETWORKDAYS(MAX($I225,AF$3),MIN($J225,AF$2),Data!$K$4:$K$203)/$K225)))</f>
        <v>0</v>
      </c>
      <c r="AG225" s="170">
        <f>IF(OR($I225="",$E225=0),0,IF(OR($J225&lt;AG$3,$I225&gt;AG$2),0,IF($K225=0,IF(AND($I225&gt;=AG$3,$I225&lt;=AG$2),$E225,0),$E225*NETWORKDAYS(MAX($I225,AG$3),MIN($J225,AG$2),Data!$K$4:$K$203)/$K225)))</f>
        <v>0</v>
      </c>
      <c r="AH225" s="170">
        <f>IF(OR($I225="",$E225=0),0,IF(OR($J225&lt;AH$3,$I225&gt;AH$2),0,IF($K225=0,IF(AND($I225&gt;=AH$3,$I225&lt;=AH$2),$E225,0),$E225*NETWORKDAYS(MAX($I225,AH$3),MIN($J225,AH$2),Data!$K$4:$K$203)/$K225)))</f>
        <v>0</v>
      </c>
      <c r="AI225" s="170">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70"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4" t="str">
        <f>IF(EO225=1,IF(FH225&gt;0,FI225/FH225,AVERAGEIF($FF$4:$FF$503,EN225,$C$4:$C$503)),"")</f>
        <v/>
      </c>
      <c r="EV225" s="169">
        <f>IF(ISNUMBER(I225),I225,2958465)</f>
        <v>2958465.0</v>
      </c>
      <c r="EW225" s="169" t="str">
        <f>IF(EO225=1,SUMPRODUCT(MIN(($EN$4:$EN$503=EN225)*$EV$4:$EV$503+($EN$4:$EN$503&lt;&gt;EN225)*2958465)),"")</f>
        <v/>
      </c>
      <c r="EX225" s="169">
        <f>IF(AND(D225=1,ISNUMBER(INDEX(Charge!$F:$F,ROW()))),INDEX(Charge!$F:$F,ROW()),0)</f>
        <v>0.0</v>
      </c>
      <c r="EY225" s="169"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c r="FF225" t="str">
        <f>IF(B225=1,LEFT(SUBSTITUTE(SUBSTITUTE(SUBSTITUTE(TRIM(SUBSTITUTE(INDEX(Charge!$B:$B,ROW()),CHAR(160)," "))&amp;" | "&amp;TRIM(SUBSTITUTE(INDEX(Charge!$C:$C,ROW()),CHAR(160)," "))&amp;" | "&amp;TRIM(SUBSTITUTE(INDEX(Charge!$D:$D,ROW()),CHAR(160)," ")),"~","-"),"*","+"),"?","!"),240),"")</f>
        <v/>
      </c>
      <c r="FG225">
        <f>IF(B225=1,MAX(0,N(INDEX(Charge!$M:$M,ROW()))),0)</f>
        <v>0</v>
      </c>
      <c r="FH225" s="170" t="str">
        <f>IF(EO225=1,ROUND(SUMIF($FF$4:$FF$503,EN225,$FG$4:$FG$503),2),"")</f>
        <v/>
      </c>
      <c r="FI225" s="170" t="str">
        <f>IF(EO225=1,ROUND(SUMPRODUCT(($FF$4:$FF$503=EN225)*$FG$4:$FG$503*$C$4:$C$503),2),"")</f>
        <v/>
      </c>
      <c r="FJ225" s="170" t="str">
        <f>IF(EO225=1,MAX(0,ROUND(FH225-FI225,2)),"")</f>
        <v/>
      </c>
      <c r="FK225" s="174" t="str">
        <f>IF(EO225=1,IF(OR(EW225&gt;=2958465,EY225=0,EY225&lt;=EW225),"",IF(TODAY()&lt;=EW225,0,IF(TODAY()&gt;EY225,1,IFERROR(NETWORKDAYS(EW225,TODAY()-1,Data!$K$4:$K$203)/NETWORKDAYS(EW225,EY225,Data!$K$4:$K$203),"")))),"")</f>
        <v/>
      </c>
      <c r="FL225" t="str">
        <f>IF(EO225=1,IF(AND(EY225&gt;0,EY225&lt;TODAY(),ROUND(EU225,4)&lt;1),2,IF(FK225="",0,IF(ROUND(EU225-FK225,4)&lt;-0.15,1,0))),"")</f>
        <v/>
      </c>
      <c r="FM225">
        <f>IF(OR(FA225="",COUNTIF($FA$4:FA224,FA225)&gt;0),0,MAX(0,IF(FB225="Interne",IF(ISNUMBER(INDEX(Data!$F:$F,225)),INDEX(Data!$F:$F,225),p_HeuresETP),IF(ISNUMBER(INDEX(Data!$I:$I,225-$CD$23)),INDEX(Data!$I:$I,225-$CD$23),p_HeuresETP))-IF(FB225="Interne",IF(ISNUMBER(INDEX(Data!$G:$G,225)),INDEX(Data!$G:$G,225),p_ChargeFixe),IF(ISNUMBER(INDEX(Data!$J:$J,225-$CD$23)),INDEX(Data!$J:$J,225-$CD$23),p_ChargeFixe))))</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9" t="str">
        <f>IF(AND(D226=1,ISNUMBER(INDEX(Charge!$N:$N,ROW()))),INDEX(Charge!$N:$N,ROW()),"")</f>
        <v/>
      </c>
      <c r="J226" s="169"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70">
        <f>IF(OR($I226="",$E226=0),0,IF(OR($J226&lt;W$3,$I226&gt;W$2),0,IF($K226=0,IF(AND($I226&gt;=W$3,$I226&lt;=W$2),$E226,0),$E226*NETWORKDAYS(MAX($I226,W$3),MIN($J226,W$2),Data!$K$4:$K$203)/$K226)))</f>
        <v>0</v>
      </c>
      <c r="X226" s="170">
        <f>IF(OR($I226="",$E226=0),0,IF(OR($J226&lt;X$3,$I226&gt;X$2),0,IF($K226=0,IF(AND($I226&gt;=X$3,$I226&lt;=X$2),$E226,0),$E226*NETWORKDAYS(MAX($I226,X$3),MIN($J226,X$2),Data!$K$4:$K$203)/$K226)))</f>
        <v>0</v>
      </c>
      <c r="Y226" s="170">
        <f>IF(OR($I226="",$E226=0),0,IF(OR($J226&lt;Y$3,$I226&gt;Y$2),0,IF($K226=0,IF(AND($I226&gt;=Y$3,$I226&lt;=Y$2),$E226,0),$E226*NETWORKDAYS(MAX($I226,Y$3),MIN($J226,Y$2),Data!$K$4:$K$203)/$K226)))</f>
        <v>0</v>
      </c>
      <c r="Z226" s="170">
        <f>IF(OR($I226="",$E226=0),0,IF(OR($J226&lt;Z$3,$I226&gt;Z$2),0,IF($K226=0,IF(AND($I226&gt;=Z$3,$I226&lt;=Z$2),$E226,0),$E226*NETWORKDAYS(MAX($I226,Z$3),MIN($J226,Z$2),Data!$K$4:$K$203)/$K226)))</f>
        <v>0</v>
      </c>
      <c r="AA226" s="170">
        <f>IF(OR($I226="",$E226=0),0,IF(OR($J226&lt;AA$3,$I226&gt;AA$2),0,IF($K226=0,IF(AND($I226&gt;=AA$3,$I226&lt;=AA$2),$E226,0),$E226*NETWORKDAYS(MAX($I226,AA$3),MIN($J226,AA$2),Data!$K$4:$K$203)/$K226)))</f>
        <v>0</v>
      </c>
      <c r="AB226" s="170">
        <f>IF(OR($I226="",$E226=0),0,IF(OR($J226&lt;AB$3,$I226&gt;AB$2),0,IF($K226=0,IF(AND($I226&gt;=AB$3,$I226&lt;=AB$2),$E226,0),$E226*NETWORKDAYS(MAX($I226,AB$3),MIN($J226,AB$2),Data!$K$4:$K$203)/$K226)))</f>
        <v>0</v>
      </c>
      <c r="AC226" s="170">
        <f>IF(OR($I226="",$E226=0),0,IF(OR($J226&lt;AC$3,$I226&gt;AC$2),0,IF($K226=0,IF(AND($I226&gt;=AC$3,$I226&lt;=AC$2),$E226,0),$E226*NETWORKDAYS(MAX($I226,AC$3),MIN($J226,AC$2),Data!$K$4:$K$203)/$K226)))</f>
        <v>0</v>
      </c>
      <c r="AD226" s="170">
        <f>IF(OR($I226="",$E226=0),0,IF(OR($J226&lt;AD$3,$I226&gt;AD$2),0,IF($K226=0,IF(AND($I226&gt;=AD$3,$I226&lt;=AD$2),$E226,0),$E226*NETWORKDAYS(MAX($I226,AD$3),MIN($J226,AD$2),Data!$K$4:$K$203)/$K226)))</f>
        <v>0</v>
      </c>
      <c r="AE226" s="170">
        <f>IF(OR($I226="",$E226=0),0,IF(OR($J226&lt;AE$3,$I226&gt;AE$2),0,IF($K226=0,IF(AND($I226&gt;=AE$3,$I226&lt;=AE$2),$E226,0),$E226*NETWORKDAYS(MAX($I226,AE$3),MIN($J226,AE$2),Data!$K$4:$K$203)/$K226)))</f>
        <v>0</v>
      </c>
      <c r="AF226" s="170">
        <f>IF(OR($I226="",$E226=0),0,IF(OR($J226&lt;AF$3,$I226&gt;AF$2),0,IF($K226=0,IF(AND($I226&gt;=AF$3,$I226&lt;=AF$2),$E226,0),$E226*NETWORKDAYS(MAX($I226,AF$3),MIN($J226,AF$2),Data!$K$4:$K$203)/$K226)))</f>
        <v>0</v>
      </c>
      <c r="AG226" s="170">
        <f>IF(OR($I226="",$E226=0),0,IF(OR($J226&lt;AG$3,$I226&gt;AG$2),0,IF($K226=0,IF(AND($I226&gt;=AG$3,$I226&lt;=AG$2),$E226,0),$E226*NETWORKDAYS(MAX($I226,AG$3),MIN($J226,AG$2),Data!$K$4:$K$203)/$K226)))</f>
        <v>0</v>
      </c>
      <c r="AH226" s="170">
        <f>IF(OR($I226="",$E226=0),0,IF(OR($J226&lt;AH$3,$I226&gt;AH$2),0,IF($K226=0,IF(AND($I226&gt;=AH$3,$I226&lt;=AH$2),$E226,0),$E226*NETWORKDAYS(MAX($I226,AH$3),MIN($J226,AH$2),Data!$K$4:$K$203)/$K226)))</f>
        <v>0</v>
      </c>
      <c r="AI226" s="170">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70"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4" t="str">
        <f>IF(EO226=1,IF(FH226&gt;0,FI226/FH226,AVERAGEIF($FF$4:$FF$503,EN226,$C$4:$C$503)),"")</f>
        <v/>
      </c>
      <c r="EV226" s="169">
        <f>IF(ISNUMBER(I226),I226,2958465)</f>
        <v>2958465.0</v>
      </c>
      <c r="EW226" s="169" t="str">
        <f>IF(EO226=1,SUMPRODUCT(MIN(($EN$4:$EN$503=EN226)*$EV$4:$EV$503+($EN$4:$EN$503&lt;&gt;EN226)*2958465)),"")</f>
        <v/>
      </c>
      <c r="EX226" s="169">
        <f>IF(AND(D226=1,ISNUMBER(INDEX(Charge!$F:$F,ROW()))),INDEX(Charge!$F:$F,ROW()),0)</f>
        <v>0.0</v>
      </c>
      <c r="EY226" s="169"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c r="FF226" t="str">
        <f>IF(B226=1,LEFT(SUBSTITUTE(SUBSTITUTE(SUBSTITUTE(TRIM(SUBSTITUTE(INDEX(Charge!$B:$B,ROW()),CHAR(160)," "))&amp;" | "&amp;TRIM(SUBSTITUTE(INDEX(Charge!$C:$C,ROW()),CHAR(160)," "))&amp;" | "&amp;TRIM(SUBSTITUTE(INDEX(Charge!$D:$D,ROW()),CHAR(160)," ")),"~","-"),"*","+"),"?","!"),240),"")</f>
        <v/>
      </c>
      <c r="FG226">
        <f>IF(B226=1,MAX(0,N(INDEX(Charge!$M:$M,ROW()))),0)</f>
        <v>0</v>
      </c>
      <c r="FH226" s="170" t="str">
        <f>IF(EO226=1,ROUND(SUMIF($FF$4:$FF$503,EN226,$FG$4:$FG$503),2),"")</f>
        <v/>
      </c>
      <c r="FI226" s="170" t="str">
        <f>IF(EO226=1,ROUND(SUMPRODUCT(($FF$4:$FF$503=EN226)*$FG$4:$FG$503*$C$4:$C$503),2),"")</f>
        <v/>
      </c>
      <c r="FJ226" s="170" t="str">
        <f>IF(EO226=1,MAX(0,ROUND(FH226-FI226,2)),"")</f>
        <v/>
      </c>
      <c r="FK226" s="174" t="str">
        <f>IF(EO226=1,IF(OR(EW226&gt;=2958465,EY226=0,EY226&lt;=EW226),"",IF(TODAY()&lt;=EW226,0,IF(TODAY()&gt;EY226,1,IFERROR(NETWORKDAYS(EW226,TODAY()-1,Data!$K$4:$K$203)/NETWORKDAYS(EW226,EY226,Data!$K$4:$K$203),"")))),"")</f>
        <v/>
      </c>
      <c r="FL226" t="str">
        <f>IF(EO226=1,IF(AND(EY226&gt;0,EY226&lt;TODAY(),ROUND(EU226,4)&lt;1),2,IF(FK226="",0,IF(ROUND(EU226-FK226,4)&lt;-0.15,1,0))),"")</f>
        <v/>
      </c>
      <c r="FM226">
        <f>IF(OR(FA226="",COUNTIF($FA$4:FA225,FA226)&gt;0),0,MAX(0,IF(FB226="Interne",IF(ISNUMBER(INDEX(Data!$F:$F,226)),INDEX(Data!$F:$F,226),p_HeuresETP),IF(ISNUMBER(INDEX(Data!$I:$I,226-$CD$23)),INDEX(Data!$I:$I,226-$CD$23),p_HeuresETP))-IF(FB226="Interne",IF(ISNUMBER(INDEX(Data!$G:$G,226)),INDEX(Data!$G:$G,226),p_ChargeFixe),IF(ISNUMBER(INDEX(Data!$J:$J,226-$CD$23)),INDEX(Data!$J:$J,226-$CD$23),p_ChargeFixe))))</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9" t="str">
        <f>IF(AND(D227=1,ISNUMBER(INDEX(Charge!$N:$N,ROW()))),INDEX(Charge!$N:$N,ROW()),"")</f>
        <v/>
      </c>
      <c r="J227" s="169"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70">
        <f>IF(OR($I227="",$E227=0),0,IF(OR($J227&lt;W$3,$I227&gt;W$2),0,IF($K227=0,IF(AND($I227&gt;=W$3,$I227&lt;=W$2),$E227,0),$E227*NETWORKDAYS(MAX($I227,W$3),MIN($J227,W$2),Data!$K$4:$K$203)/$K227)))</f>
        <v>0</v>
      </c>
      <c r="X227" s="170">
        <f>IF(OR($I227="",$E227=0),0,IF(OR($J227&lt;X$3,$I227&gt;X$2),0,IF($K227=0,IF(AND($I227&gt;=X$3,$I227&lt;=X$2),$E227,0),$E227*NETWORKDAYS(MAX($I227,X$3),MIN($J227,X$2),Data!$K$4:$K$203)/$K227)))</f>
        <v>0</v>
      </c>
      <c r="Y227" s="170">
        <f>IF(OR($I227="",$E227=0),0,IF(OR($J227&lt;Y$3,$I227&gt;Y$2),0,IF($K227=0,IF(AND($I227&gt;=Y$3,$I227&lt;=Y$2),$E227,0),$E227*NETWORKDAYS(MAX($I227,Y$3),MIN($J227,Y$2),Data!$K$4:$K$203)/$K227)))</f>
        <v>0</v>
      </c>
      <c r="Z227" s="170">
        <f>IF(OR($I227="",$E227=0),0,IF(OR($J227&lt;Z$3,$I227&gt;Z$2),0,IF($K227=0,IF(AND($I227&gt;=Z$3,$I227&lt;=Z$2),$E227,0),$E227*NETWORKDAYS(MAX($I227,Z$3),MIN($J227,Z$2),Data!$K$4:$K$203)/$K227)))</f>
        <v>0</v>
      </c>
      <c r="AA227" s="170">
        <f>IF(OR($I227="",$E227=0),0,IF(OR($J227&lt;AA$3,$I227&gt;AA$2),0,IF($K227=0,IF(AND($I227&gt;=AA$3,$I227&lt;=AA$2),$E227,0),$E227*NETWORKDAYS(MAX($I227,AA$3),MIN($J227,AA$2),Data!$K$4:$K$203)/$K227)))</f>
        <v>0</v>
      </c>
      <c r="AB227" s="170">
        <f>IF(OR($I227="",$E227=0),0,IF(OR($J227&lt;AB$3,$I227&gt;AB$2),0,IF($K227=0,IF(AND($I227&gt;=AB$3,$I227&lt;=AB$2),$E227,0),$E227*NETWORKDAYS(MAX($I227,AB$3),MIN($J227,AB$2),Data!$K$4:$K$203)/$K227)))</f>
        <v>0</v>
      </c>
      <c r="AC227" s="170">
        <f>IF(OR($I227="",$E227=0),0,IF(OR($J227&lt;AC$3,$I227&gt;AC$2),0,IF($K227=0,IF(AND($I227&gt;=AC$3,$I227&lt;=AC$2),$E227,0),$E227*NETWORKDAYS(MAX($I227,AC$3),MIN($J227,AC$2),Data!$K$4:$K$203)/$K227)))</f>
        <v>0</v>
      </c>
      <c r="AD227" s="170">
        <f>IF(OR($I227="",$E227=0),0,IF(OR($J227&lt;AD$3,$I227&gt;AD$2),0,IF($K227=0,IF(AND($I227&gt;=AD$3,$I227&lt;=AD$2),$E227,0),$E227*NETWORKDAYS(MAX($I227,AD$3),MIN($J227,AD$2),Data!$K$4:$K$203)/$K227)))</f>
        <v>0</v>
      </c>
      <c r="AE227" s="170">
        <f>IF(OR($I227="",$E227=0),0,IF(OR($J227&lt;AE$3,$I227&gt;AE$2),0,IF($K227=0,IF(AND($I227&gt;=AE$3,$I227&lt;=AE$2),$E227,0),$E227*NETWORKDAYS(MAX($I227,AE$3),MIN($J227,AE$2),Data!$K$4:$K$203)/$K227)))</f>
        <v>0</v>
      </c>
      <c r="AF227" s="170">
        <f>IF(OR($I227="",$E227=0),0,IF(OR($J227&lt;AF$3,$I227&gt;AF$2),0,IF($K227=0,IF(AND($I227&gt;=AF$3,$I227&lt;=AF$2),$E227,0),$E227*NETWORKDAYS(MAX($I227,AF$3),MIN($J227,AF$2),Data!$K$4:$K$203)/$K227)))</f>
        <v>0</v>
      </c>
      <c r="AG227" s="170">
        <f>IF(OR($I227="",$E227=0),0,IF(OR($J227&lt;AG$3,$I227&gt;AG$2),0,IF($K227=0,IF(AND($I227&gt;=AG$3,$I227&lt;=AG$2),$E227,0),$E227*NETWORKDAYS(MAX($I227,AG$3),MIN($J227,AG$2),Data!$K$4:$K$203)/$K227)))</f>
        <v>0</v>
      </c>
      <c r="AH227" s="170">
        <f>IF(OR($I227="",$E227=0),0,IF(OR($J227&lt;AH$3,$I227&gt;AH$2),0,IF($K227=0,IF(AND($I227&gt;=AH$3,$I227&lt;=AH$2),$E227,0),$E227*NETWORKDAYS(MAX($I227,AH$3),MIN($J227,AH$2),Data!$K$4:$K$203)/$K227)))</f>
        <v>0</v>
      </c>
      <c r="AI227" s="170">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70"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4" t="str">
        <f>IF(EO227=1,IF(FH227&gt;0,FI227/FH227,AVERAGEIF($FF$4:$FF$503,EN227,$C$4:$C$503)),"")</f>
        <v/>
      </c>
      <c r="EV227" s="169">
        <f>IF(ISNUMBER(I227),I227,2958465)</f>
        <v>2958465.0</v>
      </c>
      <c r="EW227" s="169" t="str">
        <f>IF(EO227=1,SUMPRODUCT(MIN(($EN$4:$EN$503=EN227)*$EV$4:$EV$503+($EN$4:$EN$503&lt;&gt;EN227)*2958465)),"")</f>
        <v/>
      </c>
      <c r="EX227" s="169">
        <f>IF(AND(D227=1,ISNUMBER(INDEX(Charge!$F:$F,ROW()))),INDEX(Charge!$F:$F,ROW()),0)</f>
        <v>0.0</v>
      </c>
      <c r="EY227" s="169"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c r="FF227" t="str">
        <f>IF(B227=1,LEFT(SUBSTITUTE(SUBSTITUTE(SUBSTITUTE(TRIM(SUBSTITUTE(INDEX(Charge!$B:$B,ROW()),CHAR(160)," "))&amp;" | "&amp;TRIM(SUBSTITUTE(INDEX(Charge!$C:$C,ROW()),CHAR(160)," "))&amp;" | "&amp;TRIM(SUBSTITUTE(INDEX(Charge!$D:$D,ROW()),CHAR(160)," ")),"~","-"),"*","+"),"?","!"),240),"")</f>
        <v/>
      </c>
      <c r="FG227">
        <f>IF(B227=1,MAX(0,N(INDEX(Charge!$M:$M,ROW()))),0)</f>
        <v>0</v>
      </c>
      <c r="FH227" s="170" t="str">
        <f>IF(EO227=1,ROUND(SUMIF($FF$4:$FF$503,EN227,$FG$4:$FG$503),2),"")</f>
        <v/>
      </c>
      <c r="FI227" s="170" t="str">
        <f>IF(EO227=1,ROUND(SUMPRODUCT(($FF$4:$FF$503=EN227)*$FG$4:$FG$503*$C$4:$C$503),2),"")</f>
        <v/>
      </c>
      <c r="FJ227" s="170" t="str">
        <f>IF(EO227=1,MAX(0,ROUND(FH227-FI227,2)),"")</f>
        <v/>
      </c>
      <c r="FK227" s="174" t="str">
        <f>IF(EO227=1,IF(OR(EW227&gt;=2958465,EY227=0,EY227&lt;=EW227),"",IF(TODAY()&lt;=EW227,0,IF(TODAY()&gt;EY227,1,IFERROR(NETWORKDAYS(EW227,TODAY()-1,Data!$K$4:$K$203)/NETWORKDAYS(EW227,EY227,Data!$K$4:$K$203),"")))),"")</f>
        <v/>
      </c>
      <c r="FL227" t="str">
        <f>IF(EO227=1,IF(AND(EY227&gt;0,EY227&lt;TODAY(),ROUND(EU227,4)&lt;1),2,IF(FK227="",0,IF(ROUND(EU227-FK227,4)&lt;-0.15,1,0))),"")</f>
        <v/>
      </c>
      <c r="FM227">
        <f>IF(OR(FA227="",COUNTIF($FA$4:FA226,FA227)&gt;0),0,MAX(0,IF(FB227="Interne",IF(ISNUMBER(INDEX(Data!$F:$F,227)),INDEX(Data!$F:$F,227),p_HeuresETP),IF(ISNUMBER(INDEX(Data!$I:$I,227-$CD$23)),INDEX(Data!$I:$I,227-$CD$23),p_HeuresETP))-IF(FB227="Interne",IF(ISNUMBER(INDEX(Data!$G:$G,227)),INDEX(Data!$G:$G,227),p_ChargeFixe),IF(ISNUMBER(INDEX(Data!$J:$J,227-$CD$23)),INDEX(Data!$J:$J,227-$CD$23),p_ChargeFixe))))</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9" t="str">
        <f>IF(AND(D228=1,ISNUMBER(INDEX(Charge!$N:$N,ROW()))),INDEX(Charge!$N:$N,ROW()),"")</f>
        <v/>
      </c>
      <c r="J228" s="169"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70">
        <f>IF(OR($I228="",$E228=0),0,IF(OR($J228&lt;W$3,$I228&gt;W$2),0,IF($K228=0,IF(AND($I228&gt;=W$3,$I228&lt;=W$2),$E228,0),$E228*NETWORKDAYS(MAX($I228,W$3),MIN($J228,W$2),Data!$K$4:$K$203)/$K228)))</f>
        <v>0</v>
      </c>
      <c r="X228" s="170">
        <f>IF(OR($I228="",$E228=0),0,IF(OR($J228&lt;X$3,$I228&gt;X$2),0,IF($K228=0,IF(AND($I228&gt;=X$3,$I228&lt;=X$2),$E228,0),$E228*NETWORKDAYS(MAX($I228,X$3),MIN($J228,X$2),Data!$K$4:$K$203)/$K228)))</f>
        <v>0</v>
      </c>
      <c r="Y228" s="170">
        <f>IF(OR($I228="",$E228=0),0,IF(OR($J228&lt;Y$3,$I228&gt;Y$2),0,IF($K228=0,IF(AND($I228&gt;=Y$3,$I228&lt;=Y$2),$E228,0),$E228*NETWORKDAYS(MAX($I228,Y$3),MIN($J228,Y$2),Data!$K$4:$K$203)/$K228)))</f>
        <v>0</v>
      </c>
      <c r="Z228" s="170">
        <f>IF(OR($I228="",$E228=0),0,IF(OR($J228&lt;Z$3,$I228&gt;Z$2),0,IF($K228=0,IF(AND($I228&gt;=Z$3,$I228&lt;=Z$2),$E228,0),$E228*NETWORKDAYS(MAX($I228,Z$3),MIN($J228,Z$2),Data!$K$4:$K$203)/$K228)))</f>
        <v>0</v>
      </c>
      <c r="AA228" s="170">
        <f>IF(OR($I228="",$E228=0),0,IF(OR($J228&lt;AA$3,$I228&gt;AA$2),0,IF($K228=0,IF(AND($I228&gt;=AA$3,$I228&lt;=AA$2),$E228,0),$E228*NETWORKDAYS(MAX($I228,AA$3),MIN($J228,AA$2),Data!$K$4:$K$203)/$K228)))</f>
        <v>0</v>
      </c>
      <c r="AB228" s="170">
        <f>IF(OR($I228="",$E228=0),0,IF(OR($J228&lt;AB$3,$I228&gt;AB$2),0,IF($K228=0,IF(AND($I228&gt;=AB$3,$I228&lt;=AB$2),$E228,0),$E228*NETWORKDAYS(MAX($I228,AB$3),MIN($J228,AB$2),Data!$K$4:$K$203)/$K228)))</f>
        <v>0</v>
      </c>
      <c r="AC228" s="170">
        <f>IF(OR($I228="",$E228=0),0,IF(OR($J228&lt;AC$3,$I228&gt;AC$2),0,IF($K228=0,IF(AND($I228&gt;=AC$3,$I228&lt;=AC$2),$E228,0),$E228*NETWORKDAYS(MAX($I228,AC$3),MIN($J228,AC$2),Data!$K$4:$K$203)/$K228)))</f>
        <v>0</v>
      </c>
      <c r="AD228" s="170">
        <f>IF(OR($I228="",$E228=0),0,IF(OR($J228&lt;AD$3,$I228&gt;AD$2),0,IF($K228=0,IF(AND($I228&gt;=AD$3,$I228&lt;=AD$2),$E228,0),$E228*NETWORKDAYS(MAX($I228,AD$3),MIN($J228,AD$2),Data!$K$4:$K$203)/$K228)))</f>
        <v>0</v>
      </c>
      <c r="AE228" s="170">
        <f>IF(OR($I228="",$E228=0),0,IF(OR($J228&lt;AE$3,$I228&gt;AE$2),0,IF($K228=0,IF(AND($I228&gt;=AE$3,$I228&lt;=AE$2),$E228,0),$E228*NETWORKDAYS(MAX($I228,AE$3),MIN($J228,AE$2),Data!$K$4:$K$203)/$K228)))</f>
        <v>0</v>
      </c>
      <c r="AF228" s="170">
        <f>IF(OR($I228="",$E228=0),0,IF(OR($J228&lt;AF$3,$I228&gt;AF$2),0,IF($K228=0,IF(AND($I228&gt;=AF$3,$I228&lt;=AF$2),$E228,0),$E228*NETWORKDAYS(MAX($I228,AF$3),MIN($J228,AF$2),Data!$K$4:$K$203)/$K228)))</f>
        <v>0</v>
      </c>
      <c r="AG228" s="170">
        <f>IF(OR($I228="",$E228=0),0,IF(OR($J228&lt;AG$3,$I228&gt;AG$2),0,IF($K228=0,IF(AND($I228&gt;=AG$3,$I228&lt;=AG$2),$E228,0),$E228*NETWORKDAYS(MAX($I228,AG$3),MIN($J228,AG$2),Data!$K$4:$K$203)/$K228)))</f>
        <v>0</v>
      </c>
      <c r="AH228" s="170">
        <f>IF(OR($I228="",$E228=0),0,IF(OR($J228&lt;AH$3,$I228&gt;AH$2),0,IF($K228=0,IF(AND($I228&gt;=AH$3,$I228&lt;=AH$2),$E228,0),$E228*NETWORKDAYS(MAX($I228,AH$3),MIN($J228,AH$2),Data!$K$4:$K$203)/$K228)))</f>
        <v>0</v>
      </c>
      <c r="AI228" s="170">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70"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4" t="str">
        <f>IF(EO228=1,IF(FH228&gt;0,FI228/FH228,AVERAGEIF($FF$4:$FF$503,EN228,$C$4:$C$503)),"")</f>
        <v/>
      </c>
      <c r="EV228" s="169">
        <f>IF(ISNUMBER(I228),I228,2958465)</f>
        <v>2958465.0</v>
      </c>
      <c r="EW228" s="169" t="str">
        <f>IF(EO228=1,SUMPRODUCT(MIN(($EN$4:$EN$503=EN228)*$EV$4:$EV$503+($EN$4:$EN$503&lt;&gt;EN228)*2958465)),"")</f>
        <v/>
      </c>
      <c r="EX228" s="169">
        <f>IF(AND(D228=1,ISNUMBER(INDEX(Charge!$F:$F,ROW()))),INDEX(Charge!$F:$F,ROW()),0)</f>
        <v>0.0</v>
      </c>
      <c r="EY228" s="169"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c r="FF228" t="str">
        <f>IF(B228=1,LEFT(SUBSTITUTE(SUBSTITUTE(SUBSTITUTE(TRIM(SUBSTITUTE(INDEX(Charge!$B:$B,ROW()),CHAR(160)," "))&amp;" | "&amp;TRIM(SUBSTITUTE(INDEX(Charge!$C:$C,ROW()),CHAR(160)," "))&amp;" | "&amp;TRIM(SUBSTITUTE(INDEX(Charge!$D:$D,ROW()),CHAR(160)," ")),"~","-"),"*","+"),"?","!"),240),"")</f>
        <v/>
      </c>
      <c r="FG228">
        <f>IF(B228=1,MAX(0,N(INDEX(Charge!$M:$M,ROW()))),0)</f>
        <v>0</v>
      </c>
      <c r="FH228" s="170" t="str">
        <f>IF(EO228=1,ROUND(SUMIF($FF$4:$FF$503,EN228,$FG$4:$FG$503),2),"")</f>
        <v/>
      </c>
      <c r="FI228" s="170" t="str">
        <f>IF(EO228=1,ROUND(SUMPRODUCT(($FF$4:$FF$503=EN228)*$FG$4:$FG$503*$C$4:$C$503),2),"")</f>
        <v/>
      </c>
      <c r="FJ228" s="170" t="str">
        <f>IF(EO228=1,MAX(0,ROUND(FH228-FI228,2)),"")</f>
        <v/>
      </c>
      <c r="FK228" s="174" t="str">
        <f>IF(EO228=1,IF(OR(EW228&gt;=2958465,EY228=0,EY228&lt;=EW228),"",IF(TODAY()&lt;=EW228,0,IF(TODAY()&gt;EY228,1,IFERROR(NETWORKDAYS(EW228,TODAY()-1,Data!$K$4:$K$203)/NETWORKDAYS(EW228,EY228,Data!$K$4:$K$203),"")))),"")</f>
        <v/>
      </c>
      <c r="FL228" t="str">
        <f>IF(EO228=1,IF(AND(EY228&gt;0,EY228&lt;TODAY(),ROUND(EU228,4)&lt;1),2,IF(FK228="",0,IF(ROUND(EU228-FK228,4)&lt;-0.15,1,0))),"")</f>
        <v/>
      </c>
      <c r="FM228">
        <f>IF(OR(FA228="",COUNTIF($FA$4:FA227,FA228)&gt;0),0,MAX(0,IF(FB228="Interne",IF(ISNUMBER(INDEX(Data!$F:$F,228)),INDEX(Data!$F:$F,228),p_HeuresETP),IF(ISNUMBER(INDEX(Data!$I:$I,228-$CD$23)),INDEX(Data!$I:$I,228-$CD$23),p_HeuresETP))-IF(FB228="Interne",IF(ISNUMBER(INDEX(Data!$G:$G,228)),INDEX(Data!$G:$G,228),p_ChargeFixe),IF(ISNUMBER(INDEX(Data!$J:$J,228-$CD$23)),INDEX(Data!$J:$J,228-$CD$23),p_ChargeFixe))))</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9" t="str">
        <f>IF(AND(D229=1,ISNUMBER(INDEX(Charge!$N:$N,ROW()))),INDEX(Charge!$N:$N,ROW()),"")</f>
        <v/>
      </c>
      <c r="J229" s="169"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70">
        <f>IF(OR($I229="",$E229=0),0,IF(OR($J229&lt;W$3,$I229&gt;W$2),0,IF($K229=0,IF(AND($I229&gt;=W$3,$I229&lt;=W$2),$E229,0),$E229*NETWORKDAYS(MAX($I229,W$3),MIN($J229,W$2),Data!$K$4:$K$203)/$K229)))</f>
        <v>0</v>
      </c>
      <c r="X229" s="170">
        <f>IF(OR($I229="",$E229=0),0,IF(OR($J229&lt;X$3,$I229&gt;X$2),0,IF($K229=0,IF(AND($I229&gt;=X$3,$I229&lt;=X$2),$E229,0),$E229*NETWORKDAYS(MAX($I229,X$3),MIN($J229,X$2),Data!$K$4:$K$203)/$K229)))</f>
        <v>0</v>
      </c>
      <c r="Y229" s="170">
        <f>IF(OR($I229="",$E229=0),0,IF(OR($J229&lt;Y$3,$I229&gt;Y$2),0,IF($K229=0,IF(AND($I229&gt;=Y$3,$I229&lt;=Y$2),$E229,0),$E229*NETWORKDAYS(MAX($I229,Y$3),MIN($J229,Y$2),Data!$K$4:$K$203)/$K229)))</f>
        <v>0</v>
      </c>
      <c r="Z229" s="170">
        <f>IF(OR($I229="",$E229=0),0,IF(OR($J229&lt;Z$3,$I229&gt;Z$2),0,IF($K229=0,IF(AND($I229&gt;=Z$3,$I229&lt;=Z$2),$E229,0),$E229*NETWORKDAYS(MAX($I229,Z$3),MIN($J229,Z$2),Data!$K$4:$K$203)/$K229)))</f>
        <v>0</v>
      </c>
      <c r="AA229" s="170">
        <f>IF(OR($I229="",$E229=0),0,IF(OR($J229&lt;AA$3,$I229&gt;AA$2),0,IF($K229=0,IF(AND($I229&gt;=AA$3,$I229&lt;=AA$2),$E229,0),$E229*NETWORKDAYS(MAX($I229,AA$3),MIN($J229,AA$2),Data!$K$4:$K$203)/$K229)))</f>
        <v>0</v>
      </c>
      <c r="AB229" s="170">
        <f>IF(OR($I229="",$E229=0),0,IF(OR($J229&lt;AB$3,$I229&gt;AB$2),0,IF($K229=0,IF(AND($I229&gt;=AB$3,$I229&lt;=AB$2),$E229,0),$E229*NETWORKDAYS(MAX($I229,AB$3),MIN($J229,AB$2),Data!$K$4:$K$203)/$K229)))</f>
        <v>0</v>
      </c>
      <c r="AC229" s="170">
        <f>IF(OR($I229="",$E229=0),0,IF(OR($J229&lt;AC$3,$I229&gt;AC$2),0,IF($K229=0,IF(AND($I229&gt;=AC$3,$I229&lt;=AC$2),$E229,0),$E229*NETWORKDAYS(MAX($I229,AC$3),MIN($J229,AC$2),Data!$K$4:$K$203)/$K229)))</f>
        <v>0</v>
      </c>
      <c r="AD229" s="170">
        <f>IF(OR($I229="",$E229=0),0,IF(OR($J229&lt;AD$3,$I229&gt;AD$2),0,IF($K229=0,IF(AND($I229&gt;=AD$3,$I229&lt;=AD$2),$E229,0),$E229*NETWORKDAYS(MAX($I229,AD$3),MIN($J229,AD$2),Data!$K$4:$K$203)/$K229)))</f>
        <v>0</v>
      </c>
      <c r="AE229" s="170">
        <f>IF(OR($I229="",$E229=0),0,IF(OR($J229&lt;AE$3,$I229&gt;AE$2),0,IF($K229=0,IF(AND($I229&gt;=AE$3,$I229&lt;=AE$2),$E229,0),$E229*NETWORKDAYS(MAX($I229,AE$3),MIN($J229,AE$2),Data!$K$4:$K$203)/$K229)))</f>
        <v>0</v>
      </c>
      <c r="AF229" s="170">
        <f>IF(OR($I229="",$E229=0),0,IF(OR($J229&lt;AF$3,$I229&gt;AF$2),0,IF($K229=0,IF(AND($I229&gt;=AF$3,$I229&lt;=AF$2),$E229,0),$E229*NETWORKDAYS(MAX($I229,AF$3),MIN($J229,AF$2),Data!$K$4:$K$203)/$K229)))</f>
        <v>0</v>
      </c>
      <c r="AG229" s="170">
        <f>IF(OR($I229="",$E229=0),0,IF(OR($J229&lt;AG$3,$I229&gt;AG$2),0,IF($K229=0,IF(AND($I229&gt;=AG$3,$I229&lt;=AG$2),$E229,0),$E229*NETWORKDAYS(MAX($I229,AG$3),MIN($J229,AG$2),Data!$K$4:$K$203)/$K229)))</f>
        <v>0</v>
      </c>
      <c r="AH229" s="170">
        <f>IF(OR($I229="",$E229=0),0,IF(OR($J229&lt;AH$3,$I229&gt;AH$2),0,IF($K229=0,IF(AND($I229&gt;=AH$3,$I229&lt;=AH$2),$E229,0),$E229*NETWORKDAYS(MAX($I229,AH$3),MIN($J229,AH$2),Data!$K$4:$K$203)/$K229)))</f>
        <v>0</v>
      </c>
      <c r="AI229" s="170">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70"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4" t="str">
        <f>IF(EO229=1,IF(FH229&gt;0,FI229/FH229,AVERAGEIF($FF$4:$FF$503,EN229,$C$4:$C$503)),"")</f>
        <v/>
      </c>
      <c r="EV229" s="169">
        <f>IF(ISNUMBER(I229),I229,2958465)</f>
        <v>2958465.0</v>
      </c>
      <c r="EW229" s="169" t="str">
        <f>IF(EO229=1,SUMPRODUCT(MIN(($EN$4:$EN$503=EN229)*$EV$4:$EV$503+($EN$4:$EN$503&lt;&gt;EN229)*2958465)),"")</f>
        <v/>
      </c>
      <c r="EX229" s="169">
        <f>IF(AND(D229=1,ISNUMBER(INDEX(Charge!$F:$F,ROW()))),INDEX(Charge!$F:$F,ROW()),0)</f>
        <v>0.0</v>
      </c>
      <c r="EY229" s="169"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c r="FF229" t="str">
        <f>IF(B229=1,LEFT(SUBSTITUTE(SUBSTITUTE(SUBSTITUTE(TRIM(SUBSTITUTE(INDEX(Charge!$B:$B,ROW()),CHAR(160)," "))&amp;" | "&amp;TRIM(SUBSTITUTE(INDEX(Charge!$C:$C,ROW()),CHAR(160)," "))&amp;" | "&amp;TRIM(SUBSTITUTE(INDEX(Charge!$D:$D,ROW()),CHAR(160)," ")),"~","-"),"*","+"),"?","!"),240),"")</f>
        <v/>
      </c>
      <c r="FG229">
        <f>IF(B229=1,MAX(0,N(INDEX(Charge!$M:$M,ROW()))),0)</f>
        <v>0</v>
      </c>
      <c r="FH229" s="170" t="str">
        <f>IF(EO229=1,ROUND(SUMIF($FF$4:$FF$503,EN229,$FG$4:$FG$503),2),"")</f>
        <v/>
      </c>
      <c r="FI229" s="170" t="str">
        <f>IF(EO229=1,ROUND(SUMPRODUCT(($FF$4:$FF$503=EN229)*$FG$4:$FG$503*$C$4:$C$503),2),"")</f>
        <v/>
      </c>
      <c r="FJ229" s="170" t="str">
        <f>IF(EO229=1,MAX(0,ROUND(FH229-FI229,2)),"")</f>
        <v/>
      </c>
      <c r="FK229" s="174" t="str">
        <f>IF(EO229=1,IF(OR(EW229&gt;=2958465,EY229=0,EY229&lt;=EW229),"",IF(TODAY()&lt;=EW229,0,IF(TODAY()&gt;EY229,1,IFERROR(NETWORKDAYS(EW229,TODAY()-1,Data!$K$4:$K$203)/NETWORKDAYS(EW229,EY229,Data!$K$4:$K$203),"")))),"")</f>
        <v/>
      </c>
      <c r="FL229" t="str">
        <f>IF(EO229=1,IF(AND(EY229&gt;0,EY229&lt;TODAY(),ROUND(EU229,4)&lt;1),2,IF(FK229="",0,IF(ROUND(EU229-FK229,4)&lt;-0.15,1,0))),"")</f>
        <v/>
      </c>
      <c r="FM229">
        <f>IF(OR(FA229="",COUNTIF($FA$4:FA228,FA229)&gt;0),0,MAX(0,IF(FB229="Interne",IF(ISNUMBER(INDEX(Data!$F:$F,229)),INDEX(Data!$F:$F,229),p_HeuresETP),IF(ISNUMBER(INDEX(Data!$I:$I,229-$CD$23)),INDEX(Data!$I:$I,229-$CD$23),p_HeuresETP))-IF(FB229="Interne",IF(ISNUMBER(INDEX(Data!$G:$G,229)),INDEX(Data!$G:$G,229),p_ChargeFixe),IF(ISNUMBER(INDEX(Data!$J:$J,229-$CD$23)),INDEX(Data!$J:$J,229-$CD$23),p_ChargeFixe))))</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9" t="str">
        <f>IF(AND(D230=1,ISNUMBER(INDEX(Charge!$N:$N,ROW()))),INDEX(Charge!$N:$N,ROW()),"")</f>
        <v/>
      </c>
      <c r="J230" s="169"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70">
        <f>IF(OR($I230="",$E230=0),0,IF(OR($J230&lt;W$3,$I230&gt;W$2),0,IF($K230=0,IF(AND($I230&gt;=W$3,$I230&lt;=W$2),$E230,0),$E230*NETWORKDAYS(MAX($I230,W$3),MIN($J230,W$2),Data!$K$4:$K$203)/$K230)))</f>
        <v>0</v>
      </c>
      <c r="X230" s="170">
        <f>IF(OR($I230="",$E230=0),0,IF(OR($J230&lt;X$3,$I230&gt;X$2),0,IF($K230=0,IF(AND($I230&gt;=X$3,$I230&lt;=X$2),$E230,0),$E230*NETWORKDAYS(MAX($I230,X$3),MIN($J230,X$2),Data!$K$4:$K$203)/$K230)))</f>
        <v>0</v>
      </c>
      <c r="Y230" s="170">
        <f>IF(OR($I230="",$E230=0),0,IF(OR($J230&lt;Y$3,$I230&gt;Y$2),0,IF($K230=0,IF(AND($I230&gt;=Y$3,$I230&lt;=Y$2),$E230,0),$E230*NETWORKDAYS(MAX($I230,Y$3),MIN($J230,Y$2),Data!$K$4:$K$203)/$K230)))</f>
        <v>0</v>
      </c>
      <c r="Z230" s="170">
        <f>IF(OR($I230="",$E230=0),0,IF(OR($J230&lt;Z$3,$I230&gt;Z$2),0,IF($K230=0,IF(AND($I230&gt;=Z$3,$I230&lt;=Z$2),$E230,0),$E230*NETWORKDAYS(MAX($I230,Z$3),MIN($J230,Z$2),Data!$K$4:$K$203)/$K230)))</f>
        <v>0</v>
      </c>
      <c r="AA230" s="170">
        <f>IF(OR($I230="",$E230=0),0,IF(OR($J230&lt;AA$3,$I230&gt;AA$2),0,IF($K230=0,IF(AND($I230&gt;=AA$3,$I230&lt;=AA$2),$E230,0),$E230*NETWORKDAYS(MAX($I230,AA$3),MIN($J230,AA$2),Data!$K$4:$K$203)/$K230)))</f>
        <v>0</v>
      </c>
      <c r="AB230" s="170">
        <f>IF(OR($I230="",$E230=0),0,IF(OR($J230&lt;AB$3,$I230&gt;AB$2),0,IF($K230=0,IF(AND($I230&gt;=AB$3,$I230&lt;=AB$2),$E230,0),$E230*NETWORKDAYS(MAX($I230,AB$3),MIN($J230,AB$2),Data!$K$4:$K$203)/$K230)))</f>
        <v>0</v>
      </c>
      <c r="AC230" s="170">
        <f>IF(OR($I230="",$E230=0),0,IF(OR($J230&lt;AC$3,$I230&gt;AC$2),0,IF($K230=0,IF(AND($I230&gt;=AC$3,$I230&lt;=AC$2),$E230,0),$E230*NETWORKDAYS(MAX($I230,AC$3),MIN($J230,AC$2),Data!$K$4:$K$203)/$K230)))</f>
        <v>0</v>
      </c>
      <c r="AD230" s="170">
        <f>IF(OR($I230="",$E230=0),0,IF(OR($J230&lt;AD$3,$I230&gt;AD$2),0,IF($K230=0,IF(AND($I230&gt;=AD$3,$I230&lt;=AD$2),$E230,0),$E230*NETWORKDAYS(MAX($I230,AD$3),MIN($J230,AD$2),Data!$K$4:$K$203)/$K230)))</f>
        <v>0</v>
      </c>
      <c r="AE230" s="170">
        <f>IF(OR($I230="",$E230=0),0,IF(OR($J230&lt;AE$3,$I230&gt;AE$2),0,IF($K230=0,IF(AND($I230&gt;=AE$3,$I230&lt;=AE$2),$E230,0),$E230*NETWORKDAYS(MAX($I230,AE$3),MIN($J230,AE$2),Data!$K$4:$K$203)/$K230)))</f>
        <v>0</v>
      </c>
      <c r="AF230" s="170">
        <f>IF(OR($I230="",$E230=0),0,IF(OR($J230&lt;AF$3,$I230&gt;AF$2),0,IF($K230=0,IF(AND($I230&gt;=AF$3,$I230&lt;=AF$2),$E230,0),$E230*NETWORKDAYS(MAX($I230,AF$3),MIN($J230,AF$2),Data!$K$4:$K$203)/$K230)))</f>
        <v>0</v>
      </c>
      <c r="AG230" s="170">
        <f>IF(OR($I230="",$E230=0),0,IF(OR($J230&lt;AG$3,$I230&gt;AG$2),0,IF($K230=0,IF(AND($I230&gt;=AG$3,$I230&lt;=AG$2),$E230,0),$E230*NETWORKDAYS(MAX($I230,AG$3),MIN($J230,AG$2),Data!$K$4:$K$203)/$K230)))</f>
        <v>0</v>
      </c>
      <c r="AH230" s="170">
        <f>IF(OR($I230="",$E230=0),0,IF(OR($J230&lt;AH$3,$I230&gt;AH$2),0,IF($K230=0,IF(AND($I230&gt;=AH$3,$I230&lt;=AH$2),$E230,0),$E230*NETWORKDAYS(MAX($I230,AH$3),MIN($J230,AH$2),Data!$K$4:$K$203)/$K230)))</f>
        <v>0</v>
      </c>
      <c r="AI230" s="170">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70"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4" t="str">
        <f>IF(EO230=1,IF(FH230&gt;0,FI230/FH230,AVERAGEIF($FF$4:$FF$503,EN230,$C$4:$C$503)),"")</f>
        <v/>
      </c>
      <c r="EV230" s="169">
        <f>IF(ISNUMBER(I230),I230,2958465)</f>
        <v>2958465.0</v>
      </c>
      <c r="EW230" s="169" t="str">
        <f>IF(EO230=1,SUMPRODUCT(MIN(($EN$4:$EN$503=EN230)*$EV$4:$EV$503+($EN$4:$EN$503&lt;&gt;EN230)*2958465)),"")</f>
        <v/>
      </c>
      <c r="EX230" s="169">
        <f>IF(AND(D230=1,ISNUMBER(INDEX(Charge!$F:$F,ROW()))),INDEX(Charge!$F:$F,ROW()),0)</f>
        <v>0.0</v>
      </c>
      <c r="EY230" s="169"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c r="FF230" t="str">
        <f>IF(B230=1,LEFT(SUBSTITUTE(SUBSTITUTE(SUBSTITUTE(TRIM(SUBSTITUTE(INDEX(Charge!$B:$B,ROW()),CHAR(160)," "))&amp;" | "&amp;TRIM(SUBSTITUTE(INDEX(Charge!$C:$C,ROW()),CHAR(160)," "))&amp;" | "&amp;TRIM(SUBSTITUTE(INDEX(Charge!$D:$D,ROW()),CHAR(160)," ")),"~","-"),"*","+"),"?","!"),240),"")</f>
        <v/>
      </c>
      <c r="FG230">
        <f>IF(B230=1,MAX(0,N(INDEX(Charge!$M:$M,ROW()))),0)</f>
        <v>0</v>
      </c>
      <c r="FH230" s="170" t="str">
        <f>IF(EO230=1,ROUND(SUMIF($FF$4:$FF$503,EN230,$FG$4:$FG$503),2),"")</f>
        <v/>
      </c>
      <c r="FI230" s="170" t="str">
        <f>IF(EO230=1,ROUND(SUMPRODUCT(($FF$4:$FF$503=EN230)*$FG$4:$FG$503*$C$4:$C$503),2),"")</f>
        <v/>
      </c>
      <c r="FJ230" s="170" t="str">
        <f>IF(EO230=1,MAX(0,ROUND(FH230-FI230,2)),"")</f>
        <v/>
      </c>
      <c r="FK230" s="174" t="str">
        <f>IF(EO230=1,IF(OR(EW230&gt;=2958465,EY230=0,EY230&lt;=EW230),"",IF(TODAY()&lt;=EW230,0,IF(TODAY()&gt;EY230,1,IFERROR(NETWORKDAYS(EW230,TODAY()-1,Data!$K$4:$K$203)/NETWORKDAYS(EW230,EY230,Data!$K$4:$K$203),"")))),"")</f>
        <v/>
      </c>
      <c r="FL230" t="str">
        <f>IF(EO230=1,IF(AND(EY230&gt;0,EY230&lt;TODAY(),ROUND(EU230,4)&lt;1),2,IF(FK230="",0,IF(ROUND(EU230-FK230,4)&lt;-0.15,1,0))),"")</f>
        <v/>
      </c>
      <c r="FM230">
        <f>IF(OR(FA230="",COUNTIF($FA$4:FA229,FA230)&gt;0),0,MAX(0,IF(FB230="Interne",IF(ISNUMBER(INDEX(Data!$F:$F,230)),INDEX(Data!$F:$F,230),p_HeuresETP),IF(ISNUMBER(INDEX(Data!$I:$I,230-$CD$23)),INDEX(Data!$I:$I,230-$CD$23),p_HeuresETP))-IF(FB230="Interne",IF(ISNUMBER(INDEX(Data!$G:$G,230)),INDEX(Data!$G:$G,230),p_ChargeFixe),IF(ISNUMBER(INDEX(Data!$J:$J,230-$CD$23)),INDEX(Data!$J:$J,230-$CD$23),p_ChargeFixe))))</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9" t="str">
        <f>IF(AND(D231=1,ISNUMBER(INDEX(Charge!$N:$N,ROW()))),INDEX(Charge!$N:$N,ROW()),"")</f>
        <v/>
      </c>
      <c r="J231" s="169"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70">
        <f>IF(OR($I231="",$E231=0),0,IF(OR($J231&lt;W$3,$I231&gt;W$2),0,IF($K231=0,IF(AND($I231&gt;=W$3,$I231&lt;=W$2),$E231,0),$E231*NETWORKDAYS(MAX($I231,W$3),MIN($J231,W$2),Data!$K$4:$K$203)/$K231)))</f>
        <v>0</v>
      </c>
      <c r="X231" s="170">
        <f>IF(OR($I231="",$E231=0),0,IF(OR($J231&lt;X$3,$I231&gt;X$2),0,IF($K231=0,IF(AND($I231&gt;=X$3,$I231&lt;=X$2),$E231,0),$E231*NETWORKDAYS(MAX($I231,X$3),MIN($J231,X$2),Data!$K$4:$K$203)/$K231)))</f>
        <v>0</v>
      </c>
      <c r="Y231" s="170">
        <f>IF(OR($I231="",$E231=0),0,IF(OR($J231&lt;Y$3,$I231&gt;Y$2),0,IF($K231=0,IF(AND($I231&gt;=Y$3,$I231&lt;=Y$2),$E231,0),$E231*NETWORKDAYS(MAX($I231,Y$3),MIN($J231,Y$2),Data!$K$4:$K$203)/$K231)))</f>
        <v>0</v>
      </c>
      <c r="Z231" s="170">
        <f>IF(OR($I231="",$E231=0),0,IF(OR($J231&lt;Z$3,$I231&gt;Z$2),0,IF($K231=0,IF(AND($I231&gt;=Z$3,$I231&lt;=Z$2),$E231,0),$E231*NETWORKDAYS(MAX($I231,Z$3),MIN($J231,Z$2),Data!$K$4:$K$203)/$K231)))</f>
        <v>0</v>
      </c>
      <c r="AA231" s="170">
        <f>IF(OR($I231="",$E231=0),0,IF(OR($J231&lt;AA$3,$I231&gt;AA$2),0,IF($K231=0,IF(AND($I231&gt;=AA$3,$I231&lt;=AA$2),$E231,0),$E231*NETWORKDAYS(MAX($I231,AA$3),MIN($J231,AA$2),Data!$K$4:$K$203)/$K231)))</f>
        <v>0</v>
      </c>
      <c r="AB231" s="170">
        <f>IF(OR($I231="",$E231=0),0,IF(OR($J231&lt;AB$3,$I231&gt;AB$2),0,IF($K231=0,IF(AND($I231&gt;=AB$3,$I231&lt;=AB$2),$E231,0),$E231*NETWORKDAYS(MAX($I231,AB$3),MIN($J231,AB$2),Data!$K$4:$K$203)/$K231)))</f>
        <v>0</v>
      </c>
      <c r="AC231" s="170">
        <f>IF(OR($I231="",$E231=0),0,IF(OR($J231&lt;AC$3,$I231&gt;AC$2),0,IF($K231=0,IF(AND($I231&gt;=AC$3,$I231&lt;=AC$2),$E231,0),$E231*NETWORKDAYS(MAX($I231,AC$3),MIN($J231,AC$2),Data!$K$4:$K$203)/$K231)))</f>
        <v>0</v>
      </c>
      <c r="AD231" s="170">
        <f>IF(OR($I231="",$E231=0),0,IF(OR($J231&lt;AD$3,$I231&gt;AD$2),0,IF($K231=0,IF(AND($I231&gt;=AD$3,$I231&lt;=AD$2),$E231,0),$E231*NETWORKDAYS(MAX($I231,AD$3),MIN($J231,AD$2),Data!$K$4:$K$203)/$K231)))</f>
        <v>0</v>
      </c>
      <c r="AE231" s="170">
        <f>IF(OR($I231="",$E231=0),0,IF(OR($J231&lt;AE$3,$I231&gt;AE$2),0,IF($K231=0,IF(AND($I231&gt;=AE$3,$I231&lt;=AE$2),$E231,0),$E231*NETWORKDAYS(MAX($I231,AE$3),MIN($J231,AE$2),Data!$K$4:$K$203)/$K231)))</f>
        <v>0</v>
      </c>
      <c r="AF231" s="170">
        <f>IF(OR($I231="",$E231=0),0,IF(OR($J231&lt;AF$3,$I231&gt;AF$2),0,IF($K231=0,IF(AND($I231&gt;=AF$3,$I231&lt;=AF$2),$E231,0),$E231*NETWORKDAYS(MAX($I231,AF$3),MIN($J231,AF$2),Data!$K$4:$K$203)/$K231)))</f>
        <v>0</v>
      </c>
      <c r="AG231" s="170">
        <f>IF(OR($I231="",$E231=0),0,IF(OR($J231&lt;AG$3,$I231&gt;AG$2),0,IF($K231=0,IF(AND($I231&gt;=AG$3,$I231&lt;=AG$2),$E231,0),$E231*NETWORKDAYS(MAX($I231,AG$3),MIN($J231,AG$2),Data!$K$4:$K$203)/$K231)))</f>
        <v>0</v>
      </c>
      <c r="AH231" s="170">
        <f>IF(OR($I231="",$E231=0),0,IF(OR($J231&lt;AH$3,$I231&gt;AH$2),0,IF($K231=0,IF(AND($I231&gt;=AH$3,$I231&lt;=AH$2),$E231,0),$E231*NETWORKDAYS(MAX($I231,AH$3),MIN($J231,AH$2),Data!$K$4:$K$203)/$K231)))</f>
        <v>0</v>
      </c>
      <c r="AI231" s="170">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70"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4" t="str">
        <f>IF(EO231=1,IF(FH231&gt;0,FI231/FH231,AVERAGEIF($FF$4:$FF$503,EN231,$C$4:$C$503)),"")</f>
        <v/>
      </c>
      <c r="EV231" s="169">
        <f>IF(ISNUMBER(I231),I231,2958465)</f>
        <v>2958465.0</v>
      </c>
      <c r="EW231" s="169" t="str">
        <f>IF(EO231=1,SUMPRODUCT(MIN(($EN$4:$EN$503=EN231)*$EV$4:$EV$503+($EN$4:$EN$503&lt;&gt;EN231)*2958465)),"")</f>
        <v/>
      </c>
      <c r="EX231" s="169">
        <f>IF(AND(D231=1,ISNUMBER(INDEX(Charge!$F:$F,ROW()))),INDEX(Charge!$F:$F,ROW()),0)</f>
        <v>0.0</v>
      </c>
      <c r="EY231" s="169"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c r="FF231" t="str">
        <f>IF(B231=1,LEFT(SUBSTITUTE(SUBSTITUTE(SUBSTITUTE(TRIM(SUBSTITUTE(INDEX(Charge!$B:$B,ROW()),CHAR(160)," "))&amp;" | "&amp;TRIM(SUBSTITUTE(INDEX(Charge!$C:$C,ROW()),CHAR(160)," "))&amp;" | "&amp;TRIM(SUBSTITUTE(INDEX(Charge!$D:$D,ROW()),CHAR(160)," ")),"~","-"),"*","+"),"?","!"),240),"")</f>
        <v/>
      </c>
      <c r="FG231">
        <f>IF(B231=1,MAX(0,N(INDEX(Charge!$M:$M,ROW()))),0)</f>
        <v>0</v>
      </c>
      <c r="FH231" s="170" t="str">
        <f>IF(EO231=1,ROUND(SUMIF($FF$4:$FF$503,EN231,$FG$4:$FG$503),2),"")</f>
        <v/>
      </c>
      <c r="FI231" s="170" t="str">
        <f>IF(EO231=1,ROUND(SUMPRODUCT(($FF$4:$FF$503=EN231)*$FG$4:$FG$503*$C$4:$C$503),2),"")</f>
        <v/>
      </c>
      <c r="FJ231" s="170" t="str">
        <f>IF(EO231=1,MAX(0,ROUND(FH231-FI231,2)),"")</f>
        <v/>
      </c>
      <c r="FK231" s="174" t="str">
        <f>IF(EO231=1,IF(OR(EW231&gt;=2958465,EY231=0,EY231&lt;=EW231),"",IF(TODAY()&lt;=EW231,0,IF(TODAY()&gt;EY231,1,IFERROR(NETWORKDAYS(EW231,TODAY()-1,Data!$K$4:$K$203)/NETWORKDAYS(EW231,EY231,Data!$K$4:$K$203),"")))),"")</f>
        <v/>
      </c>
      <c r="FL231" t="str">
        <f>IF(EO231=1,IF(AND(EY231&gt;0,EY231&lt;TODAY(),ROUND(EU231,4)&lt;1),2,IF(FK231="",0,IF(ROUND(EU231-FK231,4)&lt;-0.15,1,0))),"")</f>
        <v/>
      </c>
      <c r="FM231">
        <f>IF(OR(FA231="",COUNTIF($FA$4:FA230,FA231)&gt;0),0,MAX(0,IF(FB231="Interne",IF(ISNUMBER(INDEX(Data!$F:$F,231)),INDEX(Data!$F:$F,231),p_HeuresETP),IF(ISNUMBER(INDEX(Data!$I:$I,231-$CD$23)),INDEX(Data!$I:$I,231-$CD$23),p_HeuresETP))-IF(FB231="Interne",IF(ISNUMBER(INDEX(Data!$G:$G,231)),INDEX(Data!$G:$G,231),p_ChargeFixe),IF(ISNUMBER(INDEX(Data!$J:$J,231-$CD$23)),INDEX(Data!$J:$J,231-$CD$23),p_ChargeFixe))))</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9" t="str">
        <f>IF(AND(D232=1,ISNUMBER(INDEX(Charge!$N:$N,ROW()))),INDEX(Charge!$N:$N,ROW()),"")</f>
        <v/>
      </c>
      <c r="J232" s="169"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70">
        <f>IF(OR($I232="",$E232=0),0,IF(OR($J232&lt;W$3,$I232&gt;W$2),0,IF($K232=0,IF(AND($I232&gt;=W$3,$I232&lt;=W$2),$E232,0),$E232*NETWORKDAYS(MAX($I232,W$3),MIN($J232,W$2),Data!$K$4:$K$203)/$K232)))</f>
        <v>0</v>
      </c>
      <c r="X232" s="170">
        <f>IF(OR($I232="",$E232=0),0,IF(OR($J232&lt;X$3,$I232&gt;X$2),0,IF($K232=0,IF(AND($I232&gt;=X$3,$I232&lt;=X$2),$E232,0),$E232*NETWORKDAYS(MAX($I232,X$3),MIN($J232,X$2),Data!$K$4:$K$203)/$K232)))</f>
        <v>0</v>
      </c>
      <c r="Y232" s="170">
        <f>IF(OR($I232="",$E232=0),0,IF(OR($J232&lt;Y$3,$I232&gt;Y$2),0,IF($K232=0,IF(AND($I232&gt;=Y$3,$I232&lt;=Y$2),$E232,0),$E232*NETWORKDAYS(MAX($I232,Y$3),MIN($J232,Y$2),Data!$K$4:$K$203)/$K232)))</f>
        <v>0</v>
      </c>
      <c r="Z232" s="170">
        <f>IF(OR($I232="",$E232=0),0,IF(OR($J232&lt;Z$3,$I232&gt;Z$2),0,IF($K232=0,IF(AND($I232&gt;=Z$3,$I232&lt;=Z$2),$E232,0),$E232*NETWORKDAYS(MAX($I232,Z$3),MIN($J232,Z$2),Data!$K$4:$K$203)/$K232)))</f>
        <v>0</v>
      </c>
      <c r="AA232" s="170">
        <f>IF(OR($I232="",$E232=0),0,IF(OR($J232&lt;AA$3,$I232&gt;AA$2),0,IF($K232=0,IF(AND($I232&gt;=AA$3,$I232&lt;=AA$2),$E232,0),$E232*NETWORKDAYS(MAX($I232,AA$3),MIN($J232,AA$2),Data!$K$4:$K$203)/$K232)))</f>
        <v>0</v>
      </c>
      <c r="AB232" s="170">
        <f>IF(OR($I232="",$E232=0),0,IF(OR($J232&lt;AB$3,$I232&gt;AB$2),0,IF($K232=0,IF(AND($I232&gt;=AB$3,$I232&lt;=AB$2),$E232,0),$E232*NETWORKDAYS(MAX($I232,AB$3),MIN($J232,AB$2),Data!$K$4:$K$203)/$K232)))</f>
        <v>0</v>
      </c>
      <c r="AC232" s="170">
        <f>IF(OR($I232="",$E232=0),0,IF(OR($J232&lt;AC$3,$I232&gt;AC$2),0,IF($K232=0,IF(AND($I232&gt;=AC$3,$I232&lt;=AC$2),$E232,0),$E232*NETWORKDAYS(MAX($I232,AC$3),MIN($J232,AC$2),Data!$K$4:$K$203)/$K232)))</f>
        <v>0</v>
      </c>
      <c r="AD232" s="170">
        <f>IF(OR($I232="",$E232=0),0,IF(OR($J232&lt;AD$3,$I232&gt;AD$2),0,IF($K232=0,IF(AND($I232&gt;=AD$3,$I232&lt;=AD$2),$E232,0),$E232*NETWORKDAYS(MAX($I232,AD$3),MIN($J232,AD$2),Data!$K$4:$K$203)/$K232)))</f>
        <v>0</v>
      </c>
      <c r="AE232" s="170">
        <f>IF(OR($I232="",$E232=0),0,IF(OR($J232&lt;AE$3,$I232&gt;AE$2),0,IF($K232=0,IF(AND($I232&gt;=AE$3,$I232&lt;=AE$2),$E232,0),$E232*NETWORKDAYS(MAX($I232,AE$3),MIN($J232,AE$2),Data!$K$4:$K$203)/$K232)))</f>
        <v>0</v>
      </c>
      <c r="AF232" s="170">
        <f>IF(OR($I232="",$E232=0),0,IF(OR($J232&lt;AF$3,$I232&gt;AF$2),0,IF($K232=0,IF(AND($I232&gt;=AF$3,$I232&lt;=AF$2),$E232,0),$E232*NETWORKDAYS(MAX($I232,AF$3),MIN($J232,AF$2),Data!$K$4:$K$203)/$K232)))</f>
        <v>0</v>
      </c>
      <c r="AG232" s="170">
        <f>IF(OR($I232="",$E232=0),0,IF(OR($J232&lt;AG$3,$I232&gt;AG$2),0,IF($K232=0,IF(AND($I232&gt;=AG$3,$I232&lt;=AG$2),$E232,0),$E232*NETWORKDAYS(MAX($I232,AG$3),MIN($J232,AG$2),Data!$K$4:$K$203)/$K232)))</f>
        <v>0</v>
      </c>
      <c r="AH232" s="170">
        <f>IF(OR($I232="",$E232=0),0,IF(OR($J232&lt;AH$3,$I232&gt;AH$2),0,IF($K232=0,IF(AND($I232&gt;=AH$3,$I232&lt;=AH$2),$E232,0),$E232*NETWORKDAYS(MAX($I232,AH$3),MIN($J232,AH$2),Data!$K$4:$K$203)/$K232)))</f>
        <v>0</v>
      </c>
      <c r="AI232" s="170">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70"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4" t="str">
        <f>IF(EO232=1,IF(FH232&gt;0,FI232/FH232,AVERAGEIF($FF$4:$FF$503,EN232,$C$4:$C$503)),"")</f>
        <v/>
      </c>
      <c r="EV232" s="169">
        <f>IF(ISNUMBER(I232),I232,2958465)</f>
        <v>2958465.0</v>
      </c>
      <c r="EW232" s="169" t="str">
        <f>IF(EO232=1,SUMPRODUCT(MIN(($EN$4:$EN$503=EN232)*$EV$4:$EV$503+($EN$4:$EN$503&lt;&gt;EN232)*2958465)),"")</f>
        <v/>
      </c>
      <c r="EX232" s="169">
        <f>IF(AND(D232=1,ISNUMBER(INDEX(Charge!$F:$F,ROW()))),INDEX(Charge!$F:$F,ROW()),0)</f>
        <v>0.0</v>
      </c>
      <c r="EY232" s="169"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c r="FF232" t="str">
        <f>IF(B232=1,LEFT(SUBSTITUTE(SUBSTITUTE(SUBSTITUTE(TRIM(SUBSTITUTE(INDEX(Charge!$B:$B,ROW()),CHAR(160)," "))&amp;" | "&amp;TRIM(SUBSTITUTE(INDEX(Charge!$C:$C,ROW()),CHAR(160)," "))&amp;" | "&amp;TRIM(SUBSTITUTE(INDEX(Charge!$D:$D,ROW()),CHAR(160)," ")),"~","-"),"*","+"),"?","!"),240),"")</f>
        <v/>
      </c>
      <c r="FG232">
        <f>IF(B232=1,MAX(0,N(INDEX(Charge!$M:$M,ROW()))),0)</f>
        <v>0</v>
      </c>
      <c r="FH232" s="170" t="str">
        <f>IF(EO232=1,ROUND(SUMIF($FF$4:$FF$503,EN232,$FG$4:$FG$503),2),"")</f>
        <v/>
      </c>
      <c r="FI232" s="170" t="str">
        <f>IF(EO232=1,ROUND(SUMPRODUCT(($FF$4:$FF$503=EN232)*$FG$4:$FG$503*$C$4:$C$503),2),"")</f>
        <v/>
      </c>
      <c r="FJ232" s="170" t="str">
        <f>IF(EO232=1,MAX(0,ROUND(FH232-FI232,2)),"")</f>
        <v/>
      </c>
      <c r="FK232" s="174" t="str">
        <f>IF(EO232=1,IF(OR(EW232&gt;=2958465,EY232=0,EY232&lt;=EW232),"",IF(TODAY()&lt;=EW232,0,IF(TODAY()&gt;EY232,1,IFERROR(NETWORKDAYS(EW232,TODAY()-1,Data!$K$4:$K$203)/NETWORKDAYS(EW232,EY232,Data!$K$4:$K$203),"")))),"")</f>
        <v/>
      </c>
      <c r="FL232" t="str">
        <f>IF(EO232=1,IF(AND(EY232&gt;0,EY232&lt;TODAY(),ROUND(EU232,4)&lt;1),2,IF(FK232="",0,IF(ROUND(EU232-FK232,4)&lt;-0.15,1,0))),"")</f>
        <v/>
      </c>
      <c r="FM232">
        <f>IF(OR(FA232="",COUNTIF($FA$4:FA231,FA232)&gt;0),0,MAX(0,IF(FB232="Interne",IF(ISNUMBER(INDEX(Data!$F:$F,232)),INDEX(Data!$F:$F,232),p_HeuresETP),IF(ISNUMBER(INDEX(Data!$I:$I,232-$CD$23)),INDEX(Data!$I:$I,232-$CD$23),p_HeuresETP))-IF(FB232="Interne",IF(ISNUMBER(INDEX(Data!$G:$G,232)),INDEX(Data!$G:$G,232),p_ChargeFixe),IF(ISNUMBER(INDEX(Data!$J:$J,232-$CD$23)),INDEX(Data!$J:$J,232-$CD$23),p_ChargeFixe))))</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9" t="str">
        <f>IF(AND(D233=1,ISNUMBER(INDEX(Charge!$N:$N,ROW()))),INDEX(Charge!$N:$N,ROW()),"")</f>
        <v/>
      </c>
      <c r="J233" s="169"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70">
        <f>IF(OR($I233="",$E233=0),0,IF(OR($J233&lt;W$3,$I233&gt;W$2),0,IF($K233=0,IF(AND($I233&gt;=W$3,$I233&lt;=W$2),$E233,0),$E233*NETWORKDAYS(MAX($I233,W$3),MIN($J233,W$2),Data!$K$4:$K$203)/$K233)))</f>
        <v>0</v>
      </c>
      <c r="X233" s="170">
        <f>IF(OR($I233="",$E233=0),0,IF(OR($J233&lt;X$3,$I233&gt;X$2),0,IF($K233=0,IF(AND($I233&gt;=X$3,$I233&lt;=X$2),$E233,0),$E233*NETWORKDAYS(MAX($I233,X$3),MIN($J233,X$2),Data!$K$4:$K$203)/$K233)))</f>
        <v>0</v>
      </c>
      <c r="Y233" s="170">
        <f>IF(OR($I233="",$E233=0),0,IF(OR($J233&lt;Y$3,$I233&gt;Y$2),0,IF($K233=0,IF(AND($I233&gt;=Y$3,$I233&lt;=Y$2),$E233,0),$E233*NETWORKDAYS(MAX($I233,Y$3),MIN($J233,Y$2),Data!$K$4:$K$203)/$K233)))</f>
        <v>0</v>
      </c>
      <c r="Z233" s="170">
        <f>IF(OR($I233="",$E233=0),0,IF(OR($J233&lt;Z$3,$I233&gt;Z$2),0,IF($K233=0,IF(AND($I233&gt;=Z$3,$I233&lt;=Z$2),$E233,0),$E233*NETWORKDAYS(MAX($I233,Z$3),MIN($J233,Z$2),Data!$K$4:$K$203)/$K233)))</f>
        <v>0</v>
      </c>
      <c r="AA233" s="170">
        <f>IF(OR($I233="",$E233=0),0,IF(OR($J233&lt;AA$3,$I233&gt;AA$2),0,IF($K233=0,IF(AND($I233&gt;=AA$3,$I233&lt;=AA$2),$E233,0),$E233*NETWORKDAYS(MAX($I233,AA$3),MIN($J233,AA$2),Data!$K$4:$K$203)/$K233)))</f>
        <v>0</v>
      </c>
      <c r="AB233" s="170">
        <f>IF(OR($I233="",$E233=0),0,IF(OR($J233&lt;AB$3,$I233&gt;AB$2),0,IF($K233=0,IF(AND($I233&gt;=AB$3,$I233&lt;=AB$2),$E233,0),$E233*NETWORKDAYS(MAX($I233,AB$3),MIN($J233,AB$2),Data!$K$4:$K$203)/$K233)))</f>
        <v>0</v>
      </c>
      <c r="AC233" s="170">
        <f>IF(OR($I233="",$E233=0),0,IF(OR($J233&lt;AC$3,$I233&gt;AC$2),0,IF($K233=0,IF(AND($I233&gt;=AC$3,$I233&lt;=AC$2),$E233,0),$E233*NETWORKDAYS(MAX($I233,AC$3),MIN($J233,AC$2),Data!$K$4:$K$203)/$K233)))</f>
        <v>0</v>
      </c>
      <c r="AD233" s="170">
        <f>IF(OR($I233="",$E233=0),0,IF(OR($J233&lt;AD$3,$I233&gt;AD$2),0,IF($K233=0,IF(AND($I233&gt;=AD$3,$I233&lt;=AD$2),$E233,0),$E233*NETWORKDAYS(MAX($I233,AD$3),MIN($J233,AD$2),Data!$K$4:$K$203)/$K233)))</f>
        <v>0</v>
      </c>
      <c r="AE233" s="170">
        <f>IF(OR($I233="",$E233=0),0,IF(OR($J233&lt;AE$3,$I233&gt;AE$2),0,IF($K233=0,IF(AND($I233&gt;=AE$3,$I233&lt;=AE$2),$E233,0),$E233*NETWORKDAYS(MAX($I233,AE$3),MIN($J233,AE$2),Data!$K$4:$K$203)/$K233)))</f>
        <v>0</v>
      </c>
      <c r="AF233" s="170">
        <f>IF(OR($I233="",$E233=0),0,IF(OR($J233&lt;AF$3,$I233&gt;AF$2),0,IF($K233=0,IF(AND($I233&gt;=AF$3,$I233&lt;=AF$2),$E233,0),$E233*NETWORKDAYS(MAX($I233,AF$3),MIN($J233,AF$2),Data!$K$4:$K$203)/$K233)))</f>
        <v>0</v>
      </c>
      <c r="AG233" s="170">
        <f>IF(OR($I233="",$E233=0),0,IF(OR($J233&lt;AG$3,$I233&gt;AG$2),0,IF($K233=0,IF(AND($I233&gt;=AG$3,$I233&lt;=AG$2),$E233,0),$E233*NETWORKDAYS(MAX($I233,AG$3),MIN($J233,AG$2),Data!$K$4:$K$203)/$K233)))</f>
        <v>0</v>
      </c>
      <c r="AH233" s="170">
        <f>IF(OR($I233="",$E233=0),0,IF(OR($J233&lt;AH$3,$I233&gt;AH$2),0,IF($K233=0,IF(AND($I233&gt;=AH$3,$I233&lt;=AH$2),$E233,0),$E233*NETWORKDAYS(MAX($I233,AH$3),MIN($J233,AH$2),Data!$K$4:$K$203)/$K233)))</f>
        <v>0</v>
      </c>
      <c r="AI233" s="170">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70"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4" t="str">
        <f>IF(EO233=1,IF(FH233&gt;0,FI233/FH233,AVERAGEIF($FF$4:$FF$503,EN233,$C$4:$C$503)),"")</f>
        <v/>
      </c>
      <c r="EV233" s="169">
        <f>IF(ISNUMBER(I233),I233,2958465)</f>
        <v>2958465.0</v>
      </c>
      <c r="EW233" s="169" t="str">
        <f>IF(EO233=1,SUMPRODUCT(MIN(($EN$4:$EN$503=EN233)*$EV$4:$EV$503+($EN$4:$EN$503&lt;&gt;EN233)*2958465)),"")</f>
        <v/>
      </c>
      <c r="EX233" s="169">
        <f>IF(AND(D233=1,ISNUMBER(INDEX(Charge!$F:$F,ROW()))),INDEX(Charge!$F:$F,ROW()),0)</f>
        <v>0.0</v>
      </c>
      <c r="EY233" s="169"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c r="FF233" t="str">
        <f>IF(B233=1,LEFT(SUBSTITUTE(SUBSTITUTE(SUBSTITUTE(TRIM(SUBSTITUTE(INDEX(Charge!$B:$B,ROW()),CHAR(160)," "))&amp;" | "&amp;TRIM(SUBSTITUTE(INDEX(Charge!$C:$C,ROW()),CHAR(160)," "))&amp;" | "&amp;TRIM(SUBSTITUTE(INDEX(Charge!$D:$D,ROW()),CHAR(160)," ")),"~","-"),"*","+"),"?","!"),240),"")</f>
        <v/>
      </c>
      <c r="FG233">
        <f>IF(B233=1,MAX(0,N(INDEX(Charge!$M:$M,ROW()))),0)</f>
        <v>0</v>
      </c>
      <c r="FH233" s="170" t="str">
        <f>IF(EO233=1,ROUND(SUMIF($FF$4:$FF$503,EN233,$FG$4:$FG$503),2),"")</f>
        <v/>
      </c>
      <c r="FI233" s="170" t="str">
        <f>IF(EO233=1,ROUND(SUMPRODUCT(($FF$4:$FF$503=EN233)*$FG$4:$FG$503*$C$4:$C$503),2),"")</f>
        <v/>
      </c>
      <c r="FJ233" s="170" t="str">
        <f>IF(EO233=1,MAX(0,ROUND(FH233-FI233,2)),"")</f>
        <v/>
      </c>
      <c r="FK233" s="174" t="str">
        <f>IF(EO233=1,IF(OR(EW233&gt;=2958465,EY233=0,EY233&lt;=EW233),"",IF(TODAY()&lt;=EW233,0,IF(TODAY()&gt;EY233,1,IFERROR(NETWORKDAYS(EW233,TODAY()-1,Data!$K$4:$K$203)/NETWORKDAYS(EW233,EY233,Data!$K$4:$K$203),"")))),"")</f>
        <v/>
      </c>
      <c r="FL233" t="str">
        <f>IF(EO233=1,IF(AND(EY233&gt;0,EY233&lt;TODAY(),ROUND(EU233,4)&lt;1),2,IF(FK233="",0,IF(ROUND(EU233-FK233,4)&lt;-0.15,1,0))),"")</f>
        <v/>
      </c>
      <c r="FM233">
        <f>IF(OR(FA233="",COUNTIF($FA$4:FA232,FA233)&gt;0),0,MAX(0,IF(FB233="Interne",IF(ISNUMBER(INDEX(Data!$F:$F,233)),INDEX(Data!$F:$F,233),p_HeuresETP),IF(ISNUMBER(INDEX(Data!$I:$I,233-$CD$23)),INDEX(Data!$I:$I,233-$CD$23),p_HeuresETP))-IF(FB233="Interne",IF(ISNUMBER(INDEX(Data!$G:$G,233)),INDEX(Data!$G:$G,233),p_ChargeFixe),IF(ISNUMBER(INDEX(Data!$J:$J,233-$CD$23)),INDEX(Data!$J:$J,233-$CD$23),p_ChargeFixe))))</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9" t="str">
        <f>IF(AND(D234=1,ISNUMBER(INDEX(Charge!$N:$N,ROW()))),INDEX(Charge!$N:$N,ROW()),"")</f>
        <v/>
      </c>
      <c r="J234" s="169"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70">
        <f>IF(OR($I234="",$E234=0),0,IF(OR($J234&lt;W$3,$I234&gt;W$2),0,IF($K234=0,IF(AND($I234&gt;=W$3,$I234&lt;=W$2),$E234,0),$E234*NETWORKDAYS(MAX($I234,W$3),MIN($J234,W$2),Data!$K$4:$K$203)/$K234)))</f>
        <v>0</v>
      </c>
      <c r="X234" s="170">
        <f>IF(OR($I234="",$E234=0),0,IF(OR($J234&lt;X$3,$I234&gt;X$2),0,IF($K234=0,IF(AND($I234&gt;=X$3,$I234&lt;=X$2),$E234,0),$E234*NETWORKDAYS(MAX($I234,X$3),MIN($J234,X$2),Data!$K$4:$K$203)/$K234)))</f>
        <v>0</v>
      </c>
      <c r="Y234" s="170">
        <f>IF(OR($I234="",$E234=0),0,IF(OR($J234&lt;Y$3,$I234&gt;Y$2),0,IF($K234=0,IF(AND($I234&gt;=Y$3,$I234&lt;=Y$2),$E234,0),$E234*NETWORKDAYS(MAX($I234,Y$3),MIN($J234,Y$2),Data!$K$4:$K$203)/$K234)))</f>
        <v>0</v>
      </c>
      <c r="Z234" s="170">
        <f>IF(OR($I234="",$E234=0),0,IF(OR($J234&lt;Z$3,$I234&gt;Z$2),0,IF($K234=0,IF(AND($I234&gt;=Z$3,$I234&lt;=Z$2),$E234,0),$E234*NETWORKDAYS(MAX($I234,Z$3),MIN($J234,Z$2),Data!$K$4:$K$203)/$K234)))</f>
        <v>0</v>
      </c>
      <c r="AA234" s="170">
        <f>IF(OR($I234="",$E234=0),0,IF(OR($J234&lt;AA$3,$I234&gt;AA$2),0,IF($K234=0,IF(AND($I234&gt;=AA$3,$I234&lt;=AA$2),$E234,0),$E234*NETWORKDAYS(MAX($I234,AA$3),MIN($J234,AA$2),Data!$K$4:$K$203)/$K234)))</f>
        <v>0</v>
      </c>
      <c r="AB234" s="170">
        <f>IF(OR($I234="",$E234=0),0,IF(OR($J234&lt;AB$3,$I234&gt;AB$2),0,IF($K234=0,IF(AND($I234&gt;=AB$3,$I234&lt;=AB$2),$E234,0),$E234*NETWORKDAYS(MAX($I234,AB$3),MIN($J234,AB$2),Data!$K$4:$K$203)/$K234)))</f>
        <v>0</v>
      </c>
      <c r="AC234" s="170">
        <f>IF(OR($I234="",$E234=0),0,IF(OR($J234&lt;AC$3,$I234&gt;AC$2),0,IF($K234=0,IF(AND($I234&gt;=AC$3,$I234&lt;=AC$2),$E234,0),$E234*NETWORKDAYS(MAX($I234,AC$3),MIN($J234,AC$2),Data!$K$4:$K$203)/$K234)))</f>
        <v>0</v>
      </c>
      <c r="AD234" s="170">
        <f>IF(OR($I234="",$E234=0),0,IF(OR($J234&lt;AD$3,$I234&gt;AD$2),0,IF($K234=0,IF(AND($I234&gt;=AD$3,$I234&lt;=AD$2),$E234,0),$E234*NETWORKDAYS(MAX($I234,AD$3),MIN($J234,AD$2),Data!$K$4:$K$203)/$K234)))</f>
        <v>0</v>
      </c>
      <c r="AE234" s="170">
        <f>IF(OR($I234="",$E234=0),0,IF(OR($J234&lt;AE$3,$I234&gt;AE$2),0,IF($K234=0,IF(AND($I234&gt;=AE$3,$I234&lt;=AE$2),$E234,0),$E234*NETWORKDAYS(MAX($I234,AE$3),MIN($J234,AE$2),Data!$K$4:$K$203)/$K234)))</f>
        <v>0</v>
      </c>
      <c r="AF234" s="170">
        <f>IF(OR($I234="",$E234=0),0,IF(OR($J234&lt;AF$3,$I234&gt;AF$2),0,IF($K234=0,IF(AND($I234&gt;=AF$3,$I234&lt;=AF$2),$E234,0),$E234*NETWORKDAYS(MAX($I234,AF$3),MIN($J234,AF$2),Data!$K$4:$K$203)/$K234)))</f>
        <v>0</v>
      </c>
      <c r="AG234" s="170">
        <f>IF(OR($I234="",$E234=0),0,IF(OR($J234&lt;AG$3,$I234&gt;AG$2),0,IF($K234=0,IF(AND($I234&gt;=AG$3,$I234&lt;=AG$2),$E234,0),$E234*NETWORKDAYS(MAX($I234,AG$3),MIN($J234,AG$2),Data!$K$4:$K$203)/$K234)))</f>
        <v>0</v>
      </c>
      <c r="AH234" s="170">
        <f>IF(OR($I234="",$E234=0),0,IF(OR($J234&lt;AH$3,$I234&gt;AH$2),0,IF($K234=0,IF(AND($I234&gt;=AH$3,$I234&lt;=AH$2),$E234,0),$E234*NETWORKDAYS(MAX($I234,AH$3),MIN($J234,AH$2),Data!$K$4:$K$203)/$K234)))</f>
        <v>0</v>
      </c>
      <c r="AI234" s="170">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70"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4" t="str">
        <f>IF(EO234=1,IF(FH234&gt;0,FI234/FH234,AVERAGEIF($FF$4:$FF$503,EN234,$C$4:$C$503)),"")</f>
        <v/>
      </c>
      <c r="EV234" s="169">
        <f>IF(ISNUMBER(I234),I234,2958465)</f>
        <v>2958465.0</v>
      </c>
      <c r="EW234" s="169" t="str">
        <f>IF(EO234=1,SUMPRODUCT(MIN(($EN$4:$EN$503=EN234)*$EV$4:$EV$503+($EN$4:$EN$503&lt;&gt;EN234)*2958465)),"")</f>
        <v/>
      </c>
      <c r="EX234" s="169">
        <f>IF(AND(D234=1,ISNUMBER(INDEX(Charge!$F:$F,ROW()))),INDEX(Charge!$F:$F,ROW()),0)</f>
        <v>0.0</v>
      </c>
      <c r="EY234" s="169"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c r="FF234" t="str">
        <f>IF(B234=1,LEFT(SUBSTITUTE(SUBSTITUTE(SUBSTITUTE(TRIM(SUBSTITUTE(INDEX(Charge!$B:$B,ROW()),CHAR(160)," "))&amp;" | "&amp;TRIM(SUBSTITUTE(INDEX(Charge!$C:$C,ROW()),CHAR(160)," "))&amp;" | "&amp;TRIM(SUBSTITUTE(INDEX(Charge!$D:$D,ROW()),CHAR(160)," ")),"~","-"),"*","+"),"?","!"),240),"")</f>
        <v/>
      </c>
      <c r="FG234">
        <f>IF(B234=1,MAX(0,N(INDEX(Charge!$M:$M,ROW()))),0)</f>
        <v>0</v>
      </c>
      <c r="FH234" s="170" t="str">
        <f>IF(EO234=1,ROUND(SUMIF($FF$4:$FF$503,EN234,$FG$4:$FG$503),2),"")</f>
        <v/>
      </c>
      <c r="FI234" s="170" t="str">
        <f>IF(EO234=1,ROUND(SUMPRODUCT(($FF$4:$FF$503=EN234)*$FG$4:$FG$503*$C$4:$C$503),2),"")</f>
        <v/>
      </c>
      <c r="FJ234" s="170" t="str">
        <f>IF(EO234=1,MAX(0,ROUND(FH234-FI234,2)),"")</f>
        <v/>
      </c>
      <c r="FK234" s="174" t="str">
        <f>IF(EO234=1,IF(OR(EW234&gt;=2958465,EY234=0,EY234&lt;=EW234),"",IF(TODAY()&lt;=EW234,0,IF(TODAY()&gt;EY234,1,IFERROR(NETWORKDAYS(EW234,TODAY()-1,Data!$K$4:$K$203)/NETWORKDAYS(EW234,EY234,Data!$K$4:$K$203),"")))),"")</f>
        <v/>
      </c>
      <c r="FL234" t="str">
        <f>IF(EO234=1,IF(AND(EY234&gt;0,EY234&lt;TODAY(),ROUND(EU234,4)&lt;1),2,IF(FK234="",0,IF(ROUND(EU234-FK234,4)&lt;-0.15,1,0))),"")</f>
        <v/>
      </c>
      <c r="FM234">
        <f>IF(OR(FA234="",COUNTIF($FA$4:FA233,FA234)&gt;0),0,MAX(0,IF(FB234="Interne",IF(ISNUMBER(INDEX(Data!$F:$F,234)),INDEX(Data!$F:$F,234),p_HeuresETP),IF(ISNUMBER(INDEX(Data!$I:$I,234-$CD$23)),INDEX(Data!$I:$I,234-$CD$23),p_HeuresETP))-IF(FB234="Interne",IF(ISNUMBER(INDEX(Data!$G:$G,234)),INDEX(Data!$G:$G,234),p_ChargeFixe),IF(ISNUMBER(INDEX(Data!$J:$J,234-$CD$23)),INDEX(Data!$J:$J,234-$CD$23),p_ChargeFixe))))</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9" t="str">
        <f>IF(AND(D235=1,ISNUMBER(INDEX(Charge!$N:$N,ROW()))),INDEX(Charge!$N:$N,ROW()),"")</f>
        <v/>
      </c>
      <c r="J235" s="169"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70">
        <f>IF(OR($I235="",$E235=0),0,IF(OR($J235&lt;W$3,$I235&gt;W$2),0,IF($K235=0,IF(AND($I235&gt;=W$3,$I235&lt;=W$2),$E235,0),$E235*NETWORKDAYS(MAX($I235,W$3),MIN($J235,W$2),Data!$K$4:$K$203)/$K235)))</f>
        <v>0</v>
      </c>
      <c r="X235" s="170">
        <f>IF(OR($I235="",$E235=0),0,IF(OR($J235&lt;X$3,$I235&gt;X$2),0,IF($K235=0,IF(AND($I235&gt;=X$3,$I235&lt;=X$2),$E235,0),$E235*NETWORKDAYS(MAX($I235,X$3),MIN($J235,X$2),Data!$K$4:$K$203)/$K235)))</f>
        <v>0</v>
      </c>
      <c r="Y235" s="170">
        <f>IF(OR($I235="",$E235=0),0,IF(OR($J235&lt;Y$3,$I235&gt;Y$2),0,IF($K235=0,IF(AND($I235&gt;=Y$3,$I235&lt;=Y$2),$E235,0),$E235*NETWORKDAYS(MAX($I235,Y$3),MIN($J235,Y$2),Data!$K$4:$K$203)/$K235)))</f>
        <v>0</v>
      </c>
      <c r="Z235" s="170">
        <f>IF(OR($I235="",$E235=0),0,IF(OR($J235&lt;Z$3,$I235&gt;Z$2),0,IF($K235=0,IF(AND($I235&gt;=Z$3,$I235&lt;=Z$2),$E235,0),$E235*NETWORKDAYS(MAX($I235,Z$3),MIN($J235,Z$2),Data!$K$4:$K$203)/$K235)))</f>
        <v>0</v>
      </c>
      <c r="AA235" s="170">
        <f>IF(OR($I235="",$E235=0),0,IF(OR($J235&lt;AA$3,$I235&gt;AA$2),0,IF($K235=0,IF(AND($I235&gt;=AA$3,$I235&lt;=AA$2),$E235,0),$E235*NETWORKDAYS(MAX($I235,AA$3),MIN($J235,AA$2),Data!$K$4:$K$203)/$K235)))</f>
        <v>0</v>
      </c>
      <c r="AB235" s="170">
        <f>IF(OR($I235="",$E235=0),0,IF(OR($J235&lt;AB$3,$I235&gt;AB$2),0,IF($K235=0,IF(AND($I235&gt;=AB$3,$I235&lt;=AB$2),$E235,0),$E235*NETWORKDAYS(MAX($I235,AB$3),MIN($J235,AB$2),Data!$K$4:$K$203)/$K235)))</f>
        <v>0</v>
      </c>
      <c r="AC235" s="170">
        <f>IF(OR($I235="",$E235=0),0,IF(OR($J235&lt;AC$3,$I235&gt;AC$2),0,IF($K235=0,IF(AND($I235&gt;=AC$3,$I235&lt;=AC$2),$E235,0),$E235*NETWORKDAYS(MAX($I235,AC$3),MIN($J235,AC$2),Data!$K$4:$K$203)/$K235)))</f>
        <v>0</v>
      </c>
      <c r="AD235" s="170">
        <f>IF(OR($I235="",$E235=0),0,IF(OR($J235&lt;AD$3,$I235&gt;AD$2),0,IF($K235=0,IF(AND($I235&gt;=AD$3,$I235&lt;=AD$2),$E235,0),$E235*NETWORKDAYS(MAX($I235,AD$3),MIN($J235,AD$2),Data!$K$4:$K$203)/$K235)))</f>
        <v>0</v>
      </c>
      <c r="AE235" s="170">
        <f>IF(OR($I235="",$E235=0),0,IF(OR($J235&lt;AE$3,$I235&gt;AE$2),0,IF($K235=0,IF(AND($I235&gt;=AE$3,$I235&lt;=AE$2),$E235,0),$E235*NETWORKDAYS(MAX($I235,AE$3),MIN($J235,AE$2),Data!$K$4:$K$203)/$K235)))</f>
        <v>0</v>
      </c>
      <c r="AF235" s="170">
        <f>IF(OR($I235="",$E235=0),0,IF(OR($J235&lt;AF$3,$I235&gt;AF$2),0,IF($K235=0,IF(AND($I235&gt;=AF$3,$I235&lt;=AF$2),$E235,0),$E235*NETWORKDAYS(MAX($I235,AF$3),MIN($J235,AF$2),Data!$K$4:$K$203)/$K235)))</f>
        <v>0</v>
      </c>
      <c r="AG235" s="170">
        <f>IF(OR($I235="",$E235=0),0,IF(OR($J235&lt;AG$3,$I235&gt;AG$2),0,IF($K235=0,IF(AND($I235&gt;=AG$3,$I235&lt;=AG$2),$E235,0),$E235*NETWORKDAYS(MAX($I235,AG$3),MIN($J235,AG$2),Data!$K$4:$K$203)/$K235)))</f>
        <v>0</v>
      </c>
      <c r="AH235" s="170">
        <f>IF(OR($I235="",$E235=0),0,IF(OR($J235&lt;AH$3,$I235&gt;AH$2),0,IF($K235=0,IF(AND($I235&gt;=AH$3,$I235&lt;=AH$2),$E235,0),$E235*NETWORKDAYS(MAX($I235,AH$3),MIN($J235,AH$2),Data!$K$4:$K$203)/$K235)))</f>
        <v>0</v>
      </c>
      <c r="AI235" s="170">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70"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4" t="str">
        <f>IF(EO235=1,IF(FH235&gt;0,FI235/FH235,AVERAGEIF($FF$4:$FF$503,EN235,$C$4:$C$503)),"")</f>
        <v/>
      </c>
      <c r="EV235" s="169">
        <f>IF(ISNUMBER(I235),I235,2958465)</f>
        <v>2958465.0</v>
      </c>
      <c r="EW235" s="169" t="str">
        <f>IF(EO235=1,SUMPRODUCT(MIN(($EN$4:$EN$503=EN235)*$EV$4:$EV$503+($EN$4:$EN$503&lt;&gt;EN235)*2958465)),"")</f>
        <v/>
      </c>
      <c r="EX235" s="169">
        <f>IF(AND(D235=1,ISNUMBER(INDEX(Charge!$F:$F,ROW()))),INDEX(Charge!$F:$F,ROW()),0)</f>
        <v>0.0</v>
      </c>
      <c r="EY235" s="169"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c r="FF235" t="str">
        <f>IF(B235=1,LEFT(SUBSTITUTE(SUBSTITUTE(SUBSTITUTE(TRIM(SUBSTITUTE(INDEX(Charge!$B:$B,ROW()),CHAR(160)," "))&amp;" | "&amp;TRIM(SUBSTITUTE(INDEX(Charge!$C:$C,ROW()),CHAR(160)," "))&amp;" | "&amp;TRIM(SUBSTITUTE(INDEX(Charge!$D:$D,ROW()),CHAR(160)," ")),"~","-"),"*","+"),"?","!"),240),"")</f>
        <v/>
      </c>
      <c r="FG235">
        <f>IF(B235=1,MAX(0,N(INDEX(Charge!$M:$M,ROW()))),0)</f>
        <v>0</v>
      </c>
      <c r="FH235" s="170" t="str">
        <f>IF(EO235=1,ROUND(SUMIF($FF$4:$FF$503,EN235,$FG$4:$FG$503),2),"")</f>
        <v/>
      </c>
      <c r="FI235" s="170" t="str">
        <f>IF(EO235=1,ROUND(SUMPRODUCT(($FF$4:$FF$503=EN235)*$FG$4:$FG$503*$C$4:$C$503),2),"")</f>
        <v/>
      </c>
      <c r="FJ235" s="170" t="str">
        <f>IF(EO235=1,MAX(0,ROUND(FH235-FI235,2)),"")</f>
        <v/>
      </c>
      <c r="FK235" s="174" t="str">
        <f>IF(EO235=1,IF(OR(EW235&gt;=2958465,EY235=0,EY235&lt;=EW235),"",IF(TODAY()&lt;=EW235,0,IF(TODAY()&gt;EY235,1,IFERROR(NETWORKDAYS(EW235,TODAY()-1,Data!$K$4:$K$203)/NETWORKDAYS(EW235,EY235,Data!$K$4:$K$203),"")))),"")</f>
        <v/>
      </c>
      <c r="FL235" t="str">
        <f>IF(EO235=1,IF(AND(EY235&gt;0,EY235&lt;TODAY(),ROUND(EU235,4)&lt;1),2,IF(FK235="",0,IF(ROUND(EU235-FK235,4)&lt;-0.15,1,0))),"")</f>
        <v/>
      </c>
      <c r="FM235">
        <f>IF(OR(FA235="",COUNTIF($FA$4:FA234,FA235)&gt;0),0,MAX(0,IF(FB235="Interne",IF(ISNUMBER(INDEX(Data!$F:$F,235)),INDEX(Data!$F:$F,235),p_HeuresETP),IF(ISNUMBER(INDEX(Data!$I:$I,235-$CD$23)),INDEX(Data!$I:$I,235-$CD$23),p_HeuresETP))-IF(FB235="Interne",IF(ISNUMBER(INDEX(Data!$G:$G,235)),INDEX(Data!$G:$G,235),p_ChargeFixe),IF(ISNUMBER(INDEX(Data!$J:$J,235-$CD$23)),INDEX(Data!$J:$J,235-$CD$23),p_ChargeFixe))))</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9" t="str">
        <f>IF(AND(D236=1,ISNUMBER(INDEX(Charge!$N:$N,ROW()))),INDEX(Charge!$N:$N,ROW()),"")</f>
        <v/>
      </c>
      <c r="J236" s="169"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70">
        <f>IF(OR($I236="",$E236=0),0,IF(OR($J236&lt;W$3,$I236&gt;W$2),0,IF($K236=0,IF(AND($I236&gt;=W$3,$I236&lt;=W$2),$E236,0),$E236*NETWORKDAYS(MAX($I236,W$3),MIN($J236,W$2),Data!$K$4:$K$203)/$K236)))</f>
        <v>0</v>
      </c>
      <c r="X236" s="170">
        <f>IF(OR($I236="",$E236=0),0,IF(OR($J236&lt;X$3,$I236&gt;X$2),0,IF($K236=0,IF(AND($I236&gt;=X$3,$I236&lt;=X$2),$E236,0),$E236*NETWORKDAYS(MAX($I236,X$3),MIN($J236,X$2),Data!$K$4:$K$203)/$K236)))</f>
        <v>0</v>
      </c>
      <c r="Y236" s="170">
        <f>IF(OR($I236="",$E236=0),0,IF(OR($J236&lt;Y$3,$I236&gt;Y$2),0,IF($K236=0,IF(AND($I236&gt;=Y$3,$I236&lt;=Y$2),$E236,0),$E236*NETWORKDAYS(MAX($I236,Y$3),MIN($J236,Y$2),Data!$K$4:$K$203)/$K236)))</f>
        <v>0</v>
      </c>
      <c r="Z236" s="170">
        <f>IF(OR($I236="",$E236=0),0,IF(OR($J236&lt;Z$3,$I236&gt;Z$2),0,IF($K236=0,IF(AND($I236&gt;=Z$3,$I236&lt;=Z$2),$E236,0),$E236*NETWORKDAYS(MAX($I236,Z$3),MIN($J236,Z$2),Data!$K$4:$K$203)/$K236)))</f>
        <v>0</v>
      </c>
      <c r="AA236" s="170">
        <f>IF(OR($I236="",$E236=0),0,IF(OR($J236&lt;AA$3,$I236&gt;AA$2),0,IF($K236=0,IF(AND($I236&gt;=AA$3,$I236&lt;=AA$2),$E236,0),$E236*NETWORKDAYS(MAX($I236,AA$3),MIN($J236,AA$2),Data!$K$4:$K$203)/$K236)))</f>
        <v>0</v>
      </c>
      <c r="AB236" s="170">
        <f>IF(OR($I236="",$E236=0),0,IF(OR($J236&lt;AB$3,$I236&gt;AB$2),0,IF($K236=0,IF(AND($I236&gt;=AB$3,$I236&lt;=AB$2),$E236,0),$E236*NETWORKDAYS(MAX($I236,AB$3),MIN($J236,AB$2),Data!$K$4:$K$203)/$K236)))</f>
        <v>0</v>
      </c>
      <c r="AC236" s="170">
        <f>IF(OR($I236="",$E236=0),0,IF(OR($J236&lt;AC$3,$I236&gt;AC$2),0,IF($K236=0,IF(AND($I236&gt;=AC$3,$I236&lt;=AC$2),$E236,0),$E236*NETWORKDAYS(MAX($I236,AC$3),MIN($J236,AC$2),Data!$K$4:$K$203)/$K236)))</f>
        <v>0</v>
      </c>
      <c r="AD236" s="170">
        <f>IF(OR($I236="",$E236=0),0,IF(OR($J236&lt;AD$3,$I236&gt;AD$2),0,IF($K236=0,IF(AND($I236&gt;=AD$3,$I236&lt;=AD$2),$E236,0),$E236*NETWORKDAYS(MAX($I236,AD$3),MIN($J236,AD$2),Data!$K$4:$K$203)/$K236)))</f>
        <v>0</v>
      </c>
      <c r="AE236" s="170">
        <f>IF(OR($I236="",$E236=0),0,IF(OR($J236&lt;AE$3,$I236&gt;AE$2),0,IF($K236=0,IF(AND($I236&gt;=AE$3,$I236&lt;=AE$2),$E236,0),$E236*NETWORKDAYS(MAX($I236,AE$3),MIN($J236,AE$2),Data!$K$4:$K$203)/$K236)))</f>
        <v>0</v>
      </c>
      <c r="AF236" s="170">
        <f>IF(OR($I236="",$E236=0),0,IF(OR($J236&lt;AF$3,$I236&gt;AF$2),0,IF($K236=0,IF(AND($I236&gt;=AF$3,$I236&lt;=AF$2),$E236,0),$E236*NETWORKDAYS(MAX($I236,AF$3),MIN($J236,AF$2),Data!$K$4:$K$203)/$K236)))</f>
        <v>0</v>
      </c>
      <c r="AG236" s="170">
        <f>IF(OR($I236="",$E236=0),0,IF(OR($J236&lt;AG$3,$I236&gt;AG$2),0,IF($K236=0,IF(AND($I236&gt;=AG$3,$I236&lt;=AG$2),$E236,0),$E236*NETWORKDAYS(MAX($I236,AG$3),MIN($J236,AG$2),Data!$K$4:$K$203)/$K236)))</f>
        <v>0</v>
      </c>
      <c r="AH236" s="170">
        <f>IF(OR($I236="",$E236=0),0,IF(OR($J236&lt;AH$3,$I236&gt;AH$2),0,IF($K236=0,IF(AND($I236&gt;=AH$3,$I236&lt;=AH$2),$E236,0),$E236*NETWORKDAYS(MAX($I236,AH$3),MIN($J236,AH$2),Data!$K$4:$K$203)/$K236)))</f>
        <v>0</v>
      </c>
      <c r="AI236" s="170">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70"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4" t="str">
        <f>IF(EO236=1,IF(FH236&gt;0,FI236/FH236,AVERAGEIF($FF$4:$FF$503,EN236,$C$4:$C$503)),"")</f>
        <v/>
      </c>
      <c r="EV236" s="169">
        <f>IF(ISNUMBER(I236),I236,2958465)</f>
        <v>2958465.0</v>
      </c>
      <c r="EW236" s="169" t="str">
        <f>IF(EO236=1,SUMPRODUCT(MIN(($EN$4:$EN$503=EN236)*$EV$4:$EV$503+($EN$4:$EN$503&lt;&gt;EN236)*2958465)),"")</f>
        <v/>
      </c>
      <c r="EX236" s="169">
        <f>IF(AND(D236=1,ISNUMBER(INDEX(Charge!$F:$F,ROW()))),INDEX(Charge!$F:$F,ROW()),0)</f>
        <v>0.0</v>
      </c>
      <c r="EY236" s="169"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c r="FF236" t="str">
        <f>IF(B236=1,LEFT(SUBSTITUTE(SUBSTITUTE(SUBSTITUTE(TRIM(SUBSTITUTE(INDEX(Charge!$B:$B,ROW()),CHAR(160)," "))&amp;" | "&amp;TRIM(SUBSTITUTE(INDEX(Charge!$C:$C,ROW()),CHAR(160)," "))&amp;" | "&amp;TRIM(SUBSTITUTE(INDEX(Charge!$D:$D,ROW()),CHAR(160)," ")),"~","-"),"*","+"),"?","!"),240),"")</f>
        <v/>
      </c>
      <c r="FG236">
        <f>IF(B236=1,MAX(0,N(INDEX(Charge!$M:$M,ROW()))),0)</f>
        <v>0</v>
      </c>
      <c r="FH236" s="170" t="str">
        <f>IF(EO236=1,ROUND(SUMIF($FF$4:$FF$503,EN236,$FG$4:$FG$503),2),"")</f>
        <v/>
      </c>
      <c r="FI236" s="170" t="str">
        <f>IF(EO236=1,ROUND(SUMPRODUCT(($FF$4:$FF$503=EN236)*$FG$4:$FG$503*$C$4:$C$503),2),"")</f>
        <v/>
      </c>
      <c r="FJ236" s="170" t="str">
        <f>IF(EO236=1,MAX(0,ROUND(FH236-FI236,2)),"")</f>
        <v/>
      </c>
      <c r="FK236" s="174" t="str">
        <f>IF(EO236=1,IF(OR(EW236&gt;=2958465,EY236=0,EY236&lt;=EW236),"",IF(TODAY()&lt;=EW236,0,IF(TODAY()&gt;EY236,1,IFERROR(NETWORKDAYS(EW236,TODAY()-1,Data!$K$4:$K$203)/NETWORKDAYS(EW236,EY236,Data!$K$4:$K$203),"")))),"")</f>
        <v/>
      </c>
      <c r="FL236" t="str">
        <f>IF(EO236=1,IF(AND(EY236&gt;0,EY236&lt;TODAY(),ROUND(EU236,4)&lt;1),2,IF(FK236="",0,IF(ROUND(EU236-FK236,4)&lt;-0.15,1,0))),"")</f>
        <v/>
      </c>
      <c r="FM236">
        <f>IF(OR(FA236="",COUNTIF($FA$4:FA235,FA236)&gt;0),0,MAX(0,IF(FB236="Interne",IF(ISNUMBER(INDEX(Data!$F:$F,236)),INDEX(Data!$F:$F,236),p_HeuresETP),IF(ISNUMBER(INDEX(Data!$I:$I,236-$CD$23)),INDEX(Data!$I:$I,236-$CD$23),p_HeuresETP))-IF(FB236="Interne",IF(ISNUMBER(INDEX(Data!$G:$G,236)),INDEX(Data!$G:$G,236),p_ChargeFixe),IF(ISNUMBER(INDEX(Data!$J:$J,236-$CD$23)),INDEX(Data!$J:$J,236-$CD$23),p_ChargeFixe))))</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9" t="str">
        <f>IF(AND(D237=1,ISNUMBER(INDEX(Charge!$N:$N,ROW()))),INDEX(Charge!$N:$N,ROW()),"")</f>
        <v/>
      </c>
      <c r="J237" s="169"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70">
        <f>IF(OR($I237="",$E237=0),0,IF(OR($J237&lt;W$3,$I237&gt;W$2),0,IF($K237=0,IF(AND($I237&gt;=W$3,$I237&lt;=W$2),$E237,0),$E237*NETWORKDAYS(MAX($I237,W$3),MIN($J237,W$2),Data!$K$4:$K$203)/$K237)))</f>
        <v>0</v>
      </c>
      <c r="X237" s="170">
        <f>IF(OR($I237="",$E237=0),0,IF(OR($J237&lt;X$3,$I237&gt;X$2),0,IF($K237=0,IF(AND($I237&gt;=X$3,$I237&lt;=X$2),$E237,0),$E237*NETWORKDAYS(MAX($I237,X$3),MIN($J237,X$2),Data!$K$4:$K$203)/$K237)))</f>
        <v>0</v>
      </c>
      <c r="Y237" s="170">
        <f>IF(OR($I237="",$E237=0),0,IF(OR($J237&lt;Y$3,$I237&gt;Y$2),0,IF($K237=0,IF(AND($I237&gt;=Y$3,$I237&lt;=Y$2),$E237,0),$E237*NETWORKDAYS(MAX($I237,Y$3),MIN($J237,Y$2),Data!$K$4:$K$203)/$K237)))</f>
        <v>0</v>
      </c>
      <c r="Z237" s="170">
        <f>IF(OR($I237="",$E237=0),0,IF(OR($J237&lt;Z$3,$I237&gt;Z$2),0,IF($K237=0,IF(AND($I237&gt;=Z$3,$I237&lt;=Z$2),$E237,0),$E237*NETWORKDAYS(MAX($I237,Z$3),MIN($J237,Z$2),Data!$K$4:$K$203)/$K237)))</f>
        <v>0</v>
      </c>
      <c r="AA237" s="170">
        <f>IF(OR($I237="",$E237=0),0,IF(OR($J237&lt;AA$3,$I237&gt;AA$2),0,IF($K237=0,IF(AND($I237&gt;=AA$3,$I237&lt;=AA$2),$E237,0),$E237*NETWORKDAYS(MAX($I237,AA$3),MIN($J237,AA$2),Data!$K$4:$K$203)/$K237)))</f>
        <v>0</v>
      </c>
      <c r="AB237" s="170">
        <f>IF(OR($I237="",$E237=0),0,IF(OR($J237&lt;AB$3,$I237&gt;AB$2),0,IF($K237=0,IF(AND($I237&gt;=AB$3,$I237&lt;=AB$2),$E237,0),$E237*NETWORKDAYS(MAX($I237,AB$3),MIN($J237,AB$2),Data!$K$4:$K$203)/$K237)))</f>
        <v>0</v>
      </c>
      <c r="AC237" s="170">
        <f>IF(OR($I237="",$E237=0),0,IF(OR($J237&lt;AC$3,$I237&gt;AC$2),0,IF($K237=0,IF(AND($I237&gt;=AC$3,$I237&lt;=AC$2),$E237,0),$E237*NETWORKDAYS(MAX($I237,AC$3),MIN($J237,AC$2),Data!$K$4:$K$203)/$K237)))</f>
        <v>0</v>
      </c>
      <c r="AD237" s="170">
        <f>IF(OR($I237="",$E237=0),0,IF(OR($J237&lt;AD$3,$I237&gt;AD$2),0,IF($K237=0,IF(AND($I237&gt;=AD$3,$I237&lt;=AD$2),$E237,0),$E237*NETWORKDAYS(MAX($I237,AD$3),MIN($J237,AD$2),Data!$K$4:$K$203)/$K237)))</f>
        <v>0</v>
      </c>
      <c r="AE237" s="170">
        <f>IF(OR($I237="",$E237=0),0,IF(OR($J237&lt;AE$3,$I237&gt;AE$2),0,IF($K237=0,IF(AND($I237&gt;=AE$3,$I237&lt;=AE$2),$E237,0),$E237*NETWORKDAYS(MAX($I237,AE$3),MIN($J237,AE$2),Data!$K$4:$K$203)/$K237)))</f>
        <v>0</v>
      </c>
      <c r="AF237" s="170">
        <f>IF(OR($I237="",$E237=0),0,IF(OR($J237&lt;AF$3,$I237&gt;AF$2),0,IF($K237=0,IF(AND($I237&gt;=AF$3,$I237&lt;=AF$2),$E237,0),$E237*NETWORKDAYS(MAX($I237,AF$3),MIN($J237,AF$2),Data!$K$4:$K$203)/$K237)))</f>
        <v>0</v>
      </c>
      <c r="AG237" s="170">
        <f>IF(OR($I237="",$E237=0),0,IF(OR($J237&lt;AG$3,$I237&gt;AG$2),0,IF($K237=0,IF(AND($I237&gt;=AG$3,$I237&lt;=AG$2),$E237,0),$E237*NETWORKDAYS(MAX($I237,AG$3),MIN($J237,AG$2),Data!$K$4:$K$203)/$K237)))</f>
        <v>0</v>
      </c>
      <c r="AH237" s="170">
        <f>IF(OR($I237="",$E237=0),0,IF(OR($J237&lt;AH$3,$I237&gt;AH$2),0,IF($K237=0,IF(AND($I237&gt;=AH$3,$I237&lt;=AH$2),$E237,0),$E237*NETWORKDAYS(MAX($I237,AH$3),MIN($J237,AH$2),Data!$K$4:$K$203)/$K237)))</f>
        <v>0</v>
      </c>
      <c r="AI237" s="170">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70"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4" t="str">
        <f>IF(EO237=1,IF(FH237&gt;0,FI237/FH237,AVERAGEIF($FF$4:$FF$503,EN237,$C$4:$C$503)),"")</f>
        <v/>
      </c>
      <c r="EV237" s="169">
        <f>IF(ISNUMBER(I237),I237,2958465)</f>
        <v>2958465.0</v>
      </c>
      <c r="EW237" s="169" t="str">
        <f>IF(EO237=1,SUMPRODUCT(MIN(($EN$4:$EN$503=EN237)*$EV$4:$EV$503+($EN$4:$EN$503&lt;&gt;EN237)*2958465)),"")</f>
        <v/>
      </c>
      <c r="EX237" s="169">
        <f>IF(AND(D237=1,ISNUMBER(INDEX(Charge!$F:$F,ROW()))),INDEX(Charge!$F:$F,ROW()),0)</f>
        <v>0.0</v>
      </c>
      <c r="EY237" s="169"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c r="FF237" t="str">
        <f>IF(B237=1,LEFT(SUBSTITUTE(SUBSTITUTE(SUBSTITUTE(TRIM(SUBSTITUTE(INDEX(Charge!$B:$B,ROW()),CHAR(160)," "))&amp;" | "&amp;TRIM(SUBSTITUTE(INDEX(Charge!$C:$C,ROW()),CHAR(160)," "))&amp;" | "&amp;TRIM(SUBSTITUTE(INDEX(Charge!$D:$D,ROW()),CHAR(160)," ")),"~","-"),"*","+"),"?","!"),240),"")</f>
        <v/>
      </c>
      <c r="FG237">
        <f>IF(B237=1,MAX(0,N(INDEX(Charge!$M:$M,ROW()))),0)</f>
        <v>0</v>
      </c>
      <c r="FH237" s="170" t="str">
        <f>IF(EO237=1,ROUND(SUMIF($FF$4:$FF$503,EN237,$FG$4:$FG$503),2),"")</f>
        <v/>
      </c>
      <c r="FI237" s="170" t="str">
        <f>IF(EO237=1,ROUND(SUMPRODUCT(($FF$4:$FF$503=EN237)*$FG$4:$FG$503*$C$4:$C$503),2),"")</f>
        <v/>
      </c>
      <c r="FJ237" s="170" t="str">
        <f>IF(EO237=1,MAX(0,ROUND(FH237-FI237,2)),"")</f>
        <v/>
      </c>
      <c r="FK237" s="174" t="str">
        <f>IF(EO237=1,IF(OR(EW237&gt;=2958465,EY237=0,EY237&lt;=EW237),"",IF(TODAY()&lt;=EW237,0,IF(TODAY()&gt;EY237,1,IFERROR(NETWORKDAYS(EW237,TODAY()-1,Data!$K$4:$K$203)/NETWORKDAYS(EW237,EY237,Data!$K$4:$K$203),"")))),"")</f>
        <v/>
      </c>
      <c r="FL237" t="str">
        <f>IF(EO237=1,IF(AND(EY237&gt;0,EY237&lt;TODAY(),ROUND(EU237,4)&lt;1),2,IF(FK237="",0,IF(ROUND(EU237-FK237,4)&lt;-0.15,1,0))),"")</f>
        <v/>
      </c>
      <c r="FM237">
        <f>IF(OR(FA237="",COUNTIF($FA$4:FA236,FA237)&gt;0),0,MAX(0,IF(FB237="Interne",IF(ISNUMBER(INDEX(Data!$F:$F,237)),INDEX(Data!$F:$F,237),p_HeuresETP),IF(ISNUMBER(INDEX(Data!$I:$I,237-$CD$23)),INDEX(Data!$I:$I,237-$CD$23),p_HeuresETP))-IF(FB237="Interne",IF(ISNUMBER(INDEX(Data!$G:$G,237)),INDEX(Data!$G:$G,237),p_ChargeFixe),IF(ISNUMBER(INDEX(Data!$J:$J,237-$CD$23)),INDEX(Data!$J:$J,237-$CD$23),p_ChargeFixe))))</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9" t="str">
        <f>IF(AND(D238=1,ISNUMBER(INDEX(Charge!$N:$N,ROW()))),INDEX(Charge!$N:$N,ROW()),"")</f>
        <v/>
      </c>
      <c r="J238" s="169"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70">
        <f>IF(OR($I238="",$E238=0),0,IF(OR($J238&lt;W$3,$I238&gt;W$2),0,IF($K238=0,IF(AND($I238&gt;=W$3,$I238&lt;=W$2),$E238,0),$E238*NETWORKDAYS(MAX($I238,W$3),MIN($J238,W$2),Data!$K$4:$K$203)/$K238)))</f>
        <v>0</v>
      </c>
      <c r="X238" s="170">
        <f>IF(OR($I238="",$E238=0),0,IF(OR($J238&lt;X$3,$I238&gt;X$2),0,IF($K238=0,IF(AND($I238&gt;=X$3,$I238&lt;=X$2),$E238,0),$E238*NETWORKDAYS(MAX($I238,X$3),MIN($J238,X$2),Data!$K$4:$K$203)/$K238)))</f>
        <v>0</v>
      </c>
      <c r="Y238" s="170">
        <f>IF(OR($I238="",$E238=0),0,IF(OR($J238&lt;Y$3,$I238&gt;Y$2),0,IF($K238=0,IF(AND($I238&gt;=Y$3,$I238&lt;=Y$2),$E238,0),$E238*NETWORKDAYS(MAX($I238,Y$3),MIN($J238,Y$2),Data!$K$4:$K$203)/$K238)))</f>
        <v>0</v>
      </c>
      <c r="Z238" s="170">
        <f>IF(OR($I238="",$E238=0),0,IF(OR($J238&lt;Z$3,$I238&gt;Z$2),0,IF($K238=0,IF(AND($I238&gt;=Z$3,$I238&lt;=Z$2),$E238,0),$E238*NETWORKDAYS(MAX($I238,Z$3),MIN($J238,Z$2),Data!$K$4:$K$203)/$K238)))</f>
        <v>0</v>
      </c>
      <c r="AA238" s="170">
        <f>IF(OR($I238="",$E238=0),0,IF(OR($J238&lt;AA$3,$I238&gt;AA$2),0,IF($K238=0,IF(AND($I238&gt;=AA$3,$I238&lt;=AA$2),$E238,0),$E238*NETWORKDAYS(MAX($I238,AA$3),MIN($J238,AA$2),Data!$K$4:$K$203)/$K238)))</f>
        <v>0</v>
      </c>
      <c r="AB238" s="170">
        <f>IF(OR($I238="",$E238=0),0,IF(OR($J238&lt;AB$3,$I238&gt;AB$2),0,IF($K238=0,IF(AND($I238&gt;=AB$3,$I238&lt;=AB$2),$E238,0),$E238*NETWORKDAYS(MAX($I238,AB$3),MIN($J238,AB$2),Data!$K$4:$K$203)/$K238)))</f>
        <v>0</v>
      </c>
      <c r="AC238" s="170">
        <f>IF(OR($I238="",$E238=0),0,IF(OR($J238&lt;AC$3,$I238&gt;AC$2),0,IF($K238=0,IF(AND($I238&gt;=AC$3,$I238&lt;=AC$2),$E238,0),$E238*NETWORKDAYS(MAX($I238,AC$3),MIN($J238,AC$2),Data!$K$4:$K$203)/$K238)))</f>
        <v>0</v>
      </c>
      <c r="AD238" s="170">
        <f>IF(OR($I238="",$E238=0),0,IF(OR($J238&lt;AD$3,$I238&gt;AD$2),0,IF($K238=0,IF(AND($I238&gt;=AD$3,$I238&lt;=AD$2),$E238,0),$E238*NETWORKDAYS(MAX($I238,AD$3),MIN($J238,AD$2),Data!$K$4:$K$203)/$K238)))</f>
        <v>0</v>
      </c>
      <c r="AE238" s="170">
        <f>IF(OR($I238="",$E238=0),0,IF(OR($J238&lt;AE$3,$I238&gt;AE$2),0,IF($K238=0,IF(AND($I238&gt;=AE$3,$I238&lt;=AE$2),$E238,0),$E238*NETWORKDAYS(MAX($I238,AE$3),MIN($J238,AE$2),Data!$K$4:$K$203)/$K238)))</f>
        <v>0</v>
      </c>
      <c r="AF238" s="170">
        <f>IF(OR($I238="",$E238=0),0,IF(OR($J238&lt;AF$3,$I238&gt;AF$2),0,IF($K238=0,IF(AND($I238&gt;=AF$3,$I238&lt;=AF$2),$E238,0),$E238*NETWORKDAYS(MAX($I238,AF$3),MIN($J238,AF$2),Data!$K$4:$K$203)/$K238)))</f>
        <v>0</v>
      </c>
      <c r="AG238" s="170">
        <f>IF(OR($I238="",$E238=0),0,IF(OR($J238&lt;AG$3,$I238&gt;AG$2),0,IF($K238=0,IF(AND($I238&gt;=AG$3,$I238&lt;=AG$2),$E238,0),$E238*NETWORKDAYS(MAX($I238,AG$3),MIN($J238,AG$2),Data!$K$4:$K$203)/$K238)))</f>
        <v>0</v>
      </c>
      <c r="AH238" s="170">
        <f>IF(OR($I238="",$E238=0),0,IF(OR($J238&lt;AH$3,$I238&gt;AH$2),0,IF($K238=0,IF(AND($I238&gt;=AH$3,$I238&lt;=AH$2),$E238,0),$E238*NETWORKDAYS(MAX($I238,AH$3),MIN($J238,AH$2),Data!$K$4:$K$203)/$K238)))</f>
        <v>0</v>
      </c>
      <c r="AI238" s="170">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70"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4" t="str">
        <f>IF(EO238=1,IF(FH238&gt;0,FI238/FH238,AVERAGEIF($FF$4:$FF$503,EN238,$C$4:$C$503)),"")</f>
        <v/>
      </c>
      <c r="EV238" s="169">
        <f>IF(ISNUMBER(I238),I238,2958465)</f>
        <v>2958465.0</v>
      </c>
      <c r="EW238" s="169" t="str">
        <f>IF(EO238=1,SUMPRODUCT(MIN(($EN$4:$EN$503=EN238)*$EV$4:$EV$503+($EN$4:$EN$503&lt;&gt;EN238)*2958465)),"")</f>
        <v/>
      </c>
      <c r="EX238" s="169">
        <f>IF(AND(D238=1,ISNUMBER(INDEX(Charge!$F:$F,ROW()))),INDEX(Charge!$F:$F,ROW()),0)</f>
        <v>0.0</v>
      </c>
      <c r="EY238" s="169"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c r="FF238" t="str">
        <f>IF(B238=1,LEFT(SUBSTITUTE(SUBSTITUTE(SUBSTITUTE(TRIM(SUBSTITUTE(INDEX(Charge!$B:$B,ROW()),CHAR(160)," "))&amp;" | "&amp;TRIM(SUBSTITUTE(INDEX(Charge!$C:$C,ROW()),CHAR(160)," "))&amp;" | "&amp;TRIM(SUBSTITUTE(INDEX(Charge!$D:$D,ROW()),CHAR(160)," ")),"~","-"),"*","+"),"?","!"),240),"")</f>
        <v/>
      </c>
      <c r="FG238">
        <f>IF(B238=1,MAX(0,N(INDEX(Charge!$M:$M,ROW()))),0)</f>
        <v>0</v>
      </c>
      <c r="FH238" s="170" t="str">
        <f>IF(EO238=1,ROUND(SUMIF($FF$4:$FF$503,EN238,$FG$4:$FG$503),2),"")</f>
        <v/>
      </c>
      <c r="FI238" s="170" t="str">
        <f>IF(EO238=1,ROUND(SUMPRODUCT(($FF$4:$FF$503=EN238)*$FG$4:$FG$503*$C$4:$C$503),2),"")</f>
        <v/>
      </c>
      <c r="FJ238" s="170" t="str">
        <f>IF(EO238=1,MAX(0,ROUND(FH238-FI238,2)),"")</f>
        <v/>
      </c>
      <c r="FK238" s="174" t="str">
        <f>IF(EO238=1,IF(OR(EW238&gt;=2958465,EY238=0,EY238&lt;=EW238),"",IF(TODAY()&lt;=EW238,0,IF(TODAY()&gt;EY238,1,IFERROR(NETWORKDAYS(EW238,TODAY()-1,Data!$K$4:$K$203)/NETWORKDAYS(EW238,EY238,Data!$K$4:$K$203),"")))),"")</f>
        <v/>
      </c>
      <c r="FL238" t="str">
        <f>IF(EO238=1,IF(AND(EY238&gt;0,EY238&lt;TODAY(),ROUND(EU238,4)&lt;1),2,IF(FK238="",0,IF(ROUND(EU238-FK238,4)&lt;-0.15,1,0))),"")</f>
        <v/>
      </c>
      <c r="FM238">
        <f>IF(OR(FA238="",COUNTIF($FA$4:FA237,FA238)&gt;0),0,MAX(0,IF(FB238="Interne",IF(ISNUMBER(INDEX(Data!$F:$F,238)),INDEX(Data!$F:$F,238),p_HeuresETP),IF(ISNUMBER(INDEX(Data!$I:$I,238-$CD$23)),INDEX(Data!$I:$I,238-$CD$23),p_HeuresETP))-IF(FB238="Interne",IF(ISNUMBER(INDEX(Data!$G:$G,238)),INDEX(Data!$G:$G,238),p_ChargeFixe),IF(ISNUMBER(INDEX(Data!$J:$J,238-$CD$23)),INDEX(Data!$J:$J,238-$CD$23),p_ChargeFixe))))</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9" t="str">
        <f>IF(AND(D239=1,ISNUMBER(INDEX(Charge!$N:$N,ROW()))),INDEX(Charge!$N:$N,ROW()),"")</f>
        <v/>
      </c>
      <c r="J239" s="169"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70">
        <f>IF(OR($I239="",$E239=0),0,IF(OR($J239&lt;W$3,$I239&gt;W$2),0,IF($K239=0,IF(AND($I239&gt;=W$3,$I239&lt;=W$2),$E239,0),$E239*NETWORKDAYS(MAX($I239,W$3),MIN($J239,W$2),Data!$K$4:$K$203)/$K239)))</f>
        <v>0</v>
      </c>
      <c r="X239" s="170">
        <f>IF(OR($I239="",$E239=0),0,IF(OR($J239&lt;X$3,$I239&gt;X$2),0,IF($K239=0,IF(AND($I239&gt;=X$3,$I239&lt;=X$2),$E239,0),$E239*NETWORKDAYS(MAX($I239,X$3),MIN($J239,X$2),Data!$K$4:$K$203)/$K239)))</f>
        <v>0</v>
      </c>
      <c r="Y239" s="170">
        <f>IF(OR($I239="",$E239=0),0,IF(OR($J239&lt;Y$3,$I239&gt;Y$2),0,IF($K239=0,IF(AND($I239&gt;=Y$3,$I239&lt;=Y$2),$E239,0),$E239*NETWORKDAYS(MAX($I239,Y$3),MIN($J239,Y$2),Data!$K$4:$K$203)/$K239)))</f>
        <v>0</v>
      </c>
      <c r="Z239" s="170">
        <f>IF(OR($I239="",$E239=0),0,IF(OR($J239&lt;Z$3,$I239&gt;Z$2),0,IF($K239=0,IF(AND($I239&gt;=Z$3,$I239&lt;=Z$2),$E239,0),$E239*NETWORKDAYS(MAX($I239,Z$3),MIN($J239,Z$2),Data!$K$4:$K$203)/$K239)))</f>
        <v>0</v>
      </c>
      <c r="AA239" s="170">
        <f>IF(OR($I239="",$E239=0),0,IF(OR($J239&lt;AA$3,$I239&gt;AA$2),0,IF($K239=0,IF(AND($I239&gt;=AA$3,$I239&lt;=AA$2),$E239,0),$E239*NETWORKDAYS(MAX($I239,AA$3),MIN($J239,AA$2),Data!$K$4:$K$203)/$K239)))</f>
        <v>0</v>
      </c>
      <c r="AB239" s="170">
        <f>IF(OR($I239="",$E239=0),0,IF(OR($J239&lt;AB$3,$I239&gt;AB$2),0,IF($K239=0,IF(AND($I239&gt;=AB$3,$I239&lt;=AB$2),$E239,0),$E239*NETWORKDAYS(MAX($I239,AB$3),MIN($J239,AB$2),Data!$K$4:$K$203)/$K239)))</f>
        <v>0</v>
      </c>
      <c r="AC239" s="170">
        <f>IF(OR($I239="",$E239=0),0,IF(OR($J239&lt;AC$3,$I239&gt;AC$2),0,IF($K239=0,IF(AND($I239&gt;=AC$3,$I239&lt;=AC$2),$E239,0),$E239*NETWORKDAYS(MAX($I239,AC$3),MIN($J239,AC$2),Data!$K$4:$K$203)/$K239)))</f>
        <v>0</v>
      </c>
      <c r="AD239" s="170">
        <f>IF(OR($I239="",$E239=0),0,IF(OR($J239&lt;AD$3,$I239&gt;AD$2),0,IF($K239=0,IF(AND($I239&gt;=AD$3,$I239&lt;=AD$2),$E239,0),$E239*NETWORKDAYS(MAX($I239,AD$3),MIN($J239,AD$2),Data!$K$4:$K$203)/$K239)))</f>
        <v>0</v>
      </c>
      <c r="AE239" s="170">
        <f>IF(OR($I239="",$E239=0),0,IF(OR($J239&lt;AE$3,$I239&gt;AE$2),0,IF($K239=0,IF(AND($I239&gt;=AE$3,$I239&lt;=AE$2),$E239,0),$E239*NETWORKDAYS(MAX($I239,AE$3),MIN($J239,AE$2),Data!$K$4:$K$203)/$K239)))</f>
        <v>0</v>
      </c>
      <c r="AF239" s="170">
        <f>IF(OR($I239="",$E239=0),0,IF(OR($J239&lt;AF$3,$I239&gt;AF$2),0,IF($K239=0,IF(AND($I239&gt;=AF$3,$I239&lt;=AF$2),$E239,0),$E239*NETWORKDAYS(MAX($I239,AF$3),MIN($J239,AF$2),Data!$K$4:$K$203)/$K239)))</f>
        <v>0</v>
      </c>
      <c r="AG239" s="170">
        <f>IF(OR($I239="",$E239=0),0,IF(OR($J239&lt;AG$3,$I239&gt;AG$2),0,IF($K239=0,IF(AND($I239&gt;=AG$3,$I239&lt;=AG$2),$E239,0),$E239*NETWORKDAYS(MAX($I239,AG$3),MIN($J239,AG$2),Data!$K$4:$K$203)/$K239)))</f>
        <v>0</v>
      </c>
      <c r="AH239" s="170">
        <f>IF(OR($I239="",$E239=0),0,IF(OR($J239&lt;AH$3,$I239&gt;AH$2),0,IF($K239=0,IF(AND($I239&gt;=AH$3,$I239&lt;=AH$2),$E239,0),$E239*NETWORKDAYS(MAX($I239,AH$3),MIN($J239,AH$2),Data!$K$4:$K$203)/$K239)))</f>
        <v>0</v>
      </c>
      <c r="AI239" s="170">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70"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4" t="str">
        <f>IF(EO239=1,IF(FH239&gt;0,FI239/FH239,AVERAGEIF($FF$4:$FF$503,EN239,$C$4:$C$503)),"")</f>
        <v/>
      </c>
      <c r="EV239" s="169">
        <f>IF(ISNUMBER(I239),I239,2958465)</f>
        <v>2958465.0</v>
      </c>
      <c r="EW239" s="169" t="str">
        <f>IF(EO239=1,SUMPRODUCT(MIN(($EN$4:$EN$503=EN239)*$EV$4:$EV$503+($EN$4:$EN$503&lt;&gt;EN239)*2958465)),"")</f>
        <v/>
      </c>
      <c r="EX239" s="169">
        <f>IF(AND(D239=1,ISNUMBER(INDEX(Charge!$F:$F,ROW()))),INDEX(Charge!$F:$F,ROW()),0)</f>
        <v>0.0</v>
      </c>
      <c r="EY239" s="169"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c r="FF239" t="str">
        <f>IF(B239=1,LEFT(SUBSTITUTE(SUBSTITUTE(SUBSTITUTE(TRIM(SUBSTITUTE(INDEX(Charge!$B:$B,ROW()),CHAR(160)," "))&amp;" | "&amp;TRIM(SUBSTITUTE(INDEX(Charge!$C:$C,ROW()),CHAR(160)," "))&amp;" | "&amp;TRIM(SUBSTITUTE(INDEX(Charge!$D:$D,ROW()),CHAR(160)," ")),"~","-"),"*","+"),"?","!"),240),"")</f>
        <v/>
      </c>
      <c r="FG239">
        <f>IF(B239=1,MAX(0,N(INDEX(Charge!$M:$M,ROW()))),0)</f>
        <v>0</v>
      </c>
      <c r="FH239" s="170" t="str">
        <f>IF(EO239=1,ROUND(SUMIF($FF$4:$FF$503,EN239,$FG$4:$FG$503),2),"")</f>
        <v/>
      </c>
      <c r="FI239" s="170" t="str">
        <f>IF(EO239=1,ROUND(SUMPRODUCT(($FF$4:$FF$503=EN239)*$FG$4:$FG$503*$C$4:$C$503),2),"")</f>
        <v/>
      </c>
      <c r="FJ239" s="170" t="str">
        <f>IF(EO239=1,MAX(0,ROUND(FH239-FI239,2)),"")</f>
        <v/>
      </c>
      <c r="FK239" s="174" t="str">
        <f>IF(EO239=1,IF(OR(EW239&gt;=2958465,EY239=0,EY239&lt;=EW239),"",IF(TODAY()&lt;=EW239,0,IF(TODAY()&gt;EY239,1,IFERROR(NETWORKDAYS(EW239,TODAY()-1,Data!$K$4:$K$203)/NETWORKDAYS(EW239,EY239,Data!$K$4:$K$203),"")))),"")</f>
        <v/>
      </c>
      <c r="FL239" t="str">
        <f>IF(EO239=1,IF(AND(EY239&gt;0,EY239&lt;TODAY(),ROUND(EU239,4)&lt;1),2,IF(FK239="",0,IF(ROUND(EU239-FK239,4)&lt;-0.15,1,0))),"")</f>
        <v/>
      </c>
      <c r="FM239">
        <f>IF(OR(FA239="",COUNTIF($FA$4:FA238,FA239)&gt;0),0,MAX(0,IF(FB239="Interne",IF(ISNUMBER(INDEX(Data!$F:$F,239)),INDEX(Data!$F:$F,239),p_HeuresETP),IF(ISNUMBER(INDEX(Data!$I:$I,239-$CD$23)),INDEX(Data!$I:$I,239-$CD$23),p_HeuresETP))-IF(FB239="Interne",IF(ISNUMBER(INDEX(Data!$G:$G,239)),INDEX(Data!$G:$G,239),p_ChargeFixe),IF(ISNUMBER(INDEX(Data!$J:$J,239-$CD$23)),INDEX(Data!$J:$J,239-$CD$23),p_ChargeFixe))))</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9" t="str">
        <f>IF(AND(D240=1,ISNUMBER(INDEX(Charge!$N:$N,ROW()))),INDEX(Charge!$N:$N,ROW()),"")</f>
        <v/>
      </c>
      <c r="J240" s="169"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70">
        <f>IF(OR($I240="",$E240=0),0,IF(OR($J240&lt;W$3,$I240&gt;W$2),0,IF($K240=0,IF(AND($I240&gt;=W$3,$I240&lt;=W$2),$E240,0),$E240*NETWORKDAYS(MAX($I240,W$3),MIN($J240,W$2),Data!$K$4:$K$203)/$K240)))</f>
        <v>0</v>
      </c>
      <c r="X240" s="170">
        <f>IF(OR($I240="",$E240=0),0,IF(OR($J240&lt;X$3,$I240&gt;X$2),0,IF($K240=0,IF(AND($I240&gt;=X$3,$I240&lt;=X$2),$E240,0),$E240*NETWORKDAYS(MAX($I240,X$3),MIN($J240,X$2),Data!$K$4:$K$203)/$K240)))</f>
        <v>0</v>
      </c>
      <c r="Y240" s="170">
        <f>IF(OR($I240="",$E240=0),0,IF(OR($J240&lt;Y$3,$I240&gt;Y$2),0,IF($K240=0,IF(AND($I240&gt;=Y$3,$I240&lt;=Y$2),$E240,0),$E240*NETWORKDAYS(MAX($I240,Y$3),MIN($J240,Y$2),Data!$K$4:$K$203)/$K240)))</f>
        <v>0</v>
      </c>
      <c r="Z240" s="170">
        <f>IF(OR($I240="",$E240=0),0,IF(OR($J240&lt;Z$3,$I240&gt;Z$2),0,IF($K240=0,IF(AND($I240&gt;=Z$3,$I240&lt;=Z$2),$E240,0),$E240*NETWORKDAYS(MAX($I240,Z$3),MIN($J240,Z$2),Data!$K$4:$K$203)/$K240)))</f>
        <v>0</v>
      </c>
      <c r="AA240" s="170">
        <f>IF(OR($I240="",$E240=0),0,IF(OR($J240&lt;AA$3,$I240&gt;AA$2),0,IF($K240=0,IF(AND($I240&gt;=AA$3,$I240&lt;=AA$2),$E240,0),$E240*NETWORKDAYS(MAX($I240,AA$3),MIN($J240,AA$2),Data!$K$4:$K$203)/$K240)))</f>
        <v>0</v>
      </c>
      <c r="AB240" s="170">
        <f>IF(OR($I240="",$E240=0),0,IF(OR($J240&lt;AB$3,$I240&gt;AB$2),0,IF($K240=0,IF(AND($I240&gt;=AB$3,$I240&lt;=AB$2),$E240,0),$E240*NETWORKDAYS(MAX($I240,AB$3),MIN($J240,AB$2),Data!$K$4:$K$203)/$K240)))</f>
        <v>0</v>
      </c>
      <c r="AC240" s="170">
        <f>IF(OR($I240="",$E240=0),0,IF(OR($J240&lt;AC$3,$I240&gt;AC$2),0,IF($K240=0,IF(AND($I240&gt;=AC$3,$I240&lt;=AC$2),$E240,0),$E240*NETWORKDAYS(MAX($I240,AC$3),MIN($J240,AC$2),Data!$K$4:$K$203)/$K240)))</f>
        <v>0</v>
      </c>
      <c r="AD240" s="170">
        <f>IF(OR($I240="",$E240=0),0,IF(OR($J240&lt;AD$3,$I240&gt;AD$2),0,IF($K240=0,IF(AND($I240&gt;=AD$3,$I240&lt;=AD$2),$E240,0),$E240*NETWORKDAYS(MAX($I240,AD$3),MIN($J240,AD$2),Data!$K$4:$K$203)/$K240)))</f>
        <v>0</v>
      </c>
      <c r="AE240" s="170">
        <f>IF(OR($I240="",$E240=0),0,IF(OR($J240&lt;AE$3,$I240&gt;AE$2),0,IF($K240=0,IF(AND($I240&gt;=AE$3,$I240&lt;=AE$2),$E240,0),$E240*NETWORKDAYS(MAX($I240,AE$3),MIN($J240,AE$2),Data!$K$4:$K$203)/$K240)))</f>
        <v>0</v>
      </c>
      <c r="AF240" s="170">
        <f>IF(OR($I240="",$E240=0),0,IF(OR($J240&lt;AF$3,$I240&gt;AF$2),0,IF($K240=0,IF(AND($I240&gt;=AF$3,$I240&lt;=AF$2),$E240,0),$E240*NETWORKDAYS(MAX($I240,AF$3),MIN($J240,AF$2),Data!$K$4:$K$203)/$K240)))</f>
        <v>0</v>
      </c>
      <c r="AG240" s="170">
        <f>IF(OR($I240="",$E240=0),0,IF(OR($J240&lt;AG$3,$I240&gt;AG$2),0,IF($K240=0,IF(AND($I240&gt;=AG$3,$I240&lt;=AG$2),$E240,0),$E240*NETWORKDAYS(MAX($I240,AG$3),MIN($J240,AG$2),Data!$K$4:$K$203)/$K240)))</f>
        <v>0</v>
      </c>
      <c r="AH240" s="170">
        <f>IF(OR($I240="",$E240=0),0,IF(OR($J240&lt;AH$3,$I240&gt;AH$2),0,IF($K240=0,IF(AND($I240&gt;=AH$3,$I240&lt;=AH$2),$E240,0),$E240*NETWORKDAYS(MAX($I240,AH$3),MIN($J240,AH$2),Data!$K$4:$K$203)/$K240)))</f>
        <v>0</v>
      </c>
      <c r="AI240" s="170">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70"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4" t="str">
        <f>IF(EO240=1,IF(FH240&gt;0,FI240/FH240,AVERAGEIF($FF$4:$FF$503,EN240,$C$4:$C$503)),"")</f>
        <v/>
      </c>
      <c r="EV240" s="169">
        <f>IF(ISNUMBER(I240),I240,2958465)</f>
        <v>2958465.0</v>
      </c>
      <c r="EW240" s="169" t="str">
        <f>IF(EO240=1,SUMPRODUCT(MIN(($EN$4:$EN$503=EN240)*$EV$4:$EV$503+($EN$4:$EN$503&lt;&gt;EN240)*2958465)),"")</f>
        <v/>
      </c>
      <c r="EX240" s="169">
        <f>IF(AND(D240=1,ISNUMBER(INDEX(Charge!$F:$F,ROW()))),INDEX(Charge!$F:$F,ROW()),0)</f>
        <v>0.0</v>
      </c>
      <c r="EY240" s="169"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c r="FF240" t="str">
        <f>IF(B240=1,LEFT(SUBSTITUTE(SUBSTITUTE(SUBSTITUTE(TRIM(SUBSTITUTE(INDEX(Charge!$B:$B,ROW()),CHAR(160)," "))&amp;" | "&amp;TRIM(SUBSTITUTE(INDEX(Charge!$C:$C,ROW()),CHAR(160)," "))&amp;" | "&amp;TRIM(SUBSTITUTE(INDEX(Charge!$D:$D,ROW()),CHAR(160)," ")),"~","-"),"*","+"),"?","!"),240),"")</f>
        <v/>
      </c>
      <c r="FG240">
        <f>IF(B240=1,MAX(0,N(INDEX(Charge!$M:$M,ROW()))),0)</f>
        <v>0</v>
      </c>
      <c r="FH240" s="170" t="str">
        <f>IF(EO240=1,ROUND(SUMIF($FF$4:$FF$503,EN240,$FG$4:$FG$503),2),"")</f>
        <v/>
      </c>
      <c r="FI240" s="170" t="str">
        <f>IF(EO240=1,ROUND(SUMPRODUCT(($FF$4:$FF$503=EN240)*$FG$4:$FG$503*$C$4:$C$503),2),"")</f>
        <v/>
      </c>
      <c r="FJ240" s="170" t="str">
        <f>IF(EO240=1,MAX(0,ROUND(FH240-FI240,2)),"")</f>
        <v/>
      </c>
      <c r="FK240" s="174" t="str">
        <f>IF(EO240=1,IF(OR(EW240&gt;=2958465,EY240=0,EY240&lt;=EW240),"",IF(TODAY()&lt;=EW240,0,IF(TODAY()&gt;EY240,1,IFERROR(NETWORKDAYS(EW240,TODAY()-1,Data!$K$4:$K$203)/NETWORKDAYS(EW240,EY240,Data!$K$4:$K$203),"")))),"")</f>
        <v/>
      </c>
      <c r="FL240" t="str">
        <f>IF(EO240=1,IF(AND(EY240&gt;0,EY240&lt;TODAY(),ROUND(EU240,4)&lt;1),2,IF(FK240="",0,IF(ROUND(EU240-FK240,4)&lt;-0.15,1,0))),"")</f>
        <v/>
      </c>
      <c r="FM240">
        <f>IF(OR(FA240="",COUNTIF($FA$4:FA239,FA240)&gt;0),0,MAX(0,IF(FB240="Interne",IF(ISNUMBER(INDEX(Data!$F:$F,240)),INDEX(Data!$F:$F,240),p_HeuresETP),IF(ISNUMBER(INDEX(Data!$I:$I,240-$CD$23)),INDEX(Data!$I:$I,240-$CD$23),p_HeuresETP))-IF(FB240="Interne",IF(ISNUMBER(INDEX(Data!$G:$G,240)),INDEX(Data!$G:$G,240),p_ChargeFixe),IF(ISNUMBER(INDEX(Data!$J:$J,240-$CD$23)),INDEX(Data!$J:$J,240-$CD$23),p_ChargeFixe))))</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9" t="str">
        <f>IF(AND(D241=1,ISNUMBER(INDEX(Charge!$N:$N,ROW()))),INDEX(Charge!$N:$N,ROW()),"")</f>
        <v/>
      </c>
      <c r="J241" s="169"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70">
        <f>IF(OR($I241="",$E241=0),0,IF(OR($J241&lt;W$3,$I241&gt;W$2),0,IF($K241=0,IF(AND($I241&gt;=W$3,$I241&lt;=W$2),$E241,0),$E241*NETWORKDAYS(MAX($I241,W$3),MIN($J241,W$2),Data!$K$4:$K$203)/$K241)))</f>
        <v>0</v>
      </c>
      <c r="X241" s="170">
        <f>IF(OR($I241="",$E241=0),0,IF(OR($J241&lt;X$3,$I241&gt;X$2),0,IF($K241=0,IF(AND($I241&gt;=X$3,$I241&lt;=X$2),$E241,0),$E241*NETWORKDAYS(MAX($I241,X$3),MIN($J241,X$2),Data!$K$4:$K$203)/$K241)))</f>
        <v>0</v>
      </c>
      <c r="Y241" s="170">
        <f>IF(OR($I241="",$E241=0),0,IF(OR($J241&lt;Y$3,$I241&gt;Y$2),0,IF($K241=0,IF(AND($I241&gt;=Y$3,$I241&lt;=Y$2),$E241,0),$E241*NETWORKDAYS(MAX($I241,Y$3),MIN($J241,Y$2),Data!$K$4:$K$203)/$K241)))</f>
        <v>0</v>
      </c>
      <c r="Z241" s="170">
        <f>IF(OR($I241="",$E241=0),0,IF(OR($J241&lt;Z$3,$I241&gt;Z$2),0,IF($K241=0,IF(AND($I241&gt;=Z$3,$I241&lt;=Z$2),$E241,0),$E241*NETWORKDAYS(MAX($I241,Z$3),MIN($J241,Z$2),Data!$K$4:$K$203)/$K241)))</f>
        <v>0</v>
      </c>
      <c r="AA241" s="170">
        <f>IF(OR($I241="",$E241=0),0,IF(OR($J241&lt;AA$3,$I241&gt;AA$2),0,IF($K241=0,IF(AND($I241&gt;=AA$3,$I241&lt;=AA$2),$E241,0),$E241*NETWORKDAYS(MAX($I241,AA$3),MIN($J241,AA$2),Data!$K$4:$K$203)/$K241)))</f>
        <v>0</v>
      </c>
      <c r="AB241" s="170">
        <f>IF(OR($I241="",$E241=0),0,IF(OR($J241&lt;AB$3,$I241&gt;AB$2),0,IF($K241=0,IF(AND($I241&gt;=AB$3,$I241&lt;=AB$2),$E241,0),$E241*NETWORKDAYS(MAX($I241,AB$3),MIN($J241,AB$2),Data!$K$4:$K$203)/$K241)))</f>
        <v>0</v>
      </c>
      <c r="AC241" s="170">
        <f>IF(OR($I241="",$E241=0),0,IF(OR($J241&lt;AC$3,$I241&gt;AC$2),0,IF($K241=0,IF(AND($I241&gt;=AC$3,$I241&lt;=AC$2),$E241,0),$E241*NETWORKDAYS(MAX($I241,AC$3),MIN($J241,AC$2),Data!$K$4:$K$203)/$K241)))</f>
        <v>0</v>
      </c>
      <c r="AD241" s="170">
        <f>IF(OR($I241="",$E241=0),0,IF(OR($J241&lt;AD$3,$I241&gt;AD$2),0,IF($K241=0,IF(AND($I241&gt;=AD$3,$I241&lt;=AD$2),$E241,0),$E241*NETWORKDAYS(MAX($I241,AD$3),MIN($J241,AD$2),Data!$K$4:$K$203)/$K241)))</f>
        <v>0</v>
      </c>
      <c r="AE241" s="170">
        <f>IF(OR($I241="",$E241=0),0,IF(OR($J241&lt;AE$3,$I241&gt;AE$2),0,IF($K241=0,IF(AND($I241&gt;=AE$3,$I241&lt;=AE$2),$E241,0),$E241*NETWORKDAYS(MAX($I241,AE$3),MIN($J241,AE$2),Data!$K$4:$K$203)/$K241)))</f>
        <v>0</v>
      </c>
      <c r="AF241" s="170">
        <f>IF(OR($I241="",$E241=0),0,IF(OR($J241&lt;AF$3,$I241&gt;AF$2),0,IF($K241=0,IF(AND($I241&gt;=AF$3,$I241&lt;=AF$2),$E241,0),$E241*NETWORKDAYS(MAX($I241,AF$3),MIN($J241,AF$2),Data!$K$4:$K$203)/$K241)))</f>
        <v>0</v>
      </c>
      <c r="AG241" s="170">
        <f>IF(OR($I241="",$E241=0),0,IF(OR($J241&lt;AG$3,$I241&gt;AG$2),0,IF($K241=0,IF(AND($I241&gt;=AG$3,$I241&lt;=AG$2),$E241,0),$E241*NETWORKDAYS(MAX($I241,AG$3),MIN($J241,AG$2),Data!$K$4:$K$203)/$K241)))</f>
        <v>0</v>
      </c>
      <c r="AH241" s="170">
        <f>IF(OR($I241="",$E241=0),0,IF(OR($J241&lt;AH$3,$I241&gt;AH$2),0,IF($K241=0,IF(AND($I241&gt;=AH$3,$I241&lt;=AH$2),$E241,0),$E241*NETWORKDAYS(MAX($I241,AH$3),MIN($J241,AH$2),Data!$K$4:$K$203)/$K241)))</f>
        <v>0</v>
      </c>
      <c r="AI241" s="170">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70"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4" t="str">
        <f>IF(EO241=1,IF(FH241&gt;0,FI241/FH241,AVERAGEIF($FF$4:$FF$503,EN241,$C$4:$C$503)),"")</f>
        <v/>
      </c>
      <c r="EV241" s="169">
        <f>IF(ISNUMBER(I241),I241,2958465)</f>
        <v>2958465.0</v>
      </c>
      <c r="EW241" s="169" t="str">
        <f>IF(EO241=1,SUMPRODUCT(MIN(($EN$4:$EN$503=EN241)*$EV$4:$EV$503+($EN$4:$EN$503&lt;&gt;EN241)*2958465)),"")</f>
        <v/>
      </c>
      <c r="EX241" s="169">
        <f>IF(AND(D241=1,ISNUMBER(INDEX(Charge!$F:$F,ROW()))),INDEX(Charge!$F:$F,ROW()),0)</f>
        <v>0.0</v>
      </c>
      <c r="EY241" s="169"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c r="FF241" t="str">
        <f>IF(B241=1,LEFT(SUBSTITUTE(SUBSTITUTE(SUBSTITUTE(TRIM(SUBSTITUTE(INDEX(Charge!$B:$B,ROW()),CHAR(160)," "))&amp;" | "&amp;TRIM(SUBSTITUTE(INDEX(Charge!$C:$C,ROW()),CHAR(160)," "))&amp;" | "&amp;TRIM(SUBSTITUTE(INDEX(Charge!$D:$D,ROW()),CHAR(160)," ")),"~","-"),"*","+"),"?","!"),240),"")</f>
        <v/>
      </c>
      <c r="FG241">
        <f>IF(B241=1,MAX(0,N(INDEX(Charge!$M:$M,ROW()))),0)</f>
        <v>0</v>
      </c>
      <c r="FH241" s="170" t="str">
        <f>IF(EO241=1,ROUND(SUMIF($FF$4:$FF$503,EN241,$FG$4:$FG$503),2),"")</f>
        <v/>
      </c>
      <c r="FI241" s="170" t="str">
        <f>IF(EO241=1,ROUND(SUMPRODUCT(($FF$4:$FF$503=EN241)*$FG$4:$FG$503*$C$4:$C$503),2),"")</f>
        <v/>
      </c>
      <c r="FJ241" s="170" t="str">
        <f>IF(EO241=1,MAX(0,ROUND(FH241-FI241,2)),"")</f>
        <v/>
      </c>
      <c r="FK241" s="174" t="str">
        <f>IF(EO241=1,IF(OR(EW241&gt;=2958465,EY241=0,EY241&lt;=EW241),"",IF(TODAY()&lt;=EW241,0,IF(TODAY()&gt;EY241,1,IFERROR(NETWORKDAYS(EW241,TODAY()-1,Data!$K$4:$K$203)/NETWORKDAYS(EW241,EY241,Data!$K$4:$K$203),"")))),"")</f>
        <v/>
      </c>
      <c r="FL241" t="str">
        <f>IF(EO241=1,IF(AND(EY241&gt;0,EY241&lt;TODAY(),ROUND(EU241,4)&lt;1),2,IF(FK241="",0,IF(ROUND(EU241-FK241,4)&lt;-0.15,1,0))),"")</f>
        <v/>
      </c>
      <c r="FM241">
        <f>IF(OR(FA241="",COUNTIF($FA$4:FA240,FA241)&gt;0),0,MAX(0,IF(FB241="Interne",IF(ISNUMBER(INDEX(Data!$F:$F,241)),INDEX(Data!$F:$F,241),p_HeuresETP),IF(ISNUMBER(INDEX(Data!$I:$I,241-$CD$23)),INDEX(Data!$I:$I,241-$CD$23),p_HeuresETP))-IF(FB241="Interne",IF(ISNUMBER(INDEX(Data!$G:$G,241)),INDEX(Data!$G:$G,241),p_ChargeFixe),IF(ISNUMBER(INDEX(Data!$J:$J,241-$CD$23)),INDEX(Data!$J:$J,241-$CD$23),p_ChargeFixe))))</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9" t="str">
        <f>IF(AND(D242=1,ISNUMBER(INDEX(Charge!$N:$N,ROW()))),INDEX(Charge!$N:$N,ROW()),"")</f>
        <v/>
      </c>
      <c r="J242" s="169"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70">
        <f>IF(OR($I242="",$E242=0),0,IF(OR($J242&lt;W$3,$I242&gt;W$2),0,IF($K242=0,IF(AND($I242&gt;=W$3,$I242&lt;=W$2),$E242,0),$E242*NETWORKDAYS(MAX($I242,W$3),MIN($J242,W$2),Data!$K$4:$K$203)/$K242)))</f>
        <v>0</v>
      </c>
      <c r="X242" s="170">
        <f>IF(OR($I242="",$E242=0),0,IF(OR($J242&lt;X$3,$I242&gt;X$2),0,IF($K242=0,IF(AND($I242&gt;=X$3,$I242&lt;=X$2),$E242,0),$E242*NETWORKDAYS(MAX($I242,X$3),MIN($J242,X$2),Data!$K$4:$K$203)/$K242)))</f>
        <v>0</v>
      </c>
      <c r="Y242" s="170">
        <f>IF(OR($I242="",$E242=0),0,IF(OR($J242&lt;Y$3,$I242&gt;Y$2),0,IF($K242=0,IF(AND($I242&gt;=Y$3,$I242&lt;=Y$2),$E242,0),$E242*NETWORKDAYS(MAX($I242,Y$3),MIN($J242,Y$2),Data!$K$4:$K$203)/$K242)))</f>
        <v>0</v>
      </c>
      <c r="Z242" s="170">
        <f>IF(OR($I242="",$E242=0),0,IF(OR($J242&lt;Z$3,$I242&gt;Z$2),0,IF($K242=0,IF(AND($I242&gt;=Z$3,$I242&lt;=Z$2),$E242,0),$E242*NETWORKDAYS(MAX($I242,Z$3),MIN($J242,Z$2),Data!$K$4:$K$203)/$K242)))</f>
        <v>0</v>
      </c>
      <c r="AA242" s="170">
        <f>IF(OR($I242="",$E242=0),0,IF(OR($J242&lt;AA$3,$I242&gt;AA$2),0,IF($K242=0,IF(AND($I242&gt;=AA$3,$I242&lt;=AA$2),$E242,0),$E242*NETWORKDAYS(MAX($I242,AA$3),MIN($J242,AA$2),Data!$K$4:$K$203)/$K242)))</f>
        <v>0</v>
      </c>
      <c r="AB242" s="170">
        <f>IF(OR($I242="",$E242=0),0,IF(OR($J242&lt;AB$3,$I242&gt;AB$2),0,IF($K242=0,IF(AND($I242&gt;=AB$3,$I242&lt;=AB$2),$E242,0),$E242*NETWORKDAYS(MAX($I242,AB$3),MIN($J242,AB$2),Data!$K$4:$K$203)/$K242)))</f>
        <v>0</v>
      </c>
      <c r="AC242" s="170">
        <f>IF(OR($I242="",$E242=0),0,IF(OR($J242&lt;AC$3,$I242&gt;AC$2),0,IF($K242=0,IF(AND($I242&gt;=AC$3,$I242&lt;=AC$2),$E242,0),$E242*NETWORKDAYS(MAX($I242,AC$3),MIN($J242,AC$2),Data!$K$4:$K$203)/$K242)))</f>
        <v>0</v>
      </c>
      <c r="AD242" s="170">
        <f>IF(OR($I242="",$E242=0),0,IF(OR($J242&lt;AD$3,$I242&gt;AD$2),0,IF($K242=0,IF(AND($I242&gt;=AD$3,$I242&lt;=AD$2),$E242,0),$E242*NETWORKDAYS(MAX($I242,AD$3),MIN($J242,AD$2),Data!$K$4:$K$203)/$K242)))</f>
        <v>0</v>
      </c>
      <c r="AE242" s="170">
        <f>IF(OR($I242="",$E242=0),0,IF(OR($J242&lt;AE$3,$I242&gt;AE$2),0,IF($K242=0,IF(AND($I242&gt;=AE$3,$I242&lt;=AE$2),$E242,0),$E242*NETWORKDAYS(MAX($I242,AE$3),MIN($J242,AE$2),Data!$K$4:$K$203)/$K242)))</f>
        <v>0</v>
      </c>
      <c r="AF242" s="170">
        <f>IF(OR($I242="",$E242=0),0,IF(OR($J242&lt;AF$3,$I242&gt;AF$2),0,IF($K242=0,IF(AND($I242&gt;=AF$3,$I242&lt;=AF$2),$E242,0),$E242*NETWORKDAYS(MAX($I242,AF$3),MIN($J242,AF$2),Data!$K$4:$K$203)/$K242)))</f>
        <v>0</v>
      </c>
      <c r="AG242" s="170">
        <f>IF(OR($I242="",$E242=0),0,IF(OR($J242&lt;AG$3,$I242&gt;AG$2),0,IF($K242=0,IF(AND($I242&gt;=AG$3,$I242&lt;=AG$2),$E242,0),$E242*NETWORKDAYS(MAX($I242,AG$3),MIN($J242,AG$2),Data!$K$4:$K$203)/$K242)))</f>
        <v>0</v>
      </c>
      <c r="AH242" s="170">
        <f>IF(OR($I242="",$E242=0),0,IF(OR($J242&lt;AH$3,$I242&gt;AH$2),0,IF($K242=0,IF(AND($I242&gt;=AH$3,$I242&lt;=AH$2),$E242,0),$E242*NETWORKDAYS(MAX($I242,AH$3),MIN($J242,AH$2),Data!$K$4:$K$203)/$K242)))</f>
        <v>0</v>
      </c>
      <c r="AI242" s="170">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70"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4" t="str">
        <f>IF(EO242=1,IF(FH242&gt;0,FI242/FH242,AVERAGEIF($FF$4:$FF$503,EN242,$C$4:$C$503)),"")</f>
        <v/>
      </c>
      <c r="EV242" s="169">
        <f>IF(ISNUMBER(I242),I242,2958465)</f>
        <v>2958465.0</v>
      </c>
      <c r="EW242" s="169" t="str">
        <f>IF(EO242=1,SUMPRODUCT(MIN(($EN$4:$EN$503=EN242)*$EV$4:$EV$503+($EN$4:$EN$503&lt;&gt;EN242)*2958465)),"")</f>
        <v/>
      </c>
      <c r="EX242" s="169">
        <f>IF(AND(D242=1,ISNUMBER(INDEX(Charge!$F:$F,ROW()))),INDEX(Charge!$F:$F,ROW()),0)</f>
        <v>0.0</v>
      </c>
      <c r="EY242" s="169"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c r="FF242" t="str">
        <f>IF(B242=1,LEFT(SUBSTITUTE(SUBSTITUTE(SUBSTITUTE(TRIM(SUBSTITUTE(INDEX(Charge!$B:$B,ROW()),CHAR(160)," "))&amp;" | "&amp;TRIM(SUBSTITUTE(INDEX(Charge!$C:$C,ROW()),CHAR(160)," "))&amp;" | "&amp;TRIM(SUBSTITUTE(INDEX(Charge!$D:$D,ROW()),CHAR(160)," ")),"~","-"),"*","+"),"?","!"),240),"")</f>
        <v/>
      </c>
      <c r="FG242">
        <f>IF(B242=1,MAX(0,N(INDEX(Charge!$M:$M,ROW()))),0)</f>
        <v>0</v>
      </c>
      <c r="FH242" s="170" t="str">
        <f>IF(EO242=1,ROUND(SUMIF($FF$4:$FF$503,EN242,$FG$4:$FG$503),2),"")</f>
        <v/>
      </c>
      <c r="FI242" s="170" t="str">
        <f>IF(EO242=1,ROUND(SUMPRODUCT(($FF$4:$FF$503=EN242)*$FG$4:$FG$503*$C$4:$C$503),2),"")</f>
        <v/>
      </c>
      <c r="FJ242" s="170" t="str">
        <f>IF(EO242=1,MAX(0,ROUND(FH242-FI242,2)),"")</f>
        <v/>
      </c>
      <c r="FK242" s="174" t="str">
        <f>IF(EO242=1,IF(OR(EW242&gt;=2958465,EY242=0,EY242&lt;=EW242),"",IF(TODAY()&lt;=EW242,0,IF(TODAY()&gt;EY242,1,IFERROR(NETWORKDAYS(EW242,TODAY()-1,Data!$K$4:$K$203)/NETWORKDAYS(EW242,EY242,Data!$K$4:$K$203),"")))),"")</f>
        <v/>
      </c>
      <c r="FL242" t="str">
        <f>IF(EO242=1,IF(AND(EY242&gt;0,EY242&lt;TODAY(),ROUND(EU242,4)&lt;1),2,IF(FK242="",0,IF(ROUND(EU242-FK242,4)&lt;-0.15,1,0))),"")</f>
        <v/>
      </c>
      <c r="FM242">
        <f>IF(OR(FA242="",COUNTIF($FA$4:FA241,FA242)&gt;0),0,MAX(0,IF(FB242="Interne",IF(ISNUMBER(INDEX(Data!$F:$F,242)),INDEX(Data!$F:$F,242),p_HeuresETP),IF(ISNUMBER(INDEX(Data!$I:$I,242-$CD$23)),INDEX(Data!$I:$I,242-$CD$23),p_HeuresETP))-IF(FB242="Interne",IF(ISNUMBER(INDEX(Data!$G:$G,242)),INDEX(Data!$G:$G,242),p_ChargeFixe),IF(ISNUMBER(INDEX(Data!$J:$J,242-$CD$23)),INDEX(Data!$J:$J,242-$CD$23),p_ChargeFixe))))</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9" t="str">
        <f>IF(AND(D243=1,ISNUMBER(INDEX(Charge!$N:$N,ROW()))),INDEX(Charge!$N:$N,ROW()),"")</f>
        <v/>
      </c>
      <c r="J243" s="169"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70">
        <f>IF(OR($I243="",$E243=0),0,IF(OR($J243&lt;W$3,$I243&gt;W$2),0,IF($K243=0,IF(AND($I243&gt;=W$3,$I243&lt;=W$2),$E243,0),$E243*NETWORKDAYS(MAX($I243,W$3),MIN($J243,W$2),Data!$K$4:$K$203)/$K243)))</f>
        <v>0</v>
      </c>
      <c r="X243" s="170">
        <f>IF(OR($I243="",$E243=0),0,IF(OR($J243&lt;X$3,$I243&gt;X$2),0,IF($K243=0,IF(AND($I243&gt;=X$3,$I243&lt;=X$2),$E243,0),$E243*NETWORKDAYS(MAX($I243,X$3),MIN($J243,X$2),Data!$K$4:$K$203)/$K243)))</f>
        <v>0</v>
      </c>
      <c r="Y243" s="170">
        <f>IF(OR($I243="",$E243=0),0,IF(OR($J243&lt;Y$3,$I243&gt;Y$2),0,IF($K243=0,IF(AND($I243&gt;=Y$3,$I243&lt;=Y$2),$E243,0),$E243*NETWORKDAYS(MAX($I243,Y$3),MIN($J243,Y$2),Data!$K$4:$K$203)/$K243)))</f>
        <v>0</v>
      </c>
      <c r="Z243" s="170">
        <f>IF(OR($I243="",$E243=0),0,IF(OR($J243&lt;Z$3,$I243&gt;Z$2),0,IF($K243=0,IF(AND($I243&gt;=Z$3,$I243&lt;=Z$2),$E243,0),$E243*NETWORKDAYS(MAX($I243,Z$3),MIN($J243,Z$2),Data!$K$4:$K$203)/$K243)))</f>
        <v>0</v>
      </c>
      <c r="AA243" s="170">
        <f>IF(OR($I243="",$E243=0),0,IF(OR($J243&lt;AA$3,$I243&gt;AA$2),0,IF($K243=0,IF(AND($I243&gt;=AA$3,$I243&lt;=AA$2),$E243,0),$E243*NETWORKDAYS(MAX($I243,AA$3),MIN($J243,AA$2),Data!$K$4:$K$203)/$K243)))</f>
        <v>0</v>
      </c>
      <c r="AB243" s="170">
        <f>IF(OR($I243="",$E243=0),0,IF(OR($J243&lt;AB$3,$I243&gt;AB$2),0,IF($K243=0,IF(AND($I243&gt;=AB$3,$I243&lt;=AB$2),$E243,0),$E243*NETWORKDAYS(MAX($I243,AB$3),MIN($J243,AB$2),Data!$K$4:$K$203)/$K243)))</f>
        <v>0</v>
      </c>
      <c r="AC243" s="170">
        <f>IF(OR($I243="",$E243=0),0,IF(OR($J243&lt;AC$3,$I243&gt;AC$2),0,IF($K243=0,IF(AND($I243&gt;=AC$3,$I243&lt;=AC$2),$E243,0),$E243*NETWORKDAYS(MAX($I243,AC$3),MIN($J243,AC$2),Data!$K$4:$K$203)/$K243)))</f>
        <v>0</v>
      </c>
      <c r="AD243" s="170">
        <f>IF(OR($I243="",$E243=0),0,IF(OR($J243&lt;AD$3,$I243&gt;AD$2),0,IF($K243=0,IF(AND($I243&gt;=AD$3,$I243&lt;=AD$2),$E243,0),$E243*NETWORKDAYS(MAX($I243,AD$3),MIN($J243,AD$2),Data!$K$4:$K$203)/$K243)))</f>
        <v>0</v>
      </c>
      <c r="AE243" s="170">
        <f>IF(OR($I243="",$E243=0),0,IF(OR($J243&lt;AE$3,$I243&gt;AE$2),0,IF($K243=0,IF(AND($I243&gt;=AE$3,$I243&lt;=AE$2),$E243,0),$E243*NETWORKDAYS(MAX($I243,AE$3),MIN($J243,AE$2),Data!$K$4:$K$203)/$K243)))</f>
        <v>0</v>
      </c>
      <c r="AF243" s="170">
        <f>IF(OR($I243="",$E243=0),0,IF(OR($J243&lt;AF$3,$I243&gt;AF$2),0,IF($K243=0,IF(AND($I243&gt;=AF$3,$I243&lt;=AF$2),$E243,0),$E243*NETWORKDAYS(MAX($I243,AF$3),MIN($J243,AF$2),Data!$K$4:$K$203)/$K243)))</f>
        <v>0</v>
      </c>
      <c r="AG243" s="170">
        <f>IF(OR($I243="",$E243=0),0,IF(OR($J243&lt;AG$3,$I243&gt;AG$2),0,IF($K243=0,IF(AND($I243&gt;=AG$3,$I243&lt;=AG$2),$E243,0),$E243*NETWORKDAYS(MAX($I243,AG$3),MIN($J243,AG$2),Data!$K$4:$K$203)/$K243)))</f>
        <v>0</v>
      </c>
      <c r="AH243" s="170">
        <f>IF(OR($I243="",$E243=0),0,IF(OR($J243&lt;AH$3,$I243&gt;AH$2),0,IF($K243=0,IF(AND($I243&gt;=AH$3,$I243&lt;=AH$2),$E243,0),$E243*NETWORKDAYS(MAX($I243,AH$3),MIN($J243,AH$2),Data!$K$4:$K$203)/$K243)))</f>
        <v>0</v>
      </c>
      <c r="AI243" s="170">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70"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4" t="str">
        <f>IF(EO243=1,IF(FH243&gt;0,FI243/FH243,AVERAGEIF($FF$4:$FF$503,EN243,$C$4:$C$503)),"")</f>
        <v/>
      </c>
      <c r="EV243" s="169">
        <f>IF(ISNUMBER(I243),I243,2958465)</f>
        <v>2958465.0</v>
      </c>
      <c r="EW243" s="169" t="str">
        <f>IF(EO243=1,SUMPRODUCT(MIN(($EN$4:$EN$503=EN243)*$EV$4:$EV$503+($EN$4:$EN$503&lt;&gt;EN243)*2958465)),"")</f>
        <v/>
      </c>
      <c r="EX243" s="169">
        <f>IF(AND(D243=1,ISNUMBER(INDEX(Charge!$F:$F,ROW()))),INDEX(Charge!$F:$F,ROW()),0)</f>
        <v>0.0</v>
      </c>
      <c r="EY243" s="169"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c r="FF243" t="str">
        <f>IF(B243=1,LEFT(SUBSTITUTE(SUBSTITUTE(SUBSTITUTE(TRIM(SUBSTITUTE(INDEX(Charge!$B:$B,ROW()),CHAR(160)," "))&amp;" | "&amp;TRIM(SUBSTITUTE(INDEX(Charge!$C:$C,ROW()),CHAR(160)," "))&amp;" | "&amp;TRIM(SUBSTITUTE(INDEX(Charge!$D:$D,ROW()),CHAR(160)," ")),"~","-"),"*","+"),"?","!"),240),"")</f>
        <v/>
      </c>
      <c r="FG243">
        <f>IF(B243=1,MAX(0,N(INDEX(Charge!$M:$M,ROW()))),0)</f>
        <v>0</v>
      </c>
      <c r="FH243" s="170" t="str">
        <f>IF(EO243=1,ROUND(SUMIF($FF$4:$FF$503,EN243,$FG$4:$FG$503),2),"")</f>
        <v/>
      </c>
      <c r="FI243" s="170" t="str">
        <f>IF(EO243=1,ROUND(SUMPRODUCT(($FF$4:$FF$503=EN243)*$FG$4:$FG$503*$C$4:$C$503),2),"")</f>
        <v/>
      </c>
      <c r="FJ243" s="170" t="str">
        <f>IF(EO243=1,MAX(0,ROUND(FH243-FI243,2)),"")</f>
        <v/>
      </c>
      <c r="FK243" s="174" t="str">
        <f>IF(EO243=1,IF(OR(EW243&gt;=2958465,EY243=0,EY243&lt;=EW243),"",IF(TODAY()&lt;=EW243,0,IF(TODAY()&gt;EY243,1,IFERROR(NETWORKDAYS(EW243,TODAY()-1,Data!$K$4:$K$203)/NETWORKDAYS(EW243,EY243,Data!$K$4:$K$203),"")))),"")</f>
        <v/>
      </c>
      <c r="FL243" t="str">
        <f>IF(EO243=1,IF(AND(EY243&gt;0,EY243&lt;TODAY(),ROUND(EU243,4)&lt;1),2,IF(FK243="",0,IF(ROUND(EU243-FK243,4)&lt;-0.15,1,0))),"")</f>
        <v/>
      </c>
      <c r="FM243">
        <f>IF(OR(FA243="",COUNTIF($FA$4:FA242,FA243)&gt;0),0,MAX(0,IF(FB243="Interne",IF(ISNUMBER(INDEX(Data!$F:$F,243)),INDEX(Data!$F:$F,243),p_HeuresETP),IF(ISNUMBER(INDEX(Data!$I:$I,243-$CD$23)),INDEX(Data!$I:$I,243-$CD$23),p_HeuresETP))-IF(FB243="Interne",IF(ISNUMBER(INDEX(Data!$G:$G,243)),INDEX(Data!$G:$G,243),p_ChargeFixe),IF(ISNUMBER(INDEX(Data!$J:$J,243-$CD$23)),INDEX(Data!$J:$J,243-$CD$23),p_ChargeFixe))))</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9" t="str">
        <f>IF(AND(D244=1,ISNUMBER(INDEX(Charge!$N:$N,ROW()))),INDEX(Charge!$N:$N,ROW()),"")</f>
        <v/>
      </c>
      <c r="J244" s="169"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70">
        <f>IF(OR($I244="",$E244=0),0,IF(OR($J244&lt;W$3,$I244&gt;W$2),0,IF($K244=0,IF(AND($I244&gt;=W$3,$I244&lt;=W$2),$E244,0),$E244*NETWORKDAYS(MAX($I244,W$3),MIN($J244,W$2),Data!$K$4:$K$203)/$K244)))</f>
        <v>0</v>
      </c>
      <c r="X244" s="170">
        <f>IF(OR($I244="",$E244=0),0,IF(OR($J244&lt;X$3,$I244&gt;X$2),0,IF($K244=0,IF(AND($I244&gt;=X$3,$I244&lt;=X$2),$E244,0),$E244*NETWORKDAYS(MAX($I244,X$3),MIN($J244,X$2),Data!$K$4:$K$203)/$K244)))</f>
        <v>0</v>
      </c>
      <c r="Y244" s="170">
        <f>IF(OR($I244="",$E244=0),0,IF(OR($J244&lt;Y$3,$I244&gt;Y$2),0,IF($K244=0,IF(AND($I244&gt;=Y$3,$I244&lt;=Y$2),$E244,0),$E244*NETWORKDAYS(MAX($I244,Y$3),MIN($J244,Y$2),Data!$K$4:$K$203)/$K244)))</f>
        <v>0</v>
      </c>
      <c r="Z244" s="170">
        <f>IF(OR($I244="",$E244=0),0,IF(OR($J244&lt;Z$3,$I244&gt;Z$2),0,IF($K244=0,IF(AND($I244&gt;=Z$3,$I244&lt;=Z$2),$E244,0),$E244*NETWORKDAYS(MAX($I244,Z$3),MIN($J244,Z$2),Data!$K$4:$K$203)/$K244)))</f>
        <v>0</v>
      </c>
      <c r="AA244" s="170">
        <f>IF(OR($I244="",$E244=0),0,IF(OR($J244&lt;AA$3,$I244&gt;AA$2),0,IF($K244=0,IF(AND($I244&gt;=AA$3,$I244&lt;=AA$2),$E244,0),$E244*NETWORKDAYS(MAX($I244,AA$3),MIN($J244,AA$2),Data!$K$4:$K$203)/$K244)))</f>
        <v>0</v>
      </c>
      <c r="AB244" s="170">
        <f>IF(OR($I244="",$E244=0),0,IF(OR($J244&lt;AB$3,$I244&gt;AB$2),0,IF($K244=0,IF(AND($I244&gt;=AB$3,$I244&lt;=AB$2),$E244,0),$E244*NETWORKDAYS(MAX($I244,AB$3),MIN($J244,AB$2),Data!$K$4:$K$203)/$K244)))</f>
        <v>0</v>
      </c>
      <c r="AC244" s="170">
        <f>IF(OR($I244="",$E244=0),0,IF(OR($J244&lt;AC$3,$I244&gt;AC$2),0,IF($K244=0,IF(AND($I244&gt;=AC$3,$I244&lt;=AC$2),$E244,0),$E244*NETWORKDAYS(MAX($I244,AC$3),MIN($J244,AC$2),Data!$K$4:$K$203)/$K244)))</f>
        <v>0</v>
      </c>
      <c r="AD244" s="170">
        <f>IF(OR($I244="",$E244=0),0,IF(OR($J244&lt;AD$3,$I244&gt;AD$2),0,IF($K244=0,IF(AND($I244&gt;=AD$3,$I244&lt;=AD$2),$E244,0),$E244*NETWORKDAYS(MAX($I244,AD$3),MIN($J244,AD$2),Data!$K$4:$K$203)/$K244)))</f>
        <v>0</v>
      </c>
      <c r="AE244" s="170">
        <f>IF(OR($I244="",$E244=0),0,IF(OR($J244&lt;AE$3,$I244&gt;AE$2),0,IF($K244=0,IF(AND($I244&gt;=AE$3,$I244&lt;=AE$2),$E244,0),$E244*NETWORKDAYS(MAX($I244,AE$3),MIN($J244,AE$2),Data!$K$4:$K$203)/$K244)))</f>
        <v>0</v>
      </c>
      <c r="AF244" s="170">
        <f>IF(OR($I244="",$E244=0),0,IF(OR($J244&lt;AF$3,$I244&gt;AF$2),0,IF($K244=0,IF(AND($I244&gt;=AF$3,$I244&lt;=AF$2),$E244,0),$E244*NETWORKDAYS(MAX($I244,AF$3),MIN($J244,AF$2),Data!$K$4:$K$203)/$K244)))</f>
        <v>0</v>
      </c>
      <c r="AG244" s="170">
        <f>IF(OR($I244="",$E244=0),0,IF(OR($J244&lt;AG$3,$I244&gt;AG$2),0,IF($K244=0,IF(AND($I244&gt;=AG$3,$I244&lt;=AG$2),$E244,0),$E244*NETWORKDAYS(MAX($I244,AG$3),MIN($J244,AG$2),Data!$K$4:$K$203)/$K244)))</f>
        <v>0</v>
      </c>
      <c r="AH244" s="170">
        <f>IF(OR($I244="",$E244=0),0,IF(OR($J244&lt;AH$3,$I244&gt;AH$2),0,IF($K244=0,IF(AND($I244&gt;=AH$3,$I244&lt;=AH$2),$E244,0),$E244*NETWORKDAYS(MAX($I244,AH$3),MIN($J244,AH$2),Data!$K$4:$K$203)/$K244)))</f>
        <v>0</v>
      </c>
      <c r="AI244" s="170">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70"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4" t="str">
        <f>IF(EO244=1,IF(FH244&gt;0,FI244/FH244,AVERAGEIF($FF$4:$FF$503,EN244,$C$4:$C$503)),"")</f>
        <v/>
      </c>
      <c r="EV244" s="169">
        <f>IF(ISNUMBER(I244),I244,2958465)</f>
        <v>2958465.0</v>
      </c>
      <c r="EW244" s="169" t="str">
        <f>IF(EO244=1,SUMPRODUCT(MIN(($EN$4:$EN$503=EN244)*$EV$4:$EV$503+($EN$4:$EN$503&lt;&gt;EN244)*2958465)),"")</f>
        <v/>
      </c>
      <c r="EX244" s="169">
        <f>IF(AND(D244=1,ISNUMBER(INDEX(Charge!$F:$F,ROW()))),INDEX(Charge!$F:$F,ROW()),0)</f>
        <v>0.0</v>
      </c>
      <c r="EY244" s="169"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c r="FF244" t="str">
        <f>IF(B244=1,LEFT(SUBSTITUTE(SUBSTITUTE(SUBSTITUTE(TRIM(SUBSTITUTE(INDEX(Charge!$B:$B,ROW()),CHAR(160)," "))&amp;" | "&amp;TRIM(SUBSTITUTE(INDEX(Charge!$C:$C,ROW()),CHAR(160)," "))&amp;" | "&amp;TRIM(SUBSTITUTE(INDEX(Charge!$D:$D,ROW()),CHAR(160)," ")),"~","-"),"*","+"),"?","!"),240),"")</f>
        <v/>
      </c>
      <c r="FG244">
        <f>IF(B244=1,MAX(0,N(INDEX(Charge!$M:$M,ROW()))),0)</f>
        <v>0</v>
      </c>
      <c r="FH244" s="170" t="str">
        <f>IF(EO244=1,ROUND(SUMIF($FF$4:$FF$503,EN244,$FG$4:$FG$503),2),"")</f>
        <v/>
      </c>
      <c r="FI244" s="170" t="str">
        <f>IF(EO244=1,ROUND(SUMPRODUCT(($FF$4:$FF$503=EN244)*$FG$4:$FG$503*$C$4:$C$503),2),"")</f>
        <v/>
      </c>
      <c r="FJ244" s="170" t="str">
        <f>IF(EO244=1,MAX(0,ROUND(FH244-FI244,2)),"")</f>
        <v/>
      </c>
      <c r="FK244" s="174" t="str">
        <f>IF(EO244=1,IF(OR(EW244&gt;=2958465,EY244=0,EY244&lt;=EW244),"",IF(TODAY()&lt;=EW244,0,IF(TODAY()&gt;EY244,1,IFERROR(NETWORKDAYS(EW244,TODAY()-1,Data!$K$4:$K$203)/NETWORKDAYS(EW244,EY244,Data!$K$4:$K$203),"")))),"")</f>
        <v/>
      </c>
      <c r="FL244" t="str">
        <f>IF(EO244=1,IF(AND(EY244&gt;0,EY244&lt;TODAY(),ROUND(EU244,4)&lt;1),2,IF(FK244="",0,IF(ROUND(EU244-FK244,4)&lt;-0.15,1,0))),"")</f>
        <v/>
      </c>
      <c r="FM244">
        <f>IF(OR(FA244="",COUNTIF($FA$4:FA243,FA244)&gt;0),0,MAX(0,IF(FB244="Interne",IF(ISNUMBER(INDEX(Data!$F:$F,244)),INDEX(Data!$F:$F,244),p_HeuresETP),IF(ISNUMBER(INDEX(Data!$I:$I,244-$CD$23)),INDEX(Data!$I:$I,244-$CD$23),p_HeuresETP))-IF(FB244="Interne",IF(ISNUMBER(INDEX(Data!$G:$G,244)),INDEX(Data!$G:$G,244),p_ChargeFixe),IF(ISNUMBER(INDEX(Data!$J:$J,244-$CD$23)),INDEX(Data!$J:$J,244-$CD$23),p_ChargeFixe))))</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9" t="str">
        <f>IF(AND(D245=1,ISNUMBER(INDEX(Charge!$N:$N,ROW()))),INDEX(Charge!$N:$N,ROW()),"")</f>
        <v/>
      </c>
      <c r="J245" s="169"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70">
        <f>IF(OR($I245="",$E245=0),0,IF(OR($J245&lt;W$3,$I245&gt;W$2),0,IF($K245=0,IF(AND($I245&gt;=W$3,$I245&lt;=W$2),$E245,0),$E245*NETWORKDAYS(MAX($I245,W$3),MIN($J245,W$2),Data!$K$4:$K$203)/$K245)))</f>
        <v>0</v>
      </c>
      <c r="X245" s="170">
        <f>IF(OR($I245="",$E245=0),0,IF(OR($J245&lt;X$3,$I245&gt;X$2),0,IF($K245=0,IF(AND($I245&gt;=X$3,$I245&lt;=X$2),$E245,0),$E245*NETWORKDAYS(MAX($I245,X$3),MIN($J245,X$2),Data!$K$4:$K$203)/$K245)))</f>
        <v>0</v>
      </c>
      <c r="Y245" s="170">
        <f>IF(OR($I245="",$E245=0),0,IF(OR($J245&lt;Y$3,$I245&gt;Y$2),0,IF($K245=0,IF(AND($I245&gt;=Y$3,$I245&lt;=Y$2),$E245,0),$E245*NETWORKDAYS(MAX($I245,Y$3),MIN($J245,Y$2),Data!$K$4:$K$203)/$K245)))</f>
        <v>0</v>
      </c>
      <c r="Z245" s="170">
        <f>IF(OR($I245="",$E245=0),0,IF(OR($J245&lt;Z$3,$I245&gt;Z$2),0,IF($K245=0,IF(AND($I245&gt;=Z$3,$I245&lt;=Z$2),$E245,0),$E245*NETWORKDAYS(MAX($I245,Z$3),MIN($J245,Z$2),Data!$K$4:$K$203)/$K245)))</f>
        <v>0</v>
      </c>
      <c r="AA245" s="170">
        <f>IF(OR($I245="",$E245=0),0,IF(OR($J245&lt;AA$3,$I245&gt;AA$2),0,IF($K245=0,IF(AND($I245&gt;=AA$3,$I245&lt;=AA$2),$E245,0),$E245*NETWORKDAYS(MAX($I245,AA$3),MIN($J245,AA$2),Data!$K$4:$K$203)/$K245)))</f>
        <v>0</v>
      </c>
      <c r="AB245" s="170">
        <f>IF(OR($I245="",$E245=0),0,IF(OR($J245&lt;AB$3,$I245&gt;AB$2),0,IF($K245=0,IF(AND($I245&gt;=AB$3,$I245&lt;=AB$2),$E245,0),$E245*NETWORKDAYS(MAX($I245,AB$3),MIN($J245,AB$2),Data!$K$4:$K$203)/$K245)))</f>
        <v>0</v>
      </c>
      <c r="AC245" s="170">
        <f>IF(OR($I245="",$E245=0),0,IF(OR($J245&lt;AC$3,$I245&gt;AC$2),0,IF($K245=0,IF(AND($I245&gt;=AC$3,$I245&lt;=AC$2),$E245,0),$E245*NETWORKDAYS(MAX($I245,AC$3),MIN($J245,AC$2),Data!$K$4:$K$203)/$K245)))</f>
        <v>0</v>
      </c>
      <c r="AD245" s="170">
        <f>IF(OR($I245="",$E245=0),0,IF(OR($J245&lt;AD$3,$I245&gt;AD$2),0,IF($K245=0,IF(AND($I245&gt;=AD$3,$I245&lt;=AD$2),$E245,0),$E245*NETWORKDAYS(MAX($I245,AD$3),MIN($J245,AD$2),Data!$K$4:$K$203)/$K245)))</f>
        <v>0</v>
      </c>
      <c r="AE245" s="170">
        <f>IF(OR($I245="",$E245=0),0,IF(OR($J245&lt;AE$3,$I245&gt;AE$2),0,IF($K245=0,IF(AND($I245&gt;=AE$3,$I245&lt;=AE$2),$E245,0),$E245*NETWORKDAYS(MAX($I245,AE$3),MIN($J245,AE$2),Data!$K$4:$K$203)/$K245)))</f>
        <v>0</v>
      </c>
      <c r="AF245" s="170">
        <f>IF(OR($I245="",$E245=0),0,IF(OR($J245&lt;AF$3,$I245&gt;AF$2),0,IF($K245=0,IF(AND($I245&gt;=AF$3,$I245&lt;=AF$2),$E245,0),$E245*NETWORKDAYS(MAX($I245,AF$3),MIN($J245,AF$2),Data!$K$4:$K$203)/$K245)))</f>
        <v>0</v>
      </c>
      <c r="AG245" s="170">
        <f>IF(OR($I245="",$E245=0),0,IF(OR($J245&lt;AG$3,$I245&gt;AG$2),0,IF($K245=0,IF(AND($I245&gt;=AG$3,$I245&lt;=AG$2),$E245,0),$E245*NETWORKDAYS(MAX($I245,AG$3),MIN($J245,AG$2),Data!$K$4:$K$203)/$K245)))</f>
        <v>0</v>
      </c>
      <c r="AH245" s="170">
        <f>IF(OR($I245="",$E245=0),0,IF(OR($J245&lt;AH$3,$I245&gt;AH$2),0,IF($K245=0,IF(AND($I245&gt;=AH$3,$I245&lt;=AH$2),$E245,0),$E245*NETWORKDAYS(MAX($I245,AH$3),MIN($J245,AH$2),Data!$K$4:$K$203)/$K245)))</f>
        <v>0</v>
      </c>
      <c r="AI245" s="170">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70"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4" t="str">
        <f>IF(EO245=1,IF(FH245&gt;0,FI245/FH245,AVERAGEIF($FF$4:$FF$503,EN245,$C$4:$C$503)),"")</f>
        <v/>
      </c>
      <c r="EV245" s="169">
        <f>IF(ISNUMBER(I245),I245,2958465)</f>
        <v>2958465.0</v>
      </c>
      <c r="EW245" s="169" t="str">
        <f>IF(EO245=1,SUMPRODUCT(MIN(($EN$4:$EN$503=EN245)*$EV$4:$EV$503+($EN$4:$EN$503&lt;&gt;EN245)*2958465)),"")</f>
        <v/>
      </c>
      <c r="EX245" s="169">
        <f>IF(AND(D245=1,ISNUMBER(INDEX(Charge!$F:$F,ROW()))),INDEX(Charge!$F:$F,ROW()),0)</f>
        <v>0.0</v>
      </c>
      <c r="EY245" s="169"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c r="FF245" t="str">
        <f>IF(B245=1,LEFT(SUBSTITUTE(SUBSTITUTE(SUBSTITUTE(TRIM(SUBSTITUTE(INDEX(Charge!$B:$B,ROW()),CHAR(160)," "))&amp;" | "&amp;TRIM(SUBSTITUTE(INDEX(Charge!$C:$C,ROW()),CHAR(160)," "))&amp;" | "&amp;TRIM(SUBSTITUTE(INDEX(Charge!$D:$D,ROW()),CHAR(160)," ")),"~","-"),"*","+"),"?","!"),240),"")</f>
        <v/>
      </c>
      <c r="FG245">
        <f>IF(B245=1,MAX(0,N(INDEX(Charge!$M:$M,ROW()))),0)</f>
        <v>0</v>
      </c>
      <c r="FH245" s="170" t="str">
        <f>IF(EO245=1,ROUND(SUMIF($FF$4:$FF$503,EN245,$FG$4:$FG$503),2),"")</f>
        <v/>
      </c>
      <c r="FI245" s="170" t="str">
        <f>IF(EO245=1,ROUND(SUMPRODUCT(($FF$4:$FF$503=EN245)*$FG$4:$FG$503*$C$4:$C$503),2),"")</f>
        <v/>
      </c>
      <c r="FJ245" s="170" t="str">
        <f>IF(EO245=1,MAX(0,ROUND(FH245-FI245,2)),"")</f>
        <v/>
      </c>
      <c r="FK245" s="174" t="str">
        <f>IF(EO245=1,IF(OR(EW245&gt;=2958465,EY245=0,EY245&lt;=EW245),"",IF(TODAY()&lt;=EW245,0,IF(TODAY()&gt;EY245,1,IFERROR(NETWORKDAYS(EW245,TODAY()-1,Data!$K$4:$K$203)/NETWORKDAYS(EW245,EY245,Data!$K$4:$K$203),"")))),"")</f>
        <v/>
      </c>
      <c r="FL245" t="str">
        <f>IF(EO245=1,IF(AND(EY245&gt;0,EY245&lt;TODAY(),ROUND(EU245,4)&lt;1),2,IF(FK245="",0,IF(ROUND(EU245-FK245,4)&lt;-0.15,1,0))),"")</f>
        <v/>
      </c>
      <c r="FM245">
        <f>IF(OR(FA245="",COUNTIF($FA$4:FA244,FA245)&gt;0),0,MAX(0,IF(FB245="Interne",IF(ISNUMBER(INDEX(Data!$F:$F,245)),INDEX(Data!$F:$F,245),p_HeuresETP),IF(ISNUMBER(INDEX(Data!$I:$I,245-$CD$23)),INDEX(Data!$I:$I,245-$CD$23),p_HeuresETP))-IF(FB245="Interne",IF(ISNUMBER(INDEX(Data!$G:$G,245)),INDEX(Data!$G:$G,245),p_ChargeFixe),IF(ISNUMBER(INDEX(Data!$J:$J,245-$CD$23)),INDEX(Data!$J:$J,245-$CD$23),p_ChargeFixe))))</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9" t="str">
        <f>IF(AND(D246=1,ISNUMBER(INDEX(Charge!$N:$N,ROW()))),INDEX(Charge!$N:$N,ROW()),"")</f>
        <v/>
      </c>
      <c r="J246" s="169"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70">
        <f>IF(OR($I246="",$E246=0),0,IF(OR($J246&lt;W$3,$I246&gt;W$2),0,IF($K246=0,IF(AND($I246&gt;=W$3,$I246&lt;=W$2),$E246,0),$E246*NETWORKDAYS(MAX($I246,W$3),MIN($J246,W$2),Data!$K$4:$K$203)/$K246)))</f>
        <v>0</v>
      </c>
      <c r="X246" s="170">
        <f>IF(OR($I246="",$E246=0),0,IF(OR($J246&lt;X$3,$I246&gt;X$2),0,IF($K246=0,IF(AND($I246&gt;=X$3,$I246&lt;=X$2),$E246,0),$E246*NETWORKDAYS(MAX($I246,X$3),MIN($J246,X$2),Data!$K$4:$K$203)/$K246)))</f>
        <v>0</v>
      </c>
      <c r="Y246" s="170">
        <f>IF(OR($I246="",$E246=0),0,IF(OR($J246&lt;Y$3,$I246&gt;Y$2),0,IF($K246=0,IF(AND($I246&gt;=Y$3,$I246&lt;=Y$2),$E246,0),$E246*NETWORKDAYS(MAX($I246,Y$3),MIN($J246,Y$2),Data!$K$4:$K$203)/$K246)))</f>
        <v>0</v>
      </c>
      <c r="Z246" s="170">
        <f>IF(OR($I246="",$E246=0),0,IF(OR($J246&lt;Z$3,$I246&gt;Z$2),0,IF($K246=0,IF(AND($I246&gt;=Z$3,$I246&lt;=Z$2),$E246,0),$E246*NETWORKDAYS(MAX($I246,Z$3),MIN($J246,Z$2),Data!$K$4:$K$203)/$K246)))</f>
        <v>0</v>
      </c>
      <c r="AA246" s="170">
        <f>IF(OR($I246="",$E246=0),0,IF(OR($J246&lt;AA$3,$I246&gt;AA$2),0,IF($K246=0,IF(AND($I246&gt;=AA$3,$I246&lt;=AA$2),$E246,0),$E246*NETWORKDAYS(MAX($I246,AA$3),MIN($J246,AA$2),Data!$K$4:$K$203)/$K246)))</f>
        <v>0</v>
      </c>
      <c r="AB246" s="170">
        <f>IF(OR($I246="",$E246=0),0,IF(OR($J246&lt;AB$3,$I246&gt;AB$2),0,IF($K246=0,IF(AND($I246&gt;=AB$3,$I246&lt;=AB$2),$E246,0),$E246*NETWORKDAYS(MAX($I246,AB$3),MIN($J246,AB$2),Data!$K$4:$K$203)/$K246)))</f>
        <v>0</v>
      </c>
      <c r="AC246" s="170">
        <f>IF(OR($I246="",$E246=0),0,IF(OR($J246&lt;AC$3,$I246&gt;AC$2),0,IF($K246=0,IF(AND($I246&gt;=AC$3,$I246&lt;=AC$2),$E246,0),$E246*NETWORKDAYS(MAX($I246,AC$3),MIN($J246,AC$2),Data!$K$4:$K$203)/$K246)))</f>
        <v>0</v>
      </c>
      <c r="AD246" s="170">
        <f>IF(OR($I246="",$E246=0),0,IF(OR($J246&lt;AD$3,$I246&gt;AD$2),0,IF($K246=0,IF(AND($I246&gt;=AD$3,$I246&lt;=AD$2),$E246,0),$E246*NETWORKDAYS(MAX($I246,AD$3),MIN($J246,AD$2),Data!$K$4:$K$203)/$K246)))</f>
        <v>0</v>
      </c>
      <c r="AE246" s="170">
        <f>IF(OR($I246="",$E246=0),0,IF(OR($J246&lt;AE$3,$I246&gt;AE$2),0,IF($K246=0,IF(AND($I246&gt;=AE$3,$I246&lt;=AE$2),$E246,0),$E246*NETWORKDAYS(MAX($I246,AE$3),MIN($J246,AE$2),Data!$K$4:$K$203)/$K246)))</f>
        <v>0</v>
      </c>
      <c r="AF246" s="170">
        <f>IF(OR($I246="",$E246=0),0,IF(OR($J246&lt;AF$3,$I246&gt;AF$2),0,IF($K246=0,IF(AND($I246&gt;=AF$3,$I246&lt;=AF$2),$E246,0),$E246*NETWORKDAYS(MAX($I246,AF$3),MIN($J246,AF$2),Data!$K$4:$K$203)/$K246)))</f>
        <v>0</v>
      </c>
      <c r="AG246" s="170">
        <f>IF(OR($I246="",$E246=0),0,IF(OR($J246&lt;AG$3,$I246&gt;AG$2),0,IF($K246=0,IF(AND($I246&gt;=AG$3,$I246&lt;=AG$2),$E246,0),$E246*NETWORKDAYS(MAX($I246,AG$3),MIN($J246,AG$2),Data!$K$4:$K$203)/$K246)))</f>
        <v>0</v>
      </c>
      <c r="AH246" s="170">
        <f>IF(OR($I246="",$E246=0),0,IF(OR($J246&lt;AH$3,$I246&gt;AH$2),0,IF($K246=0,IF(AND($I246&gt;=AH$3,$I246&lt;=AH$2),$E246,0),$E246*NETWORKDAYS(MAX($I246,AH$3),MIN($J246,AH$2),Data!$K$4:$K$203)/$K246)))</f>
        <v>0</v>
      </c>
      <c r="AI246" s="170">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70"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4" t="str">
        <f>IF(EO246=1,IF(FH246&gt;0,FI246/FH246,AVERAGEIF($FF$4:$FF$503,EN246,$C$4:$C$503)),"")</f>
        <v/>
      </c>
      <c r="EV246" s="169">
        <f>IF(ISNUMBER(I246),I246,2958465)</f>
        <v>2958465.0</v>
      </c>
      <c r="EW246" s="169" t="str">
        <f>IF(EO246=1,SUMPRODUCT(MIN(($EN$4:$EN$503=EN246)*$EV$4:$EV$503+($EN$4:$EN$503&lt;&gt;EN246)*2958465)),"")</f>
        <v/>
      </c>
      <c r="EX246" s="169">
        <f>IF(AND(D246=1,ISNUMBER(INDEX(Charge!$F:$F,ROW()))),INDEX(Charge!$F:$F,ROW()),0)</f>
        <v>0.0</v>
      </c>
      <c r="EY246" s="169"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c r="FF246" t="str">
        <f>IF(B246=1,LEFT(SUBSTITUTE(SUBSTITUTE(SUBSTITUTE(TRIM(SUBSTITUTE(INDEX(Charge!$B:$B,ROW()),CHAR(160)," "))&amp;" | "&amp;TRIM(SUBSTITUTE(INDEX(Charge!$C:$C,ROW()),CHAR(160)," "))&amp;" | "&amp;TRIM(SUBSTITUTE(INDEX(Charge!$D:$D,ROW()),CHAR(160)," ")),"~","-"),"*","+"),"?","!"),240),"")</f>
        <v/>
      </c>
      <c r="FG246">
        <f>IF(B246=1,MAX(0,N(INDEX(Charge!$M:$M,ROW()))),0)</f>
        <v>0</v>
      </c>
      <c r="FH246" s="170" t="str">
        <f>IF(EO246=1,ROUND(SUMIF($FF$4:$FF$503,EN246,$FG$4:$FG$503),2),"")</f>
        <v/>
      </c>
      <c r="FI246" s="170" t="str">
        <f>IF(EO246=1,ROUND(SUMPRODUCT(($FF$4:$FF$503=EN246)*$FG$4:$FG$503*$C$4:$C$503),2),"")</f>
        <v/>
      </c>
      <c r="FJ246" s="170" t="str">
        <f>IF(EO246=1,MAX(0,ROUND(FH246-FI246,2)),"")</f>
        <v/>
      </c>
      <c r="FK246" s="174" t="str">
        <f>IF(EO246=1,IF(OR(EW246&gt;=2958465,EY246=0,EY246&lt;=EW246),"",IF(TODAY()&lt;=EW246,0,IF(TODAY()&gt;EY246,1,IFERROR(NETWORKDAYS(EW246,TODAY()-1,Data!$K$4:$K$203)/NETWORKDAYS(EW246,EY246,Data!$K$4:$K$203),"")))),"")</f>
        <v/>
      </c>
      <c r="FL246" t="str">
        <f>IF(EO246=1,IF(AND(EY246&gt;0,EY246&lt;TODAY(),ROUND(EU246,4)&lt;1),2,IF(FK246="",0,IF(ROUND(EU246-FK246,4)&lt;-0.15,1,0))),"")</f>
        <v/>
      </c>
      <c r="FM246">
        <f>IF(OR(FA246="",COUNTIF($FA$4:FA245,FA246)&gt;0),0,MAX(0,IF(FB246="Interne",IF(ISNUMBER(INDEX(Data!$F:$F,246)),INDEX(Data!$F:$F,246),p_HeuresETP),IF(ISNUMBER(INDEX(Data!$I:$I,246-$CD$23)),INDEX(Data!$I:$I,246-$CD$23),p_HeuresETP))-IF(FB246="Interne",IF(ISNUMBER(INDEX(Data!$G:$G,246)),INDEX(Data!$G:$G,246),p_ChargeFixe),IF(ISNUMBER(INDEX(Data!$J:$J,246-$CD$23)),INDEX(Data!$J:$J,246-$CD$23),p_ChargeFixe))))</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9" t="str">
        <f>IF(AND(D247=1,ISNUMBER(INDEX(Charge!$N:$N,ROW()))),INDEX(Charge!$N:$N,ROW()),"")</f>
        <v/>
      </c>
      <c r="J247" s="169"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70">
        <f>IF(OR($I247="",$E247=0),0,IF(OR($J247&lt;W$3,$I247&gt;W$2),0,IF($K247=0,IF(AND($I247&gt;=W$3,$I247&lt;=W$2),$E247,0),$E247*NETWORKDAYS(MAX($I247,W$3),MIN($J247,W$2),Data!$K$4:$K$203)/$K247)))</f>
        <v>0</v>
      </c>
      <c r="X247" s="170">
        <f>IF(OR($I247="",$E247=0),0,IF(OR($J247&lt;X$3,$I247&gt;X$2),0,IF($K247=0,IF(AND($I247&gt;=X$3,$I247&lt;=X$2),$E247,0),$E247*NETWORKDAYS(MAX($I247,X$3),MIN($J247,X$2),Data!$K$4:$K$203)/$K247)))</f>
        <v>0</v>
      </c>
      <c r="Y247" s="170">
        <f>IF(OR($I247="",$E247=0),0,IF(OR($J247&lt;Y$3,$I247&gt;Y$2),0,IF($K247=0,IF(AND($I247&gt;=Y$3,$I247&lt;=Y$2),$E247,0),$E247*NETWORKDAYS(MAX($I247,Y$3),MIN($J247,Y$2),Data!$K$4:$K$203)/$K247)))</f>
        <v>0</v>
      </c>
      <c r="Z247" s="170">
        <f>IF(OR($I247="",$E247=0),0,IF(OR($J247&lt;Z$3,$I247&gt;Z$2),0,IF($K247=0,IF(AND($I247&gt;=Z$3,$I247&lt;=Z$2),$E247,0),$E247*NETWORKDAYS(MAX($I247,Z$3),MIN($J247,Z$2),Data!$K$4:$K$203)/$K247)))</f>
        <v>0</v>
      </c>
      <c r="AA247" s="170">
        <f>IF(OR($I247="",$E247=0),0,IF(OR($J247&lt;AA$3,$I247&gt;AA$2),0,IF($K247=0,IF(AND($I247&gt;=AA$3,$I247&lt;=AA$2),$E247,0),$E247*NETWORKDAYS(MAX($I247,AA$3),MIN($J247,AA$2),Data!$K$4:$K$203)/$K247)))</f>
        <v>0</v>
      </c>
      <c r="AB247" s="170">
        <f>IF(OR($I247="",$E247=0),0,IF(OR($J247&lt;AB$3,$I247&gt;AB$2),0,IF($K247=0,IF(AND($I247&gt;=AB$3,$I247&lt;=AB$2),$E247,0),$E247*NETWORKDAYS(MAX($I247,AB$3),MIN($J247,AB$2),Data!$K$4:$K$203)/$K247)))</f>
        <v>0</v>
      </c>
      <c r="AC247" s="170">
        <f>IF(OR($I247="",$E247=0),0,IF(OR($J247&lt;AC$3,$I247&gt;AC$2),0,IF($K247=0,IF(AND($I247&gt;=AC$3,$I247&lt;=AC$2),$E247,0),$E247*NETWORKDAYS(MAX($I247,AC$3),MIN($J247,AC$2),Data!$K$4:$K$203)/$K247)))</f>
        <v>0</v>
      </c>
      <c r="AD247" s="170">
        <f>IF(OR($I247="",$E247=0),0,IF(OR($J247&lt;AD$3,$I247&gt;AD$2),0,IF($K247=0,IF(AND($I247&gt;=AD$3,$I247&lt;=AD$2),$E247,0),$E247*NETWORKDAYS(MAX($I247,AD$3),MIN($J247,AD$2),Data!$K$4:$K$203)/$K247)))</f>
        <v>0</v>
      </c>
      <c r="AE247" s="170">
        <f>IF(OR($I247="",$E247=0),0,IF(OR($J247&lt;AE$3,$I247&gt;AE$2),0,IF($K247=0,IF(AND($I247&gt;=AE$3,$I247&lt;=AE$2),$E247,0),$E247*NETWORKDAYS(MAX($I247,AE$3),MIN($J247,AE$2),Data!$K$4:$K$203)/$K247)))</f>
        <v>0</v>
      </c>
      <c r="AF247" s="170">
        <f>IF(OR($I247="",$E247=0),0,IF(OR($J247&lt;AF$3,$I247&gt;AF$2),0,IF($K247=0,IF(AND($I247&gt;=AF$3,$I247&lt;=AF$2),$E247,0),$E247*NETWORKDAYS(MAX($I247,AF$3),MIN($J247,AF$2),Data!$K$4:$K$203)/$K247)))</f>
        <v>0</v>
      </c>
      <c r="AG247" s="170">
        <f>IF(OR($I247="",$E247=0),0,IF(OR($J247&lt;AG$3,$I247&gt;AG$2),0,IF($K247=0,IF(AND($I247&gt;=AG$3,$I247&lt;=AG$2),$E247,0),$E247*NETWORKDAYS(MAX($I247,AG$3),MIN($J247,AG$2),Data!$K$4:$K$203)/$K247)))</f>
        <v>0</v>
      </c>
      <c r="AH247" s="170">
        <f>IF(OR($I247="",$E247=0),0,IF(OR($J247&lt;AH$3,$I247&gt;AH$2),0,IF($K247=0,IF(AND($I247&gt;=AH$3,$I247&lt;=AH$2),$E247,0),$E247*NETWORKDAYS(MAX($I247,AH$3),MIN($J247,AH$2),Data!$K$4:$K$203)/$K247)))</f>
        <v>0</v>
      </c>
      <c r="AI247" s="170">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70"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4" t="str">
        <f>IF(EO247=1,IF(FH247&gt;0,FI247/FH247,AVERAGEIF($FF$4:$FF$503,EN247,$C$4:$C$503)),"")</f>
        <v/>
      </c>
      <c r="EV247" s="169">
        <f>IF(ISNUMBER(I247),I247,2958465)</f>
        <v>2958465.0</v>
      </c>
      <c r="EW247" s="169" t="str">
        <f>IF(EO247=1,SUMPRODUCT(MIN(($EN$4:$EN$503=EN247)*$EV$4:$EV$503+($EN$4:$EN$503&lt;&gt;EN247)*2958465)),"")</f>
        <v/>
      </c>
      <c r="EX247" s="169">
        <f>IF(AND(D247=1,ISNUMBER(INDEX(Charge!$F:$F,ROW()))),INDEX(Charge!$F:$F,ROW()),0)</f>
        <v>0.0</v>
      </c>
      <c r="EY247" s="169"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c r="FF247" t="str">
        <f>IF(B247=1,LEFT(SUBSTITUTE(SUBSTITUTE(SUBSTITUTE(TRIM(SUBSTITUTE(INDEX(Charge!$B:$B,ROW()),CHAR(160)," "))&amp;" | "&amp;TRIM(SUBSTITUTE(INDEX(Charge!$C:$C,ROW()),CHAR(160)," "))&amp;" | "&amp;TRIM(SUBSTITUTE(INDEX(Charge!$D:$D,ROW()),CHAR(160)," ")),"~","-"),"*","+"),"?","!"),240),"")</f>
        <v/>
      </c>
      <c r="FG247">
        <f>IF(B247=1,MAX(0,N(INDEX(Charge!$M:$M,ROW()))),0)</f>
        <v>0</v>
      </c>
      <c r="FH247" s="170" t="str">
        <f>IF(EO247=1,ROUND(SUMIF($FF$4:$FF$503,EN247,$FG$4:$FG$503),2),"")</f>
        <v/>
      </c>
      <c r="FI247" s="170" t="str">
        <f>IF(EO247=1,ROUND(SUMPRODUCT(($FF$4:$FF$503=EN247)*$FG$4:$FG$503*$C$4:$C$503),2),"")</f>
        <v/>
      </c>
      <c r="FJ247" s="170" t="str">
        <f>IF(EO247=1,MAX(0,ROUND(FH247-FI247,2)),"")</f>
        <v/>
      </c>
      <c r="FK247" s="174" t="str">
        <f>IF(EO247=1,IF(OR(EW247&gt;=2958465,EY247=0,EY247&lt;=EW247),"",IF(TODAY()&lt;=EW247,0,IF(TODAY()&gt;EY247,1,IFERROR(NETWORKDAYS(EW247,TODAY()-1,Data!$K$4:$K$203)/NETWORKDAYS(EW247,EY247,Data!$K$4:$K$203),"")))),"")</f>
        <v/>
      </c>
      <c r="FL247" t="str">
        <f>IF(EO247=1,IF(AND(EY247&gt;0,EY247&lt;TODAY(),ROUND(EU247,4)&lt;1),2,IF(FK247="",0,IF(ROUND(EU247-FK247,4)&lt;-0.15,1,0))),"")</f>
        <v/>
      </c>
      <c r="FM247">
        <f>IF(OR(FA247="",COUNTIF($FA$4:FA246,FA247)&gt;0),0,MAX(0,IF(FB247="Interne",IF(ISNUMBER(INDEX(Data!$F:$F,247)),INDEX(Data!$F:$F,247),p_HeuresETP),IF(ISNUMBER(INDEX(Data!$I:$I,247-$CD$23)),INDEX(Data!$I:$I,247-$CD$23),p_HeuresETP))-IF(FB247="Interne",IF(ISNUMBER(INDEX(Data!$G:$G,247)),INDEX(Data!$G:$G,247),p_ChargeFixe),IF(ISNUMBER(INDEX(Data!$J:$J,247-$CD$23)),INDEX(Data!$J:$J,247-$CD$23),p_ChargeFixe))))</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9" t="str">
        <f>IF(AND(D248=1,ISNUMBER(INDEX(Charge!$N:$N,ROW()))),INDEX(Charge!$N:$N,ROW()),"")</f>
        <v/>
      </c>
      <c r="J248" s="169"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70">
        <f>IF(OR($I248="",$E248=0),0,IF(OR($J248&lt;W$3,$I248&gt;W$2),0,IF($K248=0,IF(AND($I248&gt;=W$3,$I248&lt;=W$2),$E248,0),$E248*NETWORKDAYS(MAX($I248,W$3),MIN($J248,W$2),Data!$K$4:$K$203)/$K248)))</f>
        <v>0</v>
      </c>
      <c r="X248" s="170">
        <f>IF(OR($I248="",$E248=0),0,IF(OR($J248&lt;X$3,$I248&gt;X$2),0,IF($K248=0,IF(AND($I248&gt;=X$3,$I248&lt;=X$2),$E248,0),$E248*NETWORKDAYS(MAX($I248,X$3),MIN($J248,X$2),Data!$K$4:$K$203)/$K248)))</f>
        <v>0</v>
      </c>
      <c r="Y248" s="170">
        <f>IF(OR($I248="",$E248=0),0,IF(OR($J248&lt;Y$3,$I248&gt;Y$2),0,IF($K248=0,IF(AND($I248&gt;=Y$3,$I248&lt;=Y$2),$E248,0),$E248*NETWORKDAYS(MAX($I248,Y$3),MIN($J248,Y$2),Data!$K$4:$K$203)/$K248)))</f>
        <v>0</v>
      </c>
      <c r="Z248" s="170">
        <f>IF(OR($I248="",$E248=0),0,IF(OR($J248&lt;Z$3,$I248&gt;Z$2),0,IF($K248=0,IF(AND($I248&gt;=Z$3,$I248&lt;=Z$2),$E248,0),$E248*NETWORKDAYS(MAX($I248,Z$3),MIN($J248,Z$2),Data!$K$4:$K$203)/$K248)))</f>
        <v>0</v>
      </c>
      <c r="AA248" s="170">
        <f>IF(OR($I248="",$E248=0),0,IF(OR($J248&lt;AA$3,$I248&gt;AA$2),0,IF($K248=0,IF(AND($I248&gt;=AA$3,$I248&lt;=AA$2),$E248,0),$E248*NETWORKDAYS(MAX($I248,AA$3),MIN($J248,AA$2),Data!$K$4:$K$203)/$K248)))</f>
        <v>0</v>
      </c>
      <c r="AB248" s="170">
        <f>IF(OR($I248="",$E248=0),0,IF(OR($J248&lt;AB$3,$I248&gt;AB$2),0,IF($K248=0,IF(AND($I248&gt;=AB$3,$I248&lt;=AB$2),$E248,0),$E248*NETWORKDAYS(MAX($I248,AB$3),MIN($J248,AB$2),Data!$K$4:$K$203)/$K248)))</f>
        <v>0</v>
      </c>
      <c r="AC248" s="170">
        <f>IF(OR($I248="",$E248=0),0,IF(OR($J248&lt;AC$3,$I248&gt;AC$2),0,IF($K248=0,IF(AND($I248&gt;=AC$3,$I248&lt;=AC$2),$E248,0),$E248*NETWORKDAYS(MAX($I248,AC$3),MIN($J248,AC$2),Data!$K$4:$K$203)/$K248)))</f>
        <v>0</v>
      </c>
      <c r="AD248" s="170">
        <f>IF(OR($I248="",$E248=0),0,IF(OR($J248&lt;AD$3,$I248&gt;AD$2),0,IF($K248=0,IF(AND($I248&gt;=AD$3,$I248&lt;=AD$2),$E248,0),$E248*NETWORKDAYS(MAX($I248,AD$3),MIN($J248,AD$2),Data!$K$4:$K$203)/$K248)))</f>
        <v>0</v>
      </c>
      <c r="AE248" s="170">
        <f>IF(OR($I248="",$E248=0),0,IF(OR($J248&lt;AE$3,$I248&gt;AE$2),0,IF($K248=0,IF(AND($I248&gt;=AE$3,$I248&lt;=AE$2),$E248,0),$E248*NETWORKDAYS(MAX($I248,AE$3),MIN($J248,AE$2),Data!$K$4:$K$203)/$K248)))</f>
        <v>0</v>
      </c>
      <c r="AF248" s="170">
        <f>IF(OR($I248="",$E248=0),0,IF(OR($J248&lt;AF$3,$I248&gt;AF$2),0,IF($K248=0,IF(AND($I248&gt;=AF$3,$I248&lt;=AF$2),$E248,0),$E248*NETWORKDAYS(MAX($I248,AF$3),MIN($J248,AF$2),Data!$K$4:$K$203)/$K248)))</f>
        <v>0</v>
      </c>
      <c r="AG248" s="170">
        <f>IF(OR($I248="",$E248=0),0,IF(OR($J248&lt;AG$3,$I248&gt;AG$2),0,IF($K248=0,IF(AND($I248&gt;=AG$3,$I248&lt;=AG$2),$E248,0),$E248*NETWORKDAYS(MAX($I248,AG$3),MIN($J248,AG$2),Data!$K$4:$K$203)/$K248)))</f>
        <v>0</v>
      </c>
      <c r="AH248" s="170">
        <f>IF(OR($I248="",$E248=0),0,IF(OR($J248&lt;AH$3,$I248&gt;AH$2),0,IF($K248=0,IF(AND($I248&gt;=AH$3,$I248&lt;=AH$2),$E248,0),$E248*NETWORKDAYS(MAX($I248,AH$3),MIN($J248,AH$2),Data!$K$4:$K$203)/$K248)))</f>
        <v>0</v>
      </c>
      <c r="AI248" s="170">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70"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4" t="str">
        <f>IF(EO248=1,IF(FH248&gt;0,FI248/FH248,AVERAGEIF($FF$4:$FF$503,EN248,$C$4:$C$503)),"")</f>
        <v/>
      </c>
      <c r="EV248" s="169">
        <f>IF(ISNUMBER(I248),I248,2958465)</f>
        <v>2958465.0</v>
      </c>
      <c r="EW248" s="169" t="str">
        <f>IF(EO248=1,SUMPRODUCT(MIN(($EN$4:$EN$503=EN248)*$EV$4:$EV$503+($EN$4:$EN$503&lt;&gt;EN248)*2958465)),"")</f>
        <v/>
      </c>
      <c r="EX248" s="169">
        <f>IF(AND(D248=1,ISNUMBER(INDEX(Charge!$F:$F,ROW()))),INDEX(Charge!$F:$F,ROW()),0)</f>
        <v>0.0</v>
      </c>
      <c r="EY248" s="169"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c r="FF248" t="str">
        <f>IF(B248=1,LEFT(SUBSTITUTE(SUBSTITUTE(SUBSTITUTE(TRIM(SUBSTITUTE(INDEX(Charge!$B:$B,ROW()),CHAR(160)," "))&amp;" | "&amp;TRIM(SUBSTITUTE(INDEX(Charge!$C:$C,ROW()),CHAR(160)," "))&amp;" | "&amp;TRIM(SUBSTITUTE(INDEX(Charge!$D:$D,ROW()),CHAR(160)," ")),"~","-"),"*","+"),"?","!"),240),"")</f>
        <v/>
      </c>
      <c r="FG248">
        <f>IF(B248=1,MAX(0,N(INDEX(Charge!$M:$M,ROW()))),0)</f>
        <v>0</v>
      </c>
      <c r="FH248" s="170" t="str">
        <f>IF(EO248=1,ROUND(SUMIF($FF$4:$FF$503,EN248,$FG$4:$FG$503),2),"")</f>
        <v/>
      </c>
      <c r="FI248" s="170" t="str">
        <f>IF(EO248=1,ROUND(SUMPRODUCT(($FF$4:$FF$503=EN248)*$FG$4:$FG$503*$C$4:$C$503),2),"")</f>
        <v/>
      </c>
      <c r="FJ248" s="170" t="str">
        <f>IF(EO248=1,MAX(0,ROUND(FH248-FI248,2)),"")</f>
        <v/>
      </c>
      <c r="FK248" s="174" t="str">
        <f>IF(EO248=1,IF(OR(EW248&gt;=2958465,EY248=0,EY248&lt;=EW248),"",IF(TODAY()&lt;=EW248,0,IF(TODAY()&gt;EY248,1,IFERROR(NETWORKDAYS(EW248,TODAY()-1,Data!$K$4:$K$203)/NETWORKDAYS(EW248,EY248,Data!$K$4:$K$203),"")))),"")</f>
        <v/>
      </c>
      <c r="FL248" t="str">
        <f>IF(EO248=1,IF(AND(EY248&gt;0,EY248&lt;TODAY(),ROUND(EU248,4)&lt;1),2,IF(FK248="",0,IF(ROUND(EU248-FK248,4)&lt;-0.15,1,0))),"")</f>
        <v/>
      </c>
      <c r="FM248">
        <f>IF(OR(FA248="",COUNTIF($FA$4:FA247,FA248)&gt;0),0,MAX(0,IF(FB248="Interne",IF(ISNUMBER(INDEX(Data!$F:$F,248)),INDEX(Data!$F:$F,248),p_HeuresETP),IF(ISNUMBER(INDEX(Data!$I:$I,248-$CD$23)),INDEX(Data!$I:$I,248-$CD$23),p_HeuresETP))-IF(FB248="Interne",IF(ISNUMBER(INDEX(Data!$G:$G,248)),INDEX(Data!$G:$G,248),p_ChargeFixe),IF(ISNUMBER(INDEX(Data!$J:$J,248-$CD$23)),INDEX(Data!$J:$J,248-$CD$23),p_ChargeFixe))))</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9" t="str">
        <f>IF(AND(D249=1,ISNUMBER(INDEX(Charge!$N:$N,ROW()))),INDEX(Charge!$N:$N,ROW()),"")</f>
        <v/>
      </c>
      <c r="J249" s="169"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70">
        <f>IF(OR($I249="",$E249=0),0,IF(OR($J249&lt;W$3,$I249&gt;W$2),0,IF($K249=0,IF(AND($I249&gt;=W$3,$I249&lt;=W$2),$E249,0),$E249*NETWORKDAYS(MAX($I249,W$3),MIN($J249,W$2),Data!$K$4:$K$203)/$K249)))</f>
        <v>0</v>
      </c>
      <c r="X249" s="170">
        <f>IF(OR($I249="",$E249=0),0,IF(OR($J249&lt;X$3,$I249&gt;X$2),0,IF($K249=0,IF(AND($I249&gt;=X$3,$I249&lt;=X$2),$E249,0),$E249*NETWORKDAYS(MAX($I249,X$3),MIN($J249,X$2),Data!$K$4:$K$203)/$K249)))</f>
        <v>0</v>
      </c>
      <c r="Y249" s="170">
        <f>IF(OR($I249="",$E249=0),0,IF(OR($J249&lt;Y$3,$I249&gt;Y$2),0,IF($K249=0,IF(AND($I249&gt;=Y$3,$I249&lt;=Y$2),$E249,0),$E249*NETWORKDAYS(MAX($I249,Y$3),MIN($J249,Y$2),Data!$K$4:$K$203)/$K249)))</f>
        <v>0</v>
      </c>
      <c r="Z249" s="170">
        <f>IF(OR($I249="",$E249=0),0,IF(OR($J249&lt;Z$3,$I249&gt;Z$2),0,IF($K249=0,IF(AND($I249&gt;=Z$3,$I249&lt;=Z$2),$E249,0),$E249*NETWORKDAYS(MAX($I249,Z$3),MIN($J249,Z$2),Data!$K$4:$K$203)/$K249)))</f>
        <v>0</v>
      </c>
      <c r="AA249" s="170">
        <f>IF(OR($I249="",$E249=0),0,IF(OR($J249&lt;AA$3,$I249&gt;AA$2),0,IF($K249=0,IF(AND($I249&gt;=AA$3,$I249&lt;=AA$2),$E249,0),$E249*NETWORKDAYS(MAX($I249,AA$3),MIN($J249,AA$2),Data!$K$4:$K$203)/$K249)))</f>
        <v>0</v>
      </c>
      <c r="AB249" s="170">
        <f>IF(OR($I249="",$E249=0),0,IF(OR($J249&lt;AB$3,$I249&gt;AB$2),0,IF($K249=0,IF(AND($I249&gt;=AB$3,$I249&lt;=AB$2),$E249,0),$E249*NETWORKDAYS(MAX($I249,AB$3),MIN($J249,AB$2),Data!$K$4:$K$203)/$K249)))</f>
        <v>0</v>
      </c>
      <c r="AC249" s="170">
        <f>IF(OR($I249="",$E249=0),0,IF(OR($J249&lt;AC$3,$I249&gt;AC$2),0,IF($K249=0,IF(AND($I249&gt;=AC$3,$I249&lt;=AC$2),$E249,0),$E249*NETWORKDAYS(MAX($I249,AC$3),MIN($J249,AC$2),Data!$K$4:$K$203)/$K249)))</f>
        <v>0</v>
      </c>
      <c r="AD249" s="170">
        <f>IF(OR($I249="",$E249=0),0,IF(OR($J249&lt;AD$3,$I249&gt;AD$2),0,IF($K249=0,IF(AND($I249&gt;=AD$3,$I249&lt;=AD$2),$E249,0),$E249*NETWORKDAYS(MAX($I249,AD$3),MIN($J249,AD$2),Data!$K$4:$K$203)/$K249)))</f>
        <v>0</v>
      </c>
      <c r="AE249" s="170">
        <f>IF(OR($I249="",$E249=0),0,IF(OR($J249&lt;AE$3,$I249&gt;AE$2),0,IF($K249=0,IF(AND($I249&gt;=AE$3,$I249&lt;=AE$2),$E249,0),$E249*NETWORKDAYS(MAX($I249,AE$3),MIN($J249,AE$2),Data!$K$4:$K$203)/$K249)))</f>
        <v>0</v>
      </c>
      <c r="AF249" s="170">
        <f>IF(OR($I249="",$E249=0),0,IF(OR($J249&lt;AF$3,$I249&gt;AF$2),0,IF($K249=0,IF(AND($I249&gt;=AF$3,$I249&lt;=AF$2),$E249,0),$E249*NETWORKDAYS(MAX($I249,AF$3),MIN($J249,AF$2),Data!$K$4:$K$203)/$K249)))</f>
        <v>0</v>
      </c>
      <c r="AG249" s="170">
        <f>IF(OR($I249="",$E249=0),0,IF(OR($J249&lt;AG$3,$I249&gt;AG$2),0,IF($K249=0,IF(AND($I249&gt;=AG$3,$I249&lt;=AG$2),$E249,0),$E249*NETWORKDAYS(MAX($I249,AG$3),MIN($J249,AG$2),Data!$K$4:$K$203)/$K249)))</f>
        <v>0</v>
      </c>
      <c r="AH249" s="170">
        <f>IF(OR($I249="",$E249=0),0,IF(OR($J249&lt;AH$3,$I249&gt;AH$2),0,IF($K249=0,IF(AND($I249&gt;=AH$3,$I249&lt;=AH$2),$E249,0),$E249*NETWORKDAYS(MAX($I249,AH$3),MIN($J249,AH$2),Data!$K$4:$K$203)/$K249)))</f>
        <v>0</v>
      </c>
      <c r="AI249" s="170">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70"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4" t="str">
        <f>IF(EO249=1,IF(FH249&gt;0,FI249/FH249,AVERAGEIF($FF$4:$FF$503,EN249,$C$4:$C$503)),"")</f>
        <v/>
      </c>
      <c r="EV249" s="169">
        <f>IF(ISNUMBER(I249),I249,2958465)</f>
        <v>2958465.0</v>
      </c>
      <c r="EW249" s="169" t="str">
        <f>IF(EO249=1,SUMPRODUCT(MIN(($EN$4:$EN$503=EN249)*$EV$4:$EV$503+($EN$4:$EN$503&lt;&gt;EN249)*2958465)),"")</f>
        <v/>
      </c>
      <c r="EX249" s="169">
        <f>IF(AND(D249=1,ISNUMBER(INDEX(Charge!$F:$F,ROW()))),INDEX(Charge!$F:$F,ROW()),0)</f>
        <v>0.0</v>
      </c>
      <c r="EY249" s="169"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c r="FF249" t="str">
        <f>IF(B249=1,LEFT(SUBSTITUTE(SUBSTITUTE(SUBSTITUTE(TRIM(SUBSTITUTE(INDEX(Charge!$B:$B,ROW()),CHAR(160)," "))&amp;" | "&amp;TRIM(SUBSTITUTE(INDEX(Charge!$C:$C,ROW()),CHAR(160)," "))&amp;" | "&amp;TRIM(SUBSTITUTE(INDEX(Charge!$D:$D,ROW()),CHAR(160)," ")),"~","-"),"*","+"),"?","!"),240),"")</f>
        <v/>
      </c>
      <c r="FG249">
        <f>IF(B249=1,MAX(0,N(INDEX(Charge!$M:$M,ROW()))),0)</f>
        <v>0</v>
      </c>
      <c r="FH249" s="170" t="str">
        <f>IF(EO249=1,ROUND(SUMIF($FF$4:$FF$503,EN249,$FG$4:$FG$503),2),"")</f>
        <v/>
      </c>
      <c r="FI249" s="170" t="str">
        <f>IF(EO249=1,ROUND(SUMPRODUCT(($FF$4:$FF$503=EN249)*$FG$4:$FG$503*$C$4:$C$503),2),"")</f>
        <v/>
      </c>
      <c r="FJ249" s="170" t="str">
        <f>IF(EO249=1,MAX(0,ROUND(FH249-FI249,2)),"")</f>
        <v/>
      </c>
      <c r="FK249" s="174" t="str">
        <f>IF(EO249=1,IF(OR(EW249&gt;=2958465,EY249=0,EY249&lt;=EW249),"",IF(TODAY()&lt;=EW249,0,IF(TODAY()&gt;EY249,1,IFERROR(NETWORKDAYS(EW249,TODAY()-1,Data!$K$4:$K$203)/NETWORKDAYS(EW249,EY249,Data!$K$4:$K$203),"")))),"")</f>
        <v/>
      </c>
      <c r="FL249" t="str">
        <f>IF(EO249=1,IF(AND(EY249&gt;0,EY249&lt;TODAY(),ROUND(EU249,4)&lt;1),2,IF(FK249="",0,IF(ROUND(EU249-FK249,4)&lt;-0.15,1,0))),"")</f>
        <v/>
      </c>
      <c r="FM249">
        <f>IF(OR(FA249="",COUNTIF($FA$4:FA248,FA249)&gt;0),0,MAX(0,IF(FB249="Interne",IF(ISNUMBER(INDEX(Data!$F:$F,249)),INDEX(Data!$F:$F,249),p_HeuresETP),IF(ISNUMBER(INDEX(Data!$I:$I,249-$CD$23)),INDEX(Data!$I:$I,249-$CD$23),p_HeuresETP))-IF(FB249="Interne",IF(ISNUMBER(INDEX(Data!$G:$G,249)),INDEX(Data!$G:$G,249),p_ChargeFixe),IF(ISNUMBER(INDEX(Data!$J:$J,249-$CD$23)),INDEX(Data!$J:$J,249-$CD$23),p_ChargeFixe))))</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9" t="str">
        <f>IF(AND(D250=1,ISNUMBER(INDEX(Charge!$N:$N,ROW()))),INDEX(Charge!$N:$N,ROW()),"")</f>
        <v/>
      </c>
      <c r="J250" s="169"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70">
        <f>IF(OR($I250="",$E250=0),0,IF(OR($J250&lt;W$3,$I250&gt;W$2),0,IF($K250=0,IF(AND($I250&gt;=W$3,$I250&lt;=W$2),$E250,0),$E250*NETWORKDAYS(MAX($I250,W$3),MIN($J250,W$2),Data!$K$4:$K$203)/$K250)))</f>
        <v>0</v>
      </c>
      <c r="X250" s="170">
        <f>IF(OR($I250="",$E250=0),0,IF(OR($J250&lt;X$3,$I250&gt;X$2),0,IF($K250=0,IF(AND($I250&gt;=X$3,$I250&lt;=X$2),$E250,0),$E250*NETWORKDAYS(MAX($I250,X$3),MIN($J250,X$2),Data!$K$4:$K$203)/$K250)))</f>
        <v>0</v>
      </c>
      <c r="Y250" s="170">
        <f>IF(OR($I250="",$E250=0),0,IF(OR($J250&lt;Y$3,$I250&gt;Y$2),0,IF($K250=0,IF(AND($I250&gt;=Y$3,$I250&lt;=Y$2),$E250,0),$E250*NETWORKDAYS(MAX($I250,Y$3),MIN($J250,Y$2),Data!$K$4:$K$203)/$K250)))</f>
        <v>0</v>
      </c>
      <c r="Z250" s="170">
        <f>IF(OR($I250="",$E250=0),0,IF(OR($J250&lt;Z$3,$I250&gt;Z$2),0,IF($K250=0,IF(AND($I250&gt;=Z$3,$I250&lt;=Z$2),$E250,0),$E250*NETWORKDAYS(MAX($I250,Z$3),MIN($J250,Z$2),Data!$K$4:$K$203)/$K250)))</f>
        <v>0</v>
      </c>
      <c r="AA250" s="170">
        <f>IF(OR($I250="",$E250=0),0,IF(OR($J250&lt;AA$3,$I250&gt;AA$2),0,IF($K250=0,IF(AND($I250&gt;=AA$3,$I250&lt;=AA$2),$E250,0),$E250*NETWORKDAYS(MAX($I250,AA$3),MIN($J250,AA$2),Data!$K$4:$K$203)/$K250)))</f>
        <v>0</v>
      </c>
      <c r="AB250" s="170">
        <f>IF(OR($I250="",$E250=0),0,IF(OR($J250&lt;AB$3,$I250&gt;AB$2),0,IF($K250=0,IF(AND($I250&gt;=AB$3,$I250&lt;=AB$2),$E250,0),$E250*NETWORKDAYS(MAX($I250,AB$3),MIN($J250,AB$2),Data!$K$4:$K$203)/$K250)))</f>
        <v>0</v>
      </c>
      <c r="AC250" s="170">
        <f>IF(OR($I250="",$E250=0),0,IF(OR($J250&lt;AC$3,$I250&gt;AC$2),0,IF($K250=0,IF(AND($I250&gt;=AC$3,$I250&lt;=AC$2),$E250,0),$E250*NETWORKDAYS(MAX($I250,AC$3),MIN($J250,AC$2),Data!$K$4:$K$203)/$K250)))</f>
        <v>0</v>
      </c>
      <c r="AD250" s="170">
        <f>IF(OR($I250="",$E250=0),0,IF(OR($J250&lt;AD$3,$I250&gt;AD$2),0,IF($K250=0,IF(AND($I250&gt;=AD$3,$I250&lt;=AD$2),$E250,0),$E250*NETWORKDAYS(MAX($I250,AD$3),MIN($J250,AD$2),Data!$K$4:$K$203)/$K250)))</f>
        <v>0</v>
      </c>
      <c r="AE250" s="170">
        <f>IF(OR($I250="",$E250=0),0,IF(OR($J250&lt;AE$3,$I250&gt;AE$2),0,IF($K250=0,IF(AND($I250&gt;=AE$3,$I250&lt;=AE$2),$E250,0),$E250*NETWORKDAYS(MAX($I250,AE$3),MIN($J250,AE$2),Data!$K$4:$K$203)/$K250)))</f>
        <v>0</v>
      </c>
      <c r="AF250" s="170">
        <f>IF(OR($I250="",$E250=0),0,IF(OR($J250&lt;AF$3,$I250&gt;AF$2),0,IF($K250=0,IF(AND($I250&gt;=AF$3,$I250&lt;=AF$2),$E250,0),$E250*NETWORKDAYS(MAX($I250,AF$3),MIN($J250,AF$2),Data!$K$4:$K$203)/$K250)))</f>
        <v>0</v>
      </c>
      <c r="AG250" s="170">
        <f>IF(OR($I250="",$E250=0),0,IF(OR($J250&lt;AG$3,$I250&gt;AG$2),0,IF($K250=0,IF(AND($I250&gt;=AG$3,$I250&lt;=AG$2),$E250,0),$E250*NETWORKDAYS(MAX($I250,AG$3),MIN($J250,AG$2),Data!$K$4:$K$203)/$K250)))</f>
        <v>0</v>
      </c>
      <c r="AH250" s="170">
        <f>IF(OR($I250="",$E250=0),0,IF(OR($J250&lt;AH$3,$I250&gt;AH$2),0,IF($K250=0,IF(AND($I250&gt;=AH$3,$I250&lt;=AH$2),$E250,0),$E250*NETWORKDAYS(MAX($I250,AH$3),MIN($J250,AH$2),Data!$K$4:$K$203)/$K250)))</f>
        <v>0</v>
      </c>
      <c r="AI250" s="170">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70"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4" t="str">
        <f>IF(EO250=1,IF(FH250&gt;0,FI250/FH250,AVERAGEIF($FF$4:$FF$503,EN250,$C$4:$C$503)),"")</f>
        <v/>
      </c>
      <c r="EV250" s="169">
        <f>IF(ISNUMBER(I250),I250,2958465)</f>
        <v>2958465.0</v>
      </c>
      <c r="EW250" s="169" t="str">
        <f>IF(EO250=1,SUMPRODUCT(MIN(($EN$4:$EN$503=EN250)*$EV$4:$EV$503+($EN$4:$EN$503&lt;&gt;EN250)*2958465)),"")</f>
        <v/>
      </c>
      <c r="EX250" s="169">
        <f>IF(AND(D250=1,ISNUMBER(INDEX(Charge!$F:$F,ROW()))),INDEX(Charge!$F:$F,ROW()),0)</f>
        <v>0.0</v>
      </c>
      <c r="EY250" s="169"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c r="FF250" t="str">
        <f>IF(B250=1,LEFT(SUBSTITUTE(SUBSTITUTE(SUBSTITUTE(TRIM(SUBSTITUTE(INDEX(Charge!$B:$B,ROW()),CHAR(160)," "))&amp;" | "&amp;TRIM(SUBSTITUTE(INDEX(Charge!$C:$C,ROW()),CHAR(160)," "))&amp;" | "&amp;TRIM(SUBSTITUTE(INDEX(Charge!$D:$D,ROW()),CHAR(160)," ")),"~","-"),"*","+"),"?","!"),240),"")</f>
        <v/>
      </c>
      <c r="FG250">
        <f>IF(B250=1,MAX(0,N(INDEX(Charge!$M:$M,ROW()))),0)</f>
        <v>0</v>
      </c>
      <c r="FH250" s="170" t="str">
        <f>IF(EO250=1,ROUND(SUMIF($FF$4:$FF$503,EN250,$FG$4:$FG$503),2),"")</f>
        <v/>
      </c>
      <c r="FI250" s="170" t="str">
        <f>IF(EO250=1,ROUND(SUMPRODUCT(($FF$4:$FF$503=EN250)*$FG$4:$FG$503*$C$4:$C$503),2),"")</f>
        <v/>
      </c>
      <c r="FJ250" s="170" t="str">
        <f>IF(EO250=1,MAX(0,ROUND(FH250-FI250,2)),"")</f>
        <v/>
      </c>
      <c r="FK250" s="174" t="str">
        <f>IF(EO250=1,IF(OR(EW250&gt;=2958465,EY250=0,EY250&lt;=EW250),"",IF(TODAY()&lt;=EW250,0,IF(TODAY()&gt;EY250,1,IFERROR(NETWORKDAYS(EW250,TODAY()-1,Data!$K$4:$K$203)/NETWORKDAYS(EW250,EY250,Data!$K$4:$K$203),"")))),"")</f>
        <v/>
      </c>
      <c r="FL250" t="str">
        <f>IF(EO250=1,IF(AND(EY250&gt;0,EY250&lt;TODAY(),ROUND(EU250,4)&lt;1),2,IF(FK250="",0,IF(ROUND(EU250-FK250,4)&lt;-0.15,1,0))),"")</f>
        <v/>
      </c>
      <c r="FM250">
        <f>IF(OR(FA250="",COUNTIF($FA$4:FA249,FA250)&gt;0),0,MAX(0,IF(FB250="Interne",IF(ISNUMBER(INDEX(Data!$F:$F,250)),INDEX(Data!$F:$F,250),p_HeuresETP),IF(ISNUMBER(INDEX(Data!$I:$I,250-$CD$23)),INDEX(Data!$I:$I,250-$CD$23),p_HeuresETP))-IF(FB250="Interne",IF(ISNUMBER(INDEX(Data!$G:$G,250)),INDEX(Data!$G:$G,250),p_ChargeFixe),IF(ISNUMBER(INDEX(Data!$J:$J,250-$CD$23)),INDEX(Data!$J:$J,250-$CD$23),p_ChargeFixe))))</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9" t="str">
        <f>IF(AND(D251=1,ISNUMBER(INDEX(Charge!$N:$N,ROW()))),INDEX(Charge!$N:$N,ROW()),"")</f>
        <v/>
      </c>
      <c r="J251" s="169"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70">
        <f>IF(OR($I251="",$E251=0),0,IF(OR($J251&lt;W$3,$I251&gt;W$2),0,IF($K251=0,IF(AND($I251&gt;=W$3,$I251&lt;=W$2),$E251,0),$E251*NETWORKDAYS(MAX($I251,W$3),MIN($J251,W$2),Data!$K$4:$K$203)/$K251)))</f>
        <v>0</v>
      </c>
      <c r="X251" s="170">
        <f>IF(OR($I251="",$E251=0),0,IF(OR($J251&lt;X$3,$I251&gt;X$2),0,IF($K251=0,IF(AND($I251&gt;=X$3,$I251&lt;=X$2),$E251,0),$E251*NETWORKDAYS(MAX($I251,X$3),MIN($J251,X$2),Data!$K$4:$K$203)/$K251)))</f>
        <v>0</v>
      </c>
      <c r="Y251" s="170">
        <f>IF(OR($I251="",$E251=0),0,IF(OR($J251&lt;Y$3,$I251&gt;Y$2),0,IF($K251=0,IF(AND($I251&gt;=Y$3,$I251&lt;=Y$2),$E251,0),$E251*NETWORKDAYS(MAX($I251,Y$3),MIN($J251,Y$2),Data!$K$4:$K$203)/$K251)))</f>
        <v>0</v>
      </c>
      <c r="Z251" s="170">
        <f>IF(OR($I251="",$E251=0),0,IF(OR($J251&lt;Z$3,$I251&gt;Z$2),0,IF($K251=0,IF(AND($I251&gt;=Z$3,$I251&lt;=Z$2),$E251,0),$E251*NETWORKDAYS(MAX($I251,Z$3),MIN($J251,Z$2),Data!$K$4:$K$203)/$K251)))</f>
        <v>0</v>
      </c>
      <c r="AA251" s="170">
        <f>IF(OR($I251="",$E251=0),0,IF(OR($J251&lt;AA$3,$I251&gt;AA$2),0,IF($K251=0,IF(AND($I251&gt;=AA$3,$I251&lt;=AA$2),$E251,0),$E251*NETWORKDAYS(MAX($I251,AA$3),MIN($J251,AA$2),Data!$K$4:$K$203)/$K251)))</f>
        <v>0</v>
      </c>
      <c r="AB251" s="170">
        <f>IF(OR($I251="",$E251=0),0,IF(OR($J251&lt;AB$3,$I251&gt;AB$2),0,IF($K251=0,IF(AND($I251&gt;=AB$3,$I251&lt;=AB$2),$E251,0),$E251*NETWORKDAYS(MAX($I251,AB$3),MIN($J251,AB$2),Data!$K$4:$K$203)/$K251)))</f>
        <v>0</v>
      </c>
      <c r="AC251" s="170">
        <f>IF(OR($I251="",$E251=0),0,IF(OR($J251&lt;AC$3,$I251&gt;AC$2),0,IF($K251=0,IF(AND($I251&gt;=AC$3,$I251&lt;=AC$2),$E251,0),$E251*NETWORKDAYS(MAX($I251,AC$3),MIN($J251,AC$2),Data!$K$4:$K$203)/$K251)))</f>
        <v>0</v>
      </c>
      <c r="AD251" s="170">
        <f>IF(OR($I251="",$E251=0),0,IF(OR($J251&lt;AD$3,$I251&gt;AD$2),0,IF($K251=0,IF(AND($I251&gt;=AD$3,$I251&lt;=AD$2),$E251,0),$E251*NETWORKDAYS(MAX($I251,AD$3),MIN($J251,AD$2),Data!$K$4:$K$203)/$K251)))</f>
        <v>0</v>
      </c>
      <c r="AE251" s="170">
        <f>IF(OR($I251="",$E251=0),0,IF(OR($J251&lt;AE$3,$I251&gt;AE$2),0,IF($K251=0,IF(AND($I251&gt;=AE$3,$I251&lt;=AE$2),$E251,0),$E251*NETWORKDAYS(MAX($I251,AE$3),MIN($J251,AE$2),Data!$K$4:$K$203)/$K251)))</f>
        <v>0</v>
      </c>
      <c r="AF251" s="170">
        <f>IF(OR($I251="",$E251=0),0,IF(OR($J251&lt;AF$3,$I251&gt;AF$2),0,IF($K251=0,IF(AND($I251&gt;=AF$3,$I251&lt;=AF$2),$E251,0),$E251*NETWORKDAYS(MAX($I251,AF$3),MIN($J251,AF$2),Data!$K$4:$K$203)/$K251)))</f>
        <v>0</v>
      </c>
      <c r="AG251" s="170">
        <f>IF(OR($I251="",$E251=0),0,IF(OR($J251&lt;AG$3,$I251&gt;AG$2),0,IF($K251=0,IF(AND($I251&gt;=AG$3,$I251&lt;=AG$2),$E251,0),$E251*NETWORKDAYS(MAX($I251,AG$3),MIN($J251,AG$2),Data!$K$4:$K$203)/$K251)))</f>
        <v>0</v>
      </c>
      <c r="AH251" s="170">
        <f>IF(OR($I251="",$E251=0),0,IF(OR($J251&lt;AH$3,$I251&gt;AH$2),0,IF($K251=0,IF(AND($I251&gt;=AH$3,$I251&lt;=AH$2),$E251,0),$E251*NETWORKDAYS(MAX($I251,AH$3),MIN($J251,AH$2),Data!$K$4:$K$203)/$K251)))</f>
        <v>0</v>
      </c>
      <c r="AI251" s="170">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70"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4" t="str">
        <f>IF(EO251=1,IF(FH251&gt;0,FI251/FH251,AVERAGEIF($FF$4:$FF$503,EN251,$C$4:$C$503)),"")</f>
        <v/>
      </c>
      <c r="EV251" s="169">
        <f>IF(ISNUMBER(I251),I251,2958465)</f>
        <v>2958465.0</v>
      </c>
      <c r="EW251" s="169" t="str">
        <f>IF(EO251=1,SUMPRODUCT(MIN(($EN$4:$EN$503=EN251)*$EV$4:$EV$503+($EN$4:$EN$503&lt;&gt;EN251)*2958465)),"")</f>
        <v/>
      </c>
      <c r="EX251" s="169">
        <f>IF(AND(D251=1,ISNUMBER(INDEX(Charge!$F:$F,ROW()))),INDEX(Charge!$F:$F,ROW()),0)</f>
        <v>0.0</v>
      </c>
      <c r="EY251" s="169"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c r="FF251" t="str">
        <f>IF(B251=1,LEFT(SUBSTITUTE(SUBSTITUTE(SUBSTITUTE(TRIM(SUBSTITUTE(INDEX(Charge!$B:$B,ROW()),CHAR(160)," "))&amp;" | "&amp;TRIM(SUBSTITUTE(INDEX(Charge!$C:$C,ROW()),CHAR(160)," "))&amp;" | "&amp;TRIM(SUBSTITUTE(INDEX(Charge!$D:$D,ROW()),CHAR(160)," ")),"~","-"),"*","+"),"?","!"),240),"")</f>
        <v/>
      </c>
      <c r="FG251">
        <f>IF(B251=1,MAX(0,N(INDEX(Charge!$M:$M,ROW()))),0)</f>
        <v>0</v>
      </c>
      <c r="FH251" s="170" t="str">
        <f>IF(EO251=1,ROUND(SUMIF($FF$4:$FF$503,EN251,$FG$4:$FG$503),2),"")</f>
        <v/>
      </c>
      <c r="FI251" s="170" t="str">
        <f>IF(EO251=1,ROUND(SUMPRODUCT(($FF$4:$FF$503=EN251)*$FG$4:$FG$503*$C$4:$C$503),2),"")</f>
        <v/>
      </c>
      <c r="FJ251" s="170" t="str">
        <f>IF(EO251=1,MAX(0,ROUND(FH251-FI251,2)),"")</f>
        <v/>
      </c>
      <c r="FK251" s="174" t="str">
        <f>IF(EO251=1,IF(OR(EW251&gt;=2958465,EY251=0,EY251&lt;=EW251),"",IF(TODAY()&lt;=EW251,0,IF(TODAY()&gt;EY251,1,IFERROR(NETWORKDAYS(EW251,TODAY()-1,Data!$K$4:$K$203)/NETWORKDAYS(EW251,EY251,Data!$K$4:$K$203),"")))),"")</f>
        <v/>
      </c>
      <c r="FL251" t="str">
        <f>IF(EO251=1,IF(AND(EY251&gt;0,EY251&lt;TODAY(),ROUND(EU251,4)&lt;1),2,IF(FK251="",0,IF(ROUND(EU251-FK251,4)&lt;-0.15,1,0))),"")</f>
        <v/>
      </c>
      <c r="FM251">
        <f>IF(OR(FA251="",COUNTIF($FA$4:FA250,FA251)&gt;0),0,MAX(0,IF(FB251="Interne",IF(ISNUMBER(INDEX(Data!$F:$F,251)),INDEX(Data!$F:$F,251),p_HeuresETP),IF(ISNUMBER(INDEX(Data!$I:$I,251-$CD$23)),INDEX(Data!$I:$I,251-$CD$23),p_HeuresETP))-IF(FB251="Interne",IF(ISNUMBER(INDEX(Data!$G:$G,251)),INDEX(Data!$G:$G,251),p_ChargeFixe),IF(ISNUMBER(INDEX(Data!$J:$J,251-$CD$23)),INDEX(Data!$J:$J,251-$CD$23),p_ChargeFixe))))</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9" t="str">
        <f>IF(AND(D252=1,ISNUMBER(INDEX(Charge!$N:$N,ROW()))),INDEX(Charge!$N:$N,ROW()),"")</f>
        <v/>
      </c>
      <c r="J252" s="169"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70">
        <f>IF(OR($I252="",$E252=0),0,IF(OR($J252&lt;W$3,$I252&gt;W$2),0,IF($K252=0,IF(AND($I252&gt;=W$3,$I252&lt;=W$2),$E252,0),$E252*NETWORKDAYS(MAX($I252,W$3),MIN($J252,W$2),Data!$K$4:$K$203)/$K252)))</f>
        <v>0</v>
      </c>
      <c r="X252" s="170">
        <f>IF(OR($I252="",$E252=0),0,IF(OR($J252&lt;X$3,$I252&gt;X$2),0,IF($K252=0,IF(AND($I252&gt;=X$3,$I252&lt;=X$2),$E252,0),$E252*NETWORKDAYS(MAX($I252,X$3),MIN($J252,X$2),Data!$K$4:$K$203)/$K252)))</f>
        <v>0</v>
      </c>
      <c r="Y252" s="170">
        <f>IF(OR($I252="",$E252=0),0,IF(OR($J252&lt;Y$3,$I252&gt;Y$2),0,IF($K252=0,IF(AND($I252&gt;=Y$3,$I252&lt;=Y$2),$E252,0),$E252*NETWORKDAYS(MAX($I252,Y$3),MIN($J252,Y$2),Data!$K$4:$K$203)/$K252)))</f>
        <v>0</v>
      </c>
      <c r="Z252" s="170">
        <f>IF(OR($I252="",$E252=0),0,IF(OR($J252&lt;Z$3,$I252&gt;Z$2),0,IF($K252=0,IF(AND($I252&gt;=Z$3,$I252&lt;=Z$2),$E252,0),$E252*NETWORKDAYS(MAX($I252,Z$3),MIN($J252,Z$2),Data!$K$4:$K$203)/$K252)))</f>
        <v>0</v>
      </c>
      <c r="AA252" s="170">
        <f>IF(OR($I252="",$E252=0),0,IF(OR($J252&lt;AA$3,$I252&gt;AA$2),0,IF($K252=0,IF(AND($I252&gt;=AA$3,$I252&lt;=AA$2),$E252,0),$E252*NETWORKDAYS(MAX($I252,AA$3),MIN($J252,AA$2),Data!$K$4:$K$203)/$K252)))</f>
        <v>0</v>
      </c>
      <c r="AB252" s="170">
        <f>IF(OR($I252="",$E252=0),0,IF(OR($J252&lt;AB$3,$I252&gt;AB$2),0,IF($K252=0,IF(AND($I252&gt;=AB$3,$I252&lt;=AB$2),$E252,0),$E252*NETWORKDAYS(MAX($I252,AB$3),MIN($J252,AB$2),Data!$K$4:$K$203)/$K252)))</f>
        <v>0</v>
      </c>
      <c r="AC252" s="170">
        <f>IF(OR($I252="",$E252=0),0,IF(OR($J252&lt;AC$3,$I252&gt;AC$2),0,IF($K252=0,IF(AND($I252&gt;=AC$3,$I252&lt;=AC$2),$E252,0),$E252*NETWORKDAYS(MAX($I252,AC$3),MIN($J252,AC$2),Data!$K$4:$K$203)/$K252)))</f>
        <v>0</v>
      </c>
      <c r="AD252" s="170">
        <f>IF(OR($I252="",$E252=0),0,IF(OR($J252&lt;AD$3,$I252&gt;AD$2),0,IF($K252=0,IF(AND($I252&gt;=AD$3,$I252&lt;=AD$2),$E252,0),$E252*NETWORKDAYS(MAX($I252,AD$3),MIN($J252,AD$2),Data!$K$4:$K$203)/$K252)))</f>
        <v>0</v>
      </c>
      <c r="AE252" s="170">
        <f>IF(OR($I252="",$E252=0),0,IF(OR($J252&lt;AE$3,$I252&gt;AE$2),0,IF($K252=0,IF(AND($I252&gt;=AE$3,$I252&lt;=AE$2),$E252,0),$E252*NETWORKDAYS(MAX($I252,AE$3),MIN($J252,AE$2),Data!$K$4:$K$203)/$K252)))</f>
        <v>0</v>
      </c>
      <c r="AF252" s="170">
        <f>IF(OR($I252="",$E252=0),0,IF(OR($J252&lt;AF$3,$I252&gt;AF$2),0,IF($K252=0,IF(AND($I252&gt;=AF$3,$I252&lt;=AF$2),$E252,0),$E252*NETWORKDAYS(MAX($I252,AF$3),MIN($J252,AF$2),Data!$K$4:$K$203)/$K252)))</f>
        <v>0</v>
      </c>
      <c r="AG252" s="170">
        <f>IF(OR($I252="",$E252=0),0,IF(OR($J252&lt;AG$3,$I252&gt;AG$2),0,IF($K252=0,IF(AND($I252&gt;=AG$3,$I252&lt;=AG$2),$E252,0),$E252*NETWORKDAYS(MAX($I252,AG$3),MIN($J252,AG$2),Data!$K$4:$K$203)/$K252)))</f>
        <v>0</v>
      </c>
      <c r="AH252" s="170">
        <f>IF(OR($I252="",$E252=0),0,IF(OR($J252&lt;AH$3,$I252&gt;AH$2),0,IF($K252=0,IF(AND($I252&gt;=AH$3,$I252&lt;=AH$2),$E252,0),$E252*NETWORKDAYS(MAX($I252,AH$3),MIN($J252,AH$2),Data!$K$4:$K$203)/$K252)))</f>
        <v>0</v>
      </c>
      <c r="AI252" s="170">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70"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4" t="str">
        <f>IF(EO252=1,IF(FH252&gt;0,FI252/FH252,AVERAGEIF($FF$4:$FF$503,EN252,$C$4:$C$503)),"")</f>
        <v/>
      </c>
      <c r="EV252" s="169">
        <f>IF(ISNUMBER(I252),I252,2958465)</f>
        <v>2958465.0</v>
      </c>
      <c r="EW252" s="169" t="str">
        <f>IF(EO252=1,SUMPRODUCT(MIN(($EN$4:$EN$503=EN252)*$EV$4:$EV$503+($EN$4:$EN$503&lt;&gt;EN252)*2958465)),"")</f>
        <v/>
      </c>
      <c r="EX252" s="169">
        <f>IF(AND(D252=1,ISNUMBER(INDEX(Charge!$F:$F,ROW()))),INDEX(Charge!$F:$F,ROW()),0)</f>
        <v>0.0</v>
      </c>
      <c r="EY252" s="169"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c r="FF252" t="str">
        <f>IF(B252=1,LEFT(SUBSTITUTE(SUBSTITUTE(SUBSTITUTE(TRIM(SUBSTITUTE(INDEX(Charge!$B:$B,ROW()),CHAR(160)," "))&amp;" | "&amp;TRIM(SUBSTITUTE(INDEX(Charge!$C:$C,ROW()),CHAR(160)," "))&amp;" | "&amp;TRIM(SUBSTITUTE(INDEX(Charge!$D:$D,ROW()),CHAR(160)," ")),"~","-"),"*","+"),"?","!"),240),"")</f>
        <v/>
      </c>
      <c r="FG252">
        <f>IF(B252=1,MAX(0,N(INDEX(Charge!$M:$M,ROW()))),0)</f>
        <v>0</v>
      </c>
      <c r="FH252" s="170" t="str">
        <f>IF(EO252=1,ROUND(SUMIF($FF$4:$FF$503,EN252,$FG$4:$FG$503),2),"")</f>
        <v/>
      </c>
      <c r="FI252" s="170" t="str">
        <f>IF(EO252=1,ROUND(SUMPRODUCT(($FF$4:$FF$503=EN252)*$FG$4:$FG$503*$C$4:$C$503),2),"")</f>
        <v/>
      </c>
      <c r="FJ252" s="170" t="str">
        <f>IF(EO252=1,MAX(0,ROUND(FH252-FI252,2)),"")</f>
        <v/>
      </c>
      <c r="FK252" s="174" t="str">
        <f>IF(EO252=1,IF(OR(EW252&gt;=2958465,EY252=0,EY252&lt;=EW252),"",IF(TODAY()&lt;=EW252,0,IF(TODAY()&gt;EY252,1,IFERROR(NETWORKDAYS(EW252,TODAY()-1,Data!$K$4:$K$203)/NETWORKDAYS(EW252,EY252,Data!$K$4:$K$203),"")))),"")</f>
        <v/>
      </c>
      <c r="FL252" t="str">
        <f>IF(EO252=1,IF(AND(EY252&gt;0,EY252&lt;TODAY(),ROUND(EU252,4)&lt;1),2,IF(FK252="",0,IF(ROUND(EU252-FK252,4)&lt;-0.15,1,0))),"")</f>
        <v/>
      </c>
      <c r="FM252">
        <f>IF(OR(FA252="",COUNTIF($FA$4:FA251,FA252)&gt;0),0,MAX(0,IF(FB252="Interne",IF(ISNUMBER(INDEX(Data!$F:$F,252)),INDEX(Data!$F:$F,252),p_HeuresETP),IF(ISNUMBER(INDEX(Data!$I:$I,252-$CD$23)),INDEX(Data!$I:$I,252-$CD$23),p_HeuresETP))-IF(FB252="Interne",IF(ISNUMBER(INDEX(Data!$G:$G,252)),INDEX(Data!$G:$G,252),p_ChargeFixe),IF(ISNUMBER(INDEX(Data!$J:$J,252-$CD$23)),INDEX(Data!$J:$J,252-$CD$23),p_ChargeFixe))))</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9" t="str">
        <f>IF(AND(D253=1,ISNUMBER(INDEX(Charge!$N:$N,ROW()))),INDEX(Charge!$N:$N,ROW()),"")</f>
        <v/>
      </c>
      <c r="J253" s="169"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70">
        <f>IF(OR($I253="",$E253=0),0,IF(OR($J253&lt;W$3,$I253&gt;W$2),0,IF($K253=0,IF(AND($I253&gt;=W$3,$I253&lt;=W$2),$E253,0),$E253*NETWORKDAYS(MAX($I253,W$3),MIN($J253,W$2),Data!$K$4:$K$203)/$K253)))</f>
        <v>0</v>
      </c>
      <c r="X253" s="170">
        <f>IF(OR($I253="",$E253=0),0,IF(OR($J253&lt;X$3,$I253&gt;X$2),0,IF($K253=0,IF(AND($I253&gt;=X$3,$I253&lt;=X$2),$E253,0),$E253*NETWORKDAYS(MAX($I253,X$3),MIN($J253,X$2),Data!$K$4:$K$203)/$K253)))</f>
        <v>0</v>
      </c>
      <c r="Y253" s="170">
        <f>IF(OR($I253="",$E253=0),0,IF(OR($J253&lt;Y$3,$I253&gt;Y$2),0,IF($K253=0,IF(AND($I253&gt;=Y$3,$I253&lt;=Y$2),$E253,0),$E253*NETWORKDAYS(MAX($I253,Y$3),MIN($J253,Y$2),Data!$K$4:$K$203)/$K253)))</f>
        <v>0</v>
      </c>
      <c r="Z253" s="170">
        <f>IF(OR($I253="",$E253=0),0,IF(OR($J253&lt;Z$3,$I253&gt;Z$2),0,IF($K253=0,IF(AND($I253&gt;=Z$3,$I253&lt;=Z$2),$E253,0),$E253*NETWORKDAYS(MAX($I253,Z$3),MIN($J253,Z$2),Data!$K$4:$K$203)/$K253)))</f>
        <v>0</v>
      </c>
      <c r="AA253" s="170">
        <f>IF(OR($I253="",$E253=0),0,IF(OR($J253&lt;AA$3,$I253&gt;AA$2),0,IF($K253=0,IF(AND($I253&gt;=AA$3,$I253&lt;=AA$2),$E253,0),$E253*NETWORKDAYS(MAX($I253,AA$3),MIN($J253,AA$2),Data!$K$4:$K$203)/$K253)))</f>
        <v>0</v>
      </c>
      <c r="AB253" s="170">
        <f>IF(OR($I253="",$E253=0),0,IF(OR($J253&lt;AB$3,$I253&gt;AB$2),0,IF($K253=0,IF(AND($I253&gt;=AB$3,$I253&lt;=AB$2),$E253,0),$E253*NETWORKDAYS(MAX($I253,AB$3),MIN($J253,AB$2),Data!$K$4:$K$203)/$K253)))</f>
        <v>0</v>
      </c>
      <c r="AC253" s="170">
        <f>IF(OR($I253="",$E253=0),0,IF(OR($J253&lt;AC$3,$I253&gt;AC$2),0,IF($K253=0,IF(AND($I253&gt;=AC$3,$I253&lt;=AC$2),$E253,0),$E253*NETWORKDAYS(MAX($I253,AC$3),MIN($J253,AC$2),Data!$K$4:$K$203)/$K253)))</f>
        <v>0</v>
      </c>
      <c r="AD253" s="170">
        <f>IF(OR($I253="",$E253=0),0,IF(OR($J253&lt;AD$3,$I253&gt;AD$2),0,IF($K253=0,IF(AND($I253&gt;=AD$3,$I253&lt;=AD$2),$E253,0),$E253*NETWORKDAYS(MAX($I253,AD$3),MIN($J253,AD$2),Data!$K$4:$K$203)/$K253)))</f>
        <v>0</v>
      </c>
      <c r="AE253" s="170">
        <f>IF(OR($I253="",$E253=0),0,IF(OR($J253&lt;AE$3,$I253&gt;AE$2),0,IF($K253=0,IF(AND($I253&gt;=AE$3,$I253&lt;=AE$2),$E253,0),$E253*NETWORKDAYS(MAX($I253,AE$3),MIN($J253,AE$2),Data!$K$4:$K$203)/$K253)))</f>
        <v>0</v>
      </c>
      <c r="AF253" s="170">
        <f>IF(OR($I253="",$E253=0),0,IF(OR($J253&lt;AF$3,$I253&gt;AF$2),0,IF($K253=0,IF(AND($I253&gt;=AF$3,$I253&lt;=AF$2),$E253,0),$E253*NETWORKDAYS(MAX($I253,AF$3),MIN($J253,AF$2),Data!$K$4:$K$203)/$K253)))</f>
        <v>0</v>
      </c>
      <c r="AG253" s="170">
        <f>IF(OR($I253="",$E253=0),0,IF(OR($J253&lt;AG$3,$I253&gt;AG$2),0,IF($K253=0,IF(AND($I253&gt;=AG$3,$I253&lt;=AG$2),$E253,0),$E253*NETWORKDAYS(MAX($I253,AG$3),MIN($J253,AG$2),Data!$K$4:$K$203)/$K253)))</f>
        <v>0</v>
      </c>
      <c r="AH253" s="170">
        <f>IF(OR($I253="",$E253=0),0,IF(OR($J253&lt;AH$3,$I253&gt;AH$2),0,IF($K253=0,IF(AND($I253&gt;=AH$3,$I253&lt;=AH$2),$E253,0),$E253*NETWORKDAYS(MAX($I253,AH$3),MIN($J253,AH$2),Data!$K$4:$K$203)/$K253)))</f>
        <v>0</v>
      </c>
      <c r="AI253" s="170">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70"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4" t="str">
        <f>IF(EO253=1,IF(FH253&gt;0,FI253/FH253,AVERAGEIF($FF$4:$FF$503,EN253,$C$4:$C$503)),"")</f>
        <v/>
      </c>
      <c r="EV253" s="169">
        <f>IF(ISNUMBER(I253),I253,2958465)</f>
        <v>2958465.0</v>
      </c>
      <c r="EW253" s="169" t="str">
        <f>IF(EO253=1,SUMPRODUCT(MIN(($EN$4:$EN$503=EN253)*$EV$4:$EV$503+($EN$4:$EN$503&lt;&gt;EN253)*2958465)),"")</f>
        <v/>
      </c>
      <c r="EX253" s="169">
        <f>IF(AND(D253=1,ISNUMBER(INDEX(Charge!$F:$F,ROW()))),INDEX(Charge!$F:$F,ROW()),0)</f>
        <v>0.0</v>
      </c>
      <c r="EY253" s="169"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c r="FF253" t="str">
        <f>IF(B253=1,LEFT(SUBSTITUTE(SUBSTITUTE(SUBSTITUTE(TRIM(SUBSTITUTE(INDEX(Charge!$B:$B,ROW()),CHAR(160)," "))&amp;" | "&amp;TRIM(SUBSTITUTE(INDEX(Charge!$C:$C,ROW()),CHAR(160)," "))&amp;" | "&amp;TRIM(SUBSTITUTE(INDEX(Charge!$D:$D,ROW()),CHAR(160)," ")),"~","-"),"*","+"),"?","!"),240),"")</f>
        <v/>
      </c>
      <c r="FG253">
        <f>IF(B253=1,MAX(0,N(INDEX(Charge!$M:$M,ROW()))),0)</f>
        <v>0</v>
      </c>
      <c r="FH253" s="170" t="str">
        <f>IF(EO253=1,ROUND(SUMIF($FF$4:$FF$503,EN253,$FG$4:$FG$503),2),"")</f>
        <v/>
      </c>
      <c r="FI253" s="170" t="str">
        <f>IF(EO253=1,ROUND(SUMPRODUCT(($FF$4:$FF$503=EN253)*$FG$4:$FG$503*$C$4:$C$503),2),"")</f>
        <v/>
      </c>
      <c r="FJ253" s="170" t="str">
        <f>IF(EO253=1,MAX(0,ROUND(FH253-FI253,2)),"")</f>
        <v/>
      </c>
      <c r="FK253" s="174" t="str">
        <f>IF(EO253=1,IF(OR(EW253&gt;=2958465,EY253=0,EY253&lt;=EW253),"",IF(TODAY()&lt;=EW253,0,IF(TODAY()&gt;EY253,1,IFERROR(NETWORKDAYS(EW253,TODAY()-1,Data!$K$4:$K$203)/NETWORKDAYS(EW253,EY253,Data!$K$4:$K$203),"")))),"")</f>
        <v/>
      </c>
      <c r="FL253" t="str">
        <f>IF(EO253=1,IF(AND(EY253&gt;0,EY253&lt;TODAY(),ROUND(EU253,4)&lt;1),2,IF(FK253="",0,IF(ROUND(EU253-FK253,4)&lt;-0.15,1,0))),"")</f>
        <v/>
      </c>
      <c r="FM253">
        <f>IF(OR(FA253="",COUNTIF($FA$4:FA252,FA253)&gt;0),0,MAX(0,IF(FB253="Interne",IF(ISNUMBER(INDEX(Data!$F:$F,253)),INDEX(Data!$F:$F,253),p_HeuresETP),IF(ISNUMBER(INDEX(Data!$I:$I,253-$CD$23)),INDEX(Data!$I:$I,253-$CD$23),p_HeuresETP))-IF(FB253="Interne",IF(ISNUMBER(INDEX(Data!$G:$G,253)),INDEX(Data!$G:$G,253),p_ChargeFixe),IF(ISNUMBER(INDEX(Data!$J:$J,253-$CD$23)),INDEX(Data!$J:$J,253-$CD$23),p_ChargeFixe))))</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9" t="str">
        <f>IF(AND(D254=1,ISNUMBER(INDEX(Charge!$N:$N,ROW()))),INDEX(Charge!$N:$N,ROW()),"")</f>
        <v/>
      </c>
      <c r="J254" s="169"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70">
        <f>IF(OR($I254="",$E254=0),0,IF(OR($J254&lt;W$3,$I254&gt;W$2),0,IF($K254=0,IF(AND($I254&gt;=W$3,$I254&lt;=W$2),$E254,0),$E254*NETWORKDAYS(MAX($I254,W$3),MIN($J254,W$2),Data!$K$4:$K$203)/$K254)))</f>
        <v>0</v>
      </c>
      <c r="X254" s="170">
        <f>IF(OR($I254="",$E254=0),0,IF(OR($J254&lt;X$3,$I254&gt;X$2),0,IF($K254=0,IF(AND($I254&gt;=X$3,$I254&lt;=X$2),$E254,0),$E254*NETWORKDAYS(MAX($I254,X$3),MIN($J254,X$2),Data!$K$4:$K$203)/$K254)))</f>
        <v>0</v>
      </c>
      <c r="Y254" s="170">
        <f>IF(OR($I254="",$E254=0),0,IF(OR($J254&lt;Y$3,$I254&gt;Y$2),0,IF($K254=0,IF(AND($I254&gt;=Y$3,$I254&lt;=Y$2),$E254,0),$E254*NETWORKDAYS(MAX($I254,Y$3),MIN($J254,Y$2),Data!$K$4:$K$203)/$K254)))</f>
        <v>0</v>
      </c>
      <c r="Z254" s="170">
        <f>IF(OR($I254="",$E254=0),0,IF(OR($J254&lt;Z$3,$I254&gt;Z$2),0,IF($K254=0,IF(AND($I254&gt;=Z$3,$I254&lt;=Z$2),$E254,0),$E254*NETWORKDAYS(MAX($I254,Z$3),MIN($J254,Z$2),Data!$K$4:$K$203)/$K254)))</f>
        <v>0</v>
      </c>
      <c r="AA254" s="170">
        <f>IF(OR($I254="",$E254=0),0,IF(OR($J254&lt;AA$3,$I254&gt;AA$2),0,IF($K254=0,IF(AND($I254&gt;=AA$3,$I254&lt;=AA$2),$E254,0),$E254*NETWORKDAYS(MAX($I254,AA$3),MIN($J254,AA$2),Data!$K$4:$K$203)/$K254)))</f>
        <v>0</v>
      </c>
      <c r="AB254" s="170">
        <f>IF(OR($I254="",$E254=0),0,IF(OR($J254&lt;AB$3,$I254&gt;AB$2),0,IF($K254=0,IF(AND($I254&gt;=AB$3,$I254&lt;=AB$2),$E254,0),$E254*NETWORKDAYS(MAX($I254,AB$3),MIN($J254,AB$2),Data!$K$4:$K$203)/$K254)))</f>
        <v>0</v>
      </c>
      <c r="AC254" s="170">
        <f>IF(OR($I254="",$E254=0),0,IF(OR($J254&lt;AC$3,$I254&gt;AC$2),0,IF($K254=0,IF(AND($I254&gt;=AC$3,$I254&lt;=AC$2),$E254,0),$E254*NETWORKDAYS(MAX($I254,AC$3),MIN($J254,AC$2),Data!$K$4:$K$203)/$K254)))</f>
        <v>0</v>
      </c>
      <c r="AD254" s="170">
        <f>IF(OR($I254="",$E254=0),0,IF(OR($J254&lt;AD$3,$I254&gt;AD$2),0,IF($K254=0,IF(AND($I254&gt;=AD$3,$I254&lt;=AD$2),$E254,0),$E254*NETWORKDAYS(MAX($I254,AD$3),MIN($J254,AD$2),Data!$K$4:$K$203)/$K254)))</f>
        <v>0</v>
      </c>
      <c r="AE254" s="170">
        <f>IF(OR($I254="",$E254=0),0,IF(OR($J254&lt;AE$3,$I254&gt;AE$2),0,IF($K254=0,IF(AND($I254&gt;=AE$3,$I254&lt;=AE$2),$E254,0),$E254*NETWORKDAYS(MAX($I254,AE$3),MIN($J254,AE$2),Data!$K$4:$K$203)/$K254)))</f>
        <v>0</v>
      </c>
      <c r="AF254" s="170">
        <f>IF(OR($I254="",$E254=0),0,IF(OR($J254&lt;AF$3,$I254&gt;AF$2),0,IF($K254=0,IF(AND($I254&gt;=AF$3,$I254&lt;=AF$2),$E254,0),$E254*NETWORKDAYS(MAX($I254,AF$3),MIN($J254,AF$2),Data!$K$4:$K$203)/$K254)))</f>
        <v>0</v>
      </c>
      <c r="AG254" s="170">
        <f>IF(OR($I254="",$E254=0),0,IF(OR($J254&lt;AG$3,$I254&gt;AG$2),0,IF($K254=0,IF(AND($I254&gt;=AG$3,$I254&lt;=AG$2),$E254,0),$E254*NETWORKDAYS(MAX($I254,AG$3),MIN($J254,AG$2),Data!$K$4:$K$203)/$K254)))</f>
        <v>0</v>
      </c>
      <c r="AH254" s="170">
        <f>IF(OR($I254="",$E254=0),0,IF(OR($J254&lt;AH$3,$I254&gt;AH$2),0,IF($K254=0,IF(AND($I254&gt;=AH$3,$I254&lt;=AH$2),$E254,0),$E254*NETWORKDAYS(MAX($I254,AH$3),MIN($J254,AH$2),Data!$K$4:$K$203)/$K254)))</f>
        <v>0</v>
      </c>
      <c r="AI254" s="170">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70"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4" t="str">
        <f>IF(EO254=1,IF(FH254&gt;0,FI254/FH254,AVERAGEIF($FF$4:$FF$503,EN254,$C$4:$C$503)),"")</f>
        <v/>
      </c>
      <c r="EV254" s="169">
        <f>IF(ISNUMBER(I254),I254,2958465)</f>
        <v>2958465.0</v>
      </c>
      <c r="EW254" s="169" t="str">
        <f>IF(EO254=1,SUMPRODUCT(MIN(($EN$4:$EN$503=EN254)*$EV$4:$EV$503+($EN$4:$EN$503&lt;&gt;EN254)*2958465)),"")</f>
        <v/>
      </c>
      <c r="EX254" s="169">
        <f>IF(AND(D254=1,ISNUMBER(INDEX(Charge!$F:$F,ROW()))),INDEX(Charge!$F:$F,ROW()),0)</f>
        <v>0.0</v>
      </c>
      <c r="EY254" s="169"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c r="FF254" t="str">
        <f>IF(B254=1,LEFT(SUBSTITUTE(SUBSTITUTE(SUBSTITUTE(TRIM(SUBSTITUTE(INDEX(Charge!$B:$B,ROW()),CHAR(160)," "))&amp;" | "&amp;TRIM(SUBSTITUTE(INDEX(Charge!$C:$C,ROW()),CHAR(160)," "))&amp;" | "&amp;TRIM(SUBSTITUTE(INDEX(Charge!$D:$D,ROW()),CHAR(160)," ")),"~","-"),"*","+"),"?","!"),240),"")</f>
        <v/>
      </c>
      <c r="FG254">
        <f>IF(B254=1,MAX(0,N(INDEX(Charge!$M:$M,ROW()))),0)</f>
        <v>0</v>
      </c>
      <c r="FH254" s="170" t="str">
        <f>IF(EO254=1,ROUND(SUMIF($FF$4:$FF$503,EN254,$FG$4:$FG$503),2),"")</f>
        <v/>
      </c>
      <c r="FI254" s="170" t="str">
        <f>IF(EO254=1,ROUND(SUMPRODUCT(($FF$4:$FF$503=EN254)*$FG$4:$FG$503*$C$4:$C$503),2),"")</f>
        <v/>
      </c>
      <c r="FJ254" s="170" t="str">
        <f>IF(EO254=1,MAX(0,ROUND(FH254-FI254,2)),"")</f>
        <v/>
      </c>
      <c r="FK254" s="174" t="str">
        <f>IF(EO254=1,IF(OR(EW254&gt;=2958465,EY254=0,EY254&lt;=EW254),"",IF(TODAY()&lt;=EW254,0,IF(TODAY()&gt;EY254,1,IFERROR(NETWORKDAYS(EW254,TODAY()-1,Data!$K$4:$K$203)/NETWORKDAYS(EW254,EY254,Data!$K$4:$K$203),"")))),"")</f>
        <v/>
      </c>
      <c r="FL254" t="str">
        <f>IF(EO254=1,IF(AND(EY254&gt;0,EY254&lt;TODAY(),ROUND(EU254,4)&lt;1),2,IF(FK254="",0,IF(ROUND(EU254-FK254,4)&lt;-0.15,1,0))),"")</f>
        <v/>
      </c>
      <c r="FM254">
        <f>IF(OR(FA254="",COUNTIF($FA$4:FA253,FA254)&gt;0),0,MAX(0,IF(FB254="Interne",IF(ISNUMBER(INDEX(Data!$F:$F,254)),INDEX(Data!$F:$F,254),p_HeuresETP),IF(ISNUMBER(INDEX(Data!$I:$I,254-$CD$23)),INDEX(Data!$I:$I,254-$CD$23),p_HeuresETP))-IF(FB254="Interne",IF(ISNUMBER(INDEX(Data!$G:$G,254)),INDEX(Data!$G:$G,254),p_ChargeFixe),IF(ISNUMBER(INDEX(Data!$J:$J,254-$CD$23)),INDEX(Data!$J:$J,254-$CD$23),p_ChargeFixe))))</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9" t="str">
        <f>IF(AND(D255=1,ISNUMBER(INDEX(Charge!$N:$N,ROW()))),INDEX(Charge!$N:$N,ROW()),"")</f>
        <v/>
      </c>
      <c r="J255" s="169"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70">
        <f>IF(OR($I255="",$E255=0),0,IF(OR($J255&lt;W$3,$I255&gt;W$2),0,IF($K255=0,IF(AND($I255&gt;=W$3,$I255&lt;=W$2),$E255,0),$E255*NETWORKDAYS(MAX($I255,W$3),MIN($J255,W$2),Data!$K$4:$K$203)/$K255)))</f>
        <v>0</v>
      </c>
      <c r="X255" s="170">
        <f>IF(OR($I255="",$E255=0),0,IF(OR($J255&lt;X$3,$I255&gt;X$2),0,IF($K255=0,IF(AND($I255&gt;=X$3,$I255&lt;=X$2),$E255,0),$E255*NETWORKDAYS(MAX($I255,X$3),MIN($J255,X$2),Data!$K$4:$K$203)/$K255)))</f>
        <v>0</v>
      </c>
      <c r="Y255" s="170">
        <f>IF(OR($I255="",$E255=0),0,IF(OR($J255&lt;Y$3,$I255&gt;Y$2),0,IF($K255=0,IF(AND($I255&gt;=Y$3,$I255&lt;=Y$2),$E255,0),$E255*NETWORKDAYS(MAX($I255,Y$3),MIN($J255,Y$2),Data!$K$4:$K$203)/$K255)))</f>
        <v>0</v>
      </c>
      <c r="Z255" s="170">
        <f>IF(OR($I255="",$E255=0),0,IF(OR($J255&lt;Z$3,$I255&gt;Z$2),0,IF($K255=0,IF(AND($I255&gt;=Z$3,$I255&lt;=Z$2),$E255,0),$E255*NETWORKDAYS(MAX($I255,Z$3),MIN($J255,Z$2),Data!$K$4:$K$203)/$K255)))</f>
        <v>0</v>
      </c>
      <c r="AA255" s="170">
        <f>IF(OR($I255="",$E255=0),0,IF(OR($J255&lt;AA$3,$I255&gt;AA$2),0,IF($K255=0,IF(AND($I255&gt;=AA$3,$I255&lt;=AA$2),$E255,0),$E255*NETWORKDAYS(MAX($I255,AA$3),MIN($J255,AA$2),Data!$K$4:$K$203)/$K255)))</f>
        <v>0</v>
      </c>
      <c r="AB255" s="170">
        <f>IF(OR($I255="",$E255=0),0,IF(OR($J255&lt;AB$3,$I255&gt;AB$2),0,IF($K255=0,IF(AND($I255&gt;=AB$3,$I255&lt;=AB$2),$E255,0),$E255*NETWORKDAYS(MAX($I255,AB$3),MIN($J255,AB$2),Data!$K$4:$K$203)/$K255)))</f>
        <v>0</v>
      </c>
      <c r="AC255" s="170">
        <f>IF(OR($I255="",$E255=0),0,IF(OR($J255&lt;AC$3,$I255&gt;AC$2),0,IF($K255=0,IF(AND($I255&gt;=AC$3,$I255&lt;=AC$2),$E255,0),$E255*NETWORKDAYS(MAX($I255,AC$3),MIN($J255,AC$2),Data!$K$4:$K$203)/$K255)))</f>
        <v>0</v>
      </c>
      <c r="AD255" s="170">
        <f>IF(OR($I255="",$E255=0),0,IF(OR($J255&lt;AD$3,$I255&gt;AD$2),0,IF($K255=0,IF(AND($I255&gt;=AD$3,$I255&lt;=AD$2),$E255,0),$E255*NETWORKDAYS(MAX($I255,AD$3),MIN($J255,AD$2),Data!$K$4:$K$203)/$K255)))</f>
        <v>0</v>
      </c>
      <c r="AE255" s="170">
        <f>IF(OR($I255="",$E255=0),0,IF(OR($J255&lt;AE$3,$I255&gt;AE$2),0,IF($K255=0,IF(AND($I255&gt;=AE$3,$I255&lt;=AE$2),$E255,0),$E255*NETWORKDAYS(MAX($I255,AE$3),MIN($J255,AE$2),Data!$K$4:$K$203)/$K255)))</f>
        <v>0</v>
      </c>
      <c r="AF255" s="170">
        <f>IF(OR($I255="",$E255=0),0,IF(OR($J255&lt;AF$3,$I255&gt;AF$2),0,IF($K255=0,IF(AND($I255&gt;=AF$3,$I255&lt;=AF$2),$E255,0),$E255*NETWORKDAYS(MAX($I255,AF$3),MIN($J255,AF$2),Data!$K$4:$K$203)/$K255)))</f>
        <v>0</v>
      </c>
      <c r="AG255" s="170">
        <f>IF(OR($I255="",$E255=0),0,IF(OR($J255&lt;AG$3,$I255&gt;AG$2),0,IF($K255=0,IF(AND($I255&gt;=AG$3,$I255&lt;=AG$2),$E255,0),$E255*NETWORKDAYS(MAX($I255,AG$3),MIN($J255,AG$2),Data!$K$4:$K$203)/$K255)))</f>
        <v>0</v>
      </c>
      <c r="AH255" s="170">
        <f>IF(OR($I255="",$E255=0),0,IF(OR($J255&lt;AH$3,$I255&gt;AH$2),0,IF($K255=0,IF(AND($I255&gt;=AH$3,$I255&lt;=AH$2),$E255,0),$E255*NETWORKDAYS(MAX($I255,AH$3),MIN($J255,AH$2),Data!$K$4:$K$203)/$K255)))</f>
        <v>0</v>
      </c>
      <c r="AI255" s="170">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70"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4" t="str">
        <f>IF(EO255=1,IF(FH255&gt;0,FI255/FH255,AVERAGEIF($FF$4:$FF$503,EN255,$C$4:$C$503)),"")</f>
        <v/>
      </c>
      <c r="EV255" s="169">
        <f>IF(ISNUMBER(I255),I255,2958465)</f>
        <v>2958465.0</v>
      </c>
      <c r="EW255" s="169" t="str">
        <f>IF(EO255=1,SUMPRODUCT(MIN(($EN$4:$EN$503=EN255)*$EV$4:$EV$503+($EN$4:$EN$503&lt;&gt;EN255)*2958465)),"")</f>
        <v/>
      </c>
      <c r="EX255" s="169">
        <f>IF(AND(D255=1,ISNUMBER(INDEX(Charge!$F:$F,ROW()))),INDEX(Charge!$F:$F,ROW()),0)</f>
        <v>0.0</v>
      </c>
      <c r="EY255" s="169"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c r="FF255" t="str">
        <f>IF(B255=1,LEFT(SUBSTITUTE(SUBSTITUTE(SUBSTITUTE(TRIM(SUBSTITUTE(INDEX(Charge!$B:$B,ROW()),CHAR(160)," "))&amp;" | "&amp;TRIM(SUBSTITUTE(INDEX(Charge!$C:$C,ROW()),CHAR(160)," "))&amp;" | "&amp;TRIM(SUBSTITUTE(INDEX(Charge!$D:$D,ROW()),CHAR(160)," ")),"~","-"),"*","+"),"?","!"),240),"")</f>
        <v/>
      </c>
      <c r="FG255">
        <f>IF(B255=1,MAX(0,N(INDEX(Charge!$M:$M,ROW()))),0)</f>
        <v>0</v>
      </c>
      <c r="FH255" s="170" t="str">
        <f>IF(EO255=1,ROUND(SUMIF($FF$4:$FF$503,EN255,$FG$4:$FG$503),2),"")</f>
        <v/>
      </c>
      <c r="FI255" s="170" t="str">
        <f>IF(EO255=1,ROUND(SUMPRODUCT(($FF$4:$FF$503=EN255)*$FG$4:$FG$503*$C$4:$C$503),2),"")</f>
        <v/>
      </c>
      <c r="FJ255" s="170" t="str">
        <f>IF(EO255=1,MAX(0,ROUND(FH255-FI255,2)),"")</f>
        <v/>
      </c>
      <c r="FK255" s="174" t="str">
        <f>IF(EO255=1,IF(OR(EW255&gt;=2958465,EY255=0,EY255&lt;=EW255),"",IF(TODAY()&lt;=EW255,0,IF(TODAY()&gt;EY255,1,IFERROR(NETWORKDAYS(EW255,TODAY()-1,Data!$K$4:$K$203)/NETWORKDAYS(EW255,EY255,Data!$K$4:$K$203),"")))),"")</f>
        <v/>
      </c>
      <c r="FL255" t="str">
        <f>IF(EO255=1,IF(AND(EY255&gt;0,EY255&lt;TODAY(),ROUND(EU255,4)&lt;1),2,IF(FK255="",0,IF(ROUND(EU255-FK255,4)&lt;-0.15,1,0))),"")</f>
        <v/>
      </c>
      <c r="FM255">
        <f>IF(OR(FA255="",COUNTIF($FA$4:FA254,FA255)&gt;0),0,MAX(0,IF(FB255="Interne",IF(ISNUMBER(INDEX(Data!$F:$F,255)),INDEX(Data!$F:$F,255),p_HeuresETP),IF(ISNUMBER(INDEX(Data!$I:$I,255-$CD$23)),INDEX(Data!$I:$I,255-$CD$23),p_HeuresETP))-IF(FB255="Interne",IF(ISNUMBER(INDEX(Data!$G:$G,255)),INDEX(Data!$G:$G,255),p_ChargeFixe),IF(ISNUMBER(INDEX(Data!$J:$J,255-$CD$23)),INDEX(Data!$J:$J,255-$CD$23),p_ChargeFixe))))</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9" t="str">
        <f>IF(AND(D256=1,ISNUMBER(INDEX(Charge!$N:$N,ROW()))),INDEX(Charge!$N:$N,ROW()),"")</f>
        <v/>
      </c>
      <c r="J256" s="169"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70">
        <f>IF(OR($I256="",$E256=0),0,IF(OR($J256&lt;W$3,$I256&gt;W$2),0,IF($K256=0,IF(AND($I256&gt;=W$3,$I256&lt;=W$2),$E256,0),$E256*NETWORKDAYS(MAX($I256,W$3),MIN($J256,W$2),Data!$K$4:$K$203)/$K256)))</f>
        <v>0</v>
      </c>
      <c r="X256" s="170">
        <f>IF(OR($I256="",$E256=0),0,IF(OR($J256&lt;X$3,$I256&gt;X$2),0,IF($K256=0,IF(AND($I256&gt;=X$3,$I256&lt;=X$2),$E256,0),$E256*NETWORKDAYS(MAX($I256,X$3),MIN($J256,X$2),Data!$K$4:$K$203)/$K256)))</f>
        <v>0</v>
      </c>
      <c r="Y256" s="170">
        <f>IF(OR($I256="",$E256=0),0,IF(OR($J256&lt;Y$3,$I256&gt;Y$2),0,IF($K256=0,IF(AND($I256&gt;=Y$3,$I256&lt;=Y$2),$E256,0),$E256*NETWORKDAYS(MAX($I256,Y$3),MIN($J256,Y$2),Data!$K$4:$K$203)/$K256)))</f>
        <v>0</v>
      </c>
      <c r="Z256" s="170">
        <f>IF(OR($I256="",$E256=0),0,IF(OR($J256&lt;Z$3,$I256&gt;Z$2),0,IF($K256=0,IF(AND($I256&gt;=Z$3,$I256&lt;=Z$2),$E256,0),$E256*NETWORKDAYS(MAX($I256,Z$3),MIN($J256,Z$2),Data!$K$4:$K$203)/$K256)))</f>
        <v>0</v>
      </c>
      <c r="AA256" s="170">
        <f>IF(OR($I256="",$E256=0),0,IF(OR($J256&lt;AA$3,$I256&gt;AA$2),0,IF($K256=0,IF(AND($I256&gt;=AA$3,$I256&lt;=AA$2),$E256,0),$E256*NETWORKDAYS(MAX($I256,AA$3),MIN($J256,AA$2),Data!$K$4:$K$203)/$K256)))</f>
        <v>0</v>
      </c>
      <c r="AB256" s="170">
        <f>IF(OR($I256="",$E256=0),0,IF(OR($J256&lt;AB$3,$I256&gt;AB$2),0,IF($K256=0,IF(AND($I256&gt;=AB$3,$I256&lt;=AB$2),$E256,0),$E256*NETWORKDAYS(MAX($I256,AB$3),MIN($J256,AB$2),Data!$K$4:$K$203)/$K256)))</f>
        <v>0</v>
      </c>
      <c r="AC256" s="170">
        <f>IF(OR($I256="",$E256=0),0,IF(OR($J256&lt;AC$3,$I256&gt;AC$2),0,IF($K256=0,IF(AND($I256&gt;=AC$3,$I256&lt;=AC$2),$E256,0),$E256*NETWORKDAYS(MAX($I256,AC$3),MIN($J256,AC$2),Data!$K$4:$K$203)/$K256)))</f>
        <v>0</v>
      </c>
      <c r="AD256" s="170">
        <f>IF(OR($I256="",$E256=0),0,IF(OR($J256&lt;AD$3,$I256&gt;AD$2),0,IF($K256=0,IF(AND($I256&gt;=AD$3,$I256&lt;=AD$2),$E256,0),$E256*NETWORKDAYS(MAX($I256,AD$3),MIN($J256,AD$2),Data!$K$4:$K$203)/$K256)))</f>
        <v>0</v>
      </c>
      <c r="AE256" s="170">
        <f>IF(OR($I256="",$E256=0),0,IF(OR($J256&lt;AE$3,$I256&gt;AE$2),0,IF($K256=0,IF(AND($I256&gt;=AE$3,$I256&lt;=AE$2),$E256,0),$E256*NETWORKDAYS(MAX($I256,AE$3),MIN($J256,AE$2),Data!$K$4:$K$203)/$K256)))</f>
        <v>0</v>
      </c>
      <c r="AF256" s="170">
        <f>IF(OR($I256="",$E256=0),0,IF(OR($J256&lt;AF$3,$I256&gt;AF$2),0,IF($K256=0,IF(AND($I256&gt;=AF$3,$I256&lt;=AF$2),$E256,0),$E256*NETWORKDAYS(MAX($I256,AF$3),MIN($J256,AF$2),Data!$K$4:$K$203)/$K256)))</f>
        <v>0</v>
      </c>
      <c r="AG256" s="170">
        <f>IF(OR($I256="",$E256=0),0,IF(OR($J256&lt;AG$3,$I256&gt;AG$2),0,IF($K256=0,IF(AND($I256&gt;=AG$3,$I256&lt;=AG$2),$E256,0),$E256*NETWORKDAYS(MAX($I256,AG$3),MIN($J256,AG$2),Data!$K$4:$K$203)/$K256)))</f>
        <v>0</v>
      </c>
      <c r="AH256" s="170">
        <f>IF(OR($I256="",$E256=0),0,IF(OR($J256&lt;AH$3,$I256&gt;AH$2),0,IF($K256=0,IF(AND($I256&gt;=AH$3,$I256&lt;=AH$2),$E256,0),$E256*NETWORKDAYS(MAX($I256,AH$3),MIN($J256,AH$2),Data!$K$4:$K$203)/$K256)))</f>
        <v>0</v>
      </c>
      <c r="AI256" s="170">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70"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4" t="str">
        <f>IF(EO256=1,IF(FH256&gt;0,FI256/FH256,AVERAGEIF($FF$4:$FF$503,EN256,$C$4:$C$503)),"")</f>
        <v/>
      </c>
      <c r="EV256" s="169">
        <f>IF(ISNUMBER(I256),I256,2958465)</f>
        <v>2958465.0</v>
      </c>
      <c r="EW256" s="169" t="str">
        <f>IF(EO256=1,SUMPRODUCT(MIN(($EN$4:$EN$503=EN256)*$EV$4:$EV$503+($EN$4:$EN$503&lt;&gt;EN256)*2958465)),"")</f>
        <v/>
      </c>
      <c r="EX256" s="169">
        <f>IF(AND(D256=1,ISNUMBER(INDEX(Charge!$F:$F,ROW()))),INDEX(Charge!$F:$F,ROW()),0)</f>
        <v>0.0</v>
      </c>
      <c r="EY256" s="169"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c r="FF256" t="str">
        <f>IF(B256=1,LEFT(SUBSTITUTE(SUBSTITUTE(SUBSTITUTE(TRIM(SUBSTITUTE(INDEX(Charge!$B:$B,ROW()),CHAR(160)," "))&amp;" | "&amp;TRIM(SUBSTITUTE(INDEX(Charge!$C:$C,ROW()),CHAR(160)," "))&amp;" | "&amp;TRIM(SUBSTITUTE(INDEX(Charge!$D:$D,ROW()),CHAR(160)," ")),"~","-"),"*","+"),"?","!"),240),"")</f>
        <v/>
      </c>
      <c r="FG256">
        <f>IF(B256=1,MAX(0,N(INDEX(Charge!$M:$M,ROW()))),0)</f>
        <v>0</v>
      </c>
      <c r="FH256" s="170" t="str">
        <f>IF(EO256=1,ROUND(SUMIF($FF$4:$FF$503,EN256,$FG$4:$FG$503),2),"")</f>
        <v/>
      </c>
      <c r="FI256" s="170" t="str">
        <f>IF(EO256=1,ROUND(SUMPRODUCT(($FF$4:$FF$503=EN256)*$FG$4:$FG$503*$C$4:$C$503),2),"")</f>
        <v/>
      </c>
      <c r="FJ256" s="170" t="str">
        <f>IF(EO256=1,MAX(0,ROUND(FH256-FI256,2)),"")</f>
        <v/>
      </c>
      <c r="FK256" s="174" t="str">
        <f>IF(EO256=1,IF(OR(EW256&gt;=2958465,EY256=0,EY256&lt;=EW256),"",IF(TODAY()&lt;=EW256,0,IF(TODAY()&gt;EY256,1,IFERROR(NETWORKDAYS(EW256,TODAY()-1,Data!$K$4:$K$203)/NETWORKDAYS(EW256,EY256,Data!$K$4:$K$203),"")))),"")</f>
        <v/>
      </c>
      <c r="FL256" t="str">
        <f>IF(EO256=1,IF(AND(EY256&gt;0,EY256&lt;TODAY(),ROUND(EU256,4)&lt;1),2,IF(FK256="",0,IF(ROUND(EU256-FK256,4)&lt;-0.15,1,0))),"")</f>
        <v/>
      </c>
      <c r="FM256">
        <f>IF(OR(FA256="",COUNTIF($FA$4:FA255,FA256)&gt;0),0,MAX(0,IF(FB256="Interne",IF(ISNUMBER(INDEX(Data!$F:$F,256)),INDEX(Data!$F:$F,256),p_HeuresETP),IF(ISNUMBER(INDEX(Data!$I:$I,256-$CD$23)),INDEX(Data!$I:$I,256-$CD$23),p_HeuresETP))-IF(FB256="Interne",IF(ISNUMBER(INDEX(Data!$G:$G,256)),INDEX(Data!$G:$G,256),p_ChargeFixe),IF(ISNUMBER(INDEX(Data!$J:$J,256-$CD$23)),INDEX(Data!$J:$J,256-$CD$23),p_ChargeFixe))))</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9" t="str">
        <f>IF(AND(D257=1,ISNUMBER(INDEX(Charge!$N:$N,ROW()))),INDEX(Charge!$N:$N,ROW()),"")</f>
        <v/>
      </c>
      <c r="J257" s="169"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70">
        <f>IF(OR($I257="",$E257=0),0,IF(OR($J257&lt;W$3,$I257&gt;W$2),0,IF($K257=0,IF(AND($I257&gt;=W$3,$I257&lt;=W$2),$E257,0),$E257*NETWORKDAYS(MAX($I257,W$3),MIN($J257,W$2),Data!$K$4:$K$203)/$K257)))</f>
        <v>0</v>
      </c>
      <c r="X257" s="170">
        <f>IF(OR($I257="",$E257=0),0,IF(OR($J257&lt;X$3,$I257&gt;X$2),0,IF($K257=0,IF(AND($I257&gt;=X$3,$I257&lt;=X$2),$E257,0),$E257*NETWORKDAYS(MAX($I257,X$3),MIN($J257,X$2),Data!$K$4:$K$203)/$K257)))</f>
        <v>0</v>
      </c>
      <c r="Y257" s="170">
        <f>IF(OR($I257="",$E257=0),0,IF(OR($J257&lt;Y$3,$I257&gt;Y$2),0,IF($K257=0,IF(AND($I257&gt;=Y$3,$I257&lt;=Y$2),$E257,0),$E257*NETWORKDAYS(MAX($I257,Y$3),MIN($J257,Y$2),Data!$K$4:$K$203)/$K257)))</f>
        <v>0</v>
      </c>
      <c r="Z257" s="170">
        <f>IF(OR($I257="",$E257=0),0,IF(OR($J257&lt;Z$3,$I257&gt;Z$2),0,IF($K257=0,IF(AND($I257&gt;=Z$3,$I257&lt;=Z$2),$E257,0),$E257*NETWORKDAYS(MAX($I257,Z$3),MIN($J257,Z$2),Data!$K$4:$K$203)/$K257)))</f>
        <v>0</v>
      </c>
      <c r="AA257" s="170">
        <f>IF(OR($I257="",$E257=0),0,IF(OR($J257&lt;AA$3,$I257&gt;AA$2),0,IF($K257=0,IF(AND($I257&gt;=AA$3,$I257&lt;=AA$2),$E257,0),$E257*NETWORKDAYS(MAX($I257,AA$3),MIN($J257,AA$2),Data!$K$4:$K$203)/$K257)))</f>
        <v>0</v>
      </c>
      <c r="AB257" s="170">
        <f>IF(OR($I257="",$E257=0),0,IF(OR($J257&lt;AB$3,$I257&gt;AB$2),0,IF($K257=0,IF(AND($I257&gt;=AB$3,$I257&lt;=AB$2),$E257,0),$E257*NETWORKDAYS(MAX($I257,AB$3),MIN($J257,AB$2),Data!$K$4:$K$203)/$K257)))</f>
        <v>0</v>
      </c>
      <c r="AC257" s="170">
        <f>IF(OR($I257="",$E257=0),0,IF(OR($J257&lt;AC$3,$I257&gt;AC$2),0,IF($K257=0,IF(AND($I257&gt;=AC$3,$I257&lt;=AC$2),$E257,0),$E257*NETWORKDAYS(MAX($I257,AC$3),MIN($J257,AC$2),Data!$K$4:$K$203)/$K257)))</f>
        <v>0</v>
      </c>
      <c r="AD257" s="170">
        <f>IF(OR($I257="",$E257=0),0,IF(OR($J257&lt;AD$3,$I257&gt;AD$2),0,IF($K257=0,IF(AND($I257&gt;=AD$3,$I257&lt;=AD$2),$E257,0),$E257*NETWORKDAYS(MAX($I257,AD$3),MIN($J257,AD$2),Data!$K$4:$K$203)/$K257)))</f>
        <v>0</v>
      </c>
      <c r="AE257" s="170">
        <f>IF(OR($I257="",$E257=0),0,IF(OR($J257&lt;AE$3,$I257&gt;AE$2),0,IF($K257=0,IF(AND($I257&gt;=AE$3,$I257&lt;=AE$2),$E257,0),$E257*NETWORKDAYS(MAX($I257,AE$3),MIN($J257,AE$2),Data!$K$4:$K$203)/$K257)))</f>
        <v>0</v>
      </c>
      <c r="AF257" s="170">
        <f>IF(OR($I257="",$E257=0),0,IF(OR($J257&lt;AF$3,$I257&gt;AF$2),0,IF($K257=0,IF(AND($I257&gt;=AF$3,$I257&lt;=AF$2),$E257,0),$E257*NETWORKDAYS(MAX($I257,AF$3),MIN($J257,AF$2),Data!$K$4:$K$203)/$K257)))</f>
        <v>0</v>
      </c>
      <c r="AG257" s="170">
        <f>IF(OR($I257="",$E257=0),0,IF(OR($J257&lt;AG$3,$I257&gt;AG$2),0,IF($K257=0,IF(AND($I257&gt;=AG$3,$I257&lt;=AG$2),$E257,0),$E257*NETWORKDAYS(MAX($I257,AG$3),MIN($J257,AG$2),Data!$K$4:$K$203)/$K257)))</f>
        <v>0</v>
      </c>
      <c r="AH257" s="170">
        <f>IF(OR($I257="",$E257=0),0,IF(OR($J257&lt;AH$3,$I257&gt;AH$2),0,IF($K257=0,IF(AND($I257&gt;=AH$3,$I257&lt;=AH$2),$E257,0),$E257*NETWORKDAYS(MAX($I257,AH$3),MIN($J257,AH$2),Data!$K$4:$K$203)/$K257)))</f>
        <v>0</v>
      </c>
      <c r="AI257" s="170">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70"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4" t="str">
        <f>IF(EO257=1,IF(FH257&gt;0,FI257/FH257,AVERAGEIF($FF$4:$FF$503,EN257,$C$4:$C$503)),"")</f>
        <v/>
      </c>
      <c r="EV257" s="169">
        <f>IF(ISNUMBER(I257),I257,2958465)</f>
        <v>2958465.0</v>
      </c>
      <c r="EW257" s="169" t="str">
        <f>IF(EO257=1,SUMPRODUCT(MIN(($EN$4:$EN$503=EN257)*$EV$4:$EV$503+($EN$4:$EN$503&lt;&gt;EN257)*2958465)),"")</f>
        <v/>
      </c>
      <c r="EX257" s="169">
        <f>IF(AND(D257=1,ISNUMBER(INDEX(Charge!$F:$F,ROW()))),INDEX(Charge!$F:$F,ROW()),0)</f>
        <v>0.0</v>
      </c>
      <c r="EY257" s="169"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c r="FF257" t="str">
        <f>IF(B257=1,LEFT(SUBSTITUTE(SUBSTITUTE(SUBSTITUTE(TRIM(SUBSTITUTE(INDEX(Charge!$B:$B,ROW()),CHAR(160)," "))&amp;" | "&amp;TRIM(SUBSTITUTE(INDEX(Charge!$C:$C,ROW()),CHAR(160)," "))&amp;" | "&amp;TRIM(SUBSTITUTE(INDEX(Charge!$D:$D,ROW()),CHAR(160)," ")),"~","-"),"*","+"),"?","!"),240),"")</f>
        <v/>
      </c>
      <c r="FG257">
        <f>IF(B257=1,MAX(0,N(INDEX(Charge!$M:$M,ROW()))),0)</f>
        <v>0</v>
      </c>
      <c r="FH257" s="170" t="str">
        <f>IF(EO257=1,ROUND(SUMIF($FF$4:$FF$503,EN257,$FG$4:$FG$503),2),"")</f>
        <v/>
      </c>
      <c r="FI257" s="170" t="str">
        <f>IF(EO257=1,ROUND(SUMPRODUCT(($FF$4:$FF$503=EN257)*$FG$4:$FG$503*$C$4:$C$503),2),"")</f>
        <v/>
      </c>
      <c r="FJ257" s="170" t="str">
        <f>IF(EO257=1,MAX(0,ROUND(FH257-FI257,2)),"")</f>
        <v/>
      </c>
      <c r="FK257" s="174" t="str">
        <f>IF(EO257=1,IF(OR(EW257&gt;=2958465,EY257=0,EY257&lt;=EW257),"",IF(TODAY()&lt;=EW257,0,IF(TODAY()&gt;EY257,1,IFERROR(NETWORKDAYS(EW257,TODAY()-1,Data!$K$4:$K$203)/NETWORKDAYS(EW257,EY257,Data!$K$4:$K$203),"")))),"")</f>
        <v/>
      </c>
      <c r="FL257" t="str">
        <f>IF(EO257=1,IF(AND(EY257&gt;0,EY257&lt;TODAY(),ROUND(EU257,4)&lt;1),2,IF(FK257="",0,IF(ROUND(EU257-FK257,4)&lt;-0.15,1,0))),"")</f>
        <v/>
      </c>
      <c r="FM257">
        <f>IF(OR(FA257="",COUNTIF($FA$4:FA256,FA257)&gt;0),0,MAX(0,IF(FB257="Interne",IF(ISNUMBER(INDEX(Data!$F:$F,257)),INDEX(Data!$F:$F,257),p_HeuresETP),IF(ISNUMBER(INDEX(Data!$I:$I,257-$CD$23)),INDEX(Data!$I:$I,257-$CD$23),p_HeuresETP))-IF(FB257="Interne",IF(ISNUMBER(INDEX(Data!$G:$G,257)),INDEX(Data!$G:$G,257),p_ChargeFixe),IF(ISNUMBER(INDEX(Data!$J:$J,257-$CD$23)),INDEX(Data!$J:$J,257-$CD$23),p_ChargeFixe))))</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9" t="str">
        <f>IF(AND(D258=1,ISNUMBER(INDEX(Charge!$N:$N,ROW()))),INDEX(Charge!$N:$N,ROW()),"")</f>
        <v/>
      </c>
      <c r="J258" s="169"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70">
        <f>IF(OR($I258="",$E258=0),0,IF(OR($J258&lt;W$3,$I258&gt;W$2),0,IF($K258=0,IF(AND($I258&gt;=W$3,$I258&lt;=W$2),$E258,0),$E258*NETWORKDAYS(MAX($I258,W$3),MIN($J258,W$2),Data!$K$4:$K$203)/$K258)))</f>
        <v>0</v>
      </c>
      <c r="X258" s="170">
        <f>IF(OR($I258="",$E258=0),0,IF(OR($J258&lt;X$3,$I258&gt;X$2),0,IF($K258=0,IF(AND($I258&gt;=X$3,$I258&lt;=X$2),$E258,0),$E258*NETWORKDAYS(MAX($I258,X$3),MIN($J258,X$2),Data!$K$4:$K$203)/$K258)))</f>
        <v>0</v>
      </c>
      <c r="Y258" s="170">
        <f>IF(OR($I258="",$E258=0),0,IF(OR($J258&lt;Y$3,$I258&gt;Y$2),0,IF($K258=0,IF(AND($I258&gt;=Y$3,$I258&lt;=Y$2),$E258,0),$E258*NETWORKDAYS(MAX($I258,Y$3),MIN($J258,Y$2),Data!$K$4:$K$203)/$K258)))</f>
        <v>0</v>
      </c>
      <c r="Z258" s="170">
        <f>IF(OR($I258="",$E258=0),0,IF(OR($J258&lt;Z$3,$I258&gt;Z$2),0,IF($K258=0,IF(AND($I258&gt;=Z$3,$I258&lt;=Z$2),$E258,0),$E258*NETWORKDAYS(MAX($I258,Z$3),MIN($J258,Z$2),Data!$K$4:$K$203)/$K258)))</f>
        <v>0</v>
      </c>
      <c r="AA258" s="170">
        <f>IF(OR($I258="",$E258=0),0,IF(OR($J258&lt;AA$3,$I258&gt;AA$2),0,IF($K258=0,IF(AND($I258&gt;=AA$3,$I258&lt;=AA$2),$E258,0),$E258*NETWORKDAYS(MAX($I258,AA$3),MIN($J258,AA$2),Data!$K$4:$K$203)/$K258)))</f>
        <v>0</v>
      </c>
      <c r="AB258" s="170">
        <f>IF(OR($I258="",$E258=0),0,IF(OR($J258&lt;AB$3,$I258&gt;AB$2),0,IF($K258=0,IF(AND($I258&gt;=AB$3,$I258&lt;=AB$2),$E258,0),$E258*NETWORKDAYS(MAX($I258,AB$3),MIN($J258,AB$2),Data!$K$4:$K$203)/$K258)))</f>
        <v>0</v>
      </c>
      <c r="AC258" s="170">
        <f>IF(OR($I258="",$E258=0),0,IF(OR($J258&lt;AC$3,$I258&gt;AC$2),0,IF($K258=0,IF(AND($I258&gt;=AC$3,$I258&lt;=AC$2),$E258,0),$E258*NETWORKDAYS(MAX($I258,AC$3),MIN($J258,AC$2),Data!$K$4:$K$203)/$K258)))</f>
        <v>0</v>
      </c>
      <c r="AD258" s="170">
        <f>IF(OR($I258="",$E258=0),0,IF(OR($J258&lt;AD$3,$I258&gt;AD$2),0,IF($K258=0,IF(AND($I258&gt;=AD$3,$I258&lt;=AD$2),$E258,0),$E258*NETWORKDAYS(MAX($I258,AD$3),MIN($J258,AD$2),Data!$K$4:$K$203)/$K258)))</f>
        <v>0</v>
      </c>
      <c r="AE258" s="170">
        <f>IF(OR($I258="",$E258=0),0,IF(OR($J258&lt;AE$3,$I258&gt;AE$2),0,IF($K258=0,IF(AND($I258&gt;=AE$3,$I258&lt;=AE$2),$E258,0),$E258*NETWORKDAYS(MAX($I258,AE$3),MIN($J258,AE$2),Data!$K$4:$K$203)/$K258)))</f>
        <v>0</v>
      </c>
      <c r="AF258" s="170">
        <f>IF(OR($I258="",$E258=0),0,IF(OR($J258&lt;AF$3,$I258&gt;AF$2),0,IF($K258=0,IF(AND($I258&gt;=AF$3,$I258&lt;=AF$2),$E258,0),$E258*NETWORKDAYS(MAX($I258,AF$3),MIN($J258,AF$2),Data!$K$4:$K$203)/$K258)))</f>
        <v>0</v>
      </c>
      <c r="AG258" s="170">
        <f>IF(OR($I258="",$E258=0),0,IF(OR($J258&lt;AG$3,$I258&gt;AG$2),0,IF($K258=0,IF(AND($I258&gt;=AG$3,$I258&lt;=AG$2),$E258,0),$E258*NETWORKDAYS(MAX($I258,AG$3),MIN($J258,AG$2),Data!$K$4:$K$203)/$K258)))</f>
        <v>0</v>
      </c>
      <c r="AH258" s="170">
        <f>IF(OR($I258="",$E258=0),0,IF(OR($J258&lt;AH$3,$I258&gt;AH$2),0,IF($K258=0,IF(AND($I258&gt;=AH$3,$I258&lt;=AH$2),$E258,0),$E258*NETWORKDAYS(MAX($I258,AH$3),MIN($J258,AH$2),Data!$K$4:$K$203)/$K258)))</f>
        <v>0</v>
      </c>
      <c r="AI258" s="170">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70"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4" t="str">
        <f>IF(EO258=1,IF(FH258&gt;0,FI258/FH258,AVERAGEIF($FF$4:$FF$503,EN258,$C$4:$C$503)),"")</f>
        <v/>
      </c>
      <c r="EV258" s="169">
        <f>IF(ISNUMBER(I258),I258,2958465)</f>
        <v>2958465.0</v>
      </c>
      <c r="EW258" s="169" t="str">
        <f>IF(EO258=1,SUMPRODUCT(MIN(($EN$4:$EN$503=EN258)*$EV$4:$EV$503+($EN$4:$EN$503&lt;&gt;EN258)*2958465)),"")</f>
        <v/>
      </c>
      <c r="EX258" s="169">
        <f>IF(AND(D258=1,ISNUMBER(INDEX(Charge!$F:$F,ROW()))),INDEX(Charge!$F:$F,ROW()),0)</f>
        <v>0.0</v>
      </c>
      <c r="EY258" s="169"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c r="FF258" t="str">
        <f>IF(B258=1,LEFT(SUBSTITUTE(SUBSTITUTE(SUBSTITUTE(TRIM(SUBSTITUTE(INDEX(Charge!$B:$B,ROW()),CHAR(160)," "))&amp;" | "&amp;TRIM(SUBSTITUTE(INDEX(Charge!$C:$C,ROW()),CHAR(160)," "))&amp;" | "&amp;TRIM(SUBSTITUTE(INDEX(Charge!$D:$D,ROW()),CHAR(160)," ")),"~","-"),"*","+"),"?","!"),240),"")</f>
        <v/>
      </c>
      <c r="FG258">
        <f>IF(B258=1,MAX(0,N(INDEX(Charge!$M:$M,ROW()))),0)</f>
        <v>0</v>
      </c>
      <c r="FH258" s="170" t="str">
        <f>IF(EO258=1,ROUND(SUMIF($FF$4:$FF$503,EN258,$FG$4:$FG$503),2),"")</f>
        <v/>
      </c>
      <c r="FI258" s="170" t="str">
        <f>IF(EO258=1,ROUND(SUMPRODUCT(($FF$4:$FF$503=EN258)*$FG$4:$FG$503*$C$4:$C$503),2),"")</f>
        <v/>
      </c>
      <c r="FJ258" s="170" t="str">
        <f>IF(EO258=1,MAX(0,ROUND(FH258-FI258,2)),"")</f>
        <v/>
      </c>
      <c r="FK258" s="174" t="str">
        <f>IF(EO258=1,IF(OR(EW258&gt;=2958465,EY258=0,EY258&lt;=EW258),"",IF(TODAY()&lt;=EW258,0,IF(TODAY()&gt;EY258,1,IFERROR(NETWORKDAYS(EW258,TODAY()-1,Data!$K$4:$K$203)/NETWORKDAYS(EW258,EY258,Data!$K$4:$K$203),"")))),"")</f>
        <v/>
      </c>
      <c r="FL258" t="str">
        <f>IF(EO258=1,IF(AND(EY258&gt;0,EY258&lt;TODAY(),ROUND(EU258,4)&lt;1),2,IF(FK258="",0,IF(ROUND(EU258-FK258,4)&lt;-0.15,1,0))),"")</f>
        <v/>
      </c>
      <c r="FM258">
        <f>IF(OR(FA258="",COUNTIF($FA$4:FA257,FA258)&gt;0),0,MAX(0,IF(FB258="Interne",IF(ISNUMBER(INDEX(Data!$F:$F,258)),INDEX(Data!$F:$F,258),p_HeuresETP),IF(ISNUMBER(INDEX(Data!$I:$I,258-$CD$23)),INDEX(Data!$I:$I,258-$CD$23),p_HeuresETP))-IF(FB258="Interne",IF(ISNUMBER(INDEX(Data!$G:$G,258)),INDEX(Data!$G:$G,258),p_ChargeFixe),IF(ISNUMBER(INDEX(Data!$J:$J,258-$CD$23)),INDEX(Data!$J:$J,258-$CD$23),p_ChargeFixe))))</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9" t="str">
        <f>IF(AND(D259=1,ISNUMBER(INDEX(Charge!$N:$N,ROW()))),INDEX(Charge!$N:$N,ROW()),"")</f>
        <v/>
      </c>
      <c r="J259" s="169"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70">
        <f>IF(OR($I259="",$E259=0),0,IF(OR($J259&lt;W$3,$I259&gt;W$2),0,IF($K259=0,IF(AND($I259&gt;=W$3,$I259&lt;=W$2),$E259,0),$E259*NETWORKDAYS(MAX($I259,W$3),MIN($J259,W$2),Data!$K$4:$K$203)/$K259)))</f>
        <v>0</v>
      </c>
      <c r="X259" s="170">
        <f>IF(OR($I259="",$E259=0),0,IF(OR($J259&lt;X$3,$I259&gt;X$2),0,IF($K259=0,IF(AND($I259&gt;=X$3,$I259&lt;=X$2),$E259,0),$E259*NETWORKDAYS(MAX($I259,X$3),MIN($J259,X$2),Data!$K$4:$K$203)/$K259)))</f>
        <v>0</v>
      </c>
      <c r="Y259" s="170">
        <f>IF(OR($I259="",$E259=0),0,IF(OR($J259&lt;Y$3,$I259&gt;Y$2),0,IF($K259=0,IF(AND($I259&gt;=Y$3,$I259&lt;=Y$2),$E259,0),$E259*NETWORKDAYS(MAX($I259,Y$3),MIN($J259,Y$2),Data!$K$4:$K$203)/$K259)))</f>
        <v>0</v>
      </c>
      <c r="Z259" s="170">
        <f>IF(OR($I259="",$E259=0),0,IF(OR($J259&lt;Z$3,$I259&gt;Z$2),0,IF($K259=0,IF(AND($I259&gt;=Z$3,$I259&lt;=Z$2),$E259,0),$E259*NETWORKDAYS(MAX($I259,Z$3),MIN($J259,Z$2),Data!$K$4:$K$203)/$K259)))</f>
        <v>0</v>
      </c>
      <c r="AA259" s="170">
        <f>IF(OR($I259="",$E259=0),0,IF(OR($J259&lt;AA$3,$I259&gt;AA$2),0,IF($K259=0,IF(AND($I259&gt;=AA$3,$I259&lt;=AA$2),$E259,0),$E259*NETWORKDAYS(MAX($I259,AA$3),MIN($J259,AA$2),Data!$K$4:$K$203)/$K259)))</f>
        <v>0</v>
      </c>
      <c r="AB259" s="170">
        <f>IF(OR($I259="",$E259=0),0,IF(OR($J259&lt;AB$3,$I259&gt;AB$2),0,IF($K259=0,IF(AND($I259&gt;=AB$3,$I259&lt;=AB$2),$E259,0),$E259*NETWORKDAYS(MAX($I259,AB$3),MIN($J259,AB$2),Data!$K$4:$K$203)/$K259)))</f>
        <v>0</v>
      </c>
      <c r="AC259" s="170">
        <f>IF(OR($I259="",$E259=0),0,IF(OR($J259&lt;AC$3,$I259&gt;AC$2),0,IF($K259=0,IF(AND($I259&gt;=AC$3,$I259&lt;=AC$2),$E259,0),$E259*NETWORKDAYS(MAX($I259,AC$3),MIN($J259,AC$2),Data!$K$4:$K$203)/$K259)))</f>
        <v>0</v>
      </c>
      <c r="AD259" s="170">
        <f>IF(OR($I259="",$E259=0),0,IF(OR($J259&lt;AD$3,$I259&gt;AD$2),0,IF($K259=0,IF(AND($I259&gt;=AD$3,$I259&lt;=AD$2),$E259,0),$E259*NETWORKDAYS(MAX($I259,AD$3),MIN($J259,AD$2),Data!$K$4:$K$203)/$K259)))</f>
        <v>0</v>
      </c>
      <c r="AE259" s="170">
        <f>IF(OR($I259="",$E259=0),0,IF(OR($J259&lt;AE$3,$I259&gt;AE$2),0,IF($K259=0,IF(AND($I259&gt;=AE$3,$I259&lt;=AE$2),$E259,0),$E259*NETWORKDAYS(MAX($I259,AE$3),MIN($J259,AE$2),Data!$K$4:$K$203)/$K259)))</f>
        <v>0</v>
      </c>
      <c r="AF259" s="170">
        <f>IF(OR($I259="",$E259=0),0,IF(OR($J259&lt;AF$3,$I259&gt;AF$2),0,IF($K259=0,IF(AND($I259&gt;=AF$3,$I259&lt;=AF$2),$E259,0),$E259*NETWORKDAYS(MAX($I259,AF$3),MIN($J259,AF$2),Data!$K$4:$K$203)/$K259)))</f>
        <v>0</v>
      </c>
      <c r="AG259" s="170">
        <f>IF(OR($I259="",$E259=0),0,IF(OR($J259&lt;AG$3,$I259&gt;AG$2),0,IF($K259=0,IF(AND($I259&gt;=AG$3,$I259&lt;=AG$2),$E259,0),$E259*NETWORKDAYS(MAX($I259,AG$3),MIN($J259,AG$2),Data!$K$4:$K$203)/$K259)))</f>
        <v>0</v>
      </c>
      <c r="AH259" s="170">
        <f>IF(OR($I259="",$E259=0),0,IF(OR($J259&lt;AH$3,$I259&gt;AH$2),0,IF($K259=0,IF(AND($I259&gt;=AH$3,$I259&lt;=AH$2),$E259,0),$E259*NETWORKDAYS(MAX($I259,AH$3),MIN($J259,AH$2),Data!$K$4:$K$203)/$K259)))</f>
        <v>0</v>
      </c>
      <c r="AI259" s="170">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70"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4" t="str">
        <f>IF(EO259=1,IF(FH259&gt;0,FI259/FH259,AVERAGEIF($FF$4:$FF$503,EN259,$C$4:$C$503)),"")</f>
        <v/>
      </c>
      <c r="EV259" s="169">
        <f>IF(ISNUMBER(I259),I259,2958465)</f>
        <v>2958465.0</v>
      </c>
      <c r="EW259" s="169" t="str">
        <f>IF(EO259=1,SUMPRODUCT(MIN(($EN$4:$EN$503=EN259)*$EV$4:$EV$503+($EN$4:$EN$503&lt;&gt;EN259)*2958465)),"")</f>
        <v/>
      </c>
      <c r="EX259" s="169">
        <f>IF(AND(D259=1,ISNUMBER(INDEX(Charge!$F:$F,ROW()))),INDEX(Charge!$F:$F,ROW()),0)</f>
        <v>0.0</v>
      </c>
      <c r="EY259" s="169"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c r="FF259" t="str">
        <f>IF(B259=1,LEFT(SUBSTITUTE(SUBSTITUTE(SUBSTITUTE(TRIM(SUBSTITUTE(INDEX(Charge!$B:$B,ROW()),CHAR(160)," "))&amp;" | "&amp;TRIM(SUBSTITUTE(INDEX(Charge!$C:$C,ROW()),CHAR(160)," "))&amp;" | "&amp;TRIM(SUBSTITUTE(INDEX(Charge!$D:$D,ROW()),CHAR(160)," ")),"~","-"),"*","+"),"?","!"),240),"")</f>
        <v/>
      </c>
      <c r="FG259">
        <f>IF(B259=1,MAX(0,N(INDEX(Charge!$M:$M,ROW()))),0)</f>
        <v>0</v>
      </c>
      <c r="FH259" s="170" t="str">
        <f>IF(EO259=1,ROUND(SUMIF($FF$4:$FF$503,EN259,$FG$4:$FG$503),2),"")</f>
        <v/>
      </c>
      <c r="FI259" s="170" t="str">
        <f>IF(EO259=1,ROUND(SUMPRODUCT(($FF$4:$FF$503=EN259)*$FG$4:$FG$503*$C$4:$C$503),2),"")</f>
        <v/>
      </c>
      <c r="FJ259" s="170" t="str">
        <f>IF(EO259=1,MAX(0,ROUND(FH259-FI259,2)),"")</f>
        <v/>
      </c>
      <c r="FK259" s="174" t="str">
        <f>IF(EO259=1,IF(OR(EW259&gt;=2958465,EY259=0,EY259&lt;=EW259),"",IF(TODAY()&lt;=EW259,0,IF(TODAY()&gt;EY259,1,IFERROR(NETWORKDAYS(EW259,TODAY()-1,Data!$K$4:$K$203)/NETWORKDAYS(EW259,EY259,Data!$K$4:$K$203),"")))),"")</f>
        <v/>
      </c>
      <c r="FL259" t="str">
        <f>IF(EO259=1,IF(AND(EY259&gt;0,EY259&lt;TODAY(),ROUND(EU259,4)&lt;1),2,IF(FK259="",0,IF(ROUND(EU259-FK259,4)&lt;-0.15,1,0))),"")</f>
        <v/>
      </c>
      <c r="FM259">
        <f>IF(OR(FA259="",COUNTIF($FA$4:FA258,FA259)&gt;0),0,MAX(0,IF(FB259="Interne",IF(ISNUMBER(INDEX(Data!$F:$F,259)),INDEX(Data!$F:$F,259),p_HeuresETP),IF(ISNUMBER(INDEX(Data!$I:$I,259-$CD$23)),INDEX(Data!$I:$I,259-$CD$23),p_HeuresETP))-IF(FB259="Interne",IF(ISNUMBER(INDEX(Data!$G:$G,259)),INDEX(Data!$G:$G,259),p_ChargeFixe),IF(ISNUMBER(INDEX(Data!$J:$J,259-$CD$23)),INDEX(Data!$J:$J,259-$CD$23),p_ChargeFixe))))</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9" t="str">
        <f>IF(AND(D260=1,ISNUMBER(INDEX(Charge!$N:$N,ROW()))),INDEX(Charge!$N:$N,ROW()),"")</f>
        <v/>
      </c>
      <c r="J260" s="169"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70">
        <f>IF(OR($I260="",$E260=0),0,IF(OR($J260&lt;W$3,$I260&gt;W$2),0,IF($K260=0,IF(AND($I260&gt;=W$3,$I260&lt;=W$2),$E260,0),$E260*NETWORKDAYS(MAX($I260,W$3),MIN($J260,W$2),Data!$K$4:$K$203)/$K260)))</f>
        <v>0</v>
      </c>
      <c r="X260" s="170">
        <f>IF(OR($I260="",$E260=0),0,IF(OR($J260&lt;X$3,$I260&gt;X$2),0,IF($K260=0,IF(AND($I260&gt;=X$3,$I260&lt;=X$2),$E260,0),$E260*NETWORKDAYS(MAX($I260,X$3),MIN($J260,X$2),Data!$K$4:$K$203)/$K260)))</f>
        <v>0</v>
      </c>
      <c r="Y260" s="170">
        <f>IF(OR($I260="",$E260=0),0,IF(OR($J260&lt;Y$3,$I260&gt;Y$2),0,IF($K260=0,IF(AND($I260&gt;=Y$3,$I260&lt;=Y$2),$E260,0),$E260*NETWORKDAYS(MAX($I260,Y$3),MIN($J260,Y$2),Data!$K$4:$K$203)/$K260)))</f>
        <v>0</v>
      </c>
      <c r="Z260" s="170">
        <f>IF(OR($I260="",$E260=0),0,IF(OR($J260&lt;Z$3,$I260&gt;Z$2),0,IF($K260=0,IF(AND($I260&gt;=Z$3,$I260&lt;=Z$2),$E260,0),$E260*NETWORKDAYS(MAX($I260,Z$3),MIN($J260,Z$2),Data!$K$4:$K$203)/$K260)))</f>
        <v>0</v>
      </c>
      <c r="AA260" s="170">
        <f>IF(OR($I260="",$E260=0),0,IF(OR($J260&lt;AA$3,$I260&gt;AA$2),0,IF($K260=0,IF(AND($I260&gt;=AA$3,$I260&lt;=AA$2),$E260,0),$E260*NETWORKDAYS(MAX($I260,AA$3),MIN($J260,AA$2),Data!$K$4:$K$203)/$K260)))</f>
        <v>0</v>
      </c>
      <c r="AB260" s="170">
        <f>IF(OR($I260="",$E260=0),0,IF(OR($J260&lt;AB$3,$I260&gt;AB$2),0,IF($K260=0,IF(AND($I260&gt;=AB$3,$I260&lt;=AB$2),$E260,0),$E260*NETWORKDAYS(MAX($I260,AB$3),MIN($J260,AB$2),Data!$K$4:$K$203)/$K260)))</f>
        <v>0</v>
      </c>
      <c r="AC260" s="170">
        <f>IF(OR($I260="",$E260=0),0,IF(OR($J260&lt;AC$3,$I260&gt;AC$2),0,IF($K260=0,IF(AND($I260&gt;=AC$3,$I260&lt;=AC$2),$E260,0),$E260*NETWORKDAYS(MAX($I260,AC$3),MIN($J260,AC$2),Data!$K$4:$K$203)/$K260)))</f>
        <v>0</v>
      </c>
      <c r="AD260" s="170">
        <f>IF(OR($I260="",$E260=0),0,IF(OR($J260&lt;AD$3,$I260&gt;AD$2),0,IF($K260=0,IF(AND($I260&gt;=AD$3,$I260&lt;=AD$2),$E260,0),$E260*NETWORKDAYS(MAX($I260,AD$3),MIN($J260,AD$2),Data!$K$4:$K$203)/$K260)))</f>
        <v>0</v>
      </c>
      <c r="AE260" s="170">
        <f>IF(OR($I260="",$E260=0),0,IF(OR($J260&lt;AE$3,$I260&gt;AE$2),0,IF($K260=0,IF(AND($I260&gt;=AE$3,$I260&lt;=AE$2),$E260,0),$E260*NETWORKDAYS(MAX($I260,AE$3),MIN($J260,AE$2),Data!$K$4:$K$203)/$K260)))</f>
        <v>0</v>
      </c>
      <c r="AF260" s="170">
        <f>IF(OR($I260="",$E260=0),0,IF(OR($J260&lt;AF$3,$I260&gt;AF$2),0,IF($K260=0,IF(AND($I260&gt;=AF$3,$I260&lt;=AF$2),$E260,0),$E260*NETWORKDAYS(MAX($I260,AF$3),MIN($J260,AF$2),Data!$K$4:$K$203)/$K260)))</f>
        <v>0</v>
      </c>
      <c r="AG260" s="170">
        <f>IF(OR($I260="",$E260=0),0,IF(OR($J260&lt;AG$3,$I260&gt;AG$2),0,IF($K260=0,IF(AND($I260&gt;=AG$3,$I260&lt;=AG$2),$E260,0),$E260*NETWORKDAYS(MAX($I260,AG$3),MIN($J260,AG$2),Data!$K$4:$K$203)/$K260)))</f>
        <v>0</v>
      </c>
      <c r="AH260" s="170">
        <f>IF(OR($I260="",$E260=0),0,IF(OR($J260&lt;AH$3,$I260&gt;AH$2),0,IF($K260=0,IF(AND($I260&gt;=AH$3,$I260&lt;=AH$2),$E260,0),$E260*NETWORKDAYS(MAX($I260,AH$3),MIN($J260,AH$2),Data!$K$4:$K$203)/$K260)))</f>
        <v>0</v>
      </c>
      <c r="AI260" s="170">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70"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4" t="str">
        <f>IF(EO260=1,IF(FH260&gt;0,FI260/FH260,AVERAGEIF($FF$4:$FF$503,EN260,$C$4:$C$503)),"")</f>
        <v/>
      </c>
      <c r="EV260" s="169">
        <f>IF(ISNUMBER(I260),I260,2958465)</f>
        <v>2958465.0</v>
      </c>
      <c r="EW260" s="169" t="str">
        <f>IF(EO260=1,SUMPRODUCT(MIN(($EN$4:$EN$503=EN260)*$EV$4:$EV$503+($EN$4:$EN$503&lt;&gt;EN260)*2958465)),"")</f>
        <v/>
      </c>
      <c r="EX260" s="169">
        <f>IF(AND(D260=1,ISNUMBER(INDEX(Charge!$F:$F,ROW()))),INDEX(Charge!$F:$F,ROW()),0)</f>
        <v>0.0</v>
      </c>
      <c r="EY260" s="169"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c r="FF260" t="str">
        <f>IF(B260=1,LEFT(SUBSTITUTE(SUBSTITUTE(SUBSTITUTE(TRIM(SUBSTITUTE(INDEX(Charge!$B:$B,ROW()),CHAR(160)," "))&amp;" | "&amp;TRIM(SUBSTITUTE(INDEX(Charge!$C:$C,ROW()),CHAR(160)," "))&amp;" | "&amp;TRIM(SUBSTITUTE(INDEX(Charge!$D:$D,ROW()),CHAR(160)," ")),"~","-"),"*","+"),"?","!"),240),"")</f>
        <v/>
      </c>
      <c r="FG260">
        <f>IF(B260=1,MAX(0,N(INDEX(Charge!$M:$M,ROW()))),0)</f>
        <v>0</v>
      </c>
      <c r="FH260" s="170" t="str">
        <f>IF(EO260=1,ROUND(SUMIF($FF$4:$FF$503,EN260,$FG$4:$FG$503),2),"")</f>
        <v/>
      </c>
      <c r="FI260" s="170" t="str">
        <f>IF(EO260=1,ROUND(SUMPRODUCT(($FF$4:$FF$503=EN260)*$FG$4:$FG$503*$C$4:$C$503),2),"")</f>
        <v/>
      </c>
      <c r="FJ260" s="170" t="str">
        <f>IF(EO260=1,MAX(0,ROUND(FH260-FI260,2)),"")</f>
        <v/>
      </c>
      <c r="FK260" s="174" t="str">
        <f>IF(EO260=1,IF(OR(EW260&gt;=2958465,EY260=0,EY260&lt;=EW260),"",IF(TODAY()&lt;=EW260,0,IF(TODAY()&gt;EY260,1,IFERROR(NETWORKDAYS(EW260,TODAY()-1,Data!$K$4:$K$203)/NETWORKDAYS(EW260,EY260,Data!$K$4:$K$203),"")))),"")</f>
        <v/>
      </c>
      <c r="FL260" t="str">
        <f>IF(EO260=1,IF(AND(EY260&gt;0,EY260&lt;TODAY(),ROUND(EU260,4)&lt;1),2,IF(FK260="",0,IF(ROUND(EU260-FK260,4)&lt;-0.15,1,0))),"")</f>
        <v/>
      </c>
      <c r="FM260">
        <f>IF(OR(FA260="",COUNTIF($FA$4:FA259,FA260)&gt;0),0,MAX(0,IF(FB260="Interne",IF(ISNUMBER(INDEX(Data!$F:$F,260)),INDEX(Data!$F:$F,260),p_HeuresETP),IF(ISNUMBER(INDEX(Data!$I:$I,260-$CD$23)),INDEX(Data!$I:$I,260-$CD$23),p_HeuresETP))-IF(FB260="Interne",IF(ISNUMBER(INDEX(Data!$G:$G,260)),INDEX(Data!$G:$G,260),p_ChargeFixe),IF(ISNUMBER(INDEX(Data!$J:$J,260-$CD$23)),INDEX(Data!$J:$J,260-$CD$23),p_ChargeFixe))))</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9" t="str">
        <f>IF(AND(D261=1,ISNUMBER(INDEX(Charge!$N:$N,ROW()))),INDEX(Charge!$N:$N,ROW()),"")</f>
        <v/>
      </c>
      <c r="J261" s="169"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70">
        <f>IF(OR($I261="",$E261=0),0,IF(OR($J261&lt;W$3,$I261&gt;W$2),0,IF($K261=0,IF(AND($I261&gt;=W$3,$I261&lt;=W$2),$E261,0),$E261*NETWORKDAYS(MAX($I261,W$3),MIN($J261,W$2),Data!$K$4:$K$203)/$K261)))</f>
        <v>0</v>
      </c>
      <c r="X261" s="170">
        <f>IF(OR($I261="",$E261=0),0,IF(OR($J261&lt;X$3,$I261&gt;X$2),0,IF($K261=0,IF(AND($I261&gt;=X$3,$I261&lt;=X$2),$E261,0),$E261*NETWORKDAYS(MAX($I261,X$3),MIN($J261,X$2),Data!$K$4:$K$203)/$K261)))</f>
        <v>0</v>
      </c>
      <c r="Y261" s="170">
        <f>IF(OR($I261="",$E261=0),0,IF(OR($J261&lt;Y$3,$I261&gt;Y$2),0,IF($K261=0,IF(AND($I261&gt;=Y$3,$I261&lt;=Y$2),$E261,0),$E261*NETWORKDAYS(MAX($I261,Y$3),MIN($J261,Y$2),Data!$K$4:$K$203)/$K261)))</f>
        <v>0</v>
      </c>
      <c r="Z261" s="170">
        <f>IF(OR($I261="",$E261=0),0,IF(OR($J261&lt;Z$3,$I261&gt;Z$2),0,IF($K261=0,IF(AND($I261&gt;=Z$3,$I261&lt;=Z$2),$E261,0),$E261*NETWORKDAYS(MAX($I261,Z$3),MIN($J261,Z$2),Data!$K$4:$K$203)/$K261)))</f>
        <v>0</v>
      </c>
      <c r="AA261" s="170">
        <f>IF(OR($I261="",$E261=0),0,IF(OR($J261&lt;AA$3,$I261&gt;AA$2),0,IF($K261=0,IF(AND($I261&gt;=AA$3,$I261&lt;=AA$2),$E261,0),$E261*NETWORKDAYS(MAX($I261,AA$3),MIN($J261,AA$2),Data!$K$4:$K$203)/$K261)))</f>
        <v>0</v>
      </c>
      <c r="AB261" s="170">
        <f>IF(OR($I261="",$E261=0),0,IF(OR($J261&lt;AB$3,$I261&gt;AB$2),0,IF($K261=0,IF(AND($I261&gt;=AB$3,$I261&lt;=AB$2),$E261,0),$E261*NETWORKDAYS(MAX($I261,AB$3),MIN($J261,AB$2),Data!$K$4:$K$203)/$K261)))</f>
        <v>0</v>
      </c>
      <c r="AC261" s="170">
        <f>IF(OR($I261="",$E261=0),0,IF(OR($J261&lt;AC$3,$I261&gt;AC$2),0,IF($K261=0,IF(AND($I261&gt;=AC$3,$I261&lt;=AC$2),$E261,0),$E261*NETWORKDAYS(MAX($I261,AC$3),MIN($J261,AC$2),Data!$K$4:$K$203)/$K261)))</f>
        <v>0</v>
      </c>
      <c r="AD261" s="170">
        <f>IF(OR($I261="",$E261=0),0,IF(OR($J261&lt;AD$3,$I261&gt;AD$2),0,IF($K261=0,IF(AND($I261&gt;=AD$3,$I261&lt;=AD$2),$E261,0),$E261*NETWORKDAYS(MAX($I261,AD$3),MIN($J261,AD$2),Data!$K$4:$K$203)/$K261)))</f>
        <v>0</v>
      </c>
      <c r="AE261" s="170">
        <f>IF(OR($I261="",$E261=0),0,IF(OR($J261&lt;AE$3,$I261&gt;AE$2),0,IF($K261=0,IF(AND($I261&gt;=AE$3,$I261&lt;=AE$2),$E261,0),$E261*NETWORKDAYS(MAX($I261,AE$3),MIN($J261,AE$2),Data!$K$4:$K$203)/$K261)))</f>
        <v>0</v>
      </c>
      <c r="AF261" s="170">
        <f>IF(OR($I261="",$E261=0),0,IF(OR($J261&lt;AF$3,$I261&gt;AF$2),0,IF($K261=0,IF(AND($I261&gt;=AF$3,$I261&lt;=AF$2),$E261,0),$E261*NETWORKDAYS(MAX($I261,AF$3),MIN($J261,AF$2),Data!$K$4:$K$203)/$K261)))</f>
        <v>0</v>
      </c>
      <c r="AG261" s="170">
        <f>IF(OR($I261="",$E261=0),0,IF(OR($J261&lt;AG$3,$I261&gt;AG$2),0,IF($K261=0,IF(AND($I261&gt;=AG$3,$I261&lt;=AG$2),$E261,0),$E261*NETWORKDAYS(MAX($I261,AG$3),MIN($J261,AG$2),Data!$K$4:$K$203)/$K261)))</f>
        <v>0</v>
      </c>
      <c r="AH261" s="170">
        <f>IF(OR($I261="",$E261=0),0,IF(OR($J261&lt;AH$3,$I261&gt;AH$2),0,IF($K261=0,IF(AND($I261&gt;=AH$3,$I261&lt;=AH$2),$E261,0),$E261*NETWORKDAYS(MAX($I261,AH$3),MIN($J261,AH$2),Data!$K$4:$K$203)/$K261)))</f>
        <v>0</v>
      </c>
      <c r="AI261" s="170">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70"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4" t="str">
        <f>IF(EO261=1,IF(FH261&gt;0,FI261/FH261,AVERAGEIF($FF$4:$FF$503,EN261,$C$4:$C$503)),"")</f>
        <v/>
      </c>
      <c r="EV261" s="169">
        <f>IF(ISNUMBER(I261),I261,2958465)</f>
        <v>2958465.0</v>
      </c>
      <c r="EW261" s="169" t="str">
        <f>IF(EO261=1,SUMPRODUCT(MIN(($EN$4:$EN$503=EN261)*$EV$4:$EV$503+($EN$4:$EN$503&lt;&gt;EN261)*2958465)),"")</f>
        <v/>
      </c>
      <c r="EX261" s="169">
        <f>IF(AND(D261=1,ISNUMBER(INDEX(Charge!$F:$F,ROW()))),INDEX(Charge!$F:$F,ROW()),0)</f>
        <v>0.0</v>
      </c>
      <c r="EY261" s="169"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c r="FF261" t="str">
        <f>IF(B261=1,LEFT(SUBSTITUTE(SUBSTITUTE(SUBSTITUTE(TRIM(SUBSTITUTE(INDEX(Charge!$B:$B,ROW()),CHAR(160)," "))&amp;" | "&amp;TRIM(SUBSTITUTE(INDEX(Charge!$C:$C,ROW()),CHAR(160)," "))&amp;" | "&amp;TRIM(SUBSTITUTE(INDEX(Charge!$D:$D,ROW()),CHAR(160)," ")),"~","-"),"*","+"),"?","!"),240),"")</f>
        <v/>
      </c>
      <c r="FG261">
        <f>IF(B261=1,MAX(0,N(INDEX(Charge!$M:$M,ROW()))),0)</f>
        <v>0</v>
      </c>
      <c r="FH261" s="170" t="str">
        <f>IF(EO261=1,ROUND(SUMIF($FF$4:$FF$503,EN261,$FG$4:$FG$503),2),"")</f>
        <v/>
      </c>
      <c r="FI261" s="170" t="str">
        <f>IF(EO261=1,ROUND(SUMPRODUCT(($FF$4:$FF$503=EN261)*$FG$4:$FG$503*$C$4:$C$503),2),"")</f>
        <v/>
      </c>
      <c r="FJ261" s="170" t="str">
        <f>IF(EO261=1,MAX(0,ROUND(FH261-FI261,2)),"")</f>
        <v/>
      </c>
      <c r="FK261" s="174" t="str">
        <f>IF(EO261=1,IF(OR(EW261&gt;=2958465,EY261=0,EY261&lt;=EW261),"",IF(TODAY()&lt;=EW261,0,IF(TODAY()&gt;EY261,1,IFERROR(NETWORKDAYS(EW261,TODAY()-1,Data!$K$4:$K$203)/NETWORKDAYS(EW261,EY261,Data!$K$4:$K$203),"")))),"")</f>
        <v/>
      </c>
      <c r="FL261" t="str">
        <f>IF(EO261=1,IF(AND(EY261&gt;0,EY261&lt;TODAY(),ROUND(EU261,4)&lt;1),2,IF(FK261="",0,IF(ROUND(EU261-FK261,4)&lt;-0.15,1,0))),"")</f>
        <v/>
      </c>
      <c r="FM261">
        <f>IF(OR(FA261="",COUNTIF($FA$4:FA260,FA261)&gt;0),0,MAX(0,IF(FB261="Interne",IF(ISNUMBER(INDEX(Data!$F:$F,261)),INDEX(Data!$F:$F,261),p_HeuresETP),IF(ISNUMBER(INDEX(Data!$I:$I,261-$CD$23)),INDEX(Data!$I:$I,261-$CD$23),p_HeuresETP))-IF(FB261="Interne",IF(ISNUMBER(INDEX(Data!$G:$G,261)),INDEX(Data!$G:$G,261),p_ChargeFixe),IF(ISNUMBER(INDEX(Data!$J:$J,261-$CD$23)),INDEX(Data!$J:$J,261-$CD$23),p_ChargeFixe))))</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9" t="str">
        <f>IF(AND(D262=1,ISNUMBER(INDEX(Charge!$N:$N,ROW()))),INDEX(Charge!$N:$N,ROW()),"")</f>
        <v/>
      </c>
      <c r="J262" s="169"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70">
        <f>IF(OR($I262="",$E262=0),0,IF(OR($J262&lt;W$3,$I262&gt;W$2),0,IF($K262=0,IF(AND($I262&gt;=W$3,$I262&lt;=W$2),$E262,0),$E262*NETWORKDAYS(MAX($I262,W$3),MIN($J262,W$2),Data!$K$4:$K$203)/$K262)))</f>
        <v>0</v>
      </c>
      <c r="X262" s="170">
        <f>IF(OR($I262="",$E262=0),0,IF(OR($J262&lt;X$3,$I262&gt;X$2),0,IF($K262=0,IF(AND($I262&gt;=X$3,$I262&lt;=X$2),$E262,0),$E262*NETWORKDAYS(MAX($I262,X$3),MIN($J262,X$2),Data!$K$4:$K$203)/$K262)))</f>
        <v>0</v>
      </c>
      <c r="Y262" s="170">
        <f>IF(OR($I262="",$E262=0),0,IF(OR($J262&lt;Y$3,$I262&gt;Y$2),0,IF($K262=0,IF(AND($I262&gt;=Y$3,$I262&lt;=Y$2),$E262,0),$E262*NETWORKDAYS(MAX($I262,Y$3),MIN($J262,Y$2),Data!$K$4:$K$203)/$K262)))</f>
        <v>0</v>
      </c>
      <c r="Z262" s="170">
        <f>IF(OR($I262="",$E262=0),0,IF(OR($J262&lt;Z$3,$I262&gt;Z$2),0,IF($K262=0,IF(AND($I262&gt;=Z$3,$I262&lt;=Z$2),$E262,0),$E262*NETWORKDAYS(MAX($I262,Z$3),MIN($J262,Z$2),Data!$K$4:$K$203)/$K262)))</f>
        <v>0</v>
      </c>
      <c r="AA262" s="170">
        <f>IF(OR($I262="",$E262=0),0,IF(OR($J262&lt;AA$3,$I262&gt;AA$2),0,IF($K262=0,IF(AND($I262&gt;=AA$3,$I262&lt;=AA$2),$E262,0),$E262*NETWORKDAYS(MAX($I262,AA$3),MIN($J262,AA$2),Data!$K$4:$K$203)/$K262)))</f>
        <v>0</v>
      </c>
      <c r="AB262" s="170">
        <f>IF(OR($I262="",$E262=0),0,IF(OR($J262&lt;AB$3,$I262&gt;AB$2),0,IF($K262=0,IF(AND($I262&gt;=AB$3,$I262&lt;=AB$2),$E262,0),$E262*NETWORKDAYS(MAX($I262,AB$3),MIN($J262,AB$2),Data!$K$4:$K$203)/$K262)))</f>
        <v>0</v>
      </c>
      <c r="AC262" s="170">
        <f>IF(OR($I262="",$E262=0),0,IF(OR($J262&lt;AC$3,$I262&gt;AC$2),0,IF($K262=0,IF(AND($I262&gt;=AC$3,$I262&lt;=AC$2),$E262,0),$E262*NETWORKDAYS(MAX($I262,AC$3),MIN($J262,AC$2),Data!$K$4:$K$203)/$K262)))</f>
        <v>0</v>
      </c>
      <c r="AD262" s="170">
        <f>IF(OR($I262="",$E262=0),0,IF(OR($J262&lt;AD$3,$I262&gt;AD$2),0,IF($K262=0,IF(AND($I262&gt;=AD$3,$I262&lt;=AD$2),$E262,0),$E262*NETWORKDAYS(MAX($I262,AD$3),MIN($J262,AD$2),Data!$K$4:$K$203)/$K262)))</f>
        <v>0</v>
      </c>
      <c r="AE262" s="170">
        <f>IF(OR($I262="",$E262=0),0,IF(OR($J262&lt;AE$3,$I262&gt;AE$2),0,IF($K262=0,IF(AND($I262&gt;=AE$3,$I262&lt;=AE$2),$E262,0),$E262*NETWORKDAYS(MAX($I262,AE$3),MIN($J262,AE$2),Data!$K$4:$K$203)/$K262)))</f>
        <v>0</v>
      </c>
      <c r="AF262" s="170">
        <f>IF(OR($I262="",$E262=0),0,IF(OR($J262&lt;AF$3,$I262&gt;AF$2),0,IF($K262=0,IF(AND($I262&gt;=AF$3,$I262&lt;=AF$2),$E262,0),$E262*NETWORKDAYS(MAX($I262,AF$3),MIN($J262,AF$2),Data!$K$4:$K$203)/$K262)))</f>
        <v>0</v>
      </c>
      <c r="AG262" s="170">
        <f>IF(OR($I262="",$E262=0),0,IF(OR($J262&lt;AG$3,$I262&gt;AG$2),0,IF($K262=0,IF(AND($I262&gt;=AG$3,$I262&lt;=AG$2),$E262,0),$E262*NETWORKDAYS(MAX($I262,AG$3),MIN($J262,AG$2),Data!$K$4:$K$203)/$K262)))</f>
        <v>0</v>
      </c>
      <c r="AH262" s="170">
        <f>IF(OR($I262="",$E262=0),0,IF(OR($J262&lt;AH$3,$I262&gt;AH$2),0,IF($K262=0,IF(AND($I262&gt;=AH$3,$I262&lt;=AH$2),$E262,0),$E262*NETWORKDAYS(MAX($I262,AH$3),MIN($J262,AH$2),Data!$K$4:$K$203)/$K262)))</f>
        <v>0</v>
      </c>
      <c r="AI262" s="170">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70"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4" t="str">
        <f>IF(EO262=1,IF(FH262&gt;0,FI262/FH262,AVERAGEIF($FF$4:$FF$503,EN262,$C$4:$C$503)),"")</f>
        <v/>
      </c>
      <c r="EV262" s="169">
        <f>IF(ISNUMBER(I262),I262,2958465)</f>
        <v>2958465.0</v>
      </c>
      <c r="EW262" s="169" t="str">
        <f>IF(EO262=1,SUMPRODUCT(MIN(($EN$4:$EN$503=EN262)*$EV$4:$EV$503+($EN$4:$EN$503&lt;&gt;EN262)*2958465)),"")</f>
        <v/>
      </c>
      <c r="EX262" s="169">
        <f>IF(AND(D262=1,ISNUMBER(INDEX(Charge!$F:$F,ROW()))),INDEX(Charge!$F:$F,ROW()),0)</f>
        <v>0.0</v>
      </c>
      <c r="EY262" s="169"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c r="FF262" t="str">
        <f>IF(B262=1,LEFT(SUBSTITUTE(SUBSTITUTE(SUBSTITUTE(TRIM(SUBSTITUTE(INDEX(Charge!$B:$B,ROW()),CHAR(160)," "))&amp;" | "&amp;TRIM(SUBSTITUTE(INDEX(Charge!$C:$C,ROW()),CHAR(160)," "))&amp;" | "&amp;TRIM(SUBSTITUTE(INDEX(Charge!$D:$D,ROW()),CHAR(160)," ")),"~","-"),"*","+"),"?","!"),240),"")</f>
        <v/>
      </c>
      <c r="FG262">
        <f>IF(B262=1,MAX(0,N(INDEX(Charge!$M:$M,ROW()))),0)</f>
        <v>0</v>
      </c>
      <c r="FH262" s="170" t="str">
        <f>IF(EO262=1,ROUND(SUMIF($FF$4:$FF$503,EN262,$FG$4:$FG$503),2),"")</f>
        <v/>
      </c>
      <c r="FI262" s="170" t="str">
        <f>IF(EO262=1,ROUND(SUMPRODUCT(($FF$4:$FF$503=EN262)*$FG$4:$FG$503*$C$4:$C$503),2),"")</f>
        <v/>
      </c>
      <c r="FJ262" s="170" t="str">
        <f>IF(EO262=1,MAX(0,ROUND(FH262-FI262,2)),"")</f>
        <v/>
      </c>
      <c r="FK262" s="174" t="str">
        <f>IF(EO262=1,IF(OR(EW262&gt;=2958465,EY262=0,EY262&lt;=EW262),"",IF(TODAY()&lt;=EW262,0,IF(TODAY()&gt;EY262,1,IFERROR(NETWORKDAYS(EW262,TODAY()-1,Data!$K$4:$K$203)/NETWORKDAYS(EW262,EY262,Data!$K$4:$K$203),"")))),"")</f>
        <v/>
      </c>
      <c r="FL262" t="str">
        <f>IF(EO262=1,IF(AND(EY262&gt;0,EY262&lt;TODAY(),ROUND(EU262,4)&lt;1),2,IF(FK262="",0,IF(ROUND(EU262-FK262,4)&lt;-0.15,1,0))),"")</f>
        <v/>
      </c>
      <c r="FM262">
        <f>IF(OR(FA262="",COUNTIF($FA$4:FA261,FA262)&gt;0),0,MAX(0,IF(FB262="Interne",IF(ISNUMBER(INDEX(Data!$F:$F,262)),INDEX(Data!$F:$F,262),p_HeuresETP),IF(ISNUMBER(INDEX(Data!$I:$I,262-$CD$23)),INDEX(Data!$I:$I,262-$CD$23),p_HeuresETP))-IF(FB262="Interne",IF(ISNUMBER(INDEX(Data!$G:$G,262)),INDEX(Data!$G:$G,262),p_ChargeFixe),IF(ISNUMBER(INDEX(Data!$J:$J,262-$CD$23)),INDEX(Data!$J:$J,262-$CD$23),p_ChargeFixe))))</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9" t="str">
        <f>IF(AND(D263=1,ISNUMBER(INDEX(Charge!$N:$N,ROW()))),INDEX(Charge!$N:$N,ROW()),"")</f>
        <v/>
      </c>
      <c r="J263" s="169"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70">
        <f>IF(OR($I263="",$E263=0),0,IF(OR($J263&lt;W$3,$I263&gt;W$2),0,IF($K263=0,IF(AND($I263&gt;=W$3,$I263&lt;=W$2),$E263,0),$E263*NETWORKDAYS(MAX($I263,W$3),MIN($J263,W$2),Data!$K$4:$K$203)/$K263)))</f>
        <v>0</v>
      </c>
      <c r="X263" s="170">
        <f>IF(OR($I263="",$E263=0),0,IF(OR($J263&lt;X$3,$I263&gt;X$2),0,IF($K263=0,IF(AND($I263&gt;=X$3,$I263&lt;=X$2),$E263,0),$E263*NETWORKDAYS(MAX($I263,X$3),MIN($J263,X$2),Data!$K$4:$K$203)/$K263)))</f>
        <v>0</v>
      </c>
      <c r="Y263" s="170">
        <f>IF(OR($I263="",$E263=0),0,IF(OR($J263&lt;Y$3,$I263&gt;Y$2),0,IF($K263=0,IF(AND($I263&gt;=Y$3,$I263&lt;=Y$2),$E263,0),$E263*NETWORKDAYS(MAX($I263,Y$3),MIN($J263,Y$2),Data!$K$4:$K$203)/$K263)))</f>
        <v>0</v>
      </c>
      <c r="Z263" s="170">
        <f>IF(OR($I263="",$E263=0),0,IF(OR($J263&lt;Z$3,$I263&gt;Z$2),0,IF($K263=0,IF(AND($I263&gt;=Z$3,$I263&lt;=Z$2),$E263,0),$E263*NETWORKDAYS(MAX($I263,Z$3),MIN($J263,Z$2),Data!$K$4:$K$203)/$K263)))</f>
        <v>0</v>
      </c>
      <c r="AA263" s="170">
        <f>IF(OR($I263="",$E263=0),0,IF(OR($J263&lt;AA$3,$I263&gt;AA$2),0,IF($K263=0,IF(AND($I263&gt;=AA$3,$I263&lt;=AA$2),$E263,0),$E263*NETWORKDAYS(MAX($I263,AA$3),MIN($J263,AA$2),Data!$K$4:$K$203)/$K263)))</f>
        <v>0</v>
      </c>
      <c r="AB263" s="170">
        <f>IF(OR($I263="",$E263=0),0,IF(OR($J263&lt;AB$3,$I263&gt;AB$2),0,IF($K263=0,IF(AND($I263&gt;=AB$3,$I263&lt;=AB$2),$E263,0),$E263*NETWORKDAYS(MAX($I263,AB$3),MIN($J263,AB$2),Data!$K$4:$K$203)/$K263)))</f>
        <v>0</v>
      </c>
      <c r="AC263" s="170">
        <f>IF(OR($I263="",$E263=0),0,IF(OR($J263&lt;AC$3,$I263&gt;AC$2),0,IF($K263=0,IF(AND($I263&gt;=AC$3,$I263&lt;=AC$2),$E263,0),$E263*NETWORKDAYS(MAX($I263,AC$3),MIN($J263,AC$2),Data!$K$4:$K$203)/$K263)))</f>
        <v>0</v>
      </c>
      <c r="AD263" s="170">
        <f>IF(OR($I263="",$E263=0),0,IF(OR($J263&lt;AD$3,$I263&gt;AD$2),0,IF($K263=0,IF(AND($I263&gt;=AD$3,$I263&lt;=AD$2),$E263,0),$E263*NETWORKDAYS(MAX($I263,AD$3),MIN($J263,AD$2),Data!$K$4:$K$203)/$K263)))</f>
        <v>0</v>
      </c>
      <c r="AE263" s="170">
        <f>IF(OR($I263="",$E263=0),0,IF(OR($J263&lt;AE$3,$I263&gt;AE$2),0,IF($K263=0,IF(AND($I263&gt;=AE$3,$I263&lt;=AE$2),$E263,0),$E263*NETWORKDAYS(MAX($I263,AE$3),MIN($J263,AE$2),Data!$K$4:$K$203)/$K263)))</f>
        <v>0</v>
      </c>
      <c r="AF263" s="170">
        <f>IF(OR($I263="",$E263=0),0,IF(OR($J263&lt;AF$3,$I263&gt;AF$2),0,IF($K263=0,IF(AND($I263&gt;=AF$3,$I263&lt;=AF$2),$E263,0),$E263*NETWORKDAYS(MAX($I263,AF$3),MIN($J263,AF$2),Data!$K$4:$K$203)/$K263)))</f>
        <v>0</v>
      </c>
      <c r="AG263" s="170">
        <f>IF(OR($I263="",$E263=0),0,IF(OR($J263&lt;AG$3,$I263&gt;AG$2),0,IF($K263=0,IF(AND($I263&gt;=AG$3,$I263&lt;=AG$2),$E263,0),$E263*NETWORKDAYS(MAX($I263,AG$3),MIN($J263,AG$2),Data!$K$4:$K$203)/$K263)))</f>
        <v>0</v>
      </c>
      <c r="AH263" s="170">
        <f>IF(OR($I263="",$E263=0),0,IF(OR($J263&lt;AH$3,$I263&gt;AH$2),0,IF($K263=0,IF(AND($I263&gt;=AH$3,$I263&lt;=AH$2),$E263,0),$E263*NETWORKDAYS(MAX($I263,AH$3),MIN($J263,AH$2),Data!$K$4:$K$203)/$K263)))</f>
        <v>0</v>
      </c>
      <c r="AI263" s="170">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70"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4" t="str">
        <f>IF(EO263=1,IF(FH263&gt;0,FI263/FH263,AVERAGEIF($FF$4:$FF$503,EN263,$C$4:$C$503)),"")</f>
        <v/>
      </c>
      <c r="EV263" s="169">
        <f>IF(ISNUMBER(I263),I263,2958465)</f>
        <v>2958465.0</v>
      </c>
      <c r="EW263" s="169" t="str">
        <f>IF(EO263=1,SUMPRODUCT(MIN(($EN$4:$EN$503=EN263)*$EV$4:$EV$503+($EN$4:$EN$503&lt;&gt;EN263)*2958465)),"")</f>
        <v/>
      </c>
      <c r="EX263" s="169">
        <f>IF(AND(D263=1,ISNUMBER(INDEX(Charge!$F:$F,ROW()))),INDEX(Charge!$F:$F,ROW()),0)</f>
        <v>0.0</v>
      </c>
      <c r="EY263" s="169"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c r="FF263" t="str">
        <f>IF(B263=1,LEFT(SUBSTITUTE(SUBSTITUTE(SUBSTITUTE(TRIM(SUBSTITUTE(INDEX(Charge!$B:$B,ROW()),CHAR(160)," "))&amp;" | "&amp;TRIM(SUBSTITUTE(INDEX(Charge!$C:$C,ROW()),CHAR(160)," "))&amp;" | "&amp;TRIM(SUBSTITUTE(INDEX(Charge!$D:$D,ROW()),CHAR(160)," ")),"~","-"),"*","+"),"?","!"),240),"")</f>
        <v/>
      </c>
      <c r="FG263">
        <f>IF(B263=1,MAX(0,N(INDEX(Charge!$M:$M,ROW()))),0)</f>
        <v>0</v>
      </c>
      <c r="FH263" s="170" t="str">
        <f>IF(EO263=1,ROUND(SUMIF($FF$4:$FF$503,EN263,$FG$4:$FG$503),2),"")</f>
        <v/>
      </c>
      <c r="FI263" s="170" t="str">
        <f>IF(EO263=1,ROUND(SUMPRODUCT(($FF$4:$FF$503=EN263)*$FG$4:$FG$503*$C$4:$C$503),2),"")</f>
        <v/>
      </c>
      <c r="FJ263" s="170" t="str">
        <f>IF(EO263=1,MAX(0,ROUND(FH263-FI263,2)),"")</f>
        <v/>
      </c>
      <c r="FK263" s="174" t="str">
        <f>IF(EO263=1,IF(OR(EW263&gt;=2958465,EY263=0,EY263&lt;=EW263),"",IF(TODAY()&lt;=EW263,0,IF(TODAY()&gt;EY263,1,IFERROR(NETWORKDAYS(EW263,TODAY()-1,Data!$K$4:$K$203)/NETWORKDAYS(EW263,EY263,Data!$K$4:$K$203),"")))),"")</f>
        <v/>
      </c>
      <c r="FL263" t="str">
        <f>IF(EO263=1,IF(AND(EY263&gt;0,EY263&lt;TODAY(),ROUND(EU263,4)&lt;1),2,IF(FK263="",0,IF(ROUND(EU263-FK263,4)&lt;-0.15,1,0))),"")</f>
        <v/>
      </c>
      <c r="FM263">
        <f>IF(OR(FA263="",COUNTIF($FA$4:FA262,FA263)&gt;0),0,MAX(0,IF(FB263="Interne",IF(ISNUMBER(INDEX(Data!$F:$F,263)),INDEX(Data!$F:$F,263),p_HeuresETP),IF(ISNUMBER(INDEX(Data!$I:$I,263-$CD$23)),INDEX(Data!$I:$I,263-$CD$23),p_HeuresETP))-IF(FB263="Interne",IF(ISNUMBER(INDEX(Data!$G:$G,263)),INDEX(Data!$G:$G,263),p_ChargeFixe),IF(ISNUMBER(INDEX(Data!$J:$J,263-$CD$23)),INDEX(Data!$J:$J,263-$CD$23),p_ChargeFixe))))</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9" t="str">
        <f>IF(AND(D264=1,ISNUMBER(INDEX(Charge!$N:$N,ROW()))),INDEX(Charge!$N:$N,ROW()),"")</f>
        <v/>
      </c>
      <c r="J264" s="169"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70">
        <f>IF(OR($I264="",$E264=0),0,IF(OR($J264&lt;W$3,$I264&gt;W$2),0,IF($K264=0,IF(AND($I264&gt;=W$3,$I264&lt;=W$2),$E264,0),$E264*NETWORKDAYS(MAX($I264,W$3),MIN($J264,W$2),Data!$K$4:$K$203)/$K264)))</f>
        <v>0</v>
      </c>
      <c r="X264" s="170">
        <f>IF(OR($I264="",$E264=0),0,IF(OR($J264&lt;X$3,$I264&gt;X$2),0,IF($K264=0,IF(AND($I264&gt;=X$3,$I264&lt;=X$2),$E264,0),$E264*NETWORKDAYS(MAX($I264,X$3),MIN($J264,X$2),Data!$K$4:$K$203)/$K264)))</f>
        <v>0</v>
      </c>
      <c r="Y264" s="170">
        <f>IF(OR($I264="",$E264=0),0,IF(OR($J264&lt;Y$3,$I264&gt;Y$2),0,IF($K264=0,IF(AND($I264&gt;=Y$3,$I264&lt;=Y$2),$E264,0),$E264*NETWORKDAYS(MAX($I264,Y$3),MIN($J264,Y$2),Data!$K$4:$K$203)/$K264)))</f>
        <v>0</v>
      </c>
      <c r="Z264" s="170">
        <f>IF(OR($I264="",$E264=0),0,IF(OR($J264&lt;Z$3,$I264&gt;Z$2),0,IF($K264=0,IF(AND($I264&gt;=Z$3,$I264&lt;=Z$2),$E264,0),$E264*NETWORKDAYS(MAX($I264,Z$3),MIN($J264,Z$2),Data!$K$4:$K$203)/$K264)))</f>
        <v>0</v>
      </c>
      <c r="AA264" s="170">
        <f>IF(OR($I264="",$E264=0),0,IF(OR($J264&lt;AA$3,$I264&gt;AA$2),0,IF($K264=0,IF(AND($I264&gt;=AA$3,$I264&lt;=AA$2),$E264,0),$E264*NETWORKDAYS(MAX($I264,AA$3),MIN($J264,AA$2),Data!$K$4:$K$203)/$K264)))</f>
        <v>0</v>
      </c>
      <c r="AB264" s="170">
        <f>IF(OR($I264="",$E264=0),0,IF(OR($J264&lt;AB$3,$I264&gt;AB$2),0,IF($K264=0,IF(AND($I264&gt;=AB$3,$I264&lt;=AB$2),$E264,0),$E264*NETWORKDAYS(MAX($I264,AB$3),MIN($J264,AB$2),Data!$K$4:$K$203)/$K264)))</f>
        <v>0</v>
      </c>
      <c r="AC264" s="170">
        <f>IF(OR($I264="",$E264=0),0,IF(OR($J264&lt;AC$3,$I264&gt;AC$2),0,IF($K264=0,IF(AND($I264&gt;=AC$3,$I264&lt;=AC$2),$E264,0),$E264*NETWORKDAYS(MAX($I264,AC$3),MIN($J264,AC$2),Data!$K$4:$K$203)/$K264)))</f>
        <v>0</v>
      </c>
      <c r="AD264" s="170">
        <f>IF(OR($I264="",$E264=0),0,IF(OR($J264&lt;AD$3,$I264&gt;AD$2),0,IF($K264=0,IF(AND($I264&gt;=AD$3,$I264&lt;=AD$2),$E264,0),$E264*NETWORKDAYS(MAX($I264,AD$3),MIN($J264,AD$2),Data!$K$4:$K$203)/$K264)))</f>
        <v>0</v>
      </c>
      <c r="AE264" s="170">
        <f>IF(OR($I264="",$E264=0),0,IF(OR($J264&lt;AE$3,$I264&gt;AE$2),0,IF($K264=0,IF(AND($I264&gt;=AE$3,$I264&lt;=AE$2),$E264,0),$E264*NETWORKDAYS(MAX($I264,AE$3),MIN($J264,AE$2),Data!$K$4:$K$203)/$K264)))</f>
        <v>0</v>
      </c>
      <c r="AF264" s="170">
        <f>IF(OR($I264="",$E264=0),0,IF(OR($J264&lt;AF$3,$I264&gt;AF$2),0,IF($K264=0,IF(AND($I264&gt;=AF$3,$I264&lt;=AF$2),$E264,0),$E264*NETWORKDAYS(MAX($I264,AF$3),MIN($J264,AF$2),Data!$K$4:$K$203)/$K264)))</f>
        <v>0</v>
      </c>
      <c r="AG264" s="170">
        <f>IF(OR($I264="",$E264=0),0,IF(OR($J264&lt;AG$3,$I264&gt;AG$2),0,IF($K264=0,IF(AND($I264&gt;=AG$3,$I264&lt;=AG$2),$E264,0),$E264*NETWORKDAYS(MAX($I264,AG$3),MIN($J264,AG$2),Data!$K$4:$K$203)/$K264)))</f>
        <v>0</v>
      </c>
      <c r="AH264" s="170">
        <f>IF(OR($I264="",$E264=0),0,IF(OR($J264&lt;AH$3,$I264&gt;AH$2),0,IF($K264=0,IF(AND($I264&gt;=AH$3,$I264&lt;=AH$2),$E264,0),$E264*NETWORKDAYS(MAX($I264,AH$3),MIN($J264,AH$2),Data!$K$4:$K$203)/$K264)))</f>
        <v>0</v>
      </c>
      <c r="AI264" s="170">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70"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4" t="str">
        <f>IF(EO264=1,IF(FH264&gt;0,FI264/FH264,AVERAGEIF($FF$4:$FF$503,EN264,$C$4:$C$503)),"")</f>
        <v/>
      </c>
      <c r="EV264" s="169">
        <f>IF(ISNUMBER(I264),I264,2958465)</f>
        <v>2958465.0</v>
      </c>
      <c r="EW264" s="169" t="str">
        <f>IF(EO264=1,SUMPRODUCT(MIN(($EN$4:$EN$503=EN264)*$EV$4:$EV$503+($EN$4:$EN$503&lt;&gt;EN264)*2958465)),"")</f>
        <v/>
      </c>
      <c r="EX264" s="169">
        <f>IF(AND(D264=1,ISNUMBER(INDEX(Charge!$F:$F,ROW()))),INDEX(Charge!$F:$F,ROW()),0)</f>
        <v>0.0</v>
      </c>
      <c r="EY264" s="169"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c r="FF264" t="str">
        <f>IF(B264=1,LEFT(SUBSTITUTE(SUBSTITUTE(SUBSTITUTE(TRIM(SUBSTITUTE(INDEX(Charge!$B:$B,ROW()),CHAR(160)," "))&amp;" | "&amp;TRIM(SUBSTITUTE(INDEX(Charge!$C:$C,ROW()),CHAR(160)," "))&amp;" | "&amp;TRIM(SUBSTITUTE(INDEX(Charge!$D:$D,ROW()),CHAR(160)," ")),"~","-"),"*","+"),"?","!"),240),"")</f>
        <v/>
      </c>
      <c r="FG264">
        <f>IF(B264=1,MAX(0,N(INDEX(Charge!$M:$M,ROW()))),0)</f>
        <v>0</v>
      </c>
      <c r="FH264" s="170" t="str">
        <f>IF(EO264=1,ROUND(SUMIF($FF$4:$FF$503,EN264,$FG$4:$FG$503),2),"")</f>
        <v/>
      </c>
      <c r="FI264" s="170" t="str">
        <f>IF(EO264=1,ROUND(SUMPRODUCT(($FF$4:$FF$503=EN264)*$FG$4:$FG$503*$C$4:$C$503),2),"")</f>
        <v/>
      </c>
      <c r="FJ264" s="170" t="str">
        <f>IF(EO264=1,MAX(0,ROUND(FH264-FI264,2)),"")</f>
        <v/>
      </c>
      <c r="FK264" s="174" t="str">
        <f>IF(EO264=1,IF(OR(EW264&gt;=2958465,EY264=0,EY264&lt;=EW264),"",IF(TODAY()&lt;=EW264,0,IF(TODAY()&gt;EY264,1,IFERROR(NETWORKDAYS(EW264,TODAY()-1,Data!$K$4:$K$203)/NETWORKDAYS(EW264,EY264,Data!$K$4:$K$203),"")))),"")</f>
        <v/>
      </c>
      <c r="FL264" t="str">
        <f>IF(EO264=1,IF(AND(EY264&gt;0,EY264&lt;TODAY(),ROUND(EU264,4)&lt;1),2,IF(FK264="",0,IF(ROUND(EU264-FK264,4)&lt;-0.15,1,0))),"")</f>
        <v/>
      </c>
      <c r="FM264">
        <f>IF(OR(FA264="",COUNTIF($FA$4:FA263,FA264)&gt;0),0,MAX(0,IF(FB264="Interne",IF(ISNUMBER(INDEX(Data!$F:$F,264)),INDEX(Data!$F:$F,264),p_HeuresETP),IF(ISNUMBER(INDEX(Data!$I:$I,264-$CD$23)),INDEX(Data!$I:$I,264-$CD$23),p_HeuresETP))-IF(FB264="Interne",IF(ISNUMBER(INDEX(Data!$G:$G,264)),INDEX(Data!$G:$G,264),p_ChargeFixe),IF(ISNUMBER(INDEX(Data!$J:$J,264-$CD$23)),INDEX(Data!$J:$J,264-$CD$23),p_ChargeFixe))))</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9" t="str">
        <f>IF(AND(D265=1,ISNUMBER(INDEX(Charge!$N:$N,ROW()))),INDEX(Charge!$N:$N,ROW()),"")</f>
        <v/>
      </c>
      <c r="J265" s="169"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70">
        <f>IF(OR($I265="",$E265=0),0,IF(OR($J265&lt;W$3,$I265&gt;W$2),0,IF($K265=0,IF(AND($I265&gt;=W$3,$I265&lt;=W$2),$E265,0),$E265*NETWORKDAYS(MAX($I265,W$3),MIN($J265,W$2),Data!$K$4:$K$203)/$K265)))</f>
        <v>0</v>
      </c>
      <c r="X265" s="170">
        <f>IF(OR($I265="",$E265=0),0,IF(OR($J265&lt;X$3,$I265&gt;X$2),0,IF($K265=0,IF(AND($I265&gt;=X$3,$I265&lt;=X$2),$E265,0),$E265*NETWORKDAYS(MAX($I265,X$3),MIN($J265,X$2),Data!$K$4:$K$203)/$K265)))</f>
        <v>0</v>
      </c>
      <c r="Y265" s="170">
        <f>IF(OR($I265="",$E265=0),0,IF(OR($J265&lt;Y$3,$I265&gt;Y$2),0,IF($K265=0,IF(AND($I265&gt;=Y$3,$I265&lt;=Y$2),$E265,0),$E265*NETWORKDAYS(MAX($I265,Y$3),MIN($J265,Y$2),Data!$K$4:$K$203)/$K265)))</f>
        <v>0</v>
      </c>
      <c r="Z265" s="170">
        <f>IF(OR($I265="",$E265=0),0,IF(OR($J265&lt;Z$3,$I265&gt;Z$2),0,IF($K265=0,IF(AND($I265&gt;=Z$3,$I265&lt;=Z$2),$E265,0),$E265*NETWORKDAYS(MAX($I265,Z$3),MIN($J265,Z$2),Data!$K$4:$K$203)/$K265)))</f>
        <v>0</v>
      </c>
      <c r="AA265" s="170">
        <f>IF(OR($I265="",$E265=0),0,IF(OR($J265&lt;AA$3,$I265&gt;AA$2),0,IF($K265=0,IF(AND($I265&gt;=AA$3,$I265&lt;=AA$2),$E265,0),$E265*NETWORKDAYS(MAX($I265,AA$3),MIN($J265,AA$2),Data!$K$4:$K$203)/$K265)))</f>
        <v>0</v>
      </c>
      <c r="AB265" s="170">
        <f>IF(OR($I265="",$E265=0),0,IF(OR($J265&lt;AB$3,$I265&gt;AB$2),0,IF($K265=0,IF(AND($I265&gt;=AB$3,$I265&lt;=AB$2),$E265,0),$E265*NETWORKDAYS(MAX($I265,AB$3),MIN($J265,AB$2),Data!$K$4:$K$203)/$K265)))</f>
        <v>0</v>
      </c>
      <c r="AC265" s="170">
        <f>IF(OR($I265="",$E265=0),0,IF(OR($J265&lt;AC$3,$I265&gt;AC$2),0,IF($K265=0,IF(AND($I265&gt;=AC$3,$I265&lt;=AC$2),$E265,0),$E265*NETWORKDAYS(MAX($I265,AC$3),MIN($J265,AC$2),Data!$K$4:$K$203)/$K265)))</f>
        <v>0</v>
      </c>
      <c r="AD265" s="170">
        <f>IF(OR($I265="",$E265=0),0,IF(OR($J265&lt;AD$3,$I265&gt;AD$2),0,IF($K265=0,IF(AND($I265&gt;=AD$3,$I265&lt;=AD$2),$E265,0),$E265*NETWORKDAYS(MAX($I265,AD$3),MIN($J265,AD$2),Data!$K$4:$K$203)/$K265)))</f>
        <v>0</v>
      </c>
      <c r="AE265" s="170">
        <f>IF(OR($I265="",$E265=0),0,IF(OR($J265&lt;AE$3,$I265&gt;AE$2),0,IF($K265=0,IF(AND($I265&gt;=AE$3,$I265&lt;=AE$2),$E265,0),$E265*NETWORKDAYS(MAX($I265,AE$3),MIN($J265,AE$2),Data!$K$4:$K$203)/$K265)))</f>
        <v>0</v>
      </c>
      <c r="AF265" s="170">
        <f>IF(OR($I265="",$E265=0),0,IF(OR($J265&lt;AF$3,$I265&gt;AF$2),0,IF($K265=0,IF(AND($I265&gt;=AF$3,$I265&lt;=AF$2),$E265,0),$E265*NETWORKDAYS(MAX($I265,AF$3),MIN($J265,AF$2),Data!$K$4:$K$203)/$K265)))</f>
        <v>0</v>
      </c>
      <c r="AG265" s="170">
        <f>IF(OR($I265="",$E265=0),0,IF(OR($J265&lt;AG$3,$I265&gt;AG$2),0,IF($K265=0,IF(AND($I265&gt;=AG$3,$I265&lt;=AG$2),$E265,0),$E265*NETWORKDAYS(MAX($I265,AG$3),MIN($J265,AG$2),Data!$K$4:$K$203)/$K265)))</f>
        <v>0</v>
      </c>
      <c r="AH265" s="170">
        <f>IF(OR($I265="",$E265=0),0,IF(OR($J265&lt;AH$3,$I265&gt;AH$2),0,IF($K265=0,IF(AND($I265&gt;=AH$3,$I265&lt;=AH$2),$E265,0),$E265*NETWORKDAYS(MAX($I265,AH$3),MIN($J265,AH$2),Data!$K$4:$K$203)/$K265)))</f>
        <v>0</v>
      </c>
      <c r="AI265" s="170">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70"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4" t="str">
        <f>IF(EO265=1,IF(FH265&gt;0,FI265/FH265,AVERAGEIF($FF$4:$FF$503,EN265,$C$4:$C$503)),"")</f>
        <v/>
      </c>
      <c r="EV265" s="169">
        <f>IF(ISNUMBER(I265),I265,2958465)</f>
        <v>2958465.0</v>
      </c>
      <c r="EW265" s="169" t="str">
        <f>IF(EO265=1,SUMPRODUCT(MIN(($EN$4:$EN$503=EN265)*$EV$4:$EV$503+($EN$4:$EN$503&lt;&gt;EN265)*2958465)),"")</f>
        <v/>
      </c>
      <c r="EX265" s="169">
        <f>IF(AND(D265=1,ISNUMBER(INDEX(Charge!$F:$F,ROW()))),INDEX(Charge!$F:$F,ROW()),0)</f>
        <v>0.0</v>
      </c>
      <c r="EY265" s="169"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c r="FF265" t="str">
        <f>IF(B265=1,LEFT(SUBSTITUTE(SUBSTITUTE(SUBSTITUTE(TRIM(SUBSTITUTE(INDEX(Charge!$B:$B,ROW()),CHAR(160)," "))&amp;" | "&amp;TRIM(SUBSTITUTE(INDEX(Charge!$C:$C,ROW()),CHAR(160)," "))&amp;" | "&amp;TRIM(SUBSTITUTE(INDEX(Charge!$D:$D,ROW()),CHAR(160)," ")),"~","-"),"*","+"),"?","!"),240),"")</f>
        <v/>
      </c>
      <c r="FG265">
        <f>IF(B265=1,MAX(0,N(INDEX(Charge!$M:$M,ROW()))),0)</f>
        <v>0</v>
      </c>
      <c r="FH265" s="170" t="str">
        <f>IF(EO265=1,ROUND(SUMIF($FF$4:$FF$503,EN265,$FG$4:$FG$503),2),"")</f>
        <v/>
      </c>
      <c r="FI265" s="170" t="str">
        <f>IF(EO265=1,ROUND(SUMPRODUCT(($FF$4:$FF$503=EN265)*$FG$4:$FG$503*$C$4:$C$503),2),"")</f>
        <v/>
      </c>
      <c r="FJ265" s="170" t="str">
        <f>IF(EO265=1,MAX(0,ROUND(FH265-FI265,2)),"")</f>
        <v/>
      </c>
      <c r="FK265" s="174" t="str">
        <f>IF(EO265=1,IF(OR(EW265&gt;=2958465,EY265=0,EY265&lt;=EW265),"",IF(TODAY()&lt;=EW265,0,IF(TODAY()&gt;EY265,1,IFERROR(NETWORKDAYS(EW265,TODAY()-1,Data!$K$4:$K$203)/NETWORKDAYS(EW265,EY265,Data!$K$4:$K$203),"")))),"")</f>
        <v/>
      </c>
      <c r="FL265" t="str">
        <f>IF(EO265=1,IF(AND(EY265&gt;0,EY265&lt;TODAY(),ROUND(EU265,4)&lt;1),2,IF(FK265="",0,IF(ROUND(EU265-FK265,4)&lt;-0.15,1,0))),"")</f>
        <v/>
      </c>
      <c r="FM265">
        <f>IF(OR(FA265="",COUNTIF($FA$4:FA264,FA265)&gt;0),0,MAX(0,IF(FB265="Interne",IF(ISNUMBER(INDEX(Data!$F:$F,265)),INDEX(Data!$F:$F,265),p_HeuresETP),IF(ISNUMBER(INDEX(Data!$I:$I,265-$CD$23)),INDEX(Data!$I:$I,265-$CD$23),p_HeuresETP))-IF(FB265="Interne",IF(ISNUMBER(INDEX(Data!$G:$G,265)),INDEX(Data!$G:$G,265),p_ChargeFixe),IF(ISNUMBER(INDEX(Data!$J:$J,265-$CD$23)),INDEX(Data!$J:$J,265-$CD$23),p_ChargeFixe))))</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9" t="str">
        <f>IF(AND(D266=1,ISNUMBER(INDEX(Charge!$N:$N,ROW()))),INDEX(Charge!$N:$N,ROW()),"")</f>
        <v/>
      </c>
      <c r="J266" s="169"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70">
        <f>IF(OR($I266="",$E266=0),0,IF(OR($J266&lt;W$3,$I266&gt;W$2),0,IF($K266=0,IF(AND($I266&gt;=W$3,$I266&lt;=W$2),$E266,0),$E266*NETWORKDAYS(MAX($I266,W$3),MIN($J266,W$2),Data!$K$4:$K$203)/$K266)))</f>
        <v>0</v>
      </c>
      <c r="X266" s="170">
        <f>IF(OR($I266="",$E266=0),0,IF(OR($J266&lt;X$3,$I266&gt;X$2),0,IF($K266=0,IF(AND($I266&gt;=X$3,$I266&lt;=X$2),$E266,0),$E266*NETWORKDAYS(MAX($I266,X$3),MIN($J266,X$2),Data!$K$4:$K$203)/$K266)))</f>
        <v>0</v>
      </c>
      <c r="Y266" s="170">
        <f>IF(OR($I266="",$E266=0),0,IF(OR($J266&lt;Y$3,$I266&gt;Y$2),0,IF($K266=0,IF(AND($I266&gt;=Y$3,$I266&lt;=Y$2),$E266,0),$E266*NETWORKDAYS(MAX($I266,Y$3),MIN($J266,Y$2),Data!$K$4:$K$203)/$K266)))</f>
        <v>0</v>
      </c>
      <c r="Z266" s="170">
        <f>IF(OR($I266="",$E266=0),0,IF(OR($J266&lt;Z$3,$I266&gt;Z$2),0,IF($K266=0,IF(AND($I266&gt;=Z$3,$I266&lt;=Z$2),$E266,0),$E266*NETWORKDAYS(MAX($I266,Z$3),MIN($J266,Z$2),Data!$K$4:$K$203)/$K266)))</f>
        <v>0</v>
      </c>
      <c r="AA266" s="170">
        <f>IF(OR($I266="",$E266=0),0,IF(OR($J266&lt;AA$3,$I266&gt;AA$2),0,IF($K266=0,IF(AND($I266&gt;=AA$3,$I266&lt;=AA$2),$E266,0),$E266*NETWORKDAYS(MAX($I266,AA$3),MIN($J266,AA$2),Data!$K$4:$K$203)/$K266)))</f>
        <v>0</v>
      </c>
      <c r="AB266" s="170">
        <f>IF(OR($I266="",$E266=0),0,IF(OR($J266&lt;AB$3,$I266&gt;AB$2),0,IF($K266=0,IF(AND($I266&gt;=AB$3,$I266&lt;=AB$2),$E266,0),$E266*NETWORKDAYS(MAX($I266,AB$3),MIN($J266,AB$2),Data!$K$4:$K$203)/$K266)))</f>
        <v>0</v>
      </c>
      <c r="AC266" s="170">
        <f>IF(OR($I266="",$E266=0),0,IF(OR($J266&lt;AC$3,$I266&gt;AC$2),0,IF($K266=0,IF(AND($I266&gt;=AC$3,$I266&lt;=AC$2),$E266,0),$E266*NETWORKDAYS(MAX($I266,AC$3),MIN($J266,AC$2),Data!$K$4:$K$203)/$K266)))</f>
        <v>0</v>
      </c>
      <c r="AD266" s="170">
        <f>IF(OR($I266="",$E266=0),0,IF(OR($J266&lt;AD$3,$I266&gt;AD$2),0,IF($K266=0,IF(AND($I266&gt;=AD$3,$I266&lt;=AD$2),$E266,0),$E266*NETWORKDAYS(MAX($I266,AD$3),MIN($J266,AD$2),Data!$K$4:$K$203)/$K266)))</f>
        <v>0</v>
      </c>
      <c r="AE266" s="170">
        <f>IF(OR($I266="",$E266=0),0,IF(OR($J266&lt;AE$3,$I266&gt;AE$2),0,IF($K266=0,IF(AND($I266&gt;=AE$3,$I266&lt;=AE$2),$E266,0),$E266*NETWORKDAYS(MAX($I266,AE$3),MIN($J266,AE$2),Data!$K$4:$K$203)/$K266)))</f>
        <v>0</v>
      </c>
      <c r="AF266" s="170">
        <f>IF(OR($I266="",$E266=0),0,IF(OR($J266&lt;AF$3,$I266&gt;AF$2),0,IF($K266=0,IF(AND($I266&gt;=AF$3,$I266&lt;=AF$2),$E266,0),$E266*NETWORKDAYS(MAX($I266,AF$3),MIN($J266,AF$2),Data!$K$4:$K$203)/$K266)))</f>
        <v>0</v>
      </c>
      <c r="AG266" s="170">
        <f>IF(OR($I266="",$E266=0),0,IF(OR($J266&lt;AG$3,$I266&gt;AG$2),0,IF($K266=0,IF(AND($I266&gt;=AG$3,$I266&lt;=AG$2),$E266,0),$E266*NETWORKDAYS(MAX($I266,AG$3),MIN($J266,AG$2),Data!$K$4:$K$203)/$K266)))</f>
        <v>0</v>
      </c>
      <c r="AH266" s="170">
        <f>IF(OR($I266="",$E266=0),0,IF(OR($J266&lt;AH$3,$I266&gt;AH$2),0,IF($K266=0,IF(AND($I266&gt;=AH$3,$I266&lt;=AH$2),$E266,0),$E266*NETWORKDAYS(MAX($I266,AH$3),MIN($J266,AH$2),Data!$K$4:$K$203)/$K266)))</f>
        <v>0</v>
      </c>
      <c r="AI266" s="170">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70"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4" t="str">
        <f>IF(EO266=1,IF(FH266&gt;0,FI266/FH266,AVERAGEIF($FF$4:$FF$503,EN266,$C$4:$C$503)),"")</f>
        <v/>
      </c>
      <c r="EV266" s="169">
        <f>IF(ISNUMBER(I266),I266,2958465)</f>
        <v>2958465.0</v>
      </c>
      <c r="EW266" s="169" t="str">
        <f>IF(EO266=1,SUMPRODUCT(MIN(($EN$4:$EN$503=EN266)*$EV$4:$EV$503+($EN$4:$EN$503&lt;&gt;EN266)*2958465)),"")</f>
        <v/>
      </c>
      <c r="EX266" s="169">
        <f>IF(AND(D266=1,ISNUMBER(INDEX(Charge!$F:$F,ROW()))),INDEX(Charge!$F:$F,ROW()),0)</f>
        <v>0.0</v>
      </c>
      <c r="EY266" s="169"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c r="FF266" t="str">
        <f>IF(B266=1,LEFT(SUBSTITUTE(SUBSTITUTE(SUBSTITUTE(TRIM(SUBSTITUTE(INDEX(Charge!$B:$B,ROW()),CHAR(160)," "))&amp;" | "&amp;TRIM(SUBSTITUTE(INDEX(Charge!$C:$C,ROW()),CHAR(160)," "))&amp;" | "&amp;TRIM(SUBSTITUTE(INDEX(Charge!$D:$D,ROW()),CHAR(160)," ")),"~","-"),"*","+"),"?","!"),240),"")</f>
        <v/>
      </c>
      <c r="FG266">
        <f>IF(B266=1,MAX(0,N(INDEX(Charge!$M:$M,ROW()))),0)</f>
        <v>0</v>
      </c>
      <c r="FH266" s="170" t="str">
        <f>IF(EO266=1,ROUND(SUMIF($FF$4:$FF$503,EN266,$FG$4:$FG$503),2),"")</f>
        <v/>
      </c>
      <c r="FI266" s="170" t="str">
        <f>IF(EO266=1,ROUND(SUMPRODUCT(($FF$4:$FF$503=EN266)*$FG$4:$FG$503*$C$4:$C$503),2),"")</f>
        <v/>
      </c>
      <c r="FJ266" s="170" t="str">
        <f>IF(EO266=1,MAX(0,ROUND(FH266-FI266,2)),"")</f>
        <v/>
      </c>
      <c r="FK266" s="174" t="str">
        <f>IF(EO266=1,IF(OR(EW266&gt;=2958465,EY266=0,EY266&lt;=EW266),"",IF(TODAY()&lt;=EW266,0,IF(TODAY()&gt;EY266,1,IFERROR(NETWORKDAYS(EW266,TODAY()-1,Data!$K$4:$K$203)/NETWORKDAYS(EW266,EY266,Data!$K$4:$K$203),"")))),"")</f>
        <v/>
      </c>
      <c r="FL266" t="str">
        <f>IF(EO266=1,IF(AND(EY266&gt;0,EY266&lt;TODAY(),ROUND(EU266,4)&lt;1),2,IF(FK266="",0,IF(ROUND(EU266-FK266,4)&lt;-0.15,1,0))),"")</f>
        <v/>
      </c>
      <c r="FM266">
        <f>IF(OR(FA266="",COUNTIF($FA$4:FA265,FA266)&gt;0),0,MAX(0,IF(FB266="Interne",IF(ISNUMBER(INDEX(Data!$F:$F,266)),INDEX(Data!$F:$F,266),p_HeuresETP),IF(ISNUMBER(INDEX(Data!$I:$I,266-$CD$23)),INDEX(Data!$I:$I,266-$CD$23),p_HeuresETP))-IF(FB266="Interne",IF(ISNUMBER(INDEX(Data!$G:$G,266)),INDEX(Data!$G:$G,266),p_ChargeFixe),IF(ISNUMBER(INDEX(Data!$J:$J,266-$CD$23)),INDEX(Data!$J:$J,266-$CD$23),p_ChargeFixe))))</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9" t="str">
        <f>IF(AND(D267=1,ISNUMBER(INDEX(Charge!$N:$N,ROW()))),INDEX(Charge!$N:$N,ROW()),"")</f>
        <v/>
      </c>
      <c r="J267" s="169"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70">
        <f>IF(OR($I267="",$E267=0),0,IF(OR($J267&lt;W$3,$I267&gt;W$2),0,IF($K267=0,IF(AND($I267&gt;=W$3,$I267&lt;=W$2),$E267,0),$E267*NETWORKDAYS(MAX($I267,W$3),MIN($J267,W$2),Data!$K$4:$K$203)/$K267)))</f>
        <v>0</v>
      </c>
      <c r="X267" s="170">
        <f>IF(OR($I267="",$E267=0),0,IF(OR($J267&lt;X$3,$I267&gt;X$2),0,IF($K267=0,IF(AND($I267&gt;=X$3,$I267&lt;=X$2),$E267,0),$E267*NETWORKDAYS(MAX($I267,X$3),MIN($J267,X$2),Data!$K$4:$K$203)/$K267)))</f>
        <v>0</v>
      </c>
      <c r="Y267" s="170">
        <f>IF(OR($I267="",$E267=0),0,IF(OR($J267&lt;Y$3,$I267&gt;Y$2),0,IF($K267=0,IF(AND($I267&gt;=Y$3,$I267&lt;=Y$2),$E267,0),$E267*NETWORKDAYS(MAX($I267,Y$3),MIN($J267,Y$2),Data!$K$4:$K$203)/$K267)))</f>
        <v>0</v>
      </c>
      <c r="Z267" s="170">
        <f>IF(OR($I267="",$E267=0),0,IF(OR($J267&lt;Z$3,$I267&gt;Z$2),0,IF($K267=0,IF(AND($I267&gt;=Z$3,$I267&lt;=Z$2),$E267,0),$E267*NETWORKDAYS(MAX($I267,Z$3),MIN($J267,Z$2),Data!$K$4:$K$203)/$K267)))</f>
        <v>0</v>
      </c>
      <c r="AA267" s="170">
        <f>IF(OR($I267="",$E267=0),0,IF(OR($J267&lt;AA$3,$I267&gt;AA$2),0,IF($K267=0,IF(AND($I267&gt;=AA$3,$I267&lt;=AA$2),$E267,0),$E267*NETWORKDAYS(MAX($I267,AA$3),MIN($J267,AA$2),Data!$K$4:$K$203)/$K267)))</f>
        <v>0</v>
      </c>
      <c r="AB267" s="170">
        <f>IF(OR($I267="",$E267=0),0,IF(OR($J267&lt;AB$3,$I267&gt;AB$2),0,IF($K267=0,IF(AND($I267&gt;=AB$3,$I267&lt;=AB$2),$E267,0),$E267*NETWORKDAYS(MAX($I267,AB$3),MIN($J267,AB$2),Data!$K$4:$K$203)/$K267)))</f>
        <v>0</v>
      </c>
      <c r="AC267" s="170">
        <f>IF(OR($I267="",$E267=0),0,IF(OR($J267&lt;AC$3,$I267&gt;AC$2),0,IF($K267=0,IF(AND($I267&gt;=AC$3,$I267&lt;=AC$2),$E267,0),$E267*NETWORKDAYS(MAX($I267,AC$3),MIN($J267,AC$2),Data!$K$4:$K$203)/$K267)))</f>
        <v>0</v>
      </c>
      <c r="AD267" s="170">
        <f>IF(OR($I267="",$E267=0),0,IF(OR($J267&lt;AD$3,$I267&gt;AD$2),0,IF($K267=0,IF(AND($I267&gt;=AD$3,$I267&lt;=AD$2),$E267,0),$E267*NETWORKDAYS(MAX($I267,AD$3),MIN($J267,AD$2),Data!$K$4:$K$203)/$K267)))</f>
        <v>0</v>
      </c>
      <c r="AE267" s="170">
        <f>IF(OR($I267="",$E267=0),0,IF(OR($J267&lt;AE$3,$I267&gt;AE$2),0,IF($K267=0,IF(AND($I267&gt;=AE$3,$I267&lt;=AE$2),$E267,0),$E267*NETWORKDAYS(MAX($I267,AE$3),MIN($J267,AE$2),Data!$K$4:$K$203)/$K267)))</f>
        <v>0</v>
      </c>
      <c r="AF267" s="170">
        <f>IF(OR($I267="",$E267=0),0,IF(OR($J267&lt;AF$3,$I267&gt;AF$2),0,IF($K267=0,IF(AND($I267&gt;=AF$3,$I267&lt;=AF$2),$E267,0),$E267*NETWORKDAYS(MAX($I267,AF$3),MIN($J267,AF$2),Data!$K$4:$K$203)/$K267)))</f>
        <v>0</v>
      </c>
      <c r="AG267" s="170">
        <f>IF(OR($I267="",$E267=0),0,IF(OR($J267&lt;AG$3,$I267&gt;AG$2),0,IF($K267=0,IF(AND($I267&gt;=AG$3,$I267&lt;=AG$2),$E267,0),$E267*NETWORKDAYS(MAX($I267,AG$3),MIN($J267,AG$2),Data!$K$4:$K$203)/$K267)))</f>
        <v>0</v>
      </c>
      <c r="AH267" s="170">
        <f>IF(OR($I267="",$E267=0),0,IF(OR($J267&lt;AH$3,$I267&gt;AH$2),0,IF($K267=0,IF(AND($I267&gt;=AH$3,$I267&lt;=AH$2),$E267,0),$E267*NETWORKDAYS(MAX($I267,AH$3),MIN($J267,AH$2),Data!$K$4:$K$203)/$K267)))</f>
        <v>0</v>
      </c>
      <c r="AI267" s="170">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70"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4" t="str">
        <f>IF(EO267=1,IF(FH267&gt;0,FI267/FH267,AVERAGEIF($FF$4:$FF$503,EN267,$C$4:$C$503)),"")</f>
        <v/>
      </c>
      <c r="EV267" s="169">
        <f>IF(ISNUMBER(I267),I267,2958465)</f>
        <v>2958465.0</v>
      </c>
      <c r="EW267" s="169" t="str">
        <f>IF(EO267=1,SUMPRODUCT(MIN(($EN$4:$EN$503=EN267)*$EV$4:$EV$503+($EN$4:$EN$503&lt;&gt;EN267)*2958465)),"")</f>
        <v/>
      </c>
      <c r="EX267" s="169">
        <f>IF(AND(D267=1,ISNUMBER(INDEX(Charge!$F:$F,ROW()))),INDEX(Charge!$F:$F,ROW()),0)</f>
        <v>0.0</v>
      </c>
      <c r="EY267" s="169"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c r="FF267" t="str">
        <f>IF(B267=1,LEFT(SUBSTITUTE(SUBSTITUTE(SUBSTITUTE(TRIM(SUBSTITUTE(INDEX(Charge!$B:$B,ROW()),CHAR(160)," "))&amp;" | "&amp;TRIM(SUBSTITUTE(INDEX(Charge!$C:$C,ROW()),CHAR(160)," "))&amp;" | "&amp;TRIM(SUBSTITUTE(INDEX(Charge!$D:$D,ROW()),CHAR(160)," ")),"~","-"),"*","+"),"?","!"),240),"")</f>
        <v/>
      </c>
      <c r="FG267">
        <f>IF(B267=1,MAX(0,N(INDEX(Charge!$M:$M,ROW()))),0)</f>
        <v>0</v>
      </c>
      <c r="FH267" s="170" t="str">
        <f>IF(EO267=1,ROUND(SUMIF($FF$4:$FF$503,EN267,$FG$4:$FG$503),2),"")</f>
        <v/>
      </c>
      <c r="FI267" s="170" t="str">
        <f>IF(EO267=1,ROUND(SUMPRODUCT(($FF$4:$FF$503=EN267)*$FG$4:$FG$503*$C$4:$C$503),2),"")</f>
        <v/>
      </c>
      <c r="FJ267" s="170" t="str">
        <f>IF(EO267=1,MAX(0,ROUND(FH267-FI267,2)),"")</f>
        <v/>
      </c>
      <c r="FK267" s="174" t="str">
        <f>IF(EO267=1,IF(OR(EW267&gt;=2958465,EY267=0,EY267&lt;=EW267),"",IF(TODAY()&lt;=EW267,0,IF(TODAY()&gt;EY267,1,IFERROR(NETWORKDAYS(EW267,TODAY()-1,Data!$K$4:$K$203)/NETWORKDAYS(EW267,EY267,Data!$K$4:$K$203),"")))),"")</f>
        <v/>
      </c>
      <c r="FL267" t="str">
        <f>IF(EO267=1,IF(AND(EY267&gt;0,EY267&lt;TODAY(),ROUND(EU267,4)&lt;1),2,IF(FK267="",0,IF(ROUND(EU267-FK267,4)&lt;-0.15,1,0))),"")</f>
        <v/>
      </c>
      <c r="FM267">
        <f>IF(OR(FA267="",COUNTIF($FA$4:FA266,FA267)&gt;0),0,MAX(0,IF(FB267="Interne",IF(ISNUMBER(INDEX(Data!$F:$F,267)),INDEX(Data!$F:$F,267),p_HeuresETP),IF(ISNUMBER(INDEX(Data!$I:$I,267-$CD$23)),INDEX(Data!$I:$I,267-$CD$23),p_HeuresETP))-IF(FB267="Interne",IF(ISNUMBER(INDEX(Data!$G:$G,267)),INDEX(Data!$G:$G,267),p_ChargeFixe),IF(ISNUMBER(INDEX(Data!$J:$J,267-$CD$23)),INDEX(Data!$J:$J,267-$CD$23),p_ChargeFixe))))</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9" t="str">
        <f>IF(AND(D268=1,ISNUMBER(INDEX(Charge!$N:$N,ROW()))),INDEX(Charge!$N:$N,ROW()),"")</f>
        <v/>
      </c>
      <c r="J268" s="169"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70">
        <f>IF(OR($I268="",$E268=0),0,IF(OR($J268&lt;W$3,$I268&gt;W$2),0,IF($K268=0,IF(AND($I268&gt;=W$3,$I268&lt;=W$2),$E268,0),$E268*NETWORKDAYS(MAX($I268,W$3),MIN($J268,W$2),Data!$K$4:$K$203)/$K268)))</f>
        <v>0</v>
      </c>
      <c r="X268" s="170">
        <f>IF(OR($I268="",$E268=0),0,IF(OR($J268&lt;X$3,$I268&gt;X$2),0,IF($K268=0,IF(AND($I268&gt;=X$3,$I268&lt;=X$2),$E268,0),$E268*NETWORKDAYS(MAX($I268,X$3),MIN($J268,X$2),Data!$K$4:$K$203)/$K268)))</f>
        <v>0</v>
      </c>
      <c r="Y268" s="170">
        <f>IF(OR($I268="",$E268=0),0,IF(OR($J268&lt;Y$3,$I268&gt;Y$2),0,IF($K268=0,IF(AND($I268&gt;=Y$3,$I268&lt;=Y$2),$E268,0),$E268*NETWORKDAYS(MAX($I268,Y$3),MIN($J268,Y$2),Data!$K$4:$K$203)/$K268)))</f>
        <v>0</v>
      </c>
      <c r="Z268" s="170">
        <f>IF(OR($I268="",$E268=0),0,IF(OR($J268&lt;Z$3,$I268&gt;Z$2),0,IF($K268=0,IF(AND($I268&gt;=Z$3,$I268&lt;=Z$2),$E268,0),$E268*NETWORKDAYS(MAX($I268,Z$3),MIN($J268,Z$2),Data!$K$4:$K$203)/$K268)))</f>
        <v>0</v>
      </c>
      <c r="AA268" s="170">
        <f>IF(OR($I268="",$E268=0),0,IF(OR($J268&lt;AA$3,$I268&gt;AA$2),0,IF($K268=0,IF(AND($I268&gt;=AA$3,$I268&lt;=AA$2),$E268,0),$E268*NETWORKDAYS(MAX($I268,AA$3),MIN($J268,AA$2),Data!$K$4:$K$203)/$K268)))</f>
        <v>0</v>
      </c>
      <c r="AB268" s="170">
        <f>IF(OR($I268="",$E268=0),0,IF(OR($J268&lt;AB$3,$I268&gt;AB$2),0,IF($K268=0,IF(AND($I268&gt;=AB$3,$I268&lt;=AB$2),$E268,0),$E268*NETWORKDAYS(MAX($I268,AB$3),MIN($J268,AB$2),Data!$K$4:$K$203)/$K268)))</f>
        <v>0</v>
      </c>
      <c r="AC268" s="170">
        <f>IF(OR($I268="",$E268=0),0,IF(OR($J268&lt;AC$3,$I268&gt;AC$2),0,IF($K268=0,IF(AND($I268&gt;=AC$3,$I268&lt;=AC$2),$E268,0),$E268*NETWORKDAYS(MAX($I268,AC$3),MIN($J268,AC$2),Data!$K$4:$K$203)/$K268)))</f>
        <v>0</v>
      </c>
      <c r="AD268" s="170">
        <f>IF(OR($I268="",$E268=0),0,IF(OR($J268&lt;AD$3,$I268&gt;AD$2),0,IF($K268=0,IF(AND($I268&gt;=AD$3,$I268&lt;=AD$2),$E268,0),$E268*NETWORKDAYS(MAX($I268,AD$3),MIN($J268,AD$2),Data!$K$4:$K$203)/$K268)))</f>
        <v>0</v>
      </c>
      <c r="AE268" s="170">
        <f>IF(OR($I268="",$E268=0),0,IF(OR($J268&lt;AE$3,$I268&gt;AE$2),0,IF($K268=0,IF(AND($I268&gt;=AE$3,$I268&lt;=AE$2),$E268,0),$E268*NETWORKDAYS(MAX($I268,AE$3),MIN($J268,AE$2),Data!$K$4:$K$203)/$K268)))</f>
        <v>0</v>
      </c>
      <c r="AF268" s="170">
        <f>IF(OR($I268="",$E268=0),0,IF(OR($J268&lt;AF$3,$I268&gt;AF$2),0,IF($K268=0,IF(AND($I268&gt;=AF$3,$I268&lt;=AF$2),$E268,0),$E268*NETWORKDAYS(MAX($I268,AF$3),MIN($J268,AF$2),Data!$K$4:$K$203)/$K268)))</f>
        <v>0</v>
      </c>
      <c r="AG268" s="170">
        <f>IF(OR($I268="",$E268=0),0,IF(OR($J268&lt;AG$3,$I268&gt;AG$2),0,IF($K268=0,IF(AND($I268&gt;=AG$3,$I268&lt;=AG$2),$E268,0),$E268*NETWORKDAYS(MAX($I268,AG$3),MIN($J268,AG$2),Data!$K$4:$K$203)/$K268)))</f>
        <v>0</v>
      </c>
      <c r="AH268" s="170">
        <f>IF(OR($I268="",$E268=0),0,IF(OR($J268&lt;AH$3,$I268&gt;AH$2),0,IF($K268=0,IF(AND($I268&gt;=AH$3,$I268&lt;=AH$2),$E268,0),$E268*NETWORKDAYS(MAX($I268,AH$3),MIN($J268,AH$2),Data!$K$4:$K$203)/$K268)))</f>
        <v>0</v>
      </c>
      <c r="AI268" s="170">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70"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4" t="str">
        <f>IF(EO268=1,IF(FH268&gt;0,FI268/FH268,AVERAGEIF($FF$4:$FF$503,EN268,$C$4:$C$503)),"")</f>
        <v/>
      </c>
      <c r="EV268" s="169">
        <f>IF(ISNUMBER(I268),I268,2958465)</f>
        <v>2958465.0</v>
      </c>
      <c r="EW268" s="169" t="str">
        <f>IF(EO268=1,SUMPRODUCT(MIN(($EN$4:$EN$503=EN268)*$EV$4:$EV$503+($EN$4:$EN$503&lt;&gt;EN268)*2958465)),"")</f>
        <v/>
      </c>
      <c r="EX268" s="169">
        <f>IF(AND(D268=1,ISNUMBER(INDEX(Charge!$F:$F,ROW()))),INDEX(Charge!$F:$F,ROW()),0)</f>
        <v>0.0</v>
      </c>
      <c r="EY268" s="169"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c r="FF268" t="str">
        <f>IF(B268=1,LEFT(SUBSTITUTE(SUBSTITUTE(SUBSTITUTE(TRIM(SUBSTITUTE(INDEX(Charge!$B:$B,ROW()),CHAR(160)," "))&amp;" | "&amp;TRIM(SUBSTITUTE(INDEX(Charge!$C:$C,ROW()),CHAR(160)," "))&amp;" | "&amp;TRIM(SUBSTITUTE(INDEX(Charge!$D:$D,ROW()),CHAR(160)," ")),"~","-"),"*","+"),"?","!"),240),"")</f>
        <v/>
      </c>
      <c r="FG268">
        <f>IF(B268=1,MAX(0,N(INDEX(Charge!$M:$M,ROW()))),0)</f>
        <v>0</v>
      </c>
      <c r="FH268" s="170" t="str">
        <f>IF(EO268=1,ROUND(SUMIF($FF$4:$FF$503,EN268,$FG$4:$FG$503),2),"")</f>
        <v/>
      </c>
      <c r="FI268" s="170" t="str">
        <f>IF(EO268=1,ROUND(SUMPRODUCT(($FF$4:$FF$503=EN268)*$FG$4:$FG$503*$C$4:$C$503),2),"")</f>
        <v/>
      </c>
      <c r="FJ268" s="170" t="str">
        <f>IF(EO268=1,MAX(0,ROUND(FH268-FI268,2)),"")</f>
        <v/>
      </c>
      <c r="FK268" s="174" t="str">
        <f>IF(EO268=1,IF(OR(EW268&gt;=2958465,EY268=0,EY268&lt;=EW268),"",IF(TODAY()&lt;=EW268,0,IF(TODAY()&gt;EY268,1,IFERROR(NETWORKDAYS(EW268,TODAY()-1,Data!$K$4:$K$203)/NETWORKDAYS(EW268,EY268,Data!$K$4:$K$203),"")))),"")</f>
        <v/>
      </c>
      <c r="FL268" t="str">
        <f>IF(EO268=1,IF(AND(EY268&gt;0,EY268&lt;TODAY(),ROUND(EU268,4)&lt;1),2,IF(FK268="",0,IF(ROUND(EU268-FK268,4)&lt;-0.15,1,0))),"")</f>
        <v/>
      </c>
      <c r="FM268">
        <f>IF(OR(FA268="",COUNTIF($FA$4:FA267,FA268)&gt;0),0,MAX(0,IF(FB268="Interne",IF(ISNUMBER(INDEX(Data!$F:$F,268)),INDEX(Data!$F:$F,268),p_HeuresETP),IF(ISNUMBER(INDEX(Data!$I:$I,268-$CD$23)),INDEX(Data!$I:$I,268-$CD$23),p_HeuresETP))-IF(FB268="Interne",IF(ISNUMBER(INDEX(Data!$G:$G,268)),INDEX(Data!$G:$G,268),p_ChargeFixe),IF(ISNUMBER(INDEX(Data!$J:$J,268-$CD$23)),INDEX(Data!$J:$J,268-$CD$23),p_ChargeFixe))))</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9" t="str">
        <f>IF(AND(D269=1,ISNUMBER(INDEX(Charge!$N:$N,ROW()))),INDEX(Charge!$N:$N,ROW()),"")</f>
        <v/>
      </c>
      <c r="J269" s="169"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70">
        <f>IF(OR($I269="",$E269=0),0,IF(OR($J269&lt;W$3,$I269&gt;W$2),0,IF($K269=0,IF(AND($I269&gt;=W$3,$I269&lt;=W$2),$E269,0),$E269*NETWORKDAYS(MAX($I269,W$3),MIN($J269,W$2),Data!$K$4:$K$203)/$K269)))</f>
        <v>0</v>
      </c>
      <c r="X269" s="170">
        <f>IF(OR($I269="",$E269=0),0,IF(OR($J269&lt;X$3,$I269&gt;X$2),0,IF($K269=0,IF(AND($I269&gt;=X$3,$I269&lt;=X$2),$E269,0),$E269*NETWORKDAYS(MAX($I269,X$3),MIN($J269,X$2),Data!$K$4:$K$203)/$K269)))</f>
        <v>0</v>
      </c>
      <c r="Y269" s="170">
        <f>IF(OR($I269="",$E269=0),0,IF(OR($J269&lt;Y$3,$I269&gt;Y$2),0,IF($K269=0,IF(AND($I269&gt;=Y$3,$I269&lt;=Y$2),$E269,0),$E269*NETWORKDAYS(MAX($I269,Y$3),MIN($J269,Y$2),Data!$K$4:$K$203)/$K269)))</f>
        <v>0</v>
      </c>
      <c r="Z269" s="170">
        <f>IF(OR($I269="",$E269=0),0,IF(OR($J269&lt;Z$3,$I269&gt;Z$2),0,IF($K269=0,IF(AND($I269&gt;=Z$3,$I269&lt;=Z$2),$E269,0),$E269*NETWORKDAYS(MAX($I269,Z$3),MIN($J269,Z$2),Data!$K$4:$K$203)/$K269)))</f>
        <v>0</v>
      </c>
      <c r="AA269" s="170">
        <f>IF(OR($I269="",$E269=0),0,IF(OR($J269&lt;AA$3,$I269&gt;AA$2),0,IF($K269=0,IF(AND($I269&gt;=AA$3,$I269&lt;=AA$2),$E269,0),$E269*NETWORKDAYS(MAX($I269,AA$3),MIN($J269,AA$2),Data!$K$4:$K$203)/$K269)))</f>
        <v>0</v>
      </c>
      <c r="AB269" s="170">
        <f>IF(OR($I269="",$E269=0),0,IF(OR($J269&lt;AB$3,$I269&gt;AB$2),0,IF($K269=0,IF(AND($I269&gt;=AB$3,$I269&lt;=AB$2),$E269,0),$E269*NETWORKDAYS(MAX($I269,AB$3),MIN($J269,AB$2),Data!$K$4:$K$203)/$K269)))</f>
        <v>0</v>
      </c>
      <c r="AC269" s="170">
        <f>IF(OR($I269="",$E269=0),0,IF(OR($J269&lt;AC$3,$I269&gt;AC$2),0,IF($K269=0,IF(AND($I269&gt;=AC$3,$I269&lt;=AC$2),$E269,0),$E269*NETWORKDAYS(MAX($I269,AC$3),MIN($J269,AC$2),Data!$K$4:$K$203)/$K269)))</f>
        <v>0</v>
      </c>
      <c r="AD269" s="170">
        <f>IF(OR($I269="",$E269=0),0,IF(OR($J269&lt;AD$3,$I269&gt;AD$2),0,IF($K269=0,IF(AND($I269&gt;=AD$3,$I269&lt;=AD$2),$E269,0),$E269*NETWORKDAYS(MAX($I269,AD$3),MIN($J269,AD$2),Data!$K$4:$K$203)/$K269)))</f>
        <v>0</v>
      </c>
      <c r="AE269" s="170">
        <f>IF(OR($I269="",$E269=0),0,IF(OR($J269&lt;AE$3,$I269&gt;AE$2),0,IF($K269=0,IF(AND($I269&gt;=AE$3,$I269&lt;=AE$2),$E269,0),$E269*NETWORKDAYS(MAX($I269,AE$3),MIN($J269,AE$2),Data!$K$4:$K$203)/$K269)))</f>
        <v>0</v>
      </c>
      <c r="AF269" s="170">
        <f>IF(OR($I269="",$E269=0),0,IF(OR($J269&lt;AF$3,$I269&gt;AF$2),0,IF($K269=0,IF(AND($I269&gt;=AF$3,$I269&lt;=AF$2),$E269,0),$E269*NETWORKDAYS(MAX($I269,AF$3),MIN($J269,AF$2),Data!$K$4:$K$203)/$K269)))</f>
        <v>0</v>
      </c>
      <c r="AG269" s="170">
        <f>IF(OR($I269="",$E269=0),0,IF(OR($J269&lt;AG$3,$I269&gt;AG$2),0,IF($K269=0,IF(AND($I269&gt;=AG$3,$I269&lt;=AG$2),$E269,0),$E269*NETWORKDAYS(MAX($I269,AG$3),MIN($J269,AG$2),Data!$K$4:$K$203)/$K269)))</f>
        <v>0</v>
      </c>
      <c r="AH269" s="170">
        <f>IF(OR($I269="",$E269=0),0,IF(OR($J269&lt;AH$3,$I269&gt;AH$2),0,IF($K269=0,IF(AND($I269&gt;=AH$3,$I269&lt;=AH$2),$E269,0),$E269*NETWORKDAYS(MAX($I269,AH$3),MIN($J269,AH$2),Data!$K$4:$K$203)/$K269)))</f>
        <v>0</v>
      </c>
      <c r="AI269" s="170">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70"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4" t="str">
        <f>IF(EO269=1,IF(FH269&gt;0,FI269/FH269,AVERAGEIF($FF$4:$FF$503,EN269,$C$4:$C$503)),"")</f>
        <v/>
      </c>
      <c r="EV269" s="169">
        <f>IF(ISNUMBER(I269),I269,2958465)</f>
        <v>2958465.0</v>
      </c>
      <c r="EW269" s="169" t="str">
        <f>IF(EO269=1,SUMPRODUCT(MIN(($EN$4:$EN$503=EN269)*$EV$4:$EV$503+($EN$4:$EN$503&lt;&gt;EN269)*2958465)),"")</f>
        <v/>
      </c>
      <c r="EX269" s="169">
        <f>IF(AND(D269=1,ISNUMBER(INDEX(Charge!$F:$F,ROW()))),INDEX(Charge!$F:$F,ROW()),0)</f>
        <v>0.0</v>
      </c>
      <c r="EY269" s="169"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c r="FF269" t="str">
        <f>IF(B269=1,LEFT(SUBSTITUTE(SUBSTITUTE(SUBSTITUTE(TRIM(SUBSTITUTE(INDEX(Charge!$B:$B,ROW()),CHAR(160)," "))&amp;" | "&amp;TRIM(SUBSTITUTE(INDEX(Charge!$C:$C,ROW()),CHAR(160)," "))&amp;" | "&amp;TRIM(SUBSTITUTE(INDEX(Charge!$D:$D,ROW()),CHAR(160)," ")),"~","-"),"*","+"),"?","!"),240),"")</f>
        <v/>
      </c>
      <c r="FG269">
        <f>IF(B269=1,MAX(0,N(INDEX(Charge!$M:$M,ROW()))),0)</f>
        <v>0</v>
      </c>
      <c r="FH269" s="170" t="str">
        <f>IF(EO269=1,ROUND(SUMIF($FF$4:$FF$503,EN269,$FG$4:$FG$503),2),"")</f>
        <v/>
      </c>
      <c r="FI269" s="170" t="str">
        <f>IF(EO269=1,ROUND(SUMPRODUCT(($FF$4:$FF$503=EN269)*$FG$4:$FG$503*$C$4:$C$503),2),"")</f>
        <v/>
      </c>
      <c r="FJ269" s="170" t="str">
        <f>IF(EO269=1,MAX(0,ROUND(FH269-FI269,2)),"")</f>
        <v/>
      </c>
      <c r="FK269" s="174" t="str">
        <f>IF(EO269=1,IF(OR(EW269&gt;=2958465,EY269=0,EY269&lt;=EW269),"",IF(TODAY()&lt;=EW269,0,IF(TODAY()&gt;EY269,1,IFERROR(NETWORKDAYS(EW269,TODAY()-1,Data!$K$4:$K$203)/NETWORKDAYS(EW269,EY269,Data!$K$4:$K$203),"")))),"")</f>
        <v/>
      </c>
      <c r="FL269" t="str">
        <f>IF(EO269=1,IF(AND(EY269&gt;0,EY269&lt;TODAY(),ROUND(EU269,4)&lt;1),2,IF(FK269="",0,IF(ROUND(EU269-FK269,4)&lt;-0.15,1,0))),"")</f>
        <v/>
      </c>
      <c r="FM269">
        <f>IF(OR(FA269="",COUNTIF($FA$4:FA268,FA269)&gt;0),0,MAX(0,IF(FB269="Interne",IF(ISNUMBER(INDEX(Data!$F:$F,269)),INDEX(Data!$F:$F,269),p_HeuresETP),IF(ISNUMBER(INDEX(Data!$I:$I,269-$CD$23)),INDEX(Data!$I:$I,269-$CD$23),p_HeuresETP))-IF(FB269="Interne",IF(ISNUMBER(INDEX(Data!$G:$G,269)),INDEX(Data!$G:$G,269),p_ChargeFixe),IF(ISNUMBER(INDEX(Data!$J:$J,269-$CD$23)),INDEX(Data!$J:$J,269-$CD$23),p_ChargeFixe))))</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9" t="str">
        <f>IF(AND(D270=1,ISNUMBER(INDEX(Charge!$N:$N,ROW()))),INDEX(Charge!$N:$N,ROW()),"")</f>
        <v/>
      </c>
      <c r="J270" s="169"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70">
        <f>IF(OR($I270="",$E270=0),0,IF(OR($J270&lt;W$3,$I270&gt;W$2),0,IF($K270=0,IF(AND($I270&gt;=W$3,$I270&lt;=W$2),$E270,0),$E270*NETWORKDAYS(MAX($I270,W$3),MIN($J270,W$2),Data!$K$4:$K$203)/$K270)))</f>
        <v>0</v>
      </c>
      <c r="X270" s="170">
        <f>IF(OR($I270="",$E270=0),0,IF(OR($J270&lt;X$3,$I270&gt;X$2),0,IF($K270=0,IF(AND($I270&gt;=X$3,$I270&lt;=X$2),$E270,0),$E270*NETWORKDAYS(MAX($I270,X$3),MIN($J270,X$2),Data!$K$4:$K$203)/$K270)))</f>
        <v>0</v>
      </c>
      <c r="Y270" s="170">
        <f>IF(OR($I270="",$E270=0),0,IF(OR($J270&lt;Y$3,$I270&gt;Y$2),0,IF($K270=0,IF(AND($I270&gt;=Y$3,$I270&lt;=Y$2),$E270,0),$E270*NETWORKDAYS(MAX($I270,Y$3),MIN($J270,Y$2),Data!$K$4:$K$203)/$K270)))</f>
        <v>0</v>
      </c>
      <c r="Z270" s="170">
        <f>IF(OR($I270="",$E270=0),0,IF(OR($J270&lt;Z$3,$I270&gt;Z$2),0,IF($K270=0,IF(AND($I270&gt;=Z$3,$I270&lt;=Z$2),$E270,0),$E270*NETWORKDAYS(MAX($I270,Z$3),MIN($J270,Z$2),Data!$K$4:$K$203)/$K270)))</f>
        <v>0</v>
      </c>
      <c r="AA270" s="170">
        <f>IF(OR($I270="",$E270=0),0,IF(OR($J270&lt;AA$3,$I270&gt;AA$2),0,IF($K270=0,IF(AND($I270&gt;=AA$3,$I270&lt;=AA$2),$E270,0),$E270*NETWORKDAYS(MAX($I270,AA$3),MIN($J270,AA$2),Data!$K$4:$K$203)/$K270)))</f>
        <v>0</v>
      </c>
      <c r="AB270" s="170">
        <f>IF(OR($I270="",$E270=0),0,IF(OR($J270&lt;AB$3,$I270&gt;AB$2),0,IF($K270=0,IF(AND($I270&gt;=AB$3,$I270&lt;=AB$2),$E270,0),$E270*NETWORKDAYS(MAX($I270,AB$3),MIN($J270,AB$2),Data!$K$4:$K$203)/$K270)))</f>
        <v>0</v>
      </c>
      <c r="AC270" s="170">
        <f>IF(OR($I270="",$E270=0),0,IF(OR($J270&lt;AC$3,$I270&gt;AC$2),0,IF($K270=0,IF(AND($I270&gt;=AC$3,$I270&lt;=AC$2),$E270,0),$E270*NETWORKDAYS(MAX($I270,AC$3),MIN($J270,AC$2),Data!$K$4:$K$203)/$K270)))</f>
        <v>0</v>
      </c>
      <c r="AD270" s="170">
        <f>IF(OR($I270="",$E270=0),0,IF(OR($J270&lt;AD$3,$I270&gt;AD$2),0,IF($K270=0,IF(AND($I270&gt;=AD$3,$I270&lt;=AD$2),$E270,0),$E270*NETWORKDAYS(MAX($I270,AD$3),MIN($J270,AD$2),Data!$K$4:$K$203)/$K270)))</f>
        <v>0</v>
      </c>
      <c r="AE270" s="170">
        <f>IF(OR($I270="",$E270=0),0,IF(OR($J270&lt;AE$3,$I270&gt;AE$2),0,IF($K270=0,IF(AND($I270&gt;=AE$3,$I270&lt;=AE$2),$E270,0),$E270*NETWORKDAYS(MAX($I270,AE$3),MIN($J270,AE$2),Data!$K$4:$K$203)/$K270)))</f>
        <v>0</v>
      </c>
      <c r="AF270" s="170">
        <f>IF(OR($I270="",$E270=0),0,IF(OR($J270&lt;AF$3,$I270&gt;AF$2),0,IF($K270=0,IF(AND($I270&gt;=AF$3,$I270&lt;=AF$2),$E270,0),$E270*NETWORKDAYS(MAX($I270,AF$3),MIN($J270,AF$2),Data!$K$4:$K$203)/$K270)))</f>
        <v>0</v>
      </c>
      <c r="AG270" s="170">
        <f>IF(OR($I270="",$E270=0),0,IF(OR($J270&lt;AG$3,$I270&gt;AG$2),0,IF($K270=0,IF(AND($I270&gt;=AG$3,$I270&lt;=AG$2),$E270,0),$E270*NETWORKDAYS(MAX($I270,AG$3),MIN($J270,AG$2),Data!$K$4:$K$203)/$K270)))</f>
        <v>0</v>
      </c>
      <c r="AH270" s="170">
        <f>IF(OR($I270="",$E270=0),0,IF(OR($J270&lt;AH$3,$I270&gt;AH$2),0,IF($K270=0,IF(AND($I270&gt;=AH$3,$I270&lt;=AH$2),$E270,0),$E270*NETWORKDAYS(MAX($I270,AH$3),MIN($J270,AH$2),Data!$K$4:$K$203)/$K270)))</f>
        <v>0</v>
      </c>
      <c r="AI270" s="170">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70"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4" t="str">
        <f>IF(EO270=1,IF(FH270&gt;0,FI270/FH270,AVERAGEIF($FF$4:$FF$503,EN270,$C$4:$C$503)),"")</f>
        <v/>
      </c>
      <c r="EV270" s="169">
        <f>IF(ISNUMBER(I270),I270,2958465)</f>
        <v>2958465.0</v>
      </c>
      <c r="EW270" s="169" t="str">
        <f>IF(EO270=1,SUMPRODUCT(MIN(($EN$4:$EN$503=EN270)*$EV$4:$EV$503+($EN$4:$EN$503&lt;&gt;EN270)*2958465)),"")</f>
        <v/>
      </c>
      <c r="EX270" s="169">
        <f>IF(AND(D270=1,ISNUMBER(INDEX(Charge!$F:$F,ROW()))),INDEX(Charge!$F:$F,ROW()),0)</f>
        <v>0.0</v>
      </c>
      <c r="EY270" s="169"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c r="FF270" t="str">
        <f>IF(B270=1,LEFT(SUBSTITUTE(SUBSTITUTE(SUBSTITUTE(TRIM(SUBSTITUTE(INDEX(Charge!$B:$B,ROW()),CHAR(160)," "))&amp;" | "&amp;TRIM(SUBSTITUTE(INDEX(Charge!$C:$C,ROW()),CHAR(160)," "))&amp;" | "&amp;TRIM(SUBSTITUTE(INDEX(Charge!$D:$D,ROW()),CHAR(160)," ")),"~","-"),"*","+"),"?","!"),240),"")</f>
        <v/>
      </c>
      <c r="FG270">
        <f>IF(B270=1,MAX(0,N(INDEX(Charge!$M:$M,ROW()))),0)</f>
        <v>0</v>
      </c>
      <c r="FH270" s="170" t="str">
        <f>IF(EO270=1,ROUND(SUMIF($FF$4:$FF$503,EN270,$FG$4:$FG$503),2),"")</f>
        <v/>
      </c>
      <c r="FI270" s="170" t="str">
        <f>IF(EO270=1,ROUND(SUMPRODUCT(($FF$4:$FF$503=EN270)*$FG$4:$FG$503*$C$4:$C$503),2),"")</f>
        <v/>
      </c>
      <c r="FJ270" s="170" t="str">
        <f>IF(EO270=1,MAX(0,ROUND(FH270-FI270,2)),"")</f>
        <v/>
      </c>
      <c r="FK270" s="174" t="str">
        <f>IF(EO270=1,IF(OR(EW270&gt;=2958465,EY270=0,EY270&lt;=EW270),"",IF(TODAY()&lt;=EW270,0,IF(TODAY()&gt;EY270,1,IFERROR(NETWORKDAYS(EW270,TODAY()-1,Data!$K$4:$K$203)/NETWORKDAYS(EW270,EY270,Data!$K$4:$K$203),"")))),"")</f>
        <v/>
      </c>
      <c r="FL270" t="str">
        <f>IF(EO270=1,IF(AND(EY270&gt;0,EY270&lt;TODAY(),ROUND(EU270,4)&lt;1),2,IF(FK270="",0,IF(ROUND(EU270-FK270,4)&lt;-0.15,1,0))),"")</f>
        <v/>
      </c>
      <c r="FM270">
        <f>IF(OR(FA270="",COUNTIF($FA$4:FA269,FA270)&gt;0),0,MAX(0,IF(FB270="Interne",IF(ISNUMBER(INDEX(Data!$F:$F,270)),INDEX(Data!$F:$F,270),p_HeuresETP),IF(ISNUMBER(INDEX(Data!$I:$I,270-$CD$23)),INDEX(Data!$I:$I,270-$CD$23),p_HeuresETP))-IF(FB270="Interne",IF(ISNUMBER(INDEX(Data!$G:$G,270)),INDEX(Data!$G:$G,270),p_ChargeFixe),IF(ISNUMBER(INDEX(Data!$J:$J,270-$CD$23)),INDEX(Data!$J:$J,270-$CD$23),p_ChargeFixe))))</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9" t="str">
        <f>IF(AND(D271=1,ISNUMBER(INDEX(Charge!$N:$N,ROW()))),INDEX(Charge!$N:$N,ROW()),"")</f>
        <v/>
      </c>
      <c r="J271" s="169"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70">
        <f>IF(OR($I271="",$E271=0),0,IF(OR($J271&lt;W$3,$I271&gt;W$2),0,IF($K271=0,IF(AND($I271&gt;=W$3,$I271&lt;=W$2),$E271,0),$E271*NETWORKDAYS(MAX($I271,W$3),MIN($J271,W$2),Data!$K$4:$K$203)/$K271)))</f>
        <v>0</v>
      </c>
      <c r="X271" s="170">
        <f>IF(OR($I271="",$E271=0),0,IF(OR($J271&lt;X$3,$I271&gt;X$2),0,IF($K271=0,IF(AND($I271&gt;=X$3,$I271&lt;=X$2),$E271,0),$E271*NETWORKDAYS(MAX($I271,X$3),MIN($J271,X$2),Data!$K$4:$K$203)/$K271)))</f>
        <v>0</v>
      </c>
      <c r="Y271" s="170">
        <f>IF(OR($I271="",$E271=0),0,IF(OR($J271&lt;Y$3,$I271&gt;Y$2),0,IF($K271=0,IF(AND($I271&gt;=Y$3,$I271&lt;=Y$2),$E271,0),$E271*NETWORKDAYS(MAX($I271,Y$3),MIN($J271,Y$2),Data!$K$4:$K$203)/$K271)))</f>
        <v>0</v>
      </c>
      <c r="Z271" s="170">
        <f>IF(OR($I271="",$E271=0),0,IF(OR($J271&lt;Z$3,$I271&gt;Z$2),0,IF($K271=0,IF(AND($I271&gt;=Z$3,$I271&lt;=Z$2),$E271,0),$E271*NETWORKDAYS(MAX($I271,Z$3),MIN($J271,Z$2),Data!$K$4:$K$203)/$K271)))</f>
        <v>0</v>
      </c>
      <c r="AA271" s="170">
        <f>IF(OR($I271="",$E271=0),0,IF(OR($J271&lt;AA$3,$I271&gt;AA$2),0,IF($K271=0,IF(AND($I271&gt;=AA$3,$I271&lt;=AA$2),$E271,0),$E271*NETWORKDAYS(MAX($I271,AA$3),MIN($J271,AA$2),Data!$K$4:$K$203)/$K271)))</f>
        <v>0</v>
      </c>
      <c r="AB271" s="170">
        <f>IF(OR($I271="",$E271=0),0,IF(OR($J271&lt;AB$3,$I271&gt;AB$2),0,IF($K271=0,IF(AND($I271&gt;=AB$3,$I271&lt;=AB$2),$E271,0),$E271*NETWORKDAYS(MAX($I271,AB$3),MIN($J271,AB$2),Data!$K$4:$K$203)/$K271)))</f>
        <v>0</v>
      </c>
      <c r="AC271" s="170">
        <f>IF(OR($I271="",$E271=0),0,IF(OR($J271&lt;AC$3,$I271&gt;AC$2),0,IF($K271=0,IF(AND($I271&gt;=AC$3,$I271&lt;=AC$2),$E271,0),$E271*NETWORKDAYS(MAX($I271,AC$3),MIN($J271,AC$2),Data!$K$4:$K$203)/$K271)))</f>
        <v>0</v>
      </c>
      <c r="AD271" s="170">
        <f>IF(OR($I271="",$E271=0),0,IF(OR($J271&lt;AD$3,$I271&gt;AD$2),0,IF($K271=0,IF(AND($I271&gt;=AD$3,$I271&lt;=AD$2),$E271,0),$E271*NETWORKDAYS(MAX($I271,AD$3),MIN($J271,AD$2),Data!$K$4:$K$203)/$K271)))</f>
        <v>0</v>
      </c>
      <c r="AE271" s="170">
        <f>IF(OR($I271="",$E271=0),0,IF(OR($J271&lt;AE$3,$I271&gt;AE$2),0,IF($K271=0,IF(AND($I271&gt;=AE$3,$I271&lt;=AE$2),$E271,0),$E271*NETWORKDAYS(MAX($I271,AE$3),MIN($J271,AE$2),Data!$K$4:$K$203)/$K271)))</f>
        <v>0</v>
      </c>
      <c r="AF271" s="170">
        <f>IF(OR($I271="",$E271=0),0,IF(OR($J271&lt;AF$3,$I271&gt;AF$2),0,IF($K271=0,IF(AND($I271&gt;=AF$3,$I271&lt;=AF$2),$E271,0),$E271*NETWORKDAYS(MAX($I271,AF$3),MIN($J271,AF$2),Data!$K$4:$K$203)/$K271)))</f>
        <v>0</v>
      </c>
      <c r="AG271" s="170">
        <f>IF(OR($I271="",$E271=0),0,IF(OR($J271&lt;AG$3,$I271&gt;AG$2),0,IF($K271=0,IF(AND($I271&gt;=AG$3,$I271&lt;=AG$2),$E271,0),$E271*NETWORKDAYS(MAX($I271,AG$3),MIN($J271,AG$2),Data!$K$4:$K$203)/$K271)))</f>
        <v>0</v>
      </c>
      <c r="AH271" s="170">
        <f>IF(OR($I271="",$E271=0),0,IF(OR($J271&lt;AH$3,$I271&gt;AH$2),0,IF($K271=0,IF(AND($I271&gt;=AH$3,$I271&lt;=AH$2),$E271,0),$E271*NETWORKDAYS(MAX($I271,AH$3),MIN($J271,AH$2),Data!$K$4:$K$203)/$K271)))</f>
        <v>0</v>
      </c>
      <c r="AI271" s="170">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70"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4" t="str">
        <f>IF(EO271=1,IF(FH271&gt;0,FI271/FH271,AVERAGEIF($FF$4:$FF$503,EN271,$C$4:$C$503)),"")</f>
        <v/>
      </c>
      <c r="EV271" s="169">
        <f>IF(ISNUMBER(I271),I271,2958465)</f>
        <v>2958465.0</v>
      </c>
      <c r="EW271" s="169" t="str">
        <f>IF(EO271=1,SUMPRODUCT(MIN(($EN$4:$EN$503=EN271)*$EV$4:$EV$503+($EN$4:$EN$503&lt;&gt;EN271)*2958465)),"")</f>
        <v/>
      </c>
      <c r="EX271" s="169">
        <f>IF(AND(D271=1,ISNUMBER(INDEX(Charge!$F:$F,ROW()))),INDEX(Charge!$F:$F,ROW()),0)</f>
        <v>0.0</v>
      </c>
      <c r="EY271" s="169"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c r="FF271" t="str">
        <f>IF(B271=1,LEFT(SUBSTITUTE(SUBSTITUTE(SUBSTITUTE(TRIM(SUBSTITUTE(INDEX(Charge!$B:$B,ROW()),CHAR(160)," "))&amp;" | "&amp;TRIM(SUBSTITUTE(INDEX(Charge!$C:$C,ROW()),CHAR(160)," "))&amp;" | "&amp;TRIM(SUBSTITUTE(INDEX(Charge!$D:$D,ROW()),CHAR(160)," ")),"~","-"),"*","+"),"?","!"),240),"")</f>
        <v/>
      </c>
      <c r="FG271">
        <f>IF(B271=1,MAX(0,N(INDEX(Charge!$M:$M,ROW()))),0)</f>
        <v>0</v>
      </c>
      <c r="FH271" s="170" t="str">
        <f>IF(EO271=1,ROUND(SUMIF($FF$4:$FF$503,EN271,$FG$4:$FG$503),2),"")</f>
        <v/>
      </c>
      <c r="FI271" s="170" t="str">
        <f>IF(EO271=1,ROUND(SUMPRODUCT(($FF$4:$FF$503=EN271)*$FG$4:$FG$503*$C$4:$C$503),2),"")</f>
        <v/>
      </c>
      <c r="FJ271" s="170" t="str">
        <f>IF(EO271=1,MAX(0,ROUND(FH271-FI271,2)),"")</f>
        <v/>
      </c>
      <c r="FK271" s="174" t="str">
        <f>IF(EO271=1,IF(OR(EW271&gt;=2958465,EY271=0,EY271&lt;=EW271),"",IF(TODAY()&lt;=EW271,0,IF(TODAY()&gt;EY271,1,IFERROR(NETWORKDAYS(EW271,TODAY()-1,Data!$K$4:$K$203)/NETWORKDAYS(EW271,EY271,Data!$K$4:$K$203),"")))),"")</f>
        <v/>
      </c>
      <c r="FL271" t="str">
        <f>IF(EO271=1,IF(AND(EY271&gt;0,EY271&lt;TODAY(),ROUND(EU271,4)&lt;1),2,IF(FK271="",0,IF(ROUND(EU271-FK271,4)&lt;-0.15,1,0))),"")</f>
        <v/>
      </c>
      <c r="FM271">
        <f>IF(OR(FA271="",COUNTIF($FA$4:FA270,FA271)&gt;0),0,MAX(0,IF(FB271="Interne",IF(ISNUMBER(INDEX(Data!$F:$F,271)),INDEX(Data!$F:$F,271),p_HeuresETP),IF(ISNUMBER(INDEX(Data!$I:$I,271-$CD$23)),INDEX(Data!$I:$I,271-$CD$23),p_HeuresETP))-IF(FB271="Interne",IF(ISNUMBER(INDEX(Data!$G:$G,271)),INDEX(Data!$G:$G,271),p_ChargeFixe),IF(ISNUMBER(INDEX(Data!$J:$J,271-$CD$23)),INDEX(Data!$J:$J,271-$CD$23),p_ChargeFixe))))</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9" t="str">
        <f>IF(AND(D272=1,ISNUMBER(INDEX(Charge!$N:$N,ROW()))),INDEX(Charge!$N:$N,ROW()),"")</f>
        <v/>
      </c>
      <c r="J272" s="169"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70">
        <f>IF(OR($I272="",$E272=0),0,IF(OR($J272&lt;W$3,$I272&gt;W$2),0,IF($K272=0,IF(AND($I272&gt;=W$3,$I272&lt;=W$2),$E272,0),$E272*NETWORKDAYS(MAX($I272,W$3),MIN($J272,W$2),Data!$K$4:$K$203)/$K272)))</f>
        <v>0</v>
      </c>
      <c r="X272" s="170">
        <f>IF(OR($I272="",$E272=0),0,IF(OR($J272&lt;X$3,$I272&gt;X$2),0,IF($K272=0,IF(AND($I272&gt;=X$3,$I272&lt;=X$2),$E272,0),$E272*NETWORKDAYS(MAX($I272,X$3),MIN($J272,X$2),Data!$K$4:$K$203)/$K272)))</f>
        <v>0</v>
      </c>
      <c r="Y272" s="170">
        <f>IF(OR($I272="",$E272=0),0,IF(OR($J272&lt;Y$3,$I272&gt;Y$2),0,IF($K272=0,IF(AND($I272&gt;=Y$3,$I272&lt;=Y$2),$E272,0),$E272*NETWORKDAYS(MAX($I272,Y$3),MIN($J272,Y$2),Data!$K$4:$K$203)/$K272)))</f>
        <v>0</v>
      </c>
      <c r="Z272" s="170">
        <f>IF(OR($I272="",$E272=0),0,IF(OR($J272&lt;Z$3,$I272&gt;Z$2),0,IF($K272=0,IF(AND($I272&gt;=Z$3,$I272&lt;=Z$2),$E272,0),$E272*NETWORKDAYS(MAX($I272,Z$3),MIN($J272,Z$2),Data!$K$4:$K$203)/$K272)))</f>
        <v>0</v>
      </c>
      <c r="AA272" s="170">
        <f>IF(OR($I272="",$E272=0),0,IF(OR($J272&lt;AA$3,$I272&gt;AA$2),0,IF($K272=0,IF(AND($I272&gt;=AA$3,$I272&lt;=AA$2),$E272,0),$E272*NETWORKDAYS(MAX($I272,AA$3),MIN($J272,AA$2),Data!$K$4:$K$203)/$K272)))</f>
        <v>0</v>
      </c>
      <c r="AB272" s="170">
        <f>IF(OR($I272="",$E272=0),0,IF(OR($J272&lt;AB$3,$I272&gt;AB$2),0,IF($K272=0,IF(AND($I272&gt;=AB$3,$I272&lt;=AB$2),$E272,0),$E272*NETWORKDAYS(MAX($I272,AB$3),MIN($J272,AB$2),Data!$K$4:$K$203)/$K272)))</f>
        <v>0</v>
      </c>
      <c r="AC272" s="170">
        <f>IF(OR($I272="",$E272=0),0,IF(OR($J272&lt;AC$3,$I272&gt;AC$2),0,IF($K272=0,IF(AND($I272&gt;=AC$3,$I272&lt;=AC$2),$E272,0),$E272*NETWORKDAYS(MAX($I272,AC$3),MIN($J272,AC$2),Data!$K$4:$K$203)/$K272)))</f>
        <v>0</v>
      </c>
      <c r="AD272" s="170">
        <f>IF(OR($I272="",$E272=0),0,IF(OR($J272&lt;AD$3,$I272&gt;AD$2),0,IF($K272=0,IF(AND($I272&gt;=AD$3,$I272&lt;=AD$2),$E272,0),$E272*NETWORKDAYS(MAX($I272,AD$3),MIN($J272,AD$2),Data!$K$4:$K$203)/$K272)))</f>
        <v>0</v>
      </c>
      <c r="AE272" s="170">
        <f>IF(OR($I272="",$E272=0),0,IF(OR($J272&lt;AE$3,$I272&gt;AE$2),0,IF($K272=0,IF(AND($I272&gt;=AE$3,$I272&lt;=AE$2),$E272,0),$E272*NETWORKDAYS(MAX($I272,AE$3),MIN($J272,AE$2),Data!$K$4:$K$203)/$K272)))</f>
        <v>0</v>
      </c>
      <c r="AF272" s="170">
        <f>IF(OR($I272="",$E272=0),0,IF(OR($J272&lt;AF$3,$I272&gt;AF$2),0,IF($K272=0,IF(AND($I272&gt;=AF$3,$I272&lt;=AF$2),$E272,0),$E272*NETWORKDAYS(MAX($I272,AF$3),MIN($J272,AF$2),Data!$K$4:$K$203)/$K272)))</f>
        <v>0</v>
      </c>
      <c r="AG272" s="170">
        <f>IF(OR($I272="",$E272=0),0,IF(OR($J272&lt;AG$3,$I272&gt;AG$2),0,IF($K272=0,IF(AND($I272&gt;=AG$3,$I272&lt;=AG$2),$E272,0),$E272*NETWORKDAYS(MAX($I272,AG$3),MIN($J272,AG$2),Data!$K$4:$K$203)/$K272)))</f>
        <v>0</v>
      </c>
      <c r="AH272" s="170">
        <f>IF(OR($I272="",$E272=0),0,IF(OR($J272&lt;AH$3,$I272&gt;AH$2),0,IF($K272=0,IF(AND($I272&gt;=AH$3,$I272&lt;=AH$2),$E272,0),$E272*NETWORKDAYS(MAX($I272,AH$3),MIN($J272,AH$2),Data!$K$4:$K$203)/$K272)))</f>
        <v>0</v>
      </c>
      <c r="AI272" s="170">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70"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4" t="str">
        <f>IF(EO272=1,IF(FH272&gt;0,FI272/FH272,AVERAGEIF($FF$4:$FF$503,EN272,$C$4:$C$503)),"")</f>
        <v/>
      </c>
      <c r="EV272" s="169">
        <f>IF(ISNUMBER(I272),I272,2958465)</f>
        <v>2958465.0</v>
      </c>
      <c r="EW272" s="169" t="str">
        <f>IF(EO272=1,SUMPRODUCT(MIN(($EN$4:$EN$503=EN272)*$EV$4:$EV$503+($EN$4:$EN$503&lt;&gt;EN272)*2958465)),"")</f>
        <v/>
      </c>
      <c r="EX272" s="169">
        <f>IF(AND(D272=1,ISNUMBER(INDEX(Charge!$F:$F,ROW()))),INDEX(Charge!$F:$F,ROW()),0)</f>
        <v>0.0</v>
      </c>
      <c r="EY272" s="169"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c r="FF272" t="str">
        <f>IF(B272=1,LEFT(SUBSTITUTE(SUBSTITUTE(SUBSTITUTE(TRIM(SUBSTITUTE(INDEX(Charge!$B:$B,ROW()),CHAR(160)," "))&amp;" | "&amp;TRIM(SUBSTITUTE(INDEX(Charge!$C:$C,ROW()),CHAR(160)," "))&amp;" | "&amp;TRIM(SUBSTITUTE(INDEX(Charge!$D:$D,ROW()),CHAR(160)," ")),"~","-"),"*","+"),"?","!"),240),"")</f>
        <v/>
      </c>
      <c r="FG272">
        <f>IF(B272=1,MAX(0,N(INDEX(Charge!$M:$M,ROW()))),0)</f>
        <v>0</v>
      </c>
      <c r="FH272" s="170" t="str">
        <f>IF(EO272=1,ROUND(SUMIF($FF$4:$FF$503,EN272,$FG$4:$FG$503),2),"")</f>
        <v/>
      </c>
      <c r="FI272" s="170" t="str">
        <f>IF(EO272=1,ROUND(SUMPRODUCT(($FF$4:$FF$503=EN272)*$FG$4:$FG$503*$C$4:$C$503),2),"")</f>
        <v/>
      </c>
      <c r="FJ272" s="170" t="str">
        <f>IF(EO272=1,MAX(0,ROUND(FH272-FI272,2)),"")</f>
        <v/>
      </c>
      <c r="FK272" s="174" t="str">
        <f>IF(EO272=1,IF(OR(EW272&gt;=2958465,EY272=0,EY272&lt;=EW272),"",IF(TODAY()&lt;=EW272,0,IF(TODAY()&gt;EY272,1,IFERROR(NETWORKDAYS(EW272,TODAY()-1,Data!$K$4:$K$203)/NETWORKDAYS(EW272,EY272,Data!$K$4:$K$203),"")))),"")</f>
        <v/>
      </c>
      <c r="FL272" t="str">
        <f>IF(EO272=1,IF(AND(EY272&gt;0,EY272&lt;TODAY(),ROUND(EU272,4)&lt;1),2,IF(FK272="",0,IF(ROUND(EU272-FK272,4)&lt;-0.15,1,0))),"")</f>
        <v/>
      </c>
      <c r="FM272">
        <f>IF(OR(FA272="",COUNTIF($FA$4:FA271,FA272)&gt;0),0,MAX(0,IF(FB272="Interne",IF(ISNUMBER(INDEX(Data!$F:$F,272)),INDEX(Data!$F:$F,272),p_HeuresETP),IF(ISNUMBER(INDEX(Data!$I:$I,272-$CD$23)),INDEX(Data!$I:$I,272-$CD$23),p_HeuresETP))-IF(FB272="Interne",IF(ISNUMBER(INDEX(Data!$G:$G,272)),INDEX(Data!$G:$G,272),p_ChargeFixe),IF(ISNUMBER(INDEX(Data!$J:$J,272-$CD$23)),INDEX(Data!$J:$J,272-$CD$23),p_ChargeFixe))))</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9" t="str">
        <f>IF(AND(D273=1,ISNUMBER(INDEX(Charge!$N:$N,ROW()))),INDEX(Charge!$N:$N,ROW()),"")</f>
        <v/>
      </c>
      <c r="J273" s="169"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70">
        <f>IF(OR($I273="",$E273=0),0,IF(OR($J273&lt;W$3,$I273&gt;W$2),0,IF($K273=0,IF(AND($I273&gt;=W$3,$I273&lt;=W$2),$E273,0),$E273*NETWORKDAYS(MAX($I273,W$3),MIN($J273,W$2),Data!$K$4:$K$203)/$K273)))</f>
        <v>0</v>
      </c>
      <c r="X273" s="170">
        <f>IF(OR($I273="",$E273=0),0,IF(OR($J273&lt;X$3,$I273&gt;X$2),0,IF($K273=0,IF(AND($I273&gt;=X$3,$I273&lt;=X$2),$E273,0),$E273*NETWORKDAYS(MAX($I273,X$3),MIN($J273,X$2),Data!$K$4:$K$203)/$K273)))</f>
        <v>0</v>
      </c>
      <c r="Y273" s="170">
        <f>IF(OR($I273="",$E273=0),0,IF(OR($J273&lt;Y$3,$I273&gt;Y$2),0,IF($K273=0,IF(AND($I273&gt;=Y$3,$I273&lt;=Y$2),$E273,0),$E273*NETWORKDAYS(MAX($I273,Y$3),MIN($J273,Y$2),Data!$K$4:$K$203)/$K273)))</f>
        <v>0</v>
      </c>
      <c r="Z273" s="170">
        <f>IF(OR($I273="",$E273=0),0,IF(OR($J273&lt;Z$3,$I273&gt;Z$2),0,IF($K273=0,IF(AND($I273&gt;=Z$3,$I273&lt;=Z$2),$E273,0),$E273*NETWORKDAYS(MAX($I273,Z$3),MIN($J273,Z$2),Data!$K$4:$K$203)/$K273)))</f>
        <v>0</v>
      </c>
      <c r="AA273" s="170">
        <f>IF(OR($I273="",$E273=0),0,IF(OR($J273&lt;AA$3,$I273&gt;AA$2),0,IF($K273=0,IF(AND($I273&gt;=AA$3,$I273&lt;=AA$2),$E273,0),$E273*NETWORKDAYS(MAX($I273,AA$3),MIN($J273,AA$2),Data!$K$4:$K$203)/$K273)))</f>
        <v>0</v>
      </c>
      <c r="AB273" s="170">
        <f>IF(OR($I273="",$E273=0),0,IF(OR($J273&lt;AB$3,$I273&gt;AB$2),0,IF($K273=0,IF(AND($I273&gt;=AB$3,$I273&lt;=AB$2),$E273,0),$E273*NETWORKDAYS(MAX($I273,AB$3),MIN($J273,AB$2),Data!$K$4:$K$203)/$K273)))</f>
        <v>0</v>
      </c>
      <c r="AC273" s="170">
        <f>IF(OR($I273="",$E273=0),0,IF(OR($J273&lt;AC$3,$I273&gt;AC$2),0,IF($K273=0,IF(AND($I273&gt;=AC$3,$I273&lt;=AC$2),$E273,0),$E273*NETWORKDAYS(MAX($I273,AC$3),MIN($J273,AC$2),Data!$K$4:$K$203)/$K273)))</f>
        <v>0</v>
      </c>
      <c r="AD273" s="170">
        <f>IF(OR($I273="",$E273=0),0,IF(OR($J273&lt;AD$3,$I273&gt;AD$2),0,IF($K273=0,IF(AND($I273&gt;=AD$3,$I273&lt;=AD$2),$E273,0),$E273*NETWORKDAYS(MAX($I273,AD$3),MIN($J273,AD$2),Data!$K$4:$K$203)/$K273)))</f>
        <v>0</v>
      </c>
      <c r="AE273" s="170">
        <f>IF(OR($I273="",$E273=0),0,IF(OR($J273&lt;AE$3,$I273&gt;AE$2),0,IF($K273=0,IF(AND($I273&gt;=AE$3,$I273&lt;=AE$2),$E273,0),$E273*NETWORKDAYS(MAX($I273,AE$3),MIN($J273,AE$2),Data!$K$4:$K$203)/$K273)))</f>
        <v>0</v>
      </c>
      <c r="AF273" s="170">
        <f>IF(OR($I273="",$E273=0),0,IF(OR($J273&lt;AF$3,$I273&gt;AF$2),0,IF($K273=0,IF(AND($I273&gt;=AF$3,$I273&lt;=AF$2),$E273,0),$E273*NETWORKDAYS(MAX($I273,AF$3),MIN($J273,AF$2),Data!$K$4:$K$203)/$K273)))</f>
        <v>0</v>
      </c>
      <c r="AG273" s="170">
        <f>IF(OR($I273="",$E273=0),0,IF(OR($J273&lt;AG$3,$I273&gt;AG$2),0,IF($K273=0,IF(AND($I273&gt;=AG$3,$I273&lt;=AG$2),$E273,0),$E273*NETWORKDAYS(MAX($I273,AG$3),MIN($J273,AG$2),Data!$K$4:$K$203)/$K273)))</f>
        <v>0</v>
      </c>
      <c r="AH273" s="170">
        <f>IF(OR($I273="",$E273=0),0,IF(OR($J273&lt;AH$3,$I273&gt;AH$2),0,IF($K273=0,IF(AND($I273&gt;=AH$3,$I273&lt;=AH$2),$E273,0),$E273*NETWORKDAYS(MAX($I273,AH$3),MIN($J273,AH$2),Data!$K$4:$K$203)/$K273)))</f>
        <v>0</v>
      </c>
      <c r="AI273" s="170">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70"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4" t="str">
        <f>IF(EO273=1,IF(FH273&gt;0,FI273/FH273,AVERAGEIF($FF$4:$FF$503,EN273,$C$4:$C$503)),"")</f>
        <v/>
      </c>
      <c r="EV273" s="169">
        <f>IF(ISNUMBER(I273),I273,2958465)</f>
        <v>2958465.0</v>
      </c>
      <c r="EW273" s="169" t="str">
        <f>IF(EO273=1,SUMPRODUCT(MIN(($EN$4:$EN$503=EN273)*$EV$4:$EV$503+($EN$4:$EN$503&lt;&gt;EN273)*2958465)),"")</f>
        <v/>
      </c>
      <c r="EX273" s="169">
        <f>IF(AND(D273=1,ISNUMBER(INDEX(Charge!$F:$F,ROW()))),INDEX(Charge!$F:$F,ROW()),0)</f>
        <v>0.0</v>
      </c>
      <c r="EY273" s="169"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c r="FF273" t="str">
        <f>IF(B273=1,LEFT(SUBSTITUTE(SUBSTITUTE(SUBSTITUTE(TRIM(SUBSTITUTE(INDEX(Charge!$B:$B,ROW()),CHAR(160)," "))&amp;" | "&amp;TRIM(SUBSTITUTE(INDEX(Charge!$C:$C,ROW()),CHAR(160)," "))&amp;" | "&amp;TRIM(SUBSTITUTE(INDEX(Charge!$D:$D,ROW()),CHAR(160)," ")),"~","-"),"*","+"),"?","!"),240),"")</f>
        <v/>
      </c>
      <c r="FG273">
        <f>IF(B273=1,MAX(0,N(INDEX(Charge!$M:$M,ROW()))),0)</f>
        <v>0</v>
      </c>
      <c r="FH273" s="170" t="str">
        <f>IF(EO273=1,ROUND(SUMIF($FF$4:$FF$503,EN273,$FG$4:$FG$503),2),"")</f>
        <v/>
      </c>
      <c r="FI273" s="170" t="str">
        <f>IF(EO273=1,ROUND(SUMPRODUCT(($FF$4:$FF$503=EN273)*$FG$4:$FG$503*$C$4:$C$503),2),"")</f>
        <v/>
      </c>
      <c r="FJ273" s="170" t="str">
        <f>IF(EO273=1,MAX(0,ROUND(FH273-FI273,2)),"")</f>
        <v/>
      </c>
      <c r="FK273" s="174" t="str">
        <f>IF(EO273=1,IF(OR(EW273&gt;=2958465,EY273=0,EY273&lt;=EW273),"",IF(TODAY()&lt;=EW273,0,IF(TODAY()&gt;EY273,1,IFERROR(NETWORKDAYS(EW273,TODAY()-1,Data!$K$4:$K$203)/NETWORKDAYS(EW273,EY273,Data!$K$4:$K$203),"")))),"")</f>
        <v/>
      </c>
      <c r="FL273" t="str">
        <f>IF(EO273=1,IF(AND(EY273&gt;0,EY273&lt;TODAY(),ROUND(EU273,4)&lt;1),2,IF(FK273="",0,IF(ROUND(EU273-FK273,4)&lt;-0.15,1,0))),"")</f>
        <v/>
      </c>
      <c r="FM273">
        <f>IF(OR(FA273="",COUNTIF($FA$4:FA272,FA273)&gt;0),0,MAX(0,IF(FB273="Interne",IF(ISNUMBER(INDEX(Data!$F:$F,273)),INDEX(Data!$F:$F,273),p_HeuresETP),IF(ISNUMBER(INDEX(Data!$I:$I,273-$CD$23)),INDEX(Data!$I:$I,273-$CD$23),p_HeuresETP))-IF(FB273="Interne",IF(ISNUMBER(INDEX(Data!$G:$G,273)),INDEX(Data!$G:$G,273),p_ChargeFixe),IF(ISNUMBER(INDEX(Data!$J:$J,273-$CD$23)),INDEX(Data!$J:$J,273-$CD$23),p_ChargeFixe))))</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9" t="str">
        <f>IF(AND(D274=1,ISNUMBER(INDEX(Charge!$N:$N,ROW()))),INDEX(Charge!$N:$N,ROW()),"")</f>
        <v/>
      </c>
      <c r="J274" s="169"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70">
        <f>IF(OR($I274="",$E274=0),0,IF(OR($J274&lt;W$3,$I274&gt;W$2),0,IF($K274=0,IF(AND($I274&gt;=W$3,$I274&lt;=W$2),$E274,0),$E274*NETWORKDAYS(MAX($I274,W$3),MIN($J274,W$2),Data!$K$4:$K$203)/$K274)))</f>
        <v>0</v>
      </c>
      <c r="X274" s="170">
        <f>IF(OR($I274="",$E274=0),0,IF(OR($J274&lt;X$3,$I274&gt;X$2),0,IF($K274=0,IF(AND($I274&gt;=X$3,$I274&lt;=X$2),$E274,0),$E274*NETWORKDAYS(MAX($I274,X$3),MIN($J274,X$2),Data!$K$4:$K$203)/$K274)))</f>
        <v>0</v>
      </c>
      <c r="Y274" s="170">
        <f>IF(OR($I274="",$E274=0),0,IF(OR($J274&lt;Y$3,$I274&gt;Y$2),0,IF($K274=0,IF(AND($I274&gt;=Y$3,$I274&lt;=Y$2),$E274,0),$E274*NETWORKDAYS(MAX($I274,Y$3),MIN($J274,Y$2),Data!$K$4:$K$203)/$K274)))</f>
        <v>0</v>
      </c>
      <c r="Z274" s="170">
        <f>IF(OR($I274="",$E274=0),0,IF(OR($J274&lt;Z$3,$I274&gt;Z$2),0,IF($K274=0,IF(AND($I274&gt;=Z$3,$I274&lt;=Z$2),$E274,0),$E274*NETWORKDAYS(MAX($I274,Z$3),MIN($J274,Z$2),Data!$K$4:$K$203)/$K274)))</f>
        <v>0</v>
      </c>
      <c r="AA274" s="170">
        <f>IF(OR($I274="",$E274=0),0,IF(OR($J274&lt;AA$3,$I274&gt;AA$2),0,IF($K274=0,IF(AND($I274&gt;=AA$3,$I274&lt;=AA$2),$E274,0),$E274*NETWORKDAYS(MAX($I274,AA$3),MIN($J274,AA$2),Data!$K$4:$K$203)/$K274)))</f>
        <v>0</v>
      </c>
      <c r="AB274" s="170">
        <f>IF(OR($I274="",$E274=0),0,IF(OR($J274&lt;AB$3,$I274&gt;AB$2),0,IF($K274=0,IF(AND($I274&gt;=AB$3,$I274&lt;=AB$2),$E274,0),$E274*NETWORKDAYS(MAX($I274,AB$3),MIN($J274,AB$2),Data!$K$4:$K$203)/$K274)))</f>
        <v>0</v>
      </c>
      <c r="AC274" s="170">
        <f>IF(OR($I274="",$E274=0),0,IF(OR($J274&lt;AC$3,$I274&gt;AC$2),0,IF($K274=0,IF(AND($I274&gt;=AC$3,$I274&lt;=AC$2),$E274,0),$E274*NETWORKDAYS(MAX($I274,AC$3),MIN($J274,AC$2),Data!$K$4:$K$203)/$K274)))</f>
        <v>0</v>
      </c>
      <c r="AD274" s="170">
        <f>IF(OR($I274="",$E274=0),0,IF(OR($J274&lt;AD$3,$I274&gt;AD$2),0,IF($K274=0,IF(AND($I274&gt;=AD$3,$I274&lt;=AD$2),$E274,0),$E274*NETWORKDAYS(MAX($I274,AD$3),MIN($J274,AD$2),Data!$K$4:$K$203)/$K274)))</f>
        <v>0</v>
      </c>
      <c r="AE274" s="170">
        <f>IF(OR($I274="",$E274=0),0,IF(OR($J274&lt;AE$3,$I274&gt;AE$2),0,IF($K274=0,IF(AND($I274&gt;=AE$3,$I274&lt;=AE$2),$E274,0),$E274*NETWORKDAYS(MAX($I274,AE$3),MIN($J274,AE$2),Data!$K$4:$K$203)/$K274)))</f>
        <v>0</v>
      </c>
      <c r="AF274" s="170">
        <f>IF(OR($I274="",$E274=0),0,IF(OR($J274&lt;AF$3,$I274&gt;AF$2),0,IF($K274=0,IF(AND($I274&gt;=AF$3,$I274&lt;=AF$2),$E274,0),$E274*NETWORKDAYS(MAX($I274,AF$3),MIN($J274,AF$2),Data!$K$4:$K$203)/$K274)))</f>
        <v>0</v>
      </c>
      <c r="AG274" s="170">
        <f>IF(OR($I274="",$E274=0),0,IF(OR($J274&lt;AG$3,$I274&gt;AG$2),0,IF($K274=0,IF(AND($I274&gt;=AG$3,$I274&lt;=AG$2),$E274,0),$E274*NETWORKDAYS(MAX($I274,AG$3),MIN($J274,AG$2),Data!$K$4:$K$203)/$K274)))</f>
        <v>0</v>
      </c>
      <c r="AH274" s="170">
        <f>IF(OR($I274="",$E274=0),0,IF(OR($J274&lt;AH$3,$I274&gt;AH$2),0,IF($K274=0,IF(AND($I274&gt;=AH$3,$I274&lt;=AH$2),$E274,0),$E274*NETWORKDAYS(MAX($I274,AH$3),MIN($J274,AH$2),Data!$K$4:$K$203)/$K274)))</f>
        <v>0</v>
      </c>
      <c r="AI274" s="170">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70"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4" t="str">
        <f>IF(EO274=1,IF(FH274&gt;0,FI274/FH274,AVERAGEIF($FF$4:$FF$503,EN274,$C$4:$C$503)),"")</f>
        <v/>
      </c>
      <c r="EV274" s="169">
        <f>IF(ISNUMBER(I274),I274,2958465)</f>
        <v>2958465.0</v>
      </c>
      <c r="EW274" s="169" t="str">
        <f>IF(EO274=1,SUMPRODUCT(MIN(($EN$4:$EN$503=EN274)*$EV$4:$EV$503+($EN$4:$EN$503&lt;&gt;EN274)*2958465)),"")</f>
        <v/>
      </c>
      <c r="EX274" s="169">
        <f>IF(AND(D274=1,ISNUMBER(INDEX(Charge!$F:$F,ROW()))),INDEX(Charge!$F:$F,ROW()),0)</f>
        <v>0.0</v>
      </c>
      <c r="EY274" s="169"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c r="FF274" t="str">
        <f>IF(B274=1,LEFT(SUBSTITUTE(SUBSTITUTE(SUBSTITUTE(TRIM(SUBSTITUTE(INDEX(Charge!$B:$B,ROW()),CHAR(160)," "))&amp;" | "&amp;TRIM(SUBSTITUTE(INDEX(Charge!$C:$C,ROW()),CHAR(160)," "))&amp;" | "&amp;TRIM(SUBSTITUTE(INDEX(Charge!$D:$D,ROW()),CHAR(160)," ")),"~","-"),"*","+"),"?","!"),240),"")</f>
        <v/>
      </c>
      <c r="FG274">
        <f>IF(B274=1,MAX(0,N(INDEX(Charge!$M:$M,ROW()))),0)</f>
        <v>0</v>
      </c>
      <c r="FH274" s="170" t="str">
        <f>IF(EO274=1,ROUND(SUMIF($FF$4:$FF$503,EN274,$FG$4:$FG$503),2),"")</f>
        <v/>
      </c>
      <c r="FI274" s="170" t="str">
        <f>IF(EO274=1,ROUND(SUMPRODUCT(($FF$4:$FF$503=EN274)*$FG$4:$FG$503*$C$4:$C$503),2),"")</f>
        <v/>
      </c>
      <c r="FJ274" s="170" t="str">
        <f>IF(EO274=1,MAX(0,ROUND(FH274-FI274,2)),"")</f>
        <v/>
      </c>
      <c r="FK274" s="174" t="str">
        <f>IF(EO274=1,IF(OR(EW274&gt;=2958465,EY274=0,EY274&lt;=EW274),"",IF(TODAY()&lt;=EW274,0,IF(TODAY()&gt;EY274,1,IFERROR(NETWORKDAYS(EW274,TODAY()-1,Data!$K$4:$K$203)/NETWORKDAYS(EW274,EY274,Data!$K$4:$K$203),"")))),"")</f>
        <v/>
      </c>
      <c r="FL274" t="str">
        <f>IF(EO274=1,IF(AND(EY274&gt;0,EY274&lt;TODAY(),ROUND(EU274,4)&lt;1),2,IF(FK274="",0,IF(ROUND(EU274-FK274,4)&lt;-0.15,1,0))),"")</f>
        <v/>
      </c>
      <c r="FM274">
        <f>IF(OR(FA274="",COUNTIF($FA$4:FA273,FA274)&gt;0),0,MAX(0,IF(FB274="Interne",IF(ISNUMBER(INDEX(Data!$F:$F,274)),INDEX(Data!$F:$F,274),p_HeuresETP),IF(ISNUMBER(INDEX(Data!$I:$I,274-$CD$23)),INDEX(Data!$I:$I,274-$CD$23),p_HeuresETP))-IF(FB274="Interne",IF(ISNUMBER(INDEX(Data!$G:$G,274)),INDEX(Data!$G:$G,274),p_ChargeFixe),IF(ISNUMBER(INDEX(Data!$J:$J,274-$CD$23)),INDEX(Data!$J:$J,274-$CD$23),p_ChargeFixe))))</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9" t="str">
        <f>IF(AND(D275=1,ISNUMBER(INDEX(Charge!$N:$N,ROW()))),INDEX(Charge!$N:$N,ROW()),"")</f>
        <v/>
      </c>
      <c r="J275" s="169"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70">
        <f>IF(OR($I275="",$E275=0),0,IF(OR($J275&lt;W$3,$I275&gt;W$2),0,IF($K275=0,IF(AND($I275&gt;=W$3,$I275&lt;=W$2),$E275,0),$E275*NETWORKDAYS(MAX($I275,W$3),MIN($J275,W$2),Data!$K$4:$K$203)/$K275)))</f>
        <v>0</v>
      </c>
      <c r="X275" s="170">
        <f>IF(OR($I275="",$E275=0),0,IF(OR($J275&lt;X$3,$I275&gt;X$2),0,IF($K275=0,IF(AND($I275&gt;=X$3,$I275&lt;=X$2),$E275,0),$E275*NETWORKDAYS(MAX($I275,X$3),MIN($J275,X$2),Data!$K$4:$K$203)/$K275)))</f>
        <v>0</v>
      </c>
      <c r="Y275" s="170">
        <f>IF(OR($I275="",$E275=0),0,IF(OR($J275&lt;Y$3,$I275&gt;Y$2),0,IF($K275=0,IF(AND($I275&gt;=Y$3,$I275&lt;=Y$2),$E275,0),$E275*NETWORKDAYS(MAX($I275,Y$3),MIN($J275,Y$2),Data!$K$4:$K$203)/$K275)))</f>
        <v>0</v>
      </c>
      <c r="Z275" s="170">
        <f>IF(OR($I275="",$E275=0),0,IF(OR($J275&lt;Z$3,$I275&gt;Z$2),0,IF($K275=0,IF(AND($I275&gt;=Z$3,$I275&lt;=Z$2),$E275,0),$E275*NETWORKDAYS(MAX($I275,Z$3),MIN($J275,Z$2),Data!$K$4:$K$203)/$K275)))</f>
        <v>0</v>
      </c>
      <c r="AA275" s="170">
        <f>IF(OR($I275="",$E275=0),0,IF(OR($J275&lt;AA$3,$I275&gt;AA$2),0,IF($K275=0,IF(AND($I275&gt;=AA$3,$I275&lt;=AA$2),$E275,0),$E275*NETWORKDAYS(MAX($I275,AA$3),MIN($J275,AA$2),Data!$K$4:$K$203)/$K275)))</f>
        <v>0</v>
      </c>
      <c r="AB275" s="170">
        <f>IF(OR($I275="",$E275=0),0,IF(OR($J275&lt;AB$3,$I275&gt;AB$2),0,IF($K275=0,IF(AND($I275&gt;=AB$3,$I275&lt;=AB$2),$E275,0),$E275*NETWORKDAYS(MAX($I275,AB$3),MIN($J275,AB$2),Data!$K$4:$K$203)/$K275)))</f>
        <v>0</v>
      </c>
      <c r="AC275" s="170">
        <f>IF(OR($I275="",$E275=0),0,IF(OR($J275&lt;AC$3,$I275&gt;AC$2),0,IF($K275=0,IF(AND($I275&gt;=AC$3,$I275&lt;=AC$2),$E275,0),$E275*NETWORKDAYS(MAX($I275,AC$3),MIN($J275,AC$2),Data!$K$4:$K$203)/$K275)))</f>
        <v>0</v>
      </c>
      <c r="AD275" s="170">
        <f>IF(OR($I275="",$E275=0),0,IF(OR($J275&lt;AD$3,$I275&gt;AD$2),0,IF($K275=0,IF(AND($I275&gt;=AD$3,$I275&lt;=AD$2),$E275,0),$E275*NETWORKDAYS(MAX($I275,AD$3),MIN($J275,AD$2),Data!$K$4:$K$203)/$K275)))</f>
        <v>0</v>
      </c>
      <c r="AE275" s="170">
        <f>IF(OR($I275="",$E275=0),0,IF(OR($J275&lt;AE$3,$I275&gt;AE$2),0,IF($K275=0,IF(AND($I275&gt;=AE$3,$I275&lt;=AE$2),$E275,0),$E275*NETWORKDAYS(MAX($I275,AE$3),MIN($J275,AE$2),Data!$K$4:$K$203)/$K275)))</f>
        <v>0</v>
      </c>
      <c r="AF275" s="170">
        <f>IF(OR($I275="",$E275=0),0,IF(OR($J275&lt;AF$3,$I275&gt;AF$2),0,IF($K275=0,IF(AND($I275&gt;=AF$3,$I275&lt;=AF$2),$E275,0),$E275*NETWORKDAYS(MAX($I275,AF$3),MIN($J275,AF$2),Data!$K$4:$K$203)/$K275)))</f>
        <v>0</v>
      </c>
      <c r="AG275" s="170">
        <f>IF(OR($I275="",$E275=0),0,IF(OR($J275&lt;AG$3,$I275&gt;AG$2),0,IF($K275=0,IF(AND($I275&gt;=AG$3,$I275&lt;=AG$2),$E275,0),$E275*NETWORKDAYS(MAX($I275,AG$3),MIN($J275,AG$2),Data!$K$4:$K$203)/$K275)))</f>
        <v>0</v>
      </c>
      <c r="AH275" s="170">
        <f>IF(OR($I275="",$E275=0),0,IF(OR($J275&lt;AH$3,$I275&gt;AH$2),0,IF($K275=0,IF(AND($I275&gt;=AH$3,$I275&lt;=AH$2),$E275,0),$E275*NETWORKDAYS(MAX($I275,AH$3),MIN($J275,AH$2),Data!$K$4:$K$203)/$K275)))</f>
        <v>0</v>
      </c>
      <c r="AI275" s="170">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70"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4" t="str">
        <f>IF(EO275=1,IF(FH275&gt;0,FI275/FH275,AVERAGEIF($FF$4:$FF$503,EN275,$C$4:$C$503)),"")</f>
        <v/>
      </c>
      <c r="EV275" s="169">
        <f>IF(ISNUMBER(I275),I275,2958465)</f>
        <v>2958465.0</v>
      </c>
      <c r="EW275" s="169" t="str">
        <f>IF(EO275=1,SUMPRODUCT(MIN(($EN$4:$EN$503=EN275)*$EV$4:$EV$503+($EN$4:$EN$503&lt;&gt;EN275)*2958465)),"")</f>
        <v/>
      </c>
      <c r="EX275" s="169">
        <f>IF(AND(D275=1,ISNUMBER(INDEX(Charge!$F:$F,ROW()))),INDEX(Charge!$F:$F,ROW()),0)</f>
        <v>0.0</v>
      </c>
      <c r="EY275" s="169"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c r="FF275" t="str">
        <f>IF(B275=1,LEFT(SUBSTITUTE(SUBSTITUTE(SUBSTITUTE(TRIM(SUBSTITUTE(INDEX(Charge!$B:$B,ROW()),CHAR(160)," "))&amp;" | "&amp;TRIM(SUBSTITUTE(INDEX(Charge!$C:$C,ROW()),CHAR(160)," "))&amp;" | "&amp;TRIM(SUBSTITUTE(INDEX(Charge!$D:$D,ROW()),CHAR(160)," ")),"~","-"),"*","+"),"?","!"),240),"")</f>
        <v/>
      </c>
      <c r="FG275">
        <f>IF(B275=1,MAX(0,N(INDEX(Charge!$M:$M,ROW()))),0)</f>
        <v>0</v>
      </c>
      <c r="FH275" s="170" t="str">
        <f>IF(EO275=1,ROUND(SUMIF($FF$4:$FF$503,EN275,$FG$4:$FG$503),2),"")</f>
        <v/>
      </c>
      <c r="FI275" s="170" t="str">
        <f>IF(EO275=1,ROUND(SUMPRODUCT(($FF$4:$FF$503=EN275)*$FG$4:$FG$503*$C$4:$C$503),2),"")</f>
        <v/>
      </c>
      <c r="FJ275" s="170" t="str">
        <f>IF(EO275=1,MAX(0,ROUND(FH275-FI275,2)),"")</f>
        <v/>
      </c>
      <c r="FK275" s="174" t="str">
        <f>IF(EO275=1,IF(OR(EW275&gt;=2958465,EY275=0,EY275&lt;=EW275),"",IF(TODAY()&lt;=EW275,0,IF(TODAY()&gt;EY275,1,IFERROR(NETWORKDAYS(EW275,TODAY()-1,Data!$K$4:$K$203)/NETWORKDAYS(EW275,EY275,Data!$K$4:$K$203),"")))),"")</f>
        <v/>
      </c>
      <c r="FL275" t="str">
        <f>IF(EO275=1,IF(AND(EY275&gt;0,EY275&lt;TODAY(),ROUND(EU275,4)&lt;1),2,IF(FK275="",0,IF(ROUND(EU275-FK275,4)&lt;-0.15,1,0))),"")</f>
        <v/>
      </c>
      <c r="FM275">
        <f>IF(OR(FA275="",COUNTIF($FA$4:FA274,FA275)&gt;0),0,MAX(0,IF(FB275="Interne",IF(ISNUMBER(INDEX(Data!$F:$F,275)),INDEX(Data!$F:$F,275),p_HeuresETP),IF(ISNUMBER(INDEX(Data!$I:$I,275-$CD$23)),INDEX(Data!$I:$I,275-$CD$23),p_HeuresETP))-IF(FB275="Interne",IF(ISNUMBER(INDEX(Data!$G:$G,275)),INDEX(Data!$G:$G,275),p_ChargeFixe),IF(ISNUMBER(INDEX(Data!$J:$J,275-$CD$23)),INDEX(Data!$J:$J,275-$CD$23),p_ChargeFixe))))</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9" t="str">
        <f>IF(AND(D276=1,ISNUMBER(INDEX(Charge!$N:$N,ROW()))),INDEX(Charge!$N:$N,ROW()),"")</f>
        <v/>
      </c>
      <c r="J276" s="169"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70">
        <f>IF(OR($I276="",$E276=0),0,IF(OR($J276&lt;W$3,$I276&gt;W$2),0,IF($K276=0,IF(AND($I276&gt;=W$3,$I276&lt;=W$2),$E276,0),$E276*NETWORKDAYS(MAX($I276,W$3),MIN($J276,W$2),Data!$K$4:$K$203)/$K276)))</f>
        <v>0</v>
      </c>
      <c r="X276" s="170">
        <f>IF(OR($I276="",$E276=0),0,IF(OR($J276&lt;X$3,$I276&gt;X$2),0,IF($K276=0,IF(AND($I276&gt;=X$3,$I276&lt;=X$2),$E276,0),$E276*NETWORKDAYS(MAX($I276,X$3),MIN($J276,X$2),Data!$K$4:$K$203)/$K276)))</f>
        <v>0</v>
      </c>
      <c r="Y276" s="170">
        <f>IF(OR($I276="",$E276=0),0,IF(OR($J276&lt;Y$3,$I276&gt;Y$2),0,IF($K276=0,IF(AND($I276&gt;=Y$3,$I276&lt;=Y$2),$E276,0),$E276*NETWORKDAYS(MAX($I276,Y$3),MIN($J276,Y$2),Data!$K$4:$K$203)/$K276)))</f>
        <v>0</v>
      </c>
      <c r="Z276" s="170">
        <f>IF(OR($I276="",$E276=0),0,IF(OR($J276&lt;Z$3,$I276&gt;Z$2),0,IF($K276=0,IF(AND($I276&gt;=Z$3,$I276&lt;=Z$2),$E276,0),$E276*NETWORKDAYS(MAX($I276,Z$3),MIN($J276,Z$2),Data!$K$4:$K$203)/$K276)))</f>
        <v>0</v>
      </c>
      <c r="AA276" s="170">
        <f>IF(OR($I276="",$E276=0),0,IF(OR($J276&lt;AA$3,$I276&gt;AA$2),0,IF($K276=0,IF(AND($I276&gt;=AA$3,$I276&lt;=AA$2),$E276,0),$E276*NETWORKDAYS(MAX($I276,AA$3),MIN($J276,AA$2),Data!$K$4:$K$203)/$K276)))</f>
        <v>0</v>
      </c>
      <c r="AB276" s="170">
        <f>IF(OR($I276="",$E276=0),0,IF(OR($J276&lt;AB$3,$I276&gt;AB$2),0,IF($K276=0,IF(AND($I276&gt;=AB$3,$I276&lt;=AB$2),$E276,0),$E276*NETWORKDAYS(MAX($I276,AB$3),MIN($J276,AB$2),Data!$K$4:$K$203)/$K276)))</f>
        <v>0</v>
      </c>
      <c r="AC276" s="170">
        <f>IF(OR($I276="",$E276=0),0,IF(OR($J276&lt;AC$3,$I276&gt;AC$2),0,IF($K276=0,IF(AND($I276&gt;=AC$3,$I276&lt;=AC$2),$E276,0),$E276*NETWORKDAYS(MAX($I276,AC$3),MIN($J276,AC$2),Data!$K$4:$K$203)/$K276)))</f>
        <v>0</v>
      </c>
      <c r="AD276" s="170">
        <f>IF(OR($I276="",$E276=0),0,IF(OR($J276&lt;AD$3,$I276&gt;AD$2),0,IF($K276=0,IF(AND($I276&gt;=AD$3,$I276&lt;=AD$2),$E276,0),$E276*NETWORKDAYS(MAX($I276,AD$3),MIN($J276,AD$2),Data!$K$4:$K$203)/$K276)))</f>
        <v>0</v>
      </c>
      <c r="AE276" s="170">
        <f>IF(OR($I276="",$E276=0),0,IF(OR($J276&lt;AE$3,$I276&gt;AE$2),0,IF($K276=0,IF(AND($I276&gt;=AE$3,$I276&lt;=AE$2),$E276,0),$E276*NETWORKDAYS(MAX($I276,AE$3),MIN($J276,AE$2),Data!$K$4:$K$203)/$K276)))</f>
        <v>0</v>
      </c>
      <c r="AF276" s="170">
        <f>IF(OR($I276="",$E276=0),0,IF(OR($J276&lt;AF$3,$I276&gt;AF$2),0,IF($K276=0,IF(AND($I276&gt;=AF$3,$I276&lt;=AF$2),$E276,0),$E276*NETWORKDAYS(MAX($I276,AF$3),MIN($J276,AF$2),Data!$K$4:$K$203)/$K276)))</f>
        <v>0</v>
      </c>
      <c r="AG276" s="170">
        <f>IF(OR($I276="",$E276=0),0,IF(OR($J276&lt;AG$3,$I276&gt;AG$2),0,IF($K276=0,IF(AND($I276&gt;=AG$3,$I276&lt;=AG$2),$E276,0),$E276*NETWORKDAYS(MAX($I276,AG$3),MIN($J276,AG$2),Data!$K$4:$K$203)/$K276)))</f>
        <v>0</v>
      </c>
      <c r="AH276" s="170">
        <f>IF(OR($I276="",$E276=0),0,IF(OR($J276&lt;AH$3,$I276&gt;AH$2),0,IF($K276=0,IF(AND($I276&gt;=AH$3,$I276&lt;=AH$2),$E276,0),$E276*NETWORKDAYS(MAX($I276,AH$3),MIN($J276,AH$2),Data!$K$4:$K$203)/$K276)))</f>
        <v>0</v>
      </c>
      <c r="AI276" s="170">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70"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4" t="str">
        <f>IF(EO276=1,IF(FH276&gt;0,FI276/FH276,AVERAGEIF($FF$4:$FF$503,EN276,$C$4:$C$503)),"")</f>
        <v/>
      </c>
      <c r="EV276" s="169">
        <f>IF(ISNUMBER(I276),I276,2958465)</f>
        <v>2958465.0</v>
      </c>
      <c r="EW276" s="169" t="str">
        <f>IF(EO276=1,SUMPRODUCT(MIN(($EN$4:$EN$503=EN276)*$EV$4:$EV$503+($EN$4:$EN$503&lt;&gt;EN276)*2958465)),"")</f>
        <v/>
      </c>
      <c r="EX276" s="169">
        <f>IF(AND(D276=1,ISNUMBER(INDEX(Charge!$F:$F,ROW()))),INDEX(Charge!$F:$F,ROW()),0)</f>
        <v>0.0</v>
      </c>
      <c r="EY276" s="169"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c r="FF276" t="str">
        <f>IF(B276=1,LEFT(SUBSTITUTE(SUBSTITUTE(SUBSTITUTE(TRIM(SUBSTITUTE(INDEX(Charge!$B:$B,ROW()),CHAR(160)," "))&amp;" | "&amp;TRIM(SUBSTITUTE(INDEX(Charge!$C:$C,ROW()),CHAR(160)," "))&amp;" | "&amp;TRIM(SUBSTITUTE(INDEX(Charge!$D:$D,ROW()),CHAR(160)," ")),"~","-"),"*","+"),"?","!"),240),"")</f>
        <v/>
      </c>
      <c r="FG276">
        <f>IF(B276=1,MAX(0,N(INDEX(Charge!$M:$M,ROW()))),0)</f>
        <v>0</v>
      </c>
      <c r="FH276" s="170" t="str">
        <f>IF(EO276=1,ROUND(SUMIF($FF$4:$FF$503,EN276,$FG$4:$FG$503),2),"")</f>
        <v/>
      </c>
      <c r="FI276" s="170" t="str">
        <f>IF(EO276=1,ROUND(SUMPRODUCT(($FF$4:$FF$503=EN276)*$FG$4:$FG$503*$C$4:$C$503),2),"")</f>
        <v/>
      </c>
      <c r="FJ276" s="170" t="str">
        <f>IF(EO276=1,MAX(0,ROUND(FH276-FI276,2)),"")</f>
        <v/>
      </c>
      <c r="FK276" s="174" t="str">
        <f>IF(EO276=1,IF(OR(EW276&gt;=2958465,EY276=0,EY276&lt;=EW276),"",IF(TODAY()&lt;=EW276,0,IF(TODAY()&gt;EY276,1,IFERROR(NETWORKDAYS(EW276,TODAY()-1,Data!$K$4:$K$203)/NETWORKDAYS(EW276,EY276,Data!$K$4:$K$203),"")))),"")</f>
        <v/>
      </c>
      <c r="FL276" t="str">
        <f>IF(EO276=1,IF(AND(EY276&gt;0,EY276&lt;TODAY(),ROUND(EU276,4)&lt;1),2,IF(FK276="",0,IF(ROUND(EU276-FK276,4)&lt;-0.15,1,0))),"")</f>
        <v/>
      </c>
      <c r="FM276">
        <f>IF(OR(FA276="",COUNTIF($FA$4:FA275,FA276)&gt;0),0,MAX(0,IF(FB276="Interne",IF(ISNUMBER(INDEX(Data!$F:$F,276)),INDEX(Data!$F:$F,276),p_HeuresETP),IF(ISNUMBER(INDEX(Data!$I:$I,276-$CD$23)),INDEX(Data!$I:$I,276-$CD$23),p_HeuresETP))-IF(FB276="Interne",IF(ISNUMBER(INDEX(Data!$G:$G,276)),INDEX(Data!$G:$G,276),p_ChargeFixe),IF(ISNUMBER(INDEX(Data!$J:$J,276-$CD$23)),INDEX(Data!$J:$J,276-$CD$23),p_ChargeFixe))))</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9" t="str">
        <f>IF(AND(D277=1,ISNUMBER(INDEX(Charge!$N:$N,ROW()))),INDEX(Charge!$N:$N,ROW()),"")</f>
        <v/>
      </c>
      <c r="J277" s="169"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70">
        <f>IF(OR($I277="",$E277=0),0,IF(OR($J277&lt;W$3,$I277&gt;W$2),0,IF($K277=0,IF(AND($I277&gt;=W$3,$I277&lt;=W$2),$E277,0),$E277*NETWORKDAYS(MAX($I277,W$3),MIN($J277,W$2),Data!$K$4:$K$203)/$K277)))</f>
        <v>0</v>
      </c>
      <c r="X277" s="170">
        <f>IF(OR($I277="",$E277=0),0,IF(OR($J277&lt;X$3,$I277&gt;X$2),0,IF($K277=0,IF(AND($I277&gt;=X$3,$I277&lt;=X$2),$E277,0),$E277*NETWORKDAYS(MAX($I277,X$3),MIN($J277,X$2),Data!$K$4:$K$203)/$K277)))</f>
        <v>0</v>
      </c>
      <c r="Y277" s="170">
        <f>IF(OR($I277="",$E277=0),0,IF(OR($J277&lt;Y$3,$I277&gt;Y$2),0,IF($K277=0,IF(AND($I277&gt;=Y$3,$I277&lt;=Y$2),$E277,0),$E277*NETWORKDAYS(MAX($I277,Y$3),MIN($J277,Y$2),Data!$K$4:$K$203)/$K277)))</f>
        <v>0</v>
      </c>
      <c r="Z277" s="170">
        <f>IF(OR($I277="",$E277=0),0,IF(OR($J277&lt;Z$3,$I277&gt;Z$2),0,IF($K277=0,IF(AND($I277&gt;=Z$3,$I277&lt;=Z$2),$E277,0),$E277*NETWORKDAYS(MAX($I277,Z$3),MIN($J277,Z$2),Data!$K$4:$K$203)/$K277)))</f>
        <v>0</v>
      </c>
      <c r="AA277" s="170">
        <f>IF(OR($I277="",$E277=0),0,IF(OR($J277&lt;AA$3,$I277&gt;AA$2),0,IF($K277=0,IF(AND($I277&gt;=AA$3,$I277&lt;=AA$2),$E277,0),$E277*NETWORKDAYS(MAX($I277,AA$3),MIN($J277,AA$2),Data!$K$4:$K$203)/$K277)))</f>
        <v>0</v>
      </c>
      <c r="AB277" s="170">
        <f>IF(OR($I277="",$E277=0),0,IF(OR($J277&lt;AB$3,$I277&gt;AB$2),0,IF($K277=0,IF(AND($I277&gt;=AB$3,$I277&lt;=AB$2),$E277,0),$E277*NETWORKDAYS(MAX($I277,AB$3),MIN($J277,AB$2),Data!$K$4:$K$203)/$K277)))</f>
        <v>0</v>
      </c>
      <c r="AC277" s="170">
        <f>IF(OR($I277="",$E277=0),0,IF(OR($J277&lt;AC$3,$I277&gt;AC$2),0,IF($K277=0,IF(AND($I277&gt;=AC$3,$I277&lt;=AC$2),$E277,0),$E277*NETWORKDAYS(MAX($I277,AC$3),MIN($J277,AC$2),Data!$K$4:$K$203)/$K277)))</f>
        <v>0</v>
      </c>
      <c r="AD277" s="170">
        <f>IF(OR($I277="",$E277=0),0,IF(OR($J277&lt;AD$3,$I277&gt;AD$2),0,IF($K277=0,IF(AND($I277&gt;=AD$3,$I277&lt;=AD$2),$E277,0),$E277*NETWORKDAYS(MAX($I277,AD$3),MIN($J277,AD$2),Data!$K$4:$K$203)/$K277)))</f>
        <v>0</v>
      </c>
      <c r="AE277" s="170">
        <f>IF(OR($I277="",$E277=0),0,IF(OR($J277&lt;AE$3,$I277&gt;AE$2),0,IF($K277=0,IF(AND($I277&gt;=AE$3,$I277&lt;=AE$2),$E277,0),$E277*NETWORKDAYS(MAX($I277,AE$3),MIN($J277,AE$2),Data!$K$4:$K$203)/$K277)))</f>
        <v>0</v>
      </c>
      <c r="AF277" s="170">
        <f>IF(OR($I277="",$E277=0),0,IF(OR($J277&lt;AF$3,$I277&gt;AF$2),0,IF($K277=0,IF(AND($I277&gt;=AF$3,$I277&lt;=AF$2),$E277,0),$E277*NETWORKDAYS(MAX($I277,AF$3),MIN($J277,AF$2),Data!$K$4:$K$203)/$K277)))</f>
        <v>0</v>
      </c>
      <c r="AG277" s="170">
        <f>IF(OR($I277="",$E277=0),0,IF(OR($J277&lt;AG$3,$I277&gt;AG$2),0,IF($K277=0,IF(AND($I277&gt;=AG$3,$I277&lt;=AG$2),$E277,0),$E277*NETWORKDAYS(MAX($I277,AG$3),MIN($J277,AG$2),Data!$K$4:$K$203)/$K277)))</f>
        <v>0</v>
      </c>
      <c r="AH277" s="170">
        <f>IF(OR($I277="",$E277=0),0,IF(OR($J277&lt;AH$3,$I277&gt;AH$2),0,IF($K277=0,IF(AND($I277&gt;=AH$3,$I277&lt;=AH$2),$E277,0),$E277*NETWORKDAYS(MAX($I277,AH$3),MIN($J277,AH$2),Data!$K$4:$K$203)/$K277)))</f>
        <v>0</v>
      </c>
      <c r="AI277" s="170">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70"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4" t="str">
        <f>IF(EO277=1,IF(FH277&gt;0,FI277/FH277,AVERAGEIF($FF$4:$FF$503,EN277,$C$4:$C$503)),"")</f>
        <v/>
      </c>
      <c r="EV277" s="169">
        <f>IF(ISNUMBER(I277),I277,2958465)</f>
        <v>2958465.0</v>
      </c>
      <c r="EW277" s="169" t="str">
        <f>IF(EO277=1,SUMPRODUCT(MIN(($EN$4:$EN$503=EN277)*$EV$4:$EV$503+($EN$4:$EN$503&lt;&gt;EN277)*2958465)),"")</f>
        <v/>
      </c>
      <c r="EX277" s="169">
        <f>IF(AND(D277=1,ISNUMBER(INDEX(Charge!$F:$F,ROW()))),INDEX(Charge!$F:$F,ROW()),0)</f>
        <v>0.0</v>
      </c>
      <c r="EY277" s="169"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c r="FF277" t="str">
        <f>IF(B277=1,LEFT(SUBSTITUTE(SUBSTITUTE(SUBSTITUTE(TRIM(SUBSTITUTE(INDEX(Charge!$B:$B,ROW()),CHAR(160)," "))&amp;" | "&amp;TRIM(SUBSTITUTE(INDEX(Charge!$C:$C,ROW()),CHAR(160)," "))&amp;" | "&amp;TRIM(SUBSTITUTE(INDEX(Charge!$D:$D,ROW()),CHAR(160)," ")),"~","-"),"*","+"),"?","!"),240),"")</f>
        <v/>
      </c>
      <c r="FG277">
        <f>IF(B277=1,MAX(0,N(INDEX(Charge!$M:$M,ROW()))),0)</f>
        <v>0</v>
      </c>
      <c r="FH277" s="170" t="str">
        <f>IF(EO277=1,ROUND(SUMIF($FF$4:$FF$503,EN277,$FG$4:$FG$503),2),"")</f>
        <v/>
      </c>
      <c r="FI277" s="170" t="str">
        <f>IF(EO277=1,ROUND(SUMPRODUCT(($FF$4:$FF$503=EN277)*$FG$4:$FG$503*$C$4:$C$503),2),"")</f>
        <v/>
      </c>
      <c r="FJ277" s="170" t="str">
        <f>IF(EO277=1,MAX(0,ROUND(FH277-FI277,2)),"")</f>
        <v/>
      </c>
      <c r="FK277" s="174" t="str">
        <f>IF(EO277=1,IF(OR(EW277&gt;=2958465,EY277=0,EY277&lt;=EW277),"",IF(TODAY()&lt;=EW277,0,IF(TODAY()&gt;EY277,1,IFERROR(NETWORKDAYS(EW277,TODAY()-1,Data!$K$4:$K$203)/NETWORKDAYS(EW277,EY277,Data!$K$4:$K$203),"")))),"")</f>
        <v/>
      </c>
      <c r="FL277" t="str">
        <f>IF(EO277=1,IF(AND(EY277&gt;0,EY277&lt;TODAY(),ROUND(EU277,4)&lt;1),2,IF(FK277="",0,IF(ROUND(EU277-FK277,4)&lt;-0.15,1,0))),"")</f>
        <v/>
      </c>
      <c r="FM277">
        <f>IF(OR(FA277="",COUNTIF($FA$4:FA276,FA277)&gt;0),0,MAX(0,IF(FB277="Interne",IF(ISNUMBER(INDEX(Data!$F:$F,277)),INDEX(Data!$F:$F,277),p_HeuresETP),IF(ISNUMBER(INDEX(Data!$I:$I,277-$CD$23)),INDEX(Data!$I:$I,277-$CD$23),p_HeuresETP))-IF(FB277="Interne",IF(ISNUMBER(INDEX(Data!$G:$G,277)),INDEX(Data!$G:$G,277),p_ChargeFixe),IF(ISNUMBER(INDEX(Data!$J:$J,277-$CD$23)),INDEX(Data!$J:$J,277-$CD$23),p_ChargeFixe))))</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9" t="str">
        <f>IF(AND(D278=1,ISNUMBER(INDEX(Charge!$N:$N,ROW()))),INDEX(Charge!$N:$N,ROW()),"")</f>
        <v/>
      </c>
      <c r="J278" s="169"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70">
        <f>IF(OR($I278="",$E278=0),0,IF(OR($J278&lt;W$3,$I278&gt;W$2),0,IF($K278=0,IF(AND($I278&gt;=W$3,$I278&lt;=W$2),$E278,0),$E278*NETWORKDAYS(MAX($I278,W$3),MIN($J278,W$2),Data!$K$4:$K$203)/$K278)))</f>
        <v>0</v>
      </c>
      <c r="X278" s="170">
        <f>IF(OR($I278="",$E278=0),0,IF(OR($J278&lt;X$3,$I278&gt;X$2),0,IF($K278=0,IF(AND($I278&gt;=X$3,$I278&lt;=X$2),$E278,0),$E278*NETWORKDAYS(MAX($I278,X$3),MIN($J278,X$2),Data!$K$4:$K$203)/$K278)))</f>
        <v>0</v>
      </c>
      <c r="Y278" s="170">
        <f>IF(OR($I278="",$E278=0),0,IF(OR($J278&lt;Y$3,$I278&gt;Y$2),0,IF($K278=0,IF(AND($I278&gt;=Y$3,$I278&lt;=Y$2),$E278,0),$E278*NETWORKDAYS(MAX($I278,Y$3),MIN($J278,Y$2),Data!$K$4:$K$203)/$K278)))</f>
        <v>0</v>
      </c>
      <c r="Z278" s="170">
        <f>IF(OR($I278="",$E278=0),0,IF(OR($J278&lt;Z$3,$I278&gt;Z$2),0,IF($K278=0,IF(AND($I278&gt;=Z$3,$I278&lt;=Z$2),$E278,0),$E278*NETWORKDAYS(MAX($I278,Z$3),MIN($J278,Z$2),Data!$K$4:$K$203)/$K278)))</f>
        <v>0</v>
      </c>
      <c r="AA278" s="170">
        <f>IF(OR($I278="",$E278=0),0,IF(OR($J278&lt;AA$3,$I278&gt;AA$2),0,IF($K278=0,IF(AND($I278&gt;=AA$3,$I278&lt;=AA$2),$E278,0),$E278*NETWORKDAYS(MAX($I278,AA$3),MIN($J278,AA$2),Data!$K$4:$K$203)/$K278)))</f>
        <v>0</v>
      </c>
      <c r="AB278" s="170">
        <f>IF(OR($I278="",$E278=0),0,IF(OR($J278&lt;AB$3,$I278&gt;AB$2),0,IF($K278=0,IF(AND($I278&gt;=AB$3,$I278&lt;=AB$2),$E278,0),$E278*NETWORKDAYS(MAX($I278,AB$3),MIN($J278,AB$2),Data!$K$4:$K$203)/$K278)))</f>
        <v>0</v>
      </c>
      <c r="AC278" s="170">
        <f>IF(OR($I278="",$E278=0),0,IF(OR($J278&lt;AC$3,$I278&gt;AC$2),0,IF($K278=0,IF(AND($I278&gt;=AC$3,$I278&lt;=AC$2),$E278,0),$E278*NETWORKDAYS(MAX($I278,AC$3),MIN($J278,AC$2),Data!$K$4:$K$203)/$K278)))</f>
        <v>0</v>
      </c>
      <c r="AD278" s="170">
        <f>IF(OR($I278="",$E278=0),0,IF(OR($J278&lt;AD$3,$I278&gt;AD$2),0,IF($K278=0,IF(AND($I278&gt;=AD$3,$I278&lt;=AD$2),$E278,0),$E278*NETWORKDAYS(MAX($I278,AD$3),MIN($J278,AD$2),Data!$K$4:$K$203)/$K278)))</f>
        <v>0</v>
      </c>
      <c r="AE278" s="170">
        <f>IF(OR($I278="",$E278=0),0,IF(OR($J278&lt;AE$3,$I278&gt;AE$2),0,IF($K278=0,IF(AND($I278&gt;=AE$3,$I278&lt;=AE$2),$E278,0),$E278*NETWORKDAYS(MAX($I278,AE$3),MIN($J278,AE$2),Data!$K$4:$K$203)/$K278)))</f>
        <v>0</v>
      </c>
      <c r="AF278" s="170">
        <f>IF(OR($I278="",$E278=0),0,IF(OR($J278&lt;AF$3,$I278&gt;AF$2),0,IF($K278=0,IF(AND($I278&gt;=AF$3,$I278&lt;=AF$2),$E278,0),$E278*NETWORKDAYS(MAX($I278,AF$3),MIN($J278,AF$2),Data!$K$4:$K$203)/$K278)))</f>
        <v>0</v>
      </c>
      <c r="AG278" s="170">
        <f>IF(OR($I278="",$E278=0),0,IF(OR($J278&lt;AG$3,$I278&gt;AG$2),0,IF($K278=0,IF(AND($I278&gt;=AG$3,$I278&lt;=AG$2),$E278,0),$E278*NETWORKDAYS(MAX($I278,AG$3),MIN($J278,AG$2),Data!$K$4:$K$203)/$K278)))</f>
        <v>0</v>
      </c>
      <c r="AH278" s="170">
        <f>IF(OR($I278="",$E278=0),0,IF(OR($J278&lt;AH$3,$I278&gt;AH$2),0,IF($K278=0,IF(AND($I278&gt;=AH$3,$I278&lt;=AH$2),$E278,0),$E278*NETWORKDAYS(MAX($I278,AH$3),MIN($J278,AH$2),Data!$K$4:$K$203)/$K278)))</f>
        <v>0</v>
      </c>
      <c r="AI278" s="170">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70"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4" t="str">
        <f>IF(EO278=1,IF(FH278&gt;0,FI278/FH278,AVERAGEIF($FF$4:$FF$503,EN278,$C$4:$C$503)),"")</f>
        <v/>
      </c>
      <c r="EV278" s="169">
        <f>IF(ISNUMBER(I278),I278,2958465)</f>
        <v>2958465.0</v>
      </c>
      <c r="EW278" s="169" t="str">
        <f>IF(EO278=1,SUMPRODUCT(MIN(($EN$4:$EN$503=EN278)*$EV$4:$EV$503+($EN$4:$EN$503&lt;&gt;EN278)*2958465)),"")</f>
        <v/>
      </c>
      <c r="EX278" s="169">
        <f>IF(AND(D278=1,ISNUMBER(INDEX(Charge!$F:$F,ROW()))),INDEX(Charge!$F:$F,ROW()),0)</f>
        <v>0.0</v>
      </c>
      <c r="EY278" s="169"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c r="FF278" t="str">
        <f>IF(B278=1,LEFT(SUBSTITUTE(SUBSTITUTE(SUBSTITUTE(TRIM(SUBSTITUTE(INDEX(Charge!$B:$B,ROW()),CHAR(160)," "))&amp;" | "&amp;TRIM(SUBSTITUTE(INDEX(Charge!$C:$C,ROW()),CHAR(160)," "))&amp;" | "&amp;TRIM(SUBSTITUTE(INDEX(Charge!$D:$D,ROW()),CHAR(160)," ")),"~","-"),"*","+"),"?","!"),240),"")</f>
        <v/>
      </c>
      <c r="FG278">
        <f>IF(B278=1,MAX(0,N(INDEX(Charge!$M:$M,ROW()))),0)</f>
        <v>0</v>
      </c>
      <c r="FH278" s="170" t="str">
        <f>IF(EO278=1,ROUND(SUMIF($FF$4:$FF$503,EN278,$FG$4:$FG$503),2),"")</f>
        <v/>
      </c>
      <c r="FI278" s="170" t="str">
        <f>IF(EO278=1,ROUND(SUMPRODUCT(($FF$4:$FF$503=EN278)*$FG$4:$FG$503*$C$4:$C$503),2),"")</f>
        <v/>
      </c>
      <c r="FJ278" s="170" t="str">
        <f>IF(EO278=1,MAX(0,ROUND(FH278-FI278,2)),"")</f>
        <v/>
      </c>
      <c r="FK278" s="174" t="str">
        <f>IF(EO278=1,IF(OR(EW278&gt;=2958465,EY278=0,EY278&lt;=EW278),"",IF(TODAY()&lt;=EW278,0,IF(TODAY()&gt;EY278,1,IFERROR(NETWORKDAYS(EW278,TODAY()-1,Data!$K$4:$K$203)/NETWORKDAYS(EW278,EY278,Data!$K$4:$K$203),"")))),"")</f>
        <v/>
      </c>
      <c r="FL278" t="str">
        <f>IF(EO278=1,IF(AND(EY278&gt;0,EY278&lt;TODAY(),ROUND(EU278,4)&lt;1),2,IF(FK278="",0,IF(ROUND(EU278-FK278,4)&lt;-0.15,1,0))),"")</f>
        <v/>
      </c>
      <c r="FM278">
        <f>IF(OR(FA278="",COUNTIF($FA$4:FA277,FA278)&gt;0),0,MAX(0,IF(FB278="Interne",IF(ISNUMBER(INDEX(Data!$F:$F,278)),INDEX(Data!$F:$F,278),p_HeuresETP),IF(ISNUMBER(INDEX(Data!$I:$I,278-$CD$23)),INDEX(Data!$I:$I,278-$CD$23),p_HeuresETP))-IF(FB278="Interne",IF(ISNUMBER(INDEX(Data!$G:$G,278)),INDEX(Data!$G:$G,278),p_ChargeFixe),IF(ISNUMBER(INDEX(Data!$J:$J,278-$CD$23)),INDEX(Data!$J:$J,278-$CD$23),p_ChargeFixe))))</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9" t="str">
        <f>IF(AND(D279=1,ISNUMBER(INDEX(Charge!$N:$N,ROW()))),INDEX(Charge!$N:$N,ROW()),"")</f>
        <v/>
      </c>
      <c r="J279" s="169"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70">
        <f>IF(OR($I279="",$E279=0),0,IF(OR($J279&lt;W$3,$I279&gt;W$2),0,IF($K279=0,IF(AND($I279&gt;=W$3,$I279&lt;=W$2),$E279,0),$E279*NETWORKDAYS(MAX($I279,W$3),MIN($J279,W$2),Data!$K$4:$K$203)/$K279)))</f>
        <v>0</v>
      </c>
      <c r="X279" s="170">
        <f>IF(OR($I279="",$E279=0),0,IF(OR($J279&lt;X$3,$I279&gt;X$2),0,IF($K279=0,IF(AND($I279&gt;=X$3,$I279&lt;=X$2),$E279,0),$E279*NETWORKDAYS(MAX($I279,X$3),MIN($J279,X$2),Data!$K$4:$K$203)/$K279)))</f>
        <v>0</v>
      </c>
      <c r="Y279" s="170">
        <f>IF(OR($I279="",$E279=0),0,IF(OR($J279&lt;Y$3,$I279&gt;Y$2),0,IF($K279=0,IF(AND($I279&gt;=Y$3,$I279&lt;=Y$2),$E279,0),$E279*NETWORKDAYS(MAX($I279,Y$3),MIN($J279,Y$2),Data!$K$4:$K$203)/$K279)))</f>
        <v>0</v>
      </c>
      <c r="Z279" s="170">
        <f>IF(OR($I279="",$E279=0),0,IF(OR($J279&lt;Z$3,$I279&gt;Z$2),0,IF($K279=0,IF(AND($I279&gt;=Z$3,$I279&lt;=Z$2),$E279,0),$E279*NETWORKDAYS(MAX($I279,Z$3),MIN($J279,Z$2),Data!$K$4:$K$203)/$K279)))</f>
        <v>0</v>
      </c>
      <c r="AA279" s="170">
        <f>IF(OR($I279="",$E279=0),0,IF(OR($J279&lt;AA$3,$I279&gt;AA$2),0,IF($K279=0,IF(AND($I279&gt;=AA$3,$I279&lt;=AA$2),$E279,0),$E279*NETWORKDAYS(MAX($I279,AA$3),MIN($J279,AA$2),Data!$K$4:$K$203)/$K279)))</f>
        <v>0</v>
      </c>
      <c r="AB279" s="170">
        <f>IF(OR($I279="",$E279=0),0,IF(OR($J279&lt;AB$3,$I279&gt;AB$2),0,IF($K279=0,IF(AND($I279&gt;=AB$3,$I279&lt;=AB$2),$E279,0),$E279*NETWORKDAYS(MAX($I279,AB$3),MIN($J279,AB$2),Data!$K$4:$K$203)/$K279)))</f>
        <v>0</v>
      </c>
      <c r="AC279" s="170">
        <f>IF(OR($I279="",$E279=0),0,IF(OR($J279&lt;AC$3,$I279&gt;AC$2),0,IF($K279=0,IF(AND($I279&gt;=AC$3,$I279&lt;=AC$2),$E279,0),$E279*NETWORKDAYS(MAX($I279,AC$3),MIN($J279,AC$2),Data!$K$4:$K$203)/$K279)))</f>
        <v>0</v>
      </c>
      <c r="AD279" s="170">
        <f>IF(OR($I279="",$E279=0),0,IF(OR($J279&lt;AD$3,$I279&gt;AD$2),0,IF($K279=0,IF(AND($I279&gt;=AD$3,$I279&lt;=AD$2),$E279,0),$E279*NETWORKDAYS(MAX($I279,AD$3),MIN($J279,AD$2),Data!$K$4:$K$203)/$K279)))</f>
        <v>0</v>
      </c>
      <c r="AE279" s="170">
        <f>IF(OR($I279="",$E279=0),0,IF(OR($J279&lt;AE$3,$I279&gt;AE$2),0,IF($K279=0,IF(AND($I279&gt;=AE$3,$I279&lt;=AE$2),$E279,0),$E279*NETWORKDAYS(MAX($I279,AE$3),MIN($J279,AE$2),Data!$K$4:$K$203)/$K279)))</f>
        <v>0</v>
      </c>
      <c r="AF279" s="170">
        <f>IF(OR($I279="",$E279=0),0,IF(OR($J279&lt;AF$3,$I279&gt;AF$2),0,IF($K279=0,IF(AND($I279&gt;=AF$3,$I279&lt;=AF$2),$E279,0),$E279*NETWORKDAYS(MAX($I279,AF$3),MIN($J279,AF$2),Data!$K$4:$K$203)/$K279)))</f>
        <v>0</v>
      </c>
      <c r="AG279" s="170">
        <f>IF(OR($I279="",$E279=0),0,IF(OR($J279&lt;AG$3,$I279&gt;AG$2),0,IF($K279=0,IF(AND($I279&gt;=AG$3,$I279&lt;=AG$2),$E279,0),$E279*NETWORKDAYS(MAX($I279,AG$3),MIN($J279,AG$2),Data!$K$4:$K$203)/$K279)))</f>
        <v>0</v>
      </c>
      <c r="AH279" s="170">
        <f>IF(OR($I279="",$E279=0),0,IF(OR($J279&lt;AH$3,$I279&gt;AH$2),0,IF($K279=0,IF(AND($I279&gt;=AH$3,$I279&lt;=AH$2),$E279,0),$E279*NETWORKDAYS(MAX($I279,AH$3),MIN($J279,AH$2),Data!$K$4:$K$203)/$K279)))</f>
        <v>0</v>
      </c>
      <c r="AI279" s="170">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70"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4" t="str">
        <f>IF(EO279=1,IF(FH279&gt;0,FI279/FH279,AVERAGEIF($FF$4:$FF$503,EN279,$C$4:$C$503)),"")</f>
        <v/>
      </c>
      <c r="EV279" s="169">
        <f>IF(ISNUMBER(I279),I279,2958465)</f>
        <v>2958465.0</v>
      </c>
      <c r="EW279" s="169" t="str">
        <f>IF(EO279=1,SUMPRODUCT(MIN(($EN$4:$EN$503=EN279)*$EV$4:$EV$503+($EN$4:$EN$503&lt;&gt;EN279)*2958465)),"")</f>
        <v/>
      </c>
      <c r="EX279" s="169">
        <f>IF(AND(D279=1,ISNUMBER(INDEX(Charge!$F:$F,ROW()))),INDEX(Charge!$F:$F,ROW()),0)</f>
        <v>0.0</v>
      </c>
      <c r="EY279" s="169"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c r="FF279" t="str">
        <f>IF(B279=1,LEFT(SUBSTITUTE(SUBSTITUTE(SUBSTITUTE(TRIM(SUBSTITUTE(INDEX(Charge!$B:$B,ROW()),CHAR(160)," "))&amp;" | "&amp;TRIM(SUBSTITUTE(INDEX(Charge!$C:$C,ROW()),CHAR(160)," "))&amp;" | "&amp;TRIM(SUBSTITUTE(INDEX(Charge!$D:$D,ROW()),CHAR(160)," ")),"~","-"),"*","+"),"?","!"),240),"")</f>
        <v/>
      </c>
      <c r="FG279">
        <f>IF(B279=1,MAX(0,N(INDEX(Charge!$M:$M,ROW()))),0)</f>
        <v>0</v>
      </c>
      <c r="FH279" s="170" t="str">
        <f>IF(EO279=1,ROUND(SUMIF($FF$4:$FF$503,EN279,$FG$4:$FG$503),2),"")</f>
        <v/>
      </c>
      <c r="FI279" s="170" t="str">
        <f>IF(EO279=1,ROUND(SUMPRODUCT(($FF$4:$FF$503=EN279)*$FG$4:$FG$503*$C$4:$C$503),2),"")</f>
        <v/>
      </c>
      <c r="FJ279" s="170" t="str">
        <f>IF(EO279=1,MAX(0,ROUND(FH279-FI279,2)),"")</f>
        <v/>
      </c>
      <c r="FK279" s="174" t="str">
        <f>IF(EO279=1,IF(OR(EW279&gt;=2958465,EY279=0,EY279&lt;=EW279),"",IF(TODAY()&lt;=EW279,0,IF(TODAY()&gt;EY279,1,IFERROR(NETWORKDAYS(EW279,TODAY()-1,Data!$K$4:$K$203)/NETWORKDAYS(EW279,EY279,Data!$K$4:$K$203),"")))),"")</f>
        <v/>
      </c>
      <c r="FL279" t="str">
        <f>IF(EO279=1,IF(AND(EY279&gt;0,EY279&lt;TODAY(),ROUND(EU279,4)&lt;1),2,IF(FK279="",0,IF(ROUND(EU279-FK279,4)&lt;-0.15,1,0))),"")</f>
        <v/>
      </c>
      <c r="FM279">
        <f>IF(OR(FA279="",COUNTIF($FA$4:FA278,FA279)&gt;0),0,MAX(0,IF(FB279="Interne",IF(ISNUMBER(INDEX(Data!$F:$F,279)),INDEX(Data!$F:$F,279),p_HeuresETP),IF(ISNUMBER(INDEX(Data!$I:$I,279-$CD$23)),INDEX(Data!$I:$I,279-$CD$23),p_HeuresETP))-IF(FB279="Interne",IF(ISNUMBER(INDEX(Data!$G:$G,279)),INDEX(Data!$G:$G,279),p_ChargeFixe),IF(ISNUMBER(INDEX(Data!$J:$J,279-$CD$23)),INDEX(Data!$J:$J,279-$CD$23),p_ChargeFixe))))</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9" t="str">
        <f>IF(AND(D280=1,ISNUMBER(INDEX(Charge!$N:$N,ROW()))),INDEX(Charge!$N:$N,ROW()),"")</f>
        <v/>
      </c>
      <c r="J280" s="169"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70">
        <f>IF(OR($I280="",$E280=0),0,IF(OR($J280&lt;W$3,$I280&gt;W$2),0,IF($K280=0,IF(AND($I280&gt;=W$3,$I280&lt;=W$2),$E280,0),$E280*NETWORKDAYS(MAX($I280,W$3),MIN($J280,W$2),Data!$K$4:$K$203)/$K280)))</f>
        <v>0</v>
      </c>
      <c r="X280" s="170">
        <f>IF(OR($I280="",$E280=0),0,IF(OR($J280&lt;X$3,$I280&gt;X$2),0,IF($K280=0,IF(AND($I280&gt;=X$3,$I280&lt;=X$2),$E280,0),$E280*NETWORKDAYS(MAX($I280,X$3),MIN($J280,X$2),Data!$K$4:$K$203)/$K280)))</f>
        <v>0</v>
      </c>
      <c r="Y280" s="170">
        <f>IF(OR($I280="",$E280=0),0,IF(OR($J280&lt;Y$3,$I280&gt;Y$2),0,IF($K280=0,IF(AND($I280&gt;=Y$3,$I280&lt;=Y$2),$E280,0),$E280*NETWORKDAYS(MAX($I280,Y$3),MIN($J280,Y$2),Data!$K$4:$K$203)/$K280)))</f>
        <v>0</v>
      </c>
      <c r="Z280" s="170">
        <f>IF(OR($I280="",$E280=0),0,IF(OR($J280&lt;Z$3,$I280&gt;Z$2),0,IF($K280=0,IF(AND($I280&gt;=Z$3,$I280&lt;=Z$2),$E280,0),$E280*NETWORKDAYS(MAX($I280,Z$3),MIN($J280,Z$2),Data!$K$4:$K$203)/$K280)))</f>
        <v>0</v>
      </c>
      <c r="AA280" s="170">
        <f>IF(OR($I280="",$E280=0),0,IF(OR($J280&lt;AA$3,$I280&gt;AA$2),0,IF($K280=0,IF(AND($I280&gt;=AA$3,$I280&lt;=AA$2),$E280,0),$E280*NETWORKDAYS(MAX($I280,AA$3),MIN($J280,AA$2),Data!$K$4:$K$203)/$K280)))</f>
        <v>0</v>
      </c>
      <c r="AB280" s="170">
        <f>IF(OR($I280="",$E280=0),0,IF(OR($J280&lt;AB$3,$I280&gt;AB$2),0,IF($K280=0,IF(AND($I280&gt;=AB$3,$I280&lt;=AB$2),$E280,0),$E280*NETWORKDAYS(MAX($I280,AB$3),MIN($J280,AB$2),Data!$K$4:$K$203)/$K280)))</f>
        <v>0</v>
      </c>
      <c r="AC280" s="170">
        <f>IF(OR($I280="",$E280=0),0,IF(OR($J280&lt;AC$3,$I280&gt;AC$2),0,IF($K280=0,IF(AND($I280&gt;=AC$3,$I280&lt;=AC$2),$E280,0),$E280*NETWORKDAYS(MAX($I280,AC$3),MIN($J280,AC$2),Data!$K$4:$K$203)/$K280)))</f>
        <v>0</v>
      </c>
      <c r="AD280" s="170">
        <f>IF(OR($I280="",$E280=0),0,IF(OR($J280&lt;AD$3,$I280&gt;AD$2),0,IF($K280=0,IF(AND($I280&gt;=AD$3,$I280&lt;=AD$2),$E280,0),$E280*NETWORKDAYS(MAX($I280,AD$3),MIN($J280,AD$2),Data!$K$4:$K$203)/$K280)))</f>
        <v>0</v>
      </c>
      <c r="AE280" s="170">
        <f>IF(OR($I280="",$E280=0),0,IF(OR($J280&lt;AE$3,$I280&gt;AE$2),0,IF($K280=0,IF(AND($I280&gt;=AE$3,$I280&lt;=AE$2),$E280,0),$E280*NETWORKDAYS(MAX($I280,AE$3),MIN($J280,AE$2),Data!$K$4:$K$203)/$K280)))</f>
        <v>0</v>
      </c>
      <c r="AF280" s="170">
        <f>IF(OR($I280="",$E280=0),0,IF(OR($J280&lt;AF$3,$I280&gt;AF$2),0,IF($K280=0,IF(AND($I280&gt;=AF$3,$I280&lt;=AF$2),$E280,0),$E280*NETWORKDAYS(MAX($I280,AF$3),MIN($J280,AF$2),Data!$K$4:$K$203)/$K280)))</f>
        <v>0</v>
      </c>
      <c r="AG280" s="170">
        <f>IF(OR($I280="",$E280=0),0,IF(OR($J280&lt;AG$3,$I280&gt;AG$2),0,IF($K280=0,IF(AND($I280&gt;=AG$3,$I280&lt;=AG$2),$E280,0),$E280*NETWORKDAYS(MAX($I280,AG$3),MIN($J280,AG$2),Data!$K$4:$K$203)/$K280)))</f>
        <v>0</v>
      </c>
      <c r="AH280" s="170">
        <f>IF(OR($I280="",$E280=0),0,IF(OR($J280&lt;AH$3,$I280&gt;AH$2),0,IF($K280=0,IF(AND($I280&gt;=AH$3,$I280&lt;=AH$2),$E280,0),$E280*NETWORKDAYS(MAX($I280,AH$3),MIN($J280,AH$2),Data!$K$4:$K$203)/$K280)))</f>
        <v>0</v>
      </c>
      <c r="AI280" s="170">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70"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4" t="str">
        <f>IF(EO280=1,IF(FH280&gt;0,FI280/FH280,AVERAGEIF($FF$4:$FF$503,EN280,$C$4:$C$503)),"")</f>
        <v/>
      </c>
      <c r="EV280" s="169">
        <f>IF(ISNUMBER(I280),I280,2958465)</f>
        <v>2958465.0</v>
      </c>
      <c r="EW280" s="169" t="str">
        <f>IF(EO280=1,SUMPRODUCT(MIN(($EN$4:$EN$503=EN280)*$EV$4:$EV$503+($EN$4:$EN$503&lt;&gt;EN280)*2958465)),"")</f>
        <v/>
      </c>
      <c r="EX280" s="169">
        <f>IF(AND(D280=1,ISNUMBER(INDEX(Charge!$F:$F,ROW()))),INDEX(Charge!$F:$F,ROW()),0)</f>
        <v>0.0</v>
      </c>
      <c r="EY280" s="169"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c r="FF280" t="str">
        <f>IF(B280=1,LEFT(SUBSTITUTE(SUBSTITUTE(SUBSTITUTE(TRIM(SUBSTITUTE(INDEX(Charge!$B:$B,ROW()),CHAR(160)," "))&amp;" | "&amp;TRIM(SUBSTITUTE(INDEX(Charge!$C:$C,ROW()),CHAR(160)," "))&amp;" | "&amp;TRIM(SUBSTITUTE(INDEX(Charge!$D:$D,ROW()),CHAR(160)," ")),"~","-"),"*","+"),"?","!"),240),"")</f>
        <v/>
      </c>
      <c r="FG280">
        <f>IF(B280=1,MAX(0,N(INDEX(Charge!$M:$M,ROW()))),0)</f>
        <v>0</v>
      </c>
      <c r="FH280" s="170" t="str">
        <f>IF(EO280=1,ROUND(SUMIF($FF$4:$FF$503,EN280,$FG$4:$FG$503),2),"")</f>
        <v/>
      </c>
      <c r="FI280" s="170" t="str">
        <f>IF(EO280=1,ROUND(SUMPRODUCT(($FF$4:$FF$503=EN280)*$FG$4:$FG$503*$C$4:$C$503),2),"")</f>
        <v/>
      </c>
      <c r="FJ280" s="170" t="str">
        <f>IF(EO280=1,MAX(0,ROUND(FH280-FI280,2)),"")</f>
        <v/>
      </c>
      <c r="FK280" s="174" t="str">
        <f>IF(EO280=1,IF(OR(EW280&gt;=2958465,EY280=0,EY280&lt;=EW280),"",IF(TODAY()&lt;=EW280,0,IF(TODAY()&gt;EY280,1,IFERROR(NETWORKDAYS(EW280,TODAY()-1,Data!$K$4:$K$203)/NETWORKDAYS(EW280,EY280,Data!$K$4:$K$203),"")))),"")</f>
        <v/>
      </c>
      <c r="FL280" t="str">
        <f>IF(EO280=1,IF(AND(EY280&gt;0,EY280&lt;TODAY(),ROUND(EU280,4)&lt;1),2,IF(FK280="",0,IF(ROUND(EU280-FK280,4)&lt;-0.15,1,0))),"")</f>
        <v/>
      </c>
      <c r="FM280">
        <f>IF(OR(FA280="",COUNTIF($FA$4:FA279,FA280)&gt;0),0,MAX(0,IF(FB280="Interne",IF(ISNUMBER(INDEX(Data!$F:$F,280)),INDEX(Data!$F:$F,280),p_HeuresETP),IF(ISNUMBER(INDEX(Data!$I:$I,280-$CD$23)),INDEX(Data!$I:$I,280-$CD$23),p_HeuresETP))-IF(FB280="Interne",IF(ISNUMBER(INDEX(Data!$G:$G,280)),INDEX(Data!$G:$G,280),p_ChargeFixe),IF(ISNUMBER(INDEX(Data!$J:$J,280-$CD$23)),INDEX(Data!$J:$J,280-$CD$23),p_ChargeFixe))))</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9" t="str">
        <f>IF(AND(D281=1,ISNUMBER(INDEX(Charge!$N:$N,ROW()))),INDEX(Charge!$N:$N,ROW()),"")</f>
        <v/>
      </c>
      <c r="J281" s="169"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70">
        <f>IF(OR($I281="",$E281=0),0,IF(OR($J281&lt;W$3,$I281&gt;W$2),0,IF($K281=0,IF(AND($I281&gt;=W$3,$I281&lt;=W$2),$E281,0),$E281*NETWORKDAYS(MAX($I281,W$3),MIN($J281,W$2),Data!$K$4:$K$203)/$K281)))</f>
        <v>0</v>
      </c>
      <c r="X281" s="170">
        <f>IF(OR($I281="",$E281=0),0,IF(OR($J281&lt;X$3,$I281&gt;X$2),0,IF($K281=0,IF(AND($I281&gt;=X$3,$I281&lt;=X$2),$E281,0),$E281*NETWORKDAYS(MAX($I281,X$3),MIN($J281,X$2),Data!$K$4:$K$203)/$K281)))</f>
        <v>0</v>
      </c>
      <c r="Y281" s="170">
        <f>IF(OR($I281="",$E281=0),0,IF(OR($J281&lt;Y$3,$I281&gt;Y$2),0,IF($K281=0,IF(AND($I281&gt;=Y$3,$I281&lt;=Y$2),$E281,0),$E281*NETWORKDAYS(MAX($I281,Y$3),MIN($J281,Y$2),Data!$K$4:$K$203)/$K281)))</f>
        <v>0</v>
      </c>
      <c r="Z281" s="170">
        <f>IF(OR($I281="",$E281=0),0,IF(OR($J281&lt;Z$3,$I281&gt;Z$2),0,IF($K281=0,IF(AND($I281&gt;=Z$3,$I281&lt;=Z$2),$E281,0),$E281*NETWORKDAYS(MAX($I281,Z$3),MIN($J281,Z$2),Data!$K$4:$K$203)/$K281)))</f>
        <v>0</v>
      </c>
      <c r="AA281" s="170">
        <f>IF(OR($I281="",$E281=0),0,IF(OR($J281&lt;AA$3,$I281&gt;AA$2),0,IF($K281=0,IF(AND($I281&gt;=AA$3,$I281&lt;=AA$2),$E281,0),$E281*NETWORKDAYS(MAX($I281,AA$3),MIN($J281,AA$2),Data!$K$4:$K$203)/$K281)))</f>
        <v>0</v>
      </c>
      <c r="AB281" s="170">
        <f>IF(OR($I281="",$E281=0),0,IF(OR($J281&lt;AB$3,$I281&gt;AB$2),0,IF($K281=0,IF(AND($I281&gt;=AB$3,$I281&lt;=AB$2),$E281,0),$E281*NETWORKDAYS(MAX($I281,AB$3),MIN($J281,AB$2),Data!$K$4:$K$203)/$K281)))</f>
        <v>0</v>
      </c>
      <c r="AC281" s="170">
        <f>IF(OR($I281="",$E281=0),0,IF(OR($J281&lt;AC$3,$I281&gt;AC$2),0,IF($K281=0,IF(AND($I281&gt;=AC$3,$I281&lt;=AC$2),$E281,0),$E281*NETWORKDAYS(MAX($I281,AC$3),MIN($J281,AC$2),Data!$K$4:$K$203)/$K281)))</f>
        <v>0</v>
      </c>
      <c r="AD281" s="170">
        <f>IF(OR($I281="",$E281=0),0,IF(OR($J281&lt;AD$3,$I281&gt;AD$2),0,IF($K281=0,IF(AND($I281&gt;=AD$3,$I281&lt;=AD$2),$E281,0),$E281*NETWORKDAYS(MAX($I281,AD$3),MIN($J281,AD$2),Data!$K$4:$K$203)/$K281)))</f>
        <v>0</v>
      </c>
      <c r="AE281" s="170">
        <f>IF(OR($I281="",$E281=0),0,IF(OR($J281&lt;AE$3,$I281&gt;AE$2),0,IF($K281=0,IF(AND($I281&gt;=AE$3,$I281&lt;=AE$2),$E281,0),$E281*NETWORKDAYS(MAX($I281,AE$3),MIN($J281,AE$2),Data!$K$4:$K$203)/$K281)))</f>
        <v>0</v>
      </c>
      <c r="AF281" s="170">
        <f>IF(OR($I281="",$E281=0),0,IF(OR($J281&lt;AF$3,$I281&gt;AF$2),0,IF($K281=0,IF(AND($I281&gt;=AF$3,$I281&lt;=AF$2),$E281,0),$E281*NETWORKDAYS(MAX($I281,AF$3),MIN($J281,AF$2),Data!$K$4:$K$203)/$K281)))</f>
        <v>0</v>
      </c>
      <c r="AG281" s="170">
        <f>IF(OR($I281="",$E281=0),0,IF(OR($J281&lt;AG$3,$I281&gt;AG$2),0,IF($K281=0,IF(AND($I281&gt;=AG$3,$I281&lt;=AG$2),$E281,0),$E281*NETWORKDAYS(MAX($I281,AG$3),MIN($J281,AG$2),Data!$K$4:$K$203)/$K281)))</f>
        <v>0</v>
      </c>
      <c r="AH281" s="170">
        <f>IF(OR($I281="",$E281=0),0,IF(OR($J281&lt;AH$3,$I281&gt;AH$2),0,IF($K281=0,IF(AND($I281&gt;=AH$3,$I281&lt;=AH$2),$E281,0),$E281*NETWORKDAYS(MAX($I281,AH$3),MIN($J281,AH$2),Data!$K$4:$K$203)/$K281)))</f>
        <v>0</v>
      </c>
      <c r="AI281" s="170">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70"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4" t="str">
        <f>IF(EO281=1,IF(FH281&gt;0,FI281/FH281,AVERAGEIF($FF$4:$FF$503,EN281,$C$4:$C$503)),"")</f>
        <v/>
      </c>
      <c r="EV281" s="169">
        <f>IF(ISNUMBER(I281),I281,2958465)</f>
        <v>2958465.0</v>
      </c>
      <c r="EW281" s="169" t="str">
        <f>IF(EO281=1,SUMPRODUCT(MIN(($EN$4:$EN$503=EN281)*$EV$4:$EV$503+($EN$4:$EN$503&lt;&gt;EN281)*2958465)),"")</f>
        <v/>
      </c>
      <c r="EX281" s="169">
        <f>IF(AND(D281=1,ISNUMBER(INDEX(Charge!$F:$F,ROW()))),INDEX(Charge!$F:$F,ROW()),0)</f>
        <v>0.0</v>
      </c>
      <c r="EY281" s="169"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c r="FF281" t="str">
        <f>IF(B281=1,LEFT(SUBSTITUTE(SUBSTITUTE(SUBSTITUTE(TRIM(SUBSTITUTE(INDEX(Charge!$B:$B,ROW()),CHAR(160)," "))&amp;" | "&amp;TRIM(SUBSTITUTE(INDEX(Charge!$C:$C,ROW()),CHAR(160)," "))&amp;" | "&amp;TRIM(SUBSTITUTE(INDEX(Charge!$D:$D,ROW()),CHAR(160)," ")),"~","-"),"*","+"),"?","!"),240),"")</f>
        <v/>
      </c>
      <c r="FG281">
        <f>IF(B281=1,MAX(0,N(INDEX(Charge!$M:$M,ROW()))),0)</f>
        <v>0</v>
      </c>
      <c r="FH281" s="170" t="str">
        <f>IF(EO281=1,ROUND(SUMIF($FF$4:$FF$503,EN281,$FG$4:$FG$503),2),"")</f>
        <v/>
      </c>
      <c r="FI281" s="170" t="str">
        <f>IF(EO281=1,ROUND(SUMPRODUCT(($FF$4:$FF$503=EN281)*$FG$4:$FG$503*$C$4:$C$503),2),"")</f>
        <v/>
      </c>
      <c r="FJ281" s="170" t="str">
        <f>IF(EO281=1,MAX(0,ROUND(FH281-FI281,2)),"")</f>
        <v/>
      </c>
      <c r="FK281" s="174" t="str">
        <f>IF(EO281=1,IF(OR(EW281&gt;=2958465,EY281=0,EY281&lt;=EW281),"",IF(TODAY()&lt;=EW281,0,IF(TODAY()&gt;EY281,1,IFERROR(NETWORKDAYS(EW281,TODAY()-1,Data!$K$4:$K$203)/NETWORKDAYS(EW281,EY281,Data!$K$4:$K$203),"")))),"")</f>
        <v/>
      </c>
      <c r="FL281" t="str">
        <f>IF(EO281=1,IF(AND(EY281&gt;0,EY281&lt;TODAY(),ROUND(EU281,4)&lt;1),2,IF(FK281="",0,IF(ROUND(EU281-FK281,4)&lt;-0.15,1,0))),"")</f>
        <v/>
      </c>
      <c r="FM281">
        <f>IF(OR(FA281="",COUNTIF($FA$4:FA280,FA281)&gt;0),0,MAX(0,IF(FB281="Interne",IF(ISNUMBER(INDEX(Data!$F:$F,281)),INDEX(Data!$F:$F,281),p_HeuresETP),IF(ISNUMBER(INDEX(Data!$I:$I,281-$CD$23)),INDEX(Data!$I:$I,281-$CD$23),p_HeuresETP))-IF(FB281="Interne",IF(ISNUMBER(INDEX(Data!$G:$G,281)),INDEX(Data!$G:$G,281),p_ChargeFixe),IF(ISNUMBER(INDEX(Data!$J:$J,281-$CD$23)),INDEX(Data!$J:$J,281-$CD$23),p_ChargeFixe))))</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9" t="str">
        <f>IF(AND(D282=1,ISNUMBER(INDEX(Charge!$N:$N,ROW()))),INDEX(Charge!$N:$N,ROW()),"")</f>
        <v/>
      </c>
      <c r="J282" s="169"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70">
        <f>IF(OR($I282="",$E282=0),0,IF(OR($J282&lt;W$3,$I282&gt;W$2),0,IF($K282=0,IF(AND($I282&gt;=W$3,$I282&lt;=W$2),$E282,0),$E282*NETWORKDAYS(MAX($I282,W$3),MIN($J282,W$2),Data!$K$4:$K$203)/$K282)))</f>
        <v>0</v>
      </c>
      <c r="X282" s="170">
        <f>IF(OR($I282="",$E282=0),0,IF(OR($J282&lt;X$3,$I282&gt;X$2),0,IF($K282=0,IF(AND($I282&gt;=X$3,$I282&lt;=X$2),$E282,0),$E282*NETWORKDAYS(MAX($I282,X$3),MIN($J282,X$2),Data!$K$4:$K$203)/$K282)))</f>
        <v>0</v>
      </c>
      <c r="Y282" s="170">
        <f>IF(OR($I282="",$E282=0),0,IF(OR($J282&lt;Y$3,$I282&gt;Y$2),0,IF($K282=0,IF(AND($I282&gt;=Y$3,$I282&lt;=Y$2),$E282,0),$E282*NETWORKDAYS(MAX($I282,Y$3),MIN($J282,Y$2),Data!$K$4:$K$203)/$K282)))</f>
        <v>0</v>
      </c>
      <c r="Z282" s="170">
        <f>IF(OR($I282="",$E282=0),0,IF(OR($J282&lt;Z$3,$I282&gt;Z$2),0,IF($K282=0,IF(AND($I282&gt;=Z$3,$I282&lt;=Z$2),$E282,0),$E282*NETWORKDAYS(MAX($I282,Z$3),MIN($J282,Z$2),Data!$K$4:$K$203)/$K282)))</f>
        <v>0</v>
      </c>
      <c r="AA282" s="170">
        <f>IF(OR($I282="",$E282=0),0,IF(OR($J282&lt;AA$3,$I282&gt;AA$2),0,IF($K282=0,IF(AND($I282&gt;=AA$3,$I282&lt;=AA$2),$E282,0),$E282*NETWORKDAYS(MAX($I282,AA$3),MIN($J282,AA$2),Data!$K$4:$K$203)/$K282)))</f>
        <v>0</v>
      </c>
      <c r="AB282" s="170">
        <f>IF(OR($I282="",$E282=0),0,IF(OR($J282&lt;AB$3,$I282&gt;AB$2),0,IF($K282=0,IF(AND($I282&gt;=AB$3,$I282&lt;=AB$2),$E282,0),$E282*NETWORKDAYS(MAX($I282,AB$3),MIN($J282,AB$2),Data!$K$4:$K$203)/$K282)))</f>
        <v>0</v>
      </c>
      <c r="AC282" s="170">
        <f>IF(OR($I282="",$E282=0),0,IF(OR($J282&lt;AC$3,$I282&gt;AC$2),0,IF($K282=0,IF(AND($I282&gt;=AC$3,$I282&lt;=AC$2),$E282,0),$E282*NETWORKDAYS(MAX($I282,AC$3),MIN($J282,AC$2),Data!$K$4:$K$203)/$K282)))</f>
        <v>0</v>
      </c>
      <c r="AD282" s="170">
        <f>IF(OR($I282="",$E282=0),0,IF(OR($J282&lt;AD$3,$I282&gt;AD$2),0,IF($K282=0,IF(AND($I282&gt;=AD$3,$I282&lt;=AD$2),$E282,0),$E282*NETWORKDAYS(MAX($I282,AD$3),MIN($J282,AD$2),Data!$K$4:$K$203)/$K282)))</f>
        <v>0</v>
      </c>
      <c r="AE282" s="170">
        <f>IF(OR($I282="",$E282=0),0,IF(OR($J282&lt;AE$3,$I282&gt;AE$2),0,IF($K282=0,IF(AND($I282&gt;=AE$3,$I282&lt;=AE$2),$E282,0),$E282*NETWORKDAYS(MAX($I282,AE$3),MIN($J282,AE$2),Data!$K$4:$K$203)/$K282)))</f>
        <v>0</v>
      </c>
      <c r="AF282" s="170">
        <f>IF(OR($I282="",$E282=0),0,IF(OR($J282&lt;AF$3,$I282&gt;AF$2),0,IF($K282=0,IF(AND($I282&gt;=AF$3,$I282&lt;=AF$2),$E282,0),$E282*NETWORKDAYS(MAX($I282,AF$3),MIN($J282,AF$2),Data!$K$4:$K$203)/$K282)))</f>
        <v>0</v>
      </c>
      <c r="AG282" s="170">
        <f>IF(OR($I282="",$E282=0),0,IF(OR($J282&lt;AG$3,$I282&gt;AG$2),0,IF($K282=0,IF(AND($I282&gt;=AG$3,$I282&lt;=AG$2),$E282,0),$E282*NETWORKDAYS(MAX($I282,AG$3),MIN($J282,AG$2),Data!$K$4:$K$203)/$K282)))</f>
        <v>0</v>
      </c>
      <c r="AH282" s="170">
        <f>IF(OR($I282="",$E282=0),0,IF(OR($J282&lt;AH$3,$I282&gt;AH$2),0,IF($K282=0,IF(AND($I282&gt;=AH$3,$I282&lt;=AH$2),$E282,0),$E282*NETWORKDAYS(MAX($I282,AH$3),MIN($J282,AH$2),Data!$K$4:$K$203)/$K282)))</f>
        <v>0</v>
      </c>
      <c r="AI282" s="170">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70"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4" t="str">
        <f>IF(EO282=1,IF(FH282&gt;0,FI282/FH282,AVERAGEIF($FF$4:$FF$503,EN282,$C$4:$C$503)),"")</f>
        <v/>
      </c>
      <c r="EV282" s="169">
        <f>IF(ISNUMBER(I282),I282,2958465)</f>
        <v>2958465.0</v>
      </c>
      <c r="EW282" s="169" t="str">
        <f>IF(EO282=1,SUMPRODUCT(MIN(($EN$4:$EN$503=EN282)*$EV$4:$EV$503+($EN$4:$EN$503&lt;&gt;EN282)*2958465)),"")</f>
        <v/>
      </c>
      <c r="EX282" s="169">
        <f>IF(AND(D282=1,ISNUMBER(INDEX(Charge!$F:$F,ROW()))),INDEX(Charge!$F:$F,ROW()),0)</f>
        <v>0.0</v>
      </c>
      <c r="EY282" s="169"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c r="FF282" t="str">
        <f>IF(B282=1,LEFT(SUBSTITUTE(SUBSTITUTE(SUBSTITUTE(TRIM(SUBSTITUTE(INDEX(Charge!$B:$B,ROW()),CHAR(160)," "))&amp;" | "&amp;TRIM(SUBSTITUTE(INDEX(Charge!$C:$C,ROW()),CHAR(160)," "))&amp;" | "&amp;TRIM(SUBSTITUTE(INDEX(Charge!$D:$D,ROW()),CHAR(160)," ")),"~","-"),"*","+"),"?","!"),240),"")</f>
        <v/>
      </c>
      <c r="FG282">
        <f>IF(B282=1,MAX(0,N(INDEX(Charge!$M:$M,ROW()))),0)</f>
        <v>0</v>
      </c>
      <c r="FH282" s="170" t="str">
        <f>IF(EO282=1,ROUND(SUMIF($FF$4:$FF$503,EN282,$FG$4:$FG$503),2),"")</f>
        <v/>
      </c>
      <c r="FI282" s="170" t="str">
        <f>IF(EO282=1,ROUND(SUMPRODUCT(($FF$4:$FF$503=EN282)*$FG$4:$FG$503*$C$4:$C$503),2),"")</f>
        <v/>
      </c>
      <c r="FJ282" s="170" t="str">
        <f>IF(EO282=1,MAX(0,ROUND(FH282-FI282,2)),"")</f>
        <v/>
      </c>
      <c r="FK282" s="174" t="str">
        <f>IF(EO282=1,IF(OR(EW282&gt;=2958465,EY282=0,EY282&lt;=EW282),"",IF(TODAY()&lt;=EW282,0,IF(TODAY()&gt;EY282,1,IFERROR(NETWORKDAYS(EW282,TODAY()-1,Data!$K$4:$K$203)/NETWORKDAYS(EW282,EY282,Data!$K$4:$K$203),"")))),"")</f>
        <v/>
      </c>
      <c r="FL282" t="str">
        <f>IF(EO282=1,IF(AND(EY282&gt;0,EY282&lt;TODAY(),ROUND(EU282,4)&lt;1),2,IF(FK282="",0,IF(ROUND(EU282-FK282,4)&lt;-0.15,1,0))),"")</f>
        <v/>
      </c>
      <c r="FM282">
        <f>IF(OR(FA282="",COUNTIF($FA$4:FA281,FA282)&gt;0),0,MAX(0,IF(FB282="Interne",IF(ISNUMBER(INDEX(Data!$F:$F,282)),INDEX(Data!$F:$F,282),p_HeuresETP),IF(ISNUMBER(INDEX(Data!$I:$I,282-$CD$23)),INDEX(Data!$I:$I,282-$CD$23),p_HeuresETP))-IF(FB282="Interne",IF(ISNUMBER(INDEX(Data!$G:$G,282)),INDEX(Data!$G:$G,282),p_ChargeFixe),IF(ISNUMBER(INDEX(Data!$J:$J,282-$CD$23)),INDEX(Data!$J:$J,282-$CD$23),p_ChargeFixe))))</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9" t="str">
        <f>IF(AND(D283=1,ISNUMBER(INDEX(Charge!$N:$N,ROW()))),INDEX(Charge!$N:$N,ROW()),"")</f>
        <v/>
      </c>
      <c r="J283" s="169"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70">
        <f>IF(OR($I283="",$E283=0),0,IF(OR($J283&lt;W$3,$I283&gt;W$2),0,IF($K283=0,IF(AND($I283&gt;=W$3,$I283&lt;=W$2),$E283,0),$E283*NETWORKDAYS(MAX($I283,W$3),MIN($J283,W$2),Data!$K$4:$K$203)/$K283)))</f>
        <v>0</v>
      </c>
      <c r="X283" s="170">
        <f>IF(OR($I283="",$E283=0),0,IF(OR($J283&lt;X$3,$I283&gt;X$2),0,IF($K283=0,IF(AND($I283&gt;=X$3,$I283&lt;=X$2),$E283,0),$E283*NETWORKDAYS(MAX($I283,X$3),MIN($J283,X$2),Data!$K$4:$K$203)/$K283)))</f>
        <v>0</v>
      </c>
      <c r="Y283" s="170">
        <f>IF(OR($I283="",$E283=0),0,IF(OR($J283&lt;Y$3,$I283&gt;Y$2),0,IF($K283=0,IF(AND($I283&gt;=Y$3,$I283&lt;=Y$2),$E283,0),$E283*NETWORKDAYS(MAX($I283,Y$3),MIN($J283,Y$2),Data!$K$4:$K$203)/$K283)))</f>
        <v>0</v>
      </c>
      <c r="Z283" s="170">
        <f>IF(OR($I283="",$E283=0),0,IF(OR($J283&lt;Z$3,$I283&gt;Z$2),0,IF($K283=0,IF(AND($I283&gt;=Z$3,$I283&lt;=Z$2),$E283,0),$E283*NETWORKDAYS(MAX($I283,Z$3),MIN($J283,Z$2),Data!$K$4:$K$203)/$K283)))</f>
        <v>0</v>
      </c>
      <c r="AA283" s="170">
        <f>IF(OR($I283="",$E283=0),0,IF(OR($J283&lt;AA$3,$I283&gt;AA$2),0,IF($K283=0,IF(AND($I283&gt;=AA$3,$I283&lt;=AA$2),$E283,0),$E283*NETWORKDAYS(MAX($I283,AA$3),MIN($J283,AA$2),Data!$K$4:$K$203)/$K283)))</f>
        <v>0</v>
      </c>
      <c r="AB283" s="170">
        <f>IF(OR($I283="",$E283=0),0,IF(OR($J283&lt;AB$3,$I283&gt;AB$2),0,IF($K283=0,IF(AND($I283&gt;=AB$3,$I283&lt;=AB$2),$E283,0),$E283*NETWORKDAYS(MAX($I283,AB$3),MIN($J283,AB$2),Data!$K$4:$K$203)/$K283)))</f>
        <v>0</v>
      </c>
      <c r="AC283" s="170">
        <f>IF(OR($I283="",$E283=0),0,IF(OR($J283&lt;AC$3,$I283&gt;AC$2),0,IF($K283=0,IF(AND($I283&gt;=AC$3,$I283&lt;=AC$2),$E283,0),$E283*NETWORKDAYS(MAX($I283,AC$3),MIN($J283,AC$2),Data!$K$4:$K$203)/$K283)))</f>
        <v>0</v>
      </c>
      <c r="AD283" s="170">
        <f>IF(OR($I283="",$E283=0),0,IF(OR($J283&lt;AD$3,$I283&gt;AD$2),0,IF($K283=0,IF(AND($I283&gt;=AD$3,$I283&lt;=AD$2),$E283,0),$E283*NETWORKDAYS(MAX($I283,AD$3),MIN($J283,AD$2),Data!$K$4:$K$203)/$K283)))</f>
        <v>0</v>
      </c>
      <c r="AE283" s="170">
        <f>IF(OR($I283="",$E283=0),0,IF(OR($J283&lt;AE$3,$I283&gt;AE$2),0,IF($K283=0,IF(AND($I283&gt;=AE$3,$I283&lt;=AE$2),$E283,0),$E283*NETWORKDAYS(MAX($I283,AE$3),MIN($J283,AE$2),Data!$K$4:$K$203)/$K283)))</f>
        <v>0</v>
      </c>
      <c r="AF283" s="170">
        <f>IF(OR($I283="",$E283=0),0,IF(OR($J283&lt;AF$3,$I283&gt;AF$2),0,IF($K283=0,IF(AND($I283&gt;=AF$3,$I283&lt;=AF$2),$E283,0),$E283*NETWORKDAYS(MAX($I283,AF$3),MIN($J283,AF$2),Data!$K$4:$K$203)/$K283)))</f>
        <v>0</v>
      </c>
      <c r="AG283" s="170">
        <f>IF(OR($I283="",$E283=0),0,IF(OR($J283&lt;AG$3,$I283&gt;AG$2),0,IF($K283=0,IF(AND($I283&gt;=AG$3,$I283&lt;=AG$2),$E283,0),$E283*NETWORKDAYS(MAX($I283,AG$3),MIN($J283,AG$2),Data!$K$4:$K$203)/$K283)))</f>
        <v>0</v>
      </c>
      <c r="AH283" s="170">
        <f>IF(OR($I283="",$E283=0),0,IF(OR($J283&lt;AH$3,$I283&gt;AH$2),0,IF($K283=0,IF(AND($I283&gt;=AH$3,$I283&lt;=AH$2),$E283,0),$E283*NETWORKDAYS(MAX($I283,AH$3),MIN($J283,AH$2),Data!$K$4:$K$203)/$K283)))</f>
        <v>0</v>
      </c>
      <c r="AI283" s="170">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70"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4" t="str">
        <f>IF(EO283=1,IF(FH283&gt;0,FI283/FH283,AVERAGEIF($FF$4:$FF$503,EN283,$C$4:$C$503)),"")</f>
        <v/>
      </c>
      <c r="EV283" s="169">
        <f>IF(ISNUMBER(I283),I283,2958465)</f>
        <v>2958465.0</v>
      </c>
      <c r="EW283" s="169" t="str">
        <f>IF(EO283=1,SUMPRODUCT(MIN(($EN$4:$EN$503=EN283)*$EV$4:$EV$503+($EN$4:$EN$503&lt;&gt;EN283)*2958465)),"")</f>
        <v/>
      </c>
      <c r="EX283" s="169">
        <f>IF(AND(D283=1,ISNUMBER(INDEX(Charge!$F:$F,ROW()))),INDEX(Charge!$F:$F,ROW()),0)</f>
        <v>0.0</v>
      </c>
      <c r="EY283" s="169"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c r="FF283" t="str">
        <f>IF(B283=1,LEFT(SUBSTITUTE(SUBSTITUTE(SUBSTITUTE(TRIM(SUBSTITUTE(INDEX(Charge!$B:$B,ROW()),CHAR(160)," "))&amp;" | "&amp;TRIM(SUBSTITUTE(INDEX(Charge!$C:$C,ROW()),CHAR(160)," "))&amp;" | "&amp;TRIM(SUBSTITUTE(INDEX(Charge!$D:$D,ROW()),CHAR(160)," ")),"~","-"),"*","+"),"?","!"),240),"")</f>
        <v/>
      </c>
      <c r="FG283">
        <f>IF(B283=1,MAX(0,N(INDEX(Charge!$M:$M,ROW()))),0)</f>
        <v>0</v>
      </c>
      <c r="FH283" s="170" t="str">
        <f>IF(EO283=1,ROUND(SUMIF($FF$4:$FF$503,EN283,$FG$4:$FG$503),2),"")</f>
        <v/>
      </c>
      <c r="FI283" s="170" t="str">
        <f>IF(EO283=1,ROUND(SUMPRODUCT(($FF$4:$FF$503=EN283)*$FG$4:$FG$503*$C$4:$C$503),2),"")</f>
        <v/>
      </c>
      <c r="FJ283" s="170" t="str">
        <f>IF(EO283=1,MAX(0,ROUND(FH283-FI283,2)),"")</f>
        <v/>
      </c>
      <c r="FK283" s="174" t="str">
        <f>IF(EO283=1,IF(OR(EW283&gt;=2958465,EY283=0,EY283&lt;=EW283),"",IF(TODAY()&lt;=EW283,0,IF(TODAY()&gt;EY283,1,IFERROR(NETWORKDAYS(EW283,TODAY()-1,Data!$K$4:$K$203)/NETWORKDAYS(EW283,EY283,Data!$K$4:$K$203),"")))),"")</f>
        <v/>
      </c>
      <c r="FL283" t="str">
        <f>IF(EO283=1,IF(AND(EY283&gt;0,EY283&lt;TODAY(),ROUND(EU283,4)&lt;1),2,IF(FK283="",0,IF(ROUND(EU283-FK283,4)&lt;-0.15,1,0))),"")</f>
        <v/>
      </c>
      <c r="FM283">
        <f>IF(OR(FA283="",COUNTIF($FA$4:FA282,FA283)&gt;0),0,MAX(0,IF(FB283="Interne",IF(ISNUMBER(INDEX(Data!$F:$F,283)),INDEX(Data!$F:$F,283),p_HeuresETP),IF(ISNUMBER(INDEX(Data!$I:$I,283-$CD$23)),INDEX(Data!$I:$I,283-$CD$23),p_HeuresETP))-IF(FB283="Interne",IF(ISNUMBER(INDEX(Data!$G:$G,283)),INDEX(Data!$G:$G,283),p_ChargeFixe),IF(ISNUMBER(INDEX(Data!$J:$J,283-$CD$23)),INDEX(Data!$J:$J,283-$CD$23),p_ChargeFixe))))</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9" t="str">
        <f>IF(AND(D284=1,ISNUMBER(INDEX(Charge!$N:$N,ROW()))),INDEX(Charge!$N:$N,ROW()),"")</f>
        <v/>
      </c>
      <c r="J284" s="169"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70">
        <f>IF(OR($I284="",$E284=0),0,IF(OR($J284&lt;W$3,$I284&gt;W$2),0,IF($K284=0,IF(AND($I284&gt;=W$3,$I284&lt;=W$2),$E284,0),$E284*NETWORKDAYS(MAX($I284,W$3),MIN($J284,W$2),Data!$K$4:$K$203)/$K284)))</f>
        <v>0</v>
      </c>
      <c r="X284" s="170">
        <f>IF(OR($I284="",$E284=0),0,IF(OR($J284&lt;X$3,$I284&gt;X$2),0,IF($K284=0,IF(AND($I284&gt;=X$3,$I284&lt;=X$2),$E284,0),$E284*NETWORKDAYS(MAX($I284,X$3),MIN($J284,X$2),Data!$K$4:$K$203)/$K284)))</f>
        <v>0</v>
      </c>
      <c r="Y284" s="170">
        <f>IF(OR($I284="",$E284=0),0,IF(OR($J284&lt;Y$3,$I284&gt;Y$2),0,IF($K284=0,IF(AND($I284&gt;=Y$3,$I284&lt;=Y$2),$E284,0),$E284*NETWORKDAYS(MAX($I284,Y$3),MIN($J284,Y$2),Data!$K$4:$K$203)/$K284)))</f>
        <v>0</v>
      </c>
      <c r="Z284" s="170">
        <f>IF(OR($I284="",$E284=0),0,IF(OR($J284&lt;Z$3,$I284&gt;Z$2),0,IF($K284=0,IF(AND($I284&gt;=Z$3,$I284&lt;=Z$2),$E284,0),$E284*NETWORKDAYS(MAX($I284,Z$3),MIN($J284,Z$2),Data!$K$4:$K$203)/$K284)))</f>
        <v>0</v>
      </c>
      <c r="AA284" s="170">
        <f>IF(OR($I284="",$E284=0),0,IF(OR($J284&lt;AA$3,$I284&gt;AA$2),0,IF($K284=0,IF(AND($I284&gt;=AA$3,$I284&lt;=AA$2),$E284,0),$E284*NETWORKDAYS(MAX($I284,AA$3),MIN($J284,AA$2),Data!$K$4:$K$203)/$K284)))</f>
        <v>0</v>
      </c>
      <c r="AB284" s="170">
        <f>IF(OR($I284="",$E284=0),0,IF(OR($J284&lt;AB$3,$I284&gt;AB$2),0,IF($K284=0,IF(AND($I284&gt;=AB$3,$I284&lt;=AB$2),$E284,0),$E284*NETWORKDAYS(MAX($I284,AB$3),MIN($J284,AB$2),Data!$K$4:$K$203)/$K284)))</f>
        <v>0</v>
      </c>
      <c r="AC284" s="170">
        <f>IF(OR($I284="",$E284=0),0,IF(OR($J284&lt;AC$3,$I284&gt;AC$2),0,IF($K284=0,IF(AND($I284&gt;=AC$3,$I284&lt;=AC$2),$E284,0),$E284*NETWORKDAYS(MAX($I284,AC$3),MIN($J284,AC$2),Data!$K$4:$K$203)/$K284)))</f>
        <v>0</v>
      </c>
      <c r="AD284" s="170">
        <f>IF(OR($I284="",$E284=0),0,IF(OR($J284&lt;AD$3,$I284&gt;AD$2),0,IF($K284=0,IF(AND($I284&gt;=AD$3,$I284&lt;=AD$2),$E284,0),$E284*NETWORKDAYS(MAX($I284,AD$3),MIN($J284,AD$2),Data!$K$4:$K$203)/$K284)))</f>
        <v>0</v>
      </c>
      <c r="AE284" s="170">
        <f>IF(OR($I284="",$E284=0),0,IF(OR($J284&lt;AE$3,$I284&gt;AE$2),0,IF($K284=0,IF(AND($I284&gt;=AE$3,$I284&lt;=AE$2),$E284,0),$E284*NETWORKDAYS(MAX($I284,AE$3),MIN($J284,AE$2),Data!$K$4:$K$203)/$K284)))</f>
        <v>0</v>
      </c>
      <c r="AF284" s="170">
        <f>IF(OR($I284="",$E284=0),0,IF(OR($J284&lt;AF$3,$I284&gt;AF$2),0,IF($K284=0,IF(AND($I284&gt;=AF$3,$I284&lt;=AF$2),$E284,0),$E284*NETWORKDAYS(MAX($I284,AF$3),MIN($J284,AF$2),Data!$K$4:$K$203)/$K284)))</f>
        <v>0</v>
      </c>
      <c r="AG284" s="170">
        <f>IF(OR($I284="",$E284=0),0,IF(OR($J284&lt;AG$3,$I284&gt;AG$2),0,IF($K284=0,IF(AND($I284&gt;=AG$3,$I284&lt;=AG$2),$E284,0),$E284*NETWORKDAYS(MAX($I284,AG$3),MIN($J284,AG$2),Data!$K$4:$K$203)/$K284)))</f>
        <v>0</v>
      </c>
      <c r="AH284" s="170">
        <f>IF(OR($I284="",$E284=0),0,IF(OR($J284&lt;AH$3,$I284&gt;AH$2),0,IF($K284=0,IF(AND($I284&gt;=AH$3,$I284&lt;=AH$2),$E284,0),$E284*NETWORKDAYS(MAX($I284,AH$3),MIN($J284,AH$2),Data!$K$4:$K$203)/$K284)))</f>
        <v>0</v>
      </c>
      <c r="AI284" s="170">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70"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4" t="str">
        <f>IF(EO284=1,IF(FH284&gt;0,FI284/FH284,AVERAGEIF($FF$4:$FF$503,EN284,$C$4:$C$503)),"")</f>
        <v/>
      </c>
      <c r="EV284" s="169">
        <f>IF(ISNUMBER(I284),I284,2958465)</f>
        <v>2958465.0</v>
      </c>
      <c r="EW284" s="169" t="str">
        <f>IF(EO284=1,SUMPRODUCT(MIN(($EN$4:$EN$503=EN284)*$EV$4:$EV$503+($EN$4:$EN$503&lt;&gt;EN284)*2958465)),"")</f>
        <v/>
      </c>
      <c r="EX284" s="169">
        <f>IF(AND(D284=1,ISNUMBER(INDEX(Charge!$F:$F,ROW()))),INDEX(Charge!$F:$F,ROW()),0)</f>
        <v>0.0</v>
      </c>
      <c r="EY284" s="169"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c r="FF284" t="str">
        <f>IF(B284=1,LEFT(SUBSTITUTE(SUBSTITUTE(SUBSTITUTE(TRIM(SUBSTITUTE(INDEX(Charge!$B:$B,ROW()),CHAR(160)," "))&amp;" | "&amp;TRIM(SUBSTITUTE(INDEX(Charge!$C:$C,ROW()),CHAR(160)," "))&amp;" | "&amp;TRIM(SUBSTITUTE(INDEX(Charge!$D:$D,ROW()),CHAR(160)," ")),"~","-"),"*","+"),"?","!"),240),"")</f>
        <v/>
      </c>
      <c r="FG284">
        <f>IF(B284=1,MAX(0,N(INDEX(Charge!$M:$M,ROW()))),0)</f>
        <v>0</v>
      </c>
      <c r="FH284" s="170" t="str">
        <f>IF(EO284=1,ROUND(SUMIF($FF$4:$FF$503,EN284,$FG$4:$FG$503),2),"")</f>
        <v/>
      </c>
      <c r="FI284" s="170" t="str">
        <f>IF(EO284=1,ROUND(SUMPRODUCT(($FF$4:$FF$503=EN284)*$FG$4:$FG$503*$C$4:$C$503),2),"")</f>
        <v/>
      </c>
      <c r="FJ284" s="170" t="str">
        <f>IF(EO284=1,MAX(0,ROUND(FH284-FI284,2)),"")</f>
        <v/>
      </c>
      <c r="FK284" s="174" t="str">
        <f>IF(EO284=1,IF(OR(EW284&gt;=2958465,EY284=0,EY284&lt;=EW284),"",IF(TODAY()&lt;=EW284,0,IF(TODAY()&gt;EY284,1,IFERROR(NETWORKDAYS(EW284,TODAY()-1,Data!$K$4:$K$203)/NETWORKDAYS(EW284,EY284,Data!$K$4:$K$203),"")))),"")</f>
        <v/>
      </c>
      <c r="FL284" t="str">
        <f>IF(EO284=1,IF(AND(EY284&gt;0,EY284&lt;TODAY(),ROUND(EU284,4)&lt;1),2,IF(FK284="",0,IF(ROUND(EU284-FK284,4)&lt;-0.15,1,0))),"")</f>
        <v/>
      </c>
      <c r="FM284">
        <f>IF(OR(FA284="",COUNTIF($FA$4:FA283,FA284)&gt;0),0,MAX(0,IF(FB284="Interne",IF(ISNUMBER(INDEX(Data!$F:$F,284)),INDEX(Data!$F:$F,284),p_HeuresETP),IF(ISNUMBER(INDEX(Data!$I:$I,284-$CD$23)),INDEX(Data!$I:$I,284-$CD$23),p_HeuresETP))-IF(FB284="Interne",IF(ISNUMBER(INDEX(Data!$G:$G,284)),INDEX(Data!$G:$G,284),p_ChargeFixe),IF(ISNUMBER(INDEX(Data!$J:$J,284-$CD$23)),INDEX(Data!$J:$J,284-$CD$23),p_ChargeFixe))))</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9" t="str">
        <f>IF(AND(D285=1,ISNUMBER(INDEX(Charge!$N:$N,ROW()))),INDEX(Charge!$N:$N,ROW()),"")</f>
        <v/>
      </c>
      <c r="J285" s="169"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70">
        <f>IF(OR($I285="",$E285=0),0,IF(OR($J285&lt;W$3,$I285&gt;W$2),0,IF($K285=0,IF(AND($I285&gt;=W$3,$I285&lt;=W$2),$E285,0),$E285*NETWORKDAYS(MAX($I285,W$3),MIN($J285,W$2),Data!$K$4:$K$203)/$K285)))</f>
        <v>0</v>
      </c>
      <c r="X285" s="170">
        <f>IF(OR($I285="",$E285=0),0,IF(OR($J285&lt;X$3,$I285&gt;X$2),0,IF($K285=0,IF(AND($I285&gt;=X$3,$I285&lt;=X$2),$E285,0),$E285*NETWORKDAYS(MAX($I285,X$3),MIN($J285,X$2),Data!$K$4:$K$203)/$K285)))</f>
        <v>0</v>
      </c>
      <c r="Y285" s="170">
        <f>IF(OR($I285="",$E285=0),0,IF(OR($J285&lt;Y$3,$I285&gt;Y$2),0,IF($K285=0,IF(AND($I285&gt;=Y$3,$I285&lt;=Y$2),$E285,0),$E285*NETWORKDAYS(MAX($I285,Y$3),MIN($J285,Y$2),Data!$K$4:$K$203)/$K285)))</f>
        <v>0</v>
      </c>
      <c r="Z285" s="170">
        <f>IF(OR($I285="",$E285=0),0,IF(OR($J285&lt;Z$3,$I285&gt;Z$2),0,IF($K285=0,IF(AND($I285&gt;=Z$3,$I285&lt;=Z$2),$E285,0),$E285*NETWORKDAYS(MAX($I285,Z$3),MIN($J285,Z$2),Data!$K$4:$K$203)/$K285)))</f>
        <v>0</v>
      </c>
      <c r="AA285" s="170">
        <f>IF(OR($I285="",$E285=0),0,IF(OR($J285&lt;AA$3,$I285&gt;AA$2),0,IF($K285=0,IF(AND($I285&gt;=AA$3,$I285&lt;=AA$2),$E285,0),$E285*NETWORKDAYS(MAX($I285,AA$3),MIN($J285,AA$2),Data!$K$4:$K$203)/$K285)))</f>
        <v>0</v>
      </c>
      <c r="AB285" s="170">
        <f>IF(OR($I285="",$E285=0),0,IF(OR($J285&lt;AB$3,$I285&gt;AB$2),0,IF($K285=0,IF(AND($I285&gt;=AB$3,$I285&lt;=AB$2),$E285,0),$E285*NETWORKDAYS(MAX($I285,AB$3),MIN($J285,AB$2),Data!$K$4:$K$203)/$K285)))</f>
        <v>0</v>
      </c>
      <c r="AC285" s="170">
        <f>IF(OR($I285="",$E285=0),0,IF(OR($J285&lt;AC$3,$I285&gt;AC$2),0,IF($K285=0,IF(AND($I285&gt;=AC$3,$I285&lt;=AC$2),$E285,0),$E285*NETWORKDAYS(MAX($I285,AC$3),MIN($J285,AC$2),Data!$K$4:$K$203)/$K285)))</f>
        <v>0</v>
      </c>
      <c r="AD285" s="170">
        <f>IF(OR($I285="",$E285=0),0,IF(OR($J285&lt;AD$3,$I285&gt;AD$2),0,IF($K285=0,IF(AND($I285&gt;=AD$3,$I285&lt;=AD$2),$E285,0),$E285*NETWORKDAYS(MAX($I285,AD$3),MIN($J285,AD$2),Data!$K$4:$K$203)/$K285)))</f>
        <v>0</v>
      </c>
      <c r="AE285" s="170">
        <f>IF(OR($I285="",$E285=0),0,IF(OR($J285&lt;AE$3,$I285&gt;AE$2),0,IF($K285=0,IF(AND($I285&gt;=AE$3,$I285&lt;=AE$2),$E285,0),$E285*NETWORKDAYS(MAX($I285,AE$3),MIN($J285,AE$2),Data!$K$4:$K$203)/$K285)))</f>
        <v>0</v>
      </c>
      <c r="AF285" s="170">
        <f>IF(OR($I285="",$E285=0),0,IF(OR($J285&lt;AF$3,$I285&gt;AF$2),0,IF($K285=0,IF(AND($I285&gt;=AF$3,$I285&lt;=AF$2),$E285,0),$E285*NETWORKDAYS(MAX($I285,AF$3),MIN($J285,AF$2),Data!$K$4:$K$203)/$K285)))</f>
        <v>0</v>
      </c>
      <c r="AG285" s="170">
        <f>IF(OR($I285="",$E285=0),0,IF(OR($J285&lt;AG$3,$I285&gt;AG$2),0,IF($K285=0,IF(AND($I285&gt;=AG$3,$I285&lt;=AG$2),$E285,0),$E285*NETWORKDAYS(MAX($I285,AG$3),MIN($J285,AG$2),Data!$K$4:$K$203)/$K285)))</f>
        <v>0</v>
      </c>
      <c r="AH285" s="170">
        <f>IF(OR($I285="",$E285=0),0,IF(OR($J285&lt;AH$3,$I285&gt;AH$2),0,IF($K285=0,IF(AND($I285&gt;=AH$3,$I285&lt;=AH$2),$E285,0),$E285*NETWORKDAYS(MAX($I285,AH$3),MIN($J285,AH$2),Data!$K$4:$K$203)/$K285)))</f>
        <v>0</v>
      </c>
      <c r="AI285" s="170">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70"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4" t="str">
        <f>IF(EO285=1,IF(FH285&gt;0,FI285/FH285,AVERAGEIF($FF$4:$FF$503,EN285,$C$4:$C$503)),"")</f>
        <v/>
      </c>
      <c r="EV285" s="169">
        <f>IF(ISNUMBER(I285),I285,2958465)</f>
        <v>2958465.0</v>
      </c>
      <c r="EW285" s="169" t="str">
        <f>IF(EO285=1,SUMPRODUCT(MIN(($EN$4:$EN$503=EN285)*$EV$4:$EV$503+($EN$4:$EN$503&lt;&gt;EN285)*2958465)),"")</f>
        <v/>
      </c>
      <c r="EX285" s="169">
        <f>IF(AND(D285=1,ISNUMBER(INDEX(Charge!$F:$F,ROW()))),INDEX(Charge!$F:$F,ROW()),0)</f>
        <v>0.0</v>
      </c>
      <c r="EY285" s="169"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c r="FF285" t="str">
        <f>IF(B285=1,LEFT(SUBSTITUTE(SUBSTITUTE(SUBSTITUTE(TRIM(SUBSTITUTE(INDEX(Charge!$B:$B,ROW()),CHAR(160)," "))&amp;" | "&amp;TRIM(SUBSTITUTE(INDEX(Charge!$C:$C,ROW()),CHAR(160)," "))&amp;" | "&amp;TRIM(SUBSTITUTE(INDEX(Charge!$D:$D,ROW()),CHAR(160)," ")),"~","-"),"*","+"),"?","!"),240),"")</f>
        <v/>
      </c>
      <c r="FG285">
        <f>IF(B285=1,MAX(0,N(INDEX(Charge!$M:$M,ROW()))),0)</f>
        <v>0</v>
      </c>
      <c r="FH285" s="170" t="str">
        <f>IF(EO285=1,ROUND(SUMIF($FF$4:$FF$503,EN285,$FG$4:$FG$503),2),"")</f>
        <v/>
      </c>
      <c r="FI285" s="170" t="str">
        <f>IF(EO285=1,ROUND(SUMPRODUCT(($FF$4:$FF$503=EN285)*$FG$4:$FG$503*$C$4:$C$503),2),"")</f>
        <v/>
      </c>
      <c r="FJ285" s="170" t="str">
        <f>IF(EO285=1,MAX(0,ROUND(FH285-FI285,2)),"")</f>
        <v/>
      </c>
      <c r="FK285" s="174" t="str">
        <f>IF(EO285=1,IF(OR(EW285&gt;=2958465,EY285=0,EY285&lt;=EW285),"",IF(TODAY()&lt;=EW285,0,IF(TODAY()&gt;EY285,1,IFERROR(NETWORKDAYS(EW285,TODAY()-1,Data!$K$4:$K$203)/NETWORKDAYS(EW285,EY285,Data!$K$4:$K$203),"")))),"")</f>
        <v/>
      </c>
      <c r="FL285" t="str">
        <f>IF(EO285=1,IF(AND(EY285&gt;0,EY285&lt;TODAY(),ROUND(EU285,4)&lt;1),2,IF(FK285="",0,IF(ROUND(EU285-FK285,4)&lt;-0.15,1,0))),"")</f>
        <v/>
      </c>
      <c r="FM285">
        <f>IF(OR(FA285="",COUNTIF($FA$4:FA284,FA285)&gt;0),0,MAX(0,IF(FB285="Interne",IF(ISNUMBER(INDEX(Data!$F:$F,285)),INDEX(Data!$F:$F,285),p_HeuresETP),IF(ISNUMBER(INDEX(Data!$I:$I,285-$CD$23)),INDEX(Data!$I:$I,285-$CD$23),p_HeuresETP))-IF(FB285="Interne",IF(ISNUMBER(INDEX(Data!$G:$G,285)),INDEX(Data!$G:$G,285),p_ChargeFixe),IF(ISNUMBER(INDEX(Data!$J:$J,285-$CD$23)),INDEX(Data!$J:$J,285-$CD$23),p_ChargeFixe))))</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9" t="str">
        <f>IF(AND(D286=1,ISNUMBER(INDEX(Charge!$N:$N,ROW()))),INDEX(Charge!$N:$N,ROW()),"")</f>
        <v/>
      </c>
      <c r="J286" s="169"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70">
        <f>IF(OR($I286="",$E286=0),0,IF(OR($J286&lt;W$3,$I286&gt;W$2),0,IF($K286=0,IF(AND($I286&gt;=W$3,$I286&lt;=W$2),$E286,0),$E286*NETWORKDAYS(MAX($I286,W$3),MIN($J286,W$2),Data!$K$4:$K$203)/$K286)))</f>
        <v>0</v>
      </c>
      <c r="X286" s="170">
        <f>IF(OR($I286="",$E286=0),0,IF(OR($J286&lt;X$3,$I286&gt;X$2),0,IF($K286=0,IF(AND($I286&gt;=X$3,$I286&lt;=X$2),$E286,0),$E286*NETWORKDAYS(MAX($I286,X$3),MIN($J286,X$2),Data!$K$4:$K$203)/$K286)))</f>
        <v>0</v>
      </c>
      <c r="Y286" s="170">
        <f>IF(OR($I286="",$E286=0),0,IF(OR($J286&lt;Y$3,$I286&gt;Y$2),0,IF($K286=0,IF(AND($I286&gt;=Y$3,$I286&lt;=Y$2),$E286,0),$E286*NETWORKDAYS(MAX($I286,Y$3),MIN($J286,Y$2),Data!$K$4:$K$203)/$K286)))</f>
        <v>0</v>
      </c>
      <c r="Z286" s="170">
        <f>IF(OR($I286="",$E286=0),0,IF(OR($J286&lt;Z$3,$I286&gt;Z$2),0,IF($K286=0,IF(AND($I286&gt;=Z$3,$I286&lt;=Z$2),$E286,0),$E286*NETWORKDAYS(MAX($I286,Z$3),MIN($J286,Z$2),Data!$K$4:$K$203)/$K286)))</f>
        <v>0</v>
      </c>
      <c r="AA286" s="170">
        <f>IF(OR($I286="",$E286=0),0,IF(OR($J286&lt;AA$3,$I286&gt;AA$2),0,IF($K286=0,IF(AND($I286&gt;=AA$3,$I286&lt;=AA$2),$E286,0),$E286*NETWORKDAYS(MAX($I286,AA$3),MIN($J286,AA$2),Data!$K$4:$K$203)/$K286)))</f>
        <v>0</v>
      </c>
      <c r="AB286" s="170">
        <f>IF(OR($I286="",$E286=0),0,IF(OR($J286&lt;AB$3,$I286&gt;AB$2),0,IF($K286=0,IF(AND($I286&gt;=AB$3,$I286&lt;=AB$2),$E286,0),$E286*NETWORKDAYS(MAX($I286,AB$3),MIN($J286,AB$2),Data!$K$4:$K$203)/$K286)))</f>
        <v>0</v>
      </c>
      <c r="AC286" s="170">
        <f>IF(OR($I286="",$E286=0),0,IF(OR($J286&lt;AC$3,$I286&gt;AC$2),0,IF($K286=0,IF(AND($I286&gt;=AC$3,$I286&lt;=AC$2),$E286,0),$E286*NETWORKDAYS(MAX($I286,AC$3),MIN($J286,AC$2),Data!$K$4:$K$203)/$K286)))</f>
        <v>0</v>
      </c>
      <c r="AD286" s="170">
        <f>IF(OR($I286="",$E286=0),0,IF(OR($J286&lt;AD$3,$I286&gt;AD$2),0,IF($K286=0,IF(AND($I286&gt;=AD$3,$I286&lt;=AD$2),$E286,0),$E286*NETWORKDAYS(MAX($I286,AD$3),MIN($J286,AD$2),Data!$K$4:$K$203)/$K286)))</f>
        <v>0</v>
      </c>
      <c r="AE286" s="170">
        <f>IF(OR($I286="",$E286=0),0,IF(OR($J286&lt;AE$3,$I286&gt;AE$2),0,IF($K286=0,IF(AND($I286&gt;=AE$3,$I286&lt;=AE$2),$E286,0),$E286*NETWORKDAYS(MAX($I286,AE$3),MIN($J286,AE$2),Data!$K$4:$K$203)/$K286)))</f>
        <v>0</v>
      </c>
      <c r="AF286" s="170">
        <f>IF(OR($I286="",$E286=0),0,IF(OR($J286&lt;AF$3,$I286&gt;AF$2),0,IF($K286=0,IF(AND($I286&gt;=AF$3,$I286&lt;=AF$2),$E286,0),$E286*NETWORKDAYS(MAX($I286,AF$3),MIN($J286,AF$2),Data!$K$4:$K$203)/$K286)))</f>
        <v>0</v>
      </c>
      <c r="AG286" s="170">
        <f>IF(OR($I286="",$E286=0),0,IF(OR($J286&lt;AG$3,$I286&gt;AG$2),0,IF($K286=0,IF(AND($I286&gt;=AG$3,$I286&lt;=AG$2),$E286,0),$E286*NETWORKDAYS(MAX($I286,AG$3),MIN($J286,AG$2),Data!$K$4:$K$203)/$K286)))</f>
        <v>0</v>
      </c>
      <c r="AH286" s="170">
        <f>IF(OR($I286="",$E286=0),0,IF(OR($J286&lt;AH$3,$I286&gt;AH$2),0,IF($K286=0,IF(AND($I286&gt;=AH$3,$I286&lt;=AH$2),$E286,0),$E286*NETWORKDAYS(MAX($I286,AH$3),MIN($J286,AH$2),Data!$K$4:$K$203)/$K286)))</f>
        <v>0</v>
      </c>
      <c r="AI286" s="170">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70"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4" t="str">
        <f>IF(EO286=1,IF(FH286&gt;0,FI286/FH286,AVERAGEIF($FF$4:$FF$503,EN286,$C$4:$C$503)),"")</f>
        <v/>
      </c>
      <c r="EV286" s="169">
        <f>IF(ISNUMBER(I286),I286,2958465)</f>
        <v>2958465.0</v>
      </c>
      <c r="EW286" s="169" t="str">
        <f>IF(EO286=1,SUMPRODUCT(MIN(($EN$4:$EN$503=EN286)*$EV$4:$EV$503+($EN$4:$EN$503&lt;&gt;EN286)*2958465)),"")</f>
        <v/>
      </c>
      <c r="EX286" s="169">
        <f>IF(AND(D286=1,ISNUMBER(INDEX(Charge!$F:$F,ROW()))),INDEX(Charge!$F:$F,ROW()),0)</f>
        <v>0.0</v>
      </c>
      <c r="EY286" s="169"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c r="FF286" t="str">
        <f>IF(B286=1,LEFT(SUBSTITUTE(SUBSTITUTE(SUBSTITUTE(TRIM(SUBSTITUTE(INDEX(Charge!$B:$B,ROW()),CHAR(160)," "))&amp;" | "&amp;TRIM(SUBSTITUTE(INDEX(Charge!$C:$C,ROW()),CHAR(160)," "))&amp;" | "&amp;TRIM(SUBSTITUTE(INDEX(Charge!$D:$D,ROW()),CHAR(160)," ")),"~","-"),"*","+"),"?","!"),240),"")</f>
        <v/>
      </c>
      <c r="FG286">
        <f>IF(B286=1,MAX(0,N(INDEX(Charge!$M:$M,ROW()))),0)</f>
        <v>0</v>
      </c>
      <c r="FH286" s="170" t="str">
        <f>IF(EO286=1,ROUND(SUMIF($FF$4:$FF$503,EN286,$FG$4:$FG$503),2),"")</f>
        <v/>
      </c>
      <c r="FI286" s="170" t="str">
        <f>IF(EO286=1,ROUND(SUMPRODUCT(($FF$4:$FF$503=EN286)*$FG$4:$FG$503*$C$4:$C$503),2),"")</f>
        <v/>
      </c>
      <c r="FJ286" s="170" t="str">
        <f>IF(EO286=1,MAX(0,ROUND(FH286-FI286,2)),"")</f>
        <v/>
      </c>
      <c r="FK286" s="174" t="str">
        <f>IF(EO286=1,IF(OR(EW286&gt;=2958465,EY286=0,EY286&lt;=EW286),"",IF(TODAY()&lt;=EW286,0,IF(TODAY()&gt;EY286,1,IFERROR(NETWORKDAYS(EW286,TODAY()-1,Data!$K$4:$K$203)/NETWORKDAYS(EW286,EY286,Data!$K$4:$K$203),"")))),"")</f>
        <v/>
      </c>
      <c r="FL286" t="str">
        <f>IF(EO286=1,IF(AND(EY286&gt;0,EY286&lt;TODAY(),ROUND(EU286,4)&lt;1),2,IF(FK286="",0,IF(ROUND(EU286-FK286,4)&lt;-0.15,1,0))),"")</f>
        <v/>
      </c>
      <c r="FM286">
        <f>IF(OR(FA286="",COUNTIF($FA$4:FA285,FA286)&gt;0),0,MAX(0,IF(FB286="Interne",IF(ISNUMBER(INDEX(Data!$F:$F,286)),INDEX(Data!$F:$F,286),p_HeuresETP),IF(ISNUMBER(INDEX(Data!$I:$I,286-$CD$23)),INDEX(Data!$I:$I,286-$CD$23),p_HeuresETP))-IF(FB286="Interne",IF(ISNUMBER(INDEX(Data!$G:$G,286)),INDEX(Data!$G:$G,286),p_ChargeFixe),IF(ISNUMBER(INDEX(Data!$J:$J,286-$CD$23)),INDEX(Data!$J:$J,286-$CD$23),p_ChargeFixe))))</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9" t="str">
        <f>IF(AND(D287=1,ISNUMBER(INDEX(Charge!$N:$N,ROW()))),INDEX(Charge!$N:$N,ROW()),"")</f>
        <v/>
      </c>
      <c r="J287" s="169"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70">
        <f>IF(OR($I287="",$E287=0),0,IF(OR($J287&lt;W$3,$I287&gt;W$2),0,IF($K287=0,IF(AND($I287&gt;=W$3,$I287&lt;=W$2),$E287,0),$E287*NETWORKDAYS(MAX($I287,W$3),MIN($J287,W$2),Data!$K$4:$K$203)/$K287)))</f>
        <v>0</v>
      </c>
      <c r="X287" s="170">
        <f>IF(OR($I287="",$E287=0),0,IF(OR($J287&lt;X$3,$I287&gt;X$2),0,IF($K287=0,IF(AND($I287&gt;=X$3,$I287&lt;=X$2),$E287,0),$E287*NETWORKDAYS(MAX($I287,X$3),MIN($J287,X$2),Data!$K$4:$K$203)/$K287)))</f>
        <v>0</v>
      </c>
      <c r="Y287" s="170">
        <f>IF(OR($I287="",$E287=0),0,IF(OR($J287&lt;Y$3,$I287&gt;Y$2),0,IF($K287=0,IF(AND($I287&gt;=Y$3,$I287&lt;=Y$2),$E287,0),$E287*NETWORKDAYS(MAX($I287,Y$3),MIN($J287,Y$2),Data!$K$4:$K$203)/$K287)))</f>
        <v>0</v>
      </c>
      <c r="Z287" s="170">
        <f>IF(OR($I287="",$E287=0),0,IF(OR($J287&lt;Z$3,$I287&gt;Z$2),0,IF($K287=0,IF(AND($I287&gt;=Z$3,$I287&lt;=Z$2),$E287,0),$E287*NETWORKDAYS(MAX($I287,Z$3),MIN($J287,Z$2),Data!$K$4:$K$203)/$K287)))</f>
        <v>0</v>
      </c>
      <c r="AA287" s="170">
        <f>IF(OR($I287="",$E287=0),0,IF(OR($J287&lt;AA$3,$I287&gt;AA$2),0,IF($K287=0,IF(AND($I287&gt;=AA$3,$I287&lt;=AA$2),$E287,0),$E287*NETWORKDAYS(MAX($I287,AA$3),MIN($J287,AA$2),Data!$K$4:$K$203)/$K287)))</f>
        <v>0</v>
      </c>
      <c r="AB287" s="170">
        <f>IF(OR($I287="",$E287=0),0,IF(OR($J287&lt;AB$3,$I287&gt;AB$2),0,IF($K287=0,IF(AND($I287&gt;=AB$3,$I287&lt;=AB$2),$E287,0),$E287*NETWORKDAYS(MAX($I287,AB$3),MIN($J287,AB$2),Data!$K$4:$K$203)/$K287)))</f>
        <v>0</v>
      </c>
      <c r="AC287" s="170">
        <f>IF(OR($I287="",$E287=0),0,IF(OR($J287&lt;AC$3,$I287&gt;AC$2),0,IF($K287=0,IF(AND($I287&gt;=AC$3,$I287&lt;=AC$2),$E287,0),$E287*NETWORKDAYS(MAX($I287,AC$3),MIN($J287,AC$2),Data!$K$4:$K$203)/$K287)))</f>
        <v>0</v>
      </c>
      <c r="AD287" s="170">
        <f>IF(OR($I287="",$E287=0),0,IF(OR($J287&lt;AD$3,$I287&gt;AD$2),0,IF($K287=0,IF(AND($I287&gt;=AD$3,$I287&lt;=AD$2),$E287,0),$E287*NETWORKDAYS(MAX($I287,AD$3),MIN($J287,AD$2),Data!$K$4:$K$203)/$K287)))</f>
        <v>0</v>
      </c>
      <c r="AE287" s="170">
        <f>IF(OR($I287="",$E287=0),0,IF(OR($J287&lt;AE$3,$I287&gt;AE$2),0,IF($K287=0,IF(AND($I287&gt;=AE$3,$I287&lt;=AE$2),$E287,0),$E287*NETWORKDAYS(MAX($I287,AE$3),MIN($J287,AE$2),Data!$K$4:$K$203)/$K287)))</f>
        <v>0</v>
      </c>
      <c r="AF287" s="170">
        <f>IF(OR($I287="",$E287=0),0,IF(OR($J287&lt;AF$3,$I287&gt;AF$2),0,IF($K287=0,IF(AND($I287&gt;=AF$3,$I287&lt;=AF$2),$E287,0),$E287*NETWORKDAYS(MAX($I287,AF$3),MIN($J287,AF$2),Data!$K$4:$K$203)/$K287)))</f>
        <v>0</v>
      </c>
      <c r="AG287" s="170">
        <f>IF(OR($I287="",$E287=0),0,IF(OR($J287&lt;AG$3,$I287&gt;AG$2),0,IF($K287=0,IF(AND($I287&gt;=AG$3,$I287&lt;=AG$2),$E287,0),$E287*NETWORKDAYS(MAX($I287,AG$3),MIN($J287,AG$2),Data!$K$4:$K$203)/$K287)))</f>
        <v>0</v>
      </c>
      <c r="AH287" s="170">
        <f>IF(OR($I287="",$E287=0),0,IF(OR($J287&lt;AH$3,$I287&gt;AH$2),0,IF($K287=0,IF(AND($I287&gt;=AH$3,$I287&lt;=AH$2),$E287,0),$E287*NETWORKDAYS(MAX($I287,AH$3),MIN($J287,AH$2),Data!$K$4:$K$203)/$K287)))</f>
        <v>0</v>
      </c>
      <c r="AI287" s="170">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70"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4" t="str">
        <f>IF(EO287=1,IF(FH287&gt;0,FI287/FH287,AVERAGEIF($FF$4:$FF$503,EN287,$C$4:$C$503)),"")</f>
        <v/>
      </c>
      <c r="EV287" s="169">
        <f>IF(ISNUMBER(I287),I287,2958465)</f>
        <v>2958465.0</v>
      </c>
      <c r="EW287" s="169" t="str">
        <f>IF(EO287=1,SUMPRODUCT(MIN(($EN$4:$EN$503=EN287)*$EV$4:$EV$503+($EN$4:$EN$503&lt;&gt;EN287)*2958465)),"")</f>
        <v/>
      </c>
      <c r="EX287" s="169">
        <f>IF(AND(D287=1,ISNUMBER(INDEX(Charge!$F:$F,ROW()))),INDEX(Charge!$F:$F,ROW()),0)</f>
        <v>0.0</v>
      </c>
      <c r="EY287" s="169"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c r="FF287" t="str">
        <f>IF(B287=1,LEFT(SUBSTITUTE(SUBSTITUTE(SUBSTITUTE(TRIM(SUBSTITUTE(INDEX(Charge!$B:$B,ROW()),CHAR(160)," "))&amp;" | "&amp;TRIM(SUBSTITUTE(INDEX(Charge!$C:$C,ROW()),CHAR(160)," "))&amp;" | "&amp;TRIM(SUBSTITUTE(INDEX(Charge!$D:$D,ROW()),CHAR(160)," ")),"~","-"),"*","+"),"?","!"),240),"")</f>
        <v/>
      </c>
      <c r="FG287">
        <f>IF(B287=1,MAX(0,N(INDEX(Charge!$M:$M,ROW()))),0)</f>
        <v>0</v>
      </c>
      <c r="FH287" s="170" t="str">
        <f>IF(EO287=1,ROUND(SUMIF($FF$4:$FF$503,EN287,$FG$4:$FG$503),2),"")</f>
        <v/>
      </c>
      <c r="FI287" s="170" t="str">
        <f>IF(EO287=1,ROUND(SUMPRODUCT(($FF$4:$FF$503=EN287)*$FG$4:$FG$503*$C$4:$C$503),2),"")</f>
        <v/>
      </c>
      <c r="FJ287" s="170" t="str">
        <f>IF(EO287=1,MAX(0,ROUND(FH287-FI287,2)),"")</f>
        <v/>
      </c>
      <c r="FK287" s="174" t="str">
        <f>IF(EO287=1,IF(OR(EW287&gt;=2958465,EY287=0,EY287&lt;=EW287),"",IF(TODAY()&lt;=EW287,0,IF(TODAY()&gt;EY287,1,IFERROR(NETWORKDAYS(EW287,TODAY()-1,Data!$K$4:$K$203)/NETWORKDAYS(EW287,EY287,Data!$K$4:$K$203),"")))),"")</f>
        <v/>
      </c>
      <c r="FL287" t="str">
        <f>IF(EO287=1,IF(AND(EY287&gt;0,EY287&lt;TODAY(),ROUND(EU287,4)&lt;1),2,IF(FK287="",0,IF(ROUND(EU287-FK287,4)&lt;-0.15,1,0))),"")</f>
        <v/>
      </c>
      <c r="FM287">
        <f>IF(OR(FA287="",COUNTIF($FA$4:FA286,FA287)&gt;0),0,MAX(0,IF(FB287="Interne",IF(ISNUMBER(INDEX(Data!$F:$F,287)),INDEX(Data!$F:$F,287),p_HeuresETP),IF(ISNUMBER(INDEX(Data!$I:$I,287-$CD$23)),INDEX(Data!$I:$I,287-$CD$23),p_HeuresETP))-IF(FB287="Interne",IF(ISNUMBER(INDEX(Data!$G:$G,287)),INDEX(Data!$G:$G,287),p_ChargeFixe),IF(ISNUMBER(INDEX(Data!$J:$J,287-$CD$23)),INDEX(Data!$J:$J,287-$CD$23),p_ChargeFixe))))</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9" t="str">
        <f>IF(AND(D288=1,ISNUMBER(INDEX(Charge!$N:$N,ROW()))),INDEX(Charge!$N:$N,ROW()),"")</f>
        <v/>
      </c>
      <c r="J288" s="169"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70">
        <f>IF(OR($I288="",$E288=0),0,IF(OR($J288&lt;W$3,$I288&gt;W$2),0,IF($K288=0,IF(AND($I288&gt;=W$3,$I288&lt;=W$2),$E288,0),$E288*NETWORKDAYS(MAX($I288,W$3),MIN($J288,W$2),Data!$K$4:$K$203)/$K288)))</f>
        <v>0</v>
      </c>
      <c r="X288" s="170">
        <f>IF(OR($I288="",$E288=0),0,IF(OR($J288&lt;X$3,$I288&gt;X$2),0,IF($K288=0,IF(AND($I288&gt;=X$3,$I288&lt;=X$2),$E288,0),$E288*NETWORKDAYS(MAX($I288,X$3),MIN($J288,X$2),Data!$K$4:$K$203)/$K288)))</f>
        <v>0</v>
      </c>
      <c r="Y288" s="170">
        <f>IF(OR($I288="",$E288=0),0,IF(OR($J288&lt;Y$3,$I288&gt;Y$2),0,IF($K288=0,IF(AND($I288&gt;=Y$3,$I288&lt;=Y$2),$E288,0),$E288*NETWORKDAYS(MAX($I288,Y$3),MIN($J288,Y$2),Data!$K$4:$K$203)/$K288)))</f>
        <v>0</v>
      </c>
      <c r="Z288" s="170">
        <f>IF(OR($I288="",$E288=0),0,IF(OR($J288&lt;Z$3,$I288&gt;Z$2),0,IF($K288=0,IF(AND($I288&gt;=Z$3,$I288&lt;=Z$2),$E288,0),$E288*NETWORKDAYS(MAX($I288,Z$3),MIN($J288,Z$2),Data!$K$4:$K$203)/$K288)))</f>
        <v>0</v>
      </c>
      <c r="AA288" s="170">
        <f>IF(OR($I288="",$E288=0),0,IF(OR($J288&lt;AA$3,$I288&gt;AA$2),0,IF($K288=0,IF(AND($I288&gt;=AA$3,$I288&lt;=AA$2),$E288,0),$E288*NETWORKDAYS(MAX($I288,AA$3),MIN($J288,AA$2),Data!$K$4:$K$203)/$K288)))</f>
        <v>0</v>
      </c>
      <c r="AB288" s="170">
        <f>IF(OR($I288="",$E288=0),0,IF(OR($J288&lt;AB$3,$I288&gt;AB$2),0,IF($K288=0,IF(AND($I288&gt;=AB$3,$I288&lt;=AB$2),$E288,0),$E288*NETWORKDAYS(MAX($I288,AB$3),MIN($J288,AB$2),Data!$K$4:$K$203)/$K288)))</f>
        <v>0</v>
      </c>
      <c r="AC288" s="170">
        <f>IF(OR($I288="",$E288=0),0,IF(OR($J288&lt;AC$3,$I288&gt;AC$2),0,IF($K288=0,IF(AND($I288&gt;=AC$3,$I288&lt;=AC$2),$E288,0),$E288*NETWORKDAYS(MAX($I288,AC$3),MIN($J288,AC$2),Data!$K$4:$K$203)/$K288)))</f>
        <v>0</v>
      </c>
      <c r="AD288" s="170">
        <f>IF(OR($I288="",$E288=0),0,IF(OR($J288&lt;AD$3,$I288&gt;AD$2),0,IF($K288=0,IF(AND($I288&gt;=AD$3,$I288&lt;=AD$2),$E288,0),$E288*NETWORKDAYS(MAX($I288,AD$3),MIN($J288,AD$2),Data!$K$4:$K$203)/$K288)))</f>
        <v>0</v>
      </c>
      <c r="AE288" s="170">
        <f>IF(OR($I288="",$E288=0),0,IF(OR($J288&lt;AE$3,$I288&gt;AE$2),0,IF($K288=0,IF(AND($I288&gt;=AE$3,$I288&lt;=AE$2),$E288,0),$E288*NETWORKDAYS(MAX($I288,AE$3),MIN($J288,AE$2),Data!$K$4:$K$203)/$K288)))</f>
        <v>0</v>
      </c>
      <c r="AF288" s="170">
        <f>IF(OR($I288="",$E288=0),0,IF(OR($J288&lt;AF$3,$I288&gt;AF$2),0,IF($K288=0,IF(AND($I288&gt;=AF$3,$I288&lt;=AF$2),$E288,0),$E288*NETWORKDAYS(MAX($I288,AF$3),MIN($J288,AF$2),Data!$K$4:$K$203)/$K288)))</f>
        <v>0</v>
      </c>
      <c r="AG288" s="170">
        <f>IF(OR($I288="",$E288=0),0,IF(OR($J288&lt;AG$3,$I288&gt;AG$2),0,IF($K288=0,IF(AND($I288&gt;=AG$3,$I288&lt;=AG$2),$E288,0),$E288*NETWORKDAYS(MAX($I288,AG$3),MIN($J288,AG$2),Data!$K$4:$K$203)/$K288)))</f>
        <v>0</v>
      </c>
      <c r="AH288" s="170">
        <f>IF(OR($I288="",$E288=0),0,IF(OR($J288&lt;AH$3,$I288&gt;AH$2),0,IF($K288=0,IF(AND($I288&gt;=AH$3,$I288&lt;=AH$2),$E288,0),$E288*NETWORKDAYS(MAX($I288,AH$3),MIN($J288,AH$2),Data!$K$4:$K$203)/$K288)))</f>
        <v>0</v>
      </c>
      <c r="AI288" s="170">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70"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4" t="str">
        <f>IF(EO288=1,IF(FH288&gt;0,FI288/FH288,AVERAGEIF($FF$4:$FF$503,EN288,$C$4:$C$503)),"")</f>
        <v/>
      </c>
      <c r="EV288" s="169">
        <f>IF(ISNUMBER(I288),I288,2958465)</f>
        <v>2958465.0</v>
      </c>
      <c r="EW288" s="169" t="str">
        <f>IF(EO288=1,SUMPRODUCT(MIN(($EN$4:$EN$503=EN288)*$EV$4:$EV$503+($EN$4:$EN$503&lt;&gt;EN288)*2958465)),"")</f>
        <v/>
      </c>
      <c r="EX288" s="169">
        <f>IF(AND(D288=1,ISNUMBER(INDEX(Charge!$F:$F,ROW()))),INDEX(Charge!$F:$F,ROW()),0)</f>
        <v>0.0</v>
      </c>
      <c r="EY288" s="169"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c r="FF288" t="str">
        <f>IF(B288=1,LEFT(SUBSTITUTE(SUBSTITUTE(SUBSTITUTE(TRIM(SUBSTITUTE(INDEX(Charge!$B:$B,ROW()),CHAR(160)," "))&amp;" | "&amp;TRIM(SUBSTITUTE(INDEX(Charge!$C:$C,ROW()),CHAR(160)," "))&amp;" | "&amp;TRIM(SUBSTITUTE(INDEX(Charge!$D:$D,ROW()),CHAR(160)," ")),"~","-"),"*","+"),"?","!"),240),"")</f>
        <v/>
      </c>
      <c r="FG288">
        <f>IF(B288=1,MAX(0,N(INDEX(Charge!$M:$M,ROW()))),0)</f>
        <v>0</v>
      </c>
      <c r="FH288" s="170" t="str">
        <f>IF(EO288=1,ROUND(SUMIF($FF$4:$FF$503,EN288,$FG$4:$FG$503),2),"")</f>
        <v/>
      </c>
      <c r="FI288" s="170" t="str">
        <f>IF(EO288=1,ROUND(SUMPRODUCT(($FF$4:$FF$503=EN288)*$FG$4:$FG$503*$C$4:$C$503),2),"")</f>
        <v/>
      </c>
      <c r="FJ288" s="170" t="str">
        <f>IF(EO288=1,MAX(0,ROUND(FH288-FI288,2)),"")</f>
        <v/>
      </c>
      <c r="FK288" s="174" t="str">
        <f>IF(EO288=1,IF(OR(EW288&gt;=2958465,EY288=0,EY288&lt;=EW288),"",IF(TODAY()&lt;=EW288,0,IF(TODAY()&gt;EY288,1,IFERROR(NETWORKDAYS(EW288,TODAY()-1,Data!$K$4:$K$203)/NETWORKDAYS(EW288,EY288,Data!$K$4:$K$203),"")))),"")</f>
        <v/>
      </c>
      <c r="FL288" t="str">
        <f>IF(EO288=1,IF(AND(EY288&gt;0,EY288&lt;TODAY(),ROUND(EU288,4)&lt;1),2,IF(FK288="",0,IF(ROUND(EU288-FK288,4)&lt;-0.15,1,0))),"")</f>
        <v/>
      </c>
      <c r="FM288">
        <f>IF(OR(FA288="",COUNTIF($FA$4:FA287,FA288)&gt;0),0,MAX(0,IF(FB288="Interne",IF(ISNUMBER(INDEX(Data!$F:$F,288)),INDEX(Data!$F:$F,288),p_HeuresETP),IF(ISNUMBER(INDEX(Data!$I:$I,288-$CD$23)),INDEX(Data!$I:$I,288-$CD$23),p_HeuresETP))-IF(FB288="Interne",IF(ISNUMBER(INDEX(Data!$G:$G,288)),INDEX(Data!$G:$G,288),p_ChargeFixe),IF(ISNUMBER(INDEX(Data!$J:$J,288-$CD$23)),INDEX(Data!$J:$J,288-$CD$23),p_ChargeFixe))))</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9" t="str">
        <f>IF(AND(D289=1,ISNUMBER(INDEX(Charge!$N:$N,ROW()))),INDEX(Charge!$N:$N,ROW()),"")</f>
        <v/>
      </c>
      <c r="J289" s="169"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70">
        <f>IF(OR($I289="",$E289=0),0,IF(OR($J289&lt;W$3,$I289&gt;W$2),0,IF($K289=0,IF(AND($I289&gt;=W$3,$I289&lt;=W$2),$E289,0),$E289*NETWORKDAYS(MAX($I289,W$3),MIN($J289,W$2),Data!$K$4:$K$203)/$K289)))</f>
        <v>0</v>
      </c>
      <c r="X289" s="170">
        <f>IF(OR($I289="",$E289=0),0,IF(OR($J289&lt;X$3,$I289&gt;X$2),0,IF($K289=0,IF(AND($I289&gt;=X$3,$I289&lt;=X$2),$E289,0),$E289*NETWORKDAYS(MAX($I289,X$3),MIN($J289,X$2),Data!$K$4:$K$203)/$K289)))</f>
        <v>0</v>
      </c>
      <c r="Y289" s="170">
        <f>IF(OR($I289="",$E289=0),0,IF(OR($J289&lt;Y$3,$I289&gt;Y$2),0,IF($K289=0,IF(AND($I289&gt;=Y$3,$I289&lt;=Y$2),$E289,0),$E289*NETWORKDAYS(MAX($I289,Y$3),MIN($J289,Y$2),Data!$K$4:$K$203)/$K289)))</f>
        <v>0</v>
      </c>
      <c r="Z289" s="170">
        <f>IF(OR($I289="",$E289=0),0,IF(OR($J289&lt;Z$3,$I289&gt;Z$2),0,IF($K289=0,IF(AND($I289&gt;=Z$3,$I289&lt;=Z$2),$E289,0),$E289*NETWORKDAYS(MAX($I289,Z$3),MIN($J289,Z$2),Data!$K$4:$K$203)/$K289)))</f>
        <v>0</v>
      </c>
      <c r="AA289" s="170">
        <f>IF(OR($I289="",$E289=0),0,IF(OR($J289&lt;AA$3,$I289&gt;AA$2),0,IF($K289=0,IF(AND($I289&gt;=AA$3,$I289&lt;=AA$2),$E289,0),$E289*NETWORKDAYS(MAX($I289,AA$3),MIN($J289,AA$2),Data!$K$4:$K$203)/$K289)))</f>
        <v>0</v>
      </c>
      <c r="AB289" s="170">
        <f>IF(OR($I289="",$E289=0),0,IF(OR($J289&lt;AB$3,$I289&gt;AB$2),0,IF($K289=0,IF(AND($I289&gt;=AB$3,$I289&lt;=AB$2),$E289,0),$E289*NETWORKDAYS(MAX($I289,AB$3),MIN($J289,AB$2),Data!$K$4:$K$203)/$K289)))</f>
        <v>0</v>
      </c>
      <c r="AC289" s="170">
        <f>IF(OR($I289="",$E289=0),0,IF(OR($J289&lt;AC$3,$I289&gt;AC$2),0,IF($K289=0,IF(AND($I289&gt;=AC$3,$I289&lt;=AC$2),$E289,0),$E289*NETWORKDAYS(MAX($I289,AC$3),MIN($J289,AC$2),Data!$K$4:$K$203)/$K289)))</f>
        <v>0</v>
      </c>
      <c r="AD289" s="170">
        <f>IF(OR($I289="",$E289=0),0,IF(OR($J289&lt;AD$3,$I289&gt;AD$2),0,IF($K289=0,IF(AND($I289&gt;=AD$3,$I289&lt;=AD$2),$E289,0),$E289*NETWORKDAYS(MAX($I289,AD$3),MIN($J289,AD$2),Data!$K$4:$K$203)/$K289)))</f>
        <v>0</v>
      </c>
      <c r="AE289" s="170">
        <f>IF(OR($I289="",$E289=0),0,IF(OR($J289&lt;AE$3,$I289&gt;AE$2),0,IF($K289=0,IF(AND($I289&gt;=AE$3,$I289&lt;=AE$2),$E289,0),$E289*NETWORKDAYS(MAX($I289,AE$3),MIN($J289,AE$2),Data!$K$4:$K$203)/$K289)))</f>
        <v>0</v>
      </c>
      <c r="AF289" s="170">
        <f>IF(OR($I289="",$E289=0),0,IF(OR($J289&lt;AF$3,$I289&gt;AF$2),0,IF($K289=0,IF(AND($I289&gt;=AF$3,$I289&lt;=AF$2),$E289,0),$E289*NETWORKDAYS(MAX($I289,AF$3),MIN($J289,AF$2),Data!$K$4:$K$203)/$K289)))</f>
        <v>0</v>
      </c>
      <c r="AG289" s="170">
        <f>IF(OR($I289="",$E289=0),0,IF(OR($J289&lt;AG$3,$I289&gt;AG$2),0,IF($K289=0,IF(AND($I289&gt;=AG$3,$I289&lt;=AG$2),$E289,0),$E289*NETWORKDAYS(MAX($I289,AG$3),MIN($J289,AG$2),Data!$K$4:$K$203)/$K289)))</f>
        <v>0</v>
      </c>
      <c r="AH289" s="170">
        <f>IF(OR($I289="",$E289=0),0,IF(OR($J289&lt;AH$3,$I289&gt;AH$2),0,IF($K289=0,IF(AND($I289&gt;=AH$3,$I289&lt;=AH$2),$E289,0),$E289*NETWORKDAYS(MAX($I289,AH$3),MIN($J289,AH$2),Data!$K$4:$K$203)/$K289)))</f>
        <v>0</v>
      </c>
      <c r="AI289" s="170">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70"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4" t="str">
        <f>IF(EO289=1,IF(FH289&gt;0,FI289/FH289,AVERAGEIF($FF$4:$FF$503,EN289,$C$4:$C$503)),"")</f>
        <v/>
      </c>
      <c r="EV289" s="169">
        <f>IF(ISNUMBER(I289),I289,2958465)</f>
        <v>2958465.0</v>
      </c>
      <c r="EW289" s="169" t="str">
        <f>IF(EO289=1,SUMPRODUCT(MIN(($EN$4:$EN$503=EN289)*$EV$4:$EV$503+($EN$4:$EN$503&lt;&gt;EN289)*2958465)),"")</f>
        <v/>
      </c>
      <c r="EX289" s="169">
        <f>IF(AND(D289=1,ISNUMBER(INDEX(Charge!$F:$F,ROW()))),INDEX(Charge!$F:$F,ROW()),0)</f>
        <v>0.0</v>
      </c>
      <c r="EY289" s="169"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c r="FF289" t="str">
        <f>IF(B289=1,LEFT(SUBSTITUTE(SUBSTITUTE(SUBSTITUTE(TRIM(SUBSTITUTE(INDEX(Charge!$B:$B,ROW()),CHAR(160)," "))&amp;" | "&amp;TRIM(SUBSTITUTE(INDEX(Charge!$C:$C,ROW()),CHAR(160)," "))&amp;" | "&amp;TRIM(SUBSTITUTE(INDEX(Charge!$D:$D,ROW()),CHAR(160)," ")),"~","-"),"*","+"),"?","!"),240),"")</f>
        <v/>
      </c>
      <c r="FG289">
        <f>IF(B289=1,MAX(0,N(INDEX(Charge!$M:$M,ROW()))),0)</f>
        <v>0</v>
      </c>
      <c r="FH289" s="170" t="str">
        <f>IF(EO289=1,ROUND(SUMIF($FF$4:$FF$503,EN289,$FG$4:$FG$503),2),"")</f>
        <v/>
      </c>
      <c r="FI289" s="170" t="str">
        <f>IF(EO289=1,ROUND(SUMPRODUCT(($FF$4:$FF$503=EN289)*$FG$4:$FG$503*$C$4:$C$503),2),"")</f>
        <v/>
      </c>
      <c r="FJ289" s="170" t="str">
        <f>IF(EO289=1,MAX(0,ROUND(FH289-FI289,2)),"")</f>
        <v/>
      </c>
      <c r="FK289" s="174" t="str">
        <f>IF(EO289=1,IF(OR(EW289&gt;=2958465,EY289=0,EY289&lt;=EW289),"",IF(TODAY()&lt;=EW289,0,IF(TODAY()&gt;EY289,1,IFERROR(NETWORKDAYS(EW289,TODAY()-1,Data!$K$4:$K$203)/NETWORKDAYS(EW289,EY289,Data!$K$4:$K$203),"")))),"")</f>
        <v/>
      </c>
      <c r="FL289" t="str">
        <f>IF(EO289=1,IF(AND(EY289&gt;0,EY289&lt;TODAY(),ROUND(EU289,4)&lt;1),2,IF(FK289="",0,IF(ROUND(EU289-FK289,4)&lt;-0.15,1,0))),"")</f>
        <v/>
      </c>
      <c r="FM289">
        <f>IF(OR(FA289="",COUNTIF($FA$4:FA288,FA289)&gt;0),0,MAX(0,IF(FB289="Interne",IF(ISNUMBER(INDEX(Data!$F:$F,289)),INDEX(Data!$F:$F,289),p_HeuresETP),IF(ISNUMBER(INDEX(Data!$I:$I,289-$CD$23)),INDEX(Data!$I:$I,289-$CD$23),p_HeuresETP))-IF(FB289="Interne",IF(ISNUMBER(INDEX(Data!$G:$G,289)),INDEX(Data!$G:$G,289),p_ChargeFixe),IF(ISNUMBER(INDEX(Data!$J:$J,289-$CD$23)),INDEX(Data!$J:$J,289-$CD$23),p_ChargeFixe))))</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9" t="str">
        <f>IF(AND(D290=1,ISNUMBER(INDEX(Charge!$N:$N,ROW()))),INDEX(Charge!$N:$N,ROW()),"")</f>
        <v/>
      </c>
      <c r="J290" s="169"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70">
        <f>IF(OR($I290="",$E290=0),0,IF(OR($J290&lt;W$3,$I290&gt;W$2),0,IF($K290=0,IF(AND($I290&gt;=W$3,$I290&lt;=W$2),$E290,0),$E290*NETWORKDAYS(MAX($I290,W$3),MIN($J290,W$2),Data!$K$4:$K$203)/$K290)))</f>
        <v>0</v>
      </c>
      <c r="X290" s="170">
        <f>IF(OR($I290="",$E290=0),0,IF(OR($J290&lt;X$3,$I290&gt;X$2),0,IF($K290=0,IF(AND($I290&gt;=X$3,$I290&lt;=X$2),$E290,0),$E290*NETWORKDAYS(MAX($I290,X$3),MIN($J290,X$2),Data!$K$4:$K$203)/$K290)))</f>
        <v>0</v>
      </c>
      <c r="Y290" s="170">
        <f>IF(OR($I290="",$E290=0),0,IF(OR($J290&lt;Y$3,$I290&gt;Y$2),0,IF($K290=0,IF(AND($I290&gt;=Y$3,$I290&lt;=Y$2),$E290,0),$E290*NETWORKDAYS(MAX($I290,Y$3),MIN($J290,Y$2),Data!$K$4:$K$203)/$K290)))</f>
        <v>0</v>
      </c>
      <c r="Z290" s="170">
        <f>IF(OR($I290="",$E290=0),0,IF(OR($J290&lt;Z$3,$I290&gt;Z$2),0,IF($K290=0,IF(AND($I290&gt;=Z$3,$I290&lt;=Z$2),$E290,0),$E290*NETWORKDAYS(MAX($I290,Z$3),MIN($J290,Z$2),Data!$K$4:$K$203)/$K290)))</f>
        <v>0</v>
      </c>
      <c r="AA290" s="170">
        <f>IF(OR($I290="",$E290=0),0,IF(OR($J290&lt;AA$3,$I290&gt;AA$2),0,IF($K290=0,IF(AND($I290&gt;=AA$3,$I290&lt;=AA$2),$E290,0),$E290*NETWORKDAYS(MAX($I290,AA$3),MIN($J290,AA$2),Data!$K$4:$K$203)/$K290)))</f>
        <v>0</v>
      </c>
      <c r="AB290" s="170">
        <f>IF(OR($I290="",$E290=0),0,IF(OR($J290&lt;AB$3,$I290&gt;AB$2),0,IF($K290=0,IF(AND($I290&gt;=AB$3,$I290&lt;=AB$2),$E290,0),$E290*NETWORKDAYS(MAX($I290,AB$3),MIN($J290,AB$2),Data!$K$4:$K$203)/$K290)))</f>
        <v>0</v>
      </c>
      <c r="AC290" s="170">
        <f>IF(OR($I290="",$E290=0),0,IF(OR($J290&lt;AC$3,$I290&gt;AC$2),0,IF($K290=0,IF(AND($I290&gt;=AC$3,$I290&lt;=AC$2),$E290,0),$E290*NETWORKDAYS(MAX($I290,AC$3),MIN($J290,AC$2),Data!$K$4:$K$203)/$K290)))</f>
        <v>0</v>
      </c>
      <c r="AD290" s="170">
        <f>IF(OR($I290="",$E290=0),0,IF(OR($J290&lt;AD$3,$I290&gt;AD$2),0,IF($K290=0,IF(AND($I290&gt;=AD$3,$I290&lt;=AD$2),$E290,0),$E290*NETWORKDAYS(MAX($I290,AD$3),MIN($J290,AD$2),Data!$K$4:$K$203)/$K290)))</f>
        <v>0</v>
      </c>
      <c r="AE290" s="170">
        <f>IF(OR($I290="",$E290=0),0,IF(OR($J290&lt;AE$3,$I290&gt;AE$2),0,IF($K290=0,IF(AND($I290&gt;=AE$3,$I290&lt;=AE$2),$E290,0),$E290*NETWORKDAYS(MAX($I290,AE$3),MIN($J290,AE$2),Data!$K$4:$K$203)/$K290)))</f>
        <v>0</v>
      </c>
      <c r="AF290" s="170">
        <f>IF(OR($I290="",$E290=0),0,IF(OR($J290&lt;AF$3,$I290&gt;AF$2),0,IF($K290=0,IF(AND($I290&gt;=AF$3,$I290&lt;=AF$2),$E290,0),$E290*NETWORKDAYS(MAX($I290,AF$3),MIN($J290,AF$2),Data!$K$4:$K$203)/$K290)))</f>
        <v>0</v>
      </c>
      <c r="AG290" s="170">
        <f>IF(OR($I290="",$E290=0),0,IF(OR($J290&lt;AG$3,$I290&gt;AG$2),0,IF($K290=0,IF(AND($I290&gt;=AG$3,$I290&lt;=AG$2),$E290,0),$E290*NETWORKDAYS(MAX($I290,AG$3),MIN($J290,AG$2),Data!$K$4:$K$203)/$K290)))</f>
        <v>0</v>
      </c>
      <c r="AH290" s="170">
        <f>IF(OR($I290="",$E290=0),0,IF(OR($J290&lt;AH$3,$I290&gt;AH$2),0,IF($K290=0,IF(AND($I290&gt;=AH$3,$I290&lt;=AH$2),$E290,0),$E290*NETWORKDAYS(MAX($I290,AH$3),MIN($J290,AH$2),Data!$K$4:$K$203)/$K290)))</f>
        <v>0</v>
      </c>
      <c r="AI290" s="170">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70"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4" t="str">
        <f>IF(EO290=1,IF(FH290&gt;0,FI290/FH290,AVERAGEIF($FF$4:$FF$503,EN290,$C$4:$C$503)),"")</f>
        <v/>
      </c>
      <c r="EV290" s="169">
        <f>IF(ISNUMBER(I290),I290,2958465)</f>
        <v>2958465.0</v>
      </c>
      <c r="EW290" s="169" t="str">
        <f>IF(EO290=1,SUMPRODUCT(MIN(($EN$4:$EN$503=EN290)*$EV$4:$EV$503+($EN$4:$EN$503&lt;&gt;EN290)*2958465)),"")</f>
        <v/>
      </c>
      <c r="EX290" s="169">
        <f>IF(AND(D290=1,ISNUMBER(INDEX(Charge!$F:$F,ROW()))),INDEX(Charge!$F:$F,ROW()),0)</f>
        <v>0.0</v>
      </c>
      <c r="EY290" s="169"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c r="FF290" t="str">
        <f>IF(B290=1,LEFT(SUBSTITUTE(SUBSTITUTE(SUBSTITUTE(TRIM(SUBSTITUTE(INDEX(Charge!$B:$B,ROW()),CHAR(160)," "))&amp;" | "&amp;TRIM(SUBSTITUTE(INDEX(Charge!$C:$C,ROW()),CHAR(160)," "))&amp;" | "&amp;TRIM(SUBSTITUTE(INDEX(Charge!$D:$D,ROW()),CHAR(160)," ")),"~","-"),"*","+"),"?","!"),240),"")</f>
        <v/>
      </c>
      <c r="FG290">
        <f>IF(B290=1,MAX(0,N(INDEX(Charge!$M:$M,ROW()))),0)</f>
        <v>0</v>
      </c>
      <c r="FH290" s="170" t="str">
        <f>IF(EO290=1,ROUND(SUMIF($FF$4:$FF$503,EN290,$FG$4:$FG$503),2),"")</f>
        <v/>
      </c>
      <c r="FI290" s="170" t="str">
        <f>IF(EO290=1,ROUND(SUMPRODUCT(($FF$4:$FF$503=EN290)*$FG$4:$FG$503*$C$4:$C$503),2),"")</f>
        <v/>
      </c>
      <c r="FJ290" s="170" t="str">
        <f>IF(EO290=1,MAX(0,ROUND(FH290-FI290,2)),"")</f>
        <v/>
      </c>
      <c r="FK290" s="174" t="str">
        <f>IF(EO290=1,IF(OR(EW290&gt;=2958465,EY290=0,EY290&lt;=EW290),"",IF(TODAY()&lt;=EW290,0,IF(TODAY()&gt;EY290,1,IFERROR(NETWORKDAYS(EW290,TODAY()-1,Data!$K$4:$K$203)/NETWORKDAYS(EW290,EY290,Data!$K$4:$K$203),"")))),"")</f>
        <v/>
      </c>
      <c r="FL290" t="str">
        <f>IF(EO290=1,IF(AND(EY290&gt;0,EY290&lt;TODAY(),ROUND(EU290,4)&lt;1),2,IF(FK290="",0,IF(ROUND(EU290-FK290,4)&lt;-0.15,1,0))),"")</f>
        <v/>
      </c>
      <c r="FM290">
        <f>IF(OR(FA290="",COUNTIF($FA$4:FA289,FA290)&gt;0),0,MAX(0,IF(FB290="Interne",IF(ISNUMBER(INDEX(Data!$F:$F,290)),INDEX(Data!$F:$F,290),p_HeuresETP),IF(ISNUMBER(INDEX(Data!$I:$I,290-$CD$23)),INDEX(Data!$I:$I,290-$CD$23),p_HeuresETP))-IF(FB290="Interne",IF(ISNUMBER(INDEX(Data!$G:$G,290)),INDEX(Data!$G:$G,290),p_ChargeFixe),IF(ISNUMBER(INDEX(Data!$J:$J,290-$CD$23)),INDEX(Data!$J:$J,290-$CD$23),p_ChargeFixe))))</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9" t="str">
        <f>IF(AND(D291=1,ISNUMBER(INDEX(Charge!$N:$N,ROW()))),INDEX(Charge!$N:$N,ROW()),"")</f>
        <v/>
      </c>
      <c r="J291" s="169"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70">
        <f>IF(OR($I291="",$E291=0),0,IF(OR($J291&lt;W$3,$I291&gt;W$2),0,IF($K291=0,IF(AND($I291&gt;=W$3,$I291&lt;=W$2),$E291,0),$E291*NETWORKDAYS(MAX($I291,W$3),MIN($J291,W$2),Data!$K$4:$K$203)/$K291)))</f>
        <v>0</v>
      </c>
      <c r="X291" s="170">
        <f>IF(OR($I291="",$E291=0),0,IF(OR($J291&lt;X$3,$I291&gt;X$2),0,IF($K291=0,IF(AND($I291&gt;=X$3,$I291&lt;=X$2),$E291,0),$E291*NETWORKDAYS(MAX($I291,X$3),MIN($J291,X$2),Data!$K$4:$K$203)/$K291)))</f>
        <v>0</v>
      </c>
      <c r="Y291" s="170">
        <f>IF(OR($I291="",$E291=0),0,IF(OR($J291&lt;Y$3,$I291&gt;Y$2),0,IF($K291=0,IF(AND($I291&gt;=Y$3,$I291&lt;=Y$2),$E291,0),$E291*NETWORKDAYS(MAX($I291,Y$3),MIN($J291,Y$2),Data!$K$4:$K$203)/$K291)))</f>
        <v>0</v>
      </c>
      <c r="Z291" s="170">
        <f>IF(OR($I291="",$E291=0),0,IF(OR($J291&lt;Z$3,$I291&gt;Z$2),0,IF($K291=0,IF(AND($I291&gt;=Z$3,$I291&lt;=Z$2),$E291,0),$E291*NETWORKDAYS(MAX($I291,Z$3),MIN($J291,Z$2),Data!$K$4:$K$203)/$K291)))</f>
        <v>0</v>
      </c>
      <c r="AA291" s="170">
        <f>IF(OR($I291="",$E291=0),0,IF(OR($J291&lt;AA$3,$I291&gt;AA$2),0,IF($K291=0,IF(AND($I291&gt;=AA$3,$I291&lt;=AA$2),$E291,0),$E291*NETWORKDAYS(MAX($I291,AA$3),MIN($J291,AA$2),Data!$K$4:$K$203)/$K291)))</f>
        <v>0</v>
      </c>
      <c r="AB291" s="170">
        <f>IF(OR($I291="",$E291=0),0,IF(OR($J291&lt;AB$3,$I291&gt;AB$2),0,IF($K291=0,IF(AND($I291&gt;=AB$3,$I291&lt;=AB$2),$E291,0),$E291*NETWORKDAYS(MAX($I291,AB$3),MIN($J291,AB$2),Data!$K$4:$K$203)/$K291)))</f>
        <v>0</v>
      </c>
      <c r="AC291" s="170">
        <f>IF(OR($I291="",$E291=0),0,IF(OR($J291&lt;AC$3,$I291&gt;AC$2),0,IF($K291=0,IF(AND($I291&gt;=AC$3,$I291&lt;=AC$2),$E291,0),$E291*NETWORKDAYS(MAX($I291,AC$3),MIN($J291,AC$2),Data!$K$4:$K$203)/$K291)))</f>
        <v>0</v>
      </c>
      <c r="AD291" s="170">
        <f>IF(OR($I291="",$E291=0),0,IF(OR($J291&lt;AD$3,$I291&gt;AD$2),0,IF($K291=0,IF(AND($I291&gt;=AD$3,$I291&lt;=AD$2),$E291,0),$E291*NETWORKDAYS(MAX($I291,AD$3),MIN($J291,AD$2),Data!$K$4:$K$203)/$K291)))</f>
        <v>0</v>
      </c>
      <c r="AE291" s="170">
        <f>IF(OR($I291="",$E291=0),0,IF(OR($J291&lt;AE$3,$I291&gt;AE$2),0,IF($K291=0,IF(AND($I291&gt;=AE$3,$I291&lt;=AE$2),$E291,0),$E291*NETWORKDAYS(MAX($I291,AE$3),MIN($J291,AE$2),Data!$K$4:$K$203)/$K291)))</f>
        <v>0</v>
      </c>
      <c r="AF291" s="170">
        <f>IF(OR($I291="",$E291=0),0,IF(OR($J291&lt;AF$3,$I291&gt;AF$2),0,IF($K291=0,IF(AND($I291&gt;=AF$3,$I291&lt;=AF$2),$E291,0),$E291*NETWORKDAYS(MAX($I291,AF$3),MIN($J291,AF$2),Data!$K$4:$K$203)/$K291)))</f>
        <v>0</v>
      </c>
      <c r="AG291" s="170">
        <f>IF(OR($I291="",$E291=0),0,IF(OR($J291&lt;AG$3,$I291&gt;AG$2),0,IF($K291=0,IF(AND($I291&gt;=AG$3,$I291&lt;=AG$2),$E291,0),$E291*NETWORKDAYS(MAX($I291,AG$3),MIN($J291,AG$2),Data!$K$4:$K$203)/$K291)))</f>
        <v>0</v>
      </c>
      <c r="AH291" s="170">
        <f>IF(OR($I291="",$E291=0),0,IF(OR($J291&lt;AH$3,$I291&gt;AH$2),0,IF($K291=0,IF(AND($I291&gt;=AH$3,$I291&lt;=AH$2),$E291,0),$E291*NETWORKDAYS(MAX($I291,AH$3),MIN($J291,AH$2),Data!$K$4:$K$203)/$K291)))</f>
        <v>0</v>
      </c>
      <c r="AI291" s="170">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70"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4" t="str">
        <f>IF(EO291=1,IF(FH291&gt;0,FI291/FH291,AVERAGEIF($FF$4:$FF$503,EN291,$C$4:$C$503)),"")</f>
        <v/>
      </c>
      <c r="EV291" s="169">
        <f>IF(ISNUMBER(I291),I291,2958465)</f>
        <v>2958465.0</v>
      </c>
      <c r="EW291" s="169" t="str">
        <f>IF(EO291=1,SUMPRODUCT(MIN(($EN$4:$EN$503=EN291)*$EV$4:$EV$503+($EN$4:$EN$503&lt;&gt;EN291)*2958465)),"")</f>
        <v/>
      </c>
      <c r="EX291" s="169">
        <f>IF(AND(D291=1,ISNUMBER(INDEX(Charge!$F:$F,ROW()))),INDEX(Charge!$F:$F,ROW()),0)</f>
        <v>0.0</v>
      </c>
      <c r="EY291" s="169"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c r="FF291" t="str">
        <f>IF(B291=1,LEFT(SUBSTITUTE(SUBSTITUTE(SUBSTITUTE(TRIM(SUBSTITUTE(INDEX(Charge!$B:$B,ROW()),CHAR(160)," "))&amp;" | "&amp;TRIM(SUBSTITUTE(INDEX(Charge!$C:$C,ROW()),CHAR(160)," "))&amp;" | "&amp;TRIM(SUBSTITUTE(INDEX(Charge!$D:$D,ROW()),CHAR(160)," ")),"~","-"),"*","+"),"?","!"),240),"")</f>
        <v/>
      </c>
      <c r="FG291">
        <f>IF(B291=1,MAX(0,N(INDEX(Charge!$M:$M,ROW()))),0)</f>
        <v>0</v>
      </c>
      <c r="FH291" s="170" t="str">
        <f>IF(EO291=1,ROUND(SUMIF($FF$4:$FF$503,EN291,$FG$4:$FG$503),2),"")</f>
        <v/>
      </c>
      <c r="FI291" s="170" t="str">
        <f>IF(EO291=1,ROUND(SUMPRODUCT(($FF$4:$FF$503=EN291)*$FG$4:$FG$503*$C$4:$C$503),2),"")</f>
        <v/>
      </c>
      <c r="FJ291" s="170" t="str">
        <f>IF(EO291=1,MAX(0,ROUND(FH291-FI291,2)),"")</f>
        <v/>
      </c>
      <c r="FK291" s="174" t="str">
        <f>IF(EO291=1,IF(OR(EW291&gt;=2958465,EY291=0,EY291&lt;=EW291),"",IF(TODAY()&lt;=EW291,0,IF(TODAY()&gt;EY291,1,IFERROR(NETWORKDAYS(EW291,TODAY()-1,Data!$K$4:$K$203)/NETWORKDAYS(EW291,EY291,Data!$K$4:$K$203),"")))),"")</f>
        <v/>
      </c>
      <c r="FL291" t="str">
        <f>IF(EO291=1,IF(AND(EY291&gt;0,EY291&lt;TODAY(),ROUND(EU291,4)&lt;1),2,IF(FK291="",0,IF(ROUND(EU291-FK291,4)&lt;-0.15,1,0))),"")</f>
        <v/>
      </c>
      <c r="FM291">
        <f>IF(OR(FA291="",COUNTIF($FA$4:FA290,FA291)&gt;0),0,MAX(0,IF(FB291="Interne",IF(ISNUMBER(INDEX(Data!$F:$F,291)),INDEX(Data!$F:$F,291),p_HeuresETP),IF(ISNUMBER(INDEX(Data!$I:$I,291-$CD$23)),INDEX(Data!$I:$I,291-$CD$23),p_HeuresETP))-IF(FB291="Interne",IF(ISNUMBER(INDEX(Data!$G:$G,291)),INDEX(Data!$G:$G,291),p_ChargeFixe),IF(ISNUMBER(INDEX(Data!$J:$J,291-$CD$23)),INDEX(Data!$J:$J,291-$CD$23),p_ChargeFixe))))</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9" t="str">
        <f>IF(AND(D292=1,ISNUMBER(INDEX(Charge!$N:$N,ROW()))),INDEX(Charge!$N:$N,ROW()),"")</f>
        <v/>
      </c>
      <c r="J292" s="169"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70">
        <f>IF(OR($I292="",$E292=0),0,IF(OR($J292&lt;W$3,$I292&gt;W$2),0,IF($K292=0,IF(AND($I292&gt;=W$3,$I292&lt;=W$2),$E292,0),$E292*NETWORKDAYS(MAX($I292,W$3),MIN($J292,W$2),Data!$K$4:$K$203)/$K292)))</f>
        <v>0</v>
      </c>
      <c r="X292" s="170">
        <f>IF(OR($I292="",$E292=0),0,IF(OR($J292&lt;X$3,$I292&gt;X$2),0,IF($K292=0,IF(AND($I292&gt;=X$3,$I292&lt;=X$2),$E292,0),$E292*NETWORKDAYS(MAX($I292,X$3),MIN($J292,X$2),Data!$K$4:$K$203)/$K292)))</f>
        <v>0</v>
      </c>
      <c r="Y292" s="170">
        <f>IF(OR($I292="",$E292=0),0,IF(OR($J292&lt;Y$3,$I292&gt;Y$2),0,IF($K292=0,IF(AND($I292&gt;=Y$3,$I292&lt;=Y$2),$E292,0),$E292*NETWORKDAYS(MAX($I292,Y$3),MIN($J292,Y$2),Data!$K$4:$K$203)/$K292)))</f>
        <v>0</v>
      </c>
      <c r="Z292" s="170">
        <f>IF(OR($I292="",$E292=0),0,IF(OR($J292&lt;Z$3,$I292&gt;Z$2),0,IF($K292=0,IF(AND($I292&gt;=Z$3,$I292&lt;=Z$2),$E292,0),$E292*NETWORKDAYS(MAX($I292,Z$3),MIN($J292,Z$2),Data!$K$4:$K$203)/$K292)))</f>
        <v>0</v>
      </c>
      <c r="AA292" s="170">
        <f>IF(OR($I292="",$E292=0),0,IF(OR($J292&lt;AA$3,$I292&gt;AA$2),0,IF($K292=0,IF(AND($I292&gt;=AA$3,$I292&lt;=AA$2),$E292,0),$E292*NETWORKDAYS(MAX($I292,AA$3),MIN($J292,AA$2),Data!$K$4:$K$203)/$K292)))</f>
        <v>0</v>
      </c>
      <c r="AB292" s="170">
        <f>IF(OR($I292="",$E292=0),0,IF(OR($J292&lt;AB$3,$I292&gt;AB$2),0,IF($K292=0,IF(AND($I292&gt;=AB$3,$I292&lt;=AB$2),$E292,0),$E292*NETWORKDAYS(MAX($I292,AB$3),MIN($J292,AB$2),Data!$K$4:$K$203)/$K292)))</f>
        <v>0</v>
      </c>
      <c r="AC292" s="170">
        <f>IF(OR($I292="",$E292=0),0,IF(OR($J292&lt;AC$3,$I292&gt;AC$2),0,IF($K292=0,IF(AND($I292&gt;=AC$3,$I292&lt;=AC$2),$E292,0),$E292*NETWORKDAYS(MAX($I292,AC$3),MIN($J292,AC$2),Data!$K$4:$K$203)/$K292)))</f>
        <v>0</v>
      </c>
      <c r="AD292" s="170">
        <f>IF(OR($I292="",$E292=0),0,IF(OR($J292&lt;AD$3,$I292&gt;AD$2),0,IF($K292=0,IF(AND($I292&gt;=AD$3,$I292&lt;=AD$2),$E292,0),$E292*NETWORKDAYS(MAX($I292,AD$3),MIN($J292,AD$2),Data!$K$4:$K$203)/$K292)))</f>
        <v>0</v>
      </c>
      <c r="AE292" s="170">
        <f>IF(OR($I292="",$E292=0),0,IF(OR($J292&lt;AE$3,$I292&gt;AE$2),0,IF($K292=0,IF(AND($I292&gt;=AE$3,$I292&lt;=AE$2),$E292,0),$E292*NETWORKDAYS(MAX($I292,AE$3),MIN($J292,AE$2),Data!$K$4:$K$203)/$K292)))</f>
        <v>0</v>
      </c>
      <c r="AF292" s="170">
        <f>IF(OR($I292="",$E292=0),0,IF(OR($J292&lt;AF$3,$I292&gt;AF$2),0,IF($K292=0,IF(AND($I292&gt;=AF$3,$I292&lt;=AF$2),$E292,0),$E292*NETWORKDAYS(MAX($I292,AF$3),MIN($J292,AF$2),Data!$K$4:$K$203)/$K292)))</f>
        <v>0</v>
      </c>
      <c r="AG292" s="170">
        <f>IF(OR($I292="",$E292=0),0,IF(OR($J292&lt;AG$3,$I292&gt;AG$2),0,IF($K292=0,IF(AND($I292&gt;=AG$3,$I292&lt;=AG$2),$E292,0),$E292*NETWORKDAYS(MAX($I292,AG$3),MIN($J292,AG$2),Data!$K$4:$K$203)/$K292)))</f>
        <v>0</v>
      </c>
      <c r="AH292" s="170">
        <f>IF(OR($I292="",$E292=0),0,IF(OR($J292&lt;AH$3,$I292&gt;AH$2),0,IF($K292=0,IF(AND($I292&gt;=AH$3,$I292&lt;=AH$2),$E292,0),$E292*NETWORKDAYS(MAX($I292,AH$3),MIN($J292,AH$2),Data!$K$4:$K$203)/$K292)))</f>
        <v>0</v>
      </c>
      <c r="AI292" s="170">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70"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4" t="str">
        <f>IF(EO292=1,IF(FH292&gt;0,FI292/FH292,AVERAGEIF($FF$4:$FF$503,EN292,$C$4:$C$503)),"")</f>
        <v/>
      </c>
      <c r="EV292" s="169">
        <f>IF(ISNUMBER(I292),I292,2958465)</f>
        <v>2958465.0</v>
      </c>
      <c r="EW292" s="169" t="str">
        <f>IF(EO292=1,SUMPRODUCT(MIN(($EN$4:$EN$503=EN292)*$EV$4:$EV$503+($EN$4:$EN$503&lt;&gt;EN292)*2958465)),"")</f>
        <v/>
      </c>
      <c r="EX292" s="169">
        <f>IF(AND(D292=1,ISNUMBER(INDEX(Charge!$F:$F,ROW()))),INDEX(Charge!$F:$F,ROW()),0)</f>
        <v>0.0</v>
      </c>
      <c r="EY292" s="169"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c r="FF292" t="str">
        <f>IF(B292=1,LEFT(SUBSTITUTE(SUBSTITUTE(SUBSTITUTE(TRIM(SUBSTITUTE(INDEX(Charge!$B:$B,ROW()),CHAR(160)," "))&amp;" | "&amp;TRIM(SUBSTITUTE(INDEX(Charge!$C:$C,ROW()),CHAR(160)," "))&amp;" | "&amp;TRIM(SUBSTITUTE(INDEX(Charge!$D:$D,ROW()),CHAR(160)," ")),"~","-"),"*","+"),"?","!"),240),"")</f>
        <v/>
      </c>
      <c r="FG292">
        <f>IF(B292=1,MAX(0,N(INDEX(Charge!$M:$M,ROW()))),0)</f>
        <v>0</v>
      </c>
      <c r="FH292" s="170" t="str">
        <f>IF(EO292=1,ROUND(SUMIF($FF$4:$FF$503,EN292,$FG$4:$FG$503),2),"")</f>
        <v/>
      </c>
      <c r="FI292" s="170" t="str">
        <f>IF(EO292=1,ROUND(SUMPRODUCT(($FF$4:$FF$503=EN292)*$FG$4:$FG$503*$C$4:$C$503),2),"")</f>
        <v/>
      </c>
      <c r="FJ292" s="170" t="str">
        <f>IF(EO292=1,MAX(0,ROUND(FH292-FI292,2)),"")</f>
        <v/>
      </c>
      <c r="FK292" s="174" t="str">
        <f>IF(EO292=1,IF(OR(EW292&gt;=2958465,EY292=0,EY292&lt;=EW292),"",IF(TODAY()&lt;=EW292,0,IF(TODAY()&gt;EY292,1,IFERROR(NETWORKDAYS(EW292,TODAY()-1,Data!$K$4:$K$203)/NETWORKDAYS(EW292,EY292,Data!$K$4:$K$203),"")))),"")</f>
        <v/>
      </c>
      <c r="FL292" t="str">
        <f>IF(EO292=1,IF(AND(EY292&gt;0,EY292&lt;TODAY(),ROUND(EU292,4)&lt;1),2,IF(FK292="",0,IF(ROUND(EU292-FK292,4)&lt;-0.15,1,0))),"")</f>
        <v/>
      </c>
      <c r="FM292">
        <f>IF(OR(FA292="",COUNTIF($FA$4:FA291,FA292)&gt;0),0,MAX(0,IF(FB292="Interne",IF(ISNUMBER(INDEX(Data!$F:$F,292)),INDEX(Data!$F:$F,292),p_HeuresETP),IF(ISNUMBER(INDEX(Data!$I:$I,292-$CD$23)),INDEX(Data!$I:$I,292-$CD$23),p_HeuresETP))-IF(FB292="Interne",IF(ISNUMBER(INDEX(Data!$G:$G,292)),INDEX(Data!$G:$G,292),p_ChargeFixe),IF(ISNUMBER(INDEX(Data!$J:$J,292-$CD$23)),INDEX(Data!$J:$J,292-$CD$23),p_ChargeFixe))))</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9" t="str">
        <f>IF(AND(D293=1,ISNUMBER(INDEX(Charge!$N:$N,ROW()))),INDEX(Charge!$N:$N,ROW()),"")</f>
        <v/>
      </c>
      <c r="J293" s="169"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70">
        <f>IF(OR($I293="",$E293=0),0,IF(OR($J293&lt;W$3,$I293&gt;W$2),0,IF($K293=0,IF(AND($I293&gt;=W$3,$I293&lt;=W$2),$E293,0),$E293*NETWORKDAYS(MAX($I293,W$3),MIN($J293,W$2),Data!$K$4:$K$203)/$K293)))</f>
        <v>0</v>
      </c>
      <c r="X293" s="170">
        <f>IF(OR($I293="",$E293=0),0,IF(OR($J293&lt;X$3,$I293&gt;X$2),0,IF($K293=0,IF(AND($I293&gt;=X$3,$I293&lt;=X$2),$E293,0),$E293*NETWORKDAYS(MAX($I293,X$3),MIN($J293,X$2),Data!$K$4:$K$203)/$K293)))</f>
        <v>0</v>
      </c>
      <c r="Y293" s="170">
        <f>IF(OR($I293="",$E293=0),0,IF(OR($J293&lt;Y$3,$I293&gt;Y$2),0,IF($K293=0,IF(AND($I293&gt;=Y$3,$I293&lt;=Y$2),$E293,0),$E293*NETWORKDAYS(MAX($I293,Y$3),MIN($J293,Y$2),Data!$K$4:$K$203)/$K293)))</f>
        <v>0</v>
      </c>
      <c r="Z293" s="170">
        <f>IF(OR($I293="",$E293=0),0,IF(OR($J293&lt;Z$3,$I293&gt;Z$2),0,IF($K293=0,IF(AND($I293&gt;=Z$3,$I293&lt;=Z$2),$E293,0),$E293*NETWORKDAYS(MAX($I293,Z$3),MIN($J293,Z$2),Data!$K$4:$K$203)/$K293)))</f>
        <v>0</v>
      </c>
      <c r="AA293" s="170">
        <f>IF(OR($I293="",$E293=0),0,IF(OR($J293&lt;AA$3,$I293&gt;AA$2),0,IF($K293=0,IF(AND($I293&gt;=AA$3,$I293&lt;=AA$2),$E293,0),$E293*NETWORKDAYS(MAX($I293,AA$3),MIN($J293,AA$2),Data!$K$4:$K$203)/$K293)))</f>
        <v>0</v>
      </c>
      <c r="AB293" s="170">
        <f>IF(OR($I293="",$E293=0),0,IF(OR($J293&lt;AB$3,$I293&gt;AB$2),0,IF($K293=0,IF(AND($I293&gt;=AB$3,$I293&lt;=AB$2),$E293,0),$E293*NETWORKDAYS(MAX($I293,AB$3),MIN($J293,AB$2),Data!$K$4:$K$203)/$K293)))</f>
        <v>0</v>
      </c>
      <c r="AC293" s="170">
        <f>IF(OR($I293="",$E293=0),0,IF(OR($J293&lt;AC$3,$I293&gt;AC$2),0,IF($K293=0,IF(AND($I293&gt;=AC$3,$I293&lt;=AC$2),$E293,0),$E293*NETWORKDAYS(MAX($I293,AC$3),MIN($J293,AC$2),Data!$K$4:$K$203)/$K293)))</f>
        <v>0</v>
      </c>
      <c r="AD293" s="170">
        <f>IF(OR($I293="",$E293=0),0,IF(OR($J293&lt;AD$3,$I293&gt;AD$2),0,IF($K293=0,IF(AND($I293&gt;=AD$3,$I293&lt;=AD$2),$E293,0),$E293*NETWORKDAYS(MAX($I293,AD$3),MIN($J293,AD$2),Data!$K$4:$K$203)/$K293)))</f>
        <v>0</v>
      </c>
      <c r="AE293" s="170">
        <f>IF(OR($I293="",$E293=0),0,IF(OR($J293&lt;AE$3,$I293&gt;AE$2),0,IF($K293=0,IF(AND($I293&gt;=AE$3,$I293&lt;=AE$2),$E293,0),$E293*NETWORKDAYS(MAX($I293,AE$3),MIN($J293,AE$2),Data!$K$4:$K$203)/$K293)))</f>
        <v>0</v>
      </c>
      <c r="AF293" s="170">
        <f>IF(OR($I293="",$E293=0),0,IF(OR($J293&lt;AF$3,$I293&gt;AF$2),0,IF($K293=0,IF(AND($I293&gt;=AF$3,$I293&lt;=AF$2),$E293,0),$E293*NETWORKDAYS(MAX($I293,AF$3),MIN($J293,AF$2),Data!$K$4:$K$203)/$K293)))</f>
        <v>0</v>
      </c>
      <c r="AG293" s="170">
        <f>IF(OR($I293="",$E293=0),0,IF(OR($J293&lt;AG$3,$I293&gt;AG$2),0,IF($K293=0,IF(AND($I293&gt;=AG$3,$I293&lt;=AG$2),$E293,0),$E293*NETWORKDAYS(MAX($I293,AG$3),MIN($J293,AG$2),Data!$K$4:$K$203)/$K293)))</f>
        <v>0</v>
      </c>
      <c r="AH293" s="170">
        <f>IF(OR($I293="",$E293=0),0,IF(OR($J293&lt;AH$3,$I293&gt;AH$2),0,IF($K293=0,IF(AND($I293&gt;=AH$3,$I293&lt;=AH$2),$E293,0),$E293*NETWORKDAYS(MAX($I293,AH$3),MIN($J293,AH$2),Data!$K$4:$K$203)/$K293)))</f>
        <v>0</v>
      </c>
      <c r="AI293" s="170">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70"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4" t="str">
        <f>IF(EO293=1,IF(FH293&gt;0,FI293/FH293,AVERAGEIF($FF$4:$FF$503,EN293,$C$4:$C$503)),"")</f>
        <v/>
      </c>
      <c r="EV293" s="169">
        <f>IF(ISNUMBER(I293),I293,2958465)</f>
        <v>2958465.0</v>
      </c>
      <c r="EW293" s="169" t="str">
        <f>IF(EO293=1,SUMPRODUCT(MIN(($EN$4:$EN$503=EN293)*$EV$4:$EV$503+($EN$4:$EN$503&lt;&gt;EN293)*2958465)),"")</f>
        <v/>
      </c>
      <c r="EX293" s="169">
        <f>IF(AND(D293=1,ISNUMBER(INDEX(Charge!$F:$F,ROW()))),INDEX(Charge!$F:$F,ROW()),0)</f>
        <v>0.0</v>
      </c>
      <c r="EY293" s="169"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c r="FF293" t="str">
        <f>IF(B293=1,LEFT(SUBSTITUTE(SUBSTITUTE(SUBSTITUTE(TRIM(SUBSTITUTE(INDEX(Charge!$B:$B,ROW()),CHAR(160)," "))&amp;" | "&amp;TRIM(SUBSTITUTE(INDEX(Charge!$C:$C,ROW()),CHAR(160)," "))&amp;" | "&amp;TRIM(SUBSTITUTE(INDEX(Charge!$D:$D,ROW()),CHAR(160)," ")),"~","-"),"*","+"),"?","!"),240),"")</f>
        <v/>
      </c>
      <c r="FG293">
        <f>IF(B293=1,MAX(0,N(INDEX(Charge!$M:$M,ROW()))),0)</f>
        <v>0</v>
      </c>
      <c r="FH293" s="170" t="str">
        <f>IF(EO293=1,ROUND(SUMIF($FF$4:$FF$503,EN293,$FG$4:$FG$503),2),"")</f>
        <v/>
      </c>
      <c r="FI293" s="170" t="str">
        <f>IF(EO293=1,ROUND(SUMPRODUCT(($FF$4:$FF$503=EN293)*$FG$4:$FG$503*$C$4:$C$503),2),"")</f>
        <v/>
      </c>
      <c r="FJ293" s="170" t="str">
        <f>IF(EO293=1,MAX(0,ROUND(FH293-FI293,2)),"")</f>
        <v/>
      </c>
      <c r="FK293" s="174" t="str">
        <f>IF(EO293=1,IF(OR(EW293&gt;=2958465,EY293=0,EY293&lt;=EW293),"",IF(TODAY()&lt;=EW293,0,IF(TODAY()&gt;EY293,1,IFERROR(NETWORKDAYS(EW293,TODAY()-1,Data!$K$4:$K$203)/NETWORKDAYS(EW293,EY293,Data!$K$4:$K$203),"")))),"")</f>
        <v/>
      </c>
      <c r="FL293" t="str">
        <f>IF(EO293=1,IF(AND(EY293&gt;0,EY293&lt;TODAY(),ROUND(EU293,4)&lt;1),2,IF(FK293="",0,IF(ROUND(EU293-FK293,4)&lt;-0.15,1,0))),"")</f>
        <v/>
      </c>
      <c r="FM293">
        <f>IF(OR(FA293="",COUNTIF($FA$4:FA292,FA293)&gt;0),0,MAX(0,IF(FB293="Interne",IF(ISNUMBER(INDEX(Data!$F:$F,293)),INDEX(Data!$F:$F,293),p_HeuresETP),IF(ISNUMBER(INDEX(Data!$I:$I,293-$CD$23)),INDEX(Data!$I:$I,293-$CD$23),p_HeuresETP))-IF(FB293="Interne",IF(ISNUMBER(INDEX(Data!$G:$G,293)),INDEX(Data!$G:$G,293),p_ChargeFixe),IF(ISNUMBER(INDEX(Data!$J:$J,293-$CD$23)),INDEX(Data!$J:$J,293-$CD$23),p_ChargeFixe))))</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9" t="str">
        <f>IF(AND(D294=1,ISNUMBER(INDEX(Charge!$N:$N,ROW()))),INDEX(Charge!$N:$N,ROW()),"")</f>
        <v/>
      </c>
      <c r="J294" s="169"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70">
        <f>IF(OR($I294="",$E294=0),0,IF(OR($J294&lt;W$3,$I294&gt;W$2),0,IF($K294=0,IF(AND($I294&gt;=W$3,$I294&lt;=W$2),$E294,0),$E294*NETWORKDAYS(MAX($I294,W$3),MIN($J294,W$2),Data!$K$4:$K$203)/$K294)))</f>
        <v>0</v>
      </c>
      <c r="X294" s="170">
        <f>IF(OR($I294="",$E294=0),0,IF(OR($J294&lt;X$3,$I294&gt;X$2),0,IF($K294=0,IF(AND($I294&gt;=X$3,$I294&lt;=X$2),$E294,0),$E294*NETWORKDAYS(MAX($I294,X$3),MIN($J294,X$2),Data!$K$4:$K$203)/$K294)))</f>
        <v>0</v>
      </c>
      <c r="Y294" s="170">
        <f>IF(OR($I294="",$E294=0),0,IF(OR($J294&lt;Y$3,$I294&gt;Y$2),0,IF($K294=0,IF(AND($I294&gt;=Y$3,$I294&lt;=Y$2),$E294,0),$E294*NETWORKDAYS(MAX($I294,Y$3),MIN($J294,Y$2),Data!$K$4:$K$203)/$K294)))</f>
        <v>0</v>
      </c>
      <c r="Z294" s="170">
        <f>IF(OR($I294="",$E294=0),0,IF(OR($J294&lt;Z$3,$I294&gt;Z$2),0,IF($K294=0,IF(AND($I294&gt;=Z$3,$I294&lt;=Z$2),$E294,0),$E294*NETWORKDAYS(MAX($I294,Z$3),MIN($J294,Z$2),Data!$K$4:$K$203)/$K294)))</f>
        <v>0</v>
      </c>
      <c r="AA294" s="170">
        <f>IF(OR($I294="",$E294=0),0,IF(OR($J294&lt;AA$3,$I294&gt;AA$2),0,IF($K294=0,IF(AND($I294&gt;=AA$3,$I294&lt;=AA$2),$E294,0),$E294*NETWORKDAYS(MAX($I294,AA$3),MIN($J294,AA$2),Data!$K$4:$K$203)/$K294)))</f>
        <v>0</v>
      </c>
      <c r="AB294" s="170">
        <f>IF(OR($I294="",$E294=0),0,IF(OR($J294&lt;AB$3,$I294&gt;AB$2),0,IF($K294=0,IF(AND($I294&gt;=AB$3,$I294&lt;=AB$2),$E294,0),$E294*NETWORKDAYS(MAX($I294,AB$3),MIN($J294,AB$2),Data!$K$4:$K$203)/$K294)))</f>
        <v>0</v>
      </c>
      <c r="AC294" s="170">
        <f>IF(OR($I294="",$E294=0),0,IF(OR($J294&lt;AC$3,$I294&gt;AC$2),0,IF($K294=0,IF(AND($I294&gt;=AC$3,$I294&lt;=AC$2),$E294,0),$E294*NETWORKDAYS(MAX($I294,AC$3),MIN($J294,AC$2),Data!$K$4:$K$203)/$K294)))</f>
        <v>0</v>
      </c>
      <c r="AD294" s="170">
        <f>IF(OR($I294="",$E294=0),0,IF(OR($J294&lt;AD$3,$I294&gt;AD$2),0,IF($K294=0,IF(AND($I294&gt;=AD$3,$I294&lt;=AD$2),$E294,0),$E294*NETWORKDAYS(MAX($I294,AD$3),MIN($J294,AD$2),Data!$K$4:$K$203)/$K294)))</f>
        <v>0</v>
      </c>
      <c r="AE294" s="170">
        <f>IF(OR($I294="",$E294=0),0,IF(OR($J294&lt;AE$3,$I294&gt;AE$2),0,IF($K294=0,IF(AND($I294&gt;=AE$3,$I294&lt;=AE$2),$E294,0),$E294*NETWORKDAYS(MAX($I294,AE$3),MIN($J294,AE$2),Data!$K$4:$K$203)/$K294)))</f>
        <v>0</v>
      </c>
      <c r="AF294" s="170">
        <f>IF(OR($I294="",$E294=0),0,IF(OR($J294&lt;AF$3,$I294&gt;AF$2),0,IF($K294=0,IF(AND($I294&gt;=AF$3,$I294&lt;=AF$2),$E294,0),$E294*NETWORKDAYS(MAX($I294,AF$3),MIN($J294,AF$2),Data!$K$4:$K$203)/$K294)))</f>
        <v>0</v>
      </c>
      <c r="AG294" s="170">
        <f>IF(OR($I294="",$E294=0),0,IF(OR($J294&lt;AG$3,$I294&gt;AG$2),0,IF($K294=0,IF(AND($I294&gt;=AG$3,$I294&lt;=AG$2),$E294,0),$E294*NETWORKDAYS(MAX($I294,AG$3),MIN($J294,AG$2),Data!$K$4:$K$203)/$K294)))</f>
        <v>0</v>
      </c>
      <c r="AH294" s="170">
        <f>IF(OR($I294="",$E294=0),0,IF(OR($J294&lt;AH$3,$I294&gt;AH$2),0,IF($K294=0,IF(AND($I294&gt;=AH$3,$I294&lt;=AH$2),$E294,0),$E294*NETWORKDAYS(MAX($I294,AH$3),MIN($J294,AH$2),Data!$K$4:$K$203)/$K294)))</f>
        <v>0</v>
      </c>
      <c r="AI294" s="170">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70"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4" t="str">
        <f>IF(EO294=1,IF(FH294&gt;0,FI294/FH294,AVERAGEIF($FF$4:$FF$503,EN294,$C$4:$C$503)),"")</f>
        <v/>
      </c>
      <c r="EV294" s="169">
        <f>IF(ISNUMBER(I294),I294,2958465)</f>
        <v>2958465.0</v>
      </c>
      <c r="EW294" s="169" t="str">
        <f>IF(EO294=1,SUMPRODUCT(MIN(($EN$4:$EN$503=EN294)*$EV$4:$EV$503+($EN$4:$EN$503&lt;&gt;EN294)*2958465)),"")</f>
        <v/>
      </c>
      <c r="EX294" s="169">
        <f>IF(AND(D294=1,ISNUMBER(INDEX(Charge!$F:$F,ROW()))),INDEX(Charge!$F:$F,ROW()),0)</f>
        <v>0.0</v>
      </c>
      <c r="EY294" s="169"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c r="FF294" t="str">
        <f>IF(B294=1,LEFT(SUBSTITUTE(SUBSTITUTE(SUBSTITUTE(TRIM(SUBSTITUTE(INDEX(Charge!$B:$B,ROW()),CHAR(160)," "))&amp;" | "&amp;TRIM(SUBSTITUTE(INDEX(Charge!$C:$C,ROW()),CHAR(160)," "))&amp;" | "&amp;TRIM(SUBSTITUTE(INDEX(Charge!$D:$D,ROW()),CHAR(160)," ")),"~","-"),"*","+"),"?","!"),240),"")</f>
        <v/>
      </c>
      <c r="FG294">
        <f>IF(B294=1,MAX(0,N(INDEX(Charge!$M:$M,ROW()))),0)</f>
        <v>0</v>
      </c>
      <c r="FH294" s="170" t="str">
        <f>IF(EO294=1,ROUND(SUMIF($FF$4:$FF$503,EN294,$FG$4:$FG$503),2),"")</f>
        <v/>
      </c>
      <c r="FI294" s="170" t="str">
        <f>IF(EO294=1,ROUND(SUMPRODUCT(($FF$4:$FF$503=EN294)*$FG$4:$FG$503*$C$4:$C$503),2),"")</f>
        <v/>
      </c>
      <c r="FJ294" s="170" t="str">
        <f>IF(EO294=1,MAX(0,ROUND(FH294-FI294,2)),"")</f>
        <v/>
      </c>
      <c r="FK294" s="174" t="str">
        <f>IF(EO294=1,IF(OR(EW294&gt;=2958465,EY294=0,EY294&lt;=EW294),"",IF(TODAY()&lt;=EW294,0,IF(TODAY()&gt;EY294,1,IFERROR(NETWORKDAYS(EW294,TODAY()-1,Data!$K$4:$K$203)/NETWORKDAYS(EW294,EY294,Data!$K$4:$K$203),"")))),"")</f>
        <v/>
      </c>
      <c r="FL294" t="str">
        <f>IF(EO294=1,IF(AND(EY294&gt;0,EY294&lt;TODAY(),ROUND(EU294,4)&lt;1),2,IF(FK294="",0,IF(ROUND(EU294-FK294,4)&lt;-0.15,1,0))),"")</f>
        <v/>
      </c>
      <c r="FM294">
        <f>IF(OR(FA294="",COUNTIF($FA$4:FA293,FA294)&gt;0),0,MAX(0,IF(FB294="Interne",IF(ISNUMBER(INDEX(Data!$F:$F,294)),INDEX(Data!$F:$F,294),p_HeuresETP),IF(ISNUMBER(INDEX(Data!$I:$I,294-$CD$23)),INDEX(Data!$I:$I,294-$CD$23),p_HeuresETP))-IF(FB294="Interne",IF(ISNUMBER(INDEX(Data!$G:$G,294)),INDEX(Data!$G:$G,294),p_ChargeFixe),IF(ISNUMBER(INDEX(Data!$J:$J,294-$CD$23)),INDEX(Data!$J:$J,294-$CD$23),p_ChargeFixe))))</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9" t="str">
        <f>IF(AND(D295=1,ISNUMBER(INDEX(Charge!$N:$N,ROW()))),INDEX(Charge!$N:$N,ROW()),"")</f>
        <v/>
      </c>
      <c r="J295" s="169"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70">
        <f>IF(OR($I295="",$E295=0),0,IF(OR($J295&lt;W$3,$I295&gt;W$2),0,IF($K295=0,IF(AND($I295&gt;=W$3,$I295&lt;=W$2),$E295,0),$E295*NETWORKDAYS(MAX($I295,W$3),MIN($J295,W$2),Data!$K$4:$K$203)/$K295)))</f>
        <v>0</v>
      </c>
      <c r="X295" s="170">
        <f>IF(OR($I295="",$E295=0),0,IF(OR($J295&lt;X$3,$I295&gt;X$2),0,IF($K295=0,IF(AND($I295&gt;=X$3,$I295&lt;=X$2),$E295,0),$E295*NETWORKDAYS(MAX($I295,X$3),MIN($J295,X$2),Data!$K$4:$K$203)/$K295)))</f>
        <v>0</v>
      </c>
      <c r="Y295" s="170">
        <f>IF(OR($I295="",$E295=0),0,IF(OR($J295&lt;Y$3,$I295&gt;Y$2),0,IF($K295=0,IF(AND($I295&gt;=Y$3,$I295&lt;=Y$2),$E295,0),$E295*NETWORKDAYS(MAX($I295,Y$3),MIN($J295,Y$2),Data!$K$4:$K$203)/$K295)))</f>
        <v>0</v>
      </c>
      <c r="Z295" s="170">
        <f>IF(OR($I295="",$E295=0),0,IF(OR($J295&lt;Z$3,$I295&gt;Z$2),0,IF($K295=0,IF(AND($I295&gt;=Z$3,$I295&lt;=Z$2),$E295,0),$E295*NETWORKDAYS(MAX($I295,Z$3),MIN($J295,Z$2),Data!$K$4:$K$203)/$K295)))</f>
        <v>0</v>
      </c>
      <c r="AA295" s="170">
        <f>IF(OR($I295="",$E295=0),0,IF(OR($J295&lt;AA$3,$I295&gt;AA$2),0,IF($K295=0,IF(AND($I295&gt;=AA$3,$I295&lt;=AA$2),$E295,0),$E295*NETWORKDAYS(MAX($I295,AA$3),MIN($J295,AA$2),Data!$K$4:$K$203)/$K295)))</f>
        <v>0</v>
      </c>
      <c r="AB295" s="170">
        <f>IF(OR($I295="",$E295=0),0,IF(OR($J295&lt;AB$3,$I295&gt;AB$2),0,IF($K295=0,IF(AND($I295&gt;=AB$3,$I295&lt;=AB$2),$E295,0),$E295*NETWORKDAYS(MAX($I295,AB$3),MIN($J295,AB$2),Data!$K$4:$K$203)/$K295)))</f>
        <v>0</v>
      </c>
      <c r="AC295" s="170">
        <f>IF(OR($I295="",$E295=0),0,IF(OR($J295&lt;AC$3,$I295&gt;AC$2),0,IF($K295=0,IF(AND($I295&gt;=AC$3,$I295&lt;=AC$2),$E295,0),$E295*NETWORKDAYS(MAX($I295,AC$3),MIN($J295,AC$2),Data!$K$4:$K$203)/$K295)))</f>
        <v>0</v>
      </c>
      <c r="AD295" s="170">
        <f>IF(OR($I295="",$E295=0),0,IF(OR($J295&lt;AD$3,$I295&gt;AD$2),0,IF($K295=0,IF(AND($I295&gt;=AD$3,$I295&lt;=AD$2),$E295,0),$E295*NETWORKDAYS(MAX($I295,AD$3),MIN($J295,AD$2),Data!$K$4:$K$203)/$K295)))</f>
        <v>0</v>
      </c>
      <c r="AE295" s="170">
        <f>IF(OR($I295="",$E295=0),0,IF(OR($J295&lt;AE$3,$I295&gt;AE$2),0,IF($K295=0,IF(AND($I295&gt;=AE$3,$I295&lt;=AE$2),$E295,0),$E295*NETWORKDAYS(MAX($I295,AE$3),MIN($J295,AE$2),Data!$K$4:$K$203)/$K295)))</f>
        <v>0</v>
      </c>
      <c r="AF295" s="170">
        <f>IF(OR($I295="",$E295=0),0,IF(OR($J295&lt;AF$3,$I295&gt;AF$2),0,IF($K295=0,IF(AND($I295&gt;=AF$3,$I295&lt;=AF$2),$E295,0),$E295*NETWORKDAYS(MAX($I295,AF$3),MIN($J295,AF$2),Data!$K$4:$K$203)/$K295)))</f>
        <v>0</v>
      </c>
      <c r="AG295" s="170">
        <f>IF(OR($I295="",$E295=0),0,IF(OR($J295&lt;AG$3,$I295&gt;AG$2),0,IF($K295=0,IF(AND($I295&gt;=AG$3,$I295&lt;=AG$2),$E295,0),$E295*NETWORKDAYS(MAX($I295,AG$3),MIN($J295,AG$2),Data!$K$4:$K$203)/$K295)))</f>
        <v>0</v>
      </c>
      <c r="AH295" s="170">
        <f>IF(OR($I295="",$E295=0),0,IF(OR($J295&lt;AH$3,$I295&gt;AH$2),0,IF($K295=0,IF(AND($I295&gt;=AH$3,$I295&lt;=AH$2),$E295,0),$E295*NETWORKDAYS(MAX($I295,AH$3),MIN($J295,AH$2),Data!$K$4:$K$203)/$K295)))</f>
        <v>0</v>
      </c>
      <c r="AI295" s="170">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70"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4" t="str">
        <f>IF(EO295=1,IF(FH295&gt;0,FI295/FH295,AVERAGEIF($FF$4:$FF$503,EN295,$C$4:$C$503)),"")</f>
        <v/>
      </c>
      <c r="EV295" s="169">
        <f>IF(ISNUMBER(I295),I295,2958465)</f>
        <v>2958465.0</v>
      </c>
      <c r="EW295" s="169" t="str">
        <f>IF(EO295=1,SUMPRODUCT(MIN(($EN$4:$EN$503=EN295)*$EV$4:$EV$503+($EN$4:$EN$503&lt;&gt;EN295)*2958465)),"")</f>
        <v/>
      </c>
      <c r="EX295" s="169">
        <f>IF(AND(D295=1,ISNUMBER(INDEX(Charge!$F:$F,ROW()))),INDEX(Charge!$F:$F,ROW()),0)</f>
        <v>0.0</v>
      </c>
      <c r="EY295" s="169"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c r="FF295" t="str">
        <f>IF(B295=1,LEFT(SUBSTITUTE(SUBSTITUTE(SUBSTITUTE(TRIM(SUBSTITUTE(INDEX(Charge!$B:$B,ROW()),CHAR(160)," "))&amp;" | "&amp;TRIM(SUBSTITUTE(INDEX(Charge!$C:$C,ROW()),CHAR(160)," "))&amp;" | "&amp;TRIM(SUBSTITUTE(INDEX(Charge!$D:$D,ROW()),CHAR(160)," ")),"~","-"),"*","+"),"?","!"),240),"")</f>
        <v/>
      </c>
      <c r="FG295">
        <f>IF(B295=1,MAX(0,N(INDEX(Charge!$M:$M,ROW()))),0)</f>
        <v>0</v>
      </c>
      <c r="FH295" s="170" t="str">
        <f>IF(EO295=1,ROUND(SUMIF($FF$4:$FF$503,EN295,$FG$4:$FG$503),2),"")</f>
        <v/>
      </c>
      <c r="FI295" s="170" t="str">
        <f>IF(EO295=1,ROUND(SUMPRODUCT(($FF$4:$FF$503=EN295)*$FG$4:$FG$503*$C$4:$C$503),2),"")</f>
        <v/>
      </c>
      <c r="FJ295" s="170" t="str">
        <f>IF(EO295=1,MAX(0,ROUND(FH295-FI295,2)),"")</f>
        <v/>
      </c>
      <c r="FK295" s="174" t="str">
        <f>IF(EO295=1,IF(OR(EW295&gt;=2958465,EY295=0,EY295&lt;=EW295),"",IF(TODAY()&lt;=EW295,0,IF(TODAY()&gt;EY295,1,IFERROR(NETWORKDAYS(EW295,TODAY()-1,Data!$K$4:$K$203)/NETWORKDAYS(EW295,EY295,Data!$K$4:$K$203),"")))),"")</f>
        <v/>
      </c>
      <c r="FL295" t="str">
        <f>IF(EO295=1,IF(AND(EY295&gt;0,EY295&lt;TODAY(),ROUND(EU295,4)&lt;1),2,IF(FK295="",0,IF(ROUND(EU295-FK295,4)&lt;-0.15,1,0))),"")</f>
        <v/>
      </c>
      <c r="FM295">
        <f>IF(OR(FA295="",COUNTIF($FA$4:FA294,FA295)&gt;0),0,MAX(0,IF(FB295="Interne",IF(ISNUMBER(INDEX(Data!$F:$F,295)),INDEX(Data!$F:$F,295),p_HeuresETP),IF(ISNUMBER(INDEX(Data!$I:$I,295-$CD$23)),INDEX(Data!$I:$I,295-$CD$23),p_HeuresETP))-IF(FB295="Interne",IF(ISNUMBER(INDEX(Data!$G:$G,295)),INDEX(Data!$G:$G,295),p_ChargeFixe),IF(ISNUMBER(INDEX(Data!$J:$J,295-$CD$23)),INDEX(Data!$J:$J,295-$CD$23),p_ChargeFixe))))</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9" t="str">
        <f>IF(AND(D296=1,ISNUMBER(INDEX(Charge!$N:$N,ROW()))),INDEX(Charge!$N:$N,ROW()),"")</f>
        <v/>
      </c>
      <c r="J296" s="169"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70">
        <f>IF(OR($I296="",$E296=0),0,IF(OR($J296&lt;W$3,$I296&gt;W$2),0,IF($K296=0,IF(AND($I296&gt;=W$3,$I296&lt;=W$2),$E296,0),$E296*NETWORKDAYS(MAX($I296,W$3),MIN($J296,W$2),Data!$K$4:$K$203)/$K296)))</f>
        <v>0</v>
      </c>
      <c r="X296" s="170">
        <f>IF(OR($I296="",$E296=0),0,IF(OR($J296&lt;X$3,$I296&gt;X$2),0,IF($K296=0,IF(AND($I296&gt;=X$3,$I296&lt;=X$2),$E296,0),$E296*NETWORKDAYS(MAX($I296,X$3),MIN($J296,X$2),Data!$K$4:$K$203)/$K296)))</f>
        <v>0</v>
      </c>
      <c r="Y296" s="170">
        <f>IF(OR($I296="",$E296=0),0,IF(OR($J296&lt;Y$3,$I296&gt;Y$2),0,IF($K296=0,IF(AND($I296&gt;=Y$3,$I296&lt;=Y$2),$E296,0),$E296*NETWORKDAYS(MAX($I296,Y$3),MIN($J296,Y$2),Data!$K$4:$K$203)/$K296)))</f>
        <v>0</v>
      </c>
      <c r="Z296" s="170">
        <f>IF(OR($I296="",$E296=0),0,IF(OR($J296&lt;Z$3,$I296&gt;Z$2),0,IF($K296=0,IF(AND($I296&gt;=Z$3,$I296&lt;=Z$2),$E296,0),$E296*NETWORKDAYS(MAX($I296,Z$3),MIN($J296,Z$2),Data!$K$4:$K$203)/$K296)))</f>
        <v>0</v>
      </c>
      <c r="AA296" s="170">
        <f>IF(OR($I296="",$E296=0),0,IF(OR($J296&lt;AA$3,$I296&gt;AA$2),0,IF($K296=0,IF(AND($I296&gt;=AA$3,$I296&lt;=AA$2),$E296,0),$E296*NETWORKDAYS(MAX($I296,AA$3),MIN($J296,AA$2),Data!$K$4:$K$203)/$K296)))</f>
        <v>0</v>
      </c>
      <c r="AB296" s="170">
        <f>IF(OR($I296="",$E296=0),0,IF(OR($J296&lt;AB$3,$I296&gt;AB$2),0,IF($K296=0,IF(AND($I296&gt;=AB$3,$I296&lt;=AB$2),$E296,0),$E296*NETWORKDAYS(MAX($I296,AB$3),MIN($J296,AB$2),Data!$K$4:$K$203)/$K296)))</f>
        <v>0</v>
      </c>
      <c r="AC296" s="170">
        <f>IF(OR($I296="",$E296=0),0,IF(OR($J296&lt;AC$3,$I296&gt;AC$2),0,IF($K296=0,IF(AND($I296&gt;=AC$3,$I296&lt;=AC$2),$E296,0),$E296*NETWORKDAYS(MAX($I296,AC$3),MIN($J296,AC$2),Data!$K$4:$K$203)/$K296)))</f>
        <v>0</v>
      </c>
      <c r="AD296" s="170">
        <f>IF(OR($I296="",$E296=0),0,IF(OR($J296&lt;AD$3,$I296&gt;AD$2),0,IF($K296=0,IF(AND($I296&gt;=AD$3,$I296&lt;=AD$2),$E296,0),$E296*NETWORKDAYS(MAX($I296,AD$3),MIN($J296,AD$2),Data!$K$4:$K$203)/$K296)))</f>
        <v>0</v>
      </c>
      <c r="AE296" s="170">
        <f>IF(OR($I296="",$E296=0),0,IF(OR($J296&lt;AE$3,$I296&gt;AE$2),0,IF($K296=0,IF(AND($I296&gt;=AE$3,$I296&lt;=AE$2),$E296,0),$E296*NETWORKDAYS(MAX($I296,AE$3),MIN($J296,AE$2),Data!$K$4:$K$203)/$K296)))</f>
        <v>0</v>
      </c>
      <c r="AF296" s="170">
        <f>IF(OR($I296="",$E296=0),0,IF(OR($J296&lt;AF$3,$I296&gt;AF$2),0,IF($K296=0,IF(AND($I296&gt;=AF$3,$I296&lt;=AF$2),$E296,0),$E296*NETWORKDAYS(MAX($I296,AF$3),MIN($J296,AF$2),Data!$K$4:$K$203)/$K296)))</f>
        <v>0</v>
      </c>
      <c r="AG296" s="170">
        <f>IF(OR($I296="",$E296=0),0,IF(OR($J296&lt;AG$3,$I296&gt;AG$2),0,IF($K296=0,IF(AND($I296&gt;=AG$3,$I296&lt;=AG$2),$E296,0),$E296*NETWORKDAYS(MAX($I296,AG$3),MIN($J296,AG$2),Data!$K$4:$K$203)/$K296)))</f>
        <v>0</v>
      </c>
      <c r="AH296" s="170">
        <f>IF(OR($I296="",$E296=0),0,IF(OR($J296&lt;AH$3,$I296&gt;AH$2),0,IF($K296=0,IF(AND($I296&gt;=AH$3,$I296&lt;=AH$2),$E296,0),$E296*NETWORKDAYS(MAX($I296,AH$3),MIN($J296,AH$2),Data!$K$4:$K$203)/$K296)))</f>
        <v>0</v>
      </c>
      <c r="AI296" s="170">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70"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4" t="str">
        <f>IF(EO296=1,IF(FH296&gt;0,FI296/FH296,AVERAGEIF($FF$4:$FF$503,EN296,$C$4:$C$503)),"")</f>
        <v/>
      </c>
      <c r="EV296" s="169">
        <f>IF(ISNUMBER(I296),I296,2958465)</f>
        <v>2958465.0</v>
      </c>
      <c r="EW296" s="169" t="str">
        <f>IF(EO296=1,SUMPRODUCT(MIN(($EN$4:$EN$503=EN296)*$EV$4:$EV$503+($EN$4:$EN$503&lt;&gt;EN296)*2958465)),"")</f>
        <v/>
      </c>
      <c r="EX296" s="169">
        <f>IF(AND(D296=1,ISNUMBER(INDEX(Charge!$F:$F,ROW()))),INDEX(Charge!$F:$F,ROW()),0)</f>
        <v>0.0</v>
      </c>
      <c r="EY296" s="169"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c r="FF296" t="str">
        <f>IF(B296=1,LEFT(SUBSTITUTE(SUBSTITUTE(SUBSTITUTE(TRIM(SUBSTITUTE(INDEX(Charge!$B:$B,ROW()),CHAR(160)," "))&amp;" | "&amp;TRIM(SUBSTITUTE(INDEX(Charge!$C:$C,ROW()),CHAR(160)," "))&amp;" | "&amp;TRIM(SUBSTITUTE(INDEX(Charge!$D:$D,ROW()),CHAR(160)," ")),"~","-"),"*","+"),"?","!"),240),"")</f>
        <v/>
      </c>
      <c r="FG296">
        <f>IF(B296=1,MAX(0,N(INDEX(Charge!$M:$M,ROW()))),0)</f>
        <v>0</v>
      </c>
      <c r="FH296" s="170" t="str">
        <f>IF(EO296=1,ROUND(SUMIF($FF$4:$FF$503,EN296,$FG$4:$FG$503),2),"")</f>
        <v/>
      </c>
      <c r="FI296" s="170" t="str">
        <f>IF(EO296=1,ROUND(SUMPRODUCT(($FF$4:$FF$503=EN296)*$FG$4:$FG$503*$C$4:$C$503),2),"")</f>
        <v/>
      </c>
      <c r="FJ296" s="170" t="str">
        <f>IF(EO296=1,MAX(0,ROUND(FH296-FI296,2)),"")</f>
        <v/>
      </c>
      <c r="FK296" s="174" t="str">
        <f>IF(EO296=1,IF(OR(EW296&gt;=2958465,EY296=0,EY296&lt;=EW296),"",IF(TODAY()&lt;=EW296,0,IF(TODAY()&gt;EY296,1,IFERROR(NETWORKDAYS(EW296,TODAY()-1,Data!$K$4:$K$203)/NETWORKDAYS(EW296,EY296,Data!$K$4:$K$203),"")))),"")</f>
        <v/>
      </c>
      <c r="FL296" t="str">
        <f>IF(EO296=1,IF(AND(EY296&gt;0,EY296&lt;TODAY(),ROUND(EU296,4)&lt;1),2,IF(FK296="",0,IF(ROUND(EU296-FK296,4)&lt;-0.15,1,0))),"")</f>
        <v/>
      </c>
      <c r="FM296">
        <f>IF(OR(FA296="",COUNTIF($FA$4:FA295,FA296)&gt;0),0,MAX(0,IF(FB296="Interne",IF(ISNUMBER(INDEX(Data!$F:$F,296)),INDEX(Data!$F:$F,296),p_HeuresETP),IF(ISNUMBER(INDEX(Data!$I:$I,296-$CD$23)),INDEX(Data!$I:$I,296-$CD$23),p_HeuresETP))-IF(FB296="Interne",IF(ISNUMBER(INDEX(Data!$G:$G,296)),INDEX(Data!$G:$G,296),p_ChargeFixe),IF(ISNUMBER(INDEX(Data!$J:$J,296-$CD$23)),INDEX(Data!$J:$J,296-$CD$23),p_ChargeFixe))))</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9" t="str">
        <f>IF(AND(D297=1,ISNUMBER(INDEX(Charge!$N:$N,ROW()))),INDEX(Charge!$N:$N,ROW()),"")</f>
        <v/>
      </c>
      <c r="J297" s="169"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70">
        <f>IF(OR($I297="",$E297=0),0,IF(OR($J297&lt;W$3,$I297&gt;W$2),0,IF($K297=0,IF(AND($I297&gt;=W$3,$I297&lt;=W$2),$E297,0),$E297*NETWORKDAYS(MAX($I297,W$3),MIN($J297,W$2),Data!$K$4:$K$203)/$K297)))</f>
        <v>0</v>
      </c>
      <c r="X297" s="170">
        <f>IF(OR($I297="",$E297=0),0,IF(OR($J297&lt;X$3,$I297&gt;X$2),0,IF($K297=0,IF(AND($I297&gt;=X$3,$I297&lt;=X$2),$E297,0),$E297*NETWORKDAYS(MAX($I297,X$3),MIN($J297,X$2),Data!$K$4:$K$203)/$K297)))</f>
        <v>0</v>
      </c>
      <c r="Y297" s="170">
        <f>IF(OR($I297="",$E297=0),0,IF(OR($J297&lt;Y$3,$I297&gt;Y$2),0,IF($K297=0,IF(AND($I297&gt;=Y$3,$I297&lt;=Y$2),$E297,0),$E297*NETWORKDAYS(MAX($I297,Y$3),MIN($J297,Y$2),Data!$K$4:$K$203)/$K297)))</f>
        <v>0</v>
      </c>
      <c r="Z297" s="170">
        <f>IF(OR($I297="",$E297=0),0,IF(OR($J297&lt;Z$3,$I297&gt;Z$2),0,IF($K297=0,IF(AND($I297&gt;=Z$3,$I297&lt;=Z$2),$E297,0),$E297*NETWORKDAYS(MAX($I297,Z$3),MIN($J297,Z$2),Data!$K$4:$K$203)/$K297)))</f>
        <v>0</v>
      </c>
      <c r="AA297" s="170">
        <f>IF(OR($I297="",$E297=0),0,IF(OR($J297&lt;AA$3,$I297&gt;AA$2),0,IF($K297=0,IF(AND($I297&gt;=AA$3,$I297&lt;=AA$2),$E297,0),$E297*NETWORKDAYS(MAX($I297,AA$3),MIN($J297,AA$2),Data!$K$4:$K$203)/$K297)))</f>
        <v>0</v>
      </c>
      <c r="AB297" s="170">
        <f>IF(OR($I297="",$E297=0),0,IF(OR($J297&lt;AB$3,$I297&gt;AB$2),0,IF($K297=0,IF(AND($I297&gt;=AB$3,$I297&lt;=AB$2),$E297,0),$E297*NETWORKDAYS(MAX($I297,AB$3),MIN($J297,AB$2),Data!$K$4:$K$203)/$K297)))</f>
        <v>0</v>
      </c>
      <c r="AC297" s="170">
        <f>IF(OR($I297="",$E297=0),0,IF(OR($J297&lt;AC$3,$I297&gt;AC$2),0,IF($K297=0,IF(AND($I297&gt;=AC$3,$I297&lt;=AC$2),$E297,0),$E297*NETWORKDAYS(MAX($I297,AC$3),MIN($J297,AC$2),Data!$K$4:$K$203)/$K297)))</f>
        <v>0</v>
      </c>
      <c r="AD297" s="170">
        <f>IF(OR($I297="",$E297=0),0,IF(OR($J297&lt;AD$3,$I297&gt;AD$2),0,IF($K297=0,IF(AND($I297&gt;=AD$3,$I297&lt;=AD$2),$E297,0),$E297*NETWORKDAYS(MAX($I297,AD$3),MIN($J297,AD$2),Data!$K$4:$K$203)/$K297)))</f>
        <v>0</v>
      </c>
      <c r="AE297" s="170">
        <f>IF(OR($I297="",$E297=0),0,IF(OR($J297&lt;AE$3,$I297&gt;AE$2),0,IF($K297=0,IF(AND($I297&gt;=AE$3,$I297&lt;=AE$2),$E297,0),$E297*NETWORKDAYS(MAX($I297,AE$3),MIN($J297,AE$2),Data!$K$4:$K$203)/$K297)))</f>
        <v>0</v>
      </c>
      <c r="AF297" s="170">
        <f>IF(OR($I297="",$E297=0),0,IF(OR($J297&lt;AF$3,$I297&gt;AF$2),0,IF($K297=0,IF(AND($I297&gt;=AF$3,$I297&lt;=AF$2),$E297,0),$E297*NETWORKDAYS(MAX($I297,AF$3),MIN($J297,AF$2),Data!$K$4:$K$203)/$K297)))</f>
        <v>0</v>
      </c>
      <c r="AG297" s="170">
        <f>IF(OR($I297="",$E297=0),0,IF(OR($J297&lt;AG$3,$I297&gt;AG$2),0,IF($K297=0,IF(AND($I297&gt;=AG$3,$I297&lt;=AG$2),$E297,0),$E297*NETWORKDAYS(MAX($I297,AG$3),MIN($J297,AG$2),Data!$K$4:$K$203)/$K297)))</f>
        <v>0</v>
      </c>
      <c r="AH297" s="170">
        <f>IF(OR($I297="",$E297=0),0,IF(OR($J297&lt;AH$3,$I297&gt;AH$2),0,IF($K297=0,IF(AND($I297&gt;=AH$3,$I297&lt;=AH$2),$E297,0),$E297*NETWORKDAYS(MAX($I297,AH$3),MIN($J297,AH$2),Data!$K$4:$K$203)/$K297)))</f>
        <v>0</v>
      </c>
      <c r="AI297" s="170">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70"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4" t="str">
        <f>IF(EO297=1,IF(FH297&gt;0,FI297/FH297,AVERAGEIF($FF$4:$FF$503,EN297,$C$4:$C$503)),"")</f>
        <v/>
      </c>
      <c r="EV297" s="169">
        <f>IF(ISNUMBER(I297),I297,2958465)</f>
        <v>2958465.0</v>
      </c>
      <c r="EW297" s="169" t="str">
        <f>IF(EO297=1,SUMPRODUCT(MIN(($EN$4:$EN$503=EN297)*$EV$4:$EV$503+($EN$4:$EN$503&lt;&gt;EN297)*2958465)),"")</f>
        <v/>
      </c>
      <c r="EX297" s="169">
        <f>IF(AND(D297=1,ISNUMBER(INDEX(Charge!$F:$F,ROW()))),INDEX(Charge!$F:$F,ROW()),0)</f>
        <v>0.0</v>
      </c>
      <c r="EY297" s="169"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c r="FF297" t="str">
        <f>IF(B297=1,LEFT(SUBSTITUTE(SUBSTITUTE(SUBSTITUTE(TRIM(SUBSTITUTE(INDEX(Charge!$B:$B,ROW()),CHAR(160)," "))&amp;" | "&amp;TRIM(SUBSTITUTE(INDEX(Charge!$C:$C,ROW()),CHAR(160)," "))&amp;" | "&amp;TRIM(SUBSTITUTE(INDEX(Charge!$D:$D,ROW()),CHAR(160)," ")),"~","-"),"*","+"),"?","!"),240),"")</f>
        <v/>
      </c>
      <c r="FG297">
        <f>IF(B297=1,MAX(0,N(INDEX(Charge!$M:$M,ROW()))),0)</f>
        <v>0</v>
      </c>
      <c r="FH297" s="170" t="str">
        <f>IF(EO297=1,ROUND(SUMIF($FF$4:$FF$503,EN297,$FG$4:$FG$503),2),"")</f>
        <v/>
      </c>
      <c r="FI297" s="170" t="str">
        <f>IF(EO297=1,ROUND(SUMPRODUCT(($FF$4:$FF$503=EN297)*$FG$4:$FG$503*$C$4:$C$503),2),"")</f>
        <v/>
      </c>
      <c r="FJ297" s="170" t="str">
        <f>IF(EO297=1,MAX(0,ROUND(FH297-FI297,2)),"")</f>
        <v/>
      </c>
      <c r="FK297" s="174" t="str">
        <f>IF(EO297=1,IF(OR(EW297&gt;=2958465,EY297=0,EY297&lt;=EW297),"",IF(TODAY()&lt;=EW297,0,IF(TODAY()&gt;EY297,1,IFERROR(NETWORKDAYS(EW297,TODAY()-1,Data!$K$4:$K$203)/NETWORKDAYS(EW297,EY297,Data!$K$4:$K$203),"")))),"")</f>
        <v/>
      </c>
      <c r="FL297" t="str">
        <f>IF(EO297=1,IF(AND(EY297&gt;0,EY297&lt;TODAY(),ROUND(EU297,4)&lt;1),2,IF(FK297="",0,IF(ROUND(EU297-FK297,4)&lt;-0.15,1,0))),"")</f>
        <v/>
      </c>
      <c r="FM297">
        <f>IF(OR(FA297="",COUNTIF($FA$4:FA296,FA297)&gt;0),0,MAX(0,IF(FB297="Interne",IF(ISNUMBER(INDEX(Data!$F:$F,297)),INDEX(Data!$F:$F,297),p_HeuresETP),IF(ISNUMBER(INDEX(Data!$I:$I,297-$CD$23)),INDEX(Data!$I:$I,297-$CD$23),p_HeuresETP))-IF(FB297="Interne",IF(ISNUMBER(INDEX(Data!$G:$G,297)),INDEX(Data!$G:$G,297),p_ChargeFixe),IF(ISNUMBER(INDEX(Data!$J:$J,297-$CD$23)),INDEX(Data!$J:$J,297-$CD$23),p_ChargeFixe))))</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9" t="str">
        <f>IF(AND(D298=1,ISNUMBER(INDEX(Charge!$N:$N,ROW()))),INDEX(Charge!$N:$N,ROW()),"")</f>
        <v/>
      </c>
      <c r="J298" s="169"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70">
        <f>IF(OR($I298="",$E298=0),0,IF(OR($J298&lt;W$3,$I298&gt;W$2),0,IF($K298=0,IF(AND($I298&gt;=W$3,$I298&lt;=W$2),$E298,0),$E298*NETWORKDAYS(MAX($I298,W$3),MIN($J298,W$2),Data!$K$4:$K$203)/$K298)))</f>
        <v>0</v>
      </c>
      <c r="X298" s="170">
        <f>IF(OR($I298="",$E298=0),0,IF(OR($J298&lt;X$3,$I298&gt;X$2),0,IF($K298=0,IF(AND($I298&gt;=X$3,$I298&lt;=X$2),$E298,0),$E298*NETWORKDAYS(MAX($I298,X$3),MIN($J298,X$2),Data!$K$4:$K$203)/$K298)))</f>
        <v>0</v>
      </c>
      <c r="Y298" s="170">
        <f>IF(OR($I298="",$E298=0),0,IF(OR($J298&lt;Y$3,$I298&gt;Y$2),0,IF($K298=0,IF(AND($I298&gt;=Y$3,$I298&lt;=Y$2),$E298,0),$E298*NETWORKDAYS(MAX($I298,Y$3),MIN($J298,Y$2),Data!$K$4:$K$203)/$K298)))</f>
        <v>0</v>
      </c>
      <c r="Z298" s="170">
        <f>IF(OR($I298="",$E298=0),0,IF(OR($J298&lt;Z$3,$I298&gt;Z$2),0,IF($K298=0,IF(AND($I298&gt;=Z$3,$I298&lt;=Z$2),$E298,0),$E298*NETWORKDAYS(MAX($I298,Z$3),MIN($J298,Z$2),Data!$K$4:$K$203)/$K298)))</f>
        <v>0</v>
      </c>
      <c r="AA298" s="170">
        <f>IF(OR($I298="",$E298=0),0,IF(OR($J298&lt;AA$3,$I298&gt;AA$2),0,IF($K298=0,IF(AND($I298&gt;=AA$3,$I298&lt;=AA$2),$E298,0),$E298*NETWORKDAYS(MAX($I298,AA$3),MIN($J298,AA$2),Data!$K$4:$K$203)/$K298)))</f>
        <v>0</v>
      </c>
      <c r="AB298" s="170">
        <f>IF(OR($I298="",$E298=0),0,IF(OR($J298&lt;AB$3,$I298&gt;AB$2),0,IF($K298=0,IF(AND($I298&gt;=AB$3,$I298&lt;=AB$2),$E298,0),$E298*NETWORKDAYS(MAX($I298,AB$3),MIN($J298,AB$2),Data!$K$4:$K$203)/$K298)))</f>
        <v>0</v>
      </c>
      <c r="AC298" s="170">
        <f>IF(OR($I298="",$E298=0),0,IF(OR($J298&lt;AC$3,$I298&gt;AC$2),0,IF($K298=0,IF(AND($I298&gt;=AC$3,$I298&lt;=AC$2),$E298,0),$E298*NETWORKDAYS(MAX($I298,AC$3),MIN($J298,AC$2),Data!$K$4:$K$203)/$K298)))</f>
        <v>0</v>
      </c>
      <c r="AD298" s="170">
        <f>IF(OR($I298="",$E298=0),0,IF(OR($J298&lt;AD$3,$I298&gt;AD$2),0,IF($K298=0,IF(AND($I298&gt;=AD$3,$I298&lt;=AD$2),$E298,0),$E298*NETWORKDAYS(MAX($I298,AD$3),MIN($J298,AD$2),Data!$K$4:$K$203)/$K298)))</f>
        <v>0</v>
      </c>
      <c r="AE298" s="170">
        <f>IF(OR($I298="",$E298=0),0,IF(OR($J298&lt;AE$3,$I298&gt;AE$2),0,IF($K298=0,IF(AND($I298&gt;=AE$3,$I298&lt;=AE$2),$E298,0),$E298*NETWORKDAYS(MAX($I298,AE$3),MIN($J298,AE$2),Data!$K$4:$K$203)/$K298)))</f>
        <v>0</v>
      </c>
      <c r="AF298" s="170">
        <f>IF(OR($I298="",$E298=0),0,IF(OR($J298&lt;AF$3,$I298&gt;AF$2),0,IF($K298=0,IF(AND($I298&gt;=AF$3,$I298&lt;=AF$2),$E298,0),$E298*NETWORKDAYS(MAX($I298,AF$3),MIN($J298,AF$2),Data!$K$4:$K$203)/$K298)))</f>
        <v>0</v>
      </c>
      <c r="AG298" s="170">
        <f>IF(OR($I298="",$E298=0),0,IF(OR($J298&lt;AG$3,$I298&gt;AG$2),0,IF($K298=0,IF(AND($I298&gt;=AG$3,$I298&lt;=AG$2),$E298,0),$E298*NETWORKDAYS(MAX($I298,AG$3),MIN($J298,AG$2),Data!$K$4:$K$203)/$K298)))</f>
        <v>0</v>
      </c>
      <c r="AH298" s="170">
        <f>IF(OR($I298="",$E298=0),0,IF(OR($J298&lt;AH$3,$I298&gt;AH$2),0,IF($K298=0,IF(AND($I298&gt;=AH$3,$I298&lt;=AH$2),$E298,0),$E298*NETWORKDAYS(MAX($I298,AH$3),MIN($J298,AH$2),Data!$K$4:$K$203)/$K298)))</f>
        <v>0</v>
      </c>
      <c r="AI298" s="170">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70"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4" t="str">
        <f>IF(EO298=1,IF(FH298&gt;0,FI298/FH298,AVERAGEIF($FF$4:$FF$503,EN298,$C$4:$C$503)),"")</f>
        <v/>
      </c>
      <c r="EV298" s="169">
        <f>IF(ISNUMBER(I298),I298,2958465)</f>
        <v>2958465.0</v>
      </c>
      <c r="EW298" s="169" t="str">
        <f>IF(EO298=1,SUMPRODUCT(MIN(($EN$4:$EN$503=EN298)*$EV$4:$EV$503+($EN$4:$EN$503&lt;&gt;EN298)*2958465)),"")</f>
        <v/>
      </c>
      <c r="EX298" s="169">
        <f>IF(AND(D298=1,ISNUMBER(INDEX(Charge!$F:$F,ROW()))),INDEX(Charge!$F:$F,ROW()),0)</f>
        <v>0.0</v>
      </c>
      <c r="EY298" s="169"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c r="FF298" t="str">
        <f>IF(B298=1,LEFT(SUBSTITUTE(SUBSTITUTE(SUBSTITUTE(TRIM(SUBSTITUTE(INDEX(Charge!$B:$B,ROW()),CHAR(160)," "))&amp;" | "&amp;TRIM(SUBSTITUTE(INDEX(Charge!$C:$C,ROW()),CHAR(160)," "))&amp;" | "&amp;TRIM(SUBSTITUTE(INDEX(Charge!$D:$D,ROW()),CHAR(160)," ")),"~","-"),"*","+"),"?","!"),240),"")</f>
        <v/>
      </c>
      <c r="FG298">
        <f>IF(B298=1,MAX(0,N(INDEX(Charge!$M:$M,ROW()))),0)</f>
        <v>0</v>
      </c>
      <c r="FH298" s="170" t="str">
        <f>IF(EO298=1,ROUND(SUMIF($FF$4:$FF$503,EN298,$FG$4:$FG$503),2),"")</f>
        <v/>
      </c>
      <c r="FI298" s="170" t="str">
        <f>IF(EO298=1,ROUND(SUMPRODUCT(($FF$4:$FF$503=EN298)*$FG$4:$FG$503*$C$4:$C$503),2),"")</f>
        <v/>
      </c>
      <c r="FJ298" s="170" t="str">
        <f>IF(EO298=1,MAX(0,ROUND(FH298-FI298,2)),"")</f>
        <v/>
      </c>
      <c r="FK298" s="174" t="str">
        <f>IF(EO298=1,IF(OR(EW298&gt;=2958465,EY298=0,EY298&lt;=EW298),"",IF(TODAY()&lt;=EW298,0,IF(TODAY()&gt;EY298,1,IFERROR(NETWORKDAYS(EW298,TODAY()-1,Data!$K$4:$K$203)/NETWORKDAYS(EW298,EY298,Data!$K$4:$K$203),"")))),"")</f>
        <v/>
      </c>
      <c r="FL298" t="str">
        <f>IF(EO298=1,IF(AND(EY298&gt;0,EY298&lt;TODAY(),ROUND(EU298,4)&lt;1),2,IF(FK298="",0,IF(ROUND(EU298-FK298,4)&lt;-0.15,1,0))),"")</f>
        <v/>
      </c>
      <c r="FM298">
        <f>IF(OR(FA298="",COUNTIF($FA$4:FA297,FA298)&gt;0),0,MAX(0,IF(FB298="Interne",IF(ISNUMBER(INDEX(Data!$F:$F,298)),INDEX(Data!$F:$F,298),p_HeuresETP),IF(ISNUMBER(INDEX(Data!$I:$I,298-$CD$23)),INDEX(Data!$I:$I,298-$CD$23),p_HeuresETP))-IF(FB298="Interne",IF(ISNUMBER(INDEX(Data!$G:$G,298)),INDEX(Data!$G:$G,298),p_ChargeFixe),IF(ISNUMBER(INDEX(Data!$J:$J,298-$CD$23)),INDEX(Data!$J:$J,298-$CD$23),p_ChargeFixe))))</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9" t="str">
        <f>IF(AND(D299=1,ISNUMBER(INDEX(Charge!$N:$N,ROW()))),INDEX(Charge!$N:$N,ROW()),"")</f>
        <v/>
      </c>
      <c r="J299" s="169"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70">
        <f>IF(OR($I299="",$E299=0),0,IF(OR($J299&lt;W$3,$I299&gt;W$2),0,IF($K299=0,IF(AND($I299&gt;=W$3,$I299&lt;=W$2),$E299,0),$E299*NETWORKDAYS(MAX($I299,W$3),MIN($J299,W$2),Data!$K$4:$K$203)/$K299)))</f>
        <v>0</v>
      </c>
      <c r="X299" s="170">
        <f>IF(OR($I299="",$E299=0),0,IF(OR($J299&lt;X$3,$I299&gt;X$2),0,IF($K299=0,IF(AND($I299&gt;=X$3,$I299&lt;=X$2),$E299,0),$E299*NETWORKDAYS(MAX($I299,X$3),MIN($J299,X$2),Data!$K$4:$K$203)/$K299)))</f>
        <v>0</v>
      </c>
      <c r="Y299" s="170">
        <f>IF(OR($I299="",$E299=0),0,IF(OR($J299&lt;Y$3,$I299&gt;Y$2),0,IF($K299=0,IF(AND($I299&gt;=Y$3,$I299&lt;=Y$2),$E299,0),$E299*NETWORKDAYS(MAX($I299,Y$3),MIN($J299,Y$2),Data!$K$4:$K$203)/$K299)))</f>
        <v>0</v>
      </c>
      <c r="Z299" s="170">
        <f>IF(OR($I299="",$E299=0),0,IF(OR($J299&lt;Z$3,$I299&gt;Z$2),0,IF($K299=0,IF(AND($I299&gt;=Z$3,$I299&lt;=Z$2),$E299,0),$E299*NETWORKDAYS(MAX($I299,Z$3),MIN($J299,Z$2),Data!$K$4:$K$203)/$K299)))</f>
        <v>0</v>
      </c>
      <c r="AA299" s="170">
        <f>IF(OR($I299="",$E299=0),0,IF(OR($J299&lt;AA$3,$I299&gt;AA$2),0,IF($K299=0,IF(AND($I299&gt;=AA$3,$I299&lt;=AA$2),$E299,0),$E299*NETWORKDAYS(MAX($I299,AA$3),MIN($J299,AA$2),Data!$K$4:$K$203)/$K299)))</f>
        <v>0</v>
      </c>
      <c r="AB299" s="170">
        <f>IF(OR($I299="",$E299=0),0,IF(OR($J299&lt;AB$3,$I299&gt;AB$2),0,IF($K299=0,IF(AND($I299&gt;=AB$3,$I299&lt;=AB$2),$E299,0),$E299*NETWORKDAYS(MAX($I299,AB$3),MIN($J299,AB$2),Data!$K$4:$K$203)/$K299)))</f>
        <v>0</v>
      </c>
      <c r="AC299" s="170">
        <f>IF(OR($I299="",$E299=0),0,IF(OR($J299&lt;AC$3,$I299&gt;AC$2),0,IF($K299=0,IF(AND($I299&gt;=AC$3,$I299&lt;=AC$2),$E299,0),$E299*NETWORKDAYS(MAX($I299,AC$3),MIN($J299,AC$2),Data!$K$4:$K$203)/$K299)))</f>
        <v>0</v>
      </c>
      <c r="AD299" s="170">
        <f>IF(OR($I299="",$E299=0),0,IF(OR($J299&lt;AD$3,$I299&gt;AD$2),0,IF($K299=0,IF(AND($I299&gt;=AD$3,$I299&lt;=AD$2),$E299,0),$E299*NETWORKDAYS(MAX($I299,AD$3),MIN($J299,AD$2),Data!$K$4:$K$203)/$K299)))</f>
        <v>0</v>
      </c>
      <c r="AE299" s="170">
        <f>IF(OR($I299="",$E299=0),0,IF(OR($J299&lt;AE$3,$I299&gt;AE$2),0,IF($K299=0,IF(AND($I299&gt;=AE$3,$I299&lt;=AE$2),$E299,0),$E299*NETWORKDAYS(MAX($I299,AE$3),MIN($J299,AE$2),Data!$K$4:$K$203)/$K299)))</f>
        <v>0</v>
      </c>
      <c r="AF299" s="170">
        <f>IF(OR($I299="",$E299=0),0,IF(OR($J299&lt;AF$3,$I299&gt;AF$2),0,IF($K299=0,IF(AND($I299&gt;=AF$3,$I299&lt;=AF$2),$E299,0),$E299*NETWORKDAYS(MAX($I299,AF$3),MIN($J299,AF$2),Data!$K$4:$K$203)/$K299)))</f>
        <v>0</v>
      </c>
      <c r="AG299" s="170">
        <f>IF(OR($I299="",$E299=0),0,IF(OR($J299&lt;AG$3,$I299&gt;AG$2),0,IF($K299=0,IF(AND($I299&gt;=AG$3,$I299&lt;=AG$2),$E299,0),$E299*NETWORKDAYS(MAX($I299,AG$3),MIN($J299,AG$2),Data!$K$4:$K$203)/$K299)))</f>
        <v>0</v>
      </c>
      <c r="AH299" s="170">
        <f>IF(OR($I299="",$E299=0),0,IF(OR($J299&lt;AH$3,$I299&gt;AH$2),0,IF($K299=0,IF(AND($I299&gt;=AH$3,$I299&lt;=AH$2),$E299,0),$E299*NETWORKDAYS(MAX($I299,AH$3),MIN($J299,AH$2),Data!$K$4:$K$203)/$K299)))</f>
        <v>0</v>
      </c>
      <c r="AI299" s="170">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70"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4" t="str">
        <f>IF(EO299=1,IF(FH299&gt;0,FI299/FH299,AVERAGEIF($FF$4:$FF$503,EN299,$C$4:$C$503)),"")</f>
        <v/>
      </c>
      <c r="EV299" s="169">
        <f>IF(ISNUMBER(I299),I299,2958465)</f>
        <v>2958465.0</v>
      </c>
      <c r="EW299" s="169" t="str">
        <f>IF(EO299=1,SUMPRODUCT(MIN(($EN$4:$EN$503=EN299)*$EV$4:$EV$503+($EN$4:$EN$503&lt;&gt;EN299)*2958465)),"")</f>
        <v/>
      </c>
      <c r="EX299" s="169">
        <f>IF(AND(D299=1,ISNUMBER(INDEX(Charge!$F:$F,ROW()))),INDEX(Charge!$F:$F,ROW()),0)</f>
        <v>0.0</v>
      </c>
      <c r="EY299" s="169"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c r="FF299" t="str">
        <f>IF(B299=1,LEFT(SUBSTITUTE(SUBSTITUTE(SUBSTITUTE(TRIM(SUBSTITUTE(INDEX(Charge!$B:$B,ROW()),CHAR(160)," "))&amp;" | "&amp;TRIM(SUBSTITUTE(INDEX(Charge!$C:$C,ROW()),CHAR(160)," "))&amp;" | "&amp;TRIM(SUBSTITUTE(INDEX(Charge!$D:$D,ROW()),CHAR(160)," ")),"~","-"),"*","+"),"?","!"),240),"")</f>
        <v/>
      </c>
      <c r="FG299">
        <f>IF(B299=1,MAX(0,N(INDEX(Charge!$M:$M,ROW()))),0)</f>
        <v>0</v>
      </c>
      <c r="FH299" s="170" t="str">
        <f>IF(EO299=1,ROUND(SUMIF($FF$4:$FF$503,EN299,$FG$4:$FG$503),2),"")</f>
        <v/>
      </c>
      <c r="FI299" s="170" t="str">
        <f>IF(EO299=1,ROUND(SUMPRODUCT(($FF$4:$FF$503=EN299)*$FG$4:$FG$503*$C$4:$C$503),2),"")</f>
        <v/>
      </c>
      <c r="FJ299" s="170" t="str">
        <f>IF(EO299=1,MAX(0,ROUND(FH299-FI299,2)),"")</f>
        <v/>
      </c>
      <c r="FK299" s="174" t="str">
        <f>IF(EO299=1,IF(OR(EW299&gt;=2958465,EY299=0,EY299&lt;=EW299),"",IF(TODAY()&lt;=EW299,0,IF(TODAY()&gt;EY299,1,IFERROR(NETWORKDAYS(EW299,TODAY()-1,Data!$K$4:$K$203)/NETWORKDAYS(EW299,EY299,Data!$K$4:$K$203),"")))),"")</f>
        <v/>
      </c>
      <c r="FL299" t="str">
        <f>IF(EO299=1,IF(AND(EY299&gt;0,EY299&lt;TODAY(),ROUND(EU299,4)&lt;1),2,IF(FK299="",0,IF(ROUND(EU299-FK299,4)&lt;-0.15,1,0))),"")</f>
        <v/>
      </c>
      <c r="FM299">
        <f>IF(OR(FA299="",COUNTIF($FA$4:FA298,FA299)&gt;0),0,MAX(0,IF(FB299="Interne",IF(ISNUMBER(INDEX(Data!$F:$F,299)),INDEX(Data!$F:$F,299),p_HeuresETP),IF(ISNUMBER(INDEX(Data!$I:$I,299-$CD$23)),INDEX(Data!$I:$I,299-$CD$23),p_HeuresETP))-IF(FB299="Interne",IF(ISNUMBER(INDEX(Data!$G:$G,299)),INDEX(Data!$G:$G,299),p_ChargeFixe),IF(ISNUMBER(INDEX(Data!$J:$J,299-$CD$23)),INDEX(Data!$J:$J,299-$CD$23),p_ChargeFixe))))</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9" t="str">
        <f>IF(AND(D300=1,ISNUMBER(INDEX(Charge!$N:$N,ROW()))),INDEX(Charge!$N:$N,ROW()),"")</f>
        <v/>
      </c>
      <c r="J300" s="169"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70">
        <f>IF(OR($I300="",$E300=0),0,IF(OR($J300&lt;W$3,$I300&gt;W$2),0,IF($K300=0,IF(AND($I300&gt;=W$3,$I300&lt;=W$2),$E300,0),$E300*NETWORKDAYS(MAX($I300,W$3),MIN($J300,W$2),Data!$K$4:$K$203)/$K300)))</f>
        <v>0</v>
      </c>
      <c r="X300" s="170">
        <f>IF(OR($I300="",$E300=0),0,IF(OR($J300&lt;X$3,$I300&gt;X$2),0,IF($K300=0,IF(AND($I300&gt;=X$3,$I300&lt;=X$2),$E300,0),$E300*NETWORKDAYS(MAX($I300,X$3),MIN($J300,X$2),Data!$K$4:$K$203)/$K300)))</f>
        <v>0</v>
      </c>
      <c r="Y300" s="170">
        <f>IF(OR($I300="",$E300=0),0,IF(OR($J300&lt;Y$3,$I300&gt;Y$2),0,IF($K300=0,IF(AND($I300&gt;=Y$3,$I300&lt;=Y$2),$E300,0),$E300*NETWORKDAYS(MAX($I300,Y$3),MIN($J300,Y$2),Data!$K$4:$K$203)/$K300)))</f>
        <v>0</v>
      </c>
      <c r="Z300" s="170">
        <f>IF(OR($I300="",$E300=0),0,IF(OR($J300&lt;Z$3,$I300&gt;Z$2),0,IF($K300=0,IF(AND($I300&gt;=Z$3,$I300&lt;=Z$2),$E300,0),$E300*NETWORKDAYS(MAX($I300,Z$3),MIN($J300,Z$2),Data!$K$4:$K$203)/$K300)))</f>
        <v>0</v>
      </c>
      <c r="AA300" s="170">
        <f>IF(OR($I300="",$E300=0),0,IF(OR($J300&lt;AA$3,$I300&gt;AA$2),0,IF($K300=0,IF(AND($I300&gt;=AA$3,$I300&lt;=AA$2),$E300,0),$E300*NETWORKDAYS(MAX($I300,AA$3),MIN($J300,AA$2),Data!$K$4:$K$203)/$K300)))</f>
        <v>0</v>
      </c>
      <c r="AB300" s="170">
        <f>IF(OR($I300="",$E300=0),0,IF(OR($J300&lt;AB$3,$I300&gt;AB$2),0,IF($K300=0,IF(AND($I300&gt;=AB$3,$I300&lt;=AB$2),$E300,0),$E300*NETWORKDAYS(MAX($I300,AB$3),MIN($J300,AB$2),Data!$K$4:$K$203)/$K300)))</f>
        <v>0</v>
      </c>
      <c r="AC300" s="170">
        <f>IF(OR($I300="",$E300=0),0,IF(OR($J300&lt;AC$3,$I300&gt;AC$2),0,IF($K300=0,IF(AND($I300&gt;=AC$3,$I300&lt;=AC$2),$E300,0),$E300*NETWORKDAYS(MAX($I300,AC$3),MIN($J300,AC$2),Data!$K$4:$K$203)/$K300)))</f>
        <v>0</v>
      </c>
      <c r="AD300" s="170">
        <f>IF(OR($I300="",$E300=0),0,IF(OR($J300&lt;AD$3,$I300&gt;AD$2),0,IF($K300=0,IF(AND($I300&gt;=AD$3,$I300&lt;=AD$2),$E300,0),$E300*NETWORKDAYS(MAX($I300,AD$3),MIN($J300,AD$2),Data!$K$4:$K$203)/$K300)))</f>
        <v>0</v>
      </c>
      <c r="AE300" s="170">
        <f>IF(OR($I300="",$E300=0),0,IF(OR($J300&lt;AE$3,$I300&gt;AE$2),0,IF($K300=0,IF(AND($I300&gt;=AE$3,$I300&lt;=AE$2),$E300,0),$E300*NETWORKDAYS(MAX($I300,AE$3),MIN($J300,AE$2),Data!$K$4:$K$203)/$K300)))</f>
        <v>0</v>
      </c>
      <c r="AF300" s="170">
        <f>IF(OR($I300="",$E300=0),0,IF(OR($J300&lt;AF$3,$I300&gt;AF$2),0,IF($K300=0,IF(AND($I300&gt;=AF$3,$I300&lt;=AF$2),$E300,0),$E300*NETWORKDAYS(MAX($I300,AF$3),MIN($J300,AF$2),Data!$K$4:$K$203)/$K300)))</f>
        <v>0</v>
      </c>
      <c r="AG300" s="170">
        <f>IF(OR($I300="",$E300=0),0,IF(OR($J300&lt;AG$3,$I300&gt;AG$2),0,IF($K300=0,IF(AND($I300&gt;=AG$3,$I300&lt;=AG$2),$E300,0),$E300*NETWORKDAYS(MAX($I300,AG$3),MIN($J300,AG$2),Data!$K$4:$K$203)/$K300)))</f>
        <v>0</v>
      </c>
      <c r="AH300" s="170">
        <f>IF(OR($I300="",$E300=0),0,IF(OR($J300&lt;AH$3,$I300&gt;AH$2),0,IF($K300=0,IF(AND($I300&gt;=AH$3,$I300&lt;=AH$2),$E300,0),$E300*NETWORKDAYS(MAX($I300,AH$3),MIN($J300,AH$2),Data!$K$4:$K$203)/$K300)))</f>
        <v>0</v>
      </c>
      <c r="AI300" s="170">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70"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4" t="str">
        <f>IF(EO300=1,IF(FH300&gt;0,FI300/FH300,AVERAGEIF($FF$4:$FF$503,EN300,$C$4:$C$503)),"")</f>
        <v/>
      </c>
      <c r="EV300" s="169">
        <f>IF(ISNUMBER(I300),I300,2958465)</f>
        <v>2958465.0</v>
      </c>
      <c r="EW300" s="169" t="str">
        <f>IF(EO300=1,SUMPRODUCT(MIN(($EN$4:$EN$503=EN300)*$EV$4:$EV$503+($EN$4:$EN$503&lt;&gt;EN300)*2958465)),"")</f>
        <v/>
      </c>
      <c r="EX300" s="169">
        <f>IF(AND(D300=1,ISNUMBER(INDEX(Charge!$F:$F,ROW()))),INDEX(Charge!$F:$F,ROW()),0)</f>
        <v>0.0</v>
      </c>
      <c r="EY300" s="169"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c r="FF300" t="str">
        <f>IF(B300=1,LEFT(SUBSTITUTE(SUBSTITUTE(SUBSTITUTE(TRIM(SUBSTITUTE(INDEX(Charge!$B:$B,ROW()),CHAR(160)," "))&amp;" | "&amp;TRIM(SUBSTITUTE(INDEX(Charge!$C:$C,ROW()),CHAR(160)," "))&amp;" | "&amp;TRIM(SUBSTITUTE(INDEX(Charge!$D:$D,ROW()),CHAR(160)," ")),"~","-"),"*","+"),"?","!"),240),"")</f>
        <v/>
      </c>
      <c r="FG300">
        <f>IF(B300=1,MAX(0,N(INDEX(Charge!$M:$M,ROW()))),0)</f>
        <v>0</v>
      </c>
      <c r="FH300" s="170" t="str">
        <f>IF(EO300=1,ROUND(SUMIF($FF$4:$FF$503,EN300,$FG$4:$FG$503),2),"")</f>
        <v/>
      </c>
      <c r="FI300" s="170" t="str">
        <f>IF(EO300=1,ROUND(SUMPRODUCT(($FF$4:$FF$503=EN300)*$FG$4:$FG$503*$C$4:$C$503),2),"")</f>
        <v/>
      </c>
      <c r="FJ300" s="170" t="str">
        <f>IF(EO300=1,MAX(0,ROUND(FH300-FI300,2)),"")</f>
        <v/>
      </c>
      <c r="FK300" s="174" t="str">
        <f>IF(EO300=1,IF(OR(EW300&gt;=2958465,EY300=0,EY300&lt;=EW300),"",IF(TODAY()&lt;=EW300,0,IF(TODAY()&gt;EY300,1,IFERROR(NETWORKDAYS(EW300,TODAY()-1,Data!$K$4:$K$203)/NETWORKDAYS(EW300,EY300,Data!$K$4:$K$203),"")))),"")</f>
        <v/>
      </c>
      <c r="FL300" t="str">
        <f>IF(EO300=1,IF(AND(EY300&gt;0,EY300&lt;TODAY(),ROUND(EU300,4)&lt;1),2,IF(FK300="",0,IF(ROUND(EU300-FK300,4)&lt;-0.15,1,0))),"")</f>
        <v/>
      </c>
      <c r="FM300">
        <f>IF(OR(FA300="",COUNTIF($FA$4:FA299,FA300)&gt;0),0,MAX(0,IF(FB300="Interne",IF(ISNUMBER(INDEX(Data!$F:$F,300)),INDEX(Data!$F:$F,300),p_HeuresETP),IF(ISNUMBER(INDEX(Data!$I:$I,300-$CD$23)),INDEX(Data!$I:$I,300-$CD$23),p_HeuresETP))-IF(FB300="Interne",IF(ISNUMBER(INDEX(Data!$G:$G,300)),INDEX(Data!$G:$G,300),p_ChargeFixe),IF(ISNUMBER(INDEX(Data!$J:$J,300-$CD$23)),INDEX(Data!$J:$J,300-$CD$23),p_ChargeFixe))))</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9" t="str">
        <f>IF(AND(D301=1,ISNUMBER(INDEX(Charge!$N:$N,ROW()))),INDEX(Charge!$N:$N,ROW()),"")</f>
        <v/>
      </c>
      <c r="J301" s="169"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70">
        <f>IF(OR($I301="",$E301=0),0,IF(OR($J301&lt;W$3,$I301&gt;W$2),0,IF($K301=0,IF(AND($I301&gt;=W$3,$I301&lt;=W$2),$E301,0),$E301*NETWORKDAYS(MAX($I301,W$3),MIN($J301,W$2),Data!$K$4:$K$203)/$K301)))</f>
        <v>0</v>
      </c>
      <c r="X301" s="170">
        <f>IF(OR($I301="",$E301=0),0,IF(OR($J301&lt;X$3,$I301&gt;X$2),0,IF($K301=0,IF(AND($I301&gt;=X$3,$I301&lt;=X$2),$E301,0),$E301*NETWORKDAYS(MAX($I301,X$3),MIN($J301,X$2),Data!$K$4:$K$203)/$K301)))</f>
        <v>0</v>
      </c>
      <c r="Y301" s="170">
        <f>IF(OR($I301="",$E301=0),0,IF(OR($J301&lt;Y$3,$I301&gt;Y$2),0,IF($K301=0,IF(AND($I301&gt;=Y$3,$I301&lt;=Y$2),$E301,0),$E301*NETWORKDAYS(MAX($I301,Y$3),MIN($J301,Y$2),Data!$K$4:$K$203)/$K301)))</f>
        <v>0</v>
      </c>
      <c r="Z301" s="170">
        <f>IF(OR($I301="",$E301=0),0,IF(OR($J301&lt;Z$3,$I301&gt;Z$2),0,IF($K301=0,IF(AND($I301&gt;=Z$3,$I301&lt;=Z$2),$E301,0),$E301*NETWORKDAYS(MAX($I301,Z$3),MIN($J301,Z$2),Data!$K$4:$K$203)/$K301)))</f>
        <v>0</v>
      </c>
      <c r="AA301" s="170">
        <f>IF(OR($I301="",$E301=0),0,IF(OR($J301&lt;AA$3,$I301&gt;AA$2),0,IF($K301=0,IF(AND($I301&gt;=AA$3,$I301&lt;=AA$2),$E301,0),$E301*NETWORKDAYS(MAX($I301,AA$3),MIN($J301,AA$2),Data!$K$4:$K$203)/$K301)))</f>
        <v>0</v>
      </c>
      <c r="AB301" s="170">
        <f>IF(OR($I301="",$E301=0),0,IF(OR($J301&lt;AB$3,$I301&gt;AB$2),0,IF($K301=0,IF(AND($I301&gt;=AB$3,$I301&lt;=AB$2),$E301,0),$E301*NETWORKDAYS(MAX($I301,AB$3),MIN($J301,AB$2),Data!$K$4:$K$203)/$K301)))</f>
        <v>0</v>
      </c>
      <c r="AC301" s="170">
        <f>IF(OR($I301="",$E301=0),0,IF(OR($J301&lt;AC$3,$I301&gt;AC$2),0,IF($K301=0,IF(AND($I301&gt;=AC$3,$I301&lt;=AC$2),$E301,0),$E301*NETWORKDAYS(MAX($I301,AC$3),MIN($J301,AC$2),Data!$K$4:$K$203)/$K301)))</f>
        <v>0</v>
      </c>
      <c r="AD301" s="170">
        <f>IF(OR($I301="",$E301=0),0,IF(OR($J301&lt;AD$3,$I301&gt;AD$2),0,IF($K301=0,IF(AND($I301&gt;=AD$3,$I301&lt;=AD$2),$E301,0),$E301*NETWORKDAYS(MAX($I301,AD$3),MIN($J301,AD$2),Data!$K$4:$K$203)/$K301)))</f>
        <v>0</v>
      </c>
      <c r="AE301" s="170">
        <f>IF(OR($I301="",$E301=0),0,IF(OR($J301&lt;AE$3,$I301&gt;AE$2),0,IF($K301=0,IF(AND($I301&gt;=AE$3,$I301&lt;=AE$2),$E301,0),$E301*NETWORKDAYS(MAX($I301,AE$3),MIN($J301,AE$2),Data!$K$4:$K$203)/$K301)))</f>
        <v>0</v>
      </c>
      <c r="AF301" s="170">
        <f>IF(OR($I301="",$E301=0),0,IF(OR($J301&lt;AF$3,$I301&gt;AF$2),0,IF($K301=0,IF(AND($I301&gt;=AF$3,$I301&lt;=AF$2),$E301,0),$E301*NETWORKDAYS(MAX($I301,AF$3),MIN($J301,AF$2),Data!$K$4:$K$203)/$K301)))</f>
        <v>0</v>
      </c>
      <c r="AG301" s="170">
        <f>IF(OR($I301="",$E301=0),0,IF(OR($J301&lt;AG$3,$I301&gt;AG$2),0,IF($K301=0,IF(AND($I301&gt;=AG$3,$I301&lt;=AG$2),$E301,0),$E301*NETWORKDAYS(MAX($I301,AG$3),MIN($J301,AG$2),Data!$K$4:$K$203)/$K301)))</f>
        <v>0</v>
      </c>
      <c r="AH301" s="170">
        <f>IF(OR($I301="",$E301=0),0,IF(OR($J301&lt;AH$3,$I301&gt;AH$2),0,IF($K301=0,IF(AND($I301&gt;=AH$3,$I301&lt;=AH$2),$E301,0),$E301*NETWORKDAYS(MAX($I301,AH$3),MIN($J301,AH$2),Data!$K$4:$K$203)/$K301)))</f>
        <v>0</v>
      </c>
      <c r="AI301" s="170">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70"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4" t="str">
        <f>IF(EO301=1,IF(FH301&gt;0,FI301/FH301,AVERAGEIF($FF$4:$FF$503,EN301,$C$4:$C$503)),"")</f>
        <v/>
      </c>
      <c r="EV301" s="169">
        <f>IF(ISNUMBER(I301),I301,2958465)</f>
        <v>2958465.0</v>
      </c>
      <c r="EW301" s="169" t="str">
        <f>IF(EO301=1,SUMPRODUCT(MIN(($EN$4:$EN$503=EN301)*$EV$4:$EV$503+($EN$4:$EN$503&lt;&gt;EN301)*2958465)),"")</f>
        <v/>
      </c>
      <c r="EX301" s="169">
        <f>IF(AND(D301=1,ISNUMBER(INDEX(Charge!$F:$F,ROW()))),INDEX(Charge!$F:$F,ROW()),0)</f>
        <v>0.0</v>
      </c>
      <c r="EY301" s="169"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c r="FF301" t="str">
        <f>IF(B301=1,LEFT(SUBSTITUTE(SUBSTITUTE(SUBSTITUTE(TRIM(SUBSTITUTE(INDEX(Charge!$B:$B,ROW()),CHAR(160)," "))&amp;" | "&amp;TRIM(SUBSTITUTE(INDEX(Charge!$C:$C,ROW()),CHAR(160)," "))&amp;" | "&amp;TRIM(SUBSTITUTE(INDEX(Charge!$D:$D,ROW()),CHAR(160)," ")),"~","-"),"*","+"),"?","!"),240),"")</f>
        <v/>
      </c>
      <c r="FG301">
        <f>IF(B301=1,MAX(0,N(INDEX(Charge!$M:$M,ROW()))),0)</f>
        <v>0</v>
      </c>
      <c r="FH301" s="170" t="str">
        <f>IF(EO301=1,ROUND(SUMIF($FF$4:$FF$503,EN301,$FG$4:$FG$503),2),"")</f>
        <v/>
      </c>
      <c r="FI301" s="170" t="str">
        <f>IF(EO301=1,ROUND(SUMPRODUCT(($FF$4:$FF$503=EN301)*$FG$4:$FG$503*$C$4:$C$503),2),"")</f>
        <v/>
      </c>
      <c r="FJ301" s="170" t="str">
        <f>IF(EO301=1,MAX(0,ROUND(FH301-FI301,2)),"")</f>
        <v/>
      </c>
      <c r="FK301" s="174" t="str">
        <f>IF(EO301=1,IF(OR(EW301&gt;=2958465,EY301=0,EY301&lt;=EW301),"",IF(TODAY()&lt;=EW301,0,IF(TODAY()&gt;EY301,1,IFERROR(NETWORKDAYS(EW301,TODAY()-1,Data!$K$4:$K$203)/NETWORKDAYS(EW301,EY301,Data!$K$4:$K$203),"")))),"")</f>
        <v/>
      </c>
      <c r="FL301" t="str">
        <f>IF(EO301=1,IF(AND(EY301&gt;0,EY301&lt;TODAY(),ROUND(EU301,4)&lt;1),2,IF(FK301="",0,IF(ROUND(EU301-FK301,4)&lt;-0.15,1,0))),"")</f>
        <v/>
      </c>
      <c r="FM301">
        <f>IF(OR(FA301="",COUNTIF($FA$4:FA300,FA301)&gt;0),0,MAX(0,IF(FB301="Interne",IF(ISNUMBER(INDEX(Data!$F:$F,301)),INDEX(Data!$F:$F,301),p_HeuresETP),IF(ISNUMBER(INDEX(Data!$I:$I,301-$CD$23)),INDEX(Data!$I:$I,301-$CD$23),p_HeuresETP))-IF(FB301="Interne",IF(ISNUMBER(INDEX(Data!$G:$G,301)),INDEX(Data!$G:$G,301),p_ChargeFixe),IF(ISNUMBER(INDEX(Data!$J:$J,301-$CD$23)),INDEX(Data!$J:$J,301-$CD$23),p_ChargeFixe))))</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9" t="str">
        <f>IF(AND(D302=1,ISNUMBER(INDEX(Charge!$N:$N,ROW()))),INDEX(Charge!$N:$N,ROW()),"")</f>
        <v/>
      </c>
      <c r="J302" s="169"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70">
        <f>IF(OR($I302="",$E302=0),0,IF(OR($J302&lt;W$3,$I302&gt;W$2),0,IF($K302=0,IF(AND($I302&gt;=W$3,$I302&lt;=W$2),$E302,0),$E302*NETWORKDAYS(MAX($I302,W$3),MIN($J302,W$2),Data!$K$4:$K$203)/$K302)))</f>
        <v>0</v>
      </c>
      <c r="X302" s="170">
        <f>IF(OR($I302="",$E302=0),0,IF(OR($J302&lt;X$3,$I302&gt;X$2),0,IF($K302=0,IF(AND($I302&gt;=X$3,$I302&lt;=X$2),$E302,0),$E302*NETWORKDAYS(MAX($I302,X$3),MIN($J302,X$2),Data!$K$4:$K$203)/$K302)))</f>
        <v>0</v>
      </c>
      <c r="Y302" s="170">
        <f>IF(OR($I302="",$E302=0),0,IF(OR($J302&lt;Y$3,$I302&gt;Y$2),0,IF($K302=0,IF(AND($I302&gt;=Y$3,$I302&lt;=Y$2),$E302,0),$E302*NETWORKDAYS(MAX($I302,Y$3),MIN($J302,Y$2),Data!$K$4:$K$203)/$K302)))</f>
        <v>0</v>
      </c>
      <c r="Z302" s="170">
        <f>IF(OR($I302="",$E302=0),0,IF(OR($J302&lt;Z$3,$I302&gt;Z$2),0,IF($K302=0,IF(AND($I302&gt;=Z$3,$I302&lt;=Z$2),$E302,0),$E302*NETWORKDAYS(MAX($I302,Z$3),MIN($J302,Z$2),Data!$K$4:$K$203)/$K302)))</f>
        <v>0</v>
      </c>
      <c r="AA302" s="170">
        <f>IF(OR($I302="",$E302=0),0,IF(OR($J302&lt;AA$3,$I302&gt;AA$2),0,IF($K302=0,IF(AND($I302&gt;=AA$3,$I302&lt;=AA$2),$E302,0),$E302*NETWORKDAYS(MAX($I302,AA$3),MIN($J302,AA$2),Data!$K$4:$K$203)/$K302)))</f>
        <v>0</v>
      </c>
      <c r="AB302" s="170">
        <f>IF(OR($I302="",$E302=0),0,IF(OR($J302&lt;AB$3,$I302&gt;AB$2),0,IF($K302=0,IF(AND($I302&gt;=AB$3,$I302&lt;=AB$2),$E302,0),$E302*NETWORKDAYS(MAX($I302,AB$3),MIN($J302,AB$2),Data!$K$4:$K$203)/$K302)))</f>
        <v>0</v>
      </c>
      <c r="AC302" s="170">
        <f>IF(OR($I302="",$E302=0),0,IF(OR($J302&lt;AC$3,$I302&gt;AC$2),0,IF($K302=0,IF(AND($I302&gt;=AC$3,$I302&lt;=AC$2),$E302,0),$E302*NETWORKDAYS(MAX($I302,AC$3),MIN($J302,AC$2),Data!$K$4:$K$203)/$K302)))</f>
        <v>0</v>
      </c>
      <c r="AD302" s="170">
        <f>IF(OR($I302="",$E302=0),0,IF(OR($J302&lt;AD$3,$I302&gt;AD$2),0,IF($K302=0,IF(AND($I302&gt;=AD$3,$I302&lt;=AD$2),$E302,0),$E302*NETWORKDAYS(MAX($I302,AD$3),MIN($J302,AD$2),Data!$K$4:$K$203)/$K302)))</f>
        <v>0</v>
      </c>
      <c r="AE302" s="170">
        <f>IF(OR($I302="",$E302=0),0,IF(OR($J302&lt;AE$3,$I302&gt;AE$2),0,IF($K302=0,IF(AND($I302&gt;=AE$3,$I302&lt;=AE$2),$E302,0),$E302*NETWORKDAYS(MAX($I302,AE$3),MIN($J302,AE$2),Data!$K$4:$K$203)/$K302)))</f>
        <v>0</v>
      </c>
      <c r="AF302" s="170">
        <f>IF(OR($I302="",$E302=0),0,IF(OR($J302&lt;AF$3,$I302&gt;AF$2),0,IF($K302=0,IF(AND($I302&gt;=AF$3,$I302&lt;=AF$2),$E302,0),$E302*NETWORKDAYS(MAX($I302,AF$3),MIN($J302,AF$2),Data!$K$4:$K$203)/$K302)))</f>
        <v>0</v>
      </c>
      <c r="AG302" s="170">
        <f>IF(OR($I302="",$E302=0),0,IF(OR($J302&lt;AG$3,$I302&gt;AG$2),0,IF($K302=0,IF(AND($I302&gt;=AG$3,$I302&lt;=AG$2),$E302,0),$E302*NETWORKDAYS(MAX($I302,AG$3),MIN($J302,AG$2),Data!$K$4:$K$203)/$K302)))</f>
        <v>0</v>
      </c>
      <c r="AH302" s="170">
        <f>IF(OR($I302="",$E302=0),0,IF(OR($J302&lt;AH$3,$I302&gt;AH$2),0,IF($K302=0,IF(AND($I302&gt;=AH$3,$I302&lt;=AH$2),$E302,0),$E302*NETWORKDAYS(MAX($I302,AH$3),MIN($J302,AH$2),Data!$K$4:$K$203)/$K302)))</f>
        <v>0</v>
      </c>
      <c r="AI302" s="170">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70"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4" t="str">
        <f>IF(EO302=1,IF(FH302&gt;0,FI302/FH302,AVERAGEIF($FF$4:$FF$503,EN302,$C$4:$C$503)),"")</f>
        <v/>
      </c>
      <c r="EV302" s="169">
        <f>IF(ISNUMBER(I302),I302,2958465)</f>
        <v>2958465.0</v>
      </c>
      <c r="EW302" s="169" t="str">
        <f>IF(EO302=1,SUMPRODUCT(MIN(($EN$4:$EN$503=EN302)*$EV$4:$EV$503+($EN$4:$EN$503&lt;&gt;EN302)*2958465)),"")</f>
        <v/>
      </c>
      <c r="EX302" s="169">
        <f>IF(AND(D302=1,ISNUMBER(INDEX(Charge!$F:$F,ROW()))),INDEX(Charge!$F:$F,ROW()),0)</f>
        <v>0.0</v>
      </c>
      <c r="EY302" s="169"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c r="FF302" t="str">
        <f>IF(B302=1,LEFT(SUBSTITUTE(SUBSTITUTE(SUBSTITUTE(TRIM(SUBSTITUTE(INDEX(Charge!$B:$B,ROW()),CHAR(160)," "))&amp;" | "&amp;TRIM(SUBSTITUTE(INDEX(Charge!$C:$C,ROW()),CHAR(160)," "))&amp;" | "&amp;TRIM(SUBSTITUTE(INDEX(Charge!$D:$D,ROW()),CHAR(160)," ")),"~","-"),"*","+"),"?","!"),240),"")</f>
        <v/>
      </c>
      <c r="FG302">
        <f>IF(B302=1,MAX(0,N(INDEX(Charge!$M:$M,ROW()))),0)</f>
        <v>0</v>
      </c>
      <c r="FH302" s="170" t="str">
        <f>IF(EO302=1,ROUND(SUMIF($FF$4:$FF$503,EN302,$FG$4:$FG$503),2),"")</f>
        <v/>
      </c>
      <c r="FI302" s="170" t="str">
        <f>IF(EO302=1,ROUND(SUMPRODUCT(($FF$4:$FF$503=EN302)*$FG$4:$FG$503*$C$4:$C$503),2),"")</f>
        <v/>
      </c>
      <c r="FJ302" s="170" t="str">
        <f>IF(EO302=1,MAX(0,ROUND(FH302-FI302,2)),"")</f>
        <v/>
      </c>
      <c r="FK302" s="174" t="str">
        <f>IF(EO302=1,IF(OR(EW302&gt;=2958465,EY302=0,EY302&lt;=EW302),"",IF(TODAY()&lt;=EW302,0,IF(TODAY()&gt;EY302,1,IFERROR(NETWORKDAYS(EW302,TODAY()-1,Data!$K$4:$K$203)/NETWORKDAYS(EW302,EY302,Data!$K$4:$K$203),"")))),"")</f>
        <v/>
      </c>
      <c r="FL302" t="str">
        <f>IF(EO302=1,IF(AND(EY302&gt;0,EY302&lt;TODAY(),ROUND(EU302,4)&lt;1),2,IF(FK302="",0,IF(ROUND(EU302-FK302,4)&lt;-0.15,1,0))),"")</f>
        <v/>
      </c>
      <c r="FM302">
        <f>IF(OR(FA302="",COUNTIF($FA$4:FA301,FA302)&gt;0),0,MAX(0,IF(FB302="Interne",IF(ISNUMBER(INDEX(Data!$F:$F,302)),INDEX(Data!$F:$F,302),p_HeuresETP),IF(ISNUMBER(INDEX(Data!$I:$I,302-$CD$23)),INDEX(Data!$I:$I,302-$CD$23),p_HeuresETP))-IF(FB302="Interne",IF(ISNUMBER(INDEX(Data!$G:$G,302)),INDEX(Data!$G:$G,302),p_ChargeFixe),IF(ISNUMBER(INDEX(Data!$J:$J,302-$CD$23)),INDEX(Data!$J:$J,302-$CD$23),p_ChargeFixe))))</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9" t="str">
        <f>IF(AND(D303=1,ISNUMBER(INDEX(Charge!$N:$N,ROW()))),INDEX(Charge!$N:$N,ROW()),"")</f>
        <v/>
      </c>
      <c r="J303" s="169"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70">
        <f>IF(OR($I303="",$E303=0),0,IF(OR($J303&lt;W$3,$I303&gt;W$2),0,IF($K303=0,IF(AND($I303&gt;=W$3,$I303&lt;=W$2),$E303,0),$E303*NETWORKDAYS(MAX($I303,W$3),MIN($J303,W$2),Data!$K$4:$K$203)/$K303)))</f>
        <v>0</v>
      </c>
      <c r="X303" s="170">
        <f>IF(OR($I303="",$E303=0),0,IF(OR($J303&lt;X$3,$I303&gt;X$2),0,IF($K303=0,IF(AND($I303&gt;=X$3,$I303&lt;=X$2),$E303,0),$E303*NETWORKDAYS(MAX($I303,X$3),MIN($J303,X$2),Data!$K$4:$K$203)/$K303)))</f>
        <v>0</v>
      </c>
      <c r="Y303" s="170">
        <f>IF(OR($I303="",$E303=0),0,IF(OR($J303&lt;Y$3,$I303&gt;Y$2),0,IF($K303=0,IF(AND($I303&gt;=Y$3,$I303&lt;=Y$2),$E303,0),$E303*NETWORKDAYS(MAX($I303,Y$3),MIN($J303,Y$2),Data!$K$4:$K$203)/$K303)))</f>
        <v>0</v>
      </c>
      <c r="Z303" s="170">
        <f>IF(OR($I303="",$E303=0),0,IF(OR($J303&lt;Z$3,$I303&gt;Z$2),0,IF($K303=0,IF(AND($I303&gt;=Z$3,$I303&lt;=Z$2),$E303,0),$E303*NETWORKDAYS(MAX($I303,Z$3),MIN($J303,Z$2),Data!$K$4:$K$203)/$K303)))</f>
        <v>0</v>
      </c>
      <c r="AA303" s="170">
        <f>IF(OR($I303="",$E303=0),0,IF(OR($J303&lt;AA$3,$I303&gt;AA$2),0,IF($K303=0,IF(AND($I303&gt;=AA$3,$I303&lt;=AA$2),$E303,0),$E303*NETWORKDAYS(MAX($I303,AA$3),MIN($J303,AA$2),Data!$K$4:$K$203)/$K303)))</f>
        <v>0</v>
      </c>
      <c r="AB303" s="170">
        <f>IF(OR($I303="",$E303=0),0,IF(OR($J303&lt;AB$3,$I303&gt;AB$2),0,IF($K303=0,IF(AND($I303&gt;=AB$3,$I303&lt;=AB$2),$E303,0),$E303*NETWORKDAYS(MAX($I303,AB$3),MIN($J303,AB$2),Data!$K$4:$K$203)/$K303)))</f>
        <v>0</v>
      </c>
      <c r="AC303" s="170">
        <f>IF(OR($I303="",$E303=0),0,IF(OR($J303&lt;AC$3,$I303&gt;AC$2),0,IF($K303=0,IF(AND($I303&gt;=AC$3,$I303&lt;=AC$2),$E303,0),$E303*NETWORKDAYS(MAX($I303,AC$3),MIN($J303,AC$2),Data!$K$4:$K$203)/$K303)))</f>
        <v>0</v>
      </c>
      <c r="AD303" s="170">
        <f>IF(OR($I303="",$E303=0),0,IF(OR($J303&lt;AD$3,$I303&gt;AD$2),0,IF($K303=0,IF(AND($I303&gt;=AD$3,$I303&lt;=AD$2),$E303,0),$E303*NETWORKDAYS(MAX($I303,AD$3),MIN($J303,AD$2),Data!$K$4:$K$203)/$K303)))</f>
        <v>0</v>
      </c>
      <c r="AE303" s="170">
        <f>IF(OR($I303="",$E303=0),0,IF(OR($J303&lt;AE$3,$I303&gt;AE$2),0,IF($K303=0,IF(AND($I303&gt;=AE$3,$I303&lt;=AE$2),$E303,0),$E303*NETWORKDAYS(MAX($I303,AE$3),MIN($J303,AE$2),Data!$K$4:$K$203)/$K303)))</f>
        <v>0</v>
      </c>
      <c r="AF303" s="170">
        <f>IF(OR($I303="",$E303=0),0,IF(OR($J303&lt;AF$3,$I303&gt;AF$2),0,IF($K303=0,IF(AND($I303&gt;=AF$3,$I303&lt;=AF$2),$E303,0),$E303*NETWORKDAYS(MAX($I303,AF$3),MIN($J303,AF$2),Data!$K$4:$K$203)/$K303)))</f>
        <v>0</v>
      </c>
      <c r="AG303" s="170">
        <f>IF(OR($I303="",$E303=0),0,IF(OR($J303&lt;AG$3,$I303&gt;AG$2),0,IF($K303=0,IF(AND($I303&gt;=AG$3,$I303&lt;=AG$2),$E303,0),$E303*NETWORKDAYS(MAX($I303,AG$3),MIN($J303,AG$2),Data!$K$4:$K$203)/$K303)))</f>
        <v>0</v>
      </c>
      <c r="AH303" s="170">
        <f>IF(OR($I303="",$E303=0),0,IF(OR($J303&lt;AH$3,$I303&gt;AH$2),0,IF($K303=0,IF(AND($I303&gt;=AH$3,$I303&lt;=AH$2),$E303,0),$E303*NETWORKDAYS(MAX($I303,AH$3),MIN($J303,AH$2),Data!$K$4:$K$203)/$K303)))</f>
        <v>0</v>
      </c>
      <c r="AI303" s="170">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70"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4" t="str">
        <f>IF(EO303=1,IF(FH303&gt;0,FI303/FH303,AVERAGEIF($FF$4:$FF$503,EN303,$C$4:$C$503)),"")</f>
        <v/>
      </c>
      <c r="EV303" s="169">
        <f>IF(ISNUMBER(I303),I303,2958465)</f>
        <v>2958465.0</v>
      </c>
      <c r="EW303" s="169" t="str">
        <f>IF(EO303=1,SUMPRODUCT(MIN(($EN$4:$EN$503=EN303)*$EV$4:$EV$503+($EN$4:$EN$503&lt;&gt;EN303)*2958465)),"")</f>
        <v/>
      </c>
      <c r="EX303" s="169">
        <f>IF(AND(D303=1,ISNUMBER(INDEX(Charge!$F:$F,ROW()))),INDEX(Charge!$F:$F,ROW()),0)</f>
        <v>0.0</v>
      </c>
      <c r="EY303" s="169"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c r="FF303" t="str">
        <f>IF(B303=1,LEFT(SUBSTITUTE(SUBSTITUTE(SUBSTITUTE(TRIM(SUBSTITUTE(INDEX(Charge!$B:$B,ROW()),CHAR(160)," "))&amp;" | "&amp;TRIM(SUBSTITUTE(INDEX(Charge!$C:$C,ROW()),CHAR(160)," "))&amp;" | "&amp;TRIM(SUBSTITUTE(INDEX(Charge!$D:$D,ROW()),CHAR(160)," ")),"~","-"),"*","+"),"?","!"),240),"")</f>
        <v/>
      </c>
      <c r="FG303">
        <f>IF(B303=1,MAX(0,N(INDEX(Charge!$M:$M,ROW()))),0)</f>
        <v>0</v>
      </c>
      <c r="FH303" s="170" t="str">
        <f>IF(EO303=1,ROUND(SUMIF($FF$4:$FF$503,EN303,$FG$4:$FG$503),2),"")</f>
        <v/>
      </c>
      <c r="FI303" s="170" t="str">
        <f>IF(EO303=1,ROUND(SUMPRODUCT(($FF$4:$FF$503=EN303)*$FG$4:$FG$503*$C$4:$C$503),2),"")</f>
        <v/>
      </c>
      <c r="FJ303" s="170" t="str">
        <f>IF(EO303=1,MAX(0,ROUND(FH303-FI303,2)),"")</f>
        <v/>
      </c>
      <c r="FK303" s="174" t="str">
        <f>IF(EO303=1,IF(OR(EW303&gt;=2958465,EY303=0,EY303&lt;=EW303),"",IF(TODAY()&lt;=EW303,0,IF(TODAY()&gt;EY303,1,IFERROR(NETWORKDAYS(EW303,TODAY()-1,Data!$K$4:$K$203)/NETWORKDAYS(EW303,EY303,Data!$K$4:$K$203),"")))),"")</f>
        <v/>
      </c>
      <c r="FL303" t="str">
        <f>IF(EO303=1,IF(AND(EY303&gt;0,EY303&lt;TODAY(),ROUND(EU303,4)&lt;1),2,IF(FK303="",0,IF(ROUND(EU303-FK303,4)&lt;-0.15,1,0))),"")</f>
        <v/>
      </c>
      <c r="FM303">
        <f>IF(OR(FA303="",COUNTIF($FA$4:FA302,FA303)&gt;0),0,MAX(0,IF(FB303="Interne",IF(ISNUMBER(INDEX(Data!$F:$F,303)),INDEX(Data!$F:$F,303),p_HeuresETP),IF(ISNUMBER(INDEX(Data!$I:$I,303-$CD$23)),INDEX(Data!$I:$I,303-$CD$23),p_HeuresETP))-IF(FB303="Interne",IF(ISNUMBER(INDEX(Data!$G:$G,303)),INDEX(Data!$G:$G,303),p_ChargeFixe),IF(ISNUMBER(INDEX(Data!$J:$J,303-$CD$23)),INDEX(Data!$J:$J,303-$CD$23),p_ChargeFixe))))</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9" t="str">
        <f>IF(AND(D304=1,ISNUMBER(INDEX(Charge!$N:$N,ROW()))),INDEX(Charge!$N:$N,ROW()),"")</f>
        <v/>
      </c>
      <c r="J304" s="169"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70">
        <f>IF(OR($I304="",$E304=0),0,IF(OR($J304&lt;W$3,$I304&gt;W$2),0,IF($K304=0,IF(AND($I304&gt;=W$3,$I304&lt;=W$2),$E304,0),$E304*NETWORKDAYS(MAX($I304,W$3),MIN($J304,W$2),Data!$K$4:$K$203)/$K304)))</f>
        <v>0</v>
      </c>
      <c r="X304" s="170">
        <f>IF(OR($I304="",$E304=0),0,IF(OR($J304&lt;X$3,$I304&gt;X$2),0,IF($K304=0,IF(AND($I304&gt;=X$3,$I304&lt;=X$2),$E304,0),$E304*NETWORKDAYS(MAX($I304,X$3),MIN($J304,X$2),Data!$K$4:$K$203)/$K304)))</f>
        <v>0</v>
      </c>
      <c r="Y304" s="170">
        <f>IF(OR($I304="",$E304=0),0,IF(OR($J304&lt;Y$3,$I304&gt;Y$2),0,IF($K304=0,IF(AND($I304&gt;=Y$3,$I304&lt;=Y$2),$E304,0),$E304*NETWORKDAYS(MAX($I304,Y$3),MIN($J304,Y$2),Data!$K$4:$K$203)/$K304)))</f>
        <v>0</v>
      </c>
      <c r="Z304" s="170">
        <f>IF(OR($I304="",$E304=0),0,IF(OR($J304&lt;Z$3,$I304&gt;Z$2),0,IF($K304=0,IF(AND($I304&gt;=Z$3,$I304&lt;=Z$2),$E304,0),$E304*NETWORKDAYS(MAX($I304,Z$3),MIN($J304,Z$2),Data!$K$4:$K$203)/$K304)))</f>
        <v>0</v>
      </c>
      <c r="AA304" s="170">
        <f>IF(OR($I304="",$E304=0),0,IF(OR($J304&lt;AA$3,$I304&gt;AA$2),0,IF($K304=0,IF(AND($I304&gt;=AA$3,$I304&lt;=AA$2),$E304,0),$E304*NETWORKDAYS(MAX($I304,AA$3),MIN($J304,AA$2),Data!$K$4:$K$203)/$K304)))</f>
        <v>0</v>
      </c>
      <c r="AB304" s="170">
        <f>IF(OR($I304="",$E304=0),0,IF(OR($J304&lt;AB$3,$I304&gt;AB$2),0,IF($K304=0,IF(AND($I304&gt;=AB$3,$I304&lt;=AB$2),$E304,0),$E304*NETWORKDAYS(MAX($I304,AB$3),MIN($J304,AB$2),Data!$K$4:$K$203)/$K304)))</f>
        <v>0</v>
      </c>
      <c r="AC304" s="170">
        <f>IF(OR($I304="",$E304=0),0,IF(OR($J304&lt;AC$3,$I304&gt;AC$2),0,IF($K304=0,IF(AND($I304&gt;=AC$3,$I304&lt;=AC$2),$E304,0),$E304*NETWORKDAYS(MAX($I304,AC$3),MIN($J304,AC$2),Data!$K$4:$K$203)/$K304)))</f>
        <v>0</v>
      </c>
      <c r="AD304" s="170">
        <f>IF(OR($I304="",$E304=0),0,IF(OR($J304&lt;AD$3,$I304&gt;AD$2),0,IF($K304=0,IF(AND($I304&gt;=AD$3,$I304&lt;=AD$2),$E304,0),$E304*NETWORKDAYS(MAX($I304,AD$3),MIN($J304,AD$2),Data!$K$4:$K$203)/$K304)))</f>
        <v>0</v>
      </c>
      <c r="AE304" s="170">
        <f>IF(OR($I304="",$E304=0),0,IF(OR($J304&lt;AE$3,$I304&gt;AE$2),0,IF($K304=0,IF(AND($I304&gt;=AE$3,$I304&lt;=AE$2),$E304,0),$E304*NETWORKDAYS(MAX($I304,AE$3),MIN($J304,AE$2),Data!$K$4:$K$203)/$K304)))</f>
        <v>0</v>
      </c>
      <c r="AF304" s="170">
        <f>IF(OR($I304="",$E304=0),0,IF(OR($J304&lt;AF$3,$I304&gt;AF$2),0,IF($K304=0,IF(AND($I304&gt;=AF$3,$I304&lt;=AF$2),$E304,0),$E304*NETWORKDAYS(MAX($I304,AF$3),MIN($J304,AF$2),Data!$K$4:$K$203)/$K304)))</f>
        <v>0</v>
      </c>
      <c r="AG304" s="170">
        <f>IF(OR($I304="",$E304=0),0,IF(OR($J304&lt;AG$3,$I304&gt;AG$2),0,IF($K304=0,IF(AND($I304&gt;=AG$3,$I304&lt;=AG$2),$E304,0),$E304*NETWORKDAYS(MAX($I304,AG$3),MIN($J304,AG$2),Data!$K$4:$K$203)/$K304)))</f>
        <v>0</v>
      </c>
      <c r="AH304" s="170">
        <f>IF(OR($I304="",$E304=0),0,IF(OR($J304&lt;AH$3,$I304&gt;AH$2),0,IF($K304=0,IF(AND($I304&gt;=AH$3,$I304&lt;=AH$2),$E304,0),$E304*NETWORKDAYS(MAX($I304,AH$3),MIN($J304,AH$2),Data!$K$4:$K$203)/$K304)))</f>
        <v>0</v>
      </c>
      <c r="AI304" s="170">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70"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4" t="str">
        <f>IF(EO304=1,IF(FH304&gt;0,FI304/FH304,AVERAGEIF($FF$4:$FF$503,EN304,$C$4:$C$503)),"")</f>
        <v/>
      </c>
      <c r="EV304" s="169">
        <f>IF(ISNUMBER(I304),I304,2958465)</f>
        <v>2958465.0</v>
      </c>
      <c r="EW304" s="169" t="str">
        <f>IF(EO304=1,SUMPRODUCT(MIN(($EN$4:$EN$503=EN304)*$EV$4:$EV$503+($EN$4:$EN$503&lt;&gt;EN304)*2958465)),"")</f>
        <v/>
      </c>
      <c r="EX304" s="169">
        <f>IF(AND(D304=1,ISNUMBER(INDEX(Charge!$F:$F,ROW()))),INDEX(Charge!$F:$F,ROW()),0)</f>
        <v>0.0</v>
      </c>
      <c r="EY304" s="169"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c r="FF304" t="str">
        <f>IF(B304=1,LEFT(SUBSTITUTE(SUBSTITUTE(SUBSTITUTE(TRIM(SUBSTITUTE(INDEX(Charge!$B:$B,ROW()),CHAR(160)," "))&amp;" | "&amp;TRIM(SUBSTITUTE(INDEX(Charge!$C:$C,ROW()),CHAR(160)," "))&amp;" | "&amp;TRIM(SUBSTITUTE(INDEX(Charge!$D:$D,ROW()),CHAR(160)," ")),"~","-"),"*","+"),"?","!"),240),"")</f>
        <v/>
      </c>
      <c r="FG304">
        <f>IF(B304=1,MAX(0,N(INDEX(Charge!$M:$M,ROW()))),0)</f>
        <v>0</v>
      </c>
      <c r="FH304" s="170" t="str">
        <f>IF(EO304=1,ROUND(SUMIF($FF$4:$FF$503,EN304,$FG$4:$FG$503),2),"")</f>
        <v/>
      </c>
      <c r="FI304" s="170" t="str">
        <f>IF(EO304=1,ROUND(SUMPRODUCT(($FF$4:$FF$503=EN304)*$FG$4:$FG$503*$C$4:$C$503),2),"")</f>
        <v/>
      </c>
      <c r="FJ304" s="170" t="str">
        <f>IF(EO304=1,MAX(0,ROUND(FH304-FI304,2)),"")</f>
        <v/>
      </c>
      <c r="FK304" s="174" t="str">
        <f>IF(EO304=1,IF(OR(EW304&gt;=2958465,EY304=0,EY304&lt;=EW304),"",IF(TODAY()&lt;=EW304,0,IF(TODAY()&gt;EY304,1,IFERROR(NETWORKDAYS(EW304,TODAY()-1,Data!$K$4:$K$203)/NETWORKDAYS(EW304,EY304,Data!$K$4:$K$203),"")))),"")</f>
        <v/>
      </c>
      <c r="FL304" t="str">
        <f>IF(EO304=1,IF(AND(EY304&gt;0,EY304&lt;TODAY(),ROUND(EU304,4)&lt;1),2,IF(FK304="",0,IF(ROUND(EU304-FK304,4)&lt;-0.15,1,0))),"")</f>
        <v/>
      </c>
      <c r="FM304">
        <f>IF(OR(FA304="",COUNTIF($FA$4:FA303,FA304)&gt;0),0,MAX(0,IF(FB304="Interne",IF(ISNUMBER(INDEX(Data!$F:$F,304)),INDEX(Data!$F:$F,304),p_HeuresETP),IF(ISNUMBER(INDEX(Data!$I:$I,304-$CD$23)),INDEX(Data!$I:$I,304-$CD$23),p_HeuresETP))-IF(FB304="Interne",IF(ISNUMBER(INDEX(Data!$G:$G,304)),INDEX(Data!$G:$G,304),p_ChargeFixe),IF(ISNUMBER(INDEX(Data!$J:$J,304-$CD$23)),INDEX(Data!$J:$J,304-$CD$23),p_ChargeFixe))))</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9" t="str">
        <f>IF(AND(D305=1,ISNUMBER(INDEX(Charge!$N:$N,ROW()))),INDEX(Charge!$N:$N,ROW()),"")</f>
        <v/>
      </c>
      <c r="J305" s="169"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70">
        <f>IF(OR($I305="",$E305=0),0,IF(OR($J305&lt;W$3,$I305&gt;W$2),0,IF($K305=0,IF(AND($I305&gt;=W$3,$I305&lt;=W$2),$E305,0),$E305*NETWORKDAYS(MAX($I305,W$3),MIN($J305,W$2),Data!$K$4:$K$203)/$K305)))</f>
        <v>0</v>
      </c>
      <c r="X305" s="170">
        <f>IF(OR($I305="",$E305=0),0,IF(OR($J305&lt;X$3,$I305&gt;X$2),0,IF($K305=0,IF(AND($I305&gt;=X$3,$I305&lt;=X$2),$E305,0),$E305*NETWORKDAYS(MAX($I305,X$3),MIN($J305,X$2),Data!$K$4:$K$203)/$K305)))</f>
        <v>0</v>
      </c>
      <c r="Y305" s="170">
        <f>IF(OR($I305="",$E305=0),0,IF(OR($J305&lt;Y$3,$I305&gt;Y$2),0,IF($K305=0,IF(AND($I305&gt;=Y$3,$I305&lt;=Y$2),$E305,0),$E305*NETWORKDAYS(MAX($I305,Y$3),MIN($J305,Y$2),Data!$K$4:$K$203)/$K305)))</f>
        <v>0</v>
      </c>
      <c r="Z305" s="170">
        <f>IF(OR($I305="",$E305=0),0,IF(OR($J305&lt;Z$3,$I305&gt;Z$2),0,IF($K305=0,IF(AND($I305&gt;=Z$3,$I305&lt;=Z$2),$E305,0),$E305*NETWORKDAYS(MAX($I305,Z$3),MIN($J305,Z$2),Data!$K$4:$K$203)/$K305)))</f>
        <v>0</v>
      </c>
      <c r="AA305" s="170">
        <f>IF(OR($I305="",$E305=0),0,IF(OR($J305&lt;AA$3,$I305&gt;AA$2),0,IF($K305=0,IF(AND($I305&gt;=AA$3,$I305&lt;=AA$2),$E305,0),$E305*NETWORKDAYS(MAX($I305,AA$3),MIN($J305,AA$2),Data!$K$4:$K$203)/$K305)))</f>
        <v>0</v>
      </c>
      <c r="AB305" s="170">
        <f>IF(OR($I305="",$E305=0),0,IF(OR($J305&lt;AB$3,$I305&gt;AB$2),0,IF($K305=0,IF(AND($I305&gt;=AB$3,$I305&lt;=AB$2),$E305,0),$E305*NETWORKDAYS(MAX($I305,AB$3),MIN($J305,AB$2),Data!$K$4:$K$203)/$K305)))</f>
        <v>0</v>
      </c>
      <c r="AC305" s="170">
        <f>IF(OR($I305="",$E305=0),0,IF(OR($J305&lt;AC$3,$I305&gt;AC$2),0,IF($K305=0,IF(AND($I305&gt;=AC$3,$I305&lt;=AC$2),$E305,0),$E305*NETWORKDAYS(MAX($I305,AC$3),MIN($J305,AC$2),Data!$K$4:$K$203)/$K305)))</f>
        <v>0</v>
      </c>
      <c r="AD305" s="170">
        <f>IF(OR($I305="",$E305=0),0,IF(OR($J305&lt;AD$3,$I305&gt;AD$2),0,IF($K305=0,IF(AND($I305&gt;=AD$3,$I305&lt;=AD$2),$E305,0),$E305*NETWORKDAYS(MAX($I305,AD$3),MIN($J305,AD$2),Data!$K$4:$K$203)/$K305)))</f>
        <v>0</v>
      </c>
      <c r="AE305" s="170">
        <f>IF(OR($I305="",$E305=0),0,IF(OR($J305&lt;AE$3,$I305&gt;AE$2),0,IF($K305=0,IF(AND($I305&gt;=AE$3,$I305&lt;=AE$2),$E305,0),$E305*NETWORKDAYS(MAX($I305,AE$3),MIN($J305,AE$2),Data!$K$4:$K$203)/$K305)))</f>
        <v>0</v>
      </c>
      <c r="AF305" s="170">
        <f>IF(OR($I305="",$E305=0),0,IF(OR($J305&lt;AF$3,$I305&gt;AF$2),0,IF($K305=0,IF(AND($I305&gt;=AF$3,$I305&lt;=AF$2),$E305,0),$E305*NETWORKDAYS(MAX($I305,AF$3),MIN($J305,AF$2),Data!$K$4:$K$203)/$K305)))</f>
        <v>0</v>
      </c>
      <c r="AG305" s="170">
        <f>IF(OR($I305="",$E305=0),0,IF(OR($J305&lt;AG$3,$I305&gt;AG$2),0,IF($K305=0,IF(AND($I305&gt;=AG$3,$I305&lt;=AG$2),$E305,0),$E305*NETWORKDAYS(MAX($I305,AG$3),MIN($J305,AG$2),Data!$K$4:$K$203)/$K305)))</f>
        <v>0</v>
      </c>
      <c r="AH305" s="170">
        <f>IF(OR($I305="",$E305=0),0,IF(OR($J305&lt;AH$3,$I305&gt;AH$2),0,IF($K305=0,IF(AND($I305&gt;=AH$3,$I305&lt;=AH$2),$E305,0),$E305*NETWORKDAYS(MAX($I305,AH$3),MIN($J305,AH$2),Data!$K$4:$K$203)/$K305)))</f>
        <v>0</v>
      </c>
      <c r="AI305" s="170">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70"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4" t="str">
        <f>IF(EO305=1,IF(FH305&gt;0,FI305/FH305,AVERAGEIF($FF$4:$FF$503,EN305,$C$4:$C$503)),"")</f>
        <v/>
      </c>
      <c r="EV305" s="169">
        <f>IF(ISNUMBER(I305),I305,2958465)</f>
        <v>2958465.0</v>
      </c>
      <c r="EW305" s="169" t="str">
        <f>IF(EO305=1,SUMPRODUCT(MIN(($EN$4:$EN$503=EN305)*$EV$4:$EV$503+($EN$4:$EN$503&lt;&gt;EN305)*2958465)),"")</f>
        <v/>
      </c>
      <c r="EX305" s="169">
        <f>IF(AND(D305=1,ISNUMBER(INDEX(Charge!$F:$F,ROW()))),INDEX(Charge!$F:$F,ROW()),0)</f>
        <v>0.0</v>
      </c>
      <c r="EY305" s="169"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c r="FF305" t="str">
        <f>IF(B305=1,LEFT(SUBSTITUTE(SUBSTITUTE(SUBSTITUTE(TRIM(SUBSTITUTE(INDEX(Charge!$B:$B,ROW()),CHAR(160)," "))&amp;" | "&amp;TRIM(SUBSTITUTE(INDEX(Charge!$C:$C,ROW()),CHAR(160)," "))&amp;" | "&amp;TRIM(SUBSTITUTE(INDEX(Charge!$D:$D,ROW()),CHAR(160)," ")),"~","-"),"*","+"),"?","!"),240),"")</f>
        <v/>
      </c>
      <c r="FG305">
        <f>IF(B305=1,MAX(0,N(INDEX(Charge!$M:$M,ROW()))),0)</f>
        <v>0</v>
      </c>
      <c r="FH305" s="170" t="str">
        <f>IF(EO305=1,ROUND(SUMIF($FF$4:$FF$503,EN305,$FG$4:$FG$503),2),"")</f>
        <v/>
      </c>
      <c r="FI305" s="170" t="str">
        <f>IF(EO305=1,ROUND(SUMPRODUCT(($FF$4:$FF$503=EN305)*$FG$4:$FG$503*$C$4:$C$503),2),"")</f>
        <v/>
      </c>
      <c r="FJ305" s="170" t="str">
        <f>IF(EO305=1,MAX(0,ROUND(FH305-FI305,2)),"")</f>
        <v/>
      </c>
      <c r="FK305" s="174" t="str">
        <f>IF(EO305=1,IF(OR(EW305&gt;=2958465,EY305=0,EY305&lt;=EW305),"",IF(TODAY()&lt;=EW305,0,IF(TODAY()&gt;EY305,1,IFERROR(NETWORKDAYS(EW305,TODAY()-1,Data!$K$4:$K$203)/NETWORKDAYS(EW305,EY305,Data!$K$4:$K$203),"")))),"")</f>
        <v/>
      </c>
      <c r="FL305" t="str">
        <f>IF(EO305=1,IF(AND(EY305&gt;0,EY305&lt;TODAY(),ROUND(EU305,4)&lt;1),2,IF(FK305="",0,IF(ROUND(EU305-FK305,4)&lt;-0.15,1,0))),"")</f>
        <v/>
      </c>
      <c r="FM305">
        <f>IF(OR(FA305="",COUNTIF($FA$4:FA304,FA305)&gt;0),0,MAX(0,IF(FB305="Interne",IF(ISNUMBER(INDEX(Data!$F:$F,305)),INDEX(Data!$F:$F,305),p_HeuresETP),IF(ISNUMBER(INDEX(Data!$I:$I,305-$CD$23)),INDEX(Data!$I:$I,305-$CD$23),p_HeuresETP))-IF(FB305="Interne",IF(ISNUMBER(INDEX(Data!$G:$G,305)),INDEX(Data!$G:$G,305),p_ChargeFixe),IF(ISNUMBER(INDEX(Data!$J:$J,305-$CD$23)),INDEX(Data!$J:$J,305-$CD$23),p_ChargeFixe))))</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9" t="str">
        <f>IF(AND(D306=1,ISNUMBER(INDEX(Charge!$N:$N,ROW()))),INDEX(Charge!$N:$N,ROW()),"")</f>
        <v/>
      </c>
      <c r="J306" s="169"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70">
        <f>IF(OR($I306="",$E306=0),0,IF(OR($J306&lt;W$3,$I306&gt;W$2),0,IF($K306=0,IF(AND($I306&gt;=W$3,$I306&lt;=W$2),$E306,0),$E306*NETWORKDAYS(MAX($I306,W$3),MIN($J306,W$2),Data!$K$4:$K$203)/$K306)))</f>
        <v>0</v>
      </c>
      <c r="X306" s="170">
        <f>IF(OR($I306="",$E306=0),0,IF(OR($J306&lt;X$3,$I306&gt;X$2),0,IF($K306=0,IF(AND($I306&gt;=X$3,$I306&lt;=X$2),$E306,0),$E306*NETWORKDAYS(MAX($I306,X$3),MIN($J306,X$2),Data!$K$4:$K$203)/$K306)))</f>
        <v>0</v>
      </c>
      <c r="Y306" s="170">
        <f>IF(OR($I306="",$E306=0),0,IF(OR($J306&lt;Y$3,$I306&gt;Y$2),0,IF($K306=0,IF(AND($I306&gt;=Y$3,$I306&lt;=Y$2),$E306,0),$E306*NETWORKDAYS(MAX($I306,Y$3),MIN($J306,Y$2),Data!$K$4:$K$203)/$K306)))</f>
        <v>0</v>
      </c>
      <c r="Z306" s="170">
        <f>IF(OR($I306="",$E306=0),0,IF(OR($J306&lt;Z$3,$I306&gt;Z$2),0,IF($K306=0,IF(AND($I306&gt;=Z$3,$I306&lt;=Z$2),$E306,0),$E306*NETWORKDAYS(MAX($I306,Z$3),MIN($J306,Z$2),Data!$K$4:$K$203)/$K306)))</f>
        <v>0</v>
      </c>
      <c r="AA306" s="170">
        <f>IF(OR($I306="",$E306=0),0,IF(OR($J306&lt;AA$3,$I306&gt;AA$2),0,IF($K306=0,IF(AND($I306&gt;=AA$3,$I306&lt;=AA$2),$E306,0),$E306*NETWORKDAYS(MAX($I306,AA$3),MIN($J306,AA$2),Data!$K$4:$K$203)/$K306)))</f>
        <v>0</v>
      </c>
      <c r="AB306" s="170">
        <f>IF(OR($I306="",$E306=0),0,IF(OR($J306&lt;AB$3,$I306&gt;AB$2),0,IF($K306=0,IF(AND($I306&gt;=AB$3,$I306&lt;=AB$2),$E306,0),$E306*NETWORKDAYS(MAX($I306,AB$3),MIN($J306,AB$2),Data!$K$4:$K$203)/$K306)))</f>
        <v>0</v>
      </c>
      <c r="AC306" s="170">
        <f>IF(OR($I306="",$E306=0),0,IF(OR($J306&lt;AC$3,$I306&gt;AC$2),0,IF($K306=0,IF(AND($I306&gt;=AC$3,$I306&lt;=AC$2),$E306,0),$E306*NETWORKDAYS(MAX($I306,AC$3),MIN($J306,AC$2),Data!$K$4:$K$203)/$K306)))</f>
        <v>0</v>
      </c>
      <c r="AD306" s="170">
        <f>IF(OR($I306="",$E306=0),0,IF(OR($J306&lt;AD$3,$I306&gt;AD$2),0,IF($K306=0,IF(AND($I306&gt;=AD$3,$I306&lt;=AD$2),$E306,0),$E306*NETWORKDAYS(MAX($I306,AD$3),MIN($J306,AD$2),Data!$K$4:$K$203)/$K306)))</f>
        <v>0</v>
      </c>
      <c r="AE306" s="170">
        <f>IF(OR($I306="",$E306=0),0,IF(OR($J306&lt;AE$3,$I306&gt;AE$2),0,IF($K306=0,IF(AND($I306&gt;=AE$3,$I306&lt;=AE$2),$E306,0),$E306*NETWORKDAYS(MAX($I306,AE$3),MIN($J306,AE$2),Data!$K$4:$K$203)/$K306)))</f>
        <v>0</v>
      </c>
      <c r="AF306" s="170">
        <f>IF(OR($I306="",$E306=0),0,IF(OR($J306&lt;AF$3,$I306&gt;AF$2),0,IF($K306=0,IF(AND($I306&gt;=AF$3,$I306&lt;=AF$2),$E306,0),$E306*NETWORKDAYS(MAX($I306,AF$3),MIN($J306,AF$2),Data!$K$4:$K$203)/$K306)))</f>
        <v>0</v>
      </c>
      <c r="AG306" s="170">
        <f>IF(OR($I306="",$E306=0),0,IF(OR($J306&lt;AG$3,$I306&gt;AG$2),0,IF($K306=0,IF(AND($I306&gt;=AG$3,$I306&lt;=AG$2),$E306,0),$E306*NETWORKDAYS(MAX($I306,AG$3),MIN($J306,AG$2),Data!$K$4:$K$203)/$K306)))</f>
        <v>0</v>
      </c>
      <c r="AH306" s="170">
        <f>IF(OR($I306="",$E306=0),0,IF(OR($J306&lt;AH$3,$I306&gt;AH$2),0,IF($K306=0,IF(AND($I306&gt;=AH$3,$I306&lt;=AH$2),$E306,0),$E306*NETWORKDAYS(MAX($I306,AH$3),MIN($J306,AH$2),Data!$K$4:$K$203)/$K306)))</f>
        <v>0</v>
      </c>
      <c r="AI306" s="170">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70"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4" t="str">
        <f>IF(EO306=1,IF(FH306&gt;0,FI306/FH306,AVERAGEIF($FF$4:$FF$503,EN306,$C$4:$C$503)),"")</f>
        <v/>
      </c>
      <c r="EV306" s="169">
        <f>IF(ISNUMBER(I306),I306,2958465)</f>
        <v>2958465.0</v>
      </c>
      <c r="EW306" s="169" t="str">
        <f>IF(EO306=1,SUMPRODUCT(MIN(($EN$4:$EN$503=EN306)*$EV$4:$EV$503+($EN$4:$EN$503&lt;&gt;EN306)*2958465)),"")</f>
        <v/>
      </c>
      <c r="EX306" s="169">
        <f>IF(AND(D306=1,ISNUMBER(INDEX(Charge!$F:$F,ROW()))),INDEX(Charge!$F:$F,ROW()),0)</f>
        <v>0.0</v>
      </c>
      <c r="EY306" s="169"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c r="FF306" t="str">
        <f>IF(B306=1,LEFT(SUBSTITUTE(SUBSTITUTE(SUBSTITUTE(TRIM(SUBSTITUTE(INDEX(Charge!$B:$B,ROW()),CHAR(160)," "))&amp;" | "&amp;TRIM(SUBSTITUTE(INDEX(Charge!$C:$C,ROW()),CHAR(160)," "))&amp;" | "&amp;TRIM(SUBSTITUTE(INDEX(Charge!$D:$D,ROW()),CHAR(160)," ")),"~","-"),"*","+"),"?","!"),240),"")</f>
        <v/>
      </c>
      <c r="FG306">
        <f>IF(B306=1,MAX(0,N(INDEX(Charge!$M:$M,ROW()))),0)</f>
        <v>0</v>
      </c>
      <c r="FH306" s="170" t="str">
        <f>IF(EO306=1,ROUND(SUMIF($FF$4:$FF$503,EN306,$FG$4:$FG$503),2),"")</f>
        <v/>
      </c>
      <c r="FI306" s="170" t="str">
        <f>IF(EO306=1,ROUND(SUMPRODUCT(($FF$4:$FF$503=EN306)*$FG$4:$FG$503*$C$4:$C$503),2),"")</f>
        <v/>
      </c>
      <c r="FJ306" s="170" t="str">
        <f>IF(EO306=1,MAX(0,ROUND(FH306-FI306,2)),"")</f>
        <v/>
      </c>
      <c r="FK306" s="174" t="str">
        <f>IF(EO306=1,IF(OR(EW306&gt;=2958465,EY306=0,EY306&lt;=EW306),"",IF(TODAY()&lt;=EW306,0,IF(TODAY()&gt;EY306,1,IFERROR(NETWORKDAYS(EW306,TODAY()-1,Data!$K$4:$K$203)/NETWORKDAYS(EW306,EY306,Data!$K$4:$K$203),"")))),"")</f>
        <v/>
      </c>
      <c r="FL306" t="str">
        <f>IF(EO306=1,IF(AND(EY306&gt;0,EY306&lt;TODAY(),ROUND(EU306,4)&lt;1),2,IF(FK306="",0,IF(ROUND(EU306-FK306,4)&lt;-0.15,1,0))),"")</f>
        <v/>
      </c>
      <c r="FM306">
        <f>IF(OR(FA306="",COUNTIF($FA$4:FA305,FA306)&gt;0),0,MAX(0,IF(FB306="Interne",IF(ISNUMBER(INDEX(Data!$F:$F,306)),INDEX(Data!$F:$F,306),p_HeuresETP),IF(ISNUMBER(INDEX(Data!$I:$I,306-$CD$23)),INDEX(Data!$I:$I,306-$CD$23),p_HeuresETP))-IF(FB306="Interne",IF(ISNUMBER(INDEX(Data!$G:$G,306)),INDEX(Data!$G:$G,306),p_ChargeFixe),IF(ISNUMBER(INDEX(Data!$J:$J,306-$CD$23)),INDEX(Data!$J:$J,306-$CD$23),p_ChargeFixe))))</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9" t="str">
        <f>IF(AND(D307=1,ISNUMBER(INDEX(Charge!$N:$N,ROW()))),INDEX(Charge!$N:$N,ROW()),"")</f>
        <v/>
      </c>
      <c r="J307" s="169"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70">
        <f>IF(OR($I307="",$E307=0),0,IF(OR($J307&lt;W$3,$I307&gt;W$2),0,IF($K307=0,IF(AND($I307&gt;=W$3,$I307&lt;=W$2),$E307,0),$E307*NETWORKDAYS(MAX($I307,W$3),MIN($J307,W$2),Data!$K$4:$K$203)/$K307)))</f>
        <v>0</v>
      </c>
      <c r="X307" s="170">
        <f>IF(OR($I307="",$E307=0),0,IF(OR($J307&lt;X$3,$I307&gt;X$2),0,IF($K307=0,IF(AND($I307&gt;=X$3,$I307&lt;=X$2),$E307,0),$E307*NETWORKDAYS(MAX($I307,X$3),MIN($J307,X$2),Data!$K$4:$K$203)/$K307)))</f>
        <v>0</v>
      </c>
      <c r="Y307" s="170">
        <f>IF(OR($I307="",$E307=0),0,IF(OR($J307&lt;Y$3,$I307&gt;Y$2),0,IF($K307=0,IF(AND($I307&gt;=Y$3,$I307&lt;=Y$2),$E307,0),$E307*NETWORKDAYS(MAX($I307,Y$3),MIN($J307,Y$2),Data!$K$4:$K$203)/$K307)))</f>
        <v>0</v>
      </c>
      <c r="Z307" s="170">
        <f>IF(OR($I307="",$E307=0),0,IF(OR($J307&lt;Z$3,$I307&gt;Z$2),0,IF($K307=0,IF(AND($I307&gt;=Z$3,$I307&lt;=Z$2),$E307,0),$E307*NETWORKDAYS(MAX($I307,Z$3),MIN($J307,Z$2),Data!$K$4:$K$203)/$K307)))</f>
        <v>0</v>
      </c>
      <c r="AA307" s="170">
        <f>IF(OR($I307="",$E307=0),0,IF(OR($J307&lt;AA$3,$I307&gt;AA$2),0,IF($K307=0,IF(AND($I307&gt;=AA$3,$I307&lt;=AA$2),$E307,0),$E307*NETWORKDAYS(MAX($I307,AA$3),MIN($J307,AA$2),Data!$K$4:$K$203)/$K307)))</f>
        <v>0</v>
      </c>
      <c r="AB307" s="170">
        <f>IF(OR($I307="",$E307=0),0,IF(OR($J307&lt;AB$3,$I307&gt;AB$2),0,IF($K307=0,IF(AND($I307&gt;=AB$3,$I307&lt;=AB$2),$E307,0),$E307*NETWORKDAYS(MAX($I307,AB$3),MIN($J307,AB$2),Data!$K$4:$K$203)/$K307)))</f>
        <v>0</v>
      </c>
      <c r="AC307" s="170">
        <f>IF(OR($I307="",$E307=0),0,IF(OR($J307&lt;AC$3,$I307&gt;AC$2),0,IF($K307=0,IF(AND($I307&gt;=AC$3,$I307&lt;=AC$2),$E307,0),$E307*NETWORKDAYS(MAX($I307,AC$3),MIN($J307,AC$2),Data!$K$4:$K$203)/$K307)))</f>
        <v>0</v>
      </c>
      <c r="AD307" s="170">
        <f>IF(OR($I307="",$E307=0),0,IF(OR($J307&lt;AD$3,$I307&gt;AD$2),0,IF($K307=0,IF(AND($I307&gt;=AD$3,$I307&lt;=AD$2),$E307,0),$E307*NETWORKDAYS(MAX($I307,AD$3),MIN($J307,AD$2),Data!$K$4:$K$203)/$K307)))</f>
        <v>0</v>
      </c>
      <c r="AE307" s="170">
        <f>IF(OR($I307="",$E307=0),0,IF(OR($J307&lt;AE$3,$I307&gt;AE$2),0,IF($K307=0,IF(AND($I307&gt;=AE$3,$I307&lt;=AE$2),$E307,0),$E307*NETWORKDAYS(MAX($I307,AE$3),MIN($J307,AE$2),Data!$K$4:$K$203)/$K307)))</f>
        <v>0</v>
      </c>
      <c r="AF307" s="170">
        <f>IF(OR($I307="",$E307=0),0,IF(OR($J307&lt;AF$3,$I307&gt;AF$2),0,IF($K307=0,IF(AND($I307&gt;=AF$3,$I307&lt;=AF$2),$E307,0),$E307*NETWORKDAYS(MAX($I307,AF$3),MIN($J307,AF$2),Data!$K$4:$K$203)/$K307)))</f>
        <v>0</v>
      </c>
      <c r="AG307" s="170">
        <f>IF(OR($I307="",$E307=0),0,IF(OR($J307&lt;AG$3,$I307&gt;AG$2),0,IF($K307=0,IF(AND($I307&gt;=AG$3,$I307&lt;=AG$2),$E307,0),$E307*NETWORKDAYS(MAX($I307,AG$3),MIN($J307,AG$2),Data!$K$4:$K$203)/$K307)))</f>
        <v>0</v>
      </c>
      <c r="AH307" s="170">
        <f>IF(OR($I307="",$E307=0),0,IF(OR($J307&lt;AH$3,$I307&gt;AH$2),0,IF($K307=0,IF(AND($I307&gt;=AH$3,$I307&lt;=AH$2),$E307,0),$E307*NETWORKDAYS(MAX($I307,AH$3),MIN($J307,AH$2),Data!$K$4:$K$203)/$K307)))</f>
        <v>0</v>
      </c>
      <c r="AI307" s="170">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70"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4" t="str">
        <f>IF(EO307=1,IF(FH307&gt;0,FI307/FH307,AVERAGEIF($FF$4:$FF$503,EN307,$C$4:$C$503)),"")</f>
        <v/>
      </c>
      <c r="EV307" s="169">
        <f>IF(ISNUMBER(I307),I307,2958465)</f>
        <v>2958465.0</v>
      </c>
      <c r="EW307" s="169" t="str">
        <f>IF(EO307=1,SUMPRODUCT(MIN(($EN$4:$EN$503=EN307)*$EV$4:$EV$503+($EN$4:$EN$503&lt;&gt;EN307)*2958465)),"")</f>
        <v/>
      </c>
      <c r="EX307" s="169">
        <f>IF(AND(D307=1,ISNUMBER(INDEX(Charge!$F:$F,ROW()))),INDEX(Charge!$F:$F,ROW()),0)</f>
        <v>0.0</v>
      </c>
      <c r="EY307" s="169"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c r="FF307" t="str">
        <f>IF(B307=1,LEFT(SUBSTITUTE(SUBSTITUTE(SUBSTITUTE(TRIM(SUBSTITUTE(INDEX(Charge!$B:$B,ROW()),CHAR(160)," "))&amp;" | "&amp;TRIM(SUBSTITUTE(INDEX(Charge!$C:$C,ROW()),CHAR(160)," "))&amp;" | "&amp;TRIM(SUBSTITUTE(INDEX(Charge!$D:$D,ROW()),CHAR(160)," ")),"~","-"),"*","+"),"?","!"),240),"")</f>
        <v/>
      </c>
      <c r="FG307">
        <f>IF(B307=1,MAX(0,N(INDEX(Charge!$M:$M,ROW()))),0)</f>
        <v>0</v>
      </c>
      <c r="FH307" s="170" t="str">
        <f>IF(EO307=1,ROUND(SUMIF($FF$4:$FF$503,EN307,$FG$4:$FG$503),2),"")</f>
        <v/>
      </c>
      <c r="FI307" s="170" t="str">
        <f>IF(EO307=1,ROUND(SUMPRODUCT(($FF$4:$FF$503=EN307)*$FG$4:$FG$503*$C$4:$C$503),2),"")</f>
        <v/>
      </c>
      <c r="FJ307" s="170" t="str">
        <f>IF(EO307=1,MAX(0,ROUND(FH307-FI307,2)),"")</f>
        <v/>
      </c>
      <c r="FK307" s="174" t="str">
        <f>IF(EO307=1,IF(OR(EW307&gt;=2958465,EY307=0,EY307&lt;=EW307),"",IF(TODAY()&lt;=EW307,0,IF(TODAY()&gt;EY307,1,IFERROR(NETWORKDAYS(EW307,TODAY()-1,Data!$K$4:$K$203)/NETWORKDAYS(EW307,EY307,Data!$K$4:$K$203),"")))),"")</f>
        <v/>
      </c>
      <c r="FL307" t="str">
        <f>IF(EO307=1,IF(AND(EY307&gt;0,EY307&lt;TODAY(),ROUND(EU307,4)&lt;1),2,IF(FK307="",0,IF(ROUND(EU307-FK307,4)&lt;-0.15,1,0))),"")</f>
        <v/>
      </c>
      <c r="FM307">
        <f>IF(OR(FA307="",COUNTIF($FA$4:FA306,FA307)&gt;0),0,MAX(0,IF(FB307="Interne",IF(ISNUMBER(INDEX(Data!$F:$F,307)),INDEX(Data!$F:$F,307),p_HeuresETP),IF(ISNUMBER(INDEX(Data!$I:$I,307-$CD$23)),INDEX(Data!$I:$I,307-$CD$23),p_HeuresETP))-IF(FB307="Interne",IF(ISNUMBER(INDEX(Data!$G:$G,307)),INDEX(Data!$G:$G,307),p_ChargeFixe),IF(ISNUMBER(INDEX(Data!$J:$J,307-$CD$23)),INDEX(Data!$J:$J,307-$CD$23),p_ChargeFixe))))</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9" t="str">
        <f>IF(AND(D308=1,ISNUMBER(INDEX(Charge!$N:$N,ROW()))),INDEX(Charge!$N:$N,ROW()),"")</f>
        <v/>
      </c>
      <c r="J308" s="169"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70">
        <f>IF(OR($I308="",$E308=0),0,IF(OR($J308&lt;W$3,$I308&gt;W$2),0,IF($K308=0,IF(AND($I308&gt;=W$3,$I308&lt;=W$2),$E308,0),$E308*NETWORKDAYS(MAX($I308,W$3),MIN($J308,W$2),Data!$K$4:$K$203)/$K308)))</f>
        <v>0</v>
      </c>
      <c r="X308" s="170">
        <f>IF(OR($I308="",$E308=0),0,IF(OR($J308&lt;X$3,$I308&gt;X$2),0,IF($K308=0,IF(AND($I308&gt;=X$3,$I308&lt;=X$2),$E308,0),$E308*NETWORKDAYS(MAX($I308,X$3),MIN($J308,X$2),Data!$K$4:$K$203)/$K308)))</f>
        <v>0</v>
      </c>
      <c r="Y308" s="170">
        <f>IF(OR($I308="",$E308=0),0,IF(OR($J308&lt;Y$3,$I308&gt;Y$2),0,IF($K308=0,IF(AND($I308&gt;=Y$3,$I308&lt;=Y$2),$E308,0),$E308*NETWORKDAYS(MAX($I308,Y$3),MIN($J308,Y$2),Data!$K$4:$K$203)/$K308)))</f>
        <v>0</v>
      </c>
      <c r="Z308" s="170">
        <f>IF(OR($I308="",$E308=0),0,IF(OR($J308&lt;Z$3,$I308&gt;Z$2),0,IF($K308=0,IF(AND($I308&gt;=Z$3,$I308&lt;=Z$2),$E308,0),$E308*NETWORKDAYS(MAX($I308,Z$3),MIN($J308,Z$2),Data!$K$4:$K$203)/$K308)))</f>
        <v>0</v>
      </c>
      <c r="AA308" s="170">
        <f>IF(OR($I308="",$E308=0),0,IF(OR($J308&lt;AA$3,$I308&gt;AA$2),0,IF($K308=0,IF(AND($I308&gt;=AA$3,$I308&lt;=AA$2),$E308,0),$E308*NETWORKDAYS(MAX($I308,AA$3),MIN($J308,AA$2),Data!$K$4:$K$203)/$K308)))</f>
        <v>0</v>
      </c>
      <c r="AB308" s="170">
        <f>IF(OR($I308="",$E308=0),0,IF(OR($J308&lt;AB$3,$I308&gt;AB$2),0,IF($K308=0,IF(AND($I308&gt;=AB$3,$I308&lt;=AB$2),$E308,0),$E308*NETWORKDAYS(MAX($I308,AB$3),MIN($J308,AB$2),Data!$K$4:$K$203)/$K308)))</f>
        <v>0</v>
      </c>
      <c r="AC308" s="170">
        <f>IF(OR($I308="",$E308=0),0,IF(OR($J308&lt;AC$3,$I308&gt;AC$2),0,IF($K308=0,IF(AND($I308&gt;=AC$3,$I308&lt;=AC$2),$E308,0),$E308*NETWORKDAYS(MAX($I308,AC$3),MIN($J308,AC$2),Data!$K$4:$K$203)/$K308)))</f>
        <v>0</v>
      </c>
      <c r="AD308" s="170">
        <f>IF(OR($I308="",$E308=0),0,IF(OR($J308&lt;AD$3,$I308&gt;AD$2),0,IF($K308=0,IF(AND($I308&gt;=AD$3,$I308&lt;=AD$2),$E308,0),$E308*NETWORKDAYS(MAX($I308,AD$3),MIN($J308,AD$2),Data!$K$4:$K$203)/$K308)))</f>
        <v>0</v>
      </c>
      <c r="AE308" s="170">
        <f>IF(OR($I308="",$E308=0),0,IF(OR($J308&lt;AE$3,$I308&gt;AE$2),0,IF($K308=0,IF(AND($I308&gt;=AE$3,$I308&lt;=AE$2),$E308,0),$E308*NETWORKDAYS(MAX($I308,AE$3),MIN($J308,AE$2),Data!$K$4:$K$203)/$K308)))</f>
        <v>0</v>
      </c>
      <c r="AF308" s="170">
        <f>IF(OR($I308="",$E308=0),0,IF(OR($J308&lt;AF$3,$I308&gt;AF$2),0,IF($K308=0,IF(AND($I308&gt;=AF$3,$I308&lt;=AF$2),$E308,0),$E308*NETWORKDAYS(MAX($I308,AF$3),MIN($J308,AF$2),Data!$K$4:$K$203)/$K308)))</f>
        <v>0</v>
      </c>
      <c r="AG308" s="170">
        <f>IF(OR($I308="",$E308=0),0,IF(OR($J308&lt;AG$3,$I308&gt;AG$2),0,IF($K308=0,IF(AND($I308&gt;=AG$3,$I308&lt;=AG$2),$E308,0),$E308*NETWORKDAYS(MAX($I308,AG$3),MIN($J308,AG$2),Data!$K$4:$K$203)/$K308)))</f>
        <v>0</v>
      </c>
      <c r="AH308" s="170">
        <f>IF(OR($I308="",$E308=0),0,IF(OR($J308&lt;AH$3,$I308&gt;AH$2),0,IF($K308=0,IF(AND($I308&gt;=AH$3,$I308&lt;=AH$2),$E308,0),$E308*NETWORKDAYS(MAX($I308,AH$3),MIN($J308,AH$2),Data!$K$4:$K$203)/$K308)))</f>
        <v>0</v>
      </c>
      <c r="AI308" s="170">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70"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4" t="str">
        <f>IF(EO308=1,IF(FH308&gt;0,FI308/FH308,AVERAGEIF($FF$4:$FF$503,EN308,$C$4:$C$503)),"")</f>
        <v/>
      </c>
      <c r="EV308" s="169">
        <f>IF(ISNUMBER(I308),I308,2958465)</f>
        <v>2958465.0</v>
      </c>
      <c r="EW308" s="169" t="str">
        <f>IF(EO308=1,SUMPRODUCT(MIN(($EN$4:$EN$503=EN308)*$EV$4:$EV$503+($EN$4:$EN$503&lt;&gt;EN308)*2958465)),"")</f>
        <v/>
      </c>
      <c r="EX308" s="169">
        <f>IF(AND(D308=1,ISNUMBER(INDEX(Charge!$F:$F,ROW()))),INDEX(Charge!$F:$F,ROW()),0)</f>
        <v>0.0</v>
      </c>
      <c r="EY308" s="169"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c r="FF308" t="str">
        <f>IF(B308=1,LEFT(SUBSTITUTE(SUBSTITUTE(SUBSTITUTE(TRIM(SUBSTITUTE(INDEX(Charge!$B:$B,ROW()),CHAR(160)," "))&amp;" | "&amp;TRIM(SUBSTITUTE(INDEX(Charge!$C:$C,ROW()),CHAR(160)," "))&amp;" | "&amp;TRIM(SUBSTITUTE(INDEX(Charge!$D:$D,ROW()),CHAR(160)," ")),"~","-"),"*","+"),"?","!"),240),"")</f>
        <v/>
      </c>
      <c r="FG308">
        <f>IF(B308=1,MAX(0,N(INDEX(Charge!$M:$M,ROW()))),0)</f>
        <v>0</v>
      </c>
      <c r="FH308" s="170" t="str">
        <f>IF(EO308=1,ROUND(SUMIF($FF$4:$FF$503,EN308,$FG$4:$FG$503),2),"")</f>
        <v/>
      </c>
      <c r="FI308" s="170" t="str">
        <f>IF(EO308=1,ROUND(SUMPRODUCT(($FF$4:$FF$503=EN308)*$FG$4:$FG$503*$C$4:$C$503),2),"")</f>
        <v/>
      </c>
      <c r="FJ308" s="170" t="str">
        <f>IF(EO308=1,MAX(0,ROUND(FH308-FI308,2)),"")</f>
        <v/>
      </c>
      <c r="FK308" s="174" t="str">
        <f>IF(EO308=1,IF(OR(EW308&gt;=2958465,EY308=0,EY308&lt;=EW308),"",IF(TODAY()&lt;=EW308,0,IF(TODAY()&gt;EY308,1,IFERROR(NETWORKDAYS(EW308,TODAY()-1,Data!$K$4:$K$203)/NETWORKDAYS(EW308,EY308,Data!$K$4:$K$203),"")))),"")</f>
        <v/>
      </c>
      <c r="FL308" t="str">
        <f>IF(EO308=1,IF(AND(EY308&gt;0,EY308&lt;TODAY(),ROUND(EU308,4)&lt;1),2,IF(FK308="",0,IF(ROUND(EU308-FK308,4)&lt;-0.15,1,0))),"")</f>
        <v/>
      </c>
      <c r="FM308">
        <f>IF(OR(FA308="",COUNTIF($FA$4:FA307,FA308)&gt;0),0,MAX(0,IF(FB308="Interne",IF(ISNUMBER(INDEX(Data!$F:$F,308)),INDEX(Data!$F:$F,308),p_HeuresETP),IF(ISNUMBER(INDEX(Data!$I:$I,308-$CD$23)),INDEX(Data!$I:$I,308-$CD$23),p_HeuresETP))-IF(FB308="Interne",IF(ISNUMBER(INDEX(Data!$G:$G,308)),INDEX(Data!$G:$G,308),p_ChargeFixe),IF(ISNUMBER(INDEX(Data!$J:$J,308-$CD$23)),INDEX(Data!$J:$J,308-$CD$23),p_ChargeFixe))))</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9" t="str">
        <f>IF(AND(D309=1,ISNUMBER(INDEX(Charge!$N:$N,ROW()))),INDEX(Charge!$N:$N,ROW()),"")</f>
        <v/>
      </c>
      <c r="J309" s="169"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70">
        <f>IF(OR($I309="",$E309=0),0,IF(OR($J309&lt;W$3,$I309&gt;W$2),0,IF($K309=0,IF(AND($I309&gt;=W$3,$I309&lt;=W$2),$E309,0),$E309*NETWORKDAYS(MAX($I309,W$3),MIN($J309,W$2),Data!$K$4:$K$203)/$K309)))</f>
        <v>0</v>
      </c>
      <c r="X309" s="170">
        <f>IF(OR($I309="",$E309=0),0,IF(OR($J309&lt;X$3,$I309&gt;X$2),0,IF($K309=0,IF(AND($I309&gt;=X$3,$I309&lt;=X$2),$E309,0),$E309*NETWORKDAYS(MAX($I309,X$3),MIN($J309,X$2),Data!$K$4:$K$203)/$K309)))</f>
        <v>0</v>
      </c>
      <c r="Y309" s="170">
        <f>IF(OR($I309="",$E309=0),0,IF(OR($J309&lt;Y$3,$I309&gt;Y$2),0,IF($K309=0,IF(AND($I309&gt;=Y$3,$I309&lt;=Y$2),$E309,0),$E309*NETWORKDAYS(MAX($I309,Y$3),MIN($J309,Y$2),Data!$K$4:$K$203)/$K309)))</f>
        <v>0</v>
      </c>
      <c r="Z309" s="170">
        <f>IF(OR($I309="",$E309=0),0,IF(OR($J309&lt;Z$3,$I309&gt;Z$2),0,IF($K309=0,IF(AND($I309&gt;=Z$3,$I309&lt;=Z$2),$E309,0),$E309*NETWORKDAYS(MAX($I309,Z$3),MIN($J309,Z$2),Data!$K$4:$K$203)/$K309)))</f>
        <v>0</v>
      </c>
      <c r="AA309" s="170">
        <f>IF(OR($I309="",$E309=0),0,IF(OR($J309&lt;AA$3,$I309&gt;AA$2),0,IF($K309=0,IF(AND($I309&gt;=AA$3,$I309&lt;=AA$2),$E309,0),$E309*NETWORKDAYS(MAX($I309,AA$3),MIN($J309,AA$2),Data!$K$4:$K$203)/$K309)))</f>
        <v>0</v>
      </c>
      <c r="AB309" s="170">
        <f>IF(OR($I309="",$E309=0),0,IF(OR($J309&lt;AB$3,$I309&gt;AB$2),0,IF($K309=0,IF(AND($I309&gt;=AB$3,$I309&lt;=AB$2),$E309,0),$E309*NETWORKDAYS(MAX($I309,AB$3),MIN($J309,AB$2),Data!$K$4:$K$203)/$K309)))</f>
        <v>0</v>
      </c>
      <c r="AC309" s="170">
        <f>IF(OR($I309="",$E309=0),0,IF(OR($J309&lt;AC$3,$I309&gt;AC$2),0,IF($K309=0,IF(AND($I309&gt;=AC$3,$I309&lt;=AC$2),$E309,0),$E309*NETWORKDAYS(MAX($I309,AC$3),MIN($J309,AC$2),Data!$K$4:$K$203)/$K309)))</f>
        <v>0</v>
      </c>
      <c r="AD309" s="170">
        <f>IF(OR($I309="",$E309=0),0,IF(OR($J309&lt;AD$3,$I309&gt;AD$2),0,IF($K309=0,IF(AND($I309&gt;=AD$3,$I309&lt;=AD$2),$E309,0),$E309*NETWORKDAYS(MAX($I309,AD$3),MIN($J309,AD$2),Data!$K$4:$K$203)/$K309)))</f>
        <v>0</v>
      </c>
      <c r="AE309" s="170">
        <f>IF(OR($I309="",$E309=0),0,IF(OR($J309&lt;AE$3,$I309&gt;AE$2),0,IF($K309=0,IF(AND($I309&gt;=AE$3,$I309&lt;=AE$2),$E309,0),$E309*NETWORKDAYS(MAX($I309,AE$3),MIN($J309,AE$2),Data!$K$4:$K$203)/$K309)))</f>
        <v>0</v>
      </c>
      <c r="AF309" s="170">
        <f>IF(OR($I309="",$E309=0),0,IF(OR($J309&lt;AF$3,$I309&gt;AF$2),0,IF($K309=0,IF(AND($I309&gt;=AF$3,$I309&lt;=AF$2),$E309,0),$E309*NETWORKDAYS(MAX($I309,AF$3),MIN($J309,AF$2),Data!$K$4:$K$203)/$K309)))</f>
        <v>0</v>
      </c>
      <c r="AG309" s="170">
        <f>IF(OR($I309="",$E309=0),0,IF(OR($J309&lt;AG$3,$I309&gt;AG$2),0,IF($K309=0,IF(AND($I309&gt;=AG$3,$I309&lt;=AG$2),$E309,0),$E309*NETWORKDAYS(MAX($I309,AG$3),MIN($J309,AG$2),Data!$K$4:$K$203)/$K309)))</f>
        <v>0</v>
      </c>
      <c r="AH309" s="170">
        <f>IF(OR($I309="",$E309=0),0,IF(OR($J309&lt;AH$3,$I309&gt;AH$2),0,IF($K309=0,IF(AND($I309&gt;=AH$3,$I309&lt;=AH$2),$E309,0),$E309*NETWORKDAYS(MAX($I309,AH$3),MIN($J309,AH$2),Data!$K$4:$K$203)/$K309)))</f>
        <v>0</v>
      </c>
      <c r="AI309" s="170">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70"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4" t="str">
        <f>IF(EO309=1,IF(FH309&gt;0,FI309/FH309,AVERAGEIF($FF$4:$FF$503,EN309,$C$4:$C$503)),"")</f>
        <v/>
      </c>
      <c r="EV309" s="169">
        <f>IF(ISNUMBER(I309),I309,2958465)</f>
        <v>2958465.0</v>
      </c>
      <c r="EW309" s="169" t="str">
        <f>IF(EO309=1,SUMPRODUCT(MIN(($EN$4:$EN$503=EN309)*$EV$4:$EV$503+($EN$4:$EN$503&lt;&gt;EN309)*2958465)),"")</f>
        <v/>
      </c>
      <c r="EX309" s="169">
        <f>IF(AND(D309=1,ISNUMBER(INDEX(Charge!$F:$F,ROW()))),INDEX(Charge!$F:$F,ROW()),0)</f>
        <v>0.0</v>
      </c>
      <c r="EY309" s="169"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c r="FF309" t="str">
        <f>IF(B309=1,LEFT(SUBSTITUTE(SUBSTITUTE(SUBSTITUTE(TRIM(SUBSTITUTE(INDEX(Charge!$B:$B,ROW()),CHAR(160)," "))&amp;" | "&amp;TRIM(SUBSTITUTE(INDEX(Charge!$C:$C,ROW()),CHAR(160)," "))&amp;" | "&amp;TRIM(SUBSTITUTE(INDEX(Charge!$D:$D,ROW()),CHAR(160)," ")),"~","-"),"*","+"),"?","!"),240),"")</f>
        <v/>
      </c>
      <c r="FG309">
        <f>IF(B309=1,MAX(0,N(INDEX(Charge!$M:$M,ROW()))),0)</f>
        <v>0</v>
      </c>
      <c r="FH309" s="170" t="str">
        <f>IF(EO309=1,ROUND(SUMIF($FF$4:$FF$503,EN309,$FG$4:$FG$503),2),"")</f>
        <v/>
      </c>
      <c r="FI309" s="170" t="str">
        <f>IF(EO309=1,ROUND(SUMPRODUCT(($FF$4:$FF$503=EN309)*$FG$4:$FG$503*$C$4:$C$503),2),"")</f>
        <v/>
      </c>
      <c r="FJ309" s="170" t="str">
        <f>IF(EO309=1,MAX(0,ROUND(FH309-FI309,2)),"")</f>
        <v/>
      </c>
      <c r="FK309" s="174" t="str">
        <f>IF(EO309=1,IF(OR(EW309&gt;=2958465,EY309=0,EY309&lt;=EW309),"",IF(TODAY()&lt;=EW309,0,IF(TODAY()&gt;EY309,1,IFERROR(NETWORKDAYS(EW309,TODAY()-1,Data!$K$4:$K$203)/NETWORKDAYS(EW309,EY309,Data!$K$4:$K$203),"")))),"")</f>
        <v/>
      </c>
      <c r="FL309" t="str">
        <f>IF(EO309=1,IF(AND(EY309&gt;0,EY309&lt;TODAY(),ROUND(EU309,4)&lt;1),2,IF(FK309="",0,IF(ROUND(EU309-FK309,4)&lt;-0.15,1,0))),"")</f>
        <v/>
      </c>
      <c r="FM309">
        <f>IF(OR(FA309="",COUNTIF($FA$4:FA308,FA309)&gt;0),0,MAX(0,IF(FB309="Interne",IF(ISNUMBER(INDEX(Data!$F:$F,309)),INDEX(Data!$F:$F,309),p_HeuresETP),IF(ISNUMBER(INDEX(Data!$I:$I,309-$CD$23)),INDEX(Data!$I:$I,309-$CD$23),p_HeuresETP))-IF(FB309="Interne",IF(ISNUMBER(INDEX(Data!$G:$G,309)),INDEX(Data!$G:$G,309),p_ChargeFixe),IF(ISNUMBER(INDEX(Data!$J:$J,309-$CD$23)),INDEX(Data!$J:$J,309-$CD$23),p_ChargeFixe))))</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9" t="str">
        <f>IF(AND(D310=1,ISNUMBER(INDEX(Charge!$N:$N,ROW()))),INDEX(Charge!$N:$N,ROW()),"")</f>
        <v/>
      </c>
      <c r="J310" s="169"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70">
        <f>IF(OR($I310="",$E310=0),0,IF(OR($J310&lt;W$3,$I310&gt;W$2),0,IF($K310=0,IF(AND($I310&gt;=W$3,$I310&lt;=W$2),$E310,0),$E310*NETWORKDAYS(MAX($I310,W$3),MIN($J310,W$2),Data!$K$4:$K$203)/$K310)))</f>
        <v>0</v>
      </c>
      <c r="X310" s="170">
        <f>IF(OR($I310="",$E310=0),0,IF(OR($J310&lt;X$3,$I310&gt;X$2),0,IF($K310=0,IF(AND($I310&gt;=X$3,$I310&lt;=X$2),$E310,0),$E310*NETWORKDAYS(MAX($I310,X$3),MIN($J310,X$2),Data!$K$4:$K$203)/$K310)))</f>
        <v>0</v>
      </c>
      <c r="Y310" s="170">
        <f>IF(OR($I310="",$E310=0),0,IF(OR($J310&lt;Y$3,$I310&gt;Y$2),0,IF($K310=0,IF(AND($I310&gt;=Y$3,$I310&lt;=Y$2),$E310,0),$E310*NETWORKDAYS(MAX($I310,Y$3),MIN($J310,Y$2),Data!$K$4:$K$203)/$K310)))</f>
        <v>0</v>
      </c>
      <c r="Z310" s="170">
        <f>IF(OR($I310="",$E310=0),0,IF(OR($J310&lt;Z$3,$I310&gt;Z$2),0,IF($K310=0,IF(AND($I310&gt;=Z$3,$I310&lt;=Z$2),$E310,0),$E310*NETWORKDAYS(MAX($I310,Z$3),MIN($J310,Z$2),Data!$K$4:$K$203)/$K310)))</f>
        <v>0</v>
      </c>
      <c r="AA310" s="170">
        <f>IF(OR($I310="",$E310=0),0,IF(OR($J310&lt;AA$3,$I310&gt;AA$2),0,IF($K310=0,IF(AND($I310&gt;=AA$3,$I310&lt;=AA$2),$E310,0),$E310*NETWORKDAYS(MAX($I310,AA$3),MIN($J310,AA$2),Data!$K$4:$K$203)/$K310)))</f>
        <v>0</v>
      </c>
      <c r="AB310" s="170">
        <f>IF(OR($I310="",$E310=0),0,IF(OR($J310&lt;AB$3,$I310&gt;AB$2),0,IF($K310=0,IF(AND($I310&gt;=AB$3,$I310&lt;=AB$2),$E310,0),$E310*NETWORKDAYS(MAX($I310,AB$3),MIN($J310,AB$2),Data!$K$4:$K$203)/$K310)))</f>
        <v>0</v>
      </c>
      <c r="AC310" s="170">
        <f>IF(OR($I310="",$E310=0),0,IF(OR($J310&lt;AC$3,$I310&gt;AC$2),0,IF($K310=0,IF(AND($I310&gt;=AC$3,$I310&lt;=AC$2),$E310,0),$E310*NETWORKDAYS(MAX($I310,AC$3),MIN($J310,AC$2),Data!$K$4:$K$203)/$K310)))</f>
        <v>0</v>
      </c>
      <c r="AD310" s="170">
        <f>IF(OR($I310="",$E310=0),0,IF(OR($J310&lt;AD$3,$I310&gt;AD$2),0,IF($K310=0,IF(AND($I310&gt;=AD$3,$I310&lt;=AD$2),$E310,0),$E310*NETWORKDAYS(MAX($I310,AD$3),MIN($J310,AD$2),Data!$K$4:$K$203)/$K310)))</f>
        <v>0</v>
      </c>
      <c r="AE310" s="170">
        <f>IF(OR($I310="",$E310=0),0,IF(OR($J310&lt;AE$3,$I310&gt;AE$2),0,IF($K310=0,IF(AND($I310&gt;=AE$3,$I310&lt;=AE$2),$E310,0),$E310*NETWORKDAYS(MAX($I310,AE$3),MIN($J310,AE$2),Data!$K$4:$K$203)/$K310)))</f>
        <v>0</v>
      </c>
      <c r="AF310" s="170">
        <f>IF(OR($I310="",$E310=0),0,IF(OR($J310&lt;AF$3,$I310&gt;AF$2),0,IF($K310=0,IF(AND($I310&gt;=AF$3,$I310&lt;=AF$2),$E310,0),$E310*NETWORKDAYS(MAX($I310,AF$3),MIN($J310,AF$2),Data!$K$4:$K$203)/$K310)))</f>
        <v>0</v>
      </c>
      <c r="AG310" s="170">
        <f>IF(OR($I310="",$E310=0),0,IF(OR($J310&lt;AG$3,$I310&gt;AG$2),0,IF($K310=0,IF(AND($I310&gt;=AG$3,$I310&lt;=AG$2),$E310,0),$E310*NETWORKDAYS(MAX($I310,AG$3),MIN($J310,AG$2),Data!$K$4:$K$203)/$K310)))</f>
        <v>0</v>
      </c>
      <c r="AH310" s="170">
        <f>IF(OR($I310="",$E310=0),0,IF(OR($J310&lt;AH$3,$I310&gt;AH$2),0,IF($K310=0,IF(AND($I310&gt;=AH$3,$I310&lt;=AH$2),$E310,0),$E310*NETWORKDAYS(MAX($I310,AH$3),MIN($J310,AH$2),Data!$K$4:$K$203)/$K310)))</f>
        <v>0</v>
      </c>
      <c r="AI310" s="170">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70"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4" t="str">
        <f>IF(EO310=1,IF(FH310&gt;0,FI310/FH310,AVERAGEIF($FF$4:$FF$503,EN310,$C$4:$C$503)),"")</f>
        <v/>
      </c>
      <c r="EV310" s="169">
        <f>IF(ISNUMBER(I310),I310,2958465)</f>
        <v>2958465.0</v>
      </c>
      <c r="EW310" s="169" t="str">
        <f>IF(EO310=1,SUMPRODUCT(MIN(($EN$4:$EN$503=EN310)*$EV$4:$EV$503+($EN$4:$EN$503&lt;&gt;EN310)*2958465)),"")</f>
        <v/>
      </c>
      <c r="EX310" s="169">
        <f>IF(AND(D310=1,ISNUMBER(INDEX(Charge!$F:$F,ROW()))),INDEX(Charge!$F:$F,ROW()),0)</f>
        <v>0.0</v>
      </c>
      <c r="EY310" s="169"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c r="FF310" t="str">
        <f>IF(B310=1,LEFT(SUBSTITUTE(SUBSTITUTE(SUBSTITUTE(TRIM(SUBSTITUTE(INDEX(Charge!$B:$B,ROW()),CHAR(160)," "))&amp;" | "&amp;TRIM(SUBSTITUTE(INDEX(Charge!$C:$C,ROW()),CHAR(160)," "))&amp;" | "&amp;TRIM(SUBSTITUTE(INDEX(Charge!$D:$D,ROW()),CHAR(160)," ")),"~","-"),"*","+"),"?","!"),240),"")</f>
        <v/>
      </c>
      <c r="FG310">
        <f>IF(B310=1,MAX(0,N(INDEX(Charge!$M:$M,ROW()))),0)</f>
        <v>0</v>
      </c>
      <c r="FH310" s="170" t="str">
        <f>IF(EO310=1,ROUND(SUMIF($FF$4:$FF$503,EN310,$FG$4:$FG$503),2),"")</f>
        <v/>
      </c>
      <c r="FI310" s="170" t="str">
        <f>IF(EO310=1,ROUND(SUMPRODUCT(($FF$4:$FF$503=EN310)*$FG$4:$FG$503*$C$4:$C$503),2),"")</f>
        <v/>
      </c>
      <c r="FJ310" s="170" t="str">
        <f>IF(EO310=1,MAX(0,ROUND(FH310-FI310,2)),"")</f>
        <v/>
      </c>
      <c r="FK310" s="174" t="str">
        <f>IF(EO310=1,IF(OR(EW310&gt;=2958465,EY310=0,EY310&lt;=EW310),"",IF(TODAY()&lt;=EW310,0,IF(TODAY()&gt;EY310,1,IFERROR(NETWORKDAYS(EW310,TODAY()-1,Data!$K$4:$K$203)/NETWORKDAYS(EW310,EY310,Data!$K$4:$K$203),"")))),"")</f>
        <v/>
      </c>
      <c r="FL310" t="str">
        <f>IF(EO310=1,IF(AND(EY310&gt;0,EY310&lt;TODAY(),ROUND(EU310,4)&lt;1),2,IF(FK310="",0,IF(ROUND(EU310-FK310,4)&lt;-0.15,1,0))),"")</f>
        <v/>
      </c>
      <c r="FM310">
        <f>IF(OR(FA310="",COUNTIF($FA$4:FA309,FA310)&gt;0),0,MAX(0,IF(FB310="Interne",IF(ISNUMBER(INDEX(Data!$F:$F,310)),INDEX(Data!$F:$F,310),p_HeuresETP),IF(ISNUMBER(INDEX(Data!$I:$I,310-$CD$23)),INDEX(Data!$I:$I,310-$CD$23),p_HeuresETP))-IF(FB310="Interne",IF(ISNUMBER(INDEX(Data!$G:$G,310)),INDEX(Data!$G:$G,310),p_ChargeFixe),IF(ISNUMBER(INDEX(Data!$J:$J,310-$CD$23)),INDEX(Data!$J:$J,310-$CD$23),p_ChargeFixe))))</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9" t="str">
        <f>IF(AND(D311=1,ISNUMBER(INDEX(Charge!$N:$N,ROW()))),INDEX(Charge!$N:$N,ROW()),"")</f>
        <v/>
      </c>
      <c r="J311" s="169"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70">
        <f>IF(OR($I311="",$E311=0),0,IF(OR($J311&lt;W$3,$I311&gt;W$2),0,IF($K311=0,IF(AND($I311&gt;=W$3,$I311&lt;=W$2),$E311,0),$E311*NETWORKDAYS(MAX($I311,W$3),MIN($J311,W$2),Data!$K$4:$K$203)/$K311)))</f>
        <v>0</v>
      </c>
      <c r="X311" s="170">
        <f>IF(OR($I311="",$E311=0),0,IF(OR($J311&lt;X$3,$I311&gt;X$2),0,IF($K311=0,IF(AND($I311&gt;=X$3,$I311&lt;=X$2),$E311,0),$E311*NETWORKDAYS(MAX($I311,X$3),MIN($J311,X$2),Data!$K$4:$K$203)/$K311)))</f>
        <v>0</v>
      </c>
      <c r="Y311" s="170">
        <f>IF(OR($I311="",$E311=0),0,IF(OR($J311&lt;Y$3,$I311&gt;Y$2),0,IF($K311=0,IF(AND($I311&gt;=Y$3,$I311&lt;=Y$2),$E311,0),$E311*NETWORKDAYS(MAX($I311,Y$3),MIN($J311,Y$2),Data!$K$4:$K$203)/$K311)))</f>
        <v>0</v>
      </c>
      <c r="Z311" s="170">
        <f>IF(OR($I311="",$E311=0),0,IF(OR($J311&lt;Z$3,$I311&gt;Z$2),0,IF($K311=0,IF(AND($I311&gt;=Z$3,$I311&lt;=Z$2),$E311,0),$E311*NETWORKDAYS(MAX($I311,Z$3),MIN($J311,Z$2),Data!$K$4:$K$203)/$K311)))</f>
        <v>0</v>
      </c>
      <c r="AA311" s="170">
        <f>IF(OR($I311="",$E311=0),0,IF(OR($J311&lt;AA$3,$I311&gt;AA$2),0,IF($K311=0,IF(AND($I311&gt;=AA$3,$I311&lt;=AA$2),$E311,0),$E311*NETWORKDAYS(MAX($I311,AA$3),MIN($J311,AA$2),Data!$K$4:$K$203)/$K311)))</f>
        <v>0</v>
      </c>
      <c r="AB311" s="170">
        <f>IF(OR($I311="",$E311=0),0,IF(OR($J311&lt;AB$3,$I311&gt;AB$2),0,IF($K311=0,IF(AND($I311&gt;=AB$3,$I311&lt;=AB$2),$E311,0),$E311*NETWORKDAYS(MAX($I311,AB$3),MIN($J311,AB$2),Data!$K$4:$K$203)/$K311)))</f>
        <v>0</v>
      </c>
      <c r="AC311" s="170">
        <f>IF(OR($I311="",$E311=0),0,IF(OR($J311&lt;AC$3,$I311&gt;AC$2),0,IF($K311=0,IF(AND($I311&gt;=AC$3,$I311&lt;=AC$2),$E311,0),$E311*NETWORKDAYS(MAX($I311,AC$3),MIN($J311,AC$2),Data!$K$4:$K$203)/$K311)))</f>
        <v>0</v>
      </c>
      <c r="AD311" s="170">
        <f>IF(OR($I311="",$E311=0),0,IF(OR($J311&lt;AD$3,$I311&gt;AD$2),0,IF($K311=0,IF(AND($I311&gt;=AD$3,$I311&lt;=AD$2),$E311,0),$E311*NETWORKDAYS(MAX($I311,AD$3),MIN($J311,AD$2),Data!$K$4:$K$203)/$K311)))</f>
        <v>0</v>
      </c>
      <c r="AE311" s="170">
        <f>IF(OR($I311="",$E311=0),0,IF(OR($J311&lt;AE$3,$I311&gt;AE$2),0,IF($K311=0,IF(AND($I311&gt;=AE$3,$I311&lt;=AE$2),$E311,0),$E311*NETWORKDAYS(MAX($I311,AE$3),MIN($J311,AE$2),Data!$K$4:$K$203)/$K311)))</f>
        <v>0</v>
      </c>
      <c r="AF311" s="170">
        <f>IF(OR($I311="",$E311=0),0,IF(OR($J311&lt;AF$3,$I311&gt;AF$2),0,IF($K311=0,IF(AND($I311&gt;=AF$3,$I311&lt;=AF$2),$E311,0),$E311*NETWORKDAYS(MAX($I311,AF$3),MIN($J311,AF$2),Data!$K$4:$K$203)/$K311)))</f>
        <v>0</v>
      </c>
      <c r="AG311" s="170">
        <f>IF(OR($I311="",$E311=0),0,IF(OR($J311&lt;AG$3,$I311&gt;AG$2),0,IF($K311=0,IF(AND($I311&gt;=AG$3,$I311&lt;=AG$2),$E311,0),$E311*NETWORKDAYS(MAX($I311,AG$3),MIN($J311,AG$2),Data!$K$4:$K$203)/$K311)))</f>
        <v>0</v>
      </c>
      <c r="AH311" s="170">
        <f>IF(OR($I311="",$E311=0),0,IF(OR($J311&lt;AH$3,$I311&gt;AH$2),0,IF($K311=0,IF(AND($I311&gt;=AH$3,$I311&lt;=AH$2),$E311,0),$E311*NETWORKDAYS(MAX($I311,AH$3),MIN($J311,AH$2),Data!$K$4:$K$203)/$K311)))</f>
        <v>0</v>
      </c>
      <c r="AI311" s="170">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70"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4" t="str">
        <f>IF(EO311=1,IF(FH311&gt;0,FI311/FH311,AVERAGEIF($FF$4:$FF$503,EN311,$C$4:$C$503)),"")</f>
        <v/>
      </c>
      <c r="EV311" s="169">
        <f>IF(ISNUMBER(I311),I311,2958465)</f>
        <v>2958465.0</v>
      </c>
      <c r="EW311" s="169" t="str">
        <f>IF(EO311=1,SUMPRODUCT(MIN(($EN$4:$EN$503=EN311)*$EV$4:$EV$503+($EN$4:$EN$503&lt;&gt;EN311)*2958465)),"")</f>
        <v/>
      </c>
      <c r="EX311" s="169">
        <f>IF(AND(D311=1,ISNUMBER(INDEX(Charge!$F:$F,ROW()))),INDEX(Charge!$F:$F,ROW()),0)</f>
        <v>0.0</v>
      </c>
      <c r="EY311" s="169"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c r="FF311" t="str">
        <f>IF(B311=1,LEFT(SUBSTITUTE(SUBSTITUTE(SUBSTITUTE(TRIM(SUBSTITUTE(INDEX(Charge!$B:$B,ROW()),CHAR(160)," "))&amp;" | "&amp;TRIM(SUBSTITUTE(INDEX(Charge!$C:$C,ROW()),CHAR(160)," "))&amp;" | "&amp;TRIM(SUBSTITUTE(INDEX(Charge!$D:$D,ROW()),CHAR(160)," ")),"~","-"),"*","+"),"?","!"),240),"")</f>
        <v/>
      </c>
      <c r="FG311">
        <f>IF(B311=1,MAX(0,N(INDEX(Charge!$M:$M,ROW()))),0)</f>
        <v>0</v>
      </c>
      <c r="FH311" s="170" t="str">
        <f>IF(EO311=1,ROUND(SUMIF($FF$4:$FF$503,EN311,$FG$4:$FG$503),2),"")</f>
        <v/>
      </c>
      <c r="FI311" s="170" t="str">
        <f>IF(EO311=1,ROUND(SUMPRODUCT(($FF$4:$FF$503=EN311)*$FG$4:$FG$503*$C$4:$C$503),2),"")</f>
        <v/>
      </c>
      <c r="FJ311" s="170" t="str">
        <f>IF(EO311=1,MAX(0,ROUND(FH311-FI311,2)),"")</f>
        <v/>
      </c>
      <c r="FK311" s="174" t="str">
        <f>IF(EO311=1,IF(OR(EW311&gt;=2958465,EY311=0,EY311&lt;=EW311),"",IF(TODAY()&lt;=EW311,0,IF(TODAY()&gt;EY311,1,IFERROR(NETWORKDAYS(EW311,TODAY()-1,Data!$K$4:$K$203)/NETWORKDAYS(EW311,EY311,Data!$K$4:$K$203),"")))),"")</f>
        <v/>
      </c>
      <c r="FL311" t="str">
        <f>IF(EO311=1,IF(AND(EY311&gt;0,EY311&lt;TODAY(),ROUND(EU311,4)&lt;1),2,IF(FK311="",0,IF(ROUND(EU311-FK311,4)&lt;-0.15,1,0))),"")</f>
        <v/>
      </c>
      <c r="FM311">
        <f>IF(OR(FA311="",COUNTIF($FA$4:FA310,FA311)&gt;0),0,MAX(0,IF(FB311="Interne",IF(ISNUMBER(INDEX(Data!$F:$F,311)),INDEX(Data!$F:$F,311),p_HeuresETP),IF(ISNUMBER(INDEX(Data!$I:$I,311-$CD$23)),INDEX(Data!$I:$I,311-$CD$23),p_HeuresETP))-IF(FB311="Interne",IF(ISNUMBER(INDEX(Data!$G:$G,311)),INDEX(Data!$G:$G,311),p_ChargeFixe),IF(ISNUMBER(INDEX(Data!$J:$J,311-$CD$23)),INDEX(Data!$J:$J,311-$CD$23),p_ChargeFixe))))</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9" t="str">
        <f>IF(AND(D312=1,ISNUMBER(INDEX(Charge!$N:$N,ROW()))),INDEX(Charge!$N:$N,ROW()),"")</f>
        <v/>
      </c>
      <c r="J312" s="169"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70">
        <f>IF(OR($I312="",$E312=0),0,IF(OR($J312&lt;W$3,$I312&gt;W$2),0,IF($K312=0,IF(AND($I312&gt;=W$3,$I312&lt;=W$2),$E312,0),$E312*NETWORKDAYS(MAX($I312,W$3),MIN($J312,W$2),Data!$K$4:$K$203)/$K312)))</f>
        <v>0</v>
      </c>
      <c r="X312" s="170">
        <f>IF(OR($I312="",$E312=0),0,IF(OR($J312&lt;X$3,$I312&gt;X$2),0,IF($K312=0,IF(AND($I312&gt;=X$3,$I312&lt;=X$2),$E312,0),$E312*NETWORKDAYS(MAX($I312,X$3),MIN($J312,X$2),Data!$K$4:$K$203)/$K312)))</f>
        <v>0</v>
      </c>
      <c r="Y312" s="170">
        <f>IF(OR($I312="",$E312=0),0,IF(OR($J312&lt;Y$3,$I312&gt;Y$2),0,IF($K312=0,IF(AND($I312&gt;=Y$3,$I312&lt;=Y$2),$E312,0),$E312*NETWORKDAYS(MAX($I312,Y$3),MIN($J312,Y$2),Data!$K$4:$K$203)/$K312)))</f>
        <v>0</v>
      </c>
      <c r="Z312" s="170">
        <f>IF(OR($I312="",$E312=0),0,IF(OR($J312&lt;Z$3,$I312&gt;Z$2),0,IF($K312=0,IF(AND($I312&gt;=Z$3,$I312&lt;=Z$2),$E312,0),$E312*NETWORKDAYS(MAX($I312,Z$3),MIN($J312,Z$2),Data!$K$4:$K$203)/$K312)))</f>
        <v>0</v>
      </c>
      <c r="AA312" s="170">
        <f>IF(OR($I312="",$E312=0),0,IF(OR($J312&lt;AA$3,$I312&gt;AA$2),0,IF($K312=0,IF(AND($I312&gt;=AA$3,$I312&lt;=AA$2),$E312,0),$E312*NETWORKDAYS(MAX($I312,AA$3),MIN($J312,AA$2),Data!$K$4:$K$203)/$K312)))</f>
        <v>0</v>
      </c>
      <c r="AB312" s="170">
        <f>IF(OR($I312="",$E312=0),0,IF(OR($J312&lt;AB$3,$I312&gt;AB$2),0,IF($K312=0,IF(AND($I312&gt;=AB$3,$I312&lt;=AB$2),$E312,0),$E312*NETWORKDAYS(MAX($I312,AB$3),MIN($J312,AB$2),Data!$K$4:$K$203)/$K312)))</f>
        <v>0</v>
      </c>
      <c r="AC312" s="170">
        <f>IF(OR($I312="",$E312=0),0,IF(OR($J312&lt;AC$3,$I312&gt;AC$2),0,IF($K312=0,IF(AND($I312&gt;=AC$3,$I312&lt;=AC$2),$E312,0),$E312*NETWORKDAYS(MAX($I312,AC$3),MIN($J312,AC$2),Data!$K$4:$K$203)/$K312)))</f>
        <v>0</v>
      </c>
      <c r="AD312" s="170">
        <f>IF(OR($I312="",$E312=0),0,IF(OR($J312&lt;AD$3,$I312&gt;AD$2),0,IF($K312=0,IF(AND($I312&gt;=AD$3,$I312&lt;=AD$2),$E312,0),$E312*NETWORKDAYS(MAX($I312,AD$3),MIN($J312,AD$2),Data!$K$4:$K$203)/$K312)))</f>
        <v>0</v>
      </c>
      <c r="AE312" s="170">
        <f>IF(OR($I312="",$E312=0),0,IF(OR($J312&lt;AE$3,$I312&gt;AE$2),0,IF($K312=0,IF(AND($I312&gt;=AE$3,$I312&lt;=AE$2),$E312,0),$E312*NETWORKDAYS(MAX($I312,AE$3),MIN($J312,AE$2),Data!$K$4:$K$203)/$K312)))</f>
        <v>0</v>
      </c>
      <c r="AF312" s="170">
        <f>IF(OR($I312="",$E312=0),0,IF(OR($J312&lt;AF$3,$I312&gt;AF$2),0,IF($K312=0,IF(AND($I312&gt;=AF$3,$I312&lt;=AF$2),$E312,0),$E312*NETWORKDAYS(MAX($I312,AF$3),MIN($J312,AF$2),Data!$K$4:$K$203)/$K312)))</f>
        <v>0</v>
      </c>
      <c r="AG312" s="170">
        <f>IF(OR($I312="",$E312=0),0,IF(OR($J312&lt;AG$3,$I312&gt;AG$2),0,IF($K312=0,IF(AND($I312&gt;=AG$3,$I312&lt;=AG$2),$E312,0),$E312*NETWORKDAYS(MAX($I312,AG$3),MIN($J312,AG$2),Data!$K$4:$K$203)/$K312)))</f>
        <v>0</v>
      </c>
      <c r="AH312" s="170">
        <f>IF(OR($I312="",$E312=0),0,IF(OR($J312&lt;AH$3,$I312&gt;AH$2),0,IF($K312=0,IF(AND($I312&gt;=AH$3,$I312&lt;=AH$2),$E312,0),$E312*NETWORKDAYS(MAX($I312,AH$3),MIN($J312,AH$2),Data!$K$4:$K$203)/$K312)))</f>
        <v>0</v>
      </c>
      <c r="AI312" s="170">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70"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4" t="str">
        <f>IF(EO312=1,IF(FH312&gt;0,FI312/FH312,AVERAGEIF($FF$4:$FF$503,EN312,$C$4:$C$503)),"")</f>
        <v/>
      </c>
      <c r="EV312" s="169">
        <f>IF(ISNUMBER(I312),I312,2958465)</f>
        <v>2958465.0</v>
      </c>
      <c r="EW312" s="169" t="str">
        <f>IF(EO312=1,SUMPRODUCT(MIN(($EN$4:$EN$503=EN312)*$EV$4:$EV$503+($EN$4:$EN$503&lt;&gt;EN312)*2958465)),"")</f>
        <v/>
      </c>
      <c r="EX312" s="169">
        <f>IF(AND(D312=1,ISNUMBER(INDEX(Charge!$F:$F,ROW()))),INDEX(Charge!$F:$F,ROW()),0)</f>
        <v>0.0</v>
      </c>
      <c r="EY312" s="169"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c r="FF312" t="str">
        <f>IF(B312=1,LEFT(SUBSTITUTE(SUBSTITUTE(SUBSTITUTE(TRIM(SUBSTITUTE(INDEX(Charge!$B:$B,ROW()),CHAR(160)," "))&amp;" | "&amp;TRIM(SUBSTITUTE(INDEX(Charge!$C:$C,ROW()),CHAR(160)," "))&amp;" | "&amp;TRIM(SUBSTITUTE(INDEX(Charge!$D:$D,ROW()),CHAR(160)," ")),"~","-"),"*","+"),"?","!"),240),"")</f>
        <v/>
      </c>
      <c r="FG312">
        <f>IF(B312=1,MAX(0,N(INDEX(Charge!$M:$M,ROW()))),0)</f>
        <v>0</v>
      </c>
      <c r="FH312" s="170" t="str">
        <f>IF(EO312=1,ROUND(SUMIF($FF$4:$FF$503,EN312,$FG$4:$FG$503),2),"")</f>
        <v/>
      </c>
      <c r="FI312" s="170" t="str">
        <f>IF(EO312=1,ROUND(SUMPRODUCT(($FF$4:$FF$503=EN312)*$FG$4:$FG$503*$C$4:$C$503),2),"")</f>
        <v/>
      </c>
      <c r="FJ312" s="170" t="str">
        <f>IF(EO312=1,MAX(0,ROUND(FH312-FI312,2)),"")</f>
        <v/>
      </c>
      <c r="FK312" s="174" t="str">
        <f>IF(EO312=1,IF(OR(EW312&gt;=2958465,EY312=0,EY312&lt;=EW312),"",IF(TODAY()&lt;=EW312,0,IF(TODAY()&gt;EY312,1,IFERROR(NETWORKDAYS(EW312,TODAY()-1,Data!$K$4:$K$203)/NETWORKDAYS(EW312,EY312,Data!$K$4:$K$203),"")))),"")</f>
        <v/>
      </c>
      <c r="FL312" t="str">
        <f>IF(EO312=1,IF(AND(EY312&gt;0,EY312&lt;TODAY(),ROUND(EU312,4)&lt;1),2,IF(FK312="",0,IF(ROUND(EU312-FK312,4)&lt;-0.15,1,0))),"")</f>
        <v/>
      </c>
      <c r="FM312">
        <f>IF(OR(FA312="",COUNTIF($FA$4:FA311,FA312)&gt;0),0,MAX(0,IF(FB312="Interne",IF(ISNUMBER(INDEX(Data!$F:$F,312)),INDEX(Data!$F:$F,312),p_HeuresETP),IF(ISNUMBER(INDEX(Data!$I:$I,312-$CD$23)),INDEX(Data!$I:$I,312-$CD$23),p_HeuresETP))-IF(FB312="Interne",IF(ISNUMBER(INDEX(Data!$G:$G,312)),INDEX(Data!$G:$G,312),p_ChargeFixe),IF(ISNUMBER(INDEX(Data!$J:$J,312-$CD$23)),INDEX(Data!$J:$J,312-$CD$23),p_ChargeFixe))))</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9" t="str">
        <f>IF(AND(D313=1,ISNUMBER(INDEX(Charge!$N:$N,ROW()))),INDEX(Charge!$N:$N,ROW()),"")</f>
        <v/>
      </c>
      <c r="J313" s="169"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70">
        <f>IF(OR($I313="",$E313=0),0,IF(OR($J313&lt;W$3,$I313&gt;W$2),0,IF($K313=0,IF(AND($I313&gt;=W$3,$I313&lt;=W$2),$E313,0),$E313*NETWORKDAYS(MAX($I313,W$3),MIN($J313,W$2),Data!$K$4:$K$203)/$K313)))</f>
        <v>0</v>
      </c>
      <c r="X313" s="170">
        <f>IF(OR($I313="",$E313=0),0,IF(OR($J313&lt;X$3,$I313&gt;X$2),0,IF($K313=0,IF(AND($I313&gt;=X$3,$I313&lt;=X$2),$E313,0),$E313*NETWORKDAYS(MAX($I313,X$3),MIN($J313,X$2),Data!$K$4:$K$203)/$K313)))</f>
        <v>0</v>
      </c>
      <c r="Y313" s="170">
        <f>IF(OR($I313="",$E313=0),0,IF(OR($J313&lt;Y$3,$I313&gt;Y$2),0,IF($K313=0,IF(AND($I313&gt;=Y$3,$I313&lt;=Y$2),$E313,0),$E313*NETWORKDAYS(MAX($I313,Y$3),MIN($J313,Y$2),Data!$K$4:$K$203)/$K313)))</f>
        <v>0</v>
      </c>
      <c r="Z313" s="170">
        <f>IF(OR($I313="",$E313=0),0,IF(OR($J313&lt;Z$3,$I313&gt;Z$2),0,IF($K313=0,IF(AND($I313&gt;=Z$3,$I313&lt;=Z$2),$E313,0),$E313*NETWORKDAYS(MAX($I313,Z$3),MIN($J313,Z$2),Data!$K$4:$K$203)/$K313)))</f>
        <v>0</v>
      </c>
      <c r="AA313" s="170">
        <f>IF(OR($I313="",$E313=0),0,IF(OR($J313&lt;AA$3,$I313&gt;AA$2),0,IF($K313=0,IF(AND($I313&gt;=AA$3,$I313&lt;=AA$2),$E313,0),$E313*NETWORKDAYS(MAX($I313,AA$3),MIN($J313,AA$2),Data!$K$4:$K$203)/$K313)))</f>
        <v>0</v>
      </c>
      <c r="AB313" s="170">
        <f>IF(OR($I313="",$E313=0),0,IF(OR($J313&lt;AB$3,$I313&gt;AB$2),0,IF($K313=0,IF(AND($I313&gt;=AB$3,$I313&lt;=AB$2),$E313,0),$E313*NETWORKDAYS(MAX($I313,AB$3),MIN($J313,AB$2),Data!$K$4:$K$203)/$K313)))</f>
        <v>0</v>
      </c>
      <c r="AC313" s="170">
        <f>IF(OR($I313="",$E313=0),0,IF(OR($J313&lt;AC$3,$I313&gt;AC$2),0,IF($K313=0,IF(AND($I313&gt;=AC$3,$I313&lt;=AC$2),$E313,0),$E313*NETWORKDAYS(MAX($I313,AC$3),MIN($J313,AC$2),Data!$K$4:$K$203)/$K313)))</f>
        <v>0</v>
      </c>
      <c r="AD313" s="170">
        <f>IF(OR($I313="",$E313=0),0,IF(OR($J313&lt;AD$3,$I313&gt;AD$2),0,IF($K313=0,IF(AND($I313&gt;=AD$3,$I313&lt;=AD$2),$E313,0),$E313*NETWORKDAYS(MAX($I313,AD$3),MIN($J313,AD$2),Data!$K$4:$K$203)/$K313)))</f>
        <v>0</v>
      </c>
      <c r="AE313" s="170">
        <f>IF(OR($I313="",$E313=0),0,IF(OR($J313&lt;AE$3,$I313&gt;AE$2),0,IF($K313=0,IF(AND($I313&gt;=AE$3,$I313&lt;=AE$2),$E313,0),$E313*NETWORKDAYS(MAX($I313,AE$3),MIN($J313,AE$2),Data!$K$4:$K$203)/$K313)))</f>
        <v>0</v>
      </c>
      <c r="AF313" s="170">
        <f>IF(OR($I313="",$E313=0),0,IF(OR($J313&lt;AF$3,$I313&gt;AF$2),0,IF($K313=0,IF(AND($I313&gt;=AF$3,$I313&lt;=AF$2),$E313,0),$E313*NETWORKDAYS(MAX($I313,AF$3),MIN($J313,AF$2),Data!$K$4:$K$203)/$K313)))</f>
        <v>0</v>
      </c>
      <c r="AG313" s="170">
        <f>IF(OR($I313="",$E313=0),0,IF(OR($J313&lt;AG$3,$I313&gt;AG$2),0,IF($K313=0,IF(AND($I313&gt;=AG$3,$I313&lt;=AG$2),$E313,0),$E313*NETWORKDAYS(MAX($I313,AG$3),MIN($J313,AG$2),Data!$K$4:$K$203)/$K313)))</f>
        <v>0</v>
      </c>
      <c r="AH313" s="170">
        <f>IF(OR($I313="",$E313=0),0,IF(OR($J313&lt;AH$3,$I313&gt;AH$2),0,IF($K313=0,IF(AND($I313&gt;=AH$3,$I313&lt;=AH$2),$E313,0),$E313*NETWORKDAYS(MAX($I313,AH$3),MIN($J313,AH$2),Data!$K$4:$K$203)/$K313)))</f>
        <v>0</v>
      </c>
      <c r="AI313" s="170">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70"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4" t="str">
        <f>IF(EO313=1,IF(FH313&gt;0,FI313/FH313,AVERAGEIF($FF$4:$FF$503,EN313,$C$4:$C$503)),"")</f>
        <v/>
      </c>
      <c r="EV313" s="169">
        <f>IF(ISNUMBER(I313),I313,2958465)</f>
        <v>2958465.0</v>
      </c>
      <c r="EW313" s="169" t="str">
        <f>IF(EO313=1,SUMPRODUCT(MIN(($EN$4:$EN$503=EN313)*$EV$4:$EV$503+($EN$4:$EN$503&lt;&gt;EN313)*2958465)),"")</f>
        <v/>
      </c>
      <c r="EX313" s="169">
        <f>IF(AND(D313=1,ISNUMBER(INDEX(Charge!$F:$F,ROW()))),INDEX(Charge!$F:$F,ROW()),0)</f>
        <v>0.0</v>
      </c>
      <c r="EY313" s="169"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c r="FF313" t="str">
        <f>IF(B313=1,LEFT(SUBSTITUTE(SUBSTITUTE(SUBSTITUTE(TRIM(SUBSTITUTE(INDEX(Charge!$B:$B,ROW()),CHAR(160)," "))&amp;" | "&amp;TRIM(SUBSTITUTE(INDEX(Charge!$C:$C,ROW()),CHAR(160)," "))&amp;" | "&amp;TRIM(SUBSTITUTE(INDEX(Charge!$D:$D,ROW()),CHAR(160)," ")),"~","-"),"*","+"),"?","!"),240),"")</f>
        <v/>
      </c>
      <c r="FG313">
        <f>IF(B313=1,MAX(0,N(INDEX(Charge!$M:$M,ROW()))),0)</f>
        <v>0</v>
      </c>
      <c r="FH313" s="170" t="str">
        <f>IF(EO313=1,ROUND(SUMIF($FF$4:$FF$503,EN313,$FG$4:$FG$503),2),"")</f>
        <v/>
      </c>
      <c r="FI313" s="170" t="str">
        <f>IF(EO313=1,ROUND(SUMPRODUCT(($FF$4:$FF$503=EN313)*$FG$4:$FG$503*$C$4:$C$503),2),"")</f>
        <v/>
      </c>
      <c r="FJ313" s="170" t="str">
        <f>IF(EO313=1,MAX(0,ROUND(FH313-FI313,2)),"")</f>
        <v/>
      </c>
      <c r="FK313" s="174" t="str">
        <f>IF(EO313=1,IF(OR(EW313&gt;=2958465,EY313=0,EY313&lt;=EW313),"",IF(TODAY()&lt;=EW313,0,IF(TODAY()&gt;EY313,1,IFERROR(NETWORKDAYS(EW313,TODAY()-1,Data!$K$4:$K$203)/NETWORKDAYS(EW313,EY313,Data!$K$4:$K$203),"")))),"")</f>
        <v/>
      </c>
      <c r="FL313" t="str">
        <f>IF(EO313=1,IF(AND(EY313&gt;0,EY313&lt;TODAY(),ROUND(EU313,4)&lt;1),2,IF(FK313="",0,IF(ROUND(EU313-FK313,4)&lt;-0.15,1,0))),"")</f>
        <v/>
      </c>
      <c r="FM313">
        <f>IF(OR(FA313="",COUNTIF($FA$4:FA312,FA313)&gt;0),0,MAX(0,IF(FB313="Interne",IF(ISNUMBER(INDEX(Data!$F:$F,313)),INDEX(Data!$F:$F,313),p_HeuresETP),IF(ISNUMBER(INDEX(Data!$I:$I,313-$CD$23)),INDEX(Data!$I:$I,313-$CD$23),p_HeuresETP))-IF(FB313="Interne",IF(ISNUMBER(INDEX(Data!$G:$G,313)),INDEX(Data!$G:$G,313),p_ChargeFixe),IF(ISNUMBER(INDEX(Data!$J:$J,313-$CD$23)),INDEX(Data!$J:$J,313-$CD$23),p_ChargeFixe))))</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9" t="str">
        <f>IF(AND(D314=1,ISNUMBER(INDEX(Charge!$N:$N,ROW()))),INDEX(Charge!$N:$N,ROW()),"")</f>
        <v/>
      </c>
      <c r="J314" s="169"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70">
        <f>IF(OR($I314="",$E314=0),0,IF(OR($J314&lt;W$3,$I314&gt;W$2),0,IF($K314=0,IF(AND($I314&gt;=W$3,$I314&lt;=W$2),$E314,0),$E314*NETWORKDAYS(MAX($I314,W$3),MIN($J314,W$2),Data!$K$4:$K$203)/$K314)))</f>
        <v>0</v>
      </c>
      <c r="X314" s="170">
        <f>IF(OR($I314="",$E314=0),0,IF(OR($J314&lt;X$3,$I314&gt;X$2),0,IF($K314=0,IF(AND($I314&gt;=X$3,$I314&lt;=X$2),$E314,0),$E314*NETWORKDAYS(MAX($I314,X$3),MIN($J314,X$2),Data!$K$4:$K$203)/$K314)))</f>
        <v>0</v>
      </c>
      <c r="Y314" s="170">
        <f>IF(OR($I314="",$E314=0),0,IF(OR($J314&lt;Y$3,$I314&gt;Y$2),0,IF($K314=0,IF(AND($I314&gt;=Y$3,$I314&lt;=Y$2),$E314,0),$E314*NETWORKDAYS(MAX($I314,Y$3),MIN($J314,Y$2),Data!$K$4:$K$203)/$K314)))</f>
        <v>0</v>
      </c>
      <c r="Z314" s="170">
        <f>IF(OR($I314="",$E314=0),0,IF(OR($J314&lt;Z$3,$I314&gt;Z$2),0,IF($K314=0,IF(AND($I314&gt;=Z$3,$I314&lt;=Z$2),$E314,0),$E314*NETWORKDAYS(MAX($I314,Z$3),MIN($J314,Z$2),Data!$K$4:$K$203)/$K314)))</f>
        <v>0</v>
      </c>
      <c r="AA314" s="170">
        <f>IF(OR($I314="",$E314=0),0,IF(OR($J314&lt;AA$3,$I314&gt;AA$2),0,IF($K314=0,IF(AND($I314&gt;=AA$3,$I314&lt;=AA$2),$E314,0),$E314*NETWORKDAYS(MAX($I314,AA$3),MIN($J314,AA$2),Data!$K$4:$K$203)/$K314)))</f>
        <v>0</v>
      </c>
      <c r="AB314" s="170">
        <f>IF(OR($I314="",$E314=0),0,IF(OR($J314&lt;AB$3,$I314&gt;AB$2),0,IF($K314=0,IF(AND($I314&gt;=AB$3,$I314&lt;=AB$2),$E314,0),$E314*NETWORKDAYS(MAX($I314,AB$3),MIN($J314,AB$2),Data!$K$4:$K$203)/$K314)))</f>
        <v>0</v>
      </c>
      <c r="AC314" s="170">
        <f>IF(OR($I314="",$E314=0),0,IF(OR($J314&lt;AC$3,$I314&gt;AC$2),0,IF($K314=0,IF(AND($I314&gt;=AC$3,$I314&lt;=AC$2),$E314,0),$E314*NETWORKDAYS(MAX($I314,AC$3),MIN($J314,AC$2),Data!$K$4:$K$203)/$K314)))</f>
        <v>0</v>
      </c>
      <c r="AD314" s="170">
        <f>IF(OR($I314="",$E314=0),0,IF(OR($J314&lt;AD$3,$I314&gt;AD$2),0,IF($K314=0,IF(AND($I314&gt;=AD$3,$I314&lt;=AD$2),$E314,0),$E314*NETWORKDAYS(MAX($I314,AD$3),MIN($J314,AD$2),Data!$K$4:$K$203)/$K314)))</f>
        <v>0</v>
      </c>
      <c r="AE314" s="170">
        <f>IF(OR($I314="",$E314=0),0,IF(OR($J314&lt;AE$3,$I314&gt;AE$2),0,IF($K314=0,IF(AND($I314&gt;=AE$3,$I314&lt;=AE$2),$E314,0),$E314*NETWORKDAYS(MAX($I314,AE$3),MIN($J314,AE$2),Data!$K$4:$K$203)/$K314)))</f>
        <v>0</v>
      </c>
      <c r="AF314" s="170">
        <f>IF(OR($I314="",$E314=0),0,IF(OR($J314&lt;AF$3,$I314&gt;AF$2),0,IF($K314=0,IF(AND($I314&gt;=AF$3,$I314&lt;=AF$2),$E314,0),$E314*NETWORKDAYS(MAX($I314,AF$3),MIN($J314,AF$2),Data!$K$4:$K$203)/$K314)))</f>
        <v>0</v>
      </c>
      <c r="AG314" s="170">
        <f>IF(OR($I314="",$E314=0),0,IF(OR($J314&lt;AG$3,$I314&gt;AG$2),0,IF($K314=0,IF(AND($I314&gt;=AG$3,$I314&lt;=AG$2),$E314,0),$E314*NETWORKDAYS(MAX($I314,AG$3),MIN($J314,AG$2),Data!$K$4:$K$203)/$K314)))</f>
        <v>0</v>
      </c>
      <c r="AH314" s="170">
        <f>IF(OR($I314="",$E314=0),0,IF(OR($J314&lt;AH$3,$I314&gt;AH$2),0,IF($K314=0,IF(AND($I314&gt;=AH$3,$I314&lt;=AH$2),$E314,0),$E314*NETWORKDAYS(MAX($I314,AH$3),MIN($J314,AH$2),Data!$K$4:$K$203)/$K314)))</f>
        <v>0</v>
      </c>
      <c r="AI314" s="170">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70"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4" t="str">
        <f>IF(EO314=1,IF(FH314&gt;0,FI314/FH314,AVERAGEIF($FF$4:$FF$503,EN314,$C$4:$C$503)),"")</f>
        <v/>
      </c>
      <c r="EV314" s="169">
        <f>IF(ISNUMBER(I314),I314,2958465)</f>
        <v>2958465.0</v>
      </c>
      <c r="EW314" s="169" t="str">
        <f>IF(EO314=1,SUMPRODUCT(MIN(($EN$4:$EN$503=EN314)*$EV$4:$EV$503+($EN$4:$EN$503&lt;&gt;EN314)*2958465)),"")</f>
        <v/>
      </c>
      <c r="EX314" s="169">
        <f>IF(AND(D314=1,ISNUMBER(INDEX(Charge!$F:$F,ROW()))),INDEX(Charge!$F:$F,ROW()),0)</f>
        <v>0.0</v>
      </c>
      <c r="EY314" s="169"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c r="FF314" t="str">
        <f>IF(B314=1,LEFT(SUBSTITUTE(SUBSTITUTE(SUBSTITUTE(TRIM(SUBSTITUTE(INDEX(Charge!$B:$B,ROW()),CHAR(160)," "))&amp;" | "&amp;TRIM(SUBSTITUTE(INDEX(Charge!$C:$C,ROW()),CHAR(160)," "))&amp;" | "&amp;TRIM(SUBSTITUTE(INDEX(Charge!$D:$D,ROW()),CHAR(160)," ")),"~","-"),"*","+"),"?","!"),240),"")</f>
        <v/>
      </c>
      <c r="FG314">
        <f>IF(B314=1,MAX(0,N(INDEX(Charge!$M:$M,ROW()))),0)</f>
        <v>0</v>
      </c>
      <c r="FH314" s="170" t="str">
        <f>IF(EO314=1,ROUND(SUMIF($FF$4:$FF$503,EN314,$FG$4:$FG$503),2),"")</f>
        <v/>
      </c>
      <c r="FI314" s="170" t="str">
        <f>IF(EO314=1,ROUND(SUMPRODUCT(($FF$4:$FF$503=EN314)*$FG$4:$FG$503*$C$4:$C$503),2),"")</f>
        <v/>
      </c>
      <c r="FJ314" s="170" t="str">
        <f>IF(EO314=1,MAX(0,ROUND(FH314-FI314,2)),"")</f>
        <v/>
      </c>
      <c r="FK314" s="174" t="str">
        <f>IF(EO314=1,IF(OR(EW314&gt;=2958465,EY314=0,EY314&lt;=EW314),"",IF(TODAY()&lt;=EW314,0,IF(TODAY()&gt;EY314,1,IFERROR(NETWORKDAYS(EW314,TODAY()-1,Data!$K$4:$K$203)/NETWORKDAYS(EW314,EY314,Data!$K$4:$K$203),"")))),"")</f>
        <v/>
      </c>
      <c r="FL314" t="str">
        <f>IF(EO314=1,IF(AND(EY314&gt;0,EY314&lt;TODAY(),ROUND(EU314,4)&lt;1),2,IF(FK314="",0,IF(ROUND(EU314-FK314,4)&lt;-0.15,1,0))),"")</f>
        <v/>
      </c>
      <c r="FM314">
        <f>IF(OR(FA314="",COUNTIF($FA$4:FA313,FA314)&gt;0),0,MAX(0,IF(FB314="Interne",IF(ISNUMBER(INDEX(Data!$F:$F,314)),INDEX(Data!$F:$F,314),p_HeuresETP),IF(ISNUMBER(INDEX(Data!$I:$I,314-$CD$23)),INDEX(Data!$I:$I,314-$CD$23),p_HeuresETP))-IF(FB314="Interne",IF(ISNUMBER(INDEX(Data!$G:$G,314)),INDEX(Data!$G:$G,314),p_ChargeFixe),IF(ISNUMBER(INDEX(Data!$J:$J,314-$CD$23)),INDEX(Data!$J:$J,314-$CD$23),p_ChargeFixe))))</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9" t="str">
        <f>IF(AND(D315=1,ISNUMBER(INDEX(Charge!$N:$N,ROW()))),INDEX(Charge!$N:$N,ROW()),"")</f>
        <v/>
      </c>
      <c r="J315" s="169"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70">
        <f>IF(OR($I315="",$E315=0),0,IF(OR($J315&lt;W$3,$I315&gt;W$2),0,IF($K315=0,IF(AND($I315&gt;=W$3,$I315&lt;=W$2),$E315,0),$E315*NETWORKDAYS(MAX($I315,W$3),MIN($J315,W$2),Data!$K$4:$K$203)/$K315)))</f>
        <v>0</v>
      </c>
      <c r="X315" s="170">
        <f>IF(OR($I315="",$E315=0),0,IF(OR($J315&lt;X$3,$I315&gt;X$2),0,IF($K315=0,IF(AND($I315&gt;=X$3,$I315&lt;=X$2),$E315,0),$E315*NETWORKDAYS(MAX($I315,X$3),MIN($J315,X$2),Data!$K$4:$K$203)/$K315)))</f>
        <v>0</v>
      </c>
      <c r="Y315" s="170">
        <f>IF(OR($I315="",$E315=0),0,IF(OR($J315&lt;Y$3,$I315&gt;Y$2),0,IF($K315=0,IF(AND($I315&gt;=Y$3,$I315&lt;=Y$2),$E315,0),$E315*NETWORKDAYS(MAX($I315,Y$3),MIN($J315,Y$2),Data!$K$4:$K$203)/$K315)))</f>
        <v>0</v>
      </c>
      <c r="Z315" s="170">
        <f>IF(OR($I315="",$E315=0),0,IF(OR($J315&lt;Z$3,$I315&gt;Z$2),0,IF($K315=0,IF(AND($I315&gt;=Z$3,$I315&lt;=Z$2),$E315,0),$E315*NETWORKDAYS(MAX($I315,Z$3),MIN($J315,Z$2),Data!$K$4:$K$203)/$K315)))</f>
        <v>0</v>
      </c>
      <c r="AA315" s="170">
        <f>IF(OR($I315="",$E315=0),0,IF(OR($J315&lt;AA$3,$I315&gt;AA$2),0,IF($K315=0,IF(AND($I315&gt;=AA$3,$I315&lt;=AA$2),$E315,0),$E315*NETWORKDAYS(MAX($I315,AA$3),MIN($J315,AA$2),Data!$K$4:$K$203)/$K315)))</f>
        <v>0</v>
      </c>
      <c r="AB315" s="170">
        <f>IF(OR($I315="",$E315=0),0,IF(OR($J315&lt;AB$3,$I315&gt;AB$2),0,IF($K315=0,IF(AND($I315&gt;=AB$3,$I315&lt;=AB$2),$E315,0),$E315*NETWORKDAYS(MAX($I315,AB$3),MIN($J315,AB$2),Data!$K$4:$K$203)/$K315)))</f>
        <v>0</v>
      </c>
      <c r="AC315" s="170">
        <f>IF(OR($I315="",$E315=0),0,IF(OR($J315&lt;AC$3,$I315&gt;AC$2),0,IF($K315=0,IF(AND($I315&gt;=AC$3,$I315&lt;=AC$2),$E315,0),$E315*NETWORKDAYS(MAX($I315,AC$3),MIN($J315,AC$2),Data!$K$4:$K$203)/$K315)))</f>
        <v>0</v>
      </c>
      <c r="AD315" s="170">
        <f>IF(OR($I315="",$E315=0),0,IF(OR($J315&lt;AD$3,$I315&gt;AD$2),0,IF($K315=0,IF(AND($I315&gt;=AD$3,$I315&lt;=AD$2),$E315,0),$E315*NETWORKDAYS(MAX($I315,AD$3),MIN($J315,AD$2),Data!$K$4:$K$203)/$K315)))</f>
        <v>0</v>
      </c>
      <c r="AE315" s="170">
        <f>IF(OR($I315="",$E315=0),0,IF(OR($J315&lt;AE$3,$I315&gt;AE$2),0,IF($K315=0,IF(AND($I315&gt;=AE$3,$I315&lt;=AE$2),$E315,0),$E315*NETWORKDAYS(MAX($I315,AE$3),MIN($J315,AE$2),Data!$K$4:$K$203)/$K315)))</f>
        <v>0</v>
      </c>
      <c r="AF315" s="170">
        <f>IF(OR($I315="",$E315=0),0,IF(OR($J315&lt;AF$3,$I315&gt;AF$2),0,IF($K315=0,IF(AND($I315&gt;=AF$3,$I315&lt;=AF$2),$E315,0),$E315*NETWORKDAYS(MAX($I315,AF$3),MIN($J315,AF$2),Data!$K$4:$K$203)/$K315)))</f>
        <v>0</v>
      </c>
      <c r="AG315" s="170">
        <f>IF(OR($I315="",$E315=0),0,IF(OR($J315&lt;AG$3,$I315&gt;AG$2),0,IF($K315=0,IF(AND($I315&gt;=AG$3,$I315&lt;=AG$2),$E315,0),$E315*NETWORKDAYS(MAX($I315,AG$3),MIN($J315,AG$2),Data!$K$4:$K$203)/$K315)))</f>
        <v>0</v>
      </c>
      <c r="AH315" s="170">
        <f>IF(OR($I315="",$E315=0),0,IF(OR($J315&lt;AH$3,$I315&gt;AH$2),0,IF($K315=0,IF(AND($I315&gt;=AH$3,$I315&lt;=AH$2),$E315,0),$E315*NETWORKDAYS(MAX($I315,AH$3),MIN($J315,AH$2),Data!$K$4:$K$203)/$K315)))</f>
        <v>0</v>
      </c>
      <c r="AI315" s="170">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70"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4" t="str">
        <f>IF(EO315=1,IF(FH315&gt;0,FI315/FH315,AVERAGEIF($FF$4:$FF$503,EN315,$C$4:$C$503)),"")</f>
        <v/>
      </c>
      <c r="EV315" s="169">
        <f>IF(ISNUMBER(I315),I315,2958465)</f>
        <v>2958465.0</v>
      </c>
      <c r="EW315" s="169" t="str">
        <f>IF(EO315=1,SUMPRODUCT(MIN(($EN$4:$EN$503=EN315)*$EV$4:$EV$503+($EN$4:$EN$503&lt;&gt;EN315)*2958465)),"")</f>
        <v/>
      </c>
      <c r="EX315" s="169">
        <f>IF(AND(D315=1,ISNUMBER(INDEX(Charge!$F:$F,ROW()))),INDEX(Charge!$F:$F,ROW()),0)</f>
        <v>0.0</v>
      </c>
      <c r="EY315" s="169"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c r="FF315" t="str">
        <f>IF(B315=1,LEFT(SUBSTITUTE(SUBSTITUTE(SUBSTITUTE(TRIM(SUBSTITUTE(INDEX(Charge!$B:$B,ROW()),CHAR(160)," "))&amp;" | "&amp;TRIM(SUBSTITUTE(INDEX(Charge!$C:$C,ROW()),CHAR(160)," "))&amp;" | "&amp;TRIM(SUBSTITUTE(INDEX(Charge!$D:$D,ROW()),CHAR(160)," ")),"~","-"),"*","+"),"?","!"),240),"")</f>
        <v/>
      </c>
      <c r="FG315">
        <f>IF(B315=1,MAX(0,N(INDEX(Charge!$M:$M,ROW()))),0)</f>
        <v>0</v>
      </c>
      <c r="FH315" s="170" t="str">
        <f>IF(EO315=1,ROUND(SUMIF($FF$4:$FF$503,EN315,$FG$4:$FG$503),2),"")</f>
        <v/>
      </c>
      <c r="FI315" s="170" t="str">
        <f>IF(EO315=1,ROUND(SUMPRODUCT(($FF$4:$FF$503=EN315)*$FG$4:$FG$503*$C$4:$C$503),2),"")</f>
        <v/>
      </c>
      <c r="FJ315" s="170" t="str">
        <f>IF(EO315=1,MAX(0,ROUND(FH315-FI315,2)),"")</f>
        <v/>
      </c>
      <c r="FK315" s="174" t="str">
        <f>IF(EO315=1,IF(OR(EW315&gt;=2958465,EY315=0,EY315&lt;=EW315),"",IF(TODAY()&lt;=EW315,0,IF(TODAY()&gt;EY315,1,IFERROR(NETWORKDAYS(EW315,TODAY()-1,Data!$K$4:$K$203)/NETWORKDAYS(EW315,EY315,Data!$K$4:$K$203),"")))),"")</f>
        <v/>
      </c>
      <c r="FL315" t="str">
        <f>IF(EO315=1,IF(AND(EY315&gt;0,EY315&lt;TODAY(),ROUND(EU315,4)&lt;1),2,IF(FK315="",0,IF(ROUND(EU315-FK315,4)&lt;-0.15,1,0))),"")</f>
        <v/>
      </c>
      <c r="FM315">
        <f>IF(OR(FA315="",COUNTIF($FA$4:FA314,FA315)&gt;0),0,MAX(0,IF(FB315="Interne",IF(ISNUMBER(INDEX(Data!$F:$F,315)),INDEX(Data!$F:$F,315),p_HeuresETP),IF(ISNUMBER(INDEX(Data!$I:$I,315-$CD$23)),INDEX(Data!$I:$I,315-$CD$23),p_HeuresETP))-IF(FB315="Interne",IF(ISNUMBER(INDEX(Data!$G:$G,315)),INDEX(Data!$G:$G,315),p_ChargeFixe),IF(ISNUMBER(INDEX(Data!$J:$J,315-$CD$23)),INDEX(Data!$J:$J,315-$CD$23),p_ChargeFixe))))</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9" t="str">
        <f>IF(AND(D316=1,ISNUMBER(INDEX(Charge!$N:$N,ROW()))),INDEX(Charge!$N:$N,ROW()),"")</f>
        <v/>
      </c>
      <c r="J316" s="169"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70">
        <f>IF(OR($I316="",$E316=0),0,IF(OR($J316&lt;W$3,$I316&gt;W$2),0,IF($K316=0,IF(AND($I316&gt;=W$3,$I316&lt;=W$2),$E316,0),$E316*NETWORKDAYS(MAX($I316,W$3),MIN($J316,W$2),Data!$K$4:$K$203)/$K316)))</f>
        <v>0</v>
      </c>
      <c r="X316" s="170">
        <f>IF(OR($I316="",$E316=0),0,IF(OR($J316&lt;X$3,$I316&gt;X$2),0,IF($K316=0,IF(AND($I316&gt;=X$3,$I316&lt;=X$2),$E316,0),$E316*NETWORKDAYS(MAX($I316,X$3),MIN($J316,X$2),Data!$K$4:$K$203)/$K316)))</f>
        <v>0</v>
      </c>
      <c r="Y316" s="170">
        <f>IF(OR($I316="",$E316=0),0,IF(OR($J316&lt;Y$3,$I316&gt;Y$2),0,IF($K316=0,IF(AND($I316&gt;=Y$3,$I316&lt;=Y$2),$E316,0),$E316*NETWORKDAYS(MAX($I316,Y$3),MIN($J316,Y$2),Data!$K$4:$K$203)/$K316)))</f>
        <v>0</v>
      </c>
      <c r="Z316" s="170">
        <f>IF(OR($I316="",$E316=0),0,IF(OR($J316&lt;Z$3,$I316&gt;Z$2),0,IF($K316=0,IF(AND($I316&gt;=Z$3,$I316&lt;=Z$2),$E316,0),$E316*NETWORKDAYS(MAX($I316,Z$3),MIN($J316,Z$2),Data!$K$4:$K$203)/$K316)))</f>
        <v>0</v>
      </c>
      <c r="AA316" s="170">
        <f>IF(OR($I316="",$E316=0),0,IF(OR($J316&lt;AA$3,$I316&gt;AA$2),0,IF($K316=0,IF(AND($I316&gt;=AA$3,$I316&lt;=AA$2),$E316,0),$E316*NETWORKDAYS(MAX($I316,AA$3),MIN($J316,AA$2),Data!$K$4:$K$203)/$K316)))</f>
        <v>0</v>
      </c>
      <c r="AB316" s="170">
        <f>IF(OR($I316="",$E316=0),0,IF(OR($J316&lt;AB$3,$I316&gt;AB$2),0,IF($K316=0,IF(AND($I316&gt;=AB$3,$I316&lt;=AB$2),$E316,0),$E316*NETWORKDAYS(MAX($I316,AB$3),MIN($J316,AB$2),Data!$K$4:$K$203)/$K316)))</f>
        <v>0</v>
      </c>
      <c r="AC316" s="170">
        <f>IF(OR($I316="",$E316=0),0,IF(OR($J316&lt;AC$3,$I316&gt;AC$2),0,IF($K316=0,IF(AND($I316&gt;=AC$3,$I316&lt;=AC$2),$E316,0),$E316*NETWORKDAYS(MAX($I316,AC$3),MIN($J316,AC$2),Data!$K$4:$K$203)/$K316)))</f>
        <v>0</v>
      </c>
      <c r="AD316" s="170">
        <f>IF(OR($I316="",$E316=0),0,IF(OR($J316&lt;AD$3,$I316&gt;AD$2),0,IF($K316=0,IF(AND($I316&gt;=AD$3,$I316&lt;=AD$2),$E316,0),$E316*NETWORKDAYS(MAX($I316,AD$3),MIN($J316,AD$2),Data!$K$4:$K$203)/$K316)))</f>
        <v>0</v>
      </c>
      <c r="AE316" s="170">
        <f>IF(OR($I316="",$E316=0),0,IF(OR($J316&lt;AE$3,$I316&gt;AE$2),0,IF($K316=0,IF(AND($I316&gt;=AE$3,$I316&lt;=AE$2),$E316,0),$E316*NETWORKDAYS(MAX($I316,AE$3),MIN($J316,AE$2),Data!$K$4:$K$203)/$K316)))</f>
        <v>0</v>
      </c>
      <c r="AF316" s="170">
        <f>IF(OR($I316="",$E316=0),0,IF(OR($J316&lt;AF$3,$I316&gt;AF$2),0,IF($K316=0,IF(AND($I316&gt;=AF$3,$I316&lt;=AF$2),$E316,0),$E316*NETWORKDAYS(MAX($I316,AF$3),MIN($J316,AF$2),Data!$K$4:$K$203)/$K316)))</f>
        <v>0</v>
      </c>
      <c r="AG316" s="170">
        <f>IF(OR($I316="",$E316=0),0,IF(OR($J316&lt;AG$3,$I316&gt;AG$2),0,IF($K316=0,IF(AND($I316&gt;=AG$3,$I316&lt;=AG$2),$E316,0),$E316*NETWORKDAYS(MAX($I316,AG$3),MIN($J316,AG$2),Data!$K$4:$K$203)/$K316)))</f>
        <v>0</v>
      </c>
      <c r="AH316" s="170">
        <f>IF(OR($I316="",$E316=0),0,IF(OR($J316&lt;AH$3,$I316&gt;AH$2),0,IF($K316=0,IF(AND($I316&gt;=AH$3,$I316&lt;=AH$2),$E316,0),$E316*NETWORKDAYS(MAX($I316,AH$3),MIN($J316,AH$2),Data!$K$4:$K$203)/$K316)))</f>
        <v>0</v>
      </c>
      <c r="AI316" s="170">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70"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4" t="str">
        <f>IF(EO316=1,IF(FH316&gt;0,FI316/FH316,AVERAGEIF($FF$4:$FF$503,EN316,$C$4:$C$503)),"")</f>
        <v/>
      </c>
      <c r="EV316" s="169">
        <f>IF(ISNUMBER(I316),I316,2958465)</f>
        <v>2958465.0</v>
      </c>
      <c r="EW316" s="169" t="str">
        <f>IF(EO316=1,SUMPRODUCT(MIN(($EN$4:$EN$503=EN316)*$EV$4:$EV$503+($EN$4:$EN$503&lt;&gt;EN316)*2958465)),"")</f>
        <v/>
      </c>
      <c r="EX316" s="169">
        <f>IF(AND(D316=1,ISNUMBER(INDEX(Charge!$F:$F,ROW()))),INDEX(Charge!$F:$F,ROW()),0)</f>
        <v>0.0</v>
      </c>
      <c r="EY316" s="169"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c r="FF316" t="str">
        <f>IF(B316=1,LEFT(SUBSTITUTE(SUBSTITUTE(SUBSTITUTE(TRIM(SUBSTITUTE(INDEX(Charge!$B:$B,ROW()),CHAR(160)," "))&amp;" | "&amp;TRIM(SUBSTITUTE(INDEX(Charge!$C:$C,ROW()),CHAR(160)," "))&amp;" | "&amp;TRIM(SUBSTITUTE(INDEX(Charge!$D:$D,ROW()),CHAR(160)," ")),"~","-"),"*","+"),"?","!"),240),"")</f>
        <v/>
      </c>
      <c r="FG316">
        <f>IF(B316=1,MAX(0,N(INDEX(Charge!$M:$M,ROW()))),0)</f>
        <v>0</v>
      </c>
      <c r="FH316" s="170" t="str">
        <f>IF(EO316=1,ROUND(SUMIF($FF$4:$FF$503,EN316,$FG$4:$FG$503),2),"")</f>
        <v/>
      </c>
      <c r="FI316" s="170" t="str">
        <f>IF(EO316=1,ROUND(SUMPRODUCT(($FF$4:$FF$503=EN316)*$FG$4:$FG$503*$C$4:$C$503),2),"")</f>
        <v/>
      </c>
      <c r="FJ316" s="170" t="str">
        <f>IF(EO316=1,MAX(0,ROUND(FH316-FI316,2)),"")</f>
        <v/>
      </c>
      <c r="FK316" s="174" t="str">
        <f>IF(EO316=1,IF(OR(EW316&gt;=2958465,EY316=0,EY316&lt;=EW316),"",IF(TODAY()&lt;=EW316,0,IF(TODAY()&gt;EY316,1,IFERROR(NETWORKDAYS(EW316,TODAY()-1,Data!$K$4:$K$203)/NETWORKDAYS(EW316,EY316,Data!$K$4:$K$203),"")))),"")</f>
        <v/>
      </c>
      <c r="FL316" t="str">
        <f>IF(EO316=1,IF(AND(EY316&gt;0,EY316&lt;TODAY(),ROUND(EU316,4)&lt;1),2,IF(FK316="",0,IF(ROUND(EU316-FK316,4)&lt;-0.15,1,0))),"")</f>
        <v/>
      </c>
      <c r="FM316">
        <f>IF(OR(FA316="",COUNTIF($FA$4:FA315,FA316)&gt;0),0,MAX(0,IF(FB316="Interne",IF(ISNUMBER(INDEX(Data!$F:$F,316)),INDEX(Data!$F:$F,316),p_HeuresETP),IF(ISNUMBER(INDEX(Data!$I:$I,316-$CD$23)),INDEX(Data!$I:$I,316-$CD$23),p_HeuresETP))-IF(FB316="Interne",IF(ISNUMBER(INDEX(Data!$G:$G,316)),INDEX(Data!$G:$G,316),p_ChargeFixe),IF(ISNUMBER(INDEX(Data!$J:$J,316-$CD$23)),INDEX(Data!$J:$J,316-$CD$23),p_ChargeFixe))))</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9" t="str">
        <f>IF(AND(D317=1,ISNUMBER(INDEX(Charge!$N:$N,ROW()))),INDEX(Charge!$N:$N,ROW()),"")</f>
        <v/>
      </c>
      <c r="J317" s="169"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70">
        <f>IF(OR($I317="",$E317=0),0,IF(OR($J317&lt;W$3,$I317&gt;W$2),0,IF($K317=0,IF(AND($I317&gt;=W$3,$I317&lt;=W$2),$E317,0),$E317*NETWORKDAYS(MAX($I317,W$3),MIN($J317,W$2),Data!$K$4:$K$203)/$K317)))</f>
        <v>0</v>
      </c>
      <c r="X317" s="170">
        <f>IF(OR($I317="",$E317=0),0,IF(OR($J317&lt;X$3,$I317&gt;X$2),0,IF($K317=0,IF(AND($I317&gt;=X$3,$I317&lt;=X$2),$E317,0),$E317*NETWORKDAYS(MAX($I317,X$3),MIN($J317,X$2),Data!$K$4:$K$203)/$K317)))</f>
        <v>0</v>
      </c>
      <c r="Y317" s="170">
        <f>IF(OR($I317="",$E317=0),0,IF(OR($J317&lt;Y$3,$I317&gt;Y$2),0,IF($K317=0,IF(AND($I317&gt;=Y$3,$I317&lt;=Y$2),$E317,0),$E317*NETWORKDAYS(MAX($I317,Y$3),MIN($J317,Y$2),Data!$K$4:$K$203)/$K317)))</f>
        <v>0</v>
      </c>
      <c r="Z317" s="170">
        <f>IF(OR($I317="",$E317=0),0,IF(OR($J317&lt;Z$3,$I317&gt;Z$2),0,IF($K317=0,IF(AND($I317&gt;=Z$3,$I317&lt;=Z$2),$E317,0),$E317*NETWORKDAYS(MAX($I317,Z$3),MIN($J317,Z$2),Data!$K$4:$K$203)/$K317)))</f>
        <v>0</v>
      </c>
      <c r="AA317" s="170">
        <f>IF(OR($I317="",$E317=0),0,IF(OR($J317&lt;AA$3,$I317&gt;AA$2),0,IF($K317=0,IF(AND($I317&gt;=AA$3,$I317&lt;=AA$2),$E317,0),$E317*NETWORKDAYS(MAX($I317,AA$3),MIN($J317,AA$2),Data!$K$4:$K$203)/$K317)))</f>
        <v>0</v>
      </c>
      <c r="AB317" s="170">
        <f>IF(OR($I317="",$E317=0),0,IF(OR($J317&lt;AB$3,$I317&gt;AB$2),0,IF($K317=0,IF(AND($I317&gt;=AB$3,$I317&lt;=AB$2),$E317,0),$E317*NETWORKDAYS(MAX($I317,AB$3),MIN($J317,AB$2),Data!$K$4:$K$203)/$K317)))</f>
        <v>0</v>
      </c>
      <c r="AC317" s="170">
        <f>IF(OR($I317="",$E317=0),0,IF(OR($J317&lt;AC$3,$I317&gt;AC$2),0,IF($K317=0,IF(AND($I317&gt;=AC$3,$I317&lt;=AC$2),$E317,0),$E317*NETWORKDAYS(MAX($I317,AC$3),MIN($J317,AC$2),Data!$K$4:$K$203)/$K317)))</f>
        <v>0</v>
      </c>
      <c r="AD317" s="170">
        <f>IF(OR($I317="",$E317=0),0,IF(OR($J317&lt;AD$3,$I317&gt;AD$2),0,IF($K317=0,IF(AND($I317&gt;=AD$3,$I317&lt;=AD$2),$E317,0),$E317*NETWORKDAYS(MAX($I317,AD$3),MIN($J317,AD$2),Data!$K$4:$K$203)/$K317)))</f>
        <v>0</v>
      </c>
      <c r="AE317" s="170">
        <f>IF(OR($I317="",$E317=0),0,IF(OR($J317&lt;AE$3,$I317&gt;AE$2),0,IF($K317=0,IF(AND($I317&gt;=AE$3,$I317&lt;=AE$2),$E317,0),$E317*NETWORKDAYS(MAX($I317,AE$3),MIN($J317,AE$2),Data!$K$4:$K$203)/$K317)))</f>
        <v>0</v>
      </c>
      <c r="AF317" s="170">
        <f>IF(OR($I317="",$E317=0),0,IF(OR($J317&lt;AF$3,$I317&gt;AF$2),0,IF($K317=0,IF(AND($I317&gt;=AF$3,$I317&lt;=AF$2),$E317,0),$E317*NETWORKDAYS(MAX($I317,AF$3),MIN($J317,AF$2),Data!$K$4:$K$203)/$K317)))</f>
        <v>0</v>
      </c>
      <c r="AG317" s="170">
        <f>IF(OR($I317="",$E317=0),0,IF(OR($J317&lt;AG$3,$I317&gt;AG$2),0,IF($K317=0,IF(AND($I317&gt;=AG$3,$I317&lt;=AG$2),$E317,0),$E317*NETWORKDAYS(MAX($I317,AG$3),MIN($J317,AG$2),Data!$K$4:$K$203)/$K317)))</f>
        <v>0</v>
      </c>
      <c r="AH317" s="170">
        <f>IF(OR($I317="",$E317=0),0,IF(OR($J317&lt;AH$3,$I317&gt;AH$2),0,IF($K317=0,IF(AND($I317&gt;=AH$3,$I317&lt;=AH$2),$E317,0),$E317*NETWORKDAYS(MAX($I317,AH$3),MIN($J317,AH$2),Data!$K$4:$K$203)/$K317)))</f>
        <v>0</v>
      </c>
      <c r="AI317" s="170">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70"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4" t="str">
        <f>IF(EO317=1,IF(FH317&gt;0,FI317/FH317,AVERAGEIF($FF$4:$FF$503,EN317,$C$4:$C$503)),"")</f>
        <v/>
      </c>
      <c r="EV317" s="169">
        <f>IF(ISNUMBER(I317),I317,2958465)</f>
        <v>2958465.0</v>
      </c>
      <c r="EW317" s="169" t="str">
        <f>IF(EO317=1,SUMPRODUCT(MIN(($EN$4:$EN$503=EN317)*$EV$4:$EV$503+($EN$4:$EN$503&lt;&gt;EN317)*2958465)),"")</f>
        <v/>
      </c>
      <c r="EX317" s="169">
        <f>IF(AND(D317=1,ISNUMBER(INDEX(Charge!$F:$F,ROW()))),INDEX(Charge!$F:$F,ROW()),0)</f>
        <v>0.0</v>
      </c>
      <c r="EY317" s="169"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c r="FF317" t="str">
        <f>IF(B317=1,LEFT(SUBSTITUTE(SUBSTITUTE(SUBSTITUTE(TRIM(SUBSTITUTE(INDEX(Charge!$B:$B,ROW()),CHAR(160)," "))&amp;" | "&amp;TRIM(SUBSTITUTE(INDEX(Charge!$C:$C,ROW()),CHAR(160)," "))&amp;" | "&amp;TRIM(SUBSTITUTE(INDEX(Charge!$D:$D,ROW()),CHAR(160)," ")),"~","-"),"*","+"),"?","!"),240),"")</f>
        <v/>
      </c>
      <c r="FG317">
        <f>IF(B317=1,MAX(0,N(INDEX(Charge!$M:$M,ROW()))),0)</f>
        <v>0</v>
      </c>
      <c r="FH317" s="170" t="str">
        <f>IF(EO317=1,ROUND(SUMIF($FF$4:$FF$503,EN317,$FG$4:$FG$503),2),"")</f>
        <v/>
      </c>
      <c r="FI317" s="170" t="str">
        <f>IF(EO317=1,ROUND(SUMPRODUCT(($FF$4:$FF$503=EN317)*$FG$4:$FG$503*$C$4:$C$503),2),"")</f>
        <v/>
      </c>
      <c r="FJ317" s="170" t="str">
        <f>IF(EO317=1,MAX(0,ROUND(FH317-FI317,2)),"")</f>
        <v/>
      </c>
      <c r="FK317" s="174" t="str">
        <f>IF(EO317=1,IF(OR(EW317&gt;=2958465,EY317=0,EY317&lt;=EW317),"",IF(TODAY()&lt;=EW317,0,IF(TODAY()&gt;EY317,1,IFERROR(NETWORKDAYS(EW317,TODAY()-1,Data!$K$4:$K$203)/NETWORKDAYS(EW317,EY317,Data!$K$4:$K$203),"")))),"")</f>
        <v/>
      </c>
      <c r="FL317" t="str">
        <f>IF(EO317=1,IF(AND(EY317&gt;0,EY317&lt;TODAY(),ROUND(EU317,4)&lt;1),2,IF(FK317="",0,IF(ROUND(EU317-FK317,4)&lt;-0.15,1,0))),"")</f>
        <v/>
      </c>
      <c r="FM317">
        <f>IF(OR(FA317="",COUNTIF($FA$4:FA316,FA317)&gt;0),0,MAX(0,IF(FB317="Interne",IF(ISNUMBER(INDEX(Data!$F:$F,317)),INDEX(Data!$F:$F,317),p_HeuresETP),IF(ISNUMBER(INDEX(Data!$I:$I,317-$CD$23)),INDEX(Data!$I:$I,317-$CD$23),p_HeuresETP))-IF(FB317="Interne",IF(ISNUMBER(INDEX(Data!$G:$G,317)),INDEX(Data!$G:$G,317),p_ChargeFixe),IF(ISNUMBER(INDEX(Data!$J:$J,317-$CD$23)),INDEX(Data!$J:$J,317-$CD$23),p_ChargeFixe))))</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9" t="str">
        <f>IF(AND(D318=1,ISNUMBER(INDEX(Charge!$N:$N,ROW()))),INDEX(Charge!$N:$N,ROW()),"")</f>
        <v/>
      </c>
      <c r="J318" s="169"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70">
        <f>IF(OR($I318="",$E318=0),0,IF(OR($J318&lt;W$3,$I318&gt;W$2),0,IF($K318=0,IF(AND($I318&gt;=W$3,$I318&lt;=W$2),$E318,0),$E318*NETWORKDAYS(MAX($I318,W$3),MIN($J318,W$2),Data!$K$4:$K$203)/$K318)))</f>
        <v>0</v>
      </c>
      <c r="X318" s="170">
        <f>IF(OR($I318="",$E318=0),0,IF(OR($J318&lt;X$3,$I318&gt;X$2),0,IF($K318=0,IF(AND($I318&gt;=X$3,$I318&lt;=X$2),$E318,0),$E318*NETWORKDAYS(MAX($I318,X$3),MIN($J318,X$2),Data!$K$4:$K$203)/$K318)))</f>
        <v>0</v>
      </c>
      <c r="Y318" s="170">
        <f>IF(OR($I318="",$E318=0),0,IF(OR($J318&lt;Y$3,$I318&gt;Y$2),0,IF($K318=0,IF(AND($I318&gt;=Y$3,$I318&lt;=Y$2),$E318,0),$E318*NETWORKDAYS(MAX($I318,Y$3),MIN($J318,Y$2),Data!$K$4:$K$203)/$K318)))</f>
        <v>0</v>
      </c>
      <c r="Z318" s="170">
        <f>IF(OR($I318="",$E318=0),0,IF(OR($J318&lt;Z$3,$I318&gt;Z$2),0,IF($K318=0,IF(AND($I318&gt;=Z$3,$I318&lt;=Z$2),$E318,0),$E318*NETWORKDAYS(MAX($I318,Z$3),MIN($J318,Z$2),Data!$K$4:$K$203)/$K318)))</f>
        <v>0</v>
      </c>
      <c r="AA318" s="170">
        <f>IF(OR($I318="",$E318=0),0,IF(OR($J318&lt;AA$3,$I318&gt;AA$2),0,IF($K318=0,IF(AND($I318&gt;=AA$3,$I318&lt;=AA$2),$E318,0),$E318*NETWORKDAYS(MAX($I318,AA$3),MIN($J318,AA$2),Data!$K$4:$K$203)/$K318)))</f>
        <v>0</v>
      </c>
      <c r="AB318" s="170">
        <f>IF(OR($I318="",$E318=0),0,IF(OR($J318&lt;AB$3,$I318&gt;AB$2),0,IF($K318=0,IF(AND($I318&gt;=AB$3,$I318&lt;=AB$2),$E318,0),$E318*NETWORKDAYS(MAX($I318,AB$3),MIN($J318,AB$2),Data!$K$4:$K$203)/$K318)))</f>
        <v>0</v>
      </c>
      <c r="AC318" s="170">
        <f>IF(OR($I318="",$E318=0),0,IF(OR($J318&lt;AC$3,$I318&gt;AC$2),0,IF($K318=0,IF(AND($I318&gt;=AC$3,$I318&lt;=AC$2),$E318,0),$E318*NETWORKDAYS(MAX($I318,AC$3),MIN($J318,AC$2),Data!$K$4:$K$203)/$K318)))</f>
        <v>0</v>
      </c>
      <c r="AD318" s="170">
        <f>IF(OR($I318="",$E318=0),0,IF(OR($J318&lt;AD$3,$I318&gt;AD$2),0,IF($K318=0,IF(AND($I318&gt;=AD$3,$I318&lt;=AD$2),$E318,0),$E318*NETWORKDAYS(MAX($I318,AD$3),MIN($J318,AD$2),Data!$K$4:$K$203)/$K318)))</f>
        <v>0</v>
      </c>
      <c r="AE318" s="170">
        <f>IF(OR($I318="",$E318=0),0,IF(OR($J318&lt;AE$3,$I318&gt;AE$2),0,IF($K318=0,IF(AND($I318&gt;=AE$3,$I318&lt;=AE$2),$E318,0),$E318*NETWORKDAYS(MAX($I318,AE$3),MIN($J318,AE$2),Data!$K$4:$K$203)/$K318)))</f>
        <v>0</v>
      </c>
      <c r="AF318" s="170">
        <f>IF(OR($I318="",$E318=0),0,IF(OR($J318&lt;AF$3,$I318&gt;AF$2),0,IF($K318=0,IF(AND($I318&gt;=AF$3,$I318&lt;=AF$2),$E318,0),$E318*NETWORKDAYS(MAX($I318,AF$3),MIN($J318,AF$2),Data!$K$4:$K$203)/$K318)))</f>
        <v>0</v>
      </c>
      <c r="AG318" s="170">
        <f>IF(OR($I318="",$E318=0),0,IF(OR($J318&lt;AG$3,$I318&gt;AG$2),0,IF($K318=0,IF(AND($I318&gt;=AG$3,$I318&lt;=AG$2),$E318,0),$E318*NETWORKDAYS(MAX($I318,AG$3),MIN($J318,AG$2),Data!$K$4:$K$203)/$K318)))</f>
        <v>0</v>
      </c>
      <c r="AH318" s="170">
        <f>IF(OR($I318="",$E318=0),0,IF(OR($J318&lt;AH$3,$I318&gt;AH$2),0,IF($K318=0,IF(AND($I318&gt;=AH$3,$I318&lt;=AH$2),$E318,0),$E318*NETWORKDAYS(MAX($I318,AH$3),MIN($J318,AH$2),Data!$K$4:$K$203)/$K318)))</f>
        <v>0</v>
      </c>
      <c r="AI318" s="170">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70"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4" t="str">
        <f>IF(EO318=1,IF(FH318&gt;0,FI318/FH318,AVERAGEIF($FF$4:$FF$503,EN318,$C$4:$C$503)),"")</f>
        <v/>
      </c>
      <c r="EV318" s="169">
        <f>IF(ISNUMBER(I318),I318,2958465)</f>
        <v>2958465.0</v>
      </c>
      <c r="EW318" s="169" t="str">
        <f>IF(EO318=1,SUMPRODUCT(MIN(($EN$4:$EN$503=EN318)*$EV$4:$EV$503+($EN$4:$EN$503&lt;&gt;EN318)*2958465)),"")</f>
        <v/>
      </c>
      <c r="EX318" s="169">
        <f>IF(AND(D318=1,ISNUMBER(INDEX(Charge!$F:$F,ROW()))),INDEX(Charge!$F:$F,ROW()),0)</f>
        <v>0.0</v>
      </c>
      <c r="EY318" s="169"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c r="FF318" t="str">
        <f>IF(B318=1,LEFT(SUBSTITUTE(SUBSTITUTE(SUBSTITUTE(TRIM(SUBSTITUTE(INDEX(Charge!$B:$B,ROW()),CHAR(160)," "))&amp;" | "&amp;TRIM(SUBSTITUTE(INDEX(Charge!$C:$C,ROW()),CHAR(160)," "))&amp;" | "&amp;TRIM(SUBSTITUTE(INDEX(Charge!$D:$D,ROW()),CHAR(160)," ")),"~","-"),"*","+"),"?","!"),240),"")</f>
        <v/>
      </c>
      <c r="FG318">
        <f>IF(B318=1,MAX(0,N(INDEX(Charge!$M:$M,ROW()))),0)</f>
        <v>0</v>
      </c>
      <c r="FH318" s="170" t="str">
        <f>IF(EO318=1,ROUND(SUMIF($FF$4:$FF$503,EN318,$FG$4:$FG$503),2),"")</f>
        <v/>
      </c>
      <c r="FI318" s="170" t="str">
        <f>IF(EO318=1,ROUND(SUMPRODUCT(($FF$4:$FF$503=EN318)*$FG$4:$FG$503*$C$4:$C$503),2),"")</f>
        <v/>
      </c>
      <c r="FJ318" s="170" t="str">
        <f>IF(EO318=1,MAX(0,ROUND(FH318-FI318,2)),"")</f>
        <v/>
      </c>
      <c r="FK318" s="174" t="str">
        <f>IF(EO318=1,IF(OR(EW318&gt;=2958465,EY318=0,EY318&lt;=EW318),"",IF(TODAY()&lt;=EW318,0,IF(TODAY()&gt;EY318,1,IFERROR(NETWORKDAYS(EW318,TODAY()-1,Data!$K$4:$K$203)/NETWORKDAYS(EW318,EY318,Data!$K$4:$K$203),"")))),"")</f>
        <v/>
      </c>
      <c r="FL318" t="str">
        <f>IF(EO318=1,IF(AND(EY318&gt;0,EY318&lt;TODAY(),ROUND(EU318,4)&lt;1),2,IF(FK318="",0,IF(ROUND(EU318-FK318,4)&lt;-0.15,1,0))),"")</f>
        <v/>
      </c>
      <c r="FM318">
        <f>IF(OR(FA318="",COUNTIF($FA$4:FA317,FA318)&gt;0),0,MAX(0,IF(FB318="Interne",IF(ISNUMBER(INDEX(Data!$F:$F,318)),INDEX(Data!$F:$F,318),p_HeuresETP),IF(ISNUMBER(INDEX(Data!$I:$I,318-$CD$23)),INDEX(Data!$I:$I,318-$CD$23),p_HeuresETP))-IF(FB318="Interne",IF(ISNUMBER(INDEX(Data!$G:$G,318)),INDEX(Data!$G:$G,318),p_ChargeFixe),IF(ISNUMBER(INDEX(Data!$J:$J,318-$CD$23)),INDEX(Data!$J:$J,318-$CD$23),p_ChargeFixe))))</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9" t="str">
        <f>IF(AND(D319=1,ISNUMBER(INDEX(Charge!$N:$N,ROW()))),INDEX(Charge!$N:$N,ROW()),"")</f>
        <v/>
      </c>
      <c r="J319" s="169"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70">
        <f>IF(OR($I319="",$E319=0),0,IF(OR($J319&lt;W$3,$I319&gt;W$2),0,IF($K319=0,IF(AND($I319&gt;=W$3,$I319&lt;=W$2),$E319,0),$E319*NETWORKDAYS(MAX($I319,W$3),MIN($J319,W$2),Data!$K$4:$K$203)/$K319)))</f>
        <v>0</v>
      </c>
      <c r="X319" s="170">
        <f>IF(OR($I319="",$E319=0),0,IF(OR($J319&lt;X$3,$I319&gt;X$2),0,IF($K319=0,IF(AND($I319&gt;=X$3,$I319&lt;=X$2),$E319,0),$E319*NETWORKDAYS(MAX($I319,X$3),MIN($J319,X$2),Data!$K$4:$K$203)/$K319)))</f>
        <v>0</v>
      </c>
      <c r="Y319" s="170">
        <f>IF(OR($I319="",$E319=0),0,IF(OR($J319&lt;Y$3,$I319&gt;Y$2),0,IF($K319=0,IF(AND($I319&gt;=Y$3,$I319&lt;=Y$2),$E319,0),$E319*NETWORKDAYS(MAX($I319,Y$3),MIN($J319,Y$2),Data!$K$4:$K$203)/$K319)))</f>
        <v>0</v>
      </c>
      <c r="Z319" s="170">
        <f>IF(OR($I319="",$E319=0),0,IF(OR($J319&lt;Z$3,$I319&gt;Z$2),0,IF($K319=0,IF(AND($I319&gt;=Z$3,$I319&lt;=Z$2),$E319,0),$E319*NETWORKDAYS(MAX($I319,Z$3),MIN($J319,Z$2),Data!$K$4:$K$203)/$K319)))</f>
        <v>0</v>
      </c>
      <c r="AA319" s="170">
        <f>IF(OR($I319="",$E319=0),0,IF(OR($J319&lt;AA$3,$I319&gt;AA$2),0,IF($K319=0,IF(AND($I319&gt;=AA$3,$I319&lt;=AA$2),$E319,0),$E319*NETWORKDAYS(MAX($I319,AA$3),MIN($J319,AA$2),Data!$K$4:$K$203)/$K319)))</f>
        <v>0</v>
      </c>
      <c r="AB319" s="170">
        <f>IF(OR($I319="",$E319=0),0,IF(OR($J319&lt;AB$3,$I319&gt;AB$2),0,IF($K319=0,IF(AND($I319&gt;=AB$3,$I319&lt;=AB$2),$E319,0),$E319*NETWORKDAYS(MAX($I319,AB$3),MIN($J319,AB$2),Data!$K$4:$K$203)/$K319)))</f>
        <v>0</v>
      </c>
      <c r="AC319" s="170">
        <f>IF(OR($I319="",$E319=0),0,IF(OR($J319&lt;AC$3,$I319&gt;AC$2),0,IF($K319=0,IF(AND($I319&gt;=AC$3,$I319&lt;=AC$2),$E319,0),$E319*NETWORKDAYS(MAX($I319,AC$3),MIN($J319,AC$2),Data!$K$4:$K$203)/$K319)))</f>
        <v>0</v>
      </c>
      <c r="AD319" s="170">
        <f>IF(OR($I319="",$E319=0),0,IF(OR($J319&lt;AD$3,$I319&gt;AD$2),0,IF($K319=0,IF(AND($I319&gt;=AD$3,$I319&lt;=AD$2),$E319,0),$E319*NETWORKDAYS(MAX($I319,AD$3),MIN($J319,AD$2),Data!$K$4:$K$203)/$K319)))</f>
        <v>0</v>
      </c>
      <c r="AE319" s="170">
        <f>IF(OR($I319="",$E319=0),0,IF(OR($J319&lt;AE$3,$I319&gt;AE$2),0,IF($K319=0,IF(AND($I319&gt;=AE$3,$I319&lt;=AE$2),$E319,0),$E319*NETWORKDAYS(MAX($I319,AE$3),MIN($J319,AE$2),Data!$K$4:$K$203)/$K319)))</f>
        <v>0</v>
      </c>
      <c r="AF319" s="170">
        <f>IF(OR($I319="",$E319=0),0,IF(OR($J319&lt;AF$3,$I319&gt;AF$2),0,IF($K319=0,IF(AND($I319&gt;=AF$3,$I319&lt;=AF$2),$E319,0),$E319*NETWORKDAYS(MAX($I319,AF$3),MIN($J319,AF$2),Data!$K$4:$K$203)/$K319)))</f>
        <v>0</v>
      </c>
      <c r="AG319" s="170">
        <f>IF(OR($I319="",$E319=0),0,IF(OR($J319&lt;AG$3,$I319&gt;AG$2),0,IF($K319=0,IF(AND($I319&gt;=AG$3,$I319&lt;=AG$2),$E319,0),$E319*NETWORKDAYS(MAX($I319,AG$3),MIN($J319,AG$2),Data!$K$4:$K$203)/$K319)))</f>
        <v>0</v>
      </c>
      <c r="AH319" s="170">
        <f>IF(OR($I319="",$E319=0),0,IF(OR($J319&lt;AH$3,$I319&gt;AH$2),0,IF($K319=0,IF(AND($I319&gt;=AH$3,$I319&lt;=AH$2),$E319,0),$E319*NETWORKDAYS(MAX($I319,AH$3),MIN($J319,AH$2),Data!$K$4:$K$203)/$K319)))</f>
        <v>0</v>
      </c>
      <c r="AI319" s="170">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70"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4" t="str">
        <f>IF(EO319=1,IF(FH319&gt;0,FI319/FH319,AVERAGEIF($FF$4:$FF$503,EN319,$C$4:$C$503)),"")</f>
        <v/>
      </c>
      <c r="EV319" s="169">
        <f>IF(ISNUMBER(I319),I319,2958465)</f>
        <v>2958465.0</v>
      </c>
      <c r="EW319" s="169" t="str">
        <f>IF(EO319=1,SUMPRODUCT(MIN(($EN$4:$EN$503=EN319)*$EV$4:$EV$503+($EN$4:$EN$503&lt;&gt;EN319)*2958465)),"")</f>
        <v/>
      </c>
      <c r="EX319" s="169">
        <f>IF(AND(D319=1,ISNUMBER(INDEX(Charge!$F:$F,ROW()))),INDEX(Charge!$F:$F,ROW()),0)</f>
        <v>0.0</v>
      </c>
      <c r="EY319" s="169"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c r="FF319" t="str">
        <f>IF(B319=1,LEFT(SUBSTITUTE(SUBSTITUTE(SUBSTITUTE(TRIM(SUBSTITUTE(INDEX(Charge!$B:$B,ROW()),CHAR(160)," "))&amp;" | "&amp;TRIM(SUBSTITUTE(INDEX(Charge!$C:$C,ROW()),CHAR(160)," "))&amp;" | "&amp;TRIM(SUBSTITUTE(INDEX(Charge!$D:$D,ROW()),CHAR(160)," ")),"~","-"),"*","+"),"?","!"),240),"")</f>
        <v/>
      </c>
      <c r="FG319">
        <f>IF(B319=1,MAX(0,N(INDEX(Charge!$M:$M,ROW()))),0)</f>
        <v>0</v>
      </c>
      <c r="FH319" s="170" t="str">
        <f>IF(EO319=1,ROUND(SUMIF($FF$4:$FF$503,EN319,$FG$4:$FG$503),2),"")</f>
        <v/>
      </c>
      <c r="FI319" s="170" t="str">
        <f>IF(EO319=1,ROUND(SUMPRODUCT(($FF$4:$FF$503=EN319)*$FG$4:$FG$503*$C$4:$C$503),2),"")</f>
        <v/>
      </c>
      <c r="FJ319" s="170" t="str">
        <f>IF(EO319=1,MAX(0,ROUND(FH319-FI319,2)),"")</f>
        <v/>
      </c>
      <c r="FK319" s="174" t="str">
        <f>IF(EO319=1,IF(OR(EW319&gt;=2958465,EY319=0,EY319&lt;=EW319),"",IF(TODAY()&lt;=EW319,0,IF(TODAY()&gt;EY319,1,IFERROR(NETWORKDAYS(EW319,TODAY()-1,Data!$K$4:$K$203)/NETWORKDAYS(EW319,EY319,Data!$K$4:$K$203),"")))),"")</f>
        <v/>
      </c>
      <c r="FL319" t="str">
        <f>IF(EO319=1,IF(AND(EY319&gt;0,EY319&lt;TODAY(),ROUND(EU319,4)&lt;1),2,IF(FK319="",0,IF(ROUND(EU319-FK319,4)&lt;-0.15,1,0))),"")</f>
        <v/>
      </c>
      <c r="FM319">
        <f>IF(OR(FA319="",COUNTIF($FA$4:FA318,FA319)&gt;0),0,MAX(0,IF(FB319="Interne",IF(ISNUMBER(INDEX(Data!$F:$F,319)),INDEX(Data!$F:$F,319),p_HeuresETP),IF(ISNUMBER(INDEX(Data!$I:$I,319-$CD$23)),INDEX(Data!$I:$I,319-$CD$23),p_HeuresETP))-IF(FB319="Interne",IF(ISNUMBER(INDEX(Data!$G:$G,319)),INDEX(Data!$G:$G,319),p_ChargeFixe),IF(ISNUMBER(INDEX(Data!$J:$J,319-$CD$23)),INDEX(Data!$J:$J,319-$CD$23),p_ChargeFixe))))</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9" t="str">
        <f>IF(AND(D320=1,ISNUMBER(INDEX(Charge!$N:$N,ROW()))),INDEX(Charge!$N:$N,ROW()),"")</f>
        <v/>
      </c>
      <c r="J320" s="169"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70">
        <f>IF(OR($I320="",$E320=0),0,IF(OR($J320&lt;W$3,$I320&gt;W$2),0,IF($K320=0,IF(AND($I320&gt;=W$3,$I320&lt;=W$2),$E320,0),$E320*NETWORKDAYS(MAX($I320,W$3),MIN($J320,W$2),Data!$K$4:$K$203)/$K320)))</f>
        <v>0</v>
      </c>
      <c r="X320" s="170">
        <f>IF(OR($I320="",$E320=0),0,IF(OR($J320&lt;X$3,$I320&gt;X$2),0,IF($K320=0,IF(AND($I320&gt;=X$3,$I320&lt;=X$2),$E320,0),$E320*NETWORKDAYS(MAX($I320,X$3),MIN($J320,X$2),Data!$K$4:$K$203)/$K320)))</f>
        <v>0</v>
      </c>
      <c r="Y320" s="170">
        <f>IF(OR($I320="",$E320=0),0,IF(OR($J320&lt;Y$3,$I320&gt;Y$2),0,IF($K320=0,IF(AND($I320&gt;=Y$3,$I320&lt;=Y$2),$E320,0),$E320*NETWORKDAYS(MAX($I320,Y$3),MIN($J320,Y$2),Data!$K$4:$K$203)/$K320)))</f>
        <v>0</v>
      </c>
      <c r="Z320" s="170">
        <f>IF(OR($I320="",$E320=0),0,IF(OR($J320&lt;Z$3,$I320&gt;Z$2),0,IF($K320=0,IF(AND($I320&gt;=Z$3,$I320&lt;=Z$2),$E320,0),$E320*NETWORKDAYS(MAX($I320,Z$3),MIN($J320,Z$2),Data!$K$4:$K$203)/$K320)))</f>
        <v>0</v>
      </c>
      <c r="AA320" s="170">
        <f>IF(OR($I320="",$E320=0),0,IF(OR($J320&lt;AA$3,$I320&gt;AA$2),0,IF($K320=0,IF(AND($I320&gt;=AA$3,$I320&lt;=AA$2),$E320,0),$E320*NETWORKDAYS(MAX($I320,AA$3),MIN($J320,AA$2),Data!$K$4:$K$203)/$K320)))</f>
        <v>0</v>
      </c>
      <c r="AB320" s="170">
        <f>IF(OR($I320="",$E320=0),0,IF(OR($J320&lt;AB$3,$I320&gt;AB$2),0,IF($K320=0,IF(AND($I320&gt;=AB$3,$I320&lt;=AB$2),$E320,0),$E320*NETWORKDAYS(MAX($I320,AB$3),MIN($J320,AB$2),Data!$K$4:$K$203)/$K320)))</f>
        <v>0</v>
      </c>
      <c r="AC320" s="170">
        <f>IF(OR($I320="",$E320=0),0,IF(OR($J320&lt;AC$3,$I320&gt;AC$2),0,IF($K320=0,IF(AND($I320&gt;=AC$3,$I320&lt;=AC$2),$E320,0),$E320*NETWORKDAYS(MAX($I320,AC$3),MIN($J320,AC$2),Data!$K$4:$K$203)/$K320)))</f>
        <v>0</v>
      </c>
      <c r="AD320" s="170">
        <f>IF(OR($I320="",$E320=0),0,IF(OR($J320&lt;AD$3,$I320&gt;AD$2),0,IF($K320=0,IF(AND($I320&gt;=AD$3,$I320&lt;=AD$2),$E320,0),$E320*NETWORKDAYS(MAX($I320,AD$3),MIN($J320,AD$2),Data!$K$4:$K$203)/$K320)))</f>
        <v>0</v>
      </c>
      <c r="AE320" s="170">
        <f>IF(OR($I320="",$E320=0),0,IF(OR($J320&lt;AE$3,$I320&gt;AE$2),0,IF($K320=0,IF(AND($I320&gt;=AE$3,$I320&lt;=AE$2),$E320,0),$E320*NETWORKDAYS(MAX($I320,AE$3),MIN($J320,AE$2),Data!$K$4:$K$203)/$K320)))</f>
        <v>0</v>
      </c>
      <c r="AF320" s="170">
        <f>IF(OR($I320="",$E320=0),0,IF(OR($J320&lt;AF$3,$I320&gt;AF$2),0,IF($K320=0,IF(AND($I320&gt;=AF$3,$I320&lt;=AF$2),$E320,0),$E320*NETWORKDAYS(MAX($I320,AF$3),MIN($J320,AF$2),Data!$K$4:$K$203)/$K320)))</f>
        <v>0</v>
      </c>
      <c r="AG320" s="170">
        <f>IF(OR($I320="",$E320=0),0,IF(OR($J320&lt;AG$3,$I320&gt;AG$2),0,IF($K320=0,IF(AND($I320&gt;=AG$3,$I320&lt;=AG$2),$E320,0),$E320*NETWORKDAYS(MAX($I320,AG$3),MIN($J320,AG$2),Data!$K$4:$K$203)/$K320)))</f>
        <v>0</v>
      </c>
      <c r="AH320" s="170">
        <f>IF(OR($I320="",$E320=0),0,IF(OR($J320&lt;AH$3,$I320&gt;AH$2),0,IF($K320=0,IF(AND($I320&gt;=AH$3,$I320&lt;=AH$2),$E320,0),$E320*NETWORKDAYS(MAX($I320,AH$3),MIN($J320,AH$2),Data!$K$4:$K$203)/$K320)))</f>
        <v>0</v>
      </c>
      <c r="AI320" s="170">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70"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4" t="str">
        <f>IF(EO320=1,IF(FH320&gt;0,FI320/FH320,AVERAGEIF($FF$4:$FF$503,EN320,$C$4:$C$503)),"")</f>
        <v/>
      </c>
      <c r="EV320" s="169">
        <f>IF(ISNUMBER(I320),I320,2958465)</f>
        <v>2958465.0</v>
      </c>
      <c r="EW320" s="169" t="str">
        <f>IF(EO320=1,SUMPRODUCT(MIN(($EN$4:$EN$503=EN320)*$EV$4:$EV$503+($EN$4:$EN$503&lt;&gt;EN320)*2958465)),"")</f>
        <v/>
      </c>
      <c r="EX320" s="169">
        <f>IF(AND(D320=1,ISNUMBER(INDEX(Charge!$F:$F,ROW()))),INDEX(Charge!$F:$F,ROW()),0)</f>
        <v>0.0</v>
      </c>
      <c r="EY320" s="169"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c r="FF320" t="str">
        <f>IF(B320=1,LEFT(SUBSTITUTE(SUBSTITUTE(SUBSTITUTE(TRIM(SUBSTITUTE(INDEX(Charge!$B:$B,ROW()),CHAR(160)," "))&amp;" | "&amp;TRIM(SUBSTITUTE(INDEX(Charge!$C:$C,ROW()),CHAR(160)," "))&amp;" | "&amp;TRIM(SUBSTITUTE(INDEX(Charge!$D:$D,ROW()),CHAR(160)," ")),"~","-"),"*","+"),"?","!"),240),"")</f>
        <v/>
      </c>
      <c r="FG320">
        <f>IF(B320=1,MAX(0,N(INDEX(Charge!$M:$M,ROW()))),0)</f>
        <v>0</v>
      </c>
      <c r="FH320" s="170" t="str">
        <f>IF(EO320=1,ROUND(SUMIF($FF$4:$FF$503,EN320,$FG$4:$FG$503),2),"")</f>
        <v/>
      </c>
      <c r="FI320" s="170" t="str">
        <f>IF(EO320=1,ROUND(SUMPRODUCT(($FF$4:$FF$503=EN320)*$FG$4:$FG$503*$C$4:$C$503),2),"")</f>
        <v/>
      </c>
      <c r="FJ320" s="170" t="str">
        <f>IF(EO320=1,MAX(0,ROUND(FH320-FI320,2)),"")</f>
        <v/>
      </c>
      <c r="FK320" s="174" t="str">
        <f>IF(EO320=1,IF(OR(EW320&gt;=2958465,EY320=0,EY320&lt;=EW320),"",IF(TODAY()&lt;=EW320,0,IF(TODAY()&gt;EY320,1,IFERROR(NETWORKDAYS(EW320,TODAY()-1,Data!$K$4:$K$203)/NETWORKDAYS(EW320,EY320,Data!$K$4:$K$203),"")))),"")</f>
        <v/>
      </c>
      <c r="FL320" t="str">
        <f>IF(EO320=1,IF(AND(EY320&gt;0,EY320&lt;TODAY(),ROUND(EU320,4)&lt;1),2,IF(FK320="",0,IF(ROUND(EU320-FK320,4)&lt;-0.15,1,0))),"")</f>
        <v/>
      </c>
      <c r="FM320">
        <f>IF(OR(FA320="",COUNTIF($FA$4:FA319,FA320)&gt;0),0,MAX(0,IF(FB320="Interne",IF(ISNUMBER(INDEX(Data!$F:$F,320)),INDEX(Data!$F:$F,320),p_HeuresETP),IF(ISNUMBER(INDEX(Data!$I:$I,320-$CD$23)),INDEX(Data!$I:$I,320-$CD$23),p_HeuresETP))-IF(FB320="Interne",IF(ISNUMBER(INDEX(Data!$G:$G,320)),INDEX(Data!$G:$G,320),p_ChargeFixe),IF(ISNUMBER(INDEX(Data!$J:$J,320-$CD$23)),INDEX(Data!$J:$J,320-$CD$23),p_ChargeFixe))))</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9" t="str">
        <f>IF(AND(D321=1,ISNUMBER(INDEX(Charge!$N:$N,ROW()))),INDEX(Charge!$N:$N,ROW()),"")</f>
        <v/>
      </c>
      <c r="J321" s="169"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70">
        <f>IF(OR($I321="",$E321=0),0,IF(OR($J321&lt;W$3,$I321&gt;W$2),0,IF($K321=0,IF(AND($I321&gt;=W$3,$I321&lt;=W$2),$E321,0),$E321*NETWORKDAYS(MAX($I321,W$3),MIN($J321,W$2),Data!$K$4:$K$203)/$K321)))</f>
        <v>0</v>
      </c>
      <c r="X321" s="170">
        <f>IF(OR($I321="",$E321=0),0,IF(OR($J321&lt;X$3,$I321&gt;X$2),0,IF($K321=0,IF(AND($I321&gt;=X$3,$I321&lt;=X$2),$E321,0),$E321*NETWORKDAYS(MAX($I321,X$3),MIN($J321,X$2),Data!$K$4:$K$203)/$K321)))</f>
        <v>0</v>
      </c>
      <c r="Y321" s="170">
        <f>IF(OR($I321="",$E321=0),0,IF(OR($J321&lt;Y$3,$I321&gt;Y$2),0,IF($K321=0,IF(AND($I321&gt;=Y$3,$I321&lt;=Y$2),$E321,0),$E321*NETWORKDAYS(MAX($I321,Y$3),MIN($J321,Y$2),Data!$K$4:$K$203)/$K321)))</f>
        <v>0</v>
      </c>
      <c r="Z321" s="170">
        <f>IF(OR($I321="",$E321=0),0,IF(OR($J321&lt;Z$3,$I321&gt;Z$2),0,IF($K321=0,IF(AND($I321&gt;=Z$3,$I321&lt;=Z$2),$E321,0),$E321*NETWORKDAYS(MAX($I321,Z$3),MIN($J321,Z$2),Data!$K$4:$K$203)/$K321)))</f>
        <v>0</v>
      </c>
      <c r="AA321" s="170">
        <f>IF(OR($I321="",$E321=0),0,IF(OR($J321&lt;AA$3,$I321&gt;AA$2),0,IF($K321=0,IF(AND($I321&gt;=AA$3,$I321&lt;=AA$2),$E321,0),$E321*NETWORKDAYS(MAX($I321,AA$3),MIN($J321,AA$2),Data!$K$4:$K$203)/$K321)))</f>
        <v>0</v>
      </c>
      <c r="AB321" s="170">
        <f>IF(OR($I321="",$E321=0),0,IF(OR($J321&lt;AB$3,$I321&gt;AB$2),0,IF($K321=0,IF(AND($I321&gt;=AB$3,$I321&lt;=AB$2),$E321,0),$E321*NETWORKDAYS(MAX($I321,AB$3),MIN($J321,AB$2),Data!$K$4:$K$203)/$K321)))</f>
        <v>0</v>
      </c>
      <c r="AC321" s="170">
        <f>IF(OR($I321="",$E321=0),0,IF(OR($J321&lt;AC$3,$I321&gt;AC$2),0,IF($K321=0,IF(AND($I321&gt;=AC$3,$I321&lt;=AC$2),$E321,0),$E321*NETWORKDAYS(MAX($I321,AC$3),MIN($J321,AC$2),Data!$K$4:$K$203)/$K321)))</f>
        <v>0</v>
      </c>
      <c r="AD321" s="170">
        <f>IF(OR($I321="",$E321=0),0,IF(OR($J321&lt;AD$3,$I321&gt;AD$2),0,IF($K321=0,IF(AND($I321&gt;=AD$3,$I321&lt;=AD$2),$E321,0),$E321*NETWORKDAYS(MAX($I321,AD$3),MIN($J321,AD$2),Data!$K$4:$K$203)/$K321)))</f>
        <v>0</v>
      </c>
      <c r="AE321" s="170">
        <f>IF(OR($I321="",$E321=0),0,IF(OR($J321&lt;AE$3,$I321&gt;AE$2),0,IF($K321=0,IF(AND($I321&gt;=AE$3,$I321&lt;=AE$2),$E321,0),$E321*NETWORKDAYS(MAX($I321,AE$3),MIN($J321,AE$2),Data!$K$4:$K$203)/$K321)))</f>
        <v>0</v>
      </c>
      <c r="AF321" s="170">
        <f>IF(OR($I321="",$E321=0),0,IF(OR($J321&lt;AF$3,$I321&gt;AF$2),0,IF($K321=0,IF(AND($I321&gt;=AF$3,$I321&lt;=AF$2),$E321,0),$E321*NETWORKDAYS(MAX($I321,AF$3),MIN($J321,AF$2),Data!$K$4:$K$203)/$K321)))</f>
        <v>0</v>
      </c>
      <c r="AG321" s="170">
        <f>IF(OR($I321="",$E321=0),0,IF(OR($J321&lt;AG$3,$I321&gt;AG$2),0,IF($K321=0,IF(AND($I321&gt;=AG$3,$I321&lt;=AG$2),$E321,0),$E321*NETWORKDAYS(MAX($I321,AG$3),MIN($J321,AG$2),Data!$K$4:$K$203)/$K321)))</f>
        <v>0</v>
      </c>
      <c r="AH321" s="170">
        <f>IF(OR($I321="",$E321=0),0,IF(OR($J321&lt;AH$3,$I321&gt;AH$2),0,IF($K321=0,IF(AND($I321&gt;=AH$3,$I321&lt;=AH$2),$E321,0),$E321*NETWORKDAYS(MAX($I321,AH$3),MIN($J321,AH$2),Data!$K$4:$K$203)/$K321)))</f>
        <v>0</v>
      </c>
      <c r="AI321" s="170">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70"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4" t="str">
        <f>IF(EO321=1,IF(FH321&gt;0,FI321/FH321,AVERAGEIF($FF$4:$FF$503,EN321,$C$4:$C$503)),"")</f>
        <v/>
      </c>
      <c r="EV321" s="169">
        <f>IF(ISNUMBER(I321),I321,2958465)</f>
        <v>2958465.0</v>
      </c>
      <c r="EW321" s="169" t="str">
        <f>IF(EO321=1,SUMPRODUCT(MIN(($EN$4:$EN$503=EN321)*$EV$4:$EV$503+($EN$4:$EN$503&lt;&gt;EN321)*2958465)),"")</f>
        <v/>
      </c>
      <c r="EX321" s="169">
        <f>IF(AND(D321=1,ISNUMBER(INDEX(Charge!$F:$F,ROW()))),INDEX(Charge!$F:$F,ROW()),0)</f>
        <v>0.0</v>
      </c>
      <c r="EY321" s="169"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c r="FF321" t="str">
        <f>IF(B321=1,LEFT(SUBSTITUTE(SUBSTITUTE(SUBSTITUTE(TRIM(SUBSTITUTE(INDEX(Charge!$B:$B,ROW()),CHAR(160)," "))&amp;" | "&amp;TRIM(SUBSTITUTE(INDEX(Charge!$C:$C,ROW()),CHAR(160)," "))&amp;" | "&amp;TRIM(SUBSTITUTE(INDEX(Charge!$D:$D,ROW()),CHAR(160)," ")),"~","-"),"*","+"),"?","!"),240),"")</f>
        <v/>
      </c>
      <c r="FG321">
        <f>IF(B321=1,MAX(0,N(INDEX(Charge!$M:$M,ROW()))),0)</f>
        <v>0</v>
      </c>
      <c r="FH321" s="170" t="str">
        <f>IF(EO321=1,ROUND(SUMIF($FF$4:$FF$503,EN321,$FG$4:$FG$503),2),"")</f>
        <v/>
      </c>
      <c r="FI321" s="170" t="str">
        <f>IF(EO321=1,ROUND(SUMPRODUCT(($FF$4:$FF$503=EN321)*$FG$4:$FG$503*$C$4:$C$503),2),"")</f>
        <v/>
      </c>
      <c r="FJ321" s="170" t="str">
        <f>IF(EO321=1,MAX(0,ROUND(FH321-FI321,2)),"")</f>
        <v/>
      </c>
      <c r="FK321" s="174" t="str">
        <f>IF(EO321=1,IF(OR(EW321&gt;=2958465,EY321=0,EY321&lt;=EW321),"",IF(TODAY()&lt;=EW321,0,IF(TODAY()&gt;EY321,1,IFERROR(NETWORKDAYS(EW321,TODAY()-1,Data!$K$4:$K$203)/NETWORKDAYS(EW321,EY321,Data!$K$4:$K$203),"")))),"")</f>
        <v/>
      </c>
      <c r="FL321" t="str">
        <f>IF(EO321=1,IF(AND(EY321&gt;0,EY321&lt;TODAY(),ROUND(EU321,4)&lt;1),2,IF(FK321="",0,IF(ROUND(EU321-FK321,4)&lt;-0.15,1,0))),"")</f>
        <v/>
      </c>
      <c r="FM321">
        <f>IF(OR(FA321="",COUNTIF($FA$4:FA320,FA321)&gt;0),0,MAX(0,IF(FB321="Interne",IF(ISNUMBER(INDEX(Data!$F:$F,321)),INDEX(Data!$F:$F,321),p_HeuresETP),IF(ISNUMBER(INDEX(Data!$I:$I,321-$CD$23)),INDEX(Data!$I:$I,321-$CD$23),p_HeuresETP))-IF(FB321="Interne",IF(ISNUMBER(INDEX(Data!$G:$G,321)),INDEX(Data!$G:$G,321),p_ChargeFixe),IF(ISNUMBER(INDEX(Data!$J:$J,321-$CD$23)),INDEX(Data!$J:$J,321-$CD$23),p_ChargeFixe))))</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9" t="str">
        <f>IF(AND(D322=1,ISNUMBER(INDEX(Charge!$N:$N,ROW()))),INDEX(Charge!$N:$N,ROW()),"")</f>
        <v/>
      </c>
      <c r="J322" s="169"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70">
        <f>IF(OR($I322="",$E322=0),0,IF(OR($J322&lt;W$3,$I322&gt;W$2),0,IF($K322=0,IF(AND($I322&gt;=W$3,$I322&lt;=W$2),$E322,0),$E322*NETWORKDAYS(MAX($I322,W$3),MIN($J322,W$2),Data!$K$4:$K$203)/$K322)))</f>
        <v>0</v>
      </c>
      <c r="X322" s="170">
        <f>IF(OR($I322="",$E322=0),0,IF(OR($J322&lt;X$3,$I322&gt;X$2),0,IF($K322=0,IF(AND($I322&gt;=X$3,$I322&lt;=X$2),$E322,0),$E322*NETWORKDAYS(MAX($I322,X$3),MIN($J322,X$2),Data!$K$4:$K$203)/$K322)))</f>
        <v>0</v>
      </c>
      <c r="Y322" s="170">
        <f>IF(OR($I322="",$E322=0),0,IF(OR($J322&lt;Y$3,$I322&gt;Y$2),0,IF($K322=0,IF(AND($I322&gt;=Y$3,$I322&lt;=Y$2),$E322,0),$E322*NETWORKDAYS(MAX($I322,Y$3),MIN($J322,Y$2),Data!$K$4:$K$203)/$K322)))</f>
        <v>0</v>
      </c>
      <c r="Z322" s="170">
        <f>IF(OR($I322="",$E322=0),0,IF(OR($J322&lt;Z$3,$I322&gt;Z$2),0,IF($K322=0,IF(AND($I322&gt;=Z$3,$I322&lt;=Z$2),$E322,0),$E322*NETWORKDAYS(MAX($I322,Z$3),MIN($J322,Z$2),Data!$K$4:$K$203)/$K322)))</f>
        <v>0</v>
      </c>
      <c r="AA322" s="170">
        <f>IF(OR($I322="",$E322=0),0,IF(OR($J322&lt;AA$3,$I322&gt;AA$2),0,IF($K322=0,IF(AND($I322&gt;=AA$3,$I322&lt;=AA$2),$E322,0),$E322*NETWORKDAYS(MAX($I322,AA$3),MIN($J322,AA$2),Data!$K$4:$K$203)/$K322)))</f>
        <v>0</v>
      </c>
      <c r="AB322" s="170">
        <f>IF(OR($I322="",$E322=0),0,IF(OR($J322&lt;AB$3,$I322&gt;AB$2),0,IF($K322=0,IF(AND($I322&gt;=AB$3,$I322&lt;=AB$2),$E322,0),$E322*NETWORKDAYS(MAX($I322,AB$3),MIN($J322,AB$2),Data!$K$4:$K$203)/$K322)))</f>
        <v>0</v>
      </c>
      <c r="AC322" s="170">
        <f>IF(OR($I322="",$E322=0),0,IF(OR($J322&lt;AC$3,$I322&gt;AC$2),0,IF($K322=0,IF(AND($I322&gt;=AC$3,$I322&lt;=AC$2),$E322,0),$E322*NETWORKDAYS(MAX($I322,AC$3),MIN($J322,AC$2),Data!$K$4:$K$203)/$K322)))</f>
        <v>0</v>
      </c>
      <c r="AD322" s="170">
        <f>IF(OR($I322="",$E322=0),0,IF(OR($J322&lt;AD$3,$I322&gt;AD$2),0,IF($K322=0,IF(AND($I322&gt;=AD$3,$I322&lt;=AD$2),$E322,0),$E322*NETWORKDAYS(MAX($I322,AD$3),MIN($J322,AD$2),Data!$K$4:$K$203)/$K322)))</f>
        <v>0</v>
      </c>
      <c r="AE322" s="170">
        <f>IF(OR($I322="",$E322=0),0,IF(OR($J322&lt;AE$3,$I322&gt;AE$2),0,IF($K322=0,IF(AND($I322&gt;=AE$3,$I322&lt;=AE$2),$E322,0),$E322*NETWORKDAYS(MAX($I322,AE$3),MIN($J322,AE$2),Data!$K$4:$K$203)/$K322)))</f>
        <v>0</v>
      </c>
      <c r="AF322" s="170">
        <f>IF(OR($I322="",$E322=0),0,IF(OR($J322&lt;AF$3,$I322&gt;AF$2),0,IF($K322=0,IF(AND($I322&gt;=AF$3,$I322&lt;=AF$2),$E322,0),$E322*NETWORKDAYS(MAX($I322,AF$3),MIN($J322,AF$2),Data!$K$4:$K$203)/$K322)))</f>
        <v>0</v>
      </c>
      <c r="AG322" s="170">
        <f>IF(OR($I322="",$E322=0),0,IF(OR($J322&lt;AG$3,$I322&gt;AG$2),0,IF($K322=0,IF(AND($I322&gt;=AG$3,$I322&lt;=AG$2),$E322,0),$E322*NETWORKDAYS(MAX($I322,AG$3),MIN($J322,AG$2),Data!$K$4:$K$203)/$K322)))</f>
        <v>0</v>
      </c>
      <c r="AH322" s="170">
        <f>IF(OR($I322="",$E322=0),0,IF(OR($J322&lt;AH$3,$I322&gt;AH$2),0,IF($K322=0,IF(AND($I322&gt;=AH$3,$I322&lt;=AH$2),$E322,0),$E322*NETWORKDAYS(MAX($I322,AH$3),MIN($J322,AH$2),Data!$K$4:$K$203)/$K322)))</f>
        <v>0</v>
      </c>
      <c r="AI322" s="170">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70"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4" t="str">
        <f>IF(EO322=1,IF(FH322&gt;0,FI322/FH322,AVERAGEIF($FF$4:$FF$503,EN322,$C$4:$C$503)),"")</f>
        <v/>
      </c>
      <c r="EV322" s="169">
        <f>IF(ISNUMBER(I322),I322,2958465)</f>
        <v>2958465.0</v>
      </c>
      <c r="EW322" s="169" t="str">
        <f>IF(EO322=1,SUMPRODUCT(MIN(($EN$4:$EN$503=EN322)*$EV$4:$EV$503+($EN$4:$EN$503&lt;&gt;EN322)*2958465)),"")</f>
        <v/>
      </c>
      <c r="EX322" s="169">
        <f>IF(AND(D322=1,ISNUMBER(INDEX(Charge!$F:$F,ROW()))),INDEX(Charge!$F:$F,ROW()),0)</f>
        <v>0.0</v>
      </c>
      <c r="EY322" s="169"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c r="FF322" t="str">
        <f>IF(B322=1,LEFT(SUBSTITUTE(SUBSTITUTE(SUBSTITUTE(TRIM(SUBSTITUTE(INDEX(Charge!$B:$B,ROW()),CHAR(160)," "))&amp;" | "&amp;TRIM(SUBSTITUTE(INDEX(Charge!$C:$C,ROW()),CHAR(160)," "))&amp;" | "&amp;TRIM(SUBSTITUTE(INDEX(Charge!$D:$D,ROW()),CHAR(160)," ")),"~","-"),"*","+"),"?","!"),240),"")</f>
        <v/>
      </c>
      <c r="FG322">
        <f>IF(B322=1,MAX(0,N(INDEX(Charge!$M:$M,ROW()))),0)</f>
        <v>0</v>
      </c>
      <c r="FH322" s="170" t="str">
        <f>IF(EO322=1,ROUND(SUMIF($FF$4:$FF$503,EN322,$FG$4:$FG$503),2),"")</f>
        <v/>
      </c>
      <c r="FI322" s="170" t="str">
        <f>IF(EO322=1,ROUND(SUMPRODUCT(($FF$4:$FF$503=EN322)*$FG$4:$FG$503*$C$4:$C$503),2),"")</f>
        <v/>
      </c>
      <c r="FJ322" s="170" t="str">
        <f>IF(EO322=1,MAX(0,ROUND(FH322-FI322,2)),"")</f>
        <v/>
      </c>
      <c r="FK322" s="174" t="str">
        <f>IF(EO322=1,IF(OR(EW322&gt;=2958465,EY322=0,EY322&lt;=EW322),"",IF(TODAY()&lt;=EW322,0,IF(TODAY()&gt;EY322,1,IFERROR(NETWORKDAYS(EW322,TODAY()-1,Data!$K$4:$K$203)/NETWORKDAYS(EW322,EY322,Data!$K$4:$K$203),"")))),"")</f>
        <v/>
      </c>
      <c r="FL322" t="str">
        <f>IF(EO322=1,IF(AND(EY322&gt;0,EY322&lt;TODAY(),ROUND(EU322,4)&lt;1),2,IF(FK322="",0,IF(ROUND(EU322-FK322,4)&lt;-0.15,1,0))),"")</f>
        <v/>
      </c>
      <c r="FM322">
        <f>IF(OR(FA322="",COUNTIF($FA$4:FA321,FA322)&gt;0),0,MAX(0,IF(FB322="Interne",IF(ISNUMBER(INDEX(Data!$F:$F,322)),INDEX(Data!$F:$F,322),p_HeuresETP),IF(ISNUMBER(INDEX(Data!$I:$I,322-$CD$23)),INDEX(Data!$I:$I,322-$CD$23),p_HeuresETP))-IF(FB322="Interne",IF(ISNUMBER(INDEX(Data!$G:$G,322)),INDEX(Data!$G:$G,322),p_ChargeFixe),IF(ISNUMBER(INDEX(Data!$J:$J,322-$CD$23)),INDEX(Data!$J:$J,322-$CD$23),p_ChargeFixe))))</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9" t="str">
        <f>IF(AND(D323=1,ISNUMBER(INDEX(Charge!$N:$N,ROW()))),INDEX(Charge!$N:$N,ROW()),"")</f>
        <v/>
      </c>
      <c r="J323" s="169"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70">
        <f>IF(OR($I323="",$E323=0),0,IF(OR($J323&lt;W$3,$I323&gt;W$2),0,IF($K323=0,IF(AND($I323&gt;=W$3,$I323&lt;=W$2),$E323,0),$E323*NETWORKDAYS(MAX($I323,W$3),MIN($J323,W$2),Data!$K$4:$K$203)/$K323)))</f>
        <v>0</v>
      </c>
      <c r="X323" s="170">
        <f>IF(OR($I323="",$E323=0),0,IF(OR($J323&lt;X$3,$I323&gt;X$2),0,IF($K323=0,IF(AND($I323&gt;=X$3,$I323&lt;=X$2),$E323,0),$E323*NETWORKDAYS(MAX($I323,X$3),MIN($J323,X$2),Data!$K$4:$K$203)/$K323)))</f>
        <v>0</v>
      </c>
      <c r="Y323" s="170">
        <f>IF(OR($I323="",$E323=0),0,IF(OR($J323&lt;Y$3,$I323&gt;Y$2),0,IF($K323=0,IF(AND($I323&gt;=Y$3,$I323&lt;=Y$2),$E323,0),$E323*NETWORKDAYS(MAX($I323,Y$3),MIN($J323,Y$2),Data!$K$4:$K$203)/$K323)))</f>
        <v>0</v>
      </c>
      <c r="Z323" s="170">
        <f>IF(OR($I323="",$E323=0),0,IF(OR($J323&lt;Z$3,$I323&gt;Z$2),0,IF($K323=0,IF(AND($I323&gt;=Z$3,$I323&lt;=Z$2),$E323,0),$E323*NETWORKDAYS(MAX($I323,Z$3),MIN($J323,Z$2),Data!$K$4:$K$203)/$K323)))</f>
        <v>0</v>
      </c>
      <c r="AA323" s="170">
        <f>IF(OR($I323="",$E323=0),0,IF(OR($J323&lt;AA$3,$I323&gt;AA$2),0,IF($K323=0,IF(AND($I323&gt;=AA$3,$I323&lt;=AA$2),$E323,0),$E323*NETWORKDAYS(MAX($I323,AA$3),MIN($J323,AA$2),Data!$K$4:$K$203)/$K323)))</f>
        <v>0</v>
      </c>
      <c r="AB323" s="170">
        <f>IF(OR($I323="",$E323=0),0,IF(OR($J323&lt;AB$3,$I323&gt;AB$2),0,IF($K323=0,IF(AND($I323&gt;=AB$3,$I323&lt;=AB$2),$E323,0),$E323*NETWORKDAYS(MAX($I323,AB$3),MIN($J323,AB$2),Data!$K$4:$K$203)/$K323)))</f>
        <v>0</v>
      </c>
      <c r="AC323" s="170">
        <f>IF(OR($I323="",$E323=0),0,IF(OR($J323&lt;AC$3,$I323&gt;AC$2),0,IF($K323=0,IF(AND($I323&gt;=AC$3,$I323&lt;=AC$2),$E323,0),$E323*NETWORKDAYS(MAX($I323,AC$3),MIN($J323,AC$2),Data!$K$4:$K$203)/$K323)))</f>
        <v>0</v>
      </c>
      <c r="AD323" s="170">
        <f>IF(OR($I323="",$E323=0),0,IF(OR($J323&lt;AD$3,$I323&gt;AD$2),0,IF($K323=0,IF(AND($I323&gt;=AD$3,$I323&lt;=AD$2),$E323,0),$E323*NETWORKDAYS(MAX($I323,AD$3),MIN($J323,AD$2),Data!$K$4:$K$203)/$K323)))</f>
        <v>0</v>
      </c>
      <c r="AE323" s="170">
        <f>IF(OR($I323="",$E323=0),0,IF(OR($J323&lt;AE$3,$I323&gt;AE$2),0,IF($K323=0,IF(AND($I323&gt;=AE$3,$I323&lt;=AE$2),$E323,0),$E323*NETWORKDAYS(MAX($I323,AE$3),MIN($J323,AE$2),Data!$K$4:$K$203)/$K323)))</f>
        <v>0</v>
      </c>
      <c r="AF323" s="170">
        <f>IF(OR($I323="",$E323=0),0,IF(OR($J323&lt;AF$3,$I323&gt;AF$2),0,IF($K323=0,IF(AND($I323&gt;=AF$3,$I323&lt;=AF$2),$E323,0),$E323*NETWORKDAYS(MAX($I323,AF$3),MIN($J323,AF$2),Data!$K$4:$K$203)/$K323)))</f>
        <v>0</v>
      </c>
      <c r="AG323" s="170">
        <f>IF(OR($I323="",$E323=0),0,IF(OR($J323&lt;AG$3,$I323&gt;AG$2),0,IF($K323=0,IF(AND($I323&gt;=AG$3,$I323&lt;=AG$2),$E323,0),$E323*NETWORKDAYS(MAX($I323,AG$3),MIN($J323,AG$2),Data!$K$4:$K$203)/$K323)))</f>
        <v>0</v>
      </c>
      <c r="AH323" s="170">
        <f>IF(OR($I323="",$E323=0),0,IF(OR($J323&lt;AH$3,$I323&gt;AH$2),0,IF($K323=0,IF(AND($I323&gt;=AH$3,$I323&lt;=AH$2),$E323,0),$E323*NETWORKDAYS(MAX($I323,AH$3),MIN($J323,AH$2),Data!$K$4:$K$203)/$K323)))</f>
        <v>0</v>
      </c>
      <c r="AI323" s="170">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70"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4" t="str">
        <f>IF(EO323=1,IF(FH323&gt;0,FI323/FH323,AVERAGEIF($FF$4:$FF$503,EN323,$C$4:$C$503)),"")</f>
        <v/>
      </c>
      <c r="EV323" s="169">
        <f>IF(ISNUMBER(I323),I323,2958465)</f>
        <v>2958465.0</v>
      </c>
      <c r="EW323" s="169" t="str">
        <f>IF(EO323=1,SUMPRODUCT(MIN(($EN$4:$EN$503=EN323)*$EV$4:$EV$503+($EN$4:$EN$503&lt;&gt;EN323)*2958465)),"")</f>
        <v/>
      </c>
      <c r="EX323" s="169">
        <f>IF(AND(D323=1,ISNUMBER(INDEX(Charge!$F:$F,ROW()))),INDEX(Charge!$F:$F,ROW()),0)</f>
        <v>0.0</v>
      </c>
      <c r="EY323" s="169"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c r="FF323" t="str">
        <f>IF(B323=1,LEFT(SUBSTITUTE(SUBSTITUTE(SUBSTITUTE(TRIM(SUBSTITUTE(INDEX(Charge!$B:$B,ROW()),CHAR(160)," "))&amp;" | "&amp;TRIM(SUBSTITUTE(INDEX(Charge!$C:$C,ROW()),CHAR(160)," "))&amp;" | "&amp;TRIM(SUBSTITUTE(INDEX(Charge!$D:$D,ROW()),CHAR(160)," ")),"~","-"),"*","+"),"?","!"),240),"")</f>
        <v/>
      </c>
      <c r="FG323">
        <f>IF(B323=1,MAX(0,N(INDEX(Charge!$M:$M,ROW()))),0)</f>
        <v>0</v>
      </c>
      <c r="FH323" s="170" t="str">
        <f>IF(EO323=1,ROUND(SUMIF($FF$4:$FF$503,EN323,$FG$4:$FG$503),2),"")</f>
        <v/>
      </c>
      <c r="FI323" s="170" t="str">
        <f>IF(EO323=1,ROUND(SUMPRODUCT(($FF$4:$FF$503=EN323)*$FG$4:$FG$503*$C$4:$C$503),2),"")</f>
        <v/>
      </c>
      <c r="FJ323" s="170" t="str">
        <f>IF(EO323=1,MAX(0,ROUND(FH323-FI323,2)),"")</f>
        <v/>
      </c>
      <c r="FK323" s="174" t="str">
        <f>IF(EO323=1,IF(OR(EW323&gt;=2958465,EY323=0,EY323&lt;=EW323),"",IF(TODAY()&lt;=EW323,0,IF(TODAY()&gt;EY323,1,IFERROR(NETWORKDAYS(EW323,TODAY()-1,Data!$K$4:$K$203)/NETWORKDAYS(EW323,EY323,Data!$K$4:$K$203),"")))),"")</f>
        <v/>
      </c>
      <c r="FL323" t="str">
        <f>IF(EO323=1,IF(AND(EY323&gt;0,EY323&lt;TODAY(),ROUND(EU323,4)&lt;1),2,IF(FK323="",0,IF(ROUND(EU323-FK323,4)&lt;-0.15,1,0))),"")</f>
        <v/>
      </c>
      <c r="FM323">
        <f>IF(OR(FA323="",COUNTIF($FA$4:FA322,FA323)&gt;0),0,MAX(0,IF(FB323="Interne",IF(ISNUMBER(INDEX(Data!$F:$F,323)),INDEX(Data!$F:$F,323),p_HeuresETP),IF(ISNUMBER(INDEX(Data!$I:$I,323-$CD$23)),INDEX(Data!$I:$I,323-$CD$23),p_HeuresETP))-IF(FB323="Interne",IF(ISNUMBER(INDEX(Data!$G:$G,323)),INDEX(Data!$G:$G,323),p_ChargeFixe),IF(ISNUMBER(INDEX(Data!$J:$J,323-$CD$23)),INDEX(Data!$J:$J,323-$CD$23),p_ChargeFixe))))</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9" t="str">
        <f>IF(AND(D324=1,ISNUMBER(INDEX(Charge!$N:$N,ROW()))),INDEX(Charge!$N:$N,ROW()),"")</f>
        <v/>
      </c>
      <c r="J324" s="169"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70">
        <f>IF(OR($I324="",$E324=0),0,IF(OR($J324&lt;W$3,$I324&gt;W$2),0,IF($K324=0,IF(AND($I324&gt;=W$3,$I324&lt;=W$2),$E324,0),$E324*NETWORKDAYS(MAX($I324,W$3),MIN($J324,W$2),Data!$K$4:$K$203)/$K324)))</f>
        <v>0</v>
      </c>
      <c r="X324" s="170">
        <f>IF(OR($I324="",$E324=0),0,IF(OR($J324&lt;X$3,$I324&gt;X$2),0,IF($K324=0,IF(AND($I324&gt;=X$3,$I324&lt;=X$2),$E324,0),$E324*NETWORKDAYS(MAX($I324,X$3),MIN($J324,X$2),Data!$K$4:$K$203)/$K324)))</f>
        <v>0</v>
      </c>
      <c r="Y324" s="170">
        <f>IF(OR($I324="",$E324=0),0,IF(OR($J324&lt;Y$3,$I324&gt;Y$2),0,IF($K324=0,IF(AND($I324&gt;=Y$3,$I324&lt;=Y$2),$E324,0),$E324*NETWORKDAYS(MAX($I324,Y$3),MIN($J324,Y$2),Data!$K$4:$K$203)/$K324)))</f>
        <v>0</v>
      </c>
      <c r="Z324" s="170">
        <f>IF(OR($I324="",$E324=0),0,IF(OR($J324&lt;Z$3,$I324&gt;Z$2),0,IF($K324=0,IF(AND($I324&gt;=Z$3,$I324&lt;=Z$2),$E324,0),$E324*NETWORKDAYS(MAX($I324,Z$3),MIN($J324,Z$2),Data!$K$4:$K$203)/$K324)))</f>
        <v>0</v>
      </c>
      <c r="AA324" s="170">
        <f>IF(OR($I324="",$E324=0),0,IF(OR($J324&lt;AA$3,$I324&gt;AA$2),0,IF($K324=0,IF(AND($I324&gt;=AA$3,$I324&lt;=AA$2),$E324,0),$E324*NETWORKDAYS(MAX($I324,AA$3),MIN($J324,AA$2),Data!$K$4:$K$203)/$K324)))</f>
        <v>0</v>
      </c>
      <c r="AB324" s="170">
        <f>IF(OR($I324="",$E324=0),0,IF(OR($J324&lt;AB$3,$I324&gt;AB$2),0,IF($K324=0,IF(AND($I324&gt;=AB$3,$I324&lt;=AB$2),$E324,0),$E324*NETWORKDAYS(MAX($I324,AB$3),MIN($J324,AB$2),Data!$K$4:$K$203)/$K324)))</f>
        <v>0</v>
      </c>
      <c r="AC324" s="170">
        <f>IF(OR($I324="",$E324=0),0,IF(OR($J324&lt;AC$3,$I324&gt;AC$2),0,IF($K324=0,IF(AND($I324&gt;=AC$3,$I324&lt;=AC$2),$E324,0),$E324*NETWORKDAYS(MAX($I324,AC$3),MIN($J324,AC$2),Data!$K$4:$K$203)/$K324)))</f>
        <v>0</v>
      </c>
      <c r="AD324" s="170">
        <f>IF(OR($I324="",$E324=0),0,IF(OR($J324&lt;AD$3,$I324&gt;AD$2),0,IF($K324=0,IF(AND($I324&gt;=AD$3,$I324&lt;=AD$2),$E324,0),$E324*NETWORKDAYS(MAX($I324,AD$3),MIN($J324,AD$2),Data!$K$4:$K$203)/$K324)))</f>
        <v>0</v>
      </c>
      <c r="AE324" s="170">
        <f>IF(OR($I324="",$E324=0),0,IF(OR($J324&lt;AE$3,$I324&gt;AE$2),0,IF($K324=0,IF(AND($I324&gt;=AE$3,$I324&lt;=AE$2),$E324,0),$E324*NETWORKDAYS(MAX($I324,AE$3),MIN($J324,AE$2),Data!$K$4:$K$203)/$K324)))</f>
        <v>0</v>
      </c>
      <c r="AF324" s="170">
        <f>IF(OR($I324="",$E324=0),0,IF(OR($J324&lt;AF$3,$I324&gt;AF$2),0,IF($K324=0,IF(AND($I324&gt;=AF$3,$I324&lt;=AF$2),$E324,0),$E324*NETWORKDAYS(MAX($I324,AF$3),MIN($J324,AF$2),Data!$K$4:$K$203)/$K324)))</f>
        <v>0</v>
      </c>
      <c r="AG324" s="170">
        <f>IF(OR($I324="",$E324=0),0,IF(OR($J324&lt;AG$3,$I324&gt;AG$2),0,IF($K324=0,IF(AND($I324&gt;=AG$3,$I324&lt;=AG$2),$E324,0),$E324*NETWORKDAYS(MAX($I324,AG$3),MIN($J324,AG$2),Data!$K$4:$K$203)/$K324)))</f>
        <v>0</v>
      </c>
      <c r="AH324" s="170">
        <f>IF(OR($I324="",$E324=0),0,IF(OR($J324&lt;AH$3,$I324&gt;AH$2),0,IF($K324=0,IF(AND($I324&gt;=AH$3,$I324&lt;=AH$2),$E324,0),$E324*NETWORKDAYS(MAX($I324,AH$3),MIN($J324,AH$2),Data!$K$4:$K$203)/$K324)))</f>
        <v>0</v>
      </c>
      <c r="AI324" s="170">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70"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4" t="str">
        <f>IF(EO324=1,IF(FH324&gt;0,FI324/FH324,AVERAGEIF($FF$4:$FF$503,EN324,$C$4:$C$503)),"")</f>
        <v/>
      </c>
      <c r="EV324" s="169">
        <f>IF(ISNUMBER(I324),I324,2958465)</f>
        <v>2958465.0</v>
      </c>
      <c r="EW324" s="169" t="str">
        <f>IF(EO324=1,SUMPRODUCT(MIN(($EN$4:$EN$503=EN324)*$EV$4:$EV$503+($EN$4:$EN$503&lt;&gt;EN324)*2958465)),"")</f>
        <v/>
      </c>
      <c r="EX324" s="169">
        <f>IF(AND(D324=1,ISNUMBER(INDEX(Charge!$F:$F,ROW()))),INDEX(Charge!$F:$F,ROW()),0)</f>
        <v>0.0</v>
      </c>
      <c r="EY324" s="169"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c r="FF324" t="str">
        <f>IF(B324=1,LEFT(SUBSTITUTE(SUBSTITUTE(SUBSTITUTE(TRIM(SUBSTITUTE(INDEX(Charge!$B:$B,ROW()),CHAR(160)," "))&amp;" | "&amp;TRIM(SUBSTITUTE(INDEX(Charge!$C:$C,ROW()),CHAR(160)," "))&amp;" | "&amp;TRIM(SUBSTITUTE(INDEX(Charge!$D:$D,ROW()),CHAR(160)," ")),"~","-"),"*","+"),"?","!"),240),"")</f>
        <v/>
      </c>
      <c r="FG324">
        <f>IF(B324=1,MAX(0,N(INDEX(Charge!$M:$M,ROW()))),0)</f>
        <v>0</v>
      </c>
      <c r="FH324" s="170" t="str">
        <f>IF(EO324=1,ROUND(SUMIF($FF$4:$FF$503,EN324,$FG$4:$FG$503),2),"")</f>
        <v/>
      </c>
      <c r="FI324" s="170" t="str">
        <f>IF(EO324=1,ROUND(SUMPRODUCT(($FF$4:$FF$503=EN324)*$FG$4:$FG$503*$C$4:$C$503),2),"")</f>
        <v/>
      </c>
      <c r="FJ324" s="170" t="str">
        <f>IF(EO324=1,MAX(0,ROUND(FH324-FI324,2)),"")</f>
        <v/>
      </c>
      <c r="FK324" s="174" t="str">
        <f>IF(EO324=1,IF(OR(EW324&gt;=2958465,EY324=0,EY324&lt;=EW324),"",IF(TODAY()&lt;=EW324,0,IF(TODAY()&gt;EY324,1,IFERROR(NETWORKDAYS(EW324,TODAY()-1,Data!$K$4:$K$203)/NETWORKDAYS(EW324,EY324,Data!$K$4:$K$203),"")))),"")</f>
        <v/>
      </c>
      <c r="FL324" t="str">
        <f>IF(EO324=1,IF(AND(EY324&gt;0,EY324&lt;TODAY(),ROUND(EU324,4)&lt;1),2,IF(FK324="",0,IF(ROUND(EU324-FK324,4)&lt;-0.15,1,0))),"")</f>
        <v/>
      </c>
      <c r="FM324">
        <f>IF(OR(FA324="",COUNTIF($FA$4:FA323,FA324)&gt;0),0,MAX(0,IF(FB324="Interne",IF(ISNUMBER(INDEX(Data!$F:$F,324)),INDEX(Data!$F:$F,324),p_HeuresETP),IF(ISNUMBER(INDEX(Data!$I:$I,324-$CD$23)),INDEX(Data!$I:$I,324-$CD$23),p_HeuresETP))-IF(FB324="Interne",IF(ISNUMBER(INDEX(Data!$G:$G,324)),INDEX(Data!$G:$G,324),p_ChargeFixe),IF(ISNUMBER(INDEX(Data!$J:$J,324-$CD$23)),INDEX(Data!$J:$J,324-$CD$23),p_ChargeFixe))))</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9" t="str">
        <f>IF(AND(D325=1,ISNUMBER(INDEX(Charge!$N:$N,ROW()))),INDEX(Charge!$N:$N,ROW()),"")</f>
        <v/>
      </c>
      <c r="J325" s="169"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70">
        <f>IF(OR($I325="",$E325=0),0,IF(OR($J325&lt;W$3,$I325&gt;W$2),0,IF($K325=0,IF(AND($I325&gt;=W$3,$I325&lt;=W$2),$E325,0),$E325*NETWORKDAYS(MAX($I325,W$3),MIN($J325,W$2),Data!$K$4:$K$203)/$K325)))</f>
        <v>0</v>
      </c>
      <c r="X325" s="170">
        <f>IF(OR($I325="",$E325=0),0,IF(OR($J325&lt;X$3,$I325&gt;X$2),0,IF($K325=0,IF(AND($I325&gt;=X$3,$I325&lt;=X$2),$E325,0),$E325*NETWORKDAYS(MAX($I325,X$3),MIN($J325,X$2),Data!$K$4:$K$203)/$K325)))</f>
        <v>0</v>
      </c>
      <c r="Y325" s="170">
        <f>IF(OR($I325="",$E325=0),0,IF(OR($J325&lt;Y$3,$I325&gt;Y$2),0,IF($K325=0,IF(AND($I325&gt;=Y$3,$I325&lt;=Y$2),$E325,0),$E325*NETWORKDAYS(MAX($I325,Y$3),MIN($J325,Y$2),Data!$K$4:$K$203)/$K325)))</f>
        <v>0</v>
      </c>
      <c r="Z325" s="170">
        <f>IF(OR($I325="",$E325=0),0,IF(OR($J325&lt;Z$3,$I325&gt;Z$2),0,IF($K325=0,IF(AND($I325&gt;=Z$3,$I325&lt;=Z$2),$E325,0),$E325*NETWORKDAYS(MAX($I325,Z$3),MIN($J325,Z$2),Data!$K$4:$K$203)/$K325)))</f>
        <v>0</v>
      </c>
      <c r="AA325" s="170">
        <f>IF(OR($I325="",$E325=0),0,IF(OR($J325&lt;AA$3,$I325&gt;AA$2),0,IF($K325=0,IF(AND($I325&gt;=AA$3,$I325&lt;=AA$2),$E325,0),$E325*NETWORKDAYS(MAX($I325,AA$3),MIN($J325,AA$2),Data!$K$4:$K$203)/$K325)))</f>
        <v>0</v>
      </c>
      <c r="AB325" s="170">
        <f>IF(OR($I325="",$E325=0),0,IF(OR($J325&lt;AB$3,$I325&gt;AB$2),0,IF($K325=0,IF(AND($I325&gt;=AB$3,$I325&lt;=AB$2),$E325,0),$E325*NETWORKDAYS(MAX($I325,AB$3),MIN($J325,AB$2),Data!$K$4:$K$203)/$K325)))</f>
        <v>0</v>
      </c>
      <c r="AC325" s="170">
        <f>IF(OR($I325="",$E325=0),0,IF(OR($J325&lt;AC$3,$I325&gt;AC$2),0,IF($K325=0,IF(AND($I325&gt;=AC$3,$I325&lt;=AC$2),$E325,0),$E325*NETWORKDAYS(MAX($I325,AC$3),MIN($J325,AC$2),Data!$K$4:$K$203)/$K325)))</f>
        <v>0</v>
      </c>
      <c r="AD325" s="170">
        <f>IF(OR($I325="",$E325=0),0,IF(OR($J325&lt;AD$3,$I325&gt;AD$2),0,IF($K325=0,IF(AND($I325&gt;=AD$3,$I325&lt;=AD$2),$E325,0),$E325*NETWORKDAYS(MAX($I325,AD$3),MIN($J325,AD$2),Data!$K$4:$K$203)/$K325)))</f>
        <v>0</v>
      </c>
      <c r="AE325" s="170">
        <f>IF(OR($I325="",$E325=0),0,IF(OR($J325&lt;AE$3,$I325&gt;AE$2),0,IF($K325=0,IF(AND($I325&gt;=AE$3,$I325&lt;=AE$2),$E325,0),$E325*NETWORKDAYS(MAX($I325,AE$3),MIN($J325,AE$2),Data!$K$4:$K$203)/$K325)))</f>
        <v>0</v>
      </c>
      <c r="AF325" s="170">
        <f>IF(OR($I325="",$E325=0),0,IF(OR($J325&lt;AF$3,$I325&gt;AF$2),0,IF($K325=0,IF(AND($I325&gt;=AF$3,$I325&lt;=AF$2),$E325,0),$E325*NETWORKDAYS(MAX($I325,AF$3),MIN($J325,AF$2),Data!$K$4:$K$203)/$K325)))</f>
        <v>0</v>
      </c>
      <c r="AG325" s="170">
        <f>IF(OR($I325="",$E325=0),0,IF(OR($J325&lt;AG$3,$I325&gt;AG$2),0,IF($K325=0,IF(AND($I325&gt;=AG$3,$I325&lt;=AG$2),$E325,0),$E325*NETWORKDAYS(MAX($I325,AG$3),MIN($J325,AG$2),Data!$K$4:$K$203)/$K325)))</f>
        <v>0</v>
      </c>
      <c r="AH325" s="170">
        <f>IF(OR($I325="",$E325=0),0,IF(OR($J325&lt;AH$3,$I325&gt;AH$2),0,IF($K325=0,IF(AND($I325&gt;=AH$3,$I325&lt;=AH$2),$E325,0),$E325*NETWORKDAYS(MAX($I325,AH$3),MIN($J325,AH$2),Data!$K$4:$K$203)/$K325)))</f>
        <v>0</v>
      </c>
      <c r="AI325" s="170">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70"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4" t="str">
        <f>IF(EO325=1,IF(FH325&gt;0,FI325/FH325,AVERAGEIF($FF$4:$FF$503,EN325,$C$4:$C$503)),"")</f>
        <v/>
      </c>
      <c r="EV325" s="169">
        <f>IF(ISNUMBER(I325),I325,2958465)</f>
        <v>2958465.0</v>
      </c>
      <c r="EW325" s="169" t="str">
        <f>IF(EO325=1,SUMPRODUCT(MIN(($EN$4:$EN$503=EN325)*$EV$4:$EV$503+($EN$4:$EN$503&lt;&gt;EN325)*2958465)),"")</f>
        <v/>
      </c>
      <c r="EX325" s="169">
        <f>IF(AND(D325=1,ISNUMBER(INDEX(Charge!$F:$F,ROW()))),INDEX(Charge!$F:$F,ROW()),0)</f>
        <v>0.0</v>
      </c>
      <c r="EY325" s="169"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c r="FF325" t="str">
        <f>IF(B325=1,LEFT(SUBSTITUTE(SUBSTITUTE(SUBSTITUTE(TRIM(SUBSTITUTE(INDEX(Charge!$B:$B,ROW()),CHAR(160)," "))&amp;" | "&amp;TRIM(SUBSTITUTE(INDEX(Charge!$C:$C,ROW()),CHAR(160)," "))&amp;" | "&amp;TRIM(SUBSTITUTE(INDEX(Charge!$D:$D,ROW()),CHAR(160)," ")),"~","-"),"*","+"),"?","!"),240),"")</f>
        <v/>
      </c>
      <c r="FG325">
        <f>IF(B325=1,MAX(0,N(INDEX(Charge!$M:$M,ROW()))),0)</f>
        <v>0</v>
      </c>
      <c r="FH325" s="170" t="str">
        <f>IF(EO325=1,ROUND(SUMIF($FF$4:$FF$503,EN325,$FG$4:$FG$503),2),"")</f>
        <v/>
      </c>
      <c r="FI325" s="170" t="str">
        <f>IF(EO325=1,ROUND(SUMPRODUCT(($FF$4:$FF$503=EN325)*$FG$4:$FG$503*$C$4:$C$503),2),"")</f>
        <v/>
      </c>
      <c r="FJ325" s="170" t="str">
        <f>IF(EO325=1,MAX(0,ROUND(FH325-FI325,2)),"")</f>
        <v/>
      </c>
      <c r="FK325" s="174" t="str">
        <f>IF(EO325=1,IF(OR(EW325&gt;=2958465,EY325=0,EY325&lt;=EW325),"",IF(TODAY()&lt;=EW325,0,IF(TODAY()&gt;EY325,1,IFERROR(NETWORKDAYS(EW325,TODAY()-1,Data!$K$4:$K$203)/NETWORKDAYS(EW325,EY325,Data!$K$4:$K$203),"")))),"")</f>
        <v/>
      </c>
      <c r="FL325" t="str">
        <f>IF(EO325=1,IF(AND(EY325&gt;0,EY325&lt;TODAY(),ROUND(EU325,4)&lt;1),2,IF(FK325="",0,IF(ROUND(EU325-FK325,4)&lt;-0.15,1,0))),"")</f>
        <v/>
      </c>
      <c r="FM325">
        <f>IF(OR(FA325="",COUNTIF($FA$4:FA324,FA325)&gt;0),0,MAX(0,IF(FB325="Interne",IF(ISNUMBER(INDEX(Data!$F:$F,325)),INDEX(Data!$F:$F,325),p_HeuresETP),IF(ISNUMBER(INDEX(Data!$I:$I,325-$CD$23)),INDEX(Data!$I:$I,325-$CD$23),p_HeuresETP))-IF(FB325="Interne",IF(ISNUMBER(INDEX(Data!$G:$G,325)),INDEX(Data!$G:$G,325),p_ChargeFixe),IF(ISNUMBER(INDEX(Data!$J:$J,325-$CD$23)),INDEX(Data!$J:$J,325-$CD$23),p_ChargeFixe))))</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9" t="str">
        <f>IF(AND(D326=1,ISNUMBER(INDEX(Charge!$N:$N,ROW()))),INDEX(Charge!$N:$N,ROW()),"")</f>
        <v/>
      </c>
      <c r="J326" s="169"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70">
        <f>IF(OR($I326="",$E326=0),0,IF(OR($J326&lt;W$3,$I326&gt;W$2),0,IF($K326=0,IF(AND($I326&gt;=W$3,$I326&lt;=W$2),$E326,0),$E326*NETWORKDAYS(MAX($I326,W$3),MIN($J326,W$2),Data!$K$4:$K$203)/$K326)))</f>
        <v>0</v>
      </c>
      <c r="X326" s="170">
        <f>IF(OR($I326="",$E326=0),0,IF(OR($J326&lt;X$3,$I326&gt;X$2),0,IF($K326=0,IF(AND($I326&gt;=X$3,$I326&lt;=X$2),$E326,0),$E326*NETWORKDAYS(MAX($I326,X$3),MIN($J326,X$2),Data!$K$4:$K$203)/$K326)))</f>
        <v>0</v>
      </c>
      <c r="Y326" s="170">
        <f>IF(OR($I326="",$E326=0),0,IF(OR($J326&lt;Y$3,$I326&gt;Y$2),0,IF($K326=0,IF(AND($I326&gt;=Y$3,$I326&lt;=Y$2),$E326,0),$E326*NETWORKDAYS(MAX($I326,Y$3),MIN($J326,Y$2),Data!$K$4:$K$203)/$K326)))</f>
        <v>0</v>
      </c>
      <c r="Z326" s="170">
        <f>IF(OR($I326="",$E326=0),0,IF(OR($J326&lt;Z$3,$I326&gt;Z$2),0,IF($K326=0,IF(AND($I326&gt;=Z$3,$I326&lt;=Z$2),$E326,0),$E326*NETWORKDAYS(MAX($I326,Z$3),MIN($J326,Z$2),Data!$K$4:$K$203)/$K326)))</f>
        <v>0</v>
      </c>
      <c r="AA326" s="170">
        <f>IF(OR($I326="",$E326=0),0,IF(OR($J326&lt;AA$3,$I326&gt;AA$2),0,IF($K326=0,IF(AND($I326&gt;=AA$3,$I326&lt;=AA$2),$E326,0),$E326*NETWORKDAYS(MAX($I326,AA$3),MIN($J326,AA$2),Data!$K$4:$K$203)/$K326)))</f>
        <v>0</v>
      </c>
      <c r="AB326" s="170">
        <f>IF(OR($I326="",$E326=0),0,IF(OR($J326&lt;AB$3,$I326&gt;AB$2),0,IF($K326=0,IF(AND($I326&gt;=AB$3,$I326&lt;=AB$2),$E326,0),$E326*NETWORKDAYS(MAX($I326,AB$3),MIN($J326,AB$2),Data!$K$4:$K$203)/$K326)))</f>
        <v>0</v>
      </c>
      <c r="AC326" s="170">
        <f>IF(OR($I326="",$E326=0),0,IF(OR($J326&lt;AC$3,$I326&gt;AC$2),0,IF($K326=0,IF(AND($I326&gt;=AC$3,$I326&lt;=AC$2),$E326,0),$E326*NETWORKDAYS(MAX($I326,AC$3),MIN($J326,AC$2),Data!$K$4:$K$203)/$K326)))</f>
        <v>0</v>
      </c>
      <c r="AD326" s="170">
        <f>IF(OR($I326="",$E326=0),0,IF(OR($J326&lt;AD$3,$I326&gt;AD$2),0,IF($K326=0,IF(AND($I326&gt;=AD$3,$I326&lt;=AD$2),$E326,0),$E326*NETWORKDAYS(MAX($I326,AD$3),MIN($J326,AD$2),Data!$K$4:$K$203)/$K326)))</f>
        <v>0</v>
      </c>
      <c r="AE326" s="170">
        <f>IF(OR($I326="",$E326=0),0,IF(OR($J326&lt;AE$3,$I326&gt;AE$2),0,IF($K326=0,IF(AND($I326&gt;=AE$3,$I326&lt;=AE$2),$E326,0),$E326*NETWORKDAYS(MAX($I326,AE$3),MIN($J326,AE$2),Data!$K$4:$K$203)/$K326)))</f>
        <v>0</v>
      </c>
      <c r="AF326" s="170">
        <f>IF(OR($I326="",$E326=0),0,IF(OR($J326&lt;AF$3,$I326&gt;AF$2),0,IF($K326=0,IF(AND($I326&gt;=AF$3,$I326&lt;=AF$2),$E326,0),$E326*NETWORKDAYS(MAX($I326,AF$3),MIN($J326,AF$2),Data!$K$4:$K$203)/$K326)))</f>
        <v>0</v>
      </c>
      <c r="AG326" s="170">
        <f>IF(OR($I326="",$E326=0),0,IF(OR($J326&lt;AG$3,$I326&gt;AG$2),0,IF($K326=0,IF(AND($I326&gt;=AG$3,$I326&lt;=AG$2),$E326,0),$E326*NETWORKDAYS(MAX($I326,AG$3),MIN($J326,AG$2),Data!$K$4:$K$203)/$K326)))</f>
        <v>0</v>
      </c>
      <c r="AH326" s="170">
        <f>IF(OR($I326="",$E326=0),0,IF(OR($J326&lt;AH$3,$I326&gt;AH$2),0,IF($K326=0,IF(AND($I326&gt;=AH$3,$I326&lt;=AH$2),$E326,0),$E326*NETWORKDAYS(MAX($I326,AH$3),MIN($J326,AH$2),Data!$K$4:$K$203)/$K326)))</f>
        <v>0</v>
      </c>
      <c r="AI326" s="170">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70"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4" t="str">
        <f>IF(EO326=1,IF(FH326&gt;0,FI326/FH326,AVERAGEIF($FF$4:$FF$503,EN326,$C$4:$C$503)),"")</f>
        <v/>
      </c>
      <c r="EV326" s="169">
        <f>IF(ISNUMBER(I326),I326,2958465)</f>
        <v>2958465.0</v>
      </c>
      <c r="EW326" s="169" t="str">
        <f>IF(EO326=1,SUMPRODUCT(MIN(($EN$4:$EN$503=EN326)*$EV$4:$EV$503+($EN$4:$EN$503&lt;&gt;EN326)*2958465)),"")</f>
        <v/>
      </c>
      <c r="EX326" s="169">
        <f>IF(AND(D326=1,ISNUMBER(INDEX(Charge!$F:$F,ROW()))),INDEX(Charge!$F:$F,ROW()),0)</f>
        <v>0.0</v>
      </c>
      <c r="EY326" s="169"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c r="FF326" t="str">
        <f>IF(B326=1,LEFT(SUBSTITUTE(SUBSTITUTE(SUBSTITUTE(TRIM(SUBSTITUTE(INDEX(Charge!$B:$B,ROW()),CHAR(160)," "))&amp;" | "&amp;TRIM(SUBSTITUTE(INDEX(Charge!$C:$C,ROW()),CHAR(160)," "))&amp;" | "&amp;TRIM(SUBSTITUTE(INDEX(Charge!$D:$D,ROW()),CHAR(160)," ")),"~","-"),"*","+"),"?","!"),240),"")</f>
        <v/>
      </c>
      <c r="FG326">
        <f>IF(B326=1,MAX(0,N(INDEX(Charge!$M:$M,ROW()))),0)</f>
        <v>0</v>
      </c>
      <c r="FH326" s="170" t="str">
        <f>IF(EO326=1,ROUND(SUMIF($FF$4:$FF$503,EN326,$FG$4:$FG$503),2),"")</f>
        <v/>
      </c>
      <c r="FI326" s="170" t="str">
        <f>IF(EO326=1,ROUND(SUMPRODUCT(($FF$4:$FF$503=EN326)*$FG$4:$FG$503*$C$4:$C$503),2),"")</f>
        <v/>
      </c>
      <c r="FJ326" s="170" t="str">
        <f>IF(EO326=1,MAX(0,ROUND(FH326-FI326,2)),"")</f>
        <v/>
      </c>
      <c r="FK326" s="174" t="str">
        <f>IF(EO326=1,IF(OR(EW326&gt;=2958465,EY326=0,EY326&lt;=EW326),"",IF(TODAY()&lt;=EW326,0,IF(TODAY()&gt;EY326,1,IFERROR(NETWORKDAYS(EW326,TODAY()-1,Data!$K$4:$K$203)/NETWORKDAYS(EW326,EY326,Data!$K$4:$K$203),"")))),"")</f>
        <v/>
      </c>
      <c r="FL326" t="str">
        <f>IF(EO326=1,IF(AND(EY326&gt;0,EY326&lt;TODAY(),ROUND(EU326,4)&lt;1),2,IF(FK326="",0,IF(ROUND(EU326-FK326,4)&lt;-0.15,1,0))),"")</f>
        <v/>
      </c>
      <c r="FM326">
        <f>IF(OR(FA326="",COUNTIF($FA$4:FA325,FA326)&gt;0),0,MAX(0,IF(FB326="Interne",IF(ISNUMBER(INDEX(Data!$F:$F,326)),INDEX(Data!$F:$F,326),p_HeuresETP),IF(ISNUMBER(INDEX(Data!$I:$I,326-$CD$23)),INDEX(Data!$I:$I,326-$CD$23),p_HeuresETP))-IF(FB326="Interne",IF(ISNUMBER(INDEX(Data!$G:$G,326)),INDEX(Data!$G:$G,326),p_ChargeFixe),IF(ISNUMBER(INDEX(Data!$J:$J,326-$CD$23)),INDEX(Data!$J:$J,326-$CD$23),p_ChargeFixe))))</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9" t="str">
        <f>IF(AND(D327=1,ISNUMBER(INDEX(Charge!$N:$N,ROW()))),INDEX(Charge!$N:$N,ROW()),"")</f>
        <v/>
      </c>
      <c r="J327" s="169"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70">
        <f>IF(OR($I327="",$E327=0),0,IF(OR($J327&lt;W$3,$I327&gt;W$2),0,IF($K327=0,IF(AND($I327&gt;=W$3,$I327&lt;=W$2),$E327,0),$E327*NETWORKDAYS(MAX($I327,W$3),MIN($J327,W$2),Data!$K$4:$K$203)/$K327)))</f>
        <v>0</v>
      </c>
      <c r="X327" s="170">
        <f>IF(OR($I327="",$E327=0),0,IF(OR($J327&lt;X$3,$I327&gt;X$2),0,IF($K327=0,IF(AND($I327&gt;=X$3,$I327&lt;=X$2),$E327,0),$E327*NETWORKDAYS(MAX($I327,X$3),MIN($J327,X$2),Data!$K$4:$K$203)/$K327)))</f>
        <v>0</v>
      </c>
      <c r="Y327" s="170">
        <f>IF(OR($I327="",$E327=0),0,IF(OR($J327&lt;Y$3,$I327&gt;Y$2),0,IF($K327=0,IF(AND($I327&gt;=Y$3,$I327&lt;=Y$2),$E327,0),$E327*NETWORKDAYS(MAX($I327,Y$3),MIN($J327,Y$2),Data!$K$4:$K$203)/$K327)))</f>
        <v>0</v>
      </c>
      <c r="Z327" s="170">
        <f>IF(OR($I327="",$E327=0),0,IF(OR($J327&lt;Z$3,$I327&gt;Z$2),0,IF($K327=0,IF(AND($I327&gt;=Z$3,$I327&lt;=Z$2),$E327,0),$E327*NETWORKDAYS(MAX($I327,Z$3),MIN($J327,Z$2),Data!$K$4:$K$203)/$K327)))</f>
        <v>0</v>
      </c>
      <c r="AA327" s="170">
        <f>IF(OR($I327="",$E327=0),0,IF(OR($J327&lt;AA$3,$I327&gt;AA$2),0,IF($K327=0,IF(AND($I327&gt;=AA$3,$I327&lt;=AA$2),$E327,0),$E327*NETWORKDAYS(MAX($I327,AA$3),MIN($J327,AA$2),Data!$K$4:$K$203)/$K327)))</f>
        <v>0</v>
      </c>
      <c r="AB327" s="170">
        <f>IF(OR($I327="",$E327=0),0,IF(OR($J327&lt;AB$3,$I327&gt;AB$2),0,IF($K327=0,IF(AND($I327&gt;=AB$3,$I327&lt;=AB$2),$E327,0),$E327*NETWORKDAYS(MAX($I327,AB$3),MIN($J327,AB$2),Data!$K$4:$K$203)/$K327)))</f>
        <v>0</v>
      </c>
      <c r="AC327" s="170">
        <f>IF(OR($I327="",$E327=0),0,IF(OR($J327&lt;AC$3,$I327&gt;AC$2),0,IF($K327=0,IF(AND($I327&gt;=AC$3,$I327&lt;=AC$2),$E327,0),$E327*NETWORKDAYS(MAX($I327,AC$3),MIN($J327,AC$2),Data!$K$4:$K$203)/$K327)))</f>
        <v>0</v>
      </c>
      <c r="AD327" s="170">
        <f>IF(OR($I327="",$E327=0),0,IF(OR($J327&lt;AD$3,$I327&gt;AD$2),0,IF($K327=0,IF(AND($I327&gt;=AD$3,$I327&lt;=AD$2),$E327,0),$E327*NETWORKDAYS(MAX($I327,AD$3),MIN($J327,AD$2),Data!$K$4:$K$203)/$K327)))</f>
        <v>0</v>
      </c>
      <c r="AE327" s="170">
        <f>IF(OR($I327="",$E327=0),0,IF(OR($J327&lt;AE$3,$I327&gt;AE$2),0,IF($K327=0,IF(AND($I327&gt;=AE$3,$I327&lt;=AE$2),$E327,0),$E327*NETWORKDAYS(MAX($I327,AE$3),MIN($J327,AE$2),Data!$K$4:$K$203)/$K327)))</f>
        <v>0</v>
      </c>
      <c r="AF327" s="170">
        <f>IF(OR($I327="",$E327=0),0,IF(OR($J327&lt;AF$3,$I327&gt;AF$2),0,IF($K327=0,IF(AND($I327&gt;=AF$3,$I327&lt;=AF$2),$E327,0),$E327*NETWORKDAYS(MAX($I327,AF$3),MIN($J327,AF$2),Data!$K$4:$K$203)/$K327)))</f>
        <v>0</v>
      </c>
      <c r="AG327" s="170">
        <f>IF(OR($I327="",$E327=0),0,IF(OR($J327&lt;AG$3,$I327&gt;AG$2),0,IF($K327=0,IF(AND($I327&gt;=AG$3,$I327&lt;=AG$2),$E327,0),$E327*NETWORKDAYS(MAX($I327,AG$3),MIN($J327,AG$2),Data!$K$4:$K$203)/$K327)))</f>
        <v>0</v>
      </c>
      <c r="AH327" s="170">
        <f>IF(OR($I327="",$E327=0),0,IF(OR($J327&lt;AH$3,$I327&gt;AH$2),0,IF($K327=0,IF(AND($I327&gt;=AH$3,$I327&lt;=AH$2),$E327,0),$E327*NETWORKDAYS(MAX($I327,AH$3),MIN($J327,AH$2),Data!$K$4:$K$203)/$K327)))</f>
        <v>0</v>
      </c>
      <c r="AI327" s="170">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70"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4" t="str">
        <f>IF(EO327=1,IF(FH327&gt;0,FI327/FH327,AVERAGEIF($FF$4:$FF$503,EN327,$C$4:$C$503)),"")</f>
        <v/>
      </c>
      <c r="EV327" s="169">
        <f>IF(ISNUMBER(I327),I327,2958465)</f>
        <v>2958465.0</v>
      </c>
      <c r="EW327" s="169" t="str">
        <f>IF(EO327=1,SUMPRODUCT(MIN(($EN$4:$EN$503=EN327)*$EV$4:$EV$503+($EN$4:$EN$503&lt;&gt;EN327)*2958465)),"")</f>
        <v/>
      </c>
      <c r="EX327" s="169">
        <f>IF(AND(D327=1,ISNUMBER(INDEX(Charge!$F:$F,ROW()))),INDEX(Charge!$F:$F,ROW()),0)</f>
        <v>0.0</v>
      </c>
      <c r="EY327" s="169"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c r="FF327" t="str">
        <f>IF(B327=1,LEFT(SUBSTITUTE(SUBSTITUTE(SUBSTITUTE(TRIM(SUBSTITUTE(INDEX(Charge!$B:$B,ROW()),CHAR(160)," "))&amp;" | "&amp;TRIM(SUBSTITUTE(INDEX(Charge!$C:$C,ROW()),CHAR(160)," "))&amp;" | "&amp;TRIM(SUBSTITUTE(INDEX(Charge!$D:$D,ROW()),CHAR(160)," ")),"~","-"),"*","+"),"?","!"),240),"")</f>
        <v/>
      </c>
      <c r="FG327">
        <f>IF(B327=1,MAX(0,N(INDEX(Charge!$M:$M,ROW()))),0)</f>
        <v>0</v>
      </c>
      <c r="FH327" s="170" t="str">
        <f>IF(EO327=1,ROUND(SUMIF($FF$4:$FF$503,EN327,$FG$4:$FG$503),2),"")</f>
        <v/>
      </c>
      <c r="FI327" s="170" t="str">
        <f>IF(EO327=1,ROUND(SUMPRODUCT(($FF$4:$FF$503=EN327)*$FG$4:$FG$503*$C$4:$C$503),2),"")</f>
        <v/>
      </c>
      <c r="FJ327" s="170" t="str">
        <f>IF(EO327=1,MAX(0,ROUND(FH327-FI327,2)),"")</f>
        <v/>
      </c>
      <c r="FK327" s="174" t="str">
        <f>IF(EO327=1,IF(OR(EW327&gt;=2958465,EY327=0,EY327&lt;=EW327),"",IF(TODAY()&lt;=EW327,0,IF(TODAY()&gt;EY327,1,IFERROR(NETWORKDAYS(EW327,TODAY()-1,Data!$K$4:$K$203)/NETWORKDAYS(EW327,EY327,Data!$K$4:$K$203),"")))),"")</f>
        <v/>
      </c>
      <c r="FL327" t="str">
        <f>IF(EO327=1,IF(AND(EY327&gt;0,EY327&lt;TODAY(),ROUND(EU327,4)&lt;1),2,IF(FK327="",0,IF(ROUND(EU327-FK327,4)&lt;-0.15,1,0))),"")</f>
        <v/>
      </c>
      <c r="FM327">
        <f>IF(OR(FA327="",COUNTIF($FA$4:FA326,FA327)&gt;0),0,MAX(0,IF(FB327="Interne",IF(ISNUMBER(INDEX(Data!$F:$F,327)),INDEX(Data!$F:$F,327),p_HeuresETP),IF(ISNUMBER(INDEX(Data!$I:$I,327-$CD$23)),INDEX(Data!$I:$I,327-$CD$23),p_HeuresETP))-IF(FB327="Interne",IF(ISNUMBER(INDEX(Data!$G:$G,327)),INDEX(Data!$G:$G,327),p_ChargeFixe),IF(ISNUMBER(INDEX(Data!$J:$J,327-$CD$23)),INDEX(Data!$J:$J,327-$CD$23),p_ChargeFixe))))</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9" t="str">
        <f>IF(AND(D328=1,ISNUMBER(INDEX(Charge!$N:$N,ROW()))),INDEX(Charge!$N:$N,ROW()),"")</f>
        <v/>
      </c>
      <c r="J328" s="169"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70">
        <f>IF(OR($I328="",$E328=0),0,IF(OR($J328&lt;W$3,$I328&gt;W$2),0,IF($K328=0,IF(AND($I328&gt;=W$3,$I328&lt;=W$2),$E328,0),$E328*NETWORKDAYS(MAX($I328,W$3),MIN($J328,W$2),Data!$K$4:$K$203)/$K328)))</f>
        <v>0</v>
      </c>
      <c r="X328" s="170">
        <f>IF(OR($I328="",$E328=0),0,IF(OR($J328&lt;X$3,$I328&gt;X$2),0,IF($K328=0,IF(AND($I328&gt;=X$3,$I328&lt;=X$2),$E328,0),$E328*NETWORKDAYS(MAX($I328,X$3),MIN($J328,X$2),Data!$K$4:$K$203)/$K328)))</f>
        <v>0</v>
      </c>
      <c r="Y328" s="170">
        <f>IF(OR($I328="",$E328=0),0,IF(OR($J328&lt;Y$3,$I328&gt;Y$2),0,IF($K328=0,IF(AND($I328&gt;=Y$3,$I328&lt;=Y$2),$E328,0),$E328*NETWORKDAYS(MAX($I328,Y$3),MIN($J328,Y$2),Data!$K$4:$K$203)/$K328)))</f>
        <v>0</v>
      </c>
      <c r="Z328" s="170">
        <f>IF(OR($I328="",$E328=0),0,IF(OR($J328&lt;Z$3,$I328&gt;Z$2),0,IF($K328=0,IF(AND($I328&gt;=Z$3,$I328&lt;=Z$2),$E328,0),$E328*NETWORKDAYS(MAX($I328,Z$3),MIN($J328,Z$2),Data!$K$4:$K$203)/$K328)))</f>
        <v>0</v>
      </c>
      <c r="AA328" s="170">
        <f>IF(OR($I328="",$E328=0),0,IF(OR($J328&lt;AA$3,$I328&gt;AA$2),0,IF($K328=0,IF(AND($I328&gt;=AA$3,$I328&lt;=AA$2),$E328,0),$E328*NETWORKDAYS(MAX($I328,AA$3),MIN($J328,AA$2),Data!$K$4:$K$203)/$K328)))</f>
        <v>0</v>
      </c>
      <c r="AB328" s="170">
        <f>IF(OR($I328="",$E328=0),0,IF(OR($J328&lt;AB$3,$I328&gt;AB$2),0,IF($K328=0,IF(AND($I328&gt;=AB$3,$I328&lt;=AB$2),$E328,0),$E328*NETWORKDAYS(MAX($I328,AB$3),MIN($J328,AB$2),Data!$K$4:$K$203)/$K328)))</f>
        <v>0</v>
      </c>
      <c r="AC328" s="170">
        <f>IF(OR($I328="",$E328=0),0,IF(OR($J328&lt;AC$3,$I328&gt;AC$2),0,IF($K328=0,IF(AND($I328&gt;=AC$3,$I328&lt;=AC$2),$E328,0),$E328*NETWORKDAYS(MAX($I328,AC$3),MIN($J328,AC$2),Data!$K$4:$K$203)/$K328)))</f>
        <v>0</v>
      </c>
      <c r="AD328" s="170">
        <f>IF(OR($I328="",$E328=0),0,IF(OR($J328&lt;AD$3,$I328&gt;AD$2),0,IF($K328=0,IF(AND($I328&gt;=AD$3,$I328&lt;=AD$2),$E328,0),$E328*NETWORKDAYS(MAX($I328,AD$3),MIN($J328,AD$2),Data!$K$4:$K$203)/$K328)))</f>
        <v>0</v>
      </c>
      <c r="AE328" s="170">
        <f>IF(OR($I328="",$E328=0),0,IF(OR($J328&lt;AE$3,$I328&gt;AE$2),0,IF($K328=0,IF(AND($I328&gt;=AE$3,$I328&lt;=AE$2),$E328,0),$E328*NETWORKDAYS(MAX($I328,AE$3),MIN($J328,AE$2),Data!$K$4:$K$203)/$K328)))</f>
        <v>0</v>
      </c>
      <c r="AF328" s="170">
        <f>IF(OR($I328="",$E328=0),0,IF(OR($J328&lt;AF$3,$I328&gt;AF$2),0,IF($K328=0,IF(AND($I328&gt;=AF$3,$I328&lt;=AF$2),$E328,0),$E328*NETWORKDAYS(MAX($I328,AF$3),MIN($J328,AF$2),Data!$K$4:$K$203)/$K328)))</f>
        <v>0</v>
      </c>
      <c r="AG328" s="170">
        <f>IF(OR($I328="",$E328=0),0,IF(OR($J328&lt;AG$3,$I328&gt;AG$2),0,IF($K328=0,IF(AND($I328&gt;=AG$3,$I328&lt;=AG$2),$E328,0),$E328*NETWORKDAYS(MAX($I328,AG$3),MIN($J328,AG$2),Data!$K$4:$K$203)/$K328)))</f>
        <v>0</v>
      </c>
      <c r="AH328" s="170">
        <f>IF(OR($I328="",$E328=0),0,IF(OR($J328&lt;AH$3,$I328&gt;AH$2),0,IF($K328=0,IF(AND($I328&gt;=AH$3,$I328&lt;=AH$2),$E328,0),$E328*NETWORKDAYS(MAX($I328,AH$3),MIN($J328,AH$2),Data!$K$4:$K$203)/$K328)))</f>
        <v>0</v>
      </c>
      <c r="AI328" s="170">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70"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4" t="str">
        <f>IF(EO328=1,IF(FH328&gt;0,FI328/FH328,AVERAGEIF($FF$4:$FF$503,EN328,$C$4:$C$503)),"")</f>
        <v/>
      </c>
      <c r="EV328" s="169">
        <f>IF(ISNUMBER(I328),I328,2958465)</f>
        <v>2958465.0</v>
      </c>
      <c r="EW328" s="169" t="str">
        <f>IF(EO328=1,SUMPRODUCT(MIN(($EN$4:$EN$503=EN328)*$EV$4:$EV$503+($EN$4:$EN$503&lt;&gt;EN328)*2958465)),"")</f>
        <v/>
      </c>
      <c r="EX328" s="169">
        <f>IF(AND(D328=1,ISNUMBER(INDEX(Charge!$F:$F,ROW()))),INDEX(Charge!$F:$F,ROW()),0)</f>
        <v>0.0</v>
      </c>
      <c r="EY328" s="169"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c r="FF328" t="str">
        <f>IF(B328=1,LEFT(SUBSTITUTE(SUBSTITUTE(SUBSTITUTE(TRIM(SUBSTITUTE(INDEX(Charge!$B:$B,ROW()),CHAR(160)," "))&amp;" | "&amp;TRIM(SUBSTITUTE(INDEX(Charge!$C:$C,ROW()),CHAR(160)," "))&amp;" | "&amp;TRIM(SUBSTITUTE(INDEX(Charge!$D:$D,ROW()),CHAR(160)," ")),"~","-"),"*","+"),"?","!"),240),"")</f>
        <v/>
      </c>
      <c r="FG328">
        <f>IF(B328=1,MAX(0,N(INDEX(Charge!$M:$M,ROW()))),0)</f>
        <v>0</v>
      </c>
      <c r="FH328" s="170" t="str">
        <f>IF(EO328=1,ROUND(SUMIF($FF$4:$FF$503,EN328,$FG$4:$FG$503),2),"")</f>
        <v/>
      </c>
      <c r="FI328" s="170" t="str">
        <f>IF(EO328=1,ROUND(SUMPRODUCT(($FF$4:$FF$503=EN328)*$FG$4:$FG$503*$C$4:$C$503),2),"")</f>
        <v/>
      </c>
      <c r="FJ328" s="170" t="str">
        <f>IF(EO328=1,MAX(0,ROUND(FH328-FI328,2)),"")</f>
        <v/>
      </c>
      <c r="FK328" s="174" t="str">
        <f>IF(EO328=1,IF(OR(EW328&gt;=2958465,EY328=0,EY328&lt;=EW328),"",IF(TODAY()&lt;=EW328,0,IF(TODAY()&gt;EY328,1,IFERROR(NETWORKDAYS(EW328,TODAY()-1,Data!$K$4:$K$203)/NETWORKDAYS(EW328,EY328,Data!$K$4:$K$203),"")))),"")</f>
        <v/>
      </c>
      <c r="FL328" t="str">
        <f>IF(EO328=1,IF(AND(EY328&gt;0,EY328&lt;TODAY(),ROUND(EU328,4)&lt;1),2,IF(FK328="",0,IF(ROUND(EU328-FK328,4)&lt;-0.15,1,0))),"")</f>
        <v/>
      </c>
      <c r="FM328">
        <f>IF(OR(FA328="",COUNTIF($FA$4:FA327,FA328)&gt;0),0,MAX(0,IF(FB328="Interne",IF(ISNUMBER(INDEX(Data!$F:$F,328)),INDEX(Data!$F:$F,328),p_HeuresETP),IF(ISNUMBER(INDEX(Data!$I:$I,328-$CD$23)),INDEX(Data!$I:$I,328-$CD$23),p_HeuresETP))-IF(FB328="Interne",IF(ISNUMBER(INDEX(Data!$G:$G,328)),INDEX(Data!$G:$G,328),p_ChargeFixe),IF(ISNUMBER(INDEX(Data!$J:$J,328-$CD$23)),INDEX(Data!$J:$J,328-$CD$23),p_ChargeFixe))))</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9" t="str">
        <f>IF(AND(D329=1,ISNUMBER(INDEX(Charge!$N:$N,ROW()))),INDEX(Charge!$N:$N,ROW()),"")</f>
        <v/>
      </c>
      <c r="J329" s="169"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70">
        <f>IF(OR($I329="",$E329=0),0,IF(OR($J329&lt;W$3,$I329&gt;W$2),0,IF($K329=0,IF(AND($I329&gt;=W$3,$I329&lt;=W$2),$E329,0),$E329*NETWORKDAYS(MAX($I329,W$3),MIN($J329,W$2),Data!$K$4:$K$203)/$K329)))</f>
        <v>0</v>
      </c>
      <c r="X329" s="170">
        <f>IF(OR($I329="",$E329=0),0,IF(OR($J329&lt;X$3,$I329&gt;X$2),0,IF($K329=0,IF(AND($I329&gt;=X$3,$I329&lt;=X$2),$E329,0),$E329*NETWORKDAYS(MAX($I329,X$3),MIN($J329,X$2),Data!$K$4:$K$203)/$K329)))</f>
        <v>0</v>
      </c>
      <c r="Y329" s="170">
        <f>IF(OR($I329="",$E329=0),0,IF(OR($J329&lt;Y$3,$I329&gt;Y$2),0,IF($K329=0,IF(AND($I329&gt;=Y$3,$I329&lt;=Y$2),$E329,0),$E329*NETWORKDAYS(MAX($I329,Y$3),MIN($J329,Y$2),Data!$K$4:$K$203)/$K329)))</f>
        <v>0</v>
      </c>
      <c r="Z329" s="170">
        <f>IF(OR($I329="",$E329=0),0,IF(OR($J329&lt;Z$3,$I329&gt;Z$2),0,IF($K329=0,IF(AND($I329&gt;=Z$3,$I329&lt;=Z$2),$E329,0),$E329*NETWORKDAYS(MAX($I329,Z$3),MIN($J329,Z$2),Data!$K$4:$K$203)/$K329)))</f>
        <v>0</v>
      </c>
      <c r="AA329" s="170">
        <f>IF(OR($I329="",$E329=0),0,IF(OR($J329&lt;AA$3,$I329&gt;AA$2),0,IF($K329=0,IF(AND($I329&gt;=AA$3,$I329&lt;=AA$2),$E329,0),$E329*NETWORKDAYS(MAX($I329,AA$3),MIN($J329,AA$2),Data!$K$4:$K$203)/$K329)))</f>
        <v>0</v>
      </c>
      <c r="AB329" s="170">
        <f>IF(OR($I329="",$E329=0),0,IF(OR($J329&lt;AB$3,$I329&gt;AB$2),0,IF($K329=0,IF(AND($I329&gt;=AB$3,$I329&lt;=AB$2),$E329,0),$E329*NETWORKDAYS(MAX($I329,AB$3),MIN($J329,AB$2),Data!$K$4:$K$203)/$K329)))</f>
        <v>0</v>
      </c>
      <c r="AC329" s="170">
        <f>IF(OR($I329="",$E329=0),0,IF(OR($J329&lt;AC$3,$I329&gt;AC$2),0,IF($K329=0,IF(AND($I329&gt;=AC$3,$I329&lt;=AC$2),$E329,0),$E329*NETWORKDAYS(MAX($I329,AC$3),MIN($J329,AC$2),Data!$K$4:$K$203)/$K329)))</f>
        <v>0</v>
      </c>
      <c r="AD329" s="170">
        <f>IF(OR($I329="",$E329=0),0,IF(OR($J329&lt;AD$3,$I329&gt;AD$2),0,IF($K329=0,IF(AND($I329&gt;=AD$3,$I329&lt;=AD$2),$E329,0),$E329*NETWORKDAYS(MAX($I329,AD$3),MIN($J329,AD$2),Data!$K$4:$K$203)/$K329)))</f>
        <v>0</v>
      </c>
      <c r="AE329" s="170">
        <f>IF(OR($I329="",$E329=0),0,IF(OR($J329&lt;AE$3,$I329&gt;AE$2),0,IF($K329=0,IF(AND($I329&gt;=AE$3,$I329&lt;=AE$2),$E329,0),$E329*NETWORKDAYS(MAX($I329,AE$3),MIN($J329,AE$2),Data!$K$4:$K$203)/$K329)))</f>
        <v>0</v>
      </c>
      <c r="AF329" s="170">
        <f>IF(OR($I329="",$E329=0),0,IF(OR($J329&lt;AF$3,$I329&gt;AF$2),0,IF($K329=0,IF(AND($I329&gt;=AF$3,$I329&lt;=AF$2),$E329,0),$E329*NETWORKDAYS(MAX($I329,AF$3),MIN($J329,AF$2),Data!$K$4:$K$203)/$K329)))</f>
        <v>0</v>
      </c>
      <c r="AG329" s="170">
        <f>IF(OR($I329="",$E329=0),0,IF(OR($J329&lt;AG$3,$I329&gt;AG$2),0,IF($K329=0,IF(AND($I329&gt;=AG$3,$I329&lt;=AG$2),$E329,0),$E329*NETWORKDAYS(MAX($I329,AG$3),MIN($J329,AG$2),Data!$K$4:$K$203)/$K329)))</f>
        <v>0</v>
      </c>
      <c r="AH329" s="170">
        <f>IF(OR($I329="",$E329=0),0,IF(OR($J329&lt;AH$3,$I329&gt;AH$2),0,IF($K329=0,IF(AND($I329&gt;=AH$3,$I329&lt;=AH$2),$E329,0),$E329*NETWORKDAYS(MAX($I329,AH$3),MIN($J329,AH$2),Data!$K$4:$K$203)/$K329)))</f>
        <v>0</v>
      </c>
      <c r="AI329" s="170">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70"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4" t="str">
        <f>IF(EO329=1,IF(FH329&gt;0,FI329/FH329,AVERAGEIF($FF$4:$FF$503,EN329,$C$4:$C$503)),"")</f>
        <v/>
      </c>
      <c r="EV329" s="169">
        <f>IF(ISNUMBER(I329),I329,2958465)</f>
        <v>2958465.0</v>
      </c>
      <c r="EW329" s="169" t="str">
        <f>IF(EO329=1,SUMPRODUCT(MIN(($EN$4:$EN$503=EN329)*$EV$4:$EV$503+($EN$4:$EN$503&lt;&gt;EN329)*2958465)),"")</f>
        <v/>
      </c>
      <c r="EX329" s="169">
        <f>IF(AND(D329=1,ISNUMBER(INDEX(Charge!$F:$F,ROW()))),INDEX(Charge!$F:$F,ROW()),0)</f>
        <v>0.0</v>
      </c>
      <c r="EY329" s="169"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c r="FF329" t="str">
        <f>IF(B329=1,LEFT(SUBSTITUTE(SUBSTITUTE(SUBSTITUTE(TRIM(SUBSTITUTE(INDEX(Charge!$B:$B,ROW()),CHAR(160)," "))&amp;" | "&amp;TRIM(SUBSTITUTE(INDEX(Charge!$C:$C,ROW()),CHAR(160)," "))&amp;" | "&amp;TRIM(SUBSTITUTE(INDEX(Charge!$D:$D,ROW()),CHAR(160)," ")),"~","-"),"*","+"),"?","!"),240),"")</f>
        <v/>
      </c>
      <c r="FG329">
        <f>IF(B329=1,MAX(0,N(INDEX(Charge!$M:$M,ROW()))),0)</f>
        <v>0</v>
      </c>
      <c r="FH329" s="170" t="str">
        <f>IF(EO329=1,ROUND(SUMIF($FF$4:$FF$503,EN329,$FG$4:$FG$503),2),"")</f>
        <v/>
      </c>
      <c r="FI329" s="170" t="str">
        <f>IF(EO329=1,ROUND(SUMPRODUCT(($FF$4:$FF$503=EN329)*$FG$4:$FG$503*$C$4:$C$503),2),"")</f>
        <v/>
      </c>
      <c r="FJ329" s="170" t="str">
        <f>IF(EO329=1,MAX(0,ROUND(FH329-FI329,2)),"")</f>
        <v/>
      </c>
      <c r="FK329" s="174" t="str">
        <f>IF(EO329=1,IF(OR(EW329&gt;=2958465,EY329=0,EY329&lt;=EW329),"",IF(TODAY()&lt;=EW329,0,IF(TODAY()&gt;EY329,1,IFERROR(NETWORKDAYS(EW329,TODAY()-1,Data!$K$4:$K$203)/NETWORKDAYS(EW329,EY329,Data!$K$4:$K$203),"")))),"")</f>
        <v/>
      </c>
      <c r="FL329" t="str">
        <f>IF(EO329=1,IF(AND(EY329&gt;0,EY329&lt;TODAY(),ROUND(EU329,4)&lt;1),2,IF(FK329="",0,IF(ROUND(EU329-FK329,4)&lt;-0.15,1,0))),"")</f>
        <v/>
      </c>
      <c r="FM329">
        <f>IF(OR(FA329="",COUNTIF($FA$4:FA328,FA329)&gt;0),0,MAX(0,IF(FB329="Interne",IF(ISNUMBER(INDEX(Data!$F:$F,329)),INDEX(Data!$F:$F,329),p_HeuresETP),IF(ISNUMBER(INDEX(Data!$I:$I,329-$CD$23)),INDEX(Data!$I:$I,329-$CD$23),p_HeuresETP))-IF(FB329="Interne",IF(ISNUMBER(INDEX(Data!$G:$G,329)),INDEX(Data!$G:$G,329),p_ChargeFixe),IF(ISNUMBER(INDEX(Data!$J:$J,329-$CD$23)),INDEX(Data!$J:$J,329-$CD$23),p_ChargeFixe))))</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9" t="str">
        <f>IF(AND(D330=1,ISNUMBER(INDEX(Charge!$N:$N,ROW()))),INDEX(Charge!$N:$N,ROW()),"")</f>
        <v/>
      </c>
      <c r="J330" s="169"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70">
        <f>IF(OR($I330="",$E330=0),0,IF(OR($J330&lt;W$3,$I330&gt;W$2),0,IF($K330=0,IF(AND($I330&gt;=W$3,$I330&lt;=W$2),$E330,0),$E330*NETWORKDAYS(MAX($I330,W$3),MIN($J330,W$2),Data!$K$4:$K$203)/$K330)))</f>
        <v>0</v>
      </c>
      <c r="X330" s="170">
        <f>IF(OR($I330="",$E330=0),0,IF(OR($J330&lt;X$3,$I330&gt;X$2),0,IF($K330=0,IF(AND($I330&gt;=X$3,$I330&lt;=X$2),$E330,0),$E330*NETWORKDAYS(MAX($I330,X$3),MIN($J330,X$2),Data!$K$4:$K$203)/$K330)))</f>
        <v>0</v>
      </c>
      <c r="Y330" s="170">
        <f>IF(OR($I330="",$E330=0),0,IF(OR($J330&lt;Y$3,$I330&gt;Y$2),0,IF($K330=0,IF(AND($I330&gt;=Y$3,$I330&lt;=Y$2),$E330,0),$E330*NETWORKDAYS(MAX($I330,Y$3),MIN($J330,Y$2),Data!$K$4:$K$203)/$K330)))</f>
        <v>0</v>
      </c>
      <c r="Z330" s="170">
        <f>IF(OR($I330="",$E330=0),0,IF(OR($J330&lt;Z$3,$I330&gt;Z$2),0,IF($K330=0,IF(AND($I330&gt;=Z$3,$I330&lt;=Z$2),$E330,0),$E330*NETWORKDAYS(MAX($I330,Z$3),MIN($J330,Z$2),Data!$K$4:$K$203)/$K330)))</f>
        <v>0</v>
      </c>
      <c r="AA330" s="170">
        <f>IF(OR($I330="",$E330=0),0,IF(OR($J330&lt;AA$3,$I330&gt;AA$2),0,IF($K330=0,IF(AND($I330&gt;=AA$3,$I330&lt;=AA$2),$E330,0),$E330*NETWORKDAYS(MAX($I330,AA$3),MIN($J330,AA$2),Data!$K$4:$K$203)/$K330)))</f>
        <v>0</v>
      </c>
      <c r="AB330" s="170">
        <f>IF(OR($I330="",$E330=0),0,IF(OR($J330&lt;AB$3,$I330&gt;AB$2),0,IF($K330=0,IF(AND($I330&gt;=AB$3,$I330&lt;=AB$2),$E330,0),$E330*NETWORKDAYS(MAX($I330,AB$3),MIN($J330,AB$2),Data!$K$4:$K$203)/$K330)))</f>
        <v>0</v>
      </c>
      <c r="AC330" s="170">
        <f>IF(OR($I330="",$E330=0),0,IF(OR($J330&lt;AC$3,$I330&gt;AC$2),0,IF($K330=0,IF(AND($I330&gt;=AC$3,$I330&lt;=AC$2),$E330,0),$E330*NETWORKDAYS(MAX($I330,AC$3),MIN($J330,AC$2),Data!$K$4:$K$203)/$K330)))</f>
        <v>0</v>
      </c>
      <c r="AD330" s="170">
        <f>IF(OR($I330="",$E330=0),0,IF(OR($J330&lt;AD$3,$I330&gt;AD$2),0,IF($K330=0,IF(AND($I330&gt;=AD$3,$I330&lt;=AD$2),$E330,0),$E330*NETWORKDAYS(MAX($I330,AD$3),MIN($J330,AD$2),Data!$K$4:$K$203)/$K330)))</f>
        <v>0</v>
      </c>
      <c r="AE330" s="170">
        <f>IF(OR($I330="",$E330=0),0,IF(OR($J330&lt;AE$3,$I330&gt;AE$2),0,IF($K330=0,IF(AND($I330&gt;=AE$3,$I330&lt;=AE$2),$E330,0),$E330*NETWORKDAYS(MAX($I330,AE$3),MIN($J330,AE$2),Data!$K$4:$K$203)/$K330)))</f>
        <v>0</v>
      </c>
      <c r="AF330" s="170">
        <f>IF(OR($I330="",$E330=0),0,IF(OR($J330&lt;AF$3,$I330&gt;AF$2),0,IF($K330=0,IF(AND($I330&gt;=AF$3,$I330&lt;=AF$2),$E330,0),$E330*NETWORKDAYS(MAX($I330,AF$3),MIN($J330,AF$2),Data!$K$4:$K$203)/$K330)))</f>
        <v>0</v>
      </c>
      <c r="AG330" s="170">
        <f>IF(OR($I330="",$E330=0),0,IF(OR($J330&lt;AG$3,$I330&gt;AG$2),0,IF($K330=0,IF(AND($I330&gt;=AG$3,$I330&lt;=AG$2),$E330,0),$E330*NETWORKDAYS(MAX($I330,AG$3),MIN($J330,AG$2),Data!$K$4:$K$203)/$K330)))</f>
        <v>0</v>
      </c>
      <c r="AH330" s="170">
        <f>IF(OR($I330="",$E330=0),0,IF(OR($J330&lt;AH$3,$I330&gt;AH$2),0,IF($K330=0,IF(AND($I330&gt;=AH$3,$I330&lt;=AH$2),$E330,0),$E330*NETWORKDAYS(MAX($I330,AH$3),MIN($J330,AH$2),Data!$K$4:$K$203)/$K330)))</f>
        <v>0</v>
      </c>
      <c r="AI330" s="170">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70"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4" t="str">
        <f>IF(EO330=1,IF(FH330&gt;0,FI330/FH330,AVERAGEIF($FF$4:$FF$503,EN330,$C$4:$C$503)),"")</f>
        <v/>
      </c>
      <c r="EV330" s="169">
        <f>IF(ISNUMBER(I330),I330,2958465)</f>
        <v>2958465.0</v>
      </c>
      <c r="EW330" s="169" t="str">
        <f>IF(EO330=1,SUMPRODUCT(MIN(($EN$4:$EN$503=EN330)*$EV$4:$EV$503+($EN$4:$EN$503&lt;&gt;EN330)*2958465)),"")</f>
        <v/>
      </c>
      <c r="EX330" s="169">
        <f>IF(AND(D330=1,ISNUMBER(INDEX(Charge!$F:$F,ROW()))),INDEX(Charge!$F:$F,ROW()),0)</f>
        <v>0.0</v>
      </c>
      <c r="EY330" s="169"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c r="FF330" t="str">
        <f>IF(B330=1,LEFT(SUBSTITUTE(SUBSTITUTE(SUBSTITUTE(TRIM(SUBSTITUTE(INDEX(Charge!$B:$B,ROW()),CHAR(160)," "))&amp;" | "&amp;TRIM(SUBSTITUTE(INDEX(Charge!$C:$C,ROW()),CHAR(160)," "))&amp;" | "&amp;TRIM(SUBSTITUTE(INDEX(Charge!$D:$D,ROW()),CHAR(160)," ")),"~","-"),"*","+"),"?","!"),240),"")</f>
        <v/>
      </c>
      <c r="FG330">
        <f>IF(B330=1,MAX(0,N(INDEX(Charge!$M:$M,ROW()))),0)</f>
        <v>0</v>
      </c>
      <c r="FH330" s="170" t="str">
        <f>IF(EO330=1,ROUND(SUMIF($FF$4:$FF$503,EN330,$FG$4:$FG$503),2),"")</f>
        <v/>
      </c>
      <c r="FI330" s="170" t="str">
        <f>IF(EO330=1,ROUND(SUMPRODUCT(($FF$4:$FF$503=EN330)*$FG$4:$FG$503*$C$4:$C$503),2),"")</f>
        <v/>
      </c>
      <c r="FJ330" s="170" t="str">
        <f>IF(EO330=1,MAX(0,ROUND(FH330-FI330,2)),"")</f>
        <v/>
      </c>
      <c r="FK330" s="174" t="str">
        <f>IF(EO330=1,IF(OR(EW330&gt;=2958465,EY330=0,EY330&lt;=EW330),"",IF(TODAY()&lt;=EW330,0,IF(TODAY()&gt;EY330,1,IFERROR(NETWORKDAYS(EW330,TODAY()-1,Data!$K$4:$K$203)/NETWORKDAYS(EW330,EY330,Data!$K$4:$K$203),"")))),"")</f>
        <v/>
      </c>
      <c r="FL330" t="str">
        <f>IF(EO330=1,IF(AND(EY330&gt;0,EY330&lt;TODAY(),ROUND(EU330,4)&lt;1),2,IF(FK330="",0,IF(ROUND(EU330-FK330,4)&lt;-0.15,1,0))),"")</f>
        <v/>
      </c>
      <c r="FM330">
        <f>IF(OR(FA330="",COUNTIF($FA$4:FA329,FA330)&gt;0),0,MAX(0,IF(FB330="Interne",IF(ISNUMBER(INDEX(Data!$F:$F,330)),INDEX(Data!$F:$F,330),p_HeuresETP),IF(ISNUMBER(INDEX(Data!$I:$I,330-$CD$23)),INDEX(Data!$I:$I,330-$CD$23),p_HeuresETP))-IF(FB330="Interne",IF(ISNUMBER(INDEX(Data!$G:$G,330)),INDEX(Data!$G:$G,330),p_ChargeFixe),IF(ISNUMBER(INDEX(Data!$J:$J,330-$CD$23)),INDEX(Data!$J:$J,330-$CD$23),p_ChargeFixe))))</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9" t="str">
        <f>IF(AND(D331=1,ISNUMBER(INDEX(Charge!$N:$N,ROW()))),INDEX(Charge!$N:$N,ROW()),"")</f>
        <v/>
      </c>
      <c r="J331" s="169"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70">
        <f>IF(OR($I331="",$E331=0),0,IF(OR($J331&lt;W$3,$I331&gt;W$2),0,IF($K331=0,IF(AND($I331&gt;=W$3,$I331&lt;=W$2),$E331,0),$E331*NETWORKDAYS(MAX($I331,W$3),MIN($J331,W$2),Data!$K$4:$K$203)/$K331)))</f>
        <v>0</v>
      </c>
      <c r="X331" s="170">
        <f>IF(OR($I331="",$E331=0),0,IF(OR($J331&lt;X$3,$I331&gt;X$2),0,IF($K331=0,IF(AND($I331&gt;=X$3,$I331&lt;=X$2),$E331,0),$E331*NETWORKDAYS(MAX($I331,X$3),MIN($J331,X$2),Data!$K$4:$K$203)/$K331)))</f>
        <v>0</v>
      </c>
      <c r="Y331" s="170">
        <f>IF(OR($I331="",$E331=0),0,IF(OR($J331&lt;Y$3,$I331&gt;Y$2),0,IF($K331=0,IF(AND($I331&gt;=Y$3,$I331&lt;=Y$2),$E331,0),$E331*NETWORKDAYS(MAX($I331,Y$3),MIN($J331,Y$2),Data!$K$4:$K$203)/$K331)))</f>
        <v>0</v>
      </c>
      <c r="Z331" s="170">
        <f>IF(OR($I331="",$E331=0),0,IF(OR($J331&lt;Z$3,$I331&gt;Z$2),0,IF($K331=0,IF(AND($I331&gt;=Z$3,$I331&lt;=Z$2),$E331,0),$E331*NETWORKDAYS(MAX($I331,Z$3),MIN($J331,Z$2),Data!$K$4:$K$203)/$K331)))</f>
        <v>0</v>
      </c>
      <c r="AA331" s="170">
        <f>IF(OR($I331="",$E331=0),0,IF(OR($J331&lt;AA$3,$I331&gt;AA$2),0,IF($K331=0,IF(AND($I331&gt;=AA$3,$I331&lt;=AA$2),$E331,0),$E331*NETWORKDAYS(MAX($I331,AA$3),MIN($J331,AA$2),Data!$K$4:$K$203)/$K331)))</f>
        <v>0</v>
      </c>
      <c r="AB331" s="170">
        <f>IF(OR($I331="",$E331=0),0,IF(OR($J331&lt;AB$3,$I331&gt;AB$2),0,IF($K331=0,IF(AND($I331&gt;=AB$3,$I331&lt;=AB$2),$E331,0),$E331*NETWORKDAYS(MAX($I331,AB$3),MIN($J331,AB$2),Data!$K$4:$K$203)/$K331)))</f>
        <v>0</v>
      </c>
      <c r="AC331" s="170">
        <f>IF(OR($I331="",$E331=0),0,IF(OR($J331&lt;AC$3,$I331&gt;AC$2),0,IF($K331=0,IF(AND($I331&gt;=AC$3,$I331&lt;=AC$2),$E331,0),$E331*NETWORKDAYS(MAX($I331,AC$3),MIN($J331,AC$2),Data!$K$4:$K$203)/$K331)))</f>
        <v>0</v>
      </c>
      <c r="AD331" s="170">
        <f>IF(OR($I331="",$E331=0),0,IF(OR($J331&lt;AD$3,$I331&gt;AD$2),0,IF($K331=0,IF(AND($I331&gt;=AD$3,$I331&lt;=AD$2),$E331,0),$E331*NETWORKDAYS(MAX($I331,AD$3),MIN($J331,AD$2),Data!$K$4:$K$203)/$K331)))</f>
        <v>0</v>
      </c>
      <c r="AE331" s="170">
        <f>IF(OR($I331="",$E331=0),0,IF(OR($J331&lt;AE$3,$I331&gt;AE$2),0,IF($K331=0,IF(AND($I331&gt;=AE$3,$I331&lt;=AE$2),$E331,0),$E331*NETWORKDAYS(MAX($I331,AE$3),MIN($J331,AE$2),Data!$K$4:$K$203)/$K331)))</f>
        <v>0</v>
      </c>
      <c r="AF331" s="170">
        <f>IF(OR($I331="",$E331=0),0,IF(OR($J331&lt;AF$3,$I331&gt;AF$2),0,IF($K331=0,IF(AND($I331&gt;=AF$3,$I331&lt;=AF$2),$E331,0),$E331*NETWORKDAYS(MAX($I331,AF$3),MIN($J331,AF$2),Data!$K$4:$K$203)/$K331)))</f>
        <v>0</v>
      </c>
      <c r="AG331" s="170">
        <f>IF(OR($I331="",$E331=0),0,IF(OR($J331&lt;AG$3,$I331&gt;AG$2),0,IF($K331=0,IF(AND($I331&gt;=AG$3,$I331&lt;=AG$2),$E331,0),$E331*NETWORKDAYS(MAX($I331,AG$3),MIN($J331,AG$2),Data!$K$4:$K$203)/$K331)))</f>
        <v>0</v>
      </c>
      <c r="AH331" s="170">
        <f>IF(OR($I331="",$E331=0),0,IF(OR($J331&lt;AH$3,$I331&gt;AH$2),0,IF($K331=0,IF(AND($I331&gt;=AH$3,$I331&lt;=AH$2),$E331,0),$E331*NETWORKDAYS(MAX($I331,AH$3),MIN($J331,AH$2),Data!$K$4:$K$203)/$K331)))</f>
        <v>0</v>
      </c>
      <c r="AI331" s="170">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70"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4" t="str">
        <f>IF(EO331=1,IF(FH331&gt;0,FI331/FH331,AVERAGEIF($FF$4:$FF$503,EN331,$C$4:$C$503)),"")</f>
        <v/>
      </c>
      <c r="EV331" s="169">
        <f>IF(ISNUMBER(I331),I331,2958465)</f>
        <v>2958465.0</v>
      </c>
      <c r="EW331" s="169" t="str">
        <f>IF(EO331=1,SUMPRODUCT(MIN(($EN$4:$EN$503=EN331)*$EV$4:$EV$503+($EN$4:$EN$503&lt;&gt;EN331)*2958465)),"")</f>
        <v/>
      </c>
      <c r="EX331" s="169">
        <f>IF(AND(D331=1,ISNUMBER(INDEX(Charge!$F:$F,ROW()))),INDEX(Charge!$F:$F,ROW()),0)</f>
        <v>0.0</v>
      </c>
      <c r="EY331" s="169"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c r="FF331" t="str">
        <f>IF(B331=1,LEFT(SUBSTITUTE(SUBSTITUTE(SUBSTITUTE(TRIM(SUBSTITUTE(INDEX(Charge!$B:$B,ROW()),CHAR(160)," "))&amp;" | "&amp;TRIM(SUBSTITUTE(INDEX(Charge!$C:$C,ROW()),CHAR(160)," "))&amp;" | "&amp;TRIM(SUBSTITUTE(INDEX(Charge!$D:$D,ROW()),CHAR(160)," ")),"~","-"),"*","+"),"?","!"),240),"")</f>
        <v/>
      </c>
      <c r="FG331">
        <f>IF(B331=1,MAX(0,N(INDEX(Charge!$M:$M,ROW()))),0)</f>
        <v>0</v>
      </c>
      <c r="FH331" s="170" t="str">
        <f>IF(EO331=1,ROUND(SUMIF($FF$4:$FF$503,EN331,$FG$4:$FG$503),2),"")</f>
        <v/>
      </c>
      <c r="FI331" s="170" t="str">
        <f>IF(EO331=1,ROUND(SUMPRODUCT(($FF$4:$FF$503=EN331)*$FG$4:$FG$503*$C$4:$C$503),2),"")</f>
        <v/>
      </c>
      <c r="FJ331" s="170" t="str">
        <f>IF(EO331=1,MAX(0,ROUND(FH331-FI331,2)),"")</f>
        <v/>
      </c>
      <c r="FK331" s="174" t="str">
        <f>IF(EO331=1,IF(OR(EW331&gt;=2958465,EY331=0,EY331&lt;=EW331),"",IF(TODAY()&lt;=EW331,0,IF(TODAY()&gt;EY331,1,IFERROR(NETWORKDAYS(EW331,TODAY()-1,Data!$K$4:$K$203)/NETWORKDAYS(EW331,EY331,Data!$K$4:$K$203),"")))),"")</f>
        <v/>
      </c>
      <c r="FL331" t="str">
        <f>IF(EO331=1,IF(AND(EY331&gt;0,EY331&lt;TODAY(),ROUND(EU331,4)&lt;1),2,IF(FK331="",0,IF(ROUND(EU331-FK331,4)&lt;-0.15,1,0))),"")</f>
        <v/>
      </c>
      <c r="FM331">
        <f>IF(OR(FA331="",COUNTIF($FA$4:FA330,FA331)&gt;0),0,MAX(0,IF(FB331="Interne",IF(ISNUMBER(INDEX(Data!$F:$F,331)),INDEX(Data!$F:$F,331),p_HeuresETP),IF(ISNUMBER(INDEX(Data!$I:$I,331-$CD$23)),INDEX(Data!$I:$I,331-$CD$23),p_HeuresETP))-IF(FB331="Interne",IF(ISNUMBER(INDEX(Data!$G:$G,331)),INDEX(Data!$G:$G,331),p_ChargeFixe),IF(ISNUMBER(INDEX(Data!$J:$J,331-$CD$23)),INDEX(Data!$J:$J,331-$CD$23),p_ChargeFixe))))</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9" t="str">
        <f>IF(AND(D332=1,ISNUMBER(INDEX(Charge!$N:$N,ROW()))),INDEX(Charge!$N:$N,ROW()),"")</f>
        <v/>
      </c>
      <c r="J332" s="169"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70">
        <f>IF(OR($I332="",$E332=0),0,IF(OR($J332&lt;W$3,$I332&gt;W$2),0,IF($K332=0,IF(AND($I332&gt;=W$3,$I332&lt;=W$2),$E332,0),$E332*NETWORKDAYS(MAX($I332,W$3),MIN($J332,W$2),Data!$K$4:$K$203)/$K332)))</f>
        <v>0</v>
      </c>
      <c r="X332" s="170">
        <f>IF(OR($I332="",$E332=0),0,IF(OR($J332&lt;X$3,$I332&gt;X$2),0,IF($K332=0,IF(AND($I332&gt;=X$3,$I332&lt;=X$2),$E332,0),$E332*NETWORKDAYS(MAX($I332,X$3),MIN($J332,X$2),Data!$K$4:$K$203)/$K332)))</f>
        <v>0</v>
      </c>
      <c r="Y332" s="170">
        <f>IF(OR($I332="",$E332=0),0,IF(OR($J332&lt;Y$3,$I332&gt;Y$2),0,IF($K332=0,IF(AND($I332&gt;=Y$3,$I332&lt;=Y$2),$E332,0),$E332*NETWORKDAYS(MAX($I332,Y$3),MIN($J332,Y$2),Data!$K$4:$K$203)/$K332)))</f>
        <v>0</v>
      </c>
      <c r="Z332" s="170">
        <f>IF(OR($I332="",$E332=0),0,IF(OR($J332&lt;Z$3,$I332&gt;Z$2),0,IF($K332=0,IF(AND($I332&gt;=Z$3,$I332&lt;=Z$2),$E332,0),$E332*NETWORKDAYS(MAX($I332,Z$3),MIN($J332,Z$2),Data!$K$4:$K$203)/$K332)))</f>
        <v>0</v>
      </c>
      <c r="AA332" s="170">
        <f>IF(OR($I332="",$E332=0),0,IF(OR($J332&lt;AA$3,$I332&gt;AA$2),0,IF($K332=0,IF(AND($I332&gt;=AA$3,$I332&lt;=AA$2),$E332,0),$E332*NETWORKDAYS(MAX($I332,AA$3),MIN($J332,AA$2),Data!$K$4:$K$203)/$K332)))</f>
        <v>0</v>
      </c>
      <c r="AB332" s="170">
        <f>IF(OR($I332="",$E332=0),0,IF(OR($J332&lt;AB$3,$I332&gt;AB$2),0,IF($K332=0,IF(AND($I332&gt;=AB$3,$I332&lt;=AB$2),$E332,0),$E332*NETWORKDAYS(MAX($I332,AB$3),MIN($J332,AB$2),Data!$K$4:$K$203)/$K332)))</f>
        <v>0</v>
      </c>
      <c r="AC332" s="170">
        <f>IF(OR($I332="",$E332=0),0,IF(OR($J332&lt;AC$3,$I332&gt;AC$2),0,IF($K332=0,IF(AND($I332&gt;=AC$3,$I332&lt;=AC$2),$E332,0),$E332*NETWORKDAYS(MAX($I332,AC$3),MIN($J332,AC$2),Data!$K$4:$K$203)/$K332)))</f>
        <v>0</v>
      </c>
      <c r="AD332" s="170">
        <f>IF(OR($I332="",$E332=0),0,IF(OR($J332&lt;AD$3,$I332&gt;AD$2),0,IF($K332=0,IF(AND($I332&gt;=AD$3,$I332&lt;=AD$2),$E332,0),$E332*NETWORKDAYS(MAX($I332,AD$3),MIN($J332,AD$2),Data!$K$4:$K$203)/$K332)))</f>
        <v>0</v>
      </c>
      <c r="AE332" s="170">
        <f>IF(OR($I332="",$E332=0),0,IF(OR($J332&lt;AE$3,$I332&gt;AE$2),0,IF($K332=0,IF(AND($I332&gt;=AE$3,$I332&lt;=AE$2),$E332,0),$E332*NETWORKDAYS(MAX($I332,AE$3),MIN($J332,AE$2),Data!$K$4:$K$203)/$K332)))</f>
        <v>0</v>
      </c>
      <c r="AF332" s="170">
        <f>IF(OR($I332="",$E332=0),0,IF(OR($J332&lt;AF$3,$I332&gt;AF$2),0,IF($K332=0,IF(AND($I332&gt;=AF$3,$I332&lt;=AF$2),$E332,0),$E332*NETWORKDAYS(MAX($I332,AF$3),MIN($J332,AF$2),Data!$K$4:$K$203)/$K332)))</f>
        <v>0</v>
      </c>
      <c r="AG332" s="170">
        <f>IF(OR($I332="",$E332=0),0,IF(OR($J332&lt;AG$3,$I332&gt;AG$2),0,IF($K332=0,IF(AND($I332&gt;=AG$3,$I332&lt;=AG$2),$E332,0),$E332*NETWORKDAYS(MAX($I332,AG$3),MIN($J332,AG$2),Data!$K$4:$K$203)/$K332)))</f>
        <v>0</v>
      </c>
      <c r="AH332" s="170">
        <f>IF(OR($I332="",$E332=0),0,IF(OR($J332&lt;AH$3,$I332&gt;AH$2),0,IF($K332=0,IF(AND($I332&gt;=AH$3,$I332&lt;=AH$2),$E332,0),$E332*NETWORKDAYS(MAX($I332,AH$3),MIN($J332,AH$2),Data!$K$4:$K$203)/$K332)))</f>
        <v>0</v>
      </c>
      <c r="AI332" s="170">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70"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4" t="str">
        <f>IF(EO332=1,IF(FH332&gt;0,FI332/FH332,AVERAGEIF($FF$4:$FF$503,EN332,$C$4:$C$503)),"")</f>
        <v/>
      </c>
      <c r="EV332" s="169">
        <f>IF(ISNUMBER(I332),I332,2958465)</f>
        <v>2958465.0</v>
      </c>
      <c r="EW332" s="169" t="str">
        <f>IF(EO332=1,SUMPRODUCT(MIN(($EN$4:$EN$503=EN332)*$EV$4:$EV$503+($EN$4:$EN$503&lt;&gt;EN332)*2958465)),"")</f>
        <v/>
      </c>
      <c r="EX332" s="169">
        <f>IF(AND(D332=1,ISNUMBER(INDEX(Charge!$F:$F,ROW()))),INDEX(Charge!$F:$F,ROW()),0)</f>
        <v>0.0</v>
      </c>
      <c r="EY332" s="169"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c r="FF332" t="str">
        <f>IF(B332=1,LEFT(SUBSTITUTE(SUBSTITUTE(SUBSTITUTE(TRIM(SUBSTITUTE(INDEX(Charge!$B:$B,ROW()),CHAR(160)," "))&amp;" | "&amp;TRIM(SUBSTITUTE(INDEX(Charge!$C:$C,ROW()),CHAR(160)," "))&amp;" | "&amp;TRIM(SUBSTITUTE(INDEX(Charge!$D:$D,ROW()),CHAR(160)," ")),"~","-"),"*","+"),"?","!"),240),"")</f>
        <v/>
      </c>
      <c r="FG332">
        <f>IF(B332=1,MAX(0,N(INDEX(Charge!$M:$M,ROW()))),0)</f>
        <v>0</v>
      </c>
      <c r="FH332" s="170" t="str">
        <f>IF(EO332=1,ROUND(SUMIF($FF$4:$FF$503,EN332,$FG$4:$FG$503),2),"")</f>
        <v/>
      </c>
      <c r="FI332" s="170" t="str">
        <f>IF(EO332=1,ROUND(SUMPRODUCT(($FF$4:$FF$503=EN332)*$FG$4:$FG$503*$C$4:$C$503),2),"")</f>
        <v/>
      </c>
      <c r="FJ332" s="170" t="str">
        <f>IF(EO332=1,MAX(0,ROUND(FH332-FI332,2)),"")</f>
        <v/>
      </c>
      <c r="FK332" s="174" t="str">
        <f>IF(EO332=1,IF(OR(EW332&gt;=2958465,EY332=0,EY332&lt;=EW332),"",IF(TODAY()&lt;=EW332,0,IF(TODAY()&gt;EY332,1,IFERROR(NETWORKDAYS(EW332,TODAY()-1,Data!$K$4:$K$203)/NETWORKDAYS(EW332,EY332,Data!$K$4:$K$203),"")))),"")</f>
        <v/>
      </c>
      <c r="FL332" t="str">
        <f>IF(EO332=1,IF(AND(EY332&gt;0,EY332&lt;TODAY(),ROUND(EU332,4)&lt;1),2,IF(FK332="",0,IF(ROUND(EU332-FK332,4)&lt;-0.15,1,0))),"")</f>
        <v/>
      </c>
      <c r="FM332">
        <f>IF(OR(FA332="",COUNTIF($FA$4:FA331,FA332)&gt;0),0,MAX(0,IF(FB332="Interne",IF(ISNUMBER(INDEX(Data!$F:$F,332)),INDEX(Data!$F:$F,332),p_HeuresETP),IF(ISNUMBER(INDEX(Data!$I:$I,332-$CD$23)),INDEX(Data!$I:$I,332-$CD$23),p_HeuresETP))-IF(FB332="Interne",IF(ISNUMBER(INDEX(Data!$G:$G,332)),INDEX(Data!$G:$G,332),p_ChargeFixe),IF(ISNUMBER(INDEX(Data!$J:$J,332-$CD$23)),INDEX(Data!$J:$J,332-$CD$23),p_ChargeFixe))))</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9" t="str">
        <f>IF(AND(D333=1,ISNUMBER(INDEX(Charge!$N:$N,ROW()))),INDEX(Charge!$N:$N,ROW()),"")</f>
        <v/>
      </c>
      <c r="J333" s="169"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70">
        <f>IF(OR($I333="",$E333=0),0,IF(OR($J333&lt;W$3,$I333&gt;W$2),0,IF($K333=0,IF(AND($I333&gt;=W$3,$I333&lt;=W$2),$E333,0),$E333*NETWORKDAYS(MAX($I333,W$3),MIN($J333,W$2),Data!$K$4:$K$203)/$K333)))</f>
        <v>0</v>
      </c>
      <c r="X333" s="170">
        <f>IF(OR($I333="",$E333=0),0,IF(OR($J333&lt;X$3,$I333&gt;X$2),0,IF($K333=0,IF(AND($I333&gt;=X$3,$I333&lt;=X$2),$E333,0),$E333*NETWORKDAYS(MAX($I333,X$3),MIN($J333,X$2),Data!$K$4:$K$203)/$K333)))</f>
        <v>0</v>
      </c>
      <c r="Y333" s="170">
        <f>IF(OR($I333="",$E333=0),0,IF(OR($J333&lt;Y$3,$I333&gt;Y$2),0,IF($K333=0,IF(AND($I333&gt;=Y$3,$I333&lt;=Y$2),$E333,0),$E333*NETWORKDAYS(MAX($I333,Y$3),MIN($J333,Y$2),Data!$K$4:$K$203)/$K333)))</f>
        <v>0</v>
      </c>
      <c r="Z333" s="170">
        <f>IF(OR($I333="",$E333=0),0,IF(OR($J333&lt;Z$3,$I333&gt;Z$2),0,IF($K333=0,IF(AND($I333&gt;=Z$3,$I333&lt;=Z$2),$E333,0),$E333*NETWORKDAYS(MAX($I333,Z$3),MIN($J333,Z$2),Data!$K$4:$K$203)/$K333)))</f>
        <v>0</v>
      </c>
      <c r="AA333" s="170">
        <f>IF(OR($I333="",$E333=0),0,IF(OR($J333&lt;AA$3,$I333&gt;AA$2),0,IF($K333=0,IF(AND($I333&gt;=AA$3,$I333&lt;=AA$2),$E333,0),$E333*NETWORKDAYS(MAX($I333,AA$3),MIN($J333,AA$2),Data!$K$4:$K$203)/$K333)))</f>
        <v>0</v>
      </c>
      <c r="AB333" s="170">
        <f>IF(OR($I333="",$E333=0),0,IF(OR($J333&lt;AB$3,$I333&gt;AB$2),0,IF($K333=0,IF(AND($I333&gt;=AB$3,$I333&lt;=AB$2),$E333,0),$E333*NETWORKDAYS(MAX($I333,AB$3),MIN($J333,AB$2),Data!$K$4:$K$203)/$K333)))</f>
        <v>0</v>
      </c>
      <c r="AC333" s="170">
        <f>IF(OR($I333="",$E333=0),0,IF(OR($J333&lt;AC$3,$I333&gt;AC$2),0,IF($K333=0,IF(AND($I333&gt;=AC$3,$I333&lt;=AC$2),$E333,0),$E333*NETWORKDAYS(MAX($I333,AC$3),MIN($J333,AC$2),Data!$K$4:$K$203)/$K333)))</f>
        <v>0</v>
      </c>
      <c r="AD333" s="170">
        <f>IF(OR($I333="",$E333=0),0,IF(OR($J333&lt;AD$3,$I333&gt;AD$2),0,IF($K333=0,IF(AND($I333&gt;=AD$3,$I333&lt;=AD$2),$E333,0),$E333*NETWORKDAYS(MAX($I333,AD$3),MIN($J333,AD$2),Data!$K$4:$K$203)/$K333)))</f>
        <v>0</v>
      </c>
      <c r="AE333" s="170">
        <f>IF(OR($I333="",$E333=0),0,IF(OR($J333&lt;AE$3,$I333&gt;AE$2),0,IF($K333=0,IF(AND($I333&gt;=AE$3,$I333&lt;=AE$2),$E333,0),$E333*NETWORKDAYS(MAX($I333,AE$3),MIN($J333,AE$2),Data!$K$4:$K$203)/$K333)))</f>
        <v>0</v>
      </c>
      <c r="AF333" s="170">
        <f>IF(OR($I333="",$E333=0),0,IF(OR($J333&lt;AF$3,$I333&gt;AF$2),0,IF($K333=0,IF(AND($I333&gt;=AF$3,$I333&lt;=AF$2),$E333,0),$E333*NETWORKDAYS(MAX($I333,AF$3),MIN($J333,AF$2),Data!$K$4:$K$203)/$K333)))</f>
        <v>0</v>
      </c>
      <c r="AG333" s="170">
        <f>IF(OR($I333="",$E333=0),0,IF(OR($J333&lt;AG$3,$I333&gt;AG$2),0,IF($K333=0,IF(AND($I333&gt;=AG$3,$I333&lt;=AG$2),$E333,0),$E333*NETWORKDAYS(MAX($I333,AG$3),MIN($J333,AG$2),Data!$K$4:$K$203)/$K333)))</f>
        <v>0</v>
      </c>
      <c r="AH333" s="170">
        <f>IF(OR($I333="",$E333=0),0,IF(OR($J333&lt;AH$3,$I333&gt;AH$2),0,IF($K333=0,IF(AND($I333&gt;=AH$3,$I333&lt;=AH$2),$E333,0),$E333*NETWORKDAYS(MAX($I333,AH$3),MIN($J333,AH$2),Data!$K$4:$K$203)/$K333)))</f>
        <v>0</v>
      </c>
      <c r="AI333" s="170">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70"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4" t="str">
        <f>IF(EO333=1,IF(FH333&gt;0,FI333/FH333,AVERAGEIF($FF$4:$FF$503,EN333,$C$4:$C$503)),"")</f>
        <v/>
      </c>
      <c r="EV333" s="169">
        <f>IF(ISNUMBER(I333),I333,2958465)</f>
        <v>2958465.0</v>
      </c>
      <c r="EW333" s="169" t="str">
        <f>IF(EO333=1,SUMPRODUCT(MIN(($EN$4:$EN$503=EN333)*$EV$4:$EV$503+($EN$4:$EN$503&lt;&gt;EN333)*2958465)),"")</f>
        <v/>
      </c>
      <c r="EX333" s="169">
        <f>IF(AND(D333=1,ISNUMBER(INDEX(Charge!$F:$F,ROW()))),INDEX(Charge!$F:$F,ROW()),0)</f>
        <v>0.0</v>
      </c>
      <c r="EY333" s="169"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c r="FF333" t="str">
        <f>IF(B333=1,LEFT(SUBSTITUTE(SUBSTITUTE(SUBSTITUTE(TRIM(SUBSTITUTE(INDEX(Charge!$B:$B,ROW()),CHAR(160)," "))&amp;" | "&amp;TRIM(SUBSTITUTE(INDEX(Charge!$C:$C,ROW()),CHAR(160)," "))&amp;" | "&amp;TRIM(SUBSTITUTE(INDEX(Charge!$D:$D,ROW()),CHAR(160)," ")),"~","-"),"*","+"),"?","!"),240),"")</f>
        <v/>
      </c>
      <c r="FG333">
        <f>IF(B333=1,MAX(0,N(INDEX(Charge!$M:$M,ROW()))),0)</f>
        <v>0</v>
      </c>
      <c r="FH333" s="170" t="str">
        <f>IF(EO333=1,ROUND(SUMIF($FF$4:$FF$503,EN333,$FG$4:$FG$503),2),"")</f>
        <v/>
      </c>
      <c r="FI333" s="170" t="str">
        <f>IF(EO333=1,ROUND(SUMPRODUCT(($FF$4:$FF$503=EN333)*$FG$4:$FG$503*$C$4:$C$503),2),"")</f>
        <v/>
      </c>
      <c r="FJ333" s="170" t="str">
        <f>IF(EO333=1,MAX(0,ROUND(FH333-FI333,2)),"")</f>
        <v/>
      </c>
      <c r="FK333" s="174" t="str">
        <f>IF(EO333=1,IF(OR(EW333&gt;=2958465,EY333=0,EY333&lt;=EW333),"",IF(TODAY()&lt;=EW333,0,IF(TODAY()&gt;EY333,1,IFERROR(NETWORKDAYS(EW333,TODAY()-1,Data!$K$4:$K$203)/NETWORKDAYS(EW333,EY333,Data!$K$4:$K$203),"")))),"")</f>
        <v/>
      </c>
      <c r="FL333" t="str">
        <f>IF(EO333=1,IF(AND(EY333&gt;0,EY333&lt;TODAY(),ROUND(EU333,4)&lt;1),2,IF(FK333="",0,IF(ROUND(EU333-FK333,4)&lt;-0.15,1,0))),"")</f>
        <v/>
      </c>
      <c r="FM333">
        <f>IF(OR(FA333="",COUNTIF($FA$4:FA332,FA333)&gt;0),0,MAX(0,IF(FB333="Interne",IF(ISNUMBER(INDEX(Data!$F:$F,333)),INDEX(Data!$F:$F,333),p_HeuresETP),IF(ISNUMBER(INDEX(Data!$I:$I,333-$CD$23)),INDEX(Data!$I:$I,333-$CD$23),p_HeuresETP))-IF(FB333="Interne",IF(ISNUMBER(INDEX(Data!$G:$G,333)),INDEX(Data!$G:$G,333),p_ChargeFixe),IF(ISNUMBER(INDEX(Data!$J:$J,333-$CD$23)),INDEX(Data!$J:$J,333-$CD$23),p_ChargeFixe))))</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9" t="str">
        <f>IF(AND(D334=1,ISNUMBER(INDEX(Charge!$N:$N,ROW()))),INDEX(Charge!$N:$N,ROW()),"")</f>
        <v/>
      </c>
      <c r="J334" s="169"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70">
        <f>IF(OR($I334="",$E334=0),0,IF(OR($J334&lt;W$3,$I334&gt;W$2),0,IF($K334=0,IF(AND($I334&gt;=W$3,$I334&lt;=W$2),$E334,0),$E334*NETWORKDAYS(MAX($I334,W$3),MIN($J334,W$2),Data!$K$4:$K$203)/$K334)))</f>
        <v>0</v>
      </c>
      <c r="X334" s="170">
        <f>IF(OR($I334="",$E334=0),0,IF(OR($J334&lt;X$3,$I334&gt;X$2),0,IF($K334=0,IF(AND($I334&gt;=X$3,$I334&lt;=X$2),$E334,0),$E334*NETWORKDAYS(MAX($I334,X$3),MIN($J334,X$2),Data!$K$4:$K$203)/$K334)))</f>
        <v>0</v>
      </c>
      <c r="Y334" s="170">
        <f>IF(OR($I334="",$E334=0),0,IF(OR($J334&lt;Y$3,$I334&gt;Y$2),0,IF($K334=0,IF(AND($I334&gt;=Y$3,$I334&lt;=Y$2),$E334,0),$E334*NETWORKDAYS(MAX($I334,Y$3),MIN($J334,Y$2),Data!$K$4:$K$203)/$K334)))</f>
        <v>0</v>
      </c>
      <c r="Z334" s="170">
        <f>IF(OR($I334="",$E334=0),0,IF(OR($J334&lt;Z$3,$I334&gt;Z$2),0,IF($K334=0,IF(AND($I334&gt;=Z$3,$I334&lt;=Z$2),$E334,0),$E334*NETWORKDAYS(MAX($I334,Z$3),MIN($J334,Z$2),Data!$K$4:$K$203)/$K334)))</f>
        <v>0</v>
      </c>
      <c r="AA334" s="170">
        <f>IF(OR($I334="",$E334=0),0,IF(OR($J334&lt;AA$3,$I334&gt;AA$2),0,IF($K334=0,IF(AND($I334&gt;=AA$3,$I334&lt;=AA$2),$E334,0),$E334*NETWORKDAYS(MAX($I334,AA$3),MIN($J334,AA$2),Data!$K$4:$K$203)/$K334)))</f>
        <v>0</v>
      </c>
      <c r="AB334" s="170">
        <f>IF(OR($I334="",$E334=0),0,IF(OR($J334&lt;AB$3,$I334&gt;AB$2),0,IF($K334=0,IF(AND($I334&gt;=AB$3,$I334&lt;=AB$2),$E334,0),$E334*NETWORKDAYS(MAX($I334,AB$3),MIN($J334,AB$2),Data!$K$4:$K$203)/$K334)))</f>
        <v>0</v>
      </c>
      <c r="AC334" s="170">
        <f>IF(OR($I334="",$E334=0),0,IF(OR($J334&lt;AC$3,$I334&gt;AC$2),0,IF($K334=0,IF(AND($I334&gt;=AC$3,$I334&lt;=AC$2),$E334,0),$E334*NETWORKDAYS(MAX($I334,AC$3),MIN($J334,AC$2),Data!$K$4:$K$203)/$K334)))</f>
        <v>0</v>
      </c>
      <c r="AD334" s="170">
        <f>IF(OR($I334="",$E334=0),0,IF(OR($J334&lt;AD$3,$I334&gt;AD$2),0,IF($K334=0,IF(AND($I334&gt;=AD$3,$I334&lt;=AD$2),$E334,0),$E334*NETWORKDAYS(MAX($I334,AD$3),MIN($J334,AD$2),Data!$K$4:$K$203)/$K334)))</f>
        <v>0</v>
      </c>
      <c r="AE334" s="170">
        <f>IF(OR($I334="",$E334=0),0,IF(OR($J334&lt;AE$3,$I334&gt;AE$2),0,IF($K334=0,IF(AND($I334&gt;=AE$3,$I334&lt;=AE$2),$E334,0),$E334*NETWORKDAYS(MAX($I334,AE$3),MIN($J334,AE$2),Data!$K$4:$K$203)/$K334)))</f>
        <v>0</v>
      </c>
      <c r="AF334" s="170">
        <f>IF(OR($I334="",$E334=0),0,IF(OR($J334&lt;AF$3,$I334&gt;AF$2),0,IF($K334=0,IF(AND($I334&gt;=AF$3,$I334&lt;=AF$2),$E334,0),$E334*NETWORKDAYS(MAX($I334,AF$3),MIN($J334,AF$2),Data!$K$4:$K$203)/$K334)))</f>
        <v>0</v>
      </c>
      <c r="AG334" s="170">
        <f>IF(OR($I334="",$E334=0),0,IF(OR($J334&lt;AG$3,$I334&gt;AG$2),0,IF($K334=0,IF(AND($I334&gt;=AG$3,$I334&lt;=AG$2),$E334,0),$E334*NETWORKDAYS(MAX($I334,AG$3),MIN($J334,AG$2),Data!$K$4:$K$203)/$K334)))</f>
        <v>0</v>
      </c>
      <c r="AH334" s="170">
        <f>IF(OR($I334="",$E334=0),0,IF(OR($J334&lt;AH$3,$I334&gt;AH$2),0,IF($K334=0,IF(AND($I334&gt;=AH$3,$I334&lt;=AH$2),$E334,0),$E334*NETWORKDAYS(MAX($I334,AH$3),MIN($J334,AH$2),Data!$K$4:$K$203)/$K334)))</f>
        <v>0</v>
      </c>
      <c r="AI334" s="170">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70"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4" t="str">
        <f>IF(EO334=1,IF(FH334&gt;0,FI334/FH334,AVERAGEIF($FF$4:$FF$503,EN334,$C$4:$C$503)),"")</f>
        <v/>
      </c>
      <c r="EV334" s="169">
        <f>IF(ISNUMBER(I334),I334,2958465)</f>
        <v>2958465.0</v>
      </c>
      <c r="EW334" s="169" t="str">
        <f>IF(EO334=1,SUMPRODUCT(MIN(($EN$4:$EN$503=EN334)*$EV$4:$EV$503+($EN$4:$EN$503&lt;&gt;EN334)*2958465)),"")</f>
        <v/>
      </c>
      <c r="EX334" s="169">
        <f>IF(AND(D334=1,ISNUMBER(INDEX(Charge!$F:$F,ROW()))),INDEX(Charge!$F:$F,ROW()),0)</f>
        <v>0.0</v>
      </c>
      <c r="EY334" s="169"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c r="FF334" t="str">
        <f>IF(B334=1,LEFT(SUBSTITUTE(SUBSTITUTE(SUBSTITUTE(TRIM(SUBSTITUTE(INDEX(Charge!$B:$B,ROW()),CHAR(160)," "))&amp;" | "&amp;TRIM(SUBSTITUTE(INDEX(Charge!$C:$C,ROW()),CHAR(160)," "))&amp;" | "&amp;TRIM(SUBSTITUTE(INDEX(Charge!$D:$D,ROW()),CHAR(160)," ")),"~","-"),"*","+"),"?","!"),240),"")</f>
        <v/>
      </c>
      <c r="FG334">
        <f>IF(B334=1,MAX(0,N(INDEX(Charge!$M:$M,ROW()))),0)</f>
        <v>0</v>
      </c>
      <c r="FH334" s="170" t="str">
        <f>IF(EO334=1,ROUND(SUMIF($FF$4:$FF$503,EN334,$FG$4:$FG$503),2),"")</f>
        <v/>
      </c>
      <c r="FI334" s="170" t="str">
        <f>IF(EO334=1,ROUND(SUMPRODUCT(($FF$4:$FF$503=EN334)*$FG$4:$FG$503*$C$4:$C$503),2),"")</f>
        <v/>
      </c>
      <c r="FJ334" s="170" t="str">
        <f>IF(EO334=1,MAX(0,ROUND(FH334-FI334,2)),"")</f>
        <v/>
      </c>
      <c r="FK334" s="174" t="str">
        <f>IF(EO334=1,IF(OR(EW334&gt;=2958465,EY334=0,EY334&lt;=EW334),"",IF(TODAY()&lt;=EW334,0,IF(TODAY()&gt;EY334,1,IFERROR(NETWORKDAYS(EW334,TODAY()-1,Data!$K$4:$K$203)/NETWORKDAYS(EW334,EY334,Data!$K$4:$K$203),"")))),"")</f>
        <v/>
      </c>
      <c r="FL334" t="str">
        <f>IF(EO334=1,IF(AND(EY334&gt;0,EY334&lt;TODAY(),ROUND(EU334,4)&lt;1),2,IF(FK334="",0,IF(ROUND(EU334-FK334,4)&lt;-0.15,1,0))),"")</f>
        <v/>
      </c>
      <c r="FM334">
        <f>IF(OR(FA334="",COUNTIF($FA$4:FA333,FA334)&gt;0),0,MAX(0,IF(FB334="Interne",IF(ISNUMBER(INDEX(Data!$F:$F,334)),INDEX(Data!$F:$F,334),p_HeuresETP),IF(ISNUMBER(INDEX(Data!$I:$I,334-$CD$23)),INDEX(Data!$I:$I,334-$CD$23),p_HeuresETP))-IF(FB334="Interne",IF(ISNUMBER(INDEX(Data!$G:$G,334)),INDEX(Data!$G:$G,334),p_ChargeFixe),IF(ISNUMBER(INDEX(Data!$J:$J,334-$CD$23)),INDEX(Data!$J:$J,334-$CD$23),p_ChargeFixe))))</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9" t="str">
        <f>IF(AND(D335=1,ISNUMBER(INDEX(Charge!$N:$N,ROW()))),INDEX(Charge!$N:$N,ROW()),"")</f>
        <v/>
      </c>
      <c r="J335" s="169"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70">
        <f>IF(OR($I335="",$E335=0),0,IF(OR($J335&lt;W$3,$I335&gt;W$2),0,IF($K335=0,IF(AND($I335&gt;=W$3,$I335&lt;=W$2),$E335,0),$E335*NETWORKDAYS(MAX($I335,W$3),MIN($J335,W$2),Data!$K$4:$K$203)/$K335)))</f>
        <v>0</v>
      </c>
      <c r="X335" s="170">
        <f>IF(OR($I335="",$E335=0),0,IF(OR($J335&lt;X$3,$I335&gt;X$2),0,IF($K335=0,IF(AND($I335&gt;=X$3,$I335&lt;=X$2),$E335,0),$E335*NETWORKDAYS(MAX($I335,X$3),MIN($J335,X$2),Data!$K$4:$K$203)/$K335)))</f>
        <v>0</v>
      </c>
      <c r="Y335" s="170">
        <f>IF(OR($I335="",$E335=0),0,IF(OR($J335&lt;Y$3,$I335&gt;Y$2),0,IF($K335=0,IF(AND($I335&gt;=Y$3,$I335&lt;=Y$2),$E335,0),$E335*NETWORKDAYS(MAX($I335,Y$3),MIN($J335,Y$2),Data!$K$4:$K$203)/$K335)))</f>
        <v>0</v>
      </c>
      <c r="Z335" s="170">
        <f>IF(OR($I335="",$E335=0),0,IF(OR($J335&lt;Z$3,$I335&gt;Z$2),0,IF($K335=0,IF(AND($I335&gt;=Z$3,$I335&lt;=Z$2),$E335,0),$E335*NETWORKDAYS(MAX($I335,Z$3),MIN($J335,Z$2),Data!$K$4:$K$203)/$K335)))</f>
        <v>0</v>
      </c>
      <c r="AA335" s="170">
        <f>IF(OR($I335="",$E335=0),0,IF(OR($J335&lt;AA$3,$I335&gt;AA$2),0,IF($K335=0,IF(AND($I335&gt;=AA$3,$I335&lt;=AA$2),$E335,0),$E335*NETWORKDAYS(MAX($I335,AA$3),MIN($J335,AA$2),Data!$K$4:$K$203)/$K335)))</f>
        <v>0</v>
      </c>
      <c r="AB335" s="170">
        <f>IF(OR($I335="",$E335=0),0,IF(OR($J335&lt;AB$3,$I335&gt;AB$2),0,IF($K335=0,IF(AND($I335&gt;=AB$3,$I335&lt;=AB$2),$E335,0),$E335*NETWORKDAYS(MAX($I335,AB$3),MIN($J335,AB$2),Data!$K$4:$K$203)/$K335)))</f>
        <v>0</v>
      </c>
      <c r="AC335" s="170">
        <f>IF(OR($I335="",$E335=0),0,IF(OR($J335&lt;AC$3,$I335&gt;AC$2),0,IF($K335=0,IF(AND($I335&gt;=AC$3,$I335&lt;=AC$2),$E335,0),$E335*NETWORKDAYS(MAX($I335,AC$3),MIN($J335,AC$2),Data!$K$4:$K$203)/$K335)))</f>
        <v>0</v>
      </c>
      <c r="AD335" s="170">
        <f>IF(OR($I335="",$E335=0),0,IF(OR($J335&lt;AD$3,$I335&gt;AD$2),0,IF($K335=0,IF(AND($I335&gt;=AD$3,$I335&lt;=AD$2),$E335,0),$E335*NETWORKDAYS(MAX($I335,AD$3),MIN($J335,AD$2),Data!$K$4:$K$203)/$K335)))</f>
        <v>0</v>
      </c>
      <c r="AE335" s="170">
        <f>IF(OR($I335="",$E335=0),0,IF(OR($J335&lt;AE$3,$I335&gt;AE$2),0,IF($K335=0,IF(AND($I335&gt;=AE$3,$I335&lt;=AE$2),$E335,0),$E335*NETWORKDAYS(MAX($I335,AE$3),MIN($J335,AE$2),Data!$K$4:$K$203)/$K335)))</f>
        <v>0</v>
      </c>
      <c r="AF335" s="170">
        <f>IF(OR($I335="",$E335=0),0,IF(OR($J335&lt;AF$3,$I335&gt;AF$2),0,IF($K335=0,IF(AND($I335&gt;=AF$3,$I335&lt;=AF$2),$E335,0),$E335*NETWORKDAYS(MAX($I335,AF$3),MIN($J335,AF$2),Data!$K$4:$K$203)/$K335)))</f>
        <v>0</v>
      </c>
      <c r="AG335" s="170">
        <f>IF(OR($I335="",$E335=0),0,IF(OR($J335&lt;AG$3,$I335&gt;AG$2),0,IF($K335=0,IF(AND($I335&gt;=AG$3,$I335&lt;=AG$2),$E335,0),$E335*NETWORKDAYS(MAX($I335,AG$3),MIN($J335,AG$2),Data!$K$4:$K$203)/$K335)))</f>
        <v>0</v>
      </c>
      <c r="AH335" s="170">
        <f>IF(OR($I335="",$E335=0),0,IF(OR($J335&lt;AH$3,$I335&gt;AH$2),0,IF($K335=0,IF(AND($I335&gt;=AH$3,$I335&lt;=AH$2),$E335,0),$E335*NETWORKDAYS(MAX($I335,AH$3),MIN($J335,AH$2),Data!$K$4:$K$203)/$K335)))</f>
        <v>0</v>
      </c>
      <c r="AI335" s="170">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70"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4" t="str">
        <f>IF(EO335=1,IF(FH335&gt;0,FI335/FH335,AVERAGEIF($FF$4:$FF$503,EN335,$C$4:$C$503)),"")</f>
        <v/>
      </c>
      <c r="EV335" s="169">
        <f>IF(ISNUMBER(I335),I335,2958465)</f>
        <v>2958465.0</v>
      </c>
      <c r="EW335" s="169" t="str">
        <f>IF(EO335=1,SUMPRODUCT(MIN(($EN$4:$EN$503=EN335)*$EV$4:$EV$503+($EN$4:$EN$503&lt;&gt;EN335)*2958465)),"")</f>
        <v/>
      </c>
      <c r="EX335" s="169">
        <f>IF(AND(D335=1,ISNUMBER(INDEX(Charge!$F:$F,ROW()))),INDEX(Charge!$F:$F,ROW()),0)</f>
        <v>0.0</v>
      </c>
      <c r="EY335" s="169"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c r="FF335" t="str">
        <f>IF(B335=1,LEFT(SUBSTITUTE(SUBSTITUTE(SUBSTITUTE(TRIM(SUBSTITUTE(INDEX(Charge!$B:$B,ROW()),CHAR(160)," "))&amp;" | "&amp;TRIM(SUBSTITUTE(INDEX(Charge!$C:$C,ROW()),CHAR(160)," "))&amp;" | "&amp;TRIM(SUBSTITUTE(INDEX(Charge!$D:$D,ROW()),CHAR(160)," ")),"~","-"),"*","+"),"?","!"),240),"")</f>
        <v/>
      </c>
      <c r="FG335">
        <f>IF(B335=1,MAX(0,N(INDEX(Charge!$M:$M,ROW()))),0)</f>
        <v>0</v>
      </c>
      <c r="FH335" s="170" t="str">
        <f>IF(EO335=1,ROUND(SUMIF($FF$4:$FF$503,EN335,$FG$4:$FG$503),2),"")</f>
        <v/>
      </c>
      <c r="FI335" s="170" t="str">
        <f>IF(EO335=1,ROUND(SUMPRODUCT(($FF$4:$FF$503=EN335)*$FG$4:$FG$503*$C$4:$C$503),2),"")</f>
        <v/>
      </c>
      <c r="FJ335" s="170" t="str">
        <f>IF(EO335=1,MAX(0,ROUND(FH335-FI335,2)),"")</f>
        <v/>
      </c>
      <c r="FK335" s="174" t="str">
        <f>IF(EO335=1,IF(OR(EW335&gt;=2958465,EY335=0,EY335&lt;=EW335),"",IF(TODAY()&lt;=EW335,0,IF(TODAY()&gt;EY335,1,IFERROR(NETWORKDAYS(EW335,TODAY()-1,Data!$K$4:$K$203)/NETWORKDAYS(EW335,EY335,Data!$K$4:$K$203),"")))),"")</f>
        <v/>
      </c>
      <c r="FL335" t="str">
        <f>IF(EO335=1,IF(AND(EY335&gt;0,EY335&lt;TODAY(),ROUND(EU335,4)&lt;1),2,IF(FK335="",0,IF(ROUND(EU335-FK335,4)&lt;-0.15,1,0))),"")</f>
        <v/>
      </c>
      <c r="FM335">
        <f>IF(OR(FA335="",COUNTIF($FA$4:FA334,FA335)&gt;0),0,MAX(0,IF(FB335="Interne",IF(ISNUMBER(INDEX(Data!$F:$F,335)),INDEX(Data!$F:$F,335),p_HeuresETP),IF(ISNUMBER(INDEX(Data!$I:$I,335-$CD$23)),INDEX(Data!$I:$I,335-$CD$23),p_HeuresETP))-IF(FB335="Interne",IF(ISNUMBER(INDEX(Data!$G:$G,335)),INDEX(Data!$G:$G,335),p_ChargeFixe),IF(ISNUMBER(INDEX(Data!$J:$J,335-$CD$23)),INDEX(Data!$J:$J,335-$CD$23),p_ChargeFixe))))</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9" t="str">
        <f>IF(AND(D336=1,ISNUMBER(INDEX(Charge!$N:$N,ROW()))),INDEX(Charge!$N:$N,ROW()),"")</f>
        <v/>
      </c>
      <c r="J336" s="169"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70">
        <f>IF(OR($I336="",$E336=0),0,IF(OR($J336&lt;W$3,$I336&gt;W$2),0,IF($K336=0,IF(AND($I336&gt;=W$3,$I336&lt;=W$2),$E336,0),$E336*NETWORKDAYS(MAX($I336,W$3),MIN($J336,W$2),Data!$K$4:$K$203)/$K336)))</f>
        <v>0</v>
      </c>
      <c r="X336" s="170">
        <f>IF(OR($I336="",$E336=0),0,IF(OR($J336&lt;X$3,$I336&gt;X$2),0,IF($K336=0,IF(AND($I336&gt;=X$3,$I336&lt;=X$2),$E336,0),$E336*NETWORKDAYS(MAX($I336,X$3),MIN($J336,X$2),Data!$K$4:$K$203)/$K336)))</f>
        <v>0</v>
      </c>
      <c r="Y336" s="170">
        <f>IF(OR($I336="",$E336=0),0,IF(OR($J336&lt;Y$3,$I336&gt;Y$2),0,IF($K336=0,IF(AND($I336&gt;=Y$3,$I336&lt;=Y$2),$E336,0),$E336*NETWORKDAYS(MAX($I336,Y$3),MIN($J336,Y$2),Data!$K$4:$K$203)/$K336)))</f>
        <v>0</v>
      </c>
      <c r="Z336" s="170">
        <f>IF(OR($I336="",$E336=0),0,IF(OR($J336&lt;Z$3,$I336&gt;Z$2),0,IF($K336=0,IF(AND($I336&gt;=Z$3,$I336&lt;=Z$2),$E336,0),$E336*NETWORKDAYS(MAX($I336,Z$3),MIN($J336,Z$2),Data!$K$4:$K$203)/$K336)))</f>
        <v>0</v>
      </c>
      <c r="AA336" s="170">
        <f>IF(OR($I336="",$E336=0),0,IF(OR($J336&lt;AA$3,$I336&gt;AA$2),0,IF($K336=0,IF(AND($I336&gt;=AA$3,$I336&lt;=AA$2),$E336,0),$E336*NETWORKDAYS(MAX($I336,AA$3),MIN($J336,AA$2),Data!$K$4:$K$203)/$K336)))</f>
        <v>0</v>
      </c>
      <c r="AB336" s="170">
        <f>IF(OR($I336="",$E336=0),0,IF(OR($J336&lt;AB$3,$I336&gt;AB$2),0,IF($K336=0,IF(AND($I336&gt;=AB$3,$I336&lt;=AB$2),$E336,0),$E336*NETWORKDAYS(MAX($I336,AB$3),MIN($J336,AB$2),Data!$K$4:$K$203)/$K336)))</f>
        <v>0</v>
      </c>
      <c r="AC336" s="170">
        <f>IF(OR($I336="",$E336=0),0,IF(OR($J336&lt;AC$3,$I336&gt;AC$2),0,IF($K336=0,IF(AND($I336&gt;=AC$3,$I336&lt;=AC$2),$E336,0),$E336*NETWORKDAYS(MAX($I336,AC$3),MIN($J336,AC$2),Data!$K$4:$K$203)/$K336)))</f>
        <v>0</v>
      </c>
      <c r="AD336" s="170">
        <f>IF(OR($I336="",$E336=0),0,IF(OR($J336&lt;AD$3,$I336&gt;AD$2),0,IF($K336=0,IF(AND($I336&gt;=AD$3,$I336&lt;=AD$2),$E336,0),$E336*NETWORKDAYS(MAX($I336,AD$3),MIN($J336,AD$2),Data!$K$4:$K$203)/$K336)))</f>
        <v>0</v>
      </c>
      <c r="AE336" s="170">
        <f>IF(OR($I336="",$E336=0),0,IF(OR($J336&lt;AE$3,$I336&gt;AE$2),0,IF($K336=0,IF(AND($I336&gt;=AE$3,$I336&lt;=AE$2),$E336,0),$E336*NETWORKDAYS(MAX($I336,AE$3),MIN($J336,AE$2),Data!$K$4:$K$203)/$K336)))</f>
        <v>0</v>
      </c>
      <c r="AF336" s="170">
        <f>IF(OR($I336="",$E336=0),0,IF(OR($J336&lt;AF$3,$I336&gt;AF$2),0,IF($K336=0,IF(AND($I336&gt;=AF$3,$I336&lt;=AF$2),$E336,0),$E336*NETWORKDAYS(MAX($I336,AF$3),MIN($J336,AF$2),Data!$K$4:$K$203)/$K336)))</f>
        <v>0</v>
      </c>
      <c r="AG336" s="170">
        <f>IF(OR($I336="",$E336=0),0,IF(OR($J336&lt;AG$3,$I336&gt;AG$2),0,IF($K336=0,IF(AND($I336&gt;=AG$3,$I336&lt;=AG$2),$E336,0),$E336*NETWORKDAYS(MAX($I336,AG$3),MIN($J336,AG$2),Data!$K$4:$K$203)/$K336)))</f>
        <v>0</v>
      </c>
      <c r="AH336" s="170">
        <f>IF(OR($I336="",$E336=0),0,IF(OR($J336&lt;AH$3,$I336&gt;AH$2),0,IF($K336=0,IF(AND($I336&gt;=AH$3,$I336&lt;=AH$2),$E336,0),$E336*NETWORKDAYS(MAX($I336,AH$3),MIN($J336,AH$2),Data!$K$4:$K$203)/$K336)))</f>
        <v>0</v>
      </c>
      <c r="AI336" s="170">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70"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4" t="str">
        <f>IF(EO336=1,IF(FH336&gt;0,FI336/FH336,AVERAGEIF($FF$4:$FF$503,EN336,$C$4:$C$503)),"")</f>
        <v/>
      </c>
      <c r="EV336" s="169">
        <f>IF(ISNUMBER(I336),I336,2958465)</f>
        <v>2958465.0</v>
      </c>
      <c r="EW336" s="169" t="str">
        <f>IF(EO336=1,SUMPRODUCT(MIN(($EN$4:$EN$503=EN336)*$EV$4:$EV$503+($EN$4:$EN$503&lt;&gt;EN336)*2958465)),"")</f>
        <v/>
      </c>
      <c r="EX336" s="169">
        <f>IF(AND(D336=1,ISNUMBER(INDEX(Charge!$F:$F,ROW()))),INDEX(Charge!$F:$F,ROW()),0)</f>
        <v>0.0</v>
      </c>
      <c r="EY336" s="169"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c r="FF336" t="str">
        <f>IF(B336=1,LEFT(SUBSTITUTE(SUBSTITUTE(SUBSTITUTE(TRIM(SUBSTITUTE(INDEX(Charge!$B:$B,ROW()),CHAR(160)," "))&amp;" | "&amp;TRIM(SUBSTITUTE(INDEX(Charge!$C:$C,ROW()),CHAR(160)," "))&amp;" | "&amp;TRIM(SUBSTITUTE(INDEX(Charge!$D:$D,ROW()),CHAR(160)," ")),"~","-"),"*","+"),"?","!"),240),"")</f>
        <v/>
      </c>
      <c r="FG336">
        <f>IF(B336=1,MAX(0,N(INDEX(Charge!$M:$M,ROW()))),0)</f>
        <v>0</v>
      </c>
      <c r="FH336" s="170" t="str">
        <f>IF(EO336=1,ROUND(SUMIF($FF$4:$FF$503,EN336,$FG$4:$FG$503),2),"")</f>
        <v/>
      </c>
      <c r="FI336" s="170" t="str">
        <f>IF(EO336=1,ROUND(SUMPRODUCT(($FF$4:$FF$503=EN336)*$FG$4:$FG$503*$C$4:$C$503),2),"")</f>
        <v/>
      </c>
      <c r="FJ336" s="170" t="str">
        <f>IF(EO336=1,MAX(0,ROUND(FH336-FI336,2)),"")</f>
        <v/>
      </c>
      <c r="FK336" s="174" t="str">
        <f>IF(EO336=1,IF(OR(EW336&gt;=2958465,EY336=0,EY336&lt;=EW336),"",IF(TODAY()&lt;=EW336,0,IF(TODAY()&gt;EY336,1,IFERROR(NETWORKDAYS(EW336,TODAY()-1,Data!$K$4:$K$203)/NETWORKDAYS(EW336,EY336,Data!$K$4:$K$203),"")))),"")</f>
        <v/>
      </c>
      <c r="FL336" t="str">
        <f>IF(EO336=1,IF(AND(EY336&gt;0,EY336&lt;TODAY(),ROUND(EU336,4)&lt;1),2,IF(FK336="",0,IF(ROUND(EU336-FK336,4)&lt;-0.15,1,0))),"")</f>
        <v/>
      </c>
      <c r="FM336">
        <f>IF(OR(FA336="",COUNTIF($FA$4:FA335,FA336)&gt;0),0,MAX(0,IF(FB336="Interne",IF(ISNUMBER(INDEX(Data!$F:$F,336)),INDEX(Data!$F:$F,336),p_HeuresETP),IF(ISNUMBER(INDEX(Data!$I:$I,336-$CD$23)),INDEX(Data!$I:$I,336-$CD$23),p_HeuresETP))-IF(FB336="Interne",IF(ISNUMBER(INDEX(Data!$G:$G,336)),INDEX(Data!$G:$G,336),p_ChargeFixe),IF(ISNUMBER(INDEX(Data!$J:$J,336-$CD$23)),INDEX(Data!$J:$J,336-$CD$23),p_ChargeFixe))))</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9" t="str">
        <f>IF(AND(D337=1,ISNUMBER(INDEX(Charge!$N:$N,ROW()))),INDEX(Charge!$N:$N,ROW()),"")</f>
        <v/>
      </c>
      <c r="J337" s="169"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70">
        <f>IF(OR($I337="",$E337=0),0,IF(OR($J337&lt;W$3,$I337&gt;W$2),0,IF($K337=0,IF(AND($I337&gt;=W$3,$I337&lt;=W$2),$E337,0),$E337*NETWORKDAYS(MAX($I337,W$3),MIN($J337,W$2),Data!$K$4:$K$203)/$K337)))</f>
        <v>0</v>
      </c>
      <c r="X337" s="170">
        <f>IF(OR($I337="",$E337=0),0,IF(OR($J337&lt;X$3,$I337&gt;X$2),0,IF($K337=0,IF(AND($I337&gt;=X$3,$I337&lt;=X$2),$E337,0),$E337*NETWORKDAYS(MAX($I337,X$3),MIN($J337,X$2),Data!$K$4:$K$203)/$K337)))</f>
        <v>0</v>
      </c>
      <c r="Y337" s="170">
        <f>IF(OR($I337="",$E337=0),0,IF(OR($J337&lt;Y$3,$I337&gt;Y$2),0,IF($K337=0,IF(AND($I337&gt;=Y$3,$I337&lt;=Y$2),$E337,0),$E337*NETWORKDAYS(MAX($I337,Y$3),MIN($J337,Y$2),Data!$K$4:$K$203)/$K337)))</f>
        <v>0</v>
      </c>
      <c r="Z337" s="170">
        <f>IF(OR($I337="",$E337=0),0,IF(OR($J337&lt;Z$3,$I337&gt;Z$2),0,IF($K337=0,IF(AND($I337&gt;=Z$3,$I337&lt;=Z$2),$E337,0),$E337*NETWORKDAYS(MAX($I337,Z$3),MIN($J337,Z$2),Data!$K$4:$K$203)/$K337)))</f>
        <v>0</v>
      </c>
      <c r="AA337" s="170">
        <f>IF(OR($I337="",$E337=0),0,IF(OR($J337&lt;AA$3,$I337&gt;AA$2),0,IF($K337=0,IF(AND($I337&gt;=AA$3,$I337&lt;=AA$2),$E337,0),$E337*NETWORKDAYS(MAX($I337,AA$3),MIN($J337,AA$2),Data!$K$4:$K$203)/$K337)))</f>
        <v>0</v>
      </c>
      <c r="AB337" s="170">
        <f>IF(OR($I337="",$E337=0),0,IF(OR($J337&lt;AB$3,$I337&gt;AB$2),0,IF($K337=0,IF(AND($I337&gt;=AB$3,$I337&lt;=AB$2),$E337,0),$E337*NETWORKDAYS(MAX($I337,AB$3),MIN($J337,AB$2),Data!$K$4:$K$203)/$K337)))</f>
        <v>0</v>
      </c>
      <c r="AC337" s="170">
        <f>IF(OR($I337="",$E337=0),0,IF(OR($J337&lt;AC$3,$I337&gt;AC$2),0,IF($K337=0,IF(AND($I337&gt;=AC$3,$I337&lt;=AC$2),$E337,0),$E337*NETWORKDAYS(MAX($I337,AC$3),MIN($J337,AC$2),Data!$K$4:$K$203)/$K337)))</f>
        <v>0</v>
      </c>
      <c r="AD337" s="170">
        <f>IF(OR($I337="",$E337=0),0,IF(OR($J337&lt;AD$3,$I337&gt;AD$2),0,IF($K337=0,IF(AND($I337&gt;=AD$3,$I337&lt;=AD$2),$E337,0),$E337*NETWORKDAYS(MAX($I337,AD$3),MIN($J337,AD$2),Data!$K$4:$K$203)/$K337)))</f>
        <v>0</v>
      </c>
      <c r="AE337" s="170">
        <f>IF(OR($I337="",$E337=0),0,IF(OR($J337&lt;AE$3,$I337&gt;AE$2),0,IF($K337=0,IF(AND($I337&gt;=AE$3,$I337&lt;=AE$2),$E337,0),$E337*NETWORKDAYS(MAX($I337,AE$3),MIN($J337,AE$2),Data!$K$4:$K$203)/$K337)))</f>
        <v>0</v>
      </c>
      <c r="AF337" s="170">
        <f>IF(OR($I337="",$E337=0),0,IF(OR($J337&lt;AF$3,$I337&gt;AF$2),0,IF($K337=0,IF(AND($I337&gt;=AF$3,$I337&lt;=AF$2),$E337,0),$E337*NETWORKDAYS(MAX($I337,AF$3),MIN($J337,AF$2),Data!$K$4:$K$203)/$K337)))</f>
        <v>0</v>
      </c>
      <c r="AG337" s="170">
        <f>IF(OR($I337="",$E337=0),0,IF(OR($J337&lt;AG$3,$I337&gt;AG$2),0,IF($K337=0,IF(AND($I337&gt;=AG$3,$I337&lt;=AG$2),$E337,0),$E337*NETWORKDAYS(MAX($I337,AG$3),MIN($J337,AG$2),Data!$K$4:$K$203)/$K337)))</f>
        <v>0</v>
      </c>
      <c r="AH337" s="170">
        <f>IF(OR($I337="",$E337=0),0,IF(OR($J337&lt;AH$3,$I337&gt;AH$2),0,IF($K337=0,IF(AND($I337&gt;=AH$3,$I337&lt;=AH$2),$E337,0),$E337*NETWORKDAYS(MAX($I337,AH$3),MIN($J337,AH$2),Data!$K$4:$K$203)/$K337)))</f>
        <v>0</v>
      </c>
      <c r="AI337" s="170">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70"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4" t="str">
        <f>IF(EO337=1,IF(FH337&gt;0,FI337/FH337,AVERAGEIF($FF$4:$FF$503,EN337,$C$4:$C$503)),"")</f>
        <v/>
      </c>
      <c r="EV337" s="169">
        <f>IF(ISNUMBER(I337),I337,2958465)</f>
        <v>2958465.0</v>
      </c>
      <c r="EW337" s="169" t="str">
        <f>IF(EO337=1,SUMPRODUCT(MIN(($EN$4:$EN$503=EN337)*$EV$4:$EV$503+($EN$4:$EN$503&lt;&gt;EN337)*2958465)),"")</f>
        <v/>
      </c>
      <c r="EX337" s="169">
        <f>IF(AND(D337=1,ISNUMBER(INDEX(Charge!$F:$F,ROW()))),INDEX(Charge!$F:$F,ROW()),0)</f>
        <v>0.0</v>
      </c>
      <c r="EY337" s="169"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c r="FF337" t="str">
        <f>IF(B337=1,LEFT(SUBSTITUTE(SUBSTITUTE(SUBSTITUTE(TRIM(SUBSTITUTE(INDEX(Charge!$B:$B,ROW()),CHAR(160)," "))&amp;" | "&amp;TRIM(SUBSTITUTE(INDEX(Charge!$C:$C,ROW()),CHAR(160)," "))&amp;" | "&amp;TRIM(SUBSTITUTE(INDEX(Charge!$D:$D,ROW()),CHAR(160)," ")),"~","-"),"*","+"),"?","!"),240),"")</f>
        <v/>
      </c>
      <c r="FG337">
        <f>IF(B337=1,MAX(0,N(INDEX(Charge!$M:$M,ROW()))),0)</f>
        <v>0</v>
      </c>
      <c r="FH337" s="170" t="str">
        <f>IF(EO337=1,ROUND(SUMIF($FF$4:$FF$503,EN337,$FG$4:$FG$503),2),"")</f>
        <v/>
      </c>
      <c r="FI337" s="170" t="str">
        <f>IF(EO337=1,ROUND(SUMPRODUCT(($FF$4:$FF$503=EN337)*$FG$4:$FG$503*$C$4:$C$503),2),"")</f>
        <v/>
      </c>
      <c r="FJ337" s="170" t="str">
        <f>IF(EO337=1,MAX(0,ROUND(FH337-FI337,2)),"")</f>
        <v/>
      </c>
      <c r="FK337" s="174" t="str">
        <f>IF(EO337=1,IF(OR(EW337&gt;=2958465,EY337=0,EY337&lt;=EW337),"",IF(TODAY()&lt;=EW337,0,IF(TODAY()&gt;EY337,1,IFERROR(NETWORKDAYS(EW337,TODAY()-1,Data!$K$4:$K$203)/NETWORKDAYS(EW337,EY337,Data!$K$4:$K$203),"")))),"")</f>
        <v/>
      </c>
      <c r="FL337" t="str">
        <f>IF(EO337=1,IF(AND(EY337&gt;0,EY337&lt;TODAY(),ROUND(EU337,4)&lt;1),2,IF(FK337="",0,IF(ROUND(EU337-FK337,4)&lt;-0.15,1,0))),"")</f>
        <v/>
      </c>
      <c r="FM337">
        <f>IF(OR(FA337="",COUNTIF($FA$4:FA336,FA337)&gt;0),0,MAX(0,IF(FB337="Interne",IF(ISNUMBER(INDEX(Data!$F:$F,337)),INDEX(Data!$F:$F,337),p_HeuresETP),IF(ISNUMBER(INDEX(Data!$I:$I,337-$CD$23)),INDEX(Data!$I:$I,337-$CD$23),p_HeuresETP))-IF(FB337="Interne",IF(ISNUMBER(INDEX(Data!$G:$G,337)),INDEX(Data!$G:$G,337),p_ChargeFixe),IF(ISNUMBER(INDEX(Data!$J:$J,337-$CD$23)),INDEX(Data!$J:$J,337-$CD$23),p_ChargeFixe))))</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9" t="str">
        <f>IF(AND(D338=1,ISNUMBER(INDEX(Charge!$N:$N,ROW()))),INDEX(Charge!$N:$N,ROW()),"")</f>
        <v/>
      </c>
      <c r="J338" s="169"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70">
        <f>IF(OR($I338="",$E338=0),0,IF(OR($J338&lt;W$3,$I338&gt;W$2),0,IF($K338=0,IF(AND($I338&gt;=W$3,$I338&lt;=W$2),$E338,0),$E338*NETWORKDAYS(MAX($I338,W$3),MIN($J338,W$2),Data!$K$4:$K$203)/$K338)))</f>
        <v>0</v>
      </c>
      <c r="X338" s="170">
        <f>IF(OR($I338="",$E338=0),0,IF(OR($J338&lt;X$3,$I338&gt;X$2),0,IF($K338=0,IF(AND($I338&gt;=X$3,$I338&lt;=X$2),$E338,0),$E338*NETWORKDAYS(MAX($I338,X$3),MIN($J338,X$2),Data!$K$4:$K$203)/$K338)))</f>
        <v>0</v>
      </c>
      <c r="Y338" s="170">
        <f>IF(OR($I338="",$E338=0),0,IF(OR($J338&lt;Y$3,$I338&gt;Y$2),0,IF($K338=0,IF(AND($I338&gt;=Y$3,$I338&lt;=Y$2),$E338,0),$E338*NETWORKDAYS(MAX($I338,Y$3),MIN($J338,Y$2),Data!$K$4:$K$203)/$K338)))</f>
        <v>0</v>
      </c>
      <c r="Z338" s="170">
        <f>IF(OR($I338="",$E338=0),0,IF(OR($J338&lt;Z$3,$I338&gt;Z$2),0,IF($K338=0,IF(AND($I338&gt;=Z$3,$I338&lt;=Z$2),$E338,0),$E338*NETWORKDAYS(MAX($I338,Z$3),MIN($J338,Z$2),Data!$K$4:$K$203)/$K338)))</f>
        <v>0</v>
      </c>
      <c r="AA338" s="170">
        <f>IF(OR($I338="",$E338=0),0,IF(OR($J338&lt;AA$3,$I338&gt;AA$2),0,IF($K338=0,IF(AND($I338&gt;=AA$3,$I338&lt;=AA$2),$E338,0),$E338*NETWORKDAYS(MAX($I338,AA$3),MIN($J338,AA$2),Data!$K$4:$K$203)/$K338)))</f>
        <v>0</v>
      </c>
      <c r="AB338" s="170">
        <f>IF(OR($I338="",$E338=0),0,IF(OR($J338&lt;AB$3,$I338&gt;AB$2),0,IF($K338=0,IF(AND($I338&gt;=AB$3,$I338&lt;=AB$2),$E338,0),$E338*NETWORKDAYS(MAX($I338,AB$3),MIN($J338,AB$2),Data!$K$4:$K$203)/$K338)))</f>
        <v>0</v>
      </c>
      <c r="AC338" s="170">
        <f>IF(OR($I338="",$E338=0),0,IF(OR($J338&lt;AC$3,$I338&gt;AC$2),0,IF($K338=0,IF(AND($I338&gt;=AC$3,$I338&lt;=AC$2),$E338,0),$E338*NETWORKDAYS(MAX($I338,AC$3),MIN($J338,AC$2),Data!$K$4:$K$203)/$K338)))</f>
        <v>0</v>
      </c>
      <c r="AD338" s="170">
        <f>IF(OR($I338="",$E338=0),0,IF(OR($J338&lt;AD$3,$I338&gt;AD$2),0,IF($K338=0,IF(AND($I338&gt;=AD$3,$I338&lt;=AD$2),$E338,0),$E338*NETWORKDAYS(MAX($I338,AD$3),MIN($J338,AD$2),Data!$K$4:$K$203)/$K338)))</f>
        <v>0</v>
      </c>
      <c r="AE338" s="170">
        <f>IF(OR($I338="",$E338=0),0,IF(OR($J338&lt;AE$3,$I338&gt;AE$2),0,IF($K338=0,IF(AND($I338&gt;=AE$3,$I338&lt;=AE$2),$E338,0),$E338*NETWORKDAYS(MAX($I338,AE$3),MIN($J338,AE$2),Data!$K$4:$K$203)/$K338)))</f>
        <v>0</v>
      </c>
      <c r="AF338" s="170">
        <f>IF(OR($I338="",$E338=0),0,IF(OR($J338&lt;AF$3,$I338&gt;AF$2),0,IF($K338=0,IF(AND($I338&gt;=AF$3,$I338&lt;=AF$2),$E338,0),$E338*NETWORKDAYS(MAX($I338,AF$3),MIN($J338,AF$2),Data!$K$4:$K$203)/$K338)))</f>
        <v>0</v>
      </c>
      <c r="AG338" s="170">
        <f>IF(OR($I338="",$E338=0),0,IF(OR($J338&lt;AG$3,$I338&gt;AG$2),0,IF($K338=0,IF(AND($I338&gt;=AG$3,$I338&lt;=AG$2),$E338,0),$E338*NETWORKDAYS(MAX($I338,AG$3),MIN($J338,AG$2),Data!$K$4:$K$203)/$K338)))</f>
        <v>0</v>
      </c>
      <c r="AH338" s="170">
        <f>IF(OR($I338="",$E338=0),0,IF(OR($J338&lt;AH$3,$I338&gt;AH$2),0,IF($K338=0,IF(AND($I338&gt;=AH$3,$I338&lt;=AH$2),$E338,0),$E338*NETWORKDAYS(MAX($I338,AH$3),MIN($J338,AH$2),Data!$K$4:$K$203)/$K338)))</f>
        <v>0</v>
      </c>
      <c r="AI338" s="170">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70"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4" t="str">
        <f>IF(EO338=1,IF(FH338&gt;0,FI338/FH338,AVERAGEIF($FF$4:$FF$503,EN338,$C$4:$C$503)),"")</f>
        <v/>
      </c>
      <c r="EV338" s="169">
        <f>IF(ISNUMBER(I338),I338,2958465)</f>
        <v>2958465.0</v>
      </c>
      <c r="EW338" s="169" t="str">
        <f>IF(EO338=1,SUMPRODUCT(MIN(($EN$4:$EN$503=EN338)*$EV$4:$EV$503+($EN$4:$EN$503&lt;&gt;EN338)*2958465)),"")</f>
        <v/>
      </c>
      <c r="EX338" s="169">
        <f>IF(AND(D338=1,ISNUMBER(INDEX(Charge!$F:$F,ROW()))),INDEX(Charge!$F:$F,ROW()),0)</f>
        <v>0.0</v>
      </c>
      <c r="EY338" s="169"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c r="FF338" t="str">
        <f>IF(B338=1,LEFT(SUBSTITUTE(SUBSTITUTE(SUBSTITUTE(TRIM(SUBSTITUTE(INDEX(Charge!$B:$B,ROW()),CHAR(160)," "))&amp;" | "&amp;TRIM(SUBSTITUTE(INDEX(Charge!$C:$C,ROW()),CHAR(160)," "))&amp;" | "&amp;TRIM(SUBSTITUTE(INDEX(Charge!$D:$D,ROW()),CHAR(160)," ")),"~","-"),"*","+"),"?","!"),240),"")</f>
        <v/>
      </c>
      <c r="FG338">
        <f>IF(B338=1,MAX(0,N(INDEX(Charge!$M:$M,ROW()))),0)</f>
        <v>0</v>
      </c>
      <c r="FH338" s="170" t="str">
        <f>IF(EO338=1,ROUND(SUMIF($FF$4:$FF$503,EN338,$FG$4:$FG$503),2),"")</f>
        <v/>
      </c>
      <c r="FI338" s="170" t="str">
        <f>IF(EO338=1,ROUND(SUMPRODUCT(($FF$4:$FF$503=EN338)*$FG$4:$FG$503*$C$4:$C$503),2),"")</f>
        <v/>
      </c>
      <c r="FJ338" s="170" t="str">
        <f>IF(EO338=1,MAX(0,ROUND(FH338-FI338,2)),"")</f>
        <v/>
      </c>
      <c r="FK338" s="174" t="str">
        <f>IF(EO338=1,IF(OR(EW338&gt;=2958465,EY338=0,EY338&lt;=EW338),"",IF(TODAY()&lt;=EW338,0,IF(TODAY()&gt;EY338,1,IFERROR(NETWORKDAYS(EW338,TODAY()-1,Data!$K$4:$K$203)/NETWORKDAYS(EW338,EY338,Data!$K$4:$K$203),"")))),"")</f>
        <v/>
      </c>
      <c r="FL338" t="str">
        <f>IF(EO338=1,IF(AND(EY338&gt;0,EY338&lt;TODAY(),ROUND(EU338,4)&lt;1),2,IF(FK338="",0,IF(ROUND(EU338-FK338,4)&lt;-0.15,1,0))),"")</f>
        <v/>
      </c>
      <c r="FM338">
        <f>IF(OR(FA338="",COUNTIF($FA$4:FA337,FA338)&gt;0),0,MAX(0,IF(FB338="Interne",IF(ISNUMBER(INDEX(Data!$F:$F,338)),INDEX(Data!$F:$F,338),p_HeuresETP),IF(ISNUMBER(INDEX(Data!$I:$I,338-$CD$23)),INDEX(Data!$I:$I,338-$CD$23),p_HeuresETP))-IF(FB338="Interne",IF(ISNUMBER(INDEX(Data!$G:$G,338)),INDEX(Data!$G:$G,338),p_ChargeFixe),IF(ISNUMBER(INDEX(Data!$J:$J,338-$CD$23)),INDEX(Data!$J:$J,338-$CD$23),p_ChargeFixe))))</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9" t="str">
        <f>IF(AND(D339=1,ISNUMBER(INDEX(Charge!$N:$N,ROW()))),INDEX(Charge!$N:$N,ROW()),"")</f>
        <v/>
      </c>
      <c r="J339" s="169"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70">
        <f>IF(OR($I339="",$E339=0),0,IF(OR($J339&lt;W$3,$I339&gt;W$2),0,IF($K339=0,IF(AND($I339&gt;=W$3,$I339&lt;=W$2),$E339,0),$E339*NETWORKDAYS(MAX($I339,W$3),MIN($J339,W$2),Data!$K$4:$K$203)/$K339)))</f>
        <v>0</v>
      </c>
      <c r="X339" s="170">
        <f>IF(OR($I339="",$E339=0),0,IF(OR($J339&lt;X$3,$I339&gt;X$2),0,IF($K339=0,IF(AND($I339&gt;=X$3,$I339&lt;=X$2),$E339,0),$E339*NETWORKDAYS(MAX($I339,X$3),MIN($J339,X$2),Data!$K$4:$K$203)/$K339)))</f>
        <v>0</v>
      </c>
      <c r="Y339" s="170">
        <f>IF(OR($I339="",$E339=0),0,IF(OR($J339&lt;Y$3,$I339&gt;Y$2),0,IF($K339=0,IF(AND($I339&gt;=Y$3,$I339&lt;=Y$2),$E339,0),$E339*NETWORKDAYS(MAX($I339,Y$3),MIN($J339,Y$2),Data!$K$4:$K$203)/$K339)))</f>
        <v>0</v>
      </c>
      <c r="Z339" s="170">
        <f>IF(OR($I339="",$E339=0),0,IF(OR($J339&lt;Z$3,$I339&gt;Z$2),0,IF($K339=0,IF(AND($I339&gt;=Z$3,$I339&lt;=Z$2),$E339,0),$E339*NETWORKDAYS(MAX($I339,Z$3),MIN($J339,Z$2),Data!$K$4:$K$203)/$K339)))</f>
        <v>0</v>
      </c>
      <c r="AA339" s="170">
        <f>IF(OR($I339="",$E339=0),0,IF(OR($J339&lt;AA$3,$I339&gt;AA$2),0,IF($K339=0,IF(AND($I339&gt;=AA$3,$I339&lt;=AA$2),$E339,0),$E339*NETWORKDAYS(MAX($I339,AA$3),MIN($J339,AA$2),Data!$K$4:$K$203)/$K339)))</f>
        <v>0</v>
      </c>
      <c r="AB339" s="170">
        <f>IF(OR($I339="",$E339=0),0,IF(OR($J339&lt;AB$3,$I339&gt;AB$2),0,IF($K339=0,IF(AND($I339&gt;=AB$3,$I339&lt;=AB$2),$E339,0),$E339*NETWORKDAYS(MAX($I339,AB$3),MIN($J339,AB$2),Data!$K$4:$K$203)/$K339)))</f>
        <v>0</v>
      </c>
      <c r="AC339" s="170">
        <f>IF(OR($I339="",$E339=0),0,IF(OR($J339&lt;AC$3,$I339&gt;AC$2),0,IF($K339=0,IF(AND($I339&gt;=AC$3,$I339&lt;=AC$2),$E339,0),$E339*NETWORKDAYS(MAX($I339,AC$3),MIN($J339,AC$2),Data!$K$4:$K$203)/$K339)))</f>
        <v>0</v>
      </c>
      <c r="AD339" s="170">
        <f>IF(OR($I339="",$E339=0),0,IF(OR($J339&lt;AD$3,$I339&gt;AD$2),0,IF($K339=0,IF(AND($I339&gt;=AD$3,$I339&lt;=AD$2),$E339,0),$E339*NETWORKDAYS(MAX($I339,AD$3),MIN($J339,AD$2),Data!$K$4:$K$203)/$K339)))</f>
        <v>0</v>
      </c>
      <c r="AE339" s="170">
        <f>IF(OR($I339="",$E339=0),0,IF(OR($J339&lt;AE$3,$I339&gt;AE$2),0,IF($K339=0,IF(AND($I339&gt;=AE$3,$I339&lt;=AE$2),$E339,0),$E339*NETWORKDAYS(MAX($I339,AE$3),MIN($J339,AE$2),Data!$K$4:$K$203)/$K339)))</f>
        <v>0</v>
      </c>
      <c r="AF339" s="170">
        <f>IF(OR($I339="",$E339=0),0,IF(OR($J339&lt;AF$3,$I339&gt;AF$2),0,IF($K339=0,IF(AND($I339&gt;=AF$3,$I339&lt;=AF$2),$E339,0),$E339*NETWORKDAYS(MAX($I339,AF$3),MIN($J339,AF$2),Data!$K$4:$K$203)/$K339)))</f>
        <v>0</v>
      </c>
      <c r="AG339" s="170">
        <f>IF(OR($I339="",$E339=0),0,IF(OR($J339&lt;AG$3,$I339&gt;AG$2),0,IF($K339=0,IF(AND($I339&gt;=AG$3,$I339&lt;=AG$2),$E339,0),$E339*NETWORKDAYS(MAX($I339,AG$3),MIN($J339,AG$2),Data!$K$4:$K$203)/$K339)))</f>
        <v>0</v>
      </c>
      <c r="AH339" s="170">
        <f>IF(OR($I339="",$E339=0),0,IF(OR($J339&lt;AH$3,$I339&gt;AH$2),0,IF($K339=0,IF(AND($I339&gt;=AH$3,$I339&lt;=AH$2),$E339,0),$E339*NETWORKDAYS(MAX($I339,AH$3),MIN($J339,AH$2),Data!$K$4:$K$203)/$K339)))</f>
        <v>0</v>
      </c>
      <c r="AI339" s="170">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70"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4" t="str">
        <f>IF(EO339=1,IF(FH339&gt;0,FI339/FH339,AVERAGEIF($FF$4:$FF$503,EN339,$C$4:$C$503)),"")</f>
        <v/>
      </c>
      <c r="EV339" s="169">
        <f>IF(ISNUMBER(I339),I339,2958465)</f>
        <v>2958465.0</v>
      </c>
      <c r="EW339" s="169" t="str">
        <f>IF(EO339=1,SUMPRODUCT(MIN(($EN$4:$EN$503=EN339)*$EV$4:$EV$503+($EN$4:$EN$503&lt;&gt;EN339)*2958465)),"")</f>
        <v/>
      </c>
      <c r="EX339" s="169">
        <f>IF(AND(D339=1,ISNUMBER(INDEX(Charge!$F:$F,ROW()))),INDEX(Charge!$F:$F,ROW()),0)</f>
        <v>0.0</v>
      </c>
      <c r="EY339" s="169"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c r="FF339" t="str">
        <f>IF(B339=1,LEFT(SUBSTITUTE(SUBSTITUTE(SUBSTITUTE(TRIM(SUBSTITUTE(INDEX(Charge!$B:$B,ROW()),CHAR(160)," "))&amp;" | "&amp;TRIM(SUBSTITUTE(INDEX(Charge!$C:$C,ROW()),CHAR(160)," "))&amp;" | "&amp;TRIM(SUBSTITUTE(INDEX(Charge!$D:$D,ROW()),CHAR(160)," ")),"~","-"),"*","+"),"?","!"),240),"")</f>
        <v/>
      </c>
      <c r="FG339">
        <f>IF(B339=1,MAX(0,N(INDEX(Charge!$M:$M,ROW()))),0)</f>
        <v>0</v>
      </c>
      <c r="FH339" s="170" t="str">
        <f>IF(EO339=1,ROUND(SUMIF($FF$4:$FF$503,EN339,$FG$4:$FG$503),2),"")</f>
        <v/>
      </c>
      <c r="FI339" s="170" t="str">
        <f>IF(EO339=1,ROUND(SUMPRODUCT(($FF$4:$FF$503=EN339)*$FG$4:$FG$503*$C$4:$C$503),2),"")</f>
        <v/>
      </c>
      <c r="FJ339" s="170" t="str">
        <f>IF(EO339=1,MAX(0,ROUND(FH339-FI339,2)),"")</f>
        <v/>
      </c>
      <c r="FK339" s="174" t="str">
        <f>IF(EO339=1,IF(OR(EW339&gt;=2958465,EY339=0,EY339&lt;=EW339),"",IF(TODAY()&lt;=EW339,0,IF(TODAY()&gt;EY339,1,IFERROR(NETWORKDAYS(EW339,TODAY()-1,Data!$K$4:$K$203)/NETWORKDAYS(EW339,EY339,Data!$K$4:$K$203),"")))),"")</f>
        <v/>
      </c>
      <c r="FL339" t="str">
        <f>IF(EO339=1,IF(AND(EY339&gt;0,EY339&lt;TODAY(),ROUND(EU339,4)&lt;1),2,IF(FK339="",0,IF(ROUND(EU339-FK339,4)&lt;-0.15,1,0))),"")</f>
        <v/>
      </c>
      <c r="FM339">
        <f>IF(OR(FA339="",COUNTIF($FA$4:FA338,FA339)&gt;0),0,MAX(0,IF(FB339="Interne",IF(ISNUMBER(INDEX(Data!$F:$F,339)),INDEX(Data!$F:$F,339),p_HeuresETP),IF(ISNUMBER(INDEX(Data!$I:$I,339-$CD$23)),INDEX(Data!$I:$I,339-$CD$23),p_HeuresETP))-IF(FB339="Interne",IF(ISNUMBER(INDEX(Data!$G:$G,339)),INDEX(Data!$G:$G,339),p_ChargeFixe),IF(ISNUMBER(INDEX(Data!$J:$J,339-$CD$23)),INDEX(Data!$J:$J,339-$CD$23),p_ChargeFixe))))</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9" t="str">
        <f>IF(AND(D340=1,ISNUMBER(INDEX(Charge!$N:$N,ROW()))),INDEX(Charge!$N:$N,ROW()),"")</f>
        <v/>
      </c>
      <c r="J340" s="169"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70">
        <f>IF(OR($I340="",$E340=0),0,IF(OR($J340&lt;W$3,$I340&gt;W$2),0,IF($K340=0,IF(AND($I340&gt;=W$3,$I340&lt;=W$2),$E340,0),$E340*NETWORKDAYS(MAX($I340,W$3),MIN($J340,W$2),Data!$K$4:$K$203)/$K340)))</f>
        <v>0</v>
      </c>
      <c r="X340" s="170">
        <f>IF(OR($I340="",$E340=0),0,IF(OR($J340&lt;X$3,$I340&gt;X$2),0,IF($K340=0,IF(AND($I340&gt;=X$3,$I340&lt;=X$2),$E340,0),$E340*NETWORKDAYS(MAX($I340,X$3),MIN($J340,X$2),Data!$K$4:$K$203)/$K340)))</f>
        <v>0</v>
      </c>
      <c r="Y340" s="170">
        <f>IF(OR($I340="",$E340=0),0,IF(OR($J340&lt;Y$3,$I340&gt;Y$2),0,IF($K340=0,IF(AND($I340&gt;=Y$3,$I340&lt;=Y$2),$E340,0),$E340*NETWORKDAYS(MAX($I340,Y$3),MIN($J340,Y$2),Data!$K$4:$K$203)/$K340)))</f>
        <v>0</v>
      </c>
      <c r="Z340" s="170">
        <f>IF(OR($I340="",$E340=0),0,IF(OR($J340&lt;Z$3,$I340&gt;Z$2),0,IF($K340=0,IF(AND($I340&gt;=Z$3,$I340&lt;=Z$2),$E340,0),$E340*NETWORKDAYS(MAX($I340,Z$3),MIN($J340,Z$2),Data!$K$4:$K$203)/$K340)))</f>
        <v>0</v>
      </c>
      <c r="AA340" s="170">
        <f>IF(OR($I340="",$E340=0),0,IF(OR($J340&lt;AA$3,$I340&gt;AA$2),0,IF($K340=0,IF(AND($I340&gt;=AA$3,$I340&lt;=AA$2),$E340,0),$E340*NETWORKDAYS(MAX($I340,AA$3),MIN($J340,AA$2),Data!$K$4:$K$203)/$K340)))</f>
        <v>0</v>
      </c>
      <c r="AB340" s="170">
        <f>IF(OR($I340="",$E340=0),0,IF(OR($J340&lt;AB$3,$I340&gt;AB$2),0,IF($K340=0,IF(AND($I340&gt;=AB$3,$I340&lt;=AB$2),$E340,0),$E340*NETWORKDAYS(MAX($I340,AB$3),MIN($J340,AB$2),Data!$K$4:$K$203)/$K340)))</f>
        <v>0</v>
      </c>
      <c r="AC340" s="170">
        <f>IF(OR($I340="",$E340=0),0,IF(OR($J340&lt;AC$3,$I340&gt;AC$2),0,IF($K340=0,IF(AND($I340&gt;=AC$3,$I340&lt;=AC$2),$E340,0),$E340*NETWORKDAYS(MAX($I340,AC$3),MIN($J340,AC$2),Data!$K$4:$K$203)/$K340)))</f>
        <v>0</v>
      </c>
      <c r="AD340" s="170">
        <f>IF(OR($I340="",$E340=0),0,IF(OR($J340&lt;AD$3,$I340&gt;AD$2),0,IF($K340=0,IF(AND($I340&gt;=AD$3,$I340&lt;=AD$2),$E340,0),$E340*NETWORKDAYS(MAX($I340,AD$3),MIN($J340,AD$2),Data!$K$4:$K$203)/$K340)))</f>
        <v>0</v>
      </c>
      <c r="AE340" s="170">
        <f>IF(OR($I340="",$E340=0),0,IF(OR($J340&lt;AE$3,$I340&gt;AE$2),0,IF($K340=0,IF(AND($I340&gt;=AE$3,$I340&lt;=AE$2),$E340,0),$E340*NETWORKDAYS(MAX($I340,AE$3),MIN($J340,AE$2),Data!$K$4:$K$203)/$K340)))</f>
        <v>0</v>
      </c>
      <c r="AF340" s="170">
        <f>IF(OR($I340="",$E340=0),0,IF(OR($J340&lt;AF$3,$I340&gt;AF$2),0,IF($K340=0,IF(AND($I340&gt;=AF$3,$I340&lt;=AF$2),$E340,0),$E340*NETWORKDAYS(MAX($I340,AF$3),MIN($J340,AF$2),Data!$K$4:$K$203)/$K340)))</f>
        <v>0</v>
      </c>
      <c r="AG340" s="170">
        <f>IF(OR($I340="",$E340=0),0,IF(OR($J340&lt;AG$3,$I340&gt;AG$2),0,IF($K340=0,IF(AND($I340&gt;=AG$3,$I340&lt;=AG$2),$E340,0),$E340*NETWORKDAYS(MAX($I340,AG$3),MIN($J340,AG$2),Data!$K$4:$K$203)/$K340)))</f>
        <v>0</v>
      </c>
      <c r="AH340" s="170">
        <f>IF(OR($I340="",$E340=0),0,IF(OR($J340&lt;AH$3,$I340&gt;AH$2),0,IF($K340=0,IF(AND($I340&gt;=AH$3,$I340&lt;=AH$2),$E340,0),$E340*NETWORKDAYS(MAX($I340,AH$3),MIN($J340,AH$2),Data!$K$4:$K$203)/$K340)))</f>
        <v>0</v>
      </c>
      <c r="AI340" s="170">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70"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4" t="str">
        <f>IF(EO340=1,IF(FH340&gt;0,FI340/FH340,AVERAGEIF($FF$4:$FF$503,EN340,$C$4:$C$503)),"")</f>
        <v/>
      </c>
      <c r="EV340" s="169">
        <f>IF(ISNUMBER(I340),I340,2958465)</f>
        <v>2958465.0</v>
      </c>
      <c r="EW340" s="169" t="str">
        <f>IF(EO340=1,SUMPRODUCT(MIN(($EN$4:$EN$503=EN340)*$EV$4:$EV$503+($EN$4:$EN$503&lt;&gt;EN340)*2958465)),"")</f>
        <v/>
      </c>
      <c r="EX340" s="169">
        <f>IF(AND(D340=1,ISNUMBER(INDEX(Charge!$F:$F,ROW()))),INDEX(Charge!$F:$F,ROW()),0)</f>
        <v>0.0</v>
      </c>
      <c r="EY340" s="169"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c r="FF340" t="str">
        <f>IF(B340=1,LEFT(SUBSTITUTE(SUBSTITUTE(SUBSTITUTE(TRIM(SUBSTITUTE(INDEX(Charge!$B:$B,ROW()),CHAR(160)," "))&amp;" | "&amp;TRIM(SUBSTITUTE(INDEX(Charge!$C:$C,ROW()),CHAR(160)," "))&amp;" | "&amp;TRIM(SUBSTITUTE(INDEX(Charge!$D:$D,ROW()),CHAR(160)," ")),"~","-"),"*","+"),"?","!"),240),"")</f>
        <v/>
      </c>
      <c r="FG340">
        <f>IF(B340=1,MAX(0,N(INDEX(Charge!$M:$M,ROW()))),0)</f>
        <v>0</v>
      </c>
      <c r="FH340" s="170" t="str">
        <f>IF(EO340=1,ROUND(SUMIF($FF$4:$FF$503,EN340,$FG$4:$FG$503),2),"")</f>
        <v/>
      </c>
      <c r="FI340" s="170" t="str">
        <f>IF(EO340=1,ROUND(SUMPRODUCT(($FF$4:$FF$503=EN340)*$FG$4:$FG$503*$C$4:$C$503),2),"")</f>
        <v/>
      </c>
      <c r="FJ340" s="170" t="str">
        <f>IF(EO340=1,MAX(0,ROUND(FH340-FI340,2)),"")</f>
        <v/>
      </c>
      <c r="FK340" s="174" t="str">
        <f>IF(EO340=1,IF(OR(EW340&gt;=2958465,EY340=0,EY340&lt;=EW340),"",IF(TODAY()&lt;=EW340,0,IF(TODAY()&gt;EY340,1,IFERROR(NETWORKDAYS(EW340,TODAY()-1,Data!$K$4:$K$203)/NETWORKDAYS(EW340,EY340,Data!$K$4:$K$203),"")))),"")</f>
        <v/>
      </c>
      <c r="FL340" t="str">
        <f>IF(EO340=1,IF(AND(EY340&gt;0,EY340&lt;TODAY(),ROUND(EU340,4)&lt;1),2,IF(FK340="",0,IF(ROUND(EU340-FK340,4)&lt;-0.15,1,0))),"")</f>
        <v/>
      </c>
      <c r="FM340">
        <f>IF(OR(FA340="",COUNTIF($FA$4:FA339,FA340)&gt;0),0,MAX(0,IF(FB340="Interne",IF(ISNUMBER(INDEX(Data!$F:$F,340)),INDEX(Data!$F:$F,340),p_HeuresETP),IF(ISNUMBER(INDEX(Data!$I:$I,340-$CD$23)),INDEX(Data!$I:$I,340-$CD$23),p_HeuresETP))-IF(FB340="Interne",IF(ISNUMBER(INDEX(Data!$G:$G,340)),INDEX(Data!$G:$G,340),p_ChargeFixe),IF(ISNUMBER(INDEX(Data!$J:$J,340-$CD$23)),INDEX(Data!$J:$J,340-$CD$23),p_ChargeFixe))))</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9" t="str">
        <f>IF(AND(D341=1,ISNUMBER(INDEX(Charge!$N:$N,ROW()))),INDEX(Charge!$N:$N,ROW()),"")</f>
        <v/>
      </c>
      <c r="J341" s="169"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70">
        <f>IF(OR($I341="",$E341=0),0,IF(OR($J341&lt;W$3,$I341&gt;W$2),0,IF($K341=0,IF(AND($I341&gt;=W$3,$I341&lt;=W$2),$E341,0),$E341*NETWORKDAYS(MAX($I341,W$3),MIN($J341,W$2),Data!$K$4:$K$203)/$K341)))</f>
        <v>0</v>
      </c>
      <c r="X341" s="170">
        <f>IF(OR($I341="",$E341=0),0,IF(OR($J341&lt;X$3,$I341&gt;X$2),0,IF($K341=0,IF(AND($I341&gt;=X$3,$I341&lt;=X$2),$E341,0),$E341*NETWORKDAYS(MAX($I341,X$3),MIN($J341,X$2),Data!$K$4:$K$203)/$K341)))</f>
        <v>0</v>
      </c>
      <c r="Y341" s="170">
        <f>IF(OR($I341="",$E341=0),0,IF(OR($J341&lt;Y$3,$I341&gt;Y$2),0,IF($K341=0,IF(AND($I341&gt;=Y$3,$I341&lt;=Y$2),$E341,0),$E341*NETWORKDAYS(MAX($I341,Y$3),MIN($J341,Y$2),Data!$K$4:$K$203)/$K341)))</f>
        <v>0</v>
      </c>
      <c r="Z341" s="170">
        <f>IF(OR($I341="",$E341=0),0,IF(OR($J341&lt;Z$3,$I341&gt;Z$2),0,IF($K341=0,IF(AND($I341&gt;=Z$3,$I341&lt;=Z$2),$E341,0),$E341*NETWORKDAYS(MAX($I341,Z$3),MIN($J341,Z$2),Data!$K$4:$K$203)/$K341)))</f>
        <v>0</v>
      </c>
      <c r="AA341" s="170">
        <f>IF(OR($I341="",$E341=0),0,IF(OR($J341&lt;AA$3,$I341&gt;AA$2),0,IF($K341=0,IF(AND($I341&gt;=AA$3,$I341&lt;=AA$2),$E341,0),$E341*NETWORKDAYS(MAX($I341,AA$3),MIN($J341,AA$2),Data!$K$4:$K$203)/$K341)))</f>
        <v>0</v>
      </c>
      <c r="AB341" s="170">
        <f>IF(OR($I341="",$E341=0),0,IF(OR($J341&lt;AB$3,$I341&gt;AB$2),0,IF($K341=0,IF(AND($I341&gt;=AB$3,$I341&lt;=AB$2),$E341,0),$E341*NETWORKDAYS(MAX($I341,AB$3),MIN($J341,AB$2),Data!$K$4:$K$203)/$K341)))</f>
        <v>0</v>
      </c>
      <c r="AC341" s="170">
        <f>IF(OR($I341="",$E341=0),0,IF(OR($J341&lt;AC$3,$I341&gt;AC$2),0,IF($K341=0,IF(AND($I341&gt;=AC$3,$I341&lt;=AC$2),$E341,0),$E341*NETWORKDAYS(MAX($I341,AC$3),MIN($J341,AC$2),Data!$K$4:$K$203)/$K341)))</f>
        <v>0</v>
      </c>
      <c r="AD341" s="170">
        <f>IF(OR($I341="",$E341=0),0,IF(OR($J341&lt;AD$3,$I341&gt;AD$2),0,IF($K341=0,IF(AND($I341&gt;=AD$3,$I341&lt;=AD$2),$E341,0),$E341*NETWORKDAYS(MAX($I341,AD$3),MIN($J341,AD$2),Data!$K$4:$K$203)/$K341)))</f>
        <v>0</v>
      </c>
      <c r="AE341" s="170">
        <f>IF(OR($I341="",$E341=0),0,IF(OR($J341&lt;AE$3,$I341&gt;AE$2),0,IF($K341=0,IF(AND($I341&gt;=AE$3,$I341&lt;=AE$2),$E341,0),$E341*NETWORKDAYS(MAX($I341,AE$3),MIN($J341,AE$2),Data!$K$4:$K$203)/$K341)))</f>
        <v>0</v>
      </c>
      <c r="AF341" s="170">
        <f>IF(OR($I341="",$E341=0),0,IF(OR($J341&lt;AF$3,$I341&gt;AF$2),0,IF($K341=0,IF(AND($I341&gt;=AF$3,$I341&lt;=AF$2),$E341,0),$E341*NETWORKDAYS(MAX($I341,AF$3),MIN($J341,AF$2),Data!$K$4:$K$203)/$K341)))</f>
        <v>0</v>
      </c>
      <c r="AG341" s="170">
        <f>IF(OR($I341="",$E341=0),0,IF(OR($J341&lt;AG$3,$I341&gt;AG$2),0,IF($K341=0,IF(AND($I341&gt;=AG$3,$I341&lt;=AG$2),$E341,0),$E341*NETWORKDAYS(MAX($I341,AG$3),MIN($J341,AG$2),Data!$K$4:$K$203)/$K341)))</f>
        <v>0</v>
      </c>
      <c r="AH341" s="170">
        <f>IF(OR($I341="",$E341=0),0,IF(OR($J341&lt;AH$3,$I341&gt;AH$2),0,IF($K341=0,IF(AND($I341&gt;=AH$3,$I341&lt;=AH$2),$E341,0),$E341*NETWORKDAYS(MAX($I341,AH$3),MIN($J341,AH$2),Data!$K$4:$K$203)/$K341)))</f>
        <v>0</v>
      </c>
      <c r="AI341" s="170">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70"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4" t="str">
        <f>IF(EO341=1,IF(FH341&gt;0,FI341/FH341,AVERAGEIF($FF$4:$FF$503,EN341,$C$4:$C$503)),"")</f>
        <v/>
      </c>
      <c r="EV341" s="169">
        <f>IF(ISNUMBER(I341),I341,2958465)</f>
        <v>2958465.0</v>
      </c>
      <c r="EW341" s="169" t="str">
        <f>IF(EO341=1,SUMPRODUCT(MIN(($EN$4:$EN$503=EN341)*$EV$4:$EV$503+($EN$4:$EN$503&lt;&gt;EN341)*2958465)),"")</f>
        <v/>
      </c>
      <c r="EX341" s="169">
        <f>IF(AND(D341=1,ISNUMBER(INDEX(Charge!$F:$F,ROW()))),INDEX(Charge!$F:$F,ROW()),0)</f>
        <v>0.0</v>
      </c>
      <c r="EY341" s="169"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c r="FF341" t="str">
        <f>IF(B341=1,LEFT(SUBSTITUTE(SUBSTITUTE(SUBSTITUTE(TRIM(SUBSTITUTE(INDEX(Charge!$B:$B,ROW()),CHAR(160)," "))&amp;" | "&amp;TRIM(SUBSTITUTE(INDEX(Charge!$C:$C,ROW()),CHAR(160)," "))&amp;" | "&amp;TRIM(SUBSTITUTE(INDEX(Charge!$D:$D,ROW()),CHAR(160)," ")),"~","-"),"*","+"),"?","!"),240),"")</f>
        <v/>
      </c>
      <c r="FG341">
        <f>IF(B341=1,MAX(0,N(INDEX(Charge!$M:$M,ROW()))),0)</f>
        <v>0</v>
      </c>
      <c r="FH341" s="170" t="str">
        <f>IF(EO341=1,ROUND(SUMIF($FF$4:$FF$503,EN341,$FG$4:$FG$503),2),"")</f>
        <v/>
      </c>
      <c r="FI341" s="170" t="str">
        <f>IF(EO341=1,ROUND(SUMPRODUCT(($FF$4:$FF$503=EN341)*$FG$4:$FG$503*$C$4:$C$503),2),"")</f>
        <v/>
      </c>
      <c r="FJ341" s="170" t="str">
        <f>IF(EO341=1,MAX(0,ROUND(FH341-FI341,2)),"")</f>
        <v/>
      </c>
      <c r="FK341" s="174" t="str">
        <f>IF(EO341=1,IF(OR(EW341&gt;=2958465,EY341=0,EY341&lt;=EW341),"",IF(TODAY()&lt;=EW341,0,IF(TODAY()&gt;EY341,1,IFERROR(NETWORKDAYS(EW341,TODAY()-1,Data!$K$4:$K$203)/NETWORKDAYS(EW341,EY341,Data!$K$4:$K$203),"")))),"")</f>
        <v/>
      </c>
      <c r="FL341" t="str">
        <f>IF(EO341=1,IF(AND(EY341&gt;0,EY341&lt;TODAY(),ROUND(EU341,4)&lt;1),2,IF(FK341="",0,IF(ROUND(EU341-FK341,4)&lt;-0.15,1,0))),"")</f>
        <v/>
      </c>
      <c r="FM341">
        <f>IF(OR(FA341="",COUNTIF($FA$4:FA340,FA341)&gt;0),0,MAX(0,IF(FB341="Interne",IF(ISNUMBER(INDEX(Data!$F:$F,341)),INDEX(Data!$F:$F,341),p_HeuresETP),IF(ISNUMBER(INDEX(Data!$I:$I,341-$CD$23)),INDEX(Data!$I:$I,341-$CD$23),p_HeuresETP))-IF(FB341="Interne",IF(ISNUMBER(INDEX(Data!$G:$G,341)),INDEX(Data!$G:$G,341),p_ChargeFixe),IF(ISNUMBER(INDEX(Data!$J:$J,341-$CD$23)),INDEX(Data!$J:$J,341-$CD$23),p_ChargeFixe))))</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9" t="str">
        <f>IF(AND(D342=1,ISNUMBER(INDEX(Charge!$N:$N,ROW()))),INDEX(Charge!$N:$N,ROW()),"")</f>
        <v/>
      </c>
      <c r="J342" s="169"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70">
        <f>IF(OR($I342="",$E342=0),0,IF(OR($J342&lt;W$3,$I342&gt;W$2),0,IF($K342=0,IF(AND($I342&gt;=W$3,$I342&lt;=W$2),$E342,0),$E342*NETWORKDAYS(MAX($I342,W$3),MIN($J342,W$2),Data!$K$4:$K$203)/$K342)))</f>
        <v>0</v>
      </c>
      <c r="X342" s="170">
        <f>IF(OR($I342="",$E342=0),0,IF(OR($J342&lt;X$3,$I342&gt;X$2),0,IF($K342=0,IF(AND($I342&gt;=X$3,$I342&lt;=X$2),$E342,0),$E342*NETWORKDAYS(MAX($I342,X$3),MIN($J342,X$2),Data!$K$4:$K$203)/$K342)))</f>
        <v>0</v>
      </c>
      <c r="Y342" s="170">
        <f>IF(OR($I342="",$E342=0),0,IF(OR($J342&lt;Y$3,$I342&gt;Y$2),0,IF($K342=0,IF(AND($I342&gt;=Y$3,$I342&lt;=Y$2),$E342,0),$E342*NETWORKDAYS(MAX($I342,Y$3),MIN($J342,Y$2),Data!$K$4:$K$203)/$K342)))</f>
        <v>0</v>
      </c>
      <c r="Z342" s="170">
        <f>IF(OR($I342="",$E342=0),0,IF(OR($J342&lt;Z$3,$I342&gt;Z$2),0,IF($K342=0,IF(AND($I342&gt;=Z$3,$I342&lt;=Z$2),$E342,0),$E342*NETWORKDAYS(MAX($I342,Z$3),MIN($J342,Z$2),Data!$K$4:$K$203)/$K342)))</f>
        <v>0</v>
      </c>
      <c r="AA342" s="170">
        <f>IF(OR($I342="",$E342=0),0,IF(OR($J342&lt;AA$3,$I342&gt;AA$2),0,IF($K342=0,IF(AND($I342&gt;=AA$3,$I342&lt;=AA$2),$E342,0),$E342*NETWORKDAYS(MAX($I342,AA$3),MIN($J342,AA$2),Data!$K$4:$K$203)/$K342)))</f>
        <v>0</v>
      </c>
      <c r="AB342" s="170">
        <f>IF(OR($I342="",$E342=0),0,IF(OR($J342&lt;AB$3,$I342&gt;AB$2),0,IF($K342=0,IF(AND($I342&gt;=AB$3,$I342&lt;=AB$2),$E342,0),$E342*NETWORKDAYS(MAX($I342,AB$3),MIN($J342,AB$2),Data!$K$4:$K$203)/$K342)))</f>
        <v>0</v>
      </c>
      <c r="AC342" s="170">
        <f>IF(OR($I342="",$E342=0),0,IF(OR($J342&lt;AC$3,$I342&gt;AC$2),0,IF($K342=0,IF(AND($I342&gt;=AC$3,$I342&lt;=AC$2),$E342,0),$E342*NETWORKDAYS(MAX($I342,AC$3),MIN($J342,AC$2),Data!$K$4:$K$203)/$K342)))</f>
        <v>0</v>
      </c>
      <c r="AD342" s="170">
        <f>IF(OR($I342="",$E342=0),0,IF(OR($J342&lt;AD$3,$I342&gt;AD$2),0,IF($K342=0,IF(AND($I342&gt;=AD$3,$I342&lt;=AD$2),$E342,0),$E342*NETWORKDAYS(MAX($I342,AD$3),MIN($J342,AD$2),Data!$K$4:$K$203)/$K342)))</f>
        <v>0</v>
      </c>
      <c r="AE342" s="170">
        <f>IF(OR($I342="",$E342=0),0,IF(OR($J342&lt;AE$3,$I342&gt;AE$2),0,IF($K342=0,IF(AND($I342&gt;=AE$3,$I342&lt;=AE$2),$E342,0),$E342*NETWORKDAYS(MAX($I342,AE$3),MIN($J342,AE$2),Data!$K$4:$K$203)/$K342)))</f>
        <v>0</v>
      </c>
      <c r="AF342" s="170">
        <f>IF(OR($I342="",$E342=0),0,IF(OR($J342&lt;AF$3,$I342&gt;AF$2),0,IF($K342=0,IF(AND($I342&gt;=AF$3,$I342&lt;=AF$2),$E342,0),$E342*NETWORKDAYS(MAX($I342,AF$3),MIN($J342,AF$2),Data!$K$4:$K$203)/$K342)))</f>
        <v>0</v>
      </c>
      <c r="AG342" s="170">
        <f>IF(OR($I342="",$E342=0),0,IF(OR($J342&lt;AG$3,$I342&gt;AG$2),0,IF($K342=0,IF(AND($I342&gt;=AG$3,$I342&lt;=AG$2),$E342,0),$E342*NETWORKDAYS(MAX($I342,AG$3),MIN($J342,AG$2),Data!$K$4:$K$203)/$K342)))</f>
        <v>0</v>
      </c>
      <c r="AH342" s="170">
        <f>IF(OR($I342="",$E342=0),0,IF(OR($J342&lt;AH$3,$I342&gt;AH$2),0,IF($K342=0,IF(AND($I342&gt;=AH$3,$I342&lt;=AH$2),$E342,0),$E342*NETWORKDAYS(MAX($I342,AH$3),MIN($J342,AH$2),Data!$K$4:$K$203)/$K342)))</f>
        <v>0</v>
      </c>
      <c r="AI342" s="170">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70"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4" t="str">
        <f>IF(EO342=1,IF(FH342&gt;0,FI342/FH342,AVERAGEIF($FF$4:$FF$503,EN342,$C$4:$C$503)),"")</f>
        <v/>
      </c>
      <c r="EV342" s="169">
        <f>IF(ISNUMBER(I342),I342,2958465)</f>
        <v>2958465.0</v>
      </c>
      <c r="EW342" s="169" t="str">
        <f>IF(EO342=1,SUMPRODUCT(MIN(($EN$4:$EN$503=EN342)*$EV$4:$EV$503+($EN$4:$EN$503&lt;&gt;EN342)*2958465)),"")</f>
        <v/>
      </c>
      <c r="EX342" s="169">
        <f>IF(AND(D342=1,ISNUMBER(INDEX(Charge!$F:$F,ROW()))),INDEX(Charge!$F:$F,ROW()),0)</f>
        <v>0.0</v>
      </c>
      <c r="EY342" s="169"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c r="FF342" t="str">
        <f>IF(B342=1,LEFT(SUBSTITUTE(SUBSTITUTE(SUBSTITUTE(TRIM(SUBSTITUTE(INDEX(Charge!$B:$B,ROW()),CHAR(160)," "))&amp;" | "&amp;TRIM(SUBSTITUTE(INDEX(Charge!$C:$C,ROW()),CHAR(160)," "))&amp;" | "&amp;TRIM(SUBSTITUTE(INDEX(Charge!$D:$D,ROW()),CHAR(160)," ")),"~","-"),"*","+"),"?","!"),240),"")</f>
        <v/>
      </c>
      <c r="FG342">
        <f>IF(B342=1,MAX(0,N(INDEX(Charge!$M:$M,ROW()))),0)</f>
        <v>0</v>
      </c>
      <c r="FH342" s="170" t="str">
        <f>IF(EO342=1,ROUND(SUMIF($FF$4:$FF$503,EN342,$FG$4:$FG$503),2),"")</f>
        <v/>
      </c>
      <c r="FI342" s="170" t="str">
        <f>IF(EO342=1,ROUND(SUMPRODUCT(($FF$4:$FF$503=EN342)*$FG$4:$FG$503*$C$4:$C$503),2),"")</f>
        <v/>
      </c>
      <c r="FJ342" s="170" t="str">
        <f>IF(EO342=1,MAX(0,ROUND(FH342-FI342,2)),"")</f>
        <v/>
      </c>
      <c r="FK342" s="174" t="str">
        <f>IF(EO342=1,IF(OR(EW342&gt;=2958465,EY342=0,EY342&lt;=EW342),"",IF(TODAY()&lt;=EW342,0,IF(TODAY()&gt;EY342,1,IFERROR(NETWORKDAYS(EW342,TODAY()-1,Data!$K$4:$K$203)/NETWORKDAYS(EW342,EY342,Data!$K$4:$K$203),"")))),"")</f>
        <v/>
      </c>
      <c r="FL342" t="str">
        <f>IF(EO342=1,IF(AND(EY342&gt;0,EY342&lt;TODAY(),ROUND(EU342,4)&lt;1),2,IF(FK342="",0,IF(ROUND(EU342-FK342,4)&lt;-0.15,1,0))),"")</f>
        <v/>
      </c>
      <c r="FM342">
        <f>IF(OR(FA342="",COUNTIF($FA$4:FA341,FA342)&gt;0),0,MAX(0,IF(FB342="Interne",IF(ISNUMBER(INDEX(Data!$F:$F,342)),INDEX(Data!$F:$F,342),p_HeuresETP),IF(ISNUMBER(INDEX(Data!$I:$I,342-$CD$23)),INDEX(Data!$I:$I,342-$CD$23),p_HeuresETP))-IF(FB342="Interne",IF(ISNUMBER(INDEX(Data!$G:$G,342)),INDEX(Data!$G:$G,342),p_ChargeFixe),IF(ISNUMBER(INDEX(Data!$J:$J,342-$CD$23)),INDEX(Data!$J:$J,342-$CD$23),p_ChargeFixe))))</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9" t="str">
        <f>IF(AND(D343=1,ISNUMBER(INDEX(Charge!$N:$N,ROW()))),INDEX(Charge!$N:$N,ROW()),"")</f>
        <v/>
      </c>
      <c r="J343" s="169"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70">
        <f>IF(OR($I343="",$E343=0),0,IF(OR($J343&lt;W$3,$I343&gt;W$2),0,IF($K343=0,IF(AND($I343&gt;=W$3,$I343&lt;=W$2),$E343,0),$E343*NETWORKDAYS(MAX($I343,W$3),MIN($J343,W$2),Data!$K$4:$K$203)/$K343)))</f>
        <v>0</v>
      </c>
      <c r="X343" s="170">
        <f>IF(OR($I343="",$E343=0),0,IF(OR($J343&lt;X$3,$I343&gt;X$2),0,IF($K343=0,IF(AND($I343&gt;=X$3,$I343&lt;=X$2),$E343,0),$E343*NETWORKDAYS(MAX($I343,X$3),MIN($J343,X$2),Data!$K$4:$K$203)/$K343)))</f>
        <v>0</v>
      </c>
      <c r="Y343" s="170">
        <f>IF(OR($I343="",$E343=0),0,IF(OR($J343&lt;Y$3,$I343&gt;Y$2),0,IF($K343=0,IF(AND($I343&gt;=Y$3,$I343&lt;=Y$2),$E343,0),$E343*NETWORKDAYS(MAX($I343,Y$3),MIN($J343,Y$2),Data!$K$4:$K$203)/$K343)))</f>
        <v>0</v>
      </c>
      <c r="Z343" s="170">
        <f>IF(OR($I343="",$E343=0),0,IF(OR($J343&lt;Z$3,$I343&gt;Z$2),0,IF($K343=0,IF(AND($I343&gt;=Z$3,$I343&lt;=Z$2),$E343,0),$E343*NETWORKDAYS(MAX($I343,Z$3),MIN($J343,Z$2),Data!$K$4:$K$203)/$K343)))</f>
        <v>0</v>
      </c>
      <c r="AA343" s="170">
        <f>IF(OR($I343="",$E343=0),0,IF(OR($J343&lt;AA$3,$I343&gt;AA$2),0,IF($K343=0,IF(AND($I343&gt;=AA$3,$I343&lt;=AA$2),$E343,0),$E343*NETWORKDAYS(MAX($I343,AA$3),MIN($J343,AA$2),Data!$K$4:$K$203)/$K343)))</f>
        <v>0</v>
      </c>
      <c r="AB343" s="170">
        <f>IF(OR($I343="",$E343=0),0,IF(OR($J343&lt;AB$3,$I343&gt;AB$2),0,IF($K343=0,IF(AND($I343&gt;=AB$3,$I343&lt;=AB$2),$E343,0),$E343*NETWORKDAYS(MAX($I343,AB$3),MIN($J343,AB$2),Data!$K$4:$K$203)/$K343)))</f>
        <v>0</v>
      </c>
      <c r="AC343" s="170">
        <f>IF(OR($I343="",$E343=0),0,IF(OR($J343&lt;AC$3,$I343&gt;AC$2),0,IF($K343=0,IF(AND($I343&gt;=AC$3,$I343&lt;=AC$2),$E343,0),$E343*NETWORKDAYS(MAX($I343,AC$3),MIN($J343,AC$2),Data!$K$4:$K$203)/$K343)))</f>
        <v>0</v>
      </c>
      <c r="AD343" s="170">
        <f>IF(OR($I343="",$E343=0),0,IF(OR($J343&lt;AD$3,$I343&gt;AD$2),0,IF($K343=0,IF(AND($I343&gt;=AD$3,$I343&lt;=AD$2),$E343,0),$E343*NETWORKDAYS(MAX($I343,AD$3),MIN($J343,AD$2),Data!$K$4:$K$203)/$K343)))</f>
        <v>0</v>
      </c>
      <c r="AE343" s="170">
        <f>IF(OR($I343="",$E343=0),0,IF(OR($J343&lt;AE$3,$I343&gt;AE$2),0,IF($K343=0,IF(AND($I343&gt;=AE$3,$I343&lt;=AE$2),$E343,0),$E343*NETWORKDAYS(MAX($I343,AE$3),MIN($J343,AE$2),Data!$K$4:$K$203)/$K343)))</f>
        <v>0</v>
      </c>
      <c r="AF343" s="170">
        <f>IF(OR($I343="",$E343=0),0,IF(OR($J343&lt;AF$3,$I343&gt;AF$2),0,IF($K343=0,IF(AND($I343&gt;=AF$3,$I343&lt;=AF$2),$E343,0),$E343*NETWORKDAYS(MAX($I343,AF$3),MIN($J343,AF$2),Data!$K$4:$K$203)/$K343)))</f>
        <v>0</v>
      </c>
      <c r="AG343" s="170">
        <f>IF(OR($I343="",$E343=0),0,IF(OR($J343&lt;AG$3,$I343&gt;AG$2),0,IF($K343=0,IF(AND($I343&gt;=AG$3,$I343&lt;=AG$2),$E343,0),$E343*NETWORKDAYS(MAX($I343,AG$3),MIN($J343,AG$2),Data!$K$4:$K$203)/$K343)))</f>
        <v>0</v>
      </c>
      <c r="AH343" s="170">
        <f>IF(OR($I343="",$E343=0),0,IF(OR($J343&lt;AH$3,$I343&gt;AH$2),0,IF($K343=0,IF(AND($I343&gt;=AH$3,$I343&lt;=AH$2),$E343,0),$E343*NETWORKDAYS(MAX($I343,AH$3),MIN($J343,AH$2),Data!$K$4:$K$203)/$K343)))</f>
        <v>0</v>
      </c>
      <c r="AI343" s="170">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70"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4" t="str">
        <f>IF(EO343=1,IF(FH343&gt;0,FI343/FH343,AVERAGEIF($FF$4:$FF$503,EN343,$C$4:$C$503)),"")</f>
        <v/>
      </c>
      <c r="EV343" s="169">
        <f>IF(ISNUMBER(I343),I343,2958465)</f>
        <v>2958465.0</v>
      </c>
      <c r="EW343" s="169" t="str">
        <f>IF(EO343=1,SUMPRODUCT(MIN(($EN$4:$EN$503=EN343)*$EV$4:$EV$503+($EN$4:$EN$503&lt;&gt;EN343)*2958465)),"")</f>
        <v/>
      </c>
      <c r="EX343" s="169">
        <f>IF(AND(D343=1,ISNUMBER(INDEX(Charge!$F:$F,ROW()))),INDEX(Charge!$F:$F,ROW()),0)</f>
        <v>0.0</v>
      </c>
      <c r="EY343" s="169"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c r="FF343" t="str">
        <f>IF(B343=1,LEFT(SUBSTITUTE(SUBSTITUTE(SUBSTITUTE(TRIM(SUBSTITUTE(INDEX(Charge!$B:$B,ROW()),CHAR(160)," "))&amp;" | "&amp;TRIM(SUBSTITUTE(INDEX(Charge!$C:$C,ROW()),CHAR(160)," "))&amp;" | "&amp;TRIM(SUBSTITUTE(INDEX(Charge!$D:$D,ROW()),CHAR(160)," ")),"~","-"),"*","+"),"?","!"),240),"")</f>
        <v/>
      </c>
      <c r="FG343">
        <f>IF(B343=1,MAX(0,N(INDEX(Charge!$M:$M,ROW()))),0)</f>
        <v>0</v>
      </c>
      <c r="FH343" s="170" t="str">
        <f>IF(EO343=1,ROUND(SUMIF($FF$4:$FF$503,EN343,$FG$4:$FG$503),2),"")</f>
        <v/>
      </c>
      <c r="FI343" s="170" t="str">
        <f>IF(EO343=1,ROUND(SUMPRODUCT(($FF$4:$FF$503=EN343)*$FG$4:$FG$503*$C$4:$C$503),2),"")</f>
        <v/>
      </c>
      <c r="FJ343" s="170" t="str">
        <f>IF(EO343=1,MAX(0,ROUND(FH343-FI343,2)),"")</f>
        <v/>
      </c>
      <c r="FK343" s="174" t="str">
        <f>IF(EO343=1,IF(OR(EW343&gt;=2958465,EY343=0,EY343&lt;=EW343),"",IF(TODAY()&lt;=EW343,0,IF(TODAY()&gt;EY343,1,IFERROR(NETWORKDAYS(EW343,TODAY()-1,Data!$K$4:$K$203)/NETWORKDAYS(EW343,EY343,Data!$K$4:$K$203),"")))),"")</f>
        <v/>
      </c>
      <c r="FL343" t="str">
        <f>IF(EO343=1,IF(AND(EY343&gt;0,EY343&lt;TODAY(),ROUND(EU343,4)&lt;1),2,IF(FK343="",0,IF(ROUND(EU343-FK343,4)&lt;-0.15,1,0))),"")</f>
        <v/>
      </c>
      <c r="FM343">
        <f>IF(OR(FA343="",COUNTIF($FA$4:FA342,FA343)&gt;0),0,MAX(0,IF(FB343="Interne",IF(ISNUMBER(INDEX(Data!$F:$F,343)),INDEX(Data!$F:$F,343),p_HeuresETP),IF(ISNUMBER(INDEX(Data!$I:$I,343-$CD$23)),INDEX(Data!$I:$I,343-$CD$23),p_HeuresETP))-IF(FB343="Interne",IF(ISNUMBER(INDEX(Data!$G:$G,343)),INDEX(Data!$G:$G,343),p_ChargeFixe),IF(ISNUMBER(INDEX(Data!$J:$J,343-$CD$23)),INDEX(Data!$J:$J,343-$CD$23),p_ChargeFixe))))</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9" t="str">
        <f>IF(AND(D344=1,ISNUMBER(INDEX(Charge!$N:$N,ROW()))),INDEX(Charge!$N:$N,ROW()),"")</f>
        <v/>
      </c>
      <c r="J344" s="169"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70">
        <f>IF(OR($I344="",$E344=0),0,IF(OR($J344&lt;W$3,$I344&gt;W$2),0,IF($K344=0,IF(AND($I344&gt;=W$3,$I344&lt;=W$2),$E344,0),$E344*NETWORKDAYS(MAX($I344,W$3),MIN($J344,W$2),Data!$K$4:$K$203)/$K344)))</f>
        <v>0</v>
      </c>
      <c r="X344" s="170">
        <f>IF(OR($I344="",$E344=0),0,IF(OR($J344&lt;X$3,$I344&gt;X$2),0,IF($K344=0,IF(AND($I344&gt;=X$3,$I344&lt;=X$2),$E344,0),$E344*NETWORKDAYS(MAX($I344,X$3),MIN($J344,X$2),Data!$K$4:$K$203)/$K344)))</f>
        <v>0</v>
      </c>
      <c r="Y344" s="170">
        <f>IF(OR($I344="",$E344=0),0,IF(OR($J344&lt;Y$3,$I344&gt;Y$2),0,IF($K344=0,IF(AND($I344&gt;=Y$3,$I344&lt;=Y$2),$E344,0),$E344*NETWORKDAYS(MAX($I344,Y$3),MIN($J344,Y$2),Data!$K$4:$K$203)/$K344)))</f>
        <v>0</v>
      </c>
      <c r="Z344" s="170">
        <f>IF(OR($I344="",$E344=0),0,IF(OR($J344&lt;Z$3,$I344&gt;Z$2),0,IF($K344=0,IF(AND($I344&gt;=Z$3,$I344&lt;=Z$2),$E344,0),$E344*NETWORKDAYS(MAX($I344,Z$3),MIN($J344,Z$2),Data!$K$4:$K$203)/$K344)))</f>
        <v>0</v>
      </c>
      <c r="AA344" s="170">
        <f>IF(OR($I344="",$E344=0),0,IF(OR($J344&lt;AA$3,$I344&gt;AA$2),0,IF($K344=0,IF(AND($I344&gt;=AA$3,$I344&lt;=AA$2),$E344,0),$E344*NETWORKDAYS(MAX($I344,AA$3),MIN($J344,AA$2),Data!$K$4:$K$203)/$K344)))</f>
        <v>0</v>
      </c>
      <c r="AB344" s="170">
        <f>IF(OR($I344="",$E344=0),0,IF(OR($J344&lt;AB$3,$I344&gt;AB$2),0,IF($K344=0,IF(AND($I344&gt;=AB$3,$I344&lt;=AB$2),$E344,0),$E344*NETWORKDAYS(MAX($I344,AB$3),MIN($J344,AB$2),Data!$K$4:$K$203)/$K344)))</f>
        <v>0</v>
      </c>
      <c r="AC344" s="170">
        <f>IF(OR($I344="",$E344=0),0,IF(OR($J344&lt;AC$3,$I344&gt;AC$2),0,IF($K344=0,IF(AND($I344&gt;=AC$3,$I344&lt;=AC$2),$E344,0),$E344*NETWORKDAYS(MAX($I344,AC$3),MIN($J344,AC$2),Data!$K$4:$K$203)/$K344)))</f>
        <v>0</v>
      </c>
      <c r="AD344" s="170">
        <f>IF(OR($I344="",$E344=0),0,IF(OR($J344&lt;AD$3,$I344&gt;AD$2),0,IF($K344=0,IF(AND($I344&gt;=AD$3,$I344&lt;=AD$2),$E344,0),$E344*NETWORKDAYS(MAX($I344,AD$3),MIN($J344,AD$2),Data!$K$4:$K$203)/$K344)))</f>
        <v>0</v>
      </c>
      <c r="AE344" s="170">
        <f>IF(OR($I344="",$E344=0),0,IF(OR($J344&lt;AE$3,$I344&gt;AE$2),0,IF($K344=0,IF(AND($I344&gt;=AE$3,$I344&lt;=AE$2),$E344,0),$E344*NETWORKDAYS(MAX($I344,AE$3),MIN($J344,AE$2),Data!$K$4:$K$203)/$K344)))</f>
        <v>0</v>
      </c>
      <c r="AF344" s="170">
        <f>IF(OR($I344="",$E344=0),0,IF(OR($J344&lt;AF$3,$I344&gt;AF$2),0,IF($K344=0,IF(AND($I344&gt;=AF$3,$I344&lt;=AF$2),$E344,0),$E344*NETWORKDAYS(MAX($I344,AF$3),MIN($J344,AF$2),Data!$K$4:$K$203)/$K344)))</f>
        <v>0</v>
      </c>
      <c r="AG344" s="170">
        <f>IF(OR($I344="",$E344=0),0,IF(OR($J344&lt;AG$3,$I344&gt;AG$2),0,IF($K344=0,IF(AND($I344&gt;=AG$3,$I344&lt;=AG$2),$E344,0),$E344*NETWORKDAYS(MAX($I344,AG$3),MIN($J344,AG$2),Data!$K$4:$K$203)/$K344)))</f>
        <v>0</v>
      </c>
      <c r="AH344" s="170">
        <f>IF(OR($I344="",$E344=0),0,IF(OR($J344&lt;AH$3,$I344&gt;AH$2),0,IF($K344=0,IF(AND($I344&gt;=AH$3,$I344&lt;=AH$2),$E344,0),$E344*NETWORKDAYS(MAX($I344,AH$3),MIN($J344,AH$2),Data!$K$4:$K$203)/$K344)))</f>
        <v>0</v>
      </c>
      <c r="AI344" s="170">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70"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4" t="str">
        <f>IF(EO344=1,IF(FH344&gt;0,FI344/FH344,AVERAGEIF($FF$4:$FF$503,EN344,$C$4:$C$503)),"")</f>
        <v/>
      </c>
      <c r="EV344" s="169">
        <f>IF(ISNUMBER(I344),I344,2958465)</f>
        <v>2958465.0</v>
      </c>
      <c r="EW344" s="169" t="str">
        <f>IF(EO344=1,SUMPRODUCT(MIN(($EN$4:$EN$503=EN344)*$EV$4:$EV$503+($EN$4:$EN$503&lt;&gt;EN344)*2958465)),"")</f>
        <v/>
      </c>
      <c r="EX344" s="169">
        <f>IF(AND(D344=1,ISNUMBER(INDEX(Charge!$F:$F,ROW()))),INDEX(Charge!$F:$F,ROW()),0)</f>
        <v>0.0</v>
      </c>
      <c r="EY344" s="169"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c r="FF344" t="str">
        <f>IF(B344=1,LEFT(SUBSTITUTE(SUBSTITUTE(SUBSTITUTE(TRIM(SUBSTITUTE(INDEX(Charge!$B:$B,ROW()),CHAR(160)," "))&amp;" | "&amp;TRIM(SUBSTITUTE(INDEX(Charge!$C:$C,ROW()),CHAR(160)," "))&amp;" | "&amp;TRIM(SUBSTITUTE(INDEX(Charge!$D:$D,ROW()),CHAR(160)," ")),"~","-"),"*","+"),"?","!"),240),"")</f>
        <v/>
      </c>
      <c r="FG344">
        <f>IF(B344=1,MAX(0,N(INDEX(Charge!$M:$M,ROW()))),0)</f>
        <v>0</v>
      </c>
      <c r="FH344" s="170" t="str">
        <f>IF(EO344=1,ROUND(SUMIF($FF$4:$FF$503,EN344,$FG$4:$FG$503),2),"")</f>
        <v/>
      </c>
      <c r="FI344" s="170" t="str">
        <f>IF(EO344=1,ROUND(SUMPRODUCT(($FF$4:$FF$503=EN344)*$FG$4:$FG$503*$C$4:$C$503),2),"")</f>
        <v/>
      </c>
      <c r="FJ344" s="170" t="str">
        <f>IF(EO344=1,MAX(0,ROUND(FH344-FI344,2)),"")</f>
        <v/>
      </c>
      <c r="FK344" s="174" t="str">
        <f>IF(EO344=1,IF(OR(EW344&gt;=2958465,EY344=0,EY344&lt;=EW344),"",IF(TODAY()&lt;=EW344,0,IF(TODAY()&gt;EY344,1,IFERROR(NETWORKDAYS(EW344,TODAY()-1,Data!$K$4:$K$203)/NETWORKDAYS(EW344,EY344,Data!$K$4:$K$203),"")))),"")</f>
        <v/>
      </c>
      <c r="FL344" t="str">
        <f>IF(EO344=1,IF(AND(EY344&gt;0,EY344&lt;TODAY(),ROUND(EU344,4)&lt;1),2,IF(FK344="",0,IF(ROUND(EU344-FK344,4)&lt;-0.15,1,0))),"")</f>
        <v/>
      </c>
      <c r="FM344">
        <f>IF(OR(FA344="",COUNTIF($FA$4:FA343,FA344)&gt;0),0,MAX(0,IF(FB344="Interne",IF(ISNUMBER(INDEX(Data!$F:$F,344)),INDEX(Data!$F:$F,344),p_HeuresETP),IF(ISNUMBER(INDEX(Data!$I:$I,344-$CD$23)),INDEX(Data!$I:$I,344-$CD$23),p_HeuresETP))-IF(FB344="Interne",IF(ISNUMBER(INDEX(Data!$G:$G,344)),INDEX(Data!$G:$G,344),p_ChargeFixe),IF(ISNUMBER(INDEX(Data!$J:$J,344-$CD$23)),INDEX(Data!$J:$J,344-$CD$23),p_ChargeFixe))))</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9" t="str">
        <f>IF(AND(D345=1,ISNUMBER(INDEX(Charge!$N:$N,ROW()))),INDEX(Charge!$N:$N,ROW()),"")</f>
        <v/>
      </c>
      <c r="J345" s="169"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70">
        <f>IF(OR($I345="",$E345=0),0,IF(OR($J345&lt;W$3,$I345&gt;W$2),0,IF($K345=0,IF(AND($I345&gt;=W$3,$I345&lt;=W$2),$E345,0),$E345*NETWORKDAYS(MAX($I345,W$3),MIN($J345,W$2),Data!$K$4:$K$203)/$K345)))</f>
        <v>0</v>
      </c>
      <c r="X345" s="170">
        <f>IF(OR($I345="",$E345=0),0,IF(OR($J345&lt;X$3,$I345&gt;X$2),0,IF($K345=0,IF(AND($I345&gt;=X$3,$I345&lt;=X$2),$E345,0),$E345*NETWORKDAYS(MAX($I345,X$3),MIN($J345,X$2),Data!$K$4:$K$203)/$K345)))</f>
        <v>0</v>
      </c>
      <c r="Y345" s="170">
        <f>IF(OR($I345="",$E345=0),0,IF(OR($J345&lt;Y$3,$I345&gt;Y$2),0,IF($K345=0,IF(AND($I345&gt;=Y$3,$I345&lt;=Y$2),$E345,0),$E345*NETWORKDAYS(MAX($I345,Y$3),MIN($J345,Y$2),Data!$K$4:$K$203)/$K345)))</f>
        <v>0</v>
      </c>
      <c r="Z345" s="170">
        <f>IF(OR($I345="",$E345=0),0,IF(OR($J345&lt;Z$3,$I345&gt;Z$2),0,IF($K345=0,IF(AND($I345&gt;=Z$3,$I345&lt;=Z$2),$E345,0),$E345*NETWORKDAYS(MAX($I345,Z$3),MIN($J345,Z$2),Data!$K$4:$K$203)/$K345)))</f>
        <v>0</v>
      </c>
      <c r="AA345" s="170">
        <f>IF(OR($I345="",$E345=0),0,IF(OR($J345&lt;AA$3,$I345&gt;AA$2),0,IF($K345=0,IF(AND($I345&gt;=AA$3,$I345&lt;=AA$2),$E345,0),$E345*NETWORKDAYS(MAX($I345,AA$3),MIN($J345,AA$2),Data!$K$4:$K$203)/$K345)))</f>
        <v>0</v>
      </c>
      <c r="AB345" s="170">
        <f>IF(OR($I345="",$E345=0),0,IF(OR($J345&lt;AB$3,$I345&gt;AB$2),0,IF($K345=0,IF(AND($I345&gt;=AB$3,$I345&lt;=AB$2),$E345,0),$E345*NETWORKDAYS(MAX($I345,AB$3),MIN($J345,AB$2),Data!$K$4:$K$203)/$K345)))</f>
        <v>0</v>
      </c>
      <c r="AC345" s="170">
        <f>IF(OR($I345="",$E345=0),0,IF(OR($J345&lt;AC$3,$I345&gt;AC$2),0,IF($K345=0,IF(AND($I345&gt;=AC$3,$I345&lt;=AC$2),$E345,0),$E345*NETWORKDAYS(MAX($I345,AC$3),MIN($J345,AC$2),Data!$K$4:$K$203)/$K345)))</f>
        <v>0</v>
      </c>
      <c r="AD345" s="170">
        <f>IF(OR($I345="",$E345=0),0,IF(OR($J345&lt;AD$3,$I345&gt;AD$2),0,IF($K345=0,IF(AND($I345&gt;=AD$3,$I345&lt;=AD$2),$E345,0),$E345*NETWORKDAYS(MAX($I345,AD$3),MIN($J345,AD$2),Data!$K$4:$K$203)/$K345)))</f>
        <v>0</v>
      </c>
      <c r="AE345" s="170">
        <f>IF(OR($I345="",$E345=0),0,IF(OR($J345&lt;AE$3,$I345&gt;AE$2),0,IF($K345=0,IF(AND($I345&gt;=AE$3,$I345&lt;=AE$2),$E345,0),$E345*NETWORKDAYS(MAX($I345,AE$3),MIN($J345,AE$2),Data!$K$4:$K$203)/$K345)))</f>
        <v>0</v>
      </c>
      <c r="AF345" s="170">
        <f>IF(OR($I345="",$E345=0),0,IF(OR($J345&lt;AF$3,$I345&gt;AF$2),0,IF($K345=0,IF(AND($I345&gt;=AF$3,$I345&lt;=AF$2),$E345,0),$E345*NETWORKDAYS(MAX($I345,AF$3),MIN($J345,AF$2),Data!$K$4:$K$203)/$K345)))</f>
        <v>0</v>
      </c>
      <c r="AG345" s="170">
        <f>IF(OR($I345="",$E345=0),0,IF(OR($J345&lt;AG$3,$I345&gt;AG$2),0,IF($K345=0,IF(AND($I345&gt;=AG$3,$I345&lt;=AG$2),$E345,0),$E345*NETWORKDAYS(MAX($I345,AG$3),MIN($J345,AG$2),Data!$K$4:$K$203)/$K345)))</f>
        <v>0</v>
      </c>
      <c r="AH345" s="170">
        <f>IF(OR($I345="",$E345=0),0,IF(OR($J345&lt;AH$3,$I345&gt;AH$2),0,IF($K345=0,IF(AND($I345&gt;=AH$3,$I345&lt;=AH$2),$E345,0),$E345*NETWORKDAYS(MAX($I345,AH$3),MIN($J345,AH$2),Data!$K$4:$K$203)/$K345)))</f>
        <v>0</v>
      </c>
      <c r="AI345" s="170">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70"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4" t="str">
        <f>IF(EO345=1,IF(FH345&gt;0,FI345/FH345,AVERAGEIF($FF$4:$FF$503,EN345,$C$4:$C$503)),"")</f>
        <v/>
      </c>
      <c r="EV345" s="169">
        <f>IF(ISNUMBER(I345),I345,2958465)</f>
        <v>2958465.0</v>
      </c>
      <c r="EW345" s="169" t="str">
        <f>IF(EO345=1,SUMPRODUCT(MIN(($EN$4:$EN$503=EN345)*$EV$4:$EV$503+($EN$4:$EN$503&lt;&gt;EN345)*2958465)),"")</f>
        <v/>
      </c>
      <c r="EX345" s="169">
        <f>IF(AND(D345=1,ISNUMBER(INDEX(Charge!$F:$F,ROW()))),INDEX(Charge!$F:$F,ROW()),0)</f>
        <v>0.0</v>
      </c>
      <c r="EY345" s="169"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c r="FF345" t="str">
        <f>IF(B345=1,LEFT(SUBSTITUTE(SUBSTITUTE(SUBSTITUTE(TRIM(SUBSTITUTE(INDEX(Charge!$B:$B,ROW()),CHAR(160)," "))&amp;" | "&amp;TRIM(SUBSTITUTE(INDEX(Charge!$C:$C,ROW()),CHAR(160)," "))&amp;" | "&amp;TRIM(SUBSTITUTE(INDEX(Charge!$D:$D,ROW()),CHAR(160)," ")),"~","-"),"*","+"),"?","!"),240),"")</f>
        <v/>
      </c>
      <c r="FG345">
        <f>IF(B345=1,MAX(0,N(INDEX(Charge!$M:$M,ROW()))),0)</f>
        <v>0</v>
      </c>
      <c r="FH345" s="170" t="str">
        <f>IF(EO345=1,ROUND(SUMIF($FF$4:$FF$503,EN345,$FG$4:$FG$503),2),"")</f>
        <v/>
      </c>
      <c r="FI345" s="170" t="str">
        <f>IF(EO345=1,ROUND(SUMPRODUCT(($FF$4:$FF$503=EN345)*$FG$4:$FG$503*$C$4:$C$503),2),"")</f>
        <v/>
      </c>
      <c r="FJ345" s="170" t="str">
        <f>IF(EO345=1,MAX(0,ROUND(FH345-FI345,2)),"")</f>
        <v/>
      </c>
      <c r="FK345" s="174" t="str">
        <f>IF(EO345=1,IF(OR(EW345&gt;=2958465,EY345=0,EY345&lt;=EW345),"",IF(TODAY()&lt;=EW345,0,IF(TODAY()&gt;EY345,1,IFERROR(NETWORKDAYS(EW345,TODAY()-1,Data!$K$4:$K$203)/NETWORKDAYS(EW345,EY345,Data!$K$4:$K$203),"")))),"")</f>
        <v/>
      </c>
      <c r="FL345" t="str">
        <f>IF(EO345=1,IF(AND(EY345&gt;0,EY345&lt;TODAY(),ROUND(EU345,4)&lt;1),2,IF(FK345="",0,IF(ROUND(EU345-FK345,4)&lt;-0.15,1,0))),"")</f>
        <v/>
      </c>
      <c r="FM345">
        <f>IF(OR(FA345="",COUNTIF($FA$4:FA344,FA345)&gt;0),0,MAX(0,IF(FB345="Interne",IF(ISNUMBER(INDEX(Data!$F:$F,345)),INDEX(Data!$F:$F,345),p_HeuresETP),IF(ISNUMBER(INDEX(Data!$I:$I,345-$CD$23)),INDEX(Data!$I:$I,345-$CD$23),p_HeuresETP))-IF(FB345="Interne",IF(ISNUMBER(INDEX(Data!$G:$G,345)),INDEX(Data!$G:$G,345),p_ChargeFixe),IF(ISNUMBER(INDEX(Data!$J:$J,345-$CD$23)),INDEX(Data!$J:$J,345-$CD$23),p_ChargeFixe))))</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9" t="str">
        <f>IF(AND(D346=1,ISNUMBER(INDEX(Charge!$N:$N,ROW()))),INDEX(Charge!$N:$N,ROW()),"")</f>
        <v/>
      </c>
      <c r="J346" s="169"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70">
        <f>IF(OR($I346="",$E346=0),0,IF(OR($J346&lt;W$3,$I346&gt;W$2),0,IF($K346=0,IF(AND($I346&gt;=W$3,$I346&lt;=W$2),$E346,0),$E346*NETWORKDAYS(MAX($I346,W$3),MIN($J346,W$2),Data!$K$4:$K$203)/$K346)))</f>
        <v>0</v>
      </c>
      <c r="X346" s="170">
        <f>IF(OR($I346="",$E346=0),0,IF(OR($J346&lt;X$3,$I346&gt;X$2),0,IF($K346=0,IF(AND($I346&gt;=X$3,$I346&lt;=X$2),$E346,0),$E346*NETWORKDAYS(MAX($I346,X$3),MIN($J346,X$2),Data!$K$4:$K$203)/$K346)))</f>
        <v>0</v>
      </c>
      <c r="Y346" s="170">
        <f>IF(OR($I346="",$E346=0),0,IF(OR($J346&lt;Y$3,$I346&gt;Y$2),0,IF($K346=0,IF(AND($I346&gt;=Y$3,$I346&lt;=Y$2),$E346,0),$E346*NETWORKDAYS(MAX($I346,Y$3),MIN($J346,Y$2),Data!$K$4:$K$203)/$K346)))</f>
        <v>0</v>
      </c>
      <c r="Z346" s="170">
        <f>IF(OR($I346="",$E346=0),0,IF(OR($J346&lt;Z$3,$I346&gt;Z$2),0,IF($K346=0,IF(AND($I346&gt;=Z$3,$I346&lt;=Z$2),$E346,0),$E346*NETWORKDAYS(MAX($I346,Z$3),MIN($J346,Z$2),Data!$K$4:$K$203)/$K346)))</f>
        <v>0</v>
      </c>
      <c r="AA346" s="170">
        <f>IF(OR($I346="",$E346=0),0,IF(OR($J346&lt;AA$3,$I346&gt;AA$2),0,IF($K346=0,IF(AND($I346&gt;=AA$3,$I346&lt;=AA$2),$E346,0),$E346*NETWORKDAYS(MAX($I346,AA$3),MIN($J346,AA$2),Data!$K$4:$K$203)/$K346)))</f>
        <v>0</v>
      </c>
      <c r="AB346" s="170">
        <f>IF(OR($I346="",$E346=0),0,IF(OR($J346&lt;AB$3,$I346&gt;AB$2),0,IF($K346=0,IF(AND($I346&gt;=AB$3,$I346&lt;=AB$2),$E346,0),$E346*NETWORKDAYS(MAX($I346,AB$3),MIN($J346,AB$2),Data!$K$4:$K$203)/$K346)))</f>
        <v>0</v>
      </c>
      <c r="AC346" s="170">
        <f>IF(OR($I346="",$E346=0),0,IF(OR($J346&lt;AC$3,$I346&gt;AC$2),0,IF($K346=0,IF(AND($I346&gt;=AC$3,$I346&lt;=AC$2),$E346,0),$E346*NETWORKDAYS(MAX($I346,AC$3),MIN($J346,AC$2),Data!$K$4:$K$203)/$K346)))</f>
        <v>0</v>
      </c>
      <c r="AD346" s="170">
        <f>IF(OR($I346="",$E346=0),0,IF(OR($J346&lt;AD$3,$I346&gt;AD$2),0,IF($K346=0,IF(AND($I346&gt;=AD$3,$I346&lt;=AD$2),$E346,0),$E346*NETWORKDAYS(MAX($I346,AD$3),MIN($J346,AD$2),Data!$K$4:$K$203)/$K346)))</f>
        <v>0</v>
      </c>
      <c r="AE346" s="170">
        <f>IF(OR($I346="",$E346=0),0,IF(OR($J346&lt;AE$3,$I346&gt;AE$2),0,IF($K346=0,IF(AND($I346&gt;=AE$3,$I346&lt;=AE$2),$E346,0),$E346*NETWORKDAYS(MAX($I346,AE$3),MIN($J346,AE$2),Data!$K$4:$K$203)/$K346)))</f>
        <v>0</v>
      </c>
      <c r="AF346" s="170">
        <f>IF(OR($I346="",$E346=0),0,IF(OR($J346&lt;AF$3,$I346&gt;AF$2),0,IF($K346=0,IF(AND($I346&gt;=AF$3,$I346&lt;=AF$2),$E346,0),$E346*NETWORKDAYS(MAX($I346,AF$3),MIN($J346,AF$2),Data!$K$4:$K$203)/$K346)))</f>
        <v>0</v>
      </c>
      <c r="AG346" s="170">
        <f>IF(OR($I346="",$E346=0),0,IF(OR($J346&lt;AG$3,$I346&gt;AG$2),0,IF($K346=0,IF(AND($I346&gt;=AG$3,$I346&lt;=AG$2),$E346,0),$E346*NETWORKDAYS(MAX($I346,AG$3),MIN($J346,AG$2),Data!$K$4:$K$203)/$K346)))</f>
        <v>0</v>
      </c>
      <c r="AH346" s="170">
        <f>IF(OR($I346="",$E346=0),0,IF(OR($J346&lt;AH$3,$I346&gt;AH$2),0,IF($K346=0,IF(AND($I346&gt;=AH$3,$I346&lt;=AH$2),$E346,0),$E346*NETWORKDAYS(MAX($I346,AH$3),MIN($J346,AH$2),Data!$K$4:$K$203)/$K346)))</f>
        <v>0</v>
      </c>
      <c r="AI346" s="170">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70"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4" t="str">
        <f>IF(EO346=1,IF(FH346&gt;0,FI346/FH346,AVERAGEIF($FF$4:$FF$503,EN346,$C$4:$C$503)),"")</f>
        <v/>
      </c>
      <c r="EV346" s="169">
        <f>IF(ISNUMBER(I346),I346,2958465)</f>
        <v>2958465.0</v>
      </c>
      <c r="EW346" s="169" t="str">
        <f>IF(EO346=1,SUMPRODUCT(MIN(($EN$4:$EN$503=EN346)*$EV$4:$EV$503+($EN$4:$EN$503&lt;&gt;EN346)*2958465)),"")</f>
        <v/>
      </c>
      <c r="EX346" s="169">
        <f>IF(AND(D346=1,ISNUMBER(INDEX(Charge!$F:$F,ROW()))),INDEX(Charge!$F:$F,ROW()),0)</f>
        <v>0.0</v>
      </c>
      <c r="EY346" s="169"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c r="FF346" t="str">
        <f>IF(B346=1,LEFT(SUBSTITUTE(SUBSTITUTE(SUBSTITUTE(TRIM(SUBSTITUTE(INDEX(Charge!$B:$B,ROW()),CHAR(160)," "))&amp;" | "&amp;TRIM(SUBSTITUTE(INDEX(Charge!$C:$C,ROW()),CHAR(160)," "))&amp;" | "&amp;TRIM(SUBSTITUTE(INDEX(Charge!$D:$D,ROW()),CHAR(160)," ")),"~","-"),"*","+"),"?","!"),240),"")</f>
        <v/>
      </c>
      <c r="FG346">
        <f>IF(B346=1,MAX(0,N(INDEX(Charge!$M:$M,ROW()))),0)</f>
        <v>0</v>
      </c>
      <c r="FH346" s="170" t="str">
        <f>IF(EO346=1,ROUND(SUMIF($FF$4:$FF$503,EN346,$FG$4:$FG$503),2),"")</f>
        <v/>
      </c>
      <c r="FI346" s="170" t="str">
        <f>IF(EO346=1,ROUND(SUMPRODUCT(($FF$4:$FF$503=EN346)*$FG$4:$FG$503*$C$4:$C$503),2),"")</f>
        <v/>
      </c>
      <c r="FJ346" s="170" t="str">
        <f>IF(EO346=1,MAX(0,ROUND(FH346-FI346,2)),"")</f>
        <v/>
      </c>
      <c r="FK346" s="174" t="str">
        <f>IF(EO346=1,IF(OR(EW346&gt;=2958465,EY346=0,EY346&lt;=EW346),"",IF(TODAY()&lt;=EW346,0,IF(TODAY()&gt;EY346,1,IFERROR(NETWORKDAYS(EW346,TODAY()-1,Data!$K$4:$K$203)/NETWORKDAYS(EW346,EY346,Data!$K$4:$K$203),"")))),"")</f>
        <v/>
      </c>
      <c r="FL346" t="str">
        <f>IF(EO346=1,IF(AND(EY346&gt;0,EY346&lt;TODAY(),ROUND(EU346,4)&lt;1),2,IF(FK346="",0,IF(ROUND(EU346-FK346,4)&lt;-0.15,1,0))),"")</f>
        <v/>
      </c>
      <c r="FM346">
        <f>IF(OR(FA346="",COUNTIF($FA$4:FA345,FA346)&gt;0),0,MAX(0,IF(FB346="Interne",IF(ISNUMBER(INDEX(Data!$F:$F,346)),INDEX(Data!$F:$F,346),p_HeuresETP),IF(ISNUMBER(INDEX(Data!$I:$I,346-$CD$23)),INDEX(Data!$I:$I,346-$CD$23),p_HeuresETP))-IF(FB346="Interne",IF(ISNUMBER(INDEX(Data!$G:$G,346)),INDEX(Data!$G:$G,346),p_ChargeFixe),IF(ISNUMBER(INDEX(Data!$J:$J,346-$CD$23)),INDEX(Data!$J:$J,346-$CD$23),p_ChargeFixe))))</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9" t="str">
        <f>IF(AND(D347=1,ISNUMBER(INDEX(Charge!$N:$N,ROW()))),INDEX(Charge!$N:$N,ROW()),"")</f>
        <v/>
      </c>
      <c r="J347" s="169"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70">
        <f>IF(OR($I347="",$E347=0),0,IF(OR($J347&lt;W$3,$I347&gt;W$2),0,IF($K347=0,IF(AND($I347&gt;=W$3,$I347&lt;=W$2),$E347,0),$E347*NETWORKDAYS(MAX($I347,W$3),MIN($J347,W$2),Data!$K$4:$K$203)/$K347)))</f>
        <v>0</v>
      </c>
      <c r="X347" s="170">
        <f>IF(OR($I347="",$E347=0),0,IF(OR($J347&lt;X$3,$I347&gt;X$2),0,IF($K347=0,IF(AND($I347&gt;=X$3,$I347&lt;=X$2),$E347,0),$E347*NETWORKDAYS(MAX($I347,X$3),MIN($J347,X$2),Data!$K$4:$K$203)/$K347)))</f>
        <v>0</v>
      </c>
      <c r="Y347" s="170">
        <f>IF(OR($I347="",$E347=0),0,IF(OR($J347&lt;Y$3,$I347&gt;Y$2),0,IF($K347=0,IF(AND($I347&gt;=Y$3,$I347&lt;=Y$2),$E347,0),$E347*NETWORKDAYS(MAX($I347,Y$3),MIN($J347,Y$2),Data!$K$4:$K$203)/$K347)))</f>
        <v>0</v>
      </c>
      <c r="Z347" s="170">
        <f>IF(OR($I347="",$E347=0),0,IF(OR($J347&lt;Z$3,$I347&gt;Z$2),0,IF($K347=0,IF(AND($I347&gt;=Z$3,$I347&lt;=Z$2),$E347,0),$E347*NETWORKDAYS(MAX($I347,Z$3),MIN($J347,Z$2),Data!$K$4:$K$203)/$K347)))</f>
        <v>0</v>
      </c>
      <c r="AA347" s="170">
        <f>IF(OR($I347="",$E347=0),0,IF(OR($J347&lt;AA$3,$I347&gt;AA$2),0,IF($K347=0,IF(AND($I347&gt;=AA$3,$I347&lt;=AA$2),$E347,0),$E347*NETWORKDAYS(MAX($I347,AA$3),MIN($J347,AA$2),Data!$K$4:$K$203)/$K347)))</f>
        <v>0</v>
      </c>
      <c r="AB347" s="170">
        <f>IF(OR($I347="",$E347=0),0,IF(OR($J347&lt;AB$3,$I347&gt;AB$2),0,IF($K347=0,IF(AND($I347&gt;=AB$3,$I347&lt;=AB$2),$E347,0),$E347*NETWORKDAYS(MAX($I347,AB$3),MIN($J347,AB$2),Data!$K$4:$K$203)/$K347)))</f>
        <v>0</v>
      </c>
      <c r="AC347" s="170">
        <f>IF(OR($I347="",$E347=0),0,IF(OR($J347&lt;AC$3,$I347&gt;AC$2),0,IF($K347=0,IF(AND($I347&gt;=AC$3,$I347&lt;=AC$2),$E347,0),$E347*NETWORKDAYS(MAX($I347,AC$3),MIN($J347,AC$2),Data!$K$4:$K$203)/$K347)))</f>
        <v>0</v>
      </c>
      <c r="AD347" s="170">
        <f>IF(OR($I347="",$E347=0),0,IF(OR($J347&lt;AD$3,$I347&gt;AD$2),0,IF($K347=0,IF(AND($I347&gt;=AD$3,$I347&lt;=AD$2),$E347,0),$E347*NETWORKDAYS(MAX($I347,AD$3),MIN($J347,AD$2),Data!$K$4:$K$203)/$K347)))</f>
        <v>0</v>
      </c>
      <c r="AE347" s="170">
        <f>IF(OR($I347="",$E347=0),0,IF(OR($J347&lt;AE$3,$I347&gt;AE$2),0,IF($K347=0,IF(AND($I347&gt;=AE$3,$I347&lt;=AE$2),$E347,0),$E347*NETWORKDAYS(MAX($I347,AE$3),MIN($J347,AE$2),Data!$K$4:$K$203)/$K347)))</f>
        <v>0</v>
      </c>
      <c r="AF347" s="170">
        <f>IF(OR($I347="",$E347=0),0,IF(OR($J347&lt;AF$3,$I347&gt;AF$2),0,IF($K347=0,IF(AND($I347&gt;=AF$3,$I347&lt;=AF$2),$E347,0),$E347*NETWORKDAYS(MAX($I347,AF$3),MIN($J347,AF$2),Data!$K$4:$K$203)/$K347)))</f>
        <v>0</v>
      </c>
      <c r="AG347" s="170">
        <f>IF(OR($I347="",$E347=0),0,IF(OR($J347&lt;AG$3,$I347&gt;AG$2),0,IF($K347=0,IF(AND($I347&gt;=AG$3,$I347&lt;=AG$2),$E347,0),$E347*NETWORKDAYS(MAX($I347,AG$3),MIN($J347,AG$2),Data!$K$4:$K$203)/$K347)))</f>
        <v>0</v>
      </c>
      <c r="AH347" s="170">
        <f>IF(OR($I347="",$E347=0),0,IF(OR($J347&lt;AH$3,$I347&gt;AH$2),0,IF($K347=0,IF(AND($I347&gt;=AH$3,$I347&lt;=AH$2),$E347,0),$E347*NETWORKDAYS(MAX($I347,AH$3),MIN($J347,AH$2),Data!$K$4:$K$203)/$K347)))</f>
        <v>0</v>
      </c>
      <c r="AI347" s="170">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70"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4" t="str">
        <f>IF(EO347=1,IF(FH347&gt;0,FI347/FH347,AVERAGEIF($FF$4:$FF$503,EN347,$C$4:$C$503)),"")</f>
        <v/>
      </c>
      <c r="EV347" s="169">
        <f>IF(ISNUMBER(I347),I347,2958465)</f>
        <v>2958465.0</v>
      </c>
      <c r="EW347" s="169" t="str">
        <f>IF(EO347=1,SUMPRODUCT(MIN(($EN$4:$EN$503=EN347)*$EV$4:$EV$503+($EN$4:$EN$503&lt;&gt;EN347)*2958465)),"")</f>
        <v/>
      </c>
      <c r="EX347" s="169">
        <f>IF(AND(D347=1,ISNUMBER(INDEX(Charge!$F:$F,ROW()))),INDEX(Charge!$F:$F,ROW()),0)</f>
        <v>0.0</v>
      </c>
      <c r="EY347" s="169"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c r="FF347" t="str">
        <f>IF(B347=1,LEFT(SUBSTITUTE(SUBSTITUTE(SUBSTITUTE(TRIM(SUBSTITUTE(INDEX(Charge!$B:$B,ROW()),CHAR(160)," "))&amp;" | "&amp;TRIM(SUBSTITUTE(INDEX(Charge!$C:$C,ROW()),CHAR(160)," "))&amp;" | "&amp;TRIM(SUBSTITUTE(INDEX(Charge!$D:$D,ROW()),CHAR(160)," ")),"~","-"),"*","+"),"?","!"),240),"")</f>
        <v/>
      </c>
      <c r="FG347">
        <f>IF(B347=1,MAX(0,N(INDEX(Charge!$M:$M,ROW()))),0)</f>
        <v>0</v>
      </c>
      <c r="FH347" s="170" t="str">
        <f>IF(EO347=1,ROUND(SUMIF($FF$4:$FF$503,EN347,$FG$4:$FG$503),2),"")</f>
        <v/>
      </c>
      <c r="FI347" s="170" t="str">
        <f>IF(EO347=1,ROUND(SUMPRODUCT(($FF$4:$FF$503=EN347)*$FG$4:$FG$503*$C$4:$C$503),2),"")</f>
        <v/>
      </c>
      <c r="FJ347" s="170" t="str">
        <f>IF(EO347=1,MAX(0,ROUND(FH347-FI347,2)),"")</f>
        <v/>
      </c>
      <c r="FK347" s="174" t="str">
        <f>IF(EO347=1,IF(OR(EW347&gt;=2958465,EY347=0,EY347&lt;=EW347),"",IF(TODAY()&lt;=EW347,0,IF(TODAY()&gt;EY347,1,IFERROR(NETWORKDAYS(EW347,TODAY()-1,Data!$K$4:$K$203)/NETWORKDAYS(EW347,EY347,Data!$K$4:$K$203),"")))),"")</f>
        <v/>
      </c>
      <c r="FL347" t="str">
        <f>IF(EO347=1,IF(AND(EY347&gt;0,EY347&lt;TODAY(),ROUND(EU347,4)&lt;1),2,IF(FK347="",0,IF(ROUND(EU347-FK347,4)&lt;-0.15,1,0))),"")</f>
        <v/>
      </c>
      <c r="FM347">
        <f>IF(OR(FA347="",COUNTIF($FA$4:FA346,FA347)&gt;0),0,MAX(0,IF(FB347="Interne",IF(ISNUMBER(INDEX(Data!$F:$F,347)),INDEX(Data!$F:$F,347),p_HeuresETP),IF(ISNUMBER(INDEX(Data!$I:$I,347-$CD$23)),INDEX(Data!$I:$I,347-$CD$23),p_HeuresETP))-IF(FB347="Interne",IF(ISNUMBER(INDEX(Data!$G:$G,347)),INDEX(Data!$G:$G,347),p_ChargeFixe),IF(ISNUMBER(INDEX(Data!$J:$J,347-$CD$23)),INDEX(Data!$J:$J,347-$CD$23),p_ChargeFixe))))</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9" t="str">
        <f>IF(AND(D348=1,ISNUMBER(INDEX(Charge!$N:$N,ROW()))),INDEX(Charge!$N:$N,ROW()),"")</f>
        <v/>
      </c>
      <c r="J348" s="169"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70">
        <f>IF(OR($I348="",$E348=0),0,IF(OR($J348&lt;W$3,$I348&gt;W$2),0,IF($K348=0,IF(AND($I348&gt;=W$3,$I348&lt;=W$2),$E348,0),$E348*NETWORKDAYS(MAX($I348,W$3),MIN($J348,W$2),Data!$K$4:$K$203)/$K348)))</f>
        <v>0</v>
      </c>
      <c r="X348" s="170">
        <f>IF(OR($I348="",$E348=0),0,IF(OR($J348&lt;X$3,$I348&gt;X$2),0,IF($K348=0,IF(AND($I348&gt;=X$3,$I348&lt;=X$2),$E348,0),$E348*NETWORKDAYS(MAX($I348,X$3),MIN($J348,X$2),Data!$K$4:$K$203)/$K348)))</f>
        <v>0</v>
      </c>
      <c r="Y348" s="170">
        <f>IF(OR($I348="",$E348=0),0,IF(OR($J348&lt;Y$3,$I348&gt;Y$2),0,IF($K348=0,IF(AND($I348&gt;=Y$3,$I348&lt;=Y$2),$E348,0),$E348*NETWORKDAYS(MAX($I348,Y$3),MIN($J348,Y$2),Data!$K$4:$K$203)/$K348)))</f>
        <v>0</v>
      </c>
      <c r="Z348" s="170">
        <f>IF(OR($I348="",$E348=0),0,IF(OR($J348&lt;Z$3,$I348&gt;Z$2),0,IF($K348=0,IF(AND($I348&gt;=Z$3,$I348&lt;=Z$2),$E348,0),$E348*NETWORKDAYS(MAX($I348,Z$3),MIN($J348,Z$2),Data!$K$4:$K$203)/$K348)))</f>
        <v>0</v>
      </c>
      <c r="AA348" s="170">
        <f>IF(OR($I348="",$E348=0),0,IF(OR($J348&lt;AA$3,$I348&gt;AA$2),0,IF($K348=0,IF(AND($I348&gt;=AA$3,$I348&lt;=AA$2),$E348,0),$E348*NETWORKDAYS(MAX($I348,AA$3),MIN($J348,AA$2),Data!$K$4:$K$203)/$K348)))</f>
        <v>0</v>
      </c>
      <c r="AB348" s="170">
        <f>IF(OR($I348="",$E348=0),0,IF(OR($J348&lt;AB$3,$I348&gt;AB$2),0,IF($K348=0,IF(AND($I348&gt;=AB$3,$I348&lt;=AB$2),$E348,0),$E348*NETWORKDAYS(MAX($I348,AB$3),MIN($J348,AB$2),Data!$K$4:$K$203)/$K348)))</f>
        <v>0</v>
      </c>
      <c r="AC348" s="170">
        <f>IF(OR($I348="",$E348=0),0,IF(OR($J348&lt;AC$3,$I348&gt;AC$2),0,IF($K348=0,IF(AND($I348&gt;=AC$3,$I348&lt;=AC$2),$E348,0),$E348*NETWORKDAYS(MAX($I348,AC$3),MIN($J348,AC$2),Data!$K$4:$K$203)/$K348)))</f>
        <v>0</v>
      </c>
      <c r="AD348" s="170">
        <f>IF(OR($I348="",$E348=0),0,IF(OR($J348&lt;AD$3,$I348&gt;AD$2),0,IF($K348=0,IF(AND($I348&gt;=AD$3,$I348&lt;=AD$2),$E348,0),$E348*NETWORKDAYS(MAX($I348,AD$3),MIN($J348,AD$2),Data!$K$4:$K$203)/$K348)))</f>
        <v>0</v>
      </c>
      <c r="AE348" s="170">
        <f>IF(OR($I348="",$E348=0),0,IF(OR($J348&lt;AE$3,$I348&gt;AE$2),0,IF($K348=0,IF(AND($I348&gt;=AE$3,$I348&lt;=AE$2),$E348,0),$E348*NETWORKDAYS(MAX($I348,AE$3),MIN($J348,AE$2),Data!$K$4:$K$203)/$K348)))</f>
        <v>0</v>
      </c>
      <c r="AF348" s="170">
        <f>IF(OR($I348="",$E348=0),0,IF(OR($J348&lt;AF$3,$I348&gt;AF$2),0,IF($K348=0,IF(AND($I348&gt;=AF$3,$I348&lt;=AF$2),$E348,0),$E348*NETWORKDAYS(MAX($I348,AF$3),MIN($J348,AF$2),Data!$K$4:$K$203)/$K348)))</f>
        <v>0</v>
      </c>
      <c r="AG348" s="170">
        <f>IF(OR($I348="",$E348=0),0,IF(OR($J348&lt;AG$3,$I348&gt;AG$2),0,IF($K348=0,IF(AND($I348&gt;=AG$3,$I348&lt;=AG$2),$E348,0),$E348*NETWORKDAYS(MAX($I348,AG$3),MIN($J348,AG$2),Data!$K$4:$K$203)/$K348)))</f>
        <v>0</v>
      </c>
      <c r="AH348" s="170">
        <f>IF(OR($I348="",$E348=0),0,IF(OR($J348&lt;AH$3,$I348&gt;AH$2),0,IF($K348=0,IF(AND($I348&gt;=AH$3,$I348&lt;=AH$2),$E348,0),$E348*NETWORKDAYS(MAX($I348,AH$3),MIN($J348,AH$2),Data!$K$4:$K$203)/$K348)))</f>
        <v>0</v>
      </c>
      <c r="AI348" s="170">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70"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4" t="str">
        <f>IF(EO348=1,IF(FH348&gt;0,FI348/FH348,AVERAGEIF($FF$4:$FF$503,EN348,$C$4:$C$503)),"")</f>
        <v/>
      </c>
      <c r="EV348" s="169">
        <f>IF(ISNUMBER(I348),I348,2958465)</f>
        <v>2958465.0</v>
      </c>
      <c r="EW348" s="169" t="str">
        <f>IF(EO348=1,SUMPRODUCT(MIN(($EN$4:$EN$503=EN348)*$EV$4:$EV$503+($EN$4:$EN$503&lt;&gt;EN348)*2958465)),"")</f>
        <v/>
      </c>
      <c r="EX348" s="169">
        <f>IF(AND(D348=1,ISNUMBER(INDEX(Charge!$F:$F,ROW()))),INDEX(Charge!$F:$F,ROW()),0)</f>
        <v>0.0</v>
      </c>
      <c r="EY348" s="169"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c r="FF348" t="str">
        <f>IF(B348=1,LEFT(SUBSTITUTE(SUBSTITUTE(SUBSTITUTE(TRIM(SUBSTITUTE(INDEX(Charge!$B:$B,ROW()),CHAR(160)," "))&amp;" | "&amp;TRIM(SUBSTITUTE(INDEX(Charge!$C:$C,ROW()),CHAR(160)," "))&amp;" | "&amp;TRIM(SUBSTITUTE(INDEX(Charge!$D:$D,ROW()),CHAR(160)," ")),"~","-"),"*","+"),"?","!"),240),"")</f>
        <v/>
      </c>
      <c r="FG348">
        <f>IF(B348=1,MAX(0,N(INDEX(Charge!$M:$M,ROW()))),0)</f>
        <v>0</v>
      </c>
      <c r="FH348" s="170" t="str">
        <f>IF(EO348=1,ROUND(SUMIF($FF$4:$FF$503,EN348,$FG$4:$FG$503),2),"")</f>
        <v/>
      </c>
      <c r="FI348" s="170" t="str">
        <f>IF(EO348=1,ROUND(SUMPRODUCT(($FF$4:$FF$503=EN348)*$FG$4:$FG$503*$C$4:$C$503),2),"")</f>
        <v/>
      </c>
      <c r="FJ348" s="170" t="str">
        <f>IF(EO348=1,MAX(0,ROUND(FH348-FI348,2)),"")</f>
        <v/>
      </c>
      <c r="FK348" s="174" t="str">
        <f>IF(EO348=1,IF(OR(EW348&gt;=2958465,EY348=0,EY348&lt;=EW348),"",IF(TODAY()&lt;=EW348,0,IF(TODAY()&gt;EY348,1,IFERROR(NETWORKDAYS(EW348,TODAY()-1,Data!$K$4:$K$203)/NETWORKDAYS(EW348,EY348,Data!$K$4:$K$203),"")))),"")</f>
        <v/>
      </c>
      <c r="FL348" t="str">
        <f>IF(EO348=1,IF(AND(EY348&gt;0,EY348&lt;TODAY(),ROUND(EU348,4)&lt;1),2,IF(FK348="",0,IF(ROUND(EU348-FK348,4)&lt;-0.15,1,0))),"")</f>
        <v/>
      </c>
      <c r="FM348">
        <f>IF(OR(FA348="",COUNTIF($FA$4:FA347,FA348)&gt;0),0,MAX(0,IF(FB348="Interne",IF(ISNUMBER(INDEX(Data!$F:$F,348)),INDEX(Data!$F:$F,348),p_HeuresETP),IF(ISNUMBER(INDEX(Data!$I:$I,348-$CD$23)),INDEX(Data!$I:$I,348-$CD$23),p_HeuresETP))-IF(FB348="Interne",IF(ISNUMBER(INDEX(Data!$G:$G,348)),INDEX(Data!$G:$G,348),p_ChargeFixe),IF(ISNUMBER(INDEX(Data!$J:$J,348-$CD$23)),INDEX(Data!$J:$J,348-$CD$23),p_ChargeFixe))))</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9" t="str">
        <f>IF(AND(D349=1,ISNUMBER(INDEX(Charge!$N:$N,ROW()))),INDEX(Charge!$N:$N,ROW()),"")</f>
        <v/>
      </c>
      <c r="J349" s="169"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70">
        <f>IF(OR($I349="",$E349=0),0,IF(OR($J349&lt;W$3,$I349&gt;W$2),0,IF($K349=0,IF(AND($I349&gt;=W$3,$I349&lt;=W$2),$E349,0),$E349*NETWORKDAYS(MAX($I349,W$3),MIN($J349,W$2),Data!$K$4:$K$203)/$K349)))</f>
        <v>0</v>
      </c>
      <c r="X349" s="170">
        <f>IF(OR($I349="",$E349=0),0,IF(OR($J349&lt;X$3,$I349&gt;X$2),0,IF($K349=0,IF(AND($I349&gt;=X$3,$I349&lt;=X$2),$E349,0),$E349*NETWORKDAYS(MAX($I349,X$3),MIN($J349,X$2),Data!$K$4:$K$203)/$K349)))</f>
        <v>0</v>
      </c>
      <c r="Y349" s="170">
        <f>IF(OR($I349="",$E349=0),0,IF(OR($J349&lt;Y$3,$I349&gt;Y$2),0,IF($K349=0,IF(AND($I349&gt;=Y$3,$I349&lt;=Y$2),$E349,0),$E349*NETWORKDAYS(MAX($I349,Y$3),MIN($J349,Y$2),Data!$K$4:$K$203)/$K349)))</f>
        <v>0</v>
      </c>
      <c r="Z349" s="170">
        <f>IF(OR($I349="",$E349=0),0,IF(OR($J349&lt;Z$3,$I349&gt;Z$2),0,IF($K349=0,IF(AND($I349&gt;=Z$3,$I349&lt;=Z$2),$E349,0),$E349*NETWORKDAYS(MAX($I349,Z$3),MIN($J349,Z$2),Data!$K$4:$K$203)/$K349)))</f>
        <v>0</v>
      </c>
      <c r="AA349" s="170">
        <f>IF(OR($I349="",$E349=0),0,IF(OR($J349&lt;AA$3,$I349&gt;AA$2),0,IF($K349=0,IF(AND($I349&gt;=AA$3,$I349&lt;=AA$2),$E349,0),$E349*NETWORKDAYS(MAX($I349,AA$3),MIN($J349,AA$2),Data!$K$4:$K$203)/$K349)))</f>
        <v>0</v>
      </c>
      <c r="AB349" s="170">
        <f>IF(OR($I349="",$E349=0),0,IF(OR($J349&lt;AB$3,$I349&gt;AB$2),0,IF($K349=0,IF(AND($I349&gt;=AB$3,$I349&lt;=AB$2),$E349,0),$E349*NETWORKDAYS(MAX($I349,AB$3),MIN($J349,AB$2),Data!$K$4:$K$203)/$K349)))</f>
        <v>0</v>
      </c>
      <c r="AC349" s="170">
        <f>IF(OR($I349="",$E349=0),0,IF(OR($J349&lt;AC$3,$I349&gt;AC$2),0,IF($K349=0,IF(AND($I349&gt;=AC$3,$I349&lt;=AC$2),$E349,0),$E349*NETWORKDAYS(MAX($I349,AC$3),MIN($J349,AC$2),Data!$K$4:$K$203)/$K349)))</f>
        <v>0</v>
      </c>
      <c r="AD349" s="170">
        <f>IF(OR($I349="",$E349=0),0,IF(OR($J349&lt;AD$3,$I349&gt;AD$2),0,IF($K349=0,IF(AND($I349&gt;=AD$3,$I349&lt;=AD$2),$E349,0),$E349*NETWORKDAYS(MAX($I349,AD$3),MIN($J349,AD$2),Data!$K$4:$K$203)/$K349)))</f>
        <v>0</v>
      </c>
      <c r="AE349" s="170">
        <f>IF(OR($I349="",$E349=0),0,IF(OR($J349&lt;AE$3,$I349&gt;AE$2),0,IF($K349=0,IF(AND($I349&gt;=AE$3,$I349&lt;=AE$2),$E349,0),$E349*NETWORKDAYS(MAX($I349,AE$3),MIN($J349,AE$2),Data!$K$4:$K$203)/$K349)))</f>
        <v>0</v>
      </c>
      <c r="AF349" s="170">
        <f>IF(OR($I349="",$E349=0),0,IF(OR($J349&lt;AF$3,$I349&gt;AF$2),0,IF($K349=0,IF(AND($I349&gt;=AF$3,$I349&lt;=AF$2),$E349,0),$E349*NETWORKDAYS(MAX($I349,AF$3),MIN($J349,AF$2),Data!$K$4:$K$203)/$K349)))</f>
        <v>0</v>
      </c>
      <c r="AG349" s="170">
        <f>IF(OR($I349="",$E349=0),0,IF(OR($J349&lt;AG$3,$I349&gt;AG$2),0,IF($K349=0,IF(AND($I349&gt;=AG$3,$I349&lt;=AG$2),$E349,0),$E349*NETWORKDAYS(MAX($I349,AG$3),MIN($J349,AG$2),Data!$K$4:$K$203)/$K349)))</f>
        <v>0</v>
      </c>
      <c r="AH349" s="170">
        <f>IF(OR($I349="",$E349=0),0,IF(OR($J349&lt;AH$3,$I349&gt;AH$2),0,IF($K349=0,IF(AND($I349&gt;=AH$3,$I349&lt;=AH$2),$E349,0),$E349*NETWORKDAYS(MAX($I349,AH$3),MIN($J349,AH$2),Data!$K$4:$K$203)/$K349)))</f>
        <v>0</v>
      </c>
      <c r="AI349" s="170">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70"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4" t="str">
        <f>IF(EO349=1,IF(FH349&gt;0,FI349/FH349,AVERAGEIF($FF$4:$FF$503,EN349,$C$4:$C$503)),"")</f>
        <v/>
      </c>
      <c r="EV349" s="169">
        <f>IF(ISNUMBER(I349),I349,2958465)</f>
        <v>2958465.0</v>
      </c>
      <c r="EW349" s="169" t="str">
        <f>IF(EO349=1,SUMPRODUCT(MIN(($EN$4:$EN$503=EN349)*$EV$4:$EV$503+($EN$4:$EN$503&lt;&gt;EN349)*2958465)),"")</f>
        <v/>
      </c>
      <c r="EX349" s="169">
        <f>IF(AND(D349=1,ISNUMBER(INDEX(Charge!$F:$F,ROW()))),INDEX(Charge!$F:$F,ROW()),0)</f>
        <v>0.0</v>
      </c>
      <c r="EY349" s="169"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c r="FF349" t="str">
        <f>IF(B349=1,LEFT(SUBSTITUTE(SUBSTITUTE(SUBSTITUTE(TRIM(SUBSTITUTE(INDEX(Charge!$B:$B,ROW()),CHAR(160)," "))&amp;" | "&amp;TRIM(SUBSTITUTE(INDEX(Charge!$C:$C,ROW()),CHAR(160)," "))&amp;" | "&amp;TRIM(SUBSTITUTE(INDEX(Charge!$D:$D,ROW()),CHAR(160)," ")),"~","-"),"*","+"),"?","!"),240),"")</f>
        <v/>
      </c>
      <c r="FG349">
        <f>IF(B349=1,MAX(0,N(INDEX(Charge!$M:$M,ROW()))),0)</f>
        <v>0</v>
      </c>
      <c r="FH349" s="170" t="str">
        <f>IF(EO349=1,ROUND(SUMIF($FF$4:$FF$503,EN349,$FG$4:$FG$503),2),"")</f>
        <v/>
      </c>
      <c r="FI349" s="170" t="str">
        <f>IF(EO349=1,ROUND(SUMPRODUCT(($FF$4:$FF$503=EN349)*$FG$4:$FG$503*$C$4:$C$503),2),"")</f>
        <v/>
      </c>
      <c r="FJ349" s="170" t="str">
        <f>IF(EO349=1,MAX(0,ROUND(FH349-FI349,2)),"")</f>
        <v/>
      </c>
      <c r="FK349" s="174" t="str">
        <f>IF(EO349=1,IF(OR(EW349&gt;=2958465,EY349=0,EY349&lt;=EW349),"",IF(TODAY()&lt;=EW349,0,IF(TODAY()&gt;EY349,1,IFERROR(NETWORKDAYS(EW349,TODAY()-1,Data!$K$4:$K$203)/NETWORKDAYS(EW349,EY349,Data!$K$4:$K$203),"")))),"")</f>
        <v/>
      </c>
      <c r="FL349" t="str">
        <f>IF(EO349=1,IF(AND(EY349&gt;0,EY349&lt;TODAY(),ROUND(EU349,4)&lt;1),2,IF(FK349="",0,IF(ROUND(EU349-FK349,4)&lt;-0.15,1,0))),"")</f>
        <v/>
      </c>
      <c r="FM349">
        <f>IF(OR(FA349="",COUNTIF($FA$4:FA348,FA349)&gt;0),0,MAX(0,IF(FB349="Interne",IF(ISNUMBER(INDEX(Data!$F:$F,349)),INDEX(Data!$F:$F,349),p_HeuresETP),IF(ISNUMBER(INDEX(Data!$I:$I,349-$CD$23)),INDEX(Data!$I:$I,349-$CD$23),p_HeuresETP))-IF(FB349="Interne",IF(ISNUMBER(INDEX(Data!$G:$G,349)),INDEX(Data!$G:$G,349),p_ChargeFixe),IF(ISNUMBER(INDEX(Data!$J:$J,349-$CD$23)),INDEX(Data!$J:$J,349-$CD$23),p_ChargeFixe))))</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9" t="str">
        <f>IF(AND(D350=1,ISNUMBER(INDEX(Charge!$N:$N,ROW()))),INDEX(Charge!$N:$N,ROW()),"")</f>
        <v/>
      </c>
      <c r="J350" s="169"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70">
        <f>IF(OR($I350="",$E350=0),0,IF(OR($J350&lt;W$3,$I350&gt;W$2),0,IF($K350=0,IF(AND($I350&gt;=W$3,$I350&lt;=W$2),$E350,0),$E350*NETWORKDAYS(MAX($I350,W$3),MIN($J350,W$2),Data!$K$4:$K$203)/$K350)))</f>
        <v>0</v>
      </c>
      <c r="X350" s="170">
        <f>IF(OR($I350="",$E350=0),0,IF(OR($J350&lt;X$3,$I350&gt;X$2),0,IF($K350=0,IF(AND($I350&gt;=X$3,$I350&lt;=X$2),$E350,0),$E350*NETWORKDAYS(MAX($I350,X$3),MIN($J350,X$2),Data!$K$4:$K$203)/$K350)))</f>
        <v>0</v>
      </c>
      <c r="Y350" s="170">
        <f>IF(OR($I350="",$E350=0),0,IF(OR($J350&lt;Y$3,$I350&gt;Y$2),0,IF($K350=0,IF(AND($I350&gt;=Y$3,$I350&lt;=Y$2),$E350,0),$E350*NETWORKDAYS(MAX($I350,Y$3),MIN($J350,Y$2),Data!$K$4:$K$203)/$K350)))</f>
        <v>0</v>
      </c>
      <c r="Z350" s="170">
        <f>IF(OR($I350="",$E350=0),0,IF(OR($J350&lt;Z$3,$I350&gt;Z$2),0,IF($K350=0,IF(AND($I350&gt;=Z$3,$I350&lt;=Z$2),$E350,0),$E350*NETWORKDAYS(MAX($I350,Z$3),MIN($J350,Z$2),Data!$K$4:$K$203)/$K350)))</f>
        <v>0</v>
      </c>
      <c r="AA350" s="170">
        <f>IF(OR($I350="",$E350=0),0,IF(OR($J350&lt;AA$3,$I350&gt;AA$2),0,IF($K350=0,IF(AND($I350&gt;=AA$3,$I350&lt;=AA$2),$E350,0),$E350*NETWORKDAYS(MAX($I350,AA$3),MIN($J350,AA$2),Data!$K$4:$K$203)/$K350)))</f>
        <v>0</v>
      </c>
      <c r="AB350" s="170">
        <f>IF(OR($I350="",$E350=0),0,IF(OR($J350&lt;AB$3,$I350&gt;AB$2),0,IF($K350=0,IF(AND($I350&gt;=AB$3,$I350&lt;=AB$2),$E350,0),$E350*NETWORKDAYS(MAX($I350,AB$3),MIN($J350,AB$2),Data!$K$4:$K$203)/$K350)))</f>
        <v>0</v>
      </c>
      <c r="AC350" s="170">
        <f>IF(OR($I350="",$E350=0),0,IF(OR($J350&lt;AC$3,$I350&gt;AC$2),0,IF($K350=0,IF(AND($I350&gt;=AC$3,$I350&lt;=AC$2),$E350,0),$E350*NETWORKDAYS(MAX($I350,AC$3),MIN($J350,AC$2),Data!$K$4:$K$203)/$K350)))</f>
        <v>0</v>
      </c>
      <c r="AD350" s="170">
        <f>IF(OR($I350="",$E350=0),0,IF(OR($J350&lt;AD$3,$I350&gt;AD$2),0,IF($K350=0,IF(AND($I350&gt;=AD$3,$I350&lt;=AD$2),$E350,0),$E350*NETWORKDAYS(MAX($I350,AD$3),MIN($J350,AD$2),Data!$K$4:$K$203)/$K350)))</f>
        <v>0</v>
      </c>
      <c r="AE350" s="170">
        <f>IF(OR($I350="",$E350=0),0,IF(OR($J350&lt;AE$3,$I350&gt;AE$2),0,IF($K350=0,IF(AND($I350&gt;=AE$3,$I350&lt;=AE$2),$E350,0),$E350*NETWORKDAYS(MAX($I350,AE$3),MIN($J350,AE$2),Data!$K$4:$K$203)/$K350)))</f>
        <v>0</v>
      </c>
      <c r="AF350" s="170">
        <f>IF(OR($I350="",$E350=0),0,IF(OR($J350&lt;AF$3,$I350&gt;AF$2),0,IF($K350=0,IF(AND($I350&gt;=AF$3,$I350&lt;=AF$2),$E350,0),$E350*NETWORKDAYS(MAX($I350,AF$3),MIN($J350,AF$2),Data!$K$4:$K$203)/$K350)))</f>
        <v>0</v>
      </c>
      <c r="AG350" s="170">
        <f>IF(OR($I350="",$E350=0),0,IF(OR($J350&lt;AG$3,$I350&gt;AG$2),0,IF($K350=0,IF(AND($I350&gt;=AG$3,$I350&lt;=AG$2),$E350,0),$E350*NETWORKDAYS(MAX($I350,AG$3),MIN($J350,AG$2),Data!$K$4:$K$203)/$K350)))</f>
        <v>0</v>
      </c>
      <c r="AH350" s="170">
        <f>IF(OR($I350="",$E350=0),0,IF(OR($J350&lt;AH$3,$I350&gt;AH$2),0,IF($K350=0,IF(AND($I350&gt;=AH$3,$I350&lt;=AH$2),$E350,0),$E350*NETWORKDAYS(MAX($I350,AH$3),MIN($J350,AH$2),Data!$K$4:$K$203)/$K350)))</f>
        <v>0</v>
      </c>
      <c r="AI350" s="170">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70"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4" t="str">
        <f>IF(EO350=1,IF(FH350&gt;0,FI350/FH350,AVERAGEIF($FF$4:$FF$503,EN350,$C$4:$C$503)),"")</f>
        <v/>
      </c>
      <c r="EV350" s="169">
        <f>IF(ISNUMBER(I350),I350,2958465)</f>
        <v>2958465.0</v>
      </c>
      <c r="EW350" s="169" t="str">
        <f>IF(EO350=1,SUMPRODUCT(MIN(($EN$4:$EN$503=EN350)*$EV$4:$EV$503+($EN$4:$EN$503&lt;&gt;EN350)*2958465)),"")</f>
        <v/>
      </c>
      <c r="EX350" s="169">
        <f>IF(AND(D350=1,ISNUMBER(INDEX(Charge!$F:$F,ROW()))),INDEX(Charge!$F:$F,ROW()),0)</f>
        <v>0.0</v>
      </c>
      <c r="EY350" s="169"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c r="FF350" t="str">
        <f>IF(B350=1,LEFT(SUBSTITUTE(SUBSTITUTE(SUBSTITUTE(TRIM(SUBSTITUTE(INDEX(Charge!$B:$B,ROW()),CHAR(160)," "))&amp;" | "&amp;TRIM(SUBSTITUTE(INDEX(Charge!$C:$C,ROW()),CHAR(160)," "))&amp;" | "&amp;TRIM(SUBSTITUTE(INDEX(Charge!$D:$D,ROW()),CHAR(160)," ")),"~","-"),"*","+"),"?","!"),240),"")</f>
        <v/>
      </c>
      <c r="FG350">
        <f>IF(B350=1,MAX(0,N(INDEX(Charge!$M:$M,ROW()))),0)</f>
        <v>0</v>
      </c>
      <c r="FH350" s="170" t="str">
        <f>IF(EO350=1,ROUND(SUMIF($FF$4:$FF$503,EN350,$FG$4:$FG$503),2),"")</f>
        <v/>
      </c>
      <c r="FI350" s="170" t="str">
        <f>IF(EO350=1,ROUND(SUMPRODUCT(($FF$4:$FF$503=EN350)*$FG$4:$FG$503*$C$4:$C$503),2),"")</f>
        <v/>
      </c>
      <c r="FJ350" s="170" t="str">
        <f>IF(EO350=1,MAX(0,ROUND(FH350-FI350,2)),"")</f>
        <v/>
      </c>
      <c r="FK350" s="174" t="str">
        <f>IF(EO350=1,IF(OR(EW350&gt;=2958465,EY350=0,EY350&lt;=EW350),"",IF(TODAY()&lt;=EW350,0,IF(TODAY()&gt;EY350,1,IFERROR(NETWORKDAYS(EW350,TODAY()-1,Data!$K$4:$K$203)/NETWORKDAYS(EW350,EY350,Data!$K$4:$K$203),"")))),"")</f>
        <v/>
      </c>
      <c r="FL350" t="str">
        <f>IF(EO350=1,IF(AND(EY350&gt;0,EY350&lt;TODAY(),ROUND(EU350,4)&lt;1),2,IF(FK350="",0,IF(ROUND(EU350-FK350,4)&lt;-0.15,1,0))),"")</f>
        <v/>
      </c>
      <c r="FM350">
        <f>IF(OR(FA350="",COUNTIF($FA$4:FA349,FA350)&gt;0),0,MAX(0,IF(FB350="Interne",IF(ISNUMBER(INDEX(Data!$F:$F,350)),INDEX(Data!$F:$F,350),p_HeuresETP),IF(ISNUMBER(INDEX(Data!$I:$I,350-$CD$23)),INDEX(Data!$I:$I,350-$CD$23),p_HeuresETP))-IF(FB350="Interne",IF(ISNUMBER(INDEX(Data!$G:$G,350)),INDEX(Data!$G:$G,350),p_ChargeFixe),IF(ISNUMBER(INDEX(Data!$J:$J,350-$CD$23)),INDEX(Data!$J:$J,350-$CD$23),p_ChargeFixe))))</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9" t="str">
        <f>IF(AND(D351=1,ISNUMBER(INDEX(Charge!$N:$N,ROW()))),INDEX(Charge!$N:$N,ROW()),"")</f>
        <v/>
      </c>
      <c r="J351" s="169"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70">
        <f>IF(OR($I351="",$E351=0),0,IF(OR($J351&lt;W$3,$I351&gt;W$2),0,IF($K351=0,IF(AND($I351&gt;=W$3,$I351&lt;=W$2),$E351,0),$E351*NETWORKDAYS(MAX($I351,W$3),MIN($J351,W$2),Data!$K$4:$K$203)/$K351)))</f>
        <v>0</v>
      </c>
      <c r="X351" s="170">
        <f>IF(OR($I351="",$E351=0),0,IF(OR($J351&lt;X$3,$I351&gt;X$2),0,IF($K351=0,IF(AND($I351&gt;=X$3,$I351&lt;=X$2),$E351,0),$E351*NETWORKDAYS(MAX($I351,X$3),MIN($J351,X$2),Data!$K$4:$K$203)/$K351)))</f>
        <v>0</v>
      </c>
      <c r="Y351" s="170">
        <f>IF(OR($I351="",$E351=0),0,IF(OR($J351&lt;Y$3,$I351&gt;Y$2),0,IF($K351=0,IF(AND($I351&gt;=Y$3,$I351&lt;=Y$2),$E351,0),$E351*NETWORKDAYS(MAX($I351,Y$3),MIN($J351,Y$2),Data!$K$4:$K$203)/$K351)))</f>
        <v>0</v>
      </c>
      <c r="Z351" s="170">
        <f>IF(OR($I351="",$E351=0),0,IF(OR($J351&lt;Z$3,$I351&gt;Z$2),0,IF($K351=0,IF(AND($I351&gt;=Z$3,$I351&lt;=Z$2),$E351,0),$E351*NETWORKDAYS(MAX($I351,Z$3),MIN($J351,Z$2),Data!$K$4:$K$203)/$K351)))</f>
        <v>0</v>
      </c>
      <c r="AA351" s="170">
        <f>IF(OR($I351="",$E351=0),0,IF(OR($J351&lt;AA$3,$I351&gt;AA$2),0,IF($K351=0,IF(AND($I351&gt;=AA$3,$I351&lt;=AA$2),$E351,0),$E351*NETWORKDAYS(MAX($I351,AA$3),MIN($J351,AA$2),Data!$K$4:$K$203)/$K351)))</f>
        <v>0</v>
      </c>
      <c r="AB351" s="170">
        <f>IF(OR($I351="",$E351=0),0,IF(OR($J351&lt;AB$3,$I351&gt;AB$2),0,IF($K351=0,IF(AND($I351&gt;=AB$3,$I351&lt;=AB$2),$E351,0),$E351*NETWORKDAYS(MAX($I351,AB$3),MIN($J351,AB$2),Data!$K$4:$K$203)/$K351)))</f>
        <v>0</v>
      </c>
      <c r="AC351" s="170">
        <f>IF(OR($I351="",$E351=0),0,IF(OR($J351&lt;AC$3,$I351&gt;AC$2),0,IF($K351=0,IF(AND($I351&gt;=AC$3,$I351&lt;=AC$2),$E351,0),$E351*NETWORKDAYS(MAX($I351,AC$3),MIN($J351,AC$2),Data!$K$4:$K$203)/$K351)))</f>
        <v>0</v>
      </c>
      <c r="AD351" s="170">
        <f>IF(OR($I351="",$E351=0),0,IF(OR($J351&lt;AD$3,$I351&gt;AD$2),0,IF($K351=0,IF(AND($I351&gt;=AD$3,$I351&lt;=AD$2),$E351,0),$E351*NETWORKDAYS(MAX($I351,AD$3),MIN($J351,AD$2),Data!$K$4:$K$203)/$K351)))</f>
        <v>0</v>
      </c>
      <c r="AE351" s="170">
        <f>IF(OR($I351="",$E351=0),0,IF(OR($J351&lt;AE$3,$I351&gt;AE$2),0,IF($K351=0,IF(AND($I351&gt;=AE$3,$I351&lt;=AE$2),$E351,0),$E351*NETWORKDAYS(MAX($I351,AE$3),MIN($J351,AE$2),Data!$K$4:$K$203)/$K351)))</f>
        <v>0</v>
      </c>
      <c r="AF351" s="170">
        <f>IF(OR($I351="",$E351=0),0,IF(OR($J351&lt;AF$3,$I351&gt;AF$2),0,IF($K351=0,IF(AND($I351&gt;=AF$3,$I351&lt;=AF$2),$E351,0),$E351*NETWORKDAYS(MAX($I351,AF$3),MIN($J351,AF$2),Data!$K$4:$K$203)/$K351)))</f>
        <v>0</v>
      </c>
      <c r="AG351" s="170">
        <f>IF(OR($I351="",$E351=0),0,IF(OR($J351&lt;AG$3,$I351&gt;AG$2),0,IF($K351=0,IF(AND($I351&gt;=AG$3,$I351&lt;=AG$2),$E351,0),$E351*NETWORKDAYS(MAX($I351,AG$3),MIN($J351,AG$2),Data!$K$4:$K$203)/$K351)))</f>
        <v>0</v>
      </c>
      <c r="AH351" s="170">
        <f>IF(OR($I351="",$E351=0),0,IF(OR($J351&lt;AH$3,$I351&gt;AH$2),0,IF($K351=0,IF(AND($I351&gt;=AH$3,$I351&lt;=AH$2),$E351,0),$E351*NETWORKDAYS(MAX($I351,AH$3),MIN($J351,AH$2),Data!$K$4:$K$203)/$K351)))</f>
        <v>0</v>
      </c>
      <c r="AI351" s="170">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70"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4" t="str">
        <f>IF(EO351=1,IF(FH351&gt;0,FI351/FH351,AVERAGEIF($FF$4:$FF$503,EN351,$C$4:$C$503)),"")</f>
        <v/>
      </c>
      <c r="EV351" s="169">
        <f>IF(ISNUMBER(I351),I351,2958465)</f>
        <v>2958465.0</v>
      </c>
      <c r="EW351" s="169" t="str">
        <f>IF(EO351=1,SUMPRODUCT(MIN(($EN$4:$EN$503=EN351)*$EV$4:$EV$503+($EN$4:$EN$503&lt;&gt;EN351)*2958465)),"")</f>
        <v/>
      </c>
      <c r="EX351" s="169">
        <f>IF(AND(D351=1,ISNUMBER(INDEX(Charge!$F:$F,ROW()))),INDEX(Charge!$F:$F,ROW()),0)</f>
        <v>0.0</v>
      </c>
      <c r="EY351" s="169"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c r="FF351" t="str">
        <f>IF(B351=1,LEFT(SUBSTITUTE(SUBSTITUTE(SUBSTITUTE(TRIM(SUBSTITUTE(INDEX(Charge!$B:$B,ROW()),CHAR(160)," "))&amp;" | "&amp;TRIM(SUBSTITUTE(INDEX(Charge!$C:$C,ROW()),CHAR(160)," "))&amp;" | "&amp;TRIM(SUBSTITUTE(INDEX(Charge!$D:$D,ROW()),CHAR(160)," ")),"~","-"),"*","+"),"?","!"),240),"")</f>
        <v/>
      </c>
      <c r="FG351">
        <f>IF(B351=1,MAX(0,N(INDEX(Charge!$M:$M,ROW()))),0)</f>
        <v>0</v>
      </c>
      <c r="FH351" s="170" t="str">
        <f>IF(EO351=1,ROUND(SUMIF($FF$4:$FF$503,EN351,$FG$4:$FG$503),2),"")</f>
        <v/>
      </c>
      <c r="FI351" s="170" t="str">
        <f>IF(EO351=1,ROUND(SUMPRODUCT(($FF$4:$FF$503=EN351)*$FG$4:$FG$503*$C$4:$C$503),2),"")</f>
        <v/>
      </c>
      <c r="FJ351" s="170" t="str">
        <f>IF(EO351=1,MAX(0,ROUND(FH351-FI351,2)),"")</f>
        <v/>
      </c>
      <c r="FK351" s="174" t="str">
        <f>IF(EO351=1,IF(OR(EW351&gt;=2958465,EY351=0,EY351&lt;=EW351),"",IF(TODAY()&lt;=EW351,0,IF(TODAY()&gt;EY351,1,IFERROR(NETWORKDAYS(EW351,TODAY()-1,Data!$K$4:$K$203)/NETWORKDAYS(EW351,EY351,Data!$K$4:$K$203),"")))),"")</f>
        <v/>
      </c>
      <c r="FL351" t="str">
        <f>IF(EO351=1,IF(AND(EY351&gt;0,EY351&lt;TODAY(),ROUND(EU351,4)&lt;1),2,IF(FK351="",0,IF(ROUND(EU351-FK351,4)&lt;-0.15,1,0))),"")</f>
        <v/>
      </c>
      <c r="FM351">
        <f>IF(OR(FA351="",COUNTIF($FA$4:FA350,FA351)&gt;0),0,MAX(0,IF(FB351="Interne",IF(ISNUMBER(INDEX(Data!$F:$F,351)),INDEX(Data!$F:$F,351),p_HeuresETP),IF(ISNUMBER(INDEX(Data!$I:$I,351-$CD$23)),INDEX(Data!$I:$I,351-$CD$23),p_HeuresETP))-IF(FB351="Interne",IF(ISNUMBER(INDEX(Data!$G:$G,351)),INDEX(Data!$G:$G,351),p_ChargeFixe),IF(ISNUMBER(INDEX(Data!$J:$J,351-$CD$23)),INDEX(Data!$J:$J,351-$CD$23),p_ChargeFixe))))</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9" t="str">
        <f>IF(AND(D352=1,ISNUMBER(INDEX(Charge!$N:$N,ROW()))),INDEX(Charge!$N:$N,ROW()),"")</f>
        <v/>
      </c>
      <c r="J352" s="169"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70">
        <f>IF(OR($I352="",$E352=0),0,IF(OR($J352&lt;W$3,$I352&gt;W$2),0,IF($K352=0,IF(AND($I352&gt;=W$3,$I352&lt;=W$2),$E352,0),$E352*NETWORKDAYS(MAX($I352,W$3),MIN($J352,W$2),Data!$K$4:$K$203)/$K352)))</f>
        <v>0</v>
      </c>
      <c r="X352" s="170">
        <f>IF(OR($I352="",$E352=0),0,IF(OR($J352&lt;X$3,$I352&gt;X$2),0,IF($K352=0,IF(AND($I352&gt;=X$3,$I352&lt;=X$2),$E352,0),$E352*NETWORKDAYS(MAX($I352,X$3),MIN($J352,X$2),Data!$K$4:$K$203)/$K352)))</f>
        <v>0</v>
      </c>
      <c r="Y352" s="170">
        <f>IF(OR($I352="",$E352=0),0,IF(OR($J352&lt;Y$3,$I352&gt;Y$2),0,IF($K352=0,IF(AND($I352&gt;=Y$3,$I352&lt;=Y$2),$E352,0),$E352*NETWORKDAYS(MAX($I352,Y$3),MIN($J352,Y$2),Data!$K$4:$K$203)/$K352)))</f>
        <v>0</v>
      </c>
      <c r="Z352" s="170">
        <f>IF(OR($I352="",$E352=0),0,IF(OR($J352&lt;Z$3,$I352&gt;Z$2),0,IF($K352=0,IF(AND($I352&gt;=Z$3,$I352&lt;=Z$2),$E352,0),$E352*NETWORKDAYS(MAX($I352,Z$3),MIN($J352,Z$2),Data!$K$4:$K$203)/$K352)))</f>
        <v>0</v>
      </c>
      <c r="AA352" s="170">
        <f>IF(OR($I352="",$E352=0),0,IF(OR($J352&lt;AA$3,$I352&gt;AA$2),0,IF($K352=0,IF(AND($I352&gt;=AA$3,$I352&lt;=AA$2),$E352,0),$E352*NETWORKDAYS(MAX($I352,AA$3),MIN($J352,AA$2),Data!$K$4:$K$203)/$K352)))</f>
        <v>0</v>
      </c>
      <c r="AB352" s="170">
        <f>IF(OR($I352="",$E352=0),0,IF(OR($J352&lt;AB$3,$I352&gt;AB$2),0,IF($K352=0,IF(AND($I352&gt;=AB$3,$I352&lt;=AB$2),$E352,0),$E352*NETWORKDAYS(MAX($I352,AB$3),MIN($J352,AB$2),Data!$K$4:$K$203)/$K352)))</f>
        <v>0</v>
      </c>
      <c r="AC352" s="170">
        <f>IF(OR($I352="",$E352=0),0,IF(OR($J352&lt;AC$3,$I352&gt;AC$2),0,IF($K352=0,IF(AND($I352&gt;=AC$3,$I352&lt;=AC$2),$E352,0),$E352*NETWORKDAYS(MAX($I352,AC$3),MIN($J352,AC$2),Data!$K$4:$K$203)/$K352)))</f>
        <v>0</v>
      </c>
      <c r="AD352" s="170">
        <f>IF(OR($I352="",$E352=0),0,IF(OR($J352&lt;AD$3,$I352&gt;AD$2),0,IF($K352=0,IF(AND($I352&gt;=AD$3,$I352&lt;=AD$2),$E352,0),$E352*NETWORKDAYS(MAX($I352,AD$3),MIN($J352,AD$2),Data!$K$4:$K$203)/$K352)))</f>
        <v>0</v>
      </c>
      <c r="AE352" s="170">
        <f>IF(OR($I352="",$E352=0),0,IF(OR($J352&lt;AE$3,$I352&gt;AE$2),0,IF($K352=0,IF(AND($I352&gt;=AE$3,$I352&lt;=AE$2),$E352,0),$E352*NETWORKDAYS(MAX($I352,AE$3),MIN($J352,AE$2),Data!$K$4:$K$203)/$K352)))</f>
        <v>0</v>
      </c>
      <c r="AF352" s="170">
        <f>IF(OR($I352="",$E352=0),0,IF(OR($J352&lt;AF$3,$I352&gt;AF$2),0,IF($K352=0,IF(AND($I352&gt;=AF$3,$I352&lt;=AF$2),$E352,0),$E352*NETWORKDAYS(MAX($I352,AF$3),MIN($J352,AF$2),Data!$K$4:$K$203)/$K352)))</f>
        <v>0</v>
      </c>
      <c r="AG352" s="170">
        <f>IF(OR($I352="",$E352=0),0,IF(OR($J352&lt;AG$3,$I352&gt;AG$2),0,IF($K352=0,IF(AND($I352&gt;=AG$3,$I352&lt;=AG$2),$E352,0),$E352*NETWORKDAYS(MAX($I352,AG$3),MIN($J352,AG$2),Data!$K$4:$K$203)/$K352)))</f>
        <v>0</v>
      </c>
      <c r="AH352" s="170">
        <f>IF(OR($I352="",$E352=0),0,IF(OR($J352&lt;AH$3,$I352&gt;AH$2),0,IF($K352=0,IF(AND($I352&gt;=AH$3,$I352&lt;=AH$2),$E352,0),$E352*NETWORKDAYS(MAX($I352,AH$3),MIN($J352,AH$2),Data!$K$4:$K$203)/$K352)))</f>
        <v>0</v>
      </c>
      <c r="AI352" s="170">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70"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4" t="str">
        <f>IF(EO352=1,IF(FH352&gt;0,FI352/FH352,AVERAGEIF($FF$4:$FF$503,EN352,$C$4:$C$503)),"")</f>
        <v/>
      </c>
      <c r="EV352" s="169">
        <f>IF(ISNUMBER(I352),I352,2958465)</f>
        <v>2958465.0</v>
      </c>
      <c r="EW352" s="169" t="str">
        <f>IF(EO352=1,SUMPRODUCT(MIN(($EN$4:$EN$503=EN352)*$EV$4:$EV$503+($EN$4:$EN$503&lt;&gt;EN352)*2958465)),"")</f>
        <v/>
      </c>
      <c r="EX352" s="169">
        <f>IF(AND(D352=1,ISNUMBER(INDEX(Charge!$F:$F,ROW()))),INDEX(Charge!$F:$F,ROW()),0)</f>
        <v>0.0</v>
      </c>
      <c r="EY352" s="169"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c r="FF352" t="str">
        <f>IF(B352=1,LEFT(SUBSTITUTE(SUBSTITUTE(SUBSTITUTE(TRIM(SUBSTITUTE(INDEX(Charge!$B:$B,ROW()),CHAR(160)," "))&amp;" | "&amp;TRIM(SUBSTITUTE(INDEX(Charge!$C:$C,ROW()),CHAR(160)," "))&amp;" | "&amp;TRIM(SUBSTITUTE(INDEX(Charge!$D:$D,ROW()),CHAR(160)," ")),"~","-"),"*","+"),"?","!"),240),"")</f>
        <v/>
      </c>
      <c r="FG352">
        <f>IF(B352=1,MAX(0,N(INDEX(Charge!$M:$M,ROW()))),0)</f>
        <v>0</v>
      </c>
      <c r="FH352" s="170" t="str">
        <f>IF(EO352=1,ROUND(SUMIF($FF$4:$FF$503,EN352,$FG$4:$FG$503),2),"")</f>
        <v/>
      </c>
      <c r="FI352" s="170" t="str">
        <f>IF(EO352=1,ROUND(SUMPRODUCT(($FF$4:$FF$503=EN352)*$FG$4:$FG$503*$C$4:$C$503),2),"")</f>
        <v/>
      </c>
      <c r="FJ352" s="170" t="str">
        <f>IF(EO352=1,MAX(0,ROUND(FH352-FI352,2)),"")</f>
        <v/>
      </c>
      <c r="FK352" s="174" t="str">
        <f>IF(EO352=1,IF(OR(EW352&gt;=2958465,EY352=0,EY352&lt;=EW352),"",IF(TODAY()&lt;=EW352,0,IF(TODAY()&gt;EY352,1,IFERROR(NETWORKDAYS(EW352,TODAY()-1,Data!$K$4:$K$203)/NETWORKDAYS(EW352,EY352,Data!$K$4:$K$203),"")))),"")</f>
        <v/>
      </c>
      <c r="FL352" t="str">
        <f>IF(EO352=1,IF(AND(EY352&gt;0,EY352&lt;TODAY(),ROUND(EU352,4)&lt;1),2,IF(FK352="",0,IF(ROUND(EU352-FK352,4)&lt;-0.15,1,0))),"")</f>
        <v/>
      </c>
      <c r="FM352">
        <f>IF(OR(FA352="",COUNTIF($FA$4:FA351,FA352)&gt;0),0,MAX(0,IF(FB352="Interne",IF(ISNUMBER(INDEX(Data!$F:$F,352)),INDEX(Data!$F:$F,352),p_HeuresETP),IF(ISNUMBER(INDEX(Data!$I:$I,352-$CD$23)),INDEX(Data!$I:$I,352-$CD$23),p_HeuresETP))-IF(FB352="Interne",IF(ISNUMBER(INDEX(Data!$G:$G,352)),INDEX(Data!$G:$G,352),p_ChargeFixe),IF(ISNUMBER(INDEX(Data!$J:$J,352-$CD$23)),INDEX(Data!$J:$J,352-$CD$23),p_ChargeFixe))))</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9" t="str">
        <f>IF(AND(D353=1,ISNUMBER(INDEX(Charge!$N:$N,ROW()))),INDEX(Charge!$N:$N,ROW()),"")</f>
        <v/>
      </c>
      <c r="J353" s="169"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70">
        <f>IF(OR($I353="",$E353=0),0,IF(OR($J353&lt;W$3,$I353&gt;W$2),0,IF($K353=0,IF(AND($I353&gt;=W$3,$I353&lt;=W$2),$E353,0),$E353*NETWORKDAYS(MAX($I353,W$3),MIN($J353,W$2),Data!$K$4:$K$203)/$K353)))</f>
        <v>0</v>
      </c>
      <c r="X353" s="170">
        <f>IF(OR($I353="",$E353=0),0,IF(OR($J353&lt;X$3,$I353&gt;X$2),0,IF($K353=0,IF(AND($I353&gt;=X$3,$I353&lt;=X$2),$E353,0),$E353*NETWORKDAYS(MAX($I353,X$3),MIN($J353,X$2),Data!$K$4:$K$203)/$K353)))</f>
        <v>0</v>
      </c>
      <c r="Y353" s="170">
        <f>IF(OR($I353="",$E353=0),0,IF(OR($J353&lt;Y$3,$I353&gt;Y$2),0,IF($K353=0,IF(AND($I353&gt;=Y$3,$I353&lt;=Y$2),$E353,0),$E353*NETWORKDAYS(MAX($I353,Y$3),MIN($J353,Y$2),Data!$K$4:$K$203)/$K353)))</f>
        <v>0</v>
      </c>
      <c r="Z353" s="170">
        <f>IF(OR($I353="",$E353=0),0,IF(OR($J353&lt;Z$3,$I353&gt;Z$2),0,IF($K353=0,IF(AND($I353&gt;=Z$3,$I353&lt;=Z$2),$E353,0),$E353*NETWORKDAYS(MAX($I353,Z$3),MIN($J353,Z$2),Data!$K$4:$K$203)/$K353)))</f>
        <v>0</v>
      </c>
      <c r="AA353" s="170">
        <f>IF(OR($I353="",$E353=0),0,IF(OR($J353&lt;AA$3,$I353&gt;AA$2),0,IF($K353=0,IF(AND($I353&gt;=AA$3,$I353&lt;=AA$2),$E353,0),$E353*NETWORKDAYS(MAX($I353,AA$3),MIN($J353,AA$2),Data!$K$4:$K$203)/$K353)))</f>
        <v>0</v>
      </c>
      <c r="AB353" s="170">
        <f>IF(OR($I353="",$E353=0),0,IF(OR($J353&lt;AB$3,$I353&gt;AB$2),0,IF($K353=0,IF(AND($I353&gt;=AB$3,$I353&lt;=AB$2),$E353,0),$E353*NETWORKDAYS(MAX($I353,AB$3),MIN($J353,AB$2),Data!$K$4:$K$203)/$K353)))</f>
        <v>0</v>
      </c>
      <c r="AC353" s="170">
        <f>IF(OR($I353="",$E353=0),0,IF(OR($J353&lt;AC$3,$I353&gt;AC$2),0,IF($K353=0,IF(AND($I353&gt;=AC$3,$I353&lt;=AC$2),$E353,0),$E353*NETWORKDAYS(MAX($I353,AC$3),MIN($J353,AC$2),Data!$K$4:$K$203)/$K353)))</f>
        <v>0</v>
      </c>
      <c r="AD353" s="170">
        <f>IF(OR($I353="",$E353=0),0,IF(OR($J353&lt;AD$3,$I353&gt;AD$2),0,IF($K353=0,IF(AND($I353&gt;=AD$3,$I353&lt;=AD$2),$E353,0),$E353*NETWORKDAYS(MAX($I353,AD$3),MIN($J353,AD$2),Data!$K$4:$K$203)/$K353)))</f>
        <v>0</v>
      </c>
      <c r="AE353" s="170">
        <f>IF(OR($I353="",$E353=0),0,IF(OR($J353&lt;AE$3,$I353&gt;AE$2),0,IF($K353=0,IF(AND($I353&gt;=AE$3,$I353&lt;=AE$2),$E353,0),$E353*NETWORKDAYS(MAX($I353,AE$3),MIN($J353,AE$2),Data!$K$4:$K$203)/$K353)))</f>
        <v>0</v>
      </c>
      <c r="AF353" s="170">
        <f>IF(OR($I353="",$E353=0),0,IF(OR($J353&lt;AF$3,$I353&gt;AF$2),0,IF($K353=0,IF(AND($I353&gt;=AF$3,$I353&lt;=AF$2),$E353,0),$E353*NETWORKDAYS(MAX($I353,AF$3),MIN($J353,AF$2),Data!$K$4:$K$203)/$K353)))</f>
        <v>0</v>
      </c>
      <c r="AG353" s="170">
        <f>IF(OR($I353="",$E353=0),0,IF(OR($J353&lt;AG$3,$I353&gt;AG$2),0,IF($K353=0,IF(AND($I353&gt;=AG$3,$I353&lt;=AG$2),$E353,0),$E353*NETWORKDAYS(MAX($I353,AG$3),MIN($J353,AG$2),Data!$K$4:$K$203)/$K353)))</f>
        <v>0</v>
      </c>
      <c r="AH353" s="170">
        <f>IF(OR($I353="",$E353=0),0,IF(OR($J353&lt;AH$3,$I353&gt;AH$2),0,IF($K353=0,IF(AND($I353&gt;=AH$3,$I353&lt;=AH$2),$E353,0),$E353*NETWORKDAYS(MAX($I353,AH$3),MIN($J353,AH$2),Data!$K$4:$K$203)/$K353)))</f>
        <v>0</v>
      </c>
      <c r="AI353" s="170">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70"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4" t="str">
        <f>IF(EO353=1,IF(FH353&gt;0,FI353/FH353,AVERAGEIF($FF$4:$FF$503,EN353,$C$4:$C$503)),"")</f>
        <v/>
      </c>
      <c r="EV353" s="169">
        <f>IF(ISNUMBER(I353),I353,2958465)</f>
        <v>2958465.0</v>
      </c>
      <c r="EW353" s="169" t="str">
        <f>IF(EO353=1,SUMPRODUCT(MIN(($EN$4:$EN$503=EN353)*$EV$4:$EV$503+($EN$4:$EN$503&lt;&gt;EN353)*2958465)),"")</f>
        <v/>
      </c>
      <c r="EX353" s="169">
        <f>IF(AND(D353=1,ISNUMBER(INDEX(Charge!$F:$F,ROW()))),INDEX(Charge!$F:$F,ROW()),0)</f>
        <v>0.0</v>
      </c>
      <c r="EY353" s="169"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c r="FF353" t="str">
        <f>IF(B353=1,LEFT(SUBSTITUTE(SUBSTITUTE(SUBSTITUTE(TRIM(SUBSTITUTE(INDEX(Charge!$B:$B,ROW()),CHAR(160)," "))&amp;" | "&amp;TRIM(SUBSTITUTE(INDEX(Charge!$C:$C,ROW()),CHAR(160)," "))&amp;" | "&amp;TRIM(SUBSTITUTE(INDEX(Charge!$D:$D,ROW()),CHAR(160)," ")),"~","-"),"*","+"),"?","!"),240),"")</f>
        <v/>
      </c>
      <c r="FG353">
        <f>IF(B353=1,MAX(0,N(INDEX(Charge!$M:$M,ROW()))),0)</f>
        <v>0</v>
      </c>
      <c r="FH353" s="170" t="str">
        <f>IF(EO353=1,ROUND(SUMIF($FF$4:$FF$503,EN353,$FG$4:$FG$503),2),"")</f>
        <v/>
      </c>
      <c r="FI353" s="170" t="str">
        <f>IF(EO353=1,ROUND(SUMPRODUCT(($FF$4:$FF$503=EN353)*$FG$4:$FG$503*$C$4:$C$503),2),"")</f>
        <v/>
      </c>
      <c r="FJ353" s="170" t="str">
        <f>IF(EO353=1,MAX(0,ROUND(FH353-FI353,2)),"")</f>
        <v/>
      </c>
      <c r="FK353" s="174" t="str">
        <f>IF(EO353=1,IF(OR(EW353&gt;=2958465,EY353=0,EY353&lt;=EW353),"",IF(TODAY()&lt;=EW353,0,IF(TODAY()&gt;EY353,1,IFERROR(NETWORKDAYS(EW353,TODAY()-1,Data!$K$4:$K$203)/NETWORKDAYS(EW353,EY353,Data!$K$4:$K$203),"")))),"")</f>
        <v/>
      </c>
      <c r="FL353" t="str">
        <f>IF(EO353=1,IF(AND(EY353&gt;0,EY353&lt;TODAY(),ROUND(EU353,4)&lt;1),2,IF(FK353="",0,IF(ROUND(EU353-FK353,4)&lt;-0.15,1,0))),"")</f>
        <v/>
      </c>
      <c r="FM353">
        <f>IF(OR(FA353="",COUNTIF($FA$4:FA352,FA353)&gt;0),0,MAX(0,IF(FB353="Interne",IF(ISNUMBER(INDEX(Data!$F:$F,353)),INDEX(Data!$F:$F,353),p_HeuresETP),IF(ISNUMBER(INDEX(Data!$I:$I,353-$CD$23)),INDEX(Data!$I:$I,353-$CD$23),p_HeuresETP))-IF(FB353="Interne",IF(ISNUMBER(INDEX(Data!$G:$G,353)),INDEX(Data!$G:$G,353),p_ChargeFixe),IF(ISNUMBER(INDEX(Data!$J:$J,353-$CD$23)),INDEX(Data!$J:$J,353-$CD$23),p_ChargeFixe))))</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9" t="str">
        <f>IF(AND(D354=1,ISNUMBER(INDEX(Charge!$N:$N,ROW()))),INDEX(Charge!$N:$N,ROW()),"")</f>
        <v/>
      </c>
      <c r="J354" s="169"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70">
        <f>IF(OR($I354="",$E354=0),0,IF(OR($J354&lt;W$3,$I354&gt;W$2),0,IF($K354=0,IF(AND($I354&gt;=W$3,$I354&lt;=W$2),$E354,0),$E354*NETWORKDAYS(MAX($I354,W$3),MIN($J354,W$2),Data!$K$4:$K$203)/$K354)))</f>
        <v>0</v>
      </c>
      <c r="X354" s="170">
        <f>IF(OR($I354="",$E354=0),0,IF(OR($J354&lt;X$3,$I354&gt;X$2),0,IF($K354=0,IF(AND($I354&gt;=X$3,$I354&lt;=X$2),$E354,0),$E354*NETWORKDAYS(MAX($I354,X$3),MIN($J354,X$2),Data!$K$4:$K$203)/$K354)))</f>
        <v>0</v>
      </c>
      <c r="Y354" s="170">
        <f>IF(OR($I354="",$E354=0),0,IF(OR($J354&lt;Y$3,$I354&gt;Y$2),0,IF($K354=0,IF(AND($I354&gt;=Y$3,$I354&lt;=Y$2),$E354,0),$E354*NETWORKDAYS(MAX($I354,Y$3),MIN($J354,Y$2),Data!$K$4:$K$203)/$K354)))</f>
        <v>0</v>
      </c>
      <c r="Z354" s="170">
        <f>IF(OR($I354="",$E354=0),0,IF(OR($J354&lt;Z$3,$I354&gt;Z$2),0,IF($K354=0,IF(AND($I354&gt;=Z$3,$I354&lt;=Z$2),$E354,0),$E354*NETWORKDAYS(MAX($I354,Z$3),MIN($J354,Z$2),Data!$K$4:$K$203)/$K354)))</f>
        <v>0</v>
      </c>
      <c r="AA354" s="170">
        <f>IF(OR($I354="",$E354=0),0,IF(OR($J354&lt;AA$3,$I354&gt;AA$2),0,IF($K354=0,IF(AND($I354&gt;=AA$3,$I354&lt;=AA$2),$E354,0),$E354*NETWORKDAYS(MAX($I354,AA$3),MIN($J354,AA$2),Data!$K$4:$K$203)/$K354)))</f>
        <v>0</v>
      </c>
      <c r="AB354" s="170">
        <f>IF(OR($I354="",$E354=0),0,IF(OR($J354&lt;AB$3,$I354&gt;AB$2),0,IF($K354=0,IF(AND($I354&gt;=AB$3,$I354&lt;=AB$2),$E354,0),$E354*NETWORKDAYS(MAX($I354,AB$3),MIN($J354,AB$2),Data!$K$4:$K$203)/$K354)))</f>
        <v>0</v>
      </c>
      <c r="AC354" s="170">
        <f>IF(OR($I354="",$E354=0),0,IF(OR($J354&lt;AC$3,$I354&gt;AC$2),0,IF($K354=0,IF(AND($I354&gt;=AC$3,$I354&lt;=AC$2),$E354,0),$E354*NETWORKDAYS(MAX($I354,AC$3),MIN($J354,AC$2),Data!$K$4:$K$203)/$K354)))</f>
        <v>0</v>
      </c>
      <c r="AD354" s="170">
        <f>IF(OR($I354="",$E354=0),0,IF(OR($J354&lt;AD$3,$I354&gt;AD$2),0,IF($K354=0,IF(AND($I354&gt;=AD$3,$I354&lt;=AD$2),$E354,0),$E354*NETWORKDAYS(MAX($I354,AD$3),MIN($J354,AD$2),Data!$K$4:$K$203)/$K354)))</f>
        <v>0</v>
      </c>
      <c r="AE354" s="170">
        <f>IF(OR($I354="",$E354=0),0,IF(OR($J354&lt;AE$3,$I354&gt;AE$2),0,IF($K354=0,IF(AND($I354&gt;=AE$3,$I354&lt;=AE$2),$E354,0),$E354*NETWORKDAYS(MAX($I354,AE$3),MIN($J354,AE$2),Data!$K$4:$K$203)/$K354)))</f>
        <v>0</v>
      </c>
      <c r="AF354" s="170">
        <f>IF(OR($I354="",$E354=0),0,IF(OR($J354&lt;AF$3,$I354&gt;AF$2),0,IF($K354=0,IF(AND($I354&gt;=AF$3,$I354&lt;=AF$2),$E354,0),$E354*NETWORKDAYS(MAX($I354,AF$3),MIN($J354,AF$2),Data!$K$4:$K$203)/$K354)))</f>
        <v>0</v>
      </c>
      <c r="AG354" s="170">
        <f>IF(OR($I354="",$E354=0),0,IF(OR($J354&lt;AG$3,$I354&gt;AG$2),0,IF($K354=0,IF(AND($I354&gt;=AG$3,$I354&lt;=AG$2),$E354,0),$E354*NETWORKDAYS(MAX($I354,AG$3),MIN($J354,AG$2),Data!$K$4:$K$203)/$K354)))</f>
        <v>0</v>
      </c>
      <c r="AH354" s="170">
        <f>IF(OR($I354="",$E354=0),0,IF(OR($J354&lt;AH$3,$I354&gt;AH$2),0,IF($K354=0,IF(AND($I354&gt;=AH$3,$I354&lt;=AH$2),$E354,0),$E354*NETWORKDAYS(MAX($I354,AH$3),MIN($J354,AH$2),Data!$K$4:$K$203)/$K354)))</f>
        <v>0</v>
      </c>
      <c r="AI354" s="170">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70"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4" t="str">
        <f>IF(EO354=1,IF(FH354&gt;0,FI354/FH354,AVERAGEIF($FF$4:$FF$503,EN354,$C$4:$C$503)),"")</f>
        <v/>
      </c>
      <c r="EV354" s="169">
        <f>IF(ISNUMBER(I354),I354,2958465)</f>
        <v>2958465.0</v>
      </c>
      <c r="EW354" s="169" t="str">
        <f>IF(EO354=1,SUMPRODUCT(MIN(($EN$4:$EN$503=EN354)*$EV$4:$EV$503+($EN$4:$EN$503&lt;&gt;EN354)*2958465)),"")</f>
        <v/>
      </c>
      <c r="EX354" s="169">
        <f>IF(AND(D354=1,ISNUMBER(INDEX(Charge!$F:$F,ROW()))),INDEX(Charge!$F:$F,ROW()),0)</f>
        <v>0.0</v>
      </c>
      <c r="EY354" s="169"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c r="FF354" t="str">
        <f>IF(B354=1,LEFT(SUBSTITUTE(SUBSTITUTE(SUBSTITUTE(TRIM(SUBSTITUTE(INDEX(Charge!$B:$B,ROW()),CHAR(160)," "))&amp;" | "&amp;TRIM(SUBSTITUTE(INDEX(Charge!$C:$C,ROW()),CHAR(160)," "))&amp;" | "&amp;TRIM(SUBSTITUTE(INDEX(Charge!$D:$D,ROW()),CHAR(160)," ")),"~","-"),"*","+"),"?","!"),240),"")</f>
        <v/>
      </c>
      <c r="FG354">
        <f>IF(B354=1,MAX(0,N(INDEX(Charge!$M:$M,ROW()))),0)</f>
        <v>0</v>
      </c>
      <c r="FH354" s="170" t="str">
        <f>IF(EO354=1,ROUND(SUMIF($FF$4:$FF$503,EN354,$FG$4:$FG$503),2),"")</f>
        <v/>
      </c>
      <c r="FI354" s="170" t="str">
        <f>IF(EO354=1,ROUND(SUMPRODUCT(($FF$4:$FF$503=EN354)*$FG$4:$FG$503*$C$4:$C$503),2),"")</f>
        <v/>
      </c>
      <c r="FJ354" s="170" t="str">
        <f>IF(EO354=1,MAX(0,ROUND(FH354-FI354,2)),"")</f>
        <v/>
      </c>
      <c r="FK354" s="174" t="str">
        <f>IF(EO354=1,IF(OR(EW354&gt;=2958465,EY354=0,EY354&lt;=EW354),"",IF(TODAY()&lt;=EW354,0,IF(TODAY()&gt;EY354,1,IFERROR(NETWORKDAYS(EW354,TODAY()-1,Data!$K$4:$K$203)/NETWORKDAYS(EW354,EY354,Data!$K$4:$K$203),"")))),"")</f>
        <v/>
      </c>
      <c r="FL354" t="str">
        <f>IF(EO354=1,IF(AND(EY354&gt;0,EY354&lt;TODAY(),ROUND(EU354,4)&lt;1),2,IF(FK354="",0,IF(ROUND(EU354-FK354,4)&lt;-0.15,1,0))),"")</f>
        <v/>
      </c>
      <c r="FM354">
        <f>IF(OR(FA354="",COUNTIF($FA$4:FA353,FA354)&gt;0),0,MAX(0,IF(FB354="Interne",IF(ISNUMBER(INDEX(Data!$F:$F,354)),INDEX(Data!$F:$F,354),p_HeuresETP),IF(ISNUMBER(INDEX(Data!$I:$I,354-$CD$23)),INDEX(Data!$I:$I,354-$CD$23),p_HeuresETP))-IF(FB354="Interne",IF(ISNUMBER(INDEX(Data!$G:$G,354)),INDEX(Data!$G:$G,354),p_ChargeFixe),IF(ISNUMBER(INDEX(Data!$J:$J,354-$CD$23)),INDEX(Data!$J:$J,354-$CD$23),p_ChargeFixe))))</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9" t="str">
        <f>IF(AND(D355=1,ISNUMBER(INDEX(Charge!$N:$N,ROW()))),INDEX(Charge!$N:$N,ROW()),"")</f>
        <v/>
      </c>
      <c r="J355" s="169"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70">
        <f>IF(OR($I355="",$E355=0),0,IF(OR($J355&lt;W$3,$I355&gt;W$2),0,IF($K355=0,IF(AND($I355&gt;=W$3,$I355&lt;=W$2),$E355,0),$E355*NETWORKDAYS(MAX($I355,W$3),MIN($J355,W$2),Data!$K$4:$K$203)/$K355)))</f>
        <v>0</v>
      </c>
      <c r="X355" s="170">
        <f>IF(OR($I355="",$E355=0),0,IF(OR($J355&lt;X$3,$I355&gt;X$2),0,IF($K355=0,IF(AND($I355&gt;=X$3,$I355&lt;=X$2),$E355,0),$E355*NETWORKDAYS(MAX($I355,X$3),MIN($J355,X$2),Data!$K$4:$K$203)/$K355)))</f>
        <v>0</v>
      </c>
      <c r="Y355" s="170">
        <f>IF(OR($I355="",$E355=0),0,IF(OR($J355&lt;Y$3,$I355&gt;Y$2),0,IF($K355=0,IF(AND($I355&gt;=Y$3,$I355&lt;=Y$2),$E355,0),$E355*NETWORKDAYS(MAX($I355,Y$3),MIN($J355,Y$2),Data!$K$4:$K$203)/$K355)))</f>
        <v>0</v>
      </c>
      <c r="Z355" s="170">
        <f>IF(OR($I355="",$E355=0),0,IF(OR($J355&lt;Z$3,$I355&gt;Z$2),0,IF($K355=0,IF(AND($I355&gt;=Z$3,$I355&lt;=Z$2),$E355,0),$E355*NETWORKDAYS(MAX($I355,Z$3),MIN($J355,Z$2),Data!$K$4:$K$203)/$K355)))</f>
        <v>0</v>
      </c>
      <c r="AA355" s="170">
        <f>IF(OR($I355="",$E355=0),0,IF(OR($J355&lt;AA$3,$I355&gt;AA$2),0,IF($K355=0,IF(AND($I355&gt;=AA$3,$I355&lt;=AA$2),$E355,0),$E355*NETWORKDAYS(MAX($I355,AA$3),MIN($J355,AA$2),Data!$K$4:$K$203)/$K355)))</f>
        <v>0</v>
      </c>
      <c r="AB355" s="170">
        <f>IF(OR($I355="",$E355=0),0,IF(OR($J355&lt;AB$3,$I355&gt;AB$2),0,IF($K355=0,IF(AND($I355&gt;=AB$3,$I355&lt;=AB$2),$E355,0),$E355*NETWORKDAYS(MAX($I355,AB$3),MIN($J355,AB$2),Data!$K$4:$K$203)/$K355)))</f>
        <v>0</v>
      </c>
      <c r="AC355" s="170">
        <f>IF(OR($I355="",$E355=0),0,IF(OR($J355&lt;AC$3,$I355&gt;AC$2),0,IF($K355=0,IF(AND($I355&gt;=AC$3,$I355&lt;=AC$2),$E355,0),$E355*NETWORKDAYS(MAX($I355,AC$3),MIN($J355,AC$2),Data!$K$4:$K$203)/$K355)))</f>
        <v>0</v>
      </c>
      <c r="AD355" s="170">
        <f>IF(OR($I355="",$E355=0),0,IF(OR($J355&lt;AD$3,$I355&gt;AD$2),0,IF($K355=0,IF(AND($I355&gt;=AD$3,$I355&lt;=AD$2),$E355,0),$E355*NETWORKDAYS(MAX($I355,AD$3),MIN($J355,AD$2),Data!$K$4:$K$203)/$K355)))</f>
        <v>0</v>
      </c>
      <c r="AE355" s="170">
        <f>IF(OR($I355="",$E355=0),0,IF(OR($J355&lt;AE$3,$I355&gt;AE$2),0,IF($K355=0,IF(AND($I355&gt;=AE$3,$I355&lt;=AE$2),$E355,0),$E355*NETWORKDAYS(MAX($I355,AE$3),MIN($J355,AE$2),Data!$K$4:$K$203)/$K355)))</f>
        <v>0</v>
      </c>
      <c r="AF355" s="170">
        <f>IF(OR($I355="",$E355=0),0,IF(OR($J355&lt;AF$3,$I355&gt;AF$2),0,IF($K355=0,IF(AND($I355&gt;=AF$3,$I355&lt;=AF$2),$E355,0),$E355*NETWORKDAYS(MAX($I355,AF$3),MIN($J355,AF$2),Data!$K$4:$K$203)/$K355)))</f>
        <v>0</v>
      </c>
      <c r="AG355" s="170">
        <f>IF(OR($I355="",$E355=0),0,IF(OR($J355&lt;AG$3,$I355&gt;AG$2),0,IF($K355=0,IF(AND($I355&gt;=AG$3,$I355&lt;=AG$2),$E355,0),$E355*NETWORKDAYS(MAX($I355,AG$3),MIN($J355,AG$2),Data!$K$4:$K$203)/$K355)))</f>
        <v>0</v>
      </c>
      <c r="AH355" s="170">
        <f>IF(OR($I355="",$E355=0),0,IF(OR($J355&lt;AH$3,$I355&gt;AH$2),0,IF($K355=0,IF(AND($I355&gt;=AH$3,$I355&lt;=AH$2),$E355,0),$E355*NETWORKDAYS(MAX($I355,AH$3),MIN($J355,AH$2),Data!$K$4:$K$203)/$K355)))</f>
        <v>0</v>
      </c>
      <c r="AI355" s="170">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70"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4" t="str">
        <f>IF(EO355=1,IF(FH355&gt;0,FI355/FH355,AVERAGEIF($FF$4:$FF$503,EN355,$C$4:$C$503)),"")</f>
        <v/>
      </c>
      <c r="EV355" s="169">
        <f>IF(ISNUMBER(I355),I355,2958465)</f>
        <v>2958465.0</v>
      </c>
      <c r="EW355" s="169" t="str">
        <f>IF(EO355=1,SUMPRODUCT(MIN(($EN$4:$EN$503=EN355)*$EV$4:$EV$503+($EN$4:$EN$503&lt;&gt;EN355)*2958465)),"")</f>
        <v/>
      </c>
      <c r="EX355" s="169">
        <f>IF(AND(D355=1,ISNUMBER(INDEX(Charge!$F:$F,ROW()))),INDEX(Charge!$F:$F,ROW()),0)</f>
        <v>0.0</v>
      </c>
      <c r="EY355" s="169"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c r="FF355" t="str">
        <f>IF(B355=1,LEFT(SUBSTITUTE(SUBSTITUTE(SUBSTITUTE(TRIM(SUBSTITUTE(INDEX(Charge!$B:$B,ROW()),CHAR(160)," "))&amp;" | "&amp;TRIM(SUBSTITUTE(INDEX(Charge!$C:$C,ROW()),CHAR(160)," "))&amp;" | "&amp;TRIM(SUBSTITUTE(INDEX(Charge!$D:$D,ROW()),CHAR(160)," ")),"~","-"),"*","+"),"?","!"),240),"")</f>
        <v/>
      </c>
      <c r="FG355">
        <f>IF(B355=1,MAX(0,N(INDEX(Charge!$M:$M,ROW()))),0)</f>
        <v>0</v>
      </c>
      <c r="FH355" s="170" t="str">
        <f>IF(EO355=1,ROUND(SUMIF($FF$4:$FF$503,EN355,$FG$4:$FG$503),2),"")</f>
        <v/>
      </c>
      <c r="FI355" s="170" t="str">
        <f>IF(EO355=1,ROUND(SUMPRODUCT(($FF$4:$FF$503=EN355)*$FG$4:$FG$503*$C$4:$C$503),2),"")</f>
        <v/>
      </c>
      <c r="FJ355" s="170" t="str">
        <f>IF(EO355=1,MAX(0,ROUND(FH355-FI355,2)),"")</f>
        <v/>
      </c>
      <c r="FK355" s="174" t="str">
        <f>IF(EO355=1,IF(OR(EW355&gt;=2958465,EY355=0,EY355&lt;=EW355),"",IF(TODAY()&lt;=EW355,0,IF(TODAY()&gt;EY355,1,IFERROR(NETWORKDAYS(EW355,TODAY()-1,Data!$K$4:$K$203)/NETWORKDAYS(EW355,EY355,Data!$K$4:$K$203),"")))),"")</f>
        <v/>
      </c>
      <c r="FL355" t="str">
        <f>IF(EO355=1,IF(AND(EY355&gt;0,EY355&lt;TODAY(),ROUND(EU355,4)&lt;1),2,IF(FK355="",0,IF(ROUND(EU355-FK355,4)&lt;-0.15,1,0))),"")</f>
        <v/>
      </c>
      <c r="FM355">
        <f>IF(OR(FA355="",COUNTIF($FA$4:FA354,FA355)&gt;0),0,MAX(0,IF(FB355="Interne",IF(ISNUMBER(INDEX(Data!$F:$F,355)),INDEX(Data!$F:$F,355),p_HeuresETP),IF(ISNUMBER(INDEX(Data!$I:$I,355-$CD$23)),INDEX(Data!$I:$I,355-$CD$23),p_HeuresETP))-IF(FB355="Interne",IF(ISNUMBER(INDEX(Data!$G:$G,355)),INDEX(Data!$G:$G,355),p_ChargeFixe),IF(ISNUMBER(INDEX(Data!$J:$J,355-$CD$23)),INDEX(Data!$J:$J,355-$CD$23),p_ChargeFixe))))</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9" t="str">
        <f>IF(AND(D356=1,ISNUMBER(INDEX(Charge!$N:$N,ROW()))),INDEX(Charge!$N:$N,ROW()),"")</f>
        <v/>
      </c>
      <c r="J356" s="169"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70">
        <f>IF(OR($I356="",$E356=0),0,IF(OR($J356&lt;W$3,$I356&gt;W$2),0,IF($K356=0,IF(AND($I356&gt;=W$3,$I356&lt;=W$2),$E356,0),$E356*NETWORKDAYS(MAX($I356,W$3),MIN($J356,W$2),Data!$K$4:$K$203)/$K356)))</f>
        <v>0</v>
      </c>
      <c r="X356" s="170">
        <f>IF(OR($I356="",$E356=0),0,IF(OR($J356&lt;X$3,$I356&gt;X$2),0,IF($K356=0,IF(AND($I356&gt;=X$3,$I356&lt;=X$2),$E356,0),$E356*NETWORKDAYS(MAX($I356,X$3),MIN($J356,X$2),Data!$K$4:$K$203)/$K356)))</f>
        <v>0</v>
      </c>
      <c r="Y356" s="170">
        <f>IF(OR($I356="",$E356=0),0,IF(OR($J356&lt;Y$3,$I356&gt;Y$2),0,IF($K356=0,IF(AND($I356&gt;=Y$3,$I356&lt;=Y$2),$E356,0),$E356*NETWORKDAYS(MAX($I356,Y$3),MIN($J356,Y$2),Data!$K$4:$K$203)/$K356)))</f>
        <v>0</v>
      </c>
      <c r="Z356" s="170">
        <f>IF(OR($I356="",$E356=0),0,IF(OR($J356&lt;Z$3,$I356&gt;Z$2),0,IF($K356=0,IF(AND($I356&gt;=Z$3,$I356&lt;=Z$2),$E356,0),$E356*NETWORKDAYS(MAX($I356,Z$3),MIN($J356,Z$2),Data!$K$4:$K$203)/$K356)))</f>
        <v>0</v>
      </c>
      <c r="AA356" s="170">
        <f>IF(OR($I356="",$E356=0),0,IF(OR($J356&lt;AA$3,$I356&gt;AA$2),0,IF($K356=0,IF(AND($I356&gt;=AA$3,$I356&lt;=AA$2),$E356,0),$E356*NETWORKDAYS(MAX($I356,AA$3),MIN($J356,AA$2),Data!$K$4:$K$203)/$K356)))</f>
        <v>0</v>
      </c>
      <c r="AB356" s="170">
        <f>IF(OR($I356="",$E356=0),0,IF(OR($J356&lt;AB$3,$I356&gt;AB$2),0,IF($K356=0,IF(AND($I356&gt;=AB$3,$I356&lt;=AB$2),$E356,0),$E356*NETWORKDAYS(MAX($I356,AB$3),MIN($J356,AB$2),Data!$K$4:$K$203)/$K356)))</f>
        <v>0</v>
      </c>
      <c r="AC356" s="170">
        <f>IF(OR($I356="",$E356=0),0,IF(OR($J356&lt;AC$3,$I356&gt;AC$2),0,IF($K356=0,IF(AND($I356&gt;=AC$3,$I356&lt;=AC$2),$E356,0),$E356*NETWORKDAYS(MAX($I356,AC$3),MIN($J356,AC$2),Data!$K$4:$K$203)/$K356)))</f>
        <v>0</v>
      </c>
      <c r="AD356" s="170">
        <f>IF(OR($I356="",$E356=0),0,IF(OR($J356&lt;AD$3,$I356&gt;AD$2),0,IF($K356=0,IF(AND($I356&gt;=AD$3,$I356&lt;=AD$2),$E356,0),$E356*NETWORKDAYS(MAX($I356,AD$3),MIN($J356,AD$2),Data!$K$4:$K$203)/$K356)))</f>
        <v>0</v>
      </c>
      <c r="AE356" s="170">
        <f>IF(OR($I356="",$E356=0),0,IF(OR($J356&lt;AE$3,$I356&gt;AE$2),0,IF($K356=0,IF(AND($I356&gt;=AE$3,$I356&lt;=AE$2),$E356,0),$E356*NETWORKDAYS(MAX($I356,AE$3),MIN($J356,AE$2),Data!$K$4:$K$203)/$K356)))</f>
        <v>0</v>
      </c>
      <c r="AF356" s="170">
        <f>IF(OR($I356="",$E356=0),0,IF(OR($J356&lt;AF$3,$I356&gt;AF$2),0,IF($K356=0,IF(AND($I356&gt;=AF$3,$I356&lt;=AF$2),$E356,0),$E356*NETWORKDAYS(MAX($I356,AF$3),MIN($J356,AF$2),Data!$K$4:$K$203)/$K356)))</f>
        <v>0</v>
      </c>
      <c r="AG356" s="170">
        <f>IF(OR($I356="",$E356=0),0,IF(OR($J356&lt;AG$3,$I356&gt;AG$2),0,IF($K356=0,IF(AND($I356&gt;=AG$3,$I356&lt;=AG$2),$E356,0),$E356*NETWORKDAYS(MAX($I356,AG$3),MIN($J356,AG$2),Data!$K$4:$K$203)/$K356)))</f>
        <v>0</v>
      </c>
      <c r="AH356" s="170">
        <f>IF(OR($I356="",$E356=0),0,IF(OR($J356&lt;AH$3,$I356&gt;AH$2),0,IF($K356=0,IF(AND($I356&gt;=AH$3,$I356&lt;=AH$2),$E356,0),$E356*NETWORKDAYS(MAX($I356,AH$3),MIN($J356,AH$2),Data!$K$4:$K$203)/$K356)))</f>
        <v>0</v>
      </c>
      <c r="AI356" s="170">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70"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4" t="str">
        <f>IF(EO356=1,IF(FH356&gt;0,FI356/FH356,AVERAGEIF($FF$4:$FF$503,EN356,$C$4:$C$503)),"")</f>
        <v/>
      </c>
      <c r="EV356" s="169">
        <f>IF(ISNUMBER(I356),I356,2958465)</f>
        <v>2958465.0</v>
      </c>
      <c r="EW356" s="169" t="str">
        <f>IF(EO356=1,SUMPRODUCT(MIN(($EN$4:$EN$503=EN356)*$EV$4:$EV$503+($EN$4:$EN$503&lt;&gt;EN356)*2958465)),"")</f>
        <v/>
      </c>
      <c r="EX356" s="169">
        <f>IF(AND(D356=1,ISNUMBER(INDEX(Charge!$F:$F,ROW()))),INDEX(Charge!$F:$F,ROW()),0)</f>
        <v>0.0</v>
      </c>
      <c r="EY356" s="169"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c r="FF356" t="str">
        <f>IF(B356=1,LEFT(SUBSTITUTE(SUBSTITUTE(SUBSTITUTE(TRIM(SUBSTITUTE(INDEX(Charge!$B:$B,ROW()),CHAR(160)," "))&amp;" | "&amp;TRIM(SUBSTITUTE(INDEX(Charge!$C:$C,ROW()),CHAR(160)," "))&amp;" | "&amp;TRIM(SUBSTITUTE(INDEX(Charge!$D:$D,ROW()),CHAR(160)," ")),"~","-"),"*","+"),"?","!"),240),"")</f>
        <v/>
      </c>
      <c r="FG356">
        <f>IF(B356=1,MAX(0,N(INDEX(Charge!$M:$M,ROW()))),0)</f>
        <v>0</v>
      </c>
      <c r="FH356" s="170" t="str">
        <f>IF(EO356=1,ROUND(SUMIF($FF$4:$FF$503,EN356,$FG$4:$FG$503),2),"")</f>
        <v/>
      </c>
      <c r="FI356" s="170" t="str">
        <f>IF(EO356=1,ROUND(SUMPRODUCT(($FF$4:$FF$503=EN356)*$FG$4:$FG$503*$C$4:$C$503),2),"")</f>
        <v/>
      </c>
      <c r="FJ356" s="170" t="str">
        <f>IF(EO356=1,MAX(0,ROUND(FH356-FI356,2)),"")</f>
        <v/>
      </c>
      <c r="FK356" s="174" t="str">
        <f>IF(EO356=1,IF(OR(EW356&gt;=2958465,EY356=0,EY356&lt;=EW356),"",IF(TODAY()&lt;=EW356,0,IF(TODAY()&gt;EY356,1,IFERROR(NETWORKDAYS(EW356,TODAY()-1,Data!$K$4:$K$203)/NETWORKDAYS(EW356,EY356,Data!$K$4:$K$203),"")))),"")</f>
        <v/>
      </c>
      <c r="FL356" t="str">
        <f>IF(EO356=1,IF(AND(EY356&gt;0,EY356&lt;TODAY(),ROUND(EU356,4)&lt;1),2,IF(FK356="",0,IF(ROUND(EU356-FK356,4)&lt;-0.15,1,0))),"")</f>
        <v/>
      </c>
      <c r="FM356">
        <f>IF(OR(FA356="",COUNTIF($FA$4:FA355,FA356)&gt;0),0,MAX(0,IF(FB356="Interne",IF(ISNUMBER(INDEX(Data!$F:$F,356)),INDEX(Data!$F:$F,356),p_HeuresETP),IF(ISNUMBER(INDEX(Data!$I:$I,356-$CD$23)),INDEX(Data!$I:$I,356-$CD$23),p_HeuresETP))-IF(FB356="Interne",IF(ISNUMBER(INDEX(Data!$G:$G,356)),INDEX(Data!$G:$G,356),p_ChargeFixe),IF(ISNUMBER(INDEX(Data!$J:$J,356-$CD$23)),INDEX(Data!$J:$J,356-$CD$23),p_ChargeFixe))))</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9" t="str">
        <f>IF(AND(D357=1,ISNUMBER(INDEX(Charge!$N:$N,ROW()))),INDEX(Charge!$N:$N,ROW()),"")</f>
        <v/>
      </c>
      <c r="J357" s="169"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70">
        <f>IF(OR($I357="",$E357=0),0,IF(OR($J357&lt;W$3,$I357&gt;W$2),0,IF($K357=0,IF(AND($I357&gt;=W$3,$I357&lt;=W$2),$E357,0),$E357*NETWORKDAYS(MAX($I357,W$3),MIN($J357,W$2),Data!$K$4:$K$203)/$K357)))</f>
        <v>0</v>
      </c>
      <c r="X357" s="170">
        <f>IF(OR($I357="",$E357=0),0,IF(OR($J357&lt;X$3,$I357&gt;X$2),0,IF($K357=0,IF(AND($I357&gt;=X$3,$I357&lt;=X$2),$E357,0),$E357*NETWORKDAYS(MAX($I357,X$3),MIN($J357,X$2),Data!$K$4:$K$203)/$K357)))</f>
        <v>0</v>
      </c>
      <c r="Y357" s="170">
        <f>IF(OR($I357="",$E357=0),0,IF(OR($J357&lt;Y$3,$I357&gt;Y$2),0,IF($K357=0,IF(AND($I357&gt;=Y$3,$I357&lt;=Y$2),$E357,0),$E357*NETWORKDAYS(MAX($I357,Y$3),MIN($J357,Y$2),Data!$K$4:$K$203)/$K357)))</f>
        <v>0</v>
      </c>
      <c r="Z357" s="170">
        <f>IF(OR($I357="",$E357=0),0,IF(OR($J357&lt;Z$3,$I357&gt;Z$2),0,IF($K357=0,IF(AND($I357&gt;=Z$3,$I357&lt;=Z$2),$E357,0),$E357*NETWORKDAYS(MAX($I357,Z$3),MIN($J357,Z$2),Data!$K$4:$K$203)/$K357)))</f>
        <v>0</v>
      </c>
      <c r="AA357" s="170">
        <f>IF(OR($I357="",$E357=0),0,IF(OR($J357&lt;AA$3,$I357&gt;AA$2),0,IF($K357=0,IF(AND($I357&gt;=AA$3,$I357&lt;=AA$2),$E357,0),$E357*NETWORKDAYS(MAX($I357,AA$3),MIN($J357,AA$2),Data!$K$4:$K$203)/$K357)))</f>
        <v>0</v>
      </c>
      <c r="AB357" s="170">
        <f>IF(OR($I357="",$E357=0),0,IF(OR($J357&lt;AB$3,$I357&gt;AB$2),0,IF($K357=0,IF(AND($I357&gt;=AB$3,$I357&lt;=AB$2),$E357,0),$E357*NETWORKDAYS(MAX($I357,AB$3),MIN($J357,AB$2),Data!$K$4:$K$203)/$K357)))</f>
        <v>0</v>
      </c>
      <c r="AC357" s="170">
        <f>IF(OR($I357="",$E357=0),0,IF(OR($J357&lt;AC$3,$I357&gt;AC$2),0,IF($K357=0,IF(AND($I357&gt;=AC$3,$I357&lt;=AC$2),$E357,0),$E357*NETWORKDAYS(MAX($I357,AC$3),MIN($J357,AC$2),Data!$K$4:$K$203)/$K357)))</f>
        <v>0</v>
      </c>
      <c r="AD357" s="170">
        <f>IF(OR($I357="",$E357=0),0,IF(OR($J357&lt;AD$3,$I357&gt;AD$2),0,IF($K357=0,IF(AND($I357&gt;=AD$3,$I357&lt;=AD$2),$E357,0),$E357*NETWORKDAYS(MAX($I357,AD$3),MIN($J357,AD$2),Data!$K$4:$K$203)/$K357)))</f>
        <v>0</v>
      </c>
      <c r="AE357" s="170">
        <f>IF(OR($I357="",$E357=0),0,IF(OR($J357&lt;AE$3,$I357&gt;AE$2),0,IF($K357=0,IF(AND($I357&gt;=AE$3,$I357&lt;=AE$2),$E357,0),$E357*NETWORKDAYS(MAX($I357,AE$3),MIN($J357,AE$2),Data!$K$4:$K$203)/$K357)))</f>
        <v>0</v>
      </c>
      <c r="AF357" s="170">
        <f>IF(OR($I357="",$E357=0),0,IF(OR($J357&lt;AF$3,$I357&gt;AF$2),0,IF($K357=0,IF(AND($I357&gt;=AF$3,$I357&lt;=AF$2),$E357,0),$E357*NETWORKDAYS(MAX($I357,AF$3),MIN($J357,AF$2),Data!$K$4:$K$203)/$K357)))</f>
        <v>0</v>
      </c>
      <c r="AG357" s="170">
        <f>IF(OR($I357="",$E357=0),0,IF(OR($J357&lt;AG$3,$I357&gt;AG$2),0,IF($K357=0,IF(AND($I357&gt;=AG$3,$I357&lt;=AG$2),$E357,0),$E357*NETWORKDAYS(MAX($I357,AG$3),MIN($J357,AG$2),Data!$K$4:$K$203)/$K357)))</f>
        <v>0</v>
      </c>
      <c r="AH357" s="170">
        <f>IF(OR($I357="",$E357=0),0,IF(OR($J357&lt;AH$3,$I357&gt;AH$2),0,IF($K357=0,IF(AND($I357&gt;=AH$3,$I357&lt;=AH$2),$E357,0),$E357*NETWORKDAYS(MAX($I357,AH$3),MIN($J357,AH$2),Data!$K$4:$K$203)/$K357)))</f>
        <v>0</v>
      </c>
      <c r="AI357" s="170">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70"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4" t="str">
        <f>IF(EO357=1,IF(FH357&gt;0,FI357/FH357,AVERAGEIF($FF$4:$FF$503,EN357,$C$4:$C$503)),"")</f>
        <v/>
      </c>
      <c r="EV357" s="169">
        <f>IF(ISNUMBER(I357),I357,2958465)</f>
        <v>2958465.0</v>
      </c>
      <c r="EW357" s="169" t="str">
        <f>IF(EO357=1,SUMPRODUCT(MIN(($EN$4:$EN$503=EN357)*$EV$4:$EV$503+($EN$4:$EN$503&lt;&gt;EN357)*2958465)),"")</f>
        <v/>
      </c>
      <c r="EX357" s="169">
        <f>IF(AND(D357=1,ISNUMBER(INDEX(Charge!$F:$F,ROW()))),INDEX(Charge!$F:$F,ROW()),0)</f>
        <v>0.0</v>
      </c>
      <c r="EY357" s="169"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c r="FF357" t="str">
        <f>IF(B357=1,LEFT(SUBSTITUTE(SUBSTITUTE(SUBSTITUTE(TRIM(SUBSTITUTE(INDEX(Charge!$B:$B,ROW()),CHAR(160)," "))&amp;" | "&amp;TRIM(SUBSTITUTE(INDEX(Charge!$C:$C,ROW()),CHAR(160)," "))&amp;" | "&amp;TRIM(SUBSTITUTE(INDEX(Charge!$D:$D,ROW()),CHAR(160)," ")),"~","-"),"*","+"),"?","!"),240),"")</f>
        <v/>
      </c>
      <c r="FG357">
        <f>IF(B357=1,MAX(0,N(INDEX(Charge!$M:$M,ROW()))),0)</f>
        <v>0</v>
      </c>
      <c r="FH357" s="170" t="str">
        <f>IF(EO357=1,ROUND(SUMIF($FF$4:$FF$503,EN357,$FG$4:$FG$503),2),"")</f>
        <v/>
      </c>
      <c r="FI357" s="170" t="str">
        <f>IF(EO357=1,ROUND(SUMPRODUCT(($FF$4:$FF$503=EN357)*$FG$4:$FG$503*$C$4:$C$503),2),"")</f>
        <v/>
      </c>
      <c r="FJ357" s="170" t="str">
        <f>IF(EO357=1,MAX(0,ROUND(FH357-FI357,2)),"")</f>
        <v/>
      </c>
      <c r="FK357" s="174" t="str">
        <f>IF(EO357=1,IF(OR(EW357&gt;=2958465,EY357=0,EY357&lt;=EW357),"",IF(TODAY()&lt;=EW357,0,IF(TODAY()&gt;EY357,1,IFERROR(NETWORKDAYS(EW357,TODAY()-1,Data!$K$4:$K$203)/NETWORKDAYS(EW357,EY357,Data!$K$4:$K$203),"")))),"")</f>
        <v/>
      </c>
      <c r="FL357" t="str">
        <f>IF(EO357=1,IF(AND(EY357&gt;0,EY357&lt;TODAY(),ROUND(EU357,4)&lt;1),2,IF(FK357="",0,IF(ROUND(EU357-FK357,4)&lt;-0.15,1,0))),"")</f>
        <v/>
      </c>
      <c r="FM357">
        <f>IF(OR(FA357="",COUNTIF($FA$4:FA356,FA357)&gt;0),0,MAX(0,IF(FB357="Interne",IF(ISNUMBER(INDEX(Data!$F:$F,357)),INDEX(Data!$F:$F,357),p_HeuresETP),IF(ISNUMBER(INDEX(Data!$I:$I,357-$CD$23)),INDEX(Data!$I:$I,357-$CD$23),p_HeuresETP))-IF(FB357="Interne",IF(ISNUMBER(INDEX(Data!$G:$G,357)),INDEX(Data!$G:$G,357),p_ChargeFixe),IF(ISNUMBER(INDEX(Data!$J:$J,357-$CD$23)),INDEX(Data!$J:$J,357-$CD$23),p_ChargeFixe))))</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9" t="str">
        <f>IF(AND(D358=1,ISNUMBER(INDEX(Charge!$N:$N,ROW()))),INDEX(Charge!$N:$N,ROW()),"")</f>
        <v/>
      </c>
      <c r="J358" s="169"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70">
        <f>IF(OR($I358="",$E358=0),0,IF(OR($J358&lt;W$3,$I358&gt;W$2),0,IF($K358=0,IF(AND($I358&gt;=W$3,$I358&lt;=W$2),$E358,0),$E358*NETWORKDAYS(MAX($I358,W$3),MIN($J358,W$2),Data!$K$4:$K$203)/$K358)))</f>
        <v>0</v>
      </c>
      <c r="X358" s="170">
        <f>IF(OR($I358="",$E358=0),0,IF(OR($J358&lt;X$3,$I358&gt;X$2),0,IF($K358=0,IF(AND($I358&gt;=X$3,$I358&lt;=X$2),$E358,0),$E358*NETWORKDAYS(MAX($I358,X$3),MIN($J358,X$2),Data!$K$4:$K$203)/$K358)))</f>
        <v>0</v>
      </c>
      <c r="Y358" s="170">
        <f>IF(OR($I358="",$E358=0),0,IF(OR($J358&lt;Y$3,$I358&gt;Y$2),0,IF($K358=0,IF(AND($I358&gt;=Y$3,$I358&lt;=Y$2),$E358,0),$E358*NETWORKDAYS(MAX($I358,Y$3),MIN($J358,Y$2),Data!$K$4:$K$203)/$K358)))</f>
        <v>0</v>
      </c>
      <c r="Z358" s="170">
        <f>IF(OR($I358="",$E358=0),0,IF(OR($J358&lt;Z$3,$I358&gt;Z$2),0,IF($K358=0,IF(AND($I358&gt;=Z$3,$I358&lt;=Z$2),$E358,0),$E358*NETWORKDAYS(MAX($I358,Z$3),MIN($J358,Z$2),Data!$K$4:$K$203)/$K358)))</f>
        <v>0</v>
      </c>
      <c r="AA358" s="170">
        <f>IF(OR($I358="",$E358=0),0,IF(OR($J358&lt;AA$3,$I358&gt;AA$2),0,IF($K358=0,IF(AND($I358&gt;=AA$3,$I358&lt;=AA$2),$E358,0),$E358*NETWORKDAYS(MAX($I358,AA$3),MIN($J358,AA$2),Data!$K$4:$K$203)/$K358)))</f>
        <v>0</v>
      </c>
      <c r="AB358" s="170">
        <f>IF(OR($I358="",$E358=0),0,IF(OR($J358&lt;AB$3,$I358&gt;AB$2),0,IF($K358=0,IF(AND($I358&gt;=AB$3,$I358&lt;=AB$2),$E358,0),$E358*NETWORKDAYS(MAX($I358,AB$3),MIN($J358,AB$2),Data!$K$4:$K$203)/$K358)))</f>
        <v>0</v>
      </c>
      <c r="AC358" s="170">
        <f>IF(OR($I358="",$E358=0),0,IF(OR($J358&lt;AC$3,$I358&gt;AC$2),0,IF($K358=0,IF(AND($I358&gt;=AC$3,$I358&lt;=AC$2),$E358,0),$E358*NETWORKDAYS(MAX($I358,AC$3),MIN($J358,AC$2),Data!$K$4:$K$203)/$K358)))</f>
        <v>0</v>
      </c>
      <c r="AD358" s="170">
        <f>IF(OR($I358="",$E358=0),0,IF(OR($J358&lt;AD$3,$I358&gt;AD$2),0,IF($K358=0,IF(AND($I358&gt;=AD$3,$I358&lt;=AD$2),$E358,0),$E358*NETWORKDAYS(MAX($I358,AD$3),MIN($J358,AD$2),Data!$K$4:$K$203)/$K358)))</f>
        <v>0</v>
      </c>
      <c r="AE358" s="170">
        <f>IF(OR($I358="",$E358=0),0,IF(OR($J358&lt;AE$3,$I358&gt;AE$2),0,IF($K358=0,IF(AND($I358&gt;=AE$3,$I358&lt;=AE$2),$E358,0),$E358*NETWORKDAYS(MAX($I358,AE$3),MIN($J358,AE$2),Data!$K$4:$K$203)/$K358)))</f>
        <v>0</v>
      </c>
      <c r="AF358" s="170">
        <f>IF(OR($I358="",$E358=0),0,IF(OR($J358&lt;AF$3,$I358&gt;AF$2),0,IF($K358=0,IF(AND($I358&gt;=AF$3,$I358&lt;=AF$2),$E358,0),$E358*NETWORKDAYS(MAX($I358,AF$3),MIN($J358,AF$2),Data!$K$4:$K$203)/$K358)))</f>
        <v>0</v>
      </c>
      <c r="AG358" s="170">
        <f>IF(OR($I358="",$E358=0),0,IF(OR($J358&lt;AG$3,$I358&gt;AG$2),0,IF($K358=0,IF(AND($I358&gt;=AG$3,$I358&lt;=AG$2),$E358,0),$E358*NETWORKDAYS(MAX($I358,AG$3),MIN($J358,AG$2),Data!$K$4:$K$203)/$K358)))</f>
        <v>0</v>
      </c>
      <c r="AH358" s="170">
        <f>IF(OR($I358="",$E358=0),0,IF(OR($J358&lt;AH$3,$I358&gt;AH$2),0,IF($K358=0,IF(AND($I358&gt;=AH$3,$I358&lt;=AH$2),$E358,0),$E358*NETWORKDAYS(MAX($I358,AH$3),MIN($J358,AH$2),Data!$K$4:$K$203)/$K358)))</f>
        <v>0</v>
      </c>
      <c r="AI358" s="170">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70"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4" t="str">
        <f>IF(EO358=1,IF(FH358&gt;0,FI358/FH358,AVERAGEIF($FF$4:$FF$503,EN358,$C$4:$C$503)),"")</f>
        <v/>
      </c>
      <c r="EV358" s="169">
        <f>IF(ISNUMBER(I358),I358,2958465)</f>
        <v>2958465.0</v>
      </c>
      <c r="EW358" s="169" t="str">
        <f>IF(EO358=1,SUMPRODUCT(MIN(($EN$4:$EN$503=EN358)*$EV$4:$EV$503+($EN$4:$EN$503&lt;&gt;EN358)*2958465)),"")</f>
        <v/>
      </c>
      <c r="EX358" s="169">
        <f>IF(AND(D358=1,ISNUMBER(INDEX(Charge!$F:$F,ROW()))),INDEX(Charge!$F:$F,ROW()),0)</f>
        <v>0.0</v>
      </c>
      <c r="EY358" s="169"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c r="FF358" t="str">
        <f>IF(B358=1,LEFT(SUBSTITUTE(SUBSTITUTE(SUBSTITUTE(TRIM(SUBSTITUTE(INDEX(Charge!$B:$B,ROW()),CHAR(160)," "))&amp;" | "&amp;TRIM(SUBSTITUTE(INDEX(Charge!$C:$C,ROW()),CHAR(160)," "))&amp;" | "&amp;TRIM(SUBSTITUTE(INDEX(Charge!$D:$D,ROW()),CHAR(160)," ")),"~","-"),"*","+"),"?","!"),240),"")</f>
        <v/>
      </c>
      <c r="FG358">
        <f>IF(B358=1,MAX(0,N(INDEX(Charge!$M:$M,ROW()))),0)</f>
        <v>0</v>
      </c>
      <c r="FH358" s="170" t="str">
        <f>IF(EO358=1,ROUND(SUMIF($FF$4:$FF$503,EN358,$FG$4:$FG$503),2),"")</f>
        <v/>
      </c>
      <c r="FI358" s="170" t="str">
        <f>IF(EO358=1,ROUND(SUMPRODUCT(($FF$4:$FF$503=EN358)*$FG$4:$FG$503*$C$4:$C$503),2),"")</f>
        <v/>
      </c>
      <c r="FJ358" s="170" t="str">
        <f>IF(EO358=1,MAX(0,ROUND(FH358-FI358,2)),"")</f>
        <v/>
      </c>
      <c r="FK358" s="174" t="str">
        <f>IF(EO358=1,IF(OR(EW358&gt;=2958465,EY358=0,EY358&lt;=EW358),"",IF(TODAY()&lt;=EW358,0,IF(TODAY()&gt;EY358,1,IFERROR(NETWORKDAYS(EW358,TODAY()-1,Data!$K$4:$K$203)/NETWORKDAYS(EW358,EY358,Data!$K$4:$K$203),"")))),"")</f>
        <v/>
      </c>
      <c r="FL358" t="str">
        <f>IF(EO358=1,IF(AND(EY358&gt;0,EY358&lt;TODAY(),ROUND(EU358,4)&lt;1),2,IF(FK358="",0,IF(ROUND(EU358-FK358,4)&lt;-0.15,1,0))),"")</f>
        <v/>
      </c>
      <c r="FM358">
        <f>IF(OR(FA358="",COUNTIF($FA$4:FA357,FA358)&gt;0),0,MAX(0,IF(FB358="Interne",IF(ISNUMBER(INDEX(Data!$F:$F,358)),INDEX(Data!$F:$F,358),p_HeuresETP),IF(ISNUMBER(INDEX(Data!$I:$I,358-$CD$23)),INDEX(Data!$I:$I,358-$CD$23),p_HeuresETP))-IF(FB358="Interne",IF(ISNUMBER(INDEX(Data!$G:$G,358)),INDEX(Data!$G:$G,358),p_ChargeFixe),IF(ISNUMBER(INDEX(Data!$J:$J,358-$CD$23)),INDEX(Data!$J:$J,358-$CD$23),p_ChargeFixe))))</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9" t="str">
        <f>IF(AND(D359=1,ISNUMBER(INDEX(Charge!$N:$N,ROW()))),INDEX(Charge!$N:$N,ROW()),"")</f>
        <v/>
      </c>
      <c r="J359" s="169"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70">
        <f>IF(OR($I359="",$E359=0),0,IF(OR($J359&lt;W$3,$I359&gt;W$2),0,IF($K359=0,IF(AND($I359&gt;=W$3,$I359&lt;=W$2),$E359,0),$E359*NETWORKDAYS(MAX($I359,W$3),MIN($J359,W$2),Data!$K$4:$K$203)/$K359)))</f>
        <v>0</v>
      </c>
      <c r="X359" s="170">
        <f>IF(OR($I359="",$E359=0),0,IF(OR($J359&lt;X$3,$I359&gt;X$2),0,IF($K359=0,IF(AND($I359&gt;=X$3,$I359&lt;=X$2),$E359,0),$E359*NETWORKDAYS(MAX($I359,X$3),MIN($J359,X$2),Data!$K$4:$K$203)/$K359)))</f>
        <v>0</v>
      </c>
      <c r="Y359" s="170">
        <f>IF(OR($I359="",$E359=0),0,IF(OR($J359&lt;Y$3,$I359&gt;Y$2),0,IF($K359=0,IF(AND($I359&gt;=Y$3,$I359&lt;=Y$2),$E359,0),$E359*NETWORKDAYS(MAX($I359,Y$3),MIN($J359,Y$2),Data!$K$4:$K$203)/$K359)))</f>
        <v>0</v>
      </c>
      <c r="Z359" s="170">
        <f>IF(OR($I359="",$E359=0),0,IF(OR($J359&lt;Z$3,$I359&gt;Z$2),0,IF($K359=0,IF(AND($I359&gt;=Z$3,$I359&lt;=Z$2),$E359,0),$E359*NETWORKDAYS(MAX($I359,Z$3),MIN($J359,Z$2),Data!$K$4:$K$203)/$K359)))</f>
        <v>0</v>
      </c>
      <c r="AA359" s="170">
        <f>IF(OR($I359="",$E359=0),0,IF(OR($J359&lt;AA$3,$I359&gt;AA$2),0,IF($K359=0,IF(AND($I359&gt;=AA$3,$I359&lt;=AA$2),$E359,0),$E359*NETWORKDAYS(MAX($I359,AA$3),MIN($J359,AA$2),Data!$K$4:$K$203)/$K359)))</f>
        <v>0</v>
      </c>
      <c r="AB359" s="170">
        <f>IF(OR($I359="",$E359=0),0,IF(OR($J359&lt;AB$3,$I359&gt;AB$2),0,IF($K359=0,IF(AND($I359&gt;=AB$3,$I359&lt;=AB$2),$E359,0),$E359*NETWORKDAYS(MAX($I359,AB$3),MIN($J359,AB$2),Data!$K$4:$K$203)/$K359)))</f>
        <v>0</v>
      </c>
      <c r="AC359" s="170">
        <f>IF(OR($I359="",$E359=0),0,IF(OR($J359&lt;AC$3,$I359&gt;AC$2),0,IF($K359=0,IF(AND($I359&gt;=AC$3,$I359&lt;=AC$2),$E359,0),$E359*NETWORKDAYS(MAX($I359,AC$3),MIN($J359,AC$2),Data!$K$4:$K$203)/$K359)))</f>
        <v>0</v>
      </c>
      <c r="AD359" s="170">
        <f>IF(OR($I359="",$E359=0),0,IF(OR($J359&lt;AD$3,$I359&gt;AD$2),0,IF($K359=0,IF(AND($I359&gt;=AD$3,$I359&lt;=AD$2),$E359,0),$E359*NETWORKDAYS(MAX($I359,AD$3),MIN($J359,AD$2),Data!$K$4:$K$203)/$K359)))</f>
        <v>0</v>
      </c>
      <c r="AE359" s="170">
        <f>IF(OR($I359="",$E359=0),0,IF(OR($J359&lt;AE$3,$I359&gt;AE$2),0,IF($K359=0,IF(AND($I359&gt;=AE$3,$I359&lt;=AE$2),$E359,0),$E359*NETWORKDAYS(MAX($I359,AE$3),MIN($J359,AE$2),Data!$K$4:$K$203)/$K359)))</f>
        <v>0</v>
      </c>
      <c r="AF359" s="170">
        <f>IF(OR($I359="",$E359=0),0,IF(OR($J359&lt;AF$3,$I359&gt;AF$2),0,IF($K359=0,IF(AND($I359&gt;=AF$3,$I359&lt;=AF$2),$E359,0),$E359*NETWORKDAYS(MAX($I359,AF$3),MIN($J359,AF$2),Data!$K$4:$K$203)/$K359)))</f>
        <v>0</v>
      </c>
      <c r="AG359" s="170">
        <f>IF(OR($I359="",$E359=0),0,IF(OR($J359&lt;AG$3,$I359&gt;AG$2),0,IF($K359=0,IF(AND($I359&gt;=AG$3,$I359&lt;=AG$2),$E359,0),$E359*NETWORKDAYS(MAX($I359,AG$3),MIN($J359,AG$2),Data!$K$4:$K$203)/$K359)))</f>
        <v>0</v>
      </c>
      <c r="AH359" s="170">
        <f>IF(OR($I359="",$E359=0),0,IF(OR($J359&lt;AH$3,$I359&gt;AH$2),0,IF($K359=0,IF(AND($I359&gt;=AH$3,$I359&lt;=AH$2),$E359,0),$E359*NETWORKDAYS(MAX($I359,AH$3),MIN($J359,AH$2),Data!$K$4:$K$203)/$K359)))</f>
        <v>0</v>
      </c>
      <c r="AI359" s="170">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70"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4" t="str">
        <f>IF(EO359=1,IF(FH359&gt;0,FI359/FH359,AVERAGEIF($FF$4:$FF$503,EN359,$C$4:$C$503)),"")</f>
        <v/>
      </c>
      <c r="EV359" s="169">
        <f>IF(ISNUMBER(I359),I359,2958465)</f>
        <v>2958465.0</v>
      </c>
      <c r="EW359" s="169" t="str">
        <f>IF(EO359=1,SUMPRODUCT(MIN(($EN$4:$EN$503=EN359)*$EV$4:$EV$503+($EN$4:$EN$503&lt;&gt;EN359)*2958465)),"")</f>
        <v/>
      </c>
      <c r="EX359" s="169">
        <f>IF(AND(D359=1,ISNUMBER(INDEX(Charge!$F:$F,ROW()))),INDEX(Charge!$F:$F,ROW()),0)</f>
        <v>0.0</v>
      </c>
      <c r="EY359" s="169"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c r="FF359" t="str">
        <f>IF(B359=1,LEFT(SUBSTITUTE(SUBSTITUTE(SUBSTITUTE(TRIM(SUBSTITUTE(INDEX(Charge!$B:$B,ROW()),CHAR(160)," "))&amp;" | "&amp;TRIM(SUBSTITUTE(INDEX(Charge!$C:$C,ROW()),CHAR(160)," "))&amp;" | "&amp;TRIM(SUBSTITUTE(INDEX(Charge!$D:$D,ROW()),CHAR(160)," ")),"~","-"),"*","+"),"?","!"),240),"")</f>
        <v/>
      </c>
      <c r="FG359">
        <f>IF(B359=1,MAX(0,N(INDEX(Charge!$M:$M,ROW()))),0)</f>
        <v>0</v>
      </c>
      <c r="FH359" s="170" t="str">
        <f>IF(EO359=1,ROUND(SUMIF($FF$4:$FF$503,EN359,$FG$4:$FG$503),2),"")</f>
        <v/>
      </c>
      <c r="FI359" s="170" t="str">
        <f>IF(EO359=1,ROUND(SUMPRODUCT(($FF$4:$FF$503=EN359)*$FG$4:$FG$503*$C$4:$C$503),2),"")</f>
        <v/>
      </c>
      <c r="FJ359" s="170" t="str">
        <f>IF(EO359=1,MAX(0,ROUND(FH359-FI359,2)),"")</f>
        <v/>
      </c>
      <c r="FK359" s="174" t="str">
        <f>IF(EO359=1,IF(OR(EW359&gt;=2958465,EY359=0,EY359&lt;=EW359),"",IF(TODAY()&lt;=EW359,0,IF(TODAY()&gt;EY359,1,IFERROR(NETWORKDAYS(EW359,TODAY()-1,Data!$K$4:$K$203)/NETWORKDAYS(EW359,EY359,Data!$K$4:$K$203),"")))),"")</f>
        <v/>
      </c>
      <c r="FL359" t="str">
        <f>IF(EO359=1,IF(AND(EY359&gt;0,EY359&lt;TODAY(),ROUND(EU359,4)&lt;1),2,IF(FK359="",0,IF(ROUND(EU359-FK359,4)&lt;-0.15,1,0))),"")</f>
        <v/>
      </c>
      <c r="FM359">
        <f>IF(OR(FA359="",COUNTIF($FA$4:FA358,FA359)&gt;0),0,MAX(0,IF(FB359="Interne",IF(ISNUMBER(INDEX(Data!$F:$F,359)),INDEX(Data!$F:$F,359),p_HeuresETP),IF(ISNUMBER(INDEX(Data!$I:$I,359-$CD$23)),INDEX(Data!$I:$I,359-$CD$23),p_HeuresETP))-IF(FB359="Interne",IF(ISNUMBER(INDEX(Data!$G:$G,359)),INDEX(Data!$G:$G,359),p_ChargeFixe),IF(ISNUMBER(INDEX(Data!$J:$J,359-$CD$23)),INDEX(Data!$J:$J,359-$CD$23),p_ChargeFixe))))</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9" t="str">
        <f>IF(AND(D360=1,ISNUMBER(INDEX(Charge!$N:$N,ROW()))),INDEX(Charge!$N:$N,ROW()),"")</f>
        <v/>
      </c>
      <c r="J360" s="169"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70">
        <f>IF(OR($I360="",$E360=0),0,IF(OR($J360&lt;W$3,$I360&gt;W$2),0,IF($K360=0,IF(AND($I360&gt;=W$3,$I360&lt;=W$2),$E360,0),$E360*NETWORKDAYS(MAX($I360,W$3),MIN($J360,W$2),Data!$K$4:$K$203)/$K360)))</f>
        <v>0</v>
      </c>
      <c r="X360" s="170">
        <f>IF(OR($I360="",$E360=0),0,IF(OR($J360&lt;X$3,$I360&gt;X$2),0,IF($K360=0,IF(AND($I360&gt;=X$3,$I360&lt;=X$2),$E360,0),$E360*NETWORKDAYS(MAX($I360,X$3),MIN($J360,X$2),Data!$K$4:$K$203)/$K360)))</f>
        <v>0</v>
      </c>
      <c r="Y360" s="170">
        <f>IF(OR($I360="",$E360=0),0,IF(OR($J360&lt;Y$3,$I360&gt;Y$2),0,IF($K360=0,IF(AND($I360&gt;=Y$3,$I360&lt;=Y$2),$E360,0),$E360*NETWORKDAYS(MAX($I360,Y$3),MIN($J360,Y$2),Data!$K$4:$K$203)/$K360)))</f>
        <v>0</v>
      </c>
      <c r="Z360" s="170">
        <f>IF(OR($I360="",$E360=0),0,IF(OR($J360&lt;Z$3,$I360&gt;Z$2),0,IF($K360=0,IF(AND($I360&gt;=Z$3,$I360&lt;=Z$2),$E360,0),$E360*NETWORKDAYS(MAX($I360,Z$3),MIN($J360,Z$2),Data!$K$4:$K$203)/$K360)))</f>
        <v>0</v>
      </c>
      <c r="AA360" s="170">
        <f>IF(OR($I360="",$E360=0),0,IF(OR($J360&lt;AA$3,$I360&gt;AA$2),0,IF($K360=0,IF(AND($I360&gt;=AA$3,$I360&lt;=AA$2),$E360,0),$E360*NETWORKDAYS(MAX($I360,AA$3),MIN($J360,AA$2),Data!$K$4:$K$203)/$K360)))</f>
        <v>0</v>
      </c>
      <c r="AB360" s="170">
        <f>IF(OR($I360="",$E360=0),0,IF(OR($J360&lt;AB$3,$I360&gt;AB$2),0,IF($K360=0,IF(AND($I360&gt;=AB$3,$I360&lt;=AB$2),$E360,0),$E360*NETWORKDAYS(MAX($I360,AB$3),MIN($J360,AB$2),Data!$K$4:$K$203)/$K360)))</f>
        <v>0</v>
      </c>
      <c r="AC360" s="170">
        <f>IF(OR($I360="",$E360=0),0,IF(OR($J360&lt;AC$3,$I360&gt;AC$2),0,IF($K360=0,IF(AND($I360&gt;=AC$3,$I360&lt;=AC$2),$E360,0),$E360*NETWORKDAYS(MAX($I360,AC$3),MIN($J360,AC$2),Data!$K$4:$K$203)/$K360)))</f>
        <v>0</v>
      </c>
      <c r="AD360" s="170">
        <f>IF(OR($I360="",$E360=0),0,IF(OR($J360&lt;AD$3,$I360&gt;AD$2),0,IF($K360=0,IF(AND($I360&gt;=AD$3,$I360&lt;=AD$2),$E360,0),$E360*NETWORKDAYS(MAX($I360,AD$3),MIN($J360,AD$2),Data!$K$4:$K$203)/$K360)))</f>
        <v>0</v>
      </c>
      <c r="AE360" s="170">
        <f>IF(OR($I360="",$E360=0),0,IF(OR($J360&lt;AE$3,$I360&gt;AE$2),0,IF($K360=0,IF(AND($I360&gt;=AE$3,$I360&lt;=AE$2),$E360,0),$E360*NETWORKDAYS(MAX($I360,AE$3),MIN($J360,AE$2),Data!$K$4:$K$203)/$K360)))</f>
        <v>0</v>
      </c>
      <c r="AF360" s="170">
        <f>IF(OR($I360="",$E360=0),0,IF(OR($J360&lt;AF$3,$I360&gt;AF$2),0,IF($K360=0,IF(AND($I360&gt;=AF$3,$I360&lt;=AF$2),$E360,0),$E360*NETWORKDAYS(MAX($I360,AF$3),MIN($J360,AF$2),Data!$K$4:$K$203)/$K360)))</f>
        <v>0</v>
      </c>
      <c r="AG360" s="170">
        <f>IF(OR($I360="",$E360=0),0,IF(OR($J360&lt;AG$3,$I360&gt;AG$2),0,IF($K360=0,IF(AND($I360&gt;=AG$3,$I360&lt;=AG$2),$E360,0),$E360*NETWORKDAYS(MAX($I360,AG$3),MIN($J360,AG$2),Data!$K$4:$K$203)/$K360)))</f>
        <v>0</v>
      </c>
      <c r="AH360" s="170">
        <f>IF(OR($I360="",$E360=0),0,IF(OR($J360&lt;AH$3,$I360&gt;AH$2),0,IF($K360=0,IF(AND($I360&gt;=AH$3,$I360&lt;=AH$2),$E360,0),$E360*NETWORKDAYS(MAX($I360,AH$3),MIN($J360,AH$2),Data!$K$4:$K$203)/$K360)))</f>
        <v>0</v>
      </c>
      <c r="AI360" s="170">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70"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4" t="str">
        <f>IF(EO360=1,IF(FH360&gt;0,FI360/FH360,AVERAGEIF($FF$4:$FF$503,EN360,$C$4:$C$503)),"")</f>
        <v/>
      </c>
      <c r="EV360" s="169">
        <f>IF(ISNUMBER(I360),I360,2958465)</f>
        <v>2958465.0</v>
      </c>
      <c r="EW360" s="169" t="str">
        <f>IF(EO360=1,SUMPRODUCT(MIN(($EN$4:$EN$503=EN360)*$EV$4:$EV$503+($EN$4:$EN$503&lt;&gt;EN360)*2958465)),"")</f>
        <v/>
      </c>
      <c r="EX360" s="169">
        <f>IF(AND(D360=1,ISNUMBER(INDEX(Charge!$F:$F,ROW()))),INDEX(Charge!$F:$F,ROW()),0)</f>
        <v>0.0</v>
      </c>
      <c r="EY360" s="169"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c r="FF360" t="str">
        <f>IF(B360=1,LEFT(SUBSTITUTE(SUBSTITUTE(SUBSTITUTE(TRIM(SUBSTITUTE(INDEX(Charge!$B:$B,ROW()),CHAR(160)," "))&amp;" | "&amp;TRIM(SUBSTITUTE(INDEX(Charge!$C:$C,ROW()),CHAR(160)," "))&amp;" | "&amp;TRIM(SUBSTITUTE(INDEX(Charge!$D:$D,ROW()),CHAR(160)," ")),"~","-"),"*","+"),"?","!"),240),"")</f>
        <v/>
      </c>
      <c r="FG360">
        <f>IF(B360=1,MAX(0,N(INDEX(Charge!$M:$M,ROW()))),0)</f>
        <v>0</v>
      </c>
      <c r="FH360" s="170" t="str">
        <f>IF(EO360=1,ROUND(SUMIF($FF$4:$FF$503,EN360,$FG$4:$FG$503),2),"")</f>
        <v/>
      </c>
      <c r="FI360" s="170" t="str">
        <f>IF(EO360=1,ROUND(SUMPRODUCT(($FF$4:$FF$503=EN360)*$FG$4:$FG$503*$C$4:$C$503),2),"")</f>
        <v/>
      </c>
      <c r="FJ360" s="170" t="str">
        <f>IF(EO360=1,MAX(0,ROUND(FH360-FI360,2)),"")</f>
        <v/>
      </c>
      <c r="FK360" s="174" t="str">
        <f>IF(EO360=1,IF(OR(EW360&gt;=2958465,EY360=0,EY360&lt;=EW360),"",IF(TODAY()&lt;=EW360,0,IF(TODAY()&gt;EY360,1,IFERROR(NETWORKDAYS(EW360,TODAY()-1,Data!$K$4:$K$203)/NETWORKDAYS(EW360,EY360,Data!$K$4:$K$203),"")))),"")</f>
        <v/>
      </c>
      <c r="FL360" t="str">
        <f>IF(EO360=1,IF(AND(EY360&gt;0,EY360&lt;TODAY(),ROUND(EU360,4)&lt;1),2,IF(FK360="",0,IF(ROUND(EU360-FK360,4)&lt;-0.15,1,0))),"")</f>
        <v/>
      </c>
      <c r="FM360">
        <f>IF(OR(FA360="",COUNTIF($FA$4:FA359,FA360)&gt;0),0,MAX(0,IF(FB360="Interne",IF(ISNUMBER(INDEX(Data!$F:$F,360)),INDEX(Data!$F:$F,360),p_HeuresETP),IF(ISNUMBER(INDEX(Data!$I:$I,360-$CD$23)),INDEX(Data!$I:$I,360-$CD$23),p_HeuresETP))-IF(FB360="Interne",IF(ISNUMBER(INDEX(Data!$G:$G,360)),INDEX(Data!$G:$G,360),p_ChargeFixe),IF(ISNUMBER(INDEX(Data!$J:$J,360-$CD$23)),INDEX(Data!$J:$J,360-$CD$23),p_ChargeFixe))))</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9" t="str">
        <f>IF(AND(D361=1,ISNUMBER(INDEX(Charge!$N:$N,ROW()))),INDEX(Charge!$N:$N,ROW()),"")</f>
        <v/>
      </c>
      <c r="J361" s="169"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70">
        <f>IF(OR($I361="",$E361=0),0,IF(OR($J361&lt;W$3,$I361&gt;W$2),0,IF($K361=0,IF(AND($I361&gt;=W$3,$I361&lt;=W$2),$E361,0),$E361*NETWORKDAYS(MAX($I361,W$3),MIN($J361,W$2),Data!$K$4:$K$203)/$K361)))</f>
        <v>0</v>
      </c>
      <c r="X361" s="170">
        <f>IF(OR($I361="",$E361=0),0,IF(OR($J361&lt;X$3,$I361&gt;X$2),0,IF($K361=0,IF(AND($I361&gt;=X$3,$I361&lt;=X$2),$E361,0),$E361*NETWORKDAYS(MAX($I361,X$3),MIN($J361,X$2),Data!$K$4:$K$203)/$K361)))</f>
        <v>0</v>
      </c>
      <c r="Y361" s="170">
        <f>IF(OR($I361="",$E361=0),0,IF(OR($J361&lt;Y$3,$I361&gt;Y$2),0,IF($K361=0,IF(AND($I361&gt;=Y$3,$I361&lt;=Y$2),$E361,0),$E361*NETWORKDAYS(MAX($I361,Y$3),MIN($J361,Y$2),Data!$K$4:$K$203)/$K361)))</f>
        <v>0</v>
      </c>
      <c r="Z361" s="170">
        <f>IF(OR($I361="",$E361=0),0,IF(OR($J361&lt;Z$3,$I361&gt;Z$2),0,IF($K361=0,IF(AND($I361&gt;=Z$3,$I361&lt;=Z$2),$E361,0),$E361*NETWORKDAYS(MAX($I361,Z$3),MIN($J361,Z$2),Data!$K$4:$K$203)/$K361)))</f>
        <v>0</v>
      </c>
      <c r="AA361" s="170">
        <f>IF(OR($I361="",$E361=0),0,IF(OR($J361&lt;AA$3,$I361&gt;AA$2),0,IF($K361=0,IF(AND($I361&gt;=AA$3,$I361&lt;=AA$2),$E361,0),$E361*NETWORKDAYS(MAX($I361,AA$3),MIN($J361,AA$2),Data!$K$4:$K$203)/$K361)))</f>
        <v>0</v>
      </c>
      <c r="AB361" s="170">
        <f>IF(OR($I361="",$E361=0),0,IF(OR($J361&lt;AB$3,$I361&gt;AB$2),0,IF($K361=0,IF(AND($I361&gt;=AB$3,$I361&lt;=AB$2),$E361,0),$E361*NETWORKDAYS(MAX($I361,AB$3),MIN($J361,AB$2),Data!$K$4:$K$203)/$K361)))</f>
        <v>0</v>
      </c>
      <c r="AC361" s="170">
        <f>IF(OR($I361="",$E361=0),0,IF(OR($J361&lt;AC$3,$I361&gt;AC$2),0,IF($K361=0,IF(AND($I361&gt;=AC$3,$I361&lt;=AC$2),$E361,0),$E361*NETWORKDAYS(MAX($I361,AC$3),MIN($J361,AC$2),Data!$K$4:$K$203)/$K361)))</f>
        <v>0</v>
      </c>
      <c r="AD361" s="170">
        <f>IF(OR($I361="",$E361=0),0,IF(OR($J361&lt;AD$3,$I361&gt;AD$2),0,IF($K361=0,IF(AND($I361&gt;=AD$3,$I361&lt;=AD$2),$E361,0),$E361*NETWORKDAYS(MAX($I361,AD$3),MIN($J361,AD$2),Data!$K$4:$K$203)/$K361)))</f>
        <v>0</v>
      </c>
      <c r="AE361" s="170">
        <f>IF(OR($I361="",$E361=0),0,IF(OR($J361&lt;AE$3,$I361&gt;AE$2),0,IF($K361=0,IF(AND($I361&gt;=AE$3,$I361&lt;=AE$2),$E361,0),$E361*NETWORKDAYS(MAX($I361,AE$3),MIN($J361,AE$2),Data!$K$4:$K$203)/$K361)))</f>
        <v>0</v>
      </c>
      <c r="AF361" s="170">
        <f>IF(OR($I361="",$E361=0),0,IF(OR($J361&lt;AF$3,$I361&gt;AF$2),0,IF($K361=0,IF(AND($I361&gt;=AF$3,$I361&lt;=AF$2),$E361,0),$E361*NETWORKDAYS(MAX($I361,AF$3),MIN($J361,AF$2),Data!$K$4:$K$203)/$K361)))</f>
        <v>0</v>
      </c>
      <c r="AG361" s="170">
        <f>IF(OR($I361="",$E361=0),0,IF(OR($J361&lt;AG$3,$I361&gt;AG$2),0,IF($K361=0,IF(AND($I361&gt;=AG$3,$I361&lt;=AG$2),$E361,0),$E361*NETWORKDAYS(MAX($I361,AG$3),MIN($J361,AG$2),Data!$K$4:$K$203)/$K361)))</f>
        <v>0</v>
      </c>
      <c r="AH361" s="170">
        <f>IF(OR($I361="",$E361=0),0,IF(OR($J361&lt;AH$3,$I361&gt;AH$2),0,IF($K361=0,IF(AND($I361&gt;=AH$3,$I361&lt;=AH$2),$E361,0),$E361*NETWORKDAYS(MAX($I361,AH$3),MIN($J361,AH$2),Data!$K$4:$K$203)/$K361)))</f>
        <v>0</v>
      </c>
      <c r="AI361" s="170">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70"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4" t="str">
        <f>IF(EO361=1,IF(FH361&gt;0,FI361/FH361,AVERAGEIF($FF$4:$FF$503,EN361,$C$4:$C$503)),"")</f>
        <v/>
      </c>
      <c r="EV361" s="169">
        <f>IF(ISNUMBER(I361),I361,2958465)</f>
        <v>2958465.0</v>
      </c>
      <c r="EW361" s="169" t="str">
        <f>IF(EO361=1,SUMPRODUCT(MIN(($EN$4:$EN$503=EN361)*$EV$4:$EV$503+($EN$4:$EN$503&lt;&gt;EN361)*2958465)),"")</f>
        <v/>
      </c>
      <c r="EX361" s="169">
        <f>IF(AND(D361=1,ISNUMBER(INDEX(Charge!$F:$F,ROW()))),INDEX(Charge!$F:$F,ROW()),0)</f>
        <v>0.0</v>
      </c>
      <c r="EY361" s="169"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c r="FF361" t="str">
        <f>IF(B361=1,LEFT(SUBSTITUTE(SUBSTITUTE(SUBSTITUTE(TRIM(SUBSTITUTE(INDEX(Charge!$B:$B,ROW()),CHAR(160)," "))&amp;" | "&amp;TRIM(SUBSTITUTE(INDEX(Charge!$C:$C,ROW()),CHAR(160)," "))&amp;" | "&amp;TRIM(SUBSTITUTE(INDEX(Charge!$D:$D,ROW()),CHAR(160)," ")),"~","-"),"*","+"),"?","!"),240),"")</f>
        <v/>
      </c>
      <c r="FG361">
        <f>IF(B361=1,MAX(0,N(INDEX(Charge!$M:$M,ROW()))),0)</f>
        <v>0</v>
      </c>
      <c r="FH361" s="170" t="str">
        <f>IF(EO361=1,ROUND(SUMIF($FF$4:$FF$503,EN361,$FG$4:$FG$503),2),"")</f>
        <v/>
      </c>
      <c r="FI361" s="170" t="str">
        <f>IF(EO361=1,ROUND(SUMPRODUCT(($FF$4:$FF$503=EN361)*$FG$4:$FG$503*$C$4:$C$503),2),"")</f>
        <v/>
      </c>
      <c r="FJ361" s="170" t="str">
        <f>IF(EO361=1,MAX(0,ROUND(FH361-FI361,2)),"")</f>
        <v/>
      </c>
      <c r="FK361" s="174" t="str">
        <f>IF(EO361=1,IF(OR(EW361&gt;=2958465,EY361=0,EY361&lt;=EW361),"",IF(TODAY()&lt;=EW361,0,IF(TODAY()&gt;EY361,1,IFERROR(NETWORKDAYS(EW361,TODAY()-1,Data!$K$4:$K$203)/NETWORKDAYS(EW361,EY361,Data!$K$4:$K$203),"")))),"")</f>
        <v/>
      </c>
      <c r="FL361" t="str">
        <f>IF(EO361=1,IF(AND(EY361&gt;0,EY361&lt;TODAY(),ROUND(EU361,4)&lt;1),2,IF(FK361="",0,IF(ROUND(EU361-FK361,4)&lt;-0.15,1,0))),"")</f>
        <v/>
      </c>
      <c r="FM361">
        <f>IF(OR(FA361="",COUNTIF($FA$4:FA360,FA361)&gt;0),0,MAX(0,IF(FB361="Interne",IF(ISNUMBER(INDEX(Data!$F:$F,361)),INDEX(Data!$F:$F,361),p_HeuresETP),IF(ISNUMBER(INDEX(Data!$I:$I,361-$CD$23)),INDEX(Data!$I:$I,361-$CD$23),p_HeuresETP))-IF(FB361="Interne",IF(ISNUMBER(INDEX(Data!$G:$G,361)),INDEX(Data!$G:$G,361),p_ChargeFixe),IF(ISNUMBER(INDEX(Data!$J:$J,361-$CD$23)),INDEX(Data!$J:$J,361-$CD$23),p_ChargeFixe))))</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9" t="str">
        <f>IF(AND(D362=1,ISNUMBER(INDEX(Charge!$N:$N,ROW()))),INDEX(Charge!$N:$N,ROW()),"")</f>
        <v/>
      </c>
      <c r="J362" s="169"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70">
        <f>IF(OR($I362="",$E362=0),0,IF(OR($J362&lt;W$3,$I362&gt;W$2),0,IF($K362=0,IF(AND($I362&gt;=W$3,$I362&lt;=W$2),$E362,0),$E362*NETWORKDAYS(MAX($I362,W$3),MIN($J362,W$2),Data!$K$4:$K$203)/$K362)))</f>
        <v>0</v>
      </c>
      <c r="X362" s="170">
        <f>IF(OR($I362="",$E362=0),0,IF(OR($J362&lt;X$3,$I362&gt;X$2),0,IF($K362=0,IF(AND($I362&gt;=X$3,$I362&lt;=X$2),$E362,0),$E362*NETWORKDAYS(MAX($I362,X$3),MIN($J362,X$2),Data!$K$4:$K$203)/$K362)))</f>
        <v>0</v>
      </c>
      <c r="Y362" s="170">
        <f>IF(OR($I362="",$E362=0),0,IF(OR($J362&lt;Y$3,$I362&gt;Y$2),0,IF($K362=0,IF(AND($I362&gt;=Y$3,$I362&lt;=Y$2),$E362,0),$E362*NETWORKDAYS(MAX($I362,Y$3),MIN($J362,Y$2),Data!$K$4:$K$203)/$K362)))</f>
        <v>0</v>
      </c>
      <c r="Z362" s="170">
        <f>IF(OR($I362="",$E362=0),0,IF(OR($J362&lt;Z$3,$I362&gt;Z$2),0,IF($K362=0,IF(AND($I362&gt;=Z$3,$I362&lt;=Z$2),$E362,0),$E362*NETWORKDAYS(MAX($I362,Z$3),MIN($J362,Z$2),Data!$K$4:$K$203)/$K362)))</f>
        <v>0</v>
      </c>
      <c r="AA362" s="170">
        <f>IF(OR($I362="",$E362=0),0,IF(OR($J362&lt;AA$3,$I362&gt;AA$2),0,IF($K362=0,IF(AND($I362&gt;=AA$3,$I362&lt;=AA$2),$E362,0),$E362*NETWORKDAYS(MAX($I362,AA$3),MIN($J362,AA$2),Data!$K$4:$K$203)/$K362)))</f>
        <v>0</v>
      </c>
      <c r="AB362" s="170">
        <f>IF(OR($I362="",$E362=0),0,IF(OR($J362&lt;AB$3,$I362&gt;AB$2),0,IF($K362=0,IF(AND($I362&gt;=AB$3,$I362&lt;=AB$2),$E362,0),$E362*NETWORKDAYS(MAX($I362,AB$3),MIN($J362,AB$2),Data!$K$4:$K$203)/$K362)))</f>
        <v>0</v>
      </c>
      <c r="AC362" s="170">
        <f>IF(OR($I362="",$E362=0),0,IF(OR($J362&lt;AC$3,$I362&gt;AC$2),0,IF($K362=0,IF(AND($I362&gt;=AC$3,$I362&lt;=AC$2),$E362,0),$E362*NETWORKDAYS(MAX($I362,AC$3),MIN($J362,AC$2),Data!$K$4:$K$203)/$K362)))</f>
        <v>0</v>
      </c>
      <c r="AD362" s="170">
        <f>IF(OR($I362="",$E362=0),0,IF(OR($J362&lt;AD$3,$I362&gt;AD$2),0,IF($K362=0,IF(AND($I362&gt;=AD$3,$I362&lt;=AD$2),$E362,0),$E362*NETWORKDAYS(MAX($I362,AD$3),MIN($J362,AD$2),Data!$K$4:$K$203)/$K362)))</f>
        <v>0</v>
      </c>
      <c r="AE362" s="170">
        <f>IF(OR($I362="",$E362=0),0,IF(OR($J362&lt;AE$3,$I362&gt;AE$2),0,IF($K362=0,IF(AND($I362&gt;=AE$3,$I362&lt;=AE$2),$E362,0),$E362*NETWORKDAYS(MAX($I362,AE$3),MIN($J362,AE$2),Data!$K$4:$K$203)/$K362)))</f>
        <v>0</v>
      </c>
      <c r="AF362" s="170">
        <f>IF(OR($I362="",$E362=0),0,IF(OR($J362&lt;AF$3,$I362&gt;AF$2),0,IF($K362=0,IF(AND($I362&gt;=AF$3,$I362&lt;=AF$2),$E362,0),$E362*NETWORKDAYS(MAX($I362,AF$3),MIN($J362,AF$2),Data!$K$4:$K$203)/$K362)))</f>
        <v>0</v>
      </c>
      <c r="AG362" s="170">
        <f>IF(OR($I362="",$E362=0),0,IF(OR($J362&lt;AG$3,$I362&gt;AG$2),0,IF($K362=0,IF(AND($I362&gt;=AG$3,$I362&lt;=AG$2),$E362,0),$E362*NETWORKDAYS(MAX($I362,AG$3),MIN($J362,AG$2),Data!$K$4:$K$203)/$K362)))</f>
        <v>0</v>
      </c>
      <c r="AH362" s="170">
        <f>IF(OR($I362="",$E362=0),0,IF(OR($J362&lt;AH$3,$I362&gt;AH$2),0,IF($K362=0,IF(AND($I362&gt;=AH$3,$I362&lt;=AH$2),$E362,0),$E362*NETWORKDAYS(MAX($I362,AH$3),MIN($J362,AH$2),Data!$K$4:$K$203)/$K362)))</f>
        <v>0</v>
      </c>
      <c r="AI362" s="170">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70"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4" t="str">
        <f>IF(EO362=1,IF(FH362&gt;0,FI362/FH362,AVERAGEIF($FF$4:$FF$503,EN362,$C$4:$C$503)),"")</f>
        <v/>
      </c>
      <c r="EV362" s="169">
        <f>IF(ISNUMBER(I362),I362,2958465)</f>
        <v>2958465.0</v>
      </c>
      <c r="EW362" s="169" t="str">
        <f>IF(EO362=1,SUMPRODUCT(MIN(($EN$4:$EN$503=EN362)*$EV$4:$EV$503+($EN$4:$EN$503&lt;&gt;EN362)*2958465)),"")</f>
        <v/>
      </c>
      <c r="EX362" s="169">
        <f>IF(AND(D362=1,ISNUMBER(INDEX(Charge!$F:$F,ROW()))),INDEX(Charge!$F:$F,ROW()),0)</f>
        <v>0.0</v>
      </c>
      <c r="EY362" s="169"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c r="FF362" t="str">
        <f>IF(B362=1,LEFT(SUBSTITUTE(SUBSTITUTE(SUBSTITUTE(TRIM(SUBSTITUTE(INDEX(Charge!$B:$B,ROW()),CHAR(160)," "))&amp;" | "&amp;TRIM(SUBSTITUTE(INDEX(Charge!$C:$C,ROW()),CHAR(160)," "))&amp;" | "&amp;TRIM(SUBSTITUTE(INDEX(Charge!$D:$D,ROW()),CHAR(160)," ")),"~","-"),"*","+"),"?","!"),240),"")</f>
        <v/>
      </c>
      <c r="FG362">
        <f>IF(B362=1,MAX(0,N(INDEX(Charge!$M:$M,ROW()))),0)</f>
        <v>0</v>
      </c>
      <c r="FH362" s="170" t="str">
        <f>IF(EO362=1,ROUND(SUMIF($FF$4:$FF$503,EN362,$FG$4:$FG$503),2),"")</f>
        <v/>
      </c>
      <c r="FI362" s="170" t="str">
        <f>IF(EO362=1,ROUND(SUMPRODUCT(($FF$4:$FF$503=EN362)*$FG$4:$FG$503*$C$4:$C$503),2),"")</f>
        <v/>
      </c>
      <c r="FJ362" s="170" t="str">
        <f>IF(EO362=1,MAX(0,ROUND(FH362-FI362,2)),"")</f>
        <v/>
      </c>
      <c r="FK362" s="174" t="str">
        <f>IF(EO362=1,IF(OR(EW362&gt;=2958465,EY362=0,EY362&lt;=EW362),"",IF(TODAY()&lt;=EW362,0,IF(TODAY()&gt;EY362,1,IFERROR(NETWORKDAYS(EW362,TODAY()-1,Data!$K$4:$K$203)/NETWORKDAYS(EW362,EY362,Data!$K$4:$K$203),"")))),"")</f>
        <v/>
      </c>
      <c r="FL362" t="str">
        <f>IF(EO362=1,IF(AND(EY362&gt;0,EY362&lt;TODAY(),ROUND(EU362,4)&lt;1),2,IF(FK362="",0,IF(ROUND(EU362-FK362,4)&lt;-0.15,1,0))),"")</f>
        <v/>
      </c>
      <c r="FM362">
        <f>IF(OR(FA362="",COUNTIF($FA$4:FA361,FA362)&gt;0),0,MAX(0,IF(FB362="Interne",IF(ISNUMBER(INDEX(Data!$F:$F,362)),INDEX(Data!$F:$F,362),p_HeuresETP),IF(ISNUMBER(INDEX(Data!$I:$I,362-$CD$23)),INDEX(Data!$I:$I,362-$CD$23),p_HeuresETP))-IF(FB362="Interne",IF(ISNUMBER(INDEX(Data!$G:$G,362)),INDEX(Data!$G:$G,362),p_ChargeFixe),IF(ISNUMBER(INDEX(Data!$J:$J,362-$CD$23)),INDEX(Data!$J:$J,362-$CD$23),p_ChargeFixe))))</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9" t="str">
        <f>IF(AND(D363=1,ISNUMBER(INDEX(Charge!$N:$N,ROW()))),INDEX(Charge!$N:$N,ROW()),"")</f>
        <v/>
      </c>
      <c r="J363" s="169"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70">
        <f>IF(OR($I363="",$E363=0),0,IF(OR($J363&lt;W$3,$I363&gt;W$2),0,IF($K363=0,IF(AND($I363&gt;=W$3,$I363&lt;=W$2),$E363,0),$E363*NETWORKDAYS(MAX($I363,W$3),MIN($J363,W$2),Data!$K$4:$K$203)/$K363)))</f>
        <v>0</v>
      </c>
      <c r="X363" s="170">
        <f>IF(OR($I363="",$E363=0),0,IF(OR($J363&lt;X$3,$I363&gt;X$2),0,IF($K363=0,IF(AND($I363&gt;=X$3,$I363&lt;=X$2),$E363,0),$E363*NETWORKDAYS(MAX($I363,X$3),MIN($J363,X$2),Data!$K$4:$K$203)/$K363)))</f>
        <v>0</v>
      </c>
      <c r="Y363" s="170">
        <f>IF(OR($I363="",$E363=0),0,IF(OR($J363&lt;Y$3,$I363&gt;Y$2),0,IF($K363=0,IF(AND($I363&gt;=Y$3,$I363&lt;=Y$2),$E363,0),$E363*NETWORKDAYS(MAX($I363,Y$3),MIN($J363,Y$2),Data!$K$4:$K$203)/$K363)))</f>
        <v>0</v>
      </c>
      <c r="Z363" s="170">
        <f>IF(OR($I363="",$E363=0),0,IF(OR($J363&lt;Z$3,$I363&gt;Z$2),0,IF($K363=0,IF(AND($I363&gt;=Z$3,$I363&lt;=Z$2),$E363,0),$E363*NETWORKDAYS(MAX($I363,Z$3),MIN($J363,Z$2),Data!$K$4:$K$203)/$K363)))</f>
        <v>0</v>
      </c>
      <c r="AA363" s="170">
        <f>IF(OR($I363="",$E363=0),0,IF(OR($J363&lt;AA$3,$I363&gt;AA$2),0,IF($K363=0,IF(AND($I363&gt;=AA$3,$I363&lt;=AA$2),$E363,0),$E363*NETWORKDAYS(MAX($I363,AA$3),MIN($J363,AA$2),Data!$K$4:$K$203)/$K363)))</f>
        <v>0</v>
      </c>
      <c r="AB363" s="170">
        <f>IF(OR($I363="",$E363=0),0,IF(OR($J363&lt;AB$3,$I363&gt;AB$2),0,IF($K363=0,IF(AND($I363&gt;=AB$3,$I363&lt;=AB$2),$E363,0),$E363*NETWORKDAYS(MAX($I363,AB$3),MIN($J363,AB$2),Data!$K$4:$K$203)/$K363)))</f>
        <v>0</v>
      </c>
      <c r="AC363" s="170">
        <f>IF(OR($I363="",$E363=0),0,IF(OR($J363&lt;AC$3,$I363&gt;AC$2),0,IF($K363=0,IF(AND($I363&gt;=AC$3,$I363&lt;=AC$2),$E363,0),$E363*NETWORKDAYS(MAX($I363,AC$3),MIN($J363,AC$2),Data!$K$4:$K$203)/$K363)))</f>
        <v>0</v>
      </c>
      <c r="AD363" s="170">
        <f>IF(OR($I363="",$E363=0),0,IF(OR($J363&lt;AD$3,$I363&gt;AD$2),0,IF($K363=0,IF(AND($I363&gt;=AD$3,$I363&lt;=AD$2),$E363,0),$E363*NETWORKDAYS(MAX($I363,AD$3),MIN($J363,AD$2),Data!$K$4:$K$203)/$K363)))</f>
        <v>0</v>
      </c>
      <c r="AE363" s="170">
        <f>IF(OR($I363="",$E363=0),0,IF(OR($J363&lt;AE$3,$I363&gt;AE$2),0,IF($K363=0,IF(AND($I363&gt;=AE$3,$I363&lt;=AE$2),$E363,0),$E363*NETWORKDAYS(MAX($I363,AE$3),MIN($J363,AE$2),Data!$K$4:$K$203)/$K363)))</f>
        <v>0</v>
      </c>
      <c r="AF363" s="170">
        <f>IF(OR($I363="",$E363=0),0,IF(OR($J363&lt;AF$3,$I363&gt;AF$2),0,IF($K363=0,IF(AND($I363&gt;=AF$3,$I363&lt;=AF$2),$E363,0),$E363*NETWORKDAYS(MAX($I363,AF$3),MIN($J363,AF$2),Data!$K$4:$K$203)/$K363)))</f>
        <v>0</v>
      </c>
      <c r="AG363" s="170">
        <f>IF(OR($I363="",$E363=0),0,IF(OR($J363&lt;AG$3,$I363&gt;AG$2),0,IF($K363=0,IF(AND($I363&gt;=AG$3,$I363&lt;=AG$2),$E363,0),$E363*NETWORKDAYS(MAX($I363,AG$3),MIN($J363,AG$2),Data!$K$4:$K$203)/$K363)))</f>
        <v>0</v>
      </c>
      <c r="AH363" s="170">
        <f>IF(OR($I363="",$E363=0),0,IF(OR($J363&lt;AH$3,$I363&gt;AH$2),0,IF($K363=0,IF(AND($I363&gt;=AH$3,$I363&lt;=AH$2),$E363,0),$E363*NETWORKDAYS(MAX($I363,AH$3),MIN($J363,AH$2),Data!$K$4:$K$203)/$K363)))</f>
        <v>0</v>
      </c>
      <c r="AI363" s="170">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70"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4" t="str">
        <f>IF(EO363=1,IF(FH363&gt;0,FI363/FH363,AVERAGEIF($FF$4:$FF$503,EN363,$C$4:$C$503)),"")</f>
        <v/>
      </c>
      <c r="EV363" s="169">
        <f>IF(ISNUMBER(I363),I363,2958465)</f>
        <v>2958465.0</v>
      </c>
      <c r="EW363" s="169" t="str">
        <f>IF(EO363=1,SUMPRODUCT(MIN(($EN$4:$EN$503=EN363)*$EV$4:$EV$503+($EN$4:$EN$503&lt;&gt;EN363)*2958465)),"")</f>
        <v/>
      </c>
      <c r="EX363" s="169">
        <f>IF(AND(D363=1,ISNUMBER(INDEX(Charge!$F:$F,ROW()))),INDEX(Charge!$F:$F,ROW()),0)</f>
        <v>0.0</v>
      </c>
      <c r="EY363" s="169"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c r="FF363" t="str">
        <f>IF(B363=1,LEFT(SUBSTITUTE(SUBSTITUTE(SUBSTITUTE(TRIM(SUBSTITUTE(INDEX(Charge!$B:$B,ROW()),CHAR(160)," "))&amp;" | "&amp;TRIM(SUBSTITUTE(INDEX(Charge!$C:$C,ROW()),CHAR(160)," "))&amp;" | "&amp;TRIM(SUBSTITUTE(INDEX(Charge!$D:$D,ROW()),CHAR(160)," ")),"~","-"),"*","+"),"?","!"),240),"")</f>
        <v/>
      </c>
      <c r="FG363">
        <f>IF(B363=1,MAX(0,N(INDEX(Charge!$M:$M,ROW()))),0)</f>
        <v>0</v>
      </c>
      <c r="FH363" s="170" t="str">
        <f>IF(EO363=1,ROUND(SUMIF($FF$4:$FF$503,EN363,$FG$4:$FG$503),2),"")</f>
        <v/>
      </c>
      <c r="FI363" s="170" t="str">
        <f>IF(EO363=1,ROUND(SUMPRODUCT(($FF$4:$FF$503=EN363)*$FG$4:$FG$503*$C$4:$C$503),2),"")</f>
        <v/>
      </c>
      <c r="FJ363" s="170" t="str">
        <f>IF(EO363=1,MAX(0,ROUND(FH363-FI363,2)),"")</f>
        <v/>
      </c>
      <c r="FK363" s="174" t="str">
        <f>IF(EO363=1,IF(OR(EW363&gt;=2958465,EY363=0,EY363&lt;=EW363),"",IF(TODAY()&lt;=EW363,0,IF(TODAY()&gt;EY363,1,IFERROR(NETWORKDAYS(EW363,TODAY()-1,Data!$K$4:$K$203)/NETWORKDAYS(EW363,EY363,Data!$K$4:$K$203),"")))),"")</f>
        <v/>
      </c>
      <c r="FL363" t="str">
        <f>IF(EO363=1,IF(AND(EY363&gt;0,EY363&lt;TODAY(),ROUND(EU363,4)&lt;1),2,IF(FK363="",0,IF(ROUND(EU363-FK363,4)&lt;-0.15,1,0))),"")</f>
        <v/>
      </c>
      <c r="FM363">
        <f>IF(OR(FA363="",COUNTIF($FA$4:FA362,FA363)&gt;0),0,MAX(0,IF(FB363="Interne",IF(ISNUMBER(INDEX(Data!$F:$F,363)),INDEX(Data!$F:$F,363),p_HeuresETP),IF(ISNUMBER(INDEX(Data!$I:$I,363-$CD$23)),INDEX(Data!$I:$I,363-$CD$23),p_HeuresETP))-IF(FB363="Interne",IF(ISNUMBER(INDEX(Data!$G:$G,363)),INDEX(Data!$G:$G,363),p_ChargeFixe),IF(ISNUMBER(INDEX(Data!$J:$J,363-$CD$23)),INDEX(Data!$J:$J,363-$CD$23),p_ChargeFixe))))</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9" t="str">
        <f>IF(AND(D364=1,ISNUMBER(INDEX(Charge!$N:$N,ROW()))),INDEX(Charge!$N:$N,ROW()),"")</f>
        <v/>
      </c>
      <c r="J364" s="169"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70">
        <f>IF(OR($I364="",$E364=0),0,IF(OR($J364&lt;W$3,$I364&gt;W$2),0,IF($K364=0,IF(AND($I364&gt;=W$3,$I364&lt;=W$2),$E364,0),$E364*NETWORKDAYS(MAX($I364,W$3),MIN($J364,W$2),Data!$K$4:$K$203)/$K364)))</f>
        <v>0</v>
      </c>
      <c r="X364" s="170">
        <f>IF(OR($I364="",$E364=0),0,IF(OR($J364&lt;X$3,$I364&gt;X$2),0,IF($K364=0,IF(AND($I364&gt;=X$3,$I364&lt;=X$2),$E364,0),$E364*NETWORKDAYS(MAX($I364,X$3),MIN($J364,X$2),Data!$K$4:$K$203)/$K364)))</f>
        <v>0</v>
      </c>
      <c r="Y364" s="170">
        <f>IF(OR($I364="",$E364=0),0,IF(OR($J364&lt;Y$3,$I364&gt;Y$2),0,IF($K364=0,IF(AND($I364&gt;=Y$3,$I364&lt;=Y$2),$E364,0),$E364*NETWORKDAYS(MAX($I364,Y$3),MIN($J364,Y$2),Data!$K$4:$K$203)/$K364)))</f>
        <v>0</v>
      </c>
      <c r="Z364" s="170">
        <f>IF(OR($I364="",$E364=0),0,IF(OR($J364&lt;Z$3,$I364&gt;Z$2),0,IF($K364=0,IF(AND($I364&gt;=Z$3,$I364&lt;=Z$2),$E364,0),$E364*NETWORKDAYS(MAX($I364,Z$3),MIN($J364,Z$2),Data!$K$4:$K$203)/$K364)))</f>
        <v>0</v>
      </c>
      <c r="AA364" s="170">
        <f>IF(OR($I364="",$E364=0),0,IF(OR($J364&lt;AA$3,$I364&gt;AA$2),0,IF($K364=0,IF(AND($I364&gt;=AA$3,$I364&lt;=AA$2),$E364,0),$E364*NETWORKDAYS(MAX($I364,AA$3),MIN($J364,AA$2),Data!$K$4:$K$203)/$K364)))</f>
        <v>0</v>
      </c>
      <c r="AB364" s="170">
        <f>IF(OR($I364="",$E364=0),0,IF(OR($J364&lt;AB$3,$I364&gt;AB$2),0,IF($K364=0,IF(AND($I364&gt;=AB$3,$I364&lt;=AB$2),$E364,0),$E364*NETWORKDAYS(MAX($I364,AB$3),MIN($J364,AB$2),Data!$K$4:$K$203)/$K364)))</f>
        <v>0</v>
      </c>
      <c r="AC364" s="170">
        <f>IF(OR($I364="",$E364=0),0,IF(OR($J364&lt;AC$3,$I364&gt;AC$2),0,IF($K364=0,IF(AND($I364&gt;=AC$3,$I364&lt;=AC$2),$E364,0),$E364*NETWORKDAYS(MAX($I364,AC$3),MIN($J364,AC$2),Data!$K$4:$K$203)/$K364)))</f>
        <v>0</v>
      </c>
      <c r="AD364" s="170">
        <f>IF(OR($I364="",$E364=0),0,IF(OR($J364&lt;AD$3,$I364&gt;AD$2),0,IF($K364=0,IF(AND($I364&gt;=AD$3,$I364&lt;=AD$2),$E364,0),$E364*NETWORKDAYS(MAX($I364,AD$3),MIN($J364,AD$2),Data!$K$4:$K$203)/$K364)))</f>
        <v>0</v>
      </c>
      <c r="AE364" s="170">
        <f>IF(OR($I364="",$E364=0),0,IF(OR($J364&lt;AE$3,$I364&gt;AE$2),0,IF($K364=0,IF(AND($I364&gt;=AE$3,$I364&lt;=AE$2),$E364,0),$E364*NETWORKDAYS(MAX($I364,AE$3),MIN($J364,AE$2),Data!$K$4:$K$203)/$K364)))</f>
        <v>0</v>
      </c>
      <c r="AF364" s="170">
        <f>IF(OR($I364="",$E364=0),0,IF(OR($J364&lt;AF$3,$I364&gt;AF$2),0,IF($K364=0,IF(AND($I364&gt;=AF$3,$I364&lt;=AF$2),$E364,0),$E364*NETWORKDAYS(MAX($I364,AF$3),MIN($J364,AF$2),Data!$K$4:$K$203)/$K364)))</f>
        <v>0</v>
      </c>
      <c r="AG364" s="170">
        <f>IF(OR($I364="",$E364=0),0,IF(OR($J364&lt;AG$3,$I364&gt;AG$2),0,IF($K364=0,IF(AND($I364&gt;=AG$3,$I364&lt;=AG$2),$E364,0),$E364*NETWORKDAYS(MAX($I364,AG$3),MIN($J364,AG$2),Data!$K$4:$K$203)/$K364)))</f>
        <v>0</v>
      </c>
      <c r="AH364" s="170">
        <f>IF(OR($I364="",$E364=0),0,IF(OR($J364&lt;AH$3,$I364&gt;AH$2),0,IF($K364=0,IF(AND($I364&gt;=AH$3,$I364&lt;=AH$2),$E364,0),$E364*NETWORKDAYS(MAX($I364,AH$3),MIN($J364,AH$2),Data!$K$4:$K$203)/$K364)))</f>
        <v>0</v>
      </c>
      <c r="AI364" s="170">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70"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4" t="str">
        <f>IF(EO364=1,IF(FH364&gt;0,FI364/FH364,AVERAGEIF($FF$4:$FF$503,EN364,$C$4:$C$503)),"")</f>
        <v/>
      </c>
      <c r="EV364" s="169">
        <f>IF(ISNUMBER(I364),I364,2958465)</f>
        <v>2958465.0</v>
      </c>
      <c r="EW364" s="169" t="str">
        <f>IF(EO364=1,SUMPRODUCT(MIN(($EN$4:$EN$503=EN364)*$EV$4:$EV$503+($EN$4:$EN$503&lt;&gt;EN364)*2958465)),"")</f>
        <v/>
      </c>
      <c r="EX364" s="169">
        <f>IF(AND(D364=1,ISNUMBER(INDEX(Charge!$F:$F,ROW()))),INDEX(Charge!$F:$F,ROW()),0)</f>
        <v>0.0</v>
      </c>
      <c r="EY364" s="169"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c r="FF364" t="str">
        <f>IF(B364=1,LEFT(SUBSTITUTE(SUBSTITUTE(SUBSTITUTE(TRIM(SUBSTITUTE(INDEX(Charge!$B:$B,ROW()),CHAR(160)," "))&amp;" | "&amp;TRIM(SUBSTITUTE(INDEX(Charge!$C:$C,ROW()),CHAR(160)," "))&amp;" | "&amp;TRIM(SUBSTITUTE(INDEX(Charge!$D:$D,ROW()),CHAR(160)," ")),"~","-"),"*","+"),"?","!"),240),"")</f>
        <v/>
      </c>
      <c r="FG364">
        <f>IF(B364=1,MAX(0,N(INDEX(Charge!$M:$M,ROW()))),0)</f>
        <v>0</v>
      </c>
      <c r="FH364" s="170" t="str">
        <f>IF(EO364=1,ROUND(SUMIF($FF$4:$FF$503,EN364,$FG$4:$FG$503),2),"")</f>
        <v/>
      </c>
      <c r="FI364" s="170" t="str">
        <f>IF(EO364=1,ROUND(SUMPRODUCT(($FF$4:$FF$503=EN364)*$FG$4:$FG$503*$C$4:$C$503),2),"")</f>
        <v/>
      </c>
      <c r="FJ364" s="170" t="str">
        <f>IF(EO364=1,MAX(0,ROUND(FH364-FI364,2)),"")</f>
        <v/>
      </c>
      <c r="FK364" s="174" t="str">
        <f>IF(EO364=1,IF(OR(EW364&gt;=2958465,EY364=0,EY364&lt;=EW364),"",IF(TODAY()&lt;=EW364,0,IF(TODAY()&gt;EY364,1,IFERROR(NETWORKDAYS(EW364,TODAY()-1,Data!$K$4:$K$203)/NETWORKDAYS(EW364,EY364,Data!$K$4:$K$203),"")))),"")</f>
        <v/>
      </c>
      <c r="FL364" t="str">
        <f>IF(EO364=1,IF(AND(EY364&gt;0,EY364&lt;TODAY(),ROUND(EU364,4)&lt;1),2,IF(FK364="",0,IF(ROUND(EU364-FK364,4)&lt;-0.15,1,0))),"")</f>
        <v/>
      </c>
      <c r="FM364">
        <f>IF(OR(FA364="",COUNTIF($FA$4:FA363,FA364)&gt;0),0,MAX(0,IF(FB364="Interne",IF(ISNUMBER(INDEX(Data!$F:$F,364)),INDEX(Data!$F:$F,364),p_HeuresETP),IF(ISNUMBER(INDEX(Data!$I:$I,364-$CD$23)),INDEX(Data!$I:$I,364-$CD$23),p_HeuresETP))-IF(FB364="Interne",IF(ISNUMBER(INDEX(Data!$G:$G,364)),INDEX(Data!$G:$G,364),p_ChargeFixe),IF(ISNUMBER(INDEX(Data!$J:$J,364-$CD$23)),INDEX(Data!$J:$J,364-$CD$23),p_ChargeFixe))))</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9" t="str">
        <f>IF(AND(D365=1,ISNUMBER(INDEX(Charge!$N:$N,ROW()))),INDEX(Charge!$N:$N,ROW()),"")</f>
        <v/>
      </c>
      <c r="J365" s="169"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70">
        <f>IF(OR($I365="",$E365=0),0,IF(OR($J365&lt;W$3,$I365&gt;W$2),0,IF($K365=0,IF(AND($I365&gt;=W$3,$I365&lt;=W$2),$E365,0),$E365*NETWORKDAYS(MAX($I365,W$3),MIN($J365,W$2),Data!$K$4:$K$203)/$K365)))</f>
        <v>0</v>
      </c>
      <c r="X365" s="170">
        <f>IF(OR($I365="",$E365=0),0,IF(OR($J365&lt;X$3,$I365&gt;X$2),0,IF($K365=0,IF(AND($I365&gt;=X$3,$I365&lt;=X$2),$E365,0),$E365*NETWORKDAYS(MAX($I365,X$3),MIN($J365,X$2),Data!$K$4:$K$203)/$K365)))</f>
        <v>0</v>
      </c>
      <c r="Y365" s="170">
        <f>IF(OR($I365="",$E365=0),0,IF(OR($J365&lt;Y$3,$I365&gt;Y$2),0,IF($K365=0,IF(AND($I365&gt;=Y$3,$I365&lt;=Y$2),$E365,0),$E365*NETWORKDAYS(MAX($I365,Y$3),MIN($J365,Y$2),Data!$K$4:$K$203)/$K365)))</f>
        <v>0</v>
      </c>
      <c r="Z365" s="170">
        <f>IF(OR($I365="",$E365=0),0,IF(OR($J365&lt;Z$3,$I365&gt;Z$2),0,IF($K365=0,IF(AND($I365&gt;=Z$3,$I365&lt;=Z$2),$E365,0),$E365*NETWORKDAYS(MAX($I365,Z$3),MIN($J365,Z$2),Data!$K$4:$K$203)/$K365)))</f>
        <v>0</v>
      </c>
      <c r="AA365" s="170">
        <f>IF(OR($I365="",$E365=0),0,IF(OR($J365&lt;AA$3,$I365&gt;AA$2),0,IF($K365=0,IF(AND($I365&gt;=AA$3,$I365&lt;=AA$2),$E365,0),$E365*NETWORKDAYS(MAX($I365,AA$3),MIN($J365,AA$2),Data!$K$4:$K$203)/$K365)))</f>
        <v>0</v>
      </c>
      <c r="AB365" s="170">
        <f>IF(OR($I365="",$E365=0),0,IF(OR($J365&lt;AB$3,$I365&gt;AB$2),0,IF($K365=0,IF(AND($I365&gt;=AB$3,$I365&lt;=AB$2),$E365,0),$E365*NETWORKDAYS(MAX($I365,AB$3),MIN($J365,AB$2),Data!$K$4:$K$203)/$K365)))</f>
        <v>0</v>
      </c>
      <c r="AC365" s="170">
        <f>IF(OR($I365="",$E365=0),0,IF(OR($J365&lt;AC$3,$I365&gt;AC$2),0,IF($K365=0,IF(AND($I365&gt;=AC$3,$I365&lt;=AC$2),$E365,0),$E365*NETWORKDAYS(MAX($I365,AC$3),MIN($J365,AC$2),Data!$K$4:$K$203)/$K365)))</f>
        <v>0</v>
      </c>
      <c r="AD365" s="170">
        <f>IF(OR($I365="",$E365=0),0,IF(OR($J365&lt;AD$3,$I365&gt;AD$2),0,IF($K365=0,IF(AND($I365&gt;=AD$3,$I365&lt;=AD$2),$E365,0),$E365*NETWORKDAYS(MAX($I365,AD$3),MIN($J365,AD$2),Data!$K$4:$K$203)/$K365)))</f>
        <v>0</v>
      </c>
      <c r="AE365" s="170">
        <f>IF(OR($I365="",$E365=0),0,IF(OR($J365&lt;AE$3,$I365&gt;AE$2),0,IF($K365=0,IF(AND($I365&gt;=AE$3,$I365&lt;=AE$2),$E365,0),$E365*NETWORKDAYS(MAX($I365,AE$3),MIN($J365,AE$2),Data!$K$4:$K$203)/$K365)))</f>
        <v>0</v>
      </c>
      <c r="AF365" s="170">
        <f>IF(OR($I365="",$E365=0),0,IF(OR($J365&lt;AF$3,$I365&gt;AF$2),0,IF($K365=0,IF(AND($I365&gt;=AF$3,$I365&lt;=AF$2),$E365,0),$E365*NETWORKDAYS(MAX($I365,AF$3),MIN($J365,AF$2),Data!$K$4:$K$203)/$K365)))</f>
        <v>0</v>
      </c>
      <c r="AG365" s="170">
        <f>IF(OR($I365="",$E365=0),0,IF(OR($J365&lt;AG$3,$I365&gt;AG$2),0,IF($K365=0,IF(AND($I365&gt;=AG$3,$I365&lt;=AG$2),$E365,0),$E365*NETWORKDAYS(MAX($I365,AG$3),MIN($J365,AG$2),Data!$K$4:$K$203)/$K365)))</f>
        <v>0</v>
      </c>
      <c r="AH365" s="170">
        <f>IF(OR($I365="",$E365=0),0,IF(OR($J365&lt;AH$3,$I365&gt;AH$2),0,IF($K365=0,IF(AND($I365&gt;=AH$3,$I365&lt;=AH$2),$E365,0),$E365*NETWORKDAYS(MAX($I365,AH$3),MIN($J365,AH$2),Data!$K$4:$K$203)/$K365)))</f>
        <v>0</v>
      </c>
      <c r="AI365" s="170">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70"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4" t="str">
        <f>IF(EO365=1,IF(FH365&gt;0,FI365/FH365,AVERAGEIF($FF$4:$FF$503,EN365,$C$4:$C$503)),"")</f>
        <v/>
      </c>
      <c r="EV365" s="169">
        <f>IF(ISNUMBER(I365),I365,2958465)</f>
        <v>2958465.0</v>
      </c>
      <c r="EW365" s="169" t="str">
        <f>IF(EO365=1,SUMPRODUCT(MIN(($EN$4:$EN$503=EN365)*$EV$4:$EV$503+($EN$4:$EN$503&lt;&gt;EN365)*2958465)),"")</f>
        <v/>
      </c>
      <c r="EX365" s="169">
        <f>IF(AND(D365=1,ISNUMBER(INDEX(Charge!$F:$F,ROW()))),INDEX(Charge!$F:$F,ROW()),0)</f>
        <v>0.0</v>
      </c>
      <c r="EY365" s="169"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c r="FF365" t="str">
        <f>IF(B365=1,LEFT(SUBSTITUTE(SUBSTITUTE(SUBSTITUTE(TRIM(SUBSTITUTE(INDEX(Charge!$B:$B,ROW()),CHAR(160)," "))&amp;" | "&amp;TRIM(SUBSTITUTE(INDEX(Charge!$C:$C,ROW()),CHAR(160)," "))&amp;" | "&amp;TRIM(SUBSTITUTE(INDEX(Charge!$D:$D,ROW()),CHAR(160)," ")),"~","-"),"*","+"),"?","!"),240),"")</f>
        <v/>
      </c>
      <c r="FG365">
        <f>IF(B365=1,MAX(0,N(INDEX(Charge!$M:$M,ROW()))),0)</f>
        <v>0</v>
      </c>
      <c r="FH365" s="170" t="str">
        <f>IF(EO365=1,ROUND(SUMIF($FF$4:$FF$503,EN365,$FG$4:$FG$503),2),"")</f>
        <v/>
      </c>
      <c r="FI365" s="170" t="str">
        <f>IF(EO365=1,ROUND(SUMPRODUCT(($FF$4:$FF$503=EN365)*$FG$4:$FG$503*$C$4:$C$503),2),"")</f>
        <v/>
      </c>
      <c r="FJ365" s="170" t="str">
        <f>IF(EO365=1,MAX(0,ROUND(FH365-FI365,2)),"")</f>
        <v/>
      </c>
      <c r="FK365" s="174" t="str">
        <f>IF(EO365=1,IF(OR(EW365&gt;=2958465,EY365=0,EY365&lt;=EW365),"",IF(TODAY()&lt;=EW365,0,IF(TODAY()&gt;EY365,1,IFERROR(NETWORKDAYS(EW365,TODAY()-1,Data!$K$4:$K$203)/NETWORKDAYS(EW365,EY365,Data!$K$4:$K$203),"")))),"")</f>
        <v/>
      </c>
      <c r="FL365" t="str">
        <f>IF(EO365=1,IF(AND(EY365&gt;0,EY365&lt;TODAY(),ROUND(EU365,4)&lt;1),2,IF(FK365="",0,IF(ROUND(EU365-FK365,4)&lt;-0.15,1,0))),"")</f>
        <v/>
      </c>
      <c r="FM365">
        <f>IF(OR(FA365="",COUNTIF($FA$4:FA364,FA365)&gt;0),0,MAX(0,IF(FB365="Interne",IF(ISNUMBER(INDEX(Data!$F:$F,365)),INDEX(Data!$F:$F,365),p_HeuresETP),IF(ISNUMBER(INDEX(Data!$I:$I,365-$CD$23)),INDEX(Data!$I:$I,365-$CD$23),p_HeuresETP))-IF(FB365="Interne",IF(ISNUMBER(INDEX(Data!$G:$G,365)),INDEX(Data!$G:$G,365),p_ChargeFixe),IF(ISNUMBER(INDEX(Data!$J:$J,365-$CD$23)),INDEX(Data!$J:$J,365-$CD$23),p_ChargeFixe))))</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9" t="str">
        <f>IF(AND(D366=1,ISNUMBER(INDEX(Charge!$N:$N,ROW()))),INDEX(Charge!$N:$N,ROW()),"")</f>
        <v/>
      </c>
      <c r="J366" s="169"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70">
        <f>IF(OR($I366="",$E366=0),0,IF(OR($J366&lt;W$3,$I366&gt;W$2),0,IF($K366=0,IF(AND($I366&gt;=W$3,$I366&lt;=W$2),$E366,0),$E366*NETWORKDAYS(MAX($I366,W$3),MIN($J366,W$2),Data!$K$4:$K$203)/$K366)))</f>
        <v>0</v>
      </c>
      <c r="X366" s="170">
        <f>IF(OR($I366="",$E366=0),0,IF(OR($J366&lt;X$3,$I366&gt;X$2),0,IF($K366=0,IF(AND($I366&gt;=X$3,$I366&lt;=X$2),$E366,0),$E366*NETWORKDAYS(MAX($I366,X$3),MIN($J366,X$2),Data!$K$4:$K$203)/$K366)))</f>
        <v>0</v>
      </c>
      <c r="Y366" s="170">
        <f>IF(OR($I366="",$E366=0),0,IF(OR($J366&lt;Y$3,$I366&gt;Y$2),0,IF($K366=0,IF(AND($I366&gt;=Y$3,$I366&lt;=Y$2),$E366,0),$E366*NETWORKDAYS(MAX($I366,Y$3),MIN($J366,Y$2),Data!$K$4:$K$203)/$K366)))</f>
        <v>0</v>
      </c>
      <c r="Z366" s="170">
        <f>IF(OR($I366="",$E366=0),0,IF(OR($J366&lt;Z$3,$I366&gt;Z$2),0,IF($K366=0,IF(AND($I366&gt;=Z$3,$I366&lt;=Z$2),$E366,0),$E366*NETWORKDAYS(MAX($I366,Z$3),MIN($J366,Z$2),Data!$K$4:$K$203)/$K366)))</f>
        <v>0</v>
      </c>
      <c r="AA366" s="170">
        <f>IF(OR($I366="",$E366=0),0,IF(OR($J366&lt;AA$3,$I366&gt;AA$2),0,IF($K366=0,IF(AND($I366&gt;=AA$3,$I366&lt;=AA$2),$E366,0),$E366*NETWORKDAYS(MAX($I366,AA$3),MIN($J366,AA$2),Data!$K$4:$K$203)/$K366)))</f>
        <v>0</v>
      </c>
      <c r="AB366" s="170">
        <f>IF(OR($I366="",$E366=0),0,IF(OR($J366&lt;AB$3,$I366&gt;AB$2),0,IF($K366=0,IF(AND($I366&gt;=AB$3,$I366&lt;=AB$2),$E366,0),$E366*NETWORKDAYS(MAX($I366,AB$3),MIN($J366,AB$2),Data!$K$4:$K$203)/$K366)))</f>
        <v>0</v>
      </c>
      <c r="AC366" s="170">
        <f>IF(OR($I366="",$E366=0),0,IF(OR($J366&lt;AC$3,$I366&gt;AC$2),0,IF($K366=0,IF(AND($I366&gt;=AC$3,$I366&lt;=AC$2),$E366,0),$E366*NETWORKDAYS(MAX($I366,AC$3),MIN($J366,AC$2),Data!$K$4:$K$203)/$K366)))</f>
        <v>0</v>
      </c>
      <c r="AD366" s="170">
        <f>IF(OR($I366="",$E366=0),0,IF(OR($J366&lt;AD$3,$I366&gt;AD$2),0,IF($K366=0,IF(AND($I366&gt;=AD$3,$I366&lt;=AD$2),$E366,0),$E366*NETWORKDAYS(MAX($I366,AD$3),MIN($J366,AD$2),Data!$K$4:$K$203)/$K366)))</f>
        <v>0</v>
      </c>
      <c r="AE366" s="170">
        <f>IF(OR($I366="",$E366=0),0,IF(OR($J366&lt;AE$3,$I366&gt;AE$2),0,IF($K366=0,IF(AND($I366&gt;=AE$3,$I366&lt;=AE$2),$E366,0),$E366*NETWORKDAYS(MAX($I366,AE$3),MIN($J366,AE$2),Data!$K$4:$K$203)/$K366)))</f>
        <v>0</v>
      </c>
      <c r="AF366" s="170">
        <f>IF(OR($I366="",$E366=0),0,IF(OR($J366&lt;AF$3,$I366&gt;AF$2),0,IF($K366=0,IF(AND($I366&gt;=AF$3,$I366&lt;=AF$2),$E366,0),$E366*NETWORKDAYS(MAX($I366,AF$3),MIN($J366,AF$2),Data!$K$4:$K$203)/$K366)))</f>
        <v>0</v>
      </c>
      <c r="AG366" s="170">
        <f>IF(OR($I366="",$E366=0),0,IF(OR($J366&lt;AG$3,$I366&gt;AG$2),0,IF($K366=0,IF(AND($I366&gt;=AG$3,$I366&lt;=AG$2),$E366,0),$E366*NETWORKDAYS(MAX($I366,AG$3),MIN($J366,AG$2),Data!$K$4:$K$203)/$K366)))</f>
        <v>0</v>
      </c>
      <c r="AH366" s="170">
        <f>IF(OR($I366="",$E366=0),0,IF(OR($J366&lt;AH$3,$I366&gt;AH$2),0,IF($K366=0,IF(AND($I366&gt;=AH$3,$I366&lt;=AH$2),$E366,0),$E366*NETWORKDAYS(MAX($I366,AH$3),MIN($J366,AH$2),Data!$K$4:$K$203)/$K366)))</f>
        <v>0</v>
      </c>
      <c r="AI366" s="170">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70"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4" t="str">
        <f>IF(EO366=1,IF(FH366&gt;0,FI366/FH366,AVERAGEIF($FF$4:$FF$503,EN366,$C$4:$C$503)),"")</f>
        <v/>
      </c>
      <c r="EV366" s="169">
        <f>IF(ISNUMBER(I366),I366,2958465)</f>
        <v>2958465.0</v>
      </c>
      <c r="EW366" s="169" t="str">
        <f>IF(EO366=1,SUMPRODUCT(MIN(($EN$4:$EN$503=EN366)*$EV$4:$EV$503+($EN$4:$EN$503&lt;&gt;EN366)*2958465)),"")</f>
        <v/>
      </c>
      <c r="EX366" s="169">
        <f>IF(AND(D366=1,ISNUMBER(INDEX(Charge!$F:$F,ROW()))),INDEX(Charge!$F:$F,ROW()),0)</f>
        <v>0.0</v>
      </c>
      <c r="EY366" s="169"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c r="FF366" t="str">
        <f>IF(B366=1,LEFT(SUBSTITUTE(SUBSTITUTE(SUBSTITUTE(TRIM(SUBSTITUTE(INDEX(Charge!$B:$B,ROW()),CHAR(160)," "))&amp;" | "&amp;TRIM(SUBSTITUTE(INDEX(Charge!$C:$C,ROW()),CHAR(160)," "))&amp;" | "&amp;TRIM(SUBSTITUTE(INDEX(Charge!$D:$D,ROW()),CHAR(160)," ")),"~","-"),"*","+"),"?","!"),240),"")</f>
        <v/>
      </c>
      <c r="FG366">
        <f>IF(B366=1,MAX(0,N(INDEX(Charge!$M:$M,ROW()))),0)</f>
        <v>0</v>
      </c>
      <c r="FH366" s="170" t="str">
        <f>IF(EO366=1,ROUND(SUMIF($FF$4:$FF$503,EN366,$FG$4:$FG$503),2),"")</f>
        <v/>
      </c>
      <c r="FI366" s="170" t="str">
        <f>IF(EO366=1,ROUND(SUMPRODUCT(($FF$4:$FF$503=EN366)*$FG$4:$FG$503*$C$4:$C$503),2),"")</f>
        <v/>
      </c>
      <c r="FJ366" s="170" t="str">
        <f>IF(EO366=1,MAX(0,ROUND(FH366-FI366,2)),"")</f>
        <v/>
      </c>
      <c r="FK366" s="174" t="str">
        <f>IF(EO366=1,IF(OR(EW366&gt;=2958465,EY366=0,EY366&lt;=EW366),"",IF(TODAY()&lt;=EW366,0,IF(TODAY()&gt;EY366,1,IFERROR(NETWORKDAYS(EW366,TODAY()-1,Data!$K$4:$K$203)/NETWORKDAYS(EW366,EY366,Data!$K$4:$K$203),"")))),"")</f>
        <v/>
      </c>
      <c r="FL366" t="str">
        <f>IF(EO366=1,IF(AND(EY366&gt;0,EY366&lt;TODAY(),ROUND(EU366,4)&lt;1),2,IF(FK366="",0,IF(ROUND(EU366-FK366,4)&lt;-0.15,1,0))),"")</f>
        <v/>
      </c>
      <c r="FM366">
        <f>IF(OR(FA366="",COUNTIF($FA$4:FA365,FA366)&gt;0),0,MAX(0,IF(FB366="Interne",IF(ISNUMBER(INDEX(Data!$F:$F,366)),INDEX(Data!$F:$F,366),p_HeuresETP),IF(ISNUMBER(INDEX(Data!$I:$I,366-$CD$23)),INDEX(Data!$I:$I,366-$CD$23),p_HeuresETP))-IF(FB366="Interne",IF(ISNUMBER(INDEX(Data!$G:$G,366)),INDEX(Data!$G:$G,366),p_ChargeFixe),IF(ISNUMBER(INDEX(Data!$J:$J,366-$CD$23)),INDEX(Data!$J:$J,366-$CD$23),p_ChargeFixe))))</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9" t="str">
        <f>IF(AND(D367=1,ISNUMBER(INDEX(Charge!$N:$N,ROW()))),INDEX(Charge!$N:$N,ROW()),"")</f>
        <v/>
      </c>
      <c r="J367" s="169"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70">
        <f>IF(OR($I367="",$E367=0),0,IF(OR($J367&lt;W$3,$I367&gt;W$2),0,IF($K367=0,IF(AND($I367&gt;=W$3,$I367&lt;=W$2),$E367,0),$E367*NETWORKDAYS(MAX($I367,W$3),MIN($J367,W$2),Data!$K$4:$K$203)/$K367)))</f>
        <v>0</v>
      </c>
      <c r="X367" s="170">
        <f>IF(OR($I367="",$E367=0),0,IF(OR($J367&lt;X$3,$I367&gt;X$2),0,IF($K367=0,IF(AND($I367&gt;=X$3,$I367&lt;=X$2),$E367,0),$E367*NETWORKDAYS(MAX($I367,X$3),MIN($J367,X$2),Data!$K$4:$K$203)/$K367)))</f>
        <v>0</v>
      </c>
      <c r="Y367" s="170">
        <f>IF(OR($I367="",$E367=0),0,IF(OR($J367&lt;Y$3,$I367&gt;Y$2),0,IF($K367=0,IF(AND($I367&gt;=Y$3,$I367&lt;=Y$2),$E367,0),$E367*NETWORKDAYS(MAX($I367,Y$3),MIN($J367,Y$2),Data!$K$4:$K$203)/$K367)))</f>
        <v>0</v>
      </c>
      <c r="Z367" s="170">
        <f>IF(OR($I367="",$E367=0),0,IF(OR($J367&lt;Z$3,$I367&gt;Z$2),0,IF($K367=0,IF(AND($I367&gt;=Z$3,$I367&lt;=Z$2),$E367,0),$E367*NETWORKDAYS(MAX($I367,Z$3),MIN($J367,Z$2),Data!$K$4:$K$203)/$K367)))</f>
        <v>0</v>
      </c>
      <c r="AA367" s="170">
        <f>IF(OR($I367="",$E367=0),0,IF(OR($J367&lt;AA$3,$I367&gt;AA$2),0,IF($K367=0,IF(AND($I367&gt;=AA$3,$I367&lt;=AA$2),$E367,0),$E367*NETWORKDAYS(MAX($I367,AA$3),MIN($J367,AA$2),Data!$K$4:$K$203)/$K367)))</f>
        <v>0</v>
      </c>
      <c r="AB367" s="170">
        <f>IF(OR($I367="",$E367=0),0,IF(OR($J367&lt;AB$3,$I367&gt;AB$2),0,IF($K367=0,IF(AND($I367&gt;=AB$3,$I367&lt;=AB$2),$E367,0),$E367*NETWORKDAYS(MAX($I367,AB$3),MIN($J367,AB$2),Data!$K$4:$K$203)/$K367)))</f>
        <v>0</v>
      </c>
      <c r="AC367" s="170">
        <f>IF(OR($I367="",$E367=0),0,IF(OR($J367&lt;AC$3,$I367&gt;AC$2),0,IF($K367=0,IF(AND($I367&gt;=AC$3,$I367&lt;=AC$2),$E367,0),$E367*NETWORKDAYS(MAX($I367,AC$3),MIN($J367,AC$2),Data!$K$4:$K$203)/$K367)))</f>
        <v>0</v>
      </c>
      <c r="AD367" s="170">
        <f>IF(OR($I367="",$E367=0),0,IF(OR($J367&lt;AD$3,$I367&gt;AD$2),0,IF($K367=0,IF(AND($I367&gt;=AD$3,$I367&lt;=AD$2),$E367,0),$E367*NETWORKDAYS(MAX($I367,AD$3),MIN($J367,AD$2),Data!$K$4:$K$203)/$K367)))</f>
        <v>0</v>
      </c>
      <c r="AE367" s="170">
        <f>IF(OR($I367="",$E367=0),0,IF(OR($J367&lt;AE$3,$I367&gt;AE$2),0,IF($K367=0,IF(AND($I367&gt;=AE$3,$I367&lt;=AE$2),$E367,0),$E367*NETWORKDAYS(MAX($I367,AE$3),MIN($J367,AE$2),Data!$K$4:$K$203)/$K367)))</f>
        <v>0</v>
      </c>
      <c r="AF367" s="170">
        <f>IF(OR($I367="",$E367=0),0,IF(OR($J367&lt;AF$3,$I367&gt;AF$2),0,IF($K367=0,IF(AND($I367&gt;=AF$3,$I367&lt;=AF$2),$E367,0),$E367*NETWORKDAYS(MAX($I367,AF$3),MIN($J367,AF$2),Data!$K$4:$K$203)/$K367)))</f>
        <v>0</v>
      </c>
      <c r="AG367" s="170">
        <f>IF(OR($I367="",$E367=0),0,IF(OR($J367&lt;AG$3,$I367&gt;AG$2),0,IF($K367=0,IF(AND($I367&gt;=AG$3,$I367&lt;=AG$2),$E367,0),$E367*NETWORKDAYS(MAX($I367,AG$3),MIN($J367,AG$2),Data!$K$4:$K$203)/$K367)))</f>
        <v>0</v>
      </c>
      <c r="AH367" s="170">
        <f>IF(OR($I367="",$E367=0),0,IF(OR($J367&lt;AH$3,$I367&gt;AH$2),0,IF($K367=0,IF(AND($I367&gt;=AH$3,$I367&lt;=AH$2),$E367,0),$E367*NETWORKDAYS(MAX($I367,AH$3),MIN($J367,AH$2),Data!$K$4:$K$203)/$K367)))</f>
        <v>0</v>
      </c>
      <c r="AI367" s="170">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70"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4" t="str">
        <f>IF(EO367=1,IF(FH367&gt;0,FI367/FH367,AVERAGEIF($FF$4:$FF$503,EN367,$C$4:$C$503)),"")</f>
        <v/>
      </c>
      <c r="EV367" s="169">
        <f>IF(ISNUMBER(I367),I367,2958465)</f>
        <v>2958465.0</v>
      </c>
      <c r="EW367" s="169" t="str">
        <f>IF(EO367=1,SUMPRODUCT(MIN(($EN$4:$EN$503=EN367)*$EV$4:$EV$503+($EN$4:$EN$503&lt;&gt;EN367)*2958465)),"")</f>
        <v/>
      </c>
      <c r="EX367" s="169">
        <f>IF(AND(D367=1,ISNUMBER(INDEX(Charge!$F:$F,ROW()))),INDEX(Charge!$F:$F,ROW()),0)</f>
        <v>0.0</v>
      </c>
      <c r="EY367" s="169"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c r="FF367" t="str">
        <f>IF(B367=1,LEFT(SUBSTITUTE(SUBSTITUTE(SUBSTITUTE(TRIM(SUBSTITUTE(INDEX(Charge!$B:$B,ROW()),CHAR(160)," "))&amp;" | "&amp;TRIM(SUBSTITUTE(INDEX(Charge!$C:$C,ROW()),CHAR(160)," "))&amp;" | "&amp;TRIM(SUBSTITUTE(INDEX(Charge!$D:$D,ROW()),CHAR(160)," ")),"~","-"),"*","+"),"?","!"),240),"")</f>
        <v/>
      </c>
      <c r="FG367">
        <f>IF(B367=1,MAX(0,N(INDEX(Charge!$M:$M,ROW()))),0)</f>
        <v>0</v>
      </c>
      <c r="FH367" s="170" t="str">
        <f>IF(EO367=1,ROUND(SUMIF($FF$4:$FF$503,EN367,$FG$4:$FG$503),2),"")</f>
        <v/>
      </c>
      <c r="FI367" s="170" t="str">
        <f>IF(EO367=1,ROUND(SUMPRODUCT(($FF$4:$FF$503=EN367)*$FG$4:$FG$503*$C$4:$C$503),2),"")</f>
        <v/>
      </c>
      <c r="FJ367" s="170" t="str">
        <f>IF(EO367=1,MAX(0,ROUND(FH367-FI367,2)),"")</f>
        <v/>
      </c>
      <c r="FK367" s="174" t="str">
        <f>IF(EO367=1,IF(OR(EW367&gt;=2958465,EY367=0,EY367&lt;=EW367),"",IF(TODAY()&lt;=EW367,0,IF(TODAY()&gt;EY367,1,IFERROR(NETWORKDAYS(EW367,TODAY()-1,Data!$K$4:$K$203)/NETWORKDAYS(EW367,EY367,Data!$K$4:$K$203),"")))),"")</f>
        <v/>
      </c>
      <c r="FL367" t="str">
        <f>IF(EO367=1,IF(AND(EY367&gt;0,EY367&lt;TODAY(),ROUND(EU367,4)&lt;1),2,IF(FK367="",0,IF(ROUND(EU367-FK367,4)&lt;-0.15,1,0))),"")</f>
        <v/>
      </c>
      <c r="FM367">
        <f>IF(OR(FA367="",COUNTIF($FA$4:FA366,FA367)&gt;0),0,MAX(0,IF(FB367="Interne",IF(ISNUMBER(INDEX(Data!$F:$F,367)),INDEX(Data!$F:$F,367),p_HeuresETP),IF(ISNUMBER(INDEX(Data!$I:$I,367-$CD$23)),INDEX(Data!$I:$I,367-$CD$23),p_HeuresETP))-IF(FB367="Interne",IF(ISNUMBER(INDEX(Data!$G:$G,367)),INDEX(Data!$G:$G,367),p_ChargeFixe),IF(ISNUMBER(INDEX(Data!$J:$J,367-$CD$23)),INDEX(Data!$J:$J,367-$CD$23),p_ChargeFixe))))</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9" t="str">
        <f>IF(AND(D368=1,ISNUMBER(INDEX(Charge!$N:$N,ROW()))),INDEX(Charge!$N:$N,ROW()),"")</f>
        <v/>
      </c>
      <c r="J368" s="169"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70">
        <f>IF(OR($I368="",$E368=0),0,IF(OR($J368&lt;W$3,$I368&gt;W$2),0,IF($K368=0,IF(AND($I368&gt;=W$3,$I368&lt;=W$2),$E368,0),$E368*NETWORKDAYS(MAX($I368,W$3),MIN($J368,W$2),Data!$K$4:$K$203)/$K368)))</f>
        <v>0</v>
      </c>
      <c r="X368" s="170">
        <f>IF(OR($I368="",$E368=0),0,IF(OR($J368&lt;X$3,$I368&gt;X$2),0,IF($K368=0,IF(AND($I368&gt;=X$3,$I368&lt;=X$2),$E368,0),$E368*NETWORKDAYS(MAX($I368,X$3),MIN($J368,X$2),Data!$K$4:$K$203)/$K368)))</f>
        <v>0</v>
      </c>
      <c r="Y368" s="170">
        <f>IF(OR($I368="",$E368=0),0,IF(OR($J368&lt;Y$3,$I368&gt;Y$2),0,IF($K368=0,IF(AND($I368&gt;=Y$3,$I368&lt;=Y$2),$E368,0),$E368*NETWORKDAYS(MAX($I368,Y$3),MIN($J368,Y$2),Data!$K$4:$K$203)/$K368)))</f>
        <v>0</v>
      </c>
      <c r="Z368" s="170">
        <f>IF(OR($I368="",$E368=0),0,IF(OR($J368&lt;Z$3,$I368&gt;Z$2),0,IF($K368=0,IF(AND($I368&gt;=Z$3,$I368&lt;=Z$2),$E368,0),$E368*NETWORKDAYS(MAX($I368,Z$3),MIN($J368,Z$2),Data!$K$4:$K$203)/$K368)))</f>
        <v>0</v>
      </c>
      <c r="AA368" s="170">
        <f>IF(OR($I368="",$E368=0),0,IF(OR($J368&lt;AA$3,$I368&gt;AA$2),0,IF($K368=0,IF(AND($I368&gt;=AA$3,$I368&lt;=AA$2),$E368,0),$E368*NETWORKDAYS(MAX($I368,AA$3),MIN($J368,AA$2),Data!$K$4:$K$203)/$K368)))</f>
        <v>0</v>
      </c>
      <c r="AB368" s="170">
        <f>IF(OR($I368="",$E368=0),0,IF(OR($J368&lt;AB$3,$I368&gt;AB$2),0,IF($K368=0,IF(AND($I368&gt;=AB$3,$I368&lt;=AB$2),$E368,0),$E368*NETWORKDAYS(MAX($I368,AB$3),MIN($J368,AB$2),Data!$K$4:$K$203)/$K368)))</f>
        <v>0</v>
      </c>
      <c r="AC368" s="170">
        <f>IF(OR($I368="",$E368=0),0,IF(OR($J368&lt;AC$3,$I368&gt;AC$2),0,IF($K368=0,IF(AND($I368&gt;=AC$3,$I368&lt;=AC$2),$E368,0),$E368*NETWORKDAYS(MAX($I368,AC$3),MIN($J368,AC$2),Data!$K$4:$K$203)/$K368)))</f>
        <v>0</v>
      </c>
      <c r="AD368" s="170">
        <f>IF(OR($I368="",$E368=0),0,IF(OR($J368&lt;AD$3,$I368&gt;AD$2),0,IF($K368=0,IF(AND($I368&gt;=AD$3,$I368&lt;=AD$2),$E368,0),$E368*NETWORKDAYS(MAX($I368,AD$3),MIN($J368,AD$2),Data!$K$4:$K$203)/$K368)))</f>
        <v>0</v>
      </c>
      <c r="AE368" s="170">
        <f>IF(OR($I368="",$E368=0),0,IF(OR($J368&lt;AE$3,$I368&gt;AE$2),0,IF($K368=0,IF(AND($I368&gt;=AE$3,$I368&lt;=AE$2),$E368,0),$E368*NETWORKDAYS(MAX($I368,AE$3),MIN($J368,AE$2),Data!$K$4:$K$203)/$K368)))</f>
        <v>0</v>
      </c>
      <c r="AF368" s="170">
        <f>IF(OR($I368="",$E368=0),0,IF(OR($J368&lt;AF$3,$I368&gt;AF$2),0,IF($K368=0,IF(AND($I368&gt;=AF$3,$I368&lt;=AF$2),$E368,0),$E368*NETWORKDAYS(MAX($I368,AF$3),MIN($J368,AF$2),Data!$K$4:$K$203)/$K368)))</f>
        <v>0</v>
      </c>
      <c r="AG368" s="170">
        <f>IF(OR($I368="",$E368=0),0,IF(OR($J368&lt;AG$3,$I368&gt;AG$2),0,IF($K368=0,IF(AND($I368&gt;=AG$3,$I368&lt;=AG$2),$E368,0),$E368*NETWORKDAYS(MAX($I368,AG$3),MIN($J368,AG$2),Data!$K$4:$K$203)/$K368)))</f>
        <v>0</v>
      </c>
      <c r="AH368" s="170">
        <f>IF(OR($I368="",$E368=0),0,IF(OR($J368&lt;AH$3,$I368&gt;AH$2),0,IF($K368=0,IF(AND($I368&gt;=AH$3,$I368&lt;=AH$2),$E368,0),$E368*NETWORKDAYS(MAX($I368,AH$3),MIN($J368,AH$2),Data!$K$4:$K$203)/$K368)))</f>
        <v>0</v>
      </c>
      <c r="AI368" s="170">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70"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4" t="str">
        <f>IF(EO368=1,IF(FH368&gt;0,FI368/FH368,AVERAGEIF($FF$4:$FF$503,EN368,$C$4:$C$503)),"")</f>
        <v/>
      </c>
      <c r="EV368" s="169">
        <f>IF(ISNUMBER(I368),I368,2958465)</f>
        <v>2958465.0</v>
      </c>
      <c r="EW368" s="169" t="str">
        <f>IF(EO368=1,SUMPRODUCT(MIN(($EN$4:$EN$503=EN368)*$EV$4:$EV$503+($EN$4:$EN$503&lt;&gt;EN368)*2958465)),"")</f>
        <v/>
      </c>
      <c r="EX368" s="169">
        <f>IF(AND(D368=1,ISNUMBER(INDEX(Charge!$F:$F,ROW()))),INDEX(Charge!$F:$F,ROW()),0)</f>
        <v>0.0</v>
      </c>
      <c r="EY368" s="169"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c r="FF368" t="str">
        <f>IF(B368=1,LEFT(SUBSTITUTE(SUBSTITUTE(SUBSTITUTE(TRIM(SUBSTITUTE(INDEX(Charge!$B:$B,ROW()),CHAR(160)," "))&amp;" | "&amp;TRIM(SUBSTITUTE(INDEX(Charge!$C:$C,ROW()),CHAR(160)," "))&amp;" | "&amp;TRIM(SUBSTITUTE(INDEX(Charge!$D:$D,ROW()),CHAR(160)," ")),"~","-"),"*","+"),"?","!"),240),"")</f>
        <v/>
      </c>
      <c r="FG368">
        <f>IF(B368=1,MAX(0,N(INDEX(Charge!$M:$M,ROW()))),0)</f>
        <v>0</v>
      </c>
      <c r="FH368" s="170" t="str">
        <f>IF(EO368=1,ROUND(SUMIF($FF$4:$FF$503,EN368,$FG$4:$FG$503),2),"")</f>
        <v/>
      </c>
      <c r="FI368" s="170" t="str">
        <f>IF(EO368=1,ROUND(SUMPRODUCT(($FF$4:$FF$503=EN368)*$FG$4:$FG$503*$C$4:$C$503),2),"")</f>
        <v/>
      </c>
      <c r="FJ368" s="170" t="str">
        <f>IF(EO368=1,MAX(0,ROUND(FH368-FI368,2)),"")</f>
        <v/>
      </c>
      <c r="FK368" s="174" t="str">
        <f>IF(EO368=1,IF(OR(EW368&gt;=2958465,EY368=0,EY368&lt;=EW368),"",IF(TODAY()&lt;=EW368,0,IF(TODAY()&gt;EY368,1,IFERROR(NETWORKDAYS(EW368,TODAY()-1,Data!$K$4:$K$203)/NETWORKDAYS(EW368,EY368,Data!$K$4:$K$203),"")))),"")</f>
        <v/>
      </c>
      <c r="FL368" t="str">
        <f>IF(EO368=1,IF(AND(EY368&gt;0,EY368&lt;TODAY(),ROUND(EU368,4)&lt;1),2,IF(FK368="",0,IF(ROUND(EU368-FK368,4)&lt;-0.15,1,0))),"")</f>
        <v/>
      </c>
      <c r="FM368">
        <f>IF(OR(FA368="",COUNTIF($FA$4:FA367,FA368)&gt;0),0,MAX(0,IF(FB368="Interne",IF(ISNUMBER(INDEX(Data!$F:$F,368)),INDEX(Data!$F:$F,368),p_HeuresETP),IF(ISNUMBER(INDEX(Data!$I:$I,368-$CD$23)),INDEX(Data!$I:$I,368-$CD$23),p_HeuresETP))-IF(FB368="Interne",IF(ISNUMBER(INDEX(Data!$G:$G,368)),INDEX(Data!$G:$G,368),p_ChargeFixe),IF(ISNUMBER(INDEX(Data!$J:$J,368-$CD$23)),INDEX(Data!$J:$J,368-$CD$23),p_ChargeFixe))))</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9" t="str">
        <f>IF(AND(D369=1,ISNUMBER(INDEX(Charge!$N:$N,ROW()))),INDEX(Charge!$N:$N,ROW()),"")</f>
        <v/>
      </c>
      <c r="J369" s="169"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70">
        <f>IF(OR($I369="",$E369=0),0,IF(OR($J369&lt;W$3,$I369&gt;W$2),0,IF($K369=0,IF(AND($I369&gt;=W$3,$I369&lt;=W$2),$E369,0),$E369*NETWORKDAYS(MAX($I369,W$3),MIN($J369,W$2),Data!$K$4:$K$203)/$K369)))</f>
        <v>0</v>
      </c>
      <c r="X369" s="170">
        <f>IF(OR($I369="",$E369=0),0,IF(OR($J369&lt;X$3,$I369&gt;X$2),0,IF($K369=0,IF(AND($I369&gt;=X$3,$I369&lt;=X$2),$E369,0),$E369*NETWORKDAYS(MAX($I369,X$3),MIN($J369,X$2),Data!$K$4:$K$203)/$K369)))</f>
        <v>0</v>
      </c>
      <c r="Y369" s="170">
        <f>IF(OR($I369="",$E369=0),0,IF(OR($J369&lt;Y$3,$I369&gt;Y$2),0,IF($K369=0,IF(AND($I369&gt;=Y$3,$I369&lt;=Y$2),$E369,0),$E369*NETWORKDAYS(MAX($I369,Y$3),MIN($J369,Y$2),Data!$K$4:$K$203)/$K369)))</f>
        <v>0</v>
      </c>
      <c r="Z369" s="170">
        <f>IF(OR($I369="",$E369=0),0,IF(OR($J369&lt;Z$3,$I369&gt;Z$2),0,IF($K369=0,IF(AND($I369&gt;=Z$3,$I369&lt;=Z$2),$E369,0),$E369*NETWORKDAYS(MAX($I369,Z$3),MIN($J369,Z$2),Data!$K$4:$K$203)/$K369)))</f>
        <v>0</v>
      </c>
      <c r="AA369" s="170">
        <f>IF(OR($I369="",$E369=0),0,IF(OR($J369&lt;AA$3,$I369&gt;AA$2),0,IF($K369=0,IF(AND($I369&gt;=AA$3,$I369&lt;=AA$2),$E369,0),$E369*NETWORKDAYS(MAX($I369,AA$3),MIN($J369,AA$2),Data!$K$4:$K$203)/$K369)))</f>
        <v>0</v>
      </c>
      <c r="AB369" s="170">
        <f>IF(OR($I369="",$E369=0),0,IF(OR($J369&lt;AB$3,$I369&gt;AB$2),0,IF($K369=0,IF(AND($I369&gt;=AB$3,$I369&lt;=AB$2),$E369,0),$E369*NETWORKDAYS(MAX($I369,AB$3),MIN($J369,AB$2),Data!$K$4:$K$203)/$K369)))</f>
        <v>0</v>
      </c>
      <c r="AC369" s="170">
        <f>IF(OR($I369="",$E369=0),0,IF(OR($J369&lt;AC$3,$I369&gt;AC$2),0,IF($K369=0,IF(AND($I369&gt;=AC$3,$I369&lt;=AC$2),$E369,0),$E369*NETWORKDAYS(MAX($I369,AC$3),MIN($J369,AC$2),Data!$K$4:$K$203)/$K369)))</f>
        <v>0</v>
      </c>
      <c r="AD369" s="170">
        <f>IF(OR($I369="",$E369=0),0,IF(OR($J369&lt;AD$3,$I369&gt;AD$2),0,IF($K369=0,IF(AND($I369&gt;=AD$3,$I369&lt;=AD$2),$E369,0),$E369*NETWORKDAYS(MAX($I369,AD$3),MIN($J369,AD$2),Data!$K$4:$K$203)/$K369)))</f>
        <v>0</v>
      </c>
      <c r="AE369" s="170">
        <f>IF(OR($I369="",$E369=0),0,IF(OR($J369&lt;AE$3,$I369&gt;AE$2),0,IF($K369=0,IF(AND($I369&gt;=AE$3,$I369&lt;=AE$2),$E369,0),$E369*NETWORKDAYS(MAX($I369,AE$3),MIN($J369,AE$2),Data!$K$4:$K$203)/$K369)))</f>
        <v>0</v>
      </c>
      <c r="AF369" s="170">
        <f>IF(OR($I369="",$E369=0),0,IF(OR($J369&lt;AF$3,$I369&gt;AF$2),0,IF($K369=0,IF(AND($I369&gt;=AF$3,$I369&lt;=AF$2),$E369,0),$E369*NETWORKDAYS(MAX($I369,AF$3),MIN($J369,AF$2),Data!$K$4:$K$203)/$K369)))</f>
        <v>0</v>
      </c>
      <c r="AG369" s="170">
        <f>IF(OR($I369="",$E369=0),0,IF(OR($J369&lt;AG$3,$I369&gt;AG$2),0,IF($K369=0,IF(AND($I369&gt;=AG$3,$I369&lt;=AG$2),$E369,0),$E369*NETWORKDAYS(MAX($I369,AG$3),MIN($J369,AG$2),Data!$K$4:$K$203)/$K369)))</f>
        <v>0</v>
      </c>
      <c r="AH369" s="170">
        <f>IF(OR($I369="",$E369=0),0,IF(OR($J369&lt;AH$3,$I369&gt;AH$2),0,IF($K369=0,IF(AND($I369&gt;=AH$3,$I369&lt;=AH$2),$E369,0),$E369*NETWORKDAYS(MAX($I369,AH$3),MIN($J369,AH$2),Data!$K$4:$K$203)/$K369)))</f>
        <v>0</v>
      </c>
      <c r="AI369" s="170">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70"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4" t="str">
        <f>IF(EO369=1,IF(FH369&gt;0,FI369/FH369,AVERAGEIF($FF$4:$FF$503,EN369,$C$4:$C$503)),"")</f>
        <v/>
      </c>
      <c r="EV369" s="169">
        <f>IF(ISNUMBER(I369),I369,2958465)</f>
        <v>2958465.0</v>
      </c>
      <c r="EW369" s="169" t="str">
        <f>IF(EO369=1,SUMPRODUCT(MIN(($EN$4:$EN$503=EN369)*$EV$4:$EV$503+($EN$4:$EN$503&lt;&gt;EN369)*2958465)),"")</f>
        <v/>
      </c>
      <c r="EX369" s="169">
        <f>IF(AND(D369=1,ISNUMBER(INDEX(Charge!$F:$F,ROW()))),INDEX(Charge!$F:$F,ROW()),0)</f>
        <v>0.0</v>
      </c>
      <c r="EY369" s="169"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c r="FF369" t="str">
        <f>IF(B369=1,LEFT(SUBSTITUTE(SUBSTITUTE(SUBSTITUTE(TRIM(SUBSTITUTE(INDEX(Charge!$B:$B,ROW()),CHAR(160)," "))&amp;" | "&amp;TRIM(SUBSTITUTE(INDEX(Charge!$C:$C,ROW()),CHAR(160)," "))&amp;" | "&amp;TRIM(SUBSTITUTE(INDEX(Charge!$D:$D,ROW()),CHAR(160)," ")),"~","-"),"*","+"),"?","!"),240),"")</f>
        <v/>
      </c>
      <c r="FG369">
        <f>IF(B369=1,MAX(0,N(INDEX(Charge!$M:$M,ROW()))),0)</f>
        <v>0</v>
      </c>
      <c r="FH369" s="170" t="str">
        <f>IF(EO369=1,ROUND(SUMIF($FF$4:$FF$503,EN369,$FG$4:$FG$503),2),"")</f>
        <v/>
      </c>
      <c r="FI369" s="170" t="str">
        <f>IF(EO369=1,ROUND(SUMPRODUCT(($FF$4:$FF$503=EN369)*$FG$4:$FG$503*$C$4:$C$503),2),"")</f>
        <v/>
      </c>
      <c r="FJ369" s="170" t="str">
        <f>IF(EO369=1,MAX(0,ROUND(FH369-FI369,2)),"")</f>
        <v/>
      </c>
      <c r="FK369" s="174" t="str">
        <f>IF(EO369=1,IF(OR(EW369&gt;=2958465,EY369=0,EY369&lt;=EW369),"",IF(TODAY()&lt;=EW369,0,IF(TODAY()&gt;EY369,1,IFERROR(NETWORKDAYS(EW369,TODAY()-1,Data!$K$4:$K$203)/NETWORKDAYS(EW369,EY369,Data!$K$4:$K$203),"")))),"")</f>
        <v/>
      </c>
      <c r="FL369" t="str">
        <f>IF(EO369=1,IF(AND(EY369&gt;0,EY369&lt;TODAY(),ROUND(EU369,4)&lt;1),2,IF(FK369="",0,IF(ROUND(EU369-FK369,4)&lt;-0.15,1,0))),"")</f>
        <v/>
      </c>
      <c r="FM369">
        <f>IF(OR(FA369="",COUNTIF($FA$4:FA368,FA369)&gt;0),0,MAX(0,IF(FB369="Interne",IF(ISNUMBER(INDEX(Data!$F:$F,369)),INDEX(Data!$F:$F,369),p_HeuresETP),IF(ISNUMBER(INDEX(Data!$I:$I,369-$CD$23)),INDEX(Data!$I:$I,369-$CD$23),p_HeuresETP))-IF(FB369="Interne",IF(ISNUMBER(INDEX(Data!$G:$G,369)),INDEX(Data!$G:$G,369),p_ChargeFixe),IF(ISNUMBER(INDEX(Data!$J:$J,369-$CD$23)),INDEX(Data!$J:$J,369-$CD$23),p_ChargeFixe))))</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9" t="str">
        <f>IF(AND(D370=1,ISNUMBER(INDEX(Charge!$N:$N,ROW()))),INDEX(Charge!$N:$N,ROW()),"")</f>
        <v/>
      </c>
      <c r="J370" s="169"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70">
        <f>IF(OR($I370="",$E370=0),0,IF(OR($J370&lt;W$3,$I370&gt;W$2),0,IF($K370=0,IF(AND($I370&gt;=W$3,$I370&lt;=W$2),$E370,0),$E370*NETWORKDAYS(MAX($I370,W$3),MIN($J370,W$2),Data!$K$4:$K$203)/$K370)))</f>
        <v>0</v>
      </c>
      <c r="X370" s="170">
        <f>IF(OR($I370="",$E370=0),0,IF(OR($J370&lt;X$3,$I370&gt;X$2),0,IF($K370=0,IF(AND($I370&gt;=X$3,$I370&lt;=X$2),$E370,0),$E370*NETWORKDAYS(MAX($I370,X$3),MIN($J370,X$2),Data!$K$4:$K$203)/$K370)))</f>
        <v>0</v>
      </c>
      <c r="Y370" s="170">
        <f>IF(OR($I370="",$E370=0),0,IF(OR($J370&lt;Y$3,$I370&gt;Y$2),0,IF($K370=0,IF(AND($I370&gt;=Y$3,$I370&lt;=Y$2),$E370,0),$E370*NETWORKDAYS(MAX($I370,Y$3),MIN($J370,Y$2),Data!$K$4:$K$203)/$K370)))</f>
        <v>0</v>
      </c>
      <c r="Z370" s="170">
        <f>IF(OR($I370="",$E370=0),0,IF(OR($J370&lt;Z$3,$I370&gt;Z$2),0,IF($K370=0,IF(AND($I370&gt;=Z$3,$I370&lt;=Z$2),$E370,0),$E370*NETWORKDAYS(MAX($I370,Z$3),MIN($J370,Z$2),Data!$K$4:$K$203)/$K370)))</f>
        <v>0</v>
      </c>
      <c r="AA370" s="170">
        <f>IF(OR($I370="",$E370=0),0,IF(OR($J370&lt;AA$3,$I370&gt;AA$2),0,IF($K370=0,IF(AND($I370&gt;=AA$3,$I370&lt;=AA$2),$E370,0),$E370*NETWORKDAYS(MAX($I370,AA$3),MIN($J370,AA$2),Data!$K$4:$K$203)/$K370)))</f>
        <v>0</v>
      </c>
      <c r="AB370" s="170">
        <f>IF(OR($I370="",$E370=0),0,IF(OR($J370&lt;AB$3,$I370&gt;AB$2),0,IF($K370=0,IF(AND($I370&gt;=AB$3,$I370&lt;=AB$2),$E370,0),$E370*NETWORKDAYS(MAX($I370,AB$3),MIN($J370,AB$2),Data!$K$4:$K$203)/$K370)))</f>
        <v>0</v>
      </c>
      <c r="AC370" s="170">
        <f>IF(OR($I370="",$E370=0),0,IF(OR($J370&lt;AC$3,$I370&gt;AC$2),0,IF($K370=0,IF(AND($I370&gt;=AC$3,$I370&lt;=AC$2),$E370,0),$E370*NETWORKDAYS(MAX($I370,AC$3),MIN($J370,AC$2),Data!$K$4:$K$203)/$K370)))</f>
        <v>0</v>
      </c>
      <c r="AD370" s="170">
        <f>IF(OR($I370="",$E370=0),0,IF(OR($J370&lt;AD$3,$I370&gt;AD$2),0,IF($K370=0,IF(AND($I370&gt;=AD$3,$I370&lt;=AD$2),$E370,0),$E370*NETWORKDAYS(MAX($I370,AD$3),MIN($J370,AD$2),Data!$K$4:$K$203)/$K370)))</f>
        <v>0</v>
      </c>
      <c r="AE370" s="170">
        <f>IF(OR($I370="",$E370=0),0,IF(OR($J370&lt;AE$3,$I370&gt;AE$2),0,IF($K370=0,IF(AND($I370&gt;=AE$3,$I370&lt;=AE$2),$E370,0),$E370*NETWORKDAYS(MAX($I370,AE$3),MIN($J370,AE$2),Data!$K$4:$K$203)/$K370)))</f>
        <v>0</v>
      </c>
      <c r="AF370" s="170">
        <f>IF(OR($I370="",$E370=0),0,IF(OR($J370&lt;AF$3,$I370&gt;AF$2),0,IF($K370=0,IF(AND($I370&gt;=AF$3,$I370&lt;=AF$2),$E370,0),$E370*NETWORKDAYS(MAX($I370,AF$3),MIN($J370,AF$2),Data!$K$4:$K$203)/$K370)))</f>
        <v>0</v>
      </c>
      <c r="AG370" s="170">
        <f>IF(OR($I370="",$E370=0),0,IF(OR($J370&lt;AG$3,$I370&gt;AG$2),0,IF($K370=0,IF(AND($I370&gt;=AG$3,$I370&lt;=AG$2),$E370,0),$E370*NETWORKDAYS(MAX($I370,AG$3),MIN($J370,AG$2),Data!$K$4:$K$203)/$K370)))</f>
        <v>0</v>
      </c>
      <c r="AH370" s="170">
        <f>IF(OR($I370="",$E370=0),0,IF(OR($J370&lt;AH$3,$I370&gt;AH$2),0,IF($K370=0,IF(AND($I370&gt;=AH$3,$I370&lt;=AH$2),$E370,0),$E370*NETWORKDAYS(MAX($I370,AH$3),MIN($J370,AH$2),Data!$K$4:$K$203)/$K370)))</f>
        <v>0</v>
      </c>
      <c r="AI370" s="170">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70"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4" t="str">
        <f>IF(EO370=1,IF(FH370&gt;0,FI370/FH370,AVERAGEIF($FF$4:$FF$503,EN370,$C$4:$C$503)),"")</f>
        <v/>
      </c>
      <c r="EV370" s="169">
        <f>IF(ISNUMBER(I370),I370,2958465)</f>
        <v>2958465.0</v>
      </c>
      <c r="EW370" s="169" t="str">
        <f>IF(EO370=1,SUMPRODUCT(MIN(($EN$4:$EN$503=EN370)*$EV$4:$EV$503+($EN$4:$EN$503&lt;&gt;EN370)*2958465)),"")</f>
        <v/>
      </c>
      <c r="EX370" s="169">
        <f>IF(AND(D370=1,ISNUMBER(INDEX(Charge!$F:$F,ROW()))),INDEX(Charge!$F:$F,ROW()),0)</f>
        <v>0.0</v>
      </c>
      <c r="EY370" s="169"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c r="FF370" t="str">
        <f>IF(B370=1,LEFT(SUBSTITUTE(SUBSTITUTE(SUBSTITUTE(TRIM(SUBSTITUTE(INDEX(Charge!$B:$B,ROW()),CHAR(160)," "))&amp;" | "&amp;TRIM(SUBSTITUTE(INDEX(Charge!$C:$C,ROW()),CHAR(160)," "))&amp;" | "&amp;TRIM(SUBSTITUTE(INDEX(Charge!$D:$D,ROW()),CHAR(160)," ")),"~","-"),"*","+"),"?","!"),240),"")</f>
        <v/>
      </c>
      <c r="FG370">
        <f>IF(B370=1,MAX(0,N(INDEX(Charge!$M:$M,ROW()))),0)</f>
        <v>0</v>
      </c>
      <c r="FH370" s="170" t="str">
        <f>IF(EO370=1,ROUND(SUMIF($FF$4:$FF$503,EN370,$FG$4:$FG$503),2),"")</f>
        <v/>
      </c>
      <c r="FI370" s="170" t="str">
        <f>IF(EO370=1,ROUND(SUMPRODUCT(($FF$4:$FF$503=EN370)*$FG$4:$FG$503*$C$4:$C$503),2),"")</f>
        <v/>
      </c>
      <c r="FJ370" s="170" t="str">
        <f>IF(EO370=1,MAX(0,ROUND(FH370-FI370,2)),"")</f>
        <v/>
      </c>
      <c r="FK370" s="174" t="str">
        <f>IF(EO370=1,IF(OR(EW370&gt;=2958465,EY370=0,EY370&lt;=EW370),"",IF(TODAY()&lt;=EW370,0,IF(TODAY()&gt;EY370,1,IFERROR(NETWORKDAYS(EW370,TODAY()-1,Data!$K$4:$K$203)/NETWORKDAYS(EW370,EY370,Data!$K$4:$K$203),"")))),"")</f>
        <v/>
      </c>
      <c r="FL370" t="str">
        <f>IF(EO370=1,IF(AND(EY370&gt;0,EY370&lt;TODAY(),ROUND(EU370,4)&lt;1),2,IF(FK370="",0,IF(ROUND(EU370-FK370,4)&lt;-0.15,1,0))),"")</f>
        <v/>
      </c>
      <c r="FM370">
        <f>IF(OR(FA370="",COUNTIF($FA$4:FA369,FA370)&gt;0),0,MAX(0,IF(FB370="Interne",IF(ISNUMBER(INDEX(Data!$F:$F,370)),INDEX(Data!$F:$F,370),p_HeuresETP),IF(ISNUMBER(INDEX(Data!$I:$I,370-$CD$23)),INDEX(Data!$I:$I,370-$CD$23),p_HeuresETP))-IF(FB370="Interne",IF(ISNUMBER(INDEX(Data!$G:$G,370)),INDEX(Data!$G:$G,370),p_ChargeFixe),IF(ISNUMBER(INDEX(Data!$J:$J,370-$CD$23)),INDEX(Data!$J:$J,370-$CD$23),p_ChargeFixe))))</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9" t="str">
        <f>IF(AND(D371=1,ISNUMBER(INDEX(Charge!$N:$N,ROW()))),INDEX(Charge!$N:$N,ROW()),"")</f>
        <v/>
      </c>
      <c r="J371" s="169"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70">
        <f>IF(OR($I371="",$E371=0),0,IF(OR($J371&lt;W$3,$I371&gt;W$2),0,IF($K371=0,IF(AND($I371&gt;=W$3,$I371&lt;=W$2),$E371,0),$E371*NETWORKDAYS(MAX($I371,W$3),MIN($J371,W$2),Data!$K$4:$K$203)/$K371)))</f>
        <v>0</v>
      </c>
      <c r="X371" s="170">
        <f>IF(OR($I371="",$E371=0),0,IF(OR($J371&lt;X$3,$I371&gt;X$2),0,IF($K371=0,IF(AND($I371&gt;=X$3,$I371&lt;=X$2),$E371,0),$E371*NETWORKDAYS(MAX($I371,X$3),MIN($J371,X$2),Data!$K$4:$K$203)/$K371)))</f>
        <v>0</v>
      </c>
      <c r="Y371" s="170">
        <f>IF(OR($I371="",$E371=0),0,IF(OR($J371&lt;Y$3,$I371&gt;Y$2),0,IF($K371=0,IF(AND($I371&gt;=Y$3,$I371&lt;=Y$2),$E371,0),$E371*NETWORKDAYS(MAX($I371,Y$3),MIN($J371,Y$2),Data!$K$4:$K$203)/$K371)))</f>
        <v>0</v>
      </c>
      <c r="Z371" s="170">
        <f>IF(OR($I371="",$E371=0),0,IF(OR($J371&lt;Z$3,$I371&gt;Z$2),0,IF($K371=0,IF(AND($I371&gt;=Z$3,$I371&lt;=Z$2),$E371,0),$E371*NETWORKDAYS(MAX($I371,Z$3),MIN($J371,Z$2),Data!$K$4:$K$203)/$K371)))</f>
        <v>0</v>
      </c>
      <c r="AA371" s="170">
        <f>IF(OR($I371="",$E371=0),0,IF(OR($J371&lt;AA$3,$I371&gt;AA$2),0,IF($K371=0,IF(AND($I371&gt;=AA$3,$I371&lt;=AA$2),$E371,0),$E371*NETWORKDAYS(MAX($I371,AA$3),MIN($J371,AA$2),Data!$K$4:$K$203)/$K371)))</f>
        <v>0</v>
      </c>
      <c r="AB371" s="170">
        <f>IF(OR($I371="",$E371=0),0,IF(OR($J371&lt;AB$3,$I371&gt;AB$2),0,IF($K371=0,IF(AND($I371&gt;=AB$3,$I371&lt;=AB$2),$E371,0),$E371*NETWORKDAYS(MAX($I371,AB$3),MIN($J371,AB$2),Data!$K$4:$K$203)/$K371)))</f>
        <v>0</v>
      </c>
      <c r="AC371" s="170">
        <f>IF(OR($I371="",$E371=0),0,IF(OR($J371&lt;AC$3,$I371&gt;AC$2),0,IF($K371=0,IF(AND($I371&gt;=AC$3,$I371&lt;=AC$2),$E371,0),$E371*NETWORKDAYS(MAX($I371,AC$3),MIN($J371,AC$2),Data!$K$4:$K$203)/$K371)))</f>
        <v>0</v>
      </c>
      <c r="AD371" s="170">
        <f>IF(OR($I371="",$E371=0),0,IF(OR($J371&lt;AD$3,$I371&gt;AD$2),0,IF($K371=0,IF(AND($I371&gt;=AD$3,$I371&lt;=AD$2),$E371,0),$E371*NETWORKDAYS(MAX($I371,AD$3),MIN($J371,AD$2),Data!$K$4:$K$203)/$K371)))</f>
        <v>0</v>
      </c>
      <c r="AE371" s="170">
        <f>IF(OR($I371="",$E371=0),0,IF(OR($J371&lt;AE$3,$I371&gt;AE$2),0,IF($K371=0,IF(AND($I371&gt;=AE$3,$I371&lt;=AE$2),$E371,0),$E371*NETWORKDAYS(MAX($I371,AE$3),MIN($J371,AE$2),Data!$K$4:$K$203)/$K371)))</f>
        <v>0</v>
      </c>
      <c r="AF371" s="170">
        <f>IF(OR($I371="",$E371=0),0,IF(OR($J371&lt;AF$3,$I371&gt;AF$2),0,IF($K371=0,IF(AND($I371&gt;=AF$3,$I371&lt;=AF$2),$E371,0),$E371*NETWORKDAYS(MAX($I371,AF$3),MIN($J371,AF$2),Data!$K$4:$K$203)/$K371)))</f>
        <v>0</v>
      </c>
      <c r="AG371" s="170">
        <f>IF(OR($I371="",$E371=0),0,IF(OR($J371&lt;AG$3,$I371&gt;AG$2),0,IF($K371=0,IF(AND($I371&gt;=AG$3,$I371&lt;=AG$2),$E371,0),$E371*NETWORKDAYS(MAX($I371,AG$3),MIN($J371,AG$2),Data!$K$4:$K$203)/$K371)))</f>
        <v>0</v>
      </c>
      <c r="AH371" s="170">
        <f>IF(OR($I371="",$E371=0),0,IF(OR($J371&lt;AH$3,$I371&gt;AH$2),0,IF($K371=0,IF(AND($I371&gt;=AH$3,$I371&lt;=AH$2),$E371,0),$E371*NETWORKDAYS(MAX($I371,AH$3),MIN($J371,AH$2),Data!$K$4:$K$203)/$K371)))</f>
        <v>0</v>
      </c>
      <c r="AI371" s="170">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70"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4" t="str">
        <f>IF(EO371=1,IF(FH371&gt;0,FI371/FH371,AVERAGEIF($FF$4:$FF$503,EN371,$C$4:$C$503)),"")</f>
        <v/>
      </c>
      <c r="EV371" s="169">
        <f>IF(ISNUMBER(I371),I371,2958465)</f>
        <v>2958465.0</v>
      </c>
      <c r="EW371" s="169" t="str">
        <f>IF(EO371=1,SUMPRODUCT(MIN(($EN$4:$EN$503=EN371)*$EV$4:$EV$503+($EN$4:$EN$503&lt;&gt;EN371)*2958465)),"")</f>
        <v/>
      </c>
      <c r="EX371" s="169">
        <f>IF(AND(D371=1,ISNUMBER(INDEX(Charge!$F:$F,ROW()))),INDEX(Charge!$F:$F,ROW()),0)</f>
        <v>0.0</v>
      </c>
      <c r="EY371" s="169"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c r="FF371" t="str">
        <f>IF(B371=1,LEFT(SUBSTITUTE(SUBSTITUTE(SUBSTITUTE(TRIM(SUBSTITUTE(INDEX(Charge!$B:$B,ROW()),CHAR(160)," "))&amp;" | "&amp;TRIM(SUBSTITUTE(INDEX(Charge!$C:$C,ROW()),CHAR(160)," "))&amp;" | "&amp;TRIM(SUBSTITUTE(INDEX(Charge!$D:$D,ROW()),CHAR(160)," ")),"~","-"),"*","+"),"?","!"),240),"")</f>
        <v/>
      </c>
      <c r="FG371">
        <f>IF(B371=1,MAX(0,N(INDEX(Charge!$M:$M,ROW()))),0)</f>
        <v>0</v>
      </c>
      <c r="FH371" s="170" t="str">
        <f>IF(EO371=1,ROUND(SUMIF($FF$4:$FF$503,EN371,$FG$4:$FG$503),2),"")</f>
        <v/>
      </c>
      <c r="FI371" s="170" t="str">
        <f>IF(EO371=1,ROUND(SUMPRODUCT(($FF$4:$FF$503=EN371)*$FG$4:$FG$503*$C$4:$C$503),2),"")</f>
        <v/>
      </c>
      <c r="FJ371" s="170" t="str">
        <f>IF(EO371=1,MAX(0,ROUND(FH371-FI371,2)),"")</f>
        <v/>
      </c>
      <c r="FK371" s="174" t="str">
        <f>IF(EO371=1,IF(OR(EW371&gt;=2958465,EY371=0,EY371&lt;=EW371),"",IF(TODAY()&lt;=EW371,0,IF(TODAY()&gt;EY371,1,IFERROR(NETWORKDAYS(EW371,TODAY()-1,Data!$K$4:$K$203)/NETWORKDAYS(EW371,EY371,Data!$K$4:$K$203),"")))),"")</f>
        <v/>
      </c>
      <c r="FL371" t="str">
        <f>IF(EO371=1,IF(AND(EY371&gt;0,EY371&lt;TODAY(),ROUND(EU371,4)&lt;1),2,IF(FK371="",0,IF(ROUND(EU371-FK371,4)&lt;-0.15,1,0))),"")</f>
        <v/>
      </c>
      <c r="FM371">
        <f>IF(OR(FA371="",COUNTIF($FA$4:FA370,FA371)&gt;0),0,MAX(0,IF(FB371="Interne",IF(ISNUMBER(INDEX(Data!$F:$F,371)),INDEX(Data!$F:$F,371),p_HeuresETP),IF(ISNUMBER(INDEX(Data!$I:$I,371-$CD$23)),INDEX(Data!$I:$I,371-$CD$23),p_HeuresETP))-IF(FB371="Interne",IF(ISNUMBER(INDEX(Data!$G:$G,371)),INDEX(Data!$G:$G,371),p_ChargeFixe),IF(ISNUMBER(INDEX(Data!$J:$J,371-$CD$23)),INDEX(Data!$J:$J,371-$CD$23),p_ChargeFixe))))</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9" t="str">
        <f>IF(AND(D372=1,ISNUMBER(INDEX(Charge!$N:$N,ROW()))),INDEX(Charge!$N:$N,ROW()),"")</f>
        <v/>
      </c>
      <c r="J372" s="169"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70">
        <f>IF(OR($I372="",$E372=0),0,IF(OR($J372&lt;W$3,$I372&gt;W$2),0,IF($K372=0,IF(AND($I372&gt;=W$3,$I372&lt;=W$2),$E372,0),$E372*NETWORKDAYS(MAX($I372,W$3),MIN($J372,W$2),Data!$K$4:$K$203)/$K372)))</f>
        <v>0</v>
      </c>
      <c r="X372" s="170">
        <f>IF(OR($I372="",$E372=0),0,IF(OR($J372&lt;X$3,$I372&gt;X$2),0,IF($K372=0,IF(AND($I372&gt;=X$3,$I372&lt;=X$2),$E372,0),$E372*NETWORKDAYS(MAX($I372,X$3),MIN($J372,X$2),Data!$K$4:$K$203)/$K372)))</f>
        <v>0</v>
      </c>
      <c r="Y372" s="170">
        <f>IF(OR($I372="",$E372=0),0,IF(OR($J372&lt;Y$3,$I372&gt;Y$2),0,IF($K372=0,IF(AND($I372&gt;=Y$3,$I372&lt;=Y$2),$E372,0),$E372*NETWORKDAYS(MAX($I372,Y$3),MIN($J372,Y$2),Data!$K$4:$K$203)/$K372)))</f>
        <v>0</v>
      </c>
      <c r="Z372" s="170">
        <f>IF(OR($I372="",$E372=0),0,IF(OR($J372&lt;Z$3,$I372&gt;Z$2),0,IF($K372=0,IF(AND($I372&gt;=Z$3,$I372&lt;=Z$2),$E372,0),$E372*NETWORKDAYS(MAX($I372,Z$3),MIN($J372,Z$2),Data!$K$4:$K$203)/$K372)))</f>
        <v>0</v>
      </c>
      <c r="AA372" s="170">
        <f>IF(OR($I372="",$E372=0),0,IF(OR($J372&lt;AA$3,$I372&gt;AA$2),0,IF($K372=0,IF(AND($I372&gt;=AA$3,$I372&lt;=AA$2),$E372,0),$E372*NETWORKDAYS(MAX($I372,AA$3),MIN($J372,AA$2),Data!$K$4:$K$203)/$K372)))</f>
        <v>0</v>
      </c>
      <c r="AB372" s="170">
        <f>IF(OR($I372="",$E372=0),0,IF(OR($J372&lt;AB$3,$I372&gt;AB$2),0,IF($K372=0,IF(AND($I372&gt;=AB$3,$I372&lt;=AB$2),$E372,0),$E372*NETWORKDAYS(MAX($I372,AB$3),MIN($J372,AB$2),Data!$K$4:$K$203)/$K372)))</f>
        <v>0</v>
      </c>
      <c r="AC372" s="170">
        <f>IF(OR($I372="",$E372=0),0,IF(OR($J372&lt;AC$3,$I372&gt;AC$2),0,IF($K372=0,IF(AND($I372&gt;=AC$3,$I372&lt;=AC$2),$E372,0),$E372*NETWORKDAYS(MAX($I372,AC$3),MIN($J372,AC$2),Data!$K$4:$K$203)/$K372)))</f>
        <v>0</v>
      </c>
      <c r="AD372" s="170">
        <f>IF(OR($I372="",$E372=0),0,IF(OR($J372&lt;AD$3,$I372&gt;AD$2),0,IF($K372=0,IF(AND($I372&gt;=AD$3,$I372&lt;=AD$2),$E372,0),$E372*NETWORKDAYS(MAX($I372,AD$3),MIN($J372,AD$2),Data!$K$4:$K$203)/$K372)))</f>
        <v>0</v>
      </c>
      <c r="AE372" s="170">
        <f>IF(OR($I372="",$E372=0),0,IF(OR($J372&lt;AE$3,$I372&gt;AE$2),0,IF($K372=0,IF(AND($I372&gt;=AE$3,$I372&lt;=AE$2),$E372,0),$E372*NETWORKDAYS(MAX($I372,AE$3),MIN($J372,AE$2),Data!$K$4:$K$203)/$K372)))</f>
        <v>0</v>
      </c>
      <c r="AF372" s="170">
        <f>IF(OR($I372="",$E372=0),0,IF(OR($J372&lt;AF$3,$I372&gt;AF$2),0,IF($K372=0,IF(AND($I372&gt;=AF$3,$I372&lt;=AF$2),$E372,0),$E372*NETWORKDAYS(MAX($I372,AF$3),MIN($J372,AF$2),Data!$K$4:$K$203)/$K372)))</f>
        <v>0</v>
      </c>
      <c r="AG372" s="170">
        <f>IF(OR($I372="",$E372=0),0,IF(OR($J372&lt;AG$3,$I372&gt;AG$2),0,IF($K372=0,IF(AND($I372&gt;=AG$3,$I372&lt;=AG$2),$E372,0),$E372*NETWORKDAYS(MAX($I372,AG$3),MIN($J372,AG$2),Data!$K$4:$K$203)/$K372)))</f>
        <v>0</v>
      </c>
      <c r="AH372" s="170">
        <f>IF(OR($I372="",$E372=0),0,IF(OR($J372&lt;AH$3,$I372&gt;AH$2),0,IF($K372=0,IF(AND($I372&gt;=AH$3,$I372&lt;=AH$2),$E372,0),$E372*NETWORKDAYS(MAX($I372,AH$3),MIN($J372,AH$2),Data!$K$4:$K$203)/$K372)))</f>
        <v>0</v>
      </c>
      <c r="AI372" s="170">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70"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4" t="str">
        <f>IF(EO372=1,IF(FH372&gt;0,FI372/FH372,AVERAGEIF($FF$4:$FF$503,EN372,$C$4:$C$503)),"")</f>
        <v/>
      </c>
      <c r="EV372" s="169">
        <f>IF(ISNUMBER(I372),I372,2958465)</f>
        <v>2958465.0</v>
      </c>
      <c r="EW372" s="169" t="str">
        <f>IF(EO372=1,SUMPRODUCT(MIN(($EN$4:$EN$503=EN372)*$EV$4:$EV$503+($EN$4:$EN$503&lt;&gt;EN372)*2958465)),"")</f>
        <v/>
      </c>
      <c r="EX372" s="169">
        <f>IF(AND(D372=1,ISNUMBER(INDEX(Charge!$F:$F,ROW()))),INDEX(Charge!$F:$F,ROW()),0)</f>
        <v>0.0</v>
      </c>
      <c r="EY372" s="169"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c r="FF372" t="str">
        <f>IF(B372=1,LEFT(SUBSTITUTE(SUBSTITUTE(SUBSTITUTE(TRIM(SUBSTITUTE(INDEX(Charge!$B:$B,ROW()),CHAR(160)," "))&amp;" | "&amp;TRIM(SUBSTITUTE(INDEX(Charge!$C:$C,ROW()),CHAR(160)," "))&amp;" | "&amp;TRIM(SUBSTITUTE(INDEX(Charge!$D:$D,ROW()),CHAR(160)," ")),"~","-"),"*","+"),"?","!"),240),"")</f>
        <v/>
      </c>
      <c r="FG372">
        <f>IF(B372=1,MAX(0,N(INDEX(Charge!$M:$M,ROW()))),0)</f>
        <v>0</v>
      </c>
      <c r="FH372" s="170" t="str">
        <f>IF(EO372=1,ROUND(SUMIF($FF$4:$FF$503,EN372,$FG$4:$FG$503),2),"")</f>
        <v/>
      </c>
      <c r="FI372" s="170" t="str">
        <f>IF(EO372=1,ROUND(SUMPRODUCT(($FF$4:$FF$503=EN372)*$FG$4:$FG$503*$C$4:$C$503),2),"")</f>
        <v/>
      </c>
      <c r="FJ372" s="170" t="str">
        <f>IF(EO372=1,MAX(0,ROUND(FH372-FI372,2)),"")</f>
        <v/>
      </c>
      <c r="FK372" s="174" t="str">
        <f>IF(EO372=1,IF(OR(EW372&gt;=2958465,EY372=0,EY372&lt;=EW372),"",IF(TODAY()&lt;=EW372,0,IF(TODAY()&gt;EY372,1,IFERROR(NETWORKDAYS(EW372,TODAY()-1,Data!$K$4:$K$203)/NETWORKDAYS(EW372,EY372,Data!$K$4:$K$203),"")))),"")</f>
        <v/>
      </c>
      <c r="FL372" t="str">
        <f>IF(EO372=1,IF(AND(EY372&gt;0,EY372&lt;TODAY(),ROUND(EU372,4)&lt;1),2,IF(FK372="",0,IF(ROUND(EU372-FK372,4)&lt;-0.15,1,0))),"")</f>
        <v/>
      </c>
      <c r="FM372">
        <f>IF(OR(FA372="",COUNTIF($FA$4:FA371,FA372)&gt;0),0,MAX(0,IF(FB372="Interne",IF(ISNUMBER(INDEX(Data!$F:$F,372)),INDEX(Data!$F:$F,372),p_HeuresETP),IF(ISNUMBER(INDEX(Data!$I:$I,372-$CD$23)),INDEX(Data!$I:$I,372-$CD$23),p_HeuresETP))-IF(FB372="Interne",IF(ISNUMBER(INDEX(Data!$G:$G,372)),INDEX(Data!$G:$G,372),p_ChargeFixe),IF(ISNUMBER(INDEX(Data!$J:$J,372-$CD$23)),INDEX(Data!$J:$J,372-$CD$23),p_ChargeFixe))))</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9" t="str">
        <f>IF(AND(D373=1,ISNUMBER(INDEX(Charge!$N:$N,ROW()))),INDEX(Charge!$N:$N,ROW()),"")</f>
        <v/>
      </c>
      <c r="J373" s="169"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70">
        <f>IF(OR($I373="",$E373=0),0,IF(OR($J373&lt;W$3,$I373&gt;W$2),0,IF($K373=0,IF(AND($I373&gt;=W$3,$I373&lt;=W$2),$E373,0),$E373*NETWORKDAYS(MAX($I373,W$3),MIN($J373,W$2),Data!$K$4:$K$203)/$K373)))</f>
        <v>0</v>
      </c>
      <c r="X373" s="170">
        <f>IF(OR($I373="",$E373=0),0,IF(OR($J373&lt;X$3,$I373&gt;X$2),0,IF($K373=0,IF(AND($I373&gt;=X$3,$I373&lt;=X$2),$E373,0),$E373*NETWORKDAYS(MAX($I373,X$3),MIN($J373,X$2),Data!$K$4:$K$203)/$K373)))</f>
        <v>0</v>
      </c>
      <c r="Y373" s="170">
        <f>IF(OR($I373="",$E373=0),0,IF(OR($J373&lt;Y$3,$I373&gt;Y$2),0,IF($K373=0,IF(AND($I373&gt;=Y$3,$I373&lt;=Y$2),$E373,0),$E373*NETWORKDAYS(MAX($I373,Y$3),MIN($J373,Y$2),Data!$K$4:$K$203)/$K373)))</f>
        <v>0</v>
      </c>
      <c r="Z373" s="170">
        <f>IF(OR($I373="",$E373=0),0,IF(OR($J373&lt;Z$3,$I373&gt;Z$2),0,IF($K373=0,IF(AND($I373&gt;=Z$3,$I373&lt;=Z$2),$E373,0),$E373*NETWORKDAYS(MAX($I373,Z$3),MIN($J373,Z$2),Data!$K$4:$K$203)/$K373)))</f>
        <v>0</v>
      </c>
      <c r="AA373" s="170">
        <f>IF(OR($I373="",$E373=0),0,IF(OR($J373&lt;AA$3,$I373&gt;AA$2),0,IF($K373=0,IF(AND($I373&gt;=AA$3,$I373&lt;=AA$2),$E373,0),$E373*NETWORKDAYS(MAX($I373,AA$3),MIN($J373,AA$2),Data!$K$4:$K$203)/$K373)))</f>
        <v>0</v>
      </c>
      <c r="AB373" s="170">
        <f>IF(OR($I373="",$E373=0),0,IF(OR($J373&lt;AB$3,$I373&gt;AB$2),0,IF($K373=0,IF(AND($I373&gt;=AB$3,$I373&lt;=AB$2),$E373,0),$E373*NETWORKDAYS(MAX($I373,AB$3),MIN($J373,AB$2),Data!$K$4:$K$203)/$K373)))</f>
        <v>0</v>
      </c>
      <c r="AC373" s="170">
        <f>IF(OR($I373="",$E373=0),0,IF(OR($J373&lt;AC$3,$I373&gt;AC$2),0,IF($K373=0,IF(AND($I373&gt;=AC$3,$I373&lt;=AC$2),$E373,0),$E373*NETWORKDAYS(MAX($I373,AC$3),MIN($J373,AC$2),Data!$K$4:$K$203)/$K373)))</f>
        <v>0</v>
      </c>
      <c r="AD373" s="170">
        <f>IF(OR($I373="",$E373=0),0,IF(OR($J373&lt;AD$3,$I373&gt;AD$2),0,IF($K373=0,IF(AND($I373&gt;=AD$3,$I373&lt;=AD$2),$E373,0),$E373*NETWORKDAYS(MAX($I373,AD$3),MIN($J373,AD$2),Data!$K$4:$K$203)/$K373)))</f>
        <v>0</v>
      </c>
      <c r="AE373" s="170">
        <f>IF(OR($I373="",$E373=0),0,IF(OR($J373&lt;AE$3,$I373&gt;AE$2),0,IF($K373=0,IF(AND($I373&gt;=AE$3,$I373&lt;=AE$2),$E373,0),$E373*NETWORKDAYS(MAX($I373,AE$3),MIN($J373,AE$2),Data!$K$4:$K$203)/$K373)))</f>
        <v>0</v>
      </c>
      <c r="AF373" s="170">
        <f>IF(OR($I373="",$E373=0),0,IF(OR($J373&lt;AF$3,$I373&gt;AF$2),0,IF($K373=0,IF(AND($I373&gt;=AF$3,$I373&lt;=AF$2),$E373,0),$E373*NETWORKDAYS(MAX($I373,AF$3),MIN($J373,AF$2),Data!$K$4:$K$203)/$K373)))</f>
        <v>0</v>
      </c>
      <c r="AG373" s="170">
        <f>IF(OR($I373="",$E373=0),0,IF(OR($J373&lt;AG$3,$I373&gt;AG$2),0,IF($K373=0,IF(AND($I373&gt;=AG$3,$I373&lt;=AG$2),$E373,0),$E373*NETWORKDAYS(MAX($I373,AG$3),MIN($J373,AG$2),Data!$K$4:$K$203)/$K373)))</f>
        <v>0</v>
      </c>
      <c r="AH373" s="170">
        <f>IF(OR($I373="",$E373=0),0,IF(OR($J373&lt;AH$3,$I373&gt;AH$2),0,IF($K373=0,IF(AND($I373&gt;=AH$3,$I373&lt;=AH$2),$E373,0),$E373*NETWORKDAYS(MAX($I373,AH$3),MIN($J373,AH$2),Data!$K$4:$K$203)/$K373)))</f>
        <v>0</v>
      </c>
      <c r="AI373" s="170">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70"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4" t="str">
        <f>IF(EO373=1,IF(FH373&gt;0,FI373/FH373,AVERAGEIF($FF$4:$FF$503,EN373,$C$4:$C$503)),"")</f>
        <v/>
      </c>
      <c r="EV373" s="169">
        <f>IF(ISNUMBER(I373),I373,2958465)</f>
        <v>2958465.0</v>
      </c>
      <c r="EW373" s="169" t="str">
        <f>IF(EO373=1,SUMPRODUCT(MIN(($EN$4:$EN$503=EN373)*$EV$4:$EV$503+($EN$4:$EN$503&lt;&gt;EN373)*2958465)),"")</f>
        <v/>
      </c>
      <c r="EX373" s="169">
        <f>IF(AND(D373=1,ISNUMBER(INDEX(Charge!$F:$F,ROW()))),INDEX(Charge!$F:$F,ROW()),0)</f>
        <v>0.0</v>
      </c>
      <c r="EY373" s="169"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c r="FF373" t="str">
        <f>IF(B373=1,LEFT(SUBSTITUTE(SUBSTITUTE(SUBSTITUTE(TRIM(SUBSTITUTE(INDEX(Charge!$B:$B,ROW()),CHAR(160)," "))&amp;" | "&amp;TRIM(SUBSTITUTE(INDEX(Charge!$C:$C,ROW()),CHAR(160)," "))&amp;" | "&amp;TRIM(SUBSTITUTE(INDEX(Charge!$D:$D,ROW()),CHAR(160)," ")),"~","-"),"*","+"),"?","!"),240),"")</f>
        <v/>
      </c>
      <c r="FG373">
        <f>IF(B373=1,MAX(0,N(INDEX(Charge!$M:$M,ROW()))),0)</f>
        <v>0</v>
      </c>
      <c r="FH373" s="170" t="str">
        <f>IF(EO373=1,ROUND(SUMIF($FF$4:$FF$503,EN373,$FG$4:$FG$503),2),"")</f>
        <v/>
      </c>
      <c r="FI373" s="170" t="str">
        <f>IF(EO373=1,ROUND(SUMPRODUCT(($FF$4:$FF$503=EN373)*$FG$4:$FG$503*$C$4:$C$503),2),"")</f>
        <v/>
      </c>
      <c r="FJ373" s="170" t="str">
        <f>IF(EO373=1,MAX(0,ROUND(FH373-FI373,2)),"")</f>
        <v/>
      </c>
      <c r="FK373" s="174" t="str">
        <f>IF(EO373=1,IF(OR(EW373&gt;=2958465,EY373=0,EY373&lt;=EW373),"",IF(TODAY()&lt;=EW373,0,IF(TODAY()&gt;EY373,1,IFERROR(NETWORKDAYS(EW373,TODAY()-1,Data!$K$4:$K$203)/NETWORKDAYS(EW373,EY373,Data!$K$4:$K$203),"")))),"")</f>
        <v/>
      </c>
      <c r="FL373" t="str">
        <f>IF(EO373=1,IF(AND(EY373&gt;0,EY373&lt;TODAY(),ROUND(EU373,4)&lt;1),2,IF(FK373="",0,IF(ROUND(EU373-FK373,4)&lt;-0.15,1,0))),"")</f>
        <v/>
      </c>
      <c r="FM373">
        <f>IF(OR(FA373="",COUNTIF($FA$4:FA372,FA373)&gt;0),0,MAX(0,IF(FB373="Interne",IF(ISNUMBER(INDEX(Data!$F:$F,373)),INDEX(Data!$F:$F,373),p_HeuresETP),IF(ISNUMBER(INDEX(Data!$I:$I,373-$CD$23)),INDEX(Data!$I:$I,373-$CD$23),p_HeuresETP))-IF(FB373="Interne",IF(ISNUMBER(INDEX(Data!$G:$G,373)),INDEX(Data!$G:$G,373),p_ChargeFixe),IF(ISNUMBER(INDEX(Data!$J:$J,373-$CD$23)),INDEX(Data!$J:$J,373-$CD$23),p_ChargeFixe))))</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9" t="str">
        <f>IF(AND(D374=1,ISNUMBER(INDEX(Charge!$N:$N,ROW()))),INDEX(Charge!$N:$N,ROW()),"")</f>
        <v/>
      </c>
      <c r="J374" s="169"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70">
        <f>IF(OR($I374="",$E374=0),0,IF(OR($J374&lt;W$3,$I374&gt;W$2),0,IF($K374=0,IF(AND($I374&gt;=W$3,$I374&lt;=W$2),$E374,0),$E374*NETWORKDAYS(MAX($I374,W$3),MIN($J374,W$2),Data!$K$4:$K$203)/$K374)))</f>
        <v>0</v>
      </c>
      <c r="X374" s="170">
        <f>IF(OR($I374="",$E374=0),0,IF(OR($J374&lt;X$3,$I374&gt;X$2),0,IF($K374=0,IF(AND($I374&gt;=X$3,$I374&lt;=X$2),$E374,0),$E374*NETWORKDAYS(MAX($I374,X$3),MIN($J374,X$2),Data!$K$4:$K$203)/$K374)))</f>
        <v>0</v>
      </c>
      <c r="Y374" s="170">
        <f>IF(OR($I374="",$E374=0),0,IF(OR($J374&lt;Y$3,$I374&gt;Y$2),0,IF($K374=0,IF(AND($I374&gt;=Y$3,$I374&lt;=Y$2),$E374,0),$E374*NETWORKDAYS(MAX($I374,Y$3),MIN($J374,Y$2),Data!$K$4:$K$203)/$K374)))</f>
        <v>0</v>
      </c>
      <c r="Z374" s="170">
        <f>IF(OR($I374="",$E374=0),0,IF(OR($J374&lt;Z$3,$I374&gt;Z$2),0,IF($K374=0,IF(AND($I374&gt;=Z$3,$I374&lt;=Z$2),$E374,0),$E374*NETWORKDAYS(MAX($I374,Z$3),MIN($J374,Z$2),Data!$K$4:$K$203)/$K374)))</f>
        <v>0</v>
      </c>
      <c r="AA374" s="170">
        <f>IF(OR($I374="",$E374=0),0,IF(OR($J374&lt;AA$3,$I374&gt;AA$2),0,IF($K374=0,IF(AND($I374&gt;=AA$3,$I374&lt;=AA$2),$E374,0),$E374*NETWORKDAYS(MAX($I374,AA$3),MIN($J374,AA$2),Data!$K$4:$K$203)/$K374)))</f>
        <v>0</v>
      </c>
      <c r="AB374" s="170">
        <f>IF(OR($I374="",$E374=0),0,IF(OR($J374&lt;AB$3,$I374&gt;AB$2),0,IF($K374=0,IF(AND($I374&gt;=AB$3,$I374&lt;=AB$2),$E374,0),$E374*NETWORKDAYS(MAX($I374,AB$3),MIN($J374,AB$2),Data!$K$4:$K$203)/$K374)))</f>
        <v>0</v>
      </c>
      <c r="AC374" s="170">
        <f>IF(OR($I374="",$E374=0),0,IF(OR($J374&lt;AC$3,$I374&gt;AC$2),0,IF($K374=0,IF(AND($I374&gt;=AC$3,$I374&lt;=AC$2),$E374,0),$E374*NETWORKDAYS(MAX($I374,AC$3),MIN($J374,AC$2),Data!$K$4:$K$203)/$K374)))</f>
        <v>0</v>
      </c>
      <c r="AD374" s="170">
        <f>IF(OR($I374="",$E374=0),0,IF(OR($J374&lt;AD$3,$I374&gt;AD$2),0,IF($K374=0,IF(AND($I374&gt;=AD$3,$I374&lt;=AD$2),$E374,0),$E374*NETWORKDAYS(MAX($I374,AD$3),MIN($J374,AD$2),Data!$K$4:$K$203)/$K374)))</f>
        <v>0</v>
      </c>
      <c r="AE374" s="170">
        <f>IF(OR($I374="",$E374=0),0,IF(OR($J374&lt;AE$3,$I374&gt;AE$2),0,IF($K374=0,IF(AND($I374&gt;=AE$3,$I374&lt;=AE$2),$E374,0),$E374*NETWORKDAYS(MAX($I374,AE$3),MIN($J374,AE$2),Data!$K$4:$K$203)/$K374)))</f>
        <v>0</v>
      </c>
      <c r="AF374" s="170">
        <f>IF(OR($I374="",$E374=0),0,IF(OR($J374&lt;AF$3,$I374&gt;AF$2),0,IF($K374=0,IF(AND($I374&gt;=AF$3,$I374&lt;=AF$2),$E374,0),$E374*NETWORKDAYS(MAX($I374,AF$3),MIN($J374,AF$2),Data!$K$4:$K$203)/$K374)))</f>
        <v>0</v>
      </c>
      <c r="AG374" s="170">
        <f>IF(OR($I374="",$E374=0),0,IF(OR($J374&lt;AG$3,$I374&gt;AG$2),0,IF($K374=0,IF(AND($I374&gt;=AG$3,$I374&lt;=AG$2),$E374,0),$E374*NETWORKDAYS(MAX($I374,AG$3),MIN($J374,AG$2),Data!$K$4:$K$203)/$K374)))</f>
        <v>0</v>
      </c>
      <c r="AH374" s="170">
        <f>IF(OR($I374="",$E374=0),0,IF(OR($J374&lt;AH$3,$I374&gt;AH$2),0,IF($K374=0,IF(AND($I374&gt;=AH$3,$I374&lt;=AH$2),$E374,0),$E374*NETWORKDAYS(MAX($I374,AH$3),MIN($J374,AH$2),Data!$K$4:$K$203)/$K374)))</f>
        <v>0</v>
      </c>
      <c r="AI374" s="170">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70"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4" t="str">
        <f>IF(EO374=1,IF(FH374&gt;0,FI374/FH374,AVERAGEIF($FF$4:$FF$503,EN374,$C$4:$C$503)),"")</f>
        <v/>
      </c>
      <c r="EV374" s="169">
        <f>IF(ISNUMBER(I374),I374,2958465)</f>
        <v>2958465.0</v>
      </c>
      <c r="EW374" s="169" t="str">
        <f>IF(EO374=1,SUMPRODUCT(MIN(($EN$4:$EN$503=EN374)*$EV$4:$EV$503+($EN$4:$EN$503&lt;&gt;EN374)*2958465)),"")</f>
        <v/>
      </c>
      <c r="EX374" s="169">
        <f>IF(AND(D374=1,ISNUMBER(INDEX(Charge!$F:$F,ROW()))),INDEX(Charge!$F:$F,ROW()),0)</f>
        <v>0.0</v>
      </c>
      <c r="EY374" s="169"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c r="FF374" t="str">
        <f>IF(B374=1,LEFT(SUBSTITUTE(SUBSTITUTE(SUBSTITUTE(TRIM(SUBSTITUTE(INDEX(Charge!$B:$B,ROW()),CHAR(160)," "))&amp;" | "&amp;TRIM(SUBSTITUTE(INDEX(Charge!$C:$C,ROW()),CHAR(160)," "))&amp;" | "&amp;TRIM(SUBSTITUTE(INDEX(Charge!$D:$D,ROW()),CHAR(160)," ")),"~","-"),"*","+"),"?","!"),240),"")</f>
        <v/>
      </c>
      <c r="FG374">
        <f>IF(B374=1,MAX(0,N(INDEX(Charge!$M:$M,ROW()))),0)</f>
        <v>0</v>
      </c>
      <c r="FH374" s="170" t="str">
        <f>IF(EO374=1,ROUND(SUMIF($FF$4:$FF$503,EN374,$FG$4:$FG$503),2),"")</f>
        <v/>
      </c>
      <c r="FI374" s="170" t="str">
        <f>IF(EO374=1,ROUND(SUMPRODUCT(($FF$4:$FF$503=EN374)*$FG$4:$FG$503*$C$4:$C$503),2),"")</f>
        <v/>
      </c>
      <c r="FJ374" s="170" t="str">
        <f>IF(EO374=1,MAX(0,ROUND(FH374-FI374,2)),"")</f>
        <v/>
      </c>
      <c r="FK374" s="174" t="str">
        <f>IF(EO374=1,IF(OR(EW374&gt;=2958465,EY374=0,EY374&lt;=EW374),"",IF(TODAY()&lt;=EW374,0,IF(TODAY()&gt;EY374,1,IFERROR(NETWORKDAYS(EW374,TODAY()-1,Data!$K$4:$K$203)/NETWORKDAYS(EW374,EY374,Data!$K$4:$K$203),"")))),"")</f>
        <v/>
      </c>
      <c r="FL374" t="str">
        <f>IF(EO374=1,IF(AND(EY374&gt;0,EY374&lt;TODAY(),ROUND(EU374,4)&lt;1),2,IF(FK374="",0,IF(ROUND(EU374-FK374,4)&lt;-0.15,1,0))),"")</f>
        <v/>
      </c>
      <c r="FM374">
        <f>IF(OR(FA374="",COUNTIF($FA$4:FA373,FA374)&gt;0),0,MAX(0,IF(FB374="Interne",IF(ISNUMBER(INDEX(Data!$F:$F,374)),INDEX(Data!$F:$F,374),p_HeuresETP),IF(ISNUMBER(INDEX(Data!$I:$I,374-$CD$23)),INDEX(Data!$I:$I,374-$CD$23),p_HeuresETP))-IF(FB374="Interne",IF(ISNUMBER(INDEX(Data!$G:$G,374)),INDEX(Data!$G:$G,374),p_ChargeFixe),IF(ISNUMBER(INDEX(Data!$J:$J,374-$CD$23)),INDEX(Data!$J:$J,374-$CD$23),p_ChargeFixe))))</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9" t="str">
        <f>IF(AND(D375=1,ISNUMBER(INDEX(Charge!$N:$N,ROW()))),INDEX(Charge!$N:$N,ROW()),"")</f>
        <v/>
      </c>
      <c r="J375" s="169"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70">
        <f>IF(OR($I375="",$E375=0),0,IF(OR($J375&lt;W$3,$I375&gt;W$2),0,IF($K375=0,IF(AND($I375&gt;=W$3,$I375&lt;=W$2),$E375,0),$E375*NETWORKDAYS(MAX($I375,W$3),MIN($J375,W$2),Data!$K$4:$K$203)/$K375)))</f>
        <v>0</v>
      </c>
      <c r="X375" s="170">
        <f>IF(OR($I375="",$E375=0),0,IF(OR($J375&lt;X$3,$I375&gt;X$2),0,IF($K375=0,IF(AND($I375&gt;=X$3,$I375&lt;=X$2),$E375,0),$E375*NETWORKDAYS(MAX($I375,X$3),MIN($J375,X$2),Data!$K$4:$K$203)/$K375)))</f>
        <v>0</v>
      </c>
      <c r="Y375" s="170">
        <f>IF(OR($I375="",$E375=0),0,IF(OR($J375&lt;Y$3,$I375&gt;Y$2),0,IF($K375=0,IF(AND($I375&gt;=Y$3,$I375&lt;=Y$2),$E375,0),$E375*NETWORKDAYS(MAX($I375,Y$3),MIN($J375,Y$2),Data!$K$4:$K$203)/$K375)))</f>
        <v>0</v>
      </c>
      <c r="Z375" s="170">
        <f>IF(OR($I375="",$E375=0),0,IF(OR($J375&lt;Z$3,$I375&gt;Z$2),0,IF($K375=0,IF(AND($I375&gt;=Z$3,$I375&lt;=Z$2),$E375,0),$E375*NETWORKDAYS(MAX($I375,Z$3),MIN($J375,Z$2),Data!$K$4:$K$203)/$K375)))</f>
        <v>0</v>
      </c>
      <c r="AA375" s="170">
        <f>IF(OR($I375="",$E375=0),0,IF(OR($J375&lt;AA$3,$I375&gt;AA$2),0,IF($K375=0,IF(AND($I375&gt;=AA$3,$I375&lt;=AA$2),$E375,0),$E375*NETWORKDAYS(MAX($I375,AA$3),MIN($J375,AA$2),Data!$K$4:$K$203)/$K375)))</f>
        <v>0</v>
      </c>
      <c r="AB375" s="170">
        <f>IF(OR($I375="",$E375=0),0,IF(OR($J375&lt;AB$3,$I375&gt;AB$2),0,IF($K375=0,IF(AND($I375&gt;=AB$3,$I375&lt;=AB$2),$E375,0),$E375*NETWORKDAYS(MAX($I375,AB$3),MIN($J375,AB$2),Data!$K$4:$K$203)/$K375)))</f>
        <v>0</v>
      </c>
      <c r="AC375" s="170">
        <f>IF(OR($I375="",$E375=0),0,IF(OR($J375&lt;AC$3,$I375&gt;AC$2),0,IF($K375=0,IF(AND($I375&gt;=AC$3,$I375&lt;=AC$2),$E375,0),$E375*NETWORKDAYS(MAX($I375,AC$3),MIN($J375,AC$2),Data!$K$4:$K$203)/$K375)))</f>
        <v>0</v>
      </c>
      <c r="AD375" s="170">
        <f>IF(OR($I375="",$E375=0),0,IF(OR($J375&lt;AD$3,$I375&gt;AD$2),0,IF($K375=0,IF(AND($I375&gt;=AD$3,$I375&lt;=AD$2),$E375,0),$E375*NETWORKDAYS(MAX($I375,AD$3),MIN($J375,AD$2),Data!$K$4:$K$203)/$K375)))</f>
        <v>0</v>
      </c>
      <c r="AE375" s="170">
        <f>IF(OR($I375="",$E375=0),0,IF(OR($J375&lt;AE$3,$I375&gt;AE$2),0,IF($K375=0,IF(AND($I375&gt;=AE$3,$I375&lt;=AE$2),$E375,0),$E375*NETWORKDAYS(MAX($I375,AE$3),MIN($J375,AE$2),Data!$K$4:$K$203)/$K375)))</f>
        <v>0</v>
      </c>
      <c r="AF375" s="170">
        <f>IF(OR($I375="",$E375=0),0,IF(OR($J375&lt;AF$3,$I375&gt;AF$2),0,IF($K375=0,IF(AND($I375&gt;=AF$3,$I375&lt;=AF$2),$E375,0),$E375*NETWORKDAYS(MAX($I375,AF$3),MIN($J375,AF$2),Data!$K$4:$K$203)/$K375)))</f>
        <v>0</v>
      </c>
      <c r="AG375" s="170">
        <f>IF(OR($I375="",$E375=0),0,IF(OR($J375&lt;AG$3,$I375&gt;AG$2),0,IF($K375=0,IF(AND($I375&gt;=AG$3,$I375&lt;=AG$2),$E375,0),$E375*NETWORKDAYS(MAX($I375,AG$3),MIN($J375,AG$2),Data!$K$4:$K$203)/$K375)))</f>
        <v>0</v>
      </c>
      <c r="AH375" s="170">
        <f>IF(OR($I375="",$E375=0),0,IF(OR($J375&lt;AH$3,$I375&gt;AH$2),0,IF($K375=0,IF(AND($I375&gt;=AH$3,$I375&lt;=AH$2),$E375,0),$E375*NETWORKDAYS(MAX($I375,AH$3),MIN($J375,AH$2),Data!$K$4:$K$203)/$K375)))</f>
        <v>0</v>
      </c>
      <c r="AI375" s="170">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70"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4" t="str">
        <f>IF(EO375=1,IF(FH375&gt;0,FI375/FH375,AVERAGEIF($FF$4:$FF$503,EN375,$C$4:$C$503)),"")</f>
        <v/>
      </c>
      <c r="EV375" s="169">
        <f>IF(ISNUMBER(I375),I375,2958465)</f>
        <v>2958465.0</v>
      </c>
      <c r="EW375" s="169" t="str">
        <f>IF(EO375=1,SUMPRODUCT(MIN(($EN$4:$EN$503=EN375)*$EV$4:$EV$503+($EN$4:$EN$503&lt;&gt;EN375)*2958465)),"")</f>
        <v/>
      </c>
      <c r="EX375" s="169">
        <f>IF(AND(D375=1,ISNUMBER(INDEX(Charge!$F:$F,ROW()))),INDEX(Charge!$F:$F,ROW()),0)</f>
        <v>0.0</v>
      </c>
      <c r="EY375" s="169"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c r="FF375" t="str">
        <f>IF(B375=1,LEFT(SUBSTITUTE(SUBSTITUTE(SUBSTITUTE(TRIM(SUBSTITUTE(INDEX(Charge!$B:$B,ROW()),CHAR(160)," "))&amp;" | "&amp;TRIM(SUBSTITUTE(INDEX(Charge!$C:$C,ROW()),CHAR(160)," "))&amp;" | "&amp;TRIM(SUBSTITUTE(INDEX(Charge!$D:$D,ROW()),CHAR(160)," ")),"~","-"),"*","+"),"?","!"),240),"")</f>
        <v/>
      </c>
      <c r="FG375">
        <f>IF(B375=1,MAX(0,N(INDEX(Charge!$M:$M,ROW()))),0)</f>
        <v>0</v>
      </c>
      <c r="FH375" s="170" t="str">
        <f>IF(EO375=1,ROUND(SUMIF($FF$4:$FF$503,EN375,$FG$4:$FG$503),2),"")</f>
        <v/>
      </c>
      <c r="FI375" s="170" t="str">
        <f>IF(EO375=1,ROUND(SUMPRODUCT(($FF$4:$FF$503=EN375)*$FG$4:$FG$503*$C$4:$C$503),2),"")</f>
        <v/>
      </c>
      <c r="FJ375" s="170" t="str">
        <f>IF(EO375=1,MAX(0,ROUND(FH375-FI375,2)),"")</f>
        <v/>
      </c>
      <c r="FK375" s="174" t="str">
        <f>IF(EO375=1,IF(OR(EW375&gt;=2958465,EY375=0,EY375&lt;=EW375),"",IF(TODAY()&lt;=EW375,0,IF(TODAY()&gt;EY375,1,IFERROR(NETWORKDAYS(EW375,TODAY()-1,Data!$K$4:$K$203)/NETWORKDAYS(EW375,EY375,Data!$K$4:$K$203),"")))),"")</f>
        <v/>
      </c>
      <c r="FL375" t="str">
        <f>IF(EO375=1,IF(AND(EY375&gt;0,EY375&lt;TODAY(),ROUND(EU375,4)&lt;1),2,IF(FK375="",0,IF(ROUND(EU375-FK375,4)&lt;-0.15,1,0))),"")</f>
        <v/>
      </c>
      <c r="FM375">
        <f>IF(OR(FA375="",COUNTIF($FA$4:FA374,FA375)&gt;0),0,MAX(0,IF(FB375="Interne",IF(ISNUMBER(INDEX(Data!$F:$F,375)),INDEX(Data!$F:$F,375),p_HeuresETP),IF(ISNUMBER(INDEX(Data!$I:$I,375-$CD$23)),INDEX(Data!$I:$I,375-$CD$23),p_HeuresETP))-IF(FB375="Interne",IF(ISNUMBER(INDEX(Data!$G:$G,375)),INDEX(Data!$G:$G,375),p_ChargeFixe),IF(ISNUMBER(INDEX(Data!$J:$J,375-$CD$23)),INDEX(Data!$J:$J,375-$CD$23),p_ChargeFixe))))</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9" t="str">
        <f>IF(AND(D376=1,ISNUMBER(INDEX(Charge!$N:$N,ROW()))),INDEX(Charge!$N:$N,ROW()),"")</f>
        <v/>
      </c>
      <c r="J376" s="169"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70">
        <f>IF(OR($I376="",$E376=0),0,IF(OR($J376&lt;W$3,$I376&gt;W$2),0,IF($K376=0,IF(AND($I376&gt;=W$3,$I376&lt;=W$2),$E376,0),$E376*NETWORKDAYS(MAX($I376,W$3),MIN($J376,W$2),Data!$K$4:$K$203)/$K376)))</f>
        <v>0</v>
      </c>
      <c r="X376" s="170">
        <f>IF(OR($I376="",$E376=0),0,IF(OR($J376&lt;X$3,$I376&gt;X$2),0,IF($K376=0,IF(AND($I376&gt;=X$3,$I376&lt;=X$2),$E376,0),$E376*NETWORKDAYS(MAX($I376,X$3),MIN($J376,X$2),Data!$K$4:$K$203)/$K376)))</f>
        <v>0</v>
      </c>
      <c r="Y376" s="170">
        <f>IF(OR($I376="",$E376=0),0,IF(OR($J376&lt;Y$3,$I376&gt;Y$2),0,IF($K376=0,IF(AND($I376&gt;=Y$3,$I376&lt;=Y$2),$E376,0),$E376*NETWORKDAYS(MAX($I376,Y$3),MIN($J376,Y$2),Data!$K$4:$K$203)/$K376)))</f>
        <v>0</v>
      </c>
      <c r="Z376" s="170">
        <f>IF(OR($I376="",$E376=0),0,IF(OR($J376&lt;Z$3,$I376&gt;Z$2),0,IF($K376=0,IF(AND($I376&gt;=Z$3,$I376&lt;=Z$2),$E376,0),$E376*NETWORKDAYS(MAX($I376,Z$3),MIN($J376,Z$2),Data!$K$4:$K$203)/$K376)))</f>
        <v>0</v>
      </c>
      <c r="AA376" s="170">
        <f>IF(OR($I376="",$E376=0),0,IF(OR($J376&lt;AA$3,$I376&gt;AA$2),0,IF($K376=0,IF(AND($I376&gt;=AA$3,$I376&lt;=AA$2),$E376,0),$E376*NETWORKDAYS(MAX($I376,AA$3),MIN($J376,AA$2),Data!$K$4:$K$203)/$K376)))</f>
        <v>0</v>
      </c>
      <c r="AB376" s="170">
        <f>IF(OR($I376="",$E376=0),0,IF(OR($J376&lt;AB$3,$I376&gt;AB$2),0,IF($K376=0,IF(AND($I376&gt;=AB$3,$I376&lt;=AB$2),$E376,0),$E376*NETWORKDAYS(MAX($I376,AB$3),MIN($J376,AB$2),Data!$K$4:$K$203)/$K376)))</f>
        <v>0</v>
      </c>
      <c r="AC376" s="170">
        <f>IF(OR($I376="",$E376=0),0,IF(OR($J376&lt;AC$3,$I376&gt;AC$2),0,IF($K376=0,IF(AND($I376&gt;=AC$3,$I376&lt;=AC$2),$E376,0),$E376*NETWORKDAYS(MAX($I376,AC$3),MIN($J376,AC$2),Data!$K$4:$K$203)/$K376)))</f>
        <v>0</v>
      </c>
      <c r="AD376" s="170">
        <f>IF(OR($I376="",$E376=0),0,IF(OR($J376&lt;AD$3,$I376&gt;AD$2),0,IF($K376=0,IF(AND($I376&gt;=AD$3,$I376&lt;=AD$2),$E376,0),$E376*NETWORKDAYS(MAX($I376,AD$3),MIN($J376,AD$2),Data!$K$4:$K$203)/$K376)))</f>
        <v>0</v>
      </c>
      <c r="AE376" s="170">
        <f>IF(OR($I376="",$E376=0),0,IF(OR($J376&lt;AE$3,$I376&gt;AE$2),0,IF($K376=0,IF(AND($I376&gt;=AE$3,$I376&lt;=AE$2),$E376,0),$E376*NETWORKDAYS(MAX($I376,AE$3),MIN($J376,AE$2),Data!$K$4:$K$203)/$K376)))</f>
        <v>0</v>
      </c>
      <c r="AF376" s="170">
        <f>IF(OR($I376="",$E376=0),0,IF(OR($J376&lt;AF$3,$I376&gt;AF$2),0,IF($K376=0,IF(AND($I376&gt;=AF$3,$I376&lt;=AF$2),$E376,0),$E376*NETWORKDAYS(MAX($I376,AF$3),MIN($J376,AF$2),Data!$K$4:$K$203)/$K376)))</f>
        <v>0</v>
      </c>
      <c r="AG376" s="170">
        <f>IF(OR($I376="",$E376=0),0,IF(OR($J376&lt;AG$3,$I376&gt;AG$2),0,IF($K376=0,IF(AND($I376&gt;=AG$3,$I376&lt;=AG$2),$E376,0),$E376*NETWORKDAYS(MAX($I376,AG$3),MIN($J376,AG$2),Data!$K$4:$K$203)/$K376)))</f>
        <v>0</v>
      </c>
      <c r="AH376" s="170">
        <f>IF(OR($I376="",$E376=0),0,IF(OR($J376&lt;AH$3,$I376&gt;AH$2),0,IF($K376=0,IF(AND($I376&gt;=AH$3,$I376&lt;=AH$2),$E376,0),$E376*NETWORKDAYS(MAX($I376,AH$3),MIN($J376,AH$2),Data!$K$4:$K$203)/$K376)))</f>
        <v>0</v>
      </c>
      <c r="AI376" s="170">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70"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4" t="str">
        <f>IF(EO376=1,IF(FH376&gt;0,FI376/FH376,AVERAGEIF($FF$4:$FF$503,EN376,$C$4:$C$503)),"")</f>
        <v/>
      </c>
      <c r="EV376" s="169">
        <f>IF(ISNUMBER(I376),I376,2958465)</f>
        <v>2958465.0</v>
      </c>
      <c r="EW376" s="169" t="str">
        <f>IF(EO376=1,SUMPRODUCT(MIN(($EN$4:$EN$503=EN376)*$EV$4:$EV$503+($EN$4:$EN$503&lt;&gt;EN376)*2958465)),"")</f>
        <v/>
      </c>
      <c r="EX376" s="169">
        <f>IF(AND(D376=1,ISNUMBER(INDEX(Charge!$F:$F,ROW()))),INDEX(Charge!$F:$F,ROW()),0)</f>
        <v>0.0</v>
      </c>
      <c r="EY376" s="169"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c r="FF376" t="str">
        <f>IF(B376=1,LEFT(SUBSTITUTE(SUBSTITUTE(SUBSTITUTE(TRIM(SUBSTITUTE(INDEX(Charge!$B:$B,ROW()),CHAR(160)," "))&amp;" | "&amp;TRIM(SUBSTITUTE(INDEX(Charge!$C:$C,ROW()),CHAR(160)," "))&amp;" | "&amp;TRIM(SUBSTITUTE(INDEX(Charge!$D:$D,ROW()),CHAR(160)," ")),"~","-"),"*","+"),"?","!"),240),"")</f>
        <v/>
      </c>
      <c r="FG376">
        <f>IF(B376=1,MAX(0,N(INDEX(Charge!$M:$M,ROW()))),0)</f>
        <v>0</v>
      </c>
      <c r="FH376" s="170" t="str">
        <f>IF(EO376=1,ROUND(SUMIF($FF$4:$FF$503,EN376,$FG$4:$FG$503),2),"")</f>
        <v/>
      </c>
      <c r="FI376" s="170" t="str">
        <f>IF(EO376=1,ROUND(SUMPRODUCT(($FF$4:$FF$503=EN376)*$FG$4:$FG$503*$C$4:$C$503),2),"")</f>
        <v/>
      </c>
      <c r="FJ376" s="170" t="str">
        <f>IF(EO376=1,MAX(0,ROUND(FH376-FI376,2)),"")</f>
        <v/>
      </c>
      <c r="FK376" s="174" t="str">
        <f>IF(EO376=1,IF(OR(EW376&gt;=2958465,EY376=0,EY376&lt;=EW376),"",IF(TODAY()&lt;=EW376,0,IF(TODAY()&gt;EY376,1,IFERROR(NETWORKDAYS(EW376,TODAY()-1,Data!$K$4:$K$203)/NETWORKDAYS(EW376,EY376,Data!$K$4:$K$203),"")))),"")</f>
        <v/>
      </c>
      <c r="FL376" t="str">
        <f>IF(EO376=1,IF(AND(EY376&gt;0,EY376&lt;TODAY(),ROUND(EU376,4)&lt;1),2,IF(FK376="",0,IF(ROUND(EU376-FK376,4)&lt;-0.15,1,0))),"")</f>
        <v/>
      </c>
      <c r="FM376">
        <f>IF(OR(FA376="",COUNTIF($FA$4:FA375,FA376)&gt;0),0,MAX(0,IF(FB376="Interne",IF(ISNUMBER(INDEX(Data!$F:$F,376)),INDEX(Data!$F:$F,376),p_HeuresETP),IF(ISNUMBER(INDEX(Data!$I:$I,376-$CD$23)),INDEX(Data!$I:$I,376-$CD$23),p_HeuresETP))-IF(FB376="Interne",IF(ISNUMBER(INDEX(Data!$G:$G,376)),INDEX(Data!$G:$G,376),p_ChargeFixe),IF(ISNUMBER(INDEX(Data!$J:$J,376-$CD$23)),INDEX(Data!$J:$J,376-$CD$23),p_ChargeFixe))))</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9" t="str">
        <f>IF(AND(D377=1,ISNUMBER(INDEX(Charge!$N:$N,ROW()))),INDEX(Charge!$N:$N,ROW()),"")</f>
        <v/>
      </c>
      <c r="J377" s="169"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70">
        <f>IF(OR($I377="",$E377=0),0,IF(OR($J377&lt;W$3,$I377&gt;W$2),0,IF($K377=0,IF(AND($I377&gt;=W$3,$I377&lt;=W$2),$E377,0),$E377*NETWORKDAYS(MAX($I377,W$3),MIN($J377,W$2),Data!$K$4:$K$203)/$K377)))</f>
        <v>0</v>
      </c>
      <c r="X377" s="170">
        <f>IF(OR($I377="",$E377=0),0,IF(OR($J377&lt;X$3,$I377&gt;X$2),0,IF($K377=0,IF(AND($I377&gt;=X$3,$I377&lt;=X$2),$E377,0),$E377*NETWORKDAYS(MAX($I377,X$3),MIN($J377,X$2),Data!$K$4:$K$203)/$K377)))</f>
        <v>0</v>
      </c>
      <c r="Y377" s="170">
        <f>IF(OR($I377="",$E377=0),0,IF(OR($J377&lt;Y$3,$I377&gt;Y$2),0,IF($K377=0,IF(AND($I377&gt;=Y$3,$I377&lt;=Y$2),$E377,0),$E377*NETWORKDAYS(MAX($I377,Y$3),MIN($J377,Y$2),Data!$K$4:$K$203)/$K377)))</f>
        <v>0</v>
      </c>
      <c r="Z377" s="170">
        <f>IF(OR($I377="",$E377=0),0,IF(OR($J377&lt;Z$3,$I377&gt;Z$2),0,IF($K377=0,IF(AND($I377&gt;=Z$3,$I377&lt;=Z$2),$E377,0),$E377*NETWORKDAYS(MAX($I377,Z$3),MIN($J377,Z$2),Data!$K$4:$K$203)/$K377)))</f>
        <v>0</v>
      </c>
      <c r="AA377" s="170">
        <f>IF(OR($I377="",$E377=0),0,IF(OR($J377&lt;AA$3,$I377&gt;AA$2),0,IF($K377=0,IF(AND($I377&gt;=AA$3,$I377&lt;=AA$2),$E377,0),$E377*NETWORKDAYS(MAX($I377,AA$3),MIN($J377,AA$2),Data!$K$4:$K$203)/$K377)))</f>
        <v>0</v>
      </c>
      <c r="AB377" s="170">
        <f>IF(OR($I377="",$E377=0),0,IF(OR($J377&lt;AB$3,$I377&gt;AB$2),0,IF($K377=0,IF(AND($I377&gt;=AB$3,$I377&lt;=AB$2),$E377,0),$E377*NETWORKDAYS(MAX($I377,AB$3),MIN($J377,AB$2),Data!$K$4:$K$203)/$K377)))</f>
        <v>0</v>
      </c>
      <c r="AC377" s="170">
        <f>IF(OR($I377="",$E377=0),0,IF(OR($J377&lt;AC$3,$I377&gt;AC$2),0,IF($K377=0,IF(AND($I377&gt;=AC$3,$I377&lt;=AC$2),$E377,0),$E377*NETWORKDAYS(MAX($I377,AC$3),MIN($J377,AC$2),Data!$K$4:$K$203)/$K377)))</f>
        <v>0</v>
      </c>
      <c r="AD377" s="170">
        <f>IF(OR($I377="",$E377=0),0,IF(OR($J377&lt;AD$3,$I377&gt;AD$2),0,IF($K377=0,IF(AND($I377&gt;=AD$3,$I377&lt;=AD$2),$E377,0),$E377*NETWORKDAYS(MAX($I377,AD$3),MIN($J377,AD$2),Data!$K$4:$K$203)/$K377)))</f>
        <v>0</v>
      </c>
      <c r="AE377" s="170">
        <f>IF(OR($I377="",$E377=0),0,IF(OR($J377&lt;AE$3,$I377&gt;AE$2),0,IF($K377=0,IF(AND($I377&gt;=AE$3,$I377&lt;=AE$2),$E377,0),$E377*NETWORKDAYS(MAX($I377,AE$3),MIN($J377,AE$2),Data!$K$4:$K$203)/$K377)))</f>
        <v>0</v>
      </c>
      <c r="AF377" s="170">
        <f>IF(OR($I377="",$E377=0),0,IF(OR($J377&lt;AF$3,$I377&gt;AF$2),0,IF($K377=0,IF(AND($I377&gt;=AF$3,$I377&lt;=AF$2),$E377,0),$E377*NETWORKDAYS(MAX($I377,AF$3),MIN($J377,AF$2),Data!$K$4:$K$203)/$K377)))</f>
        <v>0</v>
      </c>
      <c r="AG377" s="170">
        <f>IF(OR($I377="",$E377=0),0,IF(OR($J377&lt;AG$3,$I377&gt;AG$2),0,IF($K377=0,IF(AND($I377&gt;=AG$3,$I377&lt;=AG$2),$E377,0),$E377*NETWORKDAYS(MAX($I377,AG$3),MIN($J377,AG$2),Data!$K$4:$K$203)/$K377)))</f>
        <v>0</v>
      </c>
      <c r="AH377" s="170">
        <f>IF(OR($I377="",$E377=0),0,IF(OR($J377&lt;AH$3,$I377&gt;AH$2),0,IF($K377=0,IF(AND($I377&gt;=AH$3,$I377&lt;=AH$2),$E377,0),$E377*NETWORKDAYS(MAX($I377,AH$3),MIN($J377,AH$2),Data!$K$4:$K$203)/$K377)))</f>
        <v>0</v>
      </c>
      <c r="AI377" s="170">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70"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4" t="str">
        <f>IF(EO377=1,IF(FH377&gt;0,FI377/FH377,AVERAGEIF($FF$4:$FF$503,EN377,$C$4:$C$503)),"")</f>
        <v/>
      </c>
      <c r="EV377" s="169">
        <f>IF(ISNUMBER(I377),I377,2958465)</f>
        <v>2958465.0</v>
      </c>
      <c r="EW377" s="169" t="str">
        <f>IF(EO377=1,SUMPRODUCT(MIN(($EN$4:$EN$503=EN377)*$EV$4:$EV$503+($EN$4:$EN$503&lt;&gt;EN377)*2958465)),"")</f>
        <v/>
      </c>
      <c r="EX377" s="169">
        <f>IF(AND(D377=1,ISNUMBER(INDEX(Charge!$F:$F,ROW()))),INDEX(Charge!$F:$F,ROW()),0)</f>
        <v>0.0</v>
      </c>
      <c r="EY377" s="169"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c r="FF377" t="str">
        <f>IF(B377=1,LEFT(SUBSTITUTE(SUBSTITUTE(SUBSTITUTE(TRIM(SUBSTITUTE(INDEX(Charge!$B:$B,ROW()),CHAR(160)," "))&amp;" | "&amp;TRIM(SUBSTITUTE(INDEX(Charge!$C:$C,ROW()),CHAR(160)," "))&amp;" | "&amp;TRIM(SUBSTITUTE(INDEX(Charge!$D:$D,ROW()),CHAR(160)," ")),"~","-"),"*","+"),"?","!"),240),"")</f>
        <v/>
      </c>
      <c r="FG377">
        <f>IF(B377=1,MAX(0,N(INDEX(Charge!$M:$M,ROW()))),0)</f>
        <v>0</v>
      </c>
      <c r="FH377" s="170" t="str">
        <f>IF(EO377=1,ROUND(SUMIF($FF$4:$FF$503,EN377,$FG$4:$FG$503),2),"")</f>
        <v/>
      </c>
      <c r="FI377" s="170" t="str">
        <f>IF(EO377=1,ROUND(SUMPRODUCT(($FF$4:$FF$503=EN377)*$FG$4:$FG$503*$C$4:$C$503),2),"")</f>
        <v/>
      </c>
      <c r="FJ377" s="170" t="str">
        <f>IF(EO377=1,MAX(0,ROUND(FH377-FI377,2)),"")</f>
        <v/>
      </c>
      <c r="FK377" s="174" t="str">
        <f>IF(EO377=1,IF(OR(EW377&gt;=2958465,EY377=0,EY377&lt;=EW377),"",IF(TODAY()&lt;=EW377,0,IF(TODAY()&gt;EY377,1,IFERROR(NETWORKDAYS(EW377,TODAY()-1,Data!$K$4:$K$203)/NETWORKDAYS(EW377,EY377,Data!$K$4:$K$203),"")))),"")</f>
        <v/>
      </c>
      <c r="FL377" t="str">
        <f>IF(EO377=1,IF(AND(EY377&gt;0,EY377&lt;TODAY(),ROUND(EU377,4)&lt;1),2,IF(FK377="",0,IF(ROUND(EU377-FK377,4)&lt;-0.15,1,0))),"")</f>
        <v/>
      </c>
      <c r="FM377">
        <f>IF(OR(FA377="",COUNTIF($FA$4:FA376,FA377)&gt;0),0,MAX(0,IF(FB377="Interne",IF(ISNUMBER(INDEX(Data!$F:$F,377)),INDEX(Data!$F:$F,377),p_HeuresETP),IF(ISNUMBER(INDEX(Data!$I:$I,377-$CD$23)),INDEX(Data!$I:$I,377-$CD$23),p_HeuresETP))-IF(FB377="Interne",IF(ISNUMBER(INDEX(Data!$G:$G,377)),INDEX(Data!$G:$G,377),p_ChargeFixe),IF(ISNUMBER(INDEX(Data!$J:$J,377-$CD$23)),INDEX(Data!$J:$J,377-$CD$23),p_ChargeFixe))))</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9" t="str">
        <f>IF(AND(D378=1,ISNUMBER(INDEX(Charge!$N:$N,ROW()))),INDEX(Charge!$N:$N,ROW()),"")</f>
        <v/>
      </c>
      <c r="J378" s="169"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70">
        <f>IF(OR($I378="",$E378=0),0,IF(OR($J378&lt;W$3,$I378&gt;W$2),0,IF($K378=0,IF(AND($I378&gt;=W$3,$I378&lt;=W$2),$E378,0),$E378*NETWORKDAYS(MAX($I378,W$3),MIN($J378,W$2),Data!$K$4:$K$203)/$K378)))</f>
        <v>0</v>
      </c>
      <c r="X378" s="170">
        <f>IF(OR($I378="",$E378=0),0,IF(OR($J378&lt;X$3,$I378&gt;X$2),0,IF($K378=0,IF(AND($I378&gt;=X$3,$I378&lt;=X$2),$E378,0),$E378*NETWORKDAYS(MAX($I378,X$3),MIN($J378,X$2),Data!$K$4:$K$203)/$K378)))</f>
        <v>0</v>
      </c>
      <c r="Y378" s="170">
        <f>IF(OR($I378="",$E378=0),0,IF(OR($J378&lt;Y$3,$I378&gt;Y$2),0,IF($K378=0,IF(AND($I378&gt;=Y$3,$I378&lt;=Y$2),$E378,0),$E378*NETWORKDAYS(MAX($I378,Y$3),MIN($J378,Y$2),Data!$K$4:$K$203)/$K378)))</f>
        <v>0</v>
      </c>
      <c r="Z378" s="170">
        <f>IF(OR($I378="",$E378=0),0,IF(OR($J378&lt;Z$3,$I378&gt;Z$2),0,IF($K378=0,IF(AND($I378&gt;=Z$3,$I378&lt;=Z$2),$E378,0),$E378*NETWORKDAYS(MAX($I378,Z$3),MIN($J378,Z$2),Data!$K$4:$K$203)/$K378)))</f>
        <v>0</v>
      </c>
      <c r="AA378" s="170">
        <f>IF(OR($I378="",$E378=0),0,IF(OR($J378&lt;AA$3,$I378&gt;AA$2),0,IF($K378=0,IF(AND($I378&gt;=AA$3,$I378&lt;=AA$2),$E378,0),$E378*NETWORKDAYS(MAX($I378,AA$3),MIN($J378,AA$2),Data!$K$4:$K$203)/$K378)))</f>
        <v>0</v>
      </c>
      <c r="AB378" s="170">
        <f>IF(OR($I378="",$E378=0),0,IF(OR($J378&lt;AB$3,$I378&gt;AB$2),0,IF($K378=0,IF(AND($I378&gt;=AB$3,$I378&lt;=AB$2),$E378,0),$E378*NETWORKDAYS(MAX($I378,AB$3),MIN($J378,AB$2),Data!$K$4:$K$203)/$K378)))</f>
        <v>0</v>
      </c>
      <c r="AC378" s="170">
        <f>IF(OR($I378="",$E378=0),0,IF(OR($J378&lt;AC$3,$I378&gt;AC$2),0,IF($K378=0,IF(AND($I378&gt;=AC$3,$I378&lt;=AC$2),$E378,0),$E378*NETWORKDAYS(MAX($I378,AC$3),MIN($J378,AC$2),Data!$K$4:$K$203)/$K378)))</f>
        <v>0</v>
      </c>
      <c r="AD378" s="170">
        <f>IF(OR($I378="",$E378=0),0,IF(OR($J378&lt;AD$3,$I378&gt;AD$2),0,IF($K378=0,IF(AND($I378&gt;=AD$3,$I378&lt;=AD$2),$E378,0),$E378*NETWORKDAYS(MAX($I378,AD$3),MIN($J378,AD$2),Data!$K$4:$K$203)/$K378)))</f>
        <v>0</v>
      </c>
      <c r="AE378" s="170">
        <f>IF(OR($I378="",$E378=0),0,IF(OR($J378&lt;AE$3,$I378&gt;AE$2),0,IF($K378=0,IF(AND($I378&gt;=AE$3,$I378&lt;=AE$2),$E378,0),$E378*NETWORKDAYS(MAX($I378,AE$3),MIN($J378,AE$2),Data!$K$4:$K$203)/$K378)))</f>
        <v>0</v>
      </c>
      <c r="AF378" s="170">
        <f>IF(OR($I378="",$E378=0),0,IF(OR($J378&lt;AF$3,$I378&gt;AF$2),0,IF($K378=0,IF(AND($I378&gt;=AF$3,$I378&lt;=AF$2),$E378,0),$E378*NETWORKDAYS(MAX($I378,AF$3),MIN($J378,AF$2),Data!$K$4:$K$203)/$K378)))</f>
        <v>0</v>
      </c>
      <c r="AG378" s="170">
        <f>IF(OR($I378="",$E378=0),0,IF(OR($J378&lt;AG$3,$I378&gt;AG$2),0,IF($K378=0,IF(AND($I378&gt;=AG$3,$I378&lt;=AG$2),$E378,0),$E378*NETWORKDAYS(MAX($I378,AG$3),MIN($J378,AG$2),Data!$K$4:$K$203)/$K378)))</f>
        <v>0</v>
      </c>
      <c r="AH378" s="170">
        <f>IF(OR($I378="",$E378=0),0,IF(OR($J378&lt;AH$3,$I378&gt;AH$2),0,IF($K378=0,IF(AND($I378&gt;=AH$3,$I378&lt;=AH$2),$E378,0),$E378*NETWORKDAYS(MAX($I378,AH$3),MIN($J378,AH$2),Data!$K$4:$K$203)/$K378)))</f>
        <v>0</v>
      </c>
      <c r="AI378" s="170">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70"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4" t="str">
        <f>IF(EO378=1,IF(FH378&gt;0,FI378/FH378,AVERAGEIF($FF$4:$FF$503,EN378,$C$4:$C$503)),"")</f>
        <v/>
      </c>
      <c r="EV378" s="169">
        <f>IF(ISNUMBER(I378),I378,2958465)</f>
        <v>2958465.0</v>
      </c>
      <c r="EW378" s="169" t="str">
        <f>IF(EO378=1,SUMPRODUCT(MIN(($EN$4:$EN$503=EN378)*$EV$4:$EV$503+($EN$4:$EN$503&lt;&gt;EN378)*2958465)),"")</f>
        <v/>
      </c>
      <c r="EX378" s="169">
        <f>IF(AND(D378=1,ISNUMBER(INDEX(Charge!$F:$F,ROW()))),INDEX(Charge!$F:$F,ROW()),0)</f>
        <v>0.0</v>
      </c>
      <c r="EY378" s="169"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c r="FF378" t="str">
        <f>IF(B378=1,LEFT(SUBSTITUTE(SUBSTITUTE(SUBSTITUTE(TRIM(SUBSTITUTE(INDEX(Charge!$B:$B,ROW()),CHAR(160)," "))&amp;" | "&amp;TRIM(SUBSTITUTE(INDEX(Charge!$C:$C,ROW()),CHAR(160)," "))&amp;" | "&amp;TRIM(SUBSTITUTE(INDEX(Charge!$D:$D,ROW()),CHAR(160)," ")),"~","-"),"*","+"),"?","!"),240),"")</f>
        <v/>
      </c>
      <c r="FG378">
        <f>IF(B378=1,MAX(0,N(INDEX(Charge!$M:$M,ROW()))),0)</f>
        <v>0</v>
      </c>
      <c r="FH378" s="170" t="str">
        <f>IF(EO378=1,ROUND(SUMIF($FF$4:$FF$503,EN378,$FG$4:$FG$503),2),"")</f>
        <v/>
      </c>
      <c r="FI378" s="170" t="str">
        <f>IF(EO378=1,ROUND(SUMPRODUCT(($FF$4:$FF$503=EN378)*$FG$4:$FG$503*$C$4:$C$503),2),"")</f>
        <v/>
      </c>
      <c r="FJ378" s="170" t="str">
        <f>IF(EO378=1,MAX(0,ROUND(FH378-FI378,2)),"")</f>
        <v/>
      </c>
      <c r="FK378" s="174" t="str">
        <f>IF(EO378=1,IF(OR(EW378&gt;=2958465,EY378=0,EY378&lt;=EW378),"",IF(TODAY()&lt;=EW378,0,IF(TODAY()&gt;EY378,1,IFERROR(NETWORKDAYS(EW378,TODAY()-1,Data!$K$4:$K$203)/NETWORKDAYS(EW378,EY378,Data!$K$4:$K$203),"")))),"")</f>
        <v/>
      </c>
      <c r="FL378" t="str">
        <f>IF(EO378=1,IF(AND(EY378&gt;0,EY378&lt;TODAY(),ROUND(EU378,4)&lt;1),2,IF(FK378="",0,IF(ROUND(EU378-FK378,4)&lt;-0.15,1,0))),"")</f>
        <v/>
      </c>
      <c r="FM378">
        <f>IF(OR(FA378="",COUNTIF($FA$4:FA377,FA378)&gt;0),0,MAX(0,IF(FB378="Interne",IF(ISNUMBER(INDEX(Data!$F:$F,378)),INDEX(Data!$F:$F,378),p_HeuresETP),IF(ISNUMBER(INDEX(Data!$I:$I,378-$CD$23)),INDEX(Data!$I:$I,378-$CD$23),p_HeuresETP))-IF(FB378="Interne",IF(ISNUMBER(INDEX(Data!$G:$G,378)),INDEX(Data!$G:$G,378),p_ChargeFixe),IF(ISNUMBER(INDEX(Data!$J:$J,378-$CD$23)),INDEX(Data!$J:$J,378-$CD$23),p_ChargeFixe))))</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9" t="str">
        <f>IF(AND(D379=1,ISNUMBER(INDEX(Charge!$N:$N,ROW()))),INDEX(Charge!$N:$N,ROW()),"")</f>
        <v/>
      </c>
      <c r="J379" s="169"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70">
        <f>IF(OR($I379="",$E379=0),0,IF(OR($J379&lt;W$3,$I379&gt;W$2),0,IF($K379=0,IF(AND($I379&gt;=W$3,$I379&lt;=W$2),$E379,0),$E379*NETWORKDAYS(MAX($I379,W$3),MIN($J379,W$2),Data!$K$4:$K$203)/$K379)))</f>
        <v>0</v>
      </c>
      <c r="X379" s="170">
        <f>IF(OR($I379="",$E379=0),0,IF(OR($J379&lt;X$3,$I379&gt;X$2),0,IF($K379=0,IF(AND($I379&gt;=X$3,$I379&lt;=X$2),$E379,0),$E379*NETWORKDAYS(MAX($I379,X$3),MIN($J379,X$2),Data!$K$4:$K$203)/$K379)))</f>
        <v>0</v>
      </c>
      <c r="Y379" s="170">
        <f>IF(OR($I379="",$E379=0),0,IF(OR($J379&lt;Y$3,$I379&gt;Y$2),0,IF($K379=0,IF(AND($I379&gt;=Y$3,$I379&lt;=Y$2),$E379,0),$E379*NETWORKDAYS(MAX($I379,Y$3),MIN($J379,Y$2),Data!$K$4:$K$203)/$K379)))</f>
        <v>0</v>
      </c>
      <c r="Z379" s="170">
        <f>IF(OR($I379="",$E379=0),0,IF(OR($J379&lt;Z$3,$I379&gt;Z$2),0,IF($K379=0,IF(AND($I379&gt;=Z$3,$I379&lt;=Z$2),$E379,0),$E379*NETWORKDAYS(MAX($I379,Z$3),MIN($J379,Z$2),Data!$K$4:$K$203)/$K379)))</f>
        <v>0</v>
      </c>
      <c r="AA379" s="170">
        <f>IF(OR($I379="",$E379=0),0,IF(OR($J379&lt;AA$3,$I379&gt;AA$2),0,IF($K379=0,IF(AND($I379&gt;=AA$3,$I379&lt;=AA$2),$E379,0),$E379*NETWORKDAYS(MAX($I379,AA$3),MIN($J379,AA$2),Data!$K$4:$K$203)/$K379)))</f>
        <v>0</v>
      </c>
      <c r="AB379" s="170">
        <f>IF(OR($I379="",$E379=0),0,IF(OR($J379&lt;AB$3,$I379&gt;AB$2),0,IF($K379=0,IF(AND($I379&gt;=AB$3,$I379&lt;=AB$2),$E379,0),$E379*NETWORKDAYS(MAX($I379,AB$3),MIN($J379,AB$2),Data!$K$4:$K$203)/$K379)))</f>
        <v>0</v>
      </c>
      <c r="AC379" s="170">
        <f>IF(OR($I379="",$E379=0),0,IF(OR($J379&lt;AC$3,$I379&gt;AC$2),0,IF($K379=0,IF(AND($I379&gt;=AC$3,$I379&lt;=AC$2),$E379,0),$E379*NETWORKDAYS(MAX($I379,AC$3),MIN($J379,AC$2),Data!$K$4:$K$203)/$K379)))</f>
        <v>0</v>
      </c>
      <c r="AD379" s="170">
        <f>IF(OR($I379="",$E379=0),0,IF(OR($J379&lt;AD$3,$I379&gt;AD$2),0,IF($K379=0,IF(AND($I379&gt;=AD$3,$I379&lt;=AD$2),$E379,0),$E379*NETWORKDAYS(MAX($I379,AD$3),MIN($J379,AD$2),Data!$K$4:$K$203)/$K379)))</f>
        <v>0</v>
      </c>
      <c r="AE379" s="170">
        <f>IF(OR($I379="",$E379=0),0,IF(OR($J379&lt;AE$3,$I379&gt;AE$2),0,IF($K379=0,IF(AND($I379&gt;=AE$3,$I379&lt;=AE$2),$E379,0),$E379*NETWORKDAYS(MAX($I379,AE$3),MIN($J379,AE$2),Data!$K$4:$K$203)/$K379)))</f>
        <v>0</v>
      </c>
      <c r="AF379" s="170">
        <f>IF(OR($I379="",$E379=0),0,IF(OR($J379&lt;AF$3,$I379&gt;AF$2),0,IF($K379=0,IF(AND($I379&gt;=AF$3,$I379&lt;=AF$2),$E379,0),$E379*NETWORKDAYS(MAX($I379,AF$3),MIN($J379,AF$2),Data!$K$4:$K$203)/$K379)))</f>
        <v>0</v>
      </c>
      <c r="AG379" s="170">
        <f>IF(OR($I379="",$E379=0),0,IF(OR($J379&lt;AG$3,$I379&gt;AG$2),0,IF($K379=0,IF(AND($I379&gt;=AG$3,$I379&lt;=AG$2),$E379,0),$E379*NETWORKDAYS(MAX($I379,AG$3),MIN($J379,AG$2),Data!$K$4:$K$203)/$K379)))</f>
        <v>0</v>
      </c>
      <c r="AH379" s="170">
        <f>IF(OR($I379="",$E379=0),0,IF(OR($J379&lt;AH$3,$I379&gt;AH$2),0,IF($K379=0,IF(AND($I379&gt;=AH$3,$I379&lt;=AH$2),$E379,0),$E379*NETWORKDAYS(MAX($I379,AH$3),MIN($J379,AH$2),Data!$K$4:$K$203)/$K379)))</f>
        <v>0</v>
      </c>
      <c r="AI379" s="170">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70"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4" t="str">
        <f>IF(EO379=1,IF(FH379&gt;0,FI379/FH379,AVERAGEIF($FF$4:$FF$503,EN379,$C$4:$C$503)),"")</f>
        <v/>
      </c>
      <c r="EV379" s="169">
        <f>IF(ISNUMBER(I379),I379,2958465)</f>
        <v>2958465.0</v>
      </c>
      <c r="EW379" s="169" t="str">
        <f>IF(EO379=1,SUMPRODUCT(MIN(($EN$4:$EN$503=EN379)*$EV$4:$EV$503+($EN$4:$EN$503&lt;&gt;EN379)*2958465)),"")</f>
        <v/>
      </c>
      <c r="EX379" s="169">
        <f>IF(AND(D379=1,ISNUMBER(INDEX(Charge!$F:$F,ROW()))),INDEX(Charge!$F:$F,ROW()),0)</f>
        <v>0.0</v>
      </c>
      <c r="EY379" s="169"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c r="FF379" t="str">
        <f>IF(B379=1,LEFT(SUBSTITUTE(SUBSTITUTE(SUBSTITUTE(TRIM(SUBSTITUTE(INDEX(Charge!$B:$B,ROW()),CHAR(160)," "))&amp;" | "&amp;TRIM(SUBSTITUTE(INDEX(Charge!$C:$C,ROW()),CHAR(160)," "))&amp;" | "&amp;TRIM(SUBSTITUTE(INDEX(Charge!$D:$D,ROW()),CHAR(160)," ")),"~","-"),"*","+"),"?","!"),240),"")</f>
        <v/>
      </c>
      <c r="FG379">
        <f>IF(B379=1,MAX(0,N(INDEX(Charge!$M:$M,ROW()))),0)</f>
        <v>0</v>
      </c>
      <c r="FH379" s="170" t="str">
        <f>IF(EO379=1,ROUND(SUMIF($FF$4:$FF$503,EN379,$FG$4:$FG$503),2),"")</f>
        <v/>
      </c>
      <c r="FI379" s="170" t="str">
        <f>IF(EO379=1,ROUND(SUMPRODUCT(($FF$4:$FF$503=EN379)*$FG$4:$FG$503*$C$4:$C$503),2),"")</f>
        <v/>
      </c>
      <c r="FJ379" s="170" t="str">
        <f>IF(EO379=1,MAX(0,ROUND(FH379-FI379,2)),"")</f>
        <v/>
      </c>
      <c r="FK379" s="174" t="str">
        <f>IF(EO379=1,IF(OR(EW379&gt;=2958465,EY379=0,EY379&lt;=EW379),"",IF(TODAY()&lt;=EW379,0,IF(TODAY()&gt;EY379,1,IFERROR(NETWORKDAYS(EW379,TODAY()-1,Data!$K$4:$K$203)/NETWORKDAYS(EW379,EY379,Data!$K$4:$K$203),"")))),"")</f>
        <v/>
      </c>
      <c r="FL379" t="str">
        <f>IF(EO379=1,IF(AND(EY379&gt;0,EY379&lt;TODAY(),ROUND(EU379,4)&lt;1),2,IF(FK379="",0,IF(ROUND(EU379-FK379,4)&lt;-0.15,1,0))),"")</f>
        <v/>
      </c>
      <c r="FM379">
        <f>IF(OR(FA379="",COUNTIF($FA$4:FA378,FA379)&gt;0),0,MAX(0,IF(FB379="Interne",IF(ISNUMBER(INDEX(Data!$F:$F,379)),INDEX(Data!$F:$F,379),p_HeuresETP),IF(ISNUMBER(INDEX(Data!$I:$I,379-$CD$23)),INDEX(Data!$I:$I,379-$CD$23),p_HeuresETP))-IF(FB379="Interne",IF(ISNUMBER(INDEX(Data!$G:$G,379)),INDEX(Data!$G:$G,379),p_ChargeFixe),IF(ISNUMBER(INDEX(Data!$J:$J,379-$CD$23)),INDEX(Data!$J:$J,379-$CD$23),p_ChargeFixe))))</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9" t="str">
        <f>IF(AND(D380=1,ISNUMBER(INDEX(Charge!$N:$N,ROW()))),INDEX(Charge!$N:$N,ROW()),"")</f>
        <v/>
      </c>
      <c r="J380" s="169"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70">
        <f>IF(OR($I380="",$E380=0),0,IF(OR($J380&lt;W$3,$I380&gt;W$2),0,IF($K380=0,IF(AND($I380&gt;=W$3,$I380&lt;=W$2),$E380,0),$E380*NETWORKDAYS(MAX($I380,W$3),MIN($J380,W$2),Data!$K$4:$K$203)/$K380)))</f>
        <v>0</v>
      </c>
      <c r="X380" s="170">
        <f>IF(OR($I380="",$E380=0),0,IF(OR($J380&lt;X$3,$I380&gt;X$2),0,IF($K380=0,IF(AND($I380&gt;=X$3,$I380&lt;=X$2),$E380,0),$E380*NETWORKDAYS(MAX($I380,X$3),MIN($J380,X$2),Data!$K$4:$K$203)/$K380)))</f>
        <v>0</v>
      </c>
      <c r="Y380" s="170">
        <f>IF(OR($I380="",$E380=0),0,IF(OR($J380&lt;Y$3,$I380&gt;Y$2),0,IF($K380=0,IF(AND($I380&gt;=Y$3,$I380&lt;=Y$2),$E380,0),$E380*NETWORKDAYS(MAX($I380,Y$3),MIN($J380,Y$2),Data!$K$4:$K$203)/$K380)))</f>
        <v>0</v>
      </c>
      <c r="Z380" s="170">
        <f>IF(OR($I380="",$E380=0),0,IF(OR($J380&lt;Z$3,$I380&gt;Z$2),0,IF($K380=0,IF(AND($I380&gt;=Z$3,$I380&lt;=Z$2),$E380,0),$E380*NETWORKDAYS(MAX($I380,Z$3),MIN($J380,Z$2),Data!$K$4:$K$203)/$K380)))</f>
        <v>0</v>
      </c>
      <c r="AA380" s="170">
        <f>IF(OR($I380="",$E380=0),0,IF(OR($J380&lt;AA$3,$I380&gt;AA$2),0,IF($K380=0,IF(AND($I380&gt;=AA$3,$I380&lt;=AA$2),$E380,0),$E380*NETWORKDAYS(MAX($I380,AA$3),MIN($J380,AA$2),Data!$K$4:$K$203)/$K380)))</f>
        <v>0</v>
      </c>
      <c r="AB380" s="170">
        <f>IF(OR($I380="",$E380=0),0,IF(OR($J380&lt;AB$3,$I380&gt;AB$2),0,IF($K380=0,IF(AND($I380&gt;=AB$3,$I380&lt;=AB$2),$E380,0),$E380*NETWORKDAYS(MAX($I380,AB$3),MIN($J380,AB$2),Data!$K$4:$K$203)/$K380)))</f>
        <v>0</v>
      </c>
      <c r="AC380" s="170">
        <f>IF(OR($I380="",$E380=0),0,IF(OR($J380&lt;AC$3,$I380&gt;AC$2),0,IF($K380=0,IF(AND($I380&gt;=AC$3,$I380&lt;=AC$2),$E380,0),$E380*NETWORKDAYS(MAX($I380,AC$3),MIN($J380,AC$2),Data!$K$4:$K$203)/$K380)))</f>
        <v>0</v>
      </c>
      <c r="AD380" s="170">
        <f>IF(OR($I380="",$E380=0),0,IF(OR($J380&lt;AD$3,$I380&gt;AD$2),0,IF($K380=0,IF(AND($I380&gt;=AD$3,$I380&lt;=AD$2),$E380,0),$E380*NETWORKDAYS(MAX($I380,AD$3),MIN($J380,AD$2),Data!$K$4:$K$203)/$K380)))</f>
        <v>0</v>
      </c>
      <c r="AE380" s="170">
        <f>IF(OR($I380="",$E380=0),0,IF(OR($J380&lt;AE$3,$I380&gt;AE$2),0,IF($K380=0,IF(AND($I380&gt;=AE$3,$I380&lt;=AE$2),$E380,0),$E380*NETWORKDAYS(MAX($I380,AE$3),MIN($J380,AE$2),Data!$K$4:$K$203)/$K380)))</f>
        <v>0</v>
      </c>
      <c r="AF380" s="170">
        <f>IF(OR($I380="",$E380=0),0,IF(OR($J380&lt;AF$3,$I380&gt;AF$2),0,IF($K380=0,IF(AND($I380&gt;=AF$3,$I380&lt;=AF$2),$E380,0),$E380*NETWORKDAYS(MAX($I380,AF$3),MIN($J380,AF$2),Data!$K$4:$K$203)/$K380)))</f>
        <v>0</v>
      </c>
      <c r="AG380" s="170">
        <f>IF(OR($I380="",$E380=0),0,IF(OR($J380&lt;AG$3,$I380&gt;AG$2),0,IF($K380=0,IF(AND($I380&gt;=AG$3,$I380&lt;=AG$2),$E380,0),$E380*NETWORKDAYS(MAX($I380,AG$3),MIN($J380,AG$2),Data!$K$4:$K$203)/$K380)))</f>
        <v>0</v>
      </c>
      <c r="AH380" s="170">
        <f>IF(OR($I380="",$E380=0),0,IF(OR($J380&lt;AH$3,$I380&gt;AH$2),0,IF($K380=0,IF(AND($I380&gt;=AH$3,$I380&lt;=AH$2),$E380,0),$E380*NETWORKDAYS(MAX($I380,AH$3),MIN($J380,AH$2),Data!$K$4:$K$203)/$K380)))</f>
        <v>0</v>
      </c>
      <c r="AI380" s="170">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70"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4" t="str">
        <f>IF(EO380=1,IF(FH380&gt;0,FI380/FH380,AVERAGEIF($FF$4:$FF$503,EN380,$C$4:$C$503)),"")</f>
        <v/>
      </c>
      <c r="EV380" s="169">
        <f>IF(ISNUMBER(I380),I380,2958465)</f>
        <v>2958465.0</v>
      </c>
      <c r="EW380" s="169" t="str">
        <f>IF(EO380=1,SUMPRODUCT(MIN(($EN$4:$EN$503=EN380)*$EV$4:$EV$503+($EN$4:$EN$503&lt;&gt;EN380)*2958465)),"")</f>
        <v/>
      </c>
      <c r="EX380" s="169">
        <f>IF(AND(D380=1,ISNUMBER(INDEX(Charge!$F:$F,ROW()))),INDEX(Charge!$F:$F,ROW()),0)</f>
        <v>0.0</v>
      </c>
      <c r="EY380" s="169"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c r="FF380" t="str">
        <f>IF(B380=1,LEFT(SUBSTITUTE(SUBSTITUTE(SUBSTITUTE(TRIM(SUBSTITUTE(INDEX(Charge!$B:$B,ROW()),CHAR(160)," "))&amp;" | "&amp;TRIM(SUBSTITUTE(INDEX(Charge!$C:$C,ROW()),CHAR(160)," "))&amp;" | "&amp;TRIM(SUBSTITUTE(INDEX(Charge!$D:$D,ROW()),CHAR(160)," ")),"~","-"),"*","+"),"?","!"),240),"")</f>
        <v/>
      </c>
      <c r="FG380">
        <f>IF(B380=1,MAX(0,N(INDEX(Charge!$M:$M,ROW()))),0)</f>
        <v>0</v>
      </c>
      <c r="FH380" s="170" t="str">
        <f>IF(EO380=1,ROUND(SUMIF($FF$4:$FF$503,EN380,$FG$4:$FG$503),2),"")</f>
        <v/>
      </c>
      <c r="FI380" s="170" t="str">
        <f>IF(EO380=1,ROUND(SUMPRODUCT(($FF$4:$FF$503=EN380)*$FG$4:$FG$503*$C$4:$C$503),2),"")</f>
        <v/>
      </c>
      <c r="FJ380" s="170" t="str">
        <f>IF(EO380=1,MAX(0,ROUND(FH380-FI380,2)),"")</f>
        <v/>
      </c>
      <c r="FK380" s="174" t="str">
        <f>IF(EO380=1,IF(OR(EW380&gt;=2958465,EY380=0,EY380&lt;=EW380),"",IF(TODAY()&lt;=EW380,0,IF(TODAY()&gt;EY380,1,IFERROR(NETWORKDAYS(EW380,TODAY()-1,Data!$K$4:$K$203)/NETWORKDAYS(EW380,EY380,Data!$K$4:$K$203),"")))),"")</f>
        <v/>
      </c>
      <c r="FL380" t="str">
        <f>IF(EO380=1,IF(AND(EY380&gt;0,EY380&lt;TODAY(),ROUND(EU380,4)&lt;1),2,IF(FK380="",0,IF(ROUND(EU380-FK380,4)&lt;-0.15,1,0))),"")</f>
        <v/>
      </c>
      <c r="FM380">
        <f>IF(OR(FA380="",COUNTIF($FA$4:FA379,FA380)&gt;0),0,MAX(0,IF(FB380="Interne",IF(ISNUMBER(INDEX(Data!$F:$F,380)),INDEX(Data!$F:$F,380),p_HeuresETP),IF(ISNUMBER(INDEX(Data!$I:$I,380-$CD$23)),INDEX(Data!$I:$I,380-$CD$23),p_HeuresETP))-IF(FB380="Interne",IF(ISNUMBER(INDEX(Data!$G:$G,380)),INDEX(Data!$G:$G,380),p_ChargeFixe),IF(ISNUMBER(INDEX(Data!$J:$J,380-$CD$23)),INDEX(Data!$J:$J,380-$CD$23),p_ChargeFixe))))</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9" t="str">
        <f>IF(AND(D381=1,ISNUMBER(INDEX(Charge!$N:$N,ROW()))),INDEX(Charge!$N:$N,ROW()),"")</f>
        <v/>
      </c>
      <c r="J381" s="169"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70">
        <f>IF(OR($I381="",$E381=0),0,IF(OR($J381&lt;W$3,$I381&gt;W$2),0,IF($K381=0,IF(AND($I381&gt;=W$3,$I381&lt;=W$2),$E381,0),$E381*NETWORKDAYS(MAX($I381,W$3),MIN($J381,W$2),Data!$K$4:$K$203)/$K381)))</f>
        <v>0</v>
      </c>
      <c r="X381" s="170">
        <f>IF(OR($I381="",$E381=0),0,IF(OR($J381&lt;X$3,$I381&gt;X$2),0,IF($K381=0,IF(AND($I381&gt;=X$3,$I381&lt;=X$2),$E381,0),$E381*NETWORKDAYS(MAX($I381,X$3),MIN($J381,X$2),Data!$K$4:$K$203)/$K381)))</f>
        <v>0</v>
      </c>
      <c r="Y381" s="170">
        <f>IF(OR($I381="",$E381=0),0,IF(OR($J381&lt;Y$3,$I381&gt;Y$2),0,IF($K381=0,IF(AND($I381&gt;=Y$3,$I381&lt;=Y$2),$E381,0),$E381*NETWORKDAYS(MAX($I381,Y$3),MIN($J381,Y$2),Data!$K$4:$K$203)/$K381)))</f>
        <v>0</v>
      </c>
      <c r="Z381" s="170">
        <f>IF(OR($I381="",$E381=0),0,IF(OR($J381&lt;Z$3,$I381&gt;Z$2),0,IF($K381=0,IF(AND($I381&gt;=Z$3,$I381&lt;=Z$2),$E381,0),$E381*NETWORKDAYS(MAX($I381,Z$3),MIN($J381,Z$2),Data!$K$4:$K$203)/$K381)))</f>
        <v>0</v>
      </c>
      <c r="AA381" s="170">
        <f>IF(OR($I381="",$E381=0),0,IF(OR($J381&lt;AA$3,$I381&gt;AA$2),0,IF($K381=0,IF(AND($I381&gt;=AA$3,$I381&lt;=AA$2),$E381,0),$E381*NETWORKDAYS(MAX($I381,AA$3),MIN($J381,AA$2),Data!$K$4:$K$203)/$K381)))</f>
        <v>0</v>
      </c>
      <c r="AB381" s="170">
        <f>IF(OR($I381="",$E381=0),0,IF(OR($J381&lt;AB$3,$I381&gt;AB$2),0,IF($K381=0,IF(AND($I381&gt;=AB$3,$I381&lt;=AB$2),$E381,0),$E381*NETWORKDAYS(MAX($I381,AB$3),MIN($J381,AB$2),Data!$K$4:$K$203)/$K381)))</f>
        <v>0</v>
      </c>
      <c r="AC381" s="170">
        <f>IF(OR($I381="",$E381=0),0,IF(OR($J381&lt;AC$3,$I381&gt;AC$2),0,IF($K381=0,IF(AND($I381&gt;=AC$3,$I381&lt;=AC$2),$E381,0),$E381*NETWORKDAYS(MAX($I381,AC$3),MIN($J381,AC$2),Data!$K$4:$K$203)/$K381)))</f>
        <v>0</v>
      </c>
      <c r="AD381" s="170">
        <f>IF(OR($I381="",$E381=0),0,IF(OR($J381&lt;AD$3,$I381&gt;AD$2),0,IF($K381=0,IF(AND($I381&gt;=AD$3,$I381&lt;=AD$2),$E381,0),$E381*NETWORKDAYS(MAX($I381,AD$3),MIN($J381,AD$2),Data!$K$4:$K$203)/$K381)))</f>
        <v>0</v>
      </c>
      <c r="AE381" s="170">
        <f>IF(OR($I381="",$E381=0),0,IF(OR($J381&lt;AE$3,$I381&gt;AE$2),0,IF($K381=0,IF(AND($I381&gt;=AE$3,$I381&lt;=AE$2),$E381,0),$E381*NETWORKDAYS(MAX($I381,AE$3),MIN($J381,AE$2),Data!$K$4:$K$203)/$K381)))</f>
        <v>0</v>
      </c>
      <c r="AF381" s="170">
        <f>IF(OR($I381="",$E381=0),0,IF(OR($J381&lt;AF$3,$I381&gt;AF$2),0,IF($K381=0,IF(AND($I381&gt;=AF$3,$I381&lt;=AF$2),$E381,0),$E381*NETWORKDAYS(MAX($I381,AF$3),MIN($J381,AF$2),Data!$K$4:$K$203)/$K381)))</f>
        <v>0</v>
      </c>
      <c r="AG381" s="170">
        <f>IF(OR($I381="",$E381=0),0,IF(OR($J381&lt;AG$3,$I381&gt;AG$2),0,IF($K381=0,IF(AND($I381&gt;=AG$3,$I381&lt;=AG$2),$E381,0),$E381*NETWORKDAYS(MAX($I381,AG$3),MIN($J381,AG$2),Data!$K$4:$K$203)/$K381)))</f>
        <v>0</v>
      </c>
      <c r="AH381" s="170">
        <f>IF(OR($I381="",$E381=0),0,IF(OR($J381&lt;AH$3,$I381&gt;AH$2),0,IF($K381=0,IF(AND($I381&gt;=AH$3,$I381&lt;=AH$2),$E381,0),$E381*NETWORKDAYS(MAX($I381,AH$3),MIN($J381,AH$2),Data!$K$4:$K$203)/$K381)))</f>
        <v>0</v>
      </c>
      <c r="AI381" s="170">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70"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4" t="str">
        <f>IF(EO381=1,IF(FH381&gt;0,FI381/FH381,AVERAGEIF($FF$4:$FF$503,EN381,$C$4:$C$503)),"")</f>
        <v/>
      </c>
      <c r="EV381" s="169">
        <f>IF(ISNUMBER(I381),I381,2958465)</f>
        <v>2958465.0</v>
      </c>
      <c r="EW381" s="169" t="str">
        <f>IF(EO381=1,SUMPRODUCT(MIN(($EN$4:$EN$503=EN381)*$EV$4:$EV$503+($EN$4:$EN$503&lt;&gt;EN381)*2958465)),"")</f>
        <v/>
      </c>
      <c r="EX381" s="169">
        <f>IF(AND(D381=1,ISNUMBER(INDEX(Charge!$F:$F,ROW()))),INDEX(Charge!$F:$F,ROW()),0)</f>
        <v>0.0</v>
      </c>
      <c r="EY381" s="169"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c r="FF381" t="str">
        <f>IF(B381=1,LEFT(SUBSTITUTE(SUBSTITUTE(SUBSTITUTE(TRIM(SUBSTITUTE(INDEX(Charge!$B:$B,ROW()),CHAR(160)," "))&amp;" | "&amp;TRIM(SUBSTITUTE(INDEX(Charge!$C:$C,ROW()),CHAR(160)," "))&amp;" | "&amp;TRIM(SUBSTITUTE(INDEX(Charge!$D:$D,ROW()),CHAR(160)," ")),"~","-"),"*","+"),"?","!"),240),"")</f>
        <v/>
      </c>
      <c r="FG381">
        <f>IF(B381=1,MAX(0,N(INDEX(Charge!$M:$M,ROW()))),0)</f>
        <v>0</v>
      </c>
      <c r="FH381" s="170" t="str">
        <f>IF(EO381=1,ROUND(SUMIF($FF$4:$FF$503,EN381,$FG$4:$FG$503),2),"")</f>
        <v/>
      </c>
      <c r="FI381" s="170" t="str">
        <f>IF(EO381=1,ROUND(SUMPRODUCT(($FF$4:$FF$503=EN381)*$FG$4:$FG$503*$C$4:$C$503),2),"")</f>
        <v/>
      </c>
      <c r="FJ381" s="170" t="str">
        <f>IF(EO381=1,MAX(0,ROUND(FH381-FI381,2)),"")</f>
        <v/>
      </c>
      <c r="FK381" s="174" t="str">
        <f>IF(EO381=1,IF(OR(EW381&gt;=2958465,EY381=0,EY381&lt;=EW381),"",IF(TODAY()&lt;=EW381,0,IF(TODAY()&gt;EY381,1,IFERROR(NETWORKDAYS(EW381,TODAY()-1,Data!$K$4:$K$203)/NETWORKDAYS(EW381,EY381,Data!$K$4:$K$203),"")))),"")</f>
        <v/>
      </c>
      <c r="FL381" t="str">
        <f>IF(EO381=1,IF(AND(EY381&gt;0,EY381&lt;TODAY(),ROUND(EU381,4)&lt;1),2,IF(FK381="",0,IF(ROUND(EU381-FK381,4)&lt;-0.15,1,0))),"")</f>
        <v/>
      </c>
      <c r="FM381">
        <f>IF(OR(FA381="",COUNTIF($FA$4:FA380,FA381)&gt;0),0,MAX(0,IF(FB381="Interne",IF(ISNUMBER(INDEX(Data!$F:$F,381)),INDEX(Data!$F:$F,381),p_HeuresETP),IF(ISNUMBER(INDEX(Data!$I:$I,381-$CD$23)),INDEX(Data!$I:$I,381-$CD$23),p_HeuresETP))-IF(FB381="Interne",IF(ISNUMBER(INDEX(Data!$G:$G,381)),INDEX(Data!$G:$G,381),p_ChargeFixe),IF(ISNUMBER(INDEX(Data!$J:$J,381-$CD$23)),INDEX(Data!$J:$J,381-$CD$23),p_ChargeFixe))))</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9" t="str">
        <f>IF(AND(D382=1,ISNUMBER(INDEX(Charge!$N:$N,ROW()))),INDEX(Charge!$N:$N,ROW()),"")</f>
        <v/>
      </c>
      <c r="J382" s="169"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70">
        <f>IF(OR($I382="",$E382=0),0,IF(OR($J382&lt;W$3,$I382&gt;W$2),0,IF($K382=0,IF(AND($I382&gt;=W$3,$I382&lt;=W$2),$E382,0),$E382*NETWORKDAYS(MAX($I382,W$3),MIN($J382,W$2),Data!$K$4:$K$203)/$K382)))</f>
        <v>0</v>
      </c>
      <c r="X382" s="170">
        <f>IF(OR($I382="",$E382=0),0,IF(OR($J382&lt;X$3,$I382&gt;X$2),0,IF($K382=0,IF(AND($I382&gt;=X$3,$I382&lt;=X$2),$E382,0),$E382*NETWORKDAYS(MAX($I382,X$3),MIN($J382,X$2),Data!$K$4:$K$203)/$K382)))</f>
        <v>0</v>
      </c>
      <c r="Y382" s="170">
        <f>IF(OR($I382="",$E382=0),0,IF(OR($J382&lt;Y$3,$I382&gt;Y$2),0,IF($K382=0,IF(AND($I382&gt;=Y$3,$I382&lt;=Y$2),$E382,0),$E382*NETWORKDAYS(MAX($I382,Y$3),MIN($J382,Y$2),Data!$K$4:$K$203)/$K382)))</f>
        <v>0</v>
      </c>
      <c r="Z382" s="170">
        <f>IF(OR($I382="",$E382=0),0,IF(OR($J382&lt;Z$3,$I382&gt;Z$2),0,IF($K382=0,IF(AND($I382&gt;=Z$3,$I382&lt;=Z$2),$E382,0),$E382*NETWORKDAYS(MAX($I382,Z$3),MIN($J382,Z$2),Data!$K$4:$K$203)/$K382)))</f>
        <v>0</v>
      </c>
      <c r="AA382" s="170">
        <f>IF(OR($I382="",$E382=0),0,IF(OR($J382&lt;AA$3,$I382&gt;AA$2),0,IF($K382=0,IF(AND($I382&gt;=AA$3,$I382&lt;=AA$2),$E382,0),$E382*NETWORKDAYS(MAX($I382,AA$3),MIN($J382,AA$2),Data!$K$4:$K$203)/$K382)))</f>
        <v>0</v>
      </c>
      <c r="AB382" s="170">
        <f>IF(OR($I382="",$E382=0),0,IF(OR($J382&lt;AB$3,$I382&gt;AB$2),0,IF($K382=0,IF(AND($I382&gt;=AB$3,$I382&lt;=AB$2),$E382,0),$E382*NETWORKDAYS(MAX($I382,AB$3),MIN($J382,AB$2),Data!$K$4:$K$203)/$K382)))</f>
        <v>0</v>
      </c>
      <c r="AC382" s="170">
        <f>IF(OR($I382="",$E382=0),0,IF(OR($J382&lt;AC$3,$I382&gt;AC$2),0,IF($K382=0,IF(AND($I382&gt;=AC$3,$I382&lt;=AC$2),$E382,0),$E382*NETWORKDAYS(MAX($I382,AC$3),MIN($J382,AC$2),Data!$K$4:$K$203)/$K382)))</f>
        <v>0</v>
      </c>
      <c r="AD382" s="170">
        <f>IF(OR($I382="",$E382=0),0,IF(OR($J382&lt;AD$3,$I382&gt;AD$2),0,IF($K382=0,IF(AND($I382&gt;=AD$3,$I382&lt;=AD$2),$E382,0),$E382*NETWORKDAYS(MAX($I382,AD$3),MIN($J382,AD$2),Data!$K$4:$K$203)/$K382)))</f>
        <v>0</v>
      </c>
      <c r="AE382" s="170">
        <f>IF(OR($I382="",$E382=0),0,IF(OR($J382&lt;AE$3,$I382&gt;AE$2),0,IF($K382=0,IF(AND($I382&gt;=AE$3,$I382&lt;=AE$2),$E382,0),$E382*NETWORKDAYS(MAX($I382,AE$3),MIN($J382,AE$2),Data!$K$4:$K$203)/$K382)))</f>
        <v>0</v>
      </c>
      <c r="AF382" s="170">
        <f>IF(OR($I382="",$E382=0),0,IF(OR($J382&lt;AF$3,$I382&gt;AF$2),0,IF($K382=0,IF(AND($I382&gt;=AF$3,$I382&lt;=AF$2),$E382,0),$E382*NETWORKDAYS(MAX($I382,AF$3),MIN($J382,AF$2),Data!$K$4:$K$203)/$K382)))</f>
        <v>0</v>
      </c>
      <c r="AG382" s="170">
        <f>IF(OR($I382="",$E382=0),0,IF(OR($J382&lt;AG$3,$I382&gt;AG$2),0,IF($K382=0,IF(AND($I382&gt;=AG$3,$I382&lt;=AG$2),$E382,0),$E382*NETWORKDAYS(MAX($I382,AG$3),MIN($J382,AG$2),Data!$K$4:$K$203)/$K382)))</f>
        <v>0</v>
      </c>
      <c r="AH382" s="170">
        <f>IF(OR($I382="",$E382=0),0,IF(OR($J382&lt;AH$3,$I382&gt;AH$2),0,IF($K382=0,IF(AND($I382&gt;=AH$3,$I382&lt;=AH$2),$E382,0),$E382*NETWORKDAYS(MAX($I382,AH$3),MIN($J382,AH$2),Data!$K$4:$K$203)/$K382)))</f>
        <v>0</v>
      </c>
      <c r="AI382" s="170">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70"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4" t="str">
        <f>IF(EO382=1,IF(FH382&gt;0,FI382/FH382,AVERAGEIF($FF$4:$FF$503,EN382,$C$4:$C$503)),"")</f>
        <v/>
      </c>
      <c r="EV382" s="169">
        <f>IF(ISNUMBER(I382),I382,2958465)</f>
        <v>2958465.0</v>
      </c>
      <c r="EW382" s="169" t="str">
        <f>IF(EO382=1,SUMPRODUCT(MIN(($EN$4:$EN$503=EN382)*$EV$4:$EV$503+($EN$4:$EN$503&lt;&gt;EN382)*2958465)),"")</f>
        <v/>
      </c>
      <c r="EX382" s="169">
        <f>IF(AND(D382=1,ISNUMBER(INDEX(Charge!$F:$F,ROW()))),INDEX(Charge!$F:$F,ROW()),0)</f>
        <v>0.0</v>
      </c>
      <c r="EY382" s="169"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c r="FF382" t="str">
        <f>IF(B382=1,LEFT(SUBSTITUTE(SUBSTITUTE(SUBSTITUTE(TRIM(SUBSTITUTE(INDEX(Charge!$B:$B,ROW()),CHAR(160)," "))&amp;" | "&amp;TRIM(SUBSTITUTE(INDEX(Charge!$C:$C,ROW()),CHAR(160)," "))&amp;" | "&amp;TRIM(SUBSTITUTE(INDEX(Charge!$D:$D,ROW()),CHAR(160)," ")),"~","-"),"*","+"),"?","!"),240),"")</f>
        <v/>
      </c>
      <c r="FG382">
        <f>IF(B382=1,MAX(0,N(INDEX(Charge!$M:$M,ROW()))),0)</f>
        <v>0</v>
      </c>
      <c r="FH382" s="170" t="str">
        <f>IF(EO382=1,ROUND(SUMIF($FF$4:$FF$503,EN382,$FG$4:$FG$503),2),"")</f>
        <v/>
      </c>
      <c r="FI382" s="170" t="str">
        <f>IF(EO382=1,ROUND(SUMPRODUCT(($FF$4:$FF$503=EN382)*$FG$4:$FG$503*$C$4:$C$503),2),"")</f>
        <v/>
      </c>
      <c r="FJ382" s="170" t="str">
        <f>IF(EO382=1,MAX(0,ROUND(FH382-FI382,2)),"")</f>
        <v/>
      </c>
      <c r="FK382" s="174" t="str">
        <f>IF(EO382=1,IF(OR(EW382&gt;=2958465,EY382=0,EY382&lt;=EW382),"",IF(TODAY()&lt;=EW382,0,IF(TODAY()&gt;EY382,1,IFERROR(NETWORKDAYS(EW382,TODAY()-1,Data!$K$4:$K$203)/NETWORKDAYS(EW382,EY382,Data!$K$4:$K$203),"")))),"")</f>
        <v/>
      </c>
      <c r="FL382" t="str">
        <f>IF(EO382=1,IF(AND(EY382&gt;0,EY382&lt;TODAY(),ROUND(EU382,4)&lt;1),2,IF(FK382="",0,IF(ROUND(EU382-FK382,4)&lt;-0.15,1,0))),"")</f>
        <v/>
      </c>
      <c r="FM382">
        <f>IF(OR(FA382="",COUNTIF($FA$4:FA381,FA382)&gt;0),0,MAX(0,IF(FB382="Interne",IF(ISNUMBER(INDEX(Data!$F:$F,382)),INDEX(Data!$F:$F,382),p_HeuresETP),IF(ISNUMBER(INDEX(Data!$I:$I,382-$CD$23)),INDEX(Data!$I:$I,382-$CD$23),p_HeuresETP))-IF(FB382="Interne",IF(ISNUMBER(INDEX(Data!$G:$G,382)),INDEX(Data!$G:$G,382),p_ChargeFixe),IF(ISNUMBER(INDEX(Data!$J:$J,382-$CD$23)),INDEX(Data!$J:$J,382-$CD$23),p_ChargeFixe))))</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9" t="str">
        <f>IF(AND(D383=1,ISNUMBER(INDEX(Charge!$N:$N,ROW()))),INDEX(Charge!$N:$N,ROW()),"")</f>
        <v/>
      </c>
      <c r="J383" s="169"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70">
        <f>IF(OR($I383="",$E383=0),0,IF(OR($J383&lt;W$3,$I383&gt;W$2),0,IF($K383=0,IF(AND($I383&gt;=W$3,$I383&lt;=W$2),$E383,0),$E383*NETWORKDAYS(MAX($I383,W$3),MIN($J383,W$2),Data!$K$4:$K$203)/$K383)))</f>
        <v>0</v>
      </c>
      <c r="X383" s="170">
        <f>IF(OR($I383="",$E383=0),0,IF(OR($J383&lt;X$3,$I383&gt;X$2),0,IF($K383=0,IF(AND($I383&gt;=X$3,$I383&lt;=X$2),$E383,0),$E383*NETWORKDAYS(MAX($I383,X$3),MIN($J383,X$2),Data!$K$4:$K$203)/$K383)))</f>
        <v>0</v>
      </c>
      <c r="Y383" s="170">
        <f>IF(OR($I383="",$E383=0),0,IF(OR($J383&lt;Y$3,$I383&gt;Y$2),0,IF($K383=0,IF(AND($I383&gt;=Y$3,$I383&lt;=Y$2),$E383,0),$E383*NETWORKDAYS(MAX($I383,Y$3),MIN($J383,Y$2),Data!$K$4:$K$203)/$K383)))</f>
        <v>0</v>
      </c>
      <c r="Z383" s="170">
        <f>IF(OR($I383="",$E383=0),0,IF(OR($J383&lt;Z$3,$I383&gt;Z$2),0,IF($K383=0,IF(AND($I383&gt;=Z$3,$I383&lt;=Z$2),$E383,0),$E383*NETWORKDAYS(MAX($I383,Z$3),MIN($J383,Z$2),Data!$K$4:$K$203)/$K383)))</f>
        <v>0</v>
      </c>
      <c r="AA383" s="170">
        <f>IF(OR($I383="",$E383=0),0,IF(OR($J383&lt;AA$3,$I383&gt;AA$2),0,IF($K383=0,IF(AND($I383&gt;=AA$3,$I383&lt;=AA$2),$E383,0),$E383*NETWORKDAYS(MAX($I383,AA$3),MIN($J383,AA$2),Data!$K$4:$K$203)/$K383)))</f>
        <v>0</v>
      </c>
      <c r="AB383" s="170">
        <f>IF(OR($I383="",$E383=0),0,IF(OR($J383&lt;AB$3,$I383&gt;AB$2),0,IF($K383=0,IF(AND($I383&gt;=AB$3,$I383&lt;=AB$2),$E383,0),$E383*NETWORKDAYS(MAX($I383,AB$3),MIN($J383,AB$2),Data!$K$4:$K$203)/$K383)))</f>
        <v>0</v>
      </c>
      <c r="AC383" s="170">
        <f>IF(OR($I383="",$E383=0),0,IF(OR($J383&lt;AC$3,$I383&gt;AC$2),0,IF($K383=0,IF(AND($I383&gt;=AC$3,$I383&lt;=AC$2),$E383,0),$E383*NETWORKDAYS(MAX($I383,AC$3),MIN($J383,AC$2),Data!$K$4:$K$203)/$K383)))</f>
        <v>0</v>
      </c>
      <c r="AD383" s="170">
        <f>IF(OR($I383="",$E383=0),0,IF(OR($J383&lt;AD$3,$I383&gt;AD$2),0,IF($K383=0,IF(AND($I383&gt;=AD$3,$I383&lt;=AD$2),$E383,0),$E383*NETWORKDAYS(MAX($I383,AD$3),MIN($J383,AD$2),Data!$K$4:$K$203)/$K383)))</f>
        <v>0</v>
      </c>
      <c r="AE383" s="170">
        <f>IF(OR($I383="",$E383=0),0,IF(OR($J383&lt;AE$3,$I383&gt;AE$2),0,IF($K383=0,IF(AND($I383&gt;=AE$3,$I383&lt;=AE$2),$E383,0),$E383*NETWORKDAYS(MAX($I383,AE$3),MIN($J383,AE$2),Data!$K$4:$K$203)/$K383)))</f>
        <v>0</v>
      </c>
      <c r="AF383" s="170">
        <f>IF(OR($I383="",$E383=0),0,IF(OR($J383&lt;AF$3,$I383&gt;AF$2),0,IF($K383=0,IF(AND($I383&gt;=AF$3,$I383&lt;=AF$2),$E383,0),$E383*NETWORKDAYS(MAX($I383,AF$3),MIN($J383,AF$2),Data!$K$4:$K$203)/$K383)))</f>
        <v>0</v>
      </c>
      <c r="AG383" s="170">
        <f>IF(OR($I383="",$E383=0),0,IF(OR($J383&lt;AG$3,$I383&gt;AG$2),0,IF($K383=0,IF(AND($I383&gt;=AG$3,$I383&lt;=AG$2),$E383,0),$E383*NETWORKDAYS(MAX($I383,AG$3),MIN($J383,AG$2),Data!$K$4:$K$203)/$K383)))</f>
        <v>0</v>
      </c>
      <c r="AH383" s="170">
        <f>IF(OR($I383="",$E383=0),0,IF(OR($J383&lt;AH$3,$I383&gt;AH$2),0,IF($K383=0,IF(AND($I383&gt;=AH$3,$I383&lt;=AH$2),$E383,0),$E383*NETWORKDAYS(MAX($I383,AH$3),MIN($J383,AH$2),Data!$K$4:$K$203)/$K383)))</f>
        <v>0</v>
      </c>
      <c r="AI383" s="170">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70"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4" t="str">
        <f>IF(EO383=1,IF(FH383&gt;0,FI383/FH383,AVERAGEIF($FF$4:$FF$503,EN383,$C$4:$C$503)),"")</f>
        <v/>
      </c>
      <c r="EV383" s="169">
        <f>IF(ISNUMBER(I383),I383,2958465)</f>
        <v>2958465.0</v>
      </c>
      <c r="EW383" s="169" t="str">
        <f>IF(EO383=1,SUMPRODUCT(MIN(($EN$4:$EN$503=EN383)*$EV$4:$EV$503+($EN$4:$EN$503&lt;&gt;EN383)*2958465)),"")</f>
        <v/>
      </c>
      <c r="EX383" s="169">
        <f>IF(AND(D383=1,ISNUMBER(INDEX(Charge!$F:$F,ROW()))),INDEX(Charge!$F:$F,ROW()),0)</f>
        <v>0.0</v>
      </c>
      <c r="EY383" s="169"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c r="FF383" t="str">
        <f>IF(B383=1,LEFT(SUBSTITUTE(SUBSTITUTE(SUBSTITUTE(TRIM(SUBSTITUTE(INDEX(Charge!$B:$B,ROW()),CHAR(160)," "))&amp;" | "&amp;TRIM(SUBSTITUTE(INDEX(Charge!$C:$C,ROW()),CHAR(160)," "))&amp;" | "&amp;TRIM(SUBSTITUTE(INDEX(Charge!$D:$D,ROW()),CHAR(160)," ")),"~","-"),"*","+"),"?","!"),240),"")</f>
        <v/>
      </c>
      <c r="FG383">
        <f>IF(B383=1,MAX(0,N(INDEX(Charge!$M:$M,ROW()))),0)</f>
        <v>0</v>
      </c>
      <c r="FH383" s="170" t="str">
        <f>IF(EO383=1,ROUND(SUMIF($FF$4:$FF$503,EN383,$FG$4:$FG$503),2),"")</f>
        <v/>
      </c>
      <c r="FI383" s="170" t="str">
        <f>IF(EO383=1,ROUND(SUMPRODUCT(($FF$4:$FF$503=EN383)*$FG$4:$FG$503*$C$4:$C$503),2),"")</f>
        <v/>
      </c>
      <c r="FJ383" s="170" t="str">
        <f>IF(EO383=1,MAX(0,ROUND(FH383-FI383,2)),"")</f>
        <v/>
      </c>
      <c r="FK383" s="174" t="str">
        <f>IF(EO383=1,IF(OR(EW383&gt;=2958465,EY383=0,EY383&lt;=EW383),"",IF(TODAY()&lt;=EW383,0,IF(TODAY()&gt;EY383,1,IFERROR(NETWORKDAYS(EW383,TODAY()-1,Data!$K$4:$K$203)/NETWORKDAYS(EW383,EY383,Data!$K$4:$K$203),"")))),"")</f>
        <v/>
      </c>
      <c r="FL383" t="str">
        <f>IF(EO383=1,IF(AND(EY383&gt;0,EY383&lt;TODAY(),ROUND(EU383,4)&lt;1),2,IF(FK383="",0,IF(ROUND(EU383-FK383,4)&lt;-0.15,1,0))),"")</f>
        <v/>
      </c>
      <c r="FM383">
        <f>IF(OR(FA383="",COUNTIF($FA$4:FA382,FA383)&gt;0),0,MAX(0,IF(FB383="Interne",IF(ISNUMBER(INDEX(Data!$F:$F,383)),INDEX(Data!$F:$F,383),p_HeuresETP),IF(ISNUMBER(INDEX(Data!$I:$I,383-$CD$23)),INDEX(Data!$I:$I,383-$CD$23),p_HeuresETP))-IF(FB383="Interne",IF(ISNUMBER(INDEX(Data!$G:$G,383)),INDEX(Data!$G:$G,383),p_ChargeFixe),IF(ISNUMBER(INDEX(Data!$J:$J,383-$CD$23)),INDEX(Data!$J:$J,383-$CD$23),p_ChargeFixe))))</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9" t="str">
        <f>IF(AND(D384=1,ISNUMBER(INDEX(Charge!$N:$N,ROW()))),INDEX(Charge!$N:$N,ROW()),"")</f>
        <v/>
      </c>
      <c r="J384" s="169"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70">
        <f>IF(OR($I384="",$E384=0),0,IF(OR($J384&lt;W$3,$I384&gt;W$2),0,IF($K384=0,IF(AND($I384&gt;=W$3,$I384&lt;=W$2),$E384,0),$E384*NETWORKDAYS(MAX($I384,W$3),MIN($J384,W$2),Data!$K$4:$K$203)/$K384)))</f>
        <v>0</v>
      </c>
      <c r="X384" s="170">
        <f>IF(OR($I384="",$E384=0),0,IF(OR($J384&lt;X$3,$I384&gt;X$2),0,IF($K384=0,IF(AND($I384&gt;=X$3,$I384&lt;=X$2),$E384,0),$E384*NETWORKDAYS(MAX($I384,X$3),MIN($J384,X$2),Data!$K$4:$K$203)/$K384)))</f>
        <v>0</v>
      </c>
      <c r="Y384" s="170">
        <f>IF(OR($I384="",$E384=0),0,IF(OR($J384&lt;Y$3,$I384&gt;Y$2),0,IF($K384=0,IF(AND($I384&gt;=Y$3,$I384&lt;=Y$2),$E384,0),$E384*NETWORKDAYS(MAX($I384,Y$3),MIN($J384,Y$2),Data!$K$4:$K$203)/$K384)))</f>
        <v>0</v>
      </c>
      <c r="Z384" s="170">
        <f>IF(OR($I384="",$E384=0),0,IF(OR($J384&lt;Z$3,$I384&gt;Z$2),0,IF($K384=0,IF(AND($I384&gt;=Z$3,$I384&lt;=Z$2),$E384,0),$E384*NETWORKDAYS(MAX($I384,Z$3),MIN($J384,Z$2),Data!$K$4:$K$203)/$K384)))</f>
        <v>0</v>
      </c>
      <c r="AA384" s="170">
        <f>IF(OR($I384="",$E384=0),0,IF(OR($J384&lt;AA$3,$I384&gt;AA$2),0,IF($K384=0,IF(AND($I384&gt;=AA$3,$I384&lt;=AA$2),$E384,0),$E384*NETWORKDAYS(MAX($I384,AA$3),MIN($J384,AA$2),Data!$K$4:$K$203)/$K384)))</f>
        <v>0</v>
      </c>
      <c r="AB384" s="170">
        <f>IF(OR($I384="",$E384=0),0,IF(OR($J384&lt;AB$3,$I384&gt;AB$2),0,IF($K384=0,IF(AND($I384&gt;=AB$3,$I384&lt;=AB$2),$E384,0),$E384*NETWORKDAYS(MAX($I384,AB$3),MIN($J384,AB$2),Data!$K$4:$K$203)/$K384)))</f>
        <v>0</v>
      </c>
      <c r="AC384" s="170">
        <f>IF(OR($I384="",$E384=0),0,IF(OR($J384&lt;AC$3,$I384&gt;AC$2),0,IF($K384=0,IF(AND($I384&gt;=AC$3,$I384&lt;=AC$2),$E384,0),$E384*NETWORKDAYS(MAX($I384,AC$3),MIN($J384,AC$2),Data!$K$4:$K$203)/$K384)))</f>
        <v>0</v>
      </c>
      <c r="AD384" s="170">
        <f>IF(OR($I384="",$E384=0),0,IF(OR($J384&lt;AD$3,$I384&gt;AD$2),0,IF($K384=0,IF(AND($I384&gt;=AD$3,$I384&lt;=AD$2),$E384,0),$E384*NETWORKDAYS(MAX($I384,AD$3),MIN($J384,AD$2),Data!$K$4:$K$203)/$K384)))</f>
        <v>0</v>
      </c>
      <c r="AE384" s="170">
        <f>IF(OR($I384="",$E384=0),0,IF(OR($J384&lt;AE$3,$I384&gt;AE$2),0,IF($K384=0,IF(AND($I384&gt;=AE$3,$I384&lt;=AE$2),$E384,0),$E384*NETWORKDAYS(MAX($I384,AE$3),MIN($J384,AE$2),Data!$K$4:$K$203)/$K384)))</f>
        <v>0</v>
      </c>
      <c r="AF384" s="170">
        <f>IF(OR($I384="",$E384=0),0,IF(OR($J384&lt;AF$3,$I384&gt;AF$2),0,IF($K384=0,IF(AND($I384&gt;=AF$3,$I384&lt;=AF$2),$E384,0),$E384*NETWORKDAYS(MAX($I384,AF$3),MIN($J384,AF$2),Data!$K$4:$K$203)/$K384)))</f>
        <v>0</v>
      </c>
      <c r="AG384" s="170">
        <f>IF(OR($I384="",$E384=0),0,IF(OR($J384&lt;AG$3,$I384&gt;AG$2),0,IF($K384=0,IF(AND($I384&gt;=AG$3,$I384&lt;=AG$2),$E384,0),$E384*NETWORKDAYS(MAX($I384,AG$3),MIN($J384,AG$2),Data!$K$4:$K$203)/$K384)))</f>
        <v>0</v>
      </c>
      <c r="AH384" s="170">
        <f>IF(OR($I384="",$E384=0),0,IF(OR($J384&lt;AH$3,$I384&gt;AH$2),0,IF($K384=0,IF(AND($I384&gt;=AH$3,$I384&lt;=AH$2),$E384,0),$E384*NETWORKDAYS(MAX($I384,AH$3),MIN($J384,AH$2),Data!$K$4:$K$203)/$K384)))</f>
        <v>0</v>
      </c>
      <c r="AI384" s="170">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70"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4" t="str">
        <f>IF(EO384=1,IF(FH384&gt;0,FI384/FH384,AVERAGEIF($FF$4:$FF$503,EN384,$C$4:$C$503)),"")</f>
        <v/>
      </c>
      <c r="EV384" s="169">
        <f>IF(ISNUMBER(I384),I384,2958465)</f>
        <v>2958465.0</v>
      </c>
      <c r="EW384" s="169" t="str">
        <f>IF(EO384=1,SUMPRODUCT(MIN(($EN$4:$EN$503=EN384)*$EV$4:$EV$503+($EN$4:$EN$503&lt;&gt;EN384)*2958465)),"")</f>
        <v/>
      </c>
      <c r="EX384" s="169">
        <f>IF(AND(D384=1,ISNUMBER(INDEX(Charge!$F:$F,ROW()))),INDEX(Charge!$F:$F,ROW()),0)</f>
        <v>0.0</v>
      </c>
      <c r="EY384" s="169"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c r="FF384" t="str">
        <f>IF(B384=1,LEFT(SUBSTITUTE(SUBSTITUTE(SUBSTITUTE(TRIM(SUBSTITUTE(INDEX(Charge!$B:$B,ROW()),CHAR(160)," "))&amp;" | "&amp;TRIM(SUBSTITUTE(INDEX(Charge!$C:$C,ROW()),CHAR(160)," "))&amp;" | "&amp;TRIM(SUBSTITUTE(INDEX(Charge!$D:$D,ROW()),CHAR(160)," ")),"~","-"),"*","+"),"?","!"),240),"")</f>
        <v/>
      </c>
      <c r="FG384">
        <f>IF(B384=1,MAX(0,N(INDEX(Charge!$M:$M,ROW()))),0)</f>
        <v>0</v>
      </c>
      <c r="FH384" s="170" t="str">
        <f>IF(EO384=1,ROUND(SUMIF($FF$4:$FF$503,EN384,$FG$4:$FG$503),2),"")</f>
        <v/>
      </c>
      <c r="FI384" s="170" t="str">
        <f>IF(EO384=1,ROUND(SUMPRODUCT(($FF$4:$FF$503=EN384)*$FG$4:$FG$503*$C$4:$C$503),2),"")</f>
        <v/>
      </c>
      <c r="FJ384" s="170" t="str">
        <f>IF(EO384=1,MAX(0,ROUND(FH384-FI384,2)),"")</f>
        <v/>
      </c>
      <c r="FK384" s="174" t="str">
        <f>IF(EO384=1,IF(OR(EW384&gt;=2958465,EY384=0,EY384&lt;=EW384),"",IF(TODAY()&lt;=EW384,0,IF(TODAY()&gt;EY384,1,IFERROR(NETWORKDAYS(EW384,TODAY()-1,Data!$K$4:$K$203)/NETWORKDAYS(EW384,EY384,Data!$K$4:$K$203),"")))),"")</f>
        <v/>
      </c>
      <c r="FL384" t="str">
        <f>IF(EO384=1,IF(AND(EY384&gt;0,EY384&lt;TODAY(),ROUND(EU384,4)&lt;1),2,IF(FK384="",0,IF(ROUND(EU384-FK384,4)&lt;-0.15,1,0))),"")</f>
        <v/>
      </c>
      <c r="FM384">
        <f>IF(OR(FA384="",COUNTIF($FA$4:FA383,FA384)&gt;0),0,MAX(0,IF(FB384="Interne",IF(ISNUMBER(INDEX(Data!$F:$F,384)),INDEX(Data!$F:$F,384),p_HeuresETP),IF(ISNUMBER(INDEX(Data!$I:$I,384-$CD$23)),INDEX(Data!$I:$I,384-$CD$23),p_HeuresETP))-IF(FB384="Interne",IF(ISNUMBER(INDEX(Data!$G:$G,384)),INDEX(Data!$G:$G,384),p_ChargeFixe),IF(ISNUMBER(INDEX(Data!$J:$J,384-$CD$23)),INDEX(Data!$J:$J,384-$CD$23),p_ChargeFixe))))</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9" t="str">
        <f>IF(AND(D385=1,ISNUMBER(INDEX(Charge!$N:$N,ROW()))),INDEX(Charge!$N:$N,ROW()),"")</f>
        <v/>
      </c>
      <c r="J385" s="169"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70">
        <f>IF(OR($I385="",$E385=0),0,IF(OR($J385&lt;W$3,$I385&gt;W$2),0,IF($K385=0,IF(AND($I385&gt;=W$3,$I385&lt;=W$2),$E385,0),$E385*NETWORKDAYS(MAX($I385,W$3),MIN($J385,W$2),Data!$K$4:$K$203)/$K385)))</f>
        <v>0</v>
      </c>
      <c r="X385" s="170">
        <f>IF(OR($I385="",$E385=0),0,IF(OR($J385&lt;X$3,$I385&gt;X$2),0,IF($K385=0,IF(AND($I385&gt;=X$3,$I385&lt;=X$2),$E385,0),$E385*NETWORKDAYS(MAX($I385,X$3),MIN($J385,X$2),Data!$K$4:$K$203)/$K385)))</f>
        <v>0</v>
      </c>
      <c r="Y385" s="170">
        <f>IF(OR($I385="",$E385=0),0,IF(OR($J385&lt;Y$3,$I385&gt;Y$2),0,IF($K385=0,IF(AND($I385&gt;=Y$3,$I385&lt;=Y$2),$E385,0),$E385*NETWORKDAYS(MAX($I385,Y$3),MIN($J385,Y$2),Data!$K$4:$K$203)/$K385)))</f>
        <v>0</v>
      </c>
      <c r="Z385" s="170">
        <f>IF(OR($I385="",$E385=0),0,IF(OR($J385&lt;Z$3,$I385&gt;Z$2),0,IF($K385=0,IF(AND($I385&gt;=Z$3,$I385&lt;=Z$2),$E385,0),$E385*NETWORKDAYS(MAX($I385,Z$3),MIN($J385,Z$2),Data!$K$4:$K$203)/$K385)))</f>
        <v>0</v>
      </c>
      <c r="AA385" s="170">
        <f>IF(OR($I385="",$E385=0),0,IF(OR($J385&lt;AA$3,$I385&gt;AA$2),0,IF($K385=0,IF(AND($I385&gt;=AA$3,$I385&lt;=AA$2),$E385,0),$E385*NETWORKDAYS(MAX($I385,AA$3),MIN($J385,AA$2),Data!$K$4:$K$203)/$K385)))</f>
        <v>0</v>
      </c>
      <c r="AB385" s="170">
        <f>IF(OR($I385="",$E385=0),0,IF(OR($J385&lt;AB$3,$I385&gt;AB$2),0,IF($K385=0,IF(AND($I385&gt;=AB$3,$I385&lt;=AB$2),$E385,0),$E385*NETWORKDAYS(MAX($I385,AB$3),MIN($J385,AB$2),Data!$K$4:$K$203)/$K385)))</f>
        <v>0</v>
      </c>
      <c r="AC385" s="170">
        <f>IF(OR($I385="",$E385=0),0,IF(OR($J385&lt;AC$3,$I385&gt;AC$2),0,IF($K385=0,IF(AND($I385&gt;=AC$3,$I385&lt;=AC$2),$E385,0),$E385*NETWORKDAYS(MAX($I385,AC$3),MIN($J385,AC$2),Data!$K$4:$K$203)/$K385)))</f>
        <v>0</v>
      </c>
      <c r="AD385" s="170">
        <f>IF(OR($I385="",$E385=0),0,IF(OR($J385&lt;AD$3,$I385&gt;AD$2),0,IF($K385=0,IF(AND($I385&gt;=AD$3,$I385&lt;=AD$2),$E385,0),$E385*NETWORKDAYS(MAX($I385,AD$3),MIN($J385,AD$2),Data!$K$4:$K$203)/$K385)))</f>
        <v>0</v>
      </c>
      <c r="AE385" s="170">
        <f>IF(OR($I385="",$E385=0),0,IF(OR($J385&lt;AE$3,$I385&gt;AE$2),0,IF($K385=0,IF(AND($I385&gt;=AE$3,$I385&lt;=AE$2),$E385,0),$E385*NETWORKDAYS(MAX($I385,AE$3),MIN($J385,AE$2),Data!$K$4:$K$203)/$K385)))</f>
        <v>0</v>
      </c>
      <c r="AF385" s="170">
        <f>IF(OR($I385="",$E385=0),0,IF(OR($J385&lt;AF$3,$I385&gt;AF$2),0,IF($K385=0,IF(AND($I385&gt;=AF$3,$I385&lt;=AF$2),$E385,0),$E385*NETWORKDAYS(MAX($I385,AF$3),MIN($J385,AF$2),Data!$K$4:$K$203)/$K385)))</f>
        <v>0</v>
      </c>
      <c r="AG385" s="170">
        <f>IF(OR($I385="",$E385=0),0,IF(OR($J385&lt;AG$3,$I385&gt;AG$2),0,IF($K385=0,IF(AND($I385&gt;=AG$3,$I385&lt;=AG$2),$E385,0),$E385*NETWORKDAYS(MAX($I385,AG$3),MIN($J385,AG$2),Data!$K$4:$K$203)/$K385)))</f>
        <v>0</v>
      </c>
      <c r="AH385" s="170">
        <f>IF(OR($I385="",$E385=0),0,IF(OR($J385&lt;AH$3,$I385&gt;AH$2),0,IF($K385=0,IF(AND($I385&gt;=AH$3,$I385&lt;=AH$2),$E385,0),$E385*NETWORKDAYS(MAX($I385,AH$3),MIN($J385,AH$2),Data!$K$4:$K$203)/$K385)))</f>
        <v>0</v>
      </c>
      <c r="AI385" s="170">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70"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4" t="str">
        <f>IF(EO385=1,IF(FH385&gt;0,FI385/FH385,AVERAGEIF($FF$4:$FF$503,EN385,$C$4:$C$503)),"")</f>
        <v/>
      </c>
      <c r="EV385" s="169">
        <f>IF(ISNUMBER(I385),I385,2958465)</f>
        <v>2958465.0</v>
      </c>
      <c r="EW385" s="169" t="str">
        <f>IF(EO385=1,SUMPRODUCT(MIN(($EN$4:$EN$503=EN385)*$EV$4:$EV$503+($EN$4:$EN$503&lt;&gt;EN385)*2958465)),"")</f>
        <v/>
      </c>
      <c r="EX385" s="169">
        <f>IF(AND(D385=1,ISNUMBER(INDEX(Charge!$F:$F,ROW()))),INDEX(Charge!$F:$F,ROW()),0)</f>
        <v>0.0</v>
      </c>
      <c r="EY385" s="169"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c r="FF385" t="str">
        <f>IF(B385=1,LEFT(SUBSTITUTE(SUBSTITUTE(SUBSTITUTE(TRIM(SUBSTITUTE(INDEX(Charge!$B:$B,ROW()),CHAR(160)," "))&amp;" | "&amp;TRIM(SUBSTITUTE(INDEX(Charge!$C:$C,ROW()),CHAR(160)," "))&amp;" | "&amp;TRIM(SUBSTITUTE(INDEX(Charge!$D:$D,ROW()),CHAR(160)," ")),"~","-"),"*","+"),"?","!"),240),"")</f>
        <v/>
      </c>
      <c r="FG385">
        <f>IF(B385=1,MAX(0,N(INDEX(Charge!$M:$M,ROW()))),0)</f>
        <v>0</v>
      </c>
      <c r="FH385" s="170" t="str">
        <f>IF(EO385=1,ROUND(SUMIF($FF$4:$FF$503,EN385,$FG$4:$FG$503),2),"")</f>
        <v/>
      </c>
      <c r="FI385" s="170" t="str">
        <f>IF(EO385=1,ROUND(SUMPRODUCT(($FF$4:$FF$503=EN385)*$FG$4:$FG$503*$C$4:$C$503),2),"")</f>
        <v/>
      </c>
      <c r="FJ385" s="170" t="str">
        <f>IF(EO385=1,MAX(0,ROUND(FH385-FI385,2)),"")</f>
        <v/>
      </c>
      <c r="FK385" s="174" t="str">
        <f>IF(EO385=1,IF(OR(EW385&gt;=2958465,EY385=0,EY385&lt;=EW385),"",IF(TODAY()&lt;=EW385,0,IF(TODAY()&gt;EY385,1,IFERROR(NETWORKDAYS(EW385,TODAY()-1,Data!$K$4:$K$203)/NETWORKDAYS(EW385,EY385,Data!$K$4:$K$203),"")))),"")</f>
        <v/>
      </c>
      <c r="FL385" t="str">
        <f>IF(EO385=1,IF(AND(EY385&gt;0,EY385&lt;TODAY(),ROUND(EU385,4)&lt;1),2,IF(FK385="",0,IF(ROUND(EU385-FK385,4)&lt;-0.15,1,0))),"")</f>
        <v/>
      </c>
      <c r="FM385">
        <f>IF(OR(FA385="",COUNTIF($FA$4:FA384,FA385)&gt;0),0,MAX(0,IF(FB385="Interne",IF(ISNUMBER(INDEX(Data!$F:$F,385)),INDEX(Data!$F:$F,385),p_HeuresETP),IF(ISNUMBER(INDEX(Data!$I:$I,385-$CD$23)),INDEX(Data!$I:$I,385-$CD$23),p_HeuresETP))-IF(FB385="Interne",IF(ISNUMBER(INDEX(Data!$G:$G,385)),INDEX(Data!$G:$G,385),p_ChargeFixe),IF(ISNUMBER(INDEX(Data!$J:$J,385-$CD$23)),INDEX(Data!$J:$J,385-$CD$23),p_ChargeFixe))))</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9" t="str">
        <f>IF(AND(D386=1,ISNUMBER(INDEX(Charge!$N:$N,ROW()))),INDEX(Charge!$N:$N,ROW()),"")</f>
        <v/>
      </c>
      <c r="J386" s="169"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70">
        <f>IF(OR($I386="",$E386=0),0,IF(OR($J386&lt;W$3,$I386&gt;W$2),0,IF($K386=0,IF(AND($I386&gt;=W$3,$I386&lt;=W$2),$E386,0),$E386*NETWORKDAYS(MAX($I386,W$3),MIN($J386,W$2),Data!$K$4:$K$203)/$K386)))</f>
        <v>0</v>
      </c>
      <c r="X386" s="170">
        <f>IF(OR($I386="",$E386=0),0,IF(OR($J386&lt;X$3,$I386&gt;X$2),0,IF($K386=0,IF(AND($I386&gt;=X$3,$I386&lt;=X$2),$E386,0),$E386*NETWORKDAYS(MAX($I386,X$3),MIN($J386,X$2),Data!$K$4:$K$203)/$K386)))</f>
        <v>0</v>
      </c>
      <c r="Y386" s="170">
        <f>IF(OR($I386="",$E386=0),0,IF(OR($J386&lt;Y$3,$I386&gt;Y$2),0,IF($K386=0,IF(AND($I386&gt;=Y$3,$I386&lt;=Y$2),$E386,0),$E386*NETWORKDAYS(MAX($I386,Y$3),MIN($J386,Y$2),Data!$K$4:$K$203)/$K386)))</f>
        <v>0</v>
      </c>
      <c r="Z386" s="170">
        <f>IF(OR($I386="",$E386=0),0,IF(OR($J386&lt;Z$3,$I386&gt;Z$2),0,IF($K386=0,IF(AND($I386&gt;=Z$3,$I386&lt;=Z$2),$E386,0),$E386*NETWORKDAYS(MAX($I386,Z$3),MIN($J386,Z$2),Data!$K$4:$K$203)/$K386)))</f>
        <v>0</v>
      </c>
      <c r="AA386" s="170">
        <f>IF(OR($I386="",$E386=0),0,IF(OR($J386&lt;AA$3,$I386&gt;AA$2),0,IF($K386=0,IF(AND($I386&gt;=AA$3,$I386&lt;=AA$2),$E386,0),$E386*NETWORKDAYS(MAX($I386,AA$3),MIN($J386,AA$2),Data!$K$4:$K$203)/$K386)))</f>
        <v>0</v>
      </c>
      <c r="AB386" s="170">
        <f>IF(OR($I386="",$E386=0),0,IF(OR($J386&lt;AB$3,$I386&gt;AB$2),0,IF($K386=0,IF(AND($I386&gt;=AB$3,$I386&lt;=AB$2),$E386,0),$E386*NETWORKDAYS(MAX($I386,AB$3),MIN($J386,AB$2),Data!$K$4:$K$203)/$K386)))</f>
        <v>0</v>
      </c>
      <c r="AC386" s="170">
        <f>IF(OR($I386="",$E386=0),0,IF(OR($J386&lt;AC$3,$I386&gt;AC$2),0,IF($K386=0,IF(AND($I386&gt;=AC$3,$I386&lt;=AC$2),$E386,0),$E386*NETWORKDAYS(MAX($I386,AC$3),MIN($J386,AC$2),Data!$K$4:$K$203)/$K386)))</f>
        <v>0</v>
      </c>
      <c r="AD386" s="170">
        <f>IF(OR($I386="",$E386=0),0,IF(OR($J386&lt;AD$3,$I386&gt;AD$2),0,IF($K386=0,IF(AND($I386&gt;=AD$3,$I386&lt;=AD$2),$E386,0),$E386*NETWORKDAYS(MAX($I386,AD$3),MIN($J386,AD$2),Data!$K$4:$K$203)/$K386)))</f>
        <v>0</v>
      </c>
      <c r="AE386" s="170">
        <f>IF(OR($I386="",$E386=0),0,IF(OR($J386&lt;AE$3,$I386&gt;AE$2),0,IF($K386=0,IF(AND($I386&gt;=AE$3,$I386&lt;=AE$2),$E386,0),$E386*NETWORKDAYS(MAX($I386,AE$3),MIN($J386,AE$2),Data!$K$4:$K$203)/$K386)))</f>
        <v>0</v>
      </c>
      <c r="AF386" s="170">
        <f>IF(OR($I386="",$E386=0),0,IF(OR($J386&lt;AF$3,$I386&gt;AF$2),0,IF($K386=0,IF(AND($I386&gt;=AF$3,$I386&lt;=AF$2),$E386,0),$E386*NETWORKDAYS(MAX($I386,AF$3),MIN($J386,AF$2),Data!$K$4:$K$203)/$K386)))</f>
        <v>0</v>
      </c>
      <c r="AG386" s="170">
        <f>IF(OR($I386="",$E386=0),0,IF(OR($J386&lt;AG$3,$I386&gt;AG$2),0,IF($K386=0,IF(AND($I386&gt;=AG$3,$I386&lt;=AG$2),$E386,0),$E386*NETWORKDAYS(MAX($I386,AG$3),MIN($J386,AG$2),Data!$K$4:$K$203)/$K386)))</f>
        <v>0</v>
      </c>
      <c r="AH386" s="170">
        <f>IF(OR($I386="",$E386=0),0,IF(OR($J386&lt;AH$3,$I386&gt;AH$2),0,IF($K386=0,IF(AND($I386&gt;=AH$3,$I386&lt;=AH$2),$E386,0),$E386*NETWORKDAYS(MAX($I386,AH$3),MIN($J386,AH$2),Data!$K$4:$K$203)/$K386)))</f>
        <v>0</v>
      </c>
      <c r="AI386" s="170">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70"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4" t="str">
        <f>IF(EO386=1,IF(FH386&gt;0,FI386/FH386,AVERAGEIF($FF$4:$FF$503,EN386,$C$4:$C$503)),"")</f>
        <v/>
      </c>
      <c r="EV386" s="169">
        <f>IF(ISNUMBER(I386),I386,2958465)</f>
        <v>2958465.0</v>
      </c>
      <c r="EW386" s="169" t="str">
        <f>IF(EO386=1,SUMPRODUCT(MIN(($EN$4:$EN$503=EN386)*$EV$4:$EV$503+($EN$4:$EN$503&lt;&gt;EN386)*2958465)),"")</f>
        <v/>
      </c>
      <c r="EX386" s="169">
        <f>IF(AND(D386=1,ISNUMBER(INDEX(Charge!$F:$F,ROW()))),INDEX(Charge!$F:$F,ROW()),0)</f>
        <v>0.0</v>
      </c>
      <c r="EY386" s="169"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c r="FF386" t="str">
        <f>IF(B386=1,LEFT(SUBSTITUTE(SUBSTITUTE(SUBSTITUTE(TRIM(SUBSTITUTE(INDEX(Charge!$B:$B,ROW()),CHAR(160)," "))&amp;" | "&amp;TRIM(SUBSTITUTE(INDEX(Charge!$C:$C,ROW()),CHAR(160)," "))&amp;" | "&amp;TRIM(SUBSTITUTE(INDEX(Charge!$D:$D,ROW()),CHAR(160)," ")),"~","-"),"*","+"),"?","!"),240),"")</f>
        <v/>
      </c>
      <c r="FG386">
        <f>IF(B386=1,MAX(0,N(INDEX(Charge!$M:$M,ROW()))),0)</f>
        <v>0</v>
      </c>
      <c r="FH386" s="170" t="str">
        <f>IF(EO386=1,ROUND(SUMIF($FF$4:$FF$503,EN386,$FG$4:$FG$503),2),"")</f>
        <v/>
      </c>
      <c r="FI386" s="170" t="str">
        <f>IF(EO386=1,ROUND(SUMPRODUCT(($FF$4:$FF$503=EN386)*$FG$4:$FG$503*$C$4:$C$503),2),"")</f>
        <v/>
      </c>
      <c r="FJ386" s="170" t="str">
        <f>IF(EO386=1,MAX(0,ROUND(FH386-FI386,2)),"")</f>
        <v/>
      </c>
      <c r="FK386" s="174" t="str">
        <f>IF(EO386=1,IF(OR(EW386&gt;=2958465,EY386=0,EY386&lt;=EW386),"",IF(TODAY()&lt;=EW386,0,IF(TODAY()&gt;EY386,1,IFERROR(NETWORKDAYS(EW386,TODAY()-1,Data!$K$4:$K$203)/NETWORKDAYS(EW386,EY386,Data!$K$4:$K$203),"")))),"")</f>
        <v/>
      </c>
      <c r="FL386" t="str">
        <f>IF(EO386=1,IF(AND(EY386&gt;0,EY386&lt;TODAY(),ROUND(EU386,4)&lt;1),2,IF(FK386="",0,IF(ROUND(EU386-FK386,4)&lt;-0.15,1,0))),"")</f>
        <v/>
      </c>
      <c r="FM386">
        <f>IF(OR(FA386="",COUNTIF($FA$4:FA385,FA386)&gt;0),0,MAX(0,IF(FB386="Interne",IF(ISNUMBER(INDEX(Data!$F:$F,386)),INDEX(Data!$F:$F,386),p_HeuresETP),IF(ISNUMBER(INDEX(Data!$I:$I,386-$CD$23)),INDEX(Data!$I:$I,386-$CD$23),p_HeuresETP))-IF(FB386="Interne",IF(ISNUMBER(INDEX(Data!$G:$G,386)),INDEX(Data!$G:$G,386),p_ChargeFixe),IF(ISNUMBER(INDEX(Data!$J:$J,386-$CD$23)),INDEX(Data!$J:$J,386-$CD$23),p_ChargeFixe))))</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9" t="str">
        <f>IF(AND(D387=1,ISNUMBER(INDEX(Charge!$N:$N,ROW()))),INDEX(Charge!$N:$N,ROW()),"")</f>
        <v/>
      </c>
      <c r="J387" s="169"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70">
        <f>IF(OR($I387="",$E387=0),0,IF(OR($J387&lt;W$3,$I387&gt;W$2),0,IF($K387=0,IF(AND($I387&gt;=W$3,$I387&lt;=W$2),$E387,0),$E387*NETWORKDAYS(MAX($I387,W$3),MIN($J387,W$2),Data!$K$4:$K$203)/$K387)))</f>
        <v>0</v>
      </c>
      <c r="X387" s="170">
        <f>IF(OR($I387="",$E387=0),0,IF(OR($J387&lt;X$3,$I387&gt;X$2),0,IF($K387=0,IF(AND($I387&gt;=X$3,$I387&lt;=X$2),$E387,0),$E387*NETWORKDAYS(MAX($I387,X$3),MIN($J387,X$2),Data!$K$4:$K$203)/$K387)))</f>
        <v>0</v>
      </c>
      <c r="Y387" s="170">
        <f>IF(OR($I387="",$E387=0),0,IF(OR($J387&lt;Y$3,$I387&gt;Y$2),0,IF($K387=0,IF(AND($I387&gt;=Y$3,$I387&lt;=Y$2),$E387,0),$E387*NETWORKDAYS(MAX($I387,Y$3),MIN($J387,Y$2),Data!$K$4:$K$203)/$K387)))</f>
        <v>0</v>
      </c>
      <c r="Z387" s="170">
        <f>IF(OR($I387="",$E387=0),0,IF(OR($J387&lt;Z$3,$I387&gt;Z$2),0,IF($K387=0,IF(AND($I387&gt;=Z$3,$I387&lt;=Z$2),$E387,0),$E387*NETWORKDAYS(MAX($I387,Z$3),MIN($J387,Z$2),Data!$K$4:$K$203)/$K387)))</f>
        <v>0</v>
      </c>
      <c r="AA387" s="170">
        <f>IF(OR($I387="",$E387=0),0,IF(OR($J387&lt;AA$3,$I387&gt;AA$2),0,IF($K387=0,IF(AND($I387&gt;=AA$3,$I387&lt;=AA$2),$E387,0),$E387*NETWORKDAYS(MAX($I387,AA$3),MIN($J387,AA$2),Data!$K$4:$K$203)/$K387)))</f>
        <v>0</v>
      </c>
      <c r="AB387" s="170">
        <f>IF(OR($I387="",$E387=0),0,IF(OR($J387&lt;AB$3,$I387&gt;AB$2),0,IF($K387=0,IF(AND($I387&gt;=AB$3,$I387&lt;=AB$2),$E387,0),$E387*NETWORKDAYS(MAX($I387,AB$3),MIN($J387,AB$2),Data!$K$4:$K$203)/$K387)))</f>
        <v>0</v>
      </c>
      <c r="AC387" s="170">
        <f>IF(OR($I387="",$E387=0),0,IF(OR($J387&lt;AC$3,$I387&gt;AC$2),0,IF($K387=0,IF(AND($I387&gt;=AC$3,$I387&lt;=AC$2),$E387,0),$E387*NETWORKDAYS(MAX($I387,AC$3),MIN($J387,AC$2),Data!$K$4:$K$203)/$K387)))</f>
        <v>0</v>
      </c>
      <c r="AD387" s="170">
        <f>IF(OR($I387="",$E387=0),0,IF(OR($J387&lt;AD$3,$I387&gt;AD$2),0,IF($K387=0,IF(AND($I387&gt;=AD$3,$I387&lt;=AD$2),$E387,0),$E387*NETWORKDAYS(MAX($I387,AD$3),MIN($J387,AD$2),Data!$K$4:$K$203)/$K387)))</f>
        <v>0</v>
      </c>
      <c r="AE387" s="170">
        <f>IF(OR($I387="",$E387=0),0,IF(OR($J387&lt;AE$3,$I387&gt;AE$2),0,IF($K387=0,IF(AND($I387&gt;=AE$3,$I387&lt;=AE$2),$E387,0),$E387*NETWORKDAYS(MAX($I387,AE$3),MIN($J387,AE$2),Data!$K$4:$K$203)/$K387)))</f>
        <v>0</v>
      </c>
      <c r="AF387" s="170">
        <f>IF(OR($I387="",$E387=0),0,IF(OR($J387&lt;AF$3,$I387&gt;AF$2),0,IF($K387=0,IF(AND($I387&gt;=AF$3,$I387&lt;=AF$2),$E387,0),$E387*NETWORKDAYS(MAX($I387,AF$3),MIN($J387,AF$2),Data!$K$4:$K$203)/$K387)))</f>
        <v>0</v>
      </c>
      <c r="AG387" s="170">
        <f>IF(OR($I387="",$E387=0),0,IF(OR($J387&lt;AG$3,$I387&gt;AG$2),0,IF($K387=0,IF(AND($I387&gt;=AG$3,$I387&lt;=AG$2),$E387,0),$E387*NETWORKDAYS(MAX($I387,AG$3),MIN($J387,AG$2),Data!$K$4:$K$203)/$K387)))</f>
        <v>0</v>
      </c>
      <c r="AH387" s="170">
        <f>IF(OR($I387="",$E387=0),0,IF(OR($J387&lt;AH$3,$I387&gt;AH$2),0,IF($K387=0,IF(AND($I387&gt;=AH$3,$I387&lt;=AH$2),$E387,0),$E387*NETWORKDAYS(MAX($I387,AH$3),MIN($J387,AH$2),Data!$K$4:$K$203)/$K387)))</f>
        <v>0</v>
      </c>
      <c r="AI387" s="170">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70"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4" t="str">
        <f>IF(EO387=1,IF(FH387&gt;0,FI387/FH387,AVERAGEIF($FF$4:$FF$503,EN387,$C$4:$C$503)),"")</f>
        <v/>
      </c>
      <c r="EV387" s="169">
        <f>IF(ISNUMBER(I387),I387,2958465)</f>
        <v>2958465.0</v>
      </c>
      <c r="EW387" s="169" t="str">
        <f>IF(EO387=1,SUMPRODUCT(MIN(($EN$4:$EN$503=EN387)*$EV$4:$EV$503+($EN$4:$EN$503&lt;&gt;EN387)*2958465)),"")</f>
        <v/>
      </c>
      <c r="EX387" s="169">
        <f>IF(AND(D387=1,ISNUMBER(INDEX(Charge!$F:$F,ROW()))),INDEX(Charge!$F:$F,ROW()),0)</f>
        <v>0.0</v>
      </c>
      <c r="EY387" s="169"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c r="FF387" t="str">
        <f>IF(B387=1,LEFT(SUBSTITUTE(SUBSTITUTE(SUBSTITUTE(TRIM(SUBSTITUTE(INDEX(Charge!$B:$B,ROW()),CHAR(160)," "))&amp;" | "&amp;TRIM(SUBSTITUTE(INDEX(Charge!$C:$C,ROW()),CHAR(160)," "))&amp;" | "&amp;TRIM(SUBSTITUTE(INDEX(Charge!$D:$D,ROW()),CHAR(160)," ")),"~","-"),"*","+"),"?","!"),240),"")</f>
        <v/>
      </c>
      <c r="FG387">
        <f>IF(B387=1,MAX(0,N(INDEX(Charge!$M:$M,ROW()))),0)</f>
        <v>0</v>
      </c>
      <c r="FH387" s="170" t="str">
        <f>IF(EO387=1,ROUND(SUMIF($FF$4:$FF$503,EN387,$FG$4:$FG$503),2),"")</f>
        <v/>
      </c>
      <c r="FI387" s="170" t="str">
        <f>IF(EO387=1,ROUND(SUMPRODUCT(($FF$4:$FF$503=EN387)*$FG$4:$FG$503*$C$4:$C$503),2),"")</f>
        <v/>
      </c>
      <c r="FJ387" s="170" t="str">
        <f>IF(EO387=1,MAX(0,ROUND(FH387-FI387,2)),"")</f>
        <v/>
      </c>
      <c r="FK387" s="174" t="str">
        <f>IF(EO387=1,IF(OR(EW387&gt;=2958465,EY387=0,EY387&lt;=EW387),"",IF(TODAY()&lt;=EW387,0,IF(TODAY()&gt;EY387,1,IFERROR(NETWORKDAYS(EW387,TODAY()-1,Data!$K$4:$K$203)/NETWORKDAYS(EW387,EY387,Data!$K$4:$K$203),"")))),"")</f>
        <v/>
      </c>
      <c r="FL387" t="str">
        <f>IF(EO387=1,IF(AND(EY387&gt;0,EY387&lt;TODAY(),ROUND(EU387,4)&lt;1),2,IF(FK387="",0,IF(ROUND(EU387-FK387,4)&lt;-0.15,1,0))),"")</f>
        <v/>
      </c>
      <c r="FM387">
        <f>IF(OR(FA387="",COUNTIF($FA$4:FA386,FA387)&gt;0),0,MAX(0,IF(FB387="Interne",IF(ISNUMBER(INDEX(Data!$F:$F,387)),INDEX(Data!$F:$F,387),p_HeuresETP),IF(ISNUMBER(INDEX(Data!$I:$I,387-$CD$23)),INDEX(Data!$I:$I,387-$CD$23),p_HeuresETP))-IF(FB387="Interne",IF(ISNUMBER(INDEX(Data!$G:$G,387)),INDEX(Data!$G:$G,387),p_ChargeFixe),IF(ISNUMBER(INDEX(Data!$J:$J,387-$CD$23)),INDEX(Data!$J:$J,387-$CD$23),p_ChargeFixe))))</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9" t="str">
        <f>IF(AND(D388=1,ISNUMBER(INDEX(Charge!$N:$N,ROW()))),INDEX(Charge!$N:$N,ROW()),"")</f>
        <v/>
      </c>
      <c r="J388" s="169"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70">
        <f>IF(OR($I388="",$E388=0),0,IF(OR($J388&lt;W$3,$I388&gt;W$2),0,IF($K388=0,IF(AND($I388&gt;=W$3,$I388&lt;=W$2),$E388,0),$E388*NETWORKDAYS(MAX($I388,W$3),MIN($J388,W$2),Data!$K$4:$K$203)/$K388)))</f>
        <v>0</v>
      </c>
      <c r="X388" s="170">
        <f>IF(OR($I388="",$E388=0),0,IF(OR($J388&lt;X$3,$I388&gt;X$2),0,IF($K388=0,IF(AND($I388&gt;=X$3,$I388&lt;=X$2),$E388,0),$E388*NETWORKDAYS(MAX($I388,X$3),MIN($J388,X$2),Data!$K$4:$K$203)/$K388)))</f>
        <v>0</v>
      </c>
      <c r="Y388" s="170">
        <f>IF(OR($I388="",$E388=0),0,IF(OR($J388&lt;Y$3,$I388&gt;Y$2),0,IF($K388=0,IF(AND($I388&gt;=Y$3,$I388&lt;=Y$2),$E388,0),$E388*NETWORKDAYS(MAX($I388,Y$3),MIN($J388,Y$2),Data!$K$4:$K$203)/$K388)))</f>
        <v>0</v>
      </c>
      <c r="Z388" s="170">
        <f>IF(OR($I388="",$E388=0),0,IF(OR($J388&lt;Z$3,$I388&gt;Z$2),0,IF($K388=0,IF(AND($I388&gt;=Z$3,$I388&lt;=Z$2),$E388,0),$E388*NETWORKDAYS(MAX($I388,Z$3),MIN($J388,Z$2),Data!$K$4:$K$203)/$K388)))</f>
        <v>0</v>
      </c>
      <c r="AA388" s="170">
        <f>IF(OR($I388="",$E388=0),0,IF(OR($J388&lt;AA$3,$I388&gt;AA$2),0,IF($K388=0,IF(AND($I388&gt;=AA$3,$I388&lt;=AA$2),$E388,0),$E388*NETWORKDAYS(MAX($I388,AA$3),MIN($J388,AA$2),Data!$K$4:$K$203)/$K388)))</f>
        <v>0</v>
      </c>
      <c r="AB388" s="170">
        <f>IF(OR($I388="",$E388=0),0,IF(OR($J388&lt;AB$3,$I388&gt;AB$2),0,IF($K388=0,IF(AND($I388&gt;=AB$3,$I388&lt;=AB$2),$E388,0),$E388*NETWORKDAYS(MAX($I388,AB$3),MIN($J388,AB$2),Data!$K$4:$K$203)/$K388)))</f>
        <v>0</v>
      </c>
      <c r="AC388" s="170">
        <f>IF(OR($I388="",$E388=0),0,IF(OR($J388&lt;AC$3,$I388&gt;AC$2),0,IF($K388=0,IF(AND($I388&gt;=AC$3,$I388&lt;=AC$2),$E388,0),$E388*NETWORKDAYS(MAX($I388,AC$3),MIN($J388,AC$2),Data!$K$4:$K$203)/$K388)))</f>
        <v>0</v>
      </c>
      <c r="AD388" s="170">
        <f>IF(OR($I388="",$E388=0),0,IF(OR($J388&lt;AD$3,$I388&gt;AD$2),0,IF($K388=0,IF(AND($I388&gt;=AD$3,$I388&lt;=AD$2),$E388,0),$E388*NETWORKDAYS(MAX($I388,AD$3),MIN($J388,AD$2),Data!$K$4:$K$203)/$K388)))</f>
        <v>0</v>
      </c>
      <c r="AE388" s="170">
        <f>IF(OR($I388="",$E388=0),0,IF(OR($J388&lt;AE$3,$I388&gt;AE$2),0,IF($K388=0,IF(AND($I388&gt;=AE$3,$I388&lt;=AE$2),$E388,0),$E388*NETWORKDAYS(MAX($I388,AE$3),MIN($J388,AE$2),Data!$K$4:$K$203)/$K388)))</f>
        <v>0</v>
      </c>
      <c r="AF388" s="170">
        <f>IF(OR($I388="",$E388=0),0,IF(OR($J388&lt;AF$3,$I388&gt;AF$2),0,IF($K388=0,IF(AND($I388&gt;=AF$3,$I388&lt;=AF$2),$E388,0),$E388*NETWORKDAYS(MAX($I388,AF$3),MIN($J388,AF$2),Data!$K$4:$K$203)/$K388)))</f>
        <v>0</v>
      </c>
      <c r="AG388" s="170">
        <f>IF(OR($I388="",$E388=0),0,IF(OR($J388&lt;AG$3,$I388&gt;AG$2),0,IF($K388=0,IF(AND($I388&gt;=AG$3,$I388&lt;=AG$2),$E388,0),$E388*NETWORKDAYS(MAX($I388,AG$3),MIN($J388,AG$2),Data!$K$4:$K$203)/$K388)))</f>
        <v>0</v>
      </c>
      <c r="AH388" s="170">
        <f>IF(OR($I388="",$E388=0),0,IF(OR($J388&lt;AH$3,$I388&gt;AH$2),0,IF($K388=0,IF(AND($I388&gt;=AH$3,$I388&lt;=AH$2),$E388,0),$E388*NETWORKDAYS(MAX($I388,AH$3),MIN($J388,AH$2),Data!$K$4:$K$203)/$K388)))</f>
        <v>0</v>
      </c>
      <c r="AI388" s="170">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70"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4" t="str">
        <f>IF(EO388=1,IF(FH388&gt;0,FI388/FH388,AVERAGEIF($FF$4:$FF$503,EN388,$C$4:$C$503)),"")</f>
        <v/>
      </c>
      <c r="EV388" s="169">
        <f>IF(ISNUMBER(I388),I388,2958465)</f>
        <v>2958465.0</v>
      </c>
      <c r="EW388" s="169" t="str">
        <f>IF(EO388=1,SUMPRODUCT(MIN(($EN$4:$EN$503=EN388)*$EV$4:$EV$503+($EN$4:$EN$503&lt;&gt;EN388)*2958465)),"")</f>
        <v/>
      </c>
      <c r="EX388" s="169">
        <f>IF(AND(D388=1,ISNUMBER(INDEX(Charge!$F:$F,ROW()))),INDEX(Charge!$F:$F,ROW()),0)</f>
        <v>0.0</v>
      </c>
      <c r="EY388" s="169"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c r="FF388" t="str">
        <f>IF(B388=1,LEFT(SUBSTITUTE(SUBSTITUTE(SUBSTITUTE(TRIM(SUBSTITUTE(INDEX(Charge!$B:$B,ROW()),CHAR(160)," "))&amp;" | "&amp;TRIM(SUBSTITUTE(INDEX(Charge!$C:$C,ROW()),CHAR(160)," "))&amp;" | "&amp;TRIM(SUBSTITUTE(INDEX(Charge!$D:$D,ROW()),CHAR(160)," ")),"~","-"),"*","+"),"?","!"),240),"")</f>
        <v/>
      </c>
      <c r="FG388">
        <f>IF(B388=1,MAX(0,N(INDEX(Charge!$M:$M,ROW()))),0)</f>
        <v>0</v>
      </c>
      <c r="FH388" s="170" t="str">
        <f>IF(EO388=1,ROUND(SUMIF($FF$4:$FF$503,EN388,$FG$4:$FG$503),2),"")</f>
        <v/>
      </c>
      <c r="FI388" s="170" t="str">
        <f>IF(EO388=1,ROUND(SUMPRODUCT(($FF$4:$FF$503=EN388)*$FG$4:$FG$503*$C$4:$C$503),2),"")</f>
        <v/>
      </c>
      <c r="FJ388" s="170" t="str">
        <f>IF(EO388=1,MAX(0,ROUND(FH388-FI388,2)),"")</f>
        <v/>
      </c>
      <c r="FK388" s="174" t="str">
        <f>IF(EO388=1,IF(OR(EW388&gt;=2958465,EY388=0,EY388&lt;=EW388),"",IF(TODAY()&lt;=EW388,0,IF(TODAY()&gt;EY388,1,IFERROR(NETWORKDAYS(EW388,TODAY()-1,Data!$K$4:$K$203)/NETWORKDAYS(EW388,EY388,Data!$K$4:$K$203),"")))),"")</f>
        <v/>
      </c>
      <c r="FL388" t="str">
        <f>IF(EO388=1,IF(AND(EY388&gt;0,EY388&lt;TODAY(),ROUND(EU388,4)&lt;1),2,IF(FK388="",0,IF(ROUND(EU388-FK388,4)&lt;-0.15,1,0))),"")</f>
        <v/>
      </c>
      <c r="FM388">
        <f>IF(OR(FA388="",COUNTIF($FA$4:FA387,FA388)&gt;0),0,MAX(0,IF(FB388="Interne",IF(ISNUMBER(INDEX(Data!$F:$F,388)),INDEX(Data!$F:$F,388),p_HeuresETP),IF(ISNUMBER(INDEX(Data!$I:$I,388-$CD$23)),INDEX(Data!$I:$I,388-$CD$23),p_HeuresETP))-IF(FB388="Interne",IF(ISNUMBER(INDEX(Data!$G:$G,388)),INDEX(Data!$G:$G,388),p_ChargeFixe),IF(ISNUMBER(INDEX(Data!$J:$J,388-$CD$23)),INDEX(Data!$J:$J,388-$CD$23),p_ChargeFixe))))</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9" t="str">
        <f>IF(AND(D389=1,ISNUMBER(INDEX(Charge!$N:$N,ROW()))),INDEX(Charge!$N:$N,ROW()),"")</f>
        <v/>
      </c>
      <c r="J389" s="169"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70">
        <f>IF(OR($I389="",$E389=0),0,IF(OR($J389&lt;W$3,$I389&gt;W$2),0,IF($K389=0,IF(AND($I389&gt;=W$3,$I389&lt;=W$2),$E389,0),$E389*NETWORKDAYS(MAX($I389,W$3),MIN($J389,W$2),Data!$K$4:$K$203)/$K389)))</f>
        <v>0</v>
      </c>
      <c r="X389" s="170">
        <f>IF(OR($I389="",$E389=0),0,IF(OR($J389&lt;X$3,$I389&gt;X$2),0,IF($K389=0,IF(AND($I389&gt;=X$3,$I389&lt;=X$2),$E389,0),$E389*NETWORKDAYS(MAX($I389,X$3),MIN($J389,X$2),Data!$K$4:$K$203)/$K389)))</f>
        <v>0</v>
      </c>
      <c r="Y389" s="170">
        <f>IF(OR($I389="",$E389=0),0,IF(OR($J389&lt;Y$3,$I389&gt;Y$2),0,IF($K389=0,IF(AND($I389&gt;=Y$3,$I389&lt;=Y$2),$E389,0),$E389*NETWORKDAYS(MAX($I389,Y$3),MIN($J389,Y$2),Data!$K$4:$K$203)/$K389)))</f>
        <v>0</v>
      </c>
      <c r="Z389" s="170">
        <f>IF(OR($I389="",$E389=0),0,IF(OR($J389&lt;Z$3,$I389&gt;Z$2),0,IF($K389=0,IF(AND($I389&gt;=Z$3,$I389&lt;=Z$2),$E389,0),$E389*NETWORKDAYS(MAX($I389,Z$3),MIN($J389,Z$2),Data!$K$4:$K$203)/$K389)))</f>
        <v>0</v>
      </c>
      <c r="AA389" s="170">
        <f>IF(OR($I389="",$E389=0),0,IF(OR($J389&lt;AA$3,$I389&gt;AA$2),0,IF($K389=0,IF(AND($I389&gt;=AA$3,$I389&lt;=AA$2),$E389,0),$E389*NETWORKDAYS(MAX($I389,AA$3),MIN($J389,AA$2),Data!$K$4:$K$203)/$K389)))</f>
        <v>0</v>
      </c>
      <c r="AB389" s="170">
        <f>IF(OR($I389="",$E389=0),0,IF(OR($J389&lt;AB$3,$I389&gt;AB$2),0,IF($K389=0,IF(AND($I389&gt;=AB$3,$I389&lt;=AB$2),$E389,0),$E389*NETWORKDAYS(MAX($I389,AB$3),MIN($J389,AB$2),Data!$K$4:$K$203)/$K389)))</f>
        <v>0</v>
      </c>
      <c r="AC389" s="170">
        <f>IF(OR($I389="",$E389=0),0,IF(OR($J389&lt;AC$3,$I389&gt;AC$2),0,IF($K389=0,IF(AND($I389&gt;=AC$3,$I389&lt;=AC$2),$E389,0),$E389*NETWORKDAYS(MAX($I389,AC$3),MIN($J389,AC$2),Data!$K$4:$K$203)/$K389)))</f>
        <v>0</v>
      </c>
      <c r="AD389" s="170">
        <f>IF(OR($I389="",$E389=0),0,IF(OR($J389&lt;AD$3,$I389&gt;AD$2),0,IF($K389=0,IF(AND($I389&gt;=AD$3,$I389&lt;=AD$2),$E389,0),$E389*NETWORKDAYS(MAX($I389,AD$3),MIN($J389,AD$2),Data!$K$4:$K$203)/$K389)))</f>
        <v>0</v>
      </c>
      <c r="AE389" s="170">
        <f>IF(OR($I389="",$E389=0),0,IF(OR($J389&lt;AE$3,$I389&gt;AE$2),0,IF($K389=0,IF(AND($I389&gt;=AE$3,$I389&lt;=AE$2),$E389,0),$E389*NETWORKDAYS(MAX($I389,AE$3),MIN($J389,AE$2),Data!$K$4:$K$203)/$K389)))</f>
        <v>0</v>
      </c>
      <c r="AF389" s="170">
        <f>IF(OR($I389="",$E389=0),0,IF(OR($J389&lt;AF$3,$I389&gt;AF$2),0,IF($K389=0,IF(AND($I389&gt;=AF$3,$I389&lt;=AF$2),$E389,0),$E389*NETWORKDAYS(MAX($I389,AF$3),MIN($J389,AF$2),Data!$K$4:$K$203)/$K389)))</f>
        <v>0</v>
      </c>
      <c r="AG389" s="170">
        <f>IF(OR($I389="",$E389=0),0,IF(OR($J389&lt;AG$3,$I389&gt;AG$2),0,IF($K389=0,IF(AND($I389&gt;=AG$3,$I389&lt;=AG$2),$E389,0),$E389*NETWORKDAYS(MAX($I389,AG$3),MIN($J389,AG$2),Data!$K$4:$K$203)/$K389)))</f>
        <v>0</v>
      </c>
      <c r="AH389" s="170">
        <f>IF(OR($I389="",$E389=0),0,IF(OR($J389&lt;AH$3,$I389&gt;AH$2),0,IF($K389=0,IF(AND($I389&gt;=AH$3,$I389&lt;=AH$2),$E389,0),$E389*NETWORKDAYS(MAX($I389,AH$3),MIN($J389,AH$2),Data!$K$4:$K$203)/$K389)))</f>
        <v>0</v>
      </c>
      <c r="AI389" s="170">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70"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4" t="str">
        <f>IF(EO389=1,IF(FH389&gt;0,FI389/FH389,AVERAGEIF($FF$4:$FF$503,EN389,$C$4:$C$503)),"")</f>
        <v/>
      </c>
      <c r="EV389" s="169">
        <f>IF(ISNUMBER(I389),I389,2958465)</f>
        <v>2958465.0</v>
      </c>
      <c r="EW389" s="169" t="str">
        <f>IF(EO389=1,SUMPRODUCT(MIN(($EN$4:$EN$503=EN389)*$EV$4:$EV$503+($EN$4:$EN$503&lt;&gt;EN389)*2958465)),"")</f>
        <v/>
      </c>
      <c r="EX389" s="169">
        <f>IF(AND(D389=1,ISNUMBER(INDEX(Charge!$F:$F,ROW()))),INDEX(Charge!$F:$F,ROW()),0)</f>
        <v>0.0</v>
      </c>
      <c r="EY389" s="169"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c r="FF389" t="str">
        <f>IF(B389=1,LEFT(SUBSTITUTE(SUBSTITUTE(SUBSTITUTE(TRIM(SUBSTITUTE(INDEX(Charge!$B:$B,ROW()),CHAR(160)," "))&amp;" | "&amp;TRIM(SUBSTITUTE(INDEX(Charge!$C:$C,ROW()),CHAR(160)," "))&amp;" | "&amp;TRIM(SUBSTITUTE(INDEX(Charge!$D:$D,ROW()),CHAR(160)," ")),"~","-"),"*","+"),"?","!"),240),"")</f>
        <v/>
      </c>
      <c r="FG389">
        <f>IF(B389=1,MAX(0,N(INDEX(Charge!$M:$M,ROW()))),0)</f>
        <v>0</v>
      </c>
      <c r="FH389" s="170" t="str">
        <f>IF(EO389=1,ROUND(SUMIF($FF$4:$FF$503,EN389,$FG$4:$FG$503),2),"")</f>
        <v/>
      </c>
      <c r="FI389" s="170" t="str">
        <f>IF(EO389=1,ROUND(SUMPRODUCT(($FF$4:$FF$503=EN389)*$FG$4:$FG$503*$C$4:$C$503),2),"")</f>
        <v/>
      </c>
      <c r="FJ389" s="170" t="str">
        <f>IF(EO389=1,MAX(0,ROUND(FH389-FI389,2)),"")</f>
        <v/>
      </c>
      <c r="FK389" s="174" t="str">
        <f>IF(EO389=1,IF(OR(EW389&gt;=2958465,EY389=0,EY389&lt;=EW389),"",IF(TODAY()&lt;=EW389,0,IF(TODAY()&gt;EY389,1,IFERROR(NETWORKDAYS(EW389,TODAY()-1,Data!$K$4:$K$203)/NETWORKDAYS(EW389,EY389,Data!$K$4:$K$203),"")))),"")</f>
        <v/>
      </c>
      <c r="FL389" t="str">
        <f>IF(EO389=1,IF(AND(EY389&gt;0,EY389&lt;TODAY(),ROUND(EU389,4)&lt;1),2,IF(FK389="",0,IF(ROUND(EU389-FK389,4)&lt;-0.15,1,0))),"")</f>
        <v/>
      </c>
      <c r="FM389">
        <f>IF(OR(FA389="",COUNTIF($FA$4:FA388,FA389)&gt;0),0,MAX(0,IF(FB389="Interne",IF(ISNUMBER(INDEX(Data!$F:$F,389)),INDEX(Data!$F:$F,389),p_HeuresETP),IF(ISNUMBER(INDEX(Data!$I:$I,389-$CD$23)),INDEX(Data!$I:$I,389-$CD$23),p_HeuresETP))-IF(FB389="Interne",IF(ISNUMBER(INDEX(Data!$G:$G,389)),INDEX(Data!$G:$G,389),p_ChargeFixe),IF(ISNUMBER(INDEX(Data!$J:$J,389-$CD$23)),INDEX(Data!$J:$J,389-$CD$23),p_ChargeFixe))))</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9" t="str">
        <f>IF(AND(D390=1,ISNUMBER(INDEX(Charge!$N:$N,ROW()))),INDEX(Charge!$N:$N,ROW()),"")</f>
        <v/>
      </c>
      <c r="J390" s="169"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70">
        <f>IF(OR($I390="",$E390=0),0,IF(OR($J390&lt;W$3,$I390&gt;W$2),0,IF($K390=0,IF(AND($I390&gt;=W$3,$I390&lt;=W$2),$E390,0),$E390*NETWORKDAYS(MAX($I390,W$3),MIN($J390,W$2),Data!$K$4:$K$203)/$K390)))</f>
        <v>0</v>
      </c>
      <c r="X390" s="170">
        <f>IF(OR($I390="",$E390=0),0,IF(OR($J390&lt;X$3,$I390&gt;X$2),0,IF($K390=0,IF(AND($I390&gt;=X$3,$I390&lt;=X$2),$E390,0),$E390*NETWORKDAYS(MAX($I390,X$3),MIN($J390,X$2),Data!$K$4:$K$203)/$K390)))</f>
        <v>0</v>
      </c>
      <c r="Y390" s="170">
        <f>IF(OR($I390="",$E390=0),0,IF(OR($J390&lt;Y$3,$I390&gt;Y$2),0,IF($K390=0,IF(AND($I390&gt;=Y$3,$I390&lt;=Y$2),$E390,0),$E390*NETWORKDAYS(MAX($I390,Y$3),MIN($J390,Y$2),Data!$K$4:$K$203)/$K390)))</f>
        <v>0</v>
      </c>
      <c r="Z390" s="170">
        <f>IF(OR($I390="",$E390=0),0,IF(OR($J390&lt;Z$3,$I390&gt;Z$2),0,IF($K390=0,IF(AND($I390&gt;=Z$3,$I390&lt;=Z$2),$E390,0),$E390*NETWORKDAYS(MAX($I390,Z$3),MIN($J390,Z$2),Data!$K$4:$K$203)/$K390)))</f>
        <v>0</v>
      </c>
      <c r="AA390" s="170">
        <f>IF(OR($I390="",$E390=0),0,IF(OR($J390&lt;AA$3,$I390&gt;AA$2),0,IF($K390=0,IF(AND($I390&gt;=AA$3,$I390&lt;=AA$2),$E390,0),$E390*NETWORKDAYS(MAX($I390,AA$3),MIN($J390,AA$2),Data!$K$4:$K$203)/$K390)))</f>
        <v>0</v>
      </c>
      <c r="AB390" s="170">
        <f>IF(OR($I390="",$E390=0),0,IF(OR($J390&lt;AB$3,$I390&gt;AB$2),0,IF($K390=0,IF(AND($I390&gt;=AB$3,$I390&lt;=AB$2),$E390,0),$E390*NETWORKDAYS(MAX($I390,AB$3),MIN($J390,AB$2),Data!$K$4:$K$203)/$K390)))</f>
        <v>0</v>
      </c>
      <c r="AC390" s="170">
        <f>IF(OR($I390="",$E390=0),0,IF(OR($J390&lt;AC$3,$I390&gt;AC$2),0,IF($K390=0,IF(AND($I390&gt;=AC$3,$I390&lt;=AC$2),$E390,0),$E390*NETWORKDAYS(MAX($I390,AC$3),MIN($J390,AC$2),Data!$K$4:$K$203)/$K390)))</f>
        <v>0</v>
      </c>
      <c r="AD390" s="170">
        <f>IF(OR($I390="",$E390=0),0,IF(OR($J390&lt;AD$3,$I390&gt;AD$2),0,IF($K390=0,IF(AND($I390&gt;=AD$3,$I390&lt;=AD$2),$E390,0),$E390*NETWORKDAYS(MAX($I390,AD$3),MIN($J390,AD$2),Data!$K$4:$K$203)/$K390)))</f>
        <v>0</v>
      </c>
      <c r="AE390" s="170">
        <f>IF(OR($I390="",$E390=0),0,IF(OR($J390&lt;AE$3,$I390&gt;AE$2),0,IF($K390=0,IF(AND($I390&gt;=AE$3,$I390&lt;=AE$2),$E390,0),$E390*NETWORKDAYS(MAX($I390,AE$3),MIN($J390,AE$2),Data!$K$4:$K$203)/$K390)))</f>
        <v>0</v>
      </c>
      <c r="AF390" s="170">
        <f>IF(OR($I390="",$E390=0),0,IF(OR($J390&lt;AF$3,$I390&gt;AF$2),0,IF($K390=0,IF(AND($I390&gt;=AF$3,$I390&lt;=AF$2),$E390,0),$E390*NETWORKDAYS(MAX($I390,AF$3),MIN($J390,AF$2),Data!$K$4:$K$203)/$K390)))</f>
        <v>0</v>
      </c>
      <c r="AG390" s="170">
        <f>IF(OR($I390="",$E390=0),0,IF(OR($J390&lt;AG$3,$I390&gt;AG$2),0,IF($K390=0,IF(AND($I390&gt;=AG$3,$I390&lt;=AG$2),$E390,0),$E390*NETWORKDAYS(MAX($I390,AG$3),MIN($J390,AG$2),Data!$K$4:$K$203)/$K390)))</f>
        <v>0</v>
      </c>
      <c r="AH390" s="170">
        <f>IF(OR($I390="",$E390=0),0,IF(OR($J390&lt;AH$3,$I390&gt;AH$2),0,IF($K390=0,IF(AND($I390&gt;=AH$3,$I390&lt;=AH$2),$E390,0),$E390*NETWORKDAYS(MAX($I390,AH$3),MIN($J390,AH$2),Data!$K$4:$K$203)/$K390)))</f>
        <v>0</v>
      </c>
      <c r="AI390" s="170">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70"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4" t="str">
        <f>IF(EO390=1,IF(FH390&gt;0,FI390/FH390,AVERAGEIF($FF$4:$FF$503,EN390,$C$4:$C$503)),"")</f>
        <v/>
      </c>
      <c r="EV390" s="169">
        <f>IF(ISNUMBER(I390),I390,2958465)</f>
        <v>2958465.0</v>
      </c>
      <c r="EW390" s="169" t="str">
        <f>IF(EO390=1,SUMPRODUCT(MIN(($EN$4:$EN$503=EN390)*$EV$4:$EV$503+($EN$4:$EN$503&lt;&gt;EN390)*2958465)),"")</f>
        <v/>
      </c>
      <c r="EX390" s="169">
        <f>IF(AND(D390=1,ISNUMBER(INDEX(Charge!$F:$F,ROW()))),INDEX(Charge!$F:$F,ROW()),0)</f>
        <v>0.0</v>
      </c>
      <c r="EY390" s="169"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c r="FF390" t="str">
        <f>IF(B390=1,LEFT(SUBSTITUTE(SUBSTITUTE(SUBSTITUTE(TRIM(SUBSTITUTE(INDEX(Charge!$B:$B,ROW()),CHAR(160)," "))&amp;" | "&amp;TRIM(SUBSTITUTE(INDEX(Charge!$C:$C,ROW()),CHAR(160)," "))&amp;" | "&amp;TRIM(SUBSTITUTE(INDEX(Charge!$D:$D,ROW()),CHAR(160)," ")),"~","-"),"*","+"),"?","!"),240),"")</f>
        <v/>
      </c>
      <c r="FG390">
        <f>IF(B390=1,MAX(0,N(INDEX(Charge!$M:$M,ROW()))),0)</f>
        <v>0</v>
      </c>
      <c r="FH390" s="170" t="str">
        <f>IF(EO390=1,ROUND(SUMIF($FF$4:$FF$503,EN390,$FG$4:$FG$503),2),"")</f>
        <v/>
      </c>
      <c r="FI390" s="170" t="str">
        <f>IF(EO390=1,ROUND(SUMPRODUCT(($FF$4:$FF$503=EN390)*$FG$4:$FG$503*$C$4:$C$503),2),"")</f>
        <v/>
      </c>
      <c r="FJ390" s="170" t="str">
        <f>IF(EO390=1,MAX(0,ROUND(FH390-FI390,2)),"")</f>
        <v/>
      </c>
      <c r="FK390" s="174" t="str">
        <f>IF(EO390=1,IF(OR(EW390&gt;=2958465,EY390=0,EY390&lt;=EW390),"",IF(TODAY()&lt;=EW390,0,IF(TODAY()&gt;EY390,1,IFERROR(NETWORKDAYS(EW390,TODAY()-1,Data!$K$4:$K$203)/NETWORKDAYS(EW390,EY390,Data!$K$4:$K$203),"")))),"")</f>
        <v/>
      </c>
      <c r="FL390" t="str">
        <f>IF(EO390=1,IF(AND(EY390&gt;0,EY390&lt;TODAY(),ROUND(EU390,4)&lt;1),2,IF(FK390="",0,IF(ROUND(EU390-FK390,4)&lt;-0.15,1,0))),"")</f>
        <v/>
      </c>
      <c r="FM390">
        <f>IF(OR(FA390="",COUNTIF($FA$4:FA389,FA390)&gt;0),0,MAX(0,IF(FB390="Interne",IF(ISNUMBER(INDEX(Data!$F:$F,390)),INDEX(Data!$F:$F,390),p_HeuresETP),IF(ISNUMBER(INDEX(Data!$I:$I,390-$CD$23)),INDEX(Data!$I:$I,390-$CD$23),p_HeuresETP))-IF(FB390="Interne",IF(ISNUMBER(INDEX(Data!$G:$G,390)),INDEX(Data!$G:$G,390),p_ChargeFixe),IF(ISNUMBER(INDEX(Data!$J:$J,390-$CD$23)),INDEX(Data!$J:$J,390-$CD$23),p_ChargeFixe))))</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9" t="str">
        <f>IF(AND(D391=1,ISNUMBER(INDEX(Charge!$N:$N,ROW()))),INDEX(Charge!$N:$N,ROW()),"")</f>
        <v/>
      </c>
      <c r="J391" s="169"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70">
        <f>IF(OR($I391="",$E391=0),0,IF(OR($J391&lt;W$3,$I391&gt;W$2),0,IF($K391=0,IF(AND($I391&gt;=W$3,$I391&lt;=W$2),$E391,0),$E391*NETWORKDAYS(MAX($I391,W$3),MIN($J391,W$2),Data!$K$4:$K$203)/$K391)))</f>
        <v>0</v>
      </c>
      <c r="X391" s="170">
        <f>IF(OR($I391="",$E391=0),0,IF(OR($J391&lt;X$3,$I391&gt;X$2),0,IF($K391=0,IF(AND($I391&gt;=X$3,$I391&lt;=X$2),$E391,0),$E391*NETWORKDAYS(MAX($I391,X$3),MIN($J391,X$2),Data!$K$4:$K$203)/$K391)))</f>
        <v>0</v>
      </c>
      <c r="Y391" s="170">
        <f>IF(OR($I391="",$E391=0),0,IF(OR($J391&lt;Y$3,$I391&gt;Y$2),0,IF($K391=0,IF(AND($I391&gt;=Y$3,$I391&lt;=Y$2),$E391,0),$E391*NETWORKDAYS(MAX($I391,Y$3),MIN($J391,Y$2),Data!$K$4:$K$203)/$K391)))</f>
        <v>0</v>
      </c>
      <c r="Z391" s="170">
        <f>IF(OR($I391="",$E391=0),0,IF(OR($J391&lt;Z$3,$I391&gt;Z$2),0,IF($K391=0,IF(AND($I391&gt;=Z$3,$I391&lt;=Z$2),$E391,0),$E391*NETWORKDAYS(MAX($I391,Z$3),MIN($J391,Z$2),Data!$K$4:$K$203)/$K391)))</f>
        <v>0</v>
      </c>
      <c r="AA391" s="170">
        <f>IF(OR($I391="",$E391=0),0,IF(OR($J391&lt;AA$3,$I391&gt;AA$2),0,IF($K391=0,IF(AND($I391&gt;=AA$3,$I391&lt;=AA$2),$E391,0),$E391*NETWORKDAYS(MAX($I391,AA$3),MIN($J391,AA$2),Data!$K$4:$K$203)/$K391)))</f>
        <v>0</v>
      </c>
      <c r="AB391" s="170">
        <f>IF(OR($I391="",$E391=0),0,IF(OR($J391&lt;AB$3,$I391&gt;AB$2),0,IF($K391=0,IF(AND($I391&gt;=AB$3,$I391&lt;=AB$2),$E391,0),$E391*NETWORKDAYS(MAX($I391,AB$3),MIN($J391,AB$2),Data!$K$4:$K$203)/$K391)))</f>
        <v>0</v>
      </c>
      <c r="AC391" s="170">
        <f>IF(OR($I391="",$E391=0),0,IF(OR($J391&lt;AC$3,$I391&gt;AC$2),0,IF($K391=0,IF(AND($I391&gt;=AC$3,$I391&lt;=AC$2),$E391,0),$E391*NETWORKDAYS(MAX($I391,AC$3),MIN($J391,AC$2),Data!$K$4:$K$203)/$K391)))</f>
        <v>0</v>
      </c>
      <c r="AD391" s="170">
        <f>IF(OR($I391="",$E391=0),0,IF(OR($J391&lt;AD$3,$I391&gt;AD$2),0,IF($K391=0,IF(AND($I391&gt;=AD$3,$I391&lt;=AD$2),$E391,0),$E391*NETWORKDAYS(MAX($I391,AD$3),MIN($J391,AD$2),Data!$K$4:$K$203)/$K391)))</f>
        <v>0</v>
      </c>
      <c r="AE391" s="170">
        <f>IF(OR($I391="",$E391=0),0,IF(OR($J391&lt;AE$3,$I391&gt;AE$2),0,IF($K391=0,IF(AND($I391&gt;=AE$3,$I391&lt;=AE$2),$E391,0),$E391*NETWORKDAYS(MAX($I391,AE$3),MIN($J391,AE$2),Data!$K$4:$K$203)/$K391)))</f>
        <v>0</v>
      </c>
      <c r="AF391" s="170">
        <f>IF(OR($I391="",$E391=0),0,IF(OR($J391&lt;AF$3,$I391&gt;AF$2),0,IF($K391=0,IF(AND($I391&gt;=AF$3,$I391&lt;=AF$2),$E391,0),$E391*NETWORKDAYS(MAX($I391,AF$3),MIN($J391,AF$2),Data!$K$4:$K$203)/$K391)))</f>
        <v>0</v>
      </c>
      <c r="AG391" s="170">
        <f>IF(OR($I391="",$E391=0),0,IF(OR($J391&lt;AG$3,$I391&gt;AG$2),0,IF($K391=0,IF(AND($I391&gt;=AG$3,$I391&lt;=AG$2),$E391,0),$E391*NETWORKDAYS(MAX($I391,AG$3),MIN($J391,AG$2),Data!$K$4:$K$203)/$K391)))</f>
        <v>0</v>
      </c>
      <c r="AH391" s="170">
        <f>IF(OR($I391="",$E391=0),0,IF(OR($J391&lt;AH$3,$I391&gt;AH$2),0,IF($K391=0,IF(AND($I391&gt;=AH$3,$I391&lt;=AH$2),$E391,0),$E391*NETWORKDAYS(MAX($I391,AH$3),MIN($J391,AH$2),Data!$K$4:$K$203)/$K391)))</f>
        <v>0</v>
      </c>
      <c r="AI391" s="170">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70"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4" t="str">
        <f>IF(EO391=1,IF(FH391&gt;0,FI391/FH391,AVERAGEIF($FF$4:$FF$503,EN391,$C$4:$C$503)),"")</f>
        <v/>
      </c>
      <c r="EV391" s="169">
        <f>IF(ISNUMBER(I391),I391,2958465)</f>
        <v>2958465.0</v>
      </c>
      <c r="EW391" s="169" t="str">
        <f>IF(EO391=1,SUMPRODUCT(MIN(($EN$4:$EN$503=EN391)*$EV$4:$EV$503+($EN$4:$EN$503&lt;&gt;EN391)*2958465)),"")</f>
        <v/>
      </c>
      <c r="EX391" s="169">
        <f>IF(AND(D391=1,ISNUMBER(INDEX(Charge!$F:$F,ROW()))),INDEX(Charge!$F:$F,ROW()),0)</f>
        <v>0.0</v>
      </c>
      <c r="EY391" s="169"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c r="FF391" t="str">
        <f>IF(B391=1,LEFT(SUBSTITUTE(SUBSTITUTE(SUBSTITUTE(TRIM(SUBSTITUTE(INDEX(Charge!$B:$B,ROW()),CHAR(160)," "))&amp;" | "&amp;TRIM(SUBSTITUTE(INDEX(Charge!$C:$C,ROW()),CHAR(160)," "))&amp;" | "&amp;TRIM(SUBSTITUTE(INDEX(Charge!$D:$D,ROW()),CHAR(160)," ")),"~","-"),"*","+"),"?","!"),240),"")</f>
        <v/>
      </c>
      <c r="FG391">
        <f>IF(B391=1,MAX(0,N(INDEX(Charge!$M:$M,ROW()))),0)</f>
        <v>0</v>
      </c>
      <c r="FH391" s="170" t="str">
        <f>IF(EO391=1,ROUND(SUMIF($FF$4:$FF$503,EN391,$FG$4:$FG$503),2),"")</f>
        <v/>
      </c>
      <c r="FI391" s="170" t="str">
        <f>IF(EO391=1,ROUND(SUMPRODUCT(($FF$4:$FF$503=EN391)*$FG$4:$FG$503*$C$4:$C$503),2),"")</f>
        <v/>
      </c>
      <c r="FJ391" s="170" t="str">
        <f>IF(EO391=1,MAX(0,ROUND(FH391-FI391,2)),"")</f>
        <v/>
      </c>
      <c r="FK391" s="174" t="str">
        <f>IF(EO391=1,IF(OR(EW391&gt;=2958465,EY391=0,EY391&lt;=EW391),"",IF(TODAY()&lt;=EW391,0,IF(TODAY()&gt;EY391,1,IFERROR(NETWORKDAYS(EW391,TODAY()-1,Data!$K$4:$K$203)/NETWORKDAYS(EW391,EY391,Data!$K$4:$K$203),"")))),"")</f>
        <v/>
      </c>
      <c r="FL391" t="str">
        <f>IF(EO391=1,IF(AND(EY391&gt;0,EY391&lt;TODAY(),ROUND(EU391,4)&lt;1),2,IF(FK391="",0,IF(ROUND(EU391-FK391,4)&lt;-0.15,1,0))),"")</f>
        <v/>
      </c>
      <c r="FM391">
        <f>IF(OR(FA391="",COUNTIF($FA$4:FA390,FA391)&gt;0),0,MAX(0,IF(FB391="Interne",IF(ISNUMBER(INDEX(Data!$F:$F,391)),INDEX(Data!$F:$F,391),p_HeuresETP),IF(ISNUMBER(INDEX(Data!$I:$I,391-$CD$23)),INDEX(Data!$I:$I,391-$CD$23),p_HeuresETP))-IF(FB391="Interne",IF(ISNUMBER(INDEX(Data!$G:$G,391)),INDEX(Data!$G:$G,391),p_ChargeFixe),IF(ISNUMBER(INDEX(Data!$J:$J,391-$CD$23)),INDEX(Data!$J:$J,391-$CD$23),p_ChargeFixe))))</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9" t="str">
        <f>IF(AND(D392=1,ISNUMBER(INDEX(Charge!$N:$N,ROW()))),INDEX(Charge!$N:$N,ROW()),"")</f>
        <v/>
      </c>
      <c r="J392" s="169"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70">
        <f>IF(OR($I392="",$E392=0),0,IF(OR($J392&lt;W$3,$I392&gt;W$2),0,IF($K392=0,IF(AND($I392&gt;=W$3,$I392&lt;=W$2),$E392,0),$E392*NETWORKDAYS(MAX($I392,W$3),MIN($J392,W$2),Data!$K$4:$K$203)/$K392)))</f>
        <v>0</v>
      </c>
      <c r="X392" s="170">
        <f>IF(OR($I392="",$E392=0),0,IF(OR($J392&lt;X$3,$I392&gt;X$2),0,IF($K392=0,IF(AND($I392&gt;=X$3,$I392&lt;=X$2),$E392,0),$E392*NETWORKDAYS(MAX($I392,X$3),MIN($J392,X$2),Data!$K$4:$K$203)/$K392)))</f>
        <v>0</v>
      </c>
      <c r="Y392" s="170">
        <f>IF(OR($I392="",$E392=0),0,IF(OR($J392&lt;Y$3,$I392&gt;Y$2),0,IF($K392=0,IF(AND($I392&gt;=Y$3,$I392&lt;=Y$2),$E392,0),$E392*NETWORKDAYS(MAX($I392,Y$3),MIN($J392,Y$2),Data!$K$4:$K$203)/$K392)))</f>
        <v>0</v>
      </c>
      <c r="Z392" s="170">
        <f>IF(OR($I392="",$E392=0),0,IF(OR($J392&lt;Z$3,$I392&gt;Z$2),0,IF($K392=0,IF(AND($I392&gt;=Z$3,$I392&lt;=Z$2),$E392,0),$E392*NETWORKDAYS(MAX($I392,Z$3),MIN($J392,Z$2),Data!$K$4:$K$203)/$K392)))</f>
        <v>0</v>
      </c>
      <c r="AA392" s="170">
        <f>IF(OR($I392="",$E392=0),0,IF(OR($J392&lt;AA$3,$I392&gt;AA$2),0,IF($K392=0,IF(AND($I392&gt;=AA$3,$I392&lt;=AA$2),$E392,0),$E392*NETWORKDAYS(MAX($I392,AA$3),MIN($J392,AA$2),Data!$K$4:$K$203)/$K392)))</f>
        <v>0</v>
      </c>
      <c r="AB392" s="170">
        <f>IF(OR($I392="",$E392=0),0,IF(OR($J392&lt;AB$3,$I392&gt;AB$2),0,IF($K392=0,IF(AND($I392&gt;=AB$3,$I392&lt;=AB$2),$E392,0),$E392*NETWORKDAYS(MAX($I392,AB$3),MIN($J392,AB$2),Data!$K$4:$K$203)/$K392)))</f>
        <v>0</v>
      </c>
      <c r="AC392" s="170">
        <f>IF(OR($I392="",$E392=0),0,IF(OR($J392&lt;AC$3,$I392&gt;AC$2),0,IF($K392=0,IF(AND($I392&gt;=AC$3,$I392&lt;=AC$2),$E392,0),$E392*NETWORKDAYS(MAX($I392,AC$3),MIN($J392,AC$2),Data!$K$4:$K$203)/$K392)))</f>
        <v>0</v>
      </c>
      <c r="AD392" s="170">
        <f>IF(OR($I392="",$E392=0),0,IF(OR($J392&lt;AD$3,$I392&gt;AD$2),0,IF($K392=0,IF(AND($I392&gt;=AD$3,$I392&lt;=AD$2),$E392,0),$E392*NETWORKDAYS(MAX($I392,AD$3),MIN($J392,AD$2),Data!$K$4:$K$203)/$K392)))</f>
        <v>0</v>
      </c>
      <c r="AE392" s="170">
        <f>IF(OR($I392="",$E392=0),0,IF(OR($J392&lt;AE$3,$I392&gt;AE$2),0,IF($K392=0,IF(AND($I392&gt;=AE$3,$I392&lt;=AE$2),$E392,0),$E392*NETWORKDAYS(MAX($I392,AE$3),MIN($J392,AE$2),Data!$K$4:$K$203)/$K392)))</f>
        <v>0</v>
      </c>
      <c r="AF392" s="170">
        <f>IF(OR($I392="",$E392=0),0,IF(OR($J392&lt;AF$3,$I392&gt;AF$2),0,IF($K392=0,IF(AND($I392&gt;=AF$3,$I392&lt;=AF$2),$E392,0),$E392*NETWORKDAYS(MAX($I392,AF$3),MIN($J392,AF$2),Data!$K$4:$K$203)/$K392)))</f>
        <v>0</v>
      </c>
      <c r="AG392" s="170">
        <f>IF(OR($I392="",$E392=0),0,IF(OR($J392&lt;AG$3,$I392&gt;AG$2),0,IF($K392=0,IF(AND($I392&gt;=AG$3,$I392&lt;=AG$2),$E392,0),$E392*NETWORKDAYS(MAX($I392,AG$3),MIN($J392,AG$2),Data!$K$4:$K$203)/$K392)))</f>
        <v>0</v>
      </c>
      <c r="AH392" s="170">
        <f>IF(OR($I392="",$E392=0),0,IF(OR($J392&lt;AH$3,$I392&gt;AH$2),0,IF($K392=0,IF(AND($I392&gt;=AH$3,$I392&lt;=AH$2),$E392,0),$E392*NETWORKDAYS(MAX($I392,AH$3),MIN($J392,AH$2),Data!$K$4:$K$203)/$K392)))</f>
        <v>0</v>
      </c>
      <c r="AI392" s="170">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70"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4" t="str">
        <f>IF(EO392=1,IF(FH392&gt;0,FI392/FH392,AVERAGEIF($FF$4:$FF$503,EN392,$C$4:$C$503)),"")</f>
        <v/>
      </c>
      <c r="EV392" s="169">
        <f>IF(ISNUMBER(I392),I392,2958465)</f>
        <v>2958465.0</v>
      </c>
      <c r="EW392" s="169" t="str">
        <f>IF(EO392=1,SUMPRODUCT(MIN(($EN$4:$EN$503=EN392)*$EV$4:$EV$503+($EN$4:$EN$503&lt;&gt;EN392)*2958465)),"")</f>
        <v/>
      </c>
      <c r="EX392" s="169">
        <f>IF(AND(D392=1,ISNUMBER(INDEX(Charge!$F:$F,ROW()))),INDEX(Charge!$F:$F,ROW()),0)</f>
        <v>0.0</v>
      </c>
      <c r="EY392" s="169"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c r="FF392" t="str">
        <f>IF(B392=1,LEFT(SUBSTITUTE(SUBSTITUTE(SUBSTITUTE(TRIM(SUBSTITUTE(INDEX(Charge!$B:$B,ROW()),CHAR(160)," "))&amp;" | "&amp;TRIM(SUBSTITUTE(INDEX(Charge!$C:$C,ROW()),CHAR(160)," "))&amp;" | "&amp;TRIM(SUBSTITUTE(INDEX(Charge!$D:$D,ROW()),CHAR(160)," ")),"~","-"),"*","+"),"?","!"),240),"")</f>
        <v/>
      </c>
      <c r="FG392">
        <f>IF(B392=1,MAX(0,N(INDEX(Charge!$M:$M,ROW()))),0)</f>
        <v>0</v>
      </c>
      <c r="FH392" s="170" t="str">
        <f>IF(EO392=1,ROUND(SUMIF($FF$4:$FF$503,EN392,$FG$4:$FG$503),2),"")</f>
        <v/>
      </c>
      <c r="FI392" s="170" t="str">
        <f>IF(EO392=1,ROUND(SUMPRODUCT(($FF$4:$FF$503=EN392)*$FG$4:$FG$503*$C$4:$C$503),2),"")</f>
        <v/>
      </c>
      <c r="FJ392" s="170" t="str">
        <f>IF(EO392=1,MAX(0,ROUND(FH392-FI392,2)),"")</f>
        <v/>
      </c>
      <c r="FK392" s="174" t="str">
        <f>IF(EO392=1,IF(OR(EW392&gt;=2958465,EY392=0,EY392&lt;=EW392),"",IF(TODAY()&lt;=EW392,0,IF(TODAY()&gt;EY392,1,IFERROR(NETWORKDAYS(EW392,TODAY()-1,Data!$K$4:$K$203)/NETWORKDAYS(EW392,EY392,Data!$K$4:$K$203),"")))),"")</f>
        <v/>
      </c>
      <c r="FL392" t="str">
        <f>IF(EO392=1,IF(AND(EY392&gt;0,EY392&lt;TODAY(),ROUND(EU392,4)&lt;1),2,IF(FK392="",0,IF(ROUND(EU392-FK392,4)&lt;-0.15,1,0))),"")</f>
        <v/>
      </c>
      <c r="FM392">
        <f>IF(OR(FA392="",COUNTIF($FA$4:FA391,FA392)&gt;0),0,MAX(0,IF(FB392="Interne",IF(ISNUMBER(INDEX(Data!$F:$F,392)),INDEX(Data!$F:$F,392),p_HeuresETP),IF(ISNUMBER(INDEX(Data!$I:$I,392-$CD$23)),INDEX(Data!$I:$I,392-$CD$23),p_HeuresETP))-IF(FB392="Interne",IF(ISNUMBER(INDEX(Data!$G:$G,392)),INDEX(Data!$G:$G,392),p_ChargeFixe),IF(ISNUMBER(INDEX(Data!$J:$J,392-$CD$23)),INDEX(Data!$J:$J,392-$CD$23),p_ChargeFixe))))</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9" t="str">
        <f>IF(AND(D393=1,ISNUMBER(INDEX(Charge!$N:$N,ROW()))),INDEX(Charge!$N:$N,ROW()),"")</f>
        <v/>
      </c>
      <c r="J393" s="169"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70">
        <f>IF(OR($I393="",$E393=0),0,IF(OR($J393&lt;W$3,$I393&gt;W$2),0,IF($K393=0,IF(AND($I393&gt;=W$3,$I393&lt;=W$2),$E393,0),$E393*NETWORKDAYS(MAX($I393,W$3),MIN($J393,W$2),Data!$K$4:$K$203)/$K393)))</f>
        <v>0</v>
      </c>
      <c r="X393" s="170">
        <f>IF(OR($I393="",$E393=0),0,IF(OR($J393&lt;X$3,$I393&gt;X$2),0,IF($K393=0,IF(AND($I393&gt;=X$3,$I393&lt;=X$2),$E393,0),$E393*NETWORKDAYS(MAX($I393,X$3),MIN($J393,X$2),Data!$K$4:$K$203)/$K393)))</f>
        <v>0</v>
      </c>
      <c r="Y393" s="170">
        <f>IF(OR($I393="",$E393=0),0,IF(OR($J393&lt;Y$3,$I393&gt;Y$2),0,IF($K393=0,IF(AND($I393&gt;=Y$3,$I393&lt;=Y$2),$E393,0),$E393*NETWORKDAYS(MAX($I393,Y$3),MIN($J393,Y$2),Data!$K$4:$K$203)/$K393)))</f>
        <v>0</v>
      </c>
      <c r="Z393" s="170">
        <f>IF(OR($I393="",$E393=0),0,IF(OR($J393&lt;Z$3,$I393&gt;Z$2),0,IF($K393=0,IF(AND($I393&gt;=Z$3,$I393&lt;=Z$2),$E393,0),$E393*NETWORKDAYS(MAX($I393,Z$3),MIN($J393,Z$2),Data!$K$4:$K$203)/$K393)))</f>
        <v>0</v>
      </c>
      <c r="AA393" s="170">
        <f>IF(OR($I393="",$E393=0),0,IF(OR($J393&lt;AA$3,$I393&gt;AA$2),0,IF($K393=0,IF(AND($I393&gt;=AA$3,$I393&lt;=AA$2),$E393,0),$E393*NETWORKDAYS(MAX($I393,AA$3),MIN($J393,AA$2),Data!$K$4:$K$203)/$K393)))</f>
        <v>0</v>
      </c>
      <c r="AB393" s="170">
        <f>IF(OR($I393="",$E393=0),0,IF(OR($J393&lt;AB$3,$I393&gt;AB$2),0,IF($K393=0,IF(AND($I393&gt;=AB$3,$I393&lt;=AB$2),$E393,0),$E393*NETWORKDAYS(MAX($I393,AB$3),MIN($J393,AB$2),Data!$K$4:$K$203)/$K393)))</f>
        <v>0</v>
      </c>
      <c r="AC393" s="170">
        <f>IF(OR($I393="",$E393=0),0,IF(OR($J393&lt;AC$3,$I393&gt;AC$2),0,IF($K393=0,IF(AND($I393&gt;=AC$3,$I393&lt;=AC$2),$E393,0),$E393*NETWORKDAYS(MAX($I393,AC$3),MIN($J393,AC$2),Data!$K$4:$K$203)/$K393)))</f>
        <v>0</v>
      </c>
      <c r="AD393" s="170">
        <f>IF(OR($I393="",$E393=0),0,IF(OR($J393&lt;AD$3,$I393&gt;AD$2),0,IF($K393=0,IF(AND($I393&gt;=AD$3,$I393&lt;=AD$2),$E393,0),$E393*NETWORKDAYS(MAX($I393,AD$3),MIN($J393,AD$2),Data!$K$4:$K$203)/$K393)))</f>
        <v>0</v>
      </c>
      <c r="AE393" s="170">
        <f>IF(OR($I393="",$E393=0),0,IF(OR($J393&lt;AE$3,$I393&gt;AE$2),0,IF($K393=0,IF(AND($I393&gt;=AE$3,$I393&lt;=AE$2),$E393,0),$E393*NETWORKDAYS(MAX($I393,AE$3),MIN($J393,AE$2),Data!$K$4:$K$203)/$K393)))</f>
        <v>0</v>
      </c>
      <c r="AF393" s="170">
        <f>IF(OR($I393="",$E393=0),0,IF(OR($J393&lt;AF$3,$I393&gt;AF$2),0,IF($K393=0,IF(AND($I393&gt;=AF$3,$I393&lt;=AF$2),$E393,0),$E393*NETWORKDAYS(MAX($I393,AF$3),MIN($J393,AF$2),Data!$K$4:$K$203)/$K393)))</f>
        <v>0</v>
      </c>
      <c r="AG393" s="170">
        <f>IF(OR($I393="",$E393=0),0,IF(OR($J393&lt;AG$3,$I393&gt;AG$2),0,IF($K393=0,IF(AND($I393&gt;=AG$3,$I393&lt;=AG$2),$E393,0),$E393*NETWORKDAYS(MAX($I393,AG$3),MIN($J393,AG$2),Data!$K$4:$K$203)/$K393)))</f>
        <v>0</v>
      </c>
      <c r="AH393" s="170">
        <f>IF(OR($I393="",$E393=0),0,IF(OR($J393&lt;AH$3,$I393&gt;AH$2),0,IF($K393=0,IF(AND($I393&gt;=AH$3,$I393&lt;=AH$2),$E393,0),$E393*NETWORKDAYS(MAX($I393,AH$3),MIN($J393,AH$2),Data!$K$4:$K$203)/$K393)))</f>
        <v>0</v>
      </c>
      <c r="AI393" s="170">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70"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4" t="str">
        <f>IF(EO393=1,IF(FH393&gt;0,FI393/FH393,AVERAGEIF($FF$4:$FF$503,EN393,$C$4:$C$503)),"")</f>
        <v/>
      </c>
      <c r="EV393" s="169">
        <f>IF(ISNUMBER(I393),I393,2958465)</f>
        <v>2958465.0</v>
      </c>
      <c r="EW393" s="169" t="str">
        <f>IF(EO393=1,SUMPRODUCT(MIN(($EN$4:$EN$503=EN393)*$EV$4:$EV$503+($EN$4:$EN$503&lt;&gt;EN393)*2958465)),"")</f>
        <v/>
      </c>
      <c r="EX393" s="169">
        <f>IF(AND(D393=1,ISNUMBER(INDEX(Charge!$F:$F,ROW()))),INDEX(Charge!$F:$F,ROW()),0)</f>
        <v>0.0</v>
      </c>
      <c r="EY393" s="169"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c r="FF393" t="str">
        <f>IF(B393=1,LEFT(SUBSTITUTE(SUBSTITUTE(SUBSTITUTE(TRIM(SUBSTITUTE(INDEX(Charge!$B:$B,ROW()),CHAR(160)," "))&amp;" | "&amp;TRIM(SUBSTITUTE(INDEX(Charge!$C:$C,ROW()),CHAR(160)," "))&amp;" | "&amp;TRIM(SUBSTITUTE(INDEX(Charge!$D:$D,ROW()),CHAR(160)," ")),"~","-"),"*","+"),"?","!"),240),"")</f>
        <v/>
      </c>
      <c r="FG393">
        <f>IF(B393=1,MAX(0,N(INDEX(Charge!$M:$M,ROW()))),0)</f>
        <v>0</v>
      </c>
      <c r="FH393" s="170" t="str">
        <f>IF(EO393=1,ROUND(SUMIF($FF$4:$FF$503,EN393,$FG$4:$FG$503),2),"")</f>
        <v/>
      </c>
      <c r="FI393" s="170" t="str">
        <f>IF(EO393=1,ROUND(SUMPRODUCT(($FF$4:$FF$503=EN393)*$FG$4:$FG$503*$C$4:$C$503),2),"")</f>
        <v/>
      </c>
      <c r="FJ393" s="170" t="str">
        <f>IF(EO393=1,MAX(0,ROUND(FH393-FI393,2)),"")</f>
        <v/>
      </c>
      <c r="FK393" s="174" t="str">
        <f>IF(EO393=1,IF(OR(EW393&gt;=2958465,EY393=0,EY393&lt;=EW393),"",IF(TODAY()&lt;=EW393,0,IF(TODAY()&gt;EY393,1,IFERROR(NETWORKDAYS(EW393,TODAY()-1,Data!$K$4:$K$203)/NETWORKDAYS(EW393,EY393,Data!$K$4:$K$203),"")))),"")</f>
        <v/>
      </c>
      <c r="FL393" t="str">
        <f>IF(EO393=1,IF(AND(EY393&gt;0,EY393&lt;TODAY(),ROUND(EU393,4)&lt;1),2,IF(FK393="",0,IF(ROUND(EU393-FK393,4)&lt;-0.15,1,0))),"")</f>
        <v/>
      </c>
      <c r="FM393">
        <f>IF(OR(FA393="",COUNTIF($FA$4:FA392,FA393)&gt;0),0,MAX(0,IF(FB393="Interne",IF(ISNUMBER(INDEX(Data!$F:$F,393)),INDEX(Data!$F:$F,393),p_HeuresETP),IF(ISNUMBER(INDEX(Data!$I:$I,393-$CD$23)),INDEX(Data!$I:$I,393-$CD$23),p_HeuresETP))-IF(FB393="Interne",IF(ISNUMBER(INDEX(Data!$G:$G,393)),INDEX(Data!$G:$G,393),p_ChargeFixe),IF(ISNUMBER(INDEX(Data!$J:$J,393-$CD$23)),INDEX(Data!$J:$J,393-$CD$23),p_ChargeFixe))))</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9" t="str">
        <f>IF(AND(D394=1,ISNUMBER(INDEX(Charge!$N:$N,ROW()))),INDEX(Charge!$N:$N,ROW()),"")</f>
        <v/>
      </c>
      <c r="J394" s="169"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70">
        <f>IF(OR($I394="",$E394=0),0,IF(OR($J394&lt;W$3,$I394&gt;W$2),0,IF($K394=0,IF(AND($I394&gt;=W$3,$I394&lt;=W$2),$E394,0),$E394*NETWORKDAYS(MAX($I394,W$3),MIN($J394,W$2),Data!$K$4:$K$203)/$K394)))</f>
        <v>0</v>
      </c>
      <c r="X394" s="170">
        <f>IF(OR($I394="",$E394=0),0,IF(OR($J394&lt;X$3,$I394&gt;X$2),0,IF($K394=0,IF(AND($I394&gt;=X$3,$I394&lt;=X$2),$E394,0),$E394*NETWORKDAYS(MAX($I394,X$3),MIN($J394,X$2),Data!$K$4:$K$203)/$K394)))</f>
        <v>0</v>
      </c>
      <c r="Y394" s="170">
        <f>IF(OR($I394="",$E394=0),0,IF(OR($J394&lt;Y$3,$I394&gt;Y$2),0,IF($K394=0,IF(AND($I394&gt;=Y$3,$I394&lt;=Y$2),$E394,0),$E394*NETWORKDAYS(MAX($I394,Y$3),MIN($J394,Y$2),Data!$K$4:$K$203)/$K394)))</f>
        <v>0</v>
      </c>
      <c r="Z394" s="170">
        <f>IF(OR($I394="",$E394=0),0,IF(OR($J394&lt;Z$3,$I394&gt;Z$2),0,IF($K394=0,IF(AND($I394&gt;=Z$3,$I394&lt;=Z$2),$E394,0),$E394*NETWORKDAYS(MAX($I394,Z$3),MIN($J394,Z$2),Data!$K$4:$K$203)/$K394)))</f>
        <v>0</v>
      </c>
      <c r="AA394" s="170">
        <f>IF(OR($I394="",$E394=0),0,IF(OR($J394&lt;AA$3,$I394&gt;AA$2),0,IF($K394=0,IF(AND($I394&gt;=AA$3,$I394&lt;=AA$2),$E394,0),$E394*NETWORKDAYS(MAX($I394,AA$3),MIN($J394,AA$2),Data!$K$4:$K$203)/$K394)))</f>
        <v>0</v>
      </c>
      <c r="AB394" s="170">
        <f>IF(OR($I394="",$E394=0),0,IF(OR($J394&lt;AB$3,$I394&gt;AB$2),0,IF($K394=0,IF(AND($I394&gt;=AB$3,$I394&lt;=AB$2),$E394,0),$E394*NETWORKDAYS(MAX($I394,AB$3),MIN($J394,AB$2),Data!$K$4:$K$203)/$K394)))</f>
        <v>0</v>
      </c>
      <c r="AC394" s="170">
        <f>IF(OR($I394="",$E394=0),0,IF(OR($J394&lt;AC$3,$I394&gt;AC$2),0,IF($K394=0,IF(AND($I394&gt;=AC$3,$I394&lt;=AC$2),$E394,0),$E394*NETWORKDAYS(MAX($I394,AC$3),MIN($J394,AC$2),Data!$K$4:$K$203)/$K394)))</f>
        <v>0</v>
      </c>
      <c r="AD394" s="170">
        <f>IF(OR($I394="",$E394=0),0,IF(OR($J394&lt;AD$3,$I394&gt;AD$2),0,IF($K394=0,IF(AND($I394&gt;=AD$3,$I394&lt;=AD$2),$E394,0),$E394*NETWORKDAYS(MAX($I394,AD$3),MIN($J394,AD$2),Data!$K$4:$K$203)/$K394)))</f>
        <v>0</v>
      </c>
      <c r="AE394" s="170">
        <f>IF(OR($I394="",$E394=0),0,IF(OR($J394&lt;AE$3,$I394&gt;AE$2),0,IF($K394=0,IF(AND($I394&gt;=AE$3,$I394&lt;=AE$2),$E394,0),$E394*NETWORKDAYS(MAX($I394,AE$3),MIN($J394,AE$2),Data!$K$4:$K$203)/$K394)))</f>
        <v>0</v>
      </c>
      <c r="AF394" s="170">
        <f>IF(OR($I394="",$E394=0),0,IF(OR($J394&lt;AF$3,$I394&gt;AF$2),0,IF($K394=0,IF(AND($I394&gt;=AF$3,$I394&lt;=AF$2),$E394,0),$E394*NETWORKDAYS(MAX($I394,AF$3),MIN($J394,AF$2),Data!$K$4:$K$203)/$K394)))</f>
        <v>0</v>
      </c>
      <c r="AG394" s="170">
        <f>IF(OR($I394="",$E394=0),0,IF(OR($J394&lt;AG$3,$I394&gt;AG$2),0,IF($K394=0,IF(AND($I394&gt;=AG$3,$I394&lt;=AG$2),$E394,0),$E394*NETWORKDAYS(MAX($I394,AG$3),MIN($J394,AG$2),Data!$K$4:$K$203)/$K394)))</f>
        <v>0</v>
      </c>
      <c r="AH394" s="170">
        <f>IF(OR($I394="",$E394=0),0,IF(OR($J394&lt;AH$3,$I394&gt;AH$2),0,IF($K394=0,IF(AND($I394&gt;=AH$3,$I394&lt;=AH$2),$E394,0),$E394*NETWORKDAYS(MAX($I394,AH$3),MIN($J394,AH$2),Data!$K$4:$K$203)/$K394)))</f>
        <v>0</v>
      </c>
      <c r="AI394" s="170">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70"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4" t="str">
        <f>IF(EO394=1,IF(FH394&gt;0,FI394/FH394,AVERAGEIF($FF$4:$FF$503,EN394,$C$4:$C$503)),"")</f>
        <v/>
      </c>
      <c r="EV394" s="169">
        <f>IF(ISNUMBER(I394),I394,2958465)</f>
        <v>2958465.0</v>
      </c>
      <c r="EW394" s="169" t="str">
        <f>IF(EO394=1,SUMPRODUCT(MIN(($EN$4:$EN$503=EN394)*$EV$4:$EV$503+($EN$4:$EN$503&lt;&gt;EN394)*2958465)),"")</f>
        <v/>
      </c>
      <c r="EX394" s="169">
        <f>IF(AND(D394=1,ISNUMBER(INDEX(Charge!$F:$F,ROW()))),INDEX(Charge!$F:$F,ROW()),0)</f>
        <v>0.0</v>
      </c>
      <c r="EY394" s="169"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c r="FF394" t="str">
        <f>IF(B394=1,LEFT(SUBSTITUTE(SUBSTITUTE(SUBSTITUTE(TRIM(SUBSTITUTE(INDEX(Charge!$B:$B,ROW()),CHAR(160)," "))&amp;" | "&amp;TRIM(SUBSTITUTE(INDEX(Charge!$C:$C,ROW()),CHAR(160)," "))&amp;" | "&amp;TRIM(SUBSTITUTE(INDEX(Charge!$D:$D,ROW()),CHAR(160)," ")),"~","-"),"*","+"),"?","!"),240),"")</f>
        <v/>
      </c>
      <c r="FG394">
        <f>IF(B394=1,MAX(0,N(INDEX(Charge!$M:$M,ROW()))),0)</f>
        <v>0</v>
      </c>
      <c r="FH394" s="170" t="str">
        <f>IF(EO394=1,ROUND(SUMIF($FF$4:$FF$503,EN394,$FG$4:$FG$503),2),"")</f>
        <v/>
      </c>
      <c r="FI394" s="170" t="str">
        <f>IF(EO394=1,ROUND(SUMPRODUCT(($FF$4:$FF$503=EN394)*$FG$4:$FG$503*$C$4:$C$503),2),"")</f>
        <v/>
      </c>
      <c r="FJ394" s="170" t="str">
        <f>IF(EO394=1,MAX(0,ROUND(FH394-FI394,2)),"")</f>
        <v/>
      </c>
      <c r="FK394" s="174" t="str">
        <f>IF(EO394=1,IF(OR(EW394&gt;=2958465,EY394=0,EY394&lt;=EW394),"",IF(TODAY()&lt;=EW394,0,IF(TODAY()&gt;EY394,1,IFERROR(NETWORKDAYS(EW394,TODAY()-1,Data!$K$4:$K$203)/NETWORKDAYS(EW394,EY394,Data!$K$4:$K$203),"")))),"")</f>
        <v/>
      </c>
      <c r="FL394" t="str">
        <f>IF(EO394=1,IF(AND(EY394&gt;0,EY394&lt;TODAY(),ROUND(EU394,4)&lt;1),2,IF(FK394="",0,IF(ROUND(EU394-FK394,4)&lt;-0.15,1,0))),"")</f>
        <v/>
      </c>
      <c r="FM394">
        <f>IF(OR(FA394="",COUNTIF($FA$4:FA393,FA394)&gt;0),0,MAX(0,IF(FB394="Interne",IF(ISNUMBER(INDEX(Data!$F:$F,394)),INDEX(Data!$F:$F,394),p_HeuresETP),IF(ISNUMBER(INDEX(Data!$I:$I,394-$CD$23)),INDEX(Data!$I:$I,394-$CD$23),p_HeuresETP))-IF(FB394="Interne",IF(ISNUMBER(INDEX(Data!$G:$G,394)),INDEX(Data!$G:$G,394),p_ChargeFixe),IF(ISNUMBER(INDEX(Data!$J:$J,394-$CD$23)),INDEX(Data!$J:$J,394-$CD$23),p_ChargeFixe))))</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9" t="str">
        <f>IF(AND(D395=1,ISNUMBER(INDEX(Charge!$N:$N,ROW()))),INDEX(Charge!$N:$N,ROW()),"")</f>
        <v/>
      </c>
      <c r="J395" s="169"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70">
        <f>IF(OR($I395="",$E395=0),0,IF(OR($J395&lt;W$3,$I395&gt;W$2),0,IF($K395=0,IF(AND($I395&gt;=W$3,$I395&lt;=W$2),$E395,0),$E395*NETWORKDAYS(MAX($I395,W$3),MIN($J395,W$2),Data!$K$4:$K$203)/$K395)))</f>
        <v>0</v>
      </c>
      <c r="X395" s="170">
        <f>IF(OR($I395="",$E395=0),0,IF(OR($J395&lt;X$3,$I395&gt;X$2),0,IF($K395=0,IF(AND($I395&gt;=X$3,$I395&lt;=X$2),$E395,0),$E395*NETWORKDAYS(MAX($I395,X$3),MIN($J395,X$2),Data!$K$4:$K$203)/$K395)))</f>
        <v>0</v>
      </c>
      <c r="Y395" s="170">
        <f>IF(OR($I395="",$E395=0),0,IF(OR($J395&lt;Y$3,$I395&gt;Y$2),0,IF($K395=0,IF(AND($I395&gt;=Y$3,$I395&lt;=Y$2),$E395,0),$E395*NETWORKDAYS(MAX($I395,Y$3),MIN($J395,Y$2),Data!$K$4:$K$203)/$K395)))</f>
        <v>0</v>
      </c>
      <c r="Z395" s="170">
        <f>IF(OR($I395="",$E395=0),0,IF(OR($J395&lt;Z$3,$I395&gt;Z$2),0,IF($K395=0,IF(AND($I395&gt;=Z$3,$I395&lt;=Z$2),$E395,0),$E395*NETWORKDAYS(MAX($I395,Z$3),MIN($J395,Z$2),Data!$K$4:$K$203)/$K395)))</f>
        <v>0</v>
      </c>
      <c r="AA395" s="170">
        <f>IF(OR($I395="",$E395=0),0,IF(OR($J395&lt;AA$3,$I395&gt;AA$2),0,IF($K395=0,IF(AND($I395&gt;=AA$3,$I395&lt;=AA$2),$E395,0),$E395*NETWORKDAYS(MAX($I395,AA$3),MIN($J395,AA$2),Data!$K$4:$K$203)/$K395)))</f>
        <v>0</v>
      </c>
      <c r="AB395" s="170">
        <f>IF(OR($I395="",$E395=0),0,IF(OR($J395&lt;AB$3,$I395&gt;AB$2),0,IF($K395=0,IF(AND($I395&gt;=AB$3,$I395&lt;=AB$2),$E395,0),$E395*NETWORKDAYS(MAX($I395,AB$3),MIN($J395,AB$2),Data!$K$4:$K$203)/$K395)))</f>
        <v>0</v>
      </c>
      <c r="AC395" s="170">
        <f>IF(OR($I395="",$E395=0),0,IF(OR($J395&lt;AC$3,$I395&gt;AC$2),0,IF($K395=0,IF(AND($I395&gt;=AC$3,$I395&lt;=AC$2),$E395,0),$E395*NETWORKDAYS(MAX($I395,AC$3),MIN($J395,AC$2),Data!$K$4:$K$203)/$K395)))</f>
        <v>0</v>
      </c>
      <c r="AD395" s="170">
        <f>IF(OR($I395="",$E395=0),0,IF(OR($J395&lt;AD$3,$I395&gt;AD$2),0,IF($K395=0,IF(AND($I395&gt;=AD$3,$I395&lt;=AD$2),$E395,0),$E395*NETWORKDAYS(MAX($I395,AD$3),MIN($J395,AD$2),Data!$K$4:$K$203)/$K395)))</f>
        <v>0</v>
      </c>
      <c r="AE395" s="170">
        <f>IF(OR($I395="",$E395=0),0,IF(OR($J395&lt;AE$3,$I395&gt;AE$2),0,IF($K395=0,IF(AND($I395&gt;=AE$3,$I395&lt;=AE$2),$E395,0),$E395*NETWORKDAYS(MAX($I395,AE$3),MIN($J395,AE$2),Data!$K$4:$K$203)/$K395)))</f>
        <v>0</v>
      </c>
      <c r="AF395" s="170">
        <f>IF(OR($I395="",$E395=0),0,IF(OR($J395&lt;AF$3,$I395&gt;AF$2),0,IF($K395=0,IF(AND($I395&gt;=AF$3,$I395&lt;=AF$2),$E395,0),$E395*NETWORKDAYS(MAX($I395,AF$3),MIN($J395,AF$2),Data!$K$4:$K$203)/$K395)))</f>
        <v>0</v>
      </c>
      <c r="AG395" s="170">
        <f>IF(OR($I395="",$E395=0),0,IF(OR($J395&lt;AG$3,$I395&gt;AG$2),0,IF($K395=0,IF(AND($I395&gt;=AG$3,$I395&lt;=AG$2),$E395,0),$E395*NETWORKDAYS(MAX($I395,AG$3),MIN($J395,AG$2),Data!$K$4:$K$203)/$K395)))</f>
        <v>0</v>
      </c>
      <c r="AH395" s="170">
        <f>IF(OR($I395="",$E395=0),0,IF(OR($J395&lt;AH$3,$I395&gt;AH$2),0,IF($K395=0,IF(AND($I395&gt;=AH$3,$I395&lt;=AH$2),$E395,0),$E395*NETWORKDAYS(MAX($I395,AH$3),MIN($J395,AH$2),Data!$K$4:$K$203)/$K395)))</f>
        <v>0</v>
      </c>
      <c r="AI395" s="170">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70"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4" t="str">
        <f>IF(EO395=1,IF(FH395&gt;0,FI395/FH395,AVERAGEIF($FF$4:$FF$503,EN395,$C$4:$C$503)),"")</f>
        <v/>
      </c>
      <c r="EV395" s="169">
        <f>IF(ISNUMBER(I395),I395,2958465)</f>
        <v>2958465.0</v>
      </c>
      <c r="EW395" s="169" t="str">
        <f>IF(EO395=1,SUMPRODUCT(MIN(($EN$4:$EN$503=EN395)*$EV$4:$EV$503+($EN$4:$EN$503&lt;&gt;EN395)*2958465)),"")</f>
        <v/>
      </c>
      <c r="EX395" s="169">
        <f>IF(AND(D395=1,ISNUMBER(INDEX(Charge!$F:$F,ROW()))),INDEX(Charge!$F:$F,ROW()),0)</f>
        <v>0.0</v>
      </c>
      <c r="EY395" s="169"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c r="FF395" t="str">
        <f>IF(B395=1,LEFT(SUBSTITUTE(SUBSTITUTE(SUBSTITUTE(TRIM(SUBSTITUTE(INDEX(Charge!$B:$B,ROW()),CHAR(160)," "))&amp;" | "&amp;TRIM(SUBSTITUTE(INDEX(Charge!$C:$C,ROW()),CHAR(160)," "))&amp;" | "&amp;TRIM(SUBSTITUTE(INDEX(Charge!$D:$D,ROW()),CHAR(160)," ")),"~","-"),"*","+"),"?","!"),240),"")</f>
        <v/>
      </c>
      <c r="FG395">
        <f>IF(B395=1,MAX(0,N(INDEX(Charge!$M:$M,ROW()))),0)</f>
        <v>0</v>
      </c>
      <c r="FH395" s="170" t="str">
        <f>IF(EO395=1,ROUND(SUMIF($FF$4:$FF$503,EN395,$FG$4:$FG$503),2),"")</f>
        <v/>
      </c>
      <c r="FI395" s="170" t="str">
        <f>IF(EO395=1,ROUND(SUMPRODUCT(($FF$4:$FF$503=EN395)*$FG$4:$FG$503*$C$4:$C$503),2),"")</f>
        <v/>
      </c>
      <c r="FJ395" s="170" t="str">
        <f>IF(EO395=1,MAX(0,ROUND(FH395-FI395,2)),"")</f>
        <v/>
      </c>
      <c r="FK395" s="174" t="str">
        <f>IF(EO395=1,IF(OR(EW395&gt;=2958465,EY395=0,EY395&lt;=EW395),"",IF(TODAY()&lt;=EW395,0,IF(TODAY()&gt;EY395,1,IFERROR(NETWORKDAYS(EW395,TODAY()-1,Data!$K$4:$K$203)/NETWORKDAYS(EW395,EY395,Data!$K$4:$K$203),"")))),"")</f>
        <v/>
      </c>
      <c r="FL395" t="str">
        <f>IF(EO395=1,IF(AND(EY395&gt;0,EY395&lt;TODAY(),ROUND(EU395,4)&lt;1),2,IF(FK395="",0,IF(ROUND(EU395-FK395,4)&lt;-0.15,1,0))),"")</f>
        <v/>
      </c>
      <c r="FM395">
        <f>IF(OR(FA395="",COUNTIF($FA$4:FA394,FA395)&gt;0),0,MAX(0,IF(FB395="Interne",IF(ISNUMBER(INDEX(Data!$F:$F,395)),INDEX(Data!$F:$F,395),p_HeuresETP),IF(ISNUMBER(INDEX(Data!$I:$I,395-$CD$23)),INDEX(Data!$I:$I,395-$CD$23),p_HeuresETP))-IF(FB395="Interne",IF(ISNUMBER(INDEX(Data!$G:$G,395)),INDEX(Data!$G:$G,395),p_ChargeFixe),IF(ISNUMBER(INDEX(Data!$J:$J,395-$CD$23)),INDEX(Data!$J:$J,395-$CD$23),p_ChargeFixe))))</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9" t="str">
        <f>IF(AND(D396=1,ISNUMBER(INDEX(Charge!$N:$N,ROW()))),INDEX(Charge!$N:$N,ROW()),"")</f>
        <v/>
      </c>
      <c r="J396" s="169"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70">
        <f>IF(OR($I396="",$E396=0),0,IF(OR($J396&lt;W$3,$I396&gt;W$2),0,IF($K396=0,IF(AND($I396&gt;=W$3,$I396&lt;=W$2),$E396,0),$E396*NETWORKDAYS(MAX($I396,W$3),MIN($J396,W$2),Data!$K$4:$K$203)/$K396)))</f>
        <v>0</v>
      </c>
      <c r="X396" s="170">
        <f>IF(OR($I396="",$E396=0),0,IF(OR($J396&lt;X$3,$I396&gt;X$2),0,IF($K396=0,IF(AND($I396&gt;=X$3,$I396&lt;=X$2),$E396,0),$E396*NETWORKDAYS(MAX($I396,X$3),MIN($J396,X$2),Data!$K$4:$K$203)/$K396)))</f>
        <v>0</v>
      </c>
      <c r="Y396" s="170">
        <f>IF(OR($I396="",$E396=0),0,IF(OR($J396&lt;Y$3,$I396&gt;Y$2),0,IF($K396=0,IF(AND($I396&gt;=Y$3,$I396&lt;=Y$2),$E396,0),$E396*NETWORKDAYS(MAX($I396,Y$3),MIN($J396,Y$2),Data!$K$4:$K$203)/$K396)))</f>
        <v>0</v>
      </c>
      <c r="Z396" s="170">
        <f>IF(OR($I396="",$E396=0),0,IF(OR($J396&lt;Z$3,$I396&gt;Z$2),0,IF($K396=0,IF(AND($I396&gt;=Z$3,$I396&lt;=Z$2),$E396,0),$E396*NETWORKDAYS(MAX($I396,Z$3),MIN($J396,Z$2),Data!$K$4:$K$203)/$K396)))</f>
        <v>0</v>
      </c>
      <c r="AA396" s="170">
        <f>IF(OR($I396="",$E396=0),0,IF(OR($J396&lt;AA$3,$I396&gt;AA$2),0,IF($K396=0,IF(AND($I396&gt;=AA$3,$I396&lt;=AA$2),$E396,0),$E396*NETWORKDAYS(MAX($I396,AA$3),MIN($J396,AA$2),Data!$K$4:$K$203)/$K396)))</f>
        <v>0</v>
      </c>
      <c r="AB396" s="170">
        <f>IF(OR($I396="",$E396=0),0,IF(OR($J396&lt;AB$3,$I396&gt;AB$2),0,IF($K396=0,IF(AND($I396&gt;=AB$3,$I396&lt;=AB$2),$E396,0),$E396*NETWORKDAYS(MAX($I396,AB$3),MIN($J396,AB$2),Data!$K$4:$K$203)/$K396)))</f>
        <v>0</v>
      </c>
      <c r="AC396" s="170">
        <f>IF(OR($I396="",$E396=0),0,IF(OR($J396&lt;AC$3,$I396&gt;AC$2),0,IF($K396=0,IF(AND($I396&gt;=AC$3,$I396&lt;=AC$2),$E396,0),$E396*NETWORKDAYS(MAX($I396,AC$3),MIN($J396,AC$2),Data!$K$4:$K$203)/$K396)))</f>
        <v>0</v>
      </c>
      <c r="AD396" s="170">
        <f>IF(OR($I396="",$E396=0),0,IF(OR($J396&lt;AD$3,$I396&gt;AD$2),0,IF($K396=0,IF(AND($I396&gt;=AD$3,$I396&lt;=AD$2),$E396,0),$E396*NETWORKDAYS(MAX($I396,AD$3),MIN($J396,AD$2),Data!$K$4:$K$203)/$K396)))</f>
        <v>0</v>
      </c>
      <c r="AE396" s="170">
        <f>IF(OR($I396="",$E396=0),0,IF(OR($J396&lt;AE$3,$I396&gt;AE$2),0,IF($K396=0,IF(AND($I396&gt;=AE$3,$I396&lt;=AE$2),$E396,0),$E396*NETWORKDAYS(MAX($I396,AE$3),MIN($J396,AE$2),Data!$K$4:$K$203)/$K396)))</f>
        <v>0</v>
      </c>
      <c r="AF396" s="170">
        <f>IF(OR($I396="",$E396=0),0,IF(OR($J396&lt;AF$3,$I396&gt;AF$2),0,IF($K396=0,IF(AND($I396&gt;=AF$3,$I396&lt;=AF$2),$E396,0),$E396*NETWORKDAYS(MAX($I396,AF$3),MIN($J396,AF$2),Data!$K$4:$K$203)/$K396)))</f>
        <v>0</v>
      </c>
      <c r="AG396" s="170">
        <f>IF(OR($I396="",$E396=0),0,IF(OR($J396&lt;AG$3,$I396&gt;AG$2),0,IF($K396=0,IF(AND($I396&gt;=AG$3,$I396&lt;=AG$2),$E396,0),$E396*NETWORKDAYS(MAX($I396,AG$3),MIN($J396,AG$2),Data!$K$4:$K$203)/$K396)))</f>
        <v>0</v>
      </c>
      <c r="AH396" s="170">
        <f>IF(OR($I396="",$E396=0),0,IF(OR($J396&lt;AH$3,$I396&gt;AH$2),0,IF($K396=0,IF(AND($I396&gt;=AH$3,$I396&lt;=AH$2),$E396,0),$E396*NETWORKDAYS(MAX($I396,AH$3),MIN($J396,AH$2),Data!$K$4:$K$203)/$K396)))</f>
        <v>0</v>
      </c>
      <c r="AI396" s="170">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70"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4" t="str">
        <f>IF(EO396=1,IF(FH396&gt;0,FI396/FH396,AVERAGEIF($FF$4:$FF$503,EN396,$C$4:$C$503)),"")</f>
        <v/>
      </c>
      <c r="EV396" s="169">
        <f>IF(ISNUMBER(I396),I396,2958465)</f>
        <v>2958465.0</v>
      </c>
      <c r="EW396" s="169" t="str">
        <f>IF(EO396=1,SUMPRODUCT(MIN(($EN$4:$EN$503=EN396)*$EV$4:$EV$503+($EN$4:$EN$503&lt;&gt;EN396)*2958465)),"")</f>
        <v/>
      </c>
      <c r="EX396" s="169">
        <f>IF(AND(D396=1,ISNUMBER(INDEX(Charge!$F:$F,ROW()))),INDEX(Charge!$F:$F,ROW()),0)</f>
        <v>0.0</v>
      </c>
      <c r="EY396" s="169"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c r="FF396" t="str">
        <f>IF(B396=1,LEFT(SUBSTITUTE(SUBSTITUTE(SUBSTITUTE(TRIM(SUBSTITUTE(INDEX(Charge!$B:$B,ROW()),CHAR(160)," "))&amp;" | "&amp;TRIM(SUBSTITUTE(INDEX(Charge!$C:$C,ROW()),CHAR(160)," "))&amp;" | "&amp;TRIM(SUBSTITUTE(INDEX(Charge!$D:$D,ROW()),CHAR(160)," ")),"~","-"),"*","+"),"?","!"),240),"")</f>
        <v/>
      </c>
      <c r="FG396">
        <f>IF(B396=1,MAX(0,N(INDEX(Charge!$M:$M,ROW()))),0)</f>
        <v>0</v>
      </c>
      <c r="FH396" s="170" t="str">
        <f>IF(EO396=1,ROUND(SUMIF($FF$4:$FF$503,EN396,$FG$4:$FG$503),2),"")</f>
        <v/>
      </c>
      <c r="FI396" s="170" t="str">
        <f>IF(EO396=1,ROUND(SUMPRODUCT(($FF$4:$FF$503=EN396)*$FG$4:$FG$503*$C$4:$C$503),2),"")</f>
        <v/>
      </c>
      <c r="FJ396" s="170" t="str">
        <f>IF(EO396=1,MAX(0,ROUND(FH396-FI396,2)),"")</f>
        <v/>
      </c>
      <c r="FK396" s="174" t="str">
        <f>IF(EO396=1,IF(OR(EW396&gt;=2958465,EY396=0,EY396&lt;=EW396),"",IF(TODAY()&lt;=EW396,0,IF(TODAY()&gt;EY396,1,IFERROR(NETWORKDAYS(EW396,TODAY()-1,Data!$K$4:$K$203)/NETWORKDAYS(EW396,EY396,Data!$K$4:$K$203),"")))),"")</f>
        <v/>
      </c>
      <c r="FL396" t="str">
        <f>IF(EO396=1,IF(AND(EY396&gt;0,EY396&lt;TODAY(),ROUND(EU396,4)&lt;1),2,IF(FK396="",0,IF(ROUND(EU396-FK396,4)&lt;-0.15,1,0))),"")</f>
        <v/>
      </c>
      <c r="FM396">
        <f>IF(OR(FA396="",COUNTIF($FA$4:FA395,FA396)&gt;0),0,MAX(0,IF(FB396="Interne",IF(ISNUMBER(INDEX(Data!$F:$F,396)),INDEX(Data!$F:$F,396),p_HeuresETP),IF(ISNUMBER(INDEX(Data!$I:$I,396-$CD$23)),INDEX(Data!$I:$I,396-$CD$23),p_HeuresETP))-IF(FB396="Interne",IF(ISNUMBER(INDEX(Data!$G:$G,396)),INDEX(Data!$G:$G,396),p_ChargeFixe),IF(ISNUMBER(INDEX(Data!$J:$J,396-$CD$23)),INDEX(Data!$J:$J,396-$CD$23),p_ChargeFixe))))</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9" t="str">
        <f>IF(AND(D397=1,ISNUMBER(INDEX(Charge!$N:$N,ROW()))),INDEX(Charge!$N:$N,ROW()),"")</f>
        <v/>
      </c>
      <c r="J397" s="169"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70">
        <f>IF(OR($I397="",$E397=0),0,IF(OR($J397&lt;W$3,$I397&gt;W$2),0,IF($K397=0,IF(AND($I397&gt;=W$3,$I397&lt;=W$2),$E397,0),$E397*NETWORKDAYS(MAX($I397,W$3),MIN($J397,W$2),Data!$K$4:$K$203)/$K397)))</f>
        <v>0</v>
      </c>
      <c r="X397" s="170">
        <f>IF(OR($I397="",$E397=0),0,IF(OR($J397&lt;X$3,$I397&gt;X$2),0,IF($K397=0,IF(AND($I397&gt;=X$3,$I397&lt;=X$2),$E397,0),$E397*NETWORKDAYS(MAX($I397,X$3),MIN($J397,X$2),Data!$K$4:$K$203)/$K397)))</f>
        <v>0</v>
      </c>
      <c r="Y397" s="170">
        <f>IF(OR($I397="",$E397=0),0,IF(OR($J397&lt;Y$3,$I397&gt;Y$2),0,IF($K397=0,IF(AND($I397&gt;=Y$3,$I397&lt;=Y$2),$E397,0),$E397*NETWORKDAYS(MAX($I397,Y$3),MIN($J397,Y$2),Data!$K$4:$K$203)/$K397)))</f>
        <v>0</v>
      </c>
      <c r="Z397" s="170">
        <f>IF(OR($I397="",$E397=0),0,IF(OR($J397&lt;Z$3,$I397&gt;Z$2),0,IF($K397=0,IF(AND($I397&gt;=Z$3,$I397&lt;=Z$2),$E397,0),$E397*NETWORKDAYS(MAX($I397,Z$3),MIN($J397,Z$2),Data!$K$4:$K$203)/$K397)))</f>
        <v>0</v>
      </c>
      <c r="AA397" s="170">
        <f>IF(OR($I397="",$E397=0),0,IF(OR($J397&lt;AA$3,$I397&gt;AA$2),0,IF($K397=0,IF(AND($I397&gt;=AA$3,$I397&lt;=AA$2),$E397,0),$E397*NETWORKDAYS(MAX($I397,AA$3),MIN($J397,AA$2),Data!$K$4:$K$203)/$K397)))</f>
        <v>0</v>
      </c>
      <c r="AB397" s="170">
        <f>IF(OR($I397="",$E397=0),0,IF(OR($J397&lt;AB$3,$I397&gt;AB$2),0,IF($K397=0,IF(AND($I397&gt;=AB$3,$I397&lt;=AB$2),$E397,0),$E397*NETWORKDAYS(MAX($I397,AB$3),MIN($J397,AB$2),Data!$K$4:$K$203)/$K397)))</f>
        <v>0</v>
      </c>
      <c r="AC397" s="170">
        <f>IF(OR($I397="",$E397=0),0,IF(OR($J397&lt;AC$3,$I397&gt;AC$2),0,IF($K397=0,IF(AND($I397&gt;=AC$3,$I397&lt;=AC$2),$E397,0),$E397*NETWORKDAYS(MAX($I397,AC$3),MIN($J397,AC$2),Data!$K$4:$K$203)/$K397)))</f>
        <v>0</v>
      </c>
      <c r="AD397" s="170">
        <f>IF(OR($I397="",$E397=0),0,IF(OR($J397&lt;AD$3,$I397&gt;AD$2),0,IF($K397=0,IF(AND($I397&gt;=AD$3,$I397&lt;=AD$2),$E397,0),$E397*NETWORKDAYS(MAX($I397,AD$3),MIN($J397,AD$2),Data!$K$4:$K$203)/$K397)))</f>
        <v>0</v>
      </c>
      <c r="AE397" s="170">
        <f>IF(OR($I397="",$E397=0),0,IF(OR($J397&lt;AE$3,$I397&gt;AE$2),0,IF($K397=0,IF(AND($I397&gt;=AE$3,$I397&lt;=AE$2),$E397,0),$E397*NETWORKDAYS(MAX($I397,AE$3),MIN($J397,AE$2),Data!$K$4:$K$203)/$K397)))</f>
        <v>0</v>
      </c>
      <c r="AF397" s="170">
        <f>IF(OR($I397="",$E397=0),0,IF(OR($J397&lt;AF$3,$I397&gt;AF$2),0,IF($K397=0,IF(AND($I397&gt;=AF$3,$I397&lt;=AF$2),$E397,0),$E397*NETWORKDAYS(MAX($I397,AF$3),MIN($J397,AF$2),Data!$K$4:$K$203)/$K397)))</f>
        <v>0</v>
      </c>
      <c r="AG397" s="170">
        <f>IF(OR($I397="",$E397=0),0,IF(OR($J397&lt;AG$3,$I397&gt;AG$2),0,IF($K397=0,IF(AND($I397&gt;=AG$3,$I397&lt;=AG$2),$E397,0),$E397*NETWORKDAYS(MAX($I397,AG$3),MIN($J397,AG$2),Data!$K$4:$K$203)/$K397)))</f>
        <v>0</v>
      </c>
      <c r="AH397" s="170">
        <f>IF(OR($I397="",$E397=0),0,IF(OR($J397&lt;AH$3,$I397&gt;AH$2),0,IF($K397=0,IF(AND($I397&gt;=AH$3,$I397&lt;=AH$2),$E397,0),$E397*NETWORKDAYS(MAX($I397,AH$3),MIN($J397,AH$2),Data!$K$4:$K$203)/$K397)))</f>
        <v>0</v>
      </c>
      <c r="AI397" s="170">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70"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4" t="str">
        <f>IF(EO397=1,IF(FH397&gt;0,FI397/FH397,AVERAGEIF($FF$4:$FF$503,EN397,$C$4:$C$503)),"")</f>
        <v/>
      </c>
      <c r="EV397" s="169">
        <f>IF(ISNUMBER(I397),I397,2958465)</f>
        <v>2958465.0</v>
      </c>
      <c r="EW397" s="169" t="str">
        <f>IF(EO397=1,SUMPRODUCT(MIN(($EN$4:$EN$503=EN397)*$EV$4:$EV$503+($EN$4:$EN$503&lt;&gt;EN397)*2958465)),"")</f>
        <v/>
      </c>
      <c r="EX397" s="169">
        <f>IF(AND(D397=1,ISNUMBER(INDEX(Charge!$F:$F,ROW()))),INDEX(Charge!$F:$F,ROW()),0)</f>
        <v>0.0</v>
      </c>
      <c r="EY397" s="169"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c r="FF397" t="str">
        <f>IF(B397=1,LEFT(SUBSTITUTE(SUBSTITUTE(SUBSTITUTE(TRIM(SUBSTITUTE(INDEX(Charge!$B:$B,ROW()),CHAR(160)," "))&amp;" | "&amp;TRIM(SUBSTITUTE(INDEX(Charge!$C:$C,ROW()),CHAR(160)," "))&amp;" | "&amp;TRIM(SUBSTITUTE(INDEX(Charge!$D:$D,ROW()),CHAR(160)," ")),"~","-"),"*","+"),"?","!"),240),"")</f>
        <v/>
      </c>
      <c r="FG397">
        <f>IF(B397=1,MAX(0,N(INDEX(Charge!$M:$M,ROW()))),0)</f>
        <v>0</v>
      </c>
      <c r="FH397" s="170" t="str">
        <f>IF(EO397=1,ROUND(SUMIF($FF$4:$FF$503,EN397,$FG$4:$FG$503),2),"")</f>
        <v/>
      </c>
      <c r="FI397" s="170" t="str">
        <f>IF(EO397=1,ROUND(SUMPRODUCT(($FF$4:$FF$503=EN397)*$FG$4:$FG$503*$C$4:$C$503),2),"")</f>
        <v/>
      </c>
      <c r="FJ397" s="170" t="str">
        <f>IF(EO397=1,MAX(0,ROUND(FH397-FI397,2)),"")</f>
        <v/>
      </c>
      <c r="FK397" s="174" t="str">
        <f>IF(EO397=1,IF(OR(EW397&gt;=2958465,EY397=0,EY397&lt;=EW397),"",IF(TODAY()&lt;=EW397,0,IF(TODAY()&gt;EY397,1,IFERROR(NETWORKDAYS(EW397,TODAY()-1,Data!$K$4:$K$203)/NETWORKDAYS(EW397,EY397,Data!$K$4:$K$203),"")))),"")</f>
        <v/>
      </c>
      <c r="FL397" t="str">
        <f>IF(EO397=1,IF(AND(EY397&gt;0,EY397&lt;TODAY(),ROUND(EU397,4)&lt;1),2,IF(FK397="",0,IF(ROUND(EU397-FK397,4)&lt;-0.15,1,0))),"")</f>
        <v/>
      </c>
      <c r="FM397">
        <f>IF(OR(FA397="",COUNTIF($FA$4:FA396,FA397)&gt;0),0,MAX(0,IF(FB397="Interne",IF(ISNUMBER(INDEX(Data!$F:$F,397)),INDEX(Data!$F:$F,397),p_HeuresETP),IF(ISNUMBER(INDEX(Data!$I:$I,397-$CD$23)),INDEX(Data!$I:$I,397-$CD$23),p_HeuresETP))-IF(FB397="Interne",IF(ISNUMBER(INDEX(Data!$G:$G,397)),INDEX(Data!$G:$G,397),p_ChargeFixe),IF(ISNUMBER(INDEX(Data!$J:$J,397-$CD$23)),INDEX(Data!$J:$J,397-$CD$23),p_ChargeFixe))))</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9" t="str">
        <f>IF(AND(D398=1,ISNUMBER(INDEX(Charge!$N:$N,ROW()))),INDEX(Charge!$N:$N,ROW()),"")</f>
        <v/>
      </c>
      <c r="J398" s="169"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70">
        <f>IF(OR($I398="",$E398=0),0,IF(OR($J398&lt;W$3,$I398&gt;W$2),0,IF($K398=0,IF(AND($I398&gt;=W$3,$I398&lt;=W$2),$E398,0),$E398*NETWORKDAYS(MAX($I398,W$3),MIN($J398,W$2),Data!$K$4:$K$203)/$K398)))</f>
        <v>0</v>
      </c>
      <c r="X398" s="170">
        <f>IF(OR($I398="",$E398=0),0,IF(OR($J398&lt;X$3,$I398&gt;X$2),0,IF($K398=0,IF(AND($I398&gt;=X$3,$I398&lt;=X$2),$E398,0),$E398*NETWORKDAYS(MAX($I398,X$3),MIN($J398,X$2),Data!$K$4:$K$203)/$K398)))</f>
        <v>0</v>
      </c>
      <c r="Y398" s="170">
        <f>IF(OR($I398="",$E398=0),0,IF(OR($J398&lt;Y$3,$I398&gt;Y$2),0,IF($K398=0,IF(AND($I398&gt;=Y$3,$I398&lt;=Y$2),$E398,0),$E398*NETWORKDAYS(MAX($I398,Y$3),MIN($J398,Y$2),Data!$K$4:$K$203)/$K398)))</f>
        <v>0</v>
      </c>
      <c r="Z398" s="170">
        <f>IF(OR($I398="",$E398=0),0,IF(OR($J398&lt;Z$3,$I398&gt;Z$2),0,IF($K398=0,IF(AND($I398&gt;=Z$3,$I398&lt;=Z$2),$E398,0),$E398*NETWORKDAYS(MAX($I398,Z$3),MIN($J398,Z$2),Data!$K$4:$K$203)/$K398)))</f>
        <v>0</v>
      </c>
      <c r="AA398" s="170">
        <f>IF(OR($I398="",$E398=0),0,IF(OR($J398&lt;AA$3,$I398&gt;AA$2),0,IF($K398=0,IF(AND($I398&gt;=AA$3,$I398&lt;=AA$2),$E398,0),$E398*NETWORKDAYS(MAX($I398,AA$3),MIN($J398,AA$2),Data!$K$4:$K$203)/$K398)))</f>
        <v>0</v>
      </c>
      <c r="AB398" s="170">
        <f>IF(OR($I398="",$E398=0),0,IF(OR($J398&lt;AB$3,$I398&gt;AB$2),0,IF($K398=0,IF(AND($I398&gt;=AB$3,$I398&lt;=AB$2),$E398,0),$E398*NETWORKDAYS(MAX($I398,AB$3),MIN($J398,AB$2),Data!$K$4:$K$203)/$K398)))</f>
        <v>0</v>
      </c>
      <c r="AC398" s="170">
        <f>IF(OR($I398="",$E398=0),0,IF(OR($J398&lt;AC$3,$I398&gt;AC$2),0,IF($K398=0,IF(AND($I398&gt;=AC$3,$I398&lt;=AC$2),$E398,0),$E398*NETWORKDAYS(MAX($I398,AC$3),MIN($J398,AC$2),Data!$K$4:$K$203)/$K398)))</f>
        <v>0</v>
      </c>
      <c r="AD398" s="170">
        <f>IF(OR($I398="",$E398=0),0,IF(OR($J398&lt;AD$3,$I398&gt;AD$2),0,IF($K398=0,IF(AND($I398&gt;=AD$3,$I398&lt;=AD$2),$E398,0),$E398*NETWORKDAYS(MAX($I398,AD$3),MIN($J398,AD$2),Data!$K$4:$K$203)/$K398)))</f>
        <v>0</v>
      </c>
      <c r="AE398" s="170">
        <f>IF(OR($I398="",$E398=0),0,IF(OR($J398&lt;AE$3,$I398&gt;AE$2),0,IF($K398=0,IF(AND($I398&gt;=AE$3,$I398&lt;=AE$2),$E398,0),$E398*NETWORKDAYS(MAX($I398,AE$3),MIN($J398,AE$2),Data!$K$4:$K$203)/$K398)))</f>
        <v>0</v>
      </c>
      <c r="AF398" s="170">
        <f>IF(OR($I398="",$E398=0),0,IF(OR($J398&lt;AF$3,$I398&gt;AF$2),0,IF($K398=0,IF(AND($I398&gt;=AF$3,$I398&lt;=AF$2),$E398,0),$E398*NETWORKDAYS(MAX($I398,AF$3),MIN($J398,AF$2),Data!$K$4:$K$203)/$K398)))</f>
        <v>0</v>
      </c>
      <c r="AG398" s="170">
        <f>IF(OR($I398="",$E398=0),0,IF(OR($J398&lt;AG$3,$I398&gt;AG$2),0,IF($K398=0,IF(AND($I398&gt;=AG$3,$I398&lt;=AG$2),$E398,0),$E398*NETWORKDAYS(MAX($I398,AG$3),MIN($J398,AG$2),Data!$K$4:$K$203)/$K398)))</f>
        <v>0</v>
      </c>
      <c r="AH398" s="170">
        <f>IF(OR($I398="",$E398=0),0,IF(OR($J398&lt;AH$3,$I398&gt;AH$2),0,IF($K398=0,IF(AND($I398&gt;=AH$3,$I398&lt;=AH$2),$E398,0),$E398*NETWORKDAYS(MAX($I398,AH$3),MIN($J398,AH$2),Data!$K$4:$K$203)/$K398)))</f>
        <v>0</v>
      </c>
      <c r="AI398" s="170">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70"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4" t="str">
        <f>IF(EO398=1,IF(FH398&gt;0,FI398/FH398,AVERAGEIF($FF$4:$FF$503,EN398,$C$4:$C$503)),"")</f>
        <v/>
      </c>
      <c r="EV398" s="169">
        <f>IF(ISNUMBER(I398),I398,2958465)</f>
        <v>2958465.0</v>
      </c>
      <c r="EW398" s="169" t="str">
        <f>IF(EO398=1,SUMPRODUCT(MIN(($EN$4:$EN$503=EN398)*$EV$4:$EV$503+($EN$4:$EN$503&lt;&gt;EN398)*2958465)),"")</f>
        <v/>
      </c>
      <c r="EX398" s="169">
        <f>IF(AND(D398=1,ISNUMBER(INDEX(Charge!$F:$F,ROW()))),INDEX(Charge!$F:$F,ROW()),0)</f>
        <v>0.0</v>
      </c>
      <c r="EY398" s="169"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c r="FF398" t="str">
        <f>IF(B398=1,LEFT(SUBSTITUTE(SUBSTITUTE(SUBSTITUTE(TRIM(SUBSTITUTE(INDEX(Charge!$B:$B,ROW()),CHAR(160)," "))&amp;" | "&amp;TRIM(SUBSTITUTE(INDEX(Charge!$C:$C,ROW()),CHAR(160)," "))&amp;" | "&amp;TRIM(SUBSTITUTE(INDEX(Charge!$D:$D,ROW()),CHAR(160)," ")),"~","-"),"*","+"),"?","!"),240),"")</f>
        <v/>
      </c>
      <c r="FG398">
        <f>IF(B398=1,MAX(0,N(INDEX(Charge!$M:$M,ROW()))),0)</f>
        <v>0</v>
      </c>
      <c r="FH398" s="170" t="str">
        <f>IF(EO398=1,ROUND(SUMIF($FF$4:$FF$503,EN398,$FG$4:$FG$503),2),"")</f>
        <v/>
      </c>
      <c r="FI398" s="170" t="str">
        <f>IF(EO398=1,ROUND(SUMPRODUCT(($FF$4:$FF$503=EN398)*$FG$4:$FG$503*$C$4:$C$503),2),"")</f>
        <v/>
      </c>
      <c r="FJ398" s="170" t="str">
        <f>IF(EO398=1,MAX(0,ROUND(FH398-FI398,2)),"")</f>
        <v/>
      </c>
      <c r="FK398" s="174" t="str">
        <f>IF(EO398=1,IF(OR(EW398&gt;=2958465,EY398=0,EY398&lt;=EW398),"",IF(TODAY()&lt;=EW398,0,IF(TODAY()&gt;EY398,1,IFERROR(NETWORKDAYS(EW398,TODAY()-1,Data!$K$4:$K$203)/NETWORKDAYS(EW398,EY398,Data!$K$4:$K$203),"")))),"")</f>
        <v/>
      </c>
      <c r="FL398" t="str">
        <f>IF(EO398=1,IF(AND(EY398&gt;0,EY398&lt;TODAY(),ROUND(EU398,4)&lt;1),2,IF(FK398="",0,IF(ROUND(EU398-FK398,4)&lt;-0.15,1,0))),"")</f>
        <v/>
      </c>
      <c r="FM398">
        <f>IF(OR(FA398="",COUNTIF($FA$4:FA397,FA398)&gt;0),0,MAX(0,IF(FB398="Interne",IF(ISNUMBER(INDEX(Data!$F:$F,398)),INDEX(Data!$F:$F,398),p_HeuresETP),IF(ISNUMBER(INDEX(Data!$I:$I,398-$CD$23)),INDEX(Data!$I:$I,398-$CD$23),p_HeuresETP))-IF(FB398="Interne",IF(ISNUMBER(INDEX(Data!$G:$G,398)),INDEX(Data!$G:$G,398),p_ChargeFixe),IF(ISNUMBER(INDEX(Data!$J:$J,398-$CD$23)),INDEX(Data!$J:$J,398-$CD$23),p_ChargeFixe))))</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9" t="str">
        <f>IF(AND(D399=1,ISNUMBER(INDEX(Charge!$N:$N,ROW()))),INDEX(Charge!$N:$N,ROW()),"")</f>
        <v/>
      </c>
      <c r="J399" s="169"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70">
        <f>IF(OR($I399="",$E399=0),0,IF(OR($J399&lt;W$3,$I399&gt;W$2),0,IF($K399=0,IF(AND($I399&gt;=W$3,$I399&lt;=W$2),$E399,0),$E399*NETWORKDAYS(MAX($I399,W$3),MIN($J399,W$2),Data!$K$4:$K$203)/$K399)))</f>
        <v>0</v>
      </c>
      <c r="X399" s="170">
        <f>IF(OR($I399="",$E399=0),0,IF(OR($J399&lt;X$3,$I399&gt;X$2),0,IF($K399=0,IF(AND($I399&gt;=X$3,$I399&lt;=X$2),$E399,0),$E399*NETWORKDAYS(MAX($I399,X$3),MIN($J399,X$2),Data!$K$4:$K$203)/$K399)))</f>
        <v>0</v>
      </c>
      <c r="Y399" s="170">
        <f>IF(OR($I399="",$E399=0),0,IF(OR($J399&lt;Y$3,$I399&gt;Y$2),0,IF($K399=0,IF(AND($I399&gt;=Y$3,$I399&lt;=Y$2),$E399,0),$E399*NETWORKDAYS(MAX($I399,Y$3),MIN($J399,Y$2),Data!$K$4:$K$203)/$K399)))</f>
        <v>0</v>
      </c>
      <c r="Z399" s="170">
        <f>IF(OR($I399="",$E399=0),0,IF(OR($J399&lt;Z$3,$I399&gt;Z$2),0,IF($K399=0,IF(AND($I399&gt;=Z$3,$I399&lt;=Z$2),$E399,0),$E399*NETWORKDAYS(MAX($I399,Z$3),MIN($J399,Z$2),Data!$K$4:$K$203)/$K399)))</f>
        <v>0</v>
      </c>
      <c r="AA399" s="170">
        <f>IF(OR($I399="",$E399=0),0,IF(OR($J399&lt;AA$3,$I399&gt;AA$2),0,IF($K399=0,IF(AND($I399&gt;=AA$3,$I399&lt;=AA$2),$E399,0),$E399*NETWORKDAYS(MAX($I399,AA$3),MIN($J399,AA$2),Data!$K$4:$K$203)/$K399)))</f>
        <v>0</v>
      </c>
      <c r="AB399" s="170">
        <f>IF(OR($I399="",$E399=0),0,IF(OR($J399&lt;AB$3,$I399&gt;AB$2),0,IF($K399=0,IF(AND($I399&gt;=AB$3,$I399&lt;=AB$2),$E399,0),$E399*NETWORKDAYS(MAX($I399,AB$3),MIN($J399,AB$2),Data!$K$4:$K$203)/$K399)))</f>
        <v>0</v>
      </c>
      <c r="AC399" s="170">
        <f>IF(OR($I399="",$E399=0),0,IF(OR($J399&lt;AC$3,$I399&gt;AC$2),0,IF($K399=0,IF(AND($I399&gt;=AC$3,$I399&lt;=AC$2),$E399,0),$E399*NETWORKDAYS(MAX($I399,AC$3),MIN($J399,AC$2),Data!$K$4:$K$203)/$K399)))</f>
        <v>0</v>
      </c>
      <c r="AD399" s="170">
        <f>IF(OR($I399="",$E399=0),0,IF(OR($J399&lt;AD$3,$I399&gt;AD$2),0,IF($K399=0,IF(AND($I399&gt;=AD$3,$I399&lt;=AD$2),$E399,0),$E399*NETWORKDAYS(MAX($I399,AD$3),MIN($J399,AD$2),Data!$K$4:$K$203)/$K399)))</f>
        <v>0</v>
      </c>
      <c r="AE399" s="170">
        <f>IF(OR($I399="",$E399=0),0,IF(OR($J399&lt;AE$3,$I399&gt;AE$2),0,IF($K399=0,IF(AND($I399&gt;=AE$3,$I399&lt;=AE$2),$E399,0),$E399*NETWORKDAYS(MAX($I399,AE$3),MIN($J399,AE$2),Data!$K$4:$K$203)/$K399)))</f>
        <v>0</v>
      </c>
      <c r="AF399" s="170">
        <f>IF(OR($I399="",$E399=0),0,IF(OR($J399&lt;AF$3,$I399&gt;AF$2),0,IF($K399=0,IF(AND($I399&gt;=AF$3,$I399&lt;=AF$2),$E399,0),$E399*NETWORKDAYS(MAX($I399,AF$3),MIN($J399,AF$2),Data!$K$4:$K$203)/$K399)))</f>
        <v>0</v>
      </c>
      <c r="AG399" s="170">
        <f>IF(OR($I399="",$E399=0),0,IF(OR($J399&lt;AG$3,$I399&gt;AG$2),0,IF($K399=0,IF(AND($I399&gt;=AG$3,$I399&lt;=AG$2),$E399,0),$E399*NETWORKDAYS(MAX($I399,AG$3),MIN($J399,AG$2),Data!$K$4:$K$203)/$K399)))</f>
        <v>0</v>
      </c>
      <c r="AH399" s="170">
        <f>IF(OR($I399="",$E399=0),0,IF(OR($J399&lt;AH$3,$I399&gt;AH$2),0,IF($K399=0,IF(AND($I399&gt;=AH$3,$I399&lt;=AH$2),$E399,0),$E399*NETWORKDAYS(MAX($I399,AH$3),MIN($J399,AH$2),Data!$K$4:$K$203)/$K399)))</f>
        <v>0</v>
      </c>
      <c r="AI399" s="170">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70"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4" t="str">
        <f>IF(EO399=1,IF(FH399&gt;0,FI399/FH399,AVERAGEIF($FF$4:$FF$503,EN399,$C$4:$C$503)),"")</f>
        <v/>
      </c>
      <c r="EV399" s="169">
        <f>IF(ISNUMBER(I399),I399,2958465)</f>
        <v>2958465.0</v>
      </c>
      <c r="EW399" s="169" t="str">
        <f>IF(EO399=1,SUMPRODUCT(MIN(($EN$4:$EN$503=EN399)*$EV$4:$EV$503+($EN$4:$EN$503&lt;&gt;EN399)*2958465)),"")</f>
        <v/>
      </c>
      <c r="EX399" s="169">
        <f>IF(AND(D399=1,ISNUMBER(INDEX(Charge!$F:$F,ROW()))),INDEX(Charge!$F:$F,ROW()),0)</f>
        <v>0.0</v>
      </c>
      <c r="EY399" s="169"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c r="FF399" t="str">
        <f>IF(B399=1,LEFT(SUBSTITUTE(SUBSTITUTE(SUBSTITUTE(TRIM(SUBSTITUTE(INDEX(Charge!$B:$B,ROW()),CHAR(160)," "))&amp;" | "&amp;TRIM(SUBSTITUTE(INDEX(Charge!$C:$C,ROW()),CHAR(160)," "))&amp;" | "&amp;TRIM(SUBSTITUTE(INDEX(Charge!$D:$D,ROW()),CHAR(160)," ")),"~","-"),"*","+"),"?","!"),240),"")</f>
        <v/>
      </c>
      <c r="FG399">
        <f>IF(B399=1,MAX(0,N(INDEX(Charge!$M:$M,ROW()))),0)</f>
        <v>0</v>
      </c>
      <c r="FH399" s="170" t="str">
        <f>IF(EO399=1,ROUND(SUMIF($FF$4:$FF$503,EN399,$FG$4:$FG$503),2),"")</f>
        <v/>
      </c>
      <c r="FI399" s="170" t="str">
        <f>IF(EO399=1,ROUND(SUMPRODUCT(($FF$4:$FF$503=EN399)*$FG$4:$FG$503*$C$4:$C$503),2),"")</f>
        <v/>
      </c>
      <c r="FJ399" s="170" t="str">
        <f>IF(EO399=1,MAX(0,ROUND(FH399-FI399,2)),"")</f>
        <v/>
      </c>
      <c r="FK399" s="174" t="str">
        <f>IF(EO399=1,IF(OR(EW399&gt;=2958465,EY399=0,EY399&lt;=EW399),"",IF(TODAY()&lt;=EW399,0,IF(TODAY()&gt;EY399,1,IFERROR(NETWORKDAYS(EW399,TODAY()-1,Data!$K$4:$K$203)/NETWORKDAYS(EW399,EY399,Data!$K$4:$K$203),"")))),"")</f>
        <v/>
      </c>
      <c r="FL399" t="str">
        <f>IF(EO399=1,IF(AND(EY399&gt;0,EY399&lt;TODAY(),ROUND(EU399,4)&lt;1),2,IF(FK399="",0,IF(ROUND(EU399-FK399,4)&lt;-0.15,1,0))),"")</f>
        <v/>
      </c>
      <c r="FM399">
        <f>IF(OR(FA399="",COUNTIF($FA$4:FA398,FA399)&gt;0),0,MAX(0,IF(FB399="Interne",IF(ISNUMBER(INDEX(Data!$F:$F,399)),INDEX(Data!$F:$F,399),p_HeuresETP),IF(ISNUMBER(INDEX(Data!$I:$I,399-$CD$23)),INDEX(Data!$I:$I,399-$CD$23),p_HeuresETP))-IF(FB399="Interne",IF(ISNUMBER(INDEX(Data!$G:$G,399)),INDEX(Data!$G:$G,399),p_ChargeFixe),IF(ISNUMBER(INDEX(Data!$J:$J,399-$CD$23)),INDEX(Data!$J:$J,399-$CD$23),p_ChargeFixe))))</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9" t="str">
        <f>IF(AND(D400=1,ISNUMBER(INDEX(Charge!$N:$N,ROW()))),INDEX(Charge!$N:$N,ROW()),"")</f>
        <v/>
      </c>
      <c r="J400" s="169"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70">
        <f>IF(OR($I400="",$E400=0),0,IF(OR($J400&lt;W$3,$I400&gt;W$2),0,IF($K400=0,IF(AND($I400&gt;=W$3,$I400&lt;=W$2),$E400,0),$E400*NETWORKDAYS(MAX($I400,W$3),MIN($J400,W$2),Data!$K$4:$K$203)/$K400)))</f>
        <v>0</v>
      </c>
      <c r="X400" s="170">
        <f>IF(OR($I400="",$E400=0),0,IF(OR($J400&lt;X$3,$I400&gt;X$2),0,IF($K400=0,IF(AND($I400&gt;=X$3,$I400&lt;=X$2),$E400,0),$E400*NETWORKDAYS(MAX($I400,X$3),MIN($J400,X$2),Data!$K$4:$K$203)/$K400)))</f>
        <v>0</v>
      </c>
      <c r="Y400" s="170">
        <f>IF(OR($I400="",$E400=0),0,IF(OR($J400&lt;Y$3,$I400&gt;Y$2),0,IF($K400=0,IF(AND($I400&gt;=Y$3,$I400&lt;=Y$2),$E400,0),$E400*NETWORKDAYS(MAX($I400,Y$3),MIN($J400,Y$2),Data!$K$4:$K$203)/$K400)))</f>
        <v>0</v>
      </c>
      <c r="Z400" s="170">
        <f>IF(OR($I400="",$E400=0),0,IF(OR($J400&lt;Z$3,$I400&gt;Z$2),0,IF($K400=0,IF(AND($I400&gt;=Z$3,$I400&lt;=Z$2),$E400,0),$E400*NETWORKDAYS(MAX($I400,Z$3),MIN($J400,Z$2),Data!$K$4:$K$203)/$K400)))</f>
        <v>0</v>
      </c>
      <c r="AA400" s="170">
        <f>IF(OR($I400="",$E400=0),0,IF(OR($J400&lt;AA$3,$I400&gt;AA$2),0,IF($K400=0,IF(AND($I400&gt;=AA$3,$I400&lt;=AA$2),$E400,0),$E400*NETWORKDAYS(MAX($I400,AA$3),MIN($J400,AA$2),Data!$K$4:$K$203)/$K400)))</f>
        <v>0</v>
      </c>
      <c r="AB400" s="170">
        <f>IF(OR($I400="",$E400=0),0,IF(OR($J400&lt;AB$3,$I400&gt;AB$2),0,IF($K400=0,IF(AND($I400&gt;=AB$3,$I400&lt;=AB$2),$E400,0),$E400*NETWORKDAYS(MAX($I400,AB$3),MIN($J400,AB$2),Data!$K$4:$K$203)/$K400)))</f>
        <v>0</v>
      </c>
      <c r="AC400" s="170">
        <f>IF(OR($I400="",$E400=0),0,IF(OR($J400&lt;AC$3,$I400&gt;AC$2),0,IF($K400=0,IF(AND($I400&gt;=AC$3,$I400&lt;=AC$2),$E400,0),$E400*NETWORKDAYS(MAX($I400,AC$3),MIN($J400,AC$2),Data!$K$4:$K$203)/$K400)))</f>
        <v>0</v>
      </c>
      <c r="AD400" s="170">
        <f>IF(OR($I400="",$E400=0),0,IF(OR($J400&lt;AD$3,$I400&gt;AD$2),0,IF($K400=0,IF(AND($I400&gt;=AD$3,$I400&lt;=AD$2),$E400,0),$E400*NETWORKDAYS(MAX($I400,AD$3),MIN($J400,AD$2),Data!$K$4:$K$203)/$K400)))</f>
        <v>0</v>
      </c>
      <c r="AE400" s="170">
        <f>IF(OR($I400="",$E400=0),0,IF(OR($J400&lt;AE$3,$I400&gt;AE$2),0,IF($K400=0,IF(AND($I400&gt;=AE$3,$I400&lt;=AE$2),$E400,0),$E400*NETWORKDAYS(MAX($I400,AE$3),MIN($J400,AE$2),Data!$K$4:$K$203)/$K400)))</f>
        <v>0</v>
      </c>
      <c r="AF400" s="170">
        <f>IF(OR($I400="",$E400=0),0,IF(OR($J400&lt;AF$3,$I400&gt;AF$2),0,IF($K400=0,IF(AND($I400&gt;=AF$3,$I400&lt;=AF$2),$E400,0),$E400*NETWORKDAYS(MAX($I400,AF$3),MIN($J400,AF$2),Data!$K$4:$K$203)/$K400)))</f>
        <v>0</v>
      </c>
      <c r="AG400" s="170">
        <f>IF(OR($I400="",$E400=0),0,IF(OR($J400&lt;AG$3,$I400&gt;AG$2),0,IF($K400=0,IF(AND($I400&gt;=AG$3,$I400&lt;=AG$2),$E400,0),$E400*NETWORKDAYS(MAX($I400,AG$3),MIN($J400,AG$2),Data!$K$4:$K$203)/$K400)))</f>
        <v>0</v>
      </c>
      <c r="AH400" s="170">
        <f>IF(OR($I400="",$E400=0),0,IF(OR($J400&lt;AH$3,$I400&gt;AH$2),0,IF($K400=0,IF(AND($I400&gt;=AH$3,$I400&lt;=AH$2),$E400,0),$E400*NETWORKDAYS(MAX($I400,AH$3),MIN($J400,AH$2),Data!$K$4:$K$203)/$K400)))</f>
        <v>0</v>
      </c>
      <c r="AI400" s="170">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70"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4" t="str">
        <f>IF(EO400=1,IF(FH400&gt;0,FI400/FH400,AVERAGEIF($FF$4:$FF$503,EN400,$C$4:$C$503)),"")</f>
        <v/>
      </c>
      <c r="EV400" s="169">
        <f>IF(ISNUMBER(I400),I400,2958465)</f>
        <v>2958465.0</v>
      </c>
      <c r="EW400" s="169" t="str">
        <f>IF(EO400=1,SUMPRODUCT(MIN(($EN$4:$EN$503=EN400)*$EV$4:$EV$503+($EN$4:$EN$503&lt;&gt;EN400)*2958465)),"")</f>
        <v/>
      </c>
      <c r="EX400" s="169">
        <f>IF(AND(D400=1,ISNUMBER(INDEX(Charge!$F:$F,ROW()))),INDEX(Charge!$F:$F,ROW()),0)</f>
        <v>0.0</v>
      </c>
      <c r="EY400" s="169"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c r="FF400" t="str">
        <f>IF(B400=1,LEFT(SUBSTITUTE(SUBSTITUTE(SUBSTITUTE(TRIM(SUBSTITUTE(INDEX(Charge!$B:$B,ROW()),CHAR(160)," "))&amp;" | "&amp;TRIM(SUBSTITUTE(INDEX(Charge!$C:$C,ROW()),CHAR(160)," "))&amp;" | "&amp;TRIM(SUBSTITUTE(INDEX(Charge!$D:$D,ROW()),CHAR(160)," ")),"~","-"),"*","+"),"?","!"),240),"")</f>
        <v/>
      </c>
      <c r="FG400">
        <f>IF(B400=1,MAX(0,N(INDEX(Charge!$M:$M,ROW()))),0)</f>
        <v>0</v>
      </c>
      <c r="FH400" s="170" t="str">
        <f>IF(EO400=1,ROUND(SUMIF($FF$4:$FF$503,EN400,$FG$4:$FG$503),2),"")</f>
        <v/>
      </c>
      <c r="FI400" s="170" t="str">
        <f>IF(EO400=1,ROUND(SUMPRODUCT(($FF$4:$FF$503=EN400)*$FG$4:$FG$503*$C$4:$C$503),2),"")</f>
        <v/>
      </c>
      <c r="FJ400" s="170" t="str">
        <f>IF(EO400=1,MAX(0,ROUND(FH400-FI400,2)),"")</f>
        <v/>
      </c>
      <c r="FK400" s="174" t="str">
        <f>IF(EO400=1,IF(OR(EW400&gt;=2958465,EY400=0,EY400&lt;=EW400),"",IF(TODAY()&lt;=EW400,0,IF(TODAY()&gt;EY400,1,IFERROR(NETWORKDAYS(EW400,TODAY()-1,Data!$K$4:$K$203)/NETWORKDAYS(EW400,EY400,Data!$K$4:$K$203),"")))),"")</f>
        <v/>
      </c>
      <c r="FL400" t="str">
        <f>IF(EO400=1,IF(AND(EY400&gt;0,EY400&lt;TODAY(),ROUND(EU400,4)&lt;1),2,IF(FK400="",0,IF(ROUND(EU400-FK400,4)&lt;-0.15,1,0))),"")</f>
        <v/>
      </c>
      <c r="FM400">
        <f>IF(OR(FA400="",COUNTIF($FA$4:FA399,FA400)&gt;0),0,MAX(0,IF(FB400="Interne",IF(ISNUMBER(INDEX(Data!$F:$F,400)),INDEX(Data!$F:$F,400),p_HeuresETP),IF(ISNUMBER(INDEX(Data!$I:$I,400-$CD$23)),INDEX(Data!$I:$I,400-$CD$23),p_HeuresETP))-IF(FB400="Interne",IF(ISNUMBER(INDEX(Data!$G:$G,400)),INDEX(Data!$G:$G,400),p_ChargeFixe),IF(ISNUMBER(INDEX(Data!$J:$J,400-$CD$23)),INDEX(Data!$J:$J,400-$CD$23),p_ChargeFixe))))</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9" t="str">
        <f>IF(AND(D401=1,ISNUMBER(INDEX(Charge!$N:$N,ROW()))),INDEX(Charge!$N:$N,ROW()),"")</f>
        <v/>
      </c>
      <c r="J401" s="169"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70">
        <f>IF(OR($I401="",$E401=0),0,IF(OR($J401&lt;W$3,$I401&gt;W$2),0,IF($K401=0,IF(AND($I401&gt;=W$3,$I401&lt;=W$2),$E401,0),$E401*NETWORKDAYS(MAX($I401,W$3),MIN($J401,W$2),Data!$K$4:$K$203)/$K401)))</f>
        <v>0</v>
      </c>
      <c r="X401" s="170">
        <f>IF(OR($I401="",$E401=0),0,IF(OR($J401&lt;X$3,$I401&gt;X$2),0,IF($K401=0,IF(AND($I401&gt;=X$3,$I401&lt;=X$2),$E401,0),$E401*NETWORKDAYS(MAX($I401,X$3),MIN($J401,X$2),Data!$K$4:$K$203)/$K401)))</f>
        <v>0</v>
      </c>
      <c r="Y401" s="170">
        <f>IF(OR($I401="",$E401=0),0,IF(OR($J401&lt;Y$3,$I401&gt;Y$2),0,IF($K401=0,IF(AND($I401&gt;=Y$3,$I401&lt;=Y$2),$E401,0),$E401*NETWORKDAYS(MAX($I401,Y$3),MIN($J401,Y$2),Data!$K$4:$K$203)/$K401)))</f>
        <v>0</v>
      </c>
      <c r="Z401" s="170">
        <f>IF(OR($I401="",$E401=0),0,IF(OR($J401&lt;Z$3,$I401&gt;Z$2),0,IF($K401=0,IF(AND($I401&gt;=Z$3,$I401&lt;=Z$2),$E401,0),$E401*NETWORKDAYS(MAX($I401,Z$3),MIN($J401,Z$2),Data!$K$4:$K$203)/$K401)))</f>
        <v>0</v>
      </c>
      <c r="AA401" s="170">
        <f>IF(OR($I401="",$E401=0),0,IF(OR($J401&lt;AA$3,$I401&gt;AA$2),0,IF($K401=0,IF(AND($I401&gt;=AA$3,$I401&lt;=AA$2),$E401,0),$E401*NETWORKDAYS(MAX($I401,AA$3),MIN($J401,AA$2),Data!$K$4:$K$203)/$K401)))</f>
        <v>0</v>
      </c>
      <c r="AB401" s="170">
        <f>IF(OR($I401="",$E401=0),0,IF(OR($J401&lt;AB$3,$I401&gt;AB$2),0,IF($K401=0,IF(AND($I401&gt;=AB$3,$I401&lt;=AB$2),$E401,0),$E401*NETWORKDAYS(MAX($I401,AB$3),MIN($J401,AB$2),Data!$K$4:$K$203)/$K401)))</f>
        <v>0</v>
      </c>
      <c r="AC401" s="170">
        <f>IF(OR($I401="",$E401=0),0,IF(OR($J401&lt;AC$3,$I401&gt;AC$2),0,IF($K401=0,IF(AND($I401&gt;=AC$3,$I401&lt;=AC$2),$E401,0),$E401*NETWORKDAYS(MAX($I401,AC$3),MIN($J401,AC$2),Data!$K$4:$K$203)/$K401)))</f>
        <v>0</v>
      </c>
      <c r="AD401" s="170">
        <f>IF(OR($I401="",$E401=0),0,IF(OR($J401&lt;AD$3,$I401&gt;AD$2),0,IF($K401=0,IF(AND($I401&gt;=AD$3,$I401&lt;=AD$2),$E401,0),$E401*NETWORKDAYS(MAX($I401,AD$3),MIN($J401,AD$2),Data!$K$4:$K$203)/$K401)))</f>
        <v>0</v>
      </c>
      <c r="AE401" s="170">
        <f>IF(OR($I401="",$E401=0),0,IF(OR($J401&lt;AE$3,$I401&gt;AE$2),0,IF($K401=0,IF(AND($I401&gt;=AE$3,$I401&lt;=AE$2),$E401,0),$E401*NETWORKDAYS(MAX($I401,AE$3),MIN($J401,AE$2),Data!$K$4:$K$203)/$K401)))</f>
        <v>0</v>
      </c>
      <c r="AF401" s="170">
        <f>IF(OR($I401="",$E401=0),0,IF(OR($J401&lt;AF$3,$I401&gt;AF$2),0,IF($K401=0,IF(AND($I401&gt;=AF$3,$I401&lt;=AF$2),$E401,0),$E401*NETWORKDAYS(MAX($I401,AF$3),MIN($J401,AF$2),Data!$K$4:$K$203)/$K401)))</f>
        <v>0</v>
      </c>
      <c r="AG401" s="170">
        <f>IF(OR($I401="",$E401=0),0,IF(OR($J401&lt;AG$3,$I401&gt;AG$2),0,IF($K401=0,IF(AND($I401&gt;=AG$3,$I401&lt;=AG$2),$E401,0),$E401*NETWORKDAYS(MAX($I401,AG$3),MIN($J401,AG$2),Data!$K$4:$K$203)/$K401)))</f>
        <v>0</v>
      </c>
      <c r="AH401" s="170">
        <f>IF(OR($I401="",$E401=0),0,IF(OR($J401&lt;AH$3,$I401&gt;AH$2),0,IF($K401=0,IF(AND($I401&gt;=AH$3,$I401&lt;=AH$2),$E401,0),$E401*NETWORKDAYS(MAX($I401,AH$3),MIN($J401,AH$2),Data!$K$4:$K$203)/$K401)))</f>
        <v>0</v>
      </c>
      <c r="AI401" s="170">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70"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4" t="str">
        <f>IF(EO401=1,IF(FH401&gt;0,FI401/FH401,AVERAGEIF($FF$4:$FF$503,EN401,$C$4:$C$503)),"")</f>
        <v/>
      </c>
      <c r="EV401" s="169">
        <f>IF(ISNUMBER(I401),I401,2958465)</f>
        <v>2958465.0</v>
      </c>
      <c r="EW401" s="169" t="str">
        <f>IF(EO401=1,SUMPRODUCT(MIN(($EN$4:$EN$503=EN401)*$EV$4:$EV$503+($EN$4:$EN$503&lt;&gt;EN401)*2958465)),"")</f>
        <v/>
      </c>
      <c r="EX401" s="169">
        <f>IF(AND(D401=1,ISNUMBER(INDEX(Charge!$F:$F,ROW()))),INDEX(Charge!$F:$F,ROW()),0)</f>
        <v>0.0</v>
      </c>
      <c r="EY401" s="169"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c r="FF401" t="str">
        <f>IF(B401=1,LEFT(SUBSTITUTE(SUBSTITUTE(SUBSTITUTE(TRIM(SUBSTITUTE(INDEX(Charge!$B:$B,ROW()),CHAR(160)," "))&amp;" | "&amp;TRIM(SUBSTITUTE(INDEX(Charge!$C:$C,ROW()),CHAR(160)," "))&amp;" | "&amp;TRIM(SUBSTITUTE(INDEX(Charge!$D:$D,ROW()),CHAR(160)," ")),"~","-"),"*","+"),"?","!"),240),"")</f>
        <v/>
      </c>
      <c r="FG401">
        <f>IF(B401=1,MAX(0,N(INDEX(Charge!$M:$M,ROW()))),0)</f>
        <v>0</v>
      </c>
      <c r="FH401" s="170" t="str">
        <f>IF(EO401=1,ROUND(SUMIF($FF$4:$FF$503,EN401,$FG$4:$FG$503),2),"")</f>
        <v/>
      </c>
      <c r="FI401" s="170" t="str">
        <f>IF(EO401=1,ROUND(SUMPRODUCT(($FF$4:$FF$503=EN401)*$FG$4:$FG$503*$C$4:$C$503),2),"")</f>
        <v/>
      </c>
      <c r="FJ401" s="170" t="str">
        <f>IF(EO401=1,MAX(0,ROUND(FH401-FI401,2)),"")</f>
        <v/>
      </c>
      <c r="FK401" s="174" t="str">
        <f>IF(EO401=1,IF(OR(EW401&gt;=2958465,EY401=0,EY401&lt;=EW401),"",IF(TODAY()&lt;=EW401,0,IF(TODAY()&gt;EY401,1,IFERROR(NETWORKDAYS(EW401,TODAY()-1,Data!$K$4:$K$203)/NETWORKDAYS(EW401,EY401,Data!$K$4:$K$203),"")))),"")</f>
        <v/>
      </c>
      <c r="FL401" t="str">
        <f>IF(EO401=1,IF(AND(EY401&gt;0,EY401&lt;TODAY(),ROUND(EU401,4)&lt;1),2,IF(FK401="",0,IF(ROUND(EU401-FK401,4)&lt;-0.15,1,0))),"")</f>
        <v/>
      </c>
      <c r="FM401">
        <f>IF(OR(FA401="",COUNTIF($FA$4:FA400,FA401)&gt;0),0,MAX(0,IF(FB401="Interne",IF(ISNUMBER(INDEX(Data!$F:$F,401)),INDEX(Data!$F:$F,401),p_HeuresETP),IF(ISNUMBER(INDEX(Data!$I:$I,401-$CD$23)),INDEX(Data!$I:$I,401-$CD$23),p_HeuresETP))-IF(FB401="Interne",IF(ISNUMBER(INDEX(Data!$G:$G,401)),INDEX(Data!$G:$G,401),p_ChargeFixe),IF(ISNUMBER(INDEX(Data!$J:$J,401-$CD$23)),INDEX(Data!$J:$J,401-$CD$23),p_ChargeFixe))))</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9" t="str">
        <f>IF(AND(D402=1,ISNUMBER(INDEX(Charge!$N:$N,ROW()))),INDEX(Charge!$N:$N,ROW()),"")</f>
        <v/>
      </c>
      <c r="J402" s="169"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70">
        <f>IF(OR($I402="",$E402=0),0,IF(OR($J402&lt;W$3,$I402&gt;W$2),0,IF($K402=0,IF(AND($I402&gt;=W$3,$I402&lt;=W$2),$E402,0),$E402*NETWORKDAYS(MAX($I402,W$3),MIN($J402,W$2),Data!$K$4:$K$203)/$K402)))</f>
        <v>0</v>
      </c>
      <c r="X402" s="170">
        <f>IF(OR($I402="",$E402=0),0,IF(OR($J402&lt;X$3,$I402&gt;X$2),0,IF($K402=0,IF(AND($I402&gt;=X$3,$I402&lt;=X$2),$E402,0),$E402*NETWORKDAYS(MAX($I402,X$3),MIN($J402,X$2),Data!$K$4:$K$203)/$K402)))</f>
        <v>0</v>
      </c>
      <c r="Y402" s="170">
        <f>IF(OR($I402="",$E402=0),0,IF(OR($J402&lt;Y$3,$I402&gt;Y$2),0,IF($K402=0,IF(AND($I402&gt;=Y$3,$I402&lt;=Y$2),$E402,0),$E402*NETWORKDAYS(MAX($I402,Y$3),MIN($J402,Y$2),Data!$K$4:$K$203)/$K402)))</f>
        <v>0</v>
      </c>
      <c r="Z402" s="170">
        <f>IF(OR($I402="",$E402=0),0,IF(OR($J402&lt;Z$3,$I402&gt;Z$2),0,IF($K402=0,IF(AND($I402&gt;=Z$3,$I402&lt;=Z$2),$E402,0),$E402*NETWORKDAYS(MAX($I402,Z$3),MIN($J402,Z$2),Data!$K$4:$K$203)/$K402)))</f>
        <v>0</v>
      </c>
      <c r="AA402" s="170">
        <f>IF(OR($I402="",$E402=0),0,IF(OR($J402&lt;AA$3,$I402&gt;AA$2),0,IF($K402=0,IF(AND($I402&gt;=AA$3,$I402&lt;=AA$2),$E402,0),$E402*NETWORKDAYS(MAX($I402,AA$3),MIN($J402,AA$2),Data!$K$4:$K$203)/$K402)))</f>
        <v>0</v>
      </c>
      <c r="AB402" s="170">
        <f>IF(OR($I402="",$E402=0),0,IF(OR($J402&lt;AB$3,$I402&gt;AB$2),0,IF($K402=0,IF(AND($I402&gt;=AB$3,$I402&lt;=AB$2),$E402,0),$E402*NETWORKDAYS(MAX($I402,AB$3),MIN($J402,AB$2),Data!$K$4:$K$203)/$K402)))</f>
        <v>0</v>
      </c>
      <c r="AC402" s="170">
        <f>IF(OR($I402="",$E402=0),0,IF(OR($J402&lt;AC$3,$I402&gt;AC$2),0,IF($K402=0,IF(AND($I402&gt;=AC$3,$I402&lt;=AC$2),$E402,0),$E402*NETWORKDAYS(MAX($I402,AC$3),MIN($J402,AC$2),Data!$K$4:$K$203)/$K402)))</f>
        <v>0</v>
      </c>
      <c r="AD402" s="170">
        <f>IF(OR($I402="",$E402=0),0,IF(OR($J402&lt;AD$3,$I402&gt;AD$2),0,IF($K402=0,IF(AND($I402&gt;=AD$3,$I402&lt;=AD$2),$E402,0),$E402*NETWORKDAYS(MAX($I402,AD$3),MIN($J402,AD$2),Data!$K$4:$K$203)/$K402)))</f>
        <v>0</v>
      </c>
      <c r="AE402" s="170">
        <f>IF(OR($I402="",$E402=0),0,IF(OR($J402&lt;AE$3,$I402&gt;AE$2),0,IF($K402=0,IF(AND($I402&gt;=AE$3,$I402&lt;=AE$2),$E402,0),$E402*NETWORKDAYS(MAX($I402,AE$3),MIN($J402,AE$2),Data!$K$4:$K$203)/$K402)))</f>
        <v>0</v>
      </c>
      <c r="AF402" s="170">
        <f>IF(OR($I402="",$E402=0),0,IF(OR($J402&lt;AF$3,$I402&gt;AF$2),0,IF($K402=0,IF(AND($I402&gt;=AF$3,$I402&lt;=AF$2),$E402,0),$E402*NETWORKDAYS(MAX($I402,AF$3),MIN($J402,AF$2),Data!$K$4:$K$203)/$K402)))</f>
        <v>0</v>
      </c>
      <c r="AG402" s="170">
        <f>IF(OR($I402="",$E402=0),0,IF(OR($J402&lt;AG$3,$I402&gt;AG$2),0,IF($K402=0,IF(AND($I402&gt;=AG$3,$I402&lt;=AG$2),$E402,0),$E402*NETWORKDAYS(MAX($I402,AG$3),MIN($J402,AG$2),Data!$K$4:$K$203)/$K402)))</f>
        <v>0</v>
      </c>
      <c r="AH402" s="170">
        <f>IF(OR($I402="",$E402=0),0,IF(OR($J402&lt;AH$3,$I402&gt;AH$2),0,IF($K402=0,IF(AND($I402&gt;=AH$3,$I402&lt;=AH$2),$E402,0),$E402*NETWORKDAYS(MAX($I402,AH$3),MIN($J402,AH$2),Data!$K$4:$K$203)/$K402)))</f>
        <v>0</v>
      </c>
      <c r="AI402" s="170">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70"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4" t="str">
        <f>IF(EO402=1,IF(FH402&gt;0,FI402/FH402,AVERAGEIF($FF$4:$FF$503,EN402,$C$4:$C$503)),"")</f>
        <v/>
      </c>
      <c r="EV402" s="169">
        <f>IF(ISNUMBER(I402),I402,2958465)</f>
        <v>2958465.0</v>
      </c>
      <c r="EW402" s="169" t="str">
        <f>IF(EO402=1,SUMPRODUCT(MIN(($EN$4:$EN$503=EN402)*$EV$4:$EV$503+($EN$4:$EN$503&lt;&gt;EN402)*2958465)),"")</f>
        <v/>
      </c>
      <c r="EX402" s="169">
        <f>IF(AND(D402=1,ISNUMBER(INDEX(Charge!$F:$F,ROW()))),INDEX(Charge!$F:$F,ROW()),0)</f>
        <v>0.0</v>
      </c>
      <c r="EY402" s="169"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c r="FF402" t="str">
        <f>IF(B402=1,LEFT(SUBSTITUTE(SUBSTITUTE(SUBSTITUTE(TRIM(SUBSTITUTE(INDEX(Charge!$B:$B,ROW()),CHAR(160)," "))&amp;" | "&amp;TRIM(SUBSTITUTE(INDEX(Charge!$C:$C,ROW()),CHAR(160)," "))&amp;" | "&amp;TRIM(SUBSTITUTE(INDEX(Charge!$D:$D,ROW()),CHAR(160)," ")),"~","-"),"*","+"),"?","!"),240),"")</f>
        <v/>
      </c>
      <c r="FG402">
        <f>IF(B402=1,MAX(0,N(INDEX(Charge!$M:$M,ROW()))),0)</f>
        <v>0</v>
      </c>
      <c r="FH402" s="170" t="str">
        <f>IF(EO402=1,ROUND(SUMIF($FF$4:$FF$503,EN402,$FG$4:$FG$503),2),"")</f>
        <v/>
      </c>
      <c r="FI402" s="170" t="str">
        <f>IF(EO402=1,ROUND(SUMPRODUCT(($FF$4:$FF$503=EN402)*$FG$4:$FG$503*$C$4:$C$503),2),"")</f>
        <v/>
      </c>
      <c r="FJ402" s="170" t="str">
        <f>IF(EO402=1,MAX(0,ROUND(FH402-FI402,2)),"")</f>
        <v/>
      </c>
      <c r="FK402" s="174" t="str">
        <f>IF(EO402=1,IF(OR(EW402&gt;=2958465,EY402=0,EY402&lt;=EW402),"",IF(TODAY()&lt;=EW402,0,IF(TODAY()&gt;EY402,1,IFERROR(NETWORKDAYS(EW402,TODAY()-1,Data!$K$4:$K$203)/NETWORKDAYS(EW402,EY402,Data!$K$4:$K$203),"")))),"")</f>
        <v/>
      </c>
      <c r="FL402" t="str">
        <f>IF(EO402=1,IF(AND(EY402&gt;0,EY402&lt;TODAY(),ROUND(EU402,4)&lt;1),2,IF(FK402="",0,IF(ROUND(EU402-FK402,4)&lt;-0.15,1,0))),"")</f>
        <v/>
      </c>
      <c r="FM402">
        <f>IF(OR(FA402="",COUNTIF($FA$4:FA401,FA402)&gt;0),0,MAX(0,IF(FB402="Interne",IF(ISNUMBER(INDEX(Data!$F:$F,402)),INDEX(Data!$F:$F,402),p_HeuresETP),IF(ISNUMBER(INDEX(Data!$I:$I,402-$CD$23)),INDEX(Data!$I:$I,402-$CD$23),p_HeuresETP))-IF(FB402="Interne",IF(ISNUMBER(INDEX(Data!$G:$G,402)),INDEX(Data!$G:$G,402),p_ChargeFixe),IF(ISNUMBER(INDEX(Data!$J:$J,402-$CD$23)),INDEX(Data!$J:$J,402-$CD$23),p_ChargeFixe))))</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9" t="str">
        <f>IF(AND(D403=1,ISNUMBER(INDEX(Charge!$N:$N,ROW()))),INDEX(Charge!$N:$N,ROW()),"")</f>
        <v/>
      </c>
      <c r="J403" s="169"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70">
        <f>IF(OR($I403="",$E403=0),0,IF(OR($J403&lt;W$3,$I403&gt;W$2),0,IF($K403=0,IF(AND($I403&gt;=W$3,$I403&lt;=W$2),$E403,0),$E403*NETWORKDAYS(MAX($I403,W$3),MIN($J403,W$2),Data!$K$4:$K$203)/$K403)))</f>
        <v>0</v>
      </c>
      <c r="X403" s="170">
        <f>IF(OR($I403="",$E403=0),0,IF(OR($J403&lt;X$3,$I403&gt;X$2),0,IF($K403=0,IF(AND($I403&gt;=X$3,$I403&lt;=X$2),$E403,0),$E403*NETWORKDAYS(MAX($I403,X$3),MIN($J403,X$2),Data!$K$4:$K$203)/$K403)))</f>
        <v>0</v>
      </c>
      <c r="Y403" s="170">
        <f>IF(OR($I403="",$E403=0),0,IF(OR($J403&lt;Y$3,$I403&gt;Y$2),0,IF($K403=0,IF(AND($I403&gt;=Y$3,$I403&lt;=Y$2),$E403,0),$E403*NETWORKDAYS(MAX($I403,Y$3),MIN($J403,Y$2),Data!$K$4:$K$203)/$K403)))</f>
        <v>0</v>
      </c>
      <c r="Z403" s="170">
        <f>IF(OR($I403="",$E403=0),0,IF(OR($J403&lt;Z$3,$I403&gt;Z$2),0,IF($K403=0,IF(AND($I403&gt;=Z$3,$I403&lt;=Z$2),$E403,0),$E403*NETWORKDAYS(MAX($I403,Z$3),MIN($J403,Z$2),Data!$K$4:$K$203)/$K403)))</f>
        <v>0</v>
      </c>
      <c r="AA403" s="170">
        <f>IF(OR($I403="",$E403=0),0,IF(OR($J403&lt;AA$3,$I403&gt;AA$2),0,IF($K403=0,IF(AND($I403&gt;=AA$3,$I403&lt;=AA$2),$E403,0),$E403*NETWORKDAYS(MAX($I403,AA$3),MIN($J403,AA$2),Data!$K$4:$K$203)/$K403)))</f>
        <v>0</v>
      </c>
      <c r="AB403" s="170">
        <f>IF(OR($I403="",$E403=0),0,IF(OR($J403&lt;AB$3,$I403&gt;AB$2),0,IF($K403=0,IF(AND($I403&gt;=AB$3,$I403&lt;=AB$2),$E403,0),$E403*NETWORKDAYS(MAX($I403,AB$3),MIN($J403,AB$2),Data!$K$4:$K$203)/$K403)))</f>
        <v>0</v>
      </c>
      <c r="AC403" s="170">
        <f>IF(OR($I403="",$E403=0),0,IF(OR($J403&lt;AC$3,$I403&gt;AC$2),0,IF($K403=0,IF(AND($I403&gt;=AC$3,$I403&lt;=AC$2),$E403,0),$E403*NETWORKDAYS(MAX($I403,AC$3),MIN($J403,AC$2),Data!$K$4:$K$203)/$K403)))</f>
        <v>0</v>
      </c>
      <c r="AD403" s="170">
        <f>IF(OR($I403="",$E403=0),0,IF(OR($J403&lt;AD$3,$I403&gt;AD$2),0,IF($K403=0,IF(AND($I403&gt;=AD$3,$I403&lt;=AD$2),$E403,0),$E403*NETWORKDAYS(MAX($I403,AD$3),MIN($J403,AD$2),Data!$K$4:$K$203)/$K403)))</f>
        <v>0</v>
      </c>
      <c r="AE403" s="170">
        <f>IF(OR($I403="",$E403=0),0,IF(OR($J403&lt;AE$3,$I403&gt;AE$2),0,IF($K403=0,IF(AND($I403&gt;=AE$3,$I403&lt;=AE$2),$E403,0),$E403*NETWORKDAYS(MAX($I403,AE$3),MIN($J403,AE$2),Data!$K$4:$K$203)/$K403)))</f>
        <v>0</v>
      </c>
      <c r="AF403" s="170">
        <f>IF(OR($I403="",$E403=0),0,IF(OR($J403&lt;AF$3,$I403&gt;AF$2),0,IF($K403=0,IF(AND($I403&gt;=AF$3,$I403&lt;=AF$2),$E403,0),$E403*NETWORKDAYS(MAX($I403,AF$3),MIN($J403,AF$2),Data!$K$4:$K$203)/$K403)))</f>
        <v>0</v>
      </c>
      <c r="AG403" s="170">
        <f>IF(OR($I403="",$E403=0),0,IF(OR($J403&lt;AG$3,$I403&gt;AG$2),0,IF($K403=0,IF(AND($I403&gt;=AG$3,$I403&lt;=AG$2),$E403,0),$E403*NETWORKDAYS(MAX($I403,AG$3),MIN($J403,AG$2),Data!$K$4:$K$203)/$K403)))</f>
        <v>0</v>
      </c>
      <c r="AH403" s="170">
        <f>IF(OR($I403="",$E403=0),0,IF(OR($J403&lt;AH$3,$I403&gt;AH$2),0,IF($K403=0,IF(AND($I403&gt;=AH$3,$I403&lt;=AH$2),$E403,0),$E403*NETWORKDAYS(MAX($I403,AH$3),MIN($J403,AH$2),Data!$K$4:$K$203)/$K403)))</f>
        <v>0</v>
      </c>
      <c r="AI403" s="170">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70"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4" t="str">
        <f>IF(EO403=1,IF(FH403&gt;0,FI403/FH403,AVERAGEIF($FF$4:$FF$503,EN403,$C$4:$C$503)),"")</f>
        <v/>
      </c>
      <c r="EV403" s="169">
        <f>IF(ISNUMBER(I403),I403,2958465)</f>
        <v>2958465.0</v>
      </c>
      <c r="EW403" s="169" t="str">
        <f>IF(EO403=1,SUMPRODUCT(MIN(($EN$4:$EN$503=EN403)*$EV$4:$EV$503+($EN$4:$EN$503&lt;&gt;EN403)*2958465)),"")</f>
        <v/>
      </c>
      <c r="EX403" s="169">
        <f>IF(AND(D403=1,ISNUMBER(INDEX(Charge!$F:$F,ROW()))),INDEX(Charge!$F:$F,ROW()),0)</f>
        <v>0.0</v>
      </c>
      <c r="EY403" s="169"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c r="FF403" t="str">
        <f>IF(B403=1,LEFT(SUBSTITUTE(SUBSTITUTE(SUBSTITUTE(TRIM(SUBSTITUTE(INDEX(Charge!$B:$B,ROW()),CHAR(160)," "))&amp;" | "&amp;TRIM(SUBSTITUTE(INDEX(Charge!$C:$C,ROW()),CHAR(160)," "))&amp;" | "&amp;TRIM(SUBSTITUTE(INDEX(Charge!$D:$D,ROW()),CHAR(160)," ")),"~","-"),"*","+"),"?","!"),240),"")</f>
        <v/>
      </c>
      <c r="FG403">
        <f>IF(B403=1,MAX(0,N(INDEX(Charge!$M:$M,ROW()))),0)</f>
        <v>0</v>
      </c>
      <c r="FH403" s="170" t="str">
        <f>IF(EO403=1,ROUND(SUMIF($FF$4:$FF$503,EN403,$FG$4:$FG$503),2),"")</f>
        <v/>
      </c>
      <c r="FI403" s="170" t="str">
        <f>IF(EO403=1,ROUND(SUMPRODUCT(($FF$4:$FF$503=EN403)*$FG$4:$FG$503*$C$4:$C$503),2),"")</f>
        <v/>
      </c>
      <c r="FJ403" s="170" t="str">
        <f>IF(EO403=1,MAX(0,ROUND(FH403-FI403,2)),"")</f>
        <v/>
      </c>
      <c r="FK403" s="174" t="str">
        <f>IF(EO403=1,IF(OR(EW403&gt;=2958465,EY403=0,EY403&lt;=EW403),"",IF(TODAY()&lt;=EW403,0,IF(TODAY()&gt;EY403,1,IFERROR(NETWORKDAYS(EW403,TODAY()-1,Data!$K$4:$K$203)/NETWORKDAYS(EW403,EY403,Data!$K$4:$K$203),"")))),"")</f>
        <v/>
      </c>
      <c r="FL403" t="str">
        <f>IF(EO403=1,IF(AND(EY403&gt;0,EY403&lt;TODAY(),ROUND(EU403,4)&lt;1),2,IF(FK403="",0,IF(ROUND(EU403-FK403,4)&lt;-0.15,1,0))),"")</f>
        <v/>
      </c>
      <c r="FM403">
        <f>IF(OR(FA403="",COUNTIF($FA$4:FA402,FA403)&gt;0),0,MAX(0,IF(FB403="Interne",IF(ISNUMBER(INDEX(Data!$F:$F,403)),INDEX(Data!$F:$F,403),p_HeuresETP),IF(ISNUMBER(INDEX(Data!$I:$I,403-$CD$23)),INDEX(Data!$I:$I,403-$CD$23),p_HeuresETP))-IF(FB403="Interne",IF(ISNUMBER(INDEX(Data!$G:$G,403)),INDEX(Data!$G:$G,403),p_ChargeFixe),IF(ISNUMBER(INDEX(Data!$J:$J,403-$CD$23)),INDEX(Data!$J:$J,403-$CD$23),p_ChargeFixe))))</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9" t="str">
        <f>IF(AND(D404=1,ISNUMBER(INDEX(Charge!$N:$N,ROW()))),INDEX(Charge!$N:$N,ROW()),"")</f>
        <v/>
      </c>
      <c r="J404" s="169"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70">
        <f>IF(OR($I404="",$E404=0),0,IF(OR($J404&lt;W$3,$I404&gt;W$2),0,IF($K404=0,IF(AND($I404&gt;=W$3,$I404&lt;=W$2),$E404,0),$E404*NETWORKDAYS(MAX($I404,W$3),MIN($J404,W$2),Data!$K$4:$K$203)/$K404)))</f>
        <v>0</v>
      </c>
      <c r="X404" s="170">
        <f>IF(OR($I404="",$E404=0),0,IF(OR($J404&lt;X$3,$I404&gt;X$2),0,IF($K404=0,IF(AND($I404&gt;=X$3,$I404&lt;=X$2),$E404,0),$E404*NETWORKDAYS(MAX($I404,X$3),MIN($J404,X$2),Data!$K$4:$K$203)/$K404)))</f>
        <v>0</v>
      </c>
      <c r="Y404" s="170">
        <f>IF(OR($I404="",$E404=0),0,IF(OR($J404&lt;Y$3,$I404&gt;Y$2),0,IF($K404=0,IF(AND($I404&gt;=Y$3,$I404&lt;=Y$2),$E404,0),$E404*NETWORKDAYS(MAX($I404,Y$3),MIN($J404,Y$2),Data!$K$4:$K$203)/$K404)))</f>
        <v>0</v>
      </c>
      <c r="Z404" s="170">
        <f>IF(OR($I404="",$E404=0),0,IF(OR($J404&lt;Z$3,$I404&gt;Z$2),0,IF($K404=0,IF(AND($I404&gt;=Z$3,$I404&lt;=Z$2),$E404,0),$E404*NETWORKDAYS(MAX($I404,Z$3),MIN($J404,Z$2),Data!$K$4:$K$203)/$K404)))</f>
        <v>0</v>
      </c>
      <c r="AA404" s="170">
        <f>IF(OR($I404="",$E404=0),0,IF(OR($J404&lt;AA$3,$I404&gt;AA$2),0,IF($K404=0,IF(AND($I404&gt;=AA$3,$I404&lt;=AA$2),$E404,0),$E404*NETWORKDAYS(MAX($I404,AA$3),MIN($J404,AA$2),Data!$K$4:$K$203)/$K404)))</f>
        <v>0</v>
      </c>
      <c r="AB404" s="170">
        <f>IF(OR($I404="",$E404=0),0,IF(OR($J404&lt;AB$3,$I404&gt;AB$2),0,IF($K404=0,IF(AND($I404&gt;=AB$3,$I404&lt;=AB$2),$E404,0),$E404*NETWORKDAYS(MAX($I404,AB$3),MIN($J404,AB$2),Data!$K$4:$K$203)/$K404)))</f>
        <v>0</v>
      </c>
      <c r="AC404" s="170">
        <f>IF(OR($I404="",$E404=0),0,IF(OR($J404&lt;AC$3,$I404&gt;AC$2),0,IF($K404=0,IF(AND($I404&gt;=AC$3,$I404&lt;=AC$2),$E404,0),$E404*NETWORKDAYS(MAX($I404,AC$3),MIN($J404,AC$2),Data!$K$4:$K$203)/$K404)))</f>
        <v>0</v>
      </c>
      <c r="AD404" s="170">
        <f>IF(OR($I404="",$E404=0),0,IF(OR($J404&lt;AD$3,$I404&gt;AD$2),0,IF($K404=0,IF(AND($I404&gt;=AD$3,$I404&lt;=AD$2),$E404,0),$E404*NETWORKDAYS(MAX($I404,AD$3),MIN($J404,AD$2),Data!$K$4:$K$203)/$K404)))</f>
        <v>0</v>
      </c>
      <c r="AE404" s="170">
        <f>IF(OR($I404="",$E404=0),0,IF(OR($J404&lt;AE$3,$I404&gt;AE$2),0,IF($K404=0,IF(AND($I404&gt;=AE$3,$I404&lt;=AE$2),$E404,0),$E404*NETWORKDAYS(MAX($I404,AE$3),MIN($J404,AE$2),Data!$K$4:$K$203)/$K404)))</f>
        <v>0</v>
      </c>
      <c r="AF404" s="170">
        <f>IF(OR($I404="",$E404=0),0,IF(OR($J404&lt;AF$3,$I404&gt;AF$2),0,IF($K404=0,IF(AND($I404&gt;=AF$3,$I404&lt;=AF$2),$E404,0),$E404*NETWORKDAYS(MAX($I404,AF$3),MIN($J404,AF$2),Data!$K$4:$K$203)/$K404)))</f>
        <v>0</v>
      </c>
      <c r="AG404" s="170">
        <f>IF(OR($I404="",$E404=0),0,IF(OR($J404&lt;AG$3,$I404&gt;AG$2),0,IF($K404=0,IF(AND($I404&gt;=AG$3,$I404&lt;=AG$2),$E404,0),$E404*NETWORKDAYS(MAX($I404,AG$3),MIN($J404,AG$2),Data!$K$4:$K$203)/$K404)))</f>
        <v>0</v>
      </c>
      <c r="AH404" s="170">
        <f>IF(OR($I404="",$E404=0),0,IF(OR($J404&lt;AH$3,$I404&gt;AH$2),0,IF($K404=0,IF(AND($I404&gt;=AH$3,$I404&lt;=AH$2),$E404,0),$E404*NETWORKDAYS(MAX($I404,AH$3),MIN($J404,AH$2),Data!$K$4:$K$203)/$K404)))</f>
        <v>0</v>
      </c>
      <c r="AI404" s="170">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70"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4" t="str">
        <f>IF(EO404=1,IF(FH404&gt;0,FI404/FH404,AVERAGEIF($FF$4:$FF$503,EN404,$C$4:$C$503)),"")</f>
        <v/>
      </c>
      <c r="EV404" s="169">
        <f>IF(ISNUMBER(I404),I404,2958465)</f>
        <v>2958465.0</v>
      </c>
      <c r="EW404" s="169" t="str">
        <f>IF(EO404=1,SUMPRODUCT(MIN(($EN$4:$EN$503=EN404)*$EV$4:$EV$503+($EN$4:$EN$503&lt;&gt;EN404)*2958465)),"")</f>
        <v/>
      </c>
      <c r="EX404" s="169">
        <f>IF(AND(D404=1,ISNUMBER(INDEX(Charge!$F:$F,ROW()))),INDEX(Charge!$F:$F,ROW()),0)</f>
        <v>0.0</v>
      </c>
      <c r="EY404" s="169" t="str">
        <f>IF(EO404=1,SUMPRODUCT(MAX(($EN$4:$EN$503=EN404)*$EX$4:$EX$503)),"")</f>
        <v/>
      </c>
      <c r="FD404">
        <f>IF(AND(B404=1,TRIM(INDEX(Charge!$K:$K,ROW()))&lt;&gt;"",TRIM(INDEX(Charge!$L:$L,ROW()))&lt;&gt;""),1,0)</f>
        <v>0</v>
      </c>
      <c r="FE404">
        <f>IF(OR(EN404="",BZ404="(non affecté)"),0,IF(COUNTIFS($EN$4:EN404,EN404,$BZ$4:BZ404,BZ404)=1,1,0))</f>
        <v>0</v>
      </c>
      <c r="FF404" t="str">
        <f>IF(B404=1,LEFT(SUBSTITUTE(SUBSTITUTE(SUBSTITUTE(TRIM(SUBSTITUTE(INDEX(Charge!$B:$B,ROW()),CHAR(160)," "))&amp;" | "&amp;TRIM(SUBSTITUTE(INDEX(Charge!$C:$C,ROW()),CHAR(160)," "))&amp;" | "&amp;TRIM(SUBSTITUTE(INDEX(Charge!$D:$D,ROW()),CHAR(160)," ")),"~","-"),"*","+"),"?","!"),240),"")</f>
        <v/>
      </c>
      <c r="FG404">
        <f>IF(B404=1,MAX(0,N(INDEX(Charge!$M:$M,ROW()))),0)</f>
        <v>0</v>
      </c>
      <c r="FH404" s="170" t="str">
        <f>IF(EO404=1,ROUND(SUMIF($FF$4:$FF$503,EN404,$FG$4:$FG$503),2),"")</f>
        <v/>
      </c>
      <c r="FI404" s="170" t="str">
        <f>IF(EO404=1,ROUND(SUMPRODUCT(($FF$4:$FF$503=EN404)*$FG$4:$FG$503*$C$4:$C$503),2),"")</f>
        <v/>
      </c>
      <c r="FJ404" s="170" t="str">
        <f>IF(EO404=1,MAX(0,ROUND(FH404-FI404,2)),"")</f>
        <v/>
      </c>
      <c r="FK404" s="174" t="str">
        <f>IF(EO404=1,IF(OR(EW404&gt;=2958465,EY404=0,EY404&lt;=EW404),"",IF(TODAY()&lt;=EW404,0,IF(TODAY()&gt;EY404,1,IFERROR(NETWORKDAYS(EW404,TODAY()-1,Data!$K$4:$K$203)/NETWORKDAYS(EW404,EY404,Data!$K$4:$K$203),"")))),"")</f>
        <v/>
      </c>
      <c r="FL404" t="str">
        <f>IF(EO404=1,IF(AND(EY404&gt;0,EY404&lt;TODAY(),ROUND(EU404,4)&lt;1),2,IF(FK404="",0,IF(ROUND(EU404-FK404,4)&lt;-0.15,1,0))),"")</f>
        <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9" t="str">
        <f>IF(AND(D405=1,ISNUMBER(INDEX(Charge!$N:$N,ROW()))),INDEX(Charge!$N:$N,ROW()),"")</f>
        <v/>
      </c>
      <c r="J405" s="169"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70">
        <f>IF(OR($I405="",$E405=0),0,IF(OR($J405&lt;W$3,$I405&gt;W$2),0,IF($K405=0,IF(AND($I405&gt;=W$3,$I405&lt;=W$2),$E405,0),$E405*NETWORKDAYS(MAX($I405,W$3),MIN($J405,W$2),Data!$K$4:$K$203)/$K405)))</f>
        <v>0</v>
      </c>
      <c r="X405" s="170">
        <f>IF(OR($I405="",$E405=0),0,IF(OR($J405&lt;X$3,$I405&gt;X$2),0,IF($K405=0,IF(AND($I405&gt;=X$3,$I405&lt;=X$2),$E405,0),$E405*NETWORKDAYS(MAX($I405,X$3),MIN($J405,X$2),Data!$K$4:$K$203)/$K405)))</f>
        <v>0</v>
      </c>
      <c r="Y405" s="170">
        <f>IF(OR($I405="",$E405=0),0,IF(OR($J405&lt;Y$3,$I405&gt;Y$2),0,IF($K405=0,IF(AND($I405&gt;=Y$3,$I405&lt;=Y$2),$E405,0),$E405*NETWORKDAYS(MAX($I405,Y$3),MIN($J405,Y$2),Data!$K$4:$K$203)/$K405)))</f>
        <v>0</v>
      </c>
      <c r="Z405" s="170">
        <f>IF(OR($I405="",$E405=0),0,IF(OR($J405&lt;Z$3,$I405&gt;Z$2),0,IF($K405=0,IF(AND($I405&gt;=Z$3,$I405&lt;=Z$2),$E405,0),$E405*NETWORKDAYS(MAX($I405,Z$3),MIN($J405,Z$2),Data!$K$4:$K$203)/$K405)))</f>
        <v>0</v>
      </c>
      <c r="AA405" s="170">
        <f>IF(OR($I405="",$E405=0),0,IF(OR($J405&lt;AA$3,$I405&gt;AA$2),0,IF($K405=0,IF(AND($I405&gt;=AA$3,$I405&lt;=AA$2),$E405,0),$E405*NETWORKDAYS(MAX($I405,AA$3),MIN($J405,AA$2),Data!$K$4:$K$203)/$K405)))</f>
        <v>0</v>
      </c>
      <c r="AB405" s="170">
        <f>IF(OR($I405="",$E405=0),0,IF(OR($J405&lt;AB$3,$I405&gt;AB$2),0,IF($K405=0,IF(AND($I405&gt;=AB$3,$I405&lt;=AB$2),$E405,0),$E405*NETWORKDAYS(MAX($I405,AB$3),MIN($J405,AB$2),Data!$K$4:$K$203)/$K405)))</f>
        <v>0</v>
      </c>
      <c r="AC405" s="170">
        <f>IF(OR($I405="",$E405=0),0,IF(OR($J405&lt;AC$3,$I405&gt;AC$2),0,IF($K405=0,IF(AND($I405&gt;=AC$3,$I405&lt;=AC$2),$E405,0),$E405*NETWORKDAYS(MAX($I405,AC$3),MIN($J405,AC$2),Data!$K$4:$K$203)/$K405)))</f>
        <v>0</v>
      </c>
      <c r="AD405" s="170">
        <f>IF(OR($I405="",$E405=0),0,IF(OR($J405&lt;AD$3,$I405&gt;AD$2),0,IF($K405=0,IF(AND($I405&gt;=AD$3,$I405&lt;=AD$2),$E405,0),$E405*NETWORKDAYS(MAX($I405,AD$3),MIN($J405,AD$2),Data!$K$4:$K$203)/$K405)))</f>
        <v>0</v>
      </c>
      <c r="AE405" s="170">
        <f>IF(OR($I405="",$E405=0),0,IF(OR($J405&lt;AE$3,$I405&gt;AE$2),0,IF($K405=0,IF(AND($I405&gt;=AE$3,$I405&lt;=AE$2),$E405,0),$E405*NETWORKDAYS(MAX($I405,AE$3),MIN($J405,AE$2),Data!$K$4:$K$203)/$K405)))</f>
        <v>0</v>
      </c>
      <c r="AF405" s="170">
        <f>IF(OR($I405="",$E405=0),0,IF(OR($J405&lt;AF$3,$I405&gt;AF$2),0,IF($K405=0,IF(AND($I405&gt;=AF$3,$I405&lt;=AF$2),$E405,0),$E405*NETWORKDAYS(MAX($I405,AF$3),MIN($J405,AF$2),Data!$K$4:$K$203)/$K405)))</f>
        <v>0</v>
      </c>
      <c r="AG405" s="170">
        <f>IF(OR($I405="",$E405=0),0,IF(OR($J405&lt;AG$3,$I405&gt;AG$2),0,IF($K405=0,IF(AND($I405&gt;=AG$3,$I405&lt;=AG$2),$E405,0),$E405*NETWORKDAYS(MAX($I405,AG$3),MIN($J405,AG$2),Data!$K$4:$K$203)/$K405)))</f>
        <v>0</v>
      </c>
      <c r="AH405" s="170">
        <f>IF(OR($I405="",$E405=0),0,IF(OR($J405&lt;AH$3,$I405&gt;AH$2),0,IF($K405=0,IF(AND($I405&gt;=AH$3,$I405&lt;=AH$2),$E405,0),$E405*NETWORKDAYS(MAX($I405,AH$3),MIN($J405,AH$2),Data!$K$4:$K$203)/$K405)))</f>
        <v>0</v>
      </c>
      <c r="AI405" s="170">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70"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4" t="str">
        <f>IF(EO405=1,IF(FH405&gt;0,FI405/FH405,AVERAGEIF($FF$4:$FF$503,EN405,$C$4:$C$503)),"")</f>
        <v/>
      </c>
      <c r="EV405" s="169">
        <f>IF(ISNUMBER(I405),I405,2958465)</f>
        <v>2958465.0</v>
      </c>
      <c r="EW405" s="169" t="str">
        <f>IF(EO405=1,SUMPRODUCT(MIN(($EN$4:$EN$503=EN405)*$EV$4:$EV$503+($EN$4:$EN$503&lt;&gt;EN405)*2958465)),"")</f>
        <v/>
      </c>
      <c r="EX405" s="169">
        <f>IF(AND(D405=1,ISNUMBER(INDEX(Charge!$F:$F,ROW()))),INDEX(Charge!$F:$F,ROW()),0)</f>
        <v>0.0</v>
      </c>
      <c r="EY405" s="169" t="str">
        <f>IF(EO405=1,SUMPRODUCT(MAX(($EN$4:$EN$503=EN405)*$EX$4:$EX$503)),"")</f>
        <v/>
      </c>
      <c r="FD405">
        <f>IF(AND(B405=1,TRIM(INDEX(Charge!$K:$K,ROW()))&lt;&gt;"",TRIM(INDEX(Charge!$L:$L,ROW()))&lt;&gt;""),1,0)</f>
        <v>0</v>
      </c>
      <c r="FE405">
        <f>IF(OR(EN405="",BZ405="(non affecté)"),0,IF(COUNTIFS($EN$4:EN405,EN405,$BZ$4:BZ405,BZ405)=1,1,0))</f>
        <v>0</v>
      </c>
      <c r="FF405" t="str">
        <f>IF(B405=1,LEFT(SUBSTITUTE(SUBSTITUTE(SUBSTITUTE(TRIM(SUBSTITUTE(INDEX(Charge!$B:$B,ROW()),CHAR(160)," "))&amp;" | "&amp;TRIM(SUBSTITUTE(INDEX(Charge!$C:$C,ROW()),CHAR(160)," "))&amp;" | "&amp;TRIM(SUBSTITUTE(INDEX(Charge!$D:$D,ROW()),CHAR(160)," ")),"~","-"),"*","+"),"?","!"),240),"")</f>
        <v/>
      </c>
      <c r="FG405">
        <f>IF(B405=1,MAX(0,N(INDEX(Charge!$M:$M,ROW()))),0)</f>
        <v>0</v>
      </c>
      <c r="FH405" s="170" t="str">
        <f>IF(EO405=1,ROUND(SUMIF($FF$4:$FF$503,EN405,$FG$4:$FG$503),2),"")</f>
        <v/>
      </c>
      <c r="FI405" s="170" t="str">
        <f>IF(EO405=1,ROUND(SUMPRODUCT(($FF$4:$FF$503=EN405)*$FG$4:$FG$503*$C$4:$C$503),2),"")</f>
        <v/>
      </c>
      <c r="FJ405" s="170" t="str">
        <f>IF(EO405=1,MAX(0,ROUND(FH405-FI405,2)),"")</f>
        <v/>
      </c>
      <c r="FK405" s="174" t="str">
        <f>IF(EO405=1,IF(OR(EW405&gt;=2958465,EY405=0,EY405&lt;=EW405),"",IF(TODAY()&lt;=EW405,0,IF(TODAY()&gt;EY405,1,IFERROR(NETWORKDAYS(EW405,TODAY()-1,Data!$K$4:$K$203)/NETWORKDAYS(EW405,EY405,Data!$K$4:$K$203),"")))),"")</f>
        <v/>
      </c>
      <c r="FL405" t="str">
        <f>IF(EO405=1,IF(AND(EY405&gt;0,EY405&lt;TODAY(),ROUND(EU405,4)&lt;1),2,IF(FK405="",0,IF(ROUND(EU405-FK405,4)&lt;-0.15,1,0))),"")</f>
        <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9" t="str">
        <f>IF(AND(D406=1,ISNUMBER(INDEX(Charge!$N:$N,ROW()))),INDEX(Charge!$N:$N,ROW()),"")</f>
        <v/>
      </c>
      <c r="J406" s="169"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70">
        <f>IF(OR($I406="",$E406=0),0,IF(OR($J406&lt;W$3,$I406&gt;W$2),0,IF($K406=0,IF(AND($I406&gt;=W$3,$I406&lt;=W$2),$E406,0),$E406*NETWORKDAYS(MAX($I406,W$3),MIN($J406,W$2),Data!$K$4:$K$203)/$K406)))</f>
        <v>0</v>
      </c>
      <c r="X406" s="170">
        <f>IF(OR($I406="",$E406=0),0,IF(OR($J406&lt;X$3,$I406&gt;X$2),0,IF($K406=0,IF(AND($I406&gt;=X$3,$I406&lt;=X$2),$E406,0),$E406*NETWORKDAYS(MAX($I406,X$3),MIN($J406,X$2),Data!$K$4:$K$203)/$K406)))</f>
        <v>0</v>
      </c>
      <c r="Y406" s="170">
        <f>IF(OR($I406="",$E406=0),0,IF(OR($J406&lt;Y$3,$I406&gt;Y$2),0,IF($K406=0,IF(AND($I406&gt;=Y$3,$I406&lt;=Y$2),$E406,0),$E406*NETWORKDAYS(MAX($I406,Y$3),MIN($J406,Y$2),Data!$K$4:$K$203)/$K406)))</f>
        <v>0</v>
      </c>
      <c r="Z406" s="170">
        <f>IF(OR($I406="",$E406=0),0,IF(OR($J406&lt;Z$3,$I406&gt;Z$2),0,IF($K406=0,IF(AND($I406&gt;=Z$3,$I406&lt;=Z$2),$E406,0),$E406*NETWORKDAYS(MAX($I406,Z$3),MIN($J406,Z$2),Data!$K$4:$K$203)/$K406)))</f>
        <v>0</v>
      </c>
      <c r="AA406" s="170">
        <f>IF(OR($I406="",$E406=0),0,IF(OR($J406&lt;AA$3,$I406&gt;AA$2),0,IF($K406=0,IF(AND($I406&gt;=AA$3,$I406&lt;=AA$2),$E406,0),$E406*NETWORKDAYS(MAX($I406,AA$3),MIN($J406,AA$2),Data!$K$4:$K$203)/$K406)))</f>
        <v>0</v>
      </c>
      <c r="AB406" s="170">
        <f>IF(OR($I406="",$E406=0),0,IF(OR($J406&lt;AB$3,$I406&gt;AB$2),0,IF($K406=0,IF(AND($I406&gt;=AB$3,$I406&lt;=AB$2),$E406,0),$E406*NETWORKDAYS(MAX($I406,AB$3),MIN($J406,AB$2),Data!$K$4:$K$203)/$K406)))</f>
        <v>0</v>
      </c>
      <c r="AC406" s="170">
        <f>IF(OR($I406="",$E406=0),0,IF(OR($J406&lt;AC$3,$I406&gt;AC$2),0,IF($K406=0,IF(AND($I406&gt;=AC$3,$I406&lt;=AC$2),$E406,0),$E406*NETWORKDAYS(MAX($I406,AC$3),MIN($J406,AC$2),Data!$K$4:$K$203)/$K406)))</f>
        <v>0</v>
      </c>
      <c r="AD406" s="170">
        <f>IF(OR($I406="",$E406=0),0,IF(OR($J406&lt;AD$3,$I406&gt;AD$2),0,IF($K406=0,IF(AND($I406&gt;=AD$3,$I406&lt;=AD$2),$E406,0),$E406*NETWORKDAYS(MAX($I406,AD$3),MIN($J406,AD$2),Data!$K$4:$K$203)/$K406)))</f>
        <v>0</v>
      </c>
      <c r="AE406" s="170">
        <f>IF(OR($I406="",$E406=0),0,IF(OR($J406&lt;AE$3,$I406&gt;AE$2),0,IF($K406=0,IF(AND($I406&gt;=AE$3,$I406&lt;=AE$2),$E406,0),$E406*NETWORKDAYS(MAX($I406,AE$3),MIN($J406,AE$2),Data!$K$4:$K$203)/$K406)))</f>
        <v>0</v>
      </c>
      <c r="AF406" s="170">
        <f>IF(OR($I406="",$E406=0),0,IF(OR($J406&lt;AF$3,$I406&gt;AF$2),0,IF($K406=0,IF(AND($I406&gt;=AF$3,$I406&lt;=AF$2),$E406,0),$E406*NETWORKDAYS(MAX($I406,AF$3),MIN($J406,AF$2),Data!$K$4:$K$203)/$K406)))</f>
        <v>0</v>
      </c>
      <c r="AG406" s="170">
        <f>IF(OR($I406="",$E406=0),0,IF(OR($J406&lt;AG$3,$I406&gt;AG$2),0,IF($K406=0,IF(AND($I406&gt;=AG$3,$I406&lt;=AG$2),$E406,0),$E406*NETWORKDAYS(MAX($I406,AG$3),MIN($J406,AG$2),Data!$K$4:$K$203)/$K406)))</f>
        <v>0</v>
      </c>
      <c r="AH406" s="170">
        <f>IF(OR($I406="",$E406=0),0,IF(OR($J406&lt;AH$3,$I406&gt;AH$2),0,IF($K406=0,IF(AND($I406&gt;=AH$3,$I406&lt;=AH$2),$E406,0),$E406*NETWORKDAYS(MAX($I406,AH$3),MIN($J406,AH$2),Data!$K$4:$K$203)/$K406)))</f>
        <v>0</v>
      </c>
      <c r="AI406" s="170">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70"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4" t="str">
        <f>IF(EO406=1,IF(FH406&gt;0,FI406/FH406,AVERAGEIF($FF$4:$FF$503,EN406,$C$4:$C$503)),"")</f>
        <v/>
      </c>
      <c r="EV406" s="169">
        <f>IF(ISNUMBER(I406),I406,2958465)</f>
        <v>2958465.0</v>
      </c>
      <c r="EW406" s="169" t="str">
        <f>IF(EO406=1,SUMPRODUCT(MIN(($EN$4:$EN$503=EN406)*$EV$4:$EV$503+($EN$4:$EN$503&lt;&gt;EN406)*2958465)),"")</f>
        <v/>
      </c>
      <c r="EX406" s="169">
        <f>IF(AND(D406=1,ISNUMBER(INDEX(Charge!$F:$F,ROW()))),INDEX(Charge!$F:$F,ROW()),0)</f>
        <v>0.0</v>
      </c>
      <c r="EY406" s="169" t="str">
        <f>IF(EO406=1,SUMPRODUCT(MAX(($EN$4:$EN$503=EN406)*$EX$4:$EX$503)),"")</f>
        <v/>
      </c>
      <c r="FD406">
        <f>IF(AND(B406=1,TRIM(INDEX(Charge!$K:$K,ROW()))&lt;&gt;"",TRIM(INDEX(Charge!$L:$L,ROW()))&lt;&gt;""),1,0)</f>
        <v>0</v>
      </c>
      <c r="FE406">
        <f>IF(OR(EN406="",BZ406="(non affecté)"),0,IF(COUNTIFS($EN$4:EN406,EN406,$BZ$4:BZ406,BZ406)=1,1,0))</f>
        <v>0</v>
      </c>
      <c r="FF406" t="str">
        <f>IF(B406=1,LEFT(SUBSTITUTE(SUBSTITUTE(SUBSTITUTE(TRIM(SUBSTITUTE(INDEX(Charge!$B:$B,ROW()),CHAR(160)," "))&amp;" | "&amp;TRIM(SUBSTITUTE(INDEX(Charge!$C:$C,ROW()),CHAR(160)," "))&amp;" | "&amp;TRIM(SUBSTITUTE(INDEX(Charge!$D:$D,ROW()),CHAR(160)," ")),"~","-"),"*","+"),"?","!"),240),"")</f>
        <v/>
      </c>
      <c r="FG406">
        <f>IF(B406=1,MAX(0,N(INDEX(Charge!$M:$M,ROW()))),0)</f>
        <v>0</v>
      </c>
      <c r="FH406" s="170" t="str">
        <f>IF(EO406=1,ROUND(SUMIF($FF$4:$FF$503,EN406,$FG$4:$FG$503),2),"")</f>
        <v/>
      </c>
      <c r="FI406" s="170" t="str">
        <f>IF(EO406=1,ROUND(SUMPRODUCT(($FF$4:$FF$503=EN406)*$FG$4:$FG$503*$C$4:$C$503),2),"")</f>
        <v/>
      </c>
      <c r="FJ406" s="170" t="str">
        <f>IF(EO406=1,MAX(0,ROUND(FH406-FI406,2)),"")</f>
        <v/>
      </c>
      <c r="FK406" s="174" t="str">
        <f>IF(EO406=1,IF(OR(EW406&gt;=2958465,EY406=0,EY406&lt;=EW406),"",IF(TODAY()&lt;=EW406,0,IF(TODAY()&gt;EY406,1,IFERROR(NETWORKDAYS(EW406,TODAY()-1,Data!$K$4:$K$203)/NETWORKDAYS(EW406,EY406,Data!$K$4:$K$203),"")))),"")</f>
        <v/>
      </c>
      <c r="FL406" t="str">
        <f>IF(EO406=1,IF(AND(EY406&gt;0,EY406&lt;TODAY(),ROUND(EU406,4)&lt;1),2,IF(FK406="",0,IF(ROUND(EU406-FK406,4)&lt;-0.15,1,0))),"")</f>
        <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9" t="str">
        <f>IF(AND(D407=1,ISNUMBER(INDEX(Charge!$N:$N,ROW()))),INDEX(Charge!$N:$N,ROW()),"")</f>
        <v/>
      </c>
      <c r="J407" s="169"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70">
        <f>IF(OR($I407="",$E407=0),0,IF(OR($J407&lt;W$3,$I407&gt;W$2),0,IF($K407=0,IF(AND($I407&gt;=W$3,$I407&lt;=W$2),$E407,0),$E407*NETWORKDAYS(MAX($I407,W$3),MIN($J407,W$2),Data!$K$4:$K$203)/$K407)))</f>
        <v>0</v>
      </c>
      <c r="X407" s="170">
        <f>IF(OR($I407="",$E407=0),0,IF(OR($J407&lt;X$3,$I407&gt;X$2),0,IF($K407=0,IF(AND($I407&gt;=X$3,$I407&lt;=X$2),$E407,0),$E407*NETWORKDAYS(MAX($I407,X$3),MIN($J407,X$2),Data!$K$4:$K$203)/$K407)))</f>
        <v>0</v>
      </c>
      <c r="Y407" s="170">
        <f>IF(OR($I407="",$E407=0),0,IF(OR($J407&lt;Y$3,$I407&gt;Y$2),0,IF($K407=0,IF(AND($I407&gt;=Y$3,$I407&lt;=Y$2),$E407,0),$E407*NETWORKDAYS(MAX($I407,Y$3),MIN($J407,Y$2),Data!$K$4:$K$203)/$K407)))</f>
        <v>0</v>
      </c>
      <c r="Z407" s="170">
        <f>IF(OR($I407="",$E407=0),0,IF(OR($J407&lt;Z$3,$I407&gt;Z$2),0,IF($K407=0,IF(AND($I407&gt;=Z$3,$I407&lt;=Z$2),$E407,0),$E407*NETWORKDAYS(MAX($I407,Z$3),MIN($J407,Z$2),Data!$K$4:$K$203)/$K407)))</f>
        <v>0</v>
      </c>
      <c r="AA407" s="170">
        <f>IF(OR($I407="",$E407=0),0,IF(OR($J407&lt;AA$3,$I407&gt;AA$2),0,IF($K407=0,IF(AND($I407&gt;=AA$3,$I407&lt;=AA$2),$E407,0),$E407*NETWORKDAYS(MAX($I407,AA$3),MIN($J407,AA$2),Data!$K$4:$K$203)/$K407)))</f>
        <v>0</v>
      </c>
      <c r="AB407" s="170">
        <f>IF(OR($I407="",$E407=0),0,IF(OR($J407&lt;AB$3,$I407&gt;AB$2),0,IF($K407=0,IF(AND($I407&gt;=AB$3,$I407&lt;=AB$2),$E407,0),$E407*NETWORKDAYS(MAX($I407,AB$3),MIN($J407,AB$2),Data!$K$4:$K$203)/$K407)))</f>
        <v>0</v>
      </c>
      <c r="AC407" s="170">
        <f>IF(OR($I407="",$E407=0),0,IF(OR($J407&lt;AC$3,$I407&gt;AC$2),0,IF($K407=0,IF(AND($I407&gt;=AC$3,$I407&lt;=AC$2),$E407,0),$E407*NETWORKDAYS(MAX($I407,AC$3),MIN($J407,AC$2),Data!$K$4:$K$203)/$K407)))</f>
        <v>0</v>
      </c>
      <c r="AD407" s="170">
        <f>IF(OR($I407="",$E407=0),0,IF(OR($J407&lt;AD$3,$I407&gt;AD$2),0,IF($K407=0,IF(AND($I407&gt;=AD$3,$I407&lt;=AD$2),$E407,0),$E407*NETWORKDAYS(MAX($I407,AD$3),MIN($J407,AD$2),Data!$K$4:$K$203)/$K407)))</f>
        <v>0</v>
      </c>
      <c r="AE407" s="170">
        <f>IF(OR($I407="",$E407=0),0,IF(OR($J407&lt;AE$3,$I407&gt;AE$2),0,IF($K407=0,IF(AND($I407&gt;=AE$3,$I407&lt;=AE$2),$E407,0),$E407*NETWORKDAYS(MAX($I407,AE$3),MIN($J407,AE$2),Data!$K$4:$K$203)/$K407)))</f>
        <v>0</v>
      </c>
      <c r="AF407" s="170">
        <f>IF(OR($I407="",$E407=0),0,IF(OR($J407&lt;AF$3,$I407&gt;AF$2),0,IF($K407=0,IF(AND($I407&gt;=AF$3,$I407&lt;=AF$2),$E407,0),$E407*NETWORKDAYS(MAX($I407,AF$3),MIN($J407,AF$2),Data!$K$4:$K$203)/$K407)))</f>
        <v>0</v>
      </c>
      <c r="AG407" s="170">
        <f>IF(OR($I407="",$E407=0),0,IF(OR($J407&lt;AG$3,$I407&gt;AG$2),0,IF($K407=0,IF(AND($I407&gt;=AG$3,$I407&lt;=AG$2),$E407,0),$E407*NETWORKDAYS(MAX($I407,AG$3),MIN($J407,AG$2),Data!$K$4:$K$203)/$K407)))</f>
        <v>0</v>
      </c>
      <c r="AH407" s="170">
        <f>IF(OR($I407="",$E407=0),0,IF(OR($J407&lt;AH$3,$I407&gt;AH$2),0,IF($K407=0,IF(AND($I407&gt;=AH$3,$I407&lt;=AH$2),$E407,0),$E407*NETWORKDAYS(MAX($I407,AH$3),MIN($J407,AH$2),Data!$K$4:$K$203)/$K407)))</f>
        <v>0</v>
      </c>
      <c r="AI407" s="170">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70"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4" t="str">
        <f>IF(EO407=1,IF(FH407&gt;0,FI407/FH407,AVERAGEIF($FF$4:$FF$503,EN407,$C$4:$C$503)),"")</f>
        <v/>
      </c>
      <c r="EV407" s="169">
        <f>IF(ISNUMBER(I407),I407,2958465)</f>
        <v>2958465.0</v>
      </c>
      <c r="EW407" s="169" t="str">
        <f>IF(EO407=1,SUMPRODUCT(MIN(($EN$4:$EN$503=EN407)*$EV$4:$EV$503+($EN$4:$EN$503&lt;&gt;EN407)*2958465)),"")</f>
        <v/>
      </c>
      <c r="EX407" s="169">
        <f>IF(AND(D407=1,ISNUMBER(INDEX(Charge!$F:$F,ROW()))),INDEX(Charge!$F:$F,ROW()),0)</f>
        <v>0.0</v>
      </c>
      <c r="EY407" s="169" t="str">
        <f>IF(EO407=1,SUMPRODUCT(MAX(($EN$4:$EN$503=EN407)*$EX$4:$EX$503)),"")</f>
        <v/>
      </c>
      <c r="FD407">
        <f>IF(AND(B407=1,TRIM(INDEX(Charge!$K:$K,ROW()))&lt;&gt;"",TRIM(INDEX(Charge!$L:$L,ROW()))&lt;&gt;""),1,0)</f>
        <v>0</v>
      </c>
      <c r="FE407">
        <f>IF(OR(EN407="",BZ407="(non affecté)"),0,IF(COUNTIFS($EN$4:EN407,EN407,$BZ$4:BZ407,BZ407)=1,1,0))</f>
        <v>0</v>
      </c>
      <c r="FF407" t="str">
        <f>IF(B407=1,LEFT(SUBSTITUTE(SUBSTITUTE(SUBSTITUTE(TRIM(SUBSTITUTE(INDEX(Charge!$B:$B,ROW()),CHAR(160)," "))&amp;" | "&amp;TRIM(SUBSTITUTE(INDEX(Charge!$C:$C,ROW()),CHAR(160)," "))&amp;" | "&amp;TRIM(SUBSTITUTE(INDEX(Charge!$D:$D,ROW()),CHAR(160)," ")),"~","-"),"*","+"),"?","!"),240),"")</f>
        <v/>
      </c>
      <c r="FG407">
        <f>IF(B407=1,MAX(0,N(INDEX(Charge!$M:$M,ROW()))),0)</f>
        <v>0</v>
      </c>
      <c r="FH407" s="170" t="str">
        <f>IF(EO407=1,ROUND(SUMIF($FF$4:$FF$503,EN407,$FG$4:$FG$503),2),"")</f>
        <v/>
      </c>
      <c r="FI407" s="170" t="str">
        <f>IF(EO407=1,ROUND(SUMPRODUCT(($FF$4:$FF$503=EN407)*$FG$4:$FG$503*$C$4:$C$503),2),"")</f>
        <v/>
      </c>
      <c r="FJ407" s="170" t="str">
        <f>IF(EO407=1,MAX(0,ROUND(FH407-FI407,2)),"")</f>
        <v/>
      </c>
      <c r="FK407" s="174" t="str">
        <f>IF(EO407=1,IF(OR(EW407&gt;=2958465,EY407=0,EY407&lt;=EW407),"",IF(TODAY()&lt;=EW407,0,IF(TODAY()&gt;EY407,1,IFERROR(NETWORKDAYS(EW407,TODAY()-1,Data!$K$4:$K$203)/NETWORKDAYS(EW407,EY407,Data!$K$4:$K$203),"")))),"")</f>
        <v/>
      </c>
      <c r="FL407" t="str">
        <f>IF(EO407=1,IF(AND(EY407&gt;0,EY407&lt;TODAY(),ROUND(EU407,4)&lt;1),2,IF(FK407="",0,IF(ROUND(EU407-FK407,4)&lt;-0.15,1,0))),"")</f>
        <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9" t="str">
        <f>IF(AND(D408=1,ISNUMBER(INDEX(Charge!$N:$N,ROW()))),INDEX(Charge!$N:$N,ROW()),"")</f>
        <v/>
      </c>
      <c r="J408" s="169"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70">
        <f>IF(OR($I408="",$E408=0),0,IF(OR($J408&lt;W$3,$I408&gt;W$2),0,IF($K408=0,IF(AND($I408&gt;=W$3,$I408&lt;=W$2),$E408,0),$E408*NETWORKDAYS(MAX($I408,W$3),MIN($J408,W$2),Data!$K$4:$K$203)/$K408)))</f>
        <v>0</v>
      </c>
      <c r="X408" s="170">
        <f>IF(OR($I408="",$E408=0),0,IF(OR($J408&lt;X$3,$I408&gt;X$2),0,IF($K408=0,IF(AND($I408&gt;=X$3,$I408&lt;=X$2),$E408,0),$E408*NETWORKDAYS(MAX($I408,X$3),MIN($J408,X$2),Data!$K$4:$K$203)/$K408)))</f>
        <v>0</v>
      </c>
      <c r="Y408" s="170">
        <f>IF(OR($I408="",$E408=0),0,IF(OR($J408&lt;Y$3,$I408&gt;Y$2),0,IF($K408=0,IF(AND($I408&gt;=Y$3,$I408&lt;=Y$2),$E408,0),$E408*NETWORKDAYS(MAX($I408,Y$3),MIN($J408,Y$2),Data!$K$4:$K$203)/$K408)))</f>
        <v>0</v>
      </c>
      <c r="Z408" s="170">
        <f>IF(OR($I408="",$E408=0),0,IF(OR($J408&lt;Z$3,$I408&gt;Z$2),0,IF($K408=0,IF(AND($I408&gt;=Z$3,$I408&lt;=Z$2),$E408,0),$E408*NETWORKDAYS(MAX($I408,Z$3),MIN($J408,Z$2),Data!$K$4:$K$203)/$K408)))</f>
        <v>0</v>
      </c>
      <c r="AA408" s="170">
        <f>IF(OR($I408="",$E408=0),0,IF(OR($J408&lt;AA$3,$I408&gt;AA$2),0,IF($K408=0,IF(AND($I408&gt;=AA$3,$I408&lt;=AA$2),$E408,0),$E408*NETWORKDAYS(MAX($I408,AA$3),MIN($J408,AA$2),Data!$K$4:$K$203)/$K408)))</f>
        <v>0</v>
      </c>
      <c r="AB408" s="170">
        <f>IF(OR($I408="",$E408=0),0,IF(OR($J408&lt;AB$3,$I408&gt;AB$2),0,IF($K408=0,IF(AND($I408&gt;=AB$3,$I408&lt;=AB$2),$E408,0),$E408*NETWORKDAYS(MAX($I408,AB$3),MIN($J408,AB$2),Data!$K$4:$K$203)/$K408)))</f>
        <v>0</v>
      </c>
      <c r="AC408" s="170">
        <f>IF(OR($I408="",$E408=0),0,IF(OR($J408&lt;AC$3,$I408&gt;AC$2),0,IF($K408=0,IF(AND($I408&gt;=AC$3,$I408&lt;=AC$2),$E408,0),$E408*NETWORKDAYS(MAX($I408,AC$3),MIN($J408,AC$2),Data!$K$4:$K$203)/$K408)))</f>
        <v>0</v>
      </c>
      <c r="AD408" s="170">
        <f>IF(OR($I408="",$E408=0),0,IF(OR($J408&lt;AD$3,$I408&gt;AD$2),0,IF($K408=0,IF(AND($I408&gt;=AD$3,$I408&lt;=AD$2),$E408,0),$E408*NETWORKDAYS(MAX($I408,AD$3),MIN($J408,AD$2),Data!$K$4:$K$203)/$K408)))</f>
        <v>0</v>
      </c>
      <c r="AE408" s="170">
        <f>IF(OR($I408="",$E408=0),0,IF(OR($J408&lt;AE$3,$I408&gt;AE$2),0,IF($K408=0,IF(AND($I408&gt;=AE$3,$I408&lt;=AE$2),$E408,0),$E408*NETWORKDAYS(MAX($I408,AE$3),MIN($J408,AE$2),Data!$K$4:$K$203)/$K408)))</f>
        <v>0</v>
      </c>
      <c r="AF408" s="170">
        <f>IF(OR($I408="",$E408=0),0,IF(OR($J408&lt;AF$3,$I408&gt;AF$2),0,IF($K408=0,IF(AND($I408&gt;=AF$3,$I408&lt;=AF$2),$E408,0),$E408*NETWORKDAYS(MAX($I408,AF$3),MIN($J408,AF$2),Data!$K$4:$K$203)/$K408)))</f>
        <v>0</v>
      </c>
      <c r="AG408" s="170">
        <f>IF(OR($I408="",$E408=0),0,IF(OR($J408&lt;AG$3,$I408&gt;AG$2),0,IF($K408=0,IF(AND($I408&gt;=AG$3,$I408&lt;=AG$2),$E408,0),$E408*NETWORKDAYS(MAX($I408,AG$3),MIN($J408,AG$2),Data!$K$4:$K$203)/$K408)))</f>
        <v>0</v>
      </c>
      <c r="AH408" s="170">
        <f>IF(OR($I408="",$E408=0),0,IF(OR($J408&lt;AH$3,$I408&gt;AH$2),0,IF($K408=0,IF(AND($I408&gt;=AH$3,$I408&lt;=AH$2),$E408,0),$E408*NETWORKDAYS(MAX($I408,AH$3),MIN($J408,AH$2),Data!$K$4:$K$203)/$K408)))</f>
        <v>0</v>
      </c>
      <c r="AI408" s="170">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70"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4" t="str">
        <f>IF(EO408=1,IF(FH408&gt;0,FI408/FH408,AVERAGEIF($FF$4:$FF$503,EN408,$C$4:$C$503)),"")</f>
        <v/>
      </c>
      <c r="EV408" s="169">
        <f>IF(ISNUMBER(I408),I408,2958465)</f>
        <v>2958465.0</v>
      </c>
      <c r="EW408" s="169" t="str">
        <f>IF(EO408=1,SUMPRODUCT(MIN(($EN$4:$EN$503=EN408)*$EV$4:$EV$503+($EN$4:$EN$503&lt;&gt;EN408)*2958465)),"")</f>
        <v/>
      </c>
      <c r="EX408" s="169">
        <f>IF(AND(D408=1,ISNUMBER(INDEX(Charge!$F:$F,ROW()))),INDEX(Charge!$F:$F,ROW()),0)</f>
        <v>0.0</v>
      </c>
      <c r="EY408" s="169" t="str">
        <f>IF(EO408=1,SUMPRODUCT(MAX(($EN$4:$EN$503=EN408)*$EX$4:$EX$503)),"")</f>
        <v/>
      </c>
      <c r="FD408">
        <f>IF(AND(B408=1,TRIM(INDEX(Charge!$K:$K,ROW()))&lt;&gt;"",TRIM(INDEX(Charge!$L:$L,ROW()))&lt;&gt;""),1,0)</f>
        <v>0</v>
      </c>
      <c r="FE408">
        <f>IF(OR(EN408="",BZ408="(non affecté)"),0,IF(COUNTIFS($EN$4:EN408,EN408,$BZ$4:BZ408,BZ408)=1,1,0))</f>
        <v>0</v>
      </c>
      <c r="FF408" t="str">
        <f>IF(B408=1,LEFT(SUBSTITUTE(SUBSTITUTE(SUBSTITUTE(TRIM(SUBSTITUTE(INDEX(Charge!$B:$B,ROW()),CHAR(160)," "))&amp;" | "&amp;TRIM(SUBSTITUTE(INDEX(Charge!$C:$C,ROW()),CHAR(160)," "))&amp;" | "&amp;TRIM(SUBSTITUTE(INDEX(Charge!$D:$D,ROW()),CHAR(160)," ")),"~","-"),"*","+"),"?","!"),240),"")</f>
        <v/>
      </c>
      <c r="FG408">
        <f>IF(B408=1,MAX(0,N(INDEX(Charge!$M:$M,ROW()))),0)</f>
        <v>0</v>
      </c>
      <c r="FH408" s="170" t="str">
        <f>IF(EO408=1,ROUND(SUMIF($FF$4:$FF$503,EN408,$FG$4:$FG$503),2),"")</f>
        <v/>
      </c>
      <c r="FI408" s="170" t="str">
        <f>IF(EO408=1,ROUND(SUMPRODUCT(($FF$4:$FF$503=EN408)*$FG$4:$FG$503*$C$4:$C$503),2),"")</f>
        <v/>
      </c>
      <c r="FJ408" s="170" t="str">
        <f>IF(EO408=1,MAX(0,ROUND(FH408-FI408,2)),"")</f>
        <v/>
      </c>
      <c r="FK408" s="174" t="str">
        <f>IF(EO408=1,IF(OR(EW408&gt;=2958465,EY408=0,EY408&lt;=EW408),"",IF(TODAY()&lt;=EW408,0,IF(TODAY()&gt;EY408,1,IFERROR(NETWORKDAYS(EW408,TODAY()-1,Data!$K$4:$K$203)/NETWORKDAYS(EW408,EY408,Data!$K$4:$K$203),"")))),"")</f>
        <v/>
      </c>
      <c r="FL408" t="str">
        <f>IF(EO408=1,IF(AND(EY408&gt;0,EY408&lt;TODAY(),ROUND(EU408,4)&lt;1),2,IF(FK408="",0,IF(ROUND(EU408-FK408,4)&lt;-0.15,1,0))),"")</f>
        <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9" t="str">
        <f>IF(AND(D409=1,ISNUMBER(INDEX(Charge!$N:$N,ROW()))),INDEX(Charge!$N:$N,ROW()),"")</f>
        <v/>
      </c>
      <c r="J409" s="169"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70">
        <f>IF(OR($I409="",$E409=0),0,IF(OR($J409&lt;W$3,$I409&gt;W$2),0,IF($K409=0,IF(AND($I409&gt;=W$3,$I409&lt;=W$2),$E409,0),$E409*NETWORKDAYS(MAX($I409,W$3),MIN($J409,W$2),Data!$K$4:$K$203)/$K409)))</f>
        <v>0</v>
      </c>
      <c r="X409" s="170">
        <f>IF(OR($I409="",$E409=0),0,IF(OR($J409&lt;X$3,$I409&gt;X$2),0,IF($K409=0,IF(AND($I409&gt;=X$3,$I409&lt;=X$2),$E409,0),$E409*NETWORKDAYS(MAX($I409,X$3),MIN($J409,X$2),Data!$K$4:$K$203)/$K409)))</f>
        <v>0</v>
      </c>
      <c r="Y409" s="170">
        <f>IF(OR($I409="",$E409=0),0,IF(OR($J409&lt;Y$3,$I409&gt;Y$2),0,IF($K409=0,IF(AND($I409&gt;=Y$3,$I409&lt;=Y$2),$E409,0),$E409*NETWORKDAYS(MAX($I409,Y$3),MIN($J409,Y$2),Data!$K$4:$K$203)/$K409)))</f>
        <v>0</v>
      </c>
      <c r="Z409" s="170">
        <f>IF(OR($I409="",$E409=0),0,IF(OR($J409&lt;Z$3,$I409&gt;Z$2),0,IF($K409=0,IF(AND($I409&gt;=Z$3,$I409&lt;=Z$2),$E409,0),$E409*NETWORKDAYS(MAX($I409,Z$3),MIN($J409,Z$2),Data!$K$4:$K$203)/$K409)))</f>
        <v>0</v>
      </c>
      <c r="AA409" s="170">
        <f>IF(OR($I409="",$E409=0),0,IF(OR($J409&lt;AA$3,$I409&gt;AA$2),0,IF($K409=0,IF(AND($I409&gt;=AA$3,$I409&lt;=AA$2),$E409,0),$E409*NETWORKDAYS(MAX($I409,AA$3),MIN($J409,AA$2),Data!$K$4:$K$203)/$K409)))</f>
        <v>0</v>
      </c>
      <c r="AB409" s="170">
        <f>IF(OR($I409="",$E409=0),0,IF(OR($J409&lt;AB$3,$I409&gt;AB$2),0,IF($K409=0,IF(AND($I409&gt;=AB$3,$I409&lt;=AB$2),$E409,0),$E409*NETWORKDAYS(MAX($I409,AB$3),MIN($J409,AB$2),Data!$K$4:$K$203)/$K409)))</f>
        <v>0</v>
      </c>
      <c r="AC409" s="170">
        <f>IF(OR($I409="",$E409=0),0,IF(OR($J409&lt;AC$3,$I409&gt;AC$2),0,IF($K409=0,IF(AND($I409&gt;=AC$3,$I409&lt;=AC$2),$E409,0),$E409*NETWORKDAYS(MAX($I409,AC$3),MIN($J409,AC$2),Data!$K$4:$K$203)/$K409)))</f>
        <v>0</v>
      </c>
      <c r="AD409" s="170">
        <f>IF(OR($I409="",$E409=0),0,IF(OR($J409&lt;AD$3,$I409&gt;AD$2),0,IF($K409=0,IF(AND($I409&gt;=AD$3,$I409&lt;=AD$2),$E409,0),$E409*NETWORKDAYS(MAX($I409,AD$3),MIN($J409,AD$2),Data!$K$4:$K$203)/$K409)))</f>
        <v>0</v>
      </c>
      <c r="AE409" s="170">
        <f>IF(OR($I409="",$E409=0),0,IF(OR($J409&lt;AE$3,$I409&gt;AE$2),0,IF($K409=0,IF(AND($I409&gt;=AE$3,$I409&lt;=AE$2),$E409,0),$E409*NETWORKDAYS(MAX($I409,AE$3),MIN($J409,AE$2),Data!$K$4:$K$203)/$K409)))</f>
        <v>0</v>
      </c>
      <c r="AF409" s="170">
        <f>IF(OR($I409="",$E409=0),0,IF(OR($J409&lt;AF$3,$I409&gt;AF$2),0,IF($K409=0,IF(AND($I409&gt;=AF$3,$I409&lt;=AF$2),$E409,0),$E409*NETWORKDAYS(MAX($I409,AF$3),MIN($J409,AF$2),Data!$K$4:$K$203)/$K409)))</f>
        <v>0</v>
      </c>
      <c r="AG409" s="170">
        <f>IF(OR($I409="",$E409=0),0,IF(OR($J409&lt;AG$3,$I409&gt;AG$2),0,IF($K409=0,IF(AND($I409&gt;=AG$3,$I409&lt;=AG$2),$E409,0),$E409*NETWORKDAYS(MAX($I409,AG$3),MIN($J409,AG$2),Data!$K$4:$K$203)/$K409)))</f>
        <v>0</v>
      </c>
      <c r="AH409" s="170">
        <f>IF(OR($I409="",$E409=0),0,IF(OR($J409&lt;AH$3,$I409&gt;AH$2),0,IF($K409=0,IF(AND($I409&gt;=AH$3,$I409&lt;=AH$2),$E409,0),$E409*NETWORKDAYS(MAX($I409,AH$3),MIN($J409,AH$2),Data!$K$4:$K$203)/$K409)))</f>
        <v>0</v>
      </c>
      <c r="AI409" s="170">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70"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4" t="str">
        <f>IF(EO409=1,IF(FH409&gt;0,FI409/FH409,AVERAGEIF($FF$4:$FF$503,EN409,$C$4:$C$503)),"")</f>
        <v/>
      </c>
      <c r="EV409" s="169">
        <f>IF(ISNUMBER(I409),I409,2958465)</f>
        <v>2958465.0</v>
      </c>
      <c r="EW409" s="169" t="str">
        <f>IF(EO409=1,SUMPRODUCT(MIN(($EN$4:$EN$503=EN409)*$EV$4:$EV$503+($EN$4:$EN$503&lt;&gt;EN409)*2958465)),"")</f>
        <v/>
      </c>
      <c r="EX409" s="169">
        <f>IF(AND(D409=1,ISNUMBER(INDEX(Charge!$F:$F,ROW()))),INDEX(Charge!$F:$F,ROW()),0)</f>
        <v>0.0</v>
      </c>
      <c r="EY409" s="169" t="str">
        <f>IF(EO409=1,SUMPRODUCT(MAX(($EN$4:$EN$503=EN409)*$EX$4:$EX$503)),"")</f>
        <v/>
      </c>
      <c r="FD409">
        <f>IF(AND(B409=1,TRIM(INDEX(Charge!$K:$K,ROW()))&lt;&gt;"",TRIM(INDEX(Charge!$L:$L,ROW()))&lt;&gt;""),1,0)</f>
        <v>0</v>
      </c>
      <c r="FE409">
        <f>IF(OR(EN409="",BZ409="(non affecté)"),0,IF(COUNTIFS($EN$4:EN409,EN409,$BZ$4:BZ409,BZ409)=1,1,0))</f>
        <v>0</v>
      </c>
      <c r="FF409" t="str">
        <f>IF(B409=1,LEFT(SUBSTITUTE(SUBSTITUTE(SUBSTITUTE(TRIM(SUBSTITUTE(INDEX(Charge!$B:$B,ROW()),CHAR(160)," "))&amp;" | "&amp;TRIM(SUBSTITUTE(INDEX(Charge!$C:$C,ROW()),CHAR(160)," "))&amp;" | "&amp;TRIM(SUBSTITUTE(INDEX(Charge!$D:$D,ROW()),CHAR(160)," ")),"~","-"),"*","+"),"?","!"),240),"")</f>
        <v/>
      </c>
      <c r="FG409">
        <f>IF(B409=1,MAX(0,N(INDEX(Charge!$M:$M,ROW()))),0)</f>
        <v>0</v>
      </c>
      <c r="FH409" s="170" t="str">
        <f>IF(EO409=1,ROUND(SUMIF($FF$4:$FF$503,EN409,$FG$4:$FG$503),2),"")</f>
        <v/>
      </c>
      <c r="FI409" s="170" t="str">
        <f>IF(EO409=1,ROUND(SUMPRODUCT(($FF$4:$FF$503=EN409)*$FG$4:$FG$503*$C$4:$C$503),2),"")</f>
        <v/>
      </c>
      <c r="FJ409" s="170" t="str">
        <f>IF(EO409=1,MAX(0,ROUND(FH409-FI409,2)),"")</f>
        <v/>
      </c>
      <c r="FK409" s="174" t="str">
        <f>IF(EO409=1,IF(OR(EW409&gt;=2958465,EY409=0,EY409&lt;=EW409),"",IF(TODAY()&lt;=EW409,0,IF(TODAY()&gt;EY409,1,IFERROR(NETWORKDAYS(EW409,TODAY()-1,Data!$K$4:$K$203)/NETWORKDAYS(EW409,EY409,Data!$K$4:$K$203),"")))),"")</f>
        <v/>
      </c>
      <c r="FL409" t="str">
        <f>IF(EO409=1,IF(AND(EY409&gt;0,EY409&lt;TODAY(),ROUND(EU409,4)&lt;1),2,IF(FK409="",0,IF(ROUND(EU409-FK409,4)&lt;-0.15,1,0))),"")</f>
        <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9" t="str">
        <f>IF(AND(D410=1,ISNUMBER(INDEX(Charge!$N:$N,ROW()))),INDEX(Charge!$N:$N,ROW()),"")</f>
        <v/>
      </c>
      <c r="J410" s="169"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70">
        <f>IF(OR($I410="",$E410=0),0,IF(OR($J410&lt;W$3,$I410&gt;W$2),0,IF($K410=0,IF(AND($I410&gt;=W$3,$I410&lt;=W$2),$E410,0),$E410*NETWORKDAYS(MAX($I410,W$3),MIN($J410,W$2),Data!$K$4:$K$203)/$K410)))</f>
        <v>0</v>
      </c>
      <c r="X410" s="170">
        <f>IF(OR($I410="",$E410=0),0,IF(OR($J410&lt;X$3,$I410&gt;X$2),0,IF($K410=0,IF(AND($I410&gt;=X$3,$I410&lt;=X$2),$E410,0),$E410*NETWORKDAYS(MAX($I410,X$3),MIN($J410,X$2),Data!$K$4:$K$203)/$K410)))</f>
        <v>0</v>
      </c>
      <c r="Y410" s="170">
        <f>IF(OR($I410="",$E410=0),0,IF(OR($J410&lt;Y$3,$I410&gt;Y$2),0,IF($K410=0,IF(AND($I410&gt;=Y$3,$I410&lt;=Y$2),$E410,0),$E410*NETWORKDAYS(MAX($I410,Y$3),MIN($J410,Y$2),Data!$K$4:$K$203)/$K410)))</f>
        <v>0</v>
      </c>
      <c r="Z410" s="170">
        <f>IF(OR($I410="",$E410=0),0,IF(OR($J410&lt;Z$3,$I410&gt;Z$2),0,IF($K410=0,IF(AND($I410&gt;=Z$3,$I410&lt;=Z$2),$E410,0),$E410*NETWORKDAYS(MAX($I410,Z$3),MIN($J410,Z$2),Data!$K$4:$K$203)/$K410)))</f>
        <v>0</v>
      </c>
      <c r="AA410" s="170">
        <f>IF(OR($I410="",$E410=0),0,IF(OR($J410&lt;AA$3,$I410&gt;AA$2),0,IF($K410=0,IF(AND($I410&gt;=AA$3,$I410&lt;=AA$2),$E410,0),$E410*NETWORKDAYS(MAX($I410,AA$3),MIN($J410,AA$2),Data!$K$4:$K$203)/$K410)))</f>
        <v>0</v>
      </c>
      <c r="AB410" s="170">
        <f>IF(OR($I410="",$E410=0),0,IF(OR($J410&lt;AB$3,$I410&gt;AB$2),0,IF($K410=0,IF(AND($I410&gt;=AB$3,$I410&lt;=AB$2),$E410,0),$E410*NETWORKDAYS(MAX($I410,AB$3),MIN($J410,AB$2),Data!$K$4:$K$203)/$K410)))</f>
        <v>0</v>
      </c>
      <c r="AC410" s="170">
        <f>IF(OR($I410="",$E410=0),0,IF(OR($J410&lt;AC$3,$I410&gt;AC$2),0,IF($K410=0,IF(AND($I410&gt;=AC$3,$I410&lt;=AC$2),$E410,0),$E410*NETWORKDAYS(MAX($I410,AC$3),MIN($J410,AC$2),Data!$K$4:$K$203)/$K410)))</f>
        <v>0</v>
      </c>
      <c r="AD410" s="170">
        <f>IF(OR($I410="",$E410=0),0,IF(OR($J410&lt;AD$3,$I410&gt;AD$2),0,IF($K410=0,IF(AND($I410&gt;=AD$3,$I410&lt;=AD$2),$E410,0),$E410*NETWORKDAYS(MAX($I410,AD$3),MIN($J410,AD$2),Data!$K$4:$K$203)/$K410)))</f>
        <v>0</v>
      </c>
      <c r="AE410" s="170">
        <f>IF(OR($I410="",$E410=0),0,IF(OR($J410&lt;AE$3,$I410&gt;AE$2),0,IF($K410=0,IF(AND($I410&gt;=AE$3,$I410&lt;=AE$2),$E410,0),$E410*NETWORKDAYS(MAX($I410,AE$3),MIN($J410,AE$2),Data!$K$4:$K$203)/$K410)))</f>
        <v>0</v>
      </c>
      <c r="AF410" s="170">
        <f>IF(OR($I410="",$E410=0),0,IF(OR($J410&lt;AF$3,$I410&gt;AF$2),0,IF($K410=0,IF(AND($I410&gt;=AF$3,$I410&lt;=AF$2),$E410,0),$E410*NETWORKDAYS(MAX($I410,AF$3),MIN($J410,AF$2),Data!$K$4:$K$203)/$K410)))</f>
        <v>0</v>
      </c>
      <c r="AG410" s="170">
        <f>IF(OR($I410="",$E410=0),0,IF(OR($J410&lt;AG$3,$I410&gt;AG$2),0,IF($K410=0,IF(AND($I410&gt;=AG$3,$I410&lt;=AG$2),$E410,0),$E410*NETWORKDAYS(MAX($I410,AG$3),MIN($J410,AG$2),Data!$K$4:$K$203)/$K410)))</f>
        <v>0</v>
      </c>
      <c r="AH410" s="170">
        <f>IF(OR($I410="",$E410=0),0,IF(OR($J410&lt;AH$3,$I410&gt;AH$2),0,IF($K410=0,IF(AND($I410&gt;=AH$3,$I410&lt;=AH$2),$E410,0),$E410*NETWORKDAYS(MAX($I410,AH$3),MIN($J410,AH$2),Data!$K$4:$K$203)/$K410)))</f>
        <v>0</v>
      </c>
      <c r="AI410" s="170">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70"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4" t="str">
        <f>IF(EO410=1,IF(FH410&gt;0,FI410/FH410,AVERAGEIF($FF$4:$FF$503,EN410,$C$4:$C$503)),"")</f>
        <v/>
      </c>
      <c r="EV410" s="169">
        <f>IF(ISNUMBER(I410),I410,2958465)</f>
        <v>2958465.0</v>
      </c>
      <c r="EW410" s="169" t="str">
        <f>IF(EO410=1,SUMPRODUCT(MIN(($EN$4:$EN$503=EN410)*$EV$4:$EV$503+($EN$4:$EN$503&lt;&gt;EN410)*2958465)),"")</f>
        <v/>
      </c>
      <c r="EX410" s="169">
        <f>IF(AND(D410=1,ISNUMBER(INDEX(Charge!$F:$F,ROW()))),INDEX(Charge!$F:$F,ROW()),0)</f>
        <v>0.0</v>
      </c>
      <c r="EY410" s="169" t="str">
        <f>IF(EO410=1,SUMPRODUCT(MAX(($EN$4:$EN$503=EN410)*$EX$4:$EX$503)),"")</f>
        <v/>
      </c>
      <c r="FD410">
        <f>IF(AND(B410=1,TRIM(INDEX(Charge!$K:$K,ROW()))&lt;&gt;"",TRIM(INDEX(Charge!$L:$L,ROW()))&lt;&gt;""),1,0)</f>
        <v>0</v>
      </c>
      <c r="FE410">
        <f>IF(OR(EN410="",BZ410="(non affecté)"),0,IF(COUNTIFS($EN$4:EN410,EN410,$BZ$4:BZ410,BZ410)=1,1,0))</f>
        <v>0</v>
      </c>
      <c r="FF410" t="str">
        <f>IF(B410=1,LEFT(SUBSTITUTE(SUBSTITUTE(SUBSTITUTE(TRIM(SUBSTITUTE(INDEX(Charge!$B:$B,ROW()),CHAR(160)," "))&amp;" | "&amp;TRIM(SUBSTITUTE(INDEX(Charge!$C:$C,ROW()),CHAR(160)," "))&amp;" | "&amp;TRIM(SUBSTITUTE(INDEX(Charge!$D:$D,ROW()),CHAR(160)," ")),"~","-"),"*","+"),"?","!"),240),"")</f>
        <v/>
      </c>
      <c r="FG410">
        <f>IF(B410=1,MAX(0,N(INDEX(Charge!$M:$M,ROW()))),0)</f>
        <v>0</v>
      </c>
      <c r="FH410" s="170" t="str">
        <f>IF(EO410=1,ROUND(SUMIF($FF$4:$FF$503,EN410,$FG$4:$FG$503),2),"")</f>
        <v/>
      </c>
      <c r="FI410" s="170" t="str">
        <f>IF(EO410=1,ROUND(SUMPRODUCT(($FF$4:$FF$503=EN410)*$FG$4:$FG$503*$C$4:$C$503),2),"")</f>
        <v/>
      </c>
      <c r="FJ410" s="170" t="str">
        <f>IF(EO410=1,MAX(0,ROUND(FH410-FI410,2)),"")</f>
        <v/>
      </c>
      <c r="FK410" s="174" t="str">
        <f>IF(EO410=1,IF(OR(EW410&gt;=2958465,EY410=0,EY410&lt;=EW410),"",IF(TODAY()&lt;=EW410,0,IF(TODAY()&gt;EY410,1,IFERROR(NETWORKDAYS(EW410,TODAY()-1,Data!$K$4:$K$203)/NETWORKDAYS(EW410,EY410,Data!$K$4:$K$203),"")))),"")</f>
        <v/>
      </c>
      <c r="FL410" t="str">
        <f>IF(EO410=1,IF(AND(EY410&gt;0,EY410&lt;TODAY(),ROUND(EU410,4)&lt;1),2,IF(FK410="",0,IF(ROUND(EU410-FK410,4)&lt;-0.15,1,0))),"")</f>
        <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9" t="str">
        <f>IF(AND(D411=1,ISNUMBER(INDEX(Charge!$N:$N,ROW()))),INDEX(Charge!$N:$N,ROW()),"")</f>
        <v/>
      </c>
      <c r="J411" s="169"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70">
        <f>IF(OR($I411="",$E411=0),0,IF(OR($J411&lt;W$3,$I411&gt;W$2),0,IF($K411=0,IF(AND($I411&gt;=W$3,$I411&lt;=W$2),$E411,0),$E411*NETWORKDAYS(MAX($I411,W$3),MIN($J411,W$2),Data!$K$4:$K$203)/$K411)))</f>
        <v>0</v>
      </c>
      <c r="X411" s="170">
        <f>IF(OR($I411="",$E411=0),0,IF(OR($J411&lt;X$3,$I411&gt;X$2),0,IF($K411=0,IF(AND($I411&gt;=X$3,$I411&lt;=X$2),$E411,0),$E411*NETWORKDAYS(MAX($I411,X$3),MIN($J411,X$2),Data!$K$4:$K$203)/$K411)))</f>
        <v>0</v>
      </c>
      <c r="Y411" s="170">
        <f>IF(OR($I411="",$E411=0),0,IF(OR($J411&lt;Y$3,$I411&gt;Y$2),0,IF($K411=0,IF(AND($I411&gt;=Y$3,$I411&lt;=Y$2),$E411,0),$E411*NETWORKDAYS(MAX($I411,Y$3),MIN($J411,Y$2),Data!$K$4:$K$203)/$K411)))</f>
        <v>0</v>
      </c>
      <c r="Z411" s="170">
        <f>IF(OR($I411="",$E411=0),0,IF(OR($J411&lt;Z$3,$I411&gt;Z$2),0,IF($K411=0,IF(AND($I411&gt;=Z$3,$I411&lt;=Z$2),$E411,0),$E411*NETWORKDAYS(MAX($I411,Z$3),MIN($J411,Z$2),Data!$K$4:$K$203)/$K411)))</f>
        <v>0</v>
      </c>
      <c r="AA411" s="170">
        <f>IF(OR($I411="",$E411=0),0,IF(OR($J411&lt;AA$3,$I411&gt;AA$2),0,IF($K411=0,IF(AND($I411&gt;=AA$3,$I411&lt;=AA$2),$E411,0),$E411*NETWORKDAYS(MAX($I411,AA$3),MIN($J411,AA$2),Data!$K$4:$K$203)/$K411)))</f>
        <v>0</v>
      </c>
      <c r="AB411" s="170">
        <f>IF(OR($I411="",$E411=0),0,IF(OR($J411&lt;AB$3,$I411&gt;AB$2),0,IF($K411=0,IF(AND($I411&gt;=AB$3,$I411&lt;=AB$2),$E411,0),$E411*NETWORKDAYS(MAX($I411,AB$3),MIN($J411,AB$2),Data!$K$4:$K$203)/$K411)))</f>
        <v>0</v>
      </c>
      <c r="AC411" s="170">
        <f>IF(OR($I411="",$E411=0),0,IF(OR($J411&lt;AC$3,$I411&gt;AC$2),0,IF($K411=0,IF(AND($I411&gt;=AC$3,$I411&lt;=AC$2),$E411,0),$E411*NETWORKDAYS(MAX($I411,AC$3),MIN($J411,AC$2),Data!$K$4:$K$203)/$K411)))</f>
        <v>0</v>
      </c>
      <c r="AD411" s="170">
        <f>IF(OR($I411="",$E411=0),0,IF(OR($J411&lt;AD$3,$I411&gt;AD$2),0,IF($K411=0,IF(AND($I411&gt;=AD$3,$I411&lt;=AD$2),$E411,0),$E411*NETWORKDAYS(MAX($I411,AD$3),MIN($J411,AD$2),Data!$K$4:$K$203)/$K411)))</f>
        <v>0</v>
      </c>
      <c r="AE411" s="170">
        <f>IF(OR($I411="",$E411=0),0,IF(OR($J411&lt;AE$3,$I411&gt;AE$2),0,IF($K411=0,IF(AND($I411&gt;=AE$3,$I411&lt;=AE$2),$E411,0),$E411*NETWORKDAYS(MAX($I411,AE$3),MIN($J411,AE$2),Data!$K$4:$K$203)/$K411)))</f>
        <v>0</v>
      </c>
      <c r="AF411" s="170">
        <f>IF(OR($I411="",$E411=0),0,IF(OR($J411&lt;AF$3,$I411&gt;AF$2),0,IF($K411=0,IF(AND($I411&gt;=AF$3,$I411&lt;=AF$2),$E411,0),$E411*NETWORKDAYS(MAX($I411,AF$3),MIN($J411,AF$2),Data!$K$4:$K$203)/$K411)))</f>
        <v>0</v>
      </c>
      <c r="AG411" s="170">
        <f>IF(OR($I411="",$E411=0),0,IF(OR($J411&lt;AG$3,$I411&gt;AG$2),0,IF($K411=0,IF(AND($I411&gt;=AG$3,$I411&lt;=AG$2),$E411,0),$E411*NETWORKDAYS(MAX($I411,AG$3),MIN($J411,AG$2),Data!$K$4:$K$203)/$K411)))</f>
        <v>0</v>
      </c>
      <c r="AH411" s="170">
        <f>IF(OR($I411="",$E411=0),0,IF(OR($J411&lt;AH$3,$I411&gt;AH$2),0,IF($K411=0,IF(AND($I411&gt;=AH$3,$I411&lt;=AH$2),$E411,0),$E411*NETWORKDAYS(MAX($I411,AH$3),MIN($J411,AH$2),Data!$K$4:$K$203)/$K411)))</f>
        <v>0</v>
      </c>
      <c r="AI411" s="170">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70"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4" t="str">
        <f>IF(EO411=1,IF(FH411&gt;0,FI411/FH411,AVERAGEIF($FF$4:$FF$503,EN411,$C$4:$C$503)),"")</f>
        <v/>
      </c>
      <c r="EV411" s="169">
        <f>IF(ISNUMBER(I411),I411,2958465)</f>
        <v>2958465.0</v>
      </c>
      <c r="EW411" s="169" t="str">
        <f>IF(EO411=1,SUMPRODUCT(MIN(($EN$4:$EN$503=EN411)*$EV$4:$EV$503+($EN$4:$EN$503&lt;&gt;EN411)*2958465)),"")</f>
        <v/>
      </c>
      <c r="EX411" s="169">
        <f>IF(AND(D411=1,ISNUMBER(INDEX(Charge!$F:$F,ROW()))),INDEX(Charge!$F:$F,ROW()),0)</f>
        <v>0.0</v>
      </c>
      <c r="EY411" s="169" t="str">
        <f>IF(EO411=1,SUMPRODUCT(MAX(($EN$4:$EN$503=EN411)*$EX$4:$EX$503)),"")</f>
        <v/>
      </c>
      <c r="FD411">
        <f>IF(AND(B411=1,TRIM(INDEX(Charge!$K:$K,ROW()))&lt;&gt;"",TRIM(INDEX(Charge!$L:$L,ROW()))&lt;&gt;""),1,0)</f>
        <v>0</v>
      </c>
      <c r="FE411">
        <f>IF(OR(EN411="",BZ411="(non affecté)"),0,IF(COUNTIFS($EN$4:EN411,EN411,$BZ$4:BZ411,BZ411)=1,1,0))</f>
        <v>0</v>
      </c>
      <c r="FF411" t="str">
        <f>IF(B411=1,LEFT(SUBSTITUTE(SUBSTITUTE(SUBSTITUTE(TRIM(SUBSTITUTE(INDEX(Charge!$B:$B,ROW()),CHAR(160)," "))&amp;" | "&amp;TRIM(SUBSTITUTE(INDEX(Charge!$C:$C,ROW()),CHAR(160)," "))&amp;" | "&amp;TRIM(SUBSTITUTE(INDEX(Charge!$D:$D,ROW()),CHAR(160)," ")),"~","-"),"*","+"),"?","!"),240),"")</f>
        <v/>
      </c>
      <c r="FG411">
        <f>IF(B411=1,MAX(0,N(INDEX(Charge!$M:$M,ROW()))),0)</f>
        <v>0</v>
      </c>
      <c r="FH411" s="170" t="str">
        <f>IF(EO411=1,ROUND(SUMIF($FF$4:$FF$503,EN411,$FG$4:$FG$503),2),"")</f>
        <v/>
      </c>
      <c r="FI411" s="170" t="str">
        <f>IF(EO411=1,ROUND(SUMPRODUCT(($FF$4:$FF$503=EN411)*$FG$4:$FG$503*$C$4:$C$503),2),"")</f>
        <v/>
      </c>
      <c r="FJ411" s="170" t="str">
        <f>IF(EO411=1,MAX(0,ROUND(FH411-FI411,2)),"")</f>
        <v/>
      </c>
      <c r="FK411" s="174" t="str">
        <f>IF(EO411=1,IF(OR(EW411&gt;=2958465,EY411=0,EY411&lt;=EW411),"",IF(TODAY()&lt;=EW411,0,IF(TODAY()&gt;EY411,1,IFERROR(NETWORKDAYS(EW411,TODAY()-1,Data!$K$4:$K$203)/NETWORKDAYS(EW411,EY411,Data!$K$4:$K$203),"")))),"")</f>
        <v/>
      </c>
      <c r="FL411" t="str">
        <f>IF(EO411=1,IF(AND(EY411&gt;0,EY411&lt;TODAY(),ROUND(EU411,4)&lt;1),2,IF(FK411="",0,IF(ROUND(EU411-FK411,4)&lt;-0.15,1,0))),"")</f>
        <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9" t="str">
        <f>IF(AND(D412=1,ISNUMBER(INDEX(Charge!$N:$N,ROW()))),INDEX(Charge!$N:$N,ROW()),"")</f>
        <v/>
      </c>
      <c r="J412" s="169"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70">
        <f>IF(OR($I412="",$E412=0),0,IF(OR($J412&lt;W$3,$I412&gt;W$2),0,IF($K412=0,IF(AND($I412&gt;=W$3,$I412&lt;=W$2),$E412,0),$E412*NETWORKDAYS(MAX($I412,W$3),MIN($J412,W$2),Data!$K$4:$K$203)/$K412)))</f>
        <v>0</v>
      </c>
      <c r="X412" s="170">
        <f>IF(OR($I412="",$E412=0),0,IF(OR($J412&lt;X$3,$I412&gt;X$2),0,IF($K412=0,IF(AND($I412&gt;=X$3,$I412&lt;=X$2),$E412,0),$E412*NETWORKDAYS(MAX($I412,X$3),MIN($J412,X$2),Data!$K$4:$K$203)/$K412)))</f>
        <v>0</v>
      </c>
      <c r="Y412" s="170">
        <f>IF(OR($I412="",$E412=0),0,IF(OR($J412&lt;Y$3,$I412&gt;Y$2),0,IF($K412=0,IF(AND($I412&gt;=Y$3,$I412&lt;=Y$2),$E412,0),$E412*NETWORKDAYS(MAX($I412,Y$3),MIN($J412,Y$2),Data!$K$4:$K$203)/$K412)))</f>
        <v>0</v>
      </c>
      <c r="Z412" s="170">
        <f>IF(OR($I412="",$E412=0),0,IF(OR($J412&lt;Z$3,$I412&gt;Z$2),0,IF($K412=0,IF(AND($I412&gt;=Z$3,$I412&lt;=Z$2),$E412,0),$E412*NETWORKDAYS(MAX($I412,Z$3),MIN($J412,Z$2),Data!$K$4:$K$203)/$K412)))</f>
        <v>0</v>
      </c>
      <c r="AA412" s="170">
        <f>IF(OR($I412="",$E412=0),0,IF(OR($J412&lt;AA$3,$I412&gt;AA$2),0,IF($K412=0,IF(AND($I412&gt;=AA$3,$I412&lt;=AA$2),$E412,0),$E412*NETWORKDAYS(MAX($I412,AA$3),MIN($J412,AA$2),Data!$K$4:$K$203)/$K412)))</f>
        <v>0</v>
      </c>
      <c r="AB412" s="170">
        <f>IF(OR($I412="",$E412=0),0,IF(OR($J412&lt;AB$3,$I412&gt;AB$2),0,IF($K412=0,IF(AND($I412&gt;=AB$3,$I412&lt;=AB$2),$E412,0),$E412*NETWORKDAYS(MAX($I412,AB$3),MIN($J412,AB$2),Data!$K$4:$K$203)/$K412)))</f>
        <v>0</v>
      </c>
      <c r="AC412" s="170">
        <f>IF(OR($I412="",$E412=0),0,IF(OR($J412&lt;AC$3,$I412&gt;AC$2),0,IF($K412=0,IF(AND($I412&gt;=AC$3,$I412&lt;=AC$2),$E412,0),$E412*NETWORKDAYS(MAX($I412,AC$3),MIN($J412,AC$2),Data!$K$4:$K$203)/$K412)))</f>
        <v>0</v>
      </c>
      <c r="AD412" s="170">
        <f>IF(OR($I412="",$E412=0),0,IF(OR($J412&lt;AD$3,$I412&gt;AD$2),0,IF($K412=0,IF(AND($I412&gt;=AD$3,$I412&lt;=AD$2),$E412,0),$E412*NETWORKDAYS(MAX($I412,AD$3),MIN($J412,AD$2),Data!$K$4:$K$203)/$K412)))</f>
        <v>0</v>
      </c>
      <c r="AE412" s="170">
        <f>IF(OR($I412="",$E412=0),0,IF(OR($J412&lt;AE$3,$I412&gt;AE$2),0,IF($K412=0,IF(AND($I412&gt;=AE$3,$I412&lt;=AE$2),$E412,0),$E412*NETWORKDAYS(MAX($I412,AE$3),MIN($J412,AE$2),Data!$K$4:$K$203)/$K412)))</f>
        <v>0</v>
      </c>
      <c r="AF412" s="170">
        <f>IF(OR($I412="",$E412=0),0,IF(OR($J412&lt;AF$3,$I412&gt;AF$2),0,IF($K412=0,IF(AND($I412&gt;=AF$3,$I412&lt;=AF$2),$E412,0),$E412*NETWORKDAYS(MAX($I412,AF$3),MIN($J412,AF$2),Data!$K$4:$K$203)/$K412)))</f>
        <v>0</v>
      </c>
      <c r="AG412" s="170">
        <f>IF(OR($I412="",$E412=0),0,IF(OR($J412&lt;AG$3,$I412&gt;AG$2),0,IF($K412=0,IF(AND($I412&gt;=AG$3,$I412&lt;=AG$2),$E412,0),$E412*NETWORKDAYS(MAX($I412,AG$3),MIN($J412,AG$2),Data!$K$4:$K$203)/$K412)))</f>
        <v>0</v>
      </c>
      <c r="AH412" s="170">
        <f>IF(OR($I412="",$E412=0),0,IF(OR($J412&lt;AH$3,$I412&gt;AH$2),0,IF($K412=0,IF(AND($I412&gt;=AH$3,$I412&lt;=AH$2),$E412,0),$E412*NETWORKDAYS(MAX($I412,AH$3),MIN($J412,AH$2),Data!$K$4:$K$203)/$K412)))</f>
        <v>0</v>
      </c>
      <c r="AI412" s="170">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70"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4" t="str">
        <f>IF(EO412=1,IF(FH412&gt;0,FI412/FH412,AVERAGEIF($FF$4:$FF$503,EN412,$C$4:$C$503)),"")</f>
        <v/>
      </c>
      <c r="EV412" s="169">
        <f>IF(ISNUMBER(I412),I412,2958465)</f>
        <v>2958465.0</v>
      </c>
      <c r="EW412" s="169" t="str">
        <f>IF(EO412=1,SUMPRODUCT(MIN(($EN$4:$EN$503=EN412)*$EV$4:$EV$503+($EN$4:$EN$503&lt;&gt;EN412)*2958465)),"")</f>
        <v/>
      </c>
      <c r="EX412" s="169">
        <f>IF(AND(D412=1,ISNUMBER(INDEX(Charge!$F:$F,ROW()))),INDEX(Charge!$F:$F,ROW()),0)</f>
        <v>0.0</v>
      </c>
      <c r="EY412" s="169" t="str">
        <f>IF(EO412=1,SUMPRODUCT(MAX(($EN$4:$EN$503=EN412)*$EX$4:$EX$503)),"")</f>
        <v/>
      </c>
      <c r="FD412">
        <f>IF(AND(B412=1,TRIM(INDEX(Charge!$K:$K,ROW()))&lt;&gt;"",TRIM(INDEX(Charge!$L:$L,ROW()))&lt;&gt;""),1,0)</f>
        <v>0</v>
      </c>
      <c r="FE412">
        <f>IF(OR(EN412="",BZ412="(non affecté)"),0,IF(COUNTIFS($EN$4:EN412,EN412,$BZ$4:BZ412,BZ412)=1,1,0))</f>
        <v>0</v>
      </c>
      <c r="FF412" t="str">
        <f>IF(B412=1,LEFT(SUBSTITUTE(SUBSTITUTE(SUBSTITUTE(TRIM(SUBSTITUTE(INDEX(Charge!$B:$B,ROW()),CHAR(160)," "))&amp;" | "&amp;TRIM(SUBSTITUTE(INDEX(Charge!$C:$C,ROW()),CHAR(160)," "))&amp;" | "&amp;TRIM(SUBSTITUTE(INDEX(Charge!$D:$D,ROW()),CHAR(160)," ")),"~","-"),"*","+"),"?","!"),240),"")</f>
        <v/>
      </c>
      <c r="FG412">
        <f>IF(B412=1,MAX(0,N(INDEX(Charge!$M:$M,ROW()))),0)</f>
        <v>0</v>
      </c>
      <c r="FH412" s="170" t="str">
        <f>IF(EO412=1,ROUND(SUMIF($FF$4:$FF$503,EN412,$FG$4:$FG$503),2),"")</f>
        <v/>
      </c>
      <c r="FI412" s="170" t="str">
        <f>IF(EO412=1,ROUND(SUMPRODUCT(($FF$4:$FF$503=EN412)*$FG$4:$FG$503*$C$4:$C$503),2),"")</f>
        <v/>
      </c>
      <c r="FJ412" s="170" t="str">
        <f>IF(EO412=1,MAX(0,ROUND(FH412-FI412,2)),"")</f>
        <v/>
      </c>
      <c r="FK412" s="174" t="str">
        <f>IF(EO412=1,IF(OR(EW412&gt;=2958465,EY412=0,EY412&lt;=EW412),"",IF(TODAY()&lt;=EW412,0,IF(TODAY()&gt;EY412,1,IFERROR(NETWORKDAYS(EW412,TODAY()-1,Data!$K$4:$K$203)/NETWORKDAYS(EW412,EY412,Data!$K$4:$K$203),"")))),"")</f>
        <v/>
      </c>
      <c r="FL412" t="str">
        <f>IF(EO412=1,IF(AND(EY412&gt;0,EY412&lt;TODAY(),ROUND(EU412,4)&lt;1),2,IF(FK412="",0,IF(ROUND(EU412-FK412,4)&lt;-0.15,1,0))),"")</f>
        <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9" t="str">
        <f>IF(AND(D413=1,ISNUMBER(INDEX(Charge!$N:$N,ROW()))),INDEX(Charge!$N:$N,ROW()),"")</f>
        <v/>
      </c>
      <c r="J413" s="169"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70">
        <f>IF(OR($I413="",$E413=0),0,IF(OR($J413&lt;W$3,$I413&gt;W$2),0,IF($K413=0,IF(AND($I413&gt;=W$3,$I413&lt;=W$2),$E413,0),$E413*NETWORKDAYS(MAX($I413,W$3),MIN($J413,W$2),Data!$K$4:$K$203)/$K413)))</f>
        <v>0</v>
      </c>
      <c r="X413" s="170">
        <f>IF(OR($I413="",$E413=0),0,IF(OR($J413&lt;X$3,$I413&gt;X$2),0,IF($K413=0,IF(AND($I413&gt;=X$3,$I413&lt;=X$2),$E413,0),$E413*NETWORKDAYS(MAX($I413,X$3),MIN($J413,X$2),Data!$K$4:$K$203)/$K413)))</f>
        <v>0</v>
      </c>
      <c r="Y413" s="170">
        <f>IF(OR($I413="",$E413=0),0,IF(OR($J413&lt;Y$3,$I413&gt;Y$2),0,IF($K413=0,IF(AND($I413&gt;=Y$3,$I413&lt;=Y$2),$E413,0),$E413*NETWORKDAYS(MAX($I413,Y$3),MIN($J413,Y$2),Data!$K$4:$K$203)/$K413)))</f>
        <v>0</v>
      </c>
      <c r="Z413" s="170">
        <f>IF(OR($I413="",$E413=0),0,IF(OR($J413&lt;Z$3,$I413&gt;Z$2),0,IF($K413=0,IF(AND($I413&gt;=Z$3,$I413&lt;=Z$2),$E413,0),$E413*NETWORKDAYS(MAX($I413,Z$3),MIN($J413,Z$2),Data!$K$4:$K$203)/$K413)))</f>
        <v>0</v>
      </c>
      <c r="AA413" s="170">
        <f>IF(OR($I413="",$E413=0),0,IF(OR($J413&lt;AA$3,$I413&gt;AA$2),0,IF($K413=0,IF(AND($I413&gt;=AA$3,$I413&lt;=AA$2),$E413,0),$E413*NETWORKDAYS(MAX($I413,AA$3),MIN($J413,AA$2),Data!$K$4:$K$203)/$K413)))</f>
        <v>0</v>
      </c>
      <c r="AB413" s="170">
        <f>IF(OR($I413="",$E413=0),0,IF(OR($J413&lt;AB$3,$I413&gt;AB$2),0,IF($K413=0,IF(AND($I413&gt;=AB$3,$I413&lt;=AB$2),$E413,0),$E413*NETWORKDAYS(MAX($I413,AB$3),MIN($J413,AB$2),Data!$K$4:$K$203)/$K413)))</f>
        <v>0</v>
      </c>
      <c r="AC413" s="170">
        <f>IF(OR($I413="",$E413=0),0,IF(OR($J413&lt;AC$3,$I413&gt;AC$2),0,IF($K413=0,IF(AND($I413&gt;=AC$3,$I413&lt;=AC$2),$E413,0),$E413*NETWORKDAYS(MAX($I413,AC$3),MIN($J413,AC$2),Data!$K$4:$K$203)/$K413)))</f>
        <v>0</v>
      </c>
      <c r="AD413" s="170">
        <f>IF(OR($I413="",$E413=0),0,IF(OR($J413&lt;AD$3,$I413&gt;AD$2),0,IF($K413=0,IF(AND($I413&gt;=AD$3,$I413&lt;=AD$2),$E413,0),$E413*NETWORKDAYS(MAX($I413,AD$3),MIN($J413,AD$2),Data!$K$4:$K$203)/$K413)))</f>
        <v>0</v>
      </c>
      <c r="AE413" s="170">
        <f>IF(OR($I413="",$E413=0),0,IF(OR($J413&lt;AE$3,$I413&gt;AE$2),0,IF($K413=0,IF(AND($I413&gt;=AE$3,$I413&lt;=AE$2),$E413,0),$E413*NETWORKDAYS(MAX($I413,AE$3),MIN($J413,AE$2),Data!$K$4:$K$203)/$K413)))</f>
        <v>0</v>
      </c>
      <c r="AF413" s="170">
        <f>IF(OR($I413="",$E413=0),0,IF(OR($J413&lt;AF$3,$I413&gt;AF$2),0,IF($K413=0,IF(AND($I413&gt;=AF$3,$I413&lt;=AF$2),$E413,0),$E413*NETWORKDAYS(MAX($I413,AF$3),MIN($J413,AF$2),Data!$K$4:$K$203)/$K413)))</f>
        <v>0</v>
      </c>
      <c r="AG413" s="170">
        <f>IF(OR($I413="",$E413=0),0,IF(OR($J413&lt;AG$3,$I413&gt;AG$2),0,IF($K413=0,IF(AND($I413&gt;=AG$3,$I413&lt;=AG$2),$E413,0),$E413*NETWORKDAYS(MAX($I413,AG$3),MIN($J413,AG$2),Data!$K$4:$K$203)/$K413)))</f>
        <v>0</v>
      </c>
      <c r="AH413" s="170">
        <f>IF(OR($I413="",$E413=0),0,IF(OR($J413&lt;AH$3,$I413&gt;AH$2),0,IF($K413=0,IF(AND($I413&gt;=AH$3,$I413&lt;=AH$2),$E413,0),$E413*NETWORKDAYS(MAX($I413,AH$3),MIN($J413,AH$2),Data!$K$4:$K$203)/$K413)))</f>
        <v>0</v>
      </c>
      <c r="AI413" s="170">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70"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4" t="str">
        <f>IF(EO413=1,IF(FH413&gt;0,FI413/FH413,AVERAGEIF($FF$4:$FF$503,EN413,$C$4:$C$503)),"")</f>
        <v/>
      </c>
      <c r="EV413" s="169">
        <f>IF(ISNUMBER(I413),I413,2958465)</f>
        <v>2958465.0</v>
      </c>
      <c r="EW413" s="169" t="str">
        <f>IF(EO413=1,SUMPRODUCT(MIN(($EN$4:$EN$503=EN413)*$EV$4:$EV$503+($EN$4:$EN$503&lt;&gt;EN413)*2958465)),"")</f>
        <v/>
      </c>
      <c r="EX413" s="169">
        <f>IF(AND(D413=1,ISNUMBER(INDEX(Charge!$F:$F,ROW()))),INDEX(Charge!$F:$F,ROW()),0)</f>
        <v>0.0</v>
      </c>
      <c r="EY413" s="169" t="str">
        <f>IF(EO413=1,SUMPRODUCT(MAX(($EN$4:$EN$503=EN413)*$EX$4:$EX$503)),"")</f>
        <v/>
      </c>
      <c r="FD413">
        <f>IF(AND(B413=1,TRIM(INDEX(Charge!$K:$K,ROW()))&lt;&gt;"",TRIM(INDEX(Charge!$L:$L,ROW()))&lt;&gt;""),1,0)</f>
        <v>0</v>
      </c>
      <c r="FE413">
        <f>IF(OR(EN413="",BZ413="(non affecté)"),0,IF(COUNTIFS($EN$4:EN413,EN413,$BZ$4:BZ413,BZ413)=1,1,0))</f>
        <v>0</v>
      </c>
      <c r="FF413" t="str">
        <f>IF(B413=1,LEFT(SUBSTITUTE(SUBSTITUTE(SUBSTITUTE(TRIM(SUBSTITUTE(INDEX(Charge!$B:$B,ROW()),CHAR(160)," "))&amp;" | "&amp;TRIM(SUBSTITUTE(INDEX(Charge!$C:$C,ROW()),CHAR(160)," "))&amp;" | "&amp;TRIM(SUBSTITUTE(INDEX(Charge!$D:$D,ROW()),CHAR(160)," ")),"~","-"),"*","+"),"?","!"),240),"")</f>
        <v/>
      </c>
      <c r="FG413">
        <f>IF(B413=1,MAX(0,N(INDEX(Charge!$M:$M,ROW()))),0)</f>
        <v>0</v>
      </c>
      <c r="FH413" s="170" t="str">
        <f>IF(EO413=1,ROUND(SUMIF($FF$4:$FF$503,EN413,$FG$4:$FG$503),2),"")</f>
        <v/>
      </c>
      <c r="FI413" s="170" t="str">
        <f>IF(EO413=1,ROUND(SUMPRODUCT(($FF$4:$FF$503=EN413)*$FG$4:$FG$503*$C$4:$C$503),2),"")</f>
        <v/>
      </c>
      <c r="FJ413" s="170" t="str">
        <f>IF(EO413=1,MAX(0,ROUND(FH413-FI413,2)),"")</f>
        <v/>
      </c>
      <c r="FK413" s="174" t="str">
        <f>IF(EO413=1,IF(OR(EW413&gt;=2958465,EY413=0,EY413&lt;=EW413),"",IF(TODAY()&lt;=EW413,0,IF(TODAY()&gt;EY413,1,IFERROR(NETWORKDAYS(EW413,TODAY()-1,Data!$K$4:$K$203)/NETWORKDAYS(EW413,EY413,Data!$K$4:$K$203),"")))),"")</f>
        <v/>
      </c>
      <c r="FL413" t="str">
        <f>IF(EO413=1,IF(AND(EY413&gt;0,EY413&lt;TODAY(),ROUND(EU413,4)&lt;1),2,IF(FK413="",0,IF(ROUND(EU413-FK413,4)&lt;-0.15,1,0))),"")</f>
        <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9" t="str">
        <f>IF(AND(D414=1,ISNUMBER(INDEX(Charge!$N:$N,ROW()))),INDEX(Charge!$N:$N,ROW()),"")</f>
        <v/>
      </c>
      <c r="J414" s="169"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70">
        <f>IF(OR($I414="",$E414=0),0,IF(OR($J414&lt;W$3,$I414&gt;W$2),0,IF($K414=0,IF(AND($I414&gt;=W$3,$I414&lt;=W$2),$E414,0),$E414*NETWORKDAYS(MAX($I414,W$3),MIN($J414,W$2),Data!$K$4:$K$203)/$K414)))</f>
        <v>0</v>
      </c>
      <c r="X414" s="170">
        <f>IF(OR($I414="",$E414=0),0,IF(OR($J414&lt;X$3,$I414&gt;X$2),0,IF($K414=0,IF(AND($I414&gt;=X$3,$I414&lt;=X$2),$E414,0),$E414*NETWORKDAYS(MAX($I414,X$3),MIN($J414,X$2),Data!$K$4:$K$203)/$K414)))</f>
        <v>0</v>
      </c>
      <c r="Y414" s="170">
        <f>IF(OR($I414="",$E414=0),0,IF(OR($J414&lt;Y$3,$I414&gt;Y$2),0,IF($K414=0,IF(AND($I414&gt;=Y$3,$I414&lt;=Y$2),$E414,0),$E414*NETWORKDAYS(MAX($I414,Y$3),MIN($J414,Y$2),Data!$K$4:$K$203)/$K414)))</f>
        <v>0</v>
      </c>
      <c r="Z414" s="170">
        <f>IF(OR($I414="",$E414=0),0,IF(OR($J414&lt;Z$3,$I414&gt;Z$2),0,IF($K414=0,IF(AND($I414&gt;=Z$3,$I414&lt;=Z$2),$E414,0),$E414*NETWORKDAYS(MAX($I414,Z$3),MIN($J414,Z$2),Data!$K$4:$K$203)/$K414)))</f>
        <v>0</v>
      </c>
      <c r="AA414" s="170">
        <f>IF(OR($I414="",$E414=0),0,IF(OR($J414&lt;AA$3,$I414&gt;AA$2),0,IF($K414=0,IF(AND($I414&gt;=AA$3,$I414&lt;=AA$2),$E414,0),$E414*NETWORKDAYS(MAX($I414,AA$3),MIN($J414,AA$2),Data!$K$4:$K$203)/$K414)))</f>
        <v>0</v>
      </c>
      <c r="AB414" s="170">
        <f>IF(OR($I414="",$E414=0),0,IF(OR($J414&lt;AB$3,$I414&gt;AB$2),0,IF($K414=0,IF(AND($I414&gt;=AB$3,$I414&lt;=AB$2),$E414,0),$E414*NETWORKDAYS(MAX($I414,AB$3),MIN($J414,AB$2),Data!$K$4:$K$203)/$K414)))</f>
        <v>0</v>
      </c>
      <c r="AC414" s="170">
        <f>IF(OR($I414="",$E414=0),0,IF(OR($J414&lt;AC$3,$I414&gt;AC$2),0,IF($K414=0,IF(AND($I414&gt;=AC$3,$I414&lt;=AC$2),$E414,0),$E414*NETWORKDAYS(MAX($I414,AC$3),MIN($J414,AC$2),Data!$K$4:$K$203)/$K414)))</f>
        <v>0</v>
      </c>
      <c r="AD414" s="170">
        <f>IF(OR($I414="",$E414=0),0,IF(OR($J414&lt;AD$3,$I414&gt;AD$2),0,IF($K414=0,IF(AND($I414&gt;=AD$3,$I414&lt;=AD$2),$E414,0),$E414*NETWORKDAYS(MAX($I414,AD$3),MIN($J414,AD$2),Data!$K$4:$K$203)/$K414)))</f>
        <v>0</v>
      </c>
      <c r="AE414" s="170">
        <f>IF(OR($I414="",$E414=0),0,IF(OR($J414&lt;AE$3,$I414&gt;AE$2),0,IF($K414=0,IF(AND($I414&gt;=AE$3,$I414&lt;=AE$2),$E414,0),$E414*NETWORKDAYS(MAX($I414,AE$3),MIN($J414,AE$2),Data!$K$4:$K$203)/$K414)))</f>
        <v>0</v>
      </c>
      <c r="AF414" s="170">
        <f>IF(OR($I414="",$E414=0),0,IF(OR($J414&lt;AF$3,$I414&gt;AF$2),0,IF($K414=0,IF(AND($I414&gt;=AF$3,$I414&lt;=AF$2),$E414,0),$E414*NETWORKDAYS(MAX($I414,AF$3),MIN($J414,AF$2),Data!$K$4:$K$203)/$K414)))</f>
        <v>0</v>
      </c>
      <c r="AG414" s="170">
        <f>IF(OR($I414="",$E414=0),0,IF(OR($J414&lt;AG$3,$I414&gt;AG$2),0,IF($K414=0,IF(AND($I414&gt;=AG$3,$I414&lt;=AG$2),$E414,0),$E414*NETWORKDAYS(MAX($I414,AG$3),MIN($J414,AG$2),Data!$K$4:$K$203)/$K414)))</f>
        <v>0</v>
      </c>
      <c r="AH414" s="170">
        <f>IF(OR($I414="",$E414=0),0,IF(OR($J414&lt;AH$3,$I414&gt;AH$2),0,IF($K414=0,IF(AND($I414&gt;=AH$3,$I414&lt;=AH$2),$E414,0),$E414*NETWORKDAYS(MAX($I414,AH$3),MIN($J414,AH$2),Data!$K$4:$K$203)/$K414)))</f>
        <v>0</v>
      </c>
      <c r="AI414" s="170">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70"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4" t="str">
        <f>IF(EO414=1,IF(FH414&gt;0,FI414/FH414,AVERAGEIF($FF$4:$FF$503,EN414,$C$4:$C$503)),"")</f>
        <v/>
      </c>
      <c r="EV414" s="169">
        <f>IF(ISNUMBER(I414),I414,2958465)</f>
        <v>2958465.0</v>
      </c>
      <c r="EW414" s="169" t="str">
        <f>IF(EO414=1,SUMPRODUCT(MIN(($EN$4:$EN$503=EN414)*$EV$4:$EV$503+($EN$4:$EN$503&lt;&gt;EN414)*2958465)),"")</f>
        <v/>
      </c>
      <c r="EX414" s="169">
        <f>IF(AND(D414=1,ISNUMBER(INDEX(Charge!$F:$F,ROW()))),INDEX(Charge!$F:$F,ROW()),0)</f>
        <v>0.0</v>
      </c>
      <c r="EY414" s="169" t="str">
        <f>IF(EO414=1,SUMPRODUCT(MAX(($EN$4:$EN$503=EN414)*$EX$4:$EX$503)),"")</f>
        <v/>
      </c>
      <c r="FD414">
        <f>IF(AND(B414=1,TRIM(INDEX(Charge!$K:$K,ROW()))&lt;&gt;"",TRIM(INDEX(Charge!$L:$L,ROW()))&lt;&gt;""),1,0)</f>
        <v>0</v>
      </c>
      <c r="FE414">
        <f>IF(OR(EN414="",BZ414="(non affecté)"),0,IF(COUNTIFS($EN$4:EN414,EN414,$BZ$4:BZ414,BZ414)=1,1,0))</f>
        <v>0</v>
      </c>
      <c r="FF414" t="str">
        <f>IF(B414=1,LEFT(SUBSTITUTE(SUBSTITUTE(SUBSTITUTE(TRIM(SUBSTITUTE(INDEX(Charge!$B:$B,ROW()),CHAR(160)," "))&amp;" | "&amp;TRIM(SUBSTITUTE(INDEX(Charge!$C:$C,ROW()),CHAR(160)," "))&amp;" | "&amp;TRIM(SUBSTITUTE(INDEX(Charge!$D:$D,ROW()),CHAR(160)," ")),"~","-"),"*","+"),"?","!"),240),"")</f>
        <v/>
      </c>
      <c r="FG414">
        <f>IF(B414=1,MAX(0,N(INDEX(Charge!$M:$M,ROW()))),0)</f>
        <v>0</v>
      </c>
      <c r="FH414" s="170" t="str">
        <f>IF(EO414=1,ROUND(SUMIF($FF$4:$FF$503,EN414,$FG$4:$FG$503),2),"")</f>
        <v/>
      </c>
      <c r="FI414" s="170" t="str">
        <f>IF(EO414=1,ROUND(SUMPRODUCT(($FF$4:$FF$503=EN414)*$FG$4:$FG$503*$C$4:$C$503),2),"")</f>
        <v/>
      </c>
      <c r="FJ414" s="170" t="str">
        <f>IF(EO414=1,MAX(0,ROUND(FH414-FI414,2)),"")</f>
        <v/>
      </c>
      <c r="FK414" s="174" t="str">
        <f>IF(EO414=1,IF(OR(EW414&gt;=2958465,EY414=0,EY414&lt;=EW414),"",IF(TODAY()&lt;=EW414,0,IF(TODAY()&gt;EY414,1,IFERROR(NETWORKDAYS(EW414,TODAY()-1,Data!$K$4:$K$203)/NETWORKDAYS(EW414,EY414,Data!$K$4:$K$203),"")))),"")</f>
        <v/>
      </c>
      <c r="FL414" t="str">
        <f>IF(EO414=1,IF(AND(EY414&gt;0,EY414&lt;TODAY(),ROUND(EU414,4)&lt;1),2,IF(FK414="",0,IF(ROUND(EU414-FK414,4)&lt;-0.15,1,0))),"")</f>
        <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9" t="str">
        <f>IF(AND(D415=1,ISNUMBER(INDEX(Charge!$N:$N,ROW()))),INDEX(Charge!$N:$N,ROW()),"")</f>
        <v/>
      </c>
      <c r="J415" s="169"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70">
        <f>IF(OR($I415="",$E415=0),0,IF(OR($J415&lt;W$3,$I415&gt;W$2),0,IF($K415=0,IF(AND($I415&gt;=W$3,$I415&lt;=W$2),$E415,0),$E415*NETWORKDAYS(MAX($I415,W$3),MIN($J415,W$2),Data!$K$4:$K$203)/$K415)))</f>
        <v>0</v>
      </c>
      <c r="X415" s="170">
        <f>IF(OR($I415="",$E415=0),0,IF(OR($J415&lt;X$3,$I415&gt;X$2),0,IF($K415=0,IF(AND($I415&gt;=X$3,$I415&lt;=X$2),$E415,0),$E415*NETWORKDAYS(MAX($I415,X$3),MIN($J415,X$2),Data!$K$4:$K$203)/$K415)))</f>
        <v>0</v>
      </c>
      <c r="Y415" s="170">
        <f>IF(OR($I415="",$E415=0),0,IF(OR($J415&lt;Y$3,$I415&gt;Y$2),0,IF($K415=0,IF(AND($I415&gt;=Y$3,$I415&lt;=Y$2),$E415,0),$E415*NETWORKDAYS(MAX($I415,Y$3),MIN($J415,Y$2),Data!$K$4:$K$203)/$K415)))</f>
        <v>0</v>
      </c>
      <c r="Z415" s="170">
        <f>IF(OR($I415="",$E415=0),0,IF(OR($J415&lt;Z$3,$I415&gt;Z$2),0,IF($K415=0,IF(AND($I415&gt;=Z$3,$I415&lt;=Z$2),$E415,0),$E415*NETWORKDAYS(MAX($I415,Z$3),MIN($J415,Z$2),Data!$K$4:$K$203)/$K415)))</f>
        <v>0</v>
      </c>
      <c r="AA415" s="170">
        <f>IF(OR($I415="",$E415=0),0,IF(OR($J415&lt;AA$3,$I415&gt;AA$2),0,IF($K415=0,IF(AND($I415&gt;=AA$3,$I415&lt;=AA$2),$E415,0),$E415*NETWORKDAYS(MAX($I415,AA$3),MIN($J415,AA$2),Data!$K$4:$K$203)/$K415)))</f>
        <v>0</v>
      </c>
      <c r="AB415" s="170">
        <f>IF(OR($I415="",$E415=0),0,IF(OR($J415&lt;AB$3,$I415&gt;AB$2),0,IF($K415=0,IF(AND($I415&gt;=AB$3,$I415&lt;=AB$2),$E415,0),$E415*NETWORKDAYS(MAX($I415,AB$3),MIN($J415,AB$2),Data!$K$4:$K$203)/$K415)))</f>
        <v>0</v>
      </c>
      <c r="AC415" s="170">
        <f>IF(OR($I415="",$E415=0),0,IF(OR($J415&lt;AC$3,$I415&gt;AC$2),0,IF($K415=0,IF(AND($I415&gt;=AC$3,$I415&lt;=AC$2),$E415,0),$E415*NETWORKDAYS(MAX($I415,AC$3),MIN($J415,AC$2),Data!$K$4:$K$203)/$K415)))</f>
        <v>0</v>
      </c>
      <c r="AD415" s="170">
        <f>IF(OR($I415="",$E415=0),0,IF(OR($J415&lt;AD$3,$I415&gt;AD$2),0,IF($K415=0,IF(AND($I415&gt;=AD$3,$I415&lt;=AD$2),$E415,0),$E415*NETWORKDAYS(MAX($I415,AD$3),MIN($J415,AD$2),Data!$K$4:$K$203)/$K415)))</f>
        <v>0</v>
      </c>
      <c r="AE415" s="170">
        <f>IF(OR($I415="",$E415=0),0,IF(OR($J415&lt;AE$3,$I415&gt;AE$2),0,IF($K415=0,IF(AND($I415&gt;=AE$3,$I415&lt;=AE$2),$E415,0),$E415*NETWORKDAYS(MAX($I415,AE$3),MIN($J415,AE$2),Data!$K$4:$K$203)/$K415)))</f>
        <v>0</v>
      </c>
      <c r="AF415" s="170">
        <f>IF(OR($I415="",$E415=0),0,IF(OR($J415&lt;AF$3,$I415&gt;AF$2),0,IF($K415=0,IF(AND($I415&gt;=AF$3,$I415&lt;=AF$2),$E415,0),$E415*NETWORKDAYS(MAX($I415,AF$3),MIN($J415,AF$2),Data!$K$4:$K$203)/$K415)))</f>
        <v>0</v>
      </c>
      <c r="AG415" s="170">
        <f>IF(OR($I415="",$E415=0),0,IF(OR($J415&lt;AG$3,$I415&gt;AG$2),0,IF($K415=0,IF(AND($I415&gt;=AG$3,$I415&lt;=AG$2),$E415,0),$E415*NETWORKDAYS(MAX($I415,AG$3),MIN($J415,AG$2),Data!$K$4:$K$203)/$K415)))</f>
        <v>0</v>
      </c>
      <c r="AH415" s="170">
        <f>IF(OR($I415="",$E415=0),0,IF(OR($J415&lt;AH$3,$I415&gt;AH$2),0,IF($K415=0,IF(AND($I415&gt;=AH$3,$I415&lt;=AH$2),$E415,0),$E415*NETWORKDAYS(MAX($I415,AH$3),MIN($J415,AH$2),Data!$K$4:$K$203)/$K415)))</f>
        <v>0</v>
      </c>
      <c r="AI415" s="170">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70"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4" t="str">
        <f>IF(EO415=1,IF(FH415&gt;0,FI415/FH415,AVERAGEIF($FF$4:$FF$503,EN415,$C$4:$C$503)),"")</f>
        <v/>
      </c>
      <c r="EV415" s="169">
        <f>IF(ISNUMBER(I415),I415,2958465)</f>
        <v>2958465.0</v>
      </c>
      <c r="EW415" s="169" t="str">
        <f>IF(EO415=1,SUMPRODUCT(MIN(($EN$4:$EN$503=EN415)*$EV$4:$EV$503+($EN$4:$EN$503&lt;&gt;EN415)*2958465)),"")</f>
        <v/>
      </c>
      <c r="EX415" s="169">
        <f>IF(AND(D415=1,ISNUMBER(INDEX(Charge!$F:$F,ROW()))),INDEX(Charge!$F:$F,ROW()),0)</f>
        <v>0.0</v>
      </c>
      <c r="EY415" s="169" t="str">
        <f>IF(EO415=1,SUMPRODUCT(MAX(($EN$4:$EN$503=EN415)*$EX$4:$EX$503)),"")</f>
        <v/>
      </c>
      <c r="FD415">
        <f>IF(AND(B415=1,TRIM(INDEX(Charge!$K:$K,ROW()))&lt;&gt;"",TRIM(INDEX(Charge!$L:$L,ROW()))&lt;&gt;""),1,0)</f>
        <v>0</v>
      </c>
      <c r="FE415">
        <f>IF(OR(EN415="",BZ415="(non affecté)"),0,IF(COUNTIFS($EN$4:EN415,EN415,$BZ$4:BZ415,BZ415)=1,1,0))</f>
        <v>0</v>
      </c>
      <c r="FF415" t="str">
        <f>IF(B415=1,LEFT(SUBSTITUTE(SUBSTITUTE(SUBSTITUTE(TRIM(SUBSTITUTE(INDEX(Charge!$B:$B,ROW()),CHAR(160)," "))&amp;" | "&amp;TRIM(SUBSTITUTE(INDEX(Charge!$C:$C,ROW()),CHAR(160)," "))&amp;" | "&amp;TRIM(SUBSTITUTE(INDEX(Charge!$D:$D,ROW()),CHAR(160)," ")),"~","-"),"*","+"),"?","!"),240),"")</f>
        <v/>
      </c>
      <c r="FG415">
        <f>IF(B415=1,MAX(0,N(INDEX(Charge!$M:$M,ROW()))),0)</f>
        <v>0</v>
      </c>
      <c r="FH415" s="170" t="str">
        <f>IF(EO415=1,ROUND(SUMIF($FF$4:$FF$503,EN415,$FG$4:$FG$503),2),"")</f>
        <v/>
      </c>
      <c r="FI415" s="170" t="str">
        <f>IF(EO415=1,ROUND(SUMPRODUCT(($FF$4:$FF$503=EN415)*$FG$4:$FG$503*$C$4:$C$503),2),"")</f>
        <v/>
      </c>
      <c r="FJ415" s="170" t="str">
        <f>IF(EO415=1,MAX(0,ROUND(FH415-FI415,2)),"")</f>
        <v/>
      </c>
      <c r="FK415" s="174" t="str">
        <f>IF(EO415=1,IF(OR(EW415&gt;=2958465,EY415=0,EY415&lt;=EW415),"",IF(TODAY()&lt;=EW415,0,IF(TODAY()&gt;EY415,1,IFERROR(NETWORKDAYS(EW415,TODAY()-1,Data!$K$4:$K$203)/NETWORKDAYS(EW415,EY415,Data!$K$4:$K$203),"")))),"")</f>
        <v/>
      </c>
      <c r="FL415" t="str">
        <f>IF(EO415=1,IF(AND(EY415&gt;0,EY415&lt;TODAY(),ROUND(EU415,4)&lt;1),2,IF(FK415="",0,IF(ROUND(EU415-FK415,4)&lt;-0.15,1,0))),"")</f>
        <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9" t="str">
        <f>IF(AND(D416=1,ISNUMBER(INDEX(Charge!$N:$N,ROW()))),INDEX(Charge!$N:$N,ROW()),"")</f>
        <v/>
      </c>
      <c r="J416" s="169"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70">
        <f>IF(OR($I416="",$E416=0),0,IF(OR($J416&lt;W$3,$I416&gt;W$2),0,IF($K416=0,IF(AND($I416&gt;=W$3,$I416&lt;=W$2),$E416,0),$E416*NETWORKDAYS(MAX($I416,W$3),MIN($J416,W$2),Data!$K$4:$K$203)/$K416)))</f>
        <v>0</v>
      </c>
      <c r="X416" s="170">
        <f>IF(OR($I416="",$E416=0),0,IF(OR($J416&lt;X$3,$I416&gt;X$2),0,IF($K416=0,IF(AND($I416&gt;=X$3,$I416&lt;=X$2),$E416,0),$E416*NETWORKDAYS(MAX($I416,X$3),MIN($J416,X$2),Data!$K$4:$K$203)/$K416)))</f>
        <v>0</v>
      </c>
      <c r="Y416" s="170">
        <f>IF(OR($I416="",$E416=0),0,IF(OR($J416&lt;Y$3,$I416&gt;Y$2),0,IF($K416=0,IF(AND($I416&gt;=Y$3,$I416&lt;=Y$2),$E416,0),$E416*NETWORKDAYS(MAX($I416,Y$3),MIN($J416,Y$2),Data!$K$4:$K$203)/$K416)))</f>
        <v>0</v>
      </c>
      <c r="Z416" s="170">
        <f>IF(OR($I416="",$E416=0),0,IF(OR($J416&lt;Z$3,$I416&gt;Z$2),0,IF($K416=0,IF(AND($I416&gt;=Z$3,$I416&lt;=Z$2),$E416,0),$E416*NETWORKDAYS(MAX($I416,Z$3),MIN($J416,Z$2),Data!$K$4:$K$203)/$K416)))</f>
        <v>0</v>
      </c>
      <c r="AA416" s="170">
        <f>IF(OR($I416="",$E416=0),0,IF(OR($J416&lt;AA$3,$I416&gt;AA$2),0,IF($K416=0,IF(AND($I416&gt;=AA$3,$I416&lt;=AA$2),$E416,0),$E416*NETWORKDAYS(MAX($I416,AA$3),MIN($J416,AA$2),Data!$K$4:$K$203)/$K416)))</f>
        <v>0</v>
      </c>
      <c r="AB416" s="170">
        <f>IF(OR($I416="",$E416=0),0,IF(OR($J416&lt;AB$3,$I416&gt;AB$2),0,IF($K416=0,IF(AND($I416&gt;=AB$3,$I416&lt;=AB$2),$E416,0),$E416*NETWORKDAYS(MAX($I416,AB$3),MIN($J416,AB$2),Data!$K$4:$K$203)/$K416)))</f>
        <v>0</v>
      </c>
      <c r="AC416" s="170">
        <f>IF(OR($I416="",$E416=0),0,IF(OR($J416&lt;AC$3,$I416&gt;AC$2),0,IF($K416=0,IF(AND($I416&gt;=AC$3,$I416&lt;=AC$2),$E416,0),$E416*NETWORKDAYS(MAX($I416,AC$3),MIN($J416,AC$2),Data!$K$4:$K$203)/$K416)))</f>
        <v>0</v>
      </c>
      <c r="AD416" s="170">
        <f>IF(OR($I416="",$E416=0),0,IF(OR($J416&lt;AD$3,$I416&gt;AD$2),0,IF($K416=0,IF(AND($I416&gt;=AD$3,$I416&lt;=AD$2),$E416,0),$E416*NETWORKDAYS(MAX($I416,AD$3),MIN($J416,AD$2),Data!$K$4:$K$203)/$K416)))</f>
        <v>0</v>
      </c>
      <c r="AE416" s="170">
        <f>IF(OR($I416="",$E416=0),0,IF(OR($J416&lt;AE$3,$I416&gt;AE$2),0,IF($K416=0,IF(AND($I416&gt;=AE$3,$I416&lt;=AE$2),$E416,0),$E416*NETWORKDAYS(MAX($I416,AE$3),MIN($J416,AE$2),Data!$K$4:$K$203)/$K416)))</f>
        <v>0</v>
      </c>
      <c r="AF416" s="170">
        <f>IF(OR($I416="",$E416=0),0,IF(OR($J416&lt;AF$3,$I416&gt;AF$2),0,IF($K416=0,IF(AND($I416&gt;=AF$3,$I416&lt;=AF$2),$E416,0),$E416*NETWORKDAYS(MAX($I416,AF$3),MIN($J416,AF$2),Data!$K$4:$K$203)/$K416)))</f>
        <v>0</v>
      </c>
      <c r="AG416" s="170">
        <f>IF(OR($I416="",$E416=0),0,IF(OR($J416&lt;AG$3,$I416&gt;AG$2),0,IF($K416=0,IF(AND($I416&gt;=AG$3,$I416&lt;=AG$2),$E416,0),$E416*NETWORKDAYS(MAX($I416,AG$3),MIN($J416,AG$2),Data!$K$4:$K$203)/$K416)))</f>
        <v>0</v>
      </c>
      <c r="AH416" s="170">
        <f>IF(OR($I416="",$E416=0),0,IF(OR($J416&lt;AH$3,$I416&gt;AH$2),0,IF($K416=0,IF(AND($I416&gt;=AH$3,$I416&lt;=AH$2),$E416,0),$E416*NETWORKDAYS(MAX($I416,AH$3),MIN($J416,AH$2),Data!$K$4:$K$203)/$K416)))</f>
        <v>0</v>
      </c>
      <c r="AI416" s="170">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70"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4" t="str">
        <f>IF(EO416=1,IF(FH416&gt;0,FI416/FH416,AVERAGEIF($FF$4:$FF$503,EN416,$C$4:$C$503)),"")</f>
        <v/>
      </c>
      <c r="EV416" s="169">
        <f>IF(ISNUMBER(I416),I416,2958465)</f>
        <v>2958465.0</v>
      </c>
      <c r="EW416" s="169" t="str">
        <f>IF(EO416=1,SUMPRODUCT(MIN(($EN$4:$EN$503=EN416)*$EV$4:$EV$503+($EN$4:$EN$503&lt;&gt;EN416)*2958465)),"")</f>
        <v/>
      </c>
      <c r="EX416" s="169">
        <f>IF(AND(D416=1,ISNUMBER(INDEX(Charge!$F:$F,ROW()))),INDEX(Charge!$F:$F,ROW()),0)</f>
        <v>0.0</v>
      </c>
      <c r="EY416" s="169" t="str">
        <f>IF(EO416=1,SUMPRODUCT(MAX(($EN$4:$EN$503=EN416)*$EX$4:$EX$503)),"")</f>
        <v/>
      </c>
      <c r="FD416">
        <f>IF(AND(B416=1,TRIM(INDEX(Charge!$K:$K,ROW()))&lt;&gt;"",TRIM(INDEX(Charge!$L:$L,ROW()))&lt;&gt;""),1,0)</f>
        <v>0</v>
      </c>
      <c r="FE416">
        <f>IF(OR(EN416="",BZ416="(non affecté)"),0,IF(COUNTIFS($EN$4:EN416,EN416,$BZ$4:BZ416,BZ416)=1,1,0))</f>
        <v>0</v>
      </c>
      <c r="FF416" t="str">
        <f>IF(B416=1,LEFT(SUBSTITUTE(SUBSTITUTE(SUBSTITUTE(TRIM(SUBSTITUTE(INDEX(Charge!$B:$B,ROW()),CHAR(160)," "))&amp;" | "&amp;TRIM(SUBSTITUTE(INDEX(Charge!$C:$C,ROW()),CHAR(160)," "))&amp;" | "&amp;TRIM(SUBSTITUTE(INDEX(Charge!$D:$D,ROW()),CHAR(160)," ")),"~","-"),"*","+"),"?","!"),240),"")</f>
        <v/>
      </c>
      <c r="FG416">
        <f>IF(B416=1,MAX(0,N(INDEX(Charge!$M:$M,ROW()))),0)</f>
        <v>0</v>
      </c>
      <c r="FH416" s="170" t="str">
        <f>IF(EO416=1,ROUND(SUMIF($FF$4:$FF$503,EN416,$FG$4:$FG$503),2),"")</f>
        <v/>
      </c>
      <c r="FI416" s="170" t="str">
        <f>IF(EO416=1,ROUND(SUMPRODUCT(($FF$4:$FF$503=EN416)*$FG$4:$FG$503*$C$4:$C$503),2),"")</f>
        <v/>
      </c>
      <c r="FJ416" s="170" t="str">
        <f>IF(EO416=1,MAX(0,ROUND(FH416-FI416,2)),"")</f>
        <v/>
      </c>
      <c r="FK416" s="174" t="str">
        <f>IF(EO416=1,IF(OR(EW416&gt;=2958465,EY416=0,EY416&lt;=EW416),"",IF(TODAY()&lt;=EW416,0,IF(TODAY()&gt;EY416,1,IFERROR(NETWORKDAYS(EW416,TODAY()-1,Data!$K$4:$K$203)/NETWORKDAYS(EW416,EY416,Data!$K$4:$K$203),"")))),"")</f>
        <v/>
      </c>
      <c r="FL416" t="str">
        <f>IF(EO416=1,IF(AND(EY416&gt;0,EY416&lt;TODAY(),ROUND(EU416,4)&lt;1),2,IF(FK416="",0,IF(ROUND(EU416-FK416,4)&lt;-0.15,1,0))),"")</f>
        <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9" t="str">
        <f>IF(AND(D417=1,ISNUMBER(INDEX(Charge!$N:$N,ROW()))),INDEX(Charge!$N:$N,ROW()),"")</f>
        <v/>
      </c>
      <c r="J417" s="169"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70">
        <f>IF(OR($I417="",$E417=0),0,IF(OR($J417&lt;W$3,$I417&gt;W$2),0,IF($K417=0,IF(AND($I417&gt;=W$3,$I417&lt;=W$2),$E417,0),$E417*NETWORKDAYS(MAX($I417,W$3),MIN($J417,W$2),Data!$K$4:$K$203)/$K417)))</f>
        <v>0</v>
      </c>
      <c r="X417" s="170">
        <f>IF(OR($I417="",$E417=0),0,IF(OR($J417&lt;X$3,$I417&gt;X$2),0,IF($K417=0,IF(AND($I417&gt;=X$3,$I417&lt;=X$2),$E417,0),$E417*NETWORKDAYS(MAX($I417,X$3),MIN($J417,X$2),Data!$K$4:$K$203)/$K417)))</f>
        <v>0</v>
      </c>
      <c r="Y417" s="170">
        <f>IF(OR($I417="",$E417=0),0,IF(OR($J417&lt;Y$3,$I417&gt;Y$2),0,IF($K417=0,IF(AND($I417&gt;=Y$3,$I417&lt;=Y$2),$E417,0),$E417*NETWORKDAYS(MAX($I417,Y$3),MIN($J417,Y$2),Data!$K$4:$K$203)/$K417)))</f>
        <v>0</v>
      </c>
      <c r="Z417" s="170">
        <f>IF(OR($I417="",$E417=0),0,IF(OR($J417&lt;Z$3,$I417&gt;Z$2),0,IF($K417=0,IF(AND($I417&gt;=Z$3,$I417&lt;=Z$2),$E417,0),$E417*NETWORKDAYS(MAX($I417,Z$3),MIN($J417,Z$2),Data!$K$4:$K$203)/$K417)))</f>
        <v>0</v>
      </c>
      <c r="AA417" s="170">
        <f>IF(OR($I417="",$E417=0),0,IF(OR($J417&lt;AA$3,$I417&gt;AA$2),0,IF($K417=0,IF(AND($I417&gt;=AA$3,$I417&lt;=AA$2),$E417,0),$E417*NETWORKDAYS(MAX($I417,AA$3),MIN($J417,AA$2),Data!$K$4:$K$203)/$K417)))</f>
        <v>0</v>
      </c>
      <c r="AB417" s="170">
        <f>IF(OR($I417="",$E417=0),0,IF(OR($J417&lt;AB$3,$I417&gt;AB$2),0,IF($K417=0,IF(AND($I417&gt;=AB$3,$I417&lt;=AB$2),$E417,0),$E417*NETWORKDAYS(MAX($I417,AB$3),MIN($J417,AB$2),Data!$K$4:$K$203)/$K417)))</f>
        <v>0</v>
      </c>
      <c r="AC417" s="170">
        <f>IF(OR($I417="",$E417=0),0,IF(OR($J417&lt;AC$3,$I417&gt;AC$2),0,IF($K417=0,IF(AND($I417&gt;=AC$3,$I417&lt;=AC$2),$E417,0),$E417*NETWORKDAYS(MAX($I417,AC$3),MIN($J417,AC$2),Data!$K$4:$K$203)/$K417)))</f>
        <v>0</v>
      </c>
      <c r="AD417" s="170">
        <f>IF(OR($I417="",$E417=0),0,IF(OR($J417&lt;AD$3,$I417&gt;AD$2),0,IF($K417=0,IF(AND($I417&gt;=AD$3,$I417&lt;=AD$2),$E417,0),$E417*NETWORKDAYS(MAX($I417,AD$3),MIN($J417,AD$2),Data!$K$4:$K$203)/$K417)))</f>
        <v>0</v>
      </c>
      <c r="AE417" s="170">
        <f>IF(OR($I417="",$E417=0),0,IF(OR($J417&lt;AE$3,$I417&gt;AE$2),0,IF($K417=0,IF(AND($I417&gt;=AE$3,$I417&lt;=AE$2),$E417,0),$E417*NETWORKDAYS(MAX($I417,AE$3),MIN($J417,AE$2),Data!$K$4:$K$203)/$K417)))</f>
        <v>0</v>
      </c>
      <c r="AF417" s="170">
        <f>IF(OR($I417="",$E417=0),0,IF(OR($J417&lt;AF$3,$I417&gt;AF$2),0,IF($K417=0,IF(AND($I417&gt;=AF$3,$I417&lt;=AF$2),$E417,0),$E417*NETWORKDAYS(MAX($I417,AF$3),MIN($J417,AF$2),Data!$K$4:$K$203)/$K417)))</f>
        <v>0</v>
      </c>
      <c r="AG417" s="170">
        <f>IF(OR($I417="",$E417=0),0,IF(OR($J417&lt;AG$3,$I417&gt;AG$2),0,IF($K417=0,IF(AND($I417&gt;=AG$3,$I417&lt;=AG$2),$E417,0),$E417*NETWORKDAYS(MAX($I417,AG$3),MIN($J417,AG$2),Data!$K$4:$K$203)/$K417)))</f>
        <v>0</v>
      </c>
      <c r="AH417" s="170">
        <f>IF(OR($I417="",$E417=0),0,IF(OR($J417&lt;AH$3,$I417&gt;AH$2),0,IF($K417=0,IF(AND($I417&gt;=AH$3,$I417&lt;=AH$2),$E417,0),$E417*NETWORKDAYS(MAX($I417,AH$3),MIN($J417,AH$2),Data!$K$4:$K$203)/$K417)))</f>
        <v>0</v>
      </c>
      <c r="AI417" s="170">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70"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4" t="str">
        <f>IF(EO417=1,IF(FH417&gt;0,FI417/FH417,AVERAGEIF($FF$4:$FF$503,EN417,$C$4:$C$503)),"")</f>
        <v/>
      </c>
      <c r="EV417" s="169">
        <f>IF(ISNUMBER(I417),I417,2958465)</f>
        <v>2958465.0</v>
      </c>
      <c r="EW417" s="169" t="str">
        <f>IF(EO417=1,SUMPRODUCT(MIN(($EN$4:$EN$503=EN417)*$EV$4:$EV$503+($EN$4:$EN$503&lt;&gt;EN417)*2958465)),"")</f>
        <v/>
      </c>
      <c r="EX417" s="169">
        <f>IF(AND(D417=1,ISNUMBER(INDEX(Charge!$F:$F,ROW()))),INDEX(Charge!$F:$F,ROW()),0)</f>
        <v>0.0</v>
      </c>
      <c r="EY417" s="169" t="str">
        <f>IF(EO417=1,SUMPRODUCT(MAX(($EN$4:$EN$503=EN417)*$EX$4:$EX$503)),"")</f>
        <v/>
      </c>
      <c r="FD417">
        <f>IF(AND(B417=1,TRIM(INDEX(Charge!$K:$K,ROW()))&lt;&gt;"",TRIM(INDEX(Charge!$L:$L,ROW()))&lt;&gt;""),1,0)</f>
        <v>0</v>
      </c>
      <c r="FE417">
        <f>IF(OR(EN417="",BZ417="(non affecté)"),0,IF(COUNTIFS($EN$4:EN417,EN417,$BZ$4:BZ417,BZ417)=1,1,0))</f>
        <v>0</v>
      </c>
      <c r="FF417" t="str">
        <f>IF(B417=1,LEFT(SUBSTITUTE(SUBSTITUTE(SUBSTITUTE(TRIM(SUBSTITUTE(INDEX(Charge!$B:$B,ROW()),CHAR(160)," "))&amp;" | "&amp;TRIM(SUBSTITUTE(INDEX(Charge!$C:$C,ROW()),CHAR(160)," "))&amp;" | "&amp;TRIM(SUBSTITUTE(INDEX(Charge!$D:$D,ROW()),CHAR(160)," ")),"~","-"),"*","+"),"?","!"),240),"")</f>
        <v/>
      </c>
      <c r="FG417">
        <f>IF(B417=1,MAX(0,N(INDEX(Charge!$M:$M,ROW()))),0)</f>
        <v>0</v>
      </c>
      <c r="FH417" s="170" t="str">
        <f>IF(EO417=1,ROUND(SUMIF($FF$4:$FF$503,EN417,$FG$4:$FG$503),2),"")</f>
        <v/>
      </c>
      <c r="FI417" s="170" t="str">
        <f>IF(EO417=1,ROUND(SUMPRODUCT(($FF$4:$FF$503=EN417)*$FG$4:$FG$503*$C$4:$C$503),2),"")</f>
        <v/>
      </c>
      <c r="FJ417" s="170" t="str">
        <f>IF(EO417=1,MAX(0,ROUND(FH417-FI417,2)),"")</f>
        <v/>
      </c>
      <c r="FK417" s="174" t="str">
        <f>IF(EO417=1,IF(OR(EW417&gt;=2958465,EY417=0,EY417&lt;=EW417),"",IF(TODAY()&lt;=EW417,0,IF(TODAY()&gt;EY417,1,IFERROR(NETWORKDAYS(EW417,TODAY()-1,Data!$K$4:$K$203)/NETWORKDAYS(EW417,EY417,Data!$K$4:$K$203),"")))),"")</f>
        <v/>
      </c>
      <c r="FL417" t="str">
        <f>IF(EO417=1,IF(AND(EY417&gt;0,EY417&lt;TODAY(),ROUND(EU417,4)&lt;1),2,IF(FK417="",0,IF(ROUND(EU417-FK417,4)&lt;-0.15,1,0))),"")</f>
        <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9" t="str">
        <f>IF(AND(D418=1,ISNUMBER(INDEX(Charge!$N:$N,ROW()))),INDEX(Charge!$N:$N,ROW()),"")</f>
        <v/>
      </c>
      <c r="J418" s="169"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70">
        <f>IF(OR($I418="",$E418=0),0,IF(OR($J418&lt;W$3,$I418&gt;W$2),0,IF($K418=0,IF(AND($I418&gt;=W$3,$I418&lt;=W$2),$E418,0),$E418*NETWORKDAYS(MAX($I418,W$3),MIN($J418,W$2),Data!$K$4:$K$203)/$K418)))</f>
        <v>0</v>
      </c>
      <c r="X418" s="170">
        <f>IF(OR($I418="",$E418=0),0,IF(OR($J418&lt;X$3,$I418&gt;X$2),0,IF($K418=0,IF(AND($I418&gt;=X$3,$I418&lt;=X$2),$E418,0),$E418*NETWORKDAYS(MAX($I418,X$3),MIN($J418,X$2),Data!$K$4:$K$203)/$K418)))</f>
        <v>0</v>
      </c>
      <c r="Y418" s="170">
        <f>IF(OR($I418="",$E418=0),0,IF(OR($J418&lt;Y$3,$I418&gt;Y$2),0,IF($K418=0,IF(AND($I418&gt;=Y$3,$I418&lt;=Y$2),$E418,0),$E418*NETWORKDAYS(MAX($I418,Y$3),MIN($J418,Y$2),Data!$K$4:$K$203)/$K418)))</f>
        <v>0</v>
      </c>
      <c r="Z418" s="170">
        <f>IF(OR($I418="",$E418=0),0,IF(OR($J418&lt;Z$3,$I418&gt;Z$2),0,IF($K418=0,IF(AND($I418&gt;=Z$3,$I418&lt;=Z$2),$E418,0),$E418*NETWORKDAYS(MAX($I418,Z$3),MIN($J418,Z$2),Data!$K$4:$K$203)/$K418)))</f>
        <v>0</v>
      </c>
      <c r="AA418" s="170">
        <f>IF(OR($I418="",$E418=0),0,IF(OR($J418&lt;AA$3,$I418&gt;AA$2),0,IF($K418=0,IF(AND($I418&gt;=AA$3,$I418&lt;=AA$2),$E418,0),$E418*NETWORKDAYS(MAX($I418,AA$3),MIN($J418,AA$2),Data!$K$4:$K$203)/$K418)))</f>
        <v>0</v>
      </c>
      <c r="AB418" s="170">
        <f>IF(OR($I418="",$E418=0),0,IF(OR($J418&lt;AB$3,$I418&gt;AB$2),0,IF($K418=0,IF(AND($I418&gt;=AB$3,$I418&lt;=AB$2),$E418,0),$E418*NETWORKDAYS(MAX($I418,AB$3),MIN($J418,AB$2),Data!$K$4:$K$203)/$K418)))</f>
        <v>0</v>
      </c>
      <c r="AC418" s="170">
        <f>IF(OR($I418="",$E418=0),0,IF(OR($J418&lt;AC$3,$I418&gt;AC$2),0,IF($K418=0,IF(AND($I418&gt;=AC$3,$I418&lt;=AC$2),$E418,0),$E418*NETWORKDAYS(MAX($I418,AC$3),MIN($J418,AC$2),Data!$K$4:$K$203)/$K418)))</f>
        <v>0</v>
      </c>
      <c r="AD418" s="170">
        <f>IF(OR($I418="",$E418=0),0,IF(OR($J418&lt;AD$3,$I418&gt;AD$2),0,IF($K418=0,IF(AND($I418&gt;=AD$3,$I418&lt;=AD$2),$E418,0),$E418*NETWORKDAYS(MAX($I418,AD$3),MIN($J418,AD$2),Data!$K$4:$K$203)/$K418)))</f>
        <v>0</v>
      </c>
      <c r="AE418" s="170">
        <f>IF(OR($I418="",$E418=0),0,IF(OR($J418&lt;AE$3,$I418&gt;AE$2),0,IF($K418=0,IF(AND($I418&gt;=AE$3,$I418&lt;=AE$2),$E418,0),$E418*NETWORKDAYS(MAX($I418,AE$3),MIN($J418,AE$2),Data!$K$4:$K$203)/$K418)))</f>
        <v>0</v>
      </c>
      <c r="AF418" s="170">
        <f>IF(OR($I418="",$E418=0),0,IF(OR($J418&lt;AF$3,$I418&gt;AF$2),0,IF($K418=0,IF(AND($I418&gt;=AF$3,$I418&lt;=AF$2),$E418,0),$E418*NETWORKDAYS(MAX($I418,AF$3),MIN($J418,AF$2),Data!$K$4:$K$203)/$K418)))</f>
        <v>0</v>
      </c>
      <c r="AG418" s="170">
        <f>IF(OR($I418="",$E418=0),0,IF(OR($J418&lt;AG$3,$I418&gt;AG$2),0,IF($K418=0,IF(AND($I418&gt;=AG$3,$I418&lt;=AG$2),$E418,0),$E418*NETWORKDAYS(MAX($I418,AG$3),MIN($J418,AG$2),Data!$K$4:$K$203)/$K418)))</f>
        <v>0</v>
      </c>
      <c r="AH418" s="170">
        <f>IF(OR($I418="",$E418=0),0,IF(OR($J418&lt;AH$3,$I418&gt;AH$2),0,IF($K418=0,IF(AND($I418&gt;=AH$3,$I418&lt;=AH$2),$E418,0),$E418*NETWORKDAYS(MAX($I418,AH$3),MIN($J418,AH$2),Data!$K$4:$K$203)/$K418)))</f>
        <v>0</v>
      </c>
      <c r="AI418" s="170">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70"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4" t="str">
        <f>IF(EO418=1,IF(FH418&gt;0,FI418/FH418,AVERAGEIF($FF$4:$FF$503,EN418,$C$4:$C$503)),"")</f>
        <v/>
      </c>
      <c r="EV418" s="169">
        <f>IF(ISNUMBER(I418),I418,2958465)</f>
        <v>2958465.0</v>
      </c>
      <c r="EW418" s="169" t="str">
        <f>IF(EO418=1,SUMPRODUCT(MIN(($EN$4:$EN$503=EN418)*$EV$4:$EV$503+($EN$4:$EN$503&lt;&gt;EN418)*2958465)),"")</f>
        <v/>
      </c>
      <c r="EX418" s="169">
        <f>IF(AND(D418=1,ISNUMBER(INDEX(Charge!$F:$F,ROW()))),INDEX(Charge!$F:$F,ROW()),0)</f>
        <v>0.0</v>
      </c>
      <c r="EY418" s="169" t="str">
        <f>IF(EO418=1,SUMPRODUCT(MAX(($EN$4:$EN$503=EN418)*$EX$4:$EX$503)),"")</f>
        <v/>
      </c>
      <c r="FD418">
        <f>IF(AND(B418=1,TRIM(INDEX(Charge!$K:$K,ROW()))&lt;&gt;"",TRIM(INDEX(Charge!$L:$L,ROW()))&lt;&gt;""),1,0)</f>
        <v>0</v>
      </c>
      <c r="FE418">
        <f>IF(OR(EN418="",BZ418="(non affecté)"),0,IF(COUNTIFS($EN$4:EN418,EN418,$BZ$4:BZ418,BZ418)=1,1,0))</f>
        <v>0</v>
      </c>
      <c r="FF418" t="str">
        <f>IF(B418=1,LEFT(SUBSTITUTE(SUBSTITUTE(SUBSTITUTE(TRIM(SUBSTITUTE(INDEX(Charge!$B:$B,ROW()),CHAR(160)," "))&amp;" | "&amp;TRIM(SUBSTITUTE(INDEX(Charge!$C:$C,ROW()),CHAR(160)," "))&amp;" | "&amp;TRIM(SUBSTITUTE(INDEX(Charge!$D:$D,ROW()),CHAR(160)," ")),"~","-"),"*","+"),"?","!"),240),"")</f>
        <v/>
      </c>
      <c r="FG418">
        <f>IF(B418=1,MAX(0,N(INDEX(Charge!$M:$M,ROW()))),0)</f>
        <v>0</v>
      </c>
      <c r="FH418" s="170" t="str">
        <f>IF(EO418=1,ROUND(SUMIF($FF$4:$FF$503,EN418,$FG$4:$FG$503),2),"")</f>
        <v/>
      </c>
      <c r="FI418" s="170" t="str">
        <f>IF(EO418=1,ROUND(SUMPRODUCT(($FF$4:$FF$503=EN418)*$FG$4:$FG$503*$C$4:$C$503),2),"")</f>
        <v/>
      </c>
      <c r="FJ418" s="170" t="str">
        <f>IF(EO418=1,MAX(0,ROUND(FH418-FI418,2)),"")</f>
        <v/>
      </c>
      <c r="FK418" s="174" t="str">
        <f>IF(EO418=1,IF(OR(EW418&gt;=2958465,EY418=0,EY418&lt;=EW418),"",IF(TODAY()&lt;=EW418,0,IF(TODAY()&gt;EY418,1,IFERROR(NETWORKDAYS(EW418,TODAY()-1,Data!$K$4:$K$203)/NETWORKDAYS(EW418,EY418,Data!$K$4:$K$203),"")))),"")</f>
        <v/>
      </c>
      <c r="FL418" t="str">
        <f>IF(EO418=1,IF(AND(EY418&gt;0,EY418&lt;TODAY(),ROUND(EU418,4)&lt;1),2,IF(FK418="",0,IF(ROUND(EU418-FK418,4)&lt;-0.15,1,0))),"")</f>
        <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9" t="str">
        <f>IF(AND(D419=1,ISNUMBER(INDEX(Charge!$N:$N,ROW()))),INDEX(Charge!$N:$N,ROW()),"")</f>
        <v/>
      </c>
      <c r="J419" s="169"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70">
        <f>IF(OR($I419="",$E419=0),0,IF(OR($J419&lt;W$3,$I419&gt;W$2),0,IF($K419=0,IF(AND($I419&gt;=W$3,$I419&lt;=W$2),$E419,0),$E419*NETWORKDAYS(MAX($I419,W$3),MIN($J419,W$2),Data!$K$4:$K$203)/$K419)))</f>
        <v>0</v>
      </c>
      <c r="X419" s="170">
        <f>IF(OR($I419="",$E419=0),0,IF(OR($J419&lt;X$3,$I419&gt;X$2),0,IF($K419=0,IF(AND($I419&gt;=X$3,$I419&lt;=X$2),$E419,0),$E419*NETWORKDAYS(MAX($I419,X$3),MIN($J419,X$2),Data!$K$4:$K$203)/$K419)))</f>
        <v>0</v>
      </c>
      <c r="Y419" s="170">
        <f>IF(OR($I419="",$E419=0),0,IF(OR($J419&lt;Y$3,$I419&gt;Y$2),0,IF($K419=0,IF(AND($I419&gt;=Y$3,$I419&lt;=Y$2),$E419,0),$E419*NETWORKDAYS(MAX($I419,Y$3),MIN($J419,Y$2),Data!$K$4:$K$203)/$K419)))</f>
        <v>0</v>
      </c>
      <c r="Z419" s="170">
        <f>IF(OR($I419="",$E419=0),0,IF(OR($J419&lt;Z$3,$I419&gt;Z$2),0,IF($K419=0,IF(AND($I419&gt;=Z$3,$I419&lt;=Z$2),$E419,0),$E419*NETWORKDAYS(MAX($I419,Z$3),MIN($J419,Z$2),Data!$K$4:$K$203)/$K419)))</f>
        <v>0</v>
      </c>
      <c r="AA419" s="170">
        <f>IF(OR($I419="",$E419=0),0,IF(OR($J419&lt;AA$3,$I419&gt;AA$2),0,IF($K419=0,IF(AND($I419&gt;=AA$3,$I419&lt;=AA$2),$E419,0),$E419*NETWORKDAYS(MAX($I419,AA$3),MIN($J419,AA$2),Data!$K$4:$K$203)/$K419)))</f>
        <v>0</v>
      </c>
      <c r="AB419" s="170">
        <f>IF(OR($I419="",$E419=0),0,IF(OR($J419&lt;AB$3,$I419&gt;AB$2),0,IF($K419=0,IF(AND($I419&gt;=AB$3,$I419&lt;=AB$2),$E419,0),$E419*NETWORKDAYS(MAX($I419,AB$3),MIN($J419,AB$2),Data!$K$4:$K$203)/$K419)))</f>
        <v>0</v>
      </c>
      <c r="AC419" s="170">
        <f>IF(OR($I419="",$E419=0),0,IF(OR($J419&lt;AC$3,$I419&gt;AC$2),0,IF($K419=0,IF(AND($I419&gt;=AC$3,$I419&lt;=AC$2),$E419,0),$E419*NETWORKDAYS(MAX($I419,AC$3),MIN($J419,AC$2),Data!$K$4:$K$203)/$K419)))</f>
        <v>0</v>
      </c>
      <c r="AD419" s="170">
        <f>IF(OR($I419="",$E419=0),0,IF(OR($J419&lt;AD$3,$I419&gt;AD$2),0,IF($K419=0,IF(AND($I419&gt;=AD$3,$I419&lt;=AD$2),$E419,0),$E419*NETWORKDAYS(MAX($I419,AD$3),MIN($J419,AD$2),Data!$K$4:$K$203)/$K419)))</f>
        <v>0</v>
      </c>
      <c r="AE419" s="170">
        <f>IF(OR($I419="",$E419=0),0,IF(OR($J419&lt;AE$3,$I419&gt;AE$2),0,IF($K419=0,IF(AND($I419&gt;=AE$3,$I419&lt;=AE$2),$E419,0),$E419*NETWORKDAYS(MAX($I419,AE$3),MIN($J419,AE$2),Data!$K$4:$K$203)/$K419)))</f>
        <v>0</v>
      </c>
      <c r="AF419" s="170">
        <f>IF(OR($I419="",$E419=0),0,IF(OR($J419&lt;AF$3,$I419&gt;AF$2),0,IF($K419=0,IF(AND($I419&gt;=AF$3,$I419&lt;=AF$2),$E419,0),$E419*NETWORKDAYS(MAX($I419,AF$3),MIN($J419,AF$2),Data!$K$4:$K$203)/$K419)))</f>
        <v>0</v>
      </c>
      <c r="AG419" s="170">
        <f>IF(OR($I419="",$E419=0),0,IF(OR($J419&lt;AG$3,$I419&gt;AG$2),0,IF($K419=0,IF(AND($I419&gt;=AG$3,$I419&lt;=AG$2),$E419,0),$E419*NETWORKDAYS(MAX($I419,AG$3),MIN($J419,AG$2),Data!$K$4:$K$203)/$K419)))</f>
        <v>0</v>
      </c>
      <c r="AH419" s="170">
        <f>IF(OR($I419="",$E419=0),0,IF(OR($J419&lt;AH$3,$I419&gt;AH$2),0,IF($K419=0,IF(AND($I419&gt;=AH$3,$I419&lt;=AH$2),$E419,0),$E419*NETWORKDAYS(MAX($I419,AH$3),MIN($J419,AH$2),Data!$K$4:$K$203)/$K419)))</f>
        <v>0</v>
      </c>
      <c r="AI419" s="170">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70"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4" t="str">
        <f>IF(EO419=1,IF(FH419&gt;0,FI419/FH419,AVERAGEIF($FF$4:$FF$503,EN419,$C$4:$C$503)),"")</f>
        <v/>
      </c>
      <c r="EV419" s="169">
        <f>IF(ISNUMBER(I419),I419,2958465)</f>
        <v>2958465.0</v>
      </c>
      <c r="EW419" s="169" t="str">
        <f>IF(EO419=1,SUMPRODUCT(MIN(($EN$4:$EN$503=EN419)*$EV$4:$EV$503+($EN$4:$EN$503&lt;&gt;EN419)*2958465)),"")</f>
        <v/>
      </c>
      <c r="EX419" s="169">
        <f>IF(AND(D419=1,ISNUMBER(INDEX(Charge!$F:$F,ROW()))),INDEX(Charge!$F:$F,ROW()),0)</f>
        <v>0.0</v>
      </c>
      <c r="EY419" s="169" t="str">
        <f>IF(EO419=1,SUMPRODUCT(MAX(($EN$4:$EN$503=EN419)*$EX$4:$EX$503)),"")</f>
        <v/>
      </c>
      <c r="FD419">
        <f>IF(AND(B419=1,TRIM(INDEX(Charge!$K:$K,ROW()))&lt;&gt;"",TRIM(INDEX(Charge!$L:$L,ROW()))&lt;&gt;""),1,0)</f>
        <v>0</v>
      </c>
      <c r="FE419">
        <f>IF(OR(EN419="",BZ419="(non affecté)"),0,IF(COUNTIFS($EN$4:EN419,EN419,$BZ$4:BZ419,BZ419)=1,1,0))</f>
        <v>0</v>
      </c>
      <c r="FF419" t="str">
        <f>IF(B419=1,LEFT(SUBSTITUTE(SUBSTITUTE(SUBSTITUTE(TRIM(SUBSTITUTE(INDEX(Charge!$B:$B,ROW()),CHAR(160)," "))&amp;" | "&amp;TRIM(SUBSTITUTE(INDEX(Charge!$C:$C,ROW()),CHAR(160)," "))&amp;" | "&amp;TRIM(SUBSTITUTE(INDEX(Charge!$D:$D,ROW()),CHAR(160)," ")),"~","-"),"*","+"),"?","!"),240),"")</f>
        <v/>
      </c>
      <c r="FG419">
        <f>IF(B419=1,MAX(0,N(INDEX(Charge!$M:$M,ROW()))),0)</f>
        <v>0</v>
      </c>
      <c r="FH419" s="170" t="str">
        <f>IF(EO419=1,ROUND(SUMIF($FF$4:$FF$503,EN419,$FG$4:$FG$503),2),"")</f>
        <v/>
      </c>
      <c r="FI419" s="170" t="str">
        <f>IF(EO419=1,ROUND(SUMPRODUCT(($FF$4:$FF$503=EN419)*$FG$4:$FG$503*$C$4:$C$503),2),"")</f>
        <v/>
      </c>
      <c r="FJ419" s="170" t="str">
        <f>IF(EO419=1,MAX(0,ROUND(FH419-FI419,2)),"")</f>
        <v/>
      </c>
      <c r="FK419" s="174" t="str">
        <f>IF(EO419=1,IF(OR(EW419&gt;=2958465,EY419=0,EY419&lt;=EW419),"",IF(TODAY()&lt;=EW419,0,IF(TODAY()&gt;EY419,1,IFERROR(NETWORKDAYS(EW419,TODAY()-1,Data!$K$4:$K$203)/NETWORKDAYS(EW419,EY419,Data!$K$4:$K$203),"")))),"")</f>
        <v/>
      </c>
      <c r="FL419" t="str">
        <f>IF(EO419=1,IF(AND(EY419&gt;0,EY419&lt;TODAY(),ROUND(EU419,4)&lt;1),2,IF(FK419="",0,IF(ROUND(EU419-FK419,4)&lt;-0.15,1,0))),"")</f>
        <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9" t="str">
        <f>IF(AND(D420=1,ISNUMBER(INDEX(Charge!$N:$N,ROW()))),INDEX(Charge!$N:$N,ROW()),"")</f>
        <v/>
      </c>
      <c r="J420" s="169"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70">
        <f>IF(OR($I420="",$E420=0),0,IF(OR($J420&lt;W$3,$I420&gt;W$2),0,IF($K420=0,IF(AND($I420&gt;=W$3,$I420&lt;=W$2),$E420,0),$E420*NETWORKDAYS(MAX($I420,W$3),MIN($J420,W$2),Data!$K$4:$K$203)/$K420)))</f>
        <v>0</v>
      </c>
      <c r="X420" s="170">
        <f>IF(OR($I420="",$E420=0),0,IF(OR($J420&lt;X$3,$I420&gt;X$2),0,IF($K420=0,IF(AND($I420&gt;=X$3,$I420&lt;=X$2),$E420,0),$E420*NETWORKDAYS(MAX($I420,X$3),MIN($J420,X$2),Data!$K$4:$K$203)/$K420)))</f>
        <v>0</v>
      </c>
      <c r="Y420" s="170">
        <f>IF(OR($I420="",$E420=0),0,IF(OR($J420&lt;Y$3,$I420&gt;Y$2),0,IF($K420=0,IF(AND($I420&gt;=Y$3,$I420&lt;=Y$2),$E420,0),$E420*NETWORKDAYS(MAX($I420,Y$3),MIN($J420,Y$2),Data!$K$4:$K$203)/$K420)))</f>
        <v>0</v>
      </c>
      <c r="Z420" s="170">
        <f>IF(OR($I420="",$E420=0),0,IF(OR($J420&lt;Z$3,$I420&gt;Z$2),0,IF($K420=0,IF(AND($I420&gt;=Z$3,$I420&lt;=Z$2),$E420,0),$E420*NETWORKDAYS(MAX($I420,Z$3),MIN($J420,Z$2),Data!$K$4:$K$203)/$K420)))</f>
        <v>0</v>
      </c>
      <c r="AA420" s="170">
        <f>IF(OR($I420="",$E420=0),0,IF(OR($J420&lt;AA$3,$I420&gt;AA$2),0,IF($K420=0,IF(AND($I420&gt;=AA$3,$I420&lt;=AA$2),$E420,0),$E420*NETWORKDAYS(MAX($I420,AA$3),MIN($J420,AA$2),Data!$K$4:$K$203)/$K420)))</f>
        <v>0</v>
      </c>
      <c r="AB420" s="170">
        <f>IF(OR($I420="",$E420=0),0,IF(OR($J420&lt;AB$3,$I420&gt;AB$2),0,IF($K420=0,IF(AND($I420&gt;=AB$3,$I420&lt;=AB$2),$E420,0),$E420*NETWORKDAYS(MAX($I420,AB$3),MIN($J420,AB$2),Data!$K$4:$K$203)/$K420)))</f>
        <v>0</v>
      </c>
      <c r="AC420" s="170">
        <f>IF(OR($I420="",$E420=0),0,IF(OR($J420&lt;AC$3,$I420&gt;AC$2),0,IF($K420=0,IF(AND($I420&gt;=AC$3,$I420&lt;=AC$2),$E420,0),$E420*NETWORKDAYS(MAX($I420,AC$3),MIN($J420,AC$2),Data!$K$4:$K$203)/$K420)))</f>
        <v>0</v>
      </c>
      <c r="AD420" s="170">
        <f>IF(OR($I420="",$E420=0),0,IF(OR($J420&lt;AD$3,$I420&gt;AD$2),0,IF($K420=0,IF(AND($I420&gt;=AD$3,$I420&lt;=AD$2),$E420,0),$E420*NETWORKDAYS(MAX($I420,AD$3),MIN($J420,AD$2),Data!$K$4:$K$203)/$K420)))</f>
        <v>0</v>
      </c>
      <c r="AE420" s="170">
        <f>IF(OR($I420="",$E420=0),0,IF(OR($J420&lt;AE$3,$I420&gt;AE$2),0,IF($K420=0,IF(AND($I420&gt;=AE$3,$I420&lt;=AE$2),$E420,0),$E420*NETWORKDAYS(MAX($I420,AE$3),MIN($J420,AE$2),Data!$K$4:$K$203)/$K420)))</f>
        <v>0</v>
      </c>
      <c r="AF420" s="170">
        <f>IF(OR($I420="",$E420=0),0,IF(OR($J420&lt;AF$3,$I420&gt;AF$2),0,IF($K420=0,IF(AND($I420&gt;=AF$3,$I420&lt;=AF$2),$E420,0),$E420*NETWORKDAYS(MAX($I420,AF$3),MIN($J420,AF$2),Data!$K$4:$K$203)/$K420)))</f>
        <v>0</v>
      </c>
      <c r="AG420" s="170">
        <f>IF(OR($I420="",$E420=0),0,IF(OR($J420&lt;AG$3,$I420&gt;AG$2),0,IF($K420=0,IF(AND($I420&gt;=AG$3,$I420&lt;=AG$2),$E420,0),$E420*NETWORKDAYS(MAX($I420,AG$3),MIN($J420,AG$2),Data!$K$4:$K$203)/$K420)))</f>
        <v>0</v>
      </c>
      <c r="AH420" s="170">
        <f>IF(OR($I420="",$E420=0),0,IF(OR($J420&lt;AH$3,$I420&gt;AH$2),0,IF($K420=0,IF(AND($I420&gt;=AH$3,$I420&lt;=AH$2),$E420,0),$E420*NETWORKDAYS(MAX($I420,AH$3),MIN($J420,AH$2),Data!$K$4:$K$203)/$K420)))</f>
        <v>0</v>
      </c>
      <c r="AI420" s="170">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70"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4" t="str">
        <f>IF(EO420=1,IF(FH420&gt;0,FI420/FH420,AVERAGEIF($FF$4:$FF$503,EN420,$C$4:$C$503)),"")</f>
        <v/>
      </c>
      <c r="EV420" s="169">
        <f>IF(ISNUMBER(I420),I420,2958465)</f>
        <v>2958465.0</v>
      </c>
      <c r="EW420" s="169" t="str">
        <f>IF(EO420=1,SUMPRODUCT(MIN(($EN$4:$EN$503=EN420)*$EV$4:$EV$503+($EN$4:$EN$503&lt;&gt;EN420)*2958465)),"")</f>
        <v/>
      </c>
      <c r="EX420" s="169">
        <f>IF(AND(D420=1,ISNUMBER(INDEX(Charge!$F:$F,ROW()))),INDEX(Charge!$F:$F,ROW()),0)</f>
        <v>0.0</v>
      </c>
      <c r="EY420" s="169" t="str">
        <f>IF(EO420=1,SUMPRODUCT(MAX(($EN$4:$EN$503=EN420)*$EX$4:$EX$503)),"")</f>
        <v/>
      </c>
      <c r="FD420">
        <f>IF(AND(B420=1,TRIM(INDEX(Charge!$K:$K,ROW()))&lt;&gt;"",TRIM(INDEX(Charge!$L:$L,ROW()))&lt;&gt;""),1,0)</f>
        <v>0</v>
      </c>
      <c r="FE420">
        <f>IF(OR(EN420="",BZ420="(non affecté)"),0,IF(COUNTIFS($EN$4:EN420,EN420,$BZ$4:BZ420,BZ420)=1,1,0))</f>
        <v>0</v>
      </c>
      <c r="FF420" t="str">
        <f>IF(B420=1,LEFT(SUBSTITUTE(SUBSTITUTE(SUBSTITUTE(TRIM(SUBSTITUTE(INDEX(Charge!$B:$B,ROW()),CHAR(160)," "))&amp;" | "&amp;TRIM(SUBSTITUTE(INDEX(Charge!$C:$C,ROW()),CHAR(160)," "))&amp;" | "&amp;TRIM(SUBSTITUTE(INDEX(Charge!$D:$D,ROW()),CHAR(160)," ")),"~","-"),"*","+"),"?","!"),240),"")</f>
        <v/>
      </c>
      <c r="FG420">
        <f>IF(B420=1,MAX(0,N(INDEX(Charge!$M:$M,ROW()))),0)</f>
        <v>0</v>
      </c>
      <c r="FH420" s="170" t="str">
        <f>IF(EO420=1,ROUND(SUMIF($FF$4:$FF$503,EN420,$FG$4:$FG$503),2),"")</f>
        <v/>
      </c>
      <c r="FI420" s="170" t="str">
        <f>IF(EO420=1,ROUND(SUMPRODUCT(($FF$4:$FF$503=EN420)*$FG$4:$FG$503*$C$4:$C$503),2),"")</f>
        <v/>
      </c>
      <c r="FJ420" s="170" t="str">
        <f>IF(EO420=1,MAX(0,ROUND(FH420-FI420,2)),"")</f>
        <v/>
      </c>
      <c r="FK420" s="174" t="str">
        <f>IF(EO420=1,IF(OR(EW420&gt;=2958465,EY420=0,EY420&lt;=EW420),"",IF(TODAY()&lt;=EW420,0,IF(TODAY()&gt;EY420,1,IFERROR(NETWORKDAYS(EW420,TODAY()-1,Data!$K$4:$K$203)/NETWORKDAYS(EW420,EY420,Data!$K$4:$K$203),"")))),"")</f>
        <v/>
      </c>
      <c r="FL420" t="str">
        <f>IF(EO420=1,IF(AND(EY420&gt;0,EY420&lt;TODAY(),ROUND(EU420,4)&lt;1),2,IF(FK420="",0,IF(ROUND(EU420-FK420,4)&lt;-0.15,1,0))),"")</f>
        <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9" t="str">
        <f>IF(AND(D421=1,ISNUMBER(INDEX(Charge!$N:$N,ROW()))),INDEX(Charge!$N:$N,ROW()),"")</f>
        <v/>
      </c>
      <c r="J421" s="169"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70">
        <f>IF(OR($I421="",$E421=0),0,IF(OR($J421&lt;W$3,$I421&gt;W$2),0,IF($K421=0,IF(AND($I421&gt;=W$3,$I421&lt;=W$2),$E421,0),$E421*NETWORKDAYS(MAX($I421,W$3),MIN($J421,W$2),Data!$K$4:$K$203)/$K421)))</f>
        <v>0</v>
      </c>
      <c r="X421" s="170">
        <f>IF(OR($I421="",$E421=0),0,IF(OR($J421&lt;X$3,$I421&gt;X$2),0,IF($K421=0,IF(AND($I421&gt;=X$3,$I421&lt;=X$2),$E421,0),$E421*NETWORKDAYS(MAX($I421,X$3),MIN($J421,X$2),Data!$K$4:$K$203)/$K421)))</f>
        <v>0</v>
      </c>
      <c r="Y421" s="170">
        <f>IF(OR($I421="",$E421=0),0,IF(OR($J421&lt;Y$3,$I421&gt;Y$2),0,IF($K421=0,IF(AND($I421&gt;=Y$3,$I421&lt;=Y$2),$E421,0),$E421*NETWORKDAYS(MAX($I421,Y$3),MIN($J421,Y$2),Data!$K$4:$K$203)/$K421)))</f>
        <v>0</v>
      </c>
      <c r="Z421" s="170">
        <f>IF(OR($I421="",$E421=0),0,IF(OR($J421&lt;Z$3,$I421&gt;Z$2),0,IF($K421=0,IF(AND($I421&gt;=Z$3,$I421&lt;=Z$2),$E421,0),$E421*NETWORKDAYS(MAX($I421,Z$3),MIN($J421,Z$2),Data!$K$4:$K$203)/$K421)))</f>
        <v>0</v>
      </c>
      <c r="AA421" s="170">
        <f>IF(OR($I421="",$E421=0),0,IF(OR($J421&lt;AA$3,$I421&gt;AA$2),0,IF($K421=0,IF(AND($I421&gt;=AA$3,$I421&lt;=AA$2),$E421,0),$E421*NETWORKDAYS(MAX($I421,AA$3),MIN($J421,AA$2),Data!$K$4:$K$203)/$K421)))</f>
        <v>0</v>
      </c>
      <c r="AB421" s="170">
        <f>IF(OR($I421="",$E421=0),0,IF(OR($J421&lt;AB$3,$I421&gt;AB$2),0,IF($K421=0,IF(AND($I421&gt;=AB$3,$I421&lt;=AB$2),$E421,0),$E421*NETWORKDAYS(MAX($I421,AB$3),MIN($J421,AB$2),Data!$K$4:$K$203)/$K421)))</f>
        <v>0</v>
      </c>
      <c r="AC421" s="170">
        <f>IF(OR($I421="",$E421=0),0,IF(OR($J421&lt;AC$3,$I421&gt;AC$2),0,IF($K421=0,IF(AND($I421&gt;=AC$3,$I421&lt;=AC$2),$E421,0),$E421*NETWORKDAYS(MAX($I421,AC$3),MIN($J421,AC$2),Data!$K$4:$K$203)/$K421)))</f>
        <v>0</v>
      </c>
      <c r="AD421" s="170">
        <f>IF(OR($I421="",$E421=0),0,IF(OR($J421&lt;AD$3,$I421&gt;AD$2),0,IF($K421=0,IF(AND($I421&gt;=AD$3,$I421&lt;=AD$2),$E421,0),$E421*NETWORKDAYS(MAX($I421,AD$3),MIN($J421,AD$2),Data!$K$4:$K$203)/$K421)))</f>
        <v>0</v>
      </c>
      <c r="AE421" s="170">
        <f>IF(OR($I421="",$E421=0),0,IF(OR($J421&lt;AE$3,$I421&gt;AE$2),0,IF($K421=0,IF(AND($I421&gt;=AE$3,$I421&lt;=AE$2),$E421,0),$E421*NETWORKDAYS(MAX($I421,AE$3),MIN($J421,AE$2),Data!$K$4:$K$203)/$K421)))</f>
        <v>0</v>
      </c>
      <c r="AF421" s="170">
        <f>IF(OR($I421="",$E421=0),0,IF(OR($J421&lt;AF$3,$I421&gt;AF$2),0,IF($K421=0,IF(AND($I421&gt;=AF$3,$I421&lt;=AF$2),$E421,0),$E421*NETWORKDAYS(MAX($I421,AF$3),MIN($J421,AF$2),Data!$K$4:$K$203)/$K421)))</f>
        <v>0</v>
      </c>
      <c r="AG421" s="170">
        <f>IF(OR($I421="",$E421=0),0,IF(OR($J421&lt;AG$3,$I421&gt;AG$2),0,IF($K421=0,IF(AND($I421&gt;=AG$3,$I421&lt;=AG$2),$E421,0),$E421*NETWORKDAYS(MAX($I421,AG$3),MIN($J421,AG$2),Data!$K$4:$K$203)/$K421)))</f>
        <v>0</v>
      </c>
      <c r="AH421" s="170">
        <f>IF(OR($I421="",$E421=0),0,IF(OR($J421&lt;AH$3,$I421&gt;AH$2),0,IF($K421=0,IF(AND($I421&gt;=AH$3,$I421&lt;=AH$2),$E421,0),$E421*NETWORKDAYS(MAX($I421,AH$3),MIN($J421,AH$2),Data!$K$4:$K$203)/$K421)))</f>
        <v>0</v>
      </c>
      <c r="AI421" s="170">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70"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4" t="str">
        <f>IF(EO421=1,IF(FH421&gt;0,FI421/FH421,AVERAGEIF($FF$4:$FF$503,EN421,$C$4:$C$503)),"")</f>
        <v/>
      </c>
      <c r="EV421" s="169">
        <f>IF(ISNUMBER(I421),I421,2958465)</f>
        <v>2958465.0</v>
      </c>
      <c r="EW421" s="169" t="str">
        <f>IF(EO421=1,SUMPRODUCT(MIN(($EN$4:$EN$503=EN421)*$EV$4:$EV$503+($EN$4:$EN$503&lt;&gt;EN421)*2958465)),"")</f>
        <v/>
      </c>
      <c r="EX421" s="169">
        <f>IF(AND(D421=1,ISNUMBER(INDEX(Charge!$F:$F,ROW()))),INDEX(Charge!$F:$F,ROW()),0)</f>
        <v>0.0</v>
      </c>
      <c r="EY421" s="169" t="str">
        <f>IF(EO421=1,SUMPRODUCT(MAX(($EN$4:$EN$503=EN421)*$EX$4:$EX$503)),"")</f>
        <v/>
      </c>
      <c r="FD421">
        <f>IF(AND(B421=1,TRIM(INDEX(Charge!$K:$K,ROW()))&lt;&gt;"",TRIM(INDEX(Charge!$L:$L,ROW()))&lt;&gt;""),1,0)</f>
        <v>0</v>
      </c>
      <c r="FE421">
        <f>IF(OR(EN421="",BZ421="(non affecté)"),0,IF(COUNTIFS($EN$4:EN421,EN421,$BZ$4:BZ421,BZ421)=1,1,0))</f>
        <v>0</v>
      </c>
      <c r="FF421" t="str">
        <f>IF(B421=1,LEFT(SUBSTITUTE(SUBSTITUTE(SUBSTITUTE(TRIM(SUBSTITUTE(INDEX(Charge!$B:$B,ROW()),CHAR(160)," "))&amp;" | "&amp;TRIM(SUBSTITUTE(INDEX(Charge!$C:$C,ROW()),CHAR(160)," "))&amp;" | "&amp;TRIM(SUBSTITUTE(INDEX(Charge!$D:$D,ROW()),CHAR(160)," ")),"~","-"),"*","+"),"?","!"),240),"")</f>
        <v/>
      </c>
      <c r="FG421">
        <f>IF(B421=1,MAX(0,N(INDEX(Charge!$M:$M,ROW()))),0)</f>
        <v>0</v>
      </c>
      <c r="FH421" s="170" t="str">
        <f>IF(EO421=1,ROUND(SUMIF($FF$4:$FF$503,EN421,$FG$4:$FG$503),2),"")</f>
        <v/>
      </c>
      <c r="FI421" s="170" t="str">
        <f>IF(EO421=1,ROUND(SUMPRODUCT(($FF$4:$FF$503=EN421)*$FG$4:$FG$503*$C$4:$C$503),2),"")</f>
        <v/>
      </c>
      <c r="FJ421" s="170" t="str">
        <f>IF(EO421=1,MAX(0,ROUND(FH421-FI421,2)),"")</f>
        <v/>
      </c>
      <c r="FK421" s="174" t="str">
        <f>IF(EO421=1,IF(OR(EW421&gt;=2958465,EY421=0,EY421&lt;=EW421),"",IF(TODAY()&lt;=EW421,0,IF(TODAY()&gt;EY421,1,IFERROR(NETWORKDAYS(EW421,TODAY()-1,Data!$K$4:$K$203)/NETWORKDAYS(EW421,EY421,Data!$K$4:$K$203),"")))),"")</f>
        <v/>
      </c>
      <c r="FL421" t="str">
        <f>IF(EO421=1,IF(AND(EY421&gt;0,EY421&lt;TODAY(),ROUND(EU421,4)&lt;1),2,IF(FK421="",0,IF(ROUND(EU421-FK421,4)&lt;-0.15,1,0))),"")</f>
        <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9" t="str">
        <f>IF(AND(D422=1,ISNUMBER(INDEX(Charge!$N:$N,ROW()))),INDEX(Charge!$N:$N,ROW()),"")</f>
        <v/>
      </c>
      <c r="J422" s="169"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70">
        <f>IF(OR($I422="",$E422=0),0,IF(OR($J422&lt;W$3,$I422&gt;W$2),0,IF($K422=0,IF(AND($I422&gt;=W$3,$I422&lt;=W$2),$E422,0),$E422*NETWORKDAYS(MAX($I422,W$3),MIN($J422,W$2),Data!$K$4:$K$203)/$K422)))</f>
        <v>0</v>
      </c>
      <c r="X422" s="170">
        <f>IF(OR($I422="",$E422=0),0,IF(OR($J422&lt;X$3,$I422&gt;X$2),0,IF($K422=0,IF(AND($I422&gt;=X$3,$I422&lt;=X$2),$E422,0),$E422*NETWORKDAYS(MAX($I422,X$3),MIN($J422,X$2),Data!$K$4:$K$203)/$K422)))</f>
        <v>0</v>
      </c>
      <c r="Y422" s="170">
        <f>IF(OR($I422="",$E422=0),0,IF(OR($J422&lt;Y$3,$I422&gt;Y$2),0,IF($K422=0,IF(AND($I422&gt;=Y$3,$I422&lt;=Y$2),$E422,0),$E422*NETWORKDAYS(MAX($I422,Y$3),MIN($J422,Y$2),Data!$K$4:$K$203)/$K422)))</f>
        <v>0</v>
      </c>
      <c r="Z422" s="170">
        <f>IF(OR($I422="",$E422=0),0,IF(OR($J422&lt;Z$3,$I422&gt;Z$2),0,IF($K422=0,IF(AND($I422&gt;=Z$3,$I422&lt;=Z$2),$E422,0),$E422*NETWORKDAYS(MAX($I422,Z$3),MIN($J422,Z$2),Data!$K$4:$K$203)/$K422)))</f>
        <v>0</v>
      </c>
      <c r="AA422" s="170">
        <f>IF(OR($I422="",$E422=0),0,IF(OR($J422&lt;AA$3,$I422&gt;AA$2),0,IF($K422=0,IF(AND($I422&gt;=AA$3,$I422&lt;=AA$2),$E422,0),$E422*NETWORKDAYS(MAX($I422,AA$3),MIN($J422,AA$2),Data!$K$4:$K$203)/$K422)))</f>
        <v>0</v>
      </c>
      <c r="AB422" s="170">
        <f>IF(OR($I422="",$E422=0),0,IF(OR($J422&lt;AB$3,$I422&gt;AB$2),0,IF($K422=0,IF(AND($I422&gt;=AB$3,$I422&lt;=AB$2),$E422,0),$E422*NETWORKDAYS(MAX($I422,AB$3),MIN($J422,AB$2),Data!$K$4:$K$203)/$K422)))</f>
        <v>0</v>
      </c>
      <c r="AC422" s="170">
        <f>IF(OR($I422="",$E422=0),0,IF(OR($J422&lt;AC$3,$I422&gt;AC$2),0,IF($K422=0,IF(AND($I422&gt;=AC$3,$I422&lt;=AC$2),$E422,0),$E422*NETWORKDAYS(MAX($I422,AC$3),MIN($J422,AC$2),Data!$K$4:$K$203)/$K422)))</f>
        <v>0</v>
      </c>
      <c r="AD422" s="170">
        <f>IF(OR($I422="",$E422=0),0,IF(OR($J422&lt;AD$3,$I422&gt;AD$2),0,IF($K422=0,IF(AND($I422&gt;=AD$3,$I422&lt;=AD$2),$E422,0),$E422*NETWORKDAYS(MAX($I422,AD$3),MIN($J422,AD$2),Data!$K$4:$K$203)/$K422)))</f>
        <v>0</v>
      </c>
      <c r="AE422" s="170">
        <f>IF(OR($I422="",$E422=0),0,IF(OR($J422&lt;AE$3,$I422&gt;AE$2),0,IF($K422=0,IF(AND($I422&gt;=AE$3,$I422&lt;=AE$2),$E422,0),$E422*NETWORKDAYS(MAX($I422,AE$3),MIN($J422,AE$2),Data!$K$4:$K$203)/$K422)))</f>
        <v>0</v>
      </c>
      <c r="AF422" s="170">
        <f>IF(OR($I422="",$E422=0),0,IF(OR($J422&lt;AF$3,$I422&gt;AF$2),0,IF($K422=0,IF(AND($I422&gt;=AF$3,$I422&lt;=AF$2),$E422,0),$E422*NETWORKDAYS(MAX($I422,AF$3),MIN($J422,AF$2),Data!$K$4:$K$203)/$K422)))</f>
        <v>0</v>
      </c>
      <c r="AG422" s="170">
        <f>IF(OR($I422="",$E422=0),0,IF(OR($J422&lt;AG$3,$I422&gt;AG$2),0,IF($K422=0,IF(AND($I422&gt;=AG$3,$I422&lt;=AG$2),$E422,0),$E422*NETWORKDAYS(MAX($I422,AG$3),MIN($J422,AG$2),Data!$K$4:$K$203)/$K422)))</f>
        <v>0</v>
      </c>
      <c r="AH422" s="170">
        <f>IF(OR($I422="",$E422=0),0,IF(OR($J422&lt;AH$3,$I422&gt;AH$2),0,IF($K422=0,IF(AND($I422&gt;=AH$3,$I422&lt;=AH$2),$E422,0),$E422*NETWORKDAYS(MAX($I422,AH$3),MIN($J422,AH$2),Data!$K$4:$K$203)/$K422)))</f>
        <v>0</v>
      </c>
      <c r="AI422" s="170">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70"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4" t="str">
        <f>IF(EO422=1,IF(FH422&gt;0,FI422/FH422,AVERAGEIF($FF$4:$FF$503,EN422,$C$4:$C$503)),"")</f>
        <v/>
      </c>
      <c r="EV422" s="169">
        <f>IF(ISNUMBER(I422),I422,2958465)</f>
        <v>2958465.0</v>
      </c>
      <c r="EW422" s="169" t="str">
        <f>IF(EO422=1,SUMPRODUCT(MIN(($EN$4:$EN$503=EN422)*$EV$4:$EV$503+($EN$4:$EN$503&lt;&gt;EN422)*2958465)),"")</f>
        <v/>
      </c>
      <c r="EX422" s="169">
        <f>IF(AND(D422=1,ISNUMBER(INDEX(Charge!$F:$F,ROW()))),INDEX(Charge!$F:$F,ROW()),0)</f>
        <v>0.0</v>
      </c>
      <c r="EY422" s="169" t="str">
        <f>IF(EO422=1,SUMPRODUCT(MAX(($EN$4:$EN$503=EN422)*$EX$4:$EX$503)),"")</f>
        <v/>
      </c>
      <c r="FD422">
        <f>IF(AND(B422=1,TRIM(INDEX(Charge!$K:$K,ROW()))&lt;&gt;"",TRIM(INDEX(Charge!$L:$L,ROW()))&lt;&gt;""),1,0)</f>
        <v>0</v>
      </c>
      <c r="FE422">
        <f>IF(OR(EN422="",BZ422="(non affecté)"),0,IF(COUNTIFS($EN$4:EN422,EN422,$BZ$4:BZ422,BZ422)=1,1,0))</f>
        <v>0</v>
      </c>
      <c r="FF422" t="str">
        <f>IF(B422=1,LEFT(SUBSTITUTE(SUBSTITUTE(SUBSTITUTE(TRIM(SUBSTITUTE(INDEX(Charge!$B:$B,ROW()),CHAR(160)," "))&amp;" | "&amp;TRIM(SUBSTITUTE(INDEX(Charge!$C:$C,ROW()),CHAR(160)," "))&amp;" | "&amp;TRIM(SUBSTITUTE(INDEX(Charge!$D:$D,ROW()),CHAR(160)," ")),"~","-"),"*","+"),"?","!"),240),"")</f>
        <v/>
      </c>
      <c r="FG422">
        <f>IF(B422=1,MAX(0,N(INDEX(Charge!$M:$M,ROW()))),0)</f>
        <v>0</v>
      </c>
      <c r="FH422" s="170" t="str">
        <f>IF(EO422=1,ROUND(SUMIF($FF$4:$FF$503,EN422,$FG$4:$FG$503),2),"")</f>
        <v/>
      </c>
      <c r="FI422" s="170" t="str">
        <f>IF(EO422=1,ROUND(SUMPRODUCT(($FF$4:$FF$503=EN422)*$FG$4:$FG$503*$C$4:$C$503),2),"")</f>
        <v/>
      </c>
      <c r="FJ422" s="170" t="str">
        <f>IF(EO422=1,MAX(0,ROUND(FH422-FI422,2)),"")</f>
        <v/>
      </c>
      <c r="FK422" s="174" t="str">
        <f>IF(EO422=1,IF(OR(EW422&gt;=2958465,EY422=0,EY422&lt;=EW422),"",IF(TODAY()&lt;=EW422,0,IF(TODAY()&gt;EY422,1,IFERROR(NETWORKDAYS(EW422,TODAY()-1,Data!$K$4:$K$203)/NETWORKDAYS(EW422,EY422,Data!$K$4:$K$203),"")))),"")</f>
        <v/>
      </c>
      <c r="FL422" t="str">
        <f>IF(EO422=1,IF(AND(EY422&gt;0,EY422&lt;TODAY(),ROUND(EU422,4)&lt;1),2,IF(FK422="",0,IF(ROUND(EU422-FK422,4)&lt;-0.15,1,0))),"")</f>
        <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9" t="str">
        <f>IF(AND(D423=1,ISNUMBER(INDEX(Charge!$N:$N,ROW()))),INDEX(Charge!$N:$N,ROW()),"")</f>
        <v/>
      </c>
      <c r="J423" s="169"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70">
        <f>IF(OR($I423="",$E423=0),0,IF(OR($J423&lt;W$3,$I423&gt;W$2),0,IF($K423=0,IF(AND($I423&gt;=W$3,$I423&lt;=W$2),$E423,0),$E423*NETWORKDAYS(MAX($I423,W$3),MIN($J423,W$2),Data!$K$4:$K$203)/$K423)))</f>
        <v>0</v>
      </c>
      <c r="X423" s="170">
        <f>IF(OR($I423="",$E423=0),0,IF(OR($J423&lt;X$3,$I423&gt;X$2),0,IF($K423=0,IF(AND($I423&gt;=X$3,$I423&lt;=X$2),$E423,0),$E423*NETWORKDAYS(MAX($I423,X$3),MIN($J423,X$2),Data!$K$4:$K$203)/$K423)))</f>
        <v>0</v>
      </c>
      <c r="Y423" s="170">
        <f>IF(OR($I423="",$E423=0),0,IF(OR($J423&lt;Y$3,$I423&gt;Y$2),0,IF($K423=0,IF(AND($I423&gt;=Y$3,$I423&lt;=Y$2),$E423,0),$E423*NETWORKDAYS(MAX($I423,Y$3),MIN($J423,Y$2),Data!$K$4:$K$203)/$K423)))</f>
        <v>0</v>
      </c>
      <c r="Z423" s="170">
        <f>IF(OR($I423="",$E423=0),0,IF(OR($J423&lt;Z$3,$I423&gt;Z$2),0,IF($K423=0,IF(AND($I423&gt;=Z$3,$I423&lt;=Z$2),$E423,0),$E423*NETWORKDAYS(MAX($I423,Z$3),MIN($J423,Z$2),Data!$K$4:$K$203)/$K423)))</f>
        <v>0</v>
      </c>
      <c r="AA423" s="170">
        <f>IF(OR($I423="",$E423=0),0,IF(OR($J423&lt;AA$3,$I423&gt;AA$2),0,IF($K423=0,IF(AND($I423&gt;=AA$3,$I423&lt;=AA$2),$E423,0),$E423*NETWORKDAYS(MAX($I423,AA$3),MIN($J423,AA$2),Data!$K$4:$K$203)/$K423)))</f>
        <v>0</v>
      </c>
      <c r="AB423" s="170">
        <f>IF(OR($I423="",$E423=0),0,IF(OR($J423&lt;AB$3,$I423&gt;AB$2),0,IF($K423=0,IF(AND($I423&gt;=AB$3,$I423&lt;=AB$2),$E423,0),$E423*NETWORKDAYS(MAX($I423,AB$3),MIN($J423,AB$2),Data!$K$4:$K$203)/$K423)))</f>
        <v>0</v>
      </c>
      <c r="AC423" s="170">
        <f>IF(OR($I423="",$E423=0),0,IF(OR($J423&lt;AC$3,$I423&gt;AC$2),0,IF($K423=0,IF(AND($I423&gt;=AC$3,$I423&lt;=AC$2),$E423,0),$E423*NETWORKDAYS(MAX($I423,AC$3),MIN($J423,AC$2),Data!$K$4:$K$203)/$K423)))</f>
        <v>0</v>
      </c>
      <c r="AD423" s="170">
        <f>IF(OR($I423="",$E423=0),0,IF(OR($J423&lt;AD$3,$I423&gt;AD$2),0,IF($K423=0,IF(AND($I423&gt;=AD$3,$I423&lt;=AD$2),$E423,0),$E423*NETWORKDAYS(MAX($I423,AD$3),MIN($J423,AD$2),Data!$K$4:$K$203)/$K423)))</f>
        <v>0</v>
      </c>
      <c r="AE423" s="170">
        <f>IF(OR($I423="",$E423=0),0,IF(OR($J423&lt;AE$3,$I423&gt;AE$2),0,IF($K423=0,IF(AND($I423&gt;=AE$3,$I423&lt;=AE$2),$E423,0),$E423*NETWORKDAYS(MAX($I423,AE$3),MIN($J423,AE$2),Data!$K$4:$K$203)/$K423)))</f>
        <v>0</v>
      </c>
      <c r="AF423" s="170">
        <f>IF(OR($I423="",$E423=0),0,IF(OR($J423&lt;AF$3,$I423&gt;AF$2),0,IF($K423=0,IF(AND($I423&gt;=AF$3,$I423&lt;=AF$2),$E423,0),$E423*NETWORKDAYS(MAX($I423,AF$3),MIN($J423,AF$2),Data!$K$4:$K$203)/$K423)))</f>
        <v>0</v>
      </c>
      <c r="AG423" s="170">
        <f>IF(OR($I423="",$E423=0),0,IF(OR($J423&lt;AG$3,$I423&gt;AG$2),0,IF($K423=0,IF(AND($I423&gt;=AG$3,$I423&lt;=AG$2),$E423,0),$E423*NETWORKDAYS(MAX($I423,AG$3),MIN($J423,AG$2),Data!$K$4:$K$203)/$K423)))</f>
        <v>0</v>
      </c>
      <c r="AH423" s="170">
        <f>IF(OR($I423="",$E423=0),0,IF(OR($J423&lt;AH$3,$I423&gt;AH$2),0,IF($K423=0,IF(AND($I423&gt;=AH$3,$I423&lt;=AH$2),$E423,0),$E423*NETWORKDAYS(MAX($I423,AH$3),MIN($J423,AH$2),Data!$K$4:$K$203)/$K423)))</f>
        <v>0</v>
      </c>
      <c r="AI423" s="170">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70"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4" t="str">
        <f>IF(EO423=1,IF(FH423&gt;0,FI423/FH423,AVERAGEIF($FF$4:$FF$503,EN423,$C$4:$C$503)),"")</f>
        <v/>
      </c>
      <c r="EV423" s="169">
        <f>IF(ISNUMBER(I423),I423,2958465)</f>
        <v>2958465.0</v>
      </c>
      <c r="EW423" s="169" t="str">
        <f>IF(EO423=1,SUMPRODUCT(MIN(($EN$4:$EN$503=EN423)*$EV$4:$EV$503+($EN$4:$EN$503&lt;&gt;EN423)*2958465)),"")</f>
        <v/>
      </c>
      <c r="EX423" s="169">
        <f>IF(AND(D423=1,ISNUMBER(INDEX(Charge!$F:$F,ROW()))),INDEX(Charge!$F:$F,ROW()),0)</f>
        <v>0.0</v>
      </c>
      <c r="EY423" s="169" t="str">
        <f>IF(EO423=1,SUMPRODUCT(MAX(($EN$4:$EN$503=EN423)*$EX$4:$EX$503)),"")</f>
        <v/>
      </c>
      <c r="FD423">
        <f>IF(AND(B423=1,TRIM(INDEX(Charge!$K:$K,ROW()))&lt;&gt;"",TRIM(INDEX(Charge!$L:$L,ROW()))&lt;&gt;""),1,0)</f>
        <v>0</v>
      </c>
      <c r="FE423">
        <f>IF(OR(EN423="",BZ423="(non affecté)"),0,IF(COUNTIFS($EN$4:EN423,EN423,$BZ$4:BZ423,BZ423)=1,1,0))</f>
        <v>0</v>
      </c>
      <c r="FF423" t="str">
        <f>IF(B423=1,LEFT(SUBSTITUTE(SUBSTITUTE(SUBSTITUTE(TRIM(SUBSTITUTE(INDEX(Charge!$B:$B,ROW()),CHAR(160)," "))&amp;" | "&amp;TRIM(SUBSTITUTE(INDEX(Charge!$C:$C,ROW()),CHAR(160)," "))&amp;" | "&amp;TRIM(SUBSTITUTE(INDEX(Charge!$D:$D,ROW()),CHAR(160)," ")),"~","-"),"*","+"),"?","!"),240),"")</f>
        <v/>
      </c>
      <c r="FG423">
        <f>IF(B423=1,MAX(0,N(INDEX(Charge!$M:$M,ROW()))),0)</f>
        <v>0</v>
      </c>
      <c r="FH423" s="170" t="str">
        <f>IF(EO423=1,ROUND(SUMIF($FF$4:$FF$503,EN423,$FG$4:$FG$503),2),"")</f>
        <v/>
      </c>
      <c r="FI423" s="170" t="str">
        <f>IF(EO423=1,ROUND(SUMPRODUCT(($FF$4:$FF$503=EN423)*$FG$4:$FG$503*$C$4:$C$503),2),"")</f>
        <v/>
      </c>
      <c r="FJ423" s="170" t="str">
        <f>IF(EO423=1,MAX(0,ROUND(FH423-FI423,2)),"")</f>
        <v/>
      </c>
      <c r="FK423" s="174" t="str">
        <f>IF(EO423=1,IF(OR(EW423&gt;=2958465,EY423=0,EY423&lt;=EW423),"",IF(TODAY()&lt;=EW423,0,IF(TODAY()&gt;EY423,1,IFERROR(NETWORKDAYS(EW423,TODAY()-1,Data!$K$4:$K$203)/NETWORKDAYS(EW423,EY423,Data!$K$4:$K$203),"")))),"")</f>
        <v/>
      </c>
      <c r="FL423" t="str">
        <f>IF(EO423=1,IF(AND(EY423&gt;0,EY423&lt;TODAY(),ROUND(EU423,4)&lt;1),2,IF(FK423="",0,IF(ROUND(EU423-FK423,4)&lt;-0.15,1,0))),"")</f>
        <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9" t="str">
        <f>IF(AND(D424=1,ISNUMBER(INDEX(Charge!$N:$N,ROW()))),INDEX(Charge!$N:$N,ROW()),"")</f>
        <v/>
      </c>
      <c r="J424" s="169"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70">
        <f>IF(OR($I424="",$E424=0),0,IF(OR($J424&lt;W$3,$I424&gt;W$2),0,IF($K424=0,IF(AND($I424&gt;=W$3,$I424&lt;=W$2),$E424,0),$E424*NETWORKDAYS(MAX($I424,W$3),MIN($J424,W$2),Data!$K$4:$K$203)/$K424)))</f>
        <v>0</v>
      </c>
      <c r="X424" s="170">
        <f>IF(OR($I424="",$E424=0),0,IF(OR($J424&lt;X$3,$I424&gt;X$2),0,IF($K424=0,IF(AND($I424&gt;=X$3,$I424&lt;=X$2),$E424,0),$E424*NETWORKDAYS(MAX($I424,X$3),MIN($J424,X$2),Data!$K$4:$K$203)/$K424)))</f>
        <v>0</v>
      </c>
      <c r="Y424" s="170">
        <f>IF(OR($I424="",$E424=0),0,IF(OR($J424&lt;Y$3,$I424&gt;Y$2),0,IF($K424=0,IF(AND($I424&gt;=Y$3,$I424&lt;=Y$2),$E424,0),$E424*NETWORKDAYS(MAX($I424,Y$3),MIN($J424,Y$2),Data!$K$4:$K$203)/$K424)))</f>
        <v>0</v>
      </c>
      <c r="Z424" s="170">
        <f>IF(OR($I424="",$E424=0),0,IF(OR($J424&lt;Z$3,$I424&gt;Z$2),0,IF($K424=0,IF(AND($I424&gt;=Z$3,$I424&lt;=Z$2),$E424,0),$E424*NETWORKDAYS(MAX($I424,Z$3),MIN($J424,Z$2),Data!$K$4:$K$203)/$K424)))</f>
        <v>0</v>
      </c>
      <c r="AA424" s="170">
        <f>IF(OR($I424="",$E424=0),0,IF(OR($J424&lt;AA$3,$I424&gt;AA$2),0,IF($K424=0,IF(AND($I424&gt;=AA$3,$I424&lt;=AA$2),$E424,0),$E424*NETWORKDAYS(MAX($I424,AA$3),MIN($J424,AA$2),Data!$K$4:$K$203)/$K424)))</f>
        <v>0</v>
      </c>
      <c r="AB424" s="170">
        <f>IF(OR($I424="",$E424=0),0,IF(OR($J424&lt;AB$3,$I424&gt;AB$2),0,IF($K424=0,IF(AND($I424&gt;=AB$3,$I424&lt;=AB$2),$E424,0),$E424*NETWORKDAYS(MAX($I424,AB$3),MIN($J424,AB$2),Data!$K$4:$K$203)/$K424)))</f>
        <v>0</v>
      </c>
      <c r="AC424" s="170">
        <f>IF(OR($I424="",$E424=0),0,IF(OR($J424&lt;AC$3,$I424&gt;AC$2),0,IF($K424=0,IF(AND($I424&gt;=AC$3,$I424&lt;=AC$2),$E424,0),$E424*NETWORKDAYS(MAX($I424,AC$3),MIN($J424,AC$2),Data!$K$4:$K$203)/$K424)))</f>
        <v>0</v>
      </c>
      <c r="AD424" s="170">
        <f>IF(OR($I424="",$E424=0),0,IF(OR($J424&lt;AD$3,$I424&gt;AD$2),0,IF($K424=0,IF(AND($I424&gt;=AD$3,$I424&lt;=AD$2),$E424,0),$E424*NETWORKDAYS(MAX($I424,AD$3),MIN($J424,AD$2),Data!$K$4:$K$203)/$K424)))</f>
        <v>0</v>
      </c>
      <c r="AE424" s="170">
        <f>IF(OR($I424="",$E424=0),0,IF(OR($J424&lt;AE$3,$I424&gt;AE$2),0,IF($K424=0,IF(AND($I424&gt;=AE$3,$I424&lt;=AE$2),$E424,0),$E424*NETWORKDAYS(MAX($I424,AE$3),MIN($J424,AE$2),Data!$K$4:$K$203)/$K424)))</f>
        <v>0</v>
      </c>
      <c r="AF424" s="170">
        <f>IF(OR($I424="",$E424=0),0,IF(OR($J424&lt;AF$3,$I424&gt;AF$2),0,IF($K424=0,IF(AND($I424&gt;=AF$3,$I424&lt;=AF$2),$E424,0),$E424*NETWORKDAYS(MAX($I424,AF$3),MIN($J424,AF$2),Data!$K$4:$K$203)/$K424)))</f>
        <v>0</v>
      </c>
      <c r="AG424" s="170">
        <f>IF(OR($I424="",$E424=0),0,IF(OR($J424&lt;AG$3,$I424&gt;AG$2),0,IF($K424=0,IF(AND($I424&gt;=AG$3,$I424&lt;=AG$2),$E424,0),$E424*NETWORKDAYS(MAX($I424,AG$3),MIN($J424,AG$2),Data!$K$4:$K$203)/$K424)))</f>
        <v>0</v>
      </c>
      <c r="AH424" s="170">
        <f>IF(OR($I424="",$E424=0),0,IF(OR($J424&lt;AH$3,$I424&gt;AH$2),0,IF($K424=0,IF(AND($I424&gt;=AH$3,$I424&lt;=AH$2),$E424,0),$E424*NETWORKDAYS(MAX($I424,AH$3),MIN($J424,AH$2),Data!$K$4:$K$203)/$K424)))</f>
        <v>0</v>
      </c>
      <c r="AI424" s="170">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70"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4" t="str">
        <f>IF(EO424=1,IF(FH424&gt;0,FI424/FH424,AVERAGEIF($FF$4:$FF$503,EN424,$C$4:$C$503)),"")</f>
        <v/>
      </c>
      <c r="EV424" s="169">
        <f>IF(ISNUMBER(I424),I424,2958465)</f>
        <v>2958465.0</v>
      </c>
      <c r="EW424" s="169" t="str">
        <f>IF(EO424=1,SUMPRODUCT(MIN(($EN$4:$EN$503=EN424)*$EV$4:$EV$503+($EN$4:$EN$503&lt;&gt;EN424)*2958465)),"")</f>
        <v/>
      </c>
      <c r="EX424" s="169">
        <f>IF(AND(D424=1,ISNUMBER(INDEX(Charge!$F:$F,ROW()))),INDEX(Charge!$F:$F,ROW()),0)</f>
        <v>0.0</v>
      </c>
      <c r="EY424" s="169" t="str">
        <f>IF(EO424=1,SUMPRODUCT(MAX(($EN$4:$EN$503=EN424)*$EX$4:$EX$503)),"")</f>
        <v/>
      </c>
      <c r="FD424">
        <f>IF(AND(B424=1,TRIM(INDEX(Charge!$K:$K,ROW()))&lt;&gt;"",TRIM(INDEX(Charge!$L:$L,ROW()))&lt;&gt;""),1,0)</f>
        <v>0</v>
      </c>
      <c r="FE424">
        <f>IF(OR(EN424="",BZ424="(non affecté)"),0,IF(COUNTIFS($EN$4:EN424,EN424,$BZ$4:BZ424,BZ424)=1,1,0))</f>
        <v>0</v>
      </c>
      <c r="FF424" t="str">
        <f>IF(B424=1,LEFT(SUBSTITUTE(SUBSTITUTE(SUBSTITUTE(TRIM(SUBSTITUTE(INDEX(Charge!$B:$B,ROW()),CHAR(160)," "))&amp;" | "&amp;TRIM(SUBSTITUTE(INDEX(Charge!$C:$C,ROW()),CHAR(160)," "))&amp;" | "&amp;TRIM(SUBSTITUTE(INDEX(Charge!$D:$D,ROW()),CHAR(160)," ")),"~","-"),"*","+"),"?","!"),240),"")</f>
        <v/>
      </c>
      <c r="FG424">
        <f>IF(B424=1,MAX(0,N(INDEX(Charge!$M:$M,ROW()))),0)</f>
        <v>0</v>
      </c>
      <c r="FH424" s="170" t="str">
        <f>IF(EO424=1,ROUND(SUMIF($FF$4:$FF$503,EN424,$FG$4:$FG$503),2),"")</f>
        <v/>
      </c>
      <c r="FI424" s="170" t="str">
        <f>IF(EO424=1,ROUND(SUMPRODUCT(($FF$4:$FF$503=EN424)*$FG$4:$FG$503*$C$4:$C$503),2),"")</f>
        <v/>
      </c>
      <c r="FJ424" s="170" t="str">
        <f>IF(EO424=1,MAX(0,ROUND(FH424-FI424,2)),"")</f>
        <v/>
      </c>
      <c r="FK424" s="174" t="str">
        <f>IF(EO424=1,IF(OR(EW424&gt;=2958465,EY424=0,EY424&lt;=EW424),"",IF(TODAY()&lt;=EW424,0,IF(TODAY()&gt;EY424,1,IFERROR(NETWORKDAYS(EW424,TODAY()-1,Data!$K$4:$K$203)/NETWORKDAYS(EW424,EY424,Data!$K$4:$K$203),"")))),"")</f>
        <v/>
      </c>
      <c r="FL424" t="str">
        <f>IF(EO424=1,IF(AND(EY424&gt;0,EY424&lt;TODAY(),ROUND(EU424,4)&lt;1),2,IF(FK424="",0,IF(ROUND(EU424-FK424,4)&lt;-0.15,1,0))),"")</f>
        <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9" t="str">
        <f>IF(AND(D425=1,ISNUMBER(INDEX(Charge!$N:$N,ROW()))),INDEX(Charge!$N:$N,ROW()),"")</f>
        <v/>
      </c>
      <c r="J425" s="169"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70">
        <f>IF(OR($I425="",$E425=0),0,IF(OR($J425&lt;W$3,$I425&gt;W$2),0,IF($K425=0,IF(AND($I425&gt;=W$3,$I425&lt;=W$2),$E425,0),$E425*NETWORKDAYS(MAX($I425,W$3),MIN($J425,W$2),Data!$K$4:$K$203)/$K425)))</f>
        <v>0</v>
      </c>
      <c r="X425" s="170">
        <f>IF(OR($I425="",$E425=0),0,IF(OR($J425&lt;X$3,$I425&gt;X$2),0,IF($K425=0,IF(AND($I425&gt;=X$3,$I425&lt;=X$2),$E425,0),$E425*NETWORKDAYS(MAX($I425,X$3),MIN($J425,X$2),Data!$K$4:$K$203)/$K425)))</f>
        <v>0</v>
      </c>
      <c r="Y425" s="170">
        <f>IF(OR($I425="",$E425=0),0,IF(OR($J425&lt;Y$3,$I425&gt;Y$2),0,IF($K425=0,IF(AND($I425&gt;=Y$3,$I425&lt;=Y$2),$E425,0),$E425*NETWORKDAYS(MAX($I425,Y$3),MIN($J425,Y$2),Data!$K$4:$K$203)/$K425)))</f>
        <v>0</v>
      </c>
      <c r="Z425" s="170">
        <f>IF(OR($I425="",$E425=0),0,IF(OR($J425&lt;Z$3,$I425&gt;Z$2),0,IF($K425=0,IF(AND($I425&gt;=Z$3,$I425&lt;=Z$2),$E425,0),$E425*NETWORKDAYS(MAX($I425,Z$3),MIN($J425,Z$2),Data!$K$4:$K$203)/$K425)))</f>
        <v>0</v>
      </c>
      <c r="AA425" s="170">
        <f>IF(OR($I425="",$E425=0),0,IF(OR($J425&lt;AA$3,$I425&gt;AA$2),0,IF($K425=0,IF(AND($I425&gt;=AA$3,$I425&lt;=AA$2),$E425,0),$E425*NETWORKDAYS(MAX($I425,AA$3),MIN($J425,AA$2),Data!$K$4:$K$203)/$K425)))</f>
        <v>0</v>
      </c>
      <c r="AB425" s="170">
        <f>IF(OR($I425="",$E425=0),0,IF(OR($J425&lt;AB$3,$I425&gt;AB$2),0,IF($K425=0,IF(AND($I425&gt;=AB$3,$I425&lt;=AB$2),$E425,0),$E425*NETWORKDAYS(MAX($I425,AB$3),MIN($J425,AB$2),Data!$K$4:$K$203)/$K425)))</f>
        <v>0</v>
      </c>
      <c r="AC425" s="170">
        <f>IF(OR($I425="",$E425=0),0,IF(OR($J425&lt;AC$3,$I425&gt;AC$2),0,IF($K425=0,IF(AND($I425&gt;=AC$3,$I425&lt;=AC$2),$E425,0),$E425*NETWORKDAYS(MAX($I425,AC$3),MIN($J425,AC$2),Data!$K$4:$K$203)/$K425)))</f>
        <v>0</v>
      </c>
      <c r="AD425" s="170">
        <f>IF(OR($I425="",$E425=0),0,IF(OR($J425&lt;AD$3,$I425&gt;AD$2),0,IF($K425=0,IF(AND($I425&gt;=AD$3,$I425&lt;=AD$2),$E425,0),$E425*NETWORKDAYS(MAX($I425,AD$3),MIN($J425,AD$2),Data!$K$4:$K$203)/$K425)))</f>
        <v>0</v>
      </c>
      <c r="AE425" s="170">
        <f>IF(OR($I425="",$E425=0),0,IF(OR($J425&lt;AE$3,$I425&gt;AE$2),0,IF($K425=0,IF(AND($I425&gt;=AE$3,$I425&lt;=AE$2),$E425,0),$E425*NETWORKDAYS(MAX($I425,AE$3),MIN($J425,AE$2),Data!$K$4:$K$203)/$K425)))</f>
        <v>0</v>
      </c>
      <c r="AF425" s="170">
        <f>IF(OR($I425="",$E425=0),0,IF(OR($J425&lt;AF$3,$I425&gt;AF$2),0,IF($K425=0,IF(AND($I425&gt;=AF$3,$I425&lt;=AF$2),$E425,0),$E425*NETWORKDAYS(MAX($I425,AF$3),MIN($J425,AF$2),Data!$K$4:$K$203)/$K425)))</f>
        <v>0</v>
      </c>
      <c r="AG425" s="170">
        <f>IF(OR($I425="",$E425=0),0,IF(OR($J425&lt;AG$3,$I425&gt;AG$2),0,IF($K425=0,IF(AND($I425&gt;=AG$3,$I425&lt;=AG$2),$E425,0),$E425*NETWORKDAYS(MAX($I425,AG$3),MIN($J425,AG$2),Data!$K$4:$K$203)/$K425)))</f>
        <v>0</v>
      </c>
      <c r="AH425" s="170">
        <f>IF(OR($I425="",$E425=0),0,IF(OR($J425&lt;AH$3,$I425&gt;AH$2),0,IF($K425=0,IF(AND($I425&gt;=AH$3,$I425&lt;=AH$2),$E425,0),$E425*NETWORKDAYS(MAX($I425,AH$3),MIN($J425,AH$2),Data!$K$4:$K$203)/$K425)))</f>
        <v>0</v>
      </c>
      <c r="AI425" s="170">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70"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4" t="str">
        <f>IF(EO425=1,IF(FH425&gt;0,FI425/FH425,AVERAGEIF($FF$4:$FF$503,EN425,$C$4:$C$503)),"")</f>
        <v/>
      </c>
      <c r="EV425" s="169">
        <f>IF(ISNUMBER(I425),I425,2958465)</f>
        <v>2958465.0</v>
      </c>
      <c r="EW425" s="169" t="str">
        <f>IF(EO425=1,SUMPRODUCT(MIN(($EN$4:$EN$503=EN425)*$EV$4:$EV$503+($EN$4:$EN$503&lt;&gt;EN425)*2958465)),"")</f>
        <v/>
      </c>
      <c r="EX425" s="169">
        <f>IF(AND(D425=1,ISNUMBER(INDEX(Charge!$F:$F,ROW()))),INDEX(Charge!$F:$F,ROW()),0)</f>
        <v>0.0</v>
      </c>
      <c r="EY425" s="169" t="str">
        <f>IF(EO425=1,SUMPRODUCT(MAX(($EN$4:$EN$503=EN425)*$EX$4:$EX$503)),"")</f>
        <v/>
      </c>
      <c r="FD425">
        <f>IF(AND(B425=1,TRIM(INDEX(Charge!$K:$K,ROW()))&lt;&gt;"",TRIM(INDEX(Charge!$L:$L,ROW()))&lt;&gt;""),1,0)</f>
        <v>0</v>
      </c>
      <c r="FE425">
        <f>IF(OR(EN425="",BZ425="(non affecté)"),0,IF(COUNTIFS($EN$4:EN425,EN425,$BZ$4:BZ425,BZ425)=1,1,0))</f>
        <v>0</v>
      </c>
      <c r="FF425" t="str">
        <f>IF(B425=1,LEFT(SUBSTITUTE(SUBSTITUTE(SUBSTITUTE(TRIM(SUBSTITUTE(INDEX(Charge!$B:$B,ROW()),CHAR(160)," "))&amp;" | "&amp;TRIM(SUBSTITUTE(INDEX(Charge!$C:$C,ROW()),CHAR(160)," "))&amp;" | "&amp;TRIM(SUBSTITUTE(INDEX(Charge!$D:$D,ROW()),CHAR(160)," ")),"~","-"),"*","+"),"?","!"),240),"")</f>
        <v/>
      </c>
      <c r="FG425">
        <f>IF(B425=1,MAX(0,N(INDEX(Charge!$M:$M,ROW()))),0)</f>
        <v>0</v>
      </c>
      <c r="FH425" s="170" t="str">
        <f>IF(EO425=1,ROUND(SUMIF($FF$4:$FF$503,EN425,$FG$4:$FG$503),2),"")</f>
        <v/>
      </c>
      <c r="FI425" s="170" t="str">
        <f>IF(EO425=1,ROUND(SUMPRODUCT(($FF$4:$FF$503=EN425)*$FG$4:$FG$503*$C$4:$C$503),2),"")</f>
        <v/>
      </c>
      <c r="FJ425" s="170" t="str">
        <f>IF(EO425=1,MAX(0,ROUND(FH425-FI425,2)),"")</f>
        <v/>
      </c>
      <c r="FK425" s="174" t="str">
        <f>IF(EO425=1,IF(OR(EW425&gt;=2958465,EY425=0,EY425&lt;=EW425),"",IF(TODAY()&lt;=EW425,0,IF(TODAY()&gt;EY425,1,IFERROR(NETWORKDAYS(EW425,TODAY()-1,Data!$K$4:$K$203)/NETWORKDAYS(EW425,EY425,Data!$K$4:$K$203),"")))),"")</f>
        <v/>
      </c>
      <c r="FL425" t="str">
        <f>IF(EO425=1,IF(AND(EY425&gt;0,EY425&lt;TODAY(),ROUND(EU425,4)&lt;1),2,IF(FK425="",0,IF(ROUND(EU425-FK425,4)&lt;-0.15,1,0))),"")</f>
        <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9" t="str">
        <f>IF(AND(D426=1,ISNUMBER(INDEX(Charge!$N:$N,ROW()))),INDEX(Charge!$N:$N,ROW()),"")</f>
        <v/>
      </c>
      <c r="J426" s="169"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70">
        <f>IF(OR($I426="",$E426=0),0,IF(OR($J426&lt;W$3,$I426&gt;W$2),0,IF($K426=0,IF(AND($I426&gt;=W$3,$I426&lt;=W$2),$E426,0),$E426*NETWORKDAYS(MAX($I426,W$3),MIN($J426,W$2),Data!$K$4:$K$203)/$K426)))</f>
        <v>0</v>
      </c>
      <c r="X426" s="170">
        <f>IF(OR($I426="",$E426=0),0,IF(OR($J426&lt;X$3,$I426&gt;X$2),0,IF($K426=0,IF(AND($I426&gt;=X$3,$I426&lt;=X$2),$E426,0),$E426*NETWORKDAYS(MAX($I426,X$3),MIN($J426,X$2),Data!$K$4:$K$203)/$K426)))</f>
        <v>0</v>
      </c>
      <c r="Y426" s="170">
        <f>IF(OR($I426="",$E426=0),0,IF(OR($J426&lt;Y$3,$I426&gt;Y$2),0,IF($K426=0,IF(AND($I426&gt;=Y$3,$I426&lt;=Y$2),$E426,0),$E426*NETWORKDAYS(MAX($I426,Y$3),MIN($J426,Y$2),Data!$K$4:$K$203)/$K426)))</f>
        <v>0</v>
      </c>
      <c r="Z426" s="170">
        <f>IF(OR($I426="",$E426=0),0,IF(OR($J426&lt;Z$3,$I426&gt;Z$2),0,IF($K426=0,IF(AND($I426&gt;=Z$3,$I426&lt;=Z$2),$E426,0),$E426*NETWORKDAYS(MAX($I426,Z$3),MIN($J426,Z$2),Data!$K$4:$K$203)/$K426)))</f>
        <v>0</v>
      </c>
      <c r="AA426" s="170">
        <f>IF(OR($I426="",$E426=0),0,IF(OR($J426&lt;AA$3,$I426&gt;AA$2),0,IF($K426=0,IF(AND($I426&gt;=AA$3,$I426&lt;=AA$2),$E426,0),$E426*NETWORKDAYS(MAX($I426,AA$3),MIN($J426,AA$2),Data!$K$4:$K$203)/$K426)))</f>
        <v>0</v>
      </c>
      <c r="AB426" s="170">
        <f>IF(OR($I426="",$E426=0),0,IF(OR($J426&lt;AB$3,$I426&gt;AB$2),0,IF($K426=0,IF(AND($I426&gt;=AB$3,$I426&lt;=AB$2),$E426,0),$E426*NETWORKDAYS(MAX($I426,AB$3),MIN($J426,AB$2),Data!$K$4:$K$203)/$K426)))</f>
        <v>0</v>
      </c>
      <c r="AC426" s="170">
        <f>IF(OR($I426="",$E426=0),0,IF(OR($J426&lt;AC$3,$I426&gt;AC$2),0,IF($K426=0,IF(AND($I426&gt;=AC$3,$I426&lt;=AC$2),$E426,0),$E426*NETWORKDAYS(MAX($I426,AC$3),MIN($J426,AC$2),Data!$K$4:$K$203)/$K426)))</f>
        <v>0</v>
      </c>
      <c r="AD426" s="170">
        <f>IF(OR($I426="",$E426=0),0,IF(OR($J426&lt;AD$3,$I426&gt;AD$2),0,IF($K426=0,IF(AND($I426&gt;=AD$3,$I426&lt;=AD$2),$E426,0),$E426*NETWORKDAYS(MAX($I426,AD$3),MIN($J426,AD$2),Data!$K$4:$K$203)/$K426)))</f>
        <v>0</v>
      </c>
      <c r="AE426" s="170">
        <f>IF(OR($I426="",$E426=0),0,IF(OR($J426&lt;AE$3,$I426&gt;AE$2),0,IF($K426=0,IF(AND($I426&gt;=AE$3,$I426&lt;=AE$2),$E426,0),$E426*NETWORKDAYS(MAX($I426,AE$3),MIN($J426,AE$2),Data!$K$4:$K$203)/$K426)))</f>
        <v>0</v>
      </c>
      <c r="AF426" s="170">
        <f>IF(OR($I426="",$E426=0),0,IF(OR($J426&lt;AF$3,$I426&gt;AF$2),0,IF($K426=0,IF(AND($I426&gt;=AF$3,$I426&lt;=AF$2),$E426,0),$E426*NETWORKDAYS(MAX($I426,AF$3),MIN($J426,AF$2),Data!$K$4:$K$203)/$K426)))</f>
        <v>0</v>
      </c>
      <c r="AG426" s="170">
        <f>IF(OR($I426="",$E426=0),0,IF(OR($J426&lt;AG$3,$I426&gt;AG$2),0,IF($K426=0,IF(AND($I426&gt;=AG$3,$I426&lt;=AG$2),$E426,0),$E426*NETWORKDAYS(MAX($I426,AG$3),MIN($J426,AG$2),Data!$K$4:$K$203)/$K426)))</f>
        <v>0</v>
      </c>
      <c r="AH426" s="170">
        <f>IF(OR($I426="",$E426=0),0,IF(OR($J426&lt;AH$3,$I426&gt;AH$2),0,IF($K426=0,IF(AND($I426&gt;=AH$3,$I426&lt;=AH$2),$E426,0),$E426*NETWORKDAYS(MAX($I426,AH$3),MIN($J426,AH$2),Data!$K$4:$K$203)/$K426)))</f>
        <v>0</v>
      </c>
      <c r="AI426" s="170">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70"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4" t="str">
        <f>IF(EO426=1,IF(FH426&gt;0,FI426/FH426,AVERAGEIF($FF$4:$FF$503,EN426,$C$4:$C$503)),"")</f>
        <v/>
      </c>
      <c r="EV426" s="169">
        <f>IF(ISNUMBER(I426),I426,2958465)</f>
        <v>2958465.0</v>
      </c>
      <c r="EW426" s="169" t="str">
        <f>IF(EO426=1,SUMPRODUCT(MIN(($EN$4:$EN$503=EN426)*$EV$4:$EV$503+($EN$4:$EN$503&lt;&gt;EN426)*2958465)),"")</f>
        <v/>
      </c>
      <c r="EX426" s="169">
        <f>IF(AND(D426=1,ISNUMBER(INDEX(Charge!$F:$F,ROW()))),INDEX(Charge!$F:$F,ROW()),0)</f>
        <v>0.0</v>
      </c>
      <c r="EY426" s="169" t="str">
        <f>IF(EO426=1,SUMPRODUCT(MAX(($EN$4:$EN$503=EN426)*$EX$4:$EX$503)),"")</f>
        <v/>
      </c>
      <c r="FD426">
        <f>IF(AND(B426=1,TRIM(INDEX(Charge!$K:$K,ROW()))&lt;&gt;"",TRIM(INDEX(Charge!$L:$L,ROW()))&lt;&gt;""),1,0)</f>
        <v>0</v>
      </c>
      <c r="FE426">
        <f>IF(OR(EN426="",BZ426="(non affecté)"),0,IF(COUNTIFS($EN$4:EN426,EN426,$BZ$4:BZ426,BZ426)=1,1,0))</f>
        <v>0</v>
      </c>
      <c r="FF426" t="str">
        <f>IF(B426=1,LEFT(SUBSTITUTE(SUBSTITUTE(SUBSTITUTE(TRIM(SUBSTITUTE(INDEX(Charge!$B:$B,ROW()),CHAR(160)," "))&amp;" | "&amp;TRIM(SUBSTITUTE(INDEX(Charge!$C:$C,ROW()),CHAR(160)," "))&amp;" | "&amp;TRIM(SUBSTITUTE(INDEX(Charge!$D:$D,ROW()),CHAR(160)," ")),"~","-"),"*","+"),"?","!"),240),"")</f>
        <v/>
      </c>
      <c r="FG426">
        <f>IF(B426=1,MAX(0,N(INDEX(Charge!$M:$M,ROW()))),0)</f>
        <v>0</v>
      </c>
      <c r="FH426" s="170" t="str">
        <f>IF(EO426=1,ROUND(SUMIF($FF$4:$FF$503,EN426,$FG$4:$FG$503),2),"")</f>
        <v/>
      </c>
      <c r="FI426" s="170" t="str">
        <f>IF(EO426=1,ROUND(SUMPRODUCT(($FF$4:$FF$503=EN426)*$FG$4:$FG$503*$C$4:$C$503),2),"")</f>
        <v/>
      </c>
      <c r="FJ426" s="170" t="str">
        <f>IF(EO426=1,MAX(0,ROUND(FH426-FI426,2)),"")</f>
        <v/>
      </c>
      <c r="FK426" s="174" t="str">
        <f>IF(EO426=1,IF(OR(EW426&gt;=2958465,EY426=0,EY426&lt;=EW426),"",IF(TODAY()&lt;=EW426,0,IF(TODAY()&gt;EY426,1,IFERROR(NETWORKDAYS(EW426,TODAY()-1,Data!$K$4:$K$203)/NETWORKDAYS(EW426,EY426,Data!$K$4:$K$203),"")))),"")</f>
        <v/>
      </c>
      <c r="FL426" t="str">
        <f>IF(EO426=1,IF(AND(EY426&gt;0,EY426&lt;TODAY(),ROUND(EU426,4)&lt;1),2,IF(FK426="",0,IF(ROUND(EU426-FK426,4)&lt;-0.15,1,0))),"")</f>
        <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9" t="str">
        <f>IF(AND(D427=1,ISNUMBER(INDEX(Charge!$N:$N,ROW()))),INDEX(Charge!$N:$N,ROW()),"")</f>
        <v/>
      </c>
      <c r="J427" s="169"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70">
        <f>IF(OR($I427="",$E427=0),0,IF(OR($J427&lt;W$3,$I427&gt;W$2),0,IF($K427=0,IF(AND($I427&gt;=W$3,$I427&lt;=W$2),$E427,0),$E427*NETWORKDAYS(MAX($I427,W$3),MIN($J427,W$2),Data!$K$4:$K$203)/$K427)))</f>
        <v>0</v>
      </c>
      <c r="X427" s="170">
        <f>IF(OR($I427="",$E427=0),0,IF(OR($J427&lt;X$3,$I427&gt;X$2),0,IF($K427=0,IF(AND($I427&gt;=X$3,$I427&lt;=X$2),$E427,0),$E427*NETWORKDAYS(MAX($I427,X$3),MIN($J427,X$2),Data!$K$4:$K$203)/$K427)))</f>
        <v>0</v>
      </c>
      <c r="Y427" s="170">
        <f>IF(OR($I427="",$E427=0),0,IF(OR($J427&lt;Y$3,$I427&gt;Y$2),0,IF($K427=0,IF(AND($I427&gt;=Y$3,$I427&lt;=Y$2),$E427,0),$E427*NETWORKDAYS(MAX($I427,Y$3),MIN($J427,Y$2),Data!$K$4:$K$203)/$K427)))</f>
        <v>0</v>
      </c>
      <c r="Z427" s="170">
        <f>IF(OR($I427="",$E427=0),0,IF(OR($J427&lt;Z$3,$I427&gt;Z$2),0,IF($K427=0,IF(AND($I427&gt;=Z$3,$I427&lt;=Z$2),$E427,0),$E427*NETWORKDAYS(MAX($I427,Z$3),MIN($J427,Z$2),Data!$K$4:$K$203)/$K427)))</f>
        <v>0</v>
      </c>
      <c r="AA427" s="170">
        <f>IF(OR($I427="",$E427=0),0,IF(OR($J427&lt;AA$3,$I427&gt;AA$2),0,IF($K427=0,IF(AND($I427&gt;=AA$3,$I427&lt;=AA$2),$E427,0),$E427*NETWORKDAYS(MAX($I427,AA$3),MIN($J427,AA$2),Data!$K$4:$K$203)/$K427)))</f>
        <v>0</v>
      </c>
      <c r="AB427" s="170">
        <f>IF(OR($I427="",$E427=0),0,IF(OR($J427&lt;AB$3,$I427&gt;AB$2),0,IF($K427=0,IF(AND($I427&gt;=AB$3,$I427&lt;=AB$2),$E427,0),$E427*NETWORKDAYS(MAX($I427,AB$3),MIN($J427,AB$2),Data!$K$4:$K$203)/$K427)))</f>
        <v>0</v>
      </c>
      <c r="AC427" s="170">
        <f>IF(OR($I427="",$E427=0),0,IF(OR($J427&lt;AC$3,$I427&gt;AC$2),0,IF($K427=0,IF(AND($I427&gt;=AC$3,$I427&lt;=AC$2),$E427,0),$E427*NETWORKDAYS(MAX($I427,AC$3),MIN($J427,AC$2),Data!$K$4:$K$203)/$K427)))</f>
        <v>0</v>
      </c>
      <c r="AD427" s="170">
        <f>IF(OR($I427="",$E427=0),0,IF(OR($J427&lt;AD$3,$I427&gt;AD$2),0,IF($K427=0,IF(AND($I427&gt;=AD$3,$I427&lt;=AD$2),$E427,0),$E427*NETWORKDAYS(MAX($I427,AD$3),MIN($J427,AD$2),Data!$K$4:$K$203)/$K427)))</f>
        <v>0</v>
      </c>
      <c r="AE427" s="170">
        <f>IF(OR($I427="",$E427=0),0,IF(OR($J427&lt;AE$3,$I427&gt;AE$2),0,IF($K427=0,IF(AND($I427&gt;=AE$3,$I427&lt;=AE$2),$E427,0),$E427*NETWORKDAYS(MAX($I427,AE$3),MIN($J427,AE$2),Data!$K$4:$K$203)/$K427)))</f>
        <v>0</v>
      </c>
      <c r="AF427" s="170">
        <f>IF(OR($I427="",$E427=0),0,IF(OR($J427&lt;AF$3,$I427&gt;AF$2),0,IF($K427=0,IF(AND($I427&gt;=AF$3,$I427&lt;=AF$2),$E427,0),$E427*NETWORKDAYS(MAX($I427,AF$3),MIN($J427,AF$2),Data!$K$4:$K$203)/$K427)))</f>
        <v>0</v>
      </c>
      <c r="AG427" s="170">
        <f>IF(OR($I427="",$E427=0),0,IF(OR($J427&lt;AG$3,$I427&gt;AG$2),0,IF($K427=0,IF(AND($I427&gt;=AG$3,$I427&lt;=AG$2),$E427,0),$E427*NETWORKDAYS(MAX($I427,AG$3),MIN($J427,AG$2),Data!$K$4:$K$203)/$K427)))</f>
        <v>0</v>
      </c>
      <c r="AH427" s="170">
        <f>IF(OR($I427="",$E427=0),0,IF(OR($J427&lt;AH$3,$I427&gt;AH$2),0,IF($K427=0,IF(AND($I427&gt;=AH$3,$I427&lt;=AH$2),$E427,0),$E427*NETWORKDAYS(MAX($I427,AH$3),MIN($J427,AH$2),Data!$K$4:$K$203)/$K427)))</f>
        <v>0</v>
      </c>
      <c r="AI427" s="170">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70"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4" t="str">
        <f>IF(EO427=1,IF(FH427&gt;0,FI427/FH427,AVERAGEIF($FF$4:$FF$503,EN427,$C$4:$C$503)),"")</f>
        <v/>
      </c>
      <c r="EV427" s="169">
        <f>IF(ISNUMBER(I427),I427,2958465)</f>
        <v>2958465.0</v>
      </c>
      <c r="EW427" s="169" t="str">
        <f>IF(EO427=1,SUMPRODUCT(MIN(($EN$4:$EN$503=EN427)*$EV$4:$EV$503+($EN$4:$EN$503&lt;&gt;EN427)*2958465)),"")</f>
        <v/>
      </c>
      <c r="EX427" s="169">
        <f>IF(AND(D427=1,ISNUMBER(INDEX(Charge!$F:$F,ROW()))),INDEX(Charge!$F:$F,ROW()),0)</f>
        <v>0.0</v>
      </c>
      <c r="EY427" s="169" t="str">
        <f>IF(EO427=1,SUMPRODUCT(MAX(($EN$4:$EN$503=EN427)*$EX$4:$EX$503)),"")</f>
        <v/>
      </c>
      <c r="FD427">
        <f>IF(AND(B427=1,TRIM(INDEX(Charge!$K:$K,ROW()))&lt;&gt;"",TRIM(INDEX(Charge!$L:$L,ROW()))&lt;&gt;""),1,0)</f>
        <v>0</v>
      </c>
      <c r="FE427">
        <f>IF(OR(EN427="",BZ427="(non affecté)"),0,IF(COUNTIFS($EN$4:EN427,EN427,$BZ$4:BZ427,BZ427)=1,1,0))</f>
        <v>0</v>
      </c>
      <c r="FF427" t="str">
        <f>IF(B427=1,LEFT(SUBSTITUTE(SUBSTITUTE(SUBSTITUTE(TRIM(SUBSTITUTE(INDEX(Charge!$B:$B,ROW()),CHAR(160)," "))&amp;" | "&amp;TRIM(SUBSTITUTE(INDEX(Charge!$C:$C,ROW()),CHAR(160)," "))&amp;" | "&amp;TRIM(SUBSTITUTE(INDEX(Charge!$D:$D,ROW()),CHAR(160)," ")),"~","-"),"*","+"),"?","!"),240),"")</f>
        <v/>
      </c>
      <c r="FG427">
        <f>IF(B427=1,MAX(0,N(INDEX(Charge!$M:$M,ROW()))),0)</f>
        <v>0</v>
      </c>
      <c r="FH427" s="170" t="str">
        <f>IF(EO427=1,ROUND(SUMIF($FF$4:$FF$503,EN427,$FG$4:$FG$503),2),"")</f>
        <v/>
      </c>
      <c r="FI427" s="170" t="str">
        <f>IF(EO427=1,ROUND(SUMPRODUCT(($FF$4:$FF$503=EN427)*$FG$4:$FG$503*$C$4:$C$503),2),"")</f>
        <v/>
      </c>
      <c r="FJ427" s="170" t="str">
        <f>IF(EO427=1,MAX(0,ROUND(FH427-FI427,2)),"")</f>
        <v/>
      </c>
      <c r="FK427" s="174" t="str">
        <f>IF(EO427=1,IF(OR(EW427&gt;=2958465,EY427=0,EY427&lt;=EW427),"",IF(TODAY()&lt;=EW427,0,IF(TODAY()&gt;EY427,1,IFERROR(NETWORKDAYS(EW427,TODAY()-1,Data!$K$4:$K$203)/NETWORKDAYS(EW427,EY427,Data!$K$4:$K$203),"")))),"")</f>
        <v/>
      </c>
      <c r="FL427" t="str">
        <f>IF(EO427=1,IF(AND(EY427&gt;0,EY427&lt;TODAY(),ROUND(EU427,4)&lt;1),2,IF(FK427="",0,IF(ROUND(EU427-FK427,4)&lt;-0.15,1,0))),"")</f>
        <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9" t="str">
        <f>IF(AND(D428=1,ISNUMBER(INDEX(Charge!$N:$N,ROW()))),INDEX(Charge!$N:$N,ROW()),"")</f>
        <v/>
      </c>
      <c r="J428" s="169"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70">
        <f>IF(OR($I428="",$E428=0),0,IF(OR($J428&lt;W$3,$I428&gt;W$2),0,IF($K428=0,IF(AND($I428&gt;=W$3,$I428&lt;=W$2),$E428,0),$E428*NETWORKDAYS(MAX($I428,W$3),MIN($J428,W$2),Data!$K$4:$K$203)/$K428)))</f>
        <v>0</v>
      </c>
      <c r="X428" s="170">
        <f>IF(OR($I428="",$E428=0),0,IF(OR($J428&lt;X$3,$I428&gt;X$2),0,IF($K428=0,IF(AND($I428&gt;=X$3,$I428&lt;=X$2),$E428,0),$E428*NETWORKDAYS(MAX($I428,X$3),MIN($J428,X$2),Data!$K$4:$K$203)/$K428)))</f>
        <v>0</v>
      </c>
      <c r="Y428" s="170">
        <f>IF(OR($I428="",$E428=0),0,IF(OR($J428&lt;Y$3,$I428&gt;Y$2),0,IF($K428=0,IF(AND($I428&gt;=Y$3,$I428&lt;=Y$2),$E428,0),$E428*NETWORKDAYS(MAX($I428,Y$3),MIN($J428,Y$2),Data!$K$4:$K$203)/$K428)))</f>
        <v>0</v>
      </c>
      <c r="Z428" s="170">
        <f>IF(OR($I428="",$E428=0),0,IF(OR($J428&lt;Z$3,$I428&gt;Z$2),0,IF($K428=0,IF(AND($I428&gt;=Z$3,$I428&lt;=Z$2),$E428,0),$E428*NETWORKDAYS(MAX($I428,Z$3),MIN($J428,Z$2),Data!$K$4:$K$203)/$K428)))</f>
        <v>0</v>
      </c>
      <c r="AA428" s="170">
        <f>IF(OR($I428="",$E428=0),0,IF(OR($J428&lt;AA$3,$I428&gt;AA$2),0,IF($K428=0,IF(AND($I428&gt;=AA$3,$I428&lt;=AA$2),$E428,0),$E428*NETWORKDAYS(MAX($I428,AA$3),MIN($J428,AA$2),Data!$K$4:$K$203)/$K428)))</f>
        <v>0</v>
      </c>
      <c r="AB428" s="170">
        <f>IF(OR($I428="",$E428=0),0,IF(OR($J428&lt;AB$3,$I428&gt;AB$2),0,IF($K428=0,IF(AND($I428&gt;=AB$3,$I428&lt;=AB$2),$E428,0),$E428*NETWORKDAYS(MAX($I428,AB$3),MIN($J428,AB$2),Data!$K$4:$K$203)/$K428)))</f>
        <v>0</v>
      </c>
      <c r="AC428" s="170">
        <f>IF(OR($I428="",$E428=0),0,IF(OR($J428&lt;AC$3,$I428&gt;AC$2),0,IF($K428=0,IF(AND($I428&gt;=AC$3,$I428&lt;=AC$2),$E428,0),$E428*NETWORKDAYS(MAX($I428,AC$3),MIN($J428,AC$2),Data!$K$4:$K$203)/$K428)))</f>
        <v>0</v>
      </c>
      <c r="AD428" s="170">
        <f>IF(OR($I428="",$E428=0),0,IF(OR($J428&lt;AD$3,$I428&gt;AD$2),0,IF($K428=0,IF(AND($I428&gt;=AD$3,$I428&lt;=AD$2),$E428,0),$E428*NETWORKDAYS(MAX($I428,AD$3),MIN($J428,AD$2),Data!$K$4:$K$203)/$K428)))</f>
        <v>0</v>
      </c>
      <c r="AE428" s="170">
        <f>IF(OR($I428="",$E428=0),0,IF(OR($J428&lt;AE$3,$I428&gt;AE$2),0,IF($K428=0,IF(AND($I428&gt;=AE$3,$I428&lt;=AE$2),$E428,0),$E428*NETWORKDAYS(MAX($I428,AE$3),MIN($J428,AE$2),Data!$K$4:$K$203)/$K428)))</f>
        <v>0</v>
      </c>
      <c r="AF428" s="170">
        <f>IF(OR($I428="",$E428=0),0,IF(OR($J428&lt;AF$3,$I428&gt;AF$2),0,IF($K428=0,IF(AND($I428&gt;=AF$3,$I428&lt;=AF$2),$E428,0),$E428*NETWORKDAYS(MAX($I428,AF$3),MIN($J428,AF$2),Data!$K$4:$K$203)/$K428)))</f>
        <v>0</v>
      </c>
      <c r="AG428" s="170">
        <f>IF(OR($I428="",$E428=0),0,IF(OR($J428&lt;AG$3,$I428&gt;AG$2),0,IF($K428=0,IF(AND($I428&gt;=AG$3,$I428&lt;=AG$2),$E428,0),$E428*NETWORKDAYS(MAX($I428,AG$3),MIN($J428,AG$2),Data!$K$4:$K$203)/$K428)))</f>
        <v>0</v>
      </c>
      <c r="AH428" s="170">
        <f>IF(OR($I428="",$E428=0),0,IF(OR($J428&lt;AH$3,$I428&gt;AH$2),0,IF($K428=0,IF(AND($I428&gt;=AH$3,$I428&lt;=AH$2),$E428,0),$E428*NETWORKDAYS(MAX($I428,AH$3),MIN($J428,AH$2),Data!$K$4:$K$203)/$K428)))</f>
        <v>0</v>
      </c>
      <c r="AI428" s="170">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70"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4" t="str">
        <f>IF(EO428=1,IF(FH428&gt;0,FI428/FH428,AVERAGEIF($FF$4:$FF$503,EN428,$C$4:$C$503)),"")</f>
        <v/>
      </c>
      <c r="EV428" s="169">
        <f>IF(ISNUMBER(I428),I428,2958465)</f>
        <v>2958465.0</v>
      </c>
      <c r="EW428" s="169" t="str">
        <f>IF(EO428=1,SUMPRODUCT(MIN(($EN$4:$EN$503=EN428)*$EV$4:$EV$503+($EN$4:$EN$503&lt;&gt;EN428)*2958465)),"")</f>
        <v/>
      </c>
      <c r="EX428" s="169">
        <f>IF(AND(D428=1,ISNUMBER(INDEX(Charge!$F:$F,ROW()))),INDEX(Charge!$F:$F,ROW()),0)</f>
        <v>0.0</v>
      </c>
      <c r="EY428" s="169" t="str">
        <f>IF(EO428=1,SUMPRODUCT(MAX(($EN$4:$EN$503=EN428)*$EX$4:$EX$503)),"")</f>
        <v/>
      </c>
      <c r="FD428">
        <f>IF(AND(B428=1,TRIM(INDEX(Charge!$K:$K,ROW()))&lt;&gt;"",TRIM(INDEX(Charge!$L:$L,ROW()))&lt;&gt;""),1,0)</f>
        <v>0</v>
      </c>
      <c r="FE428">
        <f>IF(OR(EN428="",BZ428="(non affecté)"),0,IF(COUNTIFS($EN$4:EN428,EN428,$BZ$4:BZ428,BZ428)=1,1,0))</f>
        <v>0</v>
      </c>
      <c r="FF428" t="str">
        <f>IF(B428=1,LEFT(SUBSTITUTE(SUBSTITUTE(SUBSTITUTE(TRIM(SUBSTITUTE(INDEX(Charge!$B:$B,ROW()),CHAR(160)," "))&amp;" | "&amp;TRIM(SUBSTITUTE(INDEX(Charge!$C:$C,ROW()),CHAR(160)," "))&amp;" | "&amp;TRIM(SUBSTITUTE(INDEX(Charge!$D:$D,ROW()),CHAR(160)," ")),"~","-"),"*","+"),"?","!"),240),"")</f>
        <v/>
      </c>
      <c r="FG428">
        <f>IF(B428=1,MAX(0,N(INDEX(Charge!$M:$M,ROW()))),0)</f>
        <v>0</v>
      </c>
      <c r="FH428" s="170" t="str">
        <f>IF(EO428=1,ROUND(SUMIF($FF$4:$FF$503,EN428,$FG$4:$FG$503),2),"")</f>
        <v/>
      </c>
      <c r="FI428" s="170" t="str">
        <f>IF(EO428=1,ROUND(SUMPRODUCT(($FF$4:$FF$503=EN428)*$FG$4:$FG$503*$C$4:$C$503),2),"")</f>
        <v/>
      </c>
      <c r="FJ428" s="170" t="str">
        <f>IF(EO428=1,MAX(0,ROUND(FH428-FI428,2)),"")</f>
        <v/>
      </c>
      <c r="FK428" s="174" t="str">
        <f>IF(EO428=1,IF(OR(EW428&gt;=2958465,EY428=0,EY428&lt;=EW428),"",IF(TODAY()&lt;=EW428,0,IF(TODAY()&gt;EY428,1,IFERROR(NETWORKDAYS(EW428,TODAY()-1,Data!$K$4:$K$203)/NETWORKDAYS(EW428,EY428,Data!$K$4:$K$203),"")))),"")</f>
        <v/>
      </c>
      <c r="FL428" t="str">
        <f>IF(EO428=1,IF(AND(EY428&gt;0,EY428&lt;TODAY(),ROUND(EU428,4)&lt;1),2,IF(FK428="",0,IF(ROUND(EU428-FK428,4)&lt;-0.15,1,0))),"")</f>
        <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9" t="str">
        <f>IF(AND(D429=1,ISNUMBER(INDEX(Charge!$N:$N,ROW()))),INDEX(Charge!$N:$N,ROW()),"")</f>
        <v/>
      </c>
      <c r="J429" s="169"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70">
        <f>IF(OR($I429="",$E429=0),0,IF(OR($J429&lt;W$3,$I429&gt;W$2),0,IF($K429=0,IF(AND($I429&gt;=W$3,$I429&lt;=W$2),$E429,0),$E429*NETWORKDAYS(MAX($I429,W$3),MIN($J429,W$2),Data!$K$4:$K$203)/$K429)))</f>
        <v>0</v>
      </c>
      <c r="X429" s="170">
        <f>IF(OR($I429="",$E429=0),0,IF(OR($J429&lt;X$3,$I429&gt;X$2),0,IF($K429=0,IF(AND($I429&gt;=X$3,$I429&lt;=X$2),$E429,0),$E429*NETWORKDAYS(MAX($I429,X$3),MIN($J429,X$2),Data!$K$4:$K$203)/$K429)))</f>
        <v>0</v>
      </c>
      <c r="Y429" s="170">
        <f>IF(OR($I429="",$E429=0),0,IF(OR($J429&lt;Y$3,$I429&gt;Y$2),0,IF($K429=0,IF(AND($I429&gt;=Y$3,$I429&lt;=Y$2),$E429,0),$E429*NETWORKDAYS(MAX($I429,Y$3),MIN($J429,Y$2),Data!$K$4:$K$203)/$K429)))</f>
        <v>0</v>
      </c>
      <c r="Z429" s="170">
        <f>IF(OR($I429="",$E429=0),0,IF(OR($J429&lt;Z$3,$I429&gt;Z$2),0,IF($K429=0,IF(AND($I429&gt;=Z$3,$I429&lt;=Z$2),$E429,0),$E429*NETWORKDAYS(MAX($I429,Z$3),MIN($J429,Z$2),Data!$K$4:$K$203)/$K429)))</f>
        <v>0</v>
      </c>
      <c r="AA429" s="170">
        <f>IF(OR($I429="",$E429=0),0,IF(OR($J429&lt;AA$3,$I429&gt;AA$2),0,IF($K429=0,IF(AND($I429&gt;=AA$3,$I429&lt;=AA$2),$E429,0),$E429*NETWORKDAYS(MAX($I429,AA$3),MIN($J429,AA$2),Data!$K$4:$K$203)/$K429)))</f>
        <v>0</v>
      </c>
      <c r="AB429" s="170">
        <f>IF(OR($I429="",$E429=0),0,IF(OR($J429&lt;AB$3,$I429&gt;AB$2),0,IF($K429=0,IF(AND($I429&gt;=AB$3,$I429&lt;=AB$2),$E429,0),$E429*NETWORKDAYS(MAX($I429,AB$3),MIN($J429,AB$2),Data!$K$4:$K$203)/$K429)))</f>
        <v>0</v>
      </c>
      <c r="AC429" s="170">
        <f>IF(OR($I429="",$E429=0),0,IF(OR($J429&lt;AC$3,$I429&gt;AC$2),0,IF($K429=0,IF(AND($I429&gt;=AC$3,$I429&lt;=AC$2),$E429,0),$E429*NETWORKDAYS(MAX($I429,AC$3),MIN($J429,AC$2),Data!$K$4:$K$203)/$K429)))</f>
        <v>0</v>
      </c>
      <c r="AD429" s="170">
        <f>IF(OR($I429="",$E429=0),0,IF(OR($J429&lt;AD$3,$I429&gt;AD$2),0,IF($K429=0,IF(AND($I429&gt;=AD$3,$I429&lt;=AD$2),$E429,0),$E429*NETWORKDAYS(MAX($I429,AD$3),MIN($J429,AD$2),Data!$K$4:$K$203)/$K429)))</f>
        <v>0</v>
      </c>
      <c r="AE429" s="170">
        <f>IF(OR($I429="",$E429=0),0,IF(OR($J429&lt;AE$3,$I429&gt;AE$2),0,IF($K429=0,IF(AND($I429&gt;=AE$3,$I429&lt;=AE$2),$E429,0),$E429*NETWORKDAYS(MAX($I429,AE$3),MIN($J429,AE$2),Data!$K$4:$K$203)/$K429)))</f>
        <v>0</v>
      </c>
      <c r="AF429" s="170">
        <f>IF(OR($I429="",$E429=0),0,IF(OR($J429&lt;AF$3,$I429&gt;AF$2),0,IF($K429=0,IF(AND($I429&gt;=AF$3,$I429&lt;=AF$2),$E429,0),$E429*NETWORKDAYS(MAX($I429,AF$3),MIN($J429,AF$2),Data!$K$4:$K$203)/$K429)))</f>
        <v>0</v>
      </c>
      <c r="AG429" s="170">
        <f>IF(OR($I429="",$E429=0),0,IF(OR($J429&lt;AG$3,$I429&gt;AG$2),0,IF($K429=0,IF(AND($I429&gt;=AG$3,$I429&lt;=AG$2),$E429,0),$E429*NETWORKDAYS(MAX($I429,AG$3),MIN($J429,AG$2),Data!$K$4:$K$203)/$K429)))</f>
        <v>0</v>
      </c>
      <c r="AH429" s="170">
        <f>IF(OR($I429="",$E429=0),0,IF(OR($J429&lt;AH$3,$I429&gt;AH$2),0,IF($K429=0,IF(AND($I429&gt;=AH$3,$I429&lt;=AH$2),$E429,0),$E429*NETWORKDAYS(MAX($I429,AH$3),MIN($J429,AH$2),Data!$K$4:$K$203)/$K429)))</f>
        <v>0</v>
      </c>
      <c r="AI429" s="170">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70"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4" t="str">
        <f>IF(EO429=1,IF(FH429&gt;0,FI429/FH429,AVERAGEIF($FF$4:$FF$503,EN429,$C$4:$C$503)),"")</f>
        <v/>
      </c>
      <c r="EV429" s="169">
        <f>IF(ISNUMBER(I429),I429,2958465)</f>
        <v>2958465.0</v>
      </c>
      <c r="EW429" s="169" t="str">
        <f>IF(EO429=1,SUMPRODUCT(MIN(($EN$4:$EN$503=EN429)*$EV$4:$EV$503+($EN$4:$EN$503&lt;&gt;EN429)*2958465)),"")</f>
        <v/>
      </c>
      <c r="EX429" s="169">
        <f>IF(AND(D429=1,ISNUMBER(INDEX(Charge!$F:$F,ROW()))),INDEX(Charge!$F:$F,ROW()),0)</f>
        <v>0.0</v>
      </c>
      <c r="EY429" s="169" t="str">
        <f>IF(EO429=1,SUMPRODUCT(MAX(($EN$4:$EN$503=EN429)*$EX$4:$EX$503)),"")</f>
        <v/>
      </c>
      <c r="FD429">
        <f>IF(AND(B429=1,TRIM(INDEX(Charge!$K:$K,ROW()))&lt;&gt;"",TRIM(INDEX(Charge!$L:$L,ROW()))&lt;&gt;""),1,0)</f>
        <v>0</v>
      </c>
      <c r="FE429">
        <f>IF(OR(EN429="",BZ429="(non affecté)"),0,IF(COUNTIFS($EN$4:EN429,EN429,$BZ$4:BZ429,BZ429)=1,1,0))</f>
        <v>0</v>
      </c>
      <c r="FF429" t="str">
        <f>IF(B429=1,LEFT(SUBSTITUTE(SUBSTITUTE(SUBSTITUTE(TRIM(SUBSTITUTE(INDEX(Charge!$B:$B,ROW()),CHAR(160)," "))&amp;" | "&amp;TRIM(SUBSTITUTE(INDEX(Charge!$C:$C,ROW()),CHAR(160)," "))&amp;" | "&amp;TRIM(SUBSTITUTE(INDEX(Charge!$D:$D,ROW()),CHAR(160)," ")),"~","-"),"*","+"),"?","!"),240),"")</f>
        <v/>
      </c>
      <c r="FG429">
        <f>IF(B429=1,MAX(0,N(INDEX(Charge!$M:$M,ROW()))),0)</f>
        <v>0</v>
      </c>
      <c r="FH429" s="170" t="str">
        <f>IF(EO429=1,ROUND(SUMIF($FF$4:$FF$503,EN429,$FG$4:$FG$503),2),"")</f>
        <v/>
      </c>
      <c r="FI429" s="170" t="str">
        <f>IF(EO429=1,ROUND(SUMPRODUCT(($FF$4:$FF$503=EN429)*$FG$4:$FG$503*$C$4:$C$503),2),"")</f>
        <v/>
      </c>
      <c r="FJ429" s="170" t="str">
        <f>IF(EO429=1,MAX(0,ROUND(FH429-FI429,2)),"")</f>
        <v/>
      </c>
      <c r="FK429" s="174" t="str">
        <f>IF(EO429=1,IF(OR(EW429&gt;=2958465,EY429=0,EY429&lt;=EW429),"",IF(TODAY()&lt;=EW429,0,IF(TODAY()&gt;EY429,1,IFERROR(NETWORKDAYS(EW429,TODAY()-1,Data!$K$4:$K$203)/NETWORKDAYS(EW429,EY429,Data!$K$4:$K$203),"")))),"")</f>
        <v/>
      </c>
      <c r="FL429" t="str">
        <f>IF(EO429=1,IF(AND(EY429&gt;0,EY429&lt;TODAY(),ROUND(EU429,4)&lt;1),2,IF(FK429="",0,IF(ROUND(EU429-FK429,4)&lt;-0.15,1,0))),"")</f>
        <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9" t="str">
        <f>IF(AND(D430=1,ISNUMBER(INDEX(Charge!$N:$N,ROW()))),INDEX(Charge!$N:$N,ROW()),"")</f>
        <v/>
      </c>
      <c r="J430" s="169"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70">
        <f>IF(OR($I430="",$E430=0),0,IF(OR($J430&lt;W$3,$I430&gt;W$2),0,IF($K430=0,IF(AND($I430&gt;=W$3,$I430&lt;=W$2),$E430,0),$E430*NETWORKDAYS(MAX($I430,W$3),MIN($J430,W$2),Data!$K$4:$K$203)/$K430)))</f>
        <v>0</v>
      </c>
      <c r="X430" s="170">
        <f>IF(OR($I430="",$E430=0),0,IF(OR($J430&lt;X$3,$I430&gt;X$2),0,IF($K430=0,IF(AND($I430&gt;=X$3,$I430&lt;=X$2),$E430,0),$E430*NETWORKDAYS(MAX($I430,X$3),MIN($J430,X$2),Data!$K$4:$K$203)/$K430)))</f>
        <v>0</v>
      </c>
      <c r="Y430" s="170">
        <f>IF(OR($I430="",$E430=0),0,IF(OR($J430&lt;Y$3,$I430&gt;Y$2),0,IF($K430=0,IF(AND($I430&gt;=Y$3,$I430&lt;=Y$2),$E430,0),$E430*NETWORKDAYS(MAX($I430,Y$3),MIN($J430,Y$2),Data!$K$4:$K$203)/$K430)))</f>
        <v>0</v>
      </c>
      <c r="Z430" s="170">
        <f>IF(OR($I430="",$E430=0),0,IF(OR($J430&lt;Z$3,$I430&gt;Z$2),0,IF($K430=0,IF(AND($I430&gt;=Z$3,$I430&lt;=Z$2),$E430,0),$E430*NETWORKDAYS(MAX($I430,Z$3),MIN($J430,Z$2),Data!$K$4:$K$203)/$K430)))</f>
        <v>0</v>
      </c>
      <c r="AA430" s="170">
        <f>IF(OR($I430="",$E430=0),0,IF(OR($J430&lt;AA$3,$I430&gt;AA$2),0,IF($K430=0,IF(AND($I430&gt;=AA$3,$I430&lt;=AA$2),$E430,0),$E430*NETWORKDAYS(MAX($I430,AA$3),MIN($J430,AA$2),Data!$K$4:$K$203)/$K430)))</f>
        <v>0</v>
      </c>
      <c r="AB430" s="170">
        <f>IF(OR($I430="",$E430=0),0,IF(OR($J430&lt;AB$3,$I430&gt;AB$2),0,IF($K430=0,IF(AND($I430&gt;=AB$3,$I430&lt;=AB$2),$E430,0),$E430*NETWORKDAYS(MAX($I430,AB$3),MIN($J430,AB$2),Data!$K$4:$K$203)/$K430)))</f>
        <v>0</v>
      </c>
      <c r="AC430" s="170">
        <f>IF(OR($I430="",$E430=0),0,IF(OR($J430&lt;AC$3,$I430&gt;AC$2),0,IF($K430=0,IF(AND($I430&gt;=AC$3,$I430&lt;=AC$2),$E430,0),$E430*NETWORKDAYS(MAX($I430,AC$3),MIN($J430,AC$2),Data!$K$4:$K$203)/$K430)))</f>
        <v>0</v>
      </c>
      <c r="AD430" s="170">
        <f>IF(OR($I430="",$E430=0),0,IF(OR($J430&lt;AD$3,$I430&gt;AD$2),0,IF($K430=0,IF(AND($I430&gt;=AD$3,$I430&lt;=AD$2),$E430,0),$E430*NETWORKDAYS(MAX($I430,AD$3),MIN($J430,AD$2),Data!$K$4:$K$203)/$K430)))</f>
        <v>0</v>
      </c>
      <c r="AE430" s="170">
        <f>IF(OR($I430="",$E430=0),0,IF(OR($J430&lt;AE$3,$I430&gt;AE$2),0,IF($K430=0,IF(AND($I430&gt;=AE$3,$I430&lt;=AE$2),$E430,0),$E430*NETWORKDAYS(MAX($I430,AE$3),MIN($J430,AE$2),Data!$K$4:$K$203)/$K430)))</f>
        <v>0</v>
      </c>
      <c r="AF430" s="170">
        <f>IF(OR($I430="",$E430=0),0,IF(OR($J430&lt;AF$3,$I430&gt;AF$2),0,IF($K430=0,IF(AND($I430&gt;=AF$3,$I430&lt;=AF$2),$E430,0),$E430*NETWORKDAYS(MAX($I430,AF$3),MIN($J430,AF$2),Data!$K$4:$K$203)/$K430)))</f>
        <v>0</v>
      </c>
      <c r="AG430" s="170">
        <f>IF(OR($I430="",$E430=0),0,IF(OR($J430&lt;AG$3,$I430&gt;AG$2),0,IF($K430=0,IF(AND($I430&gt;=AG$3,$I430&lt;=AG$2),$E430,0),$E430*NETWORKDAYS(MAX($I430,AG$3),MIN($J430,AG$2),Data!$K$4:$K$203)/$K430)))</f>
        <v>0</v>
      </c>
      <c r="AH430" s="170">
        <f>IF(OR($I430="",$E430=0),0,IF(OR($J430&lt;AH$3,$I430&gt;AH$2),0,IF($K430=0,IF(AND($I430&gt;=AH$3,$I430&lt;=AH$2),$E430,0),$E430*NETWORKDAYS(MAX($I430,AH$3),MIN($J430,AH$2),Data!$K$4:$K$203)/$K430)))</f>
        <v>0</v>
      </c>
      <c r="AI430" s="170">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70"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4" t="str">
        <f>IF(EO430=1,IF(FH430&gt;0,FI430/FH430,AVERAGEIF($FF$4:$FF$503,EN430,$C$4:$C$503)),"")</f>
        <v/>
      </c>
      <c r="EV430" s="169">
        <f>IF(ISNUMBER(I430),I430,2958465)</f>
        <v>2958465.0</v>
      </c>
      <c r="EW430" s="169" t="str">
        <f>IF(EO430=1,SUMPRODUCT(MIN(($EN$4:$EN$503=EN430)*$EV$4:$EV$503+($EN$4:$EN$503&lt;&gt;EN430)*2958465)),"")</f>
        <v/>
      </c>
      <c r="EX430" s="169">
        <f>IF(AND(D430=1,ISNUMBER(INDEX(Charge!$F:$F,ROW()))),INDEX(Charge!$F:$F,ROW()),0)</f>
        <v>0.0</v>
      </c>
      <c r="EY430" s="169" t="str">
        <f>IF(EO430=1,SUMPRODUCT(MAX(($EN$4:$EN$503=EN430)*$EX$4:$EX$503)),"")</f>
        <v/>
      </c>
      <c r="FD430">
        <f>IF(AND(B430=1,TRIM(INDEX(Charge!$K:$K,ROW()))&lt;&gt;"",TRIM(INDEX(Charge!$L:$L,ROW()))&lt;&gt;""),1,0)</f>
        <v>0</v>
      </c>
      <c r="FE430">
        <f>IF(OR(EN430="",BZ430="(non affecté)"),0,IF(COUNTIFS($EN$4:EN430,EN430,$BZ$4:BZ430,BZ430)=1,1,0))</f>
        <v>0</v>
      </c>
      <c r="FF430" t="str">
        <f>IF(B430=1,LEFT(SUBSTITUTE(SUBSTITUTE(SUBSTITUTE(TRIM(SUBSTITUTE(INDEX(Charge!$B:$B,ROW()),CHAR(160)," "))&amp;" | "&amp;TRIM(SUBSTITUTE(INDEX(Charge!$C:$C,ROW()),CHAR(160)," "))&amp;" | "&amp;TRIM(SUBSTITUTE(INDEX(Charge!$D:$D,ROW()),CHAR(160)," ")),"~","-"),"*","+"),"?","!"),240),"")</f>
        <v/>
      </c>
      <c r="FG430">
        <f>IF(B430=1,MAX(0,N(INDEX(Charge!$M:$M,ROW()))),0)</f>
        <v>0</v>
      </c>
      <c r="FH430" s="170" t="str">
        <f>IF(EO430=1,ROUND(SUMIF($FF$4:$FF$503,EN430,$FG$4:$FG$503),2),"")</f>
        <v/>
      </c>
      <c r="FI430" s="170" t="str">
        <f>IF(EO430=1,ROUND(SUMPRODUCT(($FF$4:$FF$503=EN430)*$FG$4:$FG$503*$C$4:$C$503),2),"")</f>
        <v/>
      </c>
      <c r="FJ430" s="170" t="str">
        <f>IF(EO430=1,MAX(0,ROUND(FH430-FI430,2)),"")</f>
        <v/>
      </c>
      <c r="FK430" s="174" t="str">
        <f>IF(EO430=1,IF(OR(EW430&gt;=2958465,EY430=0,EY430&lt;=EW430),"",IF(TODAY()&lt;=EW430,0,IF(TODAY()&gt;EY430,1,IFERROR(NETWORKDAYS(EW430,TODAY()-1,Data!$K$4:$K$203)/NETWORKDAYS(EW430,EY430,Data!$K$4:$K$203),"")))),"")</f>
        <v/>
      </c>
      <c r="FL430" t="str">
        <f>IF(EO430=1,IF(AND(EY430&gt;0,EY430&lt;TODAY(),ROUND(EU430,4)&lt;1),2,IF(FK430="",0,IF(ROUND(EU430-FK430,4)&lt;-0.15,1,0))),"")</f>
        <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9" t="str">
        <f>IF(AND(D431=1,ISNUMBER(INDEX(Charge!$N:$N,ROW()))),INDEX(Charge!$N:$N,ROW()),"")</f>
        <v/>
      </c>
      <c r="J431" s="169"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70">
        <f>IF(OR($I431="",$E431=0),0,IF(OR($J431&lt;W$3,$I431&gt;W$2),0,IF($K431=0,IF(AND($I431&gt;=W$3,$I431&lt;=W$2),$E431,0),$E431*NETWORKDAYS(MAX($I431,W$3),MIN($J431,W$2),Data!$K$4:$K$203)/$K431)))</f>
        <v>0</v>
      </c>
      <c r="X431" s="170">
        <f>IF(OR($I431="",$E431=0),0,IF(OR($J431&lt;X$3,$I431&gt;X$2),0,IF($K431=0,IF(AND($I431&gt;=X$3,$I431&lt;=X$2),$E431,0),$E431*NETWORKDAYS(MAX($I431,X$3),MIN($J431,X$2),Data!$K$4:$K$203)/$K431)))</f>
        <v>0</v>
      </c>
      <c r="Y431" s="170">
        <f>IF(OR($I431="",$E431=0),0,IF(OR($J431&lt;Y$3,$I431&gt;Y$2),0,IF($K431=0,IF(AND($I431&gt;=Y$3,$I431&lt;=Y$2),$E431,0),$E431*NETWORKDAYS(MAX($I431,Y$3),MIN($J431,Y$2),Data!$K$4:$K$203)/$K431)))</f>
        <v>0</v>
      </c>
      <c r="Z431" s="170">
        <f>IF(OR($I431="",$E431=0),0,IF(OR($J431&lt;Z$3,$I431&gt;Z$2),0,IF($K431=0,IF(AND($I431&gt;=Z$3,$I431&lt;=Z$2),$E431,0),$E431*NETWORKDAYS(MAX($I431,Z$3),MIN($J431,Z$2),Data!$K$4:$K$203)/$K431)))</f>
        <v>0</v>
      </c>
      <c r="AA431" s="170">
        <f>IF(OR($I431="",$E431=0),0,IF(OR($J431&lt;AA$3,$I431&gt;AA$2),0,IF($K431=0,IF(AND($I431&gt;=AA$3,$I431&lt;=AA$2),$E431,0),$E431*NETWORKDAYS(MAX($I431,AA$3),MIN($J431,AA$2),Data!$K$4:$K$203)/$K431)))</f>
        <v>0</v>
      </c>
      <c r="AB431" s="170">
        <f>IF(OR($I431="",$E431=0),0,IF(OR($J431&lt;AB$3,$I431&gt;AB$2),0,IF($K431=0,IF(AND($I431&gt;=AB$3,$I431&lt;=AB$2),$E431,0),$E431*NETWORKDAYS(MAX($I431,AB$3),MIN($J431,AB$2),Data!$K$4:$K$203)/$K431)))</f>
        <v>0</v>
      </c>
      <c r="AC431" s="170">
        <f>IF(OR($I431="",$E431=0),0,IF(OR($J431&lt;AC$3,$I431&gt;AC$2),0,IF($K431=0,IF(AND($I431&gt;=AC$3,$I431&lt;=AC$2),$E431,0),$E431*NETWORKDAYS(MAX($I431,AC$3),MIN($J431,AC$2),Data!$K$4:$K$203)/$K431)))</f>
        <v>0</v>
      </c>
      <c r="AD431" s="170">
        <f>IF(OR($I431="",$E431=0),0,IF(OR($J431&lt;AD$3,$I431&gt;AD$2),0,IF($K431=0,IF(AND($I431&gt;=AD$3,$I431&lt;=AD$2),$E431,0),$E431*NETWORKDAYS(MAX($I431,AD$3),MIN($J431,AD$2),Data!$K$4:$K$203)/$K431)))</f>
        <v>0</v>
      </c>
      <c r="AE431" s="170">
        <f>IF(OR($I431="",$E431=0),0,IF(OR($J431&lt;AE$3,$I431&gt;AE$2),0,IF($K431=0,IF(AND($I431&gt;=AE$3,$I431&lt;=AE$2),$E431,0),$E431*NETWORKDAYS(MAX($I431,AE$3),MIN($J431,AE$2),Data!$K$4:$K$203)/$K431)))</f>
        <v>0</v>
      </c>
      <c r="AF431" s="170">
        <f>IF(OR($I431="",$E431=0),0,IF(OR($J431&lt;AF$3,$I431&gt;AF$2),0,IF($K431=0,IF(AND($I431&gt;=AF$3,$I431&lt;=AF$2),$E431,0),$E431*NETWORKDAYS(MAX($I431,AF$3),MIN($J431,AF$2),Data!$K$4:$K$203)/$K431)))</f>
        <v>0</v>
      </c>
      <c r="AG431" s="170">
        <f>IF(OR($I431="",$E431=0),0,IF(OR($J431&lt;AG$3,$I431&gt;AG$2),0,IF($K431=0,IF(AND($I431&gt;=AG$3,$I431&lt;=AG$2),$E431,0),$E431*NETWORKDAYS(MAX($I431,AG$3),MIN($J431,AG$2),Data!$K$4:$K$203)/$K431)))</f>
        <v>0</v>
      </c>
      <c r="AH431" s="170">
        <f>IF(OR($I431="",$E431=0),0,IF(OR($J431&lt;AH$3,$I431&gt;AH$2),0,IF($K431=0,IF(AND($I431&gt;=AH$3,$I431&lt;=AH$2),$E431,0),$E431*NETWORKDAYS(MAX($I431,AH$3),MIN($J431,AH$2),Data!$K$4:$K$203)/$K431)))</f>
        <v>0</v>
      </c>
      <c r="AI431" s="170">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70"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4" t="str">
        <f>IF(EO431=1,IF(FH431&gt;0,FI431/FH431,AVERAGEIF($FF$4:$FF$503,EN431,$C$4:$C$503)),"")</f>
        <v/>
      </c>
      <c r="EV431" s="169">
        <f>IF(ISNUMBER(I431),I431,2958465)</f>
        <v>2958465.0</v>
      </c>
      <c r="EW431" s="169" t="str">
        <f>IF(EO431=1,SUMPRODUCT(MIN(($EN$4:$EN$503=EN431)*$EV$4:$EV$503+($EN$4:$EN$503&lt;&gt;EN431)*2958465)),"")</f>
        <v/>
      </c>
      <c r="EX431" s="169">
        <f>IF(AND(D431=1,ISNUMBER(INDEX(Charge!$F:$F,ROW()))),INDEX(Charge!$F:$F,ROW()),0)</f>
        <v>0.0</v>
      </c>
      <c r="EY431" s="169" t="str">
        <f>IF(EO431=1,SUMPRODUCT(MAX(($EN$4:$EN$503=EN431)*$EX$4:$EX$503)),"")</f>
        <v/>
      </c>
      <c r="FD431">
        <f>IF(AND(B431=1,TRIM(INDEX(Charge!$K:$K,ROW()))&lt;&gt;"",TRIM(INDEX(Charge!$L:$L,ROW()))&lt;&gt;""),1,0)</f>
        <v>0</v>
      </c>
      <c r="FE431">
        <f>IF(OR(EN431="",BZ431="(non affecté)"),0,IF(COUNTIFS($EN$4:EN431,EN431,$BZ$4:BZ431,BZ431)=1,1,0))</f>
        <v>0</v>
      </c>
      <c r="FF431" t="str">
        <f>IF(B431=1,LEFT(SUBSTITUTE(SUBSTITUTE(SUBSTITUTE(TRIM(SUBSTITUTE(INDEX(Charge!$B:$B,ROW()),CHAR(160)," "))&amp;" | "&amp;TRIM(SUBSTITUTE(INDEX(Charge!$C:$C,ROW()),CHAR(160)," "))&amp;" | "&amp;TRIM(SUBSTITUTE(INDEX(Charge!$D:$D,ROW()),CHAR(160)," ")),"~","-"),"*","+"),"?","!"),240),"")</f>
        <v/>
      </c>
      <c r="FG431">
        <f>IF(B431=1,MAX(0,N(INDEX(Charge!$M:$M,ROW()))),0)</f>
        <v>0</v>
      </c>
      <c r="FH431" s="170" t="str">
        <f>IF(EO431=1,ROUND(SUMIF($FF$4:$FF$503,EN431,$FG$4:$FG$503),2),"")</f>
        <v/>
      </c>
      <c r="FI431" s="170" t="str">
        <f>IF(EO431=1,ROUND(SUMPRODUCT(($FF$4:$FF$503=EN431)*$FG$4:$FG$503*$C$4:$C$503),2),"")</f>
        <v/>
      </c>
      <c r="FJ431" s="170" t="str">
        <f>IF(EO431=1,MAX(0,ROUND(FH431-FI431,2)),"")</f>
        <v/>
      </c>
      <c r="FK431" s="174" t="str">
        <f>IF(EO431=1,IF(OR(EW431&gt;=2958465,EY431=0,EY431&lt;=EW431),"",IF(TODAY()&lt;=EW431,0,IF(TODAY()&gt;EY431,1,IFERROR(NETWORKDAYS(EW431,TODAY()-1,Data!$K$4:$K$203)/NETWORKDAYS(EW431,EY431,Data!$K$4:$K$203),"")))),"")</f>
        <v/>
      </c>
      <c r="FL431" t="str">
        <f>IF(EO431=1,IF(AND(EY431&gt;0,EY431&lt;TODAY(),ROUND(EU431,4)&lt;1),2,IF(FK431="",0,IF(ROUND(EU431-FK431,4)&lt;-0.15,1,0))),"")</f>
        <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9" t="str">
        <f>IF(AND(D432=1,ISNUMBER(INDEX(Charge!$N:$N,ROW()))),INDEX(Charge!$N:$N,ROW()),"")</f>
        <v/>
      </c>
      <c r="J432" s="169"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70">
        <f>IF(OR($I432="",$E432=0),0,IF(OR($J432&lt;W$3,$I432&gt;W$2),0,IF($K432=0,IF(AND($I432&gt;=W$3,$I432&lt;=W$2),$E432,0),$E432*NETWORKDAYS(MAX($I432,W$3),MIN($J432,W$2),Data!$K$4:$K$203)/$K432)))</f>
        <v>0</v>
      </c>
      <c r="X432" s="170">
        <f>IF(OR($I432="",$E432=0),0,IF(OR($J432&lt;X$3,$I432&gt;X$2),0,IF($K432=0,IF(AND($I432&gt;=X$3,$I432&lt;=X$2),$E432,0),$E432*NETWORKDAYS(MAX($I432,X$3),MIN($J432,X$2),Data!$K$4:$K$203)/$K432)))</f>
        <v>0</v>
      </c>
      <c r="Y432" s="170">
        <f>IF(OR($I432="",$E432=0),0,IF(OR($J432&lt;Y$3,$I432&gt;Y$2),0,IF($K432=0,IF(AND($I432&gt;=Y$3,$I432&lt;=Y$2),$E432,0),$E432*NETWORKDAYS(MAX($I432,Y$3),MIN($J432,Y$2),Data!$K$4:$K$203)/$K432)))</f>
        <v>0</v>
      </c>
      <c r="Z432" s="170">
        <f>IF(OR($I432="",$E432=0),0,IF(OR($J432&lt;Z$3,$I432&gt;Z$2),0,IF($K432=0,IF(AND($I432&gt;=Z$3,$I432&lt;=Z$2),$E432,0),$E432*NETWORKDAYS(MAX($I432,Z$3),MIN($J432,Z$2),Data!$K$4:$K$203)/$K432)))</f>
        <v>0</v>
      </c>
      <c r="AA432" s="170">
        <f>IF(OR($I432="",$E432=0),0,IF(OR($J432&lt;AA$3,$I432&gt;AA$2),0,IF($K432=0,IF(AND($I432&gt;=AA$3,$I432&lt;=AA$2),$E432,0),$E432*NETWORKDAYS(MAX($I432,AA$3),MIN($J432,AA$2),Data!$K$4:$K$203)/$K432)))</f>
        <v>0</v>
      </c>
      <c r="AB432" s="170">
        <f>IF(OR($I432="",$E432=0),0,IF(OR($J432&lt;AB$3,$I432&gt;AB$2),0,IF($K432=0,IF(AND($I432&gt;=AB$3,$I432&lt;=AB$2),$E432,0),$E432*NETWORKDAYS(MAX($I432,AB$3),MIN($J432,AB$2),Data!$K$4:$K$203)/$K432)))</f>
        <v>0</v>
      </c>
      <c r="AC432" s="170">
        <f>IF(OR($I432="",$E432=0),0,IF(OR($J432&lt;AC$3,$I432&gt;AC$2),0,IF($K432=0,IF(AND($I432&gt;=AC$3,$I432&lt;=AC$2),$E432,0),$E432*NETWORKDAYS(MAX($I432,AC$3),MIN($J432,AC$2),Data!$K$4:$K$203)/$K432)))</f>
        <v>0</v>
      </c>
      <c r="AD432" s="170">
        <f>IF(OR($I432="",$E432=0),0,IF(OR($J432&lt;AD$3,$I432&gt;AD$2),0,IF($K432=0,IF(AND($I432&gt;=AD$3,$I432&lt;=AD$2),$E432,0),$E432*NETWORKDAYS(MAX($I432,AD$3),MIN($J432,AD$2),Data!$K$4:$K$203)/$K432)))</f>
        <v>0</v>
      </c>
      <c r="AE432" s="170">
        <f>IF(OR($I432="",$E432=0),0,IF(OR($J432&lt;AE$3,$I432&gt;AE$2),0,IF($K432=0,IF(AND($I432&gt;=AE$3,$I432&lt;=AE$2),$E432,0),$E432*NETWORKDAYS(MAX($I432,AE$3),MIN($J432,AE$2),Data!$K$4:$K$203)/$K432)))</f>
        <v>0</v>
      </c>
      <c r="AF432" s="170">
        <f>IF(OR($I432="",$E432=0),0,IF(OR($J432&lt;AF$3,$I432&gt;AF$2),0,IF($K432=0,IF(AND($I432&gt;=AF$3,$I432&lt;=AF$2),$E432,0),$E432*NETWORKDAYS(MAX($I432,AF$3),MIN($J432,AF$2),Data!$K$4:$K$203)/$K432)))</f>
        <v>0</v>
      </c>
      <c r="AG432" s="170">
        <f>IF(OR($I432="",$E432=0),0,IF(OR($J432&lt;AG$3,$I432&gt;AG$2),0,IF($K432=0,IF(AND($I432&gt;=AG$3,$I432&lt;=AG$2),$E432,0),$E432*NETWORKDAYS(MAX($I432,AG$3),MIN($J432,AG$2),Data!$K$4:$K$203)/$K432)))</f>
        <v>0</v>
      </c>
      <c r="AH432" s="170">
        <f>IF(OR($I432="",$E432=0),0,IF(OR($J432&lt;AH$3,$I432&gt;AH$2),0,IF($K432=0,IF(AND($I432&gt;=AH$3,$I432&lt;=AH$2),$E432,0),$E432*NETWORKDAYS(MAX($I432,AH$3),MIN($J432,AH$2),Data!$K$4:$K$203)/$K432)))</f>
        <v>0</v>
      </c>
      <c r="AI432" s="170">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70"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4" t="str">
        <f>IF(EO432=1,IF(FH432&gt;0,FI432/FH432,AVERAGEIF($FF$4:$FF$503,EN432,$C$4:$C$503)),"")</f>
        <v/>
      </c>
      <c r="EV432" s="169">
        <f>IF(ISNUMBER(I432),I432,2958465)</f>
        <v>2958465.0</v>
      </c>
      <c r="EW432" s="169" t="str">
        <f>IF(EO432=1,SUMPRODUCT(MIN(($EN$4:$EN$503=EN432)*$EV$4:$EV$503+($EN$4:$EN$503&lt;&gt;EN432)*2958465)),"")</f>
        <v/>
      </c>
      <c r="EX432" s="169">
        <f>IF(AND(D432=1,ISNUMBER(INDEX(Charge!$F:$F,ROW()))),INDEX(Charge!$F:$F,ROW()),0)</f>
        <v>0.0</v>
      </c>
      <c r="EY432" s="169" t="str">
        <f>IF(EO432=1,SUMPRODUCT(MAX(($EN$4:$EN$503=EN432)*$EX$4:$EX$503)),"")</f>
        <v/>
      </c>
      <c r="FD432">
        <f>IF(AND(B432=1,TRIM(INDEX(Charge!$K:$K,ROW()))&lt;&gt;"",TRIM(INDEX(Charge!$L:$L,ROW()))&lt;&gt;""),1,0)</f>
        <v>0</v>
      </c>
      <c r="FE432">
        <f>IF(OR(EN432="",BZ432="(non affecté)"),0,IF(COUNTIFS($EN$4:EN432,EN432,$BZ$4:BZ432,BZ432)=1,1,0))</f>
        <v>0</v>
      </c>
      <c r="FF432" t="str">
        <f>IF(B432=1,LEFT(SUBSTITUTE(SUBSTITUTE(SUBSTITUTE(TRIM(SUBSTITUTE(INDEX(Charge!$B:$B,ROW()),CHAR(160)," "))&amp;" | "&amp;TRIM(SUBSTITUTE(INDEX(Charge!$C:$C,ROW()),CHAR(160)," "))&amp;" | "&amp;TRIM(SUBSTITUTE(INDEX(Charge!$D:$D,ROW()),CHAR(160)," ")),"~","-"),"*","+"),"?","!"),240),"")</f>
        <v/>
      </c>
      <c r="FG432">
        <f>IF(B432=1,MAX(0,N(INDEX(Charge!$M:$M,ROW()))),0)</f>
        <v>0</v>
      </c>
      <c r="FH432" s="170" t="str">
        <f>IF(EO432=1,ROUND(SUMIF($FF$4:$FF$503,EN432,$FG$4:$FG$503),2),"")</f>
        <v/>
      </c>
      <c r="FI432" s="170" t="str">
        <f>IF(EO432=1,ROUND(SUMPRODUCT(($FF$4:$FF$503=EN432)*$FG$4:$FG$503*$C$4:$C$503),2),"")</f>
        <v/>
      </c>
      <c r="FJ432" s="170" t="str">
        <f>IF(EO432=1,MAX(0,ROUND(FH432-FI432,2)),"")</f>
        <v/>
      </c>
      <c r="FK432" s="174" t="str">
        <f>IF(EO432=1,IF(OR(EW432&gt;=2958465,EY432=0,EY432&lt;=EW432),"",IF(TODAY()&lt;=EW432,0,IF(TODAY()&gt;EY432,1,IFERROR(NETWORKDAYS(EW432,TODAY()-1,Data!$K$4:$K$203)/NETWORKDAYS(EW432,EY432,Data!$K$4:$K$203),"")))),"")</f>
        <v/>
      </c>
      <c r="FL432" t="str">
        <f>IF(EO432=1,IF(AND(EY432&gt;0,EY432&lt;TODAY(),ROUND(EU432,4)&lt;1),2,IF(FK432="",0,IF(ROUND(EU432-FK432,4)&lt;-0.15,1,0))),"")</f>
        <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9" t="str">
        <f>IF(AND(D433=1,ISNUMBER(INDEX(Charge!$N:$N,ROW()))),INDEX(Charge!$N:$N,ROW()),"")</f>
        <v/>
      </c>
      <c r="J433" s="169"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70">
        <f>IF(OR($I433="",$E433=0),0,IF(OR($J433&lt;W$3,$I433&gt;W$2),0,IF($K433=0,IF(AND($I433&gt;=W$3,$I433&lt;=W$2),$E433,0),$E433*NETWORKDAYS(MAX($I433,W$3),MIN($J433,W$2),Data!$K$4:$K$203)/$K433)))</f>
        <v>0</v>
      </c>
      <c r="X433" s="170">
        <f>IF(OR($I433="",$E433=0),0,IF(OR($J433&lt;X$3,$I433&gt;X$2),0,IF($K433=0,IF(AND($I433&gt;=X$3,$I433&lt;=X$2),$E433,0),$E433*NETWORKDAYS(MAX($I433,X$3),MIN($J433,X$2),Data!$K$4:$K$203)/$K433)))</f>
        <v>0</v>
      </c>
      <c r="Y433" s="170">
        <f>IF(OR($I433="",$E433=0),0,IF(OR($J433&lt;Y$3,$I433&gt;Y$2),0,IF($K433=0,IF(AND($I433&gt;=Y$3,$I433&lt;=Y$2),$E433,0),$E433*NETWORKDAYS(MAX($I433,Y$3),MIN($J433,Y$2),Data!$K$4:$K$203)/$K433)))</f>
        <v>0</v>
      </c>
      <c r="Z433" s="170">
        <f>IF(OR($I433="",$E433=0),0,IF(OR($J433&lt;Z$3,$I433&gt;Z$2),0,IF($K433=0,IF(AND($I433&gt;=Z$3,$I433&lt;=Z$2),$E433,0),$E433*NETWORKDAYS(MAX($I433,Z$3),MIN($J433,Z$2),Data!$K$4:$K$203)/$K433)))</f>
        <v>0</v>
      </c>
      <c r="AA433" s="170">
        <f>IF(OR($I433="",$E433=0),0,IF(OR($J433&lt;AA$3,$I433&gt;AA$2),0,IF($K433=0,IF(AND($I433&gt;=AA$3,$I433&lt;=AA$2),$E433,0),$E433*NETWORKDAYS(MAX($I433,AA$3),MIN($J433,AA$2),Data!$K$4:$K$203)/$K433)))</f>
        <v>0</v>
      </c>
      <c r="AB433" s="170">
        <f>IF(OR($I433="",$E433=0),0,IF(OR($J433&lt;AB$3,$I433&gt;AB$2),0,IF($K433=0,IF(AND($I433&gt;=AB$3,$I433&lt;=AB$2),$E433,0),$E433*NETWORKDAYS(MAX($I433,AB$3),MIN($J433,AB$2),Data!$K$4:$K$203)/$K433)))</f>
        <v>0</v>
      </c>
      <c r="AC433" s="170">
        <f>IF(OR($I433="",$E433=0),0,IF(OR($J433&lt;AC$3,$I433&gt;AC$2),0,IF($K433=0,IF(AND($I433&gt;=AC$3,$I433&lt;=AC$2),$E433,0),$E433*NETWORKDAYS(MAX($I433,AC$3),MIN($J433,AC$2),Data!$K$4:$K$203)/$K433)))</f>
        <v>0</v>
      </c>
      <c r="AD433" s="170">
        <f>IF(OR($I433="",$E433=0),0,IF(OR($J433&lt;AD$3,$I433&gt;AD$2),0,IF($K433=0,IF(AND($I433&gt;=AD$3,$I433&lt;=AD$2),$E433,0),$E433*NETWORKDAYS(MAX($I433,AD$3),MIN($J433,AD$2),Data!$K$4:$K$203)/$K433)))</f>
        <v>0</v>
      </c>
      <c r="AE433" s="170">
        <f>IF(OR($I433="",$E433=0),0,IF(OR($J433&lt;AE$3,$I433&gt;AE$2),0,IF($K433=0,IF(AND($I433&gt;=AE$3,$I433&lt;=AE$2),$E433,0),$E433*NETWORKDAYS(MAX($I433,AE$3),MIN($J433,AE$2),Data!$K$4:$K$203)/$K433)))</f>
        <v>0</v>
      </c>
      <c r="AF433" s="170">
        <f>IF(OR($I433="",$E433=0),0,IF(OR($J433&lt;AF$3,$I433&gt;AF$2),0,IF($K433=0,IF(AND($I433&gt;=AF$3,$I433&lt;=AF$2),$E433,0),$E433*NETWORKDAYS(MAX($I433,AF$3),MIN($J433,AF$2),Data!$K$4:$K$203)/$K433)))</f>
        <v>0</v>
      </c>
      <c r="AG433" s="170">
        <f>IF(OR($I433="",$E433=0),0,IF(OR($J433&lt;AG$3,$I433&gt;AG$2),0,IF($K433=0,IF(AND($I433&gt;=AG$3,$I433&lt;=AG$2),$E433,0),$E433*NETWORKDAYS(MAX($I433,AG$3),MIN($J433,AG$2),Data!$K$4:$K$203)/$K433)))</f>
        <v>0</v>
      </c>
      <c r="AH433" s="170">
        <f>IF(OR($I433="",$E433=0),0,IF(OR($J433&lt;AH$3,$I433&gt;AH$2),0,IF($K433=0,IF(AND($I433&gt;=AH$3,$I433&lt;=AH$2),$E433,0),$E433*NETWORKDAYS(MAX($I433,AH$3),MIN($J433,AH$2),Data!$K$4:$K$203)/$K433)))</f>
        <v>0</v>
      </c>
      <c r="AI433" s="170">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70"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4" t="str">
        <f>IF(EO433=1,IF(FH433&gt;0,FI433/FH433,AVERAGEIF($FF$4:$FF$503,EN433,$C$4:$C$503)),"")</f>
        <v/>
      </c>
      <c r="EV433" s="169">
        <f>IF(ISNUMBER(I433),I433,2958465)</f>
        <v>2958465.0</v>
      </c>
      <c r="EW433" s="169" t="str">
        <f>IF(EO433=1,SUMPRODUCT(MIN(($EN$4:$EN$503=EN433)*$EV$4:$EV$503+($EN$4:$EN$503&lt;&gt;EN433)*2958465)),"")</f>
        <v/>
      </c>
      <c r="EX433" s="169">
        <f>IF(AND(D433=1,ISNUMBER(INDEX(Charge!$F:$F,ROW()))),INDEX(Charge!$F:$F,ROW()),0)</f>
        <v>0.0</v>
      </c>
      <c r="EY433" s="169" t="str">
        <f>IF(EO433=1,SUMPRODUCT(MAX(($EN$4:$EN$503=EN433)*$EX$4:$EX$503)),"")</f>
        <v/>
      </c>
      <c r="FD433">
        <f>IF(AND(B433=1,TRIM(INDEX(Charge!$K:$K,ROW()))&lt;&gt;"",TRIM(INDEX(Charge!$L:$L,ROW()))&lt;&gt;""),1,0)</f>
        <v>0</v>
      </c>
      <c r="FE433">
        <f>IF(OR(EN433="",BZ433="(non affecté)"),0,IF(COUNTIFS($EN$4:EN433,EN433,$BZ$4:BZ433,BZ433)=1,1,0))</f>
        <v>0</v>
      </c>
      <c r="FF433" t="str">
        <f>IF(B433=1,LEFT(SUBSTITUTE(SUBSTITUTE(SUBSTITUTE(TRIM(SUBSTITUTE(INDEX(Charge!$B:$B,ROW()),CHAR(160)," "))&amp;" | "&amp;TRIM(SUBSTITUTE(INDEX(Charge!$C:$C,ROW()),CHAR(160)," "))&amp;" | "&amp;TRIM(SUBSTITUTE(INDEX(Charge!$D:$D,ROW()),CHAR(160)," ")),"~","-"),"*","+"),"?","!"),240),"")</f>
        <v/>
      </c>
      <c r="FG433">
        <f>IF(B433=1,MAX(0,N(INDEX(Charge!$M:$M,ROW()))),0)</f>
        <v>0</v>
      </c>
      <c r="FH433" s="170" t="str">
        <f>IF(EO433=1,ROUND(SUMIF($FF$4:$FF$503,EN433,$FG$4:$FG$503),2),"")</f>
        <v/>
      </c>
      <c r="FI433" s="170" t="str">
        <f>IF(EO433=1,ROUND(SUMPRODUCT(($FF$4:$FF$503=EN433)*$FG$4:$FG$503*$C$4:$C$503),2),"")</f>
        <v/>
      </c>
      <c r="FJ433" s="170" t="str">
        <f>IF(EO433=1,MAX(0,ROUND(FH433-FI433,2)),"")</f>
        <v/>
      </c>
      <c r="FK433" s="174" t="str">
        <f>IF(EO433=1,IF(OR(EW433&gt;=2958465,EY433=0,EY433&lt;=EW433),"",IF(TODAY()&lt;=EW433,0,IF(TODAY()&gt;EY433,1,IFERROR(NETWORKDAYS(EW433,TODAY()-1,Data!$K$4:$K$203)/NETWORKDAYS(EW433,EY433,Data!$K$4:$K$203),"")))),"")</f>
        <v/>
      </c>
      <c r="FL433" t="str">
        <f>IF(EO433=1,IF(AND(EY433&gt;0,EY433&lt;TODAY(),ROUND(EU433,4)&lt;1),2,IF(FK433="",0,IF(ROUND(EU433-FK433,4)&lt;-0.15,1,0))),"")</f>
        <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9" t="str">
        <f>IF(AND(D434=1,ISNUMBER(INDEX(Charge!$N:$N,ROW()))),INDEX(Charge!$N:$N,ROW()),"")</f>
        <v/>
      </c>
      <c r="J434" s="169"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70">
        <f>IF(OR($I434="",$E434=0),0,IF(OR($J434&lt;W$3,$I434&gt;W$2),0,IF($K434=0,IF(AND($I434&gt;=W$3,$I434&lt;=W$2),$E434,0),$E434*NETWORKDAYS(MAX($I434,W$3),MIN($J434,W$2),Data!$K$4:$K$203)/$K434)))</f>
        <v>0</v>
      </c>
      <c r="X434" s="170">
        <f>IF(OR($I434="",$E434=0),0,IF(OR($J434&lt;X$3,$I434&gt;X$2),0,IF($K434=0,IF(AND($I434&gt;=X$3,$I434&lt;=X$2),$E434,0),$E434*NETWORKDAYS(MAX($I434,X$3),MIN($J434,X$2),Data!$K$4:$K$203)/$K434)))</f>
        <v>0</v>
      </c>
      <c r="Y434" s="170">
        <f>IF(OR($I434="",$E434=0),0,IF(OR($J434&lt;Y$3,$I434&gt;Y$2),0,IF($K434=0,IF(AND($I434&gt;=Y$3,$I434&lt;=Y$2),$E434,0),$E434*NETWORKDAYS(MAX($I434,Y$3),MIN($J434,Y$2),Data!$K$4:$K$203)/$K434)))</f>
        <v>0</v>
      </c>
      <c r="Z434" s="170">
        <f>IF(OR($I434="",$E434=0),0,IF(OR($J434&lt;Z$3,$I434&gt;Z$2),0,IF($K434=0,IF(AND($I434&gt;=Z$3,$I434&lt;=Z$2),$E434,0),$E434*NETWORKDAYS(MAX($I434,Z$3),MIN($J434,Z$2),Data!$K$4:$K$203)/$K434)))</f>
        <v>0</v>
      </c>
      <c r="AA434" s="170">
        <f>IF(OR($I434="",$E434=0),0,IF(OR($J434&lt;AA$3,$I434&gt;AA$2),0,IF($K434=0,IF(AND($I434&gt;=AA$3,$I434&lt;=AA$2),$E434,0),$E434*NETWORKDAYS(MAX($I434,AA$3),MIN($J434,AA$2),Data!$K$4:$K$203)/$K434)))</f>
        <v>0</v>
      </c>
      <c r="AB434" s="170">
        <f>IF(OR($I434="",$E434=0),0,IF(OR($J434&lt;AB$3,$I434&gt;AB$2),0,IF($K434=0,IF(AND($I434&gt;=AB$3,$I434&lt;=AB$2),$E434,0),$E434*NETWORKDAYS(MAX($I434,AB$3),MIN($J434,AB$2),Data!$K$4:$K$203)/$K434)))</f>
        <v>0</v>
      </c>
      <c r="AC434" s="170">
        <f>IF(OR($I434="",$E434=0),0,IF(OR($J434&lt;AC$3,$I434&gt;AC$2),0,IF($K434=0,IF(AND($I434&gt;=AC$3,$I434&lt;=AC$2),$E434,0),$E434*NETWORKDAYS(MAX($I434,AC$3),MIN($J434,AC$2),Data!$K$4:$K$203)/$K434)))</f>
        <v>0</v>
      </c>
      <c r="AD434" s="170">
        <f>IF(OR($I434="",$E434=0),0,IF(OR($J434&lt;AD$3,$I434&gt;AD$2),0,IF($K434=0,IF(AND($I434&gt;=AD$3,$I434&lt;=AD$2),$E434,0),$E434*NETWORKDAYS(MAX($I434,AD$3),MIN($J434,AD$2),Data!$K$4:$K$203)/$K434)))</f>
        <v>0</v>
      </c>
      <c r="AE434" s="170">
        <f>IF(OR($I434="",$E434=0),0,IF(OR($J434&lt;AE$3,$I434&gt;AE$2),0,IF($K434=0,IF(AND($I434&gt;=AE$3,$I434&lt;=AE$2),$E434,0),$E434*NETWORKDAYS(MAX($I434,AE$3),MIN($J434,AE$2),Data!$K$4:$K$203)/$K434)))</f>
        <v>0</v>
      </c>
      <c r="AF434" s="170">
        <f>IF(OR($I434="",$E434=0),0,IF(OR($J434&lt;AF$3,$I434&gt;AF$2),0,IF($K434=0,IF(AND($I434&gt;=AF$3,$I434&lt;=AF$2),$E434,0),$E434*NETWORKDAYS(MAX($I434,AF$3),MIN($J434,AF$2),Data!$K$4:$K$203)/$K434)))</f>
        <v>0</v>
      </c>
      <c r="AG434" s="170">
        <f>IF(OR($I434="",$E434=0),0,IF(OR($J434&lt;AG$3,$I434&gt;AG$2),0,IF($K434=0,IF(AND($I434&gt;=AG$3,$I434&lt;=AG$2),$E434,0),$E434*NETWORKDAYS(MAX($I434,AG$3),MIN($J434,AG$2),Data!$K$4:$K$203)/$K434)))</f>
        <v>0</v>
      </c>
      <c r="AH434" s="170">
        <f>IF(OR($I434="",$E434=0),0,IF(OR($J434&lt;AH$3,$I434&gt;AH$2),0,IF($K434=0,IF(AND($I434&gt;=AH$3,$I434&lt;=AH$2),$E434,0),$E434*NETWORKDAYS(MAX($I434,AH$3),MIN($J434,AH$2),Data!$K$4:$K$203)/$K434)))</f>
        <v>0</v>
      </c>
      <c r="AI434" s="170">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70"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4" t="str">
        <f>IF(EO434=1,IF(FH434&gt;0,FI434/FH434,AVERAGEIF($FF$4:$FF$503,EN434,$C$4:$C$503)),"")</f>
        <v/>
      </c>
      <c r="EV434" s="169">
        <f>IF(ISNUMBER(I434),I434,2958465)</f>
        <v>2958465.0</v>
      </c>
      <c r="EW434" s="169" t="str">
        <f>IF(EO434=1,SUMPRODUCT(MIN(($EN$4:$EN$503=EN434)*$EV$4:$EV$503+($EN$4:$EN$503&lt;&gt;EN434)*2958465)),"")</f>
        <v/>
      </c>
      <c r="EX434" s="169">
        <f>IF(AND(D434=1,ISNUMBER(INDEX(Charge!$F:$F,ROW()))),INDEX(Charge!$F:$F,ROW()),0)</f>
        <v>0.0</v>
      </c>
      <c r="EY434" s="169" t="str">
        <f>IF(EO434=1,SUMPRODUCT(MAX(($EN$4:$EN$503=EN434)*$EX$4:$EX$503)),"")</f>
        <v/>
      </c>
      <c r="FD434">
        <f>IF(AND(B434=1,TRIM(INDEX(Charge!$K:$K,ROW()))&lt;&gt;"",TRIM(INDEX(Charge!$L:$L,ROW()))&lt;&gt;""),1,0)</f>
        <v>0</v>
      </c>
      <c r="FE434">
        <f>IF(OR(EN434="",BZ434="(non affecté)"),0,IF(COUNTIFS($EN$4:EN434,EN434,$BZ$4:BZ434,BZ434)=1,1,0))</f>
        <v>0</v>
      </c>
      <c r="FF434" t="str">
        <f>IF(B434=1,LEFT(SUBSTITUTE(SUBSTITUTE(SUBSTITUTE(TRIM(SUBSTITUTE(INDEX(Charge!$B:$B,ROW()),CHAR(160)," "))&amp;" | "&amp;TRIM(SUBSTITUTE(INDEX(Charge!$C:$C,ROW()),CHAR(160)," "))&amp;" | "&amp;TRIM(SUBSTITUTE(INDEX(Charge!$D:$D,ROW()),CHAR(160)," ")),"~","-"),"*","+"),"?","!"),240),"")</f>
        <v/>
      </c>
      <c r="FG434">
        <f>IF(B434=1,MAX(0,N(INDEX(Charge!$M:$M,ROW()))),0)</f>
        <v>0</v>
      </c>
      <c r="FH434" s="170" t="str">
        <f>IF(EO434=1,ROUND(SUMIF($FF$4:$FF$503,EN434,$FG$4:$FG$503),2),"")</f>
        <v/>
      </c>
      <c r="FI434" s="170" t="str">
        <f>IF(EO434=1,ROUND(SUMPRODUCT(($FF$4:$FF$503=EN434)*$FG$4:$FG$503*$C$4:$C$503),2),"")</f>
        <v/>
      </c>
      <c r="FJ434" s="170" t="str">
        <f>IF(EO434=1,MAX(0,ROUND(FH434-FI434,2)),"")</f>
        <v/>
      </c>
      <c r="FK434" s="174" t="str">
        <f>IF(EO434=1,IF(OR(EW434&gt;=2958465,EY434=0,EY434&lt;=EW434),"",IF(TODAY()&lt;=EW434,0,IF(TODAY()&gt;EY434,1,IFERROR(NETWORKDAYS(EW434,TODAY()-1,Data!$K$4:$K$203)/NETWORKDAYS(EW434,EY434,Data!$K$4:$K$203),"")))),"")</f>
        <v/>
      </c>
      <c r="FL434" t="str">
        <f>IF(EO434=1,IF(AND(EY434&gt;0,EY434&lt;TODAY(),ROUND(EU434,4)&lt;1),2,IF(FK434="",0,IF(ROUND(EU434-FK434,4)&lt;-0.15,1,0))),"")</f>
        <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9" t="str">
        <f>IF(AND(D435=1,ISNUMBER(INDEX(Charge!$N:$N,ROW()))),INDEX(Charge!$N:$N,ROW()),"")</f>
        <v/>
      </c>
      <c r="J435" s="169"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70">
        <f>IF(OR($I435="",$E435=0),0,IF(OR($J435&lt;W$3,$I435&gt;W$2),0,IF($K435=0,IF(AND($I435&gt;=W$3,$I435&lt;=W$2),$E435,0),$E435*NETWORKDAYS(MAX($I435,W$3),MIN($J435,W$2),Data!$K$4:$K$203)/$K435)))</f>
        <v>0</v>
      </c>
      <c r="X435" s="170">
        <f>IF(OR($I435="",$E435=0),0,IF(OR($J435&lt;X$3,$I435&gt;X$2),0,IF($K435=0,IF(AND($I435&gt;=X$3,$I435&lt;=X$2),$E435,0),$E435*NETWORKDAYS(MAX($I435,X$3),MIN($J435,X$2),Data!$K$4:$K$203)/$K435)))</f>
        <v>0</v>
      </c>
      <c r="Y435" s="170">
        <f>IF(OR($I435="",$E435=0),0,IF(OR($J435&lt;Y$3,$I435&gt;Y$2),0,IF($K435=0,IF(AND($I435&gt;=Y$3,$I435&lt;=Y$2),$E435,0),$E435*NETWORKDAYS(MAX($I435,Y$3),MIN($J435,Y$2),Data!$K$4:$K$203)/$K435)))</f>
        <v>0</v>
      </c>
      <c r="Z435" s="170">
        <f>IF(OR($I435="",$E435=0),0,IF(OR($J435&lt;Z$3,$I435&gt;Z$2),0,IF($K435=0,IF(AND($I435&gt;=Z$3,$I435&lt;=Z$2),$E435,0),$E435*NETWORKDAYS(MAX($I435,Z$3),MIN($J435,Z$2),Data!$K$4:$K$203)/$K435)))</f>
        <v>0</v>
      </c>
      <c r="AA435" s="170">
        <f>IF(OR($I435="",$E435=0),0,IF(OR($J435&lt;AA$3,$I435&gt;AA$2),0,IF($K435=0,IF(AND($I435&gt;=AA$3,$I435&lt;=AA$2),$E435,0),$E435*NETWORKDAYS(MAX($I435,AA$3),MIN($J435,AA$2),Data!$K$4:$K$203)/$K435)))</f>
        <v>0</v>
      </c>
      <c r="AB435" s="170">
        <f>IF(OR($I435="",$E435=0),0,IF(OR($J435&lt;AB$3,$I435&gt;AB$2),0,IF($K435=0,IF(AND($I435&gt;=AB$3,$I435&lt;=AB$2),$E435,0),$E435*NETWORKDAYS(MAX($I435,AB$3),MIN($J435,AB$2),Data!$K$4:$K$203)/$K435)))</f>
        <v>0</v>
      </c>
      <c r="AC435" s="170">
        <f>IF(OR($I435="",$E435=0),0,IF(OR($J435&lt;AC$3,$I435&gt;AC$2),0,IF($K435=0,IF(AND($I435&gt;=AC$3,$I435&lt;=AC$2),$E435,0),$E435*NETWORKDAYS(MAX($I435,AC$3),MIN($J435,AC$2),Data!$K$4:$K$203)/$K435)))</f>
        <v>0</v>
      </c>
      <c r="AD435" s="170">
        <f>IF(OR($I435="",$E435=0),0,IF(OR($J435&lt;AD$3,$I435&gt;AD$2),0,IF($K435=0,IF(AND($I435&gt;=AD$3,$I435&lt;=AD$2),$E435,0),$E435*NETWORKDAYS(MAX($I435,AD$3),MIN($J435,AD$2),Data!$K$4:$K$203)/$K435)))</f>
        <v>0</v>
      </c>
      <c r="AE435" s="170">
        <f>IF(OR($I435="",$E435=0),0,IF(OR($J435&lt;AE$3,$I435&gt;AE$2),0,IF($K435=0,IF(AND($I435&gt;=AE$3,$I435&lt;=AE$2),$E435,0),$E435*NETWORKDAYS(MAX($I435,AE$3),MIN($J435,AE$2),Data!$K$4:$K$203)/$K435)))</f>
        <v>0</v>
      </c>
      <c r="AF435" s="170">
        <f>IF(OR($I435="",$E435=0),0,IF(OR($J435&lt;AF$3,$I435&gt;AF$2),0,IF($K435=0,IF(AND($I435&gt;=AF$3,$I435&lt;=AF$2),$E435,0),$E435*NETWORKDAYS(MAX($I435,AF$3),MIN($J435,AF$2),Data!$K$4:$K$203)/$K435)))</f>
        <v>0</v>
      </c>
      <c r="AG435" s="170">
        <f>IF(OR($I435="",$E435=0),0,IF(OR($J435&lt;AG$3,$I435&gt;AG$2),0,IF($K435=0,IF(AND($I435&gt;=AG$3,$I435&lt;=AG$2),$E435,0),$E435*NETWORKDAYS(MAX($I435,AG$3),MIN($J435,AG$2),Data!$K$4:$K$203)/$K435)))</f>
        <v>0</v>
      </c>
      <c r="AH435" s="170">
        <f>IF(OR($I435="",$E435=0),0,IF(OR($J435&lt;AH$3,$I435&gt;AH$2),0,IF($K435=0,IF(AND($I435&gt;=AH$3,$I435&lt;=AH$2),$E435,0),$E435*NETWORKDAYS(MAX($I435,AH$3),MIN($J435,AH$2),Data!$K$4:$K$203)/$K435)))</f>
        <v>0</v>
      </c>
      <c r="AI435" s="170">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70"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4" t="str">
        <f>IF(EO435=1,IF(FH435&gt;0,FI435/FH435,AVERAGEIF($FF$4:$FF$503,EN435,$C$4:$C$503)),"")</f>
        <v/>
      </c>
      <c r="EV435" s="169">
        <f>IF(ISNUMBER(I435),I435,2958465)</f>
        <v>2958465.0</v>
      </c>
      <c r="EW435" s="169" t="str">
        <f>IF(EO435=1,SUMPRODUCT(MIN(($EN$4:$EN$503=EN435)*$EV$4:$EV$503+($EN$4:$EN$503&lt;&gt;EN435)*2958465)),"")</f>
        <v/>
      </c>
      <c r="EX435" s="169">
        <f>IF(AND(D435=1,ISNUMBER(INDEX(Charge!$F:$F,ROW()))),INDEX(Charge!$F:$F,ROW()),0)</f>
        <v>0.0</v>
      </c>
      <c r="EY435" s="169" t="str">
        <f>IF(EO435=1,SUMPRODUCT(MAX(($EN$4:$EN$503=EN435)*$EX$4:$EX$503)),"")</f>
        <v/>
      </c>
      <c r="FD435">
        <f>IF(AND(B435=1,TRIM(INDEX(Charge!$K:$K,ROW()))&lt;&gt;"",TRIM(INDEX(Charge!$L:$L,ROW()))&lt;&gt;""),1,0)</f>
        <v>0</v>
      </c>
      <c r="FE435">
        <f>IF(OR(EN435="",BZ435="(non affecté)"),0,IF(COUNTIFS($EN$4:EN435,EN435,$BZ$4:BZ435,BZ435)=1,1,0))</f>
        <v>0</v>
      </c>
      <c r="FF435" t="str">
        <f>IF(B435=1,LEFT(SUBSTITUTE(SUBSTITUTE(SUBSTITUTE(TRIM(SUBSTITUTE(INDEX(Charge!$B:$B,ROW()),CHAR(160)," "))&amp;" | "&amp;TRIM(SUBSTITUTE(INDEX(Charge!$C:$C,ROW()),CHAR(160)," "))&amp;" | "&amp;TRIM(SUBSTITUTE(INDEX(Charge!$D:$D,ROW()),CHAR(160)," ")),"~","-"),"*","+"),"?","!"),240),"")</f>
        <v/>
      </c>
      <c r="FG435">
        <f>IF(B435=1,MAX(0,N(INDEX(Charge!$M:$M,ROW()))),0)</f>
        <v>0</v>
      </c>
      <c r="FH435" s="170" t="str">
        <f>IF(EO435=1,ROUND(SUMIF($FF$4:$FF$503,EN435,$FG$4:$FG$503),2),"")</f>
        <v/>
      </c>
      <c r="FI435" s="170" t="str">
        <f>IF(EO435=1,ROUND(SUMPRODUCT(($FF$4:$FF$503=EN435)*$FG$4:$FG$503*$C$4:$C$503),2),"")</f>
        <v/>
      </c>
      <c r="FJ435" s="170" t="str">
        <f>IF(EO435=1,MAX(0,ROUND(FH435-FI435,2)),"")</f>
        <v/>
      </c>
      <c r="FK435" s="174" t="str">
        <f>IF(EO435=1,IF(OR(EW435&gt;=2958465,EY435=0,EY435&lt;=EW435),"",IF(TODAY()&lt;=EW435,0,IF(TODAY()&gt;EY435,1,IFERROR(NETWORKDAYS(EW435,TODAY()-1,Data!$K$4:$K$203)/NETWORKDAYS(EW435,EY435,Data!$K$4:$K$203),"")))),"")</f>
        <v/>
      </c>
      <c r="FL435" t="str">
        <f>IF(EO435=1,IF(AND(EY435&gt;0,EY435&lt;TODAY(),ROUND(EU435,4)&lt;1),2,IF(FK435="",0,IF(ROUND(EU435-FK435,4)&lt;-0.15,1,0))),"")</f>
        <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9" t="str">
        <f>IF(AND(D436=1,ISNUMBER(INDEX(Charge!$N:$N,ROW()))),INDEX(Charge!$N:$N,ROW()),"")</f>
        <v/>
      </c>
      <c r="J436" s="169"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70">
        <f>IF(OR($I436="",$E436=0),0,IF(OR($J436&lt;W$3,$I436&gt;W$2),0,IF($K436=0,IF(AND($I436&gt;=W$3,$I436&lt;=W$2),$E436,0),$E436*NETWORKDAYS(MAX($I436,W$3),MIN($J436,W$2),Data!$K$4:$K$203)/$K436)))</f>
        <v>0</v>
      </c>
      <c r="X436" s="170">
        <f>IF(OR($I436="",$E436=0),0,IF(OR($J436&lt;X$3,$I436&gt;X$2),0,IF($K436=0,IF(AND($I436&gt;=X$3,$I436&lt;=X$2),$E436,0),$E436*NETWORKDAYS(MAX($I436,X$3),MIN($J436,X$2),Data!$K$4:$K$203)/$K436)))</f>
        <v>0</v>
      </c>
      <c r="Y436" s="170">
        <f>IF(OR($I436="",$E436=0),0,IF(OR($J436&lt;Y$3,$I436&gt;Y$2),0,IF($K436=0,IF(AND($I436&gt;=Y$3,$I436&lt;=Y$2),$E436,0),$E436*NETWORKDAYS(MAX($I436,Y$3),MIN($J436,Y$2),Data!$K$4:$K$203)/$K436)))</f>
        <v>0</v>
      </c>
      <c r="Z436" s="170">
        <f>IF(OR($I436="",$E436=0),0,IF(OR($J436&lt;Z$3,$I436&gt;Z$2),0,IF($K436=0,IF(AND($I436&gt;=Z$3,$I436&lt;=Z$2),$E436,0),$E436*NETWORKDAYS(MAX($I436,Z$3),MIN($J436,Z$2),Data!$K$4:$K$203)/$K436)))</f>
        <v>0</v>
      </c>
      <c r="AA436" s="170">
        <f>IF(OR($I436="",$E436=0),0,IF(OR($J436&lt;AA$3,$I436&gt;AA$2),0,IF($K436=0,IF(AND($I436&gt;=AA$3,$I436&lt;=AA$2),$E436,0),$E436*NETWORKDAYS(MAX($I436,AA$3),MIN($J436,AA$2),Data!$K$4:$K$203)/$K436)))</f>
        <v>0</v>
      </c>
      <c r="AB436" s="170">
        <f>IF(OR($I436="",$E436=0),0,IF(OR($J436&lt;AB$3,$I436&gt;AB$2),0,IF($K436=0,IF(AND($I436&gt;=AB$3,$I436&lt;=AB$2),$E436,0),$E436*NETWORKDAYS(MAX($I436,AB$3),MIN($J436,AB$2),Data!$K$4:$K$203)/$K436)))</f>
        <v>0</v>
      </c>
      <c r="AC436" s="170">
        <f>IF(OR($I436="",$E436=0),0,IF(OR($J436&lt;AC$3,$I436&gt;AC$2),0,IF($K436=0,IF(AND($I436&gt;=AC$3,$I436&lt;=AC$2),$E436,0),$E436*NETWORKDAYS(MAX($I436,AC$3),MIN($J436,AC$2),Data!$K$4:$K$203)/$K436)))</f>
        <v>0</v>
      </c>
      <c r="AD436" s="170">
        <f>IF(OR($I436="",$E436=0),0,IF(OR($J436&lt;AD$3,$I436&gt;AD$2),0,IF($K436=0,IF(AND($I436&gt;=AD$3,$I436&lt;=AD$2),$E436,0),$E436*NETWORKDAYS(MAX($I436,AD$3),MIN($J436,AD$2),Data!$K$4:$K$203)/$K436)))</f>
        <v>0</v>
      </c>
      <c r="AE436" s="170">
        <f>IF(OR($I436="",$E436=0),0,IF(OR($J436&lt;AE$3,$I436&gt;AE$2),0,IF($K436=0,IF(AND($I436&gt;=AE$3,$I436&lt;=AE$2),$E436,0),$E436*NETWORKDAYS(MAX($I436,AE$3),MIN($J436,AE$2),Data!$K$4:$K$203)/$K436)))</f>
        <v>0</v>
      </c>
      <c r="AF436" s="170">
        <f>IF(OR($I436="",$E436=0),0,IF(OR($J436&lt;AF$3,$I436&gt;AF$2),0,IF($K436=0,IF(AND($I436&gt;=AF$3,$I436&lt;=AF$2),$E436,0),$E436*NETWORKDAYS(MAX($I436,AF$3),MIN($J436,AF$2),Data!$K$4:$K$203)/$K436)))</f>
        <v>0</v>
      </c>
      <c r="AG436" s="170">
        <f>IF(OR($I436="",$E436=0),0,IF(OR($J436&lt;AG$3,$I436&gt;AG$2),0,IF($K436=0,IF(AND($I436&gt;=AG$3,$I436&lt;=AG$2),$E436,0),$E436*NETWORKDAYS(MAX($I436,AG$3),MIN($J436,AG$2),Data!$K$4:$K$203)/$K436)))</f>
        <v>0</v>
      </c>
      <c r="AH436" s="170">
        <f>IF(OR($I436="",$E436=0),0,IF(OR($J436&lt;AH$3,$I436&gt;AH$2),0,IF($K436=0,IF(AND($I436&gt;=AH$3,$I436&lt;=AH$2),$E436,0),$E436*NETWORKDAYS(MAX($I436,AH$3),MIN($J436,AH$2),Data!$K$4:$K$203)/$K436)))</f>
        <v>0</v>
      </c>
      <c r="AI436" s="170">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70"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4" t="str">
        <f>IF(EO436=1,IF(FH436&gt;0,FI436/FH436,AVERAGEIF($FF$4:$FF$503,EN436,$C$4:$C$503)),"")</f>
        <v/>
      </c>
      <c r="EV436" s="169">
        <f>IF(ISNUMBER(I436),I436,2958465)</f>
        <v>2958465.0</v>
      </c>
      <c r="EW436" s="169" t="str">
        <f>IF(EO436=1,SUMPRODUCT(MIN(($EN$4:$EN$503=EN436)*$EV$4:$EV$503+($EN$4:$EN$503&lt;&gt;EN436)*2958465)),"")</f>
        <v/>
      </c>
      <c r="EX436" s="169">
        <f>IF(AND(D436=1,ISNUMBER(INDEX(Charge!$F:$F,ROW()))),INDEX(Charge!$F:$F,ROW()),0)</f>
        <v>0.0</v>
      </c>
      <c r="EY436" s="169" t="str">
        <f>IF(EO436=1,SUMPRODUCT(MAX(($EN$4:$EN$503=EN436)*$EX$4:$EX$503)),"")</f>
        <v/>
      </c>
      <c r="FD436">
        <f>IF(AND(B436=1,TRIM(INDEX(Charge!$K:$K,ROW()))&lt;&gt;"",TRIM(INDEX(Charge!$L:$L,ROW()))&lt;&gt;""),1,0)</f>
        <v>0</v>
      </c>
      <c r="FE436">
        <f>IF(OR(EN436="",BZ436="(non affecté)"),0,IF(COUNTIFS($EN$4:EN436,EN436,$BZ$4:BZ436,BZ436)=1,1,0))</f>
        <v>0</v>
      </c>
      <c r="FF436" t="str">
        <f>IF(B436=1,LEFT(SUBSTITUTE(SUBSTITUTE(SUBSTITUTE(TRIM(SUBSTITUTE(INDEX(Charge!$B:$B,ROW()),CHAR(160)," "))&amp;" | "&amp;TRIM(SUBSTITUTE(INDEX(Charge!$C:$C,ROW()),CHAR(160)," "))&amp;" | "&amp;TRIM(SUBSTITUTE(INDEX(Charge!$D:$D,ROW()),CHAR(160)," ")),"~","-"),"*","+"),"?","!"),240),"")</f>
        <v/>
      </c>
      <c r="FG436">
        <f>IF(B436=1,MAX(0,N(INDEX(Charge!$M:$M,ROW()))),0)</f>
        <v>0</v>
      </c>
      <c r="FH436" s="170" t="str">
        <f>IF(EO436=1,ROUND(SUMIF($FF$4:$FF$503,EN436,$FG$4:$FG$503),2),"")</f>
        <v/>
      </c>
      <c r="FI436" s="170" t="str">
        <f>IF(EO436=1,ROUND(SUMPRODUCT(($FF$4:$FF$503=EN436)*$FG$4:$FG$503*$C$4:$C$503),2),"")</f>
        <v/>
      </c>
      <c r="FJ436" s="170" t="str">
        <f>IF(EO436=1,MAX(0,ROUND(FH436-FI436,2)),"")</f>
        <v/>
      </c>
      <c r="FK436" s="174" t="str">
        <f>IF(EO436=1,IF(OR(EW436&gt;=2958465,EY436=0,EY436&lt;=EW436),"",IF(TODAY()&lt;=EW436,0,IF(TODAY()&gt;EY436,1,IFERROR(NETWORKDAYS(EW436,TODAY()-1,Data!$K$4:$K$203)/NETWORKDAYS(EW436,EY436,Data!$K$4:$K$203),"")))),"")</f>
        <v/>
      </c>
      <c r="FL436" t="str">
        <f>IF(EO436=1,IF(AND(EY436&gt;0,EY436&lt;TODAY(),ROUND(EU436,4)&lt;1),2,IF(FK436="",0,IF(ROUND(EU436-FK436,4)&lt;-0.15,1,0))),"")</f>
        <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9" t="str">
        <f>IF(AND(D437=1,ISNUMBER(INDEX(Charge!$N:$N,ROW()))),INDEX(Charge!$N:$N,ROW()),"")</f>
        <v/>
      </c>
      <c r="J437" s="169"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70">
        <f>IF(OR($I437="",$E437=0),0,IF(OR($J437&lt;W$3,$I437&gt;W$2),0,IF($K437=0,IF(AND($I437&gt;=W$3,$I437&lt;=W$2),$E437,0),$E437*NETWORKDAYS(MAX($I437,W$3),MIN($J437,W$2),Data!$K$4:$K$203)/$K437)))</f>
        <v>0</v>
      </c>
      <c r="X437" s="170">
        <f>IF(OR($I437="",$E437=0),0,IF(OR($J437&lt;X$3,$I437&gt;X$2),0,IF($K437=0,IF(AND($I437&gt;=X$3,$I437&lt;=X$2),$E437,0),$E437*NETWORKDAYS(MAX($I437,X$3),MIN($J437,X$2),Data!$K$4:$K$203)/$K437)))</f>
        <v>0</v>
      </c>
      <c r="Y437" s="170">
        <f>IF(OR($I437="",$E437=0),0,IF(OR($J437&lt;Y$3,$I437&gt;Y$2),0,IF($K437=0,IF(AND($I437&gt;=Y$3,$I437&lt;=Y$2),$E437,0),$E437*NETWORKDAYS(MAX($I437,Y$3),MIN($J437,Y$2),Data!$K$4:$K$203)/$K437)))</f>
        <v>0</v>
      </c>
      <c r="Z437" s="170">
        <f>IF(OR($I437="",$E437=0),0,IF(OR($J437&lt;Z$3,$I437&gt;Z$2),0,IF($K437=0,IF(AND($I437&gt;=Z$3,$I437&lt;=Z$2),$E437,0),$E437*NETWORKDAYS(MAX($I437,Z$3),MIN($J437,Z$2),Data!$K$4:$K$203)/$K437)))</f>
        <v>0</v>
      </c>
      <c r="AA437" s="170">
        <f>IF(OR($I437="",$E437=0),0,IF(OR($J437&lt;AA$3,$I437&gt;AA$2),0,IF($K437=0,IF(AND($I437&gt;=AA$3,$I437&lt;=AA$2),$E437,0),$E437*NETWORKDAYS(MAX($I437,AA$3),MIN($J437,AA$2),Data!$K$4:$K$203)/$K437)))</f>
        <v>0</v>
      </c>
      <c r="AB437" s="170">
        <f>IF(OR($I437="",$E437=0),0,IF(OR($J437&lt;AB$3,$I437&gt;AB$2),0,IF($K437=0,IF(AND($I437&gt;=AB$3,$I437&lt;=AB$2),$E437,0),$E437*NETWORKDAYS(MAX($I437,AB$3),MIN($J437,AB$2),Data!$K$4:$K$203)/$K437)))</f>
        <v>0</v>
      </c>
      <c r="AC437" s="170">
        <f>IF(OR($I437="",$E437=0),0,IF(OR($J437&lt;AC$3,$I437&gt;AC$2),0,IF($K437=0,IF(AND($I437&gt;=AC$3,$I437&lt;=AC$2),$E437,0),$E437*NETWORKDAYS(MAX($I437,AC$3),MIN($J437,AC$2),Data!$K$4:$K$203)/$K437)))</f>
        <v>0</v>
      </c>
      <c r="AD437" s="170">
        <f>IF(OR($I437="",$E437=0),0,IF(OR($J437&lt;AD$3,$I437&gt;AD$2),0,IF($K437=0,IF(AND($I437&gt;=AD$3,$I437&lt;=AD$2),$E437,0),$E437*NETWORKDAYS(MAX($I437,AD$3),MIN($J437,AD$2),Data!$K$4:$K$203)/$K437)))</f>
        <v>0</v>
      </c>
      <c r="AE437" s="170">
        <f>IF(OR($I437="",$E437=0),0,IF(OR($J437&lt;AE$3,$I437&gt;AE$2),0,IF($K437=0,IF(AND($I437&gt;=AE$3,$I437&lt;=AE$2),$E437,0),$E437*NETWORKDAYS(MAX($I437,AE$3),MIN($J437,AE$2),Data!$K$4:$K$203)/$K437)))</f>
        <v>0</v>
      </c>
      <c r="AF437" s="170">
        <f>IF(OR($I437="",$E437=0),0,IF(OR($J437&lt;AF$3,$I437&gt;AF$2),0,IF($K437=0,IF(AND($I437&gt;=AF$3,$I437&lt;=AF$2),$E437,0),$E437*NETWORKDAYS(MAX($I437,AF$3),MIN($J437,AF$2),Data!$K$4:$K$203)/$K437)))</f>
        <v>0</v>
      </c>
      <c r="AG437" s="170">
        <f>IF(OR($I437="",$E437=0),0,IF(OR($J437&lt;AG$3,$I437&gt;AG$2),0,IF($K437=0,IF(AND($I437&gt;=AG$3,$I437&lt;=AG$2),$E437,0),$E437*NETWORKDAYS(MAX($I437,AG$3),MIN($J437,AG$2),Data!$K$4:$K$203)/$K437)))</f>
        <v>0</v>
      </c>
      <c r="AH437" s="170">
        <f>IF(OR($I437="",$E437=0),0,IF(OR($J437&lt;AH$3,$I437&gt;AH$2),0,IF($K437=0,IF(AND($I437&gt;=AH$3,$I437&lt;=AH$2),$E437,0),$E437*NETWORKDAYS(MAX($I437,AH$3),MIN($J437,AH$2),Data!$K$4:$K$203)/$K437)))</f>
        <v>0</v>
      </c>
      <c r="AI437" s="170">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70"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4" t="str">
        <f>IF(EO437=1,IF(FH437&gt;0,FI437/FH437,AVERAGEIF($FF$4:$FF$503,EN437,$C$4:$C$503)),"")</f>
        <v/>
      </c>
      <c r="EV437" s="169">
        <f>IF(ISNUMBER(I437),I437,2958465)</f>
        <v>2958465.0</v>
      </c>
      <c r="EW437" s="169" t="str">
        <f>IF(EO437=1,SUMPRODUCT(MIN(($EN$4:$EN$503=EN437)*$EV$4:$EV$503+($EN$4:$EN$503&lt;&gt;EN437)*2958465)),"")</f>
        <v/>
      </c>
      <c r="EX437" s="169">
        <f>IF(AND(D437=1,ISNUMBER(INDEX(Charge!$F:$F,ROW()))),INDEX(Charge!$F:$F,ROW()),0)</f>
        <v>0.0</v>
      </c>
      <c r="EY437" s="169" t="str">
        <f>IF(EO437=1,SUMPRODUCT(MAX(($EN$4:$EN$503=EN437)*$EX$4:$EX$503)),"")</f>
        <v/>
      </c>
      <c r="FD437">
        <f>IF(AND(B437=1,TRIM(INDEX(Charge!$K:$K,ROW()))&lt;&gt;"",TRIM(INDEX(Charge!$L:$L,ROW()))&lt;&gt;""),1,0)</f>
        <v>0</v>
      </c>
      <c r="FE437">
        <f>IF(OR(EN437="",BZ437="(non affecté)"),0,IF(COUNTIFS($EN$4:EN437,EN437,$BZ$4:BZ437,BZ437)=1,1,0))</f>
        <v>0</v>
      </c>
      <c r="FF437" t="str">
        <f>IF(B437=1,LEFT(SUBSTITUTE(SUBSTITUTE(SUBSTITUTE(TRIM(SUBSTITUTE(INDEX(Charge!$B:$B,ROW()),CHAR(160)," "))&amp;" | "&amp;TRIM(SUBSTITUTE(INDEX(Charge!$C:$C,ROW()),CHAR(160)," "))&amp;" | "&amp;TRIM(SUBSTITUTE(INDEX(Charge!$D:$D,ROW()),CHAR(160)," ")),"~","-"),"*","+"),"?","!"),240),"")</f>
        <v/>
      </c>
      <c r="FG437">
        <f>IF(B437=1,MAX(0,N(INDEX(Charge!$M:$M,ROW()))),0)</f>
        <v>0</v>
      </c>
      <c r="FH437" s="170" t="str">
        <f>IF(EO437=1,ROUND(SUMIF($FF$4:$FF$503,EN437,$FG$4:$FG$503),2),"")</f>
        <v/>
      </c>
      <c r="FI437" s="170" t="str">
        <f>IF(EO437=1,ROUND(SUMPRODUCT(($FF$4:$FF$503=EN437)*$FG$4:$FG$503*$C$4:$C$503),2),"")</f>
        <v/>
      </c>
      <c r="FJ437" s="170" t="str">
        <f>IF(EO437=1,MAX(0,ROUND(FH437-FI437,2)),"")</f>
        <v/>
      </c>
      <c r="FK437" s="174" t="str">
        <f>IF(EO437=1,IF(OR(EW437&gt;=2958465,EY437=0,EY437&lt;=EW437),"",IF(TODAY()&lt;=EW437,0,IF(TODAY()&gt;EY437,1,IFERROR(NETWORKDAYS(EW437,TODAY()-1,Data!$K$4:$K$203)/NETWORKDAYS(EW437,EY437,Data!$K$4:$K$203),"")))),"")</f>
        <v/>
      </c>
      <c r="FL437" t="str">
        <f>IF(EO437=1,IF(AND(EY437&gt;0,EY437&lt;TODAY(),ROUND(EU437,4)&lt;1),2,IF(FK437="",0,IF(ROUND(EU437-FK437,4)&lt;-0.15,1,0))),"")</f>
        <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9" t="str">
        <f>IF(AND(D438=1,ISNUMBER(INDEX(Charge!$N:$N,ROW()))),INDEX(Charge!$N:$N,ROW()),"")</f>
        <v/>
      </c>
      <c r="J438" s="169"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70">
        <f>IF(OR($I438="",$E438=0),0,IF(OR($J438&lt;W$3,$I438&gt;W$2),0,IF($K438=0,IF(AND($I438&gt;=W$3,$I438&lt;=W$2),$E438,0),$E438*NETWORKDAYS(MAX($I438,W$3),MIN($J438,W$2),Data!$K$4:$K$203)/$K438)))</f>
        <v>0</v>
      </c>
      <c r="X438" s="170">
        <f>IF(OR($I438="",$E438=0),0,IF(OR($J438&lt;X$3,$I438&gt;X$2),0,IF($K438=0,IF(AND($I438&gt;=X$3,$I438&lt;=X$2),$E438,0),$E438*NETWORKDAYS(MAX($I438,X$3),MIN($J438,X$2),Data!$K$4:$K$203)/$K438)))</f>
        <v>0</v>
      </c>
      <c r="Y438" s="170">
        <f>IF(OR($I438="",$E438=0),0,IF(OR($J438&lt;Y$3,$I438&gt;Y$2),0,IF($K438=0,IF(AND($I438&gt;=Y$3,$I438&lt;=Y$2),$E438,0),$E438*NETWORKDAYS(MAX($I438,Y$3),MIN($J438,Y$2),Data!$K$4:$K$203)/$K438)))</f>
        <v>0</v>
      </c>
      <c r="Z438" s="170">
        <f>IF(OR($I438="",$E438=0),0,IF(OR($J438&lt;Z$3,$I438&gt;Z$2),0,IF($K438=0,IF(AND($I438&gt;=Z$3,$I438&lt;=Z$2),$E438,0),$E438*NETWORKDAYS(MAX($I438,Z$3),MIN($J438,Z$2),Data!$K$4:$K$203)/$K438)))</f>
        <v>0</v>
      </c>
      <c r="AA438" s="170">
        <f>IF(OR($I438="",$E438=0),0,IF(OR($J438&lt;AA$3,$I438&gt;AA$2),0,IF($K438=0,IF(AND($I438&gt;=AA$3,$I438&lt;=AA$2),$E438,0),$E438*NETWORKDAYS(MAX($I438,AA$3),MIN($J438,AA$2),Data!$K$4:$K$203)/$K438)))</f>
        <v>0</v>
      </c>
      <c r="AB438" s="170">
        <f>IF(OR($I438="",$E438=0),0,IF(OR($J438&lt;AB$3,$I438&gt;AB$2),0,IF($K438=0,IF(AND($I438&gt;=AB$3,$I438&lt;=AB$2),$E438,0),$E438*NETWORKDAYS(MAX($I438,AB$3),MIN($J438,AB$2),Data!$K$4:$K$203)/$K438)))</f>
        <v>0</v>
      </c>
      <c r="AC438" s="170">
        <f>IF(OR($I438="",$E438=0),0,IF(OR($J438&lt;AC$3,$I438&gt;AC$2),0,IF($K438=0,IF(AND($I438&gt;=AC$3,$I438&lt;=AC$2),$E438,0),$E438*NETWORKDAYS(MAX($I438,AC$3),MIN($J438,AC$2),Data!$K$4:$K$203)/$K438)))</f>
        <v>0</v>
      </c>
      <c r="AD438" s="170">
        <f>IF(OR($I438="",$E438=0),0,IF(OR($J438&lt;AD$3,$I438&gt;AD$2),0,IF($K438=0,IF(AND($I438&gt;=AD$3,$I438&lt;=AD$2),$E438,0),$E438*NETWORKDAYS(MAX($I438,AD$3),MIN($J438,AD$2),Data!$K$4:$K$203)/$K438)))</f>
        <v>0</v>
      </c>
      <c r="AE438" s="170">
        <f>IF(OR($I438="",$E438=0),0,IF(OR($J438&lt;AE$3,$I438&gt;AE$2),0,IF($K438=0,IF(AND($I438&gt;=AE$3,$I438&lt;=AE$2),$E438,0),$E438*NETWORKDAYS(MAX($I438,AE$3),MIN($J438,AE$2),Data!$K$4:$K$203)/$K438)))</f>
        <v>0</v>
      </c>
      <c r="AF438" s="170">
        <f>IF(OR($I438="",$E438=0),0,IF(OR($J438&lt;AF$3,$I438&gt;AF$2),0,IF($K438=0,IF(AND($I438&gt;=AF$3,$I438&lt;=AF$2),$E438,0),$E438*NETWORKDAYS(MAX($I438,AF$3),MIN($J438,AF$2),Data!$K$4:$K$203)/$K438)))</f>
        <v>0</v>
      </c>
      <c r="AG438" s="170">
        <f>IF(OR($I438="",$E438=0),0,IF(OR($J438&lt;AG$3,$I438&gt;AG$2),0,IF($K438=0,IF(AND($I438&gt;=AG$3,$I438&lt;=AG$2),$E438,0),$E438*NETWORKDAYS(MAX($I438,AG$3),MIN($J438,AG$2),Data!$K$4:$K$203)/$K438)))</f>
        <v>0</v>
      </c>
      <c r="AH438" s="170">
        <f>IF(OR($I438="",$E438=0),0,IF(OR($J438&lt;AH$3,$I438&gt;AH$2),0,IF($K438=0,IF(AND($I438&gt;=AH$3,$I438&lt;=AH$2),$E438,0),$E438*NETWORKDAYS(MAX($I438,AH$3),MIN($J438,AH$2),Data!$K$4:$K$203)/$K438)))</f>
        <v>0</v>
      </c>
      <c r="AI438" s="170">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70"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4" t="str">
        <f>IF(EO438=1,IF(FH438&gt;0,FI438/FH438,AVERAGEIF($FF$4:$FF$503,EN438,$C$4:$C$503)),"")</f>
        <v/>
      </c>
      <c r="EV438" s="169">
        <f>IF(ISNUMBER(I438),I438,2958465)</f>
        <v>2958465.0</v>
      </c>
      <c r="EW438" s="169" t="str">
        <f>IF(EO438=1,SUMPRODUCT(MIN(($EN$4:$EN$503=EN438)*$EV$4:$EV$503+($EN$4:$EN$503&lt;&gt;EN438)*2958465)),"")</f>
        <v/>
      </c>
      <c r="EX438" s="169">
        <f>IF(AND(D438=1,ISNUMBER(INDEX(Charge!$F:$F,ROW()))),INDEX(Charge!$F:$F,ROW()),0)</f>
        <v>0.0</v>
      </c>
      <c r="EY438" s="169" t="str">
        <f>IF(EO438=1,SUMPRODUCT(MAX(($EN$4:$EN$503=EN438)*$EX$4:$EX$503)),"")</f>
        <v/>
      </c>
      <c r="FD438">
        <f>IF(AND(B438=1,TRIM(INDEX(Charge!$K:$K,ROW()))&lt;&gt;"",TRIM(INDEX(Charge!$L:$L,ROW()))&lt;&gt;""),1,0)</f>
        <v>0</v>
      </c>
      <c r="FE438">
        <f>IF(OR(EN438="",BZ438="(non affecté)"),0,IF(COUNTIFS($EN$4:EN438,EN438,$BZ$4:BZ438,BZ438)=1,1,0))</f>
        <v>0</v>
      </c>
      <c r="FF438" t="str">
        <f>IF(B438=1,LEFT(SUBSTITUTE(SUBSTITUTE(SUBSTITUTE(TRIM(SUBSTITUTE(INDEX(Charge!$B:$B,ROW()),CHAR(160)," "))&amp;" | "&amp;TRIM(SUBSTITUTE(INDEX(Charge!$C:$C,ROW()),CHAR(160)," "))&amp;" | "&amp;TRIM(SUBSTITUTE(INDEX(Charge!$D:$D,ROW()),CHAR(160)," ")),"~","-"),"*","+"),"?","!"),240),"")</f>
        <v/>
      </c>
      <c r="FG438">
        <f>IF(B438=1,MAX(0,N(INDEX(Charge!$M:$M,ROW()))),0)</f>
        <v>0</v>
      </c>
      <c r="FH438" s="170" t="str">
        <f>IF(EO438=1,ROUND(SUMIF($FF$4:$FF$503,EN438,$FG$4:$FG$503),2),"")</f>
        <v/>
      </c>
      <c r="FI438" s="170" t="str">
        <f>IF(EO438=1,ROUND(SUMPRODUCT(($FF$4:$FF$503=EN438)*$FG$4:$FG$503*$C$4:$C$503),2),"")</f>
        <v/>
      </c>
      <c r="FJ438" s="170" t="str">
        <f>IF(EO438=1,MAX(0,ROUND(FH438-FI438,2)),"")</f>
        <v/>
      </c>
      <c r="FK438" s="174" t="str">
        <f>IF(EO438=1,IF(OR(EW438&gt;=2958465,EY438=0,EY438&lt;=EW438),"",IF(TODAY()&lt;=EW438,0,IF(TODAY()&gt;EY438,1,IFERROR(NETWORKDAYS(EW438,TODAY()-1,Data!$K$4:$K$203)/NETWORKDAYS(EW438,EY438,Data!$K$4:$K$203),"")))),"")</f>
        <v/>
      </c>
      <c r="FL438" t="str">
        <f>IF(EO438=1,IF(AND(EY438&gt;0,EY438&lt;TODAY(),ROUND(EU438,4)&lt;1),2,IF(FK438="",0,IF(ROUND(EU438-FK438,4)&lt;-0.15,1,0))),"")</f>
        <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9" t="str">
        <f>IF(AND(D439=1,ISNUMBER(INDEX(Charge!$N:$N,ROW()))),INDEX(Charge!$N:$N,ROW()),"")</f>
        <v/>
      </c>
      <c r="J439" s="169"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70">
        <f>IF(OR($I439="",$E439=0),0,IF(OR($J439&lt;W$3,$I439&gt;W$2),0,IF($K439=0,IF(AND($I439&gt;=W$3,$I439&lt;=W$2),$E439,0),$E439*NETWORKDAYS(MAX($I439,W$3),MIN($J439,W$2),Data!$K$4:$K$203)/$K439)))</f>
        <v>0</v>
      </c>
      <c r="X439" s="170">
        <f>IF(OR($I439="",$E439=0),0,IF(OR($J439&lt;X$3,$I439&gt;X$2),0,IF($K439=0,IF(AND($I439&gt;=X$3,$I439&lt;=X$2),$E439,0),$E439*NETWORKDAYS(MAX($I439,X$3),MIN($J439,X$2),Data!$K$4:$K$203)/$K439)))</f>
        <v>0</v>
      </c>
      <c r="Y439" s="170">
        <f>IF(OR($I439="",$E439=0),0,IF(OR($J439&lt;Y$3,$I439&gt;Y$2),0,IF($K439=0,IF(AND($I439&gt;=Y$3,$I439&lt;=Y$2),$E439,0),$E439*NETWORKDAYS(MAX($I439,Y$3),MIN($J439,Y$2),Data!$K$4:$K$203)/$K439)))</f>
        <v>0</v>
      </c>
      <c r="Z439" s="170">
        <f>IF(OR($I439="",$E439=0),0,IF(OR($J439&lt;Z$3,$I439&gt;Z$2),0,IF($K439=0,IF(AND($I439&gt;=Z$3,$I439&lt;=Z$2),$E439,0),$E439*NETWORKDAYS(MAX($I439,Z$3),MIN($J439,Z$2),Data!$K$4:$K$203)/$K439)))</f>
        <v>0</v>
      </c>
      <c r="AA439" s="170">
        <f>IF(OR($I439="",$E439=0),0,IF(OR($J439&lt;AA$3,$I439&gt;AA$2),0,IF($K439=0,IF(AND($I439&gt;=AA$3,$I439&lt;=AA$2),$E439,0),$E439*NETWORKDAYS(MAX($I439,AA$3),MIN($J439,AA$2),Data!$K$4:$K$203)/$K439)))</f>
        <v>0</v>
      </c>
      <c r="AB439" s="170">
        <f>IF(OR($I439="",$E439=0),0,IF(OR($J439&lt;AB$3,$I439&gt;AB$2),0,IF($K439=0,IF(AND($I439&gt;=AB$3,$I439&lt;=AB$2),$E439,0),$E439*NETWORKDAYS(MAX($I439,AB$3),MIN($J439,AB$2),Data!$K$4:$K$203)/$K439)))</f>
        <v>0</v>
      </c>
      <c r="AC439" s="170">
        <f>IF(OR($I439="",$E439=0),0,IF(OR($J439&lt;AC$3,$I439&gt;AC$2),0,IF($K439=0,IF(AND($I439&gt;=AC$3,$I439&lt;=AC$2),$E439,0),$E439*NETWORKDAYS(MAX($I439,AC$3),MIN($J439,AC$2),Data!$K$4:$K$203)/$K439)))</f>
        <v>0</v>
      </c>
      <c r="AD439" s="170">
        <f>IF(OR($I439="",$E439=0),0,IF(OR($J439&lt;AD$3,$I439&gt;AD$2),0,IF($K439=0,IF(AND($I439&gt;=AD$3,$I439&lt;=AD$2),$E439,0),$E439*NETWORKDAYS(MAX($I439,AD$3),MIN($J439,AD$2),Data!$K$4:$K$203)/$K439)))</f>
        <v>0</v>
      </c>
      <c r="AE439" s="170">
        <f>IF(OR($I439="",$E439=0),0,IF(OR($J439&lt;AE$3,$I439&gt;AE$2),0,IF($K439=0,IF(AND($I439&gt;=AE$3,$I439&lt;=AE$2),$E439,0),$E439*NETWORKDAYS(MAX($I439,AE$3),MIN($J439,AE$2),Data!$K$4:$K$203)/$K439)))</f>
        <v>0</v>
      </c>
      <c r="AF439" s="170">
        <f>IF(OR($I439="",$E439=0),0,IF(OR($J439&lt;AF$3,$I439&gt;AF$2),0,IF($K439=0,IF(AND($I439&gt;=AF$3,$I439&lt;=AF$2),$E439,0),$E439*NETWORKDAYS(MAX($I439,AF$3),MIN($J439,AF$2),Data!$K$4:$K$203)/$K439)))</f>
        <v>0</v>
      </c>
      <c r="AG439" s="170">
        <f>IF(OR($I439="",$E439=0),0,IF(OR($J439&lt;AG$3,$I439&gt;AG$2),0,IF($K439=0,IF(AND($I439&gt;=AG$3,$I439&lt;=AG$2),$E439,0),$E439*NETWORKDAYS(MAX($I439,AG$3),MIN($J439,AG$2),Data!$K$4:$K$203)/$K439)))</f>
        <v>0</v>
      </c>
      <c r="AH439" s="170">
        <f>IF(OR($I439="",$E439=0),0,IF(OR($J439&lt;AH$3,$I439&gt;AH$2),0,IF($K439=0,IF(AND($I439&gt;=AH$3,$I439&lt;=AH$2),$E439,0),$E439*NETWORKDAYS(MAX($I439,AH$3),MIN($J439,AH$2),Data!$K$4:$K$203)/$K439)))</f>
        <v>0</v>
      </c>
      <c r="AI439" s="170">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70"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4" t="str">
        <f>IF(EO439=1,IF(FH439&gt;0,FI439/FH439,AVERAGEIF($FF$4:$FF$503,EN439,$C$4:$C$503)),"")</f>
        <v/>
      </c>
      <c r="EV439" s="169">
        <f>IF(ISNUMBER(I439),I439,2958465)</f>
        <v>2958465.0</v>
      </c>
      <c r="EW439" s="169" t="str">
        <f>IF(EO439=1,SUMPRODUCT(MIN(($EN$4:$EN$503=EN439)*$EV$4:$EV$503+($EN$4:$EN$503&lt;&gt;EN439)*2958465)),"")</f>
        <v/>
      </c>
      <c r="EX439" s="169">
        <f>IF(AND(D439=1,ISNUMBER(INDEX(Charge!$F:$F,ROW()))),INDEX(Charge!$F:$F,ROW()),0)</f>
        <v>0.0</v>
      </c>
      <c r="EY439" s="169" t="str">
        <f>IF(EO439=1,SUMPRODUCT(MAX(($EN$4:$EN$503=EN439)*$EX$4:$EX$503)),"")</f>
        <v/>
      </c>
      <c r="FD439">
        <f>IF(AND(B439=1,TRIM(INDEX(Charge!$K:$K,ROW()))&lt;&gt;"",TRIM(INDEX(Charge!$L:$L,ROW()))&lt;&gt;""),1,0)</f>
        <v>0</v>
      </c>
      <c r="FE439">
        <f>IF(OR(EN439="",BZ439="(non affecté)"),0,IF(COUNTIFS($EN$4:EN439,EN439,$BZ$4:BZ439,BZ439)=1,1,0))</f>
        <v>0</v>
      </c>
      <c r="FF439" t="str">
        <f>IF(B439=1,LEFT(SUBSTITUTE(SUBSTITUTE(SUBSTITUTE(TRIM(SUBSTITUTE(INDEX(Charge!$B:$B,ROW()),CHAR(160)," "))&amp;" | "&amp;TRIM(SUBSTITUTE(INDEX(Charge!$C:$C,ROW()),CHAR(160)," "))&amp;" | "&amp;TRIM(SUBSTITUTE(INDEX(Charge!$D:$D,ROW()),CHAR(160)," ")),"~","-"),"*","+"),"?","!"),240),"")</f>
        <v/>
      </c>
      <c r="FG439">
        <f>IF(B439=1,MAX(0,N(INDEX(Charge!$M:$M,ROW()))),0)</f>
        <v>0</v>
      </c>
      <c r="FH439" s="170" t="str">
        <f>IF(EO439=1,ROUND(SUMIF($FF$4:$FF$503,EN439,$FG$4:$FG$503),2),"")</f>
        <v/>
      </c>
      <c r="FI439" s="170" t="str">
        <f>IF(EO439=1,ROUND(SUMPRODUCT(($FF$4:$FF$503=EN439)*$FG$4:$FG$503*$C$4:$C$503),2),"")</f>
        <v/>
      </c>
      <c r="FJ439" s="170" t="str">
        <f>IF(EO439=1,MAX(0,ROUND(FH439-FI439,2)),"")</f>
        <v/>
      </c>
      <c r="FK439" s="174" t="str">
        <f>IF(EO439=1,IF(OR(EW439&gt;=2958465,EY439=0,EY439&lt;=EW439),"",IF(TODAY()&lt;=EW439,0,IF(TODAY()&gt;EY439,1,IFERROR(NETWORKDAYS(EW439,TODAY()-1,Data!$K$4:$K$203)/NETWORKDAYS(EW439,EY439,Data!$K$4:$K$203),"")))),"")</f>
        <v/>
      </c>
      <c r="FL439" t="str">
        <f>IF(EO439=1,IF(AND(EY439&gt;0,EY439&lt;TODAY(),ROUND(EU439,4)&lt;1),2,IF(FK439="",0,IF(ROUND(EU439-FK439,4)&lt;-0.15,1,0))),"")</f>
        <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9" t="str">
        <f>IF(AND(D440=1,ISNUMBER(INDEX(Charge!$N:$N,ROW()))),INDEX(Charge!$N:$N,ROW()),"")</f>
        <v/>
      </c>
      <c r="J440" s="169"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70">
        <f>IF(OR($I440="",$E440=0),0,IF(OR($J440&lt;W$3,$I440&gt;W$2),0,IF($K440=0,IF(AND($I440&gt;=W$3,$I440&lt;=W$2),$E440,0),$E440*NETWORKDAYS(MAX($I440,W$3),MIN($J440,W$2),Data!$K$4:$K$203)/$K440)))</f>
        <v>0</v>
      </c>
      <c r="X440" s="170">
        <f>IF(OR($I440="",$E440=0),0,IF(OR($J440&lt;X$3,$I440&gt;X$2),0,IF($K440=0,IF(AND($I440&gt;=X$3,$I440&lt;=X$2),$E440,0),$E440*NETWORKDAYS(MAX($I440,X$3),MIN($J440,X$2),Data!$K$4:$K$203)/$K440)))</f>
        <v>0</v>
      </c>
      <c r="Y440" s="170">
        <f>IF(OR($I440="",$E440=0),0,IF(OR($J440&lt;Y$3,$I440&gt;Y$2),0,IF($K440=0,IF(AND($I440&gt;=Y$3,$I440&lt;=Y$2),$E440,0),$E440*NETWORKDAYS(MAX($I440,Y$3),MIN($J440,Y$2),Data!$K$4:$K$203)/$K440)))</f>
        <v>0</v>
      </c>
      <c r="Z440" s="170">
        <f>IF(OR($I440="",$E440=0),0,IF(OR($J440&lt;Z$3,$I440&gt;Z$2),0,IF($K440=0,IF(AND($I440&gt;=Z$3,$I440&lt;=Z$2),$E440,0),$E440*NETWORKDAYS(MAX($I440,Z$3),MIN($J440,Z$2),Data!$K$4:$K$203)/$K440)))</f>
        <v>0</v>
      </c>
      <c r="AA440" s="170">
        <f>IF(OR($I440="",$E440=0),0,IF(OR($J440&lt;AA$3,$I440&gt;AA$2),0,IF($K440=0,IF(AND($I440&gt;=AA$3,$I440&lt;=AA$2),$E440,0),$E440*NETWORKDAYS(MAX($I440,AA$3),MIN($J440,AA$2),Data!$K$4:$K$203)/$K440)))</f>
        <v>0</v>
      </c>
      <c r="AB440" s="170">
        <f>IF(OR($I440="",$E440=0),0,IF(OR($J440&lt;AB$3,$I440&gt;AB$2),0,IF($K440=0,IF(AND($I440&gt;=AB$3,$I440&lt;=AB$2),$E440,0),$E440*NETWORKDAYS(MAX($I440,AB$3),MIN($J440,AB$2),Data!$K$4:$K$203)/$K440)))</f>
        <v>0</v>
      </c>
      <c r="AC440" s="170">
        <f>IF(OR($I440="",$E440=0),0,IF(OR($J440&lt;AC$3,$I440&gt;AC$2),0,IF($K440=0,IF(AND($I440&gt;=AC$3,$I440&lt;=AC$2),$E440,0),$E440*NETWORKDAYS(MAX($I440,AC$3),MIN($J440,AC$2),Data!$K$4:$K$203)/$K440)))</f>
        <v>0</v>
      </c>
      <c r="AD440" s="170">
        <f>IF(OR($I440="",$E440=0),0,IF(OR($J440&lt;AD$3,$I440&gt;AD$2),0,IF($K440=0,IF(AND($I440&gt;=AD$3,$I440&lt;=AD$2),$E440,0),$E440*NETWORKDAYS(MAX($I440,AD$3),MIN($J440,AD$2),Data!$K$4:$K$203)/$K440)))</f>
        <v>0</v>
      </c>
      <c r="AE440" s="170">
        <f>IF(OR($I440="",$E440=0),0,IF(OR($J440&lt;AE$3,$I440&gt;AE$2),0,IF($K440=0,IF(AND($I440&gt;=AE$3,$I440&lt;=AE$2),$E440,0),$E440*NETWORKDAYS(MAX($I440,AE$3),MIN($J440,AE$2),Data!$K$4:$K$203)/$K440)))</f>
        <v>0</v>
      </c>
      <c r="AF440" s="170">
        <f>IF(OR($I440="",$E440=0),0,IF(OR($J440&lt;AF$3,$I440&gt;AF$2),0,IF($K440=0,IF(AND($I440&gt;=AF$3,$I440&lt;=AF$2),$E440,0),$E440*NETWORKDAYS(MAX($I440,AF$3),MIN($J440,AF$2),Data!$K$4:$K$203)/$K440)))</f>
        <v>0</v>
      </c>
      <c r="AG440" s="170">
        <f>IF(OR($I440="",$E440=0),0,IF(OR($J440&lt;AG$3,$I440&gt;AG$2),0,IF($K440=0,IF(AND($I440&gt;=AG$3,$I440&lt;=AG$2),$E440,0),$E440*NETWORKDAYS(MAX($I440,AG$3),MIN($J440,AG$2),Data!$K$4:$K$203)/$K440)))</f>
        <v>0</v>
      </c>
      <c r="AH440" s="170">
        <f>IF(OR($I440="",$E440=0),0,IF(OR($J440&lt;AH$3,$I440&gt;AH$2),0,IF($K440=0,IF(AND($I440&gt;=AH$3,$I440&lt;=AH$2),$E440,0),$E440*NETWORKDAYS(MAX($I440,AH$3),MIN($J440,AH$2),Data!$K$4:$K$203)/$K440)))</f>
        <v>0</v>
      </c>
      <c r="AI440" s="170">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70"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4" t="str">
        <f>IF(EO440=1,IF(FH440&gt;0,FI440/FH440,AVERAGEIF($FF$4:$FF$503,EN440,$C$4:$C$503)),"")</f>
        <v/>
      </c>
      <c r="EV440" s="169">
        <f>IF(ISNUMBER(I440),I440,2958465)</f>
        <v>2958465.0</v>
      </c>
      <c r="EW440" s="169" t="str">
        <f>IF(EO440=1,SUMPRODUCT(MIN(($EN$4:$EN$503=EN440)*$EV$4:$EV$503+($EN$4:$EN$503&lt;&gt;EN440)*2958465)),"")</f>
        <v/>
      </c>
      <c r="EX440" s="169">
        <f>IF(AND(D440=1,ISNUMBER(INDEX(Charge!$F:$F,ROW()))),INDEX(Charge!$F:$F,ROW()),0)</f>
        <v>0.0</v>
      </c>
      <c r="EY440" s="169" t="str">
        <f>IF(EO440=1,SUMPRODUCT(MAX(($EN$4:$EN$503=EN440)*$EX$4:$EX$503)),"")</f>
        <v/>
      </c>
      <c r="FD440">
        <f>IF(AND(B440=1,TRIM(INDEX(Charge!$K:$K,ROW()))&lt;&gt;"",TRIM(INDEX(Charge!$L:$L,ROW()))&lt;&gt;""),1,0)</f>
        <v>0</v>
      </c>
      <c r="FE440">
        <f>IF(OR(EN440="",BZ440="(non affecté)"),0,IF(COUNTIFS($EN$4:EN440,EN440,$BZ$4:BZ440,BZ440)=1,1,0))</f>
        <v>0</v>
      </c>
      <c r="FF440" t="str">
        <f>IF(B440=1,LEFT(SUBSTITUTE(SUBSTITUTE(SUBSTITUTE(TRIM(SUBSTITUTE(INDEX(Charge!$B:$B,ROW()),CHAR(160)," "))&amp;" | "&amp;TRIM(SUBSTITUTE(INDEX(Charge!$C:$C,ROW()),CHAR(160)," "))&amp;" | "&amp;TRIM(SUBSTITUTE(INDEX(Charge!$D:$D,ROW()),CHAR(160)," ")),"~","-"),"*","+"),"?","!"),240),"")</f>
        <v/>
      </c>
      <c r="FG440">
        <f>IF(B440=1,MAX(0,N(INDEX(Charge!$M:$M,ROW()))),0)</f>
        <v>0</v>
      </c>
      <c r="FH440" s="170" t="str">
        <f>IF(EO440=1,ROUND(SUMIF($FF$4:$FF$503,EN440,$FG$4:$FG$503),2),"")</f>
        <v/>
      </c>
      <c r="FI440" s="170" t="str">
        <f>IF(EO440=1,ROUND(SUMPRODUCT(($FF$4:$FF$503=EN440)*$FG$4:$FG$503*$C$4:$C$503),2),"")</f>
        <v/>
      </c>
      <c r="FJ440" s="170" t="str">
        <f>IF(EO440=1,MAX(0,ROUND(FH440-FI440,2)),"")</f>
        <v/>
      </c>
      <c r="FK440" s="174" t="str">
        <f>IF(EO440=1,IF(OR(EW440&gt;=2958465,EY440=0,EY440&lt;=EW440),"",IF(TODAY()&lt;=EW440,0,IF(TODAY()&gt;EY440,1,IFERROR(NETWORKDAYS(EW440,TODAY()-1,Data!$K$4:$K$203)/NETWORKDAYS(EW440,EY440,Data!$K$4:$K$203),"")))),"")</f>
        <v/>
      </c>
      <c r="FL440" t="str">
        <f>IF(EO440=1,IF(AND(EY440&gt;0,EY440&lt;TODAY(),ROUND(EU440,4)&lt;1),2,IF(FK440="",0,IF(ROUND(EU440-FK440,4)&lt;-0.15,1,0))),"")</f>
        <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9" t="str">
        <f>IF(AND(D441=1,ISNUMBER(INDEX(Charge!$N:$N,ROW()))),INDEX(Charge!$N:$N,ROW()),"")</f>
        <v/>
      </c>
      <c r="J441" s="169"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70">
        <f>IF(OR($I441="",$E441=0),0,IF(OR($J441&lt;W$3,$I441&gt;W$2),0,IF($K441=0,IF(AND($I441&gt;=W$3,$I441&lt;=W$2),$E441,0),$E441*NETWORKDAYS(MAX($I441,W$3),MIN($J441,W$2),Data!$K$4:$K$203)/$K441)))</f>
        <v>0</v>
      </c>
      <c r="X441" s="170">
        <f>IF(OR($I441="",$E441=0),0,IF(OR($J441&lt;X$3,$I441&gt;X$2),0,IF($K441=0,IF(AND($I441&gt;=X$3,$I441&lt;=X$2),$E441,0),$E441*NETWORKDAYS(MAX($I441,X$3),MIN($J441,X$2),Data!$K$4:$K$203)/$K441)))</f>
        <v>0</v>
      </c>
      <c r="Y441" s="170">
        <f>IF(OR($I441="",$E441=0),0,IF(OR($J441&lt;Y$3,$I441&gt;Y$2),0,IF($K441=0,IF(AND($I441&gt;=Y$3,$I441&lt;=Y$2),$E441,0),$E441*NETWORKDAYS(MAX($I441,Y$3),MIN($J441,Y$2),Data!$K$4:$K$203)/$K441)))</f>
        <v>0</v>
      </c>
      <c r="Z441" s="170">
        <f>IF(OR($I441="",$E441=0),0,IF(OR($J441&lt;Z$3,$I441&gt;Z$2),0,IF($K441=0,IF(AND($I441&gt;=Z$3,$I441&lt;=Z$2),$E441,0),$E441*NETWORKDAYS(MAX($I441,Z$3),MIN($J441,Z$2),Data!$K$4:$K$203)/$K441)))</f>
        <v>0</v>
      </c>
      <c r="AA441" s="170">
        <f>IF(OR($I441="",$E441=0),0,IF(OR($J441&lt;AA$3,$I441&gt;AA$2),0,IF($K441=0,IF(AND($I441&gt;=AA$3,$I441&lt;=AA$2),$E441,0),$E441*NETWORKDAYS(MAX($I441,AA$3),MIN($J441,AA$2),Data!$K$4:$K$203)/$K441)))</f>
        <v>0</v>
      </c>
      <c r="AB441" s="170">
        <f>IF(OR($I441="",$E441=0),0,IF(OR($J441&lt;AB$3,$I441&gt;AB$2),0,IF($K441=0,IF(AND($I441&gt;=AB$3,$I441&lt;=AB$2),$E441,0),$E441*NETWORKDAYS(MAX($I441,AB$3),MIN($J441,AB$2),Data!$K$4:$K$203)/$K441)))</f>
        <v>0</v>
      </c>
      <c r="AC441" s="170">
        <f>IF(OR($I441="",$E441=0),0,IF(OR($J441&lt;AC$3,$I441&gt;AC$2),0,IF($K441=0,IF(AND($I441&gt;=AC$3,$I441&lt;=AC$2),$E441,0),$E441*NETWORKDAYS(MAX($I441,AC$3),MIN($J441,AC$2),Data!$K$4:$K$203)/$K441)))</f>
        <v>0</v>
      </c>
      <c r="AD441" s="170">
        <f>IF(OR($I441="",$E441=0),0,IF(OR($J441&lt;AD$3,$I441&gt;AD$2),0,IF($K441=0,IF(AND($I441&gt;=AD$3,$I441&lt;=AD$2),$E441,0),$E441*NETWORKDAYS(MAX($I441,AD$3),MIN($J441,AD$2),Data!$K$4:$K$203)/$K441)))</f>
        <v>0</v>
      </c>
      <c r="AE441" s="170">
        <f>IF(OR($I441="",$E441=0),0,IF(OR($J441&lt;AE$3,$I441&gt;AE$2),0,IF($K441=0,IF(AND($I441&gt;=AE$3,$I441&lt;=AE$2),$E441,0),$E441*NETWORKDAYS(MAX($I441,AE$3),MIN($J441,AE$2),Data!$K$4:$K$203)/$K441)))</f>
        <v>0</v>
      </c>
      <c r="AF441" s="170">
        <f>IF(OR($I441="",$E441=0),0,IF(OR($J441&lt;AF$3,$I441&gt;AF$2),0,IF($K441=0,IF(AND($I441&gt;=AF$3,$I441&lt;=AF$2),$E441,0),$E441*NETWORKDAYS(MAX($I441,AF$3),MIN($J441,AF$2),Data!$K$4:$K$203)/$K441)))</f>
        <v>0</v>
      </c>
      <c r="AG441" s="170">
        <f>IF(OR($I441="",$E441=0),0,IF(OR($J441&lt;AG$3,$I441&gt;AG$2),0,IF($K441=0,IF(AND($I441&gt;=AG$3,$I441&lt;=AG$2),$E441,0),$E441*NETWORKDAYS(MAX($I441,AG$3),MIN($J441,AG$2),Data!$K$4:$K$203)/$K441)))</f>
        <v>0</v>
      </c>
      <c r="AH441" s="170">
        <f>IF(OR($I441="",$E441=0),0,IF(OR($J441&lt;AH$3,$I441&gt;AH$2),0,IF($K441=0,IF(AND($I441&gt;=AH$3,$I441&lt;=AH$2),$E441,0),$E441*NETWORKDAYS(MAX($I441,AH$3),MIN($J441,AH$2),Data!$K$4:$K$203)/$K441)))</f>
        <v>0</v>
      </c>
      <c r="AI441" s="170">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70"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4" t="str">
        <f>IF(EO441=1,IF(FH441&gt;0,FI441/FH441,AVERAGEIF($FF$4:$FF$503,EN441,$C$4:$C$503)),"")</f>
        <v/>
      </c>
      <c r="EV441" s="169">
        <f>IF(ISNUMBER(I441),I441,2958465)</f>
        <v>2958465.0</v>
      </c>
      <c r="EW441" s="169" t="str">
        <f>IF(EO441=1,SUMPRODUCT(MIN(($EN$4:$EN$503=EN441)*$EV$4:$EV$503+($EN$4:$EN$503&lt;&gt;EN441)*2958465)),"")</f>
        <v/>
      </c>
      <c r="EX441" s="169">
        <f>IF(AND(D441=1,ISNUMBER(INDEX(Charge!$F:$F,ROW()))),INDEX(Charge!$F:$F,ROW()),0)</f>
        <v>0.0</v>
      </c>
      <c r="EY441" s="169" t="str">
        <f>IF(EO441=1,SUMPRODUCT(MAX(($EN$4:$EN$503=EN441)*$EX$4:$EX$503)),"")</f>
        <v/>
      </c>
      <c r="FD441">
        <f>IF(AND(B441=1,TRIM(INDEX(Charge!$K:$K,ROW()))&lt;&gt;"",TRIM(INDEX(Charge!$L:$L,ROW()))&lt;&gt;""),1,0)</f>
        <v>0</v>
      </c>
      <c r="FE441">
        <f>IF(OR(EN441="",BZ441="(non affecté)"),0,IF(COUNTIFS($EN$4:EN441,EN441,$BZ$4:BZ441,BZ441)=1,1,0))</f>
        <v>0</v>
      </c>
      <c r="FF441" t="str">
        <f>IF(B441=1,LEFT(SUBSTITUTE(SUBSTITUTE(SUBSTITUTE(TRIM(SUBSTITUTE(INDEX(Charge!$B:$B,ROW()),CHAR(160)," "))&amp;" | "&amp;TRIM(SUBSTITUTE(INDEX(Charge!$C:$C,ROW()),CHAR(160)," "))&amp;" | "&amp;TRIM(SUBSTITUTE(INDEX(Charge!$D:$D,ROW()),CHAR(160)," ")),"~","-"),"*","+"),"?","!"),240),"")</f>
        <v/>
      </c>
      <c r="FG441">
        <f>IF(B441=1,MAX(0,N(INDEX(Charge!$M:$M,ROW()))),0)</f>
        <v>0</v>
      </c>
      <c r="FH441" s="170" t="str">
        <f>IF(EO441=1,ROUND(SUMIF($FF$4:$FF$503,EN441,$FG$4:$FG$503),2),"")</f>
        <v/>
      </c>
      <c r="FI441" s="170" t="str">
        <f>IF(EO441=1,ROUND(SUMPRODUCT(($FF$4:$FF$503=EN441)*$FG$4:$FG$503*$C$4:$C$503),2),"")</f>
        <v/>
      </c>
      <c r="FJ441" s="170" t="str">
        <f>IF(EO441=1,MAX(0,ROUND(FH441-FI441,2)),"")</f>
        <v/>
      </c>
      <c r="FK441" s="174" t="str">
        <f>IF(EO441=1,IF(OR(EW441&gt;=2958465,EY441=0,EY441&lt;=EW441),"",IF(TODAY()&lt;=EW441,0,IF(TODAY()&gt;EY441,1,IFERROR(NETWORKDAYS(EW441,TODAY()-1,Data!$K$4:$K$203)/NETWORKDAYS(EW441,EY441,Data!$K$4:$K$203),"")))),"")</f>
        <v/>
      </c>
      <c r="FL441" t="str">
        <f>IF(EO441=1,IF(AND(EY441&gt;0,EY441&lt;TODAY(),ROUND(EU441,4)&lt;1),2,IF(FK441="",0,IF(ROUND(EU441-FK441,4)&lt;-0.15,1,0))),"")</f>
        <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9" t="str">
        <f>IF(AND(D442=1,ISNUMBER(INDEX(Charge!$N:$N,ROW()))),INDEX(Charge!$N:$N,ROW()),"")</f>
        <v/>
      </c>
      <c r="J442" s="169"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70">
        <f>IF(OR($I442="",$E442=0),0,IF(OR($J442&lt;W$3,$I442&gt;W$2),0,IF($K442=0,IF(AND($I442&gt;=W$3,$I442&lt;=W$2),$E442,0),$E442*NETWORKDAYS(MAX($I442,W$3),MIN($J442,W$2),Data!$K$4:$K$203)/$K442)))</f>
        <v>0</v>
      </c>
      <c r="X442" s="170">
        <f>IF(OR($I442="",$E442=0),0,IF(OR($J442&lt;X$3,$I442&gt;X$2),0,IF($K442=0,IF(AND($I442&gt;=X$3,$I442&lt;=X$2),$E442,0),$E442*NETWORKDAYS(MAX($I442,X$3),MIN($J442,X$2),Data!$K$4:$K$203)/$K442)))</f>
        <v>0</v>
      </c>
      <c r="Y442" s="170">
        <f>IF(OR($I442="",$E442=0),0,IF(OR($J442&lt;Y$3,$I442&gt;Y$2),0,IF($K442=0,IF(AND($I442&gt;=Y$3,$I442&lt;=Y$2),$E442,0),$E442*NETWORKDAYS(MAX($I442,Y$3),MIN($J442,Y$2),Data!$K$4:$K$203)/$K442)))</f>
        <v>0</v>
      </c>
      <c r="Z442" s="170">
        <f>IF(OR($I442="",$E442=0),0,IF(OR($J442&lt;Z$3,$I442&gt;Z$2),0,IF($K442=0,IF(AND($I442&gt;=Z$3,$I442&lt;=Z$2),$E442,0),$E442*NETWORKDAYS(MAX($I442,Z$3),MIN($J442,Z$2),Data!$K$4:$K$203)/$K442)))</f>
        <v>0</v>
      </c>
      <c r="AA442" s="170">
        <f>IF(OR($I442="",$E442=0),0,IF(OR($J442&lt;AA$3,$I442&gt;AA$2),0,IF($K442=0,IF(AND($I442&gt;=AA$3,$I442&lt;=AA$2),$E442,0),$E442*NETWORKDAYS(MAX($I442,AA$3),MIN($J442,AA$2),Data!$K$4:$K$203)/$K442)))</f>
        <v>0</v>
      </c>
      <c r="AB442" s="170">
        <f>IF(OR($I442="",$E442=0),0,IF(OR($J442&lt;AB$3,$I442&gt;AB$2),0,IF($K442=0,IF(AND($I442&gt;=AB$3,$I442&lt;=AB$2),$E442,0),$E442*NETWORKDAYS(MAX($I442,AB$3),MIN($J442,AB$2),Data!$K$4:$K$203)/$K442)))</f>
        <v>0</v>
      </c>
      <c r="AC442" s="170">
        <f>IF(OR($I442="",$E442=0),0,IF(OR($J442&lt;AC$3,$I442&gt;AC$2),0,IF($K442=0,IF(AND($I442&gt;=AC$3,$I442&lt;=AC$2),$E442,0),$E442*NETWORKDAYS(MAX($I442,AC$3),MIN($J442,AC$2),Data!$K$4:$K$203)/$K442)))</f>
        <v>0</v>
      </c>
      <c r="AD442" s="170">
        <f>IF(OR($I442="",$E442=0),0,IF(OR($J442&lt;AD$3,$I442&gt;AD$2),0,IF($K442=0,IF(AND($I442&gt;=AD$3,$I442&lt;=AD$2),$E442,0),$E442*NETWORKDAYS(MAX($I442,AD$3),MIN($J442,AD$2),Data!$K$4:$K$203)/$K442)))</f>
        <v>0</v>
      </c>
      <c r="AE442" s="170">
        <f>IF(OR($I442="",$E442=0),0,IF(OR($J442&lt;AE$3,$I442&gt;AE$2),0,IF($K442=0,IF(AND($I442&gt;=AE$3,$I442&lt;=AE$2),$E442,0),$E442*NETWORKDAYS(MAX($I442,AE$3),MIN($J442,AE$2),Data!$K$4:$K$203)/$K442)))</f>
        <v>0</v>
      </c>
      <c r="AF442" s="170">
        <f>IF(OR($I442="",$E442=0),0,IF(OR($J442&lt;AF$3,$I442&gt;AF$2),0,IF($K442=0,IF(AND($I442&gt;=AF$3,$I442&lt;=AF$2),$E442,0),$E442*NETWORKDAYS(MAX($I442,AF$3),MIN($J442,AF$2),Data!$K$4:$K$203)/$K442)))</f>
        <v>0</v>
      </c>
      <c r="AG442" s="170">
        <f>IF(OR($I442="",$E442=0),0,IF(OR($J442&lt;AG$3,$I442&gt;AG$2),0,IF($K442=0,IF(AND($I442&gt;=AG$3,$I442&lt;=AG$2),$E442,0),$E442*NETWORKDAYS(MAX($I442,AG$3),MIN($J442,AG$2),Data!$K$4:$K$203)/$K442)))</f>
        <v>0</v>
      </c>
      <c r="AH442" s="170">
        <f>IF(OR($I442="",$E442=0),0,IF(OR($J442&lt;AH$3,$I442&gt;AH$2),0,IF($K442=0,IF(AND($I442&gt;=AH$3,$I442&lt;=AH$2),$E442,0),$E442*NETWORKDAYS(MAX($I442,AH$3),MIN($J442,AH$2),Data!$K$4:$K$203)/$K442)))</f>
        <v>0</v>
      </c>
      <c r="AI442" s="170">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70"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4" t="str">
        <f>IF(EO442=1,IF(FH442&gt;0,FI442/FH442,AVERAGEIF($FF$4:$FF$503,EN442,$C$4:$C$503)),"")</f>
        <v/>
      </c>
      <c r="EV442" s="169">
        <f>IF(ISNUMBER(I442),I442,2958465)</f>
        <v>2958465.0</v>
      </c>
      <c r="EW442" s="169" t="str">
        <f>IF(EO442=1,SUMPRODUCT(MIN(($EN$4:$EN$503=EN442)*$EV$4:$EV$503+($EN$4:$EN$503&lt;&gt;EN442)*2958465)),"")</f>
        <v/>
      </c>
      <c r="EX442" s="169">
        <f>IF(AND(D442=1,ISNUMBER(INDEX(Charge!$F:$F,ROW()))),INDEX(Charge!$F:$F,ROW()),0)</f>
        <v>0.0</v>
      </c>
      <c r="EY442" s="169" t="str">
        <f>IF(EO442=1,SUMPRODUCT(MAX(($EN$4:$EN$503=EN442)*$EX$4:$EX$503)),"")</f>
        <v/>
      </c>
      <c r="FD442">
        <f>IF(AND(B442=1,TRIM(INDEX(Charge!$K:$K,ROW()))&lt;&gt;"",TRIM(INDEX(Charge!$L:$L,ROW()))&lt;&gt;""),1,0)</f>
        <v>0</v>
      </c>
      <c r="FE442">
        <f>IF(OR(EN442="",BZ442="(non affecté)"),0,IF(COUNTIFS($EN$4:EN442,EN442,$BZ$4:BZ442,BZ442)=1,1,0))</f>
        <v>0</v>
      </c>
      <c r="FF442" t="str">
        <f>IF(B442=1,LEFT(SUBSTITUTE(SUBSTITUTE(SUBSTITUTE(TRIM(SUBSTITUTE(INDEX(Charge!$B:$B,ROW()),CHAR(160)," "))&amp;" | "&amp;TRIM(SUBSTITUTE(INDEX(Charge!$C:$C,ROW()),CHAR(160)," "))&amp;" | "&amp;TRIM(SUBSTITUTE(INDEX(Charge!$D:$D,ROW()),CHAR(160)," ")),"~","-"),"*","+"),"?","!"),240),"")</f>
        <v/>
      </c>
      <c r="FG442">
        <f>IF(B442=1,MAX(0,N(INDEX(Charge!$M:$M,ROW()))),0)</f>
        <v>0</v>
      </c>
      <c r="FH442" s="170" t="str">
        <f>IF(EO442=1,ROUND(SUMIF($FF$4:$FF$503,EN442,$FG$4:$FG$503),2),"")</f>
        <v/>
      </c>
      <c r="FI442" s="170" t="str">
        <f>IF(EO442=1,ROUND(SUMPRODUCT(($FF$4:$FF$503=EN442)*$FG$4:$FG$503*$C$4:$C$503),2),"")</f>
        <v/>
      </c>
      <c r="FJ442" s="170" t="str">
        <f>IF(EO442=1,MAX(0,ROUND(FH442-FI442,2)),"")</f>
        <v/>
      </c>
      <c r="FK442" s="174" t="str">
        <f>IF(EO442=1,IF(OR(EW442&gt;=2958465,EY442=0,EY442&lt;=EW442),"",IF(TODAY()&lt;=EW442,0,IF(TODAY()&gt;EY442,1,IFERROR(NETWORKDAYS(EW442,TODAY()-1,Data!$K$4:$K$203)/NETWORKDAYS(EW442,EY442,Data!$K$4:$K$203),"")))),"")</f>
        <v/>
      </c>
      <c r="FL442" t="str">
        <f>IF(EO442=1,IF(AND(EY442&gt;0,EY442&lt;TODAY(),ROUND(EU442,4)&lt;1),2,IF(FK442="",0,IF(ROUND(EU442-FK442,4)&lt;-0.15,1,0))),"")</f>
        <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9" t="str">
        <f>IF(AND(D443=1,ISNUMBER(INDEX(Charge!$N:$N,ROW()))),INDEX(Charge!$N:$N,ROW()),"")</f>
        <v/>
      </c>
      <c r="J443" s="169"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70">
        <f>IF(OR($I443="",$E443=0),0,IF(OR($J443&lt;W$3,$I443&gt;W$2),0,IF($K443=0,IF(AND($I443&gt;=W$3,$I443&lt;=W$2),$E443,0),$E443*NETWORKDAYS(MAX($I443,W$3),MIN($J443,W$2),Data!$K$4:$K$203)/$K443)))</f>
        <v>0</v>
      </c>
      <c r="X443" s="170">
        <f>IF(OR($I443="",$E443=0),0,IF(OR($J443&lt;X$3,$I443&gt;X$2),0,IF($K443=0,IF(AND($I443&gt;=X$3,$I443&lt;=X$2),$E443,0),$E443*NETWORKDAYS(MAX($I443,X$3),MIN($J443,X$2),Data!$K$4:$K$203)/$K443)))</f>
        <v>0</v>
      </c>
      <c r="Y443" s="170">
        <f>IF(OR($I443="",$E443=0),0,IF(OR($J443&lt;Y$3,$I443&gt;Y$2),0,IF($K443=0,IF(AND($I443&gt;=Y$3,$I443&lt;=Y$2),$E443,0),$E443*NETWORKDAYS(MAX($I443,Y$3),MIN($J443,Y$2),Data!$K$4:$K$203)/$K443)))</f>
        <v>0</v>
      </c>
      <c r="Z443" s="170">
        <f>IF(OR($I443="",$E443=0),0,IF(OR($J443&lt;Z$3,$I443&gt;Z$2),0,IF($K443=0,IF(AND($I443&gt;=Z$3,$I443&lt;=Z$2),$E443,0),$E443*NETWORKDAYS(MAX($I443,Z$3),MIN($J443,Z$2),Data!$K$4:$K$203)/$K443)))</f>
        <v>0</v>
      </c>
      <c r="AA443" s="170">
        <f>IF(OR($I443="",$E443=0),0,IF(OR($J443&lt;AA$3,$I443&gt;AA$2),0,IF($K443=0,IF(AND($I443&gt;=AA$3,$I443&lt;=AA$2),$E443,0),$E443*NETWORKDAYS(MAX($I443,AA$3),MIN($J443,AA$2),Data!$K$4:$K$203)/$K443)))</f>
        <v>0</v>
      </c>
      <c r="AB443" s="170">
        <f>IF(OR($I443="",$E443=0),0,IF(OR($J443&lt;AB$3,$I443&gt;AB$2),0,IF($K443=0,IF(AND($I443&gt;=AB$3,$I443&lt;=AB$2),$E443,0),$E443*NETWORKDAYS(MAX($I443,AB$3),MIN($J443,AB$2),Data!$K$4:$K$203)/$K443)))</f>
        <v>0</v>
      </c>
      <c r="AC443" s="170">
        <f>IF(OR($I443="",$E443=0),0,IF(OR($J443&lt;AC$3,$I443&gt;AC$2),0,IF($K443=0,IF(AND($I443&gt;=AC$3,$I443&lt;=AC$2),$E443,0),$E443*NETWORKDAYS(MAX($I443,AC$3),MIN($J443,AC$2),Data!$K$4:$K$203)/$K443)))</f>
        <v>0</v>
      </c>
      <c r="AD443" s="170">
        <f>IF(OR($I443="",$E443=0),0,IF(OR($J443&lt;AD$3,$I443&gt;AD$2),0,IF($K443=0,IF(AND($I443&gt;=AD$3,$I443&lt;=AD$2),$E443,0),$E443*NETWORKDAYS(MAX($I443,AD$3),MIN($J443,AD$2),Data!$K$4:$K$203)/$K443)))</f>
        <v>0</v>
      </c>
      <c r="AE443" s="170">
        <f>IF(OR($I443="",$E443=0),0,IF(OR($J443&lt;AE$3,$I443&gt;AE$2),0,IF($K443=0,IF(AND($I443&gt;=AE$3,$I443&lt;=AE$2),$E443,0),$E443*NETWORKDAYS(MAX($I443,AE$3),MIN($J443,AE$2),Data!$K$4:$K$203)/$K443)))</f>
        <v>0</v>
      </c>
      <c r="AF443" s="170">
        <f>IF(OR($I443="",$E443=0),0,IF(OR($J443&lt;AF$3,$I443&gt;AF$2),0,IF($K443=0,IF(AND($I443&gt;=AF$3,$I443&lt;=AF$2),$E443,0),$E443*NETWORKDAYS(MAX($I443,AF$3),MIN($J443,AF$2),Data!$K$4:$K$203)/$K443)))</f>
        <v>0</v>
      </c>
      <c r="AG443" s="170">
        <f>IF(OR($I443="",$E443=0),0,IF(OR($J443&lt;AG$3,$I443&gt;AG$2),0,IF($K443=0,IF(AND($I443&gt;=AG$3,$I443&lt;=AG$2),$E443,0),$E443*NETWORKDAYS(MAX($I443,AG$3),MIN($J443,AG$2),Data!$K$4:$K$203)/$K443)))</f>
        <v>0</v>
      </c>
      <c r="AH443" s="170">
        <f>IF(OR($I443="",$E443=0),0,IF(OR($J443&lt;AH$3,$I443&gt;AH$2),0,IF($K443=0,IF(AND($I443&gt;=AH$3,$I443&lt;=AH$2),$E443,0),$E443*NETWORKDAYS(MAX($I443,AH$3),MIN($J443,AH$2),Data!$K$4:$K$203)/$K443)))</f>
        <v>0</v>
      </c>
      <c r="AI443" s="170">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70"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4" t="str">
        <f>IF(EO443=1,IF(FH443&gt;0,FI443/FH443,AVERAGEIF($FF$4:$FF$503,EN443,$C$4:$C$503)),"")</f>
        <v/>
      </c>
      <c r="EV443" s="169">
        <f>IF(ISNUMBER(I443),I443,2958465)</f>
        <v>2958465.0</v>
      </c>
      <c r="EW443" s="169" t="str">
        <f>IF(EO443=1,SUMPRODUCT(MIN(($EN$4:$EN$503=EN443)*$EV$4:$EV$503+($EN$4:$EN$503&lt;&gt;EN443)*2958465)),"")</f>
        <v/>
      </c>
      <c r="EX443" s="169">
        <f>IF(AND(D443=1,ISNUMBER(INDEX(Charge!$F:$F,ROW()))),INDEX(Charge!$F:$F,ROW()),0)</f>
        <v>0.0</v>
      </c>
      <c r="EY443" s="169" t="str">
        <f>IF(EO443=1,SUMPRODUCT(MAX(($EN$4:$EN$503=EN443)*$EX$4:$EX$503)),"")</f>
        <v/>
      </c>
      <c r="FD443">
        <f>IF(AND(B443=1,TRIM(INDEX(Charge!$K:$K,ROW()))&lt;&gt;"",TRIM(INDEX(Charge!$L:$L,ROW()))&lt;&gt;""),1,0)</f>
        <v>0</v>
      </c>
      <c r="FE443">
        <f>IF(OR(EN443="",BZ443="(non affecté)"),0,IF(COUNTIFS($EN$4:EN443,EN443,$BZ$4:BZ443,BZ443)=1,1,0))</f>
        <v>0</v>
      </c>
      <c r="FF443" t="str">
        <f>IF(B443=1,LEFT(SUBSTITUTE(SUBSTITUTE(SUBSTITUTE(TRIM(SUBSTITUTE(INDEX(Charge!$B:$B,ROW()),CHAR(160)," "))&amp;" | "&amp;TRIM(SUBSTITUTE(INDEX(Charge!$C:$C,ROW()),CHAR(160)," "))&amp;" | "&amp;TRIM(SUBSTITUTE(INDEX(Charge!$D:$D,ROW()),CHAR(160)," ")),"~","-"),"*","+"),"?","!"),240),"")</f>
        <v/>
      </c>
      <c r="FG443">
        <f>IF(B443=1,MAX(0,N(INDEX(Charge!$M:$M,ROW()))),0)</f>
        <v>0</v>
      </c>
      <c r="FH443" s="170" t="str">
        <f>IF(EO443=1,ROUND(SUMIF($FF$4:$FF$503,EN443,$FG$4:$FG$503),2),"")</f>
        <v/>
      </c>
      <c r="FI443" s="170" t="str">
        <f>IF(EO443=1,ROUND(SUMPRODUCT(($FF$4:$FF$503=EN443)*$FG$4:$FG$503*$C$4:$C$503),2),"")</f>
        <v/>
      </c>
      <c r="FJ443" s="170" t="str">
        <f>IF(EO443=1,MAX(0,ROUND(FH443-FI443,2)),"")</f>
        <v/>
      </c>
      <c r="FK443" s="174" t="str">
        <f>IF(EO443=1,IF(OR(EW443&gt;=2958465,EY443=0,EY443&lt;=EW443),"",IF(TODAY()&lt;=EW443,0,IF(TODAY()&gt;EY443,1,IFERROR(NETWORKDAYS(EW443,TODAY()-1,Data!$K$4:$K$203)/NETWORKDAYS(EW443,EY443,Data!$K$4:$K$203),"")))),"")</f>
        <v/>
      </c>
      <c r="FL443" t="str">
        <f>IF(EO443=1,IF(AND(EY443&gt;0,EY443&lt;TODAY(),ROUND(EU443,4)&lt;1),2,IF(FK443="",0,IF(ROUND(EU443-FK443,4)&lt;-0.15,1,0))),"")</f>
        <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9" t="str">
        <f>IF(AND(D444=1,ISNUMBER(INDEX(Charge!$N:$N,ROW()))),INDEX(Charge!$N:$N,ROW()),"")</f>
        <v/>
      </c>
      <c r="J444" s="169"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70">
        <f>IF(OR($I444="",$E444=0),0,IF(OR($J444&lt;W$3,$I444&gt;W$2),0,IF($K444=0,IF(AND($I444&gt;=W$3,$I444&lt;=W$2),$E444,0),$E444*NETWORKDAYS(MAX($I444,W$3),MIN($J444,W$2),Data!$K$4:$K$203)/$K444)))</f>
        <v>0</v>
      </c>
      <c r="X444" s="170">
        <f>IF(OR($I444="",$E444=0),0,IF(OR($J444&lt;X$3,$I444&gt;X$2),0,IF($K444=0,IF(AND($I444&gt;=X$3,$I444&lt;=X$2),$E444,0),$E444*NETWORKDAYS(MAX($I444,X$3),MIN($J444,X$2),Data!$K$4:$K$203)/$K444)))</f>
        <v>0</v>
      </c>
      <c r="Y444" s="170">
        <f>IF(OR($I444="",$E444=0),0,IF(OR($J444&lt;Y$3,$I444&gt;Y$2),0,IF($K444=0,IF(AND($I444&gt;=Y$3,$I444&lt;=Y$2),$E444,0),$E444*NETWORKDAYS(MAX($I444,Y$3),MIN($J444,Y$2),Data!$K$4:$K$203)/$K444)))</f>
        <v>0</v>
      </c>
      <c r="Z444" s="170">
        <f>IF(OR($I444="",$E444=0),0,IF(OR($J444&lt;Z$3,$I444&gt;Z$2),0,IF($K444=0,IF(AND($I444&gt;=Z$3,$I444&lt;=Z$2),$E444,0),$E444*NETWORKDAYS(MAX($I444,Z$3),MIN($J444,Z$2),Data!$K$4:$K$203)/$K444)))</f>
        <v>0</v>
      </c>
      <c r="AA444" s="170">
        <f>IF(OR($I444="",$E444=0),0,IF(OR($J444&lt;AA$3,$I444&gt;AA$2),0,IF($K444=0,IF(AND($I444&gt;=AA$3,$I444&lt;=AA$2),$E444,0),$E444*NETWORKDAYS(MAX($I444,AA$3),MIN($J444,AA$2),Data!$K$4:$K$203)/$K444)))</f>
        <v>0</v>
      </c>
      <c r="AB444" s="170">
        <f>IF(OR($I444="",$E444=0),0,IF(OR($J444&lt;AB$3,$I444&gt;AB$2),0,IF($K444=0,IF(AND($I444&gt;=AB$3,$I444&lt;=AB$2),$E444,0),$E444*NETWORKDAYS(MAX($I444,AB$3),MIN($J444,AB$2),Data!$K$4:$K$203)/$K444)))</f>
        <v>0</v>
      </c>
      <c r="AC444" s="170">
        <f>IF(OR($I444="",$E444=0),0,IF(OR($J444&lt;AC$3,$I444&gt;AC$2),0,IF($K444=0,IF(AND($I444&gt;=AC$3,$I444&lt;=AC$2),$E444,0),$E444*NETWORKDAYS(MAX($I444,AC$3),MIN($J444,AC$2),Data!$K$4:$K$203)/$K444)))</f>
        <v>0</v>
      </c>
      <c r="AD444" s="170">
        <f>IF(OR($I444="",$E444=0),0,IF(OR($J444&lt;AD$3,$I444&gt;AD$2),0,IF($K444=0,IF(AND($I444&gt;=AD$3,$I444&lt;=AD$2),$E444,0),$E444*NETWORKDAYS(MAX($I444,AD$3),MIN($J444,AD$2),Data!$K$4:$K$203)/$K444)))</f>
        <v>0</v>
      </c>
      <c r="AE444" s="170">
        <f>IF(OR($I444="",$E444=0),0,IF(OR($J444&lt;AE$3,$I444&gt;AE$2),0,IF($K444=0,IF(AND($I444&gt;=AE$3,$I444&lt;=AE$2),$E444,0),$E444*NETWORKDAYS(MAX($I444,AE$3),MIN($J444,AE$2),Data!$K$4:$K$203)/$K444)))</f>
        <v>0</v>
      </c>
      <c r="AF444" s="170">
        <f>IF(OR($I444="",$E444=0),0,IF(OR($J444&lt;AF$3,$I444&gt;AF$2),0,IF($K444=0,IF(AND($I444&gt;=AF$3,$I444&lt;=AF$2),$E444,0),$E444*NETWORKDAYS(MAX($I444,AF$3),MIN($J444,AF$2),Data!$K$4:$K$203)/$K444)))</f>
        <v>0</v>
      </c>
      <c r="AG444" s="170">
        <f>IF(OR($I444="",$E444=0),0,IF(OR($J444&lt;AG$3,$I444&gt;AG$2),0,IF($K444=0,IF(AND($I444&gt;=AG$3,$I444&lt;=AG$2),$E444,0),$E444*NETWORKDAYS(MAX($I444,AG$3),MIN($J444,AG$2),Data!$K$4:$K$203)/$K444)))</f>
        <v>0</v>
      </c>
      <c r="AH444" s="170">
        <f>IF(OR($I444="",$E444=0),0,IF(OR($J444&lt;AH$3,$I444&gt;AH$2),0,IF($K444=0,IF(AND($I444&gt;=AH$3,$I444&lt;=AH$2),$E444,0),$E444*NETWORKDAYS(MAX($I444,AH$3),MIN($J444,AH$2),Data!$K$4:$K$203)/$K444)))</f>
        <v>0</v>
      </c>
      <c r="AI444" s="170">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70"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4" t="str">
        <f>IF(EO444=1,IF(FH444&gt;0,FI444/FH444,AVERAGEIF($FF$4:$FF$503,EN444,$C$4:$C$503)),"")</f>
        <v/>
      </c>
      <c r="EV444" s="169">
        <f>IF(ISNUMBER(I444),I444,2958465)</f>
        <v>2958465.0</v>
      </c>
      <c r="EW444" s="169" t="str">
        <f>IF(EO444=1,SUMPRODUCT(MIN(($EN$4:$EN$503=EN444)*$EV$4:$EV$503+($EN$4:$EN$503&lt;&gt;EN444)*2958465)),"")</f>
        <v/>
      </c>
      <c r="EX444" s="169">
        <f>IF(AND(D444=1,ISNUMBER(INDEX(Charge!$F:$F,ROW()))),INDEX(Charge!$F:$F,ROW()),0)</f>
        <v>0.0</v>
      </c>
      <c r="EY444" s="169" t="str">
        <f>IF(EO444=1,SUMPRODUCT(MAX(($EN$4:$EN$503=EN444)*$EX$4:$EX$503)),"")</f>
        <v/>
      </c>
      <c r="FD444">
        <f>IF(AND(B444=1,TRIM(INDEX(Charge!$K:$K,ROW()))&lt;&gt;"",TRIM(INDEX(Charge!$L:$L,ROW()))&lt;&gt;""),1,0)</f>
        <v>0</v>
      </c>
      <c r="FE444">
        <f>IF(OR(EN444="",BZ444="(non affecté)"),0,IF(COUNTIFS($EN$4:EN444,EN444,$BZ$4:BZ444,BZ444)=1,1,0))</f>
        <v>0</v>
      </c>
      <c r="FF444" t="str">
        <f>IF(B444=1,LEFT(SUBSTITUTE(SUBSTITUTE(SUBSTITUTE(TRIM(SUBSTITUTE(INDEX(Charge!$B:$B,ROW()),CHAR(160)," "))&amp;" | "&amp;TRIM(SUBSTITUTE(INDEX(Charge!$C:$C,ROW()),CHAR(160)," "))&amp;" | "&amp;TRIM(SUBSTITUTE(INDEX(Charge!$D:$D,ROW()),CHAR(160)," ")),"~","-"),"*","+"),"?","!"),240),"")</f>
        <v/>
      </c>
      <c r="FG444">
        <f>IF(B444=1,MAX(0,N(INDEX(Charge!$M:$M,ROW()))),0)</f>
        <v>0</v>
      </c>
      <c r="FH444" s="170" t="str">
        <f>IF(EO444=1,ROUND(SUMIF($FF$4:$FF$503,EN444,$FG$4:$FG$503),2),"")</f>
        <v/>
      </c>
      <c r="FI444" s="170" t="str">
        <f>IF(EO444=1,ROUND(SUMPRODUCT(($FF$4:$FF$503=EN444)*$FG$4:$FG$503*$C$4:$C$503),2),"")</f>
        <v/>
      </c>
      <c r="FJ444" s="170" t="str">
        <f>IF(EO444=1,MAX(0,ROUND(FH444-FI444,2)),"")</f>
        <v/>
      </c>
      <c r="FK444" s="174" t="str">
        <f>IF(EO444=1,IF(OR(EW444&gt;=2958465,EY444=0,EY444&lt;=EW444),"",IF(TODAY()&lt;=EW444,0,IF(TODAY()&gt;EY444,1,IFERROR(NETWORKDAYS(EW444,TODAY()-1,Data!$K$4:$K$203)/NETWORKDAYS(EW444,EY444,Data!$K$4:$K$203),"")))),"")</f>
        <v/>
      </c>
      <c r="FL444" t="str">
        <f>IF(EO444=1,IF(AND(EY444&gt;0,EY444&lt;TODAY(),ROUND(EU444,4)&lt;1),2,IF(FK444="",0,IF(ROUND(EU444-FK444,4)&lt;-0.15,1,0))),"")</f>
        <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9" t="str">
        <f>IF(AND(D445=1,ISNUMBER(INDEX(Charge!$N:$N,ROW()))),INDEX(Charge!$N:$N,ROW()),"")</f>
        <v/>
      </c>
      <c r="J445" s="169"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70">
        <f>IF(OR($I445="",$E445=0),0,IF(OR($J445&lt;W$3,$I445&gt;W$2),0,IF($K445=0,IF(AND($I445&gt;=W$3,$I445&lt;=W$2),$E445,0),$E445*NETWORKDAYS(MAX($I445,W$3),MIN($J445,W$2),Data!$K$4:$K$203)/$K445)))</f>
        <v>0</v>
      </c>
      <c r="X445" s="170">
        <f>IF(OR($I445="",$E445=0),0,IF(OR($J445&lt;X$3,$I445&gt;X$2),0,IF($K445=0,IF(AND($I445&gt;=X$3,$I445&lt;=X$2),$E445,0),$E445*NETWORKDAYS(MAX($I445,X$3),MIN($J445,X$2),Data!$K$4:$K$203)/$K445)))</f>
        <v>0</v>
      </c>
      <c r="Y445" s="170">
        <f>IF(OR($I445="",$E445=0),0,IF(OR($J445&lt;Y$3,$I445&gt;Y$2),0,IF($K445=0,IF(AND($I445&gt;=Y$3,$I445&lt;=Y$2),$E445,0),$E445*NETWORKDAYS(MAX($I445,Y$3),MIN($J445,Y$2),Data!$K$4:$K$203)/$K445)))</f>
        <v>0</v>
      </c>
      <c r="Z445" s="170">
        <f>IF(OR($I445="",$E445=0),0,IF(OR($J445&lt;Z$3,$I445&gt;Z$2),0,IF($K445=0,IF(AND($I445&gt;=Z$3,$I445&lt;=Z$2),$E445,0),$E445*NETWORKDAYS(MAX($I445,Z$3),MIN($J445,Z$2),Data!$K$4:$K$203)/$K445)))</f>
        <v>0</v>
      </c>
      <c r="AA445" s="170">
        <f>IF(OR($I445="",$E445=0),0,IF(OR($J445&lt;AA$3,$I445&gt;AA$2),0,IF($K445=0,IF(AND($I445&gt;=AA$3,$I445&lt;=AA$2),$E445,0),$E445*NETWORKDAYS(MAX($I445,AA$3),MIN($J445,AA$2),Data!$K$4:$K$203)/$K445)))</f>
        <v>0</v>
      </c>
      <c r="AB445" s="170">
        <f>IF(OR($I445="",$E445=0),0,IF(OR($J445&lt;AB$3,$I445&gt;AB$2),0,IF($K445=0,IF(AND($I445&gt;=AB$3,$I445&lt;=AB$2),$E445,0),$E445*NETWORKDAYS(MAX($I445,AB$3),MIN($J445,AB$2),Data!$K$4:$K$203)/$K445)))</f>
        <v>0</v>
      </c>
      <c r="AC445" s="170">
        <f>IF(OR($I445="",$E445=0),0,IF(OR($J445&lt;AC$3,$I445&gt;AC$2),0,IF($K445=0,IF(AND($I445&gt;=AC$3,$I445&lt;=AC$2),$E445,0),$E445*NETWORKDAYS(MAX($I445,AC$3),MIN($J445,AC$2),Data!$K$4:$K$203)/$K445)))</f>
        <v>0</v>
      </c>
      <c r="AD445" s="170">
        <f>IF(OR($I445="",$E445=0),0,IF(OR($J445&lt;AD$3,$I445&gt;AD$2),0,IF($K445=0,IF(AND($I445&gt;=AD$3,$I445&lt;=AD$2),$E445,0),$E445*NETWORKDAYS(MAX($I445,AD$3),MIN($J445,AD$2),Data!$K$4:$K$203)/$K445)))</f>
        <v>0</v>
      </c>
      <c r="AE445" s="170">
        <f>IF(OR($I445="",$E445=0),0,IF(OR($J445&lt;AE$3,$I445&gt;AE$2),0,IF($K445=0,IF(AND($I445&gt;=AE$3,$I445&lt;=AE$2),$E445,0),$E445*NETWORKDAYS(MAX($I445,AE$3),MIN($J445,AE$2),Data!$K$4:$K$203)/$K445)))</f>
        <v>0</v>
      </c>
      <c r="AF445" s="170">
        <f>IF(OR($I445="",$E445=0),0,IF(OR($J445&lt;AF$3,$I445&gt;AF$2),0,IF($K445=0,IF(AND($I445&gt;=AF$3,$I445&lt;=AF$2),$E445,0),$E445*NETWORKDAYS(MAX($I445,AF$3),MIN($J445,AF$2),Data!$K$4:$K$203)/$K445)))</f>
        <v>0</v>
      </c>
      <c r="AG445" s="170">
        <f>IF(OR($I445="",$E445=0),0,IF(OR($J445&lt;AG$3,$I445&gt;AG$2),0,IF($K445=0,IF(AND($I445&gt;=AG$3,$I445&lt;=AG$2),$E445,0),$E445*NETWORKDAYS(MAX($I445,AG$3),MIN($J445,AG$2),Data!$K$4:$K$203)/$K445)))</f>
        <v>0</v>
      </c>
      <c r="AH445" s="170">
        <f>IF(OR($I445="",$E445=0),0,IF(OR($J445&lt;AH$3,$I445&gt;AH$2),0,IF($K445=0,IF(AND($I445&gt;=AH$3,$I445&lt;=AH$2),$E445,0),$E445*NETWORKDAYS(MAX($I445,AH$3),MIN($J445,AH$2),Data!$K$4:$K$203)/$K445)))</f>
        <v>0</v>
      </c>
      <c r="AI445" s="170">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70"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4" t="str">
        <f>IF(EO445=1,IF(FH445&gt;0,FI445/FH445,AVERAGEIF($FF$4:$FF$503,EN445,$C$4:$C$503)),"")</f>
        <v/>
      </c>
      <c r="EV445" s="169">
        <f>IF(ISNUMBER(I445),I445,2958465)</f>
        <v>2958465.0</v>
      </c>
      <c r="EW445" s="169" t="str">
        <f>IF(EO445=1,SUMPRODUCT(MIN(($EN$4:$EN$503=EN445)*$EV$4:$EV$503+($EN$4:$EN$503&lt;&gt;EN445)*2958465)),"")</f>
        <v/>
      </c>
      <c r="EX445" s="169">
        <f>IF(AND(D445=1,ISNUMBER(INDEX(Charge!$F:$F,ROW()))),INDEX(Charge!$F:$F,ROW()),0)</f>
        <v>0.0</v>
      </c>
      <c r="EY445" s="169" t="str">
        <f>IF(EO445=1,SUMPRODUCT(MAX(($EN$4:$EN$503=EN445)*$EX$4:$EX$503)),"")</f>
        <v/>
      </c>
      <c r="FD445">
        <f>IF(AND(B445=1,TRIM(INDEX(Charge!$K:$K,ROW()))&lt;&gt;"",TRIM(INDEX(Charge!$L:$L,ROW()))&lt;&gt;""),1,0)</f>
        <v>0</v>
      </c>
      <c r="FE445">
        <f>IF(OR(EN445="",BZ445="(non affecté)"),0,IF(COUNTIFS($EN$4:EN445,EN445,$BZ$4:BZ445,BZ445)=1,1,0))</f>
        <v>0</v>
      </c>
      <c r="FF445" t="str">
        <f>IF(B445=1,LEFT(SUBSTITUTE(SUBSTITUTE(SUBSTITUTE(TRIM(SUBSTITUTE(INDEX(Charge!$B:$B,ROW()),CHAR(160)," "))&amp;" | "&amp;TRIM(SUBSTITUTE(INDEX(Charge!$C:$C,ROW()),CHAR(160)," "))&amp;" | "&amp;TRIM(SUBSTITUTE(INDEX(Charge!$D:$D,ROW()),CHAR(160)," ")),"~","-"),"*","+"),"?","!"),240),"")</f>
        <v/>
      </c>
      <c r="FG445">
        <f>IF(B445=1,MAX(0,N(INDEX(Charge!$M:$M,ROW()))),0)</f>
        <v>0</v>
      </c>
      <c r="FH445" s="170" t="str">
        <f>IF(EO445=1,ROUND(SUMIF($FF$4:$FF$503,EN445,$FG$4:$FG$503),2),"")</f>
        <v/>
      </c>
      <c r="FI445" s="170" t="str">
        <f>IF(EO445=1,ROUND(SUMPRODUCT(($FF$4:$FF$503=EN445)*$FG$4:$FG$503*$C$4:$C$503),2),"")</f>
        <v/>
      </c>
      <c r="FJ445" s="170" t="str">
        <f>IF(EO445=1,MAX(0,ROUND(FH445-FI445,2)),"")</f>
        <v/>
      </c>
      <c r="FK445" s="174" t="str">
        <f>IF(EO445=1,IF(OR(EW445&gt;=2958465,EY445=0,EY445&lt;=EW445),"",IF(TODAY()&lt;=EW445,0,IF(TODAY()&gt;EY445,1,IFERROR(NETWORKDAYS(EW445,TODAY()-1,Data!$K$4:$K$203)/NETWORKDAYS(EW445,EY445,Data!$K$4:$K$203),"")))),"")</f>
        <v/>
      </c>
      <c r="FL445" t="str">
        <f>IF(EO445=1,IF(AND(EY445&gt;0,EY445&lt;TODAY(),ROUND(EU445,4)&lt;1),2,IF(FK445="",0,IF(ROUND(EU445-FK445,4)&lt;-0.15,1,0))),"")</f>
        <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9" t="str">
        <f>IF(AND(D446=1,ISNUMBER(INDEX(Charge!$N:$N,ROW()))),INDEX(Charge!$N:$N,ROW()),"")</f>
        <v/>
      </c>
      <c r="J446" s="169"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70">
        <f>IF(OR($I446="",$E446=0),0,IF(OR($J446&lt;W$3,$I446&gt;W$2),0,IF($K446=0,IF(AND($I446&gt;=W$3,$I446&lt;=W$2),$E446,0),$E446*NETWORKDAYS(MAX($I446,W$3),MIN($J446,W$2),Data!$K$4:$K$203)/$K446)))</f>
        <v>0</v>
      </c>
      <c r="X446" s="170">
        <f>IF(OR($I446="",$E446=0),0,IF(OR($J446&lt;X$3,$I446&gt;X$2),0,IF($K446=0,IF(AND($I446&gt;=X$3,$I446&lt;=X$2),$E446,0),$E446*NETWORKDAYS(MAX($I446,X$3),MIN($J446,X$2),Data!$K$4:$K$203)/$K446)))</f>
        <v>0</v>
      </c>
      <c r="Y446" s="170">
        <f>IF(OR($I446="",$E446=0),0,IF(OR($J446&lt;Y$3,$I446&gt;Y$2),0,IF($K446=0,IF(AND($I446&gt;=Y$3,$I446&lt;=Y$2),$E446,0),$E446*NETWORKDAYS(MAX($I446,Y$3),MIN($J446,Y$2),Data!$K$4:$K$203)/$K446)))</f>
        <v>0</v>
      </c>
      <c r="Z446" s="170">
        <f>IF(OR($I446="",$E446=0),0,IF(OR($J446&lt;Z$3,$I446&gt;Z$2),0,IF($K446=0,IF(AND($I446&gt;=Z$3,$I446&lt;=Z$2),$E446,0),$E446*NETWORKDAYS(MAX($I446,Z$3),MIN($J446,Z$2),Data!$K$4:$K$203)/$K446)))</f>
        <v>0</v>
      </c>
      <c r="AA446" s="170">
        <f>IF(OR($I446="",$E446=0),0,IF(OR($J446&lt;AA$3,$I446&gt;AA$2),0,IF($K446=0,IF(AND($I446&gt;=AA$3,$I446&lt;=AA$2),$E446,0),$E446*NETWORKDAYS(MAX($I446,AA$3),MIN($J446,AA$2),Data!$K$4:$K$203)/$K446)))</f>
        <v>0</v>
      </c>
      <c r="AB446" s="170">
        <f>IF(OR($I446="",$E446=0),0,IF(OR($J446&lt;AB$3,$I446&gt;AB$2),0,IF($K446=0,IF(AND($I446&gt;=AB$3,$I446&lt;=AB$2),$E446,0),$E446*NETWORKDAYS(MAX($I446,AB$3),MIN($J446,AB$2),Data!$K$4:$K$203)/$K446)))</f>
        <v>0</v>
      </c>
      <c r="AC446" s="170">
        <f>IF(OR($I446="",$E446=0),0,IF(OR($J446&lt;AC$3,$I446&gt;AC$2),0,IF($K446=0,IF(AND($I446&gt;=AC$3,$I446&lt;=AC$2),$E446,0),$E446*NETWORKDAYS(MAX($I446,AC$3),MIN($J446,AC$2),Data!$K$4:$K$203)/$K446)))</f>
        <v>0</v>
      </c>
      <c r="AD446" s="170">
        <f>IF(OR($I446="",$E446=0),0,IF(OR($J446&lt;AD$3,$I446&gt;AD$2),0,IF($K446=0,IF(AND($I446&gt;=AD$3,$I446&lt;=AD$2),$E446,0),$E446*NETWORKDAYS(MAX($I446,AD$3),MIN($J446,AD$2),Data!$K$4:$K$203)/$K446)))</f>
        <v>0</v>
      </c>
      <c r="AE446" s="170">
        <f>IF(OR($I446="",$E446=0),0,IF(OR($J446&lt;AE$3,$I446&gt;AE$2),0,IF($K446=0,IF(AND($I446&gt;=AE$3,$I446&lt;=AE$2),$E446,0),$E446*NETWORKDAYS(MAX($I446,AE$3),MIN($J446,AE$2),Data!$K$4:$K$203)/$K446)))</f>
        <v>0</v>
      </c>
      <c r="AF446" s="170">
        <f>IF(OR($I446="",$E446=0),0,IF(OR($J446&lt;AF$3,$I446&gt;AF$2),0,IF($K446=0,IF(AND($I446&gt;=AF$3,$I446&lt;=AF$2),$E446,0),$E446*NETWORKDAYS(MAX($I446,AF$3),MIN($J446,AF$2),Data!$K$4:$K$203)/$K446)))</f>
        <v>0</v>
      </c>
      <c r="AG446" s="170">
        <f>IF(OR($I446="",$E446=0),0,IF(OR($J446&lt;AG$3,$I446&gt;AG$2),0,IF($K446=0,IF(AND($I446&gt;=AG$3,$I446&lt;=AG$2),$E446,0),$E446*NETWORKDAYS(MAX($I446,AG$3),MIN($J446,AG$2),Data!$K$4:$K$203)/$K446)))</f>
        <v>0</v>
      </c>
      <c r="AH446" s="170">
        <f>IF(OR($I446="",$E446=0),0,IF(OR($J446&lt;AH$3,$I446&gt;AH$2),0,IF($K446=0,IF(AND($I446&gt;=AH$3,$I446&lt;=AH$2),$E446,0),$E446*NETWORKDAYS(MAX($I446,AH$3),MIN($J446,AH$2),Data!$K$4:$K$203)/$K446)))</f>
        <v>0</v>
      </c>
      <c r="AI446" s="170">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70"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4" t="str">
        <f>IF(EO446=1,IF(FH446&gt;0,FI446/FH446,AVERAGEIF($FF$4:$FF$503,EN446,$C$4:$C$503)),"")</f>
        <v/>
      </c>
      <c r="EV446" s="169">
        <f>IF(ISNUMBER(I446),I446,2958465)</f>
        <v>2958465.0</v>
      </c>
      <c r="EW446" s="169" t="str">
        <f>IF(EO446=1,SUMPRODUCT(MIN(($EN$4:$EN$503=EN446)*$EV$4:$EV$503+($EN$4:$EN$503&lt;&gt;EN446)*2958465)),"")</f>
        <v/>
      </c>
      <c r="EX446" s="169">
        <f>IF(AND(D446=1,ISNUMBER(INDEX(Charge!$F:$F,ROW()))),INDEX(Charge!$F:$F,ROW()),0)</f>
        <v>0.0</v>
      </c>
      <c r="EY446" s="169" t="str">
        <f>IF(EO446=1,SUMPRODUCT(MAX(($EN$4:$EN$503=EN446)*$EX$4:$EX$503)),"")</f>
        <v/>
      </c>
      <c r="FD446">
        <f>IF(AND(B446=1,TRIM(INDEX(Charge!$K:$K,ROW()))&lt;&gt;"",TRIM(INDEX(Charge!$L:$L,ROW()))&lt;&gt;""),1,0)</f>
        <v>0</v>
      </c>
      <c r="FE446">
        <f>IF(OR(EN446="",BZ446="(non affecté)"),0,IF(COUNTIFS($EN$4:EN446,EN446,$BZ$4:BZ446,BZ446)=1,1,0))</f>
        <v>0</v>
      </c>
      <c r="FF446" t="str">
        <f>IF(B446=1,LEFT(SUBSTITUTE(SUBSTITUTE(SUBSTITUTE(TRIM(SUBSTITUTE(INDEX(Charge!$B:$B,ROW()),CHAR(160)," "))&amp;" | "&amp;TRIM(SUBSTITUTE(INDEX(Charge!$C:$C,ROW()),CHAR(160)," "))&amp;" | "&amp;TRIM(SUBSTITUTE(INDEX(Charge!$D:$D,ROW()),CHAR(160)," ")),"~","-"),"*","+"),"?","!"),240),"")</f>
        <v/>
      </c>
      <c r="FG446">
        <f>IF(B446=1,MAX(0,N(INDEX(Charge!$M:$M,ROW()))),0)</f>
        <v>0</v>
      </c>
      <c r="FH446" s="170" t="str">
        <f>IF(EO446=1,ROUND(SUMIF($FF$4:$FF$503,EN446,$FG$4:$FG$503),2),"")</f>
        <v/>
      </c>
      <c r="FI446" s="170" t="str">
        <f>IF(EO446=1,ROUND(SUMPRODUCT(($FF$4:$FF$503=EN446)*$FG$4:$FG$503*$C$4:$C$503),2),"")</f>
        <v/>
      </c>
      <c r="FJ446" s="170" t="str">
        <f>IF(EO446=1,MAX(0,ROUND(FH446-FI446,2)),"")</f>
        <v/>
      </c>
      <c r="FK446" s="174" t="str">
        <f>IF(EO446=1,IF(OR(EW446&gt;=2958465,EY446=0,EY446&lt;=EW446),"",IF(TODAY()&lt;=EW446,0,IF(TODAY()&gt;EY446,1,IFERROR(NETWORKDAYS(EW446,TODAY()-1,Data!$K$4:$K$203)/NETWORKDAYS(EW446,EY446,Data!$K$4:$K$203),"")))),"")</f>
        <v/>
      </c>
      <c r="FL446" t="str">
        <f>IF(EO446=1,IF(AND(EY446&gt;0,EY446&lt;TODAY(),ROUND(EU446,4)&lt;1),2,IF(FK446="",0,IF(ROUND(EU446-FK446,4)&lt;-0.15,1,0))),"")</f>
        <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9" t="str">
        <f>IF(AND(D447=1,ISNUMBER(INDEX(Charge!$N:$N,ROW()))),INDEX(Charge!$N:$N,ROW()),"")</f>
        <v/>
      </c>
      <c r="J447" s="169"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70">
        <f>IF(OR($I447="",$E447=0),0,IF(OR($J447&lt;W$3,$I447&gt;W$2),0,IF($K447=0,IF(AND($I447&gt;=W$3,$I447&lt;=W$2),$E447,0),$E447*NETWORKDAYS(MAX($I447,W$3),MIN($J447,W$2),Data!$K$4:$K$203)/$K447)))</f>
        <v>0</v>
      </c>
      <c r="X447" s="170">
        <f>IF(OR($I447="",$E447=0),0,IF(OR($J447&lt;X$3,$I447&gt;X$2),0,IF($K447=0,IF(AND($I447&gt;=X$3,$I447&lt;=X$2),$E447,0),$E447*NETWORKDAYS(MAX($I447,X$3),MIN($J447,X$2),Data!$K$4:$K$203)/$K447)))</f>
        <v>0</v>
      </c>
      <c r="Y447" s="170">
        <f>IF(OR($I447="",$E447=0),0,IF(OR($J447&lt;Y$3,$I447&gt;Y$2),0,IF($K447=0,IF(AND($I447&gt;=Y$3,$I447&lt;=Y$2),$E447,0),$E447*NETWORKDAYS(MAX($I447,Y$3),MIN($J447,Y$2),Data!$K$4:$K$203)/$K447)))</f>
        <v>0</v>
      </c>
      <c r="Z447" s="170">
        <f>IF(OR($I447="",$E447=0),0,IF(OR($J447&lt;Z$3,$I447&gt;Z$2),0,IF($K447=0,IF(AND($I447&gt;=Z$3,$I447&lt;=Z$2),$E447,0),$E447*NETWORKDAYS(MAX($I447,Z$3),MIN($J447,Z$2),Data!$K$4:$K$203)/$K447)))</f>
        <v>0</v>
      </c>
      <c r="AA447" s="170">
        <f>IF(OR($I447="",$E447=0),0,IF(OR($J447&lt;AA$3,$I447&gt;AA$2),0,IF($K447=0,IF(AND($I447&gt;=AA$3,$I447&lt;=AA$2),$E447,0),$E447*NETWORKDAYS(MAX($I447,AA$3),MIN($J447,AA$2),Data!$K$4:$K$203)/$K447)))</f>
        <v>0</v>
      </c>
      <c r="AB447" s="170">
        <f>IF(OR($I447="",$E447=0),0,IF(OR($J447&lt;AB$3,$I447&gt;AB$2),0,IF($K447=0,IF(AND($I447&gt;=AB$3,$I447&lt;=AB$2),$E447,0),$E447*NETWORKDAYS(MAX($I447,AB$3),MIN($J447,AB$2),Data!$K$4:$K$203)/$K447)))</f>
        <v>0</v>
      </c>
      <c r="AC447" s="170">
        <f>IF(OR($I447="",$E447=0),0,IF(OR($J447&lt;AC$3,$I447&gt;AC$2),0,IF($K447=0,IF(AND($I447&gt;=AC$3,$I447&lt;=AC$2),$E447,0),$E447*NETWORKDAYS(MAX($I447,AC$3),MIN($J447,AC$2),Data!$K$4:$K$203)/$K447)))</f>
        <v>0</v>
      </c>
      <c r="AD447" s="170">
        <f>IF(OR($I447="",$E447=0),0,IF(OR($J447&lt;AD$3,$I447&gt;AD$2),0,IF($K447=0,IF(AND($I447&gt;=AD$3,$I447&lt;=AD$2),$E447,0),$E447*NETWORKDAYS(MAX($I447,AD$3),MIN($J447,AD$2),Data!$K$4:$K$203)/$K447)))</f>
        <v>0</v>
      </c>
      <c r="AE447" s="170">
        <f>IF(OR($I447="",$E447=0),0,IF(OR($J447&lt;AE$3,$I447&gt;AE$2),0,IF($K447=0,IF(AND($I447&gt;=AE$3,$I447&lt;=AE$2),$E447,0),$E447*NETWORKDAYS(MAX($I447,AE$3),MIN($J447,AE$2),Data!$K$4:$K$203)/$K447)))</f>
        <v>0</v>
      </c>
      <c r="AF447" s="170">
        <f>IF(OR($I447="",$E447=0),0,IF(OR($J447&lt;AF$3,$I447&gt;AF$2),0,IF($K447=0,IF(AND($I447&gt;=AF$3,$I447&lt;=AF$2),$E447,0),$E447*NETWORKDAYS(MAX($I447,AF$3),MIN($J447,AF$2),Data!$K$4:$K$203)/$K447)))</f>
        <v>0</v>
      </c>
      <c r="AG447" s="170">
        <f>IF(OR($I447="",$E447=0),0,IF(OR($J447&lt;AG$3,$I447&gt;AG$2),0,IF($K447=0,IF(AND($I447&gt;=AG$3,$I447&lt;=AG$2),$E447,0),$E447*NETWORKDAYS(MAX($I447,AG$3),MIN($J447,AG$2),Data!$K$4:$K$203)/$K447)))</f>
        <v>0</v>
      </c>
      <c r="AH447" s="170">
        <f>IF(OR($I447="",$E447=0),0,IF(OR($J447&lt;AH$3,$I447&gt;AH$2),0,IF($K447=0,IF(AND($I447&gt;=AH$3,$I447&lt;=AH$2),$E447,0),$E447*NETWORKDAYS(MAX($I447,AH$3),MIN($J447,AH$2),Data!$K$4:$K$203)/$K447)))</f>
        <v>0</v>
      </c>
      <c r="AI447" s="170">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70"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4" t="str">
        <f>IF(EO447=1,IF(FH447&gt;0,FI447/FH447,AVERAGEIF($FF$4:$FF$503,EN447,$C$4:$C$503)),"")</f>
        <v/>
      </c>
      <c r="EV447" s="169">
        <f>IF(ISNUMBER(I447),I447,2958465)</f>
        <v>2958465.0</v>
      </c>
      <c r="EW447" s="169" t="str">
        <f>IF(EO447=1,SUMPRODUCT(MIN(($EN$4:$EN$503=EN447)*$EV$4:$EV$503+($EN$4:$EN$503&lt;&gt;EN447)*2958465)),"")</f>
        <v/>
      </c>
      <c r="EX447" s="169">
        <f>IF(AND(D447=1,ISNUMBER(INDEX(Charge!$F:$F,ROW()))),INDEX(Charge!$F:$F,ROW()),0)</f>
        <v>0.0</v>
      </c>
      <c r="EY447" s="169" t="str">
        <f>IF(EO447=1,SUMPRODUCT(MAX(($EN$4:$EN$503=EN447)*$EX$4:$EX$503)),"")</f>
        <v/>
      </c>
      <c r="FD447">
        <f>IF(AND(B447=1,TRIM(INDEX(Charge!$K:$K,ROW()))&lt;&gt;"",TRIM(INDEX(Charge!$L:$L,ROW()))&lt;&gt;""),1,0)</f>
        <v>0</v>
      </c>
      <c r="FE447">
        <f>IF(OR(EN447="",BZ447="(non affecté)"),0,IF(COUNTIFS($EN$4:EN447,EN447,$BZ$4:BZ447,BZ447)=1,1,0))</f>
        <v>0</v>
      </c>
      <c r="FF447" t="str">
        <f>IF(B447=1,LEFT(SUBSTITUTE(SUBSTITUTE(SUBSTITUTE(TRIM(SUBSTITUTE(INDEX(Charge!$B:$B,ROW()),CHAR(160)," "))&amp;" | "&amp;TRIM(SUBSTITUTE(INDEX(Charge!$C:$C,ROW()),CHAR(160)," "))&amp;" | "&amp;TRIM(SUBSTITUTE(INDEX(Charge!$D:$D,ROW()),CHAR(160)," ")),"~","-"),"*","+"),"?","!"),240),"")</f>
        <v/>
      </c>
      <c r="FG447">
        <f>IF(B447=1,MAX(0,N(INDEX(Charge!$M:$M,ROW()))),0)</f>
        <v>0</v>
      </c>
      <c r="FH447" s="170" t="str">
        <f>IF(EO447=1,ROUND(SUMIF($FF$4:$FF$503,EN447,$FG$4:$FG$503),2),"")</f>
        <v/>
      </c>
      <c r="FI447" s="170" t="str">
        <f>IF(EO447=1,ROUND(SUMPRODUCT(($FF$4:$FF$503=EN447)*$FG$4:$FG$503*$C$4:$C$503),2),"")</f>
        <v/>
      </c>
      <c r="FJ447" s="170" t="str">
        <f>IF(EO447=1,MAX(0,ROUND(FH447-FI447,2)),"")</f>
        <v/>
      </c>
      <c r="FK447" s="174" t="str">
        <f>IF(EO447=1,IF(OR(EW447&gt;=2958465,EY447=0,EY447&lt;=EW447),"",IF(TODAY()&lt;=EW447,0,IF(TODAY()&gt;EY447,1,IFERROR(NETWORKDAYS(EW447,TODAY()-1,Data!$K$4:$K$203)/NETWORKDAYS(EW447,EY447,Data!$K$4:$K$203),"")))),"")</f>
        <v/>
      </c>
      <c r="FL447" t="str">
        <f>IF(EO447=1,IF(AND(EY447&gt;0,EY447&lt;TODAY(),ROUND(EU447,4)&lt;1),2,IF(FK447="",0,IF(ROUND(EU447-FK447,4)&lt;-0.15,1,0))),"")</f>
        <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9" t="str">
        <f>IF(AND(D448=1,ISNUMBER(INDEX(Charge!$N:$N,ROW()))),INDEX(Charge!$N:$N,ROW()),"")</f>
        <v/>
      </c>
      <c r="J448" s="169"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70">
        <f>IF(OR($I448="",$E448=0),0,IF(OR($J448&lt;W$3,$I448&gt;W$2),0,IF($K448=0,IF(AND($I448&gt;=W$3,$I448&lt;=W$2),$E448,0),$E448*NETWORKDAYS(MAX($I448,W$3),MIN($J448,W$2),Data!$K$4:$K$203)/$K448)))</f>
        <v>0</v>
      </c>
      <c r="X448" s="170">
        <f>IF(OR($I448="",$E448=0),0,IF(OR($J448&lt;X$3,$I448&gt;X$2),0,IF($K448=0,IF(AND($I448&gt;=X$3,$I448&lt;=X$2),$E448,0),$E448*NETWORKDAYS(MAX($I448,X$3),MIN($J448,X$2),Data!$K$4:$K$203)/$K448)))</f>
        <v>0</v>
      </c>
      <c r="Y448" s="170">
        <f>IF(OR($I448="",$E448=0),0,IF(OR($J448&lt;Y$3,$I448&gt;Y$2),0,IF($K448=0,IF(AND($I448&gt;=Y$3,$I448&lt;=Y$2),$E448,0),$E448*NETWORKDAYS(MAX($I448,Y$3),MIN($J448,Y$2),Data!$K$4:$K$203)/$K448)))</f>
        <v>0</v>
      </c>
      <c r="Z448" s="170">
        <f>IF(OR($I448="",$E448=0),0,IF(OR($J448&lt;Z$3,$I448&gt;Z$2),0,IF($K448=0,IF(AND($I448&gt;=Z$3,$I448&lt;=Z$2),$E448,0),$E448*NETWORKDAYS(MAX($I448,Z$3),MIN($J448,Z$2),Data!$K$4:$K$203)/$K448)))</f>
        <v>0</v>
      </c>
      <c r="AA448" s="170">
        <f>IF(OR($I448="",$E448=0),0,IF(OR($J448&lt;AA$3,$I448&gt;AA$2),0,IF($K448=0,IF(AND($I448&gt;=AA$3,$I448&lt;=AA$2),$E448,0),$E448*NETWORKDAYS(MAX($I448,AA$3),MIN($J448,AA$2),Data!$K$4:$K$203)/$K448)))</f>
        <v>0</v>
      </c>
      <c r="AB448" s="170">
        <f>IF(OR($I448="",$E448=0),0,IF(OR($J448&lt;AB$3,$I448&gt;AB$2),0,IF($K448=0,IF(AND($I448&gt;=AB$3,$I448&lt;=AB$2),$E448,0),$E448*NETWORKDAYS(MAX($I448,AB$3),MIN($J448,AB$2),Data!$K$4:$K$203)/$K448)))</f>
        <v>0</v>
      </c>
      <c r="AC448" s="170">
        <f>IF(OR($I448="",$E448=0),0,IF(OR($J448&lt;AC$3,$I448&gt;AC$2),0,IF($K448=0,IF(AND($I448&gt;=AC$3,$I448&lt;=AC$2),$E448,0),$E448*NETWORKDAYS(MAX($I448,AC$3),MIN($J448,AC$2),Data!$K$4:$K$203)/$K448)))</f>
        <v>0</v>
      </c>
      <c r="AD448" s="170">
        <f>IF(OR($I448="",$E448=0),0,IF(OR($J448&lt;AD$3,$I448&gt;AD$2),0,IF($K448=0,IF(AND($I448&gt;=AD$3,$I448&lt;=AD$2),$E448,0),$E448*NETWORKDAYS(MAX($I448,AD$3),MIN($J448,AD$2),Data!$K$4:$K$203)/$K448)))</f>
        <v>0</v>
      </c>
      <c r="AE448" s="170">
        <f>IF(OR($I448="",$E448=0),0,IF(OR($J448&lt;AE$3,$I448&gt;AE$2),0,IF($K448=0,IF(AND($I448&gt;=AE$3,$I448&lt;=AE$2),$E448,0),$E448*NETWORKDAYS(MAX($I448,AE$3),MIN($J448,AE$2),Data!$K$4:$K$203)/$K448)))</f>
        <v>0</v>
      </c>
      <c r="AF448" s="170">
        <f>IF(OR($I448="",$E448=0),0,IF(OR($J448&lt;AF$3,$I448&gt;AF$2),0,IF($K448=0,IF(AND($I448&gt;=AF$3,$I448&lt;=AF$2),$E448,0),$E448*NETWORKDAYS(MAX($I448,AF$3),MIN($J448,AF$2),Data!$K$4:$K$203)/$K448)))</f>
        <v>0</v>
      </c>
      <c r="AG448" s="170">
        <f>IF(OR($I448="",$E448=0),0,IF(OR($J448&lt;AG$3,$I448&gt;AG$2),0,IF($K448=0,IF(AND($I448&gt;=AG$3,$I448&lt;=AG$2),$E448,0),$E448*NETWORKDAYS(MAX($I448,AG$3),MIN($J448,AG$2),Data!$K$4:$K$203)/$K448)))</f>
        <v>0</v>
      </c>
      <c r="AH448" s="170">
        <f>IF(OR($I448="",$E448=0),0,IF(OR($J448&lt;AH$3,$I448&gt;AH$2),0,IF($K448=0,IF(AND($I448&gt;=AH$3,$I448&lt;=AH$2),$E448,0),$E448*NETWORKDAYS(MAX($I448,AH$3),MIN($J448,AH$2),Data!$K$4:$K$203)/$K448)))</f>
        <v>0</v>
      </c>
      <c r="AI448" s="170">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70"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4" t="str">
        <f>IF(EO448=1,IF(FH448&gt;0,FI448/FH448,AVERAGEIF($FF$4:$FF$503,EN448,$C$4:$C$503)),"")</f>
        <v/>
      </c>
      <c r="EV448" s="169">
        <f>IF(ISNUMBER(I448),I448,2958465)</f>
        <v>2958465.0</v>
      </c>
      <c r="EW448" s="169" t="str">
        <f>IF(EO448=1,SUMPRODUCT(MIN(($EN$4:$EN$503=EN448)*$EV$4:$EV$503+($EN$4:$EN$503&lt;&gt;EN448)*2958465)),"")</f>
        <v/>
      </c>
      <c r="EX448" s="169">
        <f>IF(AND(D448=1,ISNUMBER(INDEX(Charge!$F:$F,ROW()))),INDEX(Charge!$F:$F,ROW()),0)</f>
        <v>0.0</v>
      </c>
      <c r="EY448" s="169" t="str">
        <f>IF(EO448=1,SUMPRODUCT(MAX(($EN$4:$EN$503=EN448)*$EX$4:$EX$503)),"")</f>
        <v/>
      </c>
      <c r="FD448">
        <f>IF(AND(B448=1,TRIM(INDEX(Charge!$K:$K,ROW()))&lt;&gt;"",TRIM(INDEX(Charge!$L:$L,ROW()))&lt;&gt;""),1,0)</f>
        <v>0</v>
      </c>
      <c r="FE448">
        <f>IF(OR(EN448="",BZ448="(non affecté)"),0,IF(COUNTIFS($EN$4:EN448,EN448,$BZ$4:BZ448,BZ448)=1,1,0))</f>
        <v>0</v>
      </c>
      <c r="FF448" t="str">
        <f>IF(B448=1,LEFT(SUBSTITUTE(SUBSTITUTE(SUBSTITUTE(TRIM(SUBSTITUTE(INDEX(Charge!$B:$B,ROW()),CHAR(160)," "))&amp;" | "&amp;TRIM(SUBSTITUTE(INDEX(Charge!$C:$C,ROW()),CHAR(160)," "))&amp;" | "&amp;TRIM(SUBSTITUTE(INDEX(Charge!$D:$D,ROW()),CHAR(160)," ")),"~","-"),"*","+"),"?","!"),240),"")</f>
        <v/>
      </c>
      <c r="FG448">
        <f>IF(B448=1,MAX(0,N(INDEX(Charge!$M:$M,ROW()))),0)</f>
        <v>0</v>
      </c>
      <c r="FH448" s="170" t="str">
        <f>IF(EO448=1,ROUND(SUMIF($FF$4:$FF$503,EN448,$FG$4:$FG$503),2),"")</f>
        <v/>
      </c>
      <c r="FI448" s="170" t="str">
        <f>IF(EO448=1,ROUND(SUMPRODUCT(($FF$4:$FF$503=EN448)*$FG$4:$FG$503*$C$4:$C$503),2),"")</f>
        <v/>
      </c>
      <c r="FJ448" s="170" t="str">
        <f>IF(EO448=1,MAX(0,ROUND(FH448-FI448,2)),"")</f>
        <v/>
      </c>
      <c r="FK448" s="174" t="str">
        <f>IF(EO448=1,IF(OR(EW448&gt;=2958465,EY448=0,EY448&lt;=EW448),"",IF(TODAY()&lt;=EW448,0,IF(TODAY()&gt;EY448,1,IFERROR(NETWORKDAYS(EW448,TODAY()-1,Data!$K$4:$K$203)/NETWORKDAYS(EW448,EY448,Data!$K$4:$K$203),"")))),"")</f>
        <v/>
      </c>
      <c r="FL448" t="str">
        <f>IF(EO448=1,IF(AND(EY448&gt;0,EY448&lt;TODAY(),ROUND(EU448,4)&lt;1),2,IF(FK448="",0,IF(ROUND(EU448-FK448,4)&lt;-0.15,1,0))),"")</f>
        <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9" t="str">
        <f>IF(AND(D449=1,ISNUMBER(INDEX(Charge!$N:$N,ROW()))),INDEX(Charge!$N:$N,ROW()),"")</f>
        <v/>
      </c>
      <c r="J449" s="169"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70">
        <f>IF(OR($I449="",$E449=0),0,IF(OR($J449&lt;W$3,$I449&gt;W$2),0,IF($K449=0,IF(AND($I449&gt;=W$3,$I449&lt;=W$2),$E449,0),$E449*NETWORKDAYS(MAX($I449,W$3),MIN($J449,W$2),Data!$K$4:$K$203)/$K449)))</f>
        <v>0</v>
      </c>
      <c r="X449" s="170">
        <f>IF(OR($I449="",$E449=0),0,IF(OR($J449&lt;X$3,$I449&gt;X$2),0,IF($K449=0,IF(AND($I449&gt;=X$3,$I449&lt;=X$2),$E449,0),$E449*NETWORKDAYS(MAX($I449,X$3),MIN($J449,X$2),Data!$K$4:$K$203)/$K449)))</f>
        <v>0</v>
      </c>
      <c r="Y449" s="170">
        <f>IF(OR($I449="",$E449=0),0,IF(OR($J449&lt;Y$3,$I449&gt;Y$2),0,IF($K449=0,IF(AND($I449&gt;=Y$3,$I449&lt;=Y$2),$E449,0),$E449*NETWORKDAYS(MAX($I449,Y$3),MIN($J449,Y$2),Data!$K$4:$K$203)/$K449)))</f>
        <v>0</v>
      </c>
      <c r="Z449" s="170">
        <f>IF(OR($I449="",$E449=0),0,IF(OR($J449&lt;Z$3,$I449&gt;Z$2),0,IF($K449=0,IF(AND($I449&gt;=Z$3,$I449&lt;=Z$2),$E449,0),$E449*NETWORKDAYS(MAX($I449,Z$3),MIN($J449,Z$2),Data!$K$4:$K$203)/$K449)))</f>
        <v>0</v>
      </c>
      <c r="AA449" s="170">
        <f>IF(OR($I449="",$E449=0),0,IF(OR($J449&lt;AA$3,$I449&gt;AA$2),0,IF($K449=0,IF(AND($I449&gt;=AA$3,$I449&lt;=AA$2),$E449,0),$E449*NETWORKDAYS(MAX($I449,AA$3),MIN($J449,AA$2),Data!$K$4:$K$203)/$K449)))</f>
        <v>0</v>
      </c>
      <c r="AB449" s="170">
        <f>IF(OR($I449="",$E449=0),0,IF(OR($J449&lt;AB$3,$I449&gt;AB$2),0,IF($K449=0,IF(AND($I449&gt;=AB$3,$I449&lt;=AB$2),$E449,0),$E449*NETWORKDAYS(MAX($I449,AB$3),MIN($J449,AB$2),Data!$K$4:$K$203)/$K449)))</f>
        <v>0</v>
      </c>
      <c r="AC449" s="170">
        <f>IF(OR($I449="",$E449=0),0,IF(OR($J449&lt;AC$3,$I449&gt;AC$2),0,IF($K449=0,IF(AND($I449&gt;=AC$3,$I449&lt;=AC$2),$E449,0),$E449*NETWORKDAYS(MAX($I449,AC$3),MIN($J449,AC$2),Data!$K$4:$K$203)/$K449)))</f>
        <v>0</v>
      </c>
      <c r="AD449" s="170">
        <f>IF(OR($I449="",$E449=0),0,IF(OR($J449&lt;AD$3,$I449&gt;AD$2),0,IF($K449=0,IF(AND($I449&gt;=AD$3,$I449&lt;=AD$2),$E449,0),$E449*NETWORKDAYS(MAX($I449,AD$3),MIN($J449,AD$2),Data!$K$4:$K$203)/$K449)))</f>
        <v>0</v>
      </c>
      <c r="AE449" s="170">
        <f>IF(OR($I449="",$E449=0),0,IF(OR($J449&lt;AE$3,$I449&gt;AE$2),0,IF($K449=0,IF(AND($I449&gt;=AE$3,$I449&lt;=AE$2),$E449,0),$E449*NETWORKDAYS(MAX($I449,AE$3),MIN($J449,AE$2),Data!$K$4:$K$203)/$K449)))</f>
        <v>0</v>
      </c>
      <c r="AF449" s="170">
        <f>IF(OR($I449="",$E449=0),0,IF(OR($J449&lt;AF$3,$I449&gt;AF$2),0,IF($K449=0,IF(AND($I449&gt;=AF$3,$I449&lt;=AF$2),$E449,0),$E449*NETWORKDAYS(MAX($I449,AF$3),MIN($J449,AF$2),Data!$K$4:$K$203)/$K449)))</f>
        <v>0</v>
      </c>
      <c r="AG449" s="170">
        <f>IF(OR($I449="",$E449=0),0,IF(OR($J449&lt;AG$3,$I449&gt;AG$2),0,IF($K449=0,IF(AND($I449&gt;=AG$3,$I449&lt;=AG$2),$E449,0),$E449*NETWORKDAYS(MAX($I449,AG$3),MIN($J449,AG$2),Data!$K$4:$K$203)/$K449)))</f>
        <v>0</v>
      </c>
      <c r="AH449" s="170">
        <f>IF(OR($I449="",$E449=0),0,IF(OR($J449&lt;AH$3,$I449&gt;AH$2),0,IF($K449=0,IF(AND($I449&gt;=AH$3,$I449&lt;=AH$2),$E449,0),$E449*NETWORKDAYS(MAX($I449,AH$3),MIN($J449,AH$2),Data!$K$4:$K$203)/$K449)))</f>
        <v>0</v>
      </c>
      <c r="AI449" s="170">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70"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4" t="str">
        <f>IF(EO449=1,IF(FH449&gt;0,FI449/FH449,AVERAGEIF($FF$4:$FF$503,EN449,$C$4:$C$503)),"")</f>
        <v/>
      </c>
      <c r="EV449" s="169">
        <f>IF(ISNUMBER(I449),I449,2958465)</f>
        <v>2958465.0</v>
      </c>
      <c r="EW449" s="169" t="str">
        <f>IF(EO449=1,SUMPRODUCT(MIN(($EN$4:$EN$503=EN449)*$EV$4:$EV$503+($EN$4:$EN$503&lt;&gt;EN449)*2958465)),"")</f>
        <v/>
      </c>
      <c r="EX449" s="169">
        <f>IF(AND(D449=1,ISNUMBER(INDEX(Charge!$F:$F,ROW()))),INDEX(Charge!$F:$F,ROW()),0)</f>
        <v>0.0</v>
      </c>
      <c r="EY449" s="169" t="str">
        <f>IF(EO449=1,SUMPRODUCT(MAX(($EN$4:$EN$503=EN449)*$EX$4:$EX$503)),"")</f>
        <v/>
      </c>
      <c r="FD449">
        <f>IF(AND(B449=1,TRIM(INDEX(Charge!$K:$K,ROW()))&lt;&gt;"",TRIM(INDEX(Charge!$L:$L,ROW()))&lt;&gt;""),1,0)</f>
        <v>0</v>
      </c>
      <c r="FE449">
        <f>IF(OR(EN449="",BZ449="(non affecté)"),0,IF(COUNTIFS($EN$4:EN449,EN449,$BZ$4:BZ449,BZ449)=1,1,0))</f>
        <v>0</v>
      </c>
      <c r="FF449" t="str">
        <f>IF(B449=1,LEFT(SUBSTITUTE(SUBSTITUTE(SUBSTITUTE(TRIM(SUBSTITUTE(INDEX(Charge!$B:$B,ROW()),CHAR(160)," "))&amp;" | "&amp;TRIM(SUBSTITUTE(INDEX(Charge!$C:$C,ROW()),CHAR(160)," "))&amp;" | "&amp;TRIM(SUBSTITUTE(INDEX(Charge!$D:$D,ROW()),CHAR(160)," ")),"~","-"),"*","+"),"?","!"),240),"")</f>
        <v/>
      </c>
      <c r="FG449">
        <f>IF(B449=1,MAX(0,N(INDEX(Charge!$M:$M,ROW()))),0)</f>
        <v>0</v>
      </c>
      <c r="FH449" s="170" t="str">
        <f>IF(EO449=1,ROUND(SUMIF($FF$4:$FF$503,EN449,$FG$4:$FG$503),2),"")</f>
        <v/>
      </c>
      <c r="FI449" s="170" t="str">
        <f>IF(EO449=1,ROUND(SUMPRODUCT(($FF$4:$FF$503=EN449)*$FG$4:$FG$503*$C$4:$C$503),2),"")</f>
        <v/>
      </c>
      <c r="FJ449" s="170" t="str">
        <f>IF(EO449=1,MAX(0,ROUND(FH449-FI449,2)),"")</f>
        <v/>
      </c>
      <c r="FK449" s="174" t="str">
        <f>IF(EO449=1,IF(OR(EW449&gt;=2958465,EY449=0,EY449&lt;=EW449),"",IF(TODAY()&lt;=EW449,0,IF(TODAY()&gt;EY449,1,IFERROR(NETWORKDAYS(EW449,TODAY()-1,Data!$K$4:$K$203)/NETWORKDAYS(EW449,EY449,Data!$K$4:$K$203),"")))),"")</f>
        <v/>
      </c>
      <c r="FL449" t="str">
        <f>IF(EO449=1,IF(AND(EY449&gt;0,EY449&lt;TODAY(),ROUND(EU449,4)&lt;1),2,IF(FK449="",0,IF(ROUND(EU449-FK449,4)&lt;-0.15,1,0))),"")</f>
        <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9" t="str">
        <f>IF(AND(D450=1,ISNUMBER(INDEX(Charge!$N:$N,ROW()))),INDEX(Charge!$N:$N,ROW()),"")</f>
        <v/>
      </c>
      <c r="J450" s="169"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70">
        <f>IF(OR($I450="",$E450=0),0,IF(OR($J450&lt;W$3,$I450&gt;W$2),0,IF($K450=0,IF(AND($I450&gt;=W$3,$I450&lt;=W$2),$E450,0),$E450*NETWORKDAYS(MAX($I450,W$3),MIN($J450,W$2),Data!$K$4:$K$203)/$K450)))</f>
        <v>0</v>
      </c>
      <c r="X450" s="170">
        <f>IF(OR($I450="",$E450=0),0,IF(OR($J450&lt;X$3,$I450&gt;X$2),0,IF($K450=0,IF(AND($I450&gt;=X$3,$I450&lt;=X$2),$E450,0),$E450*NETWORKDAYS(MAX($I450,X$3),MIN($J450,X$2),Data!$K$4:$K$203)/$K450)))</f>
        <v>0</v>
      </c>
      <c r="Y450" s="170">
        <f>IF(OR($I450="",$E450=0),0,IF(OR($J450&lt;Y$3,$I450&gt;Y$2),0,IF($K450=0,IF(AND($I450&gt;=Y$3,$I450&lt;=Y$2),$E450,0),$E450*NETWORKDAYS(MAX($I450,Y$3),MIN($J450,Y$2),Data!$K$4:$K$203)/$K450)))</f>
        <v>0</v>
      </c>
      <c r="Z450" s="170">
        <f>IF(OR($I450="",$E450=0),0,IF(OR($J450&lt;Z$3,$I450&gt;Z$2),0,IF($K450=0,IF(AND($I450&gt;=Z$3,$I450&lt;=Z$2),$E450,0),$E450*NETWORKDAYS(MAX($I450,Z$3),MIN($J450,Z$2),Data!$K$4:$K$203)/$K450)))</f>
        <v>0</v>
      </c>
      <c r="AA450" s="170">
        <f>IF(OR($I450="",$E450=0),0,IF(OR($J450&lt;AA$3,$I450&gt;AA$2),0,IF($K450=0,IF(AND($I450&gt;=AA$3,$I450&lt;=AA$2),$E450,0),$E450*NETWORKDAYS(MAX($I450,AA$3),MIN($J450,AA$2),Data!$K$4:$K$203)/$K450)))</f>
        <v>0</v>
      </c>
      <c r="AB450" s="170">
        <f>IF(OR($I450="",$E450=0),0,IF(OR($J450&lt;AB$3,$I450&gt;AB$2),0,IF($K450=0,IF(AND($I450&gt;=AB$3,$I450&lt;=AB$2),$E450,0),$E450*NETWORKDAYS(MAX($I450,AB$3),MIN($J450,AB$2),Data!$K$4:$K$203)/$K450)))</f>
        <v>0</v>
      </c>
      <c r="AC450" s="170">
        <f>IF(OR($I450="",$E450=0),0,IF(OR($J450&lt;AC$3,$I450&gt;AC$2),0,IF($K450=0,IF(AND($I450&gt;=AC$3,$I450&lt;=AC$2),$E450,0),$E450*NETWORKDAYS(MAX($I450,AC$3),MIN($J450,AC$2),Data!$K$4:$K$203)/$K450)))</f>
        <v>0</v>
      </c>
      <c r="AD450" s="170">
        <f>IF(OR($I450="",$E450=0),0,IF(OR($J450&lt;AD$3,$I450&gt;AD$2),0,IF($K450=0,IF(AND($I450&gt;=AD$3,$I450&lt;=AD$2),$E450,0),$E450*NETWORKDAYS(MAX($I450,AD$3),MIN($J450,AD$2),Data!$K$4:$K$203)/$K450)))</f>
        <v>0</v>
      </c>
      <c r="AE450" s="170">
        <f>IF(OR($I450="",$E450=0),0,IF(OR($J450&lt;AE$3,$I450&gt;AE$2),0,IF($K450=0,IF(AND($I450&gt;=AE$3,$I450&lt;=AE$2),$E450,0),$E450*NETWORKDAYS(MAX($I450,AE$3),MIN($J450,AE$2),Data!$K$4:$K$203)/$K450)))</f>
        <v>0</v>
      </c>
      <c r="AF450" s="170">
        <f>IF(OR($I450="",$E450=0),0,IF(OR($J450&lt;AF$3,$I450&gt;AF$2),0,IF($K450=0,IF(AND($I450&gt;=AF$3,$I450&lt;=AF$2),$E450,0),$E450*NETWORKDAYS(MAX($I450,AF$3),MIN($J450,AF$2),Data!$K$4:$K$203)/$K450)))</f>
        <v>0</v>
      </c>
      <c r="AG450" s="170">
        <f>IF(OR($I450="",$E450=0),0,IF(OR($J450&lt;AG$3,$I450&gt;AG$2),0,IF($K450=0,IF(AND($I450&gt;=AG$3,$I450&lt;=AG$2),$E450,0),$E450*NETWORKDAYS(MAX($I450,AG$3),MIN($J450,AG$2),Data!$K$4:$K$203)/$K450)))</f>
        <v>0</v>
      </c>
      <c r="AH450" s="170">
        <f>IF(OR($I450="",$E450=0),0,IF(OR($J450&lt;AH$3,$I450&gt;AH$2),0,IF($K450=0,IF(AND($I450&gt;=AH$3,$I450&lt;=AH$2),$E450,0),$E450*NETWORKDAYS(MAX($I450,AH$3),MIN($J450,AH$2),Data!$K$4:$K$203)/$K450)))</f>
        <v>0</v>
      </c>
      <c r="AI450" s="170">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70"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4" t="str">
        <f>IF(EO450=1,IF(FH450&gt;0,FI450/FH450,AVERAGEIF($FF$4:$FF$503,EN450,$C$4:$C$503)),"")</f>
        <v/>
      </c>
      <c r="EV450" s="169">
        <f>IF(ISNUMBER(I450),I450,2958465)</f>
        <v>2958465.0</v>
      </c>
      <c r="EW450" s="169" t="str">
        <f>IF(EO450=1,SUMPRODUCT(MIN(($EN$4:$EN$503=EN450)*$EV$4:$EV$503+($EN$4:$EN$503&lt;&gt;EN450)*2958465)),"")</f>
        <v/>
      </c>
      <c r="EX450" s="169">
        <f>IF(AND(D450=1,ISNUMBER(INDEX(Charge!$F:$F,ROW()))),INDEX(Charge!$F:$F,ROW()),0)</f>
        <v>0.0</v>
      </c>
      <c r="EY450" s="169" t="str">
        <f>IF(EO450=1,SUMPRODUCT(MAX(($EN$4:$EN$503=EN450)*$EX$4:$EX$503)),"")</f>
        <v/>
      </c>
      <c r="FD450">
        <f>IF(AND(B450=1,TRIM(INDEX(Charge!$K:$K,ROW()))&lt;&gt;"",TRIM(INDEX(Charge!$L:$L,ROW()))&lt;&gt;""),1,0)</f>
        <v>0</v>
      </c>
      <c r="FE450">
        <f>IF(OR(EN450="",BZ450="(non affecté)"),0,IF(COUNTIFS($EN$4:EN450,EN450,$BZ$4:BZ450,BZ450)=1,1,0))</f>
        <v>0</v>
      </c>
      <c r="FF450" t="str">
        <f>IF(B450=1,LEFT(SUBSTITUTE(SUBSTITUTE(SUBSTITUTE(TRIM(SUBSTITUTE(INDEX(Charge!$B:$B,ROW()),CHAR(160)," "))&amp;" | "&amp;TRIM(SUBSTITUTE(INDEX(Charge!$C:$C,ROW()),CHAR(160)," "))&amp;" | "&amp;TRIM(SUBSTITUTE(INDEX(Charge!$D:$D,ROW()),CHAR(160)," ")),"~","-"),"*","+"),"?","!"),240),"")</f>
        <v/>
      </c>
      <c r="FG450">
        <f>IF(B450=1,MAX(0,N(INDEX(Charge!$M:$M,ROW()))),0)</f>
        <v>0</v>
      </c>
      <c r="FH450" s="170" t="str">
        <f>IF(EO450=1,ROUND(SUMIF($FF$4:$FF$503,EN450,$FG$4:$FG$503),2),"")</f>
        <v/>
      </c>
      <c r="FI450" s="170" t="str">
        <f>IF(EO450=1,ROUND(SUMPRODUCT(($FF$4:$FF$503=EN450)*$FG$4:$FG$503*$C$4:$C$503),2),"")</f>
        <v/>
      </c>
      <c r="FJ450" s="170" t="str">
        <f>IF(EO450=1,MAX(0,ROUND(FH450-FI450,2)),"")</f>
        <v/>
      </c>
      <c r="FK450" s="174" t="str">
        <f>IF(EO450=1,IF(OR(EW450&gt;=2958465,EY450=0,EY450&lt;=EW450),"",IF(TODAY()&lt;=EW450,0,IF(TODAY()&gt;EY450,1,IFERROR(NETWORKDAYS(EW450,TODAY()-1,Data!$K$4:$K$203)/NETWORKDAYS(EW450,EY450,Data!$K$4:$K$203),"")))),"")</f>
        <v/>
      </c>
      <c r="FL450" t="str">
        <f>IF(EO450=1,IF(AND(EY450&gt;0,EY450&lt;TODAY(),ROUND(EU450,4)&lt;1),2,IF(FK450="",0,IF(ROUND(EU450-FK450,4)&lt;-0.15,1,0))),"")</f>
        <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9" t="str">
        <f>IF(AND(D451=1,ISNUMBER(INDEX(Charge!$N:$N,ROW()))),INDEX(Charge!$N:$N,ROW()),"")</f>
        <v/>
      </c>
      <c r="J451" s="169"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70">
        <f>IF(OR($I451="",$E451=0),0,IF(OR($J451&lt;W$3,$I451&gt;W$2),0,IF($K451=0,IF(AND($I451&gt;=W$3,$I451&lt;=W$2),$E451,0),$E451*NETWORKDAYS(MAX($I451,W$3),MIN($J451,W$2),Data!$K$4:$K$203)/$K451)))</f>
        <v>0</v>
      </c>
      <c r="X451" s="170">
        <f>IF(OR($I451="",$E451=0),0,IF(OR($J451&lt;X$3,$I451&gt;X$2),0,IF($K451=0,IF(AND($I451&gt;=X$3,$I451&lt;=X$2),$E451,0),$E451*NETWORKDAYS(MAX($I451,X$3),MIN($J451,X$2),Data!$K$4:$K$203)/$K451)))</f>
        <v>0</v>
      </c>
      <c r="Y451" s="170">
        <f>IF(OR($I451="",$E451=0),0,IF(OR($J451&lt;Y$3,$I451&gt;Y$2),0,IF($K451=0,IF(AND($I451&gt;=Y$3,$I451&lt;=Y$2),$E451,0),$E451*NETWORKDAYS(MAX($I451,Y$3),MIN($J451,Y$2),Data!$K$4:$K$203)/$K451)))</f>
        <v>0</v>
      </c>
      <c r="Z451" s="170">
        <f>IF(OR($I451="",$E451=0),0,IF(OR($J451&lt;Z$3,$I451&gt;Z$2),0,IF($K451=0,IF(AND($I451&gt;=Z$3,$I451&lt;=Z$2),$E451,0),$E451*NETWORKDAYS(MAX($I451,Z$3),MIN($J451,Z$2),Data!$K$4:$K$203)/$K451)))</f>
        <v>0</v>
      </c>
      <c r="AA451" s="170">
        <f>IF(OR($I451="",$E451=0),0,IF(OR($J451&lt;AA$3,$I451&gt;AA$2),0,IF($K451=0,IF(AND($I451&gt;=AA$3,$I451&lt;=AA$2),$E451,0),$E451*NETWORKDAYS(MAX($I451,AA$3),MIN($J451,AA$2),Data!$K$4:$K$203)/$K451)))</f>
        <v>0</v>
      </c>
      <c r="AB451" s="170">
        <f>IF(OR($I451="",$E451=0),0,IF(OR($J451&lt;AB$3,$I451&gt;AB$2),0,IF($K451=0,IF(AND($I451&gt;=AB$3,$I451&lt;=AB$2),$E451,0),$E451*NETWORKDAYS(MAX($I451,AB$3),MIN($J451,AB$2),Data!$K$4:$K$203)/$K451)))</f>
        <v>0</v>
      </c>
      <c r="AC451" s="170">
        <f>IF(OR($I451="",$E451=0),0,IF(OR($J451&lt;AC$3,$I451&gt;AC$2),0,IF($K451=0,IF(AND($I451&gt;=AC$3,$I451&lt;=AC$2),$E451,0),$E451*NETWORKDAYS(MAX($I451,AC$3),MIN($J451,AC$2),Data!$K$4:$K$203)/$K451)))</f>
        <v>0</v>
      </c>
      <c r="AD451" s="170">
        <f>IF(OR($I451="",$E451=0),0,IF(OR($J451&lt;AD$3,$I451&gt;AD$2),0,IF($K451=0,IF(AND($I451&gt;=AD$3,$I451&lt;=AD$2),$E451,0),$E451*NETWORKDAYS(MAX($I451,AD$3),MIN($J451,AD$2),Data!$K$4:$K$203)/$K451)))</f>
        <v>0</v>
      </c>
      <c r="AE451" s="170">
        <f>IF(OR($I451="",$E451=0),0,IF(OR($J451&lt;AE$3,$I451&gt;AE$2),0,IF($K451=0,IF(AND($I451&gt;=AE$3,$I451&lt;=AE$2),$E451,0),$E451*NETWORKDAYS(MAX($I451,AE$3),MIN($J451,AE$2),Data!$K$4:$K$203)/$K451)))</f>
        <v>0</v>
      </c>
      <c r="AF451" s="170">
        <f>IF(OR($I451="",$E451=0),0,IF(OR($J451&lt;AF$3,$I451&gt;AF$2),0,IF($K451=0,IF(AND($I451&gt;=AF$3,$I451&lt;=AF$2),$E451,0),$E451*NETWORKDAYS(MAX($I451,AF$3),MIN($J451,AF$2),Data!$K$4:$K$203)/$K451)))</f>
        <v>0</v>
      </c>
      <c r="AG451" s="170">
        <f>IF(OR($I451="",$E451=0),0,IF(OR($J451&lt;AG$3,$I451&gt;AG$2),0,IF($K451=0,IF(AND($I451&gt;=AG$3,$I451&lt;=AG$2),$E451,0),$E451*NETWORKDAYS(MAX($I451,AG$3),MIN($J451,AG$2),Data!$K$4:$K$203)/$K451)))</f>
        <v>0</v>
      </c>
      <c r="AH451" s="170">
        <f>IF(OR($I451="",$E451=0),0,IF(OR($J451&lt;AH$3,$I451&gt;AH$2),0,IF($K451=0,IF(AND($I451&gt;=AH$3,$I451&lt;=AH$2),$E451,0),$E451*NETWORKDAYS(MAX($I451,AH$3),MIN($J451,AH$2),Data!$K$4:$K$203)/$K451)))</f>
        <v>0</v>
      </c>
      <c r="AI451" s="170">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70"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4" t="str">
        <f>IF(EO451=1,IF(FH451&gt;0,FI451/FH451,AVERAGEIF($FF$4:$FF$503,EN451,$C$4:$C$503)),"")</f>
        <v/>
      </c>
      <c r="EV451" s="169">
        <f>IF(ISNUMBER(I451),I451,2958465)</f>
        <v>2958465.0</v>
      </c>
      <c r="EW451" s="169" t="str">
        <f>IF(EO451=1,SUMPRODUCT(MIN(($EN$4:$EN$503=EN451)*$EV$4:$EV$503+($EN$4:$EN$503&lt;&gt;EN451)*2958465)),"")</f>
        <v/>
      </c>
      <c r="EX451" s="169">
        <f>IF(AND(D451=1,ISNUMBER(INDEX(Charge!$F:$F,ROW()))),INDEX(Charge!$F:$F,ROW()),0)</f>
        <v>0.0</v>
      </c>
      <c r="EY451" s="169" t="str">
        <f>IF(EO451=1,SUMPRODUCT(MAX(($EN$4:$EN$503=EN451)*$EX$4:$EX$503)),"")</f>
        <v/>
      </c>
      <c r="FD451">
        <f>IF(AND(B451=1,TRIM(INDEX(Charge!$K:$K,ROW()))&lt;&gt;"",TRIM(INDEX(Charge!$L:$L,ROW()))&lt;&gt;""),1,0)</f>
        <v>0</v>
      </c>
      <c r="FE451">
        <f>IF(OR(EN451="",BZ451="(non affecté)"),0,IF(COUNTIFS($EN$4:EN451,EN451,$BZ$4:BZ451,BZ451)=1,1,0))</f>
        <v>0</v>
      </c>
      <c r="FF451" t="str">
        <f>IF(B451=1,LEFT(SUBSTITUTE(SUBSTITUTE(SUBSTITUTE(TRIM(SUBSTITUTE(INDEX(Charge!$B:$B,ROW()),CHAR(160)," "))&amp;" | "&amp;TRIM(SUBSTITUTE(INDEX(Charge!$C:$C,ROW()),CHAR(160)," "))&amp;" | "&amp;TRIM(SUBSTITUTE(INDEX(Charge!$D:$D,ROW()),CHAR(160)," ")),"~","-"),"*","+"),"?","!"),240),"")</f>
        <v/>
      </c>
      <c r="FG451">
        <f>IF(B451=1,MAX(0,N(INDEX(Charge!$M:$M,ROW()))),0)</f>
        <v>0</v>
      </c>
      <c r="FH451" s="170" t="str">
        <f>IF(EO451=1,ROUND(SUMIF($FF$4:$FF$503,EN451,$FG$4:$FG$503),2),"")</f>
        <v/>
      </c>
      <c r="FI451" s="170" t="str">
        <f>IF(EO451=1,ROUND(SUMPRODUCT(($FF$4:$FF$503=EN451)*$FG$4:$FG$503*$C$4:$C$503),2),"")</f>
        <v/>
      </c>
      <c r="FJ451" s="170" t="str">
        <f>IF(EO451=1,MAX(0,ROUND(FH451-FI451,2)),"")</f>
        <v/>
      </c>
      <c r="FK451" s="174" t="str">
        <f>IF(EO451=1,IF(OR(EW451&gt;=2958465,EY451=0,EY451&lt;=EW451),"",IF(TODAY()&lt;=EW451,0,IF(TODAY()&gt;EY451,1,IFERROR(NETWORKDAYS(EW451,TODAY()-1,Data!$K$4:$K$203)/NETWORKDAYS(EW451,EY451,Data!$K$4:$K$203),"")))),"")</f>
        <v/>
      </c>
      <c r="FL451" t="str">
        <f>IF(EO451=1,IF(AND(EY451&gt;0,EY451&lt;TODAY(),ROUND(EU451,4)&lt;1),2,IF(FK451="",0,IF(ROUND(EU451-FK451,4)&lt;-0.15,1,0))),"")</f>
        <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9" t="str">
        <f>IF(AND(D452=1,ISNUMBER(INDEX(Charge!$N:$N,ROW()))),INDEX(Charge!$N:$N,ROW()),"")</f>
        <v/>
      </c>
      <c r="J452" s="169"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70">
        <f>IF(OR($I452="",$E452=0),0,IF(OR($J452&lt;W$3,$I452&gt;W$2),0,IF($K452=0,IF(AND($I452&gt;=W$3,$I452&lt;=W$2),$E452,0),$E452*NETWORKDAYS(MAX($I452,W$3),MIN($J452,W$2),Data!$K$4:$K$203)/$K452)))</f>
        <v>0</v>
      </c>
      <c r="X452" s="170">
        <f>IF(OR($I452="",$E452=0),0,IF(OR($J452&lt;X$3,$I452&gt;X$2),0,IF($K452=0,IF(AND($I452&gt;=X$3,$I452&lt;=X$2),$E452,0),$E452*NETWORKDAYS(MAX($I452,X$3),MIN($J452,X$2),Data!$K$4:$K$203)/$K452)))</f>
        <v>0</v>
      </c>
      <c r="Y452" s="170">
        <f>IF(OR($I452="",$E452=0),0,IF(OR($J452&lt;Y$3,$I452&gt;Y$2),0,IF($K452=0,IF(AND($I452&gt;=Y$3,$I452&lt;=Y$2),$E452,0),$E452*NETWORKDAYS(MAX($I452,Y$3),MIN($J452,Y$2),Data!$K$4:$K$203)/$K452)))</f>
        <v>0</v>
      </c>
      <c r="Z452" s="170">
        <f>IF(OR($I452="",$E452=0),0,IF(OR($J452&lt;Z$3,$I452&gt;Z$2),0,IF($K452=0,IF(AND($I452&gt;=Z$3,$I452&lt;=Z$2),$E452,0),$E452*NETWORKDAYS(MAX($I452,Z$3),MIN($J452,Z$2),Data!$K$4:$K$203)/$K452)))</f>
        <v>0</v>
      </c>
      <c r="AA452" s="170">
        <f>IF(OR($I452="",$E452=0),0,IF(OR($J452&lt;AA$3,$I452&gt;AA$2),0,IF($K452=0,IF(AND($I452&gt;=AA$3,$I452&lt;=AA$2),$E452,0),$E452*NETWORKDAYS(MAX($I452,AA$3),MIN($J452,AA$2),Data!$K$4:$K$203)/$K452)))</f>
        <v>0</v>
      </c>
      <c r="AB452" s="170">
        <f>IF(OR($I452="",$E452=0),0,IF(OR($J452&lt;AB$3,$I452&gt;AB$2),0,IF($K452=0,IF(AND($I452&gt;=AB$3,$I452&lt;=AB$2),$E452,0),$E452*NETWORKDAYS(MAX($I452,AB$3),MIN($J452,AB$2),Data!$K$4:$K$203)/$K452)))</f>
        <v>0</v>
      </c>
      <c r="AC452" s="170">
        <f>IF(OR($I452="",$E452=0),0,IF(OR($J452&lt;AC$3,$I452&gt;AC$2),0,IF($K452=0,IF(AND($I452&gt;=AC$3,$I452&lt;=AC$2),$E452,0),$E452*NETWORKDAYS(MAX($I452,AC$3),MIN($J452,AC$2),Data!$K$4:$K$203)/$K452)))</f>
        <v>0</v>
      </c>
      <c r="AD452" s="170">
        <f>IF(OR($I452="",$E452=0),0,IF(OR($J452&lt;AD$3,$I452&gt;AD$2),0,IF($K452=0,IF(AND($I452&gt;=AD$3,$I452&lt;=AD$2),$E452,0),$E452*NETWORKDAYS(MAX($I452,AD$3),MIN($J452,AD$2),Data!$K$4:$K$203)/$K452)))</f>
        <v>0</v>
      </c>
      <c r="AE452" s="170">
        <f>IF(OR($I452="",$E452=0),0,IF(OR($J452&lt;AE$3,$I452&gt;AE$2),0,IF($K452=0,IF(AND($I452&gt;=AE$3,$I452&lt;=AE$2),$E452,0),$E452*NETWORKDAYS(MAX($I452,AE$3),MIN($J452,AE$2),Data!$K$4:$K$203)/$K452)))</f>
        <v>0</v>
      </c>
      <c r="AF452" s="170">
        <f>IF(OR($I452="",$E452=0),0,IF(OR($J452&lt;AF$3,$I452&gt;AF$2),0,IF($K452=0,IF(AND($I452&gt;=AF$3,$I452&lt;=AF$2),$E452,0),$E452*NETWORKDAYS(MAX($I452,AF$3),MIN($J452,AF$2),Data!$K$4:$K$203)/$K452)))</f>
        <v>0</v>
      </c>
      <c r="AG452" s="170">
        <f>IF(OR($I452="",$E452=0),0,IF(OR($J452&lt;AG$3,$I452&gt;AG$2),0,IF($K452=0,IF(AND($I452&gt;=AG$3,$I452&lt;=AG$2),$E452,0),$E452*NETWORKDAYS(MAX($I452,AG$3),MIN($J452,AG$2),Data!$K$4:$K$203)/$K452)))</f>
        <v>0</v>
      </c>
      <c r="AH452" s="170">
        <f>IF(OR($I452="",$E452=0),0,IF(OR($J452&lt;AH$3,$I452&gt;AH$2),0,IF($K452=0,IF(AND($I452&gt;=AH$3,$I452&lt;=AH$2),$E452,0),$E452*NETWORKDAYS(MAX($I452,AH$3),MIN($J452,AH$2),Data!$K$4:$K$203)/$K452)))</f>
        <v>0</v>
      </c>
      <c r="AI452" s="170">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70"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4" t="str">
        <f>IF(EO452=1,IF(FH452&gt;0,FI452/FH452,AVERAGEIF($FF$4:$FF$503,EN452,$C$4:$C$503)),"")</f>
        <v/>
      </c>
      <c r="EV452" s="169">
        <f>IF(ISNUMBER(I452),I452,2958465)</f>
        <v>2958465.0</v>
      </c>
      <c r="EW452" s="169" t="str">
        <f>IF(EO452=1,SUMPRODUCT(MIN(($EN$4:$EN$503=EN452)*$EV$4:$EV$503+($EN$4:$EN$503&lt;&gt;EN452)*2958465)),"")</f>
        <v/>
      </c>
      <c r="EX452" s="169">
        <f>IF(AND(D452=1,ISNUMBER(INDEX(Charge!$F:$F,ROW()))),INDEX(Charge!$F:$F,ROW()),0)</f>
        <v>0.0</v>
      </c>
      <c r="EY452" s="169" t="str">
        <f>IF(EO452=1,SUMPRODUCT(MAX(($EN$4:$EN$503=EN452)*$EX$4:$EX$503)),"")</f>
        <v/>
      </c>
      <c r="FD452">
        <f>IF(AND(B452=1,TRIM(INDEX(Charge!$K:$K,ROW()))&lt;&gt;"",TRIM(INDEX(Charge!$L:$L,ROW()))&lt;&gt;""),1,0)</f>
        <v>0</v>
      </c>
      <c r="FE452">
        <f>IF(OR(EN452="",BZ452="(non affecté)"),0,IF(COUNTIFS($EN$4:EN452,EN452,$BZ$4:BZ452,BZ452)=1,1,0))</f>
        <v>0</v>
      </c>
      <c r="FF452" t="str">
        <f>IF(B452=1,LEFT(SUBSTITUTE(SUBSTITUTE(SUBSTITUTE(TRIM(SUBSTITUTE(INDEX(Charge!$B:$B,ROW()),CHAR(160)," "))&amp;" | "&amp;TRIM(SUBSTITUTE(INDEX(Charge!$C:$C,ROW()),CHAR(160)," "))&amp;" | "&amp;TRIM(SUBSTITUTE(INDEX(Charge!$D:$D,ROW()),CHAR(160)," ")),"~","-"),"*","+"),"?","!"),240),"")</f>
        <v/>
      </c>
      <c r="FG452">
        <f>IF(B452=1,MAX(0,N(INDEX(Charge!$M:$M,ROW()))),0)</f>
        <v>0</v>
      </c>
      <c r="FH452" s="170" t="str">
        <f>IF(EO452=1,ROUND(SUMIF($FF$4:$FF$503,EN452,$FG$4:$FG$503),2),"")</f>
        <v/>
      </c>
      <c r="FI452" s="170" t="str">
        <f>IF(EO452=1,ROUND(SUMPRODUCT(($FF$4:$FF$503=EN452)*$FG$4:$FG$503*$C$4:$C$503),2),"")</f>
        <v/>
      </c>
      <c r="FJ452" s="170" t="str">
        <f>IF(EO452=1,MAX(0,ROUND(FH452-FI452,2)),"")</f>
        <v/>
      </c>
      <c r="FK452" s="174" t="str">
        <f>IF(EO452=1,IF(OR(EW452&gt;=2958465,EY452=0,EY452&lt;=EW452),"",IF(TODAY()&lt;=EW452,0,IF(TODAY()&gt;EY452,1,IFERROR(NETWORKDAYS(EW452,TODAY()-1,Data!$K$4:$K$203)/NETWORKDAYS(EW452,EY452,Data!$K$4:$K$203),"")))),"")</f>
        <v/>
      </c>
      <c r="FL452" t="str">
        <f>IF(EO452=1,IF(AND(EY452&gt;0,EY452&lt;TODAY(),ROUND(EU452,4)&lt;1),2,IF(FK452="",0,IF(ROUND(EU452-FK452,4)&lt;-0.15,1,0))),"")</f>
        <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9" t="str">
        <f>IF(AND(D453=1,ISNUMBER(INDEX(Charge!$N:$N,ROW()))),INDEX(Charge!$N:$N,ROW()),"")</f>
        <v/>
      </c>
      <c r="J453" s="169"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70">
        <f>IF(OR($I453="",$E453=0),0,IF(OR($J453&lt;W$3,$I453&gt;W$2),0,IF($K453=0,IF(AND($I453&gt;=W$3,$I453&lt;=W$2),$E453,0),$E453*NETWORKDAYS(MAX($I453,W$3),MIN($J453,W$2),Data!$K$4:$K$203)/$K453)))</f>
        <v>0</v>
      </c>
      <c r="X453" s="170">
        <f>IF(OR($I453="",$E453=0),0,IF(OR($J453&lt;X$3,$I453&gt;X$2),0,IF($K453=0,IF(AND($I453&gt;=X$3,$I453&lt;=X$2),$E453,0),$E453*NETWORKDAYS(MAX($I453,X$3),MIN($J453,X$2),Data!$K$4:$K$203)/$K453)))</f>
        <v>0</v>
      </c>
      <c r="Y453" s="170">
        <f>IF(OR($I453="",$E453=0),0,IF(OR($J453&lt;Y$3,$I453&gt;Y$2),0,IF($K453=0,IF(AND($I453&gt;=Y$3,$I453&lt;=Y$2),$E453,0),$E453*NETWORKDAYS(MAX($I453,Y$3),MIN($J453,Y$2),Data!$K$4:$K$203)/$K453)))</f>
        <v>0</v>
      </c>
      <c r="Z453" s="170">
        <f>IF(OR($I453="",$E453=0),0,IF(OR($J453&lt;Z$3,$I453&gt;Z$2),0,IF($K453=0,IF(AND($I453&gt;=Z$3,$I453&lt;=Z$2),$E453,0),$E453*NETWORKDAYS(MAX($I453,Z$3),MIN($J453,Z$2),Data!$K$4:$K$203)/$K453)))</f>
        <v>0</v>
      </c>
      <c r="AA453" s="170">
        <f>IF(OR($I453="",$E453=0),0,IF(OR($J453&lt;AA$3,$I453&gt;AA$2),0,IF($K453=0,IF(AND($I453&gt;=AA$3,$I453&lt;=AA$2),$E453,0),$E453*NETWORKDAYS(MAX($I453,AA$3),MIN($J453,AA$2),Data!$K$4:$K$203)/$K453)))</f>
        <v>0</v>
      </c>
      <c r="AB453" s="170">
        <f>IF(OR($I453="",$E453=0),0,IF(OR($J453&lt;AB$3,$I453&gt;AB$2),0,IF($K453=0,IF(AND($I453&gt;=AB$3,$I453&lt;=AB$2),$E453,0),$E453*NETWORKDAYS(MAX($I453,AB$3),MIN($J453,AB$2),Data!$K$4:$K$203)/$K453)))</f>
        <v>0</v>
      </c>
      <c r="AC453" s="170">
        <f>IF(OR($I453="",$E453=0),0,IF(OR($J453&lt;AC$3,$I453&gt;AC$2),0,IF($K453=0,IF(AND($I453&gt;=AC$3,$I453&lt;=AC$2),$E453,0),$E453*NETWORKDAYS(MAX($I453,AC$3),MIN($J453,AC$2),Data!$K$4:$K$203)/$K453)))</f>
        <v>0</v>
      </c>
      <c r="AD453" s="170">
        <f>IF(OR($I453="",$E453=0),0,IF(OR($J453&lt;AD$3,$I453&gt;AD$2),0,IF($K453=0,IF(AND($I453&gt;=AD$3,$I453&lt;=AD$2),$E453,0),$E453*NETWORKDAYS(MAX($I453,AD$3),MIN($J453,AD$2),Data!$K$4:$K$203)/$K453)))</f>
        <v>0</v>
      </c>
      <c r="AE453" s="170">
        <f>IF(OR($I453="",$E453=0),0,IF(OR($J453&lt;AE$3,$I453&gt;AE$2),0,IF($K453=0,IF(AND($I453&gt;=AE$3,$I453&lt;=AE$2),$E453,0),$E453*NETWORKDAYS(MAX($I453,AE$3),MIN($J453,AE$2),Data!$K$4:$K$203)/$K453)))</f>
        <v>0</v>
      </c>
      <c r="AF453" s="170">
        <f>IF(OR($I453="",$E453=0),0,IF(OR($J453&lt;AF$3,$I453&gt;AF$2),0,IF($K453=0,IF(AND($I453&gt;=AF$3,$I453&lt;=AF$2),$E453,0),$E453*NETWORKDAYS(MAX($I453,AF$3),MIN($J453,AF$2),Data!$K$4:$K$203)/$K453)))</f>
        <v>0</v>
      </c>
      <c r="AG453" s="170">
        <f>IF(OR($I453="",$E453=0),0,IF(OR($J453&lt;AG$3,$I453&gt;AG$2),0,IF($K453=0,IF(AND($I453&gt;=AG$3,$I453&lt;=AG$2),$E453,0),$E453*NETWORKDAYS(MAX($I453,AG$3),MIN($J453,AG$2),Data!$K$4:$K$203)/$K453)))</f>
        <v>0</v>
      </c>
      <c r="AH453" s="170">
        <f>IF(OR($I453="",$E453=0),0,IF(OR($J453&lt;AH$3,$I453&gt;AH$2),0,IF($K453=0,IF(AND($I453&gt;=AH$3,$I453&lt;=AH$2),$E453,0),$E453*NETWORKDAYS(MAX($I453,AH$3),MIN($J453,AH$2),Data!$K$4:$K$203)/$K453)))</f>
        <v>0</v>
      </c>
      <c r="AI453" s="170">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70"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4" t="str">
        <f>IF(EO453=1,IF(FH453&gt;0,FI453/FH453,AVERAGEIF($FF$4:$FF$503,EN453,$C$4:$C$503)),"")</f>
        <v/>
      </c>
      <c r="EV453" s="169">
        <f>IF(ISNUMBER(I453),I453,2958465)</f>
        <v>2958465.0</v>
      </c>
      <c r="EW453" s="169" t="str">
        <f>IF(EO453=1,SUMPRODUCT(MIN(($EN$4:$EN$503=EN453)*$EV$4:$EV$503+($EN$4:$EN$503&lt;&gt;EN453)*2958465)),"")</f>
        <v/>
      </c>
      <c r="EX453" s="169">
        <f>IF(AND(D453=1,ISNUMBER(INDEX(Charge!$F:$F,ROW()))),INDEX(Charge!$F:$F,ROW()),0)</f>
        <v>0.0</v>
      </c>
      <c r="EY453" s="169" t="str">
        <f>IF(EO453=1,SUMPRODUCT(MAX(($EN$4:$EN$503=EN453)*$EX$4:$EX$503)),"")</f>
        <v/>
      </c>
      <c r="FD453">
        <f>IF(AND(B453=1,TRIM(INDEX(Charge!$K:$K,ROW()))&lt;&gt;"",TRIM(INDEX(Charge!$L:$L,ROW()))&lt;&gt;""),1,0)</f>
        <v>0</v>
      </c>
      <c r="FE453">
        <f>IF(OR(EN453="",BZ453="(non affecté)"),0,IF(COUNTIFS($EN$4:EN453,EN453,$BZ$4:BZ453,BZ453)=1,1,0))</f>
        <v>0</v>
      </c>
      <c r="FF453" t="str">
        <f>IF(B453=1,LEFT(SUBSTITUTE(SUBSTITUTE(SUBSTITUTE(TRIM(SUBSTITUTE(INDEX(Charge!$B:$B,ROW()),CHAR(160)," "))&amp;" | "&amp;TRIM(SUBSTITUTE(INDEX(Charge!$C:$C,ROW()),CHAR(160)," "))&amp;" | "&amp;TRIM(SUBSTITUTE(INDEX(Charge!$D:$D,ROW()),CHAR(160)," ")),"~","-"),"*","+"),"?","!"),240),"")</f>
        <v/>
      </c>
      <c r="FG453">
        <f>IF(B453=1,MAX(0,N(INDEX(Charge!$M:$M,ROW()))),0)</f>
        <v>0</v>
      </c>
      <c r="FH453" s="170" t="str">
        <f>IF(EO453=1,ROUND(SUMIF($FF$4:$FF$503,EN453,$FG$4:$FG$503),2),"")</f>
        <v/>
      </c>
      <c r="FI453" s="170" t="str">
        <f>IF(EO453=1,ROUND(SUMPRODUCT(($FF$4:$FF$503=EN453)*$FG$4:$FG$503*$C$4:$C$503),2),"")</f>
        <v/>
      </c>
      <c r="FJ453" s="170" t="str">
        <f>IF(EO453=1,MAX(0,ROUND(FH453-FI453,2)),"")</f>
        <v/>
      </c>
      <c r="FK453" s="174" t="str">
        <f>IF(EO453=1,IF(OR(EW453&gt;=2958465,EY453=0,EY453&lt;=EW453),"",IF(TODAY()&lt;=EW453,0,IF(TODAY()&gt;EY453,1,IFERROR(NETWORKDAYS(EW453,TODAY()-1,Data!$K$4:$K$203)/NETWORKDAYS(EW453,EY453,Data!$K$4:$K$203),"")))),"")</f>
        <v/>
      </c>
      <c r="FL453" t="str">
        <f>IF(EO453=1,IF(AND(EY453&gt;0,EY453&lt;TODAY(),ROUND(EU453,4)&lt;1),2,IF(FK453="",0,IF(ROUND(EU453-FK453,4)&lt;-0.15,1,0))),"")</f>
        <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9" t="str">
        <f>IF(AND(D454=1,ISNUMBER(INDEX(Charge!$N:$N,ROW()))),INDEX(Charge!$N:$N,ROW()),"")</f>
        <v/>
      </c>
      <c r="J454" s="169"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70">
        <f>IF(OR($I454="",$E454=0),0,IF(OR($J454&lt;W$3,$I454&gt;W$2),0,IF($K454=0,IF(AND($I454&gt;=W$3,$I454&lt;=W$2),$E454,0),$E454*NETWORKDAYS(MAX($I454,W$3),MIN($J454,W$2),Data!$K$4:$K$203)/$K454)))</f>
        <v>0</v>
      </c>
      <c r="X454" s="170">
        <f>IF(OR($I454="",$E454=0),0,IF(OR($J454&lt;X$3,$I454&gt;X$2),0,IF($K454=0,IF(AND($I454&gt;=X$3,$I454&lt;=X$2),$E454,0),$E454*NETWORKDAYS(MAX($I454,X$3),MIN($J454,X$2),Data!$K$4:$K$203)/$K454)))</f>
        <v>0</v>
      </c>
      <c r="Y454" s="170">
        <f>IF(OR($I454="",$E454=0),0,IF(OR($J454&lt;Y$3,$I454&gt;Y$2),0,IF($K454=0,IF(AND($I454&gt;=Y$3,$I454&lt;=Y$2),$E454,0),$E454*NETWORKDAYS(MAX($I454,Y$3),MIN($J454,Y$2),Data!$K$4:$K$203)/$K454)))</f>
        <v>0</v>
      </c>
      <c r="Z454" s="170">
        <f>IF(OR($I454="",$E454=0),0,IF(OR($J454&lt;Z$3,$I454&gt;Z$2),0,IF($K454=0,IF(AND($I454&gt;=Z$3,$I454&lt;=Z$2),$E454,0),$E454*NETWORKDAYS(MAX($I454,Z$3),MIN($J454,Z$2),Data!$K$4:$K$203)/$K454)))</f>
        <v>0</v>
      </c>
      <c r="AA454" s="170">
        <f>IF(OR($I454="",$E454=0),0,IF(OR($J454&lt;AA$3,$I454&gt;AA$2),0,IF($K454=0,IF(AND($I454&gt;=AA$3,$I454&lt;=AA$2),$E454,0),$E454*NETWORKDAYS(MAX($I454,AA$3),MIN($J454,AA$2),Data!$K$4:$K$203)/$K454)))</f>
        <v>0</v>
      </c>
      <c r="AB454" s="170">
        <f>IF(OR($I454="",$E454=0),0,IF(OR($J454&lt;AB$3,$I454&gt;AB$2),0,IF($K454=0,IF(AND($I454&gt;=AB$3,$I454&lt;=AB$2),$E454,0),$E454*NETWORKDAYS(MAX($I454,AB$3),MIN($J454,AB$2),Data!$K$4:$K$203)/$K454)))</f>
        <v>0</v>
      </c>
      <c r="AC454" s="170">
        <f>IF(OR($I454="",$E454=0),0,IF(OR($J454&lt;AC$3,$I454&gt;AC$2),0,IF($K454=0,IF(AND($I454&gt;=AC$3,$I454&lt;=AC$2),$E454,0),$E454*NETWORKDAYS(MAX($I454,AC$3),MIN($J454,AC$2),Data!$K$4:$K$203)/$K454)))</f>
        <v>0</v>
      </c>
      <c r="AD454" s="170">
        <f>IF(OR($I454="",$E454=0),0,IF(OR($J454&lt;AD$3,$I454&gt;AD$2),0,IF($K454=0,IF(AND($I454&gt;=AD$3,$I454&lt;=AD$2),$E454,0),$E454*NETWORKDAYS(MAX($I454,AD$3),MIN($J454,AD$2),Data!$K$4:$K$203)/$K454)))</f>
        <v>0</v>
      </c>
      <c r="AE454" s="170">
        <f>IF(OR($I454="",$E454=0),0,IF(OR($J454&lt;AE$3,$I454&gt;AE$2),0,IF($K454=0,IF(AND($I454&gt;=AE$3,$I454&lt;=AE$2),$E454,0),$E454*NETWORKDAYS(MAX($I454,AE$3),MIN($J454,AE$2),Data!$K$4:$K$203)/$K454)))</f>
        <v>0</v>
      </c>
      <c r="AF454" s="170">
        <f>IF(OR($I454="",$E454=0),0,IF(OR($J454&lt;AF$3,$I454&gt;AF$2),0,IF($K454=0,IF(AND($I454&gt;=AF$3,$I454&lt;=AF$2),$E454,0),$E454*NETWORKDAYS(MAX($I454,AF$3),MIN($J454,AF$2),Data!$K$4:$K$203)/$K454)))</f>
        <v>0</v>
      </c>
      <c r="AG454" s="170">
        <f>IF(OR($I454="",$E454=0),0,IF(OR($J454&lt;AG$3,$I454&gt;AG$2),0,IF($K454=0,IF(AND($I454&gt;=AG$3,$I454&lt;=AG$2),$E454,0),$E454*NETWORKDAYS(MAX($I454,AG$3),MIN($J454,AG$2),Data!$K$4:$K$203)/$K454)))</f>
        <v>0</v>
      </c>
      <c r="AH454" s="170">
        <f>IF(OR($I454="",$E454=0),0,IF(OR($J454&lt;AH$3,$I454&gt;AH$2),0,IF($K454=0,IF(AND($I454&gt;=AH$3,$I454&lt;=AH$2),$E454,0),$E454*NETWORKDAYS(MAX($I454,AH$3),MIN($J454,AH$2),Data!$K$4:$K$203)/$K454)))</f>
        <v>0</v>
      </c>
      <c r="AI454" s="170">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70"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4" t="str">
        <f>IF(EO454=1,IF(FH454&gt;0,FI454/FH454,AVERAGEIF($FF$4:$FF$503,EN454,$C$4:$C$503)),"")</f>
        <v/>
      </c>
      <c r="EV454" s="169">
        <f>IF(ISNUMBER(I454),I454,2958465)</f>
        <v>2958465.0</v>
      </c>
      <c r="EW454" s="169" t="str">
        <f>IF(EO454=1,SUMPRODUCT(MIN(($EN$4:$EN$503=EN454)*$EV$4:$EV$503+($EN$4:$EN$503&lt;&gt;EN454)*2958465)),"")</f>
        <v/>
      </c>
      <c r="EX454" s="169">
        <f>IF(AND(D454=1,ISNUMBER(INDEX(Charge!$F:$F,ROW()))),INDEX(Charge!$F:$F,ROW()),0)</f>
        <v>0.0</v>
      </c>
      <c r="EY454" s="169" t="str">
        <f>IF(EO454=1,SUMPRODUCT(MAX(($EN$4:$EN$503=EN454)*$EX$4:$EX$503)),"")</f>
        <v/>
      </c>
      <c r="FD454">
        <f>IF(AND(B454=1,TRIM(INDEX(Charge!$K:$K,ROW()))&lt;&gt;"",TRIM(INDEX(Charge!$L:$L,ROW()))&lt;&gt;""),1,0)</f>
        <v>0</v>
      </c>
      <c r="FE454">
        <f>IF(OR(EN454="",BZ454="(non affecté)"),0,IF(COUNTIFS($EN$4:EN454,EN454,$BZ$4:BZ454,BZ454)=1,1,0))</f>
        <v>0</v>
      </c>
      <c r="FF454" t="str">
        <f>IF(B454=1,LEFT(SUBSTITUTE(SUBSTITUTE(SUBSTITUTE(TRIM(SUBSTITUTE(INDEX(Charge!$B:$B,ROW()),CHAR(160)," "))&amp;" | "&amp;TRIM(SUBSTITUTE(INDEX(Charge!$C:$C,ROW()),CHAR(160)," "))&amp;" | "&amp;TRIM(SUBSTITUTE(INDEX(Charge!$D:$D,ROW()),CHAR(160)," ")),"~","-"),"*","+"),"?","!"),240),"")</f>
        <v/>
      </c>
      <c r="FG454">
        <f>IF(B454=1,MAX(0,N(INDEX(Charge!$M:$M,ROW()))),0)</f>
        <v>0</v>
      </c>
      <c r="FH454" s="170" t="str">
        <f>IF(EO454=1,ROUND(SUMIF($FF$4:$FF$503,EN454,$FG$4:$FG$503),2),"")</f>
        <v/>
      </c>
      <c r="FI454" s="170" t="str">
        <f>IF(EO454=1,ROUND(SUMPRODUCT(($FF$4:$FF$503=EN454)*$FG$4:$FG$503*$C$4:$C$503),2),"")</f>
        <v/>
      </c>
      <c r="FJ454" s="170" t="str">
        <f>IF(EO454=1,MAX(0,ROUND(FH454-FI454,2)),"")</f>
        <v/>
      </c>
      <c r="FK454" s="174" t="str">
        <f>IF(EO454=1,IF(OR(EW454&gt;=2958465,EY454=0,EY454&lt;=EW454),"",IF(TODAY()&lt;=EW454,0,IF(TODAY()&gt;EY454,1,IFERROR(NETWORKDAYS(EW454,TODAY()-1,Data!$K$4:$K$203)/NETWORKDAYS(EW454,EY454,Data!$K$4:$K$203),"")))),"")</f>
        <v/>
      </c>
      <c r="FL454" t="str">
        <f>IF(EO454=1,IF(AND(EY454&gt;0,EY454&lt;TODAY(),ROUND(EU454,4)&lt;1),2,IF(FK454="",0,IF(ROUND(EU454-FK454,4)&lt;-0.15,1,0))),"")</f>
        <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9" t="str">
        <f>IF(AND(D455=1,ISNUMBER(INDEX(Charge!$N:$N,ROW()))),INDEX(Charge!$N:$N,ROW()),"")</f>
        <v/>
      </c>
      <c r="J455" s="169"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70">
        <f>IF(OR($I455="",$E455=0),0,IF(OR($J455&lt;W$3,$I455&gt;W$2),0,IF($K455=0,IF(AND($I455&gt;=W$3,$I455&lt;=W$2),$E455,0),$E455*NETWORKDAYS(MAX($I455,W$3),MIN($J455,W$2),Data!$K$4:$K$203)/$K455)))</f>
        <v>0</v>
      </c>
      <c r="X455" s="170">
        <f>IF(OR($I455="",$E455=0),0,IF(OR($J455&lt;X$3,$I455&gt;X$2),0,IF($K455=0,IF(AND($I455&gt;=X$3,$I455&lt;=X$2),$E455,0),$E455*NETWORKDAYS(MAX($I455,X$3),MIN($J455,X$2),Data!$K$4:$K$203)/$K455)))</f>
        <v>0</v>
      </c>
      <c r="Y455" s="170">
        <f>IF(OR($I455="",$E455=0),0,IF(OR($J455&lt;Y$3,$I455&gt;Y$2),0,IF($K455=0,IF(AND($I455&gt;=Y$3,$I455&lt;=Y$2),$E455,0),$E455*NETWORKDAYS(MAX($I455,Y$3),MIN($J455,Y$2),Data!$K$4:$K$203)/$K455)))</f>
        <v>0</v>
      </c>
      <c r="Z455" s="170">
        <f>IF(OR($I455="",$E455=0),0,IF(OR($J455&lt;Z$3,$I455&gt;Z$2),0,IF($K455=0,IF(AND($I455&gt;=Z$3,$I455&lt;=Z$2),$E455,0),$E455*NETWORKDAYS(MAX($I455,Z$3),MIN($J455,Z$2),Data!$K$4:$K$203)/$K455)))</f>
        <v>0</v>
      </c>
      <c r="AA455" s="170">
        <f>IF(OR($I455="",$E455=0),0,IF(OR($J455&lt;AA$3,$I455&gt;AA$2),0,IF($K455=0,IF(AND($I455&gt;=AA$3,$I455&lt;=AA$2),$E455,0),$E455*NETWORKDAYS(MAX($I455,AA$3),MIN($J455,AA$2),Data!$K$4:$K$203)/$K455)))</f>
        <v>0</v>
      </c>
      <c r="AB455" s="170">
        <f>IF(OR($I455="",$E455=0),0,IF(OR($J455&lt;AB$3,$I455&gt;AB$2),0,IF($K455=0,IF(AND($I455&gt;=AB$3,$I455&lt;=AB$2),$E455,0),$E455*NETWORKDAYS(MAX($I455,AB$3),MIN($J455,AB$2),Data!$K$4:$K$203)/$K455)))</f>
        <v>0</v>
      </c>
      <c r="AC455" s="170">
        <f>IF(OR($I455="",$E455=0),0,IF(OR($J455&lt;AC$3,$I455&gt;AC$2),0,IF($K455=0,IF(AND($I455&gt;=AC$3,$I455&lt;=AC$2),$E455,0),$E455*NETWORKDAYS(MAX($I455,AC$3),MIN($J455,AC$2),Data!$K$4:$K$203)/$K455)))</f>
        <v>0</v>
      </c>
      <c r="AD455" s="170">
        <f>IF(OR($I455="",$E455=0),0,IF(OR($J455&lt;AD$3,$I455&gt;AD$2),0,IF($K455=0,IF(AND($I455&gt;=AD$3,$I455&lt;=AD$2),$E455,0),$E455*NETWORKDAYS(MAX($I455,AD$3),MIN($J455,AD$2),Data!$K$4:$K$203)/$K455)))</f>
        <v>0</v>
      </c>
      <c r="AE455" s="170">
        <f>IF(OR($I455="",$E455=0),0,IF(OR($J455&lt;AE$3,$I455&gt;AE$2),0,IF($K455=0,IF(AND($I455&gt;=AE$3,$I455&lt;=AE$2),$E455,0),$E455*NETWORKDAYS(MAX($I455,AE$3),MIN($J455,AE$2),Data!$K$4:$K$203)/$K455)))</f>
        <v>0</v>
      </c>
      <c r="AF455" s="170">
        <f>IF(OR($I455="",$E455=0),0,IF(OR($J455&lt;AF$3,$I455&gt;AF$2),0,IF($K455=0,IF(AND($I455&gt;=AF$3,$I455&lt;=AF$2),$E455,0),$E455*NETWORKDAYS(MAX($I455,AF$3),MIN($J455,AF$2),Data!$K$4:$K$203)/$K455)))</f>
        <v>0</v>
      </c>
      <c r="AG455" s="170">
        <f>IF(OR($I455="",$E455=0),0,IF(OR($J455&lt;AG$3,$I455&gt;AG$2),0,IF($K455=0,IF(AND($I455&gt;=AG$3,$I455&lt;=AG$2),$E455,0),$E455*NETWORKDAYS(MAX($I455,AG$3),MIN($J455,AG$2),Data!$K$4:$K$203)/$K455)))</f>
        <v>0</v>
      </c>
      <c r="AH455" s="170">
        <f>IF(OR($I455="",$E455=0),0,IF(OR($J455&lt;AH$3,$I455&gt;AH$2),0,IF($K455=0,IF(AND($I455&gt;=AH$3,$I455&lt;=AH$2),$E455,0),$E455*NETWORKDAYS(MAX($I455,AH$3),MIN($J455,AH$2),Data!$K$4:$K$203)/$K455)))</f>
        <v>0</v>
      </c>
      <c r="AI455" s="170">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70"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4" t="str">
        <f>IF(EO455=1,IF(FH455&gt;0,FI455/FH455,AVERAGEIF($FF$4:$FF$503,EN455,$C$4:$C$503)),"")</f>
        <v/>
      </c>
      <c r="EV455" s="169">
        <f>IF(ISNUMBER(I455),I455,2958465)</f>
        <v>2958465.0</v>
      </c>
      <c r="EW455" s="169" t="str">
        <f>IF(EO455=1,SUMPRODUCT(MIN(($EN$4:$EN$503=EN455)*$EV$4:$EV$503+($EN$4:$EN$503&lt;&gt;EN455)*2958465)),"")</f>
        <v/>
      </c>
      <c r="EX455" s="169">
        <f>IF(AND(D455=1,ISNUMBER(INDEX(Charge!$F:$F,ROW()))),INDEX(Charge!$F:$F,ROW()),0)</f>
        <v>0.0</v>
      </c>
      <c r="EY455" s="169" t="str">
        <f>IF(EO455=1,SUMPRODUCT(MAX(($EN$4:$EN$503=EN455)*$EX$4:$EX$503)),"")</f>
        <v/>
      </c>
      <c r="FD455">
        <f>IF(AND(B455=1,TRIM(INDEX(Charge!$K:$K,ROW()))&lt;&gt;"",TRIM(INDEX(Charge!$L:$L,ROW()))&lt;&gt;""),1,0)</f>
        <v>0</v>
      </c>
      <c r="FE455">
        <f>IF(OR(EN455="",BZ455="(non affecté)"),0,IF(COUNTIFS($EN$4:EN455,EN455,$BZ$4:BZ455,BZ455)=1,1,0))</f>
        <v>0</v>
      </c>
      <c r="FF455" t="str">
        <f>IF(B455=1,LEFT(SUBSTITUTE(SUBSTITUTE(SUBSTITUTE(TRIM(SUBSTITUTE(INDEX(Charge!$B:$B,ROW()),CHAR(160)," "))&amp;" | "&amp;TRIM(SUBSTITUTE(INDEX(Charge!$C:$C,ROW()),CHAR(160)," "))&amp;" | "&amp;TRIM(SUBSTITUTE(INDEX(Charge!$D:$D,ROW()),CHAR(160)," ")),"~","-"),"*","+"),"?","!"),240),"")</f>
        <v/>
      </c>
      <c r="FG455">
        <f>IF(B455=1,MAX(0,N(INDEX(Charge!$M:$M,ROW()))),0)</f>
        <v>0</v>
      </c>
      <c r="FH455" s="170" t="str">
        <f>IF(EO455=1,ROUND(SUMIF($FF$4:$FF$503,EN455,$FG$4:$FG$503),2),"")</f>
        <v/>
      </c>
      <c r="FI455" s="170" t="str">
        <f>IF(EO455=1,ROUND(SUMPRODUCT(($FF$4:$FF$503=EN455)*$FG$4:$FG$503*$C$4:$C$503),2),"")</f>
        <v/>
      </c>
      <c r="FJ455" s="170" t="str">
        <f>IF(EO455=1,MAX(0,ROUND(FH455-FI455,2)),"")</f>
        <v/>
      </c>
      <c r="FK455" s="174" t="str">
        <f>IF(EO455=1,IF(OR(EW455&gt;=2958465,EY455=0,EY455&lt;=EW455),"",IF(TODAY()&lt;=EW455,0,IF(TODAY()&gt;EY455,1,IFERROR(NETWORKDAYS(EW455,TODAY()-1,Data!$K$4:$K$203)/NETWORKDAYS(EW455,EY455,Data!$K$4:$K$203),"")))),"")</f>
        <v/>
      </c>
      <c r="FL455" t="str">
        <f>IF(EO455=1,IF(AND(EY455&gt;0,EY455&lt;TODAY(),ROUND(EU455,4)&lt;1),2,IF(FK455="",0,IF(ROUND(EU455-FK455,4)&lt;-0.15,1,0))),"")</f>
        <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9" t="str">
        <f>IF(AND(D456=1,ISNUMBER(INDEX(Charge!$N:$N,ROW()))),INDEX(Charge!$N:$N,ROW()),"")</f>
        <v/>
      </c>
      <c r="J456" s="169"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70">
        <f>IF(OR($I456="",$E456=0),0,IF(OR($J456&lt;W$3,$I456&gt;W$2),0,IF($K456=0,IF(AND($I456&gt;=W$3,$I456&lt;=W$2),$E456,0),$E456*NETWORKDAYS(MAX($I456,W$3),MIN($J456,W$2),Data!$K$4:$K$203)/$K456)))</f>
        <v>0</v>
      </c>
      <c r="X456" s="170">
        <f>IF(OR($I456="",$E456=0),0,IF(OR($J456&lt;X$3,$I456&gt;X$2),0,IF($K456=0,IF(AND($I456&gt;=X$3,$I456&lt;=X$2),$E456,0),$E456*NETWORKDAYS(MAX($I456,X$3),MIN($J456,X$2),Data!$K$4:$K$203)/$K456)))</f>
        <v>0</v>
      </c>
      <c r="Y456" s="170">
        <f>IF(OR($I456="",$E456=0),0,IF(OR($J456&lt;Y$3,$I456&gt;Y$2),0,IF($K456=0,IF(AND($I456&gt;=Y$3,$I456&lt;=Y$2),$E456,0),$E456*NETWORKDAYS(MAX($I456,Y$3),MIN($J456,Y$2),Data!$K$4:$K$203)/$K456)))</f>
        <v>0</v>
      </c>
      <c r="Z456" s="170">
        <f>IF(OR($I456="",$E456=0),0,IF(OR($J456&lt;Z$3,$I456&gt;Z$2),0,IF($K456=0,IF(AND($I456&gt;=Z$3,$I456&lt;=Z$2),$E456,0),$E456*NETWORKDAYS(MAX($I456,Z$3),MIN($J456,Z$2),Data!$K$4:$K$203)/$K456)))</f>
        <v>0</v>
      </c>
      <c r="AA456" s="170">
        <f>IF(OR($I456="",$E456=0),0,IF(OR($J456&lt;AA$3,$I456&gt;AA$2),0,IF($K456=0,IF(AND($I456&gt;=AA$3,$I456&lt;=AA$2),$E456,0),$E456*NETWORKDAYS(MAX($I456,AA$3),MIN($J456,AA$2),Data!$K$4:$K$203)/$K456)))</f>
        <v>0</v>
      </c>
      <c r="AB456" s="170">
        <f>IF(OR($I456="",$E456=0),0,IF(OR($J456&lt;AB$3,$I456&gt;AB$2),0,IF($K456=0,IF(AND($I456&gt;=AB$3,$I456&lt;=AB$2),$E456,0),$E456*NETWORKDAYS(MAX($I456,AB$3),MIN($J456,AB$2),Data!$K$4:$K$203)/$K456)))</f>
        <v>0</v>
      </c>
      <c r="AC456" s="170">
        <f>IF(OR($I456="",$E456=0),0,IF(OR($J456&lt;AC$3,$I456&gt;AC$2),0,IF($K456=0,IF(AND($I456&gt;=AC$3,$I456&lt;=AC$2),$E456,0),$E456*NETWORKDAYS(MAX($I456,AC$3),MIN($J456,AC$2),Data!$K$4:$K$203)/$K456)))</f>
        <v>0</v>
      </c>
      <c r="AD456" s="170">
        <f>IF(OR($I456="",$E456=0),0,IF(OR($J456&lt;AD$3,$I456&gt;AD$2),0,IF($K456=0,IF(AND($I456&gt;=AD$3,$I456&lt;=AD$2),$E456,0),$E456*NETWORKDAYS(MAX($I456,AD$3),MIN($J456,AD$2),Data!$K$4:$K$203)/$K456)))</f>
        <v>0</v>
      </c>
      <c r="AE456" s="170">
        <f>IF(OR($I456="",$E456=0),0,IF(OR($J456&lt;AE$3,$I456&gt;AE$2),0,IF($K456=0,IF(AND($I456&gt;=AE$3,$I456&lt;=AE$2),$E456,0),$E456*NETWORKDAYS(MAX($I456,AE$3),MIN($J456,AE$2),Data!$K$4:$K$203)/$K456)))</f>
        <v>0</v>
      </c>
      <c r="AF456" s="170">
        <f>IF(OR($I456="",$E456=0),0,IF(OR($J456&lt;AF$3,$I456&gt;AF$2),0,IF($K456=0,IF(AND($I456&gt;=AF$3,$I456&lt;=AF$2),$E456,0),$E456*NETWORKDAYS(MAX($I456,AF$3),MIN($J456,AF$2),Data!$K$4:$K$203)/$K456)))</f>
        <v>0</v>
      </c>
      <c r="AG456" s="170">
        <f>IF(OR($I456="",$E456=0),0,IF(OR($J456&lt;AG$3,$I456&gt;AG$2),0,IF($K456=0,IF(AND($I456&gt;=AG$3,$I456&lt;=AG$2),$E456,0),$E456*NETWORKDAYS(MAX($I456,AG$3),MIN($J456,AG$2),Data!$K$4:$K$203)/$K456)))</f>
        <v>0</v>
      </c>
      <c r="AH456" s="170">
        <f>IF(OR($I456="",$E456=0),0,IF(OR($J456&lt;AH$3,$I456&gt;AH$2),0,IF($K456=0,IF(AND($I456&gt;=AH$3,$I456&lt;=AH$2),$E456,0),$E456*NETWORKDAYS(MAX($I456,AH$3),MIN($J456,AH$2),Data!$K$4:$K$203)/$K456)))</f>
        <v>0</v>
      </c>
      <c r="AI456" s="170">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70"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4" t="str">
        <f>IF(EO456=1,IF(FH456&gt;0,FI456/FH456,AVERAGEIF($FF$4:$FF$503,EN456,$C$4:$C$503)),"")</f>
        <v/>
      </c>
      <c r="EV456" s="169">
        <f>IF(ISNUMBER(I456),I456,2958465)</f>
        <v>2958465.0</v>
      </c>
      <c r="EW456" s="169" t="str">
        <f>IF(EO456=1,SUMPRODUCT(MIN(($EN$4:$EN$503=EN456)*$EV$4:$EV$503+($EN$4:$EN$503&lt;&gt;EN456)*2958465)),"")</f>
        <v/>
      </c>
      <c r="EX456" s="169">
        <f>IF(AND(D456=1,ISNUMBER(INDEX(Charge!$F:$F,ROW()))),INDEX(Charge!$F:$F,ROW()),0)</f>
        <v>0.0</v>
      </c>
      <c r="EY456" s="169" t="str">
        <f>IF(EO456=1,SUMPRODUCT(MAX(($EN$4:$EN$503=EN456)*$EX$4:$EX$503)),"")</f>
        <v/>
      </c>
      <c r="FD456">
        <f>IF(AND(B456=1,TRIM(INDEX(Charge!$K:$K,ROW()))&lt;&gt;"",TRIM(INDEX(Charge!$L:$L,ROW()))&lt;&gt;""),1,0)</f>
        <v>0</v>
      </c>
      <c r="FE456">
        <f>IF(OR(EN456="",BZ456="(non affecté)"),0,IF(COUNTIFS($EN$4:EN456,EN456,$BZ$4:BZ456,BZ456)=1,1,0))</f>
        <v>0</v>
      </c>
      <c r="FF456" t="str">
        <f>IF(B456=1,LEFT(SUBSTITUTE(SUBSTITUTE(SUBSTITUTE(TRIM(SUBSTITUTE(INDEX(Charge!$B:$B,ROW()),CHAR(160)," "))&amp;" | "&amp;TRIM(SUBSTITUTE(INDEX(Charge!$C:$C,ROW()),CHAR(160)," "))&amp;" | "&amp;TRIM(SUBSTITUTE(INDEX(Charge!$D:$D,ROW()),CHAR(160)," ")),"~","-"),"*","+"),"?","!"),240),"")</f>
        <v/>
      </c>
      <c r="FG456">
        <f>IF(B456=1,MAX(0,N(INDEX(Charge!$M:$M,ROW()))),0)</f>
        <v>0</v>
      </c>
      <c r="FH456" s="170" t="str">
        <f>IF(EO456=1,ROUND(SUMIF($FF$4:$FF$503,EN456,$FG$4:$FG$503),2),"")</f>
        <v/>
      </c>
      <c r="FI456" s="170" t="str">
        <f>IF(EO456=1,ROUND(SUMPRODUCT(($FF$4:$FF$503=EN456)*$FG$4:$FG$503*$C$4:$C$503),2),"")</f>
        <v/>
      </c>
      <c r="FJ456" s="170" t="str">
        <f>IF(EO456=1,MAX(0,ROUND(FH456-FI456,2)),"")</f>
        <v/>
      </c>
      <c r="FK456" s="174" t="str">
        <f>IF(EO456=1,IF(OR(EW456&gt;=2958465,EY456=0,EY456&lt;=EW456),"",IF(TODAY()&lt;=EW456,0,IF(TODAY()&gt;EY456,1,IFERROR(NETWORKDAYS(EW456,TODAY()-1,Data!$K$4:$K$203)/NETWORKDAYS(EW456,EY456,Data!$K$4:$K$203),"")))),"")</f>
        <v/>
      </c>
      <c r="FL456" t="str">
        <f>IF(EO456=1,IF(AND(EY456&gt;0,EY456&lt;TODAY(),ROUND(EU456,4)&lt;1),2,IF(FK456="",0,IF(ROUND(EU456-FK456,4)&lt;-0.15,1,0))),"")</f>
        <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9" t="str">
        <f>IF(AND(D457=1,ISNUMBER(INDEX(Charge!$N:$N,ROW()))),INDEX(Charge!$N:$N,ROW()),"")</f>
        <v/>
      </c>
      <c r="J457" s="169"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70">
        <f>IF(OR($I457="",$E457=0),0,IF(OR($J457&lt;W$3,$I457&gt;W$2),0,IF($K457=0,IF(AND($I457&gt;=W$3,$I457&lt;=W$2),$E457,0),$E457*NETWORKDAYS(MAX($I457,W$3),MIN($J457,W$2),Data!$K$4:$K$203)/$K457)))</f>
        <v>0</v>
      </c>
      <c r="X457" s="170">
        <f>IF(OR($I457="",$E457=0),0,IF(OR($J457&lt;X$3,$I457&gt;X$2),0,IF($K457=0,IF(AND($I457&gt;=X$3,$I457&lt;=X$2),$E457,0),$E457*NETWORKDAYS(MAX($I457,X$3),MIN($J457,X$2),Data!$K$4:$K$203)/$K457)))</f>
        <v>0</v>
      </c>
      <c r="Y457" s="170">
        <f>IF(OR($I457="",$E457=0),0,IF(OR($J457&lt;Y$3,$I457&gt;Y$2),0,IF($K457=0,IF(AND($I457&gt;=Y$3,$I457&lt;=Y$2),$E457,0),$E457*NETWORKDAYS(MAX($I457,Y$3),MIN($J457,Y$2),Data!$K$4:$K$203)/$K457)))</f>
        <v>0</v>
      </c>
      <c r="Z457" s="170">
        <f>IF(OR($I457="",$E457=0),0,IF(OR($J457&lt;Z$3,$I457&gt;Z$2),0,IF($K457=0,IF(AND($I457&gt;=Z$3,$I457&lt;=Z$2),$E457,0),$E457*NETWORKDAYS(MAX($I457,Z$3),MIN($J457,Z$2),Data!$K$4:$K$203)/$K457)))</f>
        <v>0</v>
      </c>
      <c r="AA457" s="170">
        <f>IF(OR($I457="",$E457=0),0,IF(OR($J457&lt;AA$3,$I457&gt;AA$2),0,IF($K457=0,IF(AND($I457&gt;=AA$3,$I457&lt;=AA$2),$E457,0),$E457*NETWORKDAYS(MAX($I457,AA$3),MIN($J457,AA$2),Data!$K$4:$K$203)/$K457)))</f>
        <v>0</v>
      </c>
      <c r="AB457" s="170">
        <f>IF(OR($I457="",$E457=0),0,IF(OR($J457&lt;AB$3,$I457&gt;AB$2),0,IF($K457=0,IF(AND($I457&gt;=AB$3,$I457&lt;=AB$2),$E457,0),$E457*NETWORKDAYS(MAX($I457,AB$3),MIN($J457,AB$2),Data!$K$4:$K$203)/$K457)))</f>
        <v>0</v>
      </c>
      <c r="AC457" s="170">
        <f>IF(OR($I457="",$E457=0),0,IF(OR($J457&lt;AC$3,$I457&gt;AC$2),0,IF($K457=0,IF(AND($I457&gt;=AC$3,$I457&lt;=AC$2),$E457,0),$E457*NETWORKDAYS(MAX($I457,AC$3),MIN($J457,AC$2),Data!$K$4:$K$203)/$K457)))</f>
        <v>0</v>
      </c>
      <c r="AD457" s="170">
        <f>IF(OR($I457="",$E457=0),0,IF(OR($J457&lt;AD$3,$I457&gt;AD$2),0,IF($K457=0,IF(AND($I457&gt;=AD$3,$I457&lt;=AD$2),$E457,0),$E457*NETWORKDAYS(MAX($I457,AD$3),MIN($J457,AD$2),Data!$K$4:$K$203)/$K457)))</f>
        <v>0</v>
      </c>
      <c r="AE457" s="170">
        <f>IF(OR($I457="",$E457=0),0,IF(OR($J457&lt;AE$3,$I457&gt;AE$2),0,IF($K457=0,IF(AND($I457&gt;=AE$3,$I457&lt;=AE$2),$E457,0),$E457*NETWORKDAYS(MAX($I457,AE$3),MIN($J457,AE$2),Data!$K$4:$K$203)/$K457)))</f>
        <v>0</v>
      </c>
      <c r="AF457" s="170">
        <f>IF(OR($I457="",$E457=0),0,IF(OR($J457&lt;AF$3,$I457&gt;AF$2),0,IF($K457=0,IF(AND($I457&gt;=AF$3,$I457&lt;=AF$2),$E457,0),$E457*NETWORKDAYS(MAX($I457,AF$3),MIN($J457,AF$2),Data!$K$4:$K$203)/$K457)))</f>
        <v>0</v>
      </c>
      <c r="AG457" s="170">
        <f>IF(OR($I457="",$E457=0),0,IF(OR($J457&lt;AG$3,$I457&gt;AG$2),0,IF($K457=0,IF(AND($I457&gt;=AG$3,$I457&lt;=AG$2),$E457,0),$E457*NETWORKDAYS(MAX($I457,AG$3),MIN($J457,AG$2),Data!$K$4:$K$203)/$K457)))</f>
        <v>0</v>
      </c>
      <c r="AH457" s="170">
        <f>IF(OR($I457="",$E457=0),0,IF(OR($J457&lt;AH$3,$I457&gt;AH$2),0,IF($K457=0,IF(AND($I457&gt;=AH$3,$I457&lt;=AH$2),$E457,0),$E457*NETWORKDAYS(MAX($I457,AH$3),MIN($J457,AH$2),Data!$K$4:$K$203)/$K457)))</f>
        <v>0</v>
      </c>
      <c r="AI457" s="170">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70"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4" t="str">
        <f>IF(EO457=1,IF(FH457&gt;0,FI457/FH457,AVERAGEIF($FF$4:$FF$503,EN457,$C$4:$C$503)),"")</f>
        <v/>
      </c>
      <c r="EV457" s="169">
        <f>IF(ISNUMBER(I457),I457,2958465)</f>
        <v>2958465.0</v>
      </c>
      <c r="EW457" s="169" t="str">
        <f>IF(EO457=1,SUMPRODUCT(MIN(($EN$4:$EN$503=EN457)*$EV$4:$EV$503+($EN$4:$EN$503&lt;&gt;EN457)*2958465)),"")</f>
        <v/>
      </c>
      <c r="EX457" s="169">
        <f>IF(AND(D457=1,ISNUMBER(INDEX(Charge!$F:$F,ROW()))),INDEX(Charge!$F:$F,ROW()),0)</f>
        <v>0.0</v>
      </c>
      <c r="EY457" s="169" t="str">
        <f>IF(EO457=1,SUMPRODUCT(MAX(($EN$4:$EN$503=EN457)*$EX$4:$EX$503)),"")</f>
        <v/>
      </c>
      <c r="FD457">
        <f>IF(AND(B457=1,TRIM(INDEX(Charge!$K:$K,ROW()))&lt;&gt;"",TRIM(INDEX(Charge!$L:$L,ROW()))&lt;&gt;""),1,0)</f>
        <v>0</v>
      </c>
      <c r="FE457">
        <f>IF(OR(EN457="",BZ457="(non affecté)"),0,IF(COUNTIFS($EN$4:EN457,EN457,$BZ$4:BZ457,BZ457)=1,1,0))</f>
        <v>0</v>
      </c>
      <c r="FF457" t="str">
        <f>IF(B457=1,LEFT(SUBSTITUTE(SUBSTITUTE(SUBSTITUTE(TRIM(SUBSTITUTE(INDEX(Charge!$B:$B,ROW()),CHAR(160)," "))&amp;" | "&amp;TRIM(SUBSTITUTE(INDEX(Charge!$C:$C,ROW()),CHAR(160)," "))&amp;" | "&amp;TRIM(SUBSTITUTE(INDEX(Charge!$D:$D,ROW()),CHAR(160)," ")),"~","-"),"*","+"),"?","!"),240),"")</f>
        <v/>
      </c>
      <c r="FG457">
        <f>IF(B457=1,MAX(0,N(INDEX(Charge!$M:$M,ROW()))),0)</f>
        <v>0</v>
      </c>
      <c r="FH457" s="170" t="str">
        <f>IF(EO457=1,ROUND(SUMIF($FF$4:$FF$503,EN457,$FG$4:$FG$503),2),"")</f>
        <v/>
      </c>
      <c r="FI457" s="170" t="str">
        <f>IF(EO457=1,ROUND(SUMPRODUCT(($FF$4:$FF$503=EN457)*$FG$4:$FG$503*$C$4:$C$503),2),"")</f>
        <v/>
      </c>
      <c r="FJ457" s="170" t="str">
        <f>IF(EO457=1,MAX(0,ROUND(FH457-FI457,2)),"")</f>
        <v/>
      </c>
      <c r="FK457" s="174" t="str">
        <f>IF(EO457=1,IF(OR(EW457&gt;=2958465,EY457=0,EY457&lt;=EW457),"",IF(TODAY()&lt;=EW457,0,IF(TODAY()&gt;EY457,1,IFERROR(NETWORKDAYS(EW457,TODAY()-1,Data!$K$4:$K$203)/NETWORKDAYS(EW457,EY457,Data!$K$4:$K$203),"")))),"")</f>
        <v/>
      </c>
      <c r="FL457" t="str">
        <f>IF(EO457=1,IF(AND(EY457&gt;0,EY457&lt;TODAY(),ROUND(EU457,4)&lt;1),2,IF(FK457="",0,IF(ROUND(EU457-FK457,4)&lt;-0.15,1,0))),"")</f>
        <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9" t="str">
        <f>IF(AND(D458=1,ISNUMBER(INDEX(Charge!$N:$N,ROW()))),INDEX(Charge!$N:$N,ROW()),"")</f>
        <v/>
      </c>
      <c r="J458" s="169"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70">
        <f>IF(OR($I458="",$E458=0),0,IF(OR($J458&lt;W$3,$I458&gt;W$2),0,IF($K458=0,IF(AND($I458&gt;=W$3,$I458&lt;=W$2),$E458,0),$E458*NETWORKDAYS(MAX($I458,W$3),MIN($J458,W$2),Data!$K$4:$K$203)/$K458)))</f>
        <v>0</v>
      </c>
      <c r="X458" s="170">
        <f>IF(OR($I458="",$E458=0),0,IF(OR($J458&lt;X$3,$I458&gt;X$2),0,IF($K458=0,IF(AND($I458&gt;=X$3,$I458&lt;=X$2),$E458,0),$E458*NETWORKDAYS(MAX($I458,X$3),MIN($J458,X$2),Data!$K$4:$K$203)/$K458)))</f>
        <v>0</v>
      </c>
      <c r="Y458" s="170">
        <f>IF(OR($I458="",$E458=0),0,IF(OR($J458&lt;Y$3,$I458&gt;Y$2),0,IF($K458=0,IF(AND($I458&gt;=Y$3,$I458&lt;=Y$2),$E458,0),$E458*NETWORKDAYS(MAX($I458,Y$3),MIN($J458,Y$2),Data!$K$4:$K$203)/$K458)))</f>
        <v>0</v>
      </c>
      <c r="Z458" s="170">
        <f>IF(OR($I458="",$E458=0),0,IF(OR($J458&lt;Z$3,$I458&gt;Z$2),0,IF($K458=0,IF(AND($I458&gt;=Z$3,$I458&lt;=Z$2),$E458,0),$E458*NETWORKDAYS(MAX($I458,Z$3),MIN($J458,Z$2),Data!$K$4:$K$203)/$K458)))</f>
        <v>0</v>
      </c>
      <c r="AA458" s="170">
        <f>IF(OR($I458="",$E458=0),0,IF(OR($J458&lt;AA$3,$I458&gt;AA$2),0,IF($K458=0,IF(AND($I458&gt;=AA$3,$I458&lt;=AA$2),$E458,0),$E458*NETWORKDAYS(MAX($I458,AA$3),MIN($J458,AA$2),Data!$K$4:$K$203)/$K458)))</f>
        <v>0</v>
      </c>
      <c r="AB458" s="170">
        <f>IF(OR($I458="",$E458=0),0,IF(OR($J458&lt;AB$3,$I458&gt;AB$2),0,IF($K458=0,IF(AND($I458&gt;=AB$3,$I458&lt;=AB$2),$E458,0),$E458*NETWORKDAYS(MAX($I458,AB$3),MIN($J458,AB$2),Data!$K$4:$K$203)/$K458)))</f>
        <v>0</v>
      </c>
      <c r="AC458" s="170">
        <f>IF(OR($I458="",$E458=0),0,IF(OR($J458&lt;AC$3,$I458&gt;AC$2),0,IF($K458=0,IF(AND($I458&gt;=AC$3,$I458&lt;=AC$2),$E458,0),$E458*NETWORKDAYS(MAX($I458,AC$3),MIN($J458,AC$2),Data!$K$4:$K$203)/$K458)))</f>
        <v>0</v>
      </c>
      <c r="AD458" s="170">
        <f>IF(OR($I458="",$E458=0),0,IF(OR($J458&lt;AD$3,$I458&gt;AD$2),0,IF($K458=0,IF(AND($I458&gt;=AD$3,$I458&lt;=AD$2),$E458,0),$E458*NETWORKDAYS(MAX($I458,AD$3),MIN($J458,AD$2),Data!$K$4:$K$203)/$K458)))</f>
        <v>0</v>
      </c>
      <c r="AE458" s="170">
        <f>IF(OR($I458="",$E458=0),0,IF(OR($J458&lt;AE$3,$I458&gt;AE$2),0,IF($K458=0,IF(AND($I458&gt;=AE$3,$I458&lt;=AE$2),$E458,0),$E458*NETWORKDAYS(MAX($I458,AE$3),MIN($J458,AE$2),Data!$K$4:$K$203)/$K458)))</f>
        <v>0</v>
      </c>
      <c r="AF458" s="170">
        <f>IF(OR($I458="",$E458=0),0,IF(OR($J458&lt;AF$3,$I458&gt;AF$2),0,IF($K458=0,IF(AND($I458&gt;=AF$3,$I458&lt;=AF$2),$E458,0),$E458*NETWORKDAYS(MAX($I458,AF$3),MIN($J458,AF$2),Data!$K$4:$K$203)/$K458)))</f>
        <v>0</v>
      </c>
      <c r="AG458" s="170">
        <f>IF(OR($I458="",$E458=0),0,IF(OR($J458&lt;AG$3,$I458&gt;AG$2),0,IF($K458=0,IF(AND($I458&gt;=AG$3,$I458&lt;=AG$2),$E458,0),$E458*NETWORKDAYS(MAX($I458,AG$3),MIN($J458,AG$2),Data!$K$4:$K$203)/$K458)))</f>
        <v>0</v>
      </c>
      <c r="AH458" s="170">
        <f>IF(OR($I458="",$E458=0),0,IF(OR($J458&lt;AH$3,$I458&gt;AH$2),0,IF($K458=0,IF(AND($I458&gt;=AH$3,$I458&lt;=AH$2),$E458,0),$E458*NETWORKDAYS(MAX($I458,AH$3),MIN($J458,AH$2),Data!$K$4:$K$203)/$K458)))</f>
        <v>0</v>
      </c>
      <c r="AI458" s="170">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70"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4" t="str">
        <f>IF(EO458=1,IF(FH458&gt;0,FI458/FH458,AVERAGEIF($FF$4:$FF$503,EN458,$C$4:$C$503)),"")</f>
        <v/>
      </c>
      <c r="EV458" s="169">
        <f>IF(ISNUMBER(I458),I458,2958465)</f>
        <v>2958465.0</v>
      </c>
      <c r="EW458" s="169" t="str">
        <f>IF(EO458=1,SUMPRODUCT(MIN(($EN$4:$EN$503=EN458)*$EV$4:$EV$503+($EN$4:$EN$503&lt;&gt;EN458)*2958465)),"")</f>
        <v/>
      </c>
      <c r="EX458" s="169">
        <f>IF(AND(D458=1,ISNUMBER(INDEX(Charge!$F:$F,ROW()))),INDEX(Charge!$F:$F,ROW()),0)</f>
        <v>0.0</v>
      </c>
      <c r="EY458" s="169" t="str">
        <f>IF(EO458=1,SUMPRODUCT(MAX(($EN$4:$EN$503=EN458)*$EX$4:$EX$503)),"")</f>
        <v/>
      </c>
      <c r="FD458">
        <f>IF(AND(B458=1,TRIM(INDEX(Charge!$K:$K,ROW()))&lt;&gt;"",TRIM(INDEX(Charge!$L:$L,ROW()))&lt;&gt;""),1,0)</f>
        <v>0</v>
      </c>
      <c r="FE458">
        <f>IF(OR(EN458="",BZ458="(non affecté)"),0,IF(COUNTIFS($EN$4:EN458,EN458,$BZ$4:BZ458,BZ458)=1,1,0))</f>
        <v>0</v>
      </c>
      <c r="FF458" t="str">
        <f>IF(B458=1,LEFT(SUBSTITUTE(SUBSTITUTE(SUBSTITUTE(TRIM(SUBSTITUTE(INDEX(Charge!$B:$B,ROW()),CHAR(160)," "))&amp;" | "&amp;TRIM(SUBSTITUTE(INDEX(Charge!$C:$C,ROW()),CHAR(160)," "))&amp;" | "&amp;TRIM(SUBSTITUTE(INDEX(Charge!$D:$D,ROW()),CHAR(160)," ")),"~","-"),"*","+"),"?","!"),240),"")</f>
        <v/>
      </c>
      <c r="FG458">
        <f>IF(B458=1,MAX(0,N(INDEX(Charge!$M:$M,ROW()))),0)</f>
        <v>0</v>
      </c>
      <c r="FH458" s="170" t="str">
        <f>IF(EO458=1,ROUND(SUMIF($FF$4:$FF$503,EN458,$FG$4:$FG$503),2),"")</f>
        <v/>
      </c>
      <c r="FI458" s="170" t="str">
        <f>IF(EO458=1,ROUND(SUMPRODUCT(($FF$4:$FF$503=EN458)*$FG$4:$FG$503*$C$4:$C$503),2),"")</f>
        <v/>
      </c>
      <c r="FJ458" s="170" t="str">
        <f>IF(EO458=1,MAX(0,ROUND(FH458-FI458,2)),"")</f>
        <v/>
      </c>
      <c r="FK458" s="174" t="str">
        <f>IF(EO458=1,IF(OR(EW458&gt;=2958465,EY458=0,EY458&lt;=EW458),"",IF(TODAY()&lt;=EW458,0,IF(TODAY()&gt;EY458,1,IFERROR(NETWORKDAYS(EW458,TODAY()-1,Data!$K$4:$K$203)/NETWORKDAYS(EW458,EY458,Data!$K$4:$K$203),"")))),"")</f>
        <v/>
      </c>
      <c r="FL458" t="str">
        <f>IF(EO458=1,IF(AND(EY458&gt;0,EY458&lt;TODAY(),ROUND(EU458,4)&lt;1),2,IF(FK458="",0,IF(ROUND(EU458-FK458,4)&lt;-0.15,1,0))),"")</f>
        <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9" t="str">
        <f>IF(AND(D459=1,ISNUMBER(INDEX(Charge!$N:$N,ROW()))),INDEX(Charge!$N:$N,ROW()),"")</f>
        <v/>
      </c>
      <c r="J459" s="169"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70">
        <f>IF(OR($I459="",$E459=0),0,IF(OR($J459&lt;W$3,$I459&gt;W$2),0,IF($K459=0,IF(AND($I459&gt;=W$3,$I459&lt;=W$2),$E459,0),$E459*NETWORKDAYS(MAX($I459,W$3),MIN($J459,W$2),Data!$K$4:$K$203)/$K459)))</f>
        <v>0</v>
      </c>
      <c r="X459" s="170">
        <f>IF(OR($I459="",$E459=0),0,IF(OR($J459&lt;X$3,$I459&gt;X$2),0,IF($K459=0,IF(AND($I459&gt;=X$3,$I459&lt;=X$2),$E459,0),$E459*NETWORKDAYS(MAX($I459,X$3),MIN($J459,X$2),Data!$K$4:$K$203)/$K459)))</f>
        <v>0</v>
      </c>
      <c r="Y459" s="170">
        <f>IF(OR($I459="",$E459=0),0,IF(OR($J459&lt;Y$3,$I459&gt;Y$2),0,IF($K459=0,IF(AND($I459&gt;=Y$3,$I459&lt;=Y$2),$E459,0),$E459*NETWORKDAYS(MAX($I459,Y$3),MIN($J459,Y$2),Data!$K$4:$K$203)/$K459)))</f>
        <v>0</v>
      </c>
      <c r="Z459" s="170">
        <f>IF(OR($I459="",$E459=0),0,IF(OR($J459&lt;Z$3,$I459&gt;Z$2),0,IF($K459=0,IF(AND($I459&gt;=Z$3,$I459&lt;=Z$2),$E459,0),$E459*NETWORKDAYS(MAX($I459,Z$3),MIN($J459,Z$2),Data!$K$4:$K$203)/$K459)))</f>
        <v>0</v>
      </c>
      <c r="AA459" s="170">
        <f>IF(OR($I459="",$E459=0),0,IF(OR($J459&lt;AA$3,$I459&gt;AA$2),0,IF($K459=0,IF(AND($I459&gt;=AA$3,$I459&lt;=AA$2),$E459,0),$E459*NETWORKDAYS(MAX($I459,AA$3),MIN($J459,AA$2),Data!$K$4:$K$203)/$K459)))</f>
        <v>0</v>
      </c>
      <c r="AB459" s="170">
        <f>IF(OR($I459="",$E459=0),0,IF(OR($J459&lt;AB$3,$I459&gt;AB$2),0,IF($K459=0,IF(AND($I459&gt;=AB$3,$I459&lt;=AB$2),$E459,0),$E459*NETWORKDAYS(MAX($I459,AB$3),MIN($J459,AB$2),Data!$K$4:$K$203)/$K459)))</f>
        <v>0</v>
      </c>
      <c r="AC459" s="170">
        <f>IF(OR($I459="",$E459=0),0,IF(OR($J459&lt;AC$3,$I459&gt;AC$2),0,IF($K459=0,IF(AND($I459&gt;=AC$3,$I459&lt;=AC$2),$E459,0),$E459*NETWORKDAYS(MAX($I459,AC$3),MIN($J459,AC$2),Data!$K$4:$K$203)/$K459)))</f>
        <v>0</v>
      </c>
      <c r="AD459" s="170">
        <f>IF(OR($I459="",$E459=0),0,IF(OR($J459&lt;AD$3,$I459&gt;AD$2),0,IF($K459=0,IF(AND($I459&gt;=AD$3,$I459&lt;=AD$2),$E459,0),$E459*NETWORKDAYS(MAX($I459,AD$3),MIN($J459,AD$2),Data!$K$4:$K$203)/$K459)))</f>
        <v>0</v>
      </c>
      <c r="AE459" s="170">
        <f>IF(OR($I459="",$E459=0),0,IF(OR($J459&lt;AE$3,$I459&gt;AE$2),0,IF($K459=0,IF(AND($I459&gt;=AE$3,$I459&lt;=AE$2),$E459,0),$E459*NETWORKDAYS(MAX($I459,AE$3),MIN($J459,AE$2),Data!$K$4:$K$203)/$K459)))</f>
        <v>0</v>
      </c>
      <c r="AF459" s="170">
        <f>IF(OR($I459="",$E459=0),0,IF(OR($J459&lt;AF$3,$I459&gt;AF$2),0,IF($K459=0,IF(AND($I459&gt;=AF$3,$I459&lt;=AF$2),$E459,0),$E459*NETWORKDAYS(MAX($I459,AF$3),MIN($J459,AF$2),Data!$K$4:$K$203)/$K459)))</f>
        <v>0</v>
      </c>
      <c r="AG459" s="170">
        <f>IF(OR($I459="",$E459=0),0,IF(OR($J459&lt;AG$3,$I459&gt;AG$2),0,IF($K459=0,IF(AND($I459&gt;=AG$3,$I459&lt;=AG$2),$E459,0),$E459*NETWORKDAYS(MAX($I459,AG$3),MIN($J459,AG$2),Data!$K$4:$K$203)/$K459)))</f>
        <v>0</v>
      </c>
      <c r="AH459" s="170">
        <f>IF(OR($I459="",$E459=0),0,IF(OR($J459&lt;AH$3,$I459&gt;AH$2),0,IF($K459=0,IF(AND($I459&gt;=AH$3,$I459&lt;=AH$2),$E459,0),$E459*NETWORKDAYS(MAX($I459,AH$3),MIN($J459,AH$2),Data!$K$4:$K$203)/$K459)))</f>
        <v>0</v>
      </c>
      <c r="AI459" s="170">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70"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4" t="str">
        <f>IF(EO459=1,IF(FH459&gt;0,FI459/FH459,AVERAGEIF($FF$4:$FF$503,EN459,$C$4:$C$503)),"")</f>
        <v/>
      </c>
      <c r="EV459" s="169">
        <f>IF(ISNUMBER(I459),I459,2958465)</f>
        <v>2958465.0</v>
      </c>
      <c r="EW459" s="169" t="str">
        <f>IF(EO459=1,SUMPRODUCT(MIN(($EN$4:$EN$503=EN459)*$EV$4:$EV$503+($EN$4:$EN$503&lt;&gt;EN459)*2958465)),"")</f>
        <v/>
      </c>
      <c r="EX459" s="169">
        <f>IF(AND(D459=1,ISNUMBER(INDEX(Charge!$F:$F,ROW()))),INDEX(Charge!$F:$F,ROW()),0)</f>
        <v>0.0</v>
      </c>
      <c r="EY459" s="169" t="str">
        <f>IF(EO459=1,SUMPRODUCT(MAX(($EN$4:$EN$503=EN459)*$EX$4:$EX$503)),"")</f>
        <v/>
      </c>
      <c r="FD459">
        <f>IF(AND(B459=1,TRIM(INDEX(Charge!$K:$K,ROW()))&lt;&gt;"",TRIM(INDEX(Charge!$L:$L,ROW()))&lt;&gt;""),1,0)</f>
        <v>0</v>
      </c>
      <c r="FE459">
        <f>IF(OR(EN459="",BZ459="(non affecté)"),0,IF(COUNTIFS($EN$4:EN459,EN459,$BZ$4:BZ459,BZ459)=1,1,0))</f>
        <v>0</v>
      </c>
      <c r="FF459" t="str">
        <f>IF(B459=1,LEFT(SUBSTITUTE(SUBSTITUTE(SUBSTITUTE(TRIM(SUBSTITUTE(INDEX(Charge!$B:$B,ROW()),CHAR(160)," "))&amp;" | "&amp;TRIM(SUBSTITUTE(INDEX(Charge!$C:$C,ROW()),CHAR(160)," "))&amp;" | "&amp;TRIM(SUBSTITUTE(INDEX(Charge!$D:$D,ROW()),CHAR(160)," ")),"~","-"),"*","+"),"?","!"),240),"")</f>
        <v/>
      </c>
      <c r="FG459">
        <f>IF(B459=1,MAX(0,N(INDEX(Charge!$M:$M,ROW()))),0)</f>
        <v>0</v>
      </c>
      <c r="FH459" s="170" t="str">
        <f>IF(EO459=1,ROUND(SUMIF($FF$4:$FF$503,EN459,$FG$4:$FG$503),2),"")</f>
        <v/>
      </c>
      <c r="FI459" s="170" t="str">
        <f>IF(EO459=1,ROUND(SUMPRODUCT(($FF$4:$FF$503=EN459)*$FG$4:$FG$503*$C$4:$C$503),2),"")</f>
        <v/>
      </c>
      <c r="FJ459" s="170" t="str">
        <f>IF(EO459=1,MAX(0,ROUND(FH459-FI459,2)),"")</f>
        <v/>
      </c>
      <c r="FK459" s="174" t="str">
        <f>IF(EO459=1,IF(OR(EW459&gt;=2958465,EY459=0,EY459&lt;=EW459),"",IF(TODAY()&lt;=EW459,0,IF(TODAY()&gt;EY459,1,IFERROR(NETWORKDAYS(EW459,TODAY()-1,Data!$K$4:$K$203)/NETWORKDAYS(EW459,EY459,Data!$K$4:$K$203),"")))),"")</f>
        <v/>
      </c>
      <c r="FL459" t="str">
        <f>IF(EO459=1,IF(AND(EY459&gt;0,EY459&lt;TODAY(),ROUND(EU459,4)&lt;1),2,IF(FK459="",0,IF(ROUND(EU459-FK459,4)&lt;-0.15,1,0))),"")</f>
        <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9" t="str">
        <f>IF(AND(D460=1,ISNUMBER(INDEX(Charge!$N:$N,ROW()))),INDEX(Charge!$N:$N,ROW()),"")</f>
        <v/>
      </c>
      <c r="J460" s="169"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70">
        <f>IF(OR($I460="",$E460=0),0,IF(OR($J460&lt;W$3,$I460&gt;W$2),0,IF($K460=0,IF(AND($I460&gt;=W$3,$I460&lt;=W$2),$E460,0),$E460*NETWORKDAYS(MAX($I460,W$3),MIN($J460,W$2),Data!$K$4:$K$203)/$K460)))</f>
        <v>0</v>
      </c>
      <c r="X460" s="170">
        <f>IF(OR($I460="",$E460=0),0,IF(OR($J460&lt;X$3,$I460&gt;X$2),0,IF($K460=0,IF(AND($I460&gt;=X$3,$I460&lt;=X$2),$E460,0),$E460*NETWORKDAYS(MAX($I460,X$3),MIN($J460,X$2),Data!$K$4:$K$203)/$K460)))</f>
        <v>0</v>
      </c>
      <c r="Y460" s="170">
        <f>IF(OR($I460="",$E460=0),0,IF(OR($J460&lt;Y$3,$I460&gt;Y$2),0,IF($K460=0,IF(AND($I460&gt;=Y$3,$I460&lt;=Y$2),$E460,0),$E460*NETWORKDAYS(MAX($I460,Y$3),MIN($J460,Y$2),Data!$K$4:$K$203)/$K460)))</f>
        <v>0</v>
      </c>
      <c r="Z460" s="170">
        <f>IF(OR($I460="",$E460=0),0,IF(OR($J460&lt;Z$3,$I460&gt;Z$2),0,IF($K460=0,IF(AND($I460&gt;=Z$3,$I460&lt;=Z$2),$E460,0),$E460*NETWORKDAYS(MAX($I460,Z$3),MIN($J460,Z$2),Data!$K$4:$K$203)/$K460)))</f>
        <v>0</v>
      </c>
      <c r="AA460" s="170">
        <f>IF(OR($I460="",$E460=0),0,IF(OR($J460&lt;AA$3,$I460&gt;AA$2),0,IF($K460=0,IF(AND($I460&gt;=AA$3,$I460&lt;=AA$2),$E460,0),$E460*NETWORKDAYS(MAX($I460,AA$3),MIN($J460,AA$2),Data!$K$4:$K$203)/$K460)))</f>
        <v>0</v>
      </c>
      <c r="AB460" s="170">
        <f>IF(OR($I460="",$E460=0),0,IF(OR($J460&lt;AB$3,$I460&gt;AB$2),0,IF($K460=0,IF(AND($I460&gt;=AB$3,$I460&lt;=AB$2),$E460,0),$E460*NETWORKDAYS(MAX($I460,AB$3),MIN($J460,AB$2),Data!$K$4:$K$203)/$K460)))</f>
        <v>0</v>
      </c>
      <c r="AC460" s="170">
        <f>IF(OR($I460="",$E460=0),0,IF(OR($J460&lt;AC$3,$I460&gt;AC$2),0,IF($K460=0,IF(AND($I460&gt;=AC$3,$I460&lt;=AC$2),$E460,0),$E460*NETWORKDAYS(MAX($I460,AC$3),MIN($J460,AC$2),Data!$K$4:$K$203)/$K460)))</f>
        <v>0</v>
      </c>
      <c r="AD460" s="170">
        <f>IF(OR($I460="",$E460=0),0,IF(OR($J460&lt;AD$3,$I460&gt;AD$2),0,IF($K460=0,IF(AND($I460&gt;=AD$3,$I460&lt;=AD$2),$E460,0),$E460*NETWORKDAYS(MAX($I460,AD$3),MIN($J460,AD$2),Data!$K$4:$K$203)/$K460)))</f>
        <v>0</v>
      </c>
      <c r="AE460" s="170">
        <f>IF(OR($I460="",$E460=0),0,IF(OR($J460&lt;AE$3,$I460&gt;AE$2),0,IF($K460=0,IF(AND($I460&gt;=AE$3,$I460&lt;=AE$2),$E460,0),$E460*NETWORKDAYS(MAX($I460,AE$3),MIN($J460,AE$2),Data!$K$4:$K$203)/$K460)))</f>
        <v>0</v>
      </c>
      <c r="AF460" s="170">
        <f>IF(OR($I460="",$E460=0),0,IF(OR($J460&lt;AF$3,$I460&gt;AF$2),0,IF($K460=0,IF(AND($I460&gt;=AF$3,$I460&lt;=AF$2),$E460,0),$E460*NETWORKDAYS(MAX($I460,AF$3),MIN($J460,AF$2),Data!$K$4:$K$203)/$K460)))</f>
        <v>0</v>
      </c>
      <c r="AG460" s="170">
        <f>IF(OR($I460="",$E460=0),0,IF(OR($J460&lt;AG$3,$I460&gt;AG$2),0,IF($K460=0,IF(AND($I460&gt;=AG$3,$I460&lt;=AG$2),$E460,0),$E460*NETWORKDAYS(MAX($I460,AG$3),MIN($J460,AG$2),Data!$K$4:$K$203)/$K460)))</f>
        <v>0</v>
      </c>
      <c r="AH460" s="170">
        <f>IF(OR($I460="",$E460=0),0,IF(OR($J460&lt;AH$3,$I460&gt;AH$2),0,IF($K460=0,IF(AND($I460&gt;=AH$3,$I460&lt;=AH$2),$E460,0),$E460*NETWORKDAYS(MAX($I460,AH$3),MIN($J460,AH$2),Data!$K$4:$K$203)/$K460)))</f>
        <v>0</v>
      </c>
      <c r="AI460" s="170">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70"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4" t="str">
        <f>IF(EO460=1,IF(FH460&gt;0,FI460/FH460,AVERAGEIF($FF$4:$FF$503,EN460,$C$4:$C$503)),"")</f>
        <v/>
      </c>
      <c r="EV460" s="169">
        <f>IF(ISNUMBER(I460),I460,2958465)</f>
        <v>2958465.0</v>
      </c>
      <c r="EW460" s="169" t="str">
        <f>IF(EO460=1,SUMPRODUCT(MIN(($EN$4:$EN$503=EN460)*$EV$4:$EV$503+($EN$4:$EN$503&lt;&gt;EN460)*2958465)),"")</f>
        <v/>
      </c>
      <c r="EX460" s="169">
        <f>IF(AND(D460=1,ISNUMBER(INDEX(Charge!$F:$F,ROW()))),INDEX(Charge!$F:$F,ROW()),0)</f>
        <v>0.0</v>
      </c>
      <c r="EY460" s="169" t="str">
        <f>IF(EO460=1,SUMPRODUCT(MAX(($EN$4:$EN$503=EN460)*$EX$4:$EX$503)),"")</f>
        <v/>
      </c>
      <c r="FD460">
        <f>IF(AND(B460=1,TRIM(INDEX(Charge!$K:$K,ROW()))&lt;&gt;"",TRIM(INDEX(Charge!$L:$L,ROW()))&lt;&gt;""),1,0)</f>
        <v>0</v>
      </c>
      <c r="FE460">
        <f>IF(OR(EN460="",BZ460="(non affecté)"),0,IF(COUNTIFS($EN$4:EN460,EN460,$BZ$4:BZ460,BZ460)=1,1,0))</f>
        <v>0</v>
      </c>
      <c r="FF460" t="str">
        <f>IF(B460=1,LEFT(SUBSTITUTE(SUBSTITUTE(SUBSTITUTE(TRIM(SUBSTITUTE(INDEX(Charge!$B:$B,ROW()),CHAR(160)," "))&amp;" | "&amp;TRIM(SUBSTITUTE(INDEX(Charge!$C:$C,ROW()),CHAR(160)," "))&amp;" | "&amp;TRIM(SUBSTITUTE(INDEX(Charge!$D:$D,ROW()),CHAR(160)," ")),"~","-"),"*","+"),"?","!"),240),"")</f>
        <v/>
      </c>
      <c r="FG460">
        <f>IF(B460=1,MAX(0,N(INDEX(Charge!$M:$M,ROW()))),0)</f>
        <v>0</v>
      </c>
      <c r="FH460" s="170" t="str">
        <f>IF(EO460=1,ROUND(SUMIF($FF$4:$FF$503,EN460,$FG$4:$FG$503),2),"")</f>
        <v/>
      </c>
      <c r="FI460" s="170" t="str">
        <f>IF(EO460=1,ROUND(SUMPRODUCT(($FF$4:$FF$503=EN460)*$FG$4:$FG$503*$C$4:$C$503),2),"")</f>
        <v/>
      </c>
      <c r="FJ460" s="170" t="str">
        <f>IF(EO460=1,MAX(0,ROUND(FH460-FI460,2)),"")</f>
        <v/>
      </c>
      <c r="FK460" s="174" t="str">
        <f>IF(EO460=1,IF(OR(EW460&gt;=2958465,EY460=0,EY460&lt;=EW460),"",IF(TODAY()&lt;=EW460,0,IF(TODAY()&gt;EY460,1,IFERROR(NETWORKDAYS(EW460,TODAY()-1,Data!$K$4:$K$203)/NETWORKDAYS(EW460,EY460,Data!$K$4:$K$203),"")))),"")</f>
        <v/>
      </c>
      <c r="FL460" t="str">
        <f>IF(EO460=1,IF(AND(EY460&gt;0,EY460&lt;TODAY(),ROUND(EU460,4)&lt;1),2,IF(FK460="",0,IF(ROUND(EU460-FK460,4)&lt;-0.15,1,0))),"")</f>
        <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9" t="str">
        <f>IF(AND(D461=1,ISNUMBER(INDEX(Charge!$N:$N,ROW()))),INDEX(Charge!$N:$N,ROW()),"")</f>
        <v/>
      </c>
      <c r="J461" s="169"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70">
        <f>IF(OR($I461="",$E461=0),0,IF(OR($J461&lt;W$3,$I461&gt;W$2),0,IF($K461=0,IF(AND($I461&gt;=W$3,$I461&lt;=W$2),$E461,0),$E461*NETWORKDAYS(MAX($I461,W$3),MIN($J461,W$2),Data!$K$4:$K$203)/$K461)))</f>
        <v>0</v>
      </c>
      <c r="X461" s="170">
        <f>IF(OR($I461="",$E461=0),0,IF(OR($J461&lt;X$3,$I461&gt;X$2),0,IF($K461=0,IF(AND($I461&gt;=X$3,$I461&lt;=X$2),$E461,0),$E461*NETWORKDAYS(MAX($I461,X$3),MIN($J461,X$2),Data!$K$4:$K$203)/$K461)))</f>
        <v>0</v>
      </c>
      <c r="Y461" s="170">
        <f>IF(OR($I461="",$E461=0),0,IF(OR($J461&lt;Y$3,$I461&gt;Y$2),0,IF($K461=0,IF(AND($I461&gt;=Y$3,$I461&lt;=Y$2),$E461,0),$E461*NETWORKDAYS(MAX($I461,Y$3),MIN($J461,Y$2),Data!$K$4:$K$203)/$K461)))</f>
        <v>0</v>
      </c>
      <c r="Z461" s="170">
        <f>IF(OR($I461="",$E461=0),0,IF(OR($J461&lt;Z$3,$I461&gt;Z$2),0,IF($K461=0,IF(AND($I461&gt;=Z$3,$I461&lt;=Z$2),$E461,0),$E461*NETWORKDAYS(MAX($I461,Z$3),MIN($J461,Z$2),Data!$K$4:$K$203)/$K461)))</f>
        <v>0</v>
      </c>
      <c r="AA461" s="170">
        <f>IF(OR($I461="",$E461=0),0,IF(OR($J461&lt;AA$3,$I461&gt;AA$2),0,IF($K461=0,IF(AND($I461&gt;=AA$3,$I461&lt;=AA$2),$E461,0),$E461*NETWORKDAYS(MAX($I461,AA$3),MIN($J461,AA$2),Data!$K$4:$K$203)/$K461)))</f>
        <v>0</v>
      </c>
      <c r="AB461" s="170">
        <f>IF(OR($I461="",$E461=0),0,IF(OR($J461&lt;AB$3,$I461&gt;AB$2),0,IF($K461=0,IF(AND($I461&gt;=AB$3,$I461&lt;=AB$2),$E461,0),$E461*NETWORKDAYS(MAX($I461,AB$3),MIN($J461,AB$2),Data!$K$4:$K$203)/$K461)))</f>
        <v>0</v>
      </c>
      <c r="AC461" s="170">
        <f>IF(OR($I461="",$E461=0),0,IF(OR($J461&lt;AC$3,$I461&gt;AC$2),0,IF($K461=0,IF(AND($I461&gt;=AC$3,$I461&lt;=AC$2),$E461,0),$E461*NETWORKDAYS(MAX($I461,AC$3),MIN($J461,AC$2),Data!$K$4:$K$203)/$K461)))</f>
        <v>0</v>
      </c>
      <c r="AD461" s="170">
        <f>IF(OR($I461="",$E461=0),0,IF(OR($J461&lt;AD$3,$I461&gt;AD$2),0,IF($K461=0,IF(AND($I461&gt;=AD$3,$I461&lt;=AD$2),$E461,0),$E461*NETWORKDAYS(MAX($I461,AD$3),MIN($J461,AD$2),Data!$K$4:$K$203)/$K461)))</f>
        <v>0</v>
      </c>
      <c r="AE461" s="170">
        <f>IF(OR($I461="",$E461=0),0,IF(OR($J461&lt;AE$3,$I461&gt;AE$2),0,IF($K461=0,IF(AND($I461&gt;=AE$3,$I461&lt;=AE$2),$E461,0),$E461*NETWORKDAYS(MAX($I461,AE$3),MIN($J461,AE$2),Data!$K$4:$K$203)/$K461)))</f>
        <v>0</v>
      </c>
      <c r="AF461" s="170">
        <f>IF(OR($I461="",$E461=0),0,IF(OR($J461&lt;AF$3,$I461&gt;AF$2),0,IF($K461=0,IF(AND($I461&gt;=AF$3,$I461&lt;=AF$2),$E461,0),$E461*NETWORKDAYS(MAX($I461,AF$3),MIN($J461,AF$2),Data!$K$4:$K$203)/$K461)))</f>
        <v>0</v>
      </c>
      <c r="AG461" s="170">
        <f>IF(OR($I461="",$E461=0),0,IF(OR($J461&lt;AG$3,$I461&gt;AG$2),0,IF($K461=0,IF(AND($I461&gt;=AG$3,$I461&lt;=AG$2),$E461,0),$E461*NETWORKDAYS(MAX($I461,AG$3),MIN($J461,AG$2),Data!$K$4:$K$203)/$K461)))</f>
        <v>0</v>
      </c>
      <c r="AH461" s="170">
        <f>IF(OR($I461="",$E461=0),0,IF(OR($J461&lt;AH$3,$I461&gt;AH$2),0,IF($K461=0,IF(AND($I461&gt;=AH$3,$I461&lt;=AH$2),$E461,0),$E461*NETWORKDAYS(MAX($I461,AH$3),MIN($J461,AH$2),Data!$K$4:$K$203)/$K461)))</f>
        <v>0</v>
      </c>
      <c r="AI461" s="170">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70"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4" t="str">
        <f>IF(EO461=1,IF(FH461&gt;0,FI461/FH461,AVERAGEIF($FF$4:$FF$503,EN461,$C$4:$C$503)),"")</f>
        <v/>
      </c>
      <c r="EV461" s="169">
        <f>IF(ISNUMBER(I461),I461,2958465)</f>
        <v>2958465.0</v>
      </c>
      <c r="EW461" s="169" t="str">
        <f>IF(EO461=1,SUMPRODUCT(MIN(($EN$4:$EN$503=EN461)*$EV$4:$EV$503+($EN$4:$EN$503&lt;&gt;EN461)*2958465)),"")</f>
        <v/>
      </c>
      <c r="EX461" s="169">
        <f>IF(AND(D461=1,ISNUMBER(INDEX(Charge!$F:$F,ROW()))),INDEX(Charge!$F:$F,ROW()),0)</f>
        <v>0.0</v>
      </c>
      <c r="EY461" s="169" t="str">
        <f>IF(EO461=1,SUMPRODUCT(MAX(($EN$4:$EN$503=EN461)*$EX$4:$EX$503)),"")</f>
        <v/>
      </c>
      <c r="FD461">
        <f>IF(AND(B461=1,TRIM(INDEX(Charge!$K:$K,ROW()))&lt;&gt;"",TRIM(INDEX(Charge!$L:$L,ROW()))&lt;&gt;""),1,0)</f>
        <v>0</v>
      </c>
      <c r="FE461">
        <f>IF(OR(EN461="",BZ461="(non affecté)"),0,IF(COUNTIFS($EN$4:EN461,EN461,$BZ$4:BZ461,BZ461)=1,1,0))</f>
        <v>0</v>
      </c>
      <c r="FF461" t="str">
        <f>IF(B461=1,LEFT(SUBSTITUTE(SUBSTITUTE(SUBSTITUTE(TRIM(SUBSTITUTE(INDEX(Charge!$B:$B,ROW()),CHAR(160)," "))&amp;" | "&amp;TRIM(SUBSTITUTE(INDEX(Charge!$C:$C,ROW()),CHAR(160)," "))&amp;" | "&amp;TRIM(SUBSTITUTE(INDEX(Charge!$D:$D,ROW()),CHAR(160)," ")),"~","-"),"*","+"),"?","!"),240),"")</f>
        <v/>
      </c>
      <c r="FG461">
        <f>IF(B461=1,MAX(0,N(INDEX(Charge!$M:$M,ROW()))),0)</f>
        <v>0</v>
      </c>
      <c r="FH461" s="170" t="str">
        <f>IF(EO461=1,ROUND(SUMIF($FF$4:$FF$503,EN461,$FG$4:$FG$503),2),"")</f>
        <v/>
      </c>
      <c r="FI461" s="170" t="str">
        <f>IF(EO461=1,ROUND(SUMPRODUCT(($FF$4:$FF$503=EN461)*$FG$4:$FG$503*$C$4:$C$503),2),"")</f>
        <v/>
      </c>
      <c r="FJ461" s="170" t="str">
        <f>IF(EO461=1,MAX(0,ROUND(FH461-FI461,2)),"")</f>
        <v/>
      </c>
      <c r="FK461" s="174" t="str">
        <f>IF(EO461=1,IF(OR(EW461&gt;=2958465,EY461=0,EY461&lt;=EW461),"",IF(TODAY()&lt;=EW461,0,IF(TODAY()&gt;EY461,1,IFERROR(NETWORKDAYS(EW461,TODAY()-1,Data!$K$4:$K$203)/NETWORKDAYS(EW461,EY461,Data!$K$4:$K$203),"")))),"")</f>
        <v/>
      </c>
      <c r="FL461" t="str">
        <f>IF(EO461=1,IF(AND(EY461&gt;0,EY461&lt;TODAY(),ROUND(EU461,4)&lt;1),2,IF(FK461="",0,IF(ROUND(EU461-FK461,4)&lt;-0.15,1,0))),"")</f>
        <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9" t="str">
        <f>IF(AND(D462=1,ISNUMBER(INDEX(Charge!$N:$N,ROW()))),INDEX(Charge!$N:$N,ROW()),"")</f>
        <v/>
      </c>
      <c r="J462" s="169"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70">
        <f>IF(OR($I462="",$E462=0),0,IF(OR($J462&lt;W$3,$I462&gt;W$2),0,IF($K462=0,IF(AND($I462&gt;=W$3,$I462&lt;=W$2),$E462,0),$E462*NETWORKDAYS(MAX($I462,W$3),MIN($J462,W$2),Data!$K$4:$K$203)/$K462)))</f>
        <v>0</v>
      </c>
      <c r="X462" s="170">
        <f>IF(OR($I462="",$E462=0),0,IF(OR($J462&lt;X$3,$I462&gt;X$2),0,IF($K462=0,IF(AND($I462&gt;=X$3,$I462&lt;=X$2),$E462,0),$E462*NETWORKDAYS(MAX($I462,X$3),MIN($J462,X$2),Data!$K$4:$K$203)/$K462)))</f>
        <v>0</v>
      </c>
      <c r="Y462" s="170">
        <f>IF(OR($I462="",$E462=0),0,IF(OR($J462&lt;Y$3,$I462&gt;Y$2),0,IF($K462=0,IF(AND($I462&gt;=Y$3,$I462&lt;=Y$2),$E462,0),$E462*NETWORKDAYS(MAX($I462,Y$3),MIN($J462,Y$2),Data!$K$4:$K$203)/$K462)))</f>
        <v>0</v>
      </c>
      <c r="Z462" s="170">
        <f>IF(OR($I462="",$E462=0),0,IF(OR($J462&lt;Z$3,$I462&gt;Z$2),0,IF($K462=0,IF(AND($I462&gt;=Z$3,$I462&lt;=Z$2),$E462,0),$E462*NETWORKDAYS(MAX($I462,Z$3),MIN($J462,Z$2),Data!$K$4:$K$203)/$K462)))</f>
        <v>0</v>
      </c>
      <c r="AA462" s="170">
        <f>IF(OR($I462="",$E462=0),0,IF(OR($J462&lt;AA$3,$I462&gt;AA$2),0,IF($K462=0,IF(AND($I462&gt;=AA$3,$I462&lt;=AA$2),$E462,0),$E462*NETWORKDAYS(MAX($I462,AA$3),MIN($J462,AA$2),Data!$K$4:$K$203)/$K462)))</f>
        <v>0</v>
      </c>
      <c r="AB462" s="170">
        <f>IF(OR($I462="",$E462=0),0,IF(OR($J462&lt;AB$3,$I462&gt;AB$2),0,IF($K462=0,IF(AND($I462&gt;=AB$3,$I462&lt;=AB$2),$E462,0),$E462*NETWORKDAYS(MAX($I462,AB$3),MIN($J462,AB$2),Data!$K$4:$K$203)/$K462)))</f>
        <v>0</v>
      </c>
      <c r="AC462" s="170">
        <f>IF(OR($I462="",$E462=0),0,IF(OR($J462&lt;AC$3,$I462&gt;AC$2),0,IF($K462=0,IF(AND($I462&gt;=AC$3,$I462&lt;=AC$2),$E462,0),$E462*NETWORKDAYS(MAX($I462,AC$3),MIN($J462,AC$2),Data!$K$4:$K$203)/$K462)))</f>
        <v>0</v>
      </c>
      <c r="AD462" s="170">
        <f>IF(OR($I462="",$E462=0),0,IF(OR($J462&lt;AD$3,$I462&gt;AD$2),0,IF($K462=0,IF(AND($I462&gt;=AD$3,$I462&lt;=AD$2),$E462,0),$E462*NETWORKDAYS(MAX($I462,AD$3),MIN($J462,AD$2),Data!$K$4:$K$203)/$K462)))</f>
        <v>0</v>
      </c>
      <c r="AE462" s="170">
        <f>IF(OR($I462="",$E462=0),0,IF(OR($J462&lt;AE$3,$I462&gt;AE$2),0,IF($K462=0,IF(AND($I462&gt;=AE$3,$I462&lt;=AE$2),$E462,0),$E462*NETWORKDAYS(MAX($I462,AE$3),MIN($J462,AE$2),Data!$K$4:$K$203)/$K462)))</f>
        <v>0</v>
      </c>
      <c r="AF462" s="170">
        <f>IF(OR($I462="",$E462=0),0,IF(OR($J462&lt;AF$3,$I462&gt;AF$2),0,IF($K462=0,IF(AND($I462&gt;=AF$3,$I462&lt;=AF$2),$E462,0),$E462*NETWORKDAYS(MAX($I462,AF$3),MIN($J462,AF$2),Data!$K$4:$K$203)/$K462)))</f>
        <v>0</v>
      </c>
      <c r="AG462" s="170">
        <f>IF(OR($I462="",$E462=0),0,IF(OR($J462&lt;AG$3,$I462&gt;AG$2),0,IF($K462=0,IF(AND($I462&gt;=AG$3,$I462&lt;=AG$2),$E462,0),$E462*NETWORKDAYS(MAX($I462,AG$3),MIN($J462,AG$2),Data!$K$4:$K$203)/$K462)))</f>
        <v>0</v>
      </c>
      <c r="AH462" s="170">
        <f>IF(OR($I462="",$E462=0),0,IF(OR($J462&lt;AH$3,$I462&gt;AH$2),0,IF($K462=0,IF(AND($I462&gt;=AH$3,$I462&lt;=AH$2),$E462,0),$E462*NETWORKDAYS(MAX($I462,AH$3),MIN($J462,AH$2),Data!$K$4:$K$203)/$K462)))</f>
        <v>0</v>
      </c>
      <c r="AI462" s="170">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70"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4" t="str">
        <f>IF(EO462=1,IF(FH462&gt;0,FI462/FH462,AVERAGEIF($FF$4:$FF$503,EN462,$C$4:$C$503)),"")</f>
        <v/>
      </c>
      <c r="EV462" s="169">
        <f>IF(ISNUMBER(I462),I462,2958465)</f>
        <v>2958465.0</v>
      </c>
      <c r="EW462" s="169" t="str">
        <f>IF(EO462=1,SUMPRODUCT(MIN(($EN$4:$EN$503=EN462)*$EV$4:$EV$503+($EN$4:$EN$503&lt;&gt;EN462)*2958465)),"")</f>
        <v/>
      </c>
      <c r="EX462" s="169">
        <f>IF(AND(D462=1,ISNUMBER(INDEX(Charge!$F:$F,ROW()))),INDEX(Charge!$F:$F,ROW()),0)</f>
        <v>0.0</v>
      </c>
      <c r="EY462" s="169" t="str">
        <f>IF(EO462=1,SUMPRODUCT(MAX(($EN$4:$EN$503=EN462)*$EX$4:$EX$503)),"")</f>
        <v/>
      </c>
      <c r="FD462">
        <f>IF(AND(B462=1,TRIM(INDEX(Charge!$K:$K,ROW()))&lt;&gt;"",TRIM(INDEX(Charge!$L:$L,ROW()))&lt;&gt;""),1,0)</f>
        <v>0</v>
      </c>
      <c r="FE462">
        <f>IF(OR(EN462="",BZ462="(non affecté)"),0,IF(COUNTIFS($EN$4:EN462,EN462,$BZ$4:BZ462,BZ462)=1,1,0))</f>
        <v>0</v>
      </c>
      <c r="FF462" t="str">
        <f>IF(B462=1,LEFT(SUBSTITUTE(SUBSTITUTE(SUBSTITUTE(TRIM(SUBSTITUTE(INDEX(Charge!$B:$B,ROW()),CHAR(160)," "))&amp;" | "&amp;TRIM(SUBSTITUTE(INDEX(Charge!$C:$C,ROW()),CHAR(160)," "))&amp;" | "&amp;TRIM(SUBSTITUTE(INDEX(Charge!$D:$D,ROW()),CHAR(160)," ")),"~","-"),"*","+"),"?","!"),240),"")</f>
        <v/>
      </c>
      <c r="FG462">
        <f>IF(B462=1,MAX(0,N(INDEX(Charge!$M:$M,ROW()))),0)</f>
        <v>0</v>
      </c>
      <c r="FH462" s="170" t="str">
        <f>IF(EO462=1,ROUND(SUMIF($FF$4:$FF$503,EN462,$FG$4:$FG$503),2),"")</f>
        <v/>
      </c>
      <c r="FI462" s="170" t="str">
        <f>IF(EO462=1,ROUND(SUMPRODUCT(($FF$4:$FF$503=EN462)*$FG$4:$FG$503*$C$4:$C$503),2),"")</f>
        <v/>
      </c>
      <c r="FJ462" s="170" t="str">
        <f>IF(EO462=1,MAX(0,ROUND(FH462-FI462,2)),"")</f>
        <v/>
      </c>
      <c r="FK462" s="174" t="str">
        <f>IF(EO462=1,IF(OR(EW462&gt;=2958465,EY462=0,EY462&lt;=EW462),"",IF(TODAY()&lt;=EW462,0,IF(TODAY()&gt;EY462,1,IFERROR(NETWORKDAYS(EW462,TODAY()-1,Data!$K$4:$K$203)/NETWORKDAYS(EW462,EY462,Data!$K$4:$K$203),"")))),"")</f>
        <v/>
      </c>
      <c r="FL462" t="str">
        <f>IF(EO462=1,IF(AND(EY462&gt;0,EY462&lt;TODAY(),ROUND(EU462,4)&lt;1),2,IF(FK462="",0,IF(ROUND(EU462-FK462,4)&lt;-0.15,1,0))),"")</f>
        <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9" t="str">
        <f>IF(AND(D463=1,ISNUMBER(INDEX(Charge!$N:$N,ROW()))),INDEX(Charge!$N:$N,ROW()),"")</f>
        <v/>
      </c>
      <c r="J463" s="169"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70">
        <f>IF(OR($I463="",$E463=0),0,IF(OR($J463&lt;W$3,$I463&gt;W$2),0,IF($K463=0,IF(AND($I463&gt;=W$3,$I463&lt;=W$2),$E463,0),$E463*NETWORKDAYS(MAX($I463,W$3),MIN($J463,W$2),Data!$K$4:$K$203)/$K463)))</f>
        <v>0</v>
      </c>
      <c r="X463" s="170">
        <f>IF(OR($I463="",$E463=0),0,IF(OR($J463&lt;X$3,$I463&gt;X$2),0,IF($K463=0,IF(AND($I463&gt;=X$3,$I463&lt;=X$2),$E463,0),$E463*NETWORKDAYS(MAX($I463,X$3),MIN($J463,X$2),Data!$K$4:$K$203)/$K463)))</f>
        <v>0</v>
      </c>
      <c r="Y463" s="170">
        <f>IF(OR($I463="",$E463=0),0,IF(OR($J463&lt;Y$3,$I463&gt;Y$2),0,IF($K463=0,IF(AND($I463&gt;=Y$3,$I463&lt;=Y$2),$E463,0),$E463*NETWORKDAYS(MAX($I463,Y$3),MIN($J463,Y$2),Data!$K$4:$K$203)/$K463)))</f>
        <v>0</v>
      </c>
      <c r="Z463" s="170">
        <f>IF(OR($I463="",$E463=0),0,IF(OR($J463&lt;Z$3,$I463&gt;Z$2),0,IF($K463=0,IF(AND($I463&gt;=Z$3,$I463&lt;=Z$2),$E463,0),$E463*NETWORKDAYS(MAX($I463,Z$3),MIN($J463,Z$2),Data!$K$4:$K$203)/$K463)))</f>
        <v>0</v>
      </c>
      <c r="AA463" s="170">
        <f>IF(OR($I463="",$E463=0),0,IF(OR($J463&lt;AA$3,$I463&gt;AA$2),0,IF($K463=0,IF(AND($I463&gt;=AA$3,$I463&lt;=AA$2),$E463,0),$E463*NETWORKDAYS(MAX($I463,AA$3),MIN($J463,AA$2),Data!$K$4:$K$203)/$K463)))</f>
        <v>0</v>
      </c>
      <c r="AB463" s="170">
        <f>IF(OR($I463="",$E463=0),0,IF(OR($J463&lt;AB$3,$I463&gt;AB$2),0,IF($K463=0,IF(AND($I463&gt;=AB$3,$I463&lt;=AB$2),$E463,0),$E463*NETWORKDAYS(MAX($I463,AB$3),MIN($J463,AB$2),Data!$K$4:$K$203)/$K463)))</f>
        <v>0</v>
      </c>
      <c r="AC463" s="170">
        <f>IF(OR($I463="",$E463=0),0,IF(OR($J463&lt;AC$3,$I463&gt;AC$2),0,IF($K463=0,IF(AND($I463&gt;=AC$3,$I463&lt;=AC$2),$E463,0),$E463*NETWORKDAYS(MAX($I463,AC$3),MIN($J463,AC$2),Data!$K$4:$K$203)/$K463)))</f>
        <v>0</v>
      </c>
      <c r="AD463" s="170">
        <f>IF(OR($I463="",$E463=0),0,IF(OR($J463&lt;AD$3,$I463&gt;AD$2),0,IF($K463=0,IF(AND($I463&gt;=AD$3,$I463&lt;=AD$2),$E463,0),$E463*NETWORKDAYS(MAX($I463,AD$3),MIN($J463,AD$2),Data!$K$4:$K$203)/$K463)))</f>
        <v>0</v>
      </c>
      <c r="AE463" s="170">
        <f>IF(OR($I463="",$E463=0),0,IF(OR($J463&lt;AE$3,$I463&gt;AE$2),0,IF($K463=0,IF(AND($I463&gt;=AE$3,$I463&lt;=AE$2),$E463,0),$E463*NETWORKDAYS(MAX($I463,AE$3),MIN($J463,AE$2),Data!$K$4:$K$203)/$K463)))</f>
        <v>0</v>
      </c>
      <c r="AF463" s="170">
        <f>IF(OR($I463="",$E463=0),0,IF(OR($J463&lt;AF$3,$I463&gt;AF$2),0,IF($K463=0,IF(AND($I463&gt;=AF$3,$I463&lt;=AF$2),$E463,0),$E463*NETWORKDAYS(MAX($I463,AF$3),MIN($J463,AF$2),Data!$K$4:$K$203)/$K463)))</f>
        <v>0</v>
      </c>
      <c r="AG463" s="170">
        <f>IF(OR($I463="",$E463=0),0,IF(OR($J463&lt;AG$3,$I463&gt;AG$2),0,IF($K463=0,IF(AND($I463&gt;=AG$3,$I463&lt;=AG$2),$E463,0),$E463*NETWORKDAYS(MAX($I463,AG$3),MIN($J463,AG$2),Data!$K$4:$K$203)/$K463)))</f>
        <v>0</v>
      </c>
      <c r="AH463" s="170">
        <f>IF(OR($I463="",$E463=0),0,IF(OR($J463&lt;AH$3,$I463&gt;AH$2),0,IF($K463=0,IF(AND($I463&gt;=AH$3,$I463&lt;=AH$2),$E463,0),$E463*NETWORKDAYS(MAX($I463,AH$3),MIN($J463,AH$2),Data!$K$4:$K$203)/$K463)))</f>
        <v>0</v>
      </c>
      <c r="AI463" s="170">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70"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4" t="str">
        <f>IF(EO463=1,IF(FH463&gt;0,FI463/FH463,AVERAGEIF($FF$4:$FF$503,EN463,$C$4:$C$503)),"")</f>
        <v/>
      </c>
      <c r="EV463" s="169">
        <f>IF(ISNUMBER(I463),I463,2958465)</f>
        <v>2958465.0</v>
      </c>
      <c r="EW463" s="169" t="str">
        <f>IF(EO463=1,SUMPRODUCT(MIN(($EN$4:$EN$503=EN463)*$EV$4:$EV$503+($EN$4:$EN$503&lt;&gt;EN463)*2958465)),"")</f>
        <v/>
      </c>
      <c r="EX463" s="169">
        <f>IF(AND(D463=1,ISNUMBER(INDEX(Charge!$F:$F,ROW()))),INDEX(Charge!$F:$F,ROW()),0)</f>
        <v>0.0</v>
      </c>
      <c r="EY463" s="169" t="str">
        <f>IF(EO463=1,SUMPRODUCT(MAX(($EN$4:$EN$503=EN463)*$EX$4:$EX$503)),"")</f>
        <v/>
      </c>
      <c r="FD463">
        <f>IF(AND(B463=1,TRIM(INDEX(Charge!$K:$K,ROW()))&lt;&gt;"",TRIM(INDEX(Charge!$L:$L,ROW()))&lt;&gt;""),1,0)</f>
        <v>0</v>
      </c>
      <c r="FE463">
        <f>IF(OR(EN463="",BZ463="(non affecté)"),0,IF(COUNTIFS($EN$4:EN463,EN463,$BZ$4:BZ463,BZ463)=1,1,0))</f>
        <v>0</v>
      </c>
      <c r="FF463" t="str">
        <f>IF(B463=1,LEFT(SUBSTITUTE(SUBSTITUTE(SUBSTITUTE(TRIM(SUBSTITUTE(INDEX(Charge!$B:$B,ROW()),CHAR(160)," "))&amp;" | "&amp;TRIM(SUBSTITUTE(INDEX(Charge!$C:$C,ROW()),CHAR(160)," "))&amp;" | "&amp;TRIM(SUBSTITUTE(INDEX(Charge!$D:$D,ROW()),CHAR(160)," ")),"~","-"),"*","+"),"?","!"),240),"")</f>
        <v/>
      </c>
      <c r="FG463">
        <f>IF(B463=1,MAX(0,N(INDEX(Charge!$M:$M,ROW()))),0)</f>
        <v>0</v>
      </c>
      <c r="FH463" s="170" t="str">
        <f>IF(EO463=1,ROUND(SUMIF($FF$4:$FF$503,EN463,$FG$4:$FG$503),2),"")</f>
        <v/>
      </c>
      <c r="FI463" s="170" t="str">
        <f>IF(EO463=1,ROUND(SUMPRODUCT(($FF$4:$FF$503=EN463)*$FG$4:$FG$503*$C$4:$C$503),2),"")</f>
        <v/>
      </c>
      <c r="FJ463" s="170" t="str">
        <f>IF(EO463=1,MAX(0,ROUND(FH463-FI463,2)),"")</f>
        <v/>
      </c>
      <c r="FK463" s="174" t="str">
        <f>IF(EO463=1,IF(OR(EW463&gt;=2958465,EY463=0,EY463&lt;=EW463),"",IF(TODAY()&lt;=EW463,0,IF(TODAY()&gt;EY463,1,IFERROR(NETWORKDAYS(EW463,TODAY()-1,Data!$K$4:$K$203)/NETWORKDAYS(EW463,EY463,Data!$K$4:$K$203),"")))),"")</f>
        <v/>
      </c>
      <c r="FL463" t="str">
        <f>IF(EO463=1,IF(AND(EY463&gt;0,EY463&lt;TODAY(),ROUND(EU463,4)&lt;1),2,IF(FK463="",0,IF(ROUND(EU463-FK463,4)&lt;-0.15,1,0))),"")</f>
        <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9" t="str">
        <f>IF(AND(D464=1,ISNUMBER(INDEX(Charge!$N:$N,ROW()))),INDEX(Charge!$N:$N,ROW()),"")</f>
        <v/>
      </c>
      <c r="J464" s="169"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70">
        <f>IF(OR($I464="",$E464=0),0,IF(OR($J464&lt;W$3,$I464&gt;W$2),0,IF($K464=0,IF(AND($I464&gt;=W$3,$I464&lt;=W$2),$E464,0),$E464*NETWORKDAYS(MAX($I464,W$3),MIN($J464,W$2),Data!$K$4:$K$203)/$K464)))</f>
        <v>0</v>
      </c>
      <c r="X464" s="170">
        <f>IF(OR($I464="",$E464=0),0,IF(OR($J464&lt;X$3,$I464&gt;X$2),0,IF($K464=0,IF(AND($I464&gt;=X$3,$I464&lt;=X$2),$E464,0),$E464*NETWORKDAYS(MAX($I464,X$3),MIN($J464,X$2),Data!$K$4:$K$203)/$K464)))</f>
        <v>0</v>
      </c>
      <c r="Y464" s="170">
        <f>IF(OR($I464="",$E464=0),0,IF(OR($J464&lt;Y$3,$I464&gt;Y$2),0,IF($K464=0,IF(AND($I464&gt;=Y$3,$I464&lt;=Y$2),$E464,0),$E464*NETWORKDAYS(MAX($I464,Y$3),MIN($J464,Y$2),Data!$K$4:$K$203)/$K464)))</f>
        <v>0</v>
      </c>
      <c r="Z464" s="170">
        <f>IF(OR($I464="",$E464=0),0,IF(OR($J464&lt;Z$3,$I464&gt;Z$2),0,IF($K464=0,IF(AND($I464&gt;=Z$3,$I464&lt;=Z$2),$E464,0),$E464*NETWORKDAYS(MAX($I464,Z$3),MIN($J464,Z$2),Data!$K$4:$K$203)/$K464)))</f>
        <v>0</v>
      </c>
      <c r="AA464" s="170">
        <f>IF(OR($I464="",$E464=0),0,IF(OR($J464&lt;AA$3,$I464&gt;AA$2),0,IF($K464=0,IF(AND($I464&gt;=AA$3,$I464&lt;=AA$2),$E464,0),$E464*NETWORKDAYS(MAX($I464,AA$3),MIN($J464,AA$2),Data!$K$4:$K$203)/$K464)))</f>
        <v>0</v>
      </c>
      <c r="AB464" s="170">
        <f>IF(OR($I464="",$E464=0),0,IF(OR($J464&lt;AB$3,$I464&gt;AB$2),0,IF($K464=0,IF(AND($I464&gt;=AB$3,$I464&lt;=AB$2),$E464,0),$E464*NETWORKDAYS(MAX($I464,AB$3),MIN($J464,AB$2),Data!$K$4:$K$203)/$K464)))</f>
        <v>0</v>
      </c>
      <c r="AC464" s="170">
        <f>IF(OR($I464="",$E464=0),0,IF(OR($J464&lt;AC$3,$I464&gt;AC$2),0,IF($K464=0,IF(AND($I464&gt;=AC$3,$I464&lt;=AC$2),$E464,0),$E464*NETWORKDAYS(MAX($I464,AC$3),MIN($J464,AC$2),Data!$K$4:$K$203)/$K464)))</f>
        <v>0</v>
      </c>
      <c r="AD464" s="170">
        <f>IF(OR($I464="",$E464=0),0,IF(OR($J464&lt;AD$3,$I464&gt;AD$2),0,IF($K464=0,IF(AND($I464&gt;=AD$3,$I464&lt;=AD$2),$E464,0),$E464*NETWORKDAYS(MAX($I464,AD$3),MIN($J464,AD$2),Data!$K$4:$K$203)/$K464)))</f>
        <v>0</v>
      </c>
      <c r="AE464" s="170">
        <f>IF(OR($I464="",$E464=0),0,IF(OR($J464&lt;AE$3,$I464&gt;AE$2),0,IF($K464=0,IF(AND($I464&gt;=AE$3,$I464&lt;=AE$2),$E464,0),$E464*NETWORKDAYS(MAX($I464,AE$3),MIN($J464,AE$2),Data!$K$4:$K$203)/$K464)))</f>
        <v>0</v>
      </c>
      <c r="AF464" s="170">
        <f>IF(OR($I464="",$E464=0),0,IF(OR($J464&lt;AF$3,$I464&gt;AF$2),0,IF($K464=0,IF(AND($I464&gt;=AF$3,$I464&lt;=AF$2),$E464,0),$E464*NETWORKDAYS(MAX($I464,AF$3),MIN($J464,AF$2),Data!$K$4:$K$203)/$K464)))</f>
        <v>0</v>
      </c>
      <c r="AG464" s="170">
        <f>IF(OR($I464="",$E464=0),0,IF(OR($J464&lt;AG$3,$I464&gt;AG$2),0,IF($K464=0,IF(AND($I464&gt;=AG$3,$I464&lt;=AG$2),$E464,0),$E464*NETWORKDAYS(MAX($I464,AG$3),MIN($J464,AG$2),Data!$K$4:$K$203)/$K464)))</f>
        <v>0</v>
      </c>
      <c r="AH464" s="170">
        <f>IF(OR($I464="",$E464=0),0,IF(OR($J464&lt;AH$3,$I464&gt;AH$2),0,IF($K464=0,IF(AND($I464&gt;=AH$3,$I464&lt;=AH$2),$E464,0),$E464*NETWORKDAYS(MAX($I464,AH$3),MIN($J464,AH$2),Data!$K$4:$K$203)/$K464)))</f>
        <v>0</v>
      </c>
      <c r="AI464" s="170">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70"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4" t="str">
        <f>IF(EO464=1,IF(FH464&gt;0,FI464/FH464,AVERAGEIF($FF$4:$FF$503,EN464,$C$4:$C$503)),"")</f>
        <v/>
      </c>
      <c r="EV464" s="169">
        <f>IF(ISNUMBER(I464),I464,2958465)</f>
        <v>2958465.0</v>
      </c>
      <c r="EW464" s="169" t="str">
        <f>IF(EO464=1,SUMPRODUCT(MIN(($EN$4:$EN$503=EN464)*$EV$4:$EV$503+($EN$4:$EN$503&lt;&gt;EN464)*2958465)),"")</f>
        <v/>
      </c>
      <c r="EX464" s="169">
        <f>IF(AND(D464=1,ISNUMBER(INDEX(Charge!$F:$F,ROW()))),INDEX(Charge!$F:$F,ROW()),0)</f>
        <v>0.0</v>
      </c>
      <c r="EY464" s="169" t="str">
        <f>IF(EO464=1,SUMPRODUCT(MAX(($EN$4:$EN$503=EN464)*$EX$4:$EX$503)),"")</f>
        <v/>
      </c>
      <c r="FD464">
        <f>IF(AND(B464=1,TRIM(INDEX(Charge!$K:$K,ROW()))&lt;&gt;"",TRIM(INDEX(Charge!$L:$L,ROW()))&lt;&gt;""),1,0)</f>
        <v>0</v>
      </c>
      <c r="FE464">
        <f>IF(OR(EN464="",BZ464="(non affecté)"),0,IF(COUNTIFS($EN$4:EN464,EN464,$BZ$4:BZ464,BZ464)=1,1,0))</f>
        <v>0</v>
      </c>
      <c r="FF464" t="str">
        <f>IF(B464=1,LEFT(SUBSTITUTE(SUBSTITUTE(SUBSTITUTE(TRIM(SUBSTITUTE(INDEX(Charge!$B:$B,ROW()),CHAR(160)," "))&amp;" | "&amp;TRIM(SUBSTITUTE(INDEX(Charge!$C:$C,ROW()),CHAR(160)," "))&amp;" | "&amp;TRIM(SUBSTITUTE(INDEX(Charge!$D:$D,ROW()),CHAR(160)," ")),"~","-"),"*","+"),"?","!"),240),"")</f>
        <v/>
      </c>
      <c r="FG464">
        <f>IF(B464=1,MAX(0,N(INDEX(Charge!$M:$M,ROW()))),0)</f>
        <v>0</v>
      </c>
      <c r="FH464" s="170" t="str">
        <f>IF(EO464=1,ROUND(SUMIF($FF$4:$FF$503,EN464,$FG$4:$FG$503),2),"")</f>
        <v/>
      </c>
      <c r="FI464" s="170" t="str">
        <f>IF(EO464=1,ROUND(SUMPRODUCT(($FF$4:$FF$503=EN464)*$FG$4:$FG$503*$C$4:$C$503),2),"")</f>
        <v/>
      </c>
      <c r="FJ464" s="170" t="str">
        <f>IF(EO464=1,MAX(0,ROUND(FH464-FI464,2)),"")</f>
        <v/>
      </c>
      <c r="FK464" s="174" t="str">
        <f>IF(EO464=1,IF(OR(EW464&gt;=2958465,EY464=0,EY464&lt;=EW464),"",IF(TODAY()&lt;=EW464,0,IF(TODAY()&gt;EY464,1,IFERROR(NETWORKDAYS(EW464,TODAY()-1,Data!$K$4:$K$203)/NETWORKDAYS(EW464,EY464,Data!$K$4:$K$203),"")))),"")</f>
        <v/>
      </c>
      <c r="FL464" t="str">
        <f>IF(EO464=1,IF(AND(EY464&gt;0,EY464&lt;TODAY(),ROUND(EU464,4)&lt;1),2,IF(FK464="",0,IF(ROUND(EU464-FK464,4)&lt;-0.15,1,0))),"")</f>
        <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9" t="str">
        <f>IF(AND(D465=1,ISNUMBER(INDEX(Charge!$N:$N,ROW()))),INDEX(Charge!$N:$N,ROW()),"")</f>
        <v/>
      </c>
      <c r="J465" s="169"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70">
        <f>IF(OR($I465="",$E465=0),0,IF(OR($J465&lt;W$3,$I465&gt;W$2),0,IF($K465=0,IF(AND($I465&gt;=W$3,$I465&lt;=W$2),$E465,0),$E465*NETWORKDAYS(MAX($I465,W$3),MIN($J465,W$2),Data!$K$4:$K$203)/$K465)))</f>
        <v>0</v>
      </c>
      <c r="X465" s="170">
        <f>IF(OR($I465="",$E465=0),0,IF(OR($J465&lt;X$3,$I465&gt;X$2),0,IF($K465=0,IF(AND($I465&gt;=X$3,$I465&lt;=X$2),$E465,0),$E465*NETWORKDAYS(MAX($I465,X$3),MIN($J465,X$2),Data!$K$4:$K$203)/$K465)))</f>
        <v>0</v>
      </c>
      <c r="Y465" s="170">
        <f>IF(OR($I465="",$E465=0),0,IF(OR($J465&lt;Y$3,$I465&gt;Y$2),0,IF($K465=0,IF(AND($I465&gt;=Y$3,$I465&lt;=Y$2),$E465,0),$E465*NETWORKDAYS(MAX($I465,Y$3),MIN($J465,Y$2),Data!$K$4:$K$203)/$K465)))</f>
        <v>0</v>
      </c>
      <c r="Z465" s="170">
        <f>IF(OR($I465="",$E465=0),0,IF(OR($J465&lt;Z$3,$I465&gt;Z$2),0,IF($K465=0,IF(AND($I465&gt;=Z$3,$I465&lt;=Z$2),$E465,0),$E465*NETWORKDAYS(MAX($I465,Z$3),MIN($J465,Z$2),Data!$K$4:$K$203)/$K465)))</f>
        <v>0</v>
      </c>
      <c r="AA465" s="170">
        <f>IF(OR($I465="",$E465=0),0,IF(OR($J465&lt;AA$3,$I465&gt;AA$2),0,IF($K465=0,IF(AND($I465&gt;=AA$3,$I465&lt;=AA$2),$E465,0),$E465*NETWORKDAYS(MAX($I465,AA$3),MIN($J465,AA$2),Data!$K$4:$K$203)/$K465)))</f>
        <v>0</v>
      </c>
      <c r="AB465" s="170">
        <f>IF(OR($I465="",$E465=0),0,IF(OR($J465&lt;AB$3,$I465&gt;AB$2),0,IF($K465=0,IF(AND($I465&gt;=AB$3,$I465&lt;=AB$2),$E465,0),$E465*NETWORKDAYS(MAX($I465,AB$3),MIN($J465,AB$2),Data!$K$4:$K$203)/$K465)))</f>
        <v>0</v>
      </c>
      <c r="AC465" s="170">
        <f>IF(OR($I465="",$E465=0),0,IF(OR($J465&lt;AC$3,$I465&gt;AC$2),0,IF($K465=0,IF(AND($I465&gt;=AC$3,$I465&lt;=AC$2),$E465,0),$E465*NETWORKDAYS(MAX($I465,AC$3),MIN($J465,AC$2),Data!$K$4:$K$203)/$K465)))</f>
        <v>0</v>
      </c>
      <c r="AD465" s="170">
        <f>IF(OR($I465="",$E465=0),0,IF(OR($J465&lt;AD$3,$I465&gt;AD$2),0,IF($K465=0,IF(AND($I465&gt;=AD$3,$I465&lt;=AD$2),$E465,0),$E465*NETWORKDAYS(MAX($I465,AD$3),MIN($J465,AD$2),Data!$K$4:$K$203)/$K465)))</f>
        <v>0</v>
      </c>
      <c r="AE465" s="170">
        <f>IF(OR($I465="",$E465=0),0,IF(OR($J465&lt;AE$3,$I465&gt;AE$2),0,IF($K465=0,IF(AND($I465&gt;=AE$3,$I465&lt;=AE$2),$E465,0),$E465*NETWORKDAYS(MAX($I465,AE$3),MIN($J465,AE$2),Data!$K$4:$K$203)/$K465)))</f>
        <v>0</v>
      </c>
      <c r="AF465" s="170">
        <f>IF(OR($I465="",$E465=0),0,IF(OR($J465&lt;AF$3,$I465&gt;AF$2),0,IF($K465=0,IF(AND($I465&gt;=AF$3,$I465&lt;=AF$2),$E465,0),$E465*NETWORKDAYS(MAX($I465,AF$3),MIN($J465,AF$2),Data!$K$4:$K$203)/$K465)))</f>
        <v>0</v>
      </c>
      <c r="AG465" s="170">
        <f>IF(OR($I465="",$E465=0),0,IF(OR($J465&lt;AG$3,$I465&gt;AG$2),0,IF($K465=0,IF(AND($I465&gt;=AG$3,$I465&lt;=AG$2),$E465,0),$E465*NETWORKDAYS(MAX($I465,AG$3),MIN($J465,AG$2),Data!$K$4:$K$203)/$K465)))</f>
        <v>0</v>
      </c>
      <c r="AH465" s="170">
        <f>IF(OR($I465="",$E465=0),0,IF(OR($J465&lt;AH$3,$I465&gt;AH$2),0,IF($K465=0,IF(AND($I465&gt;=AH$3,$I465&lt;=AH$2),$E465,0),$E465*NETWORKDAYS(MAX($I465,AH$3),MIN($J465,AH$2),Data!$K$4:$K$203)/$K465)))</f>
        <v>0</v>
      </c>
      <c r="AI465" s="170">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70"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4" t="str">
        <f>IF(EO465=1,IF(FH465&gt;0,FI465/FH465,AVERAGEIF($FF$4:$FF$503,EN465,$C$4:$C$503)),"")</f>
        <v/>
      </c>
      <c r="EV465" s="169">
        <f>IF(ISNUMBER(I465),I465,2958465)</f>
        <v>2958465.0</v>
      </c>
      <c r="EW465" s="169" t="str">
        <f>IF(EO465=1,SUMPRODUCT(MIN(($EN$4:$EN$503=EN465)*$EV$4:$EV$503+($EN$4:$EN$503&lt;&gt;EN465)*2958465)),"")</f>
        <v/>
      </c>
      <c r="EX465" s="169">
        <f>IF(AND(D465=1,ISNUMBER(INDEX(Charge!$F:$F,ROW()))),INDEX(Charge!$F:$F,ROW()),0)</f>
        <v>0.0</v>
      </c>
      <c r="EY465" s="169" t="str">
        <f>IF(EO465=1,SUMPRODUCT(MAX(($EN$4:$EN$503=EN465)*$EX$4:$EX$503)),"")</f>
        <v/>
      </c>
      <c r="FD465">
        <f>IF(AND(B465=1,TRIM(INDEX(Charge!$K:$K,ROW()))&lt;&gt;"",TRIM(INDEX(Charge!$L:$L,ROW()))&lt;&gt;""),1,0)</f>
        <v>0</v>
      </c>
      <c r="FE465">
        <f>IF(OR(EN465="",BZ465="(non affecté)"),0,IF(COUNTIFS($EN$4:EN465,EN465,$BZ$4:BZ465,BZ465)=1,1,0))</f>
        <v>0</v>
      </c>
      <c r="FF465" t="str">
        <f>IF(B465=1,LEFT(SUBSTITUTE(SUBSTITUTE(SUBSTITUTE(TRIM(SUBSTITUTE(INDEX(Charge!$B:$B,ROW()),CHAR(160)," "))&amp;" | "&amp;TRIM(SUBSTITUTE(INDEX(Charge!$C:$C,ROW()),CHAR(160)," "))&amp;" | "&amp;TRIM(SUBSTITUTE(INDEX(Charge!$D:$D,ROW()),CHAR(160)," ")),"~","-"),"*","+"),"?","!"),240),"")</f>
        <v/>
      </c>
      <c r="FG465">
        <f>IF(B465=1,MAX(0,N(INDEX(Charge!$M:$M,ROW()))),0)</f>
        <v>0</v>
      </c>
      <c r="FH465" s="170" t="str">
        <f>IF(EO465=1,ROUND(SUMIF($FF$4:$FF$503,EN465,$FG$4:$FG$503),2),"")</f>
        <v/>
      </c>
      <c r="FI465" s="170" t="str">
        <f>IF(EO465=1,ROUND(SUMPRODUCT(($FF$4:$FF$503=EN465)*$FG$4:$FG$503*$C$4:$C$503),2),"")</f>
        <v/>
      </c>
      <c r="FJ465" s="170" t="str">
        <f>IF(EO465=1,MAX(0,ROUND(FH465-FI465,2)),"")</f>
        <v/>
      </c>
      <c r="FK465" s="174" t="str">
        <f>IF(EO465=1,IF(OR(EW465&gt;=2958465,EY465=0,EY465&lt;=EW465),"",IF(TODAY()&lt;=EW465,0,IF(TODAY()&gt;EY465,1,IFERROR(NETWORKDAYS(EW465,TODAY()-1,Data!$K$4:$K$203)/NETWORKDAYS(EW465,EY465,Data!$K$4:$K$203),"")))),"")</f>
        <v/>
      </c>
      <c r="FL465" t="str">
        <f>IF(EO465=1,IF(AND(EY465&gt;0,EY465&lt;TODAY(),ROUND(EU465,4)&lt;1),2,IF(FK465="",0,IF(ROUND(EU465-FK465,4)&lt;-0.15,1,0))),"")</f>
        <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9" t="str">
        <f>IF(AND(D466=1,ISNUMBER(INDEX(Charge!$N:$N,ROW()))),INDEX(Charge!$N:$N,ROW()),"")</f>
        <v/>
      </c>
      <c r="J466" s="169"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70">
        <f>IF(OR($I466="",$E466=0),0,IF(OR($J466&lt;W$3,$I466&gt;W$2),0,IF($K466=0,IF(AND($I466&gt;=W$3,$I466&lt;=W$2),$E466,0),$E466*NETWORKDAYS(MAX($I466,W$3),MIN($J466,W$2),Data!$K$4:$K$203)/$K466)))</f>
        <v>0</v>
      </c>
      <c r="X466" s="170">
        <f>IF(OR($I466="",$E466=0),0,IF(OR($J466&lt;X$3,$I466&gt;X$2),0,IF($K466=0,IF(AND($I466&gt;=X$3,$I466&lt;=X$2),$E466,0),$E466*NETWORKDAYS(MAX($I466,X$3),MIN($J466,X$2),Data!$K$4:$K$203)/$K466)))</f>
        <v>0</v>
      </c>
      <c r="Y466" s="170">
        <f>IF(OR($I466="",$E466=0),0,IF(OR($J466&lt;Y$3,$I466&gt;Y$2),0,IF($K466=0,IF(AND($I466&gt;=Y$3,$I466&lt;=Y$2),$E466,0),$E466*NETWORKDAYS(MAX($I466,Y$3),MIN($J466,Y$2),Data!$K$4:$K$203)/$K466)))</f>
        <v>0</v>
      </c>
      <c r="Z466" s="170">
        <f>IF(OR($I466="",$E466=0),0,IF(OR($J466&lt;Z$3,$I466&gt;Z$2),0,IF($K466=0,IF(AND($I466&gt;=Z$3,$I466&lt;=Z$2),$E466,0),$E466*NETWORKDAYS(MAX($I466,Z$3),MIN($J466,Z$2),Data!$K$4:$K$203)/$K466)))</f>
        <v>0</v>
      </c>
      <c r="AA466" s="170">
        <f>IF(OR($I466="",$E466=0),0,IF(OR($J466&lt;AA$3,$I466&gt;AA$2),0,IF($K466=0,IF(AND($I466&gt;=AA$3,$I466&lt;=AA$2),$E466,0),$E466*NETWORKDAYS(MAX($I466,AA$3),MIN($J466,AA$2),Data!$K$4:$K$203)/$K466)))</f>
        <v>0</v>
      </c>
      <c r="AB466" s="170">
        <f>IF(OR($I466="",$E466=0),0,IF(OR($J466&lt;AB$3,$I466&gt;AB$2),0,IF($K466=0,IF(AND($I466&gt;=AB$3,$I466&lt;=AB$2),$E466,0),$E466*NETWORKDAYS(MAX($I466,AB$3),MIN($J466,AB$2),Data!$K$4:$K$203)/$K466)))</f>
        <v>0</v>
      </c>
      <c r="AC466" s="170">
        <f>IF(OR($I466="",$E466=0),0,IF(OR($J466&lt;AC$3,$I466&gt;AC$2),0,IF($K466=0,IF(AND($I466&gt;=AC$3,$I466&lt;=AC$2),$E466,0),$E466*NETWORKDAYS(MAX($I466,AC$3),MIN($J466,AC$2),Data!$K$4:$K$203)/$K466)))</f>
        <v>0</v>
      </c>
      <c r="AD466" s="170">
        <f>IF(OR($I466="",$E466=0),0,IF(OR($J466&lt;AD$3,$I466&gt;AD$2),0,IF($K466=0,IF(AND($I466&gt;=AD$3,$I466&lt;=AD$2),$E466,0),$E466*NETWORKDAYS(MAX($I466,AD$3),MIN($J466,AD$2),Data!$K$4:$K$203)/$K466)))</f>
        <v>0</v>
      </c>
      <c r="AE466" s="170">
        <f>IF(OR($I466="",$E466=0),0,IF(OR($J466&lt;AE$3,$I466&gt;AE$2),0,IF($K466=0,IF(AND($I466&gt;=AE$3,$I466&lt;=AE$2),$E466,0),$E466*NETWORKDAYS(MAX($I466,AE$3),MIN($J466,AE$2),Data!$K$4:$K$203)/$K466)))</f>
        <v>0</v>
      </c>
      <c r="AF466" s="170">
        <f>IF(OR($I466="",$E466=0),0,IF(OR($J466&lt;AF$3,$I466&gt;AF$2),0,IF($K466=0,IF(AND($I466&gt;=AF$3,$I466&lt;=AF$2),$E466,0),$E466*NETWORKDAYS(MAX($I466,AF$3),MIN($J466,AF$2),Data!$K$4:$K$203)/$K466)))</f>
        <v>0</v>
      </c>
      <c r="AG466" s="170">
        <f>IF(OR($I466="",$E466=0),0,IF(OR($J466&lt;AG$3,$I466&gt;AG$2),0,IF($K466=0,IF(AND($I466&gt;=AG$3,$I466&lt;=AG$2),$E466,0),$E466*NETWORKDAYS(MAX($I466,AG$3),MIN($J466,AG$2),Data!$K$4:$K$203)/$K466)))</f>
        <v>0</v>
      </c>
      <c r="AH466" s="170">
        <f>IF(OR($I466="",$E466=0),0,IF(OR($J466&lt;AH$3,$I466&gt;AH$2),0,IF($K466=0,IF(AND($I466&gt;=AH$3,$I466&lt;=AH$2),$E466,0),$E466*NETWORKDAYS(MAX($I466,AH$3),MIN($J466,AH$2),Data!$K$4:$K$203)/$K466)))</f>
        <v>0</v>
      </c>
      <c r="AI466" s="170">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70"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4" t="str">
        <f>IF(EO466=1,IF(FH466&gt;0,FI466/FH466,AVERAGEIF($FF$4:$FF$503,EN466,$C$4:$C$503)),"")</f>
        <v/>
      </c>
      <c r="EV466" s="169">
        <f>IF(ISNUMBER(I466),I466,2958465)</f>
        <v>2958465.0</v>
      </c>
      <c r="EW466" s="169" t="str">
        <f>IF(EO466=1,SUMPRODUCT(MIN(($EN$4:$EN$503=EN466)*$EV$4:$EV$503+($EN$4:$EN$503&lt;&gt;EN466)*2958465)),"")</f>
        <v/>
      </c>
      <c r="EX466" s="169">
        <f>IF(AND(D466=1,ISNUMBER(INDEX(Charge!$F:$F,ROW()))),INDEX(Charge!$F:$F,ROW()),0)</f>
        <v>0.0</v>
      </c>
      <c r="EY466" s="169" t="str">
        <f>IF(EO466=1,SUMPRODUCT(MAX(($EN$4:$EN$503=EN466)*$EX$4:$EX$503)),"")</f>
        <v/>
      </c>
      <c r="FD466">
        <f>IF(AND(B466=1,TRIM(INDEX(Charge!$K:$K,ROW()))&lt;&gt;"",TRIM(INDEX(Charge!$L:$L,ROW()))&lt;&gt;""),1,0)</f>
        <v>0</v>
      </c>
      <c r="FE466">
        <f>IF(OR(EN466="",BZ466="(non affecté)"),0,IF(COUNTIFS($EN$4:EN466,EN466,$BZ$4:BZ466,BZ466)=1,1,0))</f>
        <v>0</v>
      </c>
      <c r="FF466" t="str">
        <f>IF(B466=1,LEFT(SUBSTITUTE(SUBSTITUTE(SUBSTITUTE(TRIM(SUBSTITUTE(INDEX(Charge!$B:$B,ROW()),CHAR(160)," "))&amp;" | "&amp;TRIM(SUBSTITUTE(INDEX(Charge!$C:$C,ROW()),CHAR(160)," "))&amp;" | "&amp;TRIM(SUBSTITUTE(INDEX(Charge!$D:$D,ROW()),CHAR(160)," ")),"~","-"),"*","+"),"?","!"),240),"")</f>
        <v/>
      </c>
      <c r="FG466">
        <f>IF(B466=1,MAX(0,N(INDEX(Charge!$M:$M,ROW()))),0)</f>
        <v>0</v>
      </c>
      <c r="FH466" s="170" t="str">
        <f>IF(EO466=1,ROUND(SUMIF($FF$4:$FF$503,EN466,$FG$4:$FG$503),2),"")</f>
        <v/>
      </c>
      <c r="FI466" s="170" t="str">
        <f>IF(EO466=1,ROUND(SUMPRODUCT(($FF$4:$FF$503=EN466)*$FG$4:$FG$503*$C$4:$C$503),2),"")</f>
        <v/>
      </c>
      <c r="FJ466" s="170" t="str">
        <f>IF(EO466=1,MAX(0,ROUND(FH466-FI466,2)),"")</f>
        <v/>
      </c>
      <c r="FK466" s="174" t="str">
        <f>IF(EO466=1,IF(OR(EW466&gt;=2958465,EY466=0,EY466&lt;=EW466),"",IF(TODAY()&lt;=EW466,0,IF(TODAY()&gt;EY466,1,IFERROR(NETWORKDAYS(EW466,TODAY()-1,Data!$K$4:$K$203)/NETWORKDAYS(EW466,EY466,Data!$K$4:$K$203),"")))),"")</f>
        <v/>
      </c>
      <c r="FL466" t="str">
        <f>IF(EO466=1,IF(AND(EY466&gt;0,EY466&lt;TODAY(),ROUND(EU466,4)&lt;1),2,IF(FK466="",0,IF(ROUND(EU466-FK466,4)&lt;-0.15,1,0))),"")</f>
        <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9" t="str">
        <f>IF(AND(D467=1,ISNUMBER(INDEX(Charge!$N:$N,ROW()))),INDEX(Charge!$N:$N,ROW()),"")</f>
        <v/>
      </c>
      <c r="J467" s="169"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70">
        <f>IF(OR($I467="",$E467=0),0,IF(OR($J467&lt;W$3,$I467&gt;W$2),0,IF($K467=0,IF(AND($I467&gt;=W$3,$I467&lt;=W$2),$E467,0),$E467*NETWORKDAYS(MAX($I467,W$3),MIN($J467,W$2),Data!$K$4:$K$203)/$K467)))</f>
        <v>0</v>
      </c>
      <c r="X467" s="170">
        <f>IF(OR($I467="",$E467=0),0,IF(OR($J467&lt;X$3,$I467&gt;X$2),0,IF($K467=0,IF(AND($I467&gt;=X$3,$I467&lt;=X$2),$E467,0),$E467*NETWORKDAYS(MAX($I467,X$3),MIN($J467,X$2),Data!$K$4:$K$203)/$K467)))</f>
        <v>0</v>
      </c>
      <c r="Y467" s="170">
        <f>IF(OR($I467="",$E467=0),0,IF(OR($J467&lt;Y$3,$I467&gt;Y$2),0,IF($K467=0,IF(AND($I467&gt;=Y$3,$I467&lt;=Y$2),$E467,0),$E467*NETWORKDAYS(MAX($I467,Y$3),MIN($J467,Y$2),Data!$K$4:$K$203)/$K467)))</f>
        <v>0</v>
      </c>
      <c r="Z467" s="170">
        <f>IF(OR($I467="",$E467=0),0,IF(OR($J467&lt;Z$3,$I467&gt;Z$2),0,IF($K467=0,IF(AND($I467&gt;=Z$3,$I467&lt;=Z$2),$E467,0),$E467*NETWORKDAYS(MAX($I467,Z$3),MIN($J467,Z$2),Data!$K$4:$K$203)/$K467)))</f>
        <v>0</v>
      </c>
      <c r="AA467" s="170">
        <f>IF(OR($I467="",$E467=0),0,IF(OR($J467&lt;AA$3,$I467&gt;AA$2),0,IF($K467=0,IF(AND($I467&gt;=AA$3,$I467&lt;=AA$2),$E467,0),$E467*NETWORKDAYS(MAX($I467,AA$3),MIN($J467,AA$2),Data!$K$4:$K$203)/$K467)))</f>
        <v>0</v>
      </c>
      <c r="AB467" s="170">
        <f>IF(OR($I467="",$E467=0),0,IF(OR($J467&lt;AB$3,$I467&gt;AB$2),0,IF($K467=0,IF(AND($I467&gt;=AB$3,$I467&lt;=AB$2),$E467,0),$E467*NETWORKDAYS(MAX($I467,AB$3),MIN($J467,AB$2),Data!$K$4:$K$203)/$K467)))</f>
        <v>0</v>
      </c>
      <c r="AC467" s="170">
        <f>IF(OR($I467="",$E467=0),0,IF(OR($J467&lt;AC$3,$I467&gt;AC$2),0,IF($K467=0,IF(AND($I467&gt;=AC$3,$I467&lt;=AC$2),$E467,0),$E467*NETWORKDAYS(MAX($I467,AC$3),MIN($J467,AC$2),Data!$K$4:$K$203)/$K467)))</f>
        <v>0</v>
      </c>
      <c r="AD467" s="170">
        <f>IF(OR($I467="",$E467=0),0,IF(OR($J467&lt;AD$3,$I467&gt;AD$2),0,IF($K467=0,IF(AND($I467&gt;=AD$3,$I467&lt;=AD$2),$E467,0),$E467*NETWORKDAYS(MAX($I467,AD$3),MIN($J467,AD$2),Data!$K$4:$K$203)/$K467)))</f>
        <v>0</v>
      </c>
      <c r="AE467" s="170">
        <f>IF(OR($I467="",$E467=0),0,IF(OR($J467&lt;AE$3,$I467&gt;AE$2),0,IF($K467=0,IF(AND($I467&gt;=AE$3,$I467&lt;=AE$2),$E467,0),$E467*NETWORKDAYS(MAX($I467,AE$3),MIN($J467,AE$2),Data!$K$4:$K$203)/$K467)))</f>
        <v>0</v>
      </c>
      <c r="AF467" s="170">
        <f>IF(OR($I467="",$E467=0),0,IF(OR($J467&lt;AF$3,$I467&gt;AF$2),0,IF($K467=0,IF(AND($I467&gt;=AF$3,$I467&lt;=AF$2),$E467,0),$E467*NETWORKDAYS(MAX($I467,AF$3),MIN($J467,AF$2),Data!$K$4:$K$203)/$K467)))</f>
        <v>0</v>
      </c>
      <c r="AG467" s="170">
        <f>IF(OR($I467="",$E467=0),0,IF(OR($J467&lt;AG$3,$I467&gt;AG$2),0,IF($K467=0,IF(AND($I467&gt;=AG$3,$I467&lt;=AG$2),$E467,0),$E467*NETWORKDAYS(MAX($I467,AG$3),MIN($J467,AG$2),Data!$K$4:$K$203)/$K467)))</f>
        <v>0</v>
      </c>
      <c r="AH467" s="170">
        <f>IF(OR($I467="",$E467=0),0,IF(OR($J467&lt;AH$3,$I467&gt;AH$2),0,IF($K467=0,IF(AND($I467&gt;=AH$3,$I467&lt;=AH$2),$E467,0),$E467*NETWORKDAYS(MAX($I467,AH$3),MIN($J467,AH$2),Data!$K$4:$K$203)/$K467)))</f>
        <v>0</v>
      </c>
      <c r="AI467" s="170">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70"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4" t="str">
        <f>IF(EO467=1,IF(FH467&gt;0,FI467/FH467,AVERAGEIF($FF$4:$FF$503,EN467,$C$4:$C$503)),"")</f>
        <v/>
      </c>
      <c r="EV467" s="169">
        <f>IF(ISNUMBER(I467),I467,2958465)</f>
        <v>2958465.0</v>
      </c>
      <c r="EW467" s="169" t="str">
        <f>IF(EO467=1,SUMPRODUCT(MIN(($EN$4:$EN$503=EN467)*$EV$4:$EV$503+($EN$4:$EN$503&lt;&gt;EN467)*2958465)),"")</f>
        <v/>
      </c>
      <c r="EX467" s="169">
        <f>IF(AND(D467=1,ISNUMBER(INDEX(Charge!$F:$F,ROW()))),INDEX(Charge!$F:$F,ROW()),0)</f>
        <v>0.0</v>
      </c>
      <c r="EY467" s="169" t="str">
        <f>IF(EO467=1,SUMPRODUCT(MAX(($EN$4:$EN$503=EN467)*$EX$4:$EX$503)),"")</f>
        <v/>
      </c>
      <c r="FD467">
        <f>IF(AND(B467=1,TRIM(INDEX(Charge!$K:$K,ROW()))&lt;&gt;"",TRIM(INDEX(Charge!$L:$L,ROW()))&lt;&gt;""),1,0)</f>
        <v>0</v>
      </c>
      <c r="FE467">
        <f>IF(OR(EN467="",BZ467="(non affecté)"),0,IF(COUNTIFS($EN$4:EN467,EN467,$BZ$4:BZ467,BZ467)=1,1,0))</f>
        <v>0</v>
      </c>
      <c r="FF467" t="str">
        <f>IF(B467=1,LEFT(SUBSTITUTE(SUBSTITUTE(SUBSTITUTE(TRIM(SUBSTITUTE(INDEX(Charge!$B:$B,ROW()),CHAR(160)," "))&amp;" | "&amp;TRIM(SUBSTITUTE(INDEX(Charge!$C:$C,ROW()),CHAR(160)," "))&amp;" | "&amp;TRIM(SUBSTITUTE(INDEX(Charge!$D:$D,ROW()),CHAR(160)," ")),"~","-"),"*","+"),"?","!"),240),"")</f>
        <v/>
      </c>
      <c r="FG467">
        <f>IF(B467=1,MAX(0,N(INDEX(Charge!$M:$M,ROW()))),0)</f>
        <v>0</v>
      </c>
      <c r="FH467" s="170" t="str">
        <f>IF(EO467=1,ROUND(SUMIF($FF$4:$FF$503,EN467,$FG$4:$FG$503),2),"")</f>
        <v/>
      </c>
      <c r="FI467" s="170" t="str">
        <f>IF(EO467=1,ROUND(SUMPRODUCT(($FF$4:$FF$503=EN467)*$FG$4:$FG$503*$C$4:$C$503),2),"")</f>
        <v/>
      </c>
      <c r="FJ467" s="170" t="str">
        <f>IF(EO467=1,MAX(0,ROUND(FH467-FI467,2)),"")</f>
        <v/>
      </c>
      <c r="FK467" s="174" t="str">
        <f>IF(EO467=1,IF(OR(EW467&gt;=2958465,EY467=0,EY467&lt;=EW467),"",IF(TODAY()&lt;=EW467,0,IF(TODAY()&gt;EY467,1,IFERROR(NETWORKDAYS(EW467,TODAY()-1,Data!$K$4:$K$203)/NETWORKDAYS(EW467,EY467,Data!$K$4:$K$203),"")))),"")</f>
        <v/>
      </c>
      <c r="FL467" t="str">
        <f>IF(EO467=1,IF(AND(EY467&gt;0,EY467&lt;TODAY(),ROUND(EU467,4)&lt;1),2,IF(FK467="",0,IF(ROUND(EU467-FK467,4)&lt;-0.15,1,0))),"")</f>
        <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9" t="str">
        <f>IF(AND(D468=1,ISNUMBER(INDEX(Charge!$N:$N,ROW()))),INDEX(Charge!$N:$N,ROW()),"")</f>
        <v/>
      </c>
      <c r="J468" s="169"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70">
        <f>IF(OR($I468="",$E468=0),0,IF(OR($J468&lt;W$3,$I468&gt;W$2),0,IF($K468=0,IF(AND($I468&gt;=W$3,$I468&lt;=W$2),$E468,0),$E468*NETWORKDAYS(MAX($I468,W$3),MIN($J468,W$2),Data!$K$4:$K$203)/$K468)))</f>
        <v>0</v>
      </c>
      <c r="X468" s="170">
        <f>IF(OR($I468="",$E468=0),0,IF(OR($J468&lt;X$3,$I468&gt;X$2),0,IF($K468=0,IF(AND($I468&gt;=X$3,$I468&lt;=X$2),$E468,0),$E468*NETWORKDAYS(MAX($I468,X$3),MIN($J468,X$2),Data!$K$4:$K$203)/$K468)))</f>
        <v>0</v>
      </c>
      <c r="Y468" s="170">
        <f>IF(OR($I468="",$E468=0),0,IF(OR($J468&lt;Y$3,$I468&gt;Y$2),0,IF($K468=0,IF(AND($I468&gt;=Y$3,$I468&lt;=Y$2),$E468,0),$E468*NETWORKDAYS(MAX($I468,Y$3),MIN($J468,Y$2),Data!$K$4:$K$203)/$K468)))</f>
        <v>0</v>
      </c>
      <c r="Z468" s="170">
        <f>IF(OR($I468="",$E468=0),0,IF(OR($J468&lt;Z$3,$I468&gt;Z$2),0,IF($K468=0,IF(AND($I468&gt;=Z$3,$I468&lt;=Z$2),$E468,0),$E468*NETWORKDAYS(MAX($I468,Z$3),MIN($J468,Z$2),Data!$K$4:$K$203)/$K468)))</f>
        <v>0</v>
      </c>
      <c r="AA468" s="170">
        <f>IF(OR($I468="",$E468=0),0,IF(OR($J468&lt;AA$3,$I468&gt;AA$2),0,IF($K468=0,IF(AND($I468&gt;=AA$3,$I468&lt;=AA$2),$E468,0),$E468*NETWORKDAYS(MAX($I468,AA$3),MIN($J468,AA$2),Data!$K$4:$K$203)/$K468)))</f>
        <v>0</v>
      </c>
      <c r="AB468" s="170">
        <f>IF(OR($I468="",$E468=0),0,IF(OR($J468&lt;AB$3,$I468&gt;AB$2),0,IF($K468=0,IF(AND($I468&gt;=AB$3,$I468&lt;=AB$2),$E468,0),$E468*NETWORKDAYS(MAX($I468,AB$3),MIN($J468,AB$2),Data!$K$4:$K$203)/$K468)))</f>
        <v>0</v>
      </c>
      <c r="AC468" s="170">
        <f>IF(OR($I468="",$E468=0),0,IF(OR($J468&lt;AC$3,$I468&gt;AC$2),0,IF($K468=0,IF(AND($I468&gt;=AC$3,$I468&lt;=AC$2),$E468,0),$E468*NETWORKDAYS(MAX($I468,AC$3),MIN($J468,AC$2),Data!$K$4:$K$203)/$K468)))</f>
        <v>0</v>
      </c>
      <c r="AD468" s="170">
        <f>IF(OR($I468="",$E468=0),0,IF(OR($J468&lt;AD$3,$I468&gt;AD$2),0,IF($K468=0,IF(AND($I468&gt;=AD$3,$I468&lt;=AD$2),$E468,0),$E468*NETWORKDAYS(MAX($I468,AD$3),MIN($J468,AD$2),Data!$K$4:$K$203)/$K468)))</f>
        <v>0</v>
      </c>
      <c r="AE468" s="170">
        <f>IF(OR($I468="",$E468=0),0,IF(OR($J468&lt;AE$3,$I468&gt;AE$2),0,IF($K468=0,IF(AND($I468&gt;=AE$3,$I468&lt;=AE$2),$E468,0),$E468*NETWORKDAYS(MAX($I468,AE$3),MIN($J468,AE$2),Data!$K$4:$K$203)/$K468)))</f>
        <v>0</v>
      </c>
      <c r="AF468" s="170">
        <f>IF(OR($I468="",$E468=0),0,IF(OR($J468&lt;AF$3,$I468&gt;AF$2),0,IF($K468=0,IF(AND($I468&gt;=AF$3,$I468&lt;=AF$2),$E468,0),$E468*NETWORKDAYS(MAX($I468,AF$3),MIN($J468,AF$2),Data!$K$4:$K$203)/$K468)))</f>
        <v>0</v>
      </c>
      <c r="AG468" s="170">
        <f>IF(OR($I468="",$E468=0),0,IF(OR($J468&lt;AG$3,$I468&gt;AG$2),0,IF($K468=0,IF(AND($I468&gt;=AG$3,$I468&lt;=AG$2),$E468,0),$E468*NETWORKDAYS(MAX($I468,AG$3),MIN($J468,AG$2),Data!$K$4:$K$203)/$K468)))</f>
        <v>0</v>
      </c>
      <c r="AH468" s="170">
        <f>IF(OR($I468="",$E468=0),0,IF(OR($J468&lt;AH$3,$I468&gt;AH$2),0,IF($K468=0,IF(AND($I468&gt;=AH$3,$I468&lt;=AH$2),$E468,0),$E468*NETWORKDAYS(MAX($I468,AH$3),MIN($J468,AH$2),Data!$K$4:$K$203)/$K468)))</f>
        <v>0</v>
      </c>
      <c r="AI468" s="170">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70"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4" t="str">
        <f>IF(EO468=1,IF(FH468&gt;0,FI468/FH468,AVERAGEIF($FF$4:$FF$503,EN468,$C$4:$C$503)),"")</f>
        <v/>
      </c>
      <c r="EV468" s="169">
        <f>IF(ISNUMBER(I468),I468,2958465)</f>
        <v>2958465.0</v>
      </c>
      <c r="EW468" s="169" t="str">
        <f>IF(EO468=1,SUMPRODUCT(MIN(($EN$4:$EN$503=EN468)*$EV$4:$EV$503+($EN$4:$EN$503&lt;&gt;EN468)*2958465)),"")</f>
        <v/>
      </c>
      <c r="EX468" s="169">
        <f>IF(AND(D468=1,ISNUMBER(INDEX(Charge!$F:$F,ROW()))),INDEX(Charge!$F:$F,ROW()),0)</f>
        <v>0.0</v>
      </c>
      <c r="EY468" s="169" t="str">
        <f>IF(EO468=1,SUMPRODUCT(MAX(($EN$4:$EN$503=EN468)*$EX$4:$EX$503)),"")</f>
        <v/>
      </c>
      <c r="FD468">
        <f>IF(AND(B468=1,TRIM(INDEX(Charge!$K:$K,ROW()))&lt;&gt;"",TRIM(INDEX(Charge!$L:$L,ROW()))&lt;&gt;""),1,0)</f>
        <v>0</v>
      </c>
      <c r="FE468">
        <f>IF(OR(EN468="",BZ468="(non affecté)"),0,IF(COUNTIFS($EN$4:EN468,EN468,$BZ$4:BZ468,BZ468)=1,1,0))</f>
        <v>0</v>
      </c>
      <c r="FF468" t="str">
        <f>IF(B468=1,LEFT(SUBSTITUTE(SUBSTITUTE(SUBSTITUTE(TRIM(SUBSTITUTE(INDEX(Charge!$B:$B,ROW()),CHAR(160)," "))&amp;" | "&amp;TRIM(SUBSTITUTE(INDEX(Charge!$C:$C,ROW()),CHAR(160)," "))&amp;" | "&amp;TRIM(SUBSTITUTE(INDEX(Charge!$D:$D,ROW()),CHAR(160)," ")),"~","-"),"*","+"),"?","!"),240),"")</f>
        <v/>
      </c>
      <c r="FG468">
        <f>IF(B468=1,MAX(0,N(INDEX(Charge!$M:$M,ROW()))),0)</f>
        <v>0</v>
      </c>
      <c r="FH468" s="170" t="str">
        <f>IF(EO468=1,ROUND(SUMIF($FF$4:$FF$503,EN468,$FG$4:$FG$503),2),"")</f>
        <v/>
      </c>
      <c r="FI468" s="170" t="str">
        <f>IF(EO468=1,ROUND(SUMPRODUCT(($FF$4:$FF$503=EN468)*$FG$4:$FG$503*$C$4:$C$503),2),"")</f>
        <v/>
      </c>
      <c r="FJ468" s="170" t="str">
        <f>IF(EO468=1,MAX(0,ROUND(FH468-FI468,2)),"")</f>
        <v/>
      </c>
      <c r="FK468" s="174" t="str">
        <f>IF(EO468=1,IF(OR(EW468&gt;=2958465,EY468=0,EY468&lt;=EW468),"",IF(TODAY()&lt;=EW468,0,IF(TODAY()&gt;EY468,1,IFERROR(NETWORKDAYS(EW468,TODAY()-1,Data!$K$4:$K$203)/NETWORKDAYS(EW468,EY468,Data!$K$4:$K$203),"")))),"")</f>
        <v/>
      </c>
      <c r="FL468" t="str">
        <f>IF(EO468=1,IF(AND(EY468&gt;0,EY468&lt;TODAY(),ROUND(EU468,4)&lt;1),2,IF(FK468="",0,IF(ROUND(EU468-FK468,4)&lt;-0.15,1,0))),"")</f>
        <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9" t="str">
        <f>IF(AND(D469=1,ISNUMBER(INDEX(Charge!$N:$N,ROW()))),INDEX(Charge!$N:$N,ROW()),"")</f>
        <v/>
      </c>
      <c r="J469" s="169"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70">
        <f>IF(OR($I469="",$E469=0),0,IF(OR($J469&lt;W$3,$I469&gt;W$2),0,IF($K469=0,IF(AND($I469&gt;=W$3,$I469&lt;=W$2),$E469,0),$E469*NETWORKDAYS(MAX($I469,W$3),MIN($J469,W$2),Data!$K$4:$K$203)/$K469)))</f>
        <v>0</v>
      </c>
      <c r="X469" s="170">
        <f>IF(OR($I469="",$E469=0),0,IF(OR($J469&lt;X$3,$I469&gt;X$2),0,IF($K469=0,IF(AND($I469&gt;=X$3,$I469&lt;=X$2),$E469,0),$E469*NETWORKDAYS(MAX($I469,X$3),MIN($J469,X$2),Data!$K$4:$K$203)/$K469)))</f>
        <v>0</v>
      </c>
      <c r="Y469" s="170">
        <f>IF(OR($I469="",$E469=0),0,IF(OR($J469&lt;Y$3,$I469&gt;Y$2),0,IF($K469=0,IF(AND($I469&gt;=Y$3,$I469&lt;=Y$2),$E469,0),$E469*NETWORKDAYS(MAX($I469,Y$3),MIN($J469,Y$2),Data!$K$4:$K$203)/$K469)))</f>
        <v>0</v>
      </c>
      <c r="Z469" s="170">
        <f>IF(OR($I469="",$E469=0),0,IF(OR($J469&lt;Z$3,$I469&gt;Z$2),0,IF($K469=0,IF(AND($I469&gt;=Z$3,$I469&lt;=Z$2),$E469,0),$E469*NETWORKDAYS(MAX($I469,Z$3),MIN($J469,Z$2),Data!$K$4:$K$203)/$K469)))</f>
        <v>0</v>
      </c>
      <c r="AA469" s="170">
        <f>IF(OR($I469="",$E469=0),0,IF(OR($J469&lt;AA$3,$I469&gt;AA$2),0,IF($K469=0,IF(AND($I469&gt;=AA$3,$I469&lt;=AA$2),$E469,0),$E469*NETWORKDAYS(MAX($I469,AA$3),MIN($J469,AA$2),Data!$K$4:$K$203)/$K469)))</f>
        <v>0</v>
      </c>
      <c r="AB469" s="170">
        <f>IF(OR($I469="",$E469=0),0,IF(OR($J469&lt;AB$3,$I469&gt;AB$2),0,IF($K469=0,IF(AND($I469&gt;=AB$3,$I469&lt;=AB$2),$E469,0),$E469*NETWORKDAYS(MAX($I469,AB$3),MIN($J469,AB$2),Data!$K$4:$K$203)/$K469)))</f>
        <v>0</v>
      </c>
      <c r="AC469" s="170">
        <f>IF(OR($I469="",$E469=0),0,IF(OR($J469&lt;AC$3,$I469&gt;AC$2),0,IF($K469=0,IF(AND($I469&gt;=AC$3,$I469&lt;=AC$2),$E469,0),$E469*NETWORKDAYS(MAX($I469,AC$3),MIN($J469,AC$2),Data!$K$4:$K$203)/$K469)))</f>
        <v>0</v>
      </c>
      <c r="AD469" s="170">
        <f>IF(OR($I469="",$E469=0),0,IF(OR($J469&lt;AD$3,$I469&gt;AD$2),0,IF($K469=0,IF(AND($I469&gt;=AD$3,$I469&lt;=AD$2),$E469,0),$E469*NETWORKDAYS(MAX($I469,AD$3),MIN($J469,AD$2),Data!$K$4:$K$203)/$K469)))</f>
        <v>0</v>
      </c>
      <c r="AE469" s="170">
        <f>IF(OR($I469="",$E469=0),0,IF(OR($J469&lt;AE$3,$I469&gt;AE$2),0,IF($K469=0,IF(AND($I469&gt;=AE$3,$I469&lt;=AE$2),$E469,0),$E469*NETWORKDAYS(MAX($I469,AE$3),MIN($J469,AE$2),Data!$K$4:$K$203)/$K469)))</f>
        <v>0</v>
      </c>
      <c r="AF469" s="170">
        <f>IF(OR($I469="",$E469=0),0,IF(OR($J469&lt;AF$3,$I469&gt;AF$2),0,IF($K469=0,IF(AND($I469&gt;=AF$3,$I469&lt;=AF$2),$E469,0),$E469*NETWORKDAYS(MAX($I469,AF$3),MIN($J469,AF$2),Data!$K$4:$K$203)/$K469)))</f>
        <v>0</v>
      </c>
      <c r="AG469" s="170">
        <f>IF(OR($I469="",$E469=0),0,IF(OR($J469&lt;AG$3,$I469&gt;AG$2),0,IF($K469=0,IF(AND($I469&gt;=AG$3,$I469&lt;=AG$2),$E469,0),$E469*NETWORKDAYS(MAX($I469,AG$3),MIN($J469,AG$2),Data!$K$4:$K$203)/$K469)))</f>
        <v>0</v>
      </c>
      <c r="AH469" s="170">
        <f>IF(OR($I469="",$E469=0),0,IF(OR($J469&lt;AH$3,$I469&gt;AH$2),0,IF($K469=0,IF(AND($I469&gt;=AH$3,$I469&lt;=AH$2),$E469,0),$E469*NETWORKDAYS(MAX($I469,AH$3),MIN($J469,AH$2),Data!$K$4:$K$203)/$K469)))</f>
        <v>0</v>
      </c>
      <c r="AI469" s="170">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70"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4" t="str">
        <f>IF(EO469=1,IF(FH469&gt;0,FI469/FH469,AVERAGEIF($FF$4:$FF$503,EN469,$C$4:$C$503)),"")</f>
        <v/>
      </c>
      <c r="EV469" s="169">
        <f>IF(ISNUMBER(I469),I469,2958465)</f>
        <v>2958465.0</v>
      </c>
      <c r="EW469" s="169" t="str">
        <f>IF(EO469=1,SUMPRODUCT(MIN(($EN$4:$EN$503=EN469)*$EV$4:$EV$503+($EN$4:$EN$503&lt;&gt;EN469)*2958465)),"")</f>
        <v/>
      </c>
      <c r="EX469" s="169">
        <f>IF(AND(D469=1,ISNUMBER(INDEX(Charge!$F:$F,ROW()))),INDEX(Charge!$F:$F,ROW()),0)</f>
        <v>0.0</v>
      </c>
      <c r="EY469" s="169" t="str">
        <f>IF(EO469=1,SUMPRODUCT(MAX(($EN$4:$EN$503=EN469)*$EX$4:$EX$503)),"")</f>
        <v/>
      </c>
      <c r="FD469">
        <f>IF(AND(B469=1,TRIM(INDEX(Charge!$K:$K,ROW()))&lt;&gt;"",TRIM(INDEX(Charge!$L:$L,ROW()))&lt;&gt;""),1,0)</f>
        <v>0</v>
      </c>
      <c r="FE469">
        <f>IF(OR(EN469="",BZ469="(non affecté)"),0,IF(COUNTIFS($EN$4:EN469,EN469,$BZ$4:BZ469,BZ469)=1,1,0))</f>
        <v>0</v>
      </c>
      <c r="FF469" t="str">
        <f>IF(B469=1,LEFT(SUBSTITUTE(SUBSTITUTE(SUBSTITUTE(TRIM(SUBSTITUTE(INDEX(Charge!$B:$B,ROW()),CHAR(160)," "))&amp;" | "&amp;TRIM(SUBSTITUTE(INDEX(Charge!$C:$C,ROW()),CHAR(160)," "))&amp;" | "&amp;TRIM(SUBSTITUTE(INDEX(Charge!$D:$D,ROW()),CHAR(160)," ")),"~","-"),"*","+"),"?","!"),240),"")</f>
        <v/>
      </c>
      <c r="FG469">
        <f>IF(B469=1,MAX(0,N(INDEX(Charge!$M:$M,ROW()))),0)</f>
        <v>0</v>
      </c>
      <c r="FH469" s="170" t="str">
        <f>IF(EO469=1,ROUND(SUMIF($FF$4:$FF$503,EN469,$FG$4:$FG$503),2),"")</f>
        <v/>
      </c>
      <c r="FI469" s="170" t="str">
        <f>IF(EO469=1,ROUND(SUMPRODUCT(($FF$4:$FF$503=EN469)*$FG$4:$FG$503*$C$4:$C$503),2),"")</f>
        <v/>
      </c>
      <c r="FJ469" s="170" t="str">
        <f>IF(EO469=1,MAX(0,ROUND(FH469-FI469,2)),"")</f>
        <v/>
      </c>
      <c r="FK469" s="174" t="str">
        <f>IF(EO469=1,IF(OR(EW469&gt;=2958465,EY469=0,EY469&lt;=EW469),"",IF(TODAY()&lt;=EW469,0,IF(TODAY()&gt;EY469,1,IFERROR(NETWORKDAYS(EW469,TODAY()-1,Data!$K$4:$K$203)/NETWORKDAYS(EW469,EY469,Data!$K$4:$K$203),"")))),"")</f>
        <v/>
      </c>
      <c r="FL469" t="str">
        <f>IF(EO469=1,IF(AND(EY469&gt;0,EY469&lt;TODAY(),ROUND(EU469,4)&lt;1),2,IF(FK469="",0,IF(ROUND(EU469-FK469,4)&lt;-0.15,1,0))),"")</f>
        <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9" t="str">
        <f>IF(AND(D470=1,ISNUMBER(INDEX(Charge!$N:$N,ROW()))),INDEX(Charge!$N:$N,ROW()),"")</f>
        <v/>
      </c>
      <c r="J470" s="169"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70">
        <f>IF(OR($I470="",$E470=0),0,IF(OR($J470&lt;W$3,$I470&gt;W$2),0,IF($K470=0,IF(AND($I470&gt;=W$3,$I470&lt;=W$2),$E470,0),$E470*NETWORKDAYS(MAX($I470,W$3),MIN($J470,W$2),Data!$K$4:$K$203)/$K470)))</f>
        <v>0</v>
      </c>
      <c r="X470" s="170">
        <f>IF(OR($I470="",$E470=0),0,IF(OR($J470&lt;X$3,$I470&gt;X$2),0,IF($K470=0,IF(AND($I470&gt;=X$3,$I470&lt;=X$2),$E470,0),$E470*NETWORKDAYS(MAX($I470,X$3),MIN($J470,X$2),Data!$K$4:$K$203)/$K470)))</f>
        <v>0</v>
      </c>
      <c r="Y470" s="170">
        <f>IF(OR($I470="",$E470=0),0,IF(OR($J470&lt;Y$3,$I470&gt;Y$2),0,IF($K470=0,IF(AND($I470&gt;=Y$3,$I470&lt;=Y$2),$E470,0),$E470*NETWORKDAYS(MAX($I470,Y$3),MIN($J470,Y$2),Data!$K$4:$K$203)/$K470)))</f>
        <v>0</v>
      </c>
      <c r="Z470" s="170">
        <f>IF(OR($I470="",$E470=0),0,IF(OR($J470&lt;Z$3,$I470&gt;Z$2),0,IF($K470=0,IF(AND($I470&gt;=Z$3,$I470&lt;=Z$2),$E470,0),$E470*NETWORKDAYS(MAX($I470,Z$3),MIN($J470,Z$2),Data!$K$4:$K$203)/$K470)))</f>
        <v>0</v>
      </c>
      <c r="AA470" s="170">
        <f>IF(OR($I470="",$E470=0),0,IF(OR($J470&lt;AA$3,$I470&gt;AA$2),0,IF($K470=0,IF(AND($I470&gt;=AA$3,$I470&lt;=AA$2),$E470,0),$E470*NETWORKDAYS(MAX($I470,AA$3),MIN($J470,AA$2),Data!$K$4:$K$203)/$K470)))</f>
        <v>0</v>
      </c>
      <c r="AB470" s="170">
        <f>IF(OR($I470="",$E470=0),0,IF(OR($J470&lt;AB$3,$I470&gt;AB$2),0,IF($K470=0,IF(AND($I470&gt;=AB$3,$I470&lt;=AB$2),$E470,0),$E470*NETWORKDAYS(MAX($I470,AB$3),MIN($J470,AB$2),Data!$K$4:$K$203)/$K470)))</f>
        <v>0</v>
      </c>
      <c r="AC470" s="170">
        <f>IF(OR($I470="",$E470=0),0,IF(OR($J470&lt;AC$3,$I470&gt;AC$2),0,IF($K470=0,IF(AND($I470&gt;=AC$3,$I470&lt;=AC$2),$E470,0),$E470*NETWORKDAYS(MAX($I470,AC$3),MIN($J470,AC$2),Data!$K$4:$K$203)/$K470)))</f>
        <v>0</v>
      </c>
      <c r="AD470" s="170">
        <f>IF(OR($I470="",$E470=0),0,IF(OR($J470&lt;AD$3,$I470&gt;AD$2),0,IF($K470=0,IF(AND($I470&gt;=AD$3,$I470&lt;=AD$2),$E470,0),$E470*NETWORKDAYS(MAX($I470,AD$3),MIN($J470,AD$2),Data!$K$4:$K$203)/$K470)))</f>
        <v>0</v>
      </c>
      <c r="AE470" s="170">
        <f>IF(OR($I470="",$E470=0),0,IF(OR($J470&lt;AE$3,$I470&gt;AE$2),0,IF($K470=0,IF(AND($I470&gt;=AE$3,$I470&lt;=AE$2),$E470,0),$E470*NETWORKDAYS(MAX($I470,AE$3),MIN($J470,AE$2),Data!$K$4:$K$203)/$K470)))</f>
        <v>0</v>
      </c>
      <c r="AF470" s="170">
        <f>IF(OR($I470="",$E470=0),0,IF(OR($J470&lt;AF$3,$I470&gt;AF$2),0,IF($K470=0,IF(AND($I470&gt;=AF$3,$I470&lt;=AF$2),$E470,0),$E470*NETWORKDAYS(MAX($I470,AF$3),MIN($J470,AF$2),Data!$K$4:$K$203)/$K470)))</f>
        <v>0</v>
      </c>
      <c r="AG470" s="170">
        <f>IF(OR($I470="",$E470=0),0,IF(OR($J470&lt;AG$3,$I470&gt;AG$2),0,IF($K470=0,IF(AND($I470&gt;=AG$3,$I470&lt;=AG$2),$E470,0),$E470*NETWORKDAYS(MAX($I470,AG$3),MIN($J470,AG$2),Data!$K$4:$K$203)/$K470)))</f>
        <v>0</v>
      </c>
      <c r="AH470" s="170">
        <f>IF(OR($I470="",$E470=0),0,IF(OR($J470&lt;AH$3,$I470&gt;AH$2),0,IF($K470=0,IF(AND($I470&gt;=AH$3,$I470&lt;=AH$2),$E470,0),$E470*NETWORKDAYS(MAX($I470,AH$3),MIN($J470,AH$2),Data!$K$4:$K$203)/$K470)))</f>
        <v>0</v>
      </c>
      <c r="AI470" s="170">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70"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4" t="str">
        <f>IF(EO470=1,IF(FH470&gt;0,FI470/FH470,AVERAGEIF($FF$4:$FF$503,EN470,$C$4:$C$503)),"")</f>
        <v/>
      </c>
      <c r="EV470" s="169">
        <f>IF(ISNUMBER(I470),I470,2958465)</f>
        <v>2958465.0</v>
      </c>
      <c r="EW470" s="169" t="str">
        <f>IF(EO470=1,SUMPRODUCT(MIN(($EN$4:$EN$503=EN470)*$EV$4:$EV$503+($EN$4:$EN$503&lt;&gt;EN470)*2958465)),"")</f>
        <v/>
      </c>
      <c r="EX470" s="169">
        <f>IF(AND(D470=1,ISNUMBER(INDEX(Charge!$F:$F,ROW()))),INDEX(Charge!$F:$F,ROW()),0)</f>
        <v>0.0</v>
      </c>
      <c r="EY470" s="169" t="str">
        <f>IF(EO470=1,SUMPRODUCT(MAX(($EN$4:$EN$503=EN470)*$EX$4:$EX$503)),"")</f>
        <v/>
      </c>
      <c r="FD470">
        <f>IF(AND(B470=1,TRIM(INDEX(Charge!$K:$K,ROW()))&lt;&gt;"",TRIM(INDEX(Charge!$L:$L,ROW()))&lt;&gt;""),1,0)</f>
        <v>0</v>
      </c>
      <c r="FE470">
        <f>IF(OR(EN470="",BZ470="(non affecté)"),0,IF(COUNTIFS($EN$4:EN470,EN470,$BZ$4:BZ470,BZ470)=1,1,0))</f>
        <v>0</v>
      </c>
      <c r="FF470" t="str">
        <f>IF(B470=1,LEFT(SUBSTITUTE(SUBSTITUTE(SUBSTITUTE(TRIM(SUBSTITUTE(INDEX(Charge!$B:$B,ROW()),CHAR(160)," "))&amp;" | "&amp;TRIM(SUBSTITUTE(INDEX(Charge!$C:$C,ROW()),CHAR(160)," "))&amp;" | "&amp;TRIM(SUBSTITUTE(INDEX(Charge!$D:$D,ROW()),CHAR(160)," ")),"~","-"),"*","+"),"?","!"),240),"")</f>
        <v/>
      </c>
      <c r="FG470">
        <f>IF(B470=1,MAX(0,N(INDEX(Charge!$M:$M,ROW()))),0)</f>
        <v>0</v>
      </c>
      <c r="FH470" s="170" t="str">
        <f>IF(EO470=1,ROUND(SUMIF($FF$4:$FF$503,EN470,$FG$4:$FG$503),2),"")</f>
        <v/>
      </c>
      <c r="FI470" s="170" t="str">
        <f>IF(EO470=1,ROUND(SUMPRODUCT(($FF$4:$FF$503=EN470)*$FG$4:$FG$503*$C$4:$C$503),2),"")</f>
        <v/>
      </c>
      <c r="FJ470" s="170" t="str">
        <f>IF(EO470=1,MAX(0,ROUND(FH470-FI470,2)),"")</f>
        <v/>
      </c>
      <c r="FK470" s="174" t="str">
        <f>IF(EO470=1,IF(OR(EW470&gt;=2958465,EY470=0,EY470&lt;=EW470),"",IF(TODAY()&lt;=EW470,0,IF(TODAY()&gt;EY470,1,IFERROR(NETWORKDAYS(EW470,TODAY()-1,Data!$K$4:$K$203)/NETWORKDAYS(EW470,EY470,Data!$K$4:$K$203),"")))),"")</f>
        <v/>
      </c>
      <c r="FL470" t="str">
        <f>IF(EO470=1,IF(AND(EY470&gt;0,EY470&lt;TODAY(),ROUND(EU470,4)&lt;1),2,IF(FK470="",0,IF(ROUND(EU470-FK470,4)&lt;-0.15,1,0))),"")</f>
        <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9" t="str">
        <f>IF(AND(D471=1,ISNUMBER(INDEX(Charge!$N:$N,ROW()))),INDEX(Charge!$N:$N,ROW()),"")</f>
        <v/>
      </c>
      <c r="J471" s="169"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70">
        <f>IF(OR($I471="",$E471=0),0,IF(OR($J471&lt;W$3,$I471&gt;W$2),0,IF($K471=0,IF(AND($I471&gt;=W$3,$I471&lt;=W$2),$E471,0),$E471*NETWORKDAYS(MAX($I471,W$3),MIN($J471,W$2),Data!$K$4:$K$203)/$K471)))</f>
        <v>0</v>
      </c>
      <c r="X471" s="170">
        <f>IF(OR($I471="",$E471=0),0,IF(OR($J471&lt;X$3,$I471&gt;X$2),0,IF($K471=0,IF(AND($I471&gt;=X$3,$I471&lt;=X$2),$E471,0),$E471*NETWORKDAYS(MAX($I471,X$3),MIN($J471,X$2),Data!$K$4:$K$203)/$K471)))</f>
        <v>0</v>
      </c>
      <c r="Y471" s="170">
        <f>IF(OR($I471="",$E471=0),0,IF(OR($J471&lt;Y$3,$I471&gt;Y$2),0,IF($K471=0,IF(AND($I471&gt;=Y$3,$I471&lt;=Y$2),$E471,0),$E471*NETWORKDAYS(MAX($I471,Y$3),MIN($J471,Y$2),Data!$K$4:$K$203)/$K471)))</f>
        <v>0</v>
      </c>
      <c r="Z471" s="170">
        <f>IF(OR($I471="",$E471=0),0,IF(OR($J471&lt;Z$3,$I471&gt;Z$2),0,IF($K471=0,IF(AND($I471&gt;=Z$3,$I471&lt;=Z$2),$E471,0),$E471*NETWORKDAYS(MAX($I471,Z$3),MIN($J471,Z$2),Data!$K$4:$K$203)/$K471)))</f>
        <v>0</v>
      </c>
      <c r="AA471" s="170">
        <f>IF(OR($I471="",$E471=0),0,IF(OR($J471&lt;AA$3,$I471&gt;AA$2),0,IF($K471=0,IF(AND($I471&gt;=AA$3,$I471&lt;=AA$2),$E471,0),$E471*NETWORKDAYS(MAX($I471,AA$3),MIN($J471,AA$2),Data!$K$4:$K$203)/$K471)))</f>
        <v>0</v>
      </c>
      <c r="AB471" s="170">
        <f>IF(OR($I471="",$E471=0),0,IF(OR($J471&lt;AB$3,$I471&gt;AB$2),0,IF($K471=0,IF(AND($I471&gt;=AB$3,$I471&lt;=AB$2),$E471,0),$E471*NETWORKDAYS(MAX($I471,AB$3),MIN($J471,AB$2),Data!$K$4:$K$203)/$K471)))</f>
        <v>0</v>
      </c>
      <c r="AC471" s="170">
        <f>IF(OR($I471="",$E471=0),0,IF(OR($J471&lt;AC$3,$I471&gt;AC$2),0,IF($K471=0,IF(AND($I471&gt;=AC$3,$I471&lt;=AC$2),$E471,0),$E471*NETWORKDAYS(MAX($I471,AC$3),MIN($J471,AC$2),Data!$K$4:$K$203)/$K471)))</f>
        <v>0</v>
      </c>
      <c r="AD471" s="170">
        <f>IF(OR($I471="",$E471=0),0,IF(OR($J471&lt;AD$3,$I471&gt;AD$2),0,IF($K471=0,IF(AND($I471&gt;=AD$3,$I471&lt;=AD$2),$E471,0),$E471*NETWORKDAYS(MAX($I471,AD$3),MIN($J471,AD$2),Data!$K$4:$K$203)/$K471)))</f>
        <v>0</v>
      </c>
      <c r="AE471" s="170">
        <f>IF(OR($I471="",$E471=0),0,IF(OR($J471&lt;AE$3,$I471&gt;AE$2),0,IF($K471=0,IF(AND($I471&gt;=AE$3,$I471&lt;=AE$2),$E471,0),$E471*NETWORKDAYS(MAX($I471,AE$3),MIN($J471,AE$2),Data!$K$4:$K$203)/$K471)))</f>
        <v>0</v>
      </c>
      <c r="AF471" s="170">
        <f>IF(OR($I471="",$E471=0),0,IF(OR($J471&lt;AF$3,$I471&gt;AF$2),0,IF($K471=0,IF(AND($I471&gt;=AF$3,$I471&lt;=AF$2),$E471,0),$E471*NETWORKDAYS(MAX($I471,AF$3),MIN($J471,AF$2),Data!$K$4:$K$203)/$K471)))</f>
        <v>0</v>
      </c>
      <c r="AG471" s="170">
        <f>IF(OR($I471="",$E471=0),0,IF(OR($J471&lt;AG$3,$I471&gt;AG$2),0,IF($K471=0,IF(AND($I471&gt;=AG$3,$I471&lt;=AG$2),$E471,0),$E471*NETWORKDAYS(MAX($I471,AG$3),MIN($J471,AG$2),Data!$K$4:$K$203)/$K471)))</f>
        <v>0</v>
      </c>
      <c r="AH471" s="170">
        <f>IF(OR($I471="",$E471=0),0,IF(OR($J471&lt;AH$3,$I471&gt;AH$2),0,IF($K471=0,IF(AND($I471&gt;=AH$3,$I471&lt;=AH$2),$E471,0),$E471*NETWORKDAYS(MAX($I471,AH$3),MIN($J471,AH$2),Data!$K$4:$K$203)/$K471)))</f>
        <v>0</v>
      </c>
      <c r="AI471" s="170">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70"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4" t="str">
        <f>IF(EO471=1,IF(FH471&gt;0,FI471/FH471,AVERAGEIF($FF$4:$FF$503,EN471,$C$4:$C$503)),"")</f>
        <v/>
      </c>
      <c r="EV471" s="169">
        <f>IF(ISNUMBER(I471),I471,2958465)</f>
        <v>2958465.0</v>
      </c>
      <c r="EW471" s="169" t="str">
        <f>IF(EO471=1,SUMPRODUCT(MIN(($EN$4:$EN$503=EN471)*$EV$4:$EV$503+($EN$4:$EN$503&lt;&gt;EN471)*2958465)),"")</f>
        <v/>
      </c>
      <c r="EX471" s="169">
        <f>IF(AND(D471=1,ISNUMBER(INDEX(Charge!$F:$F,ROW()))),INDEX(Charge!$F:$F,ROW()),0)</f>
        <v>0.0</v>
      </c>
      <c r="EY471" s="169" t="str">
        <f>IF(EO471=1,SUMPRODUCT(MAX(($EN$4:$EN$503=EN471)*$EX$4:$EX$503)),"")</f>
        <v/>
      </c>
      <c r="FD471">
        <f>IF(AND(B471=1,TRIM(INDEX(Charge!$K:$K,ROW()))&lt;&gt;"",TRIM(INDEX(Charge!$L:$L,ROW()))&lt;&gt;""),1,0)</f>
        <v>0</v>
      </c>
      <c r="FE471">
        <f>IF(OR(EN471="",BZ471="(non affecté)"),0,IF(COUNTIFS($EN$4:EN471,EN471,$BZ$4:BZ471,BZ471)=1,1,0))</f>
        <v>0</v>
      </c>
      <c r="FF471" t="str">
        <f>IF(B471=1,LEFT(SUBSTITUTE(SUBSTITUTE(SUBSTITUTE(TRIM(SUBSTITUTE(INDEX(Charge!$B:$B,ROW()),CHAR(160)," "))&amp;" | "&amp;TRIM(SUBSTITUTE(INDEX(Charge!$C:$C,ROW()),CHAR(160)," "))&amp;" | "&amp;TRIM(SUBSTITUTE(INDEX(Charge!$D:$D,ROW()),CHAR(160)," ")),"~","-"),"*","+"),"?","!"),240),"")</f>
        <v/>
      </c>
      <c r="FG471">
        <f>IF(B471=1,MAX(0,N(INDEX(Charge!$M:$M,ROW()))),0)</f>
        <v>0</v>
      </c>
      <c r="FH471" s="170" t="str">
        <f>IF(EO471=1,ROUND(SUMIF($FF$4:$FF$503,EN471,$FG$4:$FG$503),2),"")</f>
        <v/>
      </c>
      <c r="FI471" s="170" t="str">
        <f>IF(EO471=1,ROUND(SUMPRODUCT(($FF$4:$FF$503=EN471)*$FG$4:$FG$503*$C$4:$C$503),2),"")</f>
        <v/>
      </c>
      <c r="FJ471" s="170" t="str">
        <f>IF(EO471=1,MAX(0,ROUND(FH471-FI471,2)),"")</f>
        <v/>
      </c>
      <c r="FK471" s="174" t="str">
        <f>IF(EO471=1,IF(OR(EW471&gt;=2958465,EY471=0,EY471&lt;=EW471),"",IF(TODAY()&lt;=EW471,0,IF(TODAY()&gt;EY471,1,IFERROR(NETWORKDAYS(EW471,TODAY()-1,Data!$K$4:$K$203)/NETWORKDAYS(EW471,EY471,Data!$K$4:$K$203),"")))),"")</f>
        <v/>
      </c>
      <c r="FL471" t="str">
        <f>IF(EO471=1,IF(AND(EY471&gt;0,EY471&lt;TODAY(),ROUND(EU471,4)&lt;1),2,IF(FK471="",0,IF(ROUND(EU471-FK471,4)&lt;-0.15,1,0))),"")</f>
        <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9" t="str">
        <f>IF(AND(D472=1,ISNUMBER(INDEX(Charge!$N:$N,ROW()))),INDEX(Charge!$N:$N,ROW()),"")</f>
        <v/>
      </c>
      <c r="J472" s="169"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70">
        <f>IF(OR($I472="",$E472=0),0,IF(OR($J472&lt;W$3,$I472&gt;W$2),0,IF($K472=0,IF(AND($I472&gt;=W$3,$I472&lt;=W$2),$E472,0),$E472*NETWORKDAYS(MAX($I472,W$3),MIN($J472,W$2),Data!$K$4:$K$203)/$K472)))</f>
        <v>0</v>
      </c>
      <c r="X472" s="170">
        <f>IF(OR($I472="",$E472=0),0,IF(OR($J472&lt;X$3,$I472&gt;X$2),0,IF($K472=0,IF(AND($I472&gt;=X$3,$I472&lt;=X$2),$E472,0),$E472*NETWORKDAYS(MAX($I472,X$3),MIN($J472,X$2),Data!$K$4:$K$203)/$K472)))</f>
        <v>0</v>
      </c>
      <c r="Y472" s="170">
        <f>IF(OR($I472="",$E472=0),0,IF(OR($J472&lt;Y$3,$I472&gt;Y$2),0,IF($K472=0,IF(AND($I472&gt;=Y$3,$I472&lt;=Y$2),$E472,0),$E472*NETWORKDAYS(MAX($I472,Y$3),MIN($J472,Y$2),Data!$K$4:$K$203)/$K472)))</f>
        <v>0</v>
      </c>
      <c r="Z472" s="170">
        <f>IF(OR($I472="",$E472=0),0,IF(OR($J472&lt;Z$3,$I472&gt;Z$2),0,IF($K472=0,IF(AND($I472&gt;=Z$3,$I472&lt;=Z$2),$E472,0),$E472*NETWORKDAYS(MAX($I472,Z$3),MIN($J472,Z$2),Data!$K$4:$K$203)/$K472)))</f>
        <v>0</v>
      </c>
      <c r="AA472" s="170">
        <f>IF(OR($I472="",$E472=0),0,IF(OR($J472&lt;AA$3,$I472&gt;AA$2),0,IF($K472=0,IF(AND($I472&gt;=AA$3,$I472&lt;=AA$2),$E472,0),$E472*NETWORKDAYS(MAX($I472,AA$3),MIN($J472,AA$2),Data!$K$4:$K$203)/$K472)))</f>
        <v>0</v>
      </c>
      <c r="AB472" s="170">
        <f>IF(OR($I472="",$E472=0),0,IF(OR($J472&lt;AB$3,$I472&gt;AB$2),0,IF($K472=0,IF(AND($I472&gt;=AB$3,$I472&lt;=AB$2),$E472,0),$E472*NETWORKDAYS(MAX($I472,AB$3),MIN($J472,AB$2),Data!$K$4:$K$203)/$K472)))</f>
        <v>0</v>
      </c>
      <c r="AC472" s="170">
        <f>IF(OR($I472="",$E472=0),0,IF(OR($J472&lt;AC$3,$I472&gt;AC$2),0,IF($K472=0,IF(AND($I472&gt;=AC$3,$I472&lt;=AC$2),$E472,0),$E472*NETWORKDAYS(MAX($I472,AC$3),MIN($J472,AC$2),Data!$K$4:$K$203)/$K472)))</f>
        <v>0</v>
      </c>
      <c r="AD472" s="170">
        <f>IF(OR($I472="",$E472=0),0,IF(OR($J472&lt;AD$3,$I472&gt;AD$2),0,IF($K472=0,IF(AND($I472&gt;=AD$3,$I472&lt;=AD$2),$E472,0),$E472*NETWORKDAYS(MAX($I472,AD$3),MIN($J472,AD$2),Data!$K$4:$K$203)/$K472)))</f>
        <v>0</v>
      </c>
      <c r="AE472" s="170">
        <f>IF(OR($I472="",$E472=0),0,IF(OR($J472&lt;AE$3,$I472&gt;AE$2),0,IF($K472=0,IF(AND($I472&gt;=AE$3,$I472&lt;=AE$2),$E472,0),$E472*NETWORKDAYS(MAX($I472,AE$3),MIN($J472,AE$2),Data!$K$4:$K$203)/$K472)))</f>
        <v>0</v>
      </c>
      <c r="AF472" s="170">
        <f>IF(OR($I472="",$E472=0),0,IF(OR($J472&lt;AF$3,$I472&gt;AF$2),0,IF($K472=0,IF(AND($I472&gt;=AF$3,$I472&lt;=AF$2),$E472,0),$E472*NETWORKDAYS(MAX($I472,AF$3),MIN($J472,AF$2),Data!$K$4:$K$203)/$K472)))</f>
        <v>0</v>
      </c>
      <c r="AG472" s="170">
        <f>IF(OR($I472="",$E472=0),0,IF(OR($J472&lt;AG$3,$I472&gt;AG$2),0,IF($K472=0,IF(AND($I472&gt;=AG$3,$I472&lt;=AG$2),$E472,0),$E472*NETWORKDAYS(MAX($I472,AG$3),MIN($J472,AG$2),Data!$K$4:$K$203)/$K472)))</f>
        <v>0</v>
      </c>
      <c r="AH472" s="170">
        <f>IF(OR($I472="",$E472=0),0,IF(OR($J472&lt;AH$3,$I472&gt;AH$2),0,IF($K472=0,IF(AND($I472&gt;=AH$3,$I472&lt;=AH$2),$E472,0),$E472*NETWORKDAYS(MAX($I472,AH$3),MIN($J472,AH$2),Data!$K$4:$K$203)/$K472)))</f>
        <v>0</v>
      </c>
      <c r="AI472" s="170">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70"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4" t="str">
        <f>IF(EO472=1,IF(FH472&gt;0,FI472/FH472,AVERAGEIF($FF$4:$FF$503,EN472,$C$4:$C$503)),"")</f>
        <v/>
      </c>
      <c r="EV472" s="169">
        <f>IF(ISNUMBER(I472),I472,2958465)</f>
        <v>2958465.0</v>
      </c>
      <c r="EW472" s="169" t="str">
        <f>IF(EO472=1,SUMPRODUCT(MIN(($EN$4:$EN$503=EN472)*$EV$4:$EV$503+($EN$4:$EN$503&lt;&gt;EN472)*2958465)),"")</f>
        <v/>
      </c>
      <c r="EX472" s="169">
        <f>IF(AND(D472=1,ISNUMBER(INDEX(Charge!$F:$F,ROW()))),INDEX(Charge!$F:$F,ROW()),0)</f>
        <v>0.0</v>
      </c>
      <c r="EY472" s="169" t="str">
        <f>IF(EO472=1,SUMPRODUCT(MAX(($EN$4:$EN$503=EN472)*$EX$4:$EX$503)),"")</f>
        <v/>
      </c>
      <c r="FD472">
        <f>IF(AND(B472=1,TRIM(INDEX(Charge!$K:$K,ROW()))&lt;&gt;"",TRIM(INDEX(Charge!$L:$L,ROW()))&lt;&gt;""),1,0)</f>
        <v>0</v>
      </c>
      <c r="FE472">
        <f>IF(OR(EN472="",BZ472="(non affecté)"),0,IF(COUNTIFS($EN$4:EN472,EN472,$BZ$4:BZ472,BZ472)=1,1,0))</f>
        <v>0</v>
      </c>
      <c r="FF472" t="str">
        <f>IF(B472=1,LEFT(SUBSTITUTE(SUBSTITUTE(SUBSTITUTE(TRIM(SUBSTITUTE(INDEX(Charge!$B:$B,ROW()),CHAR(160)," "))&amp;" | "&amp;TRIM(SUBSTITUTE(INDEX(Charge!$C:$C,ROW()),CHAR(160)," "))&amp;" | "&amp;TRIM(SUBSTITUTE(INDEX(Charge!$D:$D,ROW()),CHAR(160)," ")),"~","-"),"*","+"),"?","!"),240),"")</f>
        <v/>
      </c>
      <c r="FG472">
        <f>IF(B472=1,MAX(0,N(INDEX(Charge!$M:$M,ROW()))),0)</f>
        <v>0</v>
      </c>
      <c r="FH472" s="170" t="str">
        <f>IF(EO472=1,ROUND(SUMIF($FF$4:$FF$503,EN472,$FG$4:$FG$503),2),"")</f>
        <v/>
      </c>
      <c r="FI472" s="170" t="str">
        <f>IF(EO472=1,ROUND(SUMPRODUCT(($FF$4:$FF$503=EN472)*$FG$4:$FG$503*$C$4:$C$503),2),"")</f>
        <v/>
      </c>
      <c r="FJ472" s="170" t="str">
        <f>IF(EO472=1,MAX(0,ROUND(FH472-FI472,2)),"")</f>
        <v/>
      </c>
      <c r="FK472" s="174" t="str">
        <f>IF(EO472=1,IF(OR(EW472&gt;=2958465,EY472=0,EY472&lt;=EW472),"",IF(TODAY()&lt;=EW472,0,IF(TODAY()&gt;EY472,1,IFERROR(NETWORKDAYS(EW472,TODAY()-1,Data!$K$4:$K$203)/NETWORKDAYS(EW472,EY472,Data!$K$4:$K$203),"")))),"")</f>
        <v/>
      </c>
      <c r="FL472" t="str">
        <f>IF(EO472=1,IF(AND(EY472&gt;0,EY472&lt;TODAY(),ROUND(EU472,4)&lt;1),2,IF(FK472="",0,IF(ROUND(EU472-FK472,4)&lt;-0.15,1,0))),"")</f>
        <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9" t="str">
        <f>IF(AND(D473=1,ISNUMBER(INDEX(Charge!$N:$N,ROW()))),INDEX(Charge!$N:$N,ROW()),"")</f>
        <v/>
      </c>
      <c r="J473" s="169"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70">
        <f>IF(OR($I473="",$E473=0),0,IF(OR($J473&lt;W$3,$I473&gt;W$2),0,IF($K473=0,IF(AND($I473&gt;=W$3,$I473&lt;=W$2),$E473,0),$E473*NETWORKDAYS(MAX($I473,W$3),MIN($J473,W$2),Data!$K$4:$K$203)/$K473)))</f>
        <v>0</v>
      </c>
      <c r="X473" s="170">
        <f>IF(OR($I473="",$E473=0),0,IF(OR($J473&lt;X$3,$I473&gt;X$2),0,IF($K473=0,IF(AND($I473&gt;=X$3,$I473&lt;=X$2),$E473,0),$E473*NETWORKDAYS(MAX($I473,X$3),MIN($J473,X$2),Data!$K$4:$K$203)/$K473)))</f>
        <v>0</v>
      </c>
      <c r="Y473" s="170">
        <f>IF(OR($I473="",$E473=0),0,IF(OR($J473&lt;Y$3,$I473&gt;Y$2),0,IF($K473=0,IF(AND($I473&gt;=Y$3,$I473&lt;=Y$2),$E473,0),$E473*NETWORKDAYS(MAX($I473,Y$3),MIN($J473,Y$2),Data!$K$4:$K$203)/$K473)))</f>
        <v>0</v>
      </c>
      <c r="Z473" s="170">
        <f>IF(OR($I473="",$E473=0),0,IF(OR($J473&lt;Z$3,$I473&gt;Z$2),0,IF($K473=0,IF(AND($I473&gt;=Z$3,$I473&lt;=Z$2),$E473,0),$E473*NETWORKDAYS(MAX($I473,Z$3),MIN($J473,Z$2),Data!$K$4:$K$203)/$K473)))</f>
        <v>0</v>
      </c>
      <c r="AA473" s="170">
        <f>IF(OR($I473="",$E473=0),0,IF(OR($J473&lt;AA$3,$I473&gt;AA$2),0,IF($K473=0,IF(AND($I473&gt;=AA$3,$I473&lt;=AA$2),$E473,0),$E473*NETWORKDAYS(MAX($I473,AA$3),MIN($J473,AA$2),Data!$K$4:$K$203)/$K473)))</f>
        <v>0</v>
      </c>
      <c r="AB473" s="170">
        <f>IF(OR($I473="",$E473=0),0,IF(OR($J473&lt;AB$3,$I473&gt;AB$2),0,IF($K473=0,IF(AND($I473&gt;=AB$3,$I473&lt;=AB$2),$E473,0),$E473*NETWORKDAYS(MAX($I473,AB$3),MIN($J473,AB$2),Data!$K$4:$K$203)/$K473)))</f>
        <v>0</v>
      </c>
      <c r="AC473" s="170">
        <f>IF(OR($I473="",$E473=0),0,IF(OR($J473&lt;AC$3,$I473&gt;AC$2),0,IF($K473=0,IF(AND($I473&gt;=AC$3,$I473&lt;=AC$2),$E473,0),$E473*NETWORKDAYS(MAX($I473,AC$3),MIN($J473,AC$2),Data!$K$4:$K$203)/$K473)))</f>
        <v>0</v>
      </c>
      <c r="AD473" s="170">
        <f>IF(OR($I473="",$E473=0),0,IF(OR($J473&lt;AD$3,$I473&gt;AD$2),0,IF($K473=0,IF(AND($I473&gt;=AD$3,$I473&lt;=AD$2),$E473,0),$E473*NETWORKDAYS(MAX($I473,AD$3),MIN($J473,AD$2),Data!$K$4:$K$203)/$K473)))</f>
        <v>0</v>
      </c>
      <c r="AE473" s="170">
        <f>IF(OR($I473="",$E473=0),0,IF(OR($J473&lt;AE$3,$I473&gt;AE$2),0,IF($K473=0,IF(AND($I473&gt;=AE$3,$I473&lt;=AE$2),$E473,0),$E473*NETWORKDAYS(MAX($I473,AE$3),MIN($J473,AE$2),Data!$K$4:$K$203)/$K473)))</f>
        <v>0</v>
      </c>
      <c r="AF473" s="170">
        <f>IF(OR($I473="",$E473=0),0,IF(OR($J473&lt;AF$3,$I473&gt;AF$2),0,IF($K473=0,IF(AND($I473&gt;=AF$3,$I473&lt;=AF$2),$E473,0),$E473*NETWORKDAYS(MAX($I473,AF$3),MIN($J473,AF$2),Data!$K$4:$K$203)/$K473)))</f>
        <v>0</v>
      </c>
      <c r="AG473" s="170">
        <f>IF(OR($I473="",$E473=0),0,IF(OR($J473&lt;AG$3,$I473&gt;AG$2),0,IF($K473=0,IF(AND($I473&gt;=AG$3,$I473&lt;=AG$2),$E473,0),$E473*NETWORKDAYS(MAX($I473,AG$3),MIN($J473,AG$2),Data!$K$4:$K$203)/$K473)))</f>
        <v>0</v>
      </c>
      <c r="AH473" s="170">
        <f>IF(OR($I473="",$E473=0),0,IF(OR($J473&lt;AH$3,$I473&gt;AH$2),0,IF($K473=0,IF(AND($I473&gt;=AH$3,$I473&lt;=AH$2),$E473,0),$E473*NETWORKDAYS(MAX($I473,AH$3),MIN($J473,AH$2),Data!$K$4:$K$203)/$K473)))</f>
        <v>0</v>
      </c>
      <c r="AI473" s="170">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70"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4" t="str">
        <f>IF(EO473=1,IF(FH473&gt;0,FI473/FH473,AVERAGEIF($FF$4:$FF$503,EN473,$C$4:$C$503)),"")</f>
        <v/>
      </c>
      <c r="EV473" s="169">
        <f>IF(ISNUMBER(I473),I473,2958465)</f>
        <v>2958465.0</v>
      </c>
      <c r="EW473" s="169" t="str">
        <f>IF(EO473=1,SUMPRODUCT(MIN(($EN$4:$EN$503=EN473)*$EV$4:$EV$503+($EN$4:$EN$503&lt;&gt;EN473)*2958465)),"")</f>
        <v/>
      </c>
      <c r="EX473" s="169">
        <f>IF(AND(D473=1,ISNUMBER(INDEX(Charge!$F:$F,ROW()))),INDEX(Charge!$F:$F,ROW()),0)</f>
        <v>0.0</v>
      </c>
      <c r="EY473" s="169" t="str">
        <f>IF(EO473=1,SUMPRODUCT(MAX(($EN$4:$EN$503=EN473)*$EX$4:$EX$503)),"")</f>
        <v/>
      </c>
      <c r="FD473">
        <f>IF(AND(B473=1,TRIM(INDEX(Charge!$K:$K,ROW()))&lt;&gt;"",TRIM(INDEX(Charge!$L:$L,ROW()))&lt;&gt;""),1,0)</f>
        <v>0</v>
      </c>
      <c r="FE473">
        <f>IF(OR(EN473="",BZ473="(non affecté)"),0,IF(COUNTIFS($EN$4:EN473,EN473,$BZ$4:BZ473,BZ473)=1,1,0))</f>
        <v>0</v>
      </c>
      <c r="FF473" t="str">
        <f>IF(B473=1,LEFT(SUBSTITUTE(SUBSTITUTE(SUBSTITUTE(TRIM(SUBSTITUTE(INDEX(Charge!$B:$B,ROW()),CHAR(160)," "))&amp;" | "&amp;TRIM(SUBSTITUTE(INDEX(Charge!$C:$C,ROW()),CHAR(160)," "))&amp;" | "&amp;TRIM(SUBSTITUTE(INDEX(Charge!$D:$D,ROW()),CHAR(160)," ")),"~","-"),"*","+"),"?","!"),240),"")</f>
        <v/>
      </c>
      <c r="FG473">
        <f>IF(B473=1,MAX(0,N(INDEX(Charge!$M:$M,ROW()))),0)</f>
        <v>0</v>
      </c>
      <c r="FH473" s="170" t="str">
        <f>IF(EO473=1,ROUND(SUMIF($FF$4:$FF$503,EN473,$FG$4:$FG$503),2),"")</f>
        <v/>
      </c>
      <c r="FI473" s="170" t="str">
        <f>IF(EO473=1,ROUND(SUMPRODUCT(($FF$4:$FF$503=EN473)*$FG$4:$FG$503*$C$4:$C$503),2),"")</f>
        <v/>
      </c>
      <c r="FJ473" s="170" t="str">
        <f>IF(EO473=1,MAX(0,ROUND(FH473-FI473,2)),"")</f>
        <v/>
      </c>
      <c r="FK473" s="174" t="str">
        <f>IF(EO473=1,IF(OR(EW473&gt;=2958465,EY473=0,EY473&lt;=EW473),"",IF(TODAY()&lt;=EW473,0,IF(TODAY()&gt;EY473,1,IFERROR(NETWORKDAYS(EW473,TODAY()-1,Data!$K$4:$K$203)/NETWORKDAYS(EW473,EY473,Data!$K$4:$K$203),"")))),"")</f>
        <v/>
      </c>
      <c r="FL473" t="str">
        <f>IF(EO473=1,IF(AND(EY473&gt;0,EY473&lt;TODAY(),ROUND(EU473,4)&lt;1),2,IF(FK473="",0,IF(ROUND(EU473-FK473,4)&lt;-0.15,1,0))),"")</f>
        <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9" t="str">
        <f>IF(AND(D474=1,ISNUMBER(INDEX(Charge!$N:$N,ROW()))),INDEX(Charge!$N:$N,ROW()),"")</f>
        <v/>
      </c>
      <c r="J474" s="169"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70">
        <f>IF(OR($I474="",$E474=0),0,IF(OR($J474&lt;W$3,$I474&gt;W$2),0,IF($K474=0,IF(AND($I474&gt;=W$3,$I474&lt;=W$2),$E474,0),$E474*NETWORKDAYS(MAX($I474,W$3),MIN($J474,W$2),Data!$K$4:$K$203)/$K474)))</f>
        <v>0</v>
      </c>
      <c r="X474" s="170">
        <f>IF(OR($I474="",$E474=0),0,IF(OR($J474&lt;X$3,$I474&gt;X$2),0,IF($K474=0,IF(AND($I474&gt;=X$3,$I474&lt;=X$2),$E474,0),$E474*NETWORKDAYS(MAX($I474,X$3),MIN($J474,X$2),Data!$K$4:$K$203)/$K474)))</f>
        <v>0</v>
      </c>
      <c r="Y474" s="170">
        <f>IF(OR($I474="",$E474=0),0,IF(OR($J474&lt;Y$3,$I474&gt;Y$2),0,IF($K474=0,IF(AND($I474&gt;=Y$3,$I474&lt;=Y$2),$E474,0),$E474*NETWORKDAYS(MAX($I474,Y$3),MIN($J474,Y$2),Data!$K$4:$K$203)/$K474)))</f>
        <v>0</v>
      </c>
      <c r="Z474" s="170">
        <f>IF(OR($I474="",$E474=0),0,IF(OR($J474&lt;Z$3,$I474&gt;Z$2),0,IF($K474=0,IF(AND($I474&gt;=Z$3,$I474&lt;=Z$2),$E474,0),$E474*NETWORKDAYS(MAX($I474,Z$3),MIN($J474,Z$2),Data!$K$4:$K$203)/$K474)))</f>
        <v>0</v>
      </c>
      <c r="AA474" s="170">
        <f>IF(OR($I474="",$E474=0),0,IF(OR($J474&lt;AA$3,$I474&gt;AA$2),0,IF($K474=0,IF(AND($I474&gt;=AA$3,$I474&lt;=AA$2),$E474,0),$E474*NETWORKDAYS(MAX($I474,AA$3),MIN($J474,AA$2),Data!$K$4:$K$203)/$K474)))</f>
        <v>0</v>
      </c>
      <c r="AB474" s="170">
        <f>IF(OR($I474="",$E474=0),0,IF(OR($J474&lt;AB$3,$I474&gt;AB$2),0,IF($K474=0,IF(AND($I474&gt;=AB$3,$I474&lt;=AB$2),$E474,0),$E474*NETWORKDAYS(MAX($I474,AB$3),MIN($J474,AB$2),Data!$K$4:$K$203)/$K474)))</f>
        <v>0</v>
      </c>
      <c r="AC474" s="170">
        <f>IF(OR($I474="",$E474=0),0,IF(OR($J474&lt;AC$3,$I474&gt;AC$2),0,IF($K474=0,IF(AND($I474&gt;=AC$3,$I474&lt;=AC$2),$E474,0),$E474*NETWORKDAYS(MAX($I474,AC$3),MIN($J474,AC$2),Data!$K$4:$K$203)/$K474)))</f>
        <v>0</v>
      </c>
      <c r="AD474" s="170">
        <f>IF(OR($I474="",$E474=0),0,IF(OR($J474&lt;AD$3,$I474&gt;AD$2),0,IF($K474=0,IF(AND($I474&gt;=AD$3,$I474&lt;=AD$2),$E474,0),$E474*NETWORKDAYS(MAX($I474,AD$3),MIN($J474,AD$2),Data!$K$4:$K$203)/$K474)))</f>
        <v>0</v>
      </c>
      <c r="AE474" s="170">
        <f>IF(OR($I474="",$E474=0),0,IF(OR($J474&lt;AE$3,$I474&gt;AE$2),0,IF($K474=0,IF(AND($I474&gt;=AE$3,$I474&lt;=AE$2),$E474,0),$E474*NETWORKDAYS(MAX($I474,AE$3),MIN($J474,AE$2),Data!$K$4:$K$203)/$K474)))</f>
        <v>0</v>
      </c>
      <c r="AF474" s="170">
        <f>IF(OR($I474="",$E474=0),0,IF(OR($J474&lt;AF$3,$I474&gt;AF$2),0,IF($K474=0,IF(AND($I474&gt;=AF$3,$I474&lt;=AF$2),$E474,0),$E474*NETWORKDAYS(MAX($I474,AF$3),MIN($J474,AF$2),Data!$K$4:$K$203)/$K474)))</f>
        <v>0</v>
      </c>
      <c r="AG474" s="170">
        <f>IF(OR($I474="",$E474=0),0,IF(OR($J474&lt;AG$3,$I474&gt;AG$2),0,IF($K474=0,IF(AND($I474&gt;=AG$3,$I474&lt;=AG$2),$E474,0),$E474*NETWORKDAYS(MAX($I474,AG$3),MIN($J474,AG$2),Data!$K$4:$K$203)/$K474)))</f>
        <v>0</v>
      </c>
      <c r="AH474" s="170">
        <f>IF(OR($I474="",$E474=0),0,IF(OR($J474&lt;AH$3,$I474&gt;AH$2),0,IF($K474=0,IF(AND($I474&gt;=AH$3,$I474&lt;=AH$2),$E474,0),$E474*NETWORKDAYS(MAX($I474,AH$3),MIN($J474,AH$2),Data!$K$4:$K$203)/$K474)))</f>
        <v>0</v>
      </c>
      <c r="AI474" s="170">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70"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4" t="str">
        <f>IF(EO474=1,IF(FH474&gt;0,FI474/FH474,AVERAGEIF($FF$4:$FF$503,EN474,$C$4:$C$503)),"")</f>
        <v/>
      </c>
      <c r="EV474" s="169">
        <f>IF(ISNUMBER(I474),I474,2958465)</f>
        <v>2958465.0</v>
      </c>
      <c r="EW474" s="169" t="str">
        <f>IF(EO474=1,SUMPRODUCT(MIN(($EN$4:$EN$503=EN474)*$EV$4:$EV$503+($EN$4:$EN$503&lt;&gt;EN474)*2958465)),"")</f>
        <v/>
      </c>
      <c r="EX474" s="169">
        <f>IF(AND(D474=1,ISNUMBER(INDEX(Charge!$F:$F,ROW()))),INDEX(Charge!$F:$F,ROW()),0)</f>
        <v>0.0</v>
      </c>
      <c r="EY474" s="169" t="str">
        <f>IF(EO474=1,SUMPRODUCT(MAX(($EN$4:$EN$503=EN474)*$EX$4:$EX$503)),"")</f>
        <v/>
      </c>
      <c r="FD474">
        <f>IF(AND(B474=1,TRIM(INDEX(Charge!$K:$K,ROW()))&lt;&gt;"",TRIM(INDEX(Charge!$L:$L,ROW()))&lt;&gt;""),1,0)</f>
        <v>0</v>
      </c>
      <c r="FE474">
        <f>IF(OR(EN474="",BZ474="(non affecté)"),0,IF(COUNTIFS($EN$4:EN474,EN474,$BZ$4:BZ474,BZ474)=1,1,0))</f>
        <v>0</v>
      </c>
      <c r="FF474" t="str">
        <f>IF(B474=1,LEFT(SUBSTITUTE(SUBSTITUTE(SUBSTITUTE(TRIM(SUBSTITUTE(INDEX(Charge!$B:$B,ROW()),CHAR(160)," "))&amp;" | "&amp;TRIM(SUBSTITUTE(INDEX(Charge!$C:$C,ROW()),CHAR(160)," "))&amp;" | "&amp;TRIM(SUBSTITUTE(INDEX(Charge!$D:$D,ROW()),CHAR(160)," ")),"~","-"),"*","+"),"?","!"),240),"")</f>
        <v/>
      </c>
      <c r="FG474">
        <f>IF(B474=1,MAX(0,N(INDEX(Charge!$M:$M,ROW()))),0)</f>
        <v>0</v>
      </c>
      <c r="FH474" s="170" t="str">
        <f>IF(EO474=1,ROUND(SUMIF($FF$4:$FF$503,EN474,$FG$4:$FG$503),2),"")</f>
        <v/>
      </c>
      <c r="FI474" s="170" t="str">
        <f>IF(EO474=1,ROUND(SUMPRODUCT(($FF$4:$FF$503=EN474)*$FG$4:$FG$503*$C$4:$C$503),2),"")</f>
        <v/>
      </c>
      <c r="FJ474" s="170" t="str">
        <f>IF(EO474=1,MAX(0,ROUND(FH474-FI474,2)),"")</f>
        <v/>
      </c>
      <c r="FK474" s="174" t="str">
        <f>IF(EO474=1,IF(OR(EW474&gt;=2958465,EY474=0,EY474&lt;=EW474),"",IF(TODAY()&lt;=EW474,0,IF(TODAY()&gt;EY474,1,IFERROR(NETWORKDAYS(EW474,TODAY()-1,Data!$K$4:$K$203)/NETWORKDAYS(EW474,EY474,Data!$K$4:$K$203),"")))),"")</f>
        <v/>
      </c>
      <c r="FL474" t="str">
        <f>IF(EO474=1,IF(AND(EY474&gt;0,EY474&lt;TODAY(),ROUND(EU474,4)&lt;1),2,IF(FK474="",0,IF(ROUND(EU474-FK474,4)&lt;-0.15,1,0))),"")</f>
        <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9" t="str">
        <f>IF(AND(D475=1,ISNUMBER(INDEX(Charge!$N:$N,ROW()))),INDEX(Charge!$N:$N,ROW()),"")</f>
        <v/>
      </c>
      <c r="J475" s="169"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70">
        <f>IF(OR($I475="",$E475=0),0,IF(OR($J475&lt;W$3,$I475&gt;W$2),0,IF($K475=0,IF(AND($I475&gt;=W$3,$I475&lt;=W$2),$E475,0),$E475*NETWORKDAYS(MAX($I475,W$3),MIN($J475,W$2),Data!$K$4:$K$203)/$K475)))</f>
        <v>0</v>
      </c>
      <c r="X475" s="170">
        <f>IF(OR($I475="",$E475=0),0,IF(OR($J475&lt;X$3,$I475&gt;X$2),0,IF($K475=0,IF(AND($I475&gt;=X$3,$I475&lt;=X$2),$E475,0),$E475*NETWORKDAYS(MAX($I475,X$3),MIN($J475,X$2),Data!$K$4:$K$203)/$K475)))</f>
        <v>0</v>
      </c>
      <c r="Y475" s="170">
        <f>IF(OR($I475="",$E475=0),0,IF(OR($J475&lt;Y$3,$I475&gt;Y$2),0,IF($K475=0,IF(AND($I475&gt;=Y$3,$I475&lt;=Y$2),$E475,0),$E475*NETWORKDAYS(MAX($I475,Y$3),MIN($J475,Y$2),Data!$K$4:$K$203)/$K475)))</f>
        <v>0</v>
      </c>
      <c r="Z475" s="170">
        <f>IF(OR($I475="",$E475=0),0,IF(OR($J475&lt;Z$3,$I475&gt;Z$2),0,IF($K475=0,IF(AND($I475&gt;=Z$3,$I475&lt;=Z$2),$E475,0),$E475*NETWORKDAYS(MAX($I475,Z$3),MIN($J475,Z$2),Data!$K$4:$K$203)/$K475)))</f>
        <v>0</v>
      </c>
      <c r="AA475" s="170">
        <f>IF(OR($I475="",$E475=0),0,IF(OR($J475&lt;AA$3,$I475&gt;AA$2),0,IF($K475=0,IF(AND($I475&gt;=AA$3,$I475&lt;=AA$2),$E475,0),$E475*NETWORKDAYS(MAX($I475,AA$3),MIN($J475,AA$2),Data!$K$4:$K$203)/$K475)))</f>
        <v>0</v>
      </c>
      <c r="AB475" s="170">
        <f>IF(OR($I475="",$E475=0),0,IF(OR($J475&lt;AB$3,$I475&gt;AB$2),0,IF($K475=0,IF(AND($I475&gt;=AB$3,$I475&lt;=AB$2),$E475,0),$E475*NETWORKDAYS(MAX($I475,AB$3),MIN($J475,AB$2),Data!$K$4:$K$203)/$K475)))</f>
        <v>0</v>
      </c>
      <c r="AC475" s="170">
        <f>IF(OR($I475="",$E475=0),0,IF(OR($J475&lt;AC$3,$I475&gt;AC$2),0,IF($K475=0,IF(AND($I475&gt;=AC$3,$I475&lt;=AC$2),$E475,0),$E475*NETWORKDAYS(MAX($I475,AC$3),MIN($J475,AC$2),Data!$K$4:$K$203)/$K475)))</f>
        <v>0</v>
      </c>
      <c r="AD475" s="170">
        <f>IF(OR($I475="",$E475=0),0,IF(OR($J475&lt;AD$3,$I475&gt;AD$2),0,IF($K475=0,IF(AND($I475&gt;=AD$3,$I475&lt;=AD$2),$E475,0),$E475*NETWORKDAYS(MAX($I475,AD$3),MIN($J475,AD$2),Data!$K$4:$K$203)/$K475)))</f>
        <v>0</v>
      </c>
      <c r="AE475" s="170">
        <f>IF(OR($I475="",$E475=0),0,IF(OR($J475&lt;AE$3,$I475&gt;AE$2),0,IF($K475=0,IF(AND($I475&gt;=AE$3,$I475&lt;=AE$2),$E475,0),$E475*NETWORKDAYS(MAX($I475,AE$3),MIN($J475,AE$2),Data!$K$4:$K$203)/$K475)))</f>
        <v>0</v>
      </c>
      <c r="AF475" s="170">
        <f>IF(OR($I475="",$E475=0),0,IF(OR($J475&lt;AF$3,$I475&gt;AF$2),0,IF($K475=0,IF(AND($I475&gt;=AF$3,$I475&lt;=AF$2),$E475,0),$E475*NETWORKDAYS(MAX($I475,AF$3),MIN($J475,AF$2),Data!$K$4:$K$203)/$K475)))</f>
        <v>0</v>
      </c>
      <c r="AG475" s="170">
        <f>IF(OR($I475="",$E475=0),0,IF(OR($J475&lt;AG$3,$I475&gt;AG$2),0,IF($K475=0,IF(AND($I475&gt;=AG$3,$I475&lt;=AG$2),$E475,0),$E475*NETWORKDAYS(MAX($I475,AG$3),MIN($J475,AG$2),Data!$K$4:$K$203)/$K475)))</f>
        <v>0</v>
      </c>
      <c r="AH475" s="170">
        <f>IF(OR($I475="",$E475=0),0,IF(OR($J475&lt;AH$3,$I475&gt;AH$2),0,IF($K475=0,IF(AND($I475&gt;=AH$3,$I475&lt;=AH$2),$E475,0),$E475*NETWORKDAYS(MAX($I475,AH$3),MIN($J475,AH$2),Data!$K$4:$K$203)/$K475)))</f>
        <v>0</v>
      </c>
      <c r="AI475" s="170">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70"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4" t="str">
        <f>IF(EO475=1,IF(FH475&gt;0,FI475/FH475,AVERAGEIF($FF$4:$FF$503,EN475,$C$4:$C$503)),"")</f>
        <v/>
      </c>
      <c r="EV475" s="169">
        <f>IF(ISNUMBER(I475),I475,2958465)</f>
        <v>2958465.0</v>
      </c>
      <c r="EW475" s="169" t="str">
        <f>IF(EO475=1,SUMPRODUCT(MIN(($EN$4:$EN$503=EN475)*$EV$4:$EV$503+($EN$4:$EN$503&lt;&gt;EN475)*2958465)),"")</f>
        <v/>
      </c>
      <c r="EX475" s="169">
        <f>IF(AND(D475=1,ISNUMBER(INDEX(Charge!$F:$F,ROW()))),INDEX(Charge!$F:$F,ROW()),0)</f>
        <v>0.0</v>
      </c>
      <c r="EY475" s="169" t="str">
        <f>IF(EO475=1,SUMPRODUCT(MAX(($EN$4:$EN$503=EN475)*$EX$4:$EX$503)),"")</f>
        <v/>
      </c>
      <c r="FD475">
        <f>IF(AND(B475=1,TRIM(INDEX(Charge!$K:$K,ROW()))&lt;&gt;"",TRIM(INDEX(Charge!$L:$L,ROW()))&lt;&gt;""),1,0)</f>
        <v>0</v>
      </c>
      <c r="FE475">
        <f>IF(OR(EN475="",BZ475="(non affecté)"),0,IF(COUNTIFS($EN$4:EN475,EN475,$BZ$4:BZ475,BZ475)=1,1,0))</f>
        <v>0</v>
      </c>
      <c r="FF475" t="str">
        <f>IF(B475=1,LEFT(SUBSTITUTE(SUBSTITUTE(SUBSTITUTE(TRIM(SUBSTITUTE(INDEX(Charge!$B:$B,ROW()),CHAR(160)," "))&amp;" | "&amp;TRIM(SUBSTITUTE(INDEX(Charge!$C:$C,ROW()),CHAR(160)," "))&amp;" | "&amp;TRIM(SUBSTITUTE(INDEX(Charge!$D:$D,ROW()),CHAR(160)," ")),"~","-"),"*","+"),"?","!"),240),"")</f>
        <v/>
      </c>
      <c r="FG475">
        <f>IF(B475=1,MAX(0,N(INDEX(Charge!$M:$M,ROW()))),0)</f>
        <v>0</v>
      </c>
      <c r="FH475" s="170" t="str">
        <f>IF(EO475=1,ROUND(SUMIF($FF$4:$FF$503,EN475,$FG$4:$FG$503),2),"")</f>
        <v/>
      </c>
      <c r="FI475" s="170" t="str">
        <f>IF(EO475=1,ROUND(SUMPRODUCT(($FF$4:$FF$503=EN475)*$FG$4:$FG$503*$C$4:$C$503),2),"")</f>
        <v/>
      </c>
      <c r="FJ475" s="170" t="str">
        <f>IF(EO475=1,MAX(0,ROUND(FH475-FI475,2)),"")</f>
        <v/>
      </c>
      <c r="FK475" s="174" t="str">
        <f>IF(EO475=1,IF(OR(EW475&gt;=2958465,EY475=0,EY475&lt;=EW475),"",IF(TODAY()&lt;=EW475,0,IF(TODAY()&gt;EY475,1,IFERROR(NETWORKDAYS(EW475,TODAY()-1,Data!$K$4:$K$203)/NETWORKDAYS(EW475,EY475,Data!$K$4:$K$203),"")))),"")</f>
        <v/>
      </c>
      <c r="FL475" t="str">
        <f>IF(EO475=1,IF(AND(EY475&gt;0,EY475&lt;TODAY(),ROUND(EU475,4)&lt;1),2,IF(FK475="",0,IF(ROUND(EU475-FK475,4)&lt;-0.15,1,0))),"")</f>
        <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9" t="str">
        <f>IF(AND(D476=1,ISNUMBER(INDEX(Charge!$N:$N,ROW()))),INDEX(Charge!$N:$N,ROW()),"")</f>
        <v/>
      </c>
      <c r="J476" s="169"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70">
        <f>IF(OR($I476="",$E476=0),0,IF(OR($J476&lt;W$3,$I476&gt;W$2),0,IF($K476=0,IF(AND($I476&gt;=W$3,$I476&lt;=W$2),$E476,0),$E476*NETWORKDAYS(MAX($I476,W$3),MIN($J476,W$2),Data!$K$4:$K$203)/$K476)))</f>
        <v>0</v>
      </c>
      <c r="X476" s="170">
        <f>IF(OR($I476="",$E476=0),0,IF(OR($J476&lt;X$3,$I476&gt;X$2),0,IF($K476=0,IF(AND($I476&gt;=X$3,$I476&lt;=X$2),$E476,0),$E476*NETWORKDAYS(MAX($I476,X$3),MIN($J476,X$2),Data!$K$4:$K$203)/$K476)))</f>
        <v>0</v>
      </c>
      <c r="Y476" s="170">
        <f>IF(OR($I476="",$E476=0),0,IF(OR($J476&lt;Y$3,$I476&gt;Y$2),0,IF($K476=0,IF(AND($I476&gt;=Y$3,$I476&lt;=Y$2),$E476,0),$E476*NETWORKDAYS(MAX($I476,Y$3),MIN($J476,Y$2),Data!$K$4:$K$203)/$K476)))</f>
        <v>0</v>
      </c>
      <c r="Z476" s="170">
        <f>IF(OR($I476="",$E476=0),0,IF(OR($J476&lt;Z$3,$I476&gt;Z$2),0,IF($K476=0,IF(AND($I476&gt;=Z$3,$I476&lt;=Z$2),$E476,0),$E476*NETWORKDAYS(MAX($I476,Z$3),MIN($J476,Z$2),Data!$K$4:$K$203)/$K476)))</f>
        <v>0</v>
      </c>
      <c r="AA476" s="170">
        <f>IF(OR($I476="",$E476=0),0,IF(OR($J476&lt;AA$3,$I476&gt;AA$2),0,IF($K476=0,IF(AND($I476&gt;=AA$3,$I476&lt;=AA$2),$E476,0),$E476*NETWORKDAYS(MAX($I476,AA$3),MIN($J476,AA$2),Data!$K$4:$K$203)/$K476)))</f>
        <v>0</v>
      </c>
      <c r="AB476" s="170">
        <f>IF(OR($I476="",$E476=0),0,IF(OR($J476&lt;AB$3,$I476&gt;AB$2),0,IF($K476=0,IF(AND($I476&gt;=AB$3,$I476&lt;=AB$2),$E476,0),$E476*NETWORKDAYS(MAX($I476,AB$3),MIN($J476,AB$2),Data!$K$4:$K$203)/$K476)))</f>
        <v>0</v>
      </c>
      <c r="AC476" s="170">
        <f>IF(OR($I476="",$E476=0),0,IF(OR($J476&lt;AC$3,$I476&gt;AC$2),0,IF($K476=0,IF(AND($I476&gt;=AC$3,$I476&lt;=AC$2),$E476,0),$E476*NETWORKDAYS(MAX($I476,AC$3),MIN($J476,AC$2),Data!$K$4:$K$203)/$K476)))</f>
        <v>0</v>
      </c>
      <c r="AD476" s="170">
        <f>IF(OR($I476="",$E476=0),0,IF(OR($J476&lt;AD$3,$I476&gt;AD$2),0,IF($K476=0,IF(AND($I476&gt;=AD$3,$I476&lt;=AD$2),$E476,0),$E476*NETWORKDAYS(MAX($I476,AD$3),MIN($J476,AD$2),Data!$K$4:$K$203)/$K476)))</f>
        <v>0</v>
      </c>
      <c r="AE476" s="170">
        <f>IF(OR($I476="",$E476=0),0,IF(OR($J476&lt;AE$3,$I476&gt;AE$2),0,IF($K476=0,IF(AND($I476&gt;=AE$3,$I476&lt;=AE$2),$E476,0),$E476*NETWORKDAYS(MAX($I476,AE$3),MIN($J476,AE$2),Data!$K$4:$K$203)/$K476)))</f>
        <v>0</v>
      </c>
      <c r="AF476" s="170">
        <f>IF(OR($I476="",$E476=0),0,IF(OR($J476&lt;AF$3,$I476&gt;AF$2),0,IF($K476=0,IF(AND($I476&gt;=AF$3,$I476&lt;=AF$2),$E476,0),$E476*NETWORKDAYS(MAX($I476,AF$3),MIN($J476,AF$2),Data!$K$4:$K$203)/$K476)))</f>
        <v>0</v>
      </c>
      <c r="AG476" s="170">
        <f>IF(OR($I476="",$E476=0),0,IF(OR($J476&lt;AG$3,$I476&gt;AG$2),0,IF($K476=0,IF(AND($I476&gt;=AG$3,$I476&lt;=AG$2),$E476,0),$E476*NETWORKDAYS(MAX($I476,AG$3),MIN($J476,AG$2),Data!$K$4:$K$203)/$K476)))</f>
        <v>0</v>
      </c>
      <c r="AH476" s="170">
        <f>IF(OR($I476="",$E476=0),0,IF(OR($J476&lt;AH$3,$I476&gt;AH$2),0,IF($K476=0,IF(AND($I476&gt;=AH$3,$I476&lt;=AH$2),$E476,0),$E476*NETWORKDAYS(MAX($I476,AH$3),MIN($J476,AH$2),Data!$K$4:$K$203)/$K476)))</f>
        <v>0</v>
      </c>
      <c r="AI476" s="170">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70"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4" t="str">
        <f>IF(EO476=1,IF(FH476&gt;0,FI476/FH476,AVERAGEIF($FF$4:$FF$503,EN476,$C$4:$C$503)),"")</f>
        <v/>
      </c>
      <c r="EV476" s="169">
        <f>IF(ISNUMBER(I476),I476,2958465)</f>
        <v>2958465.0</v>
      </c>
      <c r="EW476" s="169" t="str">
        <f>IF(EO476=1,SUMPRODUCT(MIN(($EN$4:$EN$503=EN476)*$EV$4:$EV$503+($EN$4:$EN$503&lt;&gt;EN476)*2958465)),"")</f>
        <v/>
      </c>
      <c r="EX476" s="169">
        <f>IF(AND(D476=1,ISNUMBER(INDEX(Charge!$F:$F,ROW()))),INDEX(Charge!$F:$F,ROW()),0)</f>
        <v>0.0</v>
      </c>
      <c r="EY476" s="169" t="str">
        <f>IF(EO476=1,SUMPRODUCT(MAX(($EN$4:$EN$503=EN476)*$EX$4:$EX$503)),"")</f>
        <v/>
      </c>
      <c r="FD476">
        <f>IF(AND(B476=1,TRIM(INDEX(Charge!$K:$K,ROW()))&lt;&gt;"",TRIM(INDEX(Charge!$L:$L,ROW()))&lt;&gt;""),1,0)</f>
        <v>0</v>
      </c>
      <c r="FE476">
        <f>IF(OR(EN476="",BZ476="(non affecté)"),0,IF(COUNTIFS($EN$4:EN476,EN476,$BZ$4:BZ476,BZ476)=1,1,0))</f>
        <v>0</v>
      </c>
      <c r="FF476" t="str">
        <f>IF(B476=1,LEFT(SUBSTITUTE(SUBSTITUTE(SUBSTITUTE(TRIM(SUBSTITUTE(INDEX(Charge!$B:$B,ROW()),CHAR(160)," "))&amp;" | "&amp;TRIM(SUBSTITUTE(INDEX(Charge!$C:$C,ROW()),CHAR(160)," "))&amp;" | "&amp;TRIM(SUBSTITUTE(INDEX(Charge!$D:$D,ROW()),CHAR(160)," ")),"~","-"),"*","+"),"?","!"),240),"")</f>
        <v/>
      </c>
      <c r="FG476">
        <f>IF(B476=1,MAX(0,N(INDEX(Charge!$M:$M,ROW()))),0)</f>
        <v>0</v>
      </c>
      <c r="FH476" s="170" t="str">
        <f>IF(EO476=1,ROUND(SUMIF($FF$4:$FF$503,EN476,$FG$4:$FG$503),2),"")</f>
        <v/>
      </c>
      <c r="FI476" s="170" t="str">
        <f>IF(EO476=1,ROUND(SUMPRODUCT(($FF$4:$FF$503=EN476)*$FG$4:$FG$503*$C$4:$C$503),2),"")</f>
        <v/>
      </c>
      <c r="FJ476" s="170" t="str">
        <f>IF(EO476=1,MAX(0,ROUND(FH476-FI476,2)),"")</f>
        <v/>
      </c>
      <c r="FK476" s="174" t="str">
        <f>IF(EO476=1,IF(OR(EW476&gt;=2958465,EY476=0,EY476&lt;=EW476),"",IF(TODAY()&lt;=EW476,0,IF(TODAY()&gt;EY476,1,IFERROR(NETWORKDAYS(EW476,TODAY()-1,Data!$K$4:$K$203)/NETWORKDAYS(EW476,EY476,Data!$K$4:$K$203),"")))),"")</f>
        <v/>
      </c>
      <c r="FL476" t="str">
        <f>IF(EO476=1,IF(AND(EY476&gt;0,EY476&lt;TODAY(),ROUND(EU476,4)&lt;1),2,IF(FK476="",0,IF(ROUND(EU476-FK476,4)&lt;-0.15,1,0))),"")</f>
        <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9" t="str">
        <f>IF(AND(D477=1,ISNUMBER(INDEX(Charge!$N:$N,ROW()))),INDEX(Charge!$N:$N,ROW()),"")</f>
        <v/>
      </c>
      <c r="J477" s="169"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70">
        <f>IF(OR($I477="",$E477=0),0,IF(OR($J477&lt;W$3,$I477&gt;W$2),0,IF($K477=0,IF(AND($I477&gt;=W$3,$I477&lt;=W$2),$E477,0),$E477*NETWORKDAYS(MAX($I477,W$3),MIN($J477,W$2),Data!$K$4:$K$203)/$K477)))</f>
        <v>0</v>
      </c>
      <c r="X477" s="170">
        <f>IF(OR($I477="",$E477=0),0,IF(OR($J477&lt;X$3,$I477&gt;X$2),0,IF($K477=0,IF(AND($I477&gt;=X$3,$I477&lt;=X$2),$E477,0),$E477*NETWORKDAYS(MAX($I477,X$3),MIN($J477,X$2),Data!$K$4:$K$203)/$K477)))</f>
        <v>0</v>
      </c>
      <c r="Y477" s="170">
        <f>IF(OR($I477="",$E477=0),0,IF(OR($J477&lt;Y$3,$I477&gt;Y$2),0,IF($K477=0,IF(AND($I477&gt;=Y$3,$I477&lt;=Y$2),$E477,0),$E477*NETWORKDAYS(MAX($I477,Y$3),MIN($J477,Y$2),Data!$K$4:$K$203)/$K477)))</f>
        <v>0</v>
      </c>
      <c r="Z477" s="170">
        <f>IF(OR($I477="",$E477=0),0,IF(OR($J477&lt;Z$3,$I477&gt;Z$2),0,IF($K477=0,IF(AND($I477&gt;=Z$3,$I477&lt;=Z$2),$E477,0),$E477*NETWORKDAYS(MAX($I477,Z$3),MIN($J477,Z$2),Data!$K$4:$K$203)/$K477)))</f>
        <v>0</v>
      </c>
      <c r="AA477" s="170">
        <f>IF(OR($I477="",$E477=0),0,IF(OR($J477&lt;AA$3,$I477&gt;AA$2),0,IF($K477=0,IF(AND($I477&gt;=AA$3,$I477&lt;=AA$2),$E477,0),$E477*NETWORKDAYS(MAX($I477,AA$3),MIN($J477,AA$2),Data!$K$4:$K$203)/$K477)))</f>
        <v>0</v>
      </c>
      <c r="AB477" s="170">
        <f>IF(OR($I477="",$E477=0),0,IF(OR($J477&lt;AB$3,$I477&gt;AB$2),0,IF($K477=0,IF(AND($I477&gt;=AB$3,$I477&lt;=AB$2),$E477,0),$E477*NETWORKDAYS(MAX($I477,AB$3),MIN($J477,AB$2),Data!$K$4:$K$203)/$K477)))</f>
        <v>0</v>
      </c>
      <c r="AC477" s="170">
        <f>IF(OR($I477="",$E477=0),0,IF(OR($J477&lt;AC$3,$I477&gt;AC$2),0,IF($K477=0,IF(AND($I477&gt;=AC$3,$I477&lt;=AC$2),$E477,0),$E477*NETWORKDAYS(MAX($I477,AC$3),MIN($J477,AC$2),Data!$K$4:$K$203)/$K477)))</f>
        <v>0</v>
      </c>
      <c r="AD477" s="170">
        <f>IF(OR($I477="",$E477=0),0,IF(OR($J477&lt;AD$3,$I477&gt;AD$2),0,IF($K477=0,IF(AND($I477&gt;=AD$3,$I477&lt;=AD$2),$E477,0),$E477*NETWORKDAYS(MAX($I477,AD$3),MIN($J477,AD$2),Data!$K$4:$K$203)/$K477)))</f>
        <v>0</v>
      </c>
      <c r="AE477" s="170">
        <f>IF(OR($I477="",$E477=0),0,IF(OR($J477&lt;AE$3,$I477&gt;AE$2),0,IF($K477=0,IF(AND($I477&gt;=AE$3,$I477&lt;=AE$2),$E477,0),$E477*NETWORKDAYS(MAX($I477,AE$3),MIN($J477,AE$2),Data!$K$4:$K$203)/$K477)))</f>
        <v>0</v>
      </c>
      <c r="AF477" s="170">
        <f>IF(OR($I477="",$E477=0),0,IF(OR($J477&lt;AF$3,$I477&gt;AF$2),0,IF($K477=0,IF(AND($I477&gt;=AF$3,$I477&lt;=AF$2),$E477,0),$E477*NETWORKDAYS(MAX($I477,AF$3),MIN($J477,AF$2),Data!$K$4:$K$203)/$K477)))</f>
        <v>0</v>
      </c>
      <c r="AG477" s="170">
        <f>IF(OR($I477="",$E477=0),0,IF(OR($J477&lt;AG$3,$I477&gt;AG$2),0,IF($K477=0,IF(AND($I477&gt;=AG$3,$I477&lt;=AG$2),$E477,0),$E477*NETWORKDAYS(MAX($I477,AG$3),MIN($J477,AG$2),Data!$K$4:$K$203)/$K477)))</f>
        <v>0</v>
      </c>
      <c r="AH477" s="170">
        <f>IF(OR($I477="",$E477=0),0,IF(OR($J477&lt;AH$3,$I477&gt;AH$2),0,IF($K477=0,IF(AND($I477&gt;=AH$3,$I477&lt;=AH$2),$E477,0),$E477*NETWORKDAYS(MAX($I477,AH$3),MIN($J477,AH$2),Data!$K$4:$K$203)/$K477)))</f>
        <v>0</v>
      </c>
      <c r="AI477" s="170">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70"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4" t="str">
        <f>IF(EO477=1,IF(FH477&gt;0,FI477/FH477,AVERAGEIF($FF$4:$FF$503,EN477,$C$4:$C$503)),"")</f>
        <v/>
      </c>
      <c r="EV477" s="169">
        <f>IF(ISNUMBER(I477),I477,2958465)</f>
        <v>2958465.0</v>
      </c>
      <c r="EW477" s="169" t="str">
        <f>IF(EO477=1,SUMPRODUCT(MIN(($EN$4:$EN$503=EN477)*$EV$4:$EV$503+($EN$4:$EN$503&lt;&gt;EN477)*2958465)),"")</f>
        <v/>
      </c>
      <c r="EX477" s="169">
        <f>IF(AND(D477=1,ISNUMBER(INDEX(Charge!$F:$F,ROW()))),INDEX(Charge!$F:$F,ROW()),0)</f>
        <v>0.0</v>
      </c>
      <c r="EY477" s="169" t="str">
        <f>IF(EO477=1,SUMPRODUCT(MAX(($EN$4:$EN$503=EN477)*$EX$4:$EX$503)),"")</f>
        <v/>
      </c>
      <c r="FD477">
        <f>IF(AND(B477=1,TRIM(INDEX(Charge!$K:$K,ROW()))&lt;&gt;"",TRIM(INDEX(Charge!$L:$L,ROW()))&lt;&gt;""),1,0)</f>
        <v>0</v>
      </c>
      <c r="FE477">
        <f>IF(OR(EN477="",BZ477="(non affecté)"),0,IF(COUNTIFS($EN$4:EN477,EN477,$BZ$4:BZ477,BZ477)=1,1,0))</f>
        <v>0</v>
      </c>
      <c r="FF477" t="str">
        <f>IF(B477=1,LEFT(SUBSTITUTE(SUBSTITUTE(SUBSTITUTE(TRIM(SUBSTITUTE(INDEX(Charge!$B:$B,ROW()),CHAR(160)," "))&amp;" | "&amp;TRIM(SUBSTITUTE(INDEX(Charge!$C:$C,ROW()),CHAR(160)," "))&amp;" | "&amp;TRIM(SUBSTITUTE(INDEX(Charge!$D:$D,ROW()),CHAR(160)," ")),"~","-"),"*","+"),"?","!"),240),"")</f>
        <v/>
      </c>
      <c r="FG477">
        <f>IF(B477=1,MAX(0,N(INDEX(Charge!$M:$M,ROW()))),0)</f>
        <v>0</v>
      </c>
      <c r="FH477" s="170" t="str">
        <f>IF(EO477=1,ROUND(SUMIF($FF$4:$FF$503,EN477,$FG$4:$FG$503),2),"")</f>
        <v/>
      </c>
      <c r="FI477" s="170" t="str">
        <f>IF(EO477=1,ROUND(SUMPRODUCT(($FF$4:$FF$503=EN477)*$FG$4:$FG$503*$C$4:$C$503),2),"")</f>
        <v/>
      </c>
      <c r="FJ477" s="170" t="str">
        <f>IF(EO477=1,MAX(0,ROUND(FH477-FI477,2)),"")</f>
        <v/>
      </c>
      <c r="FK477" s="174" t="str">
        <f>IF(EO477=1,IF(OR(EW477&gt;=2958465,EY477=0,EY477&lt;=EW477),"",IF(TODAY()&lt;=EW477,0,IF(TODAY()&gt;EY477,1,IFERROR(NETWORKDAYS(EW477,TODAY()-1,Data!$K$4:$K$203)/NETWORKDAYS(EW477,EY477,Data!$K$4:$K$203),"")))),"")</f>
        <v/>
      </c>
      <c r="FL477" t="str">
        <f>IF(EO477=1,IF(AND(EY477&gt;0,EY477&lt;TODAY(),ROUND(EU477,4)&lt;1),2,IF(FK477="",0,IF(ROUND(EU477-FK477,4)&lt;-0.15,1,0))),"")</f>
        <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9" t="str">
        <f>IF(AND(D478=1,ISNUMBER(INDEX(Charge!$N:$N,ROW()))),INDEX(Charge!$N:$N,ROW()),"")</f>
        <v/>
      </c>
      <c r="J478" s="169"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70">
        <f>IF(OR($I478="",$E478=0),0,IF(OR($J478&lt;W$3,$I478&gt;W$2),0,IF($K478=0,IF(AND($I478&gt;=W$3,$I478&lt;=W$2),$E478,0),$E478*NETWORKDAYS(MAX($I478,W$3),MIN($J478,W$2),Data!$K$4:$K$203)/$K478)))</f>
        <v>0</v>
      </c>
      <c r="X478" s="170">
        <f>IF(OR($I478="",$E478=0),0,IF(OR($J478&lt;X$3,$I478&gt;X$2),0,IF($K478=0,IF(AND($I478&gt;=X$3,$I478&lt;=X$2),$E478,0),$E478*NETWORKDAYS(MAX($I478,X$3),MIN($J478,X$2),Data!$K$4:$K$203)/$K478)))</f>
        <v>0</v>
      </c>
      <c r="Y478" s="170">
        <f>IF(OR($I478="",$E478=0),0,IF(OR($J478&lt;Y$3,$I478&gt;Y$2),0,IF($K478=0,IF(AND($I478&gt;=Y$3,$I478&lt;=Y$2),$E478,0),$E478*NETWORKDAYS(MAX($I478,Y$3),MIN($J478,Y$2),Data!$K$4:$K$203)/$K478)))</f>
        <v>0</v>
      </c>
      <c r="Z478" s="170">
        <f>IF(OR($I478="",$E478=0),0,IF(OR($J478&lt;Z$3,$I478&gt;Z$2),0,IF($K478=0,IF(AND($I478&gt;=Z$3,$I478&lt;=Z$2),$E478,0),$E478*NETWORKDAYS(MAX($I478,Z$3),MIN($J478,Z$2),Data!$K$4:$K$203)/$K478)))</f>
        <v>0</v>
      </c>
      <c r="AA478" s="170">
        <f>IF(OR($I478="",$E478=0),0,IF(OR($J478&lt;AA$3,$I478&gt;AA$2),0,IF($K478=0,IF(AND($I478&gt;=AA$3,$I478&lt;=AA$2),$E478,0),$E478*NETWORKDAYS(MAX($I478,AA$3),MIN($J478,AA$2),Data!$K$4:$K$203)/$K478)))</f>
        <v>0</v>
      </c>
      <c r="AB478" s="170">
        <f>IF(OR($I478="",$E478=0),0,IF(OR($J478&lt;AB$3,$I478&gt;AB$2),0,IF($K478=0,IF(AND($I478&gt;=AB$3,$I478&lt;=AB$2),$E478,0),$E478*NETWORKDAYS(MAX($I478,AB$3),MIN($J478,AB$2),Data!$K$4:$K$203)/$K478)))</f>
        <v>0</v>
      </c>
      <c r="AC478" s="170">
        <f>IF(OR($I478="",$E478=0),0,IF(OR($J478&lt;AC$3,$I478&gt;AC$2),0,IF($K478=0,IF(AND($I478&gt;=AC$3,$I478&lt;=AC$2),$E478,0),$E478*NETWORKDAYS(MAX($I478,AC$3),MIN($J478,AC$2),Data!$K$4:$K$203)/$K478)))</f>
        <v>0</v>
      </c>
      <c r="AD478" s="170">
        <f>IF(OR($I478="",$E478=0),0,IF(OR($J478&lt;AD$3,$I478&gt;AD$2),0,IF($K478=0,IF(AND($I478&gt;=AD$3,$I478&lt;=AD$2),$E478,0),$E478*NETWORKDAYS(MAX($I478,AD$3),MIN($J478,AD$2),Data!$K$4:$K$203)/$K478)))</f>
        <v>0</v>
      </c>
      <c r="AE478" s="170">
        <f>IF(OR($I478="",$E478=0),0,IF(OR($J478&lt;AE$3,$I478&gt;AE$2),0,IF($K478=0,IF(AND($I478&gt;=AE$3,$I478&lt;=AE$2),$E478,0),$E478*NETWORKDAYS(MAX($I478,AE$3),MIN($J478,AE$2),Data!$K$4:$K$203)/$K478)))</f>
        <v>0</v>
      </c>
      <c r="AF478" s="170">
        <f>IF(OR($I478="",$E478=0),0,IF(OR($J478&lt;AF$3,$I478&gt;AF$2),0,IF($K478=0,IF(AND($I478&gt;=AF$3,$I478&lt;=AF$2),$E478,0),$E478*NETWORKDAYS(MAX($I478,AF$3),MIN($J478,AF$2),Data!$K$4:$K$203)/$K478)))</f>
        <v>0</v>
      </c>
      <c r="AG478" s="170">
        <f>IF(OR($I478="",$E478=0),0,IF(OR($J478&lt;AG$3,$I478&gt;AG$2),0,IF($K478=0,IF(AND($I478&gt;=AG$3,$I478&lt;=AG$2),$E478,0),$E478*NETWORKDAYS(MAX($I478,AG$3),MIN($J478,AG$2),Data!$K$4:$K$203)/$K478)))</f>
        <v>0</v>
      </c>
      <c r="AH478" s="170">
        <f>IF(OR($I478="",$E478=0),0,IF(OR($J478&lt;AH$3,$I478&gt;AH$2),0,IF($K478=0,IF(AND($I478&gt;=AH$3,$I478&lt;=AH$2),$E478,0),$E478*NETWORKDAYS(MAX($I478,AH$3),MIN($J478,AH$2),Data!$K$4:$K$203)/$K478)))</f>
        <v>0</v>
      </c>
      <c r="AI478" s="170">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70"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4" t="str">
        <f>IF(EO478=1,IF(FH478&gt;0,FI478/FH478,AVERAGEIF($FF$4:$FF$503,EN478,$C$4:$C$503)),"")</f>
        <v/>
      </c>
      <c r="EV478" s="169">
        <f>IF(ISNUMBER(I478),I478,2958465)</f>
        <v>2958465.0</v>
      </c>
      <c r="EW478" s="169" t="str">
        <f>IF(EO478=1,SUMPRODUCT(MIN(($EN$4:$EN$503=EN478)*$EV$4:$EV$503+($EN$4:$EN$503&lt;&gt;EN478)*2958465)),"")</f>
        <v/>
      </c>
      <c r="EX478" s="169">
        <f>IF(AND(D478=1,ISNUMBER(INDEX(Charge!$F:$F,ROW()))),INDEX(Charge!$F:$F,ROW()),0)</f>
        <v>0.0</v>
      </c>
      <c r="EY478" s="169" t="str">
        <f>IF(EO478=1,SUMPRODUCT(MAX(($EN$4:$EN$503=EN478)*$EX$4:$EX$503)),"")</f>
        <v/>
      </c>
      <c r="FD478">
        <f>IF(AND(B478=1,TRIM(INDEX(Charge!$K:$K,ROW()))&lt;&gt;"",TRIM(INDEX(Charge!$L:$L,ROW()))&lt;&gt;""),1,0)</f>
        <v>0</v>
      </c>
      <c r="FE478">
        <f>IF(OR(EN478="",BZ478="(non affecté)"),0,IF(COUNTIFS($EN$4:EN478,EN478,$BZ$4:BZ478,BZ478)=1,1,0))</f>
        <v>0</v>
      </c>
      <c r="FF478" t="str">
        <f>IF(B478=1,LEFT(SUBSTITUTE(SUBSTITUTE(SUBSTITUTE(TRIM(SUBSTITUTE(INDEX(Charge!$B:$B,ROW()),CHAR(160)," "))&amp;" | "&amp;TRIM(SUBSTITUTE(INDEX(Charge!$C:$C,ROW()),CHAR(160)," "))&amp;" | "&amp;TRIM(SUBSTITUTE(INDEX(Charge!$D:$D,ROW()),CHAR(160)," ")),"~","-"),"*","+"),"?","!"),240),"")</f>
        <v/>
      </c>
      <c r="FG478">
        <f>IF(B478=1,MAX(0,N(INDEX(Charge!$M:$M,ROW()))),0)</f>
        <v>0</v>
      </c>
      <c r="FH478" s="170" t="str">
        <f>IF(EO478=1,ROUND(SUMIF($FF$4:$FF$503,EN478,$FG$4:$FG$503),2),"")</f>
        <v/>
      </c>
      <c r="FI478" s="170" t="str">
        <f>IF(EO478=1,ROUND(SUMPRODUCT(($FF$4:$FF$503=EN478)*$FG$4:$FG$503*$C$4:$C$503),2),"")</f>
        <v/>
      </c>
      <c r="FJ478" s="170" t="str">
        <f>IF(EO478=1,MAX(0,ROUND(FH478-FI478,2)),"")</f>
        <v/>
      </c>
      <c r="FK478" s="174" t="str">
        <f>IF(EO478=1,IF(OR(EW478&gt;=2958465,EY478=0,EY478&lt;=EW478),"",IF(TODAY()&lt;=EW478,0,IF(TODAY()&gt;EY478,1,IFERROR(NETWORKDAYS(EW478,TODAY()-1,Data!$K$4:$K$203)/NETWORKDAYS(EW478,EY478,Data!$K$4:$K$203),"")))),"")</f>
        <v/>
      </c>
      <c r="FL478" t="str">
        <f>IF(EO478=1,IF(AND(EY478&gt;0,EY478&lt;TODAY(),ROUND(EU478,4)&lt;1),2,IF(FK478="",0,IF(ROUND(EU478-FK478,4)&lt;-0.15,1,0))),"")</f>
        <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9" t="str">
        <f>IF(AND(D479=1,ISNUMBER(INDEX(Charge!$N:$N,ROW()))),INDEX(Charge!$N:$N,ROW()),"")</f>
        <v/>
      </c>
      <c r="J479" s="169"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70">
        <f>IF(OR($I479="",$E479=0),0,IF(OR($J479&lt;W$3,$I479&gt;W$2),0,IF($K479=0,IF(AND($I479&gt;=W$3,$I479&lt;=W$2),$E479,0),$E479*NETWORKDAYS(MAX($I479,W$3),MIN($J479,W$2),Data!$K$4:$K$203)/$K479)))</f>
        <v>0</v>
      </c>
      <c r="X479" s="170">
        <f>IF(OR($I479="",$E479=0),0,IF(OR($J479&lt;X$3,$I479&gt;X$2),0,IF($K479=0,IF(AND($I479&gt;=X$3,$I479&lt;=X$2),$E479,0),$E479*NETWORKDAYS(MAX($I479,X$3),MIN($J479,X$2),Data!$K$4:$K$203)/$K479)))</f>
        <v>0</v>
      </c>
      <c r="Y479" s="170">
        <f>IF(OR($I479="",$E479=0),0,IF(OR($J479&lt;Y$3,$I479&gt;Y$2),0,IF($K479=0,IF(AND($I479&gt;=Y$3,$I479&lt;=Y$2),$E479,0),$E479*NETWORKDAYS(MAX($I479,Y$3),MIN($J479,Y$2),Data!$K$4:$K$203)/$K479)))</f>
        <v>0</v>
      </c>
      <c r="Z479" s="170">
        <f>IF(OR($I479="",$E479=0),0,IF(OR($J479&lt;Z$3,$I479&gt;Z$2),0,IF($K479=0,IF(AND($I479&gt;=Z$3,$I479&lt;=Z$2),$E479,0),$E479*NETWORKDAYS(MAX($I479,Z$3),MIN($J479,Z$2),Data!$K$4:$K$203)/$K479)))</f>
        <v>0</v>
      </c>
      <c r="AA479" s="170">
        <f>IF(OR($I479="",$E479=0),0,IF(OR($J479&lt;AA$3,$I479&gt;AA$2),0,IF($K479=0,IF(AND($I479&gt;=AA$3,$I479&lt;=AA$2),$E479,0),$E479*NETWORKDAYS(MAX($I479,AA$3),MIN($J479,AA$2),Data!$K$4:$K$203)/$K479)))</f>
        <v>0</v>
      </c>
      <c r="AB479" s="170">
        <f>IF(OR($I479="",$E479=0),0,IF(OR($J479&lt;AB$3,$I479&gt;AB$2),0,IF($K479=0,IF(AND($I479&gt;=AB$3,$I479&lt;=AB$2),$E479,0),$E479*NETWORKDAYS(MAX($I479,AB$3),MIN($J479,AB$2),Data!$K$4:$K$203)/$K479)))</f>
        <v>0</v>
      </c>
      <c r="AC479" s="170">
        <f>IF(OR($I479="",$E479=0),0,IF(OR($J479&lt;AC$3,$I479&gt;AC$2),0,IF($K479=0,IF(AND($I479&gt;=AC$3,$I479&lt;=AC$2),$E479,0),$E479*NETWORKDAYS(MAX($I479,AC$3),MIN($J479,AC$2),Data!$K$4:$K$203)/$K479)))</f>
        <v>0</v>
      </c>
      <c r="AD479" s="170">
        <f>IF(OR($I479="",$E479=0),0,IF(OR($J479&lt;AD$3,$I479&gt;AD$2),0,IF($K479=0,IF(AND($I479&gt;=AD$3,$I479&lt;=AD$2),$E479,0),$E479*NETWORKDAYS(MAX($I479,AD$3),MIN($J479,AD$2),Data!$K$4:$K$203)/$K479)))</f>
        <v>0</v>
      </c>
      <c r="AE479" s="170">
        <f>IF(OR($I479="",$E479=0),0,IF(OR($J479&lt;AE$3,$I479&gt;AE$2),0,IF($K479=0,IF(AND($I479&gt;=AE$3,$I479&lt;=AE$2),$E479,0),$E479*NETWORKDAYS(MAX($I479,AE$3),MIN($J479,AE$2),Data!$K$4:$K$203)/$K479)))</f>
        <v>0</v>
      </c>
      <c r="AF479" s="170">
        <f>IF(OR($I479="",$E479=0),0,IF(OR($J479&lt;AF$3,$I479&gt;AF$2),0,IF($K479=0,IF(AND($I479&gt;=AF$3,$I479&lt;=AF$2),$E479,0),$E479*NETWORKDAYS(MAX($I479,AF$3),MIN($J479,AF$2),Data!$K$4:$K$203)/$K479)))</f>
        <v>0</v>
      </c>
      <c r="AG479" s="170">
        <f>IF(OR($I479="",$E479=0),0,IF(OR($J479&lt;AG$3,$I479&gt;AG$2),0,IF($K479=0,IF(AND($I479&gt;=AG$3,$I479&lt;=AG$2),$E479,0),$E479*NETWORKDAYS(MAX($I479,AG$3),MIN($J479,AG$2),Data!$K$4:$K$203)/$K479)))</f>
        <v>0</v>
      </c>
      <c r="AH479" s="170">
        <f>IF(OR($I479="",$E479=0),0,IF(OR($J479&lt;AH$3,$I479&gt;AH$2),0,IF($K479=0,IF(AND($I479&gt;=AH$3,$I479&lt;=AH$2),$E479,0),$E479*NETWORKDAYS(MAX($I479,AH$3),MIN($J479,AH$2),Data!$K$4:$K$203)/$K479)))</f>
        <v>0</v>
      </c>
      <c r="AI479" s="170">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70"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4" t="str">
        <f>IF(EO479=1,IF(FH479&gt;0,FI479/FH479,AVERAGEIF($FF$4:$FF$503,EN479,$C$4:$C$503)),"")</f>
        <v/>
      </c>
      <c r="EV479" s="169">
        <f>IF(ISNUMBER(I479),I479,2958465)</f>
        <v>2958465.0</v>
      </c>
      <c r="EW479" s="169" t="str">
        <f>IF(EO479=1,SUMPRODUCT(MIN(($EN$4:$EN$503=EN479)*$EV$4:$EV$503+($EN$4:$EN$503&lt;&gt;EN479)*2958465)),"")</f>
        <v/>
      </c>
      <c r="EX479" s="169">
        <f>IF(AND(D479=1,ISNUMBER(INDEX(Charge!$F:$F,ROW()))),INDEX(Charge!$F:$F,ROW()),0)</f>
        <v>0.0</v>
      </c>
      <c r="EY479" s="169" t="str">
        <f>IF(EO479=1,SUMPRODUCT(MAX(($EN$4:$EN$503=EN479)*$EX$4:$EX$503)),"")</f>
        <v/>
      </c>
      <c r="FD479">
        <f>IF(AND(B479=1,TRIM(INDEX(Charge!$K:$K,ROW()))&lt;&gt;"",TRIM(INDEX(Charge!$L:$L,ROW()))&lt;&gt;""),1,0)</f>
        <v>0</v>
      </c>
      <c r="FE479">
        <f>IF(OR(EN479="",BZ479="(non affecté)"),0,IF(COUNTIFS($EN$4:EN479,EN479,$BZ$4:BZ479,BZ479)=1,1,0))</f>
        <v>0</v>
      </c>
      <c r="FF479" t="str">
        <f>IF(B479=1,LEFT(SUBSTITUTE(SUBSTITUTE(SUBSTITUTE(TRIM(SUBSTITUTE(INDEX(Charge!$B:$B,ROW()),CHAR(160)," "))&amp;" | "&amp;TRIM(SUBSTITUTE(INDEX(Charge!$C:$C,ROW()),CHAR(160)," "))&amp;" | "&amp;TRIM(SUBSTITUTE(INDEX(Charge!$D:$D,ROW()),CHAR(160)," ")),"~","-"),"*","+"),"?","!"),240),"")</f>
        <v/>
      </c>
      <c r="FG479">
        <f>IF(B479=1,MAX(0,N(INDEX(Charge!$M:$M,ROW()))),0)</f>
        <v>0</v>
      </c>
      <c r="FH479" s="170" t="str">
        <f>IF(EO479=1,ROUND(SUMIF($FF$4:$FF$503,EN479,$FG$4:$FG$503),2),"")</f>
        <v/>
      </c>
      <c r="FI479" s="170" t="str">
        <f>IF(EO479=1,ROUND(SUMPRODUCT(($FF$4:$FF$503=EN479)*$FG$4:$FG$503*$C$4:$C$503),2),"")</f>
        <v/>
      </c>
      <c r="FJ479" s="170" t="str">
        <f>IF(EO479=1,MAX(0,ROUND(FH479-FI479,2)),"")</f>
        <v/>
      </c>
      <c r="FK479" s="174" t="str">
        <f>IF(EO479=1,IF(OR(EW479&gt;=2958465,EY479=0,EY479&lt;=EW479),"",IF(TODAY()&lt;=EW479,0,IF(TODAY()&gt;EY479,1,IFERROR(NETWORKDAYS(EW479,TODAY()-1,Data!$K$4:$K$203)/NETWORKDAYS(EW479,EY479,Data!$K$4:$K$203),"")))),"")</f>
        <v/>
      </c>
      <c r="FL479" t="str">
        <f>IF(EO479=1,IF(AND(EY479&gt;0,EY479&lt;TODAY(),ROUND(EU479,4)&lt;1),2,IF(FK479="",0,IF(ROUND(EU479-FK479,4)&lt;-0.15,1,0))),"")</f>
        <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9" t="str">
        <f>IF(AND(D480=1,ISNUMBER(INDEX(Charge!$N:$N,ROW()))),INDEX(Charge!$N:$N,ROW()),"")</f>
        <v/>
      </c>
      <c r="J480" s="169"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70">
        <f>IF(OR($I480="",$E480=0),0,IF(OR($J480&lt;W$3,$I480&gt;W$2),0,IF($K480=0,IF(AND($I480&gt;=W$3,$I480&lt;=W$2),$E480,0),$E480*NETWORKDAYS(MAX($I480,W$3),MIN($J480,W$2),Data!$K$4:$K$203)/$K480)))</f>
        <v>0</v>
      </c>
      <c r="X480" s="170">
        <f>IF(OR($I480="",$E480=0),0,IF(OR($J480&lt;X$3,$I480&gt;X$2),0,IF($K480=0,IF(AND($I480&gt;=X$3,$I480&lt;=X$2),$E480,0),$E480*NETWORKDAYS(MAX($I480,X$3),MIN($J480,X$2),Data!$K$4:$K$203)/$K480)))</f>
        <v>0</v>
      </c>
      <c r="Y480" s="170">
        <f>IF(OR($I480="",$E480=0),0,IF(OR($J480&lt;Y$3,$I480&gt;Y$2),0,IF($K480=0,IF(AND($I480&gt;=Y$3,$I480&lt;=Y$2),$E480,0),$E480*NETWORKDAYS(MAX($I480,Y$3),MIN($J480,Y$2),Data!$K$4:$K$203)/$K480)))</f>
        <v>0</v>
      </c>
      <c r="Z480" s="170">
        <f>IF(OR($I480="",$E480=0),0,IF(OR($J480&lt;Z$3,$I480&gt;Z$2),0,IF($K480=0,IF(AND($I480&gt;=Z$3,$I480&lt;=Z$2),$E480,0),$E480*NETWORKDAYS(MAX($I480,Z$3),MIN($J480,Z$2),Data!$K$4:$K$203)/$K480)))</f>
        <v>0</v>
      </c>
      <c r="AA480" s="170">
        <f>IF(OR($I480="",$E480=0),0,IF(OR($J480&lt;AA$3,$I480&gt;AA$2),0,IF($K480=0,IF(AND($I480&gt;=AA$3,$I480&lt;=AA$2),$E480,0),$E480*NETWORKDAYS(MAX($I480,AA$3),MIN($J480,AA$2),Data!$K$4:$K$203)/$K480)))</f>
        <v>0</v>
      </c>
      <c r="AB480" s="170">
        <f>IF(OR($I480="",$E480=0),0,IF(OR($J480&lt;AB$3,$I480&gt;AB$2),0,IF($K480=0,IF(AND($I480&gt;=AB$3,$I480&lt;=AB$2),$E480,0),$E480*NETWORKDAYS(MAX($I480,AB$3),MIN($J480,AB$2),Data!$K$4:$K$203)/$K480)))</f>
        <v>0</v>
      </c>
      <c r="AC480" s="170">
        <f>IF(OR($I480="",$E480=0),0,IF(OR($J480&lt;AC$3,$I480&gt;AC$2),0,IF($K480=0,IF(AND($I480&gt;=AC$3,$I480&lt;=AC$2),$E480,0),$E480*NETWORKDAYS(MAX($I480,AC$3),MIN($J480,AC$2),Data!$K$4:$K$203)/$K480)))</f>
        <v>0</v>
      </c>
      <c r="AD480" s="170">
        <f>IF(OR($I480="",$E480=0),0,IF(OR($J480&lt;AD$3,$I480&gt;AD$2),0,IF($K480=0,IF(AND($I480&gt;=AD$3,$I480&lt;=AD$2),$E480,0),$E480*NETWORKDAYS(MAX($I480,AD$3),MIN($J480,AD$2),Data!$K$4:$K$203)/$K480)))</f>
        <v>0</v>
      </c>
      <c r="AE480" s="170">
        <f>IF(OR($I480="",$E480=0),0,IF(OR($J480&lt;AE$3,$I480&gt;AE$2),0,IF($K480=0,IF(AND($I480&gt;=AE$3,$I480&lt;=AE$2),$E480,0),$E480*NETWORKDAYS(MAX($I480,AE$3),MIN($J480,AE$2),Data!$K$4:$K$203)/$K480)))</f>
        <v>0</v>
      </c>
      <c r="AF480" s="170">
        <f>IF(OR($I480="",$E480=0),0,IF(OR($J480&lt;AF$3,$I480&gt;AF$2),0,IF($K480=0,IF(AND($I480&gt;=AF$3,$I480&lt;=AF$2),$E480,0),$E480*NETWORKDAYS(MAX($I480,AF$3),MIN($J480,AF$2),Data!$K$4:$K$203)/$K480)))</f>
        <v>0</v>
      </c>
      <c r="AG480" s="170">
        <f>IF(OR($I480="",$E480=0),0,IF(OR($J480&lt;AG$3,$I480&gt;AG$2),0,IF($K480=0,IF(AND($I480&gt;=AG$3,$I480&lt;=AG$2),$E480,0),$E480*NETWORKDAYS(MAX($I480,AG$3),MIN($J480,AG$2),Data!$K$4:$K$203)/$K480)))</f>
        <v>0</v>
      </c>
      <c r="AH480" s="170">
        <f>IF(OR($I480="",$E480=0),0,IF(OR($J480&lt;AH$3,$I480&gt;AH$2),0,IF($K480=0,IF(AND($I480&gt;=AH$3,$I480&lt;=AH$2),$E480,0),$E480*NETWORKDAYS(MAX($I480,AH$3),MIN($J480,AH$2),Data!$K$4:$K$203)/$K480)))</f>
        <v>0</v>
      </c>
      <c r="AI480" s="170">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70"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4" t="str">
        <f>IF(EO480=1,IF(FH480&gt;0,FI480/FH480,AVERAGEIF($FF$4:$FF$503,EN480,$C$4:$C$503)),"")</f>
        <v/>
      </c>
      <c r="EV480" s="169">
        <f>IF(ISNUMBER(I480),I480,2958465)</f>
        <v>2958465.0</v>
      </c>
      <c r="EW480" s="169" t="str">
        <f>IF(EO480=1,SUMPRODUCT(MIN(($EN$4:$EN$503=EN480)*$EV$4:$EV$503+($EN$4:$EN$503&lt;&gt;EN480)*2958465)),"")</f>
        <v/>
      </c>
      <c r="EX480" s="169">
        <f>IF(AND(D480=1,ISNUMBER(INDEX(Charge!$F:$F,ROW()))),INDEX(Charge!$F:$F,ROW()),0)</f>
        <v>0.0</v>
      </c>
      <c r="EY480" s="169" t="str">
        <f>IF(EO480=1,SUMPRODUCT(MAX(($EN$4:$EN$503=EN480)*$EX$4:$EX$503)),"")</f>
        <v/>
      </c>
      <c r="FD480">
        <f>IF(AND(B480=1,TRIM(INDEX(Charge!$K:$K,ROW()))&lt;&gt;"",TRIM(INDEX(Charge!$L:$L,ROW()))&lt;&gt;""),1,0)</f>
        <v>0</v>
      </c>
      <c r="FE480">
        <f>IF(OR(EN480="",BZ480="(non affecté)"),0,IF(COUNTIFS($EN$4:EN480,EN480,$BZ$4:BZ480,BZ480)=1,1,0))</f>
        <v>0</v>
      </c>
      <c r="FF480" t="str">
        <f>IF(B480=1,LEFT(SUBSTITUTE(SUBSTITUTE(SUBSTITUTE(TRIM(SUBSTITUTE(INDEX(Charge!$B:$B,ROW()),CHAR(160)," "))&amp;" | "&amp;TRIM(SUBSTITUTE(INDEX(Charge!$C:$C,ROW()),CHAR(160)," "))&amp;" | "&amp;TRIM(SUBSTITUTE(INDEX(Charge!$D:$D,ROW()),CHAR(160)," ")),"~","-"),"*","+"),"?","!"),240),"")</f>
        <v/>
      </c>
      <c r="FG480">
        <f>IF(B480=1,MAX(0,N(INDEX(Charge!$M:$M,ROW()))),0)</f>
        <v>0</v>
      </c>
      <c r="FH480" s="170" t="str">
        <f>IF(EO480=1,ROUND(SUMIF($FF$4:$FF$503,EN480,$FG$4:$FG$503),2),"")</f>
        <v/>
      </c>
      <c r="FI480" s="170" t="str">
        <f>IF(EO480=1,ROUND(SUMPRODUCT(($FF$4:$FF$503=EN480)*$FG$4:$FG$503*$C$4:$C$503),2),"")</f>
        <v/>
      </c>
      <c r="FJ480" s="170" t="str">
        <f>IF(EO480=1,MAX(0,ROUND(FH480-FI480,2)),"")</f>
        <v/>
      </c>
      <c r="FK480" s="174" t="str">
        <f>IF(EO480=1,IF(OR(EW480&gt;=2958465,EY480=0,EY480&lt;=EW480),"",IF(TODAY()&lt;=EW480,0,IF(TODAY()&gt;EY480,1,IFERROR(NETWORKDAYS(EW480,TODAY()-1,Data!$K$4:$K$203)/NETWORKDAYS(EW480,EY480,Data!$K$4:$K$203),"")))),"")</f>
        <v/>
      </c>
      <c r="FL480" t="str">
        <f>IF(EO480=1,IF(AND(EY480&gt;0,EY480&lt;TODAY(),ROUND(EU480,4)&lt;1),2,IF(FK480="",0,IF(ROUND(EU480-FK480,4)&lt;-0.15,1,0))),"")</f>
        <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9" t="str">
        <f>IF(AND(D481=1,ISNUMBER(INDEX(Charge!$N:$N,ROW()))),INDEX(Charge!$N:$N,ROW()),"")</f>
        <v/>
      </c>
      <c r="J481" s="169"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70">
        <f>IF(OR($I481="",$E481=0),0,IF(OR($J481&lt;W$3,$I481&gt;W$2),0,IF($K481=0,IF(AND($I481&gt;=W$3,$I481&lt;=W$2),$E481,0),$E481*NETWORKDAYS(MAX($I481,W$3),MIN($J481,W$2),Data!$K$4:$K$203)/$K481)))</f>
        <v>0</v>
      </c>
      <c r="X481" s="170">
        <f>IF(OR($I481="",$E481=0),0,IF(OR($J481&lt;X$3,$I481&gt;X$2),0,IF($K481=0,IF(AND($I481&gt;=X$3,$I481&lt;=X$2),$E481,0),$E481*NETWORKDAYS(MAX($I481,X$3),MIN($J481,X$2),Data!$K$4:$K$203)/$K481)))</f>
        <v>0</v>
      </c>
      <c r="Y481" s="170">
        <f>IF(OR($I481="",$E481=0),0,IF(OR($J481&lt;Y$3,$I481&gt;Y$2),0,IF($K481=0,IF(AND($I481&gt;=Y$3,$I481&lt;=Y$2),$E481,0),$E481*NETWORKDAYS(MAX($I481,Y$3),MIN($J481,Y$2),Data!$K$4:$K$203)/$K481)))</f>
        <v>0</v>
      </c>
      <c r="Z481" s="170">
        <f>IF(OR($I481="",$E481=0),0,IF(OR($J481&lt;Z$3,$I481&gt;Z$2),0,IF($K481=0,IF(AND($I481&gt;=Z$3,$I481&lt;=Z$2),$E481,0),$E481*NETWORKDAYS(MAX($I481,Z$3),MIN($J481,Z$2),Data!$K$4:$K$203)/$K481)))</f>
        <v>0</v>
      </c>
      <c r="AA481" s="170">
        <f>IF(OR($I481="",$E481=0),0,IF(OR($J481&lt;AA$3,$I481&gt;AA$2),0,IF($K481=0,IF(AND($I481&gt;=AA$3,$I481&lt;=AA$2),$E481,0),$E481*NETWORKDAYS(MAX($I481,AA$3),MIN($J481,AA$2),Data!$K$4:$K$203)/$K481)))</f>
        <v>0</v>
      </c>
      <c r="AB481" s="170">
        <f>IF(OR($I481="",$E481=0),0,IF(OR($J481&lt;AB$3,$I481&gt;AB$2),0,IF($K481=0,IF(AND($I481&gt;=AB$3,$I481&lt;=AB$2),$E481,0),$E481*NETWORKDAYS(MAX($I481,AB$3),MIN($J481,AB$2),Data!$K$4:$K$203)/$K481)))</f>
        <v>0</v>
      </c>
      <c r="AC481" s="170">
        <f>IF(OR($I481="",$E481=0),0,IF(OR($J481&lt;AC$3,$I481&gt;AC$2),0,IF($K481=0,IF(AND($I481&gt;=AC$3,$I481&lt;=AC$2),$E481,0),$E481*NETWORKDAYS(MAX($I481,AC$3),MIN($J481,AC$2),Data!$K$4:$K$203)/$K481)))</f>
        <v>0</v>
      </c>
      <c r="AD481" s="170">
        <f>IF(OR($I481="",$E481=0),0,IF(OR($J481&lt;AD$3,$I481&gt;AD$2),0,IF($K481=0,IF(AND($I481&gt;=AD$3,$I481&lt;=AD$2),$E481,0),$E481*NETWORKDAYS(MAX($I481,AD$3),MIN($J481,AD$2),Data!$K$4:$K$203)/$K481)))</f>
        <v>0</v>
      </c>
      <c r="AE481" s="170">
        <f>IF(OR($I481="",$E481=0),0,IF(OR($J481&lt;AE$3,$I481&gt;AE$2),0,IF($K481=0,IF(AND($I481&gt;=AE$3,$I481&lt;=AE$2),$E481,0),$E481*NETWORKDAYS(MAX($I481,AE$3),MIN($J481,AE$2),Data!$K$4:$K$203)/$K481)))</f>
        <v>0</v>
      </c>
      <c r="AF481" s="170">
        <f>IF(OR($I481="",$E481=0),0,IF(OR($J481&lt;AF$3,$I481&gt;AF$2),0,IF($K481=0,IF(AND($I481&gt;=AF$3,$I481&lt;=AF$2),$E481,0),$E481*NETWORKDAYS(MAX($I481,AF$3),MIN($J481,AF$2),Data!$K$4:$K$203)/$K481)))</f>
        <v>0</v>
      </c>
      <c r="AG481" s="170">
        <f>IF(OR($I481="",$E481=0),0,IF(OR($J481&lt;AG$3,$I481&gt;AG$2),0,IF($K481=0,IF(AND($I481&gt;=AG$3,$I481&lt;=AG$2),$E481,0),$E481*NETWORKDAYS(MAX($I481,AG$3),MIN($J481,AG$2),Data!$K$4:$K$203)/$K481)))</f>
        <v>0</v>
      </c>
      <c r="AH481" s="170">
        <f>IF(OR($I481="",$E481=0),0,IF(OR($J481&lt;AH$3,$I481&gt;AH$2),0,IF($K481=0,IF(AND($I481&gt;=AH$3,$I481&lt;=AH$2),$E481,0),$E481*NETWORKDAYS(MAX($I481,AH$3),MIN($J481,AH$2),Data!$K$4:$K$203)/$K481)))</f>
        <v>0</v>
      </c>
      <c r="AI481" s="170">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70"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4" t="str">
        <f>IF(EO481=1,IF(FH481&gt;0,FI481/FH481,AVERAGEIF($FF$4:$FF$503,EN481,$C$4:$C$503)),"")</f>
        <v/>
      </c>
      <c r="EV481" s="169">
        <f>IF(ISNUMBER(I481),I481,2958465)</f>
        <v>2958465.0</v>
      </c>
      <c r="EW481" s="169" t="str">
        <f>IF(EO481=1,SUMPRODUCT(MIN(($EN$4:$EN$503=EN481)*$EV$4:$EV$503+($EN$4:$EN$503&lt;&gt;EN481)*2958465)),"")</f>
        <v/>
      </c>
      <c r="EX481" s="169">
        <f>IF(AND(D481=1,ISNUMBER(INDEX(Charge!$F:$F,ROW()))),INDEX(Charge!$F:$F,ROW()),0)</f>
        <v>0.0</v>
      </c>
      <c r="EY481" s="169" t="str">
        <f>IF(EO481=1,SUMPRODUCT(MAX(($EN$4:$EN$503=EN481)*$EX$4:$EX$503)),"")</f>
        <v/>
      </c>
      <c r="FD481">
        <f>IF(AND(B481=1,TRIM(INDEX(Charge!$K:$K,ROW()))&lt;&gt;"",TRIM(INDEX(Charge!$L:$L,ROW()))&lt;&gt;""),1,0)</f>
        <v>0</v>
      </c>
      <c r="FE481">
        <f>IF(OR(EN481="",BZ481="(non affecté)"),0,IF(COUNTIFS($EN$4:EN481,EN481,$BZ$4:BZ481,BZ481)=1,1,0))</f>
        <v>0</v>
      </c>
      <c r="FF481" t="str">
        <f>IF(B481=1,LEFT(SUBSTITUTE(SUBSTITUTE(SUBSTITUTE(TRIM(SUBSTITUTE(INDEX(Charge!$B:$B,ROW()),CHAR(160)," "))&amp;" | "&amp;TRIM(SUBSTITUTE(INDEX(Charge!$C:$C,ROW()),CHAR(160)," "))&amp;" | "&amp;TRIM(SUBSTITUTE(INDEX(Charge!$D:$D,ROW()),CHAR(160)," ")),"~","-"),"*","+"),"?","!"),240),"")</f>
        <v/>
      </c>
      <c r="FG481">
        <f>IF(B481=1,MAX(0,N(INDEX(Charge!$M:$M,ROW()))),0)</f>
        <v>0</v>
      </c>
      <c r="FH481" s="170" t="str">
        <f>IF(EO481=1,ROUND(SUMIF($FF$4:$FF$503,EN481,$FG$4:$FG$503),2),"")</f>
        <v/>
      </c>
      <c r="FI481" s="170" t="str">
        <f>IF(EO481=1,ROUND(SUMPRODUCT(($FF$4:$FF$503=EN481)*$FG$4:$FG$503*$C$4:$C$503),2),"")</f>
        <v/>
      </c>
      <c r="FJ481" s="170" t="str">
        <f>IF(EO481=1,MAX(0,ROUND(FH481-FI481,2)),"")</f>
        <v/>
      </c>
      <c r="FK481" s="174" t="str">
        <f>IF(EO481=1,IF(OR(EW481&gt;=2958465,EY481=0,EY481&lt;=EW481),"",IF(TODAY()&lt;=EW481,0,IF(TODAY()&gt;EY481,1,IFERROR(NETWORKDAYS(EW481,TODAY()-1,Data!$K$4:$K$203)/NETWORKDAYS(EW481,EY481,Data!$K$4:$K$203),"")))),"")</f>
        <v/>
      </c>
      <c r="FL481" t="str">
        <f>IF(EO481=1,IF(AND(EY481&gt;0,EY481&lt;TODAY(),ROUND(EU481,4)&lt;1),2,IF(FK481="",0,IF(ROUND(EU481-FK481,4)&lt;-0.15,1,0))),"")</f>
        <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9" t="str">
        <f>IF(AND(D482=1,ISNUMBER(INDEX(Charge!$N:$N,ROW()))),INDEX(Charge!$N:$N,ROW()),"")</f>
        <v/>
      </c>
      <c r="J482" s="169"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70">
        <f>IF(OR($I482="",$E482=0),0,IF(OR($J482&lt;W$3,$I482&gt;W$2),0,IF($K482=0,IF(AND($I482&gt;=W$3,$I482&lt;=W$2),$E482,0),$E482*NETWORKDAYS(MAX($I482,W$3),MIN($J482,W$2),Data!$K$4:$K$203)/$K482)))</f>
        <v>0</v>
      </c>
      <c r="X482" s="170">
        <f>IF(OR($I482="",$E482=0),0,IF(OR($J482&lt;X$3,$I482&gt;X$2),0,IF($K482=0,IF(AND($I482&gt;=X$3,$I482&lt;=X$2),$E482,0),$E482*NETWORKDAYS(MAX($I482,X$3),MIN($J482,X$2),Data!$K$4:$K$203)/$K482)))</f>
        <v>0</v>
      </c>
      <c r="Y482" s="170">
        <f>IF(OR($I482="",$E482=0),0,IF(OR($J482&lt;Y$3,$I482&gt;Y$2),0,IF($K482=0,IF(AND($I482&gt;=Y$3,$I482&lt;=Y$2),$E482,0),$E482*NETWORKDAYS(MAX($I482,Y$3),MIN($J482,Y$2),Data!$K$4:$K$203)/$K482)))</f>
        <v>0</v>
      </c>
      <c r="Z482" s="170">
        <f>IF(OR($I482="",$E482=0),0,IF(OR($J482&lt;Z$3,$I482&gt;Z$2),0,IF($K482=0,IF(AND($I482&gt;=Z$3,$I482&lt;=Z$2),$E482,0),$E482*NETWORKDAYS(MAX($I482,Z$3),MIN($J482,Z$2),Data!$K$4:$K$203)/$K482)))</f>
        <v>0</v>
      </c>
      <c r="AA482" s="170">
        <f>IF(OR($I482="",$E482=0),0,IF(OR($J482&lt;AA$3,$I482&gt;AA$2),0,IF($K482=0,IF(AND($I482&gt;=AA$3,$I482&lt;=AA$2),$E482,0),$E482*NETWORKDAYS(MAX($I482,AA$3),MIN($J482,AA$2),Data!$K$4:$K$203)/$K482)))</f>
        <v>0</v>
      </c>
      <c r="AB482" s="170">
        <f>IF(OR($I482="",$E482=0),0,IF(OR($J482&lt;AB$3,$I482&gt;AB$2),0,IF($K482=0,IF(AND($I482&gt;=AB$3,$I482&lt;=AB$2),$E482,0),$E482*NETWORKDAYS(MAX($I482,AB$3),MIN($J482,AB$2),Data!$K$4:$K$203)/$K482)))</f>
        <v>0</v>
      </c>
      <c r="AC482" s="170">
        <f>IF(OR($I482="",$E482=0),0,IF(OR($J482&lt;AC$3,$I482&gt;AC$2),0,IF($K482=0,IF(AND($I482&gt;=AC$3,$I482&lt;=AC$2),$E482,0),$E482*NETWORKDAYS(MAX($I482,AC$3),MIN($J482,AC$2),Data!$K$4:$K$203)/$K482)))</f>
        <v>0</v>
      </c>
      <c r="AD482" s="170">
        <f>IF(OR($I482="",$E482=0),0,IF(OR($J482&lt;AD$3,$I482&gt;AD$2),0,IF($K482=0,IF(AND($I482&gt;=AD$3,$I482&lt;=AD$2),$E482,0),$E482*NETWORKDAYS(MAX($I482,AD$3),MIN($J482,AD$2),Data!$K$4:$K$203)/$K482)))</f>
        <v>0</v>
      </c>
      <c r="AE482" s="170">
        <f>IF(OR($I482="",$E482=0),0,IF(OR($J482&lt;AE$3,$I482&gt;AE$2),0,IF($K482=0,IF(AND($I482&gt;=AE$3,$I482&lt;=AE$2),$E482,0),$E482*NETWORKDAYS(MAX($I482,AE$3),MIN($J482,AE$2),Data!$K$4:$K$203)/$K482)))</f>
        <v>0</v>
      </c>
      <c r="AF482" s="170">
        <f>IF(OR($I482="",$E482=0),0,IF(OR($J482&lt;AF$3,$I482&gt;AF$2),0,IF($K482=0,IF(AND($I482&gt;=AF$3,$I482&lt;=AF$2),$E482,0),$E482*NETWORKDAYS(MAX($I482,AF$3),MIN($J482,AF$2),Data!$K$4:$K$203)/$K482)))</f>
        <v>0</v>
      </c>
      <c r="AG482" s="170">
        <f>IF(OR($I482="",$E482=0),0,IF(OR($J482&lt;AG$3,$I482&gt;AG$2),0,IF($K482=0,IF(AND($I482&gt;=AG$3,$I482&lt;=AG$2),$E482,0),$E482*NETWORKDAYS(MAX($I482,AG$3),MIN($J482,AG$2),Data!$K$4:$K$203)/$K482)))</f>
        <v>0</v>
      </c>
      <c r="AH482" s="170">
        <f>IF(OR($I482="",$E482=0),0,IF(OR($J482&lt;AH$3,$I482&gt;AH$2),0,IF($K482=0,IF(AND($I482&gt;=AH$3,$I482&lt;=AH$2),$E482,0),$E482*NETWORKDAYS(MAX($I482,AH$3),MIN($J482,AH$2),Data!$K$4:$K$203)/$K482)))</f>
        <v>0</v>
      </c>
      <c r="AI482" s="170">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70"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4" t="str">
        <f>IF(EO482=1,IF(FH482&gt;0,FI482/FH482,AVERAGEIF($FF$4:$FF$503,EN482,$C$4:$C$503)),"")</f>
        <v/>
      </c>
      <c r="EV482" s="169">
        <f>IF(ISNUMBER(I482),I482,2958465)</f>
        <v>2958465.0</v>
      </c>
      <c r="EW482" s="169" t="str">
        <f>IF(EO482=1,SUMPRODUCT(MIN(($EN$4:$EN$503=EN482)*$EV$4:$EV$503+($EN$4:$EN$503&lt;&gt;EN482)*2958465)),"")</f>
        <v/>
      </c>
      <c r="EX482" s="169">
        <f>IF(AND(D482=1,ISNUMBER(INDEX(Charge!$F:$F,ROW()))),INDEX(Charge!$F:$F,ROW()),0)</f>
        <v>0.0</v>
      </c>
      <c r="EY482" s="169" t="str">
        <f>IF(EO482=1,SUMPRODUCT(MAX(($EN$4:$EN$503=EN482)*$EX$4:$EX$503)),"")</f>
        <v/>
      </c>
      <c r="FD482">
        <f>IF(AND(B482=1,TRIM(INDEX(Charge!$K:$K,ROW()))&lt;&gt;"",TRIM(INDEX(Charge!$L:$L,ROW()))&lt;&gt;""),1,0)</f>
        <v>0</v>
      </c>
      <c r="FE482">
        <f>IF(OR(EN482="",BZ482="(non affecté)"),0,IF(COUNTIFS($EN$4:EN482,EN482,$BZ$4:BZ482,BZ482)=1,1,0))</f>
        <v>0</v>
      </c>
      <c r="FF482" t="str">
        <f>IF(B482=1,LEFT(SUBSTITUTE(SUBSTITUTE(SUBSTITUTE(TRIM(SUBSTITUTE(INDEX(Charge!$B:$B,ROW()),CHAR(160)," "))&amp;" | "&amp;TRIM(SUBSTITUTE(INDEX(Charge!$C:$C,ROW()),CHAR(160)," "))&amp;" | "&amp;TRIM(SUBSTITUTE(INDEX(Charge!$D:$D,ROW()),CHAR(160)," ")),"~","-"),"*","+"),"?","!"),240),"")</f>
        <v/>
      </c>
      <c r="FG482">
        <f>IF(B482=1,MAX(0,N(INDEX(Charge!$M:$M,ROW()))),0)</f>
        <v>0</v>
      </c>
      <c r="FH482" s="170" t="str">
        <f>IF(EO482=1,ROUND(SUMIF($FF$4:$FF$503,EN482,$FG$4:$FG$503),2),"")</f>
        <v/>
      </c>
      <c r="FI482" s="170" t="str">
        <f>IF(EO482=1,ROUND(SUMPRODUCT(($FF$4:$FF$503=EN482)*$FG$4:$FG$503*$C$4:$C$503),2),"")</f>
        <v/>
      </c>
      <c r="FJ482" s="170" t="str">
        <f>IF(EO482=1,MAX(0,ROUND(FH482-FI482,2)),"")</f>
        <v/>
      </c>
      <c r="FK482" s="174" t="str">
        <f>IF(EO482=1,IF(OR(EW482&gt;=2958465,EY482=0,EY482&lt;=EW482),"",IF(TODAY()&lt;=EW482,0,IF(TODAY()&gt;EY482,1,IFERROR(NETWORKDAYS(EW482,TODAY()-1,Data!$K$4:$K$203)/NETWORKDAYS(EW482,EY482,Data!$K$4:$K$203),"")))),"")</f>
        <v/>
      </c>
      <c r="FL482" t="str">
        <f>IF(EO482=1,IF(AND(EY482&gt;0,EY482&lt;TODAY(),ROUND(EU482,4)&lt;1),2,IF(FK482="",0,IF(ROUND(EU482-FK482,4)&lt;-0.15,1,0))),"")</f>
        <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9" t="str">
        <f>IF(AND(D483=1,ISNUMBER(INDEX(Charge!$N:$N,ROW()))),INDEX(Charge!$N:$N,ROW()),"")</f>
        <v/>
      </c>
      <c r="J483" s="169"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70">
        <f>IF(OR($I483="",$E483=0),0,IF(OR($J483&lt;W$3,$I483&gt;W$2),0,IF($K483=0,IF(AND($I483&gt;=W$3,$I483&lt;=W$2),$E483,0),$E483*NETWORKDAYS(MAX($I483,W$3),MIN($J483,W$2),Data!$K$4:$K$203)/$K483)))</f>
        <v>0</v>
      </c>
      <c r="X483" s="170">
        <f>IF(OR($I483="",$E483=0),0,IF(OR($J483&lt;X$3,$I483&gt;X$2),0,IF($K483=0,IF(AND($I483&gt;=X$3,$I483&lt;=X$2),$E483,0),$E483*NETWORKDAYS(MAX($I483,X$3),MIN($J483,X$2),Data!$K$4:$K$203)/$K483)))</f>
        <v>0</v>
      </c>
      <c r="Y483" s="170">
        <f>IF(OR($I483="",$E483=0),0,IF(OR($J483&lt;Y$3,$I483&gt;Y$2),0,IF($K483=0,IF(AND($I483&gt;=Y$3,$I483&lt;=Y$2),$E483,0),$E483*NETWORKDAYS(MAX($I483,Y$3),MIN($J483,Y$2),Data!$K$4:$K$203)/$K483)))</f>
        <v>0</v>
      </c>
      <c r="Z483" s="170">
        <f>IF(OR($I483="",$E483=0),0,IF(OR($J483&lt;Z$3,$I483&gt;Z$2),0,IF($K483=0,IF(AND($I483&gt;=Z$3,$I483&lt;=Z$2),$E483,0),$E483*NETWORKDAYS(MAX($I483,Z$3),MIN($J483,Z$2),Data!$K$4:$K$203)/$K483)))</f>
        <v>0</v>
      </c>
      <c r="AA483" s="170">
        <f>IF(OR($I483="",$E483=0),0,IF(OR($J483&lt;AA$3,$I483&gt;AA$2),0,IF($K483=0,IF(AND($I483&gt;=AA$3,$I483&lt;=AA$2),$E483,0),$E483*NETWORKDAYS(MAX($I483,AA$3),MIN($J483,AA$2),Data!$K$4:$K$203)/$K483)))</f>
        <v>0</v>
      </c>
      <c r="AB483" s="170">
        <f>IF(OR($I483="",$E483=0),0,IF(OR($J483&lt;AB$3,$I483&gt;AB$2),0,IF($K483=0,IF(AND($I483&gt;=AB$3,$I483&lt;=AB$2),$E483,0),$E483*NETWORKDAYS(MAX($I483,AB$3),MIN($J483,AB$2),Data!$K$4:$K$203)/$K483)))</f>
        <v>0</v>
      </c>
      <c r="AC483" s="170">
        <f>IF(OR($I483="",$E483=0),0,IF(OR($J483&lt;AC$3,$I483&gt;AC$2),0,IF($K483=0,IF(AND($I483&gt;=AC$3,$I483&lt;=AC$2),$E483,0),$E483*NETWORKDAYS(MAX($I483,AC$3),MIN($J483,AC$2),Data!$K$4:$K$203)/$K483)))</f>
        <v>0</v>
      </c>
      <c r="AD483" s="170">
        <f>IF(OR($I483="",$E483=0),0,IF(OR($J483&lt;AD$3,$I483&gt;AD$2),0,IF($K483=0,IF(AND($I483&gt;=AD$3,$I483&lt;=AD$2),$E483,0),$E483*NETWORKDAYS(MAX($I483,AD$3),MIN($J483,AD$2),Data!$K$4:$K$203)/$K483)))</f>
        <v>0</v>
      </c>
      <c r="AE483" s="170">
        <f>IF(OR($I483="",$E483=0),0,IF(OR($J483&lt;AE$3,$I483&gt;AE$2),0,IF($K483=0,IF(AND($I483&gt;=AE$3,$I483&lt;=AE$2),$E483,0),$E483*NETWORKDAYS(MAX($I483,AE$3),MIN($J483,AE$2),Data!$K$4:$K$203)/$K483)))</f>
        <v>0</v>
      </c>
      <c r="AF483" s="170">
        <f>IF(OR($I483="",$E483=0),0,IF(OR($J483&lt;AF$3,$I483&gt;AF$2),0,IF($K483=0,IF(AND($I483&gt;=AF$3,$I483&lt;=AF$2),$E483,0),$E483*NETWORKDAYS(MAX($I483,AF$3),MIN($J483,AF$2),Data!$K$4:$K$203)/$K483)))</f>
        <v>0</v>
      </c>
      <c r="AG483" s="170">
        <f>IF(OR($I483="",$E483=0),0,IF(OR($J483&lt;AG$3,$I483&gt;AG$2),0,IF($K483=0,IF(AND($I483&gt;=AG$3,$I483&lt;=AG$2),$E483,0),$E483*NETWORKDAYS(MAX($I483,AG$3),MIN($J483,AG$2),Data!$K$4:$K$203)/$K483)))</f>
        <v>0</v>
      </c>
      <c r="AH483" s="170">
        <f>IF(OR($I483="",$E483=0),0,IF(OR($J483&lt;AH$3,$I483&gt;AH$2),0,IF($K483=0,IF(AND($I483&gt;=AH$3,$I483&lt;=AH$2),$E483,0),$E483*NETWORKDAYS(MAX($I483,AH$3),MIN($J483,AH$2),Data!$K$4:$K$203)/$K483)))</f>
        <v>0</v>
      </c>
      <c r="AI483" s="170">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70"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4" t="str">
        <f>IF(EO483=1,IF(FH483&gt;0,FI483/FH483,AVERAGEIF($FF$4:$FF$503,EN483,$C$4:$C$503)),"")</f>
        <v/>
      </c>
      <c r="EV483" s="169">
        <f>IF(ISNUMBER(I483),I483,2958465)</f>
        <v>2958465.0</v>
      </c>
      <c r="EW483" s="169" t="str">
        <f>IF(EO483=1,SUMPRODUCT(MIN(($EN$4:$EN$503=EN483)*$EV$4:$EV$503+($EN$4:$EN$503&lt;&gt;EN483)*2958465)),"")</f>
        <v/>
      </c>
      <c r="EX483" s="169">
        <f>IF(AND(D483=1,ISNUMBER(INDEX(Charge!$F:$F,ROW()))),INDEX(Charge!$F:$F,ROW()),0)</f>
        <v>0.0</v>
      </c>
      <c r="EY483" s="169" t="str">
        <f>IF(EO483=1,SUMPRODUCT(MAX(($EN$4:$EN$503=EN483)*$EX$4:$EX$503)),"")</f>
        <v/>
      </c>
      <c r="FD483">
        <f>IF(AND(B483=1,TRIM(INDEX(Charge!$K:$K,ROW()))&lt;&gt;"",TRIM(INDEX(Charge!$L:$L,ROW()))&lt;&gt;""),1,0)</f>
        <v>0</v>
      </c>
      <c r="FE483">
        <f>IF(OR(EN483="",BZ483="(non affecté)"),0,IF(COUNTIFS($EN$4:EN483,EN483,$BZ$4:BZ483,BZ483)=1,1,0))</f>
        <v>0</v>
      </c>
      <c r="FF483" t="str">
        <f>IF(B483=1,LEFT(SUBSTITUTE(SUBSTITUTE(SUBSTITUTE(TRIM(SUBSTITUTE(INDEX(Charge!$B:$B,ROW()),CHAR(160)," "))&amp;" | "&amp;TRIM(SUBSTITUTE(INDEX(Charge!$C:$C,ROW()),CHAR(160)," "))&amp;" | "&amp;TRIM(SUBSTITUTE(INDEX(Charge!$D:$D,ROW()),CHAR(160)," ")),"~","-"),"*","+"),"?","!"),240),"")</f>
        <v/>
      </c>
      <c r="FG483">
        <f>IF(B483=1,MAX(0,N(INDEX(Charge!$M:$M,ROW()))),0)</f>
        <v>0</v>
      </c>
      <c r="FH483" s="170" t="str">
        <f>IF(EO483=1,ROUND(SUMIF($FF$4:$FF$503,EN483,$FG$4:$FG$503),2),"")</f>
        <v/>
      </c>
      <c r="FI483" s="170" t="str">
        <f>IF(EO483=1,ROUND(SUMPRODUCT(($FF$4:$FF$503=EN483)*$FG$4:$FG$503*$C$4:$C$503),2),"")</f>
        <v/>
      </c>
      <c r="FJ483" s="170" t="str">
        <f>IF(EO483=1,MAX(0,ROUND(FH483-FI483,2)),"")</f>
        <v/>
      </c>
      <c r="FK483" s="174" t="str">
        <f>IF(EO483=1,IF(OR(EW483&gt;=2958465,EY483=0,EY483&lt;=EW483),"",IF(TODAY()&lt;=EW483,0,IF(TODAY()&gt;EY483,1,IFERROR(NETWORKDAYS(EW483,TODAY()-1,Data!$K$4:$K$203)/NETWORKDAYS(EW483,EY483,Data!$K$4:$K$203),"")))),"")</f>
        <v/>
      </c>
      <c r="FL483" t="str">
        <f>IF(EO483=1,IF(AND(EY483&gt;0,EY483&lt;TODAY(),ROUND(EU483,4)&lt;1),2,IF(FK483="",0,IF(ROUND(EU483-FK483,4)&lt;-0.15,1,0))),"")</f>
        <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9" t="str">
        <f>IF(AND(D484=1,ISNUMBER(INDEX(Charge!$N:$N,ROW()))),INDEX(Charge!$N:$N,ROW()),"")</f>
        <v/>
      </c>
      <c r="J484" s="169"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70">
        <f>IF(OR($I484="",$E484=0),0,IF(OR($J484&lt;W$3,$I484&gt;W$2),0,IF($K484=0,IF(AND($I484&gt;=W$3,$I484&lt;=W$2),$E484,0),$E484*NETWORKDAYS(MAX($I484,W$3),MIN($J484,W$2),Data!$K$4:$K$203)/$K484)))</f>
        <v>0</v>
      </c>
      <c r="X484" s="170">
        <f>IF(OR($I484="",$E484=0),0,IF(OR($J484&lt;X$3,$I484&gt;X$2),0,IF($K484=0,IF(AND($I484&gt;=X$3,$I484&lt;=X$2),$E484,0),$E484*NETWORKDAYS(MAX($I484,X$3),MIN($J484,X$2),Data!$K$4:$K$203)/$K484)))</f>
        <v>0</v>
      </c>
      <c r="Y484" s="170">
        <f>IF(OR($I484="",$E484=0),0,IF(OR($J484&lt;Y$3,$I484&gt;Y$2),0,IF($K484=0,IF(AND($I484&gt;=Y$3,$I484&lt;=Y$2),$E484,0),$E484*NETWORKDAYS(MAX($I484,Y$3),MIN($J484,Y$2),Data!$K$4:$K$203)/$K484)))</f>
        <v>0</v>
      </c>
      <c r="Z484" s="170">
        <f>IF(OR($I484="",$E484=0),0,IF(OR($J484&lt;Z$3,$I484&gt;Z$2),0,IF($K484=0,IF(AND($I484&gt;=Z$3,$I484&lt;=Z$2),$E484,0),$E484*NETWORKDAYS(MAX($I484,Z$3),MIN($J484,Z$2),Data!$K$4:$K$203)/$K484)))</f>
        <v>0</v>
      </c>
      <c r="AA484" s="170">
        <f>IF(OR($I484="",$E484=0),0,IF(OR($J484&lt;AA$3,$I484&gt;AA$2),0,IF($K484=0,IF(AND($I484&gt;=AA$3,$I484&lt;=AA$2),$E484,0),$E484*NETWORKDAYS(MAX($I484,AA$3),MIN($J484,AA$2),Data!$K$4:$K$203)/$K484)))</f>
        <v>0</v>
      </c>
      <c r="AB484" s="170">
        <f>IF(OR($I484="",$E484=0),0,IF(OR($J484&lt;AB$3,$I484&gt;AB$2),0,IF($K484=0,IF(AND($I484&gt;=AB$3,$I484&lt;=AB$2),$E484,0),$E484*NETWORKDAYS(MAX($I484,AB$3),MIN($J484,AB$2),Data!$K$4:$K$203)/$K484)))</f>
        <v>0</v>
      </c>
      <c r="AC484" s="170">
        <f>IF(OR($I484="",$E484=0),0,IF(OR($J484&lt;AC$3,$I484&gt;AC$2),0,IF($K484=0,IF(AND($I484&gt;=AC$3,$I484&lt;=AC$2),$E484,0),$E484*NETWORKDAYS(MAX($I484,AC$3),MIN($J484,AC$2),Data!$K$4:$K$203)/$K484)))</f>
        <v>0</v>
      </c>
      <c r="AD484" s="170">
        <f>IF(OR($I484="",$E484=0),0,IF(OR($J484&lt;AD$3,$I484&gt;AD$2),0,IF($K484=0,IF(AND($I484&gt;=AD$3,$I484&lt;=AD$2),$E484,0),$E484*NETWORKDAYS(MAX($I484,AD$3),MIN($J484,AD$2),Data!$K$4:$K$203)/$K484)))</f>
        <v>0</v>
      </c>
      <c r="AE484" s="170">
        <f>IF(OR($I484="",$E484=0),0,IF(OR($J484&lt;AE$3,$I484&gt;AE$2),0,IF($K484=0,IF(AND($I484&gt;=AE$3,$I484&lt;=AE$2),$E484,0),$E484*NETWORKDAYS(MAX($I484,AE$3),MIN($J484,AE$2),Data!$K$4:$K$203)/$K484)))</f>
        <v>0</v>
      </c>
      <c r="AF484" s="170">
        <f>IF(OR($I484="",$E484=0),0,IF(OR($J484&lt;AF$3,$I484&gt;AF$2),0,IF($K484=0,IF(AND($I484&gt;=AF$3,$I484&lt;=AF$2),$E484,0),$E484*NETWORKDAYS(MAX($I484,AF$3),MIN($J484,AF$2),Data!$K$4:$K$203)/$K484)))</f>
        <v>0</v>
      </c>
      <c r="AG484" s="170">
        <f>IF(OR($I484="",$E484=0),0,IF(OR($J484&lt;AG$3,$I484&gt;AG$2),0,IF($K484=0,IF(AND($I484&gt;=AG$3,$I484&lt;=AG$2),$E484,0),$E484*NETWORKDAYS(MAX($I484,AG$3),MIN($J484,AG$2),Data!$K$4:$K$203)/$K484)))</f>
        <v>0</v>
      </c>
      <c r="AH484" s="170">
        <f>IF(OR($I484="",$E484=0),0,IF(OR($J484&lt;AH$3,$I484&gt;AH$2),0,IF($K484=0,IF(AND($I484&gt;=AH$3,$I484&lt;=AH$2),$E484,0),$E484*NETWORKDAYS(MAX($I484,AH$3),MIN($J484,AH$2),Data!$K$4:$K$203)/$K484)))</f>
        <v>0</v>
      </c>
      <c r="AI484" s="170">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70"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4" t="str">
        <f>IF(EO484=1,IF(FH484&gt;0,FI484/FH484,AVERAGEIF($FF$4:$FF$503,EN484,$C$4:$C$503)),"")</f>
        <v/>
      </c>
      <c r="EV484" s="169">
        <f>IF(ISNUMBER(I484),I484,2958465)</f>
        <v>2958465.0</v>
      </c>
      <c r="EW484" s="169" t="str">
        <f>IF(EO484=1,SUMPRODUCT(MIN(($EN$4:$EN$503=EN484)*$EV$4:$EV$503+($EN$4:$EN$503&lt;&gt;EN484)*2958465)),"")</f>
        <v/>
      </c>
      <c r="EX484" s="169">
        <f>IF(AND(D484=1,ISNUMBER(INDEX(Charge!$F:$F,ROW()))),INDEX(Charge!$F:$F,ROW()),0)</f>
        <v>0.0</v>
      </c>
      <c r="EY484" s="169" t="str">
        <f>IF(EO484=1,SUMPRODUCT(MAX(($EN$4:$EN$503=EN484)*$EX$4:$EX$503)),"")</f>
        <v/>
      </c>
      <c r="FD484">
        <f>IF(AND(B484=1,TRIM(INDEX(Charge!$K:$K,ROW()))&lt;&gt;"",TRIM(INDEX(Charge!$L:$L,ROW()))&lt;&gt;""),1,0)</f>
        <v>0</v>
      </c>
      <c r="FE484">
        <f>IF(OR(EN484="",BZ484="(non affecté)"),0,IF(COUNTIFS($EN$4:EN484,EN484,$BZ$4:BZ484,BZ484)=1,1,0))</f>
        <v>0</v>
      </c>
      <c r="FF484" t="str">
        <f>IF(B484=1,LEFT(SUBSTITUTE(SUBSTITUTE(SUBSTITUTE(TRIM(SUBSTITUTE(INDEX(Charge!$B:$B,ROW()),CHAR(160)," "))&amp;" | "&amp;TRIM(SUBSTITUTE(INDEX(Charge!$C:$C,ROW()),CHAR(160)," "))&amp;" | "&amp;TRIM(SUBSTITUTE(INDEX(Charge!$D:$D,ROW()),CHAR(160)," ")),"~","-"),"*","+"),"?","!"),240),"")</f>
        <v/>
      </c>
      <c r="FG484">
        <f>IF(B484=1,MAX(0,N(INDEX(Charge!$M:$M,ROW()))),0)</f>
        <v>0</v>
      </c>
      <c r="FH484" s="170" t="str">
        <f>IF(EO484=1,ROUND(SUMIF($FF$4:$FF$503,EN484,$FG$4:$FG$503),2),"")</f>
        <v/>
      </c>
      <c r="FI484" s="170" t="str">
        <f>IF(EO484=1,ROUND(SUMPRODUCT(($FF$4:$FF$503=EN484)*$FG$4:$FG$503*$C$4:$C$503),2),"")</f>
        <v/>
      </c>
      <c r="FJ484" s="170" t="str">
        <f>IF(EO484=1,MAX(0,ROUND(FH484-FI484,2)),"")</f>
        <v/>
      </c>
      <c r="FK484" s="174" t="str">
        <f>IF(EO484=1,IF(OR(EW484&gt;=2958465,EY484=0,EY484&lt;=EW484),"",IF(TODAY()&lt;=EW484,0,IF(TODAY()&gt;EY484,1,IFERROR(NETWORKDAYS(EW484,TODAY()-1,Data!$K$4:$K$203)/NETWORKDAYS(EW484,EY484,Data!$K$4:$K$203),"")))),"")</f>
        <v/>
      </c>
      <c r="FL484" t="str">
        <f>IF(EO484=1,IF(AND(EY484&gt;0,EY484&lt;TODAY(),ROUND(EU484,4)&lt;1),2,IF(FK484="",0,IF(ROUND(EU484-FK484,4)&lt;-0.15,1,0))),"")</f>
        <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9" t="str">
        <f>IF(AND(D485=1,ISNUMBER(INDEX(Charge!$N:$N,ROW()))),INDEX(Charge!$N:$N,ROW()),"")</f>
        <v/>
      </c>
      <c r="J485" s="169"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70">
        <f>IF(OR($I485="",$E485=0),0,IF(OR($J485&lt;W$3,$I485&gt;W$2),0,IF($K485=0,IF(AND($I485&gt;=W$3,$I485&lt;=W$2),$E485,0),$E485*NETWORKDAYS(MAX($I485,W$3),MIN($J485,W$2),Data!$K$4:$K$203)/$K485)))</f>
        <v>0</v>
      </c>
      <c r="X485" s="170">
        <f>IF(OR($I485="",$E485=0),0,IF(OR($J485&lt;X$3,$I485&gt;X$2),0,IF($K485=0,IF(AND($I485&gt;=X$3,$I485&lt;=X$2),$E485,0),$E485*NETWORKDAYS(MAX($I485,X$3),MIN($J485,X$2),Data!$K$4:$K$203)/$K485)))</f>
        <v>0</v>
      </c>
      <c r="Y485" s="170">
        <f>IF(OR($I485="",$E485=0),0,IF(OR($J485&lt;Y$3,$I485&gt;Y$2),0,IF($K485=0,IF(AND($I485&gt;=Y$3,$I485&lt;=Y$2),$E485,0),$E485*NETWORKDAYS(MAX($I485,Y$3),MIN($J485,Y$2),Data!$K$4:$K$203)/$K485)))</f>
        <v>0</v>
      </c>
      <c r="Z485" s="170">
        <f>IF(OR($I485="",$E485=0),0,IF(OR($J485&lt;Z$3,$I485&gt;Z$2),0,IF($K485=0,IF(AND($I485&gt;=Z$3,$I485&lt;=Z$2),$E485,0),$E485*NETWORKDAYS(MAX($I485,Z$3),MIN($J485,Z$2),Data!$K$4:$K$203)/$K485)))</f>
        <v>0</v>
      </c>
      <c r="AA485" s="170">
        <f>IF(OR($I485="",$E485=0),0,IF(OR($J485&lt;AA$3,$I485&gt;AA$2),0,IF($K485=0,IF(AND($I485&gt;=AA$3,$I485&lt;=AA$2),$E485,0),$E485*NETWORKDAYS(MAX($I485,AA$3),MIN($J485,AA$2),Data!$K$4:$K$203)/$K485)))</f>
        <v>0</v>
      </c>
      <c r="AB485" s="170">
        <f>IF(OR($I485="",$E485=0),0,IF(OR($J485&lt;AB$3,$I485&gt;AB$2),0,IF($K485=0,IF(AND($I485&gt;=AB$3,$I485&lt;=AB$2),$E485,0),$E485*NETWORKDAYS(MAX($I485,AB$3),MIN($J485,AB$2),Data!$K$4:$K$203)/$K485)))</f>
        <v>0</v>
      </c>
      <c r="AC485" s="170">
        <f>IF(OR($I485="",$E485=0),0,IF(OR($J485&lt;AC$3,$I485&gt;AC$2),0,IF($K485=0,IF(AND($I485&gt;=AC$3,$I485&lt;=AC$2),$E485,0),$E485*NETWORKDAYS(MAX($I485,AC$3),MIN($J485,AC$2),Data!$K$4:$K$203)/$K485)))</f>
        <v>0</v>
      </c>
      <c r="AD485" s="170">
        <f>IF(OR($I485="",$E485=0),0,IF(OR($J485&lt;AD$3,$I485&gt;AD$2),0,IF($K485=0,IF(AND($I485&gt;=AD$3,$I485&lt;=AD$2),$E485,0),$E485*NETWORKDAYS(MAX($I485,AD$3),MIN($J485,AD$2),Data!$K$4:$K$203)/$K485)))</f>
        <v>0</v>
      </c>
      <c r="AE485" s="170">
        <f>IF(OR($I485="",$E485=0),0,IF(OR($J485&lt;AE$3,$I485&gt;AE$2),0,IF($K485=0,IF(AND($I485&gt;=AE$3,$I485&lt;=AE$2),$E485,0),$E485*NETWORKDAYS(MAX($I485,AE$3),MIN($J485,AE$2),Data!$K$4:$K$203)/$K485)))</f>
        <v>0</v>
      </c>
      <c r="AF485" s="170">
        <f>IF(OR($I485="",$E485=0),0,IF(OR($J485&lt;AF$3,$I485&gt;AF$2),0,IF($K485=0,IF(AND($I485&gt;=AF$3,$I485&lt;=AF$2),$E485,0),$E485*NETWORKDAYS(MAX($I485,AF$3),MIN($J485,AF$2),Data!$K$4:$K$203)/$K485)))</f>
        <v>0</v>
      </c>
      <c r="AG485" s="170">
        <f>IF(OR($I485="",$E485=0),0,IF(OR($J485&lt;AG$3,$I485&gt;AG$2),0,IF($K485=0,IF(AND($I485&gt;=AG$3,$I485&lt;=AG$2),$E485,0),$E485*NETWORKDAYS(MAX($I485,AG$3),MIN($J485,AG$2),Data!$K$4:$K$203)/$K485)))</f>
        <v>0</v>
      </c>
      <c r="AH485" s="170">
        <f>IF(OR($I485="",$E485=0),0,IF(OR($J485&lt;AH$3,$I485&gt;AH$2),0,IF($K485=0,IF(AND($I485&gt;=AH$3,$I485&lt;=AH$2),$E485,0),$E485*NETWORKDAYS(MAX($I485,AH$3),MIN($J485,AH$2),Data!$K$4:$K$203)/$K485)))</f>
        <v>0</v>
      </c>
      <c r="AI485" s="170">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70"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4" t="str">
        <f>IF(EO485=1,IF(FH485&gt;0,FI485/FH485,AVERAGEIF($FF$4:$FF$503,EN485,$C$4:$C$503)),"")</f>
        <v/>
      </c>
      <c r="EV485" s="169">
        <f>IF(ISNUMBER(I485),I485,2958465)</f>
        <v>2958465.0</v>
      </c>
      <c r="EW485" s="169" t="str">
        <f>IF(EO485=1,SUMPRODUCT(MIN(($EN$4:$EN$503=EN485)*$EV$4:$EV$503+($EN$4:$EN$503&lt;&gt;EN485)*2958465)),"")</f>
        <v/>
      </c>
      <c r="EX485" s="169">
        <f>IF(AND(D485=1,ISNUMBER(INDEX(Charge!$F:$F,ROW()))),INDEX(Charge!$F:$F,ROW()),0)</f>
        <v>0.0</v>
      </c>
      <c r="EY485" s="169" t="str">
        <f>IF(EO485=1,SUMPRODUCT(MAX(($EN$4:$EN$503=EN485)*$EX$4:$EX$503)),"")</f>
        <v/>
      </c>
      <c r="FD485">
        <f>IF(AND(B485=1,TRIM(INDEX(Charge!$K:$K,ROW()))&lt;&gt;"",TRIM(INDEX(Charge!$L:$L,ROW()))&lt;&gt;""),1,0)</f>
        <v>0</v>
      </c>
      <c r="FE485">
        <f>IF(OR(EN485="",BZ485="(non affecté)"),0,IF(COUNTIFS($EN$4:EN485,EN485,$BZ$4:BZ485,BZ485)=1,1,0))</f>
        <v>0</v>
      </c>
      <c r="FF485" t="str">
        <f>IF(B485=1,LEFT(SUBSTITUTE(SUBSTITUTE(SUBSTITUTE(TRIM(SUBSTITUTE(INDEX(Charge!$B:$B,ROW()),CHAR(160)," "))&amp;" | "&amp;TRIM(SUBSTITUTE(INDEX(Charge!$C:$C,ROW()),CHAR(160)," "))&amp;" | "&amp;TRIM(SUBSTITUTE(INDEX(Charge!$D:$D,ROW()),CHAR(160)," ")),"~","-"),"*","+"),"?","!"),240),"")</f>
        <v/>
      </c>
      <c r="FG485">
        <f>IF(B485=1,MAX(0,N(INDEX(Charge!$M:$M,ROW()))),0)</f>
        <v>0</v>
      </c>
      <c r="FH485" s="170" t="str">
        <f>IF(EO485=1,ROUND(SUMIF($FF$4:$FF$503,EN485,$FG$4:$FG$503),2),"")</f>
        <v/>
      </c>
      <c r="FI485" s="170" t="str">
        <f>IF(EO485=1,ROUND(SUMPRODUCT(($FF$4:$FF$503=EN485)*$FG$4:$FG$503*$C$4:$C$503),2),"")</f>
        <v/>
      </c>
      <c r="FJ485" s="170" t="str">
        <f>IF(EO485=1,MAX(0,ROUND(FH485-FI485,2)),"")</f>
        <v/>
      </c>
      <c r="FK485" s="174" t="str">
        <f>IF(EO485=1,IF(OR(EW485&gt;=2958465,EY485=0,EY485&lt;=EW485),"",IF(TODAY()&lt;=EW485,0,IF(TODAY()&gt;EY485,1,IFERROR(NETWORKDAYS(EW485,TODAY()-1,Data!$K$4:$K$203)/NETWORKDAYS(EW485,EY485,Data!$K$4:$K$203),"")))),"")</f>
        <v/>
      </c>
      <c r="FL485" t="str">
        <f>IF(EO485=1,IF(AND(EY485&gt;0,EY485&lt;TODAY(),ROUND(EU485,4)&lt;1),2,IF(FK485="",0,IF(ROUND(EU485-FK485,4)&lt;-0.15,1,0))),"")</f>
        <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9" t="str">
        <f>IF(AND(D486=1,ISNUMBER(INDEX(Charge!$N:$N,ROW()))),INDEX(Charge!$N:$N,ROW()),"")</f>
        <v/>
      </c>
      <c r="J486" s="169"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70">
        <f>IF(OR($I486="",$E486=0),0,IF(OR($J486&lt;W$3,$I486&gt;W$2),0,IF($K486=0,IF(AND($I486&gt;=W$3,$I486&lt;=W$2),$E486,0),$E486*NETWORKDAYS(MAX($I486,W$3),MIN($J486,W$2),Data!$K$4:$K$203)/$K486)))</f>
        <v>0</v>
      </c>
      <c r="X486" s="170">
        <f>IF(OR($I486="",$E486=0),0,IF(OR($J486&lt;X$3,$I486&gt;X$2),0,IF($K486=0,IF(AND($I486&gt;=X$3,$I486&lt;=X$2),$E486,0),$E486*NETWORKDAYS(MAX($I486,X$3),MIN($J486,X$2),Data!$K$4:$K$203)/$K486)))</f>
        <v>0</v>
      </c>
      <c r="Y486" s="170">
        <f>IF(OR($I486="",$E486=0),0,IF(OR($J486&lt;Y$3,$I486&gt;Y$2),0,IF($K486=0,IF(AND($I486&gt;=Y$3,$I486&lt;=Y$2),$E486,0),$E486*NETWORKDAYS(MAX($I486,Y$3),MIN($J486,Y$2),Data!$K$4:$K$203)/$K486)))</f>
        <v>0</v>
      </c>
      <c r="Z486" s="170">
        <f>IF(OR($I486="",$E486=0),0,IF(OR($J486&lt;Z$3,$I486&gt;Z$2),0,IF($K486=0,IF(AND($I486&gt;=Z$3,$I486&lt;=Z$2),$E486,0),$E486*NETWORKDAYS(MAX($I486,Z$3),MIN($J486,Z$2),Data!$K$4:$K$203)/$K486)))</f>
        <v>0</v>
      </c>
      <c r="AA486" s="170">
        <f>IF(OR($I486="",$E486=0),0,IF(OR($J486&lt;AA$3,$I486&gt;AA$2),0,IF($K486=0,IF(AND($I486&gt;=AA$3,$I486&lt;=AA$2),$E486,0),$E486*NETWORKDAYS(MAX($I486,AA$3),MIN($J486,AA$2),Data!$K$4:$K$203)/$K486)))</f>
        <v>0</v>
      </c>
      <c r="AB486" s="170">
        <f>IF(OR($I486="",$E486=0),0,IF(OR($J486&lt;AB$3,$I486&gt;AB$2),0,IF($K486=0,IF(AND($I486&gt;=AB$3,$I486&lt;=AB$2),$E486,0),$E486*NETWORKDAYS(MAX($I486,AB$3),MIN($J486,AB$2),Data!$K$4:$K$203)/$K486)))</f>
        <v>0</v>
      </c>
      <c r="AC486" s="170">
        <f>IF(OR($I486="",$E486=0),0,IF(OR($J486&lt;AC$3,$I486&gt;AC$2),0,IF($K486=0,IF(AND($I486&gt;=AC$3,$I486&lt;=AC$2),$E486,0),$E486*NETWORKDAYS(MAX($I486,AC$3),MIN($J486,AC$2),Data!$K$4:$K$203)/$K486)))</f>
        <v>0</v>
      </c>
      <c r="AD486" s="170">
        <f>IF(OR($I486="",$E486=0),0,IF(OR($J486&lt;AD$3,$I486&gt;AD$2),0,IF($K486=0,IF(AND($I486&gt;=AD$3,$I486&lt;=AD$2),$E486,0),$E486*NETWORKDAYS(MAX($I486,AD$3),MIN($J486,AD$2),Data!$K$4:$K$203)/$K486)))</f>
        <v>0</v>
      </c>
      <c r="AE486" s="170">
        <f>IF(OR($I486="",$E486=0),0,IF(OR($J486&lt;AE$3,$I486&gt;AE$2),0,IF($K486=0,IF(AND($I486&gt;=AE$3,$I486&lt;=AE$2),$E486,0),$E486*NETWORKDAYS(MAX($I486,AE$3),MIN($J486,AE$2),Data!$K$4:$K$203)/$K486)))</f>
        <v>0</v>
      </c>
      <c r="AF486" s="170">
        <f>IF(OR($I486="",$E486=0),0,IF(OR($J486&lt;AF$3,$I486&gt;AF$2),0,IF($K486=0,IF(AND($I486&gt;=AF$3,$I486&lt;=AF$2),$E486,0),$E486*NETWORKDAYS(MAX($I486,AF$3),MIN($J486,AF$2),Data!$K$4:$K$203)/$K486)))</f>
        <v>0</v>
      </c>
      <c r="AG486" s="170">
        <f>IF(OR($I486="",$E486=0),0,IF(OR($J486&lt;AG$3,$I486&gt;AG$2),0,IF($K486=0,IF(AND($I486&gt;=AG$3,$I486&lt;=AG$2),$E486,0),$E486*NETWORKDAYS(MAX($I486,AG$3),MIN($J486,AG$2),Data!$K$4:$K$203)/$K486)))</f>
        <v>0</v>
      </c>
      <c r="AH486" s="170">
        <f>IF(OR($I486="",$E486=0),0,IF(OR($J486&lt;AH$3,$I486&gt;AH$2),0,IF($K486=0,IF(AND($I486&gt;=AH$3,$I486&lt;=AH$2),$E486,0),$E486*NETWORKDAYS(MAX($I486,AH$3),MIN($J486,AH$2),Data!$K$4:$K$203)/$K486)))</f>
        <v>0</v>
      </c>
      <c r="AI486" s="170">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70"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4" t="str">
        <f>IF(EO486=1,IF(FH486&gt;0,FI486/FH486,AVERAGEIF($FF$4:$FF$503,EN486,$C$4:$C$503)),"")</f>
        <v/>
      </c>
      <c r="EV486" s="169">
        <f>IF(ISNUMBER(I486),I486,2958465)</f>
        <v>2958465.0</v>
      </c>
      <c r="EW486" s="169" t="str">
        <f>IF(EO486=1,SUMPRODUCT(MIN(($EN$4:$EN$503=EN486)*$EV$4:$EV$503+($EN$4:$EN$503&lt;&gt;EN486)*2958465)),"")</f>
        <v/>
      </c>
      <c r="EX486" s="169">
        <f>IF(AND(D486=1,ISNUMBER(INDEX(Charge!$F:$F,ROW()))),INDEX(Charge!$F:$F,ROW()),0)</f>
        <v>0.0</v>
      </c>
      <c r="EY486" s="169" t="str">
        <f>IF(EO486=1,SUMPRODUCT(MAX(($EN$4:$EN$503=EN486)*$EX$4:$EX$503)),"")</f>
        <v/>
      </c>
      <c r="FD486">
        <f>IF(AND(B486=1,TRIM(INDEX(Charge!$K:$K,ROW()))&lt;&gt;"",TRIM(INDEX(Charge!$L:$L,ROW()))&lt;&gt;""),1,0)</f>
        <v>0</v>
      </c>
      <c r="FE486">
        <f>IF(OR(EN486="",BZ486="(non affecté)"),0,IF(COUNTIFS($EN$4:EN486,EN486,$BZ$4:BZ486,BZ486)=1,1,0))</f>
        <v>0</v>
      </c>
      <c r="FF486" t="str">
        <f>IF(B486=1,LEFT(SUBSTITUTE(SUBSTITUTE(SUBSTITUTE(TRIM(SUBSTITUTE(INDEX(Charge!$B:$B,ROW()),CHAR(160)," "))&amp;" | "&amp;TRIM(SUBSTITUTE(INDEX(Charge!$C:$C,ROW()),CHAR(160)," "))&amp;" | "&amp;TRIM(SUBSTITUTE(INDEX(Charge!$D:$D,ROW()),CHAR(160)," ")),"~","-"),"*","+"),"?","!"),240),"")</f>
        <v/>
      </c>
      <c r="FG486">
        <f>IF(B486=1,MAX(0,N(INDEX(Charge!$M:$M,ROW()))),0)</f>
        <v>0</v>
      </c>
      <c r="FH486" s="170" t="str">
        <f>IF(EO486=1,ROUND(SUMIF($FF$4:$FF$503,EN486,$FG$4:$FG$503),2),"")</f>
        <v/>
      </c>
      <c r="FI486" s="170" t="str">
        <f>IF(EO486=1,ROUND(SUMPRODUCT(($FF$4:$FF$503=EN486)*$FG$4:$FG$503*$C$4:$C$503),2),"")</f>
        <v/>
      </c>
      <c r="FJ486" s="170" t="str">
        <f>IF(EO486=1,MAX(0,ROUND(FH486-FI486,2)),"")</f>
        <v/>
      </c>
      <c r="FK486" s="174" t="str">
        <f>IF(EO486=1,IF(OR(EW486&gt;=2958465,EY486=0,EY486&lt;=EW486),"",IF(TODAY()&lt;=EW486,0,IF(TODAY()&gt;EY486,1,IFERROR(NETWORKDAYS(EW486,TODAY()-1,Data!$K$4:$K$203)/NETWORKDAYS(EW486,EY486,Data!$K$4:$K$203),"")))),"")</f>
        <v/>
      </c>
      <c r="FL486" t="str">
        <f>IF(EO486=1,IF(AND(EY486&gt;0,EY486&lt;TODAY(),ROUND(EU486,4)&lt;1),2,IF(FK486="",0,IF(ROUND(EU486-FK486,4)&lt;-0.15,1,0))),"")</f>
        <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9" t="str">
        <f>IF(AND(D487=1,ISNUMBER(INDEX(Charge!$N:$N,ROW()))),INDEX(Charge!$N:$N,ROW()),"")</f>
        <v/>
      </c>
      <c r="J487" s="169"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70">
        <f>IF(OR($I487="",$E487=0),0,IF(OR($J487&lt;W$3,$I487&gt;W$2),0,IF($K487=0,IF(AND($I487&gt;=W$3,$I487&lt;=W$2),$E487,0),$E487*NETWORKDAYS(MAX($I487,W$3),MIN($J487,W$2),Data!$K$4:$K$203)/$K487)))</f>
        <v>0</v>
      </c>
      <c r="X487" s="170">
        <f>IF(OR($I487="",$E487=0),0,IF(OR($J487&lt;X$3,$I487&gt;X$2),0,IF($K487=0,IF(AND($I487&gt;=X$3,$I487&lt;=X$2),$E487,0),$E487*NETWORKDAYS(MAX($I487,X$3),MIN($J487,X$2),Data!$K$4:$K$203)/$K487)))</f>
        <v>0</v>
      </c>
      <c r="Y487" s="170">
        <f>IF(OR($I487="",$E487=0),0,IF(OR($J487&lt;Y$3,$I487&gt;Y$2),0,IF($K487=0,IF(AND($I487&gt;=Y$3,$I487&lt;=Y$2),$E487,0),$E487*NETWORKDAYS(MAX($I487,Y$3),MIN($J487,Y$2),Data!$K$4:$K$203)/$K487)))</f>
        <v>0</v>
      </c>
      <c r="Z487" s="170">
        <f>IF(OR($I487="",$E487=0),0,IF(OR($J487&lt;Z$3,$I487&gt;Z$2),0,IF($K487=0,IF(AND($I487&gt;=Z$3,$I487&lt;=Z$2),$E487,0),$E487*NETWORKDAYS(MAX($I487,Z$3),MIN($J487,Z$2),Data!$K$4:$K$203)/$K487)))</f>
        <v>0</v>
      </c>
      <c r="AA487" s="170">
        <f>IF(OR($I487="",$E487=0),0,IF(OR($J487&lt;AA$3,$I487&gt;AA$2),0,IF($K487=0,IF(AND($I487&gt;=AA$3,$I487&lt;=AA$2),$E487,0),$E487*NETWORKDAYS(MAX($I487,AA$3),MIN($J487,AA$2),Data!$K$4:$K$203)/$K487)))</f>
        <v>0</v>
      </c>
      <c r="AB487" s="170">
        <f>IF(OR($I487="",$E487=0),0,IF(OR($J487&lt;AB$3,$I487&gt;AB$2),0,IF($K487=0,IF(AND($I487&gt;=AB$3,$I487&lt;=AB$2),$E487,0),$E487*NETWORKDAYS(MAX($I487,AB$3),MIN($J487,AB$2),Data!$K$4:$K$203)/$K487)))</f>
        <v>0</v>
      </c>
      <c r="AC487" s="170">
        <f>IF(OR($I487="",$E487=0),0,IF(OR($J487&lt;AC$3,$I487&gt;AC$2),0,IF($K487=0,IF(AND($I487&gt;=AC$3,$I487&lt;=AC$2),$E487,0),$E487*NETWORKDAYS(MAX($I487,AC$3),MIN($J487,AC$2),Data!$K$4:$K$203)/$K487)))</f>
        <v>0</v>
      </c>
      <c r="AD487" s="170">
        <f>IF(OR($I487="",$E487=0),0,IF(OR($J487&lt;AD$3,$I487&gt;AD$2),0,IF($K487=0,IF(AND($I487&gt;=AD$3,$I487&lt;=AD$2),$E487,0),$E487*NETWORKDAYS(MAX($I487,AD$3),MIN($J487,AD$2),Data!$K$4:$K$203)/$K487)))</f>
        <v>0</v>
      </c>
      <c r="AE487" s="170">
        <f>IF(OR($I487="",$E487=0),0,IF(OR($J487&lt;AE$3,$I487&gt;AE$2),0,IF($K487=0,IF(AND($I487&gt;=AE$3,$I487&lt;=AE$2),$E487,0),$E487*NETWORKDAYS(MAX($I487,AE$3),MIN($J487,AE$2),Data!$K$4:$K$203)/$K487)))</f>
        <v>0</v>
      </c>
      <c r="AF487" s="170">
        <f>IF(OR($I487="",$E487=0),0,IF(OR($J487&lt;AF$3,$I487&gt;AF$2),0,IF($K487=0,IF(AND($I487&gt;=AF$3,$I487&lt;=AF$2),$E487,0),$E487*NETWORKDAYS(MAX($I487,AF$3),MIN($J487,AF$2),Data!$K$4:$K$203)/$K487)))</f>
        <v>0</v>
      </c>
      <c r="AG487" s="170">
        <f>IF(OR($I487="",$E487=0),0,IF(OR($J487&lt;AG$3,$I487&gt;AG$2),0,IF($K487=0,IF(AND($I487&gt;=AG$3,$I487&lt;=AG$2),$E487,0),$E487*NETWORKDAYS(MAX($I487,AG$3),MIN($J487,AG$2),Data!$K$4:$K$203)/$K487)))</f>
        <v>0</v>
      </c>
      <c r="AH487" s="170">
        <f>IF(OR($I487="",$E487=0),0,IF(OR($J487&lt;AH$3,$I487&gt;AH$2),0,IF($K487=0,IF(AND($I487&gt;=AH$3,$I487&lt;=AH$2),$E487,0),$E487*NETWORKDAYS(MAX($I487,AH$3),MIN($J487,AH$2),Data!$K$4:$K$203)/$K487)))</f>
        <v>0</v>
      </c>
      <c r="AI487" s="170">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70"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4" t="str">
        <f>IF(EO487=1,IF(FH487&gt;0,FI487/FH487,AVERAGEIF($FF$4:$FF$503,EN487,$C$4:$C$503)),"")</f>
        <v/>
      </c>
      <c r="EV487" s="169">
        <f>IF(ISNUMBER(I487),I487,2958465)</f>
        <v>2958465.0</v>
      </c>
      <c r="EW487" s="169" t="str">
        <f>IF(EO487=1,SUMPRODUCT(MIN(($EN$4:$EN$503=EN487)*$EV$4:$EV$503+($EN$4:$EN$503&lt;&gt;EN487)*2958465)),"")</f>
        <v/>
      </c>
      <c r="EX487" s="169">
        <f>IF(AND(D487=1,ISNUMBER(INDEX(Charge!$F:$F,ROW()))),INDEX(Charge!$F:$F,ROW()),0)</f>
        <v>0.0</v>
      </c>
      <c r="EY487" s="169" t="str">
        <f>IF(EO487=1,SUMPRODUCT(MAX(($EN$4:$EN$503=EN487)*$EX$4:$EX$503)),"")</f>
        <v/>
      </c>
      <c r="FD487">
        <f>IF(AND(B487=1,TRIM(INDEX(Charge!$K:$K,ROW()))&lt;&gt;"",TRIM(INDEX(Charge!$L:$L,ROW()))&lt;&gt;""),1,0)</f>
        <v>0</v>
      </c>
      <c r="FE487">
        <f>IF(OR(EN487="",BZ487="(non affecté)"),0,IF(COUNTIFS($EN$4:EN487,EN487,$BZ$4:BZ487,BZ487)=1,1,0))</f>
        <v>0</v>
      </c>
      <c r="FF487" t="str">
        <f>IF(B487=1,LEFT(SUBSTITUTE(SUBSTITUTE(SUBSTITUTE(TRIM(SUBSTITUTE(INDEX(Charge!$B:$B,ROW()),CHAR(160)," "))&amp;" | "&amp;TRIM(SUBSTITUTE(INDEX(Charge!$C:$C,ROW()),CHAR(160)," "))&amp;" | "&amp;TRIM(SUBSTITUTE(INDEX(Charge!$D:$D,ROW()),CHAR(160)," ")),"~","-"),"*","+"),"?","!"),240),"")</f>
        <v/>
      </c>
      <c r="FG487">
        <f>IF(B487=1,MAX(0,N(INDEX(Charge!$M:$M,ROW()))),0)</f>
        <v>0</v>
      </c>
      <c r="FH487" s="170" t="str">
        <f>IF(EO487=1,ROUND(SUMIF($FF$4:$FF$503,EN487,$FG$4:$FG$503),2),"")</f>
        <v/>
      </c>
      <c r="FI487" s="170" t="str">
        <f>IF(EO487=1,ROUND(SUMPRODUCT(($FF$4:$FF$503=EN487)*$FG$4:$FG$503*$C$4:$C$503),2),"")</f>
        <v/>
      </c>
      <c r="FJ487" s="170" t="str">
        <f>IF(EO487=1,MAX(0,ROUND(FH487-FI487,2)),"")</f>
        <v/>
      </c>
      <c r="FK487" s="174" t="str">
        <f>IF(EO487=1,IF(OR(EW487&gt;=2958465,EY487=0,EY487&lt;=EW487),"",IF(TODAY()&lt;=EW487,0,IF(TODAY()&gt;EY487,1,IFERROR(NETWORKDAYS(EW487,TODAY()-1,Data!$K$4:$K$203)/NETWORKDAYS(EW487,EY487,Data!$K$4:$K$203),"")))),"")</f>
        <v/>
      </c>
      <c r="FL487" t="str">
        <f>IF(EO487=1,IF(AND(EY487&gt;0,EY487&lt;TODAY(),ROUND(EU487,4)&lt;1),2,IF(FK487="",0,IF(ROUND(EU487-FK487,4)&lt;-0.15,1,0))),"")</f>
        <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9" t="str">
        <f>IF(AND(D488=1,ISNUMBER(INDEX(Charge!$N:$N,ROW()))),INDEX(Charge!$N:$N,ROW()),"")</f>
        <v/>
      </c>
      <c r="J488" s="169"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70">
        <f>IF(OR($I488="",$E488=0),0,IF(OR($J488&lt;W$3,$I488&gt;W$2),0,IF($K488=0,IF(AND($I488&gt;=W$3,$I488&lt;=W$2),$E488,0),$E488*NETWORKDAYS(MAX($I488,W$3),MIN($J488,W$2),Data!$K$4:$K$203)/$K488)))</f>
        <v>0</v>
      </c>
      <c r="X488" s="170">
        <f>IF(OR($I488="",$E488=0),0,IF(OR($J488&lt;X$3,$I488&gt;X$2),0,IF($K488=0,IF(AND($I488&gt;=X$3,$I488&lt;=X$2),$E488,0),$E488*NETWORKDAYS(MAX($I488,X$3),MIN($J488,X$2),Data!$K$4:$K$203)/$K488)))</f>
        <v>0</v>
      </c>
      <c r="Y488" s="170">
        <f>IF(OR($I488="",$E488=0),0,IF(OR($J488&lt;Y$3,$I488&gt;Y$2),0,IF($K488=0,IF(AND($I488&gt;=Y$3,$I488&lt;=Y$2),$E488,0),$E488*NETWORKDAYS(MAX($I488,Y$3),MIN($J488,Y$2),Data!$K$4:$K$203)/$K488)))</f>
        <v>0</v>
      </c>
      <c r="Z488" s="170">
        <f>IF(OR($I488="",$E488=0),0,IF(OR($J488&lt;Z$3,$I488&gt;Z$2),0,IF($K488=0,IF(AND($I488&gt;=Z$3,$I488&lt;=Z$2),$E488,0),$E488*NETWORKDAYS(MAX($I488,Z$3),MIN($J488,Z$2),Data!$K$4:$K$203)/$K488)))</f>
        <v>0</v>
      </c>
      <c r="AA488" s="170">
        <f>IF(OR($I488="",$E488=0),0,IF(OR($J488&lt;AA$3,$I488&gt;AA$2),0,IF($K488=0,IF(AND($I488&gt;=AA$3,$I488&lt;=AA$2),$E488,0),$E488*NETWORKDAYS(MAX($I488,AA$3),MIN($J488,AA$2),Data!$K$4:$K$203)/$K488)))</f>
        <v>0</v>
      </c>
      <c r="AB488" s="170">
        <f>IF(OR($I488="",$E488=0),0,IF(OR($J488&lt;AB$3,$I488&gt;AB$2),0,IF($K488=0,IF(AND($I488&gt;=AB$3,$I488&lt;=AB$2),$E488,0),$E488*NETWORKDAYS(MAX($I488,AB$3),MIN($J488,AB$2),Data!$K$4:$K$203)/$K488)))</f>
        <v>0</v>
      </c>
      <c r="AC488" s="170">
        <f>IF(OR($I488="",$E488=0),0,IF(OR($J488&lt;AC$3,$I488&gt;AC$2),0,IF($K488=0,IF(AND($I488&gt;=AC$3,$I488&lt;=AC$2),$E488,0),$E488*NETWORKDAYS(MAX($I488,AC$3),MIN($J488,AC$2),Data!$K$4:$K$203)/$K488)))</f>
        <v>0</v>
      </c>
      <c r="AD488" s="170">
        <f>IF(OR($I488="",$E488=0),0,IF(OR($J488&lt;AD$3,$I488&gt;AD$2),0,IF($K488=0,IF(AND($I488&gt;=AD$3,$I488&lt;=AD$2),$E488,0),$E488*NETWORKDAYS(MAX($I488,AD$3),MIN($J488,AD$2),Data!$K$4:$K$203)/$K488)))</f>
        <v>0</v>
      </c>
      <c r="AE488" s="170">
        <f>IF(OR($I488="",$E488=0),0,IF(OR($J488&lt;AE$3,$I488&gt;AE$2),0,IF($K488=0,IF(AND($I488&gt;=AE$3,$I488&lt;=AE$2),$E488,0),$E488*NETWORKDAYS(MAX($I488,AE$3),MIN($J488,AE$2),Data!$K$4:$K$203)/$K488)))</f>
        <v>0</v>
      </c>
      <c r="AF488" s="170">
        <f>IF(OR($I488="",$E488=0),0,IF(OR($J488&lt;AF$3,$I488&gt;AF$2),0,IF($K488=0,IF(AND($I488&gt;=AF$3,$I488&lt;=AF$2),$E488,0),$E488*NETWORKDAYS(MAX($I488,AF$3),MIN($J488,AF$2),Data!$K$4:$K$203)/$K488)))</f>
        <v>0</v>
      </c>
      <c r="AG488" s="170">
        <f>IF(OR($I488="",$E488=0),0,IF(OR($J488&lt;AG$3,$I488&gt;AG$2),0,IF($K488=0,IF(AND($I488&gt;=AG$3,$I488&lt;=AG$2),$E488,0),$E488*NETWORKDAYS(MAX($I488,AG$3),MIN($J488,AG$2),Data!$K$4:$K$203)/$K488)))</f>
        <v>0</v>
      </c>
      <c r="AH488" s="170">
        <f>IF(OR($I488="",$E488=0),0,IF(OR($J488&lt;AH$3,$I488&gt;AH$2),0,IF($K488=0,IF(AND($I488&gt;=AH$3,$I488&lt;=AH$2),$E488,0),$E488*NETWORKDAYS(MAX($I488,AH$3),MIN($J488,AH$2),Data!$K$4:$K$203)/$K488)))</f>
        <v>0</v>
      </c>
      <c r="AI488" s="170">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70"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4" t="str">
        <f>IF(EO488=1,IF(FH488&gt;0,FI488/FH488,AVERAGEIF($FF$4:$FF$503,EN488,$C$4:$C$503)),"")</f>
        <v/>
      </c>
      <c r="EV488" s="169">
        <f>IF(ISNUMBER(I488),I488,2958465)</f>
        <v>2958465.0</v>
      </c>
      <c r="EW488" s="169" t="str">
        <f>IF(EO488=1,SUMPRODUCT(MIN(($EN$4:$EN$503=EN488)*$EV$4:$EV$503+($EN$4:$EN$503&lt;&gt;EN488)*2958465)),"")</f>
        <v/>
      </c>
      <c r="EX488" s="169">
        <f>IF(AND(D488=1,ISNUMBER(INDEX(Charge!$F:$F,ROW()))),INDEX(Charge!$F:$F,ROW()),0)</f>
        <v>0.0</v>
      </c>
      <c r="EY488" s="169" t="str">
        <f>IF(EO488=1,SUMPRODUCT(MAX(($EN$4:$EN$503=EN488)*$EX$4:$EX$503)),"")</f>
        <v/>
      </c>
      <c r="FD488">
        <f>IF(AND(B488=1,TRIM(INDEX(Charge!$K:$K,ROW()))&lt;&gt;"",TRIM(INDEX(Charge!$L:$L,ROW()))&lt;&gt;""),1,0)</f>
        <v>0</v>
      </c>
      <c r="FE488">
        <f>IF(OR(EN488="",BZ488="(non affecté)"),0,IF(COUNTIFS($EN$4:EN488,EN488,$BZ$4:BZ488,BZ488)=1,1,0))</f>
        <v>0</v>
      </c>
      <c r="FF488" t="str">
        <f>IF(B488=1,LEFT(SUBSTITUTE(SUBSTITUTE(SUBSTITUTE(TRIM(SUBSTITUTE(INDEX(Charge!$B:$B,ROW()),CHAR(160)," "))&amp;" | "&amp;TRIM(SUBSTITUTE(INDEX(Charge!$C:$C,ROW()),CHAR(160)," "))&amp;" | "&amp;TRIM(SUBSTITUTE(INDEX(Charge!$D:$D,ROW()),CHAR(160)," ")),"~","-"),"*","+"),"?","!"),240),"")</f>
        <v/>
      </c>
      <c r="FG488">
        <f>IF(B488=1,MAX(0,N(INDEX(Charge!$M:$M,ROW()))),0)</f>
        <v>0</v>
      </c>
      <c r="FH488" s="170" t="str">
        <f>IF(EO488=1,ROUND(SUMIF($FF$4:$FF$503,EN488,$FG$4:$FG$503),2),"")</f>
        <v/>
      </c>
      <c r="FI488" s="170" t="str">
        <f>IF(EO488=1,ROUND(SUMPRODUCT(($FF$4:$FF$503=EN488)*$FG$4:$FG$503*$C$4:$C$503),2),"")</f>
        <v/>
      </c>
      <c r="FJ488" s="170" t="str">
        <f>IF(EO488=1,MAX(0,ROUND(FH488-FI488,2)),"")</f>
        <v/>
      </c>
      <c r="FK488" s="174" t="str">
        <f>IF(EO488=1,IF(OR(EW488&gt;=2958465,EY488=0,EY488&lt;=EW488),"",IF(TODAY()&lt;=EW488,0,IF(TODAY()&gt;EY488,1,IFERROR(NETWORKDAYS(EW488,TODAY()-1,Data!$K$4:$K$203)/NETWORKDAYS(EW488,EY488,Data!$K$4:$K$203),"")))),"")</f>
        <v/>
      </c>
      <c r="FL488" t="str">
        <f>IF(EO488=1,IF(AND(EY488&gt;0,EY488&lt;TODAY(),ROUND(EU488,4)&lt;1),2,IF(FK488="",0,IF(ROUND(EU488-FK488,4)&lt;-0.15,1,0))),"")</f>
        <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9" t="str">
        <f>IF(AND(D489=1,ISNUMBER(INDEX(Charge!$N:$N,ROW()))),INDEX(Charge!$N:$N,ROW()),"")</f>
        <v/>
      </c>
      <c r="J489" s="169"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70">
        <f>IF(OR($I489="",$E489=0),0,IF(OR($J489&lt;W$3,$I489&gt;W$2),0,IF($K489=0,IF(AND($I489&gt;=W$3,$I489&lt;=W$2),$E489,0),$E489*NETWORKDAYS(MAX($I489,W$3),MIN($J489,W$2),Data!$K$4:$K$203)/$K489)))</f>
        <v>0</v>
      </c>
      <c r="X489" s="170">
        <f>IF(OR($I489="",$E489=0),0,IF(OR($J489&lt;X$3,$I489&gt;X$2),0,IF($K489=0,IF(AND($I489&gt;=X$3,$I489&lt;=X$2),$E489,0),$E489*NETWORKDAYS(MAX($I489,X$3),MIN($J489,X$2),Data!$K$4:$K$203)/$K489)))</f>
        <v>0</v>
      </c>
      <c r="Y489" s="170">
        <f>IF(OR($I489="",$E489=0),0,IF(OR($J489&lt;Y$3,$I489&gt;Y$2),0,IF($K489=0,IF(AND($I489&gt;=Y$3,$I489&lt;=Y$2),$E489,0),$E489*NETWORKDAYS(MAX($I489,Y$3),MIN($J489,Y$2),Data!$K$4:$K$203)/$K489)))</f>
        <v>0</v>
      </c>
      <c r="Z489" s="170">
        <f>IF(OR($I489="",$E489=0),0,IF(OR($J489&lt;Z$3,$I489&gt;Z$2),0,IF($K489=0,IF(AND($I489&gt;=Z$3,$I489&lt;=Z$2),$E489,0),$E489*NETWORKDAYS(MAX($I489,Z$3),MIN($J489,Z$2),Data!$K$4:$K$203)/$K489)))</f>
        <v>0</v>
      </c>
      <c r="AA489" s="170">
        <f>IF(OR($I489="",$E489=0),0,IF(OR($J489&lt;AA$3,$I489&gt;AA$2),0,IF($K489=0,IF(AND($I489&gt;=AA$3,$I489&lt;=AA$2),$E489,0),$E489*NETWORKDAYS(MAX($I489,AA$3),MIN($J489,AA$2),Data!$K$4:$K$203)/$K489)))</f>
        <v>0</v>
      </c>
      <c r="AB489" s="170">
        <f>IF(OR($I489="",$E489=0),0,IF(OR($J489&lt;AB$3,$I489&gt;AB$2),0,IF($K489=0,IF(AND($I489&gt;=AB$3,$I489&lt;=AB$2),$E489,0),$E489*NETWORKDAYS(MAX($I489,AB$3),MIN($J489,AB$2),Data!$K$4:$K$203)/$K489)))</f>
        <v>0</v>
      </c>
      <c r="AC489" s="170">
        <f>IF(OR($I489="",$E489=0),0,IF(OR($J489&lt;AC$3,$I489&gt;AC$2),0,IF($K489=0,IF(AND($I489&gt;=AC$3,$I489&lt;=AC$2),$E489,0),$E489*NETWORKDAYS(MAX($I489,AC$3),MIN($J489,AC$2),Data!$K$4:$K$203)/$K489)))</f>
        <v>0</v>
      </c>
      <c r="AD489" s="170">
        <f>IF(OR($I489="",$E489=0),0,IF(OR($J489&lt;AD$3,$I489&gt;AD$2),0,IF($K489=0,IF(AND($I489&gt;=AD$3,$I489&lt;=AD$2),$E489,0),$E489*NETWORKDAYS(MAX($I489,AD$3),MIN($J489,AD$2),Data!$K$4:$K$203)/$K489)))</f>
        <v>0</v>
      </c>
      <c r="AE489" s="170">
        <f>IF(OR($I489="",$E489=0),0,IF(OR($J489&lt;AE$3,$I489&gt;AE$2),0,IF($K489=0,IF(AND($I489&gt;=AE$3,$I489&lt;=AE$2),$E489,0),$E489*NETWORKDAYS(MAX($I489,AE$3),MIN($J489,AE$2),Data!$K$4:$K$203)/$K489)))</f>
        <v>0</v>
      </c>
      <c r="AF489" s="170">
        <f>IF(OR($I489="",$E489=0),0,IF(OR($J489&lt;AF$3,$I489&gt;AF$2),0,IF($K489=0,IF(AND($I489&gt;=AF$3,$I489&lt;=AF$2),$E489,0),$E489*NETWORKDAYS(MAX($I489,AF$3),MIN($J489,AF$2),Data!$K$4:$K$203)/$K489)))</f>
        <v>0</v>
      </c>
      <c r="AG489" s="170">
        <f>IF(OR($I489="",$E489=0),0,IF(OR($J489&lt;AG$3,$I489&gt;AG$2),0,IF($K489=0,IF(AND($I489&gt;=AG$3,$I489&lt;=AG$2),$E489,0),$E489*NETWORKDAYS(MAX($I489,AG$3),MIN($J489,AG$2),Data!$K$4:$K$203)/$K489)))</f>
        <v>0</v>
      </c>
      <c r="AH489" s="170">
        <f>IF(OR($I489="",$E489=0),0,IF(OR($J489&lt;AH$3,$I489&gt;AH$2),0,IF($K489=0,IF(AND($I489&gt;=AH$3,$I489&lt;=AH$2),$E489,0),$E489*NETWORKDAYS(MAX($I489,AH$3),MIN($J489,AH$2),Data!$K$4:$K$203)/$K489)))</f>
        <v>0</v>
      </c>
      <c r="AI489" s="170">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70"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4" t="str">
        <f>IF(EO489=1,IF(FH489&gt;0,FI489/FH489,AVERAGEIF($FF$4:$FF$503,EN489,$C$4:$C$503)),"")</f>
        <v/>
      </c>
      <c r="EV489" s="169">
        <f>IF(ISNUMBER(I489),I489,2958465)</f>
        <v>2958465.0</v>
      </c>
      <c r="EW489" s="169" t="str">
        <f>IF(EO489=1,SUMPRODUCT(MIN(($EN$4:$EN$503=EN489)*$EV$4:$EV$503+($EN$4:$EN$503&lt;&gt;EN489)*2958465)),"")</f>
        <v/>
      </c>
      <c r="EX489" s="169">
        <f>IF(AND(D489=1,ISNUMBER(INDEX(Charge!$F:$F,ROW()))),INDEX(Charge!$F:$F,ROW()),0)</f>
        <v>0.0</v>
      </c>
      <c r="EY489" s="169" t="str">
        <f>IF(EO489=1,SUMPRODUCT(MAX(($EN$4:$EN$503=EN489)*$EX$4:$EX$503)),"")</f>
        <v/>
      </c>
      <c r="FD489">
        <f>IF(AND(B489=1,TRIM(INDEX(Charge!$K:$K,ROW()))&lt;&gt;"",TRIM(INDEX(Charge!$L:$L,ROW()))&lt;&gt;""),1,0)</f>
        <v>0</v>
      </c>
      <c r="FE489">
        <f>IF(OR(EN489="",BZ489="(non affecté)"),0,IF(COUNTIFS($EN$4:EN489,EN489,$BZ$4:BZ489,BZ489)=1,1,0))</f>
        <v>0</v>
      </c>
      <c r="FF489" t="str">
        <f>IF(B489=1,LEFT(SUBSTITUTE(SUBSTITUTE(SUBSTITUTE(TRIM(SUBSTITUTE(INDEX(Charge!$B:$B,ROW()),CHAR(160)," "))&amp;" | "&amp;TRIM(SUBSTITUTE(INDEX(Charge!$C:$C,ROW()),CHAR(160)," "))&amp;" | "&amp;TRIM(SUBSTITUTE(INDEX(Charge!$D:$D,ROW()),CHAR(160)," ")),"~","-"),"*","+"),"?","!"),240),"")</f>
        <v/>
      </c>
      <c r="FG489">
        <f>IF(B489=1,MAX(0,N(INDEX(Charge!$M:$M,ROW()))),0)</f>
        <v>0</v>
      </c>
      <c r="FH489" s="170" t="str">
        <f>IF(EO489=1,ROUND(SUMIF($FF$4:$FF$503,EN489,$FG$4:$FG$503),2),"")</f>
        <v/>
      </c>
      <c r="FI489" s="170" t="str">
        <f>IF(EO489=1,ROUND(SUMPRODUCT(($FF$4:$FF$503=EN489)*$FG$4:$FG$503*$C$4:$C$503),2),"")</f>
        <v/>
      </c>
      <c r="FJ489" s="170" t="str">
        <f>IF(EO489=1,MAX(0,ROUND(FH489-FI489,2)),"")</f>
        <v/>
      </c>
      <c r="FK489" s="174" t="str">
        <f>IF(EO489=1,IF(OR(EW489&gt;=2958465,EY489=0,EY489&lt;=EW489),"",IF(TODAY()&lt;=EW489,0,IF(TODAY()&gt;EY489,1,IFERROR(NETWORKDAYS(EW489,TODAY()-1,Data!$K$4:$K$203)/NETWORKDAYS(EW489,EY489,Data!$K$4:$K$203),"")))),"")</f>
        <v/>
      </c>
      <c r="FL489" t="str">
        <f>IF(EO489=1,IF(AND(EY489&gt;0,EY489&lt;TODAY(),ROUND(EU489,4)&lt;1),2,IF(FK489="",0,IF(ROUND(EU489-FK489,4)&lt;-0.15,1,0))),"")</f>
        <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9" t="str">
        <f>IF(AND(D490=1,ISNUMBER(INDEX(Charge!$N:$N,ROW()))),INDEX(Charge!$N:$N,ROW()),"")</f>
        <v/>
      </c>
      <c r="J490" s="169"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70">
        <f>IF(OR($I490="",$E490=0),0,IF(OR($J490&lt;W$3,$I490&gt;W$2),0,IF($K490=0,IF(AND($I490&gt;=W$3,$I490&lt;=W$2),$E490,0),$E490*NETWORKDAYS(MAX($I490,W$3),MIN($J490,W$2),Data!$K$4:$K$203)/$K490)))</f>
        <v>0</v>
      </c>
      <c r="X490" s="170">
        <f>IF(OR($I490="",$E490=0),0,IF(OR($J490&lt;X$3,$I490&gt;X$2),0,IF($K490=0,IF(AND($I490&gt;=X$3,$I490&lt;=X$2),$E490,0),$E490*NETWORKDAYS(MAX($I490,X$3),MIN($J490,X$2),Data!$K$4:$K$203)/$K490)))</f>
        <v>0</v>
      </c>
      <c r="Y490" s="170">
        <f>IF(OR($I490="",$E490=0),0,IF(OR($J490&lt;Y$3,$I490&gt;Y$2),0,IF($K490=0,IF(AND($I490&gt;=Y$3,$I490&lt;=Y$2),$E490,0),$E490*NETWORKDAYS(MAX($I490,Y$3),MIN($J490,Y$2),Data!$K$4:$K$203)/$K490)))</f>
        <v>0</v>
      </c>
      <c r="Z490" s="170">
        <f>IF(OR($I490="",$E490=0),0,IF(OR($J490&lt;Z$3,$I490&gt;Z$2),0,IF($K490=0,IF(AND($I490&gt;=Z$3,$I490&lt;=Z$2),$E490,0),$E490*NETWORKDAYS(MAX($I490,Z$3),MIN($J490,Z$2),Data!$K$4:$K$203)/$K490)))</f>
        <v>0</v>
      </c>
      <c r="AA490" s="170">
        <f>IF(OR($I490="",$E490=0),0,IF(OR($J490&lt;AA$3,$I490&gt;AA$2),0,IF($K490=0,IF(AND($I490&gt;=AA$3,$I490&lt;=AA$2),$E490,0),$E490*NETWORKDAYS(MAX($I490,AA$3),MIN($J490,AA$2),Data!$K$4:$K$203)/$K490)))</f>
        <v>0</v>
      </c>
      <c r="AB490" s="170">
        <f>IF(OR($I490="",$E490=0),0,IF(OR($J490&lt;AB$3,$I490&gt;AB$2),0,IF($K490=0,IF(AND($I490&gt;=AB$3,$I490&lt;=AB$2),$E490,0),$E490*NETWORKDAYS(MAX($I490,AB$3),MIN($J490,AB$2),Data!$K$4:$K$203)/$K490)))</f>
        <v>0</v>
      </c>
      <c r="AC490" s="170">
        <f>IF(OR($I490="",$E490=0),0,IF(OR($J490&lt;AC$3,$I490&gt;AC$2),0,IF($K490=0,IF(AND($I490&gt;=AC$3,$I490&lt;=AC$2),$E490,0),$E490*NETWORKDAYS(MAX($I490,AC$3),MIN($J490,AC$2),Data!$K$4:$K$203)/$K490)))</f>
        <v>0</v>
      </c>
      <c r="AD490" s="170">
        <f>IF(OR($I490="",$E490=0),0,IF(OR($J490&lt;AD$3,$I490&gt;AD$2),0,IF($K490=0,IF(AND($I490&gt;=AD$3,$I490&lt;=AD$2),$E490,0),$E490*NETWORKDAYS(MAX($I490,AD$3),MIN($J490,AD$2),Data!$K$4:$K$203)/$K490)))</f>
        <v>0</v>
      </c>
      <c r="AE490" s="170">
        <f>IF(OR($I490="",$E490=0),0,IF(OR($J490&lt;AE$3,$I490&gt;AE$2),0,IF($K490=0,IF(AND($I490&gt;=AE$3,$I490&lt;=AE$2),$E490,0),$E490*NETWORKDAYS(MAX($I490,AE$3),MIN($J490,AE$2),Data!$K$4:$K$203)/$K490)))</f>
        <v>0</v>
      </c>
      <c r="AF490" s="170">
        <f>IF(OR($I490="",$E490=0),0,IF(OR($J490&lt;AF$3,$I490&gt;AF$2),0,IF($K490=0,IF(AND($I490&gt;=AF$3,$I490&lt;=AF$2),$E490,0),$E490*NETWORKDAYS(MAX($I490,AF$3),MIN($J490,AF$2),Data!$K$4:$K$203)/$K490)))</f>
        <v>0</v>
      </c>
      <c r="AG490" s="170">
        <f>IF(OR($I490="",$E490=0),0,IF(OR($J490&lt;AG$3,$I490&gt;AG$2),0,IF($K490=0,IF(AND($I490&gt;=AG$3,$I490&lt;=AG$2),$E490,0),$E490*NETWORKDAYS(MAX($I490,AG$3),MIN($J490,AG$2),Data!$K$4:$K$203)/$K490)))</f>
        <v>0</v>
      </c>
      <c r="AH490" s="170">
        <f>IF(OR($I490="",$E490=0),0,IF(OR($J490&lt;AH$3,$I490&gt;AH$2),0,IF($K490=0,IF(AND($I490&gt;=AH$3,$I490&lt;=AH$2),$E490,0),$E490*NETWORKDAYS(MAX($I490,AH$3),MIN($J490,AH$2),Data!$K$4:$K$203)/$K490)))</f>
        <v>0</v>
      </c>
      <c r="AI490" s="170">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70"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4" t="str">
        <f>IF(EO490=1,IF(FH490&gt;0,FI490/FH490,AVERAGEIF($FF$4:$FF$503,EN490,$C$4:$C$503)),"")</f>
        <v/>
      </c>
      <c r="EV490" s="169">
        <f>IF(ISNUMBER(I490),I490,2958465)</f>
        <v>2958465.0</v>
      </c>
      <c r="EW490" s="169" t="str">
        <f>IF(EO490=1,SUMPRODUCT(MIN(($EN$4:$EN$503=EN490)*$EV$4:$EV$503+($EN$4:$EN$503&lt;&gt;EN490)*2958465)),"")</f>
        <v/>
      </c>
      <c r="EX490" s="169">
        <f>IF(AND(D490=1,ISNUMBER(INDEX(Charge!$F:$F,ROW()))),INDEX(Charge!$F:$F,ROW()),0)</f>
        <v>0.0</v>
      </c>
      <c r="EY490" s="169" t="str">
        <f>IF(EO490=1,SUMPRODUCT(MAX(($EN$4:$EN$503=EN490)*$EX$4:$EX$503)),"")</f>
        <v/>
      </c>
      <c r="FD490">
        <f>IF(AND(B490=1,TRIM(INDEX(Charge!$K:$K,ROW()))&lt;&gt;"",TRIM(INDEX(Charge!$L:$L,ROW()))&lt;&gt;""),1,0)</f>
        <v>0</v>
      </c>
      <c r="FE490">
        <f>IF(OR(EN490="",BZ490="(non affecté)"),0,IF(COUNTIFS($EN$4:EN490,EN490,$BZ$4:BZ490,BZ490)=1,1,0))</f>
        <v>0</v>
      </c>
      <c r="FF490" t="str">
        <f>IF(B490=1,LEFT(SUBSTITUTE(SUBSTITUTE(SUBSTITUTE(TRIM(SUBSTITUTE(INDEX(Charge!$B:$B,ROW()),CHAR(160)," "))&amp;" | "&amp;TRIM(SUBSTITUTE(INDEX(Charge!$C:$C,ROW()),CHAR(160)," "))&amp;" | "&amp;TRIM(SUBSTITUTE(INDEX(Charge!$D:$D,ROW()),CHAR(160)," ")),"~","-"),"*","+"),"?","!"),240),"")</f>
        <v/>
      </c>
      <c r="FG490">
        <f>IF(B490=1,MAX(0,N(INDEX(Charge!$M:$M,ROW()))),0)</f>
        <v>0</v>
      </c>
      <c r="FH490" s="170" t="str">
        <f>IF(EO490=1,ROUND(SUMIF($FF$4:$FF$503,EN490,$FG$4:$FG$503),2),"")</f>
        <v/>
      </c>
      <c r="FI490" s="170" t="str">
        <f>IF(EO490=1,ROUND(SUMPRODUCT(($FF$4:$FF$503=EN490)*$FG$4:$FG$503*$C$4:$C$503),2),"")</f>
        <v/>
      </c>
      <c r="FJ490" s="170" t="str">
        <f>IF(EO490=1,MAX(0,ROUND(FH490-FI490,2)),"")</f>
        <v/>
      </c>
      <c r="FK490" s="174" t="str">
        <f>IF(EO490=1,IF(OR(EW490&gt;=2958465,EY490=0,EY490&lt;=EW490),"",IF(TODAY()&lt;=EW490,0,IF(TODAY()&gt;EY490,1,IFERROR(NETWORKDAYS(EW490,TODAY()-1,Data!$K$4:$K$203)/NETWORKDAYS(EW490,EY490,Data!$K$4:$K$203),"")))),"")</f>
        <v/>
      </c>
      <c r="FL490" t="str">
        <f>IF(EO490=1,IF(AND(EY490&gt;0,EY490&lt;TODAY(),ROUND(EU490,4)&lt;1),2,IF(FK490="",0,IF(ROUND(EU490-FK490,4)&lt;-0.15,1,0))),"")</f>
        <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9" t="str">
        <f>IF(AND(D491=1,ISNUMBER(INDEX(Charge!$N:$N,ROW()))),INDEX(Charge!$N:$N,ROW()),"")</f>
        <v/>
      </c>
      <c r="J491" s="169"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70">
        <f>IF(OR($I491="",$E491=0),0,IF(OR($J491&lt;W$3,$I491&gt;W$2),0,IF($K491=0,IF(AND($I491&gt;=W$3,$I491&lt;=W$2),$E491,0),$E491*NETWORKDAYS(MAX($I491,W$3),MIN($J491,W$2),Data!$K$4:$K$203)/$K491)))</f>
        <v>0</v>
      </c>
      <c r="X491" s="170">
        <f>IF(OR($I491="",$E491=0),0,IF(OR($J491&lt;X$3,$I491&gt;X$2),0,IF($K491=0,IF(AND($I491&gt;=X$3,$I491&lt;=X$2),$E491,0),$E491*NETWORKDAYS(MAX($I491,X$3),MIN($J491,X$2),Data!$K$4:$K$203)/$K491)))</f>
        <v>0</v>
      </c>
      <c r="Y491" s="170">
        <f>IF(OR($I491="",$E491=0),0,IF(OR($J491&lt;Y$3,$I491&gt;Y$2),0,IF($K491=0,IF(AND($I491&gt;=Y$3,$I491&lt;=Y$2),$E491,0),$E491*NETWORKDAYS(MAX($I491,Y$3),MIN($J491,Y$2),Data!$K$4:$K$203)/$K491)))</f>
        <v>0</v>
      </c>
      <c r="Z491" s="170">
        <f>IF(OR($I491="",$E491=0),0,IF(OR($J491&lt;Z$3,$I491&gt;Z$2),0,IF($K491=0,IF(AND($I491&gt;=Z$3,$I491&lt;=Z$2),$E491,0),$E491*NETWORKDAYS(MAX($I491,Z$3),MIN($J491,Z$2),Data!$K$4:$K$203)/$K491)))</f>
        <v>0</v>
      </c>
      <c r="AA491" s="170">
        <f>IF(OR($I491="",$E491=0),0,IF(OR($J491&lt;AA$3,$I491&gt;AA$2),0,IF($K491=0,IF(AND($I491&gt;=AA$3,$I491&lt;=AA$2),$E491,0),$E491*NETWORKDAYS(MAX($I491,AA$3),MIN($J491,AA$2),Data!$K$4:$K$203)/$K491)))</f>
        <v>0</v>
      </c>
      <c r="AB491" s="170">
        <f>IF(OR($I491="",$E491=0),0,IF(OR($J491&lt;AB$3,$I491&gt;AB$2),0,IF($K491=0,IF(AND($I491&gt;=AB$3,$I491&lt;=AB$2),$E491,0),$E491*NETWORKDAYS(MAX($I491,AB$3),MIN($J491,AB$2),Data!$K$4:$K$203)/$K491)))</f>
        <v>0</v>
      </c>
      <c r="AC491" s="170">
        <f>IF(OR($I491="",$E491=0),0,IF(OR($J491&lt;AC$3,$I491&gt;AC$2),0,IF($K491=0,IF(AND($I491&gt;=AC$3,$I491&lt;=AC$2),$E491,0),$E491*NETWORKDAYS(MAX($I491,AC$3),MIN($J491,AC$2),Data!$K$4:$K$203)/$K491)))</f>
        <v>0</v>
      </c>
      <c r="AD491" s="170">
        <f>IF(OR($I491="",$E491=0),0,IF(OR($J491&lt;AD$3,$I491&gt;AD$2),0,IF($K491=0,IF(AND($I491&gt;=AD$3,$I491&lt;=AD$2),$E491,0),$E491*NETWORKDAYS(MAX($I491,AD$3),MIN($J491,AD$2),Data!$K$4:$K$203)/$K491)))</f>
        <v>0</v>
      </c>
      <c r="AE491" s="170">
        <f>IF(OR($I491="",$E491=0),0,IF(OR($J491&lt;AE$3,$I491&gt;AE$2),0,IF($K491=0,IF(AND($I491&gt;=AE$3,$I491&lt;=AE$2),$E491,0),$E491*NETWORKDAYS(MAX($I491,AE$3),MIN($J491,AE$2),Data!$K$4:$K$203)/$K491)))</f>
        <v>0</v>
      </c>
      <c r="AF491" s="170">
        <f>IF(OR($I491="",$E491=0),0,IF(OR($J491&lt;AF$3,$I491&gt;AF$2),0,IF($K491=0,IF(AND($I491&gt;=AF$3,$I491&lt;=AF$2),$E491,0),$E491*NETWORKDAYS(MAX($I491,AF$3),MIN($J491,AF$2),Data!$K$4:$K$203)/$K491)))</f>
        <v>0</v>
      </c>
      <c r="AG491" s="170">
        <f>IF(OR($I491="",$E491=0),0,IF(OR($J491&lt;AG$3,$I491&gt;AG$2),0,IF($K491=0,IF(AND($I491&gt;=AG$3,$I491&lt;=AG$2),$E491,0),$E491*NETWORKDAYS(MAX($I491,AG$3),MIN($J491,AG$2),Data!$K$4:$K$203)/$K491)))</f>
        <v>0</v>
      </c>
      <c r="AH491" s="170">
        <f>IF(OR($I491="",$E491=0),0,IF(OR($J491&lt;AH$3,$I491&gt;AH$2),0,IF($K491=0,IF(AND($I491&gt;=AH$3,$I491&lt;=AH$2),$E491,0),$E491*NETWORKDAYS(MAX($I491,AH$3),MIN($J491,AH$2),Data!$K$4:$K$203)/$K491)))</f>
        <v>0</v>
      </c>
      <c r="AI491" s="170">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70"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4" t="str">
        <f>IF(EO491=1,IF(FH491&gt;0,FI491/FH491,AVERAGEIF($FF$4:$FF$503,EN491,$C$4:$C$503)),"")</f>
        <v/>
      </c>
      <c r="EV491" s="169">
        <f>IF(ISNUMBER(I491),I491,2958465)</f>
        <v>2958465.0</v>
      </c>
      <c r="EW491" s="169" t="str">
        <f>IF(EO491=1,SUMPRODUCT(MIN(($EN$4:$EN$503=EN491)*$EV$4:$EV$503+($EN$4:$EN$503&lt;&gt;EN491)*2958465)),"")</f>
        <v/>
      </c>
      <c r="EX491" s="169">
        <f>IF(AND(D491=1,ISNUMBER(INDEX(Charge!$F:$F,ROW()))),INDEX(Charge!$F:$F,ROW()),0)</f>
        <v>0.0</v>
      </c>
      <c r="EY491" s="169" t="str">
        <f>IF(EO491=1,SUMPRODUCT(MAX(($EN$4:$EN$503=EN491)*$EX$4:$EX$503)),"")</f>
        <v/>
      </c>
      <c r="FD491">
        <f>IF(AND(B491=1,TRIM(INDEX(Charge!$K:$K,ROW()))&lt;&gt;"",TRIM(INDEX(Charge!$L:$L,ROW()))&lt;&gt;""),1,0)</f>
        <v>0</v>
      </c>
      <c r="FE491">
        <f>IF(OR(EN491="",BZ491="(non affecté)"),0,IF(COUNTIFS($EN$4:EN491,EN491,$BZ$4:BZ491,BZ491)=1,1,0))</f>
        <v>0</v>
      </c>
      <c r="FF491" t="str">
        <f>IF(B491=1,LEFT(SUBSTITUTE(SUBSTITUTE(SUBSTITUTE(TRIM(SUBSTITUTE(INDEX(Charge!$B:$B,ROW()),CHAR(160)," "))&amp;" | "&amp;TRIM(SUBSTITUTE(INDEX(Charge!$C:$C,ROW()),CHAR(160)," "))&amp;" | "&amp;TRIM(SUBSTITUTE(INDEX(Charge!$D:$D,ROW()),CHAR(160)," ")),"~","-"),"*","+"),"?","!"),240),"")</f>
        <v/>
      </c>
      <c r="FG491">
        <f>IF(B491=1,MAX(0,N(INDEX(Charge!$M:$M,ROW()))),0)</f>
        <v>0</v>
      </c>
      <c r="FH491" s="170" t="str">
        <f>IF(EO491=1,ROUND(SUMIF($FF$4:$FF$503,EN491,$FG$4:$FG$503),2),"")</f>
        <v/>
      </c>
      <c r="FI491" s="170" t="str">
        <f>IF(EO491=1,ROUND(SUMPRODUCT(($FF$4:$FF$503=EN491)*$FG$4:$FG$503*$C$4:$C$503),2),"")</f>
        <v/>
      </c>
      <c r="FJ491" s="170" t="str">
        <f>IF(EO491=1,MAX(0,ROUND(FH491-FI491,2)),"")</f>
        <v/>
      </c>
      <c r="FK491" s="174" t="str">
        <f>IF(EO491=1,IF(OR(EW491&gt;=2958465,EY491=0,EY491&lt;=EW491),"",IF(TODAY()&lt;=EW491,0,IF(TODAY()&gt;EY491,1,IFERROR(NETWORKDAYS(EW491,TODAY()-1,Data!$K$4:$K$203)/NETWORKDAYS(EW491,EY491,Data!$K$4:$K$203),"")))),"")</f>
        <v/>
      </c>
      <c r="FL491" t="str">
        <f>IF(EO491=1,IF(AND(EY491&gt;0,EY491&lt;TODAY(),ROUND(EU491,4)&lt;1),2,IF(FK491="",0,IF(ROUND(EU491-FK491,4)&lt;-0.15,1,0))),"")</f>
        <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9" t="str">
        <f>IF(AND(D492=1,ISNUMBER(INDEX(Charge!$N:$N,ROW()))),INDEX(Charge!$N:$N,ROW()),"")</f>
        <v/>
      </c>
      <c r="J492" s="169"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70">
        <f>IF(OR($I492="",$E492=0),0,IF(OR($J492&lt;W$3,$I492&gt;W$2),0,IF($K492=0,IF(AND($I492&gt;=W$3,$I492&lt;=W$2),$E492,0),$E492*NETWORKDAYS(MAX($I492,W$3),MIN($J492,W$2),Data!$K$4:$K$203)/$K492)))</f>
        <v>0</v>
      </c>
      <c r="X492" s="170">
        <f>IF(OR($I492="",$E492=0),0,IF(OR($J492&lt;X$3,$I492&gt;X$2),0,IF($K492=0,IF(AND($I492&gt;=X$3,$I492&lt;=X$2),$E492,0),$E492*NETWORKDAYS(MAX($I492,X$3),MIN($J492,X$2),Data!$K$4:$K$203)/$K492)))</f>
        <v>0</v>
      </c>
      <c r="Y492" s="170">
        <f>IF(OR($I492="",$E492=0),0,IF(OR($J492&lt;Y$3,$I492&gt;Y$2),0,IF($K492=0,IF(AND($I492&gt;=Y$3,$I492&lt;=Y$2),$E492,0),$E492*NETWORKDAYS(MAX($I492,Y$3),MIN($J492,Y$2),Data!$K$4:$K$203)/$K492)))</f>
        <v>0</v>
      </c>
      <c r="Z492" s="170">
        <f>IF(OR($I492="",$E492=0),0,IF(OR($J492&lt;Z$3,$I492&gt;Z$2),0,IF($K492=0,IF(AND($I492&gt;=Z$3,$I492&lt;=Z$2),$E492,0),$E492*NETWORKDAYS(MAX($I492,Z$3),MIN($J492,Z$2),Data!$K$4:$K$203)/$K492)))</f>
        <v>0</v>
      </c>
      <c r="AA492" s="170">
        <f>IF(OR($I492="",$E492=0),0,IF(OR($J492&lt;AA$3,$I492&gt;AA$2),0,IF($K492=0,IF(AND($I492&gt;=AA$3,$I492&lt;=AA$2),$E492,0),$E492*NETWORKDAYS(MAX($I492,AA$3),MIN($J492,AA$2),Data!$K$4:$K$203)/$K492)))</f>
        <v>0</v>
      </c>
      <c r="AB492" s="170">
        <f>IF(OR($I492="",$E492=0),0,IF(OR($J492&lt;AB$3,$I492&gt;AB$2),0,IF($K492=0,IF(AND($I492&gt;=AB$3,$I492&lt;=AB$2),$E492,0),$E492*NETWORKDAYS(MAX($I492,AB$3),MIN($J492,AB$2),Data!$K$4:$K$203)/$K492)))</f>
        <v>0</v>
      </c>
      <c r="AC492" s="170">
        <f>IF(OR($I492="",$E492=0),0,IF(OR($J492&lt;AC$3,$I492&gt;AC$2),0,IF($K492=0,IF(AND($I492&gt;=AC$3,$I492&lt;=AC$2),$E492,0),$E492*NETWORKDAYS(MAX($I492,AC$3),MIN($J492,AC$2),Data!$K$4:$K$203)/$K492)))</f>
        <v>0</v>
      </c>
      <c r="AD492" s="170">
        <f>IF(OR($I492="",$E492=0),0,IF(OR($J492&lt;AD$3,$I492&gt;AD$2),0,IF($K492=0,IF(AND($I492&gt;=AD$3,$I492&lt;=AD$2),$E492,0),$E492*NETWORKDAYS(MAX($I492,AD$3),MIN($J492,AD$2),Data!$K$4:$K$203)/$K492)))</f>
        <v>0</v>
      </c>
      <c r="AE492" s="170">
        <f>IF(OR($I492="",$E492=0),0,IF(OR($J492&lt;AE$3,$I492&gt;AE$2),0,IF($K492=0,IF(AND($I492&gt;=AE$3,$I492&lt;=AE$2),$E492,0),$E492*NETWORKDAYS(MAX($I492,AE$3),MIN($J492,AE$2),Data!$K$4:$K$203)/$K492)))</f>
        <v>0</v>
      </c>
      <c r="AF492" s="170">
        <f>IF(OR($I492="",$E492=0),0,IF(OR($J492&lt;AF$3,$I492&gt;AF$2),0,IF($K492=0,IF(AND($I492&gt;=AF$3,$I492&lt;=AF$2),$E492,0),$E492*NETWORKDAYS(MAX($I492,AF$3),MIN($J492,AF$2),Data!$K$4:$K$203)/$K492)))</f>
        <v>0</v>
      </c>
      <c r="AG492" s="170">
        <f>IF(OR($I492="",$E492=0),0,IF(OR($J492&lt;AG$3,$I492&gt;AG$2),0,IF($K492=0,IF(AND($I492&gt;=AG$3,$I492&lt;=AG$2),$E492,0),$E492*NETWORKDAYS(MAX($I492,AG$3),MIN($J492,AG$2),Data!$K$4:$K$203)/$K492)))</f>
        <v>0</v>
      </c>
      <c r="AH492" s="170">
        <f>IF(OR($I492="",$E492=0),0,IF(OR($J492&lt;AH$3,$I492&gt;AH$2),0,IF($K492=0,IF(AND($I492&gt;=AH$3,$I492&lt;=AH$2),$E492,0),$E492*NETWORKDAYS(MAX($I492,AH$3),MIN($J492,AH$2),Data!$K$4:$K$203)/$K492)))</f>
        <v>0</v>
      </c>
      <c r="AI492" s="170">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70"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4" t="str">
        <f>IF(EO492=1,IF(FH492&gt;0,FI492/FH492,AVERAGEIF($FF$4:$FF$503,EN492,$C$4:$C$503)),"")</f>
        <v/>
      </c>
      <c r="EV492" s="169">
        <f>IF(ISNUMBER(I492),I492,2958465)</f>
        <v>2958465.0</v>
      </c>
      <c r="EW492" s="169" t="str">
        <f>IF(EO492=1,SUMPRODUCT(MIN(($EN$4:$EN$503=EN492)*$EV$4:$EV$503+($EN$4:$EN$503&lt;&gt;EN492)*2958465)),"")</f>
        <v/>
      </c>
      <c r="EX492" s="169">
        <f>IF(AND(D492=1,ISNUMBER(INDEX(Charge!$F:$F,ROW()))),INDEX(Charge!$F:$F,ROW()),0)</f>
        <v>0.0</v>
      </c>
      <c r="EY492" s="169" t="str">
        <f>IF(EO492=1,SUMPRODUCT(MAX(($EN$4:$EN$503=EN492)*$EX$4:$EX$503)),"")</f>
        <v/>
      </c>
      <c r="FD492">
        <f>IF(AND(B492=1,TRIM(INDEX(Charge!$K:$K,ROW()))&lt;&gt;"",TRIM(INDEX(Charge!$L:$L,ROW()))&lt;&gt;""),1,0)</f>
        <v>0</v>
      </c>
      <c r="FE492">
        <f>IF(OR(EN492="",BZ492="(non affecté)"),0,IF(COUNTIFS($EN$4:EN492,EN492,$BZ$4:BZ492,BZ492)=1,1,0))</f>
        <v>0</v>
      </c>
      <c r="FF492" t="str">
        <f>IF(B492=1,LEFT(SUBSTITUTE(SUBSTITUTE(SUBSTITUTE(TRIM(SUBSTITUTE(INDEX(Charge!$B:$B,ROW()),CHAR(160)," "))&amp;" | "&amp;TRIM(SUBSTITUTE(INDEX(Charge!$C:$C,ROW()),CHAR(160)," "))&amp;" | "&amp;TRIM(SUBSTITUTE(INDEX(Charge!$D:$D,ROW()),CHAR(160)," ")),"~","-"),"*","+"),"?","!"),240),"")</f>
        <v/>
      </c>
      <c r="FG492">
        <f>IF(B492=1,MAX(0,N(INDEX(Charge!$M:$M,ROW()))),0)</f>
        <v>0</v>
      </c>
      <c r="FH492" s="170" t="str">
        <f>IF(EO492=1,ROUND(SUMIF($FF$4:$FF$503,EN492,$FG$4:$FG$503),2),"")</f>
        <v/>
      </c>
      <c r="FI492" s="170" t="str">
        <f>IF(EO492=1,ROUND(SUMPRODUCT(($FF$4:$FF$503=EN492)*$FG$4:$FG$503*$C$4:$C$503),2),"")</f>
        <v/>
      </c>
      <c r="FJ492" s="170" t="str">
        <f>IF(EO492=1,MAX(0,ROUND(FH492-FI492,2)),"")</f>
        <v/>
      </c>
      <c r="FK492" s="174" t="str">
        <f>IF(EO492=1,IF(OR(EW492&gt;=2958465,EY492=0,EY492&lt;=EW492),"",IF(TODAY()&lt;=EW492,0,IF(TODAY()&gt;EY492,1,IFERROR(NETWORKDAYS(EW492,TODAY()-1,Data!$K$4:$K$203)/NETWORKDAYS(EW492,EY492,Data!$K$4:$K$203),"")))),"")</f>
        <v/>
      </c>
      <c r="FL492" t="str">
        <f>IF(EO492=1,IF(AND(EY492&gt;0,EY492&lt;TODAY(),ROUND(EU492,4)&lt;1),2,IF(FK492="",0,IF(ROUND(EU492-FK492,4)&lt;-0.15,1,0))),"")</f>
        <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9" t="str">
        <f>IF(AND(D493=1,ISNUMBER(INDEX(Charge!$N:$N,ROW()))),INDEX(Charge!$N:$N,ROW()),"")</f>
        <v/>
      </c>
      <c r="J493" s="169"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70">
        <f>IF(OR($I493="",$E493=0),0,IF(OR($J493&lt;W$3,$I493&gt;W$2),0,IF($K493=0,IF(AND($I493&gt;=W$3,$I493&lt;=W$2),$E493,0),$E493*NETWORKDAYS(MAX($I493,W$3),MIN($J493,W$2),Data!$K$4:$K$203)/$K493)))</f>
        <v>0</v>
      </c>
      <c r="X493" s="170">
        <f>IF(OR($I493="",$E493=0),0,IF(OR($J493&lt;X$3,$I493&gt;X$2),0,IF($K493=0,IF(AND($I493&gt;=X$3,$I493&lt;=X$2),$E493,0),$E493*NETWORKDAYS(MAX($I493,X$3),MIN($J493,X$2),Data!$K$4:$K$203)/$K493)))</f>
        <v>0</v>
      </c>
      <c r="Y493" s="170">
        <f>IF(OR($I493="",$E493=0),0,IF(OR($J493&lt;Y$3,$I493&gt;Y$2),0,IF($K493=0,IF(AND($I493&gt;=Y$3,$I493&lt;=Y$2),$E493,0),$E493*NETWORKDAYS(MAX($I493,Y$3),MIN($J493,Y$2),Data!$K$4:$K$203)/$K493)))</f>
        <v>0</v>
      </c>
      <c r="Z493" s="170">
        <f>IF(OR($I493="",$E493=0),0,IF(OR($J493&lt;Z$3,$I493&gt;Z$2),0,IF($K493=0,IF(AND($I493&gt;=Z$3,$I493&lt;=Z$2),$E493,0),$E493*NETWORKDAYS(MAX($I493,Z$3),MIN($J493,Z$2),Data!$K$4:$K$203)/$K493)))</f>
        <v>0</v>
      </c>
      <c r="AA493" s="170">
        <f>IF(OR($I493="",$E493=0),0,IF(OR($J493&lt;AA$3,$I493&gt;AA$2),0,IF($K493=0,IF(AND($I493&gt;=AA$3,$I493&lt;=AA$2),$E493,0),$E493*NETWORKDAYS(MAX($I493,AA$3),MIN($J493,AA$2),Data!$K$4:$K$203)/$K493)))</f>
        <v>0</v>
      </c>
      <c r="AB493" s="170">
        <f>IF(OR($I493="",$E493=0),0,IF(OR($J493&lt;AB$3,$I493&gt;AB$2),0,IF($K493=0,IF(AND($I493&gt;=AB$3,$I493&lt;=AB$2),$E493,0),$E493*NETWORKDAYS(MAX($I493,AB$3),MIN($J493,AB$2),Data!$K$4:$K$203)/$K493)))</f>
        <v>0</v>
      </c>
      <c r="AC493" s="170">
        <f>IF(OR($I493="",$E493=0),0,IF(OR($J493&lt;AC$3,$I493&gt;AC$2),0,IF($K493=0,IF(AND($I493&gt;=AC$3,$I493&lt;=AC$2),$E493,0),$E493*NETWORKDAYS(MAX($I493,AC$3),MIN($J493,AC$2),Data!$K$4:$K$203)/$K493)))</f>
        <v>0</v>
      </c>
      <c r="AD493" s="170">
        <f>IF(OR($I493="",$E493=0),0,IF(OR($J493&lt;AD$3,$I493&gt;AD$2),0,IF($K493=0,IF(AND($I493&gt;=AD$3,$I493&lt;=AD$2),$E493,0),$E493*NETWORKDAYS(MAX($I493,AD$3),MIN($J493,AD$2),Data!$K$4:$K$203)/$K493)))</f>
        <v>0</v>
      </c>
      <c r="AE493" s="170">
        <f>IF(OR($I493="",$E493=0),0,IF(OR($J493&lt;AE$3,$I493&gt;AE$2),0,IF($K493=0,IF(AND($I493&gt;=AE$3,$I493&lt;=AE$2),$E493,0),$E493*NETWORKDAYS(MAX($I493,AE$3),MIN($J493,AE$2),Data!$K$4:$K$203)/$K493)))</f>
        <v>0</v>
      </c>
      <c r="AF493" s="170">
        <f>IF(OR($I493="",$E493=0),0,IF(OR($J493&lt;AF$3,$I493&gt;AF$2),0,IF($K493=0,IF(AND($I493&gt;=AF$3,$I493&lt;=AF$2),$E493,0),$E493*NETWORKDAYS(MAX($I493,AF$3),MIN($J493,AF$2),Data!$K$4:$K$203)/$K493)))</f>
        <v>0</v>
      </c>
      <c r="AG493" s="170">
        <f>IF(OR($I493="",$E493=0),0,IF(OR($J493&lt;AG$3,$I493&gt;AG$2),0,IF($K493=0,IF(AND($I493&gt;=AG$3,$I493&lt;=AG$2),$E493,0),$E493*NETWORKDAYS(MAX($I493,AG$3),MIN($J493,AG$2),Data!$K$4:$K$203)/$K493)))</f>
        <v>0</v>
      </c>
      <c r="AH493" s="170">
        <f>IF(OR($I493="",$E493=0),0,IF(OR($J493&lt;AH$3,$I493&gt;AH$2),0,IF($K493=0,IF(AND($I493&gt;=AH$3,$I493&lt;=AH$2),$E493,0),$E493*NETWORKDAYS(MAX($I493,AH$3),MIN($J493,AH$2),Data!$K$4:$K$203)/$K493)))</f>
        <v>0</v>
      </c>
      <c r="AI493" s="170">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70"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4" t="str">
        <f>IF(EO493=1,IF(FH493&gt;0,FI493/FH493,AVERAGEIF($FF$4:$FF$503,EN493,$C$4:$C$503)),"")</f>
        <v/>
      </c>
      <c r="EV493" s="169">
        <f>IF(ISNUMBER(I493),I493,2958465)</f>
        <v>2958465.0</v>
      </c>
      <c r="EW493" s="169" t="str">
        <f>IF(EO493=1,SUMPRODUCT(MIN(($EN$4:$EN$503=EN493)*$EV$4:$EV$503+($EN$4:$EN$503&lt;&gt;EN493)*2958465)),"")</f>
        <v/>
      </c>
      <c r="EX493" s="169">
        <f>IF(AND(D493=1,ISNUMBER(INDEX(Charge!$F:$F,ROW()))),INDEX(Charge!$F:$F,ROW()),0)</f>
        <v>0.0</v>
      </c>
      <c r="EY493" s="169" t="str">
        <f>IF(EO493=1,SUMPRODUCT(MAX(($EN$4:$EN$503=EN493)*$EX$4:$EX$503)),"")</f>
        <v/>
      </c>
      <c r="FD493">
        <f>IF(AND(B493=1,TRIM(INDEX(Charge!$K:$K,ROW()))&lt;&gt;"",TRIM(INDEX(Charge!$L:$L,ROW()))&lt;&gt;""),1,0)</f>
        <v>0</v>
      </c>
      <c r="FE493">
        <f>IF(OR(EN493="",BZ493="(non affecté)"),0,IF(COUNTIFS($EN$4:EN493,EN493,$BZ$4:BZ493,BZ493)=1,1,0))</f>
        <v>0</v>
      </c>
      <c r="FF493" t="str">
        <f>IF(B493=1,LEFT(SUBSTITUTE(SUBSTITUTE(SUBSTITUTE(TRIM(SUBSTITUTE(INDEX(Charge!$B:$B,ROW()),CHAR(160)," "))&amp;" | "&amp;TRIM(SUBSTITUTE(INDEX(Charge!$C:$C,ROW()),CHAR(160)," "))&amp;" | "&amp;TRIM(SUBSTITUTE(INDEX(Charge!$D:$D,ROW()),CHAR(160)," ")),"~","-"),"*","+"),"?","!"),240),"")</f>
        <v/>
      </c>
      <c r="FG493">
        <f>IF(B493=1,MAX(0,N(INDEX(Charge!$M:$M,ROW()))),0)</f>
        <v>0</v>
      </c>
      <c r="FH493" s="170" t="str">
        <f>IF(EO493=1,ROUND(SUMIF($FF$4:$FF$503,EN493,$FG$4:$FG$503),2),"")</f>
        <v/>
      </c>
      <c r="FI493" s="170" t="str">
        <f>IF(EO493=1,ROUND(SUMPRODUCT(($FF$4:$FF$503=EN493)*$FG$4:$FG$503*$C$4:$C$503),2),"")</f>
        <v/>
      </c>
      <c r="FJ493" s="170" t="str">
        <f>IF(EO493=1,MAX(0,ROUND(FH493-FI493,2)),"")</f>
        <v/>
      </c>
      <c r="FK493" s="174" t="str">
        <f>IF(EO493=1,IF(OR(EW493&gt;=2958465,EY493=0,EY493&lt;=EW493),"",IF(TODAY()&lt;=EW493,0,IF(TODAY()&gt;EY493,1,IFERROR(NETWORKDAYS(EW493,TODAY()-1,Data!$K$4:$K$203)/NETWORKDAYS(EW493,EY493,Data!$K$4:$K$203),"")))),"")</f>
        <v/>
      </c>
      <c r="FL493" t="str">
        <f>IF(EO493=1,IF(AND(EY493&gt;0,EY493&lt;TODAY(),ROUND(EU493,4)&lt;1),2,IF(FK493="",0,IF(ROUND(EU493-FK493,4)&lt;-0.15,1,0))),"")</f>
        <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9" t="str">
        <f>IF(AND(D494=1,ISNUMBER(INDEX(Charge!$N:$N,ROW()))),INDEX(Charge!$N:$N,ROW()),"")</f>
        <v/>
      </c>
      <c r="J494" s="169"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70">
        <f>IF(OR($I494="",$E494=0),0,IF(OR($J494&lt;W$3,$I494&gt;W$2),0,IF($K494=0,IF(AND($I494&gt;=W$3,$I494&lt;=W$2),$E494,0),$E494*NETWORKDAYS(MAX($I494,W$3),MIN($J494,W$2),Data!$K$4:$K$203)/$K494)))</f>
        <v>0</v>
      </c>
      <c r="X494" s="170">
        <f>IF(OR($I494="",$E494=0),0,IF(OR($J494&lt;X$3,$I494&gt;X$2),0,IF($K494=0,IF(AND($I494&gt;=X$3,$I494&lt;=X$2),$E494,0),$E494*NETWORKDAYS(MAX($I494,X$3),MIN($J494,X$2),Data!$K$4:$K$203)/$K494)))</f>
        <v>0</v>
      </c>
      <c r="Y494" s="170">
        <f>IF(OR($I494="",$E494=0),0,IF(OR($J494&lt;Y$3,$I494&gt;Y$2),0,IF($K494=0,IF(AND($I494&gt;=Y$3,$I494&lt;=Y$2),$E494,0),$E494*NETWORKDAYS(MAX($I494,Y$3),MIN($J494,Y$2),Data!$K$4:$K$203)/$K494)))</f>
        <v>0</v>
      </c>
      <c r="Z494" s="170">
        <f>IF(OR($I494="",$E494=0),0,IF(OR($J494&lt;Z$3,$I494&gt;Z$2),0,IF($K494=0,IF(AND($I494&gt;=Z$3,$I494&lt;=Z$2),$E494,0),$E494*NETWORKDAYS(MAX($I494,Z$3),MIN($J494,Z$2),Data!$K$4:$K$203)/$K494)))</f>
        <v>0</v>
      </c>
      <c r="AA494" s="170">
        <f>IF(OR($I494="",$E494=0),0,IF(OR($J494&lt;AA$3,$I494&gt;AA$2),0,IF($K494=0,IF(AND($I494&gt;=AA$3,$I494&lt;=AA$2),$E494,0),$E494*NETWORKDAYS(MAX($I494,AA$3),MIN($J494,AA$2),Data!$K$4:$K$203)/$K494)))</f>
        <v>0</v>
      </c>
      <c r="AB494" s="170">
        <f>IF(OR($I494="",$E494=0),0,IF(OR($J494&lt;AB$3,$I494&gt;AB$2),0,IF($K494=0,IF(AND($I494&gt;=AB$3,$I494&lt;=AB$2),$E494,0),$E494*NETWORKDAYS(MAX($I494,AB$3),MIN($J494,AB$2),Data!$K$4:$K$203)/$K494)))</f>
        <v>0</v>
      </c>
      <c r="AC494" s="170">
        <f>IF(OR($I494="",$E494=0),0,IF(OR($J494&lt;AC$3,$I494&gt;AC$2),0,IF($K494=0,IF(AND($I494&gt;=AC$3,$I494&lt;=AC$2),$E494,0),$E494*NETWORKDAYS(MAX($I494,AC$3),MIN($J494,AC$2),Data!$K$4:$K$203)/$K494)))</f>
        <v>0</v>
      </c>
      <c r="AD494" s="170">
        <f>IF(OR($I494="",$E494=0),0,IF(OR($J494&lt;AD$3,$I494&gt;AD$2),0,IF($K494=0,IF(AND($I494&gt;=AD$3,$I494&lt;=AD$2),$E494,0),$E494*NETWORKDAYS(MAX($I494,AD$3),MIN($J494,AD$2),Data!$K$4:$K$203)/$K494)))</f>
        <v>0</v>
      </c>
      <c r="AE494" s="170">
        <f>IF(OR($I494="",$E494=0),0,IF(OR($J494&lt;AE$3,$I494&gt;AE$2),0,IF($K494=0,IF(AND($I494&gt;=AE$3,$I494&lt;=AE$2),$E494,0),$E494*NETWORKDAYS(MAX($I494,AE$3),MIN($J494,AE$2),Data!$K$4:$K$203)/$K494)))</f>
        <v>0</v>
      </c>
      <c r="AF494" s="170">
        <f>IF(OR($I494="",$E494=0),0,IF(OR($J494&lt;AF$3,$I494&gt;AF$2),0,IF($K494=0,IF(AND($I494&gt;=AF$3,$I494&lt;=AF$2),$E494,0),$E494*NETWORKDAYS(MAX($I494,AF$3),MIN($J494,AF$2),Data!$K$4:$K$203)/$K494)))</f>
        <v>0</v>
      </c>
      <c r="AG494" s="170">
        <f>IF(OR($I494="",$E494=0),0,IF(OR($J494&lt;AG$3,$I494&gt;AG$2),0,IF($K494=0,IF(AND($I494&gt;=AG$3,$I494&lt;=AG$2),$E494,0),$E494*NETWORKDAYS(MAX($I494,AG$3),MIN($J494,AG$2),Data!$K$4:$K$203)/$K494)))</f>
        <v>0</v>
      </c>
      <c r="AH494" s="170">
        <f>IF(OR($I494="",$E494=0),0,IF(OR($J494&lt;AH$3,$I494&gt;AH$2),0,IF($K494=0,IF(AND($I494&gt;=AH$3,$I494&lt;=AH$2),$E494,0),$E494*NETWORKDAYS(MAX($I494,AH$3),MIN($J494,AH$2),Data!$K$4:$K$203)/$K494)))</f>
        <v>0</v>
      </c>
      <c r="AI494" s="170">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70"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4" t="str">
        <f>IF(EO494=1,IF(FH494&gt;0,FI494/FH494,AVERAGEIF($FF$4:$FF$503,EN494,$C$4:$C$503)),"")</f>
        <v/>
      </c>
      <c r="EV494" s="169">
        <f>IF(ISNUMBER(I494),I494,2958465)</f>
        <v>2958465.0</v>
      </c>
      <c r="EW494" s="169" t="str">
        <f>IF(EO494=1,SUMPRODUCT(MIN(($EN$4:$EN$503=EN494)*$EV$4:$EV$503+($EN$4:$EN$503&lt;&gt;EN494)*2958465)),"")</f>
        <v/>
      </c>
      <c r="EX494" s="169">
        <f>IF(AND(D494=1,ISNUMBER(INDEX(Charge!$F:$F,ROW()))),INDEX(Charge!$F:$F,ROW()),0)</f>
        <v>0.0</v>
      </c>
      <c r="EY494" s="169" t="str">
        <f>IF(EO494=1,SUMPRODUCT(MAX(($EN$4:$EN$503=EN494)*$EX$4:$EX$503)),"")</f>
        <v/>
      </c>
      <c r="FD494">
        <f>IF(AND(B494=1,TRIM(INDEX(Charge!$K:$K,ROW()))&lt;&gt;"",TRIM(INDEX(Charge!$L:$L,ROW()))&lt;&gt;""),1,0)</f>
        <v>0</v>
      </c>
      <c r="FE494">
        <f>IF(OR(EN494="",BZ494="(non affecté)"),0,IF(COUNTIFS($EN$4:EN494,EN494,$BZ$4:BZ494,BZ494)=1,1,0))</f>
        <v>0</v>
      </c>
      <c r="FF494" t="str">
        <f>IF(B494=1,LEFT(SUBSTITUTE(SUBSTITUTE(SUBSTITUTE(TRIM(SUBSTITUTE(INDEX(Charge!$B:$B,ROW()),CHAR(160)," "))&amp;" | "&amp;TRIM(SUBSTITUTE(INDEX(Charge!$C:$C,ROW()),CHAR(160)," "))&amp;" | "&amp;TRIM(SUBSTITUTE(INDEX(Charge!$D:$D,ROW()),CHAR(160)," ")),"~","-"),"*","+"),"?","!"),240),"")</f>
        <v/>
      </c>
      <c r="FG494">
        <f>IF(B494=1,MAX(0,N(INDEX(Charge!$M:$M,ROW()))),0)</f>
        <v>0</v>
      </c>
      <c r="FH494" s="170" t="str">
        <f>IF(EO494=1,ROUND(SUMIF($FF$4:$FF$503,EN494,$FG$4:$FG$503),2),"")</f>
        <v/>
      </c>
      <c r="FI494" s="170" t="str">
        <f>IF(EO494=1,ROUND(SUMPRODUCT(($FF$4:$FF$503=EN494)*$FG$4:$FG$503*$C$4:$C$503),2),"")</f>
        <v/>
      </c>
      <c r="FJ494" s="170" t="str">
        <f>IF(EO494=1,MAX(0,ROUND(FH494-FI494,2)),"")</f>
        <v/>
      </c>
      <c r="FK494" s="174" t="str">
        <f>IF(EO494=1,IF(OR(EW494&gt;=2958465,EY494=0,EY494&lt;=EW494),"",IF(TODAY()&lt;=EW494,0,IF(TODAY()&gt;EY494,1,IFERROR(NETWORKDAYS(EW494,TODAY()-1,Data!$K$4:$K$203)/NETWORKDAYS(EW494,EY494,Data!$K$4:$K$203),"")))),"")</f>
        <v/>
      </c>
      <c r="FL494" t="str">
        <f>IF(EO494=1,IF(AND(EY494&gt;0,EY494&lt;TODAY(),ROUND(EU494,4)&lt;1),2,IF(FK494="",0,IF(ROUND(EU494-FK494,4)&lt;-0.15,1,0))),"")</f>
        <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9" t="str">
        <f>IF(AND(D495=1,ISNUMBER(INDEX(Charge!$N:$N,ROW()))),INDEX(Charge!$N:$N,ROW()),"")</f>
        <v/>
      </c>
      <c r="J495" s="169"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70">
        <f>IF(OR($I495="",$E495=0),0,IF(OR($J495&lt;W$3,$I495&gt;W$2),0,IF($K495=0,IF(AND($I495&gt;=W$3,$I495&lt;=W$2),$E495,0),$E495*NETWORKDAYS(MAX($I495,W$3),MIN($J495,W$2),Data!$K$4:$K$203)/$K495)))</f>
        <v>0</v>
      </c>
      <c r="X495" s="170">
        <f>IF(OR($I495="",$E495=0),0,IF(OR($J495&lt;X$3,$I495&gt;X$2),0,IF($K495=0,IF(AND($I495&gt;=X$3,$I495&lt;=X$2),$E495,0),$E495*NETWORKDAYS(MAX($I495,X$3),MIN($J495,X$2),Data!$K$4:$K$203)/$K495)))</f>
        <v>0</v>
      </c>
      <c r="Y495" s="170">
        <f>IF(OR($I495="",$E495=0),0,IF(OR($J495&lt;Y$3,$I495&gt;Y$2),0,IF($K495=0,IF(AND($I495&gt;=Y$3,$I495&lt;=Y$2),$E495,0),$E495*NETWORKDAYS(MAX($I495,Y$3),MIN($J495,Y$2),Data!$K$4:$K$203)/$K495)))</f>
        <v>0</v>
      </c>
      <c r="Z495" s="170">
        <f>IF(OR($I495="",$E495=0),0,IF(OR($J495&lt;Z$3,$I495&gt;Z$2),0,IF($K495=0,IF(AND($I495&gt;=Z$3,$I495&lt;=Z$2),$E495,0),$E495*NETWORKDAYS(MAX($I495,Z$3),MIN($J495,Z$2),Data!$K$4:$K$203)/$K495)))</f>
        <v>0</v>
      </c>
      <c r="AA495" s="170">
        <f>IF(OR($I495="",$E495=0),0,IF(OR($J495&lt;AA$3,$I495&gt;AA$2),0,IF($K495=0,IF(AND($I495&gt;=AA$3,$I495&lt;=AA$2),$E495,0),$E495*NETWORKDAYS(MAX($I495,AA$3),MIN($J495,AA$2),Data!$K$4:$K$203)/$K495)))</f>
        <v>0</v>
      </c>
      <c r="AB495" s="170">
        <f>IF(OR($I495="",$E495=0),0,IF(OR($J495&lt;AB$3,$I495&gt;AB$2),0,IF($K495=0,IF(AND($I495&gt;=AB$3,$I495&lt;=AB$2),$E495,0),$E495*NETWORKDAYS(MAX($I495,AB$3),MIN($J495,AB$2),Data!$K$4:$K$203)/$K495)))</f>
        <v>0</v>
      </c>
      <c r="AC495" s="170">
        <f>IF(OR($I495="",$E495=0),0,IF(OR($J495&lt;AC$3,$I495&gt;AC$2),0,IF($K495=0,IF(AND($I495&gt;=AC$3,$I495&lt;=AC$2),$E495,0),$E495*NETWORKDAYS(MAX($I495,AC$3),MIN($J495,AC$2),Data!$K$4:$K$203)/$K495)))</f>
        <v>0</v>
      </c>
      <c r="AD495" s="170">
        <f>IF(OR($I495="",$E495=0),0,IF(OR($J495&lt;AD$3,$I495&gt;AD$2),0,IF($K495=0,IF(AND($I495&gt;=AD$3,$I495&lt;=AD$2),$E495,0),$E495*NETWORKDAYS(MAX($I495,AD$3),MIN($J495,AD$2),Data!$K$4:$K$203)/$K495)))</f>
        <v>0</v>
      </c>
      <c r="AE495" s="170">
        <f>IF(OR($I495="",$E495=0),0,IF(OR($J495&lt;AE$3,$I495&gt;AE$2),0,IF($K495=0,IF(AND($I495&gt;=AE$3,$I495&lt;=AE$2),$E495,0),$E495*NETWORKDAYS(MAX($I495,AE$3),MIN($J495,AE$2),Data!$K$4:$K$203)/$K495)))</f>
        <v>0</v>
      </c>
      <c r="AF495" s="170">
        <f>IF(OR($I495="",$E495=0),0,IF(OR($J495&lt;AF$3,$I495&gt;AF$2),0,IF($K495=0,IF(AND($I495&gt;=AF$3,$I495&lt;=AF$2),$E495,0),$E495*NETWORKDAYS(MAX($I495,AF$3),MIN($J495,AF$2),Data!$K$4:$K$203)/$K495)))</f>
        <v>0</v>
      </c>
      <c r="AG495" s="170">
        <f>IF(OR($I495="",$E495=0),0,IF(OR($J495&lt;AG$3,$I495&gt;AG$2),0,IF($K495=0,IF(AND($I495&gt;=AG$3,$I495&lt;=AG$2),$E495,0),$E495*NETWORKDAYS(MAX($I495,AG$3),MIN($J495,AG$2),Data!$K$4:$K$203)/$K495)))</f>
        <v>0</v>
      </c>
      <c r="AH495" s="170">
        <f>IF(OR($I495="",$E495=0),0,IF(OR($J495&lt;AH$3,$I495&gt;AH$2),0,IF($K495=0,IF(AND($I495&gt;=AH$3,$I495&lt;=AH$2),$E495,0),$E495*NETWORKDAYS(MAX($I495,AH$3),MIN($J495,AH$2),Data!$K$4:$K$203)/$K495)))</f>
        <v>0</v>
      </c>
      <c r="AI495" s="170">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70"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4" t="str">
        <f>IF(EO495=1,IF(FH495&gt;0,FI495/FH495,AVERAGEIF($FF$4:$FF$503,EN495,$C$4:$C$503)),"")</f>
        <v/>
      </c>
      <c r="EV495" s="169">
        <f>IF(ISNUMBER(I495),I495,2958465)</f>
        <v>2958465.0</v>
      </c>
      <c r="EW495" s="169" t="str">
        <f>IF(EO495=1,SUMPRODUCT(MIN(($EN$4:$EN$503=EN495)*$EV$4:$EV$503+($EN$4:$EN$503&lt;&gt;EN495)*2958465)),"")</f>
        <v/>
      </c>
      <c r="EX495" s="169">
        <f>IF(AND(D495=1,ISNUMBER(INDEX(Charge!$F:$F,ROW()))),INDEX(Charge!$F:$F,ROW()),0)</f>
        <v>0.0</v>
      </c>
      <c r="EY495" s="169" t="str">
        <f>IF(EO495=1,SUMPRODUCT(MAX(($EN$4:$EN$503=EN495)*$EX$4:$EX$503)),"")</f>
        <v/>
      </c>
      <c r="FD495">
        <f>IF(AND(B495=1,TRIM(INDEX(Charge!$K:$K,ROW()))&lt;&gt;"",TRIM(INDEX(Charge!$L:$L,ROW()))&lt;&gt;""),1,0)</f>
        <v>0</v>
      </c>
      <c r="FE495">
        <f>IF(OR(EN495="",BZ495="(non affecté)"),0,IF(COUNTIFS($EN$4:EN495,EN495,$BZ$4:BZ495,BZ495)=1,1,0))</f>
        <v>0</v>
      </c>
      <c r="FF495" t="str">
        <f>IF(B495=1,LEFT(SUBSTITUTE(SUBSTITUTE(SUBSTITUTE(TRIM(SUBSTITUTE(INDEX(Charge!$B:$B,ROW()),CHAR(160)," "))&amp;" | "&amp;TRIM(SUBSTITUTE(INDEX(Charge!$C:$C,ROW()),CHAR(160)," "))&amp;" | "&amp;TRIM(SUBSTITUTE(INDEX(Charge!$D:$D,ROW()),CHAR(160)," ")),"~","-"),"*","+"),"?","!"),240),"")</f>
        <v/>
      </c>
      <c r="FG495">
        <f>IF(B495=1,MAX(0,N(INDEX(Charge!$M:$M,ROW()))),0)</f>
        <v>0</v>
      </c>
      <c r="FH495" s="170" t="str">
        <f>IF(EO495=1,ROUND(SUMIF($FF$4:$FF$503,EN495,$FG$4:$FG$503),2),"")</f>
        <v/>
      </c>
      <c r="FI495" s="170" t="str">
        <f>IF(EO495=1,ROUND(SUMPRODUCT(($FF$4:$FF$503=EN495)*$FG$4:$FG$503*$C$4:$C$503),2),"")</f>
        <v/>
      </c>
      <c r="FJ495" s="170" t="str">
        <f>IF(EO495=1,MAX(0,ROUND(FH495-FI495,2)),"")</f>
        <v/>
      </c>
      <c r="FK495" s="174" t="str">
        <f>IF(EO495=1,IF(OR(EW495&gt;=2958465,EY495=0,EY495&lt;=EW495),"",IF(TODAY()&lt;=EW495,0,IF(TODAY()&gt;EY495,1,IFERROR(NETWORKDAYS(EW495,TODAY()-1,Data!$K$4:$K$203)/NETWORKDAYS(EW495,EY495,Data!$K$4:$K$203),"")))),"")</f>
        <v/>
      </c>
      <c r="FL495" t="str">
        <f>IF(EO495=1,IF(AND(EY495&gt;0,EY495&lt;TODAY(),ROUND(EU495,4)&lt;1),2,IF(FK495="",0,IF(ROUND(EU495-FK495,4)&lt;-0.15,1,0))),"")</f>
        <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9" t="str">
        <f>IF(AND(D496=1,ISNUMBER(INDEX(Charge!$N:$N,ROW()))),INDEX(Charge!$N:$N,ROW()),"")</f>
        <v/>
      </c>
      <c r="J496" s="169"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70">
        <f>IF(OR($I496="",$E496=0),0,IF(OR($J496&lt;W$3,$I496&gt;W$2),0,IF($K496=0,IF(AND($I496&gt;=W$3,$I496&lt;=W$2),$E496,0),$E496*NETWORKDAYS(MAX($I496,W$3),MIN($J496,W$2),Data!$K$4:$K$203)/$K496)))</f>
        <v>0</v>
      </c>
      <c r="X496" s="170">
        <f>IF(OR($I496="",$E496=0),0,IF(OR($J496&lt;X$3,$I496&gt;X$2),0,IF($K496=0,IF(AND($I496&gt;=X$3,$I496&lt;=X$2),$E496,0),$E496*NETWORKDAYS(MAX($I496,X$3),MIN($J496,X$2),Data!$K$4:$K$203)/$K496)))</f>
        <v>0</v>
      </c>
      <c r="Y496" s="170">
        <f>IF(OR($I496="",$E496=0),0,IF(OR($J496&lt;Y$3,$I496&gt;Y$2),0,IF($K496=0,IF(AND($I496&gt;=Y$3,$I496&lt;=Y$2),$E496,0),$E496*NETWORKDAYS(MAX($I496,Y$3),MIN($J496,Y$2),Data!$K$4:$K$203)/$K496)))</f>
        <v>0</v>
      </c>
      <c r="Z496" s="170">
        <f>IF(OR($I496="",$E496=0),0,IF(OR($J496&lt;Z$3,$I496&gt;Z$2),0,IF($K496=0,IF(AND($I496&gt;=Z$3,$I496&lt;=Z$2),$E496,0),$E496*NETWORKDAYS(MAX($I496,Z$3),MIN($J496,Z$2),Data!$K$4:$K$203)/$K496)))</f>
        <v>0</v>
      </c>
      <c r="AA496" s="170">
        <f>IF(OR($I496="",$E496=0),0,IF(OR($J496&lt;AA$3,$I496&gt;AA$2),0,IF($K496=0,IF(AND($I496&gt;=AA$3,$I496&lt;=AA$2),$E496,0),$E496*NETWORKDAYS(MAX($I496,AA$3),MIN($J496,AA$2),Data!$K$4:$K$203)/$K496)))</f>
        <v>0</v>
      </c>
      <c r="AB496" s="170">
        <f>IF(OR($I496="",$E496=0),0,IF(OR($J496&lt;AB$3,$I496&gt;AB$2),0,IF($K496=0,IF(AND($I496&gt;=AB$3,$I496&lt;=AB$2),$E496,0),$E496*NETWORKDAYS(MAX($I496,AB$3),MIN($J496,AB$2),Data!$K$4:$K$203)/$K496)))</f>
        <v>0</v>
      </c>
      <c r="AC496" s="170">
        <f>IF(OR($I496="",$E496=0),0,IF(OR($J496&lt;AC$3,$I496&gt;AC$2),0,IF($K496=0,IF(AND($I496&gt;=AC$3,$I496&lt;=AC$2),$E496,0),$E496*NETWORKDAYS(MAX($I496,AC$3),MIN($J496,AC$2),Data!$K$4:$K$203)/$K496)))</f>
        <v>0</v>
      </c>
      <c r="AD496" s="170">
        <f>IF(OR($I496="",$E496=0),0,IF(OR($J496&lt;AD$3,$I496&gt;AD$2),0,IF($K496=0,IF(AND($I496&gt;=AD$3,$I496&lt;=AD$2),$E496,0),$E496*NETWORKDAYS(MAX($I496,AD$3),MIN($J496,AD$2),Data!$K$4:$K$203)/$K496)))</f>
        <v>0</v>
      </c>
      <c r="AE496" s="170">
        <f>IF(OR($I496="",$E496=0),0,IF(OR($J496&lt;AE$3,$I496&gt;AE$2),0,IF($K496=0,IF(AND($I496&gt;=AE$3,$I496&lt;=AE$2),$E496,0),$E496*NETWORKDAYS(MAX($I496,AE$3),MIN($J496,AE$2),Data!$K$4:$K$203)/$K496)))</f>
        <v>0</v>
      </c>
      <c r="AF496" s="170">
        <f>IF(OR($I496="",$E496=0),0,IF(OR($J496&lt;AF$3,$I496&gt;AF$2),0,IF($K496=0,IF(AND($I496&gt;=AF$3,$I496&lt;=AF$2),$E496,0),$E496*NETWORKDAYS(MAX($I496,AF$3),MIN($J496,AF$2),Data!$K$4:$K$203)/$K496)))</f>
        <v>0</v>
      </c>
      <c r="AG496" s="170">
        <f>IF(OR($I496="",$E496=0),0,IF(OR($J496&lt;AG$3,$I496&gt;AG$2),0,IF($K496=0,IF(AND($I496&gt;=AG$3,$I496&lt;=AG$2),$E496,0),$E496*NETWORKDAYS(MAX($I496,AG$3),MIN($J496,AG$2),Data!$K$4:$K$203)/$K496)))</f>
        <v>0</v>
      </c>
      <c r="AH496" s="170">
        <f>IF(OR($I496="",$E496=0),0,IF(OR($J496&lt;AH$3,$I496&gt;AH$2),0,IF($K496=0,IF(AND($I496&gt;=AH$3,$I496&lt;=AH$2),$E496,0),$E496*NETWORKDAYS(MAX($I496,AH$3),MIN($J496,AH$2),Data!$K$4:$K$203)/$K496)))</f>
        <v>0</v>
      </c>
      <c r="AI496" s="170">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70"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4" t="str">
        <f>IF(EO496=1,IF(FH496&gt;0,FI496/FH496,AVERAGEIF($FF$4:$FF$503,EN496,$C$4:$C$503)),"")</f>
        <v/>
      </c>
      <c r="EV496" s="169">
        <f>IF(ISNUMBER(I496),I496,2958465)</f>
        <v>2958465.0</v>
      </c>
      <c r="EW496" s="169" t="str">
        <f>IF(EO496=1,SUMPRODUCT(MIN(($EN$4:$EN$503=EN496)*$EV$4:$EV$503+($EN$4:$EN$503&lt;&gt;EN496)*2958465)),"")</f>
        <v/>
      </c>
      <c r="EX496" s="169">
        <f>IF(AND(D496=1,ISNUMBER(INDEX(Charge!$F:$F,ROW()))),INDEX(Charge!$F:$F,ROW()),0)</f>
        <v>0.0</v>
      </c>
      <c r="EY496" s="169" t="str">
        <f>IF(EO496=1,SUMPRODUCT(MAX(($EN$4:$EN$503=EN496)*$EX$4:$EX$503)),"")</f>
        <v/>
      </c>
      <c r="FD496">
        <f>IF(AND(B496=1,TRIM(INDEX(Charge!$K:$K,ROW()))&lt;&gt;"",TRIM(INDEX(Charge!$L:$L,ROW()))&lt;&gt;""),1,0)</f>
        <v>0</v>
      </c>
      <c r="FE496">
        <f>IF(OR(EN496="",BZ496="(non affecté)"),0,IF(COUNTIFS($EN$4:EN496,EN496,$BZ$4:BZ496,BZ496)=1,1,0))</f>
        <v>0</v>
      </c>
      <c r="FF496" t="str">
        <f>IF(B496=1,LEFT(SUBSTITUTE(SUBSTITUTE(SUBSTITUTE(TRIM(SUBSTITUTE(INDEX(Charge!$B:$B,ROW()),CHAR(160)," "))&amp;" | "&amp;TRIM(SUBSTITUTE(INDEX(Charge!$C:$C,ROW()),CHAR(160)," "))&amp;" | "&amp;TRIM(SUBSTITUTE(INDEX(Charge!$D:$D,ROW()),CHAR(160)," ")),"~","-"),"*","+"),"?","!"),240),"")</f>
        <v/>
      </c>
      <c r="FG496">
        <f>IF(B496=1,MAX(0,N(INDEX(Charge!$M:$M,ROW()))),0)</f>
        <v>0</v>
      </c>
      <c r="FH496" s="170" t="str">
        <f>IF(EO496=1,ROUND(SUMIF($FF$4:$FF$503,EN496,$FG$4:$FG$503),2),"")</f>
        <v/>
      </c>
      <c r="FI496" s="170" t="str">
        <f>IF(EO496=1,ROUND(SUMPRODUCT(($FF$4:$FF$503=EN496)*$FG$4:$FG$503*$C$4:$C$503),2),"")</f>
        <v/>
      </c>
      <c r="FJ496" s="170" t="str">
        <f>IF(EO496=1,MAX(0,ROUND(FH496-FI496,2)),"")</f>
        <v/>
      </c>
      <c r="FK496" s="174" t="str">
        <f>IF(EO496=1,IF(OR(EW496&gt;=2958465,EY496=0,EY496&lt;=EW496),"",IF(TODAY()&lt;=EW496,0,IF(TODAY()&gt;EY496,1,IFERROR(NETWORKDAYS(EW496,TODAY()-1,Data!$K$4:$K$203)/NETWORKDAYS(EW496,EY496,Data!$K$4:$K$203),"")))),"")</f>
        <v/>
      </c>
      <c r="FL496" t="str">
        <f>IF(EO496=1,IF(AND(EY496&gt;0,EY496&lt;TODAY(),ROUND(EU496,4)&lt;1),2,IF(FK496="",0,IF(ROUND(EU496-FK496,4)&lt;-0.15,1,0))),"")</f>
        <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9" t="str">
        <f>IF(AND(D497=1,ISNUMBER(INDEX(Charge!$N:$N,ROW()))),INDEX(Charge!$N:$N,ROW()),"")</f>
        <v/>
      </c>
      <c r="J497" s="169"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70">
        <f>IF(OR($I497="",$E497=0),0,IF(OR($J497&lt;W$3,$I497&gt;W$2),0,IF($K497=0,IF(AND($I497&gt;=W$3,$I497&lt;=W$2),$E497,0),$E497*NETWORKDAYS(MAX($I497,W$3),MIN($J497,W$2),Data!$K$4:$K$203)/$K497)))</f>
        <v>0</v>
      </c>
      <c r="X497" s="170">
        <f>IF(OR($I497="",$E497=0),0,IF(OR($J497&lt;X$3,$I497&gt;X$2),0,IF($K497=0,IF(AND($I497&gt;=X$3,$I497&lt;=X$2),$E497,0),$E497*NETWORKDAYS(MAX($I497,X$3),MIN($J497,X$2),Data!$K$4:$K$203)/$K497)))</f>
        <v>0</v>
      </c>
      <c r="Y497" s="170">
        <f>IF(OR($I497="",$E497=0),0,IF(OR($J497&lt;Y$3,$I497&gt;Y$2),0,IF($K497=0,IF(AND($I497&gt;=Y$3,$I497&lt;=Y$2),$E497,0),$E497*NETWORKDAYS(MAX($I497,Y$3),MIN($J497,Y$2),Data!$K$4:$K$203)/$K497)))</f>
        <v>0</v>
      </c>
      <c r="Z497" s="170">
        <f>IF(OR($I497="",$E497=0),0,IF(OR($J497&lt;Z$3,$I497&gt;Z$2),0,IF($K497=0,IF(AND($I497&gt;=Z$3,$I497&lt;=Z$2),$E497,0),$E497*NETWORKDAYS(MAX($I497,Z$3),MIN($J497,Z$2),Data!$K$4:$K$203)/$K497)))</f>
        <v>0</v>
      </c>
      <c r="AA497" s="170">
        <f>IF(OR($I497="",$E497=0),0,IF(OR($J497&lt;AA$3,$I497&gt;AA$2),0,IF($K497=0,IF(AND($I497&gt;=AA$3,$I497&lt;=AA$2),$E497,0),$E497*NETWORKDAYS(MAX($I497,AA$3),MIN($J497,AA$2),Data!$K$4:$K$203)/$K497)))</f>
        <v>0</v>
      </c>
      <c r="AB497" s="170">
        <f>IF(OR($I497="",$E497=0),0,IF(OR($J497&lt;AB$3,$I497&gt;AB$2),0,IF($K497=0,IF(AND($I497&gt;=AB$3,$I497&lt;=AB$2),$E497,0),$E497*NETWORKDAYS(MAX($I497,AB$3),MIN($J497,AB$2),Data!$K$4:$K$203)/$K497)))</f>
        <v>0</v>
      </c>
      <c r="AC497" s="170">
        <f>IF(OR($I497="",$E497=0),0,IF(OR($J497&lt;AC$3,$I497&gt;AC$2),0,IF($K497=0,IF(AND($I497&gt;=AC$3,$I497&lt;=AC$2),$E497,0),$E497*NETWORKDAYS(MAX($I497,AC$3),MIN($J497,AC$2),Data!$K$4:$K$203)/$K497)))</f>
        <v>0</v>
      </c>
      <c r="AD497" s="170">
        <f>IF(OR($I497="",$E497=0),0,IF(OR($J497&lt;AD$3,$I497&gt;AD$2),0,IF($K497=0,IF(AND($I497&gt;=AD$3,$I497&lt;=AD$2),$E497,0),$E497*NETWORKDAYS(MAX($I497,AD$3),MIN($J497,AD$2),Data!$K$4:$K$203)/$K497)))</f>
        <v>0</v>
      </c>
      <c r="AE497" s="170">
        <f>IF(OR($I497="",$E497=0),0,IF(OR($J497&lt;AE$3,$I497&gt;AE$2),0,IF($K497=0,IF(AND($I497&gt;=AE$3,$I497&lt;=AE$2),$E497,0),$E497*NETWORKDAYS(MAX($I497,AE$3),MIN($J497,AE$2),Data!$K$4:$K$203)/$K497)))</f>
        <v>0</v>
      </c>
      <c r="AF497" s="170">
        <f>IF(OR($I497="",$E497=0),0,IF(OR($J497&lt;AF$3,$I497&gt;AF$2),0,IF($K497=0,IF(AND($I497&gt;=AF$3,$I497&lt;=AF$2),$E497,0),$E497*NETWORKDAYS(MAX($I497,AF$3),MIN($J497,AF$2),Data!$K$4:$K$203)/$K497)))</f>
        <v>0</v>
      </c>
      <c r="AG497" s="170">
        <f>IF(OR($I497="",$E497=0),0,IF(OR($J497&lt;AG$3,$I497&gt;AG$2),0,IF($K497=0,IF(AND($I497&gt;=AG$3,$I497&lt;=AG$2),$E497,0),$E497*NETWORKDAYS(MAX($I497,AG$3),MIN($J497,AG$2),Data!$K$4:$K$203)/$K497)))</f>
        <v>0</v>
      </c>
      <c r="AH497" s="170">
        <f>IF(OR($I497="",$E497=0),0,IF(OR($J497&lt;AH$3,$I497&gt;AH$2),0,IF($K497=0,IF(AND($I497&gt;=AH$3,$I497&lt;=AH$2),$E497,0),$E497*NETWORKDAYS(MAX($I497,AH$3),MIN($J497,AH$2),Data!$K$4:$K$203)/$K497)))</f>
        <v>0</v>
      </c>
      <c r="AI497" s="170">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70"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4" t="str">
        <f>IF(EO497=1,IF(FH497&gt;0,FI497/FH497,AVERAGEIF($FF$4:$FF$503,EN497,$C$4:$C$503)),"")</f>
        <v/>
      </c>
      <c r="EV497" s="169">
        <f>IF(ISNUMBER(I497),I497,2958465)</f>
        <v>2958465.0</v>
      </c>
      <c r="EW497" s="169" t="str">
        <f>IF(EO497=1,SUMPRODUCT(MIN(($EN$4:$EN$503=EN497)*$EV$4:$EV$503+($EN$4:$EN$503&lt;&gt;EN497)*2958465)),"")</f>
        <v/>
      </c>
      <c r="EX497" s="169">
        <f>IF(AND(D497=1,ISNUMBER(INDEX(Charge!$F:$F,ROW()))),INDEX(Charge!$F:$F,ROW()),0)</f>
        <v>0.0</v>
      </c>
      <c r="EY497" s="169" t="str">
        <f>IF(EO497=1,SUMPRODUCT(MAX(($EN$4:$EN$503=EN497)*$EX$4:$EX$503)),"")</f>
        <v/>
      </c>
      <c r="FD497">
        <f>IF(AND(B497=1,TRIM(INDEX(Charge!$K:$K,ROW()))&lt;&gt;"",TRIM(INDEX(Charge!$L:$L,ROW()))&lt;&gt;""),1,0)</f>
        <v>0</v>
      </c>
      <c r="FE497">
        <f>IF(OR(EN497="",BZ497="(non affecté)"),0,IF(COUNTIFS($EN$4:EN497,EN497,$BZ$4:BZ497,BZ497)=1,1,0))</f>
        <v>0</v>
      </c>
      <c r="FF497" t="str">
        <f>IF(B497=1,LEFT(SUBSTITUTE(SUBSTITUTE(SUBSTITUTE(TRIM(SUBSTITUTE(INDEX(Charge!$B:$B,ROW()),CHAR(160)," "))&amp;" | "&amp;TRIM(SUBSTITUTE(INDEX(Charge!$C:$C,ROW()),CHAR(160)," "))&amp;" | "&amp;TRIM(SUBSTITUTE(INDEX(Charge!$D:$D,ROW()),CHAR(160)," ")),"~","-"),"*","+"),"?","!"),240),"")</f>
        <v/>
      </c>
      <c r="FG497">
        <f>IF(B497=1,MAX(0,N(INDEX(Charge!$M:$M,ROW()))),0)</f>
        <v>0</v>
      </c>
      <c r="FH497" s="170" t="str">
        <f>IF(EO497=1,ROUND(SUMIF($FF$4:$FF$503,EN497,$FG$4:$FG$503),2),"")</f>
        <v/>
      </c>
      <c r="FI497" s="170" t="str">
        <f>IF(EO497=1,ROUND(SUMPRODUCT(($FF$4:$FF$503=EN497)*$FG$4:$FG$503*$C$4:$C$503),2),"")</f>
        <v/>
      </c>
      <c r="FJ497" s="170" t="str">
        <f>IF(EO497=1,MAX(0,ROUND(FH497-FI497,2)),"")</f>
        <v/>
      </c>
      <c r="FK497" s="174" t="str">
        <f>IF(EO497=1,IF(OR(EW497&gt;=2958465,EY497=0,EY497&lt;=EW497),"",IF(TODAY()&lt;=EW497,0,IF(TODAY()&gt;EY497,1,IFERROR(NETWORKDAYS(EW497,TODAY()-1,Data!$K$4:$K$203)/NETWORKDAYS(EW497,EY497,Data!$K$4:$K$203),"")))),"")</f>
        <v/>
      </c>
      <c r="FL497" t="str">
        <f>IF(EO497=1,IF(AND(EY497&gt;0,EY497&lt;TODAY(),ROUND(EU497,4)&lt;1),2,IF(FK497="",0,IF(ROUND(EU497-FK497,4)&lt;-0.15,1,0))),"")</f>
        <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9" t="str">
        <f>IF(AND(D498=1,ISNUMBER(INDEX(Charge!$N:$N,ROW()))),INDEX(Charge!$N:$N,ROW()),"")</f>
        <v/>
      </c>
      <c r="J498" s="169"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70">
        <f>IF(OR($I498="",$E498=0),0,IF(OR($J498&lt;W$3,$I498&gt;W$2),0,IF($K498=0,IF(AND($I498&gt;=W$3,$I498&lt;=W$2),$E498,0),$E498*NETWORKDAYS(MAX($I498,W$3),MIN($J498,W$2),Data!$K$4:$K$203)/$K498)))</f>
        <v>0</v>
      </c>
      <c r="X498" s="170">
        <f>IF(OR($I498="",$E498=0),0,IF(OR($J498&lt;X$3,$I498&gt;X$2),0,IF($K498=0,IF(AND($I498&gt;=X$3,$I498&lt;=X$2),$E498,0),$E498*NETWORKDAYS(MAX($I498,X$3),MIN($J498,X$2),Data!$K$4:$K$203)/$K498)))</f>
        <v>0</v>
      </c>
      <c r="Y498" s="170">
        <f>IF(OR($I498="",$E498=0),0,IF(OR($J498&lt;Y$3,$I498&gt;Y$2),0,IF($K498=0,IF(AND($I498&gt;=Y$3,$I498&lt;=Y$2),$E498,0),$E498*NETWORKDAYS(MAX($I498,Y$3),MIN($J498,Y$2),Data!$K$4:$K$203)/$K498)))</f>
        <v>0</v>
      </c>
      <c r="Z498" s="170">
        <f>IF(OR($I498="",$E498=0),0,IF(OR($J498&lt;Z$3,$I498&gt;Z$2),0,IF($K498=0,IF(AND($I498&gt;=Z$3,$I498&lt;=Z$2),$E498,0),$E498*NETWORKDAYS(MAX($I498,Z$3),MIN($J498,Z$2),Data!$K$4:$K$203)/$K498)))</f>
        <v>0</v>
      </c>
      <c r="AA498" s="170">
        <f>IF(OR($I498="",$E498=0),0,IF(OR($J498&lt;AA$3,$I498&gt;AA$2),0,IF($K498=0,IF(AND($I498&gt;=AA$3,$I498&lt;=AA$2),$E498,0),$E498*NETWORKDAYS(MAX($I498,AA$3),MIN($J498,AA$2),Data!$K$4:$K$203)/$K498)))</f>
        <v>0</v>
      </c>
      <c r="AB498" s="170">
        <f>IF(OR($I498="",$E498=0),0,IF(OR($J498&lt;AB$3,$I498&gt;AB$2),0,IF($K498=0,IF(AND($I498&gt;=AB$3,$I498&lt;=AB$2),$E498,0),$E498*NETWORKDAYS(MAX($I498,AB$3),MIN($J498,AB$2),Data!$K$4:$K$203)/$K498)))</f>
        <v>0</v>
      </c>
      <c r="AC498" s="170">
        <f>IF(OR($I498="",$E498=0),0,IF(OR($J498&lt;AC$3,$I498&gt;AC$2),0,IF($K498=0,IF(AND($I498&gt;=AC$3,$I498&lt;=AC$2),$E498,0),$E498*NETWORKDAYS(MAX($I498,AC$3),MIN($J498,AC$2),Data!$K$4:$K$203)/$K498)))</f>
        <v>0</v>
      </c>
      <c r="AD498" s="170">
        <f>IF(OR($I498="",$E498=0),0,IF(OR($J498&lt;AD$3,$I498&gt;AD$2),0,IF($K498=0,IF(AND($I498&gt;=AD$3,$I498&lt;=AD$2),$E498,0),$E498*NETWORKDAYS(MAX($I498,AD$3),MIN($J498,AD$2),Data!$K$4:$K$203)/$K498)))</f>
        <v>0</v>
      </c>
      <c r="AE498" s="170">
        <f>IF(OR($I498="",$E498=0),0,IF(OR($J498&lt;AE$3,$I498&gt;AE$2),0,IF($K498=0,IF(AND($I498&gt;=AE$3,$I498&lt;=AE$2),$E498,0),$E498*NETWORKDAYS(MAX($I498,AE$3),MIN($J498,AE$2),Data!$K$4:$K$203)/$K498)))</f>
        <v>0</v>
      </c>
      <c r="AF498" s="170">
        <f>IF(OR($I498="",$E498=0),0,IF(OR($J498&lt;AF$3,$I498&gt;AF$2),0,IF($K498=0,IF(AND($I498&gt;=AF$3,$I498&lt;=AF$2),$E498,0),$E498*NETWORKDAYS(MAX($I498,AF$3),MIN($J498,AF$2),Data!$K$4:$K$203)/$K498)))</f>
        <v>0</v>
      </c>
      <c r="AG498" s="170">
        <f>IF(OR($I498="",$E498=0),0,IF(OR($J498&lt;AG$3,$I498&gt;AG$2),0,IF($K498=0,IF(AND($I498&gt;=AG$3,$I498&lt;=AG$2),$E498,0),$E498*NETWORKDAYS(MAX($I498,AG$3),MIN($J498,AG$2),Data!$K$4:$K$203)/$K498)))</f>
        <v>0</v>
      </c>
      <c r="AH498" s="170">
        <f>IF(OR($I498="",$E498=0),0,IF(OR($J498&lt;AH$3,$I498&gt;AH$2),0,IF($K498=0,IF(AND($I498&gt;=AH$3,$I498&lt;=AH$2),$E498,0),$E498*NETWORKDAYS(MAX($I498,AH$3),MIN($J498,AH$2),Data!$K$4:$K$203)/$K498)))</f>
        <v>0</v>
      </c>
      <c r="AI498" s="170">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70"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4" t="str">
        <f>IF(EO498=1,IF(FH498&gt;0,FI498/FH498,AVERAGEIF($FF$4:$FF$503,EN498,$C$4:$C$503)),"")</f>
        <v/>
      </c>
      <c r="EV498" s="169">
        <f>IF(ISNUMBER(I498),I498,2958465)</f>
        <v>2958465.0</v>
      </c>
      <c r="EW498" s="169" t="str">
        <f>IF(EO498=1,SUMPRODUCT(MIN(($EN$4:$EN$503=EN498)*$EV$4:$EV$503+($EN$4:$EN$503&lt;&gt;EN498)*2958465)),"")</f>
        <v/>
      </c>
      <c r="EX498" s="169">
        <f>IF(AND(D498=1,ISNUMBER(INDEX(Charge!$F:$F,ROW()))),INDEX(Charge!$F:$F,ROW()),0)</f>
        <v>0.0</v>
      </c>
      <c r="EY498" s="169" t="str">
        <f>IF(EO498=1,SUMPRODUCT(MAX(($EN$4:$EN$503=EN498)*$EX$4:$EX$503)),"")</f>
        <v/>
      </c>
      <c r="FD498">
        <f>IF(AND(B498=1,TRIM(INDEX(Charge!$K:$K,ROW()))&lt;&gt;"",TRIM(INDEX(Charge!$L:$L,ROW()))&lt;&gt;""),1,0)</f>
        <v>0</v>
      </c>
      <c r="FE498">
        <f>IF(OR(EN498="",BZ498="(non affecté)"),0,IF(COUNTIFS($EN$4:EN498,EN498,$BZ$4:BZ498,BZ498)=1,1,0))</f>
        <v>0</v>
      </c>
      <c r="FF498" t="str">
        <f>IF(B498=1,LEFT(SUBSTITUTE(SUBSTITUTE(SUBSTITUTE(TRIM(SUBSTITUTE(INDEX(Charge!$B:$B,ROW()),CHAR(160)," "))&amp;" | "&amp;TRIM(SUBSTITUTE(INDEX(Charge!$C:$C,ROW()),CHAR(160)," "))&amp;" | "&amp;TRIM(SUBSTITUTE(INDEX(Charge!$D:$D,ROW()),CHAR(160)," ")),"~","-"),"*","+"),"?","!"),240),"")</f>
        <v/>
      </c>
      <c r="FG498">
        <f>IF(B498=1,MAX(0,N(INDEX(Charge!$M:$M,ROW()))),0)</f>
        <v>0</v>
      </c>
      <c r="FH498" s="170" t="str">
        <f>IF(EO498=1,ROUND(SUMIF($FF$4:$FF$503,EN498,$FG$4:$FG$503),2),"")</f>
        <v/>
      </c>
      <c r="FI498" s="170" t="str">
        <f>IF(EO498=1,ROUND(SUMPRODUCT(($FF$4:$FF$503=EN498)*$FG$4:$FG$503*$C$4:$C$503),2),"")</f>
        <v/>
      </c>
      <c r="FJ498" s="170" t="str">
        <f>IF(EO498=1,MAX(0,ROUND(FH498-FI498,2)),"")</f>
        <v/>
      </c>
      <c r="FK498" s="174" t="str">
        <f>IF(EO498=1,IF(OR(EW498&gt;=2958465,EY498=0,EY498&lt;=EW498),"",IF(TODAY()&lt;=EW498,0,IF(TODAY()&gt;EY498,1,IFERROR(NETWORKDAYS(EW498,TODAY()-1,Data!$K$4:$K$203)/NETWORKDAYS(EW498,EY498,Data!$K$4:$K$203),"")))),"")</f>
        <v/>
      </c>
      <c r="FL498" t="str">
        <f>IF(EO498=1,IF(AND(EY498&gt;0,EY498&lt;TODAY(),ROUND(EU498,4)&lt;1),2,IF(FK498="",0,IF(ROUND(EU498-FK498,4)&lt;-0.15,1,0))),"")</f>
        <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9" t="str">
        <f>IF(AND(D499=1,ISNUMBER(INDEX(Charge!$N:$N,ROW()))),INDEX(Charge!$N:$N,ROW()),"")</f>
        <v/>
      </c>
      <c r="J499" s="169"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70">
        <f>IF(OR($I499="",$E499=0),0,IF(OR($J499&lt;W$3,$I499&gt;W$2),0,IF($K499=0,IF(AND($I499&gt;=W$3,$I499&lt;=W$2),$E499,0),$E499*NETWORKDAYS(MAX($I499,W$3),MIN($J499,W$2),Data!$K$4:$K$203)/$K499)))</f>
        <v>0</v>
      </c>
      <c r="X499" s="170">
        <f>IF(OR($I499="",$E499=0),0,IF(OR($J499&lt;X$3,$I499&gt;X$2),0,IF($K499=0,IF(AND($I499&gt;=X$3,$I499&lt;=X$2),$E499,0),$E499*NETWORKDAYS(MAX($I499,X$3),MIN($J499,X$2),Data!$K$4:$K$203)/$K499)))</f>
        <v>0</v>
      </c>
      <c r="Y499" s="170">
        <f>IF(OR($I499="",$E499=0),0,IF(OR($J499&lt;Y$3,$I499&gt;Y$2),0,IF($K499=0,IF(AND($I499&gt;=Y$3,$I499&lt;=Y$2),$E499,0),$E499*NETWORKDAYS(MAX($I499,Y$3),MIN($J499,Y$2),Data!$K$4:$K$203)/$K499)))</f>
        <v>0</v>
      </c>
      <c r="Z499" s="170">
        <f>IF(OR($I499="",$E499=0),0,IF(OR($J499&lt;Z$3,$I499&gt;Z$2),0,IF($K499=0,IF(AND($I499&gt;=Z$3,$I499&lt;=Z$2),$E499,0),$E499*NETWORKDAYS(MAX($I499,Z$3),MIN($J499,Z$2),Data!$K$4:$K$203)/$K499)))</f>
        <v>0</v>
      </c>
      <c r="AA499" s="170">
        <f>IF(OR($I499="",$E499=0),0,IF(OR($J499&lt;AA$3,$I499&gt;AA$2),0,IF($K499=0,IF(AND($I499&gt;=AA$3,$I499&lt;=AA$2),$E499,0),$E499*NETWORKDAYS(MAX($I499,AA$3),MIN($J499,AA$2),Data!$K$4:$K$203)/$K499)))</f>
        <v>0</v>
      </c>
      <c r="AB499" s="170">
        <f>IF(OR($I499="",$E499=0),0,IF(OR($J499&lt;AB$3,$I499&gt;AB$2),0,IF($K499=0,IF(AND($I499&gt;=AB$3,$I499&lt;=AB$2),$E499,0),$E499*NETWORKDAYS(MAX($I499,AB$3),MIN($J499,AB$2),Data!$K$4:$K$203)/$K499)))</f>
        <v>0</v>
      </c>
      <c r="AC499" s="170">
        <f>IF(OR($I499="",$E499=0),0,IF(OR($J499&lt;AC$3,$I499&gt;AC$2),0,IF($K499=0,IF(AND($I499&gt;=AC$3,$I499&lt;=AC$2),$E499,0),$E499*NETWORKDAYS(MAX($I499,AC$3),MIN($J499,AC$2),Data!$K$4:$K$203)/$K499)))</f>
        <v>0</v>
      </c>
      <c r="AD499" s="170">
        <f>IF(OR($I499="",$E499=0),0,IF(OR($J499&lt;AD$3,$I499&gt;AD$2),0,IF($K499=0,IF(AND($I499&gt;=AD$3,$I499&lt;=AD$2),$E499,0),$E499*NETWORKDAYS(MAX($I499,AD$3),MIN($J499,AD$2),Data!$K$4:$K$203)/$K499)))</f>
        <v>0</v>
      </c>
      <c r="AE499" s="170">
        <f>IF(OR($I499="",$E499=0),0,IF(OR($J499&lt;AE$3,$I499&gt;AE$2),0,IF($K499=0,IF(AND($I499&gt;=AE$3,$I499&lt;=AE$2),$E499,0),$E499*NETWORKDAYS(MAX($I499,AE$3),MIN($J499,AE$2),Data!$K$4:$K$203)/$K499)))</f>
        <v>0</v>
      </c>
      <c r="AF499" s="170">
        <f>IF(OR($I499="",$E499=0),0,IF(OR($J499&lt;AF$3,$I499&gt;AF$2),0,IF($K499=0,IF(AND($I499&gt;=AF$3,$I499&lt;=AF$2),$E499,0),$E499*NETWORKDAYS(MAX($I499,AF$3),MIN($J499,AF$2),Data!$K$4:$K$203)/$K499)))</f>
        <v>0</v>
      </c>
      <c r="AG499" s="170">
        <f>IF(OR($I499="",$E499=0),0,IF(OR($J499&lt;AG$3,$I499&gt;AG$2),0,IF($K499=0,IF(AND($I499&gt;=AG$3,$I499&lt;=AG$2),$E499,0),$E499*NETWORKDAYS(MAX($I499,AG$3),MIN($J499,AG$2),Data!$K$4:$K$203)/$K499)))</f>
        <v>0</v>
      </c>
      <c r="AH499" s="170">
        <f>IF(OR($I499="",$E499=0),0,IF(OR($J499&lt;AH$3,$I499&gt;AH$2),0,IF($K499=0,IF(AND($I499&gt;=AH$3,$I499&lt;=AH$2),$E499,0),$E499*NETWORKDAYS(MAX($I499,AH$3),MIN($J499,AH$2),Data!$K$4:$K$203)/$K499)))</f>
        <v>0</v>
      </c>
      <c r="AI499" s="170">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70"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4" t="str">
        <f>IF(EO499=1,IF(FH499&gt;0,FI499/FH499,AVERAGEIF($FF$4:$FF$503,EN499,$C$4:$C$503)),"")</f>
        <v/>
      </c>
      <c r="EV499" s="169">
        <f>IF(ISNUMBER(I499),I499,2958465)</f>
        <v>2958465.0</v>
      </c>
      <c r="EW499" s="169" t="str">
        <f>IF(EO499=1,SUMPRODUCT(MIN(($EN$4:$EN$503=EN499)*$EV$4:$EV$503+($EN$4:$EN$503&lt;&gt;EN499)*2958465)),"")</f>
        <v/>
      </c>
      <c r="EX499" s="169">
        <f>IF(AND(D499=1,ISNUMBER(INDEX(Charge!$F:$F,ROW()))),INDEX(Charge!$F:$F,ROW()),0)</f>
        <v>0.0</v>
      </c>
      <c r="EY499" s="169" t="str">
        <f>IF(EO499=1,SUMPRODUCT(MAX(($EN$4:$EN$503=EN499)*$EX$4:$EX$503)),"")</f>
        <v/>
      </c>
      <c r="FD499">
        <f>IF(AND(B499=1,TRIM(INDEX(Charge!$K:$K,ROW()))&lt;&gt;"",TRIM(INDEX(Charge!$L:$L,ROW()))&lt;&gt;""),1,0)</f>
        <v>0</v>
      </c>
      <c r="FE499">
        <f>IF(OR(EN499="",BZ499="(non affecté)"),0,IF(COUNTIFS($EN$4:EN499,EN499,$BZ$4:BZ499,BZ499)=1,1,0))</f>
        <v>0</v>
      </c>
      <c r="FF499" t="str">
        <f>IF(B499=1,LEFT(SUBSTITUTE(SUBSTITUTE(SUBSTITUTE(TRIM(SUBSTITUTE(INDEX(Charge!$B:$B,ROW()),CHAR(160)," "))&amp;" | "&amp;TRIM(SUBSTITUTE(INDEX(Charge!$C:$C,ROW()),CHAR(160)," "))&amp;" | "&amp;TRIM(SUBSTITUTE(INDEX(Charge!$D:$D,ROW()),CHAR(160)," ")),"~","-"),"*","+"),"?","!"),240),"")</f>
        <v/>
      </c>
      <c r="FG499">
        <f>IF(B499=1,MAX(0,N(INDEX(Charge!$M:$M,ROW()))),0)</f>
        <v>0</v>
      </c>
      <c r="FH499" s="170" t="str">
        <f>IF(EO499=1,ROUND(SUMIF($FF$4:$FF$503,EN499,$FG$4:$FG$503),2),"")</f>
        <v/>
      </c>
      <c r="FI499" s="170" t="str">
        <f>IF(EO499=1,ROUND(SUMPRODUCT(($FF$4:$FF$503=EN499)*$FG$4:$FG$503*$C$4:$C$503),2),"")</f>
        <v/>
      </c>
      <c r="FJ499" s="170" t="str">
        <f>IF(EO499=1,MAX(0,ROUND(FH499-FI499,2)),"")</f>
        <v/>
      </c>
      <c r="FK499" s="174" t="str">
        <f>IF(EO499=1,IF(OR(EW499&gt;=2958465,EY499=0,EY499&lt;=EW499),"",IF(TODAY()&lt;=EW499,0,IF(TODAY()&gt;EY499,1,IFERROR(NETWORKDAYS(EW499,TODAY()-1,Data!$K$4:$K$203)/NETWORKDAYS(EW499,EY499,Data!$K$4:$K$203),"")))),"")</f>
        <v/>
      </c>
      <c r="FL499" t="str">
        <f>IF(EO499=1,IF(AND(EY499&gt;0,EY499&lt;TODAY(),ROUND(EU499,4)&lt;1),2,IF(FK499="",0,IF(ROUND(EU499-FK499,4)&lt;-0.15,1,0))),"")</f>
        <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9" t="str">
        <f>IF(AND(D500=1,ISNUMBER(INDEX(Charge!$N:$N,ROW()))),INDEX(Charge!$N:$N,ROW()),"")</f>
        <v/>
      </c>
      <c r="J500" s="169"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70">
        <f>IF(OR($I500="",$E500=0),0,IF(OR($J500&lt;W$3,$I500&gt;W$2),0,IF($K500=0,IF(AND($I500&gt;=W$3,$I500&lt;=W$2),$E500,0),$E500*NETWORKDAYS(MAX($I500,W$3),MIN($J500,W$2),Data!$K$4:$K$203)/$K500)))</f>
        <v>0</v>
      </c>
      <c r="X500" s="170">
        <f>IF(OR($I500="",$E500=0),0,IF(OR($J500&lt;X$3,$I500&gt;X$2),0,IF($K500=0,IF(AND($I500&gt;=X$3,$I500&lt;=X$2),$E500,0),$E500*NETWORKDAYS(MAX($I500,X$3),MIN($J500,X$2),Data!$K$4:$K$203)/$K500)))</f>
        <v>0</v>
      </c>
      <c r="Y500" s="170">
        <f>IF(OR($I500="",$E500=0),0,IF(OR($J500&lt;Y$3,$I500&gt;Y$2),0,IF($K500=0,IF(AND($I500&gt;=Y$3,$I500&lt;=Y$2),$E500,0),$E500*NETWORKDAYS(MAX($I500,Y$3),MIN($J500,Y$2),Data!$K$4:$K$203)/$K500)))</f>
        <v>0</v>
      </c>
      <c r="Z500" s="170">
        <f>IF(OR($I500="",$E500=0),0,IF(OR($J500&lt;Z$3,$I500&gt;Z$2),0,IF($K500=0,IF(AND($I500&gt;=Z$3,$I500&lt;=Z$2),$E500,0),$E500*NETWORKDAYS(MAX($I500,Z$3),MIN($J500,Z$2),Data!$K$4:$K$203)/$K500)))</f>
        <v>0</v>
      </c>
      <c r="AA500" s="170">
        <f>IF(OR($I500="",$E500=0),0,IF(OR($J500&lt;AA$3,$I500&gt;AA$2),0,IF($K500=0,IF(AND($I500&gt;=AA$3,$I500&lt;=AA$2),$E500,0),$E500*NETWORKDAYS(MAX($I500,AA$3),MIN($J500,AA$2),Data!$K$4:$K$203)/$K500)))</f>
        <v>0</v>
      </c>
      <c r="AB500" s="170">
        <f>IF(OR($I500="",$E500=0),0,IF(OR($J500&lt;AB$3,$I500&gt;AB$2),0,IF($K500=0,IF(AND($I500&gt;=AB$3,$I500&lt;=AB$2),$E500,0),$E500*NETWORKDAYS(MAX($I500,AB$3),MIN($J500,AB$2),Data!$K$4:$K$203)/$K500)))</f>
        <v>0</v>
      </c>
      <c r="AC500" s="170">
        <f>IF(OR($I500="",$E500=0),0,IF(OR($J500&lt;AC$3,$I500&gt;AC$2),0,IF($K500=0,IF(AND($I500&gt;=AC$3,$I500&lt;=AC$2),$E500,0),$E500*NETWORKDAYS(MAX($I500,AC$3),MIN($J500,AC$2),Data!$K$4:$K$203)/$K500)))</f>
        <v>0</v>
      </c>
      <c r="AD500" s="170">
        <f>IF(OR($I500="",$E500=0),0,IF(OR($J500&lt;AD$3,$I500&gt;AD$2),0,IF($K500=0,IF(AND($I500&gt;=AD$3,$I500&lt;=AD$2),$E500,0),$E500*NETWORKDAYS(MAX($I500,AD$3),MIN($J500,AD$2),Data!$K$4:$K$203)/$K500)))</f>
        <v>0</v>
      </c>
      <c r="AE500" s="170">
        <f>IF(OR($I500="",$E500=0),0,IF(OR($J500&lt;AE$3,$I500&gt;AE$2),0,IF($K500=0,IF(AND($I500&gt;=AE$3,$I500&lt;=AE$2),$E500,0),$E500*NETWORKDAYS(MAX($I500,AE$3),MIN($J500,AE$2),Data!$K$4:$K$203)/$K500)))</f>
        <v>0</v>
      </c>
      <c r="AF500" s="170">
        <f>IF(OR($I500="",$E500=0),0,IF(OR($J500&lt;AF$3,$I500&gt;AF$2),0,IF($K500=0,IF(AND($I500&gt;=AF$3,$I500&lt;=AF$2),$E500,0),$E500*NETWORKDAYS(MAX($I500,AF$3),MIN($J500,AF$2),Data!$K$4:$K$203)/$K500)))</f>
        <v>0</v>
      </c>
      <c r="AG500" s="170">
        <f>IF(OR($I500="",$E500=0),0,IF(OR($J500&lt;AG$3,$I500&gt;AG$2),0,IF($K500=0,IF(AND($I500&gt;=AG$3,$I500&lt;=AG$2),$E500,0),$E500*NETWORKDAYS(MAX($I500,AG$3),MIN($J500,AG$2),Data!$K$4:$K$203)/$K500)))</f>
        <v>0</v>
      </c>
      <c r="AH500" s="170">
        <f>IF(OR($I500="",$E500=0),0,IF(OR($J500&lt;AH$3,$I500&gt;AH$2),0,IF($K500=0,IF(AND($I500&gt;=AH$3,$I500&lt;=AH$2),$E500,0),$E500*NETWORKDAYS(MAX($I500,AH$3),MIN($J500,AH$2),Data!$K$4:$K$203)/$K500)))</f>
        <v>0</v>
      </c>
      <c r="AI500" s="170">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70"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4" t="str">
        <f>IF(EO500=1,IF(FH500&gt;0,FI500/FH500,AVERAGEIF($FF$4:$FF$503,EN500,$C$4:$C$503)),"")</f>
        <v/>
      </c>
      <c r="EV500" s="169">
        <f>IF(ISNUMBER(I500),I500,2958465)</f>
        <v>2958465.0</v>
      </c>
      <c r="EW500" s="169" t="str">
        <f>IF(EO500=1,SUMPRODUCT(MIN(($EN$4:$EN$503=EN500)*$EV$4:$EV$503+($EN$4:$EN$503&lt;&gt;EN500)*2958465)),"")</f>
        <v/>
      </c>
      <c r="EX500" s="169">
        <f>IF(AND(D500=1,ISNUMBER(INDEX(Charge!$F:$F,ROW()))),INDEX(Charge!$F:$F,ROW()),0)</f>
        <v>0.0</v>
      </c>
      <c r="EY500" s="169" t="str">
        <f>IF(EO500=1,SUMPRODUCT(MAX(($EN$4:$EN$503=EN500)*$EX$4:$EX$503)),"")</f>
        <v/>
      </c>
      <c r="FD500">
        <f>IF(AND(B500=1,TRIM(INDEX(Charge!$K:$K,ROW()))&lt;&gt;"",TRIM(INDEX(Charge!$L:$L,ROW()))&lt;&gt;""),1,0)</f>
        <v>0</v>
      </c>
      <c r="FE500">
        <f>IF(OR(EN500="",BZ500="(non affecté)"),0,IF(COUNTIFS($EN$4:EN500,EN500,$BZ$4:BZ500,BZ500)=1,1,0))</f>
        <v>0</v>
      </c>
      <c r="FF500" t="str">
        <f>IF(B500=1,LEFT(SUBSTITUTE(SUBSTITUTE(SUBSTITUTE(TRIM(SUBSTITUTE(INDEX(Charge!$B:$B,ROW()),CHAR(160)," "))&amp;" | "&amp;TRIM(SUBSTITUTE(INDEX(Charge!$C:$C,ROW()),CHAR(160)," "))&amp;" | "&amp;TRIM(SUBSTITUTE(INDEX(Charge!$D:$D,ROW()),CHAR(160)," ")),"~","-"),"*","+"),"?","!"),240),"")</f>
        <v/>
      </c>
      <c r="FG500">
        <f>IF(B500=1,MAX(0,N(INDEX(Charge!$M:$M,ROW()))),0)</f>
        <v>0</v>
      </c>
      <c r="FH500" s="170" t="str">
        <f>IF(EO500=1,ROUND(SUMIF($FF$4:$FF$503,EN500,$FG$4:$FG$503),2),"")</f>
        <v/>
      </c>
      <c r="FI500" s="170" t="str">
        <f>IF(EO500=1,ROUND(SUMPRODUCT(($FF$4:$FF$503=EN500)*$FG$4:$FG$503*$C$4:$C$503),2),"")</f>
        <v/>
      </c>
      <c r="FJ500" s="170" t="str">
        <f>IF(EO500=1,MAX(0,ROUND(FH500-FI500,2)),"")</f>
        <v/>
      </c>
      <c r="FK500" s="174" t="str">
        <f>IF(EO500=1,IF(OR(EW500&gt;=2958465,EY500=0,EY500&lt;=EW500),"",IF(TODAY()&lt;=EW500,0,IF(TODAY()&gt;EY500,1,IFERROR(NETWORKDAYS(EW500,TODAY()-1,Data!$K$4:$K$203)/NETWORKDAYS(EW500,EY500,Data!$K$4:$K$203),"")))),"")</f>
        <v/>
      </c>
      <c r="FL500" t="str">
        <f>IF(EO500=1,IF(AND(EY500&gt;0,EY500&lt;TODAY(),ROUND(EU500,4)&lt;1),2,IF(FK500="",0,IF(ROUND(EU500-FK500,4)&lt;-0.15,1,0))),"")</f>
        <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9" t="str">
        <f>IF(AND(D501=1,ISNUMBER(INDEX(Charge!$N:$N,ROW()))),INDEX(Charge!$N:$N,ROW()),"")</f>
        <v/>
      </c>
      <c r="J501" s="169"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70">
        <f>IF(OR($I501="",$E501=0),0,IF(OR($J501&lt;W$3,$I501&gt;W$2),0,IF($K501=0,IF(AND($I501&gt;=W$3,$I501&lt;=W$2),$E501,0),$E501*NETWORKDAYS(MAX($I501,W$3),MIN($J501,W$2),Data!$K$4:$K$203)/$K501)))</f>
        <v>0</v>
      </c>
      <c r="X501" s="170">
        <f>IF(OR($I501="",$E501=0),0,IF(OR($J501&lt;X$3,$I501&gt;X$2),0,IF($K501=0,IF(AND($I501&gt;=X$3,$I501&lt;=X$2),$E501,0),$E501*NETWORKDAYS(MAX($I501,X$3),MIN($J501,X$2),Data!$K$4:$K$203)/$K501)))</f>
        <v>0</v>
      </c>
      <c r="Y501" s="170">
        <f>IF(OR($I501="",$E501=0),0,IF(OR($J501&lt;Y$3,$I501&gt;Y$2),0,IF($K501=0,IF(AND($I501&gt;=Y$3,$I501&lt;=Y$2),$E501,0),$E501*NETWORKDAYS(MAX($I501,Y$3),MIN($J501,Y$2),Data!$K$4:$K$203)/$K501)))</f>
        <v>0</v>
      </c>
      <c r="Z501" s="170">
        <f>IF(OR($I501="",$E501=0),0,IF(OR($J501&lt;Z$3,$I501&gt;Z$2),0,IF($K501=0,IF(AND($I501&gt;=Z$3,$I501&lt;=Z$2),$E501,0),$E501*NETWORKDAYS(MAX($I501,Z$3),MIN($J501,Z$2),Data!$K$4:$K$203)/$K501)))</f>
        <v>0</v>
      </c>
      <c r="AA501" s="170">
        <f>IF(OR($I501="",$E501=0),0,IF(OR($J501&lt;AA$3,$I501&gt;AA$2),0,IF($K501=0,IF(AND($I501&gt;=AA$3,$I501&lt;=AA$2),$E501,0),$E501*NETWORKDAYS(MAX($I501,AA$3),MIN($J501,AA$2),Data!$K$4:$K$203)/$K501)))</f>
        <v>0</v>
      </c>
      <c r="AB501" s="170">
        <f>IF(OR($I501="",$E501=0),0,IF(OR($J501&lt;AB$3,$I501&gt;AB$2),0,IF($K501=0,IF(AND($I501&gt;=AB$3,$I501&lt;=AB$2),$E501,0),$E501*NETWORKDAYS(MAX($I501,AB$3),MIN($J501,AB$2),Data!$K$4:$K$203)/$K501)))</f>
        <v>0</v>
      </c>
      <c r="AC501" s="170">
        <f>IF(OR($I501="",$E501=0),0,IF(OR($J501&lt;AC$3,$I501&gt;AC$2),0,IF($K501=0,IF(AND($I501&gt;=AC$3,$I501&lt;=AC$2),$E501,0),$E501*NETWORKDAYS(MAX($I501,AC$3),MIN($J501,AC$2),Data!$K$4:$K$203)/$K501)))</f>
        <v>0</v>
      </c>
      <c r="AD501" s="170">
        <f>IF(OR($I501="",$E501=0),0,IF(OR($J501&lt;AD$3,$I501&gt;AD$2),0,IF($K501=0,IF(AND($I501&gt;=AD$3,$I501&lt;=AD$2),$E501,0),$E501*NETWORKDAYS(MAX($I501,AD$3),MIN($J501,AD$2),Data!$K$4:$K$203)/$K501)))</f>
        <v>0</v>
      </c>
      <c r="AE501" s="170">
        <f>IF(OR($I501="",$E501=0),0,IF(OR($J501&lt;AE$3,$I501&gt;AE$2),0,IF($K501=0,IF(AND($I501&gt;=AE$3,$I501&lt;=AE$2),$E501,0),$E501*NETWORKDAYS(MAX($I501,AE$3),MIN($J501,AE$2),Data!$K$4:$K$203)/$K501)))</f>
        <v>0</v>
      </c>
      <c r="AF501" s="170">
        <f>IF(OR($I501="",$E501=0),0,IF(OR($J501&lt;AF$3,$I501&gt;AF$2),0,IF($K501=0,IF(AND($I501&gt;=AF$3,$I501&lt;=AF$2),$E501,0),$E501*NETWORKDAYS(MAX($I501,AF$3),MIN($J501,AF$2),Data!$K$4:$K$203)/$K501)))</f>
        <v>0</v>
      </c>
      <c r="AG501" s="170">
        <f>IF(OR($I501="",$E501=0),0,IF(OR($J501&lt;AG$3,$I501&gt;AG$2),0,IF($K501=0,IF(AND($I501&gt;=AG$3,$I501&lt;=AG$2),$E501,0),$E501*NETWORKDAYS(MAX($I501,AG$3),MIN($J501,AG$2),Data!$K$4:$K$203)/$K501)))</f>
        <v>0</v>
      </c>
      <c r="AH501" s="170">
        <f>IF(OR($I501="",$E501=0),0,IF(OR($J501&lt;AH$3,$I501&gt;AH$2),0,IF($K501=0,IF(AND($I501&gt;=AH$3,$I501&lt;=AH$2),$E501,0),$E501*NETWORKDAYS(MAX($I501,AH$3),MIN($J501,AH$2),Data!$K$4:$K$203)/$K501)))</f>
        <v>0</v>
      </c>
      <c r="AI501" s="170">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70"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4" t="str">
        <f>IF(EO501=1,IF(FH501&gt;0,FI501/FH501,AVERAGEIF($FF$4:$FF$503,EN501,$C$4:$C$503)),"")</f>
        <v/>
      </c>
      <c r="EV501" s="169">
        <f>IF(ISNUMBER(I501),I501,2958465)</f>
        <v>2958465.0</v>
      </c>
      <c r="EW501" s="169" t="str">
        <f>IF(EO501=1,SUMPRODUCT(MIN(($EN$4:$EN$503=EN501)*$EV$4:$EV$503+($EN$4:$EN$503&lt;&gt;EN501)*2958465)),"")</f>
        <v/>
      </c>
      <c r="EX501" s="169">
        <f>IF(AND(D501=1,ISNUMBER(INDEX(Charge!$F:$F,ROW()))),INDEX(Charge!$F:$F,ROW()),0)</f>
        <v>0.0</v>
      </c>
      <c r="EY501" s="169" t="str">
        <f>IF(EO501=1,SUMPRODUCT(MAX(($EN$4:$EN$503=EN501)*$EX$4:$EX$503)),"")</f>
        <v/>
      </c>
      <c r="FD501">
        <f>IF(AND(B501=1,TRIM(INDEX(Charge!$K:$K,ROW()))&lt;&gt;"",TRIM(INDEX(Charge!$L:$L,ROW()))&lt;&gt;""),1,0)</f>
        <v>0</v>
      </c>
      <c r="FE501">
        <f>IF(OR(EN501="",BZ501="(non affecté)"),0,IF(COUNTIFS($EN$4:EN501,EN501,$BZ$4:BZ501,BZ501)=1,1,0))</f>
        <v>0</v>
      </c>
      <c r="FF501" t="str">
        <f>IF(B501=1,LEFT(SUBSTITUTE(SUBSTITUTE(SUBSTITUTE(TRIM(SUBSTITUTE(INDEX(Charge!$B:$B,ROW()),CHAR(160)," "))&amp;" | "&amp;TRIM(SUBSTITUTE(INDEX(Charge!$C:$C,ROW()),CHAR(160)," "))&amp;" | "&amp;TRIM(SUBSTITUTE(INDEX(Charge!$D:$D,ROW()),CHAR(160)," ")),"~","-"),"*","+"),"?","!"),240),"")</f>
        <v/>
      </c>
      <c r="FG501">
        <f>IF(B501=1,MAX(0,N(INDEX(Charge!$M:$M,ROW()))),0)</f>
        <v>0</v>
      </c>
      <c r="FH501" s="170" t="str">
        <f>IF(EO501=1,ROUND(SUMIF($FF$4:$FF$503,EN501,$FG$4:$FG$503),2),"")</f>
        <v/>
      </c>
      <c r="FI501" s="170" t="str">
        <f>IF(EO501=1,ROUND(SUMPRODUCT(($FF$4:$FF$503=EN501)*$FG$4:$FG$503*$C$4:$C$503),2),"")</f>
        <v/>
      </c>
      <c r="FJ501" s="170" t="str">
        <f>IF(EO501=1,MAX(0,ROUND(FH501-FI501,2)),"")</f>
        <v/>
      </c>
      <c r="FK501" s="174" t="str">
        <f>IF(EO501=1,IF(OR(EW501&gt;=2958465,EY501=0,EY501&lt;=EW501),"",IF(TODAY()&lt;=EW501,0,IF(TODAY()&gt;EY501,1,IFERROR(NETWORKDAYS(EW501,TODAY()-1,Data!$K$4:$K$203)/NETWORKDAYS(EW501,EY501,Data!$K$4:$K$203),"")))),"")</f>
        <v/>
      </c>
      <c r="FL501" t="str">
        <f>IF(EO501=1,IF(AND(EY501&gt;0,EY501&lt;TODAY(),ROUND(EU501,4)&lt;1),2,IF(FK501="",0,IF(ROUND(EU501-FK501,4)&lt;-0.15,1,0))),"")</f>
        <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9" t="str">
        <f>IF(AND(D502=1,ISNUMBER(INDEX(Charge!$N:$N,ROW()))),INDEX(Charge!$N:$N,ROW()),"")</f>
        <v/>
      </c>
      <c r="J502" s="169"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70">
        <f>IF(OR($I502="",$E502=0),0,IF(OR($J502&lt;W$3,$I502&gt;W$2),0,IF($K502=0,IF(AND($I502&gt;=W$3,$I502&lt;=W$2),$E502,0),$E502*NETWORKDAYS(MAX($I502,W$3),MIN($J502,W$2),Data!$K$4:$K$203)/$K502)))</f>
        <v>0</v>
      </c>
      <c r="X502" s="170">
        <f>IF(OR($I502="",$E502=0),0,IF(OR($J502&lt;X$3,$I502&gt;X$2),0,IF($K502=0,IF(AND($I502&gt;=X$3,$I502&lt;=X$2),$E502,0),$E502*NETWORKDAYS(MAX($I502,X$3),MIN($J502,X$2),Data!$K$4:$K$203)/$K502)))</f>
        <v>0</v>
      </c>
      <c r="Y502" s="170">
        <f>IF(OR($I502="",$E502=0),0,IF(OR($J502&lt;Y$3,$I502&gt;Y$2),0,IF($K502=0,IF(AND($I502&gt;=Y$3,$I502&lt;=Y$2),$E502,0),$E502*NETWORKDAYS(MAX($I502,Y$3),MIN($J502,Y$2),Data!$K$4:$K$203)/$K502)))</f>
        <v>0</v>
      </c>
      <c r="Z502" s="170">
        <f>IF(OR($I502="",$E502=0),0,IF(OR($J502&lt;Z$3,$I502&gt;Z$2),0,IF($K502=0,IF(AND($I502&gt;=Z$3,$I502&lt;=Z$2),$E502,0),$E502*NETWORKDAYS(MAX($I502,Z$3),MIN($J502,Z$2),Data!$K$4:$K$203)/$K502)))</f>
        <v>0</v>
      </c>
      <c r="AA502" s="170">
        <f>IF(OR($I502="",$E502=0),0,IF(OR($J502&lt;AA$3,$I502&gt;AA$2),0,IF($K502=0,IF(AND($I502&gt;=AA$3,$I502&lt;=AA$2),$E502,0),$E502*NETWORKDAYS(MAX($I502,AA$3),MIN($J502,AA$2),Data!$K$4:$K$203)/$K502)))</f>
        <v>0</v>
      </c>
      <c r="AB502" s="170">
        <f>IF(OR($I502="",$E502=0),0,IF(OR($J502&lt;AB$3,$I502&gt;AB$2),0,IF($K502=0,IF(AND($I502&gt;=AB$3,$I502&lt;=AB$2),$E502,0),$E502*NETWORKDAYS(MAX($I502,AB$3),MIN($J502,AB$2),Data!$K$4:$K$203)/$K502)))</f>
        <v>0</v>
      </c>
      <c r="AC502" s="170">
        <f>IF(OR($I502="",$E502=0),0,IF(OR($J502&lt;AC$3,$I502&gt;AC$2),0,IF($K502=0,IF(AND($I502&gt;=AC$3,$I502&lt;=AC$2),$E502,0),$E502*NETWORKDAYS(MAX($I502,AC$3),MIN($J502,AC$2),Data!$K$4:$K$203)/$K502)))</f>
        <v>0</v>
      </c>
      <c r="AD502" s="170">
        <f>IF(OR($I502="",$E502=0),0,IF(OR($J502&lt;AD$3,$I502&gt;AD$2),0,IF($K502=0,IF(AND($I502&gt;=AD$3,$I502&lt;=AD$2),$E502,0),$E502*NETWORKDAYS(MAX($I502,AD$3),MIN($J502,AD$2),Data!$K$4:$K$203)/$K502)))</f>
        <v>0</v>
      </c>
      <c r="AE502" s="170">
        <f>IF(OR($I502="",$E502=0),0,IF(OR($J502&lt;AE$3,$I502&gt;AE$2),0,IF($K502=0,IF(AND($I502&gt;=AE$3,$I502&lt;=AE$2),$E502,0),$E502*NETWORKDAYS(MAX($I502,AE$3),MIN($J502,AE$2),Data!$K$4:$K$203)/$K502)))</f>
        <v>0</v>
      </c>
      <c r="AF502" s="170">
        <f>IF(OR($I502="",$E502=0),0,IF(OR($J502&lt;AF$3,$I502&gt;AF$2),0,IF($K502=0,IF(AND($I502&gt;=AF$3,$I502&lt;=AF$2),$E502,0),$E502*NETWORKDAYS(MAX($I502,AF$3),MIN($J502,AF$2),Data!$K$4:$K$203)/$K502)))</f>
        <v>0</v>
      </c>
      <c r="AG502" s="170">
        <f>IF(OR($I502="",$E502=0),0,IF(OR($J502&lt;AG$3,$I502&gt;AG$2),0,IF($K502=0,IF(AND($I502&gt;=AG$3,$I502&lt;=AG$2),$E502,0),$E502*NETWORKDAYS(MAX($I502,AG$3),MIN($J502,AG$2),Data!$K$4:$K$203)/$K502)))</f>
        <v>0</v>
      </c>
      <c r="AH502" s="170">
        <f>IF(OR($I502="",$E502=0),0,IF(OR($J502&lt;AH$3,$I502&gt;AH$2),0,IF($K502=0,IF(AND($I502&gt;=AH$3,$I502&lt;=AH$2),$E502,0),$E502*NETWORKDAYS(MAX($I502,AH$3),MIN($J502,AH$2),Data!$K$4:$K$203)/$K502)))</f>
        <v>0</v>
      </c>
      <c r="AI502" s="170">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70"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4" t="str">
        <f>IF(EO502=1,IF(FH502&gt;0,FI502/FH502,AVERAGEIF($FF$4:$FF$503,EN502,$C$4:$C$503)),"")</f>
        <v/>
      </c>
      <c r="EV502" s="169">
        <f>IF(ISNUMBER(I502),I502,2958465)</f>
        <v>2958465.0</v>
      </c>
      <c r="EW502" s="169" t="str">
        <f>IF(EO502=1,SUMPRODUCT(MIN(($EN$4:$EN$503=EN502)*$EV$4:$EV$503+($EN$4:$EN$503&lt;&gt;EN502)*2958465)),"")</f>
        <v/>
      </c>
      <c r="EX502" s="169">
        <f>IF(AND(D502=1,ISNUMBER(INDEX(Charge!$F:$F,ROW()))),INDEX(Charge!$F:$F,ROW()),0)</f>
        <v>0.0</v>
      </c>
      <c r="EY502" s="169" t="str">
        <f>IF(EO502=1,SUMPRODUCT(MAX(($EN$4:$EN$503=EN502)*$EX$4:$EX$503)),"")</f>
        <v/>
      </c>
      <c r="FD502">
        <f>IF(AND(B502=1,TRIM(INDEX(Charge!$K:$K,ROW()))&lt;&gt;"",TRIM(INDEX(Charge!$L:$L,ROW()))&lt;&gt;""),1,0)</f>
        <v>0</v>
      </c>
      <c r="FE502">
        <f>IF(OR(EN502="",BZ502="(non affecté)"),0,IF(COUNTIFS($EN$4:EN502,EN502,$BZ$4:BZ502,BZ502)=1,1,0))</f>
        <v>0</v>
      </c>
      <c r="FF502" t="str">
        <f>IF(B502=1,LEFT(SUBSTITUTE(SUBSTITUTE(SUBSTITUTE(TRIM(SUBSTITUTE(INDEX(Charge!$B:$B,ROW()),CHAR(160)," "))&amp;" | "&amp;TRIM(SUBSTITUTE(INDEX(Charge!$C:$C,ROW()),CHAR(160)," "))&amp;" | "&amp;TRIM(SUBSTITUTE(INDEX(Charge!$D:$D,ROW()),CHAR(160)," ")),"~","-"),"*","+"),"?","!"),240),"")</f>
        <v/>
      </c>
      <c r="FG502">
        <f>IF(B502=1,MAX(0,N(INDEX(Charge!$M:$M,ROW()))),0)</f>
        <v>0</v>
      </c>
      <c r="FH502" s="170" t="str">
        <f>IF(EO502=1,ROUND(SUMIF($FF$4:$FF$503,EN502,$FG$4:$FG$503),2),"")</f>
        <v/>
      </c>
      <c r="FI502" s="170" t="str">
        <f>IF(EO502=1,ROUND(SUMPRODUCT(($FF$4:$FF$503=EN502)*$FG$4:$FG$503*$C$4:$C$503),2),"")</f>
        <v/>
      </c>
      <c r="FJ502" s="170" t="str">
        <f>IF(EO502=1,MAX(0,ROUND(FH502-FI502,2)),"")</f>
        <v/>
      </c>
      <c r="FK502" s="174" t="str">
        <f>IF(EO502=1,IF(OR(EW502&gt;=2958465,EY502=0,EY502&lt;=EW502),"",IF(TODAY()&lt;=EW502,0,IF(TODAY()&gt;EY502,1,IFERROR(NETWORKDAYS(EW502,TODAY()-1,Data!$K$4:$K$203)/NETWORKDAYS(EW502,EY502,Data!$K$4:$K$203),"")))),"")</f>
        <v/>
      </c>
      <c r="FL502" t="str">
        <f>IF(EO502=1,IF(AND(EY502&gt;0,EY502&lt;TODAY(),ROUND(EU502,4)&lt;1),2,IF(FK502="",0,IF(ROUND(EU502-FK502,4)&lt;-0.15,1,0))),"")</f>
        <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9" t="str">
        <f>IF(AND(D503=1,ISNUMBER(INDEX(Charge!$N:$N,ROW()))),INDEX(Charge!$N:$N,ROW()),"")</f>
        <v/>
      </c>
      <c r="J503" s="169"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70">
        <f>IF(OR($I503="",$E503=0),0,IF(OR($J503&lt;W$3,$I503&gt;W$2),0,IF($K503=0,IF(AND($I503&gt;=W$3,$I503&lt;=W$2),$E503,0),$E503*NETWORKDAYS(MAX($I503,W$3),MIN($J503,W$2),Data!$K$4:$K$203)/$K503)))</f>
        <v>0</v>
      </c>
      <c r="X503" s="170">
        <f>IF(OR($I503="",$E503=0),0,IF(OR($J503&lt;X$3,$I503&gt;X$2),0,IF($K503=0,IF(AND($I503&gt;=X$3,$I503&lt;=X$2),$E503,0),$E503*NETWORKDAYS(MAX($I503,X$3),MIN($J503,X$2),Data!$K$4:$K$203)/$K503)))</f>
        <v>0</v>
      </c>
      <c r="Y503" s="170">
        <f>IF(OR($I503="",$E503=0),0,IF(OR($J503&lt;Y$3,$I503&gt;Y$2),0,IF($K503=0,IF(AND($I503&gt;=Y$3,$I503&lt;=Y$2),$E503,0),$E503*NETWORKDAYS(MAX($I503,Y$3),MIN($J503,Y$2),Data!$K$4:$K$203)/$K503)))</f>
        <v>0</v>
      </c>
      <c r="Z503" s="170">
        <f>IF(OR($I503="",$E503=0),0,IF(OR($J503&lt;Z$3,$I503&gt;Z$2),0,IF($K503=0,IF(AND($I503&gt;=Z$3,$I503&lt;=Z$2),$E503,0),$E503*NETWORKDAYS(MAX($I503,Z$3),MIN($J503,Z$2),Data!$K$4:$K$203)/$K503)))</f>
        <v>0</v>
      </c>
      <c r="AA503" s="170">
        <f>IF(OR($I503="",$E503=0),0,IF(OR($J503&lt;AA$3,$I503&gt;AA$2),0,IF($K503=0,IF(AND($I503&gt;=AA$3,$I503&lt;=AA$2),$E503,0),$E503*NETWORKDAYS(MAX($I503,AA$3),MIN($J503,AA$2),Data!$K$4:$K$203)/$K503)))</f>
        <v>0</v>
      </c>
      <c r="AB503" s="170">
        <f>IF(OR($I503="",$E503=0),0,IF(OR($J503&lt;AB$3,$I503&gt;AB$2),0,IF($K503=0,IF(AND($I503&gt;=AB$3,$I503&lt;=AB$2),$E503,0),$E503*NETWORKDAYS(MAX($I503,AB$3),MIN($J503,AB$2),Data!$K$4:$K$203)/$K503)))</f>
        <v>0</v>
      </c>
      <c r="AC503" s="170">
        <f>IF(OR($I503="",$E503=0),0,IF(OR($J503&lt;AC$3,$I503&gt;AC$2),0,IF($K503=0,IF(AND($I503&gt;=AC$3,$I503&lt;=AC$2),$E503,0),$E503*NETWORKDAYS(MAX($I503,AC$3),MIN($J503,AC$2),Data!$K$4:$K$203)/$K503)))</f>
        <v>0</v>
      </c>
      <c r="AD503" s="170">
        <f>IF(OR($I503="",$E503=0),0,IF(OR($J503&lt;AD$3,$I503&gt;AD$2),0,IF($K503=0,IF(AND($I503&gt;=AD$3,$I503&lt;=AD$2),$E503,0),$E503*NETWORKDAYS(MAX($I503,AD$3),MIN($J503,AD$2),Data!$K$4:$K$203)/$K503)))</f>
        <v>0</v>
      </c>
      <c r="AE503" s="170">
        <f>IF(OR($I503="",$E503=0),0,IF(OR($J503&lt;AE$3,$I503&gt;AE$2),0,IF($K503=0,IF(AND($I503&gt;=AE$3,$I503&lt;=AE$2),$E503,0),$E503*NETWORKDAYS(MAX($I503,AE$3),MIN($J503,AE$2),Data!$K$4:$K$203)/$K503)))</f>
        <v>0</v>
      </c>
      <c r="AF503" s="170">
        <f>IF(OR($I503="",$E503=0),0,IF(OR($J503&lt;AF$3,$I503&gt;AF$2),0,IF($K503=0,IF(AND($I503&gt;=AF$3,$I503&lt;=AF$2),$E503,0),$E503*NETWORKDAYS(MAX($I503,AF$3),MIN($J503,AF$2),Data!$K$4:$K$203)/$K503)))</f>
        <v>0</v>
      </c>
      <c r="AG503" s="170">
        <f>IF(OR($I503="",$E503=0),0,IF(OR($J503&lt;AG$3,$I503&gt;AG$2),0,IF($K503=0,IF(AND($I503&gt;=AG$3,$I503&lt;=AG$2),$E503,0),$E503*NETWORKDAYS(MAX($I503,AG$3),MIN($J503,AG$2),Data!$K$4:$K$203)/$K503)))</f>
        <v>0</v>
      </c>
      <c r="AH503" s="170">
        <f>IF(OR($I503="",$E503=0),0,IF(OR($J503&lt;AH$3,$I503&gt;AH$2),0,IF($K503=0,IF(AND($I503&gt;=AH$3,$I503&lt;=AH$2),$E503,0),$E503*NETWORKDAYS(MAX($I503,AH$3),MIN($J503,AH$2),Data!$K$4:$K$203)/$K503)))</f>
        <v>0</v>
      </c>
      <c r="AI503" s="170">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70"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4" t="str">
        <f>IF(EO503=1,IF(FH503&gt;0,FI503/FH503,AVERAGEIF($FF$4:$FF$503,EN503,$C$4:$C$503)),"")</f>
        <v/>
      </c>
      <c r="EV503" s="169">
        <f>IF(ISNUMBER(I503),I503,2958465)</f>
        <v>2958465.0</v>
      </c>
      <c r="EW503" s="169" t="str">
        <f>IF(EO503=1,SUMPRODUCT(MIN(($EN$4:$EN$503=EN503)*$EV$4:$EV$503+($EN$4:$EN$503&lt;&gt;EN503)*2958465)),"")</f>
        <v/>
      </c>
      <c r="EX503" s="169">
        <f>IF(AND(D503=1,ISNUMBER(INDEX(Charge!$F:$F,ROW()))),INDEX(Charge!$F:$F,ROW()),0)</f>
        <v>0.0</v>
      </c>
      <c r="EY503" s="169" t="str">
        <f>IF(EO503=1,SUMPRODUCT(MAX(($EN$4:$EN$503=EN503)*$EX$4:$EX$503)),"")</f>
        <v/>
      </c>
      <c r="FD503">
        <f>IF(AND(B503=1,TRIM(INDEX(Charge!$K:$K,ROW()))&lt;&gt;"",TRIM(INDEX(Charge!$L:$L,ROW()))&lt;&gt;""),1,0)</f>
        <v>0</v>
      </c>
      <c r="FE503">
        <f>IF(OR(EN503="",BZ503="(non affecté)"),0,IF(COUNTIFS($EN$4:EN503,EN503,$BZ$4:BZ503,BZ503)=1,1,0))</f>
        <v>0</v>
      </c>
      <c r="FF503" t="str">
        <f>IF(B503=1,LEFT(SUBSTITUTE(SUBSTITUTE(SUBSTITUTE(TRIM(SUBSTITUTE(INDEX(Charge!$B:$B,ROW()),CHAR(160)," "))&amp;" | "&amp;TRIM(SUBSTITUTE(INDEX(Charge!$C:$C,ROW()),CHAR(160)," "))&amp;" | "&amp;TRIM(SUBSTITUTE(INDEX(Charge!$D:$D,ROW()),CHAR(160)," ")),"~","-"),"*","+"),"?","!"),240),"")</f>
        <v/>
      </c>
      <c r="FG503">
        <f>IF(B503=1,MAX(0,N(INDEX(Charge!$M:$M,ROW()))),0)</f>
        <v>0</v>
      </c>
      <c r="FH503" s="170" t="str">
        <f>IF(EO503=1,ROUND(SUMIF($FF$4:$FF$503,EN503,$FG$4:$FG$503),2),"")</f>
        <v/>
      </c>
      <c r="FI503" s="170" t="str">
        <f>IF(EO503=1,ROUND(SUMPRODUCT(($FF$4:$FF$503=EN503)*$FG$4:$FG$503*$C$4:$C$503),2),"")</f>
        <v/>
      </c>
      <c r="FJ503" s="170" t="str">
        <f>IF(EO503=1,MAX(0,ROUND(FH503-FI503,2)),"")</f>
        <v/>
      </c>
      <c r="FK503" s="174" t="str">
        <f>IF(EO503=1,IF(OR(EW503&gt;=2958465,EY503=0,EY503&lt;=EW503),"",IF(TODAY()&lt;=EW503,0,IF(TODAY()&gt;EY503,1,IFERROR(NETWORKDAYS(EW503,TODAY()-1,Data!$K$4:$K$203)/NETWORKDAYS(EW503,EY503,Data!$K$4:$K$203),"")))),"")</f>
        <v/>
      </c>
      <c r="FL503" t="str">
        <f>IF(EO503=1,IF(AND(EY503&gt;0,EY503&lt;TODAY(),ROUND(EU503,4)&lt;1),2,IF(FK503="",0,IF(ROUND(EU503-FK503,4)&lt;-0.15,1,0))),"")</f>
        <v/>
      </c>
    </row>
  </sheetData>
  <dataValidations count="4">
    <dataValidation sqref="AL28" showDropDown="0" showInputMessage="0" showErrorMessage="0" allowBlank="0" type="list">
      <formula1>"Oui,Non"</formula1>
    </dataValidation>
    <dataValidation sqref="AL29" showDropDown="0" showInputMessage="0" showErrorMessage="0" allowBlank="0" type="list">
      <formula1>"Oui,Non"</formula1>
    </dataValidation>
    <dataValidation sqref="AL30" showDropDown="0" showInputMessage="0" showErrorMessage="0" allowBlank="0" type="list">
      <formula1>"Oui,Non"</formula1>
    </dataValidation>
    <dataValidation sqref="AL31" showDropDown="0" showInputMessage="0" showErrorMessage="0" allowBlank="0" type="list">
      <formula1>"Oui,Non"</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2026-10-19T15:08:15Z</dcterms:created>
  <dcterms:modified xmlns:dcterms="http://purl.org/dc/terms/" xmlns:xsi="http://www.w3.org/2001/XMLSchema-instance" xsi:type="dcterms:W3CDTF">2026-10-19T15:08:19Z</dcterms:modified>
</cp:coreProperties>
</file>